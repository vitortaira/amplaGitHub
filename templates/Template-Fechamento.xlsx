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5.xml" ContentType="application/vnd.openxmlformats-officedocument.drawing+xml"/>
  <Override PartName="/xl/tables/table2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27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templates/"/>
    </mc:Choice>
  </mc:AlternateContent>
  <xr:revisionPtr revIDLastSave="6873" documentId="8_{C6C56A3F-2425-44CF-8BE3-ECE51A50A5D5}" xr6:coauthVersionLast="47" xr6:coauthVersionMax="47" xr10:uidLastSave="{D16F33D1-4D09-40CB-A217-98CFF31B1358}"/>
  <bookViews>
    <workbookView xWindow="-120" yWindow="-120" windowWidth="20730" windowHeight="11040" activeTab="26" xr2:uid="{1B0C981B-E8E0-4D34-AA77-181FE8531CD8}"/>
  </bookViews>
  <sheets>
    <sheet name="comp" sheetId="52" r:id="rId1"/>
    <sheet name="cmf" sheetId="51" r:id="rId2"/>
    <sheet name="RxP" sheetId="50" r:id="rId3"/>
    <sheet name="f.grupo" sheetId="31" r:id="rId4"/>
    <sheet name="f.mes" sheetId="33" r:id="rId5"/>
    <sheet name="f.empresa" sheetId="34" r:id="rId6"/>
    <sheet name="agenda" sheetId="40" r:id="rId7"/>
    <sheet name="n&amp;cn" sheetId="30" r:id="rId8"/>
    <sheet name="reunião" sheetId="32" r:id="rId9"/>
    <sheet name="ik-&gt;viab" sheetId="27" r:id="rId10"/>
    <sheet name="fin" sheetId="29" r:id="rId11"/>
    <sheet name="inputs" sheetId="28" r:id="rId12"/>
    <sheet name="cef" sheetId="36" r:id="rId13"/>
    <sheet name="vgv" sheetId="3" r:id="rId14"/>
    <sheet name="status.unis" sheetId="5" r:id="rId15"/>
    <sheet name="rec.uni" sheetId="10" r:id="rId16"/>
    <sheet name="desp.m.ik" sheetId="39" r:id="rId17"/>
    <sheet name="m.vb" sheetId="37" r:id="rId18"/>
    <sheet name="rec" sheetId="9" r:id="rId19"/>
    <sheet name="unis.cruzado" sheetId="26" r:id="rId20"/>
    <sheet name="contr" sheetId="15" r:id="rId21"/>
    <sheet name="desp" sheetId="17" r:id="rId22"/>
    <sheet name="ecns" sheetId="8" r:id="rId23"/>
    <sheet name="empr" sheetId="38" r:id="rId24"/>
    <sheet name="estq" sheetId="7" r:id="rId25"/>
    <sheet name="unis" sheetId="11" r:id="rId26"/>
    <sheet name="cx_empresa" sheetId="48" r:id="rId27"/>
    <sheet name="cx_conta" sheetId="54" r:id="rId28"/>
    <sheet name="03_08_26" sheetId="49" r:id="rId29"/>
    <sheet name="01_09_2026" sheetId="53" r:id="rId30"/>
  </sheets>
  <definedNames>
    <definedName name="_xlnm._FilterDatabase" localSheetId="7" hidden="1">'n&amp;cn'!$B$147:$E$147</definedName>
  </definedNames>
  <calcPr calcId="191029" calcCompleted="0"/>
  <pivotCaches>
    <pivotCache cacheId="18" r:id="rId31"/>
    <pivotCache cacheId="19" r:id="rId32"/>
    <pivotCache cacheId="20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3" l="1"/>
  <c r="AI13" i="3" s="1"/>
  <c r="AJ13" i="3" s="1"/>
  <c r="AK13" i="3"/>
  <c r="AL12" i="3"/>
  <c r="AM12" i="3" s="1"/>
  <c r="AL11" i="3"/>
  <c r="AM11" i="3" s="1"/>
  <c r="AL10" i="3"/>
  <c r="AM10" i="3" s="1"/>
  <c r="AL9" i="3"/>
  <c r="AM9" i="3" s="1"/>
  <c r="AL8" i="3"/>
  <c r="AM8" i="3" s="1"/>
  <c r="AL7" i="3"/>
  <c r="AM7" i="3" s="1"/>
  <c r="AL6" i="3"/>
  <c r="AM6" i="3" s="1"/>
  <c r="AL5" i="3"/>
  <c r="AM5" i="3" s="1"/>
  <c r="AL4" i="3"/>
  <c r="AM4" i="3" s="1"/>
  <c r="M35" i="33"/>
  <c r="L35" i="33"/>
  <c r="I35" i="33"/>
  <c r="H35" i="33"/>
  <c r="F35" i="33"/>
  <c r="E35" i="33"/>
  <c r="I11" i="48"/>
  <c r="N4" i="48"/>
  <c r="N3" i="48"/>
  <c r="N2" i="48"/>
  <c r="M3" i="48" s="1"/>
  <c r="L4" i="48" s="1"/>
  <c r="M2" i="48"/>
  <c r="L3" i="48" s="1"/>
  <c r="L2" i="48"/>
  <c r="F2" i="54"/>
  <c r="C66" i="54"/>
  <c r="C65" i="54"/>
  <c r="C64" i="54"/>
  <c r="C63" i="54"/>
  <c r="C62" i="54"/>
  <c r="C61" i="54"/>
  <c r="C60" i="54"/>
  <c r="C59" i="54"/>
  <c r="C58" i="54"/>
  <c r="C57" i="54"/>
  <c r="C56" i="54"/>
  <c r="C55" i="54"/>
  <c r="C54" i="54"/>
  <c r="C53" i="54"/>
  <c r="C52" i="54"/>
  <c r="C51" i="54"/>
  <c r="E51" i="54" s="1"/>
  <c r="C50" i="54"/>
  <c r="C49" i="54"/>
  <c r="C48" i="54"/>
  <c r="C47" i="54"/>
  <c r="C46" i="54"/>
  <c r="C45" i="54"/>
  <c r="C44" i="54"/>
  <c r="C43" i="54"/>
  <c r="E43" i="54" s="1"/>
  <c r="C42" i="54"/>
  <c r="C41" i="54"/>
  <c r="C40" i="54"/>
  <c r="C39" i="54"/>
  <c r="C38" i="54"/>
  <c r="C37" i="54"/>
  <c r="C36" i="54"/>
  <c r="C35" i="54"/>
  <c r="E35" i="54" s="1"/>
  <c r="C34" i="54"/>
  <c r="C33" i="54"/>
  <c r="C32" i="54"/>
  <c r="C31" i="54"/>
  <c r="C30" i="54"/>
  <c r="C29" i="54"/>
  <c r="C28" i="54"/>
  <c r="C27" i="54"/>
  <c r="E27" i="54" s="1"/>
  <c r="C26" i="54"/>
  <c r="C25" i="54"/>
  <c r="C24" i="54"/>
  <c r="C23" i="54"/>
  <c r="C22" i="54"/>
  <c r="C21" i="54"/>
  <c r="C20" i="54"/>
  <c r="C19" i="54"/>
  <c r="E19" i="54" s="1"/>
  <c r="C18" i="54"/>
  <c r="C17" i="54"/>
  <c r="C16" i="54"/>
  <c r="C15" i="54"/>
  <c r="C14" i="54"/>
  <c r="C13" i="54"/>
  <c r="C12" i="54"/>
  <c r="C11" i="54"/>
  <c r="E11" i="54" s="1"/>
  <c r="C10" i="54"/>
  <c r="E10" i="54" s="1"/>
  <c r="C9" i="54"/>
  <c r="E9" i="54" s="1"/>
  <c r="C8" i="54"/>
  <c r="E8" i="54" s="1"/>
  <c r="C7" i="54"/>
  <c r="C6" i="54"/>
  <c r="E6" i="54" s="1"/>
  <c r="C5" i="54"/>
  <c r="C4" i="54"/>
  <c r="E4" i="54" s="1"/>
  <c r="E61" i="54"/>
  <c r="E53" i="54"/>
  <c r="E45" i="54"/>
  <c r="E37" i="54"/>
  <c r="E29" i="54"/>
  <c r="E21" i="54"/>
  <c r="E16" i="54"/>
  <c r="E13" i="54"/>
  <c r="E7" i="54"/>
  <c r="E5" i="54"/>
  <c r="E26" i="54"/>
  <c r="E18" i="54"/>
  <c r="E59" i="54"/>
  <c r="E20" i="54"/>
  <c r="E28" i="54"/>
  <c r="E34" i="54"/>
  <c r="E36" i="54"/>
  <c r="E42" i="54"/>
  <c r="E44" i="54"/>
  <c r="E50" i="54"/>
  <c r="E52" i="54"/>
  <c r="E58" i="54"/>
  <c r="E60" i="54"/>
  <c r="E63" i="54"/>
  <c r="E66" i="54"/>
  <c r="E62" i="54"/>
  <c r="E54" i="54"/>
  <c r="E46" i="54"/>
  <c r="E38" i="54"/>
  <c r="E30" i="54"/>
  <c r="E22" i="54"/>
  <c r="E14" i="54"/>
  <c r="E12" i="54"/>
  <c r="E15" i="54"/>
  <c r="E17" i="54"/>
  <c r="E23" i="54"/>
  <c r="E24" i="54"/>
  <c r="E25" i="54"/>
  <c r="E31" i="54"/>
  <c r="E32" i="54"/>
  <c r="E33" i="54"/>
  <c r="E39" i="54"/>
  <c r="E40" i="54"/>
  <c r="E41" i="54"/>
  <c r="E47" i="54"/>
  <c r="E48" i="54"/>
  <c r="E49" i="54"/>
  <c r="E55" i="54"/>
  <c r="E56" i="54"/>
  <c r="E57" i="54"/>
  <c r="E64" i="54"/>
  <c r="E65" i="54"/>
  <c r="D2" i="54"/>
  <c r="K66" i="54"/>
  <c r="J66" i="54"/>
  <c r="I66" i="54"/>
  <c r="H66" i="54"/>
  <c r="K65" i="54"/>
  <c r="J65" i="54"/>
  <c r="I65" i="54"/>
  <c r="H65" i="54"/>
  <c r="K64" i="54"/>
  <c r="J64" i="54"/>
  <c r="I64" i="54"/>
  <c r="H64" i="54"/>
  <c r="K63" i="54"/>
  <c r="J63" i="54"/>
  <c r="I63" i="54"/>
  <c r="H63" i="54"/>
  <c r="K62" i="54"/>
  <c r="J62" i="54"/>
  <c r="I62" i="54"/>
  <c r="H62" i="54"/>
  <c r="K61" i="54"/>
  <c r="J61" i="54"/>
  <c r="I61" i="54"/>
  <c r="H61" i="54"/>
  <c r="K60" i="54"/>
  <c r="J60" i="54"/>
  <c r="I60" i="54"/>
  <c r="H60" i="54"/>
  <c r="K59" i="54"/>
  <c r="J59" i="54"/>
  <c r="I59" i="54"/>
  <c r="H59" i="54"/>
  <c r="K58" i="54"/>
  <c r="J58" i="54"/>
  <c r="I58" i="54"/>
  <c r="H58" i="54"/>
  <c r="K57" i="54"/>
  <c r="J57" i="54"/>
  <c r="I57" i="54"/>
  <c r="H57" i="54"/>
  <c r="K56" i="54"/>
  <c r="J56" i="54"/>
  <c r="I56" i="54"/>
  <c r="H56" i="54"/>
  <c r="K55" i="54"/>
  <c r="J55" i="54"/>
  <c r="I55" i="54"/>
  <c r="H55" i="54"/>
  <c r="K54" i="54"/>
  <c r="J54" i="54"/>
  <c r="I54" i="54"/>
  <c r="H54" i="54"/>
  <c r="K53" i="54"/>
  <c r="J53" i="54"/>
  <c r="I53" i="54"/>
  <c r="H53" i="54"/>
  <c r="K52" i="54"/>
  <c r="J52" i="54"/>
  <c r="I52" i="54"/>
  <c r="H52" i="54"/>
  <c r="K51" i="54"/>
  <c r="J51" i="54"/>
  <c r="I51" i="54"/>
  <c r="H51" i="54"/>
  <c r="K50" i="54"/>
  <c r="J50" i="54"/>
  <c r="I50" i="54"/>
  <c r="H50" i="54"/>
  <c r="K49" i="54"/>
  <c r="J49" i="54"/>
  <c r="I49" i="54"/>
  <c r="H49" i="54"/>
  <c r="K48" i="54"/>
  <c r="J48" i="54"/>
  <c r="I48" i="54"/>
  <c r="H48" i="54"/>
  <c r="K47" i="54"/>
  <c r="J47" i="54"/>
  <c r="I47" i="54"/>
  <c r="H47" i="54"/>
  <c r="K46" i="54"/>
  <c r="J46" i="54"/>
  <c r="I46" i="54"/>
  <c r="H46" i="54"/>
  <c r="K45" i="54"/>
  <c r="J45" i="54"/>
  <c r="I45" i="54"/>
  <c r="H45" i="54"/>
  <c r="K44" i="54"/>
  <c r="J44" i="54"/>
  <c r="I44" i="54"/>
  <c r="H44" i="54"/>
  <c r="K43" i="54"/>
  <c r="J43" i="54"/>
  <c r="I43" i="54"/>
  <c r="H43" i="54"/>
  <c r="K42" i="54"/>
  <c r="J42" i="54"/>
  <c r="I42" i="54"/>
  <c r="H42" i="54"/>
  <c r="K41" i="54"/>
  <c r="J41" i="54"/>
  <c r="I41" i="54"/>
  <c r="H41" i="54"/>
  <c r="K40" i="54"/>
  <c r="J40" i="54"/>
  <c r="I40" i="54"/>
  <c r="H40" i="54"/>
  <c r="K39" i="54"/>
  <c r="J39" i="54"/>
  <c r="I39" i="54"/>
  <c r="H39" i="54"/>
  <c r="K38" i="54"/>
  <c r="J38" i="54"/>
  <c r="I38" i="54"/>
  <c r="H38" i="54"/>
  <c r="K37" i="54"/>
  <c r="J37" i="54"/>
  <c r="I37" i="54"/>
  <c r="H37" i="54"/>
  <c r="K36" i="54"/>
  <c r="J36" i="54"/>
  <c r="I36" i="54"/>
  <c r="H36" i="54"/>
  <c r="K35" i="54"/>
  <c r="J35" i="54"/>
  <c r="I35" i="54"/>
  <c r="H35" i="54"/>
  <c r="K34" i="54"/>
  <c r="J34" i="54"/>
  <c r="I34" i="54"/>
  <c r="H34" i="54"/>
  <c r="K33" i="54"/>
  <c r="J33" i="54"/>
  <c r="I33" i="54"/>
  <c r="H33" i="54"/>
  <c r="K32" i="54"/>
  <c r="J32" i="54"/>
  <c r="I32" i="54"/>
  <c r="H32" i="54"/>
  <c r="K31" i="54"/>
  <c r="J31" i="54"/>
  <c r="I31" i="54"/>
  <c r="H31" i="54"/>
  <c r="K30" i="54"/>
  <c r="J30" i="54"/>
  <c r="I30" i="54"/>
  <c r="H30" i="54"/>
  <c r="K29" i="54"/>
  <c r="J29" i="54"/>
  <c r="I29" i="54"/>
  <c r="H29" i="54"/>
  <c r="K28" i="54"/>
  <c r="J28" i="54"/>
  <c r="I28" i="54"/>
  <c r="H28" i="54"/>
  <c r="K27" i="54"/>
  <c r="J27" i="54"/>
  <c r="I27" i="54"/>
  <c r="H27" i="54"/>
  <c r="K26" i="54"/>
  <c r="J26" i="54"/>
  <c r="I26" i="54"/>
  <c r="H26" i="54"/>
  <c r="K25" i="54"/>
  <c r="J25" i="54"/>
  <c r="I25" i="54"/>
  <c r="H25" i="54"/>
  <c r="K24" i="54"/>
  <c r="J24" i="54"/>
  <c r="I24" i="54"/>
  <c r="H24" i="54"/>
  <c r="K23" i="54"/>
  <c r="J23" i="54"/>
  <c r="I23" i="54"/>
  <c r="H23" i="54"/>
  <c r="K22" i="54"/>
  <c r="J22" i="54"/>
  <c r="I22" i="54"/>
  <c r="H22" i="54"/>
  <c r="K21" i="54"/>
  <c r="J21" i="54"/>
  <c r="I21" i="54"/>
  <c r="H21" i="54"/>
  <c r="K20" i="54"/>
  <c r="J20" i="54"/>
  <c r="I20" i="54"/>
  <c r="H20" i="54"/>
  <c r="K19" i="54"/>
  <c r="J19" i="54"/>
  <c r="I19" i="54"/>
  <c r="H19" i="54"/>
  <c r="K18" i="54"/>
  <c r="J18" i="54"/>
  <c r="I18" i="54"/>
  <c r="H18" i="54"/>
  <c r="K17" i="54"/>
  <c r="J17" i="54"/>
  <c r="I17" i="54"/>
  <c r="H17" i="54"/>
  <c r="K16" i="54"/>
  <c r="J16" i="54"/>
  <c r="I16" i="54"/>
  <c r="H16" i="54"/>
  <c r="K15" i="54"/>
  <c r="J15" i="54"/>
  <c r="I15" i="54"/>
  <c r="H15" i="54"/>
  <c r="K14" i="54"/>
  <c r="J14" i="54"/>
  <c r="I14" i="54"/>
  <c r="H14" i="54"/>
  <c r="K13" i="54"/>
  <c r="J13" i="54"/>
  <c r="I13" i="54"/>
  <c r="H13" i="54"/>
  <c r="K12" i="54"/>
  <c r="J12" i="54"/>
  <c r="I12" i="54"/>
  <c r="H12" i="54"/>
  <c r="K11" i="54"/>
  <c r="J11" i="54"/>
  <c r="I11" i="54"/>
  <c r="H11" i="54"/>
  <c r="K10" i="54"/>
  <c r="J10" i="54"/>
  <c r="I10" i="54"/>
  <c r="H10" i="54"/>
  <c r="K9" i="54"/>
  <c r="J9" i="54"/>
  <c r="I9" i="54"/>
  <c r="H9" i="54"/>
  <c r="K8" i="54"/>
  <c r="J8" i="54"/>
  <c r="I8" i="54"/>
  <c r="H8" i="54"/>
  <c r="K7" i="54"/>
  <c r="J7" i="54"/>
  <c r="I7" i="54"/>
  <c r="H7" i="54"/>
  <c r="K6" i="54"/>
  <c r="J6" i="54"/>
  <c r="I6" i="54"/>
  <c r="H6" i="54"/>
  <c r="K5" i="54"/>
  <c r="J5" i="54"/>
  <c r="I5" i="54"/>
  <c r="H5" i="54"/>
  <c r="H2" i="54" s="1"/>
  <c r="K4" i="54"/>
  <c r="K2" i="54" s="1"/>
  <c r="J4" i="54"/>
  <c r="I4" i="54"/>
  <c r="I2" i="54" s="1"/>
  <c r="H4" i="54"/>
  <c r="J2" i="54"/>
  <c r="C1" i="54"/>
  <c r="H6" i="33"/>
  <c r="F6" i="33"/>
  <c r="G8" i="33"/>
  <c r="F8" i="33"/>
  <c r="M5" i="33"/>
  <c r="I5" i="33"/>
  <c r="I8" i="33"/>
  <c r="L5" i="33"/>
  <c r="E6" i="33"/>
  <c r="I6" i="33"/>
  <c r="K5" i="33"/>
  <c r="L6" i="33"/>
  <c r="G6" i="33"/>
  <c r="G5" i="33"/>
  <c r="M6" i="33"/>
  <c r="J6" i="33"/>
  <c r="K8" i="33"/>
  <c r="K6" i="33"/>
  <c r="M8" i="33"/>
  <c r="J5" i="33"/>
  <c r="H5" i="33"/>
  <c r="J8" i="33"/>
  <c r="L8" i="33"/>
  <c r="E8" i="33"/>
  <c r="H8" i="33"/>
  <c r="F5" i="33"/>
  <c r="E5" i="33"/>
  <c r="AL13" i="3" l="1"/>
  <c r="AM13" i="3" s="1"/>
  <c r="M4" i="48"/>
  <c r="C2" i="54"/>
  <c r="L9" i="53"/>
  <c r="F66" i="54"/>
  <c r="F65" i="54"/>
  <c r="F64" i="54"/>
  <c r="F63" i="54"/>
  <c r="F62" i="54"/>
  <c r="F61" i="54"/>
  <c r="F60" i="54"/>
  <c r="F59" i="54"/>
  <c r="F58" i="54"/>
  <c r="F57" i="54"/>
  <c r="F56" i="54"/>
  <c r="F55" i="54"/>
  <c r="F54" i="54"/>
  <c r="F53" i="54"/>
  <c r="F52" i="54"/>
  <c r="F51" i="54"/>
  <c r="F50" i="54"/>
  <c r="F49" i="54"/>
  <c r="F48" i="54"/>
  <c r="F47" i="54"/>
  <c r="F46" i="54"/>
  <c r="F45" i="54"/>
  <c r="F44" i="54"/>
  <c r="F43" i="54"/>
  <c r="F42" i="54"/>
  <c r="F41" i="54"/>
  <c r="F40" i="54"/>
  <c r="F39" i="54"/>
  <c r="F38" i="54"/>
  <c r="F37" i="54"/>
  <c r="F36" i="54"/>
  <c r="F35" i="54"/>
  <c r="F34" i="54"/>
  <c r="F33" i="54"/>
  <c r="F32" i="54"/>
  <c r="F31" i="54"/>
  <c r="F30" i="54"/>
  <c r="F29" i="54"/>
  <c r="F28" i="54"/>
  <c r="F27" i="54"/>
  <c r="F26" i="54"/>
  <c r="F25" i="54"/>
  <c r="F24" i="54"/>
  <c r="F23" i="54"/>
  <c r="F22" i="54"/>
  <c r="F21" i="54"/>
  <c r="F20" i="54"/>
  <c r="F19" i="54"/>
  <c r="F18" i="54"/>
  <c r="F17" i="54"/>
  <c r="F16" i="54"/>
  <c r="F15" i="54"/>
  <c r="F14" i="54"/>
  <c r="F13" i="54"/>
  <c r="F12" i="54"/>
  <c r="F11" i="54"/>
  <c r="F10" i="54"/>
  <c r="F9" i="54"/>
  <c r="F8" i="54"/>
  <c r="F7" i="54"/>
  <c r="F6" i="54"/>
  <c r="F5" i="54"/>
  <c r="A5" i="54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B72" i="54"/>
  <c r="B74" i="54"/>
  <c r="B70" i="54"/>
  <c r="B76" i="54"/>
  <c r="B78" i="54"/>
  <c r="B80" i="54"/>
  <c r="B82" i="54"/>
  <c r="B84" i="54"/>
  <c r="B86" i="54"/>
  <c r="B88" i="54"/>
  <c r="B90" i="54"/>
  <c r="B92" i="54"/>
  <c r="B94" i="54"/>
  <c r="B96" i="54"/>
  <c r="B98" i="54"/>
  <c r="B100" i="54"/>
  <c r="B102" i="54"/>
  <c r="B104" i="54"/>
  <c r="B106" i="54"/>
  <c r="B108" i="54"/>
  <c r="B110" i="54"/>
  <c r="B112" i="54"/>
  <c r="B114" i="54"/>
  <c r="B116" i="54"/>
  <c r="B118" i="54"/>
  <c r="B120" i="54"/>
  <c r="B122" i="54"/>
  <c r="B124" i="54"/>
  <c r="B126" i="54"/>
  <c r="B128" i="54"/>
  <c r="B132" i="54"/>
  <c r="B130" i="54"/>
  <c r="B134" i="54"/>
  <c r="B137" i="54"/>
  <c r="B141" i="54"/>
  <c r="B143" i="54"/>
  <c r="B139" i="54"/>
  <c r="B145" i="54"/>
  <c r="B147" i="54"/>
  <c r="B149" i="54"/>
  <c r="B151" i="54"/>
  <c r="B153" i="54"/>
  <c r="B155" i="54"/>
  <c r="B157" i="54"/>
  <c r="B159" i="54"/>
  <c r="B161" i="54"/>
  <c r="B163" i="54"/>
  <c r="B165" i="54"/>
  <c r="B167" i="54"/>
  <c r="B169" i="54"/>
  <c r="B171" i="54"/>
  <c r="B173" i="54"/>
  <c r="B175" i="54"/>
  <c r="B177" i="54"/>
  <c r="B191" i="54"/>
  <c r="B181" i="54"/>
  <c r="B179" i="54"/>
  <c r="B185" i="54"/>
  <c r="B187" i="54"/>
  <c r="B183" i="54"/>
  <c r="B189" i="54"/>
  <c r="B193" i="54"/>
  <c r="B73" i="54"/>
  <c r="B75" i="54"/>
  <c r="B71" i="54"/>
  <c r="B77" i="54"/>
  <c r="B79" i="54"/>
  <c r="B81" i="54"/>
  <c r="B83" i="54"/>
  <c r="B85" i="54"/>
  <c r="B87" i="54"/>
  <c r="B89" i="54"/>
  <c r="B91" i="54"/>
  <c r="B93" i="54"/>
  <c r="B95" i="54"/>
  <c r="B97" i="54"/>
  <c r="B99" i="54"/>
  <c r="B101" i="54"/>
  <c r="B103" i="54"/>
  <c r="B105" i="54"/>
  <c r="B107" i="54"/>
  <c r="B109" i="54"/>
  <c r="B111" i="54"/>
  <c r="B113" i="54"/>
  <c r="B115" i="54"/>
  <c r="B117" i="54"/>
  <c r="B119" i="54"/>
  <c r="B121" i="54"/>
  <c r="B123" i="54"/>
  <c r="B125" i="54"/>
  <c r="B127" i="54"/>
  <c r="B129" i="54"/>
  <c r="B133" i="54"/>
  <c r="B131" i="54"/>
  <c r="B135" i="54"/>
  <c r="B136" i="54"/>
  <c r="B138" i="54"/>
  <c r="B142" i="54"/>
  <c r="B144" i="54"/>
  <c r="B140" i="54"/>
  <c r="B146" i="54"/>
  <c r="B148" i="54"/>
  <c r="B150" i="54"/>
  <c r="B152" i="54"/>
  <c r="B154" i="54"/>
  <c r="B156" i="54"/>
  <c r="B158" i="54"/>
  <c r="B160" i="54"/>
  <c r="B162" i="54"/>
  <c r="B164" i="54"/>
  <c r="B166" i="54"/>
  <c r="B168" i="54"/>
  <c r="B170" i="54"/>
  <c r="B172" i="54"/>
  <c r="B174" i="54"/>
  <c r="B176" i="54"/>
  <c r="B178" i="54"/>
  <c r="B182" i="54"/>
  <c r="B180" i="54"/>
  <c r="B186" i="54"/>
  <c r="B188" i="54"/>
  <c r="B184" i="54"/>
  <c r="B190" i="54"/>
  <c r="B192" i="54"/>
  <c r="B194" i="54"/>
  <c r="K2" i="48"/>
  <c r="C96" i="53"/>
  <c r="C95" i="53"/>
  <c r="C94" i="53"/>
  <c r="C93" i="53"/>
  <c r="C92" i="53"/>
  <c r="C91" i="53"/>
  <c r="C90" i="53"/>
  <c r="C89" i="53"/>
  <c r="C88" i="53"/>
  <c r="C87" i="53"/>
  <c r="C86" i="53"/>
  <c r="C85" i="53"/>
  <c r="C84" i="53"/>
  <c r="C83" i="53"/>
  <c r="C82" i="53"/>
  <c r="C81" i="53"/>
  <c r="C80" i="53"/>
  <c r="C79" i="53"/>
  <c r="C78" i="53"/>
  <c r="C77" i="53"/>
  <c r="C76" i="53"/>
  <c r="C75" i="53"/>
  <c r="C74" i="53"/>
  <c r="C73" i="53"/>
  <c r="C72" i="53"/>
  <c r="C71" i="53"/>
  <c r="C70" i="53"/>
  <c r="C69" i="53"/>
  <c r="C68" i="53"/>
  <c r="D68" i="53" a="1"/>
  <c r="D68" i="53" s="1"/>
  <c r="L65" i="53"/>
  <c r="I65" i="53"/>
  <c r="I64" i="53"/>
  <c r="I63" i="53"/>
  <c r="I62" i="53"/>
  <c r="I61" i="53"/>
  <c r="I60" i="53"/>
  <c r="I59" i="53"/>
  <c r="I58" i="53"/>
  <c r="I57" i="53"/>
  <c r="I56" i="53"/>
  <c r="I55" i="53"/>
  <c r="I54" i="53"/>
  <c r="I53" i="53"/>
  <c r="I52" i="53"/>
  <c r="I51" i="53"/>
  <c r="I50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L35" i="53"/>
  <c r="I35" i="53"/>
  <c r="O34" i="53"/>
  <c r="I34" i="53"/>
  <c r="I33" i="53"/>
  <c r="I32" i="53"/>
  <c r="I31" i="53"/>
  <c r="I30" i="53"/>
  <c r="I29" i="53"/>
  <c r="L28" i="53"/>
  <c r="I28" i="53"/>
  <c r="I27" i="53"/>
  <c r="I26" i="53"/>
  <c r="L25" i="53"/>
  <c r="I25" i="53"/>
  <c r="I24" i="53"/>
  <c r="L23" i="53"/>
  <c r="I23" i="53"/>
  <c r="L22" i="53"/>
  <c r="I22" i="53"/>
  <c r="I21" i="53"/>
  <c r="I20" i="53"/>
  <c r="I19" i="53"/>
  <c r="I18" i="53"/>
  <c r="I17" i="53"/>
  <c r="I16" i="53"/>
  <c r="I15" i="53"/>
  <c r="L14" i="53"/>
  <c r="I14" i="53"/>
  <c r="I13" i="53"/>
  <c r="I12" i="53"/>
  <c r="I11" i="53"/>
  <c r="I10" i="53"/>
  <c r="I9" i="53"/>
  <c r="I8" i="53"/>
  <c r="I7" i="53"/>
  <c r="O6" i="53"/>
  <c r="I6" i="53"/>
  <c r="I5" i="53"/>
  <c r="O4" i="53"/>
  <c r="I4" i="53"/>
  <c r="O3" i="53"/>
  <c r="I3" i="53"/>
  <c r="O2" i="53"/>
  <c r="O23" i="53" s="1"/>
  <c r="O38" i="53" s="1"/>
  <c r="D5" i="33"/>
  <c r="D8" i="33"/>
  <c r="D6" i="33"/>
  <c r="K3" i="48" l="1"/>
  <c r="F4" i="54"/>
  <c r="E2" i="54"/>
  <c r="B4" i="54" a="1"/>
  <c r="I39" i="52"/>
  <c r="I38" i="52"/>
  <c r="I37" i="52"/>
  <c r="I36" i="52"/>
  <c r="I35" i="52"/>
  <c r="I34" i="52"/>
  <c r="J34" i="52" s="1"/>
  <c r="L34" i="52" s="1"/>
  <c r="M34" i="52" s="1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I18" i="52"/>
  <c r="I17" i="52"/>
  <c r="I16" i="52"/>
  <c r="I15" i="52"/>
  <c r="I14" i="52"/>
  <c r="I13" i="52"/>
  <c r="I12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J27" i="52"/>
  <c r="L27" i="52" s="1"/>
  <c r="M27" i="52" s="1"/>
  <c r="J33" i="52"/>
  <c r="L33" i="52" s="1"/>
  <c r="M33" i="52" s="1"/>
  <c r="J17" i="52"/>
  <c r="L17" i="52" s="1"/>
  <c r="M17" i="52" s="1"/>
  <c r="N39" i="52"/>
  <c r="O39" i="52" s="1"/>
  <c r="O38" i="52"/>
  <c r="N38" i="52"/>
  <c r="O37" i="52"/>
  <c r="N37" i="52"/>
  <c r="O36" i="52"/>
  <c r="N36" i="52"/>
  <c r="O35" i="52"/>
  <c r="N35" i="52"/>
  <c r="N34" i="52"/>
  <c r="O34" i="52" s="1"/>
  <c r="O33" i="52"/>
  <c r="N33" i="52"/>
  <c r="N32" i="52"/>
  <c r="O32" i="52" s="1"/>
  <c r="N31" i="52"/>
  <c r="O31" i="52" s="1"/>
  <c r="N30" i="52"/>
  <c r="O30" i="52" s="1"/>
  <c r="O29" i="52"/>
  <c r="N29" i="52"/>
  <c r="N28" i="52"/>
  <c r="O28" i="52" s="1"/>
  <c r="J28" i="52"/>
  <c r="L28" i="52" s="1"/>
  <c r="M28" i="52" s="1"/>
  <c r="O27" i="52"/>
  <c r="N27" i="52"/>
  <c r="N26" i="52"/>
  <c r="O26" i="52" s="1"/>
  <c r="O25" i="52"/>
  <c r="N25" i="52"/>
  <c r="N24" i="52"/>
  <c r="O24" i="52" s="1"/>
  <c r="O23" i="52"/>
  <c r="N23" i="52"/>
  <c r="N22" i="52"/>
  <c r="O22" i="52" s="1"/>
  <c r="O21" i="52"/>
  <c r="N21" i="52"/>
  <c r="O20" i="52"/>
  <c r="N20" i="52"/>
  <c r="O19" i="52"/>
  <c r="N19" i="52"/>
  <c r="N18" i="52"/>
  <c r="O18" i="52" s="1"/>
  <c r="N17" i="52"/>
  <c r="O17" i="52" s="1"/>
  <c r="N16" i="52"/>
  <c r="O16" i="52" s="1"/>
  <c r="O15" i="52"/>
  <c r="N15" i="52"/>
  <c r="N14" i="52"/>
  <c r="O14" i="52" s="1"/>
  <c r="O13" i="52"/>
  <c r="N13" i="52"/>
  <c r="N12" i="52"/>
  <c r="O12" i="52" s="1"/>
  <c r="J12" i="52"/>
  <c r="H9" i="52"/>
  <c r="G9" i="52"/>
  <c r="H8" i="52"/>
  <c r="G8" i="52"/>
  <c r="F8" i="52"/>
  <c r="F9" i="52" s="1"/>
  <c r="H6" i="52"/>
  <c r="H7" i="52" s="1"/>
  <c r="F6" i="52"/>
  <c r="F7" i="52" s="1"/>
  <c r="I5" i="52"/>
  <c r="H5" i="52"/>
  <c r="G5" i="52"/>
  <c r="F5" i="52"/>
  <c r="E5" i="52"/>
  <c r="E8" i="52" s="1"/>
  <c r="E9" i="52" s="1"/>
  <c r="D5" i="52"/>
  <c r="D8" i="52" s="1"/>
  <c r="D9" i="52" s="1"/>
  <c r="C5" i="52"/>
  <c r="C8" i="52" s="1"/>
  <c r="C9" i="52" s="1"/>
  <c r="H4" i="52"/>
  <c r="G4" i="52"/>
  <c r="G6" i="52" s="1"/>
  <c r="G7" i="52" s="1"/>
  <c r="F4" i="52"/>
  <c r="E4" i="52"/>
  <c r="E6" i="52" s="1"/>
  <c r="E7" i="52" s="1"/>
  <c r="D4" i="52"/>
  <c r="D6" i="52" s="1"/>
  <c r="D7" i="52" s="1"/>
  <c r="C4" i="52"/>
  <c r="C6" i="52" s="1"/>
  <c r="C7" i="52" s="1"/>
  <c r="I3" i="52"/>
  <c r="I8" i="52" s="1"/>
  <c r="I9" i="52" s="1"/>
  <c r="H3" i="52"/>
  <c r="G3" i="52"/>
  <c r="F3" i="52"/>
  <c r="E3" i="52"/>
  <c r="D3" i="52"/>
  <c r="C3" i="52"/>
  <c r="J2845" i="51"/>
  <c r="J2844" i="51"/>
  <c r="J2843" i="51"/>
  <c r="J2842" i="51"/>
  <c r="J2841" i="51"/>
  <c r="J2840" i="51"/>
  <c r="J2839" i="51"/>
  <c r="J2838" i="51"/>
  <c r="J2837" i="51"/>
  <c r="J2836" i="51"/>
  <c r="J2835" i="51"/>
  <c r="J2834" i="51"/>
  <c r="J2833" i="51"/>
  <c r="J2832" i="51"/>
  <c r="J2831" i="51"/>
  <c r="J2830" i="51"/>
  <c r="J2829" i="51"/>
  <c r="J2828" i="51"/>
  <c r="J2827" i="51"/>
  <c r="J2826" i="51"/>
  <c r="J2825" i="51"/>
  <c r="J2824" i="51"/>
  <c r="J2823" i="51"/>
  <c r="J2822" i="51"/>
  <c r="J2821" i="51"/>
  <c r="J2820" i="51"/>
  <c r="J2819" i="51"/>
  <c r="J2818" i="51"/>
  <c r="J2817" i="51"/>
  <c r="J2816" i="51"/>
  <c r="J2815" i="51"/>
  <c r="J2814" i="51"/>
  <c r="J2813" i="51"/>
  <c r="J2812" i="51"/>
  <c r="J2811" i="51"/>
  <c r="J2810" i="51"/>
  <c r="J2809" i="51"/>
  <c r="J2808" i="51"/>
  <c r="J2807" i="51"/>
  <c r="J2806" i="51"/>
  <c r="J2805" i="51"/>
  <c r="J2804" i="51"/>
  <c r="J2803" i="51"/>
  <c r="J2802" i="51"/>
  <c r="J2801" i="51"/>
  <c r="J2800" i="51"/>
  <c r="J2799" i="51"/>
  <c r="J2798" i="51"/>
  <c r="J2797" i="51"/>
  <c r="J2796" i="51"/>
  <c r="J2795" i="51"/>
  <c r="J2794" i="51"/>
  <c r="J2793" i="51"/>
  <c r="J2792" i="51"/>
  <c r="J2791" i="51"/>
  <c r="J2790" i="51"/>
  <c r="J2789" i="51"/>
  <c r="J2788" i="51"/>
  <c r="J2787" i="51"/>
  <c r="J2786" i="51"/>
  <c r="J2785" i="51"/>
  <c r="J2784" i="51"/>
  <c r="J2783" i="51"/>
  <c r="J2782" i="51"/>
  <c r="J2781" i="51"/>
  <c r="J2780" i="51"/>
  <c r="J2779" i="51"/>
  <c r="J2778" i="51"/>
  <c r="J2777" i="51"/>
  <c r="J2776" i="51"/>
  <c r="J2775" i="51"/>
  <c r="J2774" i="51"/>
  <c r="J2773" i="51"/>
  <c r="J2772" i="51"/>
  <c r="J2771" i="51"/>
  <c r="J2770" i="51"/>
  <c r="J2769" i="51"/>
  <c r="J2768" i="51"/>
  <c r="J2767" i="51"/>
  <c r="J2766" i="51"/>
  <c r="J2765" i="51"/>
  <c r="J2764" i="51"/>
  <c r="J2763" i="51"/>
  <c r="J2762" i="51"/>
  <c r="J2761" i="51"/>
  <c r="J2760" i="51"/>
  <c r="J2759" i="51"/>
  <c r="J2758" i="51"/>
  <c r="J2757" i="51"/>
  <c r="J2756" i="51"/>
  <c r="J2755" i="51"/>
  <c r="J2754" i="51"/>
  <c r="J2753" i="51"/>
  <c r="J2752" i="51"/>
  <c r="J2751" i="51"/>
  <c r="J2750" i="51"/>
  <c r="J2749" i="51"/>
  <c r="J2748" i="51"/>
  <c r="J2747" i="51"/>
  <c r="J2746" i="51"/>
  <c r="J2745" i="51"/>
  <c r="J2744" i="51"/>
  <c r="J2743" i="51"/>
  <c r="J2742" i="51"/>
  <c r="J2741" i="51"/>
  <c r="J2740" i="51"/>
  <c r="J2739" i="51"/>
  <c r="J2738" i="51"/>
  <c r="J2737" i="51"/>
  <c r="J2736" i="51"/>
  <c r="J2735" i="51"/>
  <c r="J2734" i="51"/>
  <c r="J2733" i="51"/>
  <c r="J2732" i="51"/>
  <c r="J2731" i="51"/>
  <c r="J2730" i="51"/>
  <c r="J2729" i="51"/>
  <c r="J2728" i="51"/>
  <c r="J2727" i="51"/>
  <c r="J2726" i="51"/>
  <c r="J2725" i="51"/>
  <c r="J2724" i="51"/>
  <c r="J2723" i="51"/>
  <c r="J2722" i="51"/>
  <c r="J2721" i="51"/>
  <c r="J2720" i="51"/>
  <c r="J2719" i="51"/>
  <c r="J2718" i="51"/>
  <c r="J2717" i="51"/>
  <c r="J2716" i="51"/>
  <c r="J2715" i="51"/>
  <c r="J2714" i="51"/>
  <c r="J2713" i="51"/>
  <c r="J2712" i="51"/>
  <c r="J2711" i="51"/>
  <c r="J2710" i="51"/>
  <c r="J2709" i="51"/>
  <c r="J2708" i="51"/>
  <c r="J2707" i="51"/>
  <c r="J2706" i="51"/>
  <c r="J2705" i="51"/>
  <c r="J2704" i="51"/>
  <c r="J2703" i="51"/>
  <c r="J2702" i="51"/>
  <c r="J2701" i="51"/>
  <c r="J2700" i="51"/>
  <c r="J2699" i="51"/>
  <c r="J2698" i="51"/>
  <c r="J2697" i="51"/>
  <c r="J2696" i="51"/>
  <c r="J2695" i="51"/>
  <c r="J2694" i="51"/>
  <c r="J2693" i="51"/>
  <c r="J2692" i="51"/>
  <c r="J2691" i="51"/>
  <c r="J2690" i="51"/>
  <c r="J2689" i="51"/>
  <c r="J2688" i="51"/>
  <c r="J2687" i="51"/>
  <c r="J2686" i="51"/>
  <c r="J2685" i="51"/>
  <c r="J2684" i="51"/>
  <c r="J2683" i="51"/>
  <c r="J2682" i="51"/>
  <c r="J2681" i="51"/>
  <c r="J2680" i="51"/>
  <c r="J2679" i="51"/>
  <c r="J2678" i="51"/>
  <c r="J2677" i="51"/>
  <c r="J2676" i="51"/>
  <c r="J2675" i="51"/>
  <c r="J2674" i="51"/>
  <c r="J2673" i="51"/>
  <c r="J2672" i="51"/>
  <c r="J2671" i="51"/>
  <c r="J2670" i="51"/>
  <c r="J2669" i="51"/>
  <c r="J2668" i="51"/>
  <c r="J2667" i="51"/>
  <c r="J2666" i="51"/>
  <c r="J2665" i="51"/>
  <c r="J2664" i="51"/>
  <c r="J2663" i="51"/>
  <c r="J2662" i="51"/>
  <c r="J2661" i="51"/>
  <c r="J2660" i="51"/>
  <c r="J2659" i="51"/>
  <c r="J2658" i="51"/>
  <c r="J2657" i="51"/>
  <c r="J2656" i="51"/>
  <c r="J2655" i="51"/>
  <c r="J2654" i="51"/>
  <c r="J2653" i="51"/>
  <c r="J2652" i="51"/>
  <c r="J2651" i="51"/>
  <c r="J2650" i="51"/>
  <c r="J2649" i="51"/>
  <c r="J2648" i="51"/>
  <c r="J2647" i="51"/>
  <c r="J2646" i="51"/>
  <c r="J2645" i="51"/>
  <c r="J2644" i="51"/>
  <c r="J2643" i="51"/>
  <c r="J2642" i="51"/>
  <c r="J2641" i="51"/>
  <c r="J2640" i="51"/>
  <c r="J2639" i="51"/>
  <c r="J2638" i="51"/>
  <c r="J2637" i="51"/>
  <c r="J2636" i="51"/>
  <c r="J2635" i="51"/>
  <c r="J2634" i="51"/>
  <c r="J2633" i="51"/>
  <c r="J2632" i="51"/>
  <c r="J2631" i="51"/>
  <c r="J2630" i="51"/>
  <c r="J2629" i="51"/>
  <c r="J2628" i="51"/>
  <c r="J2627" i="51"/>
  <c r="J2626" i="51"/>
  <c r="J2625" i="51"/>
  <c r="J2624" i="51"/>
  <c r="J2623" i="51"/>
  <c r="J2622" i="51"/>
  <c r="J2621" i="51"/>
  <c r="J2620" i="51"/>
  <c r="J2619" i="51"/>
  <c r="J2618" i="51"/>
  <c r="J2617" i="51"/>
  <c r="J2616" i="51"/>
  <c r="J2615" i="51"/>
  <c r="J2614" i="51"/>
  <c r="J2613" i="51"/>
  <c r="J2612" i="51"/>
  <c r="J2611" i="51"/>
  <c r="J2610" i="51"/>
  <c r="J2609" i="51"/>
  <c r="J2608" i="51"/>
  <c r="J2607" i="51"/>
  <c r="J2606" i="51"/>
  <c r="J2605" i="51"/>
  <c r="J2604" i="51"/>
  <c r="J2603" i="51"/>
  <c r="J2602" i="51"/>
  <c r="J2601" i="51"/>
  <c r="J2600" i="51"/>
  <c r="J2599" i="51"/>
  <c r="J2598" i="51"/>
  <c r="J2597" i="51"/>
  <c r="J2596" i="51"/>
  <c r="J2595" i="51"/>
  <c r="J2594" i="51"/>
  <c r="J2593" i="51"/>
  <c r="J2592" i="51"/>
  <c r="J2591" i="51"/>
  <c r="J2590" i="51"/>
  <c r="J2589" i="51"/>
  <c r="J2588" i="51"/>
  <c r="J2587" i="51"/>
  <c r="J2586" i="51"/>
  <c r="J2585" i="51"/>
  <c r="J2584" i="51"/>
  <c r="J2583" i="51"/>
  <c r="J2582" i="51"/>
  <c r="J2581" i="51"/>
  <c r="J2580" i="51"/>
  <c r="J2579" i="51"/>
  <c r="J2578" i="51"/>
  <c r="J2577" i="51"/>
  <c r="J2576" i="51"/>
  <c r="J2575" i="51"/>
  <c r="J2574" i="51"/>
  <c r="J2573" i="51"/>
  <c r="J2572" i="51"/>
  <c r="J2571" i="51"/>
  <c r="J2570" i="51"/>
  <c r="J2569" i="51"/>
  <c r="J2568" i="51"/>
  <c r="J2567" i="51"/>
  <c r="J2566" i="51"/>
  <c r="J2565" i="51"/>
  <c r="J2564" i="51"/>
  <c r="J2563" i="51"/>
  <c r="J2562" i="51"/>
  <c r="J2561" i="51"/>
  <c r="J2560" i="51"/>
  <c r="J2559" i="51"/>
  <c r="J2558" i="51"/>
  <c r="J2557" i="51"/>
  <c r="J2556" i="51"/>
  <c r="J2555" i="51"/>
  <c r="J2554" i="51"/>
  <c r="J2553" i="51"/>
  <c r="J2552" i="51"/>
  <c r="J2551" i="51"/>
  <c r="J2550" i="51"/>
  <c r="J2549" i="51"/>
  <c r="J2548" i="51"/>
  <c r="J2547" i="51"/>
  <c r="J2546" i="51"/>
  <c r="J2545" i="51"/>
  <c r="J2544" i="51"/>
  <c r="J2543" i="51"/>
  <c r="J2542" i="51"/>
  <c r="J2541" i="51"/>
  <c r="J2540" i="51"/>
  <c r="J2539" i="51"/>
  <c r="J2538" i="51"/>
  <c r="J2537" i="51"/>
  <c r="J2536" i="51"/>
  <c r="J2535" i="51"/>
  <c r="J2534" i="51"/>
  <c r="J2533" i="51"/>
  <c r="J2532" i="51"/>
  <c r="J2531" i="51"/>
  <c r="J2530" i="51"/>
  <c r="J2529" i="51"/>
  <c r="J2528" i="51"/>
  <c r="J2527" i="51"/>
  <c r="J2526" i="51"/>
  <c r="J2525" i="51"/>
  <c r="J2524" i="51"/>
  <c r="J2523" i="51"/>
  <c r="J2522" i="51"/>
  <c r="J2521" i="51"/>
  <c r="J2520" i="51"/>
  <c r="J2519" i="51"/>
  <c r="J2518" i="51"/>
  <c r="J2517" i="51"/>
  <c r="J2516" i="51"/>
  <c r="J2515" i="51"/>
  <c r="J2514" i="51"/>
  <c r="J2513" i="51"/>
  <c r="J2512" i="51"/>
  <c r="J2511" i="51"/>
  <c r="J2510" i="51"/>
  <c r="J2509" i="51"/>
  <c r="J2508" i="51"/>
  <c r="J2507" i="51"/>
  <c r="J2506" i="51"/>
  <c r="J2505" i="51"/>
  <c r="J2504" i="51"/>
  <c r="J2503" i="51"/>
  <c r="J2502" i="51"/>
  <c r="J2501" i="51"/>
  <c r="J2500" i="51"/>
  <c r="J2499" i="51"/>
  <c r="J2498" i="51"/>
  <c r="J2497" i="51"/>
  <c r="J2496" i="51"/>
  <c r="J2495" i="51"/>
  <c r="J2494" i="51"/>
  <c r="J2493" i="51"/>
  <c r="J2492" i="51"/>
  <c r="J2491" i="51"/>
  <c r="J2490" i="51"/>
  <c r="J2489" i="51"/>
  <c r="J2488" i="51"/>
  <c r="J2487" i="51"/>
  <c r="J2486" i="51"/>
  <c r="J2485" i="51"/>
  <c r="J2484" i="51"/>
  <c r="J2483" i="51"/>
  <c r="J2482" i="51"/>
  <c r="J2481" i="51"/>
  <c r="J2480" i="51"/>
  <c r="J2479" i="51"/>
  <c r="J2478" i="51"/>
  <c r="J2477" i="51"/>
  <c r="J2476" i="51"/>
  <c r="J2475" i="51"/>
  <c r="J2474" i="51"/>
  <c r="J2473" i="51"/>
  <c r="J2472" i="51"/>
  <c r="J2471" i="51"/>
  <c r="J2470" i="51"/>
  <c r="J2469" i="51"/>
  <c r="J2468" i="51"/>
  <c r="J2467" i="51"/>
  <c r="J2466" i="51"/>
  <c r="J2465" i="51"/>
  <c r="J2464" i="51"/>
  <c r="J2463" i="51"/>
  <c r="J2462" i="51"/>
  <c r="J2461" i="51"/>
  <c r="J2460" i="51"/>
  <c r="J2459" i="51"/>
  <c r="J2458" i="51"/>
  <c r="J2457" i="51"/>
  <c r="J2456" i="51"/>
  <c r="J2455" i="51"/>
  <c r="J2454" i="51"/>
  <c r="J2453" i="51"/>
  <c r="J2452" i="51"/>
  <c r="J2451" i="51"/>
  <c r="J2450" i="51"/>
  <c r="J2449" i="51"/>
  <c r="J2448" i="51"/>
  <c r="J2447" i="51"/>
  <c r="J2446" i="51"/>
  <c r="J2445" i="51"/>
  <c r="J2444" i="51"/>
  <c r="J2443" i="51"/>
  <c r="J2442" i="51"/>
  <c r="J2441" i="51"/>
  <c r="J2440" i="51"/>
  <c r="J2439" i="51"/>
  <c r="J2438" i="51"/>
  <c r="J2437" i="51"/>
  <c r="J2436" i="51"/>
  <c r="J2435" i="51"/>
  <c r="J2434" i="51"/>
  <c r="J2433" i="51"/>
  <c r="J2432" i="51"/>
  <c r="J2431" i="51"/>
  <c r="J2430" i="51"/>
  <c r="J2429" i="51"/>
  <c r="J2428" i="51"/>
  <c r="J2427" i="51"/>
  <c r="J2426" i="51"/>
  <c r="J2425" i="51"/>
  <c r="J2424" i="51"/>
  <c r="J2423" i="51"/>
  <c r="J2422" i="51"/>
  <c r="J2421" i="51"/>
  <c r="J2420" i="51"/>
  <c r="J2419" i="51"/>
  <c r="J2418" i="51"/>
  <c r="J2417" i="51"/>
  <c r="J2416" i="51"/>
  <c r="J2415" i="51"/>
  <c r="J2414" i="51"/>
  <c r="J2413" i="51"/>
  <c r="J2412" i="51"/>
  <c r="J2411" i="51"/>
  <c r="J2410" i="51"/>
  <c r="J2409" i="51"/>
  <c r="J2408" i="51"/>
  <c r="J2407" i="51"/>
  <c r="J2406" i="51"/>
  <c r="J2405" i="51"/>
  <c r="J2404" i="51"/>
  <c r="J2403" i="51"/>
  <c r="J2402" i="51"/>
  <c r="J2401" i="51"/>
  <c r="J2400" i="51"/>
  <c r="J2399" i="51"/>
  <c r="J2398" i="51"/>
  <c r="J2397" i="51"/>
  <c r="J2396" i="51"/>
  <c r="J2395" i="51"/>
  <c r="J2394" i="51"/>
  <c r="J2393" i="51"/>
  <c r="J2392" i="51"/>
  <c r="J2391" i="51"/>
  <c r="J2390" i="51"/>
  <c r="J2389" i="51"/>
  <c r="J2388" i="51"/>
  <c r="J2387" i="51"/>
  <c r="J2386" i="51"/>
  <c r="J2385" i="51"/>
  <c r="J2384" i="51"/>
  <c r="J2383" i="51"/>
  <c r="J2382" i="51"/>
  <c r="J2381" i="51"/>
  <c r="J2380" i="51"/>
  <c r="J2379" i="51"/>
  <c r="J2378" i="51"/>
  <c r="J2377" i="51"/>
  <c r="J2376" i="51"/>
  <c r="J2375" i="51"/>
  <c r="J2374" i="51"/>
  <c r="J2373" i="51"/>
  <c r="J2372" i="51"/>
  <c r="J2371" i="51"/>
  <c r="J2370" i="51"/>
  <c r="J2369" i="51"/>
  <c r="J2368" i="51"/>
  <c r="J2367" i="51"/>
  <c r="J2366" i="51"/>
  <c r="J2365" i="51"/>
  <c r="J2364" i="51"/>
  <c r="J2363" i="51"/>
  <c r="J2362" i="51"/>
  <c r="J2361" i="51"/>
  <c r="J2360" i="51"/>
  <c r="J2359" i="51"/>
  <c r="J2358" i="51"/>
  <c r="J2357" i="51"/>
  <c r="J2356" i="51"/>
  <c r="J2355" i="51"/>
  <c r="J2354" i="51"/>
  <c r="J2353" i="51"/>
  <c r="J2352" i="51"/>
  <c r="J2351" i="51"/>
  <c r="J2350" i="51"/>
  <c r="J2349" i="51"/>
  <c r="J2348" i="51"/>
  <c r="J2347" i="51"/>
  <c r="J2346" i="51"/>
  <c r="J2345" i="51"/>
  <c r="J2344" i="51"/>
  <c r="J2343" i="51"/>
  <c r="J2342" i="51"/>
  <c r="J2341" i="51"/>
  <c r="J2340" i="51"/>
  <c r="J2339" i="51"/>
  <c r="J2338" i="51"/>
  <c r="J2337" i="51"/>
  <c r="J2336" i="51"/>
  <c r="J2335" i="51"/>
  <c r="J2334" i="51"/>
  <c r="J2333" i="51"/>
  <c r="J2332" i="51"/>
  <c r="J2331" i="51"/>
  <c r="J2330" i="51"/>
  <c r="J2329" i="51"/>
  <c r="J2328" i="51"/>
  <c r="J2327" i="51"/>
  <c r="J2326" i="51"/>
  <c r="J2325" i="51"/>
  <c r="J2324" i="51"/>
  <c r="J2323" i="51"/>
  <c r="J2322" i="51"/>
  <c r="J2321" i="51"/>
  <c r="J2320" i="51"/>
  <c r="J2319" i="51"/>
  <c r="J2318" i="51"/>
  <c r="J2317" i="51"/>
  <c r="J2316" i="51"/>
  <c r="J2315" i="51"/>
  <c r="J2314" i="51"/>
  <c r="J2313" i="51"/>
  <c r="J2312" i="51"/>
  <c r="J2311" i="51"/>
  <c r="J2310" i="51"/>
  <c r="J2309" i="51"/>
  <c r="J2308" i="51"/>
  <c r="J2307" i="51"/>
  <c r="J2306" i="51"/>
  <c r="J2305" i="51"/>
  <c r="J2304" i="51"/>
  <c r="J2303" i="51"/>
  <c r="J2302" i="51"/>
  <c r="J2301" i="51"/>
  <c r="J2300" i="51"/>
  <c r="J2299" i="51"/>
  <c r="J2298" i="51"/>
  <c r="J2297" i="51"/>
  <c r="J2296" i="51"/>
  <c r="J2295" i="51"/>
  <c r="J2294" i="51"/>
  <c r="J2293" i="51"/>
  <c r="J2292" i="51"/>
  <c r="J2291" i="51"/>
  <c r="J2290" i="51"/>
  <c r="J2289" i="51"/>
  <c r="J2288" i="51"/>
  <c r="J2287" i="51"/>
  <c r="J2286" i="51"/>
  <c r="J2285" i="51"/>
  <c r="J2284" i="51"/>
  <c r="J2283" i="51"/>
  <c r="J2282" i="51"/>
  <c r="J2281" i="51"/>
  <c r="J2280" i="51"/>
  <c r="J2279" i="51"/>
  <c r="J2278" i="51"/>
  <c r="J2277" i="51"/>
  <c r="J2276" i="51"/>
  <c r="J2275" i="51"/>
  <c r="J2274" i="51"/>
  <c r="J2273" i="51"/>
  <c r="J2272" i="51"/>
  <c r="J2271" i="51"/>
  <c r="J2270" i="51"/>
  <c r="J2269" i="51"/>
  <c r="J2268" i="51"/>
  <c r="J2267" i="51"/>
  <c r="J2266" i="51"/>
  <c r="J2265" i="51"/>
  <c r="J2264" i="51"/>
  <c r="J2263" i="51"/>
  <c r="J2262" i="51"/>
  <c r="J2261" i="51"/>
  <c r="J2260" i="51"/>
  <c r="J2259" i="51"/>
  <c r="J2258" i="51"/>
  <c r="J2257" i="51"/>
  <c r="J2256" i="51"/>
  <c r="J2255" i="51"/>
  <c r="J2254" i="51"/>
  <c r="J2253" i="51"/>
  <c r="J2252" i="51"/>
  <c r="J2251" i="51"/>
  <c r="J2250" i="51"/>
  <c r="J2249" i="51"/>
  <c r="J2248" i="51"/>
  <c r="J2247" i="51"/>
  <c r="J2246" i="51"/>
  <c r="J2245" i="51"/>
  <c r="J2244" i="51"/>
  <c r="J2243" i="51"/>
  <c r="J2242" i="51"/>
  <c r="J2241" i="51"/>
  <c r="J2240" i="51"/>
  <c r="J2239" i="51"/>
  <c r="J2238" i="51"/>
  <c r="J2237" i="51"/>
  <c r="J2236" i="51"/>
  <c r="J2235" i="51"/>
  <c r="J2234" i="51"/>
  <c r="J2233" i="51"/>
  <c r="J2232" i="51"/>
  <c r="J2231" i="51"/>
  <c r="J2230" i="51"/>
  <c r="J2229" i="51"/>
  <c r="J2228" i="51"/>
  <c r="J2227" i="51"/>
  <c r="J2226" i="51"/>
  <c r="J2225" i="51"/>
  <c r="J2224" i="51"/>
  <c r="J2223" i="51"/>
  <c r="J2222" i="51"/>
  <c r="J2221" i="51"/>
  <c r="J2220" i="51"/>
  <c r="J2219" i="51"/>
  <c r="J2218" i="51"/>
  <c r="J2217" i="51"/>
  <c r="J2216" i="51"/>
  <c r="J2215" i="51"/>
  <c r="J2214" i="51"/>
  <c r="J2213" i="51"/>
  <c r="J2212" i="51"/>
  <c r="J2211" i="51"/>
  <c r="J2210" i="51"/>
  <c r="J2209" i="51"/>
  <c r="J2208" i="51"/>
  <c r="J2207" i="51"/>
  <c r="J2206" i="51"/>
  <c r="J2205" i="51"/>
  <c r="J2204" i="51"/>
  <c r="J2203" i="51"/>
  <c r="J2202" i="51"/>
  <c r="J2201" i="51"/>
  <c r="J2200" i="51"/>
  <c r="J2199" i="51"/>
  <c r="J2198" i="51"/>
  <c r="J2197" i="51"/>
  <c r="J2196" i="51"/>
  <c r="J2195" i="51"/>
  <c r="J2194" i="51"/>
  <c r="J2193" i="51"/>
  <c r="J2192" i="51"/>
  <c r="J2191" i="51"/>
  <c r="J2190" i="51"/>
  <c r="J2189" i="51"/>
  <c r="J2188" i="51"/>
  <c r="J2187" i="51"/>
  <c r="J2186" i="51"/>
  <c r="J2185" i="51"/>
  <c r="J2184" i="51"/>
  <c r="J2183" i="51"/>
  <c r="J2182" i="51"/>
  <c r="J2181" i="51"/>
  <c r="J2180" i="51"/>
  <c r="J2179" i="51"/>
  <c r="J2178" i="51"/>
  <c r="J2177" i="51"/>
  <c r="J2176" i="51"/>
  <c r="J2175" i="51"/>
  <c r="J2174" i="51"/>
  <c r="J2173" i="51"/>
  <c r="J2172" i="51"/>
  <c r="J2171" i="51"/>
  <c r="J2170" i="51"/>
  <c r="J2169" i="51"/>
  <c r="J2168" i="51"/>
  <c r="J2167" i="51"/>
  <c r="J2166" i="51"/>
  <c r="J2165" i="51"/>
  <c r="J2164" i="51"/>
  <c r="J2163" i="51"/>
  <c r="J2162" i="51"/>
  <c r="J2161" i="51"/>
  <c r="J2160" i="51"/>
  <c r="J2159" i="51"/>
  <c r="J2158" i="51"/>
  <c r="J2157" i="51"/>
  <c r="J2156" i="51"/>
  <c r="J2155" i="51"/>
  <c r="J2154" i="51"/>
  <c r="J2153" i="51"/>
  <c r="J2152" i="51"/>
  <c r="J2151" i="51"/>
  <c r="J2150" i="51"/>
  <c r="J2149" i="51"/>
  <c r="J2148" i="51"/>
  <c r="J2147" i="51"/>
  <c r="J2146" i="51"/>
  <c r="J2145" i="51"/>
  <c r="J2144" i="51"/>
  <c r="J2143" i="51"/>
  <c r="J2142" i="51"/>
  <c r="J2141" i="51"/>
  <c r="J2140" i="51"/>
  <c r="J2139" i="51"/>
  <c r="J2138" i="51"/>
  <c r="J2137" i="51"/>
  <c r="J2136" i="51"/>
  <c r="J2135" i="51"/>
  <c r="J2134" i="51"/>
  <c r="J2133" i="51"/>
  <c r="J2132" i="51"/>
  <c r="J2131" i="51"/>
  <c r="J2130" i="51"/>
  <c r="J2129" i="51"/>
  <c r="J2128" i="51"/>
  <c r="J2127" i="51"/>
  <c r="J2126" i="51"/>
  <c r="J2125" i="51"/>
  <c r="J2124" i="51"/>
  <c r="J2123" i="51"/>
  <c r="J2122" i="51"/>
  <c r="J2121" i="51"/>
  <c r="J2120" i="51"/>
  <c r="J2119" i="51"/>
  <c r="J2118" i="51"/>
  <c r="J2117" i="51"/>
  <c r="J2116" i="51"/>
  <c r="J2115" i="51"/>
  <c r="J2114" i="51"/>
  <c r="J2113" i="51"/>
  <c r="J2112" i="51"/>
  <c r="J2111" i="51"/>
  <c r="J2110" i="51"/>
  <c r="J2109" i="51"/>
  <c r="J2108" i="51"/>
  <c r="J2107" i="51"/>
  <c r="J2106" i="51"/>
  <c r="J2105" i="51"/>
  <c r="J2104" i="51"/>
  <c r="J2103" i="51"/>
  <c r="J2102" i="51"/>
  <c r="J2101" i="51"/>
  <c r="J2100" i="51"/>
  <c r="J2099" i="51"/>
  <c r="J2098" i="51"/>
  <c r="J2097" i="51"/>
  <c r="J2096" i="51"/>
  <c r="J2095" i="51"/>
  <c r="J2094" i="51"/>
  <c r="J2093" i="51"/>
  <c r="J2092" i="51"/>
  <c r="J2091" i="51"/>
  <c r="J2090" i="51"/>
  <c r="J2089" i="51"/>
  <c r="J2088" i="51"/>
  <c r="J2087" i="51"/>
  <c r="J2086" i="51"/>
  <c r="J2085" i="51"/>
  <c r="J2084" i="51"/>
  <c r="J2083" i="51"/>
  <c r="J2082" i="51"/>
  <c r="J2081" i="51"/>
  <c r="J2080" i="51"/>
  <c r="J2079" i="51"/>
  <c r="J2078" i="51"/>
  <c r="J2077" i="51"/>
  <c r="J2076" i="51"/>
  <c r="J2075" i="51"/>
  <c r="J2074" i="51"/>
  <c r="J2073" i="51"/>
  <c r="J2072" i="51"/>
  <c r="J2071" i="51"/>
  <c r="J2070" i="51"/>
  <c r="J2069" i="51"/>
  <c r="J2068" i="51"/>
  <c r="J2067" i="51"/>
  <c r="J2066" i="51"/>
  <c r="J2065" i="51"/>
  <c r="J2064" i="51"/>
  <c r="J2063" i="51"/>
  <c r="J2062" i="51"/>
  <c r="J2061" i="51"/>
  <c r="J2060" i="51"/>
  <c r="J2059" i="51"/>
  <c r="J2058" i="51"/>
  <c r="J2057" i="51"/>
  <c r="J2056" i="51"/>
  <c r="J2055" i="51"/>
  <c r="J2054" i="51"/>
  <c r="J2053" i="51"/>
  <c r="J2052" i="51"/>
  <c r="J2051" i="51"/>
  <c r="J2050" i="51"/>
  <c r="J2049" i="51"/>
  <c r="J2048" i="51"/>
  <c r="J2047" i="51"/>
  <c r="J2046" i="51"/>
  <c r="J2045" i="51"/>
  <c r="J2044" i="51"/>
  <c r="J2043" i="51"/>
  <c r="J2042" i="51"/>
  <c r="J2041" i="51"/>
  <c r="J2040" i="51"/>
  <c r="J2039" i="51"/>
  <c r="J2038" i="51"/>
  <c r="J2037" i="51"/>
  <c r="J2036" i="51"/>
  <c r="J2035" i="51"/>
  <c r="J2034" i="51"/>
  <c r="J2033" i="51"/>
  <c r="J2032" i="51"/>
  <c r="J2031" i="51"/>
  <c r="J2030" i="51"/>
  <c r="J2029" i="51"/>
  <c r="J2028" i="51"/>
  <c r="J2027" i="51"/>
  <c r="J2026" i="51"/>
  <c r="J2025" i="51"/>
  <c r="J2024" i="51"/>
  <c r="J2023" i="51"/>
  <c r="J2022" i="51"/>
  <c r="J2021" i="51"/>
  <c r="J2020" i="51"/>
  <c r="J2019" i="51"/>
  <c r="J2018" i="51"/>
  <c r="J2017" i="51"/>
  <c r="J2016" i="51"/>
  <c r="J2015" i="51"/>
  <c r="J2014" i="51"/>
  <c r="J2013" i="51"/>
  <c r="J2012" i="51"/>
  <c r="J2011" i="51"/>
  <c r="J2010" i="51"/>
  <c r="J2009" i="51"/>
  <c r="J2008" i="51"/>
  <c r="J2007" i="51"/>
  <c r="J2006" i="51"/>
  <c r="J2005" i="51"/>
  <c r="J2004" i="51"/>
  <c r="J2003" i="51"/>
  <c r="J2002" i="51"/>
  <c r="J2001" i="51"/>
  <c r="J2000" i="51"/>
  <c r="J1999" i="51"/>
  <c r="J1998" i="51"/>
  <c r="J1997" i="51"/>
  <c r="J1996" i="51"/>
  <c r="J1995" i="51"/>
  <c r="J1994" i="51"/>
  <c r="J1993" i="51"/>
  <c r="J1992" i="51"/>
  <c r="J1991" i="51"/>
  <c r="J1990" i="51"/>
  <c r="J1989" i="51"/>
  <c r="J1988" i="51"/>
  <c r="J1987" i="51"/>
  <c r="J1986" i="51"/>
  <c r="J1985" i="51"/>
  <c r="J1984" i="51"/>
  <c r="J1983" i="51"/>
  <c r="J1982" i="51"/>
  <c r="J1981" i="51"/>
  <c r="J1980" i="51"/>
  <c r="J1979" i="51"/>
  <c r="J1978" i="51"/>
  <c r="J1977" i="51"/>
  <c r="J1976" i="51"/>
  <c r="J1975" i="51"/>
  <c r="J1974" i="51"/>
  <c r="J1973" i="51"/>
  <c r="J1972" i="51"/>
  <c r="J1971" i="51"/>
  <c r="J1970" i="51"/>
  <c r="J1969" i="51"/>
  <c r="J1968" i="51"/>
  <c r="J1967" i="51"/>
  <c r="J1966" i="51"/>
  <c r="J1965" i="51"/>
  <c r="J1964" i="51"/>
  <c r="J1963" i="51"/>
  <c r="J1962" i="51"/>
  <c r="J1961" i="51"/>
  <c r="J1960" i="51"/>
  <c r="J1959" i="51"/>
  <c r="J1958" i="51"/>
  <c r="J1957" i="51"/>
  <c r="J1956" i="51"/>
  <c r="J1955" i="51"/>
  <c r="J1954" i="51"/>
  <c r="J1953" i="51"/>
  <c r="J1952" i="51"/>
  <c r="J1951" i="51"/>
  <c r="J1950" i="51"/>
  <c r="J1949" i="51"/>
  <c r="J1948" i="51"/>
  <c r="J1947" i="51"/>
  <c r="J1946" i="51"/>
  <c r="J1945" i="51"/>
  <c r="J1944" i="51"/>
  <c r="J1943" i="51"/>
  <c r="J1942" i="51"/>
  <c r="J1941" i="51"/>
  <c r="J1940" i="51"/>
  <c r="J1939" i="51"/>
  <c r="J1938" i="51"/>
  <c r="J1937" i="51"/>
  <c r="J1936" i="51"/>
  <c r="J1935" i="51"/>
  <c r="J1934" i="51"/>
  <c r="J1933" i="51"/>
  <c r="J1932" i="51"/>
  <c r="J1931" i="51"/>
  <c r="J1930" i="51"/>
  <c r="J1929" i="51"/>
  <c r="J1928" i="51"/>
  <c r="J1927" i="51"/>
  <c r="J1926" i="51"/>
  <c r="J1925" i="51"/>
  <c r="J1924" i="51"/>
  <c r="J1923" i="51"/>
  <c r="J1922" i="51"/>
  <c r="J1921" i="51"/>
  <c r="J1920" i="51"/>
  <c r="J1919" i="51"/>
  <c r="J1918" i="51"/>
  <c r="J1917" i="51"/>
  <c r="J1916" i="51"/>
  <c r="J1915" i="51"/>
  <c r="J1914" i="51"/>
  <c r="J1913" i="51"/>
  <c r="J1912" i="51"/>
  <c r="J1911" i="51"/>
  <c r="J1910" i="51"/>
  <c r="J1909" i="51"/>
  <c r="J1908" i="51"/>
  <c r="J1907" i="51"/>
  <c r="J1906" i="51"/>
  <c r="J1905" i="51"/>
  <c r="J1904" i="51"/>
  <c r="J1903" i="51"/>
  <c r="J1902" i="51"/>
  <c r="J1901" i="51"/>
  <c r="J1900" i="51"/>
  <c r="J1899" i="51"/>
  <c r="J1898" i="51"/>
  <c r="J1897" i="51"/>
  <c r="J1896" i="51"/>
  <c r="J1895" i="51"/>
  <c r="J1894" i="51"/>
  <c r="J1893" i="51"/>
  <c r="J1892" i="51"/>
  <c r="J1891" i="51"/>
  <c r="J1890" i="51"/>
  <c r="J1889" i="51"/>
  <c r="J1888" i="51"/>
  <c r="J1887" i="51"/>
  <c r="J1886" i="51"/>
  <c r="J1885" i="51"/>
  <c r="J1884" i="51"/>
  <c r="J1883" i="51"/>
  <c r="J1882" i="51"/>
  <c r="J1881" i="51"/>
  <c r="J1880" i="51"/>
  <c r="J1879" i="51"/>
  <c r="J1878" i="51"/>
  <c r="J1877" i="51"/>
  <c r="J1876" i="51"/>
  <c r="J1875" i="51"/>
  <c r="J1874" i="51"/>
  <c r="J1873" i="51"/>
  <c r="J1872" i="51"/>
  <c r="J1871" i="51"/>
  <c r="J1870" i="51"/>
  <c r="J1869" i="51"/>
  <c r="J1868" i="51"/>
  <c r="J1867" i="51"/>
  <c r="J1866" i="51"/>
  <c r="J1865" i="51"/>
  <c r="J1864" i="51"/>
  <c r="J1863" i="51"/>
  <c r="J1862" i="51"/>
  <c r="J1861" i="51"/>
  <c r="J1860" i="51"/>
  <c r="J1859" i="51"/>
  <c r="J1858" i="51"/>
  <c r="J1857" i="51"/>
  <c r="J1856" i="51"/>
  <c r="J1855" i="51"/>
  <c r="J1854" i="51"/>
  <c r="J1853" i="51"/>
  <c r="J1852" i="51"/>
  <c r="J1851" i="51"/>
  <c r="J1850" i="51"/>
  <c r="J1849" i="51"/>
  <c r="J1848" i="51"/>
  <c r="J1847" i="51"/>
  <c r="J1846" i="51"/>
  <c r="J1845" i="51"/>
  <c r="J1844" i="51"/>
  <c r="J1843" i="51"/>
  <c r="J1842" i="51"/>
  <c r="J1841" i="51"/>
  <c r="J1840" i="51"/>
  <c r="J1839" i="51"/>
  <c r="J1838" i="51"/>
  <c r="J1837" i="51"/>
  <c r="J1836" i="51"/>
  <c r="J1835" i="51"/>
  <c r="J1834" i="51"/>
  <c r="J1833" i="51"/>
  <c r="J1832" i="51"/>
  <c r="J1831" i="51"/>
  <c r="J1830" i="51"/>
  <c r="J1829" i="51"/>
  <c r="J1828" i="51"/>
  <c r="J1827" i="51"/>
  <c r="J1826" i="51"/>
  <c r="J1825" i="51"/>
  <c r="J1824" i="51"/>
  <c r="J1823" i="51"/>
  <c r="J1822" i="51"/>
  <c r="J1821" i="51"/>
  <c r="J1820" i="51"/>
  <c r="J1819" i="51"/>
  <c r="J1818" i="51"/>
  <c r="J1817" i="51"/>
  <c r="J1816" i="51"/>
  <c r="J1815" i="51"/>
  <c r="J1814" i="51"/>
  <c r="J1813" i="51"/>
  <c r="J1812" i="51"/>
  <c r="J1811" i="51"/>
  <c r="J1810" i="51"/>
  <c r="J1809" i="51"/>
  <c r="J1808" i="51"/>
  <c r="J1807" i="51"/>
  <c r="J1806" i="51"/>
  <c r="J1805" i="51"/>
  <c r="J1804" i="51"/>
  <c r="J1803" i="51"/>
  <c r="J1802" i="51"/>
  <c r="J1801" i="51"/>
  <c r="J1800" i="51"/>
  <c r="J1799" i="51"/>
  <c r="J1798" i="51"/>
  <c r="J1797" i="51"/>
  <c r="J1796" i="51"/>
  <c r="J1795" i="51"/>
  <c r="J1794" i="51"/>
  <c r="J1793" i="51"/>
  <c r="J1792" i="51"/>
  <c r="J1791" i="51"/>
  <c r="J1790" i="51"/>
  <c r="J1789" i="51"/>
  <c r="J1788" i="51"/>
  <c r="J1787" i="51"/>
  <c r="J1786" i="51"/>
  <c r="J1785" i="51"/>
  <c r="J1784" i="51"/>
  <c r="J1783" i="51"/>
  <c r="J1782" i="51"/>
  <c r="J1781" i="51"/>
  <c r="J1780" i="51"/>
  <c r="J1779" i="51"/>
  <c r="J1778" i="51"/>
  <c r="J1777" i="51"/>
  <c r="J1776" i="51"/>
  <c r="J1775" i="51"/>
  <c r="J1774" i="51"/>
  <c r="J1773" i="51"/>
  <c r="J1772" i="51"/>
  <c r="J1771" i="51"/>
  <c r="J1770" i="51"/>
  <c r="J1769" i="51"/>
  <c r="J1768" i="51"/>
  <c r="J1767" i="51"/>
  <c r="J1766" i="51"/>
  <c r="J1765" i="51"/>
  <c r="J1764" i="51"/>
  <c r="J1763" i="51"/>
  <c r="J1762" i="51"/>
  <c r="J1761" i="51"/>
  <c r="J1760" i="51"/>
  <c r="J1759" i="51"/>
  <c r="J1758" i="51"/>
  <c r="J1757" i="51"/>
  <c r="J1756" i="51"/>
  <c r="J1755" i="51"/>
  <c r="J1754" i="51"/>
  <c r="J1753" i="51"/>
  <c r="J1752" i="51"/>
  <c r="J1751" i="51"/>
  <c r="J1750" i="51"/>
  <c r="J1749" i="51"/>
  <c r="J1748" i="51"/>
  <c r="J1747" i="51"/>
  <c r="J1746" i="51"/>
  <c r="J1745" i="51"/>
  <c r="J1744" i="51"/>
  <c r="J1743" i="51"/>
  <c r="J1742" i="51"/>
  <c r="J1741" i="51"/>
  <c r="J1740" i="51"/>
  <c r="J1739" i="51"/>
  <c r="J1738" i="51"/>
  <c r="J1737" i="51"/>
  <c r="J1736" i="51"/>
  <c r="J1735" i="51"/>
  <c r="J1734" i="51"/>
  <c r="J1733" i="51"/>
  <c r="J1732" i="51"/>
  <c r="J1731" i="51"/>
  <c r="J1730" i="51"/>
  <c r="J1729" i="51"/>
  <c r="J1728" i="51"/>
  <c r="J1727" i="51"/>
  <c r="J1726" i="51"/>
  <c r="J1725" i="51"/>
  <c r="J1724" i="51"/>
  <c r="J1723" i="51"/>
  <c r="J1722" i="51"/>
  <c r="J1721" i="51"/>
  <c r="J1720" i="51"/>
  <c r="J1719" i="51"/>
  <c r="J1718" i="51"/>
  <c r="J1717" i="51"/>
  <c r="J1716" i="51"/>
  <c r="J1715" i="51"/>
  <c r="J1714" i="51"/>
  <c r="J1713" i="51"/>
  <c r="J1712" i="51"/>
  <c r="J1711" i="51"/>
  <c r="J1710" i="51"/>
  <c r="J1709" i="51"/>
  <c r="J1708" i="51"/>
  <c r="J1707" i="51"/>
  <c r="J1706" i="51"/>
  <c r="J1705" i="51"/>
  <c r="J1704" i="51"/>
  <c r="J1703" i="51"/>
  <c r="J1702" i="51"/>
  <c r="J1701" i="51"/>
  <c r="J1700" i="51"/>
  <c r="J1699" i="51"/>
  <c r="J1698" i="51"/>
  <c r="J1697" i="51"/>
  <c r="J1696" i="51"/>
  <c r="J1695" i="51"/>
  <c r="J1694" i="51"/>
  <c r="J1693" i="51"/>
  <c r="J1692" i="51"/>
  <c r="J1691" i="51"/>
  <c r="J1690" i="51"/>
  <c r="J1689" i="51"/>
  <c r="J1688" i="51"/>
  <c r="J1687" i="51"/>
  <c r="J1686" i="51"/>
  <c r="J1685" i="51"/>
  <c r="J1684" i="51"/>
  <c r="J1683" i="51"/>
  <c r="J1682" i="51"/>
  <c r="J1681" i="51"/>
  <c r="J1680" i="51"/>
  <c r="J1679" i="51"/>
  <c r="J1678" i="51"/>
  <c r="J1677" i="51"/>
  <c r="J1676" i="51"/>
  <c r="J1675" i="51"/>
  <c r="J1674" i="51"/>
  <c r="J1673" i="51"/>
  <c r="J1672" i="51"/>
  <c r="J1671" i="51"/>
  <c r="J1670" i="51"/>
  <c r="J1669" i="51"/>
  <c r="J1668" i="51"/>
  <c r="J1667" i="51"/>
  <c r="J1666" i="51"/>
  <c r="J1665" i="51"/>
  <c r="J1664" i="51"/>
  <c r="J1663" i="51"/>
  <c r="J1662" i="51"/>
  <c r="J1661" i="51"/>
  <c r="J1660" i="51"/>
  <c r="J1659" i="51"/>
  <c r="J1658" i="51"/>
  <c r="J1657" i="51"/>
  <c r="J1656" i="51"/>
  <c r="J1655" i="51"/>
  <c r="J1654" i="51"/>
  <c r="J1653" i="51"/>
  <c r="J1652" i="51"/>
  <c r="J1651" i="51"/>
  <c r="J1650" i="51"/>
  <c r="J1649" i="51"/>
  <c r="J1648" i="51"/>
  <c r="J1647" i="51"/>
  <c r="J1646" i="51"/>
  <c r="J1645" i="51"/>
  <c r="J1644" i="51"/>
  <c r="J1643" i="51"/>
  <c r="J1642" i="51"/>
  <c r="J1641" i="51"/>
  <c r="J1640" i="51"/>
  <c r="J1639" i="51"/>
  <c r="J1638" i="51"/>
  <c r="J1637" i="51"/>
  <c r="J1636" i="51"/>
  <c r="J1635" i="51"/>
  <c r="J1634" i="51"/>
  <c r="J1633" i="51"/>
  <c r="J1632" i="51"/>
  <c r="J1631" i="51"/>
  <c r="J1630" i="51"/>
  <c r="J1629" i="51"/>
  <c r="J1628" i="51"/>
  <c r="J1627" i="51"/>
  <c r="J1626" i="51"/>
  <c r="J1625" i="51"/>
  <c r="J1624" i="51"/>
  <c r="J1623" i="51"/>
  <c r="J1622" i="51"/>
  <c r="J1621" i="51"/>
  <c r="J1620" i="51"/>
  <c r="J1619" i="51"/>
  <c r="J1618" i="51"/>
  <c r="J1617" i="51"/>
  <c r="J1616" i="51"/>
  <c r="J1615" i="51"/>
  <c r="J1614" i="51"/>
  <c r="J1613" i="51"/>
  <c r="J1612" i="51"/>
  <c r="J1611" i="51"/>
  <c r="J1610" i="51"/>
  <c r="J1609" i="51"/>
  <c r="J1608" i="51"/>
  <c r="J1607" i="51"/>
  <c r="J1606" i="51"/>
  <c r="J1605" i="51"/>
  <c r="J1604" i="51"/>
  <c r="J1603" i="51"/>
  <c r="J1602" i="51"/>
  <c r="J1601" i="51"/>
  <c r="J1600" i="51"/>
  <c r="J1599" i="51"/>
  <c r="J1598" i="51"/>
  <c r="J1597" i="51"/>
  <c r="J1596" i="51"/>
  <c r="J1595" i="51"/>
  <c r="J1594" i="51"/>
  <c r="J1593" i="51"/>
  <c r="J1592" i="51"/>
  <c r="J1591" i="51"/>
  <c r="J1590" i="51"/>
  <c r="J1589" i="51"/>
  <c r="J1588" i="51"/>
  <c r="J1587" i="51"/>
  <c r="J1586" i="51"/>
  <c r="J1585" i="51"/>
  <c r="J1584" i="51"/>
  <c r="J1583" i="51"/>
  <c r="J1582" i="51"/>
  <c r="J1581" i="51"/>
  <c r="J1580" i="51"/>
  <c r="J1579" i="51"/>
  <c r="J1578" i="51"/>
  <c r="J1577" i="51"/>
  <c r="J1576" i="51"/>
  <c r="J1575" i="51"/>
  <c r="J1574" i="51"/>
  <c r="J1573" i="51"/>
  <c r="J1572" i="51"/>
  <c r="J1571" i="51"/>
  <c r="J1570" i="51"/>
  <c r="J1569" i="51"/>
  <c r="J1568" i="51"/>
  <c r="J1567" i="51"/>
  <c r="J1566" i="51"/>
  <c r="J1565" i="51"/>
  <c r="J1564" i="51"/>
  <c r="J1563" i="51"/>
  <c r="J1562" i="51"/>
  <c r="J1561" i="51"/>
  <c r="J1560" i="51"/>
  <c r="J1559" i="51"/>
  <c r="J1558" i="51"/>
  <c r="J1557" i="51"/>
  <c r="J1556" i="51"/>
  <c r="J1555" i="51"/>
  <c r="J1554" i="51"/>
  <c r="J1553" i="51"/>
  <c r="J1552" i="51"/>
  <c r="J1551" i="51"/>
  <c r="J1550" i="51"/>
  <c r="J1549" i="51"/>
  <c r="J1548" i="51"/>
  <c r="J1547" i="51"/>
  <c r="J1546" i="51"/>
  <c r="J1545" i="51"/>
  <c r="J1544" i="51"/>
  <c r="J1543" i="51"/>
  <c r="J1542" i="51"/>
  <c r="J1541" i="51"/>
  <c r="J1540" i="51"/>
  <c r="J1539" i="51"/>
  <c r="J1538" i="51"/>
  <c r="J1537" i="51"/>
  <c r="J1536" i="51"/>
  <c r="J1535" i="51"/>
  <c r="J1534" i="51"/>
  <c r="J1533" i="51"/>
  <c r="J1532" i="51"/>
  <c r="J1531" i="51"/>
  <c r="J1530" i="51"/>
  <c r="J1529" i="51"/>
  <c r="J1528" i="51"/>
  <c r="J1527" i="51"/>
  <c r="J1526" i="51"/>
  <c r="J1525" i="51"/>
  <c r="J1524" i="51"/>
  <c r="J1523" i="51"/>
  <c r="J1522" i="51"/>
  <c r="J1521" i="51"/>
  <c r="J1520" i="51"/>
  <c r="J1519" i="51"/>
  <c r="J1518" i="51"/>
  <c r="J1517" i="51"/>
  <c r="J1516" i="51"/>
  <c r="J1515" i="51"/>
  <c r="J1514" i="51"/>
  <c r="J1513" i="51"/>
  <c r="J1512" i="51"/>
  <c r="J1511" i="51"/>
  <c r="J1510" i="51"/>
  <c r="J1509" i="51"/>
  <c r="J1508" i="51"/>
  <c r="J1507" i="51"/>
  <c r="J1506" i="51"/>
  <c r="J1505" i="51"/>
  <c r="J1504" i="51"/>
  <c r="J1503" i="51"/>
  <c r="J1502" i="51"/>
  <c r="J1501" i="51"/>
  <c r="J1500" i="51"/>
  <c r="J1499" i="51"/>
  <c r="J1498" i="51"/>
  <c r="J1497" i="51"/>
  <c r="J1496" i="51"/>
  <c r="J1495" i="51"/>
  <c r="J1494" i="51"/>
  <c r="J1493" i="51"/>
  <c r="J1492" i="51"/>
  <c r="J1491" i="51"/>
  <c r="J1490" i="51"/>
  <c r="J1489" i="51"/>
  <c r="J1488" i="51"/>
  <c r="J1487" i="51"/>
  <c r="J1486" i="51"/>
  <c r="J1485" i="51"/>
  <c r="J1484" i="51"/>
  <c r="J1483" i="51"/>
  <c r="J1482" i="51"/>
  <c r="J1481" i="51"/>
  <c r="J1480" i="51"/>
  <c r="J1479" i="51"/>
  <c r="J1478" i="51"/>
  <c r="J1477" i="51"/>
  <c r="J1476" i="51"/>
  <c r="J1475" i="51"/>
  <c r="J1474" i="51"/>
  <c r="J1473" i="51"/>
  <c r="J1472" i="51"/>
  <c r="J1471" i="51"/>
  <c r="J1470" i="51"/>
  <c r="J1469" i="51"/>
  <c r="J1468" i="51"/>
  <c r="J1467" i="51"/>
  <c r="J1466" i="51"/>
  <c r="J1465" i="51"/>
  <c r="J1464" i="51"/>
  <c r="J1463" i="51"/>
  <c r="J1462" i="51"/>
  <c r="J1461" i="51"/>
  <c r="J1460" i="51"/>
  <c r="J1459" i="51"/>
  <c r="J1458" i="51"/>
  <c r="J1457" i="51"/>
  <c r="J1456" i="51"/>
  <c r="J1455" i="51"/>
  <c r="J1454" i="51"/>
  <c r="J1453" i="51"/>
  <c r="J1452" i="51"/>
  <c r="J1451" i="51"/>
  <c r="J1450" i="51"/>
  <c r="J1449" i="51"/>
  <c r="J1448" i="51"/>
  <c r="J1447" i="51"/>
  <c r="J1446" i="51"/>
  <c r="J1445" i="51"/>
  <c r="J1444" i="51"/>
  <c r="J1443" i="51"/>
  <c r="J1442" i="51"/>
  <c r="J1441" i="51"/>
  <c r="J1440" i="51"/>
  <c r="J1439" i="51"/>
  <c r="J1438" i="51"/>
  <c r="J1437" i="51"/>
  <c r="J1436" i="51"/>
  <c r="J1435" i="51"/>
  <c r="J1434" i="51"/>
  <c r="J1433" i="51"/>
  <c r="J1432" i="51"/>
  <c r="J1431" i="51"/>
  <c r="J1430" i="51"/>
  <c r="J1429" i="51"/>
  <c r="J1428" i="51"/>
  <c r="J1427" i="51"/>
  <c r="J1426" i="51"/>
  <c r="J1425" i="51"/>
  <c r="J1424" i="51"/>
  <c r="J1423" i="51"/>
  <c r="J1422" i="51"/>
  <c r="J1421" i="51"/>
  <c r="J1420" i="51"/>
  <c r="J1419" i="51"/>
  <c r="J1418" i="51"/>
  <c r="J1417" i="51"/>
  <c r="J1416" i="51"/>
  <c r="J1415" i="51"/>
  <c r="J1414" i="51"/>
  <c r="J1413" i="51"/>
  <c r="J1412" i="51"/>
  <c r="J1411" i="51"/>
  <c r="J1410" i="51"/>
  <c r="J1409" i="51"/>
  <c r="J1408" i="51"/>
  <c r="J1407" i="51"/>
  <c r="J1406" i="51"/>
  <c r="J1405" i="51"/>
  <c r="J1404" i="51"/>
  <c r="J1403" i="51"/>
  <c r="J1402" i="51"/>
  <c r="J1401" i="51"/>
  <c r="J1400" i="51"/>
  <c r="J1399" i="51"/>
  <c r="J1398" i="51"/>
  <c r="J1397" i="51"/>
  <c r="J1396" i="51"/>
  <c r="J1395" i="51"/>
  <c r="J1394" i="51"/>
  <c r="J1393" i="51"/>
  <c r="J1392" i="51"/>
  <c r="J1391" i="51"/>
  <c r="J1390" i="51"/>
  <c r="J1389" i="51"/>
  <c r="J1388" i="51"/>
  <c r="J1387" i="51"/>
  <c r="J1386" i="51"/>
  <c r="J1385" i="51"/>
  <c r="J1384" i="51"/>
  <c r="J1383" i="51"/>
  <c r="J1382" i="51"/>
  <c r="J1381" i="51"/>
  <c r="J1380" i="51"/>
  <c r="J1379" i="51"/>
  <c r="J1378" i="51"/>
  <c r="J1377" i="51"/>
  <c r="J1376" i="51"/>
  <c r="J1375" i="51"/>
  <c r="J1374" i="51"/>
  <c r="J1373" i="51"/>
  <c r="J1372" i="51"/>
  <c r="J1371" i="51"/>
  <c r="J1370" i="51"/>
  <c r="J1369" i="51"/>
  <c r="J1368" i="51"/>
  <c r="J1367" i="51"/>
  <c r="J1366" i="51"/>
  <c r="J1365" i="51"/>
  <c r="J1364" i="51"/>
  <c r="J1363" i="51"/>
  <c r="J1362" i="51"/>
  <c r="J1361" i="51"/>
  <c r="J1360" i="51"/>
  <c r="J1359" i="51"/>
  <c r="J1358" i="51"/>
  <c r="J1357" i="51"/>
  <c r="J1356" i="51"/>
  <c r="J1355" i="51"/>
  <c r="J1354" i="51"/>
  <c r="J1353" i="51"/>
  <c r="J1352" i="51"/>
  <c r="J1351" i="51"/>
  <c r="J1350" i="51"/>
  <c r="J1349" i="51"/>
  <c r="J1348" i="51"/>
  <c r="J1347" i="51"/>
  <c r="J1346" i="51"/>
  <c r="J1345" i="51"/>
  <c r="J1344" i="51"/>
  <c r="J1343" i="51"/>
  <c r="J1342" i="51"/>
  <c r="J1341" i="51"/>
  <c r="J1340" i="51"/>
  <c r="J1339" i="51"/>
  <c r="J1338" i="51"/>
  <c r="J1337" i="51"/>
  <c r="J1336" i="51"/>
  <c r="J1335" i="51"/>
  <c r="J1334" i="51"/>
  <c r="J1333" i="51"/>
  <c r="J1332" i="51"/>
  <c r="J1331" i="51"/>
  <c r="J1330" i="51"/>
  <c r="J1329" i="51"/>
  <c r="J1328" i="51"/>
  <c r="J1327" i="51"/>
  <c r="J1326" i="51"/>
  <c r="J1325" i="51"/>
  <c r="J1324" i="51"/>
  <c r="J1323" i="51"/>
  <c r="J1322" i="51"/>
  <c r="J1321" i="51"/>
  <c r="J1320" i="51"/>
  <c r="J1319" i="51"/>
  <c r="J1318" i="51"/>
  <c r="J1317" i="51"/>
  <c r="J1316" i="51"/>
  <c r="J1315" i="51"/>
  <c r="J1314" i="51"/>
  <c r="J1313" i="51"/>
  <c r="J1312" i="51"/>
  <c r="J1311" i="51"/>
  <c r="J1310" i="51"/>
  <c r="J1309" i="51"/>
  <c r="J1308" i="51"/>
  <c r="J1307" i="51"/>
  <c r="J1306" i="51"/>
  <c r="J1305" i="51"/>
  <c r="J1304" i="51"/>
  <c r="J1303" i="51"/>
  <c r="J1302" i="51"/>
  <c r="J1301" i="51"/>
  <c r="J1300" i="51"/>
  <c r="J1299" i="51"/>
  <c r="J1298" i="51"/>
  <c r="J1297" i="51"/>
  <c r="J1296" i="51"/>
  <c r="J1295" i="51"/>
  <c r="J1294" i="51"/>
  <c r="J1293" i="51"/>
  <c r="J1292" i="51"/>
  <c r="J1291" i="51"/>
  <c r="J1290" i="51"/>
  <c r="J1289" i="51"/>
  <c r="J1288" i="51"/>
  <c r="J1287" i="51"/>
  <c r="J1286" i="51"/>
  <c r="J1285" i="51"/>
  <c r="J1284" i="51"/>
  <c r="J1283" i="51"/>
  <c r="J1282" i="51"/>
  <c r="J1281" i="51"/>
  <c r="J1280" i="51"/>
  <c r="J1279" i="51"/>
  <c r="J1278" i="51"/>
  <c r="J1277" i="51"/>
  <c r="J1276" i="51"/>
  <c r="J1275" i="51"/>
  <c r="J1274" i="51"/>
  <c r="J1273" i="51"/>
  <c r="J1272" i="51"/>
  <c r="J1271" i="51"/>
  <c r="J1270" i="51"/>
  <c r="J1269" i="51"/>
  <c r="J1268" i="51"/>
  <c r="J1267" i="51"/>
  <c r="J1266" i="51"/>
  <c r="J1265" i="51"/>
  <c r="J1264" i="51"/>
  <c r="J1263" i="51"/>
  <c r="J1262" i="51"/>
  <c r="J1261" i="51"/>
  <c r="J1260" i="51"/>
  <c r="J1259" i="51"/>
  <c r="J1258" i="51"/>
  <c r="J1257" i="51"/>
  <c r="J1256" i="51"/>
  <c r="J1255" i="51"/>
  <c r="J1254" i="51"/>
  <c r="J1253" i="51"/>
  <c r="J1252" i="51"/>
  <c r="J1251" i="51"/>
  <c r="J1250" i="51"/>
  <c r="J1249" i="51"/>
  <c r="J1248" i="51"/>
  <c r="J1247" i="51"/>
  <c r="J1246" i="51"/>
  <c r="J1245" i="51"/>
  <c r="J1244" i="51"/>
  <c r="J1243" i="51"/>
  <c r="J1242" i="51"/>
  <c r="J1241" i="51"/>
  <c r="J1240" i="51"/>
  <c r="J1239" i="51"/>
  <c r="J1238" i="51"/>
  <c r="J1237" i="51"/>
  <c r="J1236" i="51"/>
  <c r="J1235" i="51"/>
  <c r="J1234" i="51"/>
  <c r="J1233" i="51"/>
  <c r="J1232" i="51"/>
  <c r="J1231" i="51"/>
  <c r="J1230" i="51"/>
  <c r="J1229" i="51"/>
  <c r="J1228" i="51"/>
  <c r="J1227" i="51"/>
  <c r="J1226" i="51"/>
  <c r="J1225" i="51"/>
  <c r="J1224" i="51"/>
  <c r="J1223" i="51"/>
  <c r="J1222" i="51"/>
  <c r="J1221" i="51"/>
  <c r="J1220" i="51"/>
  <c r="J1219" i="51"/>
  <c r="J1218" i="51"/>
  <c r="J1217" i="51"/>
  <c r="J1216" i="51"/>
  <c r="J1215" i="51"/>
  <c r="J1214" i="51"/>
  <c r="J1213" i="51"/>
  <c r="J1212" i="51"/>
  <c r="J1211" i="51"/>
  <c r="J1210" i="51"/>
  <c r="J1209" i="51"/>
  <c r="J1208" i="51"/>
  <c r="J1207" i="51"/>
  <c r="J1206" i="51"/>
  <c r="J1205" i="51"/>
  <c r="J1204" i="51"/>
  <c r="J1203" i="51"/>
  <c r="J1202" i="51"/>
  <c r="J1201" i="51"/>
  <c r="J1200" i="51"/>
  <c r="J1199" i="51"/>
  <c r="J1198" i="51"/>
  <c r="J1197" i="51"/>
  <c r="J1196" i="51"/>
  <c r="J1195" i="51"/>
  <c r="J1194" i="51"/>
  <c r="J1193" i="51"/>
  <c r="J1192" i="51"/>
  <c r="J1191" i="51"/>
  <c r="J1190" i="51"/>
  <c r="J1189" i="51"/>
  <c r="J1188" i="51"/>
  <c r="J1187" i="51"/>
  <c r="J1186" i="51"/>
  <c r="J1185" i="51"/>
  <c r="J1184" i="51"/>
  <c r="J1183" i="51"/>
  <c r="J1182" i="51"/>
  <c r="J1181" i="51"/>
  <c r="J1180" i="51"/>
  <c r="J1179" i="51"/>
  <c r="J1178" i="51"/>
  <c r="J1177" i="51"/>
  <c r="J1176" i="51"/>
  <c r="J1175" i="51"/>
  <c r="J1174" i="51"/>
  <c r="J1173" i="51"/>
  <c r="J1172" i="51"/>
  <c r="J1171" i="51"/>
  <c r="J1170" i="51"/>
  <c r="J1169" i="51"/>
  <c r="J1168" i="51"/>
  <c r="J1167" i="51"/>
  <c r="J1166" i="51"/>
  <c r="J1165" i="51"/>
  <c r="J1164" i="51"/>
  <c r="J1163" i="51"/>
  <c r="J1162" i="51"/>
  <c r="J1161" i="51"/>
  <c r="J1160" i="51"/>
  <c r="J1159" i="51"/>
  <c r="J1158" i="51"/>
  <c r="J1157" i="51"/>
  <c r="J1156" i="51"/>
  <c r="J1155" i="51"/>
  <c r="J1154" i="51"/>
  <c r="J1153" i="51"/>
  <c r="J1152" i="51"/>
  <c r="J1151" i="51"/>
  <c r="J1150" i="51"/>
  <c r="J1149" i="51"/>
  <c r="J1148" i="51"/>
  <c r="J1147" i="51"/>
  <c r="J1146" i="51"/>
  <c r="J1145" i="51"/>
  <c r="J1144" i="51"/>
  <c r="J1143" i="51"/>
  <c r="J1142" i="51"/>
  <c r="J1141" i="51"/>
  <c r="J1140" i="51"/>
  <c r="J1139" i="51"/>
  <c r="J1138" i="51"/>
  <c r="J1137" i="51"/>
  <c r="J1136" i="51"/>
  <c r="J1135" i="51"/>
  <c r="J1134" i="51"/>
  <c r="J1133" i="51"/>
  <c r="J1132" i="51"/>
  <c r="J1131" i="51"/>
  <c r="J1130" i="51"/>
  <c r="J1129" i="51"/>
  <c r="J1128" i="51"/>
  <c r="J1127" i="51"/>
  <c r="J1126" i="51"/>
  <c r="J1125" i="51"/>
  <c r="J1124" i="51"/>
  <c r="J1123" i="51"/>
  <c r="J1122" i="51"/>
  <c r="J1121" i="51"/>
  <c r="J1120" i="51"/>
  <c r="J1119" i="51"/>
  <c r="J1118" i="51"/>
  <c r="J1117" i="51"/>
  <c r="J1116" i="51"/>
  <c r="J1115" i="51"/>
  <c r="J1114" i="51"/>
  <c r="J1113" i="51"/>
  <c r="J1112" i="51"/>
  <c r="J1111" i="51"/>
  <c r="J1110" i="51"/>
  <c r="J1109" i="51"/>
  <c r="J1108" i="51"/>
  <c r="J1107" i="51"/>
  <c r="J1106" i="51"/>
  <c r="J1105" i="51"/>
  <c r="J1104" i="51"/>
  <c r="J1103" i="51"/>
  <c r="J1102" i="51"/>
  <c r="J1101" i="51"/>
  <c r="J1100" i="51"/>
  <c r="J1099" i="51"/>
  <c r="J1098" i="51"/>
  <c r="J1097" i="51"/>
  <c r="J1096" i="51"/>
  <c r="J1095" i="51"/>
  <c r="J1094" i="51"/>
  <c r="J1093" i="51"/>
  <c r="J1092" i="51"/>
  <c r="J1091" i="51"/>
  <c r="J1090" i="51"/>
  <c r="J1089" i="51"/>
  <c r="J1088" i="51"/>
  <c r="J1087" i="51"/>
  <c r="J1086" i="51"/>
  <c r="J1085" i="51"/>
  <c r="J1084" i="51"/>
  <c r="J1083" i="51"/>
  <c r="J1082" i="51"/>
  <c r="J1081" i="51"/>
  <c r="J1080" i="51"/>
  <c r="J1079" i="51"/>
  <c r="J1078" i="51"/>
  <c r="J1077" i="51"/>
  <c r="J1076" i="51"/>
  <c r="J1075" i="51"/>
  <c r="J1074" i="51"/>
  <c r="J1073" i="51"/>
  <c r="J1072" i="51"/>
  <c r="J1071" i="51"/>
  <c r="J1070" i="51"/>
  <c r="J1069" i="51"/>
  <c r="J1068" i="51"/>
  <c r="J1067" i="51"/>
  <c r="J1066" i="51"/>
  <c r="J1065" i="51"/>
  <c r="J1064" i="51"/>
  <c r="J1063" i="51"/>
  <c r="J1062" i="51"/>
  <c r="J1061" i="51"/>
  <c r="J1060" i="51"/>
  <c r="J1059" i="51"/>
  <c r="J1058" i="51"/>
  <c r="J1057" i="51"/>
  <c r="J1056" i="51"/>
  <c r="J1055" i="51"/>
  <c r="J1054" i="51"/>
  <c r="J1053" i="51"/>
  <c r="J1052" i="51"/>
  <c r="J1051" i="51"/>
  <c r="J1050" i="51"/>
  <c r="J1049" i="51"/>
  <c r="J1048" i="51"/>
  <c r="J1047" i="51"/>
  <c r="J1046" i="51"/>
  <c r="J1045" i="51"/>
  <c r="J1044" i="51"/>
  <c r="J1043" i="51"/>
  <c r="J1042" i="51"/>
  <c r="J1041" i="51"/>
  <c r="J1040" i="51"/>
  <c r="J1039" i="51"/>
  <c r="J1038" i="51"/>
  <c r="J1037" i="51"/>
  <c r="J1036" i="51"/>
  <c r="J1035" i="51"/>
  <c r="J1034" i="51"/>
  <c r="J1033" i="51"/>
  <c r="J1032" i="51"/>
  <c r="J1031" i="51"/>
  <c r="J1030" i="51"/>
  <c r="J1029" i="51"/>
  <c r="J1028" i="51"/>
  <c r="J1027" i="51"/>
  <c r="J1026" i="51"/>
  <c r="J1025" i="51"/>
  <c r="J1024" i="51"/>
  <c r="J1023" i="51"/>
  <c r="J1022" i="51"/>
  <c r="J1021" i="51"/>
  <c r="J1020" i="51"/>
  <c r="J1019" i="51"/>
  <c r="J1018" i="51"/>
  <c r="J1017" i="51"/>
  <c r="J1016" i="51"/>
  <c r="J1015" i="51"/>
  <c r="J1014" i="51"/>
  <c r="J1013" i="51"/>
  <c r="J1012" i="51"/>
  <c r="J1011" i="51"/>
  <c r="J1010" i="51"/>
  <c r="J1009" i="51"/>
  <c r="J1008" i="51"/>
  <c r="J1007" i="51"/>
  <c r="J1006" i="51"/>
  <c r="J1005" i="51"/>
  <c r="J1004" i="51"/>
  <c r="J1003" i="51"/>
  <c r="J1002" i="51"/>
  <c r="J1001" i="51"/>
  <c r="J1000" i="51"/>
  <c r="J999" i="51"/>
  <c r="J998" i="51"/>
  <c r="J997" i="51"/>
  <c r="J996" i="51"/>
  <c r="J995" i="51"/>
  <c r="J994" i="51"/>
  <c r="J993" i="51"/>
  <c r="J992" i="51"/>
  <c r="J991" i="51"/>
  <c r="J990" i="51"/>
  <c r="J989" i="51"/>
  <c r="J988" i="51"/>
  <c r="J987" i="51"/>
  <c r="J986" i="51"/>
  <c r="J985" i="51"/>
  <c r="J984" i="51"/>
  <c r="J983" i="51"/>
  <c r="J982" i="51"/>
  <c r="J981" i="51"/>
  <c r="J980" i="51"/>
  <c r="J979" i="51"/>
  <c r="J978" i="51"/>
  <c r="J977" i="51"/>
  <c r="J976" i="51"/>
  <c r="J975" i="51"/>
  <c r="J974" i="51"/>
  <c r="J973" i="51"/>
  <c r="J972" i="51"/>
  <c r="J971" i="51"/>
  <c r="J970" i="51"/>
  <c r="J969" i="51"/>
  <c r="J968" i="51"/>
  <c r="J967" i="51"/>
  <c r="J966" i="51"/>
  <c r="J965" i="51"/>
  <c r="J964" i="51"/>
  <c r="J963" i="51"/>
  <c r="J962" i="51"/>
  <c r="J961" i="51"/>
  <c r="J960" i="51"/>
  <c r="J959" i="51"/>
  <c r="J958" i="51"/>
  <c r="J957" i="51"/>
  <c r="J956" i="51"/>
  <c r="J955" i="51"/>
  <c r="J954" i="51"/>
  <c r="J953" i="51"/>
  <c r="J952" i="51"/>
  <c r="J951" i="51"/>
  <c r="J950" i="51"/>
  <c r="J949" i="51"/>
  <c r="J948" i="51"/>
  <c r="J947" i="51"/>
  <c r="J946" i="51"/>
  <c r="J945" i="51"/>
  <c r="J944" i="51"/>
  <c r="J943" i="51"/>
  <c r="J942" i="51"/>
  <c r="J941" i="51"/>
  <c r="J940" i="51"/>
  <c r="J939" i="51"/>
  <c r="J938" i="51"/>
  <c r="J937" i="51"/>
  <c r="J936" i="51"/>
  <c r="J935" i="51"/>
  <c r="J934" i="51"/>
  <c r="J933" i="51"/>
  <c r="J932" i="51"/>
  <c r="J931" i="51"/>
  <c r="J930" i="51"/>
  <c r="J929" i="51"/>
  <c r="J928" i="51"/>
  <c r="J927" i="51"/>
  <c r="J926" i="51"/>
  <c r="J925" i="51"/>
  <c r="J924" i="51"/>
  <c r="J923" i="51"/>
  <c r="J922" i="51"/>
  <c r="J921" i="51"/>
  <c r="J920" i="51"/>
  <c r="J919" i="51"/>
  <c r="J918" i="51"/>
  <c r="J917" i="51"/>
  <c r="J916" i="51"/>
  <c r="J915" i="51"/>
  <c r="J914" i="51"/>
  <c r="J913" i="51"/>
  <c r="J912" i="51"/>
  <c r="J911" i="51"/>
  <c r="J910" i="51"/>
  <c r="J909" i="51"/>
  <c r="J908" i="51"/>
  <c r="J907" i="51"/>
  <c r="J906" i="51"/>
  <c r="J905" i="51"/>
  <c r="J904" i="51"/>
  <c r="J903" i="51"/>
  <c r="J902" i="51"/>
  <c r="J901" i="51"/>
  <c r="J900" i="51"/>
  <c r="J899" i="51"/>
  <c r="J898" i="51"/>
  <c r="J897" i="51"/>
  <c r="J896" i="51"/>
  <c r="J895" i="51"/>
  <c r="J894" i="51"/>
  <c r="J893" i="51"/>
  <c r="J892" i="51"/>
  <c r="J891" i="51"/>
  <c r="J890" i="51"/>
  <c r="J889" i="51"/>
  <c r="J888" i="51"/>
  <c r="J887" i="51"/>
  <c r="J886" i="51"/>
  <c r="J885" i="51"/>
  <c r="J884" i="51"/>
  <c r="J883" i="51"/>
  <c r="J882" i="51"/>
  <c r="J881" i="51"/>
  <c r="J880" i="51"/>
  <c r="J879" i="51"/>
  <c r="J878" i="51"/>
  <c r="J877" i="51"/>
  <c r="J876" i="51"/>
  <c r="J875" i="51"/>
  <c r="J874" i="51"/>
  <c r="J873" i="51"/>
  <c r="J872" i="51"/>
  <c r="J871" i="51"/>
  <c r="J870" i="51"/>
  <c r="J869" i="51"/>
  <c r="J868" i="51"/>
  <c r="J867" i="51"/>
  <c r="J866" i="51"/>
  <c r="J865" i="51"/>
  <c r="J864" i="51"/>
  <c r="J863" i="51"/>
  <c r="J862" i="51"/>
  <c r="J861" i="51"/>
  <c r="J860" i="51"/>
  <c r="J859" i="51"/>
  <c r="J858" i="51"/>
  <c r="J857" i="51"/>
  <c r="J856" i="51"/>
  <c r="J855" i="51"/>
  <c r="J854" i="51"/>
  <c r="J853" i="51"/>
  <c r="J852" i="51"/>
  <c r="J851" i="51"/>
  <c r="J850" i="51"/>
  <c r="J849" i="51"/>
  <c r="J848" i="51"/>
  <c r="J847" i="51"/>
  <c r="J846" i="51"/>
  <c r="J845" i="51"/>
  <c r="J844" i="51"/>
  <c r="J843" i="51"/>
  <c r="J842" i="51"/>
  <c r="J841" i="51"/>
  <c r="J840" i="51"/>
  <c r="J839" i="51"/>
  <c r="J838" i="51"/>
  <c r="J837" i="51"/>
  <c r="J836" i="51"/>
  <c r="J835" i="51"/>
  <c r="J834" i="51"/>
  <c r="J833" i="51"/>
  <c r="J832" i="51"/>
  <c r="J831" i="51"/>
  <c r="J830" i="51"/>
  <c r="J829" i="51"/>
  <c r="J828" i="51"/>
  <c r="J827" i="51"/>
  <c r="J826" i="51"/>
  <c r="J825" i="51"/>
  <c r="J824" i="51"/>
  <c r="J823" i="51"/>
  <c r="J822" i="51"/>
  <c r="J821" i="51"/>
  <c r="J820" i="51"/>
  <c r="J819" i="51"/>
  <c r="J818" i="51"/>
  <c r="J817" i="51"/>
  <c r="J816" i="51"/>
  <c r="J815" i="51"/>
  <c r="J814" i="51"/>
  <c r="J813" i="51"/>
  <c r="J812" i="51"/>
  <c r="J811" i="51"/>
  <c r="J810" i="51"/>
  <c r="J809" i="51"/>
  <c r="J808" i="51"/>
  <c r="J807" i="51"/>
  <c r="J806" i="51"/>
  <c r="J805" i="51"/>
  <c r="J804" i="51"/>
  <c r="J803" i="51"/>
  <c r="J802" i="51"/>
  <c r="J801" i="51"/>
  <c r="J800" i="51"/>
  <c r="J799" i="51"/>
  <c r="J798" i="51"/>
  <c r="J797" i="51"/>
  <c r="J796" i="51"/>
  <c r="J795" i="51"/>
  <c r="J794" i="51"/>
  <c r="J793" i="51"/>
  <c r="J792" i="51"/>
  <c r="J791" i="51"/>
  <c r="J790" i="51"/>
  <c r="J789" i="51"/>
  <c r="J788" i="51"/>
  <c r="J787" i="51"/>
  <c r="J786" i="51"/>
  <c r="J785" i="51"/>
  <c r="J784" i="51"/>
  <c r="J783" i="51"/>
  <c r="J782" i="51"/>
  <c r="J781" i="51"/>
  <c r="J780" i="51"/>
  <c r="J779" i="51"/>
  <c r="J778" i="51"/>
  <c r="J777" i="51"/>
  <c r="J776" i="51"/>
  <c r="J775" i="51"/>
  <c r="J774" i="51"/>
  <c r="J773" i="51"/>
  <c r="J772" i="51"/>
  <c r="J771" i="51"/>
  <c r="J770" i="51"/>
  <c r="J769" i="51"/>
  <c r="J768" i="51"/>
  <c r="J767" i="51"/>
  <c r="J766" i="51"/>
  <c r="J765" i="51"/>
  <c r="J764" i="51"/>
  <c r="J763" i="51"/>
  <c r="J762" i="51"/>
  <c r="J761" i="51"/>
  <c r="J760" i="51"/>
  <c r="J759" i="51"/>
  <c r="J758" i="51"/>
  <c r="J757" i="51"/>
  <c r="J756" i="51"/>
  <c r="J755" i="51"/>
  <c r="J754" i="51"/>
  <c r="J753" i="51"/>
  <c r="J752" i="51"/>
  <c r="J751" i="51"/>
  <c r="J750" i="51"/>
  <c r="J749" i="51"/>
  <c r="J748" i="51"/>
  <c r="J747" i="51"/>
  <c r="J746" i="51"/>
  <c r="J745" i="51"/>
  <c r="J744" i="51"/>
  <c r="J743" i="51"/>
  <c r="J742" i="51"/>
  <c r="J741" i="51"/>
  <c r="J740" i="51"/>
  <c r="J739" i="51"/>
  <c r="J738" i="51"/>
  <c r="J737" i="51"/>
  <c r="J736" i="51"/>
  <c r="J735" i="51"/>
  <c r="J734" i="51"/>
  <c r="J733" i="51"/>
  <c r="J732" i="51"/>
  <c r="J731" i="51"/>
  <c r="J730" i="51"/>
  <c r="J729" i="51"/>
  <c r="J728" i="51"/>
  <c r="J727" i="51"/>
  <c r="J726" i="51"/>
  <c r="J725" i="51"/>
  <c r="J724" i="51"/>
  <c r="J723" i="51"/>
  <c r="J722" i="51"/>
  <c r="J721" i="51"/>
  <c r="J720" i="51"/>
  <c r="J719" i="51"/>
  <c r="J718" i="51"/>
  <c r="J717" i="51"/>
  <c r="J716" i="51"/>
  <c r="J715" i="51"/>
  <c r="J714" i="51"/>
  <c r="J713" i="51"/>
  <c r="J712" i="51"/>
  <c r="J711" i="51"/>
  <c r="J710" i="51"/>
  <c r="J709" i="51"/>
  <c r="J708" i="51"/>
  <c r="J707" i="51"/>
  <c r="J706" i="51"/>
  <c r="J705" i="51"/>
  <c r="J704" i="51"/>
  <c r="J703" i="51"/>
  <c r="J702" i="51"/>
  <c r="J701" i="51"/>
  <c r="J700" i="51"/>
  <c r="J699" i="51"/>
  <c r="J698" i="51"/>
  <c r="J697" i="51"/>
  <c r="J696" i="51"/>
  <c r="J695" i="51"/>
  <c r="J694" i="51"/>
  <c r="J693" i="51"/>
  <c r="J692" i="51"/>
  <c r="J691" i="51"/>
  <c r="J690" i="51"/>
  <c r="J689" i="51"/>
  <c r="J688" i="51"/>
  <c r="J687" i="51"/>
  <c r="J686" i="51"/>
  <c r="J685" i="51"/>
  <c r="J684" i="51"/>
  <c r="J683" i="51"/>
  <c r="J682" i="51"/>
  <c r="J681" i="51"/>
  <c r="J680" i="51"/>
  <c r="J679" i="51"/>
  <c r="J678" i="51"/>
  <c r="J677" i="51"/>
  <c r="J676" i="51"/>
  <c r="J675" i="51"/>
  <c r="J674" i="51"/>
  <c r="J673" i="51"/>
  <c r="J672" i="51"/>
  <c r="J671" i="51"/>
  <c r="J670" i="51"/>
  <c r="J669" i="51"/>
  <c r="J668" i="51"/>
  <c r="J667" i="51"/>
  <c r="J666" i="51"/>
  <c r="J665" i="51"/>
  <c r="J664" i="51"/>
  <c r="J663" i="51"/>
  <c r="J662" i="51"/>
  <c r="J661" i="51"/>
  <c r="J660" i="51"/>
  <c r="J659" i="51"/>
  <c r="J658" i="51"/>
  <c r="J657" i="51"/>
  <c r="J656" i="51"/>
  <c r="J655" i="51"/>
  <c r="J654" i="51"/>
  <c r="J653" i="51"/>
  <c r="J652" i="51"/>
  <c r="J651" i="51"/>
  <c r="J650" i="51"/>
  <c r="J649" i="51"/>
  <c r="J648" i="51"/>
  <c r="J647" i="51"/>
  <c r="J646" i="51"/>
  <c r="J645" i="51"/>
  <c r="J644" i="51"/>
  <c r="J643" i="51"/>
  <c r="J642" i="51"/>
  <c r="J641" i="51"/>
  <c r="J640" i="51"/>
  <c r="J639" i="51"/>
  <c r="J638" i="51"/>
  <c r="J637" i="51"/>
  <c r="J636" i="51"/>
  <c r="J635" i="51"/>
  <c r="J634" i="51"/>
  <c r="J633" i="51"/>
  <c r="J632" i="51"/>
  <c r="J631" i="51"/>
  <c r="J630" i="51"/>
  <c r="J629" i="51"/>
  <c r="J628" i="51"/>
  <c r="J627" i="51"/>
  <c r="J626" i="51"/>
  <c r="J625" i="51"/>
  <c r="J624" i="51"/>
  <c r="J623" i="51"/>
  <c r="J622" i="51"/>
  <c r="J621" i="51"/>
  <c r="J620" i="51"/>
  <c r="J619" i="51"/>
  <c r="J618" i="51"/>
  <c r="J617" i="51"/>
  <c r="J616" i="51"/>
  <c r="J615" i="51"/>
  <c r="J614" i="51"/>
  <c r="J613" i="51"/>
  <c r="J612" i="51"/>
  <c r="J611" i="51"/>
  <c r="J610" i="51"/>
  <c r="J609" i="51"/>
  <c r="J608" i="51"/>
  <c r="J607" i="51"/>
  <c r="J606" i="51"/>
  <c r="J605" i="51"/>
  <c r="J604" i="51"/>
  <c r="J603" i="51"/>
  <c r="J602" i="51"/>
  <c r="J601" i="51"/>
  <c r="J600" i="51"/>
  <c r="J599" i="51"/>
  <c r="J598" i="51"/>
  <c r="J597" i="51"/>
  <c r="J596" i="51"/>
  <c r="J595" i="51"/>
  <c r="J594" i="51"/>
  <c r="J593" i="51"/>
  <c r="J592" i="51"/>
  <c r="J591" i="51"/>
  <c r="J590" i="51"/>
  <c r="J589" i="51"/>
  <c r="J588" i="51"/>
  <c r="J587" i="51"/>
  <c r="J586" i="51"/>
  <c r="J585" i="51"/>
  <c r="J584" i="51"/>
  <c r="J583" i="51"/>
  <c r="J582" i="51"/>
  <c r="J581" i="51"/>
  <c r="J580" i="51"/>
  <c r="J579" i="51"/>
  <c r="J578" i="51"/>
  <c r="J577" i="51"/>
  <c r="J576" i="51"/>
  <c r="J575" i="51"/>
  <c r="J574" i="51"/>
  <c r="J573" i="51"/>
  <c r="J572" i="51"/>
  <c r="J571" i="51"/>
  <c r="J570" i="51"/>
  <c r="J569" i="51"/>
  <c r="J568" i="51"/>
  <c r="J567" i="51"/>
  <c r="J566" i="51"/>
  <c r="J565" i="51"/>
  <c r="J564" i="51"/>
  <c r="J563" i="51"/>
  <c r="J562" i="51"/>
  <c r="J561" i="51"/>
  <c r="J560" i="51"/>
  <c r="J559" i="51"/>
  <c r="J558" i="51"/>
  <c r="J557" i="51"/>
  <c r="J556" i="51"/>
  <c r="J555" i="51"/>
  <c r="J554" i="51"/>
  <c r="J553" i="51"/>
  <c r="J552" i="51"/>
  <c r="J551" i="51"/>
  <c r="J550" i="51"/>
  <c r="J549" i="51"/>
  <c r="J548" i="51"/>
  <c r="J547" i="51"/>
  <c r="J546" i="51"/>
  <c r="J545" i="51"/>
  <c r="J544" i="51"/>
  <c r="J543" i="51"/>
  <c r="J542" i="51"/>
  <c r="J541" i="51"/>
  <c r="J540" i="51"/>
  <c r="J539" i="51"/>
  <c r="J538" i="51"/>
  <c r="J537" i="51"/>
  <c r="J536" i="51"/>
  <c r="J535" i="51"/>
  <c r="J534" i="51"/>
  <c r="J533" i="51"/>
  <c r="J532" i="51"/>
  <c r="J531" i="51"/>
  <c r="J530" i="51"/>
  <c r="J529" i="51"/>
  <c r="J528" i="51"/>
  <c r="J527" i="51"/>
  <c r="J526" i="51"/>
  <c r="J525" i="51"/>
  <c r="J524" i="51"/>
  <c r="J523" i="51"/>
  <c r="J522" i="51"/>
  <c r="J521" i="51"/>
  <c r="J520" i="51"/>
  <c r="J519" i="51"/>
  <c r="J518" i="51"/>
  <c r="J517" i="51"/>
  <c r="J516" i="51"/>
  <c r="J515" i="51"/>
  <c r="J514" i="51"/>
  <c r="J513" i="51"/>
  <c r="J512" i="51"/>
  <c r="J511" i="51"/>
  <c r="J510" i="51"/>
  <c r="J509" i="51"/>
  <c r="J508" i="51"/>
  <c r="J507" i="51"/>
  <c r="J506" i="51"/>
  <c r="J505" i="51"/>
  <c r="J504" i="51"/>
  <c r="J503" i="51"/>
  <c r="J502" i="51"/>
  <c r="J501" i="51"/>
  <c r="J500" i="51"/>
  <c r="J499" i="51"/>
  <c r="J498" i="51"/>
  <c r="J497" i="51"/>
  <c r="J496" i="51"/>
  <c r="J495" i="51"/>
  <c r="J494" i="51"/>
  <c r="J493" i="51"/>
  <c r="J492" i="51"/>
  <c r="J491" i="51"/>
  <c r="J490" i="51"/>
  <c r="J489" i="51"/>
  <c r="J488" i="51"/>
  <c r="J487" i="51"/>
  <c r="J486" i="51"/>
  <c r="J485" i="51"/>
  <c r="J484" i="51"/>
  <c r="J483" i="51"/>
  <c r="J482" i="51"/>
  <c r="J481" i="51"/>
  <c r="J480" i="51"/>
  <c r="J479" i="51"/>
  <c r="J478" i="51"/>
  <c r="J477" i="51"/>
  <c r="J476" i="51"/>
  <c r="J475" i="51"/>
  <c r="J474" i="51"/>
  <c r="J473" i="51"/>
  <c r="J472" i="51"/>
  <c r="J471" i="51"/>
  <c r="J470" i="51"/>
  <c r="J469" i="51"/>
  <c r="J468" i="51"/>
  <c r="J467" i="51"/>
  <c r="J466" i="51"/>
  <c r="J465" i="51"/>
  <c r="J464" i="51"/>
  <c r="J463" i="51"/>
  <c r="J462" i="51"/>
  <c r="J461" i="51"/>
  <c r="J460" i="51"/>
  <c r="J459" i="51"/>
  <c r="J458" i="51"/>
  <c r="J457" i="51"/>
  <c r="J456" i="51"/>
  <c r="J455" i="51"/>
  <c r="J454" i="51"/>
  <c r="J453" i="51"/>
  <c r="J452" i="51"/>
  <c r="J451" i="51"/>
  <c r="J450" i="51"/>
  <c r="J449" i="51"/>
  <c r="J448" i="51"/>
  <c r="J447" i="51"/>
  <c r="J446" i="51"/>
  <c r="J445" i="51"/>
  <c r="J444" i="51"/>
  <c r="J443" i="51"/>
  <c r="J442" i="51"/>
  <c r="J441" i="51"/>
  <c r="J440" i="51"/>
  <c r="J439" i="51"/>
  <c r="J438" i="51"/>
  <c r="J437" i="51"/>
  <c r="J436" i="51"/>
  <c r="J435" i="51"/>
  <c r="J434" i="51"/>
  <c r="J433" i="51"/>
  <c r="J432" i="51"/>
  <c r="J431" i="51"/>
  <c r="J430" i="51"/>
  <c r="J429" i="51"/>
  <c r="J428" i="51"/>
  <c r="J427" i="51"/>
  <c r="J426" i="51"/>
  <c r="J425" i="51"/>
  <c r="J424" i="51"/>
  <c r="J423" i="51"/>
  <c r="J422" i="51"/>
  <c r="J421" i="51"/>
  <c r="J420" i="51"/>
  <c r="J419" i="51"/>
  <c r="J418" i="51"/>
  <c r="J417" i="51"/>
  <c r="J416" i="51"/>
  <c r="J415" i="51"/>
  <c r="J414" i="51"/>
  <c r="J413" i="51"/>
  <c r="J412" i="51"/>
  <c r="J411" i="51"/>
  <c r="J410" i="51"/>
  <c r="J409" i="51"/>
  <c r="J408" i="51"/>
  <c r="J407" i="51"/>
  <c r="J406" i="51"/>
  <c r="J405" i="51"/>
  <c r="J404" i="51"/>
  <c r="J403" i="51"/>
  <c r="J402" i="51"/>
  <c r="J401" i="51"/>
  <c r="J400" i="51"/>
  <c r="J399" i="51"/>
  <c r="J398" i="51"/>
  <c r="J397" i="51"/>
  <c r="J396" i="51"/>
  <c r="J395" i="51"/>
  <c r="J394" i="51"/>
  <c r="J393" i="51"/>
  <c r="J392" i="51"/>
  <c r="J391" i="51"/>
  <c r="J390" i="51"/>
  <c r="J389" i="51"/>
  <c r="J388" i="51"/>
  <c r="J387" i="51"/>
  <c r="J386" i="51"/>
  <c r="J385" i="51"/>
  <c r="J384" i="51"/>
  <c r="J383" i="51"/>
  <c r="J382" i="51"/>
  <c r="J381" i="51"/>
  <c r="J380" i="51"/>
  <c r="J379" i="51"/>
  <c r="J378" i="51"/>
  <c r="J377" i="51"/>
  <c r="J376" i="51"/>
  <c r="J375" i="51"/>
  <c r="J374" i="51"/>
  <c r="J373" i="51"/>
  <c r="J372" i="51"/>
  <c r="J371" i="51"/>
  <c r="J370" i="51"/>
  <c r="J369" i="51"/>
  <c r="J368" i="51"/>
  <c r="J367" i="51"/>
  <c r="J366" i="51"/>
  <c r="J365" i="51"/>
  <c r="J364" i="51"/>
  <c r="J363" i="51"/>
  <c r="J362" i="51"/>
  <c r="J361" i="51"/>
  <c r="J360" i="51"/>
  <c r="J359" i="51"/>
  <c r="J358" i="51"/>
  <c r="J357" i="51"/>
  <c r="J356" i="51"/>
  <c r="J355" i="51"/>
  <c r="J354" i="51"/>
  <c r="J353" i="51"/>
  <c r="J352" i="51"/>
  <c r="J351" i="51"/>
  <c r="J350" i="51"/>
  <c r="J349" i="51"/>
  <c r="J348" i="51"/>
  <c r="J347" i="51"/>
  <c r="J346" i="51"/>
  <c r="J345" i="51"/>
  <c r="J344" i="51"/>
  <c r="J343" i="51"/>
  <c r="J342" i="51"/>
  <c r="J341" i="51"/>
  <c r="J340" i="51"/>
  <c r="J339" i="51"/>
  <c r="J338" i="51"/>
  <c r="J337" i="51"/>
  <c r="J336" i="51"/>
  <c r="J335" i="51"/>
  <c r="J334" i="51"/>
  <c r="J333" i="51"/>
  <c r="J332" i="51"/>
  <c r="J331" i="51"/>
  <c r="J330" i="51"/>
  <c r="J329" i="51"/>
  <c r="J328" i="51"/>
  <c r="J327" i="51"/>
  <c r="J326" i="51"/>
  <c r="J325" i="51"/>
  <c r="J324" i="51"/>
  <c r="J323" i="51"/>
  <c r="J322" i="51"/>
  <c r="J321" i="51"/>
  <c r="J320" i="51"/>
  <c r="J319" i="51"/>
  <c r="J318" i="51"/>
  <c r="J317" i="51"/>
  <c r="J316" i="51"/>
  <c r="J315" i="51"/>
  <c r="J314" i="51"/>
  <c r="J313" i="51"/>
  <c r="J312" i="51"/>
  <c r="J311" i="51"/>
  <c r="J310" i="51"/>
  <c r="J309" i="51"/>
  <c r="J308" i="51"/>
  <c r="J307" i="51"/>
  <c r="J306" i="51"/>
  <c r="J305" i="51"/>
  <c r="J304" i="51"/>
  <c r="J303" i="51"/>
  <c r="J302" i="51"/>
  <c r="J301" i="51"/>
  <c r="J300" i="51"/>
  <c r="J299" i="51"/>
  <c r="J298" i="51"/>
  <c r="J297" i="51"/>
  <c r="J296" i="51"/>
  <c r="J295" i="51"/>
  <c r="J294" i="51"/>
  <c r="J293" i="51"/>
  <c r="J292" i="51"/>
  <c r="J291" i="51"/>
  <c r="J290" i="51"/>
  <c r="J289" i="51"/>
  <c r="J288" i="51"/>
  <c r="J287" i="51"/>
  <c r="J286" i="51"/>
  <c r="J285" i="51"/>
  <c r="J284" i="51"/>
  <c r="J283" i="51"/>
  <c r="J282" i="51"/>
  <c r="J281" i="51"/>
  <c r="J280" i="51"/>
  <c r="J279" i="51"/>
  <c r="J278" i="51"/>
  <c r="J277" i="51"/>
  <c r="J276" i="51"/>
  <c r="J275" i="51"/>
  <c r="J274" i="51"/>
  <c r="J273" i="51"/>
  <c r="J272" i="51"/>
  <c r="J271" i="51"/>
  <c r="J270" i="51"/>
  <c r="J269" i="51"/>
  <c r="J268" i="51"/>
  <c r="J267" i="51"/>
  <c r="J266" i="51"/>
  <c r="J265" i="51"/>
  <c r="J264" i="51"/>
  <c r="J263" i="51"/>
  <c r="J262" i="51"/>
  <c r="J261" i="51"/>
  <c r="J260" i="51"/>
  <c r="J259" i="51"/>
  <c r="J258" i="51"/>
  <c r="J257" i="51"/>
  <c r="J256" i="51"/>
  <c r="J255" i="51"/>
  <c r="J254" i="51"/>
  <c r="J253" i="51"/>
  <c r="J252" i="51"/>
  <c r="J251" i="51"/>
  <c r="J250" i="51"/>
  <c r="J249" i="51"/>
  <c r="J248" i="51"/>
  <c r="J247" i="51"/>
  <c r="J246" i="51"/>
  <c r="J245" i="51"/>
  <c r="J244" i="51"/>
  <c r="J243" i="51"/>
  <c r="J242" i="51"/>
  <c r="J241" i="51"/>
  <c r="J240" i="51"/>
  <c r="J239" i="51"/>
  <c r="J238" i="51"/>
  <c r="J237" i="51"/>
  <c r="J236" i="51"/>
  <c r="J235" i="51"/>
  <c r="J234" i="51"/>
  <c r="J233" i="51"/>
  <c r="J232" i="51"/>
  <c r="J231" i="51"/>
  <c r="J230" i="51"/>
  <c r="J229" i="51"/>
  <c r="J228" i="51"/>
  <c r="J227" i="51"/>
  <c r="J226" i="51"/>
  <c r="J225" i="51"/>
  <c r="J224" i="51"/>
  <c r="J223" i="51"/>
  <c r="J222" i="51"/>
  <c r="J221" i="51"/>
  <c r="J220" i="51"/>
  <c r="J219" i="51"/>
  <c r="J218" i="51"/>
  <c r="J217" i="51"/>
  <c r="J216" i="51"/>
  <c r="J215" i="51"/>
  <c r="J214" i="51"/>
  <c r="J213" i="51"/>
  <c r="J212" i="51"/>
  <c r="J211" i="51"/>
  <c r="J210" i="51"/>
  <c r="J209" i="51"/>
  <c r="J208" i="51"/>
  <c r="J207" i="51"/>
  <c r="J206" i="51"/>
  <c r="J205" i="51"/>
  <c r="J204" i="51"/>
  <c r="J203" i="51"/>
  <c r="J202" i="51"/>
  <c r="J201" i="51"/>
  <c r="J200" i="51"/>
  <c r="J199" i="51"/>
  <c r="J198" i="51"/>
  <c r="J197" i="51"/>
  <c r="J196" i="51"/>
  <c r="J195" i="51"/>
  <c r="J194" i="51"/>
  <c r="J193" i="51"/>
  <c r="J192" i="51"/>
  <c r="J191" i="51"/>
  <c r="J190" i="51"/>
  <c r="J189" i="51"/>
  <c r="J188" i="51"/>
  <c r="J187" i="51"/>
  <c r="J186" i="51"/>
  <c r="J185" i="51"/>
  <c r="J184" i="51"/>
  <c r="J183" i="51"/>
  <c r="J182" i="51"/>
  <c r="J181" i="51"/>
  <c r="J180" i="51"/>
  <c r="J179" i="51"/>
  <c r="J178" i="51"/>
  <c r="J177" i="51"/>
  <c r="J176" i="51"/>
  <c r="J175" i="51"/>
  <c r="J174" i="51"/>
  <c r="J173" i="51"/>
  <c r="J172" i="51"/>
  <c r="J171" i="51"/>
  <c r="J170" i="51"/>
  <c r="J169" i="51"/>
  <c r="J168" i="51"/>
  <c r="J167" i="51"/>
  <c r="J166" i="51"/>
  <c r="J165" i="51"/>
  <c r="J164" i="51"/>
  <c r="J163" i="51"/>
  <c r="J162" i="51"/>
  <c r="J161" i="51"/>
  <c r="J160" i="51"/>
  <c r="J159" i="51"/>
  <c r="J158" i="51"/>
  <c r="J157" i="51"/>
  <c r="J156" i="51"/>
  <c r="J155" i="51"/>
  <c r="J154" i="51"/>
  <c r="J153" i="51"/>
  <c r="J152" i="51"/>
  <c r="J151" i="51"/>
  <c r="J150" i="51"/>
  <c r="J149" i="51"/>
  <c r="J148" i="51"/>
  <c r="J147" i="51"/>
  <c r="J146" i="51"/>
  <c r="J145" i="51"/>
  <c r="J144" i="51"/>
  <c r="J143" i="51"/>
  <c r="J142" i="51"/>
  <c r="J141" i="51"/>
  <c r="J140" i="51"/>
  <c r="J139" i="51"/>
  <c r="J138" i="51"/>
  <c r="J137" i="51"/>
  <c r="J136" i="51"/>
  <c r="J135" i="51"/>
  <c r="J134" i="51"/>
  <c r="J133" i="51"/>
  <c r="J132" i="51"/>
  <c r="J131" i="51"/>
  <c r="J130" i="51"/>
  <c r="J129" i="51"/>
  <c r="J128" i="51"/>
  <c r="J127" i="51"/>
  <c r="J126" i="51"/>
  <c r="J125" i="51"/>
  <c r="J124" i="51"/>
  <c r="J123" i="51"/>
  <c r="J122" i="51"/>
  <c r="J121" i="51"/>
  <c r="J120" i="51"/>
  <c r="J119" i="51"/>
  <c r="J118" i="51"/>
  <c r="J117" i="51"/>
  <c r="J116" i="51"/>
  <c r="J115" i="51"/>
  <c r="J114" i="51"/>
  <c r="J113" i="51"/>
  <c r="J112" i="51"/>
  <c r="J111" i="51"/>
  <c r="J110" i="51"/>
  <c r="J109" i="51"/>
  <c r="J108" i="51"/>
  <c r="J107" i="51"/>
  <c r="J106" i="51"/>
  <c r="J105" i="51"/>
  <c r="J104" i="51"/>
  <c r="J103" i="51"/>
  <c r="J102" i="51"/>
  <c r="J101" i="51"/>
  <c r="J100" i="51"/>
  <c r="J99" i="51"/>
  <c r="J98" i="51"/>
  <c r="J97" i="51"/>
  <c r="J96" i="51"/>
  <c r="J95" i="51"/>
  <c r="J94" i="51"/>
  <c r="J93" i="51"/>
  <c r="J92" i="51"/>
  <c r="J91" i="51"/>
  <c r="J90" i="51"/>
  <c r="J89" i="51"/>
  <c r="J88" i="51"/>
  <c r="J87" i="51"/>
  <c r="J86" i="51"/>
  <c r="J85" i="51"/>
  <c r="J84" i="51"/>
  <c r="J83" i="51"/>
  <c r="J82" i="51"/>
  <c r="J81" i="51"/>
  <c r="J80" i="51"/>
  <c r="J79" i="51"/>
  <c r="J78" i="51"/>
  <c r="J77" i="51"/>
  <c r="J76" i="51"/>
  <c r="J75" i="51"/>
  <c r="J74" i="51"/>
  <c r="J73" i="51"/>
  <c r="J72" i="51"/>
  <c r="J71" i="51"/>
  <c r="J70" i="51"/>
  <c r="J69" i="51"/>
  <c r="J68" i="51"/>
  <c r="J67" i="51"/>
  <c r="J66" i="51"/>
  <c r="J65" i="51"/>
  <c r="J64" i="51"/>
  <c r="J63" i="51"/>
  <c r="J62" i="51"/>
  <c r="J61" i="51"/>
  <c r="J60" i="51"/>
  <c r="J59" i="51"/>
  <c r="J58" i="51"/>
  <c r="J57" i="51"/>
  <c r="J56" i="51"/>
  <c r="J55" i="51"/>
  <c r="J54" i="51"/>
  <c r="J53" i="51"/>
  <c r="J52" i="51"/>
  <c r="J51" i="51"/>
  <c r="J50" i="51"/>
  <c r="J49" i="51"/>
  <c r="J48" i="51"/>
  <c r="J47" i="51"/>
  <c r="J46" i="51"/>
  <c r="J45" i="51"/>
  <c r="J44" i="51"/>
  <c r="J43" i="5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27" i="51"/>
  <c r="J26" i="51"/>
  <c r="J25" i="51"/>
  <c r="J24" i="51"/>
  <c r="J23" i="51"/>
  <c r="J22" i="51"/>
  <c r="J21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V6" i="51"/>
  <c r="J6" i="51"/>
  <c r="V5" i="51"/>
  <c r="J5" i="51"/>
  <c r="V4" i="51"/>
  <c r="J4" i="51"/>
  <c r="J3" i="51"/>
  <c r="V2" i="51"/>
  <c r="V3" i="51" s="1"/>
  <c r="J2" i="51"/>
  <c r="V1" i="51"/>
  <c r="D45" i="50"/>
  <c r="D44" i="50"/>
  <c r="D43" i="50"/>
  <c r="D42" i="50"/>
  <c r="D41" i="50"/>
  <c r="D40" i="50"/>
  <c r="D39" i="50"/>
  <c r="D38" i="50"/>
  <c r="D37" i="50"/>
  <c r="D36" i="50"/>
  <c r="D35" i="50"/>
  <c r="D34" i="50"/>
  <c r="K33" i="50"/>
  <c r="D33" i="50"/>
  <c r="K32" i="50"/>
  <c r="D32" i="50"/>
  <c r="K31" i="50"/>
  <c r="D31" i="50"/>
  <c r="K30" i="50"/>
  <c r="D30" i="50"/>
  <c r="K29" i="50"/>
  <c r="D29" i="50"/>
  <c r="K28" i="50"/>
  <c r="D28" i="50"/>
  <c r="K27" i="50"/>
  <c r="D27" i="50"/>
  <c r="K26" i="50"/>
  <c r="D26" i="50"/>
  <c r="K25" i="50"/>
  <c r="D25" i="50"/>
  <c r="K24" i="50"/>
  <c r="D24" i="50"/>
  <c r="K23" i="50"/>
  <c r="D23" i="50"/>
  <c r="K22" i="50"/>
  <c r="D22" i="50"/>
  <c r="K21" i="50"/>
  <c r="D21" i="50"/>
  <c r="K20" i="50"/>
  <c r="D20" i="50"/>
  <c r="K19" i="50"/>
  <c r="D19" i="50"/>
  <c r="K18" i="50"/>
  <c r="D18" i="50"/>
  <c r="K17" i="50"/>
  <c r="D17" i="50"/>
  <c r="K16" i="50"/>
  <c r="D16" i="50"/>
  <c r="K15" i="50"/>
  <c r="D15" i="50"/>
  <c r="K14" i="50"/>
  <c r="D14" i="50"/>
  <c r="K13" i="50"/>
  <c r="D13" i="50"/>
  <c r="K12" i="50"/>
  <c r="D12" i="50"/>
  <c r="K11" i="50"/>
  <c r="D11" i="50"/>
  <c r="K10" i="50"/>
  <c r="D10" i="50"/>
  <c r="K9" i="50"/>
  <c r="D9" i="50"/>
  <c r="K8" i="50"/>
  <c r="D8" i="50"/>
  <c r="K7" i="50"/>
  <c r="D7" i="50"/>
  <c r="K6" i="50"/>
  <c r="D6" i="50"/>
  <c r="K5" i="50"/>
  <c r="D5" i="50"/>
  <c r="K4" i="50"/>
  <c r="D4" i="50"/>
  <c r="K3" i="50"/>
  <c r="D3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G3" i="50" a="1"/>
  <c r="G3" i="50" s="1"/>
  <c r="AA260" i="31"/>
  <c r="Z260" i="31"/>
  <c r="Y260" i="31"/>
  <c r="X260" i="31"/>
  <c r="W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AA247" i="31"/>
  <c r="Z247" i="31"/>
  <c r="Y247" i="31"/>
  <c r="X247" i="31"/>
  <c r="W247" i="31"/>
  <c r="V247" i="31"/>
  <c r="U247" i="31"/>
  <c r="T247" i="31"/>
  <c r="S247" i="31"/>
  <c r="R247" i="31"/>
  <c r="Q247" i="31"/>
  <c r="P247" i="31"/>
  <c r="O247" i="31"/>
  <c r="N247" i="31"/>
  <c r="M247" i="31"/>
  <c r="L247" i="31"/>
  <c r="K247" i="31"/>
  <c r="J247" i="31"/>
  <c r="I247" i="31"/>
  <c r="H247" i="31"/>
  <c r="G247" i="31"/>
  <c r="F247" i="31"/>
  <c r="E247" i="31"/>
  <c r="D247" i="31"/>
  <c r="AA253" i="31"/>
  <c r="Z253" i="31"/>
  <c r="Y253" i="31"/>
  <c r="X253" i="31"/>
  <c r="W253" i="31"/>
  <c r="V253" i="31"/>
  <c r="U253" i="31"/>
  <c r="T253" i="31"/>
  <c r="S253" i="31"/>
  <c r="R253" i="31"/>
  <c r="Q253" i="31"/>
  <c r="P253" i="31"/>
  <c r="O253" i="31"/>
  <c r="N253" i="31"/>
  <c r="M253" i="31"/>
  <c r="L253" i="31"/>
  <c r="K253" i="31"/>
  <c r="J253" i="31"/>
  <c r="I253" i="31"/>
  <c r="H253" i="31"/>
  <c r="G253" i="31"/>
  <c r="F253" i="31"/>
  <c r="E253" i="31"/>
  <c r="D253" i="31"/>
  <c r="K4" i="48" l="1"/>
  <c r="B4" i="54"/>
  <c r="G4" i="54" s="1"/>
  <c r="G62" i="54"/>
  <c r="G54" i="54"/>
  <c r="G46" i="54"/>
  <c r="G38" i="54"/>
  <c r="G61" i="54"/>
  <c r="G53" i="54"/>
  <c r="G45" i="54"/>
  <c r="G37" i="54"/>
  <c r="G29" i="54"/>
  <c r="G21" i="54"/>
  <c r="G13" i="54"/>
  <c r="G5" i="54"/>
  <c r="G60" i="54"/>
  <c r="G52" i="54"/>
  <c r="G44" i="54"/>
  <c r="G28" i="54"/>
  <c r="G20" i="54"/>
  <c r="G12" i="54"/>
  <c r="G63" i="54"/>
  <c r="G39" i="54"/>
  <c r="G30" i="54"/>
  <c r="G36" i="54"/>
  <c r="G31" i="54"/>
  <c r="G22" i="54"/>
  <c r="G59" i="54"/>
  <c r="G51" i="54"/>
  <c r="G43" i="54"/>
  <c r="G35" i="54"/>
  <c r="G27" i="54"/>
  <c r="G19" i="54"/>
  <c r="G11" i="54"/>
  <c r="G15" i="54"/>
  <c r="G66" i="54"/>
  <c r="G58" i="54"/>
  <c r="G50" i="54"/>
  <c r="G42" i="54"/>
  <c r="G34" i="54"/>
  <c r="G26" i="54"/>
  <c r="G18" i="54"/>
  <c r="G10" i="54"/>
  <c r="G65" i="54"/>
  <c r="G57" i="54"/>
  <c r="G49" i="54"/>
  <c r="G41" i="54"/>
  <c r="G33" i="54"/>
  <c r="G25" i="54"/>
  <c r="G17" i="54"/>
  <c r="G9" i="54"/>
  <c r="G55" i="54"/>
  <c r="G23" i="54"/>
  <c r="G6" i="54"/>
  <c r="G64" i="54"/>
  <c r="G56" i="54"/>
  <c r="G48" i="54"/>
  <c r="G40" i="54"/>
  <c r="G32" i="54"/>
  <c r="G24" i="54"/>
  <c r="G16" i="54"/>
  <c r="G8" i="54"/>
  <c r="G47" i="54"/>
  <c r="G7" i="54"/>
  <c r="G14" i="54"/>
  <c r="D1" i="50"/>
  <c r="J26" i="52"/>
  <c r="L26" i="52" s="1"/>
  <c r="M26" i="52" s="1"/>
  <c r="J24" i="52"/>
  <c r="L24" i="52" s="1"/>
  <c r="M24" i="52" s="1"/>
  <c r="J15" i="52"/>
  <c r="L15" i="52" s="1"/>
  <c r="M15" i="52" s="1"/>
  <c r="J31" i="52"/>
  <c r="L31" i="52" s="1"/>
  <c r="M31" i="52" s="1"/>
  <c r="J29" i="52"/>
  <c r="L29" i="52" s="1"/>
  <c r="M29" i="52" s="1"/>
  <c r="J36" i="52"/>
  <c r="L36" i="52" s="1"/>
  <c r="M36" i="52" s="1"/>
  <c r="J38" i="52"/>
  <c r="L38" i="52" s="1"/>
  <c r="M38" i="52" s="1"/>
  <c r="J13" i="52"/>
  <c r="L13" i="52" s="1"/>
  <c r="M13" i="52" s="1"/>
  <c r="J25" i="52"/>
  <c r="L25" i="52" s="1"/>
  <c r="M25" i="52" s="1"/>
  <c r="J20" i="52"/>
  <c r="L20" i="52" s="1"/>
  <c r="M20" i="52" s="1"/>
  <c r="J22" i="52"/>
  <c r="L22" i="52" s="1"/>
  <c r="M22" i="52" s="1"/>
  <c r="J18" i="52"/>
  <c r="L18" i="52" s="1"/>
  <c r="M18" i="52" s="1"/>
  <c r="J32" i="52"/>
  <c r="L32" i="52" s="1"/>
  <c r="M32" i="52" s="1"/>
  <c r="J14" i="52"/>
  <c r="L14" i="52" s="1"/>
  <c r="M14" i="52" s="1"/>
  <c r="J16" i="52"/>
  <c r="L16" i="52" s="1"/>
  <c r="M16" i="52" s="1"/>
  <c r="J19" i="52"/>
  <c r="L19" i="52" s="1"/>
  <c r="M19" i="52" s="1"/>
  <c r="J21" i="52"/>
  <c r="L21" i="52" s="1"/>
  <c r="M21" i="52" s="1"/>
  <c r="J23" i="52"/>
  <c r="L23" i="52" s="1"/>
  <c r="M23" i="52" s="1"/>
  <c r="J30" i="52"/>
  <c r="L30" i="52" s="1"/>
  <c r="M30" i="52" s="1"/>
  <c r="J35" i="52"/>
  <c r="L35" i="52" s="1"/>
  <c r="M35" i="52" s="1"/>
  <c r="J37" i="52"/>
  <c r="L37" i="52" s="1"/>
  <c r="M37" i="52" s="1"/>
  <c r="J39" i="52"/>
  <c r="L39" i="52" s="1"/>
  <c r="M39" i="52" s="1"/>
  <c r="L12" i="52"/>
  <c r="M12" i="52" s="1"/>
  <c r="H3" i="50"/>
  <c r="I17" i="50"/>
  <c r="I33" i="50"/>
  <c r="J33" i="50" s="1"/>
  <c r="I8" i="50"/>
  <c r="I16" i="50"/>
  <c r="I24" i="50"/>
  <c r="I32" i="50"/>
  <c r="I10" i="50"/>
  <c r="I25" i="50"/>
  <c r="I7" i="50"/>
  <c r="I15" i="50"/>
  <c r="I23" i="50"/>
  <c r="I31" i="50"/>
  <c r="L33" i="50"/>
  <c r="I6" i="50"/>
  <c r="I14" i="50"/>
  <c r="I22" i="50"/>
  <c r="I30" i="50"/>
  <c r="I9" i="50"/>
  <c r="I5" i="50"/>
  <c r="I13" i="50"/>
  <c r="I21" i="50"/>
  <c r="I29" i="50"/>
  <c r="I20" i="50"/>
  <c r="I28" i="50"/>
  <c r="I12" i="50"/>
  <c r="I11" i="50"/>
  <c r="I19" i="50"/>
  <c r="I27" i="50"/>
  <c r="I4" i="50"/>
  <c r="I18" i="50"/>
  <c r="I26" i="50"/>
  <c r="AE260" i="31"/>
  <c r="AC247" i="31"/>
  <c r="AC260" i="31"/>
  <c r="AE253" i="31"/>
  <c r="AE247" i="31"/>
  <c r="AC253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BN104" i="30" a="1"/>
  <c r="BN104" i="30" s="1"/>
  <c r="BN103" i="30" a="1"/>
  <c r="BN103" i="30" s="1"/>
  <c r="BN102" i="30" a="1"/>
  <c r="BN102" i="30" s="1"/>
  <c r="BN101" i="30" a="1"/>
  <c r="BN101" i="30" s="1"/>
  <c r="BN100" i="30" a="1"/>
  <c r="BN100" i="30" s="1"/>
  <c r="BN99" i="30" a="1"/>
  <c r="BN99" i="30" s="1"/>
  <c r="BN98" i="30" a="1"/>
  <c r="BN98" i="30" s="1"/>
  <c r="BN97" i="30" a="1"/>
  <c r="BN97" i="30" s="1"/>
  <c r="BN96" i="30" a="1"/>
  <c r="BN96" i="30" s="1"/>
  <c r="BN95" i="30" a="1"/>
  <c r="BN95" i="30" s="1"/>
  <c r="BN94" i="30" a="1"/>
  <c r="BN94" i="30" s="1"/>
  <c r="BN93" i="30" a="1"/>
  <c r="BN93" i="30" s="1"/>
  <c r="BN92" i="30" a="1"/>
  <c r="BN92" i="30" s="1"/>
  <c r="BN91" i="30" a="1"/>
  <c r="BN91" i="30" s="1"/>
  <c r="BN90" i="30" a="1"/>
  <c r="BN90" i="30" s="1"/>
  <c r="BN89" i="30" a="1"/>
  <c r="BN89" i="30" s="1"/>
  <c r="BN88" i="30" a="1"/>
  <c r="BN88" i="30" s="1"/>
  <c r="BN87" i="30" a="1"/>
  <c r="BN87" i="30" s="1"/>
  <c r="BN86" i="30" a="1"/>
  <c r="BN86" i="30" s="1"/>
  <c r="BN85" i="30" a="1"/>
  <c r="BN85" i="30" s="1"/>
  <c r="BN84" i="30" a="1"/>
  <c r="BN84" i="30" s="1"/>
  <c r="BN83" i="30" a="1"/>
  <c r="BN83" i="30" s="1"/>
  <c r="BN82" i="30" a="1"/>
  <c r="BN82" i="30" s="1"/>
  <c r="BN81" i="30" a="1"/>
  <c r="BN81" i="30" s="1"/>
  <c r="BN80" i="30" a="1"/>
  <c r="BN80" i="30" s="1"/>
  <c r="BN79" i="30" a="1"/>
  <c r="BN79" i="30" s="1"/>
  <c r="BN78" i="30" a="1"/>
  <c r="BN78" i="30" s="1"/>
  <c r="BN77" i="30" a="1"/>
  <c r="BN77" i="30" s="1"/>
  <c r="BN76" i="30" a="1"/>
  <c r="BN76" i="30" s="1"/>
  <c r="BN75" i="30" a="1"/>
  <c r="BN75" i="30" s="1"/>
  <c r="BN74" i="30" a="1"/>
  <c r="BN74" i="30" s="1"/>
  <c r="BN73" i="30" a="1"/>
  <c r="BN73" i="30" s="1"/>
  <c r="BN72" i="30" a="1"/>
  <c r="BN72" i="30" s="1"/>
  <c r="BN71" i="30" a="1"/>
  <c r="BN71" i="30" s="1"/>
  <c r="BN70" i="30" a="1"/>
  <c r="BN70" i="30" s="1"/>
  <c r="BN69" i="30" a="1"/>
  <c r="BN69" i="30" s="1"/>
  <c r="BN68" i="30" a="1"/>
  <c r="BN68" i="30" s="1"/>
  <c r="BN67" i="30" a="1"/>
  <c r="BN67" i="30" s="1"/>
  <c r="BN66" i="30" a="1"/>
  <c r="BN66" i="30" s="1"/>
  <c r="BN65" i="30" a="1"/>
  <c r="BN65" i="30" s="1"/>
  <c r="BN64" i="30" a="1"/>
  <c r="BN64" i="30" s="1"/>
  <c r="BN63" i="30" a="1"/>
  <c r="BN63" i="30" s="1"/>
  <c r="BN62" i="30" a="1"/>
  <c r="BN62" i="30" s="1"/>
  <c r="BN61" i="30" a="1"/>
  <c r="BN61" i="30" s="1"/>
  <c r="BN60" i="30" a="1"/>
  <c r="BN60" i="30" s="1"/>
  <c r="BN59" i="30" a="1"/>
  <c r="BN59" i="30" s="1"/>
  <c r="BN58" i="30" a="1"/>
  <c r="BN58" i="30" s="1"/>
  <c r="BN57" i="30" a="1"/>
  <c r="BN57" i="30" s="1"/>
  <c r="BN56" i="30" a="1"/>
  <c r="BN56" i="30" s="1"/>
  <c r="BN55" i="30"/>
  <c r="BN55" i="30" a="1"/>
  <c r="BN54" i="30" a="1"/>
  <c r="BN54" i="30" s="1"/>
  <c r="BN53" i="30" a="1"/>
  <c r="BN53" i="30" s="1"/>
  <c r="BN52" i="30" a="1"/>
  <c r="BN52" i="30" s="1"/>
  <c r="BN51" i="30" a="1"/>
  <c r="BN51" i="30" s="1"/>
  <c r="BN50" i="30" a="1"/>
  <c r="BN50" i="30" s="1"/>
  <c r="BN49" i="30" a="1"/>
  <c r="BN49" i="30" s="1"/>
  <c r="BN48" i="30" a="1"/>
  <c r="BN48" i="30" s="1"/>
  <c r="BN47" i="30" a="1"/>
  <c r="BN47" i="30" s="1"/>
  <c r="BN46" i="30" a="1"/>
  <c r="BN46" i="30" s="1"/>
  <c r="BN45" i="30" a="1"/>
  <c r="BN45" i="30" s="1"/>
  <c r="BN44" i="30" a="1"/>
  <c r="BN44" i="30" s="1"/>
  <c r="BN43" i="30" a="1"/>
  <c r="BN43" i="30" s="1"/>
  <c r="BN42" i="30" a="1"/>
  <c r="BN42" i="30" s="1"/>
  <c r="BN41" i="30" a="1"/>
  <c r="BN41" i="30" s="1"/>
  <c r="BN40" i="30" a="1"/>
  <c r="BN40" i="30" s="1"/>
  <c r="BN39" i="30" a="1"/>
  <c r="BN39" i="30" s="1"/>
  <c r="BN38" i="30" a="1"/>
  <c r="BN38" i="30" s="1"/>
  <c r="BN37" i="30" a="1"/>
  <c r="BN37" i="30" s="1"/>
  <c r="BN36" i="30" a="1"/>
  <c r="BN36" i="30" s="1"/>
  <c r="BN35" i="30" a="1"/>
  <c r="BN35" i="30" s="1"/>
  <c r="BN34" i="30" a="1"/>
  <c r="BN34" i="30" s="1"/>
  <c r="BN33" i="30" a="1"/>
  <c r="BN33" i="30" s="1"/>
  <c r="BN32" i="30" a="1"/>
  <c r="BN32" i="30" s="1"/>
  <c r="BN31" i="30" a="1"/>
  <c r="BN31" i="30" s="1"/>
  <c r="BN30" i="30" a="1"/>
  <c r="BN30" i="30" s="1"/>
  <c r="BN29" i="30" a="1"/>
  <c r="BN29" i="30" s="1"/>
  <c r="BN28" i="30" a="1"/>
  <c r="BN28" i="30" s="1"/>
  <c r="BN27" i="30" a="1"/>
  <c r="BN27" i="30" s="1"/>
  <c r="BN26" i="30" a="1"/>
  <c r="BN26" i="30" s="1"/>
  <c r="BN25" i="30" a="1"/>
  <c r="BN25" i="30" s="1"/>
  <c r="BN24" i="30" a="1"/>
  <c r="BN24" i="30" s="1"/>
  <c r="BN23" i="30" a="1"/>
  <c r="BN23" i="30" s="1"/>
  <c r="BN22" i="30" a="1"/>
  <c r="BN22" i="30" s="1"/>
  <c r="BN21" i="30" a="1"/>
  <c r="BN21" i="30" s="1"/>
  <c r="BN20" i="30" a="1"/>
  <c r="BN20" i="30" s="1"/>
  <c r="BN19" i="30" a="1"/>
  <c r="BN19" i="30" s="1"/>
  <c r="BN18" i="30" a="1"/>
  <c r="BN18" i="30" s="1"/>
  <c r="BN17" i="30" a="1"/>
  <c r="BN17" i="30" s="1"/>
  <c r="BN16" i="30" a="1"/>
  <c r="BN16" i="30" s="1"/>
  <c r="BN15" i="30" a="1"/>
  <c r="BN15" i="30" s="1"/>
  <c r="BN14" i="30" a="1"/>
  <c r="BN14" i="30" s="1"/>
  <c r="BN13" i="30" a="1"/>
  <c r="BN13" i="30" s="1"/>
  <c r="BN12" i="30" a="1"/>
  <c r="BN12" i="30" s="1"/>
  <c r="BN5" i="30" a="1"/>
  <c r="BN5" i="30" s="1"/>
  <c r="BL104" i="30" a="1"/>
  <c r="BL104" i="30" s="1"/>
  <c r="BL103" i="30" a="1"/>
  <c r="BL103" i="30" s="1"/>
  <c r="BL102" i="30" a="1"/>
  <c r="BL102" i="30" s="1"/>
  <c r="BL101" i="30" a="1"/>
  <c r="BL101" i="30" s="1"/>
  <c r="BL100" i="30" a="1"/>
  <c r="BL100" i="30" s="1"/>
  <c r="BL99" i="30" a="1"/>
  <c r="BL99" i="30" s="1"/>
  <c r="BL98" i="30" a="1"/>
  <c r="BL98" i="30" s="1"/>
  <c r="BL97" i="30" a="1"/>
  <c r="BL97" i="30" s="1"/>
  <c r="BL96" i="30" a="1"/>
  <c r="BL96" i="30" s="1"/>
  <c r="BL95" i="30" a="1"/>
  <c r="BL95" i="30" s="1"/>
  <c r="BL94" i="30" a="1"/>
  <c r="BL94" i="30" s="1"/>
  <c r="BL93" i="30" a="1"/>
  <c r="BL93" i="30" s="1"/>
  <c r="BL92" i="30" a="1"/>
  <c r="BL92" i="30" s="1"/>
  <c r="BL91" i="30" a="1"/>
  <c r="BL91" i="30" s="1"/>
  <c r="BL90" i="30" a="1"/>
  <c r="BL90" i="30" s="1"/>
  <c r="BL89" i="30" a="1"/>
  <c r="BL89" i="30" s="1"/>
  <c r="BL88" i="30" a="1"/>
  <c r="BL88" i="30" s="1"/>
  <c r="BL87" i="30" a="1"/>
  <c r="BL87" i="30" s="1"/>
  <c r="BL86" i="30" a="1"/>
  <c r="BL86" i="30" s="1"/>
  <c r="BL85" i="30" a="1"/>
  <c r="BL85" i="30" s="1"/>
  <c r="BL84" i="30" a="1"/>
  <c r="BL84" i="30" s="1"/>
  <c r="BL83" i="30" a="1"/>
  <c r="BL83" i="30" s="1"/>
  <c r="BL82" i="30" a="1"/>
  <c r="BL82" i="30" s="1"/>
  <c r="BL81" i="30" a="1"/>
  <c r="BL81" i="30" s="1"/>
  <c r="BL80" i="30" a="1"/>
  <c r="BL80" i="30" s="1"/>
  <c r="BL79" i="30" a="1"/>
  <c r="BL79" i="30" s="1"/>
  <c r="BL78" i="30" a="1"/>
  <c r="BL78" i="30" s="1"/>
  <c r="BL77" i="30" a="1"/>
  <c r="BL77" i="30" s="1"/>
  <c r="BL76" i="30" a="1"/>
  <c r="BL76" i="30" s="1"/>
  <c r="BL75" i="30" a="1"/>
  <c r="BL75" i="30" s="1"/>
  <c r="BL74" i="30" a="1"/>
  <c r="BL74" i="30" s="1"/>
  <c r="BL73" i="30" a="1"/>
  <c r="BL73" i="30" s="1"/>
  <c r="BL72" i="30" a="1"/>
  <c r="BL72" i="30" s="1"/>
  <c r="BL71" i="30" a="1"/>
  <c r="BL71" i="30" s="1"/>
  <c r="BL70" i="30" a="1"/>
  <c r="BL70" i="30" s="1"/>
  <c r="BL69" i="30" a="1"/>
  <c r="BL69" i="30" s="1"/>
  <c r="BL68" i="30" a="1"/>
  <c r="BL68" i="30" s="1"/>
  <c r="BL67" i="30" a="1"/>
  <c r="BL67" i="30" s="1"/>
  <c r="BL66" i="30" a="1"/>
  <c r="BL66" i="30" s="1"/>
  <c r="BL65" i="30" a="1"/>
  <c r="BL65" i="30" s="1"/>
  <c r="BL64" i="30" a="1"/>
  <c r="BL64" i="30" s="1"/>
  <c r="BL63" i="30" a="1"/>
  <c r="BL63" i="30" s="1"/>
  <c r="BL62" i="30" a="1"/>
  <c r="BL62" i="30" s="1"/>
  <c r="BL61" i="30" a="1"/>
  <c r="BL61" i="30" s="1"/>
  <c r="BL60" i="30" a="1"/>
  <c r="BL60" i="30" s="1"/>
  <c r="BL59" i="30" a="1"/>
  <c r="BL59" i="30" s="1"/>
  <c r="BL58" i="30" a="1"/>
  <c r="BL58" i="30" s="1"/>
  <c r="BL57" i="30" a="1"/>
  <c r="BL57" i="30" s="1"/>
  <c r="BL56" i="30" a="1"/>
  <c r="BL56" i="30" s="1"/>
  <c r="BL55" i="30" a="1"/>
  <c r="BL55" i="30" s="1"/>
  <c r="BL54" i="30" a="1"/>
  <c r="BL54" i="30" s="1"/>
  <c r="BL53" i="30" a="1"/>
  <c r="BL53" i="30" s="1"/>
  <c r="BL52" i="30" a="1"/>
  <c r="BL52" i="30" s="1"/>
  <c r="BL51" i="30" a="1"/>
  <c r="BL51" i="30" s="1"/>
  <c r="BL50" i="30" a="1"/>
  <c r="BL50" i="30" s="1"/>
  <c r="BL49" i="30" a="1"/>
  <c r="BL49" i="30" s="1"/>
  <c r="BL48" i="30" a="1"/>
  <c r="BL48" i="30" s="1"/>
  <c r="BL47" i="30" a="1"/>
  <c r="BL47" i="30" s="1"/>
  <c r="BL46" i="30" a="1"/>
  <c r="BL46" i="30" s="1"/>
  <c r="BL45" i="30" a="1"/>
  <c r="BL45" i="30" s="1"/>
  <c r="BL44" i="30" a="1"/>
  <c r="BL44" i="30" s="1"/>
  <c r="BL43" i="30" a="1"/>
  <c r="BL43" i="30" s="1"/>
  <c r="BL42" i="30" a="1"/>
  <c r="BL42" i="30" s="1"/>
  <c r="BL41" i="30" a="1"/>
  <c r="BL41" i="30" s="1"/>
  <c r="BL40" i="30" a="1"/>
  <c r="BL40" i="30" s="1"/>
  <c r="BL39" i="30" a="1"/>
  <c r="BL39" i="30" s="1"/>
  <c r="BL38" i="30" a="1"/>
  <c r="BL38" i="30" s="1"/>
  <c r="BL37" i="30" a="1"/>
  <c r="BL37" i="30" s="1"/>
  <c r="BL36" i="30" a="1"/>
  <c r="BL36" i="30" s="1"/>
  <c r="BL35" i="30" a="1"/>
  <c r="BL35" i="30" s="1"/>
  <c r="BL34" i="30" a="1"/>
  <c r="BL34" i="30" s="1"/>
  <c r="BL33" i="30" a="1"/>
  <c r="BL33" i="30" s="1"/>
  <c r="BL32" i="30" a="1"/>
  <c r="BL32" i="30" s="1"/>
  <c r="BL31" i="30" a="1"/>
  <c r="BL31" i="30" s="1"/>
  <c r="BL30" i="30" a="1"/>
  <c r="BL30" i="30" s="1"/>
  <c r="BL29" i="30" a="1"/>
  <c r="BL29" i="30" s="1"/>
  <c r="BL28" i="30" a="1"/>
  <c r="BL28" i="30" s="1"/>
  <c r="BL27" i="30" a="1"/>
  <c r="BL27" i="30" s="1"/>
  <c r="BL26" i="30" a="1"/>
  <c r="BL26" i="30" s="1"/>
  <c r="BL25" i="30" a="1"/>
  <c r="BL25" i="30" s="1"/>
  <c r="BL24" i="30" a="1"/>
  <c r="BL24" i="30" s="1"/>
  <c r="BL23" i="30" a="1"/>
  <c r="BL23" i="30" s="1"/>
  <c r="BL22" i="30" a="1"/>
  <c r="BL22" i="30" s="1"/>
  <c r="BL21" i="30" a="1"/>
  <c r="BL21" i="30" s="1"/>
  <c r="BL20" i="30" a="1"/>
  <c r="BL20" i="30" s="1"/>
  <c r="BL19" i="30" a="1"/>
  <c r="BL19" i="30" s="1"/>
  <c r="BL18" i="30" a="1"/>
  <c r="BL18" i="30" s="1"/>
  <c r="BL17" i="30" a="1"/>
  <c r="BL17" i="30" s="1"/>
  <c r="BL16" i="30" a="1"/>
  <c r="BL16" i="30" s="1"/>
  <c r="BL15" i="30" a="1"/>
  <c r="BL15" i="30" s="1"/>
  <c r="BL14" i="30" a="1"/>
  <c r="BL14" i="30" s="1"/>
  <c r="BL13" i="30" a="1"/>
  <c r="BL13" i="30" s="1"/>
  <c r="BL12" i="30" a="1"/>
  <c r="BL12" i="30" s="1"/>
  <c r="BL5" i="30" a="1"/>
  <c r="BL5" i="30" s="1"/>
  <c r="BJ104" i="30" a="1"/>
  <c r="BJ104" i="30" s="1"/>
  <c r="BJ103" i="30" a="1"/>
  <c r="BJ103" i="30" s="1"/>
  <c r="BJ102" i="30" a="1"/>
  <c r="BJ102" i="30" s="1"/>
  <c r="BJ101" i="30" a="1"/>
  <c r="BJ101" i="30" s="1"/>
  <c r="BJ100" i="30" a="1"/>
  <c r="BJ100" i="30" s="1"/>
  <c r="BJ99" i="30" a="1"/>
  <c r="BJ99" i="30" s="1"/>
  <c r="BJ98" i="30" a="1"/>
  <c r="BJ98" i="30" s="1"/>
  <c r="BJ97" i="30" a="1"/>
  <c r="BJ97" i="30" s="1"/>
  <c r="BJ96" i="30" a="1"/>
  <c r="BJ96" i="30" s="1"/>
  <c r="BJ95" i="30" a="1"/>
  <c r="BJ95" i="30" s="1"/>
  <c r="BJ94" i="30" a="1"/>
  <c r="BJ94" i="30" s="1"/>
  <c r="BJ93" i="30" a="1"/>
  <c r="BJ93" i="30" s="1"/>
  <c r="BJ92" i="30" a="1"/>
  <c r="BJ92" i="30" s="1"/>
  <c r="BJ91" i="30" a="1"/>
  <c r="BJ91" i="30" s="1"/>
  <c r="BJ90" i="30" a="1"/>
  <c r="BJ90" i="30" s="1"/>
  <c r="BJ89" i="30" a="1"/>
  <c r="BJ89" i="30" s="1"/>
  <c r="BJ88" i="30" a="1"/>
  <c r="BJ88" i="30" s="1"/>
  <c r="BJ87" i="30" a="1"/>
  <c r="BJ87" i="30" s="1"/>
  <c r="BJ86" i="30" a="1"/>
  <c r="BJ86" i="30" s="1"/>
  <c r="BJ85" i="30" a="1"/>
  <c r="BJ85" i="30" s="1"/>
  <c r="BJ84" i="30" a="1"/>
  <c r="BJ84" i="30" s="1"/>
  <c r="BJ83" i="30" a="1"/>
  <c r="BJ83" i="30" s="1"/>
  <c r="BJ82" i="30" a="1"/>
  <c r="BJ82" i="30" s="1"/>
  <c r="BJ81" i="30" a="1"/>
  <c r="BJ81" i="30" s="1"/>
  <c r="BJ80" i="30" a="1"/>
  <c r="BJ80" i="30" s="1"/>
  <c r="BJ79" i="30" a="1"/>
  <c r="BJ79" i="30" s="1"/>
  <c r="BJ78" i="30" a="1"/>
  <c r="BJ78" i="30" s="1"/>
  <c r="BJ77" i="30" a="1"/>
  <c r="BJ77" i="30" s="1"/>
  <c r="BJ76" i="30" a="1"/>
  <c r="BJ76" i="30" s="1"/>
  <c r="BJ75" i="30" a="1"/>
  <c r="BJ75" i="30" s="1"/>
  <c r="BJ74" i="30" a="1"/>
  <c r="BJ74" i="30" s="1"/>
  <c r="BJ73" i="30" a="1"/>
  <c r="BJ73" i="30" s="1"/>
  <c r="BJ72" i="30" a="1"/>
  <c r="BJ72" i="30" s="1"/>
  <c r="BJ71" i="30" a="1"/>
  <c r="BJ71" i="30" s="1"/>
  <c r="BJ70" i="30" a="1"/>
  <c r="BJ70" i="30" s="1"/>
  <c r="BJ69" i="30" a="1"/>
  <c r="BJ69" i="30" s="1"/>
  <c r="BJ68" i="30" a="1"/>
  <c r="BJ68" i="30" s="1"/>
  <c r="BJ67" i="30" a="1"/>
  <c r="BJ67" i="30" s="1"/>
  <c r="BJ66" i="30" a="1"/>
  <c r="BJ66" i="30" s="1"/>
  <c r="BJ65" i="30" a="1"/>
  <c r="BJ65" i="30" s="1"/>
  <c r="BJ64" i="30" a="1"/>
  <c r="BJ64" i="30" s="1"/>
  <c r="BJ63" i="30" a="1"/>
  <c r="BJ63" i="30" s="1"/>
  <c r="BJ62" i="30" a="1"/>
  <c r="BJ62" i="30" s="1"/>
  <c r="BJ61" i="30" a="1"/>
  <c r="BJ61" i="30" s="1"/>
  <c r="BJ60" i="30" a="1"/>
  <c r="BJ60" i="30" s="1"/>
  <c r="BJ59" i="30" a="1"/>
  <c r="BJ59" i="30" s="1"/>
  <c r="BJ58" i="30" a="1"/>
  <c r="BJ58" i="30" s="1"/>
  <c r="BJ57" i="30" a="1"/>
  <c r="BJ57" i="30" s="1"/>
  <c r="BJ56" i="30" a="1"/>
  <c r="BJ56" i="30" s="1"/>
  <c r="BJ55" i="30" a="1"/>
  <c r="BJ55" i="30" s="1"/>
  <c r="BJ54" i="30" a="1"/>
  <c r="BJ54" i="30" s="1"/>
  <c r="BJ53" i="30" a="1"/>
  <c r="BJ53" i="30" s="1"/>
  <c r="BJ52" i="30" a="1"/>
  <c r="BJ52" i="30" s="1"/>
  <c r="BJ51" i="30" a="1"/>
  <c r="BJ51" i="30" s="1"/>
  <c r="BJ50" i="30" a="1"/>
  <c r="BJ50" i="30" s="1"/>
  <c r="BJ49" i="30" a="1"/>
  <c r="BJ49" i="30" s="1"/>
  <c r="BJ48" i="30" a="1"/>
  <c r="BJ48" i="30" s="1"/>
  <c r="BJ47" i="30" a="1"/>
  <c r="BJ47" i="30" s="1"/>
  <c r="BJ46" i="30" a="1"/>
  <c r="BJ46" i="30" s="1"/>
  <c r="BJ45" i="30" a="1"/>
  <c r="BJ45" i="30" s="1"/>
  <c r="BJ44" i="30" a="1"/>
  <c r="BJ44" i="30" s="1"/>
  <c r="BJ43" i="30" a="1"/>
  <c r="BJ43" i="30" s="1"/>
  <c r="BJ42" i="30" a="1"/>
  <c r="BJ42" i="30" s="1"/>
  <c r="BJ41" i="30" a="1"/>
  <c r="BJ41" i="30" s="1"/>
  <c r="BJ40" i="30" a="1"/>
  <c r="BJ40" i="30" s="1"/>
  <c r="BJ39" i="30" a="1"/>
  <c r="BJ39" i="30" s="1"/>
  <c r="BJ38" i="30" a="1"/>
  <c r="BJ38" i="30" s="1"/>
  <c r="BJ37" i="30" a="1"/>
  <c r="BJ37" i="30" s="1"/>
  <c r="BJ36" i="30" a="1"/>
  <c r="BJ36" i="30" s="1"/>
  <c r="BJ35" i="30" a="1"/>
  <c r="BJ35" i="30" s="1"/>
  <c r="BJ34" i="30" a="1"/>
  <c r="BJ34" i="30" s="1"/>
  <c r="BJ33" i="30" a="1"/>
  <c r="BJ33" i="30" s="1"/>
  <c r="BJ32" i="30" a="1"/>
  <c r="BJ32" i="30" s="1"/>
  <c r="BJ31" i="30" a="1"/>
  <c r="BJ31" i="30" s="1"/>
  <c r="BJ30" i="30" a="1"/>
  <c r="BJ30" i="30" s="1"/>
  <c r="BJ29" i="30" a="1"/>
  <c r="BJ29" i="30" s="1"/>
  <c r="BJ28" i="30" a="1"/>
  <c r="BJ28" i="30" s="1"/>
  <c r="BJ27" i="30" a="1"/>
  <c r="BJ27" i="30" s="1"/>
  <c r="BJ26" i="30" a="1"/>
  <c r="BJ26" i="30" s="1"/>
  <c r="BJ25" i="30" a="1"/>
  <c r="BJ25" i="30" s="1"/>
  <c r="BJ24" i="30" a="1"/>
  <c r="BJ24" i="30" s="1"/>
  <c r="BJ23" i="30" a="1"/>
  <c r="BJ23" i="30" s="1"/>
  <c r="BJ22" i="30" a="1"/>
  <c r="BJ22" i="30" s="1"/>
  <c r="BJ21" i="30" a="1"/>
  <c r="BJ21" i="30" s="1"/>
  <c r="BJ20" i="30" a="1"/>
  <c r="BJ20" i="30" s="1"/>
  <c r="BJ19" i="30" a="1"/>
  <c r="BJ19" i="30" s="1"/>
  <c r="BJ18" i="30" a="1"/>
  <c r="BJ18" i="30" s="1"/>
  <c r="BJ17" i="30" a="1"/>
  <c r="BJ17" i="30" s="1"/>
  <c r="BJ16" i="30" a="1"/>
  <c r="BJ16" i="30" s="1"/>
  <c r="BJ15" i="30" a="1"/>
  <c r="BJ15" i="30" s="1"/>
  <c r="BJ14" i="30" a="1"/>
  <c r="BJ14" i="30" s="1"/>
  <c r="BJ13" i="30" a="1"/>
  <c r="BJ13" i="30" s="1"/>
  <c r="BJ12" i="30" a="1"/>
  <c r="BJ12" i="30" s="1"/>
  <c r="BJ5" i="30" a="1"/>
  <c r="BJ5" i="30" s="1"/>
  <c r="BH104" i="30" a="1"/>
  <c r="BH104" i="30" s="1"/>
  <c r="BH103" i="30" a="1"/>
  <c r="BH103" i="30" s="1"/>
  <c r="BH102" i="30" a="1"/>
  <c r="BH102" i="30" s="1"/>
  <c r="BH101" i="30" a="1"/>
  <c r="BH101" i="30" s="1"/>
  <c r="BH100" i="30" a="1"/>
  <c r="BH100" i="30" s="1"/>
  <c r="BH99" i="30" a="1"/>
  <c r="BH99" i="30" s="1"/>
  <c r="BH98" i="30" a="1"/>
  <c r="BH98" i="30" s="1"/>
  <c r="BH97" i="30" a="1"/>
  <c r="BH97" i="30" s="1"/>
  <c r="BH96" i="30" a="1"/>
  <c r="BH96" i="30" s="1"/>
  <c r="BH95" i="30" a="1"/>
  <c r="BH95" i="30" s="1"/>
  <c r="BH94" i="30" a="1"/>
  <c r="BH94" i="30" s="1"/>
  <c r="BH93" i="30" a="1"/>
  <c r="BH93" i="30" s="1"/>
  <c r="BH92" i="30" a="1"/>
  <c r="BH92" i="30" s="1"/>
  <c r="BH91" i="30" a="1"/>
  <c r="BH91" i="30" s="1"/>
  <c r="BH90" i="30" a="1"/>
  <c r="BH90" i="30" s="1"/>
  <c r="BH89" i="30" a="1"/>
  <c r="BH89" i="30" s="1"/>
  <c r="BH88" i="30" a="1"/>
  <c r="BH88" i="30" s="1"/>
  <c r="BH87" i="30" a="1"/>
  <c r="BH87" i="30" s="1"/>
  <c r="BH86" i="30" a="1"/>
  <c r="BH86" i="30" s="1"/>
  <c r="BH85" i="30" a="1"/>
  <c r="BH85" i="30" s="1"/>
  <c r="BH84" i="30" a="1"/>
  <c r="BH84" i="30" s="1"/>
  <c r="BH83" i="30" a="1"/>
  <c r="BH83" i="30" s="1"/>
  <c r="BH82" i="30" a="1"/>
  <c r="BH82" i="30" s="1"/>
  <c r="BH81" i="30" a="1"/>
  <c r="BH81" i="30" s="1"/>
  <c r="BH80" i="30" a="1"/>
  <c r="BH80" i="30" s="1"/>
  <c r="BH79" i="30" a="1"/>
  <c r="BH79" i="30" s="1"/>
  <c r="BH78" i="30" a="1"/>
  <c r="BH78" i="30" s="1"/>
  <c r="BH77" i="30" a="1"/>
  <c r="BH77" i="30" s="1"/>
  <c r="BH76" i="30" a="1"/>
  <c r="BH76" i="30" s="1"/>
  <c r="BH75" i="30" a="1"/>
  <c r="BH75" i="30" s="1"/>
  <c r="BH74" i="30" a="1"/>
  <c r="BH74" i="30" s="1"/>
  <c r="BH73" i="30" a="1"/>
  <c r="BH73" i="30" s="1"/>
  <c r="BH72" i="30" a="1"/>
  <c r="BH72" i="30" s="1"/>
  <c r="BH71" i="30" a="1"/>
  <c r="BH71" i="30" s="1"/>
  <c r="BH70" i="30" a="1"/>
  <c r="BH70" i="30" s="1"/>
  <c r="BH69" i="30" a="1"/>
  <c r="BH69" i="30" s="1"/>
  <c r="BH68" i="30" a="1"/>
  <c r="BH68" i="30" s="1"/>
  <c r="BH67" i="30" a="1"/>
  <c r="BH67" i="30" s="1"/>
  <c r="BH66" i="30" a="1"/>
  <c r="BH66" i="30" s="1"/>
  <c r="BH65" i="30" a="1"/>
  <c r="BH65" i="30" s="1"/>
  <c r="BH64" i="30" a="1"/>
  <c r="BH64" i="30" s="1"/>
  <c r="BH63" i="30" a="1"/>
  <c r="BH63" i="30" s="1"/>
  <c r="BH62" i="30" a="1"/>
  <c r="BH62" i="30" s="1"/>
  <c r="BH61" i="30" a="1"/>
  <c r="BH61" i="30" s="1"/>
  <c r="BH60" i="30" a="1"/>
  <c r="BH60" i="30" s="1"/>
  <c r="BH59" i="30" a="1"/>
  <c r="BH59" i="30" s="1"/>
  <c r="BH58" i="30" a="1"/>
  <c r="BH58" i="30" s="1"/>
  <c r="BH57" i="30" a="1"/>
  <c r="BH57" i="30" s="1"/>
  <c r="BH56" i="30" a="1"/>
  <c r="BH56" i="30" s="1"/>
  <c r="BH55" i="30" a="1"/>
  <c r="BH55" i="30" s="1"/>
  <c r="BH54" i="30" a="1"/>
  <c r="BH54" i="30" s="1"/>
  <c r="BH53" i="30" a="1"/>
  <c r="BH53" i="30" s="1"/>
  <c r="BH52" i="30" a="1"/>
  <c r="BH52" i="30" s="1"/>
  <c r="BH51" i="30" a="1"/>
  <c r="BH51" i="30" s="1"/>
  <c r="BH50" i="30" a="1"/>
  <c r="BH50" i="30" s="1"/>
  <c r="BH49" i="30" a="1"/>
  <c r="BH49" i="30" s="1"/>
  <c r="BH48" i="30" a="1"/>
  <c r="BH48" i="30" s="1"/>
  <c r="BH47" i="30" a="1"/>
  <c r="BH47" i="30" s="1"/>
  <c r="BH46" i="30" a="1"/>
  <c r="BH46" i="30" s="1"/>
  <c r="BH45" i="30" a="1"/>
  <c r="BH45" i="30" s="1"/>
  <c r="BH44" i="30" a="1"/>
  <c r="BH44" i="30" s="1"/>
  <c r="BH43" i="30" a="1"/>
  <c r="BH43" i="30" s="1"/>
  <c r="BH42" i="30" a="1"/>
  <c r="BH42" i="30" s="1"/>
  <c r="BH41" i="30" a="1"/>
  <c r="BH41" i="30" s="1"/>
  <c r="BH40" i="30" a="1"/>
  <c r="BH40" i="30" s="1"/>
  <c r="BH39" i="30" a="1"/>
  <c r="BH39" i="30" s="1"/>
  <c r="BH38" i="30" a="1"/>
  <c r="BH38" i="30" s="1"/>
  <c r="BH37" i="30" a="1"/>
  <c r="BH37" i="30" s="1"/>
  <c r="BH36" i="30" a="1"/>
  <c r="BH36" i="30" s="1"/>
  <c r="BH35" i="30" a="1"/>
  <c r="BH35" i="30" s="1"/>
  <c r="BH34" i="30" a="1"/>
  <c r="BH34" i="30" s="1"/>
  <c r="BH33" i="30" a="1"/>
  <c r="BH33" i="30" s="1"/>
  <c r="BH32" i="30" a="1"/>
  <c r="BH32" i="30" s="1"/>
  <c r="BH31" i="30" a="1"/>
  <c r="BH31" i="30" s="1"/>
  <c r="BH30" i="30" a="1"/>
  <c r="BH30" i="30" s="1"/>
  <c r="BH29" i="30" a="1"/>
  <c r="BH29" i="30" s="1"/>
  <c r="BH28" i="30" a="1"/>
  <c r="BH28" i="30" s="1"/>
  <c r="BH27" i="30" a="1"/>
  <c r="BH27" i="30" s="1"/>
  <c r="BH26" i="30" a="1"/>
  <c r="BH26" i="30" s="1"/>
  <c r="BH25" i="30" a="1"/>
  <c r="BH25" i="30" s="1"/>
  <c r="BH24" i="30" a="1"/>
  <c r="BH24" i="30" s="1"/>
  <c r="BH23" i="30" a="1"/>
  <c r="BH23" i="30" s="1"/>
  <c r="BH22" i="30" a="1"/>
  <c r="BH22" i="30" s="1"/>
  <c r="BH21" i="30" a="1"/>
  <c r="BH21" i="30" s="1"/>
  <c r="BH20" i="30" a="1"/>
  <c r="BH20" i="30" s="1"/>
  <c r="BH19" i="30" a="1"/>
  <c r="BH19" i="30" s="1"/>
  <c r="BH18" i="30" a="1"/>
  <c r="BH18" i="30" s="1"/>
  <c r="BH17" i="30" a="1"/>
  <c r="BH17" i="30" s="1"/>
  <c r="BH16" i="30" a="1"/>
  <c r="BH16" i="30" s="1"/>
  <c r="BH15" i="30" a="1"/>
  <c r="BH15" i="30" s="1"/>
  <c r="BH14" i="30" a="1"/>
  <c r="BH14" i="30" s="1"/>
  <c r="BH13" i="30" a="1"/>
  <c r="BH13" i="30" s="1"/>
  <c r="BH12" i="30" a="1"/>
  <c r="BH12" i="30" s="1"/>
  <c r="BH5" i="30" a="1"/>
  <c r="BH5" i="30" s="1"/>
  <c r="BF104" i="30" a="1"/>
  <c r="BF104" i="30" s="1"/>
  <c r="BF103" i="30" a="1"/>
  <c r="BF103" i="30" s="1"/>
  <c r="BF102" i="30" a="1"/>
  <c r="BF102" i="30" s="1"/>
  <c r="BF101" i="30" a="1"/>
  <c r="BF101" i="30" s="1"/>
  <c r="BF100" i="30" a="1"/>
  <c r="BF100" i="30" s="1"/>
  <c r="BF99" i="30" a="1"/>
  <c r="BF99" i="30" s="1"/>
  <c r="BF98" i="30" a="1"/>
  <c r="BF98" i="30" s="1"/>
  <c r="BF97" i="30" a="1"/>
  <c r="BF97" i="30" s="1"/>
  <c r="BF96" i="30" a="1"/>
  <c r="BF96" i="30" s="1"/>
  <c r="BF95" i="30" a="1"/>
  <c r="BF95" i="30" s="1"/>
  <c r="BF94" i="30" a="1"/>
  <c r="BF94" i="30" s="1"/>
  <c r="BF93" i="30" a="1"/>
  <c r="BF93" i="30" s="1"/>
  <c r="BF92" i="30" a="1"/>
  <c r="BF92" i="30" s="1"/>
  <c r="BF91" i="30" a="1"/>
  <c r="BF91" i="30" s="1"/>
  <c r="BF90" i="30" a="1"/>
  <c r="BF90" i="30" s="1"/>
  <c r="BF89" i="30" a="1"/>
  <c r="BF89" i="30" s="1"/>
  <c r="BF88" i="30" a="1"/>
  <c r="BF88" i="30" s="1"/>
  <c r="BF87" i="30" a="1"/>
  <c r="BF87" i="30" s="1"/>
  <c r="BF86" i="30" a="1"/>
  <c r="BF86" i="30" s="1"/>
  <c r="BF85" i="30" a="1"/>
  <c r="BF85" i="30" s="1"/>
  <c r="BF84" i="30" a="1"/>
  <c r="BF84" i="30" s="1"/>
  <c r="BF83" i="30" a="1"/>
  <c r="BF83" i="30" s="1"/>
  <c r="BF82" i="30" a="1"/>
  <c r="BF82" i="30" s="1"/>
  <c r="BF81" i="30" a="1"/>
  <c r="BF81" i="30" s="1"/>
  <c r="BF80" i="30" a="1"/>
  <c r="BF80" i="30" s="1"/>
  <c r="BF79" i="30" a="1"/>
  <c r="BF79" i="30" s="1"/>
  <c r="BF78" i="30" a="1"/>
  <c r="BF78" i="30" s="1"/>
  <c r="BF77" i="30" a="1"/>
  <c r="BF77" i="30" s="1"/>
  <c r="BF76" i="30" a="1"/>
  <c r="BF76" i="30" s="1"/>
  <c r="BF75" i="30" a="1"/>
  <c r="BF75" i="30" s="1"/>
  <c r="BF74" i="30" a="1"/>
  <c r="BF74" i="30" s="1"/>
  <c r="BF73" i="30" a="1"/>
  <c r="BF73" i="30" s="1"/>
  <c r="BF72" i="30" a="1"/>
  <c r="BF72" i="30" s="1"/>
  <c r="BF71" i="30" a="1"/>
  <c r="BF71" i="30" s="1"/>
  <c r="BF70" i="30" a="1"/>
  <c r="BF70" i="30" s="1"/>
  <c r="BF69" i="30" a="1"/>
  <c r="BF69" i="30" s="1"/>
  <c r="BF68" i="30" a="1"/>
  <c r="BF68" i="30" s="1"/>
  <c r="BF67" i="30" a="1"/>
  <c r="BF67" i="30" s="1"/>
  <c r="BF66" i="30" a="1"/>
  <c r="BF66" i="30" s="1"/>
  <c r="BF65" i="30" a="1"/>
  <c r="BF65" i="30" s="1"/>
  <c r="BF64" i="30" a="1"/>
  <c r="BF64" i="30" s="1"/>
  <c r="BF63" i="30" a="1"/>
  <c r="BF63" i="30" s="1"/>
  <c r="BF62" i="30" a="1"/>
  <c r="BF62" i="30" s="1"/>
  <c r="BF61" i="30" a="1"/>
  <c r="BF61" i="30" s="1"/>
  <c r="BF60" i="30" a="1"/>
  <c r="BF60" i="30" s="1"/>
  <c r="BF59" i="30" a="1"/>
  <c r="BF59" i="30" s="1"/>
  <c r="BF58" i="30" a="1"/>
  <c r="BF58" i="30" s="1"/>
  <c r="BF57" i="30" a="1"/>
  <c r="BF57" i="30" s="1"/>
  <c r="BF56" i="30" a="1"/>
  <c r="BF56" i="30" s="1"/>
  <c r="BF55" i="30" a="1"/>
  <c r="BF55" i="30" s="1"/>
  <c r="BF54" i="30" a="1"/>
  <c r="BF54" i="30" s="1"/>
  <c r="BF53" i="30" a="1"/>
  <c r="BF53" i="30" s="1"/>
  <c r="BF52" i="30" a="1"/>
  <c r="BF52" i="30" s="1"/>
  <c r="BF51" i="30" a="1"/>
  <c r="BF51" i="30" s="1"/>
  <c r="BF50" i="30" a="1"/>
  <c r="BF50" i="30" s="1"/>
  <c r="BF49" i="30" a="1"/>
  <c r="BF49" i="30" s="1"/>
  <c r="BF48" i="30" a="1"/>
  <c r="BF48" i="30" s="1"/>
  <c r="BF47" i="30" a="1"/>
  <c r="BF47" i="30" s="1"/>
  <c r="BF46" i="30" a="1"/>
  <c r="BF46" i="30" s="1"/>
  <c r="BF45" i="30" a="1"/>
  <c r="BF45" i="30" s="1"/>
  <c r="BF44" i="30" a="1"/>
  <c r="BF44" i="30" s="1"/>
  <c r="BF43" i="30" a="1"/>
  <c r="BF43" i="30" s="1"/>
  <c r="BF42" i="30" a="1"/>
  <c r="BF42" i="30" s="1"/>
  <c r="BF41" i="30" a="1"/>
  <c r="BF41" i="30" s="1"/>
  <c r="BF40" i="30" a="1"/>
  <c r="BF40" i="30" s="1"/>
  <c r="BF39" i="30" a="1"/>
  <c r="BF39" i="30" s="1"/>
  <c r="BF38" i="30" a="1"/>
  <c r="BF38" i="30" s="1"/>
  <c r="BF37" i="30" a="1"/>
  <c r="BF37" i="30" s="1"/>
  <c r="BF36" i="30" a="1"/>
  <c r="BF36" i="30" s="1"/>
  <c r="BF35" i="30" a="1"/>
  <c r="BF35" i="30" s="1"/>
  <c r="BF34" i="30" a="1"/>
  <c r="BF34" i="30" s="1"/>
  <c r="BF33" i="30" a="1"/>
  <c r="BF33" i="30" s="1"/>
  <c r="BF32" i="30" a="1"/>
  <c r="BF32" i="30" s="1"/>
  <c r="BF31" i="30" a="1"/>
  <c r="BF31" i="30" s="1"/>
  <c r="BF30" i="30" a="1"/>
  <c r="BF30" i="30" s="1"/>
  <c r="BF29" i="30" a="1"/>
  <c r="BF29" i="30" s="1"/>
  <c r="BF28" i="30" a="1"/>
  <c r="BF28" i="30" s="1"/>
  <c r="BF27" i="30" a="1"/>
  <c r="BF27" i="30" s="1"/>
  <c r="BF26" i="30" a="1"/>
  <c r="BF26" i="30" s="1"/>
  <c r="BF25" i="30" a="1"/>
  <c r="BF25" i="30" s="1"/>
  <c r="BF24" i="30" a="1"/>
  <c r="BF24" i="30" s="1"/>
  <c r="BF23" i="30" a="1"/>
  <c r="BF23" i="30" s="1"/>
  <c r="BF22" i="30" a="1"/>
  <c r="BF22" i="30" s="1"/>
  <c r="BF21" i="30" a="1"/>
  <c r="BF21" i="30" s="1"/>
  <c r="BF20" i="30" a="1"/>
  <c r="BF20" i="30" s="1"/>
  <c r="BF19" i="30" a="1"/>
  <c r="BF19" i="30" s="1"/>
  <c r="BF18" i="30" a="1"/>
  <c r="BF18" i="30" s="1"/>
  <c r="BF17" i="30" a="1"/>
  <c r="BF17" i="30" s="1"/>
  <c r="BF16" i="30" a="1"/>
  <c r="BF16" i="30" s="1"/>
  <c r="BF15" i="30" a="1"/>
  <c r="BF15" i="30" s="1"/>
  <c r="BF14" i="30" a="1"/>
  <c r="BF14" i="30" s="1"/>
  <c r="BF13" i="30" a="1"/>
  <c r="BF13" i="30" s="1"/>
  <c r="BF12" i="30" a="1"/>
  <c r="BF12" i="30" s="1"/>
  <c r="BF5" i="30" a="1"/>
  <c r="BF5" i="30" s="1"/>
  <c r="BD104" i="30" a="1"/>
  <c r="BD104" i="30" s="1"/>
  <c r="BD103" i="30" a="1"/>
  <c r="BD103" i="30" s="1"/>
  <c r="BD102" i="30" a="1"/>
  <c r="BD102" i="30" s="1"/>
  <c r="BD101" i="30" a="1"/>
  <c r="BD101" i="30" s="1"/>
  <c r="BD100" i="30" a="1"/>
  <c r="BD100" i="30" s="1"/>
  <c r="BD99" i="30" a="1"/>
  <c r="BD99" i="30" s="1"/>
  <c r="BD98" i="30" a="1"/>
  <c r="BD98" i="30" s="1"/>
  <c r="BD97" i="30" a="1"/>
  <c r="BD97" i="30" s="1"/>
  <c r="BD96" i="30" a="1"/>
  <c r="BD96" i="30" s="1"/>
  <c r="BD95" i="30" a="1"/>
  <c r="BD95" i="30" s="1"/>
  <c r="BD94" i="30" a="1"/>
  <c r="BD94" i="30" s="1"/>
  <c r="BD93" i="30" a="1"/>
  <c r="BD93" i="30" s="1"/>
  <c r="BD92" i="30" a="1"/>
  <c r="BD92" i="30" s="1"/>
  <c r="BD91" i="30" a="1"/>
  <c r="BD91" i="30" s="1"/>
  <c r="BD90" i="30" a="1"/>
  <c r="BD90" i="30" s="1"/>
  <c r="BD89" i="30" a="1"/>
  <c r="BD89" i="30" s="1"/>
  <c r="BD88" i="30" a="1"/>
  <c r="BD88" i="30" s="1"/>
  <c r="BD87" i="30" a="1"/>
  <c r="BD87" i="30" s="1"/>
  <c r="BD86" i="30" a="1"/>
  <c r="BD86" i="30" s="1"/>
  <c r="BD85" i="30" a="1"/>
  <c r="BD85" i="30" s="1"/>
  <c r="BD84" i="30" a="1"/>
  <c r="BD84" i="30" s="1"/>
  <c r="BD83" i="30" a="1"/>
  <c r="BD83" i="30" s="1"/>
  <c r="BD82" i="30" a="1"/>
  <c r="BD82" i="30" s="1"/>
  <c r="BD81" i="30" a="1"/>
  <c r="BD81" i="30" s="1"/>
  <c r="BD80" i="30" a="1"/>
  <c r="BD80" i="30" s="1"/>
  <c r="BD79" i="30" a="1"/>
  <c r="BD79" i="30" s="1"/>
  <c r="BD78" i="30" a="1"/>
  <c r="BD78" i="30" s="1"/>
  <c r="BD77" i="30" a="1"/>
  <c r="BD77" i="30" s="1"/>
  <c r="BD76" i="30" a="1"/>
  <c r="BD76" i="30" s="1"/>
  <c r="BD75" i="30" a="1"/>
  <c r="BD75" i="30" s="1"/>
  <c r="BD74" i="30" a="1"/>
  <c r="BD74" i="30" s="1"/>
  <c r="BD73" i="30" a="1"/>
  <c r="BD73" i="30" s="1"/>
  <c r="BD72" i="30" a="1"/>
  <c r="BD72" i="30" s="1"/>
  <c r="BD71" i="30" a="1"/>
  <c r="BD71" i="30" s="1"/>
  <c r="BD70" i="30" a="1"/>
  <c r="BD70" i="30" s="1"/>
  <c r="BD69" i="30" a="1"/>
  <c r="BD69" i="30" s="1"/>
  <c r="BD68" i="30" a="1"/>
  <c r="BD68" i="30" s="1"/>
  <c r="BD67" i="30" a="1"/>
  <c r="BD67" i="30" s="1"/>
  <c r="BD66" i="30" a="1"/>
  <c r="BD66" i="30" s="1"/>
  <c r="BD65" i="30" a="1"/>
  <c r="BD65" i="30" s="1"/>
  <c r="BD64" i="30" a="1"/>
  <c r="BD64" i="30" s="1"/>
  <c r="BD63" i="30" a="1"/>
  <c r="BD63" i="30" s="1"/>
  <c r="BD62" i="30" a="1"/>
  <c r="BD62" i="30" s="1"/>
  <c r="BD61" i="30" a="1"/>
  <c r="BD61" i="30" s="1"/>
  <c r="BD60" i="30" a="1"/>
  <c r="BD60" i="30" s="1"/>
  <c r="BD59" i="30" a="1"/>
  <c r="BD59" i="30" s="1"/>
  <c r="BD58" i="30" a="1"/>
  <c r="BD58" i="30" s="1"/>
  <c r="BD57" i="30" a="1"/>
  <c r="BD57" i="30" s="1"/>
  <c r="BD56" i="30" a="1"/>
  <c r="BD56" i="30" s="1"/>
  <c r="BD55" i="30" a="1"/>
  <c r="BD55" i="30" s="1"/>
  <c r="BD54" i="30" a="1"/>
  <c r="BD54" i="30" s="1"/>
  <c r="BD53" i="30" a="1"/>
  <c r="BD53" i="30" s="1"/>
  <c r="BD52" i="30" a="1"/>
  <c r="BD52" i="30" s="1"/>
  <c r="BD51" i="30" a="1"/>
  <c r="BD51" i="30" s="1"/>
  <c r="BD50" i="30" a="1"/>
  <c r="BD50" i="30" s="1"/>
  <c r="BD49" i="30" a="1"/>
  <c r="BD49" i="30" s="1"/>
  <c r="BD48" i="30" a="1"/>
  <c r="BD48" i="30" s="1"/>
  <c r="BD47" i="30" a="1"/>
  <c r="BD47" i="30" s="1"/>
  <c r="BD46" i="30" a="1"/>
  <c r="BD46" i="30" s="1"/>
  <c r="BD45" i="30" a="1"/>
  <c r="BD45" i="30" s="1"/>
  <c r="BD44" i="30" a="1"/>
  <c r="BD44" i="30" s="1"/>
  <c r="BD43" i="30" a="1"/>
  <c r="BD43" i="30" s="1"/>
  <c r="BD42" i="30" a="1"/>
  <c r="BD42" i="30" s="1"/>
  <c r="BD41" i="30" a="1"/>
  <c r="BD41" i="30" s="1"/>
  <c r="BD40" i="30" a="1"/>
  <c r="BD40" i="30" s="1"/>
  <c r="BD39" i="30" a="1"/>
  <c r="BD39" i="30" s="1"/>
  <c r="BD38" i="30" a="1"/>
  <c r="BD38" i="30" s="1"/>
  <c r="BD37" i="30" a="1"/>
  <c r="BD37" i="30" s="1"/>
  <c r="BD36" i="30" a="1"/>
  <c r="BD36" i="30" s="1"/>
  <c r="BD35" i="30" a="1"/>
  <c r="BD35" i="30" s="1"/>
  <c r="BD34" i="30" a="1"/>
  <c r="BD34" i="30" s="1"/>
  <c r="BD33" i="30" a="1"/>
  <c r="BD33" i="30" s="1"/>
  <c r="BD32" i="30" a="1"/>
  <c r="BD32" i="30" s="1"/>
  <c r="BD31" i="30" a="1"/>
  <c r="BD31" i="30" s="1"/>
  <c r="BD30" i="30" a="1"/>
  <c r="BD30" i="30" s="1"/>
  <c r="BD29" i="30" a="1"/>
  <c r="BD29" i="30" s="1"/>
  <c r="BD28" i="30" a="1"/>
  <c r="BD28" i="30" s="1"/>
  <c r="BD27" i="30" a="1"/>
  <c r="BD27" i="30" s="1"/>
  <c r="BD26" i="30" a="1"/>
  <c r="BD26" i="30" s="1"/>
  <c r="BD25" i="30" a="1"/>
  <c r="BD25" i="30" s="1"/>
  <c r="BD24" i="30" a="1"/>
  <c r="BD24" i="30" s="1"/>
  <c r="BD23" i="30" a="1"/>
  <c r="BD23" i="30" s="1"/>
  <c r="BD22" i="30" a="1"/>
  <c r="BD22" i="30" s="1"/>
  <c r="BD21" i="30" a="1"/>
  <c r="BD21" i="30" s="1"/>
  <c r="BD20" i="30" a="1"/>
  <c r="BD20" i="30" s="1"/>
  <c r="BD19" i="30" a="1"/>
  <c r="BD19" i="30" s="1"/>
  <c r="BD18" i="30" a="1"/>
  <c r="BD18" i="30" s="1"/>
  <c r="BD17" i="30" a="1"/>
  <c r="BD17" i="30" s="1"/>
  <c r="BD16" i="30" a="1"/>
  <c r="BD16" i="30" s="1"/>
  <c r="BD15" i="30"/>
  <c r="BD15" i="30" a="1"/>
  <c r="BD14" i="30" a="1"/>
  <c r="BD14" i="30" s="1"/>
  <c r="BD13" i="30" a="1"/>
  <c r="BD13" i="30" s="1"/>
  <c r="BD12" i="30" a="1"/>
  <c r="BD12" i="30" s="1"/>
  <c r="BD5" i="30" a="1"/>
  <c r="BD5" i="30" s="1"/>
  <c r="BB104" i="30" a="1"/>
  <c r="BB104" i="30" s="1"/>
  <c r="BB103" i="30" a="1"/>
  <c r="BB103" i="30" s="1"/>
  <c r="BB102" i="30" a="1"/>
  <c r="BB102" i="30" s="1"/>
  <c r="BB101" i="30" a="1"/>
  <c r="BB101" i="30" s="1"/>
  <c r="BB100" i="30" a="1"/>
  <c r="BB100" i="30" s="1"/>
  <c r="BB99" i="30" a="1"/>
  <c r="BB99" i="30" s="1"/>
  <c r="BB98" i="30" a="1"/>
  <c r="BB98" i="30" s="1"/>
  <c r="BB97" i="30" a="1"/>
  <c r="BB97" i="30" s="1"/>
  <c r="BB96" i="30" a="1"/>
  <c r="BB96" i="30" s="1"/>
  <c r="BB95" i="30" a="1"/>
  <c r="BB95" i="30" s="1"/>
  <c r="BB94" i="30" a="1"/>
  <c r="BB94" i="30" s="1"/>
  <c r="BB93" i="30" a="1"/>
  <c r="BB93" i="30" s="1"/>
  <c r="BB92" i="30" a="1"/>
  <c r="BB92" i="30" s="1"/>
  <c r="BB91" i="30" a="1"/>
  <c r="BB91" i="30" s="1"/>
  <c r="BB90" i="30" a="1"/>
  <c r="BB90" i="30" s="1"/>
  <c r="BB89" i="30" a="1"/>
  <c r="BB89" i="30" s="1"/>
  <c r="BB88" i="30" a="1"/>
  <c r="BB88" i="30" s="1"/>
  <c r="BB87" i="30" a="1"/>
  <c r="BB87" i="30" s="1"/>
  <c r="BB86" i="30" a="1"/>
  <c r="BB86" i="30" s="1"/>
  <c r="BB85" i="30" a="1"/>
  <c r="BB85" i="30" s="1"/>
  <c r="BB84" i="30"/>
  <c r="BB84" i="30" a="1"/>
  <c r="BB83" i="30" a="1"/>
  <c r="BB83" i="30" s="1"/>
  <c r="BB82" i="30" a="1"/>
  <c r="BB82" i="30" s="1"/>
  <c r="BB81" i="30" a="1"/>
  <c r="BB81" i="30" s="1"/>
  <c r="BB80" i="30" a="1"/>
  <c r="BB80" i="30" s="1"/>
  <c r="BB79" i="30" a="1"/>
  <c r="BB79" i="30" s="1"/>
  <c r="BB78" i="30" a="1"/>
  <c r="BB78" i="30" s="1"/>
  <c r="BB77" i="30" a="1"/>
  <c r="BB77" i="30" s="1"/>
  <c r="BB76" i="30" a="1"/>
  <c r="BB76" i="30" s="1"/>
  <c r="BB75" i="30" a="1"/>
  <c r="BB75" i="30" s="1"/>
  <c r="BB74" i="30" a="1"/>
  <c r="BB74" i="30" s="1"/>
  <c r="BB73" i="30" a="1"/>
  <c r="BB73" i="30" s="1"/>
  <c r="BB72" i="30" a="1"/>
  <c r="BB72" i="30" s="1"/>
  <c r="BB71" i="30" a="1"/>
  <c r="BB71" i="30" s="1"/>
  <c r="BB70" i="30" a="1"/>
  <c r="BB70" i="30" s="1"/>
  <c r="BB69" i="30" a="1"/>
  <c r="BB69" i="30" s="1"/>
  <c r="BB68" i="30" a="1"/>
  <c r="BB68" i="30" s="1"/>
  <c r="BB67" i="30" a="1"/>
  <c r="BB67" i="30" s="1"/>
  <c r="BB66" i="30" a="1"/>
  <c r="BB66" i="30" s="1"/>
  <c r="BB65" i="30" a="1"/>
  <c r="BB65" i="30" s="1"/>
  <c r="BB64" i="30" a="1"/>
  <c r="BB64" i="30" s="1"/>
  <c r="BB63" i="30" a="1"/>
  <c r="BB63" i="30" s="1"/>
  <c r="BB62" i="30" a="1"/>
  <c r="BB62" i="30" s="1"/>
  <c r="BB61" i="30" a="1"/>
  <c r="BB61" i="30" s="1"/>
  <c r="BB60" i="30" a="1"/>
  <c r="BB60" i="30" s="1"/>
  <c r="BB59" i="30" a="1"/>
  <c r="BB59" i="30" s="1"/>
  <c r="BB58" i="30" a="1"/>
  <c r="BB58" i="30" s="1"/>
  <c r="BB57" i="30" a="1"/>
  <c r="BB57" i="30" s="1"/>
  <c r="BB56" i="30" a="1"/>
  <c r="BB56" i="30" s="1"/>
  <c r="BB55" i="30" a="1"/>
  <c r="BB55" i="30" s="1"/>
  <c r="BB54" i="30" a="1"/>
  <c r="BB54" i="30" s="1"/>
  <c r="BB53" i="30" a="1"/>
  <c r="BB53" i="30" s="1"/>
  <c r="BB52" i="30" a="1"/>
  <c r="BB52" i="30" s="1"/>
  <c r="BB51" i="30" a="1"/>
  <c r="BB51" i="30" s="1"/>
  <c r="BB50" i="30" a="1"/>
  <c r="BB50" i="30" s="1"/>
  <c r="BB49" i="30" a="1"/>
  <c r="BB49" i="30" s="1"/>
  <c r="BB48" i="30" a="1"/>
  <c r="BB48" i="30" s="1"/>
  <c r="BB47" i="30" a="1"/>
  <c r="BB47" i="30" s="1"/>
  <c r="BB46" i="30" a="1"/>
  <c r="BB46" i="30" s="1"/>
  <c r="BB45" i="30" a="1"/>
  <c r="BB45" i="30" s="1"/>
  <c r="BB44" i="30" a="1"/>
  <c r="BB44" i="30" s="1"/>
  <c r="BB43" i="30" a="1"/>
  <c r="BB43" i="30" s="1"/>
  <c r="BB42" i="30" a="1"/>
  <c r="BB42" i="30" s="1"/>
  <c r="BB41" i="30" a="1"/>
  <c r="BB41" i="30" s="1"/>
  <c r="BB40" i="30" a="1"/>
  <c r="BB40" i="30" s="1"/>
  <c r="BB39" i="30" a="1"/>
  <c r="BB39" i="30" s="1"/>
  <c r="BB38" i="30" a="1"/>
  <c r="BB38" i="30" s="1"/>
  <c r="BB37" i="30" a="1"/>
  <c r="BB37" i="30" s="1"/>
  <c r="BB36" i="30" a="1"/>
  <c r="BB36" i="30" s="1"/>
  <c r="BB35" i="30" a="1"/>
  <c r="BB35" i="30" s="1"/>
  <c r="BB34" i="30" a="1"/>
  <c r="BB34" i="30" s="1"/>
  <c r="BB33" i="30" a="1"/>
  <c r="BB33" i="30" s="1"/>
  <c r="BB32" i="30" a="1"/>
  <c r="BB32" i="30" s="1"/>
  <c r="BB31" i="30" a="1"/>
  <c r="BB31" i="30" s="1"/>
  <c r="BB30" i="30" a="1"/>
  <c r="BB30" i="30" s="1"/>
  <c r="BB29" i="30" a="1"/>
  <c r="BB29" i="30" s="1"/>
  <c r="BB28" i="30" a="1"/>
  <c r="BB28" i="30" s="1"/>
  <c r="BB27" i="30" a="1"/>
  <c r="BB27" i="30" s="1"/>
  <c r="BB26" i="30" a="1"/>
  <c r="BB26" i="30" s="1"/>
  <c r="BB25" i="30" a="1"/>
  <c r="BB25" i="30" s="1"/>
  <c r="BB24" i="30" a="1"/>
  <c r="BB24" i="30" s="1"/>
  <c r="BB23" i="30" a="1"/>
  <c r="BB23" i="30" s="1"/>
  <c r="BB22" i="30" a="1"/>
  <c r="BB22" i="30" s="1"/>
  <c r="BB21" i="30" a="1"/>
  <c r="BB21" i="30" s="1"/>
  <c r="BB20" i="30" a="1"/>
  <c r="BB20" i="30" s="1"/>
  <c r="BB19" i="30" a="1"/>
  <c r="BB19" i="30" s="1"/>
  <c r="BB18" i="30" a="1"/>
  <c r="BB18" i="30" s="1"/>
  <c r="BB17" i="30" a="1"/>
  <c r="BB17" i="30" s="1"/>
  <c r="BB16" i="30" a="1"/>
  <c r="BB16" i="30" s="1"/>
  <c r="BB15" i="30" a="1"/>
  <c r="BB15" i="30" s="1"/>
  <c r="BB14" i="30" a="1"/>
  <c r="BB14" i="30" s="1"/>
  <c r="BB13" i="30" a="1"/>
  <c r="BB13" i="30" s="1"/>
  <c r="BB12" i="30" a="1"/>
  <c r="BB12" i="30" s="1"/>
  <c r="BB5" i="30" a="1"/>
  <c r="BB5" i="30" s="1"/>
  <c r="AZ104" i="30" a="1"/>
  <c r="AZ104" i="30" s="1"/>
  <c r="AZ103" i="30" a="1"/>
  <c r="AZ103" i="30" s="1"/>
  <c r="AZ102" i="30" a="1"/>
  <c r="AZ102" i="30" s="1"/>
  <c r="AZ101" i="30" a="1"/>
  <c r="AZ101" i="30" s="1"/>
  <c r="AZ100" i="30" a="1"/>
  <c r="AZ100" i="30" s="1"/>
  <c r="AZ99" i="30" a="1"/>
  <c r="AZ99" i="30" s="1"/>
  <c r="AZ98" i="30" a="1"/>
  <c r="AZ98" i="30" s="1"/>
  <c r="AZ97" i="30" a="1"/>
  <c r="AZ97" i="30" s="1"/>
  <c r="AZ96" i="30" a="1"/>
  <c r="AZ96" i="30" s="1"/>
  <c r="AZ95" i="30" a="1"/>
  <c r="AZ95" i="30" s="1"/>
  <c r="AZ94" i="30" a="1"/>
  <c r="AZ94" i="30" s="1"/>
  <c r="AZ93" i="30" a="1"/>
  <c r="AZ93" i="30" s="1"/>
  <c r="AZ92" i="30" a="1"/>
  <c r="AZ92" i="30" s="1"/>
  <c r="AZ91" i="30" a="1"/>
  <c r="AZ91" i="30" s="1"/>
  <c r="AZ90" i="30" a="1"/>
  <c r="AZ90" i="30" s="1"/>
  <c r="AZ89" i="30" a="1"/>
  <c r="AZ89" i="30" s="1"/>
  <c r="AZ88" i="30" a="1"/>
  <c r="AZ88" i="30" s="1"/>
  <c r="AZ87" i="30" a="1"/>
  <c r="AZ87" i="30" s="1"/>
  <c r="AZ86" i="30" a="1"/>
  <c r="AZ86" i="30" s="1"/>
  <c r="AZ85" i="30" a="1"/>
  <c r="AZ85" i="30" s="1"/>
  <c r="AZ84" i="30" a="1"/>
  <c r="AZ84" i="30" s="1"/>
  <c r="AZ83" i="30" a="1"/>
  <c r="AZ83" i="30" s="1"/>
  <c r="AZ82" i="30" a="1"/>
  <c r="AZ82" i="30" s="1"/>
  <c r="AZ81" i="30" a="1"/>
  <c r="AZ81" i="30" s="1"/>
  <c r="AZ80" i="30" a="1"/>
  <c r="AZ80" i="30" s="1"/>
  <c r="AZ79" i="30" a="1"/>
  <c r="AZ79" i="30" s="1"/>
  <c r="AZ78" i="30" a="1"/>
  <c r="AZ78" i="30" s="1"/>
  <c r="AZ77" i="30" a="1"/>
  <c r="AZ77" i="30" s="1"/>
  <c r="AZ76" i="30" a="1"/>
  <c r="AZ76" i="30" s="1"/>
  <c r="AZ75" i="30" a="1"/>
  <c r="AZ75" i="30" s="1"/>
  <c r="AZ74" i="30" a="1"/>
  <c r="AZ74" i="30" s="1"/>
  <c r="AZ73" i="30" a="1"/>
  <c r="AZ73" i="30" s="1"/>
  <c r="AZ72" i="30" a="1"/>
  <c r="AZ72" i="30" s="1"/>
  <c r="AZ71" i="30" a="1"/>
  <c r="AZ71" i="30" s="1"/>
  <c r="AZ70" i="30" a="1"/>
  <c r="AZ70" i="30" s="1"/>
  <c r="AZ69" i="30" a="1"/>
  <c r="AZ69" i="30" s="1"/>
  <c r="AZ68" i="30" a="1"/>
  <c r="AZ68" i="30" s="1"/>
  <c r="AZ67" i="30" a="1"/>
  <c r="AZ67" i="30" s="1"/>
  <c r="AZ66" i="30" a="1"/>
  <c r="AZ66" i="30" s="1"/>
  <c r="AZ65" i="30" a="1"/>
  <c r="AZ65" i="30" s="1"/>
  <c r="AZ64" i="30" a="1"/>
  <c r="AZ64" i="30" s="1"/>
  <c r="AZ63" i="30" a="1"/>
  <c r="AZ63" i="30" s="1"/>
  <c r="AZ62" i="30" a="1"/>
  <c r="AZ62" i="30" s="1"/>
  <c r="AZ61" i="30" a="1"/>
  <c r="AZ61" i="30" s="1"/>
  <c r="AZ60" i="30" a="1"/>
  <c r="AZ60" i="30" s="1"/>
  <c r="AZ59" i="30" a="1"/>
  <c r="AZ59" i="30" s="1"/>
  <c r="AZ58" i="30" a="1"/>
  <c r="AZ58" i="30" s="1"/>
  <c r="AZ57" i="30" a="1"/>
  <c r="AZ57" i="30" s="1"/>
  <c r="AZ56" i="30" a="1"/>
  <c r="AZ56" i="30" s="1"/>
  <c r="AZ55" i="30" a="1"/>
  <c r="AZ55" i="30" s="1"/>
  <c r="AZ54" i="30" a="1"/>
  <c r="AZ54" i="30" s="1"/>
  <c r="AZ53" i="30" a="1"/>
  <c r="AZ53" i="30" s="1"/>
  <c r="AZ52" i="30" a="1"/>
  <c r="AZ52" i="30" s="1"/>
  <c r="AZ51" i="30" a="1"/>
  <c r="AZ51" i="30" s="1"/>
  <c r="AZ50" i="30" a="1"/>
  <c r="AZ50" i="30" s="1"/>
  <c r="AZ49" i="30" a="1"/>
  <c r="AZ49" i="30" s="1"/>
  <c r="AZ48" i="30" a="1"/>
  <c r="AZ48" i="30" s="1"/>
  <c r="AZ47" i="30" a="1"/>
  <c r="AZ47" i="30" s="1"/>
  <c r="AZ46" i="30" a="1"/>
  <c r="AZ46" i="30" s="1"/>
  <c r="AZ45" i="30" a="1"/>
  <c r="AZ45" i="30" s="1"/>
  <c r="AZ44" i="30" a="1"/>
  <c r="AZ44" i="30" s="1"/>
  <c r="AZ43" i="30" a="1"/>
  <c r="AZ43" i="30" s="1"/>
  <c r="AZ42" i="30" a="1"/>
  <c r="AZ42" i="30" s="1"/>
  <c r="AZ41" i="30" a="1"/>
  <c r="AZ41" i="30" s="1"/>
  <c r="AZ40" i="30" a="1"/>
  <c r="AZ40" i="30" s="1"/>
  <c r="AZ39" i="30" a="1"/>
  <c r="AZ39" i="30" s="1"/>
  <c r="AZ38" i="30" a="1"/>
  <c r="AZ38" i="30" s="1"/>
  <c r="AZ37" i="30" a="1"/>
  <c r="AZ37" i="30" s="1"/>
  <c r="AZ36" i="30" a="1"/>
  <c r="AZ36" i="30" s="1"/>
  <c r="AZ35" i="30" a="1"/>
  <c r="AZ35" i="30" s="1"/>
  <c r="AZ34" i="30" a="1"/>
  <c r="AZ34" i="30" s="1"/>
  <c r="AZ33" i="30" a="1"/>
  <c r="AZ33" i="30" s="1"/>
  <c r="AZ32" i="30" a="1"/>
  <c r="AZ32" i="30" s="1"/>
  <c r="AZ31" i="30" a="1"/>
  <c r="AZ31" i="30" s="1"/>
  <c r="AZ30" i="30" a="1"/>
  <c r="AZ30" i="30" s="1"/>
  <c r="AZ29" i="30" a="1"/>
  <c r="AZ29" i="30" s="1"/>
  <c r="AZ28" i="30" a="1"/>
  <c r="AZ28" i="30" s="1"/>
  <c r="AZ27" i="30" a="1"/>
  <c r="AZ27" i="30" s="1"/>
  <c r="AZ26" i="30" a="1"/>
  <c r="AZ26" i="30" s="1"/>
  <c r="AZ25" i="30" a="1"/>
  <c r="AZ25" i="30" s="1"/>
  <c r="AZ24" i="30" a="1"/>
  <c r="AZ24" i="30" s="1"/>
  <c r="AZ23" i="30" a="1"/>
  <c r="AZ23" i="30" s="1"/>
  <c r="AZ22" i="30" a="1"/>
  <c r="AZ22" i="30" s="1"/>
  <c r="AZ21" i="30" a="1"/>
  <c r="AZ21" i="30" s="1"/>
  <c r="AZ20" i="30" a="1"/>
  <c r="AZ20" i="30" s="1"/>
  <c r="AZ19" i="30" a="1"/>
  <c r="AZ19" i="30" s="1"/>
  <c r="AZ18" i="30" a="1"/>
  <c r="AZ18" i="30" s="1"/>
  <c r="AZ17" i="30" a="1"/>
  <c r="AZ17" i="30" s="1"/>
  <c r="AZ16" i="30" a="1"/>
  <c r="AZ16" i="30" s="1"/>
  <c r="AZ15" i="30" a="1"/>
  <c r="AZ15" i="30" s="1"/>
  <c r="AZ14" i="30" a="1"/>
  <c r="AZ14" i="30" s="1"/>
  <c r="AZ13" i="30" a="1"/>
  <c r="AZ13" i="30" s="1"/>
  <c r="AZ12" i="30" a="1"/>
  <c r="AZ12" i="30" s="1"/>
  <c r="AZ5" i="30" a="1"/>
  <c r="AZ5" i="30" s="1"/>
  <c r="AX104" i="30" a="1"/>
  <c r="AX104" i="30" s="1"/>
  <c r="AX103" i="30" a="1"/>
  <c r="AX103" i="30" s="1"/>
  <c r="AX102" i="30" a="1"/>
  <c r="AX102" i="30" s="1"/>
  <c r="AX101" i="30" a="1"/>
  <c r="AX101" i="30" s="1"/>
  <c r="AX100" i="30" a="1"/>
  <c r="AX100" i="30" s="1"/>
  <c r="AX99" i="30" a="1"/>
  <c r="AX99" i="30" s="1"/>
  <c r="AX98" i="30" a="1"/>
  <c r="AX98" i="30" s="1"/>
  <c r="AX97" i="30" a="1"/>
  <c r="AX97" i="30" s="1"/>
  <c r="AX96" i="30" a="1"/>
  <c r="AX96" i="30" s="1"/>
  <c r="AX95" i="30" a="1"/>
  <c r="AX95" i="30" s="1"/>
  <c r="AX94" i="30" a="1"/>
  <c r="AX94" i="30" s="1"/>
  <c r="AX93" i="30" a="1"/>
  <c r="AX93" i="30" s="1"/>
  <c r="AX92" i="30" a="1"/>
  <c r="AX92" i="30" s="1"/>
  <c r="AX91" i="30" a="1"/>
  <c r="AX91" i="30" s="1"/>
  <c r="AX90" i="30" a="1"/>
  <c r="AX90" i="30" s="1"/>
  <c r="AX89" i="30" a="1"/>
  <c r="AX89" i="30" s="1"/>
  <c r="AX88" i="30" a="1"/>
  <c r="AX88" i="30" s="1"/>
  <c r="AX87" i="30" a="1"/>
  <c r="AX87" i="30" s="1"/>
  <c r="AX86" i="30" a="1"/>
  <c r="AX86" i="30" s="1"/>
  <c r="AX85" i="30" a="1"/>
  <c r="AX85" i="30" s="1"/>
  <c r="AX84" i="30" a="1"/>
  <c r="AX84" i="30" s="1"/>
  <c r="AX83" i="30" a="1"/>
  <c r="AX83" i="30" s="1"/>
  <c r="AX82" i="30" a="1"/>
  <c r="AX82" i="30" s="1"/>
  <c r="AX81" i="30" a="1"/>
  <c r="AX81" i="30" s="1"/>
  <c r="AX80" i="30" a="1"/>
  <c r="AX80" i="30" s="1"/>
  <c r="AX79" i="30" a="1"/>
  <c r="AX79" i="30" s="1"/>
  <c r="AX78" i="30" a="1"/>
  <c r="AX78" i="30" s="1"/>
  <c r="AX77" i="30" a="1"/>
  <c r="AX77" i="30" s="1"/>
  <c r="AX76" i="30" a="1"/>
  <c r="AX76" i="30" s="1"/>
  <c r="AX75" i="30" a="1"/>
  <c r="AX75" i="30" s="1"/>
  <c r="AX74" i="30" a="1"/>
  <c r="AX74" i="30" s="1"/>
  <c r="AX73" i="30" a="1"/>
  <c r="AX73" i="30" s="1"/>
  <c r="AX72" i="30" a="1"/>
  <c r="AX72" i="30" s="1"/>
  <c r="AX71" i="30" a="1"/>
  <c r="AX71" i="30" s="1"/>
  <c r="AX70" i="30" a="1"/>
  <c r="AX70" i="30" s="1"/>
  <c r="AX69" i="30" a="1"/>
  <c r="AX69" i="30" s="1"/>
  <c r="AX68" i="30" a="1"/>
  <c r="AX68" i="30" s="1"/>
  <c r="AX67" i="30" a="1"/>
  <c r="AX67" i="30" s="1"/>
  <c r="AX66" i="30" a="1"/>
  <c r="AX66" i="30" s="1"/>
  <c r="AX65" i="30" a="1"/>
  <c r="AX65" i="30" s="1"/>
  <c r="AX64" i="30" a="1"/>
  <c r="AX64" i="30" s="1"/>
  <c r="AX63" i="30" a="1"/>
  <c r="AX63" i="30" s="1"/>
  <c r="AX62" i="30" a="1"/>
  <c r="AX62" i="30" s="1"/>
  <c r="AX61" i="30" a="1"/>
  <c r="AX61" i="30" s="1"/>
  <c r="AX60" i="30" a="1"/>
  <c r="AX60" i="30" s="1"/>
  <c r="AX59" i="30" a="1"/>
  <c r="AX59" i="30" s="1"/>
  <c r="AX58" i="30" a="1"/>
  <c r="AX58" i="30" s="1"/>
  <c r="AX57" i="30" a="1"/>
  <c r="AX57" i="30" s="1"/>
  <c r="AX56" i="30" a="1"/>
  <c r="AX56" i="30" s="1"/>
  <c r="AX55" i="30" a="1"/>
  <c r="AX55" i="30" s="1"/>
  <c r="AX54" i="30" a="1"/>
  <c r="AX54" i="30" s="1"/>
  <c r="AX53" i="30" a="1"/>
  <c r="AX53" i="30" s="1"/>
  <c r="AX52" i="30" a="1"/>
  <c r="AX52" i="30" s="1"/>
  <c r="AX51" i="30" a="1"/>
  <c r="AX51" i="30" s="1"/>
  <c r="AX50" i="30" a="1"/>
  <c r="AX50" i="30" s="1"/>
  <c r="AX49" i="30" a="1"/>
  <c r="AX49" i="30" s="1"/>
  <c r="AX48" i="30" a="1"/>
  <c r="AX48" i="30" s="1"/>
  <c r="AX47" i="30" a="1"/>
  <c r="AX47" i="30" s="1"/>
  <c r="AX46" i="30" a="1"/>
  <c r="AX46" i="30" s="1"/>
  <c r="AX45" i="30" a="1"/>
  <c r="AX45" i="30" s="1"/>
  <c r="AX44" i="30" a="1"/>
  <c r="AX44" i="30" s="1"/>
  <c r="AX43" i="30" a="1"/>
  <c r="AX43" i="30" s="1"/>
  <c r="AX42" i="30" a="1"/>
  <c r="AX42" i="30" s="1"/>
  <c r="AX41" i="30" a="1"/>
  <c r="AX41" i="30" s="1"/>
  <c r="AX40" i="30" a="1"/>
  <c r="AX40" i="30" s="1"/>
  <c r="AX39" i="30" a="1"/>
  <c r="AX39" i="30" s="1"/>
  <c r="AX38" i="30" a="1"/>
  <c r="AX38" i="30" s="1"/>
  <c r="AX37" i="30" a="1"/>
  <c r="AX37" i="30" s="1"/>
  <c r="AX36" i="30" a="1"/>
  <c r="AX36" i="30" s="1"/>
  <c r="AX35" i="30" a="1"/>
  <c r="AX35" i="30" s="1"/>
  <c r="AX34" i="30" a="1"/>
  <c r="AX34" i="30" s="1"/>
  <c r="AX33" i="30" a="1"/>
  <c r="AX33" i="30" s="1"/>
  <c r="AX32" i="30" a="1"/>
  <c r="AX32" i="30" s="1"/>
  <c r="AX31" i="30" a="1"/>
  <c r="AX31" i="30" s="1"/>
  <c r="AX30" i="30" a="1"/>
  <c r="AX30" i="30" s="1"/>
  <c r="AX29" i="30" a="1"/>
  <c r="AX29" i="30" s="1"/>
  <c r="AX28" i="30" a="1"/>
  <c r="AX28" i="30" s="1"/>
  <c r="AX27" i="30" a="1"/>
  <c r="AX27" i="30" s="1"/>
  <c r="AX26" i="30" a="1"/>
  <c r="AX26" i="30" s="1"/>
  <c r="AX25" i="30" a="1"/>
  <c r="AX25" i="30" s="1"/>
  <c r="AX24" i="30" a="1"/>
  <c r="AX24" i="30" s="1"/>
  <c r="AX23" i="30" a="1"/>
  <c r="AX23" i="30" s="1"/>
  <c r="AX22" i="30" a="1"/>
  <c r="AX22" i="30" s="1"/>
  <c r="AX21" i="30" a="1"/>
  <c r="AX21" i="30" s="1"/>
  <c r="AX20" i="30" a="1"/>
  <c r="AX20" i="30" s="1"/>
  <c r="AX19" i="30" a="1"/>
  <c r="AX19" i="30" s="1"/>
  <c r="AX18" i="30" a="1"/>
  <c r="AX18" i="30" s="1"/>
  <c r="AX17" i="30" a="1"/>
  <c r="AX17" i="30" s="1"/>
  <c r="AX16" i="30" a="1"/>
  <c r="AX16" i="30" s="1"/>
  <c r="AX15" i="30" a="1"/>
  <c r="AX15" i="30" s="1"/>
  <c r="AX14" i="30" a="1"/>
  <c r="AX14" i="30" s="1"/>
  <c r="AX13" i="30" a="1"/>
  <c r="AX13" i="30" s="1"/>
  <c r="AX12" i="30" a="1"/>
  <c r="AX12" i="30" s="1"/>
  <c r="AX5" i="30" a="1"/>
  <c r="AX5" i="30" s="1"/>
  <c r="AV104" i="30" a="1"/>
  <c r="AV104" i="30" s="1"/>
  <c r="AV103" i="30" a="1"/>
  <c r="AV103" i="30" s="1"/>
  <c r="AV102" i="30" a="1"/>
  <c r="AV102" i="30" s="1"/>
  <c r="AV101" i="30" a="1"/>
  <c r="AV101" i="30" s="1"/>
  <c r="AV100" i="30" a="1"/>
  <c r="AV100" i="30" s="1"/>
  <c r="AV99" i="30" a="1"/>
  <c r="AV99" i="30" s="1"/>
  <c r="AV98" i="30" a="1"/>
  <c r="AV98" i="30" s="1"/>
  <c r="AV97" i="30" a="1"/>
  <c r="AV97" i="30" s="1"/>
  <c r="AV96" i="30" a="1"/>
  <c r="AV96" i="30" s="1"/>
  <c r="AV95" i="30" a="1"/>
  <c r="AV95" i="30" s="1"/>
  <c r="AV94" i="30" a="1"/>
  <c r="AV94" i="30" s="1"/>
  <c r="AV93" i="30" a="1"/>
  <c r="AV93" i="30" s="1"/>
  <c r="AV92" i="30" a="1"/>
  <c r="AV92" i="30" s="1"/>
  <c r="AV91" i="30" a="1"/>
  <c r="AV91" i="30" s="1"/>
  <c r="AV90" i="30" a="1"/>
  <c r="AV90" i="30" s="1"/>
  <c r="AV89" i="30" a="1"/>
  <c r="AV89" i="30" s="1"/>
  <c r="AV88" i="30" a="1"/>
  <c r="AV88" i="30" s="1"/>
  <c r="AV87" i="30" a="1"/>
  <c r="AV87" i="30" s="1"/>
  <c r="AV86" i="30" a="1"/>
  <c r="AV86" i="30" s="1"/>
  <c r="AV85" i="30" a="1"/>
  <c r="AV85" i="30" s="1"/>
  <c r="AV84" i="30" a="1"/>
  <c r="AV84" i="30" s="1"/>
  <c r="AV83" i="30" a="1"/>
  <c r="AV83" i="30" s="1"/>
  <c r="AV82" i="30" a="1"/>
  <c r="AV82" i="30" s="1"/>
  <c r="AV81" i="30" a="1"/>
  <c r="AV81" i="30" s="1"/>
  <c r="AV80" i="30" a="1"/>
  <c r="AV80" i="30" s="1"/>
  <c r="AV79" i="30" a="1"/>
  <c r="AV79" i="30" s="1"/>
  <c r="AV78" i="30" a="1"/>
  <c r="AV78" i="30" s="1"/>
  <c r="AV77" i="30" a="1"/>
  <c r="AV77" i="30" s="1"/>
  <c r="AV76" i="30" a="1"/>
  <c r="AV76" i="30" s="1"/>
  <c r="AV75" i="30" a="1"/>
  <c r="AV75" i="30" s="1"/>
  <c r="AV74" i="30" a="1"/>
  <c r="AV74" i="30" s="1"/>
  <c r="AV73" i="30" a="1"/>
  <c r="AV73" i="30" s="1"/>
  <c r="AV72" i="30" a="1"/>
  <c r="AV72" i="30" s="1"/>
  <c r="AV71" i="30" a="1"/>
  <c r="AV71" i="30" s="1"/>
  <c r="AV70" i="30" a="1"/>
  <c r="AV70" i="30" s="1"/>
  <c r="AV69" i="30" a="1"/>
  <c r="AV69" i="30" s="1"/>
  <c r="AV68" i="30" a="1"/>
  <c r="AV68" i="30" s="1"/>
  <c r="AV67" i="30" a="1"/>
  <c r="AV67" i="30" s="1"/>
  <c r="AV66" i="30" a="1"/>
  <c r="AV66" i="30" s="1"/>
  <c r="AV65" i="30" a="1"/>
  <c r="AV65" i="30" s="1"/>
  <c r="AV64" i="30" a="1"/>
  <c r="AV64" i="30" s="1"/>
  <c r="AV63" i="30" a="1"/>
  <c r="AV63" i="30" s="1"/>
  <c r="AV62" i="30" a="1"/>
  <c r="AV62" i="30" s="1"/>
  <c r="AV61" i="30" a="1"/>
  <c r="AV61" i="30" s="1"/>
  <c r="AV60" i="30" a="1"/>
  <c r="AV60" i="30" s="1"/>
  <c r="AV59" i="30" a="1"/>
  <c r="AV59" i="30" s="1"/>
  <c r="AV58" i="30" a="1"/>
  <c r="AV58" i="30" s="1"/>
  <c r="AV57" i="30" a="1"/>
  <c r="AV57" i="30" s="1"/>
  <c r="AV56" i="30" a="1"/>
  <c r="AV56" i="30" s="1"/>
  <c r="AV55" i="30" a="1"/>
  <c r="AV55" i="30" s="1"/>
  <c r="AV54" i="30" a="1"/>
  <c r="AV54" i="30" s="1"/>
  <c r="AV53" i="30" a="1"/>
  <c r="AV53" i="30" s="1"/>
  <c r="AV52" i="30" a="1"/>
  <c r="AV52" i="30" s="1"/>
  <c r="AV51" i="30" a="1"/>
  <c r="AV51" i="30" s="1"/>
  <c r="AV50" i="30" a="1"/>
  <c r="AV50" i="30" s="1"/>
  <c r="AV49" i="30" a="1"/>
  <c r="AV49" i="30" s="1"/>
  <c r="AV48" i="30" a="1"/>
  <c r="AV48" i="30" s="1"/>
  <c r="AV47" i="30" a="1"/>
  <c r="AV47" i="30" s="1"/>
  <c r="AV46" i="30" a="1"/>
  <c r="AV46" i="30" s="1"/>
  <c r="AV45" i="30" a="1"/>
  <c r="AV45" i="30" s="1"/>
  <c r="AV44" i="30" a="1"/>
  <c r="AV44" i="30" s="1"/>
  <c r="AV43" i="30" a="1"/>
  <c r="AV43" i="30" s="1"/>
  <c r="AV42" i="30" a="1"/>
  <c r="AV42" i="30" s="1"/>
  <c r="AV41" i="30" a="1"/>
  <c r="AV41" i="30" s="1"/>
  <c r="AV40" i="30" a="1"/>
  <c r="AV40" i="30" s="1"/>
  <c r="AV39" i="30" a="1"/>
  <c r="AV39" i="30" s="1"/>
  <c r="AV38" i="30" a="1"/>
  <c r="AV38" i="30" s="1"/>
  <c r="AV37" i="30" a="1"/>
  <c r="AV37" i="30" s="1"/>
  <c r="AV36" i="30" a="1"/>
  <c r="AV36" i="30" s="1"/>
  <c r="AV35" i="30" a="1"/>
  <c r="AV35" i="30" s="1"/>
  <c r="AV34" i="30" a="1"/>
  <c r="AV34" i="30" s="1"/>
  <c r="AV33" i="30" a="1"/>
  <c r="AV33" i="30" s="1"/>
  <c r="AV32" i="30" a="1"/>
  <c r="AV32" i="30" s="1"/>
  <c r="AV31" i="30" a="1"/>
  <c r="AV31" i="30" s="1"/>
  <c r="AV30" i="30" a="1"/>
  <c r="AV30" i="30" s="1"/>
  <c r="AV29" i="30" a="1"/>
  <c r="AV29" i="30" s="1"/>
  <c r="AV28" i="30" a="1"/>
  <c r="AV28" i="30" s="1"/>
  <c r="AV27" i="30" a="1"/>
  <c r="AV27" i="30" s="1"/>
  <c r="AV26" i="30" a="1"/>
  <c r="AV26" i="30" s="1"/>
  <c r="AV25" i="30" a="1"/>
  <c r="AV25" i="30" s="1"/>
  <c r="AV24" i="30" a="1"/>
  <c r="AV24" i="30" s="1"/>
  <c r="AV23" i="30" a="1"/>
  <c r="AV23" i="30" s="1"/>
  <c r="AV22" i="30" a="1"/>
  <c r="AV22" i="30" s="1"/>
  <c r="AV21" i="30" a="1"/>
  <c r="AV21" i="30" s="1"/>
  <c r="AV20" i="30" a="1"/>
  <c r="AV20" i="30" s="1"/>
  <c r="AV19" i="30" a="1"/>
  <c r="AV19" i="30" s="1"/>
  <c r="AV18" i="30" a="1"/>
  <c r="AV18" i="30" s="1"/>
  <c r="AV17" i="30" a="1"/>
  <c r="AV17" i="30" s="1"/>
  <c r="AV16" i="30" a="1"/>
  <c r="AV16" i="30" s="1"/>
  <c r="AV15" i="30" a="1"/>
  <c r="AV15" i="30" s="1"/>
  <c r="AV14" i="30" a="1"/>
  <c r="AV14" i="30" s="1"/>
  <c r="AV13" i="30" a="1"/>
  <c r="AV13" i="30" s="1"/>
  <c r="AV12" i="30" a="1"/>
  <c r="AV12" i="30" s="1"/>
  <c r="AV5" i="30" a="1"/>
  <c r="AV5" i="30" s="1"/>
  <c r="AT104" i="30" a="1"/>
  <c r="AT104" i="30" s="1"/>
  <c r="AT103" i="30" a="1"/>
  <c r="AT103" i="30" s="1"/>
  <c r="AT102" i="30" a="1"/>
  <c r="AT102" i="30" s="1"/>
  <c r="AT101" i="30" a="1"/>
  <c r="AT101" i="30" s="1"/>
  <c r="AT100" i="30" a="1"/>
  <c r="AT100" i="30" s="1"/>
  <c r="AT99" i="30" a="1"/>
  <c r="AT99" i="30" s="1"/>
  <c r="AT98" i="30" a="1"/>
  <c r="AT98" i="30" s="1"/>
  <c r="AT97" i="30" a="1"/>
  <c r="AT97" i="30" s="1"/>
  <c r="AT96" i="30" a="1"/>
  <c r="AT96" i="30" s="1"/>
  <c r="AT95" i="30" a="1"/>
  <c r="AT95" i="30" s="1"/>
  <c r="AT94" i="30" a="1"/>
  <c r="AT94" i="30" s="1"/>
  <c r="AT93" i="30" a="1"/>
  <c r="AT93" i="30" s="1"/>
  <c r="AT92" i="30" a="1"/>
  <c r="AT92" i="30" s="1"/>
  <c r="AT91" i="30" a="1"/>
  <c r="AT91" i="30" s="1"/>
  <c r="AT90" i="30" a="1"/>
  <c r="AT90" i="30" s="1"/>
  <c r="AT89" i="30" a="1"/>
  <c r="AT89" i="30" s="1"/>
  <c r="AT88" i="30" a="1"/>
  <c r="AT88" i="30" s="1"/>
  <c r="AT87" i="30" a="1"/>
  <c r="AT87" i="30" s="1"/>
  <c r="AT86" i="30" a="1"/>
  <c r="AT86" i="30" s="1"/>
  <c r="AT85" i="30" a="1"/>
  <c r="AT85" i="30" s="1"/>
  <c r="AT84" i="30" a="1"/>
  <c r="AT84" i="30" s="1"/>
  <c r="AT83" i="30" a="1"/>
  <c r="AT83" i="30" s="1"/>
  <c r="AT82" i="30" a="1"/>
  <c r="AT82" i="30" s="1"/>
  <c r="AT81" i="30" a="1"/>
  <c r="AT81" i="30" s="1"/>
  <c r="AT80" i="30" a="1"/>
  <c r="AT80" i="30" s="1"/>
  <c r="AT79" i="30" a="1"/>
  <c r="AT79" i="30" s="1"/>
  <c r="AT78" i="30" a="1"/>
  <c r="AT78" i="30" s="1"/>
  <c r="AT77" i="30" a="1"/>
  <c r="AT77" i="30" s="1"/>
  <c r="AT76" i="30" a="1"/>
  <c r="AT76" i="30" s="1"/>
  <c r="AT75" i="30" a="1"/>
  <c r="AT75" i="30" s="1"/>
  <c r="AT74" i="30" a="1"/>
  <c r="AT74" i="30" s="1"/>
  <c r="AT73" i="30" a="1"/>
  <c r="AT73" i="30" s="1"/>
  <c r="AT72" i="30" a="1"/>
  <c r="AT72" i="30" s="1"/>
  <c r="AT71" i="30" a="1"/>
  <c r="AT71" i="30" s="1"/>
  <c r="AT70" i="30" a="1"/>
  <c r="AT70" i="30" s="1"/>
  <c r="AT69" i="30" a="1"/>
  <c r="AT69" i="30" s="1"/>
  <c r="AT68" i="30" a="1"/>
  <c r="AT68" i="30" s="1"/>
  <c r="AT67" i="30" a="1"/>
  <c r="AT67" i="30" s="1"/>
  <c r="AT66" i="30" a="1"/>
  <c r="AT66" i="30" s="1"/>
  <c r="AT65" i="30" a="1"/>
  <c r="AT65" i="30" s="1"/>
  <c r="AT64" i="30" a="1"/>
  <c r="AT64" i="30" s="1"/>
  <c r="AT63" i="30" a="1"/>
  <c r="AT63" i="30" s="1"/>
  <c r="AT62" i="30" a="1"/>
  <c r="AT62" i="30" s="1"/>
  <c r="AT61" i="30" a="1"/>
  <c r="AT61" i="30" s="1"/>
  <c r="AT60" i="30" a="1"/>
  <c r="AT60" i="30" s="1"/>
  <c r="AT59" i="30" a="1"/>
  <c r="AT59" i="30" s="1"/>
  <c r="AT58" i="30" a="1"/>
  <c r="AT58" i="30" s="1"/>
  <c r="AT57" i="30" a="1"/>
  <c r="AT57" i="30" s="1"/>
  <c r="AT56" i="30" a="1"/>
  <c r="AT56" i="30" s="1"/>
  <c r="AT55" i="30" a="1"/>
  <c r="AT55" i="30" s="1"/>
  <c r="AT54" i="30" a="1"/>
  <c r="AT54" i="30" s="1"/>
  <c r="AT53" i="30" a="1"/>
  <c r="AT53" i="30" s="1"/>
  <c r="AT52" i="30" a="1"/>
  <c r="AT52" i="30" s="1"/>
  <c r="AT51" i="30" a="1"/>
  <c r="AT51" i="30" s="1"/>
  <c r="AT50" i="30" a="1"/>
  <c r="AT50" i="30" s="1"/>
  <c r="AT49" i="30" a="1"/>
  <c r="AT49" i="30" s="1"/>
  <c r="AT48" i="30" a="1"/>
  <c r="AT48" i="30" s="1"/>
  <c r="AT47" i="30" a="1"/>
  <c r="AT47" i="30" s="1"/>
  <c r="AT46" i="30" a="1"/>
  <c r="AT46" i="30" s="1"/>
  <c r="AT45" i="30" a="1"/>
  <c r="AT45" i="30" s="1"/>
  <c r="AT44" i="30" a="1"/>
  <c r="AT44" i="30" s="1"/>
  <c r="AT43" i="30" a="1"/>
  <c r="AT43" i="30" s="1"/>
  <c r="AT42" i="30" a="1"/>
  <c r="AT42" i="30" s="1"/>
  <c r="AT41" i="30" a="1"/>
  <c r="AT41" i="30" s="1"/>
  <c r="AT40" i="30" a="1"/>
  <c r="AT40" i="30" s="1"/>
  <c r="AT39" i="30" a="1"/>
  <c r="AT39" i="30" s="1"/>
  <c r="AT38" i="30" a="1"/>
  <c r="AT38" i="30" s="1"/>
  <c r="AT37" i="30" a="1"/>
  <c r="AT37" i="30" s="1"/>
  <c r="AT36" i="30" a="1"/>
  <c r="AT36" i="30" s="1"/>
  <c r="AT35" i="30" a="1"/>
  <c r="AT35" i="30" s="1"/>
  <c r="AT34" i="30" a="1"/>
  <c r="AT34" i="30" s="1"/>
  <c r="AT33" i="30" a="1"/>
  <c r="AT33" i="30" s="1"/>
  <c r="AT32" i="30" a="1"/>
  <c r="AT32" i="30" s="1"/>
  <c r="AT31" i="30" a="1"/>
  <c r="AT31" i="30" s="1"/>
  <c r="AT30" i="30" a="1"/>
  <c r="AT30" i="30" s="1"/>
  <c r="AT29" i="30" a="1"/>
  <c r="AT29" i="30" s="1"/>
  <c r="AT28" i="30" a="1"/>
  <c r="AT28" i="30" s="1"/>
  <c r="AT27" i="30" a="1"/>
  <c r="AT27" i="30" s="1"/>
  <c r="AT26" i="30" a="1"/>
  <c r="AT26" i="30" s="1"/>
  <c r="AT25" i="30" a="1"/>
  <c r="AT25" i="30" s="1"/>
  <c r="AT24" i="30" a="1"/>
  <c r="AT24" i="30" s="1"/>
  <c r="AT23" i="30" a="1"/>
  <c r="AT23" i="30" s="1"/>
  <c r="AT22" i="30" a="1"/>
  <c r="AT22" i="30" s="1"/>
  <c r="AT21" i="30" a="1"/>
  <c r="AT21" i="30" s="1"/>
  <c r="AT20" i="30" a="1"/>
  <c r="AT20" i="30" s="1"/>
  <c r="AT19" i="30" a="1"/>
  <c r="AT19" i="30" s="1"/>
  <c r="AT18" i="30" a="1"/>
  <c r="AT18" i="30" s="1"/>
  <c r="AT17" i="30" a="1"/>
  <c r="AT17" i="30" s="1"/>
  <c r="AT16" i="30" a="1"/>
  <c r="AT16" i="30" s="1"/>
  <c r="AT15" i="30" a="1"/>
  <c r="AT15" i="30" s="1"/>
  <c r="AT14" i="30" a="1"/>
  <c r="AT14" i="30" s="1"/>
  <c r="AT13" i="30" a="1"/>
  <c r="AT13" i="30" s="1"/>
  <c r="AT12" i="30" a="1"/>
  <c r="AT12" i="30" s="1"/>
  <c r="AT5" i="30" a="1"/>
  <c r="AT5" i="30" s="1"/>
  <c r="AR104" i="30" a="1"/>
  <c r="AR104" i="30" s="1"/>
  <c r="AR103" i="30" a="1"/>
  <c r="AR103" i="30" s="1"/>
  <c r="AR102" i="30" a="1"/>
  <c r="AR102" i="30" s="1"/>
  <c r="AR101" i="30" a="1"/>
  <c r="AR101" i="30" s="1"/>
  <c r="AR100" i="30" a="1"/>
  <c r="AR100" i="30" s="1"/>
  <c r="AR99" i="30" a="1"/>
  <c r="AR99" i="30" s="1"/>
  <c r="AR98" i="30" a="1"/>
  <c r="AR98" i="30" s="1"/>
  <c r="AR97" i="30" a="1"/>
  <c r="AR97" i="30" s="1"/>
  <c r="AR96" i="30" a="1"/>
  <c r="AR96" i="30" s="1"/>
  <c r="AR95" i="30" a="1"/>
  <c r="AR95" i="30" s="1"/>
  <c r="AR94" i="30" a="1"/>
  <c r="AR94" i="30" s="1"/>
  <c r="AR93" i="30" a="1"/>
  <c r="AR93" i="30" s="1"/>
  <c r="AR92" i="30" a="1"/>
  <c r="AR92" i="30" s="1"/>
  <c r="AR91" i="30" a="1"/>
  <c r="AR91" i="30" s="1"/>
  <c r="AR90" i="30" a="1"/>
  <c r="AR90" i="30" s="1"/>
  <c r="AR89" i="30" a="1"/>
  <c r="AR89" i="30" s="1"/>
  <c r="AR88" i="30" a="1"/>
  <c r="AR88" i="30" s="1"/>
  <c r="AR87" i="30" a="1"/>
  <c r="AR87" i="30" s="1"/>
  <c r="AR86" i="30" a="1"/>
  <c r="AR86" i="30" s="1"/>
  <c r="AR85" i="30" a="1"/>
  <c r="AR85" i="30" s="1"/>
  <c r="AR84" i="30" a="1"/>
  <c r="AR84" i="30" s="1"/>
  <c r="AR83" i="30" a="1"/>
  <c r="AR83" i="30" s="1"/>
  <c r="AR82" i="30" a="1"/>
  <c r="AR82" i="30" s="1"/>
  <c r="AR81" i="30" a="1"/>
  <c r="AR81" i="30" s="1"/>
  <c r="AR80" i="30" a="1"/>
  <c r="AR80" i="30" s="1"/>
  <c r="AR79" i="30" a="1"/>
  <c r="AR79" i="30" s="1"/>
  <c r="AR78" i="30" a="1"/>
  <c r="AR78" i="30" s="1"/>
  <c r="AR77" i="30" a="1"/>
  <c r="AR77" i="30" s="1"/>
  <c r="AR76" i="30" a="1"/>
  <c r="AR76" i="30" s="1"/>
  <c r="AR75" i="30" a="1"/>
  <c r="AR75" i="30" s="1"/>
  <c r="AR74" i="30" a="1"/>
  <c r="AR74" i="30" s="1"/>
  <c r="AR73" i="30" a="1"/>
  <c r="AR73" i="30" s="1"/>
  <c r="AR72" i="30" a="1"/>
  <c r="AR72" i="30" s="1"/>
  <c r="AR71" i="30" a="1"/>
  <c r="AR71" i="30" s="1"/>
  <c r="AR70" i="30" a="1"/>
  <c r="AR70" i="30" s="1"/>
  <c r="AR69" i="30" a="1"/>
  <c r="AR69" i="30" s="1"/>
  <c r="AR68" i="30" a="1"/>
  <c r="AR68" i="30" s="1"/>
  <c r="AR67" i="30" a="1"/>
  <c r="AR67" i="30" s="1"/>
  <c r="AR66" i="30" a="1"/>
  <c r="AR66" i="30" s="1"/>
  <c r="AR65" i="30" a="1"/>
  <c r="AR65" i="30" s="1"/>
  <c r="AR64" i="30" a="1"/>
  <c r="AR64" i="30" s="1"/>
  <c r="AR63" i="30" a="1"/>
  <c r="AR63" i="30" s="1"/>
  <c r="AR62" i="30" a="1"/>
  <c r="AR62" i="30" s="1"/>
  <c r="AR61" i="30" a="1"/>
  <c r="AR61" i="30" s="1"/>
  <c r="AR60" i="30" a="1"/>
  <c r="AR60" i="30" s="1"/>
  <c r="AR59" i="30" a="1"/>
  <c r="AR59" i="30" s="1"/>
  <c r="AR58" i="30" a="1"/>
  <c r="AR58" i="30" s="1"/>
  <c r="AR57" i="30" a="1"/>
  <c r="AR57" i="30" s="1"/>
  <c r="AR56" i="30" a="1"/>
  <c r="AR56" i="30" s="1"/>
  <c r="AR55" i="30" a="1"/>
  <c r="AR55" i="30" s="1"/>
  <c r="AR54" i="30" a="1"/>
  <c r="AR54" i="30" s="1"/>
  <c r="AR53" i="30" a="1"/>
  <c r="AR53" i="30" s="1"/>
  <c r="AR52" i="30" a="1"/>
  <c r="AR52" i="30" s="1"/>
  <c r="AR51" i="30" a="1"/>
  <c r="AR51" i="30" s="1"/>
  <c r="AR50" i="30" a="1"/>
  <c r="AR50" i="30" s="1"/>
  <c r="AR49" i="30" a="1"/>
  <c r="AR49" i="30" s="1"/>
  <c r="AR48" i="30" a="1"/>
  <c r="AR48" i="30" s="1"/>
  <c r="AR47" i="30" a="1"/>
  <c r="AR47" i="30" s="1"/>
  <c r="AR46" i="30" a="1"/>
  <c r="AR46" i="30" s="1"/>
  <c r="AR45" i="30" a="1"/>
  <c r="AR45" i="30" s="1"/>
  <c r="AR44" i="30" a="1"/>
  <c r="AR44" i="30" s="1"/>
  <c r="AR43" i="30" a="1"/>
  <c r="AR43" i="30" s="1"/>
  <c r="AR42" i="30" a="1"/>
  <c r="AR42" i="30" s="1"/>
  <c r="AR41" i="30" a="1"/>
  <c r="AR41" i="30" s="1"/>
  <c r="AR40" i="30" a="1"/>
  <c r="AR40" i="30" s="1"/>
  <c r="AR39" i="30" a="1"/>
  <c r="AR39" i="30" s="1"/>
  <c r="AR38" i="30" a="1"/>
  <c r="AR38" i="30" s="1"/>
  <c r="AR37" i="30" a="1"/>
  <c r="AR37" i="30" s="1"/>
  <c r="AR36" i="30" a="1"/>
  <c r="AR36" i="30" s="1"/>
  <c r="AR35" i="30" a="1"/>
  <c r="AR35" i="30" s="1"/>
  <c r="AR34" i="30" a="1"/>
  <c r="AR34" i="30" s="1"/>
  <c r="AR33" i="30" a="1"/>
  <c r="AR33" i="30" s="1"/>
  <c r="AR32" i="30" a="1"/>
  <c r="AR32" i="30" s="1"/>
  <c r="AR31" i="30" a="1"/>
  <c r="AR31" i="30" s="1"/>
  <c r="AR30" i="30" a="1"/>
  <c r="AR30" i="30" s="1"/>
  <c r="AR29" i="30" a="1"/>
  <c r="AR29" i="30" s="1"/>
  <c r="AR28" i="30" a="1"/>
  <c r="AR28" i="30" s="1"/>
  <c r="AR27" i="30" a="1"/>
  <c r="AR27" i="30" s="1"/>
  <c r="AR26" i="30" a="1"/>
  <c r="AR26" i="30" s="1"/>
  <c r="AR25" i="30" a="1"/>
  <c r="AR25" i="30" s="1"/>
  <c r="AR24" i="30" a="1"/>
  <c r="AR24" i="30" s="1"/>
  <c r="AR23" i="30" a="1"/>
  <c r="AR23" i="30" s="1"/>
  <c r="AR22" i="30" a="1"/>
  <c r="AR22" i="30" s="1"/>
  <c r="AR21" i="30" a="1"/>
  <c r="AR21" i="30" s="1"/>
  <c r="AR20" i="30" a="1"/>
  <c r="AR20" i="30" s="1"/>
  <c r="AR19" i="30" a="1"/>
  <c r="AR19" i="30" s="1"/>
  <c r="AR18" i="30" a="1"/>
  <c r="AR18" i="30" s="1"/>
  <c r="AR17" i="30" a="1"/>
  <c r="AR17" i="30" s="1"/>
  <c r="AR16" i="30" a="1"/>
  <c r="AR16" i="30" s="1"/>
  <c r="AR15" i="30" a="1"/>
  <c r="AR15" i="30" s="1"/>
  <c r="AR14" i="30" a="1"/>
  <c r="AR14" i="30" s="1"/>
  <c r="AR13" i="30" a="1"/>
  <c r="AR13" i="30" s="1"/>
  <c r="AR12" i="30" a="1"/>
  <c r="AR12" i="30" s="1"/>
  <c r="AR5" i="30" a="1"/>
  <c r="AR5" i="30" s="1"/>
  <c r="AP104" i="30" a="1"/>
  <c r="AP104" i="30" s="1"/>
  <c r="AP103" i="30" a="1"/>
  <c r="AP103" i="30" s="1"/>
  <c r="AP102" i="30" a="1"/>
  <c r="AP102" i="30" s="1"/>
  <c r="AP101" i="30" a="1"/>
  <c r="AP101" i="30" s="1"/>
  <c r="AP100" i="30" a="1"/>
  <c r="AP100" i="30" s="1"/>
  <c r="AP99" i="30" a="1"/>
  <c r="AP99" i="30" s="1"/>
  <c r="AP98" i="30" a="1"/>
  <c r="AP98" i="30" s="1"/>
  <c r="AP97" i="30" a="1"/>
  <c r="AP97" i="30" s="1"/>
  <c r="AP96" i="30" a="1"/>
  <c r="AP96" i="30" s="1"/>
  <c r="AP95" i="30" a="1"/>
  <c r="AP95" i="30" s="1"/>
  <c r="AP94" i="30" a="1"/>
  <c r="AP94" i="30" s="1"/>
  <c r="AP93" i="30" a="1"/>
  <c r="AP93" i="30" s="1"/>
  <c r="AP92" i="30" a="1"/>
  <c r="AP92" i="30" s="1"/>
  <c r="AP91" i="30" a="1"/>
  <c r="AP91" i="30" s="1"/>
  <c r="AP90" i="30" a="1"/>
  <c r="AP90" i="30" s="1"/>
  <c r="AP89" i="30" a="1"/>
  <c r="AP89" i="30" s="1"/>
  <c r="AP88" i="30" a="1"/>
  <c r="AP88" i="30" s="1"/>
  <c r="AP87" i="30" a="1"/>
  <c r="AP87" i="30" s="1"/>
  <c r="AP86" i="30" a="1"/>
  <c r="AP86" i="30" s="1"/>
  <c r="AP85" i="30" a="1"/>
  <c r="AP85" i="30" s="1"/>
  <c r="AP84" i="30" a="1"/>
  <c r="AP84" i="30" s="1"/>
  <c r="AP83" i="30" a="1"/>
  <c r="AP83" i="30" s="1"/>
  <c r="AP82" i="30" a="1"/>
  <c r="AP82" i="30" s="1"/>
  <c r="AP81" i="30" a="1"/>
  <c r="AP81" i="30" s="1"/>
  <c r="AP80" i="30" a="1"/>
  <c r="AP80" i="30" s="1"/>
  <c r="AP79" i="30" a="1"/>
  <c r="AP79" i="30" s="1"/>
  <c r="AP78" i="30" a="1"/>
  <c r="AP78" i="30" s="1"/>
  <c r="AP77" i="30" a="1"/>
  <c r="AP77" i="30" s="1"/>
  <c r="AP76" i="30" a="1"/>
  <c r="AP76" i="30" s="1"/>
  <c r="AP75" i="30" a="1"/>
  <c r="AP75" i="30" s="1"/>
  <c r="AP74" i="30" a="1"/>
  <c r="AP74" i="30" s="1"/>
  <c r="AP73" i="30" a="1"/>
  <c r="AP73" i="30" s="1"/>
  <c r="AP72" i="30" a="1"/>
  <c r="AP72" i="30" s="1"/>
  <c r="AP71" i="30" a="1"/>
  <c r="AP71" i="30" s="1"/>
  <c r="AP70" i="30" a="1"/>
  <c r="AP70" i="30" s="1"/>
  <c r="AP69" i="30" a="1"/>
  <c r="AP69" i="30" s="1"/>
  <c r="AP68" i="30" a="1"/>
  <c r="AP68" i="30" s="1"/>
  <c r="AP67" i="30" a="1"/>
  <c r="AP67" i="30" s="1"/>
  <c r="AP66" i="30" a="1"/>
  <c r="AP66" i="30" s="1"/>
  <c r="AP65" i="30" a="1"/>
  <c r="AP65" i="30" s="1"/>
  <c r="AP64" i="30" a="1"/>
  <c r="AP64" i="30" s="1"/>
  <c r="AP63" i="30" a="1"/>
  <c r="AP63" i="30" s="1"/>
  <c r="AP62" i="30" a="1"/>
  <c r="AP62" i="30" s="1"/>
  <c r="AP61" i="30" a="1"/>
  <c r="AP61" i="30" s="1"/>
  <c r="AP60" i="30" a="1"/>
  <c r="AP60" i="30" s="1"/>
  <c r="AP59" i="30" a="1"/>
  <c r="AP59" i="30" s="1"/>
  <c r="AP58" i="30" a="1"/>
  <c r="AP58" i="30" s="1"/>
  <c r="AP57" i="30" a="1"/>
  <c r="AP57" i="30" s="1"/>
  <c r="AP56" i="30" a="1"/>
  <c r="AP56" i="30" s="1"/>
  <c r="AP55" i="30" a="1"/>
  <c r="AP55" i="30" s="1"/>
  <c r="AP54" i="30" a="1"/>
  <c r="AP54" i="30" s="1"/>
  <c r="AP53" i="30" a="1"/>
  <c r="AP53" i="30" s="1"/>
  <c r="AP52" i="30" a="1"/>
  <c r="AP52" i="30" s="1"/>
  <c r="AP51" i="30" a="1"/>
  <c r="AP51" i="30" s="1"/>
  <c r="AP50" i="30" a="1"/>
  <c r="AP50" i="30" s="1"/>
  <c r="AP49" i="30" a="1"/>
  <c r="AP49" i="30" s="1"/>
  <c r="AP48" i="30" a="1"/>
  <c r="AP48" i="30" s="1"/>
  <c r="AP47" i="30" a="1"/>
  <c r="AP47" i="30" s="1"/>
  <c r="AP46" i="30" a="1"/>
  <c r="AP46" i="30" s="1"/>
  <c r="AP45" i="30" a="1"/>
  <c r="AP45" i="30" s="1"/>
  <c r="AP44" i="30" a="1"/>
  <c r="AP44" i="30" s="1"/>
  <c r="AP43" i="30" a="1"/>
  <c r="AP43" i="30" s="1"/>
  <c r="AP42" i="30" a="1"/>
  <c r="AP42" i="30" s="1"/>
  <c r="AP41" i="30" a="1"/>
  <c r="AP41" i="30" s="1"/>
  <c r="AP40" i="30" a="1"/>
  <c r="AP40" i="30" s="1"/>
  <c r="AP39" i="30" a="1"/>
  <c r="AP39" i="30" s="1"/>
  <c r="AP38" i="30" a="1"/>
  <c r="AP38" i="30" s="1"/>
  <c r="AP37" i="30" a="1"/>
  <c r="AP37" i="30" s="1"/>
  <c r="AP36" i="30" a="1"/>
  <c r="AP36" i="30" s="1"/>
  <c r="AP35" i="30" a="1"/>
  <c r="AP35" i="30" s="1"/>
  <c r="AP34" i="30" a="1"/>
  <c r="AP34" i="30" s="1"/>
  <c r="AP33" i="30" a="1"/>
  <c r="AP33" i="30" s="1"/>
  <c r="AP32" i="30" a="1"/>
  <c r="AP32" i="30" s="1"/>
  <c r="AP31" i="30"/>
  <c r="AP31" i="30" a="1"/>
  <c r="AP30" i="30" a="1"/>
  <c r="AP30" i="30" s="1"/>
  <c r="AP29" i="30" a="1"/>
  <c r="AP29" i="30" s="1"/>
  <c r="AP28" i="30" a="1"/>
  <c r="AP28" i="30" s="1"/>
  <c r="AP27" i="30" a="1"/>
  <c r="AP27" i="30" s="1"/>
  <c r="AP26" i="30" a="1"/>
  <c r="AP26" i="30" s="1"/>
  <c r="AP25" i="30" a="1"/>
  <c r="AP25" i="30" s="1"/>
  <c r="AP24" i="30" a="1"/>
  <c r="AP24" i="30" s="1"/>
  <c r="AP23" i="30" a="1"/>
  <c r="AP23" i="30" s="1"/>
  <c r="AP22" i="30" a="1"/>
  <c r="AP22" i="30" s="1"/>
  <c r="AP21" i="30" a="1"/>
  <c r="AP21" i="30" s="1"/>
  <c r="AP20" i="30" a="1"/>
  <c r="AP20" i="30" s="1"/>
  <c r="AP19" i="30" a="1"/>
  <c r="AP19" i="30" s="1"/>
  <c r="AP18" i="30" a="1"/>
  <c r="AP18" i="30" s="1"/>
  <c r="AP17" i="30" a="1"/>
  <c r="AP17" i="30" s="1"/>
  <c r="AP16" i="30" a="1"/>
  <c r="AP16" i="30" s="1"/>
  <c r="AP15" i="30" a="1"/>
  <c r="AP15" i="30" s="1"/>
  <c r="AP14" i="30" a="1"/>
  <c r="AP14" i="30" s="1"/>
  <c r="AP13" i="30" a="1"/>
  <c r="AP13" i="30" s="1"/>
  <c r="AP12" i="30" a="1"/>
  <c r="AP12" i="30" s="1"/>
  <c r="AP5" i="30" a="1"/>
  <c r="AP5" i="30" s="1"/>
  <c r="AN104" i="30" a="1"/>
  <c r="AN104" i="30" s="1"/>
  <c r="AN103" i="30" a="1"/>
  <c r="AN103" i="30" s="1"/>
  <c r="AN102" i="30" a="1"/>
  <c r="AN102" i="30" s="1"/>
  <c r="AN101" i="30" a="1"/>
  <c r="AN101" i="30" s="1"/>
  <c r="AN100" i="30" a="1"/>
  <c r="AN100" i="30" s="1"/>
  <c r="AN99" i="30" a="1"/>
  <c r="AN99" i="30" s="1"/>
  <c r="AN98" i="30" a="1"/>
  <c r="AN98" i="30" s="1"/>
  <c r="AN97" i="30" a="1"/>
  <c r="AN97" i="30" s="1"/>
  <c r="AN96" i="30"/>
  <c r="AN96" i="30" a="1"/>
  <c r="AN95" i="30" a="1"/>
  <c r="AN95" i="30" s="1"/>
  <c r="AN94" i="30" a="1"/>
  <c r="AN94" i="30" s="1"/>
  <c r="AN93" i="30" a="1"/>
  <c r="AN93" i="30" s="1"/>
  <c r="AN92" i="30" a="1"/>
  <c r="AN92" i="30" s="1"/>
  <c r="AN91" i="30" a="1"/>
  <c r="AN91" i="30" s="1"/>
  <c r="AN90" i="30" a="1"/>
  <c r="AN90" i="30" s="1"/>
  <c r="AN89" i="30" a="1"/>
  <c r="AN89" i="30" s="1"/>
  <c r="AN88" i="30" a="1"/>
  <c r="AN88" i="30" s="1"/>
  <c r="AN87" i="30" a="1"/>
  <c r="AN87" i="30" s="1"/>
  <c r="AN86" i="30" a="1"/>
  <c r="AN86" i="30" s="1"/>
  <c r="AN85" i="30" a="1"/>
  <c r="AN85" i="30" s="1"/>
  <c r="AN84" i="30" a="1"/>
  <c r="AN84" i="30" s="1"/>
  <c r="AN83" i="30" a="1"/>
  <c r="AN83" i="30" s="1"/>
  <c r="AN82" i="30" a="1"/>
  <c r="AN82" i="30" s="1"/>
  <c r="AN81" i="30" a="1"/>
  <c r="AN81" i="30" s="1"/>
  <c r="AN80" i="30" a="1"/>
  <c r="AN80" i="30" s="1"/>
  <c r="AN79" i="30" a="1"/>
  <c r="AN79" i="30" s="1"/>
  <c r="AN78" i="30" a="1"/>
  <c r="AN78" i="30" s="1"/>
  <c r="AN77" i="30" a="1"/>
  <c r="AN77" i="30" s="1"/>
  <c r="AN76" i="30" a="1"/>
  <c r="AN76" i="30" s="1"/>
  <c r="AN75" i="30" a="1"/>
  <c r="AN75" i="30" s="1"/>
  <c r="AN74" i="30"/>
  <c r="AN74" i="30" a="1"/>
  <c r="AN73" i="30" a="1"/>
  <c r="AN73" i="30" s="1"/>
  <c r="AN72" i="30" a="1"/>
  <c r="AN72" i="30" s="1"/>
  <c r="AN71" i="30" a="1"/>
  <c r="AN71" i="30" s="1"/>
  <c r="AN70" i="30" a="1"/>
  <c r="AN70" i="30" s="1"/>
  <c r="AN69" i="30" a="1"/>
  <c r="AN69" i="30" s="1"/>
  <c r="AN68" i="30" a="1"/>
  <c r="AN68" i="30" s="1"/>
  <c r="AN67" i="30" a="1"/>
  <c r="AN67" i="30" s="1"/>
  <c r="AN66" i="30" a="1"/>
  <c r="AN66" i="30" s="1"/>
  <c r="AN65" i="30" a="1"/>
  <c r="AN65" i="30" s="1"/>
  <c r="AN64" i="30" a="1"/>
  <c r="AN64" i="30" s="1"/>
  <c r="AN63" i="30" a="1"/>
  <c r="AN63" i="30" s="1"/>
  <c r="AN62" i="30" a="1"/>
  <c r="AN62" i="30" s="1"/>
  <c r="AN61" i="30" a="1"/>
  <c r="AN61" i="30" s="1"/>
  <c r="AN60" i="30" a="1"/>
  <c r="AN60" i="30" s="1"/>
  <c r="AN59" i="30" a="1"/>
  <c r="AN59" i="30" s="1"/>
  <c r="AN58" i="30" a="1"/>
  <c r="AN58" i="30" s="1"/>
  <c r="AN57" i="30" a="1"/>
  <c r="AN57" i="30" s="1"/>
  <c r="AN56" i="30" a="1"/>
  <c r="AN56" i="30" s="1"/>
  <c r="AN55" i="30" a="1"/>
  <c r="AN55" i="30" s="1"/>
  <c r="AN54" i="30" a="1"/>
  <c r="AN54" i="30" s="1"/>
  <c r="AN53" i="30" a="1"/>
  <c r="AN53" i="30" s="1"/>
  <c r="AN52" i="30" a="1"/>
  <c r="AN52" i="30" s="1"/>
  <c r="AN51" i="30" a="1"/>
  <c r="AN51" i="30" s="1"/>
  <c r="AN50" i="30" a="1"/>
  <c r="AN50" i="30" s="1"/>
  <c r="AN49" i="30" a="1"/>
  <c r="AN49" i="30" s="1"/>
  <c r="AN48" i="30"/>
  <c r="AN48" i="30" a="1"/>
  <c r="AN47" i="30" a="1"/>
  <c r="AN47" i="30" s="1"/>
  <c r="AN46" i="30" a="1"/>
  <c r="AN46" i="30" s="1"/>
  <c r="AN45" i="30" a="1"/>
  <c r="AN45" i="30" s="1"/>
  <c r="AN44" i="30" a="1"/>
  <c r="AN44" i="30" s="1"/>
  <c r="AN43" i="30" a="1"/>
  <c r="AN43" i="30" s="1"/>
  <c r="AN42" i="30" a="1"/>
  <c r="AN42" i="30" s="1"/>
  <c r="AN41" i="30" a="1"/>
  <c r="AN41" i="30" s="1"/>
  <c r="AN40" i="30" a="1"/>
  <c r="AN40" i="30" s="1"/>
  <c r="AN39" i="30" a="1"/>
  <c r="AN39" i="30" s="1"/>
  <c r="AN38" i="30" a="1"/>
  <c r="AN38" i="30" s="1"/>
  <c r="AN37" i="30" a="1"/>
  <c r="AN37" i="30" s="1"/>
  <c r="AN36" i="30" a="1"/>
  <c r="AN36" i="30" s="1"/>
  <c r="AN35" i="30" a="1"/>
  <c r="AN35" i="30" s="1"/>
  <c r="AN34" i="30" a="1"/>
  <c r="AN34" i="30" s="1"/>
  <c r="AN33" i="30" a="1"/>
  <c r="AN33" i="30" s="1"/>
  <c r="AN32" i="30" a="1"/>
  <c r="AN32" i="30" s="1"/>
  <c r="AN31" i="30" a="1"/>
  <c r="AN31" i="30" s="1"/>
  <c r="AN30" i="30" a="1"/>
  <c r="AN30" i="30" s="1"/>
  <c r="AN29" i="30" a="1"/>
  <c r="AN29" i="30" s="1"/>
  <c r="AN28" i="30" a="1"/>
  <c r="AN28" i="30" s="1"/>
  <c r="AN27" i="30" a="1"/>
  <c r="AN27" i="30" s="1"/>
  <c r="AN26" i="30" a="1"/>
  <c r="AN26" i="30" s="1"/>
  <c r="AN25" i="30" a="1"/>
  <c r="AN25" i="30" s="1"/>
  <c r="AN24" i="30" a="1"/>
  <c r="AN24" i="30" s="1"/>
  <c r="AN23" i="30" a="1"/>
  <c r="AN23" i="30" s="1"/>
  <c r="AN22" i="30" a="1"/>
  <c r="AN22" i="30" s="1"/>
  <c r="AN21" i="30" a="1"/>
  <c r="AN21" i="30" s="1"/>
  <c r="AN20" i="30" a="1"/>
  <c r="AN20" i="30" s="1"/>
  <c r="AN19" i="30" a="1"/>
  <c r="AN19" i="30" s="1"/>
  <c r="AN18" i="30" a="1"/>
  <c r="AN18" i="30" s="1"/>
  <c r="AN17" i="30" a="1"/>
  <c r="AN17" i="30" s="1"/>
  <c r="AN16" i="30" a="1"/>
  <c r="AN16" i="30" s="1"/>
  <c r="AN15" i="30" a="1"/>
  <c r="AN15" i="30" s="1"/>
  <c r="AN14" i="30" a="1"/>
  <c r="AN14" i="30" s="1"/>
  <c r="AN13" i="30" a="1"/>
  <c r="AN13" i="30" s="1"/>
  <c r="AN12" i="30" a="1"/>
  <c r="AN12" i="30" s="1"/>
  <c r="AN5" i="30" a="1"/>
  <c r="AN5" i="30" s="1"/>
  <c r="AL104" i="30" a="1"/>
  <c r="AL104" i="30" s="1"/>
  <c r="AL103" i="30" a="1"/>
  <c r="AL103" i="30" s="1"/>
  <c r="AL102" i="30" a="1"/>
  <c r="AL102" i="30" s="1"/>
  <c r="AL101" i="30" a="1"/>
  <c r="AL101" i="30" s="1"/>
  <c r="AL100" i="30" a="1"/>
  <c r="AL100" i="30" s="1"/>
  <c r="AL99" i="30" a="1"/>
  <c r="AL99" i="30" s="1"/>
  <c r="AL98" i="30" a="1"/>
  <c r="AL98" i="30" s="1"/>
  <c r="AL97" i="30" a="1"/>
  <c r="AL97" i="30" s="1"/>
  <c r="AL96" i="30" a="1"/>
  <c r="AL96" i="30" s="1"/>
  <c r="AL95" i="30" a="1"/>
  <c r="AL95" i="30" s="1"/>
  <c r="AL94" i="30" a="1"/>
  <c r="AL94" i="30" s="1"/>
  <c r="AL93" i="30" a="1"/>
  <c r="AL93" i="30" s="1"/>
  <c r="AL92" i="30" a="1"/>
  <c r="AL92" i="30" s="1"/>
  <c r="AL91" i="30" a="1"/>
  <c r="AL91" i="30" s="1"/>
  <c r="AL90" i="30" a="1"/>
  <c r="AL90" i="30" s="1"/>
  <c r="AL89" i="30" a="1"/>
  <c r="AL89" i="30" s="1"/>
  <c r="AL88" i="30" a="1"/>
  <c r="AL88" i="30" s="1"/>
  <c r="AL87" i="30" a="1"/>
  <c r="AL87" i="30" s="1"/>
  <c r="AL86" i="30" a="1"/>
  <c r="AL86" i="30" s="1"/>
  <c r="AL85" i="30" a="1"/>
  <c r="AL85" i="30" s="1"/>
  <c r="AL84" i="30" a="1"/>
  <c r="AL84" i="30" s="1"/>
  <c r="AL83" i="30" a="1"/>
  <c r="AL83" i="30" s="1"/>
  <c r="AL82" i="30" a="1"/>
  <c r="AL82" i="30" s="1"/>
  <c r="AL81" i="30" a="1"/>
  <c r="AL81" i="30" s="1"/>
  <c r="AL80" i="30"/>
  <c r="AL80" i="30" a="1"/>
  <c r="AL79" i="30" a="1"/>
  <c r="AL79" i="30" s="1"/>
  <c r="AL78" i="30" a="1"/>
  <c r="AL78" i="30" s="1"/>
  <c r="AL77" i="30" a="1"/>
  <c r="AL77" i="30" s="1"/>
  <c r="AL76" i="30" a="1"/>
  <c r="AL76" i="30" s="1"/>
  <c r="AL75" i="30" a="1"/>
  <c r="AL75" i="30" s="1"/>
  <c r="AL74" i="30" a="1"/>
  <c r="AL74" i="30" s="1"/>
  <c r="AL73" i="30" a="1"/>
  <c r="AL73" i="30" s="1"/>
  <c r="AL72" i="30" a="1"/>
  <c r="AL72" i="30" s="1"/>
  <c r="AL71" i="30" a="1"/>
  <c r="AL71" i="30" s="1"/>
  <c r="AL70" i="30" a="1"/>
  <c r="AL70" i="30" s="1"/>
  <c r="AL69" i="30" a="1"/>
  <c r="AL69" i="30" s="1"/>
  <c r="AL68" i="30" a="1"/>
  <c r="AL68" i="30" s="1"/>
  <c r="AL67" i="30" a="1"/>
  <c r="AL67" i="30" s="1"/>
  <c r="AL66" i="30" a="1"/>
  <c r="AL66" i="30" s="1"/>
  <c r="AL65" i="30" a="1"/>
  <c r="AL65" i="30" s="1"/>
  <c r="AL64" i="30" a="1"/>
  <c r="AL64" i="30" s="1"/>
  <c r="AL63" i="30" a="1"/>
  <c r="AL63" i="30" s="1"/>
  <c r="AL62" i="30" a="1"/>
  <c r="AL62" i="30" s="1"/>
  <c r="AL61" i="30" a="1"/>
  <c r="AL61" i="30" s="1"/>
  <c r="AL60" i="30" a="1"/>
  <c r="AL60" i="30" s="1"/>
  <c r="AL59" i="30" a="1"/>
  <c r="AL59" i="30" s="1"/>
  <c r="AL58" i="30" a="1"/>
  <c r="AL58" i="30" s="1"/>
  <c r="AL57" i="30" a="1"/>
  <c r="AL57" i="30" s="1"/>
  <c r="AL56" i="30" a="1"/>
  <c r="AL56" i="30" s="1"/>
  <c r="AL55" i="30" a="1"/>
  <c r="AL55" i="30" s="1"/>
  <c r="AL54" i="30" a="1"/>
  <c r="AL54" i="30" s="1"/>
  <c r="AL53" i="30" a="1"/>
  <c r="AL53" i="30" s="1"/>
  <c r="AL52" i="30" a="1"/>
  <c r="AL52" i="30" s="1"/>
  <c r="AL51" i="30" a="1"/>
  <c r="AL51" i="30" s="1"/>
  <c r="AL50" i="30" a="1"/>
  <c r="AL50" i="30" s="1"/>
  <c r="AL49" i="30" a="1"/>
  <c r="AL49" i="30" s="1"/>
  <c r="AL48" i="30" a="1"/>
  <c r="AL48" i="30" s="1"/>
  <c r="AL47" i="30" a="1"/>
  <c r="AL47" i="30" s="1"/>
  <c r="AL46" i="30" a="1"/>
  <c r="AL46" i="30" s="1"/>
  <c r="AL45" i="30" a="1"/>
  <c r="AL45" i="30" s="1"/>
  <c r="AL44" i="30" a="1"/>
  <c r="AL44" i="30" s="1"/>
  <c r="AL43" i="30" a="1"/>
  <c r="AL43" i="30" s="1"/>
  <c r="AL42" i="30" a="1"/>
  <c r="AL42" i="30" s="1"/>
  <c r="AL41" i="30" a="1"/>
  <c r="AL41" i="30" s="1"/>
  <c r="AL40" i="30" a="1"/>
  <c r="AL40" i="30" s="1"/>
  <c r="AL39" i="30" a="1"/>
  <c r="AL39" i="30" s="1"/>
  <c r="AL38" i="30" a="1"/>
  <c r="AL38" i="30" s="1"/>
  <c r="AL37" i="30" a="1"/>
  <c r="AL37" i="30" s="1"/>
  <c r="AL36" i="30" a="1"/>
  <c r="AL36" i="30" s="1"/>
  <c r="AL35" i="30" a="1"/>
  <c r="AL35" i="30" s="1"/>
  <c r="AL34" i="30" a="1"/>
  <c r="AL34" i="30" s="1"/>
  <c r="AL33" i="30" a="1"/>
  <c r="AL33" i="30" s="1"/>
  <c r="AL32" i="30" a="1"/>
  <c r="AL32" i="30" s="1"/>
  <c r="AL31" i="30" a="1"/>
  <c r="AL31" i="30" s="1"/>
  <c r="AL30" i="30" a="1"/>
  <c r="AL30" i="30" s="1"/>
  <c r="AL29" i="30" a="1"/>
  <c r="AL29" i="30" s="1"/>
  <c r="AL28" i="30" a="1"/>
  <c r="AL28" i="30" s="1"/>
  <c r="AL27" i="30" a="1"/>
  <c r="AL27" i="30" s="1"/>
  <c r="AL26" i="30" a="1"/>
  <c r="AL26" i="30" s="1"/>
  <c r="AL25" i="30" a="1"/>
  <c r="AL25" i="30" s="1"/>
  <c r="AL24" i="30" a="1"/>
  <c r="AL24" i="30" s="1"/>
  <c r="AL23" i="30" a="1"/>
  <c r="AL23" i="30" s="1"/>
  <c r="AL22" i="30" a="1"/>
  <c r="AL22" i="30" s="1"/>
  <c r="AL21" i="30" a="1"/>
  <c r="AL21" i="30" s="1"/>
  <c r="AL20" i="30" a="1"/>
  <c r="AL20" i="30" s="1"/>
  <c r="AL19" i="30" a="1"/>
  <c r="AL19" i="30" s="1"/>
  <c r="AL18" i="30" a="1"/>
  <c r="AL18" i="30" s="1"/>
  <c r="AL17" i="30" a="1"/>
  <c r="AL17" i="30" s="1"/>
  <c r="AL16" i="30" a="1"/>
  <c r="AL16" i="30" s="1"/>
  <c r="AL15" i="30" a="1"/>
  <c r="AL15" i="30" s="1"/>
  <c r="AL14" i="30" a="1"/>
  <c r="AL14" i="30" s="1"/>
  <c r="AL13" i="30" a="1"/>
  <c r="AL13" i="30" s="1"/>
  <c r="AL12" i="30" a="1"/>
  <c r="AL12" i="30" s="1"/>
  <c r="AL5" i="30" a="1"/>
  <c r="AL5" i="30" s="1"/>
  <c r="AJ104" i="30" a="1"/>
  <c r="AJ104" i="30" s="1"/>
  <c r="AJ103" i="30" a="1"/>
  <c r="AJ103" i="30" s="1"/>
  <c r="AJ102" i="30" a="1"/>
  <c r="AJ102" i="30" s="1"/>
  <c r="AJ101" i="30" a="1"/>
  <c r="AJ101" i="30" s="1"/>
  <c r="AJ100" i="30" a="1"/>
  <c r="AJ100" i="30" s="1"/>
  <c r="AJ99" i="30" a="1"/>
  <c r="AJ99" i="30" s="1"/>
  <c r="AJ98" i="30" a="1"/>
  <c r="AJ98" i="30" s="1"/>
  <c r="AJ97" i="30" a="1"/>
  <c r="AJ97" i="30" s="1"/>
  <c r="AJ96" i="30" a="1"/>
  <c r="AJ96" i="30" s="1"/>
  <c r="AJ95" i="30" a="1"/>
  <c r="AJ95" i="30" s="1"/>
  <c r="AJ94" i="30" a="1"/>
  <c r="AJ94" i="30" s="1"/>
  <c r="AJ93" i="30" a="1"/>
  <c r="AJ93" i="30" s="1"/>
  <c r="AJ92" i="30" a="1"/>
  <c r="AJ92" i="30" s="1"/>
  <c r="AJ91" i="30" a="1"/>
  <c r="AJ91" i="30" s="1"/>
  <c r="AJ90" i="30" a="1"/>
  <c r="AJ90" i="30" s="1"/>
  <c r="AJ89" i="30" a="1"/>
  <c r="AJ89" i="30" s="1"/>
  <c r="AJ88" i="30" a="1"/>
  <c r="AJ88" i="30" s="1"/>
  <c r="AJ87" i="30" a="1"/>
  <c r="AJ87" i="30" s="1"/>
  <c r="AJ86" i="30" a="1"/>
  <c r="AJ86" i="30" s="1"/>
  <c r="AJ85" i="30" a="1"/>
  <c r="AJ85" i="30" s="1"/>
  <c r="AJ84" i="30" a="1"/>
  <c r="AJ84" i="30" s="1"/>
  <c r="AJ83" i="30" a="1"/>
  <c r="AJ83" i="30" s="1"/>
  <c r="AJ82" i="30" a="1"/>
  <c r="AJ82" i="30" s="1"/>
  <c r="AJ81" i="30" a="1"/>
  <c r="AJ81" i="30" s="1"/>
  <c r="AJ80" i="30" a="1"/>
  <c r="AJ80" i="30" s="1"/>
  <c r="AJ79" i="30" a="1"/>
  <c r="AJ79" i="30" s="1"/>
  <c r="AJ78" i="30" a="1"/>
  <c r="AJ78" i="30" s="1"/>
  <c r="AJ77" i="30" a="1"/>
  <c r="AJ77" i="30" s="1"/>
  <c r="AJ76" i="30" a="1"/>
  <c r="AJ76" i="30" s="1"/>
  <c r="AJ75" i="30" a="1"/>
  <c r="AJ75" i="30" s="1"/>
  <c r="AJ74" i="30" a="1"/>
  <c r="AJ74" i="30" s="1"/>
  <c r="AJ73" i="30" a="1"/>
  <c r="AJ73" i="30" s="1"/>
  <c r="AJ72" i="30" a="1"/>
  <c r="AJ72" i="30" s="1"/>
  <c r="AJ71" i="30" a="1"/>
  <c r="AJ71" i="30" s="1"/>
  <c r="AJ70" i="30" a="1"/>
  <c r="AJ70" i="30" s="1"/>
  <c r="AJ69" i="30" a="1"/>
  <c r="AJ69" i="30" s="1"/>
  <c r="AJ68" i="30" a="1"/>
  <c r="AJ68" i="30" s="1"/>
  <c r="AJ67" i="30" a="1"/>
  <c r="AJ67" i="30" s="1"/>
  <c r="AJ66" i="30" a="1"/>
  <c r="AJ66" i="30" s="1"/>
  <c r="AJ65" i="30" a="1"/>
  <c r="AJ65" i="30" s="1"/>
  <c r="AJ64" i="30" a="1"/>
  <c r="AJ64" i="30" s="1"/>
  <c r="AJ63" i="30" a="1"/>
  <c r="AJ63" i="30" s="1"/>
  <c r="AJ62" i="30" a="1"/>
  <c r="AJ62" i="30" s="1"/>
  <c r="AJ61" i="30" a="1"/>
  <c r="AJ61" i="30" s="1"/>
  <c r="AJ60" i="30" a="1"/>
  <c r="AJ60" i="30" s="1"/>
  <c r="AJ59" i="30" a="1"/>
  <c r="AJ59" i="30" s="1"/>
  <c r="AJ58" i="30" a="1"/>
  <c r="AJ58" i="30" s="1"/>
  <c r="AJ57" i="30" a="1"/>
  <c r="AJ57" i="30" s="1"/>
  <c r="AJ56" i="30" a="1"/>
  <c r="AJ56" i="30" s="1"/>
  <c r="AJ55" i="30" a="1"/>
  <c r="AJ55" i="30" s="1"/>
  <c r="AJ54" i="30" a="1"/>
  <c r="AJ54" i="30" s="1"/>
  <c r="AJ53" i="30" a="1"/>
  <c r="AJ53" i="30" s="1"/>
  <c r="AJ52" i="30" a="1"/>
  <c r="AJ52" i="30" s="1"/>
  <c r="AJ51" i="30"/>
  <c r="AJ51" i="30" a="1"/>
  <c r="AJ50" i="30" a="1"/>
  <c r="AJ50" i="30" s="1"/>
  <c r="AJ49" i="30" a="1"/>
  <c r="AJ49" i="30" s="1"/>
  <c r="AJ48" i="30" a="1"/>
  <c r="AJ48" i="30" s="1"/>
  <c r="AJ47" i="30" a="1"/>
  <c r="AJ47" i="30" s="1"/>
  <c r="AJ46" i="30" a="1"/>
  <c r="AJ46" i="30" s="1"/>
  <c r="AJ45" i="30" a="1"/>
  <c r="AJ45" i="30" s="1"/>
  <c r="AJ44" i="30" a="1"/>
  <c r="AJ44" i="30" s="1"/>
  <c r="AJ43" i="30" a="1"/>
  <c r="AJ43" i="30" s="1"/>
  <c r="AJ42" i="30" a="1"/>
  <c r="AJ42" i="30" s="1"/>
  <c r="AJ41" i="30" a="1"/>
  <c r="AJ41" i="30" s="1"/>
  <c r="AJ40" i="30" a="1"/>
  <c r="AJ40" i="30" s="1"/>
  <c r="AJ39" i="30" a="1"/>
  <c r="AJ39" i="30" s="1"/>
  <c r="AJ38" i="30" a="1"/>
  <c r="AJ38" i="30" s="1"/>
  <c r="AJ37" i="30" a="1"/>
  <c r="AJ37" i="30" s="1"/>
  <c r="AJ36" i="30" a="1"/>
  <c r="AJ36" i="30" s="1"/>
  <c r="AJ35" i="30" a="1"/>
  <c r="AJ35" i="30" s="1"/>
  <c r="AJ34" i="30" a="1"/>
  <c r="AJ34" i="30" s="1"/>
  <c r="AJ33" i="30" a="1"/>
  <c r="AJ33" i="30" s="1"/>
  <c r="AJ32" i="30" a="1"/>
  <c r="AJ32" i="30" s="1"/>
  <c r="AJ31" i="30" a="1"/>
  <c r="AJ31" i="30" s="1"/>
  <c r="AJ30" i="30" a="1"/>
  <c r="AJ30" i="30" s="1"/>
  <c r="AJ29" i="30" a="1"/>
  <c r="AJ29" i="30" s="1"/>
  <c r="AJ28" i="30" a="1"/>
  <c r="AJ28" i="30" s="1"/>
  <c r="AJ27" i="30" a="1"/>
  <c r="AJ27" i="30" s="1"/>
  <c r="AJ26" i="30" a="1"/>
  <c r="AJ26" i="30" s="1"/>
  <c r="AJ25" i="30" a="1"/>
  <c r="AJ25" i="30" s="1"/>
  <c r="AJ24" i="30" a="1"/>
  <c r="AJ24" i="30" s="1"/>
  <c r="AJ23" i="30" a="1"/>
  <c r="AJ23" i="30" s="1"/>
  <c r="AJ22" i="30" a="1"/>
  <c r="AJ22" i="30" s="1"/>
  <c r="AJ21" i="30" a="1"/>
  <c r="AJ21" i="30" s="1"/>
  <c r="AJ20" i="30" a="1"/>
  <c r="AJ20" i="30" s="1"/>
  <c r="AJ19" i="30" a="1"/>
  <c r="AJ19" i="30" s="1"/>
  <c r="AJ18" i="30" a="1"/>
  <c r="AJ18" i="30" s="1"/>
  <c r="AJ17" i="30" a="1"/>
  <c r="AJ17" i="30" s="1"/>
  <c r="AJ16" i="30" a="1"/>
  <c r="AJ16" i="30" s="1"/>
  <c r="AJ15" i="30" a="1"/>
  <c r="AJ15" i="30" s="1"/>
  <c r="AJ14" i="30" a="1"/>
  <c r="AJ14" i="30" s="1"/>
  <c r="AJ13" i="30" a="1"/>
  <c r="AJ13" i="30" s="1"/>
  <c r="AJ12" i="30" a="1"/>
  <c r="AJ12" i="30" s="1"/>
  <c r="AJ5" i="30" a="1"/>
  <c r="AJ5" i="30" s="1"/>
  <c r="AH104" i="30" a="1"/>
  <c r="AH104" i="30" s="1"/>
  <c r="AH103" i="30" a="1"/>
  <c r="AH103" i="30" s="1"/>
  <c r="AH102" i="30" a="1"/>
  <c r="AH102" i="30" s="1"/>
  <c r="AH101" i="30" a="1"/>
  <c r="AH101" i="30" s="1"/>
  <c r="AH100" i="30" a="1"/>
  <c r="AH100" i="30" s="1"/>
  <c r="AH99" i="30" a="1"/>
  <c r="AH99" i="30" s="1"/>
  <c r="AH98" i="30" a="1"/>
  <c r="AH98" i="30" s="1"/>
  <c r="AH97" i="30" a="1"/>
  <c r="AH97" i="30" s="1"/>
  <c r="AH96" i="30" a="1"/>
  <c r="AH96" i="30" s="1"/>
  <c r="AH95" i="30" a="1"/>
  <c r="AH95" i="30" s="1"/>
  <c r="AH94" i="30" a="1"/>
  <c r="AH94" i="30" s="1"/>
  <c r="AH93" i="30" a="1"/>
  <c r="AH93" i="30" s="1"/>
  <c r="AH92" i="30" a="1"/>
  <c r="AH92" i="30" s="1"/>
  <c r="AH91" i="30" a="1"/>
  <c r="AH91" i="30" s="1"/>
  <c r="AH90" i="30" a="1"/>
  <c r="AH90" i="30" s="1"/>
  <c r="AH89" i="30" a="1"/>
  <c r="AH89" i="30" s="1"/>
  <c r="AH88" i="30" a="1"/>
  <c r="AH88" i="30" s="1"/>
  <c r="AH87" i="30" a="1"/>
  <c r="AH87" i="30" s="1"/>
  <c r="AH86" i="30" a="1"/>
  <c r="AH86" i="30" s="1"/>
  <c r="AH85" i="30" a="1"/>
  <c r="AH85" i="30" s="1"/>
  <c r="AH84" i="30" a="1"/>
  <c r="AH84" i="30" s="1"/>
  <c r="AH83" i="30" a="1"/>
  <c r="AH83" i="30" s="1"/>
  <c r="AH82" i="30" a="1"/>
  <c r="AH82" i="30" s="1"/>
  <c r="AH81" i="30" a="1"/>
  <c r="AH81" i="30" s="1"/>
  <c r="AH80" i="30" a="1"/>
  <c r="AH80" i="30" s="1"/>
  <c r="AH79" i="30" a="1"/>
  <c r="AH79" i="30" s="1"/>
  <c r="AH78" i="30" a="1"/>
  <c r="AH78" i="30" s="1"/>
  <c r="AH77" i="30" a="1"/>
  <c r="AH77" i="30" s="1"/>
  <c r="AH76" i="30" a="1"/>
  <c r="AH76" i="30" s="1"/>
  <c r="AH75" i="30" a="1"/>
  <c r="AH75" i="30" s="1"/>
  <c r="AH74" i="30" a="1"/>
  <c r="AH74" i="30" s="1"/>
  <c r="AH73" i="30" a="1"/>
  <c r="AH73" i="30" s="1"/>
  <c r="AH72" i="30" a="1"/>
  <c r="AH72" i="30" s="1"/>
  <c r="AH71" i="30" a="1"/>
  <c r="AH71" i="30" s="1"/>
  <c r="AH70" i="30" a="1"/>
  <c r="AH70" i="30" s="1"/>
  <c r="AH69" i="30" a="1"/>
  <c r="AH69" i="30" s="1"/>
  <c r="AH68" i="30" a="1"/>
  <c r="AH68" i="30" s="1"/>
  <c r="AH67" i="30" a="1"/>
  <c r="AH67" i="30" s="1"/>
  <c r="AH66" i="30" a="1"/>
  <c r="AH66" i="30" s="1"/>
  <c r="AH65" i="30" a="1"/>
  <c r="AH65" i="30" s="1"/>
  <c r="AH64" i="30" a="1"/>
  <c r="AH64" i="30" s="1"/>
  <c r="AH63" i="30" a="1"/>
  <c r="AH63" i="30" s="1"/>
  <c r="AH62" i="30" a="1"/>
  <c r="AH62" i="30" s="1"/>
  <c r="AH61" i="30" a="1"/>
  <c r="AH61" i="30" s="1"/>
  <c r="AH60" i="30" a="1"/>
  <c r="AH60" i="30" s="1"/>
  <c r="AH59" i="30" a="1"/>
  <c r="AH59" i="30" s="1"/>
  <c r="AH58" i="30" a="1"/>
  <c r="AH58" i="30" s="1"/>
  <c r="AH57" i="30" a="1"/>
  <c r="AH57" i="30" s="1"/>
  <c r="AH56" i="30" a="1"/>
  <c r="AH56" i="30" s="1"/>
  <c r="AH55" i="30" a="1"/>
  <c r="AH55" i="30" s="1"/>
  <c r="AH54" i="30" a="1"/>
  <c r="AH54" i="30" s="1"/>
  <c r="AH53" i="30" a="1"/>
  <c r="AH53" i="30" s="1"/>
  <c r="AH52" i="30" a="1"/>
  <c r="AH52" i="30" s="1"/>
  <c r="AH51" i="30" a="1"/>
  <c r="AH51" i="30" s="1"/>
  <c r="AH50" i="30" a="1"/>
  <c r="AH50" i="30" s="1"/>
  <c r="AH49" i="30" a="1"/>
  <c r="AH49" i="30" s="1"/>
  <c r="AH48" i="30" a="1"/>
  <c r="AH48" i="30" s="1"/>
  <c r="AH47" i="30" a="1"/>
  <c r="AH47" i="30" s="1"/>
  <c r="AH46" i="30" a="1"/>
  <c r="AH46" i="30" s="1"/>
  <c r="AH45" i="30" a="1"/>
  <c r="AH45" i="30" s="1"/>
  <c r="AH44" i="30" a="1"/>
  <c r="AH44" i="30" s="1"/>
  <c r="AH43" i="30" a="1"/>
  <c r="AH43" i="30" s="1"/>
  <c r="AH42" i="30" a="1"/>
  <c r="AH42" i="30" s="1"/>
  <c r="AH41" i="30" a="1"/>
  <c r="AH41" i="30" s="1"/>
  <c r="AH40" i="30" a="1"/>
  <c r="AH40" i="30" s="1"/>
  <c r="AH39" i="30" a="1"/>
  <c r="AH39" i="30" s="1"/>
  <c r="AH38" i="30" a="1"/>
  <c r="AH38" i="30" s="1"/>
  <c r="AH37" i="30" a="1"/>
  <c r="AH37" i="30" s="1"/>
  <c r="AH36" i="30" a="1"/>
  <c r="AH36" i="30" s="1"/>
  <c r="AH35" i="30" a="1"/>
  <c r="AH35" i="30" s="1"/>
  <c r="AH34" i="30" a="1"/>
  <c r="AH34" i="30" s="1"/>
  <c r="AH33" i="30" a="1"/>
  <c r="AH33" i="30" s="1"/>
  <c r="AH32" i="30" a="1"/>
  <c r="AH32" i="30" s="1"/>
  <c r="AH31" i="30" a="1"/>
  <c r="AH31" i="30" s="1"/>
  <c r="AH30" i="30" a="1"/>
  <c r="AH30" i="30" s="1"/>
  <c r="AH29" i="30" a="1"/>
  <c r="AH29" i="30" s="1"/>
  <c r="AH28" i="30" a="1"/>
  <c r="AH28" i="30" s="1"/>
  <c r="AH27" i="30" a="1"/>
  <c r="AH27" i="30" s="1"/>
  <c r="AH26" i="30" a="1"/>
  <c r="AH26" i="30" s="1"/>
  <c r="AH25" i="30" a="1"/>
  <c r="AH25" i="30" s="1"/>
  <c r="AH24" i="30" a="1"/>
  <c r="AH24" i="30" s="1"/>
  <c r="AH23" i="30" a="1"/>
  <c r="AH23" i="30" s="1"/>
  <c r="AH22" i="30" a="1"/>
  <c r="AH22" i="30" s="1"/>
  <c r="AH21" i="30" a="1"/>
  <c r="AH21" i="30" s="1"/>
  <c r="AH20" i="30" a="1"/>
  <c r="AH20" i="30" s="1"/>
  <c r="AH19" i="30" a="1"/>
  <c r="AH19" i="30" s="1"/>
  <c r="AH18" i="30" a="1"/>
  <c r="AH18" i="30" s="1"/>
  <c r="AH17" i="30" a="1"/>
  <c r="AH17" i="30" s="1"/>
  <c r="AH16" i="30" a="1"/>
  <c r="AH16" i="30" s="1"/>
  <c r="AH15" i="30" a="1"/>
  <c r="AH15" i="30" s="1"/>
  <c r="AH14" i="30" a="1"/>
  <c r="AH14" i="30" s="1"/>
  <c r="AH13" i="30" a="1"/>
  <c r="AH13" i="30" s="1"/>
  <c r="AH12" i="30" a="1"/>
  <c r="AH12" i="30" s="1"/>
  <c r="AH5" i="30" a="1"/>
  <c r="AH5" i="30" s="1"/>
  <c r="AF104" i="30" a="1"/>
  <c r="AF104" i="30" s="1"/>
  <c r="AF103" i="30" a="1"/>
  <c r="AF103" i="30" s="1"/>
  <c r="AF102" i="30" a="1"/>
  <c r="AF102" i="30" s="1"/>
  <c r="AF101" i="30" a="1"/>
  <c r="AF101" i="30" s="1"/>
  <c r="AF100" i="30" a="1"/>
  <c r="AF100" i="30" s="1"/>
  <c r="AF99" i="30" a="1"/>
  <c r="AF99" i="30" s="1"/>
  <c r="AF98" i="30" a="1"/>
  <c r="AF98" i="30" s="1"/>
  <c r="AF97" i="30" a="1"/>
  <c r="AF97" i="30" s="1"/>
  <c r="AF96" i="30" a="1"/>
  <c r="AF96" i="30" s="1"/>
  <c r="AF95" i="30" a="1"/>
  <c r="AF95" i="30" s="1"/>
  <c r="AF94" i="30" a="1"/>
  <c r="AF94" i="30" s="1"/>
  <c r="AF93" i="30" a="1"/>
  <c r="AF93" i="30" s="1"/>
  <c r="AF92" i="30" a="1"/>
  <c r="AF92" i="30" s="1"/>
  <c r="AF91" i="30" a="1"/>
  <c r="AF91" i="30" s="1"/>
  <c r="AF90" i="30" a="1"/>
  <c r="AF90" i="30" s="1"/>
  <c r="AF89" i="30" a="1"/>
  <c r="AF89" i="30" s="1"/>
  <c r="AF88" i="30" a="1"/>
  <c r="AF88" i="30" s="1"/>
  <c r="AF87" i="30" a="1"/>
  <c r="AF87" i="30" s="1"/>
  <c r="AF86" i="30" a="1"/>
  <c r="AF86" i="30" s="1"/>
  <c r="AF85" i="30" a="1"/>
  <c r="AF85" i="30" s="1"/>
  <c r="AF84" i="30" a="1"/>
  <c r="AF84" i="30" s="1"/>
  <c r="AF83" i="30" a="1"/>
  <c r="AF83" i="30" s="1"/>
  <c r="AF82" i="30" a="1"/>
  <c r="AF82" i="30" s="1"/>
  <c r="AF81" i="30" a="1"/>
  <c r="AF81" i="30" s="1"/>
  <c r="AF80" i="30" a="1"/>
  <c r="AF80" i="30" s="1"/>
  <c r="AF79" i="30" a="1"/>
  <c r="AF79" i="30" s="1"/>
  <c r="AF78" i="30" a="1"/>
  <c r="AF78" i="30" s="1"/>
  <c r="AF77" i="30" a="1"/>
  <c r="AF77" i="30" s="1"/>
  <c r="AF76" i="30" a="1"/>
  <c r="AF76" i="30" s="1"/>
  <c r="AF75" i="30" a="1"/>
  <c r="AF75" i="30" s="1"/>
  <c r="AF74" i="30" a="1"/>
  <c r="AF74" i="30" s="1"/>
  <c r="AF73" i="30" a="1"/>
  <c r="AF73" i="30" s="1"/>
  <c r="AF72" i="30" a="1"/>
  <c r="AF72" i="30" s="1"/>
  <c r="AF71" i="30" a="1"/>
  <c r="AF71" i="30" s="1"/>
  <c r="AF70" i="30" a="1"/>
  <c r="AF70" i="30" s="1"/>
  <c r="AF69" i="30" a="1"/>
  <c r="AF69" i="30" s="1"/>
  <c r="AF68" i="30" a="1"/>
  <c r="AF68" i="30" s="1"/>
  <c r="AF67" i="30" a="1"/>
  <c r="AF67" i="30" s="1"/>
  <c r="AF66" i="30" a="1"/>
  <c r="AF66" i="30" s="1"/>
  <c r="AF65" i="30" a="1"/>
  <c r="AF65" i="30" s="1"/>
  <c r="AF64" i="30" a="1"/>
  <c r="AF64" i="30" s="1"/>
  <c r="AF63" i="30" a="1"/>
  <c r="AF63" i="30" s="1"/>
  <c r="AF62" i="30" a="1"/>
  <c r="AF62" i="30" s="1"/>
  <c r="AF61" i="30" a="1"/>
  <c r="AF61" i="30" s="1"/>
  <c r="AF60" i="30" a="1"/>
  <c r="AF60" i="30" s="1"/>
  <c r="AF59" i="30" a="1"/>
  <c r="AF59" i="30" s="1"/>
  <c r="AF58" i="30" a="1"/>
  <c r="AF58" i="30" s="1"/>
  <c r="AF57" i="30" a="1"/>
  <c r="AF57" i="30" s="1"/>
  <c r="AF56" i="30" a="1"/>
  <c r="AF56" i="30" s="1"/>
  <c r="AF55" i="30" a="1"/>
  <c r="AF55" i="30" s="1"/>
  <c r="AF54" i="30" a="1"/>
  <c r="AF54" i="30" s="1"/>
  <c r="AF53" i="30" a="1"/>
  <c r="AF53" i="30" s="1"/>
  <c r="AF52" i="30" a="1"/>
  <c r="AF52" i="30" s="1"/>
  <c r="AF51" i="30" a="1"/>
  <c r="AF51" i="30" s="1"/>
  <c r="AF50" i="30" a="1"/>
  <c r="AF50" i="30" s="1"/>
  <c r="AF49" i="30" a="1"/>
  <c r="AF49" i="30" s="1"/>
  <c r="AF48" i="30" a="1"/>
  <c r="AF48" i="30" s="1"/>
  <c r="AF47" i="30" a="1"/>
  <c r="AF47" i="30" s="1"/>
  <c r="AF46" i="30" a="1"/>
  <c r="AF46" i="30" s="1"/>
  <c r="AF45" i="30" a="1"/>
  <c r="AF45" i="30" s="1"/>
  <c r="AF44" i="30" a="1"/>
  <c r="AF44" i="30" s="1"/>
  <c r="AF43" i="30" a="1"/>
  <c r="AF43" i="30" s="1"/>
  <c r="AF42" i="30" a="1"/>
  <c r="AF42" i="30" s="1"/>
  <c r="AF41" i="30" a="1"/>
  <c r="AF41" i="30" s="1"/>
  <c r="AF40" i="30" a="1"/>
  <c r="AF40" i="30" s="1"/>
  <c r="AF39" i="30" a="1"/>
  <c r="AF39" i="30" s="1"/>
  <c r="AF38" i="30" a="1"/>
  <c r="AF38" i="30" s="1"/>
  <c r="AF37" i="30" a="1"/>
  <c r="AF37" i="30" s="1"/>
  <c r="AF36" i="30" a="1"/>
  <c r="AF36" i="30" s="1"/>
  <c r="AF35" i="30" a="1"/>
  <c r="AF35" i="30" s="1"/>
  <c r="AF34" i="30" a="1"/>
  <c r="AF34" i="30" s="1"/>
  <c r="AF33" i="30" a="1"/>
  <c r="AF33" i="30" s="1"/>
  <c r="AF32" i="30" a="1"/>
  <c r="AF32" i="30" s="1"/>
  <c r="AF31" i="30" a="1"/>
  <c r="AF31" i="30" s="1"/>
  <c r="AF30" i="30" a="1"/>
  <c r="AF30" i="30" s="1"/>
  <c r="AF29" i="30" a="1"/>
  <c r="AF29" i="30" s="1"/>
  <c r="AF28" i="30" a="1"/>
  <c r="AF28" i="30" s="1"/>
  <c r="AF27" i="30" a="1"/>
  <c r="AF27" i="30" s="1"/>
  <c r="AF26" i="30" a="1"/>
  <c r="AF26" i="30" s="1"/>
  <c r="AF25" i="30" a="1"/>
  <c r="AF25" i="30" s="1"/>
  <c r="AF24" i="30" a="1"/>
  <c r="AF24" i="30" s="1"/>
  <c r="AF23" i="30" a="1"/>
  <c r="AF23" i="30" s="1"/>
  <c r="AF22" i="30" a="1"/>
  <c r="AF22" i="30" s="1"/>
  <c r="AF21" i="30" a="1"/>
  <c r="AF21" i="30" s="1"/>
  <c r="AF20" i="30" a="1"/>
  <c r="AF20" i="30" s="1"/>
  <c r="AF19" i="30" a="1"/>
  <c r="AF19" i="30" s="1"/>
  <c r="AF18" i="30" a="1"/>
  <c r="AF18" i="30" s="1"/>
  <c r="AF17" i="30" a="1"/>
  <c r="AF17" i="30" s="1"/>
  <c r="AF16" i="30" a="1"/>
  <c r="AF16" i="30" s="1"/>
  <c r="AF15" i="30" a="1"/>
  <c r="AF15" i="30" s="1"/>
  <c r="AF14" i="30" a="1"/>
  <c r="AF14" i="30" s="1"/>
  <c r="AF13" i="30" a="1"/>
  <c r="AF13" i="30" s="1"/>
  <c r="AF12" i="30" a="1"/>
  <c r="AF12" i="30" s="1"/>
  <c r="AF5" i="30" a="1"/>
  <c r="AF5" i="30" s="1"/>
  <c r="AD104" i="30" a="1"/>
  <c r="AD104" i="30" s="1"/>
  <c r="AD103" i="30" a="1"/>
  <c r="AD103" i="30" s="1"/>
  <c r="AD102" i="30" a="1"/>
  <c r="AD102" i="30" s="1"/>
  <c r="AD101" i="30" a="1"/>
  <c r="AD101" i="30" s="1"/>
  <c r="AD100" i="30" a="1"/>
  <c r="AD100" i="30" s="1"/>
  <c r="AD99" i="30" a="1"/>
  <c r="AD99" i="30" s="1"/>
  <c r="AD98" i="30" a="1"/>
  <c r="AD98" i="30" s="1"/>
  <c r="AD97" i="30" a="1"/>
  <c r="AD97" i="30" s="1"/>
  <c r="AD96" i="30" a="1"/>
  <c r="AD96" i="30" s="1"/>
  <c r="AD95" i="30" a="1"/>
  <c r="AD95" i="30" s="1"/>
  <c r="AD94" i="30" a="1"/>
  <c r="AD94" i="30" s="1"/>
  <c r="AD93" i="30" a="1"/>
  <c r="AD93" i="30" s="1"/>
  <c r="AD92" i="30" a="1"/>
  <c r="AD92" i="30" s="1"/>
  <c r="AD91" i="30" a="1"/>
  <c r="AD91" i="30" s="1"/>
  <c r="AD90" i="30" a="1"/>
  <c r="AD90" i="30" s="1"/>
  <c r="AD89" i="30" a="1"/>
  <c r="AD89" i="30" s="1"/>
  <c r="AD88" i="30" a="1"/>
  <c r="AD88" i="30" s="1"/>
  <c r="AD87" i="30" a="1"/>
  <c r="AD87" i="30" s="1"/>
  <c r="AD86" i="30" a="1"/>
  <c r="AD86" i="30" s="1"/>
  <c r="AD85" i="30" a="1"/>
  <c r="AD85" i="30" s="1"/>
  <c r="AD84" i="30" a="1"/>
  <c r="AD84" i="30" s="1"/>
  <c r="AD83" i="30" a="1"/>
  <c r="AD83" i="30" s="1"/>
  <c r="AD82" i="30" a="1"/>
  <c r="AD82" i="30" s="1"/>
  <c r="AD81" i="30" a="1"/>
  <c r="AD81" i="30" s="1"/>
  <c r="AD80" i="30" a="1"/>
  <c r="AD80" i="30" s="1"/>
  <c r="AD79" i="30" a="1"/>
  <c r="AD79" i="30" s="1"/>
  <c r="AD78" i="30" a="1"/>
  <c r="AD78" i="30" s="1"/>
  <c r="AD77" i="30" a="1"/>
  <c r="AD77" i="30" s="1"/>
  <c r="AD76" i="30" a="1"/>
  <c r="AD76" i="30" s="1"/>
  <c r="AD75" i="30" a="1"/>
  <c r="AD75" i="30" s="1"/>
  <c r="AD74" i="30" a="1"/>
  <c r="AD74" i="30" s="1"/>
  <c r="AD73" i="30" a="1"/>
  <c r="AD73" i="30" s="1"/>
  <c r="AD72" i="30" a="1"/>
  <c r="AD72" i="30" s="1"/>
  <c r="AD71" i="30" a="1"/>
  <c r="AD71" i="30" s="1"/>
  <c r="AD70" i="30" a="1"/>
  <c r="AD70" i="30" s="1"/>
  <c r="AD69" i="30" a="1"/>
  <c r="AD69" i="30" s="1"/>
  <c r="AD68" i="30" a="1"/>
  <c r="AD68" i="30" s="1"/>
  <c r="AD67" i="30" a="1"/>
  <c r="AD67" i="30" s="1"/>
  <c r="AD66" i="30" a="1"/>
  <c r="AD66" i="30" s="1"/>
  <c r="AD65" i="30" a="1"/>
  <c r="AD65" i="30" s="1"/>
  <c r="AD64" i="30" a="1"/>
  <c r="AD64" i="30" s="1"/>
  <c r="AD63" i="30" a="1"/>
  <c r="AD63" i="30" s="1"/>
  <c r="AD62" i="30" a="1"/>
  <c r="AD62" i="30" s="1"/>
  <c r="AD61" i="30" a="1"/>
  <c r="AD61" i="30" s="1"/>
  <c r="AD60" i="30" a="1"/>
  <c r="AD60" i="30" s="1"/>
  <c r="AD59" i="30" a="1"/>
  <c r="AD59" i="30" s="1"/>
  <c r="AD58" i="30" a="1"/>
  <c r="AD58" i="30" s="1"/>
  <c r="AD57" i="30" a="1"/>
  <c r="AD57" i="30" s="1"/>
  <c r="AD56" i="30" a="1"/>
  <c r="AD56" i="30" s="1"/>
  <c r="AD55" i="30" a="1"/>
  <c r="AD55" i="30" s="1"/>
  <c r="AD54" i="30" a="1"/>
  <c r="AD54" i="30" s="1"/>
  <c r="AD53" i="30" a="1"/>
  <c r="AD53" i="30" s="1"/>
  <c r="AD52" i="30" a="1"/>
  <c r="AD52" i="30" s="1"/>
  <c r="AD51" i="30" a="1"/>
  <c r="AD51" i="30" s="1"/>
  <c r="AD50" i="30" a="1"/>
  <c r="AD50" i="30" s="1"/>
  <c r="AD49" i="30" a="1"/>
  <c r="AD49" i="30" s="1"/>
  <c r="AD48" i="30" a="1"/>
  <c r="AD48" i="30" s="1"/>
  <c r="AD47" i="30" a="1"/>
  <c r="AD47" i="30" s="1"/>
  <c r="AD46" i="30" a="1"/>
  <c r="AD46" i="30" s="1"/>
  <c r="AD45" i="30" a="1"/>
  <c r="AD45" i="30" s="1"/>
  <c r="AD44" i="30" a="1"/>
  <c r="AD44" i="30" s="1"/>
  <c r="AD43" i="30" a="1"/>
  <c r="AD43" i="30" s="1"/>
  <c r="AD42" i="30" a="1"/>
  <c r="AD42" i="30" s="1"/>
  <c r="AD41" i="30" a="1"/>
  <c r="AD41" i="30" s="1"/>
  <c r="AD40" i="30" a="1"/>
  <c r="AD40" i="30" s="1"/>
  <c r="AD39" i="30" a="1"/>
  <c r="AD39" i="30" s="1"/>
  <c r="AD38" i="30" a="1"/>
  <c r="AD38" i="30" s="1"/>
  <c r="AD37" i="30" a="1"/>
  <c r="AD37" i="30" s="1"/>
  <c r="AD36" i="30" a="1"/>
  <c r="AD36" i="30" s="1"/>
  <c r="AD35" i="30" a="1"/>
  <c r="AD35" i="30" s="1"/>
  <c r="AD34" i="30" a="1"/>
  <c r="AD34" i="30" s="1"/>
  <c r="AD33" i="30" a="1"/>
  <c r="AD33" i="30" s="1"/>
  <c r="AD32" i="30" a="1"/>
  <c r="AD32" i="30" s="1"/>
  <c r="AD31" i="30" a="1"/>
  <c r="AD31" i="30" s="1"/>
  <c r="AD30" i="30" a="1"/>
  <c r="AD30" i="30" s="1"/>
  <c r="AD29" i="30" a="1"/>
  <c r="AD29" i="30" s="1"/>
  <c r="AD28" i="30" a="1"/>
  <c r="AD28" i="30" s="1"/>
  <c r="AD27" i="30" a="1"/>
  <c r="AD27" i="30" s="1"/>
  <c r="AD26" i="30" a="1"/>
  <c r="AD26" i="30" s="1"/>
  <c r="AD25" i="30" a="1"/>
  <c r="AD25" i="30" s="1"/>
  <c r="AD24" i="30" a="1"/>
  <c r="AD24" i="30" s="1"/>
  <c r="AD23" i="30" a="1"/>
  <c r="AD23" i="30" s="1"/>
  <c r="AD22" i="30" a="1"/>
  <c r="AD22" i="30" s="1"/>
  <c r="AD21" i="30" a="1"/>
  <c r="AD21" i="30" s="1"/>
  <c r="AD20" i="30" a="1"/>
  <c r="AD20" i="30" s="1"/>
  <c r="AD19" i="30" a="1"/>
  <c r="AD19" i="30" s="1"/>
  <c r="AD18" i="30" a="1"/>
  <c r="AD18" i="30" s="1"/>
  <c r="AD17" i="30" a="1"/>
  <c r="AD17" i="30" s="1"/>
  <c r="AD16" i="30" a="1"/>
  <c r="AD16" i="30" s="1"/>
  <c r="AD15" i="30" a="1"/>
  <c r="AD15" i="30" s="1"/>
  <c r="AD14" i="30" a="1"/>
  <c r="AD14" i="30" s="1"/>
  <c r="AD13" i="30" a="1"/>
  <c r="AD13" i="30" s="1"/>
  <c r="AD12" i="30" a="1"/>
  <c r="AD12" i="30" s="1"/>
  <c r="AD5" i="30" a="1"/>
  <c r="AD5" i="30" s="1"/>
  <c r="AB104" i="30" a="1"/>
  <c r="AB104" i="30" s="1"/>
  <c r="AB103" i="30" a="1"/>
  <c r="AB103" i="30" s="1"/>
  <c r="AB102" i="30" a="1"/>
  <c r="AB102" i="30" s="1"/>
  <c r="AB101" i="30" a="1"/>
  <c r="AB101" i="30" s="1"/>
  <c r="AB100" i="30" a="1"/>
  <c r="AB100" i="30" s="1"/>
  <c r="AB99" i="30" a="1"/>
  <c r="AB99" i="30" s="1"/>
  <c r="AB98" i="30" a="1"/>
  <c r="AB98" i="30" s="1"/>
  <c r="AB97" i="30" a="1"/>
  <c r="AB97" i="30" s="1"/>
  <c r="AB96" i="30" a="1"/>
  <c r="AB96" i="30" s="1"/>
  <c r="AB95" i="30" a="1"/>
  <c r="AB95" i="30" s="1"/>
  <c r="AB94" i="30" a="1"/>
  <c r="AB94" i="30" s="1"/>
  <c r="AB93" i="30" a="1"/>
  <c r="AB93" i="30" s="1"/>
  <c r="AB92" i="30" a="1"/>
  <c r="AB92" i="30" s="1"/>
  <c r="AB91" i="30" a="1"/>
  <c r="AB91" i="30" s="1"/>
  <c r="AB90" i="30" a="1"/>
  <c r="AB90" i="30" s="1"/>
  <c r="AB89" i="30" a="1"/>
  <c r="AB89" i="30" s="1"/>
  <c r="AB88" i="30" a="1"/>
  <c r="AB88" i="30" s="1"/>
  <c r="AB87" i="30" a="1"/>
  <c r="AB87" i="30" s="1"/>
  <c r="AB86" i="30" a="1"/>
  <c r="AB86" i="30" s="1"/>
  <c r="AB85" i="30" a="1"/>
  <c r="AB85" i="30" s="1"/>
  <c r="AB84" i="30" a="1"/>
  <c r="AB84" i="30" s="1"/>
  <c r="AB83" i="30" a="1"/>
  <c r="AB83" i="30" s="1"/>
  <c r="AB82" i="30" a="1"/>
  <c r="AB82" i="30" s="1"/>
  <c r="AB81" i="30" a="1"/>
  <c r="AB81" i="30" s="1"/>
  <c r="AB80" i="30" a="1"/>
  <c r="AB80" i="30" s="1"/>
  <c r="AB79" i="30" a="1"/>
  <c r="AB79" i="30" s="1"/>
  <c r="AB78" i="30" a="1"/>
  <c r="AB78" i="30" s="1"/>
  <c r="AB77" i="30" a="1"/>
  <c r="AB77" i="30" s="1"/>
  <c r="AB76" i="30" a="1"/>
  <c r="AB76" i="30" s="1"/>
  <c r="AB75" i="30" a="1"/>
  <c r="AB75" i="30" s="1"/>
  <c r="AB74" i="30" a="1"/>
  <c r="AB74" i="30" s="1"/>
  <c r="AB73" i="30" a="1"/>
  <c r="AB73" i="30" s="1"/>
  <c r="AB72" i="30" a="1"/>
  <c r="AB72" i="30" s="1"/>
  <c r="AB71" i="30" a="1"/>
  <c r="AB71" i="30" s="1"/>
  <c r="AB70" i="30" a="1"/>
  <c r="AB70" i="30" s="1"/>
  <c r="AB69" i="30" a="1"/>
  <c r="AB69" i="30" s="1"/>
  <c r="AB68" i="30" a="1"/>
  <c r="AB68" i="30" s="1"/>
  <c r="AB67" i="30" a="1"/>
  <c r="AB67" i="30" s="1"/>
  <c r="AB66" i="30" a="1"/>
  <c r="AB66" i="30" s="1"/>
  <c r="AB65" i="30" a="1"/>
  <c r="AB65" i="30" s="1"/>
  <c r="AB64" i="30" a="1"/>
  <c r="AB64" i="30" s="1"/>
  <c r="AB63" i="30" a="1"/>
  <c r="AB63" i="30" s="1"/>
  <c r="AB62" i="30" a="1"/>
  <c r="AB62" i="30" s="1"/>
  <c r="AB61" i="30" a="1"/>
  <c r="AB61" i="30" s="1"/>
  <c r="AB60" i="30" a="1"/>
  <c r="AB60" i="30" s="1"/>
  <c r="AB59" i="30" a="1"/>
  <c r="AB59" i="30" s="1"/>
  <c r="AB58" i="30" a="1"/>
  <c r="AB58" i="30" s="1"/>
  <c r="AB57" i="30" a="1"/>
  <c r="AB57" i="30" s="1"/>
  <c r="AB56" i="30" a="1"/>
  <c r="AB56" i="30" s="1"/>
  <c r="AB55" i="30" a="1"/>
  <c r="AB55" i="30" s="1"/>
  <c r="AB54" i="30" a="1"/>
  <c r="AB54" i="30" s="1"/>
  <c r="AB53" i="30" a="1"/>
  <c r="AB53" i="30" s="1"/>
  <c r="AB52" i="30" a="1"/>
  <c r="AB52" i="30" s="1"/>
  <c r="AB51" i="30" a="1"/>
  <c r="AB51" i="30" s="1"/>
  <c r="AB50" i="30" a="1"/>
  <c r="AB50" i="30" s="1"/>
  <c r="AB49" i="30" a="1"/>
  <c r="AB49" i="30" s="1"/>
  <c r="AB48" i="30" a="1"/>
  <c r="AB48" i="30" s="1"/>
  <c r="AB47" i="30" a="1"/>
  <c r="AB47" i="30" s="1"/>
  <c r="AB46" i="30" a="1"/>
  <c r="AB46" i="30" s="1"/>
  <c r="AB45" i="30" a="1"/>
  <c r="AB45" i="30" s="1"/>
  <c r="AB44" i="30" a="1"/>
  <c r="AB44" i="30" s="1"/>
  <c r="AB43" i="30" a="1"/>
  <c r="AB43" i="30" s="1"/>
  <c r="AB42" i="30" a="1"/>
  <c r="AB42" i="30" s="1"/>
  <c r="AB41" i="30" a="1"/>
  <c r="AB41" i="30" s="1"/>
  <c r="AB40" i="30" a="1"/>
  <c r="AB40" i="30" s="1"/>
  <c r="AB39" i="30" a="1"/>
  <c r="AB39" i="30" s="1"/>
  <c r="AB38" i="30" a="1"/>
  <c r="AB38" i="30" s="1"/>
  <c r="AB37" i="30" a="1"/>
  <c r="AB37" i="30" s="1"/>
  <c r="AB36" i="30" a="1"/>
  <c r="AB36" i="30" s="1"/>
  <c r="AB35" i="30" a="1"/>
  <c r="AB35" i="30" s="1"/>
  <c r="AB34" i="30" a="1"/>
  <c r="AB34" i="30" s="1"/>
  <c r="AB33" i="30" a="1"/>
  <c r="AB33" i="30" s="1"/>
  <c r="AB32" i="30" a="1"/>
  <c r="AB32" i="30" s="1"/>
  <c r="AB31" i="30" a="1"/>
  <c r="AB31" i="30" s="1"/>
  <c r="AB30" i="30" a="1"/>
  <c r="AB30" i="30" s="1"/>
  <c r="AB29" i="30" a="1"/>
  <c r="AB29" i="30" s="1"/>
  <c r="AB28" i="30" a="1"/>
  <c r="AB28" i="30" s="1"/>
  <c r="AB27" i="30" a="1"/>
  <c r="AB27" i="30" s="1"/>
  <c r="AB26" i="30" a="1"/>
  <c r="AB26" i="30" s="1"/>
  <c r="AB25" i="30" a="1"/>
  <c r="AB25" i="30" s="1"/>
  <c r="AB24" i="30" a="1"/>
  <c r="AB24" i="30" s="1"/>
  <c r="AB23" i="30" a="1"/>
  <c r="AB23" i="30" s="1"/>
  <c r="AB22" i="30" a="1"/>
  <c r="AB22" i="30" s="1"/>
  <c r="AB21" i="30" a="1"/>
  <c r="AB21" i="30" s="1"/>
  <c r="AB20" i="30" a="1"/>
  <c r="AB20" i="30" s="1"/>
  <c r="AB19" i="30" a="1"/>
  <c r="AB19" i="30" s="1"/>
  <c r="AB18" i="30" a="1"/>
  <c r="AB18" i="30" s="1"/>
  <c r="AB17" i="30" a="1"/>
  <c r="AB17" i="30" s="1"/>
  <c r="AB16" i="30" a="1"/>
  <c r="AB16" i="30" s="1"/>
  <c r="AB15" i="30" a="1"/>
  <c r="AB15" i="30" s="1"/>
  <c r="AB14" i="30" a="1"/>
  <c r="AB14" i="30" s="1"/>
  <c r="AB13" i="30" a="1"/>
  <c r="AB13" i="30" s="1"/>
  <c r="AB12" i="30" a="1"/>
  <c r="AB12" i="30" s="1"/>
  <c r="AB5" i="30" a="1"/>
  <c r="AB5" i="30" s="1"/>
  <c r="Z104" i="30" a="1"/>
  <c r="Z104" i="30" s="1"/>
  <c r="Z103" i="30" a="1"/>
  <c r="Z103" i="30" s="1"/>
  <c r="Z102" i="30" a="1"/>
  <c r="Z102" i="30" s="1"/>
  <c r="Z101" i="30" a="1"/>
  <c r="Z101" i="30" s="1"/>
  <c r="Z100" i="30" a="1"/>
  <c r="Z100" i="30" s="1"/>
  <c r="Z99" i="30" a="1"/>
  <c r="Z99" i="30" s="1"/>
  <c r="Z98" i="30" a="1"/>
  <c r="Z98" i="30" s="1"/>
  <c r="Z97" i="30" a="1"/>
  <c r="Z97" i="30" s="1"/>
  <c r="Z96" i="30" a="1"/>
  <c r="Z96" i="30" s="1"/>
  <c r="Z95" i="30" a="1"/>
  <c r="Z95" i="30" s="1"/>
  <c r="Z94" i="30" a="1"/>
  <c r="Z94" i="30" s="1"/>
  <c r="Z93" i="30" a="1"/>
  <c r="Z93" i="30" s="1"/>
  <c r="Z92" i="30" a="1"/>
  <c r="Z92" i="30" s="1"/>
  <c r="Z91" i="30" a="1"/>
  <c r="Z91" i="30" s="1"/>
  <c r="Z90" i="30" a="1"/>
  <c r="Z90" i="30" s="1"/>
  <c r="Z89" i="30" a="1"/>
  <c r="Z89" i="30" s="1"/>
  <c r="Z88" i="30" a="1"/>
  <c r="Z88" i="30" s="1"/>
  <c r="Z87" i="30" a="1"/>
  <c r="Z87" i="30" s="1"/>
  <c r="Z86" i="30" a="1"/>
  <c r="Z86" i="30" s="1"/>
  <c r="Z85" i="30" a="1"/>
  <c r="Z85" i="30" s="1"/>
  <c r="Z84" i="30" a="1"/>
  <c r="Z84" i="30" s="1"/>
  <c r="Z83" i="30" a="1"/>
  <c r="Z83" i="30" s="1"/>
  <c r="Z82" i="30" a="1"/>
  <c r="Z82" i="30" s="1"/>
  <c r="Z81" i="30" a="1"/>
  <c r="Z81" i="30" s="1"/>
  <c r="Z80" i="30" a="1"/>
  <c r="Z80" i="30" s="1"/>
  <c r="Z79" i="30" a="1"/>
  <c r="Z79" i="30" s="1"/>
  <c r="Z78" i="30" a="1"/>
  <c r="Z78" i="30" s="1"/>
  <c r="Z77" i="30" a="1"/>
  <c r="Z77" i="30" s="1"/>
  <c r="Z76" i="30" a="1"/>
  <c r="Z76" i="30" s="1"/>
  <c r="Z75" i="30" a="1"/>
  <c r="Z75" i="30" s="1"/>
  <c r="Z74" i="30" a="1"/>
  <c r="Z74" i="30" s="1"/>
  <c r="Z73" i="30" a="1"/>
  <c r="Z73" i="30" s="1"/>
  <c r="Z72" i="30" a="1"/>
  <c r="Z72" i="30" s="1"/>
  <c r="Z71" i="30" a="1"/>
  <c r="Z71" i="30" s="1"/>
  <c r="Z70" i="30" a="1"/>
  <c r="Z70" i="30" s="1"/>
  <c r="Z69" i="30" a="1"/>
  <c r="Z69" i="30" s="1"/>
  <c r="Z68" i="30" a="1"/>
  <c r="Z68" i="30" s="1"/>
  <c r="Z67" i="30" a="1"/>
  <c r="Z67" i="30" s="1"/>
  <c r="Z66" i="30" a="1"/>
  <c r="Z66" i="30" s="1"/>
  <c r="Z65" i="30" a="1"/>
  <c r="Z65" i="30" s="1"/>
  <c r="Z64" i="30" a="1"/>
  <c r="Z64" i="30" s="1"/>
  <c r="Z63" i="30" a="1"/>
  <c r="Z63" i="30" s="1"/>
  <c r="Z62" i="30" a="1"/>
  <c r="Z62" i="30" s="1"/>
  <c r="Z61" i="30" a="1"/>
  <c r="Z61" i="30" s="1"/>
  <c r="Z60" i="30" a="1"/>
  <c r="Z60" i="30" s="1"/>
  <c r="Z59" i="30" a="1"/>
  <c r="Z59" i="30" s="1"/>
  <c r="Z58" i="30" a="1"/>
  <c r="Z58" i="30" s="1"/>
  <c r="Z57" i="30" a="1"/>
  <c r="Z57" i="30" s="1"/>
  <c r="Z56" i="30" a="1"/>
  <c r="Z56" i="30" s="1"/>
  <c r="Z55" i="30" a="1"/>
  <c r="Z55" i="30" s="1"/>
  <c r="Z54" i="30" a="1"/>
  <c r="Z54" i="30" s="1"/>
  <c r="Z53" i="30" a="1"/>
  <c r="Z53" i="30" s="1"/>
  <c r="Z52" i="30" a="1"/>
  <c r="Z52" i="30" s="1"/>
  <c r="Z51" i="30" a="1"/>
  <c r="Z51" i="30" s="1"/>
  <c r="Z50" i="30" a="1"/>
  <c r="Z50" i="30" s="1"/>
  <c r="Z49" i="30" a="1"/>
  <c r="Z49" i="30" s="1"/>
  <c r="Z48" i="30" a="1"/>
  <c r="Z48" i="30" s="1"/>
  <c r="Z47" i="30" a="1"/>
  <c r="Z47" i="30" s="1"/>
  <c r="Z46" i="30" a="1"/>
  <c r="Z46" i="30" s="1"/>
  <c r="Z45" i="30" a="1"/>
  <c r="Z45" i="30" s="1"/>
  <c r="Z44" i="30" a="1"/>
  <c r="Z44" i="30" s="1"/>
  <c r="Z43" i="30" a="1"/>
  <c r="Z43" i="30" s="1"/>
  <c r="Z42" i="30" a="1"/>
  <c r="Z42" i="30" s="1"/>
  <c r="Z41" i="30" a="1"/>
  <c r="Z41" i="30" s="1"/>
  <c r="Z40" i="30" a="1"/>
  <c r="Z40" i="30" s="1"/>
  <c r="Z39" i="30" a="1"/>
  <c r="Z39" i="30" s="1"/>
  <c r="Z38" i="30" a="1"/>
  <c r="Z38" i="30" s="1"/>
  <c r="Z37" i="30" a="1"/>
  <c r="Z37" i="30" s="1"/>
  <c r="Z36" i="30" a="1"/>
  <c r="Z36" i="30" s="1"/>
  <c r="Z35" i="30" a="1"/>
  <c r="Z35" i="30" s="1"/>
  <c r="Z34" i="30" a="1"/>
  <c r="Z34" i="30" s="1"/>
  <c r="Z33" i="30" a="1"/>
  <c r="Z33" i="30" s="1"/>
  <c r="Z32" i="30" a="1"/>
  <c r="Z32" i="30" s="1"/>
  <c r="Z31" i="30" a="1"/>
  <c r="Z31" i="30" s="1"/>
  <c r="Z30" i="30" a="1"/>
  <c r="Z30" i="30" s="1"/>
  <c r="Z29" i="30" a="1"/>
  <c r="Z29" i="30" s="1"/>
  <c r="Z28" i="30" a="1"/>
  <c r="Z28" i="30" s="1"/>
  <c r="Z27" i="30" a="1"/>
  <c r="Z27" i="30" s="1"/>
  <c r="Z26" i="30" a="1"/>
  <c r="Z26" i="30" s="1"/>
  <c r="Z25" i="30" a="1"/>
  <c r="Z25" i="30" s="1"/>
  <c r="Z24" i="30" a="1"/>
  <c r="Z24" i="30" s="1"/>
  <c r="Z23" i="30" a="1"/>
  <c r="Z23" i="30" s="1"/>
  <c r="Z22" i="30" a="1"/>
  <c r="Z22" i="30" s="1"/>
  <c r="Z21" i="30" a="1"/>
  <c r="Z21" i="30" s="1"/>
  <c r="Z20" i="30" a="1"/>
  <c r="Z20" i="30" s="1"/>
  <c r="Z19" i="30" a="1"/>
  <c r="Z19" i="30" s="1"/>
  <c r="Z18" i="30" a="1"/>
  <c r="Z18" i="30" s="1"/>
  <c r="Z17" i="30" a="1"/>
  <c r="Z17" i="30" s="1"/>
  <c r="Z16" i="30" a="1"/>
  <c r="Z16" i="30" s="1"/>
  <c r="Z15" i="30" a="1"/>
  <c r="Z15" i="30" s="1"/>
  <c r="Z14" i="30" a="1"/>
  <c r="Z14" i="30" s="1"/>
  <c r="Z13" i="30" a="1"/>
  <c r="Z13" i="30" s="1"/>
  <c r="Z12" i="30" a="1"/>
  <c r="Z12" i="30" s="1"/>
  <c r="Z5" i="30" a="1"/>
  <c r="Z5" i="30" s="1"/>
  <c r="X104" i="30" a="1"/>
  <c r="X104" i="30" s="1"/>
  <c r="X103" i="30" a="1"/>
  <c r="X103" i="30" s="1"/>
  <c r="X102" i="30" a="1"/>
  <c r="X102" i="30" s="1"/>
  <c r="X101" i="30" a="1"/>
  <c r="X101" i="30" s="1"/>
  <c r="X100" i="30" a="1"/>
  <c r="X100" i="30" s="1"/>
  <c r="X99" i="30" a="1"/>
  <c r="X99" i="30" s="1"/>
  <c r="X98" i="30" a="1"/>
  <c r="X98" i="30" s="1"/>
  <c r="X97" i="30" a="1"/>
  <c r="X97" i="30" s="1"/>
  <c r="X96" i="30" a="1"/>
  <c r="X96" i="30" s="1"/>
  <c r="X95" i="30"/>
  <c r="X95" i="30" a="1"/>
  <c r="X94" i="30" a="1"/>
  <c r="X94" i="30" s="1"/>
  <c r="X93" i="30" a="1"/>
  <c r="X93" i="30" s="1"/>
  <c r="X92" i="30" a="1"/>
  <c r="X92" i="30" s="1"/>
  <c r="X91" i="30" a="1"/>
  <c r="X91" i="30" s="1"/>
  <c r="X90" i="30" a="1"/>
  <c r="X90" i="30" s="1"/>
  <c r="X89" i="30" a="1"/>
  <c r="X89" i="30" s="1"/>
  <c r="X88" i="30" a="1"/>
  <c r="X88" i="30" s="1"/>
  <c r="X87" i="30" a="1"/>
  <c r="X87" i="30" s="1"/>
  <c r="X86" i="30" a="1"/>
  <c r="X86" i="30" s="1"/>
  <c r="X85" i="30" a="1"/>
  <c r="X85" i="30" s="1"/>
  <c r="X84" i="30" a="1"/>
  <c r="X84" i="30" s="1"/>
  <c r="X83" i="30" a="1"/>
  <c r="X83" i="30" s="1"/>
  <c r="X82" i="30" a="1"/>
  <c r="X82" i="30" s="1"/>
  <c r="X81" i="30" a="1"/>
  <c r="X81" i="30" s="1"/>
  <c r="X80" i="30" a="1"/>
  <c r="X80" i="30" s="1"/>
  <c r="X79" i="30" a="1"/>
  <c r="X79" i="30" s="1"/>
  <c r="X78" i="30" a="1"/>
  <c r="X78" i="30" s="1"/>
  <c r="X77" i="30" a="1"/>
  <c r="X77" i="30" s="1"/>
  <c r="X76" i="30" a="1"/>
  <c r="X76" i="30" s="1"/>
  <c r="X75" i="30" a="1"/>
  <c r="X75" i="30" s="1"/>
  <c r="X74" i="30" a="1"/>
  <c r="X74" i="30" s="1"/>
  <c r="X73" i="30" a="1"/>
  <c r="X73" i="30" s="1"/>
  <c r="X72" i="30" a="1"/>
  <c r="X72" i="30" s="1"/>
  <c r="X71" i="30" a="1"/>
  <c r="X71" i="30" s="1"/>
  <c r="X70" i="30" a="1"/>
  <c r="X70" i="30" s="1"/>
  <c r="X69" i="30" a="1"/>
  <c r="X69" i="30" s="1"/>
  <c r="X68" i="30" a="1"/>
  <c r="X68" i="30" s="1"/>
  <c r="X67" i="30" a="1"/>
  <c r="X67" i="30" s="1"/>
  <c r="X66" i="30" a="1"/>
  <c r="X66" i="30" s="1"/>
  <c r="X65" i="30" a="1"/>
  <c r="X65" i="30" s="1"/>
  <c r="X64" i="30" a="1"/>
  <c r="X64" i="30" s="1"/>
  <c r="X63" i="30" a="1"/>
  <c r="X63" i="30" s="1"/>
  <c r="X62" i="30" a="1"/>
  <c r="X62" i="30" s="1"/>
  <c r="X61" i="30" a="1"/>
  <c r="X61" i="30" s="1"/>
  <c r="X60" i="30" a="1"/>
  <c r="X60" i="30" s="1"/>
  <c r="X59" i="30" a="1"/>
  <c r="X59" i="30" s="1"/>
  <c r="X58" i="30" a="1"/>
  <c r="X58" i="30" s="1"/>
  <c r="X57" i="30" a="1"/>
  <c r="X57" i="30" s="1"/>
  <c r="X56" i="30" a="1"/>
  <c r="X56" i="30" s="1"/>
  <c r="X55" i="30" a="1"/>
  <c r="X55" i="30" s="1"/>
  <c r="X54" i="30" a="1"/>
  <c r="X54" i="30" s="1"/>
  <c r="X53" i="30" a="1"/>
  <c r="X53" i="30" s="1"/>
  <c r="X52" i="30" a="1"/>
  <c r="X52" i="30" s="1"/>
  <c r="X51" i="30" a="1"/>
  <c r="X51" i="30" s="1"/>
  <c r="X50" i="30" a="1"/>
  <c r="X50" i="30" s="1"/>
  <c r="X49" i="30" a="1"/>
  <c r="X49" i="30" s="1"/>
  <c r="X48" i="30" a="1"/>
  <c r="X48" i="30" s="1"/>
  <c r="X47" i="30" a="1"/>
  <c r="X47" i="30" s="1"/>
  <c r="X46" i="30" a="1"/>
  <c r="X46" i="30" s="1"/>
  <c r="X45" i="30" a="1"/>
  <c r="X45" i="30" s="1"/>
  <c r="X44" i="30" a="1"/>
  <c r="X44" i="30" s="1"/>
  <c r="X43" i="30" a="1"/>
  <c r="X43" i="30" s="1"/>
  <c r="X42" i="30" a="1"/>
  <c r="X42" i="30" s="1"/>
  <c r="X41" i="30" a="1"/>
  <c r="X41" i="30" s="1"/>
  <c r="X40" i="30" a="1"/>
  <c r="X40" i="30" s="1"/>
  <c r="X39" i="30" a="1"/>
  <c r="X39" i="30" s="1"/>
  <c r="X38" i="30" a="1"/>
  <c r="X38" i="30" s="1"/>
  <c r="X37" i="30" a="1"/>
  <c r="X37" i="30" s="1"/>
  <c r="X36" i="30" a="1"/>
  <c r="X36" i="30" s="1"/>
  <c r="X35" i="30" a="1"/>
  <c r="X35" i="30" s="1"/>
  <c r="X34" i="30" a="1"/>
  <c r="X34" i="30" s="1"/>
  <c r="X33" i="30" a="1"/>
  <c r="X33" i="30" s="1"/>
  <c r="X32" i="30" a="1"/>
  <c r="X32" i="30" s="1"/>
  <c r="X31" i="30" a="1"/>
  <c r="X31" i="30" s="1"/>
  <c r="X30" i="30" a="1"/>
  <c r="X30" i="30" s="1"/>
  <c r="X29" i="30" a="1"/>
  <c r="X29" i="30" s="1"/>
  <c r="X28" i="30" a="1"/>
  <c r="X28" i="30" s="1"/>
  <c r="X27" i="30" a="1"/>
  <c r="X27" i="30" s="1"/>
  <c r="X26" i="30" a="1"/>
  <c r="X26" i="30" s="1"/>
  <c r="X25" i="30" a="1"/>
  <c r="X25" i="30" s="1"/>
  <c r="X24" i="30" a="1"/>
  <c r="X24" i="30" s="1"/>
  <c r="X23" i="30" a="1"/>
  <c r="X23" i="30" s="1"/>
  <c r="X22" i="30" a="1"/>
  <c r="X22" i="30" s="1"/>
  <c r="X21" i="30" a="1"/>
  <c r="X21" i="30" s="1"/>
  <c r="X20" i="30" a="1"/>
  <c r="X20" i="30" s="1"/>
  <c r="X19" i="30" a="1"/>
  <c r="X19" i="30" s="1"/>
  <c r="X18" i="30" a="1"/>
  <c r="X18" i="30" s="1"/>
  <c r="X17" i="30" a="1"/>
  <c r="X17" i="30" s="1"/>
  <c r="X16" i="30" a="1"/>
  <c r="X16" i="30" s="1"/>
  <c r="X15" i="30" a="1"/>
  <c r="X15" i="30" s="1"/>
  <c r="X14" i="30" a="1"/>
  <c r="X14" i="30" s="1"/>
  <c r="X13" i="30" a="1"/>
  <c r="X13" i="30" s="1"/>
  <c r="X12" i="30" a="1"/>
  <c r="X12" i="30" s="1"/>
  <c r="X5" i="30" a="1"/>
  <c r="X5" i="30" s="1"/>
  <c r="V104" i="30" a="1"/>
  <c r="V104" i="30" s="1"/>
  <c r="V103" i="30" a="1"/>
  <c r="V103" i="30" s="1"/>
  <c r="V102" i="30" a="1"/>
  <c r="V102" i="30" s="1"/>
  <c r="V101" i="30" a="1"/>
  <c r="V101" i="30" s="1"/>
  <c r="V100" i="30" a="1"/>
  <c r="V100" i="30" s="1"/>
  <c r="V99" i="30" a="1"/>
  <c r="V99" i="30" s="1"/>
  <c r="V98" i="30" a="1"/>
  <c r="V98" i="30" s="1"/>
  <c r="V97" i="30" a="1"/>
  <c r="V97" i="30" s="1"/>
  <c r="V96" i="30" a="1"/>
  <c r="V96" i="30" s="1"/>
  <c r="V95" i="30" a="1"/>
  <c r="V95" i="30" s="1"/>
  <c r="V94" i="30" a="1"/>
  <c r="V94" i="30" s="1"/>
  <c r="V93" i="30" a="1"/>
  <c r="V93" i="30" s="1"/>
  <c r="V92" i="30" a="1"/>
  <c r="V92" i="30" s="1"/>
  <c r="V91" i="30" a="1"/>
  <c r="V91" i="30" s="1"/>
  <c r="V90" i="30" a="1"/>
  <c r="V90" i="30" s="1"/>
  <c r="V89" i="30" a="1"/>
  <c r="V89" i="30" s="1"/>
  <c r="V88" i="30" a="1"/>
  <c r="V88" i="30" s="1"/>
  <c r="V87" i="30" a="1"/>
  <c r="V87" i="30" s="1"/>
  <c r="V86" i="30" a="1"/>
  <c r="V86" i="30" s="1"/>
  <c r="V85" i="30" a="1"/>
  <c r="V85" i="30" s="1"/>
  <c r="V84" i="30" a="1"/>
  <c r="V84" i="30" s="1"/>
  <c r="V83" i="30" a="1"/>
  <c r="V83" i="30" s="1"/>
  <c r="V82" i="30" a="1"/>
  <c r="V82" i="30" s="1"/>
  <c r="V81" i="30" a="1"/>
  <c r="V81" i="30" s="1"/>
  <c r="V80" i="30" a="1"/>
  <c r="V80" i="30" s="1"/>
  <c r="V79" i="30" a="1"/>
  <c r="V79" i="30" s="1"/>
  <c r="V78" i="30" a="1"/>
  <c r="V78" i="30" s="1"/>
  <c r="V77" i="30" a="1"/>
  <c r="V77" i="30" s="1"/>
  <c r="V76" i="30" a="1"/>
  <c r="V76" i="30" s="1"/>
  <c r="V75" i="30" a="1"/>
  <c r="V75" i="30" s="1"/>
  <c r="V74" i="30" a="1"/>
  <c r="V74" i="30" s="1"/>
  <c r="V73" i="30" a="1"/>
  <c r="V73" i="30" s="1"/>
  <c r="V72" i="30" a="1"/>
  <c r="V72" i="30" s="1"/>
  <c r="V71" i="30" a="1"/>
  <c r="V71" i="30" s="1"/>
  <c r="V70" i="30" a="1"/>
  <c r="V70" i="30" s="1"/>
  <c r="V69" i="30" a="1"/>
  <c r="V69" i="30" s="1"/>
  <c r="V68" i="30" a="1"/>
  <c r="V68" i="30" s="1"/>
  <c r="V67" i="30" a="1"/>
  <c r="V67" i="30" s="1"/>
  <c r="V66" i="30" a="1"/>
  <c r="V66" i="30" s="1"/>
  <c r="V65" i="30" a="1"/>
  <c r="V65" i="30" s="1"/>
  <c r="V64" i="30" a="1"/>
  <c r="V64" i="30" s="1"/>
  <c r="V63" i="30" a="1"/>
  <c r="V63" i="30" s="1"/>
  <c r="V62" i="30" a="1"/>
  <c r="V62" i="30" s="1"/>
  <c r="V61" i="30" a="1"/>
  <c r="V61" i="30" s="1"/>
  <c r="V60" i="30" a="1"/>
  <c r="V60" i="30" s="1"/>
  <c r="V59" i="30" a="1"/>
  <c r="V59" i="30" s="1"/>
  <c r="V58" i="30" a="1"/>
  <c r="V58" i="30" s="1"/>
  <c r="V57" i="30" a="1"/>
  <c r="V57" i="30" s="1"/>
  <c r="V56" i="30" a="1"/>
  <c r="V56" i="30" s="1"/>
  <c r="V55" i="30" a="1"/>
  <c r="V55" i="30" s="1"/>
  <c r="V54" i="30" a="1"/>
  <c r="V54" i="30" s="1"/>
  <c r="V53" i="30" a="1"/>
  <c r="V53" i="30" s="1"/>
  <c r="V52" i="30" a="1"/>
  <c r="V52" i="30" s="1"/>
  <c r="V51" i="30" a="1"/>
  <c r="V51" i="30" s="1"/>
  <c r="V50" i="30" a="1"/>
  <c r="V50" i="30" s="1"/>
  <c r="V49" i="30" a="1"/>
  <c r="V49" i="30" s="1"/>
  <c r="V48" i="30" a="1"/>
  <c r="V48" i="30" s="1"/>
  <c r="V47" i="30" a="1"/>
  <c r="V47" i="30" s="1"/>
  <c r="V46" i="30" a="1"/>
  <c r="V46" i="30" s="1"/>
  <c r="V45" i="30" a="1"/>
  <c r="V45" i="30" s="1"/>
  <c r="V44" i="30" a="1"/>
  <c r="V44" i="30" s="1"/>
  <c r="V43" i="30" a="1"/>
  <c r="V43" i="30" s="1"/>
  <c r="V42" i="30" a="1"/>
  <c r="V42" i="30" s="1"/>
  <c r="V41" i="30" a="1"/>
  <c r="V41" i="30" s="1"/>
  <c r="V40" i="30" a="1"/>
  <c r="V40" i="30" s="1"/>
  <c r="V39" i="30" a="1"/>
  <c r="V39" i="30" s="1"/>
  <c r="V38" i="30" a="1"/>
  <c r="V38" i="30" s="1"/>
  <c r="V37" i="30" a="1"/>
  <c r="V37" i="30" s="1"/>
  <c r="V36" i="30" a="1"/>
  <c r="V36" i="30" s="1"/>
  <c r="V35" i="30" a="1"/>
  <c r="V35" i="30" s="1"/>
  <c r="V34" i="30" a="1"/>
  <c r="V34" i="30" s="1"/>
  <c r="V33" i="30" a="1"/>
  <c r="V33" i="30" s="1"/>
  <c r="V32" i="30" a="1"/>
  <c r="V32" i="30" s="1"/>
  <c r="V31" i="30" a="1"/>
  <c r="V31" i="30" s="1"/>
  <c r="V30" i="30" a="1"/>
  <c r="V30" i="30" s="1"/>
  <c r="V29" i="30" a="1"/>
  <c r="V29" i="30" s="1"/>
  <c r="V28" i="30" a="1"/>
  <c r="V28" i="30" s="1"/>
  <c r="V27" i="30" a="1"/>
  <c r="V27" i="30" s="1"/>
  <c r="V26" i="30" a="1"/>
  <c r="V26" i="30" s="1"/>
  <c r="V25" i="30" a="1"/>
  <c r="V25" i="30" s="1"/>
  <c r="V24" i="30" a="1"/>
  <c r="V24" i="30" s="1"/>
  <c r="V23" i="30" a="1"/>
  <c r="V23" i="30" s="1"/>
  <c r="V22" i="30" a="1"/>
  <c r="V22" i="30" s="1"/>
  <c r="V21" i="30" a="1"/>
  <c r="V21" i="30" s="1"/>
  <c r="V20" i="30" a="1"/>
  <c r="V20" i="30" s="1"/>
  <c r="V19" i="30" a="1"/>
  <c r="V19" i="30" s="1"/>
  <c r="V18" i="30" a="1"/>
  <c r="V18" i="30" s="1"/>
  <c r="V17" i="30" a="1"/>
  <c r="V17" i="30" s="1"/>
  <c r="V16" i="30" a="1"/>
  <c r="V16" i="30" s="1"/>
  <c r="V15" i="30" a="1"/>
  <c r="V15" i="30" s="1"/>
  <c r="V14" i="30" a="1"/>
  <c r="V14" i="30" s="1"/>
  <c r="V13" i="30" a="1"/>
  <c r="V13" i="30" s="1"/>
  <c r="V12" i="30" a="1"/>
  <c r="V12" i="30" s="1"/>
  <c r="V5" i="30" a="1"/>
  <c r="V5" i="30" s="1"/>
  <c r="T104" i="30" a="1"/>
  <c r="T104" i="30" s="1"/>
  <c r="T103" i="30" a="1"/>
  <c r="T103" i="30" s="1"/>
  <c r="T102" i="30" a="1"/>
  <c r="T102" i="30" s="1"/>
  <c r="T101" i="30" a="1"/>
  <c r="T101" i="30" s="1"/>
  <c r="T100" i="30" a="1"/>
  <c r="T100" i="30" s="1"/>
  <c r="T99" i="30" a="1"/>
  <c r="T99" i="30" s="1"/>
  <c r="T98" i="30" a="1"/>
  <c r="T98" i="30" s="1"/>
  <c r="T97" i="30" a="1"/>
  <c r="T97" i="30" s="1"/>
  <c r="T96" i="30" a="1"/>
  <c r="T96" i="30" s="1"/>
  <c r="T95" i="30" a="1"/>
  <c r="T95" i="30" s="1"/>
  <c r="T94" i="30" a="1"/>
  <c r="T94" i="30" s="1"/>
  <c r="T93" i="30" a="1"/>
  <c r="T93" i="30" s="1"/>
  <c r="T92" i="30" a="1"/>
  <c r="T92" i="30" s="1"/>
  <c r="T91" i="30" a="1"/>
  <c r="T91" i="30" s="1"/>
  <c r="T90" i="30" a="1"/>
  <c r="T90" i="30" s="1"/>
  <c r="T89" i="30" a="1"/>
  <c r="T89" i="30" s="1"/>
  <c r="T88" i="30" a="1"/>
  <c r="T88" i="30" s="1"/>
  <c r="T87" i="30" a="1"/>
  <c r="T87" i="30" s="1"/>
  <c r="T86" i="30" a="1"/>
  <c r="T86" i="30" s="1"/>
  <c r="T85" i="30" a="1"/>
  <c r="T85" i="30" s="1"/>
  <c r="T84" i="30" a="1"/>
  <c r="T84" i="30" s="1"/>
  <c r="T83" i="30" a="1"/>
  <c r="T83" i="30" s="1"/>
  <c r="T82" i="30" a="1"/>
  <c r="T82" i="30" s="1"/>
  <c r="T81" i="30" a="1"/>
  <c r="T81" i="30" s="1"/>
  <c r="T80" i="30" a="1"/>
  <c r="T80" i="30" s="1"/>
  <c r="T79" i="30" a="1"/>
  <c r="T79" i="30" s="1"/>
  <c r="T78" i="30" a="1"/>
  <c r="T78" i="30" s="1"/>
  <c r="T77" i="30" a="1"/>
  <c r="T77" i="30" s="1"/>
  <c r="T76" i="30" a="1"/>
  <c r="T76" i="30" s="1"/>
  <c r="T75" i="30" a="1"/>
  <c r="T75" i="30" s="1"/>
  <c r="T74" i="30" a="1"/>
  <c r="T74" i="30" s="1"/>
  <c r="T73" i="30" a="1"/>
  <c r="T73" i="30" s="1"/>
  <c r="T72" i="30" a="1"/>
  <c r="T72" i="30" s="1"/>
  <c r="T71" i="30" a="1"/>
  <c r="T71" i="30" s="1"/>
  <c r="T70" i="30" a="1"/>
  <c r="T70" i="30" s="1"/>
  <c r="T69" i="30" a="1"/>
  <c r="T69" i="30" s="1"/>
  <c r="T68" i="30" a="1"/>
  <c r="T68" i="30" s="1"/>
  <c r="T67" i="30" a="1"/>
  <c r="T67" i="30" s="1"/>
  <c r="T66" i="30" a="1"/>
  <c r="T66" i="30" s="1"/>
  <c r="T65" i="30" a="1"/>
  <c r="T65" i="30" s="1"/>
  <c r="T64" i="30" a="1"/>
  <c r="T64" i="30" s="1"/>
  <c r="T63" i="30" a="1"/>
  <c r="T63" i="30" s="1"/>
  <c r="T62" i="30" a="1"/>
  <c r="T62" i="30" s="1"/>
  <c r="T61" i="30" a="1"/>
  <c r="T61" i="30" s="1"/>
  <c r="T60" i="30" a="1"/>
  <c r="T60" i="30" s="1"/>
  <c r="T59" i="30" a="1"/>
  <c r="T59" i="30" s="1"/>
  <c r="T58" i="30" a="1"/>
  <c r="T58" i="30" s="1"/>
  <c r="T57" i="30" a="1"/>
  <c r="T57" i="30" s="1"/>
  <c r="T56" i="30" a="1"/>
  <c r="T56" i="30" s="1"/>
  <c r="T55" i="30" a="1"/>
  <c r="T55" i="30" s="1"/>
  <c r="T54" i="30" a="1"/>
  <c r="T54" i="30" s="1"/>
  <c r="T53" i="30" a="1"/>
  <c r="T53" i="30" s="1"/>
  <c r="T52" i="30" a="1"/>
  <c r="T52" i="30" s="1"/>
  <c r="T51" i="30" a="1"/>
  <c r="T51" i="30" s="1"/>
  <c r="T50" i="30" a="1"/>
  <c r="T50" i="30" s="1"/>
  <c r="T49" i="30" a="1"/>
  <c r="T49" i="30" s="1"/>
  <c r="T48" i="30" a="1"/>
  <c r="T48" i="30" s="1"/>
  <c r="T47" i="30" a="1"/>
  <c r="T47" i="30" s="1"/>
  <c r="T46" i="30" a="1"/>
  <c r="T46" i="30" s="1"/>
  <c r="T45" i="30" a="1"/>
  <c r="T45" i="30" s="1"/>
  <c r="T44" i="30" a="1"/>
  <c r="T44" i="30" s="1"/>
  <c r="T43" i="30" a="1"/>
  <c r="T43" i="30" s="1"/>
  <c r="T42" i="30" a="1"/>
  <c r="T42" i="30" s="1"/>
  <c r="T41" i="30" a="1"/>
  <c r="T41" i="30" s="1"/>
  <c r="T40" i="30" a="1"/>
  <c r="T40" i="30" s="1"/>
  <c r="T39" i="30" a="1"/>
  <c r="T39" i="30" s="1"/>
  <c r="T38" i="30" a="1"/>
  <c r="T38" i="30" s="1"/>
  <c r="T37" i="30" a="1"/>
  <c r="T37" i="30" s="1"/>
  <c r="T36" i="30" a="1"/>
  <c r="T36" i="30" s="1"/>
  <c r="T35" i="30" a="1"/>
  <c r="T35" i="30" s="1"/>
  <c r="T34" i="30" a="1"/>
  <c r="T34" i="30" s="1"/>
  <c r="T33" i="30" a="1"/>
  <c r="T33" i="30" s="1"/>
  <c r="T32" i="30" a="1"/>
  <c r="T32" i="30" s="1"/>
  <c r="T31" i="30" a="1"/>
  <c r="T31" i="30" s="1"/>
  <c r="T30" i="30" a="1"/>
  <c r="T30" i="30" s="1"/>
  <c r="T29" i="30" a="1"/>
  <c r="T29" i="30" s="1"/>
  <c r="T28" i="30" a="1"/>
  <c r="T28" i="30" s="1"/>
  <c r="T27" i="30" a="1"/>
  <c r="T27" i="30" s="1"/>
  <c r="T26" i="30" a="1"/>
  <c r="T26" i="30" s="1"/>
  <c r="T25" i="30" a="1"/>
  <c r="T25" i="30" s="1"/>
  <c r="T24" i="30" a="1"/>
  <c r="T24" i="30" s="1"/>
  <c r="T23" i="30" a="1"/>
  <c r="T23" i="30" s="1"/>
  <c r="T22" i="30" a="1"/>
  <c r="T22" i="30" s="1"/>
  <c r="T21" i="30" a="1"/>
  <c r="T21" i="30" s="1"/>
  <c r="T20" i="30" a="1"/>
  <c r="T20" i="30" s="1"/>
  <c r="T19" i="30" a="1"/>
  <c r="T19" i="30" s="1"/>
  <c r="T18" i="30" a="1"/>
  <c r="T18" i="30" s="1"/>
  <c r="T17" i="30" a="1"/>
  <c r="T17" i="30" s="1"/>
  <c r="T16" i="30" a="1"/>
  <c r="T16" i="30" s="1"/>
  <c r="T15" i="30" a="1"/>
  <c r="T15" i="30" s="1"/>
  <c r="T14" i="30" a="1"/>
  <c r="T14" i="30" s="1"/>
  <c r="T13" i="30" a="1"/>
  <c r="T13" i="30" s="1"/>
  <c r="T12" i="30" a="1"/>
  <c r="T12" i="30" s="1"/>
  <c r="T5" i="30" a="1"/>
  <c r="T5" i="30" s="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L98" i="30"/>
  <c r="L97" i="30"/>
  <c r="L96" i="30"/>
  <c r="E50" i="30"/>
  <c r="E49" i="30"/>
  <c r="E48" i="30"/>
  <c r="Q9" i="31"/>
  <c r="T9" i="31"/>
  <c r="O9" i="31"/>
  <c r="P9" i="31"/>
  <c r="J9" i="31"/>
  <c r="I9" i="31"/>
  <c r="W9" i="31"/>
  <c r="AA9" i="31"/>
  <c r="D9" i="31"/>
  <c r="H9" i="31"/>
  <c r="Y9" i="31"/>
  <c r="U9" i="31"/>
  <c r="V9" i="31"/>
  <c r="L9" i="31"/>
  <c r="R9" i="31"/>
  <c r="F9" i="31"/>
  <c r="E9" i="31"/>
  <c r="S9" i="31"/>
  <c r="Z9" i="31"/>
  <c r="G9" i="31"/>
  <c r="X9" i="31"/>
  <c r="N9" i="31"/>
  <c r="M9" i="31"/>
  <c r="K9" i="31"/>
  <c r="G2" i="54" l="1"/>
  <c r="M33" i="50"/>
  <c r="I4" i="52"/>
  <c r="I6" i="52" s="1"/>
  <c r="I7" i="52" s="1"/>
  <c r="J12" i="50"/>
  <c r="L12" i="50"/>
  <c r="J13" i="50"/>
  <c r="L13" i="50"/>
  <c r="L7" i="50"/>
  <c r="J7" i="50"/>
  <c r="L26" i="50"/>
  <c r="J26" i="50"/>
  <c r="L17" i="50"/>
  <c r="J17" i="50"/>
  <c r="J11" i="50"/>
  <c r="L11" i="50"/>
  <c r="L22" i="50"/>
  <c r="J22" i="50"/>
  <c r="L18" i="50"/>
  <c r="J18" i="50"/>
  <c r="J28" i="50"/>
  <c r="L28" i="50"/>
  <c r="L29" i="50"/>
  <c r="J29" i="50"/>
  <c r="L24" i="50"/>
  <c r="J24" i="50"/>
  <c r="L23" i="50"/>
  <c r="J23" i="50"/>
  <c r="L32" i="50"/>
  <c r="J32" i="50"/>
  <c r="J4" i="50"/>
  <c r="L4" i="50"/>
  <c r="L5" i="50"/>
  <c r="J5" i="50"/>
  <c r="J27" i="50"/>
  <c r="L27" i="50"/>
  <c r="I3" i="50"/>
  <c r="I1" i="50" s="1"/>
  <c r="K1" i="50"/>
  <c r="L14" i="50"/>
  <c r="J14" i="50"/>
  <c r="L21" i="50"/>
  <c r="J21" i="50"/>
  <c r="L9" i="50"/>
  <c r="J9" i="50"/>
  <c r="L15" i="50"/>
  <c r="J15" i="50"/>
  <c r="L16" i="50"/>
  <c r="J16" i="50"/>
  <c r="J20" i="50"/>
  <c r="L20" i="50"/>
  <c r="L25" i="50"/>
  <c r="J25" i="50"/>
  <c r="L30" i="50"/>
  <c r="J30" i="50"/>
  <c r="J10" i="50"/>
  <c r="L10" i="50"/>
  <c r="J19" i="50"/>
  <c r="L19" i="50"/>
  <c r="L8" i="50"/>
  <c r="J8" i="50"/>
  <c r="L6" i="50"/>
  <c r="J6" i="50"/>
  <c r="L31" i="50"/>
  <c r="J31" i="50"/>
  <c r="AE78" i="31"/>
  <c r="AC78" i="31"/>
  <c r="AE50" i="31"/>
  <c r="AC50" i="31"/>
  <c r="AE9" i="31"/>
  <c r="AC9" i="31"/>
  <c r="F12" i="3"/>
  <c r="AI12" i="3"/>
  <c r="AJ12" i="3" s="1"/>
  <c r="AI11" i="3"/>
  <c r="AJ11" i="3" s="1"/>
  <c r="AI10" i="3"/>
  <c r="AJ10" i="3" s="1"/>
  <c r="AI9" i="3"/>
  <c r="AJ9" i="3" s="1"/>
  <c r="AI8" i="3"/>
  <c r="AJ8" i="3" s="1"/>
  <c r="AI7" i="3"/>
  <c r="AJ7" i="3" s="1"/>
  <c r="AI6" i="3"/>
  <c r="AJ6" i="3" s="1"/>
  <c r="AI5" i="3"/>
  <c r="AJ5" i="3" s="1"/>
  <c r="AI4" i="3"/>
  <c r="AJ4" i="3" s="1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04" i="36"/>
  <c r="G105" i="36"/>
  <c r="G106" i="36"/>
  <c r="G107" i="36"/>
  <c r="AC42" i="34"/>
  <c r="AC38" i="34"/>
  <c r="AC32" i="34"/>
  <c r="AC31" i="34"/>
  <c r="AC28" i="34"/>
  <c r="AC27" i="34"/>
  <c r="AC261" i="31"/>
  <c r="AC225" i="31"/>
  <c r="AC199" i="31"/>
  <c r="AC198" i="31"/>
  <c r="AC177" i="31"/>
  <c r="AC176" i="31"/>
  <c r="M36" i="33" a="1"/>
  <c r="M36" i="33" s="1"/>
  <c r="L36" i="33" a="1"/>
  <c r="L36" i="33" s="1"/>
  <c r="K36" i="33" a="1"/>
  <c r="K36" i="33" s="1"/>
  <c r="J36" i="33" a="1"/>
  <c r="J36" i="33" s="1"/>
  <c r="I36" i="33" a="1"/>
  <c r="I36" i="33" s="1"/>
  <c r="H36" i="33" a="1"/>
  <c r="H36" i="33" s="1"/>
  <c r="G36" i="33" a="1"/>
  <c r="G36" i="33" s="1"/>
  <c r="F36" i="33" a="1"/>
  <c r="F36" i="33" s="1"/>
  <c r="E36" i="33" a="1"/>
  <c r="E36" i="33" s="1"/>
  <c r="AK1" i="29"/>
  <c r="AJ1" i="29"/>
  <c r="AI1" i="29"/>
  <c r="AH1" i="29"/>
  <c r="AG1" i="29"/>
  <c r="AF1" i="29"/>
  <c r="AE1" i="29"/>
  <c r="AD1" i="29"/>
  <c r="AC1" i="29"/>
  <c r="AB1" i="29"/>
  <c r="AA1" i="29"/>
  <c r="Z1" i="29"/>
  <c r="C36" i="33" a="1"/>
  <c r="C36" i="33" s="1"/>
  <c r="BJ70" i="28"/>
  <c r="BJ69" i="28"/>
  <c r="D4" i="36"/>
  <c r="C27" i="36"/>
  <c r="D3" i="36"/>
  <c r="D60" i="36"/>
  <c r="C13" i="36"/>
  <c r="C7" i="36"/>
  <c r="C12" i="36"/>
  <c r="C28" i="36"/>
  <c r="C29" i="36"/>
  <c r="D53" i="36"/>
  <c r="D31" i="36"/>
  <c r="C103" i="36"/>
  <c r="D37" i="36"/>
  <c r="D26" i="36"/>
  <c r="D39" i="36"/>
  <c r="C97" i="36"/>
  <c r="D47" i="36"/>
  <c r="D9" i="36"/>
  <c r="D25" i="36"/>
  <c r="C96" i="36"/>
  <c r="C50" i="36"/>
  <c r="C17" i="36"/>
  <c r="D7" i="36"/>
  <c r="D21" i="36"/>
  <c r="C69" i="36"/>
  <c r="D42" i="36"/>
  <c r="C65" i="36"/>
  <c r="C78" i="36"/>
  <c r="C45" i="36"/>
  <c r="D89" i="36"/>
  <c r="C57" i="36"/>
  <c r="D86" i="36"/>
  <c r="C33" i="36"/>
  <c r="C63" i="36"/>
  <c r="C8" i="36"/>
  <c r="C6" i="36"/>
  <c r="C66" i="36"/>
  <c r="C80" i="36"/>
  <c r="D24" i="36"/>
  <c r="D80" i="36"/>
  <c r="C77" i="36"/>
  <c r="C16" i="36"/>
  <c r="D30" i="36"/>
  <c r="C38" i="36"/>
  <c r="D101" i="36"/>
  <c r="C101" i="36"/>
  <c r="C70" i="36"/>
  <c r="C44" i="36"/>
  <c r="D73" i="36"/>
  <c r="C10" i="36"/>
  <c r="D50" i="36"/>
  <c r="C92" i="36"/>
  <c r="C18" i="36"/>
  <c r="D90" i="36"/>
  <c r="D83" i="36"/>
  <c r="D5" i="36"/>
  <c r="C52" i="36"/>
  <c r="C86" i="36"/>
  <c r="C46" i="36"/>
  <c r="C26" i="36"/>
  <c r="D23" i="36"/>
  <c r="C36" i="36"/>
  <c r="D102" i="36"/>
  <c r="D59" i="36"/>
  <c r="D35" i="36"/>
  <c r="D20" i="36"/>
  <c r="D75" i="36"/>
  <c r="C20" i="36"/>
  <c r="D14" i="36"/>
  <c r="D79" i="36"/>
  <c r="C47" i="36"/>
  <c r="C102" i="36"/>
  <c r="C87" i="36"/>
  <c r="C48" i="36"/>
  <c r="D85" i="36"/>
  <c r="D22" i="36"/>
  <c r="C73" i="36"/>
  <c r="D8" i="36"/>
  <c r="D68" i="36"/>
  <c r="D38" i="36"/>
  <c r="D94" i="36"/>
  <c r="C15" i="36"/>
  <c r="D99" i="36"/>
  <c r="C85" i="36"/>
  <c r="D64" i="36"/>
  <c r="D98" i="36"/>
  <c r="C82" i="36"/>
  <c r="D95" i="36"/>
  <c r="C76" i="36"/>
  <c r="D96" i="36"/>
  <c r="C88" i="36"/>
  <c r="D87" i="36"/>
  <c r="C53" i="36"/>
  <c r="D103" i="36"/>
  <c r="D11" i="36"/>
  <c r="D10" i="36"/>
  <c r="C60" i="36"/>
  <c r="C4" i="36"/>
  <c r="C23" i="36"/>
  <c r="C61" i="36"/>
  <c r="D105" i="36"/>
  <c r="C68" i="36"/>
  <c r="C9" i="36"/>
  <c r="C30" i="36"/>
  <c r="D78" i="36"/>
  <c r="C94" i="36"/>
  <c r="D27" i="36"/>
  <c r="D48" i="36"/>
  <c r="C51" i="36"/>
  <c r="C90" i="36"/>
  <c r="C54" i="36"/>
  <c r="C37" i="36"/>
  <c r="D17" i="36"/>
  <c r="C56" i="36"/>
  <c r="C49" i="36"/>
  <c r="D29" i="36"/>
  <c r="D81" i="36"/>
  <c r="C79" i="36"/>
  <c r="D49" i="36"/>
  <c r="D92" i="36"/>
  <c r="D52" i="36"/>
  <c r="D107" i="36"/>
  <c r="C31" i="36"/>
  <c r="D100" i="36"/>
  <c r="D12" i="36"/>
  <c r="C93" i="36"/>
  <c r="C95" i="36"/>
  <c r="C75" i="36"/>
  <c r="D58" i="36"/>
  <c r="C89" i="36"/>
  <c r="D45" i="36"/>
  <c r="D91" i="36"/>
  <c r="C64" i="36"/>
  <c r="D34" i="36"/>
  <c r="C24" i="36"/>
  <c r="D13" i="36"/>
  <c r="C104" i="36"/>
  <c r="D67" i="36"/>
  <c r="D54" i="36"/>
  <c r="D76" i="36"/>
  <c r="C84" i="36"/>
  <c r="D104" i="36"/>
  <c r="D72" i="36"/>
  <c r="C14" i="36"/>
  <c r="D69" i="36"/>
  <c r="C81" i="36"/>
  <c r="C39" i="36"/>
  <c r="D55" i="36"/>
  <c r="D57" i="36"/>
  <c r="C67" i="36"/>
  <c r="D62" i="36"/>
  <c r="D40" i="36"/>
  <c r="D6" i="36"/>
  <c r="D65" i="36"/>
  <c r="C3" i="36"/>
  <c r="C21" i="36"/>
  <c r="D44" i="36"/>
  <c r="D82" i="36"/>
  <c r="C105" i="36"/>
  <c r="D66" i="36"/>
  <c r="C83" i="36"/>
  <c r="D33" i="36"/>
  <c r="C34" i="36"/>
  <c r="D16" i="36"/>
  <c r="C62" i="36"/>
  <c r="D28" i="36"/>
  <c r="C59" i="36"/>
  <c r="D61" i="36"/>
  <c r="D88" i="36"/>
  <c r="D46" i="36"/>
  <c r="D97" i="36"/>
  <c r="C5" i="36"/>
  <c r="D19" i="36"/>
  <c r="C35" i="36"/>
  <c r="C91" i="36"/>
  <c r="D74" i="36"/>
  <c r="C25" i="36"/>
  <c r="C99" i="36"/>
  <c r="C32" i="36"/>
  <c r="D84" i="36"/>
  <c r="D41" i="36"/>
  <c r="C100" i="36"/>
  <c r="C43" i="36"/>
  <c r="C71" i="36"/>
  <c r="D93" i="36"/>
  <c r="C74" i="36"/>
  <c r="D70" i="36"/>
  <c r="D43" i="36"/>
  <c r="D18" i="36"/>
  <c r="D106" i="36"/>
  <c r="C107" i="36"/>
  <c r="C98" i="36"/>
  <c r="C106" i="36"/>
  <c r="C11" i="36"/>
  <c r="C55" i="36"/>
  <c r="D32" i="36"/>
  <c r="D56" i="36"/>
  <c r="C22" i="36"/>
  <c r="C41" i="36"/>
  <c r="C19" i="36"/>
  <c r="D71" i="36"/>
  <c r="D63" i="36"/>
  <c r="C72" i="36"/>
  <c r="C42" i="36"/>
  <c r="C58" i="36"/>
  <c r="D15" i="36"/>
  <c r="C40" i="36"/>
  <c r="D77" i="36"/>
  <c r="D51" i="36"/>
  <c r="D36" i="36"/>
  <c r="M31" i="50" l="1"/>
  <c r="M16" i="50"/>
  <c r="M14" i="50"/>
  <c r="M19" i="50"/>
  <c r="M27" i="50"/>
  <c r="M20" i="50"/>
  <c r="M32" i="50"/>
  <c r="M17" i="50"/>
  <c r="M29" i="50"/>
  <c r="M8" i="50"/>
  <c r="M25" i="50"/>
  <c r="M9" i="50"/>
  <c r="J3" i="50"/>
  <c r="J1" i="50" s="1"/>
  <c r="H1" i="50"/>
  <c r="L3" i="50"/>
  <c r="M23" i="50"/>
  <c r="M18" i="50"/>
  <c r="M26" i="50"/>
  <c r="M21" i="50"/>
  <c r="M10" i="50"/>
  <c r="M5" i="50"/>
  <c r="M24" i="50"/>
  <c r="M22" i="50"/>
  <c r="M7" i="50"/>
  <c r="M4" i="50"/>
  <c r="M11" i="50"/>
  <c r="M13" i="50"/>
  <c r="M6" i="50"/>
  <c r="M30" i="50"/>
  <c r="M15" i="50"/>
  <c r="M28" i="50"/>
  <c r="M12" i="50"/>
  <c r="D36" i="33"/>
  <c r="M3" i="50" l="1"/>
  <c r="M1" i="50" s="1"/>
  <c r="L1" i="50"/>
  <c r="AE42" i="34"/>
  <c r="J2" i="48"/>
  <c r="I2" i="48"/>
  <c r="C95" i="49"/>
  <c r="C94" i="49"/>
  <c r="C93" i="49"/>
  <c r="C92" i="49"/>
  <c r="C91" i="49"/>
  <c r="C90" i="49"/>
  <c r="C89" i="49"/>
  <c r="C88" i="49"/>
  <c r="C87" i="49"/>
  <c r="C86" i="49"/>
  <c r="C85" i="49"/>
  <c r="C84" i="49"/>
  <c r="C83" i="49"/>
  <c r="C82" i="49"/>
  <c r="C81" i="49"/>
  <c r="C80" i="49"/>
  <c r="C79" i="49"/>
  <c r="C78" i="49"/>
  <c r="C77" i="49"/>
  <c r="C76" i="49"/>
  <c r="C75" i="49"/>
  <c r="C74" i="49"/>
  <c r="C73" i="49"/>
  <c r="C72" i="49"/>
  <c r="C71" i="49"/>
  <c r="C70" i="49"/>
  <c r="C69" i="49"/>
  <c r="C68" i="49"/>
  <c r="C67" i="49"/>
  <c r="A68" i="49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85" i="49" s="1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I64" i="49"/>
  <c r="I63" i="49"/>
  <c r="I62" i="49"/>
  <c r="I61" i="49"/>
  <c r="I60" i="49"/>
  <c r="I59" i="49"/>
  <c r="I58" i="49"/>
  <c r="I57" i="49"/>
  <c r="I56" i="49"/>
  <c r="I55" i="49"/>
  <c r="I54" i="49"/>
  <c r="I53" i="49"/>
  <c r="I52" i="49"/>
  <c r="I51" i="49"/>
  <c r="I50" i="49"/>
  <c r="I49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O34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I18" i="49"/>
  <c r="I17" i="49"/>
  <c r="I16" i="49"/>
  <c r="I15" i="49"/>
  <c r="I14" i="49"/>
  <c r="I13" i="49"/>
  <c r="I12" i="49"/>
  <c r="I11" i="49"/>
  <c r="I10" i="49"/>
  <c r="I9" i="49"/>
  <c r="I8" i="49"/>
  <c r="I7" i="49"/>
  <c r="O6" i="49"/>
  <c r="I6" i="49"/>
  <c r="I5" i="49"/>
  <c r="I4" i="49"/>
  <c r="O3" i="49"/>
  <c r="I3" i="49"/>
  <c r="O2" i="49"/>
  <c r="O23" i="49" s="1"/>
  <c r="J9" i="48" l="1"/>
  <c r="I3" i="48"/>
  <c r="J3" i="48"/>
  <c r="O37" i="49"/>
  <c r="O4" i="49"/>
  <c r="I4" i="48" l="1"/>
  <c r="J4" i="48"/>
  <c r="D208" i="31" a="1"/>
  <c r="D208" i="31" s="1"/>
  <c r="AC208" i="31" s="1"/>
  <c r="AA258" i="31"/>
  <c r="Z258" i="31"/>
  <c r="Y258" i="31"/>
  <c r="X258" i="31"/>
  <c r="W258" i="31"/>
  <c r="V258" i="31"/>
  <c r="U258" i="31"/>
  <c r="T258" i="31"/>
  <c r="S258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E258" i="31"/>
  <c r="D258" i="31"/>
  <c r="AA259" i="31"/>
  <c r="Z259" i="31"/>
  <c r="Y259" i="31"/>
  <c r="X259" i="31"/>
  <c r="W259" i="31"/>
  <c r="V259" i="31"/>
  <c r="U259" i="31"/>
  <c r="T259" i="31"/>
  <c r="S259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D259" i="31"/>
  <c r="AA257" i="31"/>
  <c r="Z257" i="31"/>
  <c r="Y257" i="31"/>
  <c r="X257" i="31"/>
  <c r="W257" i="31"/>
  <c r="V257" i="31"/>
  <c r="U257" i="31"/>
  <c r="T257" i="31"/>
  <c r="S257" i="31"/>
  <c r="R257" i="31"/>
  <c r="Q257" i="31"/>
  <c r="P257" i="31"/>
  <c r="O257" i="31"/>
  <c r="N257" i="31"/>
  <c r="M257" i="31"/>
  <c r="L257" i="31"/>
  <c r="K257" i="31"/>
  <c r="J257" i="31"/>
  <c r="I257" i="31"/>
  <c r="H257" i="31"/>
  <c r="G257" i="31"/>
  <c r="F257" i="31"/>
  <c r="E257" i="31"/>
  <c r="D257" i="31"/>
  <c r="AA256" i="31"/>
  <c r="Z256" i="31"/>
  <c r="Y256" i="31"/>
  <c r="X256" i="31"/>
  <c r="W256" i="31"/>
  <c r="V256" i="31"/>
  <c r="U256" i="31"/>
  <c r="T256" i="31"/>
  <c r="S256" i="31"/>
  <c r="R256" i="31"/>
  <c r="Q256" i="31"/>
  <c r="P256" i="31"/>
  <c r="O256" i="31"/>
  <c r="N256" i="31"/>
  <c r="M256" i="31"/>
  <c r="L256" i="31"/>
  <c r="K256" i="31"/>
  <c r="J256" i="31"/>
  <c r="I256" i="31"/>
  <c r="H256" i="31"/>
  <c r="G256" i="31"/>
  <c r="F256" i="31"/>
  <c r="E256" i="31"/>
  <c r="D256" i="31"/>
  <c r="AA255" i="31"/>
  <c r="Z255" i="31"/>
  <c r="Y255" i="31"/>
  <c r="X255" i="31"/>
  <c r="W255" i="31"/>
  <c r="V255" i="31"/>
  <c r="U255" i="31"/>
  <c r="T255" i="31"/>
  <c r="S255" i="31"/>
  <c r="R255" i="31"/>
  <c r="Q255" i="31"/>
  <c r="P255" i="31"/>
  <c r="O255" i="31"/>
  <c r="N255" i="31"/>
  <c r="M255" i="31"/>
  <c r="L255" i="31"/>
  <c r="K255" i="31"/>
  <c r="J255" i="31"/>
  <c r="I255" i="31"/>
  <c r="H255" i="31"/>
  <c r="G255" i="31"/>
  <c r="F255" i="31"/>
  <c r="E255" i="31"/>
  <c r="D255" i="31"/>
  <c r="AC255" i="31" l="1"/>
  <c r="AC256" i="31"/>
  <c r="AC257" i="31"/>
  <c r="AC259" i="31"/>
  <c r="AC258" i="31"/>
  <c r="AE208" i="31"/>
  <c r="AA68" i="31"/>
  <c r="Z68" i="31"/>
  <c r="Y68" i="31"/>
  <c r="X68" i="31"/>
  <c r="W68" i="31"/>
  <c r="V68" i="31"/>
  <c r="U68" i="31"/>
  <c r="T68" i="31"/>
  <c r="S68" i="31"/>
  <c r="R68" i="31"/>
  <c r="Q68" i="31"/>
  <c r="P68" i="31"/>
  <c r="O68" i="31"/>
  <c r="N68" i="31"/>
  <c r="M68" i="31"/>
  <c r="L68" i="31"/>
  <c r="K68" i="31"/>
  <c r="J68" i="31"/>
  <c r="I68" i="31"/>
  <c r="H68" i="31"/>
  <c r="G68" i="31"/>
  <c r="F68" i="31"/>
  <c r="E68" i="31"/>
  <c r="D68" i="31"/>
  <c r="AA67" i="31"/>
  <c r="Z67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AA65" i="31"/>
  <c r="Z65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AA64" i="31"/>
  <c r="Z64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AA63" i="31"/>
  <c r="Z63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AA62" i="31"/>
  <c r="Z62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I55" i="31"/>
  <c r="H55" i="31"/>
  <c r="G55" i="31"/>
  <c r="F55" i="31"/>
  <c r="E55" i="31"/>
  <c r="D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Z12" i="5"/>
  <c r="G36" i="5" s="1"/>
  <c r="Z11" i="5"/>
  <c r="G32" i="5" s="1"/>
  <c r="Z10" i="5"/>
  <c r="G28" i="5" s="1"/>
  <c r="Z9" i="5"/>
  <c r="G24" i="5" s="1"/>
  <c r="Z8" i="5"/>
  <c r="G20" i="5" s="1"/>
  <c r="Z7" i="5"/>
  <c r="G16" i="5" s="1"/>
  <c r="Z6" i="5"/>
  <c r="G12" i="5" s="1"/>
  <c r="Z5" i="5"/>
  <c r="G8" i="5" s="1"/>
  <c r="Z4" i="5"/>
  <c r="G4" i="5" s="1"/>
  <c r="Y12" i="5"/>
  <c r="E36" i="5" s="1"/>
  <c r="Y11" i="5"/>
  <c r="E32" i="5" s="1"/>
  <c r="Y10" i="5"/>
  <c r="E28" i="5" s="1"/>
  <c r="Y9" i="5"/>
  <c r="E24" i="5" s="1"/>
  <c r="Y8" i="5"/>
  <c r="E20" i="5" s="1"/>
  <c r="Y7" i="5"/>
  <c r="E16" i="5" s="1"/>
  <c r="Y6" i="5"/>
  <c r="E12" i="5" s="1"/>
  <c r="Y5" i="5"/>
  <c r="E8" i="5" s="1"/>
  <c r="Y4" i="5"/>
  <c r="E4" i="5" s="1"/>
  <c r="L37" i="5"/>
  <c r="K37" i="5"/>
  <c r="J37" i="5"/>
  <c r="L33" i="5"/>
  <c r="K33" i="5"/>
  <c r="J33" i="5"/>
  <c r="L29" i="5"/>
  <c r="K29" i="5"/>
  <c r="J29" i="5"/>
  <c r="L25" i="5"/>
  <c r="K25" i="5"/>
  <c r="J25" i="5"/>
  <c r="L21" i="5"/>
  <c r="K21" i="5"/>
  <c r="J21" i="5"/>
  <c r="L17" i="5"/>
  <c r="K17" i="5"/>
  <c r="J17" i="5"/>
  <c r="L13" i="5"/>
  <c r="K13" i="5"/>
  <c r="J13" i="5"/>
  <c r="L9" i="5"/>
  <c r="K9" i="5"/>
  <c r="J9" i="5"/>
  <c r="L36" i="5"/>
  <c r="K36" i="5"/>
  <c r="J36" i="5"/>
  <c r="L32" i="5"/>
  <c r="K32" i="5"/>
  <c r="J32" i="5"/>
  <c r="L28" i="5"/>
  <c r="K28" i="5"/>
  <c r="J28" i="5"/>
  <c r="L24" i="5"/>
  <c r="K24" i="5"/>
  <c r="J24" i="5"/>
  <c r="L20" i="5"/>
  <c r="K20" i="5"/>
  <c r="J20" i="5"/>
  <c r="L16" i="5"/>
  <c r="K16" i="5"/>
  <c r="J16" i="5"/>
  <c r="L12" i="5"/>
  <c r="K12" i="5"/>
  <c r="J12" i="5"/>
  <c r="L8" i="5"/>
  <c r="K8" i="5"/>
  <c r="J8" i="5"/>
  <c r="L4" i="5"/>
  <c r="K4" i="5"/>
  <c r="J4" i="5"/>
  <c r="G37" i="5"/>
  <c r="F37" i="5"/>
  <c r="E37" i="5"/>
  <c r="D37" i="5"/>
  <c r="C37" i="5"/>
  <c r="G33" i="5"/>
  <c r="F33" i="5"/>
  <c r="E33" i="5"/>
  <c r="D33" i="5"/>
  <c r="C33" i="5"/>
  <c r="G29" i="5"/>
  <c r="F29" i="5"/>
  <c r="E29" i="5"/>
  <c r="D29" i="5"/>
  <c r="C29" i="5"/>
  <c r="G25" i="5"/>
  <c r="F25" i="5"/>
  <c r="E25" i="5"/>
  <c r="D25" i="5"/>
  <c r="C25" i="5"/>
  <c r="G21" i="5"/>
  <c r="F21" i="5"/>
  <c r="E21" i="5"/>
  <c r="D21" i="5"/>
  <c r="C21" i="5"/>
  <c r="G17" i="5"/>
  <c r="F17" i="5"/>
  <c r="E17" i="5"/>
  <c r="D17" i="5"/>
  <c r="C17" i="5"/>
  <c r="G13" i="5"/>
  <c r="F13" i="5"/>
  <c r="E13" i="5"/>
  <c r="D13" i="5"/>
  <c r="C13" i="5"/>
  <c r="F9" i="5"/>
  <c r="E9" i="5"/>
  <c r="H30" i="5"/>
  <c r="I30" i="5" s="1"/>
  <c r="H14" i="5"/>
  <c r="I14" i="5" s="1"/>
  <c r="F5" i="5"/>
  <c r="E5" i="5"/>
  <c r="L5" i="5"/>
  <c r="K5" i="5"/>
  <c r="J5" i="5"/>
  <c r="G5" i="5"/>
  <c r="D5" i="5"/>
  <c r="C5" i="5"/>
  <c r="AL4" i="5"/>
  <c r="AJ4" i="5"/>
  <c r="AG4" i="5"/>
  <c r="AF4" i="5"/>
  <c r="AL12" i="5"/>
  <c r="AL11" i="5"/>
  <c r="AL10" i="5"/>
  <c r="AL9" i="5"/>
  <c r="AL8" i="5"/>
  <c r="AL7" i="5"/>
  <c r="AL6" i="5"/>
  <c r="AL5" i="5"/>
  <c r="AJ12" i="5"/>
  <c r="AJ11" i="5"/>
  <c r="AJ10" i="5"/>
  <c r="AJ9" i="5"/>
  <c r="AJ8" i="5"/>
  <c r="AJ7" i="5"/>
  <c r="AJ6" i="5"/>
  <c r="AJ5" i="5"/>
  <c r="AI12" i="5"/>
  <c r="AI11" i="5"/>
  <c r="AI10" i="5"/>
  <c r="AI9" i="5"/>
  <c r="AI8" i="5"/>
  <c r="AI7" i="5"/>
  <c r="AI6" i="5"/>
  <c r="AI5" i="5"/>
  <c r="AI4" i="5"/>
  <c r="AK12" i="5"/>
  <c r="AK11" i="5"/>
  <c r="AK10" i="5"/>
  <c r="AK9" i="5"/>
  <c r="AK8" i="5"/>
  <c r="AK7" i="5"/>
  <c r="AK6" i="5"/>
  <c r="AK5" i="5"/>
  <c r="AK4" i="5"/>
  <c r="D2" i="28" a="1"/>
  <c r="D2" i="28" s="1"/>
  <c r="G9" i="5"/>
  <c r="AF12" i="5"/>
  <c r="AF11" i="5"/>
  <c r="AF10" i="5"/>
  <c r="AF9" i="5"/>
  <c r="AF8" i="5"/>
  <c r="AF7" i="5"/>
  <c r="AF6" i="5"/>
  <c r="AF5" i="5"/>
  <c r="AE12" i="5"/>
  <c r="AE11" i="5"/>
  <c r="AE10" i="5"/>
  <c r="AE9" i="5"/>
  <c r="AE8" i="5"/>
  <c r="AE7" i="5"/>
  <c r="AE6" i="5"/>
  <c r="AE5" i="5"/>
  <c r="AE4" i="5"/>
  <c r="AG12" i="5"/>
  <c r="AG11" i="5"/>
  <c r="AG10" i="5"/>
  <c r="AG9" i="5"/>
  <c r="AG8" i="5"/>
  <c r="AG7" i="5"/>
  <c r="AG6" i="5"/>
  <c r="AG5" i="5"/>
  <c r="C43" i="33"/>
  <c r="C42" i="33"/>
  <c r="AA44" i="34" a="1"/>
  <c r="AA44" i="34" s="1"/>
  <c r="AA43" i="34" s="1" a="1"/>
  <c r="AA43" i="34" s="1"/>
  <c r="Z44" i="34" a="1"/>
  <c r="Z44" i="34" s="1"/>
  <c r="Z43" i="34" s="1" a="1"/>
  <c r="Z43" i="34" s="1"/>
  <c r="Y44" i="34" a="1"/>
  <c r="Y44" i="34" s="1"/>
  <c r="Y43" i="34" s="1" a="1"/>
  <c r="Y43" i="34" s="1"/>
  <c r="X44" i="34" a="1"/>
  <c r="X44" i="34" s="1"/>
  <c r="X43" i="34" s="1" a="1"/>
  <c r="X43" i="34" s="1"/>
  <c r="W44" i="34" a="1"/>
  <c r="W44" i="34" s="1"/>
  <c r="W43" i="34" s="1" a="1"/>
  <c r="W43" i="34" s="1"/>
  <c r="V44" i="34" a="1"/>
  <c r="V44" i="34" s="1"/>
  <c r="V43" i="34" s="1" a="1"/>
  <c r="V43" i="34" s="1"/>
  <c r="U44" i="34" a="1"/>
  <c r="U44" i="34" s="1"/>
  <c r="U43" i="34" s="1" a="1"/>
  <c r="U43" i="34" s="1"/>
  <c r="T44" i="34" a="1"/>
  <c r="T44" i="34" s="1"/>
  <c r="T43" i="34" s="1" a="1"/>
  <c r="T43" i="34" s="1"/>
  <c r="S44" i="34" a="1"/>
  <c r="S44" i="34" s="1"/>
  <c r="S43" i="34" s="1" a="1"/>
  <c r="S43" i="34" s="1"/>
  <c r="R44" i="34" a="1"/>
  <c r="R44" i="34" s="1"/>
  <c r="R43" i="34" s="1" a="1"/>
  <c r="R43" i="34" s="1"/>
  <c r="Q44" i="34" a="1"/>
  <c r="Q44" i="34" s="1"/>
  <c r="Q43" i="34" s="1" a="1"/>
  <c r="Q43" i="34" s="1"/>
  <c r="P44" i="34" a="1"/>
  <c r="P44" i="34" s="1"/>
  <c r="P43" i="34" s="1" a="1"/>
  <c r="P43" i="34" s="1"/>
  <c r="M42" i="33"/>
  <c r="L42" i="33"/>
  <c r="K42" i="33"/>
  <c r="J42" i="33"/>
  <c r="I42" i="33"/>
  <c r="H42" i="33"/>
  <c r="G42" i="33"/>
  <c r="F42" i="33"/>
  <c r="M43" i="33"/>
  <c r="L43" i="33"/>
  <c r="K43" i="33"/>
  <c r="J43" i="33"/>
  <c r="I43" i="33"/>
  <c r="H43" i="33"/>
  <c r="G43" i="33"/>
  <c r="F43" i="33"/>
  <c r="A286" i="31"/>
  <c r="AA313" i="31"/>
  <c r="AA286" i="31" s="1"/>
  <c r="Z313" i="31"/>
  <c r="Z286" i="31" s="1"/>
  <c r="Y313" i="31"/>
  <c r="Y286" i="31" s="1"/>
  <c r="X313" i="31"/>
  <c r="X286" i="31" s="1"/>
  <c r="W313" i="31"/>
  <c r="W286" i="31" s="1"/>
  <c r="V313" i="31"/>
  <c r="V286" i="31" s="1"/>
  <c r="U313" i="31"/>
  <c r="U286" i="31" s="1"/>
  <c r="T313" i="31"/>
  <c r="T286" i="31" s="1"/>
  <c r="S313" i="31"/>
  <c r="S286" i="31" s="1"/>
  <c r="R313" i="31"/>
  <c r="R286" i="31" s="1"/>
  <c r="Q313" i="31"/>
  <c r="Q286" i="31" s="1"/>
  <c r="P313" i="31"/>
  <c r="P286" i="31" s="1"/>
  <c r="A313" i="31"/>
  <c r="AA314" i="31"/>
  <c r="AA287" i="31" s="1"/>
  <c r="Z314" i="31"/>
  <c r="Z287" i="31" s="1"/>
  <c r="Y314" i="31"/>
  <c r="Y287" i="31" s="1"/>
  <c r="X314" i="31"/>
  <c r="X287" i="31" s="1"/>
  <c r="W314" i="31"/>
  <c r="W287" i="31" s="1"/>
  <c r="V314" i="31"/>
  <c r="V287" i="31" s="1"/>
  <c r="U314" i="31"/>
  <c r="U287" i="31" s="1"/>
  <c r="T314" i="31"/>
  <c r="T287" i="31" s="1"/>
  <c r="S314" i="31"/>
  <c r="S287" i="31" s="1"/>
  <c r="R314" i="31"/>
  <c r="R287" i="31" s="1"/>
  <c r="Q314" i="31"/>
  <c r="Q287" i="31" s="1"/>
  <c r="P314" i="31"/>
  <c r="P287" i="31" s="1"/>
  <c r="A314" i="31"/>
  <c r="AA315" i="31"/>
  <c r="AA288" i="31" s="1"/>
  <c r="Z315" i="31"/>
  <c r="Z288" i="31" s="1"/>
  <c r="Y315" i="31"/>
  <c r="Y288" i="31" s="1"/>
  <c r="X315" i="31"/>
  <c r="X288" i="31" s="1"/>
  <c r="W315" i="31"/>
  <c r="W288" i="31" s="1"/>
  <c r="V315" i="31"/>
  <c r="V288" i="31" s="1"/>
  <c r="U315" i="31"/>
  <c r="U288" i="31" s="1"/>
  <c r="T315" i="31"/>
  <c r="T288" i="31" s="1"/>
  <c r="S315" i="31"/>
  <c r="S288" i="31" s="1"/>
  <c r="R315" i="31"/>
  <c r="R288" i="31" s="1"/>
  <c r="Q315" i="31"/>
  <c r="Q288" i="31" s="1"/>
  <c r="P315" i="31"/>
  <c r="P288" i="31" s="1"/>
  <c r="AA312" i="31"/>
  <c r="AA285" i="31" s="1"/>
  <c r="Z312" i="31"/>
  <c r="Z285" i="31" s="1"/>
  <c r="Y312" i="31"/>
  <c r="Y285" i="31" s="1"/>
  <c r="X312" i="31"/>
  <c r="X285" i="31" s="1"/>
  <c r="W312" i="31"/>
  <c r="W285" i="31" s="1"/>
  <c r="V312" i="31"/>
  <c r="V285" i="31" s="1"/>
  <c r="U312" i="31"/>
  <c r="U285" i="31" s="1"/>
  <c r="T312" i="31"/>
  <c r="T285" i="31" s="1"/>
  <c r="S312" i="31"/>
  <c r="S285" i="31" s="1"/>
  <c r="R312" i="31"/>
  <c r="R285" i="31" s="1"/>
  <c r="Q312" i="31"/>
  <c r="Q285" i="31" s="1"/>
  <c r="P312" i="31"/>
  <c r="P285" i="31" s="1"/>
  <c r="AA311" i="31"/>
  <c r="AA284" i="31" s="1"/>
  <c r="Z311" i="31"/>
  <c r="Z284" i="31" s="1"/>
  <c r="Y311" i="31"/>
  <c r="Y284" i="31" s="1"/>
  <c r="X311" i="31"/>
  <c r="X284" i="31" s="1"/>
  <c r="W311" i="31"/>
  <c r="W284" i="31" s="1"/>
  <c r="V311" i="31"/>
  <c r="V284" i="31" s="1"/>
  <c r="U311" i="31"/>
  <c r="U284" i="31" s="1"/>
  <c r="T311" i="31"/>
  <c r="T284" i="31" s="1"/>
  <c r="S311" i="31"/>
  <c r="S284" i="31" s="1"/>
  <c r="R311" i="31"/>
  <c r="R284" i="31" s="1"/>
  <c r="Q311" i="31"/>
  <c r="Q284" i="31" s="1"/>
  <c r="P311" i="31"/>
  <c r="P284" i="31" s="1"/>
  <c r="AA310" i="31"/>
  <c r="AA283" i="31" s="1"/>
  <c r="Z310" i="31"/>
  <c r="Z283" i="31" s="1"/>
  <c r="Y310" i="31"/>
  <c r="Y283" i="31" s="1"/>
  <c r="X310" i="31"/>
  <c r="X283" i="31" s="1"/>
  <c r="W310" i="31"/>
  <c r="W283" i="31" s="1"/>
  <c r="V310" i="31"/>
  <c r="V283" i="31" s="1"/>
  <c r="U310" i="31"/>
  <c r="U283" i="31" s="1"/>
  <c r="T310" i="31"/>
  <c r="T283" i="31" s="1"/>
  <c r="S310" i="31"/>
  <c r="S283" i="31" s="1"/>
  <c r="R310" i="31"/>
  <c r="R283" i="31" s="1"/>
  <c r="Q310" i="31"/>
  <c r="Q283" i="31" s="1"/>
  <c r="P310" i="31"/>
  <c r="P283" i="31" s="1"/>
  <c r="AA309" i="31"/>
  <c r="AA282" i="31" s="1"/>
  <c r="Z309" i="31"/>
  <c r="Z282" i="31" s="1"/>
  <c r="Y309" i="31"/>
  <c r="Y282" i="31" s="1"/>
  <c r="X309" i="31"/>
  <c r="X282" i="31" s="1"/>
  <c r="W309" i="31"/>
  <c r="W282" i="31" s="1"/>
  <c r="V309" i="31"/>
  <c r="V282" i="31" s="1"/>
  <c r="U309" i="31"/>
  <c r="U282" i="31" s="1"/>
  <c r="T309" i="31"/>
  <c r="T282" i="31" s="1"/>
  <c r="S309" i="31"/>
  <c r="S282" i="31" s="1"/>
  <c r="R309" i="31"/>
  <c r="R282" i="31" s="1"/>
  <c r="Q309" i="31"/>
  <c r="Q282" i="31" s="1"/>
  <c r="P309" i="31"/>
  <c r="P282" i="31" s="1"/>
  <c r="AA308" i="31"/>
  <c r="AA281" i="31" s="1"/>
  <c r="Z308" i="31"/>
  <c r="Z281" i="31" s="1"/>
  <c r="Y308" i="31"/>
  <c r="Y281" i="31" s="1"/>
  <c r="X308" i="31"/>
  <c r="X281" i="31" s="1"/>
  <c r="W308" i="31"/>
  <c r="W281" i="31" s="1"/>
  <c r="V308" i="31"/>
  <c r="V281" i="31" s="1"/>
  <c r="U308" i="31"/>
  <c r="U281" i="31" s="1"/>
  <c r="T308" i="31"/>
  <c r="T281" i="31" s="1"/>
  <c r="S308" i="31"/>
  <c r="S281" i="31" s="1"/>
  <c r="R308" i="31"/>
  <c r="R281" i="31" s="1"/>
  <c r="Q308" i="31"/>
  <c r="Q281" i="31" s="1"/>
  <c r="P308" i="31"/>
  <c r="P281" i="31" s="1"/>
  <c r="AA307" i="31"/>
  <c r="AA280" i="31" s="1"/>
  <c r="Z307" i="31"/>
  <c r="Z280" i="31" s="1"/>
  <c r="Y307" i="31"/>
  <c r="Y280" i="31" s="1"/>
  <c r="X307" i="31"/>
  <c r="X280" i="31" s="1"/>
  <c r="W307" i="31"/>
  <c r="W280" i="31" s="1"/>
  <c r="V307" i="31"/>
  <c r="V280" i="31" s="1"/>
  <c r="U307" i="31"/>
  <c r="U280" i="31" s="1"/>
  <c r="T307" i="31"/>
  <c r="T280" i="31" s="1"/>
  <c r="S307" i="31"/>
  <c r="S280" i="31" s="1"/>
  <c r="R307" i="31"/>
  <c r="R280" i="31" s="1"/>
  <c r="Q307" i="31"/>
  <c r="Q280" i="31" s="1"/>
  <c r="P307" i="31"/>
  <c r="P280" i="31" s="1"/>
  <c r="AA306" i="31"/>
  <c r="AA279" i="31" s="1"/>
  <c r="Z306" i="31"/>
  <c r="Z279" i="31" s="1"/>
  <c r="Y306" i="31"/>
  <c r="Y279" i="31" s="1"/>
  <c r="X306" i="31"/>
  <c r="X279" i="31" s="1"/>
  <c r="W306" i="31"/>
  <c r="W279" i="31" s="1"/>
  <c r="V306" i="31"/>
  <c r="V279" i="31" s="1"/>
  <c r="U306" i="31"/>
  <c r="U279" i="31" s="1"/>
  <c r="T306" i="31"/>
  <c r="T279" i="31" s="1"/>
  <c r="S306" i="31"/>
  <c r="S279" i="31" s="1"/>
  <c r="R306" i="31"/>
  <c r="R279" i="31" s="1"/>
  <c r="Q306" i="31"/>
  <c r="Q279" i="31" s="1"/>
  <c r="P306" i="31"/>
  <c r="P279" i="31" s="1"/>
  <c r="AA305" i="31"/>
  <c r="AA278" i="31" s="1"/>
  <c r="Z305" i="31"/>
  <c r="Z278" i="31" s="1"/>
  <c r="Y305" i="31"/>
  <c r="Y278" i="31" s="1"/>
  <c r="X305" i="31"/>
  <c r="X278" i="31" s="1"/>
  <c r="W305" i="31"/>
  <c r="W278" i="31" s="1"/>
  <c r="V305" i="31"/>
  <c r="V278" i="31" s="1"/>
  <c r="U305" i="31"/>
  <c r="U278" i="31" s="1"/>
  <c r="T305" i="31"/>
  <c r="T278" i="31" s="1"/>
  <c r="S305" i="31"/>
  <c r="S278" i="31" s="1"/>
  <c r="R305" i="31"/>
  <c r="R278" i="31" s="1"/>
  <c r="Q305" i="31"/>
  <c r="Q278" i="31" s="1"/>
  <c r="P305" i="31"/>
  <c r="P278" i="31" s="1"/>
  <c r="AA304" i="31"/>
  <c r="AA277" i="31" s="1"/>
  <c r="Z304" i="31"/>
  <c r="Z277" i="31" s="1"/>
  <c r="Y304" i="31"/>
  <c r="Y277" i="31" s="1"/>
  <c r="X304" i="31"/>
  <c r="X277" i="31" s="1"/>
  <c r="W304" i="31"/>
  <c r="W277" i="31" s="1"/>
  <c r="V304" i="31"/>
  <c r="V277" i="31" s="1"/>
  <c r="U304" i="31"/>
  <c r="U277" i="31" s="1"/>
  <c r="T304" i="31"/>
  <c r="T277" i="31" s="1"/>
  <c r="S304" i="31"/>
  <c r="S277" i="31" s="1"/>
  <c r="R304" i="31"/>
  <c r="R277" i="31" s="1"/>
  <c r="Q304" i="31"/>
  <c r="Q277" i="31" s="1"/>
  <c r="P304" i="31"/>
  <c r="P277" i="31" s="1"/>
  <c r="AA303" i="31"/>
  <c r="AA276" i="31" s="1"/>
  <c r="Z303" i="31"/>
  <c r="Z276" i="31" s="1"/>
  <c r="Y303" i="31"/>
  <c r="Y276" i="31" s="1"/>
  <c r="X303" i="31"/>
  <c r="X276" i="31" s="1"/>
  <c r="W303" i="31"/>
  <c r="W276" i="31" s="1"/>
  <c r="V303" i="31"/>
  <c r="V276" i="31" s="1"/>
  <c r="U303" i="31"/>
  <c r="U276" i="31" s="1"/>
  <c r="T303" i="31"/>
  <c r="T276" i="31" s="1"/>
  <c r="S303" i="31"/>
  <c r="S276" i="31" s="1"/>
  <c r="R303" i="31"/>
  <c r="R276" i="31" s="1"/>
  <c r="Q303" i="31"/>
  <c r="Q276" i="31" s="1"/>
  <c r="P303" i="31"/>
  <c r="P276" i="31" s="1"/>
  <c r="AA302" i="31"/>
  <c r="AA275" i="31" s="1"/>
  <c r="Z302" i="31"/>
  <c r="Z275" i="31" s="1"/>
  <c r="Y302" i="31"/>
  <c r="Y275" i="31" s="1"/>
  <c r="X302" i="31"/>
  <c r="X275" i="31" s="1"/>
  <c r="W302" i="31"/>
  <c r="W275" i="31" s="1"/>
  <c r="V302" i="31"/>
  <c r="V275" i="31" s="1"/>
  <c r="U302" i="31"/>
  <c r="U275" i="31" s="1"/>
  <c r="T302" i="31"/>
  <c r="T275" i="31" s="1"/>
  <c r="S302" i="31"/>
  <c r="S275" i="31" s="1"/>
  <c r="R302" i="31"/>
  <c r="R275" i="31" s="1"/>
  <c r="Q302" i="31"/>
  <c r="Q275" i="31" s="1"/>
  <c r="P302" i="31"/>
  <c r="P275" i="31" s="1"/>
  <c r="AA301" i="31"/>
  <c r="AA274" i="31" s="1"/>
  <c r="Z301" i="31"/>
  <c r="Z274" i="31" s="1"/>
  <c r="Y301" i="31"/>
  <c r="Y274" i="31" s="1"/>
  <c r="X301" i="31"/>
  <c r="X274" i="31" s="1"/>
  <c r="W301" i="31"/>
  <c r="W274" i="31" s="1"/>
  <c r="V301" i="31"/>
  <c r="V274" i="31" s="1"/>
  <c r="U301" i="31"/>
  <c r="U274" i="31" s="1"/>
  <c r="T301" i="31"/>
  <c r="T274" i="31" s="1"/>
  <c r="S301" i="31"/>
  <c r="S274" i="31" s="1"/>
  <c r="R301" i="31"/>
  <c r="R274" i="31" s="1"/>
  <c r="Q301" i="31"/>
  <c r="Q274" i="31" s="1"/>
  <c r="P301" i="31"/>
  <c r="P274" i="31" s="1"/>
  <c r="AA300" i="31"/>
  <c r="AA273" i="31" s="1"/>
  <c r="Z300" i="31"/>
  <c r="Z273" i="31" s="1"/>
  <c r="Y300" i="31"/>
  <c r="Y273" i="31" s="1"/>
  <c r="X300" i="31"/>
  <c r="X273" i="31" s="1"/>
  <c r="W300" i="31"/>
  <c r="W273" i="31" s="1"/>
  <c r="V300" i="31"/>
  <c r="V273" i="31" s="1"/>
  <c r="U300" i="31"/>
  <c r="U273" i="31" s="1"/>
  <c r="T300" i="31"/>
  <c r="T273" i="31" s="1"/>
  <c r="S300" i="31"/>
  <c r="S273" i="31" s="1"/>
  <c r="R300" i="31"/>
  <c r="R273" i="31" s="1"/>
  <c r="Q300" i="31"/>
  <c r="Q273" i="31" s="1"/>
  <c r="P300" i="31"/>
  <c r="P273" i="31" s="1"/>
  <c r="AA299" i="31"/>
  <c r="AA272" i="31" s="1"/>
  <c r="Z299" i="31"/>
  <c r="Z272" i="31" s="1"/>
  <c r="Y299" i="31"/>
  <c r="Y272" i="31" s="1"/>
  <c r="X299" i="31"/>
  <c r="X272" i="31" s="1"/>
  <c r="W299" i="31"/>
  <c r="W272" i="31" s="1"/>
  <c r="V299" i="31"/>
  <c r="V272" i="31" s="1"/>
  <c r="U299" i="31"/>
  <c r="U272" i="31" s="1"/>
  <c r="T299" i="31"/>
  <c r="T272" i="31" s="1"/>
  <c r="S299" i="31"/>
  <c r="S272" i="31" s="1"/>
  <c r="R299" i="31"/>
  <c r="R272" i="31" s="1"/>
  <c r="Q299" i="31"/>
  <c r="Q272" i="31" s="1"/>
  <c r="P299" i="31"/>
  <c r="P272" i="31" s="1"/>
  <c r="AA298" i="31"/>
  <c r="AA271" i="31" s="1"/>
  <c r="Z298" i="31"/>
  <c r="Z271" i="31" s="1"/>
  <c r="Y298" i="31"/>
  <c r="Y271" i="31" s="1"/>
  <c r="X298" i="31"/>
  <c r="X271" i="31" s="1"/>
  <c r="W298" i="31"/>
  <c r="W271" i="31" s="1"/>
  <c r="V298" i="31"/>
  <c r="V271" i="31" s="1"/>
  <c r="U298" i="31"/>
  <c r="U271" i="31" s="1"/>
  <c r="T298" i="31"/>
  <c r="T271" i="31" s="1"/>
  <c r="S298" i="31"/>
  <c r="S271" i="31" s="1"/>
  <c r="R298" i="31"/>
  <c r="R271" i="31" s="1"/>
  <c r="Q298" i="31"/>
  <c r="Q271" i="31" s="1"/>
  <c r="P298" i="31"/>
  <c r="P271" i="31" s="1"/>
  <c r="AA297" i="31"/>
  <c r="AA270" i="31" s="1"/>
  <c r="Z297" i="31"/>
  <c r="Z270" i="31" s="1"/>
  <c r="Y297" i="31"/>
  <c r="Y270" i="31" s="1"/>
  <c r="X297" i="31"/>
  <c r="X270" i="31" s="1"/>
  <c r="W297" i="31"/>
  <c r="W270" i="31" s="1"/>
  <c r="V297" i="31"/>
  <c r="V270" i="31" s="1"/>
  <c r="U297" i="31"/>
  <c r="U270" i="31" s="1"/>
  <c r="T297" i="31"/>
  <c r="T270" i="31" s="1"/>
  <c r="S297" i="31"/>
  <c r="S270" i="31" s="1"/>
  <c r="R297" i="31"/>
  <c r="R270" i="31" s="1"/>
  <c r="Q297" i="31"/>
  <c r="Q270" i="31" s="1"/>
  <c r="P297" i="31"/>
  <c r="P270" i="31" s="1"/>
  <c r="AA296" i="31"/>
  <c r="AA269" i="31" s="1"/>
  <c r="Z296" i="31"/>
  <c r="Z269" i="31" s="1"/>
  <c r="Y296" i="31"/>
  <c r="Y269" i="31" s="1"/>
  <c r="X296" i="31"/>
  <c r="X269" i="31" s="1"/>
  <c r="W296" i="31"/>
  <c r="W269" i="31" s="1"/>
  <c r="V296" i="31"/>
  <c r="V269" i="31" s="1"/>
  <c r="U296" i="31"/>
  <c r="U269" i="31" s="1"/>
  <c r="T296" i="31"/>
  <c r="T269" i="31" s="1"/>
  <c r="S296" i="31"/>
  <c r="S269" i="31" s="1"/>
  <c r="R296" i="31"/>
  <c r="R269" i="31" s="1"/>
  <c r="Q296" i="31"/>
  <c r="Q269" i="31" s="1"/>
  <c r="P296" i="31"/>
  <c r="P269" i="31" s="1"/>
  <c r="AA295" i="31"/>
  <c r="AA268" i="31" s="1"/>
  <c r="Z295" i="31"/>
  <c r="Z268" i="31" s="1"/>
  <c r="Y295" i="31"/>
  <c r="Y268" i="31" s="1"/>
  <c r="X295" i="31"/>
  <c r="X268" i="31" s="1"/>
  <c r="W295" i="31"/>
  <c r="W268" i="31" s="1"/>
  <c r="V295" i="31"/>
  <c r="V268" i="31" s="1"/>
  <c r="U295" i="31"/>
  <c r="U268" i="31" s="1"/>
  <c r="T295" i="31"/>
  <c r="T268" i="31" s="1"/>
  <c r="S295" i="31"/>
  <c r="S268" i="31" s="1"/>
  <c r="R295" i="31"/>
  <c r="R268" i="31" s="1"/>
  <c r="Q295" i="31"/>
  <c r="Q268" i="31" s="1"/>
  <c r="P295" i="31"/>
  <c r="P268" i="31" s="1"/>
  <c r="AA294" i="31"/>
  <c r="AA267" i="31" s="1"/>
  <c r="Z294" i="31"/>
  <c r="Z267" i="31" s="1"/>
  <c r="Y294" i="31"/>
  <c r="Y267" i="31" s="1"/>
  <c r="X294" i="31"/>
  <c r="X267" i="31" s="1"/>
  <c r="W294" i="31"/>
  <c r="W267" i="31" s="1"/>
  <c r="V294" i="31"/>
  <c r="V267" i="31" s="1"/>
  <c r="U294" i="31"/>
  <c r="U267" i="31" s="1"/>
  <c r="T294" i="31"/>
  <c r="T267" i="31" s="1"/>
  <c r="S294" i="31"/>
  <c r="S267" i="31" s="1"/>
  <c r="R294" i="31"/>
  <c r="R267" i="31" s="1"/>
  <c r="Q294" i="31"/>
  <c r="Q267" i="31" s="1"/>
  <c r="P294" i="31"/>
  <c r="P267" i="31" s="1"/>
  <c r="AA293" i="31"/>
  <c r="AA266" i="31" s="1"/>
  <c r="Z293" i="31"/>
  <c r="Z266" i="31" s="1"/>
  <c r="Y293" i="31"/>
  <c r="Y266" i="31" s="1"/>
  <c r="X293" i="31"/>
  <c r="X266" i="31" s="1"/>
  <c r="W293" i="31"/>
  <c r="W266" i="31" s="1"/>
  <c r="V293" i="31"/>
  <c r="V266" i="31" s="1"/>
  <c r="U293" i="31"/>
  <c r="U266" i="31" s="1"/>
  <c r="T293" i="31"/>
  <c r="T266" i="31" s="1"/>
  <c r="S293" i="31"/>
  <c r="S266" i="31" s="1"/>
  <c r="R293" i="31"/>
  <c r="R266" i="31" s="1"/>
  <c r="Q293" i="31"/>
  <c r="Q266" i="31" s="1"/>
  <c r="P293" i="31"/>
  <c r="P266" i="31" s="1"/>
  <c r="AA292" i="31"/>
  <c r="AA265" i="31" s="1"/>
  <c r="Z292" i="31"/>
  <c r="Z265" i="31" s="1"/>
  <c r="Y292" i="31"/>
  <c r="Y265" i="31" s="1"/>
  <c r="X292" i="31"/>
  <c r="X265" i="31" s="1"/>
  <c r="W292" i="31"/>
  <c r="W265" i="31" s="1"/>
  <c r="V292" i="31"/>
  <c r="V265" i="31" s="1"/>
  <c r="U292" i="31"/>
  <c r="U265" i="31" s="1"/>
  <c r="T292" i="31"/>
  <c r="T265" i="31" s="1"/>
  <c r="S292" i="31"/>
  <c r="S265" i="31" s="1"/>
  <c r="R292" i="31"/>
  <c r="R265" i="31" s="1"/>
  <c r="Q292" i="31"/>
  <c r="Q265" i="31" s="1"/>
  <c r="P292" i="31"/>
  <c r="P265" i="31" s="1"/>
  <c r="AA291" i="31"/>
  <c r="AA264" i="31" s="1"/>
  <c r="Z291" i="31"/>
  <c r="Z264" i="31" s="1"/>
  <c r="Y291" i="31"/>
  <c r="Y264" i="31" s="1"/>
  <c r="X291" i="31"/>
  <c r="X264" i="31" s="1"/>
  <c r="W291" i="31"/>
  <c r="W264" i="31" s="1"/>
  <c r="V291" i="31"/>
  <c r="V264" i="31" s="1"/>
  <c r="U291" i="31"/>
  <c r="U264" i="31" s="1"/>
  <c r="T291" i="31"/>
  <c r="T264" i="31" s="1"/>
  <c r="S291" i="31"/>
  <c r="S264" i="31" s="1"/>
  <c r="R291" i="31"/>
  <c r="R264" i="31" s="1"/>
  <c r="Q291" i="31"/>
  <c r="Q264" i="31" s="1"/>
  <c r="P291" i="31"/>
  <c r="P264" i="31" s="1"/>
  <c r="AA290" i="31"/>
  <c r="AA263" i="31" s="1"/>
  <c r="Z290" i="31"/>
  <c r="Z263" i="31" s="1"/>
  <c r="Y290" i="31"/>
  <c r="Y263" i="31" s="1"/>
  <c r="X290" i="31"/>
  <c r="X263" i="31" s="1"/>
  <c r="W290" i="31"/>
  <c r="W263" i="31" s="1"/>
  <c r="V290" i="31"/>
  <c r="V263" i="31" s="1"/>
  <c r="U290" i="31"/>
  <c r="U263" i="31" s="1"/>
  <c r="T290" i="31"/>
  <c r="T263" i="31" s="1"/>
  <c r="S290" i="31"/>
  <c r="S263" i="31" s="1"/>
  <c r="R290" i="31"/>
  <c r="R263" i="31" s="1"/>
  <c r="Q290" i="31"/>
  <c r="Q263" i="31" s="1"/>
  <c r="P290" i="31"/>
  <c r="P263" i="31" s="1"/>
  <c r="H2" i="48"/>
  <c r="G2" i="48"/>
  <c r="F2" i="48"/>
  <c r="E2" i="48"/>
  <c r="D2" i="48"/>
  <c r="C2" i="48"/>
  <c r="I9" i="48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D39" i="33" a="1"/>
  <c r="D39" i="33" s="1"/>
  <c r="D29" i="33" a="1"/>
  <c r="D29" i="33" s="1"/>
  <c r="M22" i="33" a="1"/>
  <c r="M22" i="33" s="1"/>
  <c r="L22" i="33" a="1"/>
  <c r="L22" i="33" s="1"/>
  <c r="K22" i="33" a="1"/>
  <c r="K22" i="33" s="1"/>
  <c r="J22" i="33" a="1"/>
  <c r="J22" i="33" s="1"/>
  <c r="I22" i="33" a="1"/>
  <c r="I22" i="33" s="1"/>
  <c r="H22" i="33" a="1"/>
  <c r="H22" i="33" s="1"/>
  <c r="G22" i="33" a="1"/>
  <c r="G22" i="33" s="1"/>
  <c r="F22" i="33" a="1"/>
  <c r="F22" i="33" s="1"/>
  <c r="E22" i="33" a="1"/>
  <c r="E22" i="33" s="1"/>
  <c r="M18" i="33" a="1"/>
  <c r="M18" i="33" s="1"/>
  <c r="L18" i="33" a="1"/>
  <c r="L18" i="33" s="1"/>
  <c r="K18" i="33" a="1"/>
  <c r="K18" i="33" s="1"/>
  <c r="J18" i="33" a="1"/>
  <c r="J18" i="33" s="1"/>
  <c r="I18" i="33" a="1"/>
  <c r="I18" i="33" s="1"/>
  <c r="H18" i="33" a="1"/>
  <c r="H18" i="33" s="1"/>
  <c r="G18" i="33" a="1"/>
  <c r="G18" i="33" s="1"/>
  <c r="F18" i="33" a="1"/>
  <c r="F18" i="33" s="1"/>
  <c r="E18" i="33" a="1"/>
  <c r="E18" i="33" s="1"/>
  <c r="C22" i="33" a="1"/>
  <c r="C22" i="33" s="1"/>
  <c r="C18" i="33" a="1"/>
  <c r="C18" i="33" s="1"/>
  <c r="C4" i="33"/>
  <c r="D22" i="33" a="1"/>
  <c r="D22" i="33" s="1"/>
  <c r="D18" i="33" a="1"/>
  <c r="D18" i="33" s="1"/>
  <c r="A2" i="27"/>
  <c r="N6" i="34"/>
  <c r="Z6" i="34"/>
  <c r="AA6" i="34"/>
  <c r="E6" i="34"/>
  <c r="O6" i="34"/>
  <c r="U6" i="34"/>
  <c r="V6" i="34"/>
  <c r="Y6" i="34"/>
  <c r="F6" i="34"/>
  <c r="M6" i="34"/>
  <c r="J6" i="34"/>
  <c r="H6" i="34"/>
  <c r="R6" i="34"/>
  <c r="Q6" i="34"/>
  <c r="G6" i="34"/>
  <c r="K6" i="34"/>
  <c r="L6" i="34"/>
  <c r="W6" i="34"/>
  <c r="I6" i="34"/>
  <c r="P6" i="34"/>
  <c r="X6" i="34"/>
  <c r="D6" i="34"/>
  <c r="S6" i="34"/>
  <c r="T6" i="34"/>
  <c r="C3" i="48" l="1"/>
  <c r="F3" i="48"/>
  <c r="G3" i="48"/>
  <c r="F4" i="48" s="1"/>
  <c r="H3" i="48"/>
  <c r="E3" i="48"/>
  <c r="D3" i="48"/>
  <c r="C4" i="48" s="1"/>
  <c r="K53" i="31"/>
  <c r="S53" i="31"/>
  <c r="AA53" i="31"/>
  <c r="L53" i="31"/>
  <c r="T53" i="31"/>
  <c r="E53" i="31"/>
  <c r="M53" i="31"/>
  <c r="U53" i="31"/>
  <c r="G53" i="31"/>
  <c r="F53" i="31"/>
  <c r="N53" i="31"/>
  <c r="V53" i="31"/>
  <c r="O53" i="31"/>
  <c r="W53" i="31"/>
  <c r="H53" i="31"/>
  <c r="P53" i="31"/>
  <c r="X53" i="31"/>
  <c r="I53" i="31"/>
  <c r="Q53" i="31"/>
  <c r="Y53" i="31"/>
  <c r="J53" i="31"/>
  <c r="R53" i="31"/>
  <c r="Z53" i="31"/>
  <c r="D53" i="31"/>
  <c r="AC287" i="31"/>
  <c r="AC43" i="34"/>
  <c r="AC268" i="31"/>
  <c r="AC270" i="31"/>
  <c r="AC272" i="31"/>
  <c r="AC274" i="31"/>
  <c r="AC276" i="31"/>
  <c r="AC278" i="31"/>
  <c r="AC280" i="31"/>
  <c r="AC282" i="31"/>
  <c r="AC284" i="31"/>
  <c r="AC288" i="31"/>
  <c r="AC266" i="31"/>
  <c r="AC264" i="31"/>
  <c r="AC286" i="31"/>
  <c r="AC263" i="31"/>
  <c r="AC265" i="31"/>
  <c r="AC267" i="31"/>
  <c r="AC269" i="31"/>
  <c r="AC271" i="31"/>
  <c r="AC273" i="31"/>
  <c r="AC275" i="31"/>
  <c r="AC277" i="31"/>
  <c r="AC279" i="31"/>
  <c r="AC281" i="31"/>
  <c r="AC283" i="31"/>
  <c r="AC285" i="31"/>
  <c r="AC97" i="31"/>
  <c r="AC6" i="34"/>
  <c r="AC54" i="31"/>
  <c r="AC59" i="31"/>
  <c r="AC65" i="31"/>
  <c r="AC68" i="31"/>
  <c r="AC63" i="31"/>
  <c r="AC55" i="31"/>
  <c r="AC57" i="31"/>
  <c r="AC64" i="31"/>
  <c r="AC67" i="31"/>
  <c r="AC58" i="31"/>
  <c r="AC66" i="31"/>
  <c r="AC56" i="31"/>
  <c r="AC62" i="31"/>
  <c r="AC61" i="31"/>
  <c r="AC60" i="31"/>
  <c r="AH7" i="5"/>
  <c r="AH10" i="5"/>
  <c r="AH6" i="5"/>
  <c r="AH11" i="5"/>
  <c r="G9" i="48"/>
  <c r="AH5" i="5"/>
  <c r="AH12" i="5"/>
  <c r="AH8" i="5"/>
  <c r="AH9" i="5"/>
  <c r="AI13" i="5"/>
  <c r="AJ13" i="5"/>
  <c r="AM6" i="5"/>
  <c r="AM4" i="5"/>
  <c r="AH4" i="5"/>
  <c r="AM12" i="5"/>
  <c r="AM5" i="5"/>
  <c r="AL13" i="5"/>
  <c r="AM8" i="5"/>
  <c r="AM9" i="5"/>
  <c r="AM10" i="5"/>
  <c r="AK13" i="5"/>
  <c r="AM11" i="5"/>
  <c r="AM7" i="5"/>
  <c r="AG13" i="5"/>
  <c r="AE13" i="5"/>
  <c r="AF13" i="5"/>
  <c r="D43" i="33"/>
  <c r="D42" i="33"/>
  <c r="F9" i="48"/>
  <c r="E9" i="48"/>
  <c r="D9" i="48"/>
  <c r="AE97" i="31"/>
  <c r="D4" i="48" l="1"/>
  <c r="G4" i="48"/>
  <c r="H4" i="48"/>
  <c r="E4" i="48"/>
  <c r="AM13" i="5"/>
  <c r="C9" i="48"/>
  <c r="H9" i="48"/>
  <c r="E241" i="30"/>
  <c r="E240" i="30"/>
  <c r="E239" i="30"/>
  <c r="E238" i="30"/>
  <c r="E237" i="30"/>
  <c r="E236" i="30"/>
  <c r="E235" i="30"/>
  <c r="E234" i="30"/>
  <c r="E233" i="30"/>
  <c r="E232" i="30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E181" i="30"/>
  <c r="E180" i="30"/>
  <c r="E179" i="30"/>
  <c r="E178" i="30"/>
  <c r="E177" i="30"/>
  <c r="E176" i="30"/>
  <c r="E175" i="30"/>
  <c r="E174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AC12" i="3" l="1"/>
  <c r="AD12" i="3" s="1"/>
  <c r="AC11" i="3"/>
  <c r="AD11" i="3" s="1"/>
  <c r="AC10" i="3"/>
  <c r="AD10" i="3" s="1"/>
  <c r="AC9" i="3"/>
  <c r="AD9" i="3" s="1"/>
  <c r="AC8" i="3"/>
  <c r="AD8" i="3" s="1"/>
  <c r="AC7" i="3"/>
  <c r="AD7" i="3" s="1"/>
  <c r="AC6" i="3"/>
  <c r="AD6" i="3" s="1"/>
  <c r="AC5" i="3"/>
  <c r="AD5" i="3" s="1"/>
  <c r="AC4" i="3"/>
  <c r="AD4" i="3" s="1"/>
  <c r="V13" i="3" l="1"/>
  <c r="W12" i="3"/>
  <c r="X12" i="3" s="1"/>
  <c r="W11" i="3"/>
  <c r="X11" i="3" s="1"/>
  <c r="W10" i="3"/>
  <c r="X10" i="3" s="1"/>
  <c r="W9" i="3"/>
  <c r="X9" i="3" s="1"/>
  <c r="W8" i="3"/>
  <c r="X8" i="3" s="1"/>
  <c r="W7" i="3"/>
  <c r="X7" i="3" s="1"/>
  <c r="W6" i="3"/>
  <c r="X6" i="3" s="1"/>
  <c r="W5" i="3"/>
  <c r="X5" i="3" s="1"/>
  <c r="W4" i="3"/>
  <c r="X4" i="3" s="1"/>
  <c r="S13" i="3"/>
  <c r="T12" i="3"/>
  <c r="U12" i="3" s="1"/>
  <c r="T11" i="3"/>
  <c r="U11" i="3" s="1"/>
  <c r="T10" i="3"/>
  <c r="U10" i="3" s="1"/>
  <c r="T9" i="3"/>
  <c r="U9" i="3" s="1"/>
  <c r="T8" i="3"/>
  <c r="U8" i="3" s="1"/>
  <c r="T7" i="3"/>
  <c r="U7" i="3" s="1"/>
  <c r="T6" i="3"/>
  <c r="U6" i="3" s="1"/>
  <c r="T5" i="3"/>
  <c r="U5" i="3" s="1"/>
  <c r="T4" i="3"/>
  <c r="U4" i="3" s="1"/>
  <c r="R13" i="3"/>
  <c r="Y13" i="3"/>
  <c r="Z12" i="3"/>
  <c r="AA12" i="3" s="1"/>
  <c r="Z11" i="3"/>
  <c r="AA11" i="3" s="1"/>
  <c r="Z10" i="3"/>
  <c r="AA10" i="3" s="1"/>
  <c r="Z9" i="3"/>
  <c r="AA9" i="3" s="1"/>
  <c r="Z8" i="3"/>
  <c r="AA8" i="3" s="1"/>
  <c r="Z7" i="3"/>
  <c r="AA7" i="3" s="1"/>
  <c r="Z6" i="3"/>
  <c r="AA6" i="3" s="1"/>
  <c r="Z5" i="3"/>
  <c r="AA5" i="3" s="1"/>
  <c r="Z4" i="3"/>
  <c r="AA4" i="3" s="1"/>
  <c r="AE13" i="3"/>
  <c r="AB13" i="3"/>
  <c r="Z13" i="3" l="1"/>
  <c r="AA13" i="3" s="1"/>
  <c r="AC13" i="3"/>
  <c r="AD13" i="3" s="1"/>
  <c r="T13" i="3"/>
  <c r="U13" i="3" s="1"/>
  <c r="W13" i="3"/>
  <c r="X13" i="3" s="1"/>
  <c r="AF13" i="3"/>
  <c r="AG13" i="3" s="1"/>
  <c r="AF12" i="3" l="1"/>
  <c r="AG12" i="3" s="1"/>
  <c r="AF11" i="3"/>
  <c r="AG11" i="3" s="1"/>
  <c r="AF10" i="3"/>
  <c r="AG10" i="3" s="1"/>
  <c r="AF9" i="3"/>
  <c r="AG9" i="3" s="1"/>
  <c r="AF8" i="3"/>
  <c r="AG8" i="3" s="1"/>
  <c r="AF7" i="3"/>
  <c r="AG7" i="3" s="1"/>
  <c r="AF6" i="3"/>
  <c r="AG6" i="3" s="1"/>
  <c r="AF5" i="3"/>
  <c r="AG5" i="3" s="1"/>
  <c r="AF4" i="3"/>
  <c r="AG4" i="3" s="1"/>
  <c r="AE261" i="31"/>
  <c r="M10" i="33" a="1"/>
  <c r="M10" i="33" s="1"/>
  <c r="L10" i="33" a="1"/>
  <c r="L10" i="33" s="1"/>
  <c r="K10" i="33" a="1"/>
  <c r="K10" i="33" s="1"/>
  <c r="J10" i="33" a="1"/>
  <c r="J10" i="33" s="1"/>
  <c r="I10" i="33" a="1"/>
  <c r="I10" i="33" s="1"/>
  <c r="H10" i="33" a="1"/>
  <c r="H10" i="33" s="1"/>
  <c r="G10" i="33" a="1"/>
  <c r="G10" i="33" s="1"/>
  <c r="F10" i="33" a="1"/>
  <c r="F10" i="33" s="1"/>
  <c r="E10" i="33" a="1"/>
  <c r="E10" i="33" s="1"/>
  <c r="D10" i="33" a="1"/>
  <c r="D10" i="33" s="1"/>
  <c r="C10" i="33" a="1"/>
  <c r="C10" i="33" s="1"/>
  <c r="M11" i="33" a="1"/>
  <c r="M11" i="33" s="1"/>
  <c r="L11" i="33" a="1"/>
  <c r="L11" i="33" s="1"/>
  <c r="K11" i="33" a="1"/>
  <c r="K11" i="33" s="1"/>
  <c r="J11" i="33" a="1"/>
  <c r="J11" i="33" s="1"/>
  <c r="I11" i="33" a="1"/>
  <c r="I11" i="33" s="1"/>
  <c r="H11" i="33" a="1"/>
  <c r="H11" i="33" s="1"/>
  <c r="G11" i="33" a="1"/>
  <c r="G11" i="33" s="1"/>
  <c r="F11" i="33" a="1"/>
  <c r="F11" i="33" s="1"/>
  <c r="E11" i="33" a="1"/>
  <c r="E11" i="33" s="1"/>
  <c r="D11" i="33" a="1"/>
  <c r="D11" i="33" s="1"/>
  <c r="C11" i="33" a="1"/>
  <c r="C11" i="33" s="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BJ68" i="28"/>
  <c r="J7" i="33" s="1" a="1"/>
  <c r="J7" i="33" s="1"/>
  <c r="AC47" i="31" l="1"/>
  <c r="AC49" i="31"/>
  <c r="AC48" i="31"/>
  <c r="AC52" i="31"/>
  <c r="AC51" i="31"/>
  <c r="AC46" i="31"/>
  <c r="AE52" i="31"/>
  <c r="AE51" i="31"/>
  <c r="AE48" i="31"/>
  <c r="AE49" i="31"/>
  <c r="AE47" i="31"/>
  <c r="AE46" i="31"/>
  <c r="F107" i="36" l="1"/>
  <c r="L107" i="36" s="1"/>
  <c r="F88" i="36"/>
  <c r="L88" i="36" s="1"/>
  <c r="F82" i="36"/>
  <c r="L82" i="36" s="1"/>
  <c r="F70" i="36"/>
  <c r="L70" i="36" s="1"/>
  <c r="F30" i="36"/>
  <c r="L30" i="36" s="1"/>
  <c r="F3" i="36"/>
  <c r="L3" i="36" s="1"/>
  <c r="F4" i="36"/>
  <c r="L4" i="36" s="1"/>
  <c r="F5" i="36"/>
  <c r="L5" i="36" s="1"/>
  <c r="F6" i="36"/>
  <c r="L6" i="36" s="1"/>
  <c r="F7" i="36"/>
  <c r="L7" i="36" s="1"/>
  <c r="F8" i="36"/>
  <c r="L8" i="36" s="1"/>
  <c r="F9" i="36"/>
  <c r="L9" i="36" s="1"/>
  <c r="F10" i="36"/>
  <c r="J10" i="36" s="1"/>
  <c r="F11" i="36"/>
  <c r="L11" i="36" s="1"/>
  <c r="F12" i="36"/>
  <c r="L12" i="36" s="1"/>
  <c r="F13" i="36"/>
  <c r="L13" i="36" s="1"/>
  <c r="F14" i="36"/>
  <c r="L14" i="36" s="1"/>
  <c r="F15" i="36"/>
  <c r="L15" i="36" s="1"/>
  <c r="F16" i="36"/>
  <c r="L16" i="36" s="1"/>
  <c r="F17" i="36"/>
  <c r="L17" i="36" s="1"/>
  <c r="F18" i="36"/>
  <c r="J18" i="36" s="1"/>
  <c r="F19" i="36"/>
  <c r="L19" i="36" s="1"/>
  <c r="F20" i="36"/>
  <c r="L20" i="36" s="1"/>
  <c r="F21" i="36"/>
  <c r="L21" i="36" s="1"/>
  <c r="F22" i="36"/>
  <c r="L22" i="36" s="1"/>
  <c r="F23" i="36"/>
  <c r="L23" i="36" s="1"/>
  <c r="F24" i="36"/>
  <c r="L24" i="36" s="1"/>
  <c r="F25" i="36"/>
  <c r="J25" i="36" s="1"/>
  <c r="F26" i="36"/>
  <c r="J26" i="36" s="1"/>
  <c r="F27" i="36"/>
  <c r="L27" i="36" s="1"/>
  <c r="F28" i="36"/>
  <c r="L28" i="36" s="1"/>
  <c r="F29" i="36"/>
  <c r="L29" i="36" s="1"/>
  <c r="F31" i="36"/>
  <c r="L31" i="36" s="1"/>
  <c r="F32" i="36"/>
  <c r="L32" i="36" s="1"/>
  <c r="F33" i="36"/>
  <c r="L33" i="36" s="1"/>
  <c r="F34" i="36"/>
  <c r="L34" i="36" s="1"/>
  <c r="F35" i="36"/>
  <c r="L35" i="36" s="1"/>
  <c r="F36" i="36"/>
  <c r="L36" i="36" s="1"/>
  <c r="F37" i="36"/>
  <c r="L37" i="36" s="1"/>
  <c r="F38" i="36"/>
  <c r="L38" i="36" s="1"/>
  <c r="F39" i="36"/>
  <c r="L39" i="36" s="1"/>
  <c r="F40" i="36"/>
  <c r="L40" i="36" s="1"/>
  <c r="F41" i="36"/>
  <c r="L41" i="36" s="1"/>
  <c r="F42" i="36"/>
  <c r="L42" i="36" s="1"/>
  <c r="F43" i="36"/>
  <c r="L43" i="36" s="1"/>
  <c r="F44" i="36"/>
  <c r="L44" i="36" s="1"/>
  <c r="F45" i="36"/>
  <c r="L45" i="36" s="1"/>
  <c r="F46" i="36"/>
  <c r="L46" i="36" s="1"/>
  <c r="F47" i="36"/>
  <c r="L47" i="36" s="1"/>
  <c r="F48" i="36"/>
  <c r="L48" i="36" s="1"/>
  <c r="F49" i="36"/>
  <c r="L49" i="36" s="1"/>
  <c r="F50" i="36"/>
  <c r="L50" i="36" s="1"/>
  <c r="F51" i="36"/>
  <c r="L51" i="36" s="1"/>
  <c r="F52" i="36"/>
  <c r="L52" i="36" s="1"/>
  <c r="F53" i="36"/>
  <c r="L53" i="36" s="1"/>
  <c r="F54" i="36"/>
  <c r="L54" i="36" s="1"/>
  <c r="F55" i="36"/>
  <c r="L55" i="36" s="1"/>
  <c r="F56" i="36"/>
  <c r="L56" i="36" s="1"/>
  <c r="F57" i="36"/>
  <c r="L57" i="36" s="1"/>
  <c r="F58" i="36"/>
  <c r="L58" i="36" s="1"/>
  <c r="F59" i="36"/>
  <c r="L59" i="36" s="1"/>
  <c r="F60" i="36"/>
  <c r="L60" i="36" s="1"/>
  <c r="F61" i="36"/>
  <c r="L61" i="36" s="1"/>
  <c r="F62" i="36"/>
  <c r="J62" i="36" s="1"/>
  <c r="F63" i="36"/>
  <c r="L63" i="36" s="1"/>
  <c r="F64" i="36"/>
  <c r="L64" i="36" s="1"/>
  <c r="F65" i="36"/>
  <c r="L65" i="36" s="1"/>
  <c r="F66" i="36"/>
  <c r="L66" i="36" s="1"/>
  <c r="F67" i="36"/>
  <c r="J67" i="36" s="1"/>
  <c r="F68" i="36"/>
  <c r="L68" i="36" s="1"/>
  <c r="F69" i="36"/>
  <c r="L69" i="36" s="1"/>
  <c r="F71" i="36"/>
  <c r="L71" i="36" s="1"/>
  <c r="F72" i="36"/>
  <c r="L72" i="36" s="1"/>
  <c r="F73" i="36"/>
  <c r="L73" i="36" s="1"/>
  <c r="F74" i="36"/>
  <c r="L74" i="36" s="1"/>
  <c r="F75" i="36"/>
  <c r="L75" i="36" s="1"/>
  <c r="F76" i="36"/>
  <c r="L76" i="36" s="1"/>
  <c r="F77" i="36"/>
  <c r="L77" i="36" s="1"/>
  <c r="F78" i="36"/>
  <c r="L78" i="36" s="1"/>
  <c r="F79" i="36"/>
  <c r="L79" i="36" s="1"/>
  <c r="F80" i="36"/>
  <c r="L80" i="36" s="1"/>
  <c r="F81" i="36"/>
  <c r="L81" i="36" s="1"/>
  <c r="F83" i="36"/>
  <c r="L83" i="36" s="1"/>
  <c r="F84" i="36"/>
  <c r="L84" i="36" s="1"/>
  <c r="F85" i="36"/>
  <c r="L85" i="36" s="1"/>
  <c r="F86" i="36"/>
  <c r="L86" i="36" s="1"/>
  <c r="F87" i="36"/>
  <c r="L87" i="36" s="1"/>
  <c r="F89" i="36"/>
  <c r="L89" i="36" s="1"/>
  <c r="F90" i="36"/>
  <c r="L90" i="36" s="1"/>
  <c r="F91" i="36"/>
  <c r="L91" i="36" s="1"/>
  <c r="F92" i="36"/>
  <c r="L92" i="36" s="1"/>
  <c r="F93" i="36"/>
  <c r="L93" i="36" s="1"/>
  <c r="F94" i="36"/>
  <c r="J94" i="36" s="1"/>
  <c r="F95" i="36"/>
  <c r="L95" i="36" s="1"/>
  <c r="F96" i="36"/>
  <c r="L96" i="36" s="1"/>
  <c r="F97" i="36"/>
  <c r="L97" i="36" s="1"/>
  <c r="F98" i="36"/>
  <c r="L98" i="36" s="1"/>
  <c r="F99" i="36"/>
  <c r="L99" i="36" s="1"/>
  <c r="F100" i="36"/>
  <c r="L100" i="36" s="1"/>
  <c r="F101" i="36"/>
  <c r="L101" i="36" s="1"/>
  <c r="F102" i="36"/>
  <c r="J102" i="36" s="1"/>
  <c r="F103" i="36"/>
  <c r="L103" i="36" s="1"/>
  <c r="F104" i="36"/>
  <c r="L104" i="36" s="1"/>
  <c r="F105" i="36"/>
  <c r="J105" i="36" s="1"/>
  <c r="F106" i="36"/>
  <c r="L106" i="36" s="1"/>
  <c r="M40" i="33" a="1"/>
  <c r="M40" i="33" s="1"/>
  <c r="L40" i="33" a="1"/>
  <c r="L40" i="33" s="1"/>
  <c r="K40" i="33" a="1"/>
  <c r="K40" i="33" s="1"/>
  <c r="J40" i="33" a="1"/>
  <c r="J40" i="33" s="1"/>
  <c r="I40" i="33" a="1"/>
  <c r="I40" i="33" s="1"/>
  <c r="H40" i="33" a="1"/>
  <c r="H40" i="33" s="1"/>
  <c r="G40" i="33" a="1"/>
  <c r="G40" i="33" s="1"/>
  <c r="F40" i="33" a="1"/>
  <c r="F40" i="33" s="1"/>
  <c r="E40" i="33" a="1"/>
  <c r="E40" i="33" s="1"/>
  <c r="C40" i="33" a="1"/>
  <c r="C40" i="33" s="1"/>
  <c r="O41" i="33"/>
  <c r="AA128" i="31"/>
  <c r="Z128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AA127" i="31"/>
  <c r="Z127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AA126" i="31"/>
  <c r="Z126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AA125" i="31"/>
  <c r="Z125" i="31"/>
  <c r="Y125" i="31"/>
  <c r="X125" i="31"/>
  <c r="W125" i="31"/>
  <c r="V125" i="31"/>
  <c r="U125" i="31"/>
  <c r="T125" i="31"/>
  <c r="S125" i="31"/>
  <c r="R125" i="31"/>
  <c r="Q125" i="31"/>
  <c r="P125" i="31"/>
  <c r="O125" i="31"/>
  <c r="N125" i="31"/>
  <c r="M125" i="31"/>
  <c r="L125" i="31"/>
  <c r="K125" i="31"/>
  <c r="J125" i="31"/>
  <c r="I125" i="31"/>
  <c r="H125" i="31"/>
  <c r="G125" i="31"/>
  <c r="F125" i="31"/>
  <c r="E125" i="31"/>
  <c r="D125" i="31"/>
  <c r="AA124" i="31"/>
  <c r="Z124" i="31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AA123" i="31"/>
  <c r="Z123" i="31"/>
  <c r="Y123" i="31"/>
  <c r="X123" i="31"/>
  <c r="W123" i="31"/>
  <c r="V123" i="31"/>
  <c r="U123" i="31"/>
  <c r="T123" i="31"/>
  <c r="S123" i="31"/>
  <c r="R123" i="31"/>
  <c r="Q123" i="31"/>
  <c r="P123" i="31"/>
  <c r="O123" i="31"/>
  <c r="N123" i="31"/>
  <c r="M123" i="31"/>
  <c r="L123" i="31"/>
  <c r="K123" i="31"/>
  <c r="J123" i="31"/>
  <c r="I123" i="31"/>
  <c r="H123" i="31"/>
  <c r="G123" i="31"/>
  <c r="F123" i="31"/>
  <c r="E123" i="31"/>
  <c r="D123" i="31"/>
  <c r="AA122" i="31"/>
  <c r="Z122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AA120" i="31"/>
  <c r="Z120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AA121" i="31"/>
  <c r="Z121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D21" i="33" a="1"/>
  <c r="D21" i="33" s="1"/>
  <c r="D20" i="33" a="1"/>
  <c r="D20" i="33" s="1"/>
  <c r="D19" i="33" a="1"/>
  <c r="D19" i="33" s="1"/>
  <c r="D17" i="33" a="1"/>
  <c r="D17" i="33" s="1"/>
  <c r="D16" i="33" a="1"/>
  <c r="D16" i="33" s="1"/>
  <c r="D15" i="33" a="1"/>
  <c r="D15" i="33" s="1"/>
  <c r="D14" i="33" a="1"/>
  <c r="D14" i="33" s="1"/>
  <c r="D12" i="33" a="1"/>
  <c r="D12" i="33" s="1"/>
  <c r="D13" i="33" a="1"/>
  <c r="D13" i="33" s="1"/>
  <c r="AA37" i="34" a="1"/>
  <c r="AA37" i="34" s="1"/>
  <c r="Z37" i="34" a="1"/>
  <c r="Z37" i="34" s="1"/>
  <c r="Z35" i="34" s="1"/>
  <c r="Z34" i="34" s="1"/>
  <c r="Y37" i="34" a="1"/>
  <c r="Y37" i="34" s="1"/>
  <c r="Y35" i="34" s="1"/>
  <c r="Y34" i="34" s="1"/>
  <c r="X37" i="34" a="1"/>
  <c r="X37" i="34" s="1"/>
  <c r="X35" i="34" s="1"/>
  <c r="X34" i="34" s="1"/>
  <c r="W37" i="34" a="1"/>
  <c r="W37" i="34" s="1"/>
  <c r="W35" i="34" s="1"/>
  <c r="W34" i="34" s="1"/>
  <c r="V37" i="34" a="1"/>
  <c r="V37" i="34" s="1"/>
  <c r="U37" i="34" a="1"/>
  <c r="U37" i="34" s="1"/>
  <c r="T37" i="34" a="1"/>
  <c r="T37" i="34" s="1"/>
  <c r="Z26" i="34"/>
  <c r="Y26" i="34"/>
  <c r="X26" i="34"/>
  <c r="W26" i="34"/>
  <c r="V26" i="34"/>
  <c r="U26" i="34"/>
  <c r="T26" i="34"/>
  <c r="Z241" i="31"/>
  <c r="Z252" i="31"/>
  <c r="Z248" i="31"/>
  <c r="Z246" i="31"/>
  <c r="Z245" i="31"/>
  <c r="Z244" i="31"/>
  <c r="Z243" i="31"/>
  <c r="Z242" i="31"/>
  <c r="Z251" i="31"/>
  <c r="Z250" i="31"/>
  <c r="Z249" i="31"/>
  <c r="Z240" i="31"/>
  <c r="Z239" i="31"/>
  <c r="Z237" i="31"/>
  <c r="Z238" i="31"/>
  <c r="Z236" i="31"/>
  <c r="Z234" i="31"/>
  <c r="Z235" i="31"/>
  <c r="Z232" i="31"/>
  <c r="Z233" i="31"/>
  <c r="Z231" i="31"/>
  <c r="Z230" i="31"/>
  <c r="Z229" i="31"/>
  <c r="Z228" i="31"/>
  <c r="Z203" i="31"/>
  <c r="Z197" i="31"/>
  <c r="Z195" i="31"/>
  <c r="Z196" i="31"/>
  <c r="Z194" i="31"/>
  <c r="Z193" i="31"/>
  <c r="Z192" i="31"/>
  <c r="Z191" i="31"/>
  <c r="Z190" i="31"/>
  <c r="Z189" i="31"/>
  <c r="Z188" i="31"/>
  <c r="Z187" i="31"/>
  <c r="Z184" i="31"/>
  <c r="Z186" i="31"/>
  <c r="Z185" i="31"/>
  <c r="Z183" i="31"/>
  <c r="Z182" i="31"/>
  <c r="Z181" i="31"/>
  <c r="Z180" i="31"/>
  <c r="Z175" i="31"/>
  <c r="Z172" i="31"/>
  <c r="Z171" i="31"/>
  <c r="Z170" i="31"/>
  <c r="Z168" i="31"/>
  <c r="Z167" i="31" s="1"/>
  <c r="Z166" i="31"/>
  <c r="Z163" i="31"/>
  <c r="Z165" i="31"/>
  <c r="Z164" i="31"/>
  <c r="Z162" i="31"/>
  <c r="Z161" i="31"/>
  <c r="Z159" i="31"/>
  <c r="Z158" i="31"/>
  <c r="Z157" i="31"/>
  <c r="Z160" i="31"/>
  <c r="Z154" i="31"/>
  <c r="Z155" i="31"/>
  <c r="Z153" i="31"/>
  <c r="Z152" i="31"/>
  <c r="Z151" i="31"/>
  <c r="Z149" i="31"/>
  <c r="Z150" i="31"/>
  <c r="Z148" i="31"/>
  <c r="Z147" i="31"/>
  <c r="Z145" i="31"/>
  <c r="Z144" i="31"/>
  <c r="Z146" i="31"/>
  <c r="Z139" i="31"/>
  <c r="Z143" i="31"/>
  <c r="Z141" i="31"/>
  <c r="Z142" i="31"/>
  <c r="Z138" i="31"/>
  <c r="Z140" i="31"/>
  <c r="Z137" i="31"/>
  <c r="Z136" i="31"/>
  <c r="Z133" i="31"/>
  <c r="Z135" i="31"/>
  <c r="Z134" i="31"/>
  <c r="Z132" i="31"/>
  <c r="Z131" i="31"/>
  <c r="Z130" i="31"/>
  <c r="Z118" i="31"/>
  <c r="Z116" i="31"/>
  <c r="Z117" i="31"/>
  <c r="Z113" i="31"/>
  <c r="Z115" i="31"/>
  <c r="Z114" i="31"/>
  <c r="Z111" i="31"/>
  <c r="Z110" i="31"/>
  <c r="Z112" i="31"/>
  <c r="Z109" i="31"/>
  <c r="Z108" i="31"/>
  <c r="Z107" i="31"/>
  <c r="Z105" i="31"/>
  <c r="Z104" i="31"/>
  <c r="Z103" i="31"/>
  <c r="Z102" i="31"/>
  <c r="Z101" i="31"/>
  <c r="Z100" i="31"/>
  <c r="Z96" i="31"/>
  <c r="Z99" i="31"/>
  <c r="Z98" i="31"/>
  <c r="Z94" i="31"/>
  <c r="Z93" i="31"/>
  <c r="Z95" i="31"/>
  <c r="Z91" i="31"/>
  <c r="Z92" i="31"/>
  <c r="Z87" i="31"/>
  <c r="Z86" i="31"/>
  <c r="Z85" i="31"/>
  <c r="Z84" i="31"/>
  <c r="Z89" i="31"/>
  <c r="Z88" i="31" s="1"/>
  <c r="Z82" i="31"/>
  <c r="Z81" i="31"/>
  <c r="Z80" i="31"/>
  <c r="Z77" i="31"/>
  <c r="Z76" i="31"/>
  <c r="Z75" i="31"/>
  <c r="Z74" i="31"/>
  <c r="Z73" i="31"/>
  <c r="Z72" i="31"/>
  <c r="Z71" i="31"/>
  <c r="Z70" i="31"/>
  <c r="Z44" i="31"/>
  <c r="Z45" i="31"/>
  <c r="Z41" i="31"/>
  <c r="Z43" i="31"/>
  <c r="Z42" i="31"/>
  <c r="Z39" i="31"/>
  <c r="Z40" i="31"/>
  <c r="Z38" i="31"/>
  <c r="Z37" i="31"/>
  <c r="Z36" i="31"/>
  <c r="Z35" i="31"/>
  <c r="Z23" i="31"/>
  <c r="Y241" i="31"/>
  <c r="Y252" i="31"/>
  <c r="Y248" i="31"/>
  <c r="Y246" i="31"/>
  <c r="Y245" i="31"/>
  <c r="Y244" i="31"/>
  <c r="Y243" i="31"/>
  <c r="Y242" i="31"/>
  <c r="Y251" i="31"/>
  <c r="Y250" i="31"/>
  <c r="Y249" i="31"/>
  <c r="Y240" i="31"/>
  <c r="Y239" i="31"/>
  <c r="Y237" i="31"/>
  <c r="Y238" i="31"/>
  <c r="Y236" i="31"/>
  <c r="Y234" i="31"/>
  <c r="Y235" i="31"/>
  <c r="Y232" i="31"/>
  <c r="Y233" i="31"/>
  <c r="Y231" i="31"/>
  <c r="Y230" i="31"/>
  <c r="Y229" i="31"/>
  <c r="Y228" i="31"/>
  <c r="Y203" i="31"/>
  <c r="Y197" i="31"/>
  <c r="Y195" i="31"/>
  <c r="Y196" i="31"/>
  <c r="Y194" i="31"/>
  <c r="Y193" i="31"/>
  <c r="Y192" i="31"/>
  <c r="Y191" i="31"/>
  <c r="Y190" i="31"/>
  <c r="Y189" i="31"/>
  <c r="Y188" i="31"/>
  <c r="Y187" i="31"/>
  <c r="Y184" i="31"/>
  <c r="Y186" i="31"/>
  <c r="Y185" i="31"/>
  <c r="Y183" i="31"/>
  <c r="Y182" i="31"/>
  <c r="Y181" i="31"/>
  <c r="Y180" i="31"/>
  <c r="Y175" i="31"/>
  <c r="Y172" i="31"/>
  <c r="Y171" i="31"/>
  <c r="Y170" i="31"/>
  <c r="Y168" i="31"/>
  <c r="Y167" i="31" s="1"/>
  <c r="Y166" i="31"/>
  <c r="Y163" i="31"/>
  <c r="Y165" i="31"/>
  <c r="Y164" i="31"/>
  <c r="Y162" i="31"/>
  <c r="Y161" i="31"/>
  <c r="Y159" i="31"/>
  <c r="Y158" i="31"/>
  <c r="Y157" i="31"/>
  <c r="Y160" i="31"/>
  <c r="Y154" i="31"/>
  <c r="Y155" i="31"/>
  <c r="Y153" i="31"/>
  <c r="Y152" i="31"/>
  <c r="Y151" i="31"/>
  <c r="Y149" i="31"/>
  <c r="Y150" i="31"/>
  <c r="Y148" i="31"/>
  <c r="Y147" i="31"/>
  <c r="Y145" i="31"/>
  <c r="Y144" i="31"/>
  <c r="Y146" i="31"/>
  <c r="Y139" i="31"/>
  <c r="Y143" i="31"/>
  <c r="Y141" i="31"/>
  <c r="Y142" i="31"/>
  <c r="Y138" i="31"/>
  <c r="Y140" i="31"/>
  <c r="Y137" i="31"/>
  <c r="Y136" i="31"/>
  <c r="Y133" i="31"/>
  <c r="Y135" i="31"/>
  <c r="Y134" i="31"/>
  <c r="Y132" i="31"/>
  <c r="Y131" i="31"/>
  <c r="Y130" i="31"/>
  <c r="Y118" i="31"/>
  <c r="Y116" i="31"/>
  <c r="Y117" i="31"/>
  <c r="Y113" i="31"/>
  <c r="Y115" i="31"/>
  <c r="Y114" i="31"/>
  <c r="Y111" i="31"/>
  <c r="Y110" i="31"/>
  <c r="Y112" i="31"/>
  <c r="Y109" i="31"/>
  <c r="Y108" i="31"/>
  <c r="Y107" i="31"/>
  <c r="Y105" i="31"/>
  <c r="Y104" i="31"/>
  <c r="Y103" i="31"/>
  <c r="Y102" i="31"/>
  <c r="Y101" i="31"/>
  <c r="Y100" i="31"/>
  <c r="Y96" i="31"/>
  <c r="Y99" i="31"/>
  <c r="Y98" i="31"/>
  <c r="Y94" i="31"/>
  <c r="Y93" i="31"/>
  <c r="Y95" i="31"/>
  <c r="Y91" i="31"/>
  <c r="Y92" i="31"/>
  <c r="Y87" i="31"/>
  <c r="Y86" i="31"/>
  <c r="Y85" i="31"/>
  <c r="Y84" i="31"/>
  <c r="Y89" i="31"/>
  <c r="Y88" i="31" s="1"/>
  <c r="Y82" i="31"/>
  <c r="Y81" i="31"/>
  <c r="Y80" i="31"/>
  <c r="Y77" i="31"/>
  <c r="Y76" i="31"/>
  <c r="Y75" i="31"/>
  <c r="Y74" i="31"/>
  <c r="Y73" i="31"/>
  <c r="Y72" i="31"/>
  <c r="Y71" i="31"/>
  <c r="Y70" i="31"/>
  <c r="Y44" i="31"/>
  <c r="Y45" i="31"/>
  <c r="Y41" i="31"/>
  <c r="Y43" i="31"/>
  <c r="Y42" i="31"/>
  <c r="Y39" i="31"/>
  <c r="Y40" i="31"/>
  <c r="Y38" i="31"/>
  <c r="Y37" i="31"/>
  <c r="Y36" i="31"/>
  <c r="Y35" i="31"/>
  <c r="Y23" i="31"/>
  <c r="X241" i="31"/>
  <c r="X252" i="31"/>
  <c r="X248" i="31"/>
  <c r="X246" i="31"/>
  <c r="X245" i="31"/>
  <c r="X244" i="31"/>
  <c r="X243" i="31"/>
  <c r="X242" i="31"/>
  <c r="X251" i="31"/>
  <c r="X250" i="31"/>
  <c r="X249" i="31"/>
  <c r="X240" i="31"/>
  <c r="X239" i="31"/>
  <c r="X237" i="31"/>
  <c r="X238" i="31"/>
  <c r="X236" i="31"/>
  <c r="X234" i="31"/>
  <c r="X235" i="31"/>
  <c r="X232" i="31"/>
  <c r="X233" i="31"/>
  <c r="X231" i="31"/>
  <c r="X230" i="31"/>
  <c r="X229" i="31"/>
  <c r="X228" i="31"/>
  <c r="X203" i="31"/>
  <c r="X197" i="31"/>
  <c r="X195" i="31"/>
  <c r="X196" i="31"/>
  <c r="X194" i="31"/>
  <c r="X193" i="31"/>
  <c r="X192" i="31"/>
  <c r="X191" i="31"/>
  <c r="X190" i="31"/>
  <c r="X189" i="31"/>
  <c r="X188" i="31"/>
  <c r="X187" i="31"/>
  <c r="X184" i="31"/>
  <c r="X186" i="31"/>
  <c r="X185" i="31"/>
  <c r="X183" i="31"/>
  <c r="X182" i="31"/>
  <c r="X181" i="31"/>
  <c r="X180" i="31"/>
  <c r="X175" i="31"/>
  <c r="X172" i="31"/>
  <c r="X171" i="31"/>
  <c r="X170" i="31"/>
  <c r="X168" i="31"/>
  <c r="X167" i="31" s="1"/>
  <c r="X166" i="31"/>
  <c r="X163" i="31"/>
  <c r="X165" i="31"/>
  <c r="X164" i="31"/>
  <c r="X162" i="31"/>
  <c r="X161" i="31"/>
  <c r="X159" i="31"/>
  <c r="X158" i="31"/>
  <c r="X157" i="31"/>
  <c r="X160" i="31"/>
  <c r="X154" i="31"/>
  <c r="X155" i="31"/>
  <c r="X153" i="31"/>
  <c r="X152" i="31"/>
  <c r="X151" i="31"/>
  <c r="X149" i="31"/>
  <c r="X150" i="31"/>
  <c r="X148" i="31"/>
  <c r="X147" i="31"/>
  <c r="X145" i="31"/>
  <c r="X144" i="31"/>
  <c r="X146" i="31"/>
  <c r="X139" i="31"/>
  <c r="X143" i="31"/>
  <c r="X141" i="31"/>
  <c r="X142" i="31"/>
  <c r="X138" i="31"/>
  <c r="X140" i="31"/>
  <c r="X137" i="31"/>
  <c r="X136" i="31"/>
  <c r="X133" i="31"/>
  <c r="X135" i="31"/>
  <c r="X134" i="31"/>
  <c r="X132" i="31"/>
  <c r="X131" i="31"/>
  <c r="X130" i="31"/>
  <c r="X118" i="31"/>
  <c r="X116" i="31"/>
  <c r="X117" i="31"/>
  <c r="X113" i="31"/>
  <c r="X115" i="31"/>
  <c r="X114" i="31"/>
  <c r="X111" i="31"/>
  <c r="X110" i="31"/>
  <c r="X112" i="31"/>
  <c r="X109" i="31"/>
  <c r="X108" i="31"/>
  <c r="X107" i="31"/>
  <c r="X105" i="31"/>
  <c r="X104" i="31"/>
  <c r="X103" i="31"/>
  <c r="X102" i="31"/>
  <c r="X101" i="31"/>
  <c r="X100" i="31"/>
  <c r="X96" i="31"/>
  <c r="X99" i="31"/>
  <c r="X98" i="31"/>
  <c r="X94" i="31"/>
  <c r="X93" i="31"/>
  <c r="X95" i="31"/>
  <c r="X91" i="31"/>
  <c r="X92" i="31"/>
  <c r="X87" i="31"/>
  <c r="X86" i="31"/>
  <c r="X85" i="31"/>
  <c r="X84" i="31"/>
  <c r="X89" i="31"/>
  <c r="X88" i="31" s="1"/>
  <c r="X82" i="31"/>
  <c r="X81" i="31"/>
  <c r="X80" i="31"/>
  <c r="X77" i="31"/>
  <c r="X76" i="31"/>
  <c r="X75" i="31"/>
  <c r="X74" i="31"/>
  <c r="X73" i="31"/>
  <c r="X72" i="31"/>
  <c r="X71" i="31"/>
  <c r="X70" i="31"/>
  <c r="X44" i="31"/>
  <c r="X45" i="31"/>
  <c r="X41" i="31"/>
  <c r="X43" i="31"/>
  <c r="X42" i="31"/>
  <c r="X39" i="31"/>
  <c r="X40" i="31"/>
  <c r="X38" i="31"/>
  <c r="X37" i="31"/>
  <c r="X36" i="31"/>
  <c r="X35" i="31"/>
  <c r="X23" i="31"/>
  <c r="W241" i="31"/>
  <c r="W252" i="31"/>
  <c r="W248" i="31"/>
  <c r="W246" i="31"/>
  <c r="W245" i="31"/>
  <c r="W244" i="31"/>
  <c r="W243" i="31"/>
  <c r="W242" i="31"/>
  <c r="W251" i="31"/>
  <c r="W250" i="31"/>
  <c r="W249" i="31"/>
  <c r="W240" i="31"/>
  <c r="W239" i="31"/>
  <c r="W237" i="31"/>
  <c r="W238" i="31"/>
  <c r="W236" i="31"/>
  <c r="W234" i="31"/>
  <c r="W235" i="31"/>
  <c r="W232" i="31"/>
  <c r="W233" i="31"/>
  <c r="W231" i="31"/>
  <c r="W230" i="31"/>
  <c r="W229" i="31"/>
  <c r="W228" i="31"/>
  <c r="W203" i="31"/>
  <c r="W197" i="31"/>
  <c r="W195" i="31"/>
  <c r="W196" i="31"/>
  <c r="W194" i="31"/>
  <c r="W193" i="31"/>
  <c r="W192" i="31"/>
  <c r="W191" i="31"/>
  <c r="W190" i="31"/>
  <c r="W189" i="31"/>
  <c r="W188" i="31"/>
  <c r="W187" i="31"/>
  <c r="W184" i="31"/>
  <c r="W186" i="31"/>
  <c r="W185" i="31"/>
  <c r="W183" i="31"/>
  <c r="W182" i="31"/>
  <c r="W181" i="31"/>
  <c r="W180" i="31"/>
  <c r="W175" i="31"/>
  <c r="W172" i="31"/>
  <c r="W171" i="31"/>
  <c r="W170" i="31"/>
  <c r="W168" i="31"/>
  <c r="W167" i="31" s="1"/>
  <c r="W166" i="31"/>
  <c r="W163" i="31"/>
  <c r="W165" i="31"/>
  <c r="W164" i="31"/>
  <c r="W162" i="31"/>
  <c r="W161" i="31"/>
  <c r="W159" i="31"/>
  <c r="W158" i="31"/>
  <c r="W157" i="31"/>
  <c r="W160" i="31"/>
  <c r="W154" i="31"/>
  <c r="W155" i="31"/>
  <c r="W153" i="31"/>
  <c r="W152" i="31"/>
  <c r="W151" i="31"/>
  <c r="W149" i="31"/>
  <c r="W150" i="31"/>
  <c r="W148" i="31"/>
  <c r="W147" i="31"/>
  <c r="W145" i="31"/>
  <c r="W144" i="31"/>
  <c r="W146" i="31"/>
  <c r="W139" i="31"/>
  <c r="W143" i="31"/>
  <c r="W141" i="31"/>
  <c r="W142" i="31"/>
  <c r="W138" i="31"/>
  <c r="W140" i="31"/>
  <c r="W137" i="31"/>
  <c r="W136" i="31"/>
  <c r="W133" i="31"/>
  <c r="W135" i="31"/>
  <c r="W134" i="31"/>
  <c r="W132" i="31"/>
  <c r="W131" i="31"/>
  <c r="W130" i="31"/>
  <c r="W118" i="31"/>
  <c r="W116" i="31"/>
  <c r="W117" i="31"/>
  <c r="W113" i="31"/>
  <c r="W115" i="31"/>
  <c r="W114" i="31"/>
  <c r="W111" i="31"/>
  <c r="W110" i="31"/>
  <c r="W112" i="31"/>
  <c r="W109" i="31"/>
  <c r="W108" i="31"/>
  <c r="W107" i="31"/>
  <c r="W105" i="31"/>
  <c r="W104" i="31"/>
  <c r="W103" i="31"/>
  <c r="W102" i="31"/>
  <c r="W101" i="31"/>
  <c r="W100" i="31"/>
  <c r="W96" i="31"/>
  <c r="W99" i="31"/>
  <c r="W98" i="31"/>
  <c r="W94" i="31"/>
  <c r="W93" i="31"/>
  <c r="W95" i="31"/>
  <c r="W91" i="31"/>
  <c r="W92" i="31"/>
  <c r="W87" i="31"/>
  <c r="W86" i="31"/>
  <c r="W85" i="31"/>
  <c r="W84" i="31"/>
  <c r="W89" i="31"/>
  <c r="W88" i="31" s="1"/>
  <c r="W82" i="31"/>
  <c r="W81" i="31"/>
  <c r="W80" i="31"/>
  <c r="W77" i="31"/>
  <c r="W76" i="31"/>
  <c r="W75" i="31"/>
  <c r="W74" i="31"/>
  <c r="W73" i="31"/>
  <c r="W72" i="31"/>
  <c r="W71" i="31"/>
  <c r="W70" i="31"/>
  <c r="W44" i="31"/>
  <c r="W45" i="31"/>
  <c r="W41" i="31"/>
  <c r="W43" i="31"/>
  <c r="W42" i="31"/>
  <c r="W39" i="31"/>
  <c r="W40" i="31"/>
  <c r="W38" i="31"/>
  <c r="W37" i="31"/>
  <c r="W36" i="31"/>
  <c r="W35" i="31"/>
  <c r="V241" i="31"/>
  <c r="V252" i="31"/>
  <c r="V248" i="31"/>
  <c r="V246" i="31"/>
  <c r="V245" i="31"/>
  <c r="V244" i="31"/>
  <c r="V243" i="31"/>
  <c r="V242" i="31"/>
  <c r="V251" i="31"/>
  <c r="V250" i="31"/>
  <c r="V249" i="31"/>
  <c r="V240" i="31"/>
  <c r="V239" i="31"/>
  <c r="V237" i="31"/>
  <c r="V238" i="31"/>
  <c r="V236" i="31"/>
  <c r="V234" i="31"/>
  <c r="V235" i="31"/>
  <c r="V232" i="31"/>
  <c r="V233" i="31"/>
  <c r="V231" i="31"/>
  <c r="V230" i="31"/>
  <c r="V229" i="31"/>
  <c r="V228" i="31"/>
  <c r="V197" i="31"/>
  <c r="V195" i="31"/>
  <c r="V196" i="31"/>
  <c r="V194" i="31"/>
  <c r="V193" i="31"/>
  <c r="V192" i="31"/>
  <c r="V191" i="31"/>
  <c r="V190" i="31"/>
  <c r="V189" i="31"/>
  <c r="V188" i="31"/>
  <c r="V187" i="31"/>
  <c r="V184" i="31"/>
  <c r="V186" i="31"/>
  <c r="V185" i="31"/>
  <c r="V183" i="31"/>
  <c r="V182" i="31"/>
  <c r="V181" i="31"/>
  <c r="V180" i="31"/>
  <c r="V175" i="31"/>
  <c r="V172" i="31"/>
  <c r="V171" i="31"/>
  <c r="V170" i="31"/>
  <c r="V168" i="31"/>
  <c r="V167" i="31" s="1"/>
  <c r="V166" i="31"/>
  <c r="V163" i="31"/>
  <c r="V165" i="31"/>
  <c r="V164" i="31"/>
  <c r="V162" i="31"/>
  <c r="V161" i="31"/>
  <c r="V159" i="31"/>
  <c r="V158" i="31"/>
  <c r="V157" i="31"/>
  <c r="V160" i="31"/>
  <c r="V154" i="31"/>
  <c r="V155" i="31"/>
  <c r="V153" i="31"/>
  <c r="V152" i="31"/>
  <c r="V151" i="31"/>
  <c r="V149" i="31"/>
  <c r="V150" i="31"/>
  <c r="V148" i="31"/>
  <c r="V147" i="31"/>
  <c r="V145" i="31"/>
  <c r="V144" i="31"/>
  <c r="V146" i="31"/>
  <c r="V139" i="31"/>
  <c r="V143" i="31"/>
  <c r="V141" i="31"/>
  <c r="V142" i="31"/>
  <c r="V138" i="31"/>
  <c r="V140" i="31"/>
  <c r="V137" i="31"/>
  <c r="V136" i="31"/>
  <c r="V133" i="31"/>
  <c r="V135" i="31"/>
  <c r="V134" i="31"/>
  <c r="V132" i="31"/>
  <c r="V131" i="31"/>
  <c r="V130" i="31"/>
  <c r="V118" i="31"/>
  <c r="V116" i="31"/>
  <c r="V117" i="31"/>
  <c r="V113" i="31"/>
  <c r="V115" i="31"/>
  <c r="V114" i="31"/>
  <c r="V111" i="31"/>
  <c r="V110" i="31"/>
  <c r="V112" i="31"/>
  <c r="V109" i="31"/>
  <c r="V108" i="31"/>
  <c r="V107" i="31"/>
  <c r="V105" i="31"/>
  <c r="V104" i="31"/>
  <c r="V103" i="31"/>
  <c r="V102" i="31"/>
  <c r="V101" i="31"/>
  <c r="V100" i="31"/>
  <c r="V96" i="31"/>
  <c r="V99" i="31"/>
  <c r="V98" i="31"/>
  <c r="V94" i="31"/>
  <c r="V93" i="31"/>
  <c r="V95" i="31"/>
  <c r="V91" i="31"/>
  <c r="V92" i="31"/>
  <c r="V87" i="31"/>
  <c r="V86" i="31"/>
  <c r="V85" i="31"/>
  <c r="V84" i="31"/>
  <c r="V89" i="31"/>
  <c r="V88" i="31" s="1"/>
  <c r="V82" i="31"/>
  <c r="V81" i="31"/>
  <c r="V80" i="31"/>
  <c r="V77" i="31"/>
  <c r="V76" i="31"/>
  <c r="V75" i="31"/>
  <c r="V74" i="31"/>
  <c r="V73" i="31"/>
  <c r="V72" i="31"/>
  <c r="V71" i="31"/>
  <c r="V70" i="31"/>
  <c r="V44" i="31"/>
  <c r="V45" i="31"/>
  <c r="V41" i="31"/>
  <c r="V43" i="31"/>
  <c r="V42" i="31"/>
  <c r="V39" i="31"/>
  <c r="V40" i="31"/>
  <c r="V38" i="31"/>
  <c r="V37" i="31"/>
  <c r="V36" i="31"/>
  <c r="V35" i="31"/>
  <c r="U241" i="31"/>
  <c r="U252" i="31"/>
  <c r="U248" i="31"/>
  <c r="U246" i="31"/>
  <c r="U245" i="31"/>
  <c r="U244" i="31"/>
  <c r="U243" i="31"/>
  <c r="U242" i="31"/>
  <c r="U251" i="31"/>
  <c r="U250" i="31"/>
  <c r="U249" i="31"/>
  <c r="U240" i="31"/>
  <c r="U239" i="31"/>
  <c r="U237" i="31"/>
  <c r="U238" i="31"/>
  <c r="U236" i="31"/>
  <c r="U234" i="31"/>
  <c r="U235" i="31"/>
  <c r="U232" i="31"/>
  <c r="U233" i="31"/>
  <c r="U231" i="31"/>
  <c r="U230" i="31"/>
  <c r="U229" i="31"/>
  <c r="U228" i="31"/>
  <c r="U197" i="31"/>
  <c r="U195" i="31"/>
  <c r="U196" i="31"/>
  <c r="U194" i="31"/>
  <c r="U193" i="31"/>
  <c r="U192" i="31"/>
  <c r="U191" i="31"/>
  <c r="U190" i="31"/>
  <c r="U189" i="31"/>
  <c r="U188" i="31"/>
  <c r="U187" i="31"/>
  <c r="U184" i="31"/>
  <c r="U186" i="31"/>
  <c r="U185" i="31"/>
  <c r="U183" i="31"/>
  <c r="U182" i="31"/>
  <c r="U181" i="31"/>
  <c r="U180" i="31"/>
  <c r="U175" i="31"/>
  <c r="U172" i="31"/>
  <c r="U171" i="31"/>
  <c r="U170" i="31"/>
  <c r="U168" i="31"/>
  <c r="U167" i="31" s="1"/>
  <c r="U166" i="31"/>
  <c r="U163" i="31"/>
  <c r="U165" i="31"/>
  <c r="U164" i="31"/>
  <c r="U162" i="31"/>
  <c r="U161" i="31"/>
  <c r="U159" i="31"/>
  <c r="U158" i="31"/>
  <c r="U157" i="31"/>
  <c r="U160" i="31"/>
  <c r="U154" i="31"/>
  <c r="U155" i="31"/>
  <c r="U153" i="31"/>
  <c r="U152" i="31"/>
  <c r="U151" i="31"/>
  <c r="U149" i="31"/>
  <c r="U150" i="31"/>
  <c r="U148" i="31"/>
  <c r="U147" i="31"/>
  <c r="U145" i="31"/>
  <c r="U144" i="31"/>
  <c r="U146" i="31"/>
  <c r="U139" i="31"/>
  <c r="U143" i="31"/>
  <c r="U141" i="31"/>
  <c r="U142" i="31"/>
  <c r="U138" i="31"/>
  <c r="U140" i="31"/>
  <c r="U137" i="31"/>
  <c r="U136" i="31"/>
  <c r="U133" i="31"/>
  <c r="U135" i="31"/>
  <c r="U134" i="31"/>
  <c r="U132" i="31"/>
  <c r="U131" i="31"/>
  <c r="U130" i="31"/>
  <c r="U118" i="31"/>
  <c r="U116" i="31"/>
  <c r="U117" i="31"/>
  <c r="U113" i="31"/>
  <c r="U115" i="31"/>
  <c r="U114" i="31"/>
  <c r="U111" i="31"/>
  <c r="U110" i="31"/>
  <c r="U112" i="31"/>
  <c r="U109" i="31"/>
  <c r="U108" i="31"/>
  <c r="U107" i="31"/>
  <c r="U105" i="31"/>
  <c r="U104" i="31"/>
  <c r="U103" i="31"/>
  <c r="U102" i="31"/>
  <c r="U101" i="31"/>
  <c r="U100" i="31"/>
  <c r="U96" i="31"/>
  <c r="U99" i="31"/>
  <c r="U98" i="31"/>
  <c r="U94" i="31"/>
  <c r="U93" i="31"/>
  <c r="U95" i="31"/>
  <c r="U91" i="31"/>
  <c r="U92" i="31"/>
  <c r="U87" i="31"/>
  <c r="U86" i="31"/>
  <c r="U85" i="31"/>
  <c r="U84" i="31"/>
  <c r="U89" i="31"/>
  <c r="U88" i="31" s="1"/>
  <c r="U82" i="31"/>
  <c r="U81" i="31"/>
  <c r="U80" i="31"/>
  <c r="U77" i="31"/>
  <c r="U76" i="31"/>
  <c r="U75" i="31"/>
  <c r="U74" i="31"/>
  <c r="U73" i="31"/>
  <c r="U72" i="31"/>
  <c r="U71" i="31"/>
  <c r="U70" i="31"/>
  <c r="U44" i="31"/>
  <c r="U45" i="31"/>
  <c r="U41" i="31"/>
  <c r="U43" i="31"/>
  <c r="U42" i="31"/>
  <c r="U39" i="31"/>
  <c r="U40" i="31"/>
  <c r="U38" i="31"/>
  <c r="U37" i="31"/>
  <c r="U36" i="31"/>
  <c r="U35" i="31"/>
  <c r="T241" i="31"/>
  <c r="T252" i="31"/>
  <c r="T248" i="31"/>
  <c r="T246" i="31"/>
  <c r="T245" i="31"/>
  <c r="T244" i="31"/>
  <c r="T243" i="31"/>
  <c r="T242" i="31"/>
  <c r="T251" i="31"/>
  <c r="T250" i="31"/>
  <c r="T249" i="31"/>
  <c r="T240" i="31"/>
  <c r="T239" i="31"/>
  <c r="T237" i="31"/>
  <c r="T238" i="31"/>
  <c r="T236" i="31"/>
  <c r="T234" i="31"/>
  <c r="T235" i="31"/>
  <c r="T232" i="31"/>
  <c r="T233" i="31"/>
  <c r="T231" i="31"/>
  <c r="T230" i="31"/>
  <c r="T229" i="31"/>
  <c r="T228" i="31"/>
  <c r="T197" i="31"/>
  <c r="T195" i="31"/>
  <c r="T196" i="31"/>
  <c r="T194" i="31"/>
  <c r="T193" i="31"/>
  <c r="T192" i="31"/>
  <c r="T191" i="31"/>
  <c r="T190" i="31"/>
  <c r="T189" i="31"/>
  <c r="T188" i="31"/>
  <c r="T187" i="31"/>
  <c r="T184" i="31"/>
  <c r="T186" i="31"/>
  <c r="T185" i="31"/>
  <c r="T183" i="31"/>
  <c r="T182" i="31"/>
  <c r="T181" i="31"/>
  <c r="T180" i="31"/>
  <c r="T175" i="31"/>
  <c r="T172" i="31"/>
  <c r="T171" i="31"/>
  <c r="T170" i="31"/>
  <c r="T168" i="31"/>
  <c r="T167" i="31" s="1"/>
  <c r="T166" i="31"/>
  <c r="T163" i="31"/>
  <c r="T165" i="31"/>
  <c r="T164" i="31"/>
  <c r="T162" i="31"/>
  <c r="T161" i="31"/>
  <c r="T159" i="31"/>
  <c r="T158" i="31"/>
  <c r="T157" i="31"/>
  <c r="T160" i="31"/>
  <c r="T154" i="31"/>
  <c r="T155" i="31"/>
  <c r="T153" i="31"/>
  <c r="T152" i="31"/>
  <c r="T151" i="31"/>
  <c r="T149" i="31"/>
  <c r="T150" i="31"/>
  <c r="T148" i="31"/>
  <c r="T147" i="31"/>
  <c r="T145" i="31"/>
  <c r="T144" i="31"/>
  <c r="T146" i="31"/>
  <c r="T139" i="31"/>
  <c r="T143" i="31"/>
  <c r="T141" i="31"/>
  <c r="T142" i="31"/>
  <c r="T138" i="31"/>
  <c r="T140" i="31"/>
  <c r="T137" i="31"/>
  <c r="T136" i="31"/>
  <c r="T133" i="31"/>
  <c r="T135" i="31"/>
  <c r="T134" i="31"/>
  <c r="T132" i="31"/>
  <c r="T131" i="31"/>
  <c r="T130" i="31"/>
  <c r="T118" i="31"/>
  <c r="T116" i="31"/>
  <c r="T117" i="31"/>
  <c r="T113" i="31"/>
  <c r="T115" i="31"/>
  <c r="T114" i="31"/>
  <c r="T111" i="31"/>
  <c r="T110" i="31"/>
  <c r="T112" i="31"/>
  <c r="T109" i="31"/>
  <c r="T108" i="31"/>
  <c r="T107" i="31"/>
  <c r="T105" i="31"/>
  <c r="T104" i="31"/>
  <c r="T103" i="31"/>
  <c r="T102" i="31"/>
  <c r="T101" i="31"/>
  <c r="T100" i="31"/>
  <c r="T96" i="31"/>
  <c r="T99" i="31"/>
  <c r="T98" i="31"/>
  <c r="T94" i="31"/>
  <c r="T93" i="31"/>
  <c r="T95" i="31"/>
  <c r="T91" i="31"/>
  <c r="T92" i="31"/>
  <c r="T87" i="31"/>
  <c r="T86" i="31"/>
  <c r="T85" i="31"/>
  <c r="T84" i="31"/>
  <c r="T89" i="31"/>
  <c r="T88" i="31" s="1"/>
  <c r="T82" i="31"/>
  <c r="T81" i="31"/>
  <c r="T80" i="31"/>
  <c r="T77" i="31"/>
  <c r="T76" i="31"/>
  <c r="T75" i="31"/>
  <c r="T74" i="31"/>
  <c r="T73" i="31"/>
  <c r="T72" i="31"/>
  <c r="T71" i="31"/>
  <c r="T70" i="31"/>
  <c r="T44" i="31"/>
  <c r="T45" i="31"/>
  <c r="T41" i="31"/>
  <c r="T43" i="31"/>
  <c r="T42" i="31"/>
  <c r="T39" i="31"/>
  <c r="T40" i="31"/>
  <c r="T38" i="31"/>
  <c r="T37" i="31"/>
  <c r="T36" i="31"/>
  <c r="T35" i="31"/>
  <c r="AA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AA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AA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G234" i="31"/>
  <c r="H232" i="31"/>
  <c r="J231" i="31"/>
  <c r="H231" i="31"/>
  <c r="J230" i="31"/>
  <c r="H230" i="31"/>
  <c r="N228" i="31"/>
  <c r="M228" i="31"/>
  <c r="AA241" i="31"/>
  <c r="S241" i="31"/>
  <c r="R241" i="31"/>
  <c r="Q241" i="31"/>
  <c r="P241" i="31"/>
  <c r="O241" i="31"/>
  <c r="N241" i="31"/>
  <c r="M241" i="31"/>
  <c r="L241" i="31"/>
  <c r="K241" i="31"/>
  <c r="J241" i="31"/>
  <c r="I241" i="31"/>
  <c r="H241" i="31"/>
  <c r="G241" i="31"/>
  <c r="F241" i="31"/>
  <c r="E241" i="31"/>
  <c r="D241" i="31"/>
  <c r="AA252" i="31"/>
  <c r="S252" i="31"/>
  <c r="R252" i="31"/>
  <c r="Q252" i="31"/>
  <c r="P252" i="31"/>
  <c r="O252" i="31"/>
  <c r="N252" i="31"/>
  <c r="M252" i="31"/>
  <c r="L252" i="31"/>
  <c r="K252" i="31"/>
  <c r="J252" i="31"/>
  <c r="I252" i="31"/>
  <c r="H252" i="31"/>
  <c r="G252" i="31"/>
  <c r="F252" i="31"/>
  <c r="E252" i="31"/>
  <c r="D252" i="31"/>
  <c r="AA248" i="31"/>
  <c r="S248" i="31"/>
  <c r="R248" i="31"/>
  <c r="Q248" i="31"/>
  <c r="P248" i="31"/>
  <c r="O248" i="31"/>
  <c r="N248" i="31"/>
  <c r="M248" i="31"/>
  <c r="L248" i="31"/>
  <c r="K248" i="31"/>
  <c r="J248" i="31"/>
  <c r="I248" i="31"/>
  <c r="H248" i="31"/>
  <c r="G248" i="31"/>
  <c r="F248" i="31"/>
  <c r="E248" i="31"/>
  <c r="D248" i="31"/>
  <c r="AA246" i="31"/>
  <c r="S246" i="31"/>
  <c r="R246" i="31"/>
  <c r="Q246" i="31"/>
  <c r="P246" i="31"/>
  <c r="O246" i="31"/>
  <c r="N246" i="31"/>
  <c r="M246" i="31"/>
  <c r="L246" i="31"/>
  <c r="K246" i="31"/>
  <c r="J246" i="31"/>
  <c r="I246" i="31"/>
  <c r="H246" i="31"/>
  <c r="G246" i="31"/>
  <c r="F246" i="31"/>
  <c r="E246" i="31"/>
  <c r="D246" i="31"/>
  <c r="AA245" i="31"/>
  <c r="S245" i="31"/>
  <c r="R245" i="31"/>
  <c r="Q245" i="31"/>
  <c r="P245" i="31"/>
  <c r="O245" i="31"/>
  <c r="N245" i="31"/>
  <c r="M245" i="31"/>
  <c r="L245" i="31"/>
  <c r="K245" i="31"/>
  <c r="J245" i="31"/>
  <c r="I245" i="31"/>
  <c r="H245" i="31"/>
  <c r="G245" i="31"/>
  <c r="F245" i="31"/>
  <c r="E245" i="31"/>
  <c r="D245" i="31"/>
  <c r="AA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AA243" i="31"/>
  <c r="S243" i="31"/>
  <c r="R243" i="31"/>
  <c r="Q243" i="31"/>
  <c r="P243" i="31"/>
  <c r="O243" i="31"/>
  <c r="N243" i="31"/>
  <c r="M243" i="31"/>
  <c r="L243" i="31"/>
  <c r="K243" i="31"/>
  <c r="J243" i="31"/>
  <c r="I243" i="31"/>
  <c r="H243" i="31"/>
  <c r="G243" i="31"/>
  <c r="F243" i="31"/>
  <c r="E243" i="31"/>
  <c r="D243" i="31"/>
  <c r="AA242" i="31"/>
  <c r="S242" i="31"/>
  <c r="R242" i="31"/>
  <c r="Q242" i="31"/>
  <c r="P242" i="31"/>
  <c r="O242" i="31"/>
  <c r="N242" i="31"/>
  <c r="M242" i="31"/>
  <c r="L242" i="31"/>
  <c r="K242" i="31"/>
  <c r="J242" i="31"/>
  <c r="I242" i="31"/>
  <c r="H242" i="31"/>
  <c r="G242" i="31"/>
  <c r="F242" i="31"/>
  <c r="E242" i="31"/>
  <c r="D242" i="31"/>
  <c r="AA251" i="31"/>
  <c r="S251" i="31"/>
  <c r="R251" i="31"/>
  <c r="Q251" i="31"/>
  <c r="P251" i="31"/>
  <c r="O251" i="31"/>
  <c r="N251" i="31"/>
  <c r="M251" i="31"/>
  <c r="L251" i="31"/>
  <c r="K251" i="31"/>
  <c r="J251" i="31"/>
  <c r="I251" i="31"/>
  <c r="H251" i="31"/>
  <c r="G251" i="31"/>
  <c r="F251" i="31"/>
  <c r="E251" i="31"/>
  <c r="D251" i="31"/>
  <c r="AA250" i="31"/>
  <c r="S250" i="31"/>
  <c r="R250" i="31"/>
  <c r="Q250" i="31"/>
  <c r="P250" i="31"/>
  <c r="O250" i="31"/>
  <c r="N250" i="31"/>
  <c r="M250" i="31"/>
  <c r="L250" i="31"/>
  <c r="K250" i="31"/>
  <c r="J250" i="31"/>
  <c r="I250" i="31"/>
  <c r="H250" i="31"/>
  <c r="G250" i="31"/>
  <c r="F250" i="31"/>
  <c r="E250" i="31"/>
  <c r="D250" i="31"/>
  <c r="AA249" i="31"/>
  <c r="S249" i="31"/>
  <c r="R249" i="31"/>
  <c r="Q249" i="31"/>
  <c r="P249" i="31"/>
  <c r="O249" i="31"/>
  <c r="N249" i="31"/>
  <c r="M249" i="31"/>
  <c r="L249" i="31"/>
  <c r="K249" i="31"/>
  <c r="J249" i="31"/>
  <c r="I249" i="31"/>
  <c r="H249" i="31"/>
  <c r="G249" i="31"/>
  <c r="F249" i="31"/>
  <c r="E249" i="31"/>
  <c r="D249" i="31"/>
  <c r="AA240" i="31"/>
  <c r="S240" i="31"/>
  <c r="R240" i="31"/>
  <c r="Q240" i="31"/>
  <c r="P240" i="31"/>
  <c r="O240" i="31"/>
  <c r="N240" i="31"/>
  <c r="M240" i="31"/>
  <c r="L240" i="31"/>
  <c r="K240" i="31"/>
  <c r="J240" i="31"/>
  <c r="I240" i="31"/>
  <c r="H240" i="31"/>
  <c r="G240" i="31"/>
  <c r="F240" i="31"/>
  <c r="E240" i="31"/>
  <c r="D240" i="31"/>
  <c r="AA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AA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AA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AA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AA234" i="31"/>
  <c r="S234" i="31"/>
  <c r="R234" i="31"/>
  <c r="Q234" i="31"/>
  <c r="P234" i="31"/>
  <c r="O234" i="31"/>
  <c r="N234" i="31"/>
  <c r="M234" i="31"/>
  <c r="L234" i="31"/>
  <c r="K234" i="31"/>
  <c r="J234" i="31"/>
  <c r="I234" i="31"/>
  <c r="H234" i="31"/>
  <c r="F234" i="31"/>
  <c r="E234" i="31"/>
  <c r="AA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AA232" i="31"/>
  <c r="S232" i="31"/>
  <c r="R232" i="31"/>
  <c r="Q232" i="31"/>
  <c r="P232" i="31"/>
  <c r="O232" i="31"/>
  <c r="N232" i="31"/>
  <c r="M232" i="31"/>
  <c r="L232" i="31"/>
  <c r="K232" i="31"/>
  <c r="J232" i="31"/>
  <c r="I232" i="31"/>
  <c r="G232" i="31"/>
  <c r="F232" i="31"/>
  <c r="E232" i="31"/>
  <c r="AA233" i="31"/>
  <c r="S233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AA231" i="31"/>
  <c r="S231" i="31"/>
  <c r="R231" i="31"/>
  <c r="Q231" i="31"/>
  <c r="P231" i="31"/>
  <c r="O231" i="31"/>
  <c r="N231" i="31"/>
  <c r="M231" i="31"/>
  <c r="L231" i="31"/>
  <c r="K231" i="31"/>
  <c r="I231" i="31"/>
  <c r="G231" i="31"/>
  <c r="F231" i="31"/>
  <c r="E231" i="31"/>
  <c r="AA230" i="31"/>
  <c r="S230" i="31"/>
  <c r="R230" i="31"/>
  <c r="Q230" i="31"/>
  <c r="P230" i="31"/>
  <c r="O230" i="31"/>
  <c r="N230" i="31"/>
  <c r="M230" i="31"/>
  <c r="L230" i="31"/>
  <c r="K230" i="31"/>
  <c r="I230" i="31"/>
  <c r="G230" i="31"/>
  <c r="F230" i="31"/>
  <c r="E230" i="31"/>
  <c r="AA229" i="31"/>
  <c r="S229" i="31"/>
  <c r="R229" i="31"/>
  <c r="Q229" i="31"/>
  <c r="P229" i="31"/>
  <c r="O229" i="31"/>
  <c r="N229" i="31"/>
  <c r="M229" i="31"/>
  <c r="L229" i="31"/>
  <c r="K229" i="31"/>
  <c r="J229" i="31"/>
  <c r="I229" i="31"/>
  <c r="H229" i="31"/>
  <c r="G229" i="31"/>
  <c r="F229" i="31"/>
  <c r="E229" i="31"/>
  <c r="D234" i="31"/>
  <c r="D235" i="31"/>
  <c r="D232" i="31"/>
  <c r="D233" i="31"/>
  <c r="D231" i="31"/>
  <c r="D230" i="31"/>
  <c r="D229" i="31"/>
  <c r="AA228" i="31"/>
  <c r="S228" i="31"/>
  <c r="R228" i="31"/>
  <c r="Q228" i="31"/>
  <c r="P228" i="31"/>
  <c r="O228" i="31"/>
  <c r="L228" i="31"/>
  <c r="K228" i="31"/>
  <c r="J228" i="31"/>
  <c r="I228" i="31"/>
  <c r="H228" i="31"/>
  <c r="G228" i="31"/>
  <c r="F228" i="31"/>
  <c r="E228" i="31"/>
  <c r="D228" i="31"/>
  <c r="AA197" i="31"/>
  <c r="S197" i="31"/>
  <c r="R197" i="31"/>
  <c r="Q197" i="31"/>
  <c r="P197" i="31"/>
  <c r="O197" i="31"/>
  <c r="N197" i="31"/>
  <c r="M197" i="31"/>
  <c r="L197" i="31"/>
  <c r="K197" i="31"/>
  <c r="J197" i="31"/>
  <c r="I197" i="31"/>
  <c r="H197" i="31"/>
  <c r="G197" i="31"/>
  <c r="F197" i="31"/>
  <c r="E197" i="31"/>
  <c r="D197" i="31"/>
  <c r="AA195" i="31"/>
  <c r="S195" i="31"/>
  <c r="R195" i="31"/>
  <c r="Q195" i="31"/>
  <c r="P195" i="31"/>
  <c r="O195" i="31"/>
  <c r="N195" i="31"/>
  <c r="M195" i="31"/>
  <c r="L195" i="31"/>
  <c r="K195" i="31"/>
  <c r="J195" i="31"/>
  <c r="I195" i="31"/>
  <c r="H195" i="31"/>
  <c r="G195" i="31"/>
  <c r="F195" i="31"/>
  <c r="E195" i="31"/>
  <c r="D195" i="31"/>
  <c r="AA196" i="31"/>
  <c r="S196" i="31"/>
  <c r="R196" i="31"/>
  <c r="Q196" i="31"/>
  <c r="P196" i="31"/>
  <c r="O196" i="31"/>
  <c r="N196" i="31"/>
  <c r="M196" i="31"/>
  <c r="L196" i="31"/>
  <c r="K196" i="31"/>
  <c r="J196" i="31"/>
  <c r="I196" i="31"/>
  <c r="H196" i="31"/>
  <c r="G196" i="31"/>
  <c r="F196" i="31"/>
  <c r="E196" i="31"/>
  <c r="D196" i="31"/>
  <c r="AA194" i="31"/>
  <c r="S194" i="31"/>
  <c r="R194" i="31"/>
  <c r="Q194" i="31"/>
  <c r="P194" i="31"/>
  <c r="O194" i="31"/>
  <c r="N194" i="31"/>
  <c r="M194" i="31"/>
  <c r="L194" i="31"/>
  <c r="K194" i="31"/>
  <c r="J194" i="31"/>
  <c r="I194" i="31"/>
  <c r="H194" i="31"/>
  <c r="G194" i="31"/>
  <c r="F194" i="31"/>
  <c r="E194" i="31"/>
  <c r="D194" i="31"/>
  <c r="AA193" i="31"/>
  <c r="S193" i="31"/>
  <c r="R193" i="31"/>
  <c r="Q193" i="31"/>
  <c r="P193" i="31"/>
  <c r="O193" i="31"/>
  <c r="N193" i="31"/>
  <c r="M193" i="31"/>
  <c r="L193" i="31"/>
  <c r="K193" i="31"/>
  <c r="J193" i="31"/>
  <c r="I193" i="31"/>
  <c r="H193" i="31"/>
  <c r="G193" i="31"/>
  <c r="F193" i="31"/>
  <c r="E193" i="31"/>
  <c r="D193" i="31"/>
  <c r="AA192" i="31"/>
  <c r="S192" i="31"/>
  <c r="R192" i="31"/>
  <c r="Q192" i="31"/>
  <c r="P192" i="31"/>
  <c r="O192" i="31"/>
  <c r="N192" i="31"/>
  <c r="M192" i="31"/>
  <c r="L192" i="31"/>
  <c r="K192" i="31"/>
  <c r="J192" i="31"/>
  <c r="I192" i="31"/>
  <c r="H192" i="31"/>
  <c r="G192" i="31"/>
  <c r="F192" i="31"/>
  <c r="E192" i="31"/>
  <c r="D192" i="31"/>
  <c r="AA191" i="31"/>
  <c r="S191" i="31"/>
  <c r="R191" i="31"/>
  <c r="Q191" i="31"/>
  <c r="P191" i="31"/>
  <c r="O191" i="31"/>
  <c r="N191" i="31"/>
  <c r="M191" i="31"/>
  <c r="L191" i="31"/>
  <c r="K191" i="31"/>
  <c r="J191" i="31"/>
  <c r="I191" i="31"/>
  <c r="H191" i="31"/>
  <c r="G191" i="31"/>
  <c r="F191" i="31"/>
  <c r="E191" i="31"/>
  <c r="D191" i="31"/>
  <c r="AA190" i="31"/>
  <c r="S190" i="31"/>
  <c r="R190" i="31"/>
  <c r="Q190" i="31"/>
  <c r="P190" i="31"/>
  <c r="O190" i="31"/>
  <c r="N190" i="31"/>
  <c r="M190" i="31"/>
  <c r="L190" i="31"/>
  <c r="K190" i="31"/>
  <c r="J190" i="31"/>
  <c r="I190" i="31"/>
  <c r="H190" i="31"/>
  <c r="G190" i="31"/>
  <c r="F190" i="31"/>
  <c r="E190" i="31"/>
  <c r="D190" i="31"/>
  <c r="AA189" i="31"/>
  <c r="S189" i="31"/>
  <c r="R189" i="31"/>
  <c r="Q189" i="31"/>
  <c r="P189" i="31"/>
  <c r="O189" i="31"/>
  <c r="N189" i="31"/>
  <c r="M189" i="31"/>
  <c r="L189" i="31"/>
  <c r="K189" i="31"/>
  <c r="J189" i="31"/>
  <c r="I189" i="31"/>
  <c r="H189" i="31"/>
  <c r="G189" i="31"/>
  <c r="F189" i="31"/>
  <c r="E189" i="31"/>
  <c r="D189" i="31"/>
  <c r="AA188" i="31"/>
  <c r="S188" i="31"/>
  <c r="R188" i="31"/>
  <c r="Q188" i="31"/>
  <c r="P188" i="31"/>
  <c r="O188" i="31"/>
  <c r="N188" i="31"/>
  <c r="M188" i="31"/>
  <c r="L188" i="31"/>
  <c r="K188" i="31"/>
  <c r="J188" i="31"/>
  <c r="I188" i="31"/>
  <c r="H188" i="31"/>
  <c r="G188" i="31"/>
  <c r="F188" i="31"/>
  <c r="E188" i="31"/>
  <c r="D188" i="31"/>
  <c r="AA187" i="31"/>
  <c r="S187" i="31"/>
  <c r="R187" i="31"/>
  <c r="Q187" i="31"/>
  <c r="P187" i="31"/>
  <c r="O187" i="31"/>
  <c r="N187" i="31"/>
  <c r="M187" i="31"/>
  <c r="L187" i="31"/>
  <c r="K187" i="31"/>
  <c r="J187" i="31"/>
  <c r="I187" i="31"/>
  <c r="H187" i="31"/>
  <c r="G187" i="31"/>
  <c r="F187" i="31"/>
  <c r="E187" i="31"/>
  <c r="D187" i="31"/>
  <c r="AA184" i="31"/>
  <c r="S184" i="31"/>
  <c r="R184" i="31"/>
  <c r="Q184" i="31"/>
  <c r="P184" i="31"/>
  <c r="O184" i="31"/>
  <c r="N184" i="31"/>
  <c r="M184" i="31"/>
  <c r="L184" i="31"/>
  <c r="K184" i="31"/>
  <c r="J184" i="31"/>
  <c r="I184" i="31"/>
  <c r="H184" i="31"/>
  <c r="G184" i="31"/>
  <c r="F184" i="31"/>
  <c r="E184" i="31"/>
  <c r="D184" i="31"/>
  <c r="AA186" i="31"/>
  <c r="S186" i="31"/>
  <c r="R186" i="31"/>
  <c r="Q186" i="31"/>
  <c r="P186" i="31"/>
  <c r="O186" i="31"/>
  <c r="N186" i="31"/>
  <c r="M186" i="31"/>
  <c r="L186" i="31"/>
  <c r="K186" i="31"/>
  <c r="J186" i="31"/>
  <c r="I186" i="31"/>
  <c r="H186" i="31"/>
  <c r="G186" i="31"/>
  <c r="F186" i="31"/>
  <c r="E186" i="31"/>
  <c r="D186" i="31"/>
  <c r="AA185" i="31"/>
  <c r="S185" i="31"/>
  <c r="R185" i="31"/>
  <c r="Q185" i="31"/>
  <c r="P185" i="31"/>
  <c r="O185" i="31"/>
  <c r="N185" i="31"/>
  <c r="M185" i="31"/>
  <c r="L185" i="31"/>
  <c r="K185" i="31"/>
  <c r="J185" i="31"/>
  <c r="I185" i="31"/>
  <c r="H185" i="31"/>
  <c r="G185" i="31"/>
  <c r="F185" i="31"/>
  <c r="E185" i="31"/>
  <c r="D185" i="31"/>
  <c r="AA183" i="31"/>
  <c r="S183" i="31"/>
  <c r="R183" i="31"/>
  <c r="Q183" i="31"/>
  <c r="P183" i="31"/>
  <c r="O183" i="31"/>
  <c r="N183" i="31"/>
  <c r="M183" i="31"/>
  <c r="L183" i="31"/>
  <c r="K183" i="31"/>
  <c r="J183" i="31"/>
  <c r="I183" i="31"/>
  <c r="H183" i="31"/>
  <c r="G183" i="31"/>
  <c r="F183" i="31"/>
  <c r="E183" i="31"/>
  <c r="D183" i="31"/>
  <c r="AA182" i="31"/>
  <c r="S182" i="31"/>
  <c r="R182" i="31"/>
  <c r="Q182" i="31"/>
  <c r="P182" i="31"/>
  <c r="O182" i="31"/>
  <c r="N182" i="31"/>
  <c r="M182" i="31"/>
  <c r="L182" i="31"/>
  <c r="K182" i="31"/>
  <c r="J182" i="31"/>
  <c r="I182" i="31"/>
  <c r="H182" i="31"/>
  <c r="G182" i="31"/>
  <c r="F182" i="31"/>
  <c r="E182" i="31"/>
  <c r="D182" i="31"/>
  <c r="AA181" i="31"/>
  <c r="S181" i="31"/>
  <c r="R181" i="31"/>
  <c r="Q181" i="31"/>
  <c r="P181" i="31"/>
  <c r="O181" i="31"/>
  <c r="N181" i="31"/>
  <c r="M181" i="31"/>
  <c r="L181" i="31"/>
  <c r="K181" i="31"/>
  <c r="J181" i="31"/>
  <c r="I181" i="31"/>
  <c r="H181" i="31"/>
  <c r="G181" i="31"/>
  <c r="F181" i="31"/>
  <c r="E181" i="31"/>
  <c r="D181" i="31"/>
  <c r="AA180" i="31"/>
  <c r="S180" i="31"/>
  <c r="R180" i="31"/>
  <c r="Q180" i="31"/>
  <c r="P180" i="31"/>
  <c r="O180" i="31"/>
  <c r="N180" i="31"/>
  <c r="M180" i="31"/>
  <c r="L180" i="31"/>
  <c r="K180" i="31"/>
  <c r="J180" i="31"/>
  <c r="I180" i="31"/>
  <c r="H180" i="31"/>
  <c r="G180" i="31"/>
  <c r="F180" i="31"/>
  <c r="E180" i="31"/>
  <c r="D180" i="31"/>
  <c r="AA172" i="31"/>
  <c r="S172" i="31"/>
  <c r="R172" i="31"/>
  <c r="Q172" i="31"/>
  <c r="P172" i="31"/>
  <c r="O172" i="31"/>
  <c r="N172" i="31"/>
  <c r="M172" i="31"/>
  <c r="L172" i="31"/>
  <c r="K172" i="31"/>
  <c r="J172" i="31"/>
  <c r="I172" i="31"/>
  <c r="H172" i="31"/>
  <c r="G172" i="31"/>
  <c r="F172" i="31"/>
  <c r="E172" i="31"/>
  <c r="D172" i="31"/>
  <c r="AA171" i="31"/>
  <c r="S171" i="31"/>
  <c r="R171" i="31"/>
  <c r="Q171" i="31"/>
  <c r="P171" i="31"/>
  <c r="O171" i="31"/>
  <c r="N171" i="31"/>
  <c r="M171" i="31"/>
  <c r="L171" i="31"/>
  <c r="K171" i="31"/>
  <c r="J171" i="31"/>
  <c r="I171" i="31"/>
  <c r="H171" i="31"/>
  <c r="G171" i="31"/>
  <c r="F171" i="31"/>
  <c r="E171" i="31"/>
  <c r="D171" i="31"/>
  <c r="AA170" i="31"/>
  <c r="S170" i="31"/>
  <c r="R170" i="31"/>
  <c r="Q170" i="31"/>
  <c r="P170" i="31"/>
  <c r="O170" i="31"/>
  <c r="N170" i="31"/>
  <c r="M170" i="31"/>
  <c r="L170" i="31"/>
  <c r="K170" i="31"/>
  <c r="J170" i="31"/>
  <c r="I170" i="31"/>
  <c r="H170" i="31"/>
  <c r="G170" i="31"/>
  <c r="F170" i="31"/>
  <c r="E170" i="31"/>
  <c r="D170" i="31"/>
  <c r="AA168" i="31"/>
  <c r="S168" i="31"/>
  <c r="S167" i="31" s="1"/>
  <c r="R168" i="31"/>
  <c r="Q168" i="31"/>
  <c r="P168" i="31"/>
  <c r="O168" i="31"/>
  <c r="N168" i="31"/>
  <c r="M168" i="31"/>
  <c r="L168" i="31"/>
  <c r="K168" i="31"/>
  <c r="J168" i="31"/>
  <c r="I168" i="31"/>
  <c r="H168" i="31"/>
  <c r="G168" i="31"/>
  <c r="F168" i="31"/>
  <c r="E168" i="31"/>
  <c r="D168" i="31"/>
  <c r="AA166" i="31"/>
  <c r="S166" i="31"/>
  <c r="R166" i="31"/>
  <c r="Q166" i="31"/>
  <c r="P166" i="31"/>
  <c r="O166" i="31"/>
  <c r="N166" i="31"/>
  <c r="M166" i="31"/>
  <c r="L166" i="31"/>
  <c r="K166" i="31"/>
  <c r="J166" i="31"/>
  <c r="I166" i="31"/>
  <c r="H166" i="31"/>
  <c r="G166" i="31"/>
  <c r="F166" i="31"/>
  <c r="E166" i="31"/>
  <c r="D166" i="31"/>
  <c r="AA163" i="31"/>
  <c r="S163" i="31"/>
  <c r="R163" i="31"/>
  <c r="Q163" i="31"/>
  <c r="P163" i="31"/>
  <c r="O163" i="31"/>
  <c r="N163" i="31"/>
  <c r="M163" i="31"/>
  <c r="L163" i="31"/>
  <c r="K163" i="31"/>
  <c r="J163" i="31"/>
  <c r="I163" i="31"/>
  <c r="H163" i="31"/>
  <c r="G163" i="31"/>
  <c r="F163" i="31"/>
  <c r="E163" i="31"/>
  <c r="D163" i="31"/>
  <c r="AA165" i="31"/>
  <c r="S165" i="31"/>
  <c r="R165" i="31"/>
  <c r="Q165" i="31"/>
  <c r="P165" i="31"/>
  <c r="O165" i="31"/>
  <c r="N165" i="31"/>
  <c r="M165" i="31"/>
  <c r="L165" i="31"/>
  <c r="K165" i="31"/>
  <c r="J165" i="31"/>
  <c r="I165" i="31"/>
  <c r="H165" i="31"/>
  <c r="G165" i="31"/>
  <c r="F165" i="31"/>
  <c r="E165" i="31"/>
  <c r="D165" i="31"/>
  <c r="AA164" i="31"/>
  <c r="S164" i="31"/>
  <c r="R164" i="31"/>
  <c r="Q164" i="31"/>
  <c r="P164" i="31"/>
  <c r="O164" i="31"/>
  <c r="N164" i="31"/>
  <c r="M164" i="31"/>
  <c r="L164" i="31"/>
  <c r="K164" i="31"/>
  <c r="J164" i="31"/>
  <c r="I164" i="31"/>
  <c r="H164" i="31"/>
  <c r="G164" i="31"/>
  <c r="F164" i="31"/>
  <c r="E164" i="31"/>
  <c r="D164" i="31"/>
  <c r="AA162" i="31"/>
  <c r="S162" i="31"/>
  <c r="R162" i="31"/>
  <c r="Q162" i="31"/>
  <c r="P162" i="31"/>
  <c r="O162" i="31"/>
  <c r="N162" i="31"/>
  <c r="M162" i="31"/>
  <c r="L162" i="31"/>
  <c r="K162" i="31"/>
  <c r="J162" i="31"/>
  <c r="I162" i="31"/>
  <c r="H162" i="31"/>
  <c r="G162" i="31"/>
  <c r="F162" i="31"/>
  <c r="E162" i="31"/>
  <c r="D162" i="31"/>
  <c r="AA161" i="31"/>
  <c r="S161" i="31"/>
  <c r="R161" i="31"/>
  <c r="Q161" i="31"/>
  <c r="P161" i="31"/>
  <c r="O161" i="31"/>
  <c r="N161" i="31"/>
  <c r="M161" i="31"/>
  <c r="L161" i="31"/>
  <c r="K161" i="31"/>
  <c r="J161" i="31"/>
  <c r="I161" i="31"/>
  <c r="H161" i="31"/>
  <c r="G161" i="31"/>
  <c r="F161" i="31"/>
  <c r="E161" i="31"/>
  <c r="D161" i="31"/>
  <c r="AA159" i="31"/>
  <c r="S159" i="31"/>
  <c r="R159" i="31"/>
  <c r="Q159" i="31"/>
  <c r="P159" i="31"/>
  <c r="O159" i="31"/>
  <c r="N159" i="31"/>
  <c r="M159" i="31"/>
  <c r="L159" i="31"/>
  <c r="K159" i="31"/>
  <c r="J159" i="31"/>
  <c r="I159" i="31"/>
  <c r="H159" i="31"/>
  <c r="G159" i="31"/>
  <c r="F159" i="31"/>
  <c r="E159" i="31"/>
  <c r="D159" i="31"/>
  <c r="AA158" i="31"/>
  <c r="S158" i="31"/>
  <c r="R158" i="31"/>
  <c r="Q158" i="31"/>
  <c r="P158" i="31"/>
  <c r="O158" i="31"/>
  <c r="N158" i="31"/>
  <c r="M158" i="31"/>
  <c r="L158" i="31"/>
  <c r="K158" i="31"/>
  <c r="J158" i="31"/>
  <c r="I158" i="31"/>
  <c r="H158" i="31"/>
  <c r="G158" i="31"/>
  <c r="F158" i="31"/>
  <c r="E158" i="31"/>
  <c r="D158" i="31"/>
  <c r="AA157" i="31"/>
  <c r="S157" i="31"/>
  <c r="R157" i="31"/>
  <c r="Q157" i="31"/>
  <c r="P157" i="31"/>
  <c r="O157" i="31"/>
  <c r="N157" i="31"/>
  <c r="M157" i="31"/>
  <c r="L157" i="31"/>
  <c r="K157" i="31"/>
  <c r="J157" i="31"/>
  <c r="I157" i="31"/>
  <c r="H157" i="31"/>
  <c r="G157" i="31"/>
  <c r="F157" i="31"/>
  <c r="E157" i="31"/>
  <c r="D157" i="31"/>
  <c r="AA160" i="31"/>
  <c r="S160" i="31"/>
  <c r="R160" i="31"/>
  <c r="Q160" i="31"/>
  <c r="P160" i="31"/>
  <c r="O160" i="31"/>
  <c r="N160" i="31"/>
  <c r="M160" i="31"/>
  <c r="L160" i="31"/>
  <c r="K160" i="31"/>
  <c r="J160" i="31"/>
  <c r="I160" i="31"/>
  <c r="H160" i="31"/>
  <c r="G160" i="31"/>
  <c r="F160" i="31"/>
  <c r="E160" i="31"/>
  <c r="D160" i="31"/>
  <c r="AA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AA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AA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AA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AA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AA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AA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AA147" i="31"/>
  <c r="S147" i="31"/>
  <c r="R147" i="31"/>
  <c r="Q147" i="31"/>
  <c r="P147" i="31"/>
  <c r="O147" i="31"/>
  <c r="N147" i="31"/>
  <c r="M147" i="31"/>
  <c r="L147" i="31"/>
  <c r="K147" i="31"/>
  <c r="J147" i="31"/>
  <c r="I147" i="31"/>
  <c r="H147" i="31"/>
  <c r="G147" i="31"/>
  <c r="F147" i="31"/>
  <c r="E147" i="31"/>
  <c r="D147" i="31"/>
  <c r="AA145" i="31"/>
  <c r="S145" i="31"/>
  <c r="R145" i="31"/>
  <c r="Q145" i="31"/>
  <c r="P145" i="31"/>
  <c r="O145" i="31"/>
  <c r="N145" i="31"/>
  <c r="M145" i="31"/>
  <c r="L145" i="31"/>
  <c r="K145" i="31"/>
  <c r="J145" i="31"/>
  <c r="I145" i="31"/>
  <c r="H145" i="31"/>
  <c r="G145" i="31"/>
  <c r="F145" i="31"/>
  <c r="E145" i="31"/>
  <c r="D145" i="31"/>
  <c r="AA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AA146" i="31"/>
  <c r="S146" i="31"/>
  <c r="R146" i="31"/>
  <c r="Q146" i="31"/>
  <c r="P146" i="31"/>
  <c r="O146" i="31"/>
  <c r="N146" i="31"/>
  <c r="M146" i="31"/>
  <c r="L146" i="31"/>
  <c r="K146" i="31"/>
  <c r="J146" i="31"/>
  <c r="I146" i="31"/>
  <c r="H146" i="31"/>
  <c r="G146" i="31"/>
  <c r="F146" i="31"/>
  <c r="E146" i="31"/>
  <c r="D146" i="31"/>
  <c r="AA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AA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AA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AA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AA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AA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AA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AA136" i="31"/>
  <c r="S136" i="31"/>
  <c r="R136" i="31"/>
  <c r="Q136" i="31"/>
  <c r="P136" i="31"/>
  <c r="O136" i="31"/>
  <c r="N136" i="31"/>
  <c r="M136" i="31"/>
  <c r="L136" i="31"/>
  <c r="K136" i="31"/>
  <c r="J136" i="31"/>
  <c r="I136" i="31"/>
  <c r="H136" i="31"/>
  <c r="G136" i="31"/>
  <c r="F136" i="31"/>
  <c r="E136" i="31"/>
  <c r="D136" i="31"/>
  <c r="AA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AA135" i="31"/>
  <c r="S135" i="31"/>
  <c r="R135" i="31"/>
  <c r="Q135" i="31"/>
  <c r="P135" i="31"/>
  <c r="O135" i="31"/>
  <c r="N135" i="31"/>
  <c r="M135" i="31"/>
  <c r="L135" i="31"/>
  <c r="K135" i="31"/>
  <c r="J135" i="31"/>
  <c r="I135" i="31"/>
  <c r="H135" i="31"/>
  <c r="G135" i="31"/>
  <c r="F135" i="31"/>
  <c r="E135" i="31"/>
  <c r="D135" i="31"/>
  <c r="AA134" i="31"/>
  <c r="S134" i="31"/>
  <c r="R134" i="31"/>
  <c r="Q134" i="31"/>
  <c r="P134" i="31"/>
  <c r="O134" i="31"/>
  <c r="N134" i="31"/>
  <c r="M134" i="31"/>
  <c r="L134" i="31"/>
  <c r="K134" i="31"/>
  <c r="J134" i="31"/>
  <c r="I134" i="31"/>
  <c r="H134" i="31"/>
  <c r="G134" i="31"/>
  <c r="F134" i="31"/>
  <c r="E134" i="31"/>
  <c r="D134" i="31"/>
  <c r="AA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AA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AA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AA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AA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AA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AA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AA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AA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AA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AA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AA112" i="31"/>
  <c r="S112" i="31"/>
  <c r="R112" i="31"/>
  <c r="Q112" i="31"/>
  <c r="P112" i="31"/>
  <c r="O112" i="31"/>
  <c r="N112" i="31"/>
  <c r="M112" i="31"/>
  <c r="L112" i="31"/>
  <c r="K112" i="31"/>
  <c r="J112" i="31"/>
  <c r="I112" i="31"/>
  <c r="H112" i="31"/>
  <c r="G112" i="31"/>
  <c r="F112" i="31"/>
  <c r="E112" i="31"/>
  <c r="D112" i="31"/>
  <c r="AA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AA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AA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AA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AA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AA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AA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AA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AA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AA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AA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AA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AA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AA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AA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AA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AA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AA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AA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AA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AA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AA89" i="31"/>
  <c r="S89" i="31"/>
  <c r="S88" i="31" s="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AA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AA81" i="31"/>
  <c r="S81" i="31"/>
  <c r="R81" i="31"/>
  <c r="Q81" i="31"/>
  <c r="P81" i="31"/>
  <c r="O81" i="31"/>
  <c r="N81" i="31"/>
  <c r="M81" i="31"/>
  <c r="L81" i="31"/>
  <c r="K81" i="31"/>
  <c r="J81" i="31"/>
  <c r="I81" i="31"/>
  <c r="H81" i="31"/>
  <c r="G81" i="31"/>
  <c r="F81" i="31"/>
  <c r="E81" i="31"/>
  <c r="D81" i="31"/>
  <c r="AA80" i="31"/>
  <c r="S80" i="31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E80" i="31"/>
  <c r="D80" i="31"/>
  <c r="AA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AA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AA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AA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AA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AA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AA70" i="31"/>
  <c r="S70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F70" i="31"/>
  <c r="E70" i="31"/>
  <c r="D70" i="31"/>
  <c r="AA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AA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AA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AA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AA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AA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AA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AA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AA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AA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L95" i="30"/>
  <c r="L94" i="30"/>
  <c r="BJ67" i="28"/>
  <c r="BJ66" i="28"/>
  <c r="D209" i="31" a="1"/>
  <c r="D205" i="31" a="1"/>
  <c r="D207" i="31" a="1"/>
  <c r="D204" i="31" a="1"/>
  <c r="S37" i="34" a="1"/>
  <c r="S37" i="34" s="1"/>
  <c r="S26" i="34"/>
  <c r="E16" i="29"/>
  <c r="E15" i="29"/>
  <c r="A16" i="29"/>
  <c r="S175" i="31"/>
  <c r="CM122" i="28"/>
  <c r="CL122" i="28"/>
  <c r="CK122" i="28"/>
  <c r="CJ122" i="28"/>
  <c r="CM121" i="28"/>
  <c r="CL121" i="28"/>
  <c r="CK121" i="28"/>
  <c r="CJ121" i="28"/>
  <c r="CM120" i="28"/>
  <c r="CL120" i="28"/>
  <c r="CK120" i="28"/>
  <c r="CJ120" i="28"/>
  <c r="CM119" i="28"/>
  <c r="CL119" i="28"/>
  <c r="CK119" i="28"/>
  <c r="CJ119" i="28"/>
  <c r="CM118" i="28"/>
  <c r="CL118" i="28"/>
  <c r="CK118" i="28"/>
  <c r="CJ118" i="28"/>
  <c r="CM117" i="28"/>
  <c r="CL117" i="28"/>
  <c r="CK117" i="28"/>
  <c r="CJ117" i="28"/>
  <c r="CM116" i="28"/>
  <c r="CL116" i="28"/>
  <c r="CK116" i="28"/>
  <c r="CJ116" i="28"/>
  <c r="CM115" i="28"/>
  <c r="CL115" i="28"/>
  <c r="CK115" i="28"/>
  <c r="CJ115" i="28"/>
  <c r="CM114" i="28"/>
  <c r="CL114" i="28"/>
  <c r="CK114" i="28"/>
  <c r="CJ114" i="28"/>
  <c r="CM113" i="28"/>
  <c r="CL113" i="28"/>
  <c r="CK113" i="28"/>
  <c r="CJ113" i="28"/>
  <c r="CM112" i="28"/>
  <c r="CL112" i="28"/>
  <c r="CK112" i="28"/>
  <c r="CJ112" i="28"/>
  <c r="CM111" i="28"/>
  <c r="CL111" i="28"/>
  <c r="CK111" i="28"/>
  <c r="CJ111" i="28"/>
  <c r="CM110" i="28"/>
  <c r="CL110" i="28"/>
  <c r="CK110" i="28"/>
  <c r="CJ110" i="28"/>
  <c r="CM109" i="28"/>
  <c r="CL109" i="28"/>
  <c r="CK109" i="28"/>
  <c r="CJ109" i="28"/>
  <c r="CM108" i="28"/>
  <c r="CL108" i="28"/>
  <c r="CK108" i="28"/>
  <c r="CJ108" i="28"/>
  <c r="CM107" i="28"/>
  <c r="CL107" i="28"/>
  <c r="CK107" i="28"/>
  <c r="CJ107" i="28"/>
  <c r="CM106" i="28"/>
  <c r="CL106" i="28"/>
  <c r="CK106" i="28"/>
  <c r="CJ106" i="28"/>
  <c r="CM105" i="28"/>
  <c r="CL105" i="28"/>
  <c r="CK105" i="28"/>
  <c r="CJ105" i="28"/>
  <c r="CM104" i="28"/>
  <c r="CL104" i="28"/>
  <c r="CK104" i="28"/>
  <c r="CJ104" i="28"/>
  <c r="CM103" i="28"/>
  <c r="CL103" i="28"/>
  <c r="CK103" i="28"/>
  <c r="CJ103" i="28"/>
  <c r="CM102" i="28"/>
  <c r="CL102" i="28"/>
  <c r="CK102" i="28"/>
  <c r="CJ102" i="28"/>
  <c r="CM101" i="28"/>
  <c r="CL101" i="28"/>
  <c r="CK101" i="28"/>
  <c r="CJ101" i="28"/>
  <c r="CM100" i="28"/>
  <c r="CL100" i="28"/>
  <c r="CK100" i="28"/>
  <c r="CJ100" i="28"/>
  <c r="CM99" i="28"/>
  <c r="CL99" i="28"/>
  <c r="CK99" i="28"/>
  <c r="CJ99" i="28"/>
  <c r="CM98" i="28"/>
  <c r="CL98" i="28"/>
  <c r="CK98" i="28"/>
  <c r="CJ98" i="28"/>
  <c r="CM97" i="28"/>
  <c r="CL97" i="28"/>
  <c r="CK97" i="28"/>
  <c r="CJ97" i="28"/>
  <c r="CM96" i="28"/>
  <c r="CL96" i="28"/>
  <c r="CK96" i="28"/>
  <c r="CJ96" i="28"/>
  <c r="CM95" i="28"/>
  <c r="CL95" i="28"/>
  <c r="CK95" i="28"/>
  <c r="CJ95" i="28"/>
  <c r="CM94" i="28"/>
  <c r="CL94" i="28"/>
  <c r="CK94" i="28"/>
  <c r="CJ94" i="28"/>
  <c r="CM93" i="28"/>
  <c r="CL93" i="28"/>
  <c r="CK93" i="28"/>
  <c r="CJ93" i="28"/>
  <c r="CM92" i="28"/>
  <c r="CL92" i="28"/>
  <c r="CK92" i="28"/>
  <c r="CJ92" i="28"/>
  <c r="CM91" i="28"/>
  <c r="CL91" i="28"/>
  <c r="CK91" i="28"/>
  <c r="CJ91" i="28"/>
  <c r="CM90" i="28"/>
  <c r="CL90" i="28"/>
  <c r="CK90" i="28"/>
  <c r="CJ90" i="28"/>
  <c r="CM89" i="28"/>
  <c r="CL89" i="28"/>
  <c r="CK89" i="28"/>
  <c r="CJ89" i="28"/>
  <c r="CM88" i="28"/>
  <c r="CL88" i="28"/>
  <c r="CK88" i="28"/>
  <c r="CJ88" i="28"/>
  <c r="CM87" i="28"/>
  <c r="CL87" i="28"/>
  <c r="CK87" i="28"/>
  <c r="CJ87" i="28"/>
  <c r="CM86" i="28"/>
  <c r="CL86" i="28"/>
  <c r="CK86" i="28"/>
  <c r="CJ86" i="28"/>
  <c r="CM85" i="28"/>
  <c r="CL85" i="28"/>
  <c r="CK85" i="28"/>
  <c r="CJ85" i="28"/>
  <c r="CM84" i="28"/>
  <c r="CL84" i="28"/>
  <c r="CK84" i="28"/>
  <c r="CJ84" i="28"/>
  <c r="CM83" i="28"/>
  <c r="CL83" i="28"/>
  <c r="CK83" i="28"/>
  <c r="CJ83" i="28"/>
  <c r="CM82" i="28"/>
  <c r="CL82" i="28"/>
  <c r="CK82" i="28"/>
  <c r="CJ82" i="28"/>
  <c r="CM81" i="28"/>
  <c r="CL81" i="28"/>
  <c r="CK81" i="28"/>
  <c r="CJ81" i="28"/>
  <c r="CM80" i="28"/>
  <c r="CL80" i="28"/>
  <c r="CK80" i="28"/>
  <c r="CJ80" i="28"/>
  <c r="CM79" i="28"/>
  <c r="CL79" i="28"/>
  <c r="CK79" i="28"/>
  <c r="CJ79" i="28"/>
  <c r="CM78" i="28"/>
  <c r="CL78" i="28"/>
  <c r="CK78" i="28"/>
  <c r="CJ78" i="28"/>
  <c r="CM77" i="28"/>
  <c r="CL77" i="28"/>
  <c r="CK77" i="28"/>
  <c r="CJ77" i="28"/>
  <c r="CM76" i="28"/>
  <c r="CL76" i="28"/>
  <c r="CK76" i="28"/>
  <c r="CJ76" i="28"/>
  <c r="CM75" i="28"/>
  <c r="CL75" i="28"/>
  <c r="CK75" i="28"/>
  <c r="CJ75" i="28"/>
  <c r="CM74" i="28"/>
  <c r="CL74" i="28"/>
  <c r="CK74" i="28"/>
  <c r="CJ74" i="28"/>
  <c r="CM73" i="28"/>
  <c r="CL73" i="28"/>
  <c r="CK73" i="28"/>
  <c r="CJ73" i="28"/>
  <c r="CM72" i="28"/>
  <c r="CL72" i="28"/>
  <c r="CK72" i="28"/>
  <c r="CJ72" i="28"/>
  <c r="CM71" i="28"/>
  <c r="CL71" i="28"/>
  <c r="CK71" i="28"/>
  <c r="CJ71" i="28"/>
  <c r="CM70" i="28"/>
  <c r="CL70" i="28"/>
  <c r="CK70" i="28"/>
  <c r="CJ70" i="28"/>
  <c r="CM69" i="28"/>
  <c r="CL69" i="28"/>
  <c r="CK69" i="28"/>
  <c r="CJ69" i="28"/>
  <c r="CM68" i="28"/>
  <c r="CL68" i="28"/>
  <c r="CK68" i="28"/>
  <c r="CJ68" i="28"/>
  <c r="CM67" i="28"/>
  <c r="CL67" i="28"/>
  <c r="CK67" i="28"/>
  <c r="CJ67" i="28"/>
  <c r="CM66" i="28"/>
  <c r="CL66" i="28"/>
  <c r="CK66" i="28"/>
  <c r="CJ66" i="28"/>
  <c r="CM65" i="28"/>
  <c r="CL65" i="28"/>
  <c r="CK65" i="28"/>
  <c r="CJ65" i="28"/>
  <c r="CM64" i="28"/>
  <c r="CL64" i="28"/>
  <c r="CK64" i="28"/>
  <c r="CJ64" i="28"/>
  <c r="CM63" i="28"/>
  <c r="CL63" i="28"/>
  <c r="CK63" i="28"/>
  <c r="CJ63" i="28"/>
  <c r="CM62" i="28"/>
  <c r="CL62" i="28"/>
  <c r="CK62" i="28"/>
  <c r="CJ62" i="28"/>
  <c r="CM61" i="28"/>
  <c r="CL61" i="28"/>
  <c r="CK61" i="28"/>
  <c r="CJ61" i="28"/>
  <c r="CM60" i="28"/>
  <c r="CL60" i="28"/>
  <c r="CK60" i="28"/>
  <c r="CJ60" i="28"/>
  <c r="CM59" i="28"/>
  <c r="CL59" i="28"/>
  <c r="CK59" i="28"/>
  <c r="CJ59" i="28"/>
  <c r="CM58" i="28"/>
  <c r="CL58" i="28"/>
  <c r="CK58" i="28"/>
  <c r="CJ58" i="28"/>
  <c r="CM57" i="28"/>
  <c r="CL57" i="28"/>
  <c r="CK57" i="28"/>
  <c r="CJ57" i="28"/>
  <c r="CM56" i="28"/>
  <c r="CL56" i="28"/>
  <c r="CK56" i="28"/>
  <c r="CJ56" i="28"/>
  <c r="CM55" i="28"/>
  <c r="CL55" i="28"/>
  <c r="CK55" i="28"/>
  <c r="CJ55" i="28"/>
  <c r="CM54" i="28"/>
  <c r="CL54" i="28"/>
  <c r="CK54" i="28"/>
  <c r="CJ54" i="28"/>
  <c r="CM53" i="28"/>
  <c r="CL53" i="28"/>
  <c r="CK53" i="28"/>
  <c r="CJ53" i="28"/>
  <c r="CM52" i="28"/>
  <c r="CL52" i="28"/>
  <c r="CK52" i="28"/>
  <c r="CJ52" i="28"/>
  <c r="CM51" i="28"/>
  <c r="CL51" i="28"/>
  <c r="CK51" i="28"/>
  <c r="CJ51" i="28"/>
  <c r="CM50" i="28"/>
  <c r="CL50" i="28"/>
  <c r="CK50" i="28"/>
  <c r="CJ50" i="28"/>
  <c r="CM49" i="28"/>
  <c r="CL49" i="28"/>
  <c r="CK49" i="28"/>
  <c r="CJ49" i="28"/>
  <c r="CM48" i="28"/>
  <c r="CL48" i="28"/>
  <c r="CK48" i="28"/>
  <c r="CJ48" i="28"/>
  <c r="CM47" i="28"/>
  <c r="CL47" i="28"/>
  <c r="CK47" i="28"/>
  <c r="CJ47" i="28"/>
  <c r="CM46" i="28"/>
  <c r="CL46" i="28"/>
  <c r="CK46" i="28"/>
  <c r="CJ46" i="28"/>
  <c r="CM45" i="28"/>
  <c r="CL45" i="28"/>
  <c r="CK45" i="28"/>
  <c r="CJ45" i="28"/>
  <c r="CM44" i="28"/>
  <c r="CL44" i="28"/>
  <c r="CK44" i="28"/>
  <c r="CJ44" i="28"/>
  <c r="CM43" i="28"/>
  <c r="CL43" i="28"/>
  <c r="CK43" i="28"/>
  <c r="CJ43" i="28"/>
  <c r="CM42" i="28"/>
  <c r="CL42" i="28"/>
  <c r="CK42" i="28"/>
  <c r="CJ42" i="28"/>
  <c r="CM41" i="28"/>
  <c r="CL41" i="28"/>
  <c r="CK41" i="28"/>
  <c r="CJ41" i="28"/>
  <c r="CM40" i="28"/>
  <c r="CL40" i="28"/>
  <c r="CK40" i="28"/>
  <c r="CJ40" i="28"/>
  <c r="CM39" i="28"/>
  <c r="CL39" i="28"/>
  <c r="CK39" i="28"/>
  <c r="CJ39" i="28"/>
  <c r="CM38" i="28"/>
  <c r="CL38" i="28"/>
  <c r="CK38" i="28"/>
  <c r="CJ38" i="28"/>
  <c r="CM37" i="28"/>
  <c r="CL37" i="28"/>
  <c r="CK37" i="28"/>
  <c r="CJ37" i="28"/>
  <c r="CM36" i="28"/>
  <c r="CL36" i="28"/>
  <c r="CK36" i="28"/>
  <c r="CJ36" i="28"/>
  <c r="CM35" i="28"/>
  <c r="CL35" i="28"/>
  <c r="CK35" i="28"/>
  <c r="CJ35" i="28"/>
  <c r="CM34" i="28"/>
  <c r="CL34" i="28"/>
  <c r="CK34" i="28"/>
  <c r="CJ34" i="28"/>
  <c r="CM33" i="28"/>
  <c r="CL33" i="28"/>
  <c r="CK33" i="28"/>
  <c r="CJ33" i="28"/>
  <c r="CM32" i="28"/>
  <c r="CL32" i="28"/>
  <c r="CK32" i="28"/>
  <c r="CJ32" i="28"/>
  <c r="CM31" i="28"/>
  <c r="CL31" i="28"/>
  <c r="CK31" i="28"/>
  <c r="CJ31" i="28"/>
  <c r="CM30" i="28"/>
  <c r="CL30" i="28"/>
  <c r="CK30" i="28"/>
  <c r="CJ30" i="28"/>
  <c r="CM29" i="28"/>
  <c r="CL29" i="28"/>
  <c r="CK29" i="28"/>
  <c r="CJ29" i="28"/>
  <c r="CM28" i="28"/>
  <c r="CL28" i="28"/>
  <c r="CK28" i="28"/>
  <c r="CJ28" i="28"/>
  <c r="CM27" i="28"/>
  <c r="CL27" i="28"/>
  <c r="CK27" i="28"/>
  <c r="CJ27" i="28"/>
  <c r="CM26" i="28"/>
  <c r="CL26" i="28"/>
  <c r="CK26" i="28"/>
  <c r="CJ26" i="28"/>
  <c r="CM25" i="28"/>
  <c r="CL25" i="28"/>
  <c r="CK25" i="28"/>
  <c r="CJ25" i="28"/>
  <c r="CM24" i="28"/>
  <c r="CL24" i="28"/>
  <c r="CK24" i="28"/>
  <c r="CJ24" i="28"/>
  <c r="CM23" i="28"/>
  <c r="CL23" i="28"/>
  <c r="CK23" i="28"/>
  <c r="CJ23" i="28"/>
  <c r="CM22" i="28"/>
  <c r="CL22" i="28"/>
  <c r="CK22" i="28"/>
  <c r="CJ22" i="28"/>
  <c r="CM21" i="28"/>
  <c r="CL21" i="28"/>
  <c r="CK21" i="28"/>
  <c r="CJ21" i="28"/>
  <c r="CM20" i="28"/>
  <c r="CL20" i="28"/>
  <c r="CK20" i="28"/>
  <c r="CJ20" i="28"/>
  <c r="CM19" i="28"/>
  <c r="CL19" i="28"/>
  <c r="CK19" i="28"/>
  <c r="CJ19" i="28"/>
  <c r="CM18" i="28"/>
  <c r="CL18" i="28"/>
  <c r="CK18" i="28"/>
  <c r="CJ18" i="28"/>
  <c r="CM17" i="28"/>
  <c r="CL17" i="28"/>
  <c r="CK17" i="28"/>
  <c r="CJ17" i="28"/>
  <c r="CM16" i="28"/>
  <c r="CL16" i="28"/>
  <c r="CK16" i="28"/>
  <c r="CJ16" i="28"/>
  <c r="CM15" i="28"/>
  <c r="CL15" i="28"/>
  <c r="CK15" i="28"/>
  <c r="CJ15" i="28"/>
  <c r="CM14" i="28"/>
  <c r="CL14" i="28"/>
  <c r="CK14" i="28"/>
  <c r="CJ14" i="28"/>
  <c r="CM13" i="28"/>
  <c r="CL13" i="28"/>
  <c r="CK13" i="28"/>
  <c r="CJ13" i="28"/>
  <c r="CM12" i="28"/>
  <c r="CL12" i="28"/>
  <c r="CK12" i="28"/>
  <c r="CJ12" i="28"/>
  <c r="CM11" i="28"/>
  <c r="CL11" i="28"/>
  <c r="CK11" i="28"/>
  <c r="CJ11" i="28"/>
  <c r="CA122" i="28"/>
  <c r="BZ122" i="28"/>
  <c r="BY122" i="28"/>
  <c r="BX122" i="28"/>
  <c r="CA121" i="28"/>
  <c r="BZ121" i="28"/>
  <c r="BY121" i="28"/>
  <c r="BX121" i="28"/>
  <c r="CA120" i="28"/>
  <c r="BZ120" i="28"/>
  <c r="BY120" i="28"/>
  <c r="BX120" i="28"/>
  <c r="CA119" i="28"/>
  <c r="BZ119" i="28"/>
  <c r="BY119" i="28"/>
  <c r="BX119" i="28"/>
  <c r="CA118" i="28"/>
  <c r="BZ118" i="28"/>
  <c r="BY118" i="28"/>
  <c r="BX118" i="28"/>
  <c r="CA117" i="28"/>
  <c r="BZ117" i="28"/>
  <c r="BY117" i="28"/>
  <c r="BX117" i="28"/>
  <c r="CA116" i="28"/>
  <c r="BZ116" i="28"/>
  <c r="BY116" i="28"/>
  <c r="BX116" i="28"/>
  <c r="CA115" i="28"/>
  <c r="BZ115" i="28"/>
  <c r="BY115" i="28"/>
  <c r="BX115" i="28"/>
  <c r="CA114" i="28"/>
  <c r="BZ114" i="28"/>
  <c r="BY114" i="28"/>
  <c r="BX114" i="28"/>
  <c r="CA113" i="28"/>
  <c r="BZ113" i="28"/>
  <c r="BY113" i="28"/>
  <c r="BX113" i="28"/>
  <c r="CA112" i="28"/>
  <c r="BZ112" i="28"/>
  <c r="BY112" i="28"/>
  <c r="BX112" i="28"/>
  <c r="CA111" i="28"/>
  <c r="BZ111" i="28"/>
  <c r="BY111" i="28"/>
  <c r="BX111" i="28"/>
  <c r="CA110" i="28"/>
  <c r="BZ110" i="28"/>
  <c r="BY110" i="28"/>
  <c r="BX110" i="28"/>
  <c r="CA109" i="28"/>
  <c r="BZ109" i="28"/>
  <c r="BY109" i="28"/>
  <c r="BX109" i="28"/>
  <c r="CA108" i="28"/>
  <c r="BZ108" i="28"/>
  <c r="BY108" i="28"/>
  <c r="BX108" i="28"/>
  <c r="CA107" i="28"/>
  <c r="BZ107" i="28"/>
  <c r="BY107" i="28"/>
  <c r="BX107" i="28"/>
  <c r="CA106" i="28"/>
  <c r="BZ106" i="28"/>
  <c r="BY106" i="28"/>
  <c r="BX106" i="28"/>
  <c r="CA105" i="28"/>
  <c r="BZ105" i="28"/>
  <c r="BY105" i="28"/>
  <c r="BX105" i="28"/>
  <c r="CA104" i="28"/>
  <c r="BZ104" i="28"/>
  <c r="BY104" i="28"/>
  <c r="BX104" i="28"/>
  <c r="CA103" i="28"/>
  <c r="BZ103" i="28"/>
  <c r="BY103" i="28"/>
  <c r="BX103" i="28"/>
  <c r="CA102" i="28"/>
  <c r="BZ102" i="28"/>
  <c r="BY102" i="28"/>
  <c r="BX102" i="28"/>
  <c r="CA101" i="28"/>
  <c r="BZ101" i="28"/>
  <c r="BY101" i="28"/>
  <c r="BX101" i="28"/>
  <c r="CA100" i="28"/>
  <c r="BZ100" i="28"/>
  <c r="BY100" i="28"/>
  <c r="BX100" i="28"/>
  <c r="CA99" i="28"/>
  <c r="BZ99" i="28"/>
  <c r="BY99" i="28"/>
  <c r="BX99" i="28"/>
  <c r="CA98" i="28"/>
  <c r="BZ98" i="28"/>
  <c r="BY98" i="28"/>
  <c r="BX98" i="28"/>
  <c r="CA97" i="28"/>
  <c r="BZ97" i="28"/>
  <c r="BY97" i="28"/>
  <c r="BX97" i="28"/>
  <c r="CA96" i="28"/>
  <c r="BZ96" i="28"/>
  <c r="BY96" i="28"/>
  <c r="BX96" i="28"/>
  <c r="CA95" i="28"/>
  <c r="BZ95" i="28"/>
  <c r="BY95" i="28"/>
  <c r="BX95" i="28"/>
  <c r="CA94" i="28"/>
  <c r="BZ94" i="28"/>
  <c r="BY94" i="28"/>
  <c r="BX94" i="28"/>
  <c r="CA93" i="28"/>
  <c r="BZ93" i="28"/>
  <c r="BY93" i="28"/>
  <c r="BX93" i="28"/>
  <c r="CA92" i="28"/>
  <c r="BZ92" i="28"/>
  <c r="BY92" i="28"/>
  <c r="BX92" i="28"/>
  <c r="CA91" i="28"/>
  <c r="BZ91" i="28"/>
  <c r="BY91" i="28"/>
  <c r="BX91" i="28"/>
  <c r="CA90" i="28"/>
  <c r="BZ90" i="28"/>
  <c r="BY90" i="28"/>
  <c r="BX90" i="28"/>
  <c r="CA89" i="28"/>
  <c r="BZ89" i="28"/>
  <c r="BY89" i="28"/>
  <c r="BX89" i="28"/>
  <c r="CA88" i="28"/>
  <c r="BZ88" i="28"/>
  <c r="BY88" i="28"/>
  <c r="BX88" i="28"/>
  <c r="CA87" i="28"/>
  <c r="BZ87" i="28"/>
  <c r="BY87" i="28"/>
  <c r="BX87" i="28"/>
  <c r="CA86" i="28"/>
  <c r="BZ86" i="28"/>
  <c r="BY86" i="28"/>
  <c r="BX86" i="28"/>
  <c r="CA85" i="28"/>
  <c r="BZ85" i="28"/>
  <c r="BY85" i="28"/>
  <c r="BX85" i="28"/>
  <c r="CA84" i="28"/>
  <c r="BZ84" i="28"/>
  <c r="BY84" i="28"/>
  <c r="BX84" i="28"/>
  <c r="CA83" i="28"/>
  <c r="BZ83" i="28"/>
  <c r="BY83" i="28"/>
  <c r="BX83" i="28"/>
  <c r="CA82" i="28"/>
  <c r="BZ82" i="28"/>
  <c r="BY82" i="28"/>
  <c r="BX82" i="28"/>
  <c r="CA81" i="28"/>
  <c r="BZ81" i="28"/>
  <c r="BY81" i="28"/>
  <c r="BX81" i="28"/>
  <c r="CA80" i="28"/>
  <c r="BZ80" i="28"/>
  <c r="BY80" i="28"/>
  <c r="BX80" i="28"/>
  <c r="CA79" i="28"/>
  <c r="BZ79" i="28"/>
  <c r="BY79" i="28"/>
  <c r="BX79" i="28"/>
  <c r="CA78" i="28"/>
  <c r="BZ78" i="28"/>
  <c r="BY78" i="28"/>
  <c r="BX78" i="28"/>
  <c r="CA77" i="28"/>
  <c r="BZ77" i="28"/>
  <c r="BY77" i="28"/>
  <c r="BX77" i="28"/>
  <c r="CA76" i="28"/>
  <c r="BZ76" i="28"/>
  <c r="BY76" i="28"/>
  <c r="BX76" i="28"/>
  <c r="CA75" i="28"/>
  <c r="BZ75" i="28"/>
  <c r="BY75" i="28"/>
  <c r="BX75" i="28"/>
  <c r="CA74" i="28"/>
  <c r="BZ74" i="28"/>
  <c r="BY74" i="28"/>
  <c r="BX74" i="28"/>
  <c r="CA73" i="28"/>
  <c r="BZ73" i="28"/>
  <c r="BY73" i="28"/>
  <c r="BX73" i="28"/>
  <c r="CA72" i="28"/>
  <c r="BZ72" i="28"/>
  <c r="BY72" i="28"/>
  <c r="BX72" i="28"/>
  <c r="CA71" i="28"/>
  <c r="BZ71" i="28"/>
  <c r="BY71" i="28"/>
  <c r="BX71" i="28"/>
  <c r="CA70" i="28"/>
  <c r="BZ70" i="28"/>
  <c r="BY70" i="28"/>
  <c r="BX70" i="28"/>
  <c r="CA69" i="28"/>
  <c r="BZ69" i="28"/>
  <c r="BY69" i="28"/>
  <c r="BX69" i="28"/>
  <c r="CA68" i="28"/>
  <c r="BZ68" i="28"/>
  <c r="BY68" i="28"/>
  <c r="BX68" i="28"/>
  <c r="CA67" i="28"/>
  <c r="BZ67" i="28"/>
  <c r="BY67" i="28"/>
  <c r="BX67" i="28"/>
  <c r="CA66" i="28"/>
  <c r="BZ66" i="28"/>
  <c r="BY66" i="28"/>
  <c r="BX66" i="28"/>
  <c r="CA65" i="28"/>
  <c r="BZ65" i="28"/>
  <c r="BY65" i="28"/>
  <c r="BX65" i="28"/>
  <c r="CA64" i="28"/>
  <c r="BZ64" i="28"/>
  <c r="BY64" i="28"/>
  <c r="BX64" i="28"/>
  <c r="CA63" i="28"/>
  <c r="BZ63" i="28"/>
  <c r="BY63" i="28"/>
  <c r="BX63" i="28"/>
  <c r="CA62" i="28"/>
  <c r="BZ62" i="28"/>
  <c r="BY62" i="28"/>
  <c r="BX62" i="28"/>
  <c r="CA61" i="28"/>
  <c r="BZ61" i="28"/>
  <c r="BY61" i="28"/>
  <c r="BX61" i="28"/>
  <c r="CA60" i="28"/>
  <c r="BZ60" i="28"/>
  <c r="BY60" i="28"/>
  <c r="BX60" i="28"/>
  <c r="CA59" i="28"/>
  <c r="BZ59" i="28"/>
  <c r="BY59" i="28"/>
  <c r="BX59" i="28"/>
  <c r="CA58" i="28"/>
  <c r="BZ58" i="28"/>
  <c r="BY58" i="28"/>
  <c r="BX58" i="28"/>
  <c r="CA57" i="28"/>
  <c r="BZ57" i="28"/>
  <c r="BY57" i="28"/>
  <c r="BX57" i="28"/>
  <c r="CA56" i="28"/>
  <c r="BZ56" i="28"/>
  <c r="BY56" i="28"/>
  <c r="BX56" i="28"/>
  <c r="CA55" i="28"/>
  <c r="BZ55" i="28"/>
  <c r="BY55" i="28"/>
  <c r="BX55" i="28"/>
  <c r="CA54" i="28"/>
  <c r="BZ54" i="28"/>
  <c r="BY54" i="28"/>
  <c r="BX54" i="28"/>
  <c r="CA53" i="28"/>
  <c r="BZ53" i="28"/>
  <c r="BY53" i="28"/>
  <c r="BX53" i="28"/>
  <c r="CA52" i="28"/>
  <c r="BZ52" i="28"/>
  <c r="BY52" i="28"/>
  <c r="BX52" i="28"/>
  <c r="CA51" i="28"/>
  <c r="BZ51" i="28"/>
  <c r="BY51" i="28"/>
  <c r="BX51" i="28"/>
  <c r="CA50" i="28"/>
  <c r="BZ50" i="28"/>
  <c r="BY50" i="28"/>
  <c r="BX50" i="28"/>
  <c r="CA49" i="28"/>
  <c r="BZ49" i="28"/>
  <c r="BY49" i="28"/>
  <c r="BX49" i="28"/>
  <c r="CA48" i="28"/>
  <c r="BZ48" i="28"/>
  <c r="BY48" i="28"/>
  <c r="BX48" i="28"/>
  <c r="CA47" i="28"/>
  <c r="BZ47" i="28"/>
  <c r="BY47" i="28"/>
  <c r="BX47" i="28"/>
  <c r="CA46" i="28"/>
  <c r="BZ46" i="28"/>
  <c r="BY46" i="28"/>
  <c r="BX46" i="28"/>
  <c r="CA45" i="28"/>
  <c r="BZ45" i="28"/>
  <c r="BY45" i="28"/>
  <c r="BX45" i="28"/>
  <c r="CA44" i="28"/>
  <c r="BZ44" i="28"/>
  <c r="BY44" i="28"/>
  <c r="BX44" i="28"/>
  <c r="CA43" i="28"/>
  <c r="BZ43" i="28"/>
  <c r="BY43" i="28"/>
  <c r="BX43" i="28"/>
  <c r="CA42" i="28"/>
  <c r="BZ42" i="28"/>
  <c r="BY42" i="28"/>
  <c r="BX42" i="28"/>
  <c r="CA41" i="28"/>
  <c r="BZ41" i="28"/>
  <c r="BY41" i="28"/>
  <c r="BX41" i="28"/>
  <c r="CA40" i="28"/>
  <c r="BZ40" i="28"/>
  <c r="BY40" i="28"/>
  <c r="BX40" i="28"/>
  <c r="CA39" i="28"/>
  <c r="BZ39" i="28"/>
  <c r="BY39" i="28"/>
  <c r="BX39" i="28"/>
  <c r="CA38" i="28"/>
  <c r="BZ38" i="28"/>
  <c r="BY38" i="28"/>
  <c r="BX38" i="28"/>
  <c r="CA37" i="28"/>
  <c r="BZ37" i="28"/>
  <c r="BY37" i="28"/>
  <c r="BX37" i="28"/>
  <c r="CA36" i="28"/>
  <c r="BZ36" i="28"/>
  <c r="BY36" i="28"/>
  <c r="BX36" i="28"/>
  <c r="CA35" i="28"/>
  <c r="BZ35" i="28"/>
  <c r="BY35" i="28"/>
  <c r="BX35" i="28"/>
  <c r="CA34" i="28"/>
  <c r="BZ34" i="28"/>
  <c r="BY34" i="28"/>
  <c r="BX34" i="28"/>
  <c r="CA33" i="28"/>
  <c r="BZ33" i="28"/>
  <c r="BY33" i="28"/>
  <c r="BX33" i="28"/>
  <c r="CA32" i="28"/>
  <c r="BZ32" i="28"/>
  <c r="BY32" i="28"/>
  <c r="BX32" i="28"/>
  <c r="CA31" i="28"/>
  <c r="BZ31" i="28"/>
  <c r="BY31" i="28"/>
  <c r="BX31" i="28"/>
  <c r="CA30" i="28"/>
  <c r="BZ30" i="28"/>
  <c r="BY30" i="28"/>
  <c r="BX30" i="28"/>
  <c r="CA29" i="28"/>
  <c r="BZ29" i="28"/>
  <c r="BY29" i="28"/>
  <c r="BX29" i="28"/>
  <c r="CA28" i="28"/>
  <c r="BZ28" i="28"/>
  <c r="BY28" i="28"/>
  <c r="BX28" i="28"/>
  <c r="CA27" i="28"/>
  <c r="BZ27" i="28"/>
  <c r="BY27" i="28"/>
  <c r="BX27" i="28"/>
  <c r="CA26" i="28"/>
  <c r="BZ26" i="28"/>
  <c r="BY26" i="28"/>
  <c r="BX26" i="28"/>
  <c r="CA25" i="28"/>
  <c r="BZ25" i="28"/>
  <c r="BY25" i="28"/>
  <c r="BX25" i="28"/>
  <c r="CA24" i="28"/>
  <c r="BZ24" i="28"/>
  <c r="BY24" i="28"/>
  <c r="BX24" i="28"/>
  <c r="CA23" i="28"/>
  <c r="BZ23" i="28"/>
  <c r="BY23" i="28"/>
  <c r="BX23" i="28"/>
  <c r="CA22" i="28"/>
  <c r="BZ22" i="28"/>
  <c r="BY22" i="28"/>
  <c r="BX22" i="28"/>
  <c r="CA21" i="28"/>
  <c r="BZ21" i="28"/>
  <c r="BY21" i="28"/>
  <c r="BX21" i="28"/>
  <c r="CA20" i="28"/>
  <c r="BZ20" i="28"/>
  <c r="BY20" i="28"/>
  <c r="BX20" i="28"/>
  <c r="CA19" i="28"/>
  <c r="BZ19" i="28"/>
  <c r="BY19" i="28"/>
  <c r="BX19" i="28"/>
  <c r="CA18" i="28"/>
  <c r="BZ18" i="28"/>
  <c r="BY18" i="28"/>
  <c r="BX18" i="28"/>
  <c r="CA17" i="28"/>
  <c r="BZ17" i="28"/>
  <c r="BY17" i="28"/>
  <c r="BX17" i="28"/>
  <c r="CA16" i="28"/>
  <c r="BZ16" i="28"/>
  <c r="BY16" i="28"/>
  <c r="BX16" i="28"/>
  <c r="CA15" i="28"/>
  <c r="BZ15" i="28"/>
  <c r="BY15" i="28"/>
  <c r="BX15" i="28"/>
  <c r="CA14" i="28"/>
  <c r="BZ14" i="28"/>
  <c r="BY14" i="28"/>
  <c r="BX14" i="28"/>
  <c r="CA13" i="28"/>
  <c r="BZ13" i="28"/>
  <c r="BY13" i="28"/>
  <c r="BX13" i="28"/>
  <c r="CA12" i="28"/>
  <c r="BZ12" i="28"/>
  <c r="BY12" i="28"/>
  <c r="BX12" i="28"/>
  <c r="CA11" i="28"/>
  <c r="BZ11" i="28"/>
  <c r="BY11" i="28"/>
  <c r="BX11" i="28"/>
  <c r="BQ122" i="28"/>
  <c r="BP122" i="28"/>
  <c r="BO122" i="28"/>
  <c r="BN122" i="28"/>
  <c r="BQ121" i="28"/>
  <c r="BP121" i="28"/>
  <c r="BO121" i="28"/>
  <c r="BN121" i="28"/>
  <c r="BQ120" i="28"/>
  <c r="BP120" i="28"/>
  <c r="BO120" i="28"/>
  <c r="BN120" i="28"/>
  <c r="BQ119" i="28"/>
  <c r="BP119" i="28"/>
  <c r="BO119" i="28"/>
  <c r="BN119" i="28"/>
  <c r="BQ118" i="28"/>
  <c r="BP118" i="28"/>
  <c r="BO118" i="28"/>
  <c r="BN118" i="28"/>
  <c r="BQ117" i="28"/>
  <c r="BP117" i="28"/>
  <c r="BO117" i="28"/>
  <c r="BN117" i="28"/>
  <c r="BQ116" i="28"/>
  <c r="BP116" i="28"/>
  <c r="BO116" i="28"/>
  <c r="BN116" i="28"/>
  <c r="BQ115" i="28"/>
  <c r="BP115" i="28"/>
  <c r="BO115" i="28"/>
  <c r="BN115" i="28"/>
  <c r="BQ114" i="28"/>
  <c r="BP114" i="28"/>
  <c r="BO114" i="28"/>
  <c r="BN114" i="28"/>
  <c r="BQ113" i="28"/>
  <c r="BP113" i="28"/>
  <c r="BO113" i="28"/>
  <c r="BN113" i="28"/>
  <c r="BQ112" i="28"/>
  <c r="BP112" i="28"/>
  <c r="BO112" i="28"/>
  <c r="BN112" i="28"/>
  <c r="BQ111" i="28"/>
  <c r="BP111" i="28"/>
  <c r="BO111" i="28"/>
  <c r="BN111" i="28"/>
  <c r="BQ110" i="28"/>
  <c r="BP110" i="28"/>
  <c r="BO110" i="28"/>
  <c r="BN110" i="28"/>
  <c r="BQ109" i="28"/>
  <c r="BP109" i="28"/>
  <c r="BO109" i="28"/>
  <c r="BN109" i="28"/>
  <c r="BQ108" i="28"/>
  <c r="BP108" i="28"/>
  <c r="BO108" i="28"/>
  <c r="BN108" i="28"/>
  <c r="BQ107" i="28"/>
  <c r="BP107" i="28"/>
  <c r="BO107" i="28"/>
  <c r="BN107" i="28"/>
  <c r="BQ106" i="28"/>
  <c r="BP106" i="28"/>
  <c r="BO106" i="28"/>
  <c r="BN106" i="28"/>
  <c r="BQ105" i="28"/>
  <c r="BP105" i="28"/>
  <c r="BO105" i="28"/>
  <c r="BN105" i="28"/>
  <c r="BQ104" i="28"/>
  <c r="BP104" i="28"/>
  <c r="BO104" i="28"/>
  <c r="BN104" i="28"/>
  <c r="BQ103" i="28"/>
  <c r="BP103" i="28"/>
  <c r="BO103" i="28"/>
  <c r="BN103" i="28"/>
  <c r="BQ102" i="28"/>
  <c r="BP102" i="28"/>
  <c r="BO102" i="28"/>
  <c r="BN102" i="28"/>
  <c r="BQ101" i="28"/>
  <c r="BP101" i="28"/>
  <c r="BO101" i="28"/>
  <c r="BN101" i="28"/>
  <c r="BQ100" i="28"/>
  <c r="BP100" i="28"/>
  <c r="BO100" i="28"/>
  <c r="BN100" i="28"/>
  <c r="BQ99" i="28"/>
  <c r="BP99" i="28"/>
  <c r="BO99" i="28"/>
  <c r="BN99" i="28"/>
  <c r="BQ98" i="28"/>
  <c r="BP98" i="28"/>
  <c r="BO98" i="28"/>
  <c r="BN98" i="28"/>
  <c r="BQ97" i="28"/>
  <c r="BP97" i="28"/>
  <c r="BO97" i="28"/>
  <c r="BN97" i="28"/>
  <c r="BQ96" i="28"/>
  <c r="BP96" i="28"/>
  <c r="BO96" i="28"/>
  <c r="BN96" i="28"/>
  <c r="BQ95" i="28"/>
  <c r="BP95" i="28"/>
  <c r="BO95" i="28"/>
  <c r="BN95" i="28"/>
  <c r="BQ94" i="28"/>
  <c r="BP94" i="28"/>
  <c r="BO94" i="28"/>
  <c r="BN94" i="28"/>
  <c r="BQ93" i="28"/>
  <c r="BP93" i="28"/>
  <c r="BO93" i="28"/>
  <c r="BN93" i="28"/>
  <c r="BQ92" i="28"/>
  <c r="BP92" i="28"/>
  <c r="BO92" i="28"/>
  <c r="BN92" i="28"/>
  <c r="BQ91" i="28"/>
  <c r="BP91" i="28"/>
  <c r="BO91" i="28"/>
  <c r="BN91" i="28"/>
  <c r="BQ90" i="28"/>
  <c r="BP90" i="28"/>
  <c r="BO90" i="28"/>
  <c r="BN90" i="28"/>
  <c r="BQ89" i="28"/>
  <c r="BP89" i="28"/>
  <c r="BO89" i="28"/>
  <c r="BN89" i="28"/>
  <c r="BQ88" i="28"/>
  <c r="BP88" i="28"/>
  <c r="BO88" i="28"/>
  <c r="BN88" i="28"/>
  <c r="BQ87" i="28"/>
  <c r="BP87" i="28"/>
  <c r="BO87" i="28"/>
  <c r="BN87" i="28"/>
  <c r="BQ86" i="28"/>
  <c r="BP86" i="28"/>
  <c r="BO86" i="28"/>
  <c r="BN86" i="28"/>
  <c r="BQ85" i="28"/>
  <c r="BP85" i="28"/>
  <c r="BO85" i="28"/>
  <c r="BN85" i="28"/>
  <c r="BQ84" i="28"/>
  <c r="BP84" i="28"/>
  <c r="BO84" i="28"/>
  <c r="BN84" i="28"/>
  <c r="BQ83" i="28"/>
  <c r="BP83" i="28"/>
  <c r="BO83" i="28"/>
  <c r="BN83" i="28"/>
  <c r="BQ82" i="28"/>
  <c r="BP82" i="28"/>
  <c r="BO82" i="28"/>
  <c r="BN82" i="28"/>
  <c r="BQ81" i="28"/>
  <c r="BP81" i="28"/>
  <c r="BO81" i="28"/>
  <c r="BN81" i="28"/>
  <c r="BQ80" i="28"/>
  <c r="BP80" i="28"/>
  <c r="BO80" i="28"/>
  <c r="BN80" i="28"/>
  <c r="BQ79" i="28"/>
  <c r="BP79" i="28"/>
  <c r="BO79" i="28"/>
  <c r="BN79" i="28"/>
  <c r="BQ78" i="28"/>
  <c r="BP78" i="28"/>
  <c r="BO78" i="28"/>
  <c r="BN78" i="28"/>
  <c r="BQ77" i="28"/>
  <c r="BP77" i="28"/>
  <c r="BO77" i="28"/>
  <c r="BN77" i="28"/>
  <c r="BQ76" i="28"/>
  <c r="BP76" i="28"/>
  <c r="BO76" i="28"/>
  <c r="BN76" i="28"/>
  <c r="BQ75" i="28"/>
  <c r="BP75" i="28"/>
  <c r="BO75" i="28"/>
  <c r="BN75" i="28"/>
  <c r="BQ74" i="28"/>
  <c r="BP74" i="28"/>
  <c r="BO74" i="28"/>
  <c r="BN74" i="28"/>
  <c r="BQ73" i="28"/>
  <c r="BP73" i="28"/>
  <c r="BO73" i="28"/>
  <c r="BN73" i="28"/>
  <c r="BQ72" i="28"/>
  <c r="BP72" i="28"/>
  <c r="BO72" i="28"/>
  <c r="BN72" i="28"/>
  <c r="BQ71" i="28"/>
  <c r="BP71" i="28"/>
  <c r="BO71" i="28"/>
  <c r="BN71" i="28"/>
  <c r="BQ70" i="28"/>
  <c r="BP70" i="28"/>
  <c r="BO70" i="28"/>
  <c r="BN70" i="28"/>
  <c r="BQ69" i="28"/>
  <c r="BP69" i="28"/>
  <c r="BO69" i="28"/>
  <c r="BN69" i="28"/>
  <c r="BQ68" i="28"/>
  <c r="BP68" i="28"/>
  <c r="BO68" i="28"/>
  <c r="BN68" i="28"/>
  <c r="BQ67" i="28"/>
  <c r="BP67" i="28"/>
  <c r="BO67" i="28"/>
  <c r="BN67" i="28"/>
  <c r="BQ66" i="28"/>
  <c r="BP66" i="28"/>
  <c r="BO66" i="28"/>
  <c r="BN66" i="28"/>
  <c r="BQ65" i="28"/>
  <c r="BP65" i="28"/>
  <c r="BO65" i="28"/>
  <c r="BN65" i="28"/>
  <c r="BQ64" i="28"/>
  <c r="BP64" i="28"/>
  <c r="BO64" i="28"/>
  <c r="BN64" i="28"/>
  <c r="BQ63" i="28"/>
  <c r="BP63" i="28"/>
  <c r="BO63" i="28"/>
  <c r="BN63" i="28"/>
  <c r="BQ62" i="28"/>
  <c r="BP62" i="28"/>
  <c r="BO62" i="28"/>
  <c r="BN62" i="28"/>
  <c r="BQ61" i="28"/>
  <c r="BP61" i="28"/>
  <c r="BO61" i="28"/>
  <c r="BN61" i="28"/>
  <c r="BQ60" i="28"/>
  <c r="BP60" i="28"/>
  <c r="BO60" i="28"/>
  <c r="BN60" i="28"/>
  <c r="BQ59" i="28"/>
  <c r="BP59" i="28"/>
  <c r="BO59" i="28"/>
  <c r="BN59" i="28"/>
  <c r="BQ58" i="28"/>
  <c r="BP58" i="28"/>
  <c r="BO58" i="28"/>
  <c r="BN58" i="28"/>
  <c r="BQ57" i="28"/>
  <c r="BP57" i="28"/>
  <c r="BO57" i="28"/>
  <c r="BN57" i="28"/>
  <c r="BQ56" i="28"/>
  <c r="BP56" i="28"/>
  <c r="BO56" i="28"/>
  <c r="BN56" i="28"/>
  <c r="BQ55" i="28"/>
  <c r="BP55" i="28"/>
  <c r="BO55" i="28"/>
  <c r="BN55" i="28"/>
  <c r="BQ54" i="28"/>
  <c r="BP54" i="28"/>
  <c r="BO54" i="28"/>
  <c r="BN54" i="28"/>
  <c r="BQ53" i="28"/>
  <c r="BP53" i="28"/>
  <c r="BO53" i="28"/>
  <c r="BN53" i="28"/>
  <c r="BQ52" i="28"/>
  <c r="BP52" i="28"/>
  <c r="BO52" i="28"/>
  <c r="BN52" i="28"/>
  <c r="BQ51" i="28"/>
  <c r="BP51" i="28"/>
  <c r="BO51" i="28"/>
  <c r="BN51" i="28"/>
  <c r="BQ50" i="28"/>
  <c r="BP50" i="28"/>
  <c r="BO50" i="28"/>
  <c r="BN50" i="28"/>
  <c r="BQ49" i="28"/>
  <c r="BP49" i="28"/>
  <c r="BO49" i="28"/>
  <c r="BN49" i="28"/>
  <c r="BQ48" i="28"/>
  <c r="BP48" i="28"/>
  <c r="BO48" i="28"/>
  <c r="BN48" i="28"/>
  <c r="BQ47" i="28"/>
  <c r="BP47" i="28"/>
  <c r="BO47" i="28"/>
  <c r="BN47" i="28"/>
  <c r="BQ46" i="28"/>
  <c r="BP46" i="28"/>
  <c r="BO46" i="28"/>
  <c r="BN46" i="28"/>
  <c r="BQ45" i="28"/>
  <c r="BP45" i="28"/>
  <c r="BO45" i="28"/>
  <c r="BN45" i="28"/>
  <c r="BQ44" i="28"/>
  <c r="BP44" i="28"/>
  <c r="BO44" i="28"/>
  <c r="BN44" i="28"/>
  <c r="BQ43" i="28"/>
  <c r="BP43" i="28"/>
  <c r="BO43" i="28"/>
  <c r="BN43" i="28"/>
  <c r="BQ42" i="28"/>
  <c r="BP42" i="28"/>
  <c r="BO42" i="28"/>
  <c r="BN42" i="28"/>
  <c r="BQ41" i="28"/>
  <c r="BP41" i="28"/>
  <c r="BO41" i="28"/>
  <c r="BN41" i="28"/>
  <c r="BQ40" i="28"/>
  <c r="BP40" i="28"/>
  <c r="BO40" i="28"/>
  <c r="BN40" i="28"/>
  <c r="BQ39" i="28"/>
  <c r="BP39" i="28"/>
  <c r="BO39" i="28"/>
  <c r="BN39" i="28"/>
  <c r="BQ38" i="28"/>
  <c r="BP38" i="28"/>
  <c r="BO38" i="28"/>
  <c r="BN38" i="28"/>
  <c r="BQ37" i="28"/>
  <c r="BP37" i="28"/>
  <c r="BO37" i="28"/>
  <c r="BN37" i="28"/>
  <c r="BQ36" i="28"/>
  <c r="BP36" i="28"/>
  <c r="BO36" i="28"/>
  <c r="BN36" i="28"/>
  <c r="BQ35" i="28"/>
  <c r="BP35" i="28"/>
  <c r="BO35" i="28"/>
  <c r="BN35" i="28"/>
  <c r="BQ34" i="28"/>
  <c r="BP34" i="28"/>
  <c r="BO34" i="28"/>
  <c r="BN34" i="28"/>
  <c r="BQ33" i="28"/>
  <c r="BP33" i="28"/>
  <c r="BO33" i="28"/>
  <c r="BN33" i="28"/>
  <c r="BQ32" i="28"/>
  <c r="BP32" i="28"/>
  <c r="BO32" i="28"/>
  <c r="BN32" i="28"/>
  <c r="BQ31" i="28"/>
  <c r="BP31" i="28"/>
  <c r="BO31" i="28"/>
  <c r="BN31" i="28"/>
  <c r="BQ30" i="28"/>
  <c r="BP30" i="28"/>
  <c r="BO30" i="28"/>
  <c r="BN30" i="28"/>
  <c r="BQ29" i="28"/>
  <c r="BP29" i="28"/>
  <c r="BO29" i="28"/>
  <c r="BN29" i="28"/>
  <c r="BQ28" i="28"/>
  <c r="BP28" i="28"/>
  <c r="BO28" i="28"/>
  <c r="BN28" i="28"/>
  <c r="BQ27" i="28"/>
  <c r="BP27" i="28"/>
  <c r="BO27" i="28"/>
  <c r="BN27" i="28"/>
  <c r="BQ26" i="28"/>
  <c r="BP26" i="28"/>
  <c r="BO26" i="28"/>
  <c r="BN26" i="28"/>
  <c r="BQ25" i="28"/>
  <c r="BP25" i="28"/>
  <c r="BO25" i="28"/>
  <c r="BN25" i="28"/>
  <c r="BQ24" i="28"/>
  <c r="BP24" i="28"/>
  <c r="BO24" i="28"/>
  <c r="BN24" i="28"/>
  <c r="BQ23" i="28"/>
  <c r="BP23" i="28"/>
  <c r="BO23" i="28"/>
  <c r="BN23" i="28"/>
  <c r="BQ22" i="28"/>
  <c r="BP22" i="28"/>
  <c r="BO22" i="28"/>
  <c r="BN22" i="28"/>
  <c r="BQ21" i="28"/>
  <c r="BP21" i="28"/>
  <c r="BO21" i="28"/>
  <c r="BN21" i="28"/>
  <c r="BQ20" i="28"/>
  <c r="BP20" i="28"/>
  <c r="BO20" i="28"/>
  <c r="BN20" i="28"/>
  <c r="BQ19" i="28"/>
  <c r="BP19" i="28"/>
  <c r="BO19" i="28"/>
  <c r="BN19" i="28"/>
  <c r="BQ18" i="28"/>
  <c r="BP18" i="28"/>
  <c r="BO18" i="28"/>
  <c r="BN18" i="28"/>
  <c r="BQ17" i="28"/>
  <c r="BP17" i="28"/>
  <c r="BO17" i="28"/>
  <c r="BN17" i="28"/>
  <c r="BQ16" i="28"/>
  <c r="BP16" i="28"/>
  <c r="BO16" i="28"/>
  <c r="BN16" i="28"/>
  <c r="BQ15" i="28"/>
  <c r="BP15" i="28"/>
  <c r="BO15" i="28"/>
  <c r="BN15" i="28"/>
  <c r="BQ14" i="28"/>
  <c r="BP14" i="28"/>
  <c r="BO14" i="28"/>
  <c r="BN14" i="28"/>
  <c r="BQ13" i="28"/>
  <c r="BP13" i="28"/>
  <c r="BO13" i="28"/>
  <c r="BN13" i="28"/>
  <c r="BQ12" i="28"/>
  <c r="BP12" i="28"/>
  <c r="BO12" i="28"/>
  <c r="BN12" i="28"/>
  <c r="BQ11" i="28"/>
  <c r="BP11" i="28"/>
  <c r="BO11" i="28"/>
  <c r="BN11" i="28"/>
  <c r="BG122" i="28"/>
  <c r="BF122" i="28"/>
  <c r="BE122" i="28"/>
  <c r="BD122" i="28"/>
  <c r="BG121" i="28"/>
  <c r="BF121" i="28"/>
  <c r="BE121" i="28"/>
  <c r="BD121" i="28"/>
  <c r="BG120" i="28"/>
  <c r="BF120" i="28"/>
  <c r="BE120" i="28"/>
  <c r="BD120" i="28"/>
  <c r="BG119" i="28"/>
  <c r="BF119" i="28"/>
  <c r="BE119" i="28"/>
  <c r="BD119" i="28"/>
  <c r="BG118" i="28"/>
  <c r="BF118" i="28"/>
  <c r="BE118" i="28"/>
  <c r="BD118" i="28"/>
  <c r="BG117" i="28"/>
  <c r="BF117" i="28"/>
  <c r="BE117" i="28"/>
  <c r="BD117" i="28"/>
  <c r="BG116" i="28"/>
  <c r="BF116" i="28"/>
  <c r="BE116" i="28"/>
  <c r="BD116" i="28"/>
  <c r="BG115" i="28"/>
  <c r="BF115" i="28"/>
  <c r="BE115" i="28"/>
  <c r="BD115" i="28"/>
  <c r="BG114" i="28"/>
  <c r="BF114" i="28"/>
  <c r="BE114" i="28"/>
  <c r="BD114" i="28"/>
  <c r="BG113" i="28"/>
  <c r="BF113" i="28"/>
  <c r="BE113" i="28"/>
  <c r="BD113" i="28"/>
  <c r="BG112" i="28"/>
  <c r="BF112" i="28"/>
  <c r="BE112" i="28"/>
  <c r="BD112" i="28"/>
  <c r="BG111" i="28"/>
  <c r="BF111" i="28"/>
  <c r="BE111" i="28"/>
  <c r="BD111" i="28"/>
  <c r="BG110" i="28"/>
  <c r="BF110" i="28"/>
  <c r="BE110" i="28"/>
  <c r="BD110" i="28"/>
  <c r="BG109" i="28"/>
  <c r="BF109" i="28"/>
  <c r="BE109" i="28"/>
  <c r="BD109" i="28"/>
  <c r="BG108" i="28"/>
  <c r="BF108" i="28"/>
  <c r="BE108" i="28"/>
  <c r="BD108" i="28"/>
  <c r="BG107" i="28"/>
  <c r="BF107" i="28"/>
  <c r="BE107" i="28"/>
  <c r="BD107" i="28"/>
  <c r="BG106" i="28"/>
  <c r="BF106" i="28"/>
  <c r="BE106" i="28"/>
  <c r="BD106" i="28"/>
  <c r="BG105" i="28"/>
  <c r="BF105" i="28"/>
  <c r="BE105" i="28"/>
  <c r="BD105" i="28"/>
  <c r="BG104" i="28"/>
  <c r="BF104" i="28"/>
  <c r="BE104" i="28"/>
  <c r="BD104" i="28"/>
  <c r="BG103" i="28"/>
  <c r="BF103" i="28"/>
  <c r="BE103" i="28"/>
  <c r="BD103" i="28"/>
  <c r="BG102" i="28"/>
  <c r="BF102" i="28"/>
  <c r="BE102" i="28"/>
  <c r="BD102" i="28"/>
  <c r="BG101" i="28"/>
  <c r="BF101" i="28"/>
  <c r="BE101" i="28"/>
  <c r="BD101" i="28"/>
  <c r="BG100" i="28"/>
  <c r="BF100" i="28"/>
  <c r="BE100" i="28"/>
  <c r="BD100" i="28"/>
  <c r="BG99" i="28"/>
  <c r="BF99" i="28"/>
  <c r="BE99" i="28"/>
  <c r="BD99" i="28"/>
  <c r="BG98" i="28"/>
  <c r="BF98" i="28"/>
  <c r="BE98" i="28"/>
  <c r="BD98" i="28"/>
  <c r="BG97" i="28"/>
  <c r="BF97" i="28"/>
  <c r="BE97" i="28"/>
  <c r="BD97" i="28"/>
  <c r="BG96" i="28"/>
  <c r="BF96" i="28"/>
  <c r="BE96" i="28"/>
  <c r="BD96" i="28"/>
  <c r="BG95" i="28"/>
  <c r="BF95" i="28"/>
  <c r="BE95" i="28"/>
  <c r="BD95" i="28"/>
  <c r="BG94" i="28"/>
  <c r="BF94" i="28"/>
  <c r="BE94" i="28"/>
  <c r="BD94" i="28"/>
  <c r="BG93" i="28"/>
  <c r="BF93" i="28"/>
  <c r="BE93" i="28"/>
  <c r="BD93" i="28"/>
  <c r="BG92" i="28"/>
  <c r="BF92" i="28"/>
  <c r="BE92" i="28"/>
  <c r="BD92" i="28"/>
  <c r="BG91" i="28"/>
  <c r="BF91" i="28"/>
  <c r="BE91" i="28"/>
  <c r="BD91" i="28"/>
  <c r="BG90" i="28"/>
  <c r="BF90" i="28"/>
  <c r="BE90" i="28"/>
  <c r="BD90" i="28"/>
  <c r="BG89" i="28"/>
  <c r="BF89" i="28"/>
  <c r="BE89" i="28"/>
  <c r="BD89" i="28"/>
  <c r="BG88" i="28"/>
  <c r="BF88" i="28"/>
  <c r="BE88" i="28"/>
  <c r="BD88" i="28"/>
  <c r="BG87" i="28"/>
  <c r="BF87" i="28"/>
  <c r="BE87" i="28"/>
  <c r="BD87" i="28"/>
  <c r="BG86" i="28"/>
  <c r="BF86" i="28"/>
  <c r="BE86" i="28"/>
  <c r="BD86" i="28"/>
  <c r="BG85" i="28"/>
  <c r="BF85" i="28"/>
  <c r="BE85" i="28"/>
  <c r="BD85" i="28"/>
  <c r="BG84" i="28"/>
  <c r="BF84" i="28"/>
  <c r="BE84" i="28"/>
  <c r="BD84" i="28"/>
  <c r="BG83" i="28"/>
  <c r="BF83" i="28"/>
  <c r="BE83" i="28"/>
  <c r="BD83" i="28"/>
  <c r="BG82" i="28"/>
  <c r="BF82" i="28"/>
  <c r="BE82" i="28"/>
  <c r="BD82" i="28"/>
  <c r="BG81" i="28"/>
  <c r="BF81" i="28"/>
  <c r="BE81" i="28"/>
  <c r="BD81" i="28"/>
  <c r="BG80" i="28"/>
  <c r="BF80" i="28"/>
  <c r="BE80" i="28"/>
  <c r="BD80" i="28"/>
  <c r="BG79" i="28"/>
  <c r="BF79" i="28"/>
  <c r="BE79" i="28"/>
  <c r="BD79" i="28"/>
  <c r="BG78" i="28"/>
  <c r="BF78" i="28"/>
  <c r="BE78" i="28"/>
  <c r="BD78" i="28"/>
  <c r="BG77" i="28"/>
  <c r="BF77" i="28"/>
  <c r="BE77" i="28"/>
  <c r="BD77" i="28"/>
  <c r="BG76" i="28"/>
  <c r="BF76" i="28"/>
  <c r="BE76" i="28"/>
  <c r="BD76" i="28"/>
  <c r="BG75" i="28"/>
  <c r="BF75" i="28"/>
  <c r="BE75" i="28"/>
  <c r="BD75" i="28"/>
  <c r="BG74" i="28"/>
  <c r="BF74" i="28"/>
  <c r="BE74" i="28"/>
  <c r="BD74" i="28"/>
  <c r="BG73" i="28"/>
  <c r="BF73" i="28"/>
  <c r="BE73" i="28"/>
  <c r="BD73" i="28"/>
  <c r="BG72" i="28"/>
  <c r="BF72" i="28"/>
  <c r="BE72" i="28"/>
  <c r="BD72" i="28"/>
  <c r="BG71" i="28"/>
  <c r="BF71" i="28"/>
  <c r="BE71" i="28"/>
  <c r="BD71" i="28"/>
  <c r="BG70" i="28"/>
  <c r="BF70" i="28"/>
  <c r="BE70" i="28"/>
  <c r="BD70" i="28"/>
  <c r="BG69" i="28"/>
  <c r="BF69" i="28"/>
  <c r="BE69" i="28"/>
  <c r="BD69" i="28"/>
  <c r="BG68" i="28"/>
  <c r="BF68" i="28"/>
  <c r="BE68" i="28"/>
  <c r="BD68" i="28"/>
  <c r="BG67" i="28"/>
  <c r="BF67" i="28"/>
  <c r="BE67" i="28"/>
  <c r="BD67" i="28"/>
  <c r="BG66" i="28"/>
  <c r="BF66" i="28"/>
  <c r="BE66" i="28"/>
  <c r="BD66" i="28"/>
  <c r="BG65" i="28"/>
  <c r="BF65" i="28"/>
  <c r="BE65" i="28"/>
  <c r="BD65" i="28"/>
  <c r="BG64" i="28"/>
  <c r="BF64" i="28"/>
  <c r="BE64" i="28"/>
  <c r="BD64" i="28"/>
  <c r="BG63" i="28"/>
  <c r="BF63" i="28"/>
  <c r="BE63" i="28"/>
  <c r="BD63" i="28"/>
  <c r="BG62" i="28"/>
  <c r="BF62" i="28"/>
  <c r="BE62" i="28"/>
  <c r="BD62" i="28"/>
  <c r="BG61" i="28"/>
  <c r="BF61" i="28"/>
  <c r="BE61" i="28"/>
  <c r="BD61" i="28"/>
  <c r="BG60" i="28"/>
  <c r="BF60" i="28"/>
  <c r="BE60" i="28"/>
  <c r="BD60" i="28"/>
  <c r="BG59" i="28"/>
  <c r="BF59" i="28"/>
  <c r="BE59" i="28"/>
  <c r="BD59" i="28"/>
  <c r="BG58" i="28"/>
  <c r="BF58" i="28"/>
  <c r="BE58" i="28"/>
  <c r="BD58" i="28"/>
  <c r="BG57" i="28"/>
  <c r="BF57" i="28"/>
  <c r="BE57" i="28"/>
  <c r="BD57" i="28"/>
  <c r="BG56" i="28"/>
  <c r="BF56" i="28"/>
  <c r="BE56" i="28"/>
  <c r="BD56" i="28"/>
  <c r="BG55" i="28"/>
  <c r="BF55" i="28"/>
  <c r="BE55" i="28"/>
  <c r="BD55" i="28"/>
  <c r="BG54" i="28"/>
  <c r="BF54" i="28"/>
  <c r="BE54" i="28"/>
  <c r="BD54" i="28"/>
  <c r="BG53" i="28"/>
  <c r="BF53" i="28"/>
  <c r="BE53" i="28"/>
  <c r="BD53" i="28"/>
  <c r="BG52" i="28"/>
  <c r="BF52" i="28"/>
  <c r="BE52" i="28"/>
  <c r="BD52" i="28"/>
  <c r="BG51" i="28"/>
  <c r="BF51" i="28"/>
  <c r="BE51" i="28"/>
  <c r="BD51" i="28"/>
  <c r="BG50" i="28"/>
  <c r="BF50" i="28"/>
  <c r="BE50" i="28"/>
  <c r="BD50" i="28"/>
  <c r="BG49" i="28"/>
  <c r="BF49" i="28"/>
  <c r="BE49" i="28"/>
  <c r="BD49" i="28"/>
  <c r="BG48" i="28"/>
  <c r="BF48" i="28"/>
  <c r="BE48" i="28"/>
  <c r="BD48" i="28"/>
  <c r="BG47" i="28"/>
  <c r="BF47" i="28"/>
  <c r="BE47" i="28"/>
  <c r="BD47" i="28"/>
  <c r="BG46" i="28"/>
  <c r="BF46" i="28"/>
  <c r="BE46" i="28"/>
  <c r="BD46" i="28"/>
  <c r="BG45" i="28"/>
  <c r="BF45" i="28"/>
  <c r="BE45" i="28"/>
  <c r="BD45" i="28"/>
  <c r="BG44" i="28"/>
  <c r="BF44" i="28"/>
  <c r="BE44" i="28"/>
  <c r="BD44" i="28"/>
  <c r="BG43" i="28"/>
  <c r="BF43" i="28"/>
  <c r="BE43" i="28"/>
  <c r="BD43" i="28"/>
  <c r="BG42" i="28"/>
  <c r="BF42" i="28"/>
  <c r="BE42" i="28"/>
  <c r="BD42" i="28"/>
  <c r="BG41" i="28"/>
  <c r="BF41" i="28"/>
  <c r="BE41" i="28"/>
  <c r="BD41" i="28"/>
  <c r="BG40" i="28"/>
  <c r="BF40" i="28"/>
  <c r="BE40" i="28"/>
  <c r="BD40" i="28"/>
  <c r="BG39" i="28"/>
  <c r="BF39" i="28"/>
  <c r="BE39" i="28"/>
  <c r="BD39" i="28"/>
  <c r="BG38" i="28"/>
  <c r="BF38" i="28"/>
  <c r="BE38" i="28"/>
  <c r="BD38" i="28"/>
  <c r="BG37" i="28"/>
  <c r="BF37" i="28"/>
  <c r="BE37" i="28"/>
  <c r="BD37" i="28"/>
  <c r="BG36" i="28"/>
  <c r="BF36" i="28"/>
  <c r="BE36" i="28"/>
  <c r="BD36" i="28"/>
  <c r="BG35" i="28"/>
  <c r="BF35" i="28"/>
  <c r="BE35" i="28"/>
  <c r="BD35" i="28"/>
  <c r="BG34" i="28"/>
  <c r="BF34" i="28"/>
  <c r="BE34" i="28"/>
  <c r="BD34" i="28"/>
  <c r="BG33" i="28"/>
  <c r="BF33" i="28"/>
  <c r="BE33" i="28"/>
  <c r="BD33" i="28"/>
  <c r="BG32" i="28"/>
  <c r="BF32" i="28"/>
  <c r="BE32" i="28"/>
  <c r="BD32" i="28"/>
  <c r="BG31" i="28"/>
  <c r="BF31" i="28"/>
  <c r="BE31" i="28"/>
  <c r="BD31" i="28"/>
  <c r="BG30" i="28"/>
  <c r="BF30" i="28"/>
  <c r="BE30" i="28"/>
  <c r="BD30" i="28"/>
  <c r="BG29" i="28"/>
  <c r="BF29" i="28"/>
  <c r="BE29" i="28"/>
  <c r="BD29" i="28"/>
  <c r="BG28" i="28"/>
  <c r="BF28" i="28"/>
  <c r="BE28" i="28"/>
  <c r="BD28" i="28"/>
  <c r="BG27" i="28"/>
  <c r="BF27" i="28"/>
  <c r="BE27" i="28"/>
  <c r="BD27" i="28"/>
  <c r="BG26" i="28"/>
  <c r="BF26" i="28"/>
  <c r="BE26" i="28"/>
  <c r="BD26" i="28"/>
  <c r="BG25" i="28"/>
  <c r="BF25" i="28"/>
  <c r="BE25" i="28"/>
  <c r="BD25" i="28"/>
  <c r="BG24" i="28"/>
  <c r="BF24" i="28"/>
  <c r="BE24" i="28"/>
  <c r="BD24" i="28"/>
  <c r="BG23" i="28"/>
  <c r="BF23" i="28"/>
  <c r="BE23" i="28"/>
  <c r="BD23" i="28"/>
  <c r="BG22" i="28"/>
  <c r="BF22" i="28"/>
  <c r="BE22" i="28"/>
  <c r="BD22" i="28"/>
  <c r="BG21" i="28"/>
  <c r="BF21" i="28"/>
  <c r="BE21" i="28"/>
  <c r="BD21" i="28"/>
  <c r="BG20" i="28"/>
  <c r="BF20" i="28"/>
  <c r="BE20" i="28"/>
  <c r="BD20" i="28"/>
  <c r="BG19" i="28"/>
  <c r="BF19" i="28"/>
  <c r="BE19" i="28"/>
  <c r="BD19" i="28"/>
  <c r="BG18" i="28"/>
  <c r="BF18" i="28"/>
  <c r="BE18" i="28"/>
  <c r="BD18" i="28"/>
  <c r="BG17" i="28"/>
  <c r="BF17" i="28"/>
  <c r="BE17" i="28"/>
  <c r="BD17" i="28"/>
  <c r="BG16" i="28"/>
  <c r="BF16" i="28"/>
  <c r="BE16" i="28"/>
  <c r="BD16" i="28"/>
  <c r="BG15" i="28"/>
  <c r="BF15" i="28"/>
  <c r="BE15" i="28"/>
  <c r="BD15" i="28"/>
  <c r="BG14" i="28"/>
  <c r="BF14" i="28"/>
  <c r="BE14" i="28"/>
  <c r="BD14" i="28"/>
  <c r="BG13" i="28"/>
  <c r="BF13" i="28"/>
  <c r="BE13" i="28"/>
  <c r="BD13" i="28"/>
  <c r="BG12" i="28"/>
  <c r="BF12" i="28"/>
  <c r="BE12" i="28"/>
  <c r="BD12" i="28"/>
  <c r="BG11" i="28"/>
  <c r="BF11" i="28"/>
  <c r="BE11" i="28"/>
  <c r="BD11" i="28"/>
  <c r="AU122" i="28"/>
  <c r="AT122" i="28"/>
  <c r="AS122" i="28"/>
  <c r="AR122" i="28"/>
  <c r="AU121" i="28"/>
  <c r="AT121" i="28"/>
  <c r="AS121" i="28"/>
  <c r="AR121" i="28"/>
  <c r="AU120" i="28"/>
  <c r="AT120" i="28"/>
  <c r="AS120" i="28"/>
  <c r="AR120" i="28"/>
  <c r="AU119" i="28"/>
  <c r="AT119" i="28"/>
  <c r="AS119" i="28"/>
  <c r="AR119" i="28"/>
  <c r="AU118" i="28"/>
  <c r="AT118" i="28"/>
  <c r="AS118" i="28"/>
  <c r="AR118" i="28"/>
  <c r="AU117" i="28"/>
  <c r="AT117" i="28"/>
  <c r="AS117" i="28"/>
  <c r="AR117" i="28"/>
  <c r="AU116" i="28"/>
  <c r="AT116" i="28"/>
  <c r="AS116" i="28"/>
  <c r="AR116" i="28"/>
  <c r="AU115" i="28"/>
  <c r="AT115" i="28"/>
  <c r="AS115" i="28"/>
  <c r="AR115" i="28"/>
  <c r="AU114" i="28"/>
  <c r="AT114" i="28"/>
  <c r="AS114" i="28"/>
  <c r="AR114" i="28"/>
  <c r="AU113" i="28"/>
  <c r="AT113" i="28"/>
  <c r="AS113" i="28"/>
  <c r="AR113" i="28"/>
  <c r="AU112" i="28"/>
  <c r="AT112" i="28"/>
  <c r="AS112" i="28"/>
  <c r="AR112" i="28"/>
  <c r="AU111" i="28"/>
  <c r="AT111" i="28"/>
  <c r="AS111" i="28"/>
  <c r="AR111" i="28"/>
  <c r="AU110" i="28"/>
  <c r="AT110" i="28"/>
  <c r="AS110" i="28"/>
  <c r="AR110" i="28"/>
  <c r="AU109" i="28"/>
  <c r="AT109" i="28"/>
  <c r="AS109" i="28"/>
  <c r="AR109" i="28"/>
  <c r="AU108" i="28"/>
  <c r="AT108" i="28"/>
  <c r="AS108" i="28"/>
  <c r="AR108" i="28"/>
  <c r="AU107" i="28"/>
  <c r="AT107" i="28"/>
  <c r="AS107" i="28"/>
  <c r="AR107" i="28"/>
  <c r="AU106" i="28"/>
  <c r="AT106" i="28"/>
  <c r="AS106" i="28"/>
  <c r="AR106" i="28"/>
  <c r="AU105" i="28"/>
  <c r="AT105" i="28"/>
  <c r="AS105" i="28"/>
  <c r="AR105" i="28"/>
  <c r="AU104" i="28"/>
  <c r="AT104" i="28"/>
  <c r="AS104" i="28"/>
  <c r="AR104" i="28"/>
  <c r="AU103" i="28"/>
  <c r="AT103" i="28"/>
  <c r="AS103" i="28"/>
  <c r="AR103" i="28"/>
  <c r="AU102" i="28"/>
  <c r="AT102" i="28"/>
  <c r="AS102" i="28"/>
  <c r="AR102" i="28"/>
  <c r="AU101" i="28"/>
  <c r="AT101" i="28"/>
  <c r="AS101" i="28"/>
  <c r="AR101" i="28"/>
  <c r="AU100" i="28"/>
  <c r="AT100" i="28"/>
  <c r="AS100" i="28"/>
  <c r="AR100" i="28"/>
  <c r="AU99" i="28"/>
  <c r="AT99" i="28"/>
  <c r="AS99" i="28"/>
  <c r="AR99" i="28"/>
  <c r="AU98" i="28"/>
  <c r="AT98" i="28"/>
  <c r="AS98" i="28"/>
  <c r="AR98" i="28"/>
  <c r="AU97" i="28"/>
  <c r="AT97" i="28"/>
  <c r="AS97" i="28"/>
  <c r="AR97" i="28"/>
  <c r="AU96" i="28"/>
  <c r="AT96" i="28"/>
  <c r="AS96" i="28"/>
  <c r="AR96" i="28"/>
  <c r="AU95" i="28"/>
  <c r="AT95" i="28"/>
  <c r="AS95" i="28"/>
  <c r="AR95" i="28"/>
  <c r="AU94" i="28"/>
  <c r="AT94" i="28"/>
  <c r="AS94" i="28"/>
  <c r="AR94" i="28"/>
  <c r="AU93" i="28"/>
  <c r="AT93" i="28"/>
  <c r="AS93" i="28"/>
  <c r="AR93" i="28"/>
  <c r="AU92" i="28"/>
  <c r="AT92" i="28"/>
  <c r="AS92" i="28"/>
  <c r="AR92" i="28"/>
  <c r="AU91" i="28"/>
  <c r="AT91" i="28"/>
  <c r="AS91" i="28"/>
  <c r="AR91" i="28"/>
  <c r="AU90" i="28"/>
  <c r="AT90" i="28"/>
  <c r="AS90" i="28"/>
  <c r="AR90" i="28"/>
  <c r="AU89" i="28"/>
  <c r="AT89" i="28"/>
  <c r="AS89" i="28"/>
  <c r="AR89" i="28"/>
  <c r="AU88" i="28"/>
  <c r="AT88" i="28"/>
  <c r="AS88" i="28"/>
  <c r="AR88" i="28"/>
  <c r="AU87" i="28"/>
  <c r="AT87" i="28"/>
  <c r="AS87" i="28"/>
  <c r="AR87" i="28"/>
  <c r="AU86" i="28"/>
  <c r="AT86" i="28"/>
  <c r="AS86" i="28"/>
  <c r="AR86" i="28"/>
  <c r="AU85" i="28"/>
  <c r="AT85" i="28"/>
  <c r="AS85" i="28"/>
  <c r="AR85" i="28"/>
  <c r="AU84" i="28"/>
  <c r="AT84" i="28"/>
  <c r="AS84" i="28"/>
  <c r="AR84" i="28"/>
  <c r="AU83" i="28"/>
  <c r="AT83" i="28"/>
  <c r="AS83" i="28"/>
  <c r="AR83" i="28"/>
  <c r="AU82" i="28"/>
  <c r="AT82" i="28"/>
  <c r="AS82" i="28"/>
  <c r="AR82" i="28"/>
  <c r="AU81" i="28"/>
  <c r="AT81" i="28"/>
  <c r="AS81" i="28"/>
  <c r="AR81" i="28"/>
  <c r="AU80" i="28"/>
  <c r="AT80" i="28"/>
  <c r="AS80" i="28"/>
  <c r="AR80" i="28"/>
  <c r="AU79" i="28"/>
  <c r="AT79" i="28"/>
  <c r="AS79" i="28"/>
  <c r="AR79" i="28"/>
  <c r="AU78" i="28"/>
  <c r="AT78" i="28"/>
  <c r="AS78" i="28"/>
  <c r="AR78" i="28"/>
  <c r="AU77" i="28"/>
  <c r="AT77" i="28"/>
  <c r="AS77" i="28"/>
  <c r="AR77" i="28"/>
  <c r="AU76" i="28"/>
  <c r="AT76" i="28"/>
  <c r="AS76" i="28"/>
  <c r="AR76" i="28"/>
  <c r="AU75" i="28"/>
  <c r="AT75" i="28"/>
  <c r="AS75" i="28"/>
  <c r="AR75" i="28"/>
  <c r="AU74" i="28"/>
  <c r="AT74" i="28"/>
  <c r="AS74" i="28"/>
  <c r="AR74" i="28"/>
  <c r="AU73" i="28"/>
  <c r="AT73" i="28"/>
  <c r="AS73" i="28"/>
  <c r="AR73" i="28"/>
  <c r="AU72" i="28"/>
  <c r="AT72" i="28"/>
  <c r="AS72" i="28"/>
  <c r="AR72" i="28"/>
  <c r="AU71" i="28"/>
  <c r="AT71" i="28"/>
  <c r="AS71" i="28"/>
  <c r="AR71" i="28"/>
  <c r="AU70" i="28"/>
  <c r="AT70" i="28"/>
  <c r="AS70" i="28"/>
  <c r="AR70" i="28"/>
  <c r="AU69" i="28"/>
  <c r="AT69" i="28"/>
  <c r="AS69" i="28"/>
  <c r="AR69" i="28"/>
  <c r="AU68" i="28"/>
  <c r="AT68" i="28"/>
  <c r="AS68" i="28"/>
  <c r="AR68" i="28"/>
  <c r="AU67" i="28"/>
  <c r="AT67" i="28"/>
  <c r="AS67" i="28"/>
  <c r="AR67" i="28"/>
  <c r="AU66" i="28"/>
  <c r="AT66" i="28"/>
  <c r="AS66" i="28"/>
  <c r="AR66" i="28"/>
  <c r="AU65" i="28"/>
  <c r="AT65" i="28"/>
  <c r="AS65" i="28"/>
  <c r="AR65" i="28"/>
  <c r="AU64" i="28"/>
  <c r="AT64" i="28"/>
  <c r="AS64" i="28"/>
  <c r="AR64" i="28"/>
  <c r="AU63" i="28"/>
  <c r="AT63" i="28"/>
  <c r="AS63" i="28"/>
  <c r="AR63" i="28"/>
  <c r="AU62" i="28"/>
  <c r="AT62" i="28"/>
  <c r="AS62" i="28"/>
  <c r="AR62" i="28"/>
  <c r="AU61" i="28"/>
  <c r="AT61" i="28"/>
  <c r="AS61" i="28"/>
  <c r="AR61" i="28"/>
  <c r="AU60" i="28"/>
  <c r="AT60" i="28"/>
  <c r="AS60" i="28"/>
  <c r="AR60" i="28"/>
  <c r="AU59" i="28"/>
  <c r="AT59" i="28"/>
  <c r="AS59" i="28"/>
  <c r="AR59" i="28"/>
  <c r="AU58" i="28"/>
  <c r="AT58" i="28"/>
  <c r="AS58" i="28"/>
  <c r="AR58" i="28"/>
  <c r="AU57" i="28"/>
  <c r="AT57" i="28"/>
  <c r="AS57" i="28"/>
  <c r="AR57" i="28"/>
  <c r="AU56" i="28"/>
  <c r="AT56" i="28"/>
  <c r="AS56" i="28"/>
  <c r="AR56" i="28"/>
  <c r="AU55" i="28"/>
  <c r="AT55" i="28"/>
  <c r="AS55" i="28"/>
  <c r="AR55" i="28"/>
  <c r="AU54" i="28"/>
  <c r="AT54" i="28"/>
  <c r="AS54" i="28"/>
  <c r="AR54" i="28"/>
  <c r="AU53" i="28"/>
  <c r="AT53" i="28"/>
  <c r="AS53" i="28"/>
  <c r="AR53" i="28"/>
  <c r="AU52" i="28"/>
  <c r="AT52" i="28"/>
  <c r="AS52" i="28"/>
  <c r="AR52" i="28"/>
  <c r="AU51" i="28"/>
  <c r="AT51" i="28"/>
  <c r="AS51" i="28"/>
  <c r="AR51" i="28"/>
  <c r="AU50" i="28"/>
  <c r="AT50" i="28"/>
  <c r="AS50" i="28"/>
  <c r="AR50" i="28"/>
  <c r="AU49" i="28"/>
  <c r="AT49" i="28"/>
  <c r="AS49" i="28"/>
  <c r="AR49" i="28"/>
  <c r="AU48" i="28"/>
  <c r="AT48" i="28"/>
  <c r="AS48" i="28"/>
  <c r="AR48" i="28"/>
  <c r="AU47" i="28"/>
  <c r="AT47" i="28"/>
  <c r="AS47" i="28"/>
  <c r="AR47" i="28"/>
  <c r="AU46" i="28"/>
  <c r="AT46" i="28"/>
  <c r="AS46" i="28"/>
  <c r="AR46" i="28"/>
  <c r="AU45" i="28"/>
  <c r="AT45" i="28"/>
  <c r="AS45" i="28"/>
  <c r="AR45" i="28"/>
  <c r="AU44" i="28"/>
  <c r="AT44" i="28"/>
  <c r="AS44" i="28"/>
  <c r="AR44" i="28"/>
  <c r="AU43" i="28"/>
  <c r="AT43" i="28"/>
  <c r="AS43" i="28"/>
  <c r="AR43" i="28"/>
  <c r="AU42" i="28"/>
  <c r="AT42" i="28"/>
  <c r="AS42" i="28"/>
  <c r="AR42" i="28"/>
  <c r="AU41" i="28"/>
  <c r="AT41" i="28"/>
  <c r="AS41" i="28"/>
  <c r="AR41" i="28"/>
  <c r="AU40" i="28"/>
  <c r="AT40" i="28"/>
  <c r="AS40" i="28"/>
  <c r="AR40" i="28"/>
  <c r="AU39" i="28"/>
  <c r="AT39" i="28"/>
  <c r="AS39" i="28"/>
  <c r="AR39" i="28"/>
  <c r="AU38" i="28"/>
  <c r="AT38" i="28"/>
  <c r="AS38" i="28"/>
  <c r="AR38" i="28"/>
  <c r="AU37" i="28"/>
  <c r="AT37" i="28"/>
  <c r="AS37" i="28"/>
  <c r="AR37" i="28"/>
  <c r="AU36" i="28"/>
  <c r="AT36" i="28"/>
  <c r="AS36" i="28"/>
  <c r="AR36" i="28"/>
  <c r="AU35" i="28"/>
  <c r="AT35" i="28"/>
  <c r="AS35" i="28"/>
  <c r="AR35" i="28"/>
  <c r="AU34" i="28"/>
  <c r="AT34" i="28"/>
  <c r="AS34" i="28"/>
  <c r="AR34" i="28"/>
  <c r="AU33" i="28"/>
  <c r="AT33" i="28"/>
  <c r="AS33" i="28"/>
  <c r="AR33" i="28"/>
  <c r="AU32" i="28"/>
  <c r="AT32" i="28"/>
  <c r="AS32" i="28"/>
  <c r="AR32" i="28"/>
  <c r="AU31" i="28"/>
  <c r="AT31" i="28"/>
  <c r="AS31" i="28"/>
  <c r="AR31" i="28"/>
  <c r="AU30" i="28"/>
  <c r="AT30" i="28"/>
  <c r="AS30" i="28"/>
  <c r="AR30" i="28"/>
  <c r="AU29" i="28"/>
  <c r="AT29" i="28"/>
  <c r="AS29" i="28"/>
  <c r="AR29" i="28"/>
  <c r="AU28" i="28"/>
  <c r="AT28" i="28"/>
  <c r="AS28" i="28"/>
  <c r="AR28" i="28"/>
  <c r="AU27" i="28"/>
  <c r="AT27" i="28"/>
  <c r="AS27" i="28"/>
  <c r="AR27" i="28"/>
  <c r="AU26" i="28"/>
  <c r="AT26" i="28"/>
  <c r="AS26" i="28"/>
  <c r="AR26" i="28"/>
  <c r="AU25" i="28"/>
  <c r="AT25" i="28"/>
  <c r="AS25" i="28"/>
  <c r="AR25" i="28"/>
  <c r="AU24" i="28"/>
  <c r="AT24" i="28"/>
  <c r="AS24" i="28"/>
  <c r="AR24" i="28"/>
  <c r="AU23" i="28"/>
  <c r="AT23" i="28"/>
  <c r="AS23" i="28"/>
  <c r="AR23" i="28"/>
  <c r="AU22" i="28"/>
  <c r="AT22" i="28"/>
  <c r="AS22" i="28"/>
  <c r="AR22" i="28"/>
  <c r="AU21" i="28"/>
  <c r="AT21" i="28"/>
  <c r="AS21" i="28"/>
  <c r="AR21" i="28"/>
  <c r="AU20" i="28"/>
  <c r="AT20" i="28"/>
  <c r="AS20" i="28"/>
  <c r="AR20" i="28"/>
  <c r="AU19" i="28"/>
  <c r="AT19" i="28"/>
  <c r="AS19" i="28"/>
  <c r="AR19" i="28"/>
  <c r="AU18" i="28"/>
  <c r="AT18" i="28"/>
  <c r="AS18" i="28"/>
  <c r="AR18" i="28"/>
  <c r="AU17" i="28"/>
  <c r="AT17" i="28"/>
  <c r="AS17" i="28"/>
  <c r="AR17" i="28"/>
  <c r="AU16" i="28"/>
  <c r="AT16" i="28"/>
  <c r="AS16" i="28"/>
  <c r="AR16" i="28"/>
  <c r="AU15" i="28"/>
  <c r="AT15" i="28"/>
  <c r="AS15" i="28"/>
  <c r="AR15" i="28"/>
  <c r="AU14" i="28"/>
  <c r="AT14" i="28"/>
  <c r="AS14" i="28"/>
  <c r="AR14" i="28"/>
  <c r="AU13" i="28"/>
  <c r="AT13" i="28"/>
  <c r="AS13" i="28"/>
  <c r="AR13" i="28"/>
  <c r="AU12" i="28"/>
  <c r="AT12" i="28"/>
  <c r="AS12" i="28"/>
  <c r="AR12" i="28"/>
  <c r="AU11" i="28"/>
  <c r="AT11" i="28"/>
  <c r="AS11" i="28"/>
  <c r="AR11" i="28"/>
  <c r="AI122" i="28"/>
  <c r="AH122" i="28"/>
  <c r="AG122" i="28"/>
  <c r="AF122" i="28"/>
  <c r="AI121" i="28"/>
  <c r="AH121" i="28"/>
  <c r="AG121" i="28"/>
  <c r="AF121" i="28"/>
  <c r="AI120" i="28"/>
  <c r="AH120" i="28"/>
  <c r="AG120" i="28"/>
  <c r="AF120" i="28"/>
  <c r="AI119" i="28"/>
  <c r="AH119" i="28"/>
  <c r="AG119" i="28"/>
  <c r="AF119" i="28"/>
  <c r="AI118" i="28"/>
  <c r="AH118" i="28"/>
  <c r="AG118" i="28"/>
  <c r="AF118" i="28"/>
  <c r="AI117" i="28"/>
  <c r="AH117" i="28"/>
  <c r="AG117" i="28"/>
  <c r="AF117" i="28"/>
  <c r="AI116" i="28"/>
  <c r="AH116" i="28"/>
  <c r="AG116" i="28"/>
  <c r="AF116" i="28"/>
  <c r="AI115" i="28"/>
  <c r="AH115" i="28"/>
  <c r="AG115" i="28"/>
  <c r="AF115" i="28"/>
  <c r="AI114" i="28"/>
  <c r="AH114" i="28"/>
  <c r="AG114" i="28"/>
  <c r="AF114" i="28"/>
  <c r="AI113" i="28"/>
  <c r="AH113" i="28"/>
  <c r="AG113" i="28"/>
  <c r="AF113" i="28"/>
  <c r="AI112" i="28"/>
  <c r="AH112" i="28"/>
  <c r="AG112" i="28"/>
  <c r="AF112" i="28"/>
  <c r="AI111" i="28"/>
  <c r="AH111" i="28"/>
  <c r="AG111" i="28"/>
  <c r="AF111" i="28"/>
  <c r="AI110" i="28"/>
  <c r="AH110" i="28"/>
  <c r="AG110" i="28"/>
  <c r="AF110" i="28"/>
  <c r="AI109" i="28"/>
  <c r="AH109" i="28"/>
  <c r="AG109" i="28"/>
  <c r="AF109" i="28"/>
  <c r="AI108" i="28"/>
  <c r="AH108" i="28"/>
  <c r="AG108" i="28"/>
  <c r="AF108" i="28"/>
  <c r="AI107" i="28"/>
  <c r="AH107" i="28"/>
  <c r="AG107" i="28"/>
  <c r="AF107" i="28"/>
  <c r="AI106" i="28"/>
  <c r="AH106" i="28"/>
  <c r="AG106" i="28"/>
  <c r="AF106" i="28"/>
  <c r="AI105" i="28"/>
  <c r="AH105" i="28"/>
  <c r="AG105" i="28"/>
  <c r="AF105" i="28"/>
  <c r="AI104" i="28"/>
  <c r="AH104" i="28"/>
  <c r="AG104" i="28"/>
  <c r="AF104" i="28"/>
  <c r="AI103" i="28"/>
  <c r="AH103" i="28"/>
  <c r="AG103" i="28"/>
  <c r="AF103" i="28"/>
  <c r="AI102" i="28"/>
  <c r="AH102" i="28"/>
  <c r="AG102" i="28"/>
  <c r="AF102" i="28"/>
  <c r="AI101" i="28"/>
  <c r="AH101" i="28"/>
  <c r="AG101" i="28"/>
  <c r="AF101" i="28"/>
  <c r="AI100" i="28"/>
  <c r="AH100" i="28"/>
  <c r="AG100" i="28"/>
  <c r="AF100" i="28"/>
  <c r="AI99" i="28"/>
  <c r="AH99" i="28"/>
  <c r="AG99" i="28"/>
  <c r="AF99" i="28"/>
  <c r="AI98" i="28"/>
  <c r="AH98" i="28"/>
  <c r="AG98" i="28"/>
  <c r="AF98" i="28"/>
  <c r="AI97" i="28"/>
  <c r="AH97" i="28"/>
  <c r="AG97" i="28"/>
  <c r="AF97" i="28"/>
  <c r="AI96" i="28"/>
  <c r="AH96" i="28"/>
  <c r="AG96" i="28"/>
  <c r="AF96" i="28"/>
  <c r="AI95" i="28"/>
  <c r="AH95" i="28"/>
  <c r="AG95" i="28"/>
  <c r="AF95" i="28"/>
  <c r="AI94" i="28"/>
  <c r="AH94" i="28"/>
  <c r="AG94" i="28"/>
  <c r="AF94" i="28"/>
  <c r="AI93" i="28"/>
  <c r="AH93" i="28"/>
  <c r="AG93" i="28"/>
  <c r="AF93" i="28"/>
  <c r="AI92" i="28"/>
  <c r="AH92" i="28"/>
  <c r="AG92" i="28"/>
  <c r="AF92" i="28"/>
  <c r="AI91" i="28"/>
  <c r="AH91" i="28"/>
  <c r="AG91" i="28"/>
  <c r="AF91" i="28"/>
  <c r="AI90" i="28"/>
  <c r="AH90" i="28"/>
  <c r="AG90" i="28"/>
  <c r="AF90" i="28"/>
  <c r="AI89" i="28"/>
  <c r="AH89" i="28"/>
  <c r="AG89" i="28"/>
  <c r="AF89" i="28"/>
  <c r="AI88" i="28"/>
  <c r="AH88" i="28"/>
  <c r="AG88" i="28"/>
  <c r="AF88" i="28"/>
  <c r="AI87" i="28"/>
  <c r="AH87" i="28"/>
  <c r="AG87" i="28"/>
  <c r="AF87" i="28"/>
  <c r="AI86" i="28"/>
  <c r="AH86" i="28"/>
  <c r="AG86" i="28"/>
  <c r="AF86" i="28"/>
  <c r="AI85" i="28"/>
  <c r="AH85" i="28"/>
  <c r="AG85" i="28"/>
  <c r="AF85" i="28"/>
  <c r="AI84" i="28"/>
  <c r="AH84" i="28"/>
  <c r="AG84" i="28"/>
  <c r="AF84" i="28"/>
  <c r="AI83" i="28"/>
  <c r="AH83" i="28"/>
  <c r="AG83" i="28"/>
  <c r="AF83" i="28"/>
  <c r="AI82" i="28"/>
  <c r="AH82" i="28"/>
  <c r="AG82" i="28"/>
  <c r="AF82" i="28"/>
  <c r="AI81" i="28"/>
  <c r="AH81" i="28"/>
  <c r="AG81" i="28"/>
  <c r="AF81" i="28"/>
  <c r="AI80" i="28"/>
  <c r="AH80" i="28"/>
  <c r="AG80" i="28"/>
  <c r="AF80" i="28"/>
  <c r="AI79" i="28"/>
  <c r="AH79" i="28"/>
  <c r="AG79" i="28"/>
  <c r="AF79" i="28"/>
  <c r="AI78" i="28"/>
  <c r="AH78" i="28"/>
  <c r="AG78" i="28"/>
  <c r="AF78" i="28"/>
  <c r="AI77" i="28"/>
  <c r="AH77" i="28"/>
  <c r="AG77" i="28"/>
  <c r="AF77" i="28"/>
  <c r="AI76" i="28"/>
  <c r="AH76" i="28"/>
  <c r="AG76" i="28"/>
  <c r="AF76" i="28"/>
  <c r="AI75" i="28"/>
  <c r="AH75" i="28"/>
  <c r="AG75" i="28"/>
  <c r="AF75" i="28"/>
  <c r="AI74" i="28"/>
  <c r="AH74" i="28"/>
  <c r="AG74" i="28"/>
  <c r="AF74" i="28"/>
  <c r="AI73" i="28"/>
  <c r="AH73" i="28"/>
  <c r="AG73" i="28"/>
  <c r="AF73" i="28"/>
  <c r="AI72" i="28"/>
  <c r="AH72" i="28"/>
  <c r="AG72" i="28"/>
  <c r="AF72" i="28"/>
  <c r="AI71" i="28"/>
  <c r="AH71" i="28"/>
  <c r="AG71" i="28"/>
  <c r="AF71" i="28"/>
  <c r="AI70" i="28"/>
  <c r="AH70" i="28"/>
  <c r="AG70" i="28"/>
  <c r="AF70" i="28"/>
  <c r="AI69" i="28"/>
  <c r="AH69" i="28"/>
  <c r="AG69" i="28"/>
  <c r="AF69" i="28"/>
  <c r="AI68" i="28"/>
  <c r="AH68" i="28"/>
  <c r="AG68" i="28"/>
  <c r="AF68" i="28"/>
  <c r="AI67" i="28"/>
  <c r="AH67" i="28"/>
  <c r="AG67" i="28"/>
  <c r="AF67" i="28"/>
  <c r="AI66" i="28"/>
  <c r="AH66" i="28"/>
  <c r="AG66" i="28"/>
  <c r="AF66" i="28"/>
  <c r="AI65" i="28"/>
  <c r="AH65" i="28"/>
  <c r="AG65" i="28"/>
  <c r="AF65" i="28"/>
  <c r="AI64" i="28"/>
  <c r="AH64" i="28"/>
  <c r="AG64" i="28"/>
  <c r="AF64" i="28"/>
  <c r="AI63" i="28"/>
  <c r="AH63" i="28"/>
  <c r="AG63" i="28"/>
  <c r="AF63" i="28"/>
  <c r="AI62" i="28"/>
  <c r="AH62" i="28"/>
  <c r="AG62" i="28"/>
  <c r="AF62" i="28"/>
  <c r="AI61" i="28"/>
  <c r="AH61" i="28"/>
  <c r="AG61" i="28"/>
  <c r="AF61" i="28"/>
  <c r="AI60" i="28"/>
  <c r="AH60" i="28"/>
  <c r="AG60" i="28"/>
  <c r="AF60" i="28"/>
  <c r="AI59" i="28"/>
  <c r="AH59" i="28"/>
  <c r="AG59" i="28"/>
  <c r="AF59" i="28"/>
  <c r="AI58" i="28"/>
  <c r="AH58" i="28"/>
  <c r="AG58" i="28"/>
  <c r="AF58" i="28"/>
  <c r="AI57" i="28"/>
  <c r="AH57" i="28"/>
  <c r="AG57" i="28"/>
  <c r="AF57" i="28"/>
  <c r="AI56" i="28"/>
  <c r="AH56" i="28"/>
  <c r="AG56" i="28"/>
  <c r="AF56" i="28"/>
  <c r="AI55" i="28"/>
  <c r="AH55" i="28"/>
  <c r="AG55" i="28"/>
  <c r="AF55" i="28"/>
  <c r="AI54" i="28"/>
  <c r="AH54" i="28"/>
  <c r="AG54" i="28"/>
  <c r="AF54" i="28"/>
  <c r="AI53" i="28"/>
  <c r="AH53" i="28"/>
  <c r="AG53" i="28"/>
  <c r="AF53" i="28"/>
  <c r="AI52" i="28"/>
  <c r="AH52" i="28"/>
  <c r="AG52" i="28"/>
  <c r="AF52" i="28"/>
  <c r="AI51" i="28"/>
  <c r="AH51" i="28"/>
  <c r="AG51" i="28"/>
  <c r="AF51" i="28"/>
  <c r="AI50" i="28"/>
  <c r="AH50" i="28"/>
  <c r="AG50" i="28"/>
  <c r="AF50" i="28"/>
  <c r="AI49" i="28"/>
  <c r="AH49" i="28"/>
  <c r="AG49" i="28"/>
  <c r="AF49" i="28"/>
  <c r="AI48" i="28"/>
  <c r="AH48" i="28"/>
  <c r="AG48" i="28"/>
  <c r="AF48" i="28"/>
  <c r="AI47" i="28"/>
  <c r="AH47" i="28"/>
  <c r="AG47" i="28"/>
  <c r="AF47" i="28"/>
  <c r="AI46" i="28"/>
  <c r="AH46" i="28"/>
  <c r="AG46" i="28"/>
  <c r="AF46" i="28"/>
  <c r="AI45" i="28"/>
  <c r="AH45" i="28"/>
  <c r="AG45" i="28"/>
  <c r="AF45" i="28"/>
  <c r="AI44" i="28"/>
  <c r="AH44" i="28"/>
  <c r="AG44" i="28"/>
  <c r="AF44" i="28"/>
  <c r="AI43" i="28"/>
  <c r="AH43" i="28"/>
  <c r="AG43" i="28"/>
  <c r="AF43" i="28"/>
  <c r="AI42" i="28"/>
  <c r="AH42" i="28"/>
  <c r="AG42" i="28"/>
  <c r="AF42" i="28"/>
  <c r="AI41" i="28"/>
  <c r="AH41" i="28"/>
  <c r="AG41" i="28"/>
  <c r="AF41" i="28"/>
  <c r="AI40" i="28"/>
  <c r="AH40" i="28"/>
  <c r="AG40" i="28"/>
  <c r="AF40" i="28"/>
  <c r="AI39" i="28"/>
  <c r="AH39" i="28"/>
  <c r="AG39" i="28"/>
  <c r="AF39" i="28"/>
  <c r="AI38" i="28"/>
  <c r="AH38" i="28"/>
  <c r="AG38" i="28"/>
  <c r="AF38" i="28"/>
  <c r="AI37" i="28"/>
  <c r="AH37" i="28"/>
  <c r="AG37" i="28"/>
  <c r="AF37" i="28"/>
  <c r="AI36" i="28"/>
  <c r="AH36" i="28"/>
  <c r="AG36" i="28"/>
  <c r="AF36" i="28"/>
  <c r="AI35" i="28"/>
  <c r="AH35" i="28"/>
  <c r="AG35" i="28"/>
  <c r="AF35" i="28"/>
  <c r="AI34" i="28"/>
  <c r="AH34" i="28"/>
  <c r="AG34" i="28"/>
  <c r="AF34" i="28"/>
  <c r="AI33" i="28"/>
  <c r="AH33" i="28"/>
  <c r="AG33" i="28"/>
  <c r="AF33" i="28"/>
  <c r="AI32" i="28"/>
  <c r="AH32" i="28"/>
  <c r="AG32" i="28"/>
  <c r="AF32" i="28"/>
  <c r="AI31" i="28"/>
  <c r="AH31" i="28"/>
  <c r="AG31" i="28"/>
  <c r="AF31" i="28"/>
  <c r="AI30" i="28"/>
  <c r="AH30" i="28"/>
  <c r="AG30" i="28"/>
  <c r="AF30" i="28"/>
  <c r="AI29" i="28"/>
  <c r="AH29" i="28"/>
  <c r="AG29" i="28"/>
  <c r="AF29" i="28"/>
  <c r="AI28" i="28"/>
  <c r="AH28" i="28"/>
  <c r="AG28" i="28"/>
  <c r="AF28" i="28"/>
  <c r="AI27" i="28"/>
  <c r="AH27" i="28"/>
  <c r="AG27" i="28"/>
  <c r="AF27" i="28"/>
  <c r="AI26" i="28"/>
  <c r="AH26" i="28"/>
  <c r="AG26" i="28"/>
  <c r="AF26" i="28"/>
  <c r="AI25" i="28"/>
  <c r="AH25" i="28"/>
  <c r="AG25" i="28"/>
  <c r="AF25" i="28"/>
  <c r="AI24" i="28"/>
  <c r="AH24" i="28"/>
  <c r="AG24" i="28"/>
  <c r="AF24" i="28"/>
  <c r="AI23" i="28"/>
  <c r="AH23" i="28"/>
  <c r="AG23" i="28"/>
  <c r="AF23" i="28"/>
  <c r="AI22" i="28"/>
  <c r="AH22" i="28"/>
  <c r="AG22" i="28"/>
  <c r="AF22" i="28"/>
  <c r="AI21" i="28"/>
  <c r="AH21" i="28"/>
  <c r="AG21" i="28"/>
  <c r="AF21" i="28"/>
  <c r="AI20" i="28"/>
  <c r="AH20" i="28"/>
  <c r="AG20" i="28"/>
  <c r="AF20" i="28"/>
  <c r="AI19" i="28"/>
  <c r="AH19" i="28"/>
  <c r="AG19" i="28"/>
  <c r="AF19" i="28"/>
  <c r="AI18" i="28"/>
  <c r="AH18" i="28"/>
  <c r="AG18" i="28"/>
  <c r="AF18" i="28"/>
  <c r="AI17" i="28"/>
  <c r="AH17" i="28"/>
  <c r="AG17" i="28"/>
  <c r="AF17" i="28"/>
  <c r="AI16" i="28"/>
  <c r="AH16" i="28"/>
  <c r="AG16" i="28"/>
  <c r="AF16" i="28"/>
  <c r="AI15" i="28"/>
  <c r="AH15" i="28"/>
  <c r="AG15" i="28"/>
  <c r="AF15" i="28"/>
  <c r="AI14" i="28"/>
  <c r="AH14" i="28"/>
  <c r="AG14" i="28"/>
  <c r="AF14" i="28"/>
  <c r="AI13" i="28"/>
  <c r="AH13" i="28"/>
  <c r="AG13" i="28"/>
  <c r="AF13" i="28"/>
  <c r="AI12" i="28"/>
  <c r="AH12" i="28"/>
  <c r="AG12" i="28"/>
  <c r="AF12" i="28"/>
  <c r="AI11" i="28"/>
  <c r="AH11" i="28"/>
  <c r="AG11" i="28"/>
  <c r="AF11" i="28"/>
  <c r="CU122" i="28"/>
  <c r="CU121" i="28"/>
  <c r="CU120" i="28"/>
  <c r="CU119" i="28"/>
  <c r="CU118" i="28"/>
  <c r="CU117" i="28"/>
  <c r="CU116" i="28"/>
  <c r="CU115" i="28"/>
  <c r="CU114" i="28"/>
  <c r="CU113" i="28"/>
  <c r="CU112" i="28"/>
  <c r="CU111" i="28"/>
  <c r="CU110" i="28"/>
  <c r="CU109" i="28"/>
  <c r="CU108" i="28"/>
  <c r="CU107" i="28"/>
  <c r="CU106" i="28"/>
  <c r="CU105" i="28"/>
  <c r="CU104" i="28"/>
  <c r="CU103" i="28"/>
  <c r="CU102" i="28"/>
  <c r="CU101" i="28"/>
  <c r="CU100" i="28"/>
  <c r="CU99" i="28"/>
  <c r="CU98" i="28"/>
  <c r="CU97" i="28"/>
  <c r="CU96" i="28"/>
  <c r="CU95" i="28"/>
  <c r="CU94" i="28"/>
  <c r="CU93" i="28"/>
  <c r="CU92" i="28"/>
  <c r="CU91" i="28"/>
  <c r="CU90" i="28"/>
  <c r="CU89" i="28"/>
  <c r="CU88" i="28"/>
  <c r="CU87" i="28"/>
  <c r="CU86" i="28"/>
  <c r="CU85" i="28"/>
  <c r="CU84" i="28"/>
  <c r="CU83" i="28"/>
  <c r="CU82" i="28"/>
  <c r="CU81" i="28"/>
  <c r="CU80" i="28"/>
  <c r="CU79" i="28"/>
  <c r="CU78" i="28"/>
  <c r="CU77" i="28"/>
  <c r="CU76" i="28"/>
  <c r="CU75" i="28"/>
  <c r="CU74" i="28"/>
  <c r="CU73" i="28"/>
  <c r="CU72" i="28"/>
  <c r="CU71" i="28"/>
  <c r="CU70" i="28"/>
  <c r="CU69" i="28"/>
  <c r="CU68" i="28"/>
  <c r="CU67" i="28"/>
  <c r="CU66" i="28"/>
  <c r="CU65" i="28"/>
  <c r="CU64" i="28"/>
  <c r="CU63" i="28"/>
  <c r="CU62" i="28"/>
  <c r="CU61" i="28"/>
  <c r="CU60" i="28"/>
  <c r="CU59" i="28"/>
  <c r="CU58" i="28"/>
  <c r="CU57" i="28"/>
  <c r="CU56" i="28"/>
  <c r="CU55" i="28"/>
  <c r="CU54" i="28"/>
  <c r="CU53" i="28"/>
  <c r="CU52" i="28"/>
  <c r="CU51" i="28"/>
  <c r="CU50" i="28"/>
  <c r="CU49" i="28"/>
  <c r="CU48" i="28"/>
  <c r="CU47" i="28"/>
  <c r="CU46" i="28"/>
  <c r="CU45" i="28"/>
  <c r="CU44" i="28"/>
  <c r="CU43" i="28"/>
  <c r="CU42" i="28"/>
  <c r="CU41" i="28"/>
  <c r="CU40" i="28"/>
  <c r="CU39" i="28"/>
  <c r="CU38" i="28"/>
  <c r="CU37" i="28"/>
  <c r="CU36" i="28"/>
  <c r="CU35" i="28"/>
  <c r="CU34" i="28"/>
  <c r="CU33" i="28"/>
  <c r="CU32" i="28"/>
  <c r="CU31" i="28"/>
  <c r="CU30" i="28"/>
  <c r="CU29" i="28"/>
  <c r="CU28" i="28"/>
  <c r="CU27" i="28"/>
  <c r="CU26" i="28"/>
  <c r="CU25" i="28"/>
  <c r="CU24" i="28"/>
  <c r="CU23" i="28"/>
  <c r="CU22" i="28"/>
  <c r="CU21" i="28"/>
  <c r="CU20" i="28"/>
  <c r="CU19" i="28"/>
  <c r="CU18" i="28"/>
  <c r="CU17" i="28"/>
  <c r="CU16" i="28"/>
  <c r="CU15" i="28"/>
  <c r="CU14" i="28"/>
  <c r="CU13" i="28"/>
  <c r="CU12" i="28"/>
  <c r="CI122" i="28"/>
  <c r="CI121" i="28"/>
  <c r="CI120" i="28"/>
  <c r="CI119" i="28"/>
  <c r="CI118" i="28"/>
  <c r="CI117" i="28"/>
  <c r="CI116" i="28"/>
  <c r="CI115" i="28"/>
  <c r="CI114" i="28"/>
  <c r="CI113" i="28"/>
  <c r="CI112" i="28"/>
  <c r="CI111" i="28"/>
  <c r="CI110" i="28"/>
  <c r="CI109" i="28"/>
  <c r="CI108" i="28"/>
  <c r="CI107" i="28"/>
  <c r="CI106" i="28"/>
  <c r="CI105" i="28"/>
  <c r="CI104" i="28"/>
  <c r="CI103" i="28"/>
  <c r="CI102" i="28"/>
  <c r="CI101" i="28"/>
  <c r="CI100" i="28"/>
  <c r="CI99" i="28"/>
  <c r="CI98" i="28"/>
  <c r="CI97" i="28"/>
  <c r="CI96" i="28"/>
  <c r="CI95" i="28"/>
  <c r="CI94" i="28"/>
  <c r="CI93" i="28"/>
  <c r="CI92" i="28"/>
  <c r="CI91" i="28"/>
  <c r="CI90" i="28"/>
  <c r="CI89" i="28"/>
  <c r="CI88" i="28"/>
  <c r="CI87" i="28"/>
  <c r="CI86" i="28"/>
  <c r="CI85" i="28"/>
  <c r="CI84" i="28"/>
  <c r="CI83" i="28"/>
  <c r="CI82" i="28"/>
  <c r="CI81" i="28"/>
  <c r="CI80" i="28"/>
  <c r="CI79" i="28"/>
  <c r="CI78" i="28"/>
  <c r="CI77" i="28"/>
  <c r="CI76" i="28"/>
  <c r="CI75" i="28"/>
  <c r="CI74" i="28"/>
  <c r="CI73" i="28"/>
  <c r="CI72" i="28"/>
  <c r="CI71" i="28"/>
  <c r="CI70" i="28"/>
  <c r="CI69" i="28"/>
  <c r="CI68" i="28"/>
  <c r="CI67" i="28"/>
  <c r="CI66" i="28"/>
  <c r="CI65" i="28"/>
  <c r="CI64" i="28"/>
  <c r="CI63" i="28"/>
  <c r="CI62" i="28"/>
  <c r="CI61" i="28"/>
  <c r="CI60" i="28"/>
  <c r="CI59" i="28"/>
  <c r="CI58" i="28"/>
  <c r="CI57" i="28"/>
  <c r="CI56" i="28"/>
  <c r="CI55" i="28"/>
  <c r="CI54" i="28"/>
  <c r="CI53" i="28"/>
  <c r="CI52" i="28"/>
  <c r="CI51" i="28"/>
  <c r="CI50" i="28"/>
  <c r="CI49" i="28"/>
  <c r="CI48" i="28"/>
  <c r="CI47" i="28"/>
  <c r="CI46" i="28"/>
  <c r="CI45" i="28"/>
  <c r="CI44" i="28"/>
  <c r="CI43" i="28"/>
  <c r="CI42" i="28"/>
  <c r="CI41" i="28"/>
  <c r="CI40" i="28"/>
  <c r="CI39" i="28"/>
  <c r="CI38" i="28"/>
  <c r="CI37" i="28"/>
  <c r="CI36" i="28"/>
  <c r="CI35" i="28"/>
  <c r="CI34" i="28"/>
  <c r="CI33" i="28"/>
  <c r="CI32" i="28"/>
  <c r="CI31" i="28"/>
  <c r="CI30" i="28"/>
  <c r="CI29" i="28"/>
  <c r="CI28" i="28"/>
  <c r="CI27" i="28"/>
  <c r="CI26" i="28"/>
  <c r="CI25" i="28"/>
  <c r="CI24" i="28"/>
  <c r="CI23" i="28"/>
  <c r="CI22" i="28"/>
  <c r="CI21" i="28"/>
  <c r="CI20" i="28"/>
  <c r="CI19" i="28"/>
  <c r="CI18" i="28"/>
  <c r="CI17" i="28"/>
  <c r="CI16" i="28"/>
  <c r="CI15" i="28"/>
  <c r="CI14" i="28"/>
  <c r="CI13" i="28"/>
  <c r="CI12" i="28"/>
  <c r="BW122" i="28"/>
  <c r="BW121" i="28"/>
  <c r="BW120" i="28"/>
  <c r="BW119" i="28"/>
  <c r="BW118" i="28"/>
  <c r="BW117" i="28"/>
  <c r="BW116" i="28"/>
  <c r="BW115" i="28"/>
  <c r="BW114" i="28"/>
  <c r="BW113" i="28"/>
  <c r="BW112" i="28"/>
  <c r="BW111" i="28"/>
  <c r="BW110" i="28"/>
  <c r="BW109" i="28"/>
  <c r="BW108" i="28"/>
  <c r="BW107" i="28"/>
  <c r="BW106" i="28"/>
  <c r="BW105" i="28"/>
  <c r="BW104" i="28"/>
  <c r="BW103" i="28"/>
  <c r="BW102" i="28"/>
  <c r="BW101" i="28"/>
  <c r="BW100" i="28"/>
  <c r="BW99" i="28"/>
  <c r="BW98" i="28"/>
  <c r="BW97" i="28"/>
  <c r="BW96" i="28"/>
  <c r="BW95" i="28"/>
  <c r="BW94" i="28"/>
  <c r="BW93" i="28"/>
  <c r="BW92" i="28"/>
  <c r="BW91" i="28"/>
  <c r="BW90" i="28"/>
  <c r="BW89" i="28"/>
  <c r="BW88" i="28"/>
  <c r="BW87" i="28"/>
  <c r="BW86" i="28"/>
  <c r="BW85" i="28"/>
  <c r="BW84" i="28"/>
  <c r="BW83" i="28"/>
  <c r="BW82" i="28"/>
  <c r="BW81" i="28"/>
  <c r="BW80" i="28"/>
  <c r="BW79" i="28"/>
  <c r="BW78" i="28"/>
  <c r="BW77" i="28"/>
  <c r="BW76" i="28"/>
  <c r="BW75" i="28"/>
  <c r="BW74" i="28"/>
  <c r="BW73" i="28"/>
  <c r="BW72" i="28"/>
  <c r="BW71" i="28"/>
  <c r="BW70" i="28"/>
  <c r="BW69" i="28"/>
  <c r="BW68" i="28"/>
  <c r="BW67" i="28"/>
  <c r="BW66" i="28"/>
  <c r="BW65" i="28"/>
  <c r="BW64" i="28"/>
  <c r="BW63" i="28"/>
  <c r="BW62" i="28"/>
  <c r="BW61" i="28"/>
  <c r="BW60" i="28"/>
  <c r="BW59" i="28"/>
  <c r="BW58" i="28"/>
  <c r="BW57" i="28"/>
  <c r="BW56" i="28"/>
  <c r="BW55" i="28"/>
  <c r="BW54" i="28"/>
  <c r="BW53" i="28"/>
  <c r="BW52" i="28"/>
  <c r="BW51" i="28"/>
  <c r="BW50" i="28"/>
  <c r="BW49" i="28"/>
  <c r="BW48" i="28"/>
  <c r="BW47" i="28"/>
  <c r="BW46" i="28"/>
  <c r="BW45" i="28"/>
  <c r="BW44" i="28"/>
  <c r="BW43" i="28"/>
  <c r="BW42" i="28"/>
  <c r="BW41" i="28"/>
  <c r="BW40" i="28"/>
  <c r="BW39" i="28"/>
  <c r="BW38" i="28"/>
  <c r="BW37" i="28"/>
  <c r="BW36" i="28"/>
  <c r="BW35" i="28"/>
  <c r="BW34" i="28"/>
  <c r="BW33" i="28"/>
  <c r="BW32" i="28"/>
  <c r="BW31" i="28"/>
  <c r="BW30" i="28"/>
  <c r="BW29" i="28"/>
  <c r="BW28" i="28"/>
  <c r="BW27" i="28"/>
  <c r="BW26" i="28"/>
  <c r="BW25" i="28"/>
  <c r="BW24" i="28"/>
  <c r="BW23" i="28"/>
  <c r="BW22" i="28"/>
  <c r="BW21" i="28"/>
  <c r="BW20" i="28"/>
  <c r="BW19" i="28"/>
  <c r="BW18" i="28"/>
  <c r="BW17" i="28"/>
  <c r="BW16" i="28"/>
  <c r="BW15" i="28"/>
  <c r="BW14" i="28"/>
  <c r="BW13" i="28"/>
  <c r="BW12" i="28"/>
  <c r="BM122" i="28"/>
  <c r="BM121" i="28"/>
  <c r="BM120" i="28"/>
  <c r="BM119" i="28"/>
  <c r="BM118" i="28"/>
  <c r="BM117" i="28"/>
  <c r="BM116" i="28"/>
  <c r="BM115" i="28"/>
  <c r="BM114" i="28"/>
  <c r="BM113" i="28"/>
  <c r="BM112" i="28"/>
  <c r="BM111" i="28"/>
  <c r="BM110" i="28"/>
  <c r="BM109" i="28"/>
  <c r="BM108" i="28"/>
  <c r="BM107" i="28"/>
  <c r="BM106" i="28"/>
  <c r="BM105" i="28"/>
  <c r="BM104" i="28"/>
  <c r="BM103" i="28"/>
  <c r="BM102" i="28"/>
  <c r="BM101" i="28"/>
  <c r="BM100" i="28"/>
  <c r="BM99" i="28"/>
  <c r="BM98" i="28"/>
  <c r="BM97" i="28"/>
  <c r="BM96" i="28"/>
  <c r="BM95" i="28"/>
  <c r="BM94" i="28"/>
  <c r="BM93" i="28"/>
  <c r="BM92" i="28"/>
  <c r="BM91" i="28"/>
  <c r="BM90" i="28"/>
  <c r="BM89" i="28"/>
  <c r="BM88" i="28"/>
  <c r="BM87" i="28"/>
  <c r="BM86" i="28"/>
  <c r="BM85" i="28"/>
  <c r="BM84" i="28"/>
  <c r="BM83" i="28"/>
  <c r="BM82" i="28"/>
  <c r="BM81" i="28"/>
  <c r="BM80" i="28"/>
  <c r="BM79" i="28"/>
  <c r="BM78" i="28"/>
  <c r="BM77" i="28"/>
  <c r="BM76" i="28"/>
  <c r="BM75" i="28"/>
  <c r="BM74" i="28"/>
  <c r="BM73" i="28"/>
  <c r="BM72" i="28"/>
  <c r="BM71" i="28"/>
  <c r="BM70" i="28"/>
  <c r="BM69" i="28"/>
  <c r="BM68" i="28"/>
  <c r="BM67" i="28"/>
  <c r="BM66" i="28"/>
  <c r="BM65" i="28"/>
  <c r="BM64" i="28"/>
  <c r="BM63" i="28"/>
  <c r="BM62" i="28"/>
  <c r="BM61" i="28"/>
  <c r="BM60" i="28"/>
  <c r="BM59" i="28"/>
  <c r="BM58" i="28"/>
  <c r="BM57" i="28"/>
  <c r="BM56" i="28"/>
  <c r="BM55" i="28"/>
  <c r="BM54" i="28"/>
  <c r="BM53" i="28"/>
  <c r="BM52" i="28"/>
  <c r="BM51" i="28"/>
  <c r="BM50" i="28"/>
  <c r="BM49" i="28"/>
  <c r="BM48" i="28"/>
  <c r="BM47" i="28"/>
  <c r="BM46" i="28"/>
  <c r="BM45" i="28"/>
  <c r="BM44" i="28"/>
  <c r="BM43" i="28"/>
  <c r="BM42" i="28"/>
  <c r="BM41" i="28"/>
  <c r="BM40" i="28"/>
  <c r="BM39" i="28"/>
  <c r="BM38" i="28"/>
  <c r="BM37" i="28"/>
  <c r="BM36" i="28"/>
  <c r="BM35" i="28"/>
  <c r="BM34" i="28"/>
  <c r="BM33" i="28"/>
  <c r="BM32" i="28"/>
  <c r="BM31" i="28"/>
  <c r="BM30" i="28"/>
  <c r="BM29" i="28"/>
  <c r="BM28" i="28"/>
  <c r="BM27" i="28"/>
  <c r="BM26" i="28"/>
  <c r="BM25" i="28"/>
  <c r="BM24" i="28"/>
  <c r="BM23" i="28"/>
  <c r="BM22" i="28"/>
  <c r="BM21" i="28"/>
  <c r="BM20" i="28"/>
  <c r="BM19" i="28"/>
  <c r="BM18" i="28"/>
  <c r="BM17" i="28"/>
  <c r="BM16" i="28"/>
  <c r="BM15" i="28"/>
  <c r="BM14" i="28"/>
  <c r="BM13" i="28"/>
  <c r="BM12" i="28"/>
  <c r="BC122" i="28"/>
  <c r="BC121" i="28"/>
  <c r="BC120" i="28"/>
  <c r="BC119" i="28"/>
  <c r="BC118" i="28"/>
  <c r="BC117" i="28"/>
  <c r="BC116" i="28"/>
  <c r="BC115" i="28"/>
  <c r="BC114" i="28"/>
  <c r="BC113" i="28"/>
  <c r="BC112" i="28"/>
  <c r="BC111" i="28"/>
  <c r="BC110" i="28"/>
  <c r="BC109" i="28"/>
  <c r="BC108" i="28"/>
  <c r="BC107" i="28"/>
  <c r="BC106" i="28"/>
  <c r="BC105" i="28"/>
  <c r="BC104" i="28"/>
  <c r="BC103" i="28"/>
  <c r="BC102" i="28"/>
  <c r="BC101" i="28"/>
  <c r="BC100" i="28"/>
  <c r="BC99" i="28"/>
  <c r="BC98" i="28"/>
  <c r="BC97" i="28"/>
  <c r="BC96" i="28"/>
  <c r="BC95" i="28"/>
  <c r="BC94" i="28"/>
  <c r="BC93" i="28"/>
  <c r="BC92" i="28"/>
  <c r="BC91" i="28"/>
  <c r="BC90" i="28"/>
  <c r="BC89" i="28"/>
  <c r="BC88" i="28"/>
  <c r="BC87" i="28"/>
  <c r="BC86" i="28"/>
  <c r="BC85" i="28"/>
  <c r="BC84" i="28"/>
  <c r="BC83" i="28"/>
  <c r="BC82" i="28"/>
  <c r="BC81" i="28"/>
  <c r="BC80" i="28"/>
  <c r="BC79" i="28"/>
  <c r="BC78" i="28"/>
  <c r="BC77" i="28"/>
  <c r="BC76" i="28"/>
  <c r="BC75" i="28"/>
  <c r="BC74" i="28"/>
  <c r="BC73" i="28"/>
  <c r="BC72" i="28"/>
  <c r="BC71" i="28"/>
  <c r="BC70" i="28"/>
  <c r="BC69" i="28"/>
  <c r="BC68" i="28"/>
  <c r="BC67" i="28"/>
  <c r="BC66" i="28"/>
  <c r="BC65" i="28"/>
  <c r="BC64" i="28"/>
  <c r="BC63" i="28"/>
  <c r="BC62" i="28"/>
  <c r="BC61" i="28"/>
  <c r="BC60" i="28"/>
  <c r="BC59" i="28"/>
  <c r="BC58" i="28"/>
  <c r="BC57" i="28"/>
  <c r="BC56" i="28"/>
  <c r="BC55" i="28"/>
  <c r="BC54" i="28"/>
  <c r="BC53" i="28"/>
  <c r="BC52" i="28"/>
  <c r="BC51" i="28"/>
  <c r="BC50" i="28"/>
  <c r="BC49" i="28"/>
  <c r="BC48" i="28"/>
  <c r="BC47" i="28"/>
  <c r="BC46" i="28"/>
  <c r="BC45" i="28"/>
  <c r="BC44" i="28"/>
  <c r="BC43" i="28"/>
  <c r="BC42" i="28"/>
  <c r="BC41" i="28"/>
  <c r="BC40" i="28"/>
  <c r="BC39" i="28"/>
  <c r="BC38" i="28"/>
  <c r="BC37" i="28"/>
  <c r="BC36" i="28"/>
  <c r="BC35" i="28"/>
  <c r="BC34" i="28"/>
  <c r="BC33" i="28"/>
  <c r="BC32" i="28"/>
  <c r="BC31" i="28"/>
  <c r="BC30" i="28"/>
  <c r="BC29" i="28"/>
  <c r="BC28" i="28"/>
  <c r="BC27" i="28"/>
  <c r="BC26" i="28"/>
  <c r="BC25" i="28"/>
  <c r="BC24" i="28"/>
  <c r="BC23" i="28"/>
  <c r="BC22" i="28"/>
  <c r="BC21" i="28"/>
  <c r="BC20" i="28"/>
  <c r="BC19" i="28"/>
  <c r="BC18" i="28"/>
  <c r="BC17" i="28"/>
  <c r="BC16" i="28"/>
  <c r="BC15" i="28"/>
  <c r="BC14" i="28"/>
  <c r="BC13" i="28"/>
  <c r="BC12" i="28"/>
  <c r="AQ122" i="28"/>
  <c r="AQ121" i="28"/>
  <c r="AQ120" i="28"/>
  <c r="AQ119" i="28"/>
  <c r="AQ118" i="28"/>
  <c r="AQ117" i="28"/>
  <c r="AQ116" i="28"/>
  <c r="AQ115" i="28"/>
  <c r="AQ114" i="28"/>
  <c r="AQ113" i="28"/>
  <c r="AQ112" i="28"/>
  <c r="AQ111" i="28"/>
  <c r="AQ110" i="28"/>
  <c r="AQ109" i="28"/>
  <c r="AQ108" i="28"/>
  <c r="AQ107" i="28"/>
  <c r="AQ106" i="28"/>
  <c r="AQ105" i="28"/>
  <c r="AQ104" i="28"/>
  <c r="AQ103" i="28"/>
  <c r="AQ102" i="28"/>
  <c r="AQ101" i="28"/>
  <c r="AQ100" i="28"/>
  <c r="AQ99" i="28"/>
  <c r="AQ98" i="28"/>
  <c r="AQ97" i="28"/>
  <c r="AQ96" i="28"/>
  <c r="AQ95" i="28"/>
  <c r="AQ94" i="28"/>
  <c r="AQ93" i="28"/>
  <c r="AQ92" i="28"/>
  <c r="AQ91" i="28"/>
  <c r="AQ90" i="28"/>
  <c r="AQ89" i="28"/>
  <c r="AQ88" i="28"/>
  <c r="AQ87" i="28"/>
  <c r="AQ86" i="28"/>
  <c r="AQ85" i="28"/>
  <c r="AQ84" i="28"/>
  <c r="AQ83" i="28"/>
  <c r="AQ82" i="28"/>
  <c r="AQ81" i="28"/>
  <c r="AQ80" i="28"/>
  <c r="AQ79" i="28"/>
  <c r="AQ78" i="28"/>
  <c r="AQ77" i="28"/>
  <c r="AQ76" i="28"/>
  <c r="AQ75" i="28"/>
  <c r="AQ74" i="28"/>
  <c r="AQ73" i="28"/>
  <c r="AQ72" i="28"/>
  <c r="AQ71" i="28"/>
  <c r="AQ70" i="28"/>
  <c r="AQ69" i="28"/>
  <c r="AQ68" i="28"/>
  <c r="AQ67" i="28"/>
  <c r="AQ66" i="28"/>
  <c r="AQ65" i="28"/>
  <c r="AQ64" i="28"/>
  <c r="AQ63" i="28"/>
  <c r="AQ62" i="28"/>
  <c r="AQ61" i="28"/>
  <c r="AQ60" i="28"/>
  <c r="AQ59" i="28"/>
  <c r="AQ58" i="28"/>
  <c r="AQ57" i="28"/>
  <c r="AQ56" i="28"/>
  <c r="AQ55" i="28"/>
  <c r="AQ54" i="28"/>
  <c r="AQ53" i="28"/>
  <c r="AQ52" i="28"/>
  <c r="AQ51" i="28"/>
  <c r="AQ50" i="28"/>
  <c r="AQ49" i="28"/>
  <c r="AQ48" i="28"/>
  <c r="AQ47" i="28"/>
  <c r="AQ46" i="28"/>
  <c r="AQ45" i="28"/>
  <c r="AQ44" i="28"/>
  <c r="AQ43" i="28"/>
  <c r="AQ42" i="28"/>
  <c r="AQ41" i="28"/>
  <c r="AQ40" i="28"/>
  <c r="AQ39" i="28"/>
  <c r="AQ38" i="28"/>
  <c r="AQ37" i="28"/>
  <c r="AQ36" i="28"/>
  <c r="AQ35" i="28"/>
  <c r="AQ34" i="28"/>
  <c r="AQ33" i="28"/>
  <c r="AQ32" i="28"/>
  <c r="AQ31" i="28"/>
  <c r="AQ30" i="28"/>
  <c r="AQ29" i="28"/>
  <c r="AQ28" i="28"/>
  <c r="AQ27" i="28"/>
  <c r="AQ26" i="28"/>
  <c r="AQ25" i="28"/>
  <c r="AQ24" i="28"/>
  <c r="AQ23" i="28"/>
  <c r="AQ22" i="28"/>
  <c r="AQ21" i="28"/>
  <c r="AQ20" i="28"/>
  <c r="AQ19" i="28"/>
  <c r="AQ18" i="28"/>
  <c r="AQ17" i="28"/>
  <c r="AQ16" i="28"/>
  <c r="AQ15" i="28"/>
  <c r="AQ14" i="28"/>
  <c r="AQ13" i="28"/>
  <c r="AQ12" i="28"/>
  <c r="AE122" i="28"/>
  <c r="AE121" i="28"/>
  <c r="AE120" i="28"/>
  <c r="AE119" i="28"/>
  <c r="AE118" i="28"/>
  <c r="AE117" i="28"/>
  <c r="AE116" i="28"/>
  <c r="AE115" i="28"/>
  <c r="AE114" i="28"/>
  <c r="AE113" i="28"/>
  <c r="AE112" i="28"/>
  <c r="AE111" i="28"/>
  <c r="AE110" i="28"/>
  <c r="AE109" i="28"/>
  <c r="AE108" i="28"/>
  <c r="AE107" i="28"/>
  <c r="AE106" i="28"/>
  <c r="AE105" i="28"/>
  <c r="AE104" i="28"/>
  <c r="AE103" i="28"/>
  <c r="AE102" i="28"/>
  <c r="AE101" i="28"/>
  <c r="AE100" i="28"/>
  <c r="AE99" i="28"/>
  <c r="AE98" i="28"/>
  <c r="AE97" i="28"/>
  <c r="AE96" i="28"/>
  <c r="AE95" i="28"/>
  <c r="AE94" i="28"/>
  <c r="AE93" i="28"/>
  <c r="AE92" i="28"/>
  <c r="AE91" i="28"/>
  <c r="AE90" i="28"/>
  <c r="AE89" i="28"/>
  <c r="AE88" i="28"/>
  <c r="AE87" i="28"/>
  <c r="AE86" i="28"/>
  <c r="AE85" i="28"/>
  <c r="AE84" i="28"/>
  <c r="AE83" i="28"/>
  <c r="AE82" i="28"/>
  <c r="AE81" i="28"/>
  <c r="AE80" i="28"/>
  <c r="AE79" i="28"/>
  <c r="AE78" i="28"/>
  <c r="AE77" i="28"/>
  <c r="AE76" i="28"/>
  <c r="AE75" i="28"/>
  <c r="AE74" i="28"/>
  <c r="AE73" i="28"/>
  <c r="AE72" i="28"/>
  <c r="AE71" i="28"/>
  <c r="AE70" i="28"/>
  <c r="AE69" i="28"/>
  <c r="AE68" i="28"/>
  <c r="AE67" i="28"/>
  <c r="AE66" i="28"/>
  <c r="AE65" i="28"/>
  <c r="AE64" i="28"/>
  <c r="AE63" i="28"/>
  <c r="AE62" i="28"/>
  <c r="AE61" i="28"/>
  <c r="AE60" i="28"/>
  <c r="AE59" i="28"/>
  <c r="AE58" i="28"/>
  <c r="AE57" i="28"/>
  <c r="AE56" i="28"/>
  <c r="AE55" i="28"/>
  <c r="AE54" i="28"/>
  <c r="AE53" i="28"/>
  <c r="AE52" i="28"/>
  <c r="AE51" i="28"/>
  <c r="AE50" i="28"/>
  <c r="AE49" i="28"/>
  <c r="AE48" i="28"/>
  <c r="AE47" i="28"/>
  <c r="AE46" i="28"/>
  <c r="AE45" i="28"/>
  <c r="AE44" i="28"/>
  <c r="AE43" i="28"/>
  <c r="AE42" i="28"/>
  <c r="AE41" i="28"/>
  <c r="AE40" i="28"/>
  <c r="AE39" i="28"/>
  <c r="AE38" i="28"/>
  <c r="AE37" i="28"/>
  <c r="AE36" i="28"/>
  <c r="AE35" i="28"/>
  <c r="AE34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AE18" i="28"/>
  <c r="AE17" i="28"/>
  <c r="AE16" i="28"/>
  <c r="AE15" i="28"/>
  <c r="AE14" i="28"/>
  <c r="AE13" i="28"/>
  <c r="AE12" i="28"/>
  <c r="CU11" i="28"/>
  <c r="CI11" i="28"/>
  <c r="BW11" i="28"/>
  <c r="BM11" i="28"/>
  <c r="BC11" i="28"/>
  <c r="AQ11" i="28"/>
  <c r="AE11" i="28"/>
  <c r="Y122" i="28"/>
  <c r="X122" i="28"/>
  <c r="W122" i="28"/>
  <c r="V122" i="28"/>
  <c r="Y121" i="28"/>
  <c r="X121" i="28"/>
  <c r="W121" i="28"/>
  <c r="V121" i="28"/>
  <c r="Y120" i="28"/>
  <c r="X120" i="28"/>
  <c r="W120" i="28"/>
  <c r="V120" i="28"/>
  <c r="Y119" i="28"/>
  <c r="X119" i="28"/>
  <c r="W119" i="28"/>
  <c r="V119" i="28"/>
  <c r="Y118" i="28"/>
  <c r="X118" i="28"/>
  <c r="W118" i="28"/>
  <c r="V118" i="28"/>
  <c r="Y117" i="28"/>
  <c r="X117" i="28"/>
  <c r="W117" i="28"/>
  <c r="V117" i="28"/>
  <c r="Y116" i="28"/>
  <c r="X116" i="28"/>
  <c r="W116" i="28"/>
  <c r="V116" i="28"/>
  <c r="Y115" i="28"/>
  <c r="X115" i="28"/>
  <c r="W115" i="28"/>
  <c r="V115" i="28"/>
  <c r="Y114" i="28"/>
  <c r="X114" i="28"/>
  <c r="W114" i="28"/>
  <c r="V114" i="28"/>
  <c r="Y113" i="28"/>
  <c r="X113" i="28"/>
  <c r="W113" i="28"/>
  <c r="V113" i="28"/>
  <c r="Y112" i="28"/>
  <c r="X112" i="28"/>
  <c r="W112" i="28"/>
  <c r="V112" i="28"/>
  <c r="Y111" i="28"/>
  <c r="X111" i="28"/>
  <c r="W111" i="28"/>
  <c r="V111" i="28"/>
  <c r="Y110" i="28"/>
  <c r="X110" i="28"/>
  <c r="W110" i="28"/>
  <c r="V110" i="28"/>
  <c r="Y109" i="28"/>
  <c r="X109" i="28"/>
  <c r="W109" i="28"/>
  <c r="V109" i="28"/>
  <c r="Y108" i="28"/>
  <c r="X108" i="28"/>
  <c r="W108" i="28"/>
  <c r="V108" i="28"/>
  <c r="Y107" i="28"/>
  <c r="X107" i="28"/>
  <c r="W107" i="28"/>
  <c r="V107" i="28"/>
  <c r="Y106" i="28"/>
  <c r="X106" i="28"/>
  <c r="W106" i="28"/>
  <c r="V106" i="28"/>
  <c r="Y105" i="28"/>
  <c r="X105" i="28"/>
  <c r="W105" i="28"/>
  <c r="V105" i="28"/>
  <c r="Y104" i="28"/>
  <c r="X104" i="28"/>
  <c r="W104" i="28"/>
  <c r="V104" i="28"/>
  <c r="Y103" i="28"/>
  <c r="X103" i="28"/>
  <c r="W103" i="28"/>
  <c r="V103" i="28"/>
  <c r="Y102" i="28"/>
  <c r="X102" i="28"/>
  <c r="W102" i="28"/>
  <c r="V102" i="28"/>
  <c r="Y101" i="28"/>
  <c r="X101" i="28"/>
  <c r="W101" i="28"/>
  <c r="V101" i="28"/>
  <c r="Y100" i="28"/>
  <c r="X100" i="28"/>
  <c r="W100" i="28"/>
  <c r="V100" i="28"/>
  <c r="Y99" i="28"/>
  <c r="X99" i="28"/>
  <c r="W99" i="28"/>
  <c r="V99" i="28"/>
  <c r="Y98" i="28"/>
  <c r="X98" i="28"/>
  <c r="W98" i="28"/>
  <c r="V98" i="28"/>
  <c r="Y97" i="28"/>
  <c r="X97" i="28"/>
  <c r="W97" i="28"/>
  <c r="V97" i="28"/>
  <c r="Y96" i="28"/>
  <c r="X96" i="28"/>
  <c r="W96" i="28"/>
  <c r="V96" i="28"/>
  <c r="Y95" i="28"/>
  <c r="X95" i="28"/>
  <c r="W95" i="28"/>
  <c r="V95" i="28"/>
  <c r="Y94" i="28"/>
  <c r="X94" i="28"/>
  <c r="W94" i="28"/>
  <c r="V94" i="28"/>
  <c r="Y93" i="28"/>
  <c r="X93" i="28"/>
  <c r="W93" i="28"/>
  <c r="V93" i="28"/>
  <c r="Y92" i="28"/>
  <c r="X92" i="28"/>
  <c r="W92" i="28"/>
  <c r="V92" i="28"/>
  <c r="Y91" i="28"/>
  <c r="X91" i="28"/>
  <c r="W91" i="28"/>
  <c r="V91" i="28"/>
  <c r="Y90" i="28"/>
  <c r="X90" i="28"/>
  <c r="W90" i="28"/>
  <c r="V90" i="28"/>
  <c r="Y89" i="28"/>
  <c r="X89" i="28"/>
  <c r="W89" i="28"/>
  <c r="V89" i="28"/>
  <c r="Y88" i="28"/>
  <c r="X88" i="28"/>
  <c r="W88" i="28"/>
  <c r="V88" i="28"/>
  <c r="Y87" i="28"/>
  <c r="X87" i="28"/>
  <c r="W87" i="28"/>
  <c r="V87" i="28"/>
  <c r="Y86" i="28"/>
  <c r="X86" i="28"/>
  <c r="W86" i="28"/>
  <c r="V86" i="28"/>
  <c r="Y85" i="28"/>
  <c r="X85" i="28"/>
  <c r="W85" i="28"/>
  <c r="V85" i="28"/>
  <c r="Y84" i="28"/>
  <c r="X84" i="28"/>
  <c r="W84" i="28"/>
  <c r="V84" i="28"/>
  <c r="Y83" i="28"/>
  <c r="X83" i="28"/>
  <c r="W83" i="28"/>
  <c r="V83" i="28"/>
  <c r="Y82" i="28"/>
  <c r="X82" i="28"/>
  <c r="W82" i="28"/>
  <c r="V82" i="28"/>
  <c r="Y81" i="28"/>
  <c r="X81" i="28"/>
  <c r="W81" i="28"/>
  <c r="V81" i="28"/>
  <c r="Y80" i="28"/>
  <c r="X80" i="28"/>
  <c r="W80" i="28"/>
  <c r="V80" i="28"/>
  <c r="Y79" i="28"/>
  <c r="X79" i="28"/>
  <c r="W79" i="28"/>
  <c r="V79" i="28"/>
  <c r="Y78" i="28"/>
  <c r="X78" i="28"/>
  <c r="W78" i="28"/>
  <c r="V78" i="28"/>
  <c r="Y77" i="28"/>
  <c r="X77" i="28"/>
  <c r="W77" i="28"/>
  <c r="V77" i="28"/>
  <c r="Y76" i="28"/>
  <c r="X76" i="28"/>
  <c r="W76" i="28"/>
  <c r="V76" i="28"/>
  <c r="Y75" i="28"/>
  <c r="X75" i="28"/>
  <c r="W75" i="28"/>
  <c r="V75" i="28"/>
  <c r="Y74" i="28"/>
  <c r="X74" i="28"/>
  <c r="W74" i="28"/>
  <c r="V74" i="28"/>
  <c r="Y73" i="28"/>
  <c r="X73" i="28"/>
  <c r="W73" i="28"/>
  <c r="V73" i="28"/>
  <c r="Y72" i="28"/>
  <c r="X72" i="28"/>
  <c r="W72" i="28"/>
  <c r="V72" i="28"/>
  <c r="Y71" i="28"/>
  <c r="X71" i="28"/>
  <c r="W71" i="28"/>
  <c r="V71" i="28"/>
  <c r="Y70" i="28"/>
  <c r="X70" i="28"/>
  <c r="W70" i="28"/>
  <c r="V70" i="28"/>
  <c r="Y69" i="28"/>
  <c r="X69" i="28"/>
  <c r="W69" i="28"/>
  <c r="V69" i="28"/>
  <c r="Y68" i="28"/>
  <c r="X68" i="28"/>
  <c r="W68" i="28"/>
  <c r="V68" i="28"/>
  <c r="Y67" i="28"/>
  <c r="X67" i="28"/>
  <c r="W67" i="28"/>
  <c r="V67" i="28"/>
  <c r="Y66" i="28"/>
  <c r="X66" i="28"/>
  <c r="W66" i="28"/>
  <c r="V66" i="28"/>
  <c r="Y65" i="28"/>
  <c r="X65" i="28"/>
  <c r="W65" i="28"/>
  <c r="V65" i="28"/>
  <c r="Y64" i="28"/>
  <c r="X64" i="28"/>
  <c r="W64" i="28"/>
  <c r="V64" i="28"/>
  <c r="Y63" i="28"/>
  <c r="X63" i="28"/>
  <c r="W63" i="28"/>
  <c r="V63" i="28"/>
  <c r="Y62" i="28"/>
  <c r="X62" i="28"/>
  <c r="W62" i="28"/>
  <c r="V62" i="28"/>
  <c r="Y61" i="28"/>
  <c r="X61" i="28"/>
  <c r="W61" i="28"/>
  <c r="V61" i="28"/>
  <c r="Y60" i="28"/>
  <c r="X60" i="28"/>
  <c r="W60" i="28"/>
  <c r="V60" i="28"/>
  <c r="Y59" i="28"/>
  <c r="X59" i="28"/>
  <c r="W59" i="28"/>
  <c r="V59" i="28"/>
  <c r="Y58" i="28"/>
  <c r="X58" i="28"/>
  <c r="W58" i="28"/>
  <c r="V58" i="28"/>
  <c r="Y57" i="28"/>
  <c r="X57" i="28"/>
  <c r="W57" i="28"/>
  <c r="V57" i="28"/>
  <c r="Y56" i="28"/>
  <c r="X56" i="28"/>
  <c r="W56" i="28"/>
  <c r="V56" i="28"/>
  <c r="Y55" i="28"/>
  <c r="X55" i="28"/>
  <c r="W55" i="28"/>
  <c r="V55" i="28"/>
  <c r="Y54" i="28"/>
  <c r="X54" i="28"/>
  <c r="W54" i="28"/>
  <c r="V54" i="28"/>
  <c r="Y53" i="28"/>
  <c r="X53" i="28"/>
  <c r="W53" i="28"/>
  <c r="V53" i="28"/>
  <c r="Y52" i="28"/>
  <c r="X52" i="28"/>
  <c r="W52" i="28"/>
  <c r="V52" i="28"/>
  <c r="Y51" i="28"/>
  <c r="X51" i="28"/>
  <c r="W51" i="28"/>
  <c r="V51" i="28"/>
  <c r="Y50" i="28"/>
  <c r="X50" i="28"/>
  <c r="W50" i="28"/>
  <c r="V50" i="28"/>
  <c r="Y49" i="28"/>
  <c r="X49" i="28"/>
  <c r="W49" i="28"/>
  <c r="V49" i="28"/>
  <c r="Y48" i="28"/>
  <c r="X48" i="28"/>
  <c r="W48" i="28"/>
  <c r="V48" i="28"/>
  <c r="Y47" i="28"/>
  <c r="X47" i="28"/>
  <c r="W47" i="28"/>
  <c r="V47" i="28"/>
  <c r="Y46" i="28"/>
  <c r="X46" i="28"/>
  <c r="W46" i="28"/>
  <c r="V46" i="28"/>
  <c r="Y45" i="28"/>
  <c r="X45" i="28"/>
  <c r="W45" i="28"/>
  <c r="V45" i="28"/>
  <c r="Y44" i="28"/>
  <c r="X44" i="28"/>
  <c r="W44" i="28"/>
  <c r="V44" i="28"/>
  <c r="Y43" i="28"/>
  <c r="X43" i="28"/>
  <c r="W43" i="28"/>
  <c r="V43" i="28"/>
  <c r="Y42" i="28"/>
  <c r="X42" i="28"/>
  <c r="W42" i="28"/>
  <c r="V42" i="28"/>
  <c r="Y41" i="28"/>
  <c r="X41" i="28"/>
  <c r="W41" i="28"/>
  <c r="V41" i="28"/>
  <c r="Y40" i="28"/>
  <c r="X40" i="28"/>
  <c r="W40" i="28"/>
  <c r="V40" i="28"/>
  <c r="Y39" i="28"/>
  <c r="X39" i="28"/>
  <c r="W39" i="28"/>
  <c r="V39" i="28"/>
  <c r="Y38" i="28"/>
  <c r="X38" i="28"/>
  <c r="W38" i="28"/>
  <c r="V38" i="28"/>
  <c r="Y37" i="28"/>
  <c r="X37" i="28"/>
  <c r="W37" i="28"/>
  <c r="V37" i="28"/>
  <c r="Y36" i="28"/>
  <c r="X36" i="28"/>
  <c r="W36" i="28"/>
  <c r="V36" i="28"/>
  <c r="Y35" i="28"/>
  <c r="X35" i="28"/>
  <c r="W35" i="28"/>
  <c r="V35" i="28"/>
  <c r="Y34" i="28"/>
  <c r="X34" i="28"/>
  <c r="W34" i="28"/>
  <c r="V34" i="28"/>
  <c r="Y33" i="28"/>
  <c r="X33" i="28"/>
  <c r="W33" i="28"/>
  <c r="V33" i="28"/>
  <c r="Y32" i="28"/>
  <c r="X32" i="28"/>
  <c r="W32" i="28"/>
  <c r="V32" i="28"/>
  <c r="Y31" i="28"/>
  <c r="X31" i="28"/>
  <c r="W31" i="28"/>
  <c r="V31" i="28"/>
  <c r="Y30" i="28"/>
  <c r="X30" i="28"/>
  <c r="W30" i="28"/>
  <c r="V30" i="28"/>
  <c r="Y29" i="28"/>
  <c r="X29" i="28"/>
  <c r="W29" i="28"/>
  <c r="V29" i="28"/>
  <c r="Y28" i="28"/>
  <c r="X28" i="28"/>
  <c r="W28" i="28"/>
  <c r="V28" i="28"/>
  <c r="Y27" i="28"/>
  <c r="X27" i="28"/>
  <c r="W27" i="28"/>
  <c r="V27" i="28"/>
  <c r="Y26" i="28"/>
  <c r="X26" i="28"/>
  <c r="W26" i="28"/>
  <c r="V26" i="28"/>
  <c r="Y25" i="28"/>
  <c r="X25" i="28"/>
  <c r="W25" i="28"/>
  <c r="V25" i="28"/>
  <c r="Y24" i="28"/>
  <c r="X24" i="28"/>
  <c r="W24" i="28"/>
  <c r="V24" i="28"/>
  <c r="Y23" i="28"/>
  <c r="X23" i="28"/>
  <c r="W23" i="28"/>
  <c r="V23" i="28"/>
  <c r="Y22" i="28"/>
  <c r="X22" i="28"/>
  <c r="W22" i="28"/>
  <c r="V22" i="28"/>
  <c r="Y21" i="28"/>
  <c r="X21" i="28"/>
  <c r="W21" i="28"/>
  <c r="V21" i="28"/>
  <c r="Y20" i="28"/>
  <c r="X20" i="28"/>
  <c r="W20" i="28"/>
  <c r="V20" i="28"/>
  <c r="Y19" i="28"/>
  <c r="X19" i="28"/>
  <c r="W19" i="28"/>
  <c r="V19" i="28"/>
  <c r="Y18" i="28"/>
  <c r="X18" i="28"/>
  <c r="W18" i="28"/>
  <c r="V18" i="28"/>
  <c r="Y17" i="28"/>
  <c r="X17" i="28"/>
  <c r="W17" i="28"/>
  <c r="V17" i="28"/>
  <c r="Y16" i="28"/>
  <c r="X16" i="28"/>
  <c r="W16" i="28"/>
  <c r="V16" i="28"/>
  <c r="Y15" i="28"/>
  <c r="X15" i="28"/>
  <c r="W15" i="28"/>
  <c r="V15" i="28"/>
  <c r="Y14" i="28"/>
  <c r="X14" i="28"/>
  <c r="W14" i="28"/>
  <c r="V14" i="28"/>
  <c r="Y13" i="28"/>
  <c r="X13" i="28"/>
  <c r="W13" i="28"/>
  <c r="V13" i="28"/>
  <c r="Y12" i="28"/>
  <c r="X12" i="28"/>
  <c r="W12" i="28"/>
  <c r="V12" i="28"/>
  <c r="Y11" i="28"/>
  <c r="X11" i="28"/>
  <c r="W11" i="28"/>
  <c r="V11" i="28"/>
  <c r="U109" i="28"/>
  <c r="U122" i="28"/>
  <c r="U121" i="28"/>
  <c r="U120" i="28"/>
  <c r="U119" i="28"/>
  <c r="U118" i="28"/>
  <c r="U117" i="28"/>
  <c r="U116" i="28"/>
  <c r="U115" i="28"/>
  <c r="U114" i="28"/>
  <c r="U113" i="28"/>
  <c r="U112" i="28"/>
  <c r="U111" i="28"/>
  <c r="U110" i="28"/>
  <c r="U108" i="28"/>
  <c r="U107" i="28"/>
  <c r="U106" i="28"/>
  <c r="U105" i="28"/>
  <c r="U104" i="28"/>
  <c r="U103" i="28"/>
  <c r="U102" i="28"/>
  <c r="U101" i="28"/>
  <c r="U100" i="28"/>
  <c r="U99" i="28"/>
  <c r="U98" i="28"/>
  <c r="U97" i="28"/>
  <c r="U96" i="28"/>
  <c r="U95" i="28"/>
  <c r="U94" i="28"/>
  <c r="U93" i="28"/>
  <c r="U92" i="28"/>
  <c r="U91" i="28"/>
  <c r="U90" i="28"/>
  <c r="U89" i="28"/>
  <c r="U88" i="28"/>
  <c r="U87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7" i="28"/>
  <c r="U16" i="28"/>
  <c r="U15" i="28"/>
  <c r="U14" i="28"/>
  <c r="U13" i="28"/>
  <c r="U12" i="28"/>
  <c r="U11" i="28"/>
  <c r="L122" i="28"/>
  <c r="K122" i="28"/>
  <c r="J122" i="28"/>
  <c r="I122" i="28"/>
  <c r="L121" i="28"/>
  <c r="K121" i="28"/>
  <c r="J121" i="28"/>
  <c r="I121" i="28"/>
  <c r="L120" i="28"/>
  <c r="K120" i="28"/>
  <c r="J120" i="28"/>
  <c r="I120" i="28"/>
  <c r="L119" i="28"/>
  <c r="K119" i="28"/>
  <c r="J119" i="28"/>
  <c r="I119" i="28"/>
  <c r="L118" i="28"/>
  <c r="K118" i="28"/>
  <c r="J118" i="28"/>
  <c r="I118" i="28"/>
  <c r="L117" i="28"/>
  <c r="K117" i="28"/>
  <c r="J117" i="28"/>
  <c r="I117" i="28"/>
  <c r="L116" i="28"/>
  <c r="K116" i="28"/>
  <c r="J116" i="28"/>
  <c r="I116" i="28"/>
  <c r="L115" i="28"/>
  <c r="K115" i="28"/>
  <c r="J115" i="28"/>
  <c r="I115" i="28"/>
  <c r="L114" i="28"/>
  <c r="K114" i="28"/>
  <c r="J114" i="28"/>
  <c r="I114" i="28"/>
  <c r="L113" i="28"/>
  <c r="K113" i="28"/>
  <c r="J113" i="28"/>
  <c r="I113" i="28"/>
  <c r="L112" i="28"/>
  <c r="K112" i="28"/>
  <c r="J112" i="28"/>
  <c r="I112" i="28"/>
  <c r="L111" i="28"/>
  <c r="K111" i="28"/>
  <c r="J111" i="28"/>
  <c r="I111" i="28"/>
  <c r="L110" i="28"/>
  <c r="K110" i="28"/>
  <c r="J110" i="28"/>
  <c r="I110" i="28"/>
  <c r="L109" i="28"/>
  <c r="K109" i="28"/>
  <c r="J109" i="28"/>
  <c r="I109" i="28"/>
  <c r="L108" i="28"/>
  <c r="K108" i="28"/>
  <c r="J108" i="28"/>
  <c r="I108" i="28"/>
  <c r="L107" i="28"/>
  <c r="K107" i="28"/>
  <c r="J107" i="28"/>
  <c r="I107" i="28"/>
  <c r="L106" i="28"/>
  <c r="K106" i="28"/>
  <c r="J106" i="28"/>
  <c r="I106" i="28"/>
  <c r="L105" i="28"/>
  <c r="K105" i="28"/>
  <c r="J105" i="28"/>
  <c r="I105" i="28"/>
  <c r="L104" i="28"/>
  <c r="K104" i="28"/>
  <c r="J104" i="28"/>
  <c r="I104" i="28"/>
  <c r="L103" i="28"/>
  <c r="K103" i="28"/>
  <c r="J103" i="28"/>
  <c r="I103" i="28"/>
  <c r="L102" i="28"/>
  <c r="K102" i="28"/>
  <c r="J102" i="28"/>
  <c r="I102" i="28"/>
  <c r="L101" i="28"/>
  <c r="K101" i="28"/>
  <c r="J101" i="28"/>
  <c r="I101" i="28"/>
  <c r="L100" i="28"/>
  <c r="K100" i="28"/>
  <c r="J100" i="28"/>
  <c r="I100" i="28"/>
  <c r="L99" i="28"/>
  <c r="K99" i="28"/>
  <c r="J99" i="28"/>
  <c r="I99" i="28"/>
  <c r="L98" i="28"/>
  <c r="K98" i="28"/>
  <c r="J98" i="28"/>
  <c r="I98" i="28"/>
  <c r="L97" i="28"/>
  <c r="K97" i="28"/>
  <c r="J97" i="28"/>
  <c r="I97" i="28"/>
  <c r="L96" i="28"/>
  <c r="K96" i="28"/>
  <c r="J96" i="28"/>
  <c r="I96" i="28"/>
  <c r="L95" i="28"/>
  <c r="K95" i="28"/>
  <c r="J95" i="28"/>
  <c r="I95" i="28"/>
  <c r="L94" i="28"/>
  <c r="K94" i="28"/>
  <c r="J94" i="28"/>
  <c r="I94" i="28"/>
  <c r="L93" i="28"/>
  <c r="K93" i="28"/>
  <c r="J93" i="28"/>
  <c r="I93" i="28"/>
  <c r="L92" i="28"/>
  <c r="K92" i="28"/>
  <c r="J92" i="28"/>
  <c r="I92" i="28"/>
  <c r="L91" i="28"/>
  <c r="K91" i="28"/>
  <c r="J91" i="28"/>
  <c r="I91" i="28"/>
  <c r="L90" i="28"/>
  <c r="K90" i="28"/>
  <c r="J90" i="28"/>
  <c r="I90" i="28"/>
  <c r="L89" i="28"/>
  <c r="K89" i="28"/>
  <c r="J89" i="28"/>
  <c r="I89" i="28"/>
  <c r="L88" i="28"/>
  <c r="K88" i="28"/>
  <c r="J88" i="28"/>
  <c r="I88" i="28"/>
  <c r="L87" i="28"/>
  <c r="K87" i="28"/>
  <c r="J87" i="28"/>
  <c r="I87" i="28"/>
  <c r="L86" i="28"/>
  <c r="K86" i="28"/>
  <c r="J86" i="28"/>
  <c r="I86" i="28"/>
  <c r="L85" i="28"/>
  <c r="K85" i="28"/>
  <c r="J85" i="28"/>
  <c r="I85" i="28"/>
  <c r="L84" i="28"/>
  <c r="K84" i="28"/>
  <c r="J84" i="28"/>
  <c r="I84" i="28"/>
  <c r="L83" i="28"/>
  <c r="K83" i="28"/>
  <c r="J83" i="28"/>
  <c r="I83" i="28"/>
  <c r="L82" i="28"/>
  <c r="K82" i="28"/>
  <c r="J82" i="28"/>
  <c r="I82" i="28"/>
  <c r="L81" i="28"/>
  <c r="K81" i="28"/>
  <c r="J81" i="28"/>
  <c r="I81" i="28"/>
  <c r="L80" i="28"/>
  <c r="K80" i="28"/>
  <c r="J80" i="28"/>
  <c r="I80" i="28"/>
  <c r="L79" i="28"/>
  <c r="K79" i="28"/>
  <c r="J79" i="28"/>
  <c r="I79" i="28"/>
  <c r="L78" i="28"/>
  <c r="K78" i="28"/>
  <c r="J78" i="28"/>
  <c r="I78" i="28"/>
  <c r="L77" i="28"/>
  <c r="K77" i="28"/>
  <c r="J77" i="28"/>
  <c r="I77" i="28"/>
  <c r="L76" i="28"/>
  <c r="K76" i="28"/>
  <c r="J76" i="28"/>
  <c r="I76" i="28"/>
  <c r="L75" i="28"/>
  <c r="K75" i="28"/>
  <c r="J75" i="28"/>
  <c r="I75" i="28"/>
  <c r="L74" i="28"/>
  <c r="K74" i="28"/>
  <c r="J74" i="28"/>
  <c r="I74" i="28"/>
  <c r="L73" i="28"/>
  <c r="K73" i="28"/>
  <c r="J73" i="28"/>
  <c r="I73" i="28"/>
  <c r="L72" i="28"/>
  <c r="K72" i="28"/>
  <c r="J72" i="28"/>
  <c r="I72" i="28"/>
  <c r="L71" i="28"/>
  <c r="K71" i="28"/>
  <c r="J71" i="28"/>
  <c r="I71" i="28"/>
  <c r="L70" i="28"/>
  <c r="K70" i="28"/>
  <c r="J70" i="28"/>
  <c r="I70" i="28"/>
  <c r="L69" i="28"/>
  <c r="K69" i="28"/>
  <c r="J69" i="28"/>
  <c r="I69" i="28"/>
  <c r="L68" i="28"/>
  <c r="K68" i="28"/>
  <c r="J68" i="28"/>
  <c r="I68" i="28"/>
  <c r="L67" i="28"/>
  <c r="K67" i="28"/>
  <c r="J67" i="28"/>
  <c r="I67" i="28"/>
  <c r="L66" i="28"/>
  <c r="K66" i="28"/>
  <c r="J66" i="28"/>
  <c r="I66" i="28"/>
  <c r="L65" i="28"/>
  <c r="K65" i="28"/>
  <c r="J65" i="28"/>
  <c r="I65" i="28"/>
  <c r="L64" i="28"/>
  <c r="K64" i="28"/>
  <c r="J64" i="28"/>
  <c r="I64" i="28"/>
  <c r="L63" i="28"/>
  <c r="K63" i="28"/>
  <c r="J63" i="28"/>
  <c r="I63" i="28"/>
  <c r="L62" i="28"/>
  <c r="K62" i="28"/>
  <c r="J62" i="28"/>
  <c r="I62" i="28"/>
  <c r="L61" i="28"/>
  <c r="K61" i="28"/>
  <c r="J61" i="28"/>
  <c r="I61" i="28"/>
  <c r="L60" i="28"/>
  <c r="K60" i="28"/>
  <c r="J60" i="28"/>
  <c r="I60" i="28"/>
  <c r="L59" i="28"/>
  <c r="K59" i="28"/>
  <c r="J59" i="28"/>
  <c r="I59" i="28"/>
  <c r="L58" i="28"/>
  <c r="K58" i="28"/>
  <c r="J58" i="28"/>
  <c r="I58" i="28"/>
  <c r="L57" i="28"/>
  <c r="K57" i="28"/>
  <c r="J57" i="28"/>
  <c r="I57" i="28"/>
  <c r="L56" i="28"/>
  <c r="K56" i="28"/>
  <c r="J56" i="28"/>
  <c r="I56" i="28"/>
  <c r="L55" i="28"/>
  <c r="K55" i="28"/>
  <c r="J55" i="28"/>
  <c r="I55" i="28"/>
  <c r="L54" i="28"/>
  <c r="K54" i="28"/>
  <c r="J54" i="28"/>
  <c r="I54" i="28"/>
  <c r="L53" i="28"/>
  <c r="K53" i="28"/>
  <c r="J53" i="28"/>
  <c r="I53" i="28"/>
  <c r="L52" i="28"/>
  <c r="K52" i="28"/>
  <c r="J52" i="28"/>
  <c r="I52" i="28"/>
  <c r="L51" i="28"/>
  <c r="K51" i="28"/>
  <c r="J51" i="28"/>
  <c r="I51" i="28"/>
  <c r="L50" i="28"/>
  <c r="K50" i="28"/>
  <c r="J50" i="28"/>
  <c r="I50" i="28"/>
  <c r="L49" i="28"/>
  <c r="K49" i="28"/>
  <c r="J49" i="28"/>
  <c r="I49" i="28"/>
  <c r="L48" i="28"/>
  <c r="K48" i="28"/>
  <c r="J48" i="28"/>
  <c r="I48" i="28"/>
  <c r="L47" i="28"/>
  <c r="K47" i="28"/>
  <c r="J47" i="28"/>
  <c r="I47" i="28"/>
  <c r="L46" i="28"/>
  <c r="K46" i="28"/>
  <c r="J46" i="28"/>
  <c r="I46" i="28"/>
  <c r="L45" i="28"/>
  <c r="K45" i="28"/>
  <c r="J45" i="28"/>
  <c r="I45" i="28"/>
  <c r="L44" i="28"/>
  <c r="K44" i="28"/>
  <c r="J44" i="28"/>
  <c r="I44" i="28"/>
  <c r="L43" i="28"/>
  <c r="K43" i="28"/>
  <c r="J43" i="28"/>
  <c r="I43" i="28"/>
  <c r="L42" i="28"/>
  <c r="K42" i="28"/>
  <c r="J42" i="28"/>
  <c r="I42" i="28"/>
  <c r="L41" i="28"/>
  <c r="K41" i="28"/>
  <c r="J41" i="28"/>
  <c r="I41" i="28"/>
  <c r="L40" i="28"/>
  <c r="K40" i="28"/>
  <c r="J40" i="28"/>
  <c r="I40" i="28"/>
  <c r="L39" i="28"/>
  <c r="K39" i="28"/>
  <c r="J39" i="28"/>
  <c r="I39" i="28"/>
  <c r="L38" i="28"/>
  <c r="K38" i="28"/>
  <c r="J38" i="28"/>
  <c r="I38" i="28"/>
  <c r="L37" i="28"/>
  <c r="K37" i="28"/>
  <c r="J37" i="28"/>
  <c r="I37" i="28"/>
  <c r="L36" i="28"/>
  <c r="K36" i="28"/>
  <c r="J36" i="28"/>
  <c r="I36" i="28"/>
  <c r="L35" i="28"/>
  <c r="K35" i="28"/>
  <c r="J35" i="28"/>
  <c r="I35" i="28"/>
  <c r="L34" i="28"/>
  <c r="K34" i="28"/>
  <c r="J34" i="28"/>
  <c r="I34" i="28"/>
  <c r="L33" i="28"/>
  <c r="K33" i="28"/>
  <c r="J33" i="28"/>
  <c r="I33" i="28"/>
  <c r="L32" i="28"/>
  <c r="K32" i="28"/>
  <c r="J32" i="28"/>
  <c r="I32" i="28"/>
  <c r="L31" i="28"/>
  <c r="K31" i="28"/>
  <c r="J31" i="28"/>
  <c r="I31" i="28"/>
  <c r="L30" i="28"/>
  <c r="K30" i="28"/>
  <c r="J30" i="28"/>
  <c r="I30" i="28"/>
  <c r="L29" i="28"/>
  <c r="K29" i="28"/>
  <c r="J29" i="28"/>
  <c r="I29" i="28"/>
  <c r="L28" i="28"/>
  <c r="K28" i="28"/>
  <c r="J28" i="28"/>
  <c r="I28" i="28"/>
  <c r="L27" i="28"/>
  <c r="K27" i="28"/>
  <c r="J27" i="28"/>
  <c r="I27" i="28"/>
  <c r="L26" i="28"/>
  <c r="K26" i="28"/>
  <c r="J26" i="28"/>
  <c r="I26" i="28"/>
  <c r="L25" i="28"/>
  <c r="K25" i="28"/>
  <c r="J25" i="28"/>
  <c r="I25" i="28"/>
  <c r="L24" i="28"/>
  <c r="K24" i="28"/>
  <c r="J24" i="28"/>
  <c r="I24" i="28"/>
  <c r="L23" i="28"/>
  <c r="K23" i="28"/>
  <c r="J23" i="28"/>
  <c r="I23" i="28"/>
  <c r="L22" i="28"/>
  <c r="K22" i="28"/>
  <c r="J22" i="28"/>
  <c r="I22" i="28"/>
  <c r="L21" i="28"/>
  <c r="K21" i="28"/>
  <c r="J21" i="28"/>
  <c r="I21" i="28"/>
  <c r="L20" i="28"/>
  <c r="K20" i="28"/>
  <c r="J20" i="28"/>
  <c r="I20" i="28"/>
  <c r="L19" i="28"/>
  <c r="K19" i="28"/>
  <c r="J19" i="28"/>
  <c r="I19" i="28"/>
  <c r="L18" i="28"/>
  <c r="K18" i="28"/>
  <c r="J18" i="28"/>
  <c r="I18" i="28"/>
  <c r="L17" i="28"/>
  <c r="K17" i="28"/>
  <c r="J17" i="28"/>
  <c r="I17" i="28"/>
  <c r="L16" i="28"/>
  <c r="K16" i="28"/>
  <c r="J16" i="28"/>
  <c r="I16" i="28"/>
  <c r="L15" i="28"/>
  <c r="K15" i="28"/>
  <c r="J15" i="28"/>
  <c r="I15" i="28"/>
  <c r="L14" i="28"/>
  <c r="K14" i="28"/>
  <c r="J14" i="28"/>
  <c r="I14" i="28"/>
  <c r="L13" i="28"/>
  <c r="K13" i="28"/>
  <c r="J13" i="28"/>
  <c r="I13" i="28"/>
  <c r="L12" i="28"/>
  <c r="K12" i="28"/>
  <c r="J12" i="28"/>
  <c r="I12" i="28"/>
  <c r="L11" i="28"/>
  <c r="K11" i="28"/>
  <c r="J11" i="28"/>
  <c r="I11" i="28"/>
  <c r="M122" i="28"/>
  <c r="M121" i="28"/>
  <c r="M120" i="28"/>
  <c r="M119" i="28"/>
  <c r="M118" i="28"/>
  <c r="M117" i="28"/>
  <c r="M116" i="28"/>
  <c r="M115" i="28"/>
  <c r="M114" i="28"/>
  <c r="M113" i="28"/>
  <c r="M112" i="28"/>
  <c r="M111" i="28"/>
  <c r="M110" i="28"/>
  <c r="M109" i="28"/>
  <c r="M108" i="28"/>
  <c r="M107" i="28"/>
  <c r="M106" i="28"/>
  <c r="M105" i="28"/>
  <c r="M104" i="28"/>
  <c r="M103" i="28"/>
  <c r="M102" i="28"/>
  <c r="M101" i="28"/>
  <c r="M100" i="28"/>
  <c r="M99" i="28"/>
  <c r="M98" i="28"/>
  <c r="M97" i="28"/>
  <c r="M96" i="28"/>
  <c r="M95" i="28"/>
  <c r="M94" i="28"/>
  <c r="M93" i="28"/>
  <c r="M92" i="28"/>
  <c r="M91" i="28"/>
  <c r="M90" i="28"/>
  <c r="M89" i="28"/>
  <c r="M88" i="28"/>
  <c r="M87" i="28"/>
  <c r="M86" i="28"/>
  <c r="M85" i="28"/>
  <c r="M84" i="28"/>
  <c r="M83" i="28"/>
  <c r="M82" i="28"/>
  <c r="M81" i="28"/>
  <c r="M80" i="28"/>
  <c r="M79" i="28"/>
  <c r="M78" i="28"/>
  <c r="M77" i="28"/>
  <c r="M76" i="28"/>
  <c r="M75" i="28"/>
  <c r="M74" i="28"/>
  <c r="M73" i="28"/>
  <c r="M72" i="28"/>
  <c r="M71" i="28"/>
  <c r="M70" i="28"/>
  <c r="M69" i="28"/>
  <c r="M68" i="28"/>
  <c r="M67" i="28"/>
  <c r="M66" i="28"/>
  <c r="M65" i="28"/>
  <c r="M64" i="28"/>
  <c r="M63" i="28"/>
  <c r="M62" i="28"/>
  <c r="M61" i="28"/>
  <c r="M60" i="28"/>
  <c r="M59" i="28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J40" i="36"/>
  <c r="J39" i="36"/>
  <c r="J16" i="36"/>
  <c r="P7" i="36"/>
  <c r="P6" i="36"/>
  <c r="P5" i="36"/>
  <c r="P4" i="36"/>
  <c r="P3" i="36"/>
  <c r="L93" i="30"/>
  <c r="L92" i="30"/>
  <c r="L91" i="30"/>
  <c r="L90" i="30"/>
  <c r="R37" i="34" a="1"/>
  <c r="R37" i="34" s="1"/>
  <c r="Q37" i="34" a="1"/>
  <c r="Q37" i="34" s="1"/>
  <c r="P37" i="34" a="1"/>
  <c r="P37" i="34" s="1"/>
  <c r="O37" i="34" a="1"/>
  <c r="O37" i="34" s="1"/>
  <c r="N37" i="34" a="1"/>
  <c r="N37" i="34" s="1"/>
  <c r="L37" i="34" a="1"/>
  <c r="L37" i="34" s="1"/>
  <c r="K37" i="34" a="1"/>
  <c r="K37" i="34" s="1"/>
  <c r="J37" i="34" a="1"/>
  <c r="J37" i="34" s="1"/>
  <c r="G37" i="34" a="1"/>
  <c r="G37" i="34" s="1"/>
  <c r="F37" i="34" a="1"/>
  <c r="F37" i="34" s="1"/>
  <c r="E37" i="34" a="1"/>
  <c r="E37" i="34" s="1"/>
  <c r="D37" i="34" a="1"/>
  <c r="D37" i="34" s="1"/>
  <c r="A15" i="29"/>
  <c r="B2" i="34" a="1"/>
  <c r="B2" i="34" s="1"/>
  <c r="D69" i="31" l="1"/>
  <c r="D34" i="31"/>
  <c r="AC36" i="31"/>
  <c r="AC44" i="31"/>
  <c r="AC80" i="31"/>
  <c r="AC92" i="31"/>
  <c r="AC100" i="31"/>
  <c r="AC109" i="31"/>
  <c r="AC116" i="31"/>
  <c r="AC136" i="31"/>
  <c r="AC146" i="31"/>
  <c r="AC152" i="31"/>
  <c r="AC162" i="31"/>
  <c r="AC172" i="31"/>
  <c r="AC187" i="31"/>
  <c r="AC196" i="31"/>
  <c r="AC234" i="31"/>
  <c r="AC249" i="31"/>
  <c r="AC248" i="31"/>
  <c r="AC70" i="31"/>
  <c r="AC164" i="31"/>
  <c r="AC101" i="31"/>
  <c r="AC180" i="31"/>
  <c r="AC81" i="31"/>
  <c r="AC144" i="31"/>
  <c r="AC188" i="31"/>
  <c r="AC95" i="31"/>
  <c r="AC154" i="31"/>
  <c r="AC197" i="31"/>
  <c r="AC251" i="31"/>
  <c r="AC40" i="31"/>
  <c r="AC72" i="31"/>
  <c r="AC89" i="31"/>
  <c r="AC93" i="31"/>
  <c r="AC103" i="31"/>
  <c r="AC111" i="31"/>
  <c r="AC131" i="31"/>
  <c r="AC138" i="31"/>
  <c r="AC147" i="31"/>
  <c r="AC160" i="31"/>
  <c r="AC163" i="31"/>
  <c r="AC182" i="31"/>
  <c r="AC190" i="31"/>
  <c r="AC228" i="31"/>
  <c r="AC230" i="31"/>
  <c r="AC236" i="31"/>
  <c r="AC242" i="31"/>
  <c r="AC45" i="31"/>
  <c r="AC37" i="31"/>
  <c r="AC118" i="31"/>
  <c r="AC137" i="31"/>
  <c r="AC195" i="31"/>
  <c r="AC181" i="31"/>
  <c r="AC229" i="31"/>
  <c r="AC39" i="31"/>
  <c r="AC73" i="31"/>
  <c r="AC84" i="31"/>
  <c r="AC94" i="31"/>
  <c r="AC104" i="31"/>
  <c r="AC114" i="31"/>
  <c r="AC132" i="31"/>
  <c r="AC142" i="31"/>
  <c r="AC148" i="31"/>
  <c r="AC157" i="31"/>
  <c r="AC166" i="31"/>
  <c r="AC183" i="31"/>
  <c r="AC191" i="31"/>
  <c r="AC231" i="31"/>
  <c r="AC238" i="31"/>
  <c r="AC243" i="31"/>
  <c r="AC77" i="31"/>
  <c r="AC112" i="31"/>
  <c r="AC252" i="31"/>
  <c r="AC42" i="31"/>
  <c r="AC75" i="31"/>
  <c r="AC85" i="31"/>
  <c r="AC98" i="31"/>
  <c r="AC105" i="31"/>
  <c r="AC115" i="31"/>
  <c r="AC134" i="31"/>
  <c r="AC141" i="31"/>
  <c r="AC150" i="31"/>
  <c r="AC158" i="31"/>
  <c r="AC168" i="31"/>
  <c r="AC185" i="31"/>
  <c r="AC192" i="31"/>
  <c r="AC233" i="31"/>
  <c r="AC237" i="31"/>
  <c r="AC244" i="31"/>
  <c r="AC155" i="31"/>
  <c r="AC121" i="31"/>
  <c r="AC120" i="31"/>
  <c r="AC122" i="31"/>
  <c r="AC123" i="31"/>
  <c r="AC124" i="31"/>
  <c r="AC125" i="31"/>
  <c r="AC126" i="31"/>
  <c r="AC127" i="31"/>
  <c r="AC128" i="31"/>
  <c r="AC91" i="31"/>
  <c r="AC71" i="31"/>
  <c r="AC102" i="31"/>
  <c r="AC130" i="31"/>
  <c r="AC145" i="31"/>
  <c r="AC165" i="31"/>
  <c r="AC43" i="31"/>
  <c r="AC76" i="31"/>
  <c r="AC86" i="31"/>
  <c r="AC99" i="31"/>
  <c r="AC107" i="31"/>
  <c r="AC113" i="31"/>
  <c r="AC135" i="31"/>
  <c r="AC143" i="31"/>
  <c r="AC149" i="31"/>
  <c r="AC159" i="31"/>
  <c r="AC170" i="31"/>
  <c r="AC186" i="31"/>
  <c r="AC193" i="31"/>
  <c r="AC232" i="31"/>
  <c r="AC239" i="31"/>
  <c r="AC245" i="31"/>
  <c r="AC153" i="31"/>
  <c r="AC250" i="31"/>
  <c r="AC38" i="31"/>
  <c r="AC82" i="31"/>
  <c r="AC110" i="31"/>
  <c r="AC140" i="31"/>
  <c r="AC189" i="31"/>
  <c r="AC241" i="31"/>
  <c r="AC35" i="31"/>
  <c r="AC41" i="31"/>
  <c r="AC74" i="31"/>
  <c r="AC87" i="31"/>
  <c r="AC96" i="31"/>
  <c r="AC108" i="31"/>
  <c r="AC117" i="31"/>
  <c r="AC133" i="31"/>
  <c r="AC139" i="31"/>
  <c r="AC151" i="31"/>
  <c r="AC161" i="31"/>
  <c r="AC171" i="31"/>
  <c r="AC184" i="31"/>
  <c r="AC194" i="31"/>
  <c r="AC235" i="31"/>
  <c r="AC240" i="31"/>
  <c r="AC246" i="31"/>
  <c r="J36" i="36"/>
  <c r="J48" i="36"/>
  <c r="J91" i="36"/>
  <c r="J81" i="36"/>
  <c r="J32" i="36"/>
  <c r="J74" i="36"/>
  <c r="J8" i="36"/>
  <c r="J60" i="36"/>
  <c r="K19" i="34" a="1"/>
  <c r="K19" i="34" s="1"/>
  <c r="I19" i="34" a="1"/>
  <c r="I19" i="34" s="1"/>
  <c r="S19" i="34" a="1"/>
  <c r="S19" i="34" s="1"/>
  <c r="T23" i="34" a="1"/>
  <c r="T23" i="34" s="1"/>
  <c r="AA19" i="34" a="1"/>
  <c r="AA19" i="34" s="1"/>
  <c r="D19" i="34" a="1"/>
  <c r="D19" i="34" s="1"/>
  <c r="S23" i="34" a="1"/>
  <c r="S23" i="34" s="1"/>
  <c r="R19" i="34" a="1"/>
  <c r="R19" i="34" s="1"/>
  <c r="Y19" i="34" a="1"/>
  <c r="Y19" i="34" s="1"/>
  <c r="Y23" i="34" a="1"/>
  <c r="Y23" i="34" s="1"/>
  <c r="Q23" i="34" a="1"/>
  <c r="Q23" i="34" s="1"/>
  <c r="I23" i="34" a="1"/>
  <c r="I23" i="34" s="1"/>
  <c r="X19" i="34" a="1"/>
  <c r="X19" i="34" s="1"/>
  <c r="P19" i="34" a="1"/>
  <c r="P19" i="34" s="1"/>
  <c r="H19" i="34" a="1"/>
  <c r="H19" i="34" s="1"/>
  <c r="X23" i="34" a="1"/>
  <c r="X23" i="34" s="1"/>
  <c r="P23" i="34" a="1"/>
  <c r="P23" i="34" s="1"/>
  <c r="H23" i="34" a="1"/>
  <c r="H23" i="34" s="1"/>
  <c r="W19" i="34" a="1"/>
  <c r="W19" i="34" s="1"/>
  <c r="O19" i="34" a="1"/>
  <c r="O19" i="34" s="1"/>
  <c r="G19" i="34" a="1"/>
  <c r="G19" i="34" s="1"/>
  <c r="W23" i="34" a="1"/>
  <c r="W23" i="34" s="1"/>
  <c r="O23" i="34" a="1"/>
  <c r="O23" i="34" s="1"/>
  <c r="G23" i="34" a="1"/>
  <c r="G23" i="34" s="1"/>
  <c r="V19" i="34" a="1"/>
  <c r="V19" i="34" s="1"/>
  <c r="N19" i="34" a="1"/>
  <c r="N19" i="34" s="1"/>
  <c r="F19" i="34" a="1"/>
  <c r="F19" i="34" s="1"/>
  <c r="V23" i="34" a="1"/>
  <c r="V23" i="34" s="1"/>
  <c r="N23" i="34" a="1"/>
  <c r="N23" i="34" s="1"/>
  <c r="F23" i="34" a="1"/>
  <c r="F23" i="34" s="1"/>
  <c r="U19" i="34" a="1"/>
  <c r="U19" i="34" s="1"/>
  <c r="M19" i="34" a="1"/>
  <c r="M19" i="34" s="1"/>
  <c r="E19" i="34" a="1"/>
  <c r="E19" i="34" s="1"/>
  <c r="U23" i="34" a="1"/>
  <c r="U23" i="34" s="1"/>
  <c r="M23" i="34" a="1"/>
  <c r="M23" i="34" s="1"/>
  <c r="E23" i="34" a="1"/>
  <c r="E23" i="34" s="1"/>
  <c r="T19" i="34" a="1"/>
  <c r="T19" i="34" s="1"/>
  <c r="L19" i="34" a="1"/>
  <c r="L19" i="34" s="1"/>
  <c r="D23" i="34" a="1"/>
  <c r="D23" i="34" s="1"/>
  <c r="L23" i="34" a="1"/>
  <c r="L23" i="34" s="1"/>
  <c r="AA23" i="34" a="1"/>
  <c r="AA23" i="34" s="1"/>
  <c r="K23" i="34" a="1"/>
  <c r="K23" i="34" s="1"/>
  <c r="Z19" i="34" a="1"/>
  <c r="Z19" i="34" s="1"/>
  <c r="J19" i="34" a="1"/>
  <c r="J19" i="34" s="1"/>
  <c r="Z23" i="34" a="1"/>
  <c r="Z23" i="34" s="1"/>
  <c r="R23" i="34" a="1"/>
  <c r="R23" i="34" s="1"/>
  <c r="J23" i="34" a="1"/>
  <c r="J23" i="34" s="1"/>
  <c r="Q19" i="34" a="1"/>
  <c r="Q19" i="34" s="1"/>
  <c r="D23" i="33" a="1"/>
  <c r="D23" i="33" s="1"/>
  <c r="D254" i="31"/>
  <c r="L254" i="31"/>
  <c r="T254" i="31"/>
  <c r="E254" i="31"/>
  <c r="M254" i="31"/>
  <c r="U254" i="31"/>
  <c r="F254" i="31"/>
  <c r="N254" i="31"/>
  <c r="V254" i="31"/>
  <c r="G254" i="31"/>
  <c r="O254" i="31"/>
  <c r="W254" i="31"/>
  <c r="H254" i="31"/>
  <c r="P254" i="31"/>
  <c r="X254" i="31"/>
  <c r="I254" i="31"/>
  <c r="Q254" i="31"/>
  <c r="Y254" i="31"/>
  <c r="J254" i="31"/>
  <c r="R254" i="31"/>
  <c r="Z254" i="31"/>
  <c r="K254" i="31"/>
  <c r="S254" i="31"/>
  <c r="AA254" i="31"/>
  <c r="L119" i="31"/>
  <c r="T119" i="31"/>
  <c r="E119" i="31"/>
  <c r="M119" i="31"/>
  <c r="U119" i="31"/>
  <c r="F119" i="31"/>
  <c r="N119" i="31"/>
  <c r="V119" i="31"/>
  <c r="G119" i="31"/>
  <c r="O119" i="31"/>
  <c r="W119" i="31"/>
  <c r="H119" i="31"/>
  <c r="P119" i="31"/>
  <c r="X119" i="31"/>
  <c r="I119" i="31"/>
  <c r="Q119" i="31"/>
  <c r="Y119" i="31"/>
  <c r="J119" i="31"/>
  <c r="R119" i="31"/>
  <c r="Z119" i="31"/>
  <c r="K119" i="31"/>
  <c r="S119" i="31"/>
  <c r="AA119" i="31"/>
  <c r="D119" i="31"/>
  <c r="D90" i="31"/>
  <c r="L90" i="31"/>
  <c r="AA90" i="31"/>
  <c r="Z90" i="31"/>
  <c r="M90" i="31"/>
  <c r="F90" i="31"/>
  <c r="N90" i="31"/>
  <c r="T90" i="31"/>
  <c r="U90" i="31"/>
  <c r="X90" i="31"/>
  <c r="G90" i="31"/>
  <c r="O90" i="31"/>
  <c r="E90" i="31"/>
  <c r="H90" i="31"/>
  <c r="P90" i="31"/>
  <c r="V90" i="31"/>
  <c r="I90" i="31"/>
  <c r="Q90" i="31"/>
  <c r="Y90" i="31"/>
  <c r="J90" i="31"/>
  <c r="R90" i="31"/>
  <c r="K90" i="31"/>
  <c r="S90" i="31"/>
  <c r="W90" i="31"/>
  <c r="F34" i="31"/>
  <c r="N34" i="31"/>
  <c r="V34" i="31"/>
  <c r="G34" i="31"/>
  <c r="Y34" i="31"/>
  <c r="H34" i="31"/>
  <c r="P34" i="31"/>
  <c r="O34" i="31"/>
  <c r="I34" i="31"/>
  <c r="Q34" i="31"/>
  <c r="W34" i="31"/>
  <c r="J34" i="31"/>
  <c r="Z34" i="31"/>
  <c r="K34" i="31"/>
  <c r="S34" i="31"/>
  <c r="L34" i="31"/>
  <c r="AA34" i="31"/>
  <c r="T34" i="31"/>
  <c r="U34" i="31"/>
  <c r="X34" i="31"/>
  <c r="R34" i="31"/>
  <c r="E34" i="31"/>
  <c r="M34" i="31"/>
  <c r="D205" i="31"/>
  <c r="AC205" i="31" s="1"/>
  <c r="D209" i="31"/>
  <c r="AC209" i="31" s="1"/>
  <c r="D204" i="31"/>
  <c r="AC204" i="31" s="1"/>
  <c r="D207" i="31"/>
  <c r="AC207" i="31" s="1"/>
  <c r="AA11" i="34" a="1"/>
  <c r="AA11" i="34" s="1"/>
  <c r="S11" i="34" a="1"/>
  <c r="S11" i="34" s="1"/>
  <c r="K11" i="34" a="1"/>
  <c r="K11" i="34" s="1"/>
  <c r="Z11" i="34" a="1"/>
  <c r="Z11" i="34" s="1"/>
  <c r="R11" i="34" a="1"/>
  <c r="R11" i="34" s="1"/>
  <c r="J11" i="34" a="1"/>
  <c r="J11" i="34" s="1"/>
  <c r="Y11" i="34" a="1"/>
  <c r="Y11" i="34" s="1"/>
  <c r="Q11" i="34" a="1"/>
  <c r="Q11" i="34" s="1"/>
  <c r="I11" i="34" a="1"/>
  <c r="I11" i="34" s="1"/>
  <c r="X11" i="34" a="1"/>
  <c r="X11" i="34" s="1"/>
  <c r="P11" i="34" a="1"/>
  <c r="P11" i="34" s="1"/>
  <c r="H11" i="34" a="1"/>
  <c r="H11" i="34" s="1"/>
  <c r="W11" i="34" a="1"/>
  <c r="W11" i="34" s="1"/>
  <c r="O11" i="34" a="1"/>
  <c r="O11" i="34" s="1"/>
  <c r="G11" i="34" a="1"/>
  <c r="G11" i="34" s="1"/>
  <c r="L11" i="34" a="1"/>
  <c r="L11" i="34" s="1"/>
  <c r="V11" i="34" a="1"/>
  <c r="V11" i="34" s="1"/>
  <c r="N11" i="34" a="1"/>
  <c r="N11" i="34" s="1"/>
  <c r="F11" i="34" a="1"/>
  <c r="F11" i="34" s="1"/>
  <c r="T11" i="34" a="1"/>
  <c r="T11" i="34" s="1"/>
  <c r="U11" i="34" a="1"/>
  <c r="U11" i="34" s="1"/>
  <c r="M11" i="34" a="1"/>
  <c r="M11" i="34" s="1"/>
  <c r="E11" i="34" a="1"/>
  <c r="E11" i="34" s="1"/>
  <c r="D11" i="34" a="1"/>
  <c r="D11" i="34" s="1"/>
  <c r="V12" i="34" a="1"/>
  <c r="V12" i="34" s="1"/>
  <c r="N12" i="34" a="1"/>
  <c r="N12" i="34" s="1"/>
  <c r="F12" i="34" a="1"/>
  <c r="F12" i="34" s="1"/>
  <c r="G12" i="34" a="1"/>
  <c r="G12" i="34" s="1"/>
  <c r="U12" i="34" a="1"/>
  <c r="U12" i="34" s="1"/>
  <c r="M12" i="34" a="1"/>
  <c r="M12" i="34" s="1"/>
  <c r="E12" i="34" a="1"/>
  <c r="E12" i="34" s="1"/>
  <c r="W12" i="34" a="1"/>
  <c r="W12" i="34" s="1"/>
  <c r="T12" i="34" a="1"/>
  <c r="T12" i="34" s="1"/>
  <c r="L12" i="34" a="1"/>
  <c r="L12" i="34" s="1"/>
  <c r="D12" i="34" a="1"/>
  <c r="D12" i="34" s="1"/>
  <c r="O12" i="34" a="1"/>
  <c r="O12" i="34" s="1"/>
  <c r="AA12" i="34" a="1"/>
  <c r="AA12" i="34" s="1"/>
  <c r="S12" i="34" a="1"/>
  <c r="S12" i="34" s="1"/>
  <c r="K12" i="34" a="1"/>
  <c r="K12" i="34" s="1"/>
  <c r="P12" i="34" a="1"/>
  <c r="P12" i="34" s="1"/>
  <c r="H12" i="34" a="1"/>
  <c r="H12" i="34" s="1"/>
  <c r="Z12" i="34" a="1"/>
  <c r="Z12" i="34" s="1"/>
  <c r="R12" i="34" a="1"/>
  <c r="R12" i="34" s="1"/>
  <c r="J12" i="34" a="1"/>
  <c r="J12" i="34" s="1"/>
  <c r="Y12" i="34" a="1"/>
  <c r="Y12" i="34" s="1"/>
  <c r="Q12" i="34" a="1"/>
  <c r="Q12" i="34" s="1"/>
  <c r="I12" i="34" a="1"/>
  <c r="I12" i="34" s="1"/>
  <c r="X12" i="34" a="1"/>
  <c r="X12" i="34" s="1"/>
  <c r="E41" i="34" a="1"/>
  <c r="E41" i="34" s="1"/>
  <c r="M41" i="34" a="1"/>
  <c r="M41" i="34" s="1"/>
  <c r="U41" i="34" a="1"/>
  <c r="U41" i="34" s="1"/>
  <c r="F41" i="34" a="1"/>
  <c r="F41" i="34" s="1"/>
  <c r="N41" i="34" a="1"/>
  <c r="N41" i="34" s="1"/>
  <c r="V41" i="34" a="1"/>
  <c r="V41" i="34" s="1"/>
  <c r="G41" i="34" a="1"/>
  <c r="G41" i="34" s="1"/>
  <c r="O41" i="34" a="1"/>
  <c r="O41" i="34" s="1"/>
  <c r="W41" i="34" a="1"/>
  <c r="W41" i="34" s="1"/>
  <c r="H41" i="34" a="1"/>
  <c r="H41" i="34" s="1"/>
  <c r="P41" i="34" a="1"/>
  <c r="P41" i="34" s="1"/>
  <c r="X41" i="34" a="1"/>
  <c r="X41" i="34" s="1"/>
  <c r="I41" i="34" a="1"/>
  <c r="I41" i="34" s="1"/>
  <c r="Q41" i="34" a="1"/>
  <c r="Q41" i="34" s="1"/>
  <c r="Y41" i="34" a="1"/>
  <c r="Y41" i="34" s="1"/>
  <c r="J41" i="34" a="1"/>
  <c r="J41" i="34" s="1"/>
  <c r="R41" i="34" a="1"/>
  <c r="R41" i="34" s="1"/>
  <c r="Z41" i="34" a="1"/>
  <c r="Z41" i="34" s="1"/>
  <c r="K41" i="34" a="1"/>
  <c r="K41" i="34" s="1"/>
  <c r="S41" i="34" a="1"/>
  <c r="S41" i="34" s="1"/>
  <c r="AA41" i="34" a="1"/>
  <c r="AA41" i="34" s="1"/>
  <c r="D41" i="34" a="1"/>
  <c r="D41" i="34" s="1"/>
  <c r="L41" i="34" a="1"/>
  <c r="L41" i="34" s="1"/>
  <c r="T41" i="34" a="1"/>
  <c r="T41" i="34" s="1"/>
  <c r="M82" i="36"/>
  <c r="M88" i="36"/>
  <c r="J107" i="36"/>
  <c r="J88" i="36"/>
  <c r="J82" i="36"/>
  <c r="J70" i="36"/>
  <c r="J30" i="36"/>
  <c r="J17" i="36"/>
  <c r="J6" i="36"/>
  <c r="J63" i="36"/>
  <c r="J22" i="36"/>
  <c r="J14" i="36"/>
  <c r="J47" i="36"/>
  <c r="J55" i="36"/>
  <c r="J106" i="36"/>
  <c r="L25" i="36"/>
  <c r="J44" i="36"/>
  <c r="J77" i="36"/>
  <c r="L67" i="36"/>
  <c r="J86" i="36"/>
  <c r="J52" i="36"/>
  <c r="L18" i="36"/>
  <c r="L102" i="36"/>
  <c r="L10" i="36"/>
  <c r="J104" i="36"/>
  <c r="L94" i="36"/>
  <c r="L26" i="36"/>
  <c r="J89" i="36"/>
  <c r="J97" i="36"/>
  <c r="L105" i="36"/>
  <c r="L62" i="36"/>
  <c r="D38" i="33"/>
  <c r="O40" i="33"/>
  <c r="O22" i="33"/>
  <c r="AE126" i="31"/>
  <c r="AE124" i="31"/>
  <c r="AE125" i="31"/>
  <c r="AE127" i="31"/>
  <c r="AE128" i="31"/>
  <c r="AE257" i="31"/>
  <c r="AE256" i="31"/>
  <c r="AE255" i="31"/>
  <c r="AE258" i="31"/>
  <c r="AE259" i="31"/>
  <c r="H14" i="34" a="1"/>
  <c r="H14" i="34" s="1"/>
  <c r="J21" i="34" a="1"/>
  <c r="J21" i="34" s="1"/>
  <c r="Q13" i="34" a="1"/>
  <c r="Q13" i="34" s="1"/>
  <c r="V16" i="34" a="1"/>
  <c r="V16" i="34" s="1"/>
  <c r="P30" i="34" a="1"/>
  <c r="P30" i="34" s="1"/>
  <c r="F17" i="34" a="1"/>
  <c r="F17" i="34" s="1"/>
  <c r="X40" i="34" a="1"/>
  <c r="X40" i="34" s="1"/>
  <c r="M18" i="34" a="1"/>
  <c r="M18" i="34" s="1"/>
  <c r="I14" i="34" a="1"/>
  <c r="I14" i="34" s="1"/>
  <c r="R13" i="34" a="1"/>
  <c r="R13" i="34" s="1"/>
  <c r="W16" i="34" a="1"/>
  <c r="W16" i="34" s="1"/>
  <c r="M17" i="34" a="1"/>
  <c r="M17" i="34" s="1"/>
  <c r="T18" i="34" a="1"/>
  <c r="T18" i="34" s="1"/>
  <c r="Q21" i="34" a="1"/>
  <c r="Q21" i="34" s="1"/>
  <c r="F22" i="34" a="1"/>
  <c r="F22" i="34" s="1"/>
  <c r="W30" i="34" a="1"/>
  <c r="W30" i="34" s="1"/>
  <c r="W29" i="34" s="1"/>
  <c r="W25" i="34" s="1"/>
  <c r="D13" i="34" a="1"/>
  <c r="D13" i="34" s="1"/>
  <c r="P14" i="34" a="1"/>
  <c r="P14" i="34" s="1"/>
  <c r="Y13" i="34" a="1"/>
  <c r="Y13" i="34" s="1"/>
  <c r="J15" i="34" a="1"/>
  <c r="J15" i="34" s="1"/>
  <c r="U18" i="34" a="1"/>
  <c r="U18" i="34" s="1"/>
  <c r="J20" i="34" a="1"/>
  <c r="J20" i="34" s="1"/>
  <c r="G22" i="34" a="1"/>
  <c r="G22" i="34" s="1"/>
  <c r="X30" i="34" a="1"/>
  <c r="X30" i="34" s="1"/>
  <c r="X29" i="34" s="1"/>
  <c r="X25" i="34" s="1"/>
  <c r="Q14" i="34" a="1"/>
  <c r="Q14" i="34" s="1"/>
  <c r="Z13" i="34" a="1"/>
  <c r="Z13" i="34" s="1"/>
  <c r="P15" i="34" a="1"/>
  <c r="P15" i="34" s="1"/>
  <c r="T17" i="34" a="1"/>
  <c r="T17" i="34" s="1"/>
  <c r="AA18" i="34" a="1"/>
  <c r="AA18" i="34" s="1"/>
  <c r="K20" i="34" a="1"/>
  <c r="K20" i="34" s="1"/>
  <c r="W21" i="34" a="1"/>
  <c r="W21" i="34" s="1"/>
  <c r="N22" i="34" a="1"/>
  <c r="N22" i="34" s="1"/>
  <c r="F40" i="34" a="1"/>
  <c r="F40" i="34" s="1"/>
  <c r="X14" i="34" a="1"/>
  <c r="X14" i="34" s="1"/>
  <c r="Q15" i="34" a="1"/>
  <c r="Q15" i="34" s="1"/>
  <c r="F16" i="34" a="1"/>
  <c r="F16" i="34" s="1"/>
  <c r="U17" i="34" a="1"/>
  <c r="U17" i="34" s="1"/>
  <c r="Q20" i="34" a="1"/>
  <c r="Q20" i="34" s="1"/>
  <c r="X21" i="34" a="1"/>
  <c r="X21" i="34" s="1"/>
  <c r="O22" i="34" a="1"/>
  <c r="O22" i="34" s="1"/>
  <c r="G40" i="34" a="1"/>
  <c r="G40" i="34" s="1"/>
  <c r="D20" i="34" a="1"/>
  <c r="D20" i="34" s="1"/>
  <c r="Y14" i="34" a="1"/>
  <c r="Y14" i="34" s="1"/>
  <c r="W15" i="34" a="1"/>
  <c r="W15" i="34" s="1"/>
  <c r="G16" i="34" a="1"/>
  <c r="G16" i="34" s="1"/>
  <c r="AA17" i="34" a="1"/>
  <c r="AA17" i="34" s="1"/>
  <c r="X20" i="34" a="1"/>
  <c r="X20" i="34" s="1"/>
  <c r="V22" i="34" a="1"/>
  <c r="V22" i="34" s="1"/>
  <c r="G30" i="34" a="1"/>
  <c r="G30" i="34" s="1"/>
  <c r="N40" i="34" a="1"/>
  <c r="N40" i="34" s="1"/>
  <c r="I13" i="34" a="1"/>
  <c r="I13" i="34" s="1"/>
  <c r="X15" i="34" a="1"/>
  <c r="X15" i="34" s="1"/>
  <c r="N16" i="34" a="1"/>
  <c r="N16" i="34" s="1"/>
  <c r="E18" i="34" a="1"/>
  <c r="E18" i="34" s="1"/>
  <c r="Y20" i="34" a="1"/>
  <c r="Y20" i="34" s="1"/>
  <c r="W22" i="34" a="1"/>
  <c r="W22" i="34" s="1"/>
  <c r="H30" i="34" a="1"/>
  <c r="H30" i="34" s="1"/>
  <c r="O40" i="34" a="1"/>
  <c r="O40" i="34" s="1"/>
  <c r="J13" i="34" a="1"/>
  <c r="J13" i="34" s="1"/>
  <c r="O16" i="34" a="1"/>
  <c r="O16" i="34" s="1"/>
  <c r="E17" i="34" a="1"/>
  <c r="E17" i="34" s="1"/>
  <c r="L18" i="34" a="1"/>
  <c r="L18" i="34" s="1"/>
  <c r="I21" i="34" a="1"/>
  <c r="I21" i="34" s="1"/>
  <c r="O30" i="34" a="1"/>
  <c r="O30" i="34" s="1"/>
  <c r="W40" i="34" a="1"/>
  <c r="W40" i="34" s="1"/>
  <c r="D17" i="34" a="1"/>
  <c r="D17" i="34" s="1"/>
  <c r="F14" i="34" a="1"/>
  <c r="F14" i="34" s="1"/>
  <c r="N14" i="34" a="1"/>
  <c r="N14" i="34" s="1"/>
  <c r="V14" i="34" a="1"/>
  <c r="V14" i="34" s="1"/>
  <c r="G13" i="34" a="1"/>
  <c r="G13" i="34" s="1"/>
  <c r="O13" i="34" a="1"/>
  <c r="O13" i="34" s="1"/>
  <c r="W13" i="34" a="1"/>
  <c r="W13" i="34" s="1"/>
  <c r="H15" i="34" a="1"/>
  <c r="H15" i="34" s="1"/>
  <c r="N15" i="34" a="1"/>
  <c r="N15" i="34" s="1"/>
  <c r="U15" i="34" a="1"/>
  <c r="U15" i="34" s="1"/>
  <c r="L16" i="34" a="1"/>
  <c r="L16" i="34" s="1"/>
  <c r="T16" i="34" a="1"/>
  <c r="T16" i="34" s="1"/>
  <c r="K17" i="34" a="1"/>
  <c r="K17" i="34" s="1"/>
  <c r="R17" i="34" a="1"/>
  <c r="R17" i="34" s="1"/>
  <c r="Y17" i="34" a="1"/>
  <c r="Y17" i="34" s="1"/>
  <c r="J18" i="34" a="1"/>
  <c r="J18" i="34" s="1"/>
  <c r="R18" i="34" a="1"/>
  <c r="R18" i="34" s="1"/>
  <c r="Y18" i="34" a="1"/>
  <c r="Y18" i="34" s="1"/>
  <c r="O20" i="34" a="1"/>
  <c r="O20" i="34" s="1"/>
  <c r="V20" i="34" a="1"/>
  <c r="V20" i="34" s="1"/>
  <c r="G21" i="34" a="1"/>
  <c r="G21" i="34" s="1"/>
  <c r="O21" i="34" a="1"/>
  <c r="O21" i="34" s="1"/>
  <c r="L22" i="34" a="1"/>
  <c r="L22" i="34" s="1"/>
  <c r="T22" i="34" a="1"/>
  <c r="T22" i="34" s="1"/>
  <c r="E30" i="34" a="1"/>
  <c r="E30" i="34" s="1"/>
  <c r="M30" i="34" a="1"/>
  <c r="M30" i="34" s="1"/>
  <c r="U30" i="34" a="1"/>
  <c r="U30" i="34" s="1"/>
  <c r="U29" i="34" s="1"/>
  <c r="U25" i="34" s="1"/>
  <c r="L40" i="34" a="1"/>
  <c r="L40" i="34" s="1"/>
  <c r="T40" i="34" a="1"/>
  <c r="T40" i="34" s="1"/>
  <c r="D14" i="34" a="1"/>
  <c r="D14" i="34" s="1"/>
  <c r="D18" i="34" a="1"/>
  <c r="D18" i="34" s="1"/>
  <c r="G14" i="34" a="1"/>
  <c r="G14" i="34" s="1"/>
  <c r="O14" i="34" a="1"/>
  <c r="O14" i="34" s="1"/>
  <c r="W14" i="34" a="1"/>
  <c r="W14" i="34" s="1"/>
  <c r="H13" i="34" a="1"/>
  <c r="H13" i="34" s="1"/>
  <c r="P13" i="34" a="1"/>
  <c r="P13" i="34" s="1"/>
  <c r="X13" i="34" a="1"/>
  <c r="X13" i="34" s="1"/>
  <c r="I15" i="34" a="1"/>
  <c r="I15" i="34" s="1"/>
  <c r="O15" i="34" a="1"/>
  <c r="O15" i="34" s="1"/>
  <c r="V15" i="34" a="1"/>
  <c r="V15" i="34" s="1"/>
  <c r="E16" i="34" a="1"/>
  <c r="E16" i="34" s="1"/>
  <c r="M16" i="34" a="1"/>
  <c r="M16" i="34" s="1"/>
  <c r="U16" i="34" a="1"/>
  <c r="U16" i="34" s="1"/>
  <c r="L17" i="34" a="1"/>
  <c r="L17" i="34" s="1"/>
  <c r="S17" i="34" a="1"/>
  <c r="S17" i="34" s="1"/>
  <c r="Z17" i="34" a="1"/>
  <c r="Z17" i="34" s="1"/>
  <c r="K18" i="34" a="1"/>
  <c r="K18" i="34" s="1"/>
  <c r="S18" i="34" a="1"/>
  <c r="S18" i="34" s="1"/>
  <c r="Z18" i="34" a="1"/>
  <c r="Z18" i="34" s="1"/>
  <c r="I20" i="34" a="1"/>
  <c r="I20" i="34" s="1"/>
  <c r="P20" i="34" a="1"/>
  <c r="P20" i="34" s="1"/>
  <c r="W20" i="34" a="1"/>
  <c r="W20" i="34" s="1"/>
  <c r="H21" i="34" a="1"/>
  <c r="H21" i="34" s="1"/>
  <c r="P21" i="34" a="1"/>
  <c r="P21" i="34" s="1"/>
  <c r="V21" i="34" a="1"/>
  <c r="V21" i="34" s="1"/>
  <c r="E22" i="34" a="1"/>
  <c r="E22" i="34" s="1"/>
  <c r="M22" i="34" a="1"/>
  <c r="M22" i="34" s="1"/>
  <c r="U22" i="34" a="1"/>
  <c r="U22" i="34" s="1"/>
  <c r="F30" i="34" a="1"/>
  <c r="F30" i="34" s="1"/>
  <c r="N30" i="34" a="1"/>
  <c r="N30" i="34" s="1"/>
  <c r="V30" i="34" a="1"/>
  <c r="V30" i="34" s="1"/>
  <c r="V29" i="34" s="1"/>
  <c r="V25" i="34" s="1"/>
  <c r="E40" i="34" a="1"/>
  <c r="E40" i="34" s="1"/>
  <c r="M40" i="34" a="1"/>
  <c r="M40" i="34" s="1"/>
  <c r="U40" i="34" a="1"/>
  <c r="U40" i="34" s="1"/>
  <c r="D15" i="34" a="1"/>
  <c r="D15" i="34" s="1"/>
  <c r="D21" i="34" a="1"/>
  <c r="D21" i="34" s="1"/>
  <c r="J14" i="34" a="1"/>
  <c r="J14" i="34" s="1"/>
  <c r="R14" i="34" a="1"/>
  <c r="R14" i="34" s="1"/>
  <c r="Z14" i="34" a="1"/>
  <c r="Z14" i="34" s="1"/>
  <c r="K13" i="34" a="1"/>
  <c r="K13" i="34" s="1"/>
  <c r="S13" i="34" a="1"/>
  <c r="S13" i="34" s="1"/>
  <c r="AA13" i="34" a="1"/>
  <c r="AA13" i="34" s="1"/>
  <c r="K15" i="34" a="1"/>
  <c r="K15" i="34" s="1"/>
  <c r="Y15" i="34" a="1"/>
  <c r="Y15" i="34" s="1"/>
  <c r="H16" i="34" a="1"/>
  <c r="H16" i="34" s="1"/>
  <c r="P16" i="34" a="1"/>
  <c r="P16" i="34" s="1"/>
  <c r="X16" i="34" a="1"/>
  <c r="X16" i="34" s="1"/>
  <c r="G17" i="34" a="1"/>
  <c r="G17" i="34" s="1"/>
  <c r="N17" i="34" a="1"/>
  <c r="N17" i="34" s="1"/>
  <c r="F18" i="34" a="1"/>
  <c r="F18" i="34" s="1"/>
  <c r="N18" i="34" a="1"/>
  <c r="N18" i="34" s="1"/>
  <c r="V18" i="34" a="1"/>
  <c r="V18" i="34" s="1"/>
  <c r="E20" i="34" a="1"/>
  <c r="E20" i="34" s="1"/>
  <c r="L20" i="34" a="1"/>
  <c r="L20" i="34" s="1"/>
  <c r="R20" i="34" a="1"/>
  <c r="R20" i="34" s="1"/>
  <c r="Z20" i="34" a="1"/>
  <c r="Z20" i="34" s="1"/>
  <c r="K21" i="34" a="1"/>
  <c r="K21" i="34" s="1"/>
  <c r="R21" i="34" a="1"/>
  <c r="R21" i="34" s="1"/>
  <c r="Y21" i="34" a="1"/>
  <c r="Y21" i="34" s="1"/>
  <c r="H22" i="34" a="1"/>
  <c r="H22" i="34" s="1"/>
  <c r="P22" i="34" a="1"/>
  <c r="P22" i="34" s="1"/>
  <c r="X22" i="34" a="1"/>
  <c r="X22" i="34" s="1"/>
  <c r="I30" i="34" a="1"/>
  <c r="I30" i="34" s="1"/>
  <c r="Q30" i="34" a="1"/>
  <c r="Q30" i="34" s="1"/>
  <c r="Y30" i="34" a="1"/>
  <c r="Y30" i="34" s="1"/>
  <c r="Y29" i="34" s="1"/>
  <c r="Y25" i="34" s="1"/>
  <c r="H40" i="34" a="1"/>
  <c r="H40" i="34" s="1"/>
  <c r="P40" i="34" a="1"/>
  <c r="P40" i="34" s="1"/>
  <c r="Y40" i="34" a="1"/>
  <c r="Y40" i="34" s="1"/>
  <c r="K14" i="34" a="1"/>
  <c r="K14" i="34" s="1"/>
  <c r="S14" i="34" a="1"/>
  <c r="S14" i="34" s="1"/>
  <c r="AA14" i="34" a="1"/>
  <c r="AA14" i="34" s="1"/>
  <c r="L13" i="34" a="1"/>
  <c r="L13" i="34" s="1"/>
  <c r="T13" i="34" a="1"/>
  <c r="T13" i="34" s="1"/>
  <c r="E15" i="34" a="1"/>
  <c r="E15" i="34" s="1"/>
  <c r="L15" i="34" a="1"/>
  <c r="L15" i="34" s="1"/>
  <c r="R15" i="34" a="1"/>
  <c r="R15" i="34" s="1"/>
  <c r="Z15" i="34" a="1"/>
  <c r="Z15" i="34" s="1"/>
  <c r="I16" i="34" a="1"/>
  <c r="I16" i="34" s="1"/>
  <c r="Q16" i="34" a="1"/>
  <c r="Q16" i="34" s="1"/>
  <c r="Y16" i="34" a="1"/>
  <c r="Y16" i="34" s="1"/>
  <c r="H17" i="34" a="1"/>
  <c r="H17" i="34" s="1"/>
  <c r="O17" i="34" a="1"/>
  <c r="O17" i="34" s="1"/>
  <c r="V17" i="34" a="1"/>
  <c r="V17" i="34" s="1"/>
  <c r="G18" i="34" a="1"/>
  <c r="G18" i="34" s="1"/>
  <c r="O18" i="34" a="1"/>
  <c r="O18" i="34" s="1"/>
  <c r="F20" i="34" a="1"/>
  <c r="F20" i="34" s="1"/>
  <c r="S20" i="34" a="1"/>
  <c r="S20" i="34" s="1"/>
  <c r="AA20" i="34" a="1"/>
  <c r="AA20" i="34" s="1"/>
  <c r="L21" i="34" a="1"/>
  <c r="L21" i="34" s="1"/>
  <c r="S21" i="34" a="1"/>
  <c r="S21" i="34" s="1"/>
  <c r="I22" i="34" a="1"/>
  <c r="I22" i="34" s="1"/>
  <c r="Q22" i="34" a="1"/>
  <c r="Q22" i="34" s="1"/>
  <c r="Y22" i="34" a="1"/>
  <c r="Y22" i="34" s="1"/>
  <c r="J30" i="34" a="1"/>
  <c r="J30" i="34" s="1"/>
  <c r="R30" i="34" a="1"/>
  <c r="R30" i="34" s="1"/>
  <c r="Z30" i="34" a="1"/>
  <c r="Z30" i="34" s="1"/>
  <c r="Z29" i="34" s="1"/>
  <c r="Z25" i="34" s="1"/>
  <c r="I40" i="34" a="1"/>
  <c r="I40" i="34" s="1"/>
  <c r="Q40" i="34" a="1"/>
  <c r="Q40" i="34" s="1"/>
  <c r="Z40" i="34" a="1"/>
  <c r="Z40" i="34" s="1"/>
  <c r="D16" i="34" a="1"/>
  <c r="D16" i="34" s="1"/>
  <c r="L14" i="34" a="1"/>
  <c r="L14" i="34" s="1"/>
  <c r="T14" i="34" a="1"/>
  <c r="T14" i="34" s="1"/>
  <c r="E13" i="34" a="1"/>
  <c r="E13" i="34" s="1"/>
  <c r="M13" i="34" a="1"/>
  <c r="M13" i="34" s="1"/>
  <c r="U13" i="34" a="1"/>
  <c r="U13" i="34" s="1"/>
  <c r="F15" i="34" a="1"/>
  <c r="F15" i="34" s="1"/>
  <c r="M15" i="34" a="1"/>
  <c r="M15" i="34" s="1"/>
  <c r="S15" i="34" a="1"/>
  <c r="S15" i="34" s="1"/>
  <c r="AA15" i="34" a="1"/>
  <c r="AA15" i="34" s="1"/>
  <c r="J16" i="34" a="1"/>
  <c r="J16" i="34" s="1"/>
  <c r="R16" i="34" a="1"/>
  <c r="R16" i="34" s="1"/>
  <c r="Z16" i="34" a="1"/>
  <c r="Z16" i="34" s="1"/>
  <c r="I17" i="34" a="1"/>
  <c r="I17" i="34" s="1"/>
  <c r="P17" i="34" a="1"/>
  <c r="P17" i="34" s="1"/>
  <c r="W17" i="34" a="1"/>
  <c r="W17" i="34" s="1"/>
  <c r="H18" i="34" a="1"/>
  <c r="H18" i="34" s="1"/>
  <c r="P18" i="34" a="1"/>
  <c r="P18" i="34" s="1"/>
  <c r="W18" i="34" a="1"/>
  <c r="W18" i="34" s="1"/>
  <c r="G20" i="34" a="1"/>
  <c r="G20" i="34" s="1"/>
  <c r="M20" i="34" a="1"/>
  <c r="M20" i="34" s="1"/>
  <c r="T20" i="34" a="1"/>
  <c r="T20" i="34" s="1"/>
  <c r="E21" i="34" a="1"/>
  <c r="E21" i="34" s="1"/>
  <c r="M21" i="34" a="1"/>
  <c r="M21" i="34" s="1"/>
  <c r="T21" i="34" a="1"/>
  <c r="T21" i="34" s="1"/>
  <c r="Z21" i="34" a="1"/>
  <c r="Z21" i="34" s="1"/>
  <c r="J22" i="34" a="1"/>
  <c r="J22" i="34" s="1"/>
  <c r="R22" i="34" a="1"/>
  <c r="R22" i="34" s="1"/>
  <c r="Z22" i="34" a="1"/>
  <c r="Z22" i="34" s="1"/>
  <c r="K30" i="34" a="1"/>
  <c r="K30" i="34" s="1"/>
  <c r="S30" i="34" a="1"/>
  <c r="S30" i="34" s="1"/>
  <c r="S29" i="34" s="1"/>
  <c r="S25" i="34" s="1"/>
  <c r="AA30" i="34" a="1"/>
  <c r="AA30" i="34" s="1"/>
  <c r="J40" i="34" a="1"/>
  <c r="J40" i="34" s="1"/>
  <c r="R40" i="34" a="1"/>
  <c r="R40" i="34" s="1"/>
  <c r="AA40" i="34" a="1"/>
  <c r="AA40" i="34" s="1"/>
  <c r="V40" i="34" a="1"/>
  <c r="V40" i="34" s="1"/>
  <c r="D22" i="34" a="1"/>
  <c r="D22" i="34" s="1"/>
  <c r="E14" i="34" a="1"/>
  <c r="E14" i="34" s="1"/>
  <c r="M14" i="34" a="1"/>
  <c r="M14" i="34" s="1"/>
  <c r="U14" i="34" a="1"/>
  <c r="U14" i="34" s="1"/>
  <c r="F13" i="34" a="1"/>
  <c r="F13" i="34" s="1"/>
  <c r="N13" i="34" a="1"/>
  <c r="N13" i="34" s="1"/>
  <c r="V13" i="34" a="1"/>
  <c r="V13" i="34" s="1"/>
  <c r="G15" i="34" a="1"/>
  <c r="G15" i="34" s="1"/>
  <c r="T15" i="34" a="1"/>
  <c r="T15" i="34" s="1"/>
  <c r="K16" i="34" a="1"/>
  <c r="K16" i="34" s="1"/>
  <c r="S16" i="34" a="1"/>
  <c r="S16" i="34" s="1"/>
  <c r="AA16" i="34" a="1"/>
  <c r="AA16" i="34" s="1"/>
  <c r="J17" i="34" a="1"/>
  <c r="J17" i="34" s="1"/>
  <c r="Q17" i="34" a="1"/>
  <c r="Q17" i="34" s="1"/>
  <c r="X17" i="34" a="1"/>
  <c r="X17" i="34" s="1"/>
  <c r="I18" i="34" a="1"/>
  <c r="I18" i="34" s="1"/>
  <c r="Q18" i="34" a="1"/>
  <c r="Q18" i="34" s="1"/>
  <c r="X18" i="34" a="1"/>
  <c r="X18" i="34" s="1"/>
  <c r="H20" i="34" a="1"/>
  <c r="H20" i="34" s="1"/>
  <c r="N20" i="34" a="1"/>
  <c r="N20" i="34" s="1"/>
  <c r="U20" i="34" a="1"/>
  <c r="U20" i="34" s="1"/>
  <c r="F21" i="34" a="1"/>
  <c r="F21" i="34" s="1"/>
  <c r="N21" i="34" a="1"/>
  <c r="N21" i="34" s="1"/>
  <c r="U21" i="34" a="1"/>
  <c r="U21" i="34" s="1"/>
  <c r="AA21" i="34" a="1"/>
  <c r="AA21" i="34" s="1"/>
  <c r="K22" i="34" a="1"/>
  <c r="K22" i="34" s="1"/>
  <c r="S22" i="34" a="1"/>
  <c r="S22" i="34" s="1"/>
  <c r="AA22" i="34" a="1"/>
  <c r="AA22" i="34" s="1"/>
  <c r="D30" i="34" a="1"/>
  <c r="D30" i="34" s="1"/>
  <c r="L30" i="34" a="1"/>
  <c r="L30" i="34" s="1"/>
  <c r="T30" i="34" a="1"/>
  <c r="T30" i="34" s="1"/>
  <c r="T29" i="34" s="1"/>
  <c r="T25" i="34" s="1"/>
  <c r="D40" i="34" a="1"/>
  <c r="D40" i="34" s="1"/>
  <c r="K40" i="34" a="1"/>
  <c r="K40" i="34" s="1"/>
  <c r="S40" i="34" a="1"/>
  <c r="S40" i="34" s="1"/>
  <c r="Z169" i="31"/>
  <c r="Z179" i="31"/>
  <c r="Z178" i="31" s="1"/>
  <c r="Z174" i="31" s="1"/>
  <c r="Z156" i="31"/>
  <c r="Z227" i="31"/>
  <c r="Z106" i="31"/>
  <c r="Z69" i="31"/>
  <c r="Z79" i="31"/>
  <c r="Z83" i="31"/>
  <c r="Z129" i="31"/>
  <c r="Z289" i="31"/>
  <c r="Y79" i="31"/>
  <c r="Y129" i="31"/>
  <c r="Y227" i="31"/>
  <c r="Y69" i="31"/>
  <c r="Y83" i="31"/>
  <c r="Y156" i="31"/>
  <c r="Y169" i="31"/>
  <c r="X83" i="31"/>
  <c r="X79" i="31"/>
  <c r="Y106" i="31"/>
  <c r="Y179" i="31"/>
  <c r="Y178" i="31" s="1"/>
  <c r="Y174" i="31" s="1"/>
  <c r="Y289" i="31"/>
  <c r="X106" i="31"/>
  <c r="X227" i="31"/>
  <c r="X129" i="31"/>
  <c r="X69" i="31"/>
  <c r="X156" i="31"/>
  <c r="X169" i="31"/>
  <c r="X179" i="31"/>
  <c r="X178" i="31" s="1"/>
  <c r="X174" i="31" s="1"/>
  <c r="X289" i="31"/>
  <c r="W106" i="31"/>
  <c r="W169" i="31"/>
  <c r="W83" i="31"/>
  <c r="W69" i="31"/>
  <c r="W79" i="31"/>
  <c r="W129" i="31"/>
  <c r="W179" i="31"/>
  <c r="W178" i="31" s="1"/>
  <c r="W174" i="31" s="1"/>
  <c r="W227" i="31"/>
  <c r="W156" i="31"/>
  <c r="W289" i="31"/>
  <c r="V129" i="31"/>
  <c r="V79" i="31"/>
  <c r="V83" i="31"/>
  <c r="V169" i="31"/>
  <c r="V179" i="31"/>
  <c r="V178" i="31" s="1"/>
  <c r="V174" i="31" s="1"/>
  <c r="V69" i="31"/>
  <c r="V156" i="31"/>
  <c r="V227" i="31"/>
  <c r="V106" i="31"/>
  <c r="V289" i="31"/>
  <c r="U69" i="31"/>
  <c r="U169" i="31"/>
  <c r="U179" i="31"/>
  <c r="U178" i="31" s="1"/>
  <c r="U174" i="31" s="1"/>
  <c r="U79" i="31"/>
  <c r="U83" i="31"/>
  <c r="U129" i="31"/>
  <c r="U156" i="31"/>
  <c r="U227" i="31"/>
  <c r="U106" i="31"/>
  <c r="U289" i="31"/>
  <c r="T79" i="31"/>
  <c r="T169" i="31"/>
  <c r="T156" i="31"/>
  <c r="T289" i="31"/>
  <c r="T179" i="31"/>
  <c r="T178" i="31" s="1"/>
  <c r="T174" i="31" s="1"/>
  <c r="T106" i="31"/>
  <c r="T83" i="31"/>
  <c r="T227" i="31"/>
  <c r="T69" i="31"/>
  <c r="T129" i="31"/>
  <c r="J87" i="36"/>
  <c r="J69" i="36"/>
  <c r="J29" i="36"/>
  <c r="AE155" i="31"/>
  <c r="AE77" i="31"/>
  <c r="AE56" i="31"/>
  <c r="AE45" i="31"/>
  <c r="S79" i="31"/>
  <c r="S169" i="31"/>
  <c r="S289" i="31"/>
  <c r="S129" i="31"/>
  <c r="S69" i="31"/>
  <c r="S179" i="31"/>
  <c r="S178" i="31" s="1"/>
  <c r="S174" i="31" s="1"/>
  <c r="S83" i="31"/>
  <c r="S156" i="31"/>
  <c r="S106" i="31"/>
  <c r="S227" i="31"/>
  <c r="M85" i="36"/>
  <c r="J80" i="36"/>
  <c r="M86" i="36"/>
  <c r="J85" i="36"/>
  <c r="J79" i="36"/>
  <c r="J68" i="36"/>
  <c r="J50" i="36"/>
  <c r="J83" i="36"/>
  <c r="J27" i="36"/>
  <c r="J31" i="36"/>
  <c r="J20" i="36"/>
  <c r="J28" i="36"/>
  <c r="J3" i="36"/>
  <c r="J12" i="36"/>
  <c r="J33" i="36"/>
  <c r="J95" i="36"/>
  <c r="J9" i="36"/>
  <c r="M74" i="36"/>
  <c r="J99" i="36"/>
  <c r="J41" i="36"/>
  <c r="J19" i="36"/>
  <c r="J57" i="36"/>
  <c r="J42" i="36"/>
  <c r="J11" i="36"/>
  <c r="J65" i="36"/>
  <c r="J5" i="36"/>
  <c r="J34" i="36"/>
  <c r="J49" i="36"/>
  <c r="M73" i="36"/>
  <c r="M72" i="36"/>
  <c r="J38" i="36"/>
  <c r="J46" i="36"/>
  <c r="J54" i="36"/>
  <c r="J7" i="36"/>
  <c r="J13" i="36"/>
  <c r="J21" i="36"/>
  <c r="J35" i="36"/>
  <c r="J43" i="36"/>
  <c r="J51" i="36"/>
  <c r="J59" i="36"/>
  <c r="J71" i="36"/>
  <c r="J73" i="36"/>
  <c r="J93" i="36"/>
  <c r="J101" i="36"/>
  <c r="J24" i="36"/>
  <c r="J76" i="36"/>
  <c r="J96" i="36"/>
  <c r="J4" i="36"/>
  <c r="M5" i="36"/>
  <c r="J56" i="36"/>
  <c r="J64" i="36"/>
  <c r="J78" i="36"/>
  <c r="J84" i="36"/>
  <c r="J90" i="36"/>
  <c r="J98" i="36"/>
  <c r="J15" i="36"/>
  <c r="J23" i="36"/>
  <c r="J37" i="36"/>
  <c r="J45" i="36"/>
  <c r="J53" i="36"/>
  <c r="J61" i="36"/>
  <c r="J75" i="36"/>
  <c r="J103" i="36"/>
  <c r="J58" i="36"/>
  <c r="J66" i="36"/>
  <c r="J72" i="36"/>
  <c r="J92" i="36"/>
  <c r="J100" i="36"/>
  <c r="M4" i="36"/>
  <c r="M84" i="36"/>
  <c r="AC11" i="34" l="1"/>
  <c r="AC30" i="34"/>
  <c r="AC16" i="34"/>
  <c r="AC21" i="34"/>
  <c r="AC15" i="34"/>
  <c r="AC17" i="34"/>
  <c r="AC20" i="34"/>
  <c r="AC41" i="34"/>
  <c r="AC19" i="34"/>
  <c r="AC13" i="34"/>
  <c r="AC18" i="34"/>
  <c r="AC22" i="34"/>
  <c r="AC14" i="34"/>
  <c r="AC12" i="34"/>
  <c r="AC40" i="34"/>
  <c r="AC23" i="34"/>
  <c r="AC34" i="31"/>
  <c r="AC53" i="31"/>
  <c r="AC90" i="31"/>
  <c r="AC254" i="31"/>
  <c r="AC119" i="31"/>
  <c r="K91" i="36"/>
  <c r="M30" i="36"/>
  <c r="W226" i="31"/>
  <c r="T226" i="31"/>
  <c r="Y226" i="31"/>
  <c r="Z226" i="31"/>
  <c r="S226" i="31"/>
  <c r="V226" i="31"/>
  <c r="U226" i="31"/>
  <c r="X226" i="31"/>
  <c r="M107" i="36"/>
  <c r="M70" i="36"/>
  <c r="D24" i="34" a="1"/>
  <c r="D24" i="34" s="1"/>
  <c r="R39" i="34"/>
  <c r="U39" i="34"/>
  <c r="S24" i="34" a="1"/>
  <c r="S24" i="34" s="1"/>
  <c r="T24" i="34" a="1"/>
  <c r="T24" i="34" s="1"/>
  <c r="U24" i="34" a="1"/>
  <c r="U24" i="34" s="1"/>
  <c r="L24" i="34" a="1"/>
  <c r="L24" i="34" s="1"/>
  <c r="L10" i="34" s="1"/>
  <c r="Q24" i="34" a="1"/>
  <c r="Q24" i="34" s="1"/>
  <c r="K24" i="34" a="1"/>
  <c r="K24" i="34" s="1"/>
  <c r="I24" i="34" a="1"/>
  <c r="I24" i="34" s="1"/>
  <c r="F24" i="34" a="1"/>
  <c r="F24" i="34" s="1"/>
  <c r="W24" i="34" a="1"/>
  <c r="W24" i="34" s="1"/>
  <c r="N24" i="34" a="1"/>
  <c r="N24" i="34" s="1"/>
  <c r="P24" i="34" a="1"/>
  <c r="P24" i="34" s="1"/>
  <c r="X24" i="34" a="1"/>
  <c r="X24" i="34" s="1"/>
  <c r="Z24" i="34" a="1"/>
  <c r="Z24" i="34" s="1"/>
  <c r="H24" i="34" a="1"/>
  <c r="H24" i="34" s="1"/>
  <c r="O24" i="34" a="1"/>
  <c r="O24" i="34" s="1"/>
  <c r="M24" i="34" a="1"/>
  <c r="M24" i="34" s="1"/>
  <c r="Q39" i="34"/>
  <c r="R24" i="34" a="1"/>
  <c r="R24" i="34" s="1"/>
  <c r="G24" i="34" a="1"/>
  <c r="G24" i="34" s="1"/>
  <c r="E24" i="34" a="1"/>
  <c r="E24" i="34" s="1"/>
  <c r="Y24" i="34" a="1"/>
  <c r="Y24" i="34" s="1"/>
  <c r="J24" i="34" a="1"/>
  <c r="J24" i="34" s="1"/>
  <c r="AA24" i="34" a="1"/>
  <c r="AA24" i="34" s="1"/>
  <c r="V24" i="34" a="1"/>
  <c r="V24" i="34" s="1"/>
  <c r="E39" i="34"/>
  <c r="K39" i="34"/>
  <c r="V39" i="34"/>
  <c r="X173" i="31" a="1"/>
  <c r="X173" i="31" s="1"/>
  <c r="X33" i="31" s="1"/>
  <c r="U173" i="31" a="1"/>
  <c r="U173" i="31" s="1"/>
  <c r="U33" i="31" s="1"/>
  <c r="W173" i="31" a="1"/>
  <c r="W173" i="31" s="1"/>
  <c r="W33" i="31" s="1"/>
  <c r="T173" i="31" a="1"/>
  <c r="T173" i="31" s="1"/>
  <c r="T33" i="31" s="1"/>
  <c r="Y173" i="31" a="1"/>
  <c r="Y173" i="31" s="1"/>
  <c r="Y33" i="31" s="1"/>
  <c r="V173" i="31" a="1"/>
  <c r="V173" i="31" s="1"/>
  <c r="V33" i="31" s="1"/>
  <c r="Z173" i="31" a="1"/>
  <c r="Z173" i="31" s="1"/>
  <c r="Z33" i="31" s="1"/>
  <c r="S173" i="31" a="1"/>
  <c r="S173" i="31" s="1"/>
  <c r="S33" i="31" s="1"/>
  <c r="K82" i="36"/>
  <c r="K107" i="36"/>
  <c r="K88" i="36"/>
  <c r="K30" i="36"/>
  <c r="K70" i="36"/>
  <c r="K4" i="36"/>
  <c r="V6" i="36" a="1"/>
  <c r="V6" i="36" s="1"/>
  <c r="X39" i="34"/>
  <c r="X33" i="34" s="1"/>
  <c r="AA39" i="34"/>
  <c r="I39" i="34"/>
  <c r="H39" i="34"/>
  <c r="Z39" i="34"/>
  <c r="Z33" i="34" s="1"/>
  <c r="M39" i="34"/>
  <c r="Y39" i="34"/>
  <c r="Y33" i="34" s="1"/>
  <c r="F39" i="34"/>
  <c r="D39" i="34"/>
  <c r="P39" i="34"/>
  <c r="O39" i="34"/>
  <c r="N39" i="34"/>
  <c r="G39" i="34"/>
  <c r="J39" i="34"/>
  <c r="W39" i="34"/>
  <c r="W33" i="34" s="1"/>
  <c r="AE41" i="34"/>
  <c r="T39" i="34"/>
  <c r="S39" i="34"/>
  <c r="L39" i="34"/>
  <c r="AE23" i="34"/>
  <c r="AE254" i="31"/>
  <c r="Z262" i="31"/>
  <c r="X262" i="31"/>
  <c r="Y262" i="31"/>
  <c r="W262" i="31"/>
  <c r="V262" i="31"/>
  <c r="U262" i="31"/>
  <c r="T262" i="31"/>
  <c r="M69" i="36"/>
  <c r="K81" i="36"/>
  <c r="M29" i="36"/>
  <c r="K69" i="36"/>
  <c r="M81" i="36"/>
  <c r="K87" i="36"/>
  <c r="M87" i="36"/>
  <c r="M106" i="36"/>
  <c r="K29" i="36"/>
  <c r="K106" i="36"/>
  <c r="S262" i="31"/>
  <c r="M91" i="36"/>
  <c r="M102" i="36"/>
  <c r="K104" i="36"/>
  <c r="M105" i="36"/>
  <c r="M104" i="36"/>
  <c r="K105" i="36"/>
  <c r="U6" i="36"/>
  <c r="K79" i="36"/>
  <c r="M92" i="36"/>
  <c r="K85" i="36"/>
  <c r="K86" i="36"/>
  <c r="M79" i="36"/>
  <c r="M80" i="36"/>
  <c r="K80" i="36"/>
  <c r="W6" i="36" a="1"/>
  <c r="W6" i="36" s="1"/>
  <c r="M93" i="36"/>
  <c r="M95" i="36"/>
  <c r="M100" i="36"/>
  <c r="M90" i="36"/>
  <c r="W7" i="36" a="1"/>
  <c r="W7" i="36" s="1"/>
  <c r="U7" i="36"/>
  <c r="M94" i="36"/>
  <c r="M103" i="36"/>
  <c r="K84" i="36"/>
  <c r="M54" i="36"/>
  <c r="V5" i="36" a="1"/>
  <c r="V5" i="36" s="1"/>
  <c r="K68" i="36"/>
  <c r="K37" i="36"/>
  <c r="K42" i="36"/>
  <c r="K67" i="36"/>
  <c r="M68" i="36"/>
  <c r="M67" i="36"/>
  <c r="M98" i="36"/>
  <c r="M101" i="36"/>
  <c r="M97" i="36"/>
  <c r="W5" i="36" a="1"/>
  <c r="W5" i="36" s="1"/>
  <c r="M96" i="36"/>
  <c r="M76" i="36"/>
  <c r="M43" i="36"/>
  <c r="K32" i="36"/>
  <c r="V7" i="36" a="1"/>
  <c r="V7" i="36" s="1"/>
  <c r="M35" i="36"/>
  <c r="M56" i="36"/>
  <c r="K92" i="36"/>
  <c r="M99" i="36"/>
  <c r="U5" i="36"/>
  <c r="V4" i="36" a="1"/>
  <c r="V4" i="36" s="1"/>
  <c r="M66" i="36"/>
  <c r="M32" i="36"/>
  <c r="M46" i="36"/>
  <c r="M61" i="36"/>
  <c r="M45" i="36"/>
  <c r="M33" i="36"/>
  <c r="K39" i="36"/>
  <c r="M37" i="36"/>
  <c r="K90" i="36"/>
  <c r="M38" i="36"/>
  <c r="M34" i="36"/>
  <c r="M42" i="36"/>
  <c r="M28" i="36"/>
  <c r="M47" i="36"/>
  <c r="M51" i="36"/>
  <c r="M62" i="36"/>
  <c r="M58" i="36"/>
  <c r="K28" i="36"/>
  <c r="M49" i="36"/>
  <c r="M52" i="36"/>
  <c r="M50" i="36"/>
  <c r="M44" i="36"/>
  <c r="M77" i="36"/>
  <c r="M78" i="36"/>
  <c r="M75" i="36"/>
  <c r="M57" i="36"/>
  <c r="K40" i="36"/>
  <c r="M15" i="36"/>
  <c r="M10" i="36"/>
  <c r="M27" i="36"/>
  <c r="M9" i="36"/>
  <c r="K27" i="36"/>
  <c r="M17" i="36"/>
  <c r="M12" i="36"/>
  <c r="M11" i="36"/>
  <c r="M7" i="36"/>
  <c r="M48" i="36"/>
  <c r="M41" i="36"/>
  <c r="K36" i="36"/>
  <c r="M40" i="36"/>
  <c r="M39" i="36"/>
  <c r="M59" i="36"/>
  <c r="U4" i="36"/>
  <c r="M55" i="36"/>
  <c r="K58" i="36"/>
  <c r="K100" i="36"/>
  <c r="K34" i="36"/>
  <c r="K41" i="36"/>
  <c r="M36" i="36"/>
  <c r="Z7" i="36" a="1"/>
  <c r="Z7" i="36" s="1"/>
  <c r="K33" i="36"/>
  <c r="M53" i="36"/>
  <c r="K95" i="36"/>
  <c r="M60" i="36"/>
  <c r="U3" i="36"/>
  <c r="M8" i="36"/>
  <c r="K9" i="36"/>
  <c r="K5" i="36"/>
  <c r="Z4" i="36" a="1"/>
  <c r="Z4" i="36" s="1"/>
  <c r="M6" i="36"/>
  <c r="K17" i="36"/>
  <c r="K6" i="36"/>
  <c r="K102" i="36"/>
  <c r="R4" i="36"/>
  <c r="T4" i="36" s="1"/>
  <c r="K7" i="36"/>
  <c r="K62" i="36"/>
  <c r="K63" i="36"/>
  <c r="K20" i="36"/>
  <c r="K94" i="36"/>
  <c r="Z3" i="36" a="1"/>
  <c r="Z3" i="36" s="1"/>
  <c r="K96" i="36"/>
  <c r="W4" i="36" a="1"/>
  <c r="W4" i="36" s="1"/>
  <c r="M64" i="36"/>
  <c r="M18" i="36"/>
  <c r="K15" i="36"/>
  <c r="K8" i="36"/>
  <c r="K22" i="36"/>
  <c r="K35" i="36"/>
  <c r="K11" i="36"/>
  <c r="M14" i="36"/>
  <c r="K12" i="36"/>
  <c r="M13" i="36"/>
  <c r="K10" i="36"/>
  <c r="K103" i="36"/>
  <c r="Q4" i="36"/>
  <c r="S4" i="36" s="1"/>
  <c r="M24" i="36"/>
  <c r="K53" i="36"/>
  <c r="K13" i="36"/>
  <c r="K60" i="36"/>
  <c r="K50" i="36"/>
  <c r="K57" i="36"/>
  <c r="K64" i="36"/>
  <c r="K18" i="36"/>
  <c r="X3" i="36"/>
  <c r="K38" i="36"/>
  <c r="K65" i="36"/>
  <c r="K44" i="36"/>
  <c r="M20" i="36"/>
  <c r="K55" i="36"/>
  <c r="Q7" i="36"/>
  <c r="S7" i="36" s="1"/>
  <c r="K45" i="36"/>
  <c r="M16" i="36"/>
  <c r="K99" i="36"/>
  <c r="K93" i="36"/>
  <c r="K59" i="36"/>
  <c r="M63" i="36"/>
  <c r="Z6" i="36" a="1"/>
  <c r="Z6" i="36" s="1"/>
  <c r="V3" i="36" a="1"/>
  <c r="V3" i="36" s="1"/>
  <c r="Y7" i="36" a="1"/>
  <c r="Y7" i="36" s="1"/>
  <c r="K21" i="36"/>
  <c r="X6" i="36"/>
  <c r="K54" i="36"/>
  <c r="K47" i="36"/>
  <c r="X4" i="36"/>
  <c r="Y3" i="36" a="1"/>
  <c r="Y3" i="36" s="1"/>
  <c r="K98" i="36"/>
  <c r="K56" i="36"/>
  <c r="R7" i="36"/>
  <c r="T7" i="36" s="1"/>
  <c r="X7" i="36"/>
  <c r="M19" i="36"/>
  <c r="R6" i="36"/>
  <c r="T6" i="36" s="1"/>
  <c r="K49" i="36"/>
  <c r="K24" i="36"/>
  <c r="Q6" i="36"/>
  <c r="S6" i="36" s="1"/>
  <c r="K52" i="36"/>
  <c r="K51" i="36"/>
  <c r="M22" i="36"/>
  <c r="Y4" i="36" a="1"/>
  <c r="Y4" i="36" s="1"/>
  <c r="M25" i="36"/>
  <c r="M23" i="36"/>
  <c r="K25" i="36"/>
  <c r="K66" i="36"/>
  <c r="K61" i="36"/>
  <c r="K23" i="36"/>
  <c r="R3" i="36"/>
  <c r="T3" i="36" s="1"/>
  <c r="K26" i="36"/>
  <c r="Y6" i="36" a="1"/>
  <c r="Y6" i="36" s="1"/>
  <c r="K14" i="36"/>
  <c r="K46" i="36"/>
  <c r="W3" i="36" a="1"/>
  <c r="W3" i="36" s="1"/>
  <c r="K19" i="36"/>
  <c r="K97" i="36"/>
  <c r="M26" i="36"/>
  <c r="M21" i="36"/>
  <c r="K48" i="36"/>
  <c r="K101" i="36"/>
  <c r="M65" i="36"/>
  <c r="K43" i="36"/>
  <c r="Q3" i="36"/>
  <c r="S3" i="36" s="1"/>
  <c r="K77" i="36"/>
  <c r="Y5" i="36" a="1"/>
  <c r="Y5" i="36" s="1"/>
  <c r="K72" i="36"/>
  <c r="X5" i="36"/>
  <c r="R5" i="36"/>
  <c r="T5" i="36" s="1"/>
  <c r="K75" i="36"/>
  <c r="Q5" i="36"/>
  <c r="S5" i="36" s="1"/>
  <c r="K78" i="36"/>
  <c r="K73" i="36"/>
  <c r="Z5" i="36" a="1"/>
  <c r="Z5" i="36" s="1"/>
  <c r="K76" i="36"/>
  <c r="K74" i="36"/>
  <c r="K16" i="36"/>
  <c r="C39" i="33" a="1"/>
  <c r="C39" i="33" s="1"/>
  <c r="C29" i="33" a="1"/>
  <c r="C29" i="33" s="1"/>
  <c r="C28" i="33" s="1"/>
  <c r="C21" i="33" a="1"/>
  <c r="C21" i="33" s="1"/>
  <c r="C20" i="33" a="1"/>
  <c r="C20" i="33" s="1"/>
  <c r="C19" i="33" a="1"/>
  <c r="C19" i="33" s="1"/>
  <c r="C16" i="33" a="1"/>
  <c r="C16" i="33" s="1"/>
  <c r="C17" i="33" a="1"/>
  <c r="C17" i="33" s="1"/>
  <c r="C15" i="33" a="1"/>
  <c r="C15" i="33" s="1"/>
  <c r="C14" i="33" a="1"/>
  <c r="C14" i="33" s="1"/>
  <c r="C12" i="33" a="1"/>
  <c r="C12" i="33" s="1"/>
  <c r="C13" i="33" a="1"/>
  <c r="C13" i="33" s="1"/>
  <c r="D25" i="33"/>
  <c r="C25" i="33"/>
  <c r="E39" i="33" a="1"/>
  <c r="E39" i="33" s="1"/>
  <c r="E29" i="33" a="1"/>
  <c r="E29" i="33" s="1"/>
  <c r="E28" i="33" s="1"/>
  <c r="E25" i="33"/>
  <c r="E21" i="33" a="1"/>
  <c r="E21" i="33" s="1"/>
  <c r="E20" i="33" a="1"/>
  <c r="E20" i="33" s="1"/>
  <c r="E19" i="33" a="1"/>
  <c r="E19" i="33" s="1"/>
  <c r="E16" i="33" a="1"/>
  <c r="E16" i="33" s="1"/>
  <c r="E17" i="33" a="1"/>
  <c r="E17" i="33" s="1"/>
  <c r="E15" i="33" a="1"/>
  <c r="E15" i="33" s="1"/>
  <c r="E14" i="33" a="1"/>
  <c r="E14" i="33" s="1"/>
  <c r="E12" i="33" a="1"/>
  <c r="E12" i="33" s="1"/>
  <c r="E13" i="33" a="1"/>
  <c r="E13" i="33" s="1"/>
  <c r="R26" i="34"/>
  <c r="R175" i="31"/>
  <c r="R167" i="31"/>
  <c r="R88" i="31"/>
  <c r="AC39" i="34" l="1"/>
  <c r="AC24" i="34"/>
  <c r="E23" i="33" a="1"/>
  <c r="E23" i="33" s="1"/>
  <c r="C23" i="33" a="1"/>
  <c r="C23" i="33" s="1"/>
  <c r="E38" i="33"/>
  <c r="C38" i="33"/>
  <c r="AC5" i="36"/>
  <c r="AC6" i="36"/>
  <c r="AC9" i="36"/>
  <c r="AC4" i="36"/>
  <c r="AC3" i="36"/>
  <c r="AC7" i="36"/>
  <c r="AC2" i="36"/>
  <c r="AC8" i="36"/>
  <c r="D34" i="33"/>
  <c r="D33" i="33" s="1"/>
  <c r="E34" i="33"/>
  <c r="E33" i="33" s="1"/>
  <c r="C34" i="33"/>
  <c r="C33" i="33" s="1"/>
  <c r="C24" i="33"/>
  <c r="E24" i="33"/>
  <c r="R79" i="31"/>
  <c r="R169" i="31"/>
  <c r="R83" i="31"/>
  <c r="R69" i="31"/>
  <c r="R227" i="31"/>
  <c r="R226" i="31" s="1"/>
  <c r="R129" i="31"/>
  <c r="R179" i="31"/>
  <c r="R178" i="31" s="1"/>
  <c r="R174" i="31" s="1"/>
  <c r="R289" i="31"/>
  <c r="R106" i="31"/>
  <c r="R156" i="31"/>
  <c r="R173" i="31" l="1" a="1"/>
  <c r="R173" i="31" s="1"/>
  <c r="R33" i="31" s="1"/>
  <c r="C32" i="33"/>
  <c r="E32" i="33"/>
  <c r="R262" i="31"/>
  <c r="A315" i="31" l="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8" i="31"/>
  <c r="A287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D175" i="31"/>
  <c r="R104" i="30" a="1"/>
  <c r="R104" i="30" s="1"/>
  <c r="R103" i="30" a="1"/>
  <c r="R103" i="30" s="1"/>
  <c r="R102" i="30" a="1"/>
  <c r="R102" i="30" s="1"/>
  <c r="R101" i="30" a="1"/>
  <c r="R101" i="30" s="1"/>
  <c r="R100" i="30" a="1"/>
  <c r="R100" i="30" s="1"/>
  <c r="R99" i="30" a="1"/>
  <c r="R99" i="30" s="1"/>
  <c r="R98" i="30" a="1"/>
  <c r="R98" i="30" s="1"/>
  <c r="R97" i="30" a="1"/>
  <c r="R97" i="30" s="1"/>
  <c r="R96" i="30" a="1"/>
  <c r="R96" i="30" s="1"/>
  <c r="R95" i="30" a="1"/>
  <c r="R95" i="30" s="1"/>
  <c r="R94" i="30" a="1"/>
  <c r="R94" i="30" s="1"/>
  <c r="R93" i="30" a="1"/>
  <c r="R93" i="30" s="1"/>
  <c r="R92" i="30" a="1"/>
  <c r="R92" i="30" s="1"/>
  <c r="R91" i="30" a="1"/>
  <c r="R91" i="30" s="1"/>
  <c r="R90" i="30" a="1"/>
  <c r="R90" i="30" s="1"/>
  <c r="R89" i="30" a="1"/>
  <c r="R89" i="30" s="1"/>
  <c r="R88" i="30" a="1"/>
  <c r="R88" i="30" s="1"/>
  <c r="R87" i="30" a="1"/>
  <c r="R87" i="30" s="1"/>
  <c r="R86" i="30" a="1"/>
  <c r="R86" i="30" s="1"/>
  <c r="R85" i="30" a="1"/>
  <c r="R85" i="30" s="1"/>
  <c r="R84" i="30" a="1"/>
  <c r="R84" i="30" s="1"/>
  <c r="R83" i="30" a="1"/>
  <c r="R83" i="30" s="1"/>
  <c r="R82" i="30" a="1"/>
  <c r="R82" i="30" s="1"/>
  <c r="R81" i="30" a="1"/>
  <c r="R81" i="30" s="1"/>
  <c r="R80" i="30" a="1"/>
  <c r="R80" i="30" s="1"/>
  <c r="R79" i="30" a="1"/>
  <c r="R79" i="30" s="1"/>
  <c r="R78" i="30" a="1"/>
  <c r="R78" i="30" s="1"/>
  <c r="R77" i="30" a="1"/>
  <c r="R77" i="30" s="1"/>
  <c r="R76" i="30" a="1"/>
  <c r="R76" i="30" s="1"/>
  <c r="R75" i="30" a="1"/>
  <c r="R75" i="30" s="1"/>
  <c r="R74" i="30" a="1"/>
  <c r="R74" i="30" s="1"/>
  <c r="R73" i="30" a="1"/>
  <c r="R73" i="30" s="1"/>
  <c r="R72" i="30" a="1"/>
  <c r="R72" i="30" s="1"/>
  <c r="R71" i="30" a="1"/>
  <c r="R71" i="30" s="1"/>
  <c r="R70" i="30" a="1"/>
  <c r="R70" i="30" s="1"/>
  <c r="R69" i="30" a="1"/>
  <c r="R69" i="30" s="1"/>
  <c r="R68" i="30" a="1"/>
  <c r="R68" i="30" s="1"/>
  <c r="R67" i="30" a="1"/>
  <c r="R67" i="30" s="1"/>
  <c r="R66" i="30" a="1"/>
  <c r="R66" i="30" s="1"/>
  <c r="R65" i="30" a="1"/>
  <c r="R65" i="30" s="1"/>
  <c r="R64" i="30" a="1"/>
  <c r="R64" i="30" s="1"/>
  <c r="R63" i="30" a="1"/>
  <c r="R63" i="30" s="1"/>
  <c r="R62" i="30" a="1"/>
  <c r="R62" i="30" s="1"/>
  <c r="R61" i="30" a="1"/>
  <c r="R61" i="30" s="1"/>
  <c r="R60" i="30" a="1"/>
  <c r="R60" i="30" s="1"/>
  <c r="R59" i="30" a="1"/>
  <c r="R59" i="30" s="1"/>
  <c r="R58" i="30" a="1"/>
  <c r="R58" i="30" s="1"/>
  <c r="R57" i="30" a="1"/>
  <c r="R57" i="30" s="1"/>
  <c r="R56" i="30" a="1"/>
  <c r="R56" i="30" s="1"/>
  <c r="R55" i="30" a="1"/>
  <c r="R55" i="30" s="1"/>
  <c r="R54" i="30" a="1"/>
  <c r="R54" i="30" s="1"/>
  <c r="R53" i="30" a="1"/>
  <c r="R53" i="30" s="1"/>
  <c r="R52" i="30" a="1"/>
  <c r="R52" i="30" s="1"/>
  <c r="R51" i="30" a="1"/>
  <c r="R51" i="30" s="1"/>
  <c r="R50" i="30" a="1"/>
  <c r="R50" i="30" s="1"/>
  <c r="R49" i="30" a="1"/>
  <c r="R49" i="30" s="1"/>
  <c r="R48" i="30" a="1"/>
  <c r="R48" i="30" s="1"/>
  <c r="R47" i="30" a="1"/>
  <c r="R47" i="30" s="1"/>
  <c r="R46" i="30" a="1"/>
  <c r="R46" i="30" s="1"/>
  <c r="R45" i="30" a="1"/>
  <c r="R45" i="30" s="1"/>
  <c r="R44" i="30" a="1"/>
  <c r="R44" i="30" s="1"/>
  <c r="R43" i="30" a="1"/>
  <c r="R43" i="30" s="1"/>
  <c r="R42" i="30" a="1"/>
  <c r="R42" i="30" s="1"/>
  <c r="R41" i="30" a="1"/>
  <c r="R41" i="30" s="1"/>
  <c r="R40" i="30" a="1"/>
  <c r="R40" i="30" s="1"/>
  <c r="R39" i="30" a="1"/>
  <c r="R39" i="30" s="1"/>
  <c r="R38" i="30" a="1"/>
  <c r="R38" i="30" s="1"/>
  <c r="R37" i="30" a="1"/>
  <c r="R37" i="30" s="1"/>
  <c r="R36" i="30" a="1"/>
  <c r="R36" i="30" s="1"/>
  <c r="R35" i="30" a="1"/>
  <c r="R35" i="30" s="1"/>
  <c r="R34" i="30" a="1"/>
  <c r="R34" i="30" s="1"/>
  <c r="R33" i="30" a="1"/>
  <c r="R33" i="30" s="1"/>
  <c r="R32" i="30" a="1"/>
  <c r="R32" i="30" s="1"/>
  <c r="R31" i="30" a="1"/>
  <c r="R31" i="30" s="1"/>
  <c r="R30" i="30" a="1"/>
  <c r="R30" i="30" s="1"/>
  <c r="R29" i="30" a="1"/>
  <c r="R29" i="30" s="1"/>
  <c r="R28" i="30" a="1"/>
  <c r="R28" i="30" s="1"/>
  <c r="R27" i="30" a="1"/>
  <c r="R27" i="30" s="1"/>
  <c r="R26" i="30" a="1"/>
  <c r="R26" i="30" s="1"/>
  <c r="R25" i="30" a="1"/>
  <c r="R25" i="30" s="1"/>
  <c r="R24" i="30" a="1"/>
  <c r="R24" i="30" s="1"/>
  <c r="R23" i="30" a="1"/>
  <c r="R23" i="30" s="1"/>
  <c r="R22" i="30" a="1"/>
  <c r="R22" i="30" s="1"/>
  <c r="R21" i="30" a="1"/>
  <c r="R21" i="30" s="1"/>
  <c r="R20" i="30" a="1"/>
  <c r="R20" i="30" s="1"/>
  <c r="R19" i="30" a="1"/>
  <c r="R19" i="30" s="1"/>
  <c r="R18" i="30" a="1"/>
  <c r="R18" i="30" s="1"/>
  <c r="R17" i="30" a="1"/>
  <c r="R17" i="30" s="1"/>
  <c r="R16" i="30" a="1"/>
  <c r="R16" i="30" s="1"/>
  <c r="R15" i="30" a="1"/>
  <c r="R15" i="30" s="1"/>
  <c r="R14" i="30" a="1"/>
  <c r="R14" i="30" s="1"/>
  <c r="R13" i="30" a="1"/>
  <c r="R13" i="30" s="1"/>
  <c r="R12" i="30" a="1"/>
  <c r="R12" i="30" s="1"/>
  <c r="R5" i="30" a="1"/>
  <c r="R5" i="30" s="1"/>
  <c r="A1" i="33"/>
  <c r="AE38" i="34"/>
  <c r="AE32" i="34"/>
  <c r="AE31" i="34"/>
  <c r="AE28" i="34"/>
  <c r="AE27" i="34"/>
  <c r="AA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AC26" i="34" l="1"/>
  <c r="AE286" i="31"/>
  <c r="E4" i="33"/>
  <c r="R29" i="34"/>
  <c r="R25" i="34" s="1"/>
  <c r="O43" i="33"/>
  <c r="P289" i="31"/>
  <c r="AA289" i="31"/>
  <c r="Q289" i="31"/>
  <c r="A15" i="27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L169" i="31"/>
  <c r="P169" i="31"/>
  <c r="H169" i="31"/>
  <c r="F169" i="31"/>
  <c r="G169" i="31"/>
  <c r="M169" i="31"/>
  <c r="E169" i="31"/>
  <c r="N169" i="31"/>
  <c r="O169" i="31"/>
  <c r="I169" i="31"/>
  <c r="J169" i="31"/>
  <c r="AA169" i="31"/>
  <c r="D169" i="31"/>
  <c r="K169" i="31"/>
  <c r="Q169" i="31"/>
  <c r="AE170" i="31"/>
  <c r="AE171" i="31"/>
  <c r="AE172" i="31"/>
  <c r="AE68" i="31"/>
  <c r="AE103" i="31"/>
  <c r="AE58" i="31"/>
  <c r="AE197" i="31"/>
  <c r="AE195" i="31"/>
  <c r="AE241" i="31"/>
  <c r="AE246" i="31"/>
  <c r="AE243" i="31"/>
  <c r="AE245" i="31"/>
  <c r="AE250" i="31"/>
  <c r="AE244" i="31"/>
  <c r="AE252" i="31"/>
  <c r="AE242" i="31"/>
  <c r="AE248" i="31"/>
  <c r="AE44" i="31"/>
  <c r="AE26" i="34"/>
  <c r="AE6" i="34"/>
  <c r="M39" i="33" a="1"/>
  <c r="M39" i="33" s="1"/>
  <c r="L39" i="33" a="1"/>
  <c r="L39" i="33" s="1"/>
  <c r="K39" i="33" a="1"/>
  <c r="K39" i="33" s="1"/>
  <c r="J39" i="33" a="1"/>
  <c r="J39" i="33" s="1"/>
  <c r="I39" i="33" a="1"/>
  <c r="I39" i="33" s="1"/>
  <c r="H39" i="33" a="1"/>
  <c r="H39" i="33" s="1"/>
  <c r="G39" i="33" a="1"/>
  <c r="G39" i="33" s="1"/>
  <c r="F39" i="33" a="1"/>
  <c r="F39" i="33" s="1"/>
  <c r="O37" i="33"/>
  <c r="O36" i="33"/>
  <c r="M34" i="33"/>
  <c r="M33" i="33" s="1"/>
  <c r="K34" i="33"/>
  <c r="K33" i="33" s="1"/>
  <c r="J34" i="33"/>
  <c r="J33" i="33" s="1"/>
  <c r="G34" i="33"/>
  <c r="G33" i="33" s="1"/>
  <c r="O31" i="33"/>
  <c r="O30" i="33"/>
  <c r="M29" i="33" a="1"/>
  <c r="M29" i="33" s="1"/>
  <c r="M28" i="33" s="1"/>
  <c r="L29" i="33" a="1"/>
  <c r="L29" i="33" s="1"/>
  <c r="L28" i="33" s="1"/>
  <c r="K29" i="33" a="1"/>
  <c r="K29" i="33" s="1"/>
  <c r="K28" i="33" s="1"/>
  <c r="J29" i="33" a="1"/>
  <c r="J29" i="33" s="1"/>
  <c r="J28" i="33" s="1"/>
  <c r="I29" i="33" a="1"/>
  <c r="I29" i="33" s="1"/>
  <c r="I28" i="33" s="1"/>
  <c r="H29" i="33" a="1"/>
  <c r="H29" i="33" s="1"/>
  <c r="H28" i="33" s="1"/>
  <c r="G29" i="33" a="1"/>
  <c r="G29" i="33" s="1"/>
  <c r="G28" i="33" s="1"/>
  <c r="F29" i="33" a="1"/>
  <c r="F29" i="33" s="1"/>
  <c r="O27" i="33"/>
  <c r="O26" i="33"/>
  <c r="M25" i="33"/>
  <c r="L25" i="33"/>
  <c r="K25" i="33"/>
  <c r="J25" i="33"/>
  <c r="I25" i="33"/>
  <c r="H25" i="33"/>
  <c r="G25" i="33"/>
  <c r="F25" i="33"/>
  <c r="M21" i="33" a="1"/>
  <c r="M21" i="33" s="1"/>
  <c r="L21" i="33" a="1"/>
  <c r="L21" i="33" s="1"/>
  <c r="K21" i="33" a="1"/>
  <c r="K21" i="33" s="1"/>
  <c r="J21" i="33" a="1"/>
  <c r="J21" i="33" s="1"/>
  <c r="I21" i="33" a="1"/>
  <c r="I21" i="33" s="1"/>
  <c r="H21" i="33" a="1"/>
  <c r="H21" i="33" s="1"/>
  <c r="G21" i="33" a="1"/>
  <c r="G21" i="33" s="1"/>
  <c r="F21" i="33" a="1"/>
  <c r="F21" i="33" s="1"/>
  <c r="M20" i="33" a="1"/>
  <c r="M20" i="33" s="1"/>
  <c r="L20" i="33" a="1"/>
  <c r="L20" i="33" s="1"/>
  <c r="K20" i="33" a="1"/>
  <c r="K20" i="33" s="1"/>
  <c r="J20" i="33" a="1"/>
  <c r="J20" i="33" s="1"/>
  <c r="I20" i="33" a="1"/>
  <c r="I20" i="33" s="1"/>
  <c r="H20" i="33" a="1"/>
  <c r="H20" i="33" s="1"/>
  <c r="G20" i="33" a="1"/>
  <c r="G20" i="33" s="1"/>
  <c r="F20" i="33" a="1"/>
  <c r="F20" i="33" s="1"/>
  <c r="M19" i="33" a="1"/>
  <c r="M19" i="33" s="1"/>
  <c r="L19" i="33" a="1"/>
  <c r="L19" i="33" s="1"/>
  <c r="K19" i="33" a="1"/>
  <c r="K19" i="33" s="1"/>
  <c r="J19" i="33" a="1"/>
  <c r="J19" i="33" s="1"/>
  <c r="I19" i="33" a="1"/>
  <c r="I19" i="33" s="1"/>
  <c r="H19" i="33" a="1"/>
  <c r="H19" i="33" s="1"/>
  <c r="G19" i="33" a="1"/>
  <c r="G19" i="33" s="1"/>
  <c r="F19" i="33" a="1"/>
  <c r="F19" i="33" s="1"/>
  <c r="M16" i="33" a="1"/>
  <c r="M16" i="33" s="1"/>
  <c r="L16" i="33" a="1"/>
  <c r="L16" i="33" s="1"/>
  <c r="K16" i="33" a="1"/>
  <c r="K16" i="33" s="1"/>
  <c r="J16" i="33" a="1"/>
  <c r="J16" i="33" s="1"/>
  <c r="I16" i="33" a="1"/>
  <c r="I16" i="33" s="1"/>
  <c r="H16" i="33" a="1"/>
  <c r="H16" i="33" s="1"/>
  <c r="G16" i="33" a="1"/>
  <c r="G16" i="33" s="1"/>
  <c r="F16" i="33" a="1"/>
  <c r="F16" i="33" s="1"/>
  <c r="M17" i="33" a="1"/>
  <c r="M17" i="33" s="1"/>
  <c r="L17" i="33" a="1"/>
  <c r="L17" i="33" s="1"/>
  <c r="K17" i="33" a="1"/>
  <c r="K17" i="33" s="1"/>
  <c r="J17" i="33" a="1"/>
  <c r="J17" i="33" s="1"/>
  <c r="I17" i="33" a="1"/>
  <c r="I17" i="33" s="1"/>
  <c r="H17" i="33" a="1"/>
  <c r="H17" i="33" s="1"/>
  <c r="G17" i="33" a="1"/>
  <c r="G17" i="33" s="1"/>
  <c r="F17" i="33" a="1"/>
  <c r="F17" i="33" s="1"/>
  <c r="M15" i="33" a="1"/>
  <c r="M15" i="33" s="1"/>
  <c r="L15" i="33" a="1"/>
  <c r="L15" i="33" s="1"/>
  <c r="K15" i="33" a="1"/>
  <c r="K15" i="33" s="1"/>
  <c r="J15" i="33" a="1"/>
  <c r="J15" i="33" s="1"/>
  <c r="I15" i="33" a="1"/>
  <c r="I15" i="33" s="1"/>
  <c r="H15" i="33" a="1"/>
  <c r="H15" i="33" s="1"/>
  <c r="G15" i="33" a="1"/>
  <c r="G15" i="33" s="1"/>
  <c r="F15" i="33" a="1"/>
  <c r="F15" i="33" s="1"/>
  <c r="M14" i="33" a="1"/>
  <c r="M14" i="33" s="1"/>
  <c r="L14" i="33" a="1"/>
  <c r="L14" i="33" s="1"/>
  <c r="K14" i="33" a="1"/>
  <c r="K14" i="33" s="1"/>
  <c r="J14" i="33" a="1"/>
  <c r="J14" i="33" s="1"/>
  <c r="I14" i="33" a="1"/>
  <c r="I14" i="33" s="1"/>
  <c r="H14" i="33" a="1"/>
  <c r="H14" i="33" s="1"/>
  <c r="G14" i="33" a="1"/>
  <c r="G14" i="33" s="1"/>
  <c r="F14" i="33" a="1"/>
  <c r="F14" i="33" s="1"/>
  <c r="M12" i="33" a="1"/>
  <c r="M12" i="33" s="1"/>
  <c r="L12" i="33" a="1"/>
  <c r="L12" i="33" s="1"/>
  <c r="K12" i="33" a="1"/>
  <c r="K12" i="33" s="1"/>
  <c r="J12" i="33" a="1"/>
  <c r="J12" i="33" s="1"/>
  <c r="I12" i="33" a="1"/>
  <c r="I12" i="33" s="1"/>
  <c r="H12" i="33" a="1"/>
  <c r="H12" i="33" s="1"/>
  <c r="G12" i="33" a="1"/>
  <c r="G12" i="33" s="1"/>
  <c r="F12" i="33" a="1"/>
  <c r="F12" i="33" s="1"/>
  <c r="M13" i="33" a="1"/>
  <c r="M13" i="33" s="1"/>
  <c r="L13" i="33" a="1"/>
  <c r="L13" i="33" s="1"/>
  <c r="K13" i="33" a="1"/>
  <c r="K13" i="33" s="1"/>
  <c r="J13" i="33" a="1"/>
  <c r="J13" i="33" s="1"/>
  <c r="I13" i="33" a="1"/>
  <c r="I13" i="33" s="1"/>
  <c r="H13" i="33" a="1"/>
  <c r="H13" i="33" s="1"/>
  <c r="G13" i="33" a="1"/>
  <c r="G13" i="33" s="1"/>
  <c r="F13" i="33" a="1"/>
  <c r="F13" i="33" s="1"/>
  <c r="AC169" i="31" l="1"/>
  <c r="H23" i="33" a="1"/>
  <c r="H23" i="33" s="1"/>
  <c r="F23" i="33" a="1"/>
  <c r="F23" i="33" s="1"/>
  <c r="G23" i="33" a="1"/>
  <c r="G23" i="33" s="1"/>
  <c r="J23" i="33" a="1"/>
  <c r="J23" i="33" s="1"/>
  <c r="M23" i="33" a="1"/>
  <c r="M23" i="33" s="1"/>
  <c r="K23" i="33" a="1"/>
  <c r="K23" i="33" s="1"/>
  <c r="I23" i="33" a="1"/>
  <c r="I23" i="33" s="1"/>
  <c r="L23" i="33" a="1"/>
  <c r="L23" i="33" s="1"/>
  <c r="M38" i="33"/>
  <c r="M32" i="33" s="1"/>
  <c r="F38" i="33"/>
  <c r="J38" i="33"/>
  <c r="J32" i="33" s="1"/>
  <c r="G38" i="33"/>
  <c r="G32" i="33" s="1"/>
  <c r="H38" i="33"/>
  <c r="I38" i="33"/>
  <c r="K38" i="33"/>
  <c r="K32" i="33" s="1"/>
  <c r="L38" i="33"/>
  <c r="A40" i="27"/>
  <c r="A41" i="27" s="1"/>
  <c r="A42" i="27" s="1"/>
  <c r="O15" i="33"/>
  <c r="O17" i="33"/>
  <c r="O13" i="33"/>
  <c r="O12" i="33"/>
  <c r="O10" i="33"/>
  <c r="O11" i="33"/>
  <c r="O16" i="33"/>
  <c r="O14" i="33"/>
  <c r="O19" i="33"/>
  <c r="O20" i="33"/>
  <c r="O21" i="33"/>
  <c r="F28" i="33"/>
  <c r="F24" i="33" s="1"/>
  <c r="D28" i="33"/>
  <c r="D24" i="33" s="1"/>
  <c r="D32" i="33"/>
  <c r="AE21" i="34"/>
  <c r="AE20" i="34"/>
  <c r="AE43" i="34"/>
  <c r="M24" i="33"/>
  <c r="G24" i="33"/>
  <c r="J24" i="33"/>
  <c r="O42" i="33"/>
  <c r="H24" i="33"/>
  <c r="I24" i="33"/>
  <c r="K24" i="33"/>
  <c r="L24" i="33"/>
  <c r="O25" i="33"/>
  <c r="AE273" i="31"/>
  <c r="AE277" i="31"/>
  <c r="AE268" i="31"/>
  <c r="AE271" i="31"/>
  <c r="AE267" i="31"/>
  <c r="AE269" i="31"/>
  <c r="AE274" i="31"/>
  <c r="AE279" i="31"/>
  <c r="AE284" i="31"/>
  <c r="AE264" i="31"/>
  <c r="AE280" i="31"/>
  <c r="AE266" i="31"/>
  <c r="AE276" i="31"/>
  <c r="AE263" i="31"/>
  <c r="AE265" i="31"/>
  <c r="AE275" i="31"/>
  <c r="AE285" i="31"/>
  <c r="AE287" i="31"/>
  <c r="AE272" i="31"/>
  <c r="AE288" i="31"/>
  <c r="AE278" i="31"/>
  <c r="AE283" i="31"/>
  <c r="AE281" i="31"/>
  <c r="AE282" i="31"/>
  <c r="AE270" i="31"/>
  <c r="AA262" i="31"/>
  <c r="Q262" i="31"/>
  <c r="P262" i="31"/>
  <c r="O29" i="34"/>
  <c r="O25" i="34" s="1"/>
  <c r="K29" i="34"/>
  <c r="K25" i="34" s="1"/>
  <c r="G29" i="34"/>
  <c r="G25" i="34" s="1"/>
  <c r="AA29" i="34"/>
  <c r="AA25" i="34" s="1"/>
  <c r="N29" i="34"/>
  <c r="N25" i="34" s="1"/>
  <c r="J29" i="34"/>
  <c r="J25" i="34" s="1"/>
  <c r="F29" i="34"/>
  <c r="F25" i="34" s="1"/>
  <c r="P29" i="34"/>
  <c r="P25" i="34" s="1"/>
  <c r="L29" i="34"/>
  <c r="L25" i="34" s="1"/>
  <c r="H29" i="34"/>
  <c r="H25" i="34" s="1"/>
  <c r="Q29" i="34"/>
  <c r="Q25" i="34" s="1"/>
  <c r="E29" i="34"/>
  <c r="E25" i="34" s="1"/>
  <c r="M29" i="34"/>
  <c r="M25" i="34" s="1"/>
  <c r="I29" i="34"/>
  <c r="I25" i="34" s="1"/>
  <c r="O18" i="33"/>
  <c r="O39" i="33"/>
  <c r="O29" i="33"/>
  <c r="AC262" i="31" l="1"/>
  <c r="A43" i="27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O28" i="33"/>
  <c r="O38" i="33"/>
  <c r="O8" i="33"/>
  <c r="AE262" i="31"/>
  <c r="AE14" i="34"/>
  <c r="AE13" i="34"/>
  <c r="AE18" i="34"/>
  <c r="AE15" i="34"/>
  <c r="D29" i="34"/>
  <c r="AC29" i="34" s="1"/>
  <c r="AE30" i="34"/>
  <c r="AE12" i="34"/>
  <c r="AE16" i="34"/>
  <c r="AE39" i="34"/>
  <c r="AE40" i="34"/>
  <c r="AE19" i="34"/>
  <c r="AE11" i="34"/>
  <c r="AE22" i="34"/>
  <c r="AE17" i="34"/>
  <c r="O24" i="33"/>
  <c r="O6" i="33" l="1"/>
  <c r="D25" i="34"/>
  <c r="AC25" i="34" s="1"/>
  <c r="AE29" i="34"/>
  <c r="M4" i="33"/>
  <c r="L4" i="33"/>
  <c r="K4" i="33"/>
  <c r="I4" i="33"/>
  <c r="H4" i="33"/>
  <c r="G4" i="33"/>
  <c r="F4" i="33"/>
  <c r="AE25" i="34" l="1"/>
  <c r="D4" i="33"/>
  <c r="O5" i="33"/>
  <c r="CW13" i="28" l="1" a="1"/>
  <c r="CW13" i="28" s="1"/>
  <c r="L89" i="30"/>
  <c r="L88" i="30"/>
  <c r="L87" i="30"/>
  <c r="L86" i="30"/>
  <c r="L85" i="30"/>
  <c r="L84" i="30"/>
  <c r="L83" i="30"/>
  <c r="E47" i="30"/>
  <c r="E46" i="30"/>
  <c r="I9" i="30"/>
  <c r="I10" i="30" s="1"/>
  <c r="I11" i="30" s="1"/>
  <c r="I12" i="30" s="1"/>
  <c r="I13" i="30" s="1"/>
  <c r="I14" i="30" s="1"/>
  <c r="I15" i="30" s="1"/>
  <c r="I16" i="30" s="1"/>
  <c r="I17" i="30" s="1"/>
  <c r="I18" i="30" s="1"/>
  <c r="I19" i="30" s="1"/>
  <c r="I20" i="30" s="1"/>
  <c r="I21" i="30" s="1"/>
  <c r="I22" i="30" s="1"/>
  <c r="I23" i="30" s="1"/>
  <c r="I24" i="30" s="1"/>
  <c r="I25" i="30" s="1"/>
  <c r="I26" i="30" s="1"/>
  <c r="I27" i="30" s="1"/>
  <c r="I28" i="30" s="1"/>
  <c r="I29" i="30" s="1"/>
  <c r="I30" i="30" s="1"/>
  <c r="I31" i="30" s="1"/>
  <c r="I32" i="30" s="1"/>
  <c r="I33" i="30" s="1"/>
  <c r="I34" i="30" s="1"/>
  <c r="I35" i="30" s="1"/>
  <c r="I36" i="30" s="1"/>
  <c r="I37" i="30" s="1"/>
  <c r="I38" i="30" s="1"/>
  <c r="I39" i="30" s="1"/>
  <c r="I40" i="30" s="1"/>
  <c r="I41" i="30" s="1"/>
  <c r="I42" i="30" s="1"/>
  <c r="I43" i="30" s="1"/>
  <c r="I44" i="30" s="1"/>
  <c r="I45" i="30" s="1"/>
  <c r="I46" i="30" s="1"/>
  <c r="I47" i="30" s="1"/>
  <c r="I48" i="30" s="1"/>
  <c r="I49" i="30" s="1"/>
  <c r="I50" i="30" s="1"/>
  <c r="I51" i="30" s="1"/>
  <c r="I52" i="30" s="1"/>
  <c r="I53" i="30" s="1"/>
  <c r="I54" i="30" s="1"/>
  <c r="I55" i="30" s="1"/>
  <c r="I56" i="30" s="1"/>
  <c r="I57" i="30" s="1"/>
  <c r="I58" i="30" s="1"/>
  <c r="I59" i="30" s="1"/>
  <c r="I60" i="30" s="1"/>
  <c r="I61" i="30" s="1"/>
  <c r="I62" i="30" s="1"/>
  <c r="I63" i="30" s="1"/>
  <c r="I64" i="30" s="1"/>
  <c r="I65" i="30" s="1"/>
  <c r="I66" i="30" s="1"/>
  <c r="I67" i="30" s="1"/>
  <c r="I68" i="30" s="1"/>
  <c r="I69" i="30" s="1"/>
  <c r="I70" i="30" s="1"/>
  <c r="I71" i="30" s="1"/>
  <c r="I72" i="30" s="1"/>
  <c r="I73" i="30" s="1"/>
  <c r="I74" i="30" s="1"/>
  <c r="I75" i="30" s="1"/>
  <c r="I76" i="30" s="1"/>
  <c r="I77" i="30" s="1"/>
  <c r="I78" i="30" s="1"/>
  <c r="I79" i="30" s="1"/>
  <c r="I80" i="30" s="1"/>
  <c r="A9" i="30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N65" i="28"/>
  <c r="D206" i="31" s="1" a="1"/>
  <c r="Q175" i="31"/>
  <c r="Q167" i="31"/>
  <c r="Q88" i="31"/>
  <c r="CY122" i="28" a="1"/>
  <c r="CY122" i="28" s="1"/>
  <c r="CX122" i="28" a="1"/>
  <c r="CX122" i="28" s="1"/>
  <c r="CW122" i="28" a="1"/>
  <c r="CW122" i="28" s="1"/>
  <c r="CV122" i="28" a="1"/>
  <c r="CV122" i="28" s="1"/>
  <c r="CY121" i="28" a="1"/>
  <c r="CY121" i="28" s="1"/>
  <c r="CX121" i="28" a="1"/>
  <c r="CX121" i="28" s="1"/>
  <c r="CW121" i="28" a="1"/>
  <c r="CW121" i="28" s="1"/>
  <c r="CV121" i="28" a="1"/>
  <c r="CV121" i="28" s="1"/>
  <c r="CY120" i="28" a="1"/>
  <c r="CY120" i="28" s="1"/>
  <c r="CX120" i="28" a="1"/>
  <c r="CX120" i="28" s="1"/>
  <c r="CW120" i="28" a="1"/>
  <c r="CW120" i="28" s="1"/>
  <c r="CV120" i="28" a="1"/>
  <c r="CV120" i="28" s="1"/>
  <c r="CY119" i="28" a="1"/>
  <c r="CY119" i="28" s="1"/>
  <c r="CX119" i="28" a="1"/>
  <c r="CX119" i="28" s="1"/>
  <c r="CW119" i="28" a="1"/>
  <c r="CW119" i="28" s="1"/>
  <c r="CV119" i="28" a="1"/>
  <c r="CV119" i="28" s="1"/>
  <c r="CY118" i="28" a="1"/>
  <c r="CY118" i="28" s="1"/>
  <c r="CX118" i="28" a="1"/>
  <c r="CX118" i="28" s="1"/>
  <c r="CW118" i="28" a="1"/>
  <c r="CW118" i="28" s="1"/>
  <c r="CV118" i="28" a="1"/>
  <c r="CV118" i="28" s="1"/>
  <c r="CY117" i="28" a="1"/>
  <c r="CY117" i="28" s="1"/>
  <c r="CX117" i="28" a="1"/>
  <c r="CX117" i="28" s="1"/>
  <c r="CW117" i="28" a="1"/>
  <c r="CW117" i="28" s="1"/>
  <c r="CV117" i="28" a="1"/>
  <c r="CV117" i="28" s="1"/>
  <c r="CY116" i="28" a="1"/>
  <c r="CY116" i="28" s="1"/>
  <c r="CX116" i="28" a="1"/>
  <c r="CX116" i="28" s="1"/>
  <c r="CW116" i="28" a="1"/>
  <c r="CW116" i="28" s="1"/>
  <c r="CV116" i="28" a="1"/>
  <c r="CV116" i="28" s="1"/>
  <c r="CY115" i="28" a="1"/>
  <c r="CY115" i="28" s="1"/>
  <c r="CX115" i="28" a="1"/>
  <c r="CX115" i="28" s="1"/>
  <c r="CW115" i="28" a="1"/>
  <c r="CW115" i="28" s="1"/>
  <c r="CV115" i="28" a="1"/>
  <c r="CV115" i="28" s="1"/>
  <c r="CY114" i="28" a="1"/>
  <c r="CY114" i="28" s="1"/>
  <c r="CX114" i="28" a="1"/>
  <c r="CX114" i="28" s="1"/>
  <c r="CW114" i="28" a="1"/>
  <c r="CW114" i="28" s="1"/>
  <c r="CV114" i="28" a="1"/>
  <c r="CV114" i="28" s="1"/>
  <c r="CY113" i="28" a="1"/>
  <c r="CY113" i="28" s="1"/>
  <c r="CX113" i="28" a="1"/>
  <c r="CX113" i="28" s="1"/>
  <c r="CW113" i="28" a="1"/>
  <c r="CW113" i="28" s="1"/>
  <c r="CV113" i="28" a="1"/>
  <c r="CV113" i="28" s="1"/>
  <c r="CY112" i="28" a="1"/>
  <c r="CY112" i="28" s="1"/>
  <c r="CX112" i="28" a="1"/>
  <c r="CX112" i="28" s="1"/>
  <c r="CW112" i="28" a="1"/>
  <c r="CW112" i="28" s="1"/>
  <c r="CV112" i="28" a="1"/>
  <c r="CV112" i="28" s="1"/>
  <c r="CY111" i="28" a="1"/>
  <c r="CY111" i="28" s="1"/>
  <c r="CX111" i="28" a="1"/>
  <c r="CX111" i="28" s="1"/>
  <c r="CW111" i="28" a="1"/>
  <c r="CW111" i="28" s="1"/>
  <c r="CV111" i="28" a="1"/>
  <c r="CV111" i="28" s="1"/>
  <c r="CY110" i="28" a="1"/>
  <c r="CY110" i="28" s="1"/>
  <c r="CX110" i="28" a="1"/>
  <c r="CX110" i="28" s="1"/>
  <c r="CW110" i="28" a="1"/>
  <c r="CW110" i="28" s="1"/>
  <c r="CV110" i="28" a="1"/>
  <c r="CV110" i="28" s="1"/>
  <c r="CY109" i="28" a="1"/>
  <c r="CY109" i="28" s="1"/>
  <c r="CX109" i="28" a="1"/>
  <c r="CX109" i="28" s="1"/>
  <c r="CW109" i="28" a="1"/>
  <c r="CW109" i="28" s="1"/>
  <c r="CV109" i="28" a="1"/>
  <c r="CV109" i="28" s="1"/>
  <c r="CY108" i="28" a="1"/>
  <c r="CY108" i="28" s="1"/>
  <c r="CX108" i="28" a="1"/>
  <c r="CX108" i="28" s="1"/>
  <c r="CW108" i="28" a="1"/>
  <c r="CW108" i="28" s="1"/>
  <c r="CV108" i="28" a="1"/>
  <c r="CV108" i="28" s="1"/>
  <c r="CY107" i="28" a="1"/>
  <c r="CY107" i="28" s="1"/>
  <c r="CX107" i="28" a="1"/>
  <c r="CX107" i="28" s="1"/>
  <c r="CW107" i="28" a="1"/>
  <c r="CW107" i="28" s="1"/>
  <c r="CV107" i="28" a="1"/>
  <c r="CV107" i="28" s="1"/>
  <c r="CY106" i="28" a="1"/>
  <c r="CY106" i="28" s="1"/>
  <c r="CX106" i="28" a="1"/>
  <c r="CX106" i="28" s="1"/>
  <c r="CW106" i="28" a="1"/>
  <c r="CW106" i="28" s="1"/>
  <c r="CV106" i="28" a="1"/>
  <c r="CV106" i="28" s="1"/>
  <c r="CY105" i="28" a="1"/>
  <c r="CY105" i="28" s="1"/>
  <c r="CX105" i="28" a="1"/>
  <c r="CX105" i="28" s="1"/>
  <c r="CW105" i="28" a="1"/>
  <c r="CW105" i="28" s="1"/>
  <c r="CV105" i="28" a="1"/>
  <c r="CV105" i="28" s="1"/>
  <c r="CY104" i="28" a="1"/>
  <c r="CY104" i="28" s="1"/>
  <c r="CX104" i="28" a="1"/>
  <c r="CX104" i="28" s="1"/>
  <c r="CW104" i="28" a="1"/>
  <c r="CW104" i="28" s="1"/>
  <c r="CV104" i="28" a="1"/>
  <c r="CV104" i="28" s="1"/>
  <c r="CY103" i="28" a="1"/>
  <c r="CY103" i="28" s="1"/>
  <c r="CX103" i="28" a="1"/>
  <c r="CX103" i="28" s="1"/>
  <c r="CW103" i="28" a="1"/>
  <c r="CW103" i="28" s="1"/>
  <c r="CV103" i="28" a="1"/>
  <c r="CV103" i="28" s="1"/>
  <c r="CY102" i="28" a="1"/>
  <c r="CY102" i="28" s="1"/>
  <c r="CX102" i="28" a="1"/>
  <c r="CX102" i="28" s="1"/>
  <c r="CW102" i="28" a="1"/>
  <c r="CW102" i="28" s="1"/>
  <c r="CV102" i="28" a="1"/>
  <c r="CV102" i="28" s="1"/>
  <c r="CY101" i="28" a="1"/>
  <c r="CY101" i="28" s="1"/>
  <c r="CX101" i="28" a="1"/>
  <c r="CX101" i="28" s="1"/>
  <c r="CW101" i="28" a="1"/>
  <c r="CW101" i="28" s="1"/>
  <c r="CV101" i="28" a="1"/>
  <c r="CV101" i="28" s="1"/>
  <c r="CY100" i="28" a="1"/>
  <c r="CY100" i="28" s="1"/>
  <c r="CX100" i="28" a="1"/>
  <c r="CX100" i="28" s="1"/>
  <c r="CW100" i="28" a="1"/>
  <c r="CW100" i="28" s="1"/>
  <c r="CV100" i="28" a="1"/>
  <c r="CV100" i="28" s="1"/>
  <c r="CY99" i="28" a="1"/>
  <c r="CY99" i="28" s="1"/>
  <c r="CX99" i="28" a="1"/>
  <c r="CX99" i="28" s="1"/>
  <c r="CW99" i="28" a="1"/>
  <c r="CW99" i="28" s="1"/>
  <c r="CV99" i="28" a="1"/>
  <c r="CV99" i="28" s="1"/>
  <c r="CY98" i="28" a="1"/>
  <c r="CY98" i="28" s="1"/>
  <c r="CX98" i="28" a="1"/>
  <c r="CX98" i="28" s="1"/>
  <c r="CW98" i="28" a="1"/>
  <c r="CW98" i="28" s="1"/>
  <c r="CV98" i="28" a="1"/>
  <c r="CV98" i="28" s="1"/>
  <c r="CY97" i="28" a="1"/>
  <c r="CY97" i="28" s="1"/>
  <c r="CX97" i="28" a="1"/>
  <c r="CX97" i="28" s="1"/>
  <c r="CW97" i="28" a="1"/>
  <c r="CW97" i="28" s="1"/>
  <c r="CV97" i="28" a="1"/>
  <c r="CV97" i="28" s="1"/>
  <c r="CY96" i="28" a="1"/>
  <c r="CY96" i="28" s="1"/>
  <c r="CX96" i="28" a="1"/>
  <c r="CX96" i="28" s="1"/>
  <c r="CW96" i="28" a="1"/>
  <c r="CW96" i="28" s="1"/>
  <c r="CV96" i="28" a="1"/>
  <c r="CV96" i="28" s="1"/>
  <c r="CY95" i="28" a="1"/>
  <c r="CY95" i="28" s="1"/>
  <c r="CX95" i="28" a="1"/>
  <c r="CX95" i="28" s="1"/>
  <c r="CW95" i="28" a="1"/>
  <c r="CW95" i="28" s="1"/>
  <c r="CV95" i="28" a="1"/>
  <c r="CV95" i="28" s="1"/>
  <c r="CY94" i="28" a="1"/>
  <c r="CY94" i="28" s="1"/>
  <c r="CX94" i="28" a="1"/>
  <c r="CX94" i="28" s="1"/>
  <c r="CW94" i="28" a="1"/>
  <c r="CW94" i="28" s="1"/>
  <c r="CV94" i="28" a="1"/>
  <c r="CV94" i="28" s="1"/>
  <c r="CY93" i="28" a="1"/>
  <c r="CY93" i="28" s="1"/>
  <c r="CX93" i="28" a="1"/>
  <c r="CX93" i="28" s="1"/>
  <c r="CW93" i="28" a="1"/>
  <c r="CW93" i="28" s="1"/>
  <c r="CV93" i="28" a="1"/>
  <c r="CV93" i="28" s="1"/>
  <c r="CY92" i="28" a="1"/>
  <c r="CY92" i="28" s="1"/>
  <c r="CX92" i="28" a="1"/>
  <c r="CX92" i="28" s="1"/>
  <c r="CW92" i="28" a="1"/>
  <c r="CW92" i="28" s="1"/>
  <c r="CV92" i="28" a="1"/>
  <c r="CV92" i="28" s="1"/>
  <c r="CY91" i="28" a="1"/>
  <c r="CY91" i="28" s="1"/>
  <c r="CX91" i="28" a="1"/>
  <c r="CX91" i="28" s="1"/>
  <c r="CW91" i="28" a="1"/>
  <c r="CW91" i="28" s="1"/>
  <c r="CV91" i="28" a="1"/>
  <c r="CV91" i="28" s="1"/>
  <c r="CY90" i="28" a="1"/>
  <c r="CY90" i="28" s="1"/>
  <c r="CX90" i="28" a="1"/>
  <c r="CX90" i="28" s="1"/>
  <c r="CW90" i="28" a="1"/>
  <c r="CW90" i="28" s="1"/>
  <c r="CV90" i="28" a="1"/>
  <c r="CV90" i="28" s="1"/>
  <c r="CY89" i="28" a="1"/>
  <c r="CY89" i="28" s="1"/>
  <c r="CX89" i="28" a="1"/>
  <c r="CX89" i="28" s="1"/>
  <c r="CW89" i="28" a="1"/>
  <c r="CW89" i="28" s="1"/>
  <c r="CV89" i="28" a="1"/>
  <c r="CV89" i="28" s="1"/>
  <c r="CY88" i="28" a="1"/>
  <c r="CY88" i="28" s="1"/>
  <c r="CX88" i="28" a="1"/>
  <c r="CX88" i="28" s="1"/>
  <c r="CW88" i="28" a="1"/>
  <c r="CW88" i="28" s="1"/>
  <c r="CV88" i="28" a="1"/>
  <c r="CV88" i="28" s="1"/>
  <c r="CY87" i="28" a="1"/>
  <c r="CY87" i="28" s="1"/>
  <c r="CX87" i="28" a="1"/>
  <c r="CX87" i="28" s="1"/>
  <c r="CW87" i="28" a="1"/>
  <c r="CW87" i="28" s="1"/>
  <c r="CV87" i="28" a="1"/>
  <c r="CV87" i="28" s="1"/>
  <c r="CY86" i="28" a="1"/>
  <c r="CY86" i="28" s="1"/>
  <c r="CX86" i="28" a="1"/>
  <c r="CX86" i="28" s="1"/>
  <c r="CW86" i="28" a="1"/>
  <c r="CW86" i="28" s="1"/>
  <c r="CV86" i="28" a="1"/>
  <c r="CV86" i="28" s="1"/>
  <c r="CY85" i="28" a="1"/>
  <c r="CY85" i="28" s="1"/>
  <c r="CX85" i="28" a="1"/>
  <c r="CX85" i="28" s="1"/>
  <c r="CW85" i="28" a="1"/>
  <c r="CW85" i="28" s="1"/>
  <c r="CV85" i="28" a="1"/>
  <c r="CV85" i="28" s="1"/>
  <c r="CY84" i="28" a="1"/>
  <c r="CY84" i="28" s="1"/>
  <c r="CX84" i="28" a="1"/>
  <c r="CX84" i="28" s="1"/>
  <c r="CW84" i="28" a="1"/>
  <c r="CW84" i="28" s="1"/>
  <c r="CV84" i="28" a="1"/>
  <c r="CV84" i="28" s="1"/>
  <c r="CY83" i="28" a="1"/>
  <c r="CY83" i="28" s="1"/>
  <c r="CX83" i="28" a="1"/>
  <c r="CX83" i="28" s="1"/>
  <c r="CW83" i="28" a="1"/>
  <c r="CW83" i="28" s="1"/>
  <c r="CV83" i="28" a="1"/>
  <c r="CV83" i="28" s="1"/>
  <c r="CY82" i="28" a="1"/>
  <c r="CY82" i="28" s="1"/>
  <c r="CX82" i="28" a="1"/>
  <c r="CX82" i="28" s="1"/>
  <c r="CW82" i="28" a="1"/>
  <c r="CW82" i="28" s="1"/>
  <c r="CV82" i="28" a="1"/>
  <c r="CV82" i="28" s="1"/>
  <c r="CY81" i="28" a="1"/>
  <c r="CY81" i="28" s="1"/>
  <c r="CX81" i="28" a="1"/>
  <c r="CX81" i="28" s="1"/>
  <c r="CW81" i="28" a="1"/>
  <c r="CW81" i="28" s="1"/>
  <c r="CV81" i="28" a="1"/>
  <c r="CV81" i="28" s="1"/>
  <c r="CY80" i="28" a="1"/>
  <c r="CY80" i="28" s="1"/>
  <c r="CX80" i="28" a="1"/>
  <c r="CX80" i="28" s="1"/>
  <c r="CW80" i="28" a="1"/>
  <c r="CW80" i="28" s="1"/>
  <c r="CV80" i="28" a="1"/>
  <c r="CV80" i="28" s="1"/>
  <c r="CY79" i="28" a="1"/>
  <c r="CY79" i="28" s="1"/>
  <c r="CX79" i="28" a="1"/>
  <c r="CX79" i="28" s="1"/>
  <c r="CW79" i="28" a="1"/>
  <c r="CW79" i="28" s="1"/>
  <c r="CV79" i="28" a="1"/>
  <c r="CV79" i="28" s="1"/>
  <c r="CY78" i="28" a="1"/>
  <c r="CY78" i="28" s="1"/>
  <c r="CX78" i="28" a="1"/>
  <c r="CX78" i="28" s="1"/>
  <c r="CW78" i="28" a="1"/>
  <c r="CW78" i="28" s="1"/>
  <c r="CV78" i="28" a="1"/>
  <c r="CV78" i="28" s="1"/>
  <c r="CY77" i="28" a="1"/>
  <c r="CY77" i="28" s="1"/>
  <c r="CX77" i="28" a="1"/>
  <c r="CX77" i="28" s="1"/>
  <c r="CW77" i="28" a="1"/>
  <c r="CW77" i="28" s="1"/>
  <c r="CV77" i="28" a="1"/>
  <c r="CV77" i="28" s="1"/>
  <c r="CY76" i="28" a="1"/>
  <c r="CY76" i="28" s="1"/>
  <c r="CX76" i="28" a="1"/>
  <c r="CX76" i="28" s="1"/>
  <c r="CW76" i="28" a="1"/>
  <c r="CW76" i="28" s="1"/>
  <c r="CV76" i="28" a="1"/>
  <c r="CV76" i="28" s="1"/>
  <c r="CY75" i="28" a="1"/>
  <c r="CY75" i="28" s="1"/>
  <c r="CX75" i="28" a="1"/>
  <c r="CX75" i="28" s="1"/>
  <c r="CW75" i="28" a="1"/>
  <c r="CW75" i="28" s="1"/>
  <c r="CV75" i="28" a="1"/>
  <c r="CV75" i="28" s="1"/>
  <c r="CY74" i="28" a="1"/>
  <c r="CY74" i="28" s="1"/>
  <c r="CX74" i="28" a="1"/>
  <c r="CX74" i="28" s="1"/>
  <c r="CW74" i="28" a="1"/>
  <c r="CW74" i="28" s="1"/>
  <c r="CV74" i="28" a="1"/>
  <c r="CV74" i="28" s="1"/>
  <c r="CY73" i="28" a="1"/>
  <c r="CY73" i="28" s="1"/>
  <c r="CX73" i="28" a="1"/>
  <c r="CX73" i="28" s="1"/>
  <c r="CW73" i="28" a="1"/>
  <c r="CW73" i="28" s="1"/>
  <c r="CV73" i="28" a="1"/>
  <c r="CV73" i="28" s="1"/>
  <c r="CY72" i="28" a="1"/>
  <c r="CY72" i="28" s="1"/>
  <c r="CX72" i="28" a="1"/>
  <c r="CX72" i="28" s="1"/>
  <c r="CW72" i="28" a="1"/>
  <c r="CW72" i="28" s="1"/>
  <c r="CV72" i="28" a="1"/>
  <c r="CV72" i="28" s="1"/>
  <c r="CY71" i="28" a="1"/>
  <c r="CY71" i="28" s="1"/>
  <c r="CX71" i="28" a="1"/>
  <c r="CX71" i="28" s="1"/>
  <c r="CW71" i="28" a="1"/>
  <c r="CW71" i="28" s="1"/>
  <c r="CV71" i="28" a="1"/>
  <c r="CV71" i="28" s="1"/>
  <c r="CY70" i="28" a="1"/>
  <c r="CY70" i="28" s="1"/>
  <c r="CX70" i="28" a="1"/>
  <c r="CX70" i="28" s="1"/>
  <c r="CW70" i="28" a="1"/>
  <c r="CW70" i="28" s="1"/>
  <c r="CV70" i="28" a="1"/>
  <c r="CV70" i="28" s="1"/>
  <c r="CY69" i="28" a="1"/>
  <c r="CY69" i="28" s="1"/>
  <c r="CX69" i="28" a="1"/>
  <c r="CX69" i="28" s="1"/>
  <c r="CW69" i="28" a="1"/>
  <c r="CW69" i="28" s="1"/>
  <c r="CV69" i="28" a="1"/>
  <c r="CV69" i="28" s="1"/>
  <c r="CY68" i="28" a="1"/>
  <c r="CY68" i="28" s="1"/>
  <c r="CX68" i="28" a="1"/>
  <c r="CX68" i="28" s="1"/>
  <c r="CW68" i="28" a="1"/>
  <c r="CW68" i="28" s="1"/>
  <c r="CV68" i="28" a="1"/>
  <c r="CV68" i="28" s="1"/>
  <c r="CY67" i="28" a="1"/>
  <c r="CY67" i="28" s="1"/>
  <c r="CX67" i="28" a="1"/>
  <c r="CX67" i="28" s="1"/>
  <c r="CW67" i="28" a="1"/>
  <c r="CW67" i="28" s="1"/>
  <c r="CV67" i="28" a="1"/>
  <c r="CV67" i="28" s="1"/>
  <c r="CY66" i="28" a="1"/>
  <c r="CY66" i="28" s="1"/>
  <c r="CX66" i="28" a="1"/>
  <c r="CX66" i="28" s="1"/>
  <c r="CW66" i="28" a="1"/>
  <c r="CW66" i="28" s="1"/>
  <c r="CV66" i="28" a="1"/>
  <c r="CV66" i="28" s="1"/>
  <c r="CY65" i="28" a="1"/>
  <c r="CY65" i="28" s="1"/>
  <c r="CX65" i="28" a="1"/>
  <c r="CX65" i="28" s="1"/>
  <c r="CW65" i="28" a="1"/>
  <c r="CW65" i="28" s="1"/>
  <c r="CV65" i="28" a="1"/>
  <c r="CV65" i="28" s="1"/>
  <c r="CY64" i="28" a="1"/>
  <c r="CY64" i="28" s="1"/>
  <c r="CX64" i="28" a="1"/>
  <c r="CX64" i="28" s="1"/>
  <c r="CW64" i="28" a="1"/>
  <c r="CW64" i="28" s="1"/>
  <c r="CV64" i="28" a="1"/>
  <c r="CV64" i="28" s="1"/>
  <c r="CY63" i="28" a="1"/>
  <c r="CY63" i="28" s="1"/>
  <c r="CX63" i="28" a="1"/>
  <c r="CX63" i="28" s="1"/>
  <c r="CW63" i="28" a="1"/>
  <c r="CW63" i="28" s="1"/>
  <c r="CV63" i="28" a="1"/>
  <c r="CV63" i="28" s="1"/>
  <c r="CY62" i="28" a="1"/>
  <c r="CY62" i="28" s="1"/>
  <c r="CX62" i="28" a="1"/>
  <c r="CX62" i="28" s="1"/>
  <c r="CW62" i="28" a="1"/>
  <c r="CW62" i="28" s="1"/>
  <c r="CV62" i="28" a="1"/>
  <c r="CV62" i="28" s="1"/>
  <c r="CY61" i="28" a="1"/>
  <c r="CY61" i="28" s="1"/>
  <c r="CX61" i="28" a="1"/>
  <c r="CX61" i="28" s="1"/>
  <c r="CW61" i="28" a="1"/>
  <c r="CW61" i="28" s="1"/>
  <c r="CV61" i="28" a="1"/>
  <c r="CV61" i="28" s="1"/>
  <c r="CY60" i="28" a="1"/>
  <c r="CY60" i="28" s="1"/>
  <c r="CX60" i="28" a="1"/>
  <c r="CX60" i="28" s="1"/>
  <c r="CW60" i="28" a="1"/>
  <c r="CW60" i="28" s="1"/>
  <c r="CV60" i="28" a="1"/>
  <c r="CV60" i="28" s="1"/>
  <c r="CY59" i="28" a="1"/>
  <c r="CY59" i="28" s="1"/>
  <c r="CX59" i="28" a="1"/>
  <c r="CX59" i="28" s="1"/>
  <c r="CW59" i="28" a="1"/>
  <c r="CW59" i="28" s="1"/>
  <c r="CV59" i="28" a="1"/>
  <c r="CV59" i="28" s="1"/>
  <c r="CY58" i="28" a="1"/>
  <c r="CY58" i="28" s="1"/>
  <c r="CX58" i="28" a="1"/>
  <c r="CX58" i="28" s="1"/>
  <c r="CW58" i="28" a="1"/>
  <c r="CW58" i="28" s="1"/>
  <c r="CV58" i="28" a="1"/>
  <c r="CV58" i="28" s="1"/>
  <c r="CY57" i="28" a="1"/>
  <c r="CY57" i="28" s="1"/>
  <c r="CX57" i="28" a="1"/>
  <c r="CX57" i="28" s="1"/>
  <c r="CW57" i="28" a="1"/>
  <c r="CW57" i="28" s="1"/>
  <c r="CV57" i="28" a="1"/>
  <c r="CV57" i="28" s="1"/>
  <c r="CY56" i="28" a="1"/>
  <c r="CY56" i="28" s="1"/>
  <c r="CX56" i="28" a="1"/>
  <c r="CX56" i="28" s="1"/>
  <c r="CW56" i="28" a="1"/>
  <c r="CW56" i="28" s="1"/>
  <c r="CV56" i="28" a="1"/>
  <c r="CV56" i="28" s="1"/>
  <c r="CY55" i="28" a="1"/>
  <c r="CY55" i="28" s="1"/>
  <c r="CX55" i="28" a="1"/>
  <c r="CX55" i="28" s="1"/>
  <c r="CW55" i="28" a="1"/>
  <c r="CW55" i="28" s="1"/>
  <c r="CV55" i="28" a="1"/>
  <c r="CV55" i="28" s="1"/>
  <c r="CY54" i="28" a="1"/>
  <c r="CY54" i="28" s="1"/>
  <c r="CX54" i="28" a="1"/>
  <c r="CX54" i="28" s="1"/>
  <c r="CW54" i="28" a="1"/>
  <c r="CW54" i="28" s="1"/>
  <c r="CV54" i="28" a="1"/>
  <c r="CV54" i="28" s="1"/>
  <c r="CY53" i="28" a="1"/>
  <c r="CY53" i="28" s="1"/>
  <c r="CX53" i="28" a="1"/>
  <c r="CX53" i="28" s="1"/>
  <c r="CW53" i="28" a="1"/>
  <c r="CW53" i="28" s="1"/>
  <c r="CV53" i="28" a="1"/>
  <c r="CV53" i="28" s="1"/>
  <c r="CY52" i="28" a="1"/>
  <c r="CY52" i="28" s="1"/>
  <c r="CX52" i="28" a="1"/>
  <c r="CX52" i="28" s="1"/>
  <c r="CW52" i="28" a="1"/>
  <c r="CW52" i="28" s="1"/>
  <c r="CV52" i="28" a="1"/>
  <c r="CV52" i="28" s="1"/>
  <c r="CY51" i="28" a="1"/>
  <c r="CY51" i="28" s="1"/>
  <c r="CX51" i="28" a="1"/>
  <c r="CX51" i="28" s="1"/>
  <c r="CW51" i="28" a="1"/>
  <c r="CW51" i="28" s="1"/>
  <c r="CV51" i="28" a="1"/>
  <c r="CV51" i="28" s="1"/>
  <c r="CY50" i="28" a="1"/>
  <c r="CY50" i="28" s="1"/>
  <c r="CX50" i="28" a="1"/>
  <c r="CX50" i="28" s="1"/>
  <c r="CW50" i="28" a="1"/>
  <c r="CW50" i="28" s="1"/>
  <c r="CV50" i="28" a="1"/>
  <c r="CV50" i="28" s="1"/>
  <c r="CY49" i="28" a="1"/>
  <c r="CY49" i="28" s="1"/>
  <c r="CX49" i="28" a="1"/>
  <c r="CX49" i="28" s="1"/>
  <c r="CW49" i="28" a="1"/>
  <c r="CW49" i="28" s="1"/>
  <c r="CV49" i="28" a="1"/>
  <c r="CV49" i="28" s="1"/>
  <c r="CY48" i="28" a="1"/>
  <c r="CY48" i="28" s="1"/>
  <c r="CX48" i="28" a="1"/>
  <c r="CX48" i="28" s="1"/>
  <c r="CW48" i="28" a="1"/>
  <c r="CW48" i="28" s="1"/>
  <c r="CV48" i="28" a="1"/>
  <c r="CV48" i="28" s="1"/>
  <c r="CY47" i="28" a="1"/>
  <c r="CY47" i="28" s="1"/>
  <c r="CX47" i="28" a="1"/>
  <c r="CX47" i="28" s="1"/>
  <c r="CW47" i="28" a="1"/>
  <c r="CW47" i="28" s="1"/>
  <c r="CV47" i="28" a="1"/>
  <c r="CV47" i="28" s="1"/>
  <c r="CY46" i="28" a="1"/>
  <c r="CY46" i="28" s="1"/>
  <c r="CX46" i="28" a="1"/>
  <c r="CX46" i="28" s="1"/>
  <c r="CW46" i="28" a="1"/>
  <c r="CW46" i="28" s="1"/>
  <c r="CV46" i="28" a="1"/>
  <c r="CV46" i="28" s="1"/>
  <c r="CY45" i="28" a="1"/>
  <c r="CY45" i="28" s="1"/>
  <c r="CX45" i="28" a="1"/>
  <c r="CX45" i="28" s="1"/>
  <c r="CW45" i="28" a="1"/>
  <c r="CW45" i="28" s="1"/>
  <c r="CV45" i="28" a="1"/>
  <c r="CV45" i="28" s="1"/>
  <c r="CY44" i="28" a="1"/>
  <c r="CY44" i="28" s="1"/>
  <c r="CX44" i="28" a="1"/>
  <c r="CX44" i="28" s="1"/>
  <c r="CW44" i="28" a="1"/>
  <c r="CW44" i="28" s="1"/>
  <c r="CV44" i="28" a="1"/>
  <c r="CV44" i="28" s="1"/>
  <c r="CY43" i="28" a="1"/>
  <c r="CY43" i="28" s="1"/>
  <c r="CX43" i="28" a="1"/>
  <c r="CX43" i="28" s="1"/>
  <c r="CW43" i="28" a="1"/>
  <c r="CW43" i="28" s="1"/>
  <c r="CV43" i="28" a="1"/>
  <c r="CV43" i="28" s="1"/>
  <c r="CY42" i="28" a="1"/>
  <c r="CY42" i="28" s="1"/>
  <c r="CX42" i="28" a="1"/>
  <c r="CX42" i="28" s="1"/>
  <c r="CW42" i="28" a="1"/>
  <c r="CW42" i="28" s="1"/>
  <c r="CV42" i="28" a="1"/>
  <c r="CV42" i="28" s="1"/>
  <c r="CY41" i="28" a="1"/>
  <c r="CY41" i="28" s="1"/>
  <c r="CX41" i="28" a="1"/>
  <c r="CX41" i="28" s="1"/>
  <c r="CW41" i="28" a="1"/>
  <c r="CW41" i="28" s="1"/>
  <c r="CV41" i="28" a="1"/>
  <c r="CV41" i="28" s="1"/>
  <c r="CY40" i="28" a="1"/>
  <c r="CY40" i="28" s="1"/>
  <c r="CX40" i="28" a="1"/>
  <c r="CX40" i="28" s="1"/>
  <c r="CW40" i="28" a="1"/>
  <c r="CW40" i="28" s="1"/>
  <c r="CV40" i="28" a="1"/>
  <c r="CV40" i="28" s="1"/>
  <c r="CY39" i="28" a="1"/>
  <c r="CY39" i="28" s="1"/>
  <c r="CX39" i="28" a="1"/>
  <c r="CX39" i="28" s="1"/>
  <c r="CW39" i="28" a="1"/>
  <c r="CW39" i="28" s="1"/>
  <c r="CV39" i="28" a="1"/>
  <c r="CV39" i="28" s="1"/>
  <c r="CY38" i="28" a="1"/>
  <c r="CY38" i="28" s="1"/>
  <c r="CX38" i="28" a="1"/>
  <c r="CX38" i="28" s="1"/>
  <c r="CW38" i="28" a="1"/>
  <c r="CW38" i="28" s="1"/>
  <c r="CV38" i="28" a="1"/>
  <c r="CV38" i="28" s="1"/>
  <c r="CY37" i="28" a="1"/>
  <c r="CY37" i="28" s="1"/>
  <c r="CX37" i="28" a="1"/>
  <c r="CX37" i="28" s="1"/>
  <c r="CW37" i="28" a="1"/>
  <c r="CW37" i="28" s="1"/>
  <c r="CV37" i="28" a="1"/>
  <c r="CV37" i="28" s="1"/>
  <c r="CY36" i="28" a="1"/>
  <c r="CY36" i="28" s="1"/>
  <c r="CX36" i="28" a="1"/>
  <c r="CX36" i="28" s="1"/>
  <c r="CW36" i="28" a="1"/>
  <c r="CW36" i="28" s="1"/>
  <c r="CV36" i="28" a="1"/>
  <c r="CV36" i="28" s="1"/>
  <c r="CY35" i="28" a="1"/>
  <c r="CY35" i="28" s="1"/>
  <c r="CX35" i="28" a="1"/>
  <c r="CX35" i="28" s="1"/>
  <c r="CW35" i="28" a="1"/>
  <c r="CW35" i="28" s="1"/>
  <c r="CV35" i="28" a="1"/>
  <c r="CV35" i="28" s="1"/>
  <c r="CY34" i="28" a="1"/>
  <c r="CY34" i="28" s="1"/>
  <c r="CX34" i="28" a="1"/>
  <c r="CX34" i="28" s="1"/>
  <c r="CW34" i="28" a="1"/>
  <c r="CW34" i="28" s="1"/>
  <c r="CV34" i="28" a="1"/>
  <c r="CV34" i="28" s="1"/>
  <c r="CY33" i="28" a="1"/>
  <c r="CY33" i="28" s="1"/>
  <c r="CX33" i="28" a="1"/>
  <c r="CX33" i="28" s="1"/>
  <c r="CW33" i="28" a="1"/>
  <c r="CW33" i="28" s="1"/>
  <c r="CV33" i="28" a="1"/>
  <c r="CV33" i="28" s="1"/>
  <c r="CY32" i="28" a="1"/>
  <c r="CY32" i="28" s="1"/>
  <c r="CX32" i="28" a="1"/>
  <c r="CX32" i="28" s="1"/>
  <c r="CW32" i="28" a="1"/>
  <c r="CW32" i="28" s="1"/>
  <c r="CV32" i="28" a="1"/>
  <c r="CV32" i="28" s="1"/>
  <c r="CY31" i="28" a="1"/>
  <c r="CY31" i="28" s="1"/>
  <c r="CX31" i="28" a="1"/>
  <c r="CX31" i="28" s="1"/>
  <c r="CW31" i="28" a="1"/>
  <c r="CW31" i="28" s="1"/>
  <c r="CV31" i="28" a="1"/>
  <c r="CV31" i="28" s="1"/>
  <c r="CY30" i="28" a="1"/>
  <c r="CY30" i="28" s="1"/>
  <c r="CX30" i="28" a="1"/>
  <c r="CX30" i="28" s="1"/>
  <c r="CW30" i="28" a="1"/>
  <c r="CW30" i="28" s="1"/>
  <c r="CV30" i="28" a="1"/>
  <c r="CV30" i="28" s="1"/>
  <c r="CY29" i="28" a="1"/>
  <c r="CY29" i="28" s="1"/>
  <c r="CX29" i="28" a="1"/>
  <c r="CX29" i="28" s="1"/>
  <c r="CW29" i="28" a="1"/>
  <c r="CW29" i="28" s="1"/>
  <c r="CV29" i="28" a="1"/>
  <c r="CV29" i="28" s="1"/>
  <c r="CY28" i="28" a="1"/>
  <c r="CY28" i="28" s="1"/>
  <c r="CX28" i="28" a="1"/>
  <c r="CX28" i="28" s="1"/>
  <c r="CW28" i="28" a="1"/>
  <c r="CW28" i="28" s="1"/>
  <c r="CV28" i="28" a="1"/>
  <c r="CV28" i="28" s="1"/>
  <c r="CY27" i="28" a="1"/>
  <c r="CY27" i="28" s="1"/>
  <c r="CX27" i="28" a="1"/>
  <c r="CX27" i="28" s="1"/>
  <c r="CW27" i="28" a="1"/>
  <c r="CW27" i="28" s="1"/>
  <c r="CV27" i="28" a="1"/>
  <c r="CV27" i="28" s="1"/>
  <c r="CY26" i="28" a="1"/>
  <c r="CY26" i="28" s="1"/>
  <c r="CX26" i="28" a="1"/>
  <c r="CX26" i="28" s="1"/>
  <c r="CW26" i="28" a="1"/>
  <c r="CW26" i="28" s="1"/>
  <c r="CV26" i="28" a="1"/>
  <c r="CV26" i="28" s="1"/>
  <c r="CY25" i="28" a="1"/>
  <c r="CY25" i="28" s="1"/>
  <c r="CX25" i="28" a="1"/>
  <c r="CX25" i="28" s="1"/>
  <c r="CW25" i="28" a="1"/>
  <c r="CW25" i="28" s="1"/>
  <c r="CV25" i="28" a="1"/>
  <c r="CV25" i="28" s="1"/>
  <c r="CY24" i="28" a="1"/>
  <c r="CY24" i="28" s="1"/>
  <c r="CX24" i="28" a="1"/>
  <c r="CX24" i="28" s="1"/>
  <c r="CW24" i="28" a="1"/>
  <c r="CW24" i="28" s="1"/>
  <c r="CV24" i="28" a="1"/>
  <c r="CV24" i="28" s="1"/>
  <c r="CY23" i="28" a="1"/>
  <c r="CY23" i="28" s="1"/>
  <c r="CX23" i="28" a="1"/>
  <c r="CX23" i="28" s="1"/>
  <c r="CW23" i="28" a="1"/>
  <c r="CW23" i="28" s="1"/>
  <c r="CV23" i="28" a="1"/>
  <c r="CV23" i="28" s="1"/>
  <c r="CY22" i="28" a="1"/>
  <c r="CY22" i="28" s="1"/>
  <c r="CX22" i="28" a="1"/>
  <c r="CX22" i="28" s="1"/>
  <c r="CW22" i="28" a="1"/>
  <c r="CW22" i="28" s="1"/>
  <c r="CV22" i="28" a="1"/>
  <c r="CV22" i="28" s="1"/>
  <c r="CY21" i="28" a="1"/>
  <c r="CY21" i="28" s="1"/>
  <c r="CX21" i="28" a="1"/>
  <c r="CX21" i="28" s="1"/>
  <c r="CW21" i="28" a="1"/>
  <c r="CW21" i="28" s="1"/>
  <c r="CV21" i="28" a="1"/>
  <c r="CV21" i="28" s="1"/>
  <c r="CY20" i="28" a="1"/>
  <c r="CY20" i="28" s="1"/>
  <c r="CX20" i="28" a="1"/>
  <c r="CX20" i="28" s="1"/>
  <c r="CW20" i="28" a="1"/>
  <c r="CW20" i="28" s="1"/>
  <c r="CV20" i="28" a="1"/>
  <c r="CV20" i="28" s="1"/>
  <c r="CY19" i="28" a="1"/>
  <c r="CY19" i="28" s="1"/>
  <c r="CX19" i="28" a="1"/>
  <c r="CX19" i="28" s="1"/>
  <c r="CW19" i="28" a="1"/>
  <c r="CW19" i="28" s="1"/>
  <c r="CV19" i="28" a="1"/>
  <c r="CV19" i="28" s="1"/>
  <c r="CY18" i="28" a="1"/>
  <c r="CY18" i="28" s="1"/>
  <c r="CX18" i="28" a="1"/>
  <c r="CX18" i="28" s="1"/>
  <c r="CW18" i="28" a="1"/>
  <c r="CW18" i="28" s="1"/>
  <c r="CV18" i="28" a="1"/>
  <c r="CV18" i="28" s="1"/>
  <c r="CY17" i="28" a="1"/>
  <c r="CY17" i="28" s="1"/>
  <c r="CX17" i="28" a="1"/>
  <c r="CX17" i="28" s="1"/>
  <c r="CW17" i="28" a="1"/>
  <c r="CW17" i="28" s="1"/>
  <c r="CV17" i="28" a="1"/>
  <c r="CV17" i="28" s="1"/>
  <c r="CY16" i="28" a="1"/>
  <c r="CY16" i="28" s="1"/>
  <c r="CX16" i="28" a="1"/>
  <c r="CX16" i="28" s="1"/>
  <c r="CW16" i="28" a="1"/>
  <c r="CW16" i="28" s="1"/>
  <c r="CV16" i="28" a="1"/>
  <c r="CV16" i="28" s="1"/>
  <c r="CY15" i="28" a="1"/>
  <c r="CY15" i="28" s="1"/>
  <c r="CX15" i="28" a="1"/>
  <c r="CX15" i="28" s="1"/>
  <c r="CW15" i="28" a="1"/>
  <c r="CW15" i="28" s="1"/>
  <c r="CV15" i="28" a="1"/>
  <c r="CV15" i="28" s="1"/>
  <c r="CY14" i="28" a="1"/>
  <c r="CY14" i="28" s="1"/>
  <c r="CX14" i="28" a="1"/>
  <c r="CX14" i="28" s="1"/>
  <c r="CW14" i="28" a="1"/>
  <c r="CW14" i="28" s="1"/>
  <c r="CV14" i="28" a="1"/>
  <c r="CV14" i="28" s="1"/>
  <c r="CY13" i="28" a="1"/>
  <c r="CY13" i="28" s="1"/>
  <c r="CX13" i="28" a="1"/>
  <c r="CX13" i="28" s="1"/>
  <c r="CV13" i="28" a="1"/>
  <c r="CV13" i="28" s="1"/>
  <c r="CY12" i="28" a="1"/>
  <c r="CY12" i="28" s="1"/>
  <c r="CX12" i="28" a="1"/>
  <c r="CX12" i="28" s="1"/>
  <c r="CW12" i="28" a="1"/>
  <c r="CW12" i="28" s="1"/>
  <c r="CV12" i="28" a="1"/>
  <c r="CV12" i="28" s="1"/>
  <c r="CY11" i="28" a="1"/>
  <c r="CY11" i="28" s="1"/>
  <c r="CX11" i="28" a="1"/>
  <c r="CX11" i="28" s="1"/>
  <c r="CW11" i="28" a="1"/>
  <c r="CW11" i="28" s="1"/>
  <c r="CV11" i="28" a="1"/>
  <c r="CV11" i="28" s="1"/>
  <c r="V203" i="31" l="1"/>
  <c r="D206" i="31"/>
  <c r="AC206" i="31" s="1"/>
  <c r="T203" i="31"/>
  <c r="U203" i="31"/>
  <c r="D36" i="34" a="1"/>
  <c r="H179" i="31"/>
  <c r="P179" i="31"/>
  <c r="K227" i="31"/>
  <c r="K226" i="31" s="1"/>
  <c r="G179" i="31"/>
  <c r="O179" i="31"/>
  <c r="J227" i="31"/>
  <c r="J226" i="31" s="1"/>
  <c r="I179" i="31"/>
  <c r="AA179" i="31"/>
  <c r="D227" i="31"/>
  <c r="L227" i="31"/>
  <c r="L226" i="31" s="1"/>
  <c r="Q179" i="31"/>
  <c r="Q178" i="31" s="1"/>
  <c r="Q174" i="31" s="1"/>
  <c r="J179" i="31"/>
  <c r="E227" i="31"/>
  <c r="E226" i="31" s="1"/>
  <c r="M227" i="31"/>
  <c r="M226" i="31" s="1"/>
  <c r="Q227" i="31"/>
  <c r="Q226" i="31" s="1"/>
  <c r="K179" i="31"/>
  <c r="F227" i="31"/>
  <c r="F226" i="31" s="1"/>
  <c r="N227" i="31"/>
  <c r="N226" i="31" s="1"/>
  <c r="D179" i="31"/>
  <c r="L179" i="31"/>
  <c r="G227" i="31"/>
  <c r="G226" i="31" s="1"/>
  <c r="O227" i="31"/>
  <c r="O226" i="31" s="1"/>
  <c r="E179" i="31"/>
  <c r="M179" i="31"/>
  <c r="H227" i="31"/>
  <c r="H226" i="31" s="1"/>
  <c r="P227" i="31"/>
  <c r="P226" i="31" s="1"/>
  <c r="F179" i="31"/>
  <c r="N179" i="31"/>
  <c r="I227" i="31"/>
  <c r="I226" i="31" s="1"/>
  <c r="AA227" i="31"/>
  <c r="AA226" i="31" s="1"/>
  <c r="AA2" i="30"/>
  <c r="BM2" i="30"/>
  <c r="AE2" i="30"/>
  <c r="L34" i="33"/>
  <c r="L33" i="33" s="1"/>
  <c r="L32" i="33" s="1"/>
  <c r="I34" i="33"/>
  <c r="I33" i="33" s="1"/>
  <c r="I32" i="33" s="1"/>
  <c r="F34" i="33"/>
  <c r="F33" i="33" s="1"/>
  <c r="F32" i="33" s="1"/>
  <c r="I81" i="30"/>
  <c r="I82" i="30" s="1"/>
  <c r="I83" i="30" s="1"/>
  <c r="I84" i="30" s="1"/>
  <c r="I85" i="30" s="1"/>
  <c r="I86" i="30" s="1"/>
  <c r="I87" i="30" s="1"/>
  <c r="I88" i="30" s="1"/>
  <c r="I89" i="30" s="1"/>
  <c r="I90" i="30" s="1"/>
  <c r="I91" i="30" s="1"/>
  <c r="I92" i="30" s="1"/>
  <c r="I93" i="30" s="1"/>
  <c r="I94" i="30" s="1"/>
  <c r="I95" i="30" s="1"/>
  <c r="I96" i="30" s="1"/>
  <c r="I97" i="30" s="1"/>
  <c r="I98" i="30" s="1"/>
  <c r="Q106" i="31"/>
  <c r="Q69" i="31"/>
  <c r="Q129" i="31"/>
  <c r="Q79" i="31"/>
  <c r="Q156" i="31"/>
  <c r="Q83" i="31"/>
  <c r="AM2" i="30" l="1"/>
  <c r="AU2" i="30"/>
  <c r="AW2" i="30"/>
  <c r="AY2" i="30"/>
  <c r="AG2" i="30"/>
  <c r="U2" i="30"/>
  <c r="Y2" i="30"/>
  <c r="AC2" i="30"/>
  <c r="AK2" i="30"/>
  <c r="AO2" i="30"/>
  <c r="AS2" i="30"/>
  <c r="BA2" i="30"/>
  <c r="BE2" i="30"/>
  <c r="BI2" i="30"/>
  <c r="AI2" i="30"/>
  <c r="W2" i="30"/>
  <c r="AQ2" i="30"/>
  <c r="BG2" i="30"/>
  <c r="BO2" i="30"/>
  <c r="BC2" i="30"/>
  <c r="BK2" i="30"/>
  <c r="D226" i="31"/>
  <c r="AC226" i="31" s="1"/>
  <c r="AC227" i="31"/>
  <c r="AC179" i="31"/>
  <c r="U35" i="34"/>
  <c r="U34" i="34" s="1"/>
  <c r="U33" i="34" s="1"/>
  <c r="V35" i="34"/>
  <c r="V34" i="34" s="1"/>
  <c r="V33" i="34" s="1"/>
  <c r="Q173" i="31" a="1"/>
  <c r="Q173" i="31" s="1"/>
  <c r="Q33" i="31" s="1"/>
  <c r="S35" i="34"/>
  <c r="S34" i="34" s="1"/>
  <c r="S33" i="34" s="1"/>
  <c r="T35" i="34"/>
  <c r="T34" i="34" s="1"/>
  <c r="T33" i="34" s="1"/>
  <c r="AA203" i="31"/>
  <c r="S203" i="31"/>
  <c r="O203" i="31"/>
  <c r="K203" i="31"/>
  <c r="H203" i="31"/>
  <c r="H34" i="33"/>
  <c r="H33" i="33" s="1"/>
  <c r="H32" i="33" s="1"/>
  <c r="L203" i="31"/>
  <c r="P203" i="31"/>
  <c r="G203" i="31"/>
  <c r="E203" i="31"/>
  <c r="I203" i="31"/>
  <c r="M203" i="31"/>
  <c r="Q203" i="31"/>
  <c r="F203" i="31"/>
  <c r="J203" i="31"/>
  <c r="N203" i="31"/>
  <c r="D203" i="31"/>
  <c r="R203" i="31"/>
  <c r="D36" i="34"/>
  <c r="AC36" i="34" s="1"/>
  <c r="R35" i="34"/>
  <c r="R34" i="34" s="1"/>
  <c r="R33" i="34" s="1"/>
  <c r="AE169" i="31"/>
  <c r="C2" i="30"/>
  <c r="AC203" i="31" l="1"/>
  <c r="AE36" i="34"/>
  <c r="O35" i="33"/>
  <c r="O34" i="33"/>
  <c r="M13" i="3"/>
  <c r="H15" i="5"/>
  <c r="I15" i="5" s="1"/>
  <c r="X6" i="5"/>
  <c r="W6" i="5"/>
  <c r="V6" i="5"/>
  <c r="U6" i="5"/>
  <c r="T6" i="5"/>
  <c r="C12" i="5" s="1"/>
  <c r="X10" i="5"/>
  <c r="W10" i="5"/>
  <c r="V10" i="5"/>
  <c r="U10" i="5"/>
  <c r="T10" i="5"/>
  <c r="C28" i="5" s="1"/>
  <c r="H31" i="5"/>
  <c r="I31" i="5" s="1"/>
  <c r="A1" i="3"/>
  <c r="BY9" i="28"/>
  <c r="CA9" i="28"/>
  <c r="BW9" i="28"/>
  <c r="BZ9" i="28"/>
  <c r="B64" i="28"/>
  <c r="N64" i="28"/>
  <c r="Z64" i="28"/>
  <c r="AJ64" i="28"/>
  <c r="AV64" i="28"/>
  <c r="BH64" i="28"/>
  <c r="BJ64" i="28"/>
  <c r="BR64" i="28"/>
  <c r="CB64" i="28"/>
  <c r="CN64" i="28"/>
  <c r="BV8" i="28"/>
  <c r="AD8" i="28"/>
  <c r="Z122" i="28"/>
  <c r="Z121" i="28"/>
  <c r="Z120" i="28"/>
  <c r="Z119" i="28"/>
  <c r="Z118" i="28"/>
  <c r="Z117" i="28"/>
  <c r="Z116" i="28"/>
  <c r="Z115" i="28"/>
  <c r="Z114" i="28"/>
  <c r="Z113" i="28"/>
  <c r="Z112" i="28"/>
  <c r="Z111" i="28"/>
  <c r="Z110" i="28"/>
  <c r="Z109" i="28"/>
  <c r="Z108" i="28"/>
  <c r="Z107" i="28"/>
  <c r="Z106" i="28"/>
  <c r="Z105" i="28"/>
  <c r="Z104" i="28"/>
  <c r="Z103" i="28"/>
  <c r="Z102" i="28"/>
  <c r="Z101" i="28"/>
  <c r="Z100" i="28"/>
  <c r="Z99" i="28"/>
  <c r="Z98" i="28"/>
  <c r="Z97" i="28"/>
  <c r="Z96" i="28"/>
  <c r="Z95" i="28"/>
  <c r="Z94" i="28"/>
  <c r="Z93" i="28"/>
  <c r="Z92" i="28"/>
  <c r="Z91" i="28"/>
  <c r="Z90" i="28"/>
  <c r="Z89" i="28"/>
  <c r="Z88" i="28"/>
  <c r="Z87" i="28"/>
  <c r="Z86" i="28"/>
  <c r="Z85" i="28"/>
  <c r="Z84" i="28"/>
  <c r="Z83" i="28"/>
  <c r="Z82" i="28"/>
  <c r="Z81" i="28"/>
  <c r="Z80" i="28"/>
  <c r="Z79" i="28"/>
  <c r="Z78" i="28"/>
  <c r="Z77" i="28"/>
  <c r="Z76" i="28"/>
  <c r="Z75" i="28"/>
  <c r="Z74" i="28"/>
  <c r="Z73" i="28"/>
  <c r="Z72" i="28"/>
  <c r="Z71" i="28"/>
  <c r="Z70" i="28"/>
  <c r="Z69" i="28"/>
  <c r="Z68" i="28"/>
  <c r="Z67" i="28"/>
  <c r="Z66" i="28"/>
  <c r="Z65" i="28"/>
  <c r="Z63" i="28"/>
  <c r="Z62" i="28"/>
  <c r="Z61" i="28"/>
  <c r="Z60" i="28"/>
  <c r="Z59" i="28"/>
  <c r="Z58" i="28"/>
  <c r="Z57" i="28"/>
  <c r="Z56" i="28"/>
  <c r="Z55" i="28"/>
  <c r="Z54" i="28"/>
  <c r="Z53" i="28"/>
  <c r="Z52" i="28"/>
  <c r="Z51" i="28"/>
  <c r="Z50" i="28"/>
  <c r="Z49" i="28"/>
  <c r="Z48" i="28"/>
  <c r="Z47" i="28"/>
  <c r="Z46" i="28"/>
  <c r="Z45" i="28"/>
  <c r="Z44" i="28"/>
  <c r="Z43" i="28"/>
  <c r="Z42" i="28"/>
  <c r="Z41" i="28"/>
  <c r="Z40" i="28"/>
  <c r="Z39" i="28"/>
  <c r="Z38" i="28"/>
  <c r="Z37" i="28"/>
  <c r="Z36" i="28"/>
  <c r="Z35" i="28"/>
  <c r="Z34" i="28"/>
  <c r="Z33" i="28"/>
  <c r="Z32" i="28"/>
  <c r="Z31" i="28"/>
  <c r="Z30" i="28"/>
  <c r="Z29" i="28"/>
  <c r="Z28" i="28"/>
  <c r="Z27" i="28"/>
  <c r="Z26" i="28"/>
  <c r="Z25" i="28"/>
  <c r="Z24" i="28"/>
  <c r="Z23" i="28"/>
  <c r="Z22" i="28"/>
  <c r="Z21" i="28"/>
  <c r="Z20" i="28"/>
  <c r="Z19" i="28"/>
  <c r="Z18" i="28"/>
  <c r="Z17" i="28"/>
  <c r="Z16" i="28"/>
  <c r="Z15" i="28"/>
  <c r="Z14" i="28"/>
  <c r="Z13" i="28"/>
  <c r="Z12" i="28"/>
  <c r="Z11" i="28"/>
  <c r="Z10" i="28"/>
  <c r="AD9" i="28"/>
  <c r="AB3" i="28"/>
  <c r="J6" i="3" s="1"/>
  <c r="AB2" i="28" a="1"/>
  <c r="AB2" i="28" s="1"/>
  <c r="K6" i="3" s="1"/>
  <c r="BR122" i="28"/>
  <c r="BR121" i="28"/>
  <c r="BR120" i="28"/>
  <c r="BR119" i="28"/>
  <c r="BR118" i="28"/>
  <c r="BR117" i="28"/>
  <c r="BR116" i="28"/>
  <c r="BR115" i="28"/>
  <c r="BR114" i="28"/>
  <c r="BR113" i="28"/>
  <c r="BR112" i="28"/>
  <c r="BR111" i="28"/>
  <c r="BR110" i="28"/>
  <c r="BR109" i="28"/>
  <c r="BR108" i="28"/>
  <c r="BR107" i="28"/>
  <c r="BR106" i="28"/>
  <c r="BR105" i="28"/>
  <c r="BR104" i="28"/>
  <c r="BR103" i="28"/>
  <c r="BR102" i="28"/>
  <c r="BR101" i="28"/>
  <c r="BR100" i="28"/>
  <c r="BR99" i="28"/>
  <c r="BR98" i="28"/>
  <c r="BR97" i="28"/>
  <c r="BR96" i="28"/>
  <c r="BR95" i="28"/>
  <c r="BR94" i="28"/>
  <c r="BR93" i="28"/>
  <c r="BR92" i="28"/>
  <c r="BR91" i="28"/>
  <c r="BR90" i="28"/>
  <c r="BR89" i="28"/>
  <c r="BR88" i="28"/>
  <c r="BR87" i="28"/>
  <c r="BR86" i="28"/>
  <c r="BR85" i="28"/>
  <c r="BR84" i="28"/>
  <c r="BR83" i="28"/>
  <c r="BR82" i="28"/>
  <c r="BR81" i="28"/>
  <c r="BR80" i="28"/>
  <c r="BR79" i="28"/>
  <c r="BR78" i="28"/>
  <c r="BR77" i="28"/>
  <c r="BR76" i="28"/>
  <c r="BR75" i="28"/>
  <c r="BR74" i="28"/>
  <c r="BR73" i="28"/>
  <c r="BR72" i="28"/>
  <c r="BR71" i="28"/>
  <c r="BR70" i="28"/>
  <c r="BR69" i="28"/>
  <c r="BR68" i="28"/>
  <c r="BR67" i="28"/>
  <c r="BR66" i="28"/>
  <c r="BR65" i="28"/>
  <c r="BR63" i="28"/>
  <c r="BR62" i="28"/>
  <c r="BR61" i="28"/>
  <c r="BR60" i="28"/>
  <c r="BR59" i="28"/>
  <c r="BR58" i="28"/>
  <c r="BR57" i="28"/>
  <c r="BR56" i="28"/>
  <c r="BR55" i="28"/>
  <c r="BR54" i="28"/>
  <c r="BR53" i="28"/>
  <c r="BR52" i="28"/>
  <c r="BR51" i="28"/>
  <c r="BR50" i="28"/>
  <c r="BR49" i="28"/>
  <c r="BR48" i="28"/>
  <c r="BR47" i="28"/>
  <c r="BR46" i="28"/>
  <c r="BR45" i="28"/>
  <c r="BR44" i="28"/>
  <c r="BR43" i="28"/>
  <c r="BR42" i="28"/>
  <c r="BR41" i="28"/>
  <c r="BR40" i="28"/>
  <c r="BR39" i="28"/>
  <c r="BR38" i="28"/>
  <c r="BR37" i="28"/>
  <c r="BR36" i="28"/>
  <c r="BR35" i="28"/>
  <c r="BR34" i="28"/>
  <c r="BR33" i="28"/>
  <c r="BR32" i="28"/>
  <c r="BR31" i="28"/>
  <c r="BR30" i="28"/>
  <c r="BR29" i="28"/>
  <c r="BR28" i="28"/>
  <c r="BR27" i="28"/>
  <c r="BR26" i="28"/>
  <c r="BR25" i="28"/>
  <c r="BR24" i="28"/>
  <c r="BR23" i="28"/>
  <c r="BR22" i="28"/>
  <c r="BR21" i="28"/>
  <c r="BR20" i="28"/>
  <c r="BR19" i="28"/>
  <c r="BR18" i="28"/>
  <c r="BR17" i="28"/>
  <c r="BR16" i="28"/>
  <c r="BR15" i="28"/>
  <c r="BR14" i="28"/>
  <c r="BR13" i="28"/>
  <c r="BR12" i="28"/>
  <c r="BR11" i="28"/>
  <c r="BR10" i="28"/>
  <c r="BV9" i="28"/>
  <c r="BT3" i="28"/>
  <c r="J10" i="3" s="1"/>
  <c r="BT2" i="28" a="1"/>
  <c r="BT2" i="28" s="1"/>
  <c r="K10" i="3" s="1"/>
  <c r="D12" i="5" l="1"/>
  <c r="F28" i="5"/>
  <c r="F12" i="5"/>
  <c r="D28" i="5"/>
  <c r="O33" i="33"/>
  <c r="AG9" i="28"/>
  <c r="BX9" i="28"/>
  <c r="AI9" i="28"/>
  <c r="AE9" i="28"/>
  <c r="AH9" i="28"/>
  <c r="AF9" i="28"/>
  <c r="H13" i="5"/>
  <c r="I13" i="5" s="1"/>
  <c r="AA6" i="5"/>
  <c r="AA10" i="5"/>
  <c r="H29" i="5"/>
  <c r="I29" i="5" s="1"/>
  <c r="AD10" i="28"/>
  <c r="BV10" i="28"/>
  <c r="Z8" i="28"/>
  <c r="Z9" i="28" s="1"/>
  <c r="AH8" i="28"/>
  <c r="AE8" i="28"/>
  <c r="AI8" i="28"/>
  <c r="AF8" i="28"/>
  <c r="AG8" i="28"/>
  <c r="BW8" i="28"/>
  <c r="BW10" i="28" s="1"/>
  <c r="BY8" i="28"/>
  <c r="BY10" i="28" s="1"/>
  <c r="CA8" i="28"/>
  <c r="CA10" i="28" s="1"/>
  <c r="BR8" i="28"/>
  <c r="BR9" i="28" s="1"/>
  <c r="BZ8" i="28"/>
  <c r="BZ10" i="28" s="1"/>
  <c r="BX8" i="28"/>
  <c r="H12" i="5" l="1"/>
  <c r="I12" i="5" s="1"/>
  <c r="AH10" i="28"/>
  <c r="BX10" i="28"/>
  <c r="AG10" i="28"/>
  <c r="AI10" i="28"/>
  <c r="AF10" i="28"/>
  <c r="AE10" i="28"/>
  <c r="O32" i="33"/>
  <c r="P175" i="31"/>
  <c r="P167" i="31"/>
  <c r="P88" i="31"/>
  <c r="AE204" i="31" l="1"/>
  <c r="AE205" i="31"/>
  <c r="P156" i="31"/>
  <c r="P69" i="31"/>
  <c r="P106" i="31"/>
  <c r="P178" i="31"/>
  <c r="P174" i="31" s="1"/>
  <c r="P129" i="31"/>
  <c r="P79" i="31"/>
  <c r="P83" i="31"/>
  <c r="BJ65" i="28"/>
  <c r="BJ63" i="28"/>
  <c r="BJ48" i="28"/>
  <c r="BJ49" i="28"/>
  <c r="BJ50" i="28"/>
  <c r="BJ62" i="28"/>
  <c r="BJ61" i="28"/>
  <c r="BJ60" i="28"/>
  <c r="BJ59" i="28"/>
  <c r="BJ58" i="28"/>
  <c r="BJ57" i="28"/>
  <c r="BJ56" i="28"/>
  <c r="BJ55" i="28"/>
  <c r="BJ54" i="28"/>
  <c r="BJ53" i="28"/>
  <c r="BJ52" i="28"/>
  <c r="BJ51" i="28"/>
  <c r="O175" i="31"/>
  <c r="O167" i="31"/>
  <c r="O88" i="31"/>
  <c r="F11" i="3"/>
  <c r="F8" i="3"/>
  <c r="F7" i="3"/>
  <c r="F5" i="3"/>
  <c r="D5" i="3"/>
  <c r="F4" i="3"/>
  <c r="AE209" i="31"/>
  <c r="AA167" i="31"/>
  <c r="N167" i="31"/>
  <c r="M167" i="31"/>
  <c r="L167" i="31"/>
  <c r="K167" i="31"/>
  <c r="J167" i="31"/>
  <c r="I167" i="31"/>
  <c r="H167" i="31"/>
  <c r="G167" i="31"/>
  <c r="F167" i="31"/>
  <c r="E167" i="31"/>
  <c r="AA88" i="31"/>
  <c r="N88" i="31"/>
  <c r="M88" i="31"/>
  <c r="L88" i="31"/>
  <c r="K88" i="31"/>
  <c r="J88" i="31"/>
  <c r="I88" i="31"/>
  <c r="H88" i="31"/>
  <c r="G88" i="31"/>
  <c r="F88" i="31"/>
  <c r="E88" i="31"/>
  <c r="AE225" i="31"/>
  <c r="AE199" i="31"/>
  <c r="AE198" i="31"/>
  <c r="AE177" i="31"/>
  <c r="AE176" i="31"/>
  <c r="AA175" i="31"/>
  <c r="N175" i="31"/>
  <c r="M175" i="31"/>
  <c r="L175" i="31"/>
  <c r="K175" i="31"/>
  <c r="J175" i="31"/>
  <c r="I175" i="31"/>
  <c r="H175" i="31"/>
  <c r="G175" i="31"/>
  <c r="F175" i="31"/>
  <c r="E175" i="31"/>
  <c r="E44" i="30"/>
  <c r="C1" i="30"/>
  <c r="E14" i="29"/>
  <c r="A14" i="29"/>
  <c r="E13" i="29"/>
  <c r="A13" i="29"/>
  <c r="E12" i="29"/>
  <c r="A12" i="29"/>
  <c r="E11" i="29"/>
  <c r="A11" i="29"/>
  <c r="E10" i="29"/>
  <c r="A10" i="29"/>
  <c r="E9" i="29"/>
  <c r="A9" i="29"/>
  <c r="E8" i="29"/>
  <c r="A8" i="29"/>
  <c r="E7" i="29"/>
  <c r="A7" i="29"/>
  <c r="E6" i="29"/>
  <c r="A6" i="29"/>
  <c r="E5" i="29"/>
  <c r="A5" i="29"/>
  <c r="E4" i="29"/>
  <c r="A4" i="29"/>
  <c r="W3" i="29"/>
  <c r="M37" i="34" s="1" a="1"/>
  <c r="M37" i="34" s="1"/>
  <c r="S3" i="29"/>
  <c r="I37" i="34" s="1" a="1"/>
  <c r="I37" i="34" s="1"/>
  <c r="R3" i="29"/>
  <c r="H37" i="34" s="1" a="1"/>
  <c r="H37" i="34" s="1"/>
  <c r="A3" i="29"/>
  <c r="Y1" i="29"/>
  <c r="X1" i="29"/>
  <c r="V1" i="29"/>
  <c r="U1" i="29"/>
  <c r="T1" i="29"/>
  <c r="R1" i="29"/>
  <c r="Q1" i="29"/>
  <c r="P1" i="29"/>
  <c r="O1" i="29"/>
  <c r="N1" i="29"/>
  <c r="CN122" i="28"/>
  <c r="CB122" i="28"/>
  <c r="BH122" i="28"/>
  <c r="AV122" i="28"/>
  <c r="AJ122" i="28"/>
  <c r="N122" i="28"/>
  <c r="B122" i="28"/>
  <c r="CN121" i="28"/>
  <c r="CB121" i="28"/>
  <c r="BH121" i="28"/>
  <c r="AV121" i="28"/>
  <c r="AJ121" i="28"/>
  <c r="N121" i="28"/>
  <c r="B121" i="28"/>
  <c r="CN120" i="28"/>
  <c r="CB120" i="28"/>
  <c r="BH120" i="28"/>
  <c r="AV120" i="28"/>
  <c r="AJ120" i="28"/>
  <c r="N120" i="28"/>
  <c r="B120" i="28"/>
  <c r="CN119" i="28"/>
  <c r="CB119" i="28"/>
  <c r="BH119" i="28"/>
  <c r="AV119" i="28"/>
  <c r="AJ119" i="28"/>
  <c r="N119" i="28"/>
  <c r="B119" i="28"/>
  <c r="CN118" i="28"/>
  <c r="CB118" i="28"/>
  <c r="BH118" i="28"/>
  <c r="AV118" i="28"/>
  <c r="AJ118" i="28"/>
  <c r="N118" i="28"/>
  <c r="B118" i="28"/>
  <c r="CN117" i="28"/>
  <c r="CB117" i="28"/>
  <c r="BH117" i="28"/>
  <c r="AV117" i="28"/>
  <c r="AJ117" i="28"/>
  <c r="N117" i="28"/>
  <c r="B117" i="28"/>
  <c r="CN116" i="28"/>
  <c r="CB116" i="28"/>
  <c r="BH116" i="28"/>
  <c r="AV116" i="28"/>
  <c r="AJ116" i="28"/>
  <c r="N116" i="28"/>
  <c r="B116" i="28"/>
  <c r="CN115" i="28"/>
  <c r="CB115" i="28"/>
  <c r="BH115" i="28"/>
  <c r="AV115" i="28"/>
  <c r="AJ115" i="28"/>
  <c r="N115" i="28"/>
  <c r="B115" i="28"/>
  <c r="CN114" i="28"/>
  <c r="CB114" i="28"/>
  <c r="BH114" i="28"/>
  <c r="AV114" i="28"/>
  <c r="AJ114" i="28"/>
  <c r="N114" i="28"/>
  <c r="B114" i="28"/>
  <c r="CN113" i="28"/>
  <c r="CB113" i="28"/>
  <c r="BH113" i="28"/>
  <c r="AV113" i="28"/>
  <c r="AJ113" i="28"/>
  <c r="N113" i="28"/>
  <c r="B113" i="28"/>
  <c r="CN112" i="28"/>
  <c r="CB112" i="28"/>
  <c r="BH112" i="28"/>
  <c r="AV112" i="28"/>
  <c r="AJ112" i="28"/>
  <c r="N112" i="28"/>
  <c r="B112" i="28"/>
  <c r="CN111" i="28"/>
  <c r="CB111" i="28"/>
  <c r="BH111" i="28"/>
  <c r="AV111" i="28"/>
  <c r="AJ111" i="28"/>
  <c r="N111" i="28"/>
  <c r="B111" i="28"/>
  <c r="CN110" i="28"/>
  <c r="CB110" i="28"/>
  <c r="BH110" i="28"/>
  <c r="AV110" i="28"/>
  <c r="AJ110" i="28"/>
  <c r="N110" i="28"/>
  <c r="B110" i="28"/>
  <c r="CN109" i="28"/>
  <c r="CB109" i="28"/>
  <c r="BH109" i="28"/>
  <c r="AV109" i="28"/>
  <c r="AJ109" i="28"/>
  <c r="N109" i="28"/>
  <c r="B109" i="28"/>
  <c r="CN108" i="28"/>
  <c r="CB108" i="28"/>
  <c r="BH108" i="28"/>
  <c r="AV108" i="28"/>
  <c r="AJ108" i="28"/>
  <c r="N108" i="28"/>
  <c r="B108" i="28"/>
  <c r="CN107" i="28"/>
  <c r="CB107" i="28"/>
  <c r="BH107" i="28"/>
  <c r="AV107" i="28"/>
  <c r="AJ107" i="28"/>
  <c r="N107" i="28"/>
  <c r="B107" i="28"/>
  <c r="CN106" i="28"/>
  <c r="CB106" i="28"/>
  <c r="BH106" i="28"/>
  <c r="AV106" i="28"/>
  <c r="AJ106" i="28"/>
  <c r="N106" i="28"/>
  <c r="B106" i="28"/>
  <c r="CN105" i="28"/>
  <c r="CB105" i="28"/>
  <c r="BH105" i="28"/>
  <c r="AV105" i="28"/>
  <c r="AJ105" i="28"/>
  <c r="N105" i="28"/>
  <c r="B105" i="28"/>
  <c r="CN104" i="28"/>
  <c r="CB104" i="28"/>
  <c r="BH104" i="28"/>
  <c r="AV104" i="28"/>
  <c r="AJ104" i="28"/>
  <c r="N104" i="28"/>
  <c r="B104" i="28"/>
  <c r="CN103" i="28"/>
  <c r="CB103" i="28"/>
  <c r="BH103" i="28"/>
  <c r="AV103" i="28"/>
  <c r="AJ103" i="28"/>
  <c r="N103" i="28"/>
  <c r="B103" i="28"/>
  <c r="CN102" i="28"/>
  <c r="CB102" i="28"/>
  <c r="BH102" i="28"/>
  <c r="AV102" i="28"/>
  <c r="AJ102" i="28"/>
  <c r="N102" i="28"/>
  <c r="B102" i="28"/>
  <c r="CN101" i="28"/>
  <c r="CB101" i="28"/>
  <c r="BH101" i="28"/>
  <c r="AV101" i="28"/>
  <c r="AJ101" i="28"/>
  <c r="N101" i="28"/>
  <c r="B101" i="28"/>
  <c r="CN100" i="28"/>
  <c r="CB100" i="28"/>
  <c r="BH100" i="28"/>
  <c r="AV100" i="28"/>
  <c r="AJ100" i="28"/>
  <c r="N100" i="28"/>
  <c r="B100" i="28"/>
  <c r="CN99" i="28"/>
  <c r="CB99" i="28"/>
  <c r="BH99" i="28"/>
  <c r="AV99" i="28"/>
  <c r="AJ99" i="28"/>
  <c r="N99" i="28"/>
  <c r="B99" i="28"/>
  <c r="CN98" i="28"/>
  <c r="CB98" i="28"/>
  <c r="BH98" i="28"/>
  <c r="AV98" i="28"/>
  <c r="AJ98" i="28"/>
  <c r="N98" i="28"/>
  <c r="B98" i="28"/>
  <c r="CN97" i="28"/>
  <c r="CB97" i="28"/>
  <c r="BH97" i="28"/>
  <c r="AV97" i="28"/>
  <c r="AJ97" i="28"/>
  <c r="N97" i="28"/>
  <c r="B97" i="28"/>
  <c r="CN96" i="28"/>
  <c r="CB96" i="28"/>
  <c r="BH96" i="28"/>
  <c r="AV96" i="28"/>
  <c r="AJ96" i="28"/>
  <c r="N96" i="28"/>
  <c r="B96" i="28"/>
  <c r="CN95" i="28"/>
  <c r="CB95" i="28"/>
  <c r="BH95" i="28"/>
  <c r="AV95" i="28"/>
  <c r="AJ95" i="28"/>
  <c r="N95" i="28"/>
  <c r="B95" i="28"/>
  <c r="CN94" i="28"/>
  <c r="CB94" i="28"/>
  <c r="BH94" i="28"/>
  <c r="AV94" i="28"/>
  <c r="AJ94" i="28"/>
  <c r="N94" i="28"/>
  <c r="B94" i="28"/>
  <c r="CN93" i="28"/>
  <c r="CB93" i="28"/>
  <c r="BH93" i="28"/>
  <c r="AV93" i="28"/>
  <c r="AJ93" i="28"/>
  <c r="N93" i="28"/>
  <c r="B93" i="28"/>
  <c r="CN92" i="28"/>
  <c r="CB92" i="28"/>
  <c r="BH92" i="28"/>
  <c r="AV92" i="28"/>
  <c r="AJ92" i="28"/>
  <c r="N92" i="28"/>
  <c r="B92" i="28"/>
  <c r="CN91" i="28"/>
  <c r="CB91" i="28"/>
  <c r="BH91" i="28"/>
  <c r="AV91" i="28"/>
  <c r="AJ91" i="28"/>
  <c r="N91" i="28"/>
  <c r="B91" i="28"/>
  <c r="CN90" i="28"/>
  <c r="CB90" i="28"/>
  <c r="BH90" i="28"/>
  <c r="AV90" i="28"/>
  <c r="AJ90" i="28"/>
  <c r="N90" i="28"/>
  <c r="B90" i="28"/>
  <c r="CN89" i="28"/>
  <c r="CB89" i="28"/>
  <c r="BH89" i="28"/>
  <c r="AV89" i="28"/>
  <c r="AJ89" i="28"/>
  <c r="N89" i="28"/>
  <c r="B89" i="28"/>
  <c r="CN88" i="28"/>
  <c r="CB88" i="28"/>
  <c r="BH88" i="28"/>
  <c r="AV88" i="28"/>
  <c r="AJ88" i="28"/>
  <c r="N88" i="28"/>
  <c r="B88" i="28"/>
  <c r="CN87" i="28"/>
  <c r="CB87" i="28"/>
  <c r="BH87" i="28"/>
  <c r="AV87" i="28"/>
  <c r="AJ87" i="28"/>
  <c r="N87" i="28"/>
  <c r="B87" i="28"/>
  <c r="CN86" i="28"/>
  <c r="CB86" i="28"/>
  <c r="BH86" i="28"/>
  <c r="AV86" i="28"/>
  <c r="AJ86" i="28"/>
  <c r="N86" i="28"/>
  <c r="B86" i="28"/>
  <c r="CN85" i="28"/>
  <c r="CB85" i="28"/>
  <c r="BH85" i="28"/>
  <c r="AV85" i="28"/>
  <c r="AJ85" i="28"/>
  <c r="N85" i="28"/>
  <c r="B85" i="28"/>
  <c r="CN84" i="28"/>
  <c r="CB84" i="28"/>
  <c r="BH84" i="28"/>
  <c r="AV84" i="28"/>
  <c r="AJ84" i="28"/>
  <c r="N84" i="28"/>
  <c r="B84" i="28"/>
  <c r="CN83" i="28"/>
  <c r="CB83" i="28"/>
  <c r="BH83" i="28"/>
  <c r="AV83" i="28"/>
  <c r="AJ83" i="28"/>
  <c r="N83" i="28"/>
  <c r="B83" i="28"/>
  <c r="CN82" i="28"/>
  <c r="CB82" i="28"/>
  <c r="BH82" i="28"/>
  <c r="AV82" i="28"/>
  <c r="AJ82" i="28"/>
  <c r="N82" i="28"/>
  <c r="B82" i="28"/>
  <c r="CN81" i="28"/>
  <c r="CB81" i="28"/>
  <c r="BH81" i="28"/>
  <c r="AV81" i="28"/>
  <c r="AJ81" i="28"/>
  <c r="N81" i="28"/>
  <c r="B81" i="28"/>
  <c r="CN80" i="28"/>
  <c r="CB80" i="28"/>
  <c r="BH80" i="28"/>
  <c r="AV80" i="28"/>
  <c r="AJ80" i="28"/>
  <c r="N80" i="28"/>
  <c r="B80" i="28"/>
  <c r="CN79" i="28"/>
  <c r="CB79" i="28"/>
  <c r="BH79" i="28"/>
  <c r="AV79" i="28"/>
  <c r="AJ79" i="28"/>
  <c r="N79" i="28"/>
  <c r="B79" i="28"/>
  <c r="CN78" i="28"/>
  <c r="CB78" i="28"/>
  <c r="BH78" i="28"/>
  <c r="AV78" i="28"/>
  <c r="AJ78" i="28"/>
  <c r="N78" i="28"/>
  <c r="B78" i="28"/>
  <c r="CN77" i="28"/>
  <c r="CB77" i="28"/>
  <c r="BH77" i="28"/>
  <c r="AV77" i="28"/>
  <c r="AJ77" i="28"/>
  <c r="N77" i="28"/>
  <c r="B77" i="28"/>
  <c r="CN76" i="28"/>
  <c r="CB76" i="28"/>
  <c r="BH76" i="28"/>
  <c r="AV76" i="28"/>
  <c r="AJ76" i="28"/>
  <c r="N76" i="28"/>
  <c r="B76" i="28"/>
  <c r="CN75" i="28"/>
  <c r="CB75" i="28"/>
  <c r="BH75" i="28"/>
  <c r="AV75" i="28"/>
  <c r="AJ75" i="28"/>
  <c r="N75" i="28"/>
  <c r="B75" i="28"/>
  <c r="CN74" i="28"/>
  <c r="CB74" i="28"/>
  <c r="BH74" i="28"/>
  <c r="AV74" i="28"/>
  <c r="AJ74" i="28"/>
  <c r="N74" i="28"/>
  <c r="B74" i="28"/>
  <c r="CN73" i="28"/>
  <c r="CB73" i="28"/>
  <c r="BH73" i="28"/>
  <c r="AV73" i="28"/>
  <c r="AJ73" i="28"/>
  <c r="N73" i="28"/>
  <c r="B73" i="28"/>
  <c r="CN72" i="28"/>
  <c r="CB72" i="28"/>
  <c r="BH72" i="28"/>
  <c r="AV72" i="28"/>
  <c r="AJ72" i="28"/>
  <c r="N72" i="28"/>
  <c r="B72" i="28"/>
  <c r="CN71" i="28"/>
  <c r="CB71" i="28"/>
  <c r="BH71" i="28"/>
  <c r="AV71" i="28"/>
  <c r="AJ71" i="28"/>
  <c r="N71" i="28"/>
  <c r="B71" i="28"/>
  <c r="CN70" i="28"/>
  <c r="CB70" i="28"/>
  <c r="BH70" i="28"/>
  <c r="AV70" i="28"/>
  <c r="AJ70" i="28"/>
  <c r="N70" i="28"/>
  <c r="B70" i="28"/>
  <c r="CN69" i="28"/>
  <c r="CB69" i="28"/>
  <c r="BH69" i="28"/>
  <c r="AV69" i="28"/>
  <c r="AJ69" i="28"/>
  <c r="N69" i="28"/>
  <c r="B69" i="28"/>
  <c r="CN68" i="28"/>
  <c r="CB68" i="28"/>
  <c r="BH68" i="28"/>
  <c r="AV68" i="28"/>
  <c r="AJ68" i="28"/>
  <c r="N68" i="28"/>
  <c r="B68" i="28"/>
  <c r="CN67" i="28"/>
  <c r="CB67" i="28"/>
  <c r="BH67" i="28"/>
  <c r="AV67" i="28"/>
  <c r="AJ67" i="28"/>
  <c r="N67" i="28"/>
  <c r="B67" i="28"/>
  <c r="CN66" i="28"/>
  <c r="CB66" i="28"/>
  <c r="BH66" i="28"/>
  <c r="AV66" i="28"/>
  <c r="AJ66" i="28"/>
  <c r="N66" i="28"/>
  <c r="B66" i="28"/>
  <c r="CN65" i="28"/>
  <c r="CB65" i="28"/>
  <c r="BH65" i="28"/>
  <c r="AV65" i="28"/>
  <c r="AJ65" i="28"/>
  <c r="N65" i="28"/>
  <c r="B65" i="28"/>
  <c r="CN63" i="28"/>
  <c r="CB63" i="28"/>
  <c r="BH63" i="28"/>
  <c r="AV63" i="28"/>
  <c r="AJ63" i="28"/>
  <c r="N63" i="28"/>
  <c r="B63" i="28"/>
  <c r="CN62" i="28"/>
  <c r="CB62" i="28"/>
  <c r="BH62" i="28"/>
  <c r="AV62" i="28"/>
  <c r="AJ62" i="28"/>
  <c r="N62" i="28"/>
  <c r="B62" i="28"/>
  <c r="CN61" i="28"/>
  <c r="CB61" i="28"/>
  <c r="BH61" i="28"/>
  <c r="AV61" i="28"/>
  <c r="AJ61" i="28"/>
  <c r="N61" i="28"/>
  <c r="B61" i="28"/>
  <c r="CN60" i="28"/>
  <c r="CB60" i="28"/>
  <c r="BH60" i="28"/>
  <c r="AV60" i="28"/>
  <c r="AJ60" i="28"/>
  <c r="N60" i="28"/>
  <c r="B60" i="28"/>
  <c r="CN59" i="28"/>
  <c r="CB59" i="28"/>
  <c r="BH59" i="28"/>
  <c r="AV59" i="28"/>
  <c r="AJ59" i="28"/>
  <c r="N59" i="28"/>
  <c r="B59" i="28"/>
  <c r="CN58" i="28"/>
  <c r="CB58" i="28"/>
  <c r="BH58" i="28"/>
  <c r="AV58" i="28"/>
  <c r="AJ58" i="28"/>
  <c r="N58" i="28"/>
  <c r="B58" i="28"/>
  <c r="CN57" i="28"/>
  <c r="CB57" i="28"/>
  <c r="BH57" i="28"/>
  <c r="AV57" i="28"/>
  <c r="AJ57" i="28"/>
  <c r="N57" i="28"/>
  <c r="B57" i="28"/>
  <c r="CN56" i="28"/>
  <c r="CB56" i="28"/>
  <c r="BH56" i="28"/>
  <c r="AV56" i="28"/>
  <c r="AJ56" i="28"/>
  <c r="N56" i="28"/>
  <c r="B56" i="28"/>
  <c r="CN55" i="28"/>
  <c r="CB55" i="28"/>
  <c r="BH55" i="28"/>
  <c r="AV55" i="28"/>
  <c r="AJ55" i="28"/>
  <c r="N55" i="28"/>
  <c r="B55" i="28"/>
  <c r="CN54" i="28"/>
  <c r="CB54" i="28"/>
  <c r="BH54" i="28"/>
  <c r="AV54" i="28"/>
  <c r="AJ54" i="28"/>
  <c r="N54" i="28"/>
  <c r="B54" i="28"/>
  <c r="CN53" i="28"/>
  <c r="CB53" i="28"/>
  <c r="BH53" i="28"/>
  <c r="AV53" i="28"/>
  <c r="AJ53" i="28"/>
  <c r="N53" i="28"/>
  <c r="B53" i="28"/>
  <c r="CN52" i="28"/>
  <c r="CB52" i="28"/>
  <c r="BH52" i="28"/>
  <c r="AV52" i="28"/>
  <c r="AJ52" i="28"/>
  <c r="N52" i="28"/>
  <c r="B52" i="28"/>
  <c r="CN51" i="28"/>
  <c r="CB51" i="28"/>
  <c r="BH51" i="28"/>
  <c r="AV51" i="28"/>
  <c r="AJ51" i="28"/>
  <c r="N51" i="28"/>
  <c r="B51" i="28"/>
  <c r="CN50" i="28"/>
  <c r="CB50" i="28"/>
  <c r="BH50" i="28"/>
  <c r="AV50" i="28"/>
  <c r="AJ50" i="28"/>
  <c r="N50" i="28"/>
  <c r="B50" i="28"/>
  <c r="CN49" i="28"/>
  <c r="CB49" i="28"/>
  <c r="BH49" i="28"/>
  <c r="AV49" i="28"/>
  <c r="AJ49" i="28"/>
  <c r="N49" i="28"/>
  <c r="B49" i="28"/>
  <c r="CN48" i="28"/>
  <c r="CB48" i="28"/>
  <c r="BH48" i="28"/>
  <c r="AV48" i="28"/>
  <c r="AJ48" i="28"/>
  <c r="N48" i="28"/>
  <c r="B48" i="28"/>
  <c r="CN47" i="28"/>
  <c r="CB47" i="28"/>
  <c r="BH47" i="28"/>
  <c r="AV47" i="28"/>
  <c r="AJ47" i="28"/>
  <c r="N47" i="28"/>
  <c r="B47" i="28"/>
  <c r="CN46" i="28"/>
  <c r="CB46" i="28"/>
  <c r="BH46" i="28"/>
  <c r="AV46" i="28"/>
  <c r="AJ46" i="28"/>
  <c r="N46" i="28"/>
  <c r="B46" i="28"/>
  <c r="CN45" i="28"/>
  <c r="CB45" i="28"/>
  <c r="BH45" i="28"/>
  <c r="AV45" i="28"/>
  <c r="AJ45" i="28"/>
  <c r="N45" i="28"/>
  <c r="B45" i="28"/>
  <c r="CN44" i="28"/>
  <c r="CB44" i="28"/>
  <c r="BH44" i="28"/>
  <c r="AV44" i="28"/>
  <c r="AJ44" i="28"/>
  <c r="N44" i="28"/>
  <c r="B44" i="28"/>
  <c r="CN43" i="28"/>
  <c r="CB43" i="28"/>
  <c r="BH43" i="28"/>
  <c r="AV43" i="28"/>
  <c r="AJ43" i="28"/>
  <c r="N43" i="28"/>
  <c r="B43" i="28"/>
  <c r="CN42" i="28"/>
  <c r="CB42" i="28"/>
  <c r="BH42" i="28"/>
  <c r="AV42" i="28"/>
  <c r="AJ42" i="28"/>
  <c r="N42" i="28"/>
  <c r="B42" i="28"/>
  <c r="CN41" i="28"/>
  <c r="CB41" i="28"/>
  <c r="BH41" i="28"/>
  <c r="AV41" i="28"/>
  <c r="AJ41" i="28"/>
  <c r="N41" i="28"/>
  <c r="B41" i="28"/>
  <c r="CN40" i="28"/>
  <c r="CB40" i="28"/>
  <c r="BH40" i="28"/>
  <c r="AV40" i="28"/>
  <c r="AJ40" i="28"/>
  <c r="N40" i="28"/>
  <c r="B40" i="28"/>
  <c r="CN39" i="28"/>
  <c r="CB39" i="28"/>
  <c r="BH39" i="28"/>
  <c r="AV39" i="28"/>
  <c r="AJ39" i="28"/>
  <c r="N39" i="28"/>
  <c r="B39" i="28"/>
  <c r="CN38" i="28"/>
  <c r="CB38" i="28"/>
  <c r="BH38" i="28"/>
  <c r="AV38" i="28"/>
  <c r="AJ38" i="28"/>
  <c r="N38" i="28"/>
  <c r="B38" i="28"/>
  <c r="CN37" i="28"/>
  <c r="CB37" i="28"/>
  <c r="BH37" i="28"/>
  <c r="AV37" i="28"/>
  <c r="AJ37" i="28"/>
  <c r="N37" i="28"/>
  <c r="B37" i="28"/>
  <c r="CN36" i="28"/>
  <c r="CB36" i="28"/>
  <c r="BH36" i="28"/>
  <c r="AV36" i="28"/>
  <c r="AJ36" i="28"/>
  <c r="N36" i="28"/>
  <c r="B36" i="28"/>
  <c r="CN35" i="28"/>
  <c r="CB35" i="28"/>
  <c r="BH35" i="28"/>
  <c r="AV35" i="28"/>
  <c r="AJ35" i="28"/>
  <c r="N35" i="28"/>
  <c r="B35" i="28"/>
  <c r="CN34" i="28"/>
  <c r="CB34" i="28"/>
  <c r="BH34" i="28"/>
  <c r="AV34" i="28"/>
  <c r="AJ34" i="28"/>
  <c r="N34" i="28"/>
  <c r="B34" i="28"/>
  <c r="CN33" i="28"/>
  <c r="CB33" i="28"/>
  <c r="BH33" i="28"/>
  <c r="AV33" i="28"/>
  <c r="AJ33" i="28"/>
  <c r="N33" i="28"/>
  <c r="B33" i="28"/>
  <c r="CN32" i="28"/>
  <c r="CB32" i="28"/>
  <c r="BH32" i="28"/>
  <c r="AV32" i="28"/>
  <c r="AJ32" i="28"/>
  <c r="N32" i="28"/>
  <c r="B32" i="28"/>
  <c r="CN31" i="28"/>
  <c r="CB31" i="28"/>
  <c r="BH31" i="28"/>
  <c r="AV31" i="28"/>
  <c r="AJ31" i="28"/>
  <c r="N31" i="28"/>
  <c r="B31" i="28"/>
  <c r="CN30" i="28"/>
  <c r="CB30" i="28"/>
  <c r="BH30" i="28"/>
  <c r="AV30" i="28"/>
  <c r="AJ30" i="28"/>
  <c r="N30" i="28"/>
  <c r="B30" i="28"/>
  <c r="CN29" i="28"/>
  <c r="CB29" i="28"/>
  <c r="BH29" i="28"/>
  <c r="AV29" i="28"/>
  <c r="AJ29" i="28"/>
  <c r="N29" i="28"/>
  <c r="B29" i="28"/>
  <c r="CN28" i="28"/>
  <c r="CB28" i="28"/>
  <c r="BH28" i="28"/>
  <c r="AV28" i="28"/>
  <c r="AJ28" i="28"/>
  <c r="N28" i="28"/>
  <c r="B28" i="28"/>
  <c r="CN27" i="28"/>
  <c r="CB27" i="28"/>
  <c r="BH27" i="28"/>
  <c r="AV27" i="28"/>
  <c r="AJ27" i="28"/>
  <c r="N27" i="28"/>
  <c r="B27" i="28"/>
  <c r="CN26" i="28"/>
  <c r="CB26" i="28"/>
  <c r="BH26" i="28"/>
  <c r="AV26" i="28"/>
  <c r="AJ26" i="28"/>
  <c r="N26" i="28"/>
  <c r="B26" i="28"/>
  <c r="CN25" i="28"/>
  <c r="CB25" i="28"/>
  <c r="BH25" i="28"/>
  <c r="AV25" i="28"/>
  <c r="AJ25" i="28"/>
  <c r="N25" i="28"/>
  <c r="B25" i="28"/>
  <c r="CN24" i="28"/>
  <c r="CB24" i="28"/>
  <c r="BH24" i="28"/>
  <c r="AV24" i="28"/>
  <c r="AJ24" i="28"/>
  <c r="N24" i="28"/>
  <c r="B24" i="28"/>
  <c r="CN23" i="28"/>
  <c r="CB23" i="28"/>
  <c r="BH23" i="28"/>
  <c r="AV23" i="28"/>
  <c r="AJ23" i="28"/>
  <c r="N23" i="28"/>
  <c r="B23" i="28"/>
  <c r="CN22" i="28"/>
  <c r="CB22" i="28"/>
  <c r="BH22" i="28"/>
  <c r="AV22" i="28"/>
  <c r="AJ22" i="28"/>
  <c r="N22" i="28"/>
  <c r="B22" i="28"/>
  <c r="CN21" i="28"/>
  <c r="CB21" i="28"/>
  <c r="BH21" i="28"/>
  <c r="AV21" i="28"/>
  <c r="AJ21" i="28"/>
  <c r="N21" i="28"/>
  <c r="B21" i="28"/>
  <c r="CN20" i="28"/>
  <c r="CB20" i="28"/>
  <c r="BH20" i="28"/>
  <c r="AV20" i="28"/>
  <c r="AJ20" i="28"/>
  <c r="N20" i="28"/>
  <c r="B20" i="28"/>
  <c r="CN19" i="28"/>
  <c r="CB19" i="28"/>
  <c r="BH19" i="28"/>
  <c r="AV19" i="28"/>
  <c r="AJ19" i="28"/>
  <c r="N19" i="28"/>
  <c r="B19" i="28"/>
  <c r="CN18" i="28"/>
  <c r="CB18" i="28"/>
  <c r="BH18" i="28"/>
  <c r="AV18" i="28"/>
  <c r="AJ18" i="28"/>
  <c r="N18" i="28"/>
  <c r="B18" i="28"/>
  <c r="CN17" i="28"/>
  <c r="CB17" i="28"/>
  <c r="BH17" i="28"/>
  <c r="AV17" i="28"/>
  <c r="AJ17" i="28"/>
  <c r="N17" i="28"/>
  <c r="B17" i="28"/>
  <c r="CN16" i="28"/>
  <c r="CB16" i="28"/>
  <c r="BH16" i="28"/>
  <c r="AV16" i="28"/>
  <c r="AJ16" i="28"/>
  <c r="N16" i="28"/>
  <c r="B16" i="28"/>
  <c r="CN15" i="28"/>
  <c r="CB15" i="28"/>
  <c r="BH15" i="28"/>
  <c r="AV15" i="28"/>
  <c r="AJ15" i="28"/>
  <c r="N15" i="28"/>
  <c r="B15" i="28"/>
  <c r="CN14" i="28"/>
  <c r="CB14" i="28"/>
  <c r="BH14" i="28"/>
  <c r="AV14" i="28"/>
  <c r="AJ14" i="28"/>
  <c r="N14" i="28"/>
  <c r="B14" i="28"/>
  <c r="CN13" i="28"/>
  <c r="CB13" i="28"/>
  <c r="BH13" i="28"/>
  <c r="AV13" i="28"/>
  <c r="AJ13" i="28"/>
  <c r="N13" i="28"/>
  <c r="B13" i="28"/>
  <c r="CN12" i="28"/>
  <c r="CB12" i="28"/>
  <c r="BH12" i="28"/>
  <c r="AV12" i="28"/>
  <c r="AJ12" i="28"/>
  <c r="N12" i="28"/>
  <c r="B12" i="28"/>
  <c r="CN11" i="28"/>
  <c r="CB11" i="28"/>
  <c r="BH11" i="28"/>
  <c r="AV11" i="28"/>
  <c r="AJ11" i="28"/>
  <c r="N11" i="28"/>
  <c r="B11" i="28"/>
  <c r="CP5" i="28"/>
  <c r="CD5" i="28"/>
  <c r="AX5" i="28"/>
  <c r="AL5" i="28"/>
  <c r="P5" i="28"/>
  <c r="D5" i="28"/>
  <c r="CP3" i="28"/>
  <c r="J12" i="3" s="1"/>
  <c r="CD3" i="28"/>
  <c r="J11" i="3" s="1"/>
  <c r="BJ3" i="28"/>
  <c r="J9" i="3" s="1"/>
  <c r="AX3" i="28"/>
  <c r="J8" i="3" s="1"/>
  <c r="AL3" i="28"/>
  <c r="J7" i="3" s="1"/>
  <c r="P3" i="28"/>
  <c r="J5" i="3" s="1"/>
  <c r="D3" i="28"/>
  <c r="J4" i="3" s="1"/>
  <c r="CP2" i="28" a="1"/>
  <c r="CP2" i="28" s="1"/>
  <c r="K12" i="3" s="1"/>
  <c r="CD2" i="28" a="1"/>
  <c r="CD2" i="28" s="1"/>
  <c r="K11" i="3" s="1"/>
  <c r="BJ2" i="28" a="1"/>
  <c r="BJ2" i="28" s="1"/>
  <c r="K9" i="3" s="1"/>
  <c r="AX2" i="28" a="1"/>
  <c r="AX2" i="28" s="1"/>
  <c r="K8" i="3" s="1"/>
  <c r="AL2" i="28" a="1"/>
  <c r="AL2" i="28" s="1"/>
  <c r="K7" i="3" s="1"/>
  <c r="P2" i="28" a="1"/>
  <c r="P2" i="28" s="1"/>
  <c r="K5" i="3" s="1"/>
  <c r="K4" i="3"/>
  <c r="CY9" i="28"/>
  <c r="CX9" i="28"/>
  <c r="CW9" i="28"/>
  <c r="CV9" i="28"/>
  <c r="CU9" i="28"/>
  <c r="CT9" i="28"/>
  <c r="CR9" i="28"/>
  <c r="CM9" i="28"/>
  <c r="CL9" i="28"/>
  <c r="CK9" i="28"/>
  <c r="CJ9" i="28"/>
  <c r="CI9" i="28"/>
  <c r="CH9" i="28"/>
  <c r="CF9" i="28"/>
  <c r="BQ9" i="28"/>
  <c r="BP9" i="28"/>
  <c r="BO9" i="28"/>
  <c r="BN9" i="28"/>
  <c r="BM9" i="28"/>
  <c r="BL9" i="28"/>
  <c r="BG9" i="28"/>
  <c r="BF9" i="28"/>
  <c r="BE9" i="28"/>
  <c r="BD9" i="28"/>
  <c r="BC9" i="28"/>
  <c r="BB9" i="28"/>
  <c r="AZ9" i="28"/>
  <c r="AU9" i="28"/>
  <c r="AT9" i="28"/>
  <c r="AS9" i="28"/>
  <c r="AR9" i="28"/>
  <c r="AQ9" i="28"/>
  <c r="AP9" i="28"/>
  <c r="AN9" i="28"/>
  <c r="Y9" i="28"/>
  <c r="X9" i="28"/>
  <c r="W9" i="28"/>
  <c r="V9" i="28"/>
  <c r="U9" i="28"/>
  <c r="T9" i="28"/>
  <c r="R9" i="28"/>
  <c r="M9" i="28"/>
  <c r="L9" i="28"/>
  <c r="K9" i="28"/>
  <c r="J9" i="28"/>
  <c r="I9" i="28"/>
  <c r="H9" i="28"/>
  <c r="F9" i="28"/>
  <c r="CT8" i="28"/>
  <c r="CR8" i="28"/>
  <c r="CH8" i="28"/>
  <c r="CF8" i="28"/>
  <c r="BL8" i="28"/>
  <c r="BB8" i="28"/>
  <c r="AZ8" i="28"/>
  <c r="AP8" i="28"/>
  <c r="AN8" i="28"/>
  <c r="T8" i="28"/>
  <c r="R8" i="28"/>
  <c r="H8" i="28"/>
  <c r="F8" i="28"/>
  <c r="F1" i="27" a="1"/>
  <c r="F1" i="27" s="1"/>
  <c r="S1" i="29" l="1"/>
  <c r="AC37" i="34"/>
  <c r="AC175" i="31"/>
  <c r="D9" i="34" a="1"/>
  <c r="D9" i="34" s="1"/>
  <c r="AC9" i="34" s="1"/>
  <c r="D24" i="31" a="1"/>
  <c r="AA221" i="31" a="1"/>
  <c r="AA221" i="31" s="1"/>
  <c r="AA213" i="31" a="1"/>
  <c r="AA213" i="31" s="1"/>
  <c r="Z219" i="31" a="1"/>
  <c r="Z219" i="31" s="1"/>
  <c r="Z211" i="31" a="1"/>
  <c r="Z211" i="31" s="1"/>
  <c r="Y217" i="31" a="1"/>
  <c r="Y217" i="31" s="1"/>
  <c r="X223" i="31" a="1"/>
  <c r="X223" i="31" s="1"/>
  <c r="X215" i="31" a="1"/>
  <c r="X215" i="31" s="1"/>
  <c r="W221" i="31" a="1"/>
  <c r="W221" i="31" s="1"/>
  <c r="W213" i="31" a="1"/>
  <c r="W213" i="31" s="1"/>
  <c r="V219" i="31" a="1"/>
  <c r="V219" i="31" s="1"/>
  <c r="V211" i="31" a="1"/>
  <c r="V211" i="31" s="1"/>
  <c r="U217" i="31" a="1"/>
  <c r="U217" i="31" s="1"/>
  <c r="T224" i="31" a="1"/>
  <c r="T224" i="31" s="1"/>
  <c r="G214" i="31" a="1"/>
  <c r="G214" i="31" s="1"/>
  <c r="AA220" i="31" a="1"/>
  <c r="AA220" i="31" s="1"/>
  <c r="AA212" i="31" a="1"/>
  <c r="AA212" i="31" s="1"/>
  <c r="Z218" i="31" a="1"/>
  <c r="Z218" i="31" s="1"/>
  <c r="Y224" i="31" a="1"/>
  <c r="Y224" i="31" s="1"/>
  <c r="Y216" i="31" a="1"/>
  <c r="Y216" i="31" s="1"/>
  <c r="X222" i="31" a="1"/>
  <c r="X222" i="31" s="1"/>
  <c r="X214" i="31" a="1"/>
  <c r="X214" i="31" s="1"/>
  <c r="W220" i="31" a="1"/>
  <c r="W220" i="31" s="1"/>
  <c r="W212" i="31" a="1"/>
  <c r="W212" i="31" s="1"/>
  <c r="V218" i="31" a="1"/>
  <c r="V218" i="31" s="1"/>
  <c r="U224" i="31" a="1"/>
  <c r="U224" i="31" s="1"/>
  <c r="U216" i="31" a="1"/>
  <c r="U216" i="31" s="1"/>
  <c r="T223" i="31" a="1"/>
  <c r="T223" i="31" s="1"/>
  <c r="T215" i="31" a="1"/>
  <c r="T215" i="31" s="1"/>
  <c r="N214" i="31" a="1"/>
  <c r="N214" i="31" s="1"/>
  <c r="F214" i="31" a="1"/>
  <c r="F214" i="31" s="1"/>
  <c r="AA219" i="31" a="1"/>
  <c r="AA219" i="31" s="1"/>
  <c r="AA211" i="31" a="1"/>
  <c r="AA211" i="31" s="1"/>
  <c r="Z217" i="31" a="1"/>
  <c r="Z217" i="31" s="1"/>
  <c r="Y223" i="31" a="1"/>
  <c r="Y223" i="31" s="1"/>
  <c r="Y215" i="31" a="1"/>
  <c r="Y215" i="31" s="1"/>
  <c r="X221" i="31" a="1"/>
  <c r="X221" i="31" s="1"/>
  <c r="X213" i="31" a="1"/>
  <c r="X213" i="31" s="1"/>
  <c r="W219" i="31" a="1"/>
  <c r="W219" i="31" s="1"/>
  <c r="W211" i="31" a="1"/>
  <c r="W211" i="31" s="1"/>
  <c r="V217" i="31" a="1"/>
  <c r="V217" i="31" s="1"/>
  <c r="U223" i="31" a="1"/>
  <c r="U223" i="31" s="1"/>
  <c r="U215" i="31" a="1"/>
  <c r="U215" i="31" s="1"/>
  <c r="T222" i="31" a="1"/>
  <c r="T222" i="31" s="1"/>
  <c r="T214" i="31" a="1"/>
  <c r="T214" i="31" s="1"/>
  <c r="M214" i="31" a="1"/>
  <c r="M214" i="31" s="1"/>
  <c r="E214" i="31" a="1"/>
  <c r="E214" i="31" s="1"/>
  <c r="AA218" i="31" a="1"/>
  <c r="AA218" i="31" s="1"/>
  <c r="Z224" i="31" a="1"/>
  <c r="Z224" i="31" s="1"/>
  <c r="Z216" i="31" a="1"/>
  <c r="Z216" i="31" s="1"/>
  <c r="Y222" i="31" a="1"/>
  <c r="Y222" i="31" s="1"/>
  <c r="Y214" i="31" a="1"/>
  <c r="Y214" i="31" s="1"/>
  <c r="X220" i="31" a="1"/>
  <c r="X220" i="31" s="1"/>
  <c r="X212" i="31" a="1"/>
  <c r="X212" i="31" s="1"/>
  <c r="W218" i="31" a="1"/>
  <c r="W218" i="31" s="1"/>
  <c r="V224" i="31" a="1"/>
  <c r="V224" i="31" s="1"/>
  <c r="V216" i="31" a="1"/>
  <c r="V216" i="31" s="1"/>
  <c r="U222" i="31" a="1"/>
  <c r="U222" i="31" s="1"/>
  <c r="U214" i="31" a="1"/>
  <c r="U214" i="31" s="1"/>
  <c r="T221" i="31" a="1"/>
  <c r="T221" i="31" s="1"/>
  <c r="T213" i="31" a="1"/>
  <c r="T213" i="31" s="1"/>
  <c r="L214" i="31" a="1"/>
  <c r="L214" i="31" s="1"/>
  <c r="D214" i="31" a="1"/>
  <c r="D214" i="31" s="1"/>
  <c r="AA217" i="31" a="1"/>
  <c r="AA217" i="31" s="1"/>
  <c r="Z223" i="31" a="1"/>
  <c r="Z223" i="31" s="1"/>
  <c r="Z215" i="31" a="1"/>
  <c r="Z215" i="31" s="1"/>
  <c r="Y221" i="31" a="1"/>
  <c r="Y221" i="31" s="1"/>
  <c r="Y213" i="31" a="1"/>
  <c r="Y213" i="31" s="1"/>
  <c r="X219" i="31" a="1"/>
  <c r="X219" i="31" s="1"/>
  <c r="X211" i="31" a="1"/>
  <c r="X211" i="31" s="1"/>
  <c r="W217" i="31" a="1"/>
  <c r="W217" i="31" s="1"/>
  <c r="V223" i="31" a="1"/>
  <c r="V223" i="31" s="1"/>
  <c r="V215" i="31" a="1"/>
  <c r="V215" i="31" s="1"/>
  <c r="U221" i="31" a="1"/>
  <c r="U221" i="31" s="1"/>
  <c r="U213" i="31" a="1"/>
  <c r="U213" i="31" s="1"/>
  <c r="T220" i="31" a="1"/>
  <c r="T220" i="31" s="1"/>
  <c r="T212" i="31" a="1"/>
  <c r="T212" i="31" s="1"/>
  <c r="S214" i="31" a="1"/>
  <c r="S214" i="31" s="1"/>
  <c r="K214" i="31" a="1"/>
  <c r="K214" i="31" s="1"/>
  <c r="O214" i="31" a="1"/>
  <c r="O214" i="31" s="1"/>
  <c r="AA224" i="31" a="1"/>
  <c r="AA224" i="31" s="1"/>
  <c r="AA216" i="31" a="1"/>
  <c r="AA216" i="31" s="1"/>
  <c r="Z222" i="31" a="1"/>
  <c r="Z222" i="31" s="1"/>
  <c r="Z214" i="31" a="1"/>
  <c r="Z214" i="31" s="1"/>
  <c r="Y220" i="31" a="1"/>
  <c r="Y220" i="31" s="1"/>
  <c r="Y212" i="31" a="1"/>
  <c r="Y212" i="31" s="1"/>
  <c r="X218" i="31" a="1"/>
  <c r="X218" i="31" s="1"/>
  <c r="W224" i="31" a="1"/>
  <c r="W224" i="31" s="1"/>
  <c r="W216" i="31" a="1"/>
  <c r="W216" i="31" s="1"/>
  <c r="V222" i="31" a="1"/>
  <c r="V222" i="31" s="1"/>
  <c r="V214" i="31" a="1"/>
  <c r="V214" i="31" s="1"/>
  <c r="U220" i="31" a="1"/>
  <c r="U220" i="31" s="1"/>
  <c r="U212" i="31" a="1"/>
  <c r="U212" i="31" s="1"/>
  <c r="T219" i="31" a="1"/>
  <c r="T219" i="31" s="1"/>
  <c r="T211" i="31" a="1"/>
  <c r="T211" i="31" s="1"/>
  <c r="R214" i="31" a="1"/>
  <c r="R214" i="31" s="1"/>
  <c r="J214" i="31" a="1"/>
  <c r="J214" i="31" s="1"/>
  <c r="AA223" i="31" a="1"/>
  <c r="AA223" i="31" s="1"/>
  <c r="AA215" i="31" a="1"/>
  <c r="AA215" i="31" s="1"/>
  <c r="Z221" i="31" a="1"/>
  <c r="Z221" i="31" s="1"/>
  <c r="Z213" i="31" a="1"/>
  <c r="Z213" i="31" s="1"/>
  <c r="Y219" i="31" a="1"/>
  <c r="Y219" i="31" s="1"/>
  <c r="Y211" i="31" a="1"/>
  <c r="Y211" i="31" s="1"/>
  <c r="X217" i="31" a="1"/>
  <c r="X217" i="31" s="1"/>
  <c r="W223" i="31" a="1"/>
  <c r="W223" i="31" s="1"/>
  <c r="W215" i="31" a="1"/>
  <c r="W215" i="31" s="1"/>
  <c r="V221" i="31" a="1"/>
  <c r="V221" i="31" s="1"/>
  <c r="V213" i="31" a="1"/>
  <c r="V213" i="31" s="1"/>
  <c r="U219" i="31" a="1"/>
  <c r="U219" i="31" s="1"/>
  <c r="U211" i="31" a="1"/>
  <c r="U211" i="31" s="1"/>
  <c r="T218" i="31" a="1"/>
  <c r="T218" i="31" s="1"/>
  <c r="Q214" i="31" a="1"/>
  <c r="Q214" i="31" s="1"/>
  <c r="I214" i="31" a="1"/>
  <c r="I214" i="31" s="1"/>
  <c r="AA222" i="31" a="1"/>
  <c r="AA222" i="31" s="1"/>
  <c r="AA214" i="31" a="1"/>
  <c r="AA214" i="31" s="1"/>
  <c r="Z220" i="31" a="1"/>
  <c r="Z220" i="31" s="1"/>
  <c r="Z212" i="31" a="1"/>
  <c r="Z212" i="31" s="1"/>
  <c r="Y218" i="31" a="1"/>
  <c r="Y218" i="31" s="1"/>
  <c r="X224" i="31" a="1"/>
  <c r="X224" i="31" s="1"/>
  <c r="X216" i="31" a="1"/>
  <c r="X216" i="31" s="1"/>
  <c r="W222" i="31" a="1"/>
  <c r="W222" i="31" s="1"/>
  <c r="W214" i="31" a="1"/>
  <c r="W214" i="31" s="1"/>
  <c r="V220" i="31" a="1"/>
  <c r="V220" i="31" s="1"/>
  <c r="V212" i="31" a="1"/>
  <c r="V212" i="31" s="1"/>
  <c r="U218" i="31" a="1"/>
  <c r="U218" i="31" s="1"/>
  <c r="T217" i="31" a="1"/>
  <c r="T217" i="31" s="1"/>
  <c r="P214" i="31" a="1"/>
  <c r="P214" i="31" s="1"/>
  <c r="H214" i="31" a="1"/>
  <c r="H214" i="31" s="1"/>
  <c r="T216" i="31" a="1"/>
  <c r="T216" i="31" s="1"/>
  <c r="P173" i="31" a="1"/>
  <c r="P173" i="31" s="1"/>
  <c r="P33" i="31" s="1"/>
  <c r="AZ10" i="28"/>
  <c r="S219" i="31" a="1"/>
  <c r="S219" i="31" s="1"/>
  <c r="S211" i="31" a="1"/>
  <c r="S211" i="31" s="1"/>
  <c r="S220" i="31" a="1"/>
  <c r="S220" i="31" s="1"/>
  <c r="S224" i="31" a="1"/>
  <c r="S224" i="31" s="1"/>
  <c r="S218" i="31" a="1"/>
  <c r="S218" i="31" s="1"/>
  <c r="S217" i="31" a="1"/>
  <c r="S217" i="31" s="1"/>
  <c r="S223" i="31" a="1"/>
  <c r="S223" i="31" s="1"/>
  <c r="S216" i="31" a="1"/>
  <c r="S216" i="31" s="1"/>
  <c r="S221" i="31" a="1"/>
  <c r="S221" i="31" s="1"/>
  <c r="S213" i="31" a="1"/>
  <c r="S213" i="31" s="1"/>
  <c r="S222" i="31" a="1"/>
  <c r="S222" i="31" s="1"/>
  <c r="S215" i="31" a="1"/>
  <c r="S215" i="31" s="1"/>
  <c r="S212" i="31" a="1"/>
  <c r="S212" i="31" s="1"/>
  <c r="AJ8" i="28"/>
  <c r="N8" i="28"/>
  <c r="CB8" i="28"/>
  <c r="CN8" i="28"/>
  <c r="R222" i="31" a="1"/>
  <c r="R222" i="31" s="1"/>
  <c r="R217" i="31" a="1"/>
  <c r="R217" i="31" s="1"/>
  <c r="R216" i="31" a="1"/>
  <c r="R216" i="31" s="1"/>
  <c r="R221" i="31" a="1"/>
  <c r="R221" i="31" s="1"/>
  <c r="R215" i="31" a="1"/>
  <c r="R215" i="31" s="1"/>
  <c r="R220" i="31" a="1"/>
  <c r="R220" i="31" s="1"/>
  <c r="R219" i="31" a="1"/>
  <c r="R219" i="31" s="1"/>
  <c r="R213" i="31" a="1"/>
  <c r="R213" i="31" s="1"/>
  <c r="R224" i="31" a="1"/>
  <c r="R224" i="31" s="1"/>
  <c r="R212" i="31" a="1"/>
  <c r="R212" i="31" s="1"/>
  <c r="R223" i="31" a="1"/>
  <c r="R223" i="31" s="1"/>
  <c r="R218" i="31" a="1"/>
  <c r="R218" i="31" s="1"/>
  <c r="R211" i="31" a="1"/>
  <c r="R211" i="31" s="1"/>
  <c r="AA35" i="34"/>
  <c r="AA34" i="34" s="1"/>
  <c r="AA33" i="34" s="1"/>
  <c r="J35" i="34"/>
  <c r="J34" i="34" s="1"/>
  <c r="J33" i="34" s="1"/>
  <c r="Q35" i="34"/>
  <c r="Q34" i="34" s="1"/>
  <c r="Q33" i="34" s="1"/>
  <c r="I35" i="34"/>
  <c r="I34" i="34" s="1"/>
  <c r="I33" i="34" s="1"/>
  <c r="P35" i="34"/>
  <c r="P34" i="34" s="1"/>
  <c r="P33" i="34" s="1"/>
  <c r="H35" i="34"/>
  <c r="H34" i="34" s="1"/>
  <c r="H33" i="34" s="1"/>
  <c r="O35" i="34"/>
  <c r="O34" i="34" s="1"/>
  <c r="O33" i="34" s="1"/>
  <c r="G35" i="34"/>
  <c r="G34" i="34" s="1"/>
  <c r="G33" i="34" s="1"/>
  <c r="E35" i="34"/>
  <c r="E34" i="34" s="1"/>
  <c r="E33" i="34" s="1"/>
  <c r="N35" i="34"/>
  <c r="N34" i="34" s="1"/>
  <c r="N33" i="34" s="1"/>
  <c r="F35" i="34"/>
  <c r="F34" i="34" s="1"/>
  <c r="F33" i="34" s="1"/>
  <c r="M35" i="34"/>
  <c r="M34" i="34" s="1"/>
  <c r="M33" i="34" s="1"/>
  <c r="L35" i="34"/>
  <c r="L34" i="34" s="1"/>
  <c r="L33" i="34" s="1"/>
  <c r="K35" i="34"/>
  <c r="K34" i="34" s="1"/>
  <c r="K33" i="34" s="1"/>
  <c r="O215" i="31" a="1"/>
  <c r="O215" i="31" s="1"/>
  <c r="G215" i="31" a="1"/>
  <c r="G215" i="31" s="1"/>
  <c r="N215" i="31" a="1"/>
  <c r="N215" i="31" s="1"/>
  <c r="F215" i="31" a="1"/>
  <c r="F215" i="31" s="1"/>
  <c r="M215" i="31" a="1"/>
  <c r="M215" i="31" s="1"/>
  <c r="E215" i="31" a="1"/>
  <c r="E215" i="31" s="1"/>
  <c r="D215" i="31" a="1"/>
  <c r="D215" i="31" s="1"/>
  <c r="L215" i="31" a="1"/>
  <c r="L215" i="31" s="1"/>
  <c r="J215" i="31" a="1"/>
  <c r="J215" i="31" s="1"/>
  <c r="K215" i="31" a="1"/>
  <c r="K215" i="31" s="1"/>
  <c r="P215" i="31" a="1"/>
  <c r="P215" i="31" s="1"/>
  <c r="Q215" i="31" a="1"/>
  <c r="Q215" i="31" s="1"/>
  <c r="I215" i="31" a="1"/>
  <c r="I215" i="31" s="1"/>
  <c r="H215" i="31" a="1"/>
  <c r="H215" i="31" s="1"/>
  <c r="AW1" i="30" a="1"/>
  <c r="AW1" i="30" s="1"/>
  <c r="AE1" i="30" a="1"/>
  <c r="AE1" i="30" s="1"/>
  <c r="AS1" i="30" a="1"/>
  <c r="AS1" i="30" s="1"/>
  <c r="BI1" i="30" a="1"/>
  <c r="BI1" i="30" s="1"/>
  <c r="Y1" i="30" a="1"/>
  <c r="Y1" i="30" s="1"/>
  <c r="AC1" i="30" a="1"/>
  <c r="AC1" i="30" s="1"/>
  <c r="AK1" i="30" a="1"/>
  <c r="AK1" i="30" s="1"/>
  <c r="AO1" i="30" a="1"/>
  <c r="AO1" i="30" s="1"/>
  <c r="AY1" i="30" a="1"/>
  <c r="AY1" i="30" s="1"/>
  <c r="AU1" i="30" a="1"/>
  <c r="AU1" i="30" s="1"/>
  <c r="BA1" i="30" a="1"/>
  <c r="BA1" i="30" s="1"/>
  <c r="U1" i="30" a="1"/>
  <c r="U1" i="30" s="1"/>
  <c r="AA1" i="30" a="1"/>
  <c r="AA1" i="30" s="1"/>
  <c r="BO1" i="30" a="1"/>
  <c r="BO1" i="30" s="1"/>
  <c r="BC1" i="30" a="1"/>
  <c r="BC1" i="30" s="1"/>
  <c r="AQ1" i="30" a="1"/>
  <c r="AQ1" i="30" s="1"/>
  <c r="AM1" i="30" a="1"/>
  <c r="AM1" i="30" s="1"/>
  <c r="AG1" i="30" a="1"/>
  <c r="AG1" i="30" s="1"/>
  <c r="BE1" i="30" a="1"/>
  <c r="BE1" i="30" s="1"/>
  <c r="BG1" i="30" a="1"/>
  <c r="BG1" i="30" s="1"/>
  <c r="BM1" i="30" a="1"/>
  <c r="BM1" i="30" s="1"/>
  <c r="AI1" i="30" a="1"/>
  <c r="AI1" i="30" s="1"/>
  <c r="W1" i="30" a="1"/>
  <c r="W1" i="30" s="1"/>
  <c r="BK1" i="30" a="1"/>
  <c r="BK1" i="30" s="1"/>
  <c r="O3" i="30" a="1"/>
  <c r="O3" i="30" s="1"/>
  <c r="P3" i="30" s="1"/>
  <c r="J8" i="30" a="1"/>
  <c r="J8" i="30" s="1"/>
  <c r="S2" i="30" s="1"/>
  <c r="S1" i="30" s="1" a="1"/>
  <c r="S1" i="30" s="1"/>
  <c r="H8" i="30" a="1"/>
  <c r="H8" i="30" s="1"/>
  <c r="C8" i="30" a="1"/>
  <c r="C8" i="30" s="1"/>
  <c r="B8" i="30" a="1"/>
  <c r="B8" i="30" s="1"/>
  <c r="Q224" i="31" a="1"/>
  <c r="Q224" i="31" s="1"/>
  <c r="Q223" i="31" a="1"/>
  <c r="Q223" i="31" s="1"/>
  <c r="Q218" i="31" a="1"/>
  <c r="Q218" i="31" s="1"/>
  <c r="Q222" i="31" a="1"/>
  <c r="Q222" i="31" s="1"/>
  <c r="Q217" i="31" a="1"/>
  <c r="Q217" i="31" s="1"/>
  <c r="Q221" i="31" a="1"/>
  <c r="Q221" i="31" s="1"/>
  <c r="Q216" i="31" a="1"/>
  <c r="Q216" i="31" s="1"/>
  <c r="Q213" i="31" a="1"/>
  <c r="Q213" i="31" s="1"/>
  <c r="Q220" i="31" a="1"/>
  <c r="Q220" i="31" s="1"/>
  <c r="Q212" i="31" a="1"/>
  <c r="Q212" i="31" s="1"/>
  <c r="Q211" i="31" a="1"/>
  <c r="Q211" i="31" s="1"/>
  <c r="Q219" i="31" a="1"/>
  <c r="Q219" i="31" s="1"/>
  <c r="F211" i="31" a="1"/>
  <c r="F211" i="31" s="1"/>
  <c r="CF10" i="28"/>
  <c r="E3" i="29"/>
  <c r="H10" i="28"/>
  <c r="CH10" i="28"/>
  <c r="BD8" i="28"/>
  <c r="BD10" i="28" s="1"/>
  <c r="R10" i="28"/>
  <c r="BQ8" i="28"/>
  <c r="BQ10" i="28" s="1"/>
  <c r="CV8" i="28"/>
  <c r="CV10" i="28" s="1"/>
  <c r="CI8" i="28"/>
  <c r="CI10" i="28" s="1"/>
  <c r="J8" i="28"/>
  <c r="J10" i="28" s="1"/>
  <c r="CK8" i="28"/>
  <c r="CK10" i="28" s="1"/>
  <c r="CW8" i="28"/>
  <c r="CW10" i="28" s="1"/>
  <c r="AV8" i="28"/>
  <c r="BN8" i="28"/>
  <c r="BN10" i="28" s="1"/>
  <c r="CX8" i="28"/>
  <c r="CX10" i="28" s="1"/>
  <c r="BC8" i="28"/>
  <c r="BC10" i="28" s="1"/>
  <c r="CM8" i="28"/>
  <c r="CM10" i="28" s="1"/>
  <c r="I8" i="28"/>
  <c r="I10" i="28" s="1"/>
  <c r="F10" i="28"/>
  <c r="B8" i="28"/>
  <c r="CJ8" i="28"/>
  <c r="CJ10" i="28" s="1"/>
  <c r="BO8" i="28"/>
  <c r="BO10" i="28" s="1"/>
  <c r="AS8" i="28"/>
  <c r="AS10" i="28" s="1"/>
  <c r="V8" i="28"/>
  <c r="V10" i="28" s="1"/>
  <c r="BE8" i="28"/>
  <c r="BE10" i="28" s="1"/>
  <c r="CL8" i="28"/>
  <c r="CL10" i="28" s="1"/>
  <c r="AQ8" i="28"/>
  <c r="AQ10" i="28" s="1"/>
  <c r="AR8" i="28"/>
  <c r="AR10" i="28" s="1"/>
  <c r="W8" i="28"/>
  <c r="W10" i="28" s="1"/>
  <c r="BF8" i="28"/>
  <c r="BF10" i="28" s="1"/>
  <c r="K8" i="28"/>
  <c r="K10" i="28" s="1"/>
  <c r="X8" i="28"/>
  <c r="X10" i="28" s="1"/>
  <c r="AT8" i="28"/>
  <c r="AT10" i="28" s="1"/>
  <c r="BG8" i="28"/>
  <c r="BG10" i="28" s="1"/>
  <c r="M8" i="28"/>
  <c r="M10" i="28" s="1"/>
  <c r="U8" i="28"/>
  <c r="U10" i="28" s="1"/>
  <c r="Y8" i="28"/>
  <c r="Y10" i="28" s="1"/>
  <c r="BH8" i="28"/>
  <c r="CU8" i="28"/>
  <c r="CU10" i="28" s="1"/>
  <c r="CY8" i="28"/>
  <c r="CY10" i="28" s="1"/>
  <c r="T10" i="28"/>
  <c r="CR10" i="28"/>
  <c r="AN10" i="28"/>
  <c r="CT10" i="28"/>
  <c r="AP10" i="28"/>
  <c r="BL10" i="28"/>
  <c r="BB10" i="28"/>
  <c r="O219" i="31" a="1"/>
  <c r="O219" i="31" s="1"/>
  <c r="P224" i="31" a="1"/>
  <c r="P224" i="31" s="1"/>
  <c r="P223" i="31" a="1"/>
  <c r="P223" i="31" s="1"/>
  <c r="P217" i="31" a="1"/>
  <c r="P217" i="31" s="1"/>
  <c r="P222" i="31" a="1"/>
  <c r="P222" i="31" s="1"/>
  <c r="P216" i="31" a="1"/>
  <c r="P216" i="31" s="1"/>
  <c r="P213" i="31" a="1"/>
  <c r="P213" i="31" s="1"/>
  <c r="P221" i="31" a="1"/>
  <c r="P221" i="31" s="1"/>
  <c r="P212" i="31" a="1"/>
  <c r="P212" i="31" s="1"/>
  <c r="P220" i="31" a="1"/>
  <c r="P220" i="31" s="1"/>
  <c r="P219" i="31" a="1"/>
  <c r="P219" i="31" s="1"/>
  <c r="P211" i="31" a="1"/>
  <c r="P211" i="31" s="1"/>
  <c r="P218" i="31" a="1"/>
  <c r="P218" i="31" s="1"/>
  <c r="H178" i="31"/>
  <c r="H174" i="31" s="1"/>
  <c r="D178" i="31"/>
  <c r="L178" i="31"/>
  <c r="L174" i="31" s="1"/>
  <c r="M178" i="31"/>
  <c r="M174" i="31" s="1"/>
  <c r="K211" i="31" a="1"/>
  <c r="K211" i="31" s="1"/>
  <c r="G212" i="31" a="1"/>
  <c r="G212" i="31" s="1"/>
  <c r="K213" i="31" a="1"/>
  <c r="K213" i="31" s="1"/>
  <c r="G216" i="31" a="1"/>
  <c r="G216" i="31" s="1"/>
  <c r="K217" i="31" a="1"/>
  <c r="K217" i="31" s="1"/>
  <c r="G218" i="31" a="1"/>
  <c r="G218" i="31" s="1"/>
  <c r="K219" i="31" a="1"/>
  <c r="K219" i="31" s="1"/>
  <c r="G220" i="31" a="1"/>
  <c r="G220" i="31" s="1"/>
  <c r="K221" i="31" a="1"/>
  <c r="K221" i="31" s="1"/>
  <c r="G222" i="31" a="1"/>
  <c r="G222" i="31" s="1"/>
  <c r="K223" i="31" a="1"/>
  <c r="K223" i="31" s="1"/>
  <c r="G224" i="31" a="1"/>
  <c r="G224" i="31" s="1"/>
  <c r="O220" i="31" a="1"/>
  <c r="O220" i="31" s="1"/>
  <c r="D211" i="31" a="1"/>
  <c r="D211" i="31" s="1"/>
  <c r="L211" i="31" a="1"/>
  <c r="L211" i="31" s="1"/>
  <c r="H212" i="31" a="1"/>
  <c r="H212" i="31" s="1"/>
  <c r="D213" i="31" a="1"/>
  <c r="D213" i="31" s="1"/>
  <c r="L213" i="31" a="1"/>
  <c r="L213" i="31" s="1"/>
  <c r="H216" i="31" a="1"/>
  <c r="H216" i="31" s="1"/>
  <c r="D217" i="31" a="1"/>
  <c r="D217" i="31" s="1"/>
  <c r="L217" i="31" a="1"/>
  <c r="L217" i="31" s="1"/>
  <c r="H218" i="31" a="1"/>
  <c r="H218" i="31" s="1"/>
  <c r="D219" i="31" a="1"/>
  <c r="D219" i="31" s="1"/>
  <c r="L219" i="31" a="1"/>
  <c r="L219" i="31" s="1"/>
  <c r="H220" i="31" a="1"/>
  <c r="H220" i="31" s="1"/>
  <c r="D221" i="31" a="1"/>
  <c r="D221" i="31" s="1"/>
  <c r="L221" i="31" a="1"/>
  <c r="L221" i="31" s="1"/>
  <c r="H222" i="31" a="1"/>
  <c r="H222" i="31" s="1"/>
  <c r="D223" i="31" a="1"/>
  <c r="D223" i="31" s="1"/>
  <c r="L223" i="31" a="1"/>
  <c r="L223" i="31" s="1"/>
  <c r="H224" i="31" a="1"/>
  <c r="H224" i="31" s="1"/>
  <c r="O211" i="31" a="1"/>
  <c r="O211" i="31" s="1"/>
  <c r="O221" i="31" a="1"/>
  <c r="O221" i="31" s="1"/>
  <c r="E211" i="31" a="1"/>
  <c r="E211" i="31" s="1"/>
  <c r="M211" i="31" a="1"/>
  <c r="M211" i="31" s="1"/>
  <c r="I212" i="31" a="1"/>
  <c r="I212" i="31" s="1"/>
  <c r="E213" i="31" a="1"/>
  <c r="E213" i="31" s="1"/>
  <c r="M213" i="31" a="1"/>
  <c r="M213" i="31" s="1"/>
  <c r="I216" i="31" a="1"/>
  <c r="I216" i="31" s="1"/>
  <c r="E217" i="31" a="1"/>
  <c r="E217" i="31" s="1"/>
  <c r="M217" i="31" a="1"/>
  <c r="M217" i="31" s="1"/>
  <c r="I218" i="31" a="1"/>
  <c r="I218" i="31" s="1"/>
  <c r="E219" i="31" a="1"/>
  <c r="E219" i="31" s="1"/>
  <c r="M219" i="31" a="1"/>
  <c r="M219" i="31" s="1"/>
  <c r="I220" i="31" a="1"/>
  <c r="I220" i="31" s="1"/>
  <c r="E221" i="31" a="1"/>
  <c r="E221" i="31" s="1"/>
  <c r="M221" i="31" a="1"/>
  <c r="M221" i="31" s="1"/>
  <c r="I222" i="31" a="1"/>
  <c r="I222" i="31" s="1"/>
  <c r="E223" i="31" a="1"/>
  <c r="E223" i="31" s="1"/>
  <c r="M223" i="31" a="1"/>
  <c r="M223" i="31" s="1"/>
  <c r="I224" i="31" a="1"/>
  <c r="I224" i="31" s="1"/>
  <c r="O212" i="31" a="1"/>
  <c r="O212" i="31" s="1"/>
  <c r="O222" i="31" a="1"/>
  <c r="O222" i="31" s="1"/>
  <c r="N211" i="31" a="1"/>
  <c r="N211" i="31" s="1"/>
  <c r="J212" i="31" a="1"/>
  <c r="J212" i="31" s="1"/>
  <c r="F213" i="31" a="1"/>
  <c r="F213" i="31" s="1"/>
  <c r="N213" i="31" a="1"/>
  <c r="N213" i="31" s="1"/>
  <c r="J216" i="31" a="1"/>
  <c r="J216" i="31" s="1"/>
  <c r="F217" i="31" a="1"/>
  <c r="F217" i="31" s="1"/>
  <c r="N217" i="31" a="1"/>
  <c r="N217" i="31" s="1"/>
  <c r="J218" i="31" a="1"/>
  <c r="J218" i="31" s="1"/>
  <c r="F219" i="31" a="1"/>
  <c r="F219" i="31" s="1"/>
  <c r="N219" i="31" a="1"/>
  <c r="N219" i="31" s="1"/>
  <c r="J220" i="31" a="1"/>
  <c r="J220" i="31" s="1"/>
  <c r="F221" i="31" a="1"/>
  <c r="F221" i="31" s="1"/>
  <c r="N221" i="31" a="1"/>
  <c r="N221" i="31" s="1"/>
  <c r="J222" i="31" a="1"/>
  <c r="J222" i="31" s="1"/>
  <c r="F223" i="31" a="1"/>
  <c r="F223" i="31" s="1"/>
  <c r="N223" i="31" a="1"/>
  <c r="N223" i="31" s="1"/>
  <c r="J224" i="31" a="1"/>
  <c r="J224" i="31" s="1"/>
  <c r="O213" i="31" a="1"/>
  <c r="O213" i="31" s="1"/>
  <c r="O223" i="31" a="1"/>
  <c r="O223" i="31" s="1"/>
  <c r="G211" i="31" a="1"/>
  <c r="G211" i="31" s="1"/>
  <c r="K212" i="31" a="1"/>
  <c r="K212" i="31" s="1"/>
  <c r="G213" i="31" a="1"/>
  <c r="G213" i="31" s="1"/>
  <c r="K216" i="31" a="1"/>
  <c r="K216" i="31" s="1"/>
  <c r="G217" i="31" a="1"/>
  <c r="G217" i="31" s="1"/>
  <c r="K218" i="31" a="1"/>
  <c r="K218" i="31" s="1"/>
  <c r="G219" i="31" a="1"/>
  <c r="G219" i="31" s="1"/>
  <c r="K220" i="31" a="1"/>
  <c r="K220" i="31" s="1"/>
  <c r="G221" i="31" a="1"/>
  <c r="G221" i="31" s="1"/>
  <c r="K222" i="31" a="1"/>
  <c r="K222" i="31" s="1"/>
  <c r="G223" i="31" a="1"/>
  <c r="G223" i="31" s="1"/>
  <c r="K224" i="31" a="1"/>
  <c r="K224" i="31" s="1"/>
  <c r="O216" i="31" a="1"/>
  <c r="O216" i="31" s="1"/>
  <c r="O224" i="31" a="1"/>
  <c r="O224" i="31" s="1"/>
  <c r="H211" i="31" a="1"/>
  <c r="H211" i="31" s="1"/>
  <c r="D212" i="31" a="1"/>
  <c r="D212" i="31" s="1"/>
  <c r="L212" i="31" a="1"/>
  <c r="L212" i="31" s="1"/>
  <c r="H213" i="31" a="1"/>
  <c r="H213" i="31" s="1"/>
  <c r="D216" i="31" a="1"/>
  <c r="D216" i="31" s="1"/>
  <c r="L216" i="31" a="1"/>
  <c r="L216" i="31" s="1"/>
  <c r="H217" i="31" a="1"/>
  <c r="H217" i="31" s="1"/>
  <c r="D218" i="31" a="1"/>
  <c r="D218" i="31" s="1"/>
  <c r="L218" i="31" a="1"/>
  <c r="L218" i="31" s="1"/>
  <c r="H219" i="31" a="1"/>
  <c r="H219" i="31" s="1"/>
  <c r="D220" i="31" a="1"/>
  <c r="D220" i="31" s="1"/>
  <c r="L220" i="31" a="1"/>
  <c r="L220" i="31" s="1"/>
  <c r="H221" i="31" a="1"/>
  <c r="H221" i="31" s="1"/>
  <c r="D222" i="31" a="1"/>
  <c r="D222" i="31" s="1"/>
  <c r="L222" i="31" a="1"/>
  <c r="L222" i="31" s="1"/>
  <c r="H223" i="31" a="1"/>
  <c r="H223" i="31" s="1"/>
  <c r="D224" i="31" a="1"/>
  <c r="D224" i="31" s="1"/>
  <c r="L224" i="31" a="1"/>
  <c r="L224" i="31" s="1"/>
  <c r="O217" i="31" a="1"/>
  <c r="O217" i="31" s="1"/>
  <c r="I211" i="31" a="1"/>
  <c r="I211" i="31" s="1"/>
  <c r="E212" i="31" a="1"/>
  <c r="E212" i="31" s="1"/>
  <c r="M212" i="31" a="1"/>
  <c r="M212" i="31" s="1"/>
  <c r="I213" i="31" a="1"/>
  <c r="I213" i="31" s="1"/>
  <c r="E216" i="31" a="1"/>
  <c r="E216" i="31" s="1"/>
  <c r="M216" i="31" a="1"/>
  <c r="M216" i="31" s="1"/>
  <c r="I217" i="31" a="1"/>
  <c r="I217" i="31" s="1"/>
  <c r="E218" i="31" a="1"/>
  <c r="E218" i="31" s="1"/>
  <c r="M218" i="31" a="1"/>
  <c r="M218" i="31" s="1"/>
  <c r="I219" i="31" a="1"/>
  <c r="I219" i="31" s="1"/>
  <c r="E220" i="31" a="1"/>
  <c r="E220" i="31" s="1"/>
  <c r="M220" i="31" a="1"/>
  <c r="M220" i="31" s="1"/>
  <c r="I221" i="31" a="1"/>
  <c r="I221" i="31" s="1"/>
  <c r="E222" i="31" a="1"/>
  <c r="E222" i="31" s="1"/>
  <c r="M222" i="31" a="1"/>
  <c r="M222" i="31" s="1"/>
  <c r="I223" i="31" a="1"/>
  <c r="I223" i="31" s="1"/>
  <c r="E224" i="31" a="1"/>
  <c r="E224" i="31" s="1"/>
  <c r="M224" i="31" a="1"/>
  <c r="M224" i="31" s="1"/>
  <c r="O218" i="31" a="1"/>
  <c r="O218" i="31" s="1"/>
  <c r="J211" i="31" a="1"/>
  <c r="J211" i="31" s="1"/>
  <c r="F212" i="31" a="1"/>
  <c r="F212" i="31" s="1"/>
  <c r="N212" i="31" a="1"/>
  <c r="N212" i="31" s="1"/>
  <c r="J213" i="31" a="1"/>
  <c r="J213" i="31" s="1"/>
  <c r="F216" i="31" a="1"/>
  <c r="F216" i="31" s="1"/>
  <c r="N216" i="31" a="1"/>
  <c r="N216" i="31" s="1"/>
  <c r="J217" i="31" a="1"/>
  <c r="J217" i="31" s="1"/>
  <c r="F218" i="31" a="1"/>
  <c r="F218" i="31" s="1"/>
  <c r="N218" i="31" a="1"/>
  <c r="N218" i="31" s="1"/>
  <c r="J219" i="31" a="1"/>
  <c r="J219" i="31" s="1"/>
  <c r="F220" i="31" a="1"/>
  <c r="F220" i="31" s="1"/>
  <c r="N220" i="31" a="1"/>
  <c r="N220" i="31" s="1"/>
  <c r="J221" i="31" a="1"/>
  <c r="J221" i="31" s="1"/>
  <c r="F222" i="31" a="1"/>
  <c r="F222" i="31" s="1"/>
  <c r="N222" i="31" a="1"/>
  <c r="N222" i="31" s="1"/>
  <c r="J223" i="31" a="1"/>
  <c r="J223" i="31" s="1"/>
  <c r="F224" i="31" a="1"/>
  <c r="F224" i="31" s="1"/>
  <c r="N224" i="31" a="1"/>
  <c r="N224" i="31" s="1"/>
  <c r="H79" i="31"/>
  <c r="I79" i="31"/>
  <c r="L79" i="31"/>
  <c r="I178" i="31"/>
  <c r="I174" i="31" s="1"/>
  <c r="F178" i="31"/>
  <c r="F174" i="31" s="1"/>
  <c r="O79" i="31"/>
  <c r="O178" i="31"/>
  <c r="O174" i="31" s="1"/>
  <c r="N178" i="31"/>
  <c r="N174" i="31" s="1"/>
  <c r="K156" i="31"/>
  <c r="G156" i="31"/>
  <c r="G178" i="31"/>
  <c r="G174" i="31" s="1"/>
  <c r="AA178" i="31"/>
  <c r="AA174" i="31" s="1"/>
  <c r="K178" i="31"/>
  <c r="K174" i="31" s="1"/>
  <c r="O83" i="31"/>
  <c r="O129" i="31"/>
  <c r="O106" i="31"/>
  <c r="O156" i="31"/>
  <c r="O69" i="31"/>
  <c r="M79" i="31"/>
  <c r="D83" i="31"/>
  <c r="L83" i="31"/>
  <c r="AE143" i="31"/>
  <c r="AE117" i="31"/>
  <c r="H106" i="31"/>
  <c r="AE120" i="31"/>
  <c r="AE118" i="31"/>
  <c r="AE136" i="31"/>
  <c r="AE147" i="31"/>
  <c r="AE159" i="31"/>
  <c r="AE238" i="31"/>
  <c r="E69" i="31"/>
  <c r="AE158" i="31"/>
  <c r="AE162" i="31"/>
  <c r="AE164" i="31"/>
  <c r="AE166" i="31"/>
  <c r="AE163" i="31"/>
  <c r="E178" i="31"/>
  <c r="E174" i="31" s="1"/>
  <c r="AE189" i="31"/>
  <c r="AE194" i="31"/>
  <c r="AE240" i="31"/>
  <c r="AE122" i="31"/>
  <c r="I106" i="31"/>
  <c r="AA129" i="31"/>
  <c r="K79" i="31"/>
  <c r="J156" i="31"/>
  <c r="H156" i="31"/>
  <c r="AE235" i="31"/>
  <c r="I69" i="31"/>
  <c r="L156" i="31"/>
  <c r="I156" i="31"/>
  <c r="F156" i="31"/>
  <c r="AE160" i="31"/>
  <c r="N156" i="31"/>
  <c r="E156" i="31"/>
  <c r="AE63" i="31"/>
  <c r="AE109" i="31"/>
  <c r="AE105" i="31"/>
  <c r="AE234" i="31"/>
  <c r="H83" i="31"/>
  <c r="AE115" i="31"/>
  <c r="AE149" i="31"/>
  <c r="E83" i="31"/>
  <c r="G129" i="31"/>
  <c r="AE152" i="31"/>
  <c r="AE153" i="31"/>
  <c r="AE114" i="31"/>
  <c r="M69" i="31"/>
  <c r="AA83" i="31"/>
  <c r="K106" i="31"/>
  <c r="H69" i="31"/>
  <c r="N69" i="31"/>
  <c r="AE73" i="31"/>
  <c r="J79" i="31"/>
  <c r="AE81" i="31"/>
  <c r="I83" i="31"/>
  <c r="L106" i="31"/>
  <c r="K129" i="31"/>
  <c r="M129" i="31"/>
  <c r="AE151" i="31"/>
  <c r="E129" i="31"/>
  <c r="AE71" i="31"/>
  <c r="J83" i="31"/>
  <c r="G106" i="31"/>
  <c r="M106" i="31"/>
  <c r="H129" i="31"/>
  <c r="J129" i="31"/>
  <c r="AE132" i="31"/>
  <c r="L129" i="31"/>
  <c r="AE101" i="31"/>
  <c r="J178" i="31"/>
  <c r="J174" i="31" s="1"/>
  <c r="AE182" i="31"/>
  <c r="AE186" i="31"/>
  <c r="AE190" i="31"/>
  <c r="AE192" i="31"/>
  <c r="AE193" i="31"/>
  <c r="AE239" i="31"/>
  <c r="AE231" i="31"/>
  <c r="M83" i="31"/>
  <c r="AE110" i="31"/>
  <c r="I129" i="31"/>
  <c r="AE96" i="31"/>
  <c r="AE236" i="31"/>
  <c r="AA106" i="31"/>
  <c r="AA69" i="31"/>
  <c r="N129" i="31"/>
  <c r="AE36" i="31"/>
  <c r="AE72" i="31"/>
  <c r="AE54" i="31"/>
  <c r="K83" i="31"/>
  <c r="N106" i="31"/>
  <c r="J69" i="31"/>
  <c r="K69" i="31"/>
  <c r="AE59" i="31"/>
  <c r="F79" i="31"/>
  <c r="AE107" i="31"/>
  <c r="J106" i="31"/>
  <c r="AE148" i="31"/>
  <c r="AE41" i="31"/>
  <c r="L69" i="31"/>
  <c r="G79" i="31"/>
  <c r="N79" i="31"/>
  <c r="AE82" i="31"/>
  <c r="F83" i="31"/>
  <c r="AE94" i="31"/>
  <c r="AE43" i="31"/>
  <c r="F69" i="31"/>
  <c r="AA79" i="31"/>
  <c r="G83" i="31"/>
  <c r="N83" i="31"/>
  <c r="AE42" i="31"/>
  <c r="G69" i="31"/>
  <c r="E106" i="31"/>
  <c r="AE85" i="31"/>
  <c r="F106" i="31"/>
  <c r="F129" i="31"/>
  <c r="E79" i="31"/>
  <c r="AE131" i="31"/>
  <c r="AE35" i="31"/>
  <c r="AE38" i="31"/>
  <c r="AE57" i="31"/>
  <c r="AE60" i="31"/>
  <c r="AE64" i="31"/>
  <c r="AE65" i="31"/>
  <c r="AE37" i="31"/>
  <c r="AE70" i="31"/>
  <c r="AE75" i="31"/>
  <c r="AE61" i="31"/>
  <c r="AE89" i="31"/>
  <c r="D88" i="31"/>
  <c r="AC88" i="31" s="1"/>
  <c r="AE80" i="31"/>
  <c r="AE55" i="31"/>
  <c r="AE74" i="31"/>
  <c r="AE67" i="31"/>
  <c r="AE39" i="31"/>
  <c r="AE66" i="31"/>
  <c r="AE40" i="31"/>
  <c r="AE76" i="31"/>
  <c r="AE62" i="31"/>
  <c r="AE87" i="31"/>
  <c r="D129" i="31"/>
  <c r="AE130" i="31"/>
  <c r="AE137" i="31"/>
  <c r="AE139" i="31"/>
  <c r="AE142" i="31"/>
  <c r="AE138" i="31"/>
  <c r="D106" i="31"/>
  <c r="AE108" i="31"/>
  <c r="AE144" i="31"/>
  <c r="AE113" i="31"/>
  <c r="AE133" i="31"/>
  <c r="D79" i="31"/>
  <c r="AE111" i="31"/>
  <c r="AE135" i="31"/>
  <c r="AE84" i="31"/>
  <c r="AE134" i="31"/>
  <c r="AE140" i="31"/>
  <c r="AE86" i="31"/>
  <c r="AE116" i="31"/>
  <c r="AE112" i="31"/>
  <c r="AE141" i="31"/>
  <c r="AE146" i="31"/>
  <c r="AE99" i="31"/>
  <c r="AE121" i="31"/>
  <c r="AA156" i="31"/>
  <c r="AE102" i="31"/>
  <c r="AE104" i="31"/>
  <c r="AE157" i="31"/>
  <c r="D156" i="31"/>
  <c r="AE92" i="31"/>
  <c r="AE95" i="31"/>
  <c r="AE123" i="31"/>
  <c r="D167" i="31"/>
  <c r="AC167" i="31" s="1"/>
  <c r="AE168" i="31"/>
  <c r="AE91" i="31"/>
  <c r="AE93" i="31"/>
  <c r="M156" i="31"/>
  <c r="AE154" i="31"/>
  <c r="AE98" i="31"/>
  <c r="AE161" i="31"/>
  <c r="AE165" i="31"/>
  <c r="AE183" i="31"/>
  <c r="AE150" i="31"/>
  <c r="AE145" i="31"/>
  <c r="AE100" i="31"/>
  <c r="AE175" i="31"/>
  <c r="AE229" i="31"/>
  <c r="AE228" i="31"/>
  <c r="AE187" i="31"/>
  <c r="AE184" i="31"/>
  <c r="AE196" i="31"/>
  <c r="AE251" i="31"/>
  <c r="AE180" i="31"/>
  <c r="AE237" i="31"/>
  <c r="AE230" i="31"/>
  <c r="AE181" i="31"/>
  <c r="AE232" i="31"/>
  <c r="AE249" i="31"/>
  <c r="AE185" i="31"/>
  <c r="AE188" i="31"/>
  <c r="AE191" i="31"/>
  <c r="AE233" i="31"/>
  <c r="AE206" i="31"/>
  <c r="L8" i="30"/>
  <c r="L12" i="30"/>
  <c r="L16" i="30"/>
  <c r="L20" i="30"/>
  <c r="L24" i="30"/>
  <c r="L30" i="30"/>
  <c r="L32" i="30"/>
  <c r="L36" i="30"/>
  <c r="L40" i="30"/>
  <c r="L42" i="30"/>
  <c r="L47" i="30"/>
  <c r="L55" i="30"/>
  <c r="L63" i="30"/>
  <c r="L71" i="30"/>
  <c r="L75" i="30"/>
  <c r="E8" i="30"/>
  <c r="E9" i="30"/>
  <c r="E11" i="30"/>
  <c r="E13" i="30"/>
  <c r="E15" i="30"/>
  <c r="E17" i="30"/>
  <c r="E19" i="30"/>
  <c r="E21" i="30"/>
  <c r="E23" i="30"/>
  <c r="E25" i="30"/>
  <c r="E27" i="30"/>
  <c r="E29" i="30"/>
  <c r="E31" i="30"/>
  <c r="E33" i="30"/>
  <c r="E35" i="30"/>
  <c r="E37" i="30"/>
  <c r="E39" i="30"/>
  <c r="E41" i="30"/>
  <c r="E43" i="30"/>
  <c r="E45" i="30"/>
  <c r="L48" i="30"/>
  <c r="L52" i="30"/>
  <c r="L56" i="30"/>
  <c r="L60" i="30"/>
  <c r="L64" i="30"/>
  <c r="L68" i="30"/>
  <c r="L72" i="30"/>
  <c r="L76" i="30"/>
  <c r="L80" i="30"/>
  <c r="L10" i="30"/>
  <c r="L14" i="30"/>
  <c r="L18" i="30"/>
  <c r="L22" i="30"/>
  <c r="L26" i="30"/>
  <c r="L28" i="30"/>
  <c r="L34" i="30"/>
  <c r="L38" i="30"/>
  <c r="L44" i="30"/>
  <c r="L51" i="30"/>
  <c r="L59" i="30"/>
  <c r="L67" i="30"/>
  <c r="L79" i="30"/>
  <c r="L9" i="30"/>
  <c r="L11" i="30"/>
  <c r="L13" i="30"/>
  <c r="L15" i="30"/>
  <c r="L17" i="30"/>
  <c r="L19" i="30"/>
  <c r="L21" i="30"/>
  <c r="L23" i="30"/>
  <c r="L25" i="30"/>
  <c r="L27" i="30"/>
  <c r="L29" i="30"/>
  <c r="L31" i="30"/>
  <c r="L33" i="30"/>
  <c r="L35" i="30"/>
  <c r="L37" i="30"/>
  <c r="L39" i="30"/>
  <c r="L41" i="30"/>
  <c r="L43" i="30"/>
  <c r="L45" i="30"/>
  <c r="L49" i="30"/>
  <c r="L53" i="30"/>
  <c r="L57" i="30"/>
  <c r="L61" i="30"/>
  <c r="L65" i="30"/>
  <c r="L69" i="30"/>
  <c r="L73" i="30"/>
  <c r="L77" i="30"/>
  <c r="L81" i="30"/>
  <c r="E10" i="30"/>
  <c r="E12" i="30"/>
  <c r="E14" i="30"/>
  <c r="E16" i="30"/>
  <c r="E18" i="30"/>
  <c r="E20" i="30"/>
  <c r="E22" i="30"/>
  <c r="E24" i="30"/>
  <c r="E26" i="30"/>
  <c r="E28" i="30"/>
  <c r="E30" i="30"/>
  <c r="E32" i="30"/>
  <c r="E34" i="30"/>
  <c r="E36" i="30"/>
  <c r="E38" i="30"/>
  <c r="E40" i="30"/>
  <c r="E42" i="30"/>
  <c r="L46" i="30"/>
  <c r="L50" i="30"/>
  <c r="L54" i="30"/>
  <c r="L58" i="30"/>
  <c r="L62" i="30"/>
  <c r="L66" i="30"/>
  <c r="L70" i="30"/>
  <c r="L74" i="30"/>
  <c r="L78" i="30"/>
  <c r="L82" i="30"/>
  <c r="W1" i="29"/>
  <c r="BP8" i="28"/>
  <c r="BP10" i="28" s="1"/>
  <c r="L8" i="28"/>
  <c r="L10" i="28" s="1"/>
  <c r="BM8" i="28"/>
  <c r="BM10" i="28" s="1"/>
  <c r="AU8" i="28"/>
  <c r="AU10" i="28" s="1"/>
  <c r="O5" i="5"/>
  <c r="P5" i="5" s="1"/>
  <c r="M5" i="5"/>
  <c r="M4" i="5"/>
  <c r="H39" i="5"/>
  <c r="I39" i="5" s="1"/>
  <c r="H38" i="5"/>
  <c r="I38" i="5" s="1"/>
  <c r="H35" i="5"/>
  <c r="I35" i="5" s="1"/>
  <c r="H34" i="5"/>
  <c r="I34" i="5" s="1"/>
  <c r="H27" i="5"/>
  <c r="I27" i="5" s="1"/>
  <c r="H26" i="5"/>
  <c r="I26" i="5" s="1"/>
  <c r="H23" i="5"/>
  <c r="I23" i="5" s="1"/>
  <c r="H22" i="5"/>
  <c r="I22" i="5" s="1"/>
  <c r="H19" i="5"/>
  <c r="I19" i="5" s="1"/>
  <c r="H18" i="5"/>
  <c r="I18" i="5" s="1"/>
  <c r="H11" i="5"/>
  <c r="I11" i="5" s="1"/>
  <c r="H10" i="5"/>
  <c r="I10" i="5" s="1"/>
  <c r="H7" i="5"/>
  <c r="I7" i="5" s="1"/>
  <c r="H6" i="5"/>
  <c r="I6" i="5" s="1"/>
  <c r="D9" i="5"/>
  <c r="C9" i="5"/>
  <c r="F49" i="30" l="1"/>
  <c r="F50" i="30"/>
  <c r="F48" i="30"/>
  <c r="M98" i="30"/>
  <c r="M97" i="30"/>
  <c r="M96" i="30"/>
  <c r="AC220" i="31"/>
  <c r="AC213" i="31"/>
  <c r="AC212" i="31"/>
  <c r="AC214" i="31"/>
  <c r="AC224" i="31"/>
  <c r="AC219" i="31"/>
  <c r="AC215" i="31"/>
  <c r="AC218" i="31"/>
  <c r="AC211" i="31"/>
  <c r="AC223" i="31"/>
  <c r="AC222" i="31"/>
  <c r="AC217" i="31"/>
  <c r="AC216" i="31"/>
  <c r="AC221" i="31"/>
  <c r="AC79" i="31"/>
  <c r="AC69" i="31"/>
  <c r="AC129" i="31"/>
  <c r="AC106" i="31"/>
  <c r="AC178" i="31"/>
  <c r="AC83" i="31"/>
  <c r="AC156" i="31"/>
  <c r="V23" i="31"/>
  <c r="W23" i="31"/>
  <c r="Y210" i="31"/>
  <c r="Y202" i="31" s="1"/>
  <c r="Y201" i="31" s="1"/>
  <c r="Y200" i="31" s="1"/>
  <c r="T210" i="31"/>
  <c r="T202" i="31" s="1"/>
  <c r="T201" i="31" s="1"/>
  <c r="T200" i="31" s="1"/>
  <c r="AE214" i="31"/>
  <c r="U210" i="31"/>
  <c r="U202" i="31" s="1"/>
  <c r="U201" i="31" s="1"/>
  <c r="U200" i="31" s="1"/>
  <c r="X210" i="31"/>
  <c r="X202" i="31" s="1"/>
  <c r="X201" i="31" s="1"/>
  <c r="X200" i="31" s="1"/>
  <c r="Z210" i="31"/>
  <c r="Z202" i="31" s="1"/>
  <c r="Z201" i="31" s="1"/>
  <c r="Z200" i="31" s="1"/>
  <c r="V210" i="31"/>
  <c r="V202" i="31" s="1"/>
  <c r="V201" i="31" s="1"/>
  <c r="V200" i="31" s="1"/>
  <c r="W210" i="31"/>
  <c r="W202" i="31" s="1"/>
  <c r="W201" i="31" s="1"/>
  <c r="W200" i="31" s="1"/>
  <c r="D24" i="31"/>
  <c r="AC24" i="31" s="1"/>
  <c r="T23" i="31"/>
  <c r="U23" i="31"/>
  <c r="M95" i="30"/>
  <c r="M94" i="30"/>
  <c r="AE167" i="31"/>
  <c r="AE88" i="31"/>
  <c r="N173" i="31" a="1"/>
  <c r="N173" i="31" s="1"/>
  <c r="N33" i="31" s="1"/>
  <c r="M173" i="31" a="1"/>
  <c r="M173" i="31" s="1"/>
  <c r="M33" i="31" s="1"/>
  <c r="E173" i="31" a="1"/>
  <c r="E173" i="31" s="1"/>
  <c r="E33" i="31" s="1"/>
  <c r="K173" i="31" a="1"/>
  <c r="K173" i="31" s="1"/>
  <c r="K33" i="31" s="1"/>
  <c r="H173" i="31" a="1"/>
  <c r="H173" i="31" s="1"/>
  <c r="H33" i="31" s="1"/>
  <c r="O173" i="31" a="1"/>
  <c r="O173" i="31" s="1"/>
  <c r="O33" i="31" s="1"/>
  <c r="J173" i="31" a="1"/>
  <c r="J173" i="31" s="1"/>
  <c r="J33" i="31" s="1"/>
  <c r="AA173" i="31" a="1"/>
  <c r="AA173" i="31" s="1"/>
  <c r="AA33" i="31" s="1"/>
  <c r="F173" i="31" a="1"/>
  <c r="F173" i="31" s="1"/>
  <c r="F33" i="31" s="1"/>
  <c r="L173" i="31" a="1"/>
  <c r="L173" i="31" s="1"/>
  <c r="L33" i="31" s="1"/>
  <c r="G173" i="31" a="1"/>
  <c r="G173" i="31" s="1"/>
  <c r="G33" i="31" s="1"/>
  <c r="I173" i="31" a="1"/>
  <c r="I173" i="31" s="1"/>
  <c r="I33" i="31" s="1"/>
  <c r="D173" i="31" a="1"/>
  <c r="D173" i="31" s="1"/>
  <c r="S210" i="31"/>
  <c r="S202" i="31" s="1"/>
  <c r="S201" i="31" s="1"/>
  <c r="S200" i="31" s="1"/>
  <c r="M90" i="30"/>
  <c r="M91" i="30"/>
  <c r="M93" i="30"/>
  <c r="M92" i="30"/>
  <c r="R210" i="31"/>
  <c r="R202" i="31" s="1"/>
  <c r="R201" i="31" s="1"/>
  <c r="R200" i="31" s="1"/>
  <c r="AE215" i="31"/>
  <c r="AE37" i="34"/>
  <c r="D35" i="34"/>
  <c r="AC35" i="34" s="1"/>
  <c r="H210" i="31"/>
  <c r="H202" i="31" s="1"/>
  <c r="H201" i="31" s="1"/>
  <c r="H200" i="31" s="1"/>
  <c r="L210" i="31"/>
  <c r="L202" i="31" s="1"/>
  <c r="L201" i="31" s="1"/>
  <c r="L200" i="31" s="1"/>
  <c r="AA210" i="31"/>
  <c r="AA202" i="31" s="1"/>
  <c r="AA201" i="31" s="1"/>
  <c r="AA200" i="31" s="1"/>
  <c r="N210" i="31"/>
  <c r="N202" i="31" s="1"/>
  <c r="N201" i="31" s="1"/>
  <c r="N200" i="31" s="1"/>
  <c r="D210" i="31"/>
  <c r="Q210" i="31"/>
  <c r="Q202" i="31" s="1"/>
  <c r="Q201" i="31" s="1"/>
  <c r="Q200" i="31" s="1"/>
  <c r="J210" i="31"/>
  <c r="J202" i="31" s="1"/>
  <c r="J201" i="31" s="1"/>
  <c r="J200" i="31" s="1"/>
  <c r="O210" i="31"/>
  <c r="O202" i="31" s="1"/>
  <c r="O201" i="31" s="1"/>
  <c r="O200" i="31" s="1"/>
  <c r="M210" i="31"/>
  <c r="M202" i="31" s="1"/>
  <c r="M201" i="31" s="1"/>
  <c r="M200" i="31" s="1"/>
  <c r="P210" i="31"/>
  <c r="P202" i="31" s="1"/>
  <c r="P201" i="31" s="1"/>
  <c r="P200" i="31" s="1"/>
  <c r="I210" i="31"/>
  <c r="I202" i="31" s="1"/>
  <c r="I201" i="31" s="1"/>
  <c r="I200" i="31" s="1"/>
  <c r="E210" i="31"/>
  <c r="E202" i="31" s="1"/>
  <c r="E201" i="31" s="1"/>
  <c r="E200" i="31" s="1"/>
  <c r="F210" i="31"/>
  <c r="F202" i="31" s="1"/>
  <c r="F201" i="31" s="1"/>
  <c r="F200" i="31" s="1"/>
  <c r="G210" i="31"/>
  <c r="G202" i="31" s="1"/>
  <c r="G201" i="31" s="1"/>
  <c r="G200" i="31" s="1"/>
  <c r="K210" i="31"/>
  <c r="K202" i="31" s="1"/>
  <c r="K201" i="31" s="1"/>
  <c r="K200" i="31" s="1"/>
  <c r="AM4" i="30" a="1"/>
  <c r="AM4" i="30" s="1"/>
  <c r="AG4" i="30" a="1"/>
  <c r="AG4" i="30" s="1"/>
  <c r="W4" i="30" a="1"/>
  <c r="W4" i="30" s="1"/>
  <c r="AU4" i="30" a="1"/>
  <c r="AU4" i="30" s="1"/>
  <c r="BO4" i="30" a="1"/>
  <c r="BO4" i="30" s="1"/>
  <c r="BI4" i="30" a="1"/>
  <c r="BI4" i="30" s="1"/>
  <c r="AE4" i="30" a="1"/>
  <c r="AE4" i="30" s="1"/>
  <c r="BC4" i="30" a="1"/>
  <c r="BC4" i="30" s="1"/>
  <c r="AY4" i="30" a="1"/>
  <c r="AY4" i="30" s="1"/>
  <c r="AS4" i="30" a="1"/>
  <c r="AS4" i="30" s="1"/>
  <c r="AI4" i="30" a="1"/>
  <c r="AI4" i="30" s="1"/>
  <c r="AW4" i="30" a="1"/>
  <c r="AW4" i="30" s="1"/>
  <c r="AK4" i="30" a="1"/>
  <c r="AK4" i="30" s="1"/>
  <c r="BM4" i="30" a="1"/>
  <c r="BM4" i="30" s="1"/>
  <c r="BG4" i="30" a="1"/>
  <c r="BG4" i="30" s="1"/>
  <c r="AC4" i="30" a="1"/>
  <c r="AC4" i="30" s="1"/>
  <c r="AQ4" i="30" a="1"/>
  <c r="AQ4" i="30" s="1"/>
  <c r="U4" i="30" a="1"/>
  <c r="U4" i="30" s="1"/>
  <c r="AO4" i="30" a="1"/>
  <c r="AO4" i="30" s="1"/>
  <c r="BE4" i="30" a="1"/>
  <c r="BE4" i="30" s="1"/>
  <c r="AA4" i="30" a="1"/>
  <c r="AA4" i="30" s="1"/>
  <c r="BK4" i="30" a="1"/>
  <c r="BK4" i="30" s="1"/>
  <c r="BA4" i="30" a="1"/>
  <c r="BA4" i="30" s="1"/>
  <c r="Y4" i="30" a="1"/>
  <c r="Y4" i="30" s="1"/>
  <c r="S4" i="30" a="1"/>
  <c r="S4" i="30" s="1"/>
  <c r="M89" i="30"/>
  <c r="M85" i="30"/>
  <c r="M86" i="30"/>
  <c r="M88" i="30"/>
  <c r="M84" i="30"/>
  <c r="M87" i="30"/>
  <c r="M83" i="30"/>
  <c r="F46" i="30"/>
  <c r="F47" i="30"/>
  <c r="H21" i="5"/>
  <c r="I21" i="5" s="1"/>
  <c r="H9" i="5"/>
  <c r="I9" i="5" s="1"/>
  <c r="AE217" i="31"/>
  <c r="AE219" i="31"/>
  <c r="AE222" i="31"/>
  <c r="AE224" i="31"/>
  <c r="AE213" i="31"/>
  <c r="AE212" i="31"/>
  <c r="AE221" i="31"/>
  <c r="AE218" i="31"/>
  <c r="AE211" i="31"/>
  <c r="AE220" i="31"/>
  <c r="AE216" i="31"/>
  <c r="AE223" i="31"/>
  <c r="AE179" i="31"/>
  <c r="AE90" i="31"/>
  <c r="AE69" i="31"/>
  <c r="AE178" i="31"/>
  <c r="AE79" i="31"/>
  <c r="AE83" i="31"/>
  <c r="AE119" i="31"/>
  <c r="AE129" i="31"/>
  <c r="AE106" i="31"/>
  <c r="AE156" i="31"/>
  <c r="AE34" i="31"/>
  <c r="AE227" i="31"/>
  <c r="AE226" i="31"/>
  <c r="AE53" i="31"/>
  <c r="AE207" i="31"/>
  <c r="D174" i="31"/>
  <c r="AC174" i="31" s="1"/>
  <c r="F44" i="30"/>
  <c r="F42" i="30"/>
  <c r="F40" i="30"/>
  <c r="F38" i="30"/>
  <c r="F36" i="30"/>
  <c r="F34" i="30"/>
  <c r="F32" i="30"/>
  <c r="F30" i="30"/>
  <c r="F28" i="30"/>
  <c r="F26" i="30"/>
  <c r="F24" i="30"/>
  <c r="F22" i="30"/>
  <c r="F20" i="30"/>
  <c r="F18" i="30"/>
  <c r="F16" i="30"/>
  <c r="F14" i="30"/>
  <c r="F12" i="30"/>
  <c r="F10" i="30"/>
  <c r="F45" i="30"/>
  <c r="F43" i="30"/>
  <c r="F41" i="30"/>
  <c r="F39" i="30"/>
  <c r="F37" i="30"/>
  <c r="F35" i="30"/>
  <c r="F33" i="30"/>
  <c r="F31" i="30"/>
  <c r="F29" i="30"/>
  <c r="F27" i="30"/>
  <c r="F25" i="30"/>
  <c r="F23" i="30"/>
  <c r="F21" i="30"/>
  <c r="F19" i="30"/>
  <c r="F17" i="30"/>
  <c r="F15" i="30"/>
  <c r="F13" i="30"/>
  <c r="F11" i="30"/>
  <c r="F9" i="30"/>
  <c r="F8" i="30"/>
  <c r="M82" i="30"/>
  <c r="M78" i="30"/>
  <c r="M74" i="30"/>
  <c r="M70" i="30"/>
  <c r="M66" i="30"/>
  <c r="M62" i="30"/>
  <c r="M58" i="30"/>
  <c r="M54" i="30"/>
  <c r="M50" i="30"/>
  <c r="M46" i="30"/>
  <c r="M81" i="30"/>
  <c r="M77" i="30"/>
  <c r="M73" i="30"/>
  <c r="M69" i="30"/>
  <c r="M65" i="30"/>
  <c r="M61" i="30"/>
  <c r="M57" i="30"/>
  <c r="M53" i="30"/>
  <c r="M49" i="30"/>
  <c r="M45" i="30"/>
  <c r="M43" i="30"/>
  <c r="M41" i="30"/>
  <c r="M39" i="30"/>
  <c r="M37" i="30"/>
  <c r="M35" i="30"/>
  <c r="M33" i="30"/>
  <c r="M31" i="30"/>
  <c r="M29" i="30"/>
  <c r="M27" i="30"/>
  <c r="M25" i="30"/>
  <c r="M23" i="30"/>
  <c r="M21" i="30"/>
  <c r="M19" i="30"/>
  <c r="M17" i="30"/>
  <c r="M15" i="30"/>
  <c r="M13" i="30"/>
  <c r="M11" i="30"/>
  <c r="M9" i="30"/>
  <c r="M80" i="30"/>
  <c r="M76" i="30"/>
  <c r="M72" i="30"/>
  <c r="M68" i="30"/>
  <c r="M64" i="30"/>
  <c r="M60" i="30"/>
  <c r="M56" i="30"/>
  <c r="M52" i="30"/>
  <c r="M48" i="30"/>
  <c r="M75" i="30"/>
  <c r="M79" i="30"/>
  <c r="M71" i="30"/>
  <c r="M67" i="30"/>
  <c r="M63" i="30"/>
  <c r="M59" i="30"/>
  <c r="M55" i="30"/>
  <c r="M51" i="30"/>
  <c r="M47" i="30"/>
  <c r="M44" i="30"/>
  <c r="M42" i="30"/>
  <c r="M40" i="30"/>
  <c r="M38" i="30"/>
  <c r="M36" i="30"/>
  <c r="M34" i="30"/>
  <c r="M32" i="30"/>
  <c r="M30" i="30"/>
  <c r="M28" i="30"/>
  <c r="M26" i="30"/>
  <c r="M24" i="30"/>
  <c r="M22" i="30"/>
  <c r="M20" i="30"/>
  <c r="M18" i="30"/>
  <c r="M16" i="30"/>
  <c r="M14" i="30"/>
  <c r="M12" i="30"/>
  <c r="M10" i="30"/>
  <c r="M8" i="30"/>
  <c r="H17" i="5"/>
  <c r="I17" i="5" s="1"/>
  <c r="H25" i="5"/>
  <c r="I25" i="5" s="1"/>
  <c r="H37" i="5"/>
  <c r="I37" i="5" s="1"/>
  <c r="H33" i="5"/>
  <c r="I33" i="5" s="1"/>
  <c r="H5" i="5"/>
  <c r="I5" i="5" s="1"/>
  <c r="X12" i="5"/>
  <c r="V12" i="5"/>
  <c r="W12" i="5"/>
  <c r="U12" i="5"/>
  <c r="T12" i="5"/>
  <c r="C36" i="5" s="1"/>
  <c r="X11" i="5"/>
  <c r="V11" i="5"/>
  <c r="W11" i="5"/>
  <c r="U11" i="5"/>
  <c r="T11" i="5"/>
  <c r="C32" i="5" s="1"/>
  <c r="X9" i="5"/>
  <c r="V9" i="5"/>
  <c r="W9" i="5"/>
  <c r="U9" i="5"/>
  <c r="T9" i="5"/>
  <c r="C24" i="5" s="1"/>
  <c r="X8" i="5"/>
  <c r="V8" i="5"/>
  <c r="W8" i="5"/>
  <c r="U8" i="5"/>
  <c r="T8" i="5"/>
  <c r="C20" i="5" s="1"/>
  <c r="X7" i="5"/>
  <c r="V7" i="5"/>
  <c r="W7" i="5"/>
  <c r="U7" i="5"/>
  <c r="T7" i="5"/>
  <c r="C16" i="5" s="1"/>
  <c r="X5" i="5"/>
  <c r="V5" i="5"/>
  <c r="W5" i="5"/>
  <c r="U5" i="5"/>
  <c r="T5" i="5"/>
  <c r="X4" i="5"/>
  <c r="V4" i="5"/>
  <c r="W4" i="5"/>
  <c r="U4" i="5"/>
  <c r="T4" i="5"/>
  <c r="C4" i="5" s="1"/>
  <c r="AC210" i="31" l="1"/>
  <c r="AC173" i="31"/>
  <c r="D4" i="5"/>
  <c r="F20" i="5"/>
  <c r="D8" i="5"/>
  <c r="F24" i="5"/>
  <c r="F4" i="5"/>
  <c r="D32" i="5"/>
  <c r="D16" i="5"/>
  <c r="F32" i="5"/>
  <c r="D24" i="5"/>
  <c r="F16" i="5"/>
  <c r="H28" i="5"/>
  <c r="I28" i="5" s="1"/>
  <c r="C8" i="5"/>
  <c r="F8" i="5"/>
  <c r="D36" i="5"/>
  <c r="D20" i="5"/>
  <c r="F36" i="5"/>
  <c r="AE174" i="31"/>
  <c r="D33" i="31"/>
  <c r="AC33" i="31" s="1"/>
  <c r="S3" i="30"/>
  <c r="R4" i="30" a="1"/>
  <c r="R4" i="30" s="1"/>
  <c r="AM3" i="30"/>
  <c r="AL4" i="30" a="1"/>
  <c r="AL4" i="30" s="1"/>
  <c r="Y3" i="30"/>
  <c r="X4" i="30" a="1"/>
  <c r="X4" i="30" s="1"/>
  <c r="AC3" i="30"/>
  <c r="AB4" i="30" a="1"/>
  <c r="AB4" i="30" s="1"/>
  <c r="BC3" i="30"/>
  <c r="BB4" i="30" a="1"/>
  <c r="BB4" i="30" s="1"/>
  <c r="AQ3" i="30"/>
  <c r="AP4" i="30" a="1"/>
  <c r="AP4" i="30" s="1"/>
  <c r="BK3" i="30"/>
  <c r="BJ4" i="30" a="1"/>
  <c r="BJ4" i="30" s="1"/>
  <c r="BM3" i="30"/>
  <c r="BL4" i="30" a="1"/>
  <c r="BL4" i="30" s="1"/>
  <c r="BI3" i="30"/>
  <c r="BH4" i="30" a="1"/>
  <c r="BH4" i="30" s="1"/>
  <c r="AE3" i="30"/>
  <c r="AD4" i="30" a="1"/>
  <c r="AD4" i="30" s="1"/>
  <c r="AA3" i="30"/>
  <c r="Z4" i="30" a="1"/>
  <c r="Z4" i="30" s="1"/>
  <c r="AK3" i="30"/>
  <c r="AJ4" i="30" a="1"/>
  <c r="AJ4" i="30" s="1"/>
  <c r="BO3" i="30"/>
  <c r="BN4" i="30" a="1"/>
  <c r="BN4" i="30" s="1"/>
  <c r="BG3" i="30"/>
  <c r="BF4" i="30" a="1"/>
  <c r="BF4" i="30" s="1"/>
  <c r="BE3" i="30"/>
  <c r="BD4" i="30" a="1"/>
  <c r="BD4" i="30" s="1"/>
  <c r="AW3" i="30"/>
  <c r="AV4" i="30" a="1"/>
  <c r="AV4" i="30" s="1"/>
  <c r="AU3" i="30"/>
  <c r="AT4" i="30" a="1"/>
  <c r="AT4" i="30" s="1"/>
  <c r="BA3" i="30"/>
  <c r="AZ4" i="30" a="1"/>
  <c r="AZ4" i="30" s="1"/>
  <c r="AO3" i="30"/>
  <c r="AN4" i="30" a="1"/>
  <c r="AN4" i="30" s="1"/>
  <c r="AI3" i="30"/>
  <c r="AH4" i="30" a="1"/>
  <c r="AH4" i="30" s="1"/>
  <c r="W3" i="30"/>
  <c r="V4" i="30" a="1"/>
  <c r="V4" i="30" s="1"/>
  <c r="AY3" i="30"/>
  <c r="AX4" i="30" a="1"/>
  <c r="AX4" i="30" s="1"/>
  <c r="U3" i="30"/>
  <c r="T4" i="30" a="1"/>
  <c r="T4" i="30" s="1"/>
  <c r="AS3" i="30"/>
  <c r="AR4" i="30" a="1"/>
  <c r="AR4" i="30" s="1"/>
  <c r="AG3" i="30"/>
  <c r="AF4" i="30" a="1"/>
  <c r="AF4" i="30" s="1"/>
  <c r="D34" i="34"/>
  <c r="AC34" i="34" s="1"/>
  <c r="AE35" i="34"/>
  <c r="AE210" i="31"/>
  <c r="AE173" i="31"/>
  <c r="AE203" i="31"/>
  <c r="D202" i="31"/>
  <c r="AC202" i="31" s="1"/>
  <c r="AE33" i="31" l="1"/>
  <c r="AE34" i="34"/>
  <c r="D33" i="34"/>
  <c r="AC33" i="34" s="1"/>
  <c r="AE202" i="31"/>
  <c r="D201" i="31"/>
  <c r="AC201" i="31" s="1"/>
  <c r="AA5" i="5"/>
  <c r="Z13" i="5"/>
  <c r="AA12" i="5"/>
  <c r="AA11" i="5"/>
  <c r="V13" i="5"/>
  <c r="Y13" i="5"/>
  <c r="AA9" i="5"/>
  <c r="H36" i="5"/>
  <c r="I36" i="5" s="1"/>
  <c r="X13" i="5"/>
  <c r="AA4" i="5"/>
  <c r="AA7" i="5"/>
  <c r="AA8" i="5"/>
  <c r="T13" i="5"/>
  <c r="U13" i="5"/>
  <c r="W13" i="5"/>
  <c r="AE33" i="34" l="1"/>
  <c r="H24" i="5"/>
  <c r="I24" i="5" s="1"/>
  <c r="CN10" i="28"/>
  <c r="CN9" i="28" s="1"/>
  <c r="D200" i="31"/>
  <c r="AC200" i="31" s="1"/>
  <c r="AE201" i="31"/>
  <c r="H32" i="5"/>
  <c r="I32" i="5" s="1"/>
  <c r="H20" i="5"/>
  <c r="I20" i="5" s="1"/>
  <c r="H8" i="5"/>
  <c r="I8" i="5" s="1"/>
  <c r="H16" i="5"/>
  <c r="I16" i="5" s="1"/>
  <c r="H4" i="5"/>
  <c r="I4" i="5" s="1"/>
  <c r="AA13" i="5"/>
  <c r="AJ10" i="28" l="1"/>
  <c r="AJ9" i="28" s="1"/>
  <c r="AV10" i="28"/>
  <c r="AV9" i="28" s="1"/>
  <c r="BH10" i="28"/>
  <c r="BH9" i="28" s="1"/>
  <c r="CB10" i="28"/>
  <c r="CB9" i="28" s="1"/>
  <c r="B10" i="28"/>
  <c r="B9" i="28" s="1"/>
  <c r="N10" i="28"/>
  <c r="N9" i="28" s="1"/>
  <c r="AE200" i="31"/>
  <c r="AE9" i="34" l="1"/>
  <c r="S23" i="31" l="1"/>
  <c r="AA23" i="31"/>
  <c r="H23" i="31"/>
  <c r="R23" i="31"/>
  <c r="M23" i="31"/>
  <c r="G23" i="31"/>
  <c r="E23" i="31"/>
  <c r="P23" i="31"/>
  <c r="K23" i="31"/>
  <c r="L23" i="31"/>
  <c r="I23" i="31"/>
  <c r="N23" i="31"/>
  <c r="O23" i="31"/>
  <c r="F23" i="31"/>
  <c r="J23" i="31"/>
  <c r="Q23" i="31"/>
  <c r="O7" i="33" l="1"/>
  <c r="J4" i="33"/>
  <c r="D23" i="31"/>
  <c r="AC23" i="31" s="1"/>
  <c r="AE24" i="31"/>
  <c r="AE23" i="31" l="1"/>
  <c r="O4" i="33"/>
  <c r="O23" i="33" l="1"/>
  <c r="F9" i="33"/>
  <c r="F3" i="33" s="1"/>
  <c r="F44" i="33" s="1"/>
  <c r="I9" i="33"/>
  <c r="I3" i="33" s="1"/>
  <c r="I44" i="33" s="1"/>
  <c r="D9" i="33"/>
  <c r="D3" i="33" s="1"/>
  <c r="D44" i="33" s="1"/>
  <c r="E9" i="33"/>
  <c r="E3" i="33" s="1"/>
  <c r="E44" i="33" s="1"/>
  <c r="K9" i="33"/>
  <c r="K3" i="33" s="1"/>
  <c r="K44" i="33" s="1"/>
  <c r="J9" i="33"/>
  <c r="J3" i="33" s="1"/>
  <c r="J44" i="33" s="1"/>
  <c r="G9" i="33"/>
  <c r="G3" i="33" s="1"/>
  <c r="G44" i="33" s="1"/>
  <c r="M9" i="33"/>
  <c r="M3" i="33" s="1"/>
  <c r="M44" i="33" s="1"/>
  <c r="L9" i="33"/>
  <c r="L3" i="33" s="1"/>
  <c r="L44" i="33" s="1"/>
  <c r="C9" i="33"/>
  <c r="H9" i="33"/>
  <c r="H3" i="33" s="1"/>
  <c r="H44" i="33" s="1"/>
  <c r="O9" i="33" l="1"/>
  <c r="C3" i="33"/>
  <c r="O3" i="33" s="1"/>
  <c r="C44" i="33" l="1"/>
  <c r="O44" i="33" l="1"/>
  <c r="J46" i="33"/>
  <c r="F46" i="33"/>
  <c r="M46" i="33"/>
  <c r="K46" i="33"/>
  <c r="H46" i="33"/>
  <c r="E46" i="33"/>
  <c r="D46" i="33"/>
  <c r="C46" i="33"/>
  <c r="G46" i="33"/>
  <c r="I46" i="33"/>
  <c r="L46" i="33"/>
  <c r="I10" i="48" l="1"/>
  <c r="D10" i="34"/>
  <c r="I10" i="34" l="1"/>
  <c r="V10" i="34"/>
  <c r="G10" i="34"/>
  <c r="T10" i="34"/>
  <c r="R10" i="34"/>
  <c r="Q10" i="34"/>
  <c r="AA10" i="34"/>
  <c r="K10" i="34"/>
  <c r="E10" i="34"/>
  <c r="Y10" i="34"/>
  <c r="O10" i="34"/>
  <c r="H10" i="34"/>
  <c r="F10" i="34"/>
  <c r="W10" i="34"/>
  <c r="J10" i="34"/>
  <c r="Z10" i="34"/>
  <c r="N10" i="34"/>
  <c r="P10" i="34"/>
  <c r="X10" i="34"/>
  <c r="M10" i="34"/>
  <c r="U10" i="34"/>
  <c r="AE24" i="34"/>
  <c r="S10" i="34"/>
  <c r="AC10" i="34" l="1"/>
  <c r="AE10" i="34"/>
  <c r="AB28" i="28"/>
  <c r="P16" i="31"/>
  <c r="C46" i="28"/>
  <c r="E51" i="28"/>
  <c r="CS67" i="28"/>
  <c r="Z30" i="31"/>
  <c r="CP84" i="28"/>
  <c r="AM19" i="28"/>
  <c r="E29" i="31"/>
  <c r="P86" i="28"/>
  <c r="E60" i="28"/>
  <c r="O68" i="28"/>
  <c r="BA79" i="28"/>
  <c r="BA73" i="28"/>
  <c r="BU53" i="28"/>
  <c r="P82" i="28"/>
  <c r="CD95" i="28"/>
  <c r="CS38" i="28"/>
  <c r="D32" i="31"/>
  <c r="C103" i="28"/>
  <c r="AO52" i="28"/>
  <c r="Z15" i="31"/>
  <c r="BS69" i="28"/>
  <c r="E72" i="28"/>
  <c r="AC97" i="28"/>
  <c r="I12" i="31"/>
  <c r="AX55" i="28"/>
  <c r="AX32" i="28"/>
  <c r="CG93" i="28"/>
  <c r="CC89" i="28"/>
  <c r="T30" i="31"/>
  <c r="AL28" i="28"/>
  <c r="AA117" i="28"/>
  <c r="CS92" i="28"/>
  <c r="CG47" i="28"/>
  <c r="AK44" i="28"/>
  <c r="E34" i="28"/>
  <c r="AY46" i="28"/>
  <c r="S44" i="28"/>
  <c r="U14" i="31"/>
  <c r="AW68" i="28"/>
  <c r="CQ94" i="28"/>
  <c r="D60" i="28"/>
  <c r="CG88" i="28"/>
  <c r="AC31" i="28"/>
  <c r="M7" i="31"/>
  <c r="C62" i="28"/>
  <c r="J18" i="31"/>
  <c r="E97" i="28"/>
  <c r="BT99" i="28"/>
  <c r="Q22" i="31"/>
  <c r="BA103" i="28"/>
  <c r="AY49" i="28"/>
  <c r="CG80" i="28"/>
  <c r="CQ117" i="28"/>
  <c r="P115" i="28"/>
  <c r="CD62" i="28"/>
  <c r="G83" i="28"/>
  <c r="M18" i="31"/>
  <c r="CD68" i="28"/>
  <c r="H21" i="31"/>
  <c r="S87" i="28"/>
  <c r="Y18" i="31"/>
  <c r="CO70" i="28"/>
  <c r="AW63" i="28"/>
  <c r="CC115" i="28"/>
  <c r="AW81" i="28"/>
  <c r="AM107" i="28"/>
  <c r="I7" i="31"/>
  <c r="AO39" i="28"/>
  <c r="E119" i="28"/>
  <c r="AX51" i="28"/>
  <c r="AW38" i="28"/>
  <c r="E28" i="28"/>
  <c r="G16" i="28"/>
  <c r="C35" i="28"/>
  <c r="CO100" i="28"/>
  <c r="Y22" i="31"/>
  <c r="BS107" i="28"/>
  <c r="D83" i="28"/>
  <c r="Z7" i="34" a="1"/>
  <c r="G114" i="28"/>
  <c r="W21" i="31"/>
  <c r="N31" i="31"/>
  <c r="AL75" i="28"/>
  <c r="AA113" i="28"/>
  <c r="AA8" i="31"/>
  <c r="U7" i="34" a="1"/>
  <c r="P29" i="31"/>
  <c r="CP97" i="28"/>
  <c r="G21" i="31"/>
  <c r="BK25" i="28"/>
  <c r="AB83" i="28"/>
  <c r="BS25" i="28"/>
  <c r="O60" i="28"/>
  <c r="Q95" i="28"/>
  <c r="CE55" i="28"/>
  <c r="D73" i="28"/>
  <c r="AC59" i="28"/>
  <c r="CE50" i="28"/>
  <c r="AB78" i="28"/>
  <c r="BS92" i="28"/>
  <c r="CG68" i="28"/>
  <c r="AO34" i="28"/>
  <c r="CS22" i="28"/>
  <c r="AW121" i="28"/>
  <c r="P102" i="28"/>
  <c r="CC93" i="28"/>
  <c r="AW89" i="28"/>
  <c r="E74" i="28"/>
  <c r="S7" i="34" a="1"/>
  <c r="BA63" i="28"/>
  <c r="Y21" i="31"/>
  <c r="O44" i="28"/>
  <c r="BA17" i="28"/>
  <c r="AY54" i="28"/>
  <c r="BU107" i="28"/>
  <c r="S121" i="28"/>
  <c r="Q54" i="28"/>
  <c r="AM109" i="28"/>
  <c r="O66" i="28"/>
  <c r="G41" i="28"/>
  <c r="H22" i="31"/>
  <c r="C69" i="28"/>
  <c r="G67" i="28"/>
  <c r="AY80" i="28"/>
  <c r="E15" i="31"/>
  <c r="I14" i="31"/>
  <c r="G39" i="28"/>
  <c r="AW40" i="28"/>
  <c r="CP22" i="28"/>
  <c r="E110" i="28"/>
  <c r="E71" i="28"/>
  <c r="CG41" i="28"/>
  <c r="W31" i="31"/>
  <c r="AB21" i="28"/>
  <c r="CQ97" i="28"/>
  <c r="T29" i="31"/>
  <c r="P45" i="28"/>
  <c r="CS94" i="28"/>
  <c r="S97" i="28"/>
  <c r="CG42" i="28"/>
  <c r="O17" i="31"/>
  <c r="CS51" i="28"/>
  <c r="AW102" i="28"/>
  <c r="Q72" i="28"/>
  <c r="CC90" i="28"/>
  <c r="O117" i="28"/>
  <c r="BA28" i="28"/>
  <c r="BI83" i="28"/>
  <c r="AC20" i="28"/>
  <c r="AL23" i="28"/>
  <c r="CO36" i="28"/>
  <c r="BU77" i="28"/>
  <c r="AM30" i="28"/>
  <c r="G8" i="31"/>
  <c r="BI67" i="28"/>
  <c r="CP18" i="28"/>
  <c r="AM39" i="28"/>
  <c r="E33" i="28"/>
  <c r="CG22" i="28"/>
  <c r="H15" i="31"/>
  <c r="G31" i="31"/>
  <c r="Q57" i="28"/>
  <c r="P92" i="28"/>
  <c r="G22" i="31"/>
  <c r="CC52" i="28"/>
  <c r="CQ122" i="28"/>
  <c r="BK17" i="28"/>
  <c r="CC65" i="28"/>
  <c r="CE64" i="28"/>
  <c r="X27" i="31"/>
  <c r="AX120" i="28"/>
  <c r="CO68" i="28"/>
  <c r="O107" i="28"/>
  <c r="CC68" i="28"/>
  <c r="AB23" i="28"/>
  <c r="CS85" i="28"/>
  <c r="BT93" i="28"/>
  <c r="AY45" i="28"/>
  <c r="BK59" i="28"/>
  <c r="E89" i="28"/>
  <c r="M8" i="31"/>
  <c r="CC66" i="28"/>
  <c r="AC76" i="28"/>
  <c r="D39" i="28"/>
  <c r="AW88" i="28"/>
  <c r="G108" i="28"/>
  <c r="AA27" i="31"/>
  <c r="BT87" i="28"/>
  <c r="I8" i="34" a="1"/>
  <c r="J15" i="31"/>
  <c r="O35" i="28"/>
  <c r="G40" i="28"/>
  <c r="AK69" i="28"/>
  <c r="CS55" i="28"/>
  <c r="V7" i="31"/>
  <c r="CP92" i="28"/>
  <c r="P34" i="28"/>
  <c r="CG48" i="28"/>
  <c r="G17" i="31"/>
  <c r="AY119" i="28"/>
  <c r="U28" i="31"/>
  <c r="H10" i="31"/>
  <c r="O73" i="28"/>
  <c r="AK111" i="28"/>
  <c r="CC19" i="28"/>
  <c r="BU56" i="28"/>
  <c r="BI50" i="28"/>
  <c r="BS43" i="28"/>
  <c r="CC53" i="28"/>
  <c r="BS120" i="28"/>
  <c r="P54" i="28"/>
  <c r="BK101" i="28"/>
  <c r="CQ19" i="28"/>
  <c r="Z13" i="31"/>
  <c r="CD55" i="28"/>
  <c r="D104" i="28"/>
  <c r="L10" i="31"/>
  <c r="AY84" i="28"/>
  <c r="K8" i="31"/>
  <c r="G118" i="28"/>
  <c r="CD56" i="28"/>
  <c r="BI41" i="28"/>
  <c r="AK32" i="28"/>
  <c r="AB50" i="28"/>
  <c r="S109" i="28"/>
  <c r="AK116" i="28"/>
  <c r="AM116" i="28"/>
  <c r="AL22" i="28"/>
  <c r="O74" i="28"/>
  <c r="E42" i="28"/>
  <c r="CS42" i="28"/>
  <c r="CE56" i="28"/>
  <c r="BK61" i="28"/>
  <c r="BA26" i="28"/>
  <c r="AY25" i="28"/>
  <c r="AM57" i="28"/>
  <c r="CS110" i="28"/>
  <c r="AA12" i="31"/>
  <c r="D114" i="28"/>
  <c r="E7" i="34" a="1"/>
  <c r="CG104" i="28"/>
  <c r="CO32" i="28"/>
  <c r="O92" i="28"/>
  <c r="BS115" i="28"/>
  <c r="AX31" i="28"/>
  <c r="AA22" i="31"/>
  <c r="AL66" i="28"/>
  <c r="AA23" i="28"/>
  <c r="E99" i="28"/>
  <c r="G117" i="28"/>
  <c r="BA54" i="28"/>
  <c r="AW22" i="28"/>
  <c r="CS113" i="28"/>
  <c r="CP63" i="28"/>
  <c r="AW42" i="28"/>
  <c r="Q71" i="28"/>
  <c r="CE84" i="28"/>
  <c r="AC15" i="28"/>
  <c r="BT59" i="28"/>
  <c r="CC79" i="28"/>
  <c r="AC51" i="28"/>
  <c r="BI121" i="28"/>
  <c r="CS97" i="28"/>
  <c r="AY79" i="28"/>
  <c r="AA18" i="31"/>
  <c r="BA30" i="28"/>
  <c r="CS80" i="28"/>
  <c r="P101" i="28"/>
  <c r="CC119" i="28"/>
  <c r="Y12" i="31"/>
  <c r="CC92" i="28"/>
  <c r="O30" i="31"/>
  <c r="AM81" i="28"/>
  <c r="AA52" i="28"/>
  <c r="AW107" i="28"/>
  <c r="AK19" i="28"/>
  <c r="X22" i="31"/>
  <c r="AK103" i="28"/>
  <c r="P8" i="34" a="1"/>
  <c r="AX113" i="28"/>
  <c r="AO114" i="28"/>
  <c r="AC116" i="28"/>
  <c r="AA81" i="28"/>
  <c r="AC95" i="28"/>
  <c r="BT32" i="28"/>
  <c r="CP27" i="28"/>
  <c r="S83" i="28"/>
  <c r="CO117" i="28"/>
  <c r="CP42" i="28"/>
  <c r="E79" i="28"/>
  <c r="CP59" i="28"/>
  <c r="CQ59" i="28"/>
  <c r="BT95" i="28"/>
  <c r="AO54" i="28"/>
  <c r="AB100" i="28"/>
  <c r="BK28" i="28"/>
  <c r="Q114" i="28"/>
  <c r="Q30" i="31"/>
  <c r="CG55" i="28"/>
  <c r="G14" i="31"/>
  <c r="BU78" i="28"/>
  <c r="E106" i="28"/>
  <c r="BT21" i="28"/>
  <c r="D23" i="28"/>
  <c r="AM61" i="28"/>
  <c r="BK80" i="28"/>
  <c r="G34" i="28"/>
  <c r="BK91" i="28"/>
  <c r="G98" i="28"/>
  <c r="CG87" i="28"/>
  <c r="CP110" i="28"/>
  <c r="AB24" i="28"/>
  <c r="CG37" i="28"/>
  <c r="K7" i="34" a="1"/>
  <c r="V17" i="31"/>
  <c r="CE34" i="28"/>
  <c r="CQ17" i="28"/>
  <c r="CO53" i="28"/>
  <c r="CG98" i="28"/>
  <c r="CC82" i="28"/>
  <c r="Q87" i="28"/>
  <c r="G19" i="31"/>
  <c r="CC36" i="28"/>
  <c r="BK119" i="28"/>
  <c r="O30" i="28"/>
  <c r="CS117" i="28"/>
  <c r="CO98" i="28"/>
  <c r="W12" i="31"/>
  <c r="BK21" i="28"/>
  <c r="AY114" i="28"/>
  <c r="CS103" i="28"/>
  <c r="G122" i="28"/>
  <c r="E65" i="28"/>
  <c r="AK120" i="28"/>
  <c r="D76" i="28"/>
  <c r="F14" i="31"/>
  <c r="AK41" i="28"/>
  <c r="E22" i="31"/>
  <c r="AY81" i="28"/>
  <c r="AA106" i="28"/>
  <c r="W14" i="31"/>
  <c r="BA78" i="28"/>
  <c r="CS53" i="28"/>
  <c r="AK58" i="28"/>
  <c r="BU120" i="28"/>
  <c r="Y32" i="31"/>
  <c r="BU103" i="28"/>
  <c r="S118" i="28"/>
  <c r="E77" i="28"/>
  <c r="AX23" i="28"/>
  <c r="CG71" i="28"/>
  <c r="BS73" i="28"/>
  <c r="AX99" i="28"/>
  <c r="CQ56" i="28"/>
  <c r="AB37" i="28"/>
  <c r="O61" i="28"/>
  <c r="BS97" i="28"/>
  <c r="D79" i="28"/>
  <c r="D82" i="28"/>
  <c r="CD63" i="28"/>
  <c r="S16" i="28"/>
  <c r="S21" i="28"/>
  <c r="BU68" i="28"/>
  <c r="E104" i="28"/>
  <c r="CQ23" i="28"/>
  <c r="BS84" i="28"/>
  <c r="E8" i="34" a="1"/>
  <c r="CD98" i="28"/>
  <c r="BT30" i="28"/>
  <c r="BI78" i="28"/>
  <c r="BK51" i="28"/>
  <c r="P63" i="28"/>
  <c r="BS47" i="28"/>
  <c r="BS71" i="28"/>
  <c r="CC122" i="28"/>
  <c r="CD85" i="28"/>
  <c r="CC15" i="28"/>
  <c r="BI17" i="28"/>
  <c r="AK20" i="28"/>
  <c r="CS54" i="28"/>
  <c r="CD39" i="28"/>
  <c r="AC121" i="28"/>
  <c r="J12" i="31"/>
  <c r="G99" i="28"/>
  <c r="D8" i="34" a="1"/>
  <c r="AX84" i="28"/>
  <c r="BU52" i="28"/>
  <c r="AM79" i="28"/>
  <c r="P5" i="31"/>
  <c r="Y8" i="34" a="1"/>
  <c r="E32" i="31"/>
  <c r="L12" i="31"/>
  <c r="AW45" i="28"/>
  <c r="CQ85" i="28"/>
  <c r="BI71" i="28"/>
  <c r="AC21" i="28"/>
  <c r="CS83" i="28"/>
  <c r="BU60" i="28"/>
  <c r="CP122" i="28"/>
  <c r="P107" i="28"/>
  <c r="AM73" i="28"/>
  <c r="O42" i="28"/>
  <c r="G102" i="28"/>
  <c r="AX34" i="28"/>
  <c r="AC101" i="28"/>
  <c r="BT40" i="28"/>
  <c r="S17" i="31"/>
  <c r="CE110" i="28"/>
  <c r="E83" i="28"/>
  <c r="O120" i="28"/>
  <c r="AY68" i="28"/>
  <c r="AM71" i="28"/>
  <c r="S71" i="28"/>
  <c r="D93" i="28"/>
  <c r="CC101" i="28"/>
  <c r="Q80" i="28"/>
  <c r="S89" i="28"/>
  <c r="AC72" i="28"/>
  <c r="AC71" i="28"/>
  <c r="CP48" i="28"/>
  <c r="AA33" i="28"/>
  <c r="CO40" i="28"/>
  <c r="G85" i="28"/>
  <c r="G45" i="28"/>
  <c r="AO117" i="28"/>
  <c r="CP56" i="28"/>
  <c r="AW39" i="28"/>
  <c r="P21" i="31"/>
  <c r="AM22" i="28"/>
  <c r="CG46" i="28"/>
  <c r="CO90" i="28"/>
  <c r="CE40" i="28"/>
  <c r="E115" i="28"/>
  <c r="CQ44" i="28"/>
  <c r="AY60" i="28"/>
  <c r="CC22" i="28"/>
  <c r="G95" i="28"/>
  <c r="CC103" i="28"/>
  <c r="CG56" i="28"/>
  <c r="Q17" i="28"/>
  <c r="CD28" i="28"/>
  <c r="G87" i="28"/>
  <c r="CQ39" i="28"/>
  <c r="G23" i="28"/>
  <c r="Q19" i="31"/>
  <c r="CO122" i="28"/>
  <c r="AK22" i="28"/>
  <c r="AM18" i="28"/>
  <c r="I19" i="31"/>
  <c r="CS40" i="28"/>
  <c r="CG100" i="28"/>
  <c r="AB117" i="28"/>
  <c r="BS91" i="28"/>
  <c r="G64" i="28"/>
  <c r="CS100" i="28"/>
  <c r="AM32" i="28"/>
  <c r="G33" i="28"/>
  <c r="G35" i="28"/>
  <c r="AO89" i="28"/>
  <c r="CE24" i="28"/>
  <c r="CD107" i="28"/>
  <c r="N14" i="31"/>
  <c r="F13" i="31"/>
  <c r="BT56" i="28"/>
  <c r="C44" i="28"/>
  <c r="CE105" i="28"/>
  <c r="D45" i="28"/>
  <c r="Q121" i="28"/>
  <c r="CS47" i="28"/>
  <c r="AW43" i="28"/>
  <c r="G68" i="28"/>
  <c r="D27" i="28"/>
  <c r="AX37" i="28"/>
  <c r="CO37" i="28"/>
  <c r="Q7" i="34" a="1"/>
  <c r="AW47" i="28"/>
  <c r="D48" i="28"/>
  <c r="BI32" i="28"/>
  <c r="C61" i="28"/>
  <c r="S28" i="28"/>
  <c r="Q35" i="28"/>
  <c r="Q113" i="28"/>
  <c r="C40" i="28"/>
  <c r="AB91" i="28"/>
  <c r="E5" i="31"/>
  <c r="N22" i="31"/>
  <c r="AA17" i="28"/>
  <c r="BK79" i="28"/>
  <c r="BT120" i="28"/>
  <c r="D109" i="28"/>
  <c r="BK114" i="28"/>
  <c r="U17" i="31"/>
  <c r="AK50" i="28"/>
  <c r="BT79" i="28"/>
  <c r="BU25" i="28"/>
  <c r="CO88" i="28"/>
  <c r="AO80" i="28"/>
  <c r="BA33" i="28"/>
  <c r="S39" i="28"/>
  <c r="BU32" i="28"/>
  <c r="AO96" i="28"/>
  <c r="CD119" i="28"/>
  <c r="CP87" i="28"/>
  <c r="BK33" i="28"/>
  <c r="BA72" i="28"/>
  <c r="Z17" i="31"/>
  <c r="P112" i="28"/>
  <c r="AL105" i="28"/>
  <c r="AC37" i="28"/>
  <c r="AK100" i="28"/>
  <c r="G82" i="28"/>
  <c r="BK92" i="28"/>
  <c r="AO121" i="28"/>
  <c r="E30" i="31"/>
  <c r="BK36" i="28"/>
  <c r="BT77" i="28"/>
  <c r="AB39" i="28"/>
  <c r="AY100" i="28"/>
  <c r="BI29" i="28"/>
  <c r="AC61" i="28"/>
  <c r="AB38" i="28"/>
  <c r="J19" i="31"/>
  <c r="BT90" i="28"/>
  <c r="CC43" i="28"/>
  <c r="C107" i="28"/>
  <c r="CP20" i="28"/>
  <c r="AW37" i="28"/>
  <c r="E48" i="28"/>
  <c r="AK78" i="28"/>
  <c r="CQ72" i="28"/>
  <c r="E25" i="28"/>
  <c r="AA76" i="28"/>
  <c r="F19" i="31"/>
  <c r="AW29" i="28"/>
  <c r="S31" i="31"/>
  <c r="AA49" i="28"/>
  <c r="AM121" i="28"/>
  <c r="O109" i="28"/>
  <c r="BK49" i="28"/>
  <c r="D101" i="28"/>
  <c r="P42" i="28"/>
  <c r="D12" i="31"/>
  <c r="X29" i="31"/>
  <c r="BT62" i="28"/>
  <c r="BA38" i="28"/>
  <c r="AA57" i="28"/>
  <c r="CP19" i="28"/>
  <c r="Q104" i="28"/>
  <c r="AW53" i="28"/>
  <c r="CQ32" i="28"/>
  <c r="CP91" i="28"/>
  <c r="C85" i="28"/>
  <c r="BT91" i="28"/>
  <c r="CE116" i="28"/>
  <c r="O18" i="28"/>
  <c r="AC34" i="28"/>
  <c r="AO92" i="28"/>
  <c r="BU24" i="28"/>
  <c r="P46" i="28"/>
  <c r="X7" i="31"/>
  <c r="Y7" i="34" a="1"/>
  <c r="AX56" i="28"/>
  <c r="AL118" i="28"/>
  <c r="G63" i="28"/>
  <c r="G93" i="28"/>
  <c r="AB61" i="28"/>
  <c r="BA52" i="28"/>
  <c r="Q118" i="28"/>
  <c r="J8" i="34" a="1"/>
  <c r="AB15" i="28"/>
  <c r="AL24" i="28"/>
  <c r="P55" i="28"/>
  <c r="AY41" i="28"/>
  <c r="CC111" i="28"/>
  <c r="AK97" i="28"/>
  <c r="AY75" i="28"/>
  <c r="O48" i="28"/>
  <c r="D17" i="28"/>
  <c r="CQ83" i="28"/>
  <c r="AL70" i="28"/>
  <c r="CP15" i="28"/>
  <c r="AW61" i="28"/>
  <c r="CQ91" i="28"/>
  <c r="AK99" i="28"/>
  <c r="Q70" i="28"/>
  <c r="AB122" i="28"/>
  <c r="U27" i="31"/>
  <c r="CQ65" i="28"/>
  <c r="V31" i="31"/>
  <c r="AL79" i="28"/>
  <c r="AB41" i="28"/>
  <c r="AC55" i="28"/>
  <c r="G111" i="28"/>
  <c r="AK16" i="28"/>
  <c r="AM38" i="28"/>
  <c r="CE102" i="28"/>
  <c r="BU16" i="28"/>
  <c r="G65" i="28"/>
  <c r="BT34" i="28"/>
  <c r="BT112" i="28"/>
  <c r="AA72" i="28"/>
  <c r="P83" i="28"/>
  <c r="BI113" i="28"/>
  <c r="AB48" i="28"/>
  <c r="CO121" i="28"/>
  <c r="P17" i="28"/>
  <c r="CP109" i="28"/>
  <c r="P108" i="28"/>
  <c r="CO60" i="28"/>
  <c r="BI101" i="28"/>
  <c r="AX33" i="28"/>
  <c r="P18" i="31"/>
  <c r="CS78" i="28"/>
  <c r="CS112" i="28"/>
  <c r="G36" i="28"/>
  <c r="CG31" i="28"/>
  <c r="BU28" i="28"/>
  <c r="D85" i="28"/>
  <c r="AY88" i="28"/>
  <c r="AY71" i="28"/>
  <c r="AL34" i="28"/>
  <c r="AW86" i="28"/>
  <c r="G70" i="28"/>
  <c r="AY59" i="28"/>
  <c r="AM63" i="28"/>
  <c r="BI109" i="28"/>
  <c r="G110" i="28"/>
  <c r="AA18" i="28"/>
  <c r="Q90" i="28"/>
  <c r="M16" i="31"/>
  <c r="D88" i="28"/>
  <c r="AW70" i="28"/>
  <c r="Q50" i="28"/>
  <c r="U31" i="31"/>
  <c r="O21" i="28"/>
  <c r="AW112" i="28"/>
  <c r="N32" i="31"/>
  <c r="M32" i="31"/>
  <c r="G61" i="28"/>
  <c r="BI18" i="28"/>
  <c r="AX119" i="28"/>
  <c r="G31" i="28"/>
  <c r="X10" i="31"/>
  <c r="G52" i="28"/>
  <c r="BT78" i="28"/>
  <c r="CC23" i="28"/>
  <c r="CP40" i="28"/>
  <c r="BT41" i="28"/>
  <c r="CP116" i="28"/>
  <c r="CQ52" i="28"/>
  <c r="BT107" i="28"/>
  <c r="W29" i="31"/>
  <c r="AA32" i="28"/>
  <c r="BA41" i="28"/>
  <c r="AB49" i="28"/>
  <c r="CQ68" i="28"/>
  <c r="AW41" i="28"/>
  <c r="AO57" i="28"/>
  <c r="P116" i="28"/>
  <c r="CP58" i="28"/>
  <c r="AY87" i="28"/>
  <c r="CO110" i="28"/>
  <c r="AL20" i="28"/>
  <c r="AL48" i="28"/>
  <c r="N8" i="34" a="1"/>
  <c r="E111" i="28"/>
  <c r="AX36" i="28"/>
  <c r="S110" i="28"/>
  <c r="AK84" i="28"/>
  <c r="AK122" i="28"/>
  <c r="W10" i="31"/>
  <c r="CS57" i="28"/>
  <c r="CE82" i="28"/>
  <c r="BS40" i="28"/>
  <c r="L14" i="31"/>
  <c r="G43" i="28"/>
  <c r="Q12" i="31"/>
  <c r="Q42" i="28"/>
  <c r="O52" i="28"/>
  <c r="CD112" i="28"/>
  <c r="AO55" i="28"/>
  <c r="AX44" i="28"/>
  <c r="BA100" i="28"/>
  <c r="BA56" i="28"/>
  <c r="P30" i="31"/>
  <c r="E90" i="28"/>
  <c r="BU69" i="28"/>
  <c r="CD24" i="28"/>
  <c r="AB121" i="28"/>
  <c r="AO78" i="28"/>
  <c r="BU106" i="28"/>
  <c r="W27" i="31"/>
  <c r="H26" i="31"/>
  <c r="Q58" i="28"/>
  <c r="AO95" i="28"/>
  <c r="CD54" i="28"/>
  <c r="BT15" i="28"/>
  <c r="D33" i="28"/>
  <c r="CQ113" i="28"/>
  <c r="AC44" i="28"/>
  <c r="O16" i="31"/>
  <c r="AW31" i="28"/>
  <c r="CQ71" i="28"/>
  <c r="BU111" i="28"/>
  <c r="AL60" i="28"/>
  <c r="R22" i="31"/>
  <c r="AY94" i="28"/>
  <c r="E22" i="28"/>
  <c r="P110" i="28"/>
  <c r="AM55" i="28"/>
  <c r="AY110" i="28"/>
  <c r="CC85" i="28"/>
  <c r="AO23" i="28"/>
  <c r="U10" i="31"/>
  <c r="CD65" i="28"/>
  <c r="D62" i="28"/>
  <c r="BU96" i="28"/>
  <c r="M20" i="31"/>
  <c r="CC30" i="28"/>
  <c r="S6" i="31"/>
  <c r="BS31" i="28"/>
  <c r="AM29" i="28"/>
  <c r="CP61" i="28"/>
  <c r="AL50" i="28"/>
  <c r="L16" i="31"/>
  <c r="E38" i="28"/>
  <c r="BI56" i="28"/>
  <c r="BK75" i="28"/>
  <c r="C115" i="28"/>
  <c r="F7" i="31"/>
  <c r="P32" i="28"/>
  <c r="CC58" i="28"/>
  <c r="K19" i="31"/>
  <c r="CD48" i="28"/>
  <c r="CS63" i="28"/>
  <c r="CS111" i="28"/>
  <c r="CQ96" i="28"/>
  <c r="AB113" i="28"/>
  <c r="BI64" i="28"/>
  <c r="R7" i="34" a="1"/>
  <c r="BK65" i="28"/>
  <c r="BU59" i="28"/>
  <c r="AA7" i="34" a="1"/>
  <c r="CS116" i="28"/>
  <c r="AL36" i="28"/>
  <c r="S45" i="28"/>
  <c r="AO42" i="28"/>
  <c r="BA71" i="28"/>
  <c r="BI74" i="28"/>
  <c r="AC28" i="28"/>
  <c r="AB106" i="28"/>
  <c r="G44" i="28"/>
  <c r="CE47" i="28"/>
  <c r="AY18" i="28"/>
  <c r="Z27" i="31"/>
  <c r="CC76" i="28"/>
  <c r="E20" i="31"/>
  <c r="AK30" i="28"/>
  <c r="CC55" i="28"/>
  <c r="C78" i="28"/>
  <c r="CC39" i="28"/>
  <c r="Q21" i="31"/>
  <c r="BI114" i="28"/>
  <c r="BU118" i="28"/>
  <c r="CG19" i="28"/>
  <c r="G20" i="28"/>
  <c r="Q75" i="28"/>
  <c r="R14" i="31"/>
  <c r="O62" i="28"/>
  <c r="CD122" i="28"/>
  <c r="CS35" i="28"/>
  <c r="S15" i="31"/>
  <c r="AL114" i="28"/>
  <c r="AY65" i="28"/>
  <c r="AB74" i="28"/>
  <c r="CO94" i="28"/>
  <c r="AK93" i="28"/>
  <c r="AA8" i="34" a="1"/>
  <c r="P88" i="28"/>
  <c r="BK96" i="28"/>
  <c r="CQ84" i="28"/>
  <c r="E56" i="28"/>
  <c r="AK89" i="28"/>
  <c r="AA69" i="28"/>
  <c r="AX117" i="28"/>
  <c r="O53" i="28"/>
  <c r="R32" i="31"/>
  <c r="CP83" i="28"/>
  <c r="O64" i="28"/>
  <c r="AA19" i="28"/>
  <c r="CQ99" i="28"/>
  <c r="D70" i="28"/>
  <c r="CG109" i="28"/>
  <c r="E19" i="31"/>
  <c r="AB102" i="28"/>
  <c r="BK67" i="28"/>
  <c r="E31" i="28"/>
  <c r="G50" i="28"/>
  <c r="CE92" i="28"/>
  <c r="C32" i="28"/>
  <c r="BT118" i="28"/>
  <c r="E29" i="28"/>
  <c r="K27" i="31"/>
  <c r="D113" i="28"/>
  <c r="C112" i="28"/>
  <c r="CG95" i="28"/>
  <c r="U19" i="31"/>
  <c r="BI26" i="28"/>
  <c r="E75" i="28"/>
  <c r="BU33" i="28"/>
  <c r="AM83" i="28"/>
  <c r="AA79" i="28"/>
  <c r="T16" i="31"/>
  <c r="E62" i="28"/>
  <c r="BK97" i="28"/>
  <c r="CP89" i="28"/>
  <c r="BT119" i="28"/>
  <c r="BS57" i="28"/>
  <c r="W8" i="31"/>
  <c r="BU100" i="28"/>
  <c r="AW56" i="28"/>
  <c r="AW49" i="28"/>
  <c r="BA25" i="28"/>
  <c r="AW26" i="28"/>
  <c r="O49" i="28"/>
  <c r="BK74" i="28"/>
  <c r="CP117" i="28"/>
  <c r="Q101" i="28"/>
  <c r="P53" i="28"/>
  <c r="AM111" i="28"/>
  <c r="CD89" i="28"/>
  <c r="BA99" i="28"/>
  <c r="BA20" i="28"/>
  <c r="F7" i="34" a="1"/>
  <c r="AW32" i="28"/>
  <c r="BS46" i="28"/>
  <c r="AK106" i="28"/>
  <c r="V32" i="31"/>
  <c r="CG33" i="28"/>
  <c r="S32" i="28"/>
  <c r="C86" i="28"/>
  <c r="Q120" i="28"/>
  <c r="CQ31" i="28"/>
  <c r="AK95" i="28"/>
  <c r="G105" i="28"/>
  <c r="E27" i="31"/>
  <c r="BS26" i="28"/>
  <c r="CP67" i="28"/>
  <c r="AY121" i="28"/>
  <c r="Q17" i="31"/>
  <c r="AY78" i="28"/>
  <c r="AM98" i="28"/>
  <c r="AO93" i="28"/>
  <c r="AC46" i="28"/>
  <c r="AM110" i="28"/>
  <c r="AW92" i="28"/>
  <c r="M22" i="31"/>
  <c r="AA28" i="28"/>
  <c r="O21" i="31"/>
  <c r="AW98" i="28"/>
  <c r="Q102" i="28"/>
  <c r="P113" i="28"/>
  <c r="D28" i="31"/>
  <c r="CQ54" i="28"/>
  <c r="CO69" i="28"/>
  <c r="E55" i="28"/>
  <c r="P90" i="28"/>
  <c r="BS30" i="28"/>
  <c r="AM35" i="28"/>
  <c r="AB65" i="28"/>
  <c r="X6" i="31"/>
  <c r="AA102" i="28"/>
  <c r="CE32" i="28"/>
  <c r="CC59" i="28"/>
  <c r="AX52" i="28"/>
  <c r="AW54" i="28"/>
  <c r="CD46" i="28"/>
  <c r="AL112" i="28"/>
  <c r="AC68" i="28"/>
  <c r="Z16" i="31"/>
  <c r="AY28" i="28"/>
  <c r="AX102" i="28"/>
  <c r="AM60" i="28"/>
  <c r="AO86" i="28"/>
  <c r="H31" i="31"/>
  <c r="AO24" i="28"/>
  <c r="AK34" i="28"/>
  <c r="CS84" i="28"/>
  <c r="AA118" i="28"/>
  <c r="CG70" i="28"/>
  <c r="AO71" i="28"/>
  <c r="Y7" i="31"/>
  <c r="CS34" i="28"/>
  <c r="AA65" i="28"/>
  <c r="AY21" i="28"/>
  <c r="AY29" i="28"/>
  <c r="CC67" i="28"/>
  <c r="CG61" i="28"/>
  <c r="BT84" i="28"/>
  <c r="CE29" i="28"/>
  <c r="BK26" i="28"/>
  <c r="AW101" i="28"/>
  <c r="AB71" i="28"/>
  <c r="C27" i="28"/>
  <c r="BK45" i="28"/>
  <c r="BA36" i="28"/>
  <c r="CQ106" i="28"/>
  <c r="AC32" i="28"/>
  <c r="AB67" i="28"/>
  <c r="BI34" i="28"/>
  <c r="S53" i="28"/>
  <c r="CS95" i="28"/>
  <c r="BS86" i="28"/>
  <c r="CP31" i="28"/>
  <c r="BU55" i="28"/>
  <c r="C25" i="28"/>
  <c r="BU39" i="28"/>
  <c r="Q103" i="28"/>
  <c r="BU83" i="28"/>
  <c r="X31" i="31"/>
  <c r="CG72" i="28"/>
  <c r="BS68" i="28"/>
  <c r="BA74" i="28"/>
  <c r="CD43" i="28"/>
  <c r="AC25" i="28"/>
  <c r="BT20" i="28"/>
  <c r="S58" i="28"/>
  <c r="AA94" i="28"/>
  <c r="CD33" i="28"/>
  <c r="CS16" i="28"/>
  <c r="AK56" i="28"/>
  <c r="AO103" i="28"/>
  <c r="AO28" i="28"/>
  <c r="AO79" i="28"/>
  <c r="CC78" i="28"/>
  <c r="BS108" i="28"/>
  <c r="BU80" i="28"/>
  <c r="BK34" i="28"/>
  <c r="AK92" i="28"/>
  <c r="J13" i="31"/>
  <c r="D95" i="28"/>
  <c r="AA73" i="28"/>
  <c r="AC105" i="28"/>
  <c r="W15" i="31"/>
  <c r="AM50" i="28"/>
  <c r="S32" i="31"/>
  <c r="P28" i="28"/>
  <c r="AO77" i="28"/>
  <c r="AC57" i="28"/>
  <c r="D54" i="28"/>
  <c r="AY61" i="28"/>
  <c r="BU110" i="28"/>
  <c r="K32" i="31"/>
  <c r="CE93" i="28"/>
  <c r="CP65" i="28"/>
  <c r="D53" i="28"/>
  <c r="AW21" i="28"/>
  <c r="CE18" i="28"/>
  <c r="CE80" i="28"/>
  <c r="Y28" i="31"/>
  <c r="CP49" i="28"/>
  <c r="CE114" i="28"/>
  <c r="O97" i="28"/>
  <c r="D5" i="31"/>
  <c r="AM85" i="28"/>
  <c r="CS28" i="28"/>
  <c r="S25" i="28"/>
  <c r="X19" i="31"/>
  <c r="P96" i="28"/>
  <c r="CO65" i="28"/>
  <c r="S112" i="28"/>
  <c r="Z22" i="31"/>
  <c r="CS98" i="28"/>
  <c r="AK25" i="28"/>
  <c r="E118" i="28"/>
  <c r="CD113" i="28"/>
  <c r="AW65" i="28"/>
  <c r="P16" i="28"/>
  <c r="BK42" i="28"/>
  <c r="AW115" i="28"/>
  <c r="BA16" i="28"/>
  <c r="CO28" i="28"/>
  <c r="CE31" i="28"/>
  <c r="S31" i="28"/>
  <c r="CE19" i="28"/>
  <c r="O41" i="28"/>
  <c r="AO22" i="28"/>
  <c r="AA30" i="28"/>
  <c r="D58" i="28"/>
  <c r="AK94" i="28"/>
  <c r="C23" i="28"/>
  <c r="CQ16" i="28"/>
  <c r="CP77" i="28"/>
  <c r="BS50" i="28"/>
  <c r="D7" i="34" a="1"/>
  <c r="X8" i="34" a="1"/>
  <c r="CD121" i="28"/>
  <c r="D121" i="28"/>
  <c r="AB89" i="28"/>
  <c r="CD35" i="28"/>
  <c r="F17" i="31"/>
  <c r="AO109" i="28"/>
  <c r="U15" i="31"/>
  <c r="CO83" i="28"/>
  <c r="H29" i="31"/>
  <c r="O13" i="31"/>
  <c r="CQ121" i="28"/>
  <c r="AM34" i="28"/>
  <c r="I8" i="31"/>
  <c r="K8" i="34" a="1"/>
  <c r="J10" i="31"/>
  <c r="P57" i="28"/>
  <c r="AC94" i="28"/>
  <c r="P56" i="28"/>
  <c r="BT61" i="28"/>
  <c r="F16" i="31"/>
  <c r="AA75" i="28"/>
  <c r="BS102" i="28"/>
  <c r="S10" i="31"/>
  <c r="AL54" i="28"/>
  <c r="AX21" i="28"/>
  <c r="C98" i="28"/>
  <c r="AL30" i="28"/>
  <c r="O77" i="28"/>
  <c r="AY51" i="28"/>
  <c r="AX25" i="28"/>
  <c r="Z7" i="31"/>
  <c r="AB115" i="28"/>
  <c r="BK93" i="28"/>
  <c r="CP76" i="28"/>
  <c r="Y30" i="31"/>
  <c r="AA19" i="31"/>
  <c r="CC106" i="28"/>
  <c r="Q84" i="28"/>
  <c r="CQ18" i="28"/>
  <c r="AX40" i="28"/>
  <c r="AB31" i="28"/>
  <c r="CO81" i="28"/>
  <c r="CD74" i="28"/>
  <c r="AB77" i="28"/>
  <c r="AX76" i="28"/>
  <c r="AX95" i="28"/>
  <c r="BI77" i="28"/>
  <c r="CO114" i="28"/>
  <c r="BA51" i="28"/>
  <c r="BA111" i="28"/>
  <c r="D106" i="28"/>
  <c r="AW116" i="28"/>
  <c r="CE86" i="28"/>
  <c r="E113" i="28"/>
  <c r="BS19" i="28"/>
  <c r="P74" i="28"/>
  <c r="AM82" i="28"/>
  <c r="Q31" i="28"/>
  <c r="CS32" i="28"/>
  <c r="BA96" i="28"/>
  <c r="AO51" i="28"/>
  <c r="CD32" i="28"/>
  <c r="AC90" i="28"/>
  <c r="O36" i="28"/>
  <c r="AB51" i="28"/>
  <c r="AA116" i="28"/>
  <c r="E19" i="28"/>
  <c r="AW109" i="28"/>
  <c r="BU74" i="28"/>
  <c r="D35" i="28"/>
  <c r="BU27" i="28"/>
  <c r="H19" i="31"/>
  <c r="AX50" i="28"/>
  <c r="CP104" i="28"/>
  <c r="CO43" i="28"/>
  <c r="BA34" i="28"/>
  <c r="D99" i="28"/>
  <c r="O15" i="28"/>
  <c r="AB118" i="28"/>
  <c r="F12" i="31"/>
  <c r="E7" i="31"/>
  <c r="S102" i="28"/>
  <c r="AM97" i="28"/>
  <c r="BT17" i="28"/>
  <c r="AY93" i="28"/>
  <c r="AL71" i="28"/>
  <c r="BU49" i="28"/>
  <c r="Q45" i="28"/>
  <c r="AW18" i="28"/>
  <c r="AB119" i="28"/>
  <c r="P65" i="28"/>
  <c r="O98" i="28"/>
  <c r="AL4" i="28"/>
  <c r="CQ22" i="28"/>
  <c r="CP68" i="28"/>
  <c r="P21" i="28"/>
  <c r="S19" i="31"/>
  <c r="CQ37" i="28"/>
  <c r="BU85" i="28"/>
  <c r="AO104" i="28"/>
  <c r="T6" i="31"/>
  <c r="CG112" i="28"/>
  <c r="AW58" i="28"/>
  <c r="BK41" i="28"/>
  <c r="BI97" i="28"/>
  <c r="CP55" i="28"/>
  <c r="AK53" i="28"/>
  <c r="AW20" i="28"/>
  <c r="M29" i="31"/>
  <c r="BI38" i="28"/>
  <c r="AO85" i="28"/>
  <c r="BT31" i="28"/>
  <c r="AK117" i="28"/>
  <c r="BT43" i="28"/>
  <c r="CC40" i="28"/>
  <c r="AK102" i="28"/>
  <c r="P15" i="28"/>
  <c r="H5" i="31"/>
  <c r="CG118" i="28"/>
  <c r="D32" i="28"/>
  <c r="AK28" i="28"/>
  <c r="AC115" i="28"/>
  <c r="V30" i="31"/>
  <c r="AA66" i="28"/>
  <c r="AO112" i="28"/>
  <c r="CE48" i="28"/>
  <c r="D16" i="28"/>
  <c r="CP98" i="28"/>
  <c r="AW44" i="28"/>
  <c r="BI75" i="28"/>
  <c r="D122" i="28"/>
  <c r="Q29" i="31"/>
  <c r="AA108" i="28"/>
  <c r="E121" i="28"/>
  <c r="P47" i="28"/>
  <c r="V20" i="31"/>
  <c r="O110" i="28"/>
  <c r="D30" i="31"/>
  <c r="CO92" i="28"/>
  <c r="AO53" i="28"/>
  <c r="CQ93" i="28"/>
  <c r="K22" i="31"/>
  <c r="O87" i="28"/>
  <c r="AX80" i="28"/>
  <c r="CO42" i="28"/>
  <c r="BA108" i="28"/>
  <c r="G84" i="28"/>
  <c r="C58" i="28"/>
  <c r="CP37" i="28"/>
  <c r="AO84" i="28"/>
  <c r="E64" i="28"/>
  <c r="BA81" i="28"/>
  <c r="AL115" i="28"/>
  <c r="AW78" i="28"/>
  <c r="BT27" i="28"/>
  <c r="C33" i="28"/>
  <c r="CQ42" i="28"/>
  <c r="Q49" i="28"/>
  <c r="CQ75" i="28"/>
  <c r="AL35" i="28"/>
  <c r="BI55" i="28"/>
  <c r="O88" i="28"/>
  <c r="E10" i="31"/>
  <c r="AA104" i="28"/>
  <c r="CO15" i="28"/>
  <c r="E91" i="28"/>
  <c r="AK91" i="28"/>
  <c r="CO101" i="28"/>
  <c r="S91" i="28"/>
  <c r="BK37" i="28"/>
  <c r="AY95" i="28"/>
  <c r="Z32" i="31"/>
  <c r="AM36" i="28"/>
  <c r="C16" i="28"/>
  <c r="S52" i="28"/>
  <c r="CQ89" i="28"/>
  <c r="CP32" i="28"/>
  <c r="E107" i="28"/>
  <c r="J26" i="31"/>
  <c r="AB109" i="28"/>
  <c r="BA105" i="28"/>
  <c r="C114" i="28"/>
  <c r="BU66" i="28"/>
  <c r="AW117" i="28"/>
  <c r="AC89" i="28"/>
  <c r="AK63" i="28"/>
  <c r="BS70" i="28"/>
  <c r="S34" i="28"/>
  <c r="AK79" i="28"/>
  <c r="AW69" i="28"/>
  <c r="AA95" i="28"/>
  <c r="H8" i="31"/>
  <c r="CQ60" i="28"/>
  <c r="CP39" i="28"/>
  <c r="AK74" i="28"/>
  <c r="U18" i="31"/>
  <c r="AY72" i="28"/>
  <c r="C64" i="28"/>
  <c r="CS50" i="28"/>
  <c r="CC102" i="28"/>
  <c r="CE49" i="28"/>
  <c r="BS20" i="28"/>
  <c r="BS83" i="28"/>
  <c r="AL103" i="28"/>
  <c r="AA28" i="31"/>
  <c r="CG73" i="28"/>
  <c r="AM93" i="28"/>
  <c r="T31" i="31"/>
  <c r="CP81" i="28"/>
  <c r="I22" i="31"/>
  <c r="AY24" i="28"/>
  <c r="AC45" i="28"/>
  <c r="AA80" i="28"/>
  <c r="BK58" i="28"/>
  <c r="Q105" i="28"/>
  <c r="CG90" i="28"/>
  <c r="AB103" i="28"/>
  <c r="CG50" i="28"/>
  <c r="CC63" i="28"/>
  <c r="CC26" i="28"/>
  <c r="BT54" i="28"/>
  <c r="Z6" i="31"/>
  <c r="BT36" i="28"/>
  <c r="BK54" i="28"/>
  <c r="AB35" i="28"/>
  <c r="BK46" i="28"/>
  <c r="AK33" i="28"/>
  <c r="AX109" i="28"/>
  <c r="O10" i="31"/>
  <c r="S22" i="28"/>
  <c r="BU116" i="28"/>
  <c r="AY73" i="28"/>
  <c r="CE103" i="28"/>
  <c r="BI44" i="28"/>
  <c r="CC118" i="28"/>
  <c r="AO35" i="28"/>
  <c r="S27" i="31"/>
  <c r="R6" i="31"/>
  <c r="BS105" i="28"/>
  <c r="K13" i="31"/>
  <c r="CC47" i="28"/>
  <c r="BU61" i="28"/>
  <c r="CQ116" i="28"/>
  <c r="AA119" i="28"/>
  <c r="S67" i="28"/>
  <c r="E58" i="28"/>
  <c r="CP25" i="28"/>
  <c r="AM24" i="28"/>
  <c r="AC29" i="28"/>
  <c r="AM65" i="28"/>
  <c r="S26" i="31"/>
  <c r="CC114" i="28"/>
  <c r="CP24" i="28"/>
  <c r="AB85" i="28"/>
  <c r="BK108" i="28"/>
  <c r="AA26" i="28"/>
  <c r="S96" i="28"/>
  <c r="O23" i="28"/>
  <c r="AW64" i="28"/>
  <c r="AB68" i="28"/>
  <c r="CD71" i="28"/>
  <c r="O103" i="28"/>
  <c r="Y17" i="31"/>
  <c r="G25" i="28"/>
  <c r="AM48" i="28"/>
  <c r="CP79" i="28"/>
  <c r="BI20" i="28"/>
  <c r="CD83" i="28"/>
  <c r="M15" i="31"/>
  <c r="G90" i="28"/>
  <c r="AL55" i="28"/>
  <c r="E47" i="28"/>
  <c r="AL69" i="28"/>
  <c r="BI54" i="28"/>
  <c r="CD15" i="28"/>
  <c r="O112" i="28"/>
  <c r="AA30" i="31"/>
  <c r="BA50" i="28"/>
  <c r="S20" i="31"/>
  <c r="E18" i="31"/>
  <c r="CC83" i="28"/>
  <c r="CO24" i="28"/>
  <c r="E96" i="28"/>
  <c r="W18" i="31"/>
  <c r="P79" i="28"/>
  <c r="AA60" i="28"/>
  <c r="BA107" i="28"/>
  <c r="AX47" i="28"/>
  <c r="AL82" i="28"/>
  <c r="CG119" i="28"/>
  <c r="AC17" i="28"/>
  <c r="I26" i="31"/>
  <c r="C88" i="28"/>
  <c r="CO26" i="28"/>
  <c r="J32" i="31"/>
  <c r="AY115" i="28"/>
  <c r="O71" i="28"/>
  <c r="CE63" i="28"/>
  <c r="P104" i="28"/>
  <c r="S115" i="28"/>
  <c r="G38" i="28"/>
  <c r="Q81" i="28"/>
  <c r="AC41" i="28"/>
  <c r="F15" i="31"/>
  <c r="AM106" i="28"/>
  <c r="AA39" i="28"/>
  <c r="BA104" i="28"/>
  <c r="C106" i="28"/>
  <c r="AY118" i="28"/>
  <c r="R31" i="31"/>
  <c r="CP93" i="28"/>
  <c r="AB34" i="28"/>
  <c r="Q92" i="28"/>
  <c r="AO74" i="28"/>
  <c r="G86" i="28"/>
  <c r="Q39" i="28"/>
  <c r="AC111" i="28"/>
  <c r="AW91" i="28"/>
  <c r="AA37" i="28"/>
  <c r="CP47" i="28"/>
  <c r="BA117" i="28"/>
  <c r="CD16" i="28"/>
  <c r="D68" i="28"/>
  <c r="BA57" i="28"/>
  <c r="AX64" i="28"/>
  <c r="M10" i="31"/>
  <c r="O57" i="28"/>
  <c r="AO45" i="28"/>
  <c r="CQ33" i="28"/>
  <c r="BS74" i="28"/>
  <c r="CD106" i="28"/>
  <c r="BS51" i="28"/>
  <c r="CE54" i="28"/>
  <c r="H7" i="31"/>
  <c r="AB99" i="28"/>
  <c r="BI80" i="28"/>
  <c r="AK114" i="28"/>
  <c r="BU41" i="28"/>
  <c r="BU35" i="28"/>
  <c r="CE37" i="28"/>
  <c r="CE21" i="28"/>
  <c r="BU112" i="28"/>
  <c r="AL99" i="28"/>
  <c r="BK86" i="28"/>
  <c r="AB111" i="28"/>
  <c r="AA16" i="31"/>
  <c r="U7" i="31"/>
  <c r="BI61" i="28"/>
  <c r="S122" i="28"/>
  <c r="AA16" i="28"/>
  <c r="O43" i="28"/>
  <c r="CP107" i="28"/>
  <c r="CE42" i="28"/>
  <c r="AX86" i="28"/>
  <c r="CO95" i="28"/>
  <c r="CS89" i="28"/>
  <c r="AM101" i="28"/>
  <c r="T7" i="31"/>
  <c r="BU94" i="28"/>
  <c r="CG115" i="28"/>
  <c r="AB33" i="28"/>
  <c r="BI21" i="28"/>
  <c r="AY106" i="28"/>
  <c r="C54" i="28"/>
  <c r="T8" i="31"/>
  <c r="P80" i="28"/>
  <c r="BA98" i="28"/>
  <c r="CE101" i="28"/>
  <c r="CE38" i="28"/>
  <c r="AA20" i="28"/>
  <c r="AA109" i="28"/>
  <c r="C52" i="28"/>
  <c r="AO47" i="28"/>
  <c r="BK62" i="28"/>
  <c r="E92" i="28"/>
  <c r="Q55" i="28"/>
  <c r="CG110" i="28"/>
  <c r="AY32" i="28"/>
  <c r="AW71" i="28"/>
  <c r="AX93" i="28"/>
  <c r="G24" i="28"/>
  <c r="BT111" i="28"/>
  <c r="S20" i="28"/>
  <c r="AY15" i="28"/>
  <c r="AL84" i="28"/>
  <c r="CQ55" i="28"/>
  <c r="BK82" i="28"/>
  <c r="CC100" i="28"/>
  <c r="BK103" i="28"/>
  <c r="D19" i="31"/>
  <c r="AB22" i="28"/>
  <c r="Z31" i="31"/>
  <c r="C36" i="28"/>
  <c r="BU54" i="28"/>
  <c r="S15" i="28"/>
  <c r="AK40" i="28"/>
  <c r="AY43" i="28"/>
  <c r="CG24" i="28"/>
  <c r="CP71" i="28"/>
  <c r="BS113" i="28"/>
  <c r="BI118" i="28"/>
  <c r="BK77" i="28"/>
  <c r="CE77" i="28"/>
  <c r="CP82" i="28"/>
  <c r="L28" i="31"/>
  <c r="BK27" i="28"/>
  <c r="G94" i="28"/>
  <c r="CS43" i="28"/>
  <c r="AC100" i="28"/>
  <c r="C96" i="28"/>
  <c r="L29" i="31"/>
  <c r="BA86" i="28"/>
  <c r="AX4" i="28"/>
  <c r="AM89" i="28"/>
  <c r="AW36" i="28"/>
  <c r="Q32" i="31"/>
  <c r="V6" i="31"/>
  <c r="AM92" i="28"/>
  <c r="N13" i="31"/>
  <c r="AM49" i="28"/>
  <c r="AW87" i="28"/>
  <c r="E52" i="28"/>
  <c r="CQ38" i="28"/>
  <c r="D98" i="28"/>
  <c r="AK113" i="28"/>
  <c r="R5" i="31"/>
  <c r="AA38" i="28"/>
  <c r="AY17" i="28"/>
  <c r="G101" i="28"/>
  <c r="CC95" i="28"/>
  <c r="CP106" i="28"/>
  <c r="BT114" i="28"/>
  <c r="AL97" i="28"/>
  <c r="CS25" i="28"/>
  <c r="BA49" i="28"/>
  <c r="AL31" i="28"/>
  <c r="AW113" i="28"/>
  <c r="E85" i="28"/>
  <c r="BS90" i="28"/>
  <c r="BA119" i="28"/>
  <c r="CD57" i="28"/>
  <c r="BU57" i="28"/>
  <c r="AY42" i="28"/>
  <c r="CE69" i="28"/>
  <c r="Q79" i="28"/>
  <c r="D100" i="28"/>
  <c r="AA121" i="28"/>
  <c r="AK112" i="28"/>
  <c r="BU72" i="28"/>
  <c r="BS37" i="28"/>
  <c r="AM122" i="28"/>
  <c r="Q109" i="28"/>
  <c r="AA103" i="28"/>
  <c r="CG106" i="28"/>
  <c r="AX77" i="28"/>
  <c r="F21" i="31"/>
  <c r="AO75" i="28"/>
  <c r="AO67" i="28"/>
  <c r="AM113" i="28"/>
  <c r="Q82" i="28"/>
  <c r="C34" i="28"/>
  <c r="L18" i="31"/>
  <c r="E76" i="28"/>
  <c r="CC75" i="28"/>
  <c r="F20" i="31"/>
  <c r="CE107" i="28"/>
  <c r="AX111" i="28"/>
  <c r="T7" i="34" a="1"/>
  <c r="CC74" i="28"/>
  <c r="AA31" i="31"/>
  <c r="AK36" i="28"/>
  <c r="CS88" i="28"/>
  <c r="AY64" i="28"/>
  <c r="P20" i="31"/>
  <c r="J17" i="31"/>
  <c r="P6" i="31"/>
  <c r="BJ47" i="28"/>
  <c r="AY55" i="28"/>
  <c r="CG83" i="28"/>
  <c r="AC26" i="28"/>
  <c r="AC84" i="28"/>
  <c r="Q78" i="28"/>
  <c r="BA45" i="28"/>
  <c r="AL19" i="28"/>
  <c r="AC74" i="28"/>
  <c r="L30" i="31"/>
  <c r="AK49" i="28"/>
  <c r="AW16" i="28"/>
  <c r="Z26" i="31"/>
  <c r="CO106" i="28"/>
  <c r="CS18" i="28"/>
  <c r="CQ76" i="28"/>
  <c r="L20" i="31"/>
  <c r="AA10" i="31"/>
  <c r="D15" i="31"/>
  <c r="AA46" i="28"/>
  <c r="CP21" i="28"/>
  <c r="AL25" i="28"/>
  <c r="AY69" i="28"/>
  <c r="AK17" i="28"/>
  <c r="BU101" i="28"/>
  <c r="CO79" i="28"/>
  <c r="AO99" i="28"/>
  <c r="CP95" i="28"/>
  <c r="CP36" i="28"/>
  <c r="D26" i="31"/>
  <c r="C19" i="28"/>
  <c r="AO20" i="28"/>
  <c r="E18" i="28"/>
  <c r="AW82" i="28"/>
  <c r="BA37" i="28"/>
  <c r="AB56" i="28"/>
  <c r="AC58" i="28"/>
  <c r="AX69" i="28"/>
  <c r="BA62" i="28"/>
  <c r="CG79" i="28"/>
  <c r="AO66" i="28"/>
  <c r="BK24" i="28"/>
  <c r="CS107" i="28"/>
  <c r="E81" i="28"/>
  <c r="BS101" i="28"/>
  <c r="AY101" i="28"/>
  <c r="AL44" i="28"/>
  <c r="AW34" i="28"/>
  <c r="J5" i="31"/>
  <c r="BK83" i="28"/>
  <c r="CG28" i="28"/>
  <c r="R8" i="31"/>
  <c r="BK117" i="28"/>
  <c r="BS63" i="28"/>
  <c r="CS120" i="28"/>
  <c r="BI31" i="28"/>
  <c r="P109" i="28"/>
  <c r="BK104" i="28"/>
  <c r="CE109" i="28"/>
  <c r="BU119" i="28"/>
  <c r="BK110" i="28"/>
  <c r="E30" i="28"/>
  <c r="P58" i="28"/>
  <c r="CE100" i="28"/>
  <c r="AY62" i="28"/>
  <c r="AY99" i="28"/>
  <c r="AL42" i="28"/>
  <c r="G7" i="34" a="1"/>
  <c r="CP41" i="28"/>
  <c r="S79" i="28"/>
  <c r="BU90" i="28"/>
  <c r="AY36" i="28"/>
  <c r="BU113" i="28"/>
  <c r="O111" i="28"/>
  <c r="AO59" i="28"/>
  <c r="AW99" i="28"/>
  <c r="AW79" i="28"/>
  <c r="AK45" i="28"/>
  <c r="G59" i="28"/>
  <c r="G119" i="28"/>
  <c r="CS33" i="28"/>
  <c r="CP73" i="28"/>
  <c r="BS104" i="28"/>
  <c r="M30" i="31"/>
  <c r="S113" i="28"/>
  <c r="AK72" i="28"/>
  <c r="D57" i="28"/>
  <c r="D20" i="28"/>
  <c r="CC25" i="28"/>
  <c r="C101" i="28"/>
  <c r="CS99" i="28"/>
  <c r="Q21" i="28"/>
  <c r="CS118" i="28"/>
  <c r="BT45" i="28"/>
  <c r="CG96" i="28"/>
  <c r="CQ79" i="28"/>
  <c r="C119" i="28"/>
  <c r="L32" i="31"/>
  <c r="G115" i="28"/>
  <c r="AC19" i="28"/>
  <c r="E45" i="28"/>
  <c r="CO30" i="28"/>
  <c r="BA97" i="28"/>
  <c r="AA36" i="28"/>
  <c r="S66" i="28"/>
  <c r="D92" i="28"/>
  <c r="AX73" i="28"/>
  <c r="BI81" i="28"/>
  <c r="AB70" i="28"/>
  <c r="AC83" i="28"/>
  <c r="CD20" i="28"/>
  <c r="CS91" i="28"/>
  <c r="CE62" i="28"/>
  <c r="P95" i="28"/>
  <c r="AL21" i="28"/>
  <c r="CP96" i="28"/>
  <c r="C76" i="28"/>
  <c r="J29" i="31"/>
  <c r="T5" i="31"/>
  <c r="CG107" i="28"/>
  <c r="O118" i="28"/>
  <c r="P85" i="28"/>
  <c r="AY90" i="28"/>
  <c r="CS20" i="28"/>
  <c r="BU97" i="28"/>
  <c r="CS68" i="28"/>
  <c r="CD72" i="28"/>
  <c r="BS38" i="28"/>
  <c r="AL74" i="28"/>
  <c r="AM42" i="28"/>
  <c r="X30" i="31"/>
  <c r="CQ50" i="28"/>
  <c r="U6" i="31"/>
  <c r="AC93" i="28"/>
  <c r="P41" i="28"/>
  <c r="S108" i="28"/>
  <c r="CD91" i="28"/>
  <c r="CC81" i="28"/>
  <c r="AK15" i="28"/>
  <c r="BS95" i="28"/>
  <c r="CS79" i="28"/>
  <c r="AA51" i="28"/>
  <c r="CO72" i="28"/>
  <c r="BS96" i="28"/>
  <c r="CE66" i="28"/>
  <c r="O32" i="28"/>
  <c r="AB25" i="28"/>
  <c r="J6" i="31"/>
  <c r="C60" i="28"/>
  <c r="BU86" i="28"/>
  <c r="S81" i="28"/>
  <c r="U21" i="31"/>
  <c r="CO56" i="28"/>
  <c r="CO67" i="28"/>
  <c r="AL45" i="28"/>
  <c r="CO62" i="28"/>
  <c r="CO33" i="28"/>
  <c r="O114" i="28"/>
  <c r="P27" i="31"/>
  <c r="N26" i="31"/>
  <c r="BA120" i="28"/>
  <c r="AW55" i="28"/>
  <c r="AL58" i="28"/>
  <c r="AW108" i="28"/>
  <c r="U8" i="34" a="1"/>
  <c r="O22" i="28"/>
  <c r="I29" i="31"/>
  <c r="Q5" i="31"/>
  <c r="BS78" i="28"/>
  <c r="AC53" i="28"/>
  <c r="S68" i="28"/>
  <c r="P51" i="28"/>
  <c r="CG52" i="28"/>
  <c r="BK76" i="28"/>
  <c r="C79" i="28"/>
  <c r="P7" i="31"/>
  <c r="C49" i="28"/>
  <c r="AL83" i="28"/>
  <c r="BA102" i="28"/>
  <c r="E43" i="28"/>
  <c r="C104" i="28"/>
  <c r="CS37" i="28"/>
  <c r="S116" i="28"/>
  <c r="X12" i="31"/>
  <c r="Q44" i="28"/>
  <c r="AX48" i="28"/>
  <c r="E61" i="28"/>
  <c r="AB82" i="28"/>
  <c r="S74" i="28"/>
  <c r="T8" i="34" a="1"/>
  <c r="CC77" i="28"/>
  <c r="BS59" i="28"/>
  <c r="E87" i="28"/>
  <c r="BT73" i="28"/>
  <c r="CO103" i="28"/>
  <c r="S41" i="28"/>
  <c r="AM27" i="28"/>
  <c r="CQ86" i="28"/>
  <c r="CS119" i="28"/>
  <c r="BS42" i="28"/>
  <c r="O113" i="28"/>
  <c r="AO105" i="28"/>
  <c r="AL116" i="28"/>
  <c r="AC30" i="28"/>
  <c r="AY19" i="28"/>
  <c r="CS21" i="28"/>
  <c r="E101" i="28"/>
  <c r="BT108" i="28"/>
  <c r="K18" i="31"/>
  <c r="BI95" i="28"/>
  <c r="CQ115" i="28"/>
  <c r="V13" i="31"/>
  <c r="Y19" i="31"/>
  <c r="AC66" i="28"/>
  <c r="X18" i="31"/>
  <c r="Q13" i="31"/>
  <c r="G12" i="31"/>
  <c r="BI60" i="28"/>
  <c r="Q6" i="31"/>
  <c r="E120" i="28"/>
  <c r="CO54" i="28"/>
  <c r="M12" i="31"/>
  <c r="CD34" i="28"/>
  <c r="Q88" i="28"/>
  <c r="AY39" i="28"/>
  <c r="CO16" i="28"/>
  <c r="AX46" i="28"/>
  <c r="BI39" i="28"/>
  <c r="AM40" i="28"/>
  <c r="CS64" i="28"/>
  <c r="BT63" i="28"/>
  <c r="CC18" i="28"/>
  <c r="AC33" i="28"/>
  <c r="V14" i="31"/>
  <c r="CE83" i="28"/>
  <c r="BI47" i="28"/>
  <c r="CS41" i="28"/>
  <c r="BK31" i="28"/>
  <c r="P30" i="28"/>
  <c r="AX71" i="28"/>
  <c r="AM112" i="28"/>
  <c r="AW84" i="28"/>
  <c r="CD73" i="28"/>
  <c r="CE99" i="28"/>
  <c r="AX16" i="28"/>
  <c r="AO60" i="28"/>
  <c r="CG53" i="28"/>
  <c r="BI94" i="28"/>
  <c r="AC52" i="28"/>
  <c r="BI119" i="28"/>
  <c r="CP44" i="28"/>
  <c r="AB95" i="28"/>
  <c r="AY116" i="28"/>
  <c r="CO51" i="28"/>
  <c r="O12" i="31"/>
  <c r="CE35" i="28"/>
  <c r="BA75" i="28"/>
  <c r="BA70" i="28"/>
  <c r="AX67" i="28"/>
  <c r="M7" i="34" a="1"/>
  <c r="AY113" i="28"/>
  <c r="CO25" i="28"/>
  <c r="BI62" i="28"/>
  <c r="H27" i="31"/>
  <c r="BK35" i="28"/>
  <c r="AK118" i="28"/>
  <c r="BU48" i="28"/>
  <c r="G80" i="28"/>
  <c r="G81" i="28"/>
  <c r="T20" i="31"/>
  <c r="CC57" i="28"/>
  <c r="CP57" i="28"/>
  <c r="AM68" i="28"/>
  <c r="Q48" i="28"/>
  <c r="CD69" i="28"/>
  <c r="CO19" i="28"/>
  <c r="AA40" i="28"/>
  <c r="AB63" i="28"/>
  <c r="AX20" i="28"/>
  <c r="CS60" i="28"/>
  <c r="AX41" i="28"/>
  <c r="BU18" i="28"/>
  <c r="CC44" i="28"/>
  <c r="F6" i="31"/>
  <c r="AO102" i="28"/>
  <c r="CD84" i="28"/>
  <c r="BU121" i="28"/>
  <c r="BS52" i="28"/>
  <c r="BI116" i="28"/>
  <c r="BS67" i="28"/>
  <c r="AK55" i="28"/>
  <c r="G74" i="28"/>
  <c r="AC92" i="28"/>
  <c r="BI30" i="28"/>
  <c r="C77" i="28"/>
  <c r="BS39" i="28"/>
  <c r="O33" i="28"/>
  <c r="CD37" i="28"/>
  <c r="CO86" i="28"/>
  <c r="D80" i="28"/>
  <c r="T32" i="31"/>
  <c r="CQ67" i="28"/>
  <c r="Q63" i="28"/>
  <c r="X32" i="31"/>
  <c r="AK68" i="28"/>
  <c r="CQ103" i="28"/>
  <c r="I6" i="31"/>
  <c r="AC85" i="28"/>
  <c r="CC31" i="28"/>
  <c r="BU51" i="28"/>
  <c r="CQ100" i="28"/>
  <c r="BA55" i="28"/>
  <c r="E16" i="31"/>
  <c r="AK71" i="28"/>
  <c r="AY30" i="28"/>
  <c r="D118" i="28"/>
  <c r="O86" i="28"/>
  <c r="Q65" i="28"/>
  <c r="AX75" i="28"/>
  <c r="AB59" i="28"/>
  <c r="C97" i="28"/>
  <c r="K7" i="31"/>
  <c r="O19" i="28"/>
  <c r="Q25" i="28"/>
  <c r="Q32" i="28"/>
  <c r="BS24" i="28"/>
  <c r="CS106" i="28"/>
  <c r="C56" i="28"/>
  <c r="S50" i="28"/>
  <c r="Q28" i="28"/>
  <c r="AB104" i="28"/>
  <c r="CG117" i="28"/>
  <c r="AX90" i="28"/>
  <c r="H17" i="31"/>
  <c r="BU40" i="28"/>
  <c r="BU36" i="28"/>
  <c r="CQ80" i="28"/>
  <c r="BI86" i="28"/>
  <c r="BU21" i="28"/>
  <c r="CO35" i="28"/>
  <c r="AO110" i="28"/>
  <c r="O46" i="28"/>
  <c r="N5" i="31"/>
  <c r="AX85" i="28"/>
  <c r="BA80" i="28"/>
  <c r="Q66" i="28"/>
  <c r="K10" i="31"/>
  <c r="BT16" i="28"/>
  <c r="AL52" i="28"/>
  <c r="AY112" i="28"/>
  <c r="Z28" i="31"/>
  <c r="P20" i="28"/>
  <c r="AX30" i="28"/>
  <c r="P76" i="28"/>
  <c r="AA68" i="28"/>
  <c r="G42" i="28"/>
  <c r="CD36" i="28"/>
  <c r="CE75" i="28"/>
  <c r="BS36" i="28"/>
  <c r="CC107" i="28"/>
  <c r="AL117" i="28"/>
  <c r="O90" i="28"/>
  <c r="D119" i="28"/>
  <c r="E116" i="28"/>
  <c r="AX15" i="28"/>
  <c r="C122" i="28"/>
  <c r="BI122" i="28"/>
  <c r="AL40" i="28"/>
  <c r="AC98" i="28"/>
  <c r="CC33" i="28"/>
  <c r="V29" i="31"/>
  <c r="AY63" i="28"/>
  <c r="CS62" i="28"/>
  <c r="CO75" i="28"/>
  <c r="D116" i="28"/>
  <c r="BI102" i="28"/>
  <c r="AK115" i="28"/>
  <c r="Q33" i="28"/>
  <c r="O31" i="31"/>
  <c r="AC65" i="28"/>
  <c r="CQ92" i="28"/>
  <c r="AO98" i="28"/>
  <c r="S27" i="28"/>
  <c r="P22" i="28"/>
  <c r="BT83" i="28"/>
  <c r="BT113" i="28"/>
  <c r="BU104" i="28"/>
  <c r="BK19" i="28"/>
  <c r="AY97" i="28"/>
  <c r="BU46" i="28"/>
  <c r="AM43" i="28"/>
  <c r="AL101" i="28"/>
  <c r="Q83" i="28"/>
  <c r="I13" i="31"/>
  <c r="CD70" i="28"/>
  <c r="CO115" i="28"/>
  <c r="S104" i="28"/>
  <c r="AK64" i="28"/>
  <c r="D31" i="28"/>
  <c r="BI46" i="28"/>
  <c r="AK43" i="28"/>
  <c r="AM53" i="28"/>
  <c r="AW52" i="28"/>
  <c r="CC94" i="28"/>
  <c r="CS56" i="28"/>
  <c r="AL38" i="28"/>
  <c r="BS27" i="28"/>
  <c r="AY74" i="28"/>
  <c r="BS122" i="28"/>
  <c r="CG77" i="28"/>
  <c r="BK23" i="28"/>
  <c r="D115" i="28"/>
  <c r="CQ119" i="28"/>
  <c r="S88" i="28"/>
  <c r="D74" i="28"/>
  <c r="BS114" i="28"/>
  <c r="AY92" i="28"/>
  <c r="V12" i="31"/>
  <c r="V7" i="34" a="1"/>
  <c r="CQ51" i="28"/>
  <c r="BU34" i="28"/>
  <c r="P22" i="31"/>
  <c r="K29" i="31"/>
  <c r="AB45" i="28"/>
  <c r="BK18" i="28"/>
  <c r="AC86" i="28"/>
  <c r="J27" i="31"/>
  <c r="AK105" i="28"/>
  <c r="BK105" i="28"/>
  <c r="BI19" i="28"/>
  <c r="CS27" i="28"/>
  <c r="X20" i="31"/>
  <c r="CO120" i="28"/>
  <c r="AK51" i="28"/>
  <c r="D7" i="31"/>
  <c r="AL29" i="28"/>
  <c r="AX78" i="28"/>
  <c r="BT42" i="28"/>
  <c r="CQ20" i="28"/>
  <c r="CP51" i="28"/>
  <c r="O95" i="28"/>
  <c r="O80" i="28"/>
  <c r="BI45" i="28"/>
  <c r="AM108" i="28"/>
  <c r="BS35" i="28"/>
  <c r="Y5" i="31"/>
  <c r="BT47" i="28"/>
  <c r="D105" i="28"/>
  <c r="Q98" i="28"/>
  <c r="Q99" i="28"/>
  <c r="BU23" i="28"/>
  <c r="O8" i="34" a="1"/>
  <c r="CP35" i="28"/>
  <c r="AM54" i="28"/>
  <c r="N28" i="31"/>
  <c r="G56" i="28"/>
  <c r="Q106" i="28"/>
  <c r="CS87" i="28"/>
  <c r="AX27" i="28"/>
  <c r="AM31" i="28"/>
  <c r="CE57" i="28"/>
  <c r="AM21" i="28"/>
  <c r="K6" i="31"/>
  <c r="AO107" i="28"/>
  <c r="AL100" i="28"/>
  <c r="P89" i="28"/>
  <c r="CE17" i="28"/>
  <c r="W5" i="31"/>
  <c r="AA70" i="28"/>
  <c r="AA77" i="28"/>
  <c r="CQ57" i="28"/>
  <c r="BT24" i="28"/>
  <c r="CG108" i="28"/>
  <c r="AX43" i="28"/>
  <c r="BI49" i="28"/>
  <c r="CE52" i="28"/>
  <c r="CC71" i="28"/>
  <c r="Q27" i="28"/>
  <c r="AL26" i="28"/>
  <c r="BU102" i="28"/>
  <c r="BS56" i="28"/>
  <c r="C71" i="28"/>
  <c r="AX49" i="28"/>
  <c r="CG74" i="28"/>
  <c r="CP113" i="28"/>
  <c r="AA86" i="28"/>
  <c r="CP16" i="28"/>
  <c r="AX88" i="28"/>
  <c r="AY85" i="28"/>
  <c r="Q8" i="34" a="1"/>
  <c r="AM91" i="28"/>
  <c r="G47" i="28"/>
  <c r="C30" i="28"/>
  <c r="BS81" i="28"/>
  <c r="BK50" i="28"/>
  <c r="Q115" i="28"/>
  <c r="Q69" i="28"/>
  <c r="AY96" i="28"/>
  <c r="T27" i="31"/>
  <c r="O28" i="28"/>
  <c r="AL32" i="28"/>
  <c r="D112" i="28"/>
  <c r="CC34" i="28"/>
  <c r="S30" i="31"/>
  <c r="AL56" i="28"/>
  <c r="AK82" i="28"/>
  <c r="BT57" i="28"/>
  <c r="O27" i="28"/>
  <c r="U32" i="31"/>
  <c r="AK86" i="28"/>
  <c r="BT109" i="28"/>
  <c r="CP46" i="28"/>
  <c r="X14" i="31"/>
  <c r="E26" i="28"/>
  <c r="AW46" i="28"/>
  <c r="AM115" i="28"/>
  <c r="AO48" i="28"/>
  <c r="P78" i="28"/>
  <c r="X15" i="31"/>
  <c r="CC87" i="28"/>
  <c r="BU91" i="28"/>
  <c r="CO112" i="28"/>
  <c r="AL85" i="28"/>
  <c r="Q10" i="31"/>
  <c r="G78" i="28"/>
  <c r="E103" i="28"/>
  <c r="CP28" i="28"/>
  <c r="Y29" i="31"/>
  <c r="AL72" i="28"/>
  <c r="AO56" i="28"/>
  <c r="BK71" i="28"/>
  <c r="AK62" i="28"/>
  <c r="CQ49" i="28"/>
  <c r="AX35" i="28"/>
  <c r="CO119" i="28"/>
  <c r="CD59" i="28"/>
  <c r="D81" i="28"/>
  <c r="CG81" i="28"/>
  <c r="BA118" i="28"/>
  <c r="AM117" i="28"/>
  <c r="CC80" i="28"/>
  <c r="AA41" i="28"/>
  <c r="AB93" i="28"/>
  <c r="J28" i="31"/>
  <c r="P23" i="28"/>
  <c r="Q20" i="28"/>
  <c r="O7" i="31"/>
  <c r="AY47" i="28"/>
  <c r="O83" i="28"/>
  <c r="CQ102" i="28"/>
  <c r="BI51" i="28"/>
  <c r="Q74" i="28"/>
  <c r="G49" i="28"/>
  <c r="O101" i="28"/>
  <c r="CS72" i="28"/>
  <c r="BT105" i="28"/>
  <c r="AK83" i="28"/>
  <c r="BI53" i="28"/>
  <c r="CD104" i="28"/>
  <c r="CS82" i="28"/>
  <c r="P14" i="31"/>
  <c r="AX72" i="28"/>
  <c r="G18" i="31"/>
  <c r="AO91" i="28"/>
  <c r="O40" i="28"/>
  <c r="CO47" i="28"/>
  <c r="AM76" i="28"/>
  <c r="AA53" i="28"/>
  <c r="BS121" i="28"/>
  <c r="S98" i="28"/>
  <c r="BS16" i="28"/>
  <c r="AA111" i="28"/>
  <c r="CG105" i="28"/>
  <c r="AM72" i="28"/>
  <c r="CP29" i="28"/>
  <c r="W8" i="34" a="1"/>
  <c r="BI100" i="28"/>
  <c r="U5" i="31"/>
  <c r="AO61" i="28"/>
  <c r="BU26" i="28"/>
  <c r="D50" i="28"/>
  <c r="F27" i="31"/>
  <c r="O24" i="28"/>
  <c r="CD86" i="28"/>
  <c r="CQ62" i="28"/>
  <c r="BU73" i="28"/>
  <c r="CP50" i="28"/>
  <c r="P87" i="28"/>
  <c r="AL67" i="28"/>
  <c r="AM87" i="28"/>
  <c r="D56" i="28"/>
  <c r="BK102" i="28"/>
  <c r="S37" i="28"/>
  <c r="AO97" i="28"/>
  <c r="E6" i="31"/>
  <c r="AB44" i="28"/>
  <c r="AW74" i="28"/>
  <c r="CG34" i="28"/>
  <c r="C72" i="28"/>
  <c r="CQ111" i="28"/>
  <c r="AL91" i="28"/>
  <c r="P15" i="31"/>
  <c r="P39" i="28"/>
  <c r="BT66" i="28"/>
  <c r="G26" i="28"/>
  <c r="AC91" i="28"/>
  <c r="U29" i="31"/>
  <c r="C110" i="28"/>
  <c r="CD31" i="28"/>
  <c r="AA96" i="28"/>
  <c r="AC112" i="28"/>
  <c r="T18" i="31"/>
  <c r="BU20" i="28"/>
  <c r="CC88" i="28"/>
  <c r="BI42" i="28"/>
  <c r="D38" i="28"/>
  <c r="CD52" i="28"/>
  <c r="D37" i="28"/>
  <c r="O100" i="28"/>
  <c r="BI48" i="28"/>
  <c r="I32" i="31"/>
  <c r="G77" i="28"/>
  <c r="CD41" i="28"/>
  <c r="AM104" i="28"/>
  <c r="C43" i="28"/>
  <c r="CD67" i="28"/>
  <c r="N27" i="31"/>
  <c r="AM75" i="28"/>
  <c r="S72" i="28"/>
  <c r="D94" i="28"/>
  <c r="D34" i="28"/>
  <c r="O108" i="28"/>
  <c r="CE113" i="28"/>
  <c r="CO87" i="28"/>
  <c r="AB94" i="28"/>
  <c r="AX68" i="28"/>
  <c r="AB17" i="28"/>
  <c r="BI57" i="28"/>
  <c r="O85" i="28"/>
  <c r="AK110" i="28"/>
  <c r="G120" i="28"/>
  <c r="AK37" i="28"/>
  <c r="D111" i="28"/>
  <c r="CC84" i="28"/>
  <c r="C99" i="28"/>
  <c r="BT49" i="28"/>
  <c r="CD111" i="28"/>
  <c r="CO78" i="28"/>
  <c r="AY102" i="28"/>
  <c r="CD4" i="28"/>
  <c r="AX81" i="28"/>
  <c r="L13" i="31"/>
  <c r="BA85" i="28"/>
  <c r="AA58" i="28"/>
  <c r="O56" i="28"/>
  <c r="AL92" i="28"/>
  <c r="AX28" i="28"/>
  <c r="CP115" i="28"/>
  <c r="D19" i="28"/>
  <c r="O5" i="31"/>
  <c r="BI115" i="28"/>
  <c r="CP99" i="28"/>
  <c r="BT75" i="28"/>
  <c r="BU58" i="28"/>
  <c r="CO27" i="28"/>
  <c r="CC16" i="28"/>
  <c r="AC62" i="28"/>
  <c r="Z20" i="31"/>
  <c r="AA98" i="28"/>
  <c r="AX17" i="28"/>
  <c r="BA112" i="28"/>
  <c r="CG60" i="28"/>
  <c r="AX107" i="28"/>
  <c r="P28" i="31"/>
  <c r="C28" i="28"/>
  <c r="P69" i="28"/>
  <c r="BS15" i="28"/>
  <c r="L26" i="31"/>
  <c r="AO113" i="28"/>
  <c r="AC80" i="28"/>
  <c r="CS102" i="28"/>
  <c r="D30" i="28"/>
  <c r="P27" i="28"/>
  <c r="AB69" i="28"/>
  <c r="O104" i="28"/>
  <c r="BU22" i="28"/>
  <c r="CO50" i="28"/>
  <c r="CS75" i="28"/>
  <c r="BI65" i="28"/>
  <c r="CD94" i="28"/>
  <c r="AX70" i="28"/>
  <c r="AL37" i="28"/>
  <c r="P8" i="31"/>
  <c r="F22" i="31"/>
  <c r="AL86" i="28"/>
  <c r="BT48" i="28"/>
  <c r="AB57" i="28"/>
  <c r="BI52" i="28"/>
  <c r="CQ118" i="28"/>
  <c r="C21" i="28"/>
  <c r="AO18" i="28"/>
  <c r="BK87" i="28"/>
  <c r="AM25" i="28"/>
  <c r="AK42" i="28"/>
  <c r="CD120" i="28"/>
  <c r="T12" i="31"/>
  <c r="BU88" i="28"/>
  <c r="AA27" i="28"/>
  <c r="CE111" i="28"/>
  <c r="C67" i="28"/>
  <c r="CC121" i="28"/>
  <c r="U20" i="31"/>
  <c r="AA64" i="28"/>
  <c r="AK29" i="28"/>
  <c r="C93" i="28"/>
  <c r="AO49" i="28"/>
  <c r="BT104" i="28"/>
  <c r="AL113" i="28"/>
  <c r="BS116" i="28"/>
  <c r="AY108" i="28"/>
  <c r="CD51" i="28"/>
  <c r="AA7" i="31"/>
  <c r="BI70" i="28"/>
  <c r="CD75" i="28"/>
  <c r="BS21" i="28"/>
  <c r="AY40" i="28"/>
  <c r="T19" i="31"/>
  <c r="AA90" i="28"/>
  <c r="AM100" i="28"/>
  <c r="CG114" i="28"/>
  <c r="CQ98" i="28"/>
  <c r="BU43" i="28"/>
  <c r="AW67" i="28"/>
  <c r="CC97" i="28"/>
  <c r="BS61" i="28"/>
  <c r="AW59" i="28"/>
  <c r="AX58" i="28"/>
  <c r="AC117" i="28"/>
  <c r="AY44" i="28"/>
  <c r="X16" i="31"/>
  <c r="AO32" i="28"/>
  <c r="AY48" i="28"/>
  <c r="BS28" i="28"/>
  <c r="D22" i="31"/>
  <c r="AA63" i="28"/>
  <c r="E49" i="28"/>
  <c r="BA92" i="28"/>
  <c r="P7" i="34" a="1"/>
  <c r="AM118" i="28"/>
  <c r="CC35" i="28"/>
  <c r="AL106" i="28"/>
  <c r="E78" i="28"/>
  <c r="P64" i="28"/>
  <c r="AC64" i="28"/>
  <c r="BT96" i="28"/>
  <c r="CC37" i="28"/>
  <c r="Q52" i="28"/>
  <c r="N30" i="31"/>
  <c r="BT94" i="28"/>
  <c r="AA56" i="28"/>
  <c r="BT19" i="28"/>
  <c r="E66" i="28"/>
  <c r="G32" i="28"/>
  <c r="D61" i="28"/>
  <c r="AW62" i="28"/>
  <c r="CS93" i="28"/>
  <c r="CO99" i="28"/>
  <c r="S18" i="31"/>
  <c r="BU75" i="28"/>
  <c r="AL102" i="28"/>
  <c r="CD47" i="28"/>
  <c r="AA107" i="28"/>
  <c r="W19" i="31"/>
  <c r="AO73" i="28"/>
  <c r="Y10" i="31"/>
  <c r="F30" i="31"/>
  <c r="BT72" i="28"/>
  <c r="Q91" i="28"/>
  <c r="O15" i="31"/>
  <c r="AA115" i="28"/>
  <c r="S119" i="28"/>
  <c r="D55" i="28"/>
  <c r="AC102" i="28"/>
  <c r="S30" i="28"/>
  <c r="CC38" i="28"/>
  <c r="C51" i="28"/>
  <c r="BS80" i="28"/>
  <c r="AC48" i="28"/>
  <c r="W20" i="31"/>
  <c r="CQ87" i="28"/>
  <c r="C80" i="28"/>
  <c r="R10" i="31"/>
  <c r="P71" i="28"/>
  <c r="AB27" i="28"/>
  <c r="S22" i="31"/>
  <c r="O38" i="28"/>
  <c r="V26" i="31"/>
  <c r="CD27" i="28"/>
  <c r="AM51" i="28"/>
  <c r="AL77" i="28"/>
  <c r="CG84" i="28"/>
  <c r="CG66" i="28"/>
  <c r="BA87" i="28"/>
  <c r="BA90" i="28"/>
  <c r="AC24" i="28"/>
  <c r="CP30" i="28"/>
  <c r="AC114" i="28"/>
  <c r="CO66" i="28"/>
  <c r="P29" i="28"/>
  <c r="BS72" i="28"/>
  <c r="CS66" i="28"/>
  <c r="Q119" i="28"/>
  <c r="N29" i="31"/>
  <c r="BI25" i="28"/>
  <c r="E53" i="28"/>
  <c r="H32" i="31"/>
  <c r="CP102" i="28"/>
  <c r="AK60" i="28"/>
  <c r="AM88" i="28"/>
  <c r="CQ82" i="28"/>
  <c r="CE46" i="28"/>
  <c r="CG57" i="28"/>
  <c r="O79" i="28"/>
  <c r="AA31" i="28"/>
  <c r="AL76" i="28"/>
  <c r="O76" i="28"/>
  <c r="BT69" i="28"/>
  <c r="BT88" i="28"/>
  <c r="AC36" i="28"/>
  <c r="G15" i="28"/>
  <c r="CO44" i="28"/>
  <c r="CQ120" i="28"/>
  <c r="Q60" i="28"/>
  <c r="O22" i="31"/>
  <c r="V27" i="31"/>
  <c r="E28" i="31"/>
  <c r="AC122" i="28"/>
  <c r="E95" i="28"/>
  <c r="AM94" i="28"/>
  <c r="AL57" i="28"/>
  <c r="Q23" i="28"/>
  <c r="AM102" i="28"/>
  <c r="Q18" i="31"/>
  <c r="AA78" i="28"/>
  <c r="C29" i="28"/>
  <c r="CD114" i="28"/>
  <c r="CQ48" i="28"/>
  <c r="BT117" i="28"/>
  <c r="CE41" i="28"/>
  <c r="AC67" i="28"/>
  <c r="CE119" i="28"/>
  <c r="P114" i="28"/>
  <c r="Q8" i="31"/>
  <c r="S42" i="28"/>
  <c r="P36" i="28"/>
  <c r="CO105" i="28"/>
  <c r="O116" i="28"/>
  <c r="BT33" i="28"/>
  <c r="W28" i="31"/>
  <c r="Z21" i="31"/>
  <c r="CC20" i="28"/>
  <c r="CO89" i="28"/>
  <c r="AM66" i="28"/>
  <c r="BA42" i="28"/>
  <c r="E44" i="28"/>
  <c r="BA32" i="28"/>
  <c r="AL64" i="28"/>
  <c r="D15" i="28"/>
  <c r="AA35" i="28"/>
  <c r="CS74" i="28"/>
  <c r="AA34" i="28"/>
  <c r="CS36" i="28"/>
  <c r="AY56" i="28"/>
  <c r="AK39" i="28"/>
  <c r="S61" i="28"/>
  <c r="CP23" i="28"/>
  <c r="G57" i="28"/>
  <c r="CE89" i="28"/>
  <c r="BU45" i="28"/>
  <c r="CO23" i="28"/>
  <c r="BI112" i="28"/>
  <c r="P106" i="28"/>
  <c r="R18" i="31"/>
  <c r="W17" i="31"/>
  <c r="V8" i="34" a="1"/>
  <c r="AM20" i="28"/>
  <c r="AA45" i="28"/>
  <c r="AM86" i="28"/>
  <c r="E114" i="28"/>
  <c r="AW66" i="28"/>
  <c r="CO18" i="28"/>
  <c r="CO84" i="28"/>
  <c r="AY89" i="28"/>
  <c r="BI69" i="28"/>
  <c r="Z18" i="31"/>
  <c r="CE85" i="28"/>
  <c r="C74" i="28"/>
  <c r="CD109" i="28"/>
  <c r="CG54" i="28"/>
  <c r="AM17" i="28"/>
  <c r="AK38" i="28"/>
  <c r="BK43" i="28"/>
  <c r="E31" i="31"/>
  <c r="BU65" i="28"/>
  <c r="Q34" i="28"/>
  <c r="AO50" i="28"/>
  <c r="AA5" i="31"/>
  <c r="AO62" i="28"/>
  <c r="AO43" i="28"/>
  <c r="AL93" i="28"/>
  <c r="S93" i="28"/>
  <c r="CG23" i="28"/>
  <c r="CQ28" i="28"/>
  <c r="CO113" i="28"/>
  <c r="S65" i="28"/>
  <c r="CG26" i="28"/>
  <c r="G13" i="31"/>
  <c r="W26" i="31"/>
  <c r="AL68" i="28"/>
  <c r="M13" i="31"/>
  <c r="CP105" i="28"/>
  <c r="S43" i="28"/>
  <c r="S94" i="28"/>
  <c r="CQ108" i="28"/>
  <c r="D75" i="28"/>
  <c r="F32" i="31"/>
  <c r="BU70" i="28"/>
  <c r="BA84" i="28"/>
  <c r="AY82" i="28"/>
  <c r="E68" i="28"/>
  <c r="CC21" i="28"/>
  <c r="T21" i="31"/>
  <c r="V18" i="31"/>
  <c r="D46" i="28"/>
  <c r="CO91" i="28"/>
  <c r="G48" i="28"/>
  <c r="CG94" i="28"/>
  <c r="AA62" i="28"/>
  <c r="BI36" i="28"/>
  <c r="F10" i="31"/>
  <c r="AK73" i="28"/>
  <c r="CQ63" i="28"/>
  <c r="L7" i="31"/>
  <c r="AB18" i="28"/>
  <c r="CQ104" i="28"/>
  <c r="O51" i="28"/>
  <c r="AL109" i="28"/>
  <c r="CD81" i="28"/>
  <c r="P43" i="28"/>
  <c r="BI23" i="28"/>
  <c r="CD88" i="28"/>
  <c r="AW27" i="28"/>
  <c r="Q26" i="31"/>
  <c r="AA91" i="28"/>
  <c r="S18" i="28"/>
  <c r="AM58" i="28"/>
  <c r="AO27" i="28"/>
  <c r="BA113" i="28"/>
  <c r="AY103" i="28"/>
  <c r="BA31" i="28"/>
  <c r="BK16" i="28"/>
  <c r="D21" i="28"/>
  <c r="AA100" i="28"/>
  <c r="E21" i="31"/>
  <c r="CE79" i="28"/>
  <c r="AC27" i="28"/>
  <c r="BS82" i="28"/>
  <c r="AY52" i="28"/>
  <c r="AW95" i="28"/>
  <c r="CE120" i="28"/>
  <c r="J7" i="31"/>
  <c r="G100" i="28"/>
  <c r="BI28" i="28"/>
  <c r="D84" i="28"/>
  <c r="BS89" i="28"/>
  <c r="BI27" i="28"/>
  <c r="CD116" i="28"/>
  <c r="BT51" i="28"/>
  <c r="AM52" i="28"/>
  <c r="D87" i="28"/>
  <c r="BK107" i="28"/>
  <c r="Q107" i="28"/>
  <c r="AM15" i="28"/>
  <c r="AA32" i="31"/>
  <c r="D107" i="28"/>
  <c r="AA67" i="28"/>
  <c r="CQ105" i="28"/>
  <c r="Q68" i="28"/>
  <c r="AY57" i="28"/>
  <c r="BT106" i="28"/>
  <c r="AO17" i="28"/>
  <c r="AC73" i="28"/>
  <c r="O78" i="28"/>
  <c r="CP118" i="28"/>
  <c r="X5" i="31"/>
  <c r="S33" i="28"/>
  <c r="CC32" i="28"/>
  <c r="BA65" i="28"/>
  <c r="BK22" i="28"/>
  <c r="BA94" i="28"/>
  <c r="Q111" i="28"/>
  <c r="AB73" i="28"/>
  <c r="CO20" i="28"/>
  <c r="CC54" i="28"/>
  <c r="CG86" i="28"/>
  <c r="CO34" i="28"/>
  <c r="AL46" i="28"/>
  <c r="CQ66" i="28"/>
  <c r="O91" i="28"/>
  <c r="C20" i="28"/>
  <c r="AX57" i="28"/>
  <c r="E50" i="28"/>
  <c r="CG92" i="28"/>
  <c r="CO38" i="28"/>
  <c r="G17" i="28"/>
  <c r="CC96" i="28"/>
  <c r="AW114" i="28"/>
  <c r="AY107" i="28"/>
  <c r="BA82" i="28"/>
  <c r="BT58" i="28"/>
  <c r="C53" i="28"/>
  <c r="AK80" i="28"/>
  <c r="S55" i="28"/>
  <c r="AM56" i="28"/>
  <c r="AC118" i="28"/>
  <c r="O69" i="28"/>
  <c r="Y15" i="31"/>
  <c r="G30" i="28"/>
  <c r="D18" i="31"/>
  <c r="R12" i="31"/>
  <c r="AM28" i="28"/>
  <c r="AL41" i="28"/>
  <c r="D31" i="31"/>
  <c r="Q96" i="28"/>
  <c r="CD99" i="28"/>
  <c r="CQ34" i="28"/>
  <c r="AO116" i="28"/>
  <c r="CQ40" i="28"/>
  <c r="CS96" i="28"/>
  <c r="AB79" i="28"/>
  <c r="CD66" i="28"/>
  <c r="D28" i="28"/>
  <c r="AM84" i="28"/>
  <c r="CG58" i="28"/>
  <c r="BU31" i="28"/>
  <c r="O54" i="28"/>
  <c r="BS110" i="28"/>
  <c r="Q116" i="28"/>
  <c r="CE22" i="28"/>
  <c r="P35" i="28"/>
  <c r="AM44" i="28"/>
  <c r="CD101" i="28"/>
  <c r="G104" i="28"/>
  <c r="BK30" i="28"/>
  <c r="AO33" i="28"/>
  <c r="AB46" i="28"/>
  <c r="AC103" i="28"/>
  <c r="I5" i="31"/>
  <c r="L15" i="31"/>
  <c r="AK27" i="28"/>
  <c r="O99" i="28"/>
  <c r="BU29" i="28"/>
  <c r="T10" i="31"/>
  <c r="C63" i="28"/>
  <c r="N12" i="31"/>
  <c r="S107" i="28"/>
  <c r="AK108" i="28"/>
  <c r="E13" i="31"/>
  <c r="BK68" i="28"/>
  <c r="I20" i="31"/>
  <c r="S106" i="28"/>
  <c r="Q62" i="28"/>
  <c r="CS30" i="28"/>
  <c r="G113" i="28"/>
  <c r="BS62" i="28"/>
  <c r="D71" i="28"/>
  <c r="BK89" i="28"/>
  <c r="AA54" i="28"/>
  <c r="C92" i="28"/>
  <c r="E16" i="28"/>
  <c r="C83" i="28"/>
  <c r="CD22" i="28"/>
  <c r="L5" i="31"/>
  <c r="BS94" i="28"/>
  <c r="AA14" i="31"/>
  <c r="BI79" i="28"/>
  <c r="AW25" i="28"/>
  <c r="AX54" i="28"/>
  <c r="C65" i="28"/>
  <c r="G58" i="28"/>
  <c r="CC117" i="28"/>
  <c r="C50" i="28"/>
  <c r="CS108" i="28"/>
  <c r="P26" i="28"/>
  <c r="BS109" i="28"/>
  <c r="C24" i="28"/>
  <c r="CE43" i="28"/>
  <c r="CE76" i="28"/>
  <c r="AO115" i="28"/>
  <c r="M8" i="34" a="1"/>
  <c r="AY37" i="28"/>
  <c r="AB87" i="28"/>
  <c r="AB114" i="28"/>
  <c r="AC110" i="28"/>
  <c r="AO16" i="28"/>
  <c r="AC88" i="28"/>
  <c r="CG111" i="28"/>
  <c r="D41" i="28"/>
  <c r="G27" i="28"/>
  <c r="CS61" i="28"/>
  <c r="O28" i="31"/>
  <c r="BS66" i="28"/>
  <c r="H12" i="31"/>
  <c r="AA114" i="28"/>
  <c r="D27" i="31"/>
  <c r="U30" i="31"/>
  <c r="P31" i="31"/>
  <c r="G112" i="28"/>
  <c r="O75" i="28"/>
  <c r="AY83" i="28"/>
  <c r="V16" i="31"/>
  <c r="CG38" i="28"/>
  <c r="AW100" i="28"/>
  <c r="CO57" i="28"/>
  <c r="O27" i="31"/>
  <c r="BT89" i="28"/>
  <c r="J30" i="31"/>
  <c r="AB58" i="28"/>
  <c r="Q89" i="28"/>
  <c r="AL43" i="28"/>
  <c r="CO46" i="28"/>
  <c r="BT103" i="28"/>
  <c r="BA69" i="28"/>
  <c r="CO71" i="28"/>
  <c r="O45" i="28"/>
  <c r="BT25" i="28"/>
  <c r="AO70" i="28"/>
  <c r="V19" i="31"/>
  <c r="AO65" i="28"/>
  <c r="AW103" i="28"/>
  <c r="CD90" i="28"/>
  <c r="CG97" i="28"/>
  <c r="BK63" i="28"/>
  <c r="AC42" i="28"/>
  <c r="AW23" i="28"/>
  <c r="S111" i="28"/>
  <c r="AO120" i="28"/>
  <c r="Q110" i="28"/>
  <c r="BK88" i="28"/>
  <c r="CS114" i="28"/>
  <c r="AA29" i="28"/>
  <c r="BI58" i="28"/>
  <c r="G28" i="28"/>
  <c r="AK87" i="28"/>
  <c r="CO80" i="28"/>
  <c r="Z10" i="31"/>
  <c r="CO17" i="28"/>
  <c r="CE33" i="28"/>
  <c r="Q122" i="28"/>
  <c r="AM16" i="28"/>
  <c r="CG99" i="28"/>
  <c r="AB53" i="28"/>
  <c r="CO39" i="28"/>
  <c r="AM96" i="28"/>
  <c r="Q86" i="28"/>
  <c r="AL94" i="28"/>
  <c r="P72" i="28"/>
  <c r="CO97" i="28"/>
  <c r="BS53" i="28"/>
  <c r="BT52" i="28"/>
  <c r="S95" i="28"/>
  <c r="L22" i="31"/>
  <c r="AX39" i="28"/>
  <c r="AK109" i="28"/>
  <c r="AM41" i="28"/>
  <c r="AO82" i="28"/>
  <c r="BK95" i="28"/>
  <c r="AK119" i="28"/>
  <c r="C15" i="28"/>
  <c r="BU79" i="28"/>
  <c r="P40" i="28"/>
  <c r="BK70" i="28"/>
  <c r="CQ74" i="28"/>
  <c r="AX101" i="28"/>
  <c r="BK99" i="28"/>
  <c r="E70" i="28"/>
  <c r="BK39" i="28"/>
  <c r="T28" i="31"/>
  <c r="AK104" i="28"/>
  <c r="AL49" i="28"/>
  <c r="AX97" i="28"/>
  <c r="CP52" i="28"/>
  <c r="AB92" i="28"/>
  <c r="C66" i="28"/>
  <c r="AL81" i="28"/>
  <c r="CO111" i="28"/>
  <c r="BS103" i="28"/>
  <c r="CP101" i="28"/>
  <c r="O65" i="28"/>
  <c r="O122" i="28"/>
  <c r="BA48" i="28"/>
  <c r="BS45" i="28"/>
  <c r="BU108" i="28"/>
  <c r="AB54" i="28"/>
  <c r="AY38" i="28"/>
  <c r="D18" i="28"/>
  <c r="CP60" i="28"/>
  <c r="K17" i="31"/>
  <c r="CC98" i="28"/>
  <c r="P118" i="28"/>
  <c r="BI35" i="28"/>
  <c r="BA60" i="28"/>
  <c r="CG15" i="28"/>
  <c r="CQ29" i="28"/>
  <c r="P44" i="28"/>
  <c r="AK70" i="28"/>
  <c r="G6" i="31"/>
  <c r="BA106" i="28"/>
  <c r="BS17" i="28"/>
  <c r="BA66" i="28"/>
  <c r="AW77" i="28"/>
  <c r="R29" i="31"/>
  <c r="S7" i="31"/>
  <c r="AX103" i="28"/>
  <c r="AY27" i="28"/>
  <c r="S47" i="28"/>
  <c r="Z14" i="31"/>
  <c r="E17" i="31"/>
  <c r="D24" i="28"/>
  <c r="O72" i="28"/>
  <c r="G37" i="28"/>
  <c r="CD110" i="28"/>
  <c r="CP74" i="28"/>
  <c r="P17" i="31"/>
  <c r="R27" i="31"/>
  <c r="BK20" i="28"/>
  <c r="C45" i="28"/>
  <c r="CS65" i="28"/>
  <c r="AO58" i="28"/>
  <c r="G96" i="28"/>
  <c r="AO76" i="28"/>
  <c r="AK76" i="28"/>
  <c r="E73" i="28"/>
  <c r="CS81" i="28"/>
  <c r="C18" i="28"/>
  <c r="BK72" i="28"/>
  <c r="AL89" i="28"/>
  <c r="CQ77" i="28"/>
  <c r="CG35" i="28"/>
  <c r="E86" i="28"/>
  <c r="P66" i="28"/>
  <c r="CO96" i="28"/>
  <c r="AC56" i="28"/>
  <c r="BA22" i="28"/>
  <c r="M6" i="31"/>
  <c r="CE91" i="28"/>
  <c r="D20" i="31"/>
  <c r="M19" i="31"/>
  <c r="G103" i="28"/>
  <c r="BK85" i="28"/>
  <c r="AY22" i="28"/>
  <c r="CE81" i="28"/>
  <c r="AA99" i="28"/>
  <c r="CQ24" i="28"/>
  <c r="E122" i="28"/>
  <c r="CQ26" i="28"/>
  <c r="AB110" i="28"/>
  <c r="CC72" i="28"/>
  <c r="BT121" i="28"/>
  <c r="BT82" i="28"/>
  <c r="BT74" i="28"/>
  <c r="D103" i="28"/>
  <c r="BA93" i="28"/>
  <c r="AM37" i="28"/>
  <c r="CQ46" i="28"/>
  <c r="CE27" i="28"/>
  <c r="CS15" i="28"/>
  <c r="CC56" i="28"/>
  <c r="AL18" i="28"/>
  <c r="R15" i="31"/>
  <c r="AB80" i="28"/>
  <c r="P31" i="28"/>
  <c r="AW90" i="28"/>
  <c r="E94" i="28"/>
  <c r="O82" i="28"/>
  <c r="P94" i="28"/>
  <c r="CE88" i="28"/>
  <c r="P52" i="28"/>
  <c r="C117" i="28"/>
  <c r="AB19" i="28"/>
  <c r="CS39" i="28"/>
  <c r="CG89" i="28"/>
  <c r="BU109" i="28"/>
  <c r="E80" i="28"/>
  <c r="C42" i="28"/>
  <c r="CQ58" i="28"/>
  <c r="CE97" i="28"/>
  <c r="CG62" i="28"/>
  <c r="G60" i="28"/>
  <c r="Q61" i="28"/>
  <c r="CO107" i="28"/>
  <c r="AY70" i="28"/>
  <c r="G5" i="31"/>
  <c r="K31" i="31"/>
  <c r="G107" i="28"/>
  <c r="S73" i="28"/>
  <c r="BA53" i="28"/>
  <c r="BA15" i="28"/>
  <c r="BK64" i="28"/>
  <c r="O39" i="28"/>
  <c r="AW28" i="28"/>
  <c r="V8" i="31"/>
  <c r="E59" i="28"/>
  <c r="O8" i="31"/>
  <c r="BI63" i="28"/>
  <c r="BT60" i="28"/>
  <c r="AC22" i="28"/>
  <c r="AC63" i="28"/>
  <c r="CG17" i="28"/>
  <c r="P25" i="28"/>
  <c r="AO108" i="28"/>
  <c r="E105" i="28"/>
  <c r="D26" i="28"/>
  <c r="U16" i="31"/>
  <c r="E32" i="28"/>
  <c r="Y8" i="31"/>
  <c r="CS59" i="28"/>
  <c r="Q73" i="28"/>
  <c r="CP64" i="28"/>
  <c r="J8" i="31"/>
  <c r="BS112" i="28"/>
  <c r="BK121" i="28"/>
  <c r="G71" i="28"/>
  <c r="CG18" i="28"/>
  <c r="M21" i="31"/>
  <c r="AW105" i="28"/>
  <c r="AB120" i="28"/>
  <c r="G92" i="28"/>
  <c r="AK121" i="28"/>
  <c r="D96" i="28"/>
  <c r="I30" i="31"/>
  <c r="BI88" i="28"/>
  <c r="CS45" i="28"/>
  <c r="Q41" i="28"/>
  <c r="AO29" i="28"/>
  <c r="D110" i="28"/>
  <c r="AO15" i="28"/>
  <c r="BA47" i="28"/>
  <c r="BK32" i="28"/>
  <c r="CQ69" i="28"/>
  <c r="L19" i="31"/>
  <c r="AL80" i="28"/>
  <c r="G109" i="28"/>
  <c r="AC16" i="28"/>
  <c r="AC107" i="28"/>
  <c r="BS23" i="28"/>
  <c r="G10" i="31"/>
  <c r="CE71" i="28"/>
  <c r="Y31" i="31"/>
  <c r="Q76" i="28"/>
  <c r="AB107" i="28"/>
  <c r="CG39" i="28"/>
  <c r="BA27" i="28"/>
  <c r="AX100" i="28"/>
  <c r="AX26" i="28"/>
  <c r="J20" i="31"/>
  <c r="AM77" i="28"/>
  <c r="AX121" i="28"/>
  <c r="AO106" i="28"/>
  <c r="BS64" i="28"/>
  <c r="BA116" i="28"/>
  <c r="BI40" i="28"/>
  <c r="AA93" i="28"/>
  <c r="Q7" i="31"/>
  <c r="CP80" i="28"/>
  <c r="BI92" i="28"/>
  <c r="CG121" i="28"/>
  <c r="CG63" i="28"/>
  <c r="G75" i="28"/>
  <c r="N6" i="31"/>
  <c r="BI108" i="28"/>
  <c r="M27" i="31"/>
  <c r="AL51" i="28"/>
  <c r="V10" i="31"/>
  <c r="Q16" i="31"/>
  <c r="BT23" i="28"/>
  <c r="C121" i="28"/>
  <c r="G54" i="28"/>
  <c r="BT85" i="28"/>
  <c r="AB43" i="28"/>
  <c r="BU93" i="28"/>
  <c r="V28" i="31"/>
  <c r="BI106" i="28"/>
  <c r="BU89" i="28"/>
  <c r="CQ112" i="28"/>
  <c r="AM74" i="28"/>
  <c r="CE51" i="28"/>
  <c r="BT38" i="28"/>
  <c r="AL110" i="28"/>
  <c r="CP119" i="28"/>
  <c r="AW111" i="28"/>
  <c r="AO94" i="28"/>
  <c r="AX118" i="28"/>
  <c r="S64" i="28"/>
  <c r="AX116" i="28"/>
  <c r="D97" i="28"/>
  <c r="CO59" i="28"/>
  <c r="CG69" i="28"/>
  <c r="BS58" i="28"/>
  <c r="P98" i="28"/>
  <c r="CP4" i="28"/>
  <c r="E24" i="28"/>
  <c r="Q28" i="31"/>
  <c r="R19" i="31"/>
  <c r="CG85" i="28"/>
  <c r="AM67" i="28"/>
  <c r="R28" i="31"/>
  <c r="AB60" i="28"/>
  <c r="AO63" i="28"/>
  <c r="BS22" i="28"/>
  <c r="BA83" i="28"/>
  <c r="AA47" i="28"/>
  <c r="BI104" i="28"/>
  <c r="G55" i="28"/>
  <c r="AX83" i="28"/>
  <c r="BU122" i="28"/>
  <c r="CO64" i="28"/>
  <c r="AM99" i="28"/>
  <c r="CE106" i="28"/>
  <c r="CE20" i="28"/>
  <c r="E46" i="28"/>
  <c r="CD103" i="28"/>
  <c r="CD25" i="28"/>
  <c r="BK57" i="28"/>
  <c r="BI99" i="28"/>
  <c r="S70" i="28"/>
  <c r="BA101" i="28"/>
  <c r="BU47" i="28"/>
  <c r="BK15" i="28"/>
  <c r="BA43" i="28"/>
  <c r="AX38" i="28"/>
  <c r="P70" i="28"/>
  <c r="BT64" i="28"/>
  <c r="CC50" i="28"/>
  <c r="O31" i="28"/>
  <c r="AM45" i="28"/>
  <c r="BI85" i="28"/>
  <c r="G76" i="28"/>
  <c r="AC109" i="28"/>
  <c r="BK53" i="28"/>
  <c r="BT28" i="28"/>
  <c r="D13" i="31"/>
  <c r="N7" i="34" a="1"/>
  <c r="AX65" i="28"/>
  <c r="CQ73" i="28"/>
  <c r="BS98" i="28"/>
  <c r="BK122" i="28"/>
  <c r="AA26" i="31"/>
  <c r="D69" i="28"/>
  <c r="S36" i="28"/>
  <c r="AA87" i="28"/>
  <c r="CE65" i="28"/>
  <c r="BU98" i="28"/>
  <c r="O34" i="28"/>
  <c r="BU17" i="28"/>
  <c r="AL61" i="28"/>
  <c r="AC39" i="28"/>
  <c r="CD29" i="28"/>
  <c r="E39" i="28"/>
  <c r="D43" i="28"/>
  <c r="E12" i="31"/>
  <c r="AB81" i="28"/>
  <c r="E117" i="28"/>
  <c r="AO119" i="28"/>
  <c r="S85" i="28"/>
  <c r="D22" i="28"/>
  <c r="BA114" i="28"/>
  <c r="AA48" i="28"/>
  <c r="AX104" i="28"/>
  <c r="O7" i="34" a="1"/>
  <c r="AX87" i="28"/>
  <c r="CG25" i="28"/>
  <c r="AA110" i="28"/>
  <c r="CD44" i="28"/>
  <c r="P50" i="28"/>
  <c r="CO58" i="28"/>
  <c r="AC77" i="28"/>
  <c r="CG75" i="28"/>
  <c r="BT68" i="28"/>
  <c r="Y6" i="31"/>
  <c r="S29" i="28"/>
  <c r="AX61" i="28"/>
  <c r="N15" i="31"/>
  <c r="BI72" i="28"/>
  <c r="CC29" i="28"/>
  <c r="P49" i="28"/>
  <c r="AW97" i="28"/>
  <c r="BI103" i="28"/>
  <c r="CO52" i="28"/>
  <c r="N18" i="31"/>
  <c r="O18" i="31"/>
  <c r="C75" i="28"/>
  <c r="S19" i="28"/>
  <c r="AC47" i="28"/>
  <c r="L8" i="31"/>
  <c r="CG91" i="28"/>
  <c r="BK120" i="28"/>
  <c r="CG30" i="28"/>
  <c r="P32" i="31"/>
  <c r="AY31" i="28"/>
  <c r="AX60" i="28"/>
  <c r="Y27" i="31"/>
  <c r="AW85" i="28"/>
  <c r="CP78" i="28"/>
  <c r="AM80" i="28"/>
  <c r="AA24" i="28"/>
  <c r="AW94" i="28"/>
  <c r="P13" i="31"/>
  <c r="AK66" i="28"/>
  <c r="I21" i="31"/>
  <c r="AA21" i="28"/>
  <c r="C91" i="28"/>
  <c r="CC62" i="28"/>
  <c r="CG64" i="28"/>
  <c r="E54" i="28"/>
  <c r="O26" i="28"/>
  <c r="C100" i="28"/>
  <c r="D49" i="28"/>
  <c r="BA76" i="28"/>
  <c r="P38" i="28"/>
  <c r="BU42" i="28"/>
  <c r="AK35" i="28"/>
  <c r="AA55" i="28"/>
  <c r="CQ81" i="28"/>
  <c r="BS99" i="28"/>
  <c r="CD102" i="28"/>
  <c r="BT53" i="28"/>
  <c r="CE72" i="28"/>
  <c r="T26" i="31"/>
  <c r="AB55" i="28"/>
  <c r="AY16" i="28"/>
  <c r="BS119" i="28"/>
  <c r="K16" i="31"/>
  <c r="CE87" i="28"/>
  <c r="AW120" i="28"/>
  <c r="D120" i="28"/>
  <c r="D14" i="31"/>
  <c r="AB62" i="28"/>
  <c r="I7" i="34" a="1"/>
  <c r="AL78" i="28"/>
  <c r="BT102" i="28"/>
  <c r="AK59" i="28"/>
  <c r="AL15" i="28"/>
  <c r="BK106" i="28"/>
  <c r="C81" i="28"/>
  <c r="BS76" i="28"/>
  <c r="BU63" i="28"/>
  <c r="U12" i="31"/>
  <c r="AB64" i="28"/>
  <c r="CE23" i="28"/>
  <c r="G73" i="28"/>
  <c r="AX110" i="28"/>
  <c r="G72" i="28"/>
  <c r="BS100" i="28"/>
  <c r="BT18" i="28"/>
  <c r="P105" i="28"/>
  <c r="N21" i="31"/>
  <c r="P119" i="28"/>
  <c r="CC51" i="28"/>
  <c r="AA112" i="28"/>
  <c r="AA43" i="28"/>
  <c r="D63" i="28"/>
  <c r="C39" i="28"/>
  <c r="AC70" i="28"/>
  <c r="AW83" i="28"/>
  <c r="CC24" i="28"/>
  <c r="AC79" i="28"/>
  <c r="K12" i="31"/>
  <c r="BU30" i="28"/>
  <c r="AW122" i="28"/>
  <c r="K21" i="31"/>
  <c r="CG67" i="28"/>
  <c r="CC99" i="28"/>
  <c r="M17" i="31"/>
  <c r="BT67" i="28"/>
  <c r="CQ70" i="28"/>
  <c r="CQ95" i="28"/>
  <c r="CE25" i="28"/>
  <c r="AW76" i="28"/>
  <c r="AK24" i="28"/>
  <c r="CC64" i="28"/>
  <c r="CD96" i="28"/>
  <c r="P59" i="28"/>
  <c r="G29" i="28"/>
  <c r="BT35" i="28"/>
  <c r="H28" i="31"/>
  <c r="AM90" i="28"/>
  <c r="O19" i="31"/>
  <c r="AB72" i="28"/>
  <c r="D59" i="28"/>
  <c r="CP75" i="28"/>
  <c r="S12" i="31"/>
  <c r="BS75" i="28"/>
  <c r="AX74" i="28"/>
  <c r="T14" i="31"/>
  <c r="CD118" i="28"/>
  <c r="AO68" i="28"/>
  <c r="K28" i="31"/>
  <c r="R13" i="31"/>
  <c r="C84" i="28"/>
  <c r="AB29" i="28"/>
  <c r="CS115" i="28"/>
  <c r="AY66" i="28"/>
  <c r="CP88" i="28"/>
  <c r="CP121" i="28"/>
  <c r="AY122" i="28"/>
  <c r="CO63" i="28"/>
  <c r="O84" i="28"/>
  <c r="I18" i="31"/>
  <c r="CG101" i="28"/>
  <c r="BA46" i="28"/>
  <c r="AM95" i="28"/>
  <c r="Y26" i="31"/>
  <c r="CG59" i="28"/>
  <c r="AL111" i="28"/>
  <c r="AM70" i="28"/>
  <c r="Q20" i="31"/>
  <c r="CO118" i="28"/>
  <c r="C41" i="28"/>
  <c r="BS18" i="28"/>
  <c r="CC69" i="28"/>
  <c r="CQ90" i="28"/>
  <c r="AO101" i="28"/>
  <c r="CD58" i="28"/>
  <c r="G88" i="28"/>
  <c r="CD30" i="28"/>
  <c r="CP45" i="28"/>
  <c r="CE36" i="28"/>
  <c r="AM69" i="28"/>
  <c r="P19" i="31"/>
  <c r="CS46" i="28"/>
  <c r="BA64" i="28"/>
  <c r="CE59" i="28"/>
  <c r="CG51" i="28"/>
  <c r="CP34" i="28"/>
  <c r="Y16" i="31"/>
  <c r="BU50" i="28"/>
  <c r="BS48" i="28"/>
  <c r="R17" i="31"/>
  <c r="AW72" i="28"/>
  <c r="J31" i="31"/>
  <c r="Q14" i="31"/>
  <c r="BI66" i="28"/>
  <c r="AL27" i="28"/>
  <c r="AM23" i="28"/>
  <c r="AL121" i="28"/>
  <c r="CC61" i="28"/>
  <c r="BK73" i="28"/>
  <c r="CD64" i="28"/>
  <c r="BS60" i="28"/>
  <c r="G51" i="28"/>
  <c r="AM46" i="28"/>
  <c r="AO37" i="28"/>
  <c r="H6" i="31"/>
  <c r="Z5" i="31"/>
  <c r="AY26" i="28"/>
  <c r="X17" i="31"/>
  <c r="CD80" i="28"/>
  <c r="AL107" i="28"/>
  <c r="CE68" i="28"/>
  <c r="AC38" i="28"/>
  <c r="BS85" i="28"/>
  <c r="AY34" i="28"/>
  <c r="C111" i="28"/>
  <c r="E82" i="28"/>
  <c r="CO77" i="28"/>
  <c r="AA29" i="31"/>
  <c r="CP100" i="28"/>
  <c r="CP38" i="28"/>
  <c r="CO29" i="28"/>
  <c r="Q43" i="28"/>
  <c r="CQ41" i="28"/>
  <c r="BA77" i="28"/>
  <c r="BS33" i="28"/>
  <c r="BA88" i="28"/>
  <c r="C94" i="28"/>
  <c r="AM119" i="28"/>
  <c r="CQ114" i="28"/>
  <c r="CG120" i="28"/>
  <c r="AB32" i="28"/>
  <c r="CD19" i="28"/>
  <c r="Q67" i="28"/>
  <c r="CD42" i="28"/>
  <c r="AX42" i="28"/>
  <c r="P67" i="28"/>
  <c r="S24" i="28"/>
  <c r="AC87" i="28"/>
  <c r="AA88" i="28"/>
  <c r="AY23" i="28"/>
  <c r="W22" i="31"/>
  <c r="D90" i="28"/>
  <c r="CE26" i="28"/>
  <c r="P117" i="28"/>
  <c r="Q97" i="28"/>
  <c r="AW50" i="28"/>
  <c r="CD77" i="28"/>
  <c r="AK96" i="28"/>
  <c r="AL59" i="28"/>
  <c r="S86" i="28"/>
  <c r="AL73" i="28"/>
  <c r="BI93" i="28"/>
  <c r="AB86" i="28"/>
  <c r="CP69" i="28"/>
  <c r="G46" i="28"/>
  <c r="G29" i="31"/>
  <c r="BA89" i="28"/>
  <c r="Q85" i="28"/>
  <c r="BI15" i="28"/>
  <c r="AK65" i="28"/>
  <c r="CE44" i="28"/>
  <c r="AL120" i="28"/>
  <c r="AK88" i="28"/>
  <c r="BS32" i="28"/>
  <c r="CG36" i="28"/>
  <c r="AB105" i="28"/>
  <c r="BU44" i="28"/>
  <c r="BK112" i="28"/>
  <c r="C17" i="28"/>
  <c r="AL47" i="28"/>
  <c r="G15" i="31"/>
  <c r="G69" i="28"/>
  <c r="R16" i="31"/>
  <c r="CP85" i="28"/>
  <c r="CS86" i="28"/>
  <c r="AA13" i="31"/>
  <c r="G20" i="31"/>
  <c r="CS31" i="28"/>
  <c r="AA74" i="28"/>
  <c r="CC113" i="28"/>
  <c r="C109" i="28"/>
  <c r="K14" i="31"/>
  <c r="L27" i="31"/>
  <c r="CE53" i="28"/>
  <c r="AY53" i="28"/>
  <c r="BU114" i="28"/>
  <c r="BU81" i="28"/>
  <c r="CP66" i="28"/>
  <c r="S21" i="31"/>
  <c r="X26" i="31"/>
  <c r="S48" i="28"/>
  <c r="AW30" i="28"/>
  <c r="AB52" i="28"/>
  <c r="CG40" i="28"/>
  <c r="S60" i="28"/>
  <c r="BI96" i="28"/>
  <c r="AB16" i="28"/>
  <c r="Q29" i="28"/>
  <c r="S80" i="28"/>
  <c r="AO25" i="28"/>
  <c r="CD60" i="28"/>
  <c r="AC120" i="28"/>
  <c r="BT37" i="28"/>
  <c r="CG103" i="28"/>
  <c r="E98" i="28"/>
  <c r="S49" i="28"/>
  <c r="AW57" i="28"/>
  <c r="BK98" i="28"/>
  <c r="X7" i="34" a="1"/>
  <c r="P93" i="28"/>
  <c r="BI91" i="28"/>
  <c r="CD115" i="28"/>
  <c r="BT97" i="28"/>
  <c r="AY58" i="28"/>
  <c r="CP17" i="28"/>
  <c r="BA24" i="28"/>
  <c r="AX114" i="28"/>
  <c r="CD92" i="28"/>
  <c r="AA85" i="28"/>
  <c r="AB42" i="28"/>
  <c r="C31" i="28"/>
  <c r="AK90" i="28"/>
  <c r="AK23" i="28"/>
  <c r="H30" i="31"/>
  <c r="N8" i="31"/>
  <c r="M28" i="31"/>
  <c r="BS79" i="28"/>
  <c r="D77" i="28"/>
  <c r="P97" i="28"/>
  <c r="AC54" i="28"/>
  <c r="Q24" i="28"/>
  <c r="BA19" i="28"/>
  <c r="CD23" i="28"/>
  <c r="D17" i="31"/>
  <c r="AA22" i="28"/>
  <c r="D4" i="28"/>
  <c r="M14" i="31"/>
  <c r="BA58" i="28"/>
  <c r="BS54" i="28"/>
  <c r="CS77" i="28"/>
  <c r="AL95" i="28"/>
  <c r="BI76" i="28"/>
  <c r="AB76" i="28"/>
  <c r="CE70" i="28"/>
  <c r="CQ15" i="28"/>
  <c r="C38" i="28"/>
  <c r="CO108" i="28"/>
  <c r="G28" i="31"/>
  <c r="Q112" i="28"/>
  <c r="Q37" i="28"/>
  <c r="CO21" i="28"/>
  <c r="BA68" i="28"/>
  <c r="AO26" i="28"/>
  <c r="CP90" i="28"/>
  <c r="W30" i="31"/>
  <c r="I10" i="31"/>
  <c r="CC45" i="28"/>
  <c r="AB84" i="28"/>
  <c r="O121" i="28"/>
  <c r="CE60" i="28"/>
  <c r="Q100" i="28"/>
  <c r="G106" i="28"/>
  <c r="AL39" i="28"/>
  <c r="CO93" i="28"/>
  <c r="AY33" i="28"/>
  <c r="CG45" i="28"/>
  <c r="AB112" i="28"/>
  <c r="AW106" i="28"/>
  <c r="P84" i="28"/>
  <c r="M26" i="31"/>
  <c r="BI68" i="28"/>
  <c r="CC86" i="28"/>
  <c r="AK57" i="28"/>
  <c r="C22" i="28"/>
  <c r="CS70" i="28"/>
  <c r="AO64" i="28"/>
  <c r="AK48" i="28"/>
  <c r="AB20" i="28"/>
  <c r="P62" i="28"/>
  <c r="P4" i="28"/>
  <c r="G27" i="31"/>
  <c r="AM78" i="28"/>
  <c r="O37" i="28"/>
  <c r="S29" i="31"/>
  <c r="AA61" i="28"/>
  <c r="C68" i="28"/>
  <c r="CC49" i="28"/>
  <c r="AX53" i="28"/>
  <c r="O17" i="28"/>
  <c r="AC18" i="28"/>
  <c r="CO41" i="28"/>
  <c r="AC78" i="28"/>
  <c r="W7" i="34" a="1"/>
  <c r="AA50" i="28"/>
  <c r="CC17" i="28"/>
  <c r="H18" i="31"/>
  <c r="CS44" i="28"/>
  <c r="CD50" i="28"/>
  <c r="Q77" i="28"/>
  <c r="CS58" i="28"/>
  <c r="CD21" i="28"/>
  <c r="W16" i="31"/>
  <c r="BI22" i="28"/>
  <c r="S101" i="28"/>
  <c r="BI107" i="28"/>
  <c r="S16" i="31"/>
  <c r="CD105" i="28"/>
  <c r="BS118" i="28"/>
  <c r="Y20" i="31"/>
  <c r="BS55" i="28"/>
  <c r="BI87" i="28"/>
  <c r="BU82" i="28"/>
  <c r="F28" i="31"/>
  <c r="C90" i="28"/>
  <c r="CO45" i="28"/>
  <c r="BT76" i="28"/>
  <c r="AB88" i="28"/>
  <c r="Z8" i="34" a="1"/>
  <c r="CD97" i="28"/>
  <c r="D67" i="28"/>
  <c r="AY104" i="28"/>
  <c r="G32" i="31"/>
  <c r="CC91" i="28"/>
  <c r="CE61" i="28"/>
  <c r="CE96" i="28"/>
  <c r="CS105" i="28"/>
  <c r="BU62" i="28"/>
  <c r="S51" i="28"/>
  <c r="X8" i="31"/>
  <c r="Y13" i="31"/>
  <c r="CD40" i="28"/>
  <c r="O119" i="28"/>
  <c r="D108" i="28"/>
  <c r="BA39" i="28"/>
  <c r="V22" i="31"/>
  <c r="I31" i="31"/>
  <c r="AA89" i="28"/>
  <c r="BA91" i="28"/>
  <c r="CG116" i="28"/>
  <c r="AW15" i="28"/>
  <c r="AY50" i="28"/>
  <c r="CQ109" i="28"/>
  <c r="AW75" i="28"/>
  <c r="S90" i="28"/>
  <c r="AK47" i="28"/>
  <c r="S77" i="28"/>
  <c r="G53" i="28"/>
  <c r="J16" i="31"/>
  <c r="G21" i="28"/>
  <c r="CS48" i="28"/>
  <c r="E108" i="28"/>
  <c r="BA23" i="28"/>
  <c r="E109" i="28"/>
  <c r="AB30" i="28"/>
  <c r="AO41" i="28"/>
  <c r="O29" i="28"/>
  <c r="R20" i="31"/>
  <c r="AX45" i="28"/>
  <c r="AA21" i="31"/>
  <c r="CP108" i="28"/>
  <c r="U13" i="31"/>
  <c r="AC60" i="28"/>
  <c r="BI16" i="28"/>
  <c r="CC105" i="28"/>
  <c r="S82" i="28"/>
  <c r="CO22" i="28"/>
  <c r="D72" i="28"/>
  <c r="AC50" i="28"/>
  <c r="CC42" i="28"/>
  <c r="BK118" i="28"/>
  <c r="Y14" i="31"/>
  <c r="AA105" i="28"/>
  <c r="AC35" i="28"/>
  <c r="BI89" i="28"/>
  <c r="AA71" i="28"/>
  <c r="O25" i="28"/>
  <c r="C37" i="28"/>
  <c r="BI37" i="28"/>
  <c r="F26" i="31"/>
  <c r="BI110" i="28"/>
  <c r="AC104" i="28"/>
  <c r="CD76" i="28"/>
  <c r="BI98" i="28"/>
  <c r="BA67" i="28"/>
  <c r="N19" i="31"/>
  <c r="L31" i="31"/>
  <c r="CC27" i="28"/>
  <c r="BI117" i="28"/>
  <c r="CS26" i="28"/>
  <c r="AK98" i="28"/>
  <c r="CS90" i="28"/>
  <c r="H7" i="34" a="1"/>
  <c r="H16" i="31"/>
  <c r="O29" i="31"/>
  <c r="P77" i="28"/>
  <c r="S38" i="28"/>
  <c r="CP33" i="28"/>
  <c r="AO100" i="28"/>
  <c r="AX106" i="28"/>
  <c r="BT22" i="28"/>
  <c r="O58" i="28"/>
  <c r="BA115" i="28"/>
  <c r="AW51" i="28"/>
  <c r="O115" i="28"/>
  <c r="Q27" i="31"/>
  <c r="BS87" i="28"/>
  <c r="AO69" i="28"/>
  <c r="D29" i="28"/>
  <c r="BT46" i="28"/>
  <c r="CG16" i="28"/>
  <c r="BT98" i="28"/>
  <c r="AL65" i="28"/>
  <c r="BU117" i="28"/>
  <c r="K15" i="31"/>
  <c r="BK115" i="28"/>
  <c r="BU105" i="28"/>
  <c r="CG122" i="28"/>
  <c r="D86" i="28"/>
  <c r="AA59" i="28"/>
  <c r="BK116" i="28"/>
  <c r="CO116" i="28"/>
  <c r="Q16" i="28"/>
  <c r="E20" i="28"/>
  <c r="G7" i="31"/>
  <c r="AA20" i="31"/>
  <c r="O20" i="28"/>
  <c r="Q51" i="28"/>
  <c r="E27" i="28"/>
  <c r="AY20" i="28"/>
  <c r="AA84" i="28"/>
  <c r="CE95" i="28"/>
  <c r="AX105" i="28"/>
  <c r="G66" i="28"/>
  <c r="H14" i="31"/>
  <c r="BT55" i="28"/>
  <c r="AY105" i="28"/>
  <c r="Q53" i="28"/>
  <c r="AO40" i="28"/>
  <c r="CQ25" i="28"/>
  <c r="BS29" i="28"/>
  <c r="W32" i="31"/>
  <c r="S92" i="28"/>
  <c r="F29" i="31"/>
  <c r="BA110" i="28"/>
  <c r="Q108" i="28"/>
  <c r="Q56" i="28"/>
  <c r="CQ107" i="28"/>
  <c r="BA40" i="28"/>
  <c r="P61" i="28"/>
  <c r="BT71" i="28"/>
  <c r="Q117" i="28"/>
  <c r="AB101" i="28"/>
  <c r="CD87" i="28"/>
  <c r="O106" i="28"/>
  <c r="S57" i="28"/>
  <c r="G16" i="31"/>
  <c r="AA120" i="28"/>
  <c r="Q15" i="28"/>
  <c r="CO55" i="28"/>
  <c r="CD108" i="28"/>
  <c r="X13" i="31"/>
  <c r="O47" i="28"/>
  <c r="BU115" i="28"/>
  <c r="AK18" i="28"/>
  <c r="AY35" i="28"/>
  <c r="AA44" i="28"/>
  <c r="CS24" i="28"/>
  <c r="CD93" i="28"/>
  <c r="H8" i="34" a="1"/>
  <c r="AX66" i="28"/>
  <c r="CP86" i="28"/>
  <c r="AY117" i="28"/>
  <c r="AA15" i="31"/>
  <c r="BU76" i="28"/>
  <c r="D21" i="31"/>
  <c r="BK38" i="28"/>
  <c r="D29" i="31"/>
  <c r="CS52" i="28"/>
  <c r="AY109" i="28"/>
  <c r="CP120" i="28"/>
  <c r="AK46" i="28"/>
  <c r="CQ47" i="28"/>
  <c r="AO83" i="28"/>
  <c r="N20" i="31"/>
  <c r="AY98" i="28"/>
  <c r="W7" i="31"/>
  <c r="I17" i="31"/>
  <c r="AC113" i="28"/>
  <c r="O81" i="28"/>
  <c r="BU64" i="28"/>
  <c r="AM64" i="28"/>
  <c r="Q40" i="28"/>
  <c r="CG43" i="28"/>
  <c r="N10" i="31"/>
  <c r="G26" i="31"/>
  <c r="G97" i="28"/>
  <c r="CE78" i="28"/>
  <c r="C57" i="28"/>
  <c r="P103" i="28"/>
  <c r="AK67" i="28"/>
  <c r="S75" i="28"/>
  <c r="CD18" i="28"/>
  <c r="CC28" i="28"/>
  <c r="CE121" i="28"/>
  <c r="BT100" i="28"/>
  <c r="CE15" i="28"/>
  <c r="CE98" i="28"/>
  <c r="CQ36" i="28"/>
  <c r="CD82" i="28"/>
  <c r="AO81" i="28"/>
  <c r="C95" i="28"/>
  <c r="CO104" i="28"/>
  <c r="BT92" i="28"/>
  <c r="W6" i="31"/>
  <c r="N7" i="31"/>
  <c r="L6" i="31"/>
  <c r="AW60" i="28"/>
  <c r="AL53" i="28"/>
  <c r="CC48" i="28"/>
  <c r="BT70" i="28"/>
  <c r="CP62" i="28"/>
  <c r="AW118" i="28"/>
  <c r="BA59" i="28"/>
  <c r="AO118" i="28"/>
  <c r="E8" i="31"/>
  <c r="BI105" i="28"/>
  <c r="CC41" i="28"/>
  <c r="AL90" i="28"/>
  <c r="O63" i="28"/>
  <c r="BT65" i="28"/>
  <c r="CP54" i="28"/>
  <c r="BU15" i="28"/>
  <c r="T17" i="31"/>
  <c r="CS73" i="28"/>
  <c r="AM47" i="28"/>
  <c r="K26" i="31"/>
  <c r="AA92" i="28"/>
  <c r="AX29" i="28"/>
  <c r="Z12" i="31"/>
  <c r="E40" i="28"/>
  <c r="CP114" i="28"/>
  <c r="CG29" i="28"/>
  <c r="BK109" i="28"/>
  <c r="AW35" i="28"/>
  <c r="CQ78" i="28"/>
  <c r="AY91" i="28"/>
  <c r="O16" i="28"/>
  <c r="P91" i="28"/>
  <c r="O55" i="28"/>
  <c r="AL33" i="28"/>
  <c r="CS69" i="28"/>
  <c r="C116" i="28"/>
  <c r="CP103" i="28"/>
  <c r="BT110" i="28"/>
  <c r="AA97" i="28"/>
  <c r="E36" i="28"/>
  <c r="S35" i="28"/>
  <c r="CO31" i="28"/>
  <c r="E21" i="28"/>
  <c r="E93" i="28"/>
  <c r="BI90" i="28"/>
  <c r="CE112" i="28"/>
  <c r="BU37" i="28"/>
  <c r="CP43" i="28"/>
  <c r="BK84" i="28"/>
  <c r="CS71" i="28"/>
  <c r="BI84" i="28"/>
  <c r="P120" i="28"/>
  <c r="AW24" i="28"/>
  <c r="Q30" i="28"/>
  <c r="CE30" i="28"/>
  <c r="Q26" i="28"/>
  <c r="X28" i="31"/>
  <c r="P75" i="28"/>
  <c r="U8" i="31"/>
  <c r="I15" i="31"/>
  <c r="D16" i="31"/>
  <c r="AX108" i="28"/>
  <c r="Q94" i="28"/>
  <c r="P24" i="28"/>
  <c r="AX82" i="28"/>
  <c r="O26" i="31"/>
  <c r="G19" i="28"/>
  <c r="BI59" i="28"/>
  <c r="CO76" i="28"/>
  <c r="D42" i="28"/>
  <c r="S26" i="28"/>
  <c r="E63" i="28"/>
  <c r="S8" i="34" a="1"/>
  <c r="AC69" i="28"/>
  <c r="CO85" i="28"/>
  <c r="C26" i="28"/>
  <c r="BU38" i="28"/>
  <c r="AX63" i="28"/>
  <c r="E35" i="28"/>
  <c r="AO21" i="28"/>
  <c r="CQ35" i="28"/>
  <c r="CS23" i="28"/>
  <c r="AO72" i="28"/>
  <c r="O20" i="31"/>
  <c r="BT29" i="28"/>
  <c r="E15" i="28"/>
  <c r="C55" i="28"/>
  <c r="G18" i="28"/>
  <c r="BU71" i="28"/>
  <c r="C70" i="28"/>
  <c r="AM105" i="28"/>
  <c r="X21" i="31"/>
  <c r="CS101" i="28"/>
  <c r="O89" i="28"/>
  <c r="CQ61" i="28"/>
  <c r="G8" i="34" a="1"/>
  <c r="AX96" i="28"/>
  <c r="AO31" i="28"/>
  <c r="S14" i="31"/>
  <c r="R7" i="31"/>
  <c r="AA25" i="28"/>
  <c r="AL104" i="28"/>
  <c r="AB40" i="28"/>
  <c r="AK101" i="28"/>
  <c r="AA101" i="28"/>
  <c r="BK44" i="28"/>
  <c r="E88" i="28"/>
  <c r="AK81" i="28"/>
  <c r="CE39" i="28"/>
  <c r="CG76" i="28"/>
  <c r="P99" i="28"/>
  <c r="CD78" i="28"/>
  <c r="D44" i="28"/>
  <c r="BT122" i="28"/>
  <c r="K5" i="31"/>
  <c r="CD53" i="28"/>
  <c r="CE108" i="28"/>
  <c r="CC60" i="28"/>
  <c r="BK113" i="28"/>
  <c r="S40" i="28"/>
  <c r="BA18" i="28"/>
  <c r="AY111" i="28"/>
  <c r="E14" i="31"/>
  <c r="BA122" i="28"/>
  <c r="AO111" i="28"/>
  <c r="AB108" i="28"/>
  <c r="S117" i="28"/>
  <c r="P68" i="28"/>
  <c r="AM59" i="28"/>
  <c r="CQ30" i="28"/>
  <c r="CO82" i="28"/>
  <c r="F31" i="31"/>
  <c r="D47" i="28"/>
  <c r="S114" i="28"/>
  <c r="O59" i="28"/>
  <c r="BT39" i="28"/>
  <c r="AY86" i="28"/>
  <c r="BK94" i="28"/>
  <c r="AC49" i="28"/>
  <c r="AX122" i="28"/>
  <c r="CQ27" i="28"/>
  <c r="CE45" i="28"/>
  <c r="T15" i="31"/>
  <c r="BU87" i="28"/>
  <c r="G116" i="28"/>
  <c r="AK75" i="28"/>
  <c r="I27" i="31"/>
  <c r="P100" i="28"/>
  <c r="BK52" i="28"/>
  <c r="AA6" i="31"/>
  <c r="AB97" i="28"/>
  <c r="O32" i="31"/>
  <c r="AA17" i="31"/>
  <c r="F8" i="34" a="1"/>
  <c r="CD45" i="28"/>
  <c r="CG49" i="28"/>
  <c r="BT116" i="28"/>
  <c r="AL62" i="28"/>
  <c r="S84" i="28"/>
  <c r="E102" i="28"/>
  <c r="BI24" i="28"/>
  <c r="AX89" i="28"/>
  <c r="BK29" i="28"/>
  <c r="AM103" i="28"/>
  <c r="M5" i="31"/>
  <c r="T22" i="31"/>
  <c r="D36" i="28"/>
  <c r="U22" i="31"/>
  <c r="C59" i="28"/>
  <c r="CC73" i="28"/>
  <c r="CE73" i="28"/>
  <c r="AA122" i="28"/>
  <c r="AO44" i="28"/>
  <c r="AW110" i="28"/>
  <c r="O105" i="28"/>
  <c r="BA61" i="28"/>
  <c r="O6" i="31"/>
  <c r="AL88" i="28"/>
  <c r="W13" i="31"/>
  <c r="BS77" i="28"/>
  <c r="BA109" i="28"/>
  <c r="CQ64" i="28"/>
  <c r="AL96" i="28"/>
  <c r="BI120" i="28"/>
  <c r="AK61" i="28"/>
  <c r="AB26" i="28"/>
  <c r="D78" i="28"/>
  <c r="E67" i="28"/>
  <c r="P48" i="28"/>
  <c r="D8" i="31"/>
  <c r="D91" i="28"/>
  <c r="AW119" i="28"/>
  <c r="AL17" i="28"/>
  <c r="BS34" i="28"/>
  <c r="AA82" i="28"/>
  <c r="BK47" i="28"/>
  <c r="S62" i="28"/>
  <c r="CE58" i="28"/>
  <c r="CE90" i="28"/>
  <c r="P111" i="28"/>
  <c r="S59" i="28"/>
  <c r="AW80" i="28"/>
  <c r="CP70" i="28"/>
  <c r="J7" i="34" a="1"/>
  <c r="D117" i="28"/>
  <c r="L21" i="31"/>
  <c r="D10" i="31"/>
  <c r="E57" i="28"/>
  <c r="AC106" i="28"/>
  <c r="CG27" i="28"/>
  <c r="R21" i="31"/>
  <c r="AW48" i="28"/>
  <c r="AK85" i="28"/>
  <c r="C108" i="28"/>
  <c r="CQ43" i="28"/>
  <c r="AX92" i="28"/>
  <c r="CG20" i="28"/>
  <c r="AX112" i="28"/>
  <c r="CC70" i="28"/>
  <c r="AX22" i="28"/>
  <c r="O14" i="31"/>
  <c r="CC120" i="28"/>
  <c r="CG21" i="28"/>
  <c r="S5" i="31"/>
  <c r="G91" i="28"/>
  <c r="K30" i="31"/>
  <c r="BI73" i="28"/>
  <c r="BU67" i="28"/>
  <c r="D6" i="31"/>
  <c r="AC119" i="28"/>
  <c r="CE16" i="28"/>
  <c r="S23" i="28"/>
  <c r="CQ53" i="28"/>
  <c r="AW19" i="28"/>
  <c r="BK111" i="28"/>
  <c r="CD117" i="28"/>
  <c r="CO61" i="28"/>
  <c r="E26" i="31"/>
  <c r="CC112" i="28"/>
  <c r="S46" i="28"/>
  <c r="N16" i="31"/>
  <c r="BS111" i="28"/>
  <c r="AL119" i="28"/>
  <c r="CP72" i="28"/>
  <c r="Q19" i="28"/>
  <c r="AO38" i="28"/>
  <c r="C89" i="28"/>
  <c r="BK90" i="28"/>
  <c r="AC96" i="28"/>
  <c r="CO102" i="28"/>
  <c r="CE117" i="28"/>
  <c r="AX18" i="28"/>
  <c r="E84" i="28"/>
  <c r="CC109" i="28"/>
  <c r="Z8" i="31"/>
  <c r="BU99" i="28"/>
  <c r="S69" i="28"/>
  <c r="BT80" i="28"/>
  <c r="CS104" i="28"/>
  <c r="S103" i="28"/>
  <c r="L8" i="34" a="1"/>
  <c r="S99" i="28"/>
  <c r="S17" i="28"/>
  <c r="AX94" i="28"/>
  <c r="BK78" i="28"/>
  <c r="O70" i="28"/>
  <c r="Z29" i="31"/>
  <c r="BT101" i="28"/>
  <c r="R8" i="34" a="1"/>
  <c r="AO19" i="28"/>
  <c r="H20" i="31"/>
  <c r="AC108" i="28"/>
  <c r="AO122" i="28"/>
  <c r="G79" i="28"/>
  <c r="CD100" i="28"/>
  <c r="BS117" i="28"/>
  <c r="AO88" i="28"/>
  <c r="AB96" i="28"/>
  <c r="Q64" i="28"/>
  <c r="C87" i="28"/>
  <c r="CS109" i="28"/>
  <c r="AX62" i="28"/>
  <c r="AY120" i="28"/>
  <c r="M31" i="31"/>
  <c r="J14" i="31"/>
  <c r="AK107" i="28"/>
  <c r="D64" i="28"/>
  <c r="CE94" i="28"/>
  <c r="AX79" i="28"/>
  <c r="S54" i="28"/>
  <c r="P73" i="28"/>
  <c r="CS29" i="28"/>
  <c r="AM33" i="28"/>
  <c r="CS49" i="28"/>
  <c r="CP111" i="28"/>
  <c r="AK52" i="28"/>
  <c r="BK60" i="28"/>
  <c r="BT81" i="28"/>
  <c r="AY76" i="28"/>
  <c r="BU19" i="28"/>
  <c r="P26" i="31"/>
  <c r="AK77" i="28"/>
  <c r="AL63" i="28"/>
  <c r="CG82" i="28"/>
  <c r="AY67" i="28"/>
  <c r="S78" i="28"/>
  <c r="P121" i="28"/>
  <c r="F8" i="31"/>
  <c r="Q18" i="28"/>
  <c r="CP94" i="28"/>
  <c r="CP112" i="28"/>
  <c r="C113" i="28"/>
  <c r="BK56" i="28"/>
  <c r="R26" i="31"/>
  <c r="AX24" i="28"/>
  <c r="J22" i="31"/>
  <c r="CC110" i="28"/>
  <c r="BA21" i="28"/>
  <c r="CD79" i="28"/>
  <c r="CQ45" i="28"/>
  <c r="AA42" i="28"/>
  <c r="AW96" i="28"/>
  <c r="C102" i="28"/>
  <c r="CP53" i="28"/>
  <c r="CQ88" i="28"/>
  <c r="CE67" i="28"/>
  <c r="E37" i="28"/>
  <c r="CG78" i="28"/>
  <c r="G30" i="31"/>
  <c r="I16" i="31"/>
  <c r="AA15" i="28"/>
  <c r="AB36" i="28"/>
  <c r="L7" i="34" a="1"/>
  <c r="BA35" i="28"/>
  <c r="C73" i="28"/>
  <c r="CC104" i="28"/>
  <c r="BK48" i="28"/>
  <c r="AW104" i="28"/>
  <c r="BS41" i="28"/>
  <c r="BS106" i="28"/>
  <c r="AB75" i="28"/>
  <c r="CS76" i="28"/>
  <c r="BK66" i="28"/>
  <c r="D102" i="28"/>
  <c r="BU92" i="28"/>
  <c r="CC108" i="28"/>
  <c r="CE115" i="28"/>
  <c r="BT86" i="28"/>
  <c r="S120" i="28"/>
  <c r="P81" i="28"/>
  <c r="CD61" i="28"/>
  <c r="CS17" i="28"/>
  <c r="Q15" i="31"/>
  <c r="H13" i="31"/>
  <c r="E100" i="28"/>
  <c r="BT50" i="28"/>
  <c r="CE122" i="28"/>
  <c r="O96" i="28"/>
  <c r="CC116" i="28"/>
  <c r="N17" i="31"/>
  <c r="CD38" i="28"/>
  <c r="C48" i="28"/>
  <c r="CQ101" i="28"/>
  <c r="BA44" i="28"/>
  <c r="BA121" i="28"/>
  <c r="Q31" i="31"/>
  <c r="O50" i="28"/>
  <c r="AK31" i="28"/>
  <c r="CC46" i="28"/>
  <c r="S105" i="28"/>
  <c r="P37" i="28"/>
  <c r="D51" i="28"/>
  <c r="AC75" i="28"/>
  <c r="AM114" i="28"/>
  <c r="BK69" i="28"/>
  <c r="AM120" i="28"/>
  <c r="CD26" i="28"/>
  <c r="AB47" i="28"/>
  <c r="AY77" i="28"/>
  <c r="CQ110" i="28"/>
  <c r="CO49" i="28"/>
  <c r="Q38" i="28"/>
  <c r="CG102" i="28"/>
  <c r="CG65" i="28"/>
  <c r="AK26" i="28"/>
  <c r="CG32" i="28"/>
  <c r="D89" i="28"/>
  <c r="AW17" i="28"/>
  <c r="CO48" i="28"/>
  <c r="AC82" i="28"/>
  <c r="Q36" i="28"/>
  <c r="AO30" i="28"/>
  <c r="P33" i="28"/>
  <c r="P122" i="28"/>
  <c r="AX59" i="28"/>
  <c r="I28" i="31"/>
  <c r="AL16" i="28"/>
  <c r="BI111" i="28"/>
  <c r="BA95" i="28"/>
  <c r="AO36" i="28"/>
  <c r="CE28" i="28"/>
  <c r="F18" i="31"/>
  <c r="J21" i="31"/>
  <c r="CQ21" i="28"/>
  <c r="S56" i="28"/>
  <c r="V5" i="31"/>
  <c r="Q59" i="28"/>
  <c r="F5" i="31"/>
  <c r="AC40" i="28"/>
  <c r="Q93" i="28"/>
  <c r="AB66" i="28"/>
  <c r="AX98" i="28"/>
  <c r="CE104" i="28"/>
  <c r="BI43" i="28"/>
  <c r="S100" i="28"/>
  <c r="L17" i="31"/>
  <c r="AW93" i="28"/>
  <c r="BT115" i="28"/>
  <c r="O94" i="28"/>
  <c r="S8" i="31"/>
  <c r="E17" i="28"/>
  <c r="BU95" i="28"/>
  <c r="AK54" i="28"/>
  <c r="CD49" i="28"/>
  <c r="G62" i="28"/>
  <c r="D40" i="28"/>
  <c r="V15" i="31"/>
  <c r="V21" i="31"/>
  <c r="C118" i="28"/>
  <c r="D66" i="28"/>
  <c r="AL122" i="28"/>
  <c r="E23" i="28"/>
  <c r="AB90" i="28"/>
  <c r="D65" i="28"/>
  <c r="E41" i="28"/>
  <c r="BK40" i="28"/>
  <c r="O102" i="28"/>
  <c r="BS88" i="28"/>
  <c r="BS93" i="28"/>
  <c r="CG113" i="28"/>
  <c r="P60" i="28"/>
  <c r="R30" i="31"/>
  <c r="Q22" i="28"/>
  <c r="BK81" i="28"/>
  <c r="G22" i="28"/>
  <c r="P12" i="31"/>
  <c r="E69" i="28"/>
  <c r="AC81" i="28"/>
  <c r="E112" i="28"/>
  <c r="S28" i="31"/>
  <c r="AX19" i="28"/>
  <c r="AL98" i="28"/>
  <c r="G121" i="28"/>
  <c r="CE74" i="28"/>
  <c r="S63" i="28"/>
  <c r="BI33" i="28"/>
  <c r="O67" i="28"/>
  <c r="AM26" i="28"/>
  <c r="AW73" i="28"/>
  <c r="AO87" i="28"/>
  <c r="CS121" i="28"/>
  <c r="T13" i="31"/>
  <c r="CS122" i="28"/>
  <c r="BK55" i="28"/>
  <c r="CO74" i="28"/>
  <c r="U26" i="31"/>
  <c r="BA29" i="28"/>
  <c r="AM62" i="28"/>
  <c r="CP26" i="28"/>
  <c r="G89" i="28"/>
  <c r="BU84" i="28"/>
  <c r="AC43" i="28"/>
  <c r="AL87" i="28"/>
  <c r="CS19" i="28"/>
  <c r="AA83" i="28"/>
  <c r="AB98" i="28"/>
  <c r="AX91" i="28"/>
  <c r="AB116" i="28"/>
  <c r="AL108" i="28"/>
  <c r="AO90" i="28"/>
  <c r="AX115" i="28"/>
  <c r="CO109" i="28"/>
  <c r="S76" i="28"/>
  <c r="BS44" i="28"/>
  <c r="BT44" i="28"/>
  <c r="S13" i="31"/>
  <c r="BI82" i="28"/>
  <c r="CD17" i="28"/>
  <c r="AW33" i="28"/>
  <c r="AC99" i="28"/>
  <c r="BK100" i="28"/>
  <c r="AO46" i="28"/>
  <c r="C47" i="28"/>
  <c r="O93" i="28"/>
  <c r="BS65" i="28"/>
  <c r="K20" i="31"/>
  <c r="Q46" i="28"/>
  <c r="C105" i="28"/>
  <c r="C120" i="28"/>
  <c r="D52" i="28"/>
  <c r="CG44" i="28"/>
  <c r="D25" i="28"/>
  <c r="P19" i="28"/>
  <c r="Q47" i="28"/>
  <c r="CO73" i="28"/>
  <c r="AC23" i="28"/>
  <c r="BT26" i="28"/>
  <c r="BS49" i="28"/>
  <c r="P18" i="28"/>
  <c r="CE118" i="28"/>
  <c r="AK21" i="28"/>
  <c r="P10" i="31"/>
  <c r="C82" i="28"/>
  <c r="Z19" i="31"/>
  <c r="U25" i="31" l="1"/>
  <c r="P11" i="31"/>
  <c r="F4" i="31"/>
  <c r="V4" i="31"/>
  <c r="L7" i="34"/>
  <c r="AA8" i="28"/>
  <c r="R25" i="31"/>
  <c r="P25" i="31"/>
  <c r="R8" i="34"/>
  <c r="L8" i="34"/>
  <c r="E25" i="31"/>
  <c r="AE6" i="31"/>
  <c r="AC6" i="31"/>
  <c r="S4" i="31"/>
  <c r="AE10" i="31"/>
  <c r="AC10" i="31"/>
  <c r="J7" i="34"/>
  <c r="AC8" i="31"/>
  <c r="AE8" i="31"/>
  <c r="M4" i="31"/>
  <c r="F8" i="34"/>
  <c r="K4" i="31"/>
  <c r="G8" i="34"/>
  <c r="BU9" i="28"/>
  <c r="E8" i="28"/>
  <c r="S8" i="34"/>
  <c r="O25" i="31"/>
  <c r="AE16" i="31"/>
  <c r="AC16" i="31"/>
  <c r="CS9" i="28"/>
  <c r="Z11" i="31"/>
  <c r="K25" i="31"/>
  <c r="BU8" i="28"/>
  <c r="CE8" i="28"/>
  <c r="G25" i="31"/>
  <c r="AC29" i="31"/>
  <c r="AE29" i="31"/>
  <c r="AC21" i="31"/>
  <c r="AE21" i="31"/>
  <c r="H8" i="34"/>
  <c r="Q8" i="28"/>
  <c r="H7" i="34"/>
  <c r="F25" i="31"/>
  <c r="AA9" i="28"/>
  <c r="I6" i="3" s="1"/>
  <c r="AW8" i="28"/>
  <c r="H8" i="3" s="1"/>
  <c r="Z8" i="34"/>
  <c r="W7" i="34"/>
  <c r="G5" i="3"/>
  <c r="M25" i="31"/>
  <c r="CQ8" i="28"/>
  <c r="G4" i="3"/>
  <c r="AC17" i="31"/>
  <c r="AE17" i="31"/>
  <c r="X7" i="34"/>
  <c r="X25" i="31"/>
  <c r="BI8" i="28"/>
  <c r="H9" i="3" s="1"/>
  <c r="Z4" i="31"/>
  <c r="Y25" i="31"/>
  <c r="S11" i="31"/>
  <c r="K11" i="31"/>
  <c r="U11" i="31"/>
  <c r="AL8" i="28"/>
  <c r="I7" i="34"/>
  <c r="AE14" i="31"/>
  <c r="AC14" i="31"/>
  <c r="T25" i="31"/>
  <c r="O7" i="34"/>
  <c r="E11" i="31"/>
  <c r="AA25" i="31"/>
  <c r="N7" i="34"/>
  <c r="AE13" i="31"/>
  <c r="AC13" i="31"/>
  <c r="BK8" i="28"/>
  <c r="G12" i="3"/>
  <c r="AO8" i="28"/>
  <c r="G9" i="28"/>
  <c r="BA8" i="28"/>
  <c r="G4" i="31"/>
  <c r="G3" i="31" s="1"/>
  <c r="G2" i="31" s="1"/>
  <c r="G316" i="31" s="1"/>
  <c r="G319" i="31" s="1"/>
  <c r="CS8" i="28"/>
  <c r="AC20" i="31"/>
  <c r="AE20" i="31"/>
  <c r="CG8" i="28"/>
  <c r="C8" i="28"/>
  <c r="CO9" i="28"/>
  <c r="I12" i="3" s="1"/>
  <c r="AE27" i="31"/>
  <c r="AC27" i="31"/>
  <c r="H11" i="31"/>
  <c r="M8" i="34"/>
  <c r="L4" i="31"/>
  <c r="N11" i="31"/>
  <c r="I4" i="31"/>
  <c r="AE31" i="31"/>
  <c r="AC31" i="31"/>
  <c r="R11" i="31"/>
  <c r="AC18" i="31"/>
  <c r="AE18" i="31"/>
  <c r="X4" i="31"/>
  <c r="AM8" i="28"/>
  <c r="Q25" i="31"/>
  <c r="W25" i="31"/>
  <c r="AA4" i="31"/>
  <c r="V8" i="34"/>
  <c r="D8" i="28"/>
  <c r="G8" i="28"/>
  <c r="G10" i="28" s="1"/>
  <c r="V25" i="31"/>
  <c r="P7" i="34"/>
  <c r="AE22" i="31"/>
  <c r="AC22" i="31"/>
  <c r="T11" i="31"/>
  <c r="L25" i="31"/>
  <c r="BS8" i="28"/>
  <c r="O4" i="31"/>
  <c r="O3" i="31" s="1"/>
  <c r="O2" i="31" s="1"/>
  <c r="O316" i="31" s="1"/>
  <c r="O319" i="31" s="1"/>
  <c r="G11" i="3"/>
  <c r="U4" i="31"/>
  <c r="U3" i="31" s="1"/>
  <c r="U2" i="31" s="1"/>
  <c r="U316" i="31" s="1"/>
  <c r="U319" i="31" s="1"/>
  <c r="W8" i="34"/>
  <c r="W5" i="34" s="1"/>
  <c r="W4" i="34" s="1"/>
  <c r="W45" i="34" s="1"/>
  <c r="BK9" i="28"/>
  <c r="Q8" i="34"/>
  <c r="C9" i="28"/>
  <c r="I4" i="3" s="1"/>
  <c r="CC9" i="28"/>
  <c r="I11" i="3" s="1"/>
  <c r="W4" i="31"/>
  <c r="W3" i="31" s="1"/>
  <c r="W2" i="31" s="1"/>
  <c r="W316" i="31" s="1"/>
  <c r="J8" i="48" s="1"/>
  <c r="J10" i="48" s="1"/>
  <c r="J11" i="48" s="1"/>
  <c r="O8" i="34"/>
  <c r="Y4" i="31"/>
  <c r="AE7" i="31"/>
  <c r="AC7" i="31"/>
  <c r="V7" i="34"/>
  <c r="V11" i="31"/>
  <c r="AX8" i="28"/>
  <c r="N4" i="31"/>
  <c r="N3" i="31" s="1"/>
  <c r="N2" i="31" s="1"/>
  <c r="N316" i="31" s="1"/>
  <c r="N319" i="31" s="1"/>
  <c r="AK9" i="28"/>
  <c r="I7" i="3" s="1"/>
  <c r="M7" i="34"/>
  <c r="O11" i="31"/>
  <c r="M11" i="31"/>
  <c r="G11" i="31"/>
  <c r="T8" i="34"/>
  <c r="X11" i="31"/>
  <c r="Q4" i="31"/>
  <c r="Q3" i="31" s="1"/>
  <c r="Q2" i="31" s="1"/>
  <c r="Q316" i="31" s="1"/>
  <c r="Q319" i="31" s="1"/>
  <c r="U8" i="34"/>
  <c r="N25" i="31"/>
  <c r="AK8" i="28"/>
  <c r="T4" i="31"/>
  <c r="T3" i="31" s="1"/>
  <c r="T2" i="31" s="1"/>
  <c r="T316" i="31" s="1"/>
  <c r="G8" i="48" s="1"/>
  <c r="G10" i="48" s="1"/>
  <c r="G11" i="48" s="1"/>
  <c r="G7" i="34"/>
  <c r="G5" i="34" s="1"/>
  <c r="G4" i="34" s="1"/>
  <c r="G45" i="34" s="1"/>
  <c r="J4" i="31"/>
  <c r="AC26" i="31"/>
  <c r="D25" i="31"/>
  <c r="AE25" i="31" s="1"/>
  <c r="AE26" i="31"/>
  <c r="AC15" i="31"/>
  <c r="AE15" i="31"/>
  <c r="Z25" i="31"/>
  <c r="BJ8" i="28"/>
  <c r="T7" i="34"/>
  <c r="R4" i="31"/>
  <c r="G8" i="3"/>
  <c r="S8" i="28"/>
  <c r="AE19" i="31"/>
  <c r="AC19" i="31"/>
  <c r="AY8" i="28"/>
  <c r="AW9" i="28"/>
  <c r="I8" i="3" s="1"/>
  <c r="O9" i="28"/>
  <c r="I5" i="3" s="1"/>
  <c r="I25" i="31"/>
  <c r="CD8" i="28"/>
  <c r="C11" i="3" s="1"/>
  <c r="S25" i="31"/>
  <c r="J25" i="31"/>
  <c r="CO8" i="28"/>
  <c r="AC30" i="31"/>
  <c r="AE30" i="31"/>
  <c r="H4" i="31"/>
  <c r="P8" i="28"/>
  <c r="C5" i="3" s="1"/>
  <c r="G7" i="3"/>
  <c r="F11" i="31"/>
  <c r="O8" i="28"/>
  <c r="K8" i="34"/>
  <c r="X8" i="34"/>
  <c r="D7" i="34"/>
  <c r="AC5" i="31"/>
  <c r="AE5" i="31"/>
  <c r="D4" i="31"/>
  <c r="AO9" i="28"/>
  <c r="AO10" i="28" s="1"/>
  <c r="AC28" i="31"/>
  <c r="AE28" i="31"/>
  <c r="F7" i="34"/>
  <c r="AA8" i="34"/>
  <c r="BA9" i="28"/>
  <c r="BA10" i="28" s="1"/>
  <c r="AA7" i="34"/>
  <c r="AA5" i="34" s="1"/>
  <c r="AA4" i="34" s="1"/>
  <c r="AA45" i="34" s="1"/>
  <c r="R7" i="34"/>
  <c r="R5" i="34" s="1"/>
  <c r="R4" i="34" s="1"/>
  <c r="R45" i="34" s="1"/>
  <c r="BT8" i="28"/>
  <c r="H25" i="31"/>
  <c r="Q11" i="31"/>
  <c r="N8" i="34"/>
  <c r="CP8" i="28"/>
  <c r="C12" i="3" s="1"/>
  <c r="AB8" i="28"/>
  <c r="J8" i="34"/>
  <c r="Y7" i="34"/>
  <c r="Y5" i="34" s="1"/>
  <c r="Y4" i="34" s="1"/>
  <c r="Y45" i="34" s="1"/>
  <c r="AE12" i="31"/>
  <c r="D11" i="31"/>
  <c r="AC12" i="31"/>
  <c r="E4" i="31"/>
  <c r="E3" i="31" s="1"/>
  <c r="E2" i="31" s="1"/>
  <c r="E316" i="31" s="1"/>
  <c r="E319" i="31" s="1"/>
  <c r="Q7" i="34"/>
  <c r="Q5" i="34" s="1"/>
  <c r="Q4" i="34" s="1"/>
  <c r="Q45" i="34" s="1"/>
  <c r="AC9" i="28"/>
  <c r="S9" i="28"/>
  <c r="BI9" i="28"/>
  <c r="I9" i="3" s="1"/>
  <c r="L11" i="31"/>
  <c r="Y8" i="34"/>
  <c r="P4" i="31"/>
  <c r="D8" i="34"/>
  <c r="J11" i="31"/>
  <c r="CC8" i="28"/>
  <c r="BS9" i="28"/>
  <c r="I10" i="3" s="1"/>
  <c r="E8" i="34"/>
  <c r="CG9" i="28"/>
  <c r="W11" i="31"/>
  <c r="K7" i="34"/>
  <c r="K5" i="34" s="1"/>
  <c r="K4" i="34" s="1"/>
  <c r="K45" i="34" s="1"/>
  <c r="P8" i="34"/>
  <c r="Y11" i="31"/>
  <c r="AC8" i="28"/>
  <c r="AC10" i="28" s="1"/>
  <c r="E7" i="34"/>
  <c r="AA11" i="31"/>
  <c r="I8" i="34"/>
  <c r="I5" i="34" s="1"/>
  <c r="I4" i="34" s="1"/>
  <c r="I45" i="34" s="1"/>
  <c r="S7" i="34"/>
  <c r="S5" i="34" s="1"/>
  <c r="S4" i="34" s="1"/>
  <c r="S45" i="34" s="1"/>
  <c r="U7" i="34"/>
  <c r="Z7" i="34"/>
  <c r="I11" i="31"/>
  <c r="AE32" i="31"/>
  <c r="AC32" i="31"/>
  <c r="CP9" i="28"/>
  <c r="D12" i="3" s="1"/>
  <c r="Z5" i="34"/>
  <c r="Z4" i="34" s="1"/>
  <c r="Z45" i="34" s="1"/>
  <c r="C7" i="3"/>
  <c r="R3" i="31"/>
  <c r="R2" i="31" s="1"/>
  <c r="R316" i="31" s="1"/>
  <c r="T5" i="34"/>
  <c r="T4" i="34" s="1"/>
  <c r="T45" i="34" s="1"/>
  <c r="AW10" i="28"/>
  <c r="F5" i="34"/>
  <c r="F4" i="34" s="1"/>
  <c r="F45" i="34" s="1"/>
  <c r="V5" i="34"/>
  <c r="V4" i="34" s="1"/>
  <c r="V45" i="34" s="1"/>
  <c r="BT9" i="28"/>
  <c r="BJ9" i="28"/>
  <c r="AB9" i="28"/>
  <c r="I3" i="31" l="1"/>
  <c r="I2" i="31" s="1"/>
  <c r="I316" i="31" s="1"/>
  <c r="I319" i="31" s="1"/>
  <c r="AX9" i="28"/>
  <c r="D8" i="3" s="1"/>
  <c r="AE8" i="34"/>
  <c r="X5" i="34"/>
  <c r="X4" i="34" s="1"/>
  <c r="X45" i="34" s="1"/>
  <c r="S3" i="31"/>
  <c r="S2" i="31" s="1"/>
  <c r="S316" i="31" s="1"/>
  <c r="E5" i="34"/>
  <c r="E4" i="34" s="1"/>
  <c r="E45" i="34" s="1"/>
  <c r="CP10" i="28"/>
  <c r="T319" i="31"/>
  <c r="U5" i="34"/>
  <c r="U4" i="34" s="1"/>
  <c r="U45" i="34" s="1"/>
  <c r="P5" i="34"/>
  <c r="P4" i="34" s="1"/>
  <c r="P45" i="34" s="1"/>
  <c r="BJ10" i="28"/>
  <c r="G9" i="3" s="1"/>
  <c r="L9" i="3" s="1"/>
  <c r="N9" i="3" s="1"/>
  <c r="O9" i="3" s="1"/>
  <c r="BT10" i="28"/>
  <c r="G10" i="3" s="1"/>
  <c r="BS10" i="28"/>
  <c r="H10" i="3"/>
  <c r="D9" i="28"/>
  <c r="C4" i="3"/>
  <c r="CS10" i="28"/>
  <c r="AC4" i="31"/>
  <c r="AE4" i="31"/>
  <c r="H6" i="3"/>
  <c r="AA10" i="28"/>
  <c r="AB10" i="28"/>
  <c r="G6" i="3" s="1"/>
  <c r="L6" i="3" s="1"/>
  <c r="N6" i="3" s="1"/>
  <c r="O6" i="3" s="1"/>
  <c r="H8" i="48"/>
  <c r="H10" i="48" s="1"/>
  <c r="H11" i="48" s="1"/>
  <c r="Y3" i="31"/>
  <c r="Y2" i="31" s="1"/>
  <c r="Y316" i="31" s="1"/>
  <c r="AC7" i="34"/>
  <c r="AE7" i="34"/>
  <c r="D5" i="34"/>
  <c r="AA3" i="31"/>
  <c r="AA2" i="31" s="1"/>
  <c r="AA316" i="31" s="1"/>
  <c r="CC10" i="28"/>
  <c r="H11" i="3"/>
  <c r="H3" i="31"/>
  <c r="H2" i="31" s="1"/>
  <c r="H316" i="31" s="1"/>
  <c r="H319" i="31" s="1"/>
  <c r="J3" i="31"/>
  <c r="J2" i="31" s="1"/>
  <c r="J316" i="31" s="1"/>
  <c r="J319" i="31" s="1"/>
  <c r="K3" i="31"/>
  <c r="K2" i="31" s="1"/>
  <c r="K316" i="31" s="1"/>
  <c r="K319" i="31" s="1"/>
  <c r="E8" i="3"/>
  <c r="AY10" i="28"/>
  <c r="M3" i="31"/>
  <c r="M2" i="31" s="1"/>
  <c r="M316" i="31" s="1"/>
  <c r="M319" i="31" s="1"/>
  <c r="V3" i="31"/>
  <c r="V2" i="31" s="1"/>
  <c r="V316" i="31" s="1"/>
  <c r="V319" i="31" s="1"/>
  <c r="AL9" i="28"/>
  <c r="AC8" i="34"/>
  <c r="N5" i="34"/>
  <c r="N4" i="34" s="1"/>
  <c r="N45" i="34" s="1"/>
  <c r="AX10" i="28"/>
  <c r="C8" i="3"/>
  <c r="L8" i="3" s="1"/>
  <c r="N8" i="3" s="1"/>
  <c r="O8" i="3" s="1"/>
  <c r="P10" i="28"/>
  <c r="P3" i="31"/>
  <c r="P2" i="31" s="1"/>
  <c r="P316" i="31" s="1"/>
  <c r="H12" i="3"/>
  <c r="CO10" i="28"/>
  <c r="H7" i="3"/>
  <c r="AK10" i="28"/>
  <c r="H4" i="3"/>
  <c r="C10" i="28"/>
  <c r="O5" i="34"/>
  <c r="O4" i="34" s="1"/>
  <c r="O45" i="34" s="1"/>
  <c r="AC25" i="31"/>
  <c r="F3" i="31"/>
  <c r="F2" i="31" s="1"/>
  <c r="F316" i="31" s="1"/>
  <c r="F319" i="31" s="1"/>
  <c r="E7" i="3"/>
  <c r="AM10" i="28"/>
  <c r="CG10" i="28"/>
  <c r="E12" i="3"/>
  <c r="L12" i="3" s="1"/>
  <c r="N12" i="3" s="1"/>
  <c r="O12" i="3" s="1"/>
  <c r="CQ10" i="28"/>
  <c r="H5" i="34"/>
  <c r="H4" i="34" s="1"/>
  <c r="H45" i="34" s="1"/>
  <c r="CD9" i="28"/>
  <c r="D11" i="3" s="1"/>
  <c r="CE10" i="28"/>
  <c r="E11" i="3"/>
  <c r="L11" i="3" s="1"/>
  <c r="N11" i="3" s="1"/>
  <c r="O11" i="3" s="1"/>
  <c r="L5" i="34"/>
  <c r="L4" i="34" s="1"/>
  <c r="L45" i="34" s="1"/>
  <c r="BI10" i="28"/>
  <c r="D3" i="31"/>
  <c r="AC11" i="31"/>
  <c r="AE11" i="31"/>
  <c r="O10" i="28"/>
  <c r="H5" i="3"/>
  <c r="M5" i="34"/>
  <c r="M4" i="34" s="1"/>
  <c r="M45" i="34" s="1"/>
  <c r="D8" i="48"/>
  <c r="D10" i="48" s="1"/>
  <c r="D11" i="48" s="1"/>
  <c r="S10" i="28"/>
  <c r="X3" i="31"/>
  <c r="X2" i="31" s="1"/>
  <c r="X316" i="31" s="1"/>
  <c r="L3" i="31"/>
  <c r="L2" i="31" s="1"/>
  <c r="L316" i="31" s="1"/>
  <c r="L319" i="31" s="1"/>
  <c r="BK10" i="28"/>
  <c r="Z3" i="31"/>
  <c r="Z2" i="31" s="1"/>
  <c r="Z316" i="31" s="1"/>
  <c r="E5" i="3"/>
  <c r="L5" i="3" s="1"/>
  <c r="N5" i="3" s="1"/>
  <c r="O5" i="3" s="1"/>
  <c r="Q10" i="28"/>
  <c r="BU10" i="28"/>
  <c r="E4" i="3"/>
  <c r="E10" i="28"/>
  <c r="J5" i="34"/>
  <c r="J4" i="34" s="1"/>
  <c r="J45" i="34" s="1"/>
  <c r="R319" i="31"/>
  <c r="E8" i="48"/>
  <c r="E10" i="48" s="1"/>
  <c r="E11" i="48" s="1"/>
  <c r="S319" i="31" l="1"/>
  <c r="F8" i="48"/>
  <c r="F10" i="48" s="1"/>
  <c r="F11" i="48" s="1"/>
  <c r="D7" i="3"/>
  <c r="L7" i="3" s="1"/>
  <c r="N7" i="3" s="1"/>
  <c r="O7" i="3" s="1"/>
  <c r="AL10" i="28"/>
  <c r="AE5" i="34"/>
  <c r="P319" i="31"/>
  <c r="C8" i="48"/>
  <c r="C10" i="48" s="1"/>
  <c r="C11" i="48" s="1"/>
  <c r="D4" i="3"/>
  <c r="D10" i="28"/>
  <c r="AC5" i="34"/>
  <c r="D4" i="34"/>
  <c r="D2" i="31"/>
  <c r="AE3" i="31"/>
  <c r="AC3" i="31"/>
  <c r="L10" i="3"/>
  <c r="N10" i="3" s="1"/>
  <c r="O10" i="3" s="1"/>
  <c r="CD10" i="28"/>
  <c r="L4" i="3"/>
  <c r="N4" i="3" l="1"/>
  <c r="L13" i="3"/>
  <c r="AC2" i="31"/>
  <c r="AE2" i="31"/>
  <c r="D316" i="31"/>
  <c r="D45" i="34"/>
  <c r="AC4" i="34"/>
  <c r="AE4" i="34"/>
  <c r="AE45" i="34" l="1"/>
  <c r="AC45" i="34"/>
  <c r="D319" i="31"/>
  <c r="AE316" i="31"/>
  <c r="AC316" i="31"/>
  <c r="O4" i="3"/>
  <c r="N13" i="3"/>
  <c r="O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tc={B97EF171-1111-419D-8615-2A0F4FE5751F}</author>
    <author>tc={36865222-C131-45FD-9980-EEE90DD0E7E9}</author>
    <author>tc={928B6802-F15E-48F8-B189-5913C3914911}</author>
    <author>tc={78AE4BA1-A69F-427C-B50A-8E1A5710EAE8}</author>
    <author>tc={3329F516-6554-4797-B4CF-6715A5A419F5}</author>
    <author>tc={C7B25001-7A33-4034-BA3E-315533988066}</author>
    <author>tc={87775CC1-3D83-489B-88D0-C88882327DC3}</author>
    <author>tc={5682EFCA-CB56-4D09-B1CB-A0DF81C058D6}</author>
    <author>tc={01192B99-6F63-43B4-B068-B40C5E763CDE}</author>
  </authors>
  <commentList>
    <comment ref="B227" authorId="0" shapeId="0" xr:uid="{B97EF171-1111-419D-8615-2A0F4FE575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Deveria ser possível separar entre amortização e juros</t>
      </text>
    </comment>
    <comment ref="M228" authorId="1" shapeId="0" xr:uid="{36865222-C131-45FD-9980-EEE90DD0E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3M incluído manualmente</t>
      </text>
    </comment>
    <comment ref="N228" authorId="2" shapeId="0" xr:uid="{928B6802-F15E-48F8-B189-5913C39149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4,2M incluído manualmente</t>
      </text>
    </comment>
    <comment ref="H230" authorId="3" shapeId="0" xr:uid="{78AE4BA1-A69F-427C-B50A-8E1A5710EAE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5.405.358,06 incluído manualmente</t>
      </text>
    </comment>
    <comment ref="J230" authorId="4" shapeId="0" xr:uid="{3329F516-6554-4797-B4CF-6715A5A419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994.999,95 incluído manualmente</t>
      </text>
    </comment>
    <comment ref="H231" authorId="5" shapeId="0" xr:uid="{C7B25001-7A33-4034-BA3E-3155339880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4.295.585 incluído manualmente</t>
      </text>
    </comment>
    <comment ref="J231" authorId="6" shapeId="0" xr:uid="{87775CC1-3D83-489B-88D0-C88882327D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1.855.585 incluído manualmente</t>
      </text>
    </comment>
    <comment ref="H232" authorId="7" shapeId="0" xr:uid="{5682EFCA-CB56-4D09-B1CB-A0DF81C058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944.552 incluído manualmente</t>
      </text>
    </comment>
    <comment ref="G234" authorId="8" shapeId="0" xr:uid="{01192B99-6F63-43B4-B068-B40C5E763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528.000 incluído manualmente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tc={15093130-B4FB-4BD7-A1F7-B271BFEE904D}</author>
  </authors>
  <commentList>
    <comment ref="B39" authorId="0" shapeId="0" xr:uid="{15093130-B4FB-4BD7-A1F7-B271BFEE90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Deveria ser possível separar entre amortização e juros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tc={AFF6F1F2-B677-4C59-8119-C4E0594B1C8A}</author>
  </authors>
  <commentList>
    <comment ref="B40" authorId="0" shapeId="0" xr:uid="{AFF6F1F2-B677-4C59-8119-C4E0594B1C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Deveria ser possível separar entre amortização e juros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tc={13D2FDD3-A3EA-448A-8C38-227322D1BF77}</author>
    <author>tc={C5E8C69A-E155-4669-8943-97FC0148E6B1}</author>
    <author>tc={96D45720-E260-411E-B0E4-BF19737BE0EC}</author>
  </authors>
  <commentList>
    <comment ref="G6" authorId="0" shapeId="0" xr:uid="{13D2FDD3-A3EA-448A-8C38-227322D1BF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total do financiamento do ABC (incorrido + a incorrer)</t>
      </text>
    </comment>
    <comment ref="G9" authorId="1" shapeId="0" xr:uid="{C5E8C69A-E155-4669-8943-97FC0148E6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total do financiamento do ABC (incorrido + a incorrer)</t>
      </text>
    </comment>
    <comment ref="G10" authorId="2" shapeId="0" xr:uid="{96D45720-E260-411E-B0E4-BF19737BE0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total do financiamento do ABC (incorrido + a incorrer)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tc={135E4B1D-D380-4825-9F21-E705037DFD5B}</author>
    <author>tc={22313604-2C0A-49B4-A767-4DD0F8CBF7FA}</author>
    <author>tc={1FC690FB-F1C8-4FD7-A498-5EE84710F05B}</author>
    <author>tc={99573BE0-D4A0-4B88-936E-9D41DFC75B1A}</author>
    <author>tc={F046BBA8-B1F5-4CD3-BFC1-71DEC74A48A7}</author>
    <author>tc={5BFF30E9-2FFF-4A44-A712-A917748A796D}</author>
    <author>tc={DE455DDF-D7B1-4EDA-8FF0-E965117A87EF}</author>
  </authors>
  <commentList>
    <comment ref="A12" authorId="0" shapeId="0" xr:uid="{135E4B1D-D380-4825-9F21-E705037DF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sem movimentação, porém saldo real</t>
      </text>
    </comment>
    <comment ref="A41" authorId="1" shapeId="0" xr:uid="{22313604-2C0A-49B4-A767-4DD0F8CBF7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 em processo de encerramento</t>
      </text>
    </comment>
    <comment ref="A43" authorId="2" shapeId="0" xr:uid="{1FC690FB-F1C8-4FD7-A498-5EE84710F05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negativo dessa conta de 9MM é de liberação de medição obra, não é valor valido. 
conta de acompanhamento de carteira recebiveis - porem movimenta automatico para outra conta. </t>
      </text>
    </comment>
    <comment ref="A46" authorId="3" shapeId="0" xr:uid="{99573BE0-D4A0-4B88-936E-9D41DFC75B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</t>
      </text>
    </comment>
    <comment ref="A47" authorId="4" shapeId="0" xr:uid="{F046BBA8-B1F5-4CD3-BFC1-71DEC74A48A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
</t>
      </text>
    </comment>
    <comment ref="A54" authorId="5" shapeId="0" xr:uid="{5BFF30E9-2FFF-4A44-A712-A917748A79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GFM</t>
      </text>
    </comment>
    <comment ref="A57" authorId="6" shapeId="0" xr:uid="{DE455DDF-D7B1-4EDA-8FF0-E965117A87E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tc={B3EED6EA-0D79-4F97-9B50-C4BFE18F67CD}</author>
    <author>tc={27A7CABA-1C66-449A-A0FD-09CB320E30EB}</author>
    <author>tc={F24278FB-B4A9-41D3-9141-0803D331C552}</author>
    <author>tc={893568C2-878D-481D-A7AF-5A4BA8D3A3FE}</author>
    <author>tc={EEB0519E-BA7B-450A-8155-8E6A0943723D}</author>
    <author>tc={C89FD267-00E6-407A-A95C-4B009BAEA15E}</author>
    <author>tc={2CC34F9A-CAA1-4531-AAA8-0DA9F474A093}</author>
  </authors>
  <commentList>
    <comment ref="A12" authorId="0" shapeId="0" xr:uid="{B3EED6EA-0D79-4F97-9B50-C4BFE18F6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sem movimentação, porém saldo real</t>
      </text>
    </comment>
    <comment ref="A42" authorId="1" shapeId="0" xr:uid="{27A7CABA-1C66-449A-A0FD-09CB320E30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 em processo de encerramento</t>
      </text>
    </comment>
    <comment ref="A44" authorId="2" shapeId="0" xr:uid="{F24278FB-B4A9-41D3-9141-0803D331C5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Saldo negativo dessa conta de 9MM é de liberação de medição obra, não é valor valido. 
conta de acompanhamento de carteira recebiveis - porem movimenta automatico para outra conta. </t>
      </text>
    </comment>
    <comment ref="A47" authorId="3" shapeId="0" xr:uid="{893568C2-878D-481D-A7AF-5A4BA8D3A3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</t>
      </text>
    </comment>
    <comment ref="A48" authorId="4" shapeId="0" xr:uid="{EEB0519E-BA7B-450A-8155-8E6A0943723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
</t>
      </text>
    </comment>
    <comment ref="A55" authorId="5" shapeId="0" xr:uid="{C89FD267-00E6-407A-A95C-4B009BAEA1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GFM</t>
      </text>
    </comment>
    <comment ref="A64" authorId="6" shapeId="0" xr:uid="{2CC34F9A-CAA1-4531-AAA8-0DA9F474A0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Carteira Recebiveis CRI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FEEF2-4B31-451E-BC0C-902F5F5B8945}" keepAlive="1" name="Consulta - cef" description="Conexão com a consulta 'cef' na pasta de trabalho." type="5" refreshedVersion="8" background="1" saveData="1">
    <dbPr connection="Provider=Microsoft.Mashup.OleDb.1;Data Source=$Workbook$;Location=cef;Extended Properties=&quot;&quot;" command="SELECT * FROM [cef]"/>
  </connection>
  <connection id="2" xr16:uid="{6DA17E67-38AA-46DE-BCD5-F59A46986651}" keepAlive="1" name="Consulta - cef_traj_dif" description="Conexão com a consulta 'cef_traj_dif' na pasta de trabalho." type="5" refreshedVersion="8" background="1">
    <dbPr connection="Provider=Microsoft.Mashup.OleDb.1;Data Source=$Workbook$;Location=cef_traj_dif;Extended Properties=&quot;&quot;" command="SELECT * FROM [cef_traj_dif]"/>
  </connection>
  <connection id="3" xr16:uid="{CC0909E7-401C-4DF5-BCFA-3C63DF6E38BB}" keepAlive="1" name="Consulta - cef_traj_razao" description="Conexão com a consulta 'cef_traj_razao' na pasta de trabalho." type="5" refreshedVersion="8" background="1">
    <dbPr connection="Provider=Microsoft.Mashup.OleDb.1;Data Source=$Workbook$;Location=cef_traj_razao;Extended Properties=&quot;&quot;" command="SELECT * FROM [cef_traj_raza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<sst xmlns="http://schemas.openxmlformats.org/spreadsheetml/2006/main" count="33440" uniqueCount="2927">
  <si>
    <t>Up Estação São Lucas</t>
  </si>
  <si>
    <t>Up Pompeia</t>
  </si>
  <si>
    <t>Estoque (R$)</t>
  </si>
  <si>
    <t>Estoque (unidades)</t>
  </si>
  <si>
    <t>CEF a assinar (R$)</t>
  </si>
  <si>
    <t>CEF a assinar (unidades)</t>
  </si>
  <si>
    <t>Empreendimento</t>
  </si>
  <si>
    <t>AMP</t>
  </si>
  <si>
    <t>AVS</t>
  </si>
  <si>
    <t>GRA</t>
  </si>
  <si>
    <t>LUC</t>
  </si>
  <si>
    <t>POM</t>
  </si>
  <si>
    <t>SN2</t>
  </si>
  <si>
    <t>SN4</t>
  </si>
  <si>
    <t>Variável</t>
  </si>
  <si>
    <t>Vendas</t>
  </si>
  <si>
    <t>Pró soluto</t>
  </si>
  <si>
    <t>CEF obra</t>
  </si>
  <si>
    <t>CEF terreno</t>
  </si>
  <si>
    <t>Empréstimo CEF PJ</t>
  </si>
  <si>
    <t>Taxa extra</t>
  </si>
  <si>
    <t>Distratados</t>
  </si>
  <si>
    <t>ABC</t>
  </si>
  <si>
    <t>Incorrido</t>
  </si>
  <si>
    <t>A incorrer</t>
  </si>
  <si>
    <t>Total</t>
  </si>
  <si>
    <t>CEF - CMF_CN</t>
  </si>
  <si>
    <t>CEF - ECN</t>
  </si>
  <si>
    <t>CEF - CMF_CN &amp; DCD</t>
  </si>
  <si>
    <t>Informakon</t>
  </si>
  <si>
    <t>Anapro</t>
  </si>
  <si>
    <t>Essa planilha
(sem taxa extra e  distrato)</t>
  </si>
  <si>
    <t>Viabilidade</t>
  </si>
  <si>
    <t>Empresa</t>
  </si>
  <si>
    <t>Fonte</t>
  </si>
  <si>
    <t>Pró soluto
(incorrido)</t>
  </si>
  <si>
    <t>Pró soluto
(a incorrer)</t>
  </si>
  <si>
    <t>VGV
(viabilidade)</t>
  </si>
  <si>
    <t>Atual</t>
  </si>
  <si>
    <t>?</t>
  </si>
  <si>
    <t>Permuta</t>
  </si>
  <si>
    <t>Fora de venda</t>
  </si>
  <si>
    <t>Reservada</t>
  </si>
  <si>
    <t>Venda suspensa</t>
  </si>
  <si>
    <t>Disponível</t>
  </si>
  <si>
    <t>Em negociação</t>
  </si>
  <si>
    <t>Venda aprovada</t>
  </si>
  <si>
    <t>Status</t>
  </si>
  <si>
    <t>Tipo</t>
  </si>
  <si>
    <t>Vendido</t>
  </si>
  <si>
    <t>Unidades
(total)</t>
  </si>
  <si>
    <t>Unidades
(para venda)</t>
  </si>
  <si>
    <t>Apartamento</t>
  </si>
  <si>
    <t>Loja</t>
  </si>
  <si>
    <t>Garagem</t>
  </si>
  <si>
    <t>Vaga - Carro
(autônoma)</t>
  </si>
  <si>
    <t>Vaga - Carro
(não-autônoma)</t>
  </si>
  <si>
    <t>Vaga - Moto
(autônoma)</t>
  </si>
  <si>
    <t>Vaga - Moto
(não-autonoma)</t>
  </si>
  <si>
    <t>Projeto</t>
  </si>
  <si>
    <t>Repasse
(a assinar)</t>
  </si>
  <si>
    <t>Repasse obra
(incorrido)</t>
  </si>
  <si>
    <t>Repasse obra
(a incorrer)</t>
  </si>
  <si>
    <t>Repasse terreno
(incorrido)</t>
  </si>
  <si>
    <t>Repasse terreno
(a incorrer)</t>
  </si>
  <si>
    <t>Estoque
(unidades)</t>
  </si>
  <si>
    <t>Estoque
(R$)</t>
  </si>
  <si>
    <t>VGV
(essa planilha)</t>
  </si>
  <si>
    <t>empresa</t>
  </si>
  <si>
    <t>Preço Tab.</t>
  </si>
  <si>
    <t>natureza</t>
  </si>
  <si>
    <t>total</t>
  </si>
  <si>
    <t>soma.meses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</si>
  <si>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</si>
  <si>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</si>
  <si>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</si>
  <si>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</si>
  <si>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</si>
  <si>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</si>
  <si>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</si>
  <si>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</si>
  <si>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</si>
  <si>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</si>
  <si>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</si>
  <si>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</si>
  <si>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</si>
  <si>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</si>
  <si>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</si>
  <si>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</si>
  <si>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</si>
  <si>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</si>
  <si>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</si>
  <si>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</si>
  <si>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</si>
  <si>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</si>
  <si>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</si>
  <si>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</si>
  <si>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</si>
  <si>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</si>
  <si>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</si>
  <si>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</si>
  <si>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</si>
  <si>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</si>
  <si>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</si>
  <si>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</si>
  <si>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</si>
  <si>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</si>
  <si>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</si>
  <si>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</si>
  <si>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</si>
  <si>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</si>
  <si>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</si>
  <si>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</si>
  <si>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</si>
  <si>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</si>
  <si>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</si>
  <si>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</si>
  <si>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</si>
  <si>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</si>
  <si>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</si>
  <si>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</si>
  <si>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</si>
  <si>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</si>
  <si>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</si>
  <si>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</si>
  <si>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</si>
  <si>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</si>
  <si>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</si>
  <si>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</si>
  <si>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</si>
  <si>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</si>
  <si>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</si>
  <si>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</si>
  <si>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</si>
  <si>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</si>
  <si>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</si>
  <si>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</si>
  <si>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</si>
  <si>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</si>
  <si>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</si>
  <si>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</si>
  <si>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</si>
  <si>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2027-10-01</t>
  </si>
  <si>
    <t>2027-11-01</t>
  </si>
  <si>
    <t>2027-12-01</t>
  </si>
  <si>
    <t>2028-01-01</t>
  </si>
  <si>
    <t>2028-02-01</t>
  </si>
  <si>
    <t>2028-03-01</t>
  </si>
  <si>
    <t>2028-04-01</t>
  </si>
  <si>
    <t>2028-05-01</t>
  </si>
  <si>
    <t>2028-06-01</t>
  </si>
  <si>
    <t>2028-07-01</t>
  </si>
  <si>
    <t>2028-08-01</t>
  </si>
  <si>
    <t>2028-09-01</t>
  </si>
  <si>
    <t>2028-10-01</t>
  </si>
  <si>
    <t>2028-11-01</t>
  </si>
  <si>
    <t>2028-12-01</t>
  </si>
  <si>
    <t>2029-01-01</t>
  </si>
  <si>
    <t>2029-02-01</t>
  </si>
  <si>
    <t>2029-03-01</t>
  </si>
  <si>
    <t>2029-04-01</t>
  </si>
  <si>
    <t>2029-05-01</t>
  </si>
  <si>
    <t>2029-06-01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</si>
  <si>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</si>
  <si>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</si>
  <si>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</si>
  <si>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</si>
  <si>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</si>
  <si>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</si>
  <si>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</si>
  <si>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</si>
  <si>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</si>
  <si>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</si>
  <si>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</si>
  <si>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</si>
  <si>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</si>
  <si>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</si>
  <si>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</si>
  <si>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</si>
  <si>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</si>
  <si>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</si>
  <si>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Data da venda / reserva</t>
  </si>
  <si>
    <t>repasse.cef.total</t>
  </si>
  <si>
    <t>data.pagamento</t>
  </si>
  <si>
    <t>data.vencimento</t>
  </si>
  <si>
    <t>ele</t>
  </si>
  <si>
    <t>Comparação do status das unidades: Anapro x Informakon x Projeto x Viabilidade</t>
  </si>
  <si>
    <t>id</t>
  </si>
  <si>
    <t>especie</t>
  </si>
  <si>
    <t>unidade</t>
  </si>
  <si>
    <t>cliente</t>
  </si>
  <si>
    <t>contrato</t>
  </si>
  <si>
    <t>contrato.cef</t>
  </si>
  <si>
    <t>pavimento</t>
  </si>
  <si>
    <t>situacao.ana</t>
  </si>
  <si>
    <t>situacao.ik</t>
  </si>
  <si>
    <t>data.venda</t>
  </si>
  <si>
    <t>preco.tabela</t>
  </si>
  <si>
    <t>valor.venda.ana</t>
  </si>
  <si>
    <t>valor.venda.ik</t>
  </si>
  <si>
    <t>checar</t>
  </si>
  <si>
    <t>empreendimento</t>
  </si>
  <si>
    <t>repassado</t>
  </si>
  <si>
    <t>esp</t>
  </si>
  <si>
    <t>esp.con</t>
  </si>
  <si>
    <t>agente</t>
  </si>
  <si>
    <t>parcela</t>
  </si>
  <si>
    <t>principal</t>
  </si>
  <si>
    <t>juros</t>
  </si>
  <si>
    <t>juros.contrato</t>
  </si>
  <si>
    <t>juros.mora</t>
  </si>
  <si>
    <t>reajuste</t>
  </si>
  <si>
    <t>encargos</t>
  </si>
  <si>
    <t>multa</t>
  </si>
  <si>
    <t>seguro</t>
  </si>
  <si>
    <t>desconto</t>
  </si>
  <si>
    <t>cart</t>
  </si>
  <si>
    <t>r.f</t>
  </si>
  <si>
    <t>edificacao</t>
  </si>
  <si>
    <t>data.emissao</t>
  </si>
  <si>
    <t>disp</t>
  </si>
  <si>
    <t>arquivo</t>
  </si>
  <si>
    <t>arquivo.tipo</t>
  </si>
  <si>
    <t>arquivo.tabela.tipo</t>
  </si>
  <si>
    <t>arquivo.fonte</t>
  </si>
  <si>
    <t>cruzada</t>
  </si>
  <si>
    <t>data</t>
  </si>
  <si>
    <t>contrato.cef.5</t>
  </si>
  <si>
    <t>repasse.cef.incorrido</t>
  </si>
  <si>
    <t>repasse.cef.a.incorrer</t>
  </si>
  <si>
    <t>repasse.cef.fin</t>
  </si>
  <si>
    <t>repasse.cef.desc.subs</t>
  </si>
  <si>
    <t>repasse.cef.fgts</t>
  </si>
  <si>
    <t>repasse.cef.rec.prop</t>
  </si>
  <si>
    <t>repasse.cef.terreno.acum</t>
  </si>
  <si>
    <t>repasse.cef.obra.acum</t>
  </si>
  <si>
    <t>Unidade_1</t>
  </si>
  <si>
    <t>Anot. venda</t>
  </si>
  <si>
    <t>Planta</t>
  </si>
  <si>
    <t>Equipe</t>
  </si>
  <si>
    <t>Gerente</t>
  </si>
  <si>
    <t>Corretor</t>
  </si>
  <si>
    <t>Cliente(s)</t>
  </si>
  <si>
    <t>Desconto Tab.</t>
  </si>
  <si>
    <t>Área total</t>
  </si>
  <si>
    <t>Área privativa</t>
  </si>
  <si>
    <t>Fração ideal</t>
  </si>
  <si>
    <t>Quartos</t>
  </si>
  <si>
    <t>Vagas</t>
  </si>
  <si>
    <t>Classificação Venda</t>
  </si>
  <si>
    <t>Estágio Contrato</t>
  </si>
  <si>
    <t>Preço Tab. com Desconto</t>
  </si>
  <si>
    <t>valor.venda</t>
  </si>
  <si>
    <t>Valor m2</t>
  </si>
  <si>
    <t>Valor m2 com Desconto</t>
  </si>
  <si>
    <t>Data do pedido</t>
  </si>
  <si>
    <t>Taxa de decoração - Valor total</t>
  </si>
  <si>
    <t>Taxa de decoração - Parcelas</t>
  </si>
  <si>
    <t>Taxa de decoração - Início pagto</t>
  </si>
  <si>
    <t>Taxa de decoração - Início correção</t>
  </si>
  <si>
    <t>Data de recebimento</t>
  </si>
  <si>
    <t>Venda confirmada?</t>
  </si>
  <si>
    <t>Opção de planta</t>
  </si>
  <si>
    <t>setor</t>
  </si>
  <si>
    <t>p.c</t>
  </si>
  <si>
    <t>situacao</t>
  </si>
  <si>
    <t>obs.situacao</t>
  </si>
  <si>
    <t>adm.terceiro</t>
  </si>
  <si>
    <t>inativo</t>
  </si>
  <si>
    <t>tab.preco</t>
  </si>
  <si>
    <t>area</t>
  </si>
  <si>
    <t>area.lote</t>
  </si>
  <si>
    <t>fracao.ideal</t>
  </si>
  <si>
    <t>suites</t>
  </si>
  <si>
    <t>d.simples</t>
  </si>
  <si>
    <t>imobiliaria</t>
  </si>
  <si>
    <t>corretor</t>
  </si>
  <si>
    <t>cotista</t>
  </si>
  <si>
    <t>mes.ano</t>
  </si>
  <si>
    <t>valor.imovel</t>
  </si>
  <si>
    <t>comissao</t>
  </si>
  <si>
    <t>valor.c.d</t>
  </si>
  <si>
    <t>valor.comissao</t>
  </si>
  <si>
    <t>disponivel.locacao</t>
  </si>
  <si>
    <t>escriturado</t>
  </si>
  <si>
    <t>transferido.iptu</t>
  </si>
  <si>
    <t>data.escritura</t>
  </si>
  <si>
    <t>cartorio</t>
  </si>
  <si>
    <t>cartorio.nome</t>
  </si>
  <si>
    <t>matricula</t>
  </si>
  <si>
    <t>Permutado Terreno</t>
  </si>
  <si>
    <t>Reserva Técnica</t>
  </si>
  <si>
    <t>valor</t>
  </si>
  <si>
    <t>id.contr</t>
  </si>
  <si>
    <t>n.siban</t>
  </si>
  <si>
    <t>nucleo.num</t>
  </si>
  <si>
    <t>centro.negocio</t>
  </si>
  <si>
    <t>origem</t>
  </si>
  <si>
    <t>tipo.entrada</t>
  </si>
  <si>
    <t>documento</t>
  </si>
  <si>
    <t>a/c</t>
  </si>
  <si>
    <t>documento.pagto</t>
  </si>
  <si>
    <t>credor</t>
  </si>
  <si>
    <t>classe</t>
  </si>
  <si>
    <t>assunto.titulo</t>
  </si>
  <si>
    <t>grupo.titulo</t>
  </si>
  <si>
    <t>subgrupo.titulo</t>
  </si>
  <si>
    <t>classificacao</t>
  </si>
  <si>
    <t>d/c</t>
  </si>
  <si>
    <t>nucleo</t>
  </si>
  <si>
    <t>cod.grupo.nuc</t>
  </si>
  <si>
    <t>grupo.nucleo</t>
  </si>
  <si>
    <t>cod.grupo.cen</t>
  </si>
  <si>
    <t>grupo.centro</t>
  </si>
  <si>
    <t>cod.classe.cen</t>
  </si>
  <si>
    <t>classe.centro</t>
  </si>
  <si>
    <t>unidade.ik</t>
  </si>
  <si>
    <t>especie.ik</t>
  </si>
  <si>
    <t>arquivo.ik</t>
  </si>
  <si>
    <t>arquivo.tipo.ik</t>
  </si>
  <si>
    <t>arquivo.fonte.ik</t>
  </si>
  <si>
    <t>empresa.ik</t>
  </si>
  <si>
    <t>empresa.ana</t>
  </si>
  <si>
    <t>especie.ana</t>
  </si>
  <si>
    <t>unidade.ana</t>
  </si>
  <si>
    <t>Empreendimento_1</t>
  </si>
  <si>
    <t>unidade.estq</t>
  </si>
  <si>
    <t>Corretor_1</t>
  </si>
  <si>
    <t>arquivo.ana</t>
  </si>
  <si>
    <t>arquivo.tipo.ana</t>
  </si>
  <si>
    <t>arquivo.fonte.ana</t>
  </si>
  <si>
    <t>Centros de negócio do Ik</t>
  </si>
  <si>
    <t>Categoria na viabilidade</t>
  </si>
  <si>
    <t>Subcategoria na viabilidade</t>
  </si>
  <si>
    <t>Adm - Serralheria</t>
  </si>
  <si>
    <t>Ampla</t>
  </si>
  <si>
    <t>Obra</t>
  </si>
  <si>
    <t>Adm Geral</t>
  </si>
  <si>
    <t>Adm Limeira</t>
  </si>
  <si>
    <t>Adm Sp</t>
  </si>
  <si>
    <t>Administrativo</t>
  </si>
  <si>
    <t>Ampla Ibirapuera - Villa Romana</t>
  </si>
  <si>
    <t>Ampla Incorporadora</t>
  </si>
  <si>
    <t>Ap - José Roberto</t>
  </si>
  <si>
    <t>Outros</t>
  </si>
  <si>
    <t>Apartamento Davi</t>
  </si>
  <si>
    <t>Base - Faria Lima</t>
  </si>
  <si>
    <t>Caixinha - Obras</t>
  </si>
  <si>
    <t>Caxingui</t>
  </si>
  <si>
    <t>Novos Negócios</t>
  </si>
  <si>
    <t>Comissão/vendas</t>
  </si>
  <si>
    <t>Corretagem</t>
  </si>
  <si>
    <t>Custo Obra</t>
  </si>
  <si>
    <t>Construção</t>
  </si>
  <si>
    <t>Custo Obra - Casa Itu 06 L 13</t>
  </si>
  <si>
    <t>Custo Obra - Casa Itu 38 L 12</t>
  </si>
  <si>
    <t>Custo Obra - Sta Cecilia 26 L 02</t>
  </si>
  <si>
    <t>Custos Gerais / Estudo Novos Negocios</t>
  </si>
  <si>
    <t>Davi Rodriguez Aragao</t>
  </si>
  <si>
    <t>Decoração/ Área Comum</t>
  </si>
  <si>
    <t>Incorporação</t>
  </si>
  <si>
    <t>Decoração área comum</t>
  </si>
  <si>
    <t>Dep. Pessoal - Adm</t>
  </si>
  <si>
    <t>Dep. Pessoal - Casa Itu 38 L 12</t>
  </si>
  <si>
    <t>Dep. Pessoal - Casa Itu 38 L12</t>
  </si>
  <si>
    <t>Dep. Pessoal - Obras</t>
  </si>
  <si>
    <t>Dep. Pessoal - Serralheria</t>
  </si>
  <si>
    <t>Dep. Pessoal - Up Estação Vila Sonia</t>
  </si>
  <si>
    <t>Dep. Pessoal - Up Jardim Prudencia</t>
  </si>
  <si>
    <t>Dep. Pessoal - Up Pompeia</t>
  </si>
  <si>
    <t>Dep. Pessoal - Up Select Vila Sonia</t>
  </si>
  <si>
    <t>Dep. Pessoal - Up Vila Sonia</t>
  </si>
  <si>
    <t>Departamento Pessoal</t>
  </si>
  <si>
    <t>Departamento Pessoal - Pj</t>
  </si>
  <si>
    <t>Desenvolvimento</t>
  </si>
  <si>
    <t>Despesas</t>
  </si>
  <si>
    <t>Éden</t>
  </si>
  <si>
    <t>Ferreira Andrade</t>
  </si>
  <si>
    <t>Gerenciamento/taxa Adm</t>
  </si>
  <si>
    <t>Taxa de gerenciamento Ampla</t>
  </si>
  <si>
    <t>Ibirapuera</t>
  </si>
  <si>
    <t>Jurupité</t>
  </si>
  <si>
    <t>Leandro Pf</t>
  </si>
  <si>
    <t>Legalização/incorporação</t>
  </si>
  <si>
    <t>Manutenção (inc/cart/jur/cont/iptu)</t>
  </si>
  <si>
    <t>Máquinas e Equipamentos</t>
  </si>
  <si>
    <t>Marketing</t>
  </si>
  <si>
    <t>Marketing Up Jd Prudencia</t>
  </si>
  <si>
    <t>NF - Mão de Obra</t>
  </si>
  <si>
    <t>Operações Financeiras/juros</t>
  </si>
  <si>
    <t>Despesas financeiras</t>
  </si>
  <si>
    <t>Pdv</t>
  </si>
  <si>
    <t>PDV</t>
  </si>
  <si>
    <t>Pdv - Shopping</t>
  </si>
  <si>
    <t>Pós Obra/reparos</t>
  </si>
  <si>
    <t>Pós-obra</t>
  </si>
  <si>
    <t>Projetos</t>
  </si>
  <si>
    <t>Reparos</t>
  </si>
  <si>
    <t>Ret - Patrimonio Villa Romana</t>
  </si>
  <si>
    <t>Santa Bibiana</t>
  </si>
  <si>
    <t>Terreno</t>
  </si>
  <si>
    <t>Terreno pagamento em $</t>
  </si>
  <si>
    <t>Terreno - Casa Itu 06 L13</t>
  </si>
  <si>
    <t>Terreno permuta financeira</t>
  </si>
  <si>
    <t>Terreno - Sta Cecilia 26 L 2</t>
  </si>
  <si>
    <t>Terreno permuta física</t>
  </si>
  <si>
    <t>Up Campo Belo</t>
  </si>
  <si>
    <t>Up Estação São Lucas - Patrimonio</t>
  </si>
  <si>
    <t>Up Estação Vila Sonia</t>
  </si>
  <si>
    <t>Up Estação Vila Sonia - Patrimonio</t>
  </si>
  <si>
    <t>Up Jardim Prudencia</t>
  </si>
  <si>
    <t>Up Jardim Prudencia - Patrimonio</t>
  </si>
  <si>
    <t>Up Jardim São Paulo</t>
  </si>
  <si>
    <t>Up Move Vila Sonia</t>
  </si>
  <si>
    <t>Up Pompeia - Patrimonio</t>
  </si>
  <si>
    <t>Up Rua Inglesa</t>
  </si>
  <si>
    <t>Up Saude</t>
  </si>
  <si>
    <t>Up Select Vila Sonia</t>
  </si>
  <si>
    <t>Up Select Vila Sonia - Patrimonio</t>
  </si>
  <si>
    <t>Up Vila Sonia</t>
  </si>
  <si>
    <t>Up Vila Sonia - Patrimonio</t>
  </si>
  <si>
    <t>Vila Sonia 7 - Big Vila Sonia</t>
  </si>
  <si>
    <t>Emolumentos</t>
  </si>
  <si>
    <t>Seguro</t>
  </si>
  <si>
    <t>Outorga</t>
  </si>
  <si>
    <t>Duediligence</t>
  </si>
  <si>
    <t>Assessorias</t>
  </si>
  <si>
    <t>Taxa STATERA</t>
  </si>
  <si>
    <t>Taxa de administração</t>
  </si>
  <si>
    <t>Comercial</t>
  </si>
  <si>
    <t>Novos negócios</t>
  </si>
  <si>
    <t>Empréstimos e financiamentos</t>
  </si>
  <si>
    <t>Id</t>
  </si>
  <si>
    <t>Tomadora</t>
  </si>
  <si>
    <t>Agente</t>
  </si>
  <si>
    <t>Valor principal</t>
  </si>
  <si>
    <t>Entrada em 2025</t>
  </si>
  <si>
    <t>Juros a.a.</t>
  </si>
  <si>
    <t>Data início</t>
  </si>
  <si>
    <t>Última parcela</t>
  </si>
  <si>
    <t>Valor parcela</t>
  </si>
  <si>
    <t>Saldo</t>
  </si>
  <si>
    <t>Garantia</t>
  </si>
  <si>
    <t>Obs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</si>
  <si>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</si>
  <si>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</si>
  <si>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</si>
  <si>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</si>
  <si>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</si>
  <si>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</si>
  <si>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</si>
  <si>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</si>
  <si>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</si>
  <si>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</si>
  <si>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</si>
  <si>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</si>
  <si>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Blue3</t>
  </si>
  <si>
    <t>IPCA + 12%</t>
  </si>
  <si>
    <t>Recebíveis + Terreno VLS IV, V e VI</t>
  </si>
  <si>
    <t>CRI (VLS 4, 5 e 6)</t>
  </si>
  <si>
    <t xml:space="preserve">Eldorado </t>
  </si>
  <si>
    <t>14,81% VGV</t>
  </si>
  <si>
    <t>recebíveis</t>
  </si>
  <si>
    <t>SCP</t>
  </si>
  <si>
    <t>Pedro Maria</t>
  </si>
  <si>
    <t>SAU</t>
  </si>
  <si>
    <t>Cy Capital</t>
  </si>
  <si>
    <t>IPCA + 11,5%</t>
  </si>
  <si>
    <t>Recebíveis + Terreno Saude</t>
  </si>
  <si>
    <t>CRI (Saúde)</t>
  </si>
  <si>
    <t>Safra</t>
  </si>
  <si>
    <t>CDI + 8,47%</t>
  </si>
  <si>
    <t>Sem Garantia</t>
  </si>
  <si>
    <t>* Carência de 6 meses do principal (início 06/11/2025)</t>
  </si>
  <si>
    <t>CEF</t>
  </si>
  <si>
    <t>Renegociação. Entrou 812.640 em 2025</t>
  </si>
  <si>
    <t>URBEME</t>
  </si>
  <si>
    <t>IPCA + 19,76%</t>
  </si>
  <si>
    <t>Apoio à produção</t>
  </si>
  <si>
    <t>ENC</t>
  </si>
  <si>
    <t>Kgiro</t>
  </si>
  <si>
    <t>INC</t>
  </si>
  <si>
    <t>LCG</t>
  </si>
  <si>
    <t>Bradesco</t>
  </si>
  <si>
    <t>Pessoal</t>
  </si>
  <si>
    <t>47.79%</t>
  </si>
  <si>
    <t>Início do período</t>
  </si>
  <si>
    <t>Em "Saídas de AO"</t>
  </si>
  <si>
    <t>Em "Saídas de AO", mas componente de "Custo obra"</t>
  </si>
  <si>
    <t>Centro de negócio</t>
  </si>
  <si>
    <t>Fim do período</t>
  </si>
  <si>
    <t>Fora de "Saídas de AO"</t>
  </si>
  <si>
    <t>Removido</t>
  </si>
  <si>
    <t>Núcleos</t>
  </si>
  <si>
    <t>AMPLA INCORP.</t>
  </si>
  <si>
    <t>Centros de negócio</t>
  </si>
  <si>
    <t>Por nome</t>
  </si>
  <si>
    <t>Por valor</t>
  </si>
  <si>
    <t>Código</t>
  </si>
  <si>
    <t>Descrição</t>
  </si>
  <si>
    <t>Origem</t>
  </si>
  <si>
    <t>Duvidoso</t>
  </si>
  <si>
    <t>1.</t>
  </si>
  <si>
    <t>Caixa líq. das atividades operacionais</t>
  </si>
  <si>
    <t>Não identificável</t>
  </si>
  <si>
    <t>1.1.</t>
  </si>
  <si>
    <t>Entradas de atividades operacionais</t>
  </si>
  <si>
    <t>1.1.1.</t>
  </si>
  <si>
    <t>Repasse CEF</t>
  </si>
  <si>
    <t>1.1.1.SN2.</t>
  </si>
  <si>
    <t>1.1.1.GRA.</t>
  </si>
  <si>
    <t>1.1.1.AMP.</t>
  </si>
  <si>
    <t>1.1.1.AVS.</t>
  </si>
  <si>
    <t>1.1.2.</t>
  </si>
  <si>
    <t>IK</t>
  </si>
  <si>
    <t>1.1.2.SN2.</t>
  </si>
  <si>
    <t>1.1.2.SN4.</t>
  </si>
  <si>
    <t>1.1.2.GRA.</t>
  </si>
  <si>
    <t>1.1.2.AMP.</t>
  </si>
  <si>
    <t>1.1.2.POM.</t>
  </si>
  <si>
    <t>1.1.2.LUC.</t>
  </si>
  <si>
    <t>1.1.2.AVS.</t>
  </si>
  <si>
    <t>1.1.3.</t>
  </si>
  <si>
    <t>Taxas extras</t>
  </si>
  <si>
    <t>Ik</t>
  </si>
  <si>
    <t>1.1.4.</t>
  </si>
  <si>
    <t>Repasse ABC</t>
  </si>
  <si>
    <t>1.2.</t>
  </si>
  <si>
    <t>Saídas de atividades operacionais</t>
  </si>
  <si>
    <t>1.2.1.</t>
  </si>
  <si>
    <t>1.2.1.SN2.</t>
  </si>
  <si>
    <t>UP ESTAÇÃO VILA SONIA</t>
  </si>
  <si>
    <t>1.2.1.AMP.</t>
  </si>
  <si>
    <t>UP JARDIM PRUDENCIA</t>
  </si>
  <si>
    <t>1.2.1.POM.</t>
  </si>
  <si>
    <t>UP POMPEIA</t>
  </si>
  <si>
    <t>1.2.1.GRA.</t>
  </si>
  <si>
    <t>UP SELECT VILA SONIA</t>
  </si>
  <si>
    <t>1.2.1.AVS.</t>
  </si>
  <si>
    <t>UP VILA SONIA</t>
  </si>
  <si>
    <t>1.2.1.LUC.</t>
  </si>
  <si>
    <t>UP ESTAÇÃO SÃO LUCAS</t>
  </si>
  <si>
    <t>1.2.1.JRP.</t>
  </si>
  <si>
    <t>1.2.1.SAU.</t>
  </si>
  <si>
    <t>UP SAUDE</t>
  </si>
  <si>
    <t>1.2.1.SN4.</t>
  </si>
  <si>
    <t>UP MOVE VILA SONIA</t>
  </si>
  <si>
    <t>1.2.1.CBL.</t>
  </si>
  <si>
    <t>1.2.2.</t>
  </si>
  <si>
    <t>1.2.2.SN4.</t>
  </si>
  <si>
    <t>1.2.2.LUC.</t>
  </si>
  <si>
    <t>1.2.2.SAU.</t>
  </si>
  <si>
    <t>1.2.2.GRA.</t>
  </si>
  <si>
    <t>1.2.2.SN2.</t>
  </si>
  <si>
    <t>1.2.2.AVS.</t>
  </si>
  <si>
    <t>1.2.2.POM.</t>
  </si>
  <si>
    <t>SANTA BIBIANA - VLS6</t>
  </si>
  <si>
    <t>IBIRAPUERA</t>
  </si>
  <si>
    <t>NOVOS NEGOCIOS</t>
  </si>
  <si>
    <t>1.2.4.</t>
  </si>
  <si>
    <t>1.2.5.</t>
  </si>
  <si>
    <t>NOVA CIVIL</t>
  </si>
  <si>
    <t>UP SALE</t>
  </si>
  <si>
    <t>1.2.6.</t>
  </si>
  <si>
    <t>1.2.7.</t>
  </si>
  <si>
    <t>1.2.8.</t>
  </si>
  <si>
    <t>1.2.9.</t>
  </si>
  <si>
    <t>1.2.10.</t>
  </si>
  <si>
    <t>1.2.10.GRA.</t>
  </si>
  <si>
    <t>LEAF POMPEO</t>
  </si>
  <si>
    <t>1.2.11.</t>
  </si>
  <si>
    <t>BUTIA</t>
  </si>
  <si>
    <t>1.2.11.GRA.</t>
  </si>
  <si>
    <t>CAMPOLARGO</t>
  </si>
  <si>
    <t>LUGANO</t>
  </si>
  <si>
    <t>INCORFLORA</t>
  </si>
  <si>
    <t>UP DECOR</t>
  </si>
  <si>
    <t>LEAF ALVORADA</t>
  </si>
  <si>
    <t>UP JARDIM SÃO PAULO</t>
  </si>
  <si>
    <t>UP PARADA INGLESA</t>
  </si>
  <si>
    <t>UP SOCORRO</t>
  </si>
  <si>
    <t>LEAF TEIXEIRA</t>
  </si>
  <si>
    <t>1.2.12.</t>
  </si>
  <si>
    <t>1.2.12..</t>
  </si>
  <si>
    <t>1.2.13.</t>
  </si>
  <si>
    <t>ITU 38 L 12</t>
  </si>
  <si>
    <t>2.</t>
  </si>
  <si>
    <t>Caixa líq. das atividades de investimento</t>
  </si>
  <si>
    <t>2.1.</t>
  </si>
  <si>
    <t>Entradas de atividades de investimento</t>
  </si>
  <si>
    <t>2.1.1.</t>
  </si>
  <si>
    <t>Venda de ativos imobilizados / terrenos</t>
  </si>
  <si>
    <t>2.1.2</t>
  </si>
  <si>
    <t>Recebimento de juros sobre aplicações</t>
  </si>
  <si>
    <t>2.2.</t>
  </si>
  <si>
    <t>Saídas de atividades de investimento</t>
  </si>
  <si>
    <t>2.2.1.</t>
  </si>
  <si>
    <t>2.2.1.SAU.</t>
  </si>
  <si>
    <t>2.2.1.SBB.</t>
  </si>
  <si>
    <t>2.2.1.JRP.</t>
  </si>
  <si>
    <t>2.2.1.SN4.</t>
  </si>
  <si>
    <t>2.2.1.SN2.</t>
  </si>
  <si>
    <t>2.2.1.AMP.</t>
  </si>
  <si>
    <t>2.2.1.JSP.</t>
  </si>
  <si>
    <t>2.2.1.GRA.</t>
  </si>
  <si>
    <t>2.2.1.LUC.</t>
  </si>
  <si>
    <t>2.2.1..</t>
  </si>
  <si>
    <t>2.2.1.CBL.</t>
  </si>
  <si>
    <t>2.2.1.AVS.</t>
  </si>
  <si>
    <t>2.2.1.POM.</t>
  </si>
  <si>
    <t>2.2.1.AVR.</t>
  </si>
  <si>
    <t>2.2.1.SOC.</t>
  </si>
  <si>
    <t>2.2.2.</t>
  </si>
  <si>
    <t>Aquisição de equipamentos</t>
  </si>
  <si>
    <t>2.2.3.</t>
  </si>
  <si>
    <t>Investimento em participações / SPEs</t>
  </si>
  <si>
    <t>3.</t>
  </si>
  <si>
    <t>Caixa líq. das atividades de financiamento</t>
  </si>
  <si>
    <t>3.1.</t>
  </si>
  <si>
    <t>Entradas de atividades de financiamento</t>
  </si>
  <si>
    <t>3.1.1.</t>
  </si>
  <si>
    <t>Captação de empréstimos / financiamentos bancários</t>
  </si>
  <si>
    <t>-</t>
  </si>
  <si>
    <t>3.1.1.1.</t>
  </si>
  <si>
    <t>PJ da CEF</t>
  </si>
  <si>
    <t>3.1.1.1.AMP.</t>
  </si>
  <si>
    <t>3.1.1.1.AVS.</t>
  </si>
  <si>
    <t>3.1.1.1.GRA.</t>
  </si>
  <si>
    <t>3.1.1.1.SN2.</t>
  </si>
  <si>
    <t>3.1.1.2.</t>
  </si>
  <si>
    <t>Excel</t>
  </si>
  <si>
    <t>3.1.1.2..</t>
  </si>
  <si>
    <t>LUC-Eldorado -6000</t>
  </si>
  <si>
    <t>SAU-Cy Capital-22000</t>
  </si>
  <si>
    <t>LUC-URBEME-612</t>
  </si>
  <si>
    <t>ENC-CEF-545</t>
  </si>
  <si>
    <t>ENC-CEF-500</t>
  </si>
  <si>
    <t>INC-CEF-500</t>
  </si>
  <si>
    <t>LCG-Bradesco-400</t>
  </si>
  <si>
    <t>3.1.2.</t>
  </si>
  <si>
    <t>Aporte de capital dos sócios</t>
  </si>
  <si>
    <t>3.2.</t>
  </si>
  <si>
    <t>Saídas de atividades de financiamento</t>
  </si>
  <si>
    <t>3.2.1.</t>
  </si>
  <si>
    <t>3.2.1.LUC.</t>
  </si>
  <si>
    <t>3.2.1.SN2.</t>
  </si>
  <si>
    <t>3.2.1.SN4.</t>
  </si>
  <si>
    <t>3.2.1.AMPLA.</t>
  </si>
  <si>
    <t>3.2.1.AMP.</t>
  </si>
  <si>
    <t>3.2.1.ENC.</t>
  </si>
  <si>
    <t>3.2.1.GRA.</t>
  </si>
  <si>
    <t>3.2.1.INC.</t>
  </si>
  <si>
    <t>3.2.1.LCG.</t>
  </si>
  <si>
    <t>LEANDRO PF</t>
  </si>
  <si>
    <t>3.2.1.SAU.</t>
  </si>
  <si>
    <t>3.2.1.JRP.</t>
  </si>
  <si>
    <t>3.2.1.SBB.</t>
  </si>
  <si>
    <t>3.2.1.AVS.</t>
  </si>
  <si>
    <t>3.2.1.DPF.</t>
  </si>
  <si>
    <t>DAVI PF</t>
  </si>
  <si>
    <t>3.2.1.CBL.</t>
  </si>
  <si>
    <t>3.2.3.</t>
  </si>
  <si>
    <t>Variação líquida de caixa no período</t>
  </si>
  <si>
    <t>Caixa e equivalentes no início do período</t>
  </si>
  <si>
    <t>3.1.1.1.LUC.</t>
  </si>
  <si>
    <t>1.1.1.LUC.</t>
  </si>
  <si>
    <t>jan/26</t>
  </si>
  <si>
    <t>1.1.2.SAU.</t>
  </si>
  <si>
    <t>1.1.2.AVR.</t>
  </si>
  <si>
    <t>1.1.2.BUT.</t>
  </si>
  <si>
    <t>AVR</t>
  </si>
  <si>
    <t>BUT</t>
  </si>
  <si>
    <t>1.1.2.CBL.</t>
  </si>
  <si>
    <t>CBL</t>
  </si>
  <si>
    <t>fev/26</t>
  </si>
  <si>
    <t>Data de pagamento</t>
  </si>
  <si>
    <t>Valor</t>
  </si>
  <si>
    <t>JRP</t>
  </si>
  <si>
    <t>SBB</t>
  </si>
  <si>
    <t>Despesas financeiras extraordinárias</t>
  </si>
  <si>
    <t>???</t>
  </si>
  <si>
    <t>Variação de caixa e equivalentes no fim do período</t>
  </si>
  <si>
    <t>categoria</t>
  </si>
  <si>
    <t>mar/26</t>
  </si>
  <si>
    <t>Já existente</t>
  </si>
  <si>
    <t>Criados no último mês</t>
  </si>
  <si>
    <t>A serem esvaziados</t>
  </si>
  <si>
    <t>CN:</t>
  </si>
  <si>
    <t>Núcleo(s):</t>
  </si>
  <si>
    <t>Selecione abaixo:</t>
  </si>
  <si>
    <t>Outros finaciamentos</t>
  </si>
  <si>
    <t>Outras despesas</t>
  </si>
  <si>
    <t>Não concluído</t>
  </si>
  <si>
    <t>Versão compatibilizada com a viabilidade</t>
  </si>
  <si>
    <t>Adicionar mais gráficos à análise</t>
  </si>
  <si>
    <t>Registrar no Informakon lançamentos enviados por fora pelo Vilani</t>
  </si>
  <si>
    <t>Incluir linhas não-identificáveis no fechamento</t>
  </si>
  <si>
    <t>Comentários</t>
  </si>
  <si>
    <t>Tarefas</t>
  </si>
  <si>
    <t>Prazo estimado</t>
  </si>
  <si>
    <t>SN2-GFM-3000</t>
  </si>
  <si>
    <t>GFM</t>
  </si>
  <si>
    <t>Otimizar planilha</t>
  </si>
  <si>
    <t>Em andamento</t>
  </si>
  <si>
    <t>Up Stay Congonhas</t>
  </si>
  <si>
    <t>3.2.1..</t>
  </si>
  <si>
    <t>BIG VILA SONIA - VLS7</t>
  </si>
  <si>
    <t>1.1.3.POM.</t>
  </si>
  <si>
    <t>1.1.4.SN2.</t>
  </si>
  <si>
    <t>1.1.4.GRA.</t>
  </si>
  <si>
    <t>1.1.4.AVS.</t>
  </si>
  <si>
    <t>1.1.4.AMP.</t>
  </si>
  <si>
    <t>1.1.4.LUC.</t>
  </si>
  <si>
    <t>1.1.4.SN4.</t>
  </si>
  <si>
    <t>1.1.4.SAU.</t>
  </si>
  <si>
    <t>1.2.2.SBB.</t>
  </si>
  <si>
    <t>1.2.2.AMP.</t>
  </si>
  <si>
    <t>1.2.2.AVR.</t>
  </si>
  <si>
    <t>1.2.2..</t>
  </si>
  <si>
    <t>1.2.2.JRP.</t>
  </si>
  <si>
    <t>1.2.8.AMP.</t>
  </si>
  <si>
    <t>VIRGO</t>
  </si>
  <si>
    <t>Operações Financeiras - Geral</t>
  </si>
  <si>
    <t>Gerenciamento - Up Jardim Prudência</t>
  </si>
  <si>
    <t>SN4-Pedro Maria-5000</t>
  </si>
  <si>
    <t>Dep. Pessoal - Up Estação São Lucas</t>
  </si>
  <si>
    <t>Gerenciamento - Up Select Vila Sonia</t>
  </si>
  <si>
    <t>Gerenciamento - Up Stay Congonhas</t>
  </si>
  <si>
    <t>Operações Financeira</t>
  </si>
  <si>
    <t>USL</t>
  </si>
  <si>
    <t>PDI</t>
  </si>
  <si>
    <t>97648-1</t>
  </si>
  <si>
    <t>659-0</t>
  </si>
  <si>
    <t>577243229-6</t>
  </si>
  <si>
    <t>600-0</t>
  </si>
  <si>
    <t>577243227-0</t>
  </si>
  <si>
    <t>574576178-0</t>
  </si>
  <si>
    <t>2429-9</t>
  </si>
  <si>
    <t>579133332-0</t>
  </si>
  <si>
    <t>2362-4</t>
  </si>
  <si>
    <t>579133302-8</t>
  </si>
  <si>
    <t>742397833-8</t>
  </si>
  <si>
    <t>06340-0</t>
  </si>
  <si>
    <t>00585896-1</t>
  </si>
  <si>
    <t>576265461-0</t>
  </si>
  <si>
    <t>99681-5</t>
  </si>
  <si>
    <t>2399-3</t>
  </si>
  <si>
    <t>579133317-6</t>
  </si>
  <si>
    <t>2245-8</t>
  </si>
  <si>
    <t>577294854-3</t>
  </si>
  <si>
    <t>99853-0</t>
  </si>
  <si>
    <t>576268473-0</t>
  </si>
  <si>
    <t>99636-9</t>
  </si>
  <si>
    <t>JSP</t>
  </si>
  <si>
    <t>576457841-4</t>
  </si>
  <si>
    <t>99653-4</t>
  </si>
  <si>
    <t>3635-8</t>
  </si>
  <si>
    <t>577181031-9</t>
  </si>
  <si>
    <t>99664-1</t>
  </si>
  <si>
    <t>002292447-9</t>
  </si>
  <si>
    <t>002292448-7</t>
  </si>
  <si>
    <t>2278-4</t>
  </si>
  <si>
    <t>577294862-4</t>
  </si>
  <si>
    <t>98426-1</t>
  </si>
  <si>
    <t>99843-8</t>
  </si>
  <si>
    <t>577180924-8</t>
  </si>
  <si>
    <t>99660-9</t>
  </si>
  <si>
    <t>2419-1</t>
  </si>
  <si>
    <t>579133324-9</t>
  </si>
  <si>
    <t>99756-5</t>
  </si>
  <si>
    <t>2498-1</t>
  </si>
  <si>
    <t>579133369-9</t>
  </si>
  <si>
    <t>97588-9</t>
  </si>
  <si>
    <t>CPE</t>
  </si>
  <si>
    <t>2505-8</t>
  </si>
  <si>
    <t>577565836-8</t>
  </si>
  <si>
    <t>97589-7</t>
  </si>
  <si>
    <t>CHR</t>
  </si>
  <si>
    <t>579897189-5</t>
  </si>
  <si>
    <t>DPF</t>
  </si>
  <si>
    <t>29548-2</t>
  </si>
  <si>
    <t>586376394-5</t>
  </si>
  <si>
    <t>793-7</t>
  </si>
  <si>
    <t>577243231-8</t>
  </si>
  <si>
    <t>2420-5</t>
  </si>
  <si>
    <t>578317306-8</t>
  </si>
  <si>
    <t>09700-2</t>
  </si>
  <si>
    <t>3455-6</t>
  </si>
  <si>
    <t>578129123-3</t>
  </si>
  <si>
    <t>99310-1</t>
  </si>
  <si>
    <t>29757-4</t>
  </si>
  <si>
    <t>586376423-2</t>
  </si>
  <si>
    <t>03852-3</t>
  </si>
  <si>
    <t>LUG</t>
  </si>
  <si>
    <t>574984342-0</t>
  </si>
  <si>
    <t>576465031-0</t>
  </si>
  <si>
    <t>99804-0</t>
  </si>
  <si>
    <t>2480-9</t>
  </si>
  <si>
    <t>579133363-0</t>
  </si>
  <si>
    <t>576425863-0</t>
  </si>
  <si>
    <t>99725-0</t>
  </si>
  <si>
    <t>99267-3</t>
  </si>
  <si>
    <t>577180827-6</t>
  </si>
  <si>
    <t>99715-1</t>
  </si>
  <si>
    <t>SOC</t>
  </si>
  <si>
    <t>99716-9</t>
  </si>
  <si>
    <t>99651-8</t>
  </si>
  <si>
    <t>576453355-0</t>
  </si>
  <si>
    <t>576453157-4</t>
  </si>
  <si>
    <t>1.2.2.CBL.</t>
  </si>
  <si>
    <t>Variação de caixa e equivalentes no período</t>
  </si>
  <si>
    <t>4.</t>
  </si>
  <si>
    <t>4.1.</t>
  </si>
  <si>
    <t>1.2.2.USL.</t>
  </si>
  <si>
    <t>3.2.1.POM.</t>
  </si>
  <si>
    <t>3.2.1.CPE.</t>
  </si>
  <si>
    <t>3.2.1.BUT.</t>
  </si>
  <si>
    <t>3.2.1.USL.</t>
  </si>
  <si>
    <t>3.2.1.SOC.</t>
  </si>
  <si>
    <t>3.2.1.JSP.</t>
  </si>
  <si>
    <t>abr/26</t>
  </si>
  <si>
    <t>mai/26</t>
  </si>
  <si>
    <t>jul/26</t>
  </si>
  <si>
    <t>jun/26</t>
  </si>
  <si>
    <t>ago/26</t>
  </si>
  <si>
    <t>set/26</t>
  </si>
  <si>
    <t>out/26</t>
  </si>
  <si>
    <t>nov/26</t>
  </si>
  <si>
    <t>dez/26</t>
  </si>
  <si>
    <t>Outros núcleos</t>
  </si>
  <si>
    <r>
      <t>AMP</t>
    </r>
    <r>
      <rPr>
        <b/>
        <sz val="11"/>
        <rFont val="Aptos Narrow"/>
        <family val="2"/>
        <scheme val="minor"/>
      </rPr>
      <t>LA</t>
    </r>
  </si>
  <si>
    <t>PJ: Valor empréstimo</t>
  </si>
  <si>
    <t>PJ: Valor reduzido</t>
  </si>
  <si>
    <t>PJ: Valor utilizado</t>
  </si>
  <si>
    <t>PJ: Saldo devedor</t>
  </si>
  <si>
    <t>Parcela de financiamento</t>
  </si>
  <si>
    <t>Ampla-Blue3-24500</t>
  </si>
  <si>
    <t>Ampla-Safra-2750</t>
  </si>
  <si>
    <t>Ampla-CEF-4472</t>
  </si>
  <si>
    <t>Ampla-CEF-300</t>
  </si>
  <si>
    <t>1.2.11.SN4.</t>
  </si>
  <si>
    <t>1.2.11.LUC.</t>
  </si>
  <si>
    <t>1.2.11.SAU.</t>
  </si>
  <si>
    <t>1.2.11.JRP.</t>
  </si>
  <si>
    <t>1.2.11.SN2.</t>
  </si>
  <si>
    <t>1.2.11.POM.</t>
  </si>
  <si>
    <t>1.2.11.CBL.</t>
  </si>
  <si>
    <t>1.2.11.SBB.</t>
  </si>
  <si>
    <t>Repasse CEF obra, empréstimo PJ CEF, e custo obra</t>
  </si>
  <si>
    <t>Consolidado por empreendimento</t>
  </si>
  <si>
    <t>Consolidado entre empreendimentos</t>
  </si>
  <si>
    <t>Mês</t>
  </si>
  <si>
    <t>Entradas</t>
  </si>
  <si>
    <t>Custo obra</t>
  </si>
  <si>
    <t>E-S</t>
  </si>
  <si>
    <t>E-S histórico</t>
  </si>
  <si>
    <t>E/S</t>
  </si>
  <si>
    <t>E/S histórico</t>
  </si>
  <si>
    <t>Meses desde o primeiro recebimento</t>
  </si>
  <si>
    <t>Meses positivos</t>
  </si>
  <si>
    <t>Meses negativos</t>
  </si>
  <si>
    <t>Meses positivos (%)</t>
  </si>
  <si>
    <t>Meses negativos (%)</t>
  </si>
  <si>
    <t>Média da razão E/S</t>
  </si>
  <si>
    <t>Mediana da razão E/S</t>
  </si>
  <si>
    <t>Desvio padrão da razão E/S</t>
  </si>
  <si>
    <t>Média de 
E-S</t>
  </si>
  <si>
    <t>Mediana de 
E-S</t>
  </si>
  <si>
    <t>Desvio padrão de E-S</t>
  </si>
  <si>
    <t>Média de E-S</t>
  </si>
  <si>
    <t>Mediana de E-S</t>
  </si>
  <si>
    <t>Soma de Valor</t>
  </si>
  <si>
    <t>Rótulos de Coluna</t>
  </si>
  <si>
    <t>Rótulos de Linha</t>
  </si>
  <si>
    <t>Saídas</t>
  </si>
  <si>
    <t>Total Geral</t>
  </si>
  <si>
    <t>Soma de E/S histórico</t>
  </si>
  <si>
    <t>Soma de E-S histórico</t>
  </si>
  <si>
    <t>3.2.2.</t>
  </si>
  <si>
    <t>1.2.13.BUT.</t>
  </si>
  <si>
    <t>1.2.13.CPE.</t>
  </si>
  <si>
    <t>Gerenciamento - Up Estação São Lucas</t>
  </si>
  <si>
    <t>Gerenciamento - Up Estação Vila Sonia</t>
  </si>
  <si>
    <t>Gerenciamento - Up Move Vila Sonia</t>
  </si>
  <si>
    <t>Gerenciamento - Up Pompeia</t>
  </si>
  <si>
    <t>Gerenciamento - Up Saude</t>
  </si>
  <si>
    <t>Variação líquida de caixa no período (último fechamento)</t>
  </si>
  <si>
    <t>Diferença (R$)</t>
  </si>
  <si>
    <t>AP - JOSÉ ROBERTO</t>
  </si>
  <si>
    <t>APTO DAVI</t>
  </si>
  <si>
    <t>CAXINGUI</t>
  </si>
  <si>
    <t>ÉDEN - FERREIRA ANDRADE</t>
  </si>
  <si>
    <t>ITU 06 L 13</t>
  </si>
  <si>
    <t>SERRALHERIA</t>
  </si>
  <si>
    <t>STA CECILIA 26 L 02</t>
  </si>
  <si>
    <t>VILLA SICILIA</t>
  </si>
  <si>
    <t>VILLA VENETO</t>
  </si>
  <si>
    <t>Núcleo</t>
  </si>
  <si>
    <t>Destacado</t>
  </si>
  <si>
    <t>mes</t>
  </si>
  <si>
    <t>variavel</t>
  </si>
  <si>
    <t>fonte</t>
  </si>
  <si>
    <t>codigo.empreendimento</t>
  </si>
  <si>
    <t>nome.empreendimento</t>
  </si>
  <si>
    <t>filial</t>
  </si>
  <si>
    <t>observacoes</t>
  </si>
  <si>
    <t>criado.por</t>
  </si>
  <si>
    <t>criado.em</t>
  </si>
  <si>
    <t>alterado.por</t>
  </si>
  <si>
    <t>alterado.em</t>
  </si>
  <si>
    <t>SN4-SCP-5000</t>
  </si>
  <si>
    <t>Up Jd Prudencia</t>
  </si>
  <si>
    <t>Up Bibiama</t>
  </si>
  <si>
    <t>Terreno - Casa Itu 38 L12</t>
  </si>
  <si>
    <t>Serralheria</t>
  </si>
  <si>
    <t>Projeto/legalização - Casa Itu 06 L13</t>
  </si>
  <si>
    <t>Custo Uh em Estoque</t>
  </si>
  <si>
    <t>Consistente?</t>
  </si>
  <si>
    <t>Abril</t>
  </si>
  <si>
    <t>Maio</t>
  </si>
  <si>
    <t>1.2.1.CXG.</t>
  </si>
  <si>
    <t>1.2.2.CXG.</t>
  </si>
  <si>
    <t>UP SPORT HOME - JURUPITÉ</t>
  </si>
  <si>
    <t>Incluir despesas compromissadas</t>
  </si>
  <si>
    <t>Não-classificadas</t>
  </si>
  <si>
    <t>Classificadas</t>
  </si>
  <si>
    <t>Linhas</t>
  </si>
  <si>
    <t>Linhas (%)</t>
  </si>
  <si>
    <t>Valor (%)</t>
  </si>
  <si>
    <t>Linha_C</t>
  </si>
  <si>
    <t>Linha_NC</t>
  </si>
  <si>
    <t>Valor_C</t>
  </si>
  <si>
    <t>Valor_NC</t>
  </si>
  <si>
    <t>LinhaP_C</t>
  </si>
  <si>
    <t>LinhaP_NC</t>
  </si>
  <si>
    <t>ValorP_C</t>
  </si>
  <si>
    <t>ValorP_NC</t>
  </si>
  <si>
    <t>Serviço da dívida PJ da CEF</t>
  </si>
  <si>
    <t>Distribuição de dividendos / JCP</t>
  </si>
  <si>
    <t>Taxas de gerenciamento/administração</t>
  </si>
  <si>
    <t>1.2..</t>
  </si>
  <si>
    <t>Concluído</t>
  </si>
  <si>
    <t>Serviço da dívida PJ CEF</t>
  </si>
  <si>
    <t>SAFRA</t>
  </si>
  <si>
    <t>Linkpay</t>
  </si>
  <si>
    <t>Paulista</t>
  </si>
  <si>
    <t>Pompeia</t>
  </si>
  <si>
    <t>Matriz</t>
  </si>
  <si>
    <t>Civil</t>
  </si>
  <si>
    <t>Lucas</t>
  </si>
  <si>
    <t>Socorro</t>
  </si>
  <si>
    <t>Metro</t>
  </si>
  <si>
    <t>Incorflora</t>
  </si>
  <si>
    <t>Sale</t>
  </si>
  <si>
    <t>Bibiana</t>
  </si>
  <si>
    <t>Butia</t>
  </si>
  <si>
    <t>VRT</t>
  </si>
  <si>
    <t>Campolargo</t>
  </si>
  <si>
    <t>Lugano</t>
  </si>
  <si>
    <t>1.2.1..</t>
  </si>
  <si>
    <t>1.2.6.AMPLA.</t>
  </si>
  <si>
    <t>1.2.7.GRA.</t>
  </si>
  <si>
    <t>1.2.7.LUC.</t>
  </si>
  <si>
    <t>1.2.7.AMP.</t>
  </si>
  <si>
    <t>1.2.7.AVS.</t>
  </si>
  <si>
    <t>1.2.8.SN4.</t>
  </si>
  <si>
    <t>1.2.8.CBL.</t>
  </si>
  <si>
    <t>1.2.8.AVS.</t>
  </si>
  <si>
    <t>1.2.8.JRP.</t>
  </si>
  <si>
    <t>1.2.8.SAU.</t>
  </si>
  <si>
    <t>1.2.8.LUC.</t>
  </si>
  <si>
    <t>1.2.8.SN2.</t>
  </si>
  <si>
    <t>1.2.8.GRA.</t>
  </si>
  <si>
    <t>1.2.8..</t>
  </si>
  <si>
    <t>1.2.8.POM.</t>
  </si>
  <si>
    <t>1.2.9..</t>
  </si>
  <si>
    <t>1.2.10.SN2.</t>
  </si>
  <si>
    <t>1.2.10.SN4.</t>
  </si>
  <si>
    <t>1.2.10.AVS.</t>
  </si>
  <si>
    <t>1.2.10.LUC.</t>
  </si>
  <si>
    <t>1.2.10.CBL.</t>
  </si>
  <si>
    <t>1.2.10.POM.</t>
  </si>
  <si>
    <t>1.2.10.SAU.</t>
  </si>
  <si>
    <t>1.2.10.AMP.</t>
  </si>
  <si>
    <t>1.2.10.AVR.</t>
  </si>
  <si>
    <t>1.2.10.BUT.</t>
  </si>
  <si>
    <t>1.2.10.ENC.</t>
  </si>
  <si>
    <t>1.2.10.USL.</t>
  </si>
  <si>
    <t>1.2.10.CPE.</t>
  </si>
  <si>
    <t>1.2.10.JRP.</t>
  </si>
  <si>
    <t>1.2.10.LUG.</t>
  </si>
  <si>
    <t>1.2.10.INC.</t>
  </si>
  <si>
    <t>1.2.10.SBB.</t>
  </si>
  <si>
    <t>1.2.10..</t>
  </si>
  <si>
    <t>1.2.10.DEC.</t>
  </si>
  <si>
    <t>1.2.10.SOC.</t>
  </si>
  <si>
    <t>1.2.10.JSP.</t>
  </si>
  <si>
    <t>1.2.10.PDI.</t>
  </si>
  <si>
    <t>1.2.11.JSP.</t>
  </si>
  <si>
    <t>VGV (viabilidade)</t>
  </si>
  <si>
    <t>Diferença</t>
  </si>
  <si>
    <t>Diferença (%)</t>
  </si>
  <si>
    <t>Histórico dos VGVs das viabilidades de acompanhamento</t>
  </si>
  <si>
    <t>1.2.3.</t>
  </si>
  <si>
    <t>1.2.5.GRA.</t>
  </si>
  <si>
    <t>1.2.5.LUC.</t>
  </si>
  <si>
    <t>1.2.5.AMP.</t>
  </si>
  <si>
    <t>1.2.5.AVS.</t>
  </si>
  <si>
    <t>1.2.7.SN4.</t>
  </si>
  <si>
    <t>1.2.7.CBL.</t>
  </si>
  <si>
    <t>1.2.7.JRP.</t>
  </si>
  <si>
    <t>1.2.7.SAU.</t>
  </si>
  <si>
    <t>1.2.7.SN2.</t>
  </si>
  <si>
    <t>1.2.7.SBB.</t>
  </si>
  <si>
    <t>1.2.7.SOC.</t>
  </si>
  <si>
    <t>1.2.7..</t>
  </si>
  <si>
    <t>1.2.7.POM.</t>
  </si>
  <si>
    <t>1.2.8.AMPLA.</t>
  </si>
  <si>
    <t>Projeto/legalização - Sta Cecilia 26 L 2</t>
  </si>
  <si>
    <t>Up Sport Home</t>
  </si>
  <si>
    <t>Junho</t>
  </si>
  <si>
    <t>Up Bibiana</t>
  </si>
  <si>
    <t>#</t>
  </si>
  <si>
    <t>CXG</t>
  </si>
  <si>
    <t>Dia</t>
  </si>
  <si>
    <t>1.2.7.JSP.</t>
  </si>
  <si>
    <t>Saldo inicial</t>
  </si>
  <si>
    <t>Variação</t>
  </si>
  <si>
    <t>Variação (%)</t>
  </si>
  <si>
    <t>Fechamento</t>
  </si>
  <si>
    <t>Variação líquida de caixa por fonte da informação:</t>
  </si>
  <si>
    <t>Ordem decrescente:</t>
  </si>
  <si>
    <t>VII</t>
  </si>
  <si>
    <t>status.ik</t>
  </si>
  <si>
    <t>status.ana</t>
  </si>
  <si>
    <t>status.p.ik</t>
  </si>
  <si>
    <t>status.p.ana</t>
  </si>
  <si>
    <t>Tab. Preço Evento</t>
  </si>
  <si>
    <t>Tab. Preço</t>
  </si>
  <si>
    <t>Status no Anapro</t>
  </si>
  <si>
    <t>Em Negociação</t>
  </si>
  <si>
    <t>Unidades em estoque (Anapro)</t>
  </si>
  <si>
    <t>Unidades em estoque (Informakon)</t>
  </si>
  <si>
    <t>Estoque em R$ (Informakon)</t>
  </si>
  <si>
    <t>Estoque em R$ 
(Anapro)</t>
  </si>
  <si>
    <t>Diferença de estoque em R$</t>
  </si>
  <si>
    <t>Unidades com status inconsistente</t>
  </si>
  <si>
    <t>Total de unidades (Anapro)</t>
  </si>
  <si>
    <t>Total de unidades (Informakon)</t>
  </si>
  <si>
    <t>Unidades inconsistentes</t>
  </si>
  <si>
    <t>Unidades inconsistentes em %</t>
  </si>
  <si>
    <t>Gerar análise das unidades com status inconsistente</t>
  </si>
  <si>
    <t>Adicionar rotina de validação de unidades com status inconsistente com o Paura</t>
  </si>
  <si>
    <t>Incluir pró soluto e serviço da dívida PJ na análise da aba "cef"</t>
  </si>
  <si>
    <t>CEF (obra)</t>
  </si>
  <si>
    <t>PJ CEF</t>
  </si>
  <si>
    <t>3.2.2.GRA.</t>
  </si>
  <si>
    <t>3.2.2.SN2.</t>
  </si>
  <si>
    <t>3.2.2.LUC.</t>
  </si>
  <si>
    <t>3.2.2.AMP.</t>
  </si>
  <si>
    <t>3.2.2.AVS.</t>
  </si>
  <si>
    <t>3.1.1.1.SN4.</t>
  </si>
  <si>
    <t>Caixa no dia:</t>
  </si>
  <si>
    <t>apelidoConta</t>
  </si>
  <si>
    <t>contaAntiga</t>
  </si>
  <si>
    <t>contaAtual</t>
  </si>
  <si>
    <t>instituicao</t>
  </si>
  <si>
    <t>tipo</t>
  </si>
  <si>
    <t>repasseCef</t>
  </si>
  <si>
    <t>soVisualizacao</t>
  </si>
  <si>
    <t>saldo</t>
  </si>
  <si>
    <t>saldoBloqueado</t>
  </si>
  <si>
    <t>limiteChequeEspecial</t>
  </si>
  <si>
    <t>Saldo (considerando o cheque especial utilizado)</t>
  </si>
  <si>
    <t>Corrente</t>
  </si>
  <si>
    <t>Saldo (desconsiderando o cheque especial utilizado)</t>
  </si>
  <si>
    <t>Limite do cheque especial</t>
  </si>
  <si>
    <t>Saldo de contas que são só para visualização</t>
  </si>
  <si>
    <t>Poupança</t>
  </si>
  <si>
    <t>Itaú</t>
  </si>
  <si>
    <t>Reservas de saldo</t>
  </si>
  <si>
    <t>Reserva Obrigatorio Outorga CBL 420k mês (Jul a Nov)</t>
  </si>
  <si>
    <t>todo dia 10 reservar**</t>
  </si>
  <si>
    <t xml:space="preserve">Inaja </t>
  </si>
  <si>
    <t>Permt. JDSP</t>
  </si>
  <si>
    <t xml:space="preserve">ITBI 3º demanda Move </t>
  </si>
  <si>
    <t>Folha PJ</t>
  </si>
  <si>
    <t>CampoBelo</t>
  </si>
  <si>
    <t xml:space="preserve">Folha </t>
  </si>
  <si>
    <t>Socios</t>
  </si>
  <si>
    <t>Chris</t>
  </si>
  <si>
    <t>3701</t>
  </si>
  <si>
    <t>Prest. Hab  Prud</t>
  </si>
  <si>
    <t>Prest. Hab  Vls</t>
  </si>
  <si>
    <t>570401908-7</t>
  </si>
  <si>
    <t>Davi PF</t>
  </si>
  <si>
    <t>saldo real dia</t>
  </si>
  <si>
    <t>Select</t>
  </si>
  <si>
    <t>Previsão de receitas até 31/08</t>
  </si>
  <si>
    <t>JDSao Paulo</t>
  </si>
  <si>
    <t>JDSão Paulo</t>
  </si>
  <si>
    <t>Leandro PF</t>
  </si>
  <si>
    <t>569680108-7</t>
  </si>
  <si>
    <t>Parada Inglesa</t>
  </si>
  <si>
    <t>Vinculada</t>
  </si>
  <si>
    <t>PRO</t>
  </si>
  <si>
    <t>Select - CRI</t>
  </si>
  <si>
    <t>Saude - CRI</t>
  </si>
  <si>
    <t>Saude</t>
  </si>
  <si>
    <t>Estação</t>
  </si>
  <si>
    <t>1601332-7</t>
  </si>
  <si>
    <t>QI Tech</t>
  </si>
  <si>
    <t>Move</t>
  </si>
  <si>
    <t>VRG</t>
  </si>
  <si>
    <t>Move - CRI</t>
  </si>
  <si>
    <t>Big</t>
  </si>
  <si>
    <t>570402328-9</t>
  </si>
  <si>
    <t>57459696-1</t>
  </si>
  <si>
    <t xml:space="preserve"> </t>
  </si>
  <si>
    <t>AMPLA</t>
  </si>
  <si>
    <t>(Tudo)</t>
  </si>
  <si>
    <t>1.1.1.SN4.</t>
  </si>
  <si>
    <t>Dep. Pessoal - Up Move Vila Sonia</t>
  </si>
  <si>
    <t>GERAL</t>
  </si>
  <si>
    <t>3.2.1.VRG.</t>
  </si>
  <si>
    <t>3.2.2.SN4.</t>
  </si>
  <si>
    <t>1.2.3.SN4.</t>
  </si>
  <si>
    <t>1.2.3.SAU.</t>
  </si>
  <si>
    <t>1.2.3.LUC.</t>
  </si>
  <si>
    <t>1.2.3.GRA.</t>
  </si>
  <si>
    <t>1.2.3.JRP.</t>
  </si>
  <si>
    <t>1.2.3.SN2.</t>
  </si>
  <si>
    <t>1.2.3.AVS.</t>
  </si>
  <si>
    <t>1.2.3.POM.</t>
  </si>
  <si>
    <t>1.2.3.SBB.</t>
  </si>
  <si>
    <t>1.2.4.AMPLA.</t>
  </si>
  <si>
    <t>1.2.4.ENC.</t>
  </si>
  <si>
    <t>1.2.4.USL.</t>
  </si>
  <si>
    <t>Projeto/legalização - Eden 446</t>
  </si>
  <si>
    <t>EDEN 446</t>
  </si>
  <si>
    <t>Empresa (resultado)</t>
  </si>
  <si>
    <t>Despesas_Resultado</t>
  </si>
  <si>
    <t>R_Resultado</t>
  </si>
  <si>
    <t>Despesas_Pagadora</t>
  </si>
  <si>
    <t>R_Pagadora</t>
  </si>
  <si>
    <t>Ajuste</t>
  </si>
  <si>
    <t>Nº Mov</t>
  </si>
  <si>
    <t>Data</t>
  </si>
  <si>
    <t>C</t>
  </si>
  <si>
    <t>Histórico</t>
  </si>
  <si>
    <t>AgenteFinanceiro</t>
  </si>
  <si>
    <t>Conta Nº</t>
  </si>
  <si>
    <t>D/C</t>
  </si>
  <si>
    <t>V</t>
  </si>
  <si>
    <t>Cancelado</t>
  </si>
  <si>
    <t>Nat</t>
  </si>
  <si>
    <t>Natureza do Movimento</t>
  </si>
  <si>
    <t>Emp-Filial</t>
  </si>
  <si>
    <t>Conciliação</t>
  </si>
  <si>
    <t>Cliente</t>
  </si>
  <si>
    <t>Link Natureza</t>
  </si>
  <si>
    <t>Saldo Caução Cliente</t>
  </si>
  <si>
    <t>N</t>
  </si>
  <si>
    <t>IMOBT</t>
  </si>
  <si>
    <t>RECEITA DO IMOBILIÁRIO</t>
  </si>
  <si>
    <t>Banco Bradesco</t>
  </si>
  <si>
    <t>RI</t>
  </si>
  <si>
    <t>Recebimento imobiliário</t>
  </si>
  <si>
    <t>VRG.01</t>
  </si>
  <si>
    <t>54</t>
  </si>
  <si>
    <t>Caixa Econômica Federal</t>
  </si>
  <si>
    <t>GRA.01</t>
  </si>
  <si>
    <t>25</t>
  </si>
  <si>
    <t>CUSTO DE COBRANÇA</t>
  </si>
  <si>
    <t>D</t>
  </si>
  <si>
    <t>CC</t>
  </si>
  <si>
    <t>Custo de cobrança</t>
  </si>
  <si>
    <t>Número de entradas</t>
  </si>
  <si>
    <t>ABC do Brasil</t>
  </si>
  <si>
    <t>22924479</t>
  </si>
  <si>
    <t>POM.01</t>
  </si>
  <si>
    <t>24</t>
  </si>
  <si>
    <t>Número de saídas</t>
  </si>
  <si>
    <t>Banco Itaú</t>
  </si>
  <si>
    <t>PRO.01</t>
  </si>
  <si>
    <t>Número de lançamentos</t>
  </si>
  <si>
    <t>SIPAG</t>
  </si>
  <si>
    <t>ESP.01 001087 - IT  RR PARAFUSOS , FERRAGENS E FERRAMENTAS L</t>
  </si>
  <si>
    <t>LP</t>
  </si>
  <si>
    <t>Lançamentos SIPAG</t>
  </si>
  <si>
    <t>ESP.01 001088 - IT  LEONARDO DE PAULA SANTOS 32445757819</t>
  </si>
  <si>
    <t>ESP.01 000963 - IT  6 OFICIAL DE REGISTRO DE IMOVEIS DA COMA</t>
  </si>
  <si>
    <t>LUC.01</t>
  </si>
  <si>
    <t>23</t>
  </si>
  <si>
    <t>ESP.01 000964 - IT  6 OFICIAL DE REGISTRO DE IMOVEIS DA COMA</t>
  </si>
  <si>
    <t>ESP.01 000965 - IT  6 OFICIAL DE REGISTRO DE IMOVEIS DA COMA</t>
  </si>
  <si>
    <t>ESP.01 000966 - IT  6 OFICIAL DE REGISTRO DE IMOVEIS DA COMA</t>
  </si>
  <si>
    <t>ESP.01 000967 - IT  6 OFICIAL DE REGISTRO DE IMOVEIS DA COMA</t>
  </si>
  <si>
    <t>ESP.01 000968 - IT  6 OFICIAL DE REGISTRO DE IMOVEIS DA COMA</t>
  </si>
  <si>
    <t>ESP.01 000322 - IT  ELETROPAULO METROPOLITANA ELETRICIDADE D</t>
  </si>
  <si>
    <t>SAU.01</t>
  </si>
  <si>
    <t>31</t>
  </si>
  <si>
    <t>ESP.01 000030 - IT  Ronaldo Evangelista Rocha</t>
  </si>
  <si>
    <t>USL.01</t>
  </si>
  <si>
    <t>34</t>
  </si>
  <si>
    <t>COEMP</t>
  </si>
  <si>
    <t>Encontro de Contas - Envio Destino: CPE</t>
  </si>
  <si>
    <t>CE</t>
  </si>
  <si>
    <t>Coligadas</t>
  </si>
  <si>
    <t>DPF.01</t>
  </si>
  <si>
    <t>32</t>
  </si>
  <si>
    <t>Encontro de Contas - Recebe Origem: DPF</t>
  </si>
  <si>
    <t>CPE.01</t>
  </si>
  <si>
    <t>37</t>
  </si>
  <si>
    <t>Encontro de Contas - Envio Destino: AMP</t>
  </si>
  <si>
    <t>AMP.01</t>
  </si>
  <si>
    <t>07</t>
  </si>
  <si>
    <t>Encontro de Contas - Recebe Origem: AMP</t>
  </si>
  <si>
    <t>20</t>
  </si>
  <si>
    <t>SN2.01</t>
  </si>
  <si>
    <t>26</t>
  </si>
  <si>
    <t>ESP.01 000726 - IT  IR ARTE E COR PINTURAS RESIDENCIAL E PRE</t>
  </si>
  <si>
    <t>ESP.01 000350 - IT  ELETROPAULO METROPOLITANA ELETRICIDADE D</t>
  </si>
  <si>
    <t>SN4.01</t>
  </si>
  <si>
    <t>39</t>
  </si>
  <si>
    <t>ESP.01 000351 - IT  ELETROPAULO METROPOLITANA ELETRICIDADE D</t>
  </si>
  <si>
    <t>IMORC</t>
  </si>
  <si>
    <t>RECIBO No. 627 Comissão/vendas 0347-0</t>
  </si>
  <si>
    <t>Tesouraria - UP Vila Sonia 4</t>
  </si>
  <si>
    <t>000001</t>
  </si>
  <si>
    <t>CI</t>
  </si>
  <si>
    <t>Caixa do imobiliário</t>
  </si>
  <si>
    <t>RECIBO No. 628 Comissão/vendas 0348-0</t>
  </si>
  <si>
    <t>Encontro de Contas - Envio Destino: VRG</t>
  </si>
  <si>
    <t>Encontro de Contas - Recebe Origem: SN4</t>
  </si>
  <si>
    <t>FINAN</t>
  </si>
  <si>
    <t>Financiamento - Agente BC 104  Contrato:8.7877.2540078-5 Tarifa Acompanhamento da Operação</t>
  </si>
  <si>
    <t>FI</t>
  </si>
  <si>
    <t>Financiamentos</t>
  </si>
  <si>
    <t>SIBAN</t>
  </si>
  <si>
    <t>JUROS LIMITE DA CONTA</t>
  </si>
  <si>
    <t>TB</t>
  </si>
  <si>
    <t>Tarifas bancárias</t>
  </si>
  <si>
    <t>APLFI</t>
  </si>
  <si>
    <t>Aplicacao - Agente BC 341 Resgate</t>
  </si>
  <si>
    <t>AF</t>
  </si>
  <si>
    <t>Aplicação financeira</t>
  </si>
  <si>
    <t>RECIBO No. 362 Comissão/vendas 0006-0</t>
  </si>
  <si>
    <t>ESP.01 000114 - IT  Ministério da Fazenda</t>
  </si>
  <si>
    <t>BUT.01</t>
  </si>
  <si>
    <t>38</t>
  </si>
  <si>
    <t>TARIFA PAGTO. PIX</t>
  </si>
  <si>
    <t>TARIFA ACTMAN</t>
  </si>
  <si>
    <t>TARIFA EXT EL</t>
  </si>
  <si>
    <t>Aplicacao - Agente BC 246 Resgate</t>
  </si>
  <si>
    <t>TAR EXT EL</t>
  </si>
  <si>
    <t>AVS.01</t>
  </si>
  <si>
    <t>10</t>
  </si>
  <si>
    <t>TARIFA COBRANÇA</t>
  </si>
  <si>
    <t>CXG.01</t>
  </si>
  <si>
    <t>50</t>
  </si>
  <si>
    <t>DEBITO DE IOF</t>
  </si>
  <si>
    <t>COBRANCA DE JUROS</t>
  </si>
  <si>
    <t>Marcos Tadeu Arci  EXCLUIR</t>
  </si>
  <si>
    <t>OV</t>
  </si>
  <si>
    <t>Outras Receitas</t>
  </si>
  <si>
    <t>Aplicacao - Agente BC 341 Investimento Remunerado Esplanada</t>
  </si>
  <si>
    <t>01</t>
  </si>
  <si>
    <t>VMD  EXCLUIR</t>
  </si>
  <si>
    <t>DF</t>
  </si>
  <si>
    <t>Despesas Financeiras</t>
  </si>
  <si>
    <t>INC.01</t>
  </si>
  <si>
    <t>27</t>
  </si>
  <si>
    <t>DEB JUROS DE MORA</t>
  </si>
  <si>
    <t>IOF</t>
  </si>
  <si>
    <t>JUROS</t>
  </si>
  <si>
    <t>099843-8</t>
  </si>
  <si>
    <t>ESP.01 000969 - IT  COMPANHIA DE ENGENHARIA DE TRAFEGO</t>
  </si>
  <si>
    <t>RECIBO No. 235 Comissão/vendas 0139-1</t>
  </si>
  <si>
    <t>ESP.01 001594 - IT  ANGELO PAIOTTI COMERCIO VAREJISTA DE MAT</t>
  </si>
  <si>
    <t>ESP.01 001595 - IT  SEM PARAR INSTITUICAO DE PAGAMENTO LTDA</t>
  </si>
  <si>
    <t>DSP.01 000046 - DC BC 341; 06340-0;  carpe diem</t>
  </si>
  <si>
    <t>Encontro de Contas - Recebe Origem: SN2</t>
  </si>
  <si>
    <t>CBL.01</t>
  </si>
  <si>
    <t>43</t>
  </si>
  <si>
    <t>ESP.01 000733 - IT  MERCADO PAGO INSTITUICAO DE PAGAMENTO LT</t>
  </si>
  <si>
    <t>ESP.01 000734 - IT  COMPANHIA DE ENGENHARIA DE TRAFEGO</t>
  </si>
  <si>
    <t>ESP.01 001596 - IT  GRAFFIT LIMEIRA PAPELARIA LTDA</t>
  </si>
  <si>
    <t>RECIBO No. 630 Comissão/vendas 0239-0</t>
  </si>
  <si>
    <t>RECIBO No. 631 Comissão/vendas 0240-0</t>
  </si>
  <si>
    <t>Financiamento - Agente BC 104  Contrato:8.7877.2137629-4 Crédito em conta corrente</t>
  </si>
  <si>
    <t>ESP.01 000130 - IT  SOUTO LOPES SOLUCOES LTDA</t>
  </si>
  <si>
    <t>JRP.01</t>
  </si>
  <si>
    <t>45</t>
  </si>
  <si>
    <t>Financiamento - Agente BC 246  Contrato:15502024 Juros de contrato</t>
  </si>
  <si>
    <t>TAR PLANO ADAPT 06/26</t>
  </si>
  <si>
    <t>TAR PIX PGTO TRANSF</t>
  </si>
  <si>
    <t>TAR PLANO ADAPT 1  06/26</t>
  </si>
  <si>
    <t>ESP.01 000765 - IT  Prefeitura do Municipio de Sao Paulo</t>
  </si>
  <si>
    <t>RECIBO No. 363 Comissão/vendas 0081-2</t>
  </si>
  <si>
    <t>RECIBO No. 364 Comissão/vendas 0082-2</t>
  </si>
  <si>
    <t>RECIBO No. 365 Comissão/vendas 0135-1</t>
  </si>
  <si>
    <t>RECIBO No. 366 Comissão/vendas 0109-1</t>
  </si>
  <si>
    <t>RECIBO No. 367 Comissão/vendas 0042-1</t>
  </si>
  <si>
    <t>.99716-9</t>
  </si>
  <si>
    <t>SOC.01</t>
  </si>
  <si>
    <t>13</t>
  </si>
  <si>
    <t>XSP.01 000008 - SC  SOUTO LOPES SOLUCOES LTDA</t>
  </si>
  <si>
    <t>Tesouraria - Jurupite</t>
  </si>
  <si>
    <t>TAR IX PGTO TRANSF</t>
  </si>
  <si>
    <t>TARIFA MANUTENCAO CC</t>
  </si>
  <si>
    <t>TARIFA SOBRE COBRANCA</t>
  </si>
  <si>
    <t>COB MAN061</t>
  </si>
  <si>
    <t>IP</t>
  </si>
  <si>
    <t>Tributos</t>
  </si>
  <si>
    <t>COB EMI039</t>
  </si>
  <si>
    <t>JSP.01</t>
  </si>
  <si>
    <t>44</t>
  </si>
  <si>
    <t>TARIFA PLANO ADAPT 06/26</t>
  </si>
  <si>
    <t>XSP.01 000026 - SC  COMPANHIA DE ENGENHARIA DE TRAFEGO</t>
  </si>
  <si>
    <t>Tesouraria - UP São Lucas</t>
  </si>
  <si>
    <t>TAR COBRANCA MENSAL</t>
  </si>
  <si>
    <t>TAR PIX PGTO TRASNF</t>
  </si>
  <si>
    <t>TAR PLANO ADAPT 1 06/2026</t>
  </si>
  <si>
    <t>TAR PLANO ADAPT 2 06-26</t>
  </si>
  <si>
    <t>Espelho salários (erro do filtro)</t>
  </si>
  <si>
    <t>Devolução TED Davi</t>
  </si>
  <si>
    <t>RECIBO No. 273 Comissão/vendas 0131-1</t>
  </si>
  <si>
    <t>Tesouraria - UP Grauça</t>
  </si>
  <si>
    <t>Encontro de Contas - Envio Destino: PRO</t>
  </si>
  <si>
    <t>Encontro de Contas - Recebe Origem: GRA</t>
  </si>
  <si>
    <t>ESP.01 001089 - IT  CAMPOLARGO ENGENHARIA LTDA</t>
  </si>
  <si>
    <t>ESP.01 000970 - IT  LUGANO EMPREITEIRA LTDA</t>
  </si>
  <si>
    <t>RECIBO No. 632 Comissão/vendas 0350-0</t>
  </si>
  <si>
    <t>Encontro de Contas - Envio Destino: SN2</t>
  </si>
  <si>
    <t>Encontro de Contas - Envio Destino: GRA</t>
  </si>
  <si>
    <t>Encontro de Contas - Envio Destino: POM</t>
  </si>
  <si>
    <t>Encontro de Contas - Envio Destino: LUC</t>
  </si>
  <si>
    <t>Encontro de Contas - Envio Destino: BUT</t>
  </si>
  <si>
    <t>Encontro de Contas - Envio Destino: LUG</t>
  </si>
  <si>
    <t>LUG.01</t>
  </si>
  <si>
    <t>49</t>
  </si>
  <si>
    <t>Encontro de Contas - Recebe Origem: LUC</t>
  </si>
  <si>
    <t>RECIBO No. 368 Comissão/vendas 0130-1</t>
  </si>
  <si>
    <t>RECIBO No. 369 Comissão/vendas 0010-1</t>
  </si>
  <si>
    <t>RECIBO No. 370 Comissão/vendas 0018-1</t>
  </si>
  <si>
    <t>RECIBO No. 371 Comissão/vendas 0088-2</t>
  </si>
  <si>
    <t>RECIBO No. 372 Comissão/vendas 0086-3</t>
  </si>
  <si>
    <t>RECIBO No. 373 Comissão/vendas 0074-1</t>
  </si>
  <si>
    <t>RECIBO No. 374 Comissão/vendas 0103-1</t>
  </si>
  <si>
    <t>RECIBO No. 375 Comissão/vendas 0072-1</t>
  </si>
  <si>
    <t>ESP.01 001259 - IT  BUTIA CONSTRUTORA LTDA</t>
  </si>
  <si>
    <t>ESP.01 001260 - IT  CAMPOLARGO ENGENHARIA LTDA</t>
  </si>
  <si>
    <t>ESP.01 001261 - IT  LUGANO EMPREITEIRA LTDA</t>
  </si>
  <si>
    <t>ESP.01 000773 - IT  BUTIA CONSTRUTORA LTDA</t>
  </si>
  <si>
    <t>ESP.01 000774 - IT  CAMPOLARGO ENGENHARIA LTDA</t>
  </si>
  <si>
    <t>ESP.01 000775 - IT  LUGANO EMPREITEIRA LTDA</t>
  </si>
  <si>
    <t>ESP.01 000516 - IT  JOSE ADRIANO ANDRADE</t>
  </si>
  <si>
    <t>AMAZON SERVIÇOS DE VAREJO DO BRASIL LTDA.</t>
  </si>
  <si>
    <t>IX</t>
  </si>
  <si>
    <t>Crédito Não Identificado</t>
  </si>
  <si>
    <t>Cs Asset Administracao Empresarial Ltda  EXCLUIR</t>
  </si>
  <si>
    <t>NF 25 - KARINA MELO SANTOS  EXCLUIR</t>
  </si>
  <si>
    <t>ESP.01 001336 - IT  BUTIA CONSTRUTORA LTDA</t>
  </si>
  <si>
    <t>ESP.01 001337 - IT  LUGANO EMPREITEIRA LTDA</t>
  </si>
  <si>
    <t>ESP.01 001163 - IT  BUTIA CONSTRUTORA LTDA</t>
  </si>
  <si>
    <t>ESP.01 001164 - IT  CAMPOLARGO ENGENHARIA LTDA</t>
  </si>
  <si>
    <t>Salários (erro de filtro)</t>
  </si>
  <si>
    <t>KARINA MELO 65865972000194</t>
  </si>
  <si>
    <t>GIUSEPPE MARCHETTI CARAPELLO 55432705000170</t>
  </si>
  <si>
    <t>ESP.01 000735 - IT  BENTO LIMA DA COSTA FILHO INSTALACOES</t>
  </si>
  <si>
    <t>ESP.01 000736 - IT  PREMIUM PISOS LTDA</t>
  </si>
  <si>
    <t>ESP.01 000737 - IT  38.050.604 GIOVANNA MARTINS FERNANDES</t>
  </si>
  <si>
    <t>ESP.01 000166 - IT  LELLO CONDOMINIOS LTDA</t>
  </si>
  <si>
    <t>ESP.01 000167 - IT  IR ARTE E COR PINTURAS RESIDENCIAL E PRE</t>
  </si>
  <si>
    <t>XSP.01 000044 - SC  ELETROPAULO</t>
  </si>
  <si>
    <t>Tesouraria - Ampla Incorporadora</t>
  </si>
  <si>
    <t>000005</t>
  </si>
  <si>
    <t>XSP.01 000045 - SC  ELETROPAULO</t>
  </si>
  <si>
    <t>XSP.01 000046 - SC  ELETROPAULO</t>
  </si>
  <si>
    <t>XSP.01 000047 - SC  ELETROPAULO</t>
  </si>
  <si>
    <t>RECIBO No. 237 Comissão/vendas 0079-1</t>
  </si>
  <si>
    <t>ESP.01 001597 - IT  EXPRESSO OLIVEIRA SANTOS LTDA</t>
  </si>
  <si>
    <t>ESP.01 001598 - IT  BRK AMBIENTAL - LIMEIRA S.A.</t>
  </si>
  <si>
    <t>ESP.01 001599 - IT  BELA TINTAS LTDA</t>
  </si>
  <si>
    <t>ESP.01 001600 - IT  HPE LOCADORA DE VEICULOS LTDA</t>
  </si>
  <si>
    <t>ESP.01 001601 - IT  SEGDUR SERVICOS DE PORTARIA LTDA</t>
  </si>
  <si>
    <t>ESP.01 001602 - IT  ELETROPAULO METROPOLITANA ELETRICIDADE D</t>
  </si>
  <si>
    <t>ESP.01 001603 - IT  CONSTRUTOR DE VENDAS S.A.</t>
  </si>
  <si>
    <t>ESP.01 001604 - IT  66.728.369 DANIEL RIOS DOS SANTOS</t>
  </si>
  <si>
    <t>ESP.01 001605 - IT  ESSINFO TECNOLOGIA DA INFORMACAO LTDA</t>
  </si>
  <si>
    <t>ESP.01 001606 - IT  ELETROPAULO METROPOLITANA ELETRICIDADE D</t>
  </si>
  <si>
    <t>ESP.01 001607 - IT  Totalcad Comercio e Servicos em Informat</t>
  </si>
  <si>
    <t>ESP.01 000323 - IT  Prefeitura do Municipio de Sao Paulo</t>
  </si>
  <si>
    <t>ESP.01 000324 - IT  Prefeitura do Municipio de Sao Paulo</t>
  </si>
  <si>
    <t>ESP.01 000325 - IT  Gls Serviços de Segurança Ltda</t>
  </si>
  <si>
    <t>ESP.01 000326 - IT  Prefeitura do Municipio de Sao Paulo</t>
  </si>
  <si>
    <t>ESP.01 000327 - IT  Prefeitura do Municipio de Sao Paulo</t>
  </si>
  <si>
    <t>ESP.01 000328 - IT  CLARO NXT TELECOMUNICACOES S/A</t>
  </si>
  <si>
    <t>ESP.01 001092 - IT  IBRAC INDUSTRIA BRASILEIRA DE CONDUTORES</t>
  </si>
  <si>
    <t>ESP.01 001093 - IT  IBRAC INDUSTRIA BRASILEIRA DE CONDUTORES</t>
  </si>
  <si>
    <t>ESP.01 001094 - IT  BRUNO GOMES DA SILVA 23218962803</t>
  </si>
  <si>
    <t>ESP.01 001095 - IT  STO BRASIL REVESTIMENTOS E FACHADAS LTDA</t>
  </si>
  <si>
    <t>ESP.01 001096 - IT  MERC - COMERCIO DE MATERIAIS PARA CONSTR</t>
  </si>
  <si>
    <t>ESP.01 001097 - IT  TIGRE MATERIAIS E SOLUCOES PARA CONSTRUC</t>
  </si>
  <si>
    <t>ESP.01 001098 - IT  SHOP ALLX MAGAZINE LTDA</t>
  </si>
  <si>
    <t>ESP.01 001099 - IT  MJA COMERCIO DE GESSO E MATERIAIS PARA C</t>
  </si>
  <si>
    <t>ESP.01 001100 - IT  TIGRE MATERIAIS E SOLUCOES PARA CONSTRUC</t>
  </si>
  <si>
    <t>ESP.01 001101 - IT  VOTORANTIM CIMENTOS S.A.</t>
  </si>
  <si>
    <t>Financiamento - Agente BC 104  Contrato:8.7877.2137629-4 Juros de contrato</t>
  </si>
  <si>
    <t>ESP.01 001102 - IT  TT PREMOLDADOS LTDA.</t>
  </si>
  <si>
    <t>ESP.01 001103 - IT  J M C COMERCIAL ELETRICA LTDA</t>
  </si>
  <si>
    <t>ESP.01 001104 - IT  61.031.854 RENATA MONTEIRO REIMBERG</t>
  </si>
  <si>
    <t>ESP.01 001105 - IT  MERC - COMERCIO DE MATERIAIS PARA CONSTR</t>
  </si>
  <si>
    <t>ESP.01 001106 - IT  AFL AREIA E PEDRA LTDA</t>
  </si>
  <si>
    <t>ESP.01 001107 - IT  TIGRE MATERIAIS E SOLUCOES PARA CONSTRUC</t>
  </si>
  <si>
    <t>ESP.01 001108 - IT  Gls Serviços de Segurança Ltda</t>
  </si>
  <si>
    <t>ESP.01 001109 - IT  SIKA S A</t>
  </si>
  <si>
    <t>ESP.01 001110 - IT  ELETROFERRO INDUSTRIA E COMERCIO LTDA</t>
  </si>
  <si>
    <t>ESP.01 001111 - IT  AGD SUPRIMENTOS INDUSTRIAIS LTDA</t>
  </si>
  <si>
    <t>ESP.01 001112 - IT  SFERA COMERCIAL   IMP LTDA</t>
  </si>
  <si>
    <t>ESP.01 001113 - IT  MERCADO PAGO INSTITUICAO DE PAGAMENTO LT</t>
  </si>
  <si>
    <t>ESP.01 001114 - IT  PIZZIMENTI FERRAGENS E FERRAMENTAS LTDA</t>
  </si>
  <si>
    <t>ESP.01 001115 - IT  AFL AREIA E PEDRA LTDA</t>
  </si>
  <si>
    <t>ESP.01 001213 - IT  TIGRE MATERIAIS E SOLUCOES PARA CONSTRUC</t>
  </si>
  <si>
    <t>ESP.01 001214 - IT  L. DOS SANTOS SILVA TRANSPORTADORA LTDA</t>
  </si>
  <si>
    <t>ESP.01 001215 - IT  AGT ENGENHARIA LTDA</t>
  </si>
  <si>
    <t>ESP.01 001216 - IT  TIGRE MATERIAIS E SOLUCOES PARA CONSTRUC</t>
  </si>
  <si>
    <t>ESP.01 001218 - IT  SANTIL COMERCIAL ELETRICA LTDA</t>
  </si>
  <si>
    <t>ESP.01 001219 - IT  BRN INDUSTRIA DE QUIMICOS PARA CONSTRUCA</t>
  </si>
  <si>
    <t>ESP.01 001220 - IT  MERC - COMERCIO DE MATERIAIS PARA CONSTR</t>
  </si>
  <si>
    <t>ESP.01 001221 - IT  BARBI DO BRASIL LTDA</t>
  </si>
  <si>
    <t>ESP.01 001222 - IT  ATLANTA MATERIAIS PARA CONSTRUCAO LTDA</t>
  </si>
  <si>
    <t>ESP.01 001223 - IT  PIZZIMENTI FERRAGENS E FERRAMENTAS LTDA</t>
  </si>
  <si>
    <t>ESP.01 001224 - IT  7 OLIVEIRAS COMERCIO E CONSTRUCOES LTDA</t>
  </si>
  <si>
    <t>ESP.01 001225 - IT  ROUTE 116 COMERCIO E LOCACAO DE EQUIPAME</t>
  </si>
  <si>
    <t>ESP.01 001226 - IT  ROUTE 116 COMERCIO E LOCACAO DE EQUIPAME</t>
  </si>
  <si>
    <t>ESP.01 001227 - IT  COMERCIAL WADY LTDA</t>
  </si>
  <si>
    <t>ESP.01 001228 - IT  F.F. GUARULHOS - COMERCIO DE MATERIAL EL</t>
  </si>
  <si>
    <t>ESP.01 001229 - IT  Vivo - Telefonica Brasil S.a.</t>
  </si>
  <si>
    <t>ESP.01 001230 - IT  URBE.ME SERVICOS DESENVOLVIMENTO URBANO</t>
  </si>
  <si>
    <t>ESP.01 001231 - IT  AGD SUPRIMENTOS INDUSTRIAIS LTDA</t>
  </si>
  <si>
    <t>ESP.01 001232 - IT  STO BRASIL REVESTIMENTOS E FACHADAS LTDA</t>
  </si>
  <si>
    <t>ESP.01 001233 - IT  SHOP ALLX MAGAZINE LTDA</t>
  </si>
  <si>
    <t>ESP.01 001234 - IT  VOTORANTIM CIMENTOS S.A.</t>
  </si>
  <si>
    <t>ESP.01 001235 - IT  SOROCABA DISTRIBUIDORA DE ALUMINIO E ACE</t>
  </si>
  <si>
    <t>ESP.01 001236 - IT  FLORESTA LOGISTICA LTDA</t>
  </si>
  <si>
    <t>ESP.01 001237 - IT  Lauro Guilherme</t>
  </si>
  <si>
    <t>ESP.01 001238 - IT  BARBI ENGENHARIA LTDA</t>
  </si>
  <si>
    <t>ESP.01 001239 - IT  Gls Serviços de Segurança Ltda</t>
  </si>
  <si>
    <t>ESP.01 001240 - IT  ATLANTA MATERIAIS PARA CONSTRUCAO LTDA</t>
  </si>
  <si>
    <t>ESP.01 001241 - IT  J M C COMERCIAL ELETRICA LTDA</t>
  </si>
  <si>
    <t>ESP.01 001242 - IT  PEDRASIL COMERCIO E LOGISTICA INTEGRADA</t>
  </si>
  <si>
    <t>ESP.01 001243 - IT  ELETROFERRO INDUSTRIA E COMERCIO LTDA</t>
  </si>
  <si>
    <t>ESP.01 001244 - IT  Gls Serviços de Segurança Ltda</t>
  </si>
  <si>
    <t>ESP.01 001245 - IT  TIGRE MATERIAIS E SOLUCOES PARA CONSTRUC</t>
  </si>
  <si>
    <t>ESP.01 001246 - IT  ITC ELETRODOMESTICOS LTDA</t>
  </si>
  <si>
    <t>ESP.01 001247 - IT  JOANNA DE MORAES ROCHA PARAFUSOS</t>
  </si>
  <si>
    <t>ESP.01 000352 - IT  MC TRANSPORTE E LOCACAO EIRELI</t>
  </si>
  <si>
    <t>ESP.01 000353 - IT  Mariana Rocha Troiano Pera</t>
  </si>
  <si>
    <t>ESP.01 000354 - IT  Gls Serviços de Segurança Ltda</t>
  </si>
  <si>
    <t>ESP.01 000355 - IT  EZZE SEGUROS S.A.</t>
  </si>
  <si>
    <t>ESP.01 000356 - IT  HENRIQUE DE OLIVEIRA SANTOS</t>
  </si>
  <si>
    <t>ESP.01 000357 - IT  CAIO CESAR DA SILVA SA</t>
  </si>
  <si>
    <t>ESP.01 000358 - IT  LUBAFER COMERCIO DE PERFILADOS METALICOS</t>
  </si>
  <si>
    <t>ESP.01 000359 - IT  Mayco Douglas dos Santos Reis</t>
  </si>
  <si>
    <t>ESP.01 000360 - IT  CP MADE COMERCIO DE MADEIRAS LTDA</t>
  </si>
  <si>
    <t>ESP.01 000361 - IT  Vera Lucia Cruz Lupo</t>
  </si>
  <si>
    <t>ESP.01 000362 - IT  JOAO G BISPO BATISTA LTDA</t>
  </si>
  <si>
    <t>ESP.01 000739 - IT  MERC - COMERCIO DE MATERIAIS PARA CONSTR</t>
  </si>
  <si>
    <t>ESP.01 000740 - IT  F.F. GUARULHOS - COMERCIO DE MATERIAL EL</t>
  </si>
  <si>
    <t>ESP.01 000741 - IT  MADU COMERCIO DE TINTAS LTDA</t>
  </si>
  <si>
    <t>ESP.01 000742 - IT  MERC - COMERCIO DE MATERIAIS PARA CONSTR</t>
  </si>
  <si>
    <t>ESP.01 000743 - IT  VIPLOC - LOCACAO DE MAQUINAS LTDA</t>
  </si>
  <si>
    <t>ESP.01 000746 - IT  AEA MARGINAL TIETE DISTRIBUIDORA DE MATE</t>
  </si>
  <si>
    <t>ESP.01 000747 - IT  MJA COMERCIO DE GESSO E MATERIAIS PARA C</t>
  </si>
  <si>
    <t>ESP.01 000748 - IT  BELA TINTAS LTDA</t>
  </si>
  <si>
    <t>ESP.01 000749 - IT  IDEALIZA LOCACAO E SERVICOS LTDA</t>
  </si>
  <si>
    <t>ESP.01 000744 - IT  POTENZA COMERCIO E INDUSTRIA LTDA</t>
  </si>
  <si>
    <t>ESP.01 001608 - IT  Daniel Otero Schimidt</t>
  </si>
  <si>
    <t>ESP.01 001609 - IT  Nancy Rosa Lima Borges</t>
  </si>
  <si>
    <t>ESP.01 001610 - IT  Prefeitura do Municipio de Sao Paulo</t>
  </si>
  <si>
    <t>ESP.01 001611 - IT  MULTCRYL TINTAS E TEXTURAS LTDA</t>
  </si>
  <si>
    <t>ESP.01 001612 - IT  F.B.A. DE MELLO INFORMATICA</t>
  </si>
  <si>
    <t>ESP.01 001613 - IT  Prefeitura do Municipio de Sao Paulo</t>
  </si>
  <si>
    <t>ESP.01 001614 - IT  CLARO NXT TELECOMUNICACOES S/A</t>
  </si>
  <si>
    <t>ESP.01 001616 - IT  CLARO NXT TELECOMUNICACOES S/A</t>
  </si>
  <si>
    <t>ESP.01 001617 - IT  Agis Equipamentos e Servicos de Informat</t>
  </si>
  <si>
    <t>ESP.01 001618 - IT  IR ARTE E COR PINTURAS RESIDENCIAL E PRE</t>
  </si>
  <si>
    <t>ESP.01 001619 - IT  CIA DE SANEAMENTO BASICO DO ESTADO DE SA</t>
  </si>
  <si>
    <t>ESP.01 001620 - IT  Daniel Otero Schimidt</t>
  </si>
  <si>
    <t>ESP.01 001621 - IT  Gls Serviços de Segurança Ltda</t>
  </si>
  <si>
    <t>ESP.01 001622 - IT  ZAP+ SUAHOUSE TECNOLOGIA E GESTAO IMOBIL</t>
  </si>
  <si>
    <t>ESP.01 001624 - IT  CIARAMELLO &amp; GUERRA LTDA</t>
  </si>
  <si>
    <t>ESP.01 000010 - IT  Prefeitura do Municipio de Sao Paulo</t>
  </si>
  <si>
    <t>ESP.01 000011 - IT  Prefeitura do Municipio de Sao Paulo</t>
  </si>
  <si>
    <t>ESP.01 001627 - IT  BANCO SAFRA S A</t>
  </si>
  <si>
    <t>ESP.01 000978 - IT  PREFUNDE ENGENHARIA LTDA</t>
  </si>
  <si>
    <t>ESP.01 000979 - IT  SUPERIOR ENGENHARIA LTDA</t>
  </si>
  <si>
    <t>ESP.01 000980 - IT  ROCHA COMERCIO DE ACO LTDA</t>
  </si>
  <si>
    <t>ESP.01 000981 - IT  SUPERMIX CONCRETO S/A</t>
  </si>
  <si>
    <t>ESP.01 000982 - IT  UDIACO COMERCIO E INDUSTRIA DE FERRO E A</t>
  </si>
  <si>
    <t>ESP.01 000983 - IT  VILLARTA EQUIPAMENTOS DE ELEVACAO LTDA.</t>
  </si>
  <si>
    <t>ESP.01 000984 - IT  UDIACO COMERCIO E INDUSTRIA DE FERRO E A</t>
  </si>
  <si>
    <t>ESP.01 000985 - IT  Journey Imobiliária e Assessoria Ltda</t>
  </si>
  <si>
    <t>ESP.01 000986 - IT  Prefeitura do Municipio de Sao Paulo</t>
  </si>
  <si>
    <t>ESP.01 000987 - IT  Prefeitura do Municipio de Sao Paulo</t>
  </si>
  <si>
    <t>ESP.01 000988 - IT  PREMIUM PISOS LTDA</t>
  </si>
  <si>
    <t>ESP.01 000989 - IT  Prefeitura do Municipio de Sao Paulo</t>
  </si>
  <si>
    <t>ESP.01 000990 - IT  Prefeitura do Municipio de Sao Paulo</t>
  </si>
  <si>
    <t>ESP.01 000991 - IT  LOCK CACAMBAS E TRANSPORTES LTDA</t>
  </si>
  <si>
    <t>ESP.01 000992 - IT  LHE SERVICOS GRAFICOS LTDA</t>
  </si>
  <si>
    <t>ESP.01 000993 - IT  Gls Serviços de Segurança Ltda</t>
  </si>
  <si>
    <t>ESP.01 000994 - IT  ALFA AREIA E PEDRA LTDA</t>
  </si>
  <si>
    <t>ESP.01 000995 - IT  Alvaro José Micossi Silva</t>
  </si>
  <si>
    <t>ESP.01 000996 - IT  Monica de Oliveira Sobrinho Ribeiro</t>
  </si>
  <si>
    <t>ESP.01 000997 - IT  Gls Serviços de Segurança Ltda</t>
  </si>
  <si>
    <t>ESP.01 000998 - IT  Julio Cesar Bortolim</t>
  </si>
  <si>
    <t>ESP.01 000999 - IT  Luiz Roberto Nabeiro</t>
  </si>
  <si>
    <t>ESP.01 001000 - IT  TIGRE MATERIAIS E SOLUCOES PARA CONSTRUC</t>
  </si>
  <si>
    <t>ESP.01 001001 - IT  ROUTE 116 COMERCIO E LOCACAO DE EQUIPAME</t>
  </si>
  <si>
    <t>ESP.01 001002 - IT  Prefeitura do Municipio de Sao Paulo</t>
  </si>
  <si>
    <t>ESP.01 001003 - IT  Prefeitura do Municipio de Sao Paulo</t>
  </si>
  <si>
    <t>ESP.01 001004 - IT  Richard Sanderson Ribeiro,</t>
  </si>
  <si>
    <t>ESP.01 001005 - IT  Stephany Sanderson Ribeiro</t>
  </si>
  <si>
    <t>ESP.01 001006 - IT  COMERCIAL WADY LTDA</t>
  </si>
  <si>
    <t>ESP.01 001007 - IT  Prefeitura do Municipio de Sao Paulo</t>
  </si>
  <si>
    <t>ESP.01 001008 - IT  ROUTE 116 COMERCIO E LOCACAO DE EQUIPAME</t>
  </si>
  <si>
    <t>ESP.01 001009 - IT  Prefeitura do Municipio de Sao Paulo</t>
  </si>
  <si>
    <t>ESP.01 001010 - IT  PLAST FRAN TUBOS E CONEXOES PVC LTDA</t>
  </si>
  <si>
    <t>ESP.01 001011 - IT  LOKER LOCACAO DE EQUIPAMENTOS PARA CONST</t>
  </si>
  <si>
    <t>ESP.01 001012 - IT  TINTAS FAMOSAS COMERCIAL DE TINTAS LTDA</t>
  </si>
  <si>
    <t>ESP.01 001013 - IT  Prefeitura do Municipio de Sao Paulo</t>
  </si>
  <si>
    <t>ESP.01 001014 - IT  F4 MATERIAIS DE CONTRUCOES LTDA</t>
  </si>
  <si>
    <t>ESP.01 000031 - IT  Renato Justino da Silva</t>
  </si>
  <si>
    <t>OSP.01 000009 - DO BC 341; 99310-1;  Leandro Campolargo Gonçalves</t>
  </si>
  <si>
    <t>Encontro de Contas - Envio Destino: JRP</t>
  </si>
  <si>
    <t>Encontro de Contas - Envio Destino: SN4</t>
  </si>
  <si>
    <t>Encontro de Contas - Recebe Origem: SAU</t>
  </si>
  <si>
    <t>Encontro de Contas - Recebe Origem: CBL</t>
  </si>
  <si>
    <t>Encontro de Contas - Envio Destino: AVS</t>
  </si>
  <si>
    <t>Encontro de Contas - Envio Destino: SAU</t>
  </si>
  <si>
    <t>Encontro de Contas - Envio Destino: INC</t>
  </si>
  <si>
    <t>Encontro de Contas - Envio Destino: DPF</t>
  </si>
  <si>
    <t>ESP.01 001251 - IT  ALFA AREIA E PEDRA LTDA</t>
  </si>
  <si>
    <t>ESP.01 000762 - IT  IDEALIZA LOCACAO E SERVICOS LTDA</t>
  </si>
  <si>
    <t>ESP.01 001020 - IT  URBE.ME SERVICOS DESENVOLVIMENTO URBANO</t>
  </si>
  <si>
    <t>RECIBO No. 376 Comissão/vendas 0120-2</t>
  </si>
  <si>
    <t>RECIBO No. 377 Comissão/vendas 0125-1</t>
  </si>
  <si>
    <t>RECIBO No. 378 Comissão/vendas 0117-1</t>
  </si>
  <si>
    <t>RECIBO No. 379 Comissão/vendas 0093-2</t>
  </si>
  <si>
    <t>RECIBO No. 380 Comissão/vendas 0162-1</t>
  </si>
  <si>
    <t>RECIBO No. 381 Comissão/vendas 0030-1</t>
  </si>
  <si>
    <t>RECIBO No. 382 Comissão/vendas 0102-1</t>
  </si>
  <si>
    <t>ESP.01 000508 - IT  Eric Jhonatan de Oliveira Santos</t>
  </si>
  <si>
    <t>RECIBO No. 100 Comissão/vendas 0047-0</t>
  </si>
  <si>
    <t>OSP.01 000007 - DO BC 341; 06340-0;  Davi Rodriguez Aragao</t>
  </si>
  <si>
    <t>OSP.01 000010 - DO BC 341; 99310-1;  Leandro Campolargo Gonçalves</t>
  </si>
  <si>
    <t>ESP.01 000458 - IT  AROEIRA MEIO AMBIENTE LTDA</t>
  </si>
  <si>
    <t>ESP.01 000161 - IT  MARCOS R. ALUVEI SERVICOS ADMINISTRATIVO</t>
  </si>
  <si>
    <t>ESP.01 000818 - IT  J INACIO RODRIGUES GESSO E SERVICOS LTDA</t>
  </si>
  <si>
    <t>TARIFA PIX</t>
  </si>
  <si>
    <t>PLANO MAIS VALOR 4</t>
  </si>
  <si>
    <t>ESP.01 000144 - IT  FOLHA M.O - PAGAMENTO</t>
  </si>
  <si>
    <t>ESP.01 000145 - IT  FOLHA M.O - PAGAMENTO</t>
  </si>
  <si>
    <t>ESP.01 000544 - IT  FOLHA M.O - PAGAMENTO</t>
  </si>
  <si>
    <t>ESP.01 000149 - IT  FOLHA M.O - PAGAMENTO</t>
  </si>
  <si>
    <t>TARIFA TED INTERNET</t>
  </si>
  <si>
    <t>MENSALIDADE CESTA SERVICO</t>
  </si>
  <si>
    <t>RECIBO No. 279 Comissão/vendas 0093-1</t>
  </si>
  <si>
    <t>ESP.01 001727 - IT  AMAZON SERVICOS DE VAREJO DO BRASIL LTDA</t>
  </si>
  <si>
    <t>ESP.01 001728 - IT  XS4 CAPITALIZACAO S.A.</t>
  </si>
  <si>
    <t>ESP.01 001729 - IT  XS4 CAPITALIZACAO S.A.</t>
  </si>
  <si>
    <t>ESP.01 001730 - IT  TODO CARTOES LTDA</t>
  </si>
  <si>
    <t>Encontro de Contas - Envio Destino: AHA</t>
  </si>
  <si>
    <t>Encontro de Contas - Recebe Origem: AVS</t>
  </si>
  <si>
    <t>Tesouraria - Ampla Hagras</t>
  </si>
  <si>
    <t>000006</t>
  </si>
  <si>
    <t>AHA.01</t>
  </si>
  <si>
    <t>08</t>
  </si>
  <si>
    <t>PACOTE PJ SIMPLES</t>
  </si>
  <si>
    <t>Financiamento - Agente BC 104  Contrato:8.7877.2706708-0 Tarifa Acompanhamento da Operação</t>
  </si>
  <si>
    <t>Financiamento - Agente BC 104  Contrato:8.7877.2137629-4 Tarifa Acompanhamento da Operação</t>
  </si>
  <si>
    <t>ESP.01 000272 - IT  GLOBO LAR EMPREENDIMENTOS IMOBILIARIOS L</t>
  </si>
  <si>
    <t>ESP.01 001248 - IT  VOTORANTIM CIMENTOS S.A.</t>
  </si>
  <si>
    <t>ESP.01 000368 - IT  Prefeitura do Municipio de Sao Paulo</t>
  </si>
  <si>
    <t>ESP.01 000369 - IT  Prefeitura do Municipio de Sao Paulo</t>
  </si>
  <si>
    <t>ESP.01 000370 - IT  Prefeitura do Municipio de Sao Paulo</t>
  </si>
  <si>
    <t>ESP.01 000371 - IT  Prefeitura do Municipio de Sao Paulo</t>
  </si>
  <si>
    <t>ESP.01 000750 - IT  Gls Serviços de Segurança Ltda</t>
  </si>
  <si>
    <t>ESP.01 000752 - IT  SOROCABA DISTRIBUIDORA DE ALUMINIO E ACE</t>
  </si>
  <si>
    <t>ESP.01 000753 - IT  IBRAC INDUSTRIA BRASILEIRA DE CONDUTORES</t>
  </si>
  <si>
    <t>ESP.01 000754 - IT  ALFA AREIA E PEDRA LTDA</t>
  </si>
  <si>
    <t>ESP.01 000755 - IT  STECK INDUSTRIA ELETRICA LTDA</t>
  </si>
  <si>
    <t>ESP.01 000756 - IT  CARLO FALLETTI DE KAISER - TRANSPORTES</t>
  </si>
  <si>
    <t>ESP.01 000757 - IT  BATI INDUSTRIAL E COMERCIAL LTDA</t>
  </si>
  <si>
    <t>ESP.01 000758 - IT  SIRI - MATERIAIS ELETRICOS LTDA.</t>
  </si>
  <si>
    <t>ESP.01 000760 - IT  57.018.270 GILBERTO BATALHA DE OLIVEIRA</t>
  </si>
  <si>
    <t>ESP.01 000094 - IT  AROEIRA MEIO AMBIENTE LTDA</t>
  </si>
  <si>
    <t>ESP.01 000095 - IT  GAAZ ARQUITETOS ASSOCIADOS S/S LTDA</t>
  </si>
  <si>
    <t>ESP.01 000051 - IT  Prefeitura do Municipio de Sao Paulo</t>
  </si>
  <si>
    <t>SBB.01</t>
  </si>
  <si>
    <t>46</t>
  </si>
  <si>
    <t>ESP.01 000131 - IT  Gls Serviços de Segurança Ltda</t>
  </si>
  <si>
    <t>ESP.01 000132 - IT  Gls Serviços de Segurança Ltda</t>
  </si>
  <si>
    <t>ESP.01 000133 - IT  NEW COM COMERCIO E COMUNICACAO VISUAL LT</t>
  </si>
  <si>
    <t>ESP.01 000134 - IT  Prefeitura do Municipio de Sao Paulo</t>
  </si>
  <si>
    <t>ESP.01 000135 - IT  Mandala Servicos de Promocoes e Eventos</t>
  </si>
  <si>
    <t>ESP.01 000136 - IT  Mandala Servicos de Promocoes e Eventos</t>
  </si>
  <si>
    <t>ESP.01 000137 - IT  55.112.702 ERIKA TEIXEIRA CORDEIRO</t>
  </si>
  <si>
    <t>ESP.01 000138 - IT  55.112.702 ERIKA TEIXEIRA CORDEIRO</t>
  </si>
  <si>
    <t>ESP.01 000139 - IT  55.112.702 ERIKA TEIXEIRA CORDEIRO</t>
  </si>
  <si>
    <t>ESP.01 000140 - IT  55.112.702 ERIKA TEIXEIRA CORDEIRO</t>
  </si>
  <si>
    <t>ESP.01 000141 - IT  Agencia Casting E, Eventos e Promocoes L</t>
  </si>
  <si>
    <t>ESP.01 000761 - IT  LUIZ EDUARDO MELO DE BARROS</t>
  </si>
  <si>
    <t>ESP.01 000096 - IT  L3M PAURA ASSESSORIA E CONSULTORIA LTDA</t>
  </si>
  <si>
    <t>ESP.01 000372 - IT  L3M PAURA ASSESSORIA E CONSULTORIA LTDA</t>
  </si>
  <si>
    <t>ESP.01 000373 - IT  FCRJ ORGANIZACAO CONTABIL LTDA.</t>
  </si>
  <si>
    <t>ESP.01 000003 - IT  L3M PAURA ASSESSORIA E CONSULTORIA LTDA</t>
  </si>
  <si>
    <t>ESP.01 001625 - IT  NOTRE DAME INTERMEDICA SAUDE S.A.</t>
  </si>
  <si>
    <t>ESP.01 001626 - IT  INTUIX TECNOLOGIA LTDA</t>
  </si>
  <si>
    <t>ESP.01 000168 - IT  L3M PAURA ASSESSORIA E CONSULTORIA LTDA</t>
  </si>
  <si>
    <t>ESP.01 000329 - IT  L3M PAURA ASSESSORIA E CONSULTORIA LTDA</t>
  </si>
  <si>
    <t>ESP.01 001015 - IT  RAFAEL TREZZA INTELIGENCIA IMOBILIARIA L</t>
  </si>
  <si>
    <t>ESP.01 001016 - IT  L3M PAURA ASSESSORIA E CONSULTORIA LTDA</t>
  </si>
  <si>
    <t>ESP.01 001117 - IT  MC TRANSPORTE E LOCACAO EIRELI</t>
  </si>
  <si>
    <t>ESP.01 001118 - IT  Prefeitura do Municipio de Sao Paulo</t>
  </si>
  <si>
    <t>ESP.01 001121 - IT  RR PARAFUSOS , FERRAGENS E FERRAMENTAS L</t>
  </si>
  <si>
    <t>ESP.01 001122 - IT  TT PREMOLDADOS LTDA.</t>
  </si>
  <si>
    <t>ESP.01 001123 - IT  TIGRE MATERIAIS E SOLUCOES PARA CONSTRUC</t>
  </si>
  <si>
    <t>ESP.01 001124 - IT  L. DOS SANTOS SILVA TRANSPORTADORA LTDA</t>
  </si>
  <si>
    <t>ESP.01 001125 - IT  BRN INDUSTRIA DE QUIMICOS PARA CONSTRUCA</t>
  </si>
  <si>
    <t>ESP.01 001126 - IT  AFL AREIA E PEDRA LTDA</t>
  </si>
  <si>
    <t>ESP.01 001127 - IT  AFL AREIA E PEDRA LTDA</t>
  </si>
  <si>
    <t>ESP.01 001128 - IT  AFL AREIA E PEDRA LTDA</t>
  </si>
  <si>
    <t>ESP.01 001129 - IT  TIGRE MATERIAIS E SOLUCOES PARA CONSTRUC</t>
  </si>
  <si>
    <t>ESP.01 001130 - IT  TIGRE MATERIAIS E SOLUCOES PARA CONSTRUC</t>
  </si>
  <si>
    <t>ESP.01 001131 - IT  F.F. GUARULHOS - COMERCIO DE MATERIAL EL</t>
  </si>
  <si>
    <t>ESP.01 001132 - IT  PEREIRA TELAS E INSTALACOES LTDA</t>
  </si>
  <si>
    <t>ESP.01 001133 - IT  TIGRE MATERIAIS E SOLUCOES PARA CONSTRUC</t>
  </si>
  <si>
    <t>ESP.01 001134 - IT  ELETRICA ORION COMERCIAL E LOCADORA LTDA</t>
  </si>
  <si>
    <t>ESP.01 001135 - IT  COMERCIAL WADY LTDA</t>
  </si>
  <si>
    <t>ESP.01 001136 - IT  TIGRE MATERIAIS E SOLUCOES PARA CONSTRUC</t>
  </si>
  <si>
    <t>ESP.01 001137 - IT  IDEALIZA LOCACAO E SERVICOS LTDA</t>
  </si>
  <si>
    <t>ESP.01 001138 - IT  YANNIS LOCACOES DE EQUIPAMENTOS LTDA</t>
  </si>
  <si>
    <t>ESP.01 001139 - IT  TIGRE MATERIAIS E SOLUCOES PARA CONSTRUC</t>
  </si>
  <si>
    <t>ESP.01 001140 - IT  DOMINIO COMERCIO DE FERRAMENTAS LTDA</t>
  </si>
  <si>
    <t>ESP.01 001141 - IT  COMERCIAL WADY LTDA</t>
  </si>
  <si>
    <t>ESP.01 001142 - IT  LLC OPERADOR LOGISTICO LTDA</t>
  </si>
  <si>
    <t>ESP.01 001143 - IT  YANNIS LOCACOES DE EQUIPAMENTOS LTDA</t>
  </si>
  <si>
    <t>ESP.01 001145 - IT  BELA TINTAS LTDA</t>
  </si>
  <si>
    <t>ESP.01 001146 - IT  TS TECK - COMERCIO E LOCACAO DE EQUIPAME</t>
  </si>
  <si>
    <t>ESP.01 001147 - IT  MERC - COMERCIO DE MATERIAIS PARA CONSTR</t>
  </si>
  <si>
    <t>ESP.01 001148 - IT  TT PREMOLDADOS LTDA.</t>
  </si>
  <si>
    <t>ESP.01 001149 - IT  LHE SERVICOS GRAFICOS LTDA</t>
  </si>
  <si>
    <t>ESP.01 001150 - IT  MERC - COMERCIO DE MATERIAIS PARA CONSTR</t>
  </si>
  <si>
    <t>ESP.01 001151 - IT  L3M PAURA ASSESSORIA E CONSULTORIA LTDA</t>
  </si>
  <si>
    <t>ESP.01 001152 - IT  MC TRANSPORTE E LOCACAO EIRELI</t>
  </si>
  <si>
    <t>ESP.01 001153 - IT  RALKY FORMAS PARA CONCRETO LTDA</t>
  </si>
  <si>
    <t>ESP.01 001154 - IT  RALKY FORMAS PARA CONCRETO LTDA</t>
  </si>
  <si>
    <t>ESP.01 001155 - IT  RALKY FORMAS PARA CONCRETO LTDA</t>
  </si>
  <si>
    <t>ESP.01 001156 - IT  FCRJ ORGANIZACAO CONTABIL LTDA.</t>
  </si>
  <si>
    <t>Encontro de Contas - Recebe Origem: POM</t>
  </si>
  <si>
    <t>Encontro de Contas - Envio Destino: CXG</t>
  </si>
  <si>
    <t>ESP.01 001250 - IT  ALFA AREIA E PEDRA LTDA</t>
  </si>
  <si>
    <t>ESP.01 000763 - IT  IDEALIZA LOCACAO E SERVICOS LTDA</t>
  </si>
  <si>
    <t>ESP.01 000764 - IT  ATLANTA MATERIAIS PARA CONSTRUCAO LTDA</t>
  </si>
  <si>
    <t>ESP.01 001157 - IT  TS TECK - COMERCIO E LOCACAO DE EQUIPAME</t>
  </si>
  <si>
    <t>ESP.01 001158 - IT  AFL AREIA E PEDRA LTDA</t>
  </si>
  <si>
    <t>RECIBO No. 99 Comissão/vendas 0075-0</t>
  </si>
  <si>
    <t>ESP.01 001024 - IT  FCRJ ORGANIZACAO CONTABIL LTDA.</t>
  </si>
  <si>
    <t>RECIBO No. 383 Comissão/vendas 0133-1</t>
  </si>
  <si>
    <t>RECIBO No. 384 Comissão/vendas 0166-0</t>
  </si>
  <si>
    <t>RECIBO No. 385 Comissão/vendas 0161-0</t>
  </si>
  <si>
    <t>RECIBO No. 386 Comissão/vendas 0149-1</t>
  </si>
  <si>
    <t>RECIBO No. 387 Comissão/vendas 0053-1</t>
  </si>
  <si>
    <t>RECIBO No. 388 Comissão/vendas 0140-1</t>
  </si>
  <si>
    <t>RECIBO No. 389 Comissão/vendas 0114-1</t>
  </si>
  <si>
    <t>RECIBO No. 390 Comissão/vendas 0090-2</t>
  </si>
  <si>
    <t>RECIBO No. 391 Comissão/vendas 0098-0</t>
  </si>
  <si>
    <t>RECIBO No. 392 Comissão/vendas 0122-2</t>
  </si>
  <si>
    <t>RECIBO No. 393 Comissão/vendas 0091-2</t>
  </si>
  <si>
    <t>ESP.01 000333 - IT  Knz Administradora de Bens e Participaçõ</t>
  </si>
  <si>
    <t>ESP.01 000334 - IT  Fabio Heiji Ishii</t>
  </si>
  <si>
    <t>ESP.01 000517 - IT  CAIXA VIDA E PREVIDENCIA S/A</t>
  </si>
  <si>
    <t>ESP.01 000518 - IT  Jose Carlos de Oliveira Jorge</t>
  </si>
  <si>
    <t>ESP.01 001187 - IT  GESSO PALMARES MATERIAIS DE CONSTRUCAO L</t>
  </si>
  <si>
    <t>XSP.01 000049 - SC  GESSO PALMARES MATERIAIS DE CONSTRUCAO L</t>
  </si>
  <si>
    <t>DSP.01 000004 - DC BC 104; 577180827-6;  XS4 CAPITALIZAÇÃO</t>
  </si>
  <si>
    <t>DEBITO PRESTACAO HAB</t>
  </si>
  <si>
    <t>COB BX 063</t>
  </si>
  <si>
    <t>ESP.01 001746 - IT  Prefeitura do Municipio de Sao Paulo</t>
  </si>
  <si>
    <t>RECIBO No. 987 Comissão/vendas 0191-1</t>
  </si>
  <si>
    <t>ESP.01 000496 - IT  MARCOS R. ALUVEI SERVICOS ADMINISTRATIVO</t>
  </si>
  <si>
    <t>RECIBO No. 988 Comissão/vendas 0191-1</t>
  </si>
  <si>
    <t>ESP.01 001017 - IT  6 OFICIAL DE REGISTRO DE IMOVEIS DA COMA</t>
  </si>
  <si>
    <t>ESP.01 001018 - IT  MERCADO PAGO INSTITUICAO DE PAGAMENTO LT</t>
  </si>
  <si>
    <t>ESP.01 001019 - IT  MERCADO PAGO INSTITUICAO DE PAGAMENTO LT</t>
  </si>
  <si>
    <t>ESP.01 001628 - IT  IPNET TELECOM LTDA</t>
  </si>
  <si>
    <t>ESP.01 001629 - IT  NOTRE DAME INTERMEDICA SAUDE S.A.</t>
  </si>
  <si>
    <t>ESP.01 001630 - IT  Rodrigo Pereira Lima</t>
  </si>
  <si>
    <t>ESP.01 001631 - IT  Laura de Barros Lins</t>
  </si>
  <si>
    <t>ESP.01 001632 - IT  IPNET TELECOM LTDA</t>
  </si>
  <si>
    <t>ESP.01 000274 - IT  GRAICHE CONSTRUTORA E IMOBILIARIA LTDA</t>
  </si>
  <si>
    <t>ESP.01 000275 - IT  MUNICIPIO DE ITU</t>
  </si>
  <si>
    <t>ESP.01 000276 - IT  COMPANHIA DE GAS DE SAO PAULO COMGAS</t>
  </si>
  <si>
    <t>ESP.01 000277 - IT  I. K. LAGUENS RACE FIT LTDA</t>
  </si>
  <si>
    <t>ESP.01 000278 - IT  Associação Res Terras de São José II</t>
  </si>
  <si>
    <t>ESP.01 000279 - IT  AGUAS DAS TERRAS SOLUCOES AMBIENTAIS LTD</t>
  </si>
  <si>
    <t>ESP.01 000280 - IT  ROQUE IMOVEIS LTDA.</t>
  </si>
  <si>
    <t>ESP.01 000281 - IT  AGUAS DAS TERRAS SOLUCOES AMBIENTAIS LTD</t>
  </si>
  <si>
    <t>ESP.01 000282 - IT  CAIXA CONSORCIOS S.A. ADMINISTRADORA DE</t>
  </si>
  <si>
    <t>ESP.01 000283 - IT  MUNICIPIO DE ITU</t>
  </si>
  <si>
    <t>ESP.01 000284 - IT  CAIXA CONSORCIOS S.A. ADMINISTRADORA DE</t>
  </si>
  <si>
    <t>ESP.01 000285 - IT  Associação Res Terras de São José II</t>
  </si>
  <si>
    <t>ESP.01 000286 - IT  CAIXA CONSORCIOS S.A. ADMINISTRADORA DE</t>
  </si>
  <si>
    <t>ESP.01 000287 - IT  ASSOCIACAO UNIVERSITARIA INTERAMERICANA</t>
  </si>
  <si>
    <t>ESP.01 000288 - IT  ASSOCIACAO RESIDENCIAL PARQUE CHAPADA DE</t>
  </si>
  <si>
    <t>ESP.01 000289 - IT  MUNICIPIO DE ITU</t>
  </si>
  <si>
    <t>PIX DEVOLVIDO MERCADO PAG08/07</t>
  </si>
  <si>
    <t>RECIBO No. 394 Comissão/vendas 0021-1</t>
  </si>
  <si>
    <t>RECIBO No. 395 Comissão/vendas 0065-1</t>
  </si>
  <si>
    <t>RECIBO No. 396 Comissão/vendas 0129-2</t>
  </si>
  <si>
    <t>RECIBO No. 397 Comissão/vendas 0045-1</t>
  </si>
  <si>
    <t>RECIBO No. 398 Comissão/vendas 0064-1</t>
  </si>
  <si>
    <t>RECIBO No. 399 Comissão/vendas 0046-1</t>
  </si>
  <si>
    <t>RECIBO No. 400 Comissão/vendas 0077-3</t>
  </si>
  <si>
    <t>RECIBO No. 401 Comissão/vendas 0070-1</t>
  </si>
  <si>
    <t>RECIBO No. 402 Comissão/vendas 0011-1</t>
  </si>
  <si>
    <t>RECIBO No. 403 Comissão/vendas 0046-1</t>
  </si>
  <si>
    <t>RECIBO No. 404 Comissão/vendas 0007-1</t>
  </si>
  <si>
    <t>RECIBO No. 405 Comissão/vendas 0104-1</t>
  </si>
  <si>
    <t>RECIBO No. 406 Comissão/vendas 0097-0</t>
  </si>
  <si>
    <t>RECIBO No. 407 Comissão/vendas 0156-1</t>
  </si>
  <si>
    <t>ESP.01 000028 - IT  POLIFISC, ASSESSORIA, CONSULTORIA E CONT</t>
  </si>
  <si>
    <t>AVR.01</t>
  </si>
  <si>
    <t>09</t>
  </si>
  <si>
    <t>ESP.01 000118 - IT  SINDICATO DOS TRABALHADORES NAS INDUSTRI</t>
  </si>
  <si>
    <t>ESP.01 000140 - IT  SINDICATO DOS TRABALHADORES NAS INDUSTRI</t>
  </si>
  <si>
    <t>ESP.01 000509 - IT  SINDICATO DOS TRABALHADORES NAS INDUSTRI</t>
  </si>
  <si>
    <t>ESP.01 000510 - IT  EUDES MACEDO NASCIMENTO</t>
  </si>
  <si>
    <t>TAR PIX</t>
  </si>
  <si>
    <t>Financiamento - Agente BC 104  Contrato:18012024 Outros custos</t>
  </si>
  <si>
    <t>O C S Assessoria E Consultoria Ltda  EXCLUIR</t>
  </si>
  <si>
    <t>ESP.01 000043 - IT  Caixa Economica Federal</t>
  </si>
  <si>
    <t>XSP.01 000003 - SC  Davi Rodriguez Aragão</t>
  </si>
  <si>
    <t>Conta Empresa</t>
  </si>
  <si>
    <t>RECIBO No. 452 Comissão/vendas 0136-1</t>
  </si>
  <si>
    <t>Aplicacao - Agente BC 246 Investimento Remunerado Esplanada</t>
  </si>
  <si>
    <t>RECIBO No. 457 Comissão/vendas 0153-0</t>
  </si>
  <si>
    <t>RECIBO No. 634 Comissão/vendas 0351-0</t>
  </si>
  <si>
    <t>11</t>
  </si>
  <si>
    <t>DEBITO DE SEGURO</t>
  </si>
  <si>
    <t>ESP.01 000273 - IT  AUREXIS CAPITAL &amp; GESTAO LTDA</t>
  </si>
  <si>
    <t>ESP.01 001633 - IT  Wesupporte Tecnologia</t>
  </si>
  <si>
    <t>ESP.01 001634 - IT  Wesupporte Tecnologia</t>
  </si>
  <si>
    <t>ESP.01 000423 - IT  49.273.240 FRANCIELLE LISIANE DA SILVA C</t>
  </si>
  <si>
    <t>ESP.01 000149 - IT  48.901.853 MARIELLE FERNANDES DE MOURA</t>
  </si>
  <si>
    <t>ESP.01 000332 - IT  48.901.853 MARIELLE FERNANDES DE MOURA</t>
  </si>
  <si>
    <t>ESP.01 001636 - IT  CAIXA CONSORCIOS S.A. ADMINISTRADORA DE</t>
  </si>
  <si>
    <t>ESP.01 001637 - IT  CAIXA CONSORCIOS S.A. ADMINISTRADORA DE</t>
  </si>
  <si>
    <t>ESP.01 001638 - IT  Carlos Henrique Correa Filho</t>
  </si>
  <si>
    <t>ESP.01 001641 - IT  AMAZON SERVICOS DE VAREJO DO BRASIL LTDA</t>
  </si>
  <si>
    <t>ESP.01 000497 - IT  Humberto Gullo Neto</t>
  </si>
  <si>
    <t>ESP.01 000498 - IT  Renato Durbano Ferreira</t>
  </si>
  <si>
    <t>ESP.01 000499 - IT  Daniel Batista Gomes</t>
  </si>
  <si>
    <t>ESP.01 000119 - IT  PASI SERVICOS E BENEFICIOS S/A</t>
  </si>
  <si>
    <t>ESP.01 000511 - IT  IR ARTE E COR PINTURAS RESIDENCIAL E PRE</t>
  </si>
  <si>
    <t>ESP.01 000512 - IT  Amanda Turquetti Contiero de Mello</t>
  </si>
  <si>
    <t>ESP.01 000513 - IT  Thiago Vilani</t>
  </si>
  <si>
    <t>ESP.01 000515 - IT  Lucas Fleires Durbano</t>
  </si>
  <si>
    <t>RENDIMENTO FINANCEIRO CONTRATO Nº 878772709612</t>
  </si>
  <si>
    <t>RENDIMENTO FINANCEIRO CONTRATO Nº 878772733589</t>
  </si>
  <si>
    <t>RENDIMENTO FINANCEIRO CONTRATO Nº 878772741519</t>
  </si>
  <si>
    <t>RECIBO No. 101 Comissão/vendas 0045-0</t>
  </si>
  <si>
    <t>ESP.01 000459 - IT  Xs5 Administradora de Consorcios S.a.</t>
  </si>
  <si>
    <t>ESP.01 000460 - IT  Xs5 Administradora de Consorcios S.a.</t>
  </si>
  <si>
    <t>ESP.01 000461 - IT  Xs5 Administradora de Consorcios S.a.</t>
  </si>
  <si>
    <t>RECIBO No. 450 Comissão/vendas 0016-1</t>
  </si>
  <si>
    <t>RECIBO No. 453 Comissão/vendas 0061-1</t>
  </si>
  <si>
    <t>ESP.01 000817 - IT  ESTADO DE SAO PAULO</t>
  </si>
  <si>
    <t>ESP.01 001082 - IT  Xs5 Administradora de Consorcios S.a.</t>
  </si>
  <si>
    <t>ESP.01 001083 - IT  Xs5 Administradora de Consorcios S.a.</t>
  </si>
  <si>
    <t>ESP.01 001084 - IT  Xs5 Administradora de Consorcios S.a.</t>
  </si>
  <si>
    <t>ESP.01 001085 - IT  Xs5 Administradora de Consorcios S.a.</t>
  </si>
  <si>
    <t>RECIBO No. 458 Comissão/vendas 0058-0</t>
  </si>
  <si>
    <t>22924487</t>
  </si>
  <si>
    <t>DEB AMORT SD DEVEDOR - MASC</t>
  </si>
  <si>
    <t>XSP.01 000004 - SC  ROCHA COMERCIO DE ACO LTDA</t>
  </si>
  <si>
    <t>RECIBO No. 238 Comissão/vendas 0167-0</t>
  </si>
  <si>
    <t>RECIBO No. 274 Comissão/vendas 0151-0</t>
  </si>
  <si>
    <t>RECIBO No. 322 Comissão/vendas 0168-0</t>
  </si>
  <si>
    <t>ESP.01 000766 - IT  44.258.862 WILLIAN GEOVANI DA SILVA</t>
  </si>
  <si>
    <t>ESP.01 000767 - IT  MERCADO PAGO INSTITUICAO DE PAGAMENTO LT</t>
  </si>
  <si>
    <t>ESP.01 001252 - IT  44.258.862 WILLIAN GEOVANI DA SILVA</t>
  </si>
  <si>
    <t>ESP.01 001253 - IT  AGT ENGENHARIA LTDA</t>
  </si>
  <si>
    <t>ESP.01 001642 - IT  DO IT COMUNICACAO E MARKETING LTDA</t>
  </si>
  <si>
    <t>ESP.01 001022 - IT  Camila Baracho</t>
  </si>
  <si>
    <t>ESP.01 001023 - IT  JERUEL PLASTICOS INDUSTRIA E COMERCIO LT</t>
  </si>
  <si>
    <t>ESP.01 001159 - IT  AR-COTEC INDUSTRIA E COMERCIO DE CANTOS</t>
  </si>
  <si>
    <t>ESP.01 001160 - IT  SAO PAULO TRIBUNAL DE JUSTICA</t>
  </si>
  <si>
    <t>RECIBO No. 633 Comissão/vendas 0051-0</t>
  </si>
  <si>
    <t>ESP.01 000129 - IT  SINDICATO DOS TRABALHADORES NAS INDUSTRI</t>
  </si>
  <si>
    <t>ESP.01 000519 - IT  Ministério da Fazenda</t>
  </si>
  <si>
    <t>XSP.01 000024 - SC  JERUEL PLASTICOS INDUSTRIA E COMERCIO LT</t>
  </si>
  <si>
    <t>DEVNF</t>
  </si>
  <si>
    <t>Nota Fiscal de Devolução NF-e 1010881 Fornecedor: 007037 BELA TINTAS LTDA</t>
  </si>
  <si>
    <t>DN</t>
  </si>
  <si>
    <t>Devolução de Nota Fiscal</t>
  </si>
  <si>
    <t>ESP.01 000125 - IT  ADEMAR ANTONIO DE SOUZA</t>
  </si>
  <si>
    <t>RECIBO No. 410 Comissão/vendas 0008-1</t>
  </si>
  <si>
    <t>RECIBO No. 411 Comissão/vendas 0111-2</t>
  </si>
  <si>
    <t>RECIBO No. 412 Comissão/vendas 0048-1</t>
  </si>
  <si>
    <t>RECIBO No. 413 Comissão/vendas 0087-1</t>
  </si>
  <si>
    <t>RECIBO No. 414 Comissão/vendas 0113-0</t>
  </si>
  <si>
    <t>RECIBO No. 415 Comissão/vendas 0026-0</t>
  </si>
  <si>
    <t>RECIBO No. 416 Comissão/vendas 0144-1</t>
  </si>
  <si>
    <t>RECIBO No. 417 Comissão/vendas 0115-2</t>
  </si>
  <si>
    <t>RECIBO No. 418 Comissão/vendas 0019-1</t>
  </si>
  <si>
    <t>RECIBO No. 419 Comissão/vendas 0028-1</t>
  </si>
  <si>
    <t>RECIBO No. 420 Comissão/vendas 0030-1</t>
  </si>
  <si>
    <t>TARIFA MANUTENCAO TIT.VENCIDO</t>
  </si>
  <si>
    <t>PAGAMENTO MERCADO LIVRE REJEITADO  HOUVE ESTORNO</t>
  </si>
  <si>
    <t>DC</t>
  </si>
  <si>
    <t>Debitos e Creditos Indevidos</t>
  </si>
  <si>
    <t>RECIBO No. 104 Comissão/vendas 0077-0</t>
  </si>
  <si>
    <t>RECIBO No. 469 Comissão/vendas 0015-1</t>
  </si>
  <si>
    <t>RECIBO No. 470 Comissão/vendas 0160-1</t>
  </si>
  <si>
    <t>COB COMPE</t>
  </si>
  <si>
    <t>RECIBO No. 3211 Comissão/vendas 0014-1</t>
  </si>
  <si>
    <t>L3M PAURA ASSESSORIA E CONSULT 52721742000100  pix enviado</t>
  </si>
  <si>
    <t>DAVI SOARES LOPES 00016309052837  pix enviado</t>
  </si>
  <si>
    <t>TARIFA PIX ENVIADO</t>
  </si>
  <si>
    <t>CRED HAB DESBLOQUEADO - LANÇAMENTO MASC</t>
  </si>
  <si>
    <t>Financiamento - Agente BC 104  Contrato:8.7877.2286995-2 Crédito em conta corrente</t>
  </si>
  <si>
    <t>ESP.01 000113 - IT  Ahards Sistemas S/A</t>
  </si>
  <si>
    <t>ESP.01 000768 - IT  57.018.270 GILBERTO BATALHA DE OLIVEIRA</t>
  </si>
  <si>
    <t>ESP.01 000769 - IT  ATLANTA MATERIAIS PARA CONSTRUCAO LTDA</t>
  </si>
  <si>
    <t>ESP.01 000770 - IT  STECK INDUSTRIA ELETRICA LTDA</t>
  </si>
  <si>
    <t>ESP.01 000771 - IT  MADU COMERCIO DE TINTAS LTDA</t>
  </si>
  <si>
    <t>ESP.01 000772 - IT  GRANMAD COMERCIO DE MARMORES, GRANITOS E</t>
  </si>
  <si>
    <t>ESP.01 000151 - IT  MARCOS R. ALUVEI SERVICOS ADMINISTRATIVO</t>
  </si>
  <si>
    <t>ESP.01 000152 - IT  PANIFICADORA NOVA OLIMPICA LTDA</t>
  </si>
  <si>
    <t>ESP.01 000097 - IT  Olga Maria Leal de Carvalho Guerreiro Br</t>
  </si>
  <si>
    <t>ESP.01 000098 - IT  Niraldo Giannini Braga</t>
  </si>
  <si>
    <t>ESP.01 000435 - IT  PANIFICADORA NOVA OLIMPICA LTDA</t>
  </si>
  <si>
    <t>ESP.01 000434 - IT  CARLO FALLETTI DE KAISER - TRANSPORTES</t>
  </si>
  <si>
    <t>ESP.01 001254 - IT  66.728.369 DANIEL RIOS DOS SANTOS</t>
  </si>
  <si>
    <t>ESP.01 001255 - IT  ARTURACO METALURGICA EIRELI</t>
  </si>
  <si>
    <t>ESP.01 001256 - IT  CP MADE COMERCIO DE MADEIRAS LTDA</t>
  </si>
  <si>
    <t>ESP.01 001257 - IT  BARBI DO BRASIL LTDA</t>
  </si>
  <si>
    <t>ESP.01 001258 - IT  ALFA AREIA E PEDRA LTDA</t>
  </si>
  <si>
    <t>ESP.01 001161 - IT  EPT ENGENHARIA E PESQUISAS TECNOLOGICAS</t>
  </si>
  <si>
    <t>ESP.01 001162 - IT  FL INSTALACOES HIDRAULICA E ELETRICA LTD</t>
  </si>
  <si>
    <t>ESP.01 001163 - IT  BRUNO GOMES DA SILVA 23218962803</t>
  </si>
  <si>
    <t>ESP.01 001164 - IT  64.420.718 JOAO HUMBERTO MARCHI</t>
  </si>
  <si>
    <t>ESP.01 001165 - IT  MERC - COMERCIO DE MATERIAIS PARA CONSTR</t>
  </si>
  <si>
    <t>ESP.01 001166 - IT  B&amp;E COMERCIAL IMPORTADORA DE PECAS LTDA</t>
  </si>
  <si>
    <t>ESP.01 001167 - IT  ANDRA S A ELECTRIC SOLUTIONS</t>
  </si>
  <si>
    <t>ESP.01 001168 - IT  IDEALIZA LOCACAO E SERVICOS LTDA</t>
  </si>
  <si>
    <t>ESP.01 001169 - IT  LEONARDO DE PAULA SANTOS 32445757819</t>
  </si>
  <si>
    <t>ESP.01 001170 - IT  GRU ESQUADRIAS E ACESSORIOS PARA SERRALH</t>
  </si>
  <si>
    <t>ESP.01 001171 - IT  18 REGISTRO DE IMOVEIS</t>
  </si>
  <si>
    <t>ESP.01 001172 - IT  18 REGISTRO DE IMOVEIS</t>
  </si>
  <si>
    <t>ESP.01 001025 - IT  SVS ENGENHARIA DE PROJETOS</t>
  </si>
  <si>
    <t>ESP.01 001026 - IT  ALFA AREIA E PEDRA LTDA</t>
  </si>
  <si>
    <t>ESP.01 001027 - IT  TIGRE MATERIAIS E SOLUCOES PARA CONSTRUC</t>
  </si>
  <si>
    <t>ESP.01 001028 - IT  UDIACO COMERCIO E INDUSTRIA DE FERRO E A</t>
  </si>
  <si>
    <t>ESP.01 000170 - IT  Serasa S.A</t>
  </si>
  <si>
    <t>ESP.01 001643 - IT  44.314.321 ALLYSSON DOS SANTOS FABLICIO</t>
  </si>
  <si>
    <t>ESP.01 001644 - IT  MARCOS R. ALUVEI SERVICOS ADMINISTRATIVO</t>
  </si>
  <si>
    <t>ESP.01 001645 - IT  65.484.897 Joao Antonio Cardoso Rocha</t>
  </si>
  <si>
    <t>ESP.01 001646 - IT  ELETROPAULO METROPOLITANA ELETRICIDADE D</t>
  </si>
  <si>
    <t>ESP.01 001647 - IT  ELETROPAULO METROPOLITANA ELETRICIDADE D</t>
  </si>
  <si>
    <t>ESP.01 001648 - IT  ELETROPAULO METROPOLITANA ELETRICIDADE D</t>
  </si>
  <si>
    <t>ESP.01 001649 - IT  ELETROPAULO METROPOLITANA ELETRICIDADE D</t>
  </si>
  <si>
    <t>ESP.01 001650 - IT  ELETROPAULO METROPOLITANA ELETRICIDADE D</t>
  </si>
  <si>
    <t>ESP.01 001651 - IT  ELETROPAULO METROPOLITANA ELETRICIDADE D</t>
  </si>
  <si>
    <t>ESP.01 001652 - IT  ELETROPAULO METROPOLITANA ELETRICIDADE D</t>
  </si>
  <si>
    <t>ESP.01 001262 - IT  Gfm Fundo de Investimento em Direitos</t>
  </si>
  <si>
    <t>ESP.01 001653 - IT  CIA DE SANEAMENTO BASICO DO ESTADO DE SA</t>
  </si>
  <si>
    <t>ESP.01 001654 - IT  Serasa</t>
  </si>
  <si>
    <t>ESP.01 001655 - IT  ORULO SISTEMAS DE INFORMACAO LTDA.</t>
  </si>
  <si>
    <t>ESP.01 001656 - IT  CLARO S.A.</t>
  </si>
  <si>
    <t>DSP.01 000048 - DC BC 341; 06340-0;  PREF MUN LIMEIRA</t>
  </si>
  <si>
    <t>RECIBO No. 275 Comissão/vendas 0152-0</t>
  </si>
  <si>
    <t>ESP.01 001173 - IT  CIA DE SANEAMENTO BASICO DO ESTADO DE SA</t>
  </si>
  <si>
    <t>ESP.01 001174 - IT  Vivo - Telefonica Brasil S.a.</t>
  </si>
  <si>
    <t>ESP.01 001670 - IT  ALLIANZ SEGUROS S/A</t>
  </si>
  <si>
    <t>ESP.01 001671 - IT  OPEA SECURITIZADORA S.A.</t>
  </si>
  <si>
    <t>ESP.01 001673 - IT  PREFEIT MUNIC LIMEIRA</t>
  </si>
  <si>
    <t>ESP.01 001692 - IT  PREFEIT MUNIC LIMEIRA</t>
  </si>
  <si>
    <t>XSP.01 000024 - SC  PREFEIT MUNIC LIMEIRA</t>
  </si>
  <si>
    <t>ESP.01 001224 - IT  Prefeitura do Municipio de Sao Paulo</t>
  </si>
  <si>
    <t>RECIBO No. 421 Comissão/vendas 0004-1</t>
  </si>
  <si>
    <t>RECIBO No. 422 Comissão/vendas 0116-1</t>
  </si>
  <si>
    <t>RECIBO No. 423 Comissão/vendas 0096-0</t>
  </si>
  <si>
    <t>RECIBO No. 424 Comissão/vendas 0132-0</t>
  </si>
  <si>
    <t>RECIBO No. 425 Comissão/vendas 0005-1</t>
  </si>
  <si>
    <t>RECIBO No. 102 Comissão/vendas 0076-0</t>
  </si>
  <si>
    <t>RECIBO No. 455 Comissão/vendas 0159-1</t>
  </si>
  <si>
    <t>RECIBO No. 106 Comissão/vendas 0079-0</t>
  </si>
  <si>
    <t>TARIFA TCCAV</t>
  </si>
  <si>
    <t>ESP.01 000176 - IT  ARQUIVEI SERVICOS ON LINE LTDA</t>
  </si>
  <si>
    <t>TAR/CUSTAS COBRANCA</t>
  </si>
  <si>
    <t>PREF MUN LIMEIRA-TRIBUTOS - IPTU  EXCLUIR</t>
  </si>
  <si>
    <t>Financiamento - Agente BC 104  Contrato:8.7877.2286995-2 Tarifa Acompanhamento da Operação</t>
  </si>
  <si>
    <t>ESP.01 000032 - IT  Marcos Rogério da Silva</t>
  </si>
  <si>
    <t>ESP.01 000500 - IT  SINDICATO DOS TRABALHADORES NAS INDUSTRI</t>
  </si>
  <si>
    <t>ESP.01 000153 - IT  Consórcio Shopping Taboao</t>
  </si>
  <si>
    <t>ESP.01 000154 - IT  Walter de Barros Abrahao</t>
  </si>
  <si>
    <t>ESP.01 000776 - IT  EDMILSON SEVERINO PEREIRA</t>
  </si>
  <si>
    <t>ESP.01 000777 - IT  Gls Serviços de Segurança Ltda</t>
  </si>
  <si>
    <t>ESP.01 000778 - IT  IDEALIZA LOCACAO E SERVICOS LTDA</t>
  </si>
  <si>
    <t>ESP.01 000052 - IT  Paulo de Tarso Almeida Araújo</t>
  </si>
  <si>
    <t>ESP.01 000121 - IT  Valeria Julia Castellano</t>
  </si>
  <si>
    <t>ESP.01 000520 - IT  Eric Jhonatan de Oliveira Santos</t>
  </si>
  <si>
    <t>ESP.01 000521 - IT  Eric Jhonatan de Oliveira Santos</t>
  </si>
  <si>
    <t>ESP.01 000290 - IT  Carlos Henrique Correa Filho</t>
  </si>
  <si>
    <t>34142</t>
  </si>
  <si>
    <t>ESP.01 000099 - IT  Prefeitura do Municipio de Sao Paulo</t>
  </si>
  <si>
    <t>ESP.01 000436 - IT  BAPEMA ADMINISTRACAO E PARTICIPACAO LTDA</t>
  </si>
  <si>
    <t>ESP.01 000437 - IT  Jorge Marques Rabaça</t>
  </si>
  <si>
    <t>ESP.01 000438 - IT  Norberto Marques Rabaça</t>
  </si>
  <si>
    <t>ESP.01 000439 - IT  Ana Maria Pessoa de Oliveira</t>
  </si>
  <si>
    <t>ESP.01 000440 - IT  VETIVERT ADMINISTRACAO E PARTICIPACAO LT</t>
  </si>
  <si>
    <t>ESP.01 000441 - IT  CIA DE SANEAMENTO BASICO DO ESTADO DE SA</t>
  </si>
  <si>
    <t>ESP.01 000442 - IT  Gustavo Angelico Lopes</t>
  </si>
  <si>
    <t>ESP.01 000443 - IT  Mariana Rocha Troiano Pera</t>
  </si>
  <si>
    <t>ESP.01 000444 - IT  CIA DE SANEAMENTO BASICO DO ESTADO DE SA</t>
  </si>
  <si>
    <t>ESP.01 000445 - IT  CIA DE SANEAMENTO BASICO DO ESTADO DE SA</t>
  </si>
  <si>
    <t>ESP.01 000446 - IT  CIA DE SANEAMENTO BASICO DO ESTADO DE SA</t>
  </si>
  <si>
    <t>ESP.01 001263 - IT  Serasa</t>
  </si>
  <si>
    <t>ESP.01 001264 - IT  TIM S A</t>
  </si>
  <si>
    <t>ESP.01 001265 - IT  ALFA AREIA E PEDRA LTDA</t>
  </si>
  <si>
    <t>ESP.01 001266 - IT  L. DOS SANTOS SILVA TRANSPORTADORA LTDA</t>
  </si>
  <si>
    <t>ESP.01 001657 - IT  Felipe Hipolito Eiras</t>
  </si>
  <si>
    <t>ESP.01 001658 - IT  Silverio Hipolito Eiras</t>
  </si>
  <si>
    <t>ESP.01 001659 - IT  Carlos Eduardo Lino Martins</t>
  </si>
  <si>
    <t>ESP.01 001660 - IT  ASSOCIACAO UM LITRO DE LUZ BRASIL</t>
  </si>
  <si>
    <t>ESP.01 001661 - IT  19 TABELIAO DE NOTAS DA CAPITAL</t>
  </si>
  <si>
    <t>ESP.01 001662 - IT  Vivo - Telefonica Brasil S.a.</t>
  </si>
  <si>
    <t>DSP.01 000049 - DC BC 341; 06340-0;  PREF DO MUN S.PAULO</t>
  </si>
  <si>
    <t>ESP.01 000171 - IT  Vivo - Telefonica Brasil S.a.</t>
  </si>
  <si>
    <t>ESP.01 000335 - IT  ELYON SOLUCOES GRAFICAS LTDA</t>
  </si>
  <si>
    <t>ESP.01 000336 - IT  UNIAR COMERCIO DE ELETRO-ELETRONICOS E S</t>
  </si>
  <si>
    <t>ESP.01 000337 - IT  ZAP+ SUAHOUSE TECNOLOGIA E GESTAO IMOBIL</t>
  </si>
  <si>
    <t>ESP.01 001175 - IT  ELETRICA ORION COMERCIAL E LOCADORA LTDA</t>
  </si>
  <si>
    <t>ESP.01 001176 - IT  TAKARA &amp; FILHO LTDA</t>
  </si>
  <si>
    <t>ESP.01 001177 - IT  ESPACIAL SUPRIMENTOS DE ESCRITORIO E INF</t>
  </si>
  <si>
    <t>ESP.01 001178 - IT  GDMIX COMERCIO DE MATERIAIS PARA CONSTRU</t>
  </si>
  <si>
    <t>ESP.01 001029 - IT  LOKER LOCACAO DE EQUIPAMENTOS PARA CONST</t>
  </si>
  <si>
    <t>ESP.01 001030 - IT  LEONARDO DE PAULA SANTOS 32445757819</t>
  </si>
  <si>
    <t>ESP.01 001031 - IT  RGF COMPANY TECNOLOGIA DO BRASIL LTDA</t>
  </si>
  <si>
    <t>ESP.01 001032 - IT  JERUEL PLASTICOS INDUSTRIA E COMERCIO LT</t>
  </si>
  <si>
    <t>ESP.01 001033 - IT  COMERCIAL WADY LTDA</t>
  </si>
  <si>
    <t>ESP.01 001034 - IT  PTA LOCACOES DE IMPRESSORAS E MULTIFUNCI</t>
  </si>
  <si>
    <t>ESP.01 001035 - IT  ROUTE 116 COMERCIO E LOCACAO DE EQUIPAME</t>
  </si>
  <si>
    <t>ESP.01 000291 - IT  Rosario Rodriguez Aragão</t>
  </si>
  <si>
    <t>ESP.01 001663 - IT  YLM SEGUROS S.A.</t>
  </si>
  <si>
    <t>ESP.01 001047 - IT  6 OFICIAL DE REGISTRO DE IMOVEIS DA COMA</t>
  </si>
  <si>
    <t>ESP.01 001048 - IT  6 OFICIAL DE REGISTRO DE IMOVEIS DA COMA</t>
  </si>
  <si>
    <t>ESP.01 001049 - IT  6 OFICIAL DE REGISTRO DE IMOVEIS DA COMA</t>
  </si>
  <si>
    <t>ESP.01 001050 - IT  6 OFICIAL DE REGISTRO DE IMOVEIS DA COMA</t>
  </si>
  <si>
    <t>ESP.01 000162 - IT  FACEBOOK SERVICOS ONLINE DO BRASIL LTDA.</t>
  </si>
  <si>
    <t>DEB FIADOR</t>
  </si>
  <si>
    <t>ESP.01 000463 - IT  XS4 CAPITALIZACAO S.A.</t>
  </si>
  <si>
    <t>ESP.01 000464 - IT  XS4 CAPITALIZACAO S.A.</t>
  </si>
  <si>
    <t>ESP.01 000465 - IT  XS4 CAPITALIZACAO S.A.</t>
  </si>
  <si>
    <t>ESP.01 000466 - IT  XS4 CAPITALIZACAO S.A.</t>
  </si>
  <si>
    <t>ESP.01 000467 - IT  XS4 CAPITALIZACAO S.A.</t>
  </si>
  <si>
    <t>ESP.01 000468 - IT  XS4 CAPITALIZACAO S.A.</t>
  </si>
  <si>
    <t>ESP.01 000469 - IT  XS4 CAPITALIZACAO S.A.</t>
  </si>
  <si>
    <t>ESP.01 000470 - IT  XS4 CAPITALIZACAO S.A.</t>
  </si>
  <si>
    <t>ESP.01 000471 - IT  XS4 CAPITALIZACAO S.A.</t>
  </si>
  <si>
    <t>ESP.01 000472 - IT  XS4 CAPITALIZACAO S.A.</t>
  </si>
  <si>
    <t>ESP.01 000473 - IT  XS4 CAPITALIZACAO S.A.</t>
  </si>
  <si>
    <t>ESP.01 000474 - IT  XS4 CAPITALIZACAO S.A.</t>
  </si>
  <si>
    <t>ESP.01 000475 - IT  XS4 CAPITALIZACAO S.A.</t>
  </si>
  <si>
    <t>ESP.01 000476 - IT  XS4 CAPITALIZACAO S.A.</t>
  </si>
  <si>
    <t>ESP.01 000477 - IT  XS4 CAPITALIZACAO S.A.</t>
  </si>
  <si>
    <t>ESP.01 000478 - IT  XS4 CAPITALIZACAO S.A.</t>
  </si>
  <si>
    <t>DEVOLUÇÃO TED ENTRE EMPRESAS</t>
  </si>
  <si>
    <t>Financiamento - Agente BC 104  Contrato:8.7877.2540078-5 Outros custos</t>
  </si>
  <si>
    <t>Financiamento - Agente BC 104  Contrato:8.7877.2286995-2 Outros custos</t>
  </si>
  <si>
    <t>MOV ENTRE EMPRESAS - ENVIADO 063400</t>
  </si>
  <si>
    <t>RECIBO No. 989 Comissão/vendas 0181-1</t>
  </si>
  <si>
    <t>RECIBO No. 276 Comissão/vendas 0153-0</t>
  </si>
  <si>
    <t>ESP.01 000292 - IT  Caixa Economica Federal</t>
  </si>
  <si>
    <t>ESP.01 001036 - IT  MERC - COMERCIO DE MATERIAIS PARA CONSTR</t>
  </si>
  <si>
    <t>ESP.01 001037 - IT  ROUTE 116 COMERCIO E LOCACAO DE EQUIPAME</t>
  </si>
  <si>
    <t>ESP.01 001038 - IT  REFERENCIA RENTAL SAO PAULO COMERCIO E L</t>
  </si>
  <si>
    <t>ESP.01 001039 - IT  ELETROPAULO METROPOLITANA ELETRICIDADE D</t>
  </si>
  <si>
    <t>ESP.01 001040 - IT  JC FERRAZ EMP E ASSES IMOB S/S LTDA</t>
  </si>
  <si>
    <t>ESP.01 001041 - IT  FOCUS COMMODITIES COMERCIO EXTERIOR LTDA</t>
  </si>
  <si>
    <t>ESP.01 001042 - IT  MERC - COMERCIO DE MATERIAIS PARA CONSTR</t>
  </si>
  <si>
    <t>ESP.01 001043 - IT  SANTIL COMERCIAL ELETRICA LTDA</t>
  </si>
  <si>
    <t>ESP.01 001044 - IT  UNIMIX COMERCIO DE FERRAMENTAS LTDA</t>
  </si>
  <si>
    <t>ESP.01 001045 - IT  MERC - COMERCIO DE MATERIAIS PARA CONSTR</t>
  </si>
  <si>
    <t>ESP.01 001179 - IT  YDEAL CAFE SERVICOS DE ENTREGA DE CESTAS</t>
  </si>
  <si>
    <t>ESP.01 001180 - IT  IDEALIZA LOCACAO E SERVICOS LTDA</t>
  </si>
  <si>
    <t>ESP.01 001181 - IT  R DOS SANTOS SPEED KITS HIDRAULICA E ELE</t>
  </si>
  <si>
    <t>ESP.01 001182 - IT  MERC - COMERCIO DE MATERIAIS PARA CONSTR</t>
  </si>
  <si>
    <t>ESP.01 001183 - IT  EDMILSON SEVERINO PEREIRA</t>
  </si>
  <si>
    <t>ESP.01 000338 - IT  ELETROPAULO METROPOLITANA ELETRICIDADE D</t>
  </si>
  <si>
    <t>ESP.01 000339 - IT  Prefeitura do Municipio de Sao Paulo</t>
  </si>
  <si>
    <t>ESP.01 000340 - IT  JC FERRAZ EMP E ASSES IMOB S/S LTDA</t>
  </si>
  <si>
    <t>ESP.01 001664 - IT  C. R. WZOREK - COMERCIO VAREJISTA DE ART</t>
  </si>
  <si>
    <t>ESP.01 001665 - IT  TROX DO BRASIL DIFUSAO DE AR ACUST FILTR</t>
  </si>
  <si>
    <t>ESP.01 001666 - IT  DOCUSIGN BRASIL SOLUCOES EM TECNOLOGIA L</t>
  </si>
  <si>
    <t>ESP.01 001667 - IT  DOCUSIGN BRASIL SOLUCOES EM TECNOLOGIA L</t>
  </si>
  <si>
    <t>ESP.01 001668 - IT  MERCADO PAGO INSTITUICAO DE PAGAMENTO LT</t>
  </si>
  <si>
    <t>ESP.01 001669 - IT  MERCADO PAGO INSTITUICAO DE PAGAMENTO LT</t>
  </si>
  <si>
    <t>ESP.01 001046 - IT  CLARO NXT TELECOMUNICACOES S/A</t>
  </si>
  <si>
    <t>ESP.01 000779 - IT  57.018.270 GILBERTO BATALHA DE OLIVEIRA</t>
  </si>
  <si>
    <t>ESP.01 000780 - IT  YDEAL CAFE SERVICOS DE ENTREGA DE CESTAS</t>
  </si>
  <si>
    <t>ESP.01 000781 - IT  IDEALIZA LOCACAO E SERVICOS LTDA</t>
  </si>
  <si>
    <t>ESP.01 000782 - IT  SOROCABA COMERCIO DE VIDROS LTDA</t>
  </si>
  <si>
    <t>ESP.01 000783 - IT  OZ DISTRIBUIDORA DE MATERIAIS PARA CONST</t>
  </si>
  <si>
    <t>ESP.01 000784 - IT  ELEVADORES OTIS LTDA</t>
  </si>
  <si>
    <t>ESP.01 000785 - IT  IBRAC INDUSTRIA BRASILEIRA DE CONDUTORES</t>
  </si>
  <si>
    <t>ESP.01 000100 - IT  GAAZ ARQUITETOS ASSOCIADOS S/S LTDA</t>
  </si>
  <si>
    <t>ESP.01 000447 - IT  PLAY 10 COMUNICACAO VISUAL LTDA</t>
  </si>
  <si>
    <t>ESP.01 000448 - IT  Prefeitura do Municipio de Sao Paulo</t>
  </si>
  <si>
    <t>ESP.01 000449 - IT  Prefeitura do Municipio de Sao Paulo</t>
  </si>
  <si>
    <t>ESP.01 001267 - IT  SOROCABA DISTRIBUIDORA DE ALUMINIO E ACE</t>
  </si>
  <si>
    <t>ESP.01 001268 - IT  MERCADO PAGO INSTITUICAO DE PAGAMENTO LT</t>
  </si>
  <si>
    <t>ESP.01 001269 - IT  ROUTE 116 COMERCIO E LOCACAO DE EQUIPAME</t>
  </si>
  <si>
    <t>ESP.01 001270 - IT  ASTRA LOCADORA LTDA</t>
  </si>
  <si>
    <t>ESP.01 001271 - IT  ARTURACO METALURGICA EIRELI</t>
  </si>
  <si>
    <t>ESP.01 001272 - IT  YDEAL CAFE SERVICOS DE ENTREGA DE CESTAS</t>
  </si>
  <si>
    <t>ESP.01 001273 - IT  BARBI DO BRASIL LTDA</t>
  </si>
  <si>
    <t>ESP.01 001274 - IT  ALFA AREIA E PEDRA LTDA</t>
  </si>
  <si>
    <t>ESP.01 001275 - IT  IBRAC INDUSTRIA BRASILEIRA DE CONDUTORES</t>
  </si>
  <si>
    <t>ESP.01 000155 - IT  TINTAS FAMOSAS COMERCIAL DE TINTAS LTDA</t>
  </si>
  <si>
    <t>ESP.01 000524 - IT  Arp Eletrica e Hidraulica Ltda</t>
  </si>
  <si>
    <t>ESP.01 000525 - IT  JOEL INACIO RODRIGUES</t>
  </si>
  <si>
    <t>ESP.01 001065 - IT  TUPI-ANDAIMES ESCORAMENTOS E FORMAS LTDA</t>
  </si>
  <si>
    <t>RECIBO No. 426 Comissão/vendas 0131-0</t>
  </si>
  <si>
    <t>RECIBO No. 427 Comissão/vendas 0006-0</t>
  </si>
  <si>
    <t>RECIBO No. 428 Comissão/vendas 0039-0</t>
  </si>
  <si>
    <t>RECIBO No. 429 Comissão/vendas 0151-1</t>
  </si>
  <si>
    <t>RECIBO No. 991 Comissão/vendas 0097-2</t>
  </si>
  <si>
    <t>PIX Marketplace</t>
  </si>
  <si>
    <t>ESP.01 001051 - IT  CORTESIA SERVICOS DE CONCRETAGEM LTDA.</t>
  </si>
  <si>
    <t>ESP.01 001052 - IT  MC TRANSPORTE E LOCACAO EIRELI</t>
  </si>
  <si>
    <t>ESP.01 001184 - IT  ELETROFERRO INDUSTRIA E COMERCIO LTDA</t>
  </si>
  <si>
    <t>ESP.01 001185 - IT  SERAL OTIS INDUSTRIA METALURGICA LTDA</t>
  </si>
  <si>
    <t>ESP.01 000040 - IT  Caixa Economica Federal</t>
  </si>
  <si>
    <t>ESP.01 000786 - IT  EMOFER FERRO E ACO LTDA</t>
  </si>
  <si>
    <t>ESP.01 001276 - IT  LEF PISOS E REVESTIMENTOS S.A.</t>
  </si>
  <si>
    <t>ESP.01 001277 - IT  JJ AMARAL CONSTRUCOES LTDA</t>
  </si>
  <si>
    <t>ESP.01 001278 - IT  TT PREMOLDADOS LTDA.</t>
  </si>
  <si>
    <t>ESP.01 000522 - IT  Jose Carlos de Oliveira Jorge</t>
  </si>
  <si>
    <t>RECIBO No. 408 Comissão/vendas 0169-0</t>
  </si>
  <si>
    <t>ESP.01 000145 - IT  Francisco Jose da Costa</t>
  </si>
  <si>
    <t>ESP.01 000126 - IT  Ministério da Fazenda</t>
  </si>
  <si>
    <t>ESP.01 000127 - IT  ALBERTO OLIVEIRA DA SILVA</t>
  </si>
  <si>
    <t>ESP.01 000128 - IT  Ministério da Fazenda</t>
  </si>
  <si>
    <t>RECIBO No. 430 Comissão/vendas 0067-1</t>
  </si>
  <si>
    <t>ESP.01 000479 - IT  XS4 CAPITALIZACAO S.A.</t>
  </si>
  <si>
    <t>ESP.01 000480 - IT  XS4 CAPITALIZACAO S.A.</t>
  </si>
  <si>
    <t>ESP.01 000481 - IT  XS4 CAPITALIZACAO S.A.</t>
  </si>
  <si>
    <t>ESP.01 000482 - IT  XS4 CAPITALIZACAO S.A.</t>
  </si>
  <si>
    <t>ESP.01 000483 - IT  XS4 CAPITALIZACAO S.A.</t>
  </si>
  <si>
    <t>ESP.01 000484 - IT  XS4 CAPITALIZACAO S.A.</t>
  </si>
  <si>
    <t>ESP.01 000485 - IT  XS4 CAPITALIZACAO S.A.</t>
  </si>
  <si>
    <t>ESP.01 000486 - IT  XS4 CAPITALIZACAO S.A.</t>
  </si>
  <si>
    <t>ESP.01 000487 - IT  XS4 CAPITALIZACAO S.A.</t>
  </si>
  <si>
    <t>TARIFA TED</t>
  </si>
  <si>
    <t>RECIBO No. 459 Comissão/vendas 0035-1</t>
  </si>
  <si>
    <t>TARIFA RENOVACAO CADASTRO</t>
  </si>
  <si>
    <t>Financiamento - Agente BC 104  Contrato:8.7877.2706708-0 Crédito em conta corrente</t>
  </si>
  <si>
    <t>ESP.01 000787 - IT  BUTIA CONSTRUTORA LTDA</t>
  </si>
  <si>
    <t>ESP.01 000788 - IT  CAMPOLARGO ENGENHARIA LTDA</t>
  </si>
  <si>
    <t>ESP.01 000789 - IT  LUGANO EMPREITEIRA LTDA</t>
  </si>
  <si>
    <t>ESP.01 001279 - IT  BUTIA CONSTRUTORA LTDA</t>
  </si>
  <si>
    <t>ESP.01 001280 - IT  LUGANO EMPREITEIRA LTDA</t>
  </si>
  <si>
    <t>ESP.01 000450 - IT  LUGANO EMPREITEIRA LTDA</t>
  </si>
  <si>
    <t>ESP.01 001281 - IT  CAMPOLARGO ENGENHARIA LTDA</t>
  </si>
  <si>
    <t>ESP.01 001053 - IT  LUGANO EMPREITEIRA LTDA</t>
  </si>
  <si>
    <t>ESP.01 001186 - IT  CAMPOLARGO ENGENHARIA LTDA</t>
  </si>
  <si>
    <t>ESP.01 001674 - IT  Caixa Economica Federal</t>
  </si>
  <si>
    <t>RECIBO No. 409 Comissão/vendas 0170-0</t>
  </si>
  <si>
    <t>ESP.01 001054 - IT  SETTORE SERVICOS DE CONTABILIDADE LTDA</t>
  </si>
  <si>
    <t>ESP.01 000451 - IT  18 REGISTRO DE IMOVEIS</t>
  </si>
  <si>
    <t>ESP.01 001675 - IT  Totalcad Comercio e Servicos em Informat</t>
  </si>
  <si>
    <t>ESP.01 001676 - IT  OBVIO BRASIL SOFTWARE E SERVICOS S.A.</t>
  </si>
  <si>
    <t>ESP.01 001677 - IT  ESQUADGROUP SOLUCOES E TECNOLOGIA LTDA.</t>
  </si>
  <si>
    <t>ESP.01 001678 - IT  SEM PARAR INSTITUICAO DE PAGAMENTO LTDA</t>
  </si>
  <si>
    <t>ESP.01 001679 - IT  Metropolis Brokers Negocios Imobiliarios</t>
  </si>
  <si>
    <t>ESP.01 001680 - IT  ALERTA SEGURANCA ELETRONICA E RASTREAMEN</t>
  </si>
  <si>
    <t>ESP.01 001681 - IT  Sky One</t>
  </si>
  <si>
    <t>ESP.01 001682 - IT  ELEKTRO REDES S/A</t>
  </si>
  <si>
    <t>ESP.01 001683 - IT  Selbetti Tecnologia S.a.</t>
  </si>
  <si>
    <t>ESP.01 001684 - IT  Sky One</t>
  </si>
  <si>
    <t>ESP.01 001685 - IT  Z2 Tecnologia e Soluçoes Ltda</t>
  </si>
  <si>
    <t>ESP.01 001686 - IT  Z2 Tecnologia e Soluçoes Ltda</t>
  </si>
  <si>
    <t>ESP.01 001687 - IT  Davi Rodriguez Aragao</t>
  </si>
  <si>
    <t>ESP.01 001688 - IT  SOROCABA COMERCIO DE VIDROS LTDA</t>
  </si>
  <si>
    <t>ESP.01 001689 - IT  João Carlos Belforti</t>
  </si>
  <si>
    <t>ESP.01 001690 - IT  SSA SERVICOS ADMINISTRATIVOS LTDA</t>
  </si>
  <si>
    <t>ESP.01 001691 - IT  Direcional Comercio de Maquinas e Ferram</t>
  </si>
  <si>
    <t>ESP.01 000081 - IT  Luiz Carlos Ferreira</t>
  </si>
  <si>
    <t>ENC.01</t>
  </si>
  <si>
    <t>ESP.01 000082 - IT  Ministério da Fazenda</t>
  </si>
  <si>
    <t>ESP.01 000172 - IT  CLARO NXT TELECOMUNICACOES S/A</t>
  </si>
  <si>
    <t>DSP.01 000007 - DC BC 341; 99853-0;  MINISTERIO DA FAZENDA</t>
  </si>
  <si>
    <t>ESP.01 000293 - IT  SAFRA CREDITO, FINANCIAMENTO E INVESTIME</t>
  </si>
  <si>
    <t>ESP.01 000294 - IT  Grupo Lidera Gestao Empresarial e Consul</t>
  </si>
  <si>
    <t>ESP.01 000295 - IT  Grupo Lidera Gestao Empresarial e Consul</t>
  </si>
  <si>
    <t>ESP.01 000296 - IT  Grupo Lidera Gestao Empresarial e Consul</t>
  </si>
  <si>
    <t>ESP.01 000297 - IT  Ministério da Fazenda</t>
  </si>
  <si>
    <t>ESP.01 000298 - IT  COMPANHIA ITUANA DE SANEAMENTO - CIS</t>
  </si>
  <si>
    <t>ESP.01 000299 - IT  Benedito Antonio da Silva</t>
  </si>
  <si>
    <t>ESP.01 001188 - IT  Arp Eletrica e Hidraulica Ltda</t>
  </si>
  <si>
    <t>ESP.01 001189 - IT  MC TRANSPORTE E LOCACAO EIRELI</t>
  </si>
  <si>
    <t>ESP.01 001190 - IT  URBE LOCACAO INDUSTRIA E COMERCIO DE EQU</t>
  </si>
  <si>
    <t>ESP.01 001191 - IT  MERCES MARIA MIOSSO COMERCIO DE MATERIAI</t>
  </si>
  <si>
    <t>ESP.01 001192 - IT  SOROCABA COMERCIO DE VIDROS LTDA</t>
  </si>
  <si>
    <t>ESP.01 001193 - IT  B&amp;E COMERCIAL IMPORTADORA DE PECAS LTDA</t>
  </si>
  <si>
    <t>ESP.01 001194 - IT  MERC - COMERCIO DE MATERIAIS PARA CONSTR</t>
  </si>
  <si>
    <t>ESP.01 001195 - IT  L. DOS SANTOS SILVA TRANSPORTADORA LTDA</t>
  </si>
  <si>
    <t>ESP.01 001196 - IT  ELETROFERRO INDUSTRIA E COMERCIO LTDA</t>
  </si>
  <si>
    <t>ESP.01 001197 - IT  RALKY FORMAS PARA CONCRETO LTDA</t>
  </si>
  <si>
    <t>ESP.01 001198 - IT  TIGRE MATERIAIS E SOLUCOES PARA CONSTRUC</t>
  </si>
  <si>
    <t>ESP.01 001199 - IT  Gls Serviços de Segurança Ltda</t>
  </si>
  <si>
    <t>ESP.01 001200 - IT  ELETRICA ORION COMERCIAL E LOCADORA LTDA</t>
  </si>
  <si>
    <t>ESP.01 001201 - IT  ITC ELETRODOMESTICOS LTDA</t>
  </si>
  <si>
    <t>ESP.01 001202 - IT  RALKY FORMAS PARA CONCRETO LTDA</t>
  </si>
  <si>
    <t>ESP.01 001203 - IT  VIPLOC - LOCACAO DE MAQUINAS LTDA</t>
  </si>
  <si>
    <t>ESP.01 001204 - IT  Jlv Instalaçoes e Montagens Ltda</t>
  </si>
  <si>
    <t>ESP.01 001205 - IT  C3 EQUIPAMENTOS PARA CONSTRUCAO CIVIL LT</t>
  </si>
  <si>
    <t>ESP.01 001206 - IT  UEHARA COMERCIO DE MATERIAIS ELETRICOS L</t>
  </si>
  <si>
    <t>ESP.01 001207 - IT  TIGRE MATERIAIS E SOLUCOES PARA CONSTRUC</t>
  </si>
  <si>
    <t>ESP.01 001208 - IT  ELETRICA ORION COMERCIAL E LOCADORA LTDA</t>
  </si>
  <si>
    <t>ESP.01 001209 - IT  UNIMIX COMERCIO DE FERRAMENTAS LTDA</t>
  </si>
  <si>
    <t>ESP.01 001210 - IT  SSA SERVICOS ADMINISTRATIVOS LTDA</t>
  </si>
  <si>
    <t>ESP.01 001211 - IT  LLC OPERADOR LOGISTICO LTDA</t>
  </si>
  <si>
    <t>ESP.01 001212 - IT  AEA MARGINAL TIETE DISTRIBUIDORA DE MATE</t>
  </si>
  <si>
    <t>ESP.01 001213 - IT  7 OLIVEIRAS COMERCIO E CONSTRUCOES LTDA</t>
  </si>
  <si>
    <t>ESP.01 001214 - IT  ELETRICA ORION COMERCIAL E LOCADORA LTDA</t>
  </si>
  <si>
    <t>ESP.01 001215 - IT  SANTIL COMERCIAL ELETRICA LTDA</t>
  </si>
  <si>
    <t>ESP.01 001216 - IT  ELETROFERRO INDUSTRIA E COMERCIO LTDA</t>
  </si>
  <si>
    <t>ESP.01 001217 - IT  ELAPOA DISTRIBUIDORA LTDA</t>
  </si>
  <si>
    <t>ESP.01 001218 - IT  7 OLIVEIRAS COMERCIO E CONSTRUCOES LTDA</t>
  </si>
  <si>
    <t>ESP.01 001219 - IT  IDEALIZA LOCACAO E SERVICOS LTDA</t>
  </si>
  <si>
    <t>ESP.01 001220 - IT  IDEALIZA LOCACAO E SERVICOS LTDA</t>
  </si>
  <si>
    <t>ESP.01 001221 - IT  SSA SERVICOS ADMINISTRATIVOS LTDA</t>
  </si>
  <si>
    <t>ESP.01 001222 - IT  TAKARA &amp; FILHO LTDA</t>
  </si>
  <si>
    <t>ESP.01 001223 - IT  IDEALIZA LOCACAO E SERVICOS LTDA</t>
  </si>
  <si>
    <t>ESP.01 000341 - IT  Gls Serviços de Segurança Ltda</t>
  </si>
  <si>
    <t>ESP.01 000342 - IT  TOUK TECNOLOGIA LTDA</t>
  </si>
  <si>
    <t>ESP.01 000343 - IT  MARIA IZABEL DE OLIVEIRA ASSUNCAO</t>
  </si>
  <si>
    <t>ESP.01 001055 - IT  JB2 SOLUCOES EM SERVICOS LTDA</t>
  </si>
  <si>
    <t>ESP.01 001056 - IT  LMA MAX SERVICOS LTDA</t>
  </si>
  <si>
    <t>ESP.01 001057 - IT  CP MADE COMERCIO DE MADEIRAS LTDA</t>
  </si>
  <si>
    <t>ESP.01 001058 - IT  Gls Serviços de Segurança Ltda</t>
  </si>
  <si>
    <t>ESP.01 001059 - IT  Gls Serviços de Segurança Ltda</t>
  </si>
  <si>
    <t>ESP.01 001060 - IT  TOUK TECNOLOGIA LTDA</t>
  </si>
  <si>
    <t>ESP.01 001061 - IT  AFL AREIA E PEDRA LTDA</t>
  </si>
  <si>
    <t>ESP.01 001062 - IT  AFL AREIA E PEDRA LTDA</t>
  </si>
  <si>
    <t>ESP.01 001063 - IT  SSA SERVICOS ADMINISTRATIVOS LTDA</t>
  </si>
  <si>
    <t>ESP.01 001064 - IT  Jlv Instalaçoes e Montagens Ltda</t>
  </si>
  <si>
    <t>IMOLI</t>
  </si>
  <si>
    <t>ESP.01 000142 - IT  Ministério da Fazenda</t>
  </si>
  <si>
    <t>ESP.01 000143 - IT  RMLIFE CONSULTORIA E ASSESSORIA EM SEGUR</t>
  </si>
  <si>
    <t>ESP.01 000144 - IT  QUALILOG SERVICOS AUXILIARES ADMINISTRAT</t>
  </si>
  <si>
    <t>RECIBO No. 277 Comissão/vendas 0154-0</t>
  </si>
  <si>
    <t>ESP.01 001283 - IT  CIVILOC - INDUSTRIA, COMERCIO E LOCACAO</t>
  </si>
  <si>
    <t>ESP.01 001284 - IT  IBRAC INDUSTRIA BRASILEIRA DE CONDUTORES</t>
  </si>
  <si>
    <t>ESP.01 001285 - IT  IBRAC INDUSTRIA BRASILEIRA DE CONDUTORES</t>
  </si>
  <si>
    <t>ESP.01 001286 - IT  Jlv Instalaçoes e Montagens Ltda</t>
  </si>
  <si>
    <t>ESP.01 001287 - IT  CINEXPAN INDUSTRIA E COMERCIO DE ARGILA</t>
  </si>
  <si>
    <t>ESP.01 001288 - IT  Gls Serviços de Segurança Ltda</t>
  </si>
  <si>
    <t>ESP.01 001289 - IT  60.719.971 LEONARDO LACERDA DE MOURA</t>
  </si>
  <si>
    <t>ESP.01 001290 - IT  44.258.862 WILLIAN GEOVANI DA SILVA</t>
  </si>
  <si>
    <t>ESP.01 001291 - IT  BARBI ENGENHARIA LTDA</t>
  </si>
  <si>
    <t>ESP.01 001292 - IT  PIZZIMENTI FERRAGENS E FERRAMENTAS LTDA</t>
  </si>
  <si>
    <t>ESP.01 001293 - IT  ROUTE 116 COMERCIO E LOCACAO DE EQUIPAME</t>
  </si>
  <si>
    <t>ESP.01 001294 - IT  SIKA S A</t>
  </si>
  <si>
    <t>ESP.01 001295 - IT  TIGRE MATERIAIS E SOLUCOES PARA CONSTRUC</t>
  </si>
  <si>
    <t>ESP.01 001296 - IT  64.420.718 JOAO HUMBERTO MARCHI</t>
  </si>
  <si>
    <t>ESP.01 001297 - IT  ALFA AREIA E PEDRA LTDA</t>
  </si>
  <si>
    <t>ESP.01 001298 - IT  BELA TINTAS LTDA</t>
  </si>
  <si>
    <t>ESP.01 001299 - IT  L. DOS SANTOS SILVA TRANSPORTADORA LTDA</t>
  </si>
  <si>
    <t>ESP.01 001300 - IT  ZILENE MONTES DE JESUS LOCACOES</t>
  </si>
  <si>
    <t>ESP.01 001301 - IT  ALFA AREIA E PEDRA LTDA</t>
  </si>
  <si>
    <t>ESP.01 001302 - IT  URBE.ME SERVICOS DESENVOLVIMENTO URBANO</t>
  </si>
  <si>
    <t>ESP.01 001303 - IT  Elisa Aires Simoes</t>
  </si>
  <si>
    <t>ESP.01 001304 - IT  Elisa Aires Simoes</t>
  </si>
  <si>
    <t>ESP.01 001305 - IT  Camila Estevam Saquietti</t>
  </si>
  <si>
    <t>ESP.01 001306 - IT  Maria de Lourdes Barufaldi</t>
  </si>
  <si>
    <t>ESP.01 001695 - IT  AMAZON SERVICOS DE VAREJO DO BRASIL LTDA</t>
  </si>
  <si>
    <t>ESP.01 000453 - IT  Jlv Instalaçoes e Montagens Ltda</t>
  </si>
  <si>
    <t>ESP.01 000454 - IT  SERAL OTIS INDUSTRIA METALURGICA LTDA</t>
  </si>
  <si>
    <t>ESP.01 000455 - IT  LUBAFER COMERCIO DE PERFILADOS METALICOS</t>
  </si>
  <si>
    <t>ESP.01 000456 - IT  OFFICE ENGENHARIA LTDA</t>
  </si>
  <si>
    <t>ESP.01 000457 - IT  SVS ENGENHARIA DE PROJETOS</t>
  </si>
  <si>
    <t>ESP.01 000158 - IT  Gls Serviços de Segurança Ltda</t>
  </si>
  <si>
    <t>ESP.01 000159 - IT  PJUNQUEIRA ARQUITETURA E PAISAGISMO LTDA</t>
  </si>
  <si>
    <t>ESP.01 000795 - IT  FAQ METAL QUADROS ELETRICOS LTDA</t>
  </si>
  <si>
    <t>ESP.01 000796 - IT  Arp Eletrica e Hidraulica Ltda</t>
  </si>
  <si>
    <t>ESP.01 000797 - IT  Gls Serviços de Segurança Ltda</t>
  </si>
  <si>
    <t>ESP.01 000798 - IT  Gls Serviços de Segurança Ltda</t>
  </si>
  <si>
    <t>ESP.01 000800 - IT  VIPLOC - LOCACAO DE MAQUINAS LTDA</t>
  </si>
  <si>
    <t>ESP.01 000801 - IT  66.728.369 DANIEL RIOS DOS SANTOS</t>
  </si>
  <si>
    <t>ESP.01 000802 - IT  PLACING DOOR LTDA</t>
  </si>
  <si>
    <t>ESP.01 000803 - IT  Gls Serviços de Segurança Ltda</t>
  </si>
  <si>
    <t>ESP.01 000804 - IT  Gls Serviços de Segurança Ltda</t>
  </si>
  <si>
    <t>ESP.01 000805 - IT  MADU COMERCIO DE TINTAS LTDA</t>
  </si>
  <si>
    <t>ESP.01 000806 - IT  MADU COMERCIO DE TINTAS LTDA</t>
  </si>
  <si>
    <t>ESP.01 000807 - IT  MADU COMERCIO DE TINTAS LTDA</t>
  </si>
  <si>
    <t>ESP.01 000808 - IT  J M C COMERCIAL ELETRICA LTDA</t>
  </si>
  <si>
    <t>ESP.01 000809 - IT  SOROCABA DISTRIBUIDORA DE ALUMINIO E ACE</t>
  </si>
  <si>
    <t>ESP.01 000810 - IT  IDEALIZA LOCACAO E SERVICOS LTDA</t>
  </si>
  <si>
    <t>ESP.01 000811 - IT  IDEALIZA LOCACAO E SERVICOS LTDA</t>
  </si>
  <si>
    <t>ESP.01 000812 - IT  MADU COMERCIO DE TINTAS LTDA</t>
  </si>
  <si>
    <t>ESP.01 000813 - IT  J M C COMERCIAL ELETRICA LTDA</t>
  </si>
  <si>
    <t>ESP.01 000814 - IT  SANTIL COMERCIAL ELETRICA LTDA</t>
  </si>
  <si>
    <t>RECIBO No. 431 Comissão/vendas 0036-0</t>
  </si>
  <si>
    <t>ESP.01 000129 - IT  Ministério da Fazenda</t>
  </si>
  <si>
    <t>ESP.01 000130 - IT  RMLIFE CONSULTORIA E ASSESSORIA EM SEGUR</t>
  </si>
  <si>
    <t>ESP.01 000131 - IT  QUALILOG SERVICOS AUXILIARES ADMINISTRAT</t>
  </si>
  <si>
    <t>ESP.01 000132 - IT  OTACILIO RODRIGUES FERNANDES NETO</t>
  </si>
  <si>
    <t>ESP.01 000133 - IT  PREFEIT MUNIC LIMEIRA</t>
  </si>
  <si>
    <t>ESP.01 000136 - IT  Ministério da Fazenda</t>
  </si>
  <si>
    <t>ESP.01 000526 - IT  RMLIFE CONSULTORIA E ASSESSORIA EM SEGUR</t>
  </si>
  <si>
    <t>ESP.01 000527 - IT  QUALILOG SERVICOS AUXILIARES ADMINISTRAT</t>
  </si>
  <si>
    <t>ESP.01 000528 - IT  Ministério da Fazenda</t>
  </si>
  <si>
    <t>ESP.01 000529 - IT  PREFEIT MUNIC LIMEIRA</t>
  </si>
  <si>
    <t>ESP.01 000530 - IT  Daniel Batista Gomes</t>
  </si>
  <si>
    <t>PAGAMENTO POR ADIANTAMENTO CREDOR DIVERGENTE  HOUVE DEVOLUÇÃO</t>
  </si>
  <si>
    <t>ESP.01 001234 - IT  BUTIA CONSTRUTORA LTDA</t>
  </si>
  <si>
    <t>ESP.01 001235 - IT  LUGANO EMPREITEIRA LTDA</t>
  </si>
  <si>
    <t>ESP.01 000816 - IT  FL INSTALACOES HIDRAULICA E ELETRICA LTD</t>
  </si>
  <si>
    <t>Encontro de Contas - Envio Destino: ENC</t>
  </si>
  <si>
    <t>ESP.01 000311 - IT  Caixa Economica Federal</t>
  </si>
  <si>
    <t>ESP.01 000143 - IT  PREFEIT MUNIC LIMEIRA</t>
  </si>
  <si>
    <t>RECIBO No. 120 Comissão/vendas 0083-0</t>
  </si>
  <si>
    <t>RECIBO No. 121 Comissão/vendas 0084-0</t>
  </si>
  <si>
    <t>ESP.01 001117 - IT  CAMPOLARGO ENGENHARIA LTDA</t>
  </si>
  <si>
    <t>ESP.01 000610 - IT  SUPERMIX CONCRETO S/A</t>
  </si>
  <si>
    <t>ESP.01 001165 - IT  BUTIA CONSTRUTORA LTDA</t>
  </si>
  <si>
    <t>ESP.01 000563 - IT  FOLHA M.O - ADIANTAMENTO</t>
  </si>
  <si>
    <t>ESP.01 000146 - IT  FOLHA M.O - ADIANTAMENTO</t>
  </si>
  <si>
    <t>ESP.01 000147 - IT  FOLHA M.O - ADIANTAMENTO</t>
  </si>
  <si>
    <t>ESP.01 000152 - IT  FOLHA M.O - ADIANTAMENTO</t>
  </si>
  <si>
    <t>REEMBOLSO NF 11 OSCAR GREGÓRIO</t>
  </si>
  <si>
    <t>ESP.01 000790 - IT  64.860.445 REBECA LUNA LOBO</t>
  </si>
  <si>
    <t>ESP.01 001225 - IT  64.860.445 REBECA LUNA LOBO</t>
  </si>
  <si>
    <t>ESP.01 001282 - IT  64.860.445 REBECA LUNA LOBO</t>
  </si>
  <si>
    <t>DSP.01 000050 - DC BC 341; 06340-0;  CAMPOLARGO</t>
  </si>
  <si>
    <t>DSP.01 000051 - DC BC 341; 06340-0;  CAMPOLARGO</t>
  </si>
  <si>
    <t>RECIBO No. 212 Comissão/vendas 0037-0</t>
  </si>
  <si>
    <t>RECIBO No. 990 Comissão/vendas 0201-2</t>
  </si>
  <si>
    <t>ESP.01 000300 - IT  Vivo - Telefonica Brasil S.a.</t>
  </si>
  <si>
    <t>ESP.01 000033 - IT  DLOCAL BRASIL INSTITUICAO DE PAGAMENTO S</t>
  </si>
  <si>
    <t>ESP.01 001694 - IT  DO IT COMUNICACAO E MARKETING LTDA</t>
  </si>
  <si>
    <t>ESP.01 001226 - IT  MERCADO PAGO INSTITUICAO DE PAGAMENTO LT</t>
  </si>
  <si>
    <t>ESP.01 001227 - IT  44.258.862 WILLIAN GEOVANI DA SILVA</t>
  </si>
  <si>
    <t>ESP.01 001066 - IT  7 OLIVEIRAS COMERCIO E CONSTRUCOES LTDA</t>
  </si>
  <si>
    <t>ESP.01 001067 - IT  LUIS SOLUCOES VIDROS LTDA</t>
  </si>
  <si>
    <t>ESP.01 001068 - IT  MERCADO PAGO INSTITUICAO DE PAGAMENTO LT</t>
  </si>
  <si>
    <t>ESP.01 001307 - IT  CLAUDIO VASCONCELOS</t>
  </si>
  <si>
    <t>ESP.01 001308 - IT  MERCADO PAGO INSTITUICAO DE PAGAMENTO LT</t>
  </si>
  <si>
    <t>ESP.01 001309 - IT  Prefeitura do Municipio de Sao Paulo</t>
  </si>
  <si>
    <t>ESP.01 000791 - IT  MERCADO PAGO INSTITUICAO DE PAGAMENTO LT</t>
  </si>
  <si>
    <t>ESP.01 000792 - IT  MERCADO PAGO INSTITUICAO DE PAGAMENTO LT</t>
  </si>
  <si>
    <t>ESP.01 000793 - IT  MERCADO PAGO INSTITUICAO DE PAGAMENTO LT</t>
  </si>
  <si>
    <t>ESP.01 000794 - IT  MERCADO PAGO INSTITUICAO DE PAGAMENTO LT</t>
  </si>
  <si>
    <t>RECIBO No. 432 Comissão/vendas 0076-1</t>
  </si>
  <si>
    <t>RECIBO No. 433 Comissão/vendas 0076-1</t>
  </si>
  <si>
    <t>RECIBO No. 434 Comissão/vendas 0142-1</t>
  </si>
  <si>
    <t>RECIBO No. 435 Comissão/vendas 0050-1</t>
  </si>
  <si>
    <t>RECIBO No. 436 Comissão/vendas 0157-1</t>
  </si>
  <si>
    <t>RECIBO No. 437 Comissão/vendas 0163-0</t>
  </si>
  <si>
    <t>RECIBO No. 438 Comissão/vendas 0079-2</t>
  </si>
  <si>
    <t>RECIBO No. 439 Comissão/vendas 0138-2</t>
  </si>
  <si>
    <t>RECIBO No. 440 Comissão/vendas 0127-1</t>
  </si>
  <si>
    <t>RECIBO No. 441 Comissão/vendas 0137-1</t>
  </si>
  <si>
    <t>RECIBO No. 442 Comissão/vendas 0054-0</t>
  </si>
  <si>
    <t>RECIBO No. 443 Comissão/vendas 0095-0</t>
  </si>
  <si>
    <t>RECIBO No. 444 Comissão/vendas 0126-1</t>
  </si>
  <si>
    <t>RECIBO No. 445 Comissão/vendas 0029-1</t>
  </si>
  <si>
    <t>RECIBO No. 446 Comissão/vendas 0062-1</t>
  </si>
  <si>
    <t>RECIBO No. 447 Comissão/vendas 0128-2</t>
  </si>
  <si>
    <t>ESP.01 000134 - IT  Ingrid Campos de Arruda Moreira Farrapo</t>
  </si>
  <si>
    <t>ESP.01 000135 - IT  Ingrid Campos de Arruda Moreira Farrapo</t>
  </si>
  <si>
    <t>ESP.01 000531 - IT  Paula D'aloia Gullo</t>
  </si>
  <si>
    <t>ESP.01 000532 - IT  Luis Henrique Penteado Gullo</t>
  </si>
  <si>
    <t>DEVOLUÇÃO DE VALOR INDEVIDO</t>
  </si>
  <si>
    <t>ESP.01 000462 - IT  CAIXA VIDA E PREVIDENCIA S/A</t>
  </si>
  <si>
    <t>RECIBO No. 454 Comissão/vendas 0148-1</t>
  </si>
  <si>
    <t>Financiamento - Agente BC 246  Contrato:15502024 Crédito em conta corrente</t>
  </si>
  <si>
    <t>ESP.01 000535 - IT  Anderson Lima da Silva</t>
  </si>
  <si>
    <t>ESP.01 000536 - IT  Marcos Venicio Pereira da Silva</t>
  </si>
  <si>
    <t>ESP.01 000168 - IT  MAPSOLUTION GEOTECNOLOGIA E MEIO AMBIENT</t>
  </si>
  <si>
    <t>Encontro de Contas - Recebe Origem: JRP</t>
  </si>
  <si>
    <t>XSP.01 000027 - SC  E-SENA BRASIL LTDA</t>
  </si>
  <si>
    <t>CRED EMP</t>
  </si>
  <si>
    <t>RECIBO No. 448 Comissão/vendas 0025-1</t>
  </si>
  <si>
    <t>ESP.01 000533 - IT  Andre Luis Garcia</t>
  </si>
  <si>
    <t>ESP.01 000534 - IT  Eric Jhonatan de Oliveira Santos</t>
  </si>
  <si>
    <t>ESP.01 001696 - IT  SEGDUR SERVICOS DE PORTARIA LTDA</t>
  </si>
  <si>
    <t>ESP.01 001697 - IT  SEGDUR SERVICOS DE PORTARIA LTDA</t>
  </si>
  <si>
    <t>RECIBO No. 1101 Comissão/vendas 0002-3</t>
  </si>
  <si>
    <t>ESP.01 001069 - IT  CLARO NXT TELECOMUNICACOES S/A</t>
  </si>
  <si>
    <t>ESP.01 000344 - IT  GAAZ ARQUITETOS ASSOCIADOS S/S LTDA</t>
  </si>
  <si>
    <t>ESP.01 001310 - IT  MERC - COMERCIO DE MATERIAIS PARA CONSTR</t>
  </si>
  <si>
    <t>ESP.01 001311 - IT  IBRAC INDUSTRIA BRASILEIRA DE CONDUTORES</t>
  </si>
  <si>
    <t>ESP.01 001312 - IT  STO BRASIL REVESTIMENTOS E FACHADAS LTDA</t>
  </si>
  <si>
    <t>ESP.01 001313 - IT  TIGRE MATERIAIS E SOLUCOES PARA CONSTRUC</t>
  </si>
  <si>
    <t>ESP.01 001314 - IT  TIGRE MATERIAIS E SOLUCOES PARA CONSTRUC</t>
  </si>
  <si>
    <t>ESP.01 001228 - IT  MERC - COMERCIO DE MATERIAIS PARA CONSTR</t>
  </si>
  <si>
    <t>ESP.01 001229 - IT  MJA COMERCIO DE GESSO E MATERIAIS PARA C</t>
  </si>
  <si>
    <t>ESP.01 001230 - IT  AVEZZA INDUSTRIA TERMOPLASTICA LTDA</t>
  </si>
  <si>
    <t>ESP.01 000160 - IT  SOUTO LOPES SOLUCOES LTDA</t>
  </si>
  <si>
    <t>ESP.01 000309 - IT  Prefeitura do Municipio de Sao Paulo</t>
  </si>
  <si>
    <t>ESP.01 001315 - IT  KELVIN MARINHO PINHEIRO</t>
  </si>
  <si>
    <t>ESP.01 000815 - IT  64.855.826 JOSE HENRIQUE DE ALMEIDA DA S</t>
  </si>
  <si>
    <t>RECIBO No. 992 Comissão/vendas 0097-2</t>
  </si>
  <si>
    <t>DSP.01 000003 - DC BC 104; 586376394-5;  SAFRA CREDITO</t>
  </si>
  <si>
    <t>ESP.01 001098 - IT  MINISTERIO DA FAZENDA</t>
  </si>
  <si>
    <t>ESP.01 000148 - IT  PREMIO M.O.</t>
  </si>
  <si>
    <t>ESP.01 000310 - IT  ELETROPAULO METROPOLITANA ELETRICIDADE D</t>
  </si>
  <si>
    <t>ESP.01 001316 - IT  MERCADO PAGO INSTITUICAO DE PAGAMENTO LT</t>
  </si>
  <si>
    <t>ESP.01 001317 - IT  RR PARAFUSOS , FERRAGENS E FERRAMENTAS L</t>
  </si>
  <si>
    <t>ESP.01 001698 - IT  ZENVIA MOBILE SERVICOS DIGITAIS S.A.</t>
  </si>
  <si>
    <t>ESP.01 001699 - IT  ATLANTA MATERIAIS PARA CONSTRUCAO LTDA</t>
  </si>
  <si>
    <t>ESP.01 001231 - IT  C ANTONIO DA SILVA</t>
  </si>
  <si>
    <t>ESP.01 001232 - IT  JOANNA DE MORAES ROCHA PARAFUSOS</t>
  </si>
  <si>
    <t>ESP.01 001233 - IT  MERCADO PAGO INSTITUICAO DE PAGAMENTO LT</t>
  </si>
  <si>
    <t>7986045-7</t>
  </si>
  <si>
    <t>RECIBO No. 993 Comissão/vendas 0071-0</t>
  </si>
  <si>
    <t>RECIBO No. 460 Comissão/vendas 0025-1</t>
  </si>
  <si>
    <t>RECIBO No. 461 Comissão/vendas 0105-1</t>
  </si>
  <si>
    <t>RECIBO No. 278 Comissão/vendas 0115-1</t>
  </si>
  <si>
    <t>ESP.01 000537 - IT  DDC COMERCIO DE MATERIAIS DE CONSTRUCAO</t>
  </si>
  <si>
    <t>PIX Marketplace  DÉBITO NAO IDENTIFICADO</t>
  </si>
  <si>
    <t>ESP.01 001747 - IT  Prefeitura do Municipio de Sao Paulo</t>
  </si>
  <si>
    <t>XSP.01 000053 - SC  ATLANTA MATERIAIS PARA CONSTRUCAO LTDA</t>
  </si>
  <si>
    <t>ESP.01 001236 - IT  VOTORANTIM CIMENTOS S.A.</t>
  </si>
  <si>
    <t>ESP.01 001237 - IT  TT PREMOLDADOS LTDA.</t>
  </si>
  <si>
    <t>ESP.01 001238 - IT  MC TRANSPORTE E LOCACAO EIRELI</t>
  </si>
  <si>
    <t>ESP.01 001239 - IT  SFERA COMERCIAL   IMP LTDA</t>
  </si>
  <si>
    <t>ESP.01 001240 - IT  STO BRASIL REVESTIMENTOS E FACHADAS LTDA</t>
  </si>
  <si>
    <t>ESP.01 001070 - IT  CORTESIA SERVICOS DE CONCRETAGEM LTDA.</t>
  </si>
  <si>
    <t>ESP.01 001071 - IT  F4 MATERIAIS DE CONTRUCOES LTDA</t>
  </si>
  <si>
    <t>ESP.01 001072 - IT  SSA SERVICOS ADMINISTRATIVOS LTDA</t>
  </si>
  <si>
    <t>ESP.01 001073 - IT  URBE.ME SERVICOS DESENVOLVIMENTO URBANO</t>
  </si>
  <si>
    <t>ESP.01 001318 - IT  ELETROFERRO INDUSTRIA E COMERCIO LTDA</t>
  </si>
  <si>
    <t>ESP.01 001319 - IT  ELETROFERRO INDUSTRIA E COMERCIO LTDA</t>
  </si>
  <si>
    <t>ESP.01 001320 - IT  SOROCABA COMERCIO DE VIDROS LTDA</t>
  </si>
  <si>
    <t>ESP.01 001321 - IT  LEF PISOS E REVESTIMENTOS S.A.</t>
  </si>
  <si>
    <t>ESP.01 001322 - IT  BARBI DO BRASIL LTDA</t>
  </si>
  <si>
    <t>ESP.01 000101 - IT  GEMA ARQUITETURA E URBANISMO LTDA</t>
  </si>
  <si>
    <t>ESP.01 000163 - IT  GEMA ARQUITETURA E URBANISMO LTDA</t>
  </si>
  <si>
    <t>ESP.01 001241 - IT  Sofistycasa Planejados e Esquadrias de A</t>
  </si>
  <si>
    <t>ESP.01 001323 - IT  Sofistycasa Planejados e Esquadrias de A</t>
  </si>
  <si>
    <t>RECIBO No. 103 Comissão/vendas 0062-0</t>
  </si>
  <si>
    <t>DEVOLUÇÃO PIX CRED</t>
  </si>
  <si>
    <t>Encontro de Contas - Recebe Origem: BUT</t>
  </si>
  <si>
    <t>RECIBO No. 105 Comissão/vendas 0077-0</t>
  </si>
  <si>
    <t>RECIBO No. 994 Comissão/vendas 0071-0</t>
  </si>
  <si>
    <t>ESP.01 000167 - IT  FACEBOOK SERVICOS ONLINE DO BRASIL LTDA.</t>
  </si>
  <si>
    <t>DESBL CRED REAL FACIL CX</t>
  </si>
  <si>
    <t>ESP.01 001265 - IT  Eldorado Patrimonial Ltda</t>
  </si>
  <si>
    <t>ESP.01 001266 - IT  Sulimam Participações Ltda</t>
  </si>
  <si>
    <t>VITORIO JOSE FONSECA CANDIOTTO  CUSTO LAUDO JUDICIAL VENETO AMALFI SICILIA</t>
  </si>
  <si>
    <t>RECEITA RIZA SECUTIZADORA</t>
  </si>
  <si>
    <t>ESP.01 000022 - IT  Banco Bradesco S/A</t>
  </si>
  <si>
    <t>500169-2</t>
  </si>
  <si>
    <t>LCG.01</t>
  </si>
  <si>
    <t>ESP.01 000021 - IT  Caixa Economica Federal</t>
  </si>
  <si>
    <t>30</t>
  </si>
  <si>
    <t>TARIFA MANUTENÇÃO CONTA</t>
  </si>
  <si>
    <t>OSP.01 000008 - DO BC 341; 06340-0;  Davi Rodriguez Aragao</t>
  </si>
  <si>
    <t>ESP.01 000138 - IT  Caixa Economica Federal</t>
  </si>
  <si>
    <t>RECIBO No. 462 Comissão/vendas 0063-1</t>
  </si>
  <si>
    <t>RECIBO No. 463 Comissão/vendas 0066-1</t>
  </si>
  <si>
    <t>RECIBO No. 464 Comissão/vendas 0068-0</t>
  </si>
  <si>
    <t>RECIBO No. 465 Comissão/vendas 0117-1</t>
  </si>
  <si>
    <t>RECIBO No. 466 Comissão/vendas 0063-1</t>
  </si>
  <si>
    <t>RECIBO No. 467 Comissão/vendas 0118-2</t>
  </si>
  <si>
    <t>RECIBO No. 468 Comissão/vendas 0066-1</t>
  </si>
  <si>
    <t>ESP.01 001324 - IT  TIGRE MATERIAIS E SOLUCOES PARA CONSTRUC</t>
  </si>
  <si>
    <t>ESP.01 001325 - IT  URBE LOCACAO INDUSTRIA E COMERCIO DE EQU</t>
  </si>
  <si>
    <t>ESP.01 001326 - IT  BARBI DO BRASIL LTDA</t>
  </si>
  <si>
    <t>ESP.01 001327 - IT  SOROCABA DISTRIBUIDORA DE ALUMINIO E ACE</t>
  </si>
  <si>
    <t>ESP.01 001328 - IT  64.860.445 REBECA LUNA LOBO</t>
  </si>
  <si>
    <t>ESP.01 001329 - IT  ALFA AREIA E PEDRA LTDA</t>
  </si>
  <si>
    <t>ESP.01 001330 - IT  ELEVADORES ATLAS SCHINDLER LTDA.</t>
  </si>
  <si>
    <t>ESP.01 001331 - IT  MELO COMERCIO E REPRESENTACAO LTDA</t>
  </si>
  <si>
    <t>ESP.01 001332 - IT  SOLUFLEX INDUSTRIA E COMERCIO DE EMBALAG</t>
  </si>
  <si>
    <t>ESP.01 001333 - IT  SOROCABA DISTRIBUIDORA DE ALUMINIO E ACE</t>
  </si>
  <si>
    <t>ESP.01 001334 - IT  CIA DE SANEAMENTO BASICO DO ESTADO DE SA</t>
  </si>
  <si>
    <t>ESP.01 001335 - IT  KIMARKI TRANSFORMADORES INDUSTRIA E COME</t>
  </si>
  <si>
    <t>ESP.01 001336 - IT  J INACIO RODRIGUES GESSO E SERVICOS LTDA</t>
  </si>
  <si>
    <t>ESP.01 001337 - IT  JOFEPAR COMERCIO DE PARAFUSOS LTDA</t>
  </si>
  <si>
    <t>ESP.01 001338 - IT  MELO COMERCIO E REPRESENTACAO LTDA</t>
  </si>
  <si>
    <t>ESP.01 000173 - IT  LELLO CONDOMINIOS LTDA</t>
  </si>
  <si>
    <t>ESP.01 001700 - IT  URBE.ME SERVICOS DESENVOLVIMENTO URBANO</t>
  </si>
  <si>
    <t>ESP.01 001701 - IT  VMX DIGITAL DO BRASIL LTDA</t>
  </si>
  <si>
    <t>ESP.01 001702 - IT  ZAP+ SUAHOUSE TECNOLOGIA E GESTAO IMOBIL</t>
  </si>
  <si>
    <t>ESP.01 001703 - IT  Humberto Gullo Sociedade Individual de A</t>
  </si>
  <si>
    <t>ESP.01 001704 - IT  YELLOWZ MARKETING E TECNOLOGIA LTDA</t>
  </si>
  <si>
    <t>ESP.01 001705 - IT  PREFEIT MUNIC LIMEIRA</t>
  </si>
  <si>
    <t>ESP.01 001706 - IT  VMX DIGITAL DO BRASIL LTDA</t>
  </si>
  <si>
    <t>ESP.01 001707 - IT  Vivo - Telefonica Brasil S.a.</t>
  </si>
  <si>
    <t>ESP.01 001708 - IT  ELEVADORES OTIS LTDA</t>
  </si>
  <si>
    <t>ESP.01 001709 - IT  GPBR PARTICIPACOES LTDA.</t>
  </si>
  <si>
    <t>ESP.01 001710 - IT  Mello Marin Imoveis Ltda</t>
  </si>
  <si>
    <t>ESP.01 001711 - IT  ELEVADORES OTIS LTDA</t>
  </si>
  <si>
    <t>ESP.01 001712 - IT  Vivo - Telefonica Brasil S.a.</t>
  </si>
  <si>
    <t>ESP.01 001713 - IT  Catho Online Ltda.</t>
  </si>
  <si>
    <t>ESP.01 001714 - IT  Vivo - Telefonica Brasil S.a.</t>
  </si>
  <si>
    <t>ESP.01 001715 - IT  BELA TINTAS LTDA</t>
  </si>
  <si>
    <t>ESP.01 001716 - IT  KONSTROI DESENVOLVIMENTO DE SISTEMAS LTD</t>
  </si>
  <si>
    <t>ESP.01 001717 - IT  KONSTROI DESENVOLVIMENTO DE SISTEMAS LTD</t>
  </si>
  <si>
    <t>ESP.01 001718 - IT  KONSTROI DESENVOLVIMENTO DE SISTEMAS LTD</t>
  </si>
  <si>
    <t>ESP.01 001242 - IT  ELETROFERRO INDUSTRIA E COMERCIO LTDA</t>
  </si>
  <si>
    <t>ESP.01 001243 - IT  TT PREMOLDADOS LTDA.</t>
  </si>
  <si>
    <t>ESP.01 001244 - IT  TT PREMOLDADOS LTDA.</t>
  </si>
  <si>
    <t>ESP.01 001245 - IT  SFERA COMERCIAL   IMP LTDA</t>
  </si>
  <si>
    <t>ESP.01 001246 - IT  MINEIRO FERROS COMERCIO DE FERRAGENS E F</t>
  </si>
  <si>
    <t>ESP.01 001247 - IT  IBRAC INDUSTRIA BRASILEIRA DE CONDUTORES</t>
  </si>
  <si>
    <t>ESP.01 001248 - IT  ELETRICA ORION COMERCIAL E LOCADORA LTDA</t>
  </si>
  <si>
    <t>ESP.01 001249 - IT  J INACIO RODRIGUES GESSO E SERVICOS LTDA</t>
  </si>
  <si>
    <t>ESP.01 001250 - IT  LLC OPERADOR LOGISTICO LTDA</t>
  </si>
  <si>
    <t>ESP.01 001251 - IT  STOCKTOTAL TELECOMUNICACOES LTDA</t>
  </si>
  <si>
    <t>ESP.01 001252 - IT  SOEDRAL SOCIEDADE ELETRICA HIDRAULICA LT</t>
  </si>
  <si>
    <t>ESP.01 001253 - IT  PROMAFLEX INDUSTRIAL LTDA - EM RECUPERAC</t>
  </si>
  <si>
    <t>ESP.01 001254 - IT  Prefeitura do Municipio de Sao Paulo</t>
  </si>
  <si>
    <t>ESP.01 001255 - IT  MELO COMERCIO E REPRESENTACAO LTDA</t>
  </si>
  <si>
    <t>ESP.01 000345 - IT  ELYON SOLUCOES GRAFICAS LTDA</t>
  </si>
  <si>
    <t>ESP.01 000346 - IT  CIA DE SANEAMENTO BASICO DO ESTADO DE SA</t>
  </si>
  <si>
    <t>ESP.01 000819 - IT  ELEVADORES OTIS LTDA</t>
  </si>
  <si>
    <t>ESP.01 000820 - IT  J M C COMERCIAL ELETRICA LTDA</t>
  </si>
  <si>
    <t>ESP.01 000821 - IT  CLARO NXT TELECOMUNICACOES S/A</t>
  </si>
  <si>
    <t>ESP.01 000822 - IT  MJA COMERCIO DE GESSO E MATERIAIS PARA C</t>
  </si>
  <si>
    <t>ESP.01 000823 - IT  SMART HOME COMERCIO E LOCACAO DE EQUIPAM</t>
  </si>
  <si>
    <t>ESP.01 000824 - IT  Vivo - Telefonica Brasil S.a.</t>
  </si>
  <si>
    <t>ESP.01 001086 - IT  ESPACIAL SUPRIMENTOS DE ESCRITORIO E INF</t>
  </si>
  <si>
    <t>ESP.01 001087 - IT  ROUTE 116 COMERCIO E LOCACAO DE EQUIPAME</t>
  </si>
  <si>
    <t>ESP.01 001088 - IT  ROUTE 116 COMERCIO E LOCACAO DE EQUIPAME</t>
  </si>
  <si>
    <t>ESP.01 000102 - IT  Inajá Bistulfi de Souza</t>
  </si>
  <si>
    <t>ESP.01 000513 - IT  Serasa S.A</t>
  </si>
  <si>
    <t>ESP.01 000514 - IT  ELETROPAULO METROPOLITANA ELETRICIDADE D</t>
  </si>
  <si>
    <t>ESP.01 000515 - IT  55.112.702 ERIKA TEIXEIRA CORDEIRO</t>
  </si>
  <si>
    <t>ESP.01 000516 - IT  ZAP+ SUAHOUSE TECNOLOGIA E GESTAO IMOBIL</t>
  </si>
  <si>
    <t>ESP.01 000312 - IT  Humberto Gullo Sociedade Individual de A</t>
  </si>
  <si>
    <t>ESP.01 000313 - IT  Prefeitura do Municipio de Sao Paulo</t>
  </si>
  <si>
    <t>ESP.01 000314 - IT  EMBRACON ADMINISTRADORA DE CONSORCIO LTD</t>
  </si>
  <si>
    <t>RECIBO No. 3209 Comissão/vendas 0134-4</t>
  </si>
  <si>
    <t>MENSALIDADE CESTA SERVIÇO</t>
  </si>
  <si>
    <t>ESP.01 001089 - IT  Caixa Economica Federal</t>
  </si>
  <si>
    <t>ESP.01 000085 - IT  Caixa Economica Federal</t>
  </si>
  <si>
    <t>ESP.01 000086 - IT  Caixa Economica Federal</t>
  </si>
  <si>
    <t>ESP.01 000540 - IT  CAIXA CARTOES PRE-PAGOS S.A.</t>
  </si>
  <si>
    <t>ESP.01 000541 - IT  CAIXA CARTOES PRE-PAGOS S.A.</t>
  </si>
  <si>
    <t>ESP.01 000542 - IT  CAIXA CARTOES PRE-PAGOS S.A.</t>
  </si>
  <si>
    <t>ESP.01 000543 - IT  Marcelo de Moraes Pahor</t>
  </si>
  <si>
    <t>ESP.01 000147 - IT  CAIXA CARTOES PRE-PAGOS S.A.</t>
  </si>
  <si>
    <t>ESP.01 000148 - IT  CAIXA CARTOES PRE-PAGOS S.A.</t>
  </si>
  <si>
    <t>ESP.01 000139 - IT  SOLUCOES EM SOFTWARE E SERVICOS TTS LTDA</t>
  </si>
  <si>
    <t>ESP.01 000140 - IT  CAIXA CARTOES PRE-PAGOS S.A.</t>
  </si>
  <si>
    <t>ESP.01 000141 - IT  CAIXA CARTOES PRE-PAGOS S.A.</t>
  </si>
  <si>
    <t>ESP.01 000142 - IT  CAIXA CARTOES PRE-PAGOS S.A.</t>
  </si>
  <si>
    <t>TARIFA MANUTENCAO CONTA A</t>
  </si>
  <si>
    <t>Encontro de Contas - Recebe Origem: ENC</t>
  </si>
  <si>
    <t>RECIBO No. 128 Comissão/vendas 0085-0</t>
  </si>
  <si>
    <t>RECIBO No. 129 Comissão/vendas 0086-0</t>
  </si>
  <si>
    <t>ESP.01 001726 - IT  BR ADVICE CONSULTORIA E ASSESSORIA COMER</t>
  </si>
  <si>
    <t>RECIBO No. 471 Comissão/vendas 0171-0</t>
  </si>
  <si>
    <t>RENDIMENTO FINANCEIRO CONTRATO Nº 878772646290</t>
  </si>
  <si>
    <t>RENDIMENTO FINANCEIRO CONTRATO Nº 878772715535</t>
  </si>
  <si>
    <t>RENDIMENTO FINANCEIRO CONTRATO Nº 878772768600</t>
  </si>
  <si>
    <t>RENDIMENTO FINANCEIRO CONTRATO Nº 878772786801</t>
  </si>
  <si>
    <t>RENDIMENTO FINANCEIRO CONTRATO Nº 878772793755</t>
  </si>
  <si>
    <t>Andreia Cristina Saldanha Estigarribia</t>
  </si>
  <si>
    <t>ESP.01 000180 - IT  TINTAS FAMOSAS COMERCIAL DE TINTAS LTDA</t>
  </si>
  <si>
    <t>RECIBO No. 489 Comissão/vendas 0152-1</t>
  </si>
  <si>
    <t>Financiamento - Agente BC 104  Contrato:8.7877.2286995-2 Juros de contrato</t>
  </si>
  <si>
    <t>ESP.01 000165 - IT  Modal Engenharia Solucoes em Infraestrut</t>
  </si>
  <si>
    <t>ESP.01 000166 - IT  Marcia Rachel Zani</t>
  </si>
  <si>
    <t>XSP.01 000025 - SC  Humberto Gullo Sociedade Individual de A</t>
  </si>
  <si>
    <t>ESP.01 000825 - IT  MERCADO PAGO INSTITUICAO DE PAGAMENTO LT</t>
  </si>
  <si>
    <t>ESP.01 000826 - IT  MERCADO PAGO INSTITUICAO DE PAGAMENTO LT</t>
  </si>
  <si>
    <t>ESP.01 000538 - IT  MATHEUS RIBAS FRANCISCO</t>
  </si>
  <si>
    <t>ESP.01 000539 - IT  Anderson Lima da Silva</t>
  </si>
  <si>
    <t>APORTE VEÍCULO JETTA - PARA MOVIMENTAÇÃO DE PERMUTA - UP SAO LUCAS/UP MOVE</t>
  </si>
  <si>
    <t>AP</t>
  </si>
  <si>
    <t>Recursos em sociedade</t>
  </si>
  <si>
    <t>ESP.01 000517 - IT  SSA SERVICOS ADMINISTRATIVOS LTDA</t>
  </si>
  <si>
    <t>DEVOLUÇÃO JETTA</t>
  </si>
  <si>
    <t>ESP.01 000041 - IT  Leandro Campolargo Gonçalves</t>
  </si>
  <si>
    <t>ESP.01 000315 - IT  Humberto Gullo Neto</t>
  </si>
  <si>
    <t>ESP.01 001090 - IT  CIA DE SANEAMENTO BASICO DO ESTADO DE SA</t>
  </si>
  <si>
    <t>ESP.01 001091 - IT  CIA DE SANEAMENTO BASICO DO ESTADO DE SA</t>
  </si>
  <si>
    <t>ESP.01 000347 - IT  CIA DE SANEAMENTO BASICO DO ESTADO DE SA</t>
  </si>
  <si>
    <t>ESP.01 000087 - IT  Caixa Economica Federal</t>
  </si>
  <si>
    <t>TCCMO</t>
  </si>
  <si>
    <t>ESP.01 000316 - IT  Cpfl - Companhia Piratininga de Força e</t>
  </si>
  <si>
    <t>ESP.01 001719 - IT  SOROCABA DISTRIBUIDORA DE ALUMINIO E ACE</t>
  </si>
  <si>
    <t>ESP.01 001720 - IT  IR ARTE E COR PINTURAS RESIDENCIAL E PRE</t>
  </si>
  <si>
    <t>ESP.01 001721 - IT  50.322.456 GUSTAVO SOUZA BORGES DE OLIVE</t>
  </si>
  <si>
    <t>ESP.01 001722 - IT  Selbetti Tecnologia S/a.</t>
  </si>
  <si>
    <t>ESP.01 001723 - IT  LHE SERVICOS GRAFICOS LTDA</t>
  </si>
  <si>
    <t>ESP.01 000827 - IT  J M C COMERCIAL ELETRICA LTDA</t>
  </si>
  <si>
    <t>ESP.01 000828 - IT  CINEXPAN INDUSTRIA E COMERCIO DE ARGILA</t>
  </si>
  <si>
    <t>ESP.01 000829 - IT  IR ARTE E COR PINTURAS RESIDENCIAL E PRE</t>
  </si>
  <si>
    <t>ESP.01 000830 - IT  LHE SERVICOS GRAFICOS LTDA</t>
  </si>
  <si>
    <t>ESP.01 000831 - IT  MADU COMERCIO DE TINTAS LTDA</t>
  </si>
  <si>
    <t>ESP.01 000832 - IT  ALFA AREIA E PEDRA LTDA</t>
  </si>
  <si>
    <t>ESP.01 000833 - IT  NOVA EXAUSTORES INDUSTRIA E COMERCIO LTD</t>
  </si>
  <si>
    <t>ESP.01 001724 - IT  A.W. SERVICOS DE INFORMACOES COMERCIAIS</t>
  </si>
  <si>
    <t>ESP.01 000518 - IT  7 OLIVEIRAS COMERCIO E CONSTRUCOES LTDA</t>
  </si>
  <si>
    <t>ESP.01 000519 - IT  Sancor Seguros do Brasil S. A.</t>
  </si>
  <si>
    <t>ESP.01 000520 - IT  LHE SERVICOS GRAFICOS LTDA</t>
  </si>
  <si>
    <t>ESP.01 000521 - IT  MARIA IZABEL DE OLIVEIRA ASSUNCAO</t>
  </si>
  <si>
    <t>ESP.01 000522 - IT  Sancor Seguros do Brasil S. A.</t>
  </si>
  <si>
    <t>ESP.01 000523 - IT  STEPHANY AUGUSTUS MELONIO</t>
  </si>
  <si>
    <t>ESP.01 001092 - IT  LHE SERVICOS GRAFICOS LTDA</t>
  </si>
  <si>
    <t>ESP.01 001093 - IT  AFL AREIA E PEDRA LTDA</t>
  </si>
  <si>
    <t>ESP.01 001094 - IT  MERC - COMERCIO DE MATERIAIS PARA CONSTR</t>
  </si>
  <si>
    <t>ESP.01 001095 - IT  SAINT-GOBAIN DISTRIBUICAO BRASIL LTDA</t>
  </si>
  <si>
    <t>ESP.01 001096 - IT  COMERCIAL WADY LTDA</t>
  </si>
  <si>
    <t>ESP.01 001097 - IT  Prefeitura do Municipio de Sao Paulo</t>
  </si>
  <si>
    <t>ESP.01 001340 - IT  BARBI ENGENHARIA LTDA</t>
  </si>
  <si>
    <t>ESP.01 001341 - IT  ALFA AREIA E PEDRA LTDA</t>
  </si>
  <si>
    <t>ESP.01 001342 - IT  BARBI DO BRASIL LTDA</t>
  </si>
  <si>
    <t>ESP.01 001343 - IT  BARBI DO BRASIL LTDA</t>
  </si>
  <si>
    <t>ESP.01 001344 - IT  RGF COMPANY TECNOLOGIA DO BRASIL LTDA</t>
  </si>
  <si>
    <t>ESP.01 001256 - IT  ASTRA S A INDUSTRIA E COMERCIO</t>
  </si>
  <si>
    <t>ESP.01 001257 - IT  TAKARA &amp; FILHO LTDA</t>
  </si>
  <si>
    <t>ESP.01 001258 - IT  7 OLIVEIRAS COMERCIO E CONSTRUCOES LTDA</t>
  </si>
  <si>
    <t>ESP.01 001259 - IT  MC TRANSPORTE E LOCACAO EIRELI</t>
  </si>
  <si>
    <t>ESP.01 001260 - IT  IDEALIZA LOCACAO E SERVICOS LTDA</t>
  </si>
  <si>
    <t>ESP.01 001261 - IT  VOTORANTIM CIMENTOS S.A.</t>
  </si>
  <si>
    <t>ESP.01 001262 - IT  YANNIS LOCACOES DE EQUIPAMENTOS LTDA</t>
  </si>
  <si>
    <t>ESP.01 001263 - IT  LHE SERVICOS GRAFICOS LTDA</t>
  </si>
  <si>
    <t>XSP.01 000026 - SC  PREFEIT MUNIC LIMEIRA</t>
  </si>
  <si>
    <t>ESP.01 001264 - IT  IGNIS LTDA</t>
  </si>
  <si>
    <t>RECIBO No. 995 Comissão/vendas 0201-2</t>
  </si>
  <si>
    <t>ESP.01 000053 - IT  MARCOS R. ALUVEI SERVICOS ADMINISTRATIVO</t>
  </si>
  <si>
    <t>Encontro de Contas - Envio Destino: SBB</t>
  </si>
  <si>
    <t>RECIBO No. 473 Comissão/vendas 0154-1</t>
  </si>
  <si>
    <t>RECIBO No. 474 Comissão/vendas 0039-0</t>
  </si>
  <si>
    <t>RECIBO No. 475 Comissão/vendas 0042-1</t>
  </si>
  <si>
    <t>RECIBO No. 476 Comissão/vendas 0137-1</t>
  </si>
  <si>
    <t>RECIBO No. 477 Comissão/vendas 0134-0</t>
  </si>
  <si>
    <t>RECIBO No. 478 Comissão/vendas 0008-1</t>
  </si>
  <si>
    <t>RECIBO No. 479 Comissão/vendas 0059-1</t>
  </si>
  <si>
    <t>RECIBO No. 480 Comissão/vendas 0041-1</t>
  </si>
  <si>
    <t>RECIBO No. 481 Comissão/vendas 0092-1</t>
  </si>
  <si>
    <t>RECIBO No. 482 Comissão/vendas 0107-0</t>
  </si>
  <si>
    <t>RECIBO No. 483 Comissão/vendas 0108-0</t>
  </si>
  <si>
    <t>RECIBO No. 3212 Comissão/vendas 0014-1</t>
  </si>
  <si>
    <t>Rendimento financeiro contrato:  878772646862</t>
  </si>
  <si>
    <t>Rendimento financeiro contrato:  878772720767</t>
  </si>
  <si>
    <t>ESP.01 000172 - IT  52.094.707 Romulo Dell Agnolo</t>
  </si>
  <si>
    <t>RENDIMENTO FINAN N° 178770409461</t>
  </si>
  <si>
    <t>RENDIMENTO FINAN N° 178770409633</t>
  </si>
  <si>
    <t>RENDIMENTO FINAN N° 178770409874</t>
  </si>
  <si>
    <t>RENDIMENTO FINAN N° 178770409917</t>
  </si>
  <si>
    <t>RENDIMENTO FINAN N° 178770409922</t>
  </si>
  <si>
    <t>RENDIMENTO FINAN N° 178770409935</t>
  </si>
  <si>
    <t>RENDIMENTO FINAN N° 178770409943</t>
  </si>
  <si>
    <t>RENDIMENTO FINAN N° 178770409948</t>
  </si>
  <si>
    <t>RENDIMENTO FINAN N° 178770409965</t>
  </si>
  <si>
    <t>RENDIMENTO FINAN N° 178770411054</t>
  </si>
  <si>
    <t>RENDIMENTO FINAN N° 878772733925</t>
  </si>
  <si>
    <t>RENDIMENTO FINAN N° 878772733986</t>
  </si>
  <si>
    <t>RENDIMENTO FINAN N° 878772734050</t>
  </si>
  <si>
    <t>RENDIMENTO FINAN N° 878772734062</t>
  </si>
  <si>
    <t>RENDIMENTO FINAN N° 878772734130</t>
  </si>
  <si>
    <t>RENDIMENTO FINAN N° 878772734188</t>
  </si>
  <si>
    <t>RENDIMENTO FINAN N° 878772734241</t>
  </si>
  <si>
    <t>RENDIMENTO FINAN N° 878772734261</t>
  </si>
  <si>
    <t>RENDIMENTO FINAN N° 878772734313</t>
  </si>
  <si>
    <t>RENDIMENTO FINAN N° 878772734337</t>
  </si>
  <si>
    <t>RENDIMENTO FINAN N° 878772734364</t>
  </si>
  <si>
    <t>RENDIMENTO FINAN N° 878772735293</t>
  </si>
  <si>
    <t>RENDIMENTO FINAN N° 878772735315</t>
  </si>
  <si>
    <t>RENDIMENTO FINAN N° 878772735418</t>
  </si>
  <si>
    <t>RENDIMENTO FINAN N° 878772735443</t>
  </si>
  <si>
    <t>RENDIMENTO FINAN N° 878772735700</t>
  </si>
  <si>
    <t>RENDIMENTO FINAN N° 878772735721</t>
  </si>
  <si>
    <t>RENDIMENTO FINAN N° 878772735738</t>
  </si>
  <si>
    <t>RENDIMENTO FINAN N° 878772735765</t>
  </si>
  <si>
    <t>RENDIMENTO FINAN N° 878772735782</t>
  </si>
  <si>
    <t>RENDIMENTO FINAN N° 878772735799</t>
  </si>
  <si>
    <t>RENDIMENTO FINAN N° 878772735827</t>
  </si>
  <si>
    <t>RENDIMENTO FINAN N° 878772735832</t>
  </si>
  <si>
    <t>RENDIMENTO FINAN N° 878772735988</t>
  </si>
  <si>
    <t>RENDIMENTO FINAN N° 878772736075</t>
  </si>
  <si>
    <t>RENDIMENTO FINAN N° 878772736084</t>
  </si>
  <si>
    <t>RENDIMENTO FINAN N° 878772736107</t>
  </si>
  <si>
    <t>RENDIMENTO FINAN N° 878772738043</t>
  </si>
  <si>
    <t>RENDIMENTO FINAN N° 878772738051</t>
  </si>
  <si>
    <t>RENDIMENTO FINAN N° 878772738060</t>
  </si>
  <si>
    <t>RENDIMENTO FINAN N° 878772738100</t>
  </si>
  <si>
    <t>RENDIMENTO FINAN N° 878772738145</t>
  </si>
  <si>
    <t>RENDIMENTO FINAN N° 878772738166</t>
  </si>
  <si>
    <t>RENDIMENTO FINAN N° 878772738189</t>
  </si>
  <si>
    <t>RENDIMENTO FINAN N° 878772738231</t>
  </si>
  <si>
    <t>RENDIMENTO FINAN N° 878772738245</t>
  </si>
  <si>
    <t>RENDIMENTO FINAN N° 878772738259</t>
  </si>
  <si>
    <t>RENDIMENTO FINAN N° 878772738286</t>
  </si>
  <si>
    <t>RENDIMENTO FINAN N° 878772738300</t>
  </si>
  <si>
    <t>RENDIMENTO FINAN N° 878772738327</t>
  </si>
  <si>
    <t>RENDIMENTO FINAN N° 878772738335</t>
  </si>
  <si>
    <t>RENDIMENTO FINAN N° 878772738353</t>
  </si>
  <si>
    <t>RENDIMENTO FINAN N° 878772738361</t>
  </si>
  <si>
    <t>RENDIMENTO FINAN N° 878772738373</t>
  </si>
  <si>
    <t>RENDIMENTO FINAN N° 878772738379</t>
  </si>
  <si>
    <t>RENDIMENTO FINAN N° 878772738386</t>
  </si>
  <si>
    <t>RENDIMENTO FINAN N° 878772738394</t>
  </si>
  <si>
    <t>RENDIMENTO FINAN N° 878772738401</t>
  </si>
  <si>
    <t>RENDIMENTO FINAN N° 878772738414</t>
  </si>
  <si>
    <t>RENDIMENTO FINAN N° 878772738420</t>
  </si>
  <si>
    <t>RENDIMENTO FINAN N° 878772738431</t>
  </si>
  <si>
    <t>RENDIMENTO FINAN N° 878772738474</t>
  </si>
  <si>
    <t>RENDIMENTO FINAN N° 878772738486</t>
  </si>
  <si>
    <t>RENDIMENTO FINAN N° 878772738552</t>
  </si>
  <si>
    <t>RENDIMENTO FINAN N° 878772738576</t>
  </si>
  <si>
    <t>RENDIMENTO FINAN N° 878772738586</t>
  </si>
  <si>
    <t>RENDIMENTO FINAN N° 878772738600</t>
  </si>
  <si>
    <t>RENDIMENTO FINAN N° 878772738625</t>
  </si>
  <si>
    <t>RENDIMENTO FINAN N° 878772738645</t>
  </si>
  <si>
    <t>RENDIMENTO FINANCEIRO CONTRATO Nº 178770396703</t>
  </si>
  <si>
    <t>TARIFA ext el</t>
  </si>
  <si>
    <t>RENDIMENTO FINAN N° 878772738652</t>
  </si>
  <si>
    <t>RENDIMENTO FINAN N° 878772738671</t>
  </si>
  <si>
    <t>RENDIMENTO FINAN N°878772738694</t>
  </si>
  <si>
    <t>RENDIMENTO FINAN N°878772738703</t>
  </si>
  <si>
    <t>RENDIMENTO FINAN N°878772738783</t>
  </si>
  <si>
    <t>RENDIMENTO FINAN N°878772738814</t>
  </si>
  <si>
    <t>RENDIMENTO FINAN N°878772738824</t>
  </si>
  <si>
    <t>RENDIMENTO FINAN N°878772738848</t>
  </si>
  <si>
    <t>RENDIMENTO FINAN N°878772738869</t>
  </si>
  <si>
    <t>RENDIMENTO FINAN N°878772738877</t>
  </si>
  <si>
    <t>RENDIMENTO FINAN N°878772738895</t>
  </si>
  <si>
    <t>RENDIMENTO FINAN N°878772739133</t>
  </si>
  <si>
    <t>RENDIMENTO FINAN N°878772747583</t>
  </si>
  <si>
    <t>RENDIMENTO FINAN N°878772747592</t>
  </si>
  <si>
    <t>RENDIMENTO FINAN N°878772751859</t>
  </si>
  <si>
    <t>RENDIMENTO FINAN N°878772753636</t>
  </si>
  <si>
    <t>RENDIMENTO FINAN N°878772756123</t>
  </si>
  <si>
    <t>RENDIMENTO FINAN N°878772756216</t>
  </si>
  <si>
    <t>RENDIMENTO FINAN N°878772757220</t>
  </si>
  <si>
    <t>RENDIMENTO FINAN N°878772757226</t>
  </si>
  <si>
    <t>RENDIMENTO FINAN N°878772757246</t>
  </si>
  <si>
    <t>RENDIMENTO FINAN N°878772757563</t>
  </si>
  <si>
    <t>RENDIMENTO FINAN N°878772757653</t>
  </si>
  <si>
    <t>RENDIMENTO FINAN N°878772762600</t>
  </si>
  <si>
    <t>RENDIMENTO FINAN N°878772770893</t>
  </si>
  <si>
    <t>Andreia Cristina Saldanha Estigarribia  EXCLUIR</t>
  </si>
  <si>
    <t>ESP.01 000181 - IT  AUTODOC PROCESSAMENTO DE DADOS LTDA</t>
  </si>
  <si>
    <t>COB COMPE - (masc)</t>
  </si>
  <si>
    <t>ESP.01 000056 - IT  CONSELHO REGIONAL DE ENGENHARIA E AGRONO</t>
  </si>
  <si>
    <t>Aplicacao - Agente BC 341 Fundos de Investimento</t>
  </si>
  <si>
    <t>ESP.01 001162 - IT  Caixa Economica Federal</t>
  </si>
  <si>
    <t>TRANSFERENCIA ENTRE C/C</t>
  </si>
  <si>
    <t>ESP.01 001342 - IT  Caixa Economica Federal</t>
  </si>
  <si>
    <t>ESP.01 000615 - IT  Caixa Economica Federal</t>
  </si>
  <si>
    <t>ESP.01 000524 - IT  Mariana Rocha Troiano Pera</t>
  </si>
  <si>
    <t>ESP.01 001099 - IT  LS SISTEMAS TERMICOS LTDA</t>
  </si>
  <si>
    <t>ESP.01 000169 - IT  Walter de Barros Abrahao</t>
  </si>
  <si>
    <t>ESP.01 000348 - IT  PTA LOCACOES DE IMPRESSORAS E MULTIFUNCI</t>
  </si>
  <si>
    <t>ESP.01 001725 - IT  55.870.043 ELISABETE BATISTA CARDOSO</t>
  </si>
  <si>
    <t>RECIBO No. 484 Comissão/vendas 0044-1</t>
  </si>
  <si>
    <t>RECIBO No. 485 Comissão/vendas 0017-1</t>
  </si>
  <si>
    <t>RECIBO No. 486 Comissão/vendas 0044-1</t>
  </si>
  <si>
    <t>RECIBO No. 1102 Comissão/vendas 0037-2</t>
  </si>
  <si>
    <t>RECIBO No. 1103 Comissão/vendas 0037-2</t>
  </si>
  <si>
    <t>ESP.01 000834 - IT  Gls Serviços de Segurança Ltda</t>
  </si>
  <si>
    <t>ESP.01 000173 - IT  JC FERRAZ EMP E ASSES IMOB S/S LTDA</t>
  </si>
  <si>
    <t>ESP.01 000320 - IT  Rosario Rodriguez Aragão</t>
  </si>
  <si>
    <t>ESP.01 001742 - IT  CONFEKFAZ CONFECCAO E COMERCIO DE ROUPAS</t>
  </si>
  <si>
    <t>TARIFA COBRANCA</t>
  </si>
  <si>
    <t>DEVOLUÇÃO ADIANTAMENTO 1205 03/11</t>
  </si>
  <si>
    <t>DA</t>
  </si>
  <si>
    <t>Devolução de Adiantamento</t>
  </si>
  <si>
    <t>548</t>
  </si>
  <si>
    <t>RENDIMENTO FINANCEIRO CONTRATO Nº 878772738796</t>
  </si>
  <si>
    <t>ESP.01 000616 - IT  Caixa Economica Federal</t>
  </si>
  <si>
    <t>ESP.01 000012 - IT  Caixa Economica Federal</t>
  </si>
  <si>
    <t>574596969-1</t>
  </si>
  <si>
    <t>VRT.01</t>
  </si>
  <si>
    <t>53</t>
  </si>
  <si>
    <t>ESP.01 000835 - IT  ALFA AREIA E PEDRA LTDA</t>
  </si>
  <si>
    <t>ESP.01 000836 - IT  EMOFER FERRO E ACO LTDA</t>
  </si>
  <si>
    <t>ESP.01 000837 - IT  EDMILSON SEVERINO PEREIRA</t>
  </si>
  <si>
    <t>ESP.01 000838 - IT  IBRAC INDUSTRIA BRASILEIRA DE CONDUTORES</t>
  </si>
  <si>
    <t>ESP.01 000839 - IT  Prefeitura do Municipio de Sao Paulo</t>
  </si>
  <si>
    <t>ESP.01 000840 - IT  YDEAL CAFE SERVICOS DE ENTREGA DE CESTAS</t>
  </si>
  <si>
    <t>ESP.01 000170 - IT  Prefeitura do Municipio de Sao Paulo</t>
  </si>
  <si>
    <t>ESP.01 000171 - IT  ENGINE SOLUCOES DIGITAIS LTDA</t>
  </si>
  <si>
    <t>ESP.01 000317 - IT  Prefeitura do Municipio de Sao Paulo</t>
  </si>
  <si>
    <t>ESP.01 000318 - IT  RENATA OLIVEIRA E SILVA &amp; CLEBER ALEXAND</t>
  </si>
  <si>
    <t>ESP.01 000319 - IT  Associação Res Terras de São José II</t>
  </si>
  <si>
    <t>Encontro de Contas - Recebe Origem: CPE</t>
  </si>
  <si>
    <t>ESP.01 000841 - IT  COMPANY COMERCIO DE ACESSORIOS E VIDROS</t>
  </si>
  <si>
    <t>RECIBO No. 1104 Comissão/vendas 0061-2</t>
  </si>
  <si>
    <t>ESP.01 000174 - IT  MARCOS R. ALUVEI SERVICOS ADMINISTRATIVO</t>
  </si>
  <si>
    <t>ESP.01 000103 - IT  GAAZ ARQUITETOS ASSOCIADOS S/S LTDA</t>
  </si>
  <si>
    <t>ESP.01 000104 - IT  RL CONSULTORIA LTDA</t>
  </si>
  <si>
    <t>ESP.01 000088 - IT  Ministério da Fazenda</t>
  </si>
  <si>
    <t>ESP.01 001267 - IT  POSITIVA SOLUCOES E COMERCIO LTDA</t>
  </si>
  <si>
    <t>ESP.01 001268 - IT  7 OLIVEIRAS COMERCIO E CONSTRUCOES LTDA</t>
  </si>
  <si>
    <t>ESP.01 001269 - IT  MERC - COMERCIO DE MATERIAIS PARA CONSTR</t>
  </si>
  <si>
    <t>ESP.01 001270 - IT  EDMILSON SEVERINO PEREIRA</t>
  </si>
  <si>
    <t>ESP.01 001271 - IT  ANDRA S A ELECTRIC SOLUTIONS</t>
  </si>
  <si>
    <t>ESP.01 001272 - IT  STAFF CONSTRUCTION LTDA</t>
  </si>
  <si>
    <t>ESP.01 001273 - IT  60.253.474 CRISTINA FRANCISCO DA SILVA</t>
  </si>
  <si>
    <t>ESP.01 001274 - IT  ELETRICA ORION COMERCIAL E LOCADORA LTDA</t>
  </si>
  <si>
    <t>ESP.01 001275 - IT  RALKY FORMAS PARA CONCRETO LTDA</t>
  </si>
  <si>
    <t>ESP.01 001276 - IT  RALKY FORMAS PARA CONCRETO LTDA</t>
  </si>
  <si>
    <t>ESP.01 001277 - IT  ELETROFERRO INDUSTRIA E COMERCIO LTDA</t>
  </si>
  <si>
    <t>ESP.01 001278 - IT  SOROCABA DISTRIBUIDORA DE ALUMINIO E ACE</t>
  </si>
  <si>
    <t>ESP.01 001279 - IT  TS TECK - COMERCIO E LOCACAO DE EQUIPAME</t>
  </si>
  <si>
    <t>ESP.01 001280 - IT  62.731.422 FELIPE CALIXTO</t>
  </si>
  <si>
    <t>ESP.01 001281 - IT  TAKARA &amp; FILHO LTDA</t>
  </si>
  <si>
    <t>ESP.01 001282 - IT  FASS NEGOCIOS IMOBILIARIOS</t>
  </si>
  <si>
    <t>ESP.01 001101 - IT  Serasa S.A</t>
  </si>
  <si>
    <t>ESP.01 001102 - IT  ITAPLAN BRASIL CONSULTORIA DE IMOVEIS LT</t>
  </si>
  <si>
    <t>ESP.01 001103 - IT  ITAPLAN BRASIL CONSULTORIA DE IMOVEIS LT</t>
  </si>
  <si>
    <t>ESP.01 001104 - IT  ITAPLAN BRASIL CONSULTORIA DE IMOVEIS LT</t>
  </si>
  <si>
    <t>ESP.01 001106 - IT  ROUTE 116 COMERCIO E LOCACAO DE EQUIPAME</t>
  </si>
  <si>
    <t>ESP.01 001107 - IT  LOCK CACAMBAS E TRANSPORTES LTDA</t>
  </si>
  <si>
    <t>ESP.01 001108 - IT  UDIACO COMERCIO E INDUSTRIA DE FERRO E A</t>
  </si>
  <si>
    <t>ESP.01 001109 - IT  SUPERIOR ENGENHARIA LTDA</t>
  </si>
  <si>
    <t>ESP.01 001110 - IT  CORTESIA SERVICOS DE CONCRETAGEM LTDA.</t>
  </si>
  <si>
    <t>ESP.01 001111 - IT  ITAPLAN BRASIL CONSULTORIA DE IMOVEIS LT</t>
  </si>
  <si>
    <t>ESP.01 001112 - IT  ITAPLAN BRASIL CONSULTORIA DE IMOVEIS LT</t>
  </si>
  <si>
    <t>ESP.01 001113 - IT  MARCOFFEE COMERCIAL E SERVICOS LTDA</t>
  </si>
  <si>
    <t>ESP.01 001114 - IT  FASS NEGOCIOS IMOBILIARIOS</t>
  </si>
  <si>
    <t>ESP.01 001115 - IT  CORTESIA SERVICOS DE CONCRETAGEM LTDA.</t>
  </si>
  <si>
    <t>ESP.01 001116 - IT  LPS São Paulo</t>
  </si>
  <si>
    <t>ESP.01 000349 - IT  MARCOS JOEL BOMFIM 31417174862</t>
  </si>
  <si>
    <t>ESP.01 000350 - IT  MARCOS JOEL BOMFIM 31417174862</t>
  </si>
  <si>
    <t>ESP.01 000351 - IT  FOCUS COMMODITIES COMERCIO EXTERIOR LTDA</t>
  </si>
  <si>
    <t>ESP.01 000352 - IT  MARCOFFEE COMERCIAL E SERVICOS LTDA</t>
  </si>
  <si>
    <t>ESP.01 000353 - IT  MARCOS JOEL BOMFIM 31417174862</t>
  </si>
  <si>
    <t>ESP.01 000354 - IT  Immobiz Digital Ltda</t>
  </si>
  <si>
    <t>ESP.01 000355 - IT  ENGINE SOLUCOES DIGITAIS LTDA</t>
  </si>
  <si>
    <t>Encontro de Contas - Envio Destino: AVR</t>
  </si>
  <si>
    <t>ESP.01 001345 - IT  ELETROPAULO METROPOLITANA ELETRICIDADE D</t>
  </si>
  <si>
    <t>ESP.01 001346 - IT  ELETROPAULO METROPOLITANA ELETRICIDADE D</t>
  </si>
  <si>
    <t>ESP.01 001347 - IT  MERCADO PAGO INSTITUICAO DE PAGAMENTO LT</t>
  </si>
  <si>
    <t>ESP.01 001348 - IT  BARBI ENGENHARIA LTDA</t>
  </si>
  <si>
    <t>ESP.01 001349 - IT  ROUTE 116 COMERCIO E LOCACAO DE EQUIPAME</t>
  </si>
  <si>
    <t>ESP.01 001350 - IT  R2M EQUIPAMENTOS PARA CONSTRUCAO LTDA</t>
  </si>
  <si>
    <t>ESP.01 001352 - IT  NEXT EXAUSTORES LTDA</t>
  </si>
  <si>
    <t>ESP.01 001353 - IT  MJA COMERCIO DE GESSO E MATERIAIS PARA C</t>
  </si>
  <si>
    <t>ESP.01 001355 - IT  Prefeitura do Municipio de Sao Paulo</t>
  </si>
  <si>
    <t>ESP.01 001356 - IT  ELETROPAULO METROPOLITANA ELETRICIDADE D</t>
  </si>
  <si>
    <t>ESP.01 001357 - IT  TECNO FLUIDOS SISTEMAS DE CONDUCAO LTDA</t>
  </si>
  <si>
    <t>ESP.01 001358 - IT  BRN INDUSTRIA DE QUIMICOS PARA CONSTRUCA</t>
  </si>
  <si>
    <t>ESP.01 001359 - IT  Prefeitura do Municipio de Sao Paulo</t>
  </si>
  <si>
    <t>ESP.01 001360 - IT  ELETROPAULO METROPOLITANA ELETRICIDADE D</t>
  </si>
  <si>
    <t>ESP.01 001361 - IT  ELETROPAULO METROPOLITANA ELETRICIDADE D</t>
  </si>
  <si>
    <t>ESP.01 001362 - IT  ELETROPAULO METROPOLITANA ELETRICIDADE D</t>
  </si>
  <si>
    <t>ESP.01 001363 - IT  MARCOFFEE COMERCIAL E SERVICOS LTDA</t>
  </si>
  <si>
    <t>ESP.01 001364 - IT  STO BRASIL REVESTIMENTOS E FACHADAS LTDA</t>
  </si>
  <si>
    <t>ESP.01 001365 - IT  TECNO FLUIDOS SISTEMAS DE CONDUCAO LTDA</t>
  </si>
  <si>
    <t>ESP.01 000525 - IT  MC TRANSPORTE E LOCACAO EIRELI</t>
  </si>
  <si>
    <t>ESP.01 000526 - IT  SUDAMERICA AMBIENTAL LTDA.</t>
  </si>
  <si>
    <t>ESP.01 000527 - IT  INFRAESTRUTURA ENGENHARIA S/S</t>
  </si>
  <si>
    <t>ESP.01 000528 - IT  NUBIA DE JESUS TELES NEGOCIOS IMOBILIARI</t>
  </si>
  <si>
    <t>ESP.01 000529 - IT  NUBIA DE JESUS TELES NEGOCIOS IMOBILIARI</t>
  </si>
  <si>
    <t>ESP.01 000530 - IT  NUBIA DE JESUS TELES NEGOCIOS IMOBILIARI</t>
  </si>
  <si>
    <t>ESP.01 000531 - IT  Andre Vassilieff Mantovani</t>
  </si>
  <si>
    <t>ESP.01 000532 - IT  55.112.702 ERIKA TEIXEIRA CORDEIRO</t>
  </si>
  <si>
    <t>ESP.01 000533 - IT  FASS NEGOCIOS IMOBILIARIOS</t>
  </si>
  <si>
    <t>ESP.01 000534 - IT  MARCOS JOEL BOMFIM 31417174862</t>
  </si>
  <si>
    <t>ESP.01 000535 - IT  JOAO G BISPO BATISTA LTDA</t>
  </si>
  <si>
    <t>ESP.01 000536 - IT  ALFA AREIA E PEDRA LTDA</t>
  </si>
  <si>
    <t>ESP.01 000537 - IT  Prefeitura do Municipio de Sao Paulo</t>
  </si>
  <si>
    <t>ESP.01 000538 - IT  Prefeitura do Municipio de Sao Paulo</t>
  </si>
  <si>
    <t>ESP.01 000539 - IT  Prefeitura do Municipio de Sao Paulo</t>
  </si>
  <si>
    <t>ESP.01 000540 - IT  Prefeitura do Municipio de Sao Paulo</t>
  </si>
  <si>
    <t>ESP.01 000541 - IT  Prefeitura do Municipio de Sao Paulo</t>
  </si>
  <si>
    <t>ESP.01 000542 - IT  Prefeitura do Municipio de Sao Paulo</t>
  </si>
  <si>
    <t>ESP.01 000543 - IT  Prefeitura do Municipio de Sao Paulo</t>
  </si>
  <si>
    <t>ESP.01 000544 - IT  Prefeitura do Municipio de Sao Paulo</t>
  </si>
  <si>
    <t>ESP.01 001283 - IT  MARREGY INVESTIMENTOS E SOLUCOES IMOBILI</t>
  </si>
  <si>
    <t>ESP.01 000545 - IT  Prefeitura do Municipio de Sao Paulo</t>
  </si>
  <si>
    <t>ESP.01 000546 - IT  Prefeitura do Municipio de Sao Paulo</t>
  </si>
  <si>
    <t>ESP.01 000547 - IT  Prefeitura do Municipio de Sao Paulo</t>
  </si>
  <si>
    <t>ESP.01 000548 - IT  Prefeitura do Municipio de Sao Paulo</t>
  </si>
  <si>
    <t>ESP.01 000549 - IT  Prefeitura do Municipio de Sao Paulo</t>
  </si>
  <si>
    <t>ESP.01 000550 - IT  Prefeitura do Municipio de Sao Paulo</t>
  </si>
  <si>
    <t>ESP.01 000551 - IT  Prefeitura do Municipio de Sao Paulo</t>
  </si>
  <si>
    <t>ESP.01 000552 - IT  Prefeitura do Municipio de Sao Paulo</t>
  </si>
  <si>
    <t>ESP.01 000553 - IT  Prefeitura do Municipio de Sao Paulo</t>
  </si>
  <si>
    <t>ESP.01 000554 - IT  Prefeitura do Municipio de Sao Paulo</t>
  </si>
  <si>
    <t>ESP.01 000555 - IT  Prefeitura do Municipio de Sao Paulo</t>
  </si>
  <si>
    <t>ESP.01 000556 - IT  Prefeitura do Municipio de Sao Paulo</t>
  </si>
  <si>
    <t>ESP.01 000557 - IT  Prefeitura do Municipio de Sao Paulo</t>
  </si>
  <si>
    <t>ESP.01 000558 - IT  Prefeitura do Municipio de Sao Paulo</t>
  </si>
  <si>
    <t>ESP.01 000559 - IT  Prefeitura do Municipio de Sao Paulo</t>
  </si>
  <si>
    <t>ESP.01 000560 - IT  Prefeitura do Municipio de Sao Paulo</t>
  </si>
  <si>
    <t>ESP.01 000561 - IT  Prefeitura do Municipio de Sao Paulo</t>
  </si>
  <si>
    <t>ESP.01 000562 - IT  Prefeitura do Municipio de Sao Paulo</t>
  </si>
  <si>
    <t>ESP.01 000563 - IT  Prefeitura do Municipio de Sao Paulo</t>
  </si>
  <si>
    <t>ESP.01 000564 - IT  Prefeitura do Municipio de Sao Paulo</t>
  </si>
  <si>
    <t>ESP.01 000565 - IT  Prefeitura do Municipio de Sao Paulo</t>
  </si>
  <si>
    <t>ESP.01 000566 - IT  Prefeitura do Municipio de Sao Paulo</t>
  </si>
  <si>
    <t>ESP.01 000567 - IT  Prefeitura do Municipio de Sao Paulo</t>
  </si>
  <si>
    <t>ESP.01 000568 - IT  Prefeitura do Municipio de Sao Paulo</t>
  </si>
  <si>
    <t>ESP.01 000569 - IT  Prefeitura do Municipio de Sao Paulo</t>
  </si>
  <si>
    <t>ESP.01 000570 - IT  Prefeitura do Municipio de Sao Paulo</t>
  </si>
  <si>
    <t>ESP.01 000571 - IT  Prefeitura do Municipio de Sao Paulo</t>
  </si>
  <si>
    <t>ESP.01 000572 - IT  Prefeitura do Municipio de Sao Paulo</t>
  </si>
  <si>
    <t>ESP.01 000573 - IT  Prefeitura do Municipio de Sao Paulo</t>
  </si>
  <si>
    <t>ESP.01 000574 - IT  Prefeitura do Municipio de Sao Paulo</t>
  </si>
  <si>
    <t>ESP.01 000575 - IT  Prefeitura do Municipio de Sao Paulo</t>
  </si>
  <si>
    <t>ESP.01 000576 - IT  Prefeitura do Municipio de Sao Paulo</t>
  </si>
  <si>
    <t>ESP.01 000577 - IT  Prefeitura do Municipio de Sao Paulo</t>
  </si>
  <si>
    <t>ESP.01 000578 - IT  Prefeitura do Municipio de Sao Paulo</t>
  </si>
  <si>
    <t>ESP.01 000579 - IT  Prefeitura do Municipio de Sao Paulo</t>
  </si>
  <si>
    <t>ESP.01 000580 - IT  Prefeitura do Municipio de Sao Paulo</t>
  </si>
  <si>
    <t>ESP.01 000581 - IT  Prefeitura do Municipio de Sao Paulo</t>
  </si>
  <si>
    <t>ESP.01 000582 - IT  Prefeitura do Municipio de Sao Paulo</t>
  </si>
  <si>
    <t>ESP.01 000583 - IT  Prefeitura do Municipio de Sao Paulo</t>
  </si>
  <si>
    <t>ESP.01 000584 - IT  Prefeitura do Municipio de Sao Paulo</t>
  </si>
  <si>
    <t>ESP.01 000585 - IT  Prefeitura do Municipio de Sao Paulo</t>
  </si>
  <si>
    <t>ESP.01 000586 - IT  Prefeitura do Municipio de Sao Paulo</t>
  </si>
  <si>
    <t>ESP.01 000587 - IT  Prefeitura do Municipio de Sao Paulo</t>
  </si>
  <si>
    <t>XSP.01 000028 - SC  pref limeira</t>
  </si>
  <si>
    <t>XSP.01 000029 - SC  PREFEIT MUN LIMEIRA</t>
  </si>
  <si>
    <t>XSP.01 000030 - SC  PREF MUN LIMJEIRA</t>
  </si>
  <si>
    <t>XSP.01 000027 - SC  pref limeira</t>
  </si>
  <si>
    <t>ESP.01 000177 - IT  Prefeitura do Municipio de Sao Paulo</t>
  </si>
  <si>
    <t>ESP.01 000178 - IT  Prefeitura do Municipio de Sao Paulo</t>
  </si>
  <si>
    <t>DSP.01 000053 - DC BC 341; 06340-0;  PREF MUN LIMEIRA</t>
  </si>
  <si>
    <t>ESP.01 001731 - IT  Prefeitura do Municipio de Sao Paulo</t>
  </si>
  <si>
    <t>ESP.01 001732 - IT  Prefeitura do Municipio de Sao Paulo</t>
  </si>
  <si>
    <t>ESP.01 001733 - IT  Advanced Informática Ltda</t>
  </si>
  <si>
    <t>ESP.01 001734 - IT  Prefeitura do Municipio de Sao Paulo</t>
  </si>
  <si>
    <t>ESP.01 001735 - IT  Kadija Assad El Mir Araujo</t>
  </si>
  <si>
    <t>ESP.01 001736 - IT  ENGINE SOLUCOES DIGITAIS LTDA</t>
  </si>
  <si>
    <t>ESP.01 001737 - IT  ENGINE SOLUCOES DIGITAIS LTDA</t>
  </si>
  <si>
    <t>ESP.01 001738 - IT  SIND EMP COMP VENDA LOC ADM IMOV RESID C</t>
  </si>
  <si>
    <t>ESP.01 001739 - IT  ELETROPAULO METROPOLITANA ELETRICIDADE D</t>
  </si>
  <si>
    <t>ESP.01 001740 - IT  AUTODOC PROCESSAMENTO DE DADOS LTDA</t>
  </si>
  <si>
    <t>ESP.01 000029 - IT  Serasa S.A</t>
  </si>
  <si>
    <t>ESP.01 000030 - IT  PREFEIT MUNIC LIMEIRA</t>
  </si>
  <si>
    <t>ESP.01 000150 - IT  SERVICO SOCIAL DA CONSTRUCAO CIVIL DO ES</t>
  </si>
  <si>
    <t>ESP.01 000176 - IT  ELYON SOLUCOES GRAFICAS LTDA</t>
  </si>
  <si>
    <t>ESP.01 000588 - IT  Marino Gonçalves da Cruz</t>
  </si>
  <si>
    <t>RECIBO No. 487 Comissão/vendas 0094-2</t>
  </si>
  <si>
    <t>RECIBO No. 280 Comissão/vendas 0150-1</t>
  </si>
  <si>
    <t>ESP.01 001156 - IT  EPT ENGENHARIA E PESQUISAS TECNOLOGICAS</t>
  </si>
  <si>
    <t>ESP.01 000546 - IT  SERVICO SOCIAL DA CONSTRUCAO CIVIL DO ES</t>
  </si>
  <si>
    <t>ESP.01 000547 - IT  CLEMILSON DE JESUS PEREIRA</t>
  </si>
  <si>
    <t>ESP.01 000548 - IT  KAIO MIGUEL SOUZA SANTOS</t>
  </si>
  <si>
    <t>ESP.01 000549 - IT  MATHEUS RIBAS FRANCISCO</t>
  </si>
  <si>
    <t>ESP.01 000550 - IT  JOSE FELIX PEREIRA</t>
  </si>
  <si>
    <t>XSP.01 000001 - SC  Francisco Antonio de Carvalho Coelho</t>
  </si>
  <si>
    <t>Tesouraria - Butia</t>
  </si>
  <si>
    <t>XSP.01 000002 - SC  SERVICO SOCIAL DA CONSTRUCAO CIVIL DO ES</t>
  </si>
  <si>
    <t>ESP.01 000356 - IT  ELYON SOLUCOES GRAFICAS LTDA</t>
  </si>
  <si>
    <t>ESP.01 000105 - IT  Inajá Bistulfi de Souza</t>
  </si>
  <si>
    <t>RECIBO No. 62 Administrativo 0047-0</t>
  </si>
  <si>
    <t>ESP.01 001119 - IT  Prefeitura do Municipio de Sao Paulo</t>
  </si>
  <si>
    <t>ESP.01 001120 - IT  Prefeitura do Municipio de Sao Paulo</t>
  </si>
  <si>
    <t>ESP.01 001366 - IT  ELETROPAULO METROPOLITANA ELETRICIDADE D</t>
  </si>
  <si>
    <t>ESP.01 000177 - IT  MARCOS R. ALUVEI SERVICOS ADMINISTRATIVO</t>
  </si>
  <si>
    <t>ESP.01 000106 - IT  MARCOS R. ALUVEI SERVICOS ADMINISTRATIVO</t>
  </si>
  <si>
    <t>Encontro de Contas - Envio Destino: CBL</t>
  </si>
  <si>
    <t>TARIFA TED GUICHE CAIXA</t>
  </si>
  <si>
    <t>ESP.01 001121 - IT  Cr Eldorado Negocios Imobiliarios Ltda</t>
  </si>
  <si>
    <t>ESP.01 001748 - IT  Ministério da Fazenda</t>
  </si>
  <si>
    <t>ESP.01 000589 - IT  Ministério da Fazenda</t>
  </si>
  <si>
    <t>ESP.01 001367 - IT  Ministério da Fazenda</t>
  </si>
  <si>
    <t>ESP.01 001368 - IT  Ministério da Fazenda</t>
  </si>
  <si>
    <t>ESP.01 000842 - IT  Ministério da Fazenda</t>
  </si>
  <si>
    <t>ESP.01 000089 - IT  Ministério da Fazenda</t>
  </si>
  <si>
    <t>ESP.01 000107 - IT  Ministério da Fazenda</t>
  </si>
  <si>
    <t>ESP.01 001122 - IT  Ministério da Fazenda</t>
  </si>
  <si>
    <t>ESP.01 001123 - IT  Ministério da Fazenda</t>
  </si>
  <si>
    <t>ESP.01 001284 - IT  Ministério da Fazenda</t>
  </si>
  <si>
    <t>ESP.01 000179 - IT  Ministério da Fazenda</t>
  </si>
  <si>
    <t>ESP.01 000321 - IT  Rosario Rodriguez Aragão</t>
  </si>
  <si>
    <t>ESP.01 000054 - IT  Ministério da Fazenda</t>
  </si>
  <si>
    <t>ESP.01 000178 - IT  Ministério da Fazenda</t>
  </si>
  <si>
    <t>ESP.01 000363 - IT  Ministério da Fazenda</t>
  </si>
  <si>
    <t>RECIBO No. 14 Villa Romana - Ibirapuera 0006-1</t>
  </si>
  <si>
    <t>ESP.01 000611 - IT  Ministério da Fazenda</t>
  </si>
  <si>
    <t>ESP.01 000090 - IT  Robert Alves dos Anjos</t>
  </si>
  <si>
    <t>Financiamento - Agente BC 104  Contrato:8.7877.2540078-5 Juros de contrato</t>
  </si>
  <si>
    <t>PAGAMENTO CI 11450.  PAGO POR ENGANO NA CBL, MAS ORIGINAL DA AMP.</t>
  </si>
  <si>
    <t>TARIFA TED IB</t>
  </si>
  <si>
    <t>RENDIMENTO FINANCEIRO CONTRATO Nº 878772735815</t>
  </si>
  <si>
    <t>RENDIMENTO CDB AUTOMATICO</t>
  </si>
  <si>
    <t>TAR TED INTERNET</t>
  </si>
  <si>
    <t>ESP.01 000109 - IT  MARCOS R. ALUVEI SERVICOS ADMINISTRATIVO</t>
  </si>
  <si>
    <t>Extratos</t>
  </si>
  <si>
    <t>F - E</t>
  </si>
  <si>
    <t>F - E (%)</t>
  </si>
  <si>
    <t>I - E</t>
  </si>
  <si>
    <t>I - E (%)</t>
  </si>
  <si>
    <t>Saldo (Extratos)</t>
  </si>
  <si>
    <t>Entradas (Informakon)</t>
  </si>
  <si>
    <t>Saídas (Informakon)</t>
  </si>
  <si>
    <t>Saldo (Informakon)</t>
  </si>
  <si>
    <t>Entradas (Fechamento_E)</t>
  </si>
  <si>
    <t>Saídas (Fechamento_E)</t>
  </si>
  <si>
    <t>Saldo (Fechamento_E)</t>
  </si>
  <si>
    <t>Saldo (Fechamento_N)</t>
  </si>
  <si>
    <t>AHA</t>
  </si>
  <si>
    <t>Folha M.O. - PGTO</t>
  </si>
  <si>
    <t>Previsão de receitas até 31/07</t>
  </si>
  <si>
    <t>% terreno select</t>
  </si>
  <si>
    <t>* tem uma variação pra maior considerando % obra acumulado do contrato.</t>
  </si>
  <si>
    <t>% terreno lucas</t>
  </si>
  <si>
    <t>Variação (Informakon)</t>
  </si>
  <si>
    <t>Variação (Extratos)</t>
  </si>
  <si>
    <t>Diferença ($)</t>
  </si>
  <si>
    <t>Natureza</t>
  </si>
  <si>
    <t>Movimentações de PJ da CEF</t>
  </si>
  <si>
    <t>Amortização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</si>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</sst>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m/yyyy"/>
    <numFmt numFmtId="165" formatCode="#,##0;\(#,##0\)"/>
    <numFmt numFmtId="166" formatCode="mmm\-yyyy"/>
    <numFmt numFmtId="167" formatCode="_-* #,##0_-;\-* #,##0_-;_-* &quot;-&quot;??_-;_-@_-"/>
    <numFmt numFmtId="168" formatCode="#,##0.00;\(#,##0.00\)"/>
  </numFmts>
  <fonts count="3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name val="Arial"/>
      <family val="2"/>
    </font>
    <font>
      <b/>
      <sz val="8"/>
      <color rgb="FF0F0000"/>
      <name val="MS Sans Serif"/>
    </font>
    <font>
      <b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0F0F0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2499465926084170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theme="0" tint="-0.24994659260841701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theme="0" tint="-0.2499465926084170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hair">
        <color theme="0" tint="-0.24994659260841701"/>
      </right>
      <top/>
      <bottom style="thin">
        <color auto="1"/>
      </bottom>
      <diagonal/>
    </border>
    <border>
      <left style="thin">
        <color auto="1"/>
      </left>
      <right style="hair">
        <color theme="0" tint="-0.24994659260841701"/>
      </right>
      <top style="thin">
        <color auto="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auto="1"/>
      </top>
      <bottom style="hair">
        <color theme="0" tint="-0.24994659260841701"/>
      </bottom>
      <diagonal/>
    </border>
    <border>
      <left/>
      <right/>
      <top style="thin">
        <color auto="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auto="1"/>
      </right>
      <top style="thin">
        <color auto="1"/>
      </top>
      <bottom style="hair">
        <color theme="0" tint="-0.24994659260841701"/>
      </bottom>
      <diagonal/>
    </border>
    <border>
      <left style="thin">
        <color auto="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hair">
        <color theme="0" tint="-0.24994659260841701"/>
      </right>
      <top style="hair">
        <color theme="0" tint="-0.24994659260841701"/>
      </top>
      <bottom style="thin">
        <color auto="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auto="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theme="0" tint="-0.14996795556505021"/>
      </right>
      <top style="thin">
        <color auto="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auto="1"/>
      </top>
      <bottom style="hair">
        <color theme="0" tint="-0.14996795556505021"/>
      </bottom>
      <diagonal/>
    </border>
    <border>
      <left style="thin">
        <color auto="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thin">
        <color auto="1"/>
      </bottom>
      <diagonal/>
    </border>
    <border>
      <left style="hair">
        <color theme="0" tint="-0.24994659260841701"/>
      </left>
      <right/>
      <top style="thin">
        <color auto="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auto="1"/>
      </right>
      <top style="hair">
        <color theme="0" tint="-0.2499465926084170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theme="0" tint="-0.24994659260841701"/>
      </right>
      <top style="thin">
        <color auto="1"/>
      </top>
      <bottom style="hair">
        <color theme="0" tint="-0.24994659260841701"/>
      </bottom>
      <diagonal/>
    </border>
    <border>
      <left style="thick">
        <color auto="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thick">
        <color auto="1"/>
      </left>
      <right style="hair">
        <color theme="0" tint="-0.24994659260841701"/>
      </right>
      <top style="hair">
        <color theme="0" tint="-0.24994659260841701"/>
      </top>
      <bottom style="thick">
        <color auto="1"/>
      </bottom>
      <diagonal/>
    </border>
    <border>
      <left style="hair">
        <color theme="0" tint="-0.24994659260841701"/>
      </left>
      <right style="thick">
        <color auto="1"/>
      </right>
      <top style="hair">
        <color theme="0" tint="-0.24994659260841701"/>
      </top>
      <bottom style="thick">
        <color auto="1"/>
      </bottom>
      <diagonal/>
    </border>
    <border>
      <left style="thin">
        <color auto="1"/>
      </left>
      <right style="hair">
        <color theme="0" tint="-0.24994659260841701"/>
      </right>
      <top style="thin">
        <color auto="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auto="1"/>
      </top>
      <bottom style="thin">
        <color indexed="64"/>
      </bottom>
      <diagonal/>
    </border>
    <border>
      <left style="hair">
        <color theme="0" tint="-0.24994659260841701"/>
      </left>
      <right/>
      <top style="thin">
        <color auto="1"/>
      </top>
      <bottom style="thin">
        <color indexed="64"/>
      </bottom>
      <diagonal/>
    </border>
    <border>
      <left style="thick">
        <color auto="1"/>
      </left>
      <right style="hair">
        <color theme="0" tint="-0.24994659260841701"/>
      </right>
      <top style="thick">
        <color auto="1"/>
      </top>
      <bottom style="thin">
        <color indexed="64"/>
      </bottom>
      <diagonal/>
    </border>
    <border>
      <left style="hair">
        <color theme="0" tint="-0.2499465926084170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/>
      <right style="hair">
        <color theme="0" tint="-0.24994659260841701"/>
      </right>
      <top style="thin">
        <color auto="1"/>
      </top>
      <bottom style="thin">
        <color indexed="64"/>
      </bottom>
      <diagonal/>
    </border>
    <border>
      <left style="hair">
        <color theme="0" tint="-0.2499465926084170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ck">
        <color auto="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ck">
        <color auto="1"/>
      </right>
      <top style="thin">
        <color indexed="64"/>
      </top>
      <bottom style="hair">
        <color theme="0" tint="-0.24994659260841701"/>
      </bottom>
      <diagonal/>
    </border>
    <border>
      <left style="thick">
        <color auto="1"/>
      </left>
      <right style="hair">
        <color theme="0" tint="-0.24994659260841701"/>
      </right>
      <top style="hair">
        <color theme="0" tint="-0.24994659260841701"/>
      </top>
      <bottom style="thin">
        <color auto="1"/>
      </bottom>
      <diagonal/>
    </border>
    <border>
      <left style="hair">
        <color theme="0" tint="-0.24994659260841701"/>
      </left>
      <right style="thick">
        <color auto="1"/>
      </right>
      <top style="hair">
        <color theme="0" tint="-0.24994659260841701"/>
      </top>
      <bottom style="thin">
        <color auto="1"/>
      </bottom>
      <diagonal/>
    </border>
    <border>
      <left style="thin">
        <color auto="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auto="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/>
      <diagonal/>
    </border>
    <border>
      <left/>
      <right style="thin">
        <color indexed="64"/>
      </right>
      <top/>
      <bottom style="hair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theme="0" tint="-0.14996795556505021"/>
      </right>
      <top style="thin">
        <color auto="1"/>
      </top>
      <bottom style="thin">
        <color auto="1"/>
      </bottom>
      <diagonal/>
    </border>
    <border>
      <left style="hair">
        <color theme="0" tint="-0.1499679555650502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theme="0" tint="-0.14996795556505021"/>
      </right>
      <top/>
      <bottom/>
      <diagonal/>
    </border>
    <border>
      <left style="thin">
        <color auto="1"/>
      </left>
      <right style="hair">
        <color theme="0" tint="-0.14996795556505021"/>
      </right>
      <top/>
      <bottom style="thin">
        <color auto="1"/>
      </bottom>
      <diagonal/>
    </border>
    <border>
      <left style="hair">
        <color theme="0" tint="-0.14996795556505021"/>
      </left>
      <right/>
      <top/>
      <bottom/>
      <diagonal/>
    </border>
    <border>
      <left style="hair">
        <color theme="0" tint="-0.1499679555650502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theme="0" tint="-0.14996795556505021"/>
      </left>
      <right style="hair">
        <color theme="0" tint="-0.24994659260841701"/>
      </right>
      <top style="thin">
        <color auto="1"/>
      </top>
      <bottom style="hair">
        <color theme="0" tint="-0.24994659260841701"/>
      </bottom>
      <diagonal/>
    </border>
    <border>
      <left style="hair">
        <color theme="0" tint="-0.1499679555650502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thin">
        <color indexed="64"/>
      </bottom>
      <diagonal/>
    </border>
    <border>
      <left style="hair">
        <color theme="0" tint="-0.1499679555650502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hair">
        <color theme="0" tint="-0.1499679555650502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theme="0" tint="-0.24994659260841701"/>
      </left>
      <right/>
      <top style="thin">
        <color auto="1"/>
      </top>
      <bottom/>
      <diagonal/>
    </border>
    <border>
      <left style="hair">
        <color theme="0" tint="-0.24994659260841701"/>
      </left>
      <right style="thin">
        <color indexed="64"/>
      </right>
      <top/>
      <bottom style="hair">
        <color theme="0" tint="-0.24994659260841701"/>
      </bottom>
      <diagonal/>
    </border>
    <border>
      <left/>
      <right/>
      <top/>
      <bottom style="thin">
        <color theme="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/>
      <top style="thin">
        <color auto="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/>
      <right style="thick">
        <color rgb="FFFFFF00"/>
      </right>
      <top/>
      <bottom/>
      <diagonal/>
    </border>
  </borders>
  <cellStyleXfs count="5">
    <xf numFmtId="0" fontId="0" fillId="0" borderId="0"/>
    <xf numFmtId="0" fontId="4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1" fillId="0" borderId="0"/>
  </cellStyleXfs>
  <cellXfs count="634">
    <xf numFmtId="0" fontId="0" fillId="0" borderId="0" xfId="0"/>
    <xf numFmtId="0" fontId="4" fillId="0" borderId="0" xfId="1"/>
    <xf numFmtId="0" fontId="4" fillId="0" borderId="13" xfId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10" fillId="0" borderId="0" xfId="1" applyFont="1"/>
    <xf numFmtId="0" fontId="4" fillId="0" borderId="29" xfId="1" applyBorder="1" applyAlignment="1">
      <alignment horizontal="center" vertical="center"/>
    </xf>
    <xf numFmtId="0" fontId="4" fillId="7" borderId="14" xfId="1" applyFill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4" fillId="6" borderId="29" xfId="1" applyFill="1" applyBorder="1" applyAlignment="1">
      <alignment horizontal="center" vertical="center"/>
    </xf>
    <xf numFmtId="0" fontId="7" fillId="6" borderId="29" xfId="1" applyFont="1" applyFill="1" applyBorder="1" applyAlignment="1">
      <alignment horizontal="center" vertical="center"/>
    </xf>
    <xf numFmtId="0" fontId="7" fillId="7" borderId="29" xfId="1" applyFont="1" applyFill="1" applyBorder="1" applyAlignment="1">
      <alignment horizontal="center" vertical="center" wrapText="1"/>
    </xf>
    <xf numFmtId="0" fontId="7" fillId="10" borderId="29" xfId="1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1" applyFont="1"/>
    <xf numFmtId="0" fontId="14" fillId="14" borderId="38" xfId="0" applyFont="1" applyFill="1" applyBorder="1" applyAlignment="1">
      <alignment horizontal="center" vertical="center"/>
    </xf>
    <xf numFmtId="0" fontId="15" fillId="15" borderId="38" xfId="0" applyFont="1" applyFill="1" applyBorder="1" applyAlignment="1">
      <alignment horizontal="center" vertical="center"/>
    </xf>
    <xf numFmtId="0" fontId="4" fillId="0" borderId="20" xfId="1" applyBorder="1" applyAlignment="1">
      <alignment horizontal="center" vertical="center"/>
    </xf>
    <xf numFmtId="0" fontId="4" fillId="0" borderId="36" xfId="1" applyBorder="1" applyAlignment="1">
      <alignment horizontal="center" vertical="center"/>
    </xf>
    <xf numFmtId="0" fontId="4" fillId="0" borderId="25" xfId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26" xfId="1" applyBorder="1" applyAlignment="1">
      <alignment horizontal="center" vertical="center"/>
    </xf>
    <xf numFmtId="0" fontId="4" fillId="2" borderId="27" xfId="1" applyFill="1" applyBorder="1" applyAlignment="1">
      <alignment horizontal="center" vertical="center"/>
    </xf>
    <xf numFmtId="0" fontId="4" fillId="2" borderId="37" xfId="1" applyFill="1" applyBorder="1" applyAlignment="1">
      <alignment horizontal="center" vertical="center"/>
    </xf>
    <xf numFmtId="0" fontId="4" fillId="2" borderId="28" xfId="1" applyFill="1" applyBorder="1" applyAlignment="1">
      <alignment horizontal="center" vertical="center"/>
    </xf>
    <xf numFmtId="0" fontId="4" fillId="0" borderId="34" xfId="1" applyBorder="1" applyAlignment="1">
      <alignment horizontal="center" vertical="center"/>
    </xf>
    <xf numFmtId="0" fontId="4" fillId="2" borderId="35" xfId="1" applyFill="1" applyBorder="1" applyAlignment="1">
      <alignment horizontal="center" vertical="center"/>
    </xf>
    <xf numFmtId="0" fontId="7" fillId="0" borderId="45" xfId="1" applyFont="1" applyBorder="1" applyAlignment="1">
      <alignment horizontal="center" vertical="center" wrapText="1"/>
    </xf>
    <xf numFmtId="0" fontId="7" fillId="0" borderId="46" xfId="1" applyFont="1" applyBorder="1" applyAlignment="1">
      <alignment horizontal="center" vertical="center" wrapText="1"/>
    </xf>
    <xf numFmtId="0" fontId="7" fillId="18" borderId="46" xfId="1" applyFont="1" applyFill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7" fillId="0" borderId="49" xfId="1" applyFont="1" applyBorder="1" applyAlignment="1">
      <alignment horizontal="center" vertical="center" wrapText="1"/>
    </xf>
    <xf numFmtId="0" fontId="7" fillId="18" borderId="50" xfId="1" applyFont="1" applyFill="1" applyBorder="1" applyAlignment="1">
      <alignment horizontal="center" vertical="center" wrapText="1"/>
    </xf>
    <xf numFmtId="0" fontId="7" fillId="17" borderId="46" xfId="1" applyFont="1" applyFill="1" applyBorder="1" applyAlignment="1">
      <alignment horizontal="center" vertical="center" wrapText="1"/>
    </xf>
    <xf numFmtId="0" fontId="7" fillId="17" borderId="51" xfId="1" applyFont="1" applyFill="1" applyBorder="1" applyAlignment="1">
      <alignment horizontal="center" vertical="center" wrapText="1"/>
    </xf>
    <xf numFmtId="0" fontId="4" fillId="0" borderId="40" xfId="1" applyBorder="1" applyAlignment="1">
      <alignment horizontal="center" vertical="center"/>
    </xf>
    <xf numFmtId="0" fontId="4" fillId="0" borderId="52" xfId="1" applyBorder="1" applyAlignment="1">
      <alignment horizontal="center" vertical="center"/>
    </xf>
    <xf numFmtId="0" fontId="4" fillId="0" borderId="53" xfId="1" applyBorder="1" applyAlignment="1">
      <alignment horizontal="center" vertical="center"/>
    </xf>
    <xf numFmtId="0" fontId="4" fillId="0" borderId="41" xfId="1" applyBorder="1" applyAlignment="1">
      <alignment horizontal="center" vertical="center"/>
    </xf>
    <xf numFmtId="0" fontId="4" fillId="0" borderId="42" xfId="1" applyBorder="1" applyAlignment="1">
      <alignment horizontal="center" vertical="center"/>
    </xf>
    <xf numFmtId="0" fontId="4" fillId="0" borderId="54" xfId="1" applyBorder="1" applyAlignment="1">
      <alignment horizontal="center" vertical="center"/>
    </xf>
    <xf numFmtId="0" fontId="4" fillId="0" borderId="55" xfId="1" applyBorder="1" applyAlignment="1">
      <alignment horizontal="center" vertical="center"/>
    </xf>
    <xf numFmtId="0" fontId="4" fillId="0" borderId="43" xfId="1" applyBorder="1" applyAlignment="1">
      <alignment horizontal="center" vertical="center"/>
    </xf>
    <xf numFmtId="0" fontId="4" fillId="0" borderId="44" xfId="1" applyBorder="1" applyAlignment="1">
      <alignment horizontal="center" vertical="center"/>
    </xf>
    <xf numFmtId="0" fontId="1" fillId="19" borderId="46" xfId="1" applyFont="1" applyFill="1" applyBorder="1" applyAlignment="1">
      <alignment horizontal="center" vertical="center" wrapText="1"/>
    </xf>
    <xf numFmtId="0" fontId="7" fillId="7" borderId="46" xfId="1" applyFont="1" applyFill="1" applyBorder="1" applyAlignment="1">
      <alignment horizontal="center" vertical="center" wrapText="1"/>
    </xf>
    <xf numFmtId="0" fontId="7" fillId="16" borderId="46" xfId="1" applyFont="1" applyFill="1" applyBorder="1" applyAlignment="1">
      <alignment horizontal="center" vertical="center" wrapText="1"/>
    </xf>
    <xf numFmtId="0" fontId="7" fillId="10" borderId="47" xfId="1" applyFont="1" applyFill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0" fontId="4" fillId="0" borderId="0" xfId="1" applyAlignment="1">
      <alignment vertical="center"/>
    </xf>
    <xf numFmtId="0" fontId="1" fillId="12" borderId="39" xfId="1" applyFont="1" applyFill="1" applyBorder="1" applyAlignment="1">
      <alignment horizontal="centerContinuous" vertical="center"/>
    </xf>
    <xf numFmtId="0" fontId="3" fillId="12" borderId="39" xfId="1" applyFont="1" applyFill="1" applyBorder="1" applyAlignment="1">
      <alignment horizontal="centerContinuous" vertical="center"/>
    </xf>
    <xf numFmtId="0" fontId="1" fillId="2" borderId="39" xfId="1" applyFont="1" applyFill="1" applyBorder="1" applyAlignment="1">
      <alignment horizontal="centerContinuous" vertical="center"/>
    </xf>
    <xf numFmtId="0" fontId="3" fillId="2" borderId="39" xfId="1" applyFont="1" applyFill="1" applyBorder="1" applyAlignment="1">
      <alignment horizontal="centerContinuous" vertical="center"/>
    </xf>
    <xf numFmtId="0" fontId="4" fillId="2" borderId="0" xfId="1" applyFill="1" applyAlignment="1">
      <alignment horizontal="centerContinuous" vertical="center"/>
    </xf>
    <xf numFmtId="0" fontId="4" fillId="13" borderId="18" xfId="1" applyFill="1" applyBorder="1" applyAlignment="1">
      <alignment horizontal="center" vertical="center"/>
    </xf>
    <xf numFmtId="0" fontId="4" fillId="13" borderId="25" xfId="1" applyFill="1" applyBorder="1" applyAlignment="1">
      <alignment horizontal="center" vertical="center"/>
    </xf>
    <xf numFmtId="0" fontId="4" fillId="13" borderId="34" xfId="1" applyFill="1" applyBorder="1" applyAlignment="1">
      <alignment horizontal="center" vertical="center"/>
    </xf>
    <xf numFmtId="0" fontId="4" fillId="13" borderId="20" xfId="1" applyFill="1" applyBorder="1" applyAlignment="1">
      <alignment horizontal="center" vertical="center"/>
    </xf>
    <xf numFmtId="0" fontId="1" fillId="19" borderId="29" xfId="1" applyFont="1" applyFill="1" applyBorder="1" applyAlignment="1">
      <alignment horizontal="center" vertical="center" wrapText="1"/>
    </xf>
    <xf numFmtId="0" fontId="7" fillId="16" borderId="29" xfId="1" applyFont="1" applyFill="1" applyBorder="1" applyAlignment="1">
      <alignment horizontal="center" vertical="center" wrapText="1"/>
    </xf>
    <xf numFmtId="0" fontId="4" fillId="7" borderId="18" xfId="1" applyFill="1" applyBorder="1" applyAlignment="1">
      <alignment horizontal="center" vertical="center"/>
    </xf>
    <xf numFmtId="0" fontId="4" fillId="7" borderId="20" xfId="1" applyFill="1" applyBorder="1" applyAlignment="1">
      <alignment horizontal="center" vertical="center"/>
    </xf>
    <xf numFmtId="0" fontId="16" fillId="0" borderId="0" xfId="0" applyFont="1"/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/>
    </xf>
    <xf numFmtId="0" fontId="17" fillId="0" borderId="19" xfId="0" applyFont="1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22" xfId="0" applyBorder="1" applyAlignment="1">
      <alignment horizontal="left"/>
    </xf>
    <xf numFmtId="164" fontId="1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5" fillId="3" borderId="0" xfId="0" applyFont="1" applyFill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6" fillId="4" borderId="4" xfId="0" applyFont="1" applyFill="1" applyBorder="1"/>
    <xf numFmtId="0" fontId="4" fillId="4" borderId="0" xfId="0" applyFont="1" applyFill="1"/>
    <xf numFmtId="41" fontId="7" fillId="4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4" borderId="7" xfId="0" applyFont="1" applyFill="1" applyBorder="1"/>
    <xf numFmtId="0" fontId="4" fillId="0" borderId="6" xfId="0" applyFont="1" applyBorder="1"/>
    <xf numFmtId="164" fontId="8" fillId="5" borderId="4" xfId="0" applyNumberFormat="1" applyFont="1" applyFill="1" applyBorder="1"/>
    <xf numFmtId="0" fontId="4" fillId="5" borderId="0" xfId="0" applyFont="1" applyFill="1"/>
    <xf numFmtId="0" fontId="7" fillId="5" borderId="5" xfId="0" applyFont="1" applyFill="1" applyBorder="1" applyAlignment="1">
      <alignment horizontal="center" vertical="center"/>
    </xf>
    <xf numFmtId="0" fontId="4" fillId="5" borderId="7" xfId="0" applyFont="1" applyFill="1" applyBorder="1"/>
    <xf numFmtId="0" fontId="4" fillId="0" borderId="4" xfId="0" applyFont="1" applyBorder="1"/>
    <xf numFmtId="164" fontId="8" fillId="5" borderId="8" xfId="0" applyNumberFormat="1" applyFont="1" applyFill="1" applyBorder="1"/>
    <xf numFmtId="0" fontId="4" fillId="5" borderId="9" xfId="0" applyFont="1" applyFill="1" applyBorder="1"/>
    <xf numFmtId="0" fontId="7" fillId="5" borderId="10" xfId="0" applyFont="1" applyFill="1" applyBorder="1" applyAlignment="1">
      <alignment horizontal="center" vertical="center"/>
    </xf>
    <xf numFmtId="0" fontId="4" fillId="0" borderId="9" xfId="0" applyFont="1" applyBorder="1"/>
    <xf numFmtId="0" fontId="4" fillId="5" borderId="12" xfId="0" applyFont="1" applyFill="1" applyBorder="1"/>
    <xf numFmtId="164" fontId="2" fillId="0" borderId="8" xfId="0" applyNumberFormat="1" applyFont="1" applyBorder="1"/>
    <xf numFmtId="0" fontId="4" fillId="0" borderId="11" xfId="0" applyFont="1" applyBorder="1"/>
    <xf numFmtId="0" fontId="6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4" fontId="4" fillId="20" borderId="17" xfId="0" applyNumberFormat="1" applyFont="1" applyFill="1" applyBorder="1" applyAlignment="1">
      <alignment horizontal="center" vertical="center" wrapText="1"/>
    </xf>
    <xf numFmtId="14" fontId="4" fillId="20" borderId="18" xfId="0" applyNumberFormat="1" applyFont="1" applyFill="1" applyBorder="1" applyAlignment="1">
      <alignment horizontal="center" vertical="center" wrapText="1"/>
    </xf>
    <xf numFmtId="0" fontId="4" fillId="20" borderId="19" xfId="0" applyFont="1" applyFill="1" applyBorder="1" applyAlignment="1">
      <alignment horizontal="center" vertical="center" wrapText="1"/>
    </xf>
    <xf numFmtId="14" fontId="4" fillId="21" borderId="18" xfId="0" applyNumberFormat="1" applyFont="1" applyFill="1" applyBorder="1" applyAlignment="1">
      <alignment horizontal="center" vertical="center" wrapText="1"/>
    </xf>
    <xf numFmtId="0" fontId="4" fillId="21" borderId="19" xfId="0" applyFont="1" applyFill="1" applyBorder="1" applyAlignment="1">
      <alignment horizontal="center" vertical="center" wrapText="1"/>
    </xf>
    <xf numFmtId="0" fontId="4" fillId="21" borderId="6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1" fontId="4" fillId="6" borderId="17" xfId="0" applyNumberFormat="1" applyFont="1" applyFill="1" applyBorder="1" applyAlignment="1">
      <alignment horizontal="center" vertical="center"/>
    </xf>
    <xf numFmtId="43" fontId="4" fillId="6" borderId="18" xfId="0" applyNumberFormat="1" applyFont="1" applyFill="1" applyBorder="1" applyAlignment="1">
      <alignment horizontal="center" vertical="center"/>
    </xf>
    <xf numFmtId="43" fontId="4" fillId="6" borderId="19" xfId="0" applyNumberFormat="1" applyFont="1" applyFill="1" applyBorder="1" applyAlignment="1">
      <alignment horizontal="center" vertical="center"/>
    </xf>
    <xf numFmtId="43" fontId="4" fillId="7" borderId="18" xfId="0" applyNumberFormat="1" applyFont="1" applyFill="1" applyBorder="1" applyAlignment="1">
      <alignment horizontal="center" vertical="center"/>
    </xf>
    <xf numFmtId="43" fontId="4" fillId="6" borderId="6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43" fontId="4" fillId="7" borderId="21" xfId="0" applyNumberFormat="1" applyFont="1" applyFill="1" applyBorder="1" applyAlignment="1">
      <alignment horizontal="center" vertical="center"/>
    </xf>
    <xf numFmtId="43" fontId="4" fillId="7" borderId="22" xfId="0" applyNumberFormat="1" applyFont="1" applyFill="1" applyBorder="1" applyAlignment="1">
      <alignment horizontal="center" vertical="center"/>
    </xf>
    <xf numFmtId="43" fontId="4" fillId="7" borderId="6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43" fontId="3" fillId="8" borderId="23" xfId="0" applyNumberFormat="1" applyFont="1" applyFill="1" applyBorder="1" applyAlignment="1">
      <alignment horizontal="center" vertical="center"/>
    </xf>
    <xf numFmtId="43" fontId="3" fillId="8" borderId="24" xfId="0" applyNumberFormat="1" applyFont="1" applyFill="1" applyBorder="1" applyAlignment="1">
      <alignment horizontal="center" vertical="center"/>
    </xf>
    <xf numFmtId="43" fontId="3" fillId="8" borderId="62" xfId="0" applyNumberFormat="1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4" fillId="0" borderId="19" xfId="0" applyNumberFormat="1" applyFont="1" applyBorder="1" applyAlignment="1">
      <alignment horizontal="center" vertical="center"/>
    </xf>
    <xf numFmtId="43" fontId="4" fillId="0" borderId="60" xfId="0" applyNumberFormat="1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4" fillId="7" borderId="25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43" fontId="4" fillId="0" borderId="27" xfId="0" applyNumberFormat="1" applyFont="1" applyBorder="1" applyAlignment="1">
      <alignment horizontal="center" vertical="center"/>
    </xf>
    <xf numFmtId="43" fontId="4" fillId="7" borderId="28" xfId="0" applyNumberFormat="1" applyFont="1" applyFill="1" applyBorder="1" applyAlignment="1">
      <alignment horizontal="center" vertical="center"/>
    </xf>
    <xf numFmtId="43" fontId="4" fillId="7" borderId="27" xfId="0" applyNumberFormat="1" applyFont="1" applyFill="1" applyBorder="1" applyAlignment="1">
      <alignment horizontal="center" vertical="center"/>
    </xf>
    <xf numFmtId="43" fontId="4" fillId="0" borderId="28" xfId="0" applyNumberFormat="1" applyFont="1" applyBorder="1" applyAlignment="1">
      <alignment horizontal="center" vertical="center"/>
    </xf>
    <xf numFmtId="0" fontId="16" fillId="0" borderId="63" xfId="0" applyFont="1" applyBorder="1"/>
    <xf numFmtId="43" fontId="0" fillId="0" borderId="0" xfId="0" applyNumberFormat="1"/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3" fontId="0" fillId="0" borderId="0" xfId="2" applyNumberFormat="1" applyFont="1" applyBorder="1"/>
    <xf numFmtId="43" fontId="0" fillId="0" borderId="0" xfId="2" applyNumberFormat="1" applyFont="1" applyFill="1" applyBorder="1"/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left"/>
    </xf>
    <xf numFmtId="43" fontId="0" fillId="0" borderId="0" xfId="0" applyNumberFormat="1" applyAlignment="1">
      <alignment horizontal="center"/>
    </xf>
    <xf numFmtId="43" fontId="19" fillId="0" borderId="0" xfId="0" applyNumberFormat="1" applyFont="1" applyAlignment="1">
      <alignment horizontal="left"/>
    </xf>
    <xf numFmtId="44" fontId="0" fillId="0" borderId="0" xfId="2" applyFont="1" applyFill="1" applyBorder="1" applyAlignment="1">
      <alignment horizontal="center"/>
    </xf>
    <xf numFmtId="43" fontId="0" fillId="7" borderId="0" xfId="0" applyNumberFormat="1" applyFill="1" applyAlignment="1">
      <alignment horizontal="left"/>
    </xf>
    <xf numFmtId="43" fontId="0" fillId="7" borderId="0" xfId="0" applyNumberFormat="1" applyFill="1"/>
    <xf numFmtId="0" fontId="0" fillId="0" borderId="0" xfId="0" applyAlignment="1">
      <alignment vertical="center"/>
    </xf>
    <xf numFmtId="10" fontId="0" fillId="0" borderId="0" xfId="3" applyNumberFormat="1" applyFont="1" applyFill="1" applyBorder="1" applyAlignment="1">
      <alignment horizontal="center"/>
    </xf>
    <xf numFmtId="43" fontId="0" fillId="0" borderId="0" xfId="2" applyNumberFormat="1" applyFont="1" applyBorder="1" applyAlignment="1">
      <alignment horizontal="center"/>
    </xf>
    <xf numFmtId="0" fontId="0" fillId="17" borderId="0" xfId="0" applyFill="1"/>
    <xf numFmtId="15" fontId="0" fillId="17" borderId="0" xfId="0" applyNumberFormat="1" applyFill="1"/>
    <xf numFmtId="0" fontId="0" fillId="10" borderId="0" xfId="0" applyFill="1"/>
    <xf numFmtId="0" fontId="0" fillId="20" borderId="0" xfId="0" applyFill="1"/>
    <xf numFmtId="0" fontId="0" fillId="7" borderId="0" xfId="0" applyFill="1"/>
    <xf numFmtId="0" fontId="0" fillId="11" borderId="0" xfId="0" applyFill="1"/>
    <xf numFmtId="0" fontId="2" fillId="0" borderId="0" xfId="0" applyFont="1" applyAlignment="1">
      <alignment horizontal="centerContinuous"/>
    </xf>
    <xf numFmtId="0" fontId="0" fillId="0" borderId="64" xfId="0" applyBorder="1"/>
    <xf numFmtId="0" fontId="0" fillId="0" borderId="65" xfId="0" applyBorder="1"/>
    <xf numFmtId="0" fontId="0" fillId="0" borderId="3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41" fontId="0" fillId="0" borderId="6" xfId="0" applyNumberFormat="1" applyBorder="1"/>
    <xf numFmtId="0" fontId="0" fillId="0" borderId="69" xfId="0" applyBorder="1"/>
    <xf numFmtId="41" fontId="0" fillId="0" borderId="11" xfId="0" applyNumberFormat="1" applyBorder="1"/>
    <xf numFmtId="10" fontId="0" fillId="0" borderId="0" xfId="3" applyNumberFormat="1" applyFont="1"/>
    <xf numFmtId="0" fontId="0" fillId="0" borderId="66" xfId="0" applyBorder="1" applyAlignment="1">
      <alignment horizontal="left"/>
    </xf>
    <xf numFmtId="0" fontId="0" fillId="0" borderId="67" xfId="0" applyBorder="1" applyAlignment="1">
      <alignment horizontal="left"/>
    </xf>
    <xf numFmtId="0" fontId="1" fillId="2" borderId="0" xfId="0" applyFont="1" applyFill="1" applyAlignment="1">
      <alignment vertical="center"/>
    </xf>
    <xf numFmtId="17" fontId="1" fillId="2" borderId="0" xfId="0" applyNumberFormat="1" applyFont="1" applyFill="1" applyAlignment="1">
      <alignment vertical="center"/>
    </xf>
    <xf numFmtId="0" fontId="1" fillId="22" borderId="0" xfId="0" applyFont="1" applyFill="1" applyAlignment="1">
      <alignment vertical="center"/>
    </xf>
    <xf numFmtId="0" fontId="1" fillId="22" borderId="0" xfId="0" applyFont="1" applyFill="1" applyAlignment="1">
      <alignment horizontal="center" vertical="center"/>
    </xf>
    <xf numFmtId="165" fontId="1" fillId="22" borderId="0" xfId="0" applyNumberFormat="1" applyFont="1" applyFill="1"/>
    <xf numFmtId="165" fontId="0" fillId="0" borderId="71" xfId="0" applyNumberFormat="1" applyBorder="1"/>
    <xf numFmtId="0" fontId="2" fillId="23" borderId="0" xfId="0" applyFont="1" applyFill="1" applyAlignment="1">
      <alignment horizontal="left" vertical="center" indent="1"/>
    </xf>
    <xf numFmtId="0" fontId="2" fillId="23" borderId="0" xfId="0" applyFont="1" applyFill="1" applyAlignment="1">
      <alignment horizontal="center" vertical="center"/>
    </xf>
    <xf numFmtId="165" fontId="2" fillId="23" borderId="0" xfId="0" applyNumberFormat="1" applyFont="1" applyFill="1"/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/>
    <xf numFmtId="0" fontId="0" fillId="0" borderId="0" xfId="0" applyAlignment="1">
      <alignment horizontal="left" vertical="center" indent="3"/>
    </xf>
    <xf numFmtId="165" fontId="0" fillId="0" borderId="0" xfId="0" applyNumberFormat="1"/>
    <xf numFmtId="0" fontId="2" fillId="7" borderId="0" xfId="0" applyFont="1" applyFill="1" applyAlignment="1">
      <alignment horizontal="left" vertical="center" indent="2"/>
    </xf>
    <xf numFmtId="0" fontId="2" fillId="24" borderId="0" xfId="0" applyFont="1" applyFill="1" applyAlignment="1">
      <alignment horizontal="left" vertical="center" indent="1"/>
    </xf>
    <xf numFmtId="0" fontId="20" fillId="24" borderId="0" xfId="0" applyFont="1" applyFill="1" applyAlignment="1">
      <alignment horizontal="center" vertical="center"/>
    </xf>
    <xf numFmtId="165" fontId="20" fillId="24" borderId="0" xfId="0" applyNumberFormat="1" applyFont="1" applyFill="1"/>
    <xf numFmtId="165" fontId="1" fillId="22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 indent="2"/>
    </xf>
    <xf numFmtId="0" fontId="2" fillId="24" borderId="0" xfId="0" applyFont="1" applyFill="1" applyAlignment="1">
      <alignment horizontal="center" vertical="center"/>
    </xf>
    <xf numFmtId="165" fontId="2" fillId="24" borderId="0" xfId="0" applyNumberFormat="1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/>
    <xf numFmtId="41" fontId="4" fillId="0" borderId="73" xfId="0" applyNumberFormat="1" applyFont="1" applyBorder="1" applyAlignment="1">
      <alignment horizontal="center" vertical="center"/>
    </xf>
    <xf numFmtId="41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41" fontId="4" fillId="0" borderId="74" xfId="0" applyNumberFormat="1" applyFont="1" applyBorder="1" applyAlignment="1">
      <alignment horizontal="center" vertical="center"/>
    </xf>
    <xf numFmtId="41" fontId="4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4" fillId="9" borderId="29" xfId="0" applyFont="1" applyFill="1" applyBorder="1" applyAlignment="1">
      <alignment horizontal="center" vertical="center" wrapText="1"/>
    </xf>
    <xf numFmtId="0" fontId="18" fillId="9" borderId="29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1" fontId="4" fillId="7" borderId="74" xfId="0" applyNumberFormat="1" applyFont="1" applyFill="1" applyBorder="1" applyAlignment="1">
      <alignment horizontal="center" vertical="center"/>
    </xf>
    <xf numFmtId="41" fontId="4" fillId="7" borderId="18" xfId="0" applyNumberFormat="1" applyFont="1" applyFill="1" applyBorder="1" applyAlignment="1">
      <alignment horizontal="center" vertical="center"/>
    </xf>
    <xf numFmtId="14" fontId="4" fillId="11" borderId="18" xfId="0" applyNumberFormat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0" fillId="0" borderId="9" xfId="0" applyBorder="1"/>
    <xf numFmtId="43" fontId="4" fillId="0" borderId="20" xfId="0" applyNumberFormat="1" applyFont="1" applyBorder="1" applyAlignment="1">
      <alignment horizontal="center" vertical="center"/>
    </xf>
    <xf numFmtId="43" fontId="4" fillId="7" borderId="20" xfId="0" applyNumberFormat="1" applyFont="1" applyFill="1" applyBorder="1" applyAlignment="1">
      <alignment horizontal="center" vertical="center"/>
    </xf>
    <xf numFmtId="43" fontId="4" fillId="7" borderId="37" xfId="0" applyNumberFormat="1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41" fontId="4" fillId="0" borderId="27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/>
    </xf>
    <xf numFmtId="41" fontId="7" fillId="0" borderId="0" xfId="1" applyNumberFormat="1" applyFont="1"/>
    <xf numFmtId="0" fontId="22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1" fillId="22" borderId="0" xfId="0" applyFont="1" applyFill="1"/>
    <xf numFmtId="0" fontId="3" fillId="22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65" fontId="1" fillId="22" borderId="77" xfId="0" applyNumberFormat="1" applyFont="1" applyFill="1" applyBorder="1"/>
    <xf numFmtId="165" fontId="1" fillId="22" borderId="5" xfId="0" applyNumberFormat="1" applyFont="1" applyFill="1" applyBorder="1"/>
    <xf numFmtId="165" fontId="2" fillId="23" borderId="77" xfId="0" applyNumberFormat="1" applyFont="1" applyFill="1" applyBorder="1"/>
    <xf numFmtId="165" fontId="2" fillId="23" borderId="5" xfId="0" applyNumberFormat="1" applyFont="1" applyFill="1" applyBorder="1"/>
    <xf numFmtId="165" fontId="2" fillId="0" borderId="77" xfId="0" applyNumberFormat="1" applyFont="1" applyBorder="1"/>
    <xf numFmtId="165" fontId="2" fillId="0" borderId="5" xfId="0" applyNumberFormat="1" applyFont="1" applyBorder="1"/>
    <xf numFmtId="165" fontId="20" fillId="24" borderId="77" xfId="0" applyNumberFormat="1" applyFont="1" applyFill="1" applyBorder="1"/>
    <xf numFmtId="165" fontId="20" fillId="24" borderId="5" xfId="0" applyNumberFormat="1" applyFont="1" applyFill="1" applyBorder="1"/>
    <xf numFmtId="165" fontId="1" fillId="22" borderId="77" xfId="0" applyNumberFormat="1" applyFont="1" applyFill="1" applyBorder="1" applyAlignment="1">
      <alignment vertical="center"/>
    </xf>
    <xf numFmtId="165" fontId="1" fillId="22" borderId="5" xfId="0" applyNumberFormat="1" applyFont="1" applyFill="1" applyBorder="1" applyAlignment="1">
      <alignment vertical="center"/>
    </xf>
    <xf numFmtId="165" fontId="0" fillId="0" borderId="77" xfId="0" applyNumberFormat="1" applyBorder="1"/>
    <xf numFmtId="165" fontId="0" fillId="0" borderId="5" xfId="0" applyNumberFormat="1" applyBorder="1"/>
    <xf numFmtId="165" fontId="2" fillId="24" borderId="77" xfId="0" applyNumberFormat="1" applyFont="1" applyFill="1" applyBorder="1"/>
    <xf numFmtId="165" fontId="2" fillId="24" borderId="5" xfId="0" applyNumberFormat="1" applyFont="1" applyFill="1" applyBorder="1"/>
    <xf numFmtId="165" fontId="1" fillId="2" borderId="77" xfId="0" applyNumberFormat="1" applyFont="1" applyFill="1" applyBorder="1"/>
    <xf numFmtId="165" fontId="1" fillId="2" borderId="5" xfId="0" applyNumberFormat="1" applyFont="1" applyFill="1" applyBorder="1"/>
    <xf numFmtId="0" fontId="0" fillId="0" borderId="7" xfId="0" applyBorder="1"/>
    <xf numFmtId="0" fontId="1" fillId="22" borderId="7" xfId="0" applyFont="1" applyFill="1" applyBorder="1" applyAlignment="1">
      <alignment vertical="center"/>
    </xf>
    <xf numFmtId="0" fontId="2" fillId="23" borderId="7" xfId="0" applyFont="1" applyFill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2"/>
    </xf>
    <xf numFmtId="0" fontId="2" fillId="24" borderId="7" xfId="0" applyFont="1" applyFill="1" applyBorder="1" applyAlignment="1">
      <alignment horizontal="left" vertical="center" indent="1"/>
    </xf>
    <xf numFmtId="0" fontId="2" fillId="11" borderId="7" xfId="0" applyFont="1" applyFill="1" applyBorder="1" applyAlignment="1">
      <alignment horizontal="left" vertical="center" indent="2"/>
    </xf>
    <xf numFmtId="0" fontId="2" fillId="0" borderId="7" xfId="0" applyFont="1" applyBorder="1" applyAlignment="1">
      <alignment horizontal="left" vertical="center" indent="3"/>
    </xf>
    <xf numFmtId="0" fontId="2" fillId="7" borderId="7" xfId="0" applyFont="1" applyFill="1" applyBorder="1" applyAlignment="1">
      <alignment horizontal="left" vertical="center" indent="2"/>
    </xf>
    <xf numFmtId="0" fontId="1" fillId="2" borderId="7" xfId="0" applyFont="1" applyFill="1" applyBorder="1" applyAlignment="1">
      <alignment vertical="center"/>
    </xf>
    <xf numFmtId="0" fontId="1" fillId="22" borderId="7" xfId="0" applyFont="1" applyFill="1" applyBorder="1"/>
    <xf numFmtId="0" fontId="0" fillId="0" borderId="4" xfId="0" applyBorder="1" applyAlignment="1">
      <alignment horizontal="left"/>
    </xf>
    <xf numFmtId="0" fontId="0" fillId="6" borderId="4" xfId="0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23" fillId="0" borderId="0" xfId="0" applyFont="1"/>
    <xf numFmtId="0" fontId="22" fillId="0" borderId="78" xfId="0" applyFont="1" applyBorder="1"/>
    <xf numFmtId="14" fontId="0" fillId="0" borderId="0" xfId="0" applyNumberFormat="1"/>
    <xf numFmtId="17" fontId="0" fillId="0" borderId="0" xfId="0" applyNumberFormat="1"/>
    <xf numFmtId="165" fontId="1" fillId="22" borderId="71" xfId="0" applyNumberFormat="1" applyFont="1" applyFill="1" applyBorder="1"/>
    <xf numFmtId="165" fontId="2" fillId="23" borderId="71" xfId="0" applyNumberFormat="1" applyFont="1" applyFill="1" applyBorder="1"/>
    <xf numFmtId="165" fontId="2" fillId="0" borderId="71" xfId="0" applyNumberFormat="1" applyFont="1" applyBorder="1"/>
    <xf numFmtId="165" fontId="20" fillId="24" borderId="71" xfId="0" applyNumberFormat="1" applyFont="1" applyFill="1" applyBorder="1"/>
    <xf numFmtId="165" fontId="1" fillId="22" borderId="71" xfId="0" applyNumberFormat="1" applyFont="1" applyFill="1" applyBorder="1" applyAlignment="1">
      <alignment vertical="center"/>
    </xf>
    <xf numFmtId="165" fontId="2" fillId="24" borderId="71" xfId="0" applyNumberFormat="1" applyFont="1" applyFill="1" applyBorder="1"/>
    <xf numFmtId="165" fontId="1" fillId="2" borderId="72" xfId="0" applyNumberFormat="1" applyFont="1" applyFill="1" applyBorder="1"/>
    <xf numFmtId="0" fontId="2" fillId="0" borderId="70" xfId="0" applyFont="1" applyBorder="1" applyAlignment="1">
      <alignment horizontal="center" vertical="center"/>
    </xf>
    <xf numFmtId="0" fontId="0" fillId="0" borderId="71" xfId="0" applyBorder="1"/>
    <xf numFmtId="165" fontId="1" fillId="2" borderId="71" xfId="0" applyNumberFormat="1" applyFont="1" applyFill="1" applyBorder="1"/>
    <xf numFmtId="165" fontId="1" fillId="22" borderId="72" xfId="0" applyNumberFormat="1" applyFont="1" applyFill="1" applyBorder="1"/>
    <xf numFmtId="0" fontId="0" fillId="0" borderId="2" xfId="0" applyBorder="1"/>
    <xf numFmtId="0" fontId="0" fillId="0" borderId="1" xfId="0" applyBorder="1"/>
    <xf numFmtId="0" fontId="0" fillId="0" borderId="47" xfId="0" applyBorder="1"/>
    <xf numFmtId="0" fontId="0" fillId="0" borderId="79" xfId="0" applyBorder="1"/>
    <xf numFmtId="15" fontId="24" fillId="0" borderId="0" xfId="0" applyNumberFormat="1" applyFont="1"/>
    <xf numFmtId="43" fontId="0" fillId="0" borderId="6" xfId="0" applyNumberFormat="1" applyBorder="1"/>
    <xf numFmtId="43" fontId="0" fillId="0" borderId="4" xfId="0" applyNumberFormat="1" applyBorder="1"/>
    <xf numFmtId="0" fontId="8" fillId="0" borderId="6" xfId="0" applyFont="1" applyBorder="1" applyAlignment="1">
      <alignment horizontal="center" vertical="center" wrapText="1"/>
    </xf>
    <xf numFmtId="165" fontId="0" fillId="7" borderId="0" xfId="0" applyNumberFormat="1" applyFill="1"/>
    <xf numFmtId="41" fontId="4" fillId="0" borderId="0" xfId="1" applyNumberFormat="1"/>
    <xf numFmtId="0" fontId="25" fillId="26" borderId="0" xfId="0" applyFont="1" applyFill="1" applyAlignment="1">
      <alignment horizontal="center" vertical="center"/>
    </xf>
    <xf numFmtId="165" fontId="0" fillId="0" borderId="72" xfId="0" applyNumberFormat="1" applyBorder="1"/>
    <xf numFmtId="0" fontId="20" fillId="26" borderId="0" xfId="0" applyFont="1" applyFill="1"/>
    <xf numFmtId="165" fontId="20" fillId="26" borderId="0" xfId="0" applyNumberFormat="1" applyFont="1" applyFill="1"/>
    <xf numFmtId="0" fontId="25" fillId="26" borderId="0" xfId="0" applyFont="1" applyFill="1"/>
    <xf numFmtId="165" fontId="25" fillId="26" borderId="0" xfId="0" applyNumberFormat="1" applyFont="1" applyFill="1"/>
    <xf numFmtId="0" fontId="20" fillId="26" borderId="0" xfId="0" applyFont="1" applyFill="1" applyAlignment="1">
      <alignment horizontal="left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25" fillId="26" borderId="0" xfId="0" applyFont="1" applyFill="1" applyAlignment="1">
      <alignment horizontal="left" indent="2"/>
    </xf>
    <xf numFmtId="165" fontId="20" fillId="26" borderId="71" xfId="0" applyNumberFormat="1" applyFont="1" applyFill="1" applyBorder="1"/>
    <xf numFmtId="165" fontId="20" fillId="26" borderId="81" xfId="0" applyNumberFormat="1" applyFont="1" applyFill="1" applyBorder="1"/>
    <xf numFmtId="0" fontId="20" fillId="26" borderId="7" xfId="0" applyFont="1" applyFill="1" applyBorder="1"/>
    <xf numFmtId="165" fontId="20" fillId="26" borderId="77" xfId="0" applyNumberFormat="1" applyFont="1" applyFill="1" applyBorder="1"/>
    <xf numFmtId="165" fontId="20" fillId="26" borderId="5" xfId="0" applyNumberFormat="1" applyFont="1" applyFill="1" applyBorder="1"/>
    <xf numFmtId="0" fontId="1" fillId="2" borderId="23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165" fontId="20" fillId="7" borderId="77" xfId="0" applyNumberFormat="1" applyFont="1" applyFill="1" applyBorder="1"/>
    <xf numFmtId="0" fontId="6" fillId="4" borderId="82" xfId="0" applyFont="1" applyFill="1" applyBorder="1"/>
    <xf numFmtId="0" fontId="4" fillId="4" borderId="82" xfId="0" applyFont="1" applyFill="1" applyBorder="1"/>
    <xf numFmtId="43" fontId="7" fillId="4" borderId="83" xfId="0" applyNumberFormat="1" applyFont="1" applyFill="1" applyBorder="1" applyAlignment="1">
      <alignment horizontal="center" vertical="center"/>
    </xf>
    <xf numFmtId="15" fontId="7" fillId="4" borderId="83" xfId="0" applyNumberFormat="1" applyFont="1" applyFill="1" applyBorder="1" applyAlignment="1">
      <alignment horizontal="center" vertical="center"/>
    </xf>
    <xf numFmtId="164" fontId="8" fillId="5" borderId="0" xfId="0" applyNumberFormat="1" applyFont="1" applyFill="1"/>
    <xf numFmtId="43" fontId="7" fillId="5" borderId="5" xfId="0" applyNumberFormat="1" applyFont="1" applyFill="1" applyBorder="1" applyAlignment="1">
      <alignment horizontal="center" vertical="center"/>
    </xf>
    <xf numFmtId="15" fontId="7" fillId="5" borderId="5" xfId="0" applyNumberFormat="1" applyFont="1" applyFill="1" applyBorder="1" applyAlignment="1">
      <alignment horizontal="center" vertical="center"/>
    </xf>
    <xf numFmtId="0" fontId="6" fillId="4" borderId="0" xfId="0" applyFont="1" applyFill="1"/>
    <xf numFmtId="43" fontId="7" fillId="4" borderId="5" xfId="0" applyNumberFormat="1" applyFont="1" applyFill="1" applyBorder="1" applyAlignment="1">
      <alignment horizontal="center" vertical="center"/>
    </xf>
    <xf numFmtId="15" fontId="7" fillId="4" borderId="5" xfId="0" applyNumberFormat="1" applyFont="1" applyFill="1" applyBorder="1" applyAlignment="1">
      <alignment horizontal="center" vertical="center"/>
    </xf>
    <xf numFmtId="164" fontId="8" fillId="5" borderId="9" xfId="0" applyNumberFormat="1" applyFont="1" applyFill="1" applyBorder="1"/>
    <xf numFmtId="43" fontId="7" fillId="5" borderId="10" xfId="0" applyNumberFormat="1" applyFont="1" applyFill="1" applyBorder="1" applyAlignment="1">
      <alignment horizontal="center" vertical="center"/>
    </xf>
    <xf numFmtId="15" fontId="7" fillId="5" borderId="10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51" xfId="0" applyFont="1" applyFill="1" applyBorder="1" applyAlignment="1">
      <alignment horizontal="center" vertical="center" wrapText="1"/>
    </xf>
    <xf numFmtId="0" fontId="2" fillId="17" borderId="13" xfId="0" applyFont="1" applyFill="1" applyBorder="1" applyAlignment="1">
      <alignment vertical="center"/>
    </xf>
    <xf numFmtId="9" fontId="0" fillId="0" borderId="16" xfId="3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7" fontId="0" fillId="7" borderId="77" xfId="0" applyNumberFormat="1" applyFill="1" applyBorder="1" applyAlignment="1">
      <alignment horizontal="center" vertical="center"/>
    </xf>
    <xf numFmtId="43" fontId="0" fillId="7" borderId="5" xfId="0" applyNumberFormat="1" applyFill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9" fontId="0" fillId="7" borderId="5" xfId="3" applyFont="1" applyFill="1" applyBorder="1" applyAlignment="1">
      <alignment horizontal="center" vertical="center"/>
    </xf>
    <xf numFmtId="9" fontId="0" fillId="0" borderId="5" xfId="3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2" fontId="0" fillId="0" borderId="23" xfId="3" applyNumberFormat="1" applyFont="1" applyBorder="1" applyAlignment="1">
      <alignment horizontal="center" vertical="center"/>
    </xf>
    <xf numFmtId="43" fontId="0" fillId="0" borderId="23" xfId="3" applyNumberFormat="1" applyFont="1" applyBorder="1" applyAlignment="1">
      <alignment horizontal="center" vertical="center"/>
    </xf>
    <xf numFmtId="43" fontId="0" fillId="0" borderId="84" xfId="3" applyNumberFormat="1" applyFont="1" applyBorder="1" applyAlignment="1">
      <alignment horizontal="center" vertical="center"/>
    </xf>
    <xf numFmtId="0" fontId="2" fillId="17" borderId="17" xfId="0" applyFont="1" applyFill="1" applyBorder="1" applyAlignment="1">
      <alignment vertical="center"/>
    </xf>
    <xf numFmtId="9" fontId="0" fillId="0" borderId="20" xfId="3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" fontId="0" fillId="0" borderId="77" xfId="0" applyNumberFormat="1" applyBorder="1" applyAlignment="1">
      <alignment horizontal="center" vertical="center"/>
    </xf>
    <xf numFmtId="9" fontId="0" fillId="0" borderId="5" xfId="3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8" xfId="3" applyFont="1" applyBorder="1" applyAlignment="1">
      <alignment horizontal="center" vertical="center"/>
    </xf>
    <xf numFmtId="2" fontId="0" fillId="0" borderId="18" xfId="3" applyNumberFormat="1" applyFont="1" applyBorder="1" applyAlignment="1">
      <alignment horizontal="center" vertical="center"/>
    </xf>
    <xf numFmtId="43" fontId="0" fillId="0" borderId="18" xfId="3" applyNumberFormat="1" applyFont="1" applyBorder="1" applyAlignment="1">
      <alignment horizontal="center" vertical="center"/>
    </xf>
    <xf numFmtId="43" fontId="0" fillId="0" borderId="20" xfId="3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9" fontId="0" fillId="0" borderId="27" xfId="3" applyFont="1" applyBorder="1" applyAlignment="1">
      <alignment horizontal="center" vertical="center"/>
    </xf>
    <xf numFmtId="2" fontId="0" fillId="0" borderId="27" xfId="3" applyNumberFormat="1" applyFont="1" applyBorder="1" applyAlignment="1">
      <alignment horizontal="center" vertical="center"/>
    </xf>
    <xf numFmtId="43" fontId="0" fillId="0" borderId="27" xfId="3" applyNumberFormat="1" applyFont="1" applyBorder="1" applyAlignment="1">
      <alignment horizontal="center" vertical="center"/>
    </xf>
    <xf numFmtId="43" fontId="0" fillId="0" borderId="37" xfId="3" applyNumberFormat="1" applyFont="1" applyBorder="1" applyAlignment="1">
      <alignment horizontal="center" vertical="center"/>
    </xf>
    <xf numFmtId="0" fontId="2" fillId="17" borderId="26" xfId="0" applyFont="1" applyFill="1" applyBorder="1" applyAlignment="1">
      <alignment vertical="center"/>
    </xf>
    <xf numFmtId="166" fontId="0" fillId="0" borderId="0" xfId="0" applyNumberFormat="1" applyAlignment="1">
      <alignment horizontal="left"/>
    </xf>
    <xf numFmtId="41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167" fontId="0" fillId="0" borderId="0" xfId="0" applyNumberFormat="1"/>
    <xf numFmtId="0" fontId="0" fillId="25" borderId="7" xfId="0" applyFill="1" applyBorder="1" applyAlignment="1">
      <alignment horizontal="center" vertical="center"/>
    </xf>
    <xf numFmtId="17" fontId="0" fillId="25" borderId="77" xfId="0" applyNumberFormat="1" applyFill="1" applyBorder="1" applyAlignment="1">
      <alignment horizontal="center" vertical="center"/>
    </xf>
    <xf numFmtId="43" fontId="0" fillId="25" borderId="5" xfId="0" applyNumberFormat="1" applyFill="1" applyBorder="1" applyAlignment="1">
      <alignment horizontal="center" vertical="center"/>
    </xf>
    <xf numFmtId="0" fontId="0" fillId="0" borderId="0" xfId="0" pivotButton="1"/>
    <xf numFmtId="43" fontId="0" fillId="0" borderId="77" xfId="0" applyNumberFormat="1" applyBorder="1" applyAlignment="1">
      <alignment horizontal="center" vertical="center"/>
    </xf>
    <xf numFmtId="43" fontId="0" fillId="7" borderId="77" xfId="0" applyNumberFormat="1" applyFill="1" applyBorder="1" applyAlignment="1">
      <alignment horizontal="center" vertical="center"/>
    </xf>
    <xf numFmtId="43" fontId="0" fillId="25" borderId="77" xfId="0" applyNumberFormat="1" applyFill="1" applyBorder="1" applyAlignment="1">
      <alignment horizontal="center" vertical="center"/>
    </xf>
    <xf numFmtId="9" fontId="0" fillId="0" borderId="7" xfId="3" applyFont="1" applyBorder="1" applyAlignment="1">
      <alignment horizontal="center" vertical="center"/>
    </xf>
    <xf numFmtId="0" fontId="0" fillId="11" borderId="17" xfId="0" applyFill="1" applyBorder="1" applyAlignment="1">
      <alignment horizontal="left"/>
    </xf>
    <xf numFmtId="0" fontId="2" fillId="0" borderId="85" xfId="0" applyFont="1" applyBorder="1"/>
    <xf numFmtId="167" fontId="4" fillId="13" borderId="16" xfId="0" applyNumberFormat="1" applyFont="1" applyFill="1" applyBorder="1" applyAlignment="1">
      <alignment horizontal="center" vertical="center"/>
    </xf>
    <xf numFmtId="167" fontId="4" fillId="13" borderId="20" xfId="0" applyNumberFormat="1" applyFont="1" applyFill="1" applyBorder="1" applyAlignment="1">
      <alignment horizontal="center" vertical="center"/>
    </xf>
    <xf numFmtId="167" fontId="4" fillId="13" borderId="37" xfId="0" applyNumberFormat="1" applyFont="1" applyFill="1" applyBorder="1" applyAlignment="1">
      <alignment horizontal="center" vertical="center"/>
    </xf>
    <xf numFmtId="43" fontId="0" fillId="11" borderId="5" xfId="0" applyNumberFormat="1" applyFill="1" applyBorder="1" applyAlignment="1">
      <alignment horizontal="center" vertical="center"/>
    </xf>
    <xf numFmtId="0" fontId="2" fillId="7" borderId="0" xfId="0" applyFont="1" applyFill="1" applyAlignment="1">
      <alignment horizontal="centerContinuous"/>
    </xf>
    <xf numFmtId="0" fontId="2" fillId="10" borderId="0" xfId="0" applyFont="1" applyFill="1" applyAlignment="1">
      <alignment horizontal="centerContinuous"/>
    </xf>
    <xf numFmtId="0" fontId="2" fillId="10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9" fontId="0" fillId="10" borderId="14" xfId="3" applyFont="1" applyFill="1" applyBorder="1" applyAlignment="1">
      <alignment horizontal="center" vertical="center"/>
    </xf>
    <xf numFmtId="43" fontId="0" fillId="10" borderId="14" xfId="0" applyNumberForma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9" fontId="0" fillId="7" borderId="14" xfId="3" applyFont="1" applyFill="1" applyBorder="1" applyAlignment="1">
      <alignment horizontal="center" vertical="center"/>
    </xf>
    <xf numFmtId="43" fontId="0" fillId="7" borderId="14" xfId="0" applyNumberFormat="1" applyFill="1" applyBorder="1" applyAlignment="1">
      <alignment horizontal="center" vertical="center"/>
    </xf>
    <xf numFmtId="9" fontId="0" fillId="7" borderId="36" xfId="3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9" fontId="0" fillId="10" borderId="18" xfId="3" applyFont="1" applyFill="1" applyBorder="1" applyAlignment="1">
      <alignment horizontal="center" vertical="center"/>
    </xf>
    <xf numFmtId="43" fontId="0" fillId="10" borderId="18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9" fontId="0" fillId="7" borderId="18" xfId="3" applyFont="1" applyFill="1" applyBorder="1" applyAlignment="1">
      <alignment horizontal="center" vertical="center"/>
    </xf>
    <xf numFmtId="43" fontId="0" fillId="7" borderId="18" xfId="0" applyNumberFormat="1" applyFill="1" applyBorder="1" applyAlignment="1">
      <alignment horizontal="center" vertical="center"/>
    </xf>
    <xf numFmtId="9" fontId="0" fillId="7" borderId="25" xfId="3" applyFont="1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10" borderId="21" xfId="3" applyFont="1" applyFill="1" applyBorder="1" applyAlignment="1">
      <alignment horizontal="center" vertical="center"/>
    </xf>
    <xf numFmtId="43" fontId="0" fillId="10" borderId="21" xfId="0" applyNumberForma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9" fontId="0" fillId="7" borderId="21" xfId="3" applyFont="1" applyFill="1" applyBorder="1" applyAlignment="1">
      <alignment horizontal="center" vertical="center"/>
    </xf>
    <xf numFmtId="43" fontId="0" fillId="7" borderId="21" xfId="0" applyNumberFormat="1" applyFill="1" applyBorder="1" applyAlignment="1">
      <alignment horizontal="center" vertical="center"/>
    </xf>
    <xf numFmtId="9" fontId="0" fillId="7" borderId="59" xfId="3" applyFont="1" applyFill="1" applyBorder="1" applyAlignment="1">
      <alignment horizontal="center" vertical="center"/>
    </xf>
    <xf numFmtId="17" fontId="0" fillId="0" borderId="40" xfId="0" applyNumberFormat="1" applyBorder="1" applyAlignment="1">
      <alignment horizontal="center" vertical="center"/>
    </xf>
    <xf numFmtId="17" fontId="0" fillId="0" borderId="34" xfId="0" applyNumberFormat="1" applyBorder="1" applyAlignment="1">
      <alignment horizontal="center" vertical="center"/>
    </xf>
    <xf numFmtId="17" fontId="0" fillId="0" borderId="86" xfId="0" applyNumberFormat="1" applyBorder="1" applyAlignment="1">
      <alignment horizontal="center" vertical="center"/>
    </xf>
    <xf numFmtId="9" fontId="0" fillId="0" borderId="0" xfId="3" applyFont="1" applyFill="1"/>
    <xf numFmtId="9" fontId="0" fillId="0" borderId="85" xfId="3" applyFont="1" applyFill="1" applyBorder="1"/>
    <xf numFmtId="0" fontId="2" fillId="27" borderId="0" xfId="0" applyFont="1" applyFill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9" fontId="0" fillId="0" borderId="77" xfId="3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44" fontId="0" fillId="0" borderId="0" xfId="2" applyFont="1"/>
    <xf numFmtId="0" fontId="0" fillId="0" borderId="19" xfId="0" applyBorder="1" applyAlignment="1">
      <alignment vertical="center"/>
    </xf>
    <xf numFmtId="0" fontId="0" fillId="7" borderId="19" xfId="0" applyFill="1" applyBorder="1" applyAlignment="1">
      <alignment vertical="center"/>
    </xf>
    <xf numFmtId="0" fontId="0" fillId="0" borderId="22" xfId="0" applyBorder="1" applyAlignment="1">
      <alignment vertical="center"/>
    </xf>
    <xf numFmtId="0" fontId="22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4" fillId="0" borderId="0" xfId="1" applyAlignment="1">
      <alignment wrapText="1"/>
    </xf>
    <xf numFmtId="17" fontId="4" fillId="0" borderId="13" xfId="1" applyNumberFormat="1" applyBorder="1" applyAlignment="1">
      <alignment horizontal="center" vertical="center"/>
    </xf>
    <xf numFmtId="17" fontId="4" fillId="0" borderId="14" xfId="1" applyNumberFormat="1" applyBorder="1" applyAlignment="1">
      <alignment horizontal="center" vertical="center"/>
    </xf>
    <xf numFmtId="17" fontId="4" fillId="0" borderId="16" xfId="1" applyNumberFormat="1" applyBorder="1" applyAlignment="1">
      <alignment horizontal="center" vertical="center"/>
    </xf>
    <xf numFmtId="0" fontId="4" fillId="0" borderId="17" xfId="1" applyBorder="1" applyAlignment="1">
      <alignment horizontal="center" vertical="center" wrapText="1"/>
    </xf>
    <xf numFmtId="0" fontId="4" fillId="6" borderId="18" xfId="1" applyFill="1" applyBorder="1" applyAlignment="1">
      <alignment horizontal="center" vertical="center"/>
    </xf>
    <xf numFmtId="0" fontId="4" fillId="8" borderId="20" xfId="1" applyFill="1" applyBorder="1" applyAlignment="1">
      <alignment horizontal="center" vertical="center" wrapText="1"/>
    </xf>
    <xf numFmtId="43" fontId="4" fillId="0" borderId="17" xfId="1" applyNumberFormat="1" applyBorder="1" applyAlignment="1">
      <alignment horizontal="center" vertical="center"/>
    </xf>
    <xf numFmtId="43" fontId="4" fillId="0" borderId="26" xfId="1" applyNumberFormat="1" applyBorder="1" applyAlignment="1">
      <alignment horizontal="center" vertical="center"/>
    </xf>
    <xf numFmtId="43" fontId="4" fillId="0" borderId="18" xfId="1" applyNumberFormat="1" applyBorder="1" applyAlignment="1">
      <alignment horizontal="center" vertical="center"/>
    </xf>
    <xf numFmtId="43" fontId="4" fillId="0" borderId="27" xfId="1" applyNumberFormat="1" applyBorder="1" applyAlignment="1">
      <alignment horizontal="center" vertical="center"/>
    </xf>
    <xf numFmtId="9" fontId="4" fillId="0" borderId="20" xfId="3" applyFont="1" applyBorder="1" applyAlignment="1">
      <alignment horizontal="center" vertical="center" wrapText="1"/>
    </xf>
    <xf numFmtId="9" fontId="4" fillId="0" borderId="37" xfId="3" applyFont="1" applyBorder="1" applyAlignment="1">
      <alignment horizontal="center" vertical="center" wrapText="1"/>
    </xf>
    <xf numFmtId="43" fontId="7" fillId="0" borderId="0" xfId="1" applyNumberFormat="1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0" fontId="7" fillId="0" borderId="0" xfId="1" applyFont="1" applyAlignment="1">
      <alignment horizontal="right"/>
    </xf>
    <xf numFmtId="9" fontId="4" fillId="0" borderId="0" xfId="3" applyFont="1"/>
    <xf numFmtId="0" fontId="2" fillId="6" borderId="0" xfId="0" applyFont="1" applyFill="1"/>
    <xf numFmtId="16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3" fontId="0" fillId="0" borderId="0" xfId="2" applyNumberFormat="1" applyFont="1"/>
    <xf numFmtId="43" fontId="26" fillId="7" borderId="0" xfId="2" applyNumberFormat="1" applyFont="1" applyFill="1"/>
    <xf numFmtId="43" fontId="0" fillId="0" borderId="0" xfId="0" applyNumberFormat="1" applyAlignment="1">
      <alignment horizontal="center" vertical="center"/>
    </xf>
    <xf numFmtId="43" fontId="2" fillId="0" borderId="0" xfId="0" applyNumberFormat="1" applyFont="1"/>
    <xf numFmtId="15" fontId="0" fillId="0" borderId="0" xfId="0" applyNumberFormat="1" applyAlignment="1">
      <alignment horizontal="center" vertical="center"/>
    </xf>
    <xf numFmtId="0" fontId="0" fillId="0" borderId="87" xfId="0" applyBorder="1" applyAlignment="1">
      <alignment horizontal="center" vertical="center"/>
    </xf>
    <xf numFmtId="43" fontId="0" fillId="0" borderId="18" xfId="0" applyNumberFormat="1" applyBorder="1" applyAlignment="1">
      <alignment horizontal="center" vertical="center"/>
    </xf>
    <xf numFmtId="43" fontId="0" fillId="0" borderId="25" xfId="0" applyNumberFormat="1" applyBorder="1" applyAlignment="1">
      <alignment horizontal="center" vertical="center"/>
    </xf>
    <xf numFmtId="9" fontId="0" fillId="0" borderId="21" xfId="3" applyFont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86" xfId="0" applyFont="1" applyFill="1" applyBorder="1" applyAlignment="1">
      <alignment horizontal="center" vertical="center"/>
    </xf>
    <xf numFmtId="17" fontId="2" fillId="6" borderId="23" xfId="0" applyNumberFormat="1" applyFont="1" applyFill="1" applyBorder="1" applyAlignment="1">
      <alignment horizontal="center" vertical="center"/>
    </xf>
    <xf numFmtId="17" fontId="2" fillId="6" borderId="57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" fontId="2" fillId="6" borderId="0" xfId="0" applyNumberFormat="1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7" fillId="15" borderId="38" xfId="0" applyFont="1" applyFill="1" applyBorder="1" applyAlignment="1">
      <alignment horizontal="center" vertical="center"/>
    </xf>
    <xf numFmtId="0" fontId="28" fillId="0" borderId="14" xfId="1" applyFont="1" applyBorder="1" applyAlignment="1">
      <alignment horizontal="center" vertical="center"/>
    </xf>
    <xf numFmtId="0" fontId="28" fillId="0" borderId="18" xfId="1" applyFont="1" applyBorder="1" applyAlignment="1">
      <alignment horizontal="center" vertical="center"/>
    </xf>
    <xf numFmtId="0" fontId="28" fillId="0" borderId="27" xfId="1" applyFont="1" applyBorder="1" applyAlignment="1">
      <alignment horizontal="center" vertical="center"/>
    </xf>
    <xf numFmtId="9" fontId="4" fillId="0" borderId="29" xfId="3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 wrapText="1"/>
    </xf>
    <xf numFmtId="0" fontId="7" fillId="5" borderId="29" xfId="1" applyFont="1" applyFill="1" applyBorder="1" applyAlignment="1">
      <alignment horizontal="center" vertical="center" wrapText="1"/>
    </xf>
    <xf numFmtId="0" fontId="7" fillId="27" borderId="29" xfId="1" applyFont="1" applyFill="1" applyBorder="1" applyAlignment="1">
      <alignment horizontal="center" vertical="center" wrapText="1"/>
    </xf>
    <xf numFmtId="43" fontId="4" fillId="0" borderId="29" xfId="1" applyNumberFormat="1" applyBorder="1" applyAlignment="1">
      <alignment horizontal="center" vertical="center"/>
    </xf>
    <xf numFmtId="43" fontId="7" fillId="6" borderId="29" xfId="1" applyNumberFormat="1" applyFont="1" applyFill="1" applyBorder="1" applyAlignment="1">
      <alignment horizontal="center" vertical="center"/>
    </xf>
    <xf numFmtId="0" fontId="9" fillId="2" borderId="0" xfId="0" applyFont="1" applyFill="1"/>
    <xf numFmtId="15" fontId="29" fillId="2" borderId="8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44" fontId="2" fillId="0" borderId="0" xfId="2" applyFo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5" fontId="25" fillId="0" borderId="0" xfId="0" applyNumberFormat="1" applyFont="1" applyAlignment="1">
      <alignment horizontal="center" vertical="center"/>
    </xf>
    <xf numFmtId="43" fontId="25" fillId="0" borderId="92" xfId="2" applyNumberFormat="1" applyFont="1" applyBorder="1" applyAlignment="1">
      <alignment horizontal="center" vertical="center"/>
    </xf>
    <xf numFmtId="43" fontId="0" fillId="0" borderId="0" xfId="2" applyNumberFormat="1" applyFont="1" applyAlignment="1">
      <alignment horizontal="center" vertical="center"/>
    </xf>
    <xf numFmtId="0" fontId="2" fillId="7" borderId="0" xfId="0" applyFont="1" applyFill="1" applyAlignment="1">
      <alignment horizontal="right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2" fillId="20" borderId="0" xfId="0" applyFont="1" applyFill="1" applyAlignment="1">
      <alignment horizontal="right"/>
    </xf>
    <xf numFmtId="43" fontId="2" fillId="20" borderId="0" xfId="2" applyNumberFormat="1" applyFont="1" applyFill="1"/>
    <xf numFmtId="43" fontId="26" fillId="20" borderId="0" xfId="2" applyNumberFormat="1" applyFont="1" applyFill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0" xfId="0" applyNumberFormat="1" applyFont="1" applyAlignment="1">
      <alignment horizontal="center" vertical="center"/>
    </xf>
    <xf numFmtId="43" fontId="23" fillId="0" borderId="92" xfId="2" applyNumberFormat="1" applyFont="1" applyBorder="1" applyAlignment="1">
      <alignment horizontal="center" vertical="center"/>
    </xf>
    <xf numFmtId="43" fontId="23" fillId="0" borderId="0" xfId="2" applyNumberFormat="1" applyFont="1" applyAlignment="1">
      <alignment horizontal="center" vertical="center"/>
    </xf>
    <xf numFmtId="43" fontId="25" fillId="0" borderId="93" xfId="2" applyNumberFormat="1" applyFont="1" applyBorder="1" applyAlignment="1">
      <alignment horizontal="center" vertical="center"/>
    </xf>
    <xf numFmtId="15" fontId="0" fillId="0" borderId="0" xfId="0" applyNumberFormat="1"/>
    <xf numFmtId="43" fontId="25" fillId="0" borderId="0" xfId="0" applyNumberFormat="1" applyFont="1" applyAlignment="1">
      <alignment vertical="center"/>
    </xf>
    <xf numFmtId="43" fontId="25" fillId="0" borderId="0" xfId="0" applyNumberFormat="1" applyFont="1" applyAlignment="1">
      <alignment horizontal="center" vertical="center"/>
    </xf>
    <xf numFmtId="43" fontId="25" fillId="0" borderId="0" xfId="0" applyNumberFormat="1" applyFont="1"/>
    <xf numFmtId="43" fontId="0" fillId="13" borderId="5" xfId="0" applyNumberFormat="1" applyFill="1" applyBorder="1" applyAlignment="1">
      <alignment horizontal="center" vertical="center"/>
    </xf>
    <xf numFmtId="41" fontId="4" fillId="0" borderId="76" xfId="0" applyNumberFormat="1" applyFont="1" applyBorder="1" applyAlignment="1">
      <alignment horizontal="center" vertical="center"/>
    </xf>
    <xf numFmtId="0" fontId="0" fillId="10" borderId="66" xfId="0" applyFill="1" applyBorder="1" applyAlignment="1">
      <alignment horizontal="left"/>
    </xf>
    <xf numFmtId="0" fontId="0" fillId="10" borderId="68" xfId="0" applyFill="1" applyBorder="1"/>
    <xf numFmtId="0" fontId="0" fillId="10" borderId="66" xfId="0" applyFill="1" applyBorder="1"/>
    <xf numFmtId="0" fontId="0" fillId="0" borderId="20" xfId="0" applyBorder="1"/>
    <xf numFmtId="0" fontId="17" fillId="0" borderId="20" xfId="0" applyFont="1" applyBorder="1"/>
    <xf numFmtId="0" fontId="17" fillId="0" borderId="37" xfId="0" applyFont="1" applyBorder="1"/>
    <xf numFmtId="0" fontId="16" fillId="0" borderId="94" xfId="0" applyFont="1" applyBorder="1"/>
    <xf numFmtId="0" fontId="16" fillId="0" borderId="15" xfId="0" applyFont="1" applyBorder="1"/>
    <xf numFmtId="0" fontId="16" fillId="0" borderId="95" xfId="0" applyFont="1" applyBorder="1"/>
    <xf numFmtId="43" fontId="2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5" borderId="0" xfId="0" applyFill="1"/>
    <xf numFmtId="43" fontId="0" fillId="25" borderId="0" xfId="0" applyNumberFormat="1" applyFill="1" applyAlignment="1">
      <alignment horizontal="center" vertical="center"/>
    </xf>
    <xf numFmtId="43" fontId="0" fillId="7" borderId="0" xfId="0" applyNumberFormat="1" applyFill="1" applyAlignment="1">
      <alignment horizontal="center" vertical="center"/>
    </xf>
    <xf numFmtId="0" fontId="32" fillId="30" borderId="8" xfId="4" applyFont="1" applyFill="1" applyBorder="1" applyAlignment="1">
      <alignment horizontal="right"/>
    </xf>
    <xf numFmtId="0" fontId="32" fillId="30" borderId="8" xfId="4" applyFont="1" applyFill="1" applyBorder="1" applyAlignment="1">
      <alignment horizontal="center"/>
    </xf>
    <xf numFmtId="0" fontId="32" fillId="30" borderId="8" xfId="4" applyFont="1" applyFill="1" applyBorder="1" applyAlignment="1">
      <alignment horizontal="left"/>
    </xf>
    <xf numFmtId="0" fontId="32" fillId="30" borderId="80" xfId="4" applyFont="1" applyFill="1" applyBorder="1" applyAlignment="1">
      <alignment horizontal="right"/>
    </xf>
    <xf numFmtId="0" fontId="31" fillId="0" borderId="0" xfId="4"/>
    <xf numFmtId="43" fontId="31" fillId="0" borderId="0" xfId="4" applyNumberFormat="1"/>
    <xf numFmtId="14" fontId="31" fillId="0" borderId="0" xfId="4" applyNumberFormat="1"/>
    <xf numFmtId="4" fontId="31" fillId="0" borderId="0" xfId="4" applyNumberFormat="1"/>
    <xf numFmtId="0" fontId="33" fillId="0" borderId="0" xfId="4" applyFont="1"/>
    <xf numFmtId="43" fontId="33" fillId="0" borderId="0" xfId="4" applyNumberFormat="1" applyFont="1"/>
    <xf numFmtId="0" fontId="0" fillId="0" borderId="13" xfId="0" applyBorder="1"/>
    <xf numFmtId="17" fontId="2" fillId="0" borderId="46" xfId="0" applyNumberFormat="1" applyFont="1" applyBorder="1" applyAlignment="1">
      <alignment horizontal="center" vertical="center"/>
    </xf>
    <xf numFmtId="17" fontId="2" fillId="0" borderId="51" xfId="0" applyNumberFormat="1" applyFont="1" applyBorder="1" applyAlignment="1">
      <alignment horizontal="center" vertical="center"/>
    </xf>
    <xf numFmtId="0" fontId="2" fillId="0" borderId="96" xfId="0" applyFont="1" applyBorder="1" applyAlignment="1">
      <alignment vertical="center"/>
    </xf>
    <xf numFmtId="43" fontId="0" fillId="0" borderId="87" xfId="0" applyNumberFormat="1" applyBorder="1" applyAlignment="1">
      <alignment horizontal="center"/>
    </xf>
    <xf numFmtId="43" fontId="0" fillId="0" borderId="23" xfId="0" applyNumberFormat="1" applyBorder="1" applyAlignment="1">
      <alignment horizontal="center"/>
    </xf>
    <xf numFmtId="43" fontId="0" fillId="0" borderId="84" xfId="0" applyNumberFormat="1" applyBorder="1" applyAlignment="1">
      <alignment horizontal="center"/>
    </xf>
    <xf numFmtId="43" fontId="0" fillId="0" borderId="34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43" fontId="0" fillId="7" borderId="20" xfId="0" applyNumberFormat="1" applyFill="1" applyBorder="1" applyAlignment="1">
      <alignment horizontal="center"/>
    </xf>
    <xf numFmtId="0" fontId="2" fillId="0" borderId="97" xfId="0" applyFont="1" applyBorder="1" applyAlignment="1">
      <alignment vertical="center"/>
    </xf>
    <xf numFmtId="43" fontId="0" fillId="0" borderId="86" xfId="0" applyNumberFormat="1" applyBorder="1" applyAlignment="1">
      <alignment horizontal="center"/>
    </xf>
    <xf numFmtId="43" fontId="0" fillId="0" borderId="21" xfId="0" applyNumberFormat="1" applyBorder="1" applyAlignment="1">
      <alignment horizontal="center"/>
    </xf>
    <xf numFmtId="43" fontId="0" fillId="0" borderId="98" xfId="0" applyNumberFormat="1" applyBorder="1" applyAlignment="1">
      <alignment horizontal="center"/>
    </xf>
    <xf numFmtId="43" fontId="0" fillId="16" borderId="86" xfId="0" applyNumberFormat="1" applyFill="1" applyBorder="1" applyAlignment="1">
      <alignment horizontal="center"/>
    </xf>
    <xf numFmtId="43" fontId="0" fillId="16" borderId="21" xfId="0" applyNumberFormat="1" applyFill="1" applyBorder="1" applyAlignment="1">
      <alignment horizontal="center"/>
    </xf>
    <xf numFmtId="43" fontId="0" fillId="16" borderId="98" xfId="0" applyNumberFormat="1" applyFill="1" applyBorder="1" applyAlignment="1">
      <alignment horizontal="center"/>
    </xf>
    <xf numFmtId="9" fontId="0" fillId="16" borderId="86" xfId="3" applyFont="1" applyFill="1" applyBorder="1" applyAlignment="1">
      <alignment horizontal="center"/>
    </xf>
    <xf numFmtId="9" fontId="0" fillId="16" borderId="21" xfId="3" applyFont="1" applyFill="1" applyBorder="1" applyAlignment="1">
      <alignment horizontal="center"/>
    </xf>
    <xf numFmtId="9" fontId="0" fillId="16" borderId="98" xfId="3" applyFont="1" applyFill="1" applyBorder="1" applyAlignment="1">
      <alignment horizontal="center"/>
    </xf>
    <xf numFmtId="0" fontId="2" fillId="0" borderId="99" xfId="0" applyFont="1" applyBorder="1" applyAlignment="1">
      <alignment vertical="center"/>
    </xf>
    <xf numFmtId="9" fontId="0" fillId="16" borderId="35" xfId="3" applyFont="1" applyFill="1" applyBorder="1" applyAlignment="1">
      <alignment horizontal="center"/>
    </xf>
    <xf numFmtId="9" fontId="0" fillId="16" borderId="27" xfId="3" applyFont="1" applyFill="1" applyBorder="1" applyAlignment="1">
      <alignment horizontal="center"/>
    </xf>
    <xf numFmtId="9" fontId="0" fillId="16" borderId="37" xfId="3" applyFont="1" applyFill="1" applyBorder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17" fontId="0" fillId="0" borderId="23" xfId="0" applyNumberFormat="1" applyBorder="1" applyAlignment="1">
      <alignment horizontal="center" vertical="center"/>
    </xf>
    <xf numFmtId="43" fontId="0" fillId="0" borderId="23" xfId="3" applyNumberFormat="1" applyFont="1" applyFill="1" applyBorder="1" applyAlignment="1">
      <alignment horizontal="center" vertical="center"/>
    </xf>
    <xf numFmtId="43" fontId="0" fillId="0" borderId="23" xfId="0" applyNumberFormat="1" applyBorder="1" applyAlignment="1">
      <alignment horizontal="center" vertical="center"/>
    </xf>
    <xf numFmtId="43" fontId="0" fillId="16" borderId="23" xfId="0" applyNumberFormat="1" applyFill="1" applyBorder="1" applyAlignment="1">
      <alignment horizontal="center" vertical="center"/>
    </xf>
    <xf numFmtId="9" fontId="0" fillId="16" borderId="23" xfId="3" applyFont="1" applyFill="1" applyBorder="1" applyAlignment="1">
      <alignment horizontal="center" vertical="center"/>
    </xf>
    <xf numFmtId="9" fontId="0" fillId="16" borderId="57" xfId="3" applyFont="1" applyFill="1" applyBorder="1" applyAlignment="1">
      <alignment horizontal="center" vertical="center"/>
    </xf>
    <xf numFmtId="0" fontId="0" fillId="10" borderId="34" xfId="0" applyFill="1" applyBorder="1" applyAlignment="1">
      <alignment horizontal="center" vertical="center"/>
    </xf>
    <xf numFmtId="17" fontId="0" fillId="0" borderId="18" xfId="0" applyNumberFormat="1" applyBorder="1" applyAlignment="1">
      <alignment horizontal="center" vertical="center"/>
    </xf>
    <xf numFmtId="43" fontId="0" fillId="0" borderId="18" xfId="3" applyNumberFormat="1" applyFont="1" applyFill="1" applyBorder="1" applyAlignment="1">
      <alignment horizontal="center" vertical="center"/>
    </xf>
    <xf numFmtId="43" fontId="0" fillId="16" borderId="18" xfId="0" applyNumberFormat="1" applyFill="1" applyBorder="1" applyAlignment="1">
      <alignment horizontal="center" vertical="center"/>
    </xf>
    <xf numFmtId="9" fontId="0" fillId="16" borderId="18" xfId="3" applyFont="1" applyFill="1" applyBorder="1" applyAlignment="1">
      <alignment horizontal="center" vertical="center"/>
    </xf>
    <xf numFmtId="9" fontId="0" fillId="16" borderId="25" xfId="3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43" fontId="0" fillId="0" borderId="21" xfId="0" applyNumberFormat="1" applyBorder="1" applyAlignment="1">
      <alignment horizontal="center" vertical="center"/>
    </xf>
    <xf numFmtId="43" fontId="0" fillId="0" borderId="21" xfId="3" applyNumberFormat="1" applyFont="1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17" fontId="0" fillId="0" borderId="21" xfId="0" applyNumberFormat="1" applyBorder="1" applyAlignment="1">
      <alignment horizontal="center" vertical="center"/>
    </xf>
    <xf numFmtId="43" fontId="0" fillId="16" borderId="21" xfId="0" applyNumberFormat="1" applyFill="1" applyBorder="1" applyAlignment="1">
      <alignment horizontal="center" vertical="center"/>
    </xf>
    <xf numFmtId="9" fontId="0" fillId="16" borderId="21" xfId="3" applyFont="1" applyFill="1" applyBorder="1" applyAlignment="1">
      <alignment horizontal="center" vertical="center"/>
    </xf>
    <xf numFmtId="9" fontId="0" fillId="16" borderId="59" xfId="3" applyFont="1" applyFill="1" applyBorder="1" applyAlignment="1">
      <alignment horizontal="center" vertical="center"/>
    </xf>
    <xf numFmtId="15" fontId="29" fillId="2" borderId="100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0" fillId="7" borderId="0" xfId="0" applyFill="1" applyAlignment="1">
      <alignment horizontal="center" vertical="center" wrapText="1"/>
    </xf>
    <xf numFmtId="43" fontId="2" fillId="0" borderId="0" xfId="0" applyNumberFormat="1" applyFont="1" applyProtection="1">
      <protection locked="0"/>
    </xf>
    <xf numFmtId="43" fontId="25" fillId="0" borderId="0" xfId="2" applyNumberFormat="1" applyFont="1" applyBorder="1" applyAlignment="1" applyProtection="1">
      <alignment horizontal="center" vertical="center"/>
    </xf>
    <xf numFmtId="43" fontId="18" fillId="0" borderId="0" xfId="2" applyNumberFormat="1" applyFont="1" applyAlignment="1">
      <alignment horizontal="center" vertical="center"/>
    </xf>
    <xf numFmtId="43" fontId="0" fillId="0" borderId="0" xfId="0" applyNumberFormat="1" applyProtection="1">
      <protection locked="0"/>
    </xf>
    <xf numFmtId="43" fontId="25" fillId="0" borderId="0" xfId="2" applyNumberFormat="1" applyFont="1" applyFill="1" applyBorder="1" applyAlignment="1" applyProtection="1">
      <alignment horizontal="center" vertical="center"/>
    </xf>
    <xf numFmtId="43" fontId="20" fillId="0" borderId="0" xfId="2" applyNumberFormat="1" applyFont="1" applyBorder="1" applyAlignment="1" applyProtection="1">
      <alignment horizontal="center" vertical="center"/>
    </xf>
    <xf numFmtId="43" fontId="2" fillId="0" borderId="0" xfId="2" applyNumberFormat="1" applyFont="1" applyAlignment="1">
      <alignment horizontal="center" vertical="center"/>
    </xf>
    <xf numFmtId="43" fontId="0" fillId="0" borderId="0" xfId="2" applyNumberFormat="1" applyFont="1" applyProtection="1">
      <protection locked="0"/>
    </xf>
    <xf numFmtId="16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43" fontId="25" fillId="0" borderId="0" xfId="2" applyNumberFormat="1" applyFont="1" applyAlignment="1">
      <alignment horizontal="center" vertical="center"/>
    </xf>
    <xf numFmtId="44" fontId="0" fillId="0" borderId="0" xfId="2" applyFont="1" applyProtection="1">
      <protection locked="0"/>
    </xf>
    <xf numFmtId="0" fontId="2" fillId="7" borderId="0" xfId="0" applyFont="1" applyFill="1" applyAlignment="1" applyProtection="1">
      <alignment horizontal="right"/>
      <protection locked="0"/>
    </xf>
    <xf numFmtId="43" fontId="26" fillId="7" borderId="0" xfId="2" applyNumberFormat="1" applyFont="1" applyFill="1" applyProtection="1">
      <protection locked="0"/>
    </xf>
    <xf numFmtId="0" fontId="0" fillId="7" borderId="0" xfId="0" applyFill="1" applyProtection="1"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2" fillId="20" borderId="0" xfId="0" applyFont="1" applyFill="1" applyAlignment="1" applyProtection="1">
      <alignment horizontal="right"/>
      <protection locked="0"/>
    </xf>
    <xf numFmtId="43" fontId="2" fillId="20" borderId="0" xfId="2" applyNumberFormat="1" applyFont="1" applyFill="1" applyProtection="1"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26" fillId="20" borderId="0" xfId="2" applyNumberFormat="1" applyFont="1" applyFill="1" applyProtection="1">
      <protection locked="0"/>
    </xf>
    <xf numFmtId="0" fontId="23" fillId="0" borderId="0" xfId="0" applyFont="1" applyProtection="1">
      <protection locked="0"/>
    </xf>
    <xf numFmtId="14" fontId="0" fillId="0" borderId="0" xfId="0" applyNumberFormat="1" applyProtection="1">
      <protection locked="0"/>
    </xf>
    <xf numFmtId="43" fontId="25" fillId="0" borderId="101" xfId="2" applyNumberFormat="1" applyFont="1" applyBorder="1" applyAlignment="1">
      <alignment horizontal="center" vertical="center"/>
    </xf>
    <xf numFmtId="43" fontId="25" fillId="0" borderId="0" xfId="2" applyNumberFormat="1" applyFont="1" applyBorder="1" applyAlignment="1">
      <alignment horizontal="center" vertical="center"/>
    </xf>
    <xf numFmtId="43" fontId="0" fillId="0" borderId="101" xfId="2" applyNumberFormat="1" applyFont="1" applyBorder="1" applyAlignment="1">
      <alignment horizontal="center" vertical="center"/>
    </xf>
    <xf numFmtId="43" fontId="23" fillId="0" borderId="101" xfId="2" applyNumberFormat="1" applyFont="1" applyBorder="1" applyAlignment="1">
      <alignment horizontal="center" vertical="center"/>
    </xf>
    <xf numFmtId="0" fontId="0" fillId="8" borderId="0" xfId="0" applyFill="1" applyAlignment="1">
      <alignment horizontal="centerContinuous"/>
    </xf>
    <xf numFmtId="0" fontId="22" fillId="8" borderId="0" xfId="0" applyFont="1" applyFill="1" applyAlignment="1">
      <alignment horizontal="centerContinuous"/>
    </xf>
    <xf numFmtId="164" fontId="0" fillId="0" borderId="0" xfId="0" applyNumberFormat="1"/>
    <xf numFmtId="168" fontId="0" fillId="0" borderId="0" xfId="0" applyNumberFormat="1"/>
    <xf numFmtId="0" fontId="2" fillId="6" borderId="87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17" fontId="2" fillId="8" borderId="23" xfId="0" applyNumberFormat="1" applyFont="1" applyFill="1" applyBorder="1" applyAlignment="1">
      <alignment horizontal="center" vertical="center"/>
    </xf>
    <xf numFmtId="0" fontId="0" fillId="0" borderId="34" xfId="0" applyBorder="1"/>
    <xf numFmtId="168" fontId="0" fillId="0" borderId="18" xfId="0" applyNumberFormat="1" applyBorder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0" fontId="0" fillId="0" borderId="86" xfId="0" applyBorder="1"/>
    <xf numFmtId="168" fontId="0" fillId="0" borderId="21" xfId="0" applyNumberFormat="1" applyBorder="1" applyAlignment="1">
      <alignment horizontal="center" vertical="center"/>
    </xf>
    <xf numFmtId="168" fontId="0" fillId="0" borderId="59" xfId="0" applyNumberFormat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0" fillId="0" borderId="22" xfId="0" applyBorder="1"/>
    <xf numFmtId="168" fontId="0" fillId="6" borderId="0" xfId="0" applyNumberFormat="1" applyFill="1" applyAlignment="1">
      <alignment horizontal="center" vertical="center"/>
    </xf>
    <xf numFmtId="168" fontId="0" fillId="8" borderId="7" xfId="0" applyNumberFormat="1" applyFill="1" applyBorder="1" applyAlignment="1">
      <alignment horizontal="center" vertical="center"/>
    </xf>
    <xf numFmtId="168" fontId="0" fillId="8" borderId="77" xfId="0" applyNumberFormat="1" applyFill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 wrapText="1"/>
    </xf>
    <xf numFmtId="9" fontId="0" fillId="8" borderId="5" xfId="3" applyFont="1" applyFill="1" applyBorder="1" applyAlignment="1">
      <alignment horizontal="center" vertical="center"/>
    </xf>
    <xf numFmtId="43" fontId="25" fillId="7" borderId="0" xfId="0" applyNumberFormat="1" applyFont="1" applyFill="1" applyAlignment="1">
      <alignment vertical="center"/>
    </xf>
    <xf numFmtId="9" fontId="25" fillId="0" borderId="0" xfId="3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7" borderId="0" xfId="0" applyFont="1" applyFill="1" applyAlignment="1" applyProtection="1">
      <alignment horizontal="center" vertical="center"/>
      <protection locked="0"/>
    </xf>
    <xf numFmtId="0" fontId="2" fillId="20" borderId="0" xfId="0" applyFont="1" applyFill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</cellXfs>
  <cellStyles count="5">
    <cellStyle name="Moeda" xfId="2" builtinId="4"/>
    <cellStyle name="Normal" xfId="0" builtinId="0"/>
    <cellStyle name="Normal 2" xfId="1" xr:uid="{939B727E-EA1D-42DC-9C68-5A1B244A46B7}"/>
    <cellStyle name="Normal 3" xfId="4" xr:uid="{F9CC8901-96A5-4CF5-81D7-E842881497AE}"/>
    <cellStyle name="Porcentagem" xfId="3" builtinId="5"/>
  </cellStyles>
  <dxfs count="264"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0" formatCode="dd/mmm/yy"/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1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/>
        <right style="thick">
          <color rgb="FFFFFF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indent="0" justifyLastLine="0" shrinkToFit="0" readingOrder="0"/>
      <border diagonalUp="0" diagonalDown="0">
        <left style="thick">
          <color rgb="FFFFFF00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0" formatCode="dd/mmm/yy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/>
        <right style="thick">
          <color rgb="FFFFFF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alignment horizontal="center" vertical="center" textRotation="0" indent="0" justifyLastLine="0" shrinkToFit="0" readingOrder="0"/>
      <border diagonalUp="0" diagonalDown="0">
        <left style="thick">
          <color rgb="FFFFFF00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0" formatCode="dd/mmm/yy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/>
        <top/>
        <bottom/>
      </border>
    </dxf>
    <dxf>
      <numFmt numFmtId="13" formatCode="0%"/>
      <alignment horizontal="center" vertical="center" textRotation="0" wrapText="0" indent="0" justifyLastLine="0" shrinkToFit="0" readingOrder="0"/>
      <border>
        <right style="hair">
          <color theme="0" tint="-0.24994659260841701"/>
        </right>
      </border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/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 style="hair">
          <color theme="0" tint="-0.24994659260841701"/>
        </right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fill>
        <patternFill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/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fill>
        <patternFill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/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 style="hair">
          <color theme="0" tint="-0.24994659260841701"/>
        </right>
        <top/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/>
        <top/>
        <bottom/>
        <vertical style="hair">
          <color theme="0" tint="-0.24994659260841701"/>
        </vertical>
        <horizontal/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/>
        <bottom/>
        <vertical style="hair">
          <color theme="0" tint="-0.24994659260841701"/>
        </vertical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theme="0" tint="-0.24994659260841701"/>
        </right>
        <top/>
        <bottom/>
        <vertical style="hair">
          <color theme="0" tint="-0.24994659260841701"/>
        </vertical>
        <horizontal/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numFmt numFmtId="33" formatCode="_-* #,##0_-;\-* #,##0_-;_-* &quot;-&quot;_-;_-@_-"/>
    </dxf>
    <dxf>
      <numFmt numFmtId="166" formatCode="mmm\-yyyy"/>
    </dxf>
    <dxf>
      <numFmt numFmtId="167" formatCode="_-* #,##0_-;\-* #,##0_-;_-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#,##0.00;\(#,##0.00\)"/>
    </dxf>
    <dxf>
      <numFmt numFmtId="164" formatCode="dd/mmm/yyyy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hair">
          <color theme="0" tint="-0.24994659260841701"/>
        </left>
        <right style="thin">
          <color indexed="64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hair">
          <color theme="0" tint="-0.24994659260841701"/>
        </top>
        <bottom style="hair">
          <color theme="0" tint="-0.2499465926084170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/yy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numFmt numFmtId="167" formatCode="_-* #,##0_-;\-* #,##0_-;_-* &quot;-&quot;??_-;_-@_-"/>
      <fill>
        <patternFill patternType="none">
          <bgColor auto="1"/>
        </patternFill>
      </fill>
    </dxf>
    <dxf>
      <numFmt numFmtId="167" formatCode="_-* #,##0_-;\-* #,##0_-;_-* &quot;-&quot;??_-;_-@_-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numFmt numFmtId="22" formatCode="mmm/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numFmt numFmtId="4" formatCode="#,##0.00"/>
    </dxf>
    <dxf>
      <numFmt numFmtId="19" formatCode="dd/mm/yyyy"/>
    </dxf>
    <dxf>
      <numFmt numFmtId="0" formatCode="General"/>
    </dxf>
    <dxf>
      <numFmt numFmtId="4" formatCode="#,##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numFmt numFmtId="13" formatCode="0%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/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13" formatCode="0%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/>
        <vertical/>
        <horizontal/>
      </border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</border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  <vertical style="hair">
          <color theme="0" tint="-0.24994659260841701"/>
        </vertical>
        <horizontal style="hair">
          <color theme="0" tint="-0.24994659260841701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numFmt numFmtId="20" formatCode="dd/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" Target="richData/rdrichvalue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microsoft.com/office/2017/10/relationships/person" Target="persons/person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sharedStrings" Target="sharedStrings.xml"/><Relationship Id="rId40" Type="http://schemas.microsoft.com/office/2017/06/relationships/rdRichValueStructure" Target="richData/rdrichvaluestructure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onnections" Target="connections.xml"/><Relationship Id="rId43" Type="http://schemas.microsoft.com/office/2022/11/relationships/FeaturePropertyBag" Target="featurePropertyBag/featurePropertyBag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sheetMetadata" Target="metadata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de caixa por atividade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f.grupo!$B$2:$C$2</c:f>
              <c:strCache>
                <c:ptCount val="2"/>
                <c:pt idx="0">
                  <c:v>Caixa líq. das atividades operacionais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f.grupo!$D$2:$AA$2</c:f>
              <c:numCache>
                <c:formatCode>#,##0;\(#,##0\)</c:formatCode>
                <c:ptCount val="24"/>
                <c:pt idx="0">
                  <c:v>66315.199999999997</c:v>
                </c:pt>
                <c:pt idx="1">
                  <c:v>102314.88</c:v>
                </c:pt>
                <c:pt idx="2">
                  <c:v>247260.96</c:v>
                </c:pt>
                <c:pt idx="3">
                  <c:v>361891.51999999996</c:v>
                </c:pt>
                <c:pt idx="4">
                  <c:v>806203.36</c:v>
                </c:pt>
                <c:pt idx="5">
                  <c:v>770203.68</c:v>
                </c:pt>
                <c:pt idx="6">
                  <c:v>1031675.04</c:v>
                </c:pt>
                <c:pt idx="7">
                  <c:v>400733.28</c:v>
                </c:pt>
                <c:pt idx="8">
                  <c:v>345786.39999999997</c:v>
                </c:pt>
                <c:pt idx="9">
                  <c:v>622415.52</c:v>
                </c:pt>
                <c:pt idx="10">
                  <c:v>378944</c:v>
                </c:pt>
                <c:pt idx="11">
                  <c:v>324944.48000000004</c:v>
                </c:pt>
                <c:pt idx="12">
                  <c:v>179998.4</c:v>
                </c:pt>
                <c:pt idx="13">
                  <c:v>272839.67999999999</c:v>
                </c:pt>
                <c:pt idx="14">
                  <c:v>640415.36</c:v>
                </c:pt>
                <c:pt idx="15">
                  <c:v>389364.96</c:v>
                </c:pt>
                <c:pt idx="16">
                  <c:v>566521.28</c:v>
                </c:pt>
                <c:pt idx="17">
                  <c:v>390312.32</c:v>
                </c:pt>
                <c:pt idx="18">
                  <c:v>610099.84000000008</c:v>
                </c:pt>
                <c:pt idx="19">
                  <c:v>238734.72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E-48AC-9E85-298E134703A4}"/>
            </c:ext>
          </c:extLst>
        </c:ser>
        <c:ser>
          <c:idx val="1"/>
          <c:order val="1"/>
          <c:tx>
            <c:strRef>
              <c:f>f.grupo!$B$174:$C$174</c:f>
              <c:strCache>
                <c:ptCount val="2"/>
                <c:pt idx="0">
                  <c:v>Caixa líq. das atividades de investimento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f.grupo!$D$174:$AA$174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FE-48AC-9E85-298E134703A4}"/>
            </c:ext>
          </c:extLst>
        </c:ser>
        <c:ser>
          <c:idx val="2"/>
          <c:order val="2"/>
          <c:tx>
            <c:strRef>
              <c:f>f.grupo!$B$200:$C$200</c:f>
              <c:strCache>
                <c:ptCount val="2"/>
                <c:pt idx="0">
                  <c:v>Caixa líq. das atividades de financiamento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f.grupo!$D$200:$AA$200</c:f>
              <c:numCache>
                <c:formatCode>#,##0;\(#,##0\)</c:formatCode>
                <c:ptCount val="24"/>
                <c:pt idx="0">
                  <c:v>1301708.8500000001</c:v>
                </c:pt>
                <c:pt idx="1">
                  <c:v>0</c:v>
                </c:pt>
                <c:pt idx="2">
                  <c:v>621715.06000000006</c:v>
                </c:pt>
                <c:pt idx="3">
                  <c:v>2880120.66</c:v>
                </c:pt>
                <c:pt idx="4">
                  <c:v>-4574829.6099999985</c:v>
                </c:pt>
                <c:pt idx="5">
                  <c:v>2693304.8</c:v>
                </c:pt>
                <c:pt idx="6">
                  <c:v>-1135314.7800000003</c:v>
                </c:pt>
                <c:pt idx="7">
                  <c:v>13459049.359999999</c:v>
                </c:pt>
                <c:pt idx="8">
                  <c:v>1226397.81</c:v>
                </c:pt>
                <c:pt idx="9">
                  <c:v>3497137.5199999996</c:v>
                </c:pt>
                <c:pt idx="10">
                  <c:v>-3397342.11</c:v>
                </c:pt>
                <c:pt idx="11">
                  <c:v>471701.2</c:v>
                </c:pt>
                <c:pt idx="12">
                  <c:v>1138483.6300000001</c:v>
                </c:pt>
                <c:pt idx="13">
                  <c:v>3697790.27</c:v>
                </c:pt>
                <c:pt idx="14">
                  <c:v>2245616.4500000002</c:v>
                </c:pt>
                <c:pt idx="15">
                  <c:v>902872.02</c:v>
                </c:pt>
                <c:pt idx="16">
                  <c:v>6832317.2400000002</c:v>
                </c:pt>
                <c:pt idx="17">
                  <c:v>1365955.58</c:v>
                </c:pt>
                <c:pt idx="18">
                  <c:v>2413325.8199999998</c:v>
                </c:pt>
                <c:pt idx="19">
                  <c:v>982083.85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E-48AC-9E85-298E1347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745535"/>
        <c:axId val="353735455"/>
      </c:barChart>
      <c:lineChart>
        <c:grouping val="standard"/>
        <c:varyColors val="0"/>
        <c:ser>
          <c:idx val="4"/>
          <c:order val="3"/>
          <c:tx>
            <c:strRef>
              <c:f>f.grupo!$B$262</c:f>
              <c:strCache>
                <c:ptCount val="1"/>
                <c:pt idx="0">
                  <c:v>Variação de caixa e equivalentes no período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val>
            <c:numRef>
              <c:f>f.grupo!$D$262:$AA$262</c:f>
              <c:numCache>
                <c:formatCode>#,##0;\(#,##0\)</c:formatCode>
                <c:ptCount val="24"/>
                <c:pt idx="12">
                  <c:v>-1536281.89</c:v>
                </c:pt>
                <c:pt idx="13">
                  <c:v>-213883.84999999986</c:v>
                </c:pt>
                <c:pt idx="14">
                  <c:v>1600675.63</c:v>
                </c:pt>
                <c:pt idx="15">
                  <c:v>-2621684.9099999997</c:v>
                </c:pt>
                <c:pt idx="16">
                  <c:v>5687394.8899999997</c:v>
                </c:pt>
                <c:pt idx="17">
                  <c:v>-3487445.07</c:v>
                </c:pt>
                <c:pt idx="18">
                  <c:v>4617374.4899999993</c:v>
                </c:pt>
                <c:pt idx="19">
                  <c:v>-5064638.6900000004</c:v>
                </c:pt>
                <c:pt idx="20">
                  <c:v>-2037488.25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B-4E07-B02E-D50260B21CDF}"/>
            </c:ext>
          </c:extLst>
        </c:ser>
        <c:ser>
          <c:idx val="3"/>
          <c:order val="4"/>
          <c:tx>
            <c:strRef>
              <c:f>f.grupo!$B$316:$C$316</c:f>
              <c:strCache>
                <c:ptCount val="2"/>
                <c:pt idx="0">
                  <c:v>Variação líquida de caixa no período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f.grupo!$D$316:$AA$316</c:f>
              <c:numCache>
                <c:formatCode>#,##0;\(#,##0\)</c:formatCode>
                <c:ptCount val="24"/>
                <c:pt idx="0">
                  <c:v>1368024.05</c:v>
                </c:pt>
                <c:pt idx="1">
                  <c:v>102314.88</c:v>
                </c:pt>
                <c:pt idx="2">
                  <c:v>868976.02</c:v>
                </c:pt>
                <c:pt idx="3">
                  <c:v>3242012.18</c:v>
                </c:pt>
                <c:pt idx="4">
                  <c:v>-3768626.2499999986</c:v>
                </c:pt>
                <c:pt idx="5">
                  <c:v>3463508.48</c:v>
                </c:pt>
                <c:pt idx="6">
                  <c:v>-103639.74000000022</c:v>
                </c:pt>
                <c:pt idx="7">
                  <c:v>13859782.639999999</c:v>
                </c:pt>
                <c:pt idx="8">
                  <c:v>1572184.21</c:v>
                </c:pt>
                <c:pt idx="9">
                  <c:v>4119553.0399999996</c:v>
                </c:pt>
                <c:pt idx="10">
                  <c:v>-3018398.11</c:v>
                </c:pt>
                <c:pt idx="11">
                  <c:v>796645.68</c:v>
                </c:pt>
                <c:pt idx="12">
                  <c:v>1318482.03</c:v>
                </c:pt>
                <c:pt idx="13">
                  <c:v>3970629.95</c:v>
                </c:pt>
                <c:pt idx="14">
                  <c:v>2886031.81</c:v>
                </c:pt>
                <c:pt idx="15">
                  <c:v>1292236.98</c:v>
                </c:pt>
                <c:pt idx="16">
                  <c:v>7398838.5200000005</c:v>
                </c:pt>
                <c:pt idx="17">
                  <c:v>1756267.9000000001</c:v>
                </c:pt>
                <c:pt idx="18">
                  <c:v>3023425.66</c:v>
                </c:pt>
                <c:pt idx="19">
                  <c:v>1220818.57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FE-48AC-9E85-298E1347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745535"/>
        <c:axId val="353735455"/>
      </c:lineChart>
      <c:dateAx>
        <c:axId val="3537455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735455"/>
        <c:crosses val="autoZero"/>
        <c:auto val="1"/>
        <c:lblOffset val="100"/>
        <c:baseTimeUnit val="months"/>
      </c:dateAx>
      <c:valAx>
        <c:axId val="3537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74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Caixa líquido</a:t>
            </a:r>
            <a:r>
              <a:rPr lang="pt-BR" baseline="0"/>
              <a:t> das atividades operacionais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f.grupo!$B$3</c:f>
              <c:strCache>
                <c:ptCount val="1"/>
                <c:pt idx="0">
                  <c:v>Entradas de atividades operacionais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f.grupo!$D$3:$AA$3</c:f>
              <c:numCache>
                <c:formatCode>#,##0;\(#,##0\)</c:formatCode>
                <c:ptCount val="24"/>
                <c:pt idx="0">
                  <c:v>66315.199999999997</c:v>
                </c:pt>
                <c:pt idx="1">
                  <c:v>102314.88</c:v>
                </c:pt>
                <c:pt idx="2">
                  <c:v>247260.96</c:v>
                </c:pt>
                <c:pt idx="3">
                  <c:v>361891.51999999996</c:v>
                </c:pt>
                <c:pt idx="4">
                  <c:v>806203.36</c:v>
                </c:pt>
                <c:pt idx="5">
                  <c:v>770203.68</c:v>
                </c:pt>
                <c:pt idx="6">
                  <c:v>1031675.04</c:v>
                </c:pt>
                <c:pt idx="7">
                  <c:v>400733.28</c:v>
                </c:pt>
                <c:pt idx="8">
                  <c:v>345786.39999999997</c:v>
                </c:pt>
                <c:pt idx="9">
                  <c:v>622415.52</c:v>
                </c:pt>
                <c:pt idx="10">
                  <c:v>378944</c:v>
                </c:pt>
                <c:pt idx="11">
                  <c:v>324944.48000000004</c:v>
                </c:pt>
                <c:pt idx="12">
                  <c:v>179998.4</c:v>
                </c:pt>
                <c:pt idx="13">
                  <c:v>272839.67999999999</c:v>
                </c:pt>
                <c:pt idx="14">
                  <c:v>640415.36</c:v>
                </c:pt>
                <c:pt idx="15">
                  <c:v>389364.96</c:v>
                </c:pt>
                <c:pt idx="16">
                  <c:v>566521.28</c:v>
                </c:pt>
                <c:pt idx="17">
                  <c:v>390312.32</c:v>
                </c:pt>
                <c:pt idx="18">
                  <c:v>610099.84000000008</c:v>
                </c:pt>
                <c:pt idx="19">
                  <c:v>238734.72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3-4242-8055-E7F88F0E773E}"/>
            </c:ext>
          </c:extLst>
        </c:ser>
        <c:ser>
          <c:idx val="2"/>
          <c:order val="2"/>
          <c:tx>
            <c:strRef>
              <c:f>f.grupo!$B$33</c:f>
              <c:strCache>
                <c:ptCount val="1"/>
                <c:pt idx="0">
                  <c:v>Saídas de atividades operacionais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f.grupo!$D$33:$AA$33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3-4242-8055-E7F88F0E7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087680"/>
        <c:axId val="1188147200"/>
      </c:barChart>
      <c:lineChart>
        <c:grouping val="standard"/>
        <c:varyColors val="0"/>
        <c:ser>
          <c:idx val="0"/>
          <c:order val="0"/>
          <c:tx>
            <c:strRef>
              <c:f>f.grupo!$B$2</c:f>
              <c:strCache>
                <c:ptCount val="1"/>
                <c:pt idx="0">
                  <c:v>Caixa líq. das atividades operacionais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f.grupo!$D$2:$AA$2</c:f>
              <c:numCache>
                <c:formatCode>#,##0;\(#,##0\)</c:formatCode>
                <c:ptCount val="24"/>
                <c:pt idx="0">
                  <c:v>66315.199999999997</c:v>
                </c:pt>
                <c:pt idx="1">
                  <c:v>102314.88</c:v>
                </c:pt>
                <c:pt idx="2">
                  <c:v>247260.96</c:v>
                </c:pt>
                <c:pt idx="3">
                  <c:v>361891.51999999996</c:v>
                </c:pt>
                <c:pt idx="4">
                  <c:v>806203.36</c:v>
                </c:pt>
                <c:pt idx="5">
                  <c:v>770203.68</c:v>
                </c:pt>
                <c:pt idx="6">
                  <c:v>1031675.04</c:v>
                </c:pt>
                <c:pt idx="7">
                  <c:v>400733.28</c:v>
                </c:pt>
                <c:pt idx="8">
                  <c:v>345786.39999999997</c:v>
                </c:pt>
                <c:pt idx="9">
                  <c:v>622415.52</c:v>
                </c:pt>
                <c:pt idx="10">
                  <c:v>378944</c:v>
                </c:pt>
                <c:pt idx="11">
                  <c:v>324944.48000000004</c:v>
                </c:pt>
                <c:pt idx="12">
                  <c:v>179998.4</c:v>
                </c:pt>
                <c:pt idx="13">
                  <c:v>272839.67999999999</c:v>
                </c:pt>
                <c:pt idx="14">
                  <c:v>640415.36</c:v>
                </c:pt>
                <c:pt idx="15">
                  <c:v>389364.96</c:v>
                </c:pt>
                <c:pt idx="16">
                  <c:v>566521.28</c:v>
                </c:pt>
                <c:pt idx="17">
                  <c:v>390312.32</c:v>
                </c:pt>
                <c:pt idx="18">
                  <c:v>610099.84000000008</c:v>
                </c:pt>
                <c:pt idx="19">
                  <c:v>238734.72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33-4242-8055-E7F88F0E7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8087680"/>
        <c:axId val="1188147200"/>
      </c:lineChart>
      <c:dateAx>
        <c:axId val="11880876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147200"/>
        <c:crosses val="autoZero"/>
        <c:auto val="1"/>
        <c:lblOffset val="100"/>
        <c:baseTimeUnit val="months"/>
      </c:dateAx>
      <c:valAx>
        <c:axId val="11881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80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</a:t>
            </a:r>
            <a:r>
              <a:rPr lang="pt-BR" baseline="0"/>
              <a:t> operacionais: Área empilhada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f.grupo!$B$4</c:f>
              <c:strCache>
                <c:ptCount val="1"/>
                <c:pt idx="0">
                  <c:v>Repasse CEF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f.grupo!$D$4:$AA$4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8-483E-BD35-63DB098E6957}"/>
            </c:ext>
          </c:extLst>
        </c:ser>
        <c:ser>
          <c:idx val="2"/>
          <c:order val="1"/>
          <c:tx>
            <c:strRef>
              <c:f>f.grupo!$B$11</c:f>
              <c:strCache>
                <c:ptCount val="1"/>
                <c:pt idx="0">
                  <c:v>Pró soluto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f.grupo!$D$11:$AA$11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8-483E-BD35-63DB098E6957}"/>
            </c:ext>
          </c:extLst>
        </c:ser>
        <c:ser>
          <c:idx val="3"/>
          <c:order val="2"/>
          <c:tx>
            <c:strRef>
              <c:f>f.grupo!$B$25</c:f>
              <c:strCache>
                <c:ptCount val="1"/>
                <c:pt idx="0">
                  <c:v>Taxas extras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f.grupo!$D$25:$AA$25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68-483E-BD35-63DB098E6957}"/>
            </c:ext>
          </c:extLst>
        </c:ser>
        <c:ser>
          <c:idx val="4"/>
          <c:order val="3"/>
          <c:tx>
            <c:strRef>
              <c:f>f.grupo!$B$23</c:f>
              <c:strCache>
                <c:ptCount val="1"/>
                <c:pt idx="0">
                  <c:v>Repasse ABC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f.grupo!$D$23:$AA$23</c:f>
              <c:numCache>
                <c:formatCode>#,##0;\(#,##0\)</c:formatCode>
                <c:ptCount val="24"/>
                <c:pt idx="0">
                  <c:v>66315.199999999997</c:v>
                </c:pt>
                <c:pt idx="1">
                  <c:v>102314.88</c:v>
                </c:pt>
                <c:pt idx="2">
                  <c:v>247260.96</c:v>
                </c:pt>
                <c:pt idx="3">
                  <c:v>361891.51999999996</c:v>
                </c:pt>
                <c:pt idx="4">
                  <c:v>806203.36</c:v>
                </c:pt>
                <c:pt idx="5">
                  <c:v>770203.68</c:v>
                </c:pt>
                <c:pt idx="6">
                  <c:v>1031675.04</c:v>
                </c:pt>
                <c:pt idx="7">
                  <c:v>400733.28</c:v>
                </c:pt>
                <c:pt idx="8">
                  <c:v>345786.39999999997</c:v>
                </c:pt>
                <c:pt idx="9">
                  <c:v>622415.52</c:v>
                </c:pt>
                <c:pt idx="10">
                  <c:v>378944</c:v>
                </c:pt>
                <c:pt idx="11">
                  <c:v>324944.48000000004</c:v>
                </c:pt>
                <c:pt idx="12">
                  <c:v>179998.4</c:v>
                </c:pt>
                <c:pt idx="13">
                  <c:v>272839.67999999999</c:v>
                </c:pt>
                <c:pt idx="14">
                  <c:v>640415.36</c:v>
                </c:pt>
                <c:pt idx="15">
                  <c:v>389364.96</c:v>
                </c:pt>
                <c:pt idx="16">
                  <c:v>566521.28</c:v>
                </c:pt>
                <c:pt idx="17">
                  <c:v>390312.32</c:v>
                </c:pt>
                <c:pt idx="18">
                  <c:v>610099.84000000008</c:v>
                </c:pt>
                <c:pt idx="19">
                  <c:v>238734.72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8-483E-BD35-63DB098E6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675728"/>
        <c:axId val="1214588560"/>
      </c:areaChart>
      <c:dateAx>
        <c:axId val="212167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588560"/>
        <c:crosses val="autoZero"/>
        <c:auto val="1"/>
        <c:lblOffset val="100"/>
        <c:baseTimeUnit val="months"/>
      </c:dateAx>
      <c:valAx>
        <c:axId val="12145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167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</a:t>
            </a:r>
            <a:r>
              <a:rPr lang="pt-BR" baseline="0"/>
              <a:t> operacionais - Linhas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f.grupo!$B$4</c:f>
              <c:strCache>
                <c:ptCount val="1"/>
                <c:pt idx="0">
                  <c:v>Repasse CEF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f.grupo!$D$4:$AA$4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0-4AB0-ADCA-143071D3FE82}"/>
            </c:ext>
          </c:extLst>
        </c:ser>
        <c:ser>
          <c:idx val="2"/>
          <c:order val="1"/>
          <c:tx>
            <c:strRef>
              <c:f>f.grupo!$B$11</c:f>
              <c:strCache>
                <c:ptCount val="1"/>
                <c:pt idx="0">
                  <c:v>Pró soluto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f.grupo!$D$11:$AA$11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0-4AB0-ADCA-143071D3FE82}"/>
            </c:ext>
          </c:extLst>
        </c:ser>
        <c:ser>
          <c:idx val="3"/>
          <c:order val="2"/>
          <c:tx>
            <c:strRef>
              <c:f>f.grupo!$B$25</c:f>
              <c:strCache>
                <c:ptCount val="1"/>
                <c:pt idx="0">
                  <c:v>Taxas extras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f.grupo!$D$25:$AA$25</c:f>
              <c:numCache>
                <c:formatCode>#,##0;\(#,##0\)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0-4AB0-ADCA-143071D3FE82}"/>
            </c:ext>
          </c:extLst>
        </c:ser>
        <c:ser>
          <c:idx val="4"/>
          <c:order val="3"/>
          <c:tx>
            <c:strRef>
              <c:f>f.grupo!$B$23</c:f>
              <c:strCache>
                <c:ptCount val="1"/>
                <c:pt idx="0">
                  <c:v>Repasse ABC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f.grupo!$D$1:$AA$1</c:f>
              <c:numCache>
                <c:formatCode>mmm\-yy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f.grupo!$D$23:$AA$23</c:f>
              <c:numCache>
                <c:formatCode>#,##0;\(#,##0\)</c:formatCode>
                <c:ptCount val="24"/>
                <c:pt idx="0">
                  <c:v>66315.199999999997</c:v>
                </c:pt>
                <c:pt idx="1">
                  <c:v>102314.88</c:v>
                </c:pt>
                <c:pt idx="2">
                  <c:v>247260.96</c:v>
                </c:pt>
                <c:pt idx="3">
                  <c:v>361891.51999999996</c:v>
                </c:pt>
                <c:pt idx="4">
                  <c:v>806203.36</c:v>
                </c:pt>
                <c:pt idx="5">
                  <c:v>770203.68</c:v>
                </c:pt>
                <c:pt idx="6">
                  <c:v>1031675.04</c:v>
                </c:pt>
                <c:pt idx="7">
                  <c:v>400733.28</c:v>
                </c:pt>
                <c:pt idx="8">
                  <c:v>345786.39999999997</c:v>
                </c:pt>
                <c:pt idx="9">
                  <c:v>622415.52</c:v>
                </c:pt>
                <c:pt idx="10">
                  <c:v>378944</c:v>
                </c:pt>
                <c:pt idx="11">
                  <c:v>324944.48000000004</c:v>
                </c:pt>
                <c:pt idx="12">
                  <c:v>179998.4</c:v>
                </c:pt>
                <c:pt idx="13">
                  <c:v>272839.67999999999</c:v>
                </c:pt>
                <c:pt idx="14">
                  <c:v>640415.36</c:v>
                </c:pt>
                <c:pt idx="15">
                  <c:v>389364.96</c:v>
                </c:pt>
                <c:pt idx="16">
                  <c:v>566521.28</c:v>
                </c:pt>
                <c:pt idx="17">
                  <c:v>390312.32</c:v>
                </c:pt>
                <c:pt idx="18">
                  <c:v>610099.84000000008</c:v>
                </c:pt>
                <c:pt idx="19">
                  <c:v>238734.72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0-4AB0-ADCA-143071D3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675728"/>
        <c:axId val="1214588560"/>
      </c:lineChart>
      <c:dateAx>
        <c:axId val="2121675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588560"/>
        <c:crosses val="autoZero"/>
        <c:auto val="1"/>
        <c:lblOffset val="100"/>
        <c:baseTimeUnit val="months"/>
      </c:dateAx>
      <c:valAx>
        <c:axId val="12145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167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Lançamentos por necessidade de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Classificados</c:v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agenda!$L$2:$L$4</c:f>
              <c:numCache>
                <c:formatCode>General</c:formatCode>
                <c:ptCount val="3"/>
                <c:pt idx="0">
                  <c:v>115</c:v>
                </c:pt>
                <c:pt idx="1">
                  <c:v>88</c:v>
                </c:pt>
                <c:pt idx="2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7-4FC7-96D7-976275861AB6}"/>
            </c:ext>
          </c:extLst>
        </c:ser>
        <c:ser>
          <c:idx val="1"/>
          <c:order val="1"/>
          <c:tx>
            <c:v>Não-classificados</c:v>
          </c:tx>
          <c:spPr>
            <a:solidFill>
              <a:srgbClr val="00B05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agenda!$M$2:$M$4</c:f>
              <c:numCache>
                <c:formatCode>General</c:formatCode>
                <c:ptCount val="3"/>
                <c:pt idx="0">
                  <c:v>806</c:v>
                </c:pt>
                <c:pt idx="1">
                  <c:v>819</c:v>
                </c:pt>
                <c:pt idx="2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7-4FC7-96D7-97627586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789887"/>
        <c:axId val="1849785087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agenda!$N$1</c15:sqref>
                        </c15:formulaRef>
                      </c:ext>
                    </c:extLst>
                    <c:strCache>
                      <c:ptCount val="1"/>
                      <c:pt idx="0">
                        <c:v>Valor_C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agenda!$K$2:$K$4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46082</c:v>
                      </c:pt>
                      <c:pt idx="1">
                        <c:v>46113</c:v>
                      </c:pt>
                      <c:pt idx="2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agenda!$N$2:$N$4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"/>
                      <c:pt idx="0">
                        <c:v>4411739.1799999988</c:v>
                      </c:pt>
                      <c:pt idx="1">
                        <c:v>413016.37</c:v>
                      </c:pt>
                      <c:pt idx="2">
                        <c:v>1223402.58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BC7-4FC7-96D7-976275861AB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agenda!$O$1</c15:sqref>
                        </c15:formulaRef>
                      </c:ext>
                    </c:extLst>
                    <c:strCache>
                      <c:ptCount val="1"/>
                      <c:pt idx="0">
                        <c:v>Valor_NC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agenda!$K$2:$K$4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46082</c:v>
                      </c:pt>
                      <c:pt idx="1">
                        <c:v>46113</c:v>
                      </c:pt>
                      <c:pt idx="2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agenda!$O$2:$O$4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3"/>
                      <c:pt idx="0">
                        <c:v>7885767.0499999998</c:v>
                      </c:pt>
                      <c:pt idx="1">
                        <c:v>13346831.511763999</c:v>
                      </c:pt>
                      <c:pt idx="2">
                        <c:v>8980749.2300000042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C7-4FC7-96D7-976275861AB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v>Classificados (%)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agenda!$P$2:$P$4</c:f>
              <c:numCache>
                <c:formatCode>0%</c:formatCode>
                <c:ptCount val="3"/>
                <c:pt idx="0">
                  <c:v>0.1248642779587405</c:v>
                </c:pt>
                <c:pt idx="1">
                  <c:v>9.7023153252480704E-2</c:v>
                </c:pt>
                <c:pt idx="2">
                  <c:v>0.25626204238921002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C7-4FC7-96D7-976275861AB6}"/>
            </c:ext>
          </c:extLst>
        </c:ser>
        <c:ser>
          <c:idx val="5"/>
          <c:order val="5"/>
          <c:tx>
            <c:v>Não-classificados (%)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</c:numRef>
          </c:cat>
          <c:val>
            <c:numRef>
              <c:f>agenda!$Q$2:$Q$4</c:f>
              <c:numCache>
                <c:formatCode>0%</c:formatCode>
                <c:ptCount val="3"/>
                <c:pt idx="0">
                  <c:v>0.87513572204125945</c:v>
                </c:pt>
                <c:pt idx="1">
                  <c:v>0.90297684674751932</c:v>
                </c:pt>
                <c:pt idx="2">
                  <c:v>0.74373795761078998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7-4FC7-96D7-97627586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178335"/>
        <c:axId val="20191936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agenda!$R$1</c15:sqref>
                        </c15:formulaRef>
                      </c:ext>
                    </c:extLst>
                    <c:strCache>
                      <c:ptCount val="1"/>
                      <c:pt idx="0">
                        <c:v>ValorP_C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agenda!$K$2:$K$4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46082</c:v>
                      </c:pt>
                      <c:pt idx="1">
                        <c:v>46113</c:v>
                      </c:pt>
                      <c:pt idx="2">
                        <c:v>46143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agenda!$R$2:$R$4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0.35875071721756674</c:v>
                      </c:pt>
                      <c:pt idx="1">
                        <c:v>3.0016056394589419E-2</c:v>
                      </c:pt>
                      <c:pt idx="2">
                        <c:v>0.11989262829283601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BC7-4FC7-96D7-976275861AB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agenda!$S$1</c15:sqref>
                        </c15:formulaRef>
                      </c:ext>
                    </c:extLst>
                    <c:strCache>
                      <c:ptCount val="1"/>
                      <c:pt idx="0">
                        <c:v>ValorP_NC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agenda!$K$2:$K$4</c15:sqref>
                        </c15:formulaRef>
                      </c:ext>
                    </c:extLst>
                    <c:numCache>
                      <c:formatCode>mmm\-yy</c:formatCode>
                      <c:ptCount val="3"/>
                      <c:pt idx="0">
                        <c:v>46082</c:v>
                      </c:pt>
                      <c:pt idx="1">
                        <c:v>46113</c:v>
                      </c:pt>
                      <c:pt idx="2">
                        <c:v>46143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agenda!$S$2:$S$4</c15:sqref>
                        </c15:formulaRef>
                      </c:ext>
                    </c:extLst>
                    <c:numCache>
                      <c:formatCode>0%</c:formatCode>
                      <c:ptCount val="3"/>
                      <c:pt idx="0">
                        <c:v>0.64124928278243232</c:v>
                      </c:pt>
                      <c:pt idx="1">
                        <c:v>0.96998394360541051</c:v>
                      </c:pt>
                      <c:pt idx="2">
                        <c:v>0.88010737170716413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C7-4FC7-96D7-976275861AB6}"/>
                  </c:ext>
                </c:extLst>
              </c15:ser>
            </c15:filteredLineSeries>
          </c:ext>
        </c:extLst>
      </c:lineChart>
      <c:dateAx>
        <c:axId val="18497898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9785087"/>
        <c:crosses val="autoZero"/>
        <c:auto val="1"/>
        <c:lblOffset val="100"/>
        <c:baseTimeUnit val="months"/>
      </c:dateAx>
      <c:valAx>
        <c:axId val="184978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9789887"/>
        <c:crosses val="autoZero"/>
        <c:crossBetween val="between"/>
      </c:valAx>
      <c:valAx>
        <c:axId val="20191936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9178335"/>
        <c:crosses val="max"/>
        <c:crossBetween val="between"/>
      </c:valAx>
      <c:dateAx>
        <c:axId val="20191783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191936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por necessidade de classificação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Classificados</c:v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agenda!$N$2:$N$4</c:f>
              <c:numCache>
                <c:formatCode>_-* #,##0_-;\-* #,##0_-;_-* "-"??_-;_-@_-</c:formatCode>
                <c:ptCount val="3"/>
                <c:pt idx="0">
                  <c:v>4411739.1799999988</c:v>
                </c:pt>
                <c:pt idx="1">
                  <c:v>413016.37</c:v>
                </c:pt>
                <c:pt idx="2">
                  <c:v>1223402.58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C528-430F-801E-93173DB869F0}"/>
            </c:ext>
          </c:extLst>
        </c:ser>
        <c:ser>
          <c:idx val="3"/>
          <c:order val="1"/>
          <c:tx>
            <c:v>Não-classificados</c:v>
          </c:tx>
          <c:spPr>
            <a:solidFill>
              <a:srgbClr val="00B05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agenda!$O$2:$O$4</c:f>
              <c:numCache>
                <c:formatCode>_-* #,##0_-;\-* #,##0_-;_-* "-"??_-;_-@_-</c:formatCode>
                <c:ptCount val="3"/>
                <c:pt idx="0">
                  <c:v>7885767.0499999998</c:v>
                </c:pt>
                <c:pt idx="1">
                  <c:v>13346831.511763999</c:v>
                </c:pt>
                <c:pt idx="2">
                  <c:v>8980749.2300000042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C528-430F-801E-93173DB8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789887"/>
        <c:axId val="1849785087"/>
        <c:extLst/>
      </c:barChart>
      <c:lineChart>
        <c:grouping val="standard"/>
        <c:varyColors val="0"/>
        <c:ser>
          <c:idx val="6"/>
          <c:order val="2"/>
          <c:tx>
            <c:v>Classificados (%)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agenda!$R$2:$R$4</c:f>
              <c:numCache>
                <c:formatCode>0%</c:formatCode>
                <c:ptCount val="3"/>
                <c:pt idx="0">
                  <c:v>0.35875071721756674</c:v>
                </c:pt>
                <c:pt idx="1">
                  <c:v>3.0016056394589419E-2</c:v>
                </c:pt>
                <c:pt idx="2">
                  <c:v>0.11989262829283601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C528-430F-801E-93173DB869F0}"/>
            </c:ext>
          </c:extLst>
        </c:ser>
        <c:ser>
          <c:idx val="7"/>
          <c:order val="3"/>
          <c:tx>
            <c:v>Não-classificados (%)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agenda!$K$2:$K$4</c:f>
              <c:numCache>
                <c:formatCode>mmm\-yy</c:formatCode>
                <c:ptCount val="3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</c:numCache>
              <c:extLst xmlns:c15="http://schemas.microsoft.com/office/drawing/2012/chart"/>
            </c:numRef>
          </c:cat>
          <c:val>
            <c:numRef>
              <c:f>agenda!$S$2:$S$4</c:f>
              <c:numCache>
                <c:formatCode>0%</c:formatCode>
                <c:ptCount val="3"/>
                <c:pt idx="0">
                  <c:v>0.64124928278243232</c:v>
                </c:pt>
                <c:pt idx="1">
                  <c:v>0.96998394360541051</c:v>
                </c:pt>
                <c:pt idx="2">
                  <c:v>0.88010737170716413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C528-430F-801E-93173DB8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851439"/>
        <c:axId val="340860559"/>
        <c:extLst/>
      </c:lineChart>
      <c:dateAx>
        <c:axId val="18497898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9785087"/>
        <c:crosses val="autoZero"/>
        <c:auto val="1"/>
        <c:lblOffset val="100"/>
        <c:baseTimeUnit val="months"/>
      </c:dateAx>
      <c:valAx>
        <c:axId val="184978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9789887"/>
        <c:crosses val="autoZero"/>
        <c:crossBetween val="between"/>
      </c:valAx>
      <c:valAx>
        <c:axId val="34086055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851439"/>
        <c:crosses val="max"/>
        <c:crossBetween val="between"/>
      </c:valAx>
      <c:dateAx>
        <c:axId val="34085143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34086055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[Template-Fechamento.xlsx]cef!Tabela dinâmica87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Entradas CEF x Saídas obra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00B050"/>
          </a:solidFill>
          <a:ln>
            <a:solidFill>
              <a:srgbClr val="00B05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'cef'!$P$43:$P$44</c:f>
              <c:strCache>
                <c:ptCount val="1"/>
                <c:pt idx="0">
                  <c:v>Entradas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'cef'!$O$45:$O$85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'cef'!$P$45:$P$85</c:f>
              <c:numCache>
                <c:formatCode>_(* #,##0_);_(* \(#,##0\);_(* "-"_);_(@_)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327575.88</c:v>
                </c:pt>
                <c:pt idx="6">
                  <c:v>445799.01</c:v>
                </c:pt>
                <c:pt idx="7">
                  <c:v>0</c:v>
                </c:pt>
                <c:pt idx="8">
                  <c:v>1455283.7599999998</c:v>
                </c:pt>
                <c:pt idx="9">
                  <c:v>0</c:v>
                </c:pt>
                <c:pt idx="10">
                  <c:v>1292869.73</c:v>
                </c:pt>
                <c:pt idx="11">
                  <c:v>641961.35</c:v>
                </c:pt>
                <c:pt idx="12">
                  <c:v>815741.01</c:v>
                </c:pt>
                <c:pt idx="13">
                  <c:v>1073646.3900000001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198297.96</c:v>
                </c:pt>
                <c:pt idx="19">
                  <c:v>473587.72</c:v>
                </c:pt>
                <c:pt idx="20">
                  <c:v>0</c:v>
                </c:pt>
                <c:pt idx="21">
                  <c:v>1222059.4099999999</c:v>
                </c:pt>
                <c:pt idx="22">
                  <c:v>489068.85</c:v>
                </c:pt>
                <c:pt idx="23">
                  <c:v>0</c:v>
                </c:pt>
                <c:pt idx="24">
                  <c:v>621715.06000000006</c:v>
                </c:pt>
                <c:pt idx="25">
                  <c:v>497086.75</c:v>
                </c:pt>
                <c:pt idx="26">
                  <c:v>134752.4</c:v>
                </c:pt>
                <c:pt idx="27">
                  <c:v>289304.8</c:v>
                </c:pt>
                <c:pt idx="28">
                  <c:v>1169364.17</c:v>
                </c:pt>
                <c:pt idx="29">
                  <c:v>1447049.3599999999</c:v>
                </c:pt>
                <c:pt idx="30">
                  <c:v>726397.81</c:v>
                </c:pt>
                <c:pt idx="31">
                  <c:v>746758.73</c:v>
                </c:pt>
                <c:pt idx="32">
                  <c:v>809114.0199999999</c:v>
                </c:pt>
                <c:pt idx="33">
                  <c:v>471701.2</c:v>
                </c:pt>
                <c:pt idx="34">
                  <c:v>1138483.6300000001</c:v>
                </c:pt>
                <c:pt idx="35">
                  <c:v>697790.27</c:v>
                </c:pt>
                <c:pt idx="36">
                  <c:v>2245616.4500000002</c:v>
                </c:pt>
                <c:pt idx="37">
                  <c:v>902872.02</c:v>
                </c:pt>
                <c:pt idx="38">
                  <c:v>1832317.24</c:v>
                </c:pt>
                <c:pt idx="39">
                  <c:v>1365955.58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5-4EB2-A08D-BC7D1715162F}"/>
            </c:ext>
          </c:extLst>
        </c:ser>
        <c:ser>
          <c:idx val="2"/>
          <c:order val="2"/>
          <c:tx>
            <c:strRef>
              <c:f>'cef'!$R$43:$R$44</c:f>
              <c:strCache>
                <c:ptCount val="1"/>
                <c:pt idx="0">
                  <c:v>Saídas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'cef'!$O$45:$O$85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'cef'!$R$45:$R$85</c:f>
              <c:numCache>
                <c:formatCode>_(* #,##0_);_(* \(#,##0\);_(* "-"_);_(@_)</c:formatCode>
                <c:ptCount val="40"/>
                <c:pt idx="0">
                  <c:v>794062.84</c:v>
                </c:pt>
                <c:pt idx="1">
                  <c:v>685911.71</c:v>
                </c:pt>
                <c:pt idx="2">
                  <c:v>1058788.97</c:v>
                </c:pt>
                <c:pt idx="3">
                  <c:v>425050.36</c:v>
                </c:pt>
                <c:pt idx="4">
                  <c:v>627311.32999999996</c:v>
                </c:pt>
                <c:pt idx="5">
                  <c:v>1177884.6299999999</c:v>
                </c:pt>
                <c:pt idx="6">
                  <c:v>844920.51</c:v>
                </c:pt>
                <c:pt idx="7">
                  <c:v>1491664.73</c:v>
                </c:pt>
                <c:pt idx="8">
                  <c:v>1298325.73</c:v>
                </c:pt>
                <c:pt idx="9">
                  <c:v>1443609.06</c:v>
                </c:pt>
                <c:pt idx="10">
                  <c:v>1296043.4099999999</c:v>
                </c:pt>
                <c:pt idx="11">
                  <c:v>1154036.01</c:v>
                </c:pt>
                <c:pt idx="12">
                  <c:v>1542153.7000000002</c:v>
                </c:pt>
                <c:pt idx="13">
                  <c:v>1819009.38</c:v>
                </c:pt>
                <c:pt idx="14">
                  <c:v>2380235.87</c:v>
                </c:pt>
                <c:pt idx="15">
                  <c:v>1538080.78</c:v>
                </c:pt>
                <c:pt idx="16">
                  <c:v>1928144.4</c:v>
                </c:pt>
                <c:pt idx="17">
                  <c:v>1656981.02</c:v>
                </c:pt>
                <c:pt idx="18">
                  <c:v>2286897.08</c:v>
                </c:pt>
                <c:pt idx="19">
                  <c:v>2021649.01</c:v>
                </c:pt>
                <c:pt idx="20">
                  <c:v>2168514.9699999997</c:v>
                </c:pt>
                <c:pt idx="21">
                  <c:v>2305549.2599999998</c:v>
                </c:pt>
                <c:pt idx="22">
                  <c:v>1060027.3799999999</c:v>
                </c:pt>
                <c:pt idx="23">
                  <c:v>2033809.13</c:v>
                </c:pt>
                <c:pt idx="24">
                  <c:v>1918792.23</c:v>
                </c:pt>
                <c:pt idx="25">
                  <c:v>1885675.51</c:v>
                </c:pt>
                <c:pt idx="26">
                  <c:v>1810609.8800000001</c:v>
                </c:pt>
                <c:pt idx="27">
                  <c:v>1320325.33</c:v>
                </c:pt>
                <c:pt idx="28">
                  <c:v>3892423.2799999993</c:v>
                </c:pt>
                <c:pt idx="29">
                  <c:v>3526604.27</c:v>
                </c:pt>
                <c:pt idx="30">
                  <c:v>2782860.4699999997</c:v>
                </c:pt>
                <c:pt idx="31">
                  <c:v>3168155.9899999998</c:v>
                </c:pt>
                <c:pt idx="32">
                  <c:v>2984930.9</c:v>
                </c:pt>
                <c:pt idx="33">
                  <c:v>3166092.52</c:v>
                </c:pt>
                <c:pt idx="34">
                  <c:v>3294175.0700000003</c:v>
                </c:pt>
                <c:pt idx="35">
                  <c:v>4238441.25</c:v>
                </c:pt>
                <c:pt idx="36">
                  <c:v>4069481.8100000005</c:v>
                </c:pt>
                <c:pt idx="37">
                  <c:v>3888031.6900000004</c:v>
                </c:pt>
                <c:pt idx="38">
                  <c:v>4350605.9300000016</c:v>
                </c:pt>
                <c:pt idx="39">
                  <c:v>4004305.0399999996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E3-464C-A725-474DBF7E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2795807"/>
        <c:axId val="772793407"/>
      </c:barChart>
      <c:lineChart>
        <c:grouping val="standard"/>
        <c:varyColors val="0"/>
        <c:ser>
          <c:idx val="1"/>
          <c:order val="1"/>
          <c:tx>
            <c:strRef>
              <c:f>'cef'!$Q$43:$Q$44</c:f>
              <c:strCache>
                <c:ptCount val="1"/>
                <c:pt idx="0">
                  <c:v>E-S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'cef'!$O$45:$O$85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'cef'!$Q$45:$Q$85</c:f>
              <c:numCache>
                <c:formatCode>_(* #,##0_);_(* \(#,##0\);_(* "-"_);_(@_)</c:formatCode>
                <c:ptCount val="40"/>
                <c:pt idx="0">
                  <c:v>-794062.84</c:v>
                </c:pt>
                <c:pt idx="1">
                  <c:v>-685911.71</c:v>
                </c:pt>
                <c:pt idx="2">
                  <c:v>-1058788.97</c:v>
                </c:pt>
                <c:pt idx="3">
                  <c:v>-425050.36</c:v>
                </c:pt>
                <c:pt idx="4">
                  <c:v>-627311.32999999996</c:v>
                </c:pt>
                <c:pt idx="5">
                  <c:v>-850308.74999999988</c:v>
                </c:pt>
                <c:pt idx="6">
                  <c:v>-399121.5</c:v>
                </c:pt>
                <c:pt idx="7">
                  <c:v>-1491664.73</c:v>
                </c:pt>
                <c:pt idx="8">
                  <c:v>156958.0299999998</c:v>
                </c:pt>
                <c:pt idx="9">
                  <c:v>-1443609.06</c:v>
                </c:pt>
                <c:pt idx="10">
                  <c:v>-3173.6799999999348</c:v>
                </c:pt>
                <c:pt idx="11">
                  <c:v>-512074.66000000003</c:v>
                </c:pt>
                <c:pt idx="12">
                  <c:v>-726412.69000000018</c:v>
                </c:pt>
                <c:pt idx="13">
                  <c:v>-745362.98999999987</c:v>
                </c:pt>
                <c:pt idx="14">
                  <c:v>-2380235.87</c:v>
                </c:pt>
                <c:pt idx="15">
                  <c:v>-1538080.78</c:v>
                </c:pt>
                <c:pt idx="16">
                  <c:v>-1928144.4</c:v>
                </c:pt>
                <c:pt idx="17">
                  <c:v>-1656981.02</c:v>
                </c:pt>
                <c:pt idx="18">
                  <c:v>-2088599.12</c:v>
                </c:pt>
                <c:pt idx="19">
                  <c:v>-1548061.29</c:v>
                </c:pt>
                <c:pt idx="20">
                  <c:v>-2168514.9699999997</c:v>
                </c:pt>
                <c:pt idx="21">
                  <c:v>-1083489.8500000001</c:v>
                </c:pt>
                <c:pt idx="22">
                  <c:v>-570958.53</c:v>
                </c:pt>
                <c:pt idx="23">
                  <c:v>-2033809.13</c:v>
                </c:pt>
                <c:pt idx="24">
                  <c:v>-1297077.17</c:v>
                </c:pt>
                <c:pt idx="25">
                  <c:v>-1388588.76</c:v>
                </c:pt>
                <c:pt idx="26">
                  <c:v>-1675857.48</c:v>
                </c:pt>
                <c:pt idx="27">
                  <c:v>-1031020.53</c:v>
                </c:pt>
                <c:pt idx="28">
                  <c:v>-2723059.1099999994</c:v>
                </c:pt>
                <c:pt idx="29">
                  <c:v>-2079554.91</c:v>
                </c:pt>
                <c:pt idx="30">
                  <c:v>-2056462.6600000001</c:v>
                </c:pt>
                <c:pt idx="31">
                  <c:v>-2421397.2599999998</c:v>
                </c:pt>
                <c:pt idx="32">
                  <c:v>-2175816.88</c:v>
                </c:pt>
                <c:pt idx="33">
                  <c:v>-2694391.32</c:v>
                </c:pt>
                <c:pt idx="34">
                  <c:v>-2155691.44</c:v>
                </c:pt>
                <c:pt idx="35">
                  <c:v>-3540650.9800000004</c:v>
                </c:pt>
                <c:pt idx="36">
                  <c:v>-1823865.36</c:v>
                </c:pt>
                <c:pt idx="37">
                  <c:v>-2985159.67</c:v>
                </c:pt>
                <c:pt idx="38">
                  <c:v>-2518288.6900000009</c:v>
                </c:pt>
                <c:pt idx="39">
                  <c:v>-2638349.4599999995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E3-464C-A725-474DBF7E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795807"/>
        <c:axId val="772793407"/>
      </c:lineChart>
      <c:dateAx>
        <c:axId val="772795807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2793407"/>
        <c:crosses val="autoZero"/>
        <c:auto val="0"/>
        <c:lblOffset val="100"/>
        <c:baseTimeUnit val="days"/>
      </c:dateAx>
      <c:valAx>
        <c:axId val="7727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27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E-S e a idade do projeto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'cef'!$X$2</c:f>
              <c:strCache>
                <c:ptCount val="1"/>
                <c:pt idx="0">
                  <c:v>Média de 
E-S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'cef'!$P$3:$P$7</c:f>
              <c:numCache>
                <c:formatCode>General</c:formatCode>
                <c:ptCount val="5"/>
                <c:pt idx="0">
                  <c:v>28</c:v>
                </c:pt>
                <c:pt idx="1">
                  <c:v>40</c:v>
                </c:pt>
                <c:pt idx="2">
                  <c:v>12</c:v>
                </c:pt>
                <c:pt idx="3">
                  <c:v>6</c:v>
                </c:pt>
                <c:pt idx="4">
                  <c:v>19</c:v>
                </c:pt>
              </c:numCache>
            </c:numRef>
          </c:xVal>
          <c:yVal>
            <c:numRef>
              <c:f>'cef'!$X$3:$X$7</c:f>
              <c:numCache>
                <c:formatCode>_(* #,##0.00_);_(* \(#,##0.00\);_(* "-"??_);_(@_)</c:formatCode>
                <c:ptCount val="5"/>
                <c:pt idx="0">
                  <c:v>-531515.07642857148</c:v>
                </c:pt>
                <c:pt idx="1">
                  <c:v>-524939.89749999996</c:v>
                </c:pt>
                <c:pt idx="2">
                  <c:v>-871443.05500000005</c:v>
                </c:pt>
                <c:pt idx="3">
                  <c:v>75454.314999999959</c:v>
                </c:pt>
                <c:pt idx="4">
                  <c:v>-838073.31947368418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97-47E8-BF1C-D4169A1F3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61008"/>
        <c:axId val="1220477808"/>
      </c:scatterChart>
      <c:valAx>
        <c:axId val="122046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Meses</a:t>
                </a:r>
                <a:r>
                  <a:rPr lang="pt-BR" baseline="0"/>
                  <a:t> desde o primeiro recebimento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77808"/>
        <c:crosses val="autoZero"/>
        <c:crossBetween val="midCat"/>
      </c:valAx>
      <c:valAx>
        <c:axId val="12204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de E-S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Relação entre E/S e a idade do projeto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'cef'!$U$2</c:f>
              <c:strCache>
                <c:ptCount val="1"/>
                <c:pt idx="0">
                  <c:v>Média da razão E/S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'cef'!$P$3:$P$7</c:f>
              <c:numCache>
                <c:formatCode>General</c:formatCode>
                <c:ptCount val="5"/>
                <c:pt idx="0">
                  <c:v>28</c:v>
                </c:pt>
                <c:pt idx="1">
                  <c:v>40</c:v>
                </c:pt>
                <c:pt idx="2">
                  <c:v>12</c:v>
                </c:pt>
                <c:pt idx="3">
                  <c:v>6</c:v>
                </c:pt>
                <c:pt idx="4">
                  <c:v>19</c:v>
                </c:pt>
              </c:numCache>
            </c:numRef>
          </c:xVal>
          <c:yVal>
            <c:numRef>
              <c:f>'cef'!$U$3:$U$7</c:f>
              <c:numCache>
                <c:formatCode>0.00</c:formatCode>
                <c:ptCount val="5"/>
                <c:pt idx="0">
                  <c:v>0.3765926686390792</c:v>
                </c:pt>
                <c:pt idx="1">
                  <c:v>0.10687542150580627</c:v>
                </c:pt>
                <c:pt idx="2">
                  <c:v>0.29229528354479001</c:v>
                </c:pt>
                <c:pt idx="3">
                  <c:v>3.2160230252741724</c:v>
                </c:pt>
                <c:pt idx="4">
                  <c:v>0.56075985318033184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2-44DB-BE8C-6CA48E11E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61008"/>
        <c:axId val="1220477808"/>
      </c:scatterChart>
      <c:valAx>
        <c:axId val="122046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Meses</a:t>
                </a:r>
                <a:r>
                  <a:rPr lang="pt-BR" baseline="0"/>
                  <a:t> desde o primeiro recebimento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77808"/>
        <c:crosses val="autoZero"/>
        <c:crossBetween val="midCat"/>
      </c:valAx>
      <c:valAx>
        <c:axId val="12204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de E/S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046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[Template-Fechamento.xlsx]cef!Tabela dinâmica126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Como a média de E-S varia ao longo da vida dos projetos?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'cef'!$AK$56:$AK$57</c:f>
              <c:strCache>
                <c:ptCount val="1"/>
                <c:pt idx="0">
                  <c:v>AMP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'cef'!$AJ$58:$AJ$98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'cef'!$AK$58:$AK$98</c:f>
              <c:numCache>
                <c:formatCode>_-* #,##0_-;\-* #,##0_-;_-* "-"??_-;_-@_-</c:formatCode>
                <c:ptCount val="40"/>
                <c:pt idx="12">
                  <c:v>448512.18000000005</c:v>
                </c:pt>
                <c:pt idx="13">
                  <c:v>12011.680000000008</c:v>
                </c:pt>
                <c:pt idx="14">
                  <c:v>-342341.87666666665</c:v>
                </c:pt>
                <c:pt idx="15">
                  <c:v>-411215.97</c:v>
                </c:pt>
                <c:pt idx="16">
                  <c:v>-481875.71999999991</c:v>
                </c:pt>
                <c:pt idx="17">
                  <c:v>-520425.19833333325</c:v>
                </c:pt>
                <c:pt idx="18">
                  <c:v>-553765.30857142853</c:v>
                </c:pt>
                <c:pt idx="19">
                  <c:v>-562662.86874999991</c:v>
                </c:pt>
                <c:pt idx="20">
                  <c:v>-647258.62999999989</c:v>
                </c:pt>
                <c:pt idx="21">
                  <c:v>-691641.52199999988</c:v>
                </c:pt>
                <c:pt idx="22">
                  <c:v>-641412.21181818179</c:v>
                </c:pt>
                <c:pt idx="23">
                  <c:v>-678672.68833333324</c:v>
                </c:pt>
                <c:pt idx="24">
                  <c:v>-647021.21076923062</c:v>
                </c:pt>
                <c:pt idx="25">
                  <c:v>-634429.91785714275</c:v>
                </c:pt>
                <c:pt idx="26">
                  <c:v>-633936.3913333331</c:v>
                </c:pt>
                <c:pt idx="27">
                  <c:v>-613092.25562499987</c:v>
                </c:pt>
                <c:pt idx="28">
                  <c:v>-633333.79764705873</c:v>
                </c:pt>
                <c:pt idx="29">
                  <c:v>-621866.05611111096</c:v>
                </c:pt>
                <c:pt idx="30">
                  <c:v>-613401.48368421046</c:v>
                </c:pt>
                <c:pt idx="31">
                  <c:v>-609814.38249999995</c:v>
                </c:pt>
                <c:pt idx="32">
                  <c:v>-616018.18047619041</c:v>
                </c:pt>
                <c:pt idx="33">
                  <c:v>-613700.24272727268</c:v>
                </c:pt>
                <c:pt idx="34">
                  <c:v>-619133.77826086956</c:v>
                </c:pt>
                <c:pt idx="35">
                  <c:v>-611479.34875</c:v>
                </c:pt>
                <c:pt idx="36">
                  <c:v>-593717.89520000003</c:v>
                </c:pt>
                <c:pt idx="37">
                  <c:v>-574694.90769230772</c:v>
                </c:pt>
                <c:pt idx="38">
                  <c:v>-556236.35518518521</c:v>
                </c:pt>
                <c:pt idx="39">
                  <c:v>-531515.07642857148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6-4E34-9969-3ADF01ED48D9}"/>
            </c:ext>
          </c:extLst>
        </c:ser>
        <c:ser>
          <c:idx val="1"/>
          <c:order val="1"/>
          <c:tx>
            <c:strRef>
              <c:f>'cef'!$AL$56:$AL$57</c:f>
              <c:strCache>
                <c:ptCount val="1"/>
                <c:pt idx="0">
                  <c:v>AVS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'cef'!$AJ$58:$AJ$98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'cef'!$AL$58:$AL$98</c:f>
              <c:numCache>
                <c:formatCode>_-* #,##0_-;\-* #,##0_-;_-* "-"??_-;_-@_-</c:formatCode>
                <c:ptCount val="40"/>
                <c:pt idx="0">
                  <c:v>146318.1999999996</c:v>
                </c:pt>
                <c:pt idx="1">
                  <c:v>-739987.27499999991</c:v>
                </c:pt>
                <c:pt idx="2">
                  <c:v>-846254.50666666648</c:v>
                </c:pt>
                <c:pt idx="3">
                  <c:v>-740953.46999999986</c:v>
                </c:pt>
                <c:pt idx="4">
                  <c:v>-718225.0419999999</c:v>
                </c:pt>
                <c:pt idx="5">
                  <c:v>-740238.99333333317</c:v>
                </c:pt>
                <c:pt idx="6">
                  <c:v>-691507.92285714275</c:v>
                </c:pt>
                <c:pt idx="7">
                  <c:v>-791527.52374999993</c:v>
                </c:pt>
                <c:pt idx="8">
                  <c:v>-686140.24</c:v>
                </c:pt>
                <c:pt idx="9">
                  <c:v>-761887.12200000009</c:v>
                </c:pt>
                <c:pt idx="10">
                  <c:v>-692913.17272727273</c:v>
                </c:pt>
                <c:pt idx="11">
                  <c:v>-677843.29666666675</c:v>
                </c:pt>
                <c:pt idx="12">
                  <c:v>-693589.84307692316</c:v>
                </c:pt>
                <c:pt idx="13">
                  <c:v>-687851.32857142866</c:v>
                </c:pt>
                <c:pt idx="14">
                  <c:v>-730607.03200000001</c:v>
                </c:pt>
                <c:pt idx="15">
                  <c:v>-742459.25062499999</c:v>
                </c:pt>
                <c:pt idx="16">
                  <c:v>-767233.98176470585</c:v>
                </c:pt>
                <c:pt idx="17">
                  <c:v>-777043.67333333334</c:v>
                </c:pt>
                <c:pt idx="18">
                  <c:v>-806398.90894736839</c:v>
                </c:pt>
                <c:pt idx="19">
                  <c:v>-812234.73849999998</c:v>
                </c:pt>
                <c:pt idx="20">
                  <c:v>-813770.71523809526</c:v>
                </c:pt>
                <c:pt idx="21">
                  <c:v>-812953.10363636364</c:v>
                </c:pt>
                <c:pt idx="22">
                  <c:v>-788703.29434782604</c:v>
                </c:pt>
                <c:pt idx="23">
                  <c:v>-773706.11083333334</c:v>
                </c:pt>
                <c:pt idx="24">
                  <c:v>-757092.5048</c:v>
                </c:pt>
                <c:pt idx="25">
                  <c:v>-743300.12615384615</c:v>
                </c:pt>
                <c:pt idx="26">
                  <c:v>-729297.66592592595</c:v>
                </c:pt>
                <c:pt idx="27">
                  <c:v>-715261.6453571429</c:v>
                </c:pt>
                <c:pt idx="28">
                  <c:v>-703682.13620689651</c:v>
                </c:pt>
                <c:pt idx="29">
                  <c:v>-685259.1183333334</c:v>
                </c:pt>
                <c:pt idx="30">
                  <c:v>-668840.05161290325</c:v>
                </c:pt>
                <c:pt idx="31">
                  <c:v>-651327.04625000001</c:v>
                </c:pt>
                <c:pt idx="32">
                  <c:v>-632204.19090909092</c:v>
                </c:pt>
                <c:pt idx="33">
                  <c:v>-614722.86970588239</c:v>
                </c:pt>
                <c:pt idx="34">
                  <c:v>-597873.88228571427</c:v>
                </c:pt>
                <c:pt idx="35">
                  <c:v>-581905.6638888889</c:v>
                </c:pt>
                <c:pt idx="36">
                  <c:v>-566689.73972972971</c:v>
                </c:pt>
                <c:pt idx="37">
                  <c:v>-552117.48289473681</c:v>
                </c:pt>
                <c:pt idx="38">
                  <c:v>-538224.14948717947</c:v>
                </c:pt>
                <c:pt idx="39">
                  <c:v>-524939.89749999996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6-4E34-9969-3ADF01ED48D9}"/>
            </c:ext>
          </c:extLst>
        </c:ser>
        <c:ser>
          <c:idx val="2"/>
          <c:order val="2"/>
          <c:tx>
            <c:strRef>
              <c:f>'cef'!$AM$56:$AM$57</c:f>
              <c:strCache>
                <c:ptCount val="1"/>
                <c:pt idx="0">
                  <c:v>GRA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'cef'!$AJ$58:$AJ$98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'cef'!$AM$58:$AM$98</c:f>
              <c:numCache>
                <c:formatCode>_-* #,##0_-;\-* #,##0_-;_-* "-"??_-;_-@_-</c:formatCode>
                <c:ptCount val="40"/>
                <c:pt idx="28">
                  <c:v>694419.24</c:v>
                </c:pt>
                <c:pt idx="29">
                  <c:v>-234631.42499999999</c:v>
                </c:pt>
                <c:pt idx="30">
                  <c:v>-409328.40000000008</c:v>
                </c:pt>
                <c:pt idx="31">
                  <c:v>-443088.89500000002</c:v>
                </c:pt>
                <c:pt idx="32">
                  <c:v>-423539.74199999997</c:v>
                </c:pt>
                <c:pt idx="33">
                  <c:v>-486591.47500000003</c:v>
                </c:pt>
                <c:pt idx="34">
                  <c:v>-515383.33857142861</c:v>
                </c:pt>
                <c:pt idx="35">
                  <c:v>-644613.14375000005</c:v>
                </c:pt>
                <c:pt idx="36">
                  <c:v>-733208.99777777784</c:v>
                </c:pt>
                <c:pt idx="37">
                  <c:v>-798906.45600000001</c:v>
                </c:pt>
                <c:pt idx="38">
                  <c:v>-813305.13454545464</c:v>
                </c:pt>
                <c:pt idx="39">
                  <c:v>-871443.05500000005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E6-4E34-9969-3ADF01ED48D9}"/>
            </c:ext>
          </c:extLst>
        </c:ser>
        <c:ser>
          <c:idx val="3"/>
          <c:order val="3"/>
          <c:tx>
            <c:strRef>
              <c:f>'cef'!$AN$56:$AN$57</c:f>
              <c:strCache>
                <c:ptCount val="1"/>
                <c:pt idx="0">
                  <c:v>LUC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'cef'!$AJ$58:$AJ$98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'cef'!$AN$58:$AN$98</c:f>
              <c:numCache>
                <c:formatCode>_-* #,##0_-;\-* #,##0_-;_-* "-"??_-;_-@_-</c:formatCode>
                <c:ptCount val="40"/>
                <c:pt idx="34">
                  <c:v>667080.07999999996</c:v>
                </c:pt>
                <c:pt idx="35">
                  <c:v>300091.83</c:v>
                </c:pt>
                <c:pt idx="36">
                  <c:v>507121.77333333326</c:v>
                </c:pt>
                <c:pt idx="37">
                  <c:v>305077.65749999997</c:v>
                </c:pt>
                <c:pt idx="38">
                  <c:v>137454.33399999997</c:v>
                </c:pt>
                <c:pt idx="39">
                  <c:v>75454.314999999959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E6-4E34-9969-3ADF01ED48D9}"/>
            </c:ext>
          </c:extLst>
        </c:ser>
        <c:ser>
          <c:idx val="4"/>
          <c:order val="4"/>
          <c:tx>
            <c:strRef>
              <c:f>'cef'!$AO$56:$AO$57</c:f>
              <c:strCache>
                <c:ptCount val="1"/>
                <c:pt idx="0">
                  <c:v>SN2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'cef'!$AJ$58:$AJ$98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'cef'!$AO$58:$AO$98</c:f>
              <c:numCache>
                <c:formatCode>_-* #,##0_-;\-* #,##0_-;_-* "-"??_-;_-@_-</c:formatCode>
                <c:ptCount val="40"/>
                <c:pt idx="21">
                  <c:v>1299320.07</c:v>
                </c:pt>
                <c:pt idx="22">
                  <c:v>313374.51500000001</c:v>
                </c:pt>
                <c:pt idx="23">
                  <c:v>36749.573333333341</c:v>
                </c:pt>
                <c:pt idx="24">
                  <c:v>-140314.7525</c:v>
                </c:pt>
                <c:pt idx="25">
                  <c:v>-216122.8</c:v>
                </c:pt>
                <c:pt idx="26">
                  <c:v>-294035.12666666665</c:v>
                </c:pt>
                <c:pt idx="27">
                  <c:v>-308358.85428571427</c:v>
                </c:pt>
                <c:pt idx="28">
                  <c:v>-425159.20124999998</c:v>
                </c:pt>
                <c:pt idx="29">
                  <c:v>-508589.19444444444</c:v>
                </c:pt>
                <c:pt idx="30">
                  <c:v>-523773.58299999998</c:v>
                </c:pt>
                <c:pt idx="31">
                  <c:v>-587698.12454545451</c:v>
                </c:pt>
                <c:pt idx="32">
                  <c:v>-627898.84666666668</c:v>
                </c:pt>
                <c:pt idx="33">
                  <c:v>-678804.96307692304</c:v>
                </c:pt>
                <c:pt idx="34">
                  <c:v>-714072.93714285712</c:v>
                </c:pt>
                <c:pt idx="35">
                  <c:v>-777433.92933333328</c:v>
                </c:pt>
                <c:pt idx="36">
                  <c:v>-798638.79062499991</c:v>
                </c:pt>
                <c:pt idx="37">
                  <c:v>-821181.04999999981</c:v>
                </c:pt>
                <c:pt idx="38">
                  <c:v>-827858.01055555546</c:v>
                </c:pt>
                <c:pt idx="39">
                  <c:v>-838073.31947368418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E6-4E34-9969-3ADF01ED4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266559"/>
        <c:axId val="233293439"/>
      </c:lineChart>
      <c:catAx>
        <c:axId val="23326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293439"/>
        <c:crosses val="autoZero"/>
        <c:auto val="1"/>
        <c:lblAlgn val="ctr"/>
        <c:lblOffset val="100"/>
        <c:noMultiLvlLbl val="0"/>
      </c:catAx>
      <c:valAx>
        <c:axId val="2332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Entradas</a:t>
                </a:r>
                <a:r>
                  <a:rPr lang="pt-BR" baseline="0"/>
                  <a:t> - Saídas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326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[Template-Fechamento.xlsx]cef!Tabela dinâmica127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Como a média de E/S varia ao longo da vida dos projetos?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'cef'!$AC$56:$AC$57</c:f>
              <c:strCache>
                <c:ptCount val="1"/>
                <c:pt idx="0">
                  <c:v>AMP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'cef'!$AB$58:$AB$98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'cef'!$AC$58:$AC$98</c:f>
              <c:numCache>
                <c:formatCode>General</c:formatCode>
                <c:ptCount val="40"/>
                <c:pt idx="12">
                  <c:v>2.8164559392000723</c:v>
                </c:pt>
                <c:pt idx="13">
                  <c:v>1.2143580918224353</c:v>
                </c:pt>
                <c:pt idx="14">
                  <c:v>0.80957206121495684</c:v>
                </c:pt>
                <c:pt idx="15">
                  <c:v>0.60717904591121763</c:v>
                </c:pt>
                <c:pt idx="16">
                  <c:v>0.48574323672897413</c:v>
                </c:pt>
                <c:pt idx="17">
                  <c:v>0.40478603060747842</c:v>
                </c:pt>
                <c:pt idx="18">
                  <c:v>0.37671280326701356</c:v>
                </c:pt>
                <c:pt idx="19">
                  <c:v>0.38351233207305196</c:v>
                </c:pt>
                <c:pt idx="20">
                  <c:v>0.34089985073160173</c:v>
                </c:pt>
                <c:pt idx="21">
                  <c:v>0.32801295973214467</c:v>
                </c:pt>
                <c:pt idx="22">
                  <c:v>0.36896987592940128</c:v>
                </c:pt>
                <c:pt idx="23">
                  <c:v>0.33822238626861784</c:v>
                </c:pt>
                <c:pt idx="24">
                  <c:v>0.35761378618253431</c:v>
                </c:pt>
                <c:pt idx="25">
                  <c:v>0.35508984768947943</c:v>
                </c:pt>
                <c:pt idx="26">
                  <c:v>0.34320996622101091</c:v>
                </c:pt>
                <c:pt idx="27">
                  <c:v>0.35241980843396498</c:v>
                </c:pt>
                <c:pt idx="28">
                  <c:v>0.34063171594892383</c:v>
                </c:pt>
                <c:pt idx="29">
                  <c:v>0.3473630644045127</c:v>
                </c:pt>
                <c:pt idx="30">
                  <c:v>0.34392317032852382</c:v>
                </c:pt>
                <c:pt idx="31">
                  <c:v>0.34321980862846108</c:v>
                </c:pt>
                <c:pt idx="32">
                  <c:v>0.33818396881286494</c:v>
                </c:pt>
                <c:pt idx="33">
                  <c:v>0.34349341304965159</c:v>
                </c:pt>
                <c:pt idx="34">
                  <c:v>0.32855891683010152</c:v>
                </c:pt>
                <c:pt idx="35">
                  <c:v>0.31891210068309689</c:v>
                </c:pt>
                <c:pt idx="36">
                  <c:v>0.30615561665577301</c:v>
                </c:pt>
                <c:pt idx="37">
                  <c:v>0.29438040063055099</c:v>
                </c:pt>
                <c:pt idx="38">
                  <c:v>0.28347742282941946</c:v>
                </c:pt>
                <c:pt idx="39">
                  <c:v>0.3765926686390792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9-4944-8818-5349B3BCE201}"/>
            </c:ext>
          </c:extLst>
        </c:ser>
        <c:ser>
          <c:idx val="1"/>
          <c:order val="1"/>
          <c:tx>
            <c:strRef>
              <c:f>'cef'!$AD$56:$AD$57</c:f>
              <c:strCache>
                <c:ptCount val="1"/>
                <c:pt idx="0">
                  <c:v>AVS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'cef'!$AB$58:$AB$98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'cef'!$AD$58:$AD$98</c:f>
              <c:numCache>
                <c:formatCode>General</c:formatCode>
                <c:ptCount val="40"/>
                <c:pt idx="0">
                  <c:v>1.1842652654543053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4.6350872241197348E-2</c:v>
                </c:pt>
                <c:pt idx="6">
                  <c:v>0.11510395147414752</c:v>
                </c:pt>
                <c:pt idx="7">
                  <c:v>0.10071595753987908</c:v>
                </c:pt>
                <c:pt idx="8">
                  <c:v>0.21406892267875727</c:v>
                </c:pt>
                <c:pt idx="9">
                  <c:v>0.19266203041088154</c:v>
                </c:pt>
                <c:pt idx="10">
                  <c:v>0.26583377808817699</c:v>
                </c:pt>
                <c:pt idx="11">
                  <c:v>0.29003721097555973</c:v>
                </c:pt>
                <c:pt idx="12">
                  <c:v>0.29223592325298353</c:v>
                </c:pt>
                <c:pt idx="13">
                  <c:v>0.30535834715944649</c:v>
                </c:pt>
                <c:pt idx="14">
                  <c:v>0.28500112401548339</c:v>
                </c:pt>
                <c:pt idx="15">
                  <c:v>0.26718855376451567</c:v>
                </c:pt>
                <c:pt idx="16">
                  <c:v>0.25147158001366182</c:v>
                </c:pt>
                <c:pt idx="17">
                  <c:v>0.23750093667956948</c:v>
                </c:pt>
                <c:pt idx="18">
                  <c:v>0.22500088738064478</c:v>
                </c:pt>
                <c:pt idx="19">
                  <c:v>0.21375084301161254</c:v>
                </c:pt>
                <c:pt idx="20">
                  <c:v>0.20357223143963099</c:v>
                </c:pt>
                <c:pt idx="21">
                  <c:v>0.19431894819237502</c:v>
                </c:pt>
                <c:pt idx="22">
                  <c:v>0.18587029827096743</c:v>
                </c:pt>
                <c:pt idx="23">
                  <c:v>0.1781257025096771</c:v>
                </c:pt>
                <c:pt idx="24">
                  <c:v>0.17100067440929004</c:v>
                </c:pt>
                <c:pt idx="25">
                  <c:v>0.1644237253935481</c:v>
                </c:pt>
                <c:pt idx="26">
                  <c:v>0.15833395778637965</c:v>
                </c:pt>
                <c:pt idx="27">
                  <c:v>0.15267917357972324</c:v>
                </c:pt>
                <c:pt idx="28">
                  <c:v>0.14741437449076727</c:v>
                </c:pt>
                <c:pt idx="29">
                  <c:v>0.14250056200774169</c:v>
                </c:pt>
                <c:pt idx="30">
                  <c:v>0.1379037696849113</c:v>
                </c:pt>
                <c:pt idx="31">
                  <c:v>0.13359427688225783</c:v>
                </c:pt>
                <c:pt idx="32">
                  <c:v>0.12954596546158337</c:v>
                </c:pt>
                <c:pt idx="33">
                  <c:v>0.12573579000683091</c:v>
                </c:pt>
                <c:pt idx="34">
                  <c:v>0.12214333886377859</c:v>
                </c:pt>
                <c:pt idx="35">
                  <c:v>0.11875046833978474</c:v>
                </c:pt>
                <c:pt idx="36">
                  <c:v>0.11554099622249327</c:v>
                </c:pt>
                <c:pt idx="37">
                  <c:v>0.11250044369032239</c:v>
                </c:pt>
                <c:pt idx="38">
                  <c:v>0.10961581692903206</c:v>
                </c:pt>
                <c:pt idx="39">
                  <c:v>0.10687542150580627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9-4944-8818-5349B3BCE201}"/>
            </c:ext>
          </c:extLst>
        </c:ser>
        <c:ser>
          <c:idx val="2"/>
          <c:order val="2"/>
          <c:tx>
            <c:strRef>
              <c:f>'cef'!$AE$56:$AE$57</c:f>
              <c:strCache>
                <c:ptCount val="1"/>
                <c:pt idx="0">
                  <c:v>GRA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'cef'!$AB$58:$AB$98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'cef'!$AE$58:$AE$98</c:f>
              <c:numCache>
                <c:formatCode>General</c:formatCode>
                <c:ptCount val="40"/>
                <c:pt idx="28">
                  <c:v>2.1086693883660885</c:v>
                </c:pt>
                <c:pt idx="29">
                  <c:v>0.74652335782065427</c:v>
                </c:pt>
                <c:pt idx="30">
                  <c:v>0.57509829154224268</c:v>
                </c:pt>
                <c:pt idx="31">
                  <c:v>0.52294082338527847</c:v>
                </c:pt>
                <c:pt idx="32">
                  <c:v>0.52287546478887115</c:v>
                </c:pt>
                <c:pt idx="33">
                  <c:v>0.43572955399072594</c:v>
                </c:pt>
                <c:pt idx="34">
                  <c:v>0.41816840626657925</c:v>
                </c:pt>
                <c:pt idx="35">
                  <c:v>0.36589735548325686</c:v>
                </c:pt>
                <c:pt idx="36">
                  <c:v>0.35503281212843207</c:v>
                </c:pt>
                <c:pt idx="37">
                  <c:v>0.31952953091558889</c:v>
                </c:pt>
                <c:pt idx="38">
                  <c:v>0.31886758204886179</c:v>
                </c:pt>
                <c:pt idx="39">
                  <c:v>0.29229528354479001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69-4944-8818-5349B3BCE201}"/>
            </c:ext>
          </c:extLst>
        </c:ser>
        <c:ser>
          <c:idx val="3"/>
          <c:order val="3"/>
          <c:tx>
            <c:strRef>
              <c:f>'cef'!$AF$56:$AF$57</c:f>
              <c:strCache>
                <c:ptCount val="1"/>
                <c:pt idx="0">
                  <c:v>LUC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'cef'!$AB$58:$AB$98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'cef'!$AF$58:$AF$98</c:f>
              <c:numCache>
                <c:formatCode>General</c:formatCode>
                <c:ptCount val="40"/>
                <c:pt idx="34">
                  <c:v>16.09485718630339</c:v>
                </c:pt>
                <c:pt idx="35">
                  <c:v>6.7200257001441477</c:v>
                </c:pt>
                <c:pt idx="36">
                  <c:v>5.7613944798516314</c:v>
                </c:pt>
                <c:pt idx="37">
                  <c:v>4.4728180165800433</c:v>
                </c:pt>
                <c:pt idx="38">
                  <c:v>3.7048441057365777</c:v>
                </c:pt>
                <c:pt idx="39">
                  <c:v>3.2160230252741724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69-4944-8818-5349B3BCE201}"/>
            </c:ext>
          </c:extLst>
        </c:ser>
        <c:ser>
          <c:idx val="4"/>
          <c:order val="4"/>
          <c:tx>
            <c:strRef>
              <c:f>'cef'!$AG$56:$AG$57</c:f>
              <c:strCache>
                <c:ptCount val="1"/>
                <c:pt idx="0">
                  <c:v>SN2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'cef'!$AB$58:$AB$98</c:f>
              <c:strCache>
                <c:ptCount val="40"/>
                <c:pt idx="0">
                  <c:v>01/03/2023</c:v>
                </c:pt>
                <c:pt idx="1">
                  <c:v>01/04/2023</c:v>
                </c:pt>
                <c:pt idx="2">
                  <c:v>01/05/2023</c:v>
                </c:pt>
                <c:pt idx="3">
                  <c:v>01/06/2023</c:v>
                </c:pt>
                <c:pt idx="4">
                  <c:v>01/07/2023</c:v>
                </c:pt>
                <c:pt idx="5">
                  <c:v>01/08/2023</c:v>
                </c:pt>
                <c:pt idx="6">
                  <c:v>01/09/2023</c:v>
                </c:pt>
                <c:pt idx="7">
                  <c:v>01/10/2023</c:v>
                </c:pt>
                <c:pt idx="8">
                  <c:v>01/11/2023</c:v>
                </c:pt>
                <c:pt idx="9">
                  <c:v>01/12/2023</c:v>
                </c:pt>
                <c:pt idx="10">
                  <c:v>01/01/2024</c:v>
                </c:pt>
                <c:pt idx="11">
                  <c:v>01/02/2024</c:v>
                </c:pt>
                <c:pt idx="12">
                  <c:v>01/03/2024</c:v>
                </c:pt>
                <c:pt idx="13">
                  <c:v>01/04/2024</c:v>
                </c:pt>
                <c:pt idx="14">
                  <c:v>01/05/2024</c:v>
                </c:pt>
                <c:pt idx="15">
                  <c:v>01/06/2024</c:v>
                </c:pt>
                <c:pt idx="16">
                  <c:v>01/07/2024</c:v>
                </c:pt>
                <c:pt idx="17">
                  <c:v>01/08/2024</c:v>
                </c:pt>
                <c:pt idx="18">
                  <c:v>01/09/2024</c:v>
                </c:pt>
                <c:pt idx="19">
                  <c:v>01/10/2024</c:v>
                </c:pt>
                <c:pt idx="20">
                  <c:v>01/11/2024</c:v>
                </c:pt>
                <c:pt idx="21">
                  <c:v>01/12/2024</c:v>
                </c:pt>
                <c:pt idx="22">
                  <c:v>01/01/2025</c:v>
                </c:pt>
                <c:pt idx="23">
                  <c:v>01/02/2025</c:v>
                </c:pt>
                <c:pt idx="24">
                  <c:v>01/03/2025</c:v>
                </c:pt>
                <c:pt idx="25">
                  <c:v>01/04/2025</c:v>
                </c:pt>
                <c:pt idx="26">
                  <c:v>01/05/2025</c:v>
                </c:pt>
                <c:pt idx="27">
                  <c:v>01/06/2025</c:v>
                </c:pt>
                <c:pt idx="28">
                  <c:v>01/07/2025</c:v>
                </c:pt>
                <c:pt idx="29">
                  <c:v>01/08/2025</c:v>
                </c:pt>
                <c:pt idx="30">
                  <c:v>01/09/2025</c:v>
                </c:pt>
                <c:pt idx="31">
                  <c:v>01/10/2025</c:v>
                </c:pt>
                <c:pt idx="32">
                  <c:v>01/11/2025</c:v>
                </c:pt>
                <c:pt idx="33">
                  <c:v>01/12/2025</c:v>
                </c:pt>
                <c:pt idx="34">
                  <c:v>01/01/2026</c:v>
                </c:pt>
                <c:pt idx="35">
                  <c:v>01/02/2026</c:v>
                </c:pt>
                <c:pt idx="36">
                  <c:v>01/03/2026</c:v>
                </c:pt>
                <c:pt idx="37">
                  <c:v>01/04/2026</c:v>
                </c:pt>
                <c:pt idx="38">
                  <c:v>01/05/2026</c:v>
                </c:pt>
                <c:pt idx="39">
                  <c:v>01/06/2026</c:v>
                </c:pt>
              </c:strCache>
            </c:strRef>
          </c:cat>
          <c:val>
            <c:numRef>
              <c:f>'cef'!$AG$58:$AG$98</c:f>
              <c:numCache>
                <c:formatCode>General</c:formatCode>
                <c:ptCount val="40"/>
                <c:pt idx="21">
                  <c:v>11.387683082784552</c:v>
                </c:pt>
                <c:pt idx="22">
                  <c:v>3.7113976378519311</c:v>
                </c:pt>
                <c:pt idx="23">
                  <c:v>2.4742650919012874</c:v>
                </c:pt>
                <c:pt idx="24">
                  <c:v>1.9208563821454803</c:v>
                </c:pt>
                <c:pt idx="25">
                  <c:v>1.6056321542592962</c:v>
                </c:pt>
                <c:pt idx="26">
                  <c:v>1.33802679521608</c:v>
                </c:pt>
                <c:pt idx="27">
                  <c:v>1.1468801101852115</c:v>
                </c:pt>
                <c:pt idx="28">
                  <c:v>1.0396046859335142</c:v>
                </c:pt>
                <c:pt idx="29">
                  <c:v>0.94354136469826599</c:v>
                </c:pt>
                <c:pt idx="30">
                  <c:v>0.88153605340334784</c:v>
                </c:pt>
                <c:pt idx="31">
                  <c:v>0.81218722761482942</c:v>
                </c:pt>
                <c:pt idx="32">
                  <c:v>0.75765889622001381</c:v>
                </c:pt>
                <c:pt idx="33">
                  <c:v>0.69937744266462809</c:v>
                </c:pt>
                <c:pt idx="34">
                  <c:v>0.66443302916929636</c:v>
                </c:pt>
                <c:pt idx="35">
                  <c:v>0.63247617422944014</c:v>
                </c:pt>
                <c:pt idx="36">
                  <c:v>0.61152310962071421</c:v>
                </c:pt>
                <c:pt idx="37">
                  <c:v>0.59144905700210959</c:v>
                </c:pt>
                <c:pt idx="38">
                  <c:v>0.57731359043714225</c:v>
                </c:pt>
                <c:pt idx="39">
                  <c:v>0.56075985318033184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69-4944-8818-5349B3BCE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82352"/>
        <c:axId val="1598805872"/>
      </c:lineChart>
      <c:catAx>
        <c:axId val="15987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8805872"/>
        <c:crosses val="autoZero"/>
        <c:auto val="1"/>
        <c:lblAlgn val="ctr"/>
        <c:lblOffset val="100"/>
        <c:noMultiLvlLbl val="0"/>
      </c:catAx>
      <c:valAx>
        <c:axId val="15988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Entradas</a:t>
                </a:r>
                <a:r>
                  <a:rPr lang="pt-BR" baseline="0"/>
                  <a:t> / Saídas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878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VGV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4"/>
          <c:order val="8"/>
          <c:tx>
            <c:strRef>
              <c:f>vgv!$L$3</c:f>
              <c:strCache>
                <c:ptCount val="1"/>
                <c:pt idx="0">
                  <c:v>VGV
(essa planilha)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vgv!$L$4:$L$12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91A-A264-6D228B5404A9}"/>
            </c:ext>
          </c:extLst>
        </c:ser>
        <c:ser>
          <c:idx val="15"/>
          <c:order val="9"/>
          <c:tx>
            <c:strRef>
              <c:f>vgv!$M$3</c:f>
              <c:strCache>
                <c:ptCount val="1"/>
                <c:pt idx="0">
                  <c:v>VGV
(viabilidade)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vgv!$M$4:$M$12</c:f>
              <c:numCache>
                <c:formatCode>_-* #,##0_-;\-* #,##0_-;_-* "-"??_-;_-@_-</c:formatCode>
                <c:ptCount val="9"/>
                <c:pt idx="0">
                  <c:v>29452019.109999999</c:v>
                </c:pt>
                <c:pt idx="1">
                  <c:v>41692551.049999997</c:v>
                </c:pt>
                <c:pt idx="2">
                  <c:v>85763823.370000005</c:v>
                </c:pt>
                <c:pt idx="3">
                  <c:v>48356127.229999997</c:v>
                </c:pt>
                <c:pt idx="4">
                  <c:v>66348526.82</c:v>
                </c:pt>
                <c:pt idx="5">
                  <c:v>25938984.719999999</c:v>
                </c:pt>
                <c:pt idx="6">
                  <c:v>55838443.93</c:v>
                </c:pt>
                <c:pt idx="7">
                  <c:v>59402112.93</c:v>
                </c:pt>
                <c:pt idx="8">
                  <c:v>123851015.83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9CF-491A-A264-6D228B540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872735"/>
        <c:axId val="118687081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vgv!$C$3</c15:sqref>
                        </c15:formulaRef>
                      </c:ext>
                    </c:extLst>
                    <c:strCache>
                      <c:ptCount val="1"/>
                      <c:pt idx="0">
                        <c:v>Repasse obra
(incorrido)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vgv!$C$4:$C$12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9CF-491A-A264-6D228B5404A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vgv!$D$3</c15:sqref>
                        </c15:formulaRef>
                      </c:ext>
                    </c:extLst>
                    <c:strCache>
                      <c:ptCount val="1"/>
                      <c:pt idx="0">
                        <c:v>Repasse obra
(a incorrer)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vgv!$D$4:$D$12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CF-491A-A264-6D228B5404A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vgv!$E$3</c15:sqref>
                        </c15:formulaRef>
                      </c:ext>
                    </c:extLst>
                    <c:strCache>
                      <c:ptCount val="1"/>
                      <c:pt idx="0">
                        <c:v>Repasse terreno
(incorrido)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vgv!$E$4:$E$12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CF-491A-A264-6D228B5404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vgv!$F$3</c15:sqref>
                        </c15:formulaRef>
                      </c:ext>
                    </c:extLst>
                    <c:strCache>
                      <c:ptCount val="1"/>
                      <c:pt idx="0">
                        <c:v>Repasse terreno
(a incorrer)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vgv!$F$4:$F$12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9CF-491A-A264-6D228B5404A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vgv!$G$3</c15:sqref>
                        </c15:formulaRef>
                      </c:ext>
                    </c:extLst>
                    <c:strCache>
                      <c:ptCount val="1"/>
                      <c:pt idx="0">
                        <c:v>Repasse
(a assinar)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vgv!$G$4:$G$12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9CF-491A-A264-6D228B5404A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vgv!$H$3</c15:sqref>
                        </c15:formulaRef>
                      </c:ext>
                    </c:extLst>
                    <c:strCache>
                      <c:ptCount val="1"/>
                      <c:pt idx="0">
                        <c:v>Pró soluto
(incorrido)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vgv!$H$4:$H$12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9CF-491A-A264-6D228B5404A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vgv!$I$3</c15:sqref>
                        </c15:formulaRef>
                      </c:ext>
                    </c:extLst>
                    <c:strCache>
                      <c:ptCount val="1"/>
                      <c:pt idx="0">
                        <c:v>Pró soluto
(a incorrer)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vgv!$I$4:$I$12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9CF-491A-A264-6D228B5404A9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vgv!$K$3</c15:sqref>
                        </c15:formulaRef>
                      </c:ext>
                    </c:extLst>
                    <c:strCache>
                      <c:ptCount val="1"/>
                      <c:pt idx="0">
                        <c:v>Estoque
(R$)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vgv!$K$4:$K$12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9CF-491A-A264-6D228B5404A9}"/>
                  </c:ext>
                </c:extLst>
              </c15:ser>
            </c15:filteredBarSeries>
          </c:ext>
        </c:extLst>
      </c:barChart>
      <c:catAx>
        <c:axId val="11868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870815"/>
        <c:crosses val="autoZero"/>
        <c:auto val="1"/>
        <c:lblAlgn val="ctr"/>
        <c:lblOffset val="100"/>
        <c:noMultiLvlLbl val="0"/>
      </c:catAx>
      <c:valAx>
        <c:axId val="1186870815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8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Mapeamento</a:t>
            </a:r>
            <a:r>
              <a:rPr lang="pt-BR" baseline="0"/>
              <a:t> do VGV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32976398670946"/>
          <c:y val="0.11467437519734486"/>
          <c:w val="0.87534019556687592"/>
          <c:h val="0.526768991983417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vgv!$C$3</c:f>
              <c:strCache>
                <c:ptCount val="1"/>
                <c:pt idx="0">
                  <c:v>Repasse obra
(incorrido)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vgv!$C$4:$C$12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D-48E9-9DF6-E82B3CBF840A}"/>
            </c:ext>
          </c:extLst>
        </c:ser>
        <c:ser>
          <c:idx val="1"/>
          <c:order val="1"/>
          <c:tx>
            <c:strRef>
              <c:f>vgv!$D$3</c:f>
              <c:strCache>
                <c:ptCount val="1"/>
                <c:pt idx="0">
                  <c:v>Repasse obra
(a incorrer)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vgv!$D$4:$D$12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AD-48E9-9DF6-E82B3CBF840A}"/>
            </c:ext>
          </c:extLst>
        </c:ser>
        <c:ser>
          <c:idx val="2"/>
          <c:order val="2"/>
          <c:tx>
            <c:strRef>
              <c:f>vgv!$E$3</c:f>
              <c:strCache>
                <c:ptCount val="1"/>
                <c:pt idx="0">
                  <c:v>Repasse terreno
(incorrido)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vgv!$E$4:$E$12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AD-48E9-9DF6-E82B3CBF840A}"/>
            </c:ext>
          </c:extLst>
        </c:ser>
        <c:ser>
          <c:idx val="3"/>
          <c:order val="3"/>
          <c:tx>
            <c:strRef>
              <c:f>vgv!$F$3</c:f>
              <c:strCache>
                <c:ptCount val="1"/>
                <c:pt idx="0">
                  <c:v>Repasse terreno
(a incorrer)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vgv!$F$4:$F$12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AD-48E9-9DF6-E82B3CBF840A}"/>
            </c:ext>
          </c:extLst>
        </c:ser>
        <c:ser>
          <c:idx val="4"/>
          <c:order val="4"/>
          <c:tx>
            <c:strRef>
              <c:f>vgv!$G$3</c:f>
              <c:strCache>
                <c:ptCount val="1"/>
                <c:pt idx="0">
                  <c:v>Repasse
(a assinar)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vgv!$G$4:$G$12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AD-48E9-9DF6-E82B3CBF840A}"/>
            </c:ext>
          </c:extLst>
        </c:ser>
        <c:ser>
          <c:idx val="5"/>
          <c:order val="5"/>
          <c:tx>
            <c:strRef>
              <c:f>vgv!$H$3</c:f>
              <c:strCache>
                <c:ptCount val="1"/>
                <c:pt idx="0">
                  <c:v>Pró soluto
(incorrido)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vgv!$H$4:$H$12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AD-48E9-9DF6-E82B3CBF840A}"/>
            </c:ext>
          </c:extLst>
        </c:ser>
        <c:ser>
          <c:idx val="6"/>
          <c:order val="6"/>
          <c:tx>
            <c:strRef>
              <c:f>vgv!$I$3</c:f>
              <c:strCache>
                <c:ptCount val="1"/>
                <c:pt idx="0">
                  <c:v>Pró soluto
(a incorrer)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vgv!$I$4:$I$12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AD-48E9-9DF6-E82B3CBF840A}"/>
            </c:ext>
          </c:extLst>
        </c:ser>
        <c:ser>
          <c:idx val="8"/>
          <c:order val="7"/>
          <c:tx>
            <c:strRef>
              <c:f>vgv!$K$3</c:f>
              <c:strCache>
                <c:ptCount val="1"/>
                <c:pt idx="0">
                  <c:v>Estoque
(R$)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vgv!$A$4:$A$12</c:f>
              <c:strCache>
                <c:ptCount val="9"/>
                <c:pt idx="0">
                  <c:v>AMP</c:v>
                </c:pt>
                <c:pt idx="1">
                  <c:v>AVS</c:v>
                </c:pt>
                <c:pt idx="2">
                  <c:v>CBL</c:v>
                </c:pt>
                <c:pt idx="3">
                  <c:v>GRA</c:v>
                </c:pt>
                <c:pt idx="4">
                  <c:v>LUC</c:v>
                </c:pt>
                <c:pt idx="5">
                  <c:v>POM</c:v>
                </c:pt>
                <c:pt idx="6">
                  <c:v>SAU</c:v>
                </c:pt>
                <c:pt idx="7">
                  <c:v>SN2</c:v>
                </c:pt>
                <c:pt idx="8">
                  <c:v>SN4</c:v>
                </c:pt>
              </c:strCache>
            </c:strRef>
          </c:cat>
          <c:val>
            <c:numRef>
              <c:f>vgv!$K$4:$K$12</c:f>
              <c:numCache>
                <c:formatCode>_(* #,##0_);_(* \(#,##0\);_(* "-"_);_(@_)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AD-48E9-9DF6-E82B3CBF8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6872735"/>
        <c:axId val="1186870815"/>
        <c:extLst>
          <c:ext xmlns:c15="http://schemas.microsoft.com/office/drawing/2012/chart" uri="{02D57815-91ED-43cb-92C2-25804820EDAC}">
            <c15:filteredBarSeries>
              <c15:ser>
                <c:idx val="14"/>
                <c:order val="8"/>
                <c:tx>
                  <c:strRef>
                    <c:extLst>
                      <c:ext uri="{02D57815-91ED-43cb-92C2-25804820EDAC}">
                        <c15:formulaRef>
                          <c15:sqref>vgv!$L$3</c15:sqref>
                        </c15:formulaRef>
                      </c:ext>
                    </c:extLst>
                    <c:strCache>
                      <c:ptCount val="1"/>
                      <c:pt idx="0">
                        <c:v>VGV
(essa planilha)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vgv!$L$4:$L$12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8AD-48E9-9DF6-E82B3CBF840A}"/>
                  </c:ext>
                </c:extLst>
              </c15:ser>
            </c15:filteredBarSeries>
            <c15:filteredBarSeries>
              <c15:ser>
                <c:idx val="15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vgv!$M$3</c15:sqref>
                        </c15:formulaRef>
                      </c:ext>
                    </c:extLst>
                    <c:strCache>
                      <c:ptCount val="1"/>
                      <c:pt idx="0">
                        <c:v>VGV
(viabilidade)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vgv!$A$4:$A$12</c15:sqref>
                        </c15:formulaRef>
                      </c:ext>
                    </c:extLst>
                    <c:strCache>
                      <c:ptCount val="9"/>
                      <c:pt idx="0">
                        <c:v>AMP</c:v>
                      </c:pt>
                      <c:pt idx="1">
                        <c:v>AVS</c:v>
                      </c:pt>
                      <c:pt idx="2">
                        <c:v>CBL</c:v>
                      </c:pt>
                      <c:pt idx="3">
                        <c:v>GRA</c:v>
                      </c:pt>
                      <c:pt idx="4">
                        <c:v>LUC</c:v>
                      </c:pt>
                      <c:pt idx="5">
                        <c:v>POM</c:v>
                      </c:pt>
                      <c:pt idx="6">
                        <c:v>SAU</c:v>
                      </c:pt>
                      <c:pt idx="7">
                        <c:v>SN2</c:v>
                      </c:pt>
                      <c:pt idx="8">
                        <c:v>SN4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vgv!$M$4:$M$12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9"/>
                      <c:pt idx="0">
                        <c:v>29452019.109999999</c:v>
                      </c:pt>
                      <c:pt idx="1">
                        <c:v>41692551.049999997</c:v>
                      </c:pt>
                      <c:pt idx="2">
                        <c:v>85763823.370000005</c:v>
                      </c:pt>
                      <c:pt idx="3">
                        <c:v>48356127.229999997</c:v>
                      </c:pt>
                      <c:pt idx="4">
                        <c:v>66348526.82</c:v>
                      </c:pt>
                      <c:pt idx="5">
                        <c:v>25938984.719999999</c:v>
                      </c:pt>
                      <c:pt idx="6">
                        <c:v>55838443.93</c:v>
                      </c:pt>
                      <c:pt idx="7">
                        <c:v>59402112.93</c:v>
                      </c:pt>
                      <c:pt idx="8">
                        <c:v>123851015.83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8AD-48E9-9DF6-E82B3CBF840A}"/>
                  </c:ext>
                </c:extLst>
              </c15:ser>
            </c15:filteredBarSeries>
          </c:ext>
        </c:extLst>
      </c:barChart>
      <c:catAx>
        <c:axId val="118687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870815"/>
        <c:crosses val="autoZero"/>
        <c:auto val="1"/>
        <c:lblAlgn val="ctr"/>
        <c:lblOffset val="100"/>
        <c:noMultiLvlLbl val="0"/>
      </c:catAx>
      <c:valAx>
        <c:axId val="11868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687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83439939129051"/>
          <c:y val="0.78801254816661792"/>
          <c:w val="0.74633120121741892"/>
          <c:h val="0.18898656825533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Variação de caixa:</a:t>
            </a:r>
          </a:p>
          <a:p>
            <a:pPr>
              <a:defRPr/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Fechamento x Saldos bancários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9383552991704895E-2"/>
          <c:y val="0.17048956987524963"/>
          <c:w val="0.88638286524344889"/>
          <c:h val="0.69305058183074997"/>
        </c:manualLayout>
      </c:layout>
      <c:lineChart>
        <c:grouping val="standard"/>
        <c:varyColors val="0"/>
        <c:ser>
          <c:idx val="0"/>
          <c:order val="0"/>
          <c:tx>
            <c:strRef>
              <c:f>cx_empresa!$B$8</c:f>
              <c:strCache>
                <c:ptCount val="1"/>
                <c:pt idx="0">
                  <c:v>Fechamento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cx_empresa!$C$7:$J$7</c:f>
              <c:numCache>
                <c:formatCode>mmm\-yy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cx_empresa!$C$8:$J$8</c:f>
              <c:numCache>
                <c:formatCode>_(* #,##0.00_);_(* \(#,##0.00\);_(* "-"??_);_(@_)</c:formatCode>
                <c:ptCount val="8"/>
                <c:pt idx="0">
                  <c:v>1318482.03</c:v>
                </c:pt>
                <c:pt idx="1">
                  <c:v>3970629.95</c:v>
                </c:pt>
                <c:pt idx="2">
                  <c:v>2886031.81</c:v>
                </c:pt>
                <c:pt idx="3">
                  <c:v>1292236.98</c:v>
                </c:pt>
                <c:pt idx="4">
                  <c:v>7398838.5200000005</c:v>
                </c:pt>
                <c:pt idx="5">
                  <c:v>1756267.9000000001</c:v>
                </c:pt>
                <c:pt idx="6">
                  <c:v>4582624.7999999868</c:v>
                </c:pt>
                <c:pt idx="7">
                  <c:v>1220818.57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7-4421-B4B1-C7FDD359A640}"/>
            </c:ext>
          </c:extLst>
        </c:ser>
        <c:ser>
          <c:idx val="1"/>
          <c:order val="1"/>
          <c:tx>
            <c:strRef>
              <c:f>cx_empresa!$B$9</c:f>
              <c:strCache>
                <c:ptCount val="1"/>
                <c:pt idx="0">
                  <c:v>Saldo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177467121422658E-2"/>
                  <c:y val="-1.84515124585804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577-4421-B4B1-C7FDD359A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cx_empresa!$C$7:$J$7</c:f>
              <c:numCache>
                <c:formatCode>mmm\-yy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cx_empresa!$C$9:$J$9</c:f>
              <c:numCache>
                <c:formatCode>_(* #,##0.00_);_(* \(#,##0.00\);_(* "-"??_);_(@_)</c:formatCode>
                <c:ptCount val="8"/>
                <c:pt idx="0">
                  <c:v>-1536281.8900000004</c:v>
                </c:pt>
                <c:pt idx="1">
                  <c:v>-213883.84999999986</c:v>
                </c:pt>
                <c:pt idx="2">
                  <c:v>1600675.63</c:v>
                </c:pt>
                <c:pt idx="3">
                  <c:v>-2621684.91</c:v>
                </c:pt>
                <c:pt idx="4">
                  <c:v>5687394.8900000006</c:v>
                </c:pt>
                <c:pt idx="5">
                  <c:v>-3487445.0700000003</c:v>
                </c:pt>
                <c:pt idx="6">
                  <c:v>4617374.4899999993</c:v>
                </c:pt>
                <c:pt idx="7">
                  <c:v>-5064638.6899999995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7-4421-B4B1-C7FDD359A640}"/>
            </c:ext>
          </c:extLst>
        </c:ser>
        <c:ser>
          <c:idx val="2"/>
          <c:order val="2"/>
          <c:tx>
            <c:strRef>
              <c:f>cx_empresa!$B$10</c:f>
              <c:strCache>
                <c:ptCount val="1"/>
                <c:pt idx="0">
                  <c:v>Diferença ($)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394227697587407E-2"/>
                  <c:y val="-4.6427705291749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77-4421-B4B1-C7FDD359A6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cx_empresa!$C$7:$J$7</c:f>
              <c:numCache>
                <c:formatCode>mmm\-yy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cx_empresa!$C$10:$J$10</c:f>
              <c:numCache>
                <c:formatCode>_(* #,##0.00_);_(* \(#,##0.00\);_(* "-"??_);_(@_)</c:formatCode>
                <c:ptCount val="8"/>
                <c:pt idx="0">
                  <c:v>2854763.9200000004</c:v>
                </c:pt>
                <c:pt idx="1">
                  <c:v>4184513.8</c:v>
                </c:pt>
                <c:pt idx="2">
                  <c:v>1285356.1800000002</c:v>
                </c:pt>
                <c:pt idx="3">
                  <c:v>3913921.89</c:v>
                </c:pt>
                <c:pt idx="4">
                  <c:v>1711443.63</c:v>
                </c:pt>
                <c:pt idx="5">
                  <c:v>5243712.9700000007</c:v>
                </c:pt>
                <c:pt idx="6">
                  <c:v>-34749.690000012517</c:v>
                </c:pt>
                <c:pt idx="7">
                  <c:v>6285457.2599999998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7-4421-B4B1-C7FDD359A6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0327871"/>
        <c:axId val="136961952"/>
      </c:lineChart>
      <c:dateAx>
        <c:axId val="16903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61952"/>
        <c:crosses val="autoZero"/>
        <c:auto val="1"/>
        <c:lblOffset val="100"/>
        <c:baseTimeUnit val="months"/>
      </c:dateAx>
      <c:valAx>
        <c:axId val="1369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Milhões de R$</a:t>
                </a:r>
              </a:p>
            </c:rich>
          </c:tx>
          <c:layout>
            <c:manualLayout>
              <c:xMode val="edge"/>
              <c:yMode val="edge"/>
              <c:x val="1.2112229286847166E-2"/>
              <c:y val="0.472951274791438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_);_(* \(#,##0\);_(* &quot;-&quot;_);_(@_)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0327871"/>
        <c:crosses val="autoZero"/>
        <c:crossBetween val="between"/>
        <c:dispUnits>
          <c:custUnit val="1000000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321</xdr:row>
      <xdr:rowOff>0</xdr:rowOff>
    </xdr:from>
    <xdr:to>
      <xdr:col>8</xdr:col>
      <xdr:colOff>190501</xdr:colOff>
      <xdr:row>340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7DE725-047A-4368-A369-852DB2A01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342</xdr:row>
      <xdr:rowOff>0</xdr:rowOff>
    </xdr:from>
    <xdr:to>
      <xdr:col>8</xdr:col>
      <xdr:colOff>190501</xdr:colOff>
      <xdr:row>361</xdr:row>
      <xdr:rowOff>190499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27CEEB6-A4BE-4A2C-801B-3D808703F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797719</xdr:colOff>
      <xdr:row>342</xdr:row>
      <xdr:rowOff>0</xdr:rowOff>
    </xdr:from>
    <xdr:to>
      <xdr:col>14</xdr:col>
      <xdr:colOff>583407</xdr:colOff>
      <xdr:row>362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BF6C514-FEE2-4A8C-9706-D07AA081E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535783</xdr:colOff>
      <xdr:row>342</xdr:row>
      <xdr:rowOff>0</xdr:rowOff>
    </xdr:from>
    <xdr:to>
      <xdr:col>34</xdr:col>
      <xdr:colOff>0</xdr:colOff>
      <xdr:row>362</xdr:row>
      <xdr:rowOff>23813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D2E760B-F3E8-40B4-A213-283BFCEFB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214308</xdr:colOff>
      <xdr:row>6</xdr:row>
      <xdr:rowOff>0</xdr:rowOff>
    </xdr:from>
    <xdr:to>
      <xdr:col>4</xdr:col>
      <xdr:colOff>642933</xdr:colOff>
      <xdr:row>20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A48951B-9A68-4AF2-89D8-642221D72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0</xdr:rowOff>
    </xdr:from>
    <xdr:to>
      <xdr:col>8</xdr:col>
      <xdr:colOff>428624</xdr:colOff>
      <xdr:row>20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59B5024-5BBF-4A2F-8B20-08353BCFE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0</xdr:rowOff>
    </xdr:from>
    <xdr:to>
      <xdr:col>26</xdr:col>
      <xdr:colOff>0</xdr:colOff>
      <xdr:row>38</xdr:row>
      <xdr:rowOff>107156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F68BBA-E772-41C5-A622-00B5EA34C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10</xdr:row>
      <xdr:rowOff>0</xdr:rowOff>
    </xdr:from>
    <xdr:to>
      <xdr:col>33</xdr:col>
      <xdr:colOff>857251</xdr:colOff>
      <xdr:row>31</xdr:row>
      <xdr:rowOff>107156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7FCB52-DF95-49A5-B54F-15AED5EBD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0</xdr:colOff>
      <xdr:row>10</xdr:row>
      <xdr:rowOff>0</xdr:rowOff>
    </xdr:from>
    <xdr:to>
      <xdr:col>44</xdr:col>
      <xdr:colOff>59532</xdr:colOff>
      <xdr:row>31</xdr:row>
      <xdr:rowOff>107156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F1F9629-6435-4CED-BFE1-F83122EFF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0</xdr:colOff>
      <xdr:row>33</xdr:row>
      <xdr:rowOff>-1</xdr:rowOff>
    </xdr:from>
    <xdr:to>
      <xdr:col>44</xdr:col>
      <xdr:colOff>59531</xdr:colOff>
      <xdr:row>54</xdr:row>
      <xdr:rowOff>83342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253BDB-F128-412E-BA34-E43024A27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869155</xdr:colOff>
      <xdr:row>33</xdr:row>
      <xdr:rowOff>75008</xdr:rowOff>
    </xdr:from>
    <xdr:to>
      <xdr:col>33</xdr:col>
      <xdr:colOff>857249</xdr:colOff>
      <xdr:row>54</xdr:row>
      <xdr:rowOff>119061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B7CEC38-54C9-4E23-87EC-BE3FF4AA7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14</xdr:row>
      <xdr:rowOff>0</xdr:rowOff>
    </xdr:from>
    <xdr:to>
      <xdr:col>24</xdr:col>
      <xdr:colOff>716952</xdr:colOff>
      <xdr:row>35</xdr:row>
      <xdr:rowOff>47624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2B7836-A660-410A-97A9-52C1D3DEE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338654</xdr:colOff>
      <xdr:row>14</xdr:row>
      <xdr:rowOff>0</xdr:rowOff>
    </xdr:from>
    <xdr:to>
      <xdr:col>34</xdr:col>
      <xdr:colOff>248804</xdr:colOff>
      <xdr:row>35</xdr:row>
      <xdr:rowOff>35719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0FF7512-1A25-4199-AFC0-01F9ADC70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190499</xdr:rowOff>
    </xdr:from>
    <xdr:to>
      <xdr:col>7</xdr:col>
      <xdr:colOff>1038225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BDF7C0-DCAD-44D9-A89B-D0A7A37E8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Vitor Taira - Ampla Incorporadora" id="{42E265A3-45EC-48D4-9B29-0671EDA53BA5}" userId="S::vitor@amplaincorporadora.com.br::ddb8909e-7959-412e-b20f-156166411ac6" providerId="AD"/>
  <person displayName="Francielle Lisiane - Ampla Incorporadora" id="{5938D9F3-D67C-4270-BA01-0A054F741D67}" userId="S::francielle@amplaincorporadora.com.br::9dbf2e96-699d-4ac1-b84d-7c45f2a714a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6241.703953124997" backgroundQuery="1" createdVersion="8" refreshedVersion="8" minRefreshableVersion="3" recordCount="840" xr:uid="{3E6A117A-3236-4697-BE1F-1F80F95B64E4}">
  <cacheSource type="external" connectionId="1"/>
  <cacheFields count="7">
    <cacheField name="Empreendimento" numFmtId="0">
      <sharedItems count="5">
        <s v="AMP"/>
        <s v="AVS"/>
        <s v="GRA"/>
        <s v="LUC"/>
        <s v="SN2"/>
      </sharedItems>
    </cacheField>
    <cacheField name="Mês" numFmtId="0">
      <sharedItems containsSemiMixedTypes="0" containsNonDate="0" containsDate="1" containsString="0" minDate="2023-03-01T00:00:00" maxDate="2026-06-02T00:00:00" count="40"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</sharedItems>
      <fieldGroup par="6"/>
    </cacheField>
    <cacheField name="Variável" numFmtId="0">
      <sharedItems count="8">
        <s v="Pró soluto"/>
        <s v="Entradas"/>
        <s v="Custo obra"/>
        <s v="Saídas"/>
        <s v="E-S"/>
        <s v="E-S histórico"/>
        <s v="E/S"/>
        <s v="E/S histórico"/>
      </sharedItems>
    </cacheField>
    <cacheField name="Valor" numFmtId="0">
      <sharedItems containsSemiMixedTypes="0" containsString="0" containsNumber="1" minValue="-1664487.82" maxValue="2042517.35"/>
    </cacheField>
    <cacheField name="Meses (Mês)" numFmtId="0" databaseField="0">
      <fieldGroup base="1">
        <rangePr groupBy="months" startDate="2023-03-01T00:00:00" endDate="2026-06-02T00:00:00"/>
        <groupItems count="14">
          <s v="&lt;01/03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6/2026"/>
        </groupItems>
      </fieldGroup>
    </cacheField>
    <cacheField name="Trimestres (Mês)" numFmtId="0" databaseField="0">
      <fieldGroup base="1">
        <rangePr groupBy="quarters" startDate="2023-03-01T00:00:00" endDate="2026-06-02T00:00:00"/>
        <groupItems count="6">
          <s v="&lt;01/03/2023"/>
          <s v="Trim1"/>
          <s v="Trim2"/>
          <s v="Trim3"/>
          <s v="Trim4"/>
          <s v="&gt;02/06/2026"/>
        </groupItems>
      </fieldGroup>
    </cacheField>
    <cacheField name="Anos (Mês)" numFmtId="0" databaseField="0">
      <fieldGroup base="1">
        <rangePr groupBy="years" startDate="2023-03-01T00:00:00" endDate="2026-06-02T00:00:00"/>
        <groupItems count="6">
          <s v="&lt;01/03/2023"/>
          <s v="2023"/>
          <s v="2024"/>
          <s v="2025"/>
          <s v="2026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6241.703962615742" backgroundQuery="1" createdVersion="8" refreshedVersion="8" minRefreshableVersion="3" recordCount="105" xr:uid="{B264FF92-7625-4DD7-B889-4E9D4A484E04}">
  <cacheSource type="external" connectionId="2"/>
  <cacheFields count="10">
    <cacheField name="Empresa" numFmtId="0">
      <sharedItems count="5">
        <s v="AMP"/>
        <s v="AVS"/>
        <s v="GRA"/>
        <s v="LUC"/>
        <s v="SN2"/>
      </sharedItems>
    </cacheField>
    <cacheField name="Mês" numFmtId="0">
      <sharedItems containsSemiMixedTypes="0" containsNonDate="0" containsDate="1" containsString="0" minDate="2023-03-01T00:00:00" maxDate="2026-06-02T00:00:00" count="40"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</sharedItems>
      <fieldGroup par="9"/>
    </cacheField>
    <cacheField name="Pró soluto" numFmtId="0">
      <sharedItems containsSemiMixedTypes="0" containsString="0" containsNumber="1" containsInteger="1" minValue="0" maxValue="0" count="1">
        <n v="0"/>
      </sharedItems>
    </cacheField>
    <cacheField name="Serviço da dívida PJ CEF" numFmtId="0">
      <sharedItems containsString="0" containsBlank="1" count="1">
        <m/>
      </sharedItems>
    </cacheField>
    <cacheField name="Saídas" numFmtId="0">
      <sharedItems containsSemiMixedTypes="0" containsString="0" containsNumber="1" minValue="6854.07" maxValue="2042517.35"/>
    </cacheField>
    <cacheField name="E-S histórico" numFmtId="0">
      <sharedItems containsSemiMixedTypes="0" containsString="0" containsNumber="1" minValue="-871443.05500000005" maxValue="1299320.07"/>
    </cacheField>
    <cacheField name="E/S histórico" numFmtId="0">
      <sharedItems containsSemiMixedTypes="0" containsString="0" containsNumber="1" minValue="0" maxValue="16.09485718630339"/>
    </cacheField>
    <cacheField name="Meses (Mês)" numFmtId="0" databaseField="0">
      <fieldGroup base="1">
        <rangePr groupBy="months" startDate="2023-03-01T00:00:00" endDate="2026-06-02T00:00:00"/>
        <groupItems count="14">
          <s v="&lt;01/03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6/2026"/>
        </groupItems>
      </fieldGroup>
    </cacheField>
    <cacheField name="Trimestres (Mês)" numFmtId="0" databaseField="0">
      <fieldGroup base="1">
        <rangePr groupBy="quarters" startDate="2023-03-01T00:00:00" endDate="2026-06-02T00:00:00"/>
        <groupItems count="6">
          <s v="&lt;01/03/2023"/>
          <s v="Trim1"/>
          <s v="Trim2"/>
          <s v="Trim3"/>
          <s v="Trim4"/>
          <s v="&gt;02/06/2026"/>
        </groupItems>
      </fieldGroup>
    </cacheField>
    <cacheField name="Anos (Mês)" numFmtId="0" databaseField="0">
      <fieldGroup base="1">
        <rangePr groupBy="years" startDate="2023-03-01T00:00:00" endDate="2026-06-02T00:00:00"/>
        <groupItems count="6">
          <s v="&lt;01/03/2023"/>
          <s v="2023"/>
          <s v="2024"/>
          <s v="2025"/>
          <s v="2026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6241.703971527779" backgroundQuery="1" createdVersion="8" refreshedVersion="8" minRefreshableVersion="3" recordCount="105" xr:uid="{C22C5E2D-FAFD-4DB1-829B-BE3CC8078E19}">
  <cacheSource type="external" connectionId="3"/>
  <cacheFields count="10">
    <cacheField name="Empresa" numFmtId="0">
      <sharedItems count="5">
        <s v="AMP"/>
        <s v="AVS"/>
        <s v="GRA"/>
        <s v="LUC"/>
        <s v="SN2"/>
      </sharedItems>
    </cacheField>
    <cacheField name="Mês" numFmtId="0">
      <sharedItems containsSemiMixedTypes="0" containsNonDate="0" containsDate="1" containsString="0" minDate="2023-03-01T00:00:00" maxDate="2026-06-02T00:00:00" count="40"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</sharedItems>
      <fieldGroup par="9"/>
    </cacheField>
    <cacheField name="Pró soluto" numFmtId="0">
      <sharedItems containsSemiMixedTypes="0" containsString="0" containsNumber="1" containsInteger="1" minValue="0" maxValue="0" count="1">
        <n v="0"/>
      </sharedItems>
    </cacheField>
    <cacheField name="Serviço da dívida PJ CEF" numFmtId="0">
      <sharedItems containsString="0" containsBlank="1" count="1">
        <m/>
      </sharedItems>
    </cacheField>
    <cacheField name="Saídas" numFmtId="0">
      <sharedItems containsSemiMixedTypes="0" containsString="0" containsNumber="1" minValue="6854.07" maxValue="2042517.35"/>
    </cacheField>
    <cacheField name="E-S histórico" numFmtId="0">
      <sharedItems containsSemiMixedTypes="0" containsString="0" containsNumber="1" minValue="-871443.05500000005" maxValue="1299320.07"/>
    </cacheField>
    <cacheField name="E/S histórico" numFmtId="0">
      <sharedItems containsSemiMixedTypes="0" containsString="0" containsNumber="1" minValue="0" maxValue="16.09485718630339"/>
    </cacheField>
    <cacheField name="Meses (Mês)" numFmtId="0" databaseField="0">
      <fieldGroup base="1">
        <rangePr groupBy="months" startDate="2023-03-01T00:00:00" endDate="2026-06-02T00:00:00"/>
        <groupItems count="14">
          <s v="&lt;01/03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6/2026"/>
        </groupItems>
      </fieldGroup>
    </cacheField>
    <cacheField name="Trimestres (Mês)" numFmtId="0" databaseField="0">
      <fieldGroup base="1">
        <rangePr groupBy="quarters" startDate="2023-03-01T00:00:00" endDate="2026-06-02T00:00:00"/>
        <groupItems count="6">
          <s v="&lt;01/03/2023"/>
          <s v="Trim1"/>
          <s v="Trim2"/>
          <s v="Trim3"/>
          <s v="Trim4"/>
          <s v="&gt;02/06/2026"/>
        </groupItems>
      </fieldGroup>
    </cacheField>
    <cacheField name="Anos (Mês)" numFmtId="0" databaseField="0">
      <fieldGroup base="1">
        <rangePr groupBy="years" startDate="2023-03-01T00:00:00" endDate="2026-06-02T00:00:00"/>
        <groupItems count="6">
          <s v="&lt;01/03/2023"/>
          <s v="2023"/>
          <s v="2024"/>
          <s v="2025"/>
          <s v="2026"/>
          <s v="&gt;02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">
  <r>
    <x v="0"/>
    <x v="0"/>
    <x v="0"/>
    <n v="0"/>
  </r>
  <r>
    <x v="0"/>
    <x v="0"/>
    <x v="1"/>
    <n v="403051.79"/>
  </r>
  <r>
    <x v="0"/>
    <x v="0"/>
    <x v="2"/>
    <n v="0"/>
  </r>
  <r>
    <x v="0"/>
    <x v="0"/>
    <x v="3"/>
    <n v="246916.08"/>
  </r>
  <r>
    <x v="0"/>
    <x v="0"/>
    <x v="4"/>
    <n v="156135.71"/>
  </r>
  <r>
    <x v="0"/>
    <x v="0"/>
    <x v="5"/>
    <n v="448512.18000000005"/>
  </r>
  <r>
    <x v="0"/>
    <x v="0"/>
    <x v="6"/>
    <n v="1.6323432236572037"/>
  </r>
  <r>
    <x v="0"/>
    <x v="0"/>
    <x v="7"/>
    <n v="2.8164559392000723"/>
  </r>
  <r>
    <x v="0"/>
    <x v="1"/>
    <x v="0"/>
    <n v="0"/>
  </r>
  <r>
    <x v="0"/>
    <x v="1"/>
    <x v="1"/>
    <n v="516683.36"/>
  </r>
  <r>
    <x v="0"/>
    <x v="1"/>
    <x v="2"/>
    <n v="0"/>
  </r>
  <r>
    <x v="0"/>
    <x v="1"/>
    <x v="3"/>
    <n v="648795.71"/>
  </r>
  <r>
    <x v="0"/>
    <x v="1"/>
    <x v="4"/>
    <n v="-132112.34999999998"/>
  </r>
  <r>
    <x v="0"/>
    <x v="1"/>
    <x v="5"/>
    <n v="12011.680000000008"/>
  </r>
  <r>
    <x v="0"/>
    <x v="1"/>
    <x v="6"/>
    <n v="0.796372959987667"/>
  </r>
  <r>
    <x v="0"/>
    <x v="1"/>
    <x v="7"/>
    <n v="1.2143580918224353"/>
  </r>
  <r>
    <x v="0"/>
    <x v="2"/>
    <x v="0"/>
    <n v="0"/>
  </r>
  <r>
    <x v="0"/>
    <x v="2"/>
    <x v="1"/>
    <n v="0"/>
  </r>
  <r>
    <x v="0"/>
    <x v="2"/>
    <x v="2"/>
    <n v="0"/>
  </r>
  <r>
    <x v="0"/>
    <x v="2"/>
    <x v="3"/>
    <n v="1051048.99"/>
  </r>
  <r>
    <x v="0"/>
    <x v="2"/>
    <x v="4"/>
    <n v="-1051048.99"/>
  </r>
  <r>
    <x v="0"/>
    <x v="2"/>
    <x v="5"/>
    <n v="-342341.87666666665"/>
  </r>
  <r>
    <x v="0"/>
    <x v="2"/>
    <x v="6"/>
    <n v="0"/>
  </r>
  <r>
    <x v="0"/>
    <x v="2"/>
    <x v="7"/>
    <n v="0.80957206121495684"/>
  </r>
  <r>
    <x v="0"/>
    <x v="3"/>
    <x v="0"/>
    <n v="0"/>
  </r>
  <r>
    <x v="0"/>
    <x v="3"/>
    <x v="1"/>
    <n v="0"/>
  </r>
  <r>
    <x v="0"/>
    <x v="3"/>
    <x v="2"/>
    <n v="0"/>
  </r>
  <r>
    <x v="0"/>
    <x v="3"/>
    <x v="3"/>
    <n v="617838.25"/>
  </r>
  <r>
    <x v="0"/>
    <x v="3"/>
    <x v="4"/>
    <n v="-617838.25"/>
  </r>
  <r>
    <x v="0"/>
    <x v="3"/>
    <x v="5"/>
    <n v="-411215.97"/>
  </r>
  <r>
    <x v="0"/>
    <x v="3"/>
    <x v="6"/>
    <n v="0"/>
  </r>
  <r>
    <x v="0"/>
    <x v="3"/>
    <x v="7"/>
    <n v="0.60717904591121763"/>
  </r>
  <r>
    <x v="0"/>
    <x v="4"/>
    <x v="0"/>
    <n v="0"/>
  </r>
  <r>
    <x v="0"/>
    <x v="4"/>
    <x v="1"/>
    <n v="0"/>
  </r>
  <r>
    <x v="0"/>
    <x v="4"/>
    <x v="2"/>
    <n v="0"/>
  </r>
  <r>
    <x v="0"/>
    <x v="4"/>
    <x v="3"/>
    <n v="764514.72"/>
  </r>
  <r>
    <x v="0"/>
    <x v="4"/>
    <x v="4"/>
    <n v="-764514.72"/>
  </r>
  <r>
    <x v="0"/>
    <x v="4"/>
    <x v="5"/>
    <n v="-481875.71999999991"/>
  </r>
  <r>
    <x v="0"/>
    <x v="4"/>
    <x v="6"/>
    <n v="0"/>
  </r>
  <r>
    <x v="0"/>
    <x v="4"/>
    <x v="7"/>
    <n v="0.48574323672897413"/>
  </r>
  <r>
    <x v="0"/>
    <x v="5"/>
    <x v="0"/>
    <n v="0"/>
  </r>
  <r>
    <x v="0"/>
    <x v="5"/>
    <x v="1"/>
    <n v="0"/>
  </r>
  <r>
    <x v="0"/>
    <x v="5"/>
    <x v="2"/>
    <n v="0"/>
  </r>
  <r>
    <x v="0"/>
    <x v="5"/>
    <x v="3"/>
    <n v="713172.59"/>
  </r>
  <r>
    <x v="0"/>
    <x v="5"/>
    <x v="4"/>
    <n v="-713172.59"/>
  </r>
  <r>
    <x v="0"/>
    <x v="5"/>
    <x v="5"/>
    <n v="-520425.19833333325"/>
  </r>
  <r>
    <x v="0"/>
    <x v="5"/>
    <x v="6"/>
    <n v="0"/>
  </r>
  <r>
    <x v="0"/>
    <x v="5"/>
    <x v="7"/>
    <n v="0.40478603060747842"/>
  </r>
  <r>
    <x v="0"/>
    <x v="6"/>
    <x v="0"/>
    <n v="0"/>
  </r>
  <r>
    <x v="0"/>
    <x v="6"/>
    <x v="1"/>
    <n v="198297.96"/>
  </r>
  <r>
    <x v="0"/>
    <x v="6"/>
    <x v="2"/>
    <n v="0"/>
  </r>
  <r>
    <x v="0"/>
    <x v="6"/>
    <x v="3"/>
    <n v="952103.93"/>
  </r>
  <r>
    <x v="0"/>
    <x v="6"/>
    <x v="4"/>
    <n v="-753805.97000000009"/>
  </r>
  <r>
    <x v="0"/>
    <x v="6"/>
    <x v="5"/>
    <n v="-553765.30857142853"/>
  </r>
  <r>
    <x v="0"/>
    <x v="6"/>
    <x v="6"/>
    <n v="0.20827343922422417"/>
  </r>
  <r>
    <x v="0"/>
    <x v="6"/>
    <x v="7"/>
    <n v="0.37671280326701356"/>
  </r>
  <r>
    <x v="0"/>
    <x v="7"/>
    <x v="0"/>
    <n v="0"/>
  </r>
  <r>
    <x v="0"/>
    <x v="7"/>
    <x v="1"/>
    <n v="473587.72"/>
  </r>
  <r>
    <x v="0"/>
    <x v="7"/>
    <x v="2"/>
    <n v="0"/>
  </r>
  <r>
    <x v="0"/>
    <x v="7"/>
    <x v="3"/>
    <n v="1098533.51"/>
  </r>
  <r>
    <x v="0"/>
    <x v="7"/>
    <x v="4"/>
    <n v="-624945.79"/>
  </r>
  <r>
    <x v="0"/>
    <x v="7"/>
    <x v="5"/>
    <n v="-562662.86874999991"/>
  </r>
  <r>
    <x v="0"/>
    <x v="7"/>
    <x v="6"/>
    <n v="0.43110903371532105"/>
  </r>
  <r>
    <x v="0"/>
    <x v="7"/>
    <x v="7"/>
    <n v="0.38351233207305196"/>
  </r>
  <r>
    <x v="0"/>
    <x v="8"/>
    <x v="0"/>
    <n v="0"/>
  </r>
  <r>
    <x v="0"/>
    <x v="8"/>
    <x v="1"/>
    <n v="0"/>
  </r>
  <r>
    <x v="0"/>
    <x v="8"/>
    <x v="2"/>
    <n v="0"/>
  </r>
  <r>
    <x v="0"/>
    <x v="8"/>
    <x v="3"/>
    <n v="1324024.72"/>
  </r>
  <r>
    <x v="0"/>
    <x v="8"/>
    <x v="4"/>
    <n v="-1324024.72"/>
  </r>
  <r>
    <x v="0"/>
    <x v="8"/>
    <x v="5"/>
    <n v="-647258.62999999989"/>
  </r>
  <r>
    <x v="0"/>
    <x v="8"/>
    <x v="6"/>
    <n v="0"/>
  </r>
  <r>
    <x v="0"/>
    <x v="8"/>
    <x v="7"/>
    <n v="0.34089985073160173"/>
  </r>
  <r>
    <x v="0"/>
    <x v="9"/>
    <x v="0"/>
    <n v="0"/>
  </r>
  <r>
    <x v="0"/>
    <x v="9"/>
    <x v="1"/>
    <n v="293595.69"/>
  </r>
  <r>
    <x v="0"/>
    <x v="9"/>
    <x v="2"/>
    <n v="0"/>
  </r>
  <r>
    <x v="0"/>
    <x v="9"/>
    <x v="3"/>
    <n v="1384683.24"/>
  </r>
  <r>
    <x v="0"/>
    <x v="9"/>
    <x v="4"/>
    <n v="-1091087.55"/>
  </r>
  <r>
    <x v="0"/>
    <x v="9"/>
    <x v="5"/>
    <n v="-691641.52199999988"/>
  </r>
  <r>
    <x v="0"/>
    <x v="9"/>
    <x v="6"/>
    <n v="0.21203094073703094"/>
  </r>
  <r>
    <x v="0"/>
    <x v="9"/>
    <x v="7"/>
    <n v="0.32801295973214467"/>
  </r>
  <r>
    <x v="0"/>
    <x v="10"/>
    <x v="0"/>
    <n v="0"/>
  </r>
  <r>
    <x v="0"/>
    <x v="10"/>
    <x v="1"/>
    <n v="489068.85"/>
  </r>
  <r>
    <x v="0"/>
    <x v="10"/>
    <x v="2"/>
    <n v="0"/>
  </r>
  <r>
    <x v="0"/>
    <x v="10"/>
    <x v="3"/>
    <n v="628187.96"/>
  </r>
  <r>
    <x v="0"/>
    <x v="10"/>
    <x v="4"/>
    <n v="-139119.10999999999"/>
  </r>
  <r>
    <x v="0"/>
    <x v="10"/>
    <x v="5"/>
    <n v="-641412.21181818179"/>
  </r>
  <r>
    <x v="0"/>
    <x v="10"/>
    <x v="6"/>
    <n v="0.7785390379019681"/>
  </r>
  <r>
    <x v="0"/>
    <x v="10"/>
    <x v="7"/>
    <n v="0.36896987592940128"/>
  </r>
  <r>
    <x v="0"/>
    <x v="11"/>
    <x v="0"/>
    <n v="0"/>
  </r>
  <r>
    <x v="0"/>
    <x v="11"/>
    <x v="1"/>
    <n v="0"/>
  </r>
  <r>
    <x v="0"/>
    <x v="11"/>
    <x v="2"/>
    <n v="0"/>
  </r>
  <r>
    <x v="0"/>
    <x v="11"/>
    <x v="3"/>
    <n v="1088537.93"/>
  </r>
  <r>
    <x v="0"/>
    <x v="11"/>
    <x v="4"/>
    <n v="-1088537.93"/>
  </r>
  <r>
    <x v="0"/>
    <x v="11"/>
    <x v="5"/>
    <n v="-678672.68833333324"/>
  </r>
  <r>
    <x v="0"/>
    <x v="11"/>
    <x v="6"/>
    <n v="0"/>
  </r>
  <r>
    <x v="0"/>
    <x v="11"/>
    <x v="7"/>
    <n v="0.33822238626861784"/>
  </r>
  <r>
    <x v="0"/>
    <x v="12"/>
    <x v="0"/>
    <n v="0"/>
  </r>
  <r>
    <x v="0"/>
    <x v="12"/>
    <x v="1"/>
    <n v="385006.39"/>
  </r>
  <r>
    <x v="0"/>
    <x v="12"/>
    <x v="2"/>
    <n v="0"/>
  </r>
  <r>
    <x v="0"/>
    <x v="12"/>
    <x v="3"/>
    <n v="652209.87"/>
  </r>
  <r>
    <x v="0"/>
    <x v="12"/>
    <x v="4"/>
    <n v="-267203.48"/>
  </r>
  <r>
    <x v="0"/>
    <x v="12"/>
    <x v="5"/>
    <n v="-647021.21076923062"/>
  </r>
  <r>
    <x v="0"/>
    <x v="12"/>
    <x v="6"/>
    <n v="0.59031058514953172"/>
  </r>
  <r>
    <x v="0"/>
    <x v="12"/>
    <x v="7"/>
    <n v="0.35761378618253431"/>
  </r>
  <r>
    <x v="0"/>
    <x v="13"/>
    <x v="0"/>
    <n v="0"/>
  </r>
  <r>
    <x v="0"/>
    <x v="13"/>
    <x v="1"/>
    <n v="223853.73"/>
  </r>
  <r>
    <x v="0"/>
    <x v="13"/>
    <x v="2"/>
    <n v="0"/>
  </r>
  <r>
    <x v="0"/>
    <x v="13"/>
    <x v="3"/>
    <n v="694596.84"/>
  </r>
  <r>
    <x v="0"/>
    <x v="13"/>
    <x v="4"/>
    <n v="-470743.11"/>
  </r>
  <r>
    <x v="0"/>
    <x v="13"/>
    <x v="5"/>
    <n v="-634429.91785714275"/>
  </r>
  <r>
    <x v="0"/>
    <x v="13"/>
    <x v="6"/>
    <n v="0.32227864727976596"/>
  </r>
  <r>
    <x v="0"/>
    <x v="13"/>
    <x v="7"/>
    <n v="0.35508984768947943"/>
  </r>
  <r>
    <x v="0"/>
    <x v="14"/>
    <x v="0"/>
    <n v="0"/>
  </r>
  <r>
    <x v="0"/>
    <x v="14"/>
    <x v="1"/>
    <n v="134752.4"/>
  </r>
  <r>
    <x v="0"/>
    <x v="14"/>
    <x v="2"/>
    <n v="0"/>
  </r>
  <r>
    <x v="0"/>
    <x v="14"/>
    <x v="3"/>
    <n v="761779.42"/>
  </r>
  <r>
    <x v="0"/>
    <x v="14"/>
    <x v="4"/>
    <n v="-627027.02"/>
  </r>
  <r>
    <x v="0"/>
    <x v="14"/>
    <x v="5"/>
    <n v="-633936.3913333331"/>
  </r>
  <r>
    <x v="0"/>
    <x v="14"/>
    <x v="6"/>
    <n v="0.17689162566245226"/>
  </r>
  <r>
    <x v="0"/>
    <x v="14"/>
    <x v="7"/>
    <n v="0.34320996622101091"/>
  </r>
  <r>
    <x v="0"/>
    <x v="15"/>
    <x v="0"/>
    <n v="0"/>
  </r>
  <r>
    <x v="0"/>
    <x v="15"/>
    <x v="1"/>
    <n v="289304.8"/>
  </r>
  <r>
    <x v="0"/>
    <x v="15"/>
    <x v="2"/>
    <n v="0"/>
  </r>
  <r>
    <x v="0"/>
    <x v="15"/>
    <x v="3"/>
    <n v="589735.02"/>
  </r>
  <r>
    <x v="0"/>
    <x v="15"/>
    <x v="4"/>
    <n v="-300430.22000000003"/>
  </r>
  <r>
    <x v="0"/>
    <x v="15"/>
    <x v="5"/>
    <n v="-613092.25562499987"/>
  </r>
  <r>
    <x v="0"/>
    <x v="15"/>
    <x v="6"/>
    <n v="0.49056744162827565"/>
  </r>
  <r>
    <x v="0"/>
    <x v="15"/>
    <x v="7"/>
    <n v="0.35241980843396498"/>
  </r>
  <r>
    <x v="0"/>
    <x v="16"/>
    <x v="0"/>
    <n v="0"/>
  </r>
  <r>
    <x v="0"/>
    <x v="16"/>
    <x v="1"/>
    <n v="171602.91"/>
  </r>
  <r>
    <x v="0"/>
    <x v="16"/>
    <x v="2"/>
    <n v="0"/>
  </r>
  <r>
    <x v="0"/>
    <x v="16"/>
    <x v="3"/>
    <n v="1128801.3799999999"/>
  </r>
  <r>
    <x v="0"/>
    <x v="16"/>
    <x v="4"/>
    <n v="-957198.46999999986"/>
  </r>
  <r>
    <x v="0"/>
    <x v="16"/>
    <x v="5"/>
    <n v="-633333.79764705873"/>
  </r>
  <r>
    <x v="0"/>
    <x v="16"/>
    <x v="6"/>
    <n v="0.15202223618826549"/>
  </r>
  <r>
    <x v="0"/>
    <x v="16"/>
    <x v="7"/>
    <n v="0.34063171594892383"/>
  </r>
  <r>
    <x v="0"/>
    <x v="17"/>
    <x v="0"/>
    <n v="0"/>
  </r>
  <r>
    <x v="0"/>
    <x v="17"/>
    <x v="1"/>
    <n v="366306.04"/>
  </r>
  <r>
    <x v="0"/>
    <x v="17"/>
    <x v="2"/>
    <n v="0"/>
  </r>
  <r>
    <x v="0"/>
    <x v="17"/>
    <x v="3"/>
    <n v="793220.49"/>
  </r>
  <r>
    <x v="0"/>
    <x v="17"/>
    <x v="4"/>
    <n v="-426914.45"/>
  </r>
  <r>
    <x v="0"/>
    <x v="17"/>
    <x v="5"/>
    <n v="-621866.05611111096"/>
  </r>
  <r>
    <x v="0"/>
    <x v="17"/>
    <x v="6"/>
    <n v="0.46179598814952444"/>
  </r>
  <r>
    <x v="0"/>
    <x v="17"/>
    <x v="7"/>
    <n v="0.3473630644045127"/>
  </r>
  <r>
    <x v="0"/>
    <x v="18"/>
    <x v="0"/>
    <n v="0"/>
  </r>
  <r>
    <x v="0"/>
    <x v="18"/>
    <x v="1"/>
    <n v="181081.21"/>
  </r>
  <r>
    <x v="0"/>
    <x v="18"/>
    <x v="2"/>
    <n v="0"/>
  </r>
  <r>
    <x v="0"/>
    <x v="18"/>
    <x v="3"/>
    <n v="642120.39"/>
  </r>
  <r>
    <x v="0"/>
    <x v="18"/>
    <x v="4"/>
    <n v="-461039.18000000005"/>
  </r>
  <r>
    <x v="0"/>
    <x v="18"/>
    <x v="5"/>
    <n v="-613401.48368421046"/>
  </r>
  <r>
    <x v="0"/>
    <x v="18"/>
    <x v="6"/>
    <n v="0.2820050769607238"/>
  </r>
  <r>
    <x v="0"/>
    <x v="18"/>
    <x v="7"/>
    <n v="0.34392317032852382"/>
  </r>
  <r>
    <x v="0"/>
    <x v="19"/>
    <x v="0"/>
    <n v="0"/>
  </r>
  <r>
    <x v="0"/>
    <x v="19"/>
    <x v="1"/>
    <n v="266613.7"/>
  </r>
  <r>
    <x v="0"/>
    <x v="19"/>
    <x v="2"/>
    <n v="0"/>
  </r>
  <r>
    <x v="0"/>
    <x v="19"/>
    <x v="3"/>
    <n v="808273.16"/>
  </r>
  <r>
    <x v="0"/>
    <x v="19"/>
    <x v="4"/>
    <n v="-541659.46"/>
  </r>
  <r>
    <x v="0"/>
    <x v="19"/>
    <x v="5"/>
    <n v="-609814.38249999995"/>
  </r>
  <r>
    <x v="0"/>
    <x v="19"/>
    <x v="6"/>
    <n v="0.3298559363272684"/>
  </r>
  <r>
    <x v="0"/>
    <x v="19"/>
    <x v="7"/>
    <n v="0.34321980862846108"/>
  </r>
  <r>
    <x v="0"/>
    <x v="20"/>
    <x v="0"/>
    <n v="0"/>
  </r>
  <r>
    <x v="0"/>
    <x v="20"/>
    <x v="1"/>
    <n v="230479.34"/>
  </r>
  <r>
    <x v="0"/>
    <x v="20"/>
    <x v="2"/>
    <n v="0"/>
  </r>
  <r>
    <x v="0"/>
    <x v="20"/>
    <x v="3"/>
    <n v="970573.48"/>
  </r>
  <r>
    <x v="0"/>
    <x v="20"/>
    <x v="4"/>
    <n v="-740094.14"/>
  </r>
  <r>
    <x v="0"/>
    <x v="20"/>
    <x v="5"/>
    <n v="-616018.18047619041"/>
  </r>
  <r>
    <x v="0"/>
    <x v="20"/>
    <x v="6"/>
    <n v="0.23746717250094243"/>
  </r>
  <r>
    <x v="0"/>
    <x v="20"/>
    <x v="7"/>
    <n v="0.33818396881286494"/>
  </r>
  <r>
    <x v="0"/>
    <x v="21"/>
    <x v="0"/>
    <n v="0"/>
  </r>
  <r>
    <x v="0"/>
    <x v="21"/>
    <x v="1"/>
    <n v="471701.2"/>
  </r>
  <r>
    <x v="0"/>
    <x v="21"/>
    <x v="2"/>
    <n v="0"/>
  </r>
  <r>
    <x v="0"/>
    <x v="21"/>
    <x v="3"/>
    <n v="1036724.75"/>
  </r>
  <r>
    <x v="0"/>
    <x v="21"/>
    <x v="4"/>
    <n v="-565023.55000000005"/>
  </r>
  <r>
    <x v="0"/>
    <x v="21"/>
    <x v="5"/>
    <n v="-613700.24272727268"/>
  </r>
  <r>
    <x v="0"/>
    <x v="21"/>
    <x v="6"/>
    <n v="0.4549917420221713"/>
  </r>
  <r>
    <x v="0"/>
    <x v="21"/>
    <x v="7"/>
    <n v="0.34349341304965159"/>
  </r>
  <r>
    <x v="0"/>
    <x v="22"/>
    <x v="0"/>
    <n v="0"/>
  </r>
  <r>
    <x v="0"/>
    <x v="22"/>
    <x v="1"/>
    <n v="0"/>
  </r>
  <r>
    <x v="0"/>
    <x v="22"/>
    <x v="2"/>
    <n v="0"/>
  </r>
  <r>
    <x v="0"/>
    <x v="22"/>
    <x v="3"/>
    <n v="738671.56"/>
  </r>
  <r>
    <x v="0"/>
    <x v="22"/>
    <x v="4"/>
    <n v="-738671.56"/>
  </r>
  <r>
    <x v="0"/>
    <x v="22"/>
    <x v="5"/>
    <n v="-619133.77826086956"/>
  </r>
  <r>
    <x v="0"/>
    <x v="22"/>
    <x v="6"/>
    <n v="0"/>
  </r>
  <r>
    <x v="0"/>
    <x v="22"/>
    <x v="7"/>
    <n v="0.32855891683010152"/>
  </r>
  <r>
    <x v="0"/>
    <x v="23"/>
    <x v="0"/>
    <n v="0"/>
  </r>
  <r>
    <x v="0"/>
    <x v="23"/>
    <x v="1"/>
    <n v="46792.36"/>
  </r>
  <r>
    <x v="0"/>
    <x v="23"/>
    <x v="2"/>
    <n v="0"/>
  </r>
  <r>
    <x v="0"/>
    <x v="23"/>
    <x v="3"/>
    <n v="482219.83"/>
  </r>
  <r>
    <x v="0"/>
    <x v="23"/>
    <x v="4"/>
    <n v="-435427.47000000003"/>
  </r>
  <r>
    <x v="0"/>
    <x v="23"/>
    <x v="5"/>
    <n v="-611479.34875"/>
  </r>
  <r>
    <x v="0"/>
    <x v="23"/>
    <x v="6"/>
    <n v="9.7035329301990755E-2"/>
  </r>
  <r>
    <x v="0"/>
    <x v="23"/>
    <x v="7"/>
    <n v="0.31891210068309689"/>
  </r>
  <r>
    <x v="0"/>
    <x v="24"/>
    <x v="0"/>
    <n v="0"/>
  </r>
  <r>
    <x v="0"/>
    <x v="24"/>
    <x v="1"/>
    <n v="0"/>
  </r>
  <r>
    <x v="0"/>
    <x v="24"/>
    <x v="2"/>
    <n v="0"/>
  </r>
  <r>
    <x v="0"/>
    <x v="24"/>
    <x v="3"/>
    <n v="167443.01"/>
  </r>
  <r>
    <x v="0"/>
    <x v="24"/>
    <x v="4"/>
    <n v="-167443.01"/>
  </r>
  <r>
    <x v="0"/>
    <x v="24"/>
    <x v="5"/>
    <n v="-593717.89520000003"/>
  </r>
  <r>
    <x v="0"/>
    <x v="24"/>
    <x v="6"/>
    <n v="0"/>
  </r>
  <r>
    <x v="0"/>
    <x v="24"/>
    <x v="7"/>
    <n v="0.30615561665577301"/>
  </r>
  <r>
    <x v="0"/>
    <x v="25"/>
    <x v="0"/>
    <n v="0"/>
  </r>
  <r>
    <x v="0"/>
    <x v="25"/>
    <x v="1"/>
    <n v="0"/>
  </r>
  <r>
    <x v="0"/>
    <x v="25"/>
    <x v="2"/>
    <n v="0"/>
  </r>
  <r>
    <x v="0"/>
    <x v="25"/>
    <x v="3"/>
    <n v="99120.22"/>
  </r>
  <r>
    <x v="0"/>
    <x v="25"/>
    <x v="4"/>
    <n v="-99120.22"/>
  </r>
  <r>
    <x v="0"/>
    <x v="25"/>
    <x v="5"/>
    <n v="-574694.90769230772"/>
  </r>
  <r>
    <x v="0"/>
    <x v="25"/>
    <x v="6"/>
    <n v="0"/>
  </r>
  <r>
    <x v="0"/>
    <x v="25"/>
    <x v="7"/>
    <n v="0.29438040063055099"/>
  </r>
  <r>
    <x v="0"/>
    <x v="26"/>
    <x v="0"/>
    <n v="0"/>
  </r>
  <r>
    <x v="0"/>
    <x v="26"/>
    <x v="1"/>
    <n v="0"/>
  </r>
  <r>
    <x v="0"/>
    <x v="26"/>
    <x v="2"/>
    <n v="0"/>
  </r>
  <r>
    <x v="0"/>
    <x v="26"/>
    <x v="3"/>
    <n v="76313.990000000005"/>
  </r>
  <r>
    <x v="0"/>
    <x v="26"/>
    <x v="4"/>
    <n v="-76313.990000000005"/>
  </r>
  <r>
    <x v="0"/>
    <x v="26"/>
    <x v="5"/>
    <n v="-556236.35518518521"/>
  </r>
  <r>
    <x v="0"/>
    <x v="26"/>
    <x v="6"/>
    <n v="0"/>
  </r>
  <r>
    <x v="0"/>
    <x v="26"/>
    <x v="7"/>
    <n v="0.28347742282941946"/>
  </r>
  <r>
    <x v="0"/>
    <x v="27"/>
    <x v="0"/>
    <n v="0"/>
  </r>
  <r>
    <x v="0"/>
    <x v="27"/>
    <x v="1"/>
    <n v="207868.87"/>
  </r>
  <r>
    <x v="0"/>
    <x v="27"/>
    <x v="2"/>
    <n v="0"/>
  </r>
  <r>
    <x v="0"/>
    <x v="27"/>
    <x v="3"/>
    <n v="71909.42"/>
  </r>
  <r>
    <x v="0"/>
    <x v="27"/>
    <x v="4"/>
    <n v="135959.45000000001"/>
  </r>
  <r>
    <x v="0"/>
    <x v="27"/>
    <x v="5"/>
    <n v="-531515.07642857148"/>
  </r>
  <r>
    <x v="0"/>
    <x v="27"/>
    <x v="6"/>
    <n v="2.8907043054998915"/>
  </r>
  <r>
    <x v="0"/>
    <x v="27"/>
    <x v="7"/>
    <n v="0.3765926686390792"/>
  </r>
  <r>
    <x v="1"/>
    <x v="28"/>
    <x v="0"/>
    <n v="0"/>
  </r>
  <r>
    <x v="1"/>
    <x v="28"/>
    <x v="1"/>
    <n v="0"/>
  </r>
  <r>
    <x v="1"/>
    <x v="28"/>
    <x v="2"/>
    <n v="0"/>
  </r>
  <r>
    <x v="1"/>
    <x v="28"/>
    <x v="3"/>
    <n v="794062.84"/>
  </r>
  <r>
    <x v="1"/>
    <x v="28"/>
    <x v="4"/>
    <n v="-794062.84"/>
  </r>
  <r>
    <x v="1"/>
    <x v="28"/>
    <x v="5"/>
    <n v="146318.1999999996"/>
  </r>
  <r>
    <x v="1"/>
    <x v="28"/>
    <x v="6"/>
    <n v="0"/>
  </r>
  <r>
    <x v="1"/>
    <x v="28"/>
    <x v="7"/>
    <n v="1.1842652654543053"/>
  </r>
  <r>
    <x v="1"/>
    <x v="29"/>
    <x v="0"/>
    <n v="0"/>
  </r>
  <r>
    <x v="1"/>
    <x v="29"/>
    <x v="1"/>
    <n v="0"/>
  </r>
  <r>
    <x v="1"/>
    <x v="29"/>
    <x v="2"/>
    <n v="0"/>
  </r>
  <r>
    <x v="1"/>
    <x v="29"/>
    <x v="3"/>
    <n v="685911.71"/>
  </r>
  <r>
    <x v="1"/>
    <x v="29"/>
    <x v="4"/>
    <n v="-685911.71"/>
  </r>
  <r>
    <x v="1"/>
    <x v="29"/>
    <x v="5"/>
    <n v="-739987.27499999991"/>
  </r>
  <r>
    <x v="1"/>
    <x v="29"/>
    <x v="6"/>
    <n v="0"/>
  </r>
  <r>
    <x v="1"/>
    <x v="29"/>
    <x v="7"/>
    <n v="0"/>
  </r>
  <r>
    <x v="1"/>
    <x v="30"/>
    <x v="0"/>
    <n v="0"/>
  </r>
  <r>
    <x v="1"/>
    <x v="30"/>
    <x v="1"/>
    <n v="0"/>
  </r>
  <r>
    <x v="1"/>
    <x v="30"/>
    <x v="2"/>
    <n v="0"/>
  </r>
  <r>
    <x v="1"/>
    <x v="30"/>
    <x v="3"/>
    <n v="1058788.97"/>
  </r>
  <r>
    <x v="1"/>
    <x v="30"/>
    <x v="4"/>
    <n v="-1058788.97"/>
  </r>
  <r>
    <x v="1"/>
    <x v="30"/>
    <x v="5"/>
    <n v="-846254.50666666648"/>
  </r>
  <r>
    <x v="1"/>
    <x v="30"/>
    <x v="6"/>
    <n v="0"/>
  </r>
  <r>
    <x v="1"/>
    <x v="30"/>
    <x v="7"/>
    <n v="0"/>
  </r>
  <r>
    <x v="1"/>
    <x v="31"/>
    <x v="0"/>
    <n v="0"/>
  </r>
  <r>
    <x v="1"/>
    <x v="31"/>
    <x v="1"/>
    <n v="0"/>
  </r>
  <r>
    <x v="1"/>
    <x v="31"/>
    <x v="2"/>
    <n v="0"/>
  </r>
  <r>
    <x v="1"/>
    <x v="31"/>
    <x v="3"/>
    <n v="425050.36"/>
  </r>
  <r>
    <x v="1"/>
    <x v="31"/>
    <x v="4"/>
    <n v="-425050.36"/>
  </r>
  <r>
    <x v="1"/>
    <x v="31"/>
    <x v="5"/>
    <n v="-740953.46999999986"/>
  </r>
  <r>
    <x v="1"/>
    <x v="31"/>
    <x v="6"/>
    <n v="0"/>
  </r>
  <r>
    <x v="1"/>
    <x v="31"/>
    <x v="7"/>
    <n v="0"/>
  </r>
  <r>
    <x v="1"/>
    <x v="32"/>
    <x v="0"/>
    <n v="0"/>
  </r>
  <r>
    <x v="1"/>
    <x v="32"/>
    <x v="1"/>
    <n v="0"/>
  </r>
  <r>
    <x v="1"/>
    <x v="32"/>
    <x v="2"/>
    <n v="0"/>
  </r>
  <r>
    <x v="1"/>
    <x v="32"/>
    <x v="3"/>
    <n v="627311.32999999996"/>
  </r>
  <r>
    <x v="1"/>
    <x v="32"/>
    <x v="4"/>
    <n v="-627311.32999999996"/>
  </r>
  <r>
    <x v="1"/>
    <x v="32"/>
    <x v="5"/>
    <n v="-718225.0419999999"/>
  </r>
  <r>
    <x v="1"/>
    <x v="32"/>
    <x v="6"/>
    <n v="0"/>
  </r>
  <r>
    <x v="1"/>
    <x v="32"/>
    <x v="7"/>
    <n v="0"/>
  </r>
  <r>
    <x v="1"/>
    <x v="33"/>
    <x v="0"/>
    <n v="0"/>
  </r>
  <r>
    <x v="1"/>
    <x v="33"/>
    <x v="1"/>
    <n v="327575.88"/>
  </r>
  <r>
    <x v="1"/>
    <x v="33"/>
    <x v="2"/>
    <n v="0"/>
  </r>
  <r>
    <x v="1"/>
    <x v="33"/>
    <x v="3"/>
    <n v="1177884.6299999999"/>
  </r>
  <r>
    <x v="1"/>
    <x v="33"/>
    <x v="4"/>
    <n v="-850308.74999999988"/>
  </r>
  <r>
    <x v="1"/>
    <x v="33"/>
    <x v="5"/>
    <n v="-740238.99333333317"/>
  </r>
  <r>
    <x v="1"/>
    <x v="33"/>
    <x v="6"/>
    <n v="0.27810523344718407"/>
  </r>
  <r>
    <x v="1"/>
    <x v="33"/>
    <x v="7"/>
    <n v="4.6350872241197348E-2"/>
  </r>
  <r>
    <x v="1"/>
    <x v="34"/>
    <x v="0"/>
    <n v="0"/>
  </r>
  <r>
    <x v="1"/>
    <x v="34"/>
    <x v="1"/>
    <n v="445799.01"/>
  </r>
  <r>
    <x v="1"/>
    <x v="34"/>
    <x v="2"/>
    <n v="0"/>
  </r>
  <r>
    <x v="1"/>
    <x v="34"/>
    <x v="3"/>
    <n v="844920.51"/>
  </r>
  <r>
    <x v="1"/>
    <x v="34"/>
    <x v="4"/>
    <n v="-399121.5"/>
  </r>
  <r>
    <x v="1"/>
    <x v="34"/>
    <x v="5"/>
    <n v="-691507.92285714275"/>
  </r>
  <r>
    <x v="1"/>
    <x v="34"/>
    <x v="6"/>
    <n v="0.52762242687184857"/>
  </r>
  <r>
    <x v="1"/>
    <x v="34"/>
    <x v="7"/>
    <n v="0.11510395147414752"/>
  </r>
  <r>
    <x v="1"/>
    <x v="35"/>
    <x v="0"/>
    <n v="0"/>
  </r>
  <r>
    <x v="1"/>
    <x v="35"/>
    <x v="1"/>
    <n v="0"/>
  </r>
  <r>
    <x v="1"/>
    <x v="35"/>
    <x v="2"/>
    <n v="0"/>
  </r>
  <r>
    <x v="1"/>
    <x v="35"/>
    <x v="3"/>
    <n v="1491664.73"/>
  </r>
  <r>
    <x v="1"/>
    <x v="35"/>
    <x v="4"/>
    <n v="-1491664.73"/>
  </r>
  <r>
    <x v="1"/>
    <x v="35"/>
    <x v="5"/>
    <n v="-791527.52374999993"/>
  </r>
  <r>
    <x v="1"/>
    <x v="35"/>
    <x v="6"/>
    <n v="0"/>
  </r>
  <r>
    <x v="1"/>
    <x v="35"/>
    <x v="7"/>
    <n v="0.10071595753987908"/>
  </r>
  <r>
    <x v="1"/>
    <x v="36"/>
    <x v="0"/>
    <n v="0"/>
  </r>
  <r>
    <x v="1"/>
    <x v="36"/>
    <x v="1"/>
    <n v="1455283.7599999998"/>
  </r>
  <r>
    <x v="1"/>
    <x v="36"/>
    <x v="2"/>
    <n v="0"/>
  </r>
  <r>
    <x v="1"/>
    <x v="36"/>
    <x v="3"/>
    <n v="1298325.73"/>
  </r>
  <r>
    <x v="1"/>
    <x v="36"/>
    <x v="4"/>
    <n v="156958.0299999998"/>
  </r>
  <r>
    <x v="1"/>
    <x v="36"/>
    <x v="5"/>
    <n v="-686140.24"/>
  </r>
  <r>
    <x v="1"/>
    <x v="36"/>
    <x v="6"/>
    <n v="1.1208926437897828"/>
  </r>
  <r>
    <x v="1"/>
    <x v="36"/>
    <x v="7"/>
    <n v="0.21406892267875727"/>
  </r>
  <r>
    <x v="1"/>
    <x v="37"/>
    <x v="0"/>
    <n v="0"/>
  </r>
  <r>
    <x v="1"/>
    <x v="37"/>
    <x v="1"/>
    <n v="0"/>
  </r>
  <r>
    <x v="1"/>
    <x v="37"/>
    <x v="2"/>
    <n v="0"/>
  </r>
  <r>
    <x v="1"/>
    <x v="37"/>
    <x v="3"/>
    <n v="1443609.06"/>
  </r>
  <r>
    <x v="1"/>
    <x v="37"/>
    <x v="4"/>
    <n v="-1443609.06"/>
  </r>
  <r>
    <x v="1"/>
    <x v="37"/>
    <x v="5"/>
    <n v="-761887.12200000009"/>
  </r>
  <r>
    <x v="1"/>
    <x v="37"/>
    <x v="6"/>
    <n v="0"/>
  </r>
  <r>
    <x v="1"/>
    <x v="37"/>
    <x v="7"/>
    <n v="0.19266203041088154"/>
  </r>
  <r>
    <x v="1"/>
    <x v="38"/>
    <x v="0"/>
    <n v="0"/>
  </r>
  <r>
    <x v="1"/>
    <x v="38"/>
    <x v="1"/>
    <n v="1292869.73"/>
  </r>
  <r>
    <x v="1"/>
    <x v="38"/>
    <x v="2"/>
    <n v="0"/>
  </r>
  <r>
    <x v="1"/>
    <x v="38"/>
    <x v="3"/>
    <n v="1296043.4099999999"/>
  </r>
  <r>
    <x v="1"/>
    <x v="38"/>
    <x v="4"/>
    <n v="-3173.6799999999348"/>
  </r>
  <r>
    <x v="1"/>
    <x v="38"/>
    <x v="5"/>
    <n v="-692913.17272727273"/>
  </r>
  <r>
    <x v="1"/>
    <x v="38"/>
    <x v="6"/>
    <n v="0.99755125486113161"/>
  </r>
  <r>
    <x v="1"/>
    <x v="38"/>
    <x v="7"/>
    <n v="0.26583377808817699"/>
  </r>
  <r>
    <x v="1"/>
    <x v="39"/>
    <x v="0"/>
    <n v="0"/>
  </r>
  <r>
    <x v="1"/>
    <x v="39"/>
    <x v="1"/>
    <n v="641961.35"/>
  </r>
  <r>
    <x v="1"/>
    <x v="39"/>
    <x v="2"/>
    <n v="0"/>
  </r>
  <r>
    <x v="1"/>
    <x v="39"/>
    <x v="3"/>
    <n v="1154036.01"/>
  </r>
  <r>
    <x v="1"/>
    <x v="39"/>
    <x v="4"/>
    <n v="-512074.66000000003"/>
  </r>
  <r>
    <x v="1"/>
    <x v="39"/>
    <x v="5"/>
    <n v="-677843.29666666675"/>
  </r>
  <r>
    <x v="1"/>
    <x v="39"/>
    <x v="6"/>
    <n v="0.55627497273676929"/>
  </r>
  <r>
    <x v="1"/>
    <x v="39"/>
    <x v="7"/>
    <n v="0.29003721097555973"/>
  </r>
  <r>
    <x v="1"/>
    <x v="0"/>
    <x v="0"/>
    <n v="0"/>
  </r>
  <r>
    <x v="1"/>
    <x v="0"/>
    <x v="1"/>
    <n v="412689.22"/>
  </r>
  <r>
    <x v="1"/>
    <x v="0"/>
    <x v="2"/>
    <n v="0"/>
  </r>
  <r>
    <x v="1"/>
    <x v="0"/>
    <x v="3"/>
    <n v="1295237.6200000001"/>
  </r>
  <r>
    <x v="1"/>
    <x v="0"/>
    <x v="4"/>
    <n v="-882548.40000000014"/>
  </r>
  <r>
    <x v="1"/>
    <x v="0"/>
    <x v="5"/>
    <n v="-693589.84307692316"/>
  </r>
  <r>
    <x v="1"/>
    <x v="0"/>
    <x v="6"/>
    <n v="0.31862047058206966"/>
  </r>
  <r>
    <x v="1"/>
    <x v="0"/>
    <x v="7"/>
    <n v="0.29223592325298353"/>
  </r>
  <r>
    <x v="1"/>
    <x v="1"/>
    <x v="0"/>
    <n v="0"/>
  </r>
  <r>
    <x v="1"/>
    <x v="1"/>
    <x v="1"/>
    <n v="556963.03"/>
  </r>
  <r>
    <x v="1"/>
    <x v="1"/>
    <x v="2"/>
    <n v="0"/>
  </r>
  <r>
    <x v="1"/>
    <x v="1"/>
    <x v="3"/>
    <n v="1170213.67"/>
  </r>
  <r>
    <x v="1"/>
    <x v="1"/>
    <x v="4"/>
    <n v="-613250.6399999999"/>
  </r>
  <r>
    <x v="1"/>
    <x v="1"/>
    <x v="5"/>
    <n v="-687851.32857142866"/>
  </r>
  <r>
    <x v="1"/>
    <x v="1"/>
    <x v="6"/>
    <n v="0.47594985794346434"/>
  </r>
  <r>
    <x v="1"/>
    <x v="1"/>
    <x v="7"/>
    <n v="0.30535834715944649"/>
  </r>
  <r>
    <x v="1"/>
    <x v="2"/>
    <x v="0"/>
    <n v="0"/>
  </r>
  <r>
    <x v="1"/>
    <x v="2"/>
    <x v="1"/>
    <n v="0"/>
  </r>
  <r>
    <x v="1"/>
    <x v="2"/>
    <x v="2"/>
    <n v="0"/>
  </r>
  <r>
    <x v="1"/>
    <x v="2"/>
    <x v="3"/>
    <n v="1329186.8799999999"/>
  </r>
  <r>
    <x v="1"/>
    <x v="2"/>
    <x v="4"/>
    <n v="-1329186.8799999999"/>
  </r>
  <r>
    <x v="1"/>
    <x v="2"/>
    <x v="5"/>
    <n v="-730607.03200000001"/>
  </r>
  <r>
    <x v="1"/>
    <x v="2"/>
    <x v="6"/>
    <n v="0"/>
  </r>
  <r>
    <x v="1"/>
    <x v="2"/>
    <x v="7"/>
    <n v="0.28500112401548339"/>
  </r>
  <r>
    <x v="1"/>
    <x v="3"/>
    <x v="0"/>
    <n v="0"/>
  </r>
  <r>
    <x v="1"/>
    <x v="3"/>
    <x v="1"/>
    <n v="0"/>
  </r>
  <r>
    <x v="1"/>
    <x v="3"/>
    <x v="2"/>
    <n v="0"/>
  </r>
  <r>
    <x v="1"/>
    <x v="3"/>
    <x v="3"/>
    <n v="920242.53"/>
  </r>
  <r>
    <x v="1"/>
    <x v="3"/>
    <x v="4"/>
    <n v="-920242.53"/>
  </r>
  <r>
    <x v="1"/>
    <x v="3"/>
    <x v="5"/>
    <n v="-742459.25062499999"/>
  </r>
  <r>
    <x v="1"/>
    <x v="3"/>
    <x v="6"/>
    <n v="0"/>
  </r>
  <r>
    <x v="1"/>
    <x v="3"/>
    <x v="7"/>
    <n v="0.26718855376451567"/>
  </r>
  <r>
    <x v="1"/>
    <x v="4"/>
    <x v="0"/>
    <n v="0"/>
  </r>
  <r>
    <x v="1"/>
    <x v="4"/>
    <x v="1"/>
    <n v="0"/>
  </r>
  <r>
    <x v="1"/>
    <x v="4"/>
    <x v="2"/>
    <n v="0"/>
  </r>
  <r>
    <x v="1"/>
    <x v="4"/>
    <x v="3"/>
    <n v="1163629.68"/>
  </r>
  <r>
    <x v="1"/>
    <x v="4"/>
    <x v="4"/>
    <n v="-1163629.68"/>
  </r>
  <r>
    <x v="1"/>
    <x v="4"/>
    <x v="5"/>
    <n v="-767233.98176470585"/>
  </r>
  <r>
    <x v="1"/>
    <x v="4"/>
    <x v="6"/>
    <n v="0"/>
  </r>
  <r>
    <x v="1"/>
    <x v="4"/>
    <x v="7"/>
    <n v="0.25147158001366182"/>
  </r>
  <r>
    <x v="1"/>
    <x v="5"/>
    <x v="0"/>
    <n v="0"/>
  </r>
  <r>
    <x v="1"/>
    <x v="5"/>
    <x v="1"/>
    <n v="0"/>
  </r>
  <r>
    <x v="1"/>
    <x v="5"/>
    <x v="2"/>
    <n v="0"/>
  </r>
  <r>
    <x v="1"/>
    <x v="5"/>
    <x v="3"/>
    <n v="943808.43"/>
  </r>
  <r>
    <x v="1"/>
    <x v="5"/>
    <x v="4"/>
    <n v="-943808.43"/>
  </r>
  <r>
    <x v="1"/>
    <x v="5"/>
    <x v="5"/>
    <n v="-777043.67333333334"/>
  </r>
  <r>
    <x v="1"/>
    <x v="5"/>
    <x v="6"/>
    <n v="0"/>
  </r>
  <r>
    <x v="1"/>
    <x v="5"/>
    <x v="7"/>
    <n v="0.23750093667956948"/>
  </r>
  <r>
    <x v="1"/>
    <x v="6"/>
    <x v="0"/>
    <n v="0"/>
  </r>
  <r>
    <x v="1"/>
    <x v="6"/>
    <x v="1"/>
    <n v="0"/>
  </r>
  <r>
    <x v="1"/>
    <x v="6"/>
    <x v="2"/>
    <n v="0"/>
  </r>
  <r>
    <x v="1"/>
    <x v="6"/>
    <x v="3"/>
    <n v="1334793.1499999999"/>
  </r>
  <r>
    <x v="1"/>
    <x v="6"/>
    <x v="4"/>
    <n v="-1334793.1499999999"/>
  </r>
  <r>
    <x v="1"/>
    <x v="6"/>
    <x v="5"/>
    <n v="-806398.90894736839"/>
  </r>
  <r>
    <x v="1"/>
    <x v="6"/>
    <x v="6"/>
    <n v="0"/>
  </r>
  <r>
    <x v="1"/>
    <x v="6"/>
    <x v="7"/>
    <n v="0.22500088738064478"/>
  </r>
  <r>
    <x v="1"/>
    <x v="7"/>
    <x v="0"/>
    <n v="0"/>
  </r>
  <r>
    <x v="1"/>
    <x v="7"/>
    <x v="1"/>
    <n v="0"/>
  </r>
  <r>
    <x v="1"/>
    <x v="7"/>
    <x v="2"/>
    <n v="0"/>
  </r>
  <r>
    <x v="1"/>
    <x v="7"/>
    <x v="3"/>
    <n v="923115.5"/>
  </r>
  <r>
    <x v="1"/>
    <x v="7"/>
    <x v="4"/>
    <n v="-923115.5"/>
  </r>
  <r>
    <x v="1"/>
    <x v="7"/>
    <x v="5"/>
    <n v="-812234.73849999998"/>
  </r>
  <r>
    <x v="1"/>
    <x v="7"/>
    <x v="6"/>
    <n v="0"/>
  </r>
  <r>
    <x v="1"/>
    <x v="7"/>
    <x v="7"/>
    <n v="0.21375084301161254"/>
  </r>
  <r>
    <x v="1"/>
    <x v="8"/>
    <x v="0"/>
    <n v="0"/>
  </r>
  <r>
    <x v="1"/>
    <x v="8"/>
    <x v="1"/>
    <n v="0"/>
  </r>
  <r>
    <x v="1"/>
    <x v="8"/>
    <x v="2"/>
    <n v="0"/>
  </r>
  <r>
    <x v="1"/>
    <x v="8"/>
    <x v="3"/>
    <n v="844490.25"/>
  </r>
  <r>
    <x v="1"/>
    <x v="8"/>
    <x v="4"/>
    <n v="-844490.25"/>
  </r>
  <r>
    <x v="1"/>
    <x v="8"/>
    <x v="5"/>
    <n v="-813770.71523809526"/>
  </r>
  <r>
    <x v="1"/>
    <x v="8"/>
    <x v="6"/>
    <n v="0"/>
  </r>
  <r>
    <x v="1"/>
    <x v="8"/>
    <x v="7"/>
    <n v="0.20357223143963099"/>
  </r>
  <r>
    <x v="1"/>
    <x v="9"/>
    <x v="0"/>
    <n v="0"/>
  </r>
  <r>
    <x v="1"/>
    <x v="9"/>
    <x v="1"/>
    <n v="0"/>
  </r>
  <r>
    <x v="1"/>
    <x v="9"/>
    <x v="2"/>
    <n v="0"/>
  </r>
  <r>
    <x v="1"/>
    <x v="9"/>
    <x v="3"/>
    <n v="795783.26"/>
  </r>
  <r>
    <x v="1"/>
    <x v="9"/>
    <x v="4"/>
    <n v="-795783.26"/>
  </r>
  <r>
    <x v="1"/>
    <x v="9"/>
    <x v="5"/>
    <n v="-812953.10363636364"/>
  </r>
  <r>
    <x v="1"/>
    <x v="9"/>
    <x v="6"/>
    <n v="0"/>
  </r>
  <r>
    <x v="1"/>
    <x v="9"/>
    <x v="7"/>
    <n v="0.19431894819237502"/>
  </r>
  <r>
    <x v="1"/>
    <x v="10"/>
    <x v="0"/>
    <n v="0"/>
  </r>
  <r>
    <x v="1"/>
    <x v="10"/>
    <x v="1"/>
    <n v="0"/>
  </r>
  <r>
    <x v="1"/>
    <x v="10"/>
    <x v="2"/>
    <n v="0"/>
  </r>
  <r>
    <x v="1"/>
    <x v="10"/>
    <x v="3"/>
    <n v="255207.49"/>
  </r>
  <r>
    <x v="1"/>
    <x v="10"/>
    <x v="4"/>
    <n v="-255207.49"/>
  </r>
  <r>
    <x v="1"/>
    <x v="10"/>
    <x v="5"/>
    <n v="-788703.29434782604"/>
  </r>
  <r>
    <x v="1"/>
    <x v="10"/>
    <x v="6"/>
    <n v="0"/>
  </r>
  <r>
    <x v="1"/>
    <x v="10"/>
    <x v="7"/>
    <n v="0.18587029827096743"/>
  </r>
  <r>
    <x v="1"/>
    <x v="11"/>
    <x v="0"/>
    <n v="0"/>
  </r>
  <r>
    <x v="1"/>
    <x v="11"/>
    <x v="1"/>
    <n v="0"/>
  </r>
  <r>
    <x v="1"/>
    <x v="11"/>
    <x v="2"/>
    <n v="0"/>
  </r>
  <r>
    <x v="1"/>
    <x v="11"/>
    <x v="3"/>
    <n v="428770.89"/>
  </r>
  <r>
    <x v="1"/>
    <x v="11"/>
    <x v="4"/>
    <n v="-428770.89"/>
  </r>
  <r>
    <x v="1"/>
    <x v="11"/>
    <x v="5"/>
    <n v="-773706.11083333334"/>
  </r>
  <r>
    <x v="1"/>
    <x v="11"/>
    <x v="6"/>
    <n v="0"/>
  </r>
  <r>
    <x v="1"/>
    <x v="11"/>
    <x v="7"/>
    <n v="0.1781257025096771"/>
  </r>
  <r>
    <x v="1"/>
    <x v="12"/>
    <x v="0"/>
    <n v="0"/>
  </r>
  <r>
    <x v="1"/>
    <x v="12"/>
    <x v="1"/>
    <n v="0"/>
  </r>
  <r>
    <x v="1"/>
    <x v="12"/>
    <x v="2"/>
    <n v="0"/>
  </r>
  <r>
    <x v="1"/>
    <x v="12"/>
    <x v="3"/>
    <n v="358365.96"/>
  </r>
  <r>
    <x v="1"/>
    <x v="12"/>
    <x v="4"/>
    <n v="-358365.96"/>
  </r>
  <r>
    <x v="1"/>
    <x v="12"/>
    <x v="5"/>
    <n v="-757092.5048"/>
  </r>
  <r>
    <x v="1"/>
    <x v="12"/>
    <x v="6"/>
    <n v="0"/>
  </r>
  <r>
    <x v="1"/>
    <x v="12"/>
    <x v="7"/>
    <n v="0.17100067440929004"/>
  </r>
  <r>
    <x v="1"/>
    <x v="13"/>
    <x v="0"/>
    <n v="0"/>
  </r>
  <r>
    <x v="1"/>
    <x v="13"/>
    <x v="1"/>
    <n v="0"/>
  </r>
  <r>
    <x v="1"/>
    <x v="13"/>
    <x v="2"/>
    <n v="0"/>
  </r>
  <r>
    <x v="1"/>
    <x v="13"/>
    <x v="3"/>
    <n v="398490.66"/>
  </r>
  <r>
    <x v="1"/>
    <x v="13"/>
    <x v="4"/>
    <n v="-398490.66"/>
  </r>
  <r>
    <x v="1"/>
    <x v="13"/>
    <x v="5"/>
    <n v="-743300.12615384615"/>
  </r>
  <r>
    <x v="1"/>
    <x v="13"/>
    <x v="6"/>
    <n v="0"/>
  </r>
  <r>
    <x v="1"/>
    <x v="13"/>
    <x v="7"/>
    <n v="0.1644237253935481"/>
  </r>
  <r>
    <x v="1"/>
    <x v="14"/>
    <x v="0"/>
    <n v="0"/>
  </r>
  <r>
    <x v="1"/>
    <x v="14"/>
    <x v="1"/>
    <n v="0"/>
  </r>
  <r>
    <x v="1"/>
    <x v="14"/>
    <x v="2"/>
    <n v="0"/>
  </r>
  <r>
    <x v="1"/>
    <x v="14"/>
    <x v="3"/>
    <n v="365233.7"/>
  </r>
  <r>
    <x v="1"/>
    <x v="14"/>
    <x v="4"/>
    <n v="-365233.7"/>
  </r>
  <r>
    <x v="1"/>
    <x v="14"/>
    <x v="5"/>
    <n v="-729297.66592592595"/>
  </r>
  <r>
    <x v="1"/>
    <x v="14"/>
    <x v="6"/>
    <n v="0"/>
  </r>
  <r>
    <x v="1"/>
    <x v="14"/>
    <x v="7"/>
    <n v="0.15833395778637965"/>
  </r>
  <r>
    <x v="1"/>
    <x v="15"/>
    <x v="0"/>
    <n v="0"/>
  </r>
  <r>
    <x v="1"/>
    <x v="15"/>
    <x v="1"/>
    <n v="0"/>
  </r>
  <r>
    <x v="1"/>
    <x v="15"/>
    <x v="2"/>
    <n v="0"/>
  </r>
  <r>
    <x v="1"/>
    <x v="15"/>
    <x v="3"/>
    <n v="336289.09"/>
  </r>
  <r>
    <x v="1"/>
    <x v="15"/>
    <x v="4"/>
    <n v="-336289.09"/>
  </r>
  <r>
    <x v="1"/>
    <x v="15"/>
    <x v="5"/>
    <n v="-715261.6453571429"/>
  </r>
  <r>
    <x v="1"/>
    <x v="15"/>
    <x v="6"/>
    <n v="0"/>
  </r>
  <r>
    <x v="1"/>
    <x v="15"/>
    <x v="7"/>
    <n v="0.15267917357972324"/>
  </r>
  <r>
    <x v="1"/>
    <x v="16"/>
    <x v="0"/>
    <n v="0"/>
  </r>
  <r>
    <x v="1"/>
    <x v="16"/>
    <x v="1"/>
    <n v="0"/>
  </r>
  <r>
    <x v="1"/>
    <x v="16"/>
    <x v="2"/>
    <n v="0"/>
  </r>
  <r>
    <x v="1"/>
    <x v="16"/>
    <x v="3"/>
    <n v="379455.88"/>
  </r>
  <r>
    <x v="1"/>
    <x v="16"/>
    <x v="4"/>
    <n v="-379455.88"/>
  </r>
  <r>
    <x v="1"/>
    <x v="16"/>
    <x v="5"/>
    <n v="-703682.13620689651"/>
  </r>
  <r>
    <x v="1"/>
    <x v="16"/>
    <x v="6"/>
    <n v="0"/>
  </r>
  <r>
    <x v="1"/>
    <x v="16"/>
    <x v="7"/>
    <n v="0.14741437449076727"/>
  </r>
  <r>
    <x v="1"/>
    <x v="17"/>
    <x v="0"/>
    <n v="0"/>
  </r>
  <r>
    <x v="1"/>
    <x v="17"/>
    <x v="1"/>
    <n v="0"/>
  </r>
  <r>
    <x v="1"/>
    <x v="17"/>
    <x v="2"/>
    <n v="0"/>
  </r>
  <r>
    <x v="1"/>
    <x v="17"/>
    <x v="3"/>
    <n v="150991.6"/>
  </r>
  <r>
    <x v="1"/>
    <x v="17"/>
    <x v="4"/>
    <n v="-150991.6"/>
  </r>
  <r>
    <x v="1"/>
    <x v="17"/>
    <x v="5"/>
    <n v="-685259.1183333334"/>
  </r>
  <r>
    <x v="1"/>
    <x v="17"/>
    <x v="6"/>
    <n v="0"/>
  </r>
  <r>
    <x v="1"/>
    <x v="17"/>
    <x v="7"/>
    <n v="0.14250056200774169"/>
  </r>
  <r>
    <x v="1"/>
    <x v="18"/>
    <x v="0"/>
    <n v="0"/>
  </r>
  <r>
    <x v="1"/>
    <x v="18"/>
    <x v="1"/>
    <n v="0"/>
  </r>
  <r>
    <x v="1"/>
    <x v="18"/>
    <x v="2"/>
    <n v="0"/>
  </r>
  <r>
    <x v="1"/>
    <x v="18"/>
    <x v="3"/>
    <n v="176268.05"/>
  </r>
  <r>
    <x v="1"/>
    <x v="18"/>
    <x v="4"/>
    <n v="-176268.05"/>
  </r>
  <r>
    <x v="1"/>
    <x v="18"/>
    <x v="5"/>
    <n v="-668840.05161290325"/>
  </r>
  <r>
    <x v="1"/>
    <x v="18"/>
    <x v="6"/>
    <n v="0"/>
  </r>
  <r>
    <x v="1"/>
    <x v="18"/>
    <x v="7"/>
    <n v="0.1379037696849113"/>
  </r>
  <r>
    <x v="1"/>
    <x v="19"/>
    <x v="0"/>
    <n v="0"/>
  </r>
  <r>
    <x v="1"/>
    <x v="19"/>
    <x v="1"/>
    <n v="0"/>
  </r>
  <r>
    <x v="1"/>
    <x v="19"/>
    <x v="2"/>
    <n v="0"/>
  </r>
  <r>
    <x v="1"/>
    <x v="19"/>
    <x v="3"/>
    <n v="108423.88"/>
  </r>
  <r>
    <x v="1"/>
    <x v="19"/>
    <x v="4"/>
    <n v="-108423.88"/>
  </r>
  <r>
    <x v="1"/>
    <x v="19"/>
    <x v="5"/>
    <n v="-651327.04625000001"/>
  </r>
  <r>
    <x v="1"/>
    <x v="19"/>
    <x v="6"/>
    <n v="0"/>
  </r>
  <r>
    <x v="1"/>
    <x v="19"/>
    <x v="7"/>
    <n v="0.13359427688225783"/>
  </r>
  <r>
    <x v="1"/>
    <x v="20"/>
    <x v="0"/>
    <n v="0"/>
  </r>
  <r>
    <x v="1"/>
    <x v="20"/>
    <x v="1"/>
    <n v="0"/>
  </r>
  <r>
    <x v="1"/>
    <x v="20"/>
    <x v="2"/>
    <n v="0"/>
  </r>
  <r>
    <x v="1"/>
    <x v="20"/>
    <x v="3"/>
    <n v="20272.82"/>
  </r>
  <r>
    <x v="1"/>
    <x v="20"/>
    <x v="4"/>
    <n v="-20272.82"/>
  </r>
  <r>
    <x v="1"/>
    <x v="20"/>
    <x v="5"/>
    <n v="-632204.19090909092"/>
  </r>
  <r>
    <x v="1"/>
    <x v="20"/>
    <x v="6"/>
    <n v="0"/>
  </r>
  <r>
    <x v="1"/>
    <x v="20"/>
    <x v="7"/>
    <n v="0.12954596546158337"/>
  </r>
  <r>
    <x v="1"/>
    <x v="21"/>
    <x v="0"/>
    <n v="0"/>
  </r>
  <r>
    <x v="1"/>
    <x v="21"/>
    <x v="1"/>
    <n v="0"/>
  </r>
  <r>
    <x v="1"/>
    <x v="21"/>
    <x v="2"/>
    <n v="0"/>
  </r>
  <r>
    <x v="1"/>
    <x v="21"/>
    <x v="3"/>
    <n v="37839.269999999997"/>
  </r>
  <r>
    <x v="1"/>
    <x v="21"/>
    <x v="4"/>
    <n v="-37839.269999999997"/>
  </r>
  <r>
    <x v="1"/>
    <x v="21"/>
    <x v="5"/>
    <n v="-614722.86970588239"/>
  </r>
  <r>
    <x v="1"/>
    <x v="21"/>
    <x v="6"/>
    <n v="0"/>
  </r>
  <r>
    <x v="1"/>
    <x v="21"/>
    <x v="7"/>
    <n v="0.12573579000683091"/>
  </r>
  <r>
    <x v="1"/>
    <x v="22"/>
    <x v="0"/>
    <n v="0"/>
  </r>
  <r>
    <x v="1"/>
    <x v="22"/>
    <x v="1"/>
    <n v="0"/>
  </r>
  <r>
    <x v="1"/>
    <x v="22"/>
    <x v="2"/>
    <n v="0"/>
  </r>
  <r>
    <x v="1"/>
    <x v="22"/>
    <x v="3"/>
    <n v="25008.31"/>
  </r>
  <r>
    <x v="1"/>
    <x v="22"/>
    <x v="4"/>
    <n v="-25008.31"/>
  </r>
  <r>
    <x v="1"/>
    <x v="22"/>
    <x v="5"/>
    <n v="-597873.88228571427"/>
  </r>
  <r>
    <x v="1"/>
    <x v="22"/>
    <x v="6"/>
    <n v="0"/>
  </r>
  <r>
    <x v="1"/>
    <x v="22"/>
    <x v="7"/>
    <n v="0.12214333886377859"/>
  </r>
  <r>
    <x v="1"/>
    <x v="23"/>
    <x v="0"/>
    <n v="0"/>
  </r>
  <r>
    <x v="1"/>
    <x v="23"/>
    <x v="1"/>
    <n v="0"/>
  </r>
  <r>
    <x v="1"/>
    <x v="23"/>
    <x v="2"/>
    <n v="0"/>
  </r>
  <r>
    <x v="1"/>
    <x v="23"/>
    <x v="3"/>
    <n v="23018.02"/>
  </r>
  <r>
    <x v="1"/>
    <x v="23"/>
    <x v="4"/>
    <n v="-23018.02"/>
  </r>
  <r>
    <x v="1"/>
    <x v="23"/>
    <x v="5"/>
    <n v="-581905.6638888889"/>
  </r>
  <r>
    <x v="1"/>
    <x v="23"/>
    <x v="6"/>
    <n v="0"/>
  </r>
  <r>
    <x v="1"/>
    <x v="23"/>
    <x v="7"/>
    <n v="0.11875046833978474"/>
  </r>
  <r>
    <x v="1"/>
    <x v="24"/>
    <x v="0"/>
    <n v="0"/>
  </r>
  <r>
    <x v="1"/>
    <x v="24"/>
    <x v="1"/>
    <n v="0"/>
  </r>
  <r>
    <x v="1"/>
    <x v="24"/>
    <x v="2"/>
    <n v="0"/>
  </r>
  <r>
    <x v="1"/>
    <x v="24"/>
    <x v="3"/>
    <n v="18916.47"/>
  </r>
  <r>
    <x v="1"/>
    <x v="24"/>
    <x v="4"/>
    <n v="-18916.47"/>
  </r>
  <r>
    <x v="1"/>
    <x v="24"/>
    <x v="5"/>
    <n v="-566689.73972972971"/>
  </r>
  <r>
    <x v="1"/>
    <x v="24"/>
    <x v="6"/>
    <n v="0"/>
  </r>
  <r>
    <x v="1"/>
    <x v="24"/>
    <x v="7"/>
    <n v="0.11554099622249327"/>
  </r>
  <r>
    <x v="1"/>
    <x v="25"/>
    <x v="0"/>
    <n v="0"/>
  </r>
  <r>
    <x v="1"/>
    <x v="25"/>
    <x v="1"/>
    <n v="0"/>
  </r>
  <r>
    <x v="1"/>
    <x v="25"/>
    <x v="2"/>
    <n v="0"/>
  </r>
  <r>
    <x v="1"/>
    <x v="25"/>
    <x v="3"/>
    <n v="12943.98"/>
  </r>
  <r>
    <x v="1"/>
    <x v="25"/>
    <x v="4"/>
    <n v="-12943.98"/>
  </r>
  <r>
    <x v="1"/>
    <x v="25"/>
    <x v="5"/>
    <n v="-552117.48289473681"/>
  </r>
  <r>
    <x v="1"/>
    <x v="25"/>
    <x v="6"/>
    <n v="0"/>
  </r>
  <r>
    <x v="1"/>
    <x v="25"/>
    <x v="7"/>
    <n v="0.11250044369032239"/>
  </r>
  <r>
    <x v="1"/>
    <x v="26"/>
    <x v="0"/>
    <n v="0"/>
  </r>
  <r>
    <x v="1"/>
    <x v="26"/>
    <x v="1"/>
    <n v="0"/>
  </r>
  <r>
    <x v="1"/>
    <x v="26"/>
    <x v="2"/>
    <n v="0"/>
  </r>
  <r>
    <x v="1"/>
    <x v="26"/>
    <x v="3"/>
    <n v="10277.48"/>
  </r>
  <r>
    <x v="1"/>
    <x v="26"/>
    <x v="4"/>
    <n v="-10277.48"/>
  </r>
  <r>
    <x v="1"/>
    <x v="26"/>
    <x v="5"/>
    <n v="-538224.14948717947"/>
  </r>
  <r>
    <x v="1"/>
    <x v="26"/>
    <x v="6"/>
    <n v="0"/>
  </r>
  <r>
    <x v="1"/>
    <x v="26"/>
    <x v="7"/>
    <n v="0.10961581692903206"/>
  </r>
  <r>
    <x v="1"/>
    <x v="27"/>
    <x v="0"/>
    <n v="0"/>
  </r>
  <r>
    <x v="1"/>
    <x v="27"/>
    <x v="1"/>
    <n v="0"/>
  </r>
  <r>
    <x v="1"/>
    <x v="27"/>
    <x v="2"/>
    <n v="0"/>
  </r>
  <r>
    <x v="1"/>
    <x v="27"/>
    <x v="3"/>
    <n v="6854.07"/>
  </r>
  <r>
    <x v="1"/>
    <x v="27"/>
    <x v="4"/>
    <n v="-6854.07"/>
  </r>
  <r>
    <x v="1"/>
    <x v="27"/>
    <x v="5"/>
    <n v="-524939.89749999996"/>
  </r>
  <r>
    <x v="1"/>
    <x v="27"/>
    <x v="6"/>
    <n v="0"/>
  </r>
  <r>
    <x v="1"/>
    <x v="27"/>
    <x v="7"/>
    <n v="0.10687542150580627"/>
  </r>
  <r>
    <x v="2"/>
    <x v="16"/>
    <x v="0"/>
    <n v="0"/>
  </r>
  <r>
    <x v="2"/>
    <x v="16"/>
    <x v="1"/>
    <n v="493410.63"/>
  </r>
  <r>
    <x v="2"/>
    <x v="16"/>
    <x v="2"/>
    <n v="0"/>
  </r>
  <r>
    <x v="2"/>
    <x v="16"/>
    <x v="3"/>
    <n v="637053.76"/>
  </r>
  <r>
    <x v="2"/>
    <x v="16"/>
    <x v="4"/>
    <n v="-143643.13"/>
  </r>
  <r>
    <x v="2"/>
    <x v="16"/>
    <x v="5"/>
    <n v="694419.24"/>
  </r>
  <r>
    <x v="2"/>
    <x v="16"/>
    <x v="6"/>
    <n v="0.77451961040148321"/>
  </r>
  <r>
    <x v="2"/>
    <x v="16"/>
    <x v="7"/>
    <n v="2.1086693883660885"/>
  </r>
  <r>
    <x v="2"/>
    <x v="17"/>
    <x v="0"/>
    <n v="0"/>
  </r>
  <r>
    <x v="2"/>
    <x v="17"/>
    <x v="1"/>
    <n v="831222.47"/>
  </r>
  <r>
    <x v="2"/>
    <x v="17"/>
    <x v="2"/>
    <n v="0"/>
  </r>
  <r>
    <x v="2"/>
    <x v="17"/>
    <x v="3"/>
    <n v="1156842.19"/>
  </r>
  <r>
    <x v="2"/>
    <x v="17"/>
    <x v="4"/>
    <n v="-325619.71999999997"/>
  </r>
  <r>
    <x v="2"/>
    <x v="17"/>
    <x v="5"/>
    <n v="-234631.42499999999"/>
  </r>
  <r>
    <x v="2"/>
    <x v="17"/>
    <x v="6"/>
    <n v="0.71852710523982533"/>
  </r>
  <r>
    <x v="2"/>
    <x v="17"/>
    <x v="7"/>
    <n v="0.74652335782065427"/>
  </r>
  <r>
    <x v="2"/>
    <x v="18"/>
    <x v="0"/>
    <n v="0"/>
  </r>
  <r>
    <x v="2"/>
    <x v="18"/>
    <x v="1"/>
    <n v="229516.7"/>
  </r>
  <r>
    <x v="2"/>
    <x v="18"/>
    <x v="2"/>
    <n v="0"/>
  </r>
  <r>
    <x v="2"/>
    <x v="18"/>
    <x v="3"/>
    <n v="988239.05"/>
  </r>
  <r>
    <x v="2"/>
    <x v="18"/>
    <x v="4"/>
    <n v="-758722.35000000009"/>
  </r>
  <r>
    <x v="2"/>
    <x v="18"/>
    <x v="5"/>
    <n v="-409328.40000000008"/>
  </r>
  <r>
    <x v="2"/>
    <x v="18"/>
    <x v="6"/>
    <n v="0.23224815898541956"/>
  </r>
  <r>
    <x v="2"/>
    <x v="18"/>
    <x v="7"/>
    <n v="0.57509829154224268"/>
  </r>
  <r>
    <x v="2"/>
    <x v="19"/>
    <x v="0"/>
    <n v="0"/>
  </r>
  <r>
    <x v="2"/>
    <x v="19"/>
    <x v="1"/>
    <n v="314892.83"/>
  </r>
  <r>
    <x v="2"/>
    <x v="19"/>
    <x v="2"/>
    <n v="0"/>
  </r>
  <r>
    <x v="2"/>
    <x v="19"/>
    <x v="3"/>
    <n v="859263.21"/>
  </r>
  <r>
    <x v="2"/>
    <x v="19"/>
    <x v="4"/>
    <n v="-544370.37999999989"/>
  </r>
  <r>
    <x v="2"/>
    <x v="19"/>
    <x v="5"/>
    <n v="-443088.89500000002"/>
  </r>
  <r>
    <x v="2"/>
    <x v="19"/>
    <x v="6"/>
    <n v="0.36646841891438597"/>
  </r>
  <r>
    <x v="2"/>
    <x v="19"/>
    <x v="7"/>
    <n v="0.52294082338527847"/>
  </r>
  <r>
    <x v="2"/>
    <x v="20"/>
    <x v="0"/>
    <n v="0"/>
  </r>
  <r>
    <x v="2"/>
    <x v="20"/>
    <x v="1"/>
    <n v="378061.31"/>
  </r>
  <r>
    <x v="2"/>
    <x v="20"/>
    <x v="2"/>
    <n v="0"/>
  </r>
  <r>
    <x v="2"/>
    <x v="20"/>
    <x v="3"/>
    <n v="723404.44"/>
  </r>
  <r>
    <x v="2"/>
    <x v="20"/>
    <x v="4"/>
    <n v="-345343.12999999995"/>
  </r>
  <r>
    <x v="2"/>
    <x v="20"/>
    <x v="5"/>
    <n v="-423539.74199999997"/>
  </r>
  <r>
    <x v="2"/>
    <x v="20"/>
    <x v="6"/>
    <n v="0.52261403040324172"/>
  </r>
  <r>
    <x v="2"/>
    <x v="20"/>
    <x v="7"/>
    <n v="0.52287546478887115"/>
  </r>
  <r>
    <x v="2"/>
    <x v="21"/>
    <x v="0"/>
    <n v="0"/>
  </r>
  <r>
    <x v="2"/>
    <x v="21"/>
    <x v="1"/>
    <n v="0"/>
  </r>
  <r>
    <x v="2"/>
    <x v="21"/>
    <x v="2"/>
    <n v="0"/>
  </r>
  <r>
    <x v="2"/>
    <x v="21"/>
    <x v="3"/>
    <n v="801850.14"/>
  </r>
  <r>
    <x v="2"/>
    <x v="21"/>
    <x v="4"/>
    <n v="-801850.14"/>
  </r>
  <r>
    <x v="2"/>
    <x v="21"/>
    <x v="5"/>
    <n v="-486591.47500000003"/>
  </r>
  <r>
    <x v="2"/>
    <x v="21"/>
    <x v="6"/>
    <n v="0"/>
  </r>
  <r>
    <x v="2"/>
    <x v="21"/>
    <x v="7"/>
    <n v="0.43572955399072594"/>
  </r>
  <r>
    <x v="2"/>
    <x v="22"/>
    <x v="0"/>
    <n v="0"/>
  </r>
  <r>
    <x v="2"/>
    <x v="22"/>
    <x v="1"/>
    <n v="313227.59000000003"/>
  </r>
  <r>
    <x v="2"/>
    <x v="22"/>
    <x v="2"/>
    <n v="0"/>
  </r>
  <r>
    <x v="2"/>
    <x v="22"/>
    <x v="3"/>
    <n v="1001362.11"/>
  </r>
  <r>
    <x v="2"/>
    <x v="22"/>
    <x v="4"/>
    <n v="-688134.52"/>
  </r>
  <r>
    <x v="2"/>
    <x v="22"/>
    <x v="5"/>
    <n v="-515383.33857142861"/>
  </r>
  <r>
    <x v="2"/>
    <x v="22"/>
    <x v="6"/>
    <n v="0.31280151992169947"/>
  </r>
  <r>
    <x v="2"/>
    <x v="22"/>
    <x v="7"/>
    <n v="0.41816840626657925"/>
  </r>
  <r>
    <x v="2"/>
    <x v="23"/>
    <x v="0"/>
    <n v="0"/>
  </r>
  <r>
    <x v="2"/>
    <x v="23"/>
    <x v="1"/>
    <n v="0"/>
  </r>
  <r>
    <x v="2"/>
    <x v="23"/>
    <x v="2"/>
    <n v="0"/>
  </r>
  <r>
    <x v="2"/>
    <x v="23"/>
    <x v="3"/>
    <n v="1549221.78"/>
  </r>
  <r>
    <x v="2"/>
    <x v="23"/>
    <x v="4"/>
    <n v="-1549221.78"/>
  </r>
  <r>
    <x v="2"/>
    <x v="23"/>
    <x v="5"/>
    <n v="-644613.14375000005"/>
  </r>
  <r>
    <x v="2"/>
    <x v="23"/>
    <x v="6"/>
    <n v="0"/>
  </r>
  <r>
    <x v="2"/>
    <x v="23"/>
    <x v="7"/>
    <n v="0.36589735548325686"/>
  </r>
  <r>
    <x v="2"/>
    <x v="24"/>
    <x v="0"/>
    <n v="0"/>
  </r>
  <r>
    <x v="2"/>
    <x v="24"/>
    <x v="1"/>
    <n v="528249.98"/>
  </r>
  <r>
    <x v="2"/>
    <x v="24"/>
    <x v="2"/>
    <n v="0"/>
  </r>
  <r>
    <x v="2"/>
    <x v="24"/>
    <x v="3"/>
    <n v="1970225.81"/>
  </r>
  <r>
    <x v="2"/>
    <x v="24"/>
    <x v="4"/>
    <n v="-1441975.83"/>
  </r>
  <r>
    <x v="2"/>
    <x v="24"/>
    <x v="5"/>
    <n v="-733208.99777777784"/>
  </r>
  <r>
    <x v="2"/>
    <x v="24"/>
    <x v="6"/>
    <n v="0.26811646528983396"/>
  </r>
  <r>
    <x v="2"/>
    <x v="24"/>
    <x v="7"/>
    <n v="0.35503281212843207"/>
  </r>
  <r>
    <x v="2"/>
    <x v="25"/>
    <x v="0"/>
    <n v="0"/>
  </r>
  <r>
    <x v="2"/>
    <x v="25"/>
    <x v="1"/>
    <n v="0"/>
  </r>
  <r>
    <x v="2"/>
    <x v="25"/>
    <x v="2"/>
    <n v="0"/>
  </r>
  <r>
    <x v="2"/>
    <x v="25"/>
    <x v="3"/>
    <n v="1390183.58"/>
  </r>
  <r>
    <x v="2"/>
    <x v="25"/>
    <x v="4"/>
    <n v="-1390183.58"/>
  </r>
  <r>
    <x v="2"/>
    <x v="25"/>
    <x v="5"/>
    <n v="-798906.45600000001"/>
  </r>
  <r>
    <x v="2"/>
    <x v="25"/>
    <x v="6"/>
    <n v="0"/>
  </r>
  <r>
    <x v="2"/>
    <x v="25"/>
    <x v="7"/>
    <n v="0.31952953091558889"/>
  </r>
  <r>
    <x v="2"/>
    <x v="26"/>
    <x v="0"/>
    <n v="0"/>
  </r>
  <r>
    <x v="2"/>
    <x v="26"/>
    <x v="1"/>
    <n v="434622.68"/>
  </r>
  <r>
    <x v="2"/>
    <x v="26"/>
    <x v="2"/>
    <n v="0"/>
  </r>
  <r>
    <x v="2"/>
    <x v="26"/>
    <x v="3"/>
    <n v="1391914.6"/>
  </r>
  <r>
    <x v="2"/>
    <x v="26"/>
    <x v="4"/>
    <n v="-957291.92000000016"/>
  </r>
  <r>
    <x v="2"/>
    <x v="26"/>
    <x v="5"/>
    <n v="-813305.13454545464"/>
  </r>
  <r>
    <x v="2"/>
    <x v="26"/>
    <x v="6"/>
    <n v="0.31224809338159104"/>
  </r>
  <r>
    <x v="2"/>
    <x v="26"/>
    <x v="7"/>
    <n v="0.31886758204886179"/>
  </r>
  <r>
    <x v="2"/>
    <x v="27"/>
    <x v="0"/>
    <n v="0"/>
  </r>
  <r>
    <x v="2"/>
    <x v="27"/>
    <x v="1"/>
    <n v="0"/>
  </r>
  <r>
    <x v="2"/>
    <x v="27"/>
    <x v="2"/>
    <n v="0"/>
  </r>
  <r>
    <x v="2"/>
    <x v="27"/>
    <x v="3"/>
    <n v="1510960.18"/>
  </r>
  <r>
    <x v="2"/>
    <x v="27"/>
    <x v="4"/>
    <n v="-1510960.18"/>
  </r>
  <r>
    <x v="2"/>
    <x v="27"/>
    <x v="5"/>
    <n v="-871443.05500000005"/>
  </r>
  <r>
    <x v="2"/>
    <x v="27"/>
    <x v="6"/>
    <n v="0"/>
  </r>
  <r>
    <x v="2"/>
    <x v="27"/>
    <x v="7"/>
    <n v="0.29229528354479001"/>
  </r>
  <r>
    <x v="3"/>
    <x v="22"/>
    <x v="0"/>
    <n v="0"/>
  </r>
  <r>
    <x v="3"/>
    <x v="22"/>
    <x v="1"/>
    <n v="513271.28"/>
  </r>
  <r>
    <x v="3"/>
    <x v="22"/>
    <x v="2"/>
    <n v="0"/>
  </r>
  <r>
    <x v="3"/>
    <x v="22"/>
    <x v="3"/>
    <n v="44591.73"/>
  </r>
  <r>
    <x v="3"/>
    <x v="22"/>
    <x v="4"/>
    <n v="468679.55000000005"/>
  </r>
  <r>
    <x v="3"/>
    <x v="22"/>
    <x v="5"/>
    <n v="667080.07999999996"/>
  </r>
  <r>
    <x v="3"/>
    <x v="22"/>
    <x v="6"/>
    <n v="11.510459002151295"/>
  </r>
  <r>
    <x v="3"/>
    <x v="22"/>
    <x v="7"/>
    <n v="16.09485718630339"/>
  </r>
  <r>
    <x v="3"/>
    <x v="23"/>
    <x v="0"/>
    <n v="0"/>
  </r>
  <r>
    <x v="3"/>
    <x v="23"/>
    <x v="1"/>
    <n v="272968.38"/>
  </r>
  <r>
    <x v="3"/>
    <x v="23"/>
    <x v="2"/>
    <n v="0"/>
  </r>
  <r>
    <x v="3"/>
    <x v="23"/>
    <x v="3"/>
    <n v="141464.26999999999"/>
  </r>
  <r>
    <x v="3"/>
    <x v="23"/>
    <x v="4"/>
    <n v="131504.11000000002"/>
  </r>
  <r>
    <x v="3"/>
    <x v="23"/>
    <x v="5"/>
    <n v="300091.83"/>
  </r>
  <r>
    <x v="3"/>
    <x v="23"/>
    <x v="6"/>
    <n v="1.9295923981369998"/>
  </r>
  <r>
    <x v="3"/>
    <x v="23"/>
    <x v="7"/>
    <n v="6.7200257001441477"/>
  </r>
  <r>
    <x v="3"/>
    <x v="24"/>
    <x v="0"/>
    <n v="0"/>
  </r>
  <r>
    <x v="3"/>
    <x v="24"/>
    <x v="1"/>
    <n v="1245070.1599999999"/>
  </r>
  <r>
    <x v="3"/>
    <x v="24"/>
    <x v="2"/>
    <n v="0"/>
  </r>
  <r>
    <x v="3"/>
    <x v="24"/>
    <x v="3"/>
    <n v="323888.5"/>
  </r>
  <r>
    <x v="3"/>
    <x v="24"/>
    <x v="4"/>
    <n v="921181.65999999992"/>
  </r>
  <r>
    <x v="3"/>
    <x v="24"/>
    <x v="5"/>
    <n v="507121.77333333326"/>
  </r>
  <r>
    <x v="3"/>
    <x v="24"/>
    <x v="6"/>
    <n v="3.8441320392665994"/>
  </r>
  <r>
    <x v="3"/>
    <x v="24"/>
    <x v="7"/>
    <n v="5.7613944798516314"/>
  </r>
  <r>
    <x v="3"/>
    <x v="25"/>
    <x v="0"/>
    <n v="0"/>
  </r>
  <r>
    <x v="3"/>
    <x v="25"/>
    <x v="1"/>
    <n v="465160.57"/>
  </r>
  <r>
    <x v="3"/>
    <x v="25"/>
    <x v="2"/>
    <n v="0"/>
  </r>
  <r>
    <x v="3"/>
    <x v="25"/>
    <x v="3"/>
    <n v="766215.26"/>
  </r>
  <r>
    <x v="3"/>
    <x v="25"/>
    <x v="4"/>
    <n v="-301054.69"/>
  </r>
  <r>
    <x v="3"/>
    <x v="25"/>
    <x v="5"/>
    <n v="305077.65749999997"/>
  </r>
  <r>
    <x v="3"/>
    <x v="25"/>
    <x v="6"/>
    <n v="0.60708862676527742"/>
  </r>
  <r>
    <x v="3"/>
    <x v="25"/>
    <x v="7"/>
    <n v="4.4728180165800433"/>
  </r>
  <r>
    <x v="3"/>
    <x v="26"/>
    <x v="0"/>
    <n v="0"/>
  </r>
  <r>
    <x v="3"/>
    <x v="26"/>
    <x v="1"/>
    <n v="919179.34"/>
  </r>
  <r>
    <x v="3"/>
    <x v="26"/>
    <x v="2"/>
    <n v="0"/>
  </r>
  <r>
    <x v="3"/>
    <x v="26"/>
    <x v="3"/>
    <n v="1452218.3"/>
  </r>
  <r>
    <x v="3"/>
    <x v="26"/>
    <x v="4"/>
    <n v="-533038.96000000008"/>
  </r>
  <r>
    <x v="3"/>
    <x v="26"/>
    <x v="5"/>
    <n v="137454.33399999997"/>
  </r>
  <r>
    <x v="3"/>
    <x v="26"/>
    <x v="6"/>
    <n v="0.63294846236271773"/>
  </r>
  <r>
    <x v="3"/>
    <x v="26"/>
    <x v="7"/>
    <n v="3.7048441057365777"/>
  </r>
  <r>
    <x v="3"/>
    <x v="27"/>
    <x v="0"/>
    <n v="0"/>
  </r>
  <r>
    <x v="3"/>
    <x v="27"/>
    <x v="1"/>
    <n v="793792.24"/>
  </r>
  <r>
    <x v="3"/>
    <x v="27"/>
    <x v="2"/>
    <n v="0"/>
  </r>
  <r>
    <x v="3"/>
    <x v="27"/>
    <x v="3"/>
    <n v="1028338.02"/>
  </r>
  <r>
    <x v="3"/>
    <x v="27"/>
    <x v="4"/>
    <n v="-234545.78000000003"/>
  </r>
  <r>
    <x v="3"/>
    <x v="27"/>
    <x v="5"/>
    <n v="75454.314999999959"/>
  </r>
  <r>
    <x v="3"/>
    <x v="27"/>
    <x v="6"/>
    <n v="0.77191762296214617"/>
  </r>
  <r>
    <x v="3"/>
    <x v="27"/>
    <x v="7"/>
    <n v="3.2160230252741724"/>
  </r>
  <r>
    <x v="4"/>
    <x v="9"/>
    <x v="0"/>
    <n v="0"/>
  </r>
  <r>
    <x v="4"/>
    <x v="9"/>
    <x v="1"/>
    <n v="928463.72"/>
  </r>
  <r>
    <x v="4"/>
    <x v="9"/>
    <x v="2"/>
    <n v="0"/>
  </r>
  <r>
    <x v="4"/>
    <x v="9"/>
    <x v="3"/>
    <n v="125082.76"/>
  </r>
  <r>
    <x v="4"/>
    <x v="9"/>
    <x v="4"/>
    <n v="803380.96"/>
  </r>
  <r>
    <x v="4"/>
    <x v="9"/>
    <x v="5"/>
    <n v="1299320.07"/>
  </r>
  <r>
    <x v="4"/>
    <x v="9"/>
    <x v="6"/>
    <n v="7.4227952757038622"/>
  </r>
  <r>
    <x v="4"/>
    <x v="9"/>
    <x v="7"/>
    <n v="11.387683082784552"/>
  </r>
  <r>
    <x v="4"/>
    <x v="10"/>
    <x v="0"/>
    <n v="0"/>
  </r>
  <r>
    <x v="4"/>
    <x v="10"/>
    <x v="1"/>
    <n v="0"/>
  </r>
  <r>
    <x v="4"/>
    <x v="10"/>
    <x v="2"/>
    <n v="0"/>
  </r>
  <r>
    <x v="4"/>
    <x v="10"/>
    <x v="3"/>
    <n v="176631.93"/>
  </r>
  <r>
    <x v="4"/>
    <x v="10"/>
    <x v="4"/>
    <n v="-176631.93"/>
  </r>
  <r>
    <x v="4"/>
    <x v="10"/>
    <x v="5"/>
    <n v="313374.51500000001"/>
  </r>
  <r>
    <x v="4"/>
    <x v="10"/>
    <x v="6"/>
    <n v="0"/>
  </r>
  <r>
    <x v="4"/>
    <x v="10"/>
    <x v="7"/>
    <n v="3.7113976378519311"/>
  </r>
  <r>
    <x v="4"/>
    <x v="11"/>
    <x v="0"/>
    <n v="0"/>
  </r>
  <r>
    <x v="4"/>
    <x v="11"/>
    <x v="1"/>
    <n v="0"/>
  </r>
  <r>
    <x v="4"/>
    <x v="11"/>
    <x v="2"/>
    <n v="0"/>
  </r>
  <r>
    <x v="4"/>
    <x v="11"/>
    <x v="3"/>
    <n v="516500.31"/>
  </r>
  <r>
    <x v="4"/>
    <x v="11"/>
    <x v="4"/>
    <n v="-516500.31"/>
  </r>
  <r>
    <x v="4"/>
    <x v="11"/>
    <x v="5"/>
    <n v="36749.573333333341"/>
  </r>
  <r>
    <x v="4"/>
    <x v="11"/>
    <x v="6"/>
    <n v="0"/>
  </r>
  <r>
    <x v="4"/>
    <x v="11"/>
    <x v="7"/>
    <n v="2.4742650919012874"/>
  </r>
  <r>
    <x v="4"/>
    <x v="12"/>
    <x v="0"/>
    <n v="0"/>
  </r>
  <r>
    <x v="4"/>
    <x v="12"/>
    <x v="1"/>
    <n v="236708.67"/>
  </r>
  <r>
    <x v="4"/>
    <x v="12"/>
    <x v="2"/>
    <n v="0"/>
  </r>
  <r>
    <x v="4"/>
    <x v="12"/>
    <x v="3"/>
    <n v="908216.4"/>
  </r>
  <r>
    <x v="4"/>
    <x v="12"/>
    <x v="4"/>
    <n v="-671507.73"/>
  </r>
  <r>
    <x v="4"/>
    <x v="12"/>
    <x v="5"/>
    <n v="-140314.7525"/>
  </r>
  <r>
    <x v="4"/>
    <x v="12"/>
    <x v="6"/>
    <n v="0.26063025287805858"/>
  </r>
  <r>
    <x v="4"/>
    <x v="12"/>
    <x v="7"/>
    <n v="1.9208563821454803"/>
  </r>
  <r>
    <x v="4"/>
    <x v="13"/>
    <x v="0"/>
    <n v="0"/>
  </r>
  <r>
    <x v="4"/>
    <x v="13"/>
    <x v="1"/>
    <n v="273233.02"/>
  </r>
  <r>
    <x v="4"/>
    <x v="13"/>
    <x v="2"/>
    <n v="0"/>
  </r>
  <r>
    <x v="4"/>
    <x v="13"/>
    <x v="3"/>
    <n v="792588.01"/>
  </r>
  <r>
    <x v="4"/>
    <x v="13"/>
    <x v="4"/>
    <n v="-519354.99"/>
  </r>
  <r>
    <x v="4"/>
    <x v="13"/>
    <x v="5"/>
    <n v="-216122.8"/>
  </r>
  <r>
    <x v="4"/>
    <x v="13"/>
    <x v="6"/>
    <n v="0.34473524271455991"/>
  </r>
  <r>
    <x v="4"/>
    <x v="13"/>
    <x v="7"/>
    <n v="1.6056321542592962"/>
  </r>
  <r>
    <x v="4"/>
    <x v="14"/>
    <x v="0"/>
    <n v="0"/>
  </r>
  <r>
    <x v="4"/>
    <x v="14"/>
    <x v="1"/>
    <n v="0"/>
  </r>
  <r>
    <x v="4"/>
    <x v="14"/>
    <x v="2"/>
    <n v="0"/>
  </r>
  <r>
    <x v="4"/>
    <x v="14"/>
    <x v="3"/>
    <n v="683596.76"/>
  </r>
  <r>
    <x v="4"/>
    <x v="14"/>
    <x v="4"/>
    <n v="-683596.76"/>
  </r>
  <r>
    <x v="4"/>
    <x v="14"/>
    <x v="5"/>
    <n v="-294035.12666666665"/>
  </r>
  <r>
    <x v="4"/>
    <x v="14"/>
    <x v="6"/>
    <n v="0"/>
  </r>
  <r>
    <x v="4"/>
    <x v="14"/>
    <x v="7"/>
    <n v="1.33802679521608"/>
  </r>
  <r>
    <x v="4"/>
    <x v="15"/>
    <x v="0"/>
    <n v="0"/>
  </r>
  <r>
    <x v="4"/>
    <x v="15"/>
    <x v="1"/>
    <n v="0"/>
  </r>
  <r>
    <x v="4"/>
    <x v="15"/>
    <x v="2"/>
    <n v="0"/>
  </r>
  <r>
    <x v="4"/>
    <x v="15"/>
    <x v="3"/>
    <n v="394301.22"/>
  </r>
  <r>
    <x v="4"/>
    <x v="15"/>
    <x v="4"/>
    <n v="-394301.22"/>
  </r>
  <r>
    <x v="4"/>
    <x v="15"/>
    <x v="5"/>
    <n v="-308358.85428571427"/>
  </r>
  <r>
    <x v="4"/>
    <x v="15"/>
    <x v="6"/>
    <n v="0"/>
  </r>
  <r>
    <x v="4"/>
    <x v="15"/>
    <x v="7"/>
    <n v="1.1468801101852115"/>
  </r>
  <r>
    <x v="4"/>
    <x v="16"/>
    <x v="0"/>
    <n v="0"/>
  </r>
  <r>
    <x v="4"/>
    <x v="16"/>
    <x v="1"/>
    <n v="504350.63"/>
  </r>
  <r>
    <x v="4"/>
    <x v="16"/>
    <x v="2"/>
    <n v="0"/>
  </r>
  <r>
    <x v="4"/>
    <x v="16"/>
    <x v="3"/>
    <n v="1747112.26"/>
  </r>
  <r>
    <x v="4"/>
    <x v="16"/>
    <x v="4"/>
    <n v="-1242761.6299999999"/>
  </r>
  <r>
    <x v="4"/>
    <x v="16"/>
    <x v="5"/>
    <n v="-425159.20124999998"/>
  </r>
  <r>
    <x v="4"/>
    <x v="16"/>
    <x v="6"/>
    <n v="0.28867671617163282"/>
  </r>
  <r>
    <x v="4"/>
    <x v="16"/>
    <x v="7"/>
    <n v="1.0396046859335142"/>
  </r>
  <r>
    <x v="4"/>
    <x v="17"/>
    <x v="0"/>
    <n v="0"/>
  </r>
  <r>
    <x v="4"/>
    <x v="17"/>
    <x v="1"/>
    <n v="249520.85"/>
  </r>
  <r>
    <x v="4"/>
    <x v="17"/>
    <x v="2"/>
    <n v="0"/>
  </r>
  <r>
    <x v="4"/>
    <x v="17"/>
    <x v="3"/>
    <n v="1425549.99"/>
  </r>
  <r>
    <x v="4"/>
    <x v="17"/>
    <x v="4"/>
    <n v="-1176029.1399999999"/>
  </r>
  <r>
    <x v="4"/>
    <x v="17"/>
    <x v="5"/>
    <n v="-508589.19444444444"/>
  </r>
  <r>
    <x v="4"/>
    <x v="17"/>
    <x v="6"/>
    <n v="0.17503479481628001"/>
  </r>
  <r>
    <x v="4"/>
    <x v="17"/>
    <x v="7"/>
    <n v="0.94354136469826599"/>
  </r>
  <r>
    <x v="4"/>
    <x v="18"/>
    <x v="0"/>
    <n v="0"/>
  </r>
  <r>
    <x v="4"/>
    <x v="18"/>
    <x v="1"/>
    <n v="315799.90000000002"/>
  </r>
  <r>
    <x v="4"/>
    <x v="18"/>
    <x v="2"/>
    <n v="0"/>
  </r>
  <r>
    <x v="4"/>
    <x v="18"/>
    <x v="3"/>
    <n v="976232.98"/>
  </r>
  <r>
    <x v="4"/>
    <x v="18"/>
    <x v="4"/>
    <n v="-660433.07999999996"/>
  </r>
  <r>
    <x v="4"/>
    <x v="18"/>
    <x v="5"/>
    <n v="-523773.58299999998"/>
  </r>
  <r>
    <x v="4"/>
    <x v="18"/>
    <x v="6"/>
    <n v="0.32348825174908558"/>
  </r>
  <r>
    <x v="4"/>
    <x v="18"/>
    <x v="7"/>
    <n v="0.88153605340334784"/>
  </r>
  <r>
    <x v="4"/>
    <x v="19"/>
    <x v="0"/>
    <n v="0"/>
  </r>
  <r>
    <x v="4"/>
    <x v="19"/>
    <x v="1"/>
    <n v="165252.20000000001"/>
  </r>
  <r>
    <x v="4"/>
    <x v="19"/>
    <x v="2"/>
    <n v="0"/>
  </r>
  <r>
    <x v="4"/>
    <x v="19"/>
    <x v="3"/>
    <n v="1392195.74"/>
  </r>
  <r>
    <x v="4"/>
    <x v="19"/>
    <x v="4"/>
    <n v="-1226943.54"/>
  </r>
  <r>
    <x v="4"/>
    <x v="19"/>
    <x v="5"/>
    <n v="-587698.12454545451"/>
  </r>
  <r>
    <x v="4"/>
    <x v="19"/>
    <x v="6"/>
    <n v="0.11869896972964449"/>
  </r>
  <r>
    <x v="4"/>
    <x v="19"/>
    <x v="7"/>
    <n v="0.81218722761482942"/>
  </r>
  <r>
    <x v="4"/>
    <x v="20"/>
    <x v="0"/>
    <n v="0"/>
  </r>
  <r>
    <x v="4"/>
    <x v="20"/>
    <x v="1"/>
    <n v="200573.37"/>
  </r>
  <r>
    <x v="4"/>
    <x v="20"/>
    <x v="2"/>
    <n v="0"/>
  </r>
  <r>
    <x v="4"/>
    <x v="20"/>
    <x v="3"/>
    <n v="1270680.1599999999"/>
  </r>
  <r>
    <x v="4"/>
    <x v="20"/>
    <x v="4"/>
    <n v="-1070106.79"/>
  </r>
  <r>
    <x v="4"/>
    <x v="20"/>
    <x v="5"/>
    <n v="-627898.84666666668"/>
  </r>
  <r>
    <x v="4"/>
    <x v="20"/>
    <x v="6"/>
    <n v="0.1578472508770421"/>
  </r>
  <r>
    <x v="4"/>
    <x v="20"/>
    <x v="7"/>
    <n v="0.75765889622001381"/>
  </r>
  <r>
    <x v="4"/>
    <x v="21"/>
    <x v="0"/>
    <n v="0"/>
  </r>
  <r>
    <x v="4"/>
    <x v="21"/>
    <x v="1"/>
    <n v="0"/>
  </r>
  <r>
    <x v="4"/>
    <x v="21"/>
    <x v="2"/>
    <n v="0"/>
  </r>
  <r>
    <x v="4"/>
    <x v="21"/>
    <x v="3"/>
    <n v="1289678.3600000001"/>
  </r>
  <r>
    <x v="4"/>
    <x v="21"/>
    <x v="4"/>
    <n v="-1289678.3600000001"/>
  </r>
  <r>
    <x v="4"/>
    <x v="21"/>
    <x v="5"/>
    <n v="-678804.96307692304"/>
  </r>
  <r>
    <x v="4"/>
    <x v="21"/>
    <x v="6"/>
    <n v="0"/>
  </r>
  <r>
    <x v="4"/>
    <x v="21"/>
    <x v="7"/>
    <n v="0.69937744266462809"/>
  </r>
  <r>
    <x v="4"/>
    <x v="22"/>
    <x v="0"/>
    <n v="0"/>
  </r>
  <r>
    <x v="4"/>
    <x v="22"/>
    <x v="1"/>
    <n v="311984.76"/>
  </r>
  <r>
    <x v="4"/>
    <x v="22"/>
    <x v="2"/>
    <n v="0"/>
  </r>
  <r>
    <x v="4"/>
    <x v="22"/>
    <x v="3"/>
    <n v="1484541.36"/>
  </r>
  <r>
    <x v="4"/>
    <x v="22"/>
    <x v="4"/>
    <n v="-1172556.6000000001"/>
  </r>
  <r>
    <x v="4"/>
    <x v="22"/>
    <x v="5"/>
    <n v="-714072.93714285712"/>
  </r>
  <r>
    <x v="4"/>
    <x v="22"/>
    <x v="6"/>
    <n v="0.21015565372998432"/>
  </r>
  <r>
    <x v="4"/>
    <x v="22"/>
    <x v="7"/>
    <n v="0.66443302916929636"/>
  </r>
  <r>
    <x v="4"/>
    <x v="23"/>
    <x v="0"/>
    <n v="0"/>
  </r>
  <r>
    <x v="4"/>
    <x v="23"/>
    <x v="1"/>
    <n v="378029.53"/>
  </r>
  <r>
    <x v="4"/>
    <x v="23"/>
    <x v="2"/>
    <n v="0"/>
  </r>
  <r>
    <x v="4"/>
    <x v="23"/>
    <x v="3"/>
    <n v="2042517.35"/>
  </r>
  <r>
    <x v="4"/>
    <x v="23"/>
    <x v="4"/>
    <n v="-1664487.82"/>
  </r>
  <r>
    <x v="4"/>
    <x v="23"/>
    <x v="5"/>
    <n v="-777433.92933333328"/>
  </r>
  <r>
    <x v="4"/>
    <x v="23"/>
    <x v="6"/>
    <n v="0.18508020507145265"/>
  </r>
  <r>
    <x v="4"/>
    <x v="23"/>
    <x v="7"/>
    <n v="0.63247617422944014"/>
  </r>
  <r>
    <x v="4"/>
    <x v="24"/>
    <x v="0"/>
    <n v="0"/>
  </r>
  <r>
    <x v="4"/>
    <x v="24"/>
    <x v="1"/>
    <n v="472296.31"/>
  </r>
  <r>
    <x v="4"/>
    <x v="24"/>
    <x v="2"/>
    <n v="0"/>
  </r>
  <r>
    <x v="4"/>
    <x v="24"/>
    <x v="3"/>
    <n v="1589008.02"/>
  </r>
  <r>
    <x v="4"/>
    <x v="24"/>
    <x v="4"/>
    <n v="-1116711.71"/>
  </r>
  <r>
    <x v="4"/>
    <x v="24"/>
    <x v="5"/>
    <n v="-798638.79062499991"/>
  </r>
  <r>
    <x v="4"/>
    <x v="24"/>
    <x v="6"/>
    <n v="0.29722714048982585"/>
  </r>
  <r>
    <x v="4"/>
    <x v="24"/>
    <x v="7"/>
    <n v="0.61152310962071421"/>
  </r>
  <r>
    <x v="4"/>
    <x v="25"/>
    <x v="0"/>
    <n v="0"/>
  </r>
  <r>
    <x v="4"/>
    <x v="25"/>
    <x v="1"/>
    <n v="437711.45"/>
  </r>
  <r>
    <x v="4"/>
    <x v="25"/>
    <x v="2"/>
    <n v="0"/>
  </r>
  <r>
    <x v="4"/>
    <x v="25"/>
    <x v="3"/>
    <n v="1619568.65"/>
  </r>
  <r>
    <x v="4"/>
    <x v="25"/>
    <x v="4"/>
    <n v="-1181857.2"/>
  </r>
  <r>
    <x v="4"/>
    <x v="25"/>
    <x v="5"/>
    <n v="-821181.04999999981"/>
  </r>
  <r>
    <x v="4"/>
    <x v="25"/>
    <x v="6"/>
    <n v="0.27026421510443538"/>
  </r>
  <r>
    <x v="4"/>
    <x v="25"/>
    <x v="7"/>
    <n v="0.59144905700210959"/>
  </r>
  <r>
    <x v="4"/>
    <x v="26"/>
    <x v="0"/>
    <n v="0"/>
  </r>
  <r>
    <x v="4"/>
    <x v="26"/>
    <x v="1"/>
    <n v="478515.22"/>
  </r>
  <r>
    <x v="4"/>
    <x v="26"/>
    <x v="2"/>
    <n v="0"/>
  </r>
  <r>
    <x v="4"/>
    <x v="26"/>
    <x v="3"/>
    <n v="1419881.56"/>
  </r>
  <r>
    <x v="4"/>
    <x v="26"/>
    <x v="4"/>
    <n v="-941366.34000000008"/>
  </r>
  <r>
    <x v="4"/>
    <x v="26"/>
    <x v="5"/>
    <n v="-827858.01055555546"/>
  </r>
  <r>
    <x v="4"/>
    <x v="26"/>
    <x v="6"/>
    <n v="0.33701065883269865"/>
  </r>
  <r>
    <x v="4"/>
    <x v="26"/>
    <x v="7"/>
    <n v="0.57731359043714225"/>
  </r>
  <r>
    <x v="4"/>
    <x v="27"/>
    <x v="0"/>
    <n v="0"/>
  </r>
  <r>
    <x v="4"/>
    <x v="27"/>
    <x v="1"/>
    <n v="364294.47"/>
  </r>
  <r>
    <x v="4"/>
    <x v="27"/>
    <x v="2"/>
    <n v="0"/>
  </r>
  <r>
    <x v="4"/>
    <x v="27"/>
    <x v="3"/>
    <n v="1386243.35"/>
  </r>
  <r>
    <x v="4"/>
    <x v="27"/>
    <x v="4"/>
    <n v="-1021948.8800000001"/>
  </r>
  <r>
    <x v="4"/>
    <x v="27"/>
    <x v="5"/>
    <n v="-838073.31947368418"/>
  </r>
  <r>
    <x v="4"/>
    <x v="27"/>
    <x v="6"/>
    <n v="0.26279258255774496"/>
  </r>
  <r>
    <x v="4"/>
    <x v="27"/>
    <x v="7"/>
    <n v="0.560759853180331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n v="246916.08"/>
    <n v="448512.18000000005"/>
    <n v="2.8164559392000723"/>
  </r>
  <r>
    <x v="0"/>
    <x v="1"/>
    <x v="0"/>
    <x v="0"/>
    <n v="648795.71"/>
    <n v="12011.680000000008"/>
    <n v="1.2143580918224353"/>
  </r>
  <r>
    <x v="0"/>
    <x v="2"/>
    <x v="0"/>
    <x v="0"/>
    <n v="1051048.99"/>
    <n v="-342341.87666666665"/>
    <n v="0.80957206121495684"/>
  </r>
  <r>
    <x v="0"/>
    <x v="3"/>
    <x v="0"/>
    <x v="0"/>
    <n v="617838.25"/>
    <n v="-411215.97"/>
    <n v="0.60717904591121763"/>
  </r>
  <r>
    <x v="0"/>
    <x v="4"/>
    <x v="0"/>
    <x v="0"/>
    <n v="764514.72"/>
    <n v="-481875.71999999991"/>
    <n v="0.48574323672897413"/>
  </r>
  <r>
    <x v="0"/>
    <x v="5"/>
    <x v="0"/>
    <x v="0"/>
    <n v="713172.59"/>
    <n v="-520425.19833333325"/>
    <n v="0.40478603060747842"/>
  </r>
  <r>
    <x v="0"/>
    <x v="6"/>
    <x v="0"/>
    <x v="0"/>
    <n v="952103.93"/>
    <n v="-553765.30857142853"/>
    <n v="0.37671280326701356"/>
  </r>
  <r>
    <x v="0"/>
    <x v="7"/>
    <x v="0"/>
    <x v="0"/>
    <n v="1098533.51"/>
    <n v="-562662.86874999991"/>
    <n v="0.38351233207305196"/>
  </r>
  <r>
    <x v="0"/>
    <x v="8"/>
    <x v="0"/>
    <x v="0"/>
    <n v="1324024.72"/>
    <n v="-647258.62999999989"/>
    <n v="0.34089985073160173"/>
  </r>
  <r>
    <x v="0"/>
    <x v="9"/>
    <x v="0"/>
    <x v="0"/>
    <n v="1384683.24"/>
    <n v="-691641.52199999988"/>
    <n v="0.32801295973214467"/>
  </r>
  <r>
    <x v="0"/>
    <x v="10"/>
    <x v="0"/>
    <x v="0"/>
    <n v="628187.96"/>
    <n v="-641412.21181818179"/>
    <n v="0.36896987592940128"/>
  </r>
  <r>
    <x v="0"/>
    <x v="11"/>
    <x v="0"/>
    <x v="0"/>
    <n v="1088537.93"/>
    <n v="-678672.68833333324"/>
    <n v="0.33822238626861784"/>
  </r>
  <r>
    <x v="0"/>
    <x v="12"/>
    <x v="0"/>
    <x v="0"/>
    <n v="652209.87"/>
    <n v="-647021.21076923062"/>
    <n v="0.35761378618253431"/>
  </r>
  <r>
    <x v="0"/>
    <x v="13"/>
    <x v="0"/>
    <x v="0"/>
    <n v="694596.84"/>
    <n v="-634429.91785714275"/>
    <n v="0.35508984768947943"/>
  </r>
  <r>
    <x v="0"/>
    <x v="14"/>
    <x v="0"/>
    <x v="0"/>
    <n v="761779.42"/>
    <n v="-633936.3913333331"/>
    <n v="0.34320996622101091"/>
  </r>
  <r>
    <x v="0"/>
    <x v="15"/>
    <x v="0"/>
    <x v="0"/>
    <n v="589735.02"/>
    <n v="-613092.25562499987"/>
    <n v="0.35241980843396498"/>
  </r>
  <r>
    <x v="0"/>
    <x v="16"/>
    <x v="0"/>
    <x v="0"/>
    <n v="1128801.3799999999"/>
    <n v="-633333.79764705873"/>
    <n v="0.34063171594892383"/>
  </r>
  <r>
    <x v="0"/>
    <x v="17"/>
    <x v="0"/>
    <x v="0"/>
    <n v="793220.49"/>
    <n v="-621866.05611111096"/>
    <n v="0.3473630644045127"/>
  </r>
  <r>
    <x v="0"/>
    <x v="18"/>
    <x v="0"/>
    <x v="0"/>
    <n v="642120.39"/>
    <n v="-613401.48368421046"/>
    <n v="0.34392317032852382"/>
  </r>
  <r>
    <x v="0"/>
    <x v="19"/>
    <x v="0"/>
    <x v="0"/>
    <n v="808273.16"/>
    <n v="-609814.38249999995"/>
    <n v="0.34321980862846108"/>
  </r>
  <r>
    <x v="0"/>
    <x v="20"/>
    <x v="0"/>
    <x v="0"/>
    <n v="970573.48"/>
    <n v="-616018.18047619041"/>
    <n v="0.33818396881286494"/>
  </r>
  <r>
    <x v="0"/>
    <x v="21"/>
    <x v="0"/>
    <x v="0"/>
    <n v="1036724.75"/>
    <n v="-613700.24272727268"/>
    <n v="0.34349341304965159"/>
  </r>
  <r>
    <x v="0"/>
    <x v="22"/>
    <x v="0"/>
    <x v="0"/>
    <n v="738671.56"/>
    <n v="-619133.77826086956"/>
    <n v="0.32855891683010152"/>
  </r>
  <r>
    <x v="0"/>
    <x v="23"/>
    <x v="0"/>
    <x v="0"/>
    <n v="482219.83"/>
    <n v="-611479.34875"/>
    <n v="0.31891210068309689"/>
  </r>
  <r>
    <x v="0"/>
    <x v="24"/>
    <x v="0"/>
    <x v="0"/>
    <n v="167443.01"/>
    <n v="-593717.89520000003"/>
    <n v="0.30615561665577301"/>
  </r>
  <r>
    <x v="0"/>
    <x v="25"/>
    <x v="0"/>
    <x v="0"/>
    <n v="99120.22"/>
    <n v="-574694.90769230772"/>
    <n v="0.29438040063055099"/>
  </r>
  <r>
    <x v="0"/>
    <x v="26"/>
    <x v="0"/>
    <x v="0"/>
    <n v="76313.990000000005"/>
    <n v="-556236.35518518521"/>
    <n v="0.28347742282941946"/>
  </r>
  <r>
    <x v="0"/>
    <x v="27"/>
    <x v="0"/>
    <x v="0"/>
    <n v="71909.42"/>
    <n v="-531515.07642857148"/>
    <n v="0.3765926686390792"/>
  </r>
  <r>
    <x v="1"/>
    <x v="28"/>
    <x v="0"/>
    <x v="0"/>
    <n v="794062.84"/>
    <n v="146318.1999999996"/>
    <n v="1.1842652654543053"/>
  </r>
  <r>
    <x v="1"/>
    <x v="29"/>
    <x v="0"/>
    <x v="0"/>
    <n v="685911.71"/>
    <n v="-739987.27499999991"/>
    <n v="0"/>
  </r>
  <r>
    <x v="1"/>
    <x v="30"/>
    <x v="0"/>
    <x v="0"/>
    <n v="1058788.97"/>
    <n v="-846254.50666666648"/>
    <n v="0"/>
  </r>
  <r>
    <x v="1"/>
    <x v="31"/>
    <x v="0"/>
    <x v="0"/>
    <n v="425050.36"/>
    <n v="-740953.46999999986"/>
    <n v="0"/>
  </r>
  <r>
    <x v="1"/>
    <x v="32"/>
    <x v="0"/>
    <x v="0"/>
    <n v="627311.32999999996"/>
    <n v="-718225.0419999999"/>
    <n v="0"/>
  </r>
  <r>
    <x v="1"/>
    <x v="33"/>
    <x v="0"/>
    <x v="0"/>
    <n v="1177884.6299999999"/>
    <n v="-740238.99333333317"/>
    <n v="4.6350872241197348E-2"/>
  </r>
  <r>
    <x v="1"/>
    <x v="34"/>
    <x v="0"/>
    <x v="0"/>
    <n v="844920.51"/>
    <n v="-691507.92285714275"/>
    <n v="0.11510395147414752"/>
  </r>
  <r>
    <x v="1"/>
    <x v="35"/>
    <x v="0"/>
    <x v="0"/>
    <n v="1491664.73"/>
    <n v="-791527.52374999993"/>
    <n v="0.10071595753987908"/>
  </r>
  <r>
    <x v="1"/>
    <x v="36"/>
    <x v="0"/>
    <x v="0"/>
    <n v="1298325.73"/>
    <n v="-686140.24"/>
    <n v="0.21406892267875727"/>
  </r>
  <r>
    <x v="1"/>
    <x v="37"/>
    <x v="0"/>
    <x v="0"/>
    <n v="1443609.06"/>
    <n v="-761887.12200000009"/>
    <n v="0.19266203041088154"/>
  </r>
  <r>
    <x v="1"/>
    <x v="38"/>
    <x v="0"/>
    <x v="0"/>
    <n v="1296043.4099999999"/>
    <n v="-692913.17272727273"/>
    <n v="0.26583377808817699"/>
  </r>
  <r>
    <x v="1"/>
    <x v="39"/>
    <x v="0"/>
    <x v="0"/>
    <n v="1154036.01"/>
    <n v="-677843.29666666675"/>
    <n v="0.29003721097555973"/>
  </r>
  <r>
    <x v="1"/>
    <x v="0"/>
    <x v="0"/>
    <x v="0"/>
    <n v="1295237.6200000001"/>
    <n v="-693589.84307692316"/>
    <n v="0.29223592325298353"/>
  </r>
  <r>
    <x v="1"/>
    <x v="1"/>
    <x v="0"/>
    <x v="0"/>
    <n v="1170213.67"/>
    <n v="-687851.32857142866"/>
    <n v="0.30535834715944649"/>
  </r>
  <r>
    <x v="1"/>
    <x v="2"/>
    <x v="0"/>
    <x v="0"/>
    <n v="1329186.8799999999"/>
    <n v="-730607.03200000001"/>
    <n v="0.28500112401548339"/>
  </r>
  <r>
    <x v="1"/>
    <x v="3"/>
    <x v="0"/>
    <x v="0"/>
    <n v="920242.53"/>
    <n v="-742459.25062499999"/>
    <n v="0.26718855376451567"/>
  </r>
  <r>
    <x v="1"/>
    <x v="4"/>
    <x v="0"/>
    <x v="0"/>
    <n v="1163629.68"/>
    <n v="-767233.98176470585"/>
    <n v="0.25147158001366182"/>
  </r>
  <r>
    <x v="1"/>
    <x v="5"/>
    <x v="0"/>
    <x v="0"/>
    <n v="943808.43"/>
    <n v="-777043.67333333334"/>
    <n v="0.23750093667956948"/>
  </r>
  <r>
    <x v="1"/>
    <x v="6"/>
    <x v="0"/>
    <x v="0"/>
    <n v="1334793.1499999999"/>
    <n v="-806398.90894736839"/>
    <n v="0.22500088738064478"/>
  </r>
  <r>
    <x v="1"/>
    <x v="7"/>
    <x v="0"/>
    <x v="0"/>
    <n v="923115.5"/>
    <n v="-812234.73849999998"/>
    <n v="0.21375084301161254"/>
  </r>
  <r>
    <x v="1"/>
    <x v="8"/>
    <x v="0"/>
    <x v="0"/>
    <n v="844490.25"/>
    <n v="-813770.71523809526"/>
    <n v="0.20357223143963099"/>
  </r>
  <r>
    <x v="1"/>
    <x v="9"/>
    <x v="0"/>
    <x v="0"/>
    <n v="795783.26"/>
    <n v="-812953.10363636364"/>
    <n v="0.19431894819237502"/>
  </r>
  <r>
    <x v="1"/>
    <x v="10"/>
    <x v="0"/>
    <x v="0"/>
    <n v="255207.49"/>
    <n v="-788703.29434782604"/>
    <n v="0.18587029827096743"/>
  </r>
  <r>
    <x v="1"/>
    <x v="11"/>
    <x v="0"/>
    <x v="0"/>
    <n v="428770.89"/>
    <n v="-773706.11083333334"/>
    <n v="0.1781257025096771"/>
  </r>
  <r>
    <x v="1"/>
    <x v="12"/>
    <x v="0"/>
    <x v="0"/>
    <n v="358365.96"/>
    <n v="-757092.5048"/>
    <n v="0.17100067440929004"/>
  </r>
  <r>
    <x v="1"/>
    <x v="13"/>
    <x v="0"/>
    <x v="0"/>
    <n v="398490.66"/>
    <n v="-743300.12615384615"/>
    <n v="0.1644237253935481"/>
  </r>
  <r>
    <x v="1"/>
    <x v="14"/>
    <x v="0"/>
    <x v="0"/>
    <n v="365233.7"/>
    <n v="-729297.66592592595"/>
    <n v="0.15833395778637965"/>
  </r>
  <r>
    <x v="1"/>
    <x v="15"/>
    <x v="0"/>
    <x v="0"/>
    <n v="336289.09"/>
    <n v="-715261.6453571429"/>
    <n v="0.15267917357972324"/>
  </r>
  <r>
    <x v="1"/>
    <x v="16"/>
    <x v="0"/>
    <x v="0"/>
    <n v="379455.88"/>
    <n v="-703682.13620689651"/>
    <n v="0.14741437449076727"/>
  </r>
  <r>
    <x v="1"/>
    <x v="17"/>
    <x v="0"/>
    <x v="0"/>
    <n v="150991.6"/>
    <n v="-685259.1183333334"/>
    <n v="0.14250056200774169"/>
  </r>
  <r>
    <x v="1"/>
    <x v="18"/>
    <x v="0"/>
    <x v="0"/>
    <n v="176268.05"/>
    <n v="-668840.05161290325"/>
    <n v="0.1379037696849113"/>
  </r>
  <r>
    <x v="1"/>
    <x v="19"/>
    <x v="0"/>
    <x v="0"/>
    <n v="108423.88"/>
    <n v="-651327.04625000001"/>
    <n v="0.13359427688225783"/>
  </r>
  <r>
    <x v="1"/>
    <x v="20"/>
    <x v="0"/>
    <x v="0"/>
    <n v="20272.82"/>
    <n v="-632204.19090909092"/>
    <n v="0.12954596546158337"/>
  </r>
  <r>
    <x v="1"/>
    <x v="21"/>
    <x v="0"/>
    <x v="0"/>
    <n v="37839.269999999997"/>
    <n v="-614722.86970588239"/>
    <n v="0.12573579000683091"/>
  </r>
  <r>
    <x v="1"/>
    <x v="22"/>
    <x v="0"/>
    <x v="0"/>
    <n v="25008.31"/>
    <n v="-597873.88228571427"/>
    <n v="0.12214333886377859"/>
  </r>
  <r>
    <x v="1"/>
    <x v="23"/>
    <x v="0"/>
    <x v="0"/>
    <n v="23018.02"/>
    <n v="-581905.6638888889"/>
    <n v="0.11875046833978474"/>
  </r>
  <r>
    <x v="1"/>
    <x v="24"/>
    <x v="0"/>
    <x v="0"/>
    <n v="18916.47"/>
    <n v="-566689.73972972971"/>
    <n v="0.11554099622249327"/>
  </r>
  <r>
    <x v="1"/>
    <x v="25"/>
    <x v="0"/>
    <x v="0"/>
    <n v="12943.98"/>
    <n v="-552117.48289473681"/>
    <n v="0.11250044369032239"/>
  </r>
  <r>
    <x v="1"/>
    <x v="26"/>
    <x v="0"/>
    <x v="0"/>
    <n v="10277.48"/>
    <n v="-538224.14948717947"/>
    <n v="0.10961581692903206"/>
  </r>
  <r>
    <x v="1"/>
    <x v="27"/>
    <x v="0"/>
    <x v="0"/>
    <n v="6854.07"/>
    <n v="-524939.89749999996"/>
    <n v="0.10687542150580627"/>
  </r>
  <r>
    <x v="2"/>
    <x v="16"/>
    <x v="0"/>
    <x v="0"/>
    <n v="637053.76"/>
    <n v="694419.24"/>
    <n v="2.1086693883660885"/>
  </r>
  <r>
    <x v="2"/>
    <x v="17"/>
    <x v="0"/>
    <x v="0"/>
    <n v="1156842.19"/>
    <n v="-234631.42499999999"/>
    <n v="0.74652335782065427"/>
  </r>
  <r>
    <x v="2"/>
    <x v="18"/>
    <x v="0"/>
    <x v="0"/>
    <n v="988239.05"/>
    <n v="-409328.40000000008"/>
    <n v="0.57509829154224268"/>
  </r>
  <r>
    <x v="2"/>
    <x v="19"/>
    <x v="0"/>
    <x v="0"/>
    <n v="859263.21"/>
    <n v="-443088.89500000002"/>
    <n v="0.52294082338527847"/>
  </r>
  <r>
    <x v="2"/>
    <x v="20"/>
    <x v="0"/>
    <x v="0"/>
    <n v="723404.44"/>
    <n v="-423539.74199999997"/>
    <n v="0.52287546478887115"/>
  </r>
  <r>
    <x v="2"/>
    <x v="21"/>
    <x v="0"/>
    <x v="0"/>
    <n v="801850.14"/>
    <n v="-486591.47500000003"/>
    <n v="0.43572955399072594"/>
  </r>
  <r>
    <x v="2"/>
    <x v="22"/>
    <x v="0"/>
    <x v="0"/>
    <n v="1001362.11"/>
    <n v="-515383.33857142861"/>
    <n v="0.41816840626657925"/>
  </r>
  <r>
    <x v="2"/>
    <x v="23"/>
    <x v="0"/>
    <x v="0"/>
    <n v="1549221.78"/>
    <n v="-644613.14375000005"/>
    <n v="0.36589735548325686"/>
  </r>
  <r>
    <x v="2"/>
    <x v="24"/>
    <x v="0"/>
    <x v="0"/>
    <n v="1970225.81"/>
    <n v="-733208.99777777784"/>
    <n v="0.35503281212843207"/>
  </r>
  <r>
    <x v="2"/>
    <x v="25"/>
    <x v="0"/>
    <x v="0"/>
    <n v="1390183.58"/>
    <n v="-798906.45600000001"/>
    <n v="0.31952953091558889"/>
  </r>
  <r>
    <x v="2"/>
    <x v="26"/>
    <x v="0"/>
    <x v="0"/>
    <n v="1391914.6"/>
    <n v="-813305.13454545464"/>
    <n v="0.31886758204886179"/>
  </r>
  <r>
    <x v="2"/>
    <x v="27"/>
    <x v="0"/>
    <x v="0"/>
    <n v="1510960.18"/>
    <n v="-871443.05500000005"/>
    <n v="0.29229528354479001"/>
  </r>
  <r>
    <x v="3"/>
    <x v="22"/>
    <x v="0"/>
    <x v="0"/>
    <n v="44591.73"/>
    <n v="667080.07999999996"/>
    <n v="16.09485718630339"/>
  </r>
  <r>
    <x v="3"/>
    <x v="23"/>
    <x v="0"/>
    <x v="0"/>
    <n v="141464.26999999999"/>
    <n v="300091.83"/>
    <n v="6.7200257001441477"/>
  </r>
  <r>
    <x v="3"/>
    <x v="24"/>
    <x v="0"/>
    <x v="0"/>
    <n v="323888.5"/>
    <n v="507121.77333333326"/>
    <n v="5.7613944798516314"/>
  </r>
  <r>
    <x v="3"/>
    <x v="25"/>
    <x v="0"/>
    <x v="0"/>
    <n v="766215.26"/>
    <n v="305077.65749999997"/>
    <n v="4.4728180165800433"/>
  </r>
  <r>
    <x v="3"/>
    <x v="26"/>
    <x v="0"/>
    <x v="0"/>
    <n v="1452218.3"/>
    <n v="137454.33399999997"/>
    <n v="3.7048441057365777"/>
  </r>
  <r>
    <x v="3"/>
    <x v="27"/>
    <x v="0"/>
    <x v="0"/>
    <n v="1028338.02"/>
    <n v="75454.314999999959"/>
    <n v="3.2160230252741724"/>
  </r>
  <r>
    <x v="4"/>
    <x v="9"/>
    <x v="0"/>
    <x v="0"/>
    <n v="125082.76"/>
    <n v="1299320.07"/>
    <n v="11.387683082784552"/>
  </r>
  <r>
    <x v="4"/>
    <x v="10"/>
    <x v="0"/>
    <x v="0"/>
    <n v="176631.93"/>
    <n v="313374.51500000001"/>
    <n v="3.7113976378519311"/>
  </r>
  <r>
    <x v="4"/>
    <x v="11"/>
    <x v="0"/>
    <x v="0"/>
    <n v="516500.31"/>
    <n v="36749.573333333341"/>
    <n v="2.4742650919012874"/>
  </r>
  <r>
    <x v="4"/>
    <x v="12"/>
    <x v="0"/>
    <x v="0"/>
    <n v="908216.4"/>
    <n v="-140314.7525"/>
    <n v="1.9208563821454803"/>
  </r>
  <r>
    <x v="4"/>
    <x v="13"/>
    <x v="0"/>
    <x v="0"/>
    <n v="792588.01"/>
    <n v="-216122.8"/>
    <n v="1.6056321542592962"/>
  </r>
  <r>
    <x v="4"/>
    <x v="14"/>
    <x v="0"/>
    <x v="0"/>
    <n v="683596.76"/>
    <n v="-294035.12666666665"/>
    <n v="1.33802679521608"/>
  </r>
  <r>
    <x v="4"/>
    <x v="15"/>
    <x v="0"/>
    <x v="0"/>
    <n v="394301.22"/>
    <n v="-308358.85428571427"/>
    <n v="1.1468801101852115"/>
  </r>
  <r>
    <x v="4"/>
    <x v="16"/>
    <x v="0"/>
    <x v="0"/>
    <n v="1747112.26"/>
    <n v="-425159.20124999998"/>
    <n v="1.0396046859335142"/>
  </r>
  <r>
    <x v="4"/>
    <x v="17"/>
    <x v="0"/>
    <x v="0"/>
    <n v="1425549.99"/>
    <n v="-508589.19444444444"/>
    <n v="0.94354136469826599"/>
  </r>
  <r>
    <x v="4"/>
    <x v="18"/>
    <x v="0"/>
    <x v="0"/>
    <n v="976232.98"/>
    <n v="-523773.58299999998"/>
    <n v="0.88153605340334784"/>
  </r>
  <r>
    <x v="4"/>
    <x v="19"/>
    <x v="0"/>
    <x v="0"/>
    <n v="1392195.74"/>
    <n v="-587698.12454545451"/>
    <n v="0.81218722761482942"/>
  </r>
  <r>
    <x v="4"/>
    <x v="20"/>
    <x v="0"/>
    <x v="0"/>
    <n v="1270680.1599999999"/>
    <n v="-627898.84666666668"/>
    <n v="0.75765889622001381"/>
  </r>
  <r>
    <x v="4"/>
    <x v="21"/>
    <x v="0"/>
    <x v="0"/>
    <n v="1289678.3600000001"/>
    <n v="-678804.96307692304"/>
    <n v="0.69937744266462809"/>
  </r>
  <r>
    <x v="4"/>
    <x v="22"/>
    <x v="0"/>
    <x v="0"/>
    <n v="1484541.36"/>
    <n v="-714072.93714285712"/>
    <n v="0.66443302916929636"/>
  </r>
  <r>
    <x v="4"/>
    <x v="23"/>
    <x v="0"/>
    <x v="0"/>
    <n v="2042517.35"/>
    <n v="-777433.92933333328"/>
    <n v="0.63247617422944014"/>
  </r>
  <r>
    <x v="4"/>
    <x v="24"/>
    <x v="0"/>
    <x v="0"/>
    <n v="1589008.02"/>
    <n v="-798638.79062499991"/>
    <n v="0.61152310962071421"/>
  </r>
  <r>
    <x v="4"/>
    <x v="25"/>
    <x v="0"/>
    <x v="0"/>
    <n v="1619568.65"/>
    <n v="-821181.04999999981"/>
    <n v="0.59144905700210959"/>
  </r>
  <r>
    <x v="4"/>
    <x v="26"/>
    <x v="0"/>
    <x v="0"/>
    <n v="1419881.56"/>
    <n v="-827858.01055555546"/>
    <n v="0.57731359043714225"/>
  </r>
  <r>
    <x v="4"/>
    <x v="27"/>
    <x v="0"/>
    <x v="0"/>
    <n v="1386243.35"/>
    <n v="-838073.31947368418"/>
    <n v="0.5607598531803318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x v="0"/>
    <n v="246916.08"/>
    <n v="448512.18000000005"/>
    <n v="2.8164559392000723"/>
  </r>
  <r>
    <x v="0"/>
    <x v="1"/>
    <x v="0"/>
    <x v="0"/>
    <n v="648795.71"/>
    <n v="12011.680000000008"/>
    <n v="1.2143580918224353"/>
  </r>
  <r>
    <x v="0"/>
    <x v="2"/>
    <x v="0"/>
    <x v="0"/>
    <n v="1051048.99"/>
    <n v="-342341.87666666665"/>
    <n v="0.80957206121495684"/>
  </r>
  <r>
    <x v="0"/>
    <x v="3"/>
    <x v="0"/>
    <x v="0"/>
    <n v="617838.25"/>
    <n v="-411215.97"/>
    <n v="0.60717904591121763"/>
  </r>
  <r>
    <x v="0"/>
    <x v="4"/>
    <x v="0"/>
    <x v="0"/>
    <n v="764514.72"/>
    <n v="-481875.71999999991"/>
    <n v="0.48574323672897413"/>
  </r>
  <r>
    <x v="0"/>
    <x v="5"/>
    <x v="0"/>
    <x v="0"/>
    <n v="713172.59"/>
    <n v="-520425.19833333325"/>
    <n v="0.40478603060747842"/>
  </r>
  <r>
    <x v="0"/>
    <x v="6"/>
    <x v="0"/>
    <x v="0"/>
    <n v="952103.93"/>
    <n v="-553765.30857142853"/>
    <n v="0.37671280326701356"/>
  </r>
  <r>
    <x v="0"/>
    <x v="7"/>
    <x v="0"/>
    <x v="0"/>
    <n v="1098533.51"/>
    <n v="-562662.86874999991"/>
    <n v="0.38351233207305196"/>
  </r>
  <r>
    <x v="0"/>
    <x v="8"/>
    <x v="0"/>
    <x v="0"/>
    <n v="1324024.72"/>
    <n v="-647258.62999999989"/>
    <n v="0.34089985073160173"/>
  </r>
  <r>
    <x v="0"/>
    <x v="9"/>
    <x v="0"/>
    <x v="0"/>
    <n v="1384683.24"/>
    <n v="-691641.52199999988"/>
    <n v="0.32801295973214467"/>
  </r>
  <r>
    <x v="0"/>
    <x v="10"/>
    <x v="0"/>
    <x v="0"/>
    <n v="628187.96"/>
    <n v="-641412.21181818179"/>
    <n v="0.36896987592940128"/>
  </r>
  <r>
    <x v="0"/>
    <x v="11"/>
    <x v="0"/>
    <x v="0"/>
    <n v="1088537.93"/>
    <n v="-678672.68833333324"/>
    <n v="0.33822238626861784"/>
  </r>
  <r>
    <x v="0"/>
    <x v="12"/>
    <x v="0"/>
    <x v="0"/>
    <n v="652209.87"/>
    <n v="-647021.21076923062"/>
    <n v="0.35761378618253431"/>
  </r>
  <r>
    <x v="0"/>
    <x v="13"/>
    <x v="0"/>
    <x v="0"/>
    <n v="694596.84"/>
    <n v="-634429.91785714275"/>
    <n v="0.35508984768947943"/>
  </r>
  <r>
    <x v="0"/>
    <x v="14"/>
    <x v="0"/>
    <x v="0"/>
    <n v="761779.42"/>
    <n v="-633936.3913333331"/>
    <n v="0.34320996622101091"/>
  </r>
  <r>
    <x v="0"/>
    <x v="15"/>
    <x v="0"/>
    <x v="0"/>
    <n v="589735.02"/>
    <n v="-613092.25562499987"/>
    <n v="0.35241980843396498"/>
  </r>
  <r>
    <x v="0"/>
    <x v="16"/>
    <x v="0"/>
    <x v="0"/>
    <n v="1128801.3799999999"/>
    <n v="-633333.79764705873"/>
    <n v="0.34063171594892383"/>
  </r>
  <r>
    <x v="0"/>
    <x v="17"/>
    <x v="0"/>
    <x v="0"/>
    <n v="793220.49"/>
    <n v="-621866.05611111096"/>
    <n v="0.3473630644045127"/>
  </r>
  <r>
    <x v="0"/>
    <x v="18"/>
    <x v="0"/>
    <x v="0"/>
    <n v="642120.39"/>
    <n v="-613401.48368421046"/>
    <n v="0.34392317032852382"/>
  </r>
  <r>
    <x v="0"/>
    <x v="19"/>
    <x v="0"/>
    <x v="0"/>
    <n v="808273.16"/>
    <n v="-609814.38249999995"/>
    <n v="0.34321980862846108"/>
  </r>
  <r>
    <x v="0"/>
    <x v="20"/>
    <x v="0"/>
    <x v="0"/>
    <n v="970573.48"/>
    <n v="-616018.18047619041"/>
    <n v="0.33818396881286494"/>
  </r>
  <r>
    <x v="0"/>
    <x v="21"/>
    <x v="0"/>
    <x v="0"/>
    <n v="1036724.75"/>
    <n v="-613700.24272727268"/>
    <n v="0.34349341304965159"/>
  </r>
  <r>
    <x v="0"/>
    <x v="22"/>
    <x v="0"/>
    <x v="0"/>
    <n v="738671.56"/>
    <n v="-619133.77826086956"/>
    <n v="0.32855891683010152"/>
  </r>
  <r>
    <x v="0"/>
    <x v="23"/>
    <x v="0"/>
    <x v="0"/>
    <n v="482219.83"/>
    <n v="-611479.34875"/>
    <n v="0.31891210068309689"/>
  </r>
  <r>
    <x v="0"/>
    <x v="24"/>
    <x v="0"/>
    <x v="0"/>
    <n v="167443.01"/>
    <n v="-593717.89520000003"/>
    <n v="0.30615561665577301"/>
  </r>
  <r>
    <x v="0"/>
    <x v="25"/>
    <x v="0"/>
    <x v="0"/>
    <n v="99120.22"/>
    <n v="-574694.90769230772"/>
    <n v="0.29438040063055099"/>
  </r>
  <r>
    <x v="0"/>
    <x v="26"/>
    <x v="0"/>
    <x v="0"/>
    <n v="76313.990000000005"/>
    <n v="-556236.35518518521"/>
    <n v="0.28347742282941946"/>
  </r>
  <r>
    <x v="0"/>
    <x v="27"/>
    <x v="0"/>
    <x v="0"/>
    <n v="71909.42"/>
    <n v="-531515.07642857148"/>
    <n v="0.3765926686390792"/>
  </r>
  <r>
    <x v="1"/>
    <x v="28"/>
    <x v="0"/>
    <x v="0"/>
    <n v="794062.84"/>
    <n v="146318.1999999996"/>
    <n v="1.1842652654543053"/>
  </r>
  <r>
    <x v="1"/>
    <x v="29"/>
    <x v="0"/>
    <x v="0"/>
    <n v="685911.71"/>
    <n v="-739987.27499999991"/>
    <n v="0"/>
  </r>
  <r>
    <x v="1"/>
    <x v="30"/>
    <x v="0"/>
    <x v="0"/>
    <n v="1058788.97"/>
    <n v="-846254.50666666648"/>
    <n v="0"/>
  </r>
  <r>
    <x v="1"/>
    <x v="31"/>
    <x v="0"/>
    <x v="0"/>
    <n v="425050.36"/>
    <n v="-740953.46999999986"/>
    <n v="0"/>
  </r>
  <r>
    <x v="1"/>
    <x v="32"/>
    <x v="0"/>
    <x v="0"/>
    <n v="627311.32999999996"/>
    <n v="-718225.0419999999"/>
    <n v="0"/>
  </r>
  <r>
    <x v="1"/>
    <x v="33"/>
    <x v="0"/>
    <x v="0"/>
    <n v="1177884.6299999999"/>
    <n v="-740238.99333333317"/>
    <n v="4.6350872241197348E-2"/>
  </r>
  <r>
    <x v="1"/>
    <x v="34"/>
    <x v="0"/>
    <x v="0"/>
    <n v="844920.51"/>
    <n v="-691507.92285714275"/>
    <n v="0.11510395147414752"/>
  </r>
  <r>
    <x v="1"/>
    <x v="35"/>
    <x v="0"/>
    <x v="0"/>
    <n v="1491664.73"/>
    <n v="-791527.52374999993"/>
    <n v="0.10071595753987908"/>
  </r>
  <r>
    <x v="1"/>
    <x v="36"/>
    <x v="0"/>
    <x v="0"/>
    <n v="1298325.73"/>
    <n v="-686140.24"/>
    <n v="0.21406892267875727"/>
  </r>
  <r>
    <x v="1"/>
    <x v="37"/>
    <x v="0"/>
    <x v="0"/>
    <n v="1443609.06"/>
    <n v="-761887.12200000009"/>
    <n v="0.19266203041088154"/>
  </r>
  <r>
    <x v="1"/>
    <x v="38"/>
    <x v="0"/>
    <x v="0"/>
    <n v="1296043.4099999999"/>
    <n v="-692913.17272727273"/>
    <n v="0.26583377808817699"/>
  </r>
  <r>
    <x v="1"/>
    <x v="39"/>
    <x v="0"/>
    <x v="0"/>
    <n v="1154036.01"/>
    <n v="-677843.29666666675"/>
    <n v="0.29003721097555973"/>
  </r>
  <r>
    <x v="1"/>
    <x v="0"/>
    <x v="0"/>
    <x v="0"/>
    <n v="1295237.6200000001"/>
    <n v="-693589.84307692316"/>
    <n v="0.29223592325298353"/>
  </r>
  <r>
    <x v="1"/>
    <x v="1"/>
    <x v="0"/>
    <x v="0"/>
    <n v="1170213.67"/>
    <n v="-687851.32857142866"/>
    <n v="0.30535834715944649"/>
  </r>
  <r>
    <x v="1"/>
    <x v="2"/>
    <x v="0"/>
    <x v="0"/>
    <n v="1329186.8799999999"/>
    <n v="-730607.03200000001"/>
    <n v="0.28500112401548339"/>
  </r>
  <r>
    <x v="1"/>
    <x v="3"/>
    <x v="0"/>
    <x v="0"/>
    <n v="920242.53"/>
    <n v="-742459.25062499999"/>
    <n v="0.26718855376451567"/>
  </r>
  <r>
    <x v="1"/>
    <x v="4"/>
    <x v="0"/>
    <x v="0"/>
    <n v="1163629.68"/>
    <n v="-767233.98176470585"/>
    <n v="0.25147158001366182"/>
  </r>
  <r>
    <x v="1"/>
    <x v="5"/>
    <x v="0"/>
    <x v="0"/>
    <n v="943808.43"/>
    <n v="-777043.67333333334"/>
    <n v="0.23750093667956948"/>
  </r>
  <r>
    <x v="1"/>
    <x v="6"/>
    <x v="0"/>
    <x v="0"/>
    <n v="1334793.1499999999"/>
    <n v="-806398.90894736839"/>
    <n v="0.22500088738064478"/>
  </r>
  <r>
    <x v="1"/>
    <x v="7"/>
    <x v="0"/>
    <x v="0"/>
    <n v="923115.5"/>
    <n v="-812234.73849999998"/>
    <n v="0.21375084301161254"/>
  </r>
  <r>
    <x v="1"/>
    <x v="8"/>
    <x v="0"/>
    <x v="0"/>
    <n v="844490.25"/>
    <n v="-813770.71523809526"/>
    <n v="0.20357223143963099"/>
  </r>
  <r>
    <x v="1"/>
    <x v="9"/>
    <x v="0"/>
    <x v="0"/>
    <n v="795783.26"/>
    <n v="-812953.10363636364"/>
    <n v="0.19431894819237502"/>
  </r>
  <r>
    <x v="1"/>
    <x v="10"/>
    <x v="0"/>
    <x v="0"/>
    <n v="255207.49"/>
    <n v="-788703.29434782604"/>
    <n v="0.18587029827096743"/>
  </r>
  <r>
    <x v="1"/>
    <x v="11"/>
    <x v="0"/>
    <x v="0"/>
    <n v="428770.89"/>
    <n v="-773706.11083333334"/>
    <n v="0.1781257025096771"/>
  </r>
  <r>
    <x v="1"/>
    <x v="12"/>
    <x v="0"/>
    <x v="0"/>
    <n v="358365.96"/>
    <n v="-757092.5048"/>
    <n v="0.17100067440929004"/>
  </r>
  <r>
    <x v="1"/>
    <x v="13"/>
    <x v="0"/>
    <x v="0"/>
    <n v="398490.66"/>
    <n v="-743300.12615384615"/>
    <n v="0.1644237253935481"/>
  </r>
  <r>
    <x v="1"/>
    <x v="14"/>
    <x v="0"/>
    <x v="0"/>
    <n v="365233.7"/>
    <n v="-729297.66592592595"/>
    <n v="0.15833395778637965"/>
  </r>
  <r>
    <x v="1"/>
    <x v="15"/>
    <x v="0"/>
    <x v="0"/>
    <n v="336289.09"/>
    <n v="-715261.6453571429"/>
    <n v="0.15267917357972324"/>
  </r>
  <r>
    <x v="1"/>
    <x v="16"/>
    <x v="0"/>
    <x v="0"/>
    <n v="379455.88"/>
    <n v="-703682.13620689651"/>
    <n v="0.14741437449076727"/>
  </r>
  <r>
    <x v="1"/>
    <x v="17"/>
    <x v="0"/>
    <x v="0"/>
    <n v="150991.6"/>
    <n v="-685259.1183333334"/>
    <n v="0.14250056200774169"/>
  </r>
  <r>
    <x v="1"/>
    <x v="18"/>
    <x v="0"/>
    <x v="0"/>
    <n v="176268.05"/>
    <n v="-668840.05161290325"/>
    <n v="0.1379037696849113"/>
  </r>
  <r>
    <x v="1"/>
    <x v="19"/>
    <x v="0"/>
    <x v="0"/>
    <n v="108423.88"/>
    <n v="-651327.04625000001"/>
    <n v="0.13359427688225783"/>
  </r>
  <r>
    <x v="1"/>
    <x v="20"/>
    <x v="0"/>
    <x v="0"/>
    <n v="20272.82"/>
    <n v="-632204.19090909092"/>
    <n v="0.12954596546158337"/>
  </r>
  <r>
    <x v="1"/>
    <x v="21"/>
    <x v="0"/>
    <x v="0"/>
    <n v="37839.269999999997"/>
    <n v="-614722.86970588239"/>
    <n v="0.12573579000683091"/>
  </r>
  <r>
    <x v="1"/>
    <x v="22"/>
    <x v="0"/>
    <x v="0"/>
    <n v="25008.31"/>
    <n v="-597873.88228571427"/>
    <n v="0.12214333886377859"/>
  </r>
  <r>
    <x v="1"/>
    <x v="23"/>
    <x v="0"/>
    <x v="0"/>
    <n v="23018.02"/>
    <n v="-581905.6638888889"/>
    <n v="0.11875046833978474"/>
  </r>
  <r>
    <x v="1"/>
    <x v="24"/>
    <x v="0"/>
    <x v="0"/>
    <n v="18916.47"/>
    <n v="-566689.73972972971"/>
    <n v="0.11554099622249327"/>
  </r>
  <r>
    <x v="1"/>
    <x v="25"/>
    <x v="0"/>
    <x v="0"/>
    <n v="12943.98"/>
    <n v="-552117.48289473681"/>
    <n v="0.11250044369032239"/>
  </r>
  <r>
    <x v="1"/>
    <x v="26"/>
    <x v="0"/>
    <x v="0"/>
    <n v="10277.48"/>
    <n v="-538224.14948717947"/>
    <n v="0.10961581692903206"/>
  </r>
  <r>
    <x v="1"/>
    <x v="27"/>
    <x v="0"/>
    <x v="0"/>
    <n v="6854.07"/>
    <n v="-524939.89749999996"/>
    <n v="0.10687542150580627"/>
  </r>
  <r>
    <x v="2"/>
    <x v="16"/>
    <x v="0"/>
    <x v="0"/>
    <n v="637053.76"/>
    <n v="694419.24"/>
    <n v="2.1086693883660885"/>
  </r>
  <r>
    <x v="2"/>
    <x v="17"/>
    <x v="0"/>
    <x v="0"/>
    <n v="1156842.19"/>
    <n v="-234631.42499999999"/>
    <n v="0.74652335782065427"/>
  </r>
  <r>
    <x v="2"/>
    <x v="18"/>
    <x v="0"/>
    <x v="0"/>
    <n v="988239.05"/>
    <n v="-409328.40000000008"/>
    <n v="0.57509829154224268"/>
  </r>
  <r>
    <x v="2"/>
    <x v="19"/>
    <x v="0"/>
    <x v="0"/>
    <n v="859263.21"/>
    <n v="-443088.89500000002"/>
    <n v="0.52294082338527847"/>
  </r>
  <r>
    <x v="2"/>
    <x v="20"/>
    <x v="0"/>
    <x v="0"/>
    <n v="723404.44"/>
    <n v="-423539.74199999997"/>
    <n v="0.52287546478887115"/>
  </r>
  <r>
    <x v="2"/>
    <x v="21"/>
    <x v="0"/>
    <x v="0"/>
    <n v="801850.14"/>
    <n v="-486591.47500000003"/>
    <n v="0.43572955399072594"/>
  </r>
  <r>
    <x v="2"/>
    <x v="22"/>
    <x v="0"/>
    <x v="0"/>
    <n v="1001362.11"/>
    <n v="-515383.33857142861"/>
    <n v="0.41816840626657925"/>
  </r>
  <r>
    <x v="2"/>
    <x v="23"/>
    <x v="0"/>
    <x v="0"/>
    <n v="1549221.78"/>
    <n v="-644613.14375000005"/>
    <n v="0.36589735548325686"/>
  </r>
  <r>
    <x v="2"/>
    <x v="24"/>
    <x v="0"/>
    <x v="0"/>
    <n v="1970225.81"/>
    <n v="-733208.99777777784"/>
    <n v="0.35503281212843207"/>
  </r>
  <r>
    <x v="2"/>
    <x v="25"/>
    <x v="0"/>
    <x v="0"/>
    <n v="1390183.58"/>
    <n v="-798906.45600000001"/>
    <n v="0.31952953091558889"/>
  </r>
  <r>
    <x v="2"/>
    <x v="26"/>
    <x v="0"/>
    <x v="0"/>
    <n v="1391914.6"/>
    <n v="-813305.13454545464"/>
    <n v="0.31886758204886179"/>
  </r>
  <r>
    <x v="2"/>
    <x v="27"/>
    <x v="0"/>
    <x v="0"/>
    <n v="1510960.18"/>
    <n v="-871443.05500000005"/>
    <n v="0.29229528354479001"/>
  </r>
  <r>
    <x v="3"/>
    <x v="22"/>
    <x v="0"/>
    <x v="0"/>
    <n v="44591.73"/>
    <n v="667080.07999999996"/>
    <n v="16.09485718630339"/>
  </r>
  <r>
    <x v="3"/>
    <x v="23"/>
    <x v="0"/>
    <x v="0"/>
    <n v="141464.26999999999"/>
    <n v="300091.83"/>
    <n v="6.7200257001441477"/>
  </r>
  <r>
    <x v="3"/>
    <x v="24"/>
    <x v="0"/>
    <x v="0"/>
    <n v="323888.5"/>
    <n v="507121.77333333326"/>
    <n v="5.7613944798516314"/>
  </r>
  <r>
    <x v="3"/>
    <x v="25"/>
    <x v="0"/>
    <x v="0"/>
    <n v="766215.26"/>
    <n v="305077.65749999997"/>
    <n v="4.4728180165800433"/>
  </r>
  <r>
    <x v="3"/>
    <x v="26"/>
    <x v="0"/>
    <x v="0"/>
    <n v="1452218.3"/>
    <n v="137454.33399999997"/>
    <n v="3.7048441057365777"/>
  </r>
  <r>
    <x v="3"/>
    <x v="27"/>
    <x v="0"/>
    <x v="0"/>
    <n v="1028338.02"/>
    <n v="75454.314999999959"/>
    <n v="3.2160230252741724"/>
  </r>
  <r>
    <x v="4"/>
    <x v="9"/>
    <x v="0"/>
    <x v="0"/>
    <n v="125082.76"/>
    <n v="1299320.07"/>
    <n v="11.387683082784552"/>
  </r>
  <r>
    <x v="4"/>
    <x v="10"/>
    <x v="0"/>
    <x v="0"/>
    <n v="176631.93"/>
    <n v="313374.51500000001"/>
    <n v="3.7113976378519311"/>
  </r>
  <r>
    <x v="4"/>
    <x v="11"/>
    <x v="0"/>
    <x v="0"/>
    <n v="516500.31"/>
    <n v="36749.573333333341"/>
    <n v="2.4742650919012874"/>
  </r>
  <r>
    <x v="4"/>
    <x v="12"/>
    <x v="0"/>
    <x v="0"/>
    <n v="908216.4"/>
    <n v="-140314.7525"/>
    <n v="1.9208563821454803"/>
  </r>
  <r>
    <x v="4"/>
    <x v="13"/>
    <x v="0"/>
    <x v="0"/>
    <n v="792588.01"/>
    <n v="-216122.8"/>
    <n v="1.6056321542592962"/>
  </r>
  <r>
    <x v="4"/>
    <x v="14"/>
    <x v="0"/>
    <x v="0"/>
    <n v="683596.76"/>
    <n v="-294035.12666666665"/>
    <n v="1.33802679521608"/>
  </r>
  <r>
    <x v="4"/>
    <x v="15"/>
    <x v="0"/>
    <x v="0"/>
    <n v="394301.22"/>
    <n v="-308358.85428571427"/>
    <n v="1.1468801101852115"/>
  </r>
  <r>
    <x v="4"/>
    <x v="16"/>
    <x v="0"/>
    <x v="0"/>
    <n v="1747112.26"/>
    <n v="-425159.20124999998"/>
    <n v="1.0396046859335142"/>
  </r>
  <r>
    <x v="4"/>
    <x v="17"/>
    <x v="0"/>
    <x v="0"/>
    <n v="1425549.99"/>
    <n v="-508589.19444444444"/>
    <n v="0.94354136469826599"/>
  </r>
  <r>
    <x v="4"/>
    <x v="18"/>
    <x v="0"/>
    <x v="0"/>
    <n v="976232.98"/>
    <n v="-523773.58299999998"/>
    <n v="0.88153605340334784"/>
  </r>
  <r>
    <x v="4"/>
    <x v="19"/>
    <x v="0"/>
    <x v="0"/>
    <n v="1392195.74"/>
    <n v="-587698.12454545451"/>
    <n v="0.81218722761482942"/>
  </r>
  <r>
    <x v="4"/>
    <x v="20"/>
    <x v="0"/>
    <x v="0"/>
    <n v="1270680.1599999999"/>
    <n v="-627898.84666666668"/>
    <n v="0.75765889622001381"/>
  </r>
  <r>
    <x v="4"/>
    <x v="21"/>
    <x v="0"/>
    <x v="0"/>
    <n v="1289678.3600000001"/>
    <n v="-678804.96307692304"/>
    <n v="0.69937744266462809"/>
  </r>
  <r>
    <x v="4"/>
    <x v="22"/>
    <x v="0"/>
    <x v="0"/>
    <n v="1484541.36"/>
    <n v="-714072.93714285712"/>
    <n v="0.66443302916929636"/>
  </r>
  <r>
    <x v="4"/>
    <x v="23"/>
    <x v="0"/>
    <x v="0"/>
    <n v="2042517.35"/>
    <n v="-777433.92933333328"/>
    <n v="0.63247617422944014"/>
  </r>
  <r>
    <x v="4"/>
    <x v="24"/>
    <x v="0"/>
    <x v="0"/>
    <n v="1589008.02"/>
    <n v="-798638.79062499991"/>
    <n v="0.61152310962071421"/>
  </r>
  <r>
    <x v="4"/>
    <x v="25"/>
    <x v="0"/>
    <x v="0"/>
    <n v="1619568.65"/>
    <n v="-821181.04999999981"/>
    <n v="0.59144905700210959"/>
  </r>
  <r>
    <x v="4"/>
    <x v="26"/>
    <x v="0"/>
    <x v="0"/>
    <n v="1419881.56"/>
    <n v="-827858.01055555546"/>
    <n v="0.57731359043714225"/>
  </r>
  <r>
    <x v="4"/>
    <x v="27"/>
    <x v="0"/>
    <x v="0"/>
    <n v="1386243.35"/>
    <n v="-838073.31947368418"/>
    <n v="0.560759853180331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AC00D-EE27-4D04-8056-FCAA77C073E3}" name="Tabela dinâmica8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3" fieldListSortAscending="1">
  <location ref="O43:S85" firstHeaderRow="1" firstDataRow="2" firstDataCol="1" rowPageCount="1" colPageCount="1"/>
  <pivotFields count="7"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axis="axisRow" showAll="0">
      <items count="41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Col" showAll="0">
      <items count="9">
        <item h="1" x="6"/>
        <item x="1"/>
        <item x="4"/>
        <item x="3"/>
        <item h="1" x="5"/>
        <item h="1" x="7"/>
        <item h="1" x="0"/>
        <item h="1" x="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2"/>
  </colFields>
  <colItems count="4">
    <i>
      <x v="1"/>
    </i>
    <i>
      <x v="2"/>
    </i>
    <i>
      <x v="3"/>
    </i>
    <i t="grand">
      <x/>
    </i>
  </colItems>
  <pageFields count="1">
    <pageField fld="0" hier="-1"/>
  </pageFields>
  <dataFields count="1">
    <dataField name="Soma de Valor" fld="3" baseField="0" baseItem="0" numFmtId="41"/>
  </dataFields>
  <formats count="2">
    <format dxfId="154">
      <pivotArea dataOnly="0" labelOnly="1" fieldPosition="0">
        <references count="1">
          <reference field="1" count="0"/>
        </references>
      </pivotArea>
    </format>
    <format dxfId="153">
      <pivotArea outline="0" collapsedLevelsAreSubtotals="1" fieldPosition="0"/>
    </format>
  </formats>
  <chartFormats count="11">
    <chartFormat chart="43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3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3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4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4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4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4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4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4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4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4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8138F-9C1B-4B8D-B0DB-9CF63D56F837}" name="Tabela dinâmica12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fieldListSortAscending="1">
  <location ref="AJ56:AP98" firstHeaderRow="1" firstDataRow="2" firstDataCol="1"/>
  <pivotFields count="10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41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E-S histórico" fld="5" baseField="0" baseItem="0" numFmtId="167"/>
  </dataFields>
  <formats count="1">
    <format dxfId="155">
      <pivotArea outline="0" collapsedLevelsAreSubtotals="1" fieldPosition="0"/>
    </format>
  </formats>
  <chartFormats count="10"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BCB70-88B4-4282-8E6F-3EEFE4B31D88}" name="Tabela dinâmica127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fieldListSortAscending="1">
  <location ref="AB56:AH98" firstHeaderRow="1" firstDataRow="2" firstDataCol="1"/>
  <pivotFields count="10"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41"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E/S histórico" fld="6" baseField="0" baseItem="0"/>
  </dataFields>
  <formats count="20">
    <format dxfId="175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0"/>
          </reference>
        </references>
      </pivotArea>
    </format>
    <format dxfId="174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73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1"/>
          </reference>
        </references>
      </pivotArea>
    </format>
    <format dxfId="172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71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2"/>
          </reference>
        </references>
      </pivotArea>
    </format>
    <format dxfId="170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69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2">
            <x v="3"/>
            <x v="4"/>
          </reference>
        </references>
      </pivotArea>
    </format>
    <format dxfId="168">
      <pivotArea field="1" grandCol="1" collapsedLevelsAreSubtotals="1" axis="axisRow" fieldPosition="0">
        <references count="1">
          <reference field="1" count="2">
            <x v="3"/>
            <x v="4"/>
          </reference>
        </references>
      </pivotArea>
    </format>
    <format dxfId="167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5"/>
          </reference>
        </references>
      </pivotArea>
    </format>
    <format dxfId="166">
      <pivotArea field="1" grandCol="1" collapsedLevelsAreSubtotals="1" axis="axisRow" fieldPosition="0">
        <references count="1">
          <reference field="1" count="1">
            <x v="5"/>
          </reference>
        </references>
      </pivotArea>
    </format>
    <format dxfId="165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6"/>
          </reference>
        </references>
      </pivotArea>
    </format>
    <format dxfId="164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163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7"/>
          </reference>
        </references>
      </pivotArea>
    </format>
    <format dxfId="162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161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1">
            <x v="8"/>
          </reference>
        </references>
      </pivotArea>
    </format>
    <format dxfId="160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159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1" count="3">
            <x v="9"/>
            <x v="10"/>
            <x v="11"/>
          </reference>
        </references>
      </pivotArea>
    </format>
    <format dxfId="158">
      <pivotArea field="1" grandCol="1" collapsedLevelsAreSubtotals="1" axis="axisRow" fieldPosition="0">
        <references count="1">
          <reference field="1" count="3">
            <x v="9"/>
            <x v="10"/>
            <x v="11"/>
          </reference>
        </references>
      </pivotArea>
    </format>
    <format dxfId="157">
      <pivotArea collapsedLevelsAreSubtotals="1" fieldPosition="0">
        <references count="1">
          <reference field="1" count="22"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  <format dxfId="156">
      <pivotArea collapsedLevelsAreSubtotals="1" fieldPosition="0">
        <references count="1">
          <reference field="1" count="2">
            <x v="34"/>
            <x v="35"/>
          </reference>
        </references>
      </pivotArea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1235E0A-0673-4BA6-AFDD-F93C2C99C326}" name="comp" displayName="comp" ref="B11:O39" totalsRowShown="0" headerRowDxfId="259" dataDxfId="258">
  <autoFilter ref="B11:O39" xr:uid="{9F67D2BA-4F57-45AB-ACD3-8A45E92DC02D}"/>
  <tableColumns count="14">
    <tableColumn id="1" xr3:uid="{889D351E-00BB-47CC-B79F-D81B5071915F}" name="Empresa" dataDxfId="257"/>
    <tableColumn id="2" xr3:uid="{75CE517F-3C50-454F-BCE4-2CF64C3CB58E}" name="Mês" dataDxfId="256"/>
    <tableColumn id="8" xr3:uid="{2E524D23-BF8E-4298-A3B1-D89FB76CEBFB}" name="Saldo (Extratos)" dataDxfId="255" dataCellStyle="Porcentagem"/>
    <tableColumn id="3" xr3:uid="{D9973B36-69E7-4B2E-996D-716DE264D3F5}" name="Entradas (Informakon)" dataDxfId="254"/>
    <tableColumn id="5" xr3:uid="{CD6BAC32-2672-4926-9BAC-3246566F6BBD}" name="Saídas (Informakon)" dataDxfId="253"/>
    <tableColumn id="9" xr3:uid="{D5ED0E2E-0AA3-4B46-BECE-612C7DB2615C}" name="Saldo (Informakon)" dataDxfId="252" dataCellStyle="Porcentagem"/>
    <tableColumn id="10" xr3:uid="{A95A4605-BD3E-4C6A-B4F6-68F0969AF000}" name="Entradas (Fechamento_E)" dataDxfId="251">
      <calculatedColumnFormula>SUMIFS(tb_rec_uni[2026-07-01], tb_rec_uni[empresa], comp[[#This Row],[Empresa]])</calculatedColumnFormula>
    </tableColumn>
    <tableColumn id="4" xr3:uid="{55F231EA-4D58-42D7-A307-A984BC383787}" name="Saídas (Fechamento_E)" dataDxfId="250"/>
    <tableColumn id="11" xr3:uid="{355C1561-ECCC-425A-90C7-4908A403B0E8}" name="Saldo (Fechamento_E)" dataDxfId="249">
      <calculatedColumnFormula>comp[[#This Row],[Entradas (Fechamento_E)]]-comp[[#This Row],[Saídas (Fechamento_E)]]</calculatedColumnFormula>
    </tableColumn>
    <tableColumn id="12" xr3:uid="{1628E1F5-8BEF-4BE2-98D0-60A3A739C4E5}" name="Saldo (Fechamento_N)" dataDxfId="248"/>
    <tableColumn id="13" xr3:uid="{C93F0748-F4C8-4AD6-8CC4-3B97EB2589E4}" name="F - E" dataDxfId="247">
      <calculatedColumnFormula>comp[[#This Row],[Saldo (Fechamento_E)]]-comp[[#This Row],[Saldo (Extratos)]]</calculatedColumnFormula>
    </tableColumn>
    <tableColumn id="14" xr3:uid="{73DEB4A9-1C6B-40C4-B887-99008133A3BB}" name="F - E (%)" dataDxfId="246" dataCellStyle="Porcentagem">
      <calculatedColumnFormula>IFERROR(comp[[#This Row],[F - E]]/comp[[#This Row],[Saldo (Extratos)]], "")</calculatedColumnFormula>
    </tableColumn>
    <tableColumn id="15" xr3:uid="{62466C82-7F12-4692-91A6-2A81FFD61681}" name="I - E" dataDxfId="245">
      <calculatedColumnFormula>comp[[#This Row],[Saldo (Informakon)]]-comp[[#This Row],[Saldo (Extratos)]]</calculatedColumnFormula>
    </tableColumn>
    <tableColumn id="16" xr3:uid="{071B01D1-BBA1-4BF0-8556-2A198DF364A2}" name="I - E (%)" dataDxfId="244" dataCellStyle="Porcentagem">
      <calculatedColumnFormula>IFERROR(comp[[#This Row],[I - E]]/comp[[#This Row],[Saldo (Extratos)]], 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A3BD103-46CA-43D4-BA4E-6000F87A5A66}" name="cmf" displayName="cmf" ref="A1:S2845" totalsRowShown="0" headerRowBorderDxfId="243" tableBorderDxfId="242">
  <autoFilter ref="A1:S2845" xr:uid="{A27EB1A0-C640-4FF3-B29F-71C15014B343}"/>
  <tableColumns count="19">
    <tableColumn id="1" xr3:uid="{6A449E74-E884-4277-A9B8-2C26B7C5B33C}" name="Nº Mov"/>
    <tableColumn id="2" xr3:uid="{6FB7A531-DFE0-45AB-9925-4EFB8105C6A2}" name="Data" dataDxfId="241"/>
    <tableColumn id="3" xr3:uid="{74432709-1A63-427E-B76B-B393997D3328}" name="C"/>
    <tableColumn id="4" xr3:uid="{60C84798-5D4A-40C6-98D5-CDF1B15BFDCC}" name="Origem"/>
    <tableColumn id="5" xr3:uid="{B8007F67-2E57-4C1F-BC8D-1627A26C33C1}" name="Histórico"/>
    <tableColumn id="6" xr3:uid="{7A2EA30E-5127-44EA-8FFA-DEDAD06C0E21}" name="AgenteFinanceiro"/>
    <tableColumn id="7" xr3:uid="{55486929-6D94-4844-A7C9-4A03A604CC35}" name="Conta Nº"/>
    <tableColumn id="8" xr3:uid="{640F32F4-B70A-4906-990F-0A27294A1AFB}" name="Valor" dataDxfId="240"/>
    <tableColumn id="9" xr3:uid="{7D7B3328-BA1D-4C94-9C4E-C9AFD8EFFCE2}" name="D/C"/>
    <tableColumn id="19" xr3:uid="{D3141FDC-3B86-4D65-9950-8A3BF6E4843A}" name="V" dataDxfId="239">
      <calculatedColumnFormula>IF(cmf[[#This Row],[D/C]]="C",cmf[[#This Row],[Valor]],-1*cmf[[#This Row],[Valor]])</calculatedColumnFormula>
    </tableColumn>
    <tableColumn id="10" xr3:uid="{A4B3AE3A-8C4A-4872-A67E-0B81983D36AF}" name="Cancelado"/>
    <tableColumn id="11" xr3:uid="{E869D691-2D08-437D-A5BA-744D935AE109}" name="Nat"/>
    <tableColumn id="12" xr3:uid="{2ECE0099-4C81-4E04-A36B-8F56ADDCFF48}" name="Natureza do Movimento"/>
    <tableColumn id="13" xr3:uid="{C0DB2FFF-5ACF-4734-9B37-EC5EF9DB5786}" name="Emp-Filial"/>
    <tableColumn id="14" xr3:uid="{CE341589-AA6C-444A-9BB6-FFECF225953F}" name="Núcleo"/>
    <tableColumn id="15" xr3:uid="{1EA65544-3B4F-4F20-A782-E155D811A246}" name="Conciliação" dataDxfId="238"/>
    <tableColumn id="16" xr3:uid="{15CB3A9E-F21B-41C0-AE70-D0BE37D971D0}" name="Cliente"/>
    <tableColumn id="17" xr3:uid="{2A011D09-BDFF-45FE-B50E-6410E9420EFA}" name="Link Natureza"/>
    <tableColumn id="18" xr3:uid="{6D4FB682-3F08-4E04-903F-BD5C6D47C139}" name="Saldo Caução Cliente" dataDxfId="2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59B577E-21FD-4763-9311-3AAE37D2541D}" name="fech" displayName="fech" ref="A2:D45" totalsRowShown="0">
  <autoFilter ref="A2:D45" xr:uid="{62EB8D73-1FC5-444D-BC96-1886DEE7A646}"/>
  <sortState xmlns:xlrd2="http://schemas.microsoft.com/office/spreadsheetml/2017/richdata2" ref="A3:C43">
    <sortCondition ref="A100:A141"/>
  </sortState>
  <tableColumns count="4">
    <tableColumn id="1" xr3:uid="{F053ACB9-DB8F-484F-B4D6-631B26B69A8F}" name="Núcleo"/>
    <tableColumn id="2" xr3:uid="{CDEDE3BE-4B42-4375-A3F0-EA546AC66831}" name="Empresa (resultado)"/>
    <tableColumn id="3" xr3:uid="{303F122D-789D-456C-86A0-2E707EDAD5C3}" name="Destacado"/>
    <tableColumn id="4" xr3:uid="{9BCA64F9-9107-4B8A-A1E0-FCD3DAB3A166}" name="Despesas" dataDxfId="23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D81DAD-B1F5-43CA-8155-B8D04DCF252C}" name="ag.abs" displayName="ag.abs" ref="K1:S4" totalsRowShown="0" dataDxfId="235">
  <autoFilter ref="K1:S4" xr:uid="{DDD81DAD-B1F5-43CA-8155-B8D04DCF252C}"/>
  <tableColumns count="9">
    <tableColumn id="1" xr3:uid="{7A28A42D-672C-4EE7-909B-20C0EA4419A4}" name="Mês" dataDxfId="234"/>
    <tableColumn id="6" xr3:uid="{1041859E-EB0C-47A8-81A5-DF20DCD91B0F}" name="Linha_C" dataDxfId="233"/>
    <tableColumn id="7" xr3:uid="{031C42F1-3398-4F9E-A5D2-9712F25F15BF}" name="Linha_NC" dataDxfId="232"/>
    <tableColumn id="8" xr3:uid="{596239FA-A26C-4D51-BC30-8069681EB697}" name="Valor_C" dataDxfId="231"/>
    <tableColumn id="9" xr3:uid="{9EAA8FB4-A54E-4340-851E-8C1953820B61}" name="Valor_NC" dataDxfId="230"/>
    <tableColumn id="10" xr3:uid="{E05E4CC7-8A56-4095-B8FF-88FB4C22CB94}" name="LinhaP_C" dataDxfId="229"/>
    <tableColumn id="11" xr3:uid="{3F0CF868-CBEA-4C52-81F1-3507F173B367}" name="LinhaP_NC" dataDxfId="228"/>
    <tableColumn id="12" xr3:uid="{7D2B64BE-DCB0-4032-9BFF-8306910D92FB}" name="ValorP_C" dataDxfId="227"/>
    <tableColumn id="13" xr3:uid="{D80DF0C9-1593-47F5-A04B-0553577E24B6}" name="ValorP_NC" dataDxfId="22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344966-7497-4A7E-A7E3-8BE1C7EFE688}" name="empresas" displayName="empresas" ref="B100:D143" totalsRowShown="0">
  <autoFilter ref="B100:D143" xr:uid="{C5344966-7497-4A7E-A7E3-8BE1C7EFE688}"/>
  <sortState xmlns:xlrd2="http://schemas.microsoft.com/office/spreadsheetml/2017/richdata2" ref="B101:D143">
    <sortCondition ref="B100:B143"/>
  </sortState>
  <tableColumns count="3">
    <tableColumn id="1" xr3:uid="{A9B9CEA2-2F57-4B66-B1BA-FAB719E0B3C1}" name="Núcleo"/>
    <tableColumn id="2" xr3:uid="{22FEA932-175F-4DBE-AB4D-2BCEBBBEB256}" name="Empresa"/>
    <tableColumn id="3" xr3:uid="{BEB88C34-BA44-4979-A9D7-2844D19EFFF3}" name="Destacad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C81E13-DA22-4C0B-A643-FE62916990AB}" name="reuniao" displayName="reuniao" ref="A2:C12" totalsRowShown="0" headerRowDxfId="225">
  <autoFilter ref="A2:C12" xr:uid="{9F9AF811-D0DD-40EE-81C1-0DF03EE8B5CE}"/>
  <sortState xmlns:xlrd2="http://schemas.microsoft.com/office/spreadsheetml/2017/richdata2" ref="A3:C12">
    <sortCondition ref="C2:C12"/>
  </sortState>
  <tableColumns count="3">
    <tableColumn id="1" xr3:uid="{503B23B7-42A7-4DE4-A5FF-10F4ECA2B6F8}" name="Descrição"/>
    <tableColumn id="3" xr3:uid="{29BD6CD0-2B16-4558-B7F6-6AE2DA5FDEB6}" name="Prazo estimado" dataDxfId="224"/>
    <tableColumn id="2" xr3:uid="{2F99AFE6-1743-4CA3-B9C6-8930C5621BA8}" name="Status" dataDxfId="22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CB4D09-8CE6-4AA8-BAC9-0619046A67E3}" name="tb_ik_viab" displayName="tb_ik_viab" ref="B1:D92" totalsRowShown="0" headerRowDxfId="222">
  <autoFilter ref="B1:D92" xr:uid="{F2C31A30-48D6-4D3D-80E6-ADE1D2C39D89}"/>
  <tableColumns count="3">
    <tableColumn id="1" xr3:uid="{D7E0E5A7-FFDC-45DB-8427-200B1C655ECC}" name="Centros de negócio do Ik" dataDxfId="221"/>
    <tableColumn id="3" xr3:uid="{95650756-BB0B-4093-8A97-AA45406AFC61}" name="Categoria na viabilidade" dataDxfId="220"/>
    <tableColumn id="2" xr3:uid="{24FD4B2C-A596-4FF8-A2FE-E07069551FB8}" name="Subcategoria na viabilidade" dataDxfId="21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C90BCF1-64DD-4602-ADE4-E2370D36AFF4}" name="viab" displayName="viab" ref="B94:C118" totalsRowShown="0" headerRowDxfId="218">
  <autoFilter ref="B94:C118" xr:uid="{9BAF9DF2-A311-4039-87BE-6BC4A080D57E}"/>
  <tableColumns count="2">
    <tableColumn id="1" xr3:uid="{BDEC8AFA-5525-4072-933E-44396563DBBD}" name="Categoria na viabilidade"/>
    <tableColumn id="2" xr3:uid="{E7852D93-5108-4030-94FE-D934B63DD91E}" name="Subcategoria na viabilidad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3F8A59-B260-4774-962C-9B0CF4173352}" name="fin" displayName="fin" ref="A2:AK16" totalsRowShown="0" headerRowDxfId="217">
  <autoFilter ref="A2:AK16" xr:uid="{E2096D7E-B911-4A38-A00A-E842E0AFE37E}"/>
  <sortState xmlns:xlrd2="http://schemas.microsoft.com/office/spreadsheetml/2017/richdata2" ref="A3:Y14">
    <sortCondition descending="1" ref="E2:E14"/>
  </sortState>
  <tableColumns count="37">
    <tableColumn id="1" xr3:uid="{EF216543-CABE-4D5E-861E-FE0ADE601EF3}" name="Id" dataDxfId="216">
      <calculatedColumnFormula>fin[[#This Row],[Tomadora]]&amp;"-"&amp;fin[[#This Row],[Agente]]&amp;"-"&amp;LEFT(D3,LEN(D3)-3)</calculatedColumnFormula>
    </tableColumn>
    <tableColumn id="25" xr3:uid="{5B243200-F3C0-4C7B-9DCC-2B08D171E3CF}" name="Tomadora" dataDxfId="215"/>
    <tableColumn id="2" xr3:uid="{2B3FCC14-01DF-4F8B-9F0D-27B2D101F30F}" name="Agente" dataDxfId="214"/>
    <tableColumn id="3" xr3:uid="{92F1792E-178D-4E41-88BE-8431F51DBF81}" name="Valor principal" dataDxfId="213" dataCellStyle="Moeda"/>
    <tableColumn id="12" xr3:uid="{3A475916-95DA-4E27-8994-3F9E06A21440}" name="Entrada em 2025" dataDxfId="212">
      <calculatedColumnFormula>SUM(fin[[#This Row],[jan/25]:[dez/25]])</calculatedColumnFormula>
    </tableColumn>
    <tableColumn id="4" xr3:uid="{089F25C9-6052-451B-A3E3-CCB27B5347B6}" name="Juros a.a." dataDxfId="211"/>
    <tableColumn id="5" xr3:uid="{5A5616BC-7F6C-41C4-AE15-915C36A0EAD5}" name="Data início" dataDxfId="210"/>
    <tableColumn id="6" xr3:uid="{73F0ED5F-6941-43E2-BA16-39E3DFF6E955}" name="Última parcela" dataDxfId="209"/>
    <tableColumn id="7" xr3:uid="{3C5E87F6-FDFE-4532-AA1E-B281E82393CB}" name="Valor parcela" dataDxfId="208" dataCellStyle="Moeda"/>
    <tableColumn id="8" xr3:uid="{0CF28A1A-D62F-4035-B6DD-809A41022A51}" name="Saldo" dataDxfId="207" dataCellStyle="Moeda"/>
    <tableColumn id="9" xr3:uid="{BA759F07-5419-4D6D-92D4-A84CCCFC19C2}" name="Garantia" dataDxfId="206"/>
    <tableColumn id="10" xr3:uid="{6749CF21-5EFE-4273-86E3-CB1322907385}" name="Tipo" dataDxfId="205"/>
    <tableColumn id="11" xr3:uid="{E5F28758-32FF-43F6-8F6E-D3E93CBC64CE}" name="Obs" dataDxfId="204"/>
    <tableColumn id="13" xr3:uid="{A7B1CD51-FDF4-4077-8516-3178DBD2111F}" name="jan/25" dataDxfId="203"/>
    <tableColumn id="14" xr3:uid="{46293D95-2F3B-4756-A777-3E38B9E86145}" name="fev/25" dataDxfId="202"/>
    <tableColumn id="15" xr3:uid="{E825D63D-F0DC-4560-8B74-F6E7C22556DA}" name="mar/25" dataDxfId="201"/>
    <tableColumn id="16" xr3:uid="{B6CFDC17-F3CD-4B65-8ED3-0A308627EF3F}" name="abr/25" dataDxfId="200"/>
    <tableColumn id="17" xr3:uid="{0226DA9F-D27A-4A0C-B6E8-46AB13B14A07}" name="mai/25" dataDxfId="199"/>
    <tableColumn id="18" xr3:uid="{8FF537B3-703C-45FB-BAC1-81B866E10A33}" name="jun/25" dataDxfId="198"/>
    <tableColumn id="19" xr3:uid="{FD809B44-BFA8-4055-A608-EFAA1CE73FBB}" name="jul/25" dataDxfId="197"/>
    <tableColumn id="20" xr3:uid="{5F57F0E9-1EB0-451E-ACA0-6FC49080E0F3}" name="ago/25" dataDxfId="196"/>
    <tableColumn id="21" xr3:uid="{1FB017F7-FB43-4CA4-8D8B-634C099AAF8E}" name="set/25" dataDxfId="195"/>
    <tableColumn id="22" xr3:uid="{07B9394B-217E-46F7-B59B-68886D137270}" name="out/25" dataDxfId="194"/>
    <tableColumn id="23" xr3:uid="{8BBC8703-F3F6-45E8-80D4-6CBFF8B1389F}" name="nov/25" dataDxfId="193"/>
    <tableColumn id="24" xr3:uid="{B1C13C7F-61EB-4E51-95E6-13EA8F74FE09}" name="dez/25" dataDxfId="192"/>
    <tableColumn id="26" xr3:uid="{2A2C3C61-2847-4850-AA13-E4EDE668DB8B}" name="jan/26" dataDxfId="191"/>
    <tableColumn id="27" xr3:uid="{800A30B9-1CB1-4021-AF38-5D83A719F7CB}" name="fev/26" dataDxfId="190"/>
    <tableColumn id="28" xr3:uid="{C5F7A8D4-69ED-4F97-85B1-E06E6C7B7038}" name="mar/26" dataDxfId="189"/>
    <tableColumn id="29" xr3:uid="{7B527BA5-600D-4AD7-A418-FD8FCE6E7D0E}" name="abr/26" dataDxfId="188"/>
    <tableColumn id="30" xr3:uid="{E38B407B-75EB-4977-B90D-F739B1F69165}" name="mai/26" dataDxfId="187"/>
    <tableColumn id="31" xr3:uid="{8E7162C1-3D84-4B74-8815-0ADDECEEFEC0}" name="jun/26" dataDxfId="186"/>
    <tableColumn id="32" xr3:uid="{32460412-007A-469E-84FA-9BA36DCE05F2}" name="jul/26" dataDxfId="185"/>
    <tableColumn id="33" xr3:uid="{358B9DDA-F56F-47B7-98A2-41E75AB4F84D}" name="ago/26" dataDxfId="184"/>
    <tableColumn id="34" xr3:uid="{C3609F13-0939-4C70-ABDB-D95450E5A078}" name="set/26" dataDxfId="183"/>
    <tableColumn id="35" xr3:uid="{E6A5EDD2-B4CA-478F-B5B4-E1759809A483}" name="out/26" dataDxfId="182"/>
    <tableColumn id="36" xr3:uid="{9674C35D-9F30-480C-BB1A-0893C42BEC32}" name="nov/26" dataDxfId="181"/>
    <tableColumn id="37" xr3:uid="{ABB71A8B-2D53-4BC4-9006-F52A8DEF86E3}" name="dez/26" dataDxfId="18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AD1975B-BB5E-4125-9663-BECD29C92DFB}" name="desp.fin" displayName="desp.fin" ref="A19:C27" totalsRowShown="0" headerRowDxfId="179">
  <autoFilter ref="A19:C27" xr:uid="{DAD1975B-BB5E-4125-9663-BECD29C92DFB}"/>
  <tableColumns count="3">
    <tableColumn id="1" xr3:uid="{122618B0-276B-47FA-8B33-4F78FB94DEB9}" name="Empresa"/>
    <tableColumn id="2" xr3:uid="{63DE63CF-3E7F-4C63-92DE-3C8F28971E8B}" name="Data de pagamento" dataDxfId="178"/>
    <tableColumn id="3" xr3:uid="{6958B4BC-5026-4FD4-B921-FC6476D9D883}" name="Valor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790AF0-3DE5-485A-B495-1BFDB0D865D7}" name="tb_pj" displayName="tb_pj" ref="A30:D39" totalsRowShown="0">
  <autoFilter ref="A30:D39" xr:uid="{C3790AF0-3DE5-485A-B495-1BFDB0D865D7}"/>
  <tableColumns count="4">
    <tableColumn id="1" xr3:uid="{964CD0AC-EBBA-4B95-A54F-CC64E8E7C983}" name="Empresa"/>
    <tableColumn id="2" xr3:uid="{61BE8E24-975B-48FC-8F99-BA9A082A90BE}" name="Natureza"/>
    <tableColumn id="3" xr3:uid="{FD164BCD-5F5F-45F1-AF49-912BC972FD93}" name="Data" dataDxfId="177"/>
    <tableColumn id="4" xr3:uid="{C0DC7150-2566-473A-9EC9-E9ACCFF1FC54}" name="Valor" dataDxfId="176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6F7A51-902C-4117-A36C-6E909287E528}" name="cef" displayName="cef" ref="A2:M107" totalsRowShown="0" headerRowDxfId="152" dataDxfId="151">
  <autoFilter ref="A2:M107" xr:uid="{02F72EAE-E3EC-4691-BAAB-7E98A0E109BC}"/>
  <sortState xmlns:xlrd2="http://schemas.microsoft.com/office/spreadsheetml/2017/richdata2" ref="A3:I26">
    <sortCondition ref="A2:A26"/>
  </sortState>
  <tableColumns count="13">
    <tableColumn id="1" xr3:uid="{A678AF67-9991-4650-B28B-6A271FD0BA03}" name="Empresa" dataDxfId="150"/>
    <tableColumn id="4" xr3:uid="{14956C8A-C0BD-4D5E-97DC-0B2CA344893A}" name="Mês" dataDxfId="149"/>
    <tableColumn id="5" xr3:uid="{B81A8953-6034-40CF-A34E-0FA9D9547B46}" name="CEF (obra)" dataDxfId="148"/>
    <tableColumn id="9" xr3:uid="{A104B570-7C7D-4A73-AB38-3097D12EB93B}" name="Pró soluto" dataDxfId="147"/>
    <tableColumn id="2" xr3:uid="{42A65CA1-B143-4545-9306-D00759DC35F7}" name="PJ CEF" dataDxfId="146"/>
    <tableColumn id="3" xr3:uid="{E4B3ED56-6795-4511-B5F6-1243B11FAA96}" name="Entradas" dataDxfId="145">
      <calculatedColumnFormula>cef[[#This Row],[CEF (obra)]]+cef[[#This Row],[Pró soluto]]+cef[[#This Row],[PJ CEF]]</calculatedColumnFormula>
    </tableColumn>
    <tableColumn id="13" xr3:uid="{F9E80842-B4A0-4309-9A32-21704BFF38C6}" name="Custo obra" dataDxfId="144">
      <calculatedColumnFormula>SUMIFS(
  m.vb[valor],
  m.vb[empresa], $A3,
  m.vb[variavel], "Construção",
  m.vb[mes], $B3
)</calculatedColumnFormula>
    </tableColumn>
    <tableColumn id="14" xr3:uid="{986F11A1-199C-4BC6-BCAB-432FCB4CD3AB}" name="Serviço da dívida PJ CEF" dataDxfId="143"/>
    <tableColumn id="8" xr3:uid="{700ED38E-4B37-411F-AEA4-C8F0B56EAC53}" name="Saídas" dataDxfId="142"/>
    <tableColumn id="7" xr3:uid="{4B3076D5-2543-4D5B-B265-7B9A8407E332}" name="E-S" dataDxfId="141">
      <calculatedColumnFormula>cef[[#This Row],[Entradas]]-cef[[#This Row],[Saídas]]</calculatedColumnFormula>
    </tableColumn>
    <tableColumn id="12" xr3:uid="{309F1BE2-D657-46F1-BDE4-215FB8BB57F2}" name="E-S histórico" dataDxfId="140"/>
    <tableColumn id="10" xr3:uid="{05E28B19-FD7F-4BA7-A121-ACB51352900F}" name="E/S" dataDxfId="139" dataCellStyle="Porcentagem">
      <calculatedColumnFormula>IFERROR(cef[[#This Row],[Entradas]]/cef[[#This Row],[Saídas]],"Sem saídas")</calculatedColumnFormula>
    </tableColumn>
    <tableColumn id="11" xr3:uid="{23A1B1FF-B4E2-4787-9E16-7F596BA9E6A7}" name="E/S histórico" dataDxfId="138" dataCellStyle="Porcentagem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EAE1FA-42A4-4305-A4BD-DBC699EE0B36}" name="tb_rec_uni" displayName="tb_rec_uni" ref="A1:DV2" insertRow="1" totalsRowShown="0">
  <autoFilter ref="A1:DV2" xr:uid="{E9EAE1FA-42A4-4305-A4BD-DBC699EE0B36}"/>
  <tableColumns count="126">
    <tableColumn id="1" xr3:uid="{0F17F414-B560-445C-B8FD-BDAD1AFC9787}" name="id"/>
    <tableColumn id="2" xr3:uid="{D4C66F3C-B4C1-4F99-A57F-B42D780DDE99}" name="empresa"/>
    <tableColumn id="3" xr3:uid="{4D496CBD-1F6A-481B-87D5-203F892932AF}" name="especie"/>
    <tableColumn id="4" xr3:uid="{B30A77F2-B48A-47C4-A135-FD4A3A2175EC}" name="unidade"/>
    <tableColumn id="5" xr3:uid="{86DFEB66-B1A4-48B1-A017-B8633B3B1265}" name="cliente"/>
    <tableColumn id="6" xr3:uid="{568806B4-51D3-4491-B1F5-1BC8F6FA9A7C}" name="contrato"/>
    <tableColumn id="7" xr3:uid="{75E7DA5B-82CA-4ACE-80D0-3D9FCF191B1E}" name="contrato.cef"/>
    <tableColumn id="8" xr3:uid="{CB5AE2DD-FA27-46D4-940A-395770DC9C0B}" name="pavimento"/>
    <tableColumn id="9" xr3:uid="{BF08049B-7A7F-4183-942F-92D56BE554D3}" name="situacao.ana"/>
    <tableColumn id="10" xr3:uid="{923F53F8-38A3-4B03-A3DF-62395BB43701}" name="situacao.ik"/>
    <tableColumn id="11" xr3:uid="{FD5A099B-A7A5-4CB7-8C99-BB4BF5BDFEF4}" name="data.venda"/>
    <tableColumn id="12" xr3:uid="{BD6C4235-30DD-43F4-A5A5-F170F2391019}" name="preco.tabela"/>
    <tableColumn id="13" xr3:uid="{FD6ECE36-D7E2-44AC-A0C0-ABEFD870D997}" name="valor.venda.ana"/>
    <tableColumn id="14" xr3:uid="{70C0DB2C-DC4F-4D06-8B0D-74957BCCCBAB}" name="valor.venda.ik"/>
    <tableColumn id="15" xr3:uid="{4443EF1B-CEC3-4D7F-90D3-F3671CB863F7}" name="repasse.cef.total"/>
    <tableColumn id="16" xr3:uid="{EF4844EB-3A96-41E5-B54B-5D0F7EA89A5D}" name="checar"/>
    <tableColumn id="17" xr3:uid="{0F27335B-8C56-4081-9861-05BBD57482CA}" name="natureza"/>
    <tableColumn id="18" xr3:uid="{C09F1E25-18A6-49F4-AA5C-99D0A040DB17}" name="soma.meses"/>
    <tableColumn id="19" xr3:uid="{FD531961-DBFE-4BDA-9290-DF7175E071E6}" name="2022-01-01"/>
    <tableColumn id="20" xr3:uid="{BD0A5F39-43AB-4EC4-8325-E208050BE8AE}" name="2022-02-01"/>
    <tableColumn id="21" xr3:uid="{2FE8C721-9868-47F8-A8CF-4626B401D6EE}" name="2022-03-01"/>
    <tableColumn id="22" xr3:uid="{63382A2B-4C1A-4076-B74D-2DC658A39CD6}" name="2022-04-01"/>
    <tableColumn id="23" xr3:uid="{7D3D8848-3DFB-4E2B-A9FB-32F4753981D2}" name="2022-05-01"/>
    <tableColumn id="24" xr3:uid="{686CBD0B-C2B2-4780-B264-934490460889}" name="2022-06-01"/>
    <tableColumn id="25" xr3:uid="{AD9DCB0F-67EA-40DF-A7CA-57EA3992405C}" name="2022-07-01"/>
    <tableColumn id="26" xr3:uid="{2F376098-2395-40EA-9E36-5AE788AA31B5}" name="2022-08-01"/>
    <tableColumn id="27" xr3:uid="{D38D2D0C-66BF-400C-BF9D-30848E1877CC}" name="2022-09-01"/>
    <tableColumn id="28" xr3:uid="{99D8BCE3-8382-4695-A1CE-B2F9A4B16B1B}" name="2022-10-01"/>
    <tableColumn id="29" xr3:uid="{9A081F1D-155A-463E-A3E9-46CFF63675F2}" name="2022-11-01"/>
    <tableColumn id="30" xr3:uid="{58E942E3-FE61-4E49-B21B-4EDE8CEA6D5A}" name="2022-12-01"/>
    <tableColumn id="31" xr3:uid="{19355F2D-1381-4D1D-9ACE-79C2C6DDB231}" name="2023-01-01"/>
    <tableColumn id="32" xr3:uid="{FE7D521F-F70D-4411-B4E4-CD6B1ED67436}" name="2023-02-01"/>
    <tableColumn id="33" xr3:uid="{7F7E6AFB-376C-496A-95C7-6CEFA31FEBFA}" name="2023-03-01"/>
    <tableColumn id="34" xr3:uid="{6EBA93DC-5E7E-4CDD-B343-75A5C8E0AFC3}" name="2023-04-01"/>
    <tableColumn id="35" xr3:uid="{AF061C33-EFBE-42AE-9363-205C32C81540}" name="2023-05-01"/>
    <tableColumn id="36" xr3:uid="{D710E507-568F-4E4B-BBF7-22AD22639E9A}" name="2023-06-01"/>
    <tableColumn id="37" xr3:uid="{6EA97AF9-1933-4504-8A2C-F5C082C34927}" name="2023-07-01"/>
    <tableColumn id="38" xr3:uid="{471D1FCD-4229-468B-80B6-BAB8E0029F84}" name="2023-08-01"/>
    <tableColumn id="39" xr3:uid="{C4B0F166-7A63-4A6D-A009-2AD853C9E68F}" name="2023-09-01"/>
    <tableColumn id="40" xr3:uid="{757CFE49-D2D2-41BB-B6FB-5668AF12D287}" name="2023-10-01"/>
    <tableColumn id="41" xr3:uid="{5F9E1E09-6BB1-463D-BCF4-EBE278784634}" name="2023-11-01"/>
    <tableColumn id="42" xr3:uid="{A975B36C-BE7A-44FD-9583-359B8973427E}" name="2023-12-01"/>
    <tableColumn id="43" xr3:uid="{0C4601BB-FF5F-4492-887E-14C6514FB5D4}" name="2024-01-01"/>
    <tableColumn id="44" xr3:uid="{C643402E-1CB7-40B6-9F44-08DB1E5E582B}" name="2024-02-01"/>
    <tableColumn id="45" xr3:uid="{7A3A97B6-A0D5-43A8-BCA0-47BEC3FED22F}" name="2024-03-01"/>
    <tableColumn id="46" xr3:uid="{45AC72DB-8B8C-402C-9815-21A0434C4802}" name="2024-04-01"/>
    <tableColumn id="47" xr3:uid="{18E353E0-218F-4DA1-8C2C-4E32AA3F9447}" name="2024-05-01"/>
    <tableColumn id="48" xr3:uid="{28DCCC1E-4343-44EA-A31A-872583A31968}" name="2024-06-01"/>
    <tableColumn id="49" xr3:uid="{668925D7-9854-4CBA-AD61-DE2069E700BD}" name="2024-07-01"/>
    <tableColumn id="50" xr3:uid="{F7B745C2-F8D5-4361-8C15-22B8C05E3C43}" name="2024-08-01"/>
    <tableColumn id="51" xr3:uid="{F4CB2392-1770-42D4-9B45-E8A308DC2A09}" name="2024-09-01"/>
    <tableColumn id="52" xr3:uid="{95C42A1F-5934-4FAB-941D-F530FEA6E46A}" name="2024-10-01"/>
    <tableColumn id="53" xr3:uid="{2F47B264-FFA6-46E4-BF51-6B2484CB111E}" name="2024-11-01"/>
    <tableColumn id="54" xr3:uid="{78BBB2EC-40B0-4B94-BCAB-58B84AC9E321}" name="2024-12-01"/>
    <tableColumn id="55" xr3:uid="{6C0C5309-0211-4D2A-B10B-04F81A680C8F}" name="2025-01-01"/>
    <tableColumn id="56" xr3:uid="{7CD6A3F5-579C-426E-BE30-E90A0CF71F3E}" name="2025-02-01"/>
    <tableColumn id="57" xr3:uid="{B7D7B465-30CE-4454-A20C-C14780E3C3B3}" name="2025-03-01"/>
    <tableColumn id="58" xr3:uid="{0C024A19-62CC-45FD-9558-13E2F7D1B1DC}" name="2025-04-01"/>
    <tableColumn id="59" xr3:uid="{24DCCFD9-39EE-4816-9508-45423FD41498}" name="2025-05-01"/>
    <tableColumn id="60" xr3:uid="{447C01FE-96F1-4F3D-BF21-B17467A5DAE9}" name="2025-06-01"/>
    <tableColumn id="61" xr3:uid="{E575DDA3-6653-44DB-A302-12477288F2DB}" name="2025-07-01"/>
    <tableColumn id="62" xr3:uid="{2F24318E-322F-443F-9644-4891BE3F515A}" name="2025-08-01"/>
    <tableColumn id="63" xr3:uid="{7FF64BBB-05AF-4554-87F0-153B69BAB107}" name="2025-09-01"/>
    <tableColumn id="64" xr3:uid="{2711E9AB-6EF0-44BC-AA45-C38A8D2F176F}" name="2025-10-01"/>
    <tableColumn id="65" xr3:uid="{A794108F-B391-4410-AF43-C5BAB97E861B}" name="2025-11-01"/>
    <tableColumn id="66" xr3:uid="{2BC9BC92-E6FB-4776-A9AA-D404A8598CE0}" name="2025-12-01"/>
    <tableColumn id="67" xr3:uid="{95E43F83-46B5-4B39-9F42-47CF53383357}" name="2026-01-01"/>
    <tableColumn id="68" xr3:uid="{62219475-3088-4643-8B4A-F7A47519E10C}" name="2026-02-01"/>
    <tableColumn id="69" xr3:uid="{72FF4FF2-A89F-4697-83BE-70A19B3A5867}" name="2026-03-01"/>
    <tableColumn id="70" xr3:uid="{BCB0A55D-3D2D-498E-8C31-2691D1F032AE}" name="2026-04-01"/>
    <tableColumn id="71" xr3:uid="{B0C8CC6F-925A-4646-826C-ACC0E0E10445}" name="2026-05-01"/>
    <tableColumn id="72" xr3:uid="{6195213E-35DF-40F2-813E-949E1FE6B696}" name="2026-06-01"/>
    <tableColumn id="73" xr3:uid="{3C31DBA3-0398-41CA-9DD7-5AC8F47AF10A}" name="2026-07-01"/>
    <tableColumn id="74" xr3:uid="{86E24123-4DE6-4E29-8F25-E4EE98C54764}" name="2026-08-01"/>
    <tableColumn id="75" xr3:uid="{DD332A52-D222-4AB1-B36B-18BDC42F4D6C}" name="2026-09-01"/>
    <tableColumn id="76" xr3:uid="{5B1C249A-A77E-486D-9264-1B3F39436DCD}" name="2026-10-01"/>
    <tableColumn id="77" xr3:uid="{72AC55A9-AAC2-45F5-9DBA-9738B8B0BA0B}" name="2026-11-01"/>
    <tableColumn id="78" xr3:uid="{FEB5F3EA-41B1-46CF-8818-37926C3FFB51}" name="2026-12-01"/>
    <tableColumn id="79" xr3:uid="{CC948C45-9701-472E-89FE-BF1FC21C9564}" name="2027-01-01"/>
    <tableColumn id="80" xr3:uid="{0F8508BF-A6B7-4E0F-A3EC-6DA79AA34B91}" name="2027-02-01"/>
    <tableColumn id="81" xr3:uid="{9CBEAEE0-79F1-4103-ABD2-F1BCC4EFCFB0}" name="2027-03-01"/>
    <tableColumn id="82" xr3:uid="{CC64835D-E92E-4E90-AC47-E2F47678CCCC}" name="2027-04-01"/>
    <tableColumn id="83" xr3:uid="{77AE89D3-6ECE-4C80-92B1-6539BD27028C}" name="2027-05-01"/>
    <tableColumn id="84" xr3:uid="{20756A73-ED54-4163-B9AC-ED5471AF23CD}" name="2027-06-01"/>
    <tableColumn id="85" xr3:uid="{0E18441D-761A-4A55-B0A2-84C298F4EDA4}" name="2027-07-01"/>
    <tableColumn id="86" xr3:uid="{FECC697E-88B8-4BAF-889E-499155A46171}" name="2027-08-01"/>
    <tableColumn id="87" xr3:uid="{1CBFA40A-1FD4-42BA-B100-41C3C70A8301}" name="2027-09-01"/>
    <tableColumn id="88" xr3:uid="{4102CB13-568F-41B5-AD61-6DA78BB5658B}" name="2027-10-01"/>
    <tableColumn id="89" xr3:uid="{7CC075CC-37EC-40D3-975C-DB074D856406}" name="2027-11-01"/>
    <tableColumn id="90" xr3:uid="{0251AB88-13B0-4351-B77E-D406D4BB9ACE}" name="2027-12-01"/>
    <tableColumn id="91" xr3:uid="{2739B8CE-9F1E-4216-947D-B21688FE0961}" name="2028-01-01"/>
    <tableColumn id="92" xr3:uid="{CC1A8EA3-DEC1-429B-A680-CBD17C304A8A}" name="2028-02-01"/>
    <tableColumn id="93" xr3:uid="{5795354B-558B-4ABD-A6D3-45452FA4490B}" name="2028-03-01"/>
    <tableColumn id="94" xr3:uid="{314F806F-D088-42D7-A7F0-DCAFBC45BB9E}" name="2028-04-01"/>
    <tableColumn id="95" xr3:uid="{D6370F96-3ECD-4DF8-A8DD-81DCC7784EAB}" name="2028-05-01"/>
    <tableColumn id="96" xr3:uid="{C31CD42E-59A2-44E0-815E-D10E14400608}" name="2028-06-01"/>
    <tableColumn id="97" xr3:uid="{5515F630-8E85-414A-8ABD-C25921D8229B}" name="2028-07-01"/>
    <tableColumn id="98" xr3:uid="{13CE63E6-4FE6-42BA-8475-40F59167CEBB}" name="2028-08-01"/>
    <tableColumn id="99" xr3:uid="{DCA4D325-BEF9-446D-AC36-E6D2C38C2A6B}" name="2028-09-01"/>
    <tableColumn id="100" xr3:uid="{B419AF1D-0B47-4C20-908A-7A985AB0CA91}" name="2028-10-01"/>
    <tableColumn id="101" xr3:uid="{DD107DF3-B708-449A-BCB9-4C9907D7FC65}" name="2028-11-01"/>
    <tableColumn id="102" xr3:uid="{B493909A-7ED6-46A1-9CC6-822161C0AFC8}" name="2028-12-01"/>
    <tableColumn id="103" xr3:uid="{E694589E-2F8D-44EB-9BB4-3F944E7B2630}" name="2029-01-01"/>
    <tableColumn id="104" xr3:uid="{38978AF3-FFB6-47D8-9CA2-9F28AC4D56B7}" name="2029-02-01"/>
    <tableColumn id="105" xr3:uid="{D3A6161E-A30A-460D-BF4D-188FB8A3739D}" name="2029-03-01"/>
    <tableColumn id="106" xr3:uid="{93478B43-8FD2-474E-8FC2-C90407AEE67D}" name="2029-04-01"/>
    <tableColumn id="107" xr3:uid="{E46155F2-6CAD-47FC-B4D5-E9D5FBB595ED}" name="2029-05-01"/>
    <tableColumn id="108" xr3:uid="{BADD776D-E821-417C-91C1-F9EB41C280C9}" name="2029-06-01"/>
    <tableColumn id="109" xr3:uid="{6B04949B-F3BD-4D38-BA2A-DF0024525948}" name="2029-07-01"/>
    <tableColumn id="110" xr3:uid="{DE9056EA-DD40-4A0F-8EEC-C3003E27B720}" name="2029-08-01"/>
    <tableColumn id="111" xr3:uid="{484AFB26-F8D9-4A52-BF7D-2A2EC31B6D97}" name="2029-09-01"/>
    <tableColumn id="112" xr3:uid="{F29122C5-35F4-48BE-8D4E-57963BC25F17}" name="2029-10-01"/>
    <tableColumn id="113" xr3:uid="{7354CB85-EC6D-4F92-BF1C-5C8608E0CF5D}" name="2029-11-01"/>
    <tableColumn id="114" xr3:uid="{8BF23527-D5A3-4903-8050-05DEC3C56A35}" name="2029-12-01"/>
    <tableColumn id="115" xr3:uid="{2400EEF7-BE5E-4228-A203-526FFA12BA8A}" name="2030-01-01"/>
    <tableColumn id="116" xr3:uid="{C9E55AC9-4666-49EA-85C5-65A51A51FDB8}" name="2030-02-01"/>
    <tableColumn id="117" xr3:uid="{8B80D76C-C51B-4B80-A583-28E4E316F6E5}" name="2030-03-01"/>
    <tableColumn id="118" xr3:uid="{AAACFE14-16DD-4D75-AFF2-0C72D1B64A39}" name="2030-04-01"/>
    <tableColumn id="119" xr3:uid="{47CA2DFB-8A64-4E9B-AD7A-0E3737BD17FB}" name="2030-05-01"/>
    <tableColumn id="120" xr3:uid="{241E1EC2-23CE-4CBF-AA4E-4C6120F07A9C}" name="2030-06-01"/>
    <tableColumn id="121" xr3:uid="{523E22F8-A9C2-4A25-8B3F-D64A87348F61}" name="2030-07-01"/>
    <tableColumn id="122" xr3:uid="{64768D89-E80E-495F-9BED-F71B29A94163}" name="2030-08-01"/>
    <tableColumn id="123" xr3:uid="{8D471BA2-BF1D-4EEF-BDC0-0B7760AE5948}" name="2030-09-01"/>
    <tableColumn id="124" xr3:uid="{58A46DFC-BF64-4763-9FD8-33830E66005D}" name="2030-10-01"/>
    <tableColumn id="125" xr3:uid="{96900542-1B52-411F-A5F4-30C6520637CF}" name="2030-11-01"/>
    <tableColumn id="126" xr3:uid="{9B76F666-7CBD-4545-8604-9A725EA28851}" name="2030-12-01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ABEE96-890B-42C3-AA9C-1854DB4BC65D}" name="desp.m.ik" displayName="desp.m.ik" ref="A1:H2" insertRow="1" totalsRowShown="0" headerRowDxfId="137" headerRowBorderDxfId="136" tableBorderDxfId="135">
  <autoFilter ref="A1:H2" xr:uid="{B7F95032-952A-4BEA-A13A-7B5DC72DED48}"/>
  <tableColumns count="8">
    <tableColumn id="1" xr3:uid="{293474D9-1621-40B0-93BD-657F8E333CAC}" name="mes"/>
    <tableColumn id="2" xr3:uid="{7859E006-4433-4AF4-83FA-8A47E835CC02}" name="empresa"/>
    <tableColumn id="3" xr3:uid="{E06C2D72-96EA-4620-A583-1D61F43DF0DC}" name="nucleo"/>
    <tableColumn id="4" xr3:uid="{9999AD09-3A5C-4DBE-B40C-95212B9AA051}" name="centro.negocio"/>
    <tableColumn id="8" xr3:uid="{D5DB3CD0-7E72-4DCC-8335-BD816D3102EF}" name="classe"/>
    <tableColumn id="5" xr3:uid="{AC6DC845-9ADE-4DF0-95AC-FC2D35B4FC43}" name="valor"/>
    <tableColumn id="6" xr3:uid="{66939108-3507-4097-A20B-9C9388AE1CE9}" name="fonte"/>
    <tableColumn id="7" xr3:uid="{DBB8B866-7970-47ED-8606-C94EA0BE15B5}" name="arquivo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F95032-952A-4BEA-A13A-7B5DC72DED48}" name="m.vb" displayName="m.vb" ref="A1:G2" insertRow="1" totalsRowShown="0" headerRowDxfId="134" headerRowBorderDxfId="133" tableBorderDxfId="132">
  <autoFilter ref="A1:G2" xr:uid="{B7F95032-952A-4BEA-A13A-7B5DC72DED48}"/>
  <tableColumns count="7">
    <tableColumn id="1" xr3:uid="{9BE20878-29E3-46D6-B113-C0A37829E198}" name="mes"/>
    <tableColumn id="2" xr3:uid="{4E4243BC-697A-494A-8DEB-64A5A8AD0F69}" name="empresa"/>
    <tableColumn id="3" xr3:uid="{063BF253-65C4-440B-B6C7-F4DF13179E7B}" name="nucleo"/>
    <tableColumn id="4" xr3:uid="{33A3B488-F414-488B-8F80-ACB0F67175F0}" name="variavel"/>
    <tableColumn id="5" xr3:uid="{778B6DCA-8757-4DC5-B767-C821209F5133}" name="valor"/>
    <tableColumn id="6" xr3:uid="{1E5C9938-F3EF-4C41-B9A3-15D8A6695D09}" name="fonte"/>
    <tableColumn id="7" xr3:uid="{DD7F451E-25A8-4952-A7AD-D4596C4065C0}" name="arquivo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FA7595-112D-4C60-B256-84C25B28B431}" name="rec" displayName="rec" ref="A1:AM2" insertRow="1" totalsRowShown="0">
  <autoFilter ref="A1:AM2" xr:uid="{E8FA7595-112D-4C60-B256-84C25B28B431}"/>
  <tableColumns count="39">
    <tableColumn id="1" xr3:uid="{3CE803A6-3C2A-41EB-A750-492F84A64192}" name="empreendimento"/>
    <tableColumn id="5" xr3:uid="{FBB3E5BC-C5C2-4FF8-BAF1-75D2BCB30DB0}" name="empresa"/>
    <tableColumn id="6" xr3:uid="{59BE7F22-0F13-4460-990F-70E8DD95723A}" name="total"/>
    <tableColumn id="7" xr3:uid="{B832183D-0F13-41B8-9CC0-574F4EF009AA}" name="data.vencimento"/>
    <tableColumn id="2" xr3:uid="{32E9FBF5-5F18-4D30-84CD-0BB3E0868AF2}" name="data.pagamento"/>
    <tableColumn id="3" xr3:uid="{EF6EA9AE-E5F2-4808-8AA6-996AE0A74CDE}" name="cliente"/>
    <tableColumn id="4" xr3:uid="{3366511A-2DA1-4610-8E8A-9BB9EA0DC5E1}" name="contrato"/>
    <tableColumn id="8" xr3:uid="{7569EC96-9A74-484B-AAE3-F91BCC1B4123}" name="contrato.cef"/>
    <tableColumn id="9" xr3:uid="{BE2007D9-AE3D-4D27-B81C-0F38A4EF1D7C}" name="repassado"/>
    <tableColumn id="10" xr3:uid="{229AB7BF-0F6A-477F-8558-B3817536EDA7}" name="ele"/>
    <tableColumn id="11" xr3:uid="{4C4A1400-DC57-43BD-B1DD-7694CAC1D4BF}" name="esp"/>
    <tableColumn id="12" xr3:uid="{2D89436D-D2DF-4A62-A5EE-2F63BAEC5A30}" name="esp.con"/>
    <tableColumn id="13" xr3:uid="{2193DEB7-B6F7-4967-8C58-A3D77E96B131}" name="agente"/>
    <tableColumn id="14" xr3:uid="{000F1BE6-6654-45D3-B0FA-BB37355C1482}" name="parcela"/>
    <tableColumn id="15" xr3:uid="{E07F7B66-25C3-494E-8EBF-04B00744AC9F}" name="principal"/>
    <tableColumn id="16" xr3:uid="{80E07E23-9C4D-47E0-A83A-262A3FBD8B1B}" name="juros"/>
    <tableColumn id="17" xr3:uid="{C87D413B-0FAE-4225-9182-5A867A0CB6A7}" name="juros.contrato"/>
    <tableColumn id="18" xr3:uid="{649E1A0B-BF2D-4B1F-A934-FF3B9BDFB2FF}" name="juros.mora"/>
    <tableColumn id="19" xr3:uid="{46EB2D9C-FCE1-4B9A-A443-A515D10EBF6F}" name="reajuste"/>
    <tableColumn id="20" xr3:uid="{2CFF9700-1026-4BBA-90E3-6D84E933AC62}" name="encargos"/>
    <tableColumn id="21" xr3:uid="{D99666C7-C905-439F-8381-D0D3CB4F3699}" name="multa"/>
    <tableColumn id="22" xr3:uid="{CDDD24D9-9FE1-43D5-A9FC-0AE87DD5CEA2}" name="seguro"/>
    <tableColumn id="23" xr3:uid="{D33AEF61-3E9C-4BA7-AAA7-84D7017E77AD}" name="desconto"/>
    <tableColumn id="24" xr3:uid="{4EFF4A7B-ABFA-4370-9670-66BE792CBCCB}" name="cart"/>
    <tableColumn id="25" xr3:uid="{D69B3039-8D7A-4C4D-ABF6-AF33D32A78D8}" name="r.f"/>
    <tableColumn id="26" xr3:uid="{C35C9BE7-AEAD-4F24-8137-D96AD544760B}" name="edificacao"/>
    <tableColumn id="27" xr3:uid="{6A880729-68FC-4CDD-925B-DFE13813C4EE}" name="especie"/>
    <tableColumn id="28" xr3:uid="{8F9E34EB-B616-4FE7-AD92-742AA0DDA9DF}" name="unidade"/>
    <tableColumn id="29" xr3:uid="{D16066CC-0CD5-4708-A46B-7781553EB25B}" name="data.emissao"/>
    <tableColumn id="30" xr3:uid="{4065F346-9C6D-484F-B30A-1EDE8A295B23}" name="disp"/>
    <tableColumn id="31" xr3:uid="{2CC34A5D-18AA-45F8-BB67-63EA9A8119AE}" name="pavimento"/>
    <tableColumn id="32" xr3:uid="{3633A6EA-4962-4E41-8255-E6DD4565902E}" name="arquivo"/>
    <tableColumn id="33" xr3:uid="{33C31858-8DD0-4F6B-9E1A-5DB83828CD0C}" name="arquivo.tipo"/>
    <tableColumn id="34" xr3:uid="{30DC1C98-EC4C-4C57-85D3-1D001F938A23}" name="arquivo.tabela.tipo"/>
    <tableColumn id="35" xr3:uid="{18959C8B-2A45-424B-970B-88D46E72383E}" name="arquivo.fonte"/>
    <tableColumn id="36" xr3:uid="{E8D45D4C-D238-4614-A780-C24E319687F0}" name="cruzada"/>
    <tableColumn id="37" xr3:uid="{94E7DEBC-832E-4986-88C8-8CE4EA159B80}" name="data"/>
    <tableColumn id="38" xr3:uid="{56868355-D614-4903-84DC-D648C991C45A}" name="id"/>
    <tableColumn id="39" xr3:uid="{DA97098C-4357-4127-892C-273BE7940F51}" name="natureza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9173486-E87A-4257-A7BF-6C0C00AE6B34}" name="unis.cruzado" displayName="unis.cruzado" ref="A1:CE2" insertRow="1" totalsRowShown="0">
  <autoFilter ref="A1:CE2" xr:uid="{E8FA7595-112D-4C60-B256-84C25B28B431}"/>
  <tableColumns count="83">
    <tableColumn id="1" xr3:uid="{D763603C-D2C8-4C75-89DB-E133F9C43DB3}" name="status.ik"/>
    <tableColumn id="5" xr3:uid="{A3769982-78EA-4F31-97E4-68EA487D2F6A}" name="status.ana"/>
    <tableColumn id="6" xr3:uid="{79F9F696-EBE4-4D98-9E70-7FDAEBE84FC6}" name="status.p.ik"/>
    <tableColumn id="7" xr3:uid="{FF687E5B-1790-41D6-B1B0-65F9D96ADBFB}" name="status.p.ana"/>
    <tableColumn id="2" xr3:uid="{F8F4CF45-8D8D-4559-B505-69D6E4D53447}" name="checar"/>
    <tableColumn id="3" xr3:uid="{6E68CB30-3F07-4BE9-9BE3-10BCC70F9D25}" name="empreendimento"/>
    <tableColumn id="4" xr3:uid="{2B993962-240E-48C2-85D0-BE5902CE5C86}" name="setor"/>
    <tableColumn id="8" xr3:uid="{69CE5134-E295-472E-8E6B-06B7BFC0C629}" name="edificacao"/>
    <tableColumn id="9" xr3:uid="{925EF20F-102E-4A0F-8878-B3C470AF7DBE}" name="unidade.ik"/>
    <tableColumn id="10" xr3:uid="{1DFB9E28-7956-422F-B5CB-047F39BB40AD}" name="p.c"/>
    <tableColumn id="11" xr3:uid="{E8B652EF-9BF4-46E4-BAA7-F71B305686B5}" name="especie.ik"/>
    <tableColumn id="12" xr3:uid="{28F2BCC3-59E1-45AC-AED1-89B4770A8214}" name="pavimento"/>
    <tableColumn id="13" xr3:uid="{C3684BA8-EC3D-4F27-AD77-DC4FD66762C2}" name="obs.situacao"/>
    <tableColumn id="14" xr3:uid="{C7442BD8-C3D7-4E9F-95CF-60C4294C9C8F}" name="adm.terceiro"/>
    <tableColumn id="15" xr3:uid="{DED412FC-6EFA-45D9-A66E-7ED168ADA7ED}" name="inativo"/>
    <tableColumn id="16" xr3:uid="{458D186A-EBAC-4107-B717-9D150FA47CE2}" name="tab.preco"/>
    <tableColumn id="17" xr3:uid="{F7387C1D-1A59-4CF8-8562-2993D906B85B}" name="Tab. Preço Evento"/>
    <tableColumn id="18" xr3:uid="{D826530D-A9C8-4407-9DDD-05842C61A579}" name="area"/>
    <tableColumn id="19" xr3:uid="{78B9C5AA-9141-45ED-B8CD-F033E2BF0A19}" name="area.lote"/>
    <tableColumn id="20" xr3:uid="{893C8F35-A27E-4F09-AF64-6B9E9A155BFB}" name="fracao.ideal"/>
    <tableColumn id="21" xr3:uid="{667D8D87-5120-40BD-8DD1-B6B8EBC3AB03}" name="suites"/>
    <tableColumn id="22" xr3:uid="{A2EFAF79-9C93-4AC5-B63E-CD595BCED128}" name="d.simples"/>
    <tableColumn id="23" xr3:uid="{8341BBFE-547B-4FB4-9343-5390B159D282}" name="imobiliaria"/>
    <tableColumn id="24" xr3:uid="{F2083CF1-6E98-48C1-94F4-16FDF83E6476}" name="corretor"/>
    <tableColumn id="25" xr3:uid="{6A103651-2BCC-4BE4-9483-9C24E318A4C1}" name="cliente"/>
    <tableColumn id="26" xr3:uid="{676ACBFF-2441-409D-9F16-2D26D5731838}" name="cotista"/>
    <tableColumn id="27" xr3:uid="{4C01E207-C2C5-49AE-B87C-A565D209F32A}" name="data"/>
    <tableColumn id="28" xr3:uid="{467D8AEA-32CF-47CB-9110-A085CFC45CA7}" name="mes.ano"/>
    <tableColumn id="29" xr3:uid="{3C0162BC-69C9-4DBA-94DB-23B019046DF7}" name="valor.imovel"/>
    <tableColumn id="30" xr3:uid="{1ED38C2C-F263-41D9-A629-E5A61F70A20C}" name="comissao"/>
    <tableColumn id="31" xr3:uid="{A2CC0BF2-2A3F-4A1A-8C01-760493DE1458}" name="valor.c.d"/>
    <tableColumn id="32" xr3:uid="{7B8FE279-75A9-46EF-8401-6DF559ABC667}" name="valor.comissao"/>
    <tableColumn id="33" xr3:uid="{A0518084-A365-4B5C-8BED-FB83AAC3D342}" name="valor.venda.ik"/>
    <tableColumn id="34" xr3:uid="{BB556D1B-FA55-4DAD-9A98-C401B72FBBD4}" name="disponivel.locacao"/>
    <tableColumn id="35" xr3:uid="{4108A654-F5B9-4382-89CB-999C5356340A}" name="escriturado"/>
    <tableColumn id="36" xr3:uid="{E8406607-A415-420A-B226-0B563A471A89}" name="transferido.iptu"/>
    <tableColumn id="37" xr3:uid="{80E86581-D4AF-4E84-922E-DFB7F3031B08}" name="data.escritura"/>
    <tableColumn id="38" xr3:uid="{B0B287BF-7E3C-46F0-87A1-1264CF84A9E4}" name="cartorio"/>
    <tableColumn id="39" xr3:uid="{3DB28C7C-42FC-4B6A-9414-CF16432652C5}" name="cartorio.nome"/>
    <tableColumn id="40" xr3:uid="{CA81510A-929D-4600-9F16-80B75CE8FA2F}" name="matricula"/>
    <tableColumn id="41" xr3:uid="{5C0A5D02-B9BA-4454-8DC2-DCF2C7C4C43B}" name="Tab. Preço"/>
    <tableColumn id="42" xr3:uid="{4CB3ED9C-263D-4FE4-9D84-02E545C71D25}" name="arquivo.ik"/>
    <tableColumn id="43" xr3:uid="{A4A72DD2-1C1B-4902-993F-BD93D694E18A}" name="arquivo.tipo.ik"/>
    <tableColumn id="44" xr3:uid="{C3DA94CE-67C8-4FB9-BAA9-82012BC0CA97}" name="arquivo.tabela.tipo"/>
    <tableColumn id="45" xr3:uid="{FEE86E82-7E8C-4450-A3BD-9F463D983A98}" name="arquivo.fonte.ik"/>
    <tableColumn id="46" xr3:uid="{B8C42DD1-4E51-4E52-90CA-7181FCBDFBDE}" name="empresa.ik"/>
    <tableColumn id="47" xr3:uid="{2DECD2DB-6823-4383-A7FB-AABB41FBABA9}" name="id"/>
    <tableColumn id="48" xr3:uid="{148F385D-4DDC-4A1B-95EB-935EA70B7EEC}" name="empresa.ana"/>
    <tableColumn id="49" xr3:uid="{E0D30094-62C0-4813-A5DE-C7CAC5BD3013}" name="especie.ana"/>
    <tableColumn id="50" xr3:uid="{1C0D0282-B7E8-4530-B86E-EA76CB71A65F}" name="unidade.ana"/>
    <tableColumn id="51" xr3:uid="{9023FB69-1D63-48A6-A59C-1F6B7E3275A6}" name="Empreendimento_1"/>
    <tableColumn id="52" xr3:uid="{10AB6097-AFC0-4514-ADD9-504C988A0A22}" name="unidade.estq"/>
    <tableColumn id="53" xr3:uid="{CE86A7AB-E5ED-4CFA-A910-E2921AD345B3}" name="Anot. venda"/>
    <tableColumn id="54" xr3:uid="{A8C924FD-21C5-41E4-96E3-48CF4ADB9C21}" name="Planta"/>
    <tableColumn id="55" xr3:uid="{58DB5A3F-17AB-4857-87CF-81A2E7B9F7F7}" name="Equipe"/>
    <tableColumn id="56" xr3:uid="{3E0FD8E5-D6AA-4594-AE30-84BBA173C086}" name="Gerente"/>
    <tableColumn id="57" xr3:uid="{A91220C6-2FA4-4520-B33C-E9F9D307E0F2}" name="Corretor_1"/>
    <tableColumn id="58" xr3:uid="{1702972B-BA19-4991-92BC-9739B09F2DD5}" name="Cliente(s)"/>
    <tableColumn id="59" xr3:uid="{B7861913-B74D-46A2-825C-4E5EDED9F94A}" name="Desconto Tab."/>
    <tableColumn id="60" xr3:uid="{82867EE3-FF90-48A2-A1F4-AEFE80D26A3A}" name="Área total"/>
    <tableColumn id="61" xr3:uid="{CD922F1E-4D6D-4E75-8D1B-AAC4DC57FC10}" name="Área privativa"/>
    <tableColumn id="62" xr3:uid="{0166F36B-7601-4809-BF68-E3906FBA1012}" name="Fração ideal"/>
    <tableColumn id="63" xr3:uid="{DB7B0218-E151-4F95-8EC4-E7984B02DB72}" name="Quartos"/>
    <tableColumn id="64" xr3:uid="{8B837986-5DCE-4E70-9F75-5CB763FF1245}" name="Vagas"/>
    <tableColumn id="65" xr3:uid="{89E89250-EBFE-449C-8F05-864632F5F38B}" name="Classificação Venda"/>
    <tableColumn id="66" xr3:uid="{A741663A-ADB2-4828-82B5-34A5028E110C}" name="Estágio Contrato"/>
    <tableColumn id="67" xr3:uid="{5E85E0F1-956C-45CA-B7FE-6CE2E089A30B}" name="Preço Tab."/>
    <tableColumn id="68" xr3:uid="{28C00359-48A1-479B-8193-DF2F4D14428E}" name="Preço Tab. com Desconto"/>
    <tableColumn id="69" xr3:uid="{0AF1679D-1947-4592-8CC0-64E9DEDDA25E}" name="valor.venda.ana"/>
    <tableColumn id="70" xr3:uid="{2473F5C1-DD00-444D-9E77-CE9D56FAE8D6}" name="Valor m2"/>
    <tableColumn id="71" xr3:uid="{C7CE7BDA-6516-4EA5-9AE1-FDE2ACB6C59B}" name="Valor m2 com Desconto"/>
    <tableColumn id="72" xr3:uid="{E60147D2-A7AC-4F7E-A0AB-6CB69853E1D9}" name="Data da venda / reserva"/>
    <tableColumn id="73" xr3:uid="{BCA26560-B8B2-4C17-94F0-B9263B9B9148}" name="Data do pedido"/>
    <tableColumn id="74" xr3:uid="{E04C1DC4-D38B-4288-862B-8D939B82100F}" name="Taxa de decoração - Valor total"/>
    <tableColumn id="75" xr3:uid="{D638967E-E54F-4E45-8266-B240959AFB38}" name="Taxa de decoração - Parcelas"/>
    <tableColumn id="76" xr3:uid="{10DCDE7F-A75E-432B-AEA3-7AEDC8791A43}" name="Taxa de decoração - Início pagto"/>
    <tableColumn id="77" xr3:uid="{AC316489-96B5-455D-8971-13F5321CA3AA}" name="Taxa de decoração - Início correção"/>
    <tableColumn id="78" xr3:uid="{3890AA83-9C82-4329-8AC6-C4EB3BFC3BCB}" name="Data de recebimento"/>
    <tableColumn id="79" xr3:uid="{C4420DA6-E990-4129-90BD-D1FFF7FD4B9D}" name="Venda confirmada?"/>
    <tableColumn id="80" xr3:uid="{8C197377-6BAD-451C-85AF-5596105AF004}" name="Opção de planta"/>
    <tableColumn id="81" xr3:uid="{37AE7DC4-E23D-4C4C-8BDE-51570C68E911}" name="arquivo.ana"/>
    <tableColumn id="82" xr3:uid="{B0A65658-6AEC-4229-ABD6-5B7134B89BAF}" name="arquivo.tipo.ana"/>
    <tableColumn id="83" xr3:uid="{DDD3891B-0FA4-49B6-B148-99940DAA536A}" name="arquivo.fonte.ana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7526B3-C802-47A1-B88F-6E9285A235F5}" name="tb_contr" displayName="tb_contr" ref="A1:E2" insertRow="1" totalsRowShown="0" headerRowDxfId="131" dataDxfId="130">
  <autoFilter ref="A1:E2" xr:uid="{E04C97D4-C6EC-4BA2-BDB8-ED5F99D32C7B}"/>
  <tableColumns count="5">
    <tableColumn id="1" xr3:uid="{F8991AC9-B496-4071-88D0-965AA7E56347}" name="id.contr" dataDxfId="129"/>
    <tableColumn id="2" xr3:uid="{848121DC-6D2B-4A17-AB11-1C54A6302ADF}" name="empresa" dataDxfId="128"/>
    <tableColumn id="3" xr3:uid="{996BCA97-A76D-4FF6-9F2B-C2FD653CD03C}" name="contrato" dataDxfId="127"/>
    <tableColumn id="4" xr3:uid="{0BD26A3E-381C-43D9-88DA-1591A2D9509E}" name="contrato.cef" dataDxfId="126"/>
    <tableColumn id="5" xr3:uid="{C3B3C125-1D2F-4D6D-B9A4-2B2A5043EC4D}" name="repassado" dataDxfId="125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EE981D-91C1-44B4-B573-54D51614A054}" name="tb_desp" displayName="tb_desp" ref="A1:AF2" insertRow="1" totalsRowShown="0" headerRowDxfId="124" dataDxfId="123">
  <autoFilter ref="A1:AF2" xr:uid="{E04C97D4-C6EC-4BA2-BDB8-ED5F99D32C7B}"/>
  <tableColumns count="32">
    <tableColumn id="1" xr3:uid="{7591C1E4-333E-46EC-B95F-BF5541B357A4}" name="nucleo" dataDxfId="122"/>
    <tableColumn id="2" xr3:uid="{96E89845-4235-4A02-B7CE-0DF0B7B694DB}" name="nucleo.num" dataDxfId="121"/>
    <tableColumn id="3" xr3:uid="{0F46A9C7-7C83-42D1-A309-7325397F5236}" name="empresa" dataDxfId="120"/>
    <tableColumn id="4" xr3:uid="{F721C566-B42C-4B2C-9946-7DA03969DC90}" name="centro.negocio" dataDxfId="119"/>
    <tableColumn id="5" xr3:uid="{8D9D4173-C28C-4992-A064-F483ADDB0E23}" name="categoria" dataDxfId="118"/>
    <tableColumn id="6" xr3:uid="{81048B38-F467-4E84-8A20-F585D954E066}" name="n.siban" dataDxfId="117"/>
    <tableColumn id="7" xr3:uid="{6CBBA08B-DF25-4369-A82D-8FA8F29EFA80}" name="origem" dataDxfId="116"/>
    <tableColumn id="8" xr3:uid="{7ABB27F8-B8CB-470A-8419-30B67BC51AD4}" name="tipo.entrada" dataDxfId="115"/>
    <tableColumn id="9" xr3:uid="{69DFD527-31D6-4991-B07E-927ACDC7CCA5}" name="documento" dataDxfId="114"/>
    <tableColumn id="10" xr3:uid="{A011B5AE-D821-47F3-A9A6-F73395565959}" name="parcela" dataDxfId="113"/>
    <tableColumn id="11" xr3:uid="{C3536954-73DF-43E9-B074-638C86E811AA}" name="data.vencimento" dataDxfId="112"/>
    <tableColumn id="12" xr3:uid="{F3716B11-9C97-4DB0-8371-CE9B5B6B2835}" name="data.pagamento" dataDxfId="111"/>
    <tableColumn id="13" xr3:uid="{22491C3C-25CC-446A-9E63-A4864D1C0FC9}" name="valor" dataDxfId="110"/>
    <tableColumn id="14" xr3:uid="{9F6A6033-77D1-4985-A84E-8552AC4C5382}" name="a/c" dataDxfId="109"/>
    <tableColumn id="15" xr3:uid="{E076FDFD-C917-4899-BB40-F4499FF592BE}" name="documento.pagto" dataDxfId="108"/>
    <tableColumn id="16" xr3:uid="{75ABA4F4-48E3-4C5F-8173-5ED4DBFA82D8}" name="credor" dataDxfId="107"/>
    <tableColumn id="17" xr3:uid="{8CA2E840-C63A-4531-93C8-123AFA79FB8C}" name="classe" dataDxfId="106"/>
    <tableColumn id="18" xr3:uid="{5752141F-D6C3-4E1A-B10F-5C08983DA09A}" name="assunto.titulo" dataDxfId="105"/>
    <tableColumn id="19" xr3:uid="{4F627380-75D5-43C0-9A09-E48059974E95}" name="grupo.titulo" dataDxfId="104"/>
    <tableColumn id="20" xr3:uid="{58602D9F-504C-4459-831A-2C342BEDC48D}" name="subgrupo.titulo" dataDxfId="103"/>
    <tableColumn id="21" xr3:uid="{327A2116-6BB3-4610-A671-1A4C96BFEC0F}" name="classificacao" dataDxfId="102"/>
    <tableColumn id="22" xr3:uid="{983BAABF-26E4-4519-AA67-4856AFC95801}" name="d/c" dataDxfId="101"/>
    <tableColumn id="23" xr3:uid="{80C8F68F-ECB3-49D4-A74E-D629239E9C92}" name="cod.grupo.nuc" dataDxfId="100"/>
    <tableColumn id="24" xr3:uid="{D442FD0E-1287-4A06-98FC-6B0AEAD7BEC9}" name="grupo.nucleo" dataDxfId="99"/>
    <tableColumn id="25" xr3:uid="{6DFAC642-E786-4831-B43F-F44A89E2D703}" name="cod.grupo.cen" dataDxfId="98"/>
    <tableColumn id="26" xr3:uid="{C2FECD4D-2685-40F5-8A02-E4AF08AA3A80}" name="grupo.centro" dataDxfId="97"/>
    <tableColumn id="27" xr3:uid="{C9A23853-8F7E-4588-B7FD-8D6378266F1E}" name="cod.classe.cen" dataDxfId="96"/>
    <tableColumn id="28" xr3:uid="{F2EB607E-C2EE-4A67-B514-8C0634DDFE5B}" name="classe.centro" dataDxfId="95"/>
    <tableColumn id="29" xr3:uid="{F25F60B2-DE2C-4070-9B2E-8992D19A74E5}" name="arquivo" dataDxfId="94"/>
    <tableColumn id="30" xr3:uid="{BD1F13BE-7F96-454A-BF6E-E5CC7E3E33C5}" name="arquivo.tabela.tipo" dataDxfId="93"/>
    <tableColumn id="31" xr3:uid="{EABBC6B5-0899-4C37-87FE-DAB7CEAB1319}" name="arquivo.tipo" dataDxfId="92"/>
    <tableColumn id="32" xr3:uid="{41C21546-62DD-45A0-8F9F-8E92FA4F8E75}" name="arquivo.fonte" dataDxfId="91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C97D4-C6EC-4BA2-BDB8-ED5F99D32C7B}" name="ecns" displayName="ecns" ref="A1:L2" insertRow="1" totalsRowShown="0" headerRowDxfId="90" dataDxfId="89">
  <autoFilter ref="A1:L2" xr:uid="{E04C97D4-C6EC-4BA2-BDB8-ED5F99D32C7B}"/>
  <tableColumns count="12">
    <tableColumn id="1" xr3:uid="{B5DFC91C-E081-4C3D-92BC-96E63DBDA06E}" name="empresa" dataDxfId="88"/>
    <tableColumn id="2" xr3:uid="{FA8F031D-9B1D-4B80-B82B-8AD3A6BAC081}" name="contrato.cef.5" dataDxfId="87"/>
    <tableColumn id="3" xr3:uid="{AA23661F-0E86-454B-B6FA-A33BA6F0CD1B}" name="repasse.cef.total" dataDxfId="86"/>
    <tableColumn id="4" xr3:uid="{EE24BE11-7DE0-4865-9425-57AA4E53C3E7}" name="repasse.cef.incorrido" dataDxfId="85"/>
    <tableColumn id="5" xr3:uid="{0F4302C0-1CDD-4B4D-A83B-6214CFBCD2EA}" name="repasse.cef.a.incorrer" dataDxfId="84"/>
    <tableColumn id="6" xr3:uid="{9D6ADF16-5B0C-4F1A-AEEF-585B9E5F5755}" name="repasse.cef.fin" dataDxfId="83"/>
    <tableColumn id="7" xr3:uid="{37A1F46E-AFA9-4CD2-A308-F4D6219EF875}" name="repasse.cef.desc.subs" dataDxfId="82"/>
    <tableColumn id="8" xr3:uid="{E6BABD7C-7C5B-4C88-A5BF-AF4E450F389B}" name="repasse.cef.fgts" dataDxfId="81"/>
    <tableColumn id="9" xr3:uid="{A2FE521F-3077-4FE2-BEC6-79AE0FCEB217}" name="repasse.cef.rec.prop" dataDxfId="80"/>
    <tableColumn id="10" xr3:uid="{68CE88C2-EF45-4F98-8368-487AAE13F73A}" name="repasse.cef.terreno.acum" dataDxfId="79"/>
    <tableColumn id="11" xr3:uid="{6013DC4F-C554-47DC-9D7B-BF1FFA36C501}" name="repasse.cef.obra.acum" dataDxfId="78"/>
    <tableColumn id="12" xr3:uid="{2706354C-F402-4E95-A801-2AA598F4077D}" name="arquivo" dataDxfId="77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34F691-1E3A-4C6D-8D5E-1187C61713C6}" name="empr" displayName="empr" ref="A1:N2" insertRow="1" totalsRowShown="0">
  <autoFilter ref="A1:N2" xr:uid="{8E34F691-1E3A-4C6D-8D5E-1187C61713C6}"/>
  <tableColumns count="14">
    <tableColumn id="1" xr3:uid="{FE6D1018-7FE1-4120-801F-6186A307610E}" name="codigo.empreendimento"/>
    <tableColumn id="2" xr3:uid="{980809E6-3566-4814-8709-E047A8D3E3C6}" name="nome.empreendimento"/>
    <tableColumn id="3" xr3:uid="{4D3004BD-472A-4C20-921C-58B07036BDD5}" name="nucleo"/>
    <tableColumn id="4" xr3:uid="{7A90EBF9-44FB-4DC3-ADE8-89AA1C77287B}" name="empresa"/>
    <tableColumn id="5" xr3:uid="{254DDCB7-E9F4-4C62-AF2A-D621A6DFE137}" name="filial"/>
    <tableColumn id="6" xr3:uid="{1914325F-FEED-4A7B-BE0C-953DB3FB8DB2}" name="observacoes"/>
    <tableColumn id="7" xr3:uid="{18EBA16E-6649-4B06-916A-512FF6443E70}" name="criado.por"/>
    <tableColumn id="8" xr3:uid="{D6E35DDD-B3A9-476E-8139-ABF8FBCB0E18}" name="criado.em"/>
    <tableColumn id="9" xr3:uid="{394CA29C-5E40-4B4F-9B51-AD5A24D039F4}" name="alterado.por"/>
    <tableColumn id="10" xr3:uid="{0F4C6A86-6A10-4273-A480-2293988BD6E2}" name="alterado.em"/>
    <tableColumn id="11" xr3:uid="{DD63D8CF-9ABD-4820-94FA-2E7396E6B3B5}" name="arquivo"/>
    <tableColumn id="12" xr3:uid="{E4FE2065-46D0-4A37-B123-1BCE761EAB9C}" name="arquivo.tabela.tipo"/>
    <tableColumn id="13" xr3:uid="{B572CB11-6A65-4BA7-BFE8-06E4598C7B88}" name="arquivo.tipo"/>
    <tableColumn id="14" xr3:uid="{B8332DB8-6EC9-4636-8EF5-98B5E5BE55AD}" name="arquivo.fonte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E42C6A-F8A7-4644-B8D7-56B2E74FEEC8}" name="tb_estq" displayName="tb_estq" ref="A1:AL2" insertRow="1" totalsRowShown="0">
  <autoFilter ref="A1:AL2" xr:uid="{93E42C6A-F8A7-4644-B8D7-56B2E74FEEC8}"/>
  <tableColumns count="38">
    <tableColumn id="1" xr3:uid="{E73A435C-50A8-4761-AD66-4C7F7E5F0A48}" name="id"/>
    <tableColumn id="4" xr3:uid="{C88C8388-725E-45B3-8547-988A25EBE545}" name="empresa"/>
    <tableColumn id="2" xr3:uid="{224E59DF-C775-4DDA-BE67-53FBB29E8F31}" name="especie"/>
    <tableColumn id="3" xr3:uid="{181DB74E-4CBD-4D00-A45E-85B892BE6EFD}" name="unidade"/>
    <tableColumn id="5" xr3:uid="{36187C5E-82CC-446D-AB6F-591F3C5EF492}" name="Empreendimento"/>
    <tableColumn id="6" xr3:uid="{C4AEA384-10CC-4302-86F1-3242943BF673}" name="Unidade_1"/>
    <tableColumn id="7" xr3:uid="{B7F53C8A-7BFF-48EB-BC98-80B0F0F766CB}" name="Anot. venda"/>
    <tableColumn id="8" xr3:uid="{E2402D53-0FFA-4D7D-965B-7647FBEC155D}" name="Planta"/>
    <tableColumn id="9" xr3:uid="{25CFBA7E-D488-4E45-AE39-C0F4E1D71B38}" name="Status"/>
    <tableColumn id="10" xr3:uid="{82309B00-00C4-4534-A331-6D90BB9D318D}" name="Equipe"/>
    <tableColumn id="11" xr3:uid="{DE07811A-D924-4FD5-BF78-B73D9C465585}" name="Gerente"/>
    <tableColumn id="12" xr3:uid="{3E838B71-5EC4-42DD-8AEB-1EDD36E7CC3B}" name="Corretor"/>
    <tableColumn id="13" xr3:uid="{7B9BBEF8-F3C9-4534-B893-658813C22EAD}" name="Cliente(s)"/>
    <tableColumn id="14" xr3:uid="{D651D79B-10AC-4670-97A8-D3A4BB2D1857}" name="Desconto Tab."/>
    <tableColumn id="15" xr3:uid="{083F74FC-DD01-4F26-BC38-615D40F57252}" name="Área total"/>
    <tableColumn id="16" xr3:uid="{46CCA9AC-E8A8-4EAD-9E6F-0AA163A59082}" name="Área privativa"/>
    <tableColumn id="17" xr3:uid="{24797C1F-0100-4D92-B536-3778B67EFF2C}" name="Fração ideal"/>
    <tableColumn id="18" xr3:uid="{53D0011C-4139-4585-9CED-3555200CD3A2}" name="Quartos"/>
    <tableColumn id="19" xr3:uid="{B1F8A8CA-8061-43CD-BD22-8270709B0590}" name="Vagas"/>
    <tableColumn id="20" xr3:uid="{7540F34C-40B4-433E-9B44-A0FCBEC64BB6}" name="Classificação Venda"/>
    <tableColumn id="21" xr3:uid="{C73DA5F3-BC1B-404D-A632-20AEBEBCAAFA}" name="Estágio Contrato"/>
    <tableColumn id="22" xr3:uid="{61FCC204-A01E-4720-811F-1760CA3FC71A}" name="Preço Tab."/>
    <tableColumn id="23" xr3:uid="{EAF329ED-E1F4-4AD1-AA72-873F9D4B4061}" name="Preço Tab. com Desconto"/>
    <tableColumn id="24" xr3:uid="{F0750966-6C8F-448B-8520-CBD019745961}" name="valor.venda"/>
    <tableColumn id="25" xr3:uid="{9F6C111F-92C5-482C-A8B6-FF7014D37BBE}" name="Valor m2"/>
    <tableColumn id="26" xr3:uid="{D84A78F5-80F9-4159-9EE7-A1B063126B24}" name="Valor m2 com Desconto"/>
    <tableColumn id="27" xr3:uid="{A591FAD1-35CC-4D3A-AB73-9FA9F43361C5}" name="Data da venda / reserva"/>
    <tableColumn id="28" xr3:uid="{5812E4CF-BC26-4810-BA47-7F98B09DC283}" name="Data do pedido"/>
    <tableColumn id="29" xr3:uid="{E5217732-F884-4715-9E4E-A96A24D3749D}" name="Taxa de decoração - Valor total"/>
    <tableColumn id="30" xr3:uid="{D063D8FA-89FB-483A-A2F9-62CE74B20689}" name="Taxa de decoração - Parcelas"/>
    <tableColumn id="31" xr3:uid="{D894EFB4-BE5B-4636-9B75-E2AF0962BBCE}" name="Taxa de decoração - Início pagto"/>
    <tableColumn id="32" xr3:uid="{18147793-27FC-4E39-8052-C262A29770B7}" name="Taxa de decoração - Início correção"/>
    <tableColumn id="33" xr3:uid="{A369BFC1-68DF-40B3-BA60-7D748BC6B5E5}" name="Data de recebimento"/>
    <tableColumn id="34" xr3:uid="{58A1A5F6-9059-4493-9F71-89EE5C9FEC68}" name="Venda confirmada?"/>
    <tableColumn id="35" xr3:uid="{D53138A8-9019-456D-839B-9AFD8B0E589D}" name="Opção de planta"/>
    <tableColumn id="36" xr3:uid="{12392CA1-92FC-451C-94CB-014BFB73080C}" name="arquivo"/>
    <tableColumn id="37" xr3:uid="{5A59041B-F362-4681-9D18-E4A64EB38EB8}" name="arquivo.tipo"/>
    <tableColumn id="38" xr3:uid="{1DB272CE-E220-46F7-BC6A-94F8B487392F}" name="arquivo.fonte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C6BD7-973F-4F27-B58D-A618D9F2AED0}" name="tb_unis" displayName="tb_unis" ref="A1:AO2" insertRow="1" totalsRowShown="0">
  <autoFilter ref="A1:AO2" xr:uid="{EBEC6BD7-973F-4F27-B58D-A618D9F2AED0}"/>
  <tableColumns count="41">
    <tableColumn id="1" xr3:uid="{1946085A-0C0C-4F80-B23A-90149FDC68C2}" name="empreendimento"/>
    <tableColumn id="2" xr3:uid="{562E3C31-BDD5-47F0-B471-27E131C2A34C}" name="setor"/>
    <tableColumn id="3" xr3:uid="{46C52AB4-FCF9-4E6F-AE40-D24F283EAFC0}" name="edificacao"/>
    <tableColumn id="4" xr3:uid="{B4A50061-AE52-45FC-A244-DCD52296F2FD}" name="unidade"/>
    <tableColumn id="5" xr3:uid="{6B21F9D3-DA7E-4050-960E-AA763F850477}" name="p.c"/>
    <tableColumn id="6" xr3:uid="{579571F5-2A73-46E2-B7BD-00361A2A5466}" name="especie"/>
    <tableColumn id="7" xr3:uid="{84EDCB31-7107-42CD-AC16-F7E3B1023A34}" name="pavimento"/>
    <tableColumn id="8" xr3:uid="{07D971EB-5D48-4A5F-AC7F-FD94872465F2}" name="situacao"/>
    <tableColumn id="9" xr3:uid="{13012D7E-B30E-4791-8A64-61C491DC4219}" name="obs.situacao"/>
    <tableColumn id="10" xr3:uid="{B608E271-7A8B-4E12-AB02-A6C613C653B4}" name="adm.terceiro"/>
    <tableColumn id="11" xr3:uid="{785D8527-AFBD-49C8-8305-74589108E642}" name="inativo"/>
    <tableColumn id="12" xr3:uid="{77F2CDDE-FA00-4F63-AB28-7C4A760810BD}" name="tab.preco"/>
    <tableColumn id="13" xr3:uid="{EF70E10C-2D5A-4C65-8224-CD8711F3E018}" name="area"/>
    <tableColumn id="14" xr3:uid="{2E7CEE29-EBA5-4C0E-83DD-AFF0223C02D8}" name="area.lote"/>
    <tableColumn id="15" xr3:uid="{7664E981-4575-4BFB-9EF9-2FDA9B2B08FD}" name="fracao.ideal"/>
    <tableColumn id="16" xr3:uid="{F9543E2F-25BC-4D06-ABAE-D858ACAAE8FF}" name="suites"/>
    <tableColumn id="17" xr3:uid="{CA65ADFF-6BFD-47F7-864A-5740F55EC859}" name="d.simples"/>
    <tableColumn id="18" xr3:uid="{7DBD0846-7B56-4C06-AA89-087D950FC7D7}" name="imobiliaria"/>
    <tableColumn id="19" xr3:uid="{3A4EEC6C-2262-4C83-B812-3B424D03712C}" name="corretor"/>
    <tableColumn id="20" xr3:uid="{64B1E83B-7580-4540-BB03-DC702CA0E0FE}" name="cliente"/>
    <tableColumn id="21" xr3:uid="{92D10FDB-BA57-4AA6-A477-D32494EE5A81}" name="cotista"/>
    <tableColumn id="22" xr3:uid="{DE51F105-8657-4A6B-B184-B2125D3368EB}" name="data"/>
    <tableColumn id="23" xr3:uid="{9A2037A9-8C8B-4DCD-9C6B-4866FEE2A324}" name="mes.ano"/>
    <tableColumn id="24" xr3:uid="{EAA89675-609C-45AC-A53F-8DEAFC5E6804}" name="valor.imovel"/>
    <tableColumn id="25" xr3:uid="{212F1741-3D35-4FB6-A99C-2F80CD131C9E}" name="comissao"/>
    <tableColumn id="26" xr3:uid="{331CCBB3-3BEB-4714-A1D7-ECB44E1AF3EC}" name="valor.c.d"/>
    <tableColumn id="27" xr3:uid="{F56EF844-5616-4ADA-AF9C-4C3588A5A0E0}" name="valor.comissao"/>
    <tableColumn id="28" xr3:uid="{32496F39-7EEE-4417-9A58-F9726FB21D1D}" name="valor.venda"/>
    <tableColumn id="29" xr3:uid="{2DAB6672-61D2-499B-96E4-FF32E90B497C}" name="disponivel.locacao"/>
    <tableColumn id="30" xr3:uid="{B8DE1113-2F98-4FA0-A82C-98C55D232D76}" name="escriturado"/>
    <tableColumn id="31" xr3:uid="{85710E86-E988-4294-964D-C62B9D9CA60D}" name="transferido.iptu"/>
    <tableColumn id="32" xr3:uid="{3966D5F5-251B-4117-8E95-30332DE82C2F}" name="data.escritura"/>
    <tableColumn id="33" xr3:uid="{4CDE239D-1A14-41FF-BDA0-BA973D32BD5B}" name="cartorio"/>
    <tableColumn id="34" xr3:uid="{2312425A-0B9A-49B2-8CCB-82DD81C11F17}" name="cartorio.nome"/>
    <tableColumn id="35" xr3:uid="{CF96BEEF-78F0-4E65-B208-465D77D641E0}" name="matricula"/>
    <tableColumn id="36" xr3:uid="{A9FAD113-21FD-4B0B-85D4-177C1114059E}" name="arquivo"/>
    <tableColumn id="37" xr3:uid="{7413B2E3-EA79-48E6-BBC7-06D208B932A4}" name="arquivo.tipo"/>
    <tableColumn id="38" xr3:uid="{96AC5DD9-1950-49A3-B3E7-CC9ED3A47833}" name="arquivo.tabela.tipo"/>
    <tableColumn id="39" xr3:uid="{AB9C2118-A34B-4ACC-A54A-0B9F206DF3CF}" name="arquivo.fonte"/>
    <tableColumn id="40" xr3:uid="{0DC90BEA-30FE-4F3D-8719-7399CCE81ED9}" name="empresa"/>
    <tableColumn id="41" xr3:uid="{25938710-1199-4871-BCB2-C8F659C64A2F}" name="id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E2832E-9D86-4E52-8328-106E72D685CE}" name="tb_caixa" displayName="tb_caixa" ref="B36:D270" totalsRowShown="0" dataDxfId="263">
  <autoFilter ref="B36:D270" xr:uid="{27E2832E-9D86-4E52-8328-106E72D685CE}"/>
  <tableColumns count="3">
    <tableColumn id="1" xr3:uid="{3AE39A28-EB41-4ED7-97D1-D22DED57C157}" name="Dia" dataDxfId="262"/>
    <tableColumn id="2" xr3:uid="{AA59BD1A-A3DE-4A20-A620-BE1E4CB729CE}" name="Saldo" dataDxfId="261"/>
    <tableColumn id="3" xr3:uid="{81351FB7-4A64-4DFF-AD43-254BB2AFDDB6}" name="Empresa" dataDxfId="260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C24ABEE-94F5-469C-9FF4-746BF65BCF0E}" name="cx_conta" displayName="cx_conta" ref="B69:N194" totalsRowShown="0" headerRowDxfId="76" dataDxfId="75">
  <autoFilter ref="B69:N194" xr:uid="{8C24ABEE-94F5-469C-9FF4-746BF65BCF0E}"/>
  <sortState xmlns:xlrd2="http://schemas.microsoft.com/office/spreadsheetml/2017/richdata2" ref="B70:N194">
    <sortCondition ref="B69:B194"/>
  </sortState>
  <tableColumns count="13">
    <tableColumn id="11" xr3:uid="{E93BAB25-0647-4CA3-A5A1-6C89FF873590}" name="id" dataDxfId="74">
      <calculatedColumnFormula>cx_conta[[#This Row],[empresa]]&amp;"-"&amp;cx_conta[[#This Row],[instituicao]]&amp;"-"&amp;RIGHT(SUBSTITUTE(SUBSTITUTE(cx_conta[[#This Row],[contaAtual]]," ",""),"-",""),4)</calculatedColumnFormula>
    </tableColumn>
    <tableColumn id="13" xr3:uid="{1A340A12-760C-446D-8C2C-5373ED0A0E53}" name="apelidoConta" dataDxfId="73"/>
    <tableColumn id="1" xr3:uid="{CF744759-088C-4A56-BB2F-8D1FA0AFE70D}" name="empresa" dataDxfId="72"/>
    <tableColumn id="2" xr3:uid="{F0494288-0A71-454E-B961-92ABA6C64A0B}" name="contaAntiga" dataDxfId="71"/>
    <tableColumn id="8" xr3:uid="{76BEBD3F-0ADE-4092-A052-4395D33FE069}" name="contaAtual" dataDxfId="70"/>
    <tableColumn id="3" xr3:uid="{A3517A79-7A78-4BFE-933B-4AE920406977}" name="instituicao" dataDxfId="69"/>
    <tableColumn id="9" xr3:uid="{5832EB73-3C71-43E4-8C01-0C1FE62F37F7}" name="tipo" dataDxfId="68"/>
    <tableColumn id="10" xr3:uid="{3D6324C8-1777-4FAC-A855-DB4F6DED70D4}" name="repasseCef" dataDxfId="67"/>
    <tableColumn id="7" xr3:uid="{8D31FAC2-E1DC-4D67-AF55-7CF11A4B5612}" name="soVisualizacao" dataDxfId="66"/>
    <tableColumn id="4" xr3:uid="{87D483C0-342B-4982-92B9-2AE6D7CDB40B}" name="data" dataDxfId="65"/>
    <tableColumn id="5" xr3:uid="{87DDBC36-F870-47DA-A29D-180ECA983BE9}" name="saldo" dataDxfId="64" dataCellStyle="Moeda"/>
    <tableColumn id="12" xr3:uid="{86023E73-293E-4DE0-80DC-15D6D8621714}" name="saldoBloqueado" dataDxfId="63" dataCellStyle="Moeda"/>
    <tableColumn id="6" xr3:uid="{72D27E37-8593-47D8-A590-29E9E94C52B6}" name="limiteChequeEspecial" dataDxfId="62" dataCellStyle="Moeda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E378263-DE18-4BEE-8EE2-57BEA68F56C8}" name="cx_03_08_26" displayName="cx_03_08_26" ref="A2:L64" totalsRowShown="0" headerRowDxfId="61" dataDxfId="60">
  <autoFilter ref="A2:L64" xr:uid="{126C2A0C-8925-4386-875A-2D25460ED819}"/>
  <tableColumns count="12">
    <tableColumn id="1" xr3:uid="{37B9D718-16CE-454E-9375-B7C8A8AF5455}" name="empresa" dataDxfId="59"/>
    <tableColumn id="13" xr3:uid="{FF964E64-EB57-438B-A734-E7CD21FFB432}" name="apelidoConta" dataDxfId="58"/>
    <tableColumn id="2" xr3:uid="{C88506A8-E829-4FB0-95DE-E701562E5364}" name="contaAntiga" dataDxfId="57"/>
    <tableColumn id="8" xr3:uid="{5A7FB222-E82B-45EB-8663-0D7C017D77EB}" name="contaAtual" dataDxfId="56"/>
    <tableColumn id="3" xr3:uid="{CCEDC6B2-3C64-4A01-B3DB-E780E3A8A47E}" name="instituicao" dataDxfId="55"/>
    <tableColumn id="9" xr3:uid="{94092220-CD6D-40DE-96F2-AADC46C04903}" name="tipo" dataDxfId="54"/>
    <tableColumn id="10" xr3:uid="{5C7AD552-3EF6-4239-9A56-158B7E332674}" name="repasseCef" dataDxfId="53"/>
    <tableColumn id="7" xr3:uid="{9148279D-153A-4993-BB34-2A0149174D13}" name="soVisualizacao" dataDxfId="52"/>
    <tableColumn id="4" xr3:uid="{F8672B91-13D9-482B-930F-C7A58F4E0A9E}" name="data" dataDxfId="51">
      <calculatedColumnFormula>$B$1</calculatedColumnFormula>
    </tableColumn>
    <tableColumn id="5" xr3:uid="{9D387CDD-7C7C-4427-BC19-A6C83DAEC769}" name="saldo" dataDxfId="50" dataCellStyle="Moeda"/>
    <tableColumn id="12" xr3:uid="{16C49A13-B5DC-4937-8455-14E3B1E881B0}" name="saldoBloqueado" dataDxfId="49" dataCellStyle="Moeda"/>
    <tableColumn id="6" xr3:uid="{51E3C36E-0FA5-4EE3-BF3E-BEE4E8829C13}" name="limiteChequeEspecial" dataDxfId="48" dataCellStyle="Moeda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7A7B36-2A16-4A5E-BD55-B857C6FC353A}" name="cx_01_09_26" displayName="cx_01_09_26" ref="A2:L65" totalsRowShown="0" headerRowDxfId="47" dataDxfId="46" tableBorderDxfId="45">
  <autoFilter ref="A2:L65" xr:uid="{EDD5F2DF-E8FC-4B15-A6D2-B87B774230D8}"/>
  <sortState xmlns:xlrd2="http://schemas.microsoft.com/office/spreadsheetml/2017/richdata2" ref="A3:L65">
    <sortCondition ref="A2:A65"/>
  </sortState>
  <tableColumns count="12">
    <tableColumn id="1" xr3:uid="{22B9352A-5B9C-4769-AAB1-69FC1D4ABA31}" name="empresa" dataDxfId="44"/>
    <tableColumn id="13" xr3:uid="{82739A8A-F42C-4C9A-876B-ACF9821D322B}" name="apelidoConta" dataDxfId="43"/>
    <tableColumn id="2" xr3:uid="{80200BB4-8087-4E6A-9A8D-1F329AC8C83D}" name="contaAntiga" dataDxfId="42"/>
    <tableColumn id="8" xr3:uid="{E747DAA1-A0BC-4CF9-B162-61811EECC796}" name="contaAtual" dataDxfId="41"/>
    <tableColumn id="3" xr3:uid="{36F691D8-F14B-4549-9D72-11BA52C101EC}" name="instituicao" dataDxfId="40"/>
    <tableColumn id="9" xr3:uid="{9C99A790-6D17-49DE-9723-AA6E0B479615}" name="tipo" dataDxfId="39"/>
    <tableColumn id="10" xr3:uid="{462C02CD-9450-4BDA-A6F1-AE8EED2DF87F}" name="repasseCef" dataDxfId="38"/>
    <tableColumn id="7" xr3:uid="{03A51936-BD97-42AC-B7F5-9E589FDE9F87}" name="soVisualizacao" dataDxfId="37"/>
    <tableColumn id="4" xr3:uid="{C8AC2C53-61E6-4CFB-A7A6-A66DDFBFE7C4}" name="data" dataDxfId="36">
      <calculatedColumnFormula>$B$1</calculatedColumnFormula>
    </tableColumn>
    <tableColumn id="5" xr3:uid="{F8639074-9DB2-44B0-8F2B-CC1B99C88F32}" name="saldo" dataDxfId="35" dataCellStyle="Moeda"/>
    <tableColumn id="12" xr3:uid="{9FEB2EDF-E815-46E4-B816-5AC6F6B2812D}" name="saldoBloqueado" dataDxfId="34" dataCellStyle="Moeda"/>
    <tableColumn id="6" xr3:uid="{95693664-408F-400E-A8B2-8D4113E66233}" name="limiteChequeEspecial" dataDxfId="3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27" dT="2026-01-16T14:46:35.94" personId="{42E265A3-45EC-48D4-9B29-0671EDA53BA5}" id="{B97EF171-1111-419D-8615-2A0F4FE5751F}">
    <text>Deveria ser possível separar entre amortização e juros</text>
  </threadedComment>
  <threadedComment ref="M228" dT="2026-02-06T16:34:53.82" personId="{42E265A3-45EC-48D4-9B29-0671EDA53BA5}" id="{36865222-C131-45FD-9980-EEE90DD0E7E9}">
    <text>3M incluído manualmente</text>
  </threadedComment>
  <threadedComment ref="N228" dT="2026-02-06T16:36:34.39" personId="{42E265A3-45EC-48D4-9B29-0671EDA53BA5}" id="{928B6802-F15E-48F8-B189-5913C3914911}">
    <text>4,2M incluído manualmente</text>
  </threadedComment>
  <threadedComment ref="H230" dT="2026-04-16T17:50:55.34" personId="{42E265A3-45EC-48D4-9B29-0671EDA53BA5}" id="{78AE4BA1-A69F-427C-B50A-8E1A5710EAE8}">
    <text>5.405.358,06 incluído manualmente</text>
  </threadedComment>
  <threadedComment ref="J230" dT="2026-04-16T17:54:10.25" personId="{42E265A3-45EC-48D4-9B29-0671EDA53BA5}" id="{3329F516-6554-4797-B4CF-6715A5A419F5}">
    <text>994.999,95 incluído manualmente</text>
  </threadedComment>
  <threadedComment ref="H231" dT="2026-04-16T17:51:54.18" personId="{42E265A3-45EC-48D4-9B29-0671EDA53BA5}" id="{C7B25001-7A33-4034-BA3E-315533988066}">
    <text>4.295.585 incluído manualmente</text>
  </threadedComment>
  <threadedComment ref="J231" dT="2026-04-16T17:55:06.89" personId="{42E265A3-45EC-48D4-9B29-0671EDA53BA5}" id="{87775CC1-3D83-489B-88D0-C88882327DC3}">
    <text>1.855.585 incluído manualmente</text>
  </threadedComment>
  <threadedComment ref="H232" dT="2026-04-16T17:49:49.24" personId="{42E265A3-45EC-48D4-9B29-0671EDA53BA5}" id="{5682EFCA-CB56-4D09-B1CB-A0DF81C058D6}">
    <text>944.552 incluído manualmente</text>
  </threadedComment>
  <threadedComment ref="G234" dT="2026-04-16T17:52:52.57" personId="{42E265A3-45EC-48D4-9B29-0671EDA53BA5}" id="{01192B99-6F63-43B4-B068-B40C5E763CDE}">
    <text>528.000 incluído manualmente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9" dT="2026-01-16T14:46:35.94" personId="{42E265A3-45EC-48D4-9B29-0671EDA53BA5}" id="{15093130-B4FB-4BD7-A1F7-B271BFEE904D}">
    <text>Deveria ser possível separar entre amortização e juros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0" dT="2026-01-16T14:46:35.94" personId="{42E265A3-45EC-48D4-9B29-0671EDA53BA5}" id="{AFF6F1F2-B677-4C59-8119-C4E0594B1C8A}">
    <text>Deveria ser possível separar entre amortização e juros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dT="2025-12-18T19:02:02.16" personId="{42E265A3-45EC-48D4-9B29-0671EDA53BA5}" id="{13D2FDD3-A3EA-448A-8C38-227322D1BF77}">
    <text>Valor total do financiamento do ABC (incorrido + a incorrer)</text>
  </threadedComment>
  <threadedComment ref="G9" dT="2025-12-18T19:02:02.16" personId="{42E265A3-45EC-48D4-9B29-0671EDA53BA5}" id="{C5E8C69A-E155-4669-8943-97FC0148E6B1}">
    <text>Valor total do financiamento do ABC (incorrido + a incorrer)</text>
  </threadedComment>
  <threadedComment ref="G10" dT="2025-12-18T19:02:02.16" personId="{42E265A3-45EC-48D4-9B29-0671EDA53BA5}" id="{96D45720-E260-411E-B0E4-BF19737BE0EC}">
    <text>Valor total do financiamento do ABC (incorrido + a incorrer)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2" dT="2026-07-27T17:59:25.73" personId="{5938D9F3-D67C-4270-BA01-0A054F741D67}" id="{135E4B1D-D380-4825-9F21-E705037DFD5B}">
    <text>CC sem movimentação, porém saldo real</text>
  </threadedComment>
  <threadedComment ref="A41" dT="2026-07-27T18:09:20.26" personId="{5938D9F3-D67C-4270-BA01-0A054F741D67}" id="{22313604-2C0A-49B4-A767-4DD0F8CBF7FA}">
    <text>Conta em processo de encerramento</text>
  </threadedComment>
  <threadedComment ref="A43" dT="2026-07-27T18:10:14.47" personId="{5938D9F3-D67C-4270-BA01-0A054F741D67}" id="{1FC690FB-F1C8-4FD7-A498-5EE84710F05B}">
    <text xml:space="preserve">Saldo negativo dessa conta de 9MM é de liberação de medição obra, não é valor valido. 
conta de acompanhamento de carteira recebiveis - porem movimenta automatico para outra conta. </text>
  </threadedComment>
  <threadedComment ref="A46" dT="2026-07-27T17:59:57.36" personId="{5938D9F3-D67C-4270-BA01-0A054F741D67}" id="{99573BE0-D4A0-4B88-936E-9D41DFC75B1A}">
    <text>Carteira Recebiveis CRI</text>
  </threadedComment>
  <threadedComment ref="A47" dT="2026-07-27T18:05:39.77" personId="{5938D9F3-D67C-4270-BA01-0A054F741D67}" id="{F046BBA8-B1F5-4CD3-BFC1-71DEC74A48A7}">
    <text xml:space="preserve">Carteira Recebiveis CRI
</text>
  </threadedComment>
  <threadedComment ref="A54" dT="2026-07-27T18:08:36.03" personId="{5938D9F3-D67C-4270-BA01-0A054F741D67}" id="{5BFF30E9-2FFF-4A44-A712-A917748A796D}">
    <text>Carteira Recebiveis GFM</text>
  </threadedComment>
  <threadedComment ref="A57" dT="2026-07-27T18:05:44.95" personId="{5938D9F3-D67C-4270-BA01-0A054F741D67}" id="{DE455DDF-D7B1-4EDA-8FF0-E965117A87EF}">
    <text xml:space="preserve">Carteira Recebiveis CRI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2" dT="2026-07-27T17:59:25.73" personId="{5938D9F3-D67C-4270-BA01-0A054F741D67}" id="{B3EED6EA-0D79-4F97-9B50-C4BFE18F67CD}">
    <text>CC sem movimentação, porém saldo real</text>
  </threadedComment>
  <threadedComment ref="A42" dT="2026-07-27T18:09:20.26" personId="{5938D9F3-D67C-4270-BA01-0A054F741D67}" id="{27A7CABA-1C66-449A-A0FD-09CB320E30EB}">
    <text>Conta em processo de encerramento</text>
  </threadedComment>
  <threadedComment ref="A44" dT="2026-07-27T18:10:14.47" personId="{5938D9F3-D67C-4270-BA01-0A054F741D67}" id="{F24278FB-B4A9-41D3-9141-0803D331C552}">
    <text xml:space="preserve">Saldo negativo dessa conta de 9MM é de liberação de medição obra, não é valor valido. 
conta de acompanhamento de carteira recebiveis - porem movimenta automatico para outra conta. </text>
  </threadedComment>
  <threadedComment ref="A47" dT="2026-07-27T17:59:57.36" personId="{5938D9F3-D67C-4270-BA01-0A054F741D67}" id="{893568C2-878D-481D-A7AF-5A4BA8D3A3FE}">
    <text>Carteira Recebiveis CRI</text>
  </threadedComment>
  <threadedComment ref="A48" dT="2026-07-27T18:05:39.77" personId="{5938D9F3-D67C-4270-BA01-0A054F741D67}" id="{EEB0519E-BA7B-450A-8155-8E6A0943723D}">
    <text xml:space="preserve">Carteira Recebiveis CRI
</text>
  </threadedComment>
  <threadedComment ref="A55" dT="2026-07-27T18:08:36.03" personId="{5938D9F3-D67C-4270-BA01-0A054F741D67}" id="{C89FD267-00E6-407A-A95C-4B009BAEA15E}">
    <text>Carteira Recebiveis GFM</text>
  </threadedComment>
  <threadedComment ref="A64" dT="2026-07-27T18:05:44.95" personId="{5938D9F3-D67C-4270-BA01-0A054F741D67}" id="{2CC34F9A-CAA1-4531-AAA8-0DA9F474A093}">
    <text xml:space="preserve">Carteira Recebiveis CRI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2.xml"/><Relationship Id="rId4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23A0-F023-49F0-A553-1CBA5D95CFF2}">
  <dimension ref="B2:O39"/>
  <sheetViews>
    <sheetView showGridLines="0" zoomScale="80" zoomScaleNormal="80" workbookViewId="0">
      <selection activeCell="I12" sqref="I12:I39"/>
    </sheetView>
  </sheetViews>
  <sheetFormatPr defaultRowHeight="15" x14ac:dyDescent="0.25"/>
  <cols>
    <col min="1" max="1" width="3.7109375" customWidth="1"/>
    <col min="2" max="2" width="12.7109375" customWidth="1"/>
    <col min="3" max="3" width="14.7109375" customWidth="1"/>
    <col min="4" max="15" width="15.7109375" customWidth="1"/>
  </cols>
  <sheetData>
    <row r="2" spans="2:15" x14ac:dyDescent="0.25">
      <c r="B2" s="530"/>
      <c r="C2" s="531">
        <v>46023</v>
      </c>
      <c r="D2" s="531">
        <v>46054</v>
      </c>
      <c r="E2" s="531">
        <v>46082</v>
      </c>
      <c r="F2" s="531">
        <v>46113</v>
      </c>
      <c r="G2" s="531">
        <v>46143</v>
      </c>
      <c r="H2" s="531">
        <v>46174</v>
      </c>
      <c r="I2" s="532">
        <v>46204</v>
      </c>
    </row>
    <row r="3" spans="2:15" x14ac:dyDescent="0.25">
      <c r="B3" s="533" t="s">
        <v>2901</v>
      </c>
      <c r="C3" s="534">
        <f>SUMIFS(comp[Saldo (Extratos)],
  comp[Mês], "&gt;="&amp;C$2,
  comp[Mês], "&lt;"&amp;EOMONTH(C$2,0)+1
)</f>
        <v>0</v>
      </c>
      <c r="D3" s="535">
        <f>SUMIFS(comp[Saldo (Extratos)],
  comp[Mês], "&gt;="&amp;D$2,
  comp[Mês], "&lt;"&amp;EOMONTH(D$2,0)+1
)</f>
        <v>0</v>
      </c>
      <c r="E3" s="535">
        <f>SUMIFS(comp[Saldo (Extratos)],
  comp[Mês], "&gt;="&amp;E$2,
  comp[Mês], "&lt;"&amp;EOMONTH(E$2,0)+1
)</f>
        <v>0</v>
      </c>
      <c r="F3" s="535">
        <f>SUMIFS(comp[Saldo (Extratos)],
  comp[Mês], "&gt;="&amp;F$2,
  comp[Mês], "&lt;"&amp;EOMONTH(F$2,0)+1
)</f>
        <v>0</v>
      </c>
      <c r="G3" s="535">
        <f>SUMIFS(comp[Saldo (Extratos)],
  comp[Mês], "&gt;="&amp;G$2,
  comp[Mês], "&lt;"&amp;EOMONTH(G$2,0)+1
)</f>
        <v>0</v>
      </c>
      <c r="H3" s="535">
        <f>SUMIFS(comp[Saldo (Extratos)],
  comp[Mês], "&gt;="&amp;H$2,
  comp[Mês], "&lt;"&amp;EOMONTH(H$2,0)+1
)</f>
        <v>0</v>
      </c>
      <c r="I3" s="536">
        <f>SUMIFS(comp[Saldo (Extratos)],
  comp[Mês], "&gt;="&amp;I$2,
  comp[Mês], "&lt;"&amp;EOMONTH(I$2,0)+1
)</f>
        <v>4617374.4899999993</v>
      </c>
    </row>
    <row r="4" spans="2:15" x14ac:dyDescent="0.25">
      <c r="B4" s="533" t="s">
        <v>1029</v>
      </c>
      <c r="C4" s="537">
        <f>SUMIFS(comp[Saídas (Fechamento_E)],
  comp[Mês], "&gt;="&amp;C$2,
  comp[Mês], "&lt;"&amp;EOMONTH(C$2,0)+1
)</f>
        <v>0</v>
      </c>
      <c r="D4" s="538">
        <f>SUMIFS(comp[Saídas (Fechamento_E)],
  comp[Mês], "&gt;="&amp;D$2,
  comp[Mês], "&lt;"&amp;EOMONTH(D$2,0)+1
)</f>
        <v>0</v>
      </c>
      <c r="E4" s="538">
        <f>SUMIFS(comp[Saídas (Fechamento_E)],
  comp[Mês], "&gt;="&amp;E$2,
  comp[Mês], "&lt;"&amp;EOMONTH(E$2,0)+1
)</f>
        <v>0</v>
      </c>
      <c r="F4" s="538">
        <f>SUMIFS(comp[Saídas (Fechamento_E)],
  comp[Mês], "&gt;="&amp;F$2,
  comp[Mês], "&lt;"&amp;EOMONTH(F$2,0)+1
)</f>
        <v>0</v>
      </c>
      <c r="G4" s="538">
        <f>SUMIFS(comp[Saídas (Fechamento_E)],
  comp[Mês], "&gt;="&amp;G$2,
  comp[Mês], "&lt;"&amp;EOMONTH(G$2,0)+1
)</f>
        <v>0</v>
      </c>
      <c r="H4" s="538">
        <f>SUMIFS(comp[Saídas (Fechamento_E)],
  comp[Mês], "&gt;="&amp;H$2,
  comp[Mês], "&lt;"&amp;EOMONTH(H$2,0)+1
)</f>
        <v>0</v>
      </c>
      <c r="I4" s="539">
        <f>SUMIFS(comp[Saldo (Fechamento_E)],
  comp[Mês], "&gt;="&amp;I$2,
  comp[Mês], "&lt;"&amp;EOMONTH(I$2,0)+1
)</f>
        <v>0</v>
      </c>
    </row>
    <row r="5" spans="2:15" x14ac:dyDescent="0.25">
      <c r="B5" s="540" t="s">
        <v>29</v>
      </c>
      <c r="C5" s="541">
        <f>SUMIFS(comp[Saídas (Informakon)],
  comp[Mês], "&gt;="&amp;C$2,
  comp[Mês], "&lt;"&amp;EOMONTH(C$2,0)+1
)</f>
        <v>0</v>
      </c>
      <c r="D5" s="542">
        <f>SUMIFS(comp[Saídas (Informakon)],
  comp[Mês], "&gt;="&amp;D$2,
  comp[Mês], "&lt;"&amp;EOMONTH(D$2,0)+1
)</f>
        <v>0</v>
      </c>
      <c r="E5" s="542">
        <f>SUMIFS(comp[Saídas (Informakon)],
  comp[Mês], "&gt;="&amp;E$2,
  comp[Mês], "&lt;"&amp;EOMONTH(E$2,0)+1
)</f>
        <v>0</v>
      </c>
      <c r="F5" s="542">
        <f>SUMIFS(comp[Saídas (Informakon)],
  comp[Mês], "&gt;="&amp;F$2,
  comp[Mês], "&lt;"&amp;EOMONTH(F$2,0)+1
)</f>
        <v>0</v>
      </c>
      <c r="G5" s="542">
        <f>SUMIFS(comp[Saídas (Informakon)],
  comp[Mês], "&gt;="&amp;G$2,
  comp[Mês], "&lt;"&amp;EOMONTH(G$2,0)+1
)</f>
        <v>0</v>
      </c>
      <c r="H5" s="542">
        <f>SUMIFS(comp[Saídas (Informakon)],
  comp[Mês], "&gt;="&amp;H$2,
  comp[Mês], "&lt;"&amp;EOMONTH(H$2,0)+1
)</f>
        <v>0</v>
      </c>
      <c r="I5" s="543">
        <f>SUMIFS(comp[Saídas (Informakon)],
  comp[Mês], "&gt;="&amp;I$2,
  comp[Mês], "&lt;"&amp;EOMONTH(I$2,0)+1
)</f>
        <v>26613317.000000011</v>
      </c>
    </row>
    <row r="6" spans="2:15" x14ac:dyDescent="0.25">
      <c r="B6" s="540" t="s">
        <v>2902</v>
      </c>
      <c r="C6" s="544">
        <f>C4-C3</f>
        <v>0</v>
      </c>
      <c r="D6" s="545">
        <f t="shared" ref="D6:E6" si="0">D4-D3</f>
        <v>0</v>
      </c>
      <c r="E6" s="545">
        <f t="shared" si="0"/>
        <v>0</v>
      </c>
      <c r="F6" s="545">
        <f>F4-F3</f>
        <v>0</v>
      </c>
      <c r="G6" s="545">
        <f>G4-G3</f>
        <v>0</v>
      </c>
      <c r="H6" s="545">
        <f>H4-H3</f>
        <v>0</v>
      </c>
      <c r="I6" s="546">
        <f>I4-I3</f>
        <v>-4617374.4899999993</v>
      </c>
    </row>
    <row r="7" spans="2:15" x14ac:dyDescent="0.25">
      <c r="B7" s="540" t="s">
        <v>2903</v>
      </c>
      <c r="C7" s="547" t="str">
        <f>IFERROR(C6/C3,"")</f>
        <v/>
      </c>
      <c r="D7" s="548" t="str">
        <f t="shared" ref="D7:E7" si="1">IFERROR(D6/D3,"")</f>
        <v/>
      </c>
      <c r="E7" s="548" t="str">
        <f t="shared" si="1"/>
        <v/>
      </c>
      <c r="F7" s="548" t="str">
        <f>IFERROR(F6/F3,"")</f>
        <v/>
      </c>
      <c r="G7" s="548" t="str">
        <f>IFERROR(G6/G3,"")</f>
        <v/>
      </c>
      <c r="H7" s="548" t="str">
        <f>IFERROR(H6/H3,"")</f>
        <v/>
      </c>
      <c r="I7" s="549">
        <f>IFERROR(I6/I3,"")</f>
        <v>-1</v>
      </c>
    </row>
    <row r="8" spans="2:15" x14ac:dyDescent="0.25">
      <c r="B8" s="540" t="s">
        <v>2904</v>
      </c>
      <c r="C8" s="544">
        <f>C5-C3</f>
        <v>0</v>
      </c>
      <c r="D8" s="545">
        <f t="shared" ref="D8:E8" si="2">D5-D3</f>
        <v>0</v>
      </c>
      <c r="E8" s="545">
        <f t="shared" si="2"/>
        <v>0</v>
      </c>
      <c r="F8" s="545">
        <f>F5-F3</f>
        <v>0</v>
      </c>
      <c r="G8" s="545">
        <f>G5-G3</f>
        <v>0</v>
      </c>
      <c r="H8" s="545">
        <f>H5-H3</f>
        <v>0</v>
      </c>
      <c r="I8" s="546">
        <f>I5-I3</f>
        <v>21995942.510000013</v>
      </c>
    </row>
    <row r="9" spans="2:15" x14ac:dyDescent="0.25">
      <c r="B9" s="550" t="s">
        <v>2905</v>
      </c>
      <c r="C9" s="551" t="str">
        <f>IFERROR(C8/C3,"")</f>
        <v/>
      </c>
      <c r="D9" s="552" t="str">
        <f t="shared" ref="D9:E9" si="3">IFERROR(D8/D3,"")</f>
        <v/>
      </c>
      <c r="E9" s="552" t="str">
        <f t="shared" si="3"/>
        <v/>
      </c>
      <c r="F9" s="552" t="str">
        <f>IFERROR(F8/F3,"")</f>
        <v/>
      </c>
      <c r="G9" s="552" t="str">
        <f>IFERROR(G8/G3,"")</f>
        <v/>
      </c>
      <c r="H9" s="552" t="str">
        <f>IFERROR(H8/H3,"")</f>
        <v/>
      </c>
      <c r="I9" s="553">
        <f>IFERROR(I8/I3,"")</f>
        <v>4.7637337100634474</v>
      </c>
    </row>
    <row r="11" spans="2:15" ht="45" x14ac:dyDescent="0.25">
      <c r="B11" s="135" t="s">
        <v>33</v>
      </c>
      <c r="C11" s="135" t="s">
        <v>851</v>
      </c>
      <c r="D11" s="475" t="s">
        <v>2906</v>
      </c>
      <c r="E11" s="554" t="s">
        <v>2907</v>
      </c>
      <c r="F11" s="554" t="s">
        <v>2908</v>
      </c>
      <c r="G11" s="554" t="s">
        <v>2909</v>
      </c>
      <c r="H11" s="475" t="s">
        <v>2910</v>
      </c>
      <c r="I11" s="475" t="s">
        <v>2911</v>
      </c>
      <c r="J11" s="475" t="s">
        <v>2912</v>
      </c>
      <c r="K11" s="555" t="s">
        <v>2913</v>
      </c>
      <c r="L11" s="475" t="s">
        <v>2902</v>
      </c>
      <c r="M11" s="475" t="s">
        <v>2903</v>
      </c>
      <c r="N11" s="475" t="s">
        <v>2904</v>
      </c>
      <c r="O11" s="475" t="s">
        <v>2905</v>
      </c>
    </row>
    <row r="12" spans="2:15" x14ac:dyDescent="0.25">
      <c r="B12" s="452" t="s">
        <v>2914</v>
      </c>
      <c r="C12" s="556">
        <v>46204</v>
      </c>
      <c r="D12" s="557"/>
      <c r="E12" s="558">
        <v>5686.6999999999989</v>
      </c>
      <c r="F12" s="373">
        <v>5754.11</v>
      </c>
      <c r="G12" s="557">
        <v>-67.410000000001446</v>
      </c>
      <c r="H12" s="373">
        <f>SUMIFS(tb_rec_uni[2026-07-01], tb_rec_uni[empresa], comp[[#This Row],[Empresa]])</f>
        <v>0</v>
      </c>
      <c r="I12" s="373">
        <f>SUMIFS(tb_desp[valor], tb_desp[empresa], comp[[#This Row],[Empresa]], tb_desp[data.pagamento], "&gt;="&amp;C12, tb_desp[data.pagamento], "&lt;"&amp;EOMONTH(C12,0)+1)</f>
        <v>0</v>
      </c>
      <c r="J12" s="558">
        <f>comp[[#This Row],[Entradas (Fechamento_E)]]-comp[[#This Row],[Saídas (Fechamento_E)]]</f>
        <v>0</v>
      </c>
      <c r="K12" s="558"/>
      <c r="L12" s="559">
        <f>comp[[#This Row],[Saldo (Fechamento_E)]]-comp[[#This Row],[Saldo (Extratos)]]</f>
        <v>0</v>
      </c>
      <c r="M12" s="560" t="str">
        <f>IFERROR(comp[[#This Row],[F - E]]/comp[[#This Row],[Saldo (Extratos)]], "")</f>
        <v/>
      </c>
      <c r="N12" s="559">
        <f>comp[[#This Row],[Saldo (Informakon)]]-comp[[#This Row],[Saldo (Extratos)]]</f>
        <v>-67.410000000001446</v>
      </c>
      <c r="O12" s="561" t="str">
        <f>IFERROR(comp[[#This Row],[I - E]]/comp[[#This Row],[Saldo (Extratos)]], "")</f>
        <v/>
      </c>
    </row>
    <row r="13" spans="2:15" x14ac:dyDescent="0.25">
      <c r="B13" s="562" t="s">
        <v>7</v>
      </c>
      <c r="C13" s="563">
        <v>46204</v>
      </c>
      <c r="D13" s="564">
        <v>206747.70999999985</v>
      </c>
      <c r="E13" s="453">
        <v>6646267.129999999</v>
      </c>
      <c r="F13" s="373">
        <v>6446216.1700000046</v>
      </c>
      <c r="G13" s="564">
        <v>200050.96000000215</v>
      </c>
      <c r="H13" s="373">
        <f>SUMIFS(tb_rec_uni[2026-07-01], tb_rec_uni[empresa], comp[[#This Row],[Empresa]])</f>
        <v>0</v>
      </c>
      <c r="I13" s="373">
        <f>SUMIFS(tb_desp[valor], tb_desp[empresa], comp[[#This Row],[Empresa]], tb_desp[data.pagamento], "&gt;="&amp;C13, tb_desp[data.pagamento], "&lt;"&amp;EOMONTH(C13,0)+1)</f>
        <v>0</v>
      </c>
      <c r="J13" s="453">
        <f>comp[[#This Row],[Entradas (Fechamento_E)]]-comp[[#This Row],[Saídas (Fechamento_E)]]</f>
        <v>0</v>
      </c>
      <c r="K13" s="453"/>
      <c r="L13" s="565">
        <f>comp[[#This Row],[Saldo (Fechamento_E)]]-comp[[#This Row],[Saldo (Extratos)]]</f>
        <v>-206747.70999999985</v>
      </c>
      <c r="M13" s="566">
        <f>IFERROR(comp[[#This Row],[F - E]]/comp[[#This Row],[Saldo (Extratos)]], "")</f>
        <v>-1</v>
      </c>
      <c r="N13" s="565">
        <f>comp[[#This Row],[Saldo (Informakon)]]-comp[[#This Row],[Saldo (Extratos)]]</f>
        <v>-6696.7499999977008</v>
      </c>
      <c r="O13" s="567">
        <f>IFERROR(comp[[#This Row],[I - E]]/comp[[#This Row],[Saldo (Extratos)]], "")</f>
        <v>-3.2390927086920117E-2</v>
      </c>
    </row>
    <row r="14" spans="2:15" x14ac:dyDescent="0.25">
      <c r="B14" s="568" t="s">
        <v>670</v>
      </c>
      <c r="C14" s="563">
        <v>46204</v>
      </c>
      <c r="D14" s="564">
        <v>0</v>
      </c>
      <c r="E14" s="453">
        <v>2500</v>
      </c>
      <c r="F14" s="373">
        <v>3110.63</v>
      </c>
      <c r="G14" s="564">
        <v>-610.62999999999988</v>
      </c>
      <c r="H14" s="373">
        <f>SUMIFS(tb_rec_uni[2026-07-01], tb_rec_uni[empresa], comp[[#This Row],[Empresa]])</f>
        <v>0</v>
      </c>
      <c r="I14" s="373">
        <f>SUMIFS(tb_desp[valor], tb_desp[empresa], comp[[#This Row],[Empresa]], tb_desp[data.pagamento], "&gt;="&amp;C14, tb_desp[data.pagamento], "&lt;"&amp;EOMONTH(C14,0)+1)</f>
        <v>0</v>
      </c>
      <c r="J14" s="453">
        <f>comp[[#This Row],[Entradas (Fechamento_E)]]-comp[[#This Row],[Saídas (Fechamento_E)]]</f>
        <v>0</v>
      </c>
      <c r="K14" s="453"/>
      <c r="L14" s="565">
        <f>comp[[#This Row],[Saldo (Fechamento_E)]]-comp[[#This Row],[Saldo (Extratos)]]</f>
        <v>0</v>
      </c>
      <c r="M14" s="566" t="str">
        <f>IFERROR(comp[[#This Row],[F - E]]/comp[[#This Row],[Saldo (Extratos)]], "")</f>
        <v/>
      </c>
      <c r="N14" s="565">
        <f>comp[[#This Row],[Saldo (Informakon)]]-comp[[#This Row],[Saldo (Extratos)]]</f>
        <v>-610.62999999999988</v>
      </c>
      <c r="O14" s="567" t="str">
        <f>IFERROR(comp[[#This Row],[I - E]]/comp[[#This Row],[Saldo (Extratos)]], "")</f>
        <v/>
      </c>
    </row>
    <row r="15" spans="2:15" x14ac:dyDescent="0.25">
      <c r="B15" s="562" t="s">
        <v>8</v>
      </c>
      <c r="C15" s="563">
        <v>46204</v>
      </c>
      <c r="D15" s="564">
        <v>25312.53</v>
      </c>
      <c r="E15" s="453">
        <v>274667.58</v>
      </c>
      <c r="F15" s="373">
        <v>248926.56000000006</v>
      </c>
      <c r="G15" s="564">
        <v>25741.019999999891</v>
      </c>
      <c r="H15" s="373">
        <f>SUMIFS(tb_rec_uni[2026-07-01], tb_rec_uni[empresa], comp[[#This Row],[Empresa]])</f>
        <v>0</v>
      </c>
      <c r="I15" s="373">
        <f>SUMIFS(tb_desp[valor], tb_desp[empresa], comp[[#This Row],[Empresa]], tb_desp[data.pagamento], "&gt;="&amp;C15, tb_desp[data.pagamento], "&lt;"&amp;EOMONTH(C15,0)+1)</f>
        <v>0</v>
      </c>
      <c r="J15" s="453">
        <f>comp[[#This Row],[Entradas (Fechamento_E)]]-comp[[#This Row],[Saídas (Fechamento_E)]]</f>
        <v>0</v>
      </c>
      <c r="K15" s="453">
        <v>3425.1400000000008</v>
      </c>
      <c r="L15" s="565">
        <f>comp[[#This Row],[Saldo (Fechamento_E)]]-comp[[#This Row],[Saldo (Extratos)]]</f>
        <v>-25312.53</v>
      </c>
      <c r="M15" s="566">
        <f>IFERROR(comp[[#This Row],[F - E]]/comp[[#This Row],[Saldo (Extratos)]], "")</f>
        <v>-1</v>
      </c>
      <c r="N15" s="565">
        <f>comp[[#This Row],[Saldo (Informakon)]]-comp[[#This Row],[Saldo (Extratos)]]</f>
        <v>428.48999999989246</v>
      </c>
      <c r="O15" s="567">
        <f>IFERROR(comp[[#This Row],[I - E]]/comp[[#This Row],[Saldo (Extratos)]], "")</f>
        <v>1.6927979937204716E-2</v>
      </c>
    </row>
    <row r="16" spans="2:15" x14ac:dyDescent="0.25">
      <c r="B16" s="568" t="s">
        <v>671</v>
      </c>
      <c r="C16" s="563">
        <v>46204</v>
      </c>
      <c r="D16" s="564">
        <v>11213.359999999999</v>
      </c>
      <c r="E16" s="453">
        <v>357467.23</v>
      </c>
      <c r="F16" s="373">
        <v>212249.08999999991</v>
      </c>
      <c r="G16" s="564">
        <v>145218.14000000007</v>
      </c>
      <c r="H16" s="373">
        <f>SUMIFS(tb_rec_uni[2026-07-01], tb_rec_uni[empresa], comp[[#This Row],[Empresa]])</f>
        <v>0</v>
      </c>
      <c r="I16" s="373">
        <f>SUMIFS(tb_desp[valor], tb_desp[empresa], comp[[#This Row],[Empresa]], tb_desp[data.pagamento], "&gt;="&amp;C16, tb_desp[data.pagamento], "&lt;"&amp;EOMONTH(C16,0)+1)</f>
        <v>0</v>
      </c>
      <c r="J16" s="453">
        <f>comp[[#This Row],[Entradas (Fechamento_E)]]-comp[[#This Row],[Saídas (Fechamento_E)]]</f>
        <v>0</v>
      </c>
      <c r="K16" s="453"/>
      <c r="L16" s="565">
        <f>comp[[#This Row],[Saldo (Fechamento_E)]]-comp[[#This Row],[Saldo (Extratos)]]</f>
        <v>-11213.359999999999</v>
      </c>
      <c r="M16" s="566">
        <f>IFERROR(comp[[#This Row],[F - E]]/comp[[#This Row],[Saldo (Extratos)]], "")</f>
        <v>-1</v>
      </c>
      <c r="N16" s="565">
        <f>comp[[#This Row],[Saldo (Informakon)]]-comp[[#This Row],[Saldo (Extratos)]]</f>
        <v>134004.78000000009</v>
      </c>
      <c r="O16" s="567">
        <f>IFERROR(comp[[#This Row],[I - E]]/comp[[#This Row],[Saldo (Extratos)]], "")</f>
        <v>11.950457311635414</v>
      </c>
    </row>
    <row r="17" spans="2:15" x14ac:dyDescent="0.25">
      <c r="B17" s="562" t="s">
        <v>673</v>
      </c>
      <c r="C17" s="563">
        <v>46204</v>
      </c>
      <c r="D17" s="564">
        <v>-4923.0800000000017</v>
      </c>
      <c r="E17" s="453">
        <v>1805276.0500000005</v>
      </c>
      <c r="F17" s="373">
        <v>1877099.8999999994</v>
      </c>
      <c r="G17" s="564">
        <v>-71823.849999999933</v>
      </c>
      <c r="H17" s="373">
        <f>SUMIFS(tb_rec_uni[2026-07-01], tb_rec_uni[empresa], comp[[#This Row],[Empresa]])</f>
        <v>0</v>
      </c>
      <c r="I17" s="373">
        <f>SUMIFS(tb_desp[valor], tb_desp[empresa], comp[[#This Row],[Empresa]], tb_desp[data.pagamento], "&gt;="&amp;C17, tb_desp[data.pagamento], "&lt;"&amp;EOMONTH(C17,0)+1)</f>
        <v>0</v>
      </c>
      <c r="J17" s="453">
        <f>comp[[#This Row],[Entradas (Fechamento_E)]]-comp[[#This Row],[Saídas (Fechamento_E)]]</f>
        <v>0</v>
      </c>
      <c r="K17" s="453">
        <v>1318960.1700000004</v>
      </c>
      <c r="L17" s="565">
        <f>comp[[#This Row],[Saldo (Fechamento_E)]]-comp[[#This Row],[Saldo (Extratos)]]</f>
        <v>4923.0800000000017</v>
      </c>
      <c r="M17" s="566">
        <f>IFERROR(comp[[#This Row],[F - E]]/comp[[#This Row],[Saldo (Extratos)]], "")</f>
        <v>-1</v>
      </c>
      <c r="N17" s="565">
        <f>comp[[#This Row],[Saldo (Informakon)]]-comp[[#This Row],[Saldo (Extratos)]]</f>
        <v>-66900.769999999931</v>
      </c>
      <c r="O17" s="567">
        <f>IFERROR(comp[[#This Row],[I - E]]/comp[[#This Row],[Saldo (Extratos)]], "")</f>
        <v>13.589210412993474</v>
      </c>
    </row>
    <row r="18" spans="2:15" x14ac:dyDescent="0.25">
      <c r="B18" s="569" t="s">
        <v>777</v>
      </c>
      <c r="C18" s="563">
        <v>46204</v>
      </c>
      <c r="D18" s="564">
        <v>0</v>
      </c>
      <c r="E18" s="453"/>
      <c r="F18" s="570"/>
      <c r="G18" s="571"/>
      <c r="H18" s="373">
        <f>SUMIFS(tb_rec_uni[2026-07-01], tb_rec_uni[empresa], comp[[#This Row],[Empresa]])</f>
        <v>0</v>
      </c>
      <c r="I18" s="373">
        <f>SUMIFS(tb_desp[valor], tb_desp[empresa], comp[[#This Row],[Empresa]], tb_desp[data.pagamento], "&gt;="&amp;C18, tb_desp[data.pagamento], "&lt;"&amp;EOMONTH(C18,0)+1)</f>
        <v>0</v>
      </c>
      <c r="J18" s="453">
        <f>comp[[#This Row],[Entradas (Fechamento_E)]]-comp[[#This Row],[Saídas (Fechamento_E)]]</f>
        <v>0</v>
      </c>
      <c r="K18" s="453"/>
      <c r="L18" s="565">
        <f>comp[[#This Row],[Saldo (Fechamento_E)]]-comp[[#This Row],[Saldo (Extratos)]]</f>
        <v>0</v>
      </c>
      <c r="M18" s="566" t="str">
        <f>IFERROR(comp[[#This Row],[F - E]]/comp[[#This Row],[Saldo (Extratos)]], "")</f>
        <v/>
      </c>
      <c r="N18" s="565">
        <f>comp[[#This Row],[Saldo (Informakon)]]-comp[[#This Row],[Saldo (Extratos)]]</f>
        <v>0</v>
      </c>
      <c r="O18" s="567" t="str">
        <f>IFERROR(comp[[#This Row],[I - E]]/comp[[#This Row],[Saldo (Extratos)]], "")</f>
        <v/>
      </c>
    </row>
    <row r="19" spans="2:15" x14ac:dyDescent="0.25">
      <c r="B19" s="568" t="s">
        <v>773</v>
      </c>
      <c r="C19" s="563">
        <v>46204</v>
      </c>
      <c r="D19" s="564">
        <v>8463.4199999999983</v>
      </c>
      <c r="E19" s="453">
        <v>387400</v>
      </c>
      <c r="F19" s="570">
        <v>390312.73000000004</v>
      </c>
      <c r="G19" s="564">
        <v>-2912.7300000001514</v>
      </c>
      <c r="H19" s="373">
        <f>SUMIFS(tb_rec_uni[2026-07-01], tb_rec_uni[empresa], comp[[#This Row],[Empresa]])</f>
        <v>0</v>
      </c>
      <c r="I19" s="373">
        <f>SUMIFS(tb_desp[valor], tb_desp[empresa], comp[[#This Row],[Empresa]], tb_desp[data.pagamento], "&gt;="&amp;C19, tb_desp[data.pagamento], "&lt;"&amp;EOMONTH(C19,0)+1)</f>
        <v>0</v>
      </c>
      <c r="J19" s="453">
        <f>comp[[#This Row],[Entradas (Fechamento_E)]]-comp[[#This Row],[Saídas (Fechamento_E)]]</f>
        <v>0</v>
      </c>
      <c r="K19" s="453"/>
      <c r="L19" s="565">
        <f>comp[[#This Row],[Saldo (Fechamento_E)]]-comp[[#This Row],[Saldo (Extratos)]]</f>
        <v>-8463.4199999999983</v>
      </c>
      <c r="M19" s="566">
        <f>IFERROR(comp[[#This Row],[F - E]]/comp[[#This Row],[Saldo (Extratos)]], "")</f>
        <v>-1</v>
      </c>
      <c r="N19" s="565">
        <f>comp[[#This Row],[Saldo (Informakon)]]-comp[[#This Row],[Saldo (Extratos)]]</f>
        <v>-11376.150000000151</v>
      </c>
      <c r="O19" s="567">
        <f>IFERROR(comp[[#This Row],[I - E]]/comp[[#This Row],[Saldo (Extratos)]], "")</f>
        <v>-1.344155199671073</v>
      </c>
    </row>
    <row r="20" spans="2:15" x14ac:dyDescent="0.25">
      <c r="B20" s="568" t="s">
        <v>1023</v>
      </c>
      <c r="C20" s="563">
        <v>46204</v>
      </c>
      <c r="D20" s="564">
        <v>1168.4000000000001</v>
      </c>
      <c r="E20" s="453">
        <v>35000</v>
      </c>
      <c r="F20" s="373">
        <v>33282</v>
      </c>
      <c r="G20" s="564">
        <v>1718</v>
      </c>
      <c r="H20" s="373">
        <f>SUMIFS(tb_rec_uni[2026-07-01], tb_rec_uni[empresa], comp[[#This Row],[Empresa]])</f>
        <v>0</v>
      </c>
      <c r="I20" s="373">
        <f>SUMIFS(tb_desp[valor], tb_desp[empresa], comp[[#This Row],[Empresa]], tb_desp[data.pagamento], "&gt;="&amp;C20, tb_desp[data.pagamento], "&lt;"&amp;EOMONTH(C20,0)+1)</f>
        <v>0</v>
      </c>
      <c r="J20" s="453">
        <f>comp[[#This Row],[Entradas (Fechamento_E)]]-comp[[#This Row],[Saídas (Fechamento_E)]]</f>
        <v>0</v>
      </c>
      <c r="K20" s="453"/>
      <c r="L20" s="565">
        <f>comp[[#This Row],[Saldo (Fechamento_E)]]-comp[[#This Row],[Saldo (Extratos)]]</f>
        <v>-1168.4000000000001</v>
      </c>
      <c r="M20" s="566">
        <f>IFERROR(comp[[#This Row],[F - E]]/comp[[#This Row],[Saldo (Extratos)]], "")</f>
        <v>-1</v>
      </c>
      <c r="N20" s="565">
        <f>comp[[#This Row],[Saldo (Informakon)]]-comp[[#This Row],[Saldo (Extratos)]]</f>
        <v>549.59999999999991</v>
      </c>
      <c r="O20" s="567">
        <f>IFERROR(comp[[#This Row],[I - E]]/comp[[#This Row],[Saldo (Extratos)]], "")</f>
        <v>0.47038685381718576</v>
      </c>
    </row>
    <row r="21" spans="2:15" x14ac:dyDescent="0.25">
      <c r="B21" s="568" t="s">
        <v>779</v>
      </c>
      <c r="C21" s="563">
        <v>46204</v>
      </c>
      <c r="D21" s="564">
        <v>-21136.73</v>
      </c>
      <c r="E21" s="453">
        <v>1049000</v>
      </c>
      <c r="F21" s="373">
        <v>1042223.1699999999</v>
      </c>
      <c r="G21" s="564">
        <v>6776.8300000001364</v>
      </c>
      <c r="H21" s="373">
        <f>SUMIFS(tb_rec_uni[2026-07-01], tb_rec_uni[empresa], comp[[#This Row],[Empresa]])</f>
        <v>0</v>
      </c>
      <c r="I21" s="373">
        <f>SUMIFS(tb_desp[valor], tb_desp[empresa], comp[[#This Row],[Empresa]], tb_desp[data.pagamento], "&gt;="&amp;C21, tb_desp[data.pagamento], "&lt;"&amp;EOMONTH(C21,0)+1)</f>
        <v>0</v>
      </c>
      <c r="J21" s="453">
        <f>comp[[#This Row],[Entradas (Fechamento_E)]]-comp[[#This Row],[Saídas (Fechamento_E)]]</f>
        <v>0</v>
      </c>
      <c r="K21" s="453"/>
      <c r="L21" s="565">
        <f>comp[[#This Row],[Saldo (Fechamento_E)]]-comp[[#This Row],[Saldo (Extratos)]]</f>
        <v>21136.73</v>
      </c>
      <c r="M21" s="566">
        <f>IFERROR(comp[[#This Row],[F - E]]/comp[[#This Row],[Saldo (Extratos)]], "")</f>
        <v>-1</v>
      </c>
      <c r="N21" s="565">
        <f>comp[[#This Row],[Saldo (Informakon)]]-comp[[#This Row],[Saldo (Extratos)]]</f>
        <v>27913.560000000136</v>
      </c>
      <c r="O21" s="567">
        <f>IFERROR(comp[[#This Row],[I - E]]/comp[[#This Row],[Saldo (Extratos)]], "")</f>
        <v>-1.3206186576637038</v>
      </c>
    </row>
    <row r="22" spans="2:15" x14ac:dyDescent="0.25">
      <c r="B22" s="568" t="s">
        <v>479</v>
      </c>
      <c r="C22" s="563">
        <v>46204</v>
      </c>
      <c r="D22" s="564">
        <v>223.47999999999956</v>
      </c>
      <c r="E22" s="453">
        <v>211000</v>
      </c>
      <c r="F22" s="373">
        <v>131536.29999999999</v>
      </c>
      <c r="G22" s="564">
        <v>79463.700000000012</v>
      </c>
      <c r="H22" s="373">
        <f>SUMIFS(tb_rec_uni[2026-07-01], tb_rec_uni[empresa], comp[[#This Row],[Empresa]])</f>
        <v>0</v>
      </c>
      <c r="I22" s="373">
        <f>SUMIFS(tb_desp[valor], tb_desp[empresa], comp[[#This Row],[Empresa]], tb_desp[data.pagamento], "&gt;="&amp;C22, tb_desp[data.pagamento], "&lt;"&amp;EOMONTH(C22,0)+1)</f>
        <v>0</v>
      </c>
      <c r="J22" s="453">
        <f>comp[[#This Row],[Entradas (Fechamento_E)]]-comp[[#This Row],[Saídas (Fechamento_E)]]</f>
        <v>0</v>
      </c>
      <c r="K22" s="453"/>
      <c r="L22" s="565">
        <f>comp[[#This Row],[Saldo (Fechamento_E)]]-comp[[#This Row],[Saldo (Extratos)]]</f>
        <v>-223.47999999999956</v>
      </c>
      <c r="M22" s="566">
        <f>IFERROR(comp[[#This Row],[F - E]]/comp[[#This Row],[Saldo (Extratos)]], "")</f>
        <v>-1</v>
      </c>
      <c r="N22" s="565">
        <f>comp[[#This Row],[Saldo (Informakon)]]-comp[[#This Row],[Saldo (Extratos)]]</f>
        <v>79240.220000000016</v>
      </c>
      <c r="O22" s="567">
        <f>IFERROR(comp[[#This Row],[I - E]]/comp[[#This Row],[Saldo (Extratos)]], "")</f>
        <v>354.57410059065762</v>
      </c>
    </row>
    <row r="23" spans="2:15" x14ac:dyDescent="0.25">
      <c r="B23" s="562" t="s">
        <v>9</v>
      </c>
      <c r="C23" s="563">
        <v>46204</v>
      </c>
      <c r="D23" s="564">
        <v>1132042.9600000002</v>
      </c>
      <c r="E23" s="453">
        <v>4180443.0399999963</v>
      </c>
      <c r="F23" s="373">
        <v>2875979.3400000026</v>
      </c>
      <c r="G23" s="564">
        <v>1304463.6999999997</v>
      </c>
      <c r="H23" s="373">
        <f>SUMIFS(tb_rec_uni[2026-07-01], tb_rec_uni[empresa], comp[[#This Row],[Empresa]])</f>
        <v>0</v>
      </c>
      <c r="I23" s="373">
        <f>SUMIFS(tb_desp[valor], tb_desp[empresa], comp[[#This Row],[Empresa]], tb_desp[data.pagamento], "&gt;="&amp;C23, tb_desp[data.pagamento], "&lt;"&amp;EOMONTH(C23,0)+1)</f>
        <v>0</v>
      </c>
      <c r="J23" s="453">
        <f>comp[[#This Row],[Entradas (Fechamento_E)]]-comp[[#This Row],[Saídas (Fechamento_E)]]</f>
        <v>0</v>
      </c>
      <c r="K23" s="453">
        <v>872377.65000000014</v>
      </c>
      <c r="L23" s="565">
        <f>comp[[#This Row],[Saldo (Fechamento_E)]]-comp[[#This Row],[Saldo (Extratos)]]</f>
        <v>-1132042.9600000002</v>
      </c>
      <c r="M23" s="566">
        <f>IFERROR(comp[[#This Row],[F - E]]/comp[[#This Row],[Saldo (Extratos)]], "")</f>
        <v>-1</v>
      </c>
      <c r="N23" s="565">
        <f>comp[[#This Row],[Saldo (Informakon)]]-comp[[#This Row],[Saldo (Extratos)]]</f>
        <v>172420.73999999953</v>
      </c>
      <c r="O23" s="567">
        <f>IFERROR(comp[[#This Row],[I - E]]/comp[[#This Row],[Saldo (Extratos)]], "")</f>
        <v>0.15230936112177182</v>
      </c>
    </row>
    <row r="24" spans="2:15" x14ac:dyDescent="0.25">
      <c r="B24" s="568" t="s">
        <v>481</v>
      </c>
      <c r="C24" s="563">
        <v>46204</v>
      </c>
      <c r="D24" s="564">
        <v>17890.280000000002</v>
      </c>
      <c r="E24" s="453">
        <v>175009.36000000002</v>
      </c>
      <c r="F24" s="373">
        <v>129335.78</v>
      </c>
      <c r="G24" s="564">
        <v>45673.57999999998</v>
      </c>
      <c r="H24" s="373">
        <f>SUMIFS(tb_rec_uni[2026-07-01], tb_rec_uni[empresa], comp[[#This Row],[Empresa]])</f>
        <v>0</v>
      </c>
      <c r="I24" s="373">
        <f>SUMIFS(tb_desp[valor], tb_desp[empresa], comp[[#This Row],[Empresa]], tb_desp[data.pagamento], "&gt;="&amp;C24, tb_desp[data.pagamento], "&lt;"&amp;EOMONTH(C24,0)+1)</f>
        <v>0</v>
      </c>
      <c r="J24" s="453">
        <f>comp[[#This Row],[Entradas (Fechamento_E)]]-comp[[#This Row],[Saídas (Fechamento_E)]]</f>
        <v>0</v>
      </c>
      <c r="K24" s="453"/>
      <c r="L24" s="565">
        <f>comp[[#This Row],[Saldo (Fechamento_E)]]-comp[[#This Row],[Saldo (Extratos)]]</f>
        <v>-17890.280000000002</v>
      </c>
      <c r="M24" s="566">
        <f>IFERROR(comp[[#This Row],[F - E]]/comp[[#This Row],[Saldo (Extratos)]], "")</f>
        <v>-1</v>
      </c>
      <c r="N24" s="565">
        <f>comp[[#This Row],[Saldo (Informakon)]]-comp[[#This Row],[Saldo (Extratos)]]</f>
        <v>27783.299999999977</v>
      </c>
      <c r="O24" s="567">
        <f>IFERROR(comp[[#This Row],[I - E]]/comp[[#This Row],[Saldo (Extratos)]], "")</f>
        <v>1.5529829605797099</v>
      </c>
    </row>
    <row r="25" spans="2:15" x14ac:dyDescent="0.25">
      <c r="B25" s="568" t="s">
        <v>677</v>
      </c>
      <c r="C25" s="563">
        <v>46204</v>
      </c>
      <c r="D25" s="564">
        <v>-67106.97</v>
      </c>
      <c r="E25" s="453">
        <v>394785.94000000012</v>
      </c>
      <c r="F25" s="373">
        <v>493109.38000000006</v>
      </c>
      <c r="G25" s="564">
        <v>-98323.440000000104</v>
      </c>
      <c r="H25" s="373">
        <f>SUMIFS(tb_rec_uni[2026-07-01], tb_rec_uni[empresa], comp[[#This Row],[Empresa]])</f>
        <v>0</v>
      </c>
      <c r="I25" s="373">
        <f>SUMIFS(tb_desp[valor], tb_desp[empresa], comp[[#This Row],[Empresa]], tb_desp[data.pagamento], "&gt;="&amp;C25, tb_desp[data.pagamento], "&lt;"&amp;EOMONTH(C25,0)+1)</f>
        <v>0</v>
      </c>
      <c r="J25" s="453">
        <f>comp[[#This Row],[Entradas (Fechamento_E)]]-comp[[#This Row],[Saídas (Fechamento_E)]]</f>
        <v>0</v>
      </c>
      <c r="K25" s="453"/>
      <c r="L25" s="565">
        <f>comp[[#This Row],[Saldo (Fechamento_E)]]-comp[[#This Row],[Saldo (Extratos)]]</f>
        <v>67106.97</v>
      </c>
      <c r="M25" s="566">
        <f>IFERROR(comp[[#This Row],[F - E]]/comp[[#This Row],[Saldo (Extratos)]], "")</f>
        <v>-1</v>
      </c>
      <c r="N25" s="565">
        <f>comp[[#This Row],[Saldo (Informakon)]]-comp[[#This Row],[Saldo (Extratos)]]</f>
        <v>-31216.470000000103</v>
      </c>
      <c r="O25" s="567">
        <f>IFERROR(comp[[#This Row],[I - E]]/comp[[#This Row],[Saldo (Extratos)]], "")</f>
        <v>0.46517477990736433</v>
      </c>
    </row>
    <row r="26" spans="2:15" x14ac:dyDescent="0.25">
      <c r="B26" s="568" t="s">
        <v>753</v>
      </c>
      <c r="C26" s="563">
        <v>46204</v>
      </c>
      <c r="D26" s="564">
        <v>-165.27999999999884</v>
      </c>
      <c r="E26" s="453">
        <v>0.03</v>
      </c>
      <c r="F26" s="373">
        <v>22000</v>
      </c>
      <c r="G26" s="564">
        <v>-21999.97</v>
      </c>
      <c r="H26" s="373">
        <f>SUMIFS(tb_rec_uni[2026-07-01], tb_rec_uni[empresa], comp[[#This Row],[Empresa]])</f>
        <v>0</v>
      </c>
      <c r="I26" s="373">
        <f>SUMIFS(tb_desp[valor], tb_desp[empresa], comp[[#This Row],[Empresa]], tb_desp[data.pagamento], "&gt;="&amp;C26, tb_desp[data.pagamento], "&lt;"&amp;EOMONTH(C26,0)+1)</f>
        <v>0</v>
      </c>
      <c r="J26" s="453">
        <f>comp[[#This Row],[Entradas (Fechamento_E)]]-comp[[#This Row],[Saídas (Fechamento_E)]]</f>
        <v>0</v>
      </c>
      <c r="K26" s="453"/>
      <c r="L26" s="565">
        <f>comp[[#This Row],[Saldo (Fechamento_E)]]-comp[[#This Row],[Saldo (Extratos)]]</f>
        <v>165.27999999999884</v>
      </c>
      <c r="M26" s="566">
        <f>IFERROR(comp[[#This Row],[F - E]]/comp[[#This Row],[Saldo (Extratos)]], "")</f>
        <v>-1</v>
      </c>
      <c r="N26" s="565">
        <f>comp[[#This Row],[Saldo (Informakon)]]-comp[[#This Row],[Saldo (Extratos)]]</f>
        <v>-21834.690000000002</v>
      </c>
      <c r="O26" s="567">
        <f>IFERROR(comp[[#This Row],[I - E]]/comp[[#This Row],[Saldo (Extratos)]], "")</f>
        <v>132.10727250726134</v>
      </c>
    </row>
    <row r="27" spans="2:15" x14ac:dyDescent="0.25">
      <c r="B27" s="568" t="s">
        <v>482</v>
      </c>
      <c r="C27" s="563">
        <v>46204</v>
      </c>
      <c r="D27" s="564">
        <v>-3036.6000000000004</v>
      </c>
      <c r="E27" s="453">
        <v>0</v>
      </c>
      <c r="F27" s="373">
        <v>22330.6</v>
      </c>
      <c r="G27" s="564">
        <v>-22330.6</v>
      </c>
      <c r="H27" s="373">
        <f>SUMIFS(tb_rec_uni[2026-07-01], tb_rec_uni[empresa], comp[[#This Row],[Empresa]])</f>
        <v>0</v>
      </c>
      <c r="I27" s="373">
        <f>SUMIFS(tb_desp[valor], tb_desp[empresa], comp[[#This Row],[Empresa]], tb_desp[data.pagamento], "&gt;="&amp;C27, tb_desp[data.pagamento], "&lt;"&amp;EOMONTH(C27,0)+1)</f>
        <v>0</v>
      </c>
      <c r="J27" s="453">
        <f>comp[[#This Row],[Entradas (Fechamento_E)]]-comp[[#This Row],[Saídas (Fechamento_E)]]</f>
        <v>0</v>
      </c>
      <c r="K27" s="453"/>
      <c r="L27" s="565">
        <f>comp[[#This Row],[Saldo (Fechamento_E)]]-comp[[#This Row],[Saldo (Extratos)]]</f>
        <v>3036.6000000000004</v>
      </c>
      <c r="M27" s="566">
        <f>IFERROR(comp[[#This Row],[F - E]]/comp[[#This Row],[Saldo (Extratos)]], "")</f>
        <v>-1</v>
      </c>
      <c r="N27" s="565">
        <f>comp[[#This Row],[Saldo (Informakon)]]-comp[[#This Row],[Saldo (Extratos)]]</f>
        <v>-19294</v>
      </c>
      <c r="O27" s="567">
        <f>IFERROR(comp[[#This Row],[I - E]]/comp[[#This Row],[Saldo (Extratos)]], "")</f>
        <v>6.3538167687545277</v>
      </c>
    </row>
    <row r="28" spans="2:15" x14ac:dyDescent="0.25">
      <c r="B28" s="562" t="s">
        <v>10</v>
      </c>
      <c r="C28" s="563">
        <v>46204</v>
      </c>
      <c r="D28" s="564">
        <v>-6799.8499999999767</v>
      </c>
      <c r="E28" s="453">
        <v>2588920.7300000009</v>
      </c>
      <c r="F28" s="373">
        <v>2747449.5100000044</v>
      </c>
      <c r="G28" s="564">
        <v>-158528.78000000175</v>
      </c>
      <c r="H28" s="373">
        <f>SUMIFS(tb_rec_uni[2026-07-01], tb_rec_uni[empresa], comp[[#This Row],[Empresa]])</f>
        <v>0</v>
      </c>
      <c r="I28" s="373">
        <f>SUMIFS(tb_desp[valor], tb_desp[empresa], comp[[#This Row],[Empresa]], tb_desp[data.pagamento], "&gt;="&amp;C28, tb_desp[data.pagamento], "&lt;"&amp;EOMONTH(C28,0)+1)</f>
        <v>0</v>
      </c>
      <c r="J28" s="453">
        <f>comp[[#This Row],[Entradas (Fechamento_E)]]-comp[[#This Row],[Saídas (Fechamento_E)]]</f>
        <v>0</v>
      </c>
      <c r="K28" s="453">
        <v>-594166.5000000014</v>
      </c>
      <c r="L28" s="565">
        <f>comp[[#This Row],[Saldo (Fechamento_E)]]-comp[[#This Row],[Saldo (Extratos)]]</f>
        <v>6799.8499999999767</v>
      </c>
      <c r="M28" s="566">
        <f>IFERROR(comp[[#This Row],[F - E]]/comp[[#This Row],[Saldo (Extratos)]], "")</f>
        <v>-1</v>
      </c>
      <c r="N28" s="565">
        <f>comp[[#This Row],[Saldo (Informakon)]]-comp[[#This Row],[Saldo (Extratos)]]</f>
        <v>-151728.93000000177</v>
      </c>
      <c r="O28" s="567">
        <f>IFERROR(comp[[#This Row],[I - E]]/comp[[#This Row],[Saldo (Extratos)]], "")</f>
        <v>22.313570152283109</v>
      </c>
    </row>
    <row r="29" spans="2:15" x14ac:dyDescent="0.25">
      <c r="B29" s="568" t="s">
        <v>793</v>
      </c>
      <c r="C29" s="563">
        <v>46204</v>
      </c>
      <c r="D29" s="564">
        <v>9081.15</v>
      </c>
      <c r="E29" s="453">
        <v>209000</v>
      </c>
      <c r="F29" s="373">
        <v>340892.37</v>
      </c>
      <c r="G29" s="564">
        <v>-131892.37</v>
      </c>
      <c r="H29" s="373">
        <f>SUMIFS(tb_rec_uni[2026-07-01], tb_rec_uni[empresa], comp[[#This Row],[Empresa]])</f>
        <v>0</v>
      </c>
      <c r="I29" s="373">
        <f>SUMIFS(tb_desp[valor], tb_desp[empresa], comp[[#This Row],[Empresa]], tb_desp[data.pagamento], "&gt;="&amp;C29, tb_desp[data.pagamento], "&lt;"&amp;EOMONTH(C29,0)+1)</f>
        <v>0</v>
      </c>
      <c r="J29" s="453">
        <f>comp[[#This Row],[Entradas (Fechamento_E)]]-comp[[#This Row],[Saídas (Fechamento_E)]]</f>
        <v>0</v>
      </c>
      <c r="K29" s="453"/>
      <c r="L29" s="565">
        <f>comp[[#This Row],[Saldo (Fechamento_E)]]-comp[[#This Row],[Saldo (Extratos)]]</f>
        <v>-9081.15</v>
      </c>
      <c r="M29" s="566">
        <f>IFERROR(comp[[#This Row],[F - E]]/comp[[#This Row],[Saldo (Extratos)]], "")</f>
        <v>-1</v>
      </c>
      <c r="N29" s="565">
        <f>comp[[#This Row],[Saldo (Informakon)]]-comp[[#This Row],[Saldo (Extratos)]]</f>
        <v>-140973.51999999999</v>
      </c>
      <c r="O29" s="567">
        <f>IFERROR(comp[[#This Row],[I - E]]/comp[[#This Row],[Saldo (Extratos)]], "")</f>
        <v>-15.523751947715873</v>
      </c>
    </row>
    <row r="30" spans="2:15" x14ac:dyDescent="0.25">
      <c r="B30" s="562" t="s">
        <v>11</v>
      </c>
      <c r="C30" s="563">
        <v>46204</v>
      </c>
      <c r="D30" s="564">
        <v>98661.88</v>
      </c>
      <c r="E30" s="453">
        <v>936909.96000000031</v>
      </c>
      <c r="F30" s="373">
        <v>738615.97999999986</v>
      </c>
      <c r="G30" s="564">
        <v>198293.97999999995</v>
      </c>
      <c r="H30" s="373">
        <f>SUMIFS(tb_rec_uni[2026-07-01], tb_rec_uni[empresa], comp[[#This Row],[Empresa]])</f>
        <v>0</v>
      </c>
      <c r="I30" s="373">
        <f>SUMIFS(tb_desp[valor], tb_desp[empresa], comp[[#This Row],[Empresa]], tb_desp[data.pagamento], "&gt;="&amp;C30, tb_desp[data.pagamento], "&lt;"&amp;EOMONTH(C30,0)+1)</f>
        <v>0</v>
      </c>
      <c r="J30" s="453">
        <f>comp[[#This Row],[Entradas (Fechamento_E)]]-comp[[#This Row],[Saídas (Fechamento_E)]]</f>
        <v>0</v>
      </c>
      <c r="K30" s="453">
        <v>206515.1200000002</v>
      </c>
      <c r="L30" s="565">
        <f>comp[[#This Row],[Saldo (Fechamento_E)]]-comp[[#This Row],[Saldo (Extratos)]]</f>
        <v>-98661.88</v>
      </c>
      <c r="M30" s="566">
        <f>IFERROR(comp[[#This Row],[F - E]]/comp[[#This Row],[Saldo (Extratos)]], "")</f>
        <v>-1</v>
      </c>
      <c r="N30" s="565">
        <f>comp[[#This Row],[Saldo (Informakon)]]-comp[[#This Row],[Saldo (Extratos)]]</f>
        <v>99632.099999999948</v>
      </c>
      <c r="O30" s="567">
        <f>IFERROR(comp[[#This Row],[I - E]]/comp[[#This Row],[Saldo (Extratos)]], "")</f>
        <v>1.0098337878824115</v>
      </c>
    </row>
    <row r="31" spans="2:15" x14ac:dyDescent="0.25">
      <c r="B31" s="568" t="s">
        <v>1105</v>
      </c>
      <c r="C31" s="563">
        <v>46204</v>
      </c>
      <c r="D31" s="564"/>
      <c r="E31" s="453">
        <v>45490.55</v>
      </c>
      <c r="F31" s="373">
        <v>0</v>
      </c>
      <c r="G31" s="564">
        <v>45490.55</v>
      </c>
      <c r="H31" s="373">
        <f>SUMIFS(tb_rec_uni[2026-07-01], tb_rec_uni[empresa], comp[[#This Row],[Empresa]])</f>
        <v>0</v>
      </c>
      <c r="I31" s="373">
        <f>SUMIFS(tb_desp[valor], tb_desp[empresa], comp[[#This Row],[Empresa]], tb_desp[data.pagamento], "&gt;="&amp;C31, tb_desp[data.pagamento], "&lt;"&amp;EOMONTH(C31,0)+1)</f>
        <v>0</v>
      </c>
      <c r="J31" s="453">
        <f>comp[[#This Row],[Entradas (Fechamento_E)]]-comp[[#This Row],[Saídas (Fechamento_E)]]</f>
        <v>0</v>
      </c>
      <c r="K31" s="453"/>
      <c r="L31" s="565">
        <f>comp[[#This Row],[Saldo (Fechamento_E)]]-comp[[#This Row],[Saldo (Extratos)]]</f>
        <v>0</v>
      </c>
      <c r="M31" s="566" t="str">
        <f>IFERROR(comp[[#This Row],[F - E]]/comp[[#This Row],[Saldo (Extratos)]], "")</f>
        <v/>
      </c>
      <c r="N31" s="565">
        <f>comp[[#This Row],[Saldo (Informakon)]]-comp[[#This Row],[Saldo (Extratos)]]</f>
        <v>45490.55</v>
      </c>
      <c r="O31" s="567" t="str">
        <f>IFERROR(comp[[#This Row],[I - E]]/comp[[#This Row],[Saldo (Extratos)]], "")</f>
        <v/>
      </c>
    </row>
    <row r="32" spans="2:15" x14ac:dyDescent="0.25">
      <c r="B32" s="562" t="s">
        <v>465</v>
      </c>
      <c r="C32" s="563">
        <v>46204</v>
      </c>
      <c r="D32" s="564">
        <v>-280690.27</v>
      </c>
      <c r="E32" s="453">
        <v>272650.10000000003</v>
      </c>
      <c r="F32" s="373">
        <v>493903.7900000001</v>
      </c>
      <c r="G32" s="564">
        <v>-221253.69</v>
      </c>
      <c r="H32" s="373">
        <f>SUMIFS(tb_rec_uni[2026-07-01], tb_rec_uni[empresa], comp[[#This Row],[Empresa]])</f>
        <v>0</v>
      </c>
      <c r="I32" s="373">
        <f>SUMIFS(tb_desp[valor], tb_desp[empresa], comp[[#This Row],[Empresa]], tb_desp[data.pagamento], "&gt;="&amp;C32, tb_desp[data.pagamento], "&lt;"&amp;EOMONTH(C32,0)+1)</f>
        <v>0</v>
      </c>
      <c r="J32" s="453">
        <f>comp[[#This Row],[Entradas (Fechamento_E)]]-comp[[#This Row],[Saídas (Fechamento_E)]]</f>
        <v>0</v>
      </c>
      <c r="K32" s="453">
        <v>-148872.83999999997</v>
      </c>
      <c r="L32" s="565">
        <f>comp[[#This Row],[Saldo (Fechamento_E)]]-comp[[#This Row],[Saldo (Extratos)]]</f>
        <v>280690.27</v>
      </c>
      <c r="M32" s="566">
        <f>IFERROR(comp[[#This Row],[F - E]]/comp[[#This Row],[Saldo (Extratos)]], "")</f>
        <v>-1</v>
      </c>
      <c r="N32" s="565">
        <f>comp[[#This Row],[Saldo (Informakon)]]-comp[[#This Row],[Saldo (Extratos)]]</f>
        <v>59436.580000000016</v>
      </c>
      <c r="O32" s="567">
        <f>IFERROR(comp[[#This Row],[I - E]]/comp[[#This Row],[Saldo (Extratos)]], "")</f>
        <v>-0.21175147966475649</v>
      </c>
    </row>
    <row r="33" spans="2:15" x14ac:dyDescent="0.25">
      <c r="B33" s="568" t="s">
        <v>678</v>
      </c>
      <c r="C33" s="563">
        <v>46204</v>
      </c>
      <c r="D33" s="564">
        <v>107.07999999999993</v>
      </c>
      <c r="E33" s="453">
        <v>15001.279999999999</v>
      </c>
      <c r="F33" s="373">
        <v>15004.029999999999</v>
      </c>
      <c r="G33" s="564">
        <v>-2.7499999999970166</v>
      </c>
      <c r="H33" s="373">
        <f>SUMIFS(tb_rec_uni[2026-07-01], tb_rec_uni[empresa], comp[[#This Row],[Empresa]])</f>
        <v>0</v>
      </c>
      <c r="I33" s="373">
        <f>SUMIFS(tb_desp[valor], tb_desp[empresa], comp[[#This Row],[Empresa]], tb_desp[data.pagamento], "&gt;="&amp;C33, tb_desp[data.pagamento], "&lt;"&amp;EOMONTH(C33,0)+1)</f>
        <v>0</v>
      </c>
      <c r="J33" s="453">
        <f>comp[[#This Row],[Entradas (Fechamento_E)]]-comp[[#This Row],[Saídas (Fechamento_E)]]</f>
        <v>0</v>
      </c>
      <c r="K33" s="453"/>
      <c r="L33" s="565">
        <f>comp[[#This Row],[Saldo (Fechamento_E)]]-comp[[#This Row],[Saldo (Extratos)]]</f>
        <v>-107.07999999999993</v>
      </c>
      <c r="M33" s="566">
        <f>IFERROR(comp[[#This Row],[F - E]]/comp[[#This Row],[Saldo (Extratos)]], "")</f>
        <v>-1</v>
      </c>
      <c r="N33" s="565">
        <f>comp[[#This Row],[Saldo (Informakon)]]-comp[[#This Row],[Saldo (Extratos)]]</f>
        <v>-109.82999999999694</v>
      </c>
      <c r="O33" s="567">
        <f>IFERROR(comp[[#This Row],[I - E]]/comp[[#This Row],[Saldo (Extratos)]], "")</f>
        <v>-1.0256817332834984</v>
      </c>
    </row>
    <row r="34" spans="2:15" x14ac:dyDescent="0.25">
      <c r="B34" s="562" t="s">
        <v>12</v>
      </c>
      <c r="C34" s="563">
        <v>46204</v>
      </c>
      <c r="D34" s="564">
        <v>2269810.85</v>
      </c>
      <c r="E34" s="453">
        <v>5184374.8099999977</v>
      </c>
      <c r="F34" s="373">
        <v>3369826.06</v>
      </c>
      <c r="G34" s="564">
        <v>1814548.7499999937</v>
      </c>
      <c r="H34" s="373">
        <f>SUMIFS(tb_rec_uni[2026-07-01], tb_rec_uni[empresa], comp[[#This Row],[Empresa]])</f>
        <v>0</v>
      </c>
      <c r="I34" s="373">
        <f>SUMIFS(tb_desp[valor], tb_desp[empresa], comp[[#This Row],[Empresa]], tb_desp[data.pagamento], "&gt;="&amp;C34, tb_desp[data.pagamento], "&lt;"&amp;EOMONTH(C34,0)+1)</f>
        <v>0</v>
      </c>
      <c r="J34" s="453">
        <f>comp[[#This Row],[Entradas (Fechamento_E)]]-comp[[#This Row],[Saídas (Fechamento_E)]]</f>
        <v>0</v>
      </c>
      <c r="K34" s="453">
        <v>2847456.0800000005</v>
      </c>
      <c r="L34" s="565">
        <f>comp[[#This Row],[Saldo (Fechamento_E)]]-comp[[#This Row],[Saldo (Extratos)]]</f>
        <v>-2269810.85</v>
      </c>
      <c r="M34" s="566">
        <f>IFERROR(comp[[#This Row],[F - E]]/comp[[#This Row],[Saldo (Extratos)]], "")</f>
        <v>-1</v>
      </c>
      <c r="N34" s="565">
        <f>comp[[#This Row],[Saldo (Informakon)]]-comp[[#This Row],[Saldo (Extratos)]]</f>
        <v>-455262.10000000638</v>
      </c>
      <c r="O34" s="567">
        <f>IFERROR(comp[[#This Row],[I - E]]/comp[[#This Row],[Saldo (Extratos)]], "")</f>
        <v>-0.20057270410880554</v>
      </c>
    </row>
    <row r="35" spans="2:15" x14ac:dyDescent="0.25">
      <c r="B35" s="562" t="s">
        <v>13</v>
      </c>
      <c r="C35" s="563">
        <v>46204</v>
      </c>
      <c r="D35" s="564">
        <v>1197944.49</v>
      </c>
      <c r="E35" s="453">
        <v>7092012.8299999926</v>
      </c>
      <c r="F35" s="373">
        <v>4971788.45</v>
      </c>
      <c r="G35" s="564">
        <v>2120224.3799999952</v>
      </c>
      <c r="H35" s="373">
        <f>SUMIFS(tb_rec_uni[2026-07-01], tb_rec_uni[empresa], comp[[#This Row],[Empresa]])</f>
        <v>0</v>
      </c>
      <c r="I35" s="373">
        <f>SUMIFS(tb_desp[valor], tb_desp[empresa], comp[[#This Row],[Empresa]], tb_desp[data.pagamento], "&gt;="&amp;C35, tb_desp[data.pagamento], "&lt;"&amp;EOMONTH(C35,0)+1)</f>
        <v>0</v>
      </c>
      <c r="J35" s="453">
        <f>comp[[#This Row],[Entradas (Fechamento_E)]]-comp[[#This Row],[Saídas (Fechamento_E)]]</f>
        <v>0</v>
      </c>
      <c r="K35" s="453">
        <v>3696844.0499999984</v>
      </c>
      <c r="L35" s="565">
        <f>comp[[#This Row],[Saldo (Fechamento_E)]]-comp[[#This Row],[Saldo (Extratos)]]</f>
        <v>-1197944.49</v>
      </c>
      <c r="M35" s="566">
        <f>IFERROR(comp[[#This Row],[F - E]]/comp[[#This Row],[Saldo (Extratos)]], "")</f>
        <v>-1</v>
      </c>
      <c r="N35" s="565">
        <f>comp[[#This Row],[Saldo (Informakon)]]-comp[[#This Row],[Saldo (Extratos)]]</f>
        <v>922279.88999999524</v>
      </c>
      <c r="O35" s="567">
        <f>IFERROR(comp[[#This Row],[I - E]]/comp[[#This Row],[Saldo (Extratos)]], "")</f>
        <v>0.76988533083030852</v>
      </c>
    </row>
    <row r="36" spans="2:15" x14ac:dyDescent="0.25">
      <c r="B36" s="568" t="s">
        <v>804</v>
      </c>
      <c r="C36" s="563">
        <v>46204</v>
      </c>
      <c r="D36" s="564">
        <v>-1626.9599999999991</v>
      </c>
      <c r="E36" s="453">
        <v>0.31999999999999995</v>
      </c>
      <c r="F36" s="373">
        <v>1630.29</v>
      </c>
      <c r="G36" s="564">
        <v>-1629.97</v>
      </c>
      <c r="H36" s="373">
        <f>SUMIFS(tb_rec_uni[2026-07-01], tb_rec_uni[empresa], comp[[#This Row],[Empresa]])</f>
        <v>0</v>
      </c>
      <c r="I36" s="373">
        <f>SUMIFS(tb_desp[valor], tb_desp[empresa], comp[[#This Row],[Empresa]], tb_desp[data.pagamento], "&gt;="&amp;C36, tb_desp[data.pagamento], "&lt;"&amp;EOMONTH(C36,0)+1)</f>
        <v>0</v>
      </c>
      <c r="J36" s="453">
        <f>comp[[#This Row],[Entradas (Fechamento_E)]]-comp[[#This Row],[Saídas (Fechamento_E)]]</f>
        <v>0</v>
      </c>
      <c r="K36" s="453"/>
      <c r="L36" s="565">
        <f>comp[[#This Row],[Saldo (Fechamento_E)]]-comp[[#This Row],[Saldo (Extratos)]]</f>
        <v>1626.9599999999991</v>
      </c>
      <c r="M36" s="566">
        <f>IFERROR(comp[[#This Row],[F - E]]/comp[[#This Row],[Saldo (Extratos)]], "")</f>
        <v>-1</v>
      </c>
      <c r="N36" s="565">
        <f>comp[[#This Row],[Saldo (Informakon)]]-comp[[#This Row],[Saldo (Extratos)]]</f>
        <v>-3.0100000000009004</v>
      </c>
      <c r="O36" s="567">
        <f>IFERROR(comp[[#This Row],[I - E]]/comp[[#This Row],[Saldo (Extratos)]], "")</f>
        <v>1.8500762157649248E-3</v>
      </c>
    </row>
    <row r="37" spans="2:15" x14ac:dyDescent="0.25">
      <c r="B37" s="568" t="s">
        <v>1032</v>
      </c>
      <c r="C37" s="563">
        <v>46204</v>
      </c>
      <c r="D37" s="564">
        <v>24977.839999999997</v>
      </c>
      <c r="E37" s="453">
        <v>0</v>
      </c>
      <c r="F37" s="373">
        <v>277.37</v>
      </c>
      <c r="G37" s="571">
        <v>-277.37</v>
      </c>
      <c r="H37" s="373">
        <f>SUMIFS(tb_rec_uni[2026-07-01], tb_rec_uni[empresa], comp[[#This Row],[Empresa]])</f>
        <v>0</v>
      </c>
      <c r="I37" s="373">
        <f>SUMIFS(tb_desp[valor], tb_desp[empresa], comp[[#This Row],[Empresa]], tb_desp[data.pagamento], "&gt;="&amp;C37, tb_desp[data.pagamento], "&lt;"&amp;EOMONTH(C37,0)+1)</f>
        <v>0</v>
      </c>
      <c r="J37" s="453">
        <f>comp[[#This Row],[Entradas (Fechamento_E)]]-comp[[#This Row],[Saídas (Fechamento_E)]]</f>
        <v>0</v>
      </c>
      <c r="K37" s="453"/>
      <c r="L37" s="565">
        <f>comp[[#This Row],[Saldo (Fechamento_E)]]-comp[[#This Row],[Saldo (Extratos)]]</f>
        <v>-24977.839999999997</v>
      </c>
      <c r="M37" s="566">
        <f>IFERROR(comp[[#This Row],[F - E]]/comp[[#This Row],[Saldo (Extratos)]], "")</f>
        <v>-1</v>
      </c>
      <c r="N37" s="565">
        <f>comp[[#This Row],[Saldo (Informakon)]]-comp[[#This Row],[Saldo (Extratos)]]</f>
        <v>-25255.209999999995</v>
      </c>
      <c r="O37" s="567">
        <f>IFERROR(comp[[#This Row],[I - E]]/comp[[#This Row],[Saldo (Extratos)]], "")</f>
        <v>-1.0111046431556932</v>
      </c>
    </row>
    <row r="38" spans="2:15" x14ac:dyDescent="0.25">
      <c r="B38" s="572" t="s">
        <v>1113</v>
      </c>
      <c r="C38" s="573">
        <v>46204</v>
      </c>
      <c r="D38" s="564">
        <v>0</v>
      </c>
      <c r="E38" s="453">
        <v>24694.1</v>
      </c>
      <c r="F38" s="373">
        <v>463.39</v>
      </c>
      <c r="G38" s="564">
        <v>24230.71</v>
      </c>
      <c r="H38" s="373">
        <f>SUMIFS(tb_rec_uni[2026-07-01], tb_rec_uni[empresa], comp[[#This Row],[Empresa]])</f>
        <v>0</v>
      </c>
      <c r="I38" s="373">
        <f>SUMIFS(tb_desp[valor], tb_desp[empresa], comp[[#This Row],[Empresa]], tb_desp[data.pagamento], "&gt;="&amp;C38, tb_desp[data.pagamento], "&lt;"&amp;EOMONTH(C38,0)+1)</f>
        <v>0</v>
      </c>
      <c r="J38" s="570">
        <f>comp[[#This Row],[Entradas (Fechamento_E)]]-comp[[#This Row],[Saídas (Fechamento_E)]]</f>
        <v>0</v>
      </c>
      <c r="K38" s="570"/>
      <c r="L38" s="574">
        <f>comp[[#This Row],[Saldo (Fechamento_E)]]-comp[[#This Row],[Saldo (Extratos)]]</f>
        <v>0</v>
      </c>
      <c r="M38" s="575" t="str">
        <f>IFERROR(comp[[#This Row],[F - E]]/comp[[#This Row],[Saldo (Extratos)]], "")</f>
        <v/>
      </c>
      <c r="N38" s="574">
        <f>comp[[#This Row],[Saldo (Informakon)]]-comp[[#This Row],[Saldo (Extratos)]]</f>
        <v>24230.71</v>
      </c>
      <c r="O38" s="576" t="str">
        <f>IFERROR(comp[[#This Row],[I - E]]/comp[[#This Row],[Saldo (Extratos)]], "")</f>
        <v/>
      </c>
    </row>
    <row r="39" spans="2:15" x14ac:dyDescent="0.25">
      <c r="B39" s="572" t="s">
        <v>956</v>
      </c>
      <c r="C39" s="573">
        <v>46204</v>
      </c>
      <c r="D39" s="571">
        <v>-785.2</v>
      </c>
      <c r="E39" s="453"/>
      <c r="F39" s="373"/>
      <c r="G39" s="571"/>
      <c r="H39" s="373">
        <f>SUMIFS(tb_rec_uni[2026-07-01], tb_rec_uni[empresa], comp[[#This Row],[Empresa]])</f>
        <v>0</v>
      </c>
      <c r="I39" s="373">
        <f>SUMIFS(tb_desp[valor], tb_desp[empresa], comp[[#This Row],[Empresa]], tb_desp[data.pagamento], "&gt;="&amp;C39, tb_desp[data.pagamento], "&lt;"&amp;EOMONTH(C39,0)+1)</f>
        <v>0</v>
      </c>
      <c r="J39" s="570">
        <f>comp[[#This Row],[Entradas (Fechamento_E)]]-comp[[#This Row],[Saídas (Fechamento_E)]]</f>
        <v>0</v>
      </c>
      <c r="K39" s="570"/>
      <c r="L39" s="574">
        <f>comp[[#This Row],[Saldo (Fechamento_E)]]-comp[[#This Row],[Saldo (Extratos)]]</f>
        <v>785.2</v>
      </c>
      <c r="M39" s="575">
        <f>IFERROR(comp[[#This Row],[F - E]]/comp[[#This Row],[Saldo (Extratos)]], "")</f>
        <v>-1</v>
      </c>
      <c r="N39" s="574">
        <f>comp[[#This Row],[Saldo (Informakon)]]-comp[[#This Row],[Saldo (Extratos)]]</f>
        <v>785.2</v>
      </c>
      <c r="O39" s="576">
        <f>IFERROR(comp[[#This Row],[I - E]]/comp[[#This Row],[Saldo (Extratos)]], "")</f>
        <v>-1</v>
      </c>
    </row>
  </sheetData>
  <conditionalFormatting sqref="C3:I9 G12:G17 D12:D39 J12:O39 G19:G39">
    <cfRule type="cellIs" dxfId="32" priority="1" operator="lessThan">
      <formula>0</formula>
    </cfRule>
  </conditionalFormatting>
  <conditionalFormatting sqref="D12:K17 D18:D38 H18:K38 E19:G38 D39:K39">
    <cfRule type="containsBlanks" dxfId="31" priority="2">
      <formula>LEN(TRIM(D12))=0</formula>
    </cfRule>
  </conditionalFormatting>
  <pageMargins left="0.511811024" right="0.511811024" top="0.78740157499999996" bottom="0.78740157499999996" header="0.31496062000000002" footer="0.31496062000000002"/>
  <ignoredErrors>
    <ignoredError sqref="I12:I39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66C8-EFAE-4571-B1A3-2F7F7204FA13}">
  <dimension ref="A1:V2845"/>
  <sheetViews>
    <sheetView showGridLines="0" topLeftCell="A2673" workbookViewId="0">
      <selection activeCell="E2699" sqref="E2699"/>
    </sheetView>
  </sheetViews>
  <sheetFormatPr defaultColWidth="9.140625" defaultRowHeight="12.75" x14ac:dyDescent="0.2"/>
  <cols>
    <col min="1" max="5" width="9.140625" style="524"/>
    <col min="6" max="6" width="17.42578125" style="524" customWidth="1"/>
    <col min="7" max="8" width="9.140625" style="524"/>
    <col min="9" max="10" width="6.5703125" style="524" customWidth="1"/>
    <col min="11" max="11" width="11.85546875" style="524" customWidth="1"/>
    <col min="12" max="12" width="6.140625" style="524" customWidth="1"/>
    <col min="13" max="13" width="9.140625" style="524"/>
    <col min="14" max="14" width="11" style="524" customWidth="1"/>
    <col min="15" max="16" width="9.140625" style="524"/>
    <col min="17" max="17" width="8.85546875" style="524" customWidth="1"/>
    <col min="18" max="18" width="9.140625" style="524"/>
    <col min="19" max="19" width="20.7109375" style="524" customWidth="1"/>
    <col min="20" max="20" width="9.140625" style="524"/>
    <col min="21" max="21" width="25.7109375" style="524" customWidth="1"/>
    <col min="22" max="22" width="14" style="524" bestFit="1" customWidth="1"/>
    <col min="23" max="16384" width="9.140625" style="524"/>
  </cols>
  <sheetData>
    <row r="1" spans="1:22" ht="15" customHeight="1" x14ac:dyDescent="0.2">
      <c r="A1" s="520" t="s">
        <v>1146</v>
      </c>
      <c r="B1" s="521" t="s">
        <v>1147</v>
      </c>
      <c r="C1" s="521" t="s">
        <v>1148</v>
      </c>
      <c r="D1" s="521" t="s">
        <v>500</v>
      </c>
      <c r="E1" s="522" t="s">
        <v>1149</v>
      </c>
      <c r="F1" s="522" t="s">
        <v>1150</v>
      </c>
      <c r="G1" s="522" t="s">
        <v>1151</v>
      </c>
      <c r="H1" s="520" t="s">
        <v>676</v>
      </c>
      <c r="I1" s="521" t="s">
        <v>1152</v>
      </c>
      <c r="J1" s="521" t="s">
        <v>1153</v>
      </c>
      <c r="K1" s="521" t="s">
        <v>1154</v>
      </c>
      <c r="L1" s="521" t="s">
        <v>1155</v>
      </c>
      <c r="M1" s="522" t="s">
        <v>1156</v>
      </c>
      <c r="N1" s="521" t="s">
        <v>1157</v>
      </c>
      <c r="O1" s="521" t="s">
        <v>897</v>
      </c>
      <c r="P1" s="521" t="s">
        <v>1158</v>
      </c>
      <c r="Q1" s="522" t="s">
        <v>1159</v>
      </c>
      <c r="R1" s="522" t="s">
        <v>1160</v>
      </c>
      <c r="S1" s="523" t="s">
        <v>1161</v>
      </c>
      <c r="U1" s="524" t="s">
        <v>852</v>
      </c>
      <c r="V1" s="525">
        <f>SUMIFS(cmf[Valor],
  cmf[D/C],"C"
)</f>
        <v>35692705.879999995</v>
      </c>
    </row>
    <row r="2" spans="1:22" x14ac:dyDescent="0.2">
      <c r="A2" s="524">
        <v>67892</v>
      </c>
      <c r="B2" s="526">
        <v>46204</v>
      </c>
      <c r="C2" s="524" t="s">
        <v>1162</v>
      </c>
      <c r="D2" s="524" t="s">
        <v>1163</v>
      </c>
      <c r="E2" s="524" t="s">
        <v>1164</v>
      </c>
      <c r="F2" s="524" t="s">
        <v>1165</v>
      </c>
      <c r="G2" s="524" t="s">
        <v>756</v>
      </c>
      <c r="H2" s="527">
        <v>28164.28</v>
      </c>
      <c r="I2" s="524" t="s">
        <v>1148</v>
      </c>
      <c r="J2" s="524">
        <f>IF(cmf[[#This Row],[D/C]]="C",cmf[[#This Row],[Valor]],-1*cmf[[#This Row],[Valor]])</f>
        <v>28164.28</v>
      </c>
      <c r="L2" s="524" t="s">
        <v>1166</v>
      </c>
      <c r="M2" s="524" t="s">
        <v>1167</v>
      </c>
      <c r="N2" s="524" t="s">
        <v>1168</v>
      </c>
      <c r="O2" s="524" t="s">
        <v>1169</v>
      </c>
      <c r="P2" s="526"/>
      <c r="S2" s="527">
        <v>0</v>
      </c>
      <c r="U2" s="524" t="s">
        <v>874</v>
      </c>
      <c r="V2" s="525">
        <f>SUMIFS(cmf[Valor],
  cmf[D/C],"D"
)</f>
        <v>31257793.710000008</v>
      </c>
    </row>
    <row r="3" spans="1:22" x14ac:dyDescent="0.2">
      <c r="A3" s="524">
        <v>67932</v>
      </c>
      <c r="B3" s="526">
        <v>46204</v>
      </c>
      <c r="C3" s="524" t="s">
        <v>1148</v>
      </c>
      <c r="D3" s="524" t="s">
        <v>1163</v>
      </c>
      <c r="E3" s="524" t="s">
        <v>1164</v>
      </c>
      <c r="F3" s="524" t="s">
        <v>1170</v>
      </c>
      <c r="G3" s="524" t="s">
        <v>798</v>
      </c>
      <c r="H3" s="527">
        <v>539.26</v>
      </c>
      <c r="I3" s="524" t="s">
        <v>1148</v>
      </c>
      <c r="J3" s="524">
        <f>IF(cmf[[#This Row],[D/C]]="C",cmf[[#This Row],[Valor]],-1*cmf[[#This Row],[Valor]])</f>
        <v>539.26</v>
      </c>
      <c r="L3" s="524" t="s">
        <v>1166</v>
      </c>
      <c r="M3" s="524" t="s">
        <v>1167</v>
      </c>
      <c r="N3" s="524" t="s">
        <v>1171</v>
      </c>
      <c r="O3" s="524" t="s">
        <v>1172</v>
      </c>
      <c r="P3" s="526">
        <v>46204</v>
      </c>
      <c r="S3" s="527">
        <v>0</v>
      </c>
      <c r="U3" s="528" t="s">
        <v>1027</v>
      </c>
      <c r="V3" s="529">
        <f>V1-V2</f>
        <v>4434912.1699999869</v>
      </c>
    </row>
    <row r="4" spans="1:22" x14ac:dyDescent="0.2">
      <c r="A4" s="524">
        <v>67933</v>
      </c>
      <c r="B4" s="526">
        <v>46204</v>
      </c>
      <c r="C4" s="524" t="s">
        <v>1148</v>
      </c>
      <c r="D4" s="524" t="s">
        <v>1163</v>
      </c>
      <c r="E4" s="524" t="s">
        <v>1173</v>
      </c>
      <c r="F4" s="524" t="s">
        <v>1170</v>
      </c>
      <c r="G4" s="524" t="s">
        <v>798</v>
      </c>
      <c r="H4" s="527">
        <v>6.3</v>
      </c>
      <c r="I4" s="524" t="s">
        <v>1174</v>
      </c>
      <c r="J4" s="524">
        <f>IF(cmf[[#This Row],[D/C]]="C",cmf[[#This Row],[Valor]],-1*cmf[[#This Row],[Valor]])</f>
        <v>-6.3</v>
      </c>
      <c r="L4" s="524" t="s">
        <v>1175</v>
      </c>
      <c r="M4" s="524" t="s">
        <v>1176</v>
      </c>
      <c r="N4" s="524" t="s">
        <v>1171</v>
      </c>
      <c r="O4" s="524" t="s">
        <v>1172</v>
      </c>
      <c r="P4" s="526">
        <v>46204</v>
      </c>
      <c r="S4" s="527">
        <v>0</v>
      </c>
      <c r="U4" s="524" t="s">
        <v>1177</v>
      </c>
      <c r="V4" s="524">
        <f>COUNTIFS(cmf[D/C],"C")</f>
        <v>893</v>
      </c>
    </row>
    <row r="5" spans="1:22" x14ac:dyDescent="0.2">
      <c r="A5" s="524">
        <v>68106</v>
      </c>
      <c r="B5" s="526">
        <v>46204</v>
      </c>
      <c r="C5" s="524" t="s">
        <v>1148</v>
      </c>
      <c r="D5" s="524" t="s">
        <v>1163</v>
      </c>
      <c r="E5" s="524" t="s">
        <v>1164</v>
      </c>
      <c r="F5" s="524" t="s">
        <v>1178</v>
      </c>
      <c r="G5" s="524" t="s">
        <v>1179</v>
      </c>
      <c r="H5" s="527">
        <v>866.18</v>
      </c>
      <c r="I5" s="524" t="s">
        <v>1148</v>
      </c>
      <c r="J5" s="524">
        <f>IF(cmf[[#This Row],[D/C]]="C",cmf[[#This Row],[Valor]],-1*cmf[[#This Row],[Valor]])</f>
        <v>866.18</v>
      </c>
      <c r="L5" s="524" t="s">
        <v>1166</v>
      </c>
      <c r="M5" s="524" t="s">
        <v>1167</v>
      </c>
      <c r="N5" s="524" t="s">
        <v>1180</v>
      </c>
      <c r="O5" s="524" t="s">
        <v>1181</v>
      </c>
      <c r="P5" s="526">
        <v>46204</v>
      </c>
      <c r="S5" s="527">
        <v>0</v>
      </c>
      <c r="U5" s="524" t="s">
        <v>1182</v>
      </c>
      <c r="V5" s="524">
        <f>COUNTIFS(cmf[D/C],"D")</f>
        <v>1951</v>
      </c>
    </row>
    <row r="6" spans="1:22" x14ac:dyDescent="0.2">
      <c r="A6" s="524">
        <v>68108</v>
      </c>
      <c r="B6" s="526">
        <v>46204</v>
      </c>
      <c r="C6" s="524" t="s">
        <v>1162</v>
      </c>
      <c r="D6" s="524" t="s">
        <v>1163</v>
      </c>
      <c r="E6" s="524" t="s">
        <v>1164</v>
      </c>
      <c r="F6" s="524" t="s">
        <v>1183</v>
      </c>
      <c r="G6" s="524" t="s">
        <v>796</v>
      </c>
      <c r="H6" s="527">
        <v>2415.9699999999998</v>
      </c>
      <c r="I6" s="524" t="s">
        <v>1148</v>
      </c>
      <c r="J6" s="524">
        <f>IF(cmf[[#This Row],[D/C]]="C",cmf[[#This Row],[Valor]],-1*cmf[[#This Row],[Valor]])</f>
        <v>2415.9699999999998</v>
      </c>
      <c r="L6" s="524" t="s">
        <v>1166</v>
      </c>
      <c r="M6" s="524" t="s">
        <v>1167</v>
      </c>
      <c r="N6" s="524" t="s">
        <v>1184</v>
      </c>
      <c r="O6" s="524" t="s">
        <v>1172</v>
      </c>
      <c r="P6" s="526"/>
      <c r="S6" s="527">
        <v>0</v>
      </c>
      <c r="U6" s="524" t="s">
        <v>1185</v>
      </c>
      <c r="V6" s="524">
        <f>SUM(V4:V5)</f>
        <v>2844</v>
      </c>
    </row>
    <row r="7" spans="1:22" x14ac:dyDescent="0.2">
      <c r="A7" s="524">
        <v>68109</v>
      </c>
      <c r="B7" s="526">
        <v>46204</v>
      </c>
      <c r="C7" s="524" t="s">
        <v>1162</v>
      </c>
      <c r="D7" s="524" t="s">
        <v>1163</v>
      </c>
      <c r="E7" s="524" t="s">
        <v>1173</v>
      </c>
      <c r="F7" s="524" t="s">
        <v>1183</v>
      </c>
      <c r="G7" s="524" t="s">
        <v>796</v>
      </c>
      <c r="H7" s="527">
        <v>2.2999999999999998</v>
      </c>
      <c r="I7" s="524" t="s">
        <v>1174</v>
      </c>
      <c r="J7" s="524">
        <f>IF(cmf[[#This Row],[D/C]]="C",cmf[[#This Row],[Valor]],-1*cmf[[#This Row],[Valor]])</f>
        <v>-2.2999999999999998</v>
      </c>
      <c r="L7" s="524" t="s">
        <v>1175</v>
      </c>
      <c r="M7" s="524" t="s">
        <v>1176</v>
      </c>
      <c r="N7" s="524" t="s">
        <v>1184</v>
      </c>
      <c r="O7" s="524" t="s">
        <v>1172</v>
      </c>
      <c r="P7" s="526"/>
      <c r="S7" s="527">
        <v>0</v>
      </c>
    </row>
    <row r="8" spans="1:22" x14ac:dyDescent="0.2">
      <c r="A8" s="524">
        <v>68143</v>
      </c>
      <c r="B8" s="526">
        <v>46204</v>
      </c>
      <c r="C8" s="524" t="s">
        <v>1148</v>
      </c>
      <c r="D8" s="524" t="s">
        <v>1186</v>
      </c>
      <c r="E8" s="524" t="s">
        <v>1187</v>
      </c>
      <c r="F8" s="524" t="s">
        <v>1183</v>
      </c>
      <c r="G8" s="524" t="s">
        <v>800</v>
      </c>
      <c r="H8" s="527">
        <v>1505.37</v>
      </c>
      <c r="I8" s="524" t="s">
        <v>1174</v>
      </c>
      <c r="J8" s="524">
        <f>IF(cmf[[#This Row],[D/C]]="C",cmf[[#This Row],[Valor]],-1*cmf[[#This Row],[Valor]])</f>
        <v>-1505.37</v>
      </c>
      <c r="L8" s="524" t="s">
        <v>1188</v>
      </c>
      <c r="M8" s="524" t="s">
        <v>1189</v>
      </c>
      <c r="N8" s="524" t="s">
        <v>1171</v>
      </c>
      <c r="O8" s="524" t="s">
        <v>1172</v>
      </c>
      <c r="P8" s="526">
        <v>46204</v>
      </c>
      <c r="S8" s="527">
        <v>0</v>
      </c>
    </row>
    <row r="9" spans="1:22" x14ac:dyDescent="0.2">
      <c r="A9" s="524">
        <v>68144</v>
      </c>
      <c r="B9" s="526">
        <v>46204</v>
      </c>
      <c r="C9" s="524" t="s">
        <v>1148</v>
      </c>
      <c r="D9" s="524" t="s">
        <v>1186</v>
      </c>
      <c r="E9" s="524" t="s">
        <v>1190</v>
      </c>
      <c r="F9" s="524" t="s">
        <v>1183</v>
      </c>
      <c r="G9" s="524" t="s">
        <v>800</v>
      </c>
      <c r="H9" s="527">
        <v>0.03</v>
      </c>
      <c r="I9" s="524" t="s">
        <v>1174</v>
      </c>
      <c r="J9" s="524">
        <f>IF(cmf[[#This Row],[D/C]]="C",cmf[[#This Row],[Valor]],-1*cmf[[#This Row],[Valor]])</f>
        <v>-0.03</v>
      </c>
      <c r="L9" s="524" t="s">
        <v>1188</v>
      </c>
      <c r="M9" s="524" t="s">
        <v>1189</v>
      </c>
      <c r="N9" s="524" t="s">
        <v>1171</v>
      </c>
      <c r="O9" s="524" t="s">
        <v>1172</v>
      </c>
      <c r="P9" s="526">
        <v>46204</v>
      </c>
      <c r="S9" s="527">
        <v>0</v>
      </c>
    </row>
    <row r="10" spans="1:22" x14ac:dyDescent="0.2">
      <c r="A10" s="524">
        <v>68145</v>
      </c>
      <c r="B10" s="526">
        <v>46204</v>
      </c>
      <c r="C10" s="524" t="s">
        <v>1148</v>
      </c>
      <c r="D10" s="524" t="s">
        <v>1186</v>
      </c>
      <c r="E10" s="524" t="s">
        <v>1191</v>
      </c>
      <c r="F10" s="524" t="s">
        <v>1183</v>
      </c>
      <c r="G10" s="524" t="s">
        <v>803</v>
      </c>
      <c r="H10" s="527">
        <v>2338.85</v>
      </c>
      <c r="I10" s="524" t="s">
        <v>1174</v>
      </c>
      <c r="J10" s="524">
        <f>IF(cmf[[#This Row],[D/C]]="C",cmf[[#This Row],[Valor]],-1*cmf[[#This Row],[Valor]])</f>
        <v>-2338.85</v>
      </c>
      <c r="L10" s="524" t="s">
        <v>1188</v>
      </c>
      <c r="M10" s="524" t="s">
        <v>1189</v>
      </c>
      <c r="N10" s="524" t="s">
        <v>1192</v>
      </c>
      <c r="O10" s="524" t="s">
        <v>1193</v>
      </c>
      <c r="P10" s="526">
        <v>46204</v>
      </c>
      <c r="S10" s="527">
        <v>0</v>
      </c>
    </row>
    <row r="11" spans="1:22" x14ac:dyDescent="0.2">
      <c r="A11" s="524">
        <v>68146</v>
      </c>
      <c r="B11" s="526">
        <v>46204</v>
      </c>
      <c r="C11" s="524" t="s">
        <v>1148</v>
      </c>
      <c r="D11" s="524" t="s">
        <v>1186</v>
      </c>
      <c r="E11" s="524" t="s">
        <v>1194</v>
      </c>
      <c r="F11" s="524" t="s">
        <v>1183</v>
      </c>
      <c r="G11" s="524" t="s">
        <v>803</v>
      </c>
      <c r="H11" s="527">
        <v>2234.4899999999998</v>
      </c>
      <c r="I11" s="524" t="s">
        <v>1174</v>
      </c>
      <c r="J11" s="524">
        <f>IF(cmf[[#This Row],[D/C]]="C",cmf[[#This Row],[Valor]],-1*cmf[[#This Row],[Valor]])</f>
        <v>-2234.4899999999998</v>
      </c>
      <c r="L11" s="524" t="s">
        <v>1188</v>
      </c>
      <c r="M11" s="524" t="s">
        <v>1189</v>
      </c>
      <c r="N11" s="524" t="s">
        <v>1192</v>
      </c>
      <c r="O11" s="524" t="s">
        <v>1193</v>
      </c>
      <c r="P11" s="526">
        <v>46204</v>
      </c>
      <c r="S11" s="527">
        <v>0</v>
      </c>
    </row>
    <row r="12" spans="1:22" x14ac:dyDescent="0.2">
      <c r="A12" s="524">
        <v>68147</v>
      </c>
      <c r="B12" s="526">
        <v>46204</v>
      </c>
      <c r="C12" s="524" t="s">
        <v>1148</v>
      </c>
      <c r="D12" s="524" t="s">
        <v>1186</v>
      </c>
      <c r="E12" s="524" t="s">
        <v>1195</v>
      </c>
      <c r="F12" s="524" t="s">
        <v>1183</v>
      </c>
      <c r="G12" s="524" t="s">
        <v>803</v>
      </c>
      <c r="H12" s="527">
        <v>2234.4899999999998</v>
      </c>
      <c r="I12" s="524" t="s">
        <v>1174</v>
      </c>
      <c r="J12" s="524">
        <f>IF(cmf[[#This Row],[D/C]]="C",cmf[[#This Row],[Valor]],-1*cmf[[#This Row],[Valor]])</f>
        <v>-2234.4899999999998</v>
      </c>
      <c r="L12" s="524" t="s">
        <v>1188</v>
      </c>
      <c r="M12" s="524" t="s">
        <v>1189</v>
      </c>
      <c r="N12" s="524" t="s">
        <v>1192</v>
      </c>
      <c r="O12" s="524" t="s">
        <v>1193</v>
      </c>
      <c r="P12" s="526">
        <v>46204</v>
      </c>
      <c r="S12" s="527">
        <v>0</v>
      </c>
    </row>
    <row r="13" spans="1:22" x14ac:dyDescent="0.2">
      <c r="A13" s="524">
        <v>68148</v>
      </c>
      <c r="B13" s="526">
        <v>46204</v>
      </c>
      <c r="C13" s="524" t="s">
        <v>1148</v>
      </c>
      <c r="D13" s="524" t="s">
        <v>1186</v>
      </c>
      <c r="E13" s="524" t="s">
        <v>1196</v>
      </c>
      <c r="F13" s="524" t="s">
        <v>1183</v>
      </c>
      <c r="G13" s="524" t="s">
        <v>803</v>
      </c>
      <c r="H13" s="527">
        <v>2234.4899999999998</v>
      </c>
      <c r="I13" s="524" t="s">
        <v>1174</v>
      </c>
      <c r="J13" s="524">
        <f>IF(cmf[[#This Row],[D/C]]="C",cmf[[#This Row],[Valor]],-1*cmf[[#This Row],[Valor]])</f>
        <v>-2234.4899999999998</v>
      </c>
      <c r="L13" s="524" t="s">
        <v>1188</v>
      </c>
      <c r="M13" s="524" t="s">
        <v>1189</v>
      </c>
      <c r="N13" s="524" t="s">
        <v>1192</v>
      </c>
      <c r="O13" s="524" t="s">
        <v>1193</v>
      </c>
      <c r="P13" s="526">
        <v>46204</v>
      </c>
      <c r="S13" s="527">
        <v>0</v>
      </c>
    </row>
    <row r="14" spans="1:22" x14ac:dyDescent="0.2">
      <c r="A14" s="524">
        <v>68149</v>
      </c>
      <c r="B14" s="526">
        <v>46204</v>
      </c>
      <c r="C14" s="524" t="s">
        <v>1148</v>
      </c>
      <c r="D14" s="524" t="s">
        <v>1186</v>
      </c>
      <c r="E14" s="524" t="s">
        <v>1197</v>
      </c>
      <c r="F14" s="524" t="s">
        <v>1183</v>
      </c>
      <c r="G14" s="524" t="s">
        <v>803</v>
      </c>
      <c r="H14" s="527">
        <v>1922.79</v>
      </c>
      <c r="I14" s="524" t="s">
        <v>1174</v>
      </c>
      <c r="J14" s="524">
        <f>IF(cmf[[#This Row],[D/C]]="C",cmf[[#This Row],[Valor]],-1*cmf[[#This Row],[Valor]])</f>
        <v>-1922.79</v>
      </c>
      <c r="L14" s="524" t="s">
        <v>1188</v>
      </c>
      <c r="M14" s="524" t="s">
        <v>1189</v>
      </c>
      <c r="N14" s="524" t="s">
        <v>1192</v>
      </c>
      <c r="O14" s="524" t="s">
        <v>1193</v>
      </c>
      <c r="P14" s="526">
        <v>46204</v>
      </c>
      <c r="S14" s="527">
        <v>0</v>
      </c>
    </row>
    <row r="15" spans="1:22" x14ac:dyDescent="0.2">
      <c r="A15" s="524">
        <v>68150</v>
      </c>
      <c r="B15" s="526">
        <v>46204</v>
      </c>
      <c r="C15" s="524" t="s">
        <v>1148</v>
      </c>
      <c r="D15" s="524" t="s">
        <v>1186</v>
      </c>
      <c r="E15" s="524" t="s">
        <v>1198</v>
      </c>
      <c r="F15" s="524" t="s">
        <v>1183</v>
      </c>
      <c r="G15" s="524" t="s">
        <v>803</v>
      </c>
      <c r="H15" s="527">
        <v>1922.79</v>
      </c>
      <c r="I15" s="524" t="s">
        <v>1174</v>
      </c>
      <c r="J15" s="524">
        <f>IF(cmf[[#This Row],[D/C]]="C",cmf[[#This Row],[Valor]],-1*cmf[[#This Row],[Valor]])</f>
        <v>-1922.79</v>
      </c>
      <c r="L15" s="524" t="s">
        <v>1188</v>
      </c>
      <c r="M15" s="524" t="s">
        <v>1189</v>
      </c>
      <c r="N15" s="524" t="s">
        <v>1192</v>
      </c>
      <c r="O15" s="524" t="s">
        <v>1193</v>
      </c>
      <c r="P15" s="526">
        <v>46204</v>
      </c>
      <c r="S15" s="527">
        <v>0</v>
      </c>
    </row>
    <row r="16" spans="1:22" x14ac:dyDescent="0.2">
      <c r="A16" s="524">
        <v>68151</v>
      </c>
      <c r="B16" s="526">
        <v>46204</v>
      </c>
      <c r="C16" s="524" t="s">
        <v>1148</v>
      </c>
      <c r="D16" s="524" t="s">
        <v>1186</v>
      </c>
      <c r="E16" s="524" t="s">
        <v>1199</v>
      </c>
      <c r="F16" s="524" t="s">
        <v>1183</v>
      </c>
      <c r="G16" s="524" t="s">
        <v>766</v>
      </c>
      <c r="H16" s="527">
        <v>31.37</v>
      </c>
      <c r="I16" s="524" t="s">
        <v>1174</v>
      </c>
      <c r="J16" s="524">
        <f>IF(cmf[[#This Row],[D/C]]="C",cmf[[#This Row],[Valor]],-1*cmf[[#This Row],[Valor]])</f>
        <v>-31.37</v>
      </c>
      <c r="L16" s="524" t="s">
        <v>1188</v>
      </c>
      <c r="M16" s="524" t="s">
        <v>1189</v>
      </c>
      <c r="N16" s="524" t="s">
        <v>1200</v>
      </c>
      <c r="O16" s="524" t="s">
        <v>1201</v>
      </c>
      <c r="P16" s="526">
        <v>46204</v>
      </c>
      <c r="S16" s="527">
        <v>0</v>
      </c>
    </row>
    <row r="17" spans="1:19" x14ac:dyDescent="0.2">
      <c r="A17" s="524">
        <v>68214</v>
      </c>
      <c r="B17" s="526">
        <v>46204</v>
      </c>
      <c r="C17" s="524" t="s">
        <v>1162</v>
      </c>
      <c r="D17" s="524" t="s">
        <v>1186</v>
      </c>
      <c r="E17" s="524" t="s">
        <v>1202</v>
      </c>
      <c r="F17" s="524" t="s">
        <v>1183</v>
      </c>
      <c r="G17" s="524" t="s">
        <v>801</v>
      </c>
      <c r="H17" s="527">
        <v>1250</v>
      </c>
      <c r="I17" s="524" t="s">
        <v>1174</v>
      </c>
      <c r="J17" s="524">
        <f>IF(cmf[[#This Row],[D/C]]="C",cmf[[#This Row],[Valor]],-1*cmf[[#This Row],[Valor]])</f>
        <v>-1250</v>
      </c>
      <c r="L17" s="524" t="s">
        <v>1188</v>
      </c>
      <c r="M17" s="524" t="s">
        <v>1189</v>
      </c>
      <c r="N17" s="524" t="s">
        <v>1203</v>
      </c>
      <c r="O17" s="524" t="s">
        <v>1204</v>
      </c>
      <c r="P17" s="526"/>
      <c r="S17" s="527">
        <v>0</v>
      </c>
    </row>
    <row r="18" spans="1:19" x14ac:dyDescent="0.2">
      <c r="A18" s="524">
        <v>68233</v>
      </c>
      <c r="B18" s="526">
        <v>46204</v>
      </c>
      <c r="C18" s="524" t="s">
        <v>1162</v>
      </c>
      <c r="D18" s="524" t="s">
        <v>1205</v>
      </c>
      <c r="E18" s="524" t="s">
        <v>1206</v>
      </c>
      <c r="F18" s="524" t="s">
        <v>1170</v>
      </c>
      <c r="G18" s="524" t="s">
        <v>781</v>
      </c>
      <c r="H18" s="527">
        <v>4000</v>
      </c>
      <c r="I18" s="524" t="s">
        <v>1174</v>
      </c>
      <c r="J18" s="524">
        <f>IF(cmf[[#This Row],[D/C]]="C",cmf[[#This Row],[Valor]],-1*cmf[[#This Row],[Valor]])</f>
        <v>-4000</v>
      </c>
      <c r="L18" s="524" t="s">
        <v>1207</v>
      </c>
      <c r="M18" s="524" t="s">
        <v>1208</v>
      </c>
      <c r="N18" s="524" t="s">
        <v>1209</v>
      </c>
      <c r="O18" s="524" t="s">
        <v>1210</v>
      </c>
      <c r="P18" s="526"/>
      <c r="S18" s="527">
        <v>0</v>
      </c>
    </row>
    <row r="19" spans="1:19" x14ac:dyDescent="0.2">
      <c r="A19" s="524">
        <v>68234</v>
      </c>
      <c r="B19" s="526">
        <v>46204</v>
      </c>
      <c r="C19" s="524" t="s">
        <v>1162</v>
      </c>
      <c r="D19" s="524" t="s">
        <v>1205</v>
      </c>
      <c r="E19" s="524" t="s">
        <v>1211</v>
      </c>
      <c r="F19" s="524" t="s">
        <v>1170</v>
      </c>
      <c r="G19" s="524" t="s">
        <v>775</v>
      </c>
      <c r="H19" s="527">
        <v>4000</v>
      </c>
      <c r="I19" s="524" t="s">
        <v>1148</v>
      </c>
      <c r="J19" s="524">
        <f>IF(cmf[[#This Row],[D/C]]="C",cmf[[#This Row],[Valor]],-1*cmf[[#This Row],[Valor]])</f>
        <v>4000</v>
      </c>
      <c r="L19" s="524" t="s">
        <v>1207</v>
      </c>
      <c r="M19" s="524" t="s">
        <v>1208</v>
      </c>
      <c r="N19" s="524" t="s">
        <v>1212</v>
      </c>
      <c r="O19" s="524" t="s">
        <v>1213</v>
      </c>
      <c r="P19" s="526"/>
      <c r="S19" s="527">
        <v>0</v>
      </c>
    </row>
    <row r="20" spans="1:19" x14ac:dyDescent="0.2">
      <c r="A20" s="524">
        <v>68235</v>
      </c>
      <c r="B20" s="526">
        <v>46204</v>
      </c>
      <c r="C20" s="524" t="s">
        <v>1148</v>
      </c>
      <c r="D20" s="524" t="s">
        <v>1205</v>
      </c>
      <c r="E20" s="524" t="s">
        <v>1214</v>
      </c>
      <c r="F20" s="524" t="s">
        <v>1170</v>
      </c>
      <c r="G20" s="524" t="s">
        <v>738</v>
      </c>
      <c r="H20" s="527">
        <v>174000</v>
      </c>
      <c r="I20" s="524" t="s">
        <v>1174</v>
      </c>
      <c r="J20" s="524">
        <f>IF(cmf[[#This Row],[D/C]]="C",cmf[[#This Row],[Valor]],-1*cmf[[#This Row],[Valor]])</f>
        <v>-174000</v>
      </c>
      <c r="L20" s="524" t="s">
        <v>1207</v>
      </c>
      <c r="M20" s="524" t="s">
        <v>1208</v>
      </c>
      <c r="N20" s="524" t="s">
        <v>1215</v>
      </c>
      <c r="O20" s="524" t="s">
        <v>1216</v>
      </c>
      <c r="P20" s="526">
        <v>46204</v>
      </c>
      <c r="S20" s="527">
        <v>0</v>
      </c>
    </row>
    <row r="21" spans="1:19" x14ac:dyDescent="0.2">
      <c r="A21" s="524">
        <v>68236</v>
      </c>
      <c r="B21" s="526">
        <v>46204</v>
      </c>
      <c r="C21" s="524" t="s">
        <v>1148</v>
      </c>
      <c r="D21" s="524" t="s">
        <v>1205</v>
      </c>
      <c r="E21" s="524" t="s">
        <v>1217</v>
      </c>
      <c r="F21" s="524" t="s">
        <v>1183</v>
      </c>
      <c r="G21" s="524" t="s">
        <v>742</v>
      </c>
      <c r="H21" s="527">
        <v>174000</v>
      </c>
      <c r="I21" s="524" t="s">
        <v>1148</v>
      </c>
      <c r="J21" s="524">
        <f>IF(cmf[[#This Row],[D/C]]="C",cmf[[#This Row],[Valor]],-1*cmf[[#This Row],[Valor]])</f>
        <v>174000</v>
      </c>
      <c r="L21" s="524" t="s">
        <v>1207</v>
      </c>
      <c r="M21" s="524" t="s">
        <v>1208</v>
      </c>
      <c r="N21" s="524" t="s">
        <v>1215</v>
      </c>
      <c r="O21" s="524" t="s">
        <v>1218</v>
      </c>
      <c r="P21" s="526">
        <v>46204</v>
      </c>
      <c r="S21" s="527">
        <v>0</v>
      </c>
    </row>
    <row r="22" spans="1:19" x14ac:dyDescent="0.2">
      <c r="A22" s="524">
        <v>68237</v>
      </c>
      <c r="B22" s="526">
        <v>46204</v>
      </c>
      <c r="C22" s="524" t="s">
        <v>1162</v>
      </c>
      <c r="D22" s="524" t="s">
        <v>1163</v>
      </c>
      <c r="E22" s="524" t="s">
        <v>1173</v>
      </c>
      <c r="F22" s="524" t="s">
        <v>1165</v>
      </c>
      <c r="G22" s="524" t="s">
        <v>756</v>
      </c>
      <c r="H22" s="527">
        <v>463.39</v>
      </c>
      <c r="I22" s="524" t="s">
        <v>1174</v>
      </c>
      <c r="J22" s="524">
        <f>IF(cmf[[#This Row],[D/C]]="C",cmf[[#This Row],[Valor]],-1*cmf[[#This Row],[Valor]])</f>
        <v>-463.39</v>
      </c>
      <c r="L22" s="524" t="s">
        <v>1175</v>
      </c>
      <c r="M22" s="524" t="s">
        <v>1176</v>
      </c>
      <c r="N22" s="524" t="s">
        <v>1168</v>
      </c>
      <c r="O22" s="524" t="s">
        <v>1169</v>
      </c>
      <c r="P22" s="526"/>
      <c r="S22" s="527">
        <v>0</v>
      </c>
    </row>
    <row r="23" spans="1:19" x14ac:dyDescent="0.2">
      <c r="A23" s="524">
        <v>68260</v>
      </c>
      <c r="B23" s="526">
        <v>46204</v>
      </c>
      <c r="C23" s="524" t="s">
        <v>1162</v>
      </c>
      <c r="D23" s="524" t="s">
        <v>1163</v>
      </c>
      <c r="E23" s="524" t="s">
        <v>1173</v>
      </c>
      <c r="F23" s="524" t="s">
        <v>1111</v>
      </c>
      <c r="G23" s="524" t="s">
        <v>1110</v>
      </c>
      <c r="H23" s="527">
        <v>332</v>
      </c>
      <c r="I23" s="524" t="s">
        <v>1174</v>
      </c>
      <c r="J23" s="524">
        <f>IF(cmf[[#This Row],[D/C]]="C",cmf[[#This Row],[Valor]],-1*cmf[[#This Row],[Valor]])</f>
        <v>-332</v>
      </c>
      <c r="L23" s="524" t="s">
        <v>1175</v>
      </c>
      <c r="M23" s="524" t="s">
        <v>1176</v>
      </c>
      <c r="N23" s="524" t="s">
        <v>1219</v>
      </c>
      <c r="O23" s="524" t="s">
        <v>1220</v>
      </c>
      <c r="P23" s="526"/>
      <c r="S23" s="527">
        <v>0</v>
      </c>
    </row>
    <row r="24" spans="1:19" x14ac:dyDescent="0.2">
      <c r="A24" s="524">
        <v>68262</v>
      </c>
      <c r="B24" s="526">
        <v>46204</v>
      </c>
      <c r="C24" s="524" t="s">
        <v>1148</v>
      </c>
      <c r="D24" s="524" t="s">
        <v>1186</v>
      </c>
      <c r="E24" s="524" t="s">
        <v>1221</v>
      </c>
      <c r="F24" s="524" t="s">
        <v>1178</v>
      </c>
      <c r="G24" s="524" t="s">
        <v>1179</v>
      </c>
      <c r="H24" s="527">
        <v>40850</v>
      </c>
      <c r="I24" s="524" t="s">
        <v>1174</v>
      </c>
      <c r="J24" s="524">
        <f>IF(cmf[[#This Row],[D/C]]="C",cmf[[#This Row],[Valor]],-1*cmf[[#This Row],[Valor]])</f>
        <v>-40850</v>
      </c>
      <c r="L24" s="524" t="s">
        <v>1188</v>
      </c>
      <c r="M24" s="524" t="s">
        <v>1189</v>
      </c>
      <c r="N24" s="524" t="s">
        <v>1180</v>
      </c>
      <c r="O24" s="524" t="s">
        <v>1181</v>
      </c>
      <c r="P24" s="526">
        <v>46204</v>
      </c>
      <c r="S24" s="527">
        <v>0</v>
      </c>
    </row>
    <row r="25" spans="1:19" x14ac:dyDescent="0.2">
      <c r="A25" s="524">
        <v>68263</v>
      </c>
      <c r="B25" s="526">
        <v>46204</v>
      </c>
      <c r="C25" s="524" t="s">
        <v>1148</v>
      </c>
      <c r="D25" s="524" t="s">
        <v>1186</v>
      </c>
      <c r="E25" s="524" t="s">
        <v>1222</v>
      </c>
      <c r="F25" s="524" t="s">
        <v>1183</v>
      </c>
      <c r="G25" s="524" t="s">
        <v>758</v>
      </c>
      <c r="H25" s="527">
        <v>292.36</v>
      </c>
      <c r="I25" s="524" t="s">
        <v>1174</v>
      </c>
      <c r="J25" s="524">
        <f>IF(cmf[[#This Row],[D/C]]="C",cmf[[#This Row],[Valor]],-1*cmf[[#This Row],[Valor]])</f>
        <v>-292.36</v>
      </c>
      <c r="L25" s="524" t="s">
        <v>1188</v>
      </c>
      <c r="M25" s="524" t="s">
        <v>1189</v>
      </c>
      <c r="N25" s="524" t="s">
        <v>1223</v>
      </c>
      <c r="O25" s="524" t="s">
        <v>1224</v>
      </c>
      <c r="P25" s="526">
        <v>46204</v>
      </c>
      <c r="S25" s="527">
        <v>0</v>
      </c>
    </row>
    <row r="26" spans="1:19" x14ac:dyDescent="0.2">
      <c r="A26" s="524">
        <v>68264</v>
      </c>
      <c r="B26" s="526">
        <v>46204</v>
      </c>
      <c r="C26" s="524" t="s">
        <v>1148</v>
      </c>
      <c r="D26" s="524" t="s">
        <v>1186</v>
      </c>
      <c r="E26" s="524" t="s">
        <v>1225</v>
      </c>
      <c r="F26" s="524" t="s">
        <v>1183</v>
      </c>
      <c r="G26" s="524" t="s">
        <v>758</v>
      </c>
      <c r="H26" s="527">
        <v>24.36</v>
      </c>
      <c r="I26" s="524" t="s">
        <v>1174</v>
      </c>
      <c r="J26" s="524">
        <f>IF(cmf[[#This Row],[D/C]]="C",cmf[[#This Row],[Valor]],-1*cmf[[#This Row],[Valor]])</f>
        <v>-24.36</v>
      </c>
      <c r="L26" s="524" t="s">
        <v>1188</v>
      </c>
      <c r="M26" s="524" t="s">
        <v>1189</v>
      </c>
      <c r="N26" s="524" t="s">
        <v>1223</v>
      </c>
      <c r="O26" s="524" t="s">
        <v>1224</v>
      </c>
      <c r="P26" s="526">
        <v>46204</v>
      </c>
      <c r="S26" s="527">
        <v>0</v>
      </c>
    </row>
    <row r="27" spans="1:19" x14ac:dyDescent="0.2">
      <c r="A27" s="524">
        <v>68399</v>
      </c>
      <c r="B27" s="526">
        <v>46204</v>
      </c>
      <c r="C27" s="524" t="s">
        <v>1162</v>
      </c>
      <c r="D27" s="524" t="s">
        <v>1226</v>
      </c>
      <c r="E27" s="524" t="s">
        <v>1227</v>
      </c>
      <c r="F27" s="524" t="s">
        <v>1228</v>
      </c>
      <c r="G27" s="524" t="s">
        <v>1229</v>
      </c>
      <c r="H27" s="527">
        <v>4800</v>
      </c>
      <c r="I27" s="524" t="s">
        <v>1148</v>
      </c>
      <c r="J27" s="524">
        <f>IF(cmf[[#This Row],[D/C]]="C",cmf[[#This Row],[Valor]],-1*cmf[[#This Row],[Valor]])</f>
        <v>4800</v>
      </c>
      <c r="L27" s="524" t="s">
        <v>1230</v>
      </c>
      <c r="M27" s="524" t="s">
        <v>1231</v>
      </c>
      <c r="N27" s="524" t="s">
        <v>1223</v>
      </c>
      <c r="O27" s="524" t="s">
        <v>1224</v>
      </c>
      <c r="P27" s="526"/>
      <c r="S27" s="527">
        <v>0</v>
      </c>
    </row>
    <row r="28" spans="1:19" x14ac:dyDescent="0.2">
      <c r="A28" s="524">
        <v>68400</v>
      </c>
      <c r="B28" s="526">
        <v>46204</v>
      </c>
      <c r="C28" s="524" t="s">
        <v>1162</v>
      </c>
      <c r="D28" s="524" t="s">
        <v>1226</v>
      </c>
      <c r="E28" s="524" t="s">
        <v>1232</v>
      </c>
      <c r="F28" s="524" t="s">
        <v>1228</v>
      </c>
      <c r="G28" s="524" t="s">
        <v>1229</v>
      </c>
      <c r="H28" s="527">
        <v>600.04999999999995</v>
      </c>
      <c r="I28" s="524" t="s">
        <v>1148</v>
      </c>
      <c r="J28" s="524">
        <f>IF(cmf[[#This Row],[D/C]]="C",cmf[[#This Row],[Valor]],-1*cmf[[#This Row],[Valor]])</f>
        <v>600.04999999999995</v>
      </c>
      <c r="L28" s="524" t="s">
        <v>1230</v>
      </c>
      <c r="M28" s="524" t="s">
        <v>1231</v>
      </c>
      <c r="N28" s="524" t="s">
        <v>1223</v>
      </c>
      <c r="O28" s="524" t="s">
        <v>1224</v>
      </c>
      <c r="P28" s="526"/>
      <c r="S28" s="527">
        <v>0</v>
      </c>
    </row>
    <row r="29" spans="1:19" x14ac:dyDescent="0.2">
      <c r="A29" s="524">
        <v>68518</v>
      </c>
      <c r="B29" s="526">
        <v>46204</v>
      </c>
      <c r="C29" s="524" t="s">
        <v>1162</v>
      </c>
      <c r="D29" s="524" t="s">
        <v>1205</v>
      </c>
      <c r="E29" s="524" t="s">
        <v>1233</v>
      </c>
      <c r="F29" s="524" t="s">
        <v>1228</v>
      </c>
      <c r="G29" s="524" t="s">
        <v>1229</v>
      </c>
      <c r="H29" s="527">
        <v>4800</v>
      </c>
      <c r="I29" s="524" t="s">
        <v>1174</v>
      </c>
      <c r="J29" s="524">
        <f>IF(cmf[[#This Row],[D/C]]="C",cmf[[#This Row],[Valor]],-1*cmf[[#This Row],[Valor]])</f>
        <v>-4800</v>
      </c>
      <c r="L29" s="524" t="s">
        <v>1207</v>
      </c>
      <c r="M29" s="524" t="s">
        <v>1208</v>
      </c>
      <c r="N29" s="524" t="s">
        <v>1223</v>
      </c>
      <c r="O29" s="524" t="s">
        <v>1224</v>
      </c>
      <c r="P29" s="526"/>
      <c r="S29" s="527">
        <v>0</v>
      </c>
    </row>
    <row r="30" spans="1:19" x14ac:dyDescent="0.2">
      <c r="A30" s="524">
        <v>68519</v>
      </c>
      <c r="B30" s="526">
        <v>46204</v>
      </c>
      <c r="C30" s="524" t="s">
        <v>1162</v>
      </c>
      <c r="D30" s="524" t="s">
        <v>1205</v>
      </c>
      <c r="E30" s="524" t="s">
        <v>1234</v>
      </c>
      <c r="F30" s="524" t="s">
        <v>1165</v>
      </c>
      <c r="G30" s="524" t="s">
        <v>756</v>
      </c>
      <c r="H30" s="527">
        <v>4800</v>
      </c>
      <c r="I30" s="524" t="s">
        <v>1148</v>
      </c>
      <c r="J30" s="524">
        <f>IF(cmf[[#This Row],[D/C]]="C",cmf[[#This Row],[Valor]],-1*cmf[[#This Row],[Valor]])</f>
        <v>4800</v>
      </c>
      <c r="L30" s="524" t="s">
        <v>1207</v>
      </c>
      <c r="M30" s="524" t="s">
        <v>1208</v>
      </c>
      <c r="N30" s="524" t="s">
        <v>1168</v>
      </c>
      <c r="O30" s="524" t="s">
        <v>1169</v>
      </c>
      <c r="P30" s="526"/>
      <c r="S30" s="527">
        <v>0</v>
      </c>
    </row>
    <row r="31" spans="1:19" x14ac:dyDescent="0.2">
      <c r="A31" s="524">
        <v>68520</v>
      </c>
      <c r="B31" s="526">
        <v>46204</v>
      </c>
      <c r="C31" s="524" t="s">
        <v>1162</v>
      </c>
      <c r="D31" s="524" t="s">
        <v>1205</v>
      </c>
      <c r="E31" s="524" t="s">
        <v>1233</v>
      </c>
      <c r="F31" s="524" t="s">
        <v>1228</v>
      </c>
      <c r="G31" s="524" t="s">
        <v>1229</v>
      </c>
      <c r="H31" s="527">
        <v>600.04999999999995</v>
      </c>
      <c r="I31" s="524" t="s">
        <v>1174</v>
      </c>
      <c r="J31" s="524">
        <f>IF(cmf[[#This Row],[D/C]]="C",cmf[[#This Row],[Valor]],-1*cmf[[#This Row],[Valor]])</f>
        <v>-600.04999999999995</v>
      </c>
      <c r="L31" s="524" t="s">
        <v>1207</v>
      </c>
      <c r="M31" s="524" t="s">
        <v>1208</v>
      </c>
      <c r="N31" s="524" t="s">
        <v>1223</v>
      </c>
      <c r="O31" s="524" t="s">
        <v>1224</v>
      </c>
      <c r="P31" s="526"/>
      <c r="S31" s="527">
        <v>0</v>
      </c>
    </row>
    <row r="32" spans="1:19" x14ac:dyDescent="0.2">
      <c r="A32" s="524">
        <v>68521</v>
      </c>
      <c r="B32" s="526">
        <v>46204</v>
      </c>
      <c r="C32" s="524" t="s">
        <v>1162</v>
      </c>
      <c r="D32" s="524" t="s">
        <v>1205</v>
      </c>
      <c r="E32" s="524" t="s">
        <v>1234</v>
      </c>
      <c r="F32" s="524" t="s">
        <v>1165</v>
      </c>
      <c r="G32" s="524" t="s">
        <v>756</v>
      </c>
      <c r="H32" s="527">
        <v>600.04999999999995</v>
      </c>
      <c r="I32" s="524" t="s">
        <v>1148</v>
      </c>
      <c r="J32" s="524">
        <f>IF(cmf[[#This Row],[D/C]]="C",cmf[[#This Row],[Valor]],-1*cmf[[#This Row],[Valor]])</f>
        <v>600.04999999999995</v>
      </c>
      <c r="L32" s="524" t="s">
        <v>1207</v>
      </c>
      <c r="M32" s="524" t="s">
        <v>1208</v>
      </c>
      <c r="N32" s="524" t="s">
        <v>1168</v>
      </c>
      <c r="O32" s="524" t="s">
        <v>1169</v>
      </c>
      <c r="P32" s="526"/>
      <c r="S32" s="527">
        <v>0</v>
      </c>
    </row>
    <row r="33" spans="1:19" x14ac:dyDescent="0.2">
      <c r="A33" s="524">
        <v>68558</v>
      </c>
      <c r="B33" s="526">
        <v>46204</v>
      </c>
      <c r="C33" s="524" t="s">
        <v>1148</v>
      </c>
      <c r="D33" s="524" t="s">
        <v>1163</v>
      </c>
      <c r="E33" s="524" t="s">
        <v>1164</v>
      </c>
      <c r="F33" s="524" t="s">
        <v>1170</v>
      </c>
      <c r="G33" s="524" t="s">
        <v>768</v>
      </c>
      <c r="H33" s="527">
        <v>1364946.59</v>
      </c>
      <c r="I33" s="524" t="s">
        <v>1148</v>
      </c>
      <c r="J33" s="524">
        <f>IF(cmf[[#This Row],[D/C]]="C",cmf[[#This Row],[Valor]],-1*cmf[[#This Row],[Valor]])</f>
        <v>1364946.59</v>
      </c>
      <c r="L33" s="524" t="s">
        <v>1166</v>
      </c>
      <c r="M33" s="524" t="s">
        <v>1167</v>
      </c>
      <c r="N33" s="524" t="s">
        <v>1219</v>
      </c>
      <c r="O33" s="524" t="s">
        <v>1220</v>
      </c>
      <c r="P33" s="526">
        <v>46204</v>
      </c>
      <c r="S33" s="527">
        <v>0</v>
      </c>
    </row>
    <row r="34" spans="1:19" x14ac:dyDescent="0.2">
      <c r="A34" s="524">
        <v>68713</v>
      </c>
      <c r="B34" s="526">
        <v>46204</v>
      </c>
      <c r="C34" s="524" t="s">
        <v>1148</v>
      </c>
      <c r="D34" s="524" t="s">
        <v>1235</v>
      </c>
      <c r="E34" s="524" t="s">
        <v>1236</v>
      </c>
      <c r="F34" s="524" t="s">
        <v>1170</v>
      </c>
      <c r="G34" s="524" t="s">
        <v>802</v>
      </c>
      <c r="H34" s="527">
        <v>1440</v>
      </c>
      <c r="I34" s="524" t="s">
        <v>1174</v>
      </c>
      <c r="J34" s="524">
        <f>IF(cmf[[#This Row],[D/C]]="C",cmf[[#This Row],[Valor]],-1*cmf[[#This Row],[Valor]])</f>
        <v>-1440</v>
      </c>
      <c r="L34" s="524" t="s">
        <v>1237</v>
      </c>
      <c r="M34" s="524" t="s">
        <v>1238</v>
      </c>
      <c r="N34" s="524" t="s">
        <v>1192</v>
      </c>
      <c r="O34" s="524" t="s">
        <v>1193</v>
      </c>
      <c r="P34" s="526">
        <v>46204</v>
      </c>
      <c r="S34" s="527">
        <v>0</v>
      </c>
    </row>
    <row r="35" spans="1:19" x14ac:dyDescent="0.2">
      <c r="A35" s="524">
        <v>69217</v>
      </c>
      <c r="B35" s="526">
        <v>46204</v>
      </c>
      <c r="C35" s="524" t="s">
        <v>1148</v>
      </c>
      <c r="D35" s="524" t="s">
        <v>1239</v>
      </c>
      <c r="E35" s="524" t="s">
        <v>1240</v>
      </c>
      <c r="F35" s="524" t="s">
        <v>1183</v>
      </c>
      <c r="G35" s="524" t="s">
        <v>769</v>
      </c>
      <c r="H35" s="527">
        <v>375.68</v>
      </c>
      <c r="I35" s="524" t="s">
        <v>1174</v>
      </c>
      <c r="J35" s="524">
        <f>IF(cmf[[#This Row],[D/C]]="C",cmf[[#This Row],[Valor]],-1*cmf[[#This Row],[Valor]])</f>
        <v>-375.68</v>
      </c>
      <c r="L35" s="524" t="s">
        <v>1241</v>
      </c>
      <c r="M35" s="524" t="s">
        <v>1242</v>
      </c>
      <c r="N35" s="524" t="s">
        <v>1219</v>
      </c>
      <c r="O35" s="524" t="s">
        <v>1220</v>
      </c>
      <c r="P35" s="526">
        <v>46204</v>
      </c>
      <c r="S35" s="527">
        <v>0</v>
      </c>
    </row>
    <row r="36" spans="1:19" x14ac:dyDescent="0.2">
      <c r="A36" s="524">
        <v>69282</v>
      </c>
      <c r="B36" s="526">
        <v>46204</v>
      </c>
      <c r="C36" s="524" t="s">
        <v>1148</v>
      </c>
      <c r="D36" s="524" t="s">
        <v>1243</v>
      </c>
      <c r="E36" s="524" t="s">
        <v>1244</v>
      </c>
      <c r="F36" s="524" t="s">
        <v>1183</v>
      </c>
      <c r="G36" s="524" t="s">
        <v>800</v>
      </c>
      <c r="H36" s="527">
        <v>1505.39</v>
      </c>
      <c r="I36" s="524" t="s">
        <v>1148</v>
      </c>
      <c r="J36" s="524">
        <f>IF(cmf[[#This Row],[D/C]]="C",cmf[[#This Row],[Valor]],-1*cmf[[#This Row],[Valor]])</f>
        <v>1505.39</v>
      </c>
      <c r="L36" s="524" t="s">
        <v>1245</v>
      </c>
      <c r="M36" s="524" t="s">
        <v>1246</v>
      </c>
      <c r="N36" s="524" t="s">
        <v>1171</v>
      </c>
      <c r="O36" s="524" t="s">
        <v>1172</v>
      </c>
      <c r="P36" s="526">
        <v>46204</v>
      </c>
      <c r="S36" s="527">
        <v>0</v>
      </c>
    </row>
    <row r="37" spans="1:19" x14ac:dyDescent="0.2">
      <c r="A37" s="524">
        <v>69295</v>
      </c>
      <c r="B37" s="526">
        <v>46204</v>
      </c>
      <c r="C37" s="524" t="s">
        <v>1148</v>
      </c>
      <c r="D37" s="524" t="s">
        <v>1243</v>
      </c>
      <c r="E37" s="524" t="s">
        <v>1244</v>
      </c>
      <c r="F37" s="524" t="s">
        <v>1183</v>
      </c>
      <c r="G37" s="524" t="s">
        <v>800</v>
      </c>
      <c r="H37" s="527">
        <v>0.01</v>
      </c>
      <c r="I37" s="524" t="s">
        <v>1148</v>
      </c>
      <c r="J37" s="524">
        <f>IF(cmf[[#This Row],[D/C]]="C",cmf[[#This Row],[Valor]],-1*cmf[[#This Row],[Valor]])</f>
        <v>0.01</v>
      </c>
      <c r="L37" s="524" t="s">
        <v>1245</v>
      </c>
      <c r="M37" s="524" t="s">
        <v>1246</v>
      </c>
      <c r="N37" s="524" t="s">
        <v>1171</v>
      </c>
      <c r="O37" s="524" t="s">
        <v>1172</v>
      </c>
      <c r="P37" s="526">
        <v>46204</v>
      </c>
      <c r="S37" s="527">
        <v>0</v>
      </c>
    </row>
    <row r="38" spans="1:19" x14ac:dyDescent="0.2">
      <c r="A38" s="524">
        <v>69341</v>
      </c>
      <c r="B38" s="526">
        <v>46204</v>
      </c>
      <c r="C38" s="524" t="s">
        <v>1148</v>
      </c>
      <c r="D38" s="524" t="s">
        <v>1243</v>
      </c>
      <c r="E38" s="524" t="s">
        <v>1244</v>
      </c>
      <c r="F38" s="524" t="s">
        <v>1183</v>
      </c>
      <c r="G38" s="524" t="s">
        <v>803</v>
      </c>
      <c r="H38" s="527">
        <v>12887.88</v>
      </c>
      <c r="I38" s="524" t="s">
        <v>1148</v>
      </c>
      <c r="J38" s="524">
        <f>IF(cmf[[#This Row],[D/C]]="C",cmf[[#This Row],[Valor]],-1*cmf[[#This Row],[Valor]])</f>
        <v>12887.88</v>
      </c>
      <c r="L38" s="524" t="s">
        <v>1245</v>
      </c>
      <c r="M38" s="524" t="s">
        <v>1246</v>
      </c>
      <c r="N38" s="524" t="s">
        <v>1192</v>
      </c>
      <c r="O38" s="524" t="s">
        <v>1193</v>
      </c>
      <c r="P38" s="526">
        <v>46204</v>
      </c>
      <c r="S38" s="527">
        <v>0</v>
      </c>
    </row>
    <row r="39" spans="1:19" x14ac:dyDescent="0.2">
      <c r="A39" s="524">
        <v>69342</v>
      </c>
      <c r="B39" s="526">
        <v>46204</v>
      </c>
      <c r="C39" s="524" t="s">
        <v>1148</v>
      </c>
      <c r="D39" s="524" t="s">
        <v>1243</v>
      </c>
      <c r="E39" s="524" t="s">
        <v>1244</v>
      </c>
      <c r="F39" s="524" t="s">
        <v>1183</v>
      </c>
      <c r="G39" s="524" t="s">
        <v>803</v>
      </c>
      <c r="H39" s="527">
        <v>0.02</v>
      </c>
      <c r="I39" s="524" t="s">
        <v>1148</v>
      </c>
      <c r="J39" s="524">
        <f>IF(cmf[[#This Row],[D/C]]="C",cmf[[#This Row],[Valor]],-1*cmf[[#This Row],[Valor]])</f>
        <v>0.02</v>
      </c>
      <c r="L39" s="524" t="s">
        <v>1245</v>
      </c>
      <c r="M39" s="524" t="s">
        <v>1246</v>
      </c>
      <c r="N39" s="524" t="s">
        <v>1192</v>
      </c>
      <c r="O39" s="524" t="s">
        <v>1193</v>
      </c>
      <c r="P39" s="526">
        <v>46204</v>
      </c>
      <c r="S39" s="527">
        <v>0</v>
      </c>
    </row>
    <row r="40" spans="1:19" x14ac:dyDescent="0.2">
      <c r="A40" s="524">
        <v>69396</v>
      </c>
      <c r="B40" s="526">
        <v>46204</v>
      </c>
      <c r="C40" s="524" t="s">
        <v>1148</v>
      </c>
      <c r="D40" s="524" t="s">
        <v>1226</v>
      </c>
      <c r="E40" s="524" t="s">
        <v>1247</v>
      </c>
      <c r="F40" s="524" t="s">
        <v>1170</v>
      </c>
      <c r="G40" s="524" t="s">
        <v>1102</v>
      </c>
      <c r="H40" s="527">
        <v>11277.54</v>
      </c>
      <c r="I40" s="524" t="s">
        <v>1148</v>
      </c>
      <c r="J40" s="524">
        <f>IF(cmf[[#This Row],[D/C]]="C",cmf[[#This Row],[Valor]],-1*cmf[[#This Row],[Valor]])</f>
        <v>11277.54</v>
      </c>
      <c r="L40" s="524" t="s">
        <v>1230</v>
      </c>
      <c r="M40" s="524" t="s">
        <v>1231</v>
      </c>
      <c r="N40" s="524" t="s">
        <v>1192</v>
      </c>
      <c r="O40" s="524" t="s">
        <v>1193</v>
      </c>
      <c r="P40" s="526">
        <v>46204</v>
      </c>
      <c r="S40" s="527">
        <v>0</v>
      </c>
    </row>
    <row r="41" spans="1:19" x14ac:dyDescent="0.2">
      <c r="A41" s="524">
        <v>69474</v>
      </c>
      <c r="B41" s="526">
        <v>46204</v>
      </c>
      <c r="C41" s="524" t="s">
        <v>1148</v>
      </c>
      <c r="D41" s="524" t="s">
        <v>1243</v>
      </c>
      <c r="E41" s="524" t="s">
        <v>1244</v>
      </c>
      <c r="F41" s="524" t="s">
        <v>1183</v>
      </c>
      <c r="G41" s="524" t="s">
        <v>766</v>
      </c>
      <c r="H41" s="527">
        <v>31.37</v>
      </c>
      <c r="I41" s="524" t="s">
        <v>1148</v>
      </c>
      <c r="J41" s="524">
        <f>IF(cmf[[#This Row],[D/C]]="C",cmf[[#This Row],[Valor]],-1*cmf[[#This Row],[Valor]])</f>
        <v>31.37</v>
      </c>
      <c r="L41" s="524" t="s">
        <v>1245</v>
      </c>
      <c r="M41" s="524" t="s">
        <v>1246</v>
      </c>
      <c r="N41" s="524" t="s">
        <v>1200</v>
      </c>
      <c r="O41" s="524" t="s">
        <v>1201</v>
      </c>
      <c r="P41" s="526">
        <v>46204</v>
      </c>
      <c r="S41" s="527">
        <v>0</v>
      </c>
    </row>
    <row r="42" spans="1:19" x14ac:dyDescent="0.2">
      <c r="A42" s="524">
        <v>69475</v>
      </c>
      <c r="B42" s="526">
        <v>46204</v>
      </c>
      <c r="C42" s="524" t="s">
        <v>1162</v>
      </c>
      <c r="D42" s="524" t="s">
        <v>1186</v>
      </c>
      <c r="E42" s="524" t="s">
        <v>1248</v>
      </c>
      <c r="F42" s="524" t="s">
        <v>1170</v>
      </c>
      <c r="G42" s="524" t="s">
        <v>771</v>
      </c>
      <c r="H42" s="527">
        <v>2671.19</v>
      </c>
      <c r="I42" s="524" t="s">
        <v>1174</v>
      </c>
      <c r="J42" s="524">
        <f>IF(cmf[[#This Row],[D/C]]="C",cmf[[#This Row],[Valor]],-1*cmf[[#This Row],[Valor]])</f>
        <v>-2671.19</v>
      </c>
      <c r="L42" s="524" t="s">
        <v>1188</v>
      </c>
      <c r="M42" s="524" t="s">
        <v>1189</v>
      </c>
      <c r="N42" s="524" t="s">
        <v>1249</v>
      </c>
      <c r="O42" s="524" t="s">
        <v>1250</v>
      </c>
      <c r="P42" s="526"/>
      <c r="S42" s="527">
        <v>0</v>
      </c>
    </row>
    <row r="43" spans="1:19" x14ac:dyDescent="0.2">
      <c r="A43" s="524">
        <v>69863</v>
      </c>
      <c r="B43" s="526">
        <v>46204</v>
      </c>
      <c r="C43" s="524" t="s">
        <v>1148</v>
      </c>
      <c r="D43" s="524" t="s">
        <v>1243</v>
      </c>
      <c r="E43" s="524" t="s">
        <v>1244</v>
      </c>
      <c r="F43" s="524" t="s">
        <v>1183</v>
      </c>
      <c r="G43" s="524" t="s">
        <v>769</v>
      </c>
      <c r="H43" s="527">
        <v>375.68</v>
      </c>
      <c r="I43" s="524" t="s">
        <v>1148</v>
      </c>
      <c r="J43" s="524">
        <f>IF(cmf[[#This Row],[D/C]]="C",cmf[[#This Row],[Valor]],-1*cmf[[#This Row],[Valor]])</f>
        <v>375.68</v>
      </c>
      <c r="L43" s="524" t="s">
        <v>1245</v>
      </c>
      <c r="M43" s="524" t="s">
        <v>1246</v>
      </c>
      <c r="N43" s="524" t="s">
        <v>1219</v>
      </c>
      <c r="O43" s="524" t="s">
        <v>1220</v>
      </c>
      <c r="P43" s="526">
        <v>46204</v>
      </c>
      <c r="S43" s="527">
        <v>0</v>
      </c>
    </row>
    <row r="44" spans="1:19" x14ac:dyDescent="0.2">
      <c r="A44" s="524">
        <v>70203</v>
      </c>
      <c r="B44" s="526">
        <v>46204</v>
      </c>
      <c r="C44" s="524" t="s">
        <v>1148</v>
      </c>
      <c r="D44" s="524" t="s">
        <v>1243</v>
      </c>
      <c r="E44" s="524" t="s">
        <v>1244</v>
      </c>
      <c r="F44" s="524" t="s">
        <v>1183</v>
      </c>
      <c r="G44" s="524" t="s">
        <v>758</v>
      </c>
      <c r="H44" s="527">
        <v>316.72000000000003</v>
      </c>
      <c r="I44" s="524" t="s">
        <v>1148</v>
      </c>
      <c r="J44" s="524">
        <f>IF(cmf[[#This Row],[D/C]]="C",cmf[[#This Row],[Valor]],-1*cmf[[#This Row],[Valor]])</f>
        <v>316.72000000000003</v>
      </c>
      <c r="L44" s="524" t="s">
        <v>1245</v>
      </c>
      <c r="M44" s="524" t="s">
        <v>1246</v>
      </c>
      <c r="N44" s="524" t="s">
        <v>1223</v>
      </c>
      <c r="O44" s="524" t="s">
        <v>1224</v>
      </c>
      <c r="P44" s="526">
        <v>46204</v>
      </c>
      <c r="S44" s="527">
        <v>0</v>
      </c>
    </row>
    <row r="45" spans="1:19" x14ac:dyDescent="0.2">
      <c r="A45" s="524">
        <v>70540</v>
      </c>
      <c r="B45" s="526">
        <v>46204</v>
      </c>
      <c r="C45" s="524" t="s">
        <v>1148</v>
      </c>
      <c r="D45" s="524" t="s">
        <v>1239</v>
      </c>
      <c r="E45" s="524" t="s">
        <v>1251</v>
      </c>
      <c r="F45" s="524" t="s">
        <v>1178</v>
      </c>
      <c r="G45" s="524" t="s">
        <v>1179</v>
      </c>
      <c r="H45" s="527">
        <v>5</v>
      </c>
      <c r="I45" s="524" t="s">
        <v>1174</v>
      </c>
      <c r="J45" s="524">
        <f>IF(cmf[[#This Row],[D/C]]="C",cmf[[#This Row],[Valor]],-1*cmf[[#This Row],[Valor]])</f>
        <v>-5</v>
      </c>
      <c r="L45" s="524" t="s">
        <v>1241</v>
      </c>
      <c r="M45" s="524" t="s">
        <v>1242</v>
      </c>
      <c r="N45" s="524" t="s">
        <v>1180</v>
      </c>
      <c r="O45" s="524" t="s">
        <v>1181</v>
      </c>
      <c r="P45" s="526">
        <v>46204</v>
      </c>
      <c r="S45" s="527">
        <v>0</v>
      </c>
    </row>
    <row r="46" spans="1:19" x14ac:dyDescent="0.2">
      <c r="A46" s="524">
        <v>70604</v>
      </c>
      <c r="B46" s="526">
        <v>46204</v>
      </c>
      <c r="C46" s="524" t="s">
        <v>1148</v>
      </c>
      <c r="D46" s="524" t="s">
        <v>1239</v>
      </c>
      <c r="E46" s="524" t="s">
        <v>1252</v>
      </c>
      <c r="F46" s="524" t="s">
        <v>1170</v>
      </c>
      <c r="G46" s="524" t="s">
        <v>802</v>
      </c>
      <c r="H46" s="527">
        <v>2500</v>
      </c>
      <c r="I46" s="524" t="s">
        <v>1174</v>
      </c>
      <c r="J46" s="524">
        <f>IF(cmf[[#This Row],[D/C]]="C",cmf[[#This Row],[Valor]],-1*cmf[[#This Row],[Valor]])</f>
        <v>-2500</v>
      </c>
      <c r="L46" s="524" t="s">
        <v>1241</v>
      </c>
      <c r="M46" s="524" t="s">
        <v>1242</v>
      </c>
      <c r="N46" s="524" t="s">
        <v>1192</v>
      </c>
      <c r="O46" s="524" t="s">
        <v>1193</v>
      </c>
      <c r="P46" s="526">
        <v>46204</v>
      </c>
      <c r="S46" s="527">
        <v>0</v>
      </c>
    </row>
    <row r="47" spans="1:19" x14ac:dyDescent="0.2">
      <c r="A47" s="524">
        <v>70605</v>
      </c>
      <c r="B47" s="526">
        <v>46204</v>
      </c>
      <c r="C47" s="524" t="s">
        <v>1148</v>
      </c>
      <c r="D47" s="524" t="s">
        <v>1239</v>
      </c>
      <c r="E47" s="524" t="s">
        <v>1253</v>
      </c>
      <c r="F47" s="524" t="s">
        <v>1170</v>
      </c>
      <c r="G47" s="524" t="s">
        <v>802</v>
      </c>
      <c r="H47" s="527">
        <v>2.2000000000000002</v>
      </c>
      <c r="I47" s="524" t="s">
        <v>1174</v>
      </c>
      <c r="J47" s="524">
        <f>IF(cmf[[#This Row],[D/C]]="C",cmf[[#This Row],[Valor]],-1*cmf[[#This Row],[Valor]])</f>
        <v>-2.2000000000000002</v>
      </c>
      <c r="L47" s="524" t="s">
        <v>1241</v>
      </c>
      <c r="M47" s="524" t="s">
        <v>1242</v>
      </c>
      <c r="N47" s="524" t="s">
        <v>1192</v>
      </c>
      <c r="O47" s="524" t="s">
        <v>1193</v>
      </c>
      <c r="P47" s="526">
        <v>46204</v>
      </c>
      <c r="S47" s="527">
        <v>0</v>
      </c>
    </row>
    <row r="48" spans="1:19" x14ac:dyDescent="0.2">
      <c r="A48" s="524">
        <v>70625</v>
      </c>
      <c r="B48" s="526">
        <v>46204</v>
      </c>
      <c r="C48" s="524" t="s">
        <v>1148</v>
      </c>
      <c r="D48" s="524" t="s">
        <v>1243</v>
      </c>
      <c r="E48" s="524" t="s">
        <v>1254</v>
      </c>
      <c r="F48" s="524" t="s">
        <v>1178</v>
      </c>
      <c r="G48" s="524" t="s">
        <v>1179</v>
      </c>
      <c r="H48" s="527">
        <v>39988.82</v>
      </c>
      <c r="I48" s="524" t="s">
        <v>1148</v>
      </c>
      <c r="J48" s="524">
        <f>IF(cmf[[#This Row],[D/C]]="C",cmf[[#This Row],[Valor]],-1*cmf[[#This Row],[Valor]])</f>
        <v>39988.82</v>
      </c>
      <c r="L48" s="524" t="s">
        <v>1245</v>
      </c>
      <c r="M48" s="524" t="s">
        <v>1246</v>
      </c>
      <c r="N48" s="524" t="s">
        <v>1180</v>
      </c>
      <c r="O48" s="524" t="s">
        <v>1181</v>
      </c>
      <c r="P48" s="526">
        <v>46204</v>
      </c>
      <c r="S48" s="527">
        <v>0</v>
      </c>
    </row>
    <row r="49" spans="1:19" x14ac:dyDescent="0.2">
      <c r="A49" s="524">
        <v>70674</v>
      </c>
      <c r="B49" s="526">
        <v>46204</v>
      </c>
      <c r="C49" s="524" t="s">
        <v>1148</v>
      </c>
      <c r="D49" s="524" t="s">
        <v>1239</v>
      </c>
      <c r="E49" s="524" t="s">
        <v>1255</v>
      </c>
      <c r="F49" s="524" t="s">
        <v>1170</v>
      </c>
      <c r="G49" s="524" t="s">
        <v>749</v>
      </c>
      <c r="H49" s="527">
        <v>0.2</v>
      </c>
      <c r="I49" s="524" t="s">
        <v>1174</v>
      </c>
      <c r="J49" s="524">
        <f>IF(cmf[[#This Row],[D/C]]="C",cmf[[#This Row],[Valor]],-1*cmf[[#This Row],[Valor]])</f>
        <v>-0.2</v>
      </c>
      <c r="L49" s="524" t="s">
        <v>1241</v>
      </c>
      <c r="M49" s="524" t="s">
        <v>1242</v>
      </c>
      <c r="N49" s="524" t="s">
        <v>1256</v>
      </c>
      <c r="O49" s="524" t="s">
        <v>1257</v>
      </c>
      <c r="P49" s="526">
        <v>46204</v>
      </c>
      <c r="S49" s="527">
        <v>0</v>
      </c>
    </row>
    <row r="50" spans="1:19" x14ac:dyDescent="0.2">
      <c r="A50" s="524">
        <v>70748</v>
      </c>
      <c r="B50" s="526">
        <v>46204</v>
      </c>
      <c r="C50" s="524" t="s">
        <v>1148</v>
      </c>
      <c r="D50" s="524" t="s">
        <v>1239</v>
      </c>
      <c r="E50" s="524" t="s">
        <v>1258</v>
      </c>
      <c r="F50" s="524" t="s">
        <v>1170</v>
      </c>
      <c r="G50" s="524" t="s">
        <v>1102</v>
      </c>
      <c r="H50" s="527">
        <v>6.3</v>
      </c>
      <c r="I50" s="524" t="s">
        <v>1174</v>
      </c>
      <c r="J50" s="524">
        <f>IF(cmf[[#This Row],[D/C]]="C",cmf[[#This Row],[Valor]],-1*cmf[[#This Row],[Valor]])</f>
        <v>-6.3</v>
      </c>
      <c r="L50" s="524" t="s">
        <v>1241</v>
      </c>
      <c r="M50" s="524" t="s">
        <v>1242</v>
      </c>
      <c r="N50" s="524" t="s">
        <v>1192</v>
      </c>
      <c r="O50" s="524" t="s">
        <v>1193</v>
      </c>
      <c r="P50" s="526">
        <v>46204</v>
      </c>
      <c r="S50" s="527">
        <v>0</v>
      </c>
    </row>
    <row r="51" spans="1:19" x14ac:dyDescent="0.2">
      <c r="A51" s="524">
        <v>70749</v>
      </c>
      <c r="B51" s="526">
        <v>46204</v>
      </c>
      <c r="C51" s="524" t="s">
        <v>1148</v>
      </c>
      <c r="D51" s="524" t="s">
        <v>1239</v>
      </c>
      <c r="E51" s="524" t="s">
        <v>1258</v>
      </c>
      <c r="F51" s="524" t="s">
        <v>1170</v>
      </c>
      <c r="G51" s="524" t="s">
        <v>1102</v>
      </c>
      <c r="H51" s="527">
        <v>1.2</v>
      </c>
      <c r="I51" s="524" t="s">
        <v>1174</v>
      </c>
      <c r="J51" s="524">
        <f>IF(cmf[[#This Row],[D/C]]="C",cmf[[#This Row],[Valor]],-1*cmf[[#This Row],[Valor]])</f>
        <v>-1.2</v>
      </c>
      <c r="L51" s="524" t="s">
        <v>1241</v>
      </c>
      <c r="M51" s="524" t="s">
        <v>1242</v>
      </c>
      <c r="N51" s="524" t="s">
        <v>1192</v>
      </c>
      <c r="O51" s="524" t="s">
        <v>1193</v>
      </c>
      <c r="P51" s="526">
        <v>46204</v>
      </c>
      <c r="S51" s="527">
        <v>0</v>
      </c>
    </row>
    <row r="52" spans="1:19" x14ac:dyDescent="0.2">
      <c r="A52" s="524">
        <v>70750</v>
      </c>
      <c r="B52" s="526">
        <v>46204</v>
      </c>
      <c r="C52" s="524" t="s">
        <v>1148</v>
      </c>
      <c r="D52" s="524" t="s">
        <v>1239</v>
      </c>
      <c r="E52" s="524" t="s">
        <v>1258</v>
      </c>
      <c r="F52" s="524" t="s">
        <v>1170</v>
      </c>
      <c r="G52" s="524" t="s">
        <v>1102</v>
      </c>
      <c r="H52" s="527">
        <v>4.5</v>
      </c>
      <c r="I52" s="524" t="s">
        <v>1174</v>
      </c>
      <c r="J52" s="524">
        <f>IF(cmf[[#This Row],[D/C]]="C",cmf[[#This Row],[Valor]],-1*cmf[[#This Row],[Valor]])</f>
        <v>-4.5</v>
      </c>
      <c r="L52" s="524" t="s">
        <v>1241</v>
      </c>
      <c r="M52" s="524" t="s">
        <v>1242</v>
      </c>
      <c r="N52" s="524" t="s">
        <v>1192</v>
      </c>
      <c r="O52" s="524" t="s">
        <v>1193</v>
      </c>
      <c r="P52" s="526">
        <v>46204</v>
      </c>
      <c r="S52" s="527">
        <v>0</v>
      </c>
    </row>
    <row r="53" spans="1:19" x14ac:dyDescent="0.2">
      <c r="A53" s="524">
        <v>70961</v>
      </c>
      <c r="B53" s="526">
        <v>46204</v>
      </c>
      <c r="C53" s="524" t="s">
        <v>1148</v>
      </c>
      <c r="D53" s="524" t="s">
        <v>1239</v>
      </c>
      <c r="E53" s="524" t="s">
        <v>1253</v>
      </c>
      <c r="F53" s="524" t="s">
        <v>1170</v>
      </c>
      <c r="G53" s="524" t="s">
        <v>798</v>
      </c>
      <c r="H53" s="527">
        <v>0.4</v>
      </c>
      <c r="I53" s="524" t="s">
        <v>1174</v>
      </c>
      <c r="J53" s="524">
        <f>IF(cmf[[#This Row],[D/C]]="C",cmf[[#This Row],[Valor]],-1*cmf[[#This Row],[Valor]])</f>
        <v>-0.4</v>
      </c>
      <c r="L53" s="524" t="s">
        <v>1241</v>
      </c>
      <c r="M53" s="524" t="s">
        <v>1242</v>
      </c>
      <c r="N53" s="524" t="s">
        <v>1171</v>
      </c>
      <c r="O53" s="524" t="s">
        <v>1172</v>
      </c>
      <c r="P53" s="526">
        <v>46204</v>
      </c>
      <c r="S53" s="527">
        <v>0</v>
      </c>
    </row>
    <row r="54" spans="1:19" x14ac:dyDescent="0.2">
      <c r="A54" s="524">
        <v>70981</v>
      </c>
      <c r="B54" s="526">
        <v>46204</v>
      </c>
      <c r="C54" s="524" t="s">
        <v>1148</v>
      </c>
      <c r="D54" s="524" t="s">
        <v>1239</v>
      </c>
      <c r="E54" s="524" t="s">
        <v>1253</v>
      </c>
      <c r="F54" s="524" t="s">
        <v>1170</v>
      </c>
      <c r="G54" s="524" t="s">
        <v>799</v>
      </c>
      <c r="H54" s="527">
        <v>0.2</v>
      </c>
      <c r="I54" s="524" t="s">
        <v>1174</v>
      </c>
      <c r="J54" s="524">
        <f>IF(cmf[[#This Row],[D/C]]="C",cmf[[#This Row],[Valor]],-1*cmf[[#This Row],[Valor]])</f>
        <v>-0.2</v>
      </c>
      <c r="L54" s="524" t="s">
        <v>1241</v>
      </c>
      <c r="M54" s="524" t="s">
        <v>1242</v>
      </c>
      <c r="N54" s="524" t="s">
        <v>1171</v>
      </c>
      <c r="O54" s="524" t="s">
        <v>1172</v>
      </c>
      <c r="P54" s="526">
        <v>46204</v>
      </c>
      <c r="S54" s="527">
        <v>0</v>
      </c>
    </row>
    <row r="55" spans="1:19" x14ac:dyDescent="0.2">
      <c r="A55" s="524">
        <v>71084</v>
      </c>
      <c r="B55" s="526">
        <v>46204</v>
      </c>
      <c r="C55" s="524" t="s">
        <v>1148</v>
      </c>
      <c r="D55" s="524" t="s">
        <v>1239</v>
      </c>
      <c r="E55" s="524" t="s">
        <v>1253</v>
      </c>
      <c r="F55" s="524" t="s">
        <v>1170</v>
      </c>
      <c r="G55" s="524" t="s">
        <v>1094</v>
      </c>
      <c r="H55" s="527">
        <v>0.6</v>
      </c>
      <c r="I55" s="524" t="s">
        <v>1174</v>
      </c>
      <c r="J55" s="524">
        <f>IF(cmf[[#This Row],[D/C]]="C",cmf[[#This Row],[Valor]],-1*cmf[[#This Row],[Valor]])</f>
        <v>-0.6</v>
      </c>
      <c r="L55" s="524" t="s">
        <v>1241</v>
      </c>
      <c r="M55" s="524" t="s">
        <v>1242</v>
      </c>
      <c r="N55" s="524" t="s">
        <v>1259</v>
      </c>
      <c r="O55" s="524" t="s">
        <v>1260</v>
      </c>
      <c r="P55" s="526">
        <v>46204</v>
      </c>
      <c r="S55" s="527">
        <v>0</v>
      </c>
    </row>
    <row r="56" spans="1:19" x14ac:dyDescent="0.2">
      <c r="A56" s="524">
        <v>71310</v>
      </c>
      <c r="B56" s="526">
        <v>46204</v>
      </c>
      <c r="C56" s="524" t="s">
        <v>1148</v>
      </c>
      <c r="D56" s="524" t="s">
        <v>1239</v>
      </c>
      <c r="E56" s="524" t="s">
        <v>1261</v>
      </c>
      <c r="F56" s="524" t="s">
        <v>1170</v>
      </c>
      <c r="G56" s="524" t="s">
        <v>735</v>
      </c>
      <c r="H56" s="527">
        <v>19.28</v>
      </c>
      <c r="I56" s="524" t="s">
        <v>1174</v>
      </c>
      <c r="J56" s="524">
        <f>IF(cmf[[#This Row],[D/C]]="C",cmf[[#This Row],[Valor]],-1*cmf[[#This Row],[Valor]])</f>
        <v>-19.28</v>
      </c>
      <c r="L56" s="524" t="s">
        <v>1241</v>
      </c>
      <c r="M56" s="524" t="s">
        <v>1242</v>
      </c>
      <c r="N56" s="524" t="s">
        <v>1215</v>
      </c>
      <c r="O56" s="524" t="s">
        <v>1218</v>
      </c>
      <c r="P56" s="526">
        <v>46204</v>
      </c>
      <c r="S56" s="527">
        <v>0</v>
      </c>
    </row>
    <row r="57" spans="1:19" x14ac:dyDescent="0.2">
      <c r="A57" s="524">
        <v>71311</v>
      </c>
      <c r="B57" s="526">
        <v>46204</v>
      </c>
      <c r="C57" s="524" t="s">
        <v>1148</v>
      </c>
      <c r="D57" s="524" t="s">
        <v>1239</v>
      </c>
      <c r="E57" s="524" t="s">
        <v>1262</v>
      </c>
      <c r="F57" s="524" t="s">
        <v>1170</v>
      </c>
      <c r="G57" s="524" t="s">
        <v>735</v>
      </c>
      <c r="H57" s="527">
        <v>976.19</v>
      </c>
      <c r="I57" s="524" t="s">
        <v>1174</v>
      </c>
      <c r="J57" s="524">
        <f>IF(cmf[[#This Row],[D/C]]="C",cmf[[#This Row],[Valor]],-1*cmf[[#This Row],[Valor]])</f>
        <v>-976.19</v>
      </c>
      <c r="L57" s="524" t="s">
        <v>1241</v>
      </c>
      <c r="M57" s="524" t="s">
        <v>1242</v>
      </c>
      <c r="N57" s="524" t="s">
        <v>1215</v>
      </c>
      <c r="O57" s="524" t="s">
        <v>1218</v>
      </c>
      <c r="P57" s="526">
        <v>46204</v>
      </c>
      <c r="S57" s="527">
        <v>0</v>
      </c>
    </row>
    <row r="58" spans="1:19" x14ac:dyDescent="0.2">
      <c r="A58" s="524">
        <v>71696</v>
      </c>
      <c r="B58" s="526">
        <v>46204</v>
      </c>
      <c r="C58" s="524" t="s">
        <v>1148</v>
      </c>
      <c r="D58" s="524" t="s">
        <v>1239</v>
      </c>
      <c r="E58" s="524" t="s">
        <v>1263</v>
      </c>
      <c r="F58" s="524" t="s">
        <v>1183</v>
      </c>
      <c r="G58" s="524" t="s">
        <v>742</v>
      </c>
      <c r="H58" s="527">
        <v>60000</v>
      </c>
      <c r="I58" s="524" t="s">
        <v>1148</v>
      </c>
      <c r="J58" s="524">
        <f>IF(cmf[[#This Row],[D/C]]="C",cmf[[#This Row],[Valor]],-1*cmf[[#This Row],[Valor]])</f>
        <v>60000</v>
      </c>
      <c r="L58" s="524" t="s">
        <v>1264</v>
      </c>
      <c r="M58" s="524" t="s">
        <v>1265</v>
      </c>
      <c r="N58" s="524" t="s">
        <v>1215</v>
      </c>
      <c r="O58" s="524" t="s">
        <v>1218</v>
      </c>
      <c r="P58" s="526">
        <v>46204</v>
      </c>
      <c r="S58" s="527">
        <v>0</v>
      </c>
    </row>
    <row r="59" spans="1:19" x14ac:dyDescent="0.2">
      <c r="A59" s="524">
        <v>71697</v>
      </c>
      <c r="B59" s="526">
        <v>46204</v>
      </c>
      <c r="C59" s="524" t="s">
        <v>1148</v>
      </c>
      <c r="D59" s="524" t="s">
        <v>1243</v>
      </c>
      <c r="E59" s="524" t="s">
        <v>1266</v>
      </c>
      <c r="F59" s="524" t="s">
        <v>1183</v>
      </c>
      <c r="G59" s="524" t="s">
        <v>742</v>
      </c>
      <c r="H59" s="527">
        <v>234000.01</v>
      </c>
      <c r="I59" s="524" t="s">
        <v>1174</v>
      </c>
      <c r="J59" s="524">
        <f>IF(cmf[[#This Row],[D/C]]="C",cmf[[#This Row],[Valor]],-1*cmf[[#This Row],[Valor]])</f>
        <v>-234000.01</v>
      </c>
      <c r="L59" s="524" t="s">
        <v>1245</v>
      </c>
      <c r="M59" s="524" t="s">
        <v>1246</v>
      </c>
      <c r="N59" s="524" t="s">
        <v>1215</v>
      </c>
      <c r="O59" s="524" t="s">
        <v>1267</v>
      </c>
      <c r="P59" s="526">
        <v>46204</v>
      </c>
      <c r="S59" s="527">
        <v>0</v>
      </c>
    </row>
    <row r="60" spans="1:19" x14ac:dyDescent="0.2">
      <c r="A60" s="524">
        <v>71866</v>
      </c>
      <c r="B60" s="526">
        <v>46204</v>
      </c>
      <c r="C60" s="524" t="s">
        <v>1148</v>
      </c>
      <c r="D60" s="524" t="s">
        <v>1243</v>
      </c>
      <c r="E60" s="524" t="s">
        <v>1244</v>
      </c>
      <c r="F60" s="524" t="s">
        <v>1183</v>
      </c>
      <c r="G60" s="524" t="s">
        <v>750</v>
      </c>
      <c r="H60" s="527">
        <v>5101.8900000000003</v>
      </c>
      <c r="I60" s="524" t="s">
        <v>1148</v>
      </c>
      <c r="J60" s="524">
        <f>IF(cmf[[#This Row],[D/C]]="C",cmf[[#This Row],[Valor]],-1*cmf[[#This Row],[Valor]])</f>
        <v>5101.8900000000003</v>
      </c>
      <c r="L60" s="524" t="s">
        <v>1245</v>
      </c>
      <c r="M60" s="524" t="s">
        <v>1246</v>
      </c>
      <c r="N60" s="524" t="s">
        <v>1256</v>
      </c>
      <c r="O60" s="524" t="s">
        <v>1257</v>
      </c>
      <c r="P60" s="526">
        <v>46204</v>
      </c>
      <c r="S60" s="527">
        <v>0</v>
      </c>
    </row>
    <row r="61" spans="1:19" x14ac:dyDescent="0.2">
      <c r="A61" s="524">
        <v>71867</v>
      </c>
      <c r="B61" s="526">
        <v>46204</v>
      </c>
      <c r="C61" s="524" t="s">
        <v>1148</v>
      </c>
      <c r="D61" s="524" t="s">
        <v>1243</v>
      </c>
      <c r="E61" s="524" t="s">
        <v>1244</v>
      </c>
      <c r="F61" s="524" t="s">
        <v>1183</v>
      </c>
      <c r="G61" s="524" t="s">
        <v>750</v>
      </c>
      <c r="H61" s="527">
        <v>0.17</v>
      </c>
      <c r="I61" s="524" t="s">
        <v>1148</v>
      </c>
      <c r="J61" s="524">
        <f>IF(cmf[[#This Row],[D/C]]="C",cmf[[#This Row],[Valor]],-1*cmf[[#This Row],[Valor]])</f>
        <v>0.17</v>
      </c>
      <c r="L61" s="524" t="s">
        <v>1245</v>
      </c>
      <c r="M61" s="524" t="s">
        <v>1246</v>
      </c>
      <c r="N61" s="524" t="s">
        <v>1256</v>
      </c>
      <c r="O61" s="524" t="s">
        <v>1257</v>
      </c>
      <c r="P61" s="526">
        <v>46204</v>
      </c>
      <c r="S61" s="527">
        <v>0</v>
      </c>
    </row>
    <row r="62" spans="1:19" x14ac:dyDescent="0.2">
      <c r="A62" s="524">
        <v>71889</v>
      </c>
      <c r="B62" s="526">
        <v>46204</v>
      </c>
      <c r="C62" s="524" t="s">
        <v>1148</v>
      </c>
      <c r="D62" s="524" t="s">
        <v>1239</v>
      </c>
      <c r="E62" s="524" t="s">
        <v>1268</v>
      </c>
      <c r="F62" s="524" t="s">
        <v>1183</v>
      </c>
      <c r="G62" s="524" t="s">
        <v>750</v>
      </c>
      <c r="H62" s="527">
        <v>15242.71</v>
      </c>
      <c r="I62" s="524" t="s">
        <v>1174</v>
      </c>
      <c r="J62" s="524">
        <f>IF(cmf[[#This Row],[D/C]]="C",cmf[[#This Row],[Valor]],-1*cmf[[#This Row],[Valor]])</f>
        <v>-15242.71</v>
      </c>
      <c r="L62" s="524" t="s">
        <v>1269</v>
      </c>
      <c r="M62" s="524" t="s">
        <v>1270</v>
      </c>
      <c r="N62" s="524" t="s">
        <v>1256</v>
      </c>
      <c r="O62" s="524" t="s">
        <v>1257</v>
      </c>
      <c r="P62" s="526">
        <v>46204</v>
      </c>
      <c r="S62" s="527">
        <v>0</v>
      </c>
    </row>
    <row r="63" spans="1:19" x14ac:dyDescent="0.2">
      <c r="A63" s="524">
        <v>72146</v>
      </c>
      <c r="B63" s="526">
        <v>46204</v>
      </c>
      <c r="C63" s="524" t="s">
        <v>1148</v>
      </c>
      <c r="D63" s="524" t="s">
        <v>1239</v>
      </c>
      <c r="E63" s="524" t="s">
        <v>1261</v>
      </c>
      <c r="F63" s="524" t="s">
        <v>1170</v>
      </c>
      <c r="G63" s="524" t="s">
        <v>788</v>
      </c>
      <c r="H63" s="527">
        <v>118</v>
      </c>
      <c r="I63" s="524" t="s">
        <v>1174</v>
      </c>
      <c r="J63" s="524">
        <f>IF(cmf[[#This Row],[D/C]]="C",cmf[[#This Row],[Valor]],-1*cmf[[#This Row],[Valor]])</f>
        <v>-118</v>
      </c>
      <c r="L63" s="524" t="s">
        <v>1241</v>
      </c>
      <c r="M63" s="524" t="s">
        <v>1242</v>
      </c>
      <c r="N63" s="524" t="s">
        <v>1271</v>
      </c>
      <c r="O63" s="524" t="s">
        <v>1272</v>
      </c>
      <c r="P63" s="526">
        <v>46204</v>
      </c>
      <c r="S63" s="527">
        <v>0</v>
      </c>
    </row>
    <row r="64" spans="1:19" x14ac:dyDescent="0.2">
      <c r="A64" s="524">
        <v>72147</v>
      </c>
      <c r="B64" s="526">
        <v>46204</v>
      </c>
      <c r="C64" s="524" t="s">
        <v>1148</v>
      </c>
      <c r="D64" s="524" t="s">
        <v>1239</v>
      </c>
      <c r="E64" s="524" t="s">
        <v>1273</v>
      </c>
      <c r="F64" s="524" t="s">
        <v>1170</v>
      </c>
      <c r="G64" s="524" t="s">
        <v>788</v>
      </c>
      <c r="H64" s="527">
        <v>109.91</v>
      </c>
      <c r="I64" s="524" t="s">
        <v>1174</v>
      </c>
      <c r="J64" s="524">
        <f>IF(cmf[[#This Row],[D/C]]="C",cmf[[#This Row],[Valor]],-1*cmf[[#This Row],[Valor]])</f>
        <v>-109.91</v>
      </c>
      <c r="L64" s="524" t="s">
        <v>1241</v>
      </c>
      <c r="M64" s="524" t="s">
        <v>1242</v>
      </c>
      <c r="N64" s="524" t="s">
        <v>1271</v>
      </c>
      <c r="O64" s="524" t="s">
        <v>1272</v>
      </c>
      <c r="P64" s="526">
        <v>46204</v>
      </c>
      <c r="S64" s="527">
        <v>0</v>
      </c>
    </row>
    <row r="65" spans="1:19" x14ac:dyDescent="0.2">
      <c r="A65" s="524">
        <v>72148</v>
      </c>
      <c r="B65" s="526">
        <v>46204</v>
      </c>
      <c r="C65" s="524" t="s">
        <v>1148</v>
      </c>
      <c r="D65" s="524" t="s">
        <v>1239</v>
      </c>
      <c r="E65" s="524" t="s">
        <v>1262</v>
      </c>
      <c r="F65" s="524" t="s">
        <v>1170</v>
      </c>
      <c r="G65" s="524" t="s">
        <v>788</v>
      </c>
      <c r="H65" s="527">
        <v>3799.35</v>
      </c>
      <c r="I65" s="524" t="s">
        <v>1174</v>
      </c>
      <c r="J65" s="524">
        <f>IF(cmf[[#This Row],[D/C]]="C",cmf[[#This Row],[Valor]],-1*cmf[[#This Row],[Valor]])</f>
        <v>-3799.35</v>
      </c>
      <c r="L65" s="524" t="s">
        <v>1241</v>
      </c>
      <c r="M65" s="524" t="s">
        <v>1242</v>
      </c>
      <c r="N65" s="524" t="s">
        <v>1271</v>
      </c>
      <c r="O65" s="524" t="s">
        <v>1272</v>
      </c>
      <c r="P65" s="526">
        <v>46204</v>
      </c>
      <c r="S65" s="527">
        <v>0</v>
      </c>
    </row>
    <row r="66" spans="1:19" x14ac:dyDescent="0.2">
      <c r="A66" s="524">
        <v>72497</v>
      </c>
      <c r="B66" s="526">
        <v>46204</v>
      </c>
      <c r="C66" s="524" t="s">
        <v>1148</v>
      </c>
      <c r="D66" s="524" t="s">
        <v>1239</v>
      </c>
      <c r="E66" s="524" t="s">
        <v>1274</v>
      </c>
      <c r="F66" s="524" t="s">
        <v>943</v>
      </c>
      <c r="G66" s="524" t="s">
        <v>743</v>
      </c>
      <c r="H66" s="527">
        <v>78.53</v>
      </c>
      <c r="I66" s="524" t="s">
        <v>1174</v>
      </c>
      <c r="J66" s="524">
        <f>IF(cmf[[#This Row],[D/C]]="C",cmf[[#This Row],[Valor]],-1*cmf[[#This Row],[Valor]])</f>
        <v>-78.53</v>
      </c>
      <c r="L66" s="524" t="s">
        <v>1241</v>
      </c>
      <c r="M66" s="524" t="s">
        <v>1242</v>
      </c>
      <c r="N66" s="524" t="s">
        <v>1215</v>
      </c>
      <c r="O66" s="524" t="s">
        <v>1218</v>
      </c>
      <c r="P66" s="526">
        <v>46204</v>
      </c>
      <c r="S66" s="527">
        <v>0</v>
      </c>
    </row>
    <row r="67" spans="1:19" x14ac:dyDescent="0.2">
      <c r="A67" s="524">
        <v>72516</v>
      </c>
      <c r="B67" s="526">
        <v>46204</v>
      </c>
      <c r="C67" s="524" t="s">
        <v>1148</v>
      </c>
      <c r="D67" s="524" t="s">
        <v>1239</v>
      </c>
      <c r="E67" s="524" t="s">
        <v>1275</v>
      </c>
      <c r="F67" s="524" t="s">
        <v>943</v>
      </c>
      <c r="G67" s="524" t="s">
        <v>743</v>
      </c>
      <c r="H67" s="527">
        <v>1505.53</v>
      </c>
      <c r="I67" s="524" t="s">
        <v>1174</v>
      </c>
      <c r="J67" s="524">
        <f>IF(cmf[[#This Row],[D/C]]="C",cmf[[#This Row],[Valor]],-1*cmf[[#This Row],[Valor]])</f>
        <v>-1505.53</v>
      </c>
      <c r="L67" s="524" t="s">
        <v>1241</v>
      </c>
      <c r="M67" s="524" t="s">
        <v>1242</v>
      </c>
      <c r="N67" s="524" t="s">
        <v>1215</v>
      </c>
      <c r="O67" s="524" t="s">
        <v>1218</v>
      </c>
      <c r="P67" s="526">
        <v>46204</v>
      </c>
      <c r="S67" s="527">
        <v>0</v>
      </c>
    </row>
    <row r="68" spans="1:19" x14ac:dyDescent="0.2">
      <c r="A68" s="524">
        <v>68107</v>
      </c>
      <c r="B68" s="526">
        <v>46205</v>
      </c>
      <c r="C68" s="524" t="s">
        <v>1162</v>
      </c>
      <c r="D68" s="524" t="s">
        <v>1163</v>
      </c>
      <c r="E68" s="524" t="s">
        <v>1164</v>
      </c>
      <c r="F68" s="524" t="s">
        <v>1165</v>
      </c>
      <c r="G68" s="524" t="s">
        <v>756</v>
      </c>
      <c r="H68" s="527">
        <v>140.96</v>
      </c>
      <c r="I68" s="524" t="s">
        <v>1148</v>
      </c>
      <c r="J68" s="524">
        <f>IF(cmf[[#This Row],[D/C]]="C",cmf[[#This Row],[Valor]],-1*cmf[[#This Row],[Valor]])</f>
        <v>140.96</v>
      </c>
      <c r="L68" s="524" t="s">
        <v>1166</v>
      </c>
      <c r="M68" s="524" t="s">
        <v>1167</v>
      </c>
      <c r="N68" s="524" t="s">
        <v>1168</v>
      </c>
      <c r="O68" s="524" t="s">
        <v>1169</v>
      </c>
      <c r="P68" s="526"/>
      <c r="S68" s="527">
        <v>0</v>
      </c>
    </row>
    <row r="69" spans="1:19" x14ac:dyDescent="0.2">
      <c r="A69" s="524">
        <v>68110</v>
      </c>
      <c r="B69" s="526">
        <v>46205</v>
      </c>
      <c r="C69" s="524" t="s">
        <v>1148</v>
      </c>
      <c r="D69" s="524" t="s">
        <v>1163</v>
      </c>
      <c r="E69" s="524" t="s">
        <v>1164</v>
      </c>
      <c r="F69" s="524" t="s">
        <v>1170</v>
      </c>
      <c r="G69" s="524" t="s">
        <v>798</v>
      </c>
      <c r="H69" s="527">
        <v>949.63</v>
      </c>
      <c r="I69" s="524" t="s">
        <v>1148</v>
      </c>
      <c r="J69" s="524">
        <f>IF(cmf[[#This Row],[D/C]]="C",cmf[[#This Row],[Valor]],-1*cmf[[#This Row],[Valor]])</f>
        <v>949.63</v>
      </c>
      <c r="L69" s="524" t="s">
        <v>1166</v>
      </c>
      <c r="M69" s="524" t="s">
        <v>1167</v>
      </c>
      <c r="N69" s="524" t="s">
        <v>1171</v>
      </c>
      <c r="O69" s="524" t="s">
        <v>1172</v>
      </c>
      <c r="P69" s="526">
        <v>46205</v>
      </c>
      <c r="S69" s="527">
        <v>0</v>
      </c>
    </row>
    <row r="70" spans="1:19" x14ac:dyDescent="0.2">
      <c r="A70" s="524">
        <v>68111</v>
      </c>
      <c r="B70" s="526">
        <v>46205</v>
      </c>
      <c r="C70" s="524" t="s">
        <v>1148</v>
      </c>
      <c r="D70" s="524" t="s">
        <v>1163</v>
      </c>
      <c r="E70" s="524" t="s">
        <v>1173</v>
      </c>
      <c r="F70" s="524" t="s">
        <v>1170</v>
      </c>
      <c r="G70" s="524" t="s">
        <v>798</v>
      </c>
      <c r="H70" s="527">
        <v>6.3</v>
      </c>
      <c r="I70" s="524" t="s">
        <v>1174</v>
      </c>
      <c r="J70" s="524">
        <f>IF(cmf[[#This Row],[D/C]]="C",cmf[[#This Row],[Valor]],-1*cmf[[#This Row],[Valor]])</f>
        <v>-6.3</v>
      </c>
      <c r="L70" s="524" t="s">
        <v>1175</v>
      </c>
      <c r="M70" s="524" t="s">
        <v>1176</v>
      </c>
      <c r="N70" s="524" t="s">
        <v>1171</v>
      </c>
      <c r="O70" s="524" t="s">
        <v>1172</v>
      </c>
      <c r="P70" s="526">
        <v>46205</v>
      </c>
      <c r="S70" s="527">
        <v>0</v>
      </c>
    </row>
    <row r="71" spans="1:19" x14ac:dyDescent="0.2">
      <c r="A71" s="524">
        <v>68239</v>
      </c>
      <c r="B71" s="526">
        <v>46205</v>
      </c>
      <c r="C71" s="524" t="s">
        <v>1148</v>
      </c>
      <c r="D71" s="524" t="s">
        <v>1163</v>
      </c>
      <c r="E71" s="524" t="s">
        <v>1164</v>
      </c>
      <c r="F71" s="524" t="s">
        <v>1178</v>
      </c>
      <c r="G71" s="524" t="s">
        <v>1179</v>
      </c>
      <c r="H71" s="527">
        <v>9725.14</v>
      </c>
      <c r="I71" s="524" t="s">
        <v>1148</v>
      </c>
      <c r="J71" s="524">
        <f>IF(cmf[[#This Row],[D/C]]="C",cmf[[#This Row],[Valor]],-1*cmf[[#This Row],[Valor]])</f>
        <v>9725.14</v>
      </c>
      <c r="L71" s="524" t="s">
        <v>1166</v>
      </c>
      <c r="M71" s="524" t="s">
        <v>1167</v>
      </c>
      <c r="N71" s="524" t="s">
        <v>1180</v>
      </c>
      <c r="O71" s="524" t="s">
        <v>1181</v>
      </c>
      <c r="P71" s="526">
        <v>46205</v>
      </c>
      <c r="S71" s="527">
        <v>0</v>
      </c>
    </row>
    <row r="72" spans="1:19" x14ac:dyDescent="0.2">
      <c r="A72" s="524">
        <v>68244</v>
      </c>
      <c r="B72" s="526">
        <v>46205</v>
      </c>
      <c r="C72" s="524" t="s">
        <v>1162</v>
      </c>
      <c r="D72" s="524" t="s">
        <v>1163</v>
      </c>
      <c r="E72" s="524" t="s">
        <v>1164</v>
      </c>
      <c r="F72" s="524" t="s">
        <v>1183</v>
      </c>
      <c r="G72" s="524" t="s">
        <v>1276</v>
      </c>
      <c r="H72" s="527">
        <v>3795.1</v>
      </c>
      <c r="I72" s="524" t="s">
        <v>1148</v>
      </c>
      <c r="J72" s="524">
        <f>IF(cmf[[#This Row],[D/C]]="C",cmf[[#This Row],[Valor]],-1*cmf[[#This Row],[Valor]])</f>
        <v>3795.1</v>
      </c>
      <c r="L72" s="524" t="s">
        <v>1166</v>
      </c>
      <c r="M72" s="524" t="s">
        <v>1167</v>
      </c>
      <c r="N72" s="524" t="s">
        <v>1184</v>
      </c>
      <c r="O72" s="524" t="s">
        <v>1201</v>
      </c>
      <c r="P72" s="526"/>
      <c r="S72" s="527">
        <v>0</v>
      </c>
    </row>
    <row r="73" spans="1:19" x14ac:dyDescent="0.2">
      <c r="A73" s="524">
        <v>68245</v>
      </c>
      <c r="B73" s="526">
        <v>46205</v>
      </c>
      <c r="C73" s="524" t="s">
        <v>1162</v>
      </c>
      <c r="D73" s="524" t="s">
        <v>1163</v>
      </c>
      <c r="E73" s="524" t="s">
        <v>1173</v>
      </c>
      <c r="F73" s="524" t="s">
        <v>1183</v>
      </c>
      <c r="G73" s="524" t="s">
        <v>1276</v>
      </c>
      <c r="H73" s="527">
        <v>6.9</v>
      </c>
      <c r="I73" s="524" t="s">
        <v>1174</v>
      </c>
      <c r="J73" s="524">
        <f>IF(cmf[[#This Row],[D/C]]="C",cmf[[#This Row],[Valor]],-1*cmf[[#This Row],[Valor]])</f>
        <v>-6.9</v>
      </c>
      <c r="L73" s="524" t="s">
        <v>1175</v>
      </c>
      <c r="M73" s="524" t="s">
        <v>1176</v>
      </c>
      <c r="N73" s="524" t="s">
        <v>1184</v>
      </c>
      <c r="O73" s="524" t="s">
        <v>1201</v>
      </c>
      <c r="P73" s="526"/>
      <c r="S73" s="527">
        <v>0</v>
      </c>
    </row>
    <row r="74" spans="1:19" x14ac:dyDescent="0.2">
      <c r="A74" s="524">
        <v>68248</v>
      </c>
      <c r="B74" s="526">
        <v>46205</v>
      </c>
      <c r="C74" s="524" t="s">
        <v>1148</v>
      </c>
      <c r="D74" s="524" t="s">
        <v>1163</v>
      </c>
      <c r="E74" s="524" t="s">
        <v>1164</v>
      </c>
      <c r="F74" s="524" t="s">
        <v>1170</v>
      </c>
      <c r="G74" s="524" t="s">
        <v>740</v>
      </c>
      <c r="H74" s="527">
        <v>645.82000000000005</v>
      </c>
      <c r="I74" s="524" t="s">
        <v>1148</v>
      </c>
      <c r="J74" s="524">
        <f>IF(cmf[[#This Row],[D/C]]="C",cmf[[#This Row],[Valor]],-1*cmf[[#This Row],[Valor]])</f>
        <v>645.82000000000005</v>
      </c>
      <c r="L74" s="524" t="s">
        <v>1166</v>
      </c>
      <c r="M74" s="524" t="s">
        <v>1167</v>
      </c>
      <c r="N74" s="524" t="s">
        <v>1215</v>
      </c>
      <c r="O74" s="524" t="s">
        <v>1218</v>
      </c>
      <c r="P74" s="526">
        <v>46205</v>
      </c>
      <c r="S74" s="527">
        <v>0</v>
      </c>
    </row>
    <row r="75" spans="1:19" x14ac:dyDescent="0.2">
      <c r="A75" s="524">
        <v>68249</v>
      </c>
      <c r="B75" s="526">
        <v>46205</v>
      </c>
      <c r="C75" s="524" t="s">
        <v>1148</v>
      </c>
      <c r="D75" s="524" t="s">
        <v>1163</v>
      </c>
      <c r="E75" s="524" t="s">
        <v>1173</v>
      </c>
      <c r="F75" s="524" t="s">
        <v>1170</v>
      </c>
      <c r="G75" s="524" t="s">
        <v>740</v>
      </c>
      <c r="H75" s="527">
        <v>18.899999999999999</v>
      </c>
      <c r="I75" s="524" t="s">
        <v>1174</v>
      </c>
      <c r="J75" s="524">
        <f>IF(cmf[[#This Row],[D/C]]="C",cmf[[#This Row],[Valor]],-1*cmf[[#This Row],[Valor]])</f>
        <v>-18.899999999999999</v>
      </c>
      <c r="L75" s="524" t="s">
        <v>1175</v>
      </c>
      <c r="M75" s="524" t="s">
        <v>1176</v>
      </c>
      <c r="N75" s="524" t="s">
        <v>1215</v>
      </c>
      <c r="O75" s="524" t="s">
        <v>1218</v>
      </c>
      <c r="P75" s="526">
        <v>46205</v>
      </c>
      <c r="S75" s="527">
        <v>0</v>
      </c>
    </row>
    <row r="76" spans="1:19" x14ac:dyDescent="0.2">
      <c r="A76" s="524">
        <v>68254</v>
      </c>
      <c r="B76" s="526">
        <v>46205</v>
      </c>
      <c r="C76" s="524" t="s">
        <v>1162</v>
      </c>
      <c r="D76" s="524" t="s">
        <v>1163</v>
      </c>
      <c r="E76" s="524" t="s">
        <v>1164</v>
      </c>
      <c r="F76" s="524" t="s">
        <v>1183</v>
      </c>
      <c r="G76" s="524" t="s">
        <v>796</v>
      </c>
      <c r="H76" s="527">
        <v>6455.43</v>
      </c>
      <c r="I76" s="524" t="s">
        <v>1148</v>
      </c>
      <c r="J76" s="524">
        <f>IF(cmf[[#This Row],[D/C]]="C",cmf[[#This Row],[Valor]],-1*cmf[[#This Row],[Valor]])</f>
        <v>6455.43</v>
      </c>
      <c r="L76" s="524" t="s">
        <v>1166</v>
      </c>
      <c r="M76" s="524" t="s">
        <v>1167</v>
      </c>
      <c r="N76" s="524" t="s">
        <v>1184</v>
      </c>
      <c r="O76" s="524" t="s">
        <v>1172</v>
      </c>
      <c r="P76" s="526"/>
      <c r="S76" s="527">
        <v>0</v>
      </c>
    </row>
    <row r="77" spans="1:19" x14ac:dyDescent="0.2">
      <c r="A77" s="524">
        <v>68255</v>
      </c>
      <c r="B77" s="526">
        <v>46205</v>
      </c>
      <c r="C77" s="524" t="s">
        <v>1162</v>
      </c>
      <c r="D77" s="524" t="s">
        <v>1163</v>
      </c>
      <c r="E77" s="524" t="s">
        <v>1173</v>
      </c>
      <c r="F77" s="524" t="s">
        <v>1183</v>
      </c>
      <c r="G77" s="524" t="s">
        <v>796</v>
      </c>
      <c r="H77" s="527">
        <v>9.1999999999999993</v>
      </c>
      <c r="I77" s="524" t="s">
        <v>1174</v>
      </c>
      <c r="J77" s="524">
        <f>IF(cmf[[#This Row],[D/C]]="C",cmf[[#This Row],[Valor]],-1*cmf[[#This Row],[Valor]])</f>
        <v>-9.1999999999999993</v>
      </c>
      <c r="L77" s="524" t="s">
        <v>1175</v>
      </c>
      <c r="M77" s="524" t="s">
        <v>1176</v>
      </c>
      <c r="N77" s="524" t="s">
        <v>1184</v>
      </c>
      <c r="O77" s="524" t="s">
        <v>1172</v>
      </c>
      <c r="P77" s="526"/>
      <c r="S77" s="527">
        <v>0</v>
      </c>
    </row>
    <row r="78" spans="1:19" x14ac:dyDescent="0.2">
      <c r="A78" s="524">
        <v>68256</v>
      </c>
      <c r="B78" s="526">
        <v>46205</v>
      </c>
      <c r="C78" s="524" t="s">
        <v>1148</v>
      </c>
      <c r="D78" s="524" t="s">
        <v>1163</v>
      </c>
      <c r="E78" s="524" t="s">
        <v>1164</v>
      </c>
      <c r="F78" s="524" t="s">
        <v>1170</v>
      </c>
      <c r="G78" s="524" t="s">
        <v>749</v>
      </c>
      <c r="H78" s="527">
        <v>1035.1600000000001</v>
      </c>
      <c r="I78" s="524" t="s">
        <v>1148</v>
      </c>
      <c r="J78" s="524">
        <f>IF(cmf[[#This Row],[D/C]]="C",cmf[[#This Row],[Valor]],-1*cmf[[#This Row],[Valor]])</f>
        <v>1035.1600000000001</v>
      </c>
      <c r="L78" s="524" t="s">
        <v>1166</v>
      </c>
      <c r="M78" s="524" t="s">
        <v>1167</v>
      </c>
      <c r="N78" s="524" t="s">
        <v>1256</v>
      </c>
      <c r="O78" s="524" t="s">
        <v>1257</v>
      </c>
      <c r="P78" s="526">
        <v>46205</v>
      </c>
      <c r="S78" s="527">
        <v>0</v>
      </c>
    </row>
    <row r="79" spans="1:19" x14ac:dyDescent="0.2">
      <c r="A79" s="524">
        <v>68257</v>
      </c>
      <c r="B79" s="526">
        <v>46205</v>
      </c>
      <c r="C79" s="524" t="s">
        <v>1148</v>
      </c>
      <c r="D79" s="524" t="s">
        <v>1163</v>
      </c>
      <c r="E79" s="524" t="s">
        <v>1173</v>
      </c>
      <c r="F79" s="524" t="s">
        <v>1170</v>
      </c>
      <c r="G79" s="524" t="s">
        <v>749</v>
      </c>
      <c r="H79" s="527">
        <v>6.3</v>
      </c>
      <c r="I79" s="524" t="s">
        <v>1174</v>
      </c>
      <c r="J79" s="524">
        <f>IF(cmf[[#This Row],[D/C]]="C",cmf[[#This Row],[Valor]],-1*cmf[[#This Row],[Valor]])</f>
        <v>-6.3</v>
      </c>
      <c r="L79" s="524" t="s">
        <v>1175</v>
      </c>
      <c r="M79" s="524" t="s">
        <v>1176</v>
      </c>
      <c r="N79" s="524" t="s">
        <v>1256</v>
      </c>
      <c r="O79" s="524" t="s">
        <v>1257</v>
      </c>
      <c r="P79" s="526">
        <v>46205</v>
      </c>
      <c r="S79" s="527">
        <v>0</v>
      </c>
    </row>
    <row r="80" spans="1:19" x14ac:dyDescent="0.2">
      <c r="A80" s="524">
        <v>68261</v>
      </c>
      <c r="B80" s="526">
        <v>46205</v>
      </c>
      <c r="C80" s="524" t="s">
        <v>1162</v>
      </c>
      <c r="D80" s="524" t="s">
        <v>1163</v>
      </c>
      <c r="E80" s="524" t="s">
        <v>1164</v>
      </c>
      <c r="F80" s="524" t="s">
        <v>1111</v>
      </c>
      <c r="G80" s="524" t="s">
        <v>1110</v>
      </c>
      <c r="H80" s="527">
        <v>9520.6</v>
      </c>
      <c r="I80" s="524" t="s">
        <v>1148</v>
      </c>
      <c r="J80" s="524">
        <f>IF(cmf[[#This Row],[D/C]]="C",cmf[[#This Row],[Valor]],-1*cmf[[#This Row],[Valor]])</f>
        <v>9520.6</v>
      </c>
      <c r="L80" s="524" t="s">
        <v>1166</v>
      </c>
      <c r="M80" s="524" t="s">
        <v>1167</v>
      </c>
      <c r="N80" s="524" t="s">
        <v>1219</v>
      </c>
      <c r="O80" s="524" t="s">
        <v>1220</v>
      </c>
      <c r="P80" s="526"/>
      <c r="S80" s="527">
        <v>0</v>
      </c>
    </row>
    <row r="81" spans="1:19" x14ac:dyDescent="0.2">
      <c r="A81" s="524">
        <v>68289</v>
      </c>
      <c r="B81" s="526">
        <v>46205</v>
      </c>
      <c r="C81" s="524" t="s">
        <v>1148</v>
      </c>
      <c r="D81" s="524" t="s">
        <v>1186</v>
      </c>
      <c r="E81" s="524" t="s">
        <v>1277</v>
      </c>
      <c r="F81" s="524" t="s">
        <v>1183</v>
      </c>
      <c r="G81" s="524" t="s">
        <v>803</v>
      </c>
      <c r="H81" s="527">
        <v>3888.21</v>
      </c>
      <c r="I81" s="524" t="s">
        <v>1174</v>
      </c>
      <c r="J81" s="524">
        <f>IF(cmf[[#This Row],[D/C]]="C",cmf[[#This Row],[Valor]],-1*cmf[[#This Row],[Valor]])</f>
        <v>-3888.21</v>
      </c>
      <c r="L81" s="524" t="s">
        <v>1188</v>
      </c>
      <c r="M81" s="524" t="s">
        <v>1189</v>
      </c>
      <c r="N81" s="524" t="s">
        <v>1192</v>
      </c>
      <c r="O81" s="524" t="s">
        <v>1193</v>
      </c>
      <c r="P81" s="526">
        <v>46205</v>
      </c>
      <c r="S81" s="527">
        <v>0</v>
      </c>
    </row>
    <row r="82" spans="1:19" x14ac:dyDescent="0.2">
      <c r="A82" s="524">
        <v>68324</v>
      </c>
      <c r="B82" s="526">
        <v>46205</v>
      </c>
      <c r="C82" s="524" t="s">
        <v>1148</v>
      </c>
      <c r="D82" s="524" t="s">
        <v>1226</v>
      </c>
      <c r="E82" s="524" t="s">
        <v>1278</v>
      </c>
      <c r="F82" s="524" t="s">
        <v>1183</v>
      </c>
      <c r="G82" s="524" t="s">
        <v>803</v>
      </c>
      <c r="H82" s="527">
        <v>220.19</v>
      </c>
      <c r="I82" s="524" t="s">
        <v>1148</v>
      </c>
      <c r="J82" s="524">
        <f>IF(cmf[[#This Row],[D/C]]="C",cmf[[#This Row],[Valor]],-1*cmf[[#This Row],[Valor]])</f>
        <v>220.19</v>
      </c>
      <c r="L82" s="524" t="s">
        <v>1230</v>
      </c>
      <c r="M82" s="524" t="s">
        <v>1231</v>
      </c>
      <c r="N82" s="524" t="s">
        <v>1192</v>
      </c>
      <c r="O82" s="524" t="s">
        <v>1193</v>
      </c>
      <c r="P82" s="526">
        <v>46205</v>
      </c>
      <c r="S82" s="527">
        <v>0</v>
      </c>
    </row>
    <row r="83" spans="1:19" x14ac:dyDescent="0.2">
      <c r="A83" s="524">
        <v>68337</v>
      </c>
      <c r="B83" s="526">
        <v>46205</v>
      </c>
      <c r="C83" s="524" t="s">
        <v>1148</v>
      </c>
      <c r="D83" s="524" t="s">
        <v>1186</v>
      </c>
      <c r="E83" s="524" t="s">
        <v>1279</v>
      </c>
      <c r="F83" s="524" t="s">
        <v>1183</v>
      </c>
      <c r="G83" s="524" t="s">
        <v>742</v>
      </c>
      <c r="H83" s="527">
        <v>1648</v>
      </c>
      <c r="I83" s="524" t="s">
        <v>1174</v>
      </c>
      <c r="J83" s="524">
        <f>IF(cmf[[#This Row],[D/C]]="C",cmf[[#This Row],[Valor]],-1*cmf[[#This Row],[Valor]])</f>
        <v>-1648</v>
      </c>
      <c r="L83" s="524" t="s">
        <v>1188</v>
      </c>
      <c r="M83" s="524" t="s">
        <v>1189</v>
      </c>
      <c r="N83" s="524" t="s">
        <v>1215</v>
      </c>
      <c r="O83" s="524" t="s">
        <v>1218</v>
      </c>
      <c r="P83" s="526">
        <v>46205</v>
      </c>
      <c r="S83" s="527">
        <v>0</v>
      </c>
    </row>
    <row r="84" spans="1:19" x14ac:dyDescent="0.2">
      <c r="A84" s="524">
        <v>68338</v>
      </c>
      <c r="B84" s="526">
        <v>46205</v>
      </c>
      <c r="C84" s="524" t="s">
        <v>1148</v>
      </c>
      <c r="D84" s="524" t="s">
        <v>1186</v>
      </c>
      <c r="E84" s="524" t="s">
        <v>1280</v>
      </c>
      <c r="F84" s="524" t="s">
        <v>1183</v>
      </c>
      <c r="G84" s="524" t="s">
        <v>742</v>
      </c>
      <c r="H84" s="527">
        <v>73.58</v>
      </c>
      <c r="I84" s="524" t="s">
        <v>1174</v>
      </c>
      <c r="J84" s="524">
        <f>IF(cmf[[#This Row],[D/C]]="C",cmf[[#This Row],[Valor]],-1*cmf[[#This Row],[Valor]])</f>
        <v>-73.58</v>
      </c>
      <c r="L84" s="524" t="s">
        <v>1188</v>
      </c>
      <c r="M84" s="524" t="s">
        <v>1189</v>
      </c>
      <c r="N84" s="524" t="s">
        <v>1215</v>
      </c>
      <c r="O84" s="524" t="s">
        <v>1218</v>
      </c>
      <c r="P84" s="526">
        <v>46205</v>
      </c>
      <c r="S84" s="527">
        <v>0</v>
      </c>
    </row>
    <row r="85" spans="1:19" x14ac:dyDescent="0.2">
      <c r="A85" s="524">
        <v>68339</v>
      </c>
      <c r="B85" s="526">
        <v>46205</v>
      </c>
      <c r="C85" s="524" t="s">
        <v>1148</v>
      </c>
      <c r="D85" s="524" t="s">
        <v>1186</v>
      </c>
      <c r="E85" s="524" t="s">
        <v>1281</v>
      </c>
      <c r="F85" s="524" t="s">
        <v>1183</v>
      </c>
      <c r="G85" s="524" t="s">
        <v>742</v>
      </c>
      <c r="H85" s="527">
        <v>1170</v>
      </c>
      <c r="I85" s="524" t="s">
        <v>1174</v>
      </c>
      <c r="J85" s="524">
        <f>IF(cmf[[#This Row],[D/C]]="C",cmf[[#This Row],[Valor]],-1*cmf[[#This Row],[Valor]])</f>
        <v>-1170</v>
      </c>
      <c r="L85" s="524" t="s">
        <v>1188</v>
      </c>
      <c r="M85" s="524" t="s">
        <v>1189</v>
      </c>
      <c r="N85" s="524" t="s">
        <v>1215</v>
      </c>
      <c r="O85" s="524" t="s">
        <v>1218</v>
      </c>
      <c r="P85" s="526">
        <v>46205</v>
      </c>
      <c r="S85" s="527">
        <v>0</v>
      </c>
    </row>
    <row r="86" spans="1:19" x14ac:dyDescent="0.2">
      <c r="A86" s="524">
        <v>68372</v>
      </c>
      <c r="B86" s="526">
        <v>46205</v>
      </c>
      <c r="C86" s="524" t="s">
        <v>1148</v>
      </c>
      <c r="D86" s="524" t="s">
        <v>1205</v>
      </c>
      <c r="E86" s="524" t="s">
        <v>1214</v>
      </c>
      <c r="F86" s="524" t="s">
        <v>1170</v>
      </c>
      <c r="G86" s="524" t="s">
        <v>768</v>
      </c>
      <c r="H86" s="527">
        <v>400000</v>
      </c>
      <c r="I86" s="524" t="s">
        <v>1174</v>
      </c>
      <c r="J86" s="524">
        <f>IF(cmf[[#This Row],[D/C]]="C",cmf[[#This Row],[Valor]],-1*cmf[[#This Row],[Valor]])</f>
        <v>-400000</v>
      </c>
      <c r="L86" s="524" t="s">
        <v>1207</v>
      </c>
      <c r="M86" s="524" t="s">
        <v>1208</v>
      </c>
      <c r="N86" s="524" t="s">
        <v>1219</v>
      </c>
      <c r="O86" s="524" t="s">
        <v>1220</v>
      </c>
      <c r="P86" s="526">
        <v>46205</v>
      </c>
      <c r="S86" s="527">
        <v>0</v>
      </c>
    </row>
    <row r="87" spans="1:19" x14ac:dyDescent="0.2">
      <c r="A87" s="524">
        <v>68373</v>
      </c>
      <c r="B87" s="526">
        <v>46205</v>
      </c>
      <c r="C87" s="524" t="s">
        <v>1148</v>
      </c>
      <c r="D87" s="524" t="s">
        <v>1205</v>
      </c>
      <c r="E87" s="524" t="s">
        <v>1282</v>
      </c>
      <c r="F87" s="524" t="s">
        <v>1183</v>
      </c>
      <c r="G87" s="524" t="s">
        <v>742</v>
      </c>
      <c r="H87" s="527">
        <v>400000</v>
      </c>
      <c r="I87" s="524" t="s">
        <v>1148</v>
      </c>
      <c r="J87" s="524">
        <f>IF(cmf[[#This Row],[D/C]]="C",cmf[[#This Row],[Valor]],-1*cmf[[#This Row],[Valor]])</f>
        <v>400000</v>
      </c>
      <c r="L87" s="524" t="s">
        <v>1207</v>
      </c>
      <c r="M87" s="524" t="s">
        <v>1208</v>
      </c>
      <c r="N87" s="524" t="s">
        <v>1215</v>
      </c>
      <c r="O87" s="524" t="s">
        <v>1218</v>
      </c>
      <c r="P87" s="526">
        <v>46205</v>
      </c>
      <c r="S87" s="527">
        <v>0</v>
      </c>
    </row>
    <row r="88" spans="1:19" x14ac:dyDescent="0.2">
      <c r="A88" s="524">
        <v>68377</v>
      </c>
      <c r="B88" s="526">
        <v>46205</v>
      </c>
      <c r="C88" s="524" t="s">
        <v>1162</v>
      </c>
      <c r="D88" s="524" t="s">
        <v>1163</v>
      </c>
      <c r="E88" s="524" t="s">
        <v>1173</v>
      </c>
      <c r="F88" s="524" t="s">
        <v>1165</v>
      </c>
      <c r="G88" s="524" t="s">
        <v>756</v>
      </c>
      <c r="H88" s="527">
        <v>5.96</v>
      </c>
      <c r="I88" s="524" t="s">
        <v>1174</v>
      </c>
      <c r="J88" s="524">
        <f>IF(cmf[[#This Row],[D/C]]="C",cmf[[#This Row],[Valor]],-1*cmf[[#This Row],[Valor]])</f>
        <v>-5.96</v>
      </c>
      <c r="L88" s="524" t="s">
        <v>1175</v>
      </c>
      <c r="M88" s="524" t="s">
        <v>1176</v>
      </c>
      <c r="N88" s="524" t="s">
        <v>1168</v>
      </c>
      <c r="O88" s="524" t="s">
        <v>1169</v>
      </c>
      <c r="P88" s="526"/>
      <c r="S88" s="527">
        <v>0</v>
      </c>
    </row>
    <row r="89" spans="1:19" x14ac:dyDescent="0.2">
      <c r="A89" s="524">
        <v>68379</v>
      </c>
      <c r="B89" s="526">
        <v>46205</v>
      </c>
      <c r="C89" s="524" t="s">
        <v>1148</v>
      </c>
      <c r="D89" s="524" t="s">
        <v>1163</v>
      </c>
      <c r="E89" s="524" t="s">
        <v>1164</v>
      </c>
      <c r="F89" s="524" t="s">
        <v>1183</v>
      </c>
      <c r="G89" s="524" t="s">
        <v>806</v>
      </c>
      <c r="H89" s="527">
        <v>200924.91</v>
      </c>
      <c r="I89" s="524" t="s">
        <v>1148</v>
      </c>
      <c r="J89" s="524">
        <f>IF(cmf[[#This Row],[D/C]]="C",cmf[[#This Row],[Valor]],-1*cmf[[#This Row],[Valor]])</f>
        <v>200924.91</v>
      </c>
      <c r="L89" s="524" t="s">
        <v>1166</v>
      </c>
      <c r="M89" s="524" t="s">
        <v>1167</v>
      </c>
      <c r="N89" s="524" t="s">
        <v>1283</v>
      </c>
      <c r="O89" s="524" t="s">
        <v>1284</v>
      </c>
      <c r="P89" s="526">
        <v>46205</v>
      </c>
      <c r="S89" s="527">
        <v>0</v>
      </c>
    </row>
    <row r="90" spans="1:19" x14ac:dyDescent="0.2">
      <c r="A90" s="524">
        <v>68380</v>
      </c>
      <c r="B90" s="526">
        <v>46205</v>
      </c>
      <c r="C90" s="524" t="s">
        <v>1148</v>
      </c>
      <c r="D90" s="524" t="s">
        <v>1163</v>
      </c>
      <c r="E90" s="524" t="s">
        <v>1173</v>
      </c>
      <c r="F90" s="524" t="s">
        <v>1183</v>
      </c>
      <c r="G90" s="524" t="s">
        <v>806</v>
      </c>
      <c r="H90" s="527">
        <v>6.57</v>
      </c>
      <c r="I90" s="524" t="s">
        <v>1174</v>
      </c>
      <c r="J90" s="524">
        <f>IF(cmf[[#This Row],[D/C]]="C",cmf[[#This Row],[Valor]],-1*cmf[[#This Row],[Valor]])</f>
        <v>-6.57</v>
      </c>
      <c r="L90" s="524" t="s">
        <v>1175</v>
      </c>
      <c r="M90" s="524" t="s">
        <v>1176</v>
      </c>
      <c r="N90" s="524" t="s">
        <v>1283</v>
      </c>
      <c r="O90" s="524" t="s">
        <v>1284</v>
      </c>
      <c r="P90" s="526">
        <v>46205</v>
      </c>
      <c r="S90" s="527">
        <v>0</v>
      </c>
    </row>
    <row r="91" spans="1:19" x14ac:dyDescent="0.2">
      <c r="A91" s="524">
        <v>68391</v>
      </c>
      <c r="B91" s="526">
        <v>46205</v>
      </c>
      <c r="C91" s="524" t="s">
        <v>1162</v>
      </c>
      <c r="D91" s="524" t="s">
        <v>1163</v>
      </c>
      <c r="E91" s="524" t="s">
        <v>1173</v>
      </c>
      <c r="F91" s="524" t="s">
        <v>1111</v>
      </c>
      <c r="G91" s="524" t="s">
        <v>1110</v>
      </c>
      <c r="H91" s="527">
        <v>2</v>
      </c>
      <c r="I91" s="524" t="s">
        <v>1174</v>
      </c>
      <c r="J91" s="524">
        <f>IF(cmf[[#This Row],[D/C]]="C",cmf[[#This Row],[Valor]],-1*cmf[[#This Row],[Valor]])</f>
        <v>-2</v>
      </c>
      <c r="L91" s="524" t="s">
        <v>1175</v>
      </c>
      <c r="M91" s="524" t="s">
        <v>1176</v>
      </c>
      <c r="N91" s="524" t="s">
        <v>1219</v>
      </c>
      <c r="O91" s="524" t="s">
        <v>1220</v>
      </c>
      <c r="P91" s="526"/>
      <c r="S91" s="527">
        <v>0</v>
      </c>
    </row>
    <row r="92" spans="1:19" x14ac:dyDescent="0.2">
      <c r="A92" s="524">
        <v>68401</v>
      </c>
      <c r="B92" s="526">
        <v>46205</v>
      </c>
      <c r="C92" s="524" t="s">
        <v>1148</v>
      </c>
      <c r="D92" s="524" t="s">
        <v>1186</v>
      </c>
      <c r="E92" s="524" t="s">
        <v>1285</v>
      </c>
      <c r="F92" s="524" t="s">
        <v>1178</v>
      </c>
      <c r="G92" s="524" t="s">
        <v>1179</v>
      </c>
      <c r="H92" s="527">
        <v>196.91</v>
      </c>
      <c r="I92" s="524" t="s">
        <v>1174</v>
      </c>
      <c r="J92" s="524">
        <f>IF(cmf[[#This Row],[D/C]]="C",cmf[[#This Row],[Valor]],-1*cmf[[#This Row],[Valor]])</f>
        <v>-196.91</v>
      </c>
      <c r="L92" s="524" t="s">
        <v>1188</v>
      </c>
      <c r="M92" s="524" t="s">
        <v>1189</v>
      </c>
      <c r="N92" s="524" t="s">
        <v>1180</v>
      </c>
      <c r="O92" s="524" t="s">
        <v>1181</v>
      </c>
      <c r="P92" s="526">
        <v>46205</v>
      </c>
      <c r="S92" s="527">
        <v>0</v>
      </c>
    </row>
    <row r="93" spans="1:19" x14ac:dyDescent="0.2">
      <c r="A93" s="524">
        <v>68402</v>
      </c>
      <c r="B93" s="526">
        <v>46205</v>
      </c>
      <c r="C93" s="524" t="s">
        <v>1148</v>
      </c>
      <c r="D93" s="524" t="s">
        <v>1186</v>
      </c>
      <c r="E93" s="524" t="s">
        <v>1286</v>
      </c>
      <c r="F93" s="524" t="s">
        <v>1178</v>
      </c>
      <c r="G93" s="524" t="s">
        <v>1179</v>
      </c>
      <c r="H93" s="527">
        <v>448.63</v>
      </c>
      <c r="I93" s="524" t="s">
        <v>1174</v>
      </c>
      <c r="J93" s="524">
        <f>IF(cmf[[#This Row],[D/C]]="C",cmf[[#This Row],[Valor]],-1*cmf[[#This Row],[Valor]])</f>
        <v>-448.63</v>
      </c>
      <c r="L93" s="524" t="s">
        <v>1188</v>
      </c>
      <c r="M93" s="524" t="s">
        <v>1189</v>
      </c>
      <c r="N93" s="524" t="s">
        <v>1180</v>
      </c>
      <c r="O93" s="524" t="s">
        <v>1181</v>
      </c>
      <c r="P93" s="526">
        <v>46205</v>
      </c>
      <c r="S93" s="527">
        <v>0</v>
      </c>
    </row>
    <row r="94" spans="1:19" x14ac:dyDescent="0.2">
      <c r="A94" s="524">
        <v>68404</v>
      </c>
      <c r="B94" s="526">
        <v>46205</v>
      </c>
      <c r="C94" s="524" t="s">
        <v>1148</v>
      </c>
      <c r="D94" s="524" t="s">
        <v>1186</v>
      </c>
      <c r="E94" s="524" t="s">
        <v>1287</v>
      </c>
      <c r="F94" s="524" t="s">
        <v>1183</v>
      </c>
      <c r="G94" s="524" t="s">
        <v>742</v>
      </c>
      <c r="H94" s="527">
        <v>365</v>
      </c>
      <c r="I94" s="524" t="s">
        <v>1174</v>
      </c>
      <c r="J94" s="524">
        <f>IF(cmf[[#This Row],[D/C]]="C",cmf[[#This Row],[Valor]],-1*cmf[[#This Row],[Valor]])</f>
        <v>-365</v>
      </c>
      <c r="L94" s="524" t="s">
        <v>1188</v>
      </c>
      <c r="M94" s="524" t="s">
        <v>1189</v>
      </c>
      <c r="N94" s="524" t="s">
        <v>1215</v>
      </c>
      <c r="O94" s="524" t="s">
        <v>1218</v>
      </c>
      <c r="P94" s="526">
        <v>46205</v>
      </c>
      <c r="S94" s="527">
        <v>0</v>
      </c>
    </row>
    <row r="95" spans="1:19" x14ac:dyDescent="0.2">
      <c r="A95" s="524">
        <v>68424</v>
      </c>
      <c r="B95" s="526">
        <v>46205</v>
      </c>
      <c r="C95" s="524" t="s">
        <v>1162</v>
      </c>
      <c r="D95" s="524" t="s">
        <v>1226</v>
      </c>
      <c r="E95" s="524" t="s">
        <v>1288</v>
      </c>
      <c r="F95" s="524" t="s">
        <v>1228</v>
      </c>
      <c r="G95" s="524" t="s">
        <v>1229</v>
      </c>
      <c r="H95" s="527">
        <v>368.13</v>
      </c>
      <c r="I95" s="524" t="s">
        <v>1148</v>
      </c>
      <c r="J95" s="524">
        <f>IF(cmf[[#This Row],[D/C]]="C",cmf[[#This Row],[Valor]],-1*cmf[[#This Row],[Valor]])</f>
        <v>368.13</v>
      </c>
      <c r="L95" s="524" t="s">
        <v>1230</v>
      </c>
      <c r="M95" s="524" t="s">
        <v>1231</v>
      </c>
      <c r="N95" s="524" t="s">
        <v>1223</v>
      </c>
      <c r="O95" s="524" t="s">
        <v>1224</v>
      </c>
      <c r="P95" s="526"/>
      <c r="S95" s="527">
        <v>0</v>
      </c>
    </row>
    <row r="96" spans="1:19" x14ac:dyDescent="0.2">
      <c r="A96" s="524">
        <v>68425</v>
      </c>
      <c r="B96" s="526">
        <v>46205</v>
      </c>
      <c r="C96" s="524" t="s">
        <v>1162</v>
      </c>
      <c r="D96" s="524" t="s">
        <v>1226</v>
      </c>
      <c r="E96" s="524" t="s">
        <v>1289</v>
      </c>
      <c r="F96" s="524" t="s">
        <v>1228</v>
      </c>
      <c r="G96" s="524" t="s">
        <v>1229</v>
      </c>
      <c r="H96" s="527">
        <v>2057.33</v>
      </c>
      <c r="I96" s="524" t="s">
        <v>1148</v>
      </c>
      <c r="J96" s="524">
        <f>IF(cmf[[#This Row],[D/C]]="C",cmf[[#This Row],[Valor]],-1*cmf[[#This Row],[Valor]])</f>
        <v>2057.33</v>
      </c>
      <c r="L96" s="524" t="s">
        <v>1230</v>
      </c>
      <c r="M96" s="524" t="s">
        <v>1231</v>
      </c>
      <c r="N96" s="524" t="s">
        <v>1223</v>
      </c>
      <c r="O96" s="524" t="s">
        <v>1224</v>
      </c>
      <c r="P96" s="526"/>
      <c r="S96" s="527">
        <v>0</v>
      </c>
    </row>
    <row r="97" spans="1:19" x14ac:dyDescent="0.2">
      <c r="A97" s="524">
        <v>68514</v>
      </c>
      <c r="B97" s="526">
        <v>46205</v>
      </c>
      <c r="C97" s="524" t="s">
        <v>1162</v>
      </c>
      <c r="D97" s="524" t="s">
        <v>1205</v>
      </c>
      <c r="E97" s="524" t="s">
        <v>1233</v>
      </c>
      <c r="F97" s="524" t="s">
        <v>1228</v>
      </c>
      <c r="G97" s="524" t="s">
        <v>1229</v>
      </c>
      <c r="H97" s="527">
        <v>2057.33</v>
      </c>
      <c r="I97" s="524" t="s">
        <v>1174</v>
      </c>
      <c r="J97" s="524">
        <f>IF(cmf[[#This Row],[D/C]]="C",cmf[[#This Row],[Valor]],-1*cmf[[#This Row],[Valor]])</f>
        <v>-2057.33</v>
      </c>
      <c r="L97" s="524" t="s">
        <v>1207</v>
      </c>
      <c r="M97" s="524" t="s">
        <v>1208</v>
      </c>
      <c r="N97" s="524" t="s">
        <v>1223</v>
      </c>
      <c r="O97" s="524" t="s">
        <v>1224</v>
      </c>
      <c r="P97" s="526"/>
      <c r="S97" s="527">
        <v>0</v>
      </c>
    </row>
    <row r="98" spans="1:19" x14ac:dyDescent="0.2">
      <c r="A98" s="524">
        <v>68515</v>
      </c>
      <c r="B98" s="526">
        <v>46205</v>
      </c>
      <c r="C98" s="524" t="s">
        <v>1162</v>
      </c>
      <c r="D98" s="524" t="s">
        <v>1205</v>
      </c>
      <c r="E98" s="524" t="s">
        <v>1234</v>
      </c>
      <c r="F98" s="524" t="s">
        <v>1165</v>
      </c>
      <c r="G98" s="524" t="s">
        <v>756</v>
      </c>
      <c r="H98" s="527">
        <v>2057.33</v>
      </c>
      <c r="I98" s="524" t="s">
        <v>1148</v>
      </c>
      <c r="J98" s="524">
        <f>IF(cmf[[#This Row],[D/C]]="C",cmf[[#This Row],[Valor]],-1*cmf[[#This Row],[Valor]])</f>
        <v>2057.33</v>
      </c>
      <c r="L98" s="524" t="s">
        <v>1207</v>
      </c>
      <c r="M98" s="524" t="s">
        <v>1208</v>
      </c>
      <c r="N98" s="524" t="s">
        <v>1168</v>
      </c>
      <c r="O98" s="524" t="s">
        <v>1169</v>
      </c>
      <c r="P98" s="526"/>
      <c r="S98" s="527">
        <v>0</v>
      </c>
    </row>
    <row r="99" spans="1:19" x14ac:dyDescent="0.2">
      <c r="A99" s="524">
        <v>68516</v>
      </c>
      <c r="B99" s="526">
        <v>46205</v>
      </c>
      <c r="C99" s="524" t="s">
        <v>1162</v>
      </c>
      <c r="D99" s="524" t="s">
        <v>1205</v>
      </c>
      <c r="E99" s="524" t="s">
        <v>1233</v>
      </c>
      <c r="F99" s="524" t="s">
        <v>1228</v>
      </c>
      <c r="G99" s="524" t="s">
        <v>1229</v>
      </c>
      <c r="H99" s="527">
        <v>368.13</v>
      </c>
      <c r="I99" s="524" t="s">
        <v>1174</v>
      </c>
      <c r="J99" s="524">
        <f>IF(cmf[[#This Row],[D/C]]="C",cmf[[#This Row],[Valor]],-1*cmf[[#This Row],[Valor]])</f>
        <v>-368.13</v>
      </c>
      <c r="L99" s="524" t="s">
        <v>1207</v>
      </c>
      <c r="M99" s="524" t="s">
        <v>1208</v>
      </c>
      <c r="N99" s="524" t="s">
        <v>1223</v>
      </c>
      <c r="O99" s="524" t="s">
        <v>1224</v>
      </c>
      <c r="P99" s="526"/>
      <c r="S99" s="527">
        <v>0</v>
      </c>
    </row>
    <row r="100" spans="1:19" x14ac:dyDescent="0.2">
      <c r="A100" s="524">
        <v>68517</v>
      </c>
      <c r="B100" s="526">
        <v>46205</v>
      </c>
      <c r="C100" s="524" t="s">
        <v>1162</v>
      </c>
      <c r="D100" s="524" t="s">
        <v>1205</v>
      </c>
      <c r="E100" s="524" t="s">
        <v>1234</v>
      </c>
      <c r="F100" s="524" t="s">
        <v>1165</v>
      </c>
      <c r="G100" s="524" t="s">
        <v>756</v>
      </c>
      <c r="H100" s="527">
        <v>368.13</v>
      </c>
      <c r="I100" s="524" t="s">
        <v>1148</v>
      </c>
      <c r="J100" s="524">
        <f>IF(cmf[[#This Row],[D/C]]="C",cmf[[#This Row],[Valor]],-1*cmf[[#This Row],[Valor]])</f>
        <v>368.13</v>
      </c>
      <c r="L100" s="524" t="s">
        <v>1207</v>
      </c>
      <c r="M100" s="524" t="s">
        <v>1208</v>
      </c>
      <c r="N100" s="524" t="s">
        <v>1168</v>
      </c>
      <c r="O100" s="524" t="s">
        <v>1169</v>
      </c>
      <c r="P100" s="526"/>
      <c r="S100" s="527">
        <v>0</v>
      </c>
    </row>
    <row r="101" spans="1:19" x14ac:dyDescent="0.2">
      <c r="A101" s="524">
        <v>68587</v>
      </c>
      <c r="B101" s="526">
        <v>46205</v>
      </c>
      <c r="C101" s="524" t="s">
        <v>1148</v>
      </c>
      <c r="D101" s="524" t="s">
        <v>1235</v>
      </c>
      <c r="E101" s="524" t="s">
        <v>1290</v>
      </c>
      <c r="F101" s="524" t="s">
        <v>1170</v>
      </c>
      <c r="G101" s="524" t="s">
        <v>768</v>
      </c>
      <c r="H101" s="527">
        <v>374752.57</v>
      </c>
      <c r="I101" s="524" t="s">
        <v>1148</v>
      </c>
      <c r="J101" s="524">
        <f>IF(cmf[[#This Row],[D/C]]="C",cmf[[#This Row],[Valor]],-1*cmf[[#This Row],[Valor]])</f>
        <v>374752.57</v>
      </c>
      <c r="L101" s="524" t="s">
        <v>1237</v>
      </c>
      <c r="M101" s="524" t="s">
        <v>1238</v>
      </c>
      <c r="N101" s="524" t="s">
        <v>1219</v>
      </c>
      <c r="O101" s="524" t="s">
        <v>1220</v>
      </c>
      <c r="P101" s="526">
        <v>46205</v>
      </c>
      <c r="S101" s="527">
        <v>0</v>
      </c>
    </row>
    <row r="102" spans="1:19" x14ac:dyDescent="0.2">
      <c r="A102" s="524">
        <v>68744</v>
      </c>
      <c r="B102" s="526">
        <v>46205</v>
      </c>
      <c r="C102" s="524" t="s">
        <v>1148</v>
      </c>
      <c r="D102" s="524" t="s">
        <v>1186</v>
      </c>
      <c r="E102" s="524" t="s">
        <v>1291</v>
      </c>
      <c r="F102" s="524" t="s">
        <v>1183</v>
      </c>
      <c r="G102" s="524" t="s">
        <v>745</v>
      </c>
      <c r="H102" s="527">
        <v>8000</v>
      </c>
      <c r="I102" s="524" t="s">
        <v>1174</v>
      </c>
      <c r="J102" s="524">
        <f>IF(cmf[[#This Row],[D/C]]="C",cmf[[#This Row],[Valor]],-1*cmf[[#This Row],[Valor]])</f>
        <v>-8000</v>
      </c>
      <c r="L102" s="524" t="s">
        <v>1188</v>
      </c>
      <c r="M102" s="524" t="s">
        <v>1189</v>
      </c>
      <c r="N102" s="524" t="s">
        <v>1292</v>
      </c>
      <c r="O102" s="524" t="s">
        <v>1293</v>
      </c>
      <c r="P102" s="526">
        <v>46205</v>
      </c>
      <c r="S102" s="527">
        <v>0</v>
      </c>
    </row>
    <row r="103" spans="1:19" x14ac:dyDescent="0.2">
      <c r="A103" s="524">
        <v>69052</v>
      </c>
      <c r="B103" s="526">
        <v>46205</v>
      </c>
      <c r="C103" s="524" t="s">
        <v>1148</v>
      </c>
      <c r="D103" s="524" t="s">
        <v>1235</v>
      </c>
      <c r="E103" s="524" t="s">
        <v>1294</v>
      </c>
      <c r="F103" s="524" t="s">
        <v>1178</v>
      </c>
      <c r="G103" s="524" t="s">
        <v>1179</v>
      </c>
      <c r="H103" s="527">
        <v>5485.89</v>
      </c>
      <c r="I103" s="524" t="s">
        <v>1174</v>
      </c>
      <c r="J103" s="524">
        <f>IF(cmf[[#This Row],[D/C]]="C",cmf[[#This Row],[Valor]],-1*cmf[[#This Row],[Valor]])</f>
        <v>-5485.89</v>
      </c>
      <c r="L103" s="524" t="s">
        <v>1237</v>
      </c>
      <c r="M103" s="524" t="s">
        <v>1238</v>
      </c>
      <c r="N103" s="524" t="s">
        <v>1180</v>
      </c>
      <c r="O103" s="524" t="s">
        <v>1181</v>
      </c>
      <c r="P103" s="526">
        <v>46205</v>
      </c>
      <c r="S103" s="527">
        <v>0</v>
      </c>
    </row>
    <row r="104" spans="1:19" x14ac:dyDescent="0.2">
      <c r="A104" s="524">
        <v>69053</v>
      </c>
      <c r="B104" s="526">
        <v>46205</v>
      </c>
      <c r="C104" s="524" t="s">
        <v>1148</v>
      </c>
      <c r="D104" s="524" t="s">
        <v>1235</v>
      </c>
      <c r="E104" s="524" t="s">
        <v>1294</v>
      </c>
      <c r="F104" s="524" t="s">
        <v>1178</v>
      </c>
      <c r="G104" s="524" t="s">
        <v>1179</v>
      </c>
      <c r="H104" s="527">
        <v>79853.19</v>
      </c>
      <c r="I104" s="524" t="s">
        <v>1174</v>
      </c>
      <c r="J104" s="524">
        <f>IF(cmf[[#This Row],[D/C]]="C",cmf[[#This Row],[Valor]],-1*cmf[[#This Row],[Valor]])</f>
        <v>-79853.19</v>
      </c>
      <c r="L104" s="524" t="s">
        <v>1237</v>
      </c>
      <c r="M104" s="524" t="s">
        <v>1238</v>
      </c>
      <c r="N104" s="524" t="s">
        <v>1180</v>
      </c>
      <c r="O104" s="524" t="s">
        <v>1181</v>
      </c>
      <c r="P104" s="526">
        <v>46205</v>
      </c>
      <c r="S104" s="527">
        <v>0</v>
      </c>
    </row>
    <row r="105" spans="1:19" x14ac:dyDescent="0.2">
      <c r="A105" s="524">
        <v>69054</v>
      </c>
      <c r="B105" s="526">
        <v>46205</v>
      </c>
      <c r="C105" s="524" t="s">
        <v>1148</v>
      </c>
      <c r="D105" s="524" t="s">
        <v>1235</v>
      </c>
      <c r="E105" s="524" t="s">
        <v>1294</v>
      </c>
      <c r="F105" s="524" t="s">
        <v>1178</v>
      </c>
      <c r="G105" s="524" t="s">
        <v>1179</v>
      </c>
      <c r="H105" s="527">
        <v>4578.26</v>
      </c>
      <c r="I105" s="524" t="s">
        <v>1174</v>
      </c>
      <c r="J105" s="524">
        <f>IF(cmf[[#This Row],[D/C]]="C",cmf[[#This Row],[Valor]],-1*cmf[[#This Row],[Valor]])</f>
        <v>-4578.26</v>
      </c>
      <c r="L105" s="524" t="s">
        <v>1237</v>
      </c>
      <c r="M105" s="524" t="s">
        <v>1238</v>
      </c>
      <c r="N105" s="524" t="s">
        <v>1180</v>
      </c>
      <c r="O105" s="524" t="s">
        <v>1181</v>
      </c>
      <c r="P105" s="526">
        <v>46205</v>
      </c>
      <c r="S105" s="527">
        <v>0</v>
      </c>
    </row>
    <row r="106" spans="1:19" x14ac:dyDescent="0.2">
      <c r="A106" s="524">
        <v>69055</v>
      </c>
      <c r="B106" s="526">
        <v>46205</v>
      </c>
      <c r="C106" s="524" t="s">
        <v>1148</v>
      </c>
      <c r="D106" s="524" t="s">
        <v>1235</v>
      </c>
      <c r="E106" s="524" t="s">
        <v>1294</v>
      </c>
      <c r="F106" s="524" t="s">
        <v>1178</v>
      </c>
      <c r="G106" s="524" t="s">
        <v>1179</v>
      </c>
      <c r="H106" s="527">
        <v>8769.42</v>
      </c>
      <c r="I106" s="524" t="s">
        <v>1174</v>
      </c>
      <c r="J106" s="524">
        <f>IF(cmf[[#This Row],[D/C]]="C",cmf[[#This Row],[Valor]],-1*cmf[[#This Row],[Valor]])</f>
        <v>-8769.42</v>
      </c>
      <c r="L106" s="524" t="s">
        <v>1237</v>
      </c>
      <c r="M106" s="524" t="s">
        <v>1238</v>
      </c>
      <c r="N106" s="524" t="s">
        <v>1180</v>
      </c>
      <c r="O106" s="524" t="s">
        <v>1181</v>
      </c>
      <c r="P106" s="526">
        <v>46205</v>
      </c>
      <c r="S106" s="527">
        <v>0</v>
      </c>
    </row>
    <row r="107" spans="1:19" x14ac:dyDescent="0.2">
      <c r="A107" s="524">
        <v>69056</v>
      </c>
      <c r="B107" s="526">
        <v>46205</v>
      </c>
      <c r="C107" s="524" t="s">
        <v>1148</v>
      </c>
      <c r="D107" s="524" t="s">
        <v>1235</v>
      </c>
      <c r="E107" s="524" t="s">
        <v>1294</v>
      </c>
      <c r="F107" s="524" t="s">
        <v>1178</v>
      </c>
      <c r="G107" s="524" t="s">
        <v>1179</v>
      </c>
      <c r="H107" s="527">
        <v>5339.07</v>
      </c>
      <c r="I107" s="524" t="s">
        <v>1174</v>
      </c>
      <c r="J107" s="524">
        <f>IF(cmf[[#This Row],[D/C]]="C",cmf[[#This Row],[Valor]],-1*cmf[[#This Row],[Valor]])</f>
        <v>-5339.07</v>
      </c>
      <c r="L107" s="524" t="s">
        <v>1237</v>
      </c>
      <c r="M107" s="524" t="s">
        <v>1238</v>
      </c>
      <c r="N107" s="524" t="s">
        <v>1180</v>
      </c>
      <c r="O107" s="524" t="s">
        <v>1181</v>
      </c>
      <c r="P107" s="526">
        <v>46205</v>
      </c>
      <c r="S107" s="527">
        <v>0</v>
      </c>
    </row>
    <row r="108" spans="1:19" x14ac:dyDescent="0.2">
      <c r="A108" s="524">
        <v>69057</v>
      </c>
      <c r="B108" s="526">
        <v>46205</v>
      </c>
      <c r="C108" s="524" t="s">
        <v>1148</v>
      </c>
      <c r="D108" s="524" t="s">
        <v>1235</v>
      </c>
      <c r="E108" s="524" t="s">
        <v>1294</v>
      </c>
      <c r="F108" s="524" t="s">
        <v>1178</v>
      </c>
      <c r="G108" s="524" t="s">
        <v>1179</v>
      </c>
      <c r="H108" s="527">
        <v>9023.0300000000007</v>
      </c>
      <c r="I108" s="524" t="s">
        <v>1174</v>
      </c>
      <c r="J108" s="524">
        <f>IF(cmf[[#This Row],[D/C]]="C",cmf[[#This Row],[Valor]],-1*cmf[[#This Row],[Valor]])</f>
        <v>-9023.0300000000007</v>
      </c>
      <c r="L108" s="524" t="s">
        <v>1237</v>
      </c>
      <c r="M108" s="524" t="s">
        <v>1238</v>
      </c>
      <c r="N108" s="524" t="s">
        <v>1180</v>
      </c>
      <c r="O108" s="524" t="s">
        <v>1181</v>
      </c>
      <c r="P108" s="526">
        <v>46205</v>
      </c>
      <c r="S108" s="527">
        <v>0</v>
      </c>
    </row>
    <row r="109" spans="1:19" x14ac:dyDescent="0.2">
      <c r="A109" s="524">
        <v>69059</v>
      </c>
      <c r="B109" s="526">
        <v>46205</v>
      </c>
      <c r="C109" s="524" t="s">
        <v>1148</v>
      </c>
      <c r="D109" s="524" t="s">
        <v>1235</v>
      </c>
      <c r="E109" s="524" t="s">
        <v>1294</v>
      </c>
      <c r="F109" s="524" t="s">
        <v>1178</v>
      </c>
      <c r="G109" s="524" t="s">
        <v>1179</v>
      </c>
      <c r="H109" s="527">
        <v>13481.15</v>
      </c>
      <c r="I109" s="524" t="s">
        <v>1174</v>
      </c>
      <c r="J109" s="524">
        <f>IF(cmf[[#This Row],[D/C]]="C",cmf[[#This Row],[Valor]],-1*cmf[[#This Row],[Valor]])</f>
        <v>-13481.15</v>
      </c>
      <c r="L109" s="524" t="s">
        <v>1237</v>
      </c>
      <c r="M109" s="524" t="s">
        <v>1238</v>
      </c>
      <c r="N109" s="524" t="s">
        <v>1180</v>
      </c>
      <c r="O109" s="524" t="s">
        <v>1181</v>
      </c>
      <c r="P109" s="526">
        <v>46205</v>
      </c>
      <c r="S109" s="527">
        <v>0</v>
      </c>
    </row>
    <row r="110" spans="1:19" x14ac:dyDescent="0.2">
      <c r="A110" s="524">
        <v>69218</v>
      </c>
      <c r="B110" s="526">
        <v>46205</v>
      </c>
      <c r="C110" s="524" t="s">
        <v>1148</v>
      </c>
      <c r="D110" s="524" t="s">
        <v>1239</v>
      </c>
      <c r="E110" s="524" t="s">
        <v>1274</v>
      </c>
      <c r="F110" s="524" t="s">
        <v>1183</v>
      </c>
      <c r="G110" s="524" t="s">
        <v>769</v>
      </c>
      <c r="H110" s="527">
        <v>113.39</v>
      </c>
      <c r="I110" s="524" t="s">
        <v>1174</v>
      </c>
      <c r="J110" s="524">
        <f>IF(cmf[[#This Row],[D/C]]="C",cmf[[#This Row],[Valor]],-1*cmf[[#This Row],[Valor]])</f>
        <v>-113.39</v>
      </c>
      <c r="L110" s="524" t="s">
        <v>1241</v>
      </c>
      <c r="M110" s="524" t="s">
        <v>1242</v>
      </c>
      <c r="N110" s="524" t="s">
        <v>1219</v>
      </c>
      <c r="O110" s="524" t="s">
        <v>1220</v>
      </c>
      <c r="P110" s="526">
        <v>46205</v>
      </c>
      <c r="S110" s="527">
        <v>0</v>
      </c>
    </row>
    <row r="111" spans="1:19" x14ac:dyDescent="0.2">
      <c r="A111" s="524">
        <v>69219</v>
      </c>
      <c r="B111" s="526">
        <v>46205</v>
      </c>
      <c r="C111" s="524" t="s">
        <v>1148</v>
      </c>
      <c r="D111" s="524" t="s">
        <v>1239</v>
      </c>
      <c r="E111" s="524" t="s">
        <v>1295</v>
      </c>
      <c r="F111" s="524" t="s">
        <v>1183</v>
      </c>
      <c r="G111" s="524" t="s">
        <v>769</v>
      </c>
      <c r="H111" s="527">
        <v>169</v>
      </c>
      <c r="I111" s="524" t="s">
        <v>1174</v>
      </c>
      <c r="J111" s="524">
        <f>IF(cmf[[#This Row],[D/C]]="C",cmf[[#This Row],[Valor]],-1*cmf[[#This Row],[Valor]])</f>
        <v>-169</v>
      </c>
      <c r="L111" s="524" t="s">
        <v>1241</v>
      </c>
      <c r="M111" s="524" t="s">
        <v>1242</v>
      </c>
      <c r="N111" s="524" t="s">
        <v>1219</v>
      </c>
      <c r="O111" s="524" t="s">
        <v>1220</v>
      </c>
      <c r="P111" s="526">
        <v>46205</v>
      </c>
      <c r="S111" s="527">
        <v>0</v>
      </c>
    </row>
    <row r="112" spans="1:19" x14ac:dyDescent="0.2">
      <c r="A112" s="524">
        <v>69220</v>
      </c>
      <c r="B112" s="526">
        <v>46205</v>
      </c>
      <c r="C112" s="524" t="s">
        <v>1148</v>
      </c>
      <c r="D112" s="524" t="s">
        <v>1239</v>
      </c>
      <c r="E112" s="524" t="s">
        <v>1296</v>
      </c>
      <c r="F112" s="524" t="s">
        <v>1183</v>
      </c>
      <c r="G112" s="524" t="s">
        <v>769</v>
      </c>
      <c r="H112" s="527">
        <v>88.15</v>
      </c>
      <c r="I112" s="524" t="s">
        <v>1174</v>
      </c>
      <c r="J112" s="524">
        <f>IF(cmf[[#This Row],[D/C]]="C",cmf[[#This Row],[Valor]],-1*cmf[[#This Row],[Valor]])</f>
        <v>-88.15</v>
      </c>
      <c r="L112" s="524" t="s">
        <v>1241</v>
      </c>
      <c r="M112" s="524" t="s">
        <v>1242</v>
      </c>
      <c r="N112" s="524" t="s">
        <v>1219</v>
      </c>
      <c r="O112" s="524" t="s">
        <v>1220</v>
      </c>
      <c r="P112" s="526">
        <v>46205</v>
      </c>
      <c r="S112" s="527">
        <v>0</v>
      </c>
    </row>
    <row r="113" spans="1:19" x14ac:dyDescent="0.2">
      <c r="A113" s="524">
        <v>69226</v>
      </c>
      <c r="B113" s="526">
        <v>46205</v>
      </c>
      <c r="C113" s="524" t="s">
        <v>1148</v>
      </c>
      <c r="D113" s="524" t="s">
        <v>1239</v>
      </c>
      <c r="E113" s="524" t="s">
        <v>1295</v>
      </c>
      <c r="F113" s="524" t="s">
        <v>1183</v>
      </c>
      <c r="G113" s="524" t="s">
        <v>763</v>
      </c>
      <c r="H113" s="527">
        <v>169</v>
      </c>
      <c r="I113" s="524" t="s">
        <v>1174</v>
      </c>
      <c r="J113" s="524">
        <f>IF(cmf[[#This Row],[D/C]]="C",cmf[[#This Row],[Valor]],-1*cmf[[#This Row],[Valor]])</f>
        <v>-169</v>
      </c>
      <c r="L113" s="524" t="s">
        <v>1241</v>
      </c>
      <c r="M113" s="524" t="s">
        <v>1242</v>
      </c>
      <c r="N113" s="524" t="s">
        <v>1180</v>
      </c>
      <c r="O113" s="524" t="s">
        <v>1181</v>
      </c>
      <c r="P113" s="526">
        <v>46205</v>
      </c>
      <c r="S113" s="527">
        <v>0</v>
      </c>
    </row>
    <row r="114" spans="1:19" x14ac:dyDescent="0.2">
      <c r="A114" s="524">
        <v>69266</v>
      </c>
      <c r="B114" s="526">
        <v>46205</v>
      </c>
      <c r="C114" s="524" t="s">
        <v>1148</v>
      </c>
      <c r="D114" s="524" t="s">
        <v>1239</v>
      </c>
      <c r="E114" s="524" t="s">
        <v>1295</v>
      </c>
      <c r="F114" s="524" t="s">
        <v>1183</v>
      </c>
      <c r="G114" s="524" t="s">
        <v>758</v>
      </c>
      <c r="H114" s="527">
        <v>169</v>
      </c>
      <c r="I114" s="524" t="s">
        <v>1174</v>
      </c>
      <c r="J114" s="524">
        <f>IF(cmf[[#This Row],[D/C]]="C",cmf[[#This Row],[Valor]],-1*cmf[[#This Row],[Valor]])</f>
        <v>-169</v>
      </c>
      <c r="L114" s="524" t="s">
        <v>1241</v>
      </c>
      <c r="M114" s="524" t="s">
        <v>1242</v>
      </c>
      <c r="N114" s="524" t="s">
        <v>1223</v>
      </c>
      <c r="O114" s="524" t="s">
        <v>1224</v>
      </c>
      <c r="P114" s="526">
        <v>46205</v>
      </c>
      <c r="S114" s="527">
        <v>0</v>
      </c>
    </row>
    <row r="115" spans="1:19" x14ac:dyDescent="0.2">
      <c r="A115" s="524">
        <v>69267</v>
      </c>
      <c r="B115" s="526">
        <v>46205</v>
      </c>
      <c r="C115" s="524" t="s">
        <v>1148</v>
      </c>
      <c r="D115" s="524" t="s">
        <v>1239</v>
      </c>
      <c r="E115" s="524" t="s">
        <v>1296</v>
      </c>
      <c r="F115" s="524" t="s">
        <v>1183</v>
      </c>
      <c r="G115" s="524" t="s">
        <v>758</v>
      </c>
      <c r="H115" s="527">
        <v>151.25</v>
      </c>
      <c r="I115" s="524" t="s">
        <v>1174</v>
      </c>
      <c r="J115" s="524">
        <f>IF(cmf[[#This Row],[D/C]]="C",cmf[[#This Row],[Valor]],-1*cmf[[#This Row],[Valor]])</f>
        <v>-151.25</v>
      </c>
      <c r="L115" s="524" t="s">
        <v>1241</v>
      </c>
      <c r="M115" s="524" t="s">
        <v>1242</v>
      </c>
      <c r="N115" s="524" t="s">
        <v>1223</v>
      </c>
      <c r="O115" s="524" t="s">
        <v>1224</v>
      </c>
      <c r="P115" s="526">
        <v>46205</v>
      </c>
      <c r="S115" s="527">
        <v>0</v>
      </c>
    </row>
    <row r="116" spans="1:19" x14ac:dyDescent="0.2">
      <c r="A116" s="524">
        <v>69272</v>
      </c>
      <c r="B116" s="526">
        <v>46205</v>
      </c>
      <c r="C116" s="524" t="s">
        <v>1148</v>
      </c>
      <c r="D116" s="524" t="s">
        <v>1239</v>
      </c>
      <c r="E116" s="524" t="s">
        <v>1297</v>
      </c>
      <c r="F116" s="524" t="s">
        <v>1183</v>
      </c>
      <c r="G116" s="524" t="s">
        <v>800</v>
      </c>
      <c r="H116" s="527">
        <v>169</v>
      </c>
      <c r="I116" s="524" t="s">
        <v>1174</v>
      </c>
      <c r="J116" s="524">
        <f>IF(cmf[[#This Row],[D/C]]="C",cmf[[#This Row],[Valor]],-1*cmf[[#This Row],[Valor]])</f>
        <v>-169</v>
      </c>
      <c r="L116" s="524" t="s">
        <v>1241</v>
      </c>
      <c r="M116" s="524" t="s">
        <v>1242</v>
      </c>
      <c r="N116" s="524" t="s">
        <v>1171</v>
      </c>
      <c r="O116" s="524" t="s">
        <v>1172</v>
      </c>
      <c r="P116" s="526">
        <v>46205</v>
      </c>
      <c r="S116" s="527">
        <v>0</v>
      </c>
    </row>
    <row r="117" spans="1:19" x14ac:dyDescent="0.2">
      <c r="A117" s="524">
        <v>69275</v>
      </c>
      <c r="B117" s="526">
        <v>46205</v>
      </c>
      <c r="C117" s="524" t="s">
        <v>1148</v>
      </c>
      <c r="D117" s="524" t="s">
        <v>1239</v>
      </c>
      <c r="E117" s="524" t="s">
        <v>1296</v>
      </c>
      <c r="F117" s="524" t="s">
        <v>1183</v>
      </c>
      <c r="G117" s="524" t="s">
        <v>800</v>
      </c>
      <c r="H117" s="527">
        <v>93.8</v>
      </c>
      <c r="I117" s="524" t="s">
        <v>1174</v>
      </c>
      <c r="J117" s="524">
        <f>IF(cmf[[#This Row],[D/C]]="C",cmf[[#This Row],[Valor]],-1*cmf[[#This Row],[Valor]])</f>
        <v>-93.8</v>
      </c>
      <c r="L117" s="524" t="s">
        <v>1241</v>
      </c>
      <c r="M117" s="524" t="s">
        <v>1242</v>
      </c>
      <c r="N117" s="524" t="s">
        <v>1171</v>
      </c>
      <c r="O117" s="524" t="s">
        <v>1172</v>
      </c>
      <c r="P117" s="526">
        <v>46205</v>
      </c>
      <c r="S117" s="527">
        <v>0</v>
      </c>
    </row>
    <row r="118" spans="1:19" x14ac:dyDescent="0.2">
      <c r="A118" s="524">
        <v>69283</v>
      </c>
      <c r="B118" s="526">
        <v>46205</v>
      </c>
      <c r="C118" s="524" t="s">
        <v>1148</v>
      </c>
      <c r="D118" s="524" t="s">
        <v>1243</v>
      </c>
      <c r="E118" s="524" t="s">
        <v>1244</v>
      </c>
      <c r="F118" s="524" t="s">
        <v>1183</v>
      </c>
      <c r="G118" s="524" t="s">
        <v>800</v>
      </c>
      <c r="H118" s="527">
        <v>262.8</v>
      </c>
      <c r="I118" s="524" t="s">
        <v>1148</v>
      </c>
      <c r="J118" s="524">
        <f>IF(cmf[[#This Row],[D/C]]="C",cmf[[#This Row],[Valor]],-1*cmf[[#This Row],[Valor]])</f>
        <v>262.8</v>
      </c>
      <c r="L118" s="524" t="s">
        <v>1245</v>
      </c>
      <c r="M118" s="524" t="s">
        <v>1246</v>
      </c>
      <c r="N118" s="524" t="s">
        <v>1171</v>
      </c>
      <c r="O118" s="524" t="s">
        <v>1172</v>
      </c>
      <c r="P118" s="526">
        <v>46205</v>
      </c>
      <c r="S118" s="527">
        <v>0</v>
      </c>
    </row>
    <row r="119" spans="1:19" x14ac:dyDescent="0.2">
      <c r="A119" s="524">
        <v>69343</v>
      </c>
      <c r="B119" s="526">
        <v>46205</v>
      </c>
      <c r="C119" s="524" t="s">
        <v>1148</v>
      </c>
      <c r="D119" s="524" t="s">
        <v>1243</v>
      </c>
      <c r="E119" s="524" t="s">
        <v>1244</v>
      </c>
      <c r="F119" s="524" t="s">
        <v>1183</v>
      </c>
      <c r="G119" s="524" t="s">
        <v>803</v>
      </c>
      <c r="H119" s="527">
        <v>3953.79</v>
      </c>
      <c r="I119" s="524" t="s">
        <v>1148</v>
      </c>
      <c r="J119" s="524">
        <f>IF(cmf[[#This Row],[D/C]]="C",cmf[[#This Row],[Valor]],-1*cmf[[#This Row],[Valor]])</f>
        <v>3953.79</v>
      </c>
      <c r="L119" s="524" t="s">
        <v>1245</v>
      </c>
      <c r="M119" s="524" t="s">
        <v>1246</v>
      </c>
      <c r="N119" s="524" t="s">
        <v>1192</v>
      </c>
      <c r="O119" s="524" t="s">
        <v>1193</v>
      </c>
      <c r="P119" s="526">
        <v>46205</v>
      </c>
      <c r="S119" s="527">
        <v>0</v>
      </c>
    </row>
    <row r="120" spans="1:19" x14ac:dyDescent="0.2">
      <c r="A120" s="524">
        <v>69344</v>
      </c>
      <c r="B120" s="526">
        <v>46205</v>
      </c>
      <c r="C120" s="524" t="s">
        <v>1148</v>
      </c>
      <c r="D120" s="524" t="s">
        <v>1243</v>
      </c>
      <c r="E120" s="524" t="s">
        <v>1244</v>
      </c>
      <c r="F120" s="524" t="s">
        <v>1183</v>
      </c>
      <c r="G120" s="524" t="s">
        <v>803</v>
      </c>
      <c r="H120" s="527">
        <v>0.02</v>
      </c>
      <c r="I120" s="524" t="s">
        <v>1148</v>
      </c>
      <c r="J120" s="524">
        <f>IF(cmf[[#This Row],[D/C]]="C",cmf[[#This Row],[Valor]],-1*cmf[[#This Row],[Valor]])</f>
        <v>0.02</v>
      </c>
      <c r="L120" s="524" t="s">
        <v>1245</v>
      </c>
      <c r="M120" s="524" t="s">
        <v>1246</v>
      </c>
      <c r="N120" s="524" t="s">
        <v>1192</v>
      </c>
      <c r="O120" s="524" t="s">
        <v>1193</v>
      </c>
      <c r="P120" s="526">
        <v>46205</v>
      </c>
      <c r="S120" s="527">
        <v>0</v>
      </c>
    </row>
    <row r="121" spans="1:19" x14ac:dyDescent="0.2">
      <c r="A121" s="524">
        <v>69364</v>
      </c>
      <c r="B121" s="526">
        <v>46205</v>
      </c>
      <c r="C121" s="524" t="s">
        <v>1148</v>
      </c>
      <c r="D121" s="524" t="s">
        <v>1239</v>
      </c>
      <c r="E121" s="524" t="s">
        <v>1274</v>
      </c>
      <c r="F121" s="524" t="s">
        <v>1183</v>
      </c>
      <c r="G121" s="524" t="s">
        <v>803</v>
      </c>
      <c r="H121" s="527">
        <v>7.59</v>
      </c>
      <c r="I121" s="524" t="s">
        <v>1174</v>
      </c>
      <c r="J121" s="524">
        <f>IF(cmf[[#This Row],[D/C]]="C",cmf[[#This Row],[Valor]],-1*cmf[[#This Row],[Valor]])</f>
        <v>-7.59</v>
      </c>
      <c r="L121" s="524" t="s">
        <v>1241</v>
      </c>
      <c r="M121" s="524" t="s">
        <v>1242</v>
      </c>
      <c r="N121" s="524" t="s">
        <v>1192</v>
      </c>
      <c r="O121" s="524" t="s">
        <v>1193</v>
      </c>
      <c r="P121" s="526">
        <v>46205</v>
      </c>
      <c r="S121" s="527">
        <v>0</v>
      </c>
    </row>
    <row r="122" spans="1:19" x14ac:dyDescent="0.2">
      <c r="A122" s="524">
        <v>69365</v>
      </c>
      <c r="B122" s="526">
        <v>46205</v>
      </c>
      <c r="C122" s="524" t="s">
        <v>1148</v>
      </c>
      <c r="D122" s="524" t="s">
        <v>1186</v>
      </c>
      <c r="E122" s="524" t="s">
        <v>1298</v>
      </c>
      <c r="F122" s="524" t="s">
        <v>1183</v>
      </c>
      <c r="G122" s="524" t="s">
        <v>763</v>
      </c>
      <c r="H122" s="527">
        <v>236.35</v>
      </c>
      <c r="I122" s="524" t="s">
        <v>1174</v>
      </c>
      <c r="J122" s="524">
        <f>IF(cmf[[#This Row],[D/C]]="C",cmf[[#This Row],[Valor]],-1*cmf[[#This Row],[Valor]])</f>
        <v>-236.35</v>
      </c>
      <c r="L122" s="524" t="s">
        <v>1188</v>
      </c>
      <c r="M122" s="524" t="s">
        <v>1189</v>
      </c>
      <c r="N122" s="524" t="s">
        <v>1180</v>
      </c>
      <c r="O122" s="524" t="s">
        <v>1181</v>
      </c>
      <c r="P122" s="526">
        <v>46205</v>
      </c>
      <c r="S122" s="527">
        <v>0</v>
      </c>
    </row>
    <row r="123" spans="1:19" x14ac:dyDescent="0.2">
      <c r="A123" s="524">
        <v>69366</v>
      </c>
      <c r="B123" s="526">
        <v>46205</v>
      </c>
      <c r="C123" s="524" t="s">
        <v>1148</v>
      </c>
      <c r="D123" s="524" t="s">
        <v>1239</v>
      </c>
      <c r="E123" s="524" t="s">
        <v>1297</v>
      </c>
      <c r="F123" s="524" t="s">
        <v>1183</v>
      </c>
      <c r="G123" s="524" t="s">
        <v>803</v>
      </c>
      <c r="H123" s="527">
        <v>169</v>
      </c>
      <c r="I123" s="524" t="s">
        <v>1174</v>
      </c>
      <c r="J123" s="524">
        <f>IF(cmf[[#This Row],[D/C]]="C",cmf[[#This Row],[Valor]],-1*cmf[[#This Row],[Valor]])</f>
        <v>-169</v>
      </c>
      <c r="L123" s="524" t="s">
        <v>1241</v>
      </c>
      <c r="M123" s="524" t="s">
        <v>1242</v>
      </c>
      <c r="N123" s="524" t="s">
        <v>1192</v>
      </c>
      <c r="O123" s="524" t="s">
        <v>1193</v>
      </c>
      <c r="P123" s="526">
        <v>46205</v>
      </c>
      <c r="S123" s="527">
        <v>0</v>
      </c>
    </row>
    <row r="124" spans="1:19" x14ac:dyDescent="0.2">
      <c r="A124" s="524">
        <v>69367</v>
      </c>
      <c r="B124" s="526">
        <v>46205</v>
      </c>
      <c r="C124" s="524" t="s">
        <v>1148</v>
      </c>
      <c r="D124" s="524" t="s">
        <v>1239</v>
      </c>
      <c r="E124" s="524" t="s">
        <v>1296</v>
      </c>
      <c r="F124" s="524" t="s">
        <v>1183</v>
      </c>
      <c r="G124" s="524" t="s">
        <v>803</v>
      </c>
      <c r="H124" s="527">
        <v>109.2</v>
      </c>
      <c r="I124" s="524" t="s">
        <v>1174</v>
      </c>
      <c r="J124" s="524">
        <f>IF(cmf[[#This Row],[D/C]]="C",cmf[[#This Row],[Valor]],-1*cmf[[#This Row],[Valor]])</f>
        <v>-109.2</v>
      </c>
      <c r="L124" s="524" t="s">
        <v>1241</v>
      </c>
      <c r="M124" s="524" t="s">
        <v>1242</v>
      </c>
      <c r="N124" s="524" t="s">
        <v>1192</v>
      </c>
      <c r="O124" s="524" t="s">
        <v>1193</v>
      </c>
      <c r="P124" s="526">
        <v>46205</v>
      </c>
      <c r="S124" s="527">
        <v>0</v>
      </c>
    </row>
    <row r="125" spans="1:19" x14ac:dyDescent="0.2">
      <c r="A125" s="524">
        <v>69397</v>
      </c>
      <c r="B125" s="526">
        <v>46205</v>
      </c>
      <c r="C125" s="524" t="s">
        <v>1148</v>
      </c>
      <c r="D125" s="524" t="s">
        <v>1226</v>
      </c>
      <c r="E125" s="524" t="s">
        <v>1299</v>
      </c>
      <c r="F125" s="524" t="s">
        <v>1170</v>
      </c>
      <c r="G125" s="524" t="s">
        <v>1102</v>
      </c>
      <c r="H125" s="527">
        <v>898.81</v>
      </c>
      <c r="I125" s="524" t="s">
        <v>1148</v>
      </c>
      <c r="J125" s="524">
        <f>IF(cmf[[#This Row],[D/C]]="C",cmf[[#This Row],[Valor]],-1*cmf[[#This Row],[Valor]])</f>
        <v>898.81</v>
      </c>
      <c r="L125" s="524" t="s">
        <v>1230</v>
      </c>
      <c r="M125" s="524" t="s">
        <v>1231</v>
      </c>
      <c r="N125" s="524" t="s">
        <v>1192</v>
      </c>
      <c r="O125" s="524" t="s">
        <v>1193</v>
      </c>
      <c r="P125" s="526">
        <v>46205</v>
      </c>
      <c r="S125" s="527">
        <v>0</v>
      </c>
    </row>
    <row r="126" spans="1:19" x14ac:dyDescent="0.2">
      <c r="A126" s="524">
        <v>69398</v>
      </c>
      <c r="B126" s="526">
        <v>46205</v>
      </c>
      <c r="C126" s="524" t="s">
        <v>1148</v>
      </c>
      <c r="D126" s="524" t="s">
        <v>1226</v>
      </c>
      <c r="E126" s="524" t="s">
        <v>1300</v>
      </c>
      <c r="F126" s="524" t="s">
        <v>1170</v>
      </c>
      <c r="G126" s="524" t="s">
        <v>1102</v>
      </c>
      <c r="H126" s="527">
        <v>118.29</v>
      </c>
      <c r="I126" s="524" t="s">
        <v>1148</v>
      </c>
      <c r="J126" s="524">
        <f>IF(cmf[[#This Row],[D/C]]="C",cmf[[#This Row],[Valor]],-1*cmf[[#This Row],[Valor]])</f>
        <v>118.29</v>
      </c>
      <c r="L126" s="524" t="s">
        <v>1230</v>
      </c>
      <c r="M126" s="524" t="s">
        <v>1231</v>
      </c>
      <c r="N126" s="524" t="s">
        <v>1192</v>
      </c>
      <c r="O126" s="524" t="s">
        <v>1193</v>
      </c>
      <c r="P126" s="526">
        <v>46205</v>
      </c>
      <c r="S126" s="527">
        <v>0</v>
      </c>
    </row>
    <row r="127" spans="1:19" x14ac:dyDescent="0.2">
      <c r="A127" s="524">
        <v>69399</v>
      </c>
      <c r="B127" s="526">
        <v>46205</v>
      </c>
      <c r="C127" s="524" t="s">
        <v>1148</v>
      </c>
      <c r="D127" s="524" t="s">
        <v>1226</v>
      </c>
      <c r="E127" s="524" t="s">
        <v>1301</v>
      </c>
      <c r="F127" s="524" t="s">
        <v>1170</v>
      </c>
      <c r="G127" s="524" t="s">
        <v>1102</v>
      </c>
      <c r="H127" s="527">
        <v>950.51</v>
      </c>
      <c r="I127" s="524" t="s">
        <v>1148</v>
      </c>
      <c r="J127" s="524">
        <f>IF(cmf[[#This Row],[D/C]]="C",cmf[[#This Row],[Valor]],-1*cmf[[#This Row],[Valor]])</f>
        <v>950.51</v>
      </c>
      <c r="L127" s="524" t="s">
        <v>1230</v>
      </c>
      <c r="M127" s="524" t="s">
        <v>1231</v>
      </c>
      <c r="N127" s="524" t="s">
        <v>1192</v>
      </c>
      <c r="O127" s="524" t="s">
        <v>1193</v>
      </c>
      <c r="P127" s="526">
        <v>46205</v>
      </c>
      <c r="S127" s="527">
        <v>0</v>
      </c>
    </row>
    <row r="128" spans="1:19" x14ac:dyDescent="0.2">
      <c r="A128" s="524">
        <v>69400</v>
      </c>
      <c r="B128" s="526">
        <v>46205</v>
      </c>
      <c r="C128" s="524" t="s">
        <v>1148</v>
      </c>
      <c r="D128" s="524" t="s">
        <v>1226</v>
      </c>
      <c r="E128" s="524" t="s">
        <v>1302</v>
      </c>
      <c r="F128" s="524" t="s">
        <v>1170</v>
      </c>
      <c r="G128" s="524" t="s">
        <v>1102</v>
      </c>
      <c r="H128" s="527">
        <v>247.04</v>
      </c>
      <c r="I128" s="524" t="s">
        <v>1148</v>
      </c>
      <c r="J128" s="524">
        <f>IF(cmf[[#This Row],[D/C]]="C",cmf[[#This Row],[Valor]],-1*cmf[[#This Row],[Valor]])</f>
        <v>247.04</v>
      </c>
      <c r="L128" s="524" t="s">
        <v>1230</v>
      </c>
      <c r="M128" s="524" t="s">
        <v>1231</v>
      </c>
      <c r="N128" s="524" t="s">
        <v>1192</v>
      </c>
      <c r="O128" s="524" t="s">
        <v>1193</v>
      </c>
      <c r="P128" s="526">
        <v>46205</v>
      </c>
      <c r="S128" s="527">
        <v>0</v>
      </c>
    </row>
    <row r="129" spans="1:19" x14ac:dyDescent="0.2">
      <c r="A129" s="524">
        <v>69401</v>
      </c>
      <c r="B129" s="526">
        <v>46205</v>
      </c>
      <c r="C129" s="524" t="s">
        <v>1148</v>
      </c>
      <c r="D129" s="524" t="s">
        <v>1226</v>
      </c>
      <c r="E129" s="524" t="s">
        <v>1303</v>
      </c>
      <c r="F129" s="524" t="s">
        <v>1170</v>
      </c>
      <c r="G129" s="524" t="s">
        <v>1102</v>
      </c>
      <c r="H129" s="527">
        <v>254.61</v>
      </c>
      <c r="I129" s="524" t="s">
        <v>1148</v>
      </c>
      <c r="J129" s="524">
        <f>IF(cmf[[#This Row],[D/C]]="C",cmf[[#This Row],[Valor]],-1*cmf[[#This Row],[Valor]])</f>
        <v>254.61</v>
      </c>
      <c r="L129" s="524" t="s">
        <v>1230</v>
      </c>
      <c r="M129" s="524" t="s">
        <v>1231</v>
      </c>
      <c r="N129" s="524" t="s">
        <v>1192</v>
      </c>
      <c r="O129" s="524" t="s">
        <v>1193</v>
      </c>
      <c r="P129" s="526">
        <v>46205</v>
      </c>
      <c r="S129" s="527">
        <v>0</v>
      </c>
    </row>
    <row r="130" spans="1:19" x14ac:dyDescent="0.2">
      <c r="A130" s="524">
        <v>69451</v>
      </c>
      <c r="B130" s="526">
        <v>46205</v>
      </c>
      <c r="C130" s="524" t="s">
        <v>1148</v>
      </c>
      <c r="D130" s="524" t="s">
        <v>1239</v>
      </c>
      <c r="E130" s="524" t="s">
        <v>1297</v>
      </c>
      <c r="F130" s="524" t="s">
        <v>1183</v>
      </c>
      <c r="G130" s="524" t="s">
        <v>1304</v>
      </c>
      <c r="H130" s="527">
        <v>169</v>
      </c>
      <c r="I130" s="524" t="s">
        <v>1174</v>
      </c>
      <c r="J130" s="524">
        <f>IF(cmf[[#This Row],[D/C]]="C",cmf[[#This Row],[Valor]],-1*cmf[[#This Row],[Valor]])</f>
        <v>-169</v>
      </c>
      <c r="L130" s="524" t="s">
        <v>1241</v>
      </c>
      <c r="M130" s="524" t="s">
        <v>1242</v>
      </c>
      <c r="N130" s="524" t="s">
        <v>1305</v>
      </c>
      <c r="O130" s="524" t="s">
        <v>1306</v>
      </c>
      <c r="P130" s="526">
        <v>46205</v>
      </c>
      <c r="S130" s="527">
        <v>0</v>
      </c>
    </row>
    <row r="131" spans="1:19" x14ac:dyDescent="0.2">
      <c r="A131" s="524">
        <v>69452</v>
      </c>
      <c r="B131" s="526">
        <v>46205</v>
      </c>
      <c r="C131" s="524" t="s">
        <v>1148</v>
      </c>
      <c r="D131" s="524" t="s">
        <v>1243</v>
      </c>
      <c r="E131" s="524" t="s">
        <v>1244</v>
      </c>
      <c r="F131" s="524" t="s">
        <v>1183</v>
      </c>
      <c r="G131" s="524" t="s">
        <v>1304</v>
      </c>
      <c r="H131" s="527">
        <v>168.97</v>
      </c>
      <c r="I131" s="524" t="s">
        <v>1148</v>
      </c>
      <c r="J131" s="524">
        <f>IF(cmf[[#This Row],[D/C]]="C",cmf[[#This Row],[Valor]],-1*cmf[[#This Row],[Valor]])</f>
        <v>168.97</v>
      </c>
      <c r="L131" s="524" t="s">
        <v>1245</v>
      </c>
      <c r="M131" s="524" t="s">
        <v>1246</v>
      </c>
      <c r="N131" s="524" t="s">
        <v>1305</v>
      </c>
      <c r="O131" s="524" t="s">
        <v>1306</v>
      </c>
      <c r="P131" s="526">
        <v>46205</v>
      </c>
      <c r="S131" s="527">
        <v>0</v>
      </c>
    </row>
    <row r="132" spans="1:19" x14ac:dyDescent="0.2">
      <c r="A132" s="524">
        <v>69453</v>
      </c>
      <c r="B132" s="526">
        <v>46205</v>
      </c>
      <c r="C132" s="524" t="s">
        <v>1148</v>
      </c>
      <c r="D132" s="524" t="s">
        <v>1243</v>
      </c>
      <c r="E132" s="524" t="s">
        <v>1244</v>
      </c>
      <c r="F132" s="524" t="s">
        <v>1183</v>
      </c>
      <c r="G132" s="524" t="s">
        <v>1304</v>
      </c>
      <c r="H132" s="527">
        <v>0.03</v>
      </c>
      <c r="I132" s="524" t="s">
        <v>1148</v>
      </c>
      <c r="J132" s="524">
        <f>IF(cmf[[#This Row],[D/C]]="C",cmf[[#This Row],[Valor]],-1*cmf[[#This Row],[Valor]])</f>
        <v>0.03</v>
      </c>
      <c r="L132" s="524" t="s">
        <v>1245</v>
      </c>
      <c r="M132" s="524" t="s">
        <v>1246</v>
      </c>
      <c r="N132" s="524" t="s">
        <v>1305</v>
      </c>
      <c r="O132" s="524" t="s">
        <v>1306</v>
      </c>
      <c r="P132" s="526">
        <v>46205</v>
      </c>
      <c r="S132" s="527">
        <v>0</v>
      </c>
    </row>
    <row r="133" spans="1:19" x14ac:dyDescent="0.2">
      <c r="A133" s="524">
        <v>69467</v>
      </c>
      <c r="B133" s="526">
        <v>46205</v>
      </c>
      <c r="C133" s="524" t="s">
        <v>1148</v>
      </c>
      <c r="D133" s="524" t="s">
        <v>1239</v>
      </c>
      <c r="E133" s="524" t="s">
        <v>1297</v>
      </c>
      <c r="F133" s="524" t="s">
        <v>1183</v>
      </c>
      <c r="G133" s="524" t="s">
        <v>766</v>
      </c>
      <c r="H133" s="527">
        <v>169</v>
      </c>
      <c r="I133" s="524" t="s">
        <v>1174</v>
      </c>
      <c r="J133" s="524">
        <f>IF(cmf[[#This Row],[D/C]]="C",cmf[[#This Row],[Valor]],-1*cmf[[#This Row],[Valor]])</f>
        <v>-169</v>
      </c>
      <c r="L133" s="524" t="s">
        <v>1241</v>
      </c>
      <c r="M133" s="524" t="s">
        <v>1242</v>
      </c>
      <c r="N133" s="524" t="s">
        <v>1200</v>
      </c>
      <c r="O133" s="524" t="s">
        <v>1201</v>
      </c>
      <c r="P133" s="526">
        <v>46205</v>
      </c>
      <c r="S133" s="527">
        <v>0</v>
      </c>
    </row>
    <row r="134" spans="1:19" x14ac:dyDescent="0.2">
      <c r="A134" s="524">
        <v>69468</v>
      </c>
      <c r="B134" s="526">
        <v>46205</v>
      </c>
      <c r="C134" s="524" t="s">
        <v>1148</v>
      </c>
      <c r="D134" s="524" t="s">
        <v>1243</v>
      </c>
      <c r="E134" s="524" t="s">
        <v>1244</v>
      </c>
      <c r="F134" s="524" t="s">
        <v>1183</v>
      </c>
      <c r="G134" s="524" t="s">
        <v>766</v>
      </c>
      <c r="H134" s="527">
        <v>169</v>
      </c>
      <c r="I134" s="524" t="s">
        <v>1148</v>
      </c>
      <c r="J134" s="524">
        <f>IF(cmf[[#This Row],[D/C]]="C",cmf[[#This Row],[Valor]],-1*cmf[[#This Row],[Valor]])</f>
        <v>169</v>
      </c>
      <c r="L134" s="524" t="s">
        <v>1245</v>
      </c>
      <c r="M134" s="524" t="s">
        <v>1246</v>
      </c>
      <c r="N134" s="524" t="s">
        <v>1200</v>
      </c>
      <c r="O134" s="524" t="s">
        <v>1201</v>
      </c>
      <c r="P134" s="526">
        <v>46205</v>
      </c>
      <c r="S134" s="527">
        <v>0</v>
      </c>
    </row>
    <row r="135" spans="1:19" x14ac:dyDescent="0.2">
      <c r="A135" s="524">
        <v>69864</v>
      </c>
      <c r="B135" s="526">
        <v>46205</v>
      </c>
      <c r="C135" s="524" t="s">
        <v>1148</v>
      </c>
      <c r="D135" s="524" t="s">
        <v>1243</v>
      </c>
      <c r="E135" s="524" t="s">
        <v>1244</v>
      </c>
      <c r="F135" s="524" t="s">
        <v>1183</v>
      </c>
      <c r="G135" s="524" t="s">
        <v>769</v>
      </c>
      <c r="H135" s="527">
        <v>370.53</v>
      </c>
      <c r="I135" s="524" t="s">
        <v>1148</v>
      </c>
      <c r="J135" s="524">
        <f>IF(cmf[[#This Row],[D/C]]="C",cmf[[#This Row],[Valor]],-1*cmf[[#This Row],[Valor]])</f>
        <v>370.53</v>
      </c>
      <c r="L135" s="524" t="s">
        <v>1245</v>
      </c>
      <c r="M135" s="524" t="s">
        <v>1246</v>
      </c>
      <c r="N135" s="524" t="s">
        <v>1219</v>
      </c>
      <c r="O135" s="524" t="s">
        <v>1220</v>
      </c>
      <c r="P135" s="526">
        <v>46205</v>
      </c>
      <c r="S135" s="527">
        <v>0</v>
      </c>
    </row>
    <row r="136" spans="1:19" x14ac:dyDescent="0.2">
      <c r="A136" s="524">
        <v>69870</v>
      </c>
      <c r="B136" s="526">
        <v>46205</v>
      </c>
      <c r="C136" s="524" t="s">
        <v>1148</v>
      </c>
      <c r="D136" s="524" t="s">
        <v>1243</v>
      </c>
      <c r="E136" s="524" t="s">
        <v>1244</v>
      </c>
      <c r="F136" s="524" t="s">
        <v>1183</v>
      </c>
      <c r="G136" s="524" t="s">
        <v>769</v>
      </c>
      <c r="H136" s="527">
        <v>0.01</v>
      </c>
      <c r="I136" s="524" t="s">
        <v>1148</v>
      </c>
      <c r="J136" s="524">
        <f>IF(cmf[[#This Row],[D/C]]="C",cmf[[#This Row],[Valor]],-1*cmf[[#This Row],[Valor]])</f>
        <v>0.01</v>
      </c>
      <c r="L136" s="524" t="s">
        <v>1245</v>
      </c>
      <c r="M136" s="524" t="s">
        <v>1246</v>
      </c>
      <c r="N136" s="524" t="s">
        <v>1219</v>
      </c>
      <c r="O136" s="524" t="s">
        <v>1220</v>
      </c>
      <c r="P136" s="526">
        <v>46205</v>
      </c>
      <c r="S136" s="527">
        <v>0</v>
      </c>
    </row>
    <row r="137" spans="1:19" x14ac:dyDescent="0.2">
      <c r="A137" s="524">
        <v>70141</v>
      </c>
      <c r="B137" s="526">
        <v>46205</v>
      </c>
      <c r="C137" s="524" t="s">
        <v>1162</v>
      </c>
      <c r="D137" s="524" t="s">
        <v>1186</v>
      </c>
      <c r="E137" s="524" t="s">
        <v>1307</v>
      </c>
      <c r="F137" s="524" t="s">
        <v>1308</v>
      </c>
      <c r="G137" s="524" t="s">
        <v>1229</v>
      </c>
      <c r="H137" s="527">
        <v>0</v>
      </c>
      <c r="I137" s="524" t="s">
        <v>1174</v>
      </c>
      <c r="J137" s="524">
        <f>IF(cmf[[#This Row],[D/C]]="C",cmf[[#This Row],[Valor]],-1*cmf[[#This Row],[Valor]])</f>
        <v>0</v>
      </c>
      <c r="L137" s="524" t="s">
        <v>1188</v>
      </c>
      <c r="M137" s="524" t="s">
        <v>1189</v>
      </c>
      <c r="N137" s="524" t="s">
        <v>1292</v>
      </c>
      <c r="O137" s="524" t="s">
        <v>1293</v>
      </c>
      <c r="P137" s="526"/>
      <c r="S137" s="527">
        <v>0</v>
      </c>
    </row>
    <row r="138" spans="1:19" x14ac:dyDescent="0.2">
      <c r="A138" s="524">
        <v>70204</v>
      </c>
      <c r="B138" s="526">
        <v>46205</v>
      </c>
      <c r="C138" s="524" t="s">
        <v>1148</v>
      </c>
      <c r="D138" s="524" t="s">
        <v>1243</v>
      </c>
      <c r="E138" s="524" t="s">
        <v>1244</v>
      </c>
      <c r="F138" s="524" t="s">
        <v>1183</v>
      </c>
      <c r="G138" s="524" t="s">
        <v>758</v>
      </c>
      <c r="H138" s="527">
        <v>320.24</v>
      </c>
      <c r="I138" s="524" t="s">
        <v>1148</v>
      </c>
      <c r="J138" s="524">
        <f>IF(cmf[[#This Row],[D/C]]="C",cmf[[#This Row],[Valor]],-1*cmf[[#This Row],[Valor]])</f>
        <v>320.24</v>
      </c>
      <c r="L138" s="524" t="s">
        <v>1245</v>
      </c>
      <c r="M138" s="524" t="s">
        <v>1246</v>
      </c>
      <c r="N138" s="524" t="s">
        <v>1223</v>
      </c>
      <c r="O138" s="524" t="s">
        <v>1224</v>
      </c>
      <c r="P138" s="526">
        <v>46205</v>
      </c>
      <c r="S138" s="527">
        <v>0</v>
      </c>
    </row>
    <row r="139" spans="1:19" x14ac:dyDescent="0.2">
      <c r="A139" s="524">
        <v>70210</v>
      </c>
      <c r="B139" s="526">
        <v>46205</v>
      </c>
      <c r="C139" s="524" t="s">
        <v>1148</v>
      </c>
      <c r="D139" s="524" t="s">
        <v>1243</v>
      </c>
      <c r="E139" s="524" t="s">
        <v>1244</v>
      </c>
      <c r="F139" s="524" t="s">
        <v>1183</v>
      </c>
      <c r="G139" s="524" t="s">
        <v>758</v>
      </c>
      <c r="H139" s="527">
        <v>0.01</v>
      </c>
      <c r="I139" s="524" t="s">
        <v>1148</v>
      </c>
      <c r="J139" s="524">
        <f>IF(cmf[[#This Row],[D/C]]="C",cmf[[#This Row],[Valor]],-1*cmf[[#This Row],[Valor]])</f>
        <v>0.01</v>
      </c>
      <c r="L139" s="524" t="s">
        <v>1245</v>
      </c>
      <c r="M139" s="524" t="s">
        <v>1246</v>
      </c>
      <c r="N139" s="524" t="s">
        <v>1223</v>
      </c>
      <c r="O139" s="524" t="s">
        <v>1224</v>
      </c>
      <c r="P139" s="526">
        <v>46205</v>
      </c>
      <c r="S139" s="527">
        <v>0</v>
      </c>
    </row>
    <row r="140" spans="1:19" x14ac:dyDescent="0.2">
      <c r="A140" s="524">
        <v>70220</v>
      </c>
      <c r="B140" s="526">
        <v>46205</v>
      </c>
      <c r="C140" s="524" t="s">
        <v>1148</v>
      </c>
      <c r="D140" s="524" t="s">
        <v>1243</v>
      </c>
      <c r="E140" s="524" t="s">
        <v>1244</v>
      </c>
      <c r="F140" s="524" t="s">
        <v>1183</v>
      </c>
      <c r="G140" s="524" t="s">
        <v>763</v>
      </c>
      <c r="H140" s="527">
        <v>405.32</v>
      </c>
      <c r="I140" s="524" t="s">
        <v>1148</v>
      </c>
      <c r="J140" s="524">
        <f>IF(cmf[[#This Row],[D/C]]="C",cmf[[#This Row],[Valor]],-1*cmf[[#This Row],[Valor]])</f>
        <v>405.32</v>
      </c>
      <c r="L140" s="524" t="s">
        <v>1245</v>
      </c>
      <c r="M140" s="524" t="s">
        <v>1246</v>
      </c>
      <c r="N140" s="524" t="s">
        <v>1180</v>
      </c>
      <c r="O140" s="524" t="s">
        <v>1181</v>
      </c>
      <c r="P140" s="526">
        <v>46205</v>
      </c>
      <c r="S140" s="527">
        <v>0</v>
      </c>
    </row>
    <row r="141" spans="1:19" x14ac:dyDescent="0.2">
      <c r="A141" s="524">
        <v>70224</v>
      </c>
      <c r="B141" s="526">
        <v>46205</v>
      </c>
      <c r="C141" s="524" t="s">
        <v>1148</v>
      </c>
      <c r="D141" s="524" t="s">
        <v>1243</v>
      </c>
      <c r="E141" s="524" t="s">
        <v>1244</v>
      </c>
      <c r="F141" s="524" t="s">
        <v>1183</v>
      </c>
      <c r="G141" s="524" t="s">
        <v>763</v>
      </c>
      <c r="H141" s="527">
        <v>0.03</v>
      </c>
      <c r="I141" s="524" t="s">
        <v>1148</v>
      </c>
      <c r="J141" s="524">
        <f>IF(cmf[[#This Row],[D/C]]="C",cmf[[#This Row],[Valor]],-1*cmf[[#This Row],[Valor]])</f>
        <v>0.03</v>
      </c>
      <c r="L141" s="524" t="s">
        <v>1245</v>
      </c>
      <c r="M141" s="524" t="s">
        <v>1246</v>
      </c>
      <c r="N141" s="524" t="s">
        <v>1180</v>
      </c>
      <c r="O141" s="524" t="s">
        <v>1181</v>
      </c>
      <c r="P141" s="526">
        <v>46205</v>
      </c>
      <c r="S141" s="527">
        <v>0</v>
      </c>
    </row>
    <row r="142" spans="1:19" x14ac:dyDescent="0.2">
      <c r="A142" s="524">
        <v>70228</v>
      </c>
      <c r="B142" s="526">
        <v>46205</v>
      </c>
      <c r="C142" s="524" t="s">
        <v>1148</v>
      </c>
      <c r="D142" s="524" t="s">
        <v>1243</v>
      </c>
      <c r="E142" s="524" t="s">
        <v>1266</v>
      </c>
      <c r="F142" s="524" t="s">
        <v>1183</v>
      </c>
      <c r="G142" s="524" t="s">
        <v>806</v>
      </c>
      <c r="H142" s="527">
        <v>200918.34</v>
      </c>
      <c r="I142" s="524" t="s">
        <v>1174</v>
      </c>
      <c r="J142" s="524">
        <f>IF(cmf[[#This Row],[D/C]]="C",cmf[[#This Row],[Valor]],-1*cmf[[#This Row],[Valor]])</f>
        <v>-200918.34</v>
      </c>
      <c r="L142" s="524" t="s">
        <v>1245</v>
      </c>
      <c r="M142" s="524" t="s">
        <v>1246</v>
      </c>
      <c r="N142" s="524" t="s">
        <v>1283</v>
      </c>
      <c r="O142" s="524" t="s">
        <v>1284</v>
      </c>
      <c r="P142" s="526">
        <v>46205</v>
      </c>
      <c r="S142" s="527">
        <v>0</v>
      </c>
    </row>
    <row r="143" spans="1:19" x14ac:dyDescent="0.2">
      <c r="A143" s="524">
        <v>70269</v>
      </c>
      <c r="B143" s="526">
        <v>46205</v>
      </c>
      <c r="C143" s="524" t="s">
        <v>1148</v>
      </c>
      <c r="D143" s="524" t="s">
        <v>1243</v>
      </c>
      <c r="E143" s="524" t="s">
        <v>1244</v>
      </c>
      <c r="F143" s="524" t="s">
        <v>1183</v>
      </c>
      <c r="G143" s="524" t="s">
        <v>745</v>
      </c>
      <c r="H143" s="527">
        <v>8083.73</v>
      </c>
      <c r="I143" s="524" t="s">
        <v>1148</v>
      </c>
      <c r="J143" s="524">
        <f>IF(cmf[[#This Row],[D/C]]="C",cmf[[#This Row],[Valor]],-1*cmf[[#This Row],[Valor]])</f>
        <v>8083.73</v>
      </c>
      <c r="L143" s="524" t="s">
        <v>1245</v>
      </c>
      <c r="M143" s="524" t="s">
        <v>1246</v>
      </c>
      <c r="N143" s="524" t="s">
        <v>1292</v>
      </c>
      <c r="O143" s="524" t="s">
        <v>1293</v>
      </c>
      <c r="P143" s="526">
        <v>46205</v>
      </c>
      <c r="S143" s="527">
        <v>0</v>
      </c>
    </row>
    <row r="144" spans="1:19" x14ac:dyDescent="0.2">
      <c r="A144" s="524">
        <v>70283</v>
      </c>
      <c r="B144" s="526">
        <v>46205</v>
      </c>
      <c r="C144" s="524" t="s">
        <v>1148</v>
      </c>
      <c r="D144" s="524" t="s">
        <v>1239</v>
      </c>
      <c r="E144" s="524" t="s">
        <v>1309</v>
      </c>
      <c r="F144" s="524" t="s">
        <v>1183</v>
      </c>
      <c r="G144" s="524" t="s">
        <v>745</v>
      </c>
      <c r="H144" s="527">
        <v>83.76</v>
      </c>
      <c r="I144" s="524" t="s">
        <v>1174</v>
      </c>
      <c r="J144" s="524">
        <f>IF(cmf[[#This Row],[D/C]]="C",cmf[[#This Row],[Valor]],-1*cmf[[#This Row],[Valor]])</f>
        <v>-83.76</v>
      </c>
      <c r="L144" s="524" t="s">
        <v>1241</v>
      </c>
      <c r="M144" s="524" t="s">
        <v>1242</v>
      </c>
      <c r="N144" s="524" t="s">
        <v>1292</v>
      </c>
      <c r="O144" s="524" t="s">
        <v>1293</v>
      </c>
      <c r="P144" s="526">
        <v>46205</v>
      </c>
      <c r="S144" s="527">
        <v>0</v>
      </c>
    </row>
    <row r="145" spans="1:19" x14ac:dyDescent="0.2">
      <c r="A145" s="524">
        <v>70535</v>
      </c>
      <c r="B145" s="526">
        <v>46205</v>
      </c>
      <c r="C145" s="524" t="s">
        <v>1148</v>
      </c>
      <c r="D145" s="524" t="s">
        <v>1239</v>
      </c>
      <c r="E145" s="524" t="s">
        <v>1310</v>
      </c>
      <c r="F145" s="524" t="s">
        <v>1178</v>
      </c>
      <c r="G145" s="524" t="s">
        <v>1179</v>
      </c>
      <c r="H145" s="527">
        <v>300</v>
      </c>
      <c r="I145" s="524" t="s">
        <v>1174</v>
      </c>
      <c r="J145" s="524">
        <f>IF(cmf[[#This Row],[D/C]]="C",cmf[[#This Row],[Valor]],-1*cmf[[#This Row],[Valor]])</f>
        <v>-300</v>
      </c>
      <c r="L145" s="524" t="s">
        <v>1241</v>
      </c>
      <c r="M145" s="524" t="s">
        <v>1242</v>
      </c>
      <c r="N145" s="524" t="s">
        <v>1180</v>
      </c>
      <c r="O145" s="524" t="s">
        <v>1181</v>
      </c>
      <c r="P145" s="526">
        <v>46205</v>
      </c>
      <c r="S145" s="527">
        <v>0</v>
      </c>
    </row>
    <row r="146" spans="1:19" x14ac:dyDescent="0.2">
      <c r="A146" s="524">
        <v>70541</v>
      </c>
      <c r="B146" s="526">
        <v>46205</v>
      </c>
      <c r="C146" s="524" t="s">
        <v>1148</v>
      </c>
      <c r="D146" s="524" t="s">
        <v>1239</v>
      </c>
      <c r="E146" s="524" t="s">
        <v>1251</v>
      </c>
      <c r="F146" s="524" t="s">
        <v>1178</v>
      </c>
      <c r="G146" s="524" t="s">
        <v>1179</v>
      </c>
      <c r="H146" s="527">
        <v>5</v>
      </c>
      <c r="I146" s="524" t="s">
        <v>1174</v>
      </c>
      <c r="J146" s="524">
        <f>IF(cmf[[#This Row],[D/C]]="C",cmf[[#This Row],[Valor]],-1*cmf[[#This Row],[Valor]])</f>
        <v>-5</v>
      </c>
      <c r="L146" s="524" t="s">
        <v>1241</v>
      </c>
      <c r="M146" s="524" t="s">
        <v>1242</v>
      </c>
      <c r="N146" s="524" t="s">
        <v>1180</v>
      </c>
      <c r="O146" s="524" t="s">
        <v>1181</v>
      </c>
      <c r="P146" s="526">
        <v>46205</v>
      </c>
      <c r="S146" s="527">
        <v>0</v>
      </c>
    </row>
    <row r="147" spans="1:19" x14ac:dyDescent="0.2">
      <c r="A147" s="524">
        <v>70594</v>
      </c>
      <c r="B147" s="526">
        <v>46205</v>
      </c>
      <c r="C147" s="524" t="s">
        <v>1148</v>
      </c>
      <c r="D147" s="524" t="s">
        <v>1239</v>
      </c>
      <c r="E147" s="524" t="s">
        <v>1311</v>
      </c>
      <c r="F147" s="524" t="s">
        <v>1178</v>
      </c>
      <c r="G147" s="524" t="s">
        <v>1179</v>
      </c>
      <c r="H147" s="527">
        <v>159.22</v>
      </c>
      <c r="I147" s="524" t="s">
        <v>1174</v>
      </c>
      <c r="J147" s="524">
        <f>IF(cmf[[#This Row],[D/C]]="C",cmf[[#This Row],[Valor]],-1*cmf[[#This Row],[Valor]])</f>
        <v>-159.22</v>
      </c>
      <c r="L147" s="524" t="s">
        <v>1241</v>
      </c>
      <c r="M147" s="524" t="s">
        <v>1242</v>
      </c>
      <c r="N147" s="524" t="s">
        <v>1180</v>
      </c>
      <c r="O147" s="524" t="s">
        <v>1181</v>
      </c>
      <c r="P147" s="526">
        <v>46205</v>
      </c>
      <c r="S147" s="527">
        <v>0</v>
      </c>
    </row>
    <row r="148" spans="1:19" x14ac:dyDescent="0.2">
      <c r="A148" s="524">
        <v>70607</v>
      </c>
      <c r="B148" s="526">
        <v>46205</v>
      </c>
      <c r="C148" s="524" t="s">
        <v>1148</v>
      </c>
      <c r="D148" s="524" t="s">
        <v>1239</v>
      </c>
      <c r="E148" s="524" t="s">
        <v>1253</v>
      </c>
      <c r="F148" s="524" t="s">
        <v>1170</v>
      </c>
      <c r="G148" s="524" t="s">
        <v>802</v>
      </c>
      <c r="H148" s="527">
        <v>0.2</v>
      </c>
      <c r="I148" s="524" t="s">
        <v>1174</v>
      </c>
      <c r="J148" s="524">
        <f>IF(cmf[[#This Row],[D/C]]="C",cmf[[#This Row],[Valor]],-1*cmf[[#This Row],[Valor]])</f>
        <v>-0.2</v>
      </c>
      <c r="L148" s="524" t="s">
        <v>1241</v>
      </c>
      <c r="M148" s="524" t="s">
        <v>1242</v>
      </c>
      <c r="N148" s="524" t="s">
        <v>1192</v>
      </c>
      <c r="O148" s="524" t="s">
        <v>1193</v>
      </c>
      <c r="P148" s="526">
        <v>46205</v>
      </c>
      <c r="S148" s="527">
        <v>0</v>
      </c>
    </row>
    <row r="149" spans="1:19" x14ac:dyDescent="0.2">
      <c r="A149" s="524">
        <v>70626</v>
      </c>
      <c r="B149" s="526">
        <v>46205</v>
      </c>
      <c r="C149" s="524" t="s">
        <v>1148</v>
      </c>
      <c r="D149" s="524" t="s">
        <v>1243</v>
      </c>
      <c r="E149" s="524" t="s">
        <v>1254</v>
      </c>
      <c r="F149" s="524" t="s">
        <v>1178</v>
      </c>
      <c r="G149" s="524" t="s">
        <v>1179</v>
      </c>
      <c r="H149" s="527">
        <v>124294.81</v>
      </c>
      <c r="I149" s="524" t="s">
        <v>1148</v>
      </c>
      <c r="J149" s="524">
        <f>IF(cmf[[#This Row],[D/C]]="C",cmf[[#This Row],[Valor]],-1*cmf[[#This Row],[Valor]])</f>
        <v>124294.81</v>
      </c>
      <c r="L149" s="524" t="s">
        <v>1245</v>
      </c>
      <c r="M149" s="524" t="s">
        <v>1246</v>
      </c>
      <c r="N149" s="524" t="s">
        <v>1180</v>
      </c>
      <c r="O149" s="524" t="s">
        <v>1181</v>
      </c>
      <c r="P149" s="526">
        <v>46205</v>
      </c>
      <c r="S149" s="527">
        <v>0</v>
      </c>
    </row>
    <row r="150" spans="1:19" x14ac:dyDescent="0.2">
      <c r="A150" s="524">
        <v>70640</v>
      </c>
      <c r="B150" s="526">
        <v>46205</v>
      </c>
      <c r="C150" s="524" t="s">
        <v>1148</v>
      </c>
      <c r="D150" s="524" t="s">
        <v>1235</v>
      </c>
      <c r="E150" s="524" t="s">
        <v>1294</v>
      </c>
      <c r="F150" s="524" t="s">
        <v>1178</v>
      </c>
      <c r="G150" s="524" t="s">
        <v>1179</v>
      </c>
      <c r="H150" s="527">
        <v>6380.18</v>
      </c>
      <c r="I150" s="524" t="s">
        <v>1174</v>
      </c>
      <c r="J150" s="524">
        <f>IF(cmf[[#This Row],[D/C]]="C",cmf[[#This Row],[Valor]],-1*cmf[[#This Row],[Valor]])</f>
        <v>-6380.18</v>
      </c>
      <c r="L150" s="524" t="s">
        <v>1237</v>
      </c>
      <c r="M150" s="524" t="s">
        <v>1238</v>
      </c>
      <c r="N150" s="524" t="s">
        <v>1180</v>
      </c>
      <c r="O150" s="524" t="s">
        <v>1181</v>
      </c>
      <c r="P150" s="526">
        <v>46205</v>
      </c>
      <c r="S150" s="527">
        <v>0</v>
      </c>
    </row>
    <row r="151" spans="1:19" x14ac:dyDescent="0.2">
      <c r="A151" s="524">
        <v>70689</v>
      </c>
      <c r="B151" s="526">
        <v>46205</v>
      </c>
      <c r="C151" s="524" t="s">
        <v>1148</v>
      </c>
      <c r="D151" s="524" t="s">
        <v>1239</v>
      </c>
      <c r="E151" s="524" t="s">
        <v>1312</v>
      </c>
      <c r="F151" s="524" t="s">
        <v>1170</v>
      </c>
      <c r="G151" s="524" t="s">
        <v>749</v>
      </c>
      <c r="H151" s="527">
        <v>10</v>
      </c>
      <c r="I151" s="524" t="s">
        <v>1174</v>
      </c>
      <c r="J151" s="524">
        <f>IF(cmf[[#This Row],[D/C]]="C",cmf[[#This Row],[Valor]],-1*cmf[[#This Row],[Valor]])</f>
        <v>-10</v>
      </c>
      <c r="L151" s="524" t="s">
        <v>1313</v>
      </c>
      <c r="M151" s="524" t="s">
        <v>1314</v>
      </c>
      <c r="N151" s="524" t="s">
        <v>1256</v>
      </c>
      <c r="O151" s="524" t="s">
        <v>1257</v>
      </c>
      <c r="P151" s="526">
        <v>46205</v>
      </c>
      <c r="S151" s="527">
        <v>0</v>
      </c>
    </row>
    <row r="152" spans="1:19" x14ac:dyDescent="0.2">
      <c r="A152" s="524">
        <v>70739</v>
      </c>
      <c r="B152" s="526">
        <v>46205</v>
      </c>
      <c r="C152" s="524" t="s">
        <v>1148</v>
      </c>
      <c r="D152" s="524" t="s">
        <v>1239</v>
      </c>
      <c r="E152" s="524" t="s">
        <v>1315</v>
      </c>
      <c r="F152" s="524" t="s">
        <v>1170</v>
      </c>
      <c r="G152" s="524" t="s">
        <v>757</v>
      </c>
      <c r="H152" s="527">
        <v>1.2</v>
      </c>
      <c r="I152" s="524" t="s">
        <v>1174</v>
      </c>
      <c r="J152" s="524">
        <f>IF(cmf[[#This Row],[D/C]]="C",cmf[[#This Row],[Valor]],-1*cmf[[#This Row],[Valor]])</f>
        <v>-1.2</v>
      </c>
      <c r="L152" s="524" t="s">
        <v>1241</v>
      </c>
      <c r="M152" s="524" t="s">
        <v>1242</v>
      </c>
      <c r="N152" s="524" t="s">
        <v>1223</v>
      </c>
      <c r="O152" s="524" t="s">
        <v>1224</v>
      </c>
      <c r="P152" s="526">
        <v>46205</v>
      </c>
      <c r="S152" s="527">
        <v>0</v>
      </c>
    </row>
    <row r="153" spans="1:19" x14ac:dyDescent="0.2">
      <c r="A153" s="524">
        <v>70751</v>
      </c>
      <c r="B153" s="526">
        <v>46205</v>
      </c>
      <c r="C153" s="524" t="s">
        <v>1148</v>
      </c>
      <c r="D153" s="524" t="s">
        <v>1239</v>
      </c>
      <c r="E153" s="524" t="s">
        <v>1258</v>
      </c>
      <c r="F153" s="524" t="s">
        <v>1170</v>
      </c>
      <c r="G153" s="524" t="s">
        <v>1102</v>
      </c>
      <c r="H153" s="527">
        <v>31.5</v>
      </c>
      <c r="I153" s="524" t="s">
        <v>1174</v>
      </c>
      <c r="J153" s="524">
        <f>IF(cmf[[#This Row],[D/C]]="C",cmf[[#This Row],[Valor]],-1*cmf[[#This Row],[Valor]])</f>
        <v>-31.5</v>
      </c>
      <c r="L153" s="524" t="s">
        <v>1241</v>
      </c>
      <c r="M153" s="524" t="s">
        <v>1242</v>
      </c>
      <c r="N153" s="524" t="s">
        <v>1192</v>
      </c>
      <c r="O153" s="524" t="s">
        <v>1193</v>
      </c>
      <c r="P153" s="526">
        <v>46205</v>
      </c>
      <c r="S153" s="527">
        <v>0</v>
      </c>
    </row>
    <row r="154" spans="1:19" x14ac:dyDescent="0.2">
      <c r="A154" s="524">
        <v>70752</v>
      </c>
      <c r="B154" s="526">
        <v>46205</v>
      </c>
      <c r="C154" s="524" t="s">
        <v>1148</v>
      </c>
      <c r="D154" s="524" t="s">
        <v>1239</v>
      </c>
      <c r="E154" s="524" t="s">
        <v>1258</v>
      </c>
      <c r="F154" s="524" t="s">
        <v>1170</v>
      </c>
      <c r="G154" s="524" t="s">
        <v>1102</v>
      </c>
      <c r="H154" s="527">
        <v>7.2</v>
      </c>
      <c r="I154" s="524" t="s">
        <v>1174</v>
      </c>
      <c r="J154" s="524">
        <f>IF(cmf[[#This Row],[D/C]]="C",cmf[[#This Row],[Valor]],-1*cmf[[#This Row],[Valor]])</f>
        <v>-7.2</v>
      </c>
      <c r="L154" s="524" t="s">
        <v>1241</v>
      </c>
      <c r="M154" s="524" t="s">
        <v>1242</v>
      </c>
      <c r="N154" s="524" t="s">
        <v>1192</v>
      </c>
      <c r="O154" s="524" t="s">
        <v>1193</v>
      </c>
      <c r="P154" s="526">
        <v>46205</v>
      </c>
      <c r="S154" s="527">
        <v>0</v>
      </c>
    </row>
    <row r="155" spans="1:19" x14ac:dyDescent="0.2">
      <c r="A155" s="524">
        <v>70962</v>
      </c>
      <c r="B155" s="526">
        <v>46205</v>
      </c>
      <c r="C155" s="524" t="s">
        <v>1148</v>
      </c>
      <c r="D155" s="524" t="s">
        <v>1239</v>
      </c>
      <c r="E155" s="524" t="s">
        <v>1253</v>
      </c>
      <c r="F155" s="524" t="s">
        <v>1170</v>
      </c>
      <c r="G155" s="524" t="s">
        <v>798</v>
      </c>
      <c r="H155" s="527">
        <v>0.4</v>
      </c>
      <c r="I155" s="524" t="s">
        <v>1174</v>
      </c>
      <c r="J155" s="524">
        <f>IF(cmf[[#This Row],[D/C]]="C",cmf[[#This Row],[Valor]],-1*cmf[[#This Row],[Valor]])</f>
        <v>-0.4</v>
      </c>
      <c r="L155" s="524" t="s">
        <v>1241</v>
      </c>
      <c r="M155" s="524" t="s">
        <v>1242</v>
      </c>
      <c r="N155" s="524" t="s">
        <v>1171</v>
      </c>
      <c r="O155" s="524" t="s">
        <v>1172</v>
      </c>
      <c r="P155" s="526">
        <v>46205</v>
      </c>
      <c r="S155" s="527">
        <v>0</v>
      </c>
    </row>
    <row r="156" spans="1:19" x14ac:dyDescent="0.2">
      <c r="A156" s="524">
        <v>71033</v>
      </c>
      <c r="B156" s="526">
        <v>46205</v>
      </c>
      <c r="C156" s="524" t="s">
        <v>1148</v>
      </c>
      <c r="D156" s="524" t="s">
        <v>1239</v>
      </c>
      <c r="E156" s="524" t="s">
        <v>1258</v>
      </c>
      <c r="F156" s="524" t="s">
        <v>1170</v>
      </c>
      <c r="G156" s="524" t="s">
        <v>765</v>
      </c>
      <c r="H156" s="527">
        <v>1.5</v>
      </c>
      <c r="I156" s="524" t="s">
        <v>1174</v>
      </c>
      <c r="J156" s="524">
        <f>IF(cmf[[#This Row],[D/C]]="C",cmf[[#This Row],[Valor]],-1*cmf[[#This Row],[Valor]])</f>
        <v>-1.5</v>
      </c>
      <c r="L156" s="524" t="s">
        <v>1241</v>
      </c>
      <c r="M156" s="524" t="s">
        <v>1242</v>
      </c>
      <c r="N156" s="524" t="s">
        <v>1200</v>
      </c>
      <c r="O156" s="524" t="s">
        <v>1201</v>
      </c>
      <c r="P156" s="526">
        <v>46205</v>
      </c>
      <c r="S156" s="527">
        <v>0</v>
      </c>
    </row>
    <row r="157" spans="1:19" x14ac:dyDescent="0.2">
      <c r="A157" s="524">
        <v>71099</v>
      </c>
      <c r="B157" s="526">
        <v>46205</v>
      </c>
      <c r="C157" s="524" t="s">
        <v>1148</v>
      </c>
      <c r="D157" s="524" t="s">
        <v>1243</v>
      </c>
      <c r="E157" s="524" t="s">
        <v>1244</v>
      </c>
      <c r="F157" s="524" t="s">
        <v>1183</v>
      </c>
      <c r="G157" s="524" t="s">
        <v>755</v>
      </c>
      <c r="H157" s="527">
        <v>168.97</v>
      </c>
      <c r="I157" s="524" t="s">
        <v>1148</v>
      </c>
      <c r="J157" s="524">
        <f>IF(cmf[[#This Row],[D/C]]="C",cmf[[#This Row],[Valor]],-1*cmf[[#This Row],[Valor]])</f>
        <v>168.97</v>
      </c>
      <c r="L157" s="524" t="s">
        <v>1245</v>
      </c>
      <c r="M157" s="524" t="s">
        <v>1246</v>
      </c>
      <c r="N157" s="524" t="s">
        <v>1316</v>
      </c>
      <c r="O157" s="524" t="s">
        <v>1317</v>
      </c>
      <c r="P157" s="526">
        <v>46205</v>
      </c>
      <c r="S157" s="527">
        <v>0</v>
      </c>
    </row>
    <row r="158" spans="1:19" x14ac:dyDescent="0.2">
      <c r="A158" s="524">
        <v>71100</v>
      </c>
      <c r="B158" s="526">
        <v>46205</v>
      </c>
      <c r="C158" s="524" t="s">
        <v>1148</v>
      </c>
      <c r="D158" s="524" t="s">
        <v>1243</v>
      </c>
      <c r="E158" s="524" t="s">
        <v>1244</v>
      </c>
      <c r="F158" s="524" t="s">
        <v>1183</v>
      </c>
      <c r="G158" s="524" t="s">
        <v>755</v>
      </c>
      <c r="H158" s="527">
        <v>0.03</v>
      </c>
      <c r="I158" s="524" t="s">
        <v>1148</v>
      </c>
      <c r="J158" s="524">
        <f>IF(cmf[[#This Row],[D/C]]="C",cmf[[#This Row],[Valor]],-1*cmf[[#This Row],[Valor]])</f>
        <v>0.03</v>
      </c>
      <c r="L158" s="524" t="s">
        <v>1245</v>
      </c>
      <c r="M158" s="524" t="s">
        <v>1246</v>
      </c>
      <c r="N158" s="524" t="s">
        <v>1316</v>
      </c>
      <c r="O158" s="524" t="s">
        <v>1317</v>
      </c>
      <c r="P158" s="526">
        <v>46205</v>
      </c>
      <c r="S158" s="527">
        <v>0</v>
      </c>
    </row>
    <row r="159" spans="1:19" x14ac:dyDescent="0.2">
      <c r="A159" s="524">
        <v>71102</v>
      </c>
      <c r="B159" s="526">
        <v>46205</v>
      </c>
      <c r="C159" s="524" t="s">
        <v>1148</v>
      </c>
      <c r="D159" s="524" t="s">
        <v>1239</v>
      </c>
      <c r="E159" s="524" t="s">
        <v>1318</v>
      </c>
      <c r="F159" s="524" t="s">
        <v>1183</v>
      </c>
      <c r="G159" s="524" t="s">
        <v>755</v>
      </c>
      <c r="H159" s="527">
        <v>169</v>
      </c>
      <c r="I159" s="524" t="s">
        <v>1174</v>
      </c>
      <c r="J159" s="524">
        <f>IF(cmf[[#This Row],[D/C]]="C",cmf[[#This Row],[Valor]],-1*cmf[[#This Row],[Valor]])</f>
        <v>-169</v>
      </c>
      <c r="L159" s="524" t="s">
        <v>1241</v>
      </c>
      <c r="M159" s="524" t="s">
        <v>1242</v>
      </c>
      <c r="N159" s="524" t="s">
        <v>1316</v>
      </c>
      <c r="O159" s="524" t="s">
        <v>1317</v>
      </c>
      <c r="P159" s="526">
        <v>46205</v>
      </c>
      <c r="S159" s="527">
        <v>0</v>
      </c>
    </row>
    <row r="160" spans="1:19" x14ac:dyDescent="0.2">
      <c r="A160" s="524">
        <v>71178</v>
      </c>
      <c r="B160" s="526">
        <v>46205</v>
      </c>
      <c r="C160" s="524" t="s">
        <v>1148</v>
      </c>
      <c r="D160" s="524" t="s">
        <v>1239</v>
      </c>
      <c r="E160" s="524" t="s">
        <v>1255</v>
      </c>
      <c r="F160" s="524" t="s">
        <v>1170</v>
      </c>
      <c r="G160" s="524" t="s">
        <v>768</v>
      </c>
      <c r="H160" s="527">
        <v>39.799999999999997</v>
      </c>
      <c r="I160" s="524" t="s">
        <v>1174</v>
      </c>
      <c r="J160" s="524">
        <f>IF(cmf[[#This Row],[D/C]]="C",cmf[[#This Row],[Valor]],-1*cmf[[#This Row],[Valor]])</f>
        <v>-39.799999999999997</v>
      </c>
      <c r="L160" s="524" t="s">
        <v>1241</v>
      </c>
      <c r="M160" s="524" t="s">
        <v>1242</v>
      </c>
      <c r="N160" s="524" t="s">
        <v>1219</v>
      </c>
      <c r="O160" s="524" t="s">
        <v>1220</v>
      </c>
      <c r="P160" s="526">
        <v>46205</v>
      </c>
      <c r="S160" s="527">
        <v>0</v>
      </c>
    </row>
    <row r="161" spans="1:19" x14ac:dyDescent="0.2">
      <c r="A161" s="524">
        <v>71185</v>
      </c>
      <c r="B161" s="526">
        <v>46205</v>
      </c>
      <c r="C161" s="524" t="s">
        <v>1162</v>
      </c>
      <c r="D161" s="524" t="s">
        <v>1186</v>
      </c>
      <c r="E161" s="524" t="s">
        <v>1319</v>
      </c>
      <c r="F161" s="524" t="s">
        <v>1320</v>
      </c>
      <c r="G161" s="524" t="s">
        <v>1229</v>
      </c>
      <c r="H161" s="527">
        <v>0</v>
      </c>
      <c r="I161" s="524" t="s">
        <v>1174</v>
      </c>
      <c r="J161" s="524">
        <f>IF(cmf[[#This Row],[D/C]]="C",cmf[[#This Row],[Valor]],-1*cmf[[#This Row],[Valor]])</f>
        <v>0</v>
      </c>
      <c r="L161" s="524" t="s">
        <v>1188</v>
      </c>
      <c r="M161" s="524" t="s">
        <v>1189</v>
      </c>
      <c r="N161" s="524" t="s">
        <v>1192</v>
      </c>
      <c r="O161" s="524" t="s">
        <v>1193</v>
      </c>
      <c r="P161" s="526"/>
      <c r="S161" s="527">
        <v>0</v>
      </c>
    </row>
    <row r="162" spans="1:19" x14ac:dyDescent="0.2">
      <c r="A162" s="524">
        <v>71198</v>
      </c>
      <c r="B162" s="526">
        <v>46205</v>
      </c>
      <c r="C162" s="524" t="s">
        <v>1148</v>
      </c>
      <c r="D162" s="524" t="s">
        <v>1239</v>
      </c>
      <c r="E162" s="524" t="s">
        <v>1255</v>
      </c>
      <c r="F162" s="524" t="s">
        <v>1170</v>
      </c>
      <c r="G162" s="524" t="s">
        <v>738</v>
      </c>
      <c r="H162" s="527">
        <v>0.2</v>
      </c>
      <c r="I162" s="524" t="s">
        <v>1174</v>
      </c>
      <c r="J162" s="524">
        <f>IF(cmf[[#This Row],[D/C]]="C",cmf[[#This Row],[Valor]],-1*cmf[[#This Row],[Valor]])</f>
        <v>-0.2</v>
      </c>
      <c r="L162" s="524" t="s">
        <v>1241</v>
      </c>
      <c r="M162" s="524" t="s">
        <v>1242</v>
      </c>
      <c r="N162" s="524" t="s">
        <v>1215</v>
      </c>
      <c r="O162" s="524" t="s">
        <v>1218</v>
      </c>
      <c r="P162" s="526">
        <v>46205</v>
      </c>
      <c r="S162" s="527">
        <v>0</v>
      </c>
    </row>
    <row r="163" spans="1:19" x14ac:dyDescent="0.2">
      <c r="A163" s="524">
        <v>71698</v>
      </c>
      <c r="B163" s="526">
        <v>46205</v>
      </c>
      <c r="C163" s="524" t="s">
        <v>1148</v>
      </c>
      <c r="D163" s="524" t="s">
        <v>1243</v>
      </c>
      <c r="E163" s="524" t="s">
        <v>1266</v>
      </c>
      <c r="F163" s="524" t="s">
        <v>1183</v>
      </c>
      <c r="G163" s="524" t="s">
        <v>742</v>
      </c>
      <c r="H163" s="527">
        <v>395960.18</v>
      </c>
      <c r="I163" s="524" t="s">
        <v>1174</v>
      </c>
      <c r="J163" s="524">
        <f>IF(cmf[[#This Row],[D/C]]="C",cmf[[#This Row],[Valor]],-1*cmf[[#This Row],[Valor]])</f>
        <v>-395960.18</v>
      </c>
      <c r="L163" s="524" t="s">
        <v>1245</v>
      </c>
      <c r="M163" s="524" t="s">
        <v>1246</v>
      </c>
      <c r="N163" s="524" t="s">
        <v>1215</v>
      </c>
      <c r="O163" s="524" t="s">
        <v>1267</v>
      </c>
      <c r="P163" s="526">
        <v>46205</v>
      </c>
      <c r="S163" s="527">
        <v>0</v>
      </c>
    </row>
    <row r="164" spans="1:19" x14ac:dyDescent="0.2">
      <c r="A164" s="524">
        <v>71738</v>
      </c>
      <c r="B164" s="526">
        <v>46205</v>
      </c>
      <c r="C164" s="524" t="s">
        <v>1148</v>
      </c>
      <c r="D164" s="524" t="s">
        <v>1239</v>
      </c>
      <c r="E164" s="524" t="s">
        <v>1274</v>
      </c>
      <c r="F164" s="524" t="s">
        <v>1183</v>
      </c>
      <c r="G164" s="524" t="s">
        <v>742</v>
      </c>
      <c r="H164" s="527">
        <v>143.13999999999999</v>
      </c>
      <c r="I164" s="524" t="s">
        <v>1174</v>
      </c>
      <c r="J164" s="524">
        <f>IF(cmf[[#This Row],[D/C]]="C",cmf[[#This Row],[Valor]],-1*cmf[[#This Row],[Valor]])</f>
        <v>-143.13999999999999</v>
      </c>
      <c r="L164" s="524" t="s">
        <v>1241</v>
      </c>
      <c r="M164" s="524" t="s">
        <v>1242</v>
      </c>
      <c r="N164" s="524" t="s">
        <v>1215</v>
      </c>
      <c r="O164" s="524" t="s">
        <v>1218</v>
      </c>
      <c r="P164" s="526">
        <v>46205</v>
      </c>
      <c r="S164" s="527">
        <v>0</v>
      </c>
    </row>
    <row r="165" spans="1:19" x14ac:dyDescent="0.2">
      <c r="A165" s="524">
        <v>71739</v>
      </c>
      <c r="B165" s="526">
        <v>46205</v>
      </c>
      <c r="C165" s="524" t="s">
        <v>1148</v>
      </c>
      <c r="D165" s="524" t="s">
        <v>1239</v>
      </c>
      <c r="E165" s="524" t="s">
        <v>1321</v>
      </c>
      <c r="F165" s="524" t="s">
        <v>1183</v>
      </c>
      <c r="G165" s="524" t="s">
        <v>742</v>
      </c>
      <c r="H165" s="527">
        <v>3.39</v>
      </c>
      <c r="I165" s="524" t="s">
        <v>1174</v>
      </c>
      <c r="J165" s="524">
        <f>IF(cmf[[#This Row],[D/C]]="C",cmf[[#This Row],[Valor]],-1*cmf[[#This Row],[Valor]])</f>
        <v>-3.39</v>
      </c>
      <c r="L165" s="524" t="s">
        <v>1241</v>
      </c>
      <c r="M165" s="524" t="s">
        <v>1242</v>
      </c>
      <c r="N165" s="524" t="s">
        <v>1215</v>
      </c>
      <c r="O165" s="524" t="s">
        <v>1218</v>
      </c>
      <c r="P165" s="526">
        <v>46205</v>
      </c>
      <c r="S165" s="527">
        <v>0</v>
      </c>
    </row>
    <row r="166" spans="1:19" x14ac:dyDescent="0.2">
      <c r="A166" s="524">
        <v>71741</v>
      </c>
      <c r="B166" s="526">
        <v>46205</v>
      </c>
      <c r="C166" s="524" t="s">
        <v>1148</v>
      </c>
      <c r="D166" s="524" t="s">
        <v>1239</v>
      </c>
      <c r="E166" s="524" t="s">
        <v>1322</v>
      </c>
      <c r="F166" s="524" t="s">
        <v>1183</v>
      </c>
      <c r="G166" s="524" t="s">
        <v>742</v>
      </c>
      <c r="H166" s="527">
        <v>636.71</v>
      </c>
      <c r="I166" s="524" t="s">
        <v>1174</v>
      </c>
      <c r="J166" s="524">
        <f>IF(cmf[[#This Row],[D/C]]="C",cmf[[#This Row],[Valor]],-1*cmf[[#This Row],[Valor]])</f>
        <v>-636.71</v>
      </c>
      <c r="L166" s="524" t="s">
        <v>1241</v>
      </c>
      <c r="M166" s="524" t="s">
        <v>1242</v>
      </c>
      <c r="N166" s="524" t="s">
        <v>1215</v>
      </c>
      <c r="O166" s="524" t="s">
        <v>1218</v>
      </c>
      <c r="P166" s="526">
        <v>46205</v>
      </c>
      <c r="S166" s="527">
        <v>0</v>
      </c>
    </row>
    <row r="167" spans="1:19" x14ac:dyDescent="0.2">
      <c r="A167" s="524">
        <v>71879</v>
      </c>
      <c r="B167" s="526">
        <v>46205</v>
      </c>
      <c r="C167" s="524" t="s">
        <v>1148</v>
      </c>
      <c r="D167" s="524" t="s">
        <v>1239</v>
      </c>
      <c r="E167" s="524" t="s">
        <v>1323</v>
      </c>
      <c r="F167" s="524" t="s">
        <v>1183</v>
      </c>
      <c r="G167" s="524" t="s">
        <v>750</v>
      </c>
      <c r="H167" s="527">
        <v>147.74</v>
      </c>
      <c r="I167" s="524" t="s">
        <v>1174</v>
      </c>
      <c r="J167" s="524">
        <f>IF(cmf[[#This Row],[D/C]]="C",cmf[[#This Row],[Valor]],-1*cmf[[#This Row],[Valor]])</f>
        <v>-147.74</v>
      </c>
      <c r="L167" s="524" t="s">
        <v>1241</v>
      </c>
      <c r="M167" s="524" t="s">
        <v>1242</v>
      </c>
      <c r="N167" s="524" t="s">
        <v>1256</v>
      </c>
      <c r="O167" s="524" t="s">
        <v>1257</v>
      </c>
      <c r="P167" s="526">
        <v>46205</v>
      </c>
      <c r="S167" s="527">
        <v>0</v>
      </c>
    </row>
    <row r="168" spans="1:19" x14ac:dyDescent="0.2">
      <c r="A168" s="524">
        <v>72202</v>
      </c>
      <c r="B168" s="526">
        <v>46205</v>
      </c>
      <c r="C168" s="524" t="s">
        <v>1148</v>
      </c>
      <c r="D168" s="524" t="s">
        <v>1243</v>
      </c>
      <c r="E168" s="524" t="s">
        <v>1244</v>
      </c>
      <c r="F168" s="524" t="s">
        <v>1183</v>
      </c>
      <c r="G168" s="524" t="s">
        <v>789</v>
      </c>
      <c r="H168" s="527">
        <v>290.10000000000002</v>
      </c>
      <c r="I168" s="524" t="s">
        <v>1148</v>
      </c>
      <c r="J168" s="524">
        <f>IF(cmf[[#This Row],[D/C]]="C",cmf[[#This Row],[Valor]],-1*cmf[[#This Row],[Valor]])</f>
        <v>290.10000000000002</v>
      </c>
      <c r="L168" s="524" t="s">
        <v>1245</v>
      </c>
      <c r="M168" s="524" t="s">
        <v>1246</v>
      </c>
      <c r="N168" s="524" t="s">
        <v>1271</v>
      </c>
      <c r="O168" s="524" t="s">
        <v>1272</v>
      </c>
      <c r="P168" s="526">
        <v>46205</v>
      </c>
      <c r="S168" s="527">
        <v>0</v>
      </c>
    </row>
    <row r="169" spans="1:19" x14ac:dyDescent="0.2">
      <c r="A169" s="524">
        <v>72203</v>
      </c>
      <c r="B169" s="526">
        <v>46205</v>
      </c>
      <c r="C169" s="524" t="s">
        <v>1148</v>
      </c>
      <c r="D169" s="524" t="s">
        <v>1243</v>
      </c>
      <c r="E169" s="524" t="s">
        <v>1244</v>
      </c>
      <c r="F169" s="524" t="s">
        <v>1183</v>
      </c>
      <c r="G169" s="524" t="s">
        <v>789</v>
      </c>
      <c r="H169" s="527">
        <v>0.03</v>
      </c>
      <c r="I169" s="524" t="s">
        <v>1148</v>
      </c>
      <c r="J169" s="524">
        <f>IF(cmf[[#This Row],[D/C]]="C",cmf[[#This Row],[Valor]],-1*cmf[[#This Row],[Valor]])</f>
        <v>0.03</v>
      </c>
      <c r="L169" s="524" t="s">
        <v>1245</v>
      </c>
      <c r="M169" s="524" t="s">
        <v>1246</v>
      </c>
      <c r="N169" s="524" t="s">
        <v>1271</v>
      </c>
      <c r="O169" s="524" t="s">
        <v>1272</v>
      </c>
      <c r="P169" s="526">
        <v>46205</v>
      </c>
      <c r="S169" s="527">
        <v>0</v>
      </c>
    </row>
    <row r="170" spans="1:19" x14ac:dyDescent="0.2">
      <c r="A170" s="524">
        <v>72207</v>
      </c>
      <c r="B170" s="526">
        <v>46205</v>
      </c>
      <c r="C170" s="524" t="s">
        <v>1148</v>
      </c>
      <c r="D170" s="524" t="s">
        <v>1239</v>
      </c>
      <c r="E170" s="524" t="s">
        <v>1274</v>
      </c>
      <c r="F170" s="524" t="s">
        <v>1183</v>
      </c>
      <c r="G170" s="524" t="s">
        <v>789</v>
      </c>
      <c r="H170" s="527">
        <v>1.1299999999999999</v>
      </c>
      <c r="I170" s="524" t="s">
        <v>1174</v>
      </c>
      <c r="J170" s="524">
        <f>IF(cmf[[#This Row],[D/C]]="C",cmf[[#This Row],[Valor]],-1*cmf[[#This Row],[Valor]])</f>
        <v>-1.1299999999999999</v>
      </c>
      <c r="L170" s="524" t="s">
        <v>1241</v>
      </c>
      <c r="M170" s="524" t="s">
        <v>1242</v>
      </c>
      <c r="N170" s="524" t="s">
        <v>1271</v>
      </c>
      <c r="O170" s="524" t="s">
        <v>1272</v>
      </c>
      <c r="P170" s="526">
        <v>46205</v>
      </c>
      <c r="S170" s="527">
        <v>0</v>
      </c>
    </row>
    <row r="171" spans="1:19" x14ac:dyDescent="0.2">
      <c r="A171" s="524">
        <v>72208</v>
      </c>
      <c r="B171" s="526">
        <v>46205</v>
      </c>
      <c r="C171" s="524" t="s">
        <v>1148</v>
      </c>
      <c r="D171" s="524" t="s">
        <v>1239</v>
      </c>
      <c r="E171" s="524" t="s">
        <v>1324</v>
      </c>
      <c r="F171" s="524" t="s">
        <v>1183</v>
      </c>
      <c r="G171" s="524" t="s">
        <v>789</v>
      </c>
      <c r="H171" s="527">
        <v>289</v>
      </c>
      <c r="I171" s="524" t="s">
        <v>1174</v>
      </c>
      <c r="J171" s="524">
        <f>IF(cmf[[#This Row],[D/C]]="C",cmf[[#This Row],[Valor]],-1*cmf[[#This Row],[Valor]])</f>
        <v>-289</v>
      </c>
      <c r="L171" s="524" t="s">
        <v>1241</v>
      </c>
      <c r="M171" s="524" t="s">
        <v>1242</v>
      </c>
      <c r="N171" s="524" t="s">
        <v>1271</v>
      </c>
      <c r="O171" s="524" t="s">
        <v>1272</v>
      </c>
      <c r="P171" s="526">
        <v>46205</v>
      </c>
      <c r="S171" s="527">
        <v>0</v>
      </c>
    </row>
    <row r="172" spans="1:19" x14ac:dyDescent="0.2">
      <c r="A172" s="524">
        <v>72498</v>
      </c>
      <c r="B172" s="526">
        <v>46205</v>
      </c>
      <c r="C172" s="524" t="s">
        <v>1148</v>
      </c>
      <c r="D172" s="524" t="s">
        <v>1239</v>
      </c>
      <c r="E172" s="524" t="s">
        <v>1325</v>
      </c>
      <c r="F172" s="524" t="s">
        <v>943</v>
      </c>
      <c r="G172" s="524" t="s">
        <v>743</v>
      </c>
      <c r="H172" s="527">
        <v>126027.32</v>
      </c>
      <c r="I172" s="524" t="s">
        <v>1174</v>
      </c>
      <c r="J172" s="524">
        <f>IF(cmf[[#This Row],[D/C]]="C",cmf[[#This Row],[Valor]],-1*cmf[[#This Row],[Valor]])</f>
        <v>-126027.32</v>
      </c>
      <c r="L172" s="524" t="s">
        <v>1264</v>
      </c>
      <c r="M172" s="524" t="s">
        <v>1265</v>
      </c>
      <c r="N172" s="524" t="s">
        <v>1215</v>
      </c>
      <c r="O172" s="524" t="s">
        <v>1218</v>
      </c>
      <c r="P172" s="526">
        <v>46205</v>
      </c>
      <c r="S172" s="527">
        <v>0</v>
      </c>
    </row>
    <row r="173" spans="1:19" x14ac:dyDescent="0.2">
      <c r="A173" s="524">
        <v>72499</v>
      </c>
      <c r="B173" s="526">
        <v>46205</v>
      </c>
      <c r="C173" s="524" t="s">
        <v>1148</v>
      </c>
      <c r="D173" s="524" t="s">
        <v>1239</v>
      </c>
      <c r="E173" s="524" t="s">
        <v>1326</v>
      </c>
      <c r="F173" s="524" t="s">
        <v>943</v>
      </c>
      <c r="G173" s="524" t="s">
        <v>743</v>
      </c>
      <c r="H173" s="527">
        <v>3500</v>
      </c>
      <c r="I173" s="524" t="s">
        <v>1148</v>
      </c>
      <c r="J173" s="524">
        <f>IF(cmf[[#This Row],[D/C]]="C",cmf[[#This Row],[Valor]],-1*cmf[[#This Row],[Valor]])</f>
        <v>3500</v>
      </c>
      <c r="L173" s="524" t="s">
        <v>1264</v>
      </c>
      <c r="M173" s="524" t="s">
        <v>1265</v>
      </c>
      <c r="N173" s="524" t="s">
        <v>1215</v>
      </c>
      <c r="O173" s="524" t="s">
        <v>1218</v>
      </c>
      <c r="P173" s="526">
        <v>46205</v>
      </c>
      <c r="S173" s="527">
        <v>0</v>
      </c>
    </row>
    <row r="174" spans="1:19" x14ac:dyDescent="0.2">
      <c r="A174" s="524">
        <v>68238</v>
      </c>
      <c r="B174" s="526">
        <v>46206</v>
      </c>
      <c r="C174" s="524" t="s">
        <v>1162</v>
      </c>
      <c r="D174" s="524" t="s">
        <v>1163</v>
      </c>
      <c r="E174" s="524" t="s">
        <v>1164</v>
      </c>
      <c r="F174" s="524" t="s">
        <v>1165</v>
      </c>
      <c r="G174" s="524" t="s">
        <v>756</v>
      </c>
      <c r="H174" s="527">
        <v>1732.9</v>
      </c>
      <c r="I174" s="524" t="s">
        <v>1148</v>
      </c>
      <c r="J174" s="524">
        <f>IF(cmf[[#This Row],[D/C]]="C",cmf[[#This Row],[Valor]],-1*cmf[[#This Row],[Valor]])</f>
        <v>1732.9</v>
      </c>
      <c r="L174" s="524" t="s">
        <v>1166</v>
      </c>
      <c r="M174" s="524" t="s">
        <v>1167</v>
      </c>
      <c r="N174" s="524" t="s">
        <v>1168</v>
      </c>
      <c r="O174" s="524" t="s">
        <v>1169</v>
      </c>
      <c r="P174" s="526"/>
      <c r="S174" s="527">
        <v>0</v>
      </c>
    </row>
    <row r="175" spans="1:19" x14ac:dyDescent="0.2">
      <c r="A175" s="524">
        <v>68376</v>
      </c>
      <c r="B175" s="526">
        <v>46206</v>
      </c>
      <c r="C175" s="524" t="s">
        <v>1148</v>
      </c>
      <c r="D175" s="524" t="s">
        <v>1163</v>
      </c>
      <c r="E175" s="524" t="s">
        <v>1164</v>
      </c>
      <c r="F175" s="524" t="s">
        <v>1178</v>
      </c>
      <c r="G175" s="524" t="s">
        <v>1179</v>
      </c>
      <c r="H175" s="527">
        <v>3489.37</v>
      </c>
      <c r="I175" s="524" t="s">
        <v>1148</v>
      </c>
      <c r="J175" s="524">
        <f>IF(cmf[[#This Row],[D/C]]="C",cmf[[#This Row],[Valor]],-1*cmf[[#This Row],[Valor]])</f>
        <v>3489.37</v>
      </c>
      <c r="L175" s="524" t="s">
        <v>1166</v>
      </c>
      <c r="M175" s="524" t="s">
        <v>1167</v>
      </c>
      <c r="N175" s="524" t="s">
        <v>1180</v>
      </c>
      <c r="O175" s="524" t="s">
        <v>1181</v>
      </c>
      <c r="P175" s="526">
        <v>46206</v>
      </c>
      <c r="S175" s="527">
        <v>0</v>
      </c>
    </row>
    <row r="176" spans="1:19" x14ac:dyDescent="0.2">
      <c r="A176" s="524">
        <v>68381</v>
      </c>
      <c r="B176" s="526">
        <v>46206</v>
      </c>
      <c r="C176" s="524" t="s">
        <v>1162</v>
      </c>
      <c r="D176" s="524" t="s">
        <v>1163</v>
      </c>
      <c r="E176" s="524" t="s">
        <v>1164</v>
      </c>
      <c r="F176" s="524" t="s">
        <v>1183</v>
      </c>
      <c r="G176" s="524" t="s">
        <v>1276</v>
      </c>
      <c r="H176" s="527">
        <v>2428.1999999999998</v>
      </c>
      <c r="I176" s="524" t="s">
        <v>1148</v>
      </c>
      <c r="J176" s="524">
        <f>IF(cmf[[#This Row],[D/C]]="C",cmf[[#This Row],[Valor]],-1*cmf[[#This Row],[Valor]])</f>
        <v>2428.1999999999998</v>
      </c>
      <c r="L176" s="524" t="s">
        <v>1166</v>
      </c>
      <c r="M176" s="524" t="s">
        <v>1167</v>
      </c>
      <c r="N176" s="524" t="s">
        <v>1184</v>
      </c>
      <c r="O176" s="524" t="s">
        <v>1201</v>
      </c>
      <c r="P176" s="526"/>
      <c r="S176" s="527">
        <v>0</v>
      </c>
    </row>
    <row r="177" spans="1:19" x14ac:dyDescent="0.2">
      <c r="A177" s="524">
        <v>68382</v>
      </c>
      <c r="B177" s="526">
        <v>46206</v>
      </c>
      <c r="C177" s="524" t="s">
        <v>1162</v>
      </c>
      <c r="D177" s="524" t="s">
        <v>1163</v>
      </c>
      <c r="E177" s="524" t="s">
        <v>1173</v>
      </c>
      <c r="F177" s="524" t="s">
        <v>1183</v>
      </c>
      <c r="G177" s="524" t="s">
        <v>1276</v>
      </c>
      <c r="H177" s="527">
        <v>4.5999999999999996</v>
      </c>
      <c r="I177" s="524" t="s">
        <v>1174</v>
      </c>
      <c r="J177" s="524">
        <f>IF(cmf[[#This Row],[D/C]]="C",cmf[[#This Row],[Valor]],-1*cmf[[#This Row],[Valor]])</f>
        <v>-4.5999999999999996</v>
      </c>
      <c r="L177" s="524" t="s">
        <v>1175</v>
      </c>
      <c r="M177" s="524" t="s">
        <v>1176</v>
      </c>
      <c r="N177" s="524" t="s">
        <v>1184</v>
      </c>
      <c r="O177" s="524" t="s">
        <v>1201</v>
      </c>
      <c r="P177" s="526"/>
      <c r="S177" s="527">
        <v>0</v>
      </c>
    </row>
    <row r="178" spans="1:19" x14ac:dyDescent="0.2">
      <c r="A178" s="524">
        <v>68385</v>
      </c>
      <c r="B178" s="526">
        <v>46206</v>
      </c>
      <c r="C178" s="524" t="s">
        <v>1148</v>
      </c>
      <c r="D178" s="524" t="s">
        <v>1163</v>
      </c>
      <c r="E178" s="524" t="s">
        <v>1164</v>
      </c>
      <c r="F178" s="524" t="s">
        <v>1170</v>
      </c>
      <c r="G178" s="524" t="s">
        <v>740</v>
      </c>
      <c r="H178" s="527">
        <v>439.67</v>
      </c>
      <c r="I178" s="524" t="s">
        <v>1148</v>
      </c>
      <c r="J178" s="524">
        <f>IF(cmf[[#This Row],[D/C]]="C",cmf[[#This Row],[Valor]],-1*cmf[[#This Row],[Valor]])</f>
        <v>439.67</v>
      </c>
      <c r="L178" s="524" t="s">
        <v>1166</v>
      </c>
      <c r="M178" s="524" t="s">
        <v>1167</v>
      </c>
      <c r="N178" s="524" t="s">
        <v>1215</v>
      </c>
      <c r="O178" s="524" t="s">
        <v>1218</v>
      </c>
      <c r="P178" s="526">
        <v>46206</v>
      </c>
      <c r="S178" s="527">
        <v>0</v>
      </c>
    </row>
    <row r="179" spans="1:19" x14ac:dyDescent="0.2">
      <c r="A179" s="524">
        <v>68386</v>
      </c>
      <c r="B179" s="526">
        <v>46206</v>
      </c>
      <c r="C179" s="524" t="s">
        <v>1148</v>
      </c>
      <c r="D179" s="524" t="s">
        <v>1163</v>
      </c>
      <c r="E179" s="524" t="s">
        <v>1173</v>
      </c>
      <c r="F179" s="524" t="s">
        <v>1170</v>
      </c>
      <c r="G179" s="524" t="s">
        <v>740</v>
      </c>
      <c r="H179" s="527">
        <v>6.3</v>
      </c>
      <c r="I179" s="524" t="s">
        <v>1174</v>
      </c>
      <c r="J179" s="524">
        <f>IF(cmf[[#This Row],[D/C]]="C",cmf[[#This Row],[Valor]],-1*cmf[[#This Row],[Valor]])</f>
        <v>-6.3</v>
      </c>
      <c r="L179" s="524" t="s">
        <v>1175</v>
      </c>
      <c r="M179" s="524" t="s">
        <v>1176</v>
      </c>
      <c r="N179" s="524" t="s">
        <v>1215</v>
      </c>
      <c r="O179" s="524" t="s">
        <v>1218</v>
      </c>
      <c r="P179" s="526">
        <v>46206</v>
      </c>
      <c r="S179" s="527">
        <v>0</v>
      </c>
    </row>
    <row r="180" spans="1:19" x14ac:dyDescent="0.2">
      <c r="A180" s="524">
        <v>68387</v>
      </c>
      <c r="B180" s="526">
        <v>46206</v>
      </c>
      <c r="C180" s="524" t="s">
        <v>1162</v>
      </c>
      <c r="D180" s="524" t="s">
        <v>1163</v>
      </c>
      <c r="E180" s="524" t="s">
        <v>1164</v>
      </c>
      <c r="F180" s="524" t="s">
        <v>1183</v>
      </c>
      <c r="G180" s="524" t="s">
        <v>796</v>
      </c>
      <c r="H180" s="527">
        <v>65596.37</v>
      </c>
      <c r="I180" s="524" t="s">
        <v>1148</v>
      </c>
      <c r="J180" s="524">
        <f>IF(cmf[[#This Row],[D/C]]="C",cmf[[#This Row],[Valor]],-1*cmf[[#This Row],[Valor]])</f>
        <v>65596.37</v>
      </c>
      <c r="L180" s="524" t="s">
        <v>1166</v>
      </c>
      <c r="M180" s="524" t="s">
        <v>1167</v>
      </c>
      <c r="N180" s="524" t="s">
        <v>1184</v>
      </c>
      <c r="O180" s="524" t="s">
        <v>1172</v>
      </c>
      <c r="P180" s="526"/>
      <c r="S180" s="527">
        <v>0</v>
      </c>
    </row>
    <row r="181" spans="1:19" x14ac:dyDescent="0.2">
      <c r="A181" s="524">
        <v>68388</v>
      </c>
      <c r="B181" s="526">
        <v>46206</v>
      </c>
      <c r="C181" s="524" t="s">
        <v>1162</v>
      </c>
      <c r="D181" s="524" t="s">
        <v>1163</v>
      </c>
      <c r="E181" s="524" t="s">
        <v>1173</v>
      </c>
      <c r="F181" s="524" t="s">
        <v>1183</v>
      </c>
      <c r="G181" s="524" t="s">
        <v>796</v>
      </c>
      <c r="H181" s="527">
        <v>29.9</v>
      </c>
      <c r="I181" s="524" t="s">
        <v>1174</v>
      </c>
      <c r="J181" s="524">
        <f>IF(cmf[[#This Row],[D/C]]="C",cmf[[#This Row],[Valor]],-1*cmf[[#This Row],[Valor]])</f>
        <v>-29.9</v>
      </c>
      <c r="L181" s="524" t="s">
        <v>1175</v>
      </c>
      <c r="M181" s="524" t="s">
        <v>1176</v>
      </c>
      <c r="N181" s="524" t="s">
        <v>1184</v>
      </c>
      <c r="O181" s="524" t="s">
        <v>1172</v>
      </c>
      <c r="P181" s="526"/>
      <c r="S181" s="527">
        <v>0</v>
      </c>
    </row>
    <row r="182" spans="1:19" x14ac:dyDescent="0.2">
      <c r="A182" s="524">
        <v>68389</v>
      </c>
      <c r="B182" s="526">
        <v>46206</v>
      </c>
      <c r="C182" s="524" t="s">
        <v>1148</v>
      </c>
      <c r="D182" s="524" t="s">
        <v>1163</v>
      </c>
      <c r="E182" s="524" t="s">
        <v>1164</v>
      </c>
      <c r="F182" s="524" t="s">
        <v>1170</v>
      </c>
      <c r="G182" s="524" t="s">
        <v>749</v>
      </c>
      <c r="H182" s="527">
        <v>890.35</v>
      </c>
      <c r="I182" s="524" t="s">
        <v>1148</v>
      </c>
      <c r="J182" s="524">
        <f>IF(cmf[[#This Row],[D/C]]="C",cmf[[#This Row],[Valor]],-1*cmf[[#This Row],[Valor]])</f>
        <v>890.35</v>
      </c>
      <c r="L182" s="524" t="s">
        <v>1166</v>
      </c>
      <c r="M182" s="524" t="s">
        <v>1167</v>
      </c>
      <c r="N182" s="524" t="s">
        <v>1256</v>
      </c>
      <c r="O182" s="524" t="s">
        <v>1257</v>
      </c>
      <c r="P182" s="526">
        <v>46206</v>
      </c>
      <c r="S182" s="527">
        <v>0</v>
      </c>
    </row>
    <row r="183" spans="1:19" x14ac:dyDescent="0.2">
      <c r="A183" s="524">
        <v>68390</v>
      </c>
      <c r="B183" s="526">
        <v>46206</v>
      </c>
      <c r="C183" s="524" t="s">
        <v>1148</v>
      </c>
      <c r="D183" s="524" t="s">
        <v>1163</v>
      </c>
      <c r="E183" s="524" t="s">
        <v>1173</v>
      </c>
      <c r="F183" s="524" t="s">
        <v>1170</v>
      </c>
      <c r="G183" s="524" t="s">
        <v>749</v>
      </c>
      <c r="H183" s="527">
        <v>6.3</v>
      </c>
      <c r="I183" s="524" t="s">
        <v>1174</v>
      </c>
      <c r="J183" s="524">
        <f>IF(cmf[[#This Row],[D/C]]="C",cmf[[#This Row],[Valor]],-1*cmf[[#This Row],[Valor]])</f>
        <v>-6.3</v>
      </c>
      <c r="L183" s="524" t="s">
        <v>1175</v>
      </c>
      <c r="M183" s="524" t="s">
        <v>1176</v>
      </c>
      <c r="N183" s="524" t="s">
        <v>1256</v>
      </c>
      <c r="O183" s="524" t="s">
        <v>1257</v>
      </c>
      <c r="P183" s="526">
        <v>46206</v>
      </c>
      <c r="S183" s="527">
        <v>0</v>
      </c>
    </row>
    <row r="184" spans="1:19" x14ac:dyDescent="0.2">
      <c r="A184" s="524">
        <v>68392</v>
      </c>
      <c r="B184" s="526">
        <v>46206</v>
      </c>
      <c r="C184" s="524" t="s">
        <v>1162</v>
      </c>
      <c r="D184" s="524" t="s">
        <v>1163</v>
      </c>
      <c r="E184" s="524" t="s">
        <v>1164</v>
      </c>
      <c r="F184" s="524" t="s">
        <v>1111</v>
      </c>
      <c r="G184" s="524" t="s">
        <v>1110</v>
      </c>
      <c r="H184" s="527">
        <v>26938.95</v>
      </c>
      <c r="I184" s="524" t="s">
        <v>1148</v>
      </c>
      <c r="J184" s="524">
        <f>IF(cmf[[#This Row],[D/C]]="C",cmf[[#This Row],[Valor]],-1*cmf[[#This Row],[Valor]])</f>
        <v>26938.95</v>
      </c>
      <c r="L184" s="524" t="s">
        <v>1166</v>
      </c>
      <c r="M184" s="524" t="s">
        <v>1167</v>
      </c>
      <c r="N184" s="524" t="s">
        <v>1219</v>
      </c>
      <c r="O184" s="524" t="s">
        <v>1220</v>
      </c>
      <c r="P184" s="526"/>
      <c r="S184" s="527">
        <v>0</v>
      </c>
    </row>
    <row r="185" spans="1:19" x14ac:dyDescent="0.2">
      <c r="A185" s="524">
        <v>68393</v>
      </c>
      <c r="B185" s="526">
        <v>46206</v>
      </c>
      <c r="C185" s="524" t="s">
        <v>1148</v>
      </c>
      <c r="D185" s="524" t="s">
        <v>1163</v>
      </c>
      <c r="E185" s="524" t="s">
        <v>1164</v>
      </c>
      <c r="F185" s="524" t="s">
        <v>1170</v>
      </c>
      <c r="G185" s="524" t="s">
        <v>757</v>
      </c>
      <c r="H185" s="527">
        <v>369</v>
      </c>
      <c r="I185" s="524" t="s">
        <v>1148</v>
      </c>
      <c r="J185" s="524">
        <f>IF(cmf[[#This Row],[D/C]]="C",cmf[[#This Row],[Valor]],-1*cmf[[#This Row],[Valor]])</f>
        <v>369</v>
      </c>
      <c r="L185" s="524" t="s">
        <v>1166</v>
      </c>
      <c r="M185" s="524" t="s">
        <v>1167</v>
      </c>
      <c r="N185" s="524" t="s">
        <v>1223</v>
      </c>
      <c r="O185" s="524" t="s">
        <v>1224</v>
      </c>
      <c r="P185" s="526">
        <v>46206</v>
      </c>
      <c r="S185" s="527">
        <v>0</v>
      </c>
    </row>
    <row r="186" spans="1:19" x14ac:dyDescent="0.2">
      <c r="A186" s="524">
        <v>68394</v>
      </c>
      <c r="B186" s="526">
        <v>46206</v>
      </c>
      <c r="C186" s="524" t="s">
        <v>1148</v>
      </c>
      <c r="D186" s="524" t="s">
        <v>1163</v>
      </c>
      <c r="E186" s="524" t="s">
        <v>1173</v>
      </c>
      <c r="F186" s="524" t="s">
        <v>1170</v>
      </c>
      <c r="G186" s="524" t="s">
        <v>757</v>
      </c>
      <c r="H186" s="527">
        <v>6.3</v>
      </c>
      <c r="I186" s="524" t="s">
        <v>1174</v>
      </c>
      <c r="J186" s="524">
        <f>IF(cmf[[#This Row],[D/C]]="C",cmf[[#This Row],[Valor]],-1*cmf[[#This Row],[Valor]])</f>
        <v>-6.3</v>
      </c>
      <c r="L186" s="524" t="s">
        <v>1175</v>
      </c>
      <c r="M186" s="524" t="s">
        <v>1176</v>
      </c>
      <c r="N186" s="524" t="s">
        <v>1223</v>
      </c>
      <c r="O186" s="524" t="s">
        <v>1224</v>
      </c>
      <c r="P186" s="526">
        <v>46206</v>
      </c>
      <c r="S186" s="527">
        <v>0</v>
      </c>
    </row>
    <row r="187" spans="1:19" x14ac:dyDescent="0.2">
      <c r="A187" s="524">
        <v>68395</v>
      </c>
      <c r="B187" s="526">
        <v>46206</v>
      </c>
      <c r="C187" s="524" t="s">
        <v>1162</v>
      </c>
      <c r="D187" s="524" t="s">
        <v>1226</v>
      </c>
      <c r="E187" s="524" t="s">
        <v>1327</v>
      </c>
      <c r="F187" s="524" t="s">
        <v>1328</v>
      </c>
      <c r="G187" s="524" t="s">
        <v>1229</v>
      </c>
      <c r="H187" s="527">
        <v>5603.08</v>
      </c>
      <c r="I187" s="524" t="s">
        <v>1148</v>
      </c>
      <c r="J187" s="524">
        <f>IF(cmf[[#This Row],[D/C]]="C",cmf[[#This Row],[Valor]],-1*cmf[[#This Row],[Valor]])</f>
        <v>5603.08</v>
      </c>
      <c r="L187" s="524" t="s">
        <v>1230</v>
      </c>
      <c r="M187" s="524" t="s">
        <v>1231</v>
      </c>
      <c r="N187" s="524" t="s">
        <v>1171</v>
      </c>
      <c r="O187" s="524" t="s">
        <v>1172</v>
      </c>
      <c r="P187" s="526"/>
      <c r="S187" s="527">
        <v>0</v>
      </c>
    </row>
    <row r="188" spans="1:19" x14ac:dyDescent="0.2">
      <c r="A188" s="524">
        <v>68396</v>
      </c>
      <c r="B188" s="526">
        <v>46206</v>
      </c>
      <c r="C188" s="524" t="s">
        <v>1162</v>
      </c>
      <c r="D188" s="524" t="s">
        <v>1205</v>
      </c>
      <c r="E188" s="524" t="s">
        <v>1329</v>
      </c>
      <c r="F188" s="524" t="s">
        <v>1328</v>
      </c>
      <c r="G188" s="524" t="s">
        <v>1229</v>
      </c>
      <c r="H188" s="527">
        <v>5603.08</v>
      </c>
      <c r="I188" s="524" t="s">
        <v>1174</v>
      </c>
      <c r="J188" s="524">
        <f>IF(cmf[[#This Row],[D/C]]="C",cmf[[#This Row],[Valor]],-1*cmf[[#This Row],[Valor]])</f>
        <v>-5603.08</v>
      </c>
      <c r="L188" s="524" t="s">
        <v>1207</v>
      </c>
      <c r="M188" s="524" t="s">
        <v>1208</v>
      </c>
      <c r="N188" s="524" t="s">
        <v>1171</v>
      </c>
      <c r="O188" s="524" t="s">
        <v>1172</v>
      </c>
      <c r="P188" s="526"/>
      <c r="S188" s="527">
        <v>0</v>
      </c>
    </row>
    <row r="189" spans="1:19" x14ac:dyDescent="0.2">
      <c r="A189" s="524">
        <v>68397</v>
      </c>
      <c r="B189" s="526">
        <v>46206</v>
      </c>
      <c r="C189" s="524" t="s">
        <v>1162</v>
      </c>
      <c r="D189" s="524" t="s">
        <v>1205</v>
      </c>
      <c r="E189" s="524" t="s">
        <v>1330</v>
      </c>
      <c r="F189" s="524" t="s">
        <v>1183</v>
      </c>
      <c r="G189" s="524" t="s">
        <v>796</v>
      </c>
      <c r="H189" s="527">
        <v>5603.08</v>
      </c>
      <c r="I189" s="524" t="s">
        <v>1148</v>
      </c>
      <c r="J189" s="524">
        <f>IF(cmf[[#This Row],[D/C]]="C",cmf[[#This Row],[Valor]],-1*cmf[[#This Row],[Valor]])</f>
        <v>5603.08</v>
      </c>
      <c r="L189" s="524" t="s">
        <v>1207</v>
      </c>
      <c r="M189" s="524" t="s">
        <v>1208</v>
      </c>
      <c r="N189" s="524" t="s">
        <v>1184</v>
      </c>
      <c r="O189" s="524" t="s">
        <v>1172</v>
      </c>
      <c r="P189" s="526"/>
      <c r="S189" s="527">
        <v>0</v>
      </c>
    </row>
    <row r="190" spans="1:19" x14ac:dyDescent="0.2">
      <c r="A190" s="524">
        <v>68407</v>
      </c>
      <c r="B190" s="526">
        <v>46206</v>
      </c>
      <c r="C190" s="524" t="s">
        <v>1148</v>
      </c>
      <c r="D190" s="524" t="s">
        <v>1186</v>
      </c>
      <c r="E190" s="524" t="s">
        <v>1331</v>
      </c>
      <c r="F190" s="524" t="s">
        <v>1183</v>
      </c>
      <c r="G190" s="524" t="s">
        <v>800</v>
      </c>
      <c r="H190" s="527">
        <v>60000</v>
      </c>
      <c r="I190" s="524" t="s">
        <v>1174</v>
      </c>
      <c r="J190" s="524">
        <f>IF(cmf[[#This Row],[D/C]]="C",cmf[[#This Row],[Valor]],-1*cmf[[#This Row],[Valor]])</f>
        <v>-60000</v>
      </c>
      <c r="L190" s="524" t="s">
        <v>1188</v>
      </c>
      <c r="M190" s="524" t="s">
        <v>1189</v>
      </c>
      <c r="N190" s="524" t="s">
        <v>1171</v>
      </c>
      <c r="O190" s="524" t="s">
        <v>1172</v>
      </c>
      <c r="P190" s="526">
        <v>46206</v>
      </c>
      <c r="S190" s="527">
        <v>0</v>
      </c>
    </row>
    <row r="191" spans="1:19" x14ac:dyDescent="0.2">
      <c r="A191" s="524">
        <v>68408</v>
      </c>
      <c r="B191" s="526">
        <v>46206</v>
      </c>
      <c r="C191" s="524" t="s">
        <v>1148</v>
      </c>
      <c r="D191" s="524" t="s">
        <v>1186</v>
      </c>
      <c r="E191" s="524" t="s">
        <v>1332</v>
      </c>
      <c r="F191" s="524" t="s">
        <v>1183</v>
      </c>
      <c r="G191" s="524" t="s">
        <v>803</v>
      </c>
      <c r="H191" s="527">
        <v>60000</v>
      </c>
      <c r="I191" s="524" t="s">
        <v>1174</v>
      </c>
      <c r="J191" s="524">
        <f>IF(cmf[[#This Row],[D/C]]="C",cmf[[#This Row],[Valor]],-1*cmf[[#This Row],[Valor]])</f>
        <v>-60000</v>
      </c>
      <c r="L191" s="524" t="s">
        <v>1188</v>
      </c>
      <c r="M191" s="524" t="s">
        <v>1189</v>
      </c>
      <c r="N191" s="524" t="s">
        <v>1192</v>
      </c>
      <c r="O191" s="524" t="s">
        <v>1193</v>
      </c>
      <c r="P191" s="526">
        <v>46206</v>
      </c>
      <c r="S191" s="527">
        <v>0</v>
      </c>
    </row>
    <row r="192" spans="1:19" x14ac:dyDescent="0.2">
      <c r="A192" s="524">
        <v>68409</v>
      </c>
      <c r="B192" s="526">
        <v>46206</v>
      </c>
      <c r="C192" s="524" t="s">
        <v>1162</v>
      </c>
      <c r="D192" s="524" t="s">
        <v>1163</v>
      </c>
      <c r="E192" s="524" t="s">
        <v>1173</v>
      </c>
      <c r="F192" s="524" t="s">
        <v>1165</v>
      </c>
      <c r="G192" s="524" t="s">
        <v>756</v>
      </c>
      <c r="H192" s="527">
        <v>5.96</v>
      </c>
      <c r="I192" s="524" t="s">
        <v>1174</v>
      </c>
      <c r="J192" s="524">
        <f>IF(cmf[[#This Row],[D/C]]="C",cmf[[#This Row],[Valor]],-1*cmf[[#This Row],[Valor]])</f>
        <v>-5.96</v>
      </c>
      <c r="L192" s="524" t="s">
        <v>1175</v>
      </c>
      <c r="M192" s="524" t="s">
        <v>1176</v>
      </c>
      <c r="N192" s="524" t="s">
        <v>1168</v>
      </c>
      <c r="O192" s="524" t="s">
        <v>1169</v>
      </c>
      <c r="P192" s="526"/>
      <c r="S192" s="527">
        <v>0</v>
      </c>
    </row>
    <row r="193" spans="1:19" x14ac:dyDescent="0.2">
      <c r="A193" s="524">
        <v>68418</v>
      </c>
      <c r="B193" s="526">
        <v>46206</v>
      </c>
      <c r="C193" s="524" t="s">
        <v>1162</v>
      </c>
      <c r="D193" s="524" t="s">
        <v>1163</v>
      </c>
      <c r="E193" s="524" t="s">
        <v>1173</v>
      </c>
      <c r="F193" s="524" t="s">
        <v>1183</v>
      </c>
      <c r="G193" s="524" t="s">
        <v>796</v>
      </c>
      <c r="H193" s="527">
        <v>4.5999999999999996</v>
      </c>
      <c r="I193" s="524" t="s">
        <v>1174</v>
      </c>
      <c r="J193" s="524">
        <f>IF(cmf[[#This Row],[D/C]]="C",cmf[[#This Row],[Valor]],-1*cmf[[#This Row],[Valor]])</f>
        <v>-4.5999999999999996</v>
      </c>
      <c r="L193" s="524" t="s">
        <v>1175</v>
      </c>
      <c r="M193" s="524" t="s">
        <v>1176</v>
      </c>
      <c r="N193" s="524" t="s">
        <v>1184</v>
      </c>
      <c r="O193" s="524" t="s">
        <v>1172</v>
      </c>
      <c r="P193" s="526"/>
      <c r="S193" s="527">
        <v>0</v>
      </c>
    </row>
    <row r="194" spans="1:19" x14ac:dyDescent="0.2">
      <c r="A194" s="524">
        <v>68540</v>
      </c>
      <c r="B194" s="526">
        <v>46206</v>
      </c>
      <c r="C194" s="524" t="s">
        <v>1162</v>
      </c>
      <c r="D194" s="524" t="s">
        <v>1226</v>
      </c>
      <c r="E194" s="524" t="s">
        <v>1333</v>
      </c>
      <c r="F194" s="524" t="s">
        <v>1228</v>
      </c>
      <c r="G194" s="524" t="s">
        <v>1229</v>
      </c>
      <c r="H194" s="527">
        <v>3000</v>
      </c>
      <c r="I194" s="524" t="s">
        <v>1148</v>
      </c>
      <c r="J194" s="524">
        <f>IF(cmf[[#This Row],[D/C]]="C",cmf[[#This Row],[Valor]],-1*cmf[[#This Row],[Valor]])</f>
        <v>3000</v>
      </c>
      <c r="L194" s="524" t="s">
        <v>1230</v>
      </c>
      <c r="M194" s="524" t="s">
        <v>1231</v>
      </c>
      <c r="N194" s="524" t="s">
        <v>1223</v>
      </c>
      <c r="O194" s="524" t="s">
        <v>1224</v>
      </c>
      <c r="P194" s="526"/>
      <c r="S194" s="527">
        <v>0</v>
      </c>
    </row>
    <row r="195" spans="1:19" x14ac:dyDescent="0.2">
      <c r="A195" s="524">
        <v>68929</v>
      </c>
      <c r="B195" s="526">
        <v>46206</v>
      </c>
      <c r="C195" s="524" t="s">
        <v>1162</v>
      </c>
      <c r="D195" s="524" t="s">
        <v>1205</v>
      </c>
      <c r="E195" s="524" t="s">
        <v>1233</v>
      </c>
      <c r="F195" s="524" t="s">
        <v>1228</v>
      </c>
      <c r="G195" s="524" t="s">
        <v>1229</v>
      </c>
      <c r="H195" s="527">
        <v>3000</v>
      </c>
      <c r="I195" s="524" t="s">
        <v>1174</v>
      </c>
      <c r="J195" s="524">
        <f>IF(cmf[[#This Row],[D/C]]="C",cmf[[#This Row],[Valor]],-1*cmf[[#This Row],[Valor]])</f>
        <v>-3000</v>
      </c>
      <c r="L195" s="524" t="s">
        <v>1207</v>
      </c>
      <c r="M195" s="524" t="s">
        <v>1208</v>
      </c>
      <c r="N195" s="524" t="s">
        <v>1223</v>
      </c>
      <c r="O195" s="524" t="s">
        <v>1224</v>
      </c>
      <c r="P195" s="526"/>
      <c r="S195" s="527">
        <v>0</v>
      </c>
    </row>
    <row r="196" spans="1:19" x14ac:dyDescent="0.2">
      <c r="A196" s="524">
        <v>68930</v>
      </c>
      <c r="B196" s="526">
        <v>46206</v>
      </c>
      <c r="C196" s="524" t="s">
        <v>1162</v>
      </c>
      <c r="D196" s="524" t="s">
        <v>1205</v>
      </c>
      <c r="E196" s="524" t="s">
        <v>1234</v>
      </c>
      <c r="F196" s="524" t="s">
        <v>1165</v>
      </c>
      <c r="G196" s="524" t="s">
        <v>756</v>
      </c>
      <c r="H196" s="527">
        <v>3000</v>
      </c>
      <c r="I196" s="524" t="s">
        <v>1148</v>
      </c>
      <c r="J196" s="524">
        <f>IF(cmf[[#This Row],[D/C]]="C",cmf[[#This Row],[Valor]],-1*cmf[[#This Row],[Valor]])</f>
        <v>3000</v>
      </c>
      <c r="L196" s="524" t="s">
        <v>1207</v>
      </c>
      <c r="M196" s="524" t="s">
        <v>1208</v>
      </c>
      <c r="N196" s="524" t="s">
        <v>1168</v>
      </c>
      <c r="O196" s="524" t="s">
        <v>1169</v>
      </c>
      <c r="P196" s="526"/>
      <c r="S196" s="527">
        <v>0</v>
      </c>
    </row>
    <row r="197" spans="1:19" x14ac:dyDescent="0.2">
      <c r="A197" s="524">
        <v>69060</v>
      </c>
      <c r="B197" s="526">
        <v>46206</v>
      </c>
      <c r="C197" s="524" t="s">
        <v>1148</v>
      </c>
      <c r="D197" s="524" t="s">
        <v>1205</v>
      </c>
      <c r="E197" s="524" t="s">
        <v>1334</v>
      </c>
      <c r="F197" s="524" t="s">
        <v>1183</v>
      </c>
      <c r="G197" s="524" t="s">
        <v>742</v>
      </c>
      <c r="H197" s="527">
        <v>160000</v>
      </c>
      <c r="I197" s="524" t="s">
        <v>1174</v>
      </c>
      <c r="J197" s="524">
        <f>IF(cmf[[#This Row],[D/C]]="C",cmf[[#This Row],[Valor]],-1*cmf[[#This Row],[Valor]])</f>
        <v>-160000</v>
      </c>
      <c r="L197" s="524" t="s">
        <v>1207</v>
      </c>
      <c r="M197" s="524" t="s">
        <v>1208</v>
      </c>
      <c r="N197" s="524" t="s">
        <v>1215</v>
      </c>
      <c r="O197" s="524" t="s">
        <v>1218</v>
      </c>
      <c r="P197" s="526">
        <v>46206</v>
      </c>
      <c r="S197" s="527">
        <v>0</v>
      </c>
    </row>
    <row r="198" spans="1:19" x14ac:dyDescent="0.2">
      <c r="A198" s="524">
        <v>69061</v>
      </c>
      <c r="B198" s="526">
        <v>46206</v>
      </c>
      <c r="C198" s="524" t="s">
        <v>1148</v>
      </c>
      <c r="D198" s="524" t="s">
        <v>1205</v>
      </c>
      <c r="E198" s="524" t="s">
        <v>1217</v>
      </c>
      <c r="F198" s="524" t="s">
        <v>1183</v>
      </c>
      <c r="G198" s="524" t="s">
        <v>769</v>
      </c>
      <c r="H198" s="527">
        <v>160000</v>
      </c>
      <c r="I198" s="524" t="s">
        <v>1148</v>
      </c>
      <c r="J198" s="524">
        <f>IF(cmf[[#This Row],[D/C]]="C",cmf[[#This Row],[Valor]],-1*cmf[[#This Row],[Valor]])</f>
        <v>160000</v>
      </c>
      <c r="L198" s="524" t="s">
        <v>1207</v>
      </c>
      <c r="M198" s="524" t="s">
        <v>1208</v>
      </c>
      <c r="N198" s="524" t="s">
        <v>1219</v>
      </c>
      <c r="O198" s="524" t="s">
        <v>1220</v>
      </c>
      <c r="P198" s="526">
        <v>46206</v>
      </c>
      <c r="S198" s="527">
        <v>0</v>
      </c>
    </row>
    <row r="199" spans="1:19" x14ac:dyDescent="0.2">
      <c r="A199" s="524">
        <v>69062</v>
      </c>
      <c r="B199" s="526">
        <v>46206</v>
      </c>
      <c r="C199" s="524" t="s">
        <v>1148</v>
      </c>
      <c r="D199" s="524" t="s">
        <v>1205</v>
      </c>
      <c r="E199" s="524" t="s">
        <v>1335</v>
      </c>
      <c r="F199" s="524" t="s">
        <v>1183</v>
      </c>
      <c r="G199" s="524" t="s">
        <v>742</v>
      </c>
      <c r="H199" s="527">
        <v>125000</v>
      </c>
      <c r="I199" s="524" t="s">
        <v>1174</v>
      </c>
      <c r="J199" s="524">
        <f>IF(cmf[[#This Row],[D/C]]="C",cmf[[#This Row],[Valor]],-1*cmf[[#This Row],[Valor]])</f>
        <v>-125000</v>
      </c>
      <c r="L199" s="524" t="s">
        <v>1207</v>
      </c>
      <c r="M199" s="524" t="s">
        <v>1208</v>
      </c>
      <c r="N199" s="524" t="s">
        <v>1215</v>
      </c>
      <c r="O199" s="524" t="s">
        <v>1218</v>
      </c>
      <c r="P199" s="526">
        <v>46206</v>
      </c>
      <c r="S199" s="527">
        <v>0</v>
      </c>
    </row>
    <row r="200" spans="1:19" x14ac:dyDescent="0.2">
      <c r="A200" s="524">
        <v>69063</v>
      </c>
      <c r="B200" s="526">
        <v>46206</v>
      </c>
      <c r="C200" s="524" t="s">
        <v>1148</v>
      </c>
      <c r="D200" s="524" t="s">
        <v>1205</v>
      </c>
      <c r="E200" s="524" t="s">
        <v>1217</v>
      </c>
      <c r="F200" s="524" t="s">
        <v>1183</v>
      </c>
      <c r="G200" s="524" t="s">
        <v>800</v>
      </c>
      <c r="H200" s="527">
        <v>125000</v>
      </c>
      <c r="I200" s="524" t="s">
        <v>1148</v>
      </c>
      <c r="J200" s="524">
        <f>IF(cmf[[#This Row],[D/C]]="C",cmf[[#This Row],[Valor]],-1*cmf[[#This Row],[Valor]])</f>
        <v>125000</v>
      </c>
      <c r="L200" s="524" t="s">
        <v>1207</v>
      </c>
      <c r="M200" s="524" t="s">
        <v>1208</v>
      </c>
      <c r="N200" s="524" t="s">
        <v>1171</v>
      </c>
      <c r="O200" s="524" t="s">
        <v>1172</v>
      </c>
      <c r="P200" s="526">
        <v>46206</v>
      </c>
      <c r="S200" s="527">
        <v>0</v>
      </c>
    </row>
    <row r="201" spans="1:19" x14ac:dyDescent="0.2">
      <c r="A201" s="524">
        <v>69064</v>
      </c>
      <c r="B201" s="526">
        <v>46206</v>
      </c>
      <c r="C201" s="524" t="s">
        <v>1148</v>
      </c>
      <c r="D201" s="524" t="s">
        <v>1205</v>
      </c>
      <c r="E201" s="524" t="s">
        <v>1336</v>
      </c>
      <c r="F201" s="524" t="s">
        <v>1183</v>
      </c>
      <c r="G201" s="524" t="s">
        <v>742</v>
      </c>
      <c r="H201" s="527">
        <v>60000</v>
      </c>
      <c r="I201" s="524" t="s">
        <v>1174</v>
      </c>
      <c r="J201" s="524">
        <f>IF(cmf[[#This Row],[D/C]]="C",cmf[[#This Row],[Valor]],-1*cmf[[#This Row],[Valor]])</f>
        <v>-60000</v>
      </c>
      <c r="L201" s="524" t="s">
        <v>1207</v>
      </c>
      <c r="M201" s="524" t="s">
        <v>1208</v>
      </c>
      <c r="N201" s="524" t="s">
        <v>1215</v>
      </c>
      <c r="O201" s="524" t="s">
        <v>1218</v>
      </c>
      <c r="P201" s="526">
        <v>46206</v>
      </c>
      <c r="S201" s="527">
        <v>0</v>
      </c>
    </row>
    <row r="202" spans="1:19" x14ac:dyDescent="0.2">
      <c r="A202" s="524">
        <v>69065</v>
      </c>
      <c r="B202" s="526">
        <v>46206</v>
      </c>
      <c r="C202" s="524" t="s">
        <v>1148</v>
      </c>
      <c r="D202" s="524" t="s">
        <v>1205</v>
      </c>
      <c r="E202" s="524" t="s">
        <v>1217</v>
      </c>
      <c r="F202" s="524" t="s">
        <v>1183</v>
      </c>
      <c r="G202" s="524" t="s">
        <v>763</v>
      </c>
      <c r="H202" s="527">
        <v>60000</v>
      </c>
      <c r="I202" s="524" t="s">
        <v>1148</v>
      </c>
      <c r="J202" s="524">
        <f>IF(cmf[[#This Row],[D/C]]="C",cmf[[#This Row],[Valor]],-1*cmf[[#This Row],[Valor]])</f>
        <v>60000</v>
      </c>
      <c r="L202" s="524" t="s">
        <v>1207</v>
      </c>
      <c r="M202" s="524" t="s">
        <v>1208</v>
      </c>
      <c r="N202" s="524" t="s">
        <v>1180</v>
      </c>
      <c r="O202" s="524" t="s">
        <v>1181</v>
      </c>
      <c r="P202" s="526">
        <v>46206</v>
      </c>
      <c r="S202" s="527">
        <v>0</v>
      </c>
    </row>
    <row r="203" spans="1:19" x14ac:dyDescent="0.2">
      <c r="A203" s="524">
        <v>69066</v>
      </c>
      <c r="B203" s="526">
        <v>46206</v>
      </c>
      <c r="C203" s="524" t="s">
        <v>1148</v>
      </c>
      <c r="D203" s="524" t="s">
        <v>1205</v>
      </c>
      <c r="E203" s="524" t="s">
        <v>1337</v>
      </c>
      <c r="F203" s="524" t="s">
        <v>1183</v>
      </c>
      <c r="G203" s="524" t="s">
        <v>742</v>
      </c>
      <c r="H203" s="527">
        <v>10000</v>
      </c>
      <c r="I203" s="524" t="s">
        <v>1174</v>
      </c>
      <c r="J203" s="524">
        <f>IF(cmf[[#This Row],[D/C]]="C",cmf[[#This Row],[Valor]],-1*cmf[[#This Row],[Valor]])</f>
        <v>-10000</v>
      </c>
      <c r="L203" s="524" t="s">
        <v>1207</v>
      </c>
      <c r="M203" s="524" t="s">
        <v>1208</v>
      </c>
      <c r="N203" s="524" t="s">
        <v>1215</v>
      </c>
      <c r="O203" s="524" t="s">
        <v>1218</v>
      </c>
      <c r="P203" s="526">
        <v>46206</v>
      </c>
      <c r="S203" s="527">
        <v>0</v>
      </c>
    </row>
    <row r="204" spans="1:19" x14ac:dyDescent="0.2">
      <c r="A204" s="524">
        <v>69067</v>
      </c>
      <c r="B204" s="526">
        <v>46206</v>
      </c>
      <c r="C204" s="524" t="s">
        <v>1148</v>
      </c>
      <c r="D204" s="524" t="s">
        <v>1205</v>
      </c>
      <c r="E204" s="524" t="s">
        <v>1217</v>
      </c>
      <c r="F204" s="524" t="s">
        <v>1183</v>
      </c>
      <c r="G204" s="524" t="s">
        <v>803</v>
      </c>
      <c r="H204" s="527">
        <v>10000</v>
      </c>
      <c r="I204" s="524" t="s">
        <v>1148</v>
      </c>
      <c r="J204" s="524">
        <f>IF(cmf[[#This Row],[D/C]]="C",cmf[[#This Row],[Valor]],-1*cmf[[#This Row],[Valor]])</f>
        <v>10000</v>
      </c>
      <c r="L204" s="524" t="s">
        <v>1207</v>
      </c>
      <c r="M204" s="524" t="s">
        <v>1208</v>
      </c>
      <c r="N204" s="524" t="s">
        <v>1192</v>
      </c>
      <c r="O204" s="524" t="s">
        <v>1193</v>
      </c>
      <c r="P204" s="526">
        <v>46206</v>
      </c>
      <c r="S204" s="527">
        <v>0</v>
      </c>
    </row>
    <row r="205" spans="1:19" x14ac:dyDescent="0.2">
      <c r="A205" s="524">
        <v>69291</v>
      </c>
      <c r="B205" s="526">
        <v>46206</v>
      </c>
      <c r="C205" s="524" t="s">
        <v>1162</v>
      </c>
      <c r="D205" s="524" t="s">
        <v>1205</v>
      </c>
      <c r="E205" s="524" t="s">
        <v>1338</v>
      </c>
      <c r="F205" s="524" t="s">
        <v>1183</v>
      </c>
      <c r="G205" s="524" t="s">
        <v>800</v>
      </c>
      <c r="H205" s="527">
        <v>30000</v>
      </c>
      <c r="I205" s="524" t="s">
        <v>1174</v>
      </c>
      <c r="J205" s="524">
        <f>IF(cmf[[#This Row],[D/C]]="C",cmf[[#This Row],[Valor]],-1*cmf[[#This Row],[Valor]])</f>
        <v>-30000</v>
      </c>
      <c r="L205" s="524" t="s">
        <v>1207</v>
      </c>
      <c r="M205" s="524" t="s">
        <v>1208</v>
      </c>
      <c r="N205" s="524" t="s">
        <v>1171</v>
      </c>
      <c r="O205" s="524" t="s">
        <v>1172</v>
      </c>
      <c r="P205" s="526"/>
      <c r="S205" s="527">
        <v>0</v>
      </c>
    </row>
    <row r="206" spans="1:19" x14ac:dyDescent="0.2">
      <c r="A206" s="524">
        <v>69292</v>
      </c>
      <c r="B206" s="526">
        <v>46206</v>
      </c>
      <c r="C206" s="524" t="s">
        <v>1162</v>
      </c>
      <c r="D206" s="524" t="s">
        <v>1205</v>
      </c>
      <c r="E206" s="524" t="s">
        <v>1330</v>
      </c>
      <c r="F206" s="524" t="s">
        <v>1170</v>
      </c>
      <c r="G206" s="524" t="s">
        <v>771</v>
      </c>
      <c r="H206" s="527">
        <v>30000</v>
      </c>
      <c r="I206" s="524" t="s">
        <v>1148</v>
      </c>
      <c r="J206" s="524">
        <f>IF(cmf[[#This Row],[D/C]]="C",cmf[[#This Row],[Valor]],-1*cmf[[#This Row],[Valor]])</f>
        <v>30000</v>
      </c>
      <c r="L206" s="524" t="s">
        <v>1207</v>
      </c>
      <c r="M206" s="524" t="s">
        <v>1208</v>
      </c>
      <c r="N206" s="524" t="s">
        <v>1249</v>
      </c>
      <c r="O206" s="524" t="s">
        <v>1250</v>
      </c>
      <c r="P206" s="526"/>
      <c r="S206" s="527">
        <v>0</v>
      </c>
    </row>
    <row r="207" spans="1:19" x14ac:dyDescent="0.2">
      <c r="A207" s="524">
        <v>69293</v>
      </c>
      <c r="B207" s="526">
        <v>46206</v>
      </c>
      <c r="C207" s="524" t="s">
        <v>1162</v>
      </c>
      <c r="D207" s="524" t="s">
        <v>1205</v>
      </c>
      <c r="E207" s="524" t="s">
        <v>1339</v>
      </c>
      <c r="F207" s="524" t="s">
        <v>1183</v>
      </c>
      <c r="G207" s="524" t="s">
        <v>800</v>
      </c>
      <c r="H207" s="527">
        <v>35000</v>
      </c>
      <c r="I207" s="524" t="s">
        <v>1174</v>
      </c>
      <c r="J207" s="524">
        <f>IF(cmf[[#This Row],[D/C]]="C",cmf[[#This Row],[Valor]],-1*cmf[[#This Row],[Valor]])</f>
        <v>-35000</v>
      </c>
      <c r="L207" s="524" t="s">
        <v>1207</v>
      </c>
      <c r="M207" s="524" t="s">
        <v>1208</v>
      </c>
      <c r="N207" s="524" t="s">
        <v>1171</v>
      </c>
      <c r="O207" s="524" t="s">
        <v>1172</v>
      </c>
      <c r="P207" s="526"/>
      <c r="S207" s="527">
        <v>0</v>
      </c>
    </row>
    <row r="208" spans="1:19" x14ac:dyDescent="0.2">
      <c r="A208" s="524">
        <v>69294</v>
      </c>
      <c r="B208" s="526">
        <v>46206</v>
      </c>
      <c r="C208" s="524" t="s">
        <v>1162</v>
      </c>
      <c r="D208" s="524" t="s">
        <v>1205</v>
      </c>
      <c r="E208" s="524" t="s">
        <v>1330</v>
      </c>
      <c r="F208" s="524" t="s">
        <v>1170</v>
      </c>
      <c r="G208" s="524" t="s">
        <v>794</v>
      </c>
      <c r="H208" s="527">
        <v>35000</v>
      </c>
      <c r="I208" s="524" t="s">
        <v>1148</v>
      </c>
      <c r="J208" s="524">
        <f>IF(cmf[[#This Row],[D/C]]="C",cmf[[#This Row],[Valor]],-1*cmf[[#This Row],[Valor]])</f>
        <v>35000</v>
      </c>
      <c r="L208" s="524" t="s">
        <v>1207</v>
      </c>
      <c r="M208" s="524" t="s">
        <v>1208</v>
      </c>
      <c r="N208" s="524" t="s">
        <v>1340</v>
      </c>
      <c r="O208" s="524" t="s">
        <v>1341</v>
      </c>
      <c r="P208" s="526"/>
      <c r="S208" s="527">
        <v>0</v>
      </c>
    </row>
    <row r="209" spans="1:19" x14ac:dyDescent="0.2">
      <c r="A209" s="524">
        <v>69345</v>
      </c>
      <c r="B209" s="526">
        <v>46206</v>
      </c>
      <c r="C209" s="524" t="s">
        <v>1148</v>
      </c>
      <c r="D209" s="524" t="s">
        <v>1243</v>
      </c>
      <c r="E209" s="524" t="s">
        <v>1244</v>
      </c>
      <c r="F209" s="524" t="s">
        <v>1183</v>
      </c>
      <c r="G209" s="524" t="s">
        <v>803</v>
      </c>
      <c r="H209" s="527">
        <v>92999.57</v>
      </c>
      <c r="I209" s="524" t="s">
        <v>1148</v>
      </c>
      <c r="J209" s="524">
        <f>IF(cmf[[#This Row],[D/C]]="C",cmf[[#This Row],[Valor]],-1*cmf[[#This Row],[Valor]])</f>
        <v>92999.57</v>
      </c>
      <c r="L209" s="524" t="s">
        <v>1245</v>
      </c>
      <c r="M209" s="524" t="s">
        <v>1246</v>
      </c>
      <c r="N209" s="524" t="s">
        <v>1192</v>
      </c>
      <c r="O209" s="524" t="s">
        <v>1193</v>
      </c>
      <c r="P209" s="526">
        <v>46206</v>
      </c>
      <c r="S209" s="527">
        <v>0</v>
      </c>
    </row>
    <row r="210" spans="1:19" x14ac:dyDescent="0.2">
      <c r="A210" s="524">
        <v>69346</v>
      </c>
      <c r="B210" s="526">
        <v>46206</v>
      </c>
      <c r="C210" s="524" t="s">
        <v>1148</v>
      </c>
      <c r="D210" s="524" t="s">
        <v>1243</v>
      </c>
      <c r="E210" s="524" t="s">
        <v>1244</v>
      </c>
      <c r="F210" s="524" t="s">
        <v>1183</v>
      </c>
      <c r="G210" s="524" t="s">
        <v>803</v>
      </c>
      <c r="H210" s="527">
        <v>0.43</v>
      </c>
      <c r="I210" s="524" t="s">
        <v>1148</v>
      </c>
      <c r="J210" s="524">
        <f>IF(cmf[[#This Row],[D/C]]="C",cmf[[#This Row],[Valor]],-1*cmf[[#This Row],[Valor]])</f>
        <v>0.43</v>
      </c>
      <c r="L210" s="524" t="s">
        <v>1245</v>
      </c>
      <c r="M210" s="524" t="s">
        <v>1246</v>
      </c>
      <c r="N210" s="524" t="s">
        <v>1192</v>
      </c>
      <c r="O210" s="524" t="s">
        <v>1193</v>
      </c>
      <c r="P210" s="526">
        <v>46206</v>
      </c>
      <c r="S210" s="527">
        <v>0</v>
      </c>
    </row>
    <row r="211" spans="1:19" x14ac:dyDescent="0.2">
      <c r="A211" s="524">
        <v>69376</v>
      </c>
      <c r="B211" s="526">
        <v>46206</v>
      </c>
      <c r="C211" s="524" t="s">
        <v>1162</v>
      </c>
      <c r="D211" s="524" t="s">
        <v>1205</v>
      </c>
      <c r="E211" s="524" t="s">
        <v>1338</v>
      </c>
      <c r="F211" s="524" t="s">
        <v>1183</v>
      </c>
      <c r="G211" s="524" t="s">
        <v>803</v>
      </c>
      <c r="H211" s="527">
        <v>12000</v>
      </c>
      <c r="I211" s="524" t="s">
        <v>1174</v>
      </c>
      <c r="J211" s="524">
        <f>IF(cmf[[#This Row],[D/C]]="C",cmf[[#This Row],[Valor]],-1*cmf[[#This Row],[Valor]])</f>
        <v>-12000</v>
      </c>
      <c r="L211" s="524" t="s">
        <v>1207</v>
      </c>
      <c r="M211" s="524" t="s">
        <v>1208</v>
      </c>
      <c r="N211" s="524" t="s">
        <v>1192</v>
      </c>
      <c r="O211" s="524" t="s">
        <v>1193</v>
      </c>
      <c r="P211" s="526"/>
      <c r="S211" s="527">
        <v>0</v>
      </c>
    </row>
    <row r="212" spans="1:19" x14ac:dyDescent="0.2">
      <c r="A212" s="524">
        <v>69377</v>
      </c>
      <c r="B212" s="526">
        <v>46206</v>
      </c>
      <c r="C212" s="524" t="s">
        <v>1162</v>
      </c>
      <c r="D212" s="524" t="s">
        <v>1205</v>
      </c>
      <c r="E212" s="524" t="s">
        <v>1342</v>
      </c>
      <c r="F212" s="524" t="s">
        <v>1170</v>
      </c>
      <c r="G212" s="524" t="s">
        <v>771</v>
      </c>
      <c r="H212" s="527">
        <v>12000</v>
      </c>
      <c r="I212" s="524" t="s">
        <v>1148</v>
      </c>
      <c r="J212" s="524">
        <f>IF(cmf[[#This Row],[D/C]]="C",cmf[[#This Row],[Valor]],-1*cmf[[#This Row],[Valor]])</f>
        <v>12000</v>
      </c>
      <c r="L212" s="524" t="s">
        <v>1207</v>
      </c>
      <c r="M212" s="524" t="s">
        <v>1208</v>
      </c>
      <c r="N212" s="524" t="s">
        <v>1249</v>
      </c>
      <c r="O212" s="524" t="s">
        <v>1250</v>
      </c>
      <c r="P212" s="526"/>
      <c r="S212" s="527">
        <v>0</v>
      </c>
    </row>
    <row r="213" spans="1:19" x14ac:dyDescent="0.2">
      <c r="A213" s="524">
        <v>69381</v>
      </c>
      <c r="B213" s="526">
        <v>46206</v>
      </c>
      <c r="C213" s="524" t="s">
        <v>1162</v>
      </c>
      <c r="D213" s="524" t="s">
        <v>1205</v>
      </c>
      <c r="E213" s="524" t="s">
        <v>1206</v>
      </c>
      <c r="F213" s="524" t="s">
        <v>1183</v>
      </c>
      <c r="G213" s="524" t="s">
        <v>803</v>
      </c>
      <c r="H213" s="527">
        <v>31000</v>
      </c>
      <c r="I213" s="524" t="s">
        <v>1174</v>
      </c>
      <c r="J213" s="524">
        <f>IF(cmf[[#This Row],[D/C]]="C",cmf[[#This Row],[Valor]],-1*cmf[[#This Row],[Valor]])</f>
        <v>-31000</v>
      </c>
      <c r="L213" s="524" t="s">
        <v>1207</v>
      </c>
      <c r="M213" s="524" t="s">
        <v>1208</v>
      </c>
      <c r="N213" s="524" t="s">
        <v>1192</v>
      </c>
      <c r="O213" s="524" t="s">
        <v>1193</v>
      </c>
      <c r="P213" s="526"/>
      <c r="S213" s="527">
        <v>0</v>
      </c>
    </row>
    <row r="214" spans="1:19" x14ac:dyDescent="0.2">
      <c r="A214" s="524">
        <v>69382</v>
      </c>
      <c r="B214" s="526">
        <v>46206</v>
      </c>
      <c r="C214" s="524" t="s">
        <v>1162</v>
      </c>
      <c r="D214" s="524" t="s">
        <v>1205</v>
      </c>
      <c r="E214" s="524" t="s">
        <v>1342</v>
      </c>
      <c r="F214" s="524" t="s">
        <v>1170</v>
      </c>
      <c r="G214" s="524" t="s">
        <v>775</v>
      </c>
      <c r="H214" s="527">
        <v>31000</v>
      </c>
      <c r="I214" s="524" t="s">
        <v>1148</v>
      </c>
      <c r="J214" s="524">
        <f>IF(cmf[[#This Row],[D/C]]="C",cmf[[#This Row],[Valor]],-1*cmf[[#This Row],[Valor]])</f>
        <v>31000</v>
      </c>
      <c r="L214" s="524" t="s">
        <v>1207</v>
      </c>
      <c r="M214" s="524" t="s">
        <v>1208</v>
      </c>
      <c r="N214" s="524" t="s">
        <v>1212</v>
      </c>
      <c r="O214" s="524" t="s">
        <v>1213</v>
      </c>
      <c r="P214" s="526"/>
      <c r="S214" s="527">
        <v>0</v>
      </c>
    </row>
    <row r="215" spans="1:19" x14ac:dyDescent="0.2">
      <c r="A215" s="524">
        <v>69402</v>
      </c>
      <c r="B215" s="526">
        <v>46206</v>
      </c>
      <c r="C215" s="524" t="s">
        <v>1148</v>
      </c>
      <c r="D215" s="524" t="s">
        <v>1226</v>
      </c>
      <c r="E215" s="524" t="s">
        <v>1343</v>
      </c>
      <c r="F215" s="524" t="s">
        <v>1170</v>
      </c>
      <c r="G215" s="524" t="s">
        <v>1102</v>
      </c>
      <c r="H215" s="527">
        <v>250.69</v>
      </c>
      <c r="I215" s="524" t="s">
        <v>1148</v>
      </c>
      <c r="J215" s="524">
        <f>IF(cmf[[#This Row],[D/C]]="C",cmf[[#This Row],[Valor]],-1*cmf[[#This Row],[Valor]])</f>
        <v>250.69</v>
      </c>
      <c r="L215" s="524" t="s">
        <v>1230</v>
      </c>
      <c r="M215" s="524" t="s">
        <v>1231</v>
      </c>
      <c r="N215" s="524" t="s">
        <v>1192</v>
      </c>
      <c r="O215" s="524" t="s">
        <v>1193</v>
      </c>
      <c r="P215" s="526">
        <v>46206</v>
      </c>
      <c r="S215" s="527">
        <v>0</v>
      </c>
    </row>
    <row r="216" spans="1:19" x14ac:dyDescent="0.2">
      <c r="A216" s="524">
        <v>69403</v>
      </c>
      <c r="B216" s="526">
        <v>46206</v>
      </c>
      <c r="C216" s="524" t="s">
        <v>1148</v>
      </c>
      <c r="D216" s="524" t="s">
        <v>1226</v>
      </c>
      <c r="E216" s="524" t="s">
        <v>1344</v>
      </c>
      <c r="F216" s="524" t="s">
        <v>1170</v>
      </c>
      <c r="G216" s="524" t="s">
        <v>1102</v>
      </c>
      <c r="H216" s="527">
        <v>2262.65</v>
      </c>
      <c r="I216" s="524" t="s">
        <v>1148</v>
      </c>
      <c r="J216" s="524">
        <f>IF(cmf[[#This Row],[D/C]]="C",cmf[[#This Row],[Valor]],-1*cmf[[#This Row],[Valor]])</f>
        <v>2262.65</v>
      </c>
      <c r="L216" s="524" t="s">
        <v>1230</v>
      </c>
      <c r="M216" s="524" t="s">
        <v>1231</v>
      </c>
      <c r="N216" s="524" t="s">
        <v>1192</v>
      </c>
      <c r="O216" s="524" t="s">
        <v>1193</v>
      </c>
      <c r="P216" s="526">
        <v>46206</v>
      </c>
      <c r="S216" s="527">
        <v>0</v>
      </c>
    </row>
    <row r="217" spans="1:19" x14ac:dyDescent="0.2">
      <c r="A217" s="524">
        <v>69404</v>
      </c>
      <c r="B217" s="526">
        <v>46206</v>
      </c>
      <c r="C217" s="524" t="s">
        <v>1148</v>
      </c>
      <c r="D217" s="524" t="s">
        <v>1226</v>
      </c>
      <c r="E217" s="524" t="s">
        <v>1345</v>
      </c>
      <c r="F217" s="524" t="s">
        <v>1170</v>
      </c>
      <c r="G217" s="524" t="s">
        <v>1102</v>
      </c>
      <c r="H217" s="527">
        <v>1781.68</v>
      </c>
      <c r="I217" s="524" t="s">
        <v>1148</v>
      </c>
      <c r="J217" s="524">
        <f>IF(cmf[[#This Row],[D/C]]="C",cmf[[#This Row],[Valor]],-1*cmf[[#This Row],[Valor]])</f>
        <v>1781.68</v>
      </c>
      <c r="L217" s="524" t="s">
        <v>1230</v>
      </c>
      <c r="M217" s="524" t="s">
        <v>1231</v>
      </c>
      <c r="N217" s="524" t="s">
        <v>1192</v>
      </c>
      <c r="O217" s="524" t="s">
        <v>1193</v>
      </c>
      <c r="P217" s="526">
        <v>46206</v>
      </c>
      <c r="S217" s="527">
        <v>0</v>
      </c>
    </row>
    <row r="218" spans="1:19" x14ac:dyDescent="0.2">
      <c r="A218" s="524">
        <v>69405</v>
      </c>
      <c r="B218" s="526">
        <v>46206</v>
      </c>
      <c r="C218" s="524" t="s">
        <v>1148</v>
      </c>
      <c r="D218" s="524" t="s">
        <v>1226</v>
      </c>
      <c r="E218" s="524" t="s">
        <v>1346</v>
      </c>
      <c r="F218" s="524" t="s">
        <v>1170</v>
      </c>
      <c r="G218" s="524" t="s">
        <v>1102</v>
      </c>
      <c r="H218" s="527">
        <v>770</v>
      </c>
      <c r="I218" s="524" t="s">
        <v>1148</v>
      </c>
      <c r="J218" s="524">
        <f>IF(cmf[[#This Row],[D/C]]="C",cmf[[#This Row],[Valor]],-1*cmf[[#This Row],[Valor]])</f>
        <v>770</v>
      </c>
      <c r="L218" s="524" t="s">
        <v>1230</v>
      </c>
      <c r="M218" s="524" t="s">
        <v>1231</v>
      </c>
      <c r="N218" s="524" t="s">
        <v>1192</v>
      </c>
      <c r="O218" s="524" t="s">
        <v>1193</v>
      </c>
      <c r="P218" s="526">
        <v>46206</v>
      </c>
      <c r="S218" s="527">
        <v>0</v>
      </c>
    </row>
    <row r="219" spans="1:19" x14ac:dyDescent="0.2">
      <c r="A219" s="524">
        <v>69406</v>
      </c>
      <c r="B219" s="526">
        <v>46206</v>
      </c>
      <c r="C219" s="524" t="s">
        <v>1148</v>
      </c>
      <c r="D219" s="524" t="s">
        <v>1226</v>
      </c>
      <c r="E219" s="524" t="s">
        <v>1347</v>
      </c>
      <c r="F219" s="524" t="s">
        <v>1170</v>
      </c>
      <c r="G219" s="524" t="s">
        <v>1102</v>
      </c>
      <c r="H219" s="527">
        <v>384</v>
      </c>
      <c r="I219" s="524" t="s">
        <v>1148</v>
      </c>
      <c r="J219" s="524">
        <f>IF(cmf[[#This Row],[D/C]]="C",cmf[[#This Row],[Valor]],-1*cmf[[#This Row],[Valor]])</f>
        <v>384</v>
      </c>
      <c r="L219" s="524" t="s">
        <v>1230</v>
      </c>
      <c r="M219" s="524" t="s">
        <v>1231</v>
      </c>
      <c r="N219" s="524" t="s">
        <v>1192</v>
      </c>
      <c r="O219" s="524" t="s">
        <v>1193</v>
      </c>
      <c r="P219" s="526">
        <v>46206</v>
      </c>
      <c r="S219" s="527">
        <v>0</v>
      </c>
    </row>
    <row r="220" spans="1:19" x14ac:dyDescent="0.2">
      <c r="A220" s="524">
        <v>69407</v>
      </c>
      <c r="B220" s="526">
        <v>46206</v>
      </c>
      <c r="C220" s="524" t="s">
        <v>1148</v>
      </c>
      <c r="D220" s="524" t="s">
        <v>1226</v>
      </c>
      <c r="E220" s="524" t="s">
        <v>1348</v>
      </c>
      <c r="F220" s="524" t="s">
        <v>1170</v>
      </c>
      <c r="G220" s="524" t="s">
        <v>1102</v>
      </c>
      <c r="H220" s="527">
        <v>496.46</v>
      </c>
      <c r="I220" s="524" t="s">
        <v>1148</v>
      </c>
      <c r="J220" s="524">
        <f>IF(cmf[[#This Row],[D/C]]="C",cmf[[#This Row],[Valor]],-1*cmf[[#This Row],[Valor]])</f>
        <v>496.46</v>
      </c>
      <c r="L220" s="524" t="s">
        <v>1230</v>
      </c>
      <c r="M220" s="524" t="s">
        <v>1231</v>
      </c>
      <c r="N220" s="524" t="s">
        <v>1192</v>
      </c>
      <c r="O220" s="524" t="s">
        <v>1193</v>
      </c>
      <c r="P220" s="526">
        <v>46206</v>
      </c>
      <c r="S220" s="527">
        <v>0</v>
      </c>
    </row>
    <row r="221" spans="1:19" x14ac:dyDescent="0.2">
      <c r="A221" s="524">
        <v>69408</v>
      </c>
      <c r="B221" s="526">
        <v>46206</v>
      </c>
      <c r="C221" s="524" t="s">
        <v>1148</v>
      </c>
      <c r="D221" s="524" t="s">
        <v>1226</v>
      </c>
      <c r="E221" s="524" t="s">
        <v>1349</v>
      </c>
      <c r="F221" s="524" t="s">
        <v>1170</v>
      </c>
      <c r="G221" s="524" t="s">
        <v>1102</v>
      </c>
      <c r="H221" s="527">
        <v>309</v>
      </c>
      <c r="I221" s="524" t="s">
        <v>1148</v>
      </c>
      <c r="J221" s="524">
        <f>IF(cmf[[#This Row],[D/C]]="C",cmf[[#This Row],[Valor]],-1*cmf[[#This Row],[Valor]])</f>
        <v>309</v>
      </c>
      <c r="L221" s="524" t="s">
        <v>1230</v>
      </c>
      <c r="M221" s="524" t="s">
        <v>1231</v>
      </c>
      <c r="N221" s="524" t="s">
        <v>1192</v>
      </c>
      <c r="O221" s="524" t="s">
        <v>1193</v>
      </c>
      <c r="P221" s="526">
        <v>46206</v>
      </c>
      <c r="S221" s="527">
        <v>0</v>
      </c>
    </row>
    <row r="222" spans="1:19" x14ac:dyDescent="0.2">
      <c r="A222" s="524">
        <v>69409</v>
      </c>
      <c r="B222" s="526">
        <v>46206</v>
      </c>
      <c r="C222" s="524" t="s">
        <v>1148</v>
      </c>
      <c r="D222" s="524" t="s">
        <v>1226</v>
      </c>
      <c r="E222" s="524" t="s">
        <v>1350</v>
      </c>
      <c r="F222" s="524" t="s">
        <v>1170</v>
      </c>
      <c r="G222" s="524" t="s">
        <v>1102</v>
      </c>
      <c r="H222" s="527">
        <v>761.59</v>
      </c>
      <c r="I222" s="524" t="s">
        <v>1148</v>
      </c>
      <c r="J222" s="524">
        <f>IF(cmf[[#This Row],[D/C]]="C",cmf[[#This Row],[Valor]],-1*cmf[[#This Row],[Valor]])</f>
        <v>761.59</v>
      </c>
      <c r="L222" s="524" t="s">
        <v>1230</v>
      </c>
      <c r="M222" s="524" t="s">
        <v>1231</v>
      </c>
      <c r="N222" s="524" t="s">
        <v>1192</v>
      </c>
      <c r="O222" s="524" t="s">
        <v>1193</v>
      </c>
      <c r="P222" s="526">
        <v>46206</v>
      </c>
      <c r="S222" s="527">
        <v>0</v>
      </c>
    </row>
    <row r="223" spans="1:19" x14ac:dyDescent="0.2">
      <c r="A223" s="524">
        <v>69464</v>
      </c>
      <c r="B223" s="526">
        <v>46206</v>
      </c>
      <c r="C223" s="524" t="s">
        <v>1148</v>
      </c>
      <c r="D223" s="524" t="s">
        <v>1186</v>
      </c>
      <c r="E223" s="524" t="s">
        <v>1351</v>
      </c>
      <c r="F223" s="524" t="s">
        <v>1183</v>
      </c>
      <c r="G223" s="524" t="s">
        <v>769</v>
      </c>
      <c r="H223" s="527">
        <v>20000</v>
      </c>
      <c r="I223" s="524" t="s">
        <v>1174</v>
      </c>
      <c r="J223" s="524">
        <f>IF(cmf[[#This Row],[D/C]]="C",cmf[[#This Row],[Valor]],-1*cmf[[#This Row],[Valor]])</f>
        <v>-20000</v>
      </c>
      <c r="L223" s="524" t="s">
        <v>1188</v>
      </c>
      <c r="M223" s="524" t="s">
        <v>1189</v>
      </c>
      <c r="N223" s="524" t="s">
        <v>1219</v>
      </c>
      <c r="O223" s="524" t="s">
        <v>1220</v>
      </c>
      <c r="P223" s="526">
        <v>46206</v>
      </c>
      <c r="S223" s="527">
        <v>0</v>
      </c>
    </row>
    <row r="224" spans="1:19" x14ac:dyDescent="0.2">
      <c r="A224" s="524">
        <v>69465</v>
      </c>
      <c r="B224" s="526">
        <v>46206</v>
      </c>
      <c r="C224" s="524" t="s">
        <v>1148</v>
      </c>
      <c r="D224" s="524" t="s">
        <v>1186</v>
      </c>
      <c r="E224" s="524" t="s">
        <v>1352</v>
      </c>
      <c r="F224" s="524" t="s">
        <v>1183</v>
      </c>
      <c r="G224" s="524" t="s">
        <v>769</v>
      </c>
      <c r="H224" s="527">
        <v>50000</v>
      </c>
      <c r="I224" s="524" t="s">
        <v>1174</v>
      </c>
      <c r="J224" s="524">
        <f>IF(cmf[[#This Row],[D/C]]="C",cmf[[#This Row],[Valor]],-1*cmf[[#This Row],[Valor]])</f>
        <v>-50000</v>
      </c>
      <c r="L224" s="524" t="s">
        <v>1188</v>
      </c>
      <c r="M224" s="524" t="s">
        <v>1189</v>
      </c>
      <c r="N224" s="524" t="s">
        <v>1219</v>
      </c>
      <c r="O224" s="524" t="s">
        <v>1220</v>
      </c>
      <c r="P224" s="526">
        <v>46206</v>
      </c>
      <c r="S224" s="527">
        <v>0</v>
      </c>
    </row>
    <row r="225" spans="1:19" x14ac:dyDescent="0.2">
      <c r="A225" s="524">
        <v>69466</v>
      </c>
      <c r="B225" s="526">
        <v>46206</v>
      </c>
      <c r="C225" s="524" t="s">
        <v>1148</v>
      </c>
      <c r="D225" s="524" t="s">
        <v>1186</v>
      </c>
      <c r="E225" s="524" t="s">
        <v>1353</v>
      </c>
      <c r="F225" s="524" t="s">
        <v>1183</v>
      </c>
      <c r="G225" s="524" t="s">
        <v>769</v>
      </c>
      <c r="H225" s="527">
        <v>90000</v>
      </c>
      <c r="I225" s="524" t="s">
        <v>1174</v>
      </c>
      <c r="J225" s="524">
        <f>IF(cmf[[#This Row],[D/C]]="C",cmf[[#This Row],[Valor]],-1*cmf[[#This Row],[Valor]])</f>
        <v>-90000</v>
      </c>
      <c r="L225" s="524" t="s">
        <v>1188</v>
      </c>
      <c r="M225" s="524" t="s">
        <v>1189</v>
      </c>
      <c r="N225" s="524" t="s">
        <v>1219</v>
      </c>
      <c r="O225" s="524" t="s">
        <v>1220</v>
      </c>
      <c r="P225" s="526">
        <v>46206</v>
      </c>
      <c r="S225" s="527">
        <v>0</v>
      </c>
    </row>
    <row r="226" spans="1:19" x14ac:dyDescent="0.2">
      <c r="A226" s="524">
        <v>69479</v>
      </c>
      <c r="B226" s="526">
        <v>46206</v>
      </c>
      <c r="C226" s="524" t="s">
        <v>1148</v>
      </c>
      <c r="D226" s="524" t="s">
        <v>1186</v>
      </c>
      <c r="E226" s="524" t="s">
        <v>1354</v>
      </c>
      <c r="F226" s="524" t="s">
        <v>1183</v>
      </c>
      <c r="G226" s="524" t="s">
        <v>763</v>
      </c>
      <c r="H226" s="527">
        <v>3000</v>
      </c>
      <c r="I226" s="524" t="s">
        <v>1174</v>
      </c>
      <c r="J226" s="524">
        <f>IF(cmf[[#This Row],[D/C]]="C",cmf[[#This Row],[Valor]],-1*cmf[[#This Row],[Valor]])</f>
        <v>-3000</v>
      </c>
      <c r="L226" s="524" t="s">
        <v>1188</v>
      </c>
      <c r="M226" s="524" t="s">
        <v>1189</v>
      </c>
      <c r="N226" s="524" t="s">
        <v>1180</v>
      </c>
      <c r="O226" s="524" t="s">
        <v>1181</v>
      </c>
      <c r="P226" s="526">
        <v>46206</v>
      </c>
      <c r="S226" s="527">
        <v>0</v>
      </c>
    </row>
    <row r="227" spans="1:19" x14ac:dyDescent="0.2">
      <c r="A227" s="524">
        <v>69480</v>
      </c>
      <c r="B227" s="526">
        <v>46206</v>
      </c>
      <c r="C227" s="524" t="s">
        <v>1148</v>
      </c>
      <c r="D227" s="524" t="s">
        <v>1186</v>
      </c>
      <c r="E227" s="524" t="s">
        <v>1355</v>
      </c>
      <c r="F227" s="524" t="s">
        <v>1183</v>
      </c>
      <c r="G227" s="524" t="s">
        <v>763</v>
      </c>
      <c r="H227" s="527">
        <v>40000</v>
      </c>
      <c r="I227" s="524" t="s">
        <v>1174</v>
      </c>
      <c r="J227" s="524">
        <f>IF(cmf[[#This Row],[D/C]]="C",cmf[[#This Row],[Valor]],-1*cmf[[#This Row],[Valor]])</f>
        <v>-40000</v>
      </c>
      <c r="L227" s="524" t="s">
        <v>1188</v>
      </c>
      <c r="M227" s="524" t="s">
        <v>1189</v>
      </c>
      <c r="N227" s="524" t="s">
        <v>1180</v>
      </c>
      <c r="O227" s="524" t="s">
        <v>1181</v>
      </c>
      <c r="P227" s="526">
        <v>46206</v>
      </c>
      <c r="S227" s="527">
        <v>0</v>
      </c>
    </row>
    <row r="228" spans="1:19" x14ac:dyDescent="0.2">
      <c r="A228" s="524">
        <v>69481</v>
      </c>
      <c r="B228" s="526">
        <v>46206</v>
      </c>
      <c r="C228" s="524" t="s">
        <v>1148</v>
      </c>
      <c r="D228" s="524" t="s">
        <v>1186</v>
      </c>
      <c r="E228" s="524" t="s">
        <v>1356</v>
      </c>
      <c r="F228" s="524" t="s">
        <v>1183</v>
      </c>
      <c r="G228" s="524" t="s">
        <v>763</v>
      </c>
      <c r="H228" s="527">
        <v>50000</v>
      </c>
      <c r="I228" s="524" t="s">
        <v>1174</v>
      </c>
      <c r="J228" s="524">
        <f>IF(cmf[[#This Row],[D/C]]="C",cmf[[#This Row],[Valor]],-1*cmf[[#This Row],[Valor]])</f>
        <v>-50000</v>
      </c>
      <c r="L228" s="524" t="s">
        <v>1188</v>
      </c>
      <c r="M228" s="524" t="s">
        <v>1189</v>
      </c>
      <c r="N228" s="524" t="s">
        <v>1180</v>
      </c>
      <c r="O228" s="524" t="s">
        <v>1181</v>
      </c>
      <c r="P228" s="526">
        <v>46206</v>
      </c>
      <c r="S228" s="527">
        <v>0</v>
      </c>
    </row>
    <row r="229" spans="1:19" x14ac:dyDescent="0.2">
      <c r="A229" s="524">
        <v>69642</v>
      </c>
      <c r="B229" s="526">
        <v>46206</v>
      </c>
      <c r="C229" s="524" t="s">
        <v>1162</v>
      </c>
      <c r="D229" s="524" t="s">
        <v>1186</v>
      </c>
      <c r="E229" s="524" t="s">
        <v>1357</v>
      </c>
      <c r="F229" s="524" t="s">
        <v>1183</v>
      </c>
      <c r="G229" s="524" t="s">
        <v>776</v>
      </c>
      <c r="H229" s="527">
        <v>7959.06</v>
      </c>
      <c r="I229" s="524" t="s">
        <v>1174</v>
      </c>
      <c r="J229" s="524">
        <f>IF(cmf[[#This Row],[D/C]]="C",cmf[[#This Row],[Valor]],-1*cmf[[#This Row],[Valor]])</f>
        <v>-7959.06</v>
      </c>
      <c r="L229" s="524" t="s">
        <v>1188</v>
      </c>
      <c r="M229" s="524" t="s">
        <v>1189</v>
      </c>
      <c r="N229" s="524" t="s">
        <v>1212</v>
      </c>
      <c r="O229" s="524" t="s">
        <v>1213</v>
      </c>
      <c r="P229" s="526"/>
      <c r="S229" s="527">
        <v>0</v>
      </c>
    </row>
    <row r="230" spans="1:19" x14ac:dyDescent="0.2">
      <c r="A230" s="524">
        <v>70221</v>
      </c>
      <c r="B230" s="526">
        <v>46206</v>
      </c>
      <c r="C230" s="524" t="s">
        <v>1148</v>
      </c>
      <c r="D230" s="524" t="s">
        <v>1243</v>
      </c>
      <c r="E230" s="524" t="s">
        <v>1244</v>
      </c>
      <c r="F230" s="524" t="s">
        <v>1183</v>
      </c>
      <c r="G230" s="524" t="s">
        <v>763</v>
      </c>
      <c r="H230" s="527">
        <v>32999.68</v>
      </c>
      <c r="I230" s="524" t="s">
        <v>1148</v>
      </c>
      <c r="J230" s="524">
        <f>IF(cmf[[#This Row],[D/C]]="C",cmf[[#This Row],[Valor]],-1*cmf[[#This Row],[Valor]])</f>
        <v>32999.68</v>
      </c>
      <c r="L230" s="524" t="s">
        <v>1245</v>
      </c>
      <c r="M230" s="524" t="s">
        <v>1246</v>
      </c>
      <c r="N230" s="524" t="s">
        <v>1180</v>
      </c>
      <c r="O230" s="524" t="s">
        <v>1181</v>
      </c>
      <c r="P230" s="526">
        <v>46206</v>
      </c>
      <c r="S230" s="527">
        <v>0</v>
      </c>
    </row>
    <row r="231" spans="1:19" x14ac:dyDescent="0.2">
      <c r="A231" s="524">
        <v>70225</v>
      </c>
      <c r="B231" s="526">
        <v>46206</v>
      </c>
      <c r="C231" s="524" t="s">
        <v>1148</v>
      </c>
      <c r="D231" s="524" t="s">
        <v>1243</v>
      </c>
      <c r="E231" s="524" t="s">
        <v>1244</v>
      </c>
      <c r="F231" s="524" t="s">
        <v>1183</v>
      </c>
      <c r="G231" s="524" t="s">
        <v>763</v>
      </c>
      <c r="H231" s="527">
        <v>0.32</v>
      </c>
      <c r="I231" s="524" t="s">
        <v>1148</v>
      </c>
      <c r="J231" s="524">
        <f>IF(cmf[[#This Row],[D/C]]="C",cmf[[#This Row],[Valor]],-1*cmf[[#This Row],[Valor]])</f>
        <v>0.32</v>
      </c>
      <c r="L231" s="524" t="s">
        <v>1245</v>
      </c>
      <c r="M231" s="524" t="s">
        <v>1246</v>
      </c>
      <c r="N231" s="524" t="s">
        <v>1180</v>
      </c>
      <c r="O231" s="524" t="s">
        <v>1181</v>
      </c>
      <c r="P231" s="526">
        <v>46206</v>
      </c>
      <c r="S231" s="527">
        <v>0</v>
      </c>
    </row>
    <row r="232" spans="1:19" x14ac:dyDescent="0.2">
      <c r="A232" s="524">
        <v>70276</v>
      </c>
      <c r="B232" s="526">
        <v>46206</v>
      </c>
      <c r="C232" s="524" t="s">
        <v>1148</v>
      </c>
      <c r="D232" s="524" t="s">
        <v>1243</v>
      </c>
      <c r="E232" s="524" t="s">
        <v>1244</v>
      </c>
      <c r="F232" s="524" t="s">
        <v>1183</v>
      </c>
      <c r="G232" s="524" t="s">
        <v>745</v>
      </c>
      <c r="H232" s="527">
        <v>0.03</v>
      </c>
      <c r="I232" s="524" t="s">
        <v>1148</v>
      </c>
      <c r="J232" s="524">
        <f>IF(cmf[[#This Row],[D/C]]="C",cmf[[#This Row],[Valor]],-1*cmf[[#This Row],[Valor]])</f>
        <v>0.03</v>
      </c>
      <c r="L232" s="524" t="s">
        <v>1245</v>
      </c>
      <c r="M232" s="524" t="s">
        <v>1246</v>
      </c>
      <c r="N232" s="524" t="s">
        <v>1292</v>
      </c>
      <c r="O232" s="524" t="s">
        <v>1293</v>
      </c>
      <c r="P232" s="526">
        <v>46206</v>
      </c>
      <c r="S232" s="527">
        <v>0</v>
      </c>
    </row>
    <row r="233" spans="1:19" x14ac:dyDescent="0.2">
      <c r="A233" s="524">
        <v>70315</v>
      </c>
      <c r="B233" s="526">
        <v>46206</v>
      </c>
      <c r="C233" s="524" t="s">
        <v>1148</v>
      </c>
      <c r="D233" s="524" t="s">
        <v>1239</v>
      </c>
      <c r="E233" s="524" t="s">
        <v>1255</v>
      </c>
      <c r="F233" s="524" t="s">
        <v>1170</v>
      </c>
      <c r="G233" s="524" t="s">
        <v>757</v>
      </c>
      <c r="H233" s="527">
        <v>0.2</v>
      </c>
      <c r="I233" s="524" t="s">
        <v>1174</v>
      </c>
      <c r="J233" s="524">
        <f>IF(cmf[[#This Row],[D/C]]="C",cmf[[#This Row],[Valor]],-1*cmf[[#This Row],[Valor]])</f>
        <v>-0.2</v>
      </c>
      <c r="L233" s="524" t="s">
        <v>1241</v>
      </c>
      <c r="M233" s="524" t="s">
        <v>1242</v>
      </c>
      <c r="N233" s="524" t="s">
        <v>1223</v>
      </c>
      <c r="O233" s="524" t="s">
        <v>1224</v>
      </c>
      <c r="P233" s="526">
        <v>46206</v>
      </c>
      <c r="S233" s="527">
        <v>0</v>
      </c>
    </row>
    <row r="234" spans="1:19" x14ac:dyDescent="0.2">
      <c r="A234" s="524">
        <v>70542</v>
      </c>
      <c r="B234" s="526">
        <v>46206</v>
      </c>
      <c r="C234" s="524" t="s">
        <v>1148</v>
      </c>
      <c r="D234" s="524" t="s">
        <v>1239</v>
      </c>
      <c r="E234" s="524" t="s">
        <v>1251</v>
      </c>
      <c r="F234" s="524" t="s">
        <v>1178</v>
      </c>
      <c r="G234" s="524" t="s">
        <v>1179</v>
      </c>
      <c r="H234" s="527">
        <v>5</v>
      </c>
      <c r="I234" s="524" t="s">
        <v>1174</v>
      </c>
      <c r="J234" s="524">
        <f>IF(cmf[[#This Row],[D/C]]="C",cmf[[#This Row],[Valor]],-1*cmf[[#This Row],[Valor]])</f>
        <v>-5</v>
      </c>
      <c r="L234" s="524" t="s">
        <v>1241</v>
      </c>
      <c r="M234" s="524" t="s">
        <v>1242</v>
      </c>
      <c r="N234" s="524" t="s">
        <v>1180</v>
      </c>
      <c r="O234" s="524" t="s">
        <v>1181</v>
      </c>
      <c r="P234" s="526">
        <v>46206</v>
      </c>
      <c r="S234" s="527">
        <v>0</v>
      </c>
    </row>
    <row r="235" spans="1:19" x14ac:dyDescent="0.2">
      <c r="A235" s="524">
        <v>70740</v>
      </c>
      <c r="B235" s="526">
        <v>46206</v>
      </c>
      <c r="C235" s="524" t="s">
        <v>1148</v>
      </c>
      <c r="D235" s="524" t="s">
        <v>1239</v>
      </c>
      <c r="E235" s="524" t="s">
        <v>1315</v>
      </c>
      <c r="F235" s="524" t="s">
        <v>1170</v>
      </c>
      <c r="G235" s="524" t="s">
        <v>757</v>
      </c>
      <c r="H235" s="527">
        <v>1.2</v>
      </c>
      <c r="I235" s="524" t="s">
        <v>1174</v>
      </c>
      <c r="J235" s="524">
        <f>IF(cmf[[#This Row],[D/C]]="C",cmf[[#This Row],[Valor]],-1*cmf[[#This Row],[Valor]])</f>
        <v>-1.2</v>
      </c>
      <c r="L235" s="524" t="s">
        <v>1241</v>
      </c>
      <c r="M235" s="524" t="s">
        <v>1242</v>
      </c>
      <c r="N235" s="524" t="s">
        <v>1223</v>
      </c>
      <c r="O235" s="524" t="s">
        <v>1224</v>
      </c>
      <c r="P235" s="526">
        <v>46206</v>
      </c>
      <c r="S235" s="527">
        <v>0</v>
      </c>
    </row>
    <row r="236" spans="1:19" x14ac:dyDescent="0.2">
      <c r="A236" s="524">
        <v>70753</v>
      </c>
      <c r="B236" s="526">
        <v>46206</v>
      </c>
      <c r="C236" s="524" t="s">
        <v>1148</v>
      </c>
      <c r="D236" s="524" t="s">
        <v>1239</v>
      </c>
      <c r="E236" s="524" t="s">
        <v>1258</v>
      </c>
      <c r="F236" s="524" t="s">
        <v>1170</v>
      </c>
      <c r="G236" s="524" t="s">
        <v>1102</v>
      </c>
      <c r="H236" s="527">
        <v>6.3</v>
      </c>
      <c r="I236" s="524" t="s">
        <v>1174</v>
      </c>
      <c r="J236" s="524">
        <f>IF(cmf[[#This Row],[D/C]]="C",cmf[[#This Row],[Valor]],-1*cmf[[#This Row],[Valor]])</f>
        <v>-6.3</v>
      </c>
      <c r="L236" s="524" t="s">
        <v>1241</v>
      </c>
      <c r="M236" s="524" t="s">
        <v>1242</v>
      </c>
      <c r="N236" s="524" t="s">
        <v>1192</v>
      </c>
      <c r="O236" s="524" t="s">
        <v>1193</v>
      </c>
      <c r="P236" s="526">
        <v>46206</v>
      </c>
      <c r="S236" s="527">
        <v>0</v>
      </c>
    </row>
    <row r="237" spans="1:19" x14ac:dyDescent="0.2">
      <c r="A237" s="524">
        <v>70754</v>
      </c>
      <c r="B237" s="526">
        <v>46206</v>
      </c>
      <c r="C237" s="524" t="s">
        <v>1148</v>
      </c>
      <c r="D237" s="524" t="s">
        <v>1239</v>
      </c>
      <c r="E237" s="524" t="s">
        <v>1258</v>
      </c>
      <c r="F237" s="524" t="s">
        <v>1170</v>
      </c>
      <c r="G237" s="524" t="s">
        <v>1102</v>
      </c>
      <c r="H237" s="527">
        <v>63</v>
      </c>
      <c r="I237" s="524" t="s">
        <v>1174</v>
      </c>
      <c r="J237" s="524">
        <f>IF(cmf[[#This Row],[D/C]]="C",cmf[[#This Row],[Valor]],-1*cmf[[#This Row],[Valor]])</f>
        <v>-63</v>
      </c>
      <c r="L237" s="524" t="s">
        <v>1241</v>
      </c>
      <c r="M237" s="524" t="s">
        <v>1242</v>
      </c>
      <c r="N237" s="524" t="s">
        <v>1192</v>
      </c>
      <c r="O237" s="524" t="s">
        <v>1193</v>
      </c>
      <c r="P237" s="526">
        <v>46206</v>
      </c>
      <c r="S237" s="527">
        <v>0</v>
      </c>
    </row>
    <row r="238" spans="1:19" x14ac:dyDescent="0.2">
      <c r="A238" s="524">
        <v>70755</v>
      </c>
      <c r="B238" s="526">
        <v>46206</v>
      </c>
      <c r="C238" s="524" t="s">
        <v>1148</v>
      </c>
      <c r="D238" s="524" t="s">
        <v>1239</v>
      </c>
      <c r="E238" s="524" t="s">
        <v>1258</v>
      </c>
      <c r="F238" s="524" t="s">
        <v>1170</v>
      </c>
      <c r="G238" s="524" t="s">
        <v>1102</v>
      </c>
      <c r="H238" s="527">
        <v>1.2</v>
      </c>
      <c r="I238" s="524" t="s">
        <v>1174</v>
      </c>
      <c r="J238" s="524">
        <f>IF(cmf[[#This Row],[D/C]]="C",cmf[[#This Row],[Valor]],-1*cmf[[#This Row],[Valor]])</f>
        <v>-1.2</v>
      </c>
      <c r="L238" s="524" t="s">
        <v>1241</v>
      </c>
      <c r="M238" s="524" t="s">
        <v>1242</v>
      </c>
      <c r="N238" s="524" t="s">
        <v>1192</v>
      </c>
      <c r="O238" s="524" t="s">
        <v>1193</v>
      </c>
      <c r="P238" s="526">
        <v>46206</v>
      </c>
      <c r="S238" s="527">
        <v>0</v>
      </c>
    </row>
    <row r="239" spans="1:19" x14ac:dyDescent="0.2">
      <c r="A239" s="524">
        <v>70963</v>
      </c>
      <c r="B239" s="526">
        <v>46206</v>
      </c>
      <c r="C239" s="524" t="s">
        <v>1148</v>
      </c>
      <c r="D239" s="524" t="s">
        <v>1239</v>
      </c>
      <c r="E239" s="524" t="s">
        <v>1253</v>
      </c>
      <c r="F239" s="524" t="s">
        <v>1170</v>
      </c>
      <c r="G239" s="524" t="s">
        <v>798</v>
      </c>
      <c r="H239" s="527">
        <v>0.4</v>
      </c>
      <c r="I239" s="524" t="s">
        <v>1174</v>
      </c>
      <c r="J239" s="524">
        <f>IF(cmf[[#This Row],[D/C]]="C",cmf[[#This Row],[Valor]],-1*cmf[[#This Row],[Valor]])</f>
        <v>-0.4</v>
      </c>
      <c r="L239" s="524" t="s">
        <v>1241</v>
      </c>
      <c r="M239" s="524" t="s">
        <v>1242</v>
      </c>
      <c r="N239" s="524" t="s">
        <v>1171</v>
      </c>
      <c r="O239" s="524" t="s">
        <v>1172</v>
      </c>
      <c r="P239" s="526">
        <v>46206</v>
      </c>
      <c r="S239" s="527">
        <v>0</v>
      </c>
    </row>
    <row r="240" spans="1:19" x14ac:dyDescent="0.2">
      <c r="A240" s="524">
        <v>71034</v>
      </c>
      <c r="B240" s="526">
        <v>46206</v>
      </c>
      <c r="C240" s="524" t="s">
        <v>1148</v>
      </c>
      <c r="D240" s="524" t="s">
        <v>1239</v>
      </c>
      <c r="E240" s="524" t="s">
        <v>1253</v>
      </c>
      <c r="F240" s="524" t="s">
        <v>1170</v>
      </c>
      <c r="G240" s="524" t="s">
        <v>765</v>
      </c>
      <c r="H240" s="527">
        <v>0.2</v>
      </c>
      <c r="I240" s="524" t="s">
        <v>1174</v>
      </c>
      <c r="J240" s="524">
        <f>IF(cmf[[#This Row],[D/C]]="C",cmf[[#This Row],[Valor]],-1*cmf[[#This Row],[Valor]])</f>
        <v>-0.2</v>
      </c>
      <c r="L240" s="524" t="s">
        <v>1241</v>
      </c>
      <c r="M240" s="524" t="s">
        <v>1242</v>
      </c>
      <c r="N240" s="524" t="s">
        <v>1200</v>
      </c>
      <c r="O240" s="524" t="s">
        <v>1201</v>
      </c>
      <c r="P240" s="526">
        <v>46206</v>
      </c>
      <c r="S240" s="527">
        <v>0</v>
      </c>
    </row>
    <row r="241" spans="1:19" x14ac:dyDescent="0.2">
      <c r="A241" s="524">
        <v>71179</v>
      </c>
      <c r="B241" s="526">
        <v>46206</v>
      </c>
      <c r="C241" s="524" t="s">
        <v>1148</v>
      </c>
      <c r="D241" s="524" t="s">
        <v>1239</v>
      </c>
      <c r="E241" s="524" t="s">
        <v>1255</v>
      </c>
      <c r="F241" s="524" t="s">
        <v>1170</v>
      </c>
      <c r="G241" s="524" t="s">
        <v>768</v>
      </c>
      <c r="H241" s="527">
        <v>0.4</v>
      </c>
      <c r="I241" s="524" t="s">
        <v>1174</v>
      </c>
      <c r="J241" s="524">
        <f>IF(cmf[[#This Row],[D/C]]="C",cmf[[#This Row],[Valor]],-1*cmf[[#This Row],[Valor]])</f>
        <v>-0.4</v>
      </c>
      <c r="L241" s="524" t="s">
        <v>1241</v>
      </c>
      <c r="M241" s="524" t="s">
        <v>1242</v>
      </c>
      <c r="N241" s="524" t="s">
        <v>1219</v>
      </c>
      <c r="O241" s="524" t="s">
        <v>1220</v>
      </c>
      <c r="P241" s="526">
        <v>46206</v>
      </c>
      <c r="S241" s="527">
        <v>0</v>
      </c>
    </row>
    <row r="242" spans="1:19" x14ac:dyDescent="0.2">
      <c r="A242" s="524">
        <v>71224</v>
      </c>
      <c r="B242" s="526">
        <v>46206</v>
      </c>
      <c r="C242" s="524" t="s">
        <v>1148</v>
      </c>
      <c r="D242" s="524" t="s">
        <v>1239</v>
      </c>
      <c r="E242" s="524" t="s">
        <v>1255</v>
      </c>
      <c r="F242" s="524" t="s">
        <v>1170</v>
      </c>
      <c r="G242" s="524" t="s">
        <v>749</v>
      </c>
      <c r="H242" s="527">
        <v>0.6</v>
      </c>
      <c r="I242" s="524" t="s">
        <v>1174</v>
      </c>
      <c r="J242" s="524">
        <f>IF(cmf[[#This Row],[D/C]]="C",cmf[[#This Row],[Valor]],-1*cmf[[#This Row],[Valor]])</f>
        <v>-0.6</v>
      </c>
      <c r="L242" s="524" t="s">
        <v>1241</v>
      </c>
      <c r="M242" s="524" t="s">
        <v>1242</v>
      </c>
      <c r="N242" s="524" t="s">
        <v>1256</v>
      </c>
      <c r="O242" s="524" t="s">
        <v>1257</v>
      </c>
      <c r="P242" s="526">
        <v>46206</v>
      </c>
      <c r="S242" s="527">
        <v>0</v>
      </c>
    </row>
    <row r="243" spans="1:19" x14ac:dyDescent="0.2">
      <c r="A243" s="524">
        <v>71225</v>
      </c>
      <c r="B243" s="526">
        <v>46206</v>
      </c>
      <c r="C243" s="524" t="s">
        <v>1148</v>
      </c>
      <c r="D243" s="524" t="s">
        <v>1239</v>
      </c>
      <c r="E243" s="524" t="s">
        <v>1312</v>
      </c>
      <c r="F243" s="524" t="s">
        <v>1170</v>
      </c>
      <c r="G243" s="524" t="s">
        <v>749</v>
      </c>
      <c r="H243" s="527">
        <v>20</v>
      </c>
      <c r="I243" s="524" t="s">
        <v>1174</v>
      </c>
      <c r="J243" s="524">
        <f>IF(cmf[[#This Row],[D/C]]="C",cmf[[#This Row],[Valor]],-1*cmf[[#This Row],[Valor]])</f>
        <v>-20</v>
      </c>
      <c r="L243" s="524" t="s">
        <v>1241</v>
      </c>
      <c r="M243" s="524" t="s">
        <v>1242</v>
      </c>
      <c r="N243" s="524" t="s">
        <v>1256</v>
      </c>
      <c r="O243" s="524" t="s">
        <v>1257</v>
      </c>
      <c r="P243" s="526">
        <v>46206</v>
      </c>
      <c r="S243" s="527">
        <v>0</v>
      </c>
    </row>
    <row r="244" spans="1:19" x14ac:dyDescent="0.2">
      <c r="A244" s="524">
        <v>71503</v>
      </c>
      <c r="B244" s="526">
        <v>46206</v>
      </c>
      <c r="C244" s="524" t="s">
        <v>1148</v>
      </c>
      <c r="D244" s="524" t="s">
        <v>1239</v>
      </c>
      <c r="E244" s="524" t="s">
        <v>1358</v>
      </c>
      <c r="F244" s="524" t="s">
        <v>1170</v>
      </c>
      <c r="G244" s="524" t="s">
        <v>740</v>
      </c>
      <c r="H244" s="527">
        <v>2251.7199999999998</v>
      </c>
      <c r="I244" s="524" t="s">
        <v>1174</v>
      </c>
      <c r="J244" s="524">
        <f>IF(cmf[[#This Row],[D/C]]="C",cmf[[#This Row],[Valor]],-1*cmf[[#This Row],[Valor]])</f>
        <v>-2251.7199999999998</v>
      </c>
      <c r="L244" s="524" t="s">
        <v>1359</v>
      </c>
      <c r="M244" s="524" t="s">
        <v>1360</v>
      </c>
      <c r="N244" s="524" t="s">
        <v>1215</v>
      </c>
      <c r="O244" s="524" t="s">
        <v>1218</v>
      </c>
      <c r="P244" s="526">
        <v>46206</v>
      </c>
      <c r="S244" s="527">
        <v>0</v>
      </c>
    </row>
    <row r="245" spans="1:19" x14ac:dyDescent="0.2">
      <c r="A245" s="524">
        <v>71504</v>
      </c>
      <c r="B245" s="526">
        <v>46206</v>
      </c>
      <c r="C245" s="524" t="s">
        <v>1148</v>
      </c>
      <c r="D245" s="524" t="s">
        <v>1239</v>
      </c>
      <c r="E245" s="524" t="s">
        <v>1358</v>
      </c>
      <c r="F245" s="524" t="s">
        <v>1170</v>
      </c>
      <c r="G245" s="524" t="s">
        <v>740</v>
      </c>
      <c r="H245" s="527">
        <v>1809.94</v>
      </c>
      <c r="I245" s="524" t="s">
        <v>1174</v>
      </c>
      <c r="J245" s="524">
        <f>IF(cmf[[#This Row],[D/C]]="C",cmf[[#This Row],[Valor]],-1*cmf[[#This Row],[Valor]])</f>
        <v>-1809.94</v>
      </c>
      <c r="L245" s="524" t="s">
        <v>1359</v>
      </c>
      <c r="M245" s="524" t="s">
        <v>1360</v>
      </c>
      <c r="N245" s="524" t="s">
        <v>1215</v>
      </c>
      <c r="O245" s="524" t="s">
        <v>1218</v>
      </c>
      <c r="P245" s="526">
        <v>46206</v>
      </c>
      <c r="S245" s="527">
        <v>0</v>
      </c>
    </row>
    <row r="246" spans="1:19" x14ac:dyDescent="0.2">
      <c r="A246" s="524">
        <v>71505</v>
      </c>
      <c r="B246" s="526">
        <v>46206</v>
      </c>
      <c r="C246" s="524" t="s">
        <v>1148</v>
      </c>
      <c r="D246" s="524" t="s">
        <v>1239</v>
      </c>
      <c r="E246" s="524" t="s">
        <v>1312</v>
      </c>
      <c r="F246" s="524" t="s">
        <v>1170</v>
      </c>
      <c r="G246" s="524" t="s">
        <v>740</v>
      </c>
      <c r="H246" s="527">
        <v>10</v>
      </c>
      <c r="I246" s="524" t="s">
        <v>1174</v>
      </c>
      <c r="J246" s="524">
        <f>IF(cmf[[#This Row],[D/C]]="C",cmf[[#This Row],[Valor]],-1*cmf[[#This Row],[Valor]])</f>
        <v>-10</v>
      </c>
      <c r="L246" s="524" t="s">
        <v>1241</v>
      </c>
      <c r="M246" s="524" t="s">
        <v>1242</v>
      </c>
      <c r="N246" s="524" t="s">
        <v>1215</v>
      </c>
      <c r="O246" s="524" t="s">
        <v>1218</v>
      </c>
      <c r="P246" s="526">
        <v>46206</v>
      </c>
      <c r="S246" s="527">
        <v>0</v>
      </c>
    </row>
    <row r="247" spans="1:19" x14ac:dyDescent="0.2">
      <c r="A247" s="524">
        <v>71699</v>
      </c>
      <c r="B247" s="526">
        <v>46206</v>
      </c>
      <c r="C247" s="524" t="s">
        <v>1148</v>
      </c>
      <c r="D247" s="524" t="s">
        <v>1243</v>
      </c>
      <c r="E247" s="524" t="s">
        <v>1244</v>
      </c>
      <c r="F247" s="524" t="s">
        <v>1183</v>
      </c>
      <c r="G247" s="524" t="s">
        <v>742</v>
      </c>
      <c r="H247" s="527">
        <v>267499.44</v>
      </c>
      <c r="I247" s="524" t="s">
        <v>1148</v>
      </c>
      <c r="J247" s="524">
        <f>IF(cmf[[#This Row],[D/C]]="C",cmf[[#This Row],[Valor]],-1*cmf[[#This Row],[Valor]])</f>
        <v>267499.44</v>
      </c>
      <c r="L247" s="524" t="s">
        <v>1245</v>
      </c>
      <c r="M247" s="524" t="s">
        <v>1246</v>
      </c>
      <c r="N247" s="524" t="s">
        <v>1215</v>
      </c>
      <c r="O247" s="524" t="s">
        <v>1267</v>
      </c>
      <c r="P247" s="526">
        <v>46206</v>
      </c>
      <c r="S247" s="527">
        <v>0</v>
      </c>
    </row>
    <row r="248" spans="1:19" x14ac:dyDescent="0.2">
      <c r="A248" s="524">
        <v>71700</v>
      </c>
      <c r="B248" s="526">
        <v>46206</v>
      </c>
      <c r="C248" s="524" t="s">
        <v>1148</v>
      </c>
      <c r="D248" s="524" t="s">
        <v>1243</v>
      </c>
      <c r="E248" s="524" t="s">
        <v>1244</v>
      </c>
      <c r="F248" s="524" t="s">
        <v>1183</v>
      </c>
      <c r="G248" s="524" t="s">
        <v>742</v>
      </c>
      <c r="H248" s="527">
        <v>0.56000000000000005</v>
      </c>
      <c r="I248" s="524" t="s">
        <v>1148</v>
      </c>
      <c r="J248" s="524">
        <f>IF(cmf[[#This Row],[D/C]]="C",cmf[[#This Row],[Valor]],-1*cmf[[#This Row],[Valor]])</f>
        <v>0.56000000000000005</v>
      </c>
      <c r="L248" s="524" t="s">
        <v>1245</v>
      </c>
      <c r="M248" s="524" t="s">
        <v>1246</v>
      </c>
      <c r="N248" s="524" t="s">
        <v>1215</v>
      </c>
      <c r="O248" s="524" t="s">
        <v>1267</v>
      </c>
      <c r="P248" s="526">
        <v>46206</v>
      </c>
      <c r="S248" s="527">
        <v>0</v>
      </c>
    </row>
    <row r="249" spans="1:19" x14ac:dyDescent="0.2">
      <c r="A249" s="524">
        <v>71745</v>
      </c>
      <c r="B249" s="526">
        <v>46206</v>
      </c>
      <c r="C249" s="524" t="s">
        <v>1148</v>
      </c>
      <c r="D249" s="524" t="s">
        <v>1239</v>
      </c>
      <c r="E249" s="524" t="s">
        <v>1361</v>
      </c>
      <c r="F249" s="524" t="s">
        <v>1183</v>
      </c>
      <c r="G249" s="524" t="s">
        <v>742</v>
      </c>
      <c r="H249" s="527">
        <v>90000</v>
      </c>
      <c r="I249" s="524" t="s">
        <v>1148</v>
      </c>
      <c r="J249" s="524">
        <f>IF(cmf[[#This Row],[D/C]]="C",cmf[[#This Row],[Valor]],-1*cmf[[#This Row],[Valor]])</f>
        <v>90000</v>
      </c>
      <c r="L249" s="524" t="s">
        <v>1264</v>
      </c>
      <c r="M249" s="524" t="s">
        <v>1265</v>
      </c>
      <c r="N249" s="524" t="s">
        <v>1215</v>
      </c>
      <c r="O249" s="524" t="s">
        <v>1218</v>
      </c>
      <c r="P249" s="526">
        <v>46206</v>
      </c>
      <c r="S249" s="527">
        <v>0</v>
      </c>
    </row>
    <row r="250" spans="1:19" x14ac:dyDescent="0.2">
      <c r="A250" s="524">
        <v>71748</v>
      </c>
      <c r="B250" s="526">
        <v>46206</v>
      </c>
      <c r="C250" s="524" t="s">
        <v>1148</v>
      </c>
      <c r="D250" s="524" t="s">
        <v>1239</v>
      </c>
      <c r="E250" s="524" t="s">
        <v>1362</v>
      </c>
      <c r="F250" s="524" t="s">
        <v>1183</v>
      </c>
      <c r="G250" s="524" t="s">
        <v>742</v>
      </c>
      <c r="H250" s="527">
        <v>2500</v>
      </c>
      <c r="I250" s="524" t="s">
        <v>1174</v>
      </c>
      <c r="J250" s="524">
        <f>IF(cmf[[#This Row],[D/C]]="C",cmf[[#This Row],[Valor]],-1*cmf[[#This Row],[Valor]])</f>
        <v>-2500</v>
      </c>
      <c r="L250" s="524" t="s">
        <v>1359</v>
      </c>
      <c r="M250" s="524" t="s">
        <v>1360</v>
      </c>
      <c r="N250" s="524" t="s">
        <v>1215</v>
      </c>
      <c r="O250" s="524" t="s">
        <v>1218</v>
      </c>
      <c r="P250" s="526">
        <v>46206</v>
      </c>
      <c r="S250" s="527">
        <v>0</v>
      </c>
    </row>
    <row r="251" spans="1:19" x14ac:dyDescent="0.2">
      <c r="A251" s="524">
        <v>72267</v>
      </c>
      <c r="B251" s="526">
        <v>46206</v>
      </c>
      <c r="C251" s="524" t="s">
        <v>1148</v>
      </c>
      <c r="D251" s="524" t="s">
        <v>1186</v>
      </c>
      <c r="E251" s="524" t="s">
        <v>1363</v>
      </c>
      <c r="F251" s="524" t="s">
        <v>1183</v>
      </c>
      <c r="G251" s="524" t="s">
        <v>800</v>
      </c>
      <c r="H251" s="527">
        <v>30000</v>
      </c>
      <c r="I251" s="524" t="s">
        <v>1174</v>
      </c>
      <c r="J251" s="524">
        <f>IF(cmf[[#This Row],[D/C]]="C",cmf[[#This Row],[Valor]],-1*cmf[[#This Row],[Valor]])</f>
        <v>-30000</v>
      </c>
      <c r="L251" s="524" t="s">
        <v>1188</v>
      </c>
      <c r="M251" s="524" t="s">
        <v>1189</v>
      </c>
      <c r="N251" s="524" t="s">
        <v>1171</v>
      </c>
      <c r="O251" s="524" t="s">
        <v>1172</v>
      </c>
      <c r="P251" s="526">
        <v>46206</v>
      </c>
      <c r="S251" s="527">
        <v>0</v>
      </c>
    </row>
    <row r="252" spans="1:19" x14ac:dyDescent="0.2">
      <c r="A252" s="524">
        <v>72268</v>
      </c>
      <c r="B252" s="526">
        <v>46206</v>
      </c>
      <c r="C252" s="524" t="s">
        <v>1148</v>
      </c>
      <c r="D252" s="524" t="s">
        <v>1186</v>
      </c>
      <c r="E252" s="524" t="s">
        <v>1364</v>
      </c>
      <c r="F252" s="524" t="s">
        <v>1183</v>
      </c>
      <c r="G252" s="524" t="s">
        <v>800</v>
      </c>
      <c r="H252" s="527">
        <v>35000</v>
      </c>
      <c r="I252" s="524" t="s">
        <v>1174</v>
      </c>
      <c r="J252" s="524">
        <f>IF(cmf[[#This Row],[D/C]]="C",cmf[[#This Row],[Valor]],-1*cmf[[#This Row],[Valor]])</f>
        <v>-35000</v>
      </c>
      <c r="L252" s="524" t="s">
        <v>1188</v>
      </c>
      <c r="M252" s="524" t="s">
        <v>1189</v>
      </c>
      <c r="N252" s="524" t="s">
        <v>1171</v>
      </c>
      <c r="O252" s="524" t="s">
        <v>1172</v>
      </c>
      <c r="P252" s="526">
        <v>46206</v>
      </c>
      <c r="S252" s="527">
        <v>0</v>
      </c>
    </row>
    <row r="253" spans="1:19" x14ac:dyDescent="0.2">
      <c r="A253" s="524">
        <v>72269</v>
      </c>
      <c r="B253" s="526">
        <v>46206</v>
      </c>
      <c r="C253" s="524" t="s">
        <v>1148</v>
      </c>
      <c r="D253" s="524" t="s">
        <v>1186</v>
      </c>
      <c r="E253" s="524" t="s">
        <v>1365</v>
      </c>
      <c r="F253" s="524" t="s">
        <v>1183</v>
      </c>
      <c r="G253" s="524" t="s">
        <v>803</v>
      </c>
      <c r="H253" s="527">
        <v>12000</v>
      </c>
      <c r="I253" s="524" t="s">
        <v>1174</v>
      </c>
      <c r="J253" s="524">
        <f>IF(cmf[[#This Row],[D/C]]="C",cmf[[#This Row],[Valor]],-1*cmf[[#This Row],[Valor]])</f>
        <v>-12000</v>
      </c>
      <c r="L253" s="524" t="s">
        <v>1188</v>
      </c>
      <c r="M253" s="524" t="s">
        <v>1189</v>
      </c>
      <c r="N253" s="524" t="s">
        <v>1192</v>
      </c>
      <c r="O253" s="524" t="s">
        <v>1193</v>
      </c>
      <c r="P253" s="526">
        <v>46206</v>
      </c>
      <c r="S253" s="527">
        <v>0</v>
      </c>
    </row>
    <row r="254" spans="1:19" x14ac:dyDescent="0.2">
      <c r="A254" s="524">
        <v>72270</v>
      </c>
      <c r="B254" s="526">
        <v>46206</v>
      </c>
      <c r="C254" s="524" t="s">
        <v>1148</v>
      </c>
      <c r="D254" s="524" t="s">
        <v>1186</v>
      </c>
      <c r="E254" s="524" t="s">
        <v>1366</v>
      </c>
      <c r="F254" s="524" t="s">
        <v>1183</v>
      </c>
      <c r="G254" s="524" t="s">
        <v>803</v>
      </c>
      <c r="H254" s="527">
        <v>31000</v>
      </c>
      <c r="I254" s="524" t="s">
        <v>1174</v>
      </c>
      <c r="J254" s="524">
        <f>IF(cmf[[#This Row],[D/C]]="C",cmf[[#This Row],[Valor]],-1*cmf[[#This Row],[Valor]])</f>
        <v>-31000</v>
      </c>
      <c r="L254" s="524" t="s">
        <v>1188</v>
      </c>
      <c r="M254" s="524" t="s">
        <v>1189</v>
      </c>
      <c r="N254" s="524" t="s">
        <v>1192</v>
      </c>
      <c r="O254" s="524" t="s">
        <v>1193</v>
      </c>
      <c r="P254" s="526">
        <v>46206</v>
      </c>
      <c r="S254" s="527">
        <v>0</v>
      </c>
    </row>
    <row r="255" spans="1:19" x14ac:dyDescent="0.2">
      <c r="A255" s="524">
        <v>72500</v>
      </c>
      <c r="B255" s="526">
        <v>46206</v>
      </c>
      <c r="C255" s="524" t="s">
        <v>1148</v>
      </c>
      <c r="D255" s="524" t="s">
        <v>1239</v>
      </c>
      <c r="E255" s="524" t="s">
        <v>1367</v>
      </c>
      <c r="F255" s="524" t="s">
        <v>943</v>
      </c>
      <c r="G255" s="524" t="s">
        <v>743</v>
      </c>
      <c r="H255" s="527">
        <v>96528.6</v>
      </c>
      <c r="I255" s="524" t="s">
        <v>1174</v>
      </c>
      <c r="J255" s="524">
        <f>IF(cmf[[#This Row],[D/C]]="C",cmf[[#This Row],[Valor]],-1*cmf[[#This Row],[Valor]])</f>
        <v>-96528.6</v>
      </c>
      <c r="L255" s="524" t="s">
        <v>1264</v>
      </c>
      <c r="M255" s="524" t="s">
        <v>1265</v>
      </c>
      <c r="N255" s="524" t="s">
        <v>1215</v>
      </c>
      <c r="O255" s="524" t="s">
        <v>1218</v>
      </c>
      <c r="P255" s="526">
        <v>46206</v>
      </c>
      <c r="S255" s="527">
        <v>0</v>
      </c>
    </row>
    <row r="256" spans="1:19" x14ac:dyDescent="0.2">
      <c r="A256" s="524">
        <v>72501</v>
      </c>
      <c r="B256" s="526">
        <v>46206</v>
      </c>
      <c r="C256" s="524" t="s">
        <v>1148</v>
      </c>
      <c r="D256" s="524" t="s">
        <v>1239</v>
      </c>
      <c r="E256" s="524" t="s">
        <v>1367</v>
      </c>
      <c r="F256" s="524" t="s">
        <v>943</v>
      </c>
      <c r="G256" s="524" t="s">
        <v>743</v>
      </c>
      <c r="H256" s="527">
        <v>47628.75</v>
      </c>
      <c r="I256" s="524" t="s">
        <v>1174</v>
      </c>
      <c r="J256" s="524">
        <f>IF(cmf[[#This Row],[D/C]]="C",cmf[[#This Row],[Valor]],-1*cmf[[#This Row],[Valor]])</f>
        <v>-47628.75</v>
      </c>
      <c r="L256" s="524" t="s">
        <v>1264</v>
      </c>
      <c r="M256" s="524" t="s">
        <v>1265</v>
      </c>
      <c r="N256" s="524" t="s">
        <v>1215</v>
      </c>
      <c r="O256" s="524" t="s">
        <v>1218</v>
      </c>
      <c r="P256" s="526">
        <v>46206</v>
      </c>
      <c r="S256" s="527">
        <v>0</v>
      </c>
    </row>
    <row r="257" spans="1:19" x14ac:dyDescent="0.2">
      <c r="A257" s="524">
        <v>72519</v>
      </c>
      <c r="B257" s="526">
        <v>46206</v>
      </c>
      <c r="C257" s="524" t="s">
        <v>1148</v>
      </c>
      <c r="D257" s="524" t="s">
        <v>1239</v>
      </c>
      <c r="E257" s="524" t="s">
        <v>1368</v>
      </c>
      <c r="F257" s="524" t="s">
        <v>943</v>
      </c>
      <c r="G257" s="524" t="s">
        <v>743</v>
      </c>
      <c r="H257" s="527">
        <v>2500</v>
      </c>
      <c r="I257" s="524" t="s">
        <v>1148</v>
      </c>
      <c r="J257" s="524">
        <f>IF(cmf[[#This Row],[D/C]]="C",cmf[[#This Row],[Valor]],-1*cmf[[#This Row],[Valor]])</f>
        <v>2500</v>
      </c>
      <c r="L257" s="524" t="s">
        <v>1264</v>
      </c>
      <c r="M257" s="524" t="s">
        <v>1265</v>
      </c>
      <c r="N257" s="524" t="s">
        <v>1215</v>
      </c>
      <c r="O257" s="524" t="s">
        <v>1218</v>
      </c>
      <c r="P257" s="526">
        <v>46206</v>
      </c>
      <c r="S257" s="527">
        <v>0</v>
      </c>
    </row>
    <row r="258" spans="1:19" x14ac:dyDescent="0.2">
      <c r="A258" s="524">
        <v>72521</v>
      </c>
      <c r="B258" s="526">
        <v>46206</v>
      </c>
      <c r="C258" s="524" t="s">
        <v>1148</v>
      </c>
      <c r="D258" s="524" t="s">
        <v>1239</v>
      </c>
      <c r="E258" s="524" t="s">
        <v>1369</v>
      </c>
      <c r="F258" s="524" t="s">
        <v>943</v>
      </c>
      <c r="G258" s="524" t="s">
        <v>743</v>
      </c>
      <c r="H258" s="527">
        <v>9000</v>
      </c>
      <c r="I258" s="524" t="s">
        <v>1148</v>
      </c>
      <c r="J258" s="524">
        <f>IF(cmf[[#This Row],[D/C]]="C",cmf[[#This Row],[Valor]],-1*cmf[[#This Row],[Valor]])</f>
        <v>9000</v>
      </c>
      <c r="L258" s="524" t="s">
        <v>1264</v>
      </c>
      <c r="M258" s="524" t="s">
        <v>1265</v>
      </c>
      <c r="N258" s="524" t="s">
        <v>1215</v>
      </c>
      <c r="O258" s="524" t="s">
        <v>1218</v>
      </c>
      <c r="P258" s="526">
        <v>46206</v>
      </c>
      <c r="S258" s="527">
        <v>0</v>
      </c>
    </row>
    <row r="259" spans="1:19" x14ac:dyDescent="0.2">
      <c r="A259" s="524">
        <v>68419</v>
      </c>
      <c r="B259" s="526">
        <v>46208</v>
      </c>
      <c r="C259" s="524" t="s">
        <v>1162</v>
      </c>
      <c r="D259" s="524" t="s">
        <v>1163</v>
      </c>
      <c r="E259" s="524" t="s">
        <v>1173</v>
      </c>
      <c r="F259" s="524" t="s">
        <v>1111</v>
      </c>
      <c r="G259" s="524" t="s">
        <v>1110</v>
      </c>
      <c r="H259" s="527">
        <v>1.9</v>
      </c>
      <c r="I259" s="524" t="s">
        <v>1174</v>
      </c>
      <c r="J259" s="524">
        <f>IF(cmf[[#This Row],[D/C]]="C",cmf[[#This Row],[Valor]],-1*cmf[[#This Row],[Valor]])</f>
        <v>-1.9</v>
      </c>
      <c r="L259" s="524" t="s">
        <v>1175</v>
      </c>
      <c r="M259" s="524" t="s">
        <v>1176</v>
      </c>
      <c r="N259" s="524" t="s">
        <v>1219</v>
      </c>
      <c r="O259" s="524" t="s">
        <v>1220</v>
      </c>
      <c r="P259" s="526"/>
      <c r="S259" s="527">
        <v>0</v>
      </c>
    </row>
    <row r="260" spans="1:19" x14ac:dyDescent="0.2">
      <c r="A260" s="524">
        <v>68378</v>
      </c>
      <c r="B260" s="526">
        <v>46209</v>
      </c>
      <c r="C260" s="524" t="s">
        <v>1162</v>
      </c>
      <c r="D260" s="524" t="s">
        <v>1163</v>
      </c>
      <c r="E260" s="524" t="s">
        <v>1164</v>
      </c>
      <c r="F260" s="524" t="s">
        <v>1165</v>
      </c>
      <c r="G260" s="524" t="s">
        <v>756</v>
      </c>
      <c r="H260" s="527">
        <v>20190.919999999998</v>
      </c>
      <c r="I260" s="524" t="s">
        <v>1148</v>
      </c>
      <c r="J260" s="524">
        <f>IF(cmf[[#This Row],[D/C]]="C",cmf[[#This Row],[Valor]],-1*cmf[[#This Row],[Valor]])</f>
        <v>20190.919999999998</v>
      </c>
      <c r="L260" s="524" t="s">
        <v>1166</v>
      </c>
      <c r="M260" s="524" t="s">
        <v>1167</v>
      </c>
      <c r="N260" s="524" t="s">
        <v>1168</v>
      </c>
      <c r="O260" s="524" t="s">
        <v>1169</v>
      </c>
      <c r="P260" s="526"/>
      <c r="S260" s="527">
        <v>0</v>
      </c>
    </row>
    <row r="261" spans="1:19" x14ac:dyDescent="0.2">
      <c r="A261" s="524">
        <v>68411</v>
      </c>
      <c r="B261" s="526">
        <v>46209</v>
      </c>
      <c r="C261" s="524" t="s">
        <v>1148</v>
      </c>
      <c r="D261" s="524" t="s">
        <v>1163</v>
      </c>
      <c r="E261" s="524" t="s">
        <v>1164</v>
      </c>
      <c r="F261" s="524" t="s">
        <v>1178</v>
      </c>
      <c r="G261" s="524" t="s">
        <v>1179</v>
      </c>
      <c r="H261" s="527">
        <v>5590.24</v>
      </c>
      <c r="I261" s="524" t="s">
        <v>1148</v>
      </c>
      <c r="J261" s="524">
        <f>IF(cmf[[#This Row],[D/C]]="C",cmf[[#This Row],[Valor]],-1*cmf[[#This Row],[Valor]])</f>
        <v>5590.24</v>
      </c>
      <c r="L261" s="524" t="s">
        <v>1166</v>
      </c>
      <c r="M261" s="524" t="s">
        <v>1167</v>
      </c>
      <c r="N261" s="524" t="s">
        <v>1180</v>
      </c>
      <c r="O261" s="524" t="s">
        <v>1181</v>
      </c>
      <c r="P261" s="526">
        <v>46209</v>
      </c>
      <c r="S261" s="527">
        <v>0</v>
      </c>
    </row>
    <row r="262" spans="1:19" x14ac:dyDescent="0.2">
      <c r="A262" s="524">
        <v>68414</v>
      </c>
      <c r="B262" s="526">
        <v>46209</v>
      </c>
      <c r="C262" s="524" t="s">
        <v>1148</v>
      </c>
      <c r="D262" s="524" t="s">
        <v>1163</v>
      </c>
      <c r="E262" s="524" t="s">
        <v>1164</v>
      </c>
      <c r="F262" s="524" t="s">
        <v>1170</v>
      </c>
      <c r="G262" s="524" t="s">
        <v>740</v>
      </c>
      <c r="H262" s="527">
        <v>481.27</v>
      </c>
      <c r="I262" s="524" t="s">
        <v>1148</v>
      </c>
      <c r="J262" s="524">
        <f>IF(cmf[[#This Row],[D/C]]="C",cmf[[#This Row],[Valor]],-1*cmf[[#This Row],[Valor]])</f>
        <v>481.27</v>
      </c>
      <c r="L262" s="524" t="s">
        <v>1166</v>
      </c>
      <c r="M262" s="524" t="s">
        <v>1167</v>
      </c>
      <c r="N262" s="524" t="s">
        <v>1215</v>
      </c>
      <c r="O262" s="524" t="s">
        <v>1218</v>
      </c>
      <c r="P262" s="526">
        <v>46209</v>
      </c>
      <c r="S262" s="527">
        <v>0</v>
      </c>
    </row>
    <row r="263" spans="1:19" x14ac:dyDescent="0.2">
      <c r="A263" s="524">
        <v>68415</v>
      </c>
      <c r="B263" s="526">
        <v>46209</v>
      </c>
      <c r="C263" s="524" t="s">
        <v>1148</v>
      </c>
      <c r="D263" s="524" t="s">
        <v>1163</v>
      </c>
      <c r="E263" s="524" t="s">
        <v>1173</v>
      </c>
      <c r="F263" s="524" t="s">
        <v>1170</v>
      </c>
      <c r="G263" s="524" t="s">
        <v>740</v>
      </c>
      <c r="H263" s="527">
        <v>6.3</v>
      </c>
      <c r="I263" s="524" t="s">
        <v>1174</v>
      </c>
      <c r="J263" s="524">
        <f>IF(cmf[[#This Row],[D/C]]="C",cmf[[#This Row],[Valor]],-1*cmf[[#This Row],[Valor]])</f>
        <v>-6.3</v>
      </c>
      <c r="L263" s="524" t="s">
        <v>1175</v>
      </c>
      <c r="M263" s="524" t="s">
        <v>1176</v>
      </c>
      <c r="N263" s="524" t="s">
        <v>1215</v>
      </c>
      <c r="O263" s="524" t="s">
        <v>1218</v>
      </c>
      <c r="P263" s="526">
        <v>46209</v>
      </c>
      <c r="S263" s="527">
        <v>0</v>
      </c>
    </row>
    <row r="264" spans="1:19" x14ac:dyDescent="0.2">
      <c r="A264" s="524">
        <v>68416</v>
      </c>
      <c r="B264" s="526">
        <v>46209</v>
      </c>
      <c r="C264" s="524" t="s">
        <v>1162</v>
      </c>
      <c r="D264" s="524" t="s">
        <v>1163</v>
      </c>
      <c r="E264" s="524" t="s">
        <v>1164</v>
      </c>
      <c r="F264" s="524" t="s">
        <v>1183</v>
      </c>
      <c r="G264" s="524" t="s">
        <v>796</v>
      </c>
      <c r="H264" s="527">
        <v>6558.89</v>
      </c>
      <c r="I264" s="524" t="s">
        <v>1148</v>
      </c>
      <c r="J264" s="524">
        <f>IF(cmf[[#This Row],[D/C]]="C",cmf[[#This Row],[Valor]],-1*cmf[[#This Row],[Valor]])</f>
        <v>6558.89</v>
      </c>
      <c r="L264" s="524" t="s">
        <v>1166</v>
      </c>
      <c r="M264" s="524" t="s">
        <v>1167</v>
      </c>
      <c r="N264" s="524" t="s">
        <v>1184</v>
      </c>
      <c r="O264" s="524" t="s">
        <v>1172</v>
      </c>
      <c r="P264" s="526"/>
      <c r="S264" s="527">
        <v>0</v>
      </c>
    </row>
    <row r="265" spans="1:19" x14ac:dyDescent="0.2">
      <c r="A265" s="524">
        <v>68417</v>
      </c>
      <c r="B265" s="526">
        <v>46209</v>
      </c>
      <c r="C265" s="524" t="s">
        <v>1162</v>
      </c>
      <c r="D265" s="524" t="s">
        <v>1163</v>
      </c>
      <c r="E265" s="524" t="s">
        <v>1173</v>
      </c>
      <c r="F265" s="524" t="s">
        <v>1183</v>
      </c>
      <c r="G265" s="524" t="s">
        <v>796</v>
      </c>
      <c r="H265" s="527">
        <v>11.5</v>
      </c>
      <c r="I265" s="524" t="s">
        <v>1174</v>
      </c>
      <c r="J265" s="524">
        <f>IF(cmf[[#This Row],[D/C]]="C",cmf[[#This Row],[Valor]],-1*cmf[[#This Row],[Valor]])</f>
        <v>-11.5</v>
      </c>
      <c r="L265" s="524" t="s">
        <v>1175</v>
      </c>
      <c r="M265" s="524" t="s">
        <v>1176</v>
      </c>
      <c r="N265" s="524" t="s">
        <v>1184</v>
      </c>
      <c r="O265" s="524" t="s">
        <v>1172</v>
      </c>
      <c r="P265" s="526"/>
      <c r="S265" s="527">
        <v>0</v>
      </c>
    </row>
    <row r="266" spans="1:19" x14ac:dyDescent="0.2">
      <c r="A266" s="524">
        <v>68420</v>
      </c>
      <c r="B266" s="526">
        <v>46209</v>
      </c>
      <c r="C266" s="524" t="s">
        <v>1162</v>
      </c>
      <c r="D266" s="524" t="s">
        <v>1163</v>
      </c>
      <c r="E266" s="524" t="s">
        <v>1164</v>
      </c>
      <c r="F266" s="524" t="s">
        <v>1111</v>
      </c>
      <c r="G266" s="524" t="s">
        <v>1110</v>
      </c>
      <c r="H266" s="527">
        <v>33021.5</v>
      </c>
      <c r="I266" s="524" t="s">
        <v>1148</v>
      </c>
      <c r="J266" s="524">
        <f>IF(cmf[[#This Row],[D/C]]="C",cmf[[#This Row],[Valor]],-1*cmf[[#This Row],[Valor]])</f>
        <v>33021.5</v>
      </c>
      <c r="L266" s="524" t="s">
        <v>1166</v>
      </c>
      <c r="M266" s="524" t="s">
        <v>1167</v>
      </c>
      <c r="N266" s="524" t="s">
        <v>1219</v>
      </c>
      <c r="O266" s="524" t="s">
        <v>1220</v>
      </c>
      <c r="P266" s="526"/>
      <c r="S266" s="527">
        <v>0</v>
      </c>
    </row>
    <row r="267" spans="1:19" x14ac:dyDescent="0.2">
      <c r="A267" s="524">
        <v>68522</v>
      </c>
      <c r="B267" s="526">
        <v>46209</v>
      </c>
      <c r="C267" s="524" t="s">
        <v>1148</v>
      </c>
      <c r="D267" s="524" t="s">
        <v>1163</v>
      </c>
      <c r="E267" s="524" t="s">
        <v>1164</v>
      </c>
      <c r="F267" s="524" t="s">
        <v>1183</v>
      </c>
      <c r="G267" s="524" t="s">
        <v>806</v>
      </c>
      <c r="H267" s="527">
        <v>161625</v>
      </c>
      <c r="I267" s="524" t="s">
        <v>1148</v>
      </c>
      <c r="J267" s="524">
        <f>IF(cmf[[#This Row],[D/C]]="C",cmf[[#This Row],[Valor]],-1*cmf[[#This Row],[Valor]])</f>
        <v>161625</v>
      </c>
      <c r="L267" s="524" t="s">
        <v>1166</v>
      </c>
      <c r="M267" s="524" t="s">
        <v>1167</v>
      </c>
      <c r="N267" s="524" t="s">
        <v>1283</v>
      </c>
      <c r="O267" s="524" t="s">
        <v>1284</v>
      </c>
      <c r="P267" s="526">
        <v>46209</v>
      </c>
      <c r="S267" s="527">
        <v>0</v>
      </c>
    </row>
    <row r="268" spans="1:19" x14ac:dyDescent="0.2">
      <c r="A268" s="524">
        <v>68523</v>
      </c>
      <c r="B268" s="526">
        <v>46209</v>
      </c>
      <c r="C268" s="524" t="s">
        <v>1148</v>
      </c>
      <c r="D268" s="524" t="s">
        <v>1163</v>
      </c>
      <c r="E268" s="524" t="s">
        <v>1173</v>
      </c>
      <c r="F268" s="524" t="s">
        <v>1183</v>
      </c>
      <c r="G268" s="524" t="s">
        <v>806</v>
      </c>
      <c r="H268" s="527">
        <v>6.57</v>
      </c>
      <c r="I268" s="524" t="s">
        <v>1174</v>
      </c>
      <c r="J268" s="524">
        <f>IF(cmf[[#This Row],[D/C]]="C",cmf[[#This Row],[Valor]],-1*cmf[[#This Row],[Valor]])</f>
        <v>-6.57</v>
      </c>
      <c r="L268" s="524" t="s">
        <v>1175</v>
      </c>
      <c r="M268" s="524" t="s">
        <v>1176</v>
      </c>
      <c r="N268" s="524" t="s">
        <v>1283</v>
      </c>
      <c r="O268" s="524" t="s">
        <v>1284</v>
      </c>
      <c r="P268" s="526">
        <v>46209</v>
      </c>
      <c r="S268" s="527">
        <v>0</v>
      </c>
    </row>
    <row r="269" spans="1:19" x14ac:dyDescent="0.2">
      <c r="A269" s="524">
        <v>68532</v>
      </c>
      <c r="B269" s="526">
        <v>46209</v>
      </c>
      <c r="C269" s="524" t="s">
        <v>1148</v>
      </c>
      <c r="D269" s="524" t="s">
        <v>1186</v>
      </c>
      <c r="E269" s="524" t="s">
        <v>1370</v>
      </c>
      <c r="F269" s="524" t="s">
        <v>1178</v>
      </c>
      <c r="G269" s="524" t="s">
        <v>1179</v>
      </c>
      <c r="H269" s="527">
        <v>14500</v>
      </c>
      <c r="I269" s="524" t="s">
        <v>1174</v>
      </c>
      <c r="J269" s="524">
        <f>IF(cmf[[#This Row],[D/C]]="C",cmf[[#This Row],[Valor]],-1*cmf[[#This Row],[Valor]])</f>
        <v>-14500</v>
      </c>
      <c r="L269" s="524" t="s">
        <v>1188</v>
      </c>
      <c r="M269" s="524" t="s">
        <v>1189</v>
      </c>
      <c r="N269" s="524" t="s">
        <v>1180</v>
      </c>
      <c r="O269" s="524" t="s">
        <v>1181</v>
      </c>
      <c r="P269" s="526">
        <v>46209</v>
      </c>
      <c r="S269" s="527">
        <v>0</v>
      </c>
    </row>
    <row r="270" spans="1:19" x14ac:dyDescent="0.2">
      <c r="A270" s="524">
        <v>68533</v>
      </c>
      <c r="B270" s="526">
        <v>46209</v>
      </c>
      <c r="C270" s="524" t="s">
        <v>1148</v>
      </c>
      <c r="D270" s="524" t="s">
        <v>1186</v>
      </c>
      <c r="E270" s="524" t="s">
        <v>1371</v>
      </c>
      <c r="F270" s="524" t="s">
        <v>1178</v>
      </c>
      <c r="G270" s="524" t="s">
        <v>1179</v>
      </c>
      <c r="H270" s="527">
        <v>1956</v>
      </c>
      <c r="I270" s="524" t="s">
        <v>1174</v>
      </c>
      <c r="J270" s="524">
        <f>IF(cmf[[#This Row],[D/C]]="C",cmf[[#This Row],[Valor]],-1*cmf[[#This Row],[Valor]])</f>
        <v>-1956</v>
      </c>
      <c r="L270" s="524" t="s">
        <v>1188</v>
      </c>
      <c r="M270" s="524" t="s">
        <v>1189</v>
      </c>
      <c r="N270" s="524" t="s">
        <v>1180</v>
      </c>
      <c r="O270" s="524" t="s">
        <v>1181</v>
      </c>
      <c r="P270" s="526">
        <v>46209</v>
      </c>
      <c r="S270" s="527">
        <v>0</v>
      </c>
    </row>
    <row r="271" spans="1:19" x14ac:dyDescent="0.2">
      <c r="A271" s="524">
        <v>68534</v>
      </c>
      <c r="B271" s="526">
        <v>46209</v>
      </c>
      <c r="C271" s="524" t="s">
        <v>1148</v>
      </c>
      <c r="D271" s="524" t="s">
        <v>1186</v>
      </c>
      <c r="E271" s="524" t="s">
        <v>1372</v>
      </c>
      <c r="F271" s="524" t="s">
        <v>1178</v>
      </c>
      <c r="G271" s="524" t="s">
        <v>1179</v>
      </c>
      <c r="H271" s="527">
        <v>2000</v>
      </c>
      <c r="I271" s="524" t="s">
        <v>1174</v>
      </c>
      <c r="J271" s="524">
        <f>IF(cmf[[#This Row],[D/C]]="C",cmf[[#This Row],[Valor]],-1*cmf[[#This Row],[Valor]])</f>
        <v>-2000</v>
      </c>
      <c r="L271" s="524" t="s">
        <v>1188</v>
      </c>
      <c r="M271" s="524" t="s">
        <v>1189</v>
      </c>
      <c r="N271" s="524" t="s">
        <v>1180</v>
      </c>
      <c r="O271" s="524" t="s">
        <v>1181</v>
      </c>
      <c r="P271" s="526">
        <v>46209</v>
      </c>
      <c r="S271" s="527">
        <v>0</v>
      </c>
    </row>
    <row r="272" spans="1:19" x14ac:dyDescent="0.2">
      <c r="A272" s="524">
        <v>68541</v>
      </c>
      <c r="B272" s="526">
        <v>46209</v>
      </c>
      <c r="C272" s="524" t="s">
        <v>1162</v>
      </c>
      <c r="D272" s="524" t="s">
        <v>1163</v>
      </c>
      <c r="E272" s="524" t="s">
        <v>1173</v>
      </c>
      <c r="F272" s="524" t="s">
        <v>1165</v>
      </c>
      <c r="G272" s="524" t="s">
        <v>756</v>
      </c>
      <c r="H272" s="527">
        <v>5.96</v>
      </c>
      <c r="I272" s="524" t="s">
        <v>1174</v>
      </c>
      <c r="J272" s="524">
        <f>IF(cmf[[#This Row],[D/C]]="C",cmf[[#This Row],[Valor]],-1*cmf[[#This Row],[Valor]])</f>
        <v>-5.96</v>
      </c>
      <c r="L272" s="524" t="s">
        <v>1175</v>
      </c>
      <c r="M272" s="524" t="s">
        <v>1176</v>
      </c>
      <c r="N272" s="524" t="s">
        <v>1168</v>
      </c>
      <c r="O272" s="524" t="s">
        <v>1169</v>
      </c>
      <c r="P272" s="526"/>
      <c r="S272" s="527">
        <v>0</v>
      </c>
    </row>
    <row r="273" spans="1:19" x14ac:dyDescent="0.2">
      <c r="A273" s="524">
        <v>68543</v>
      </c>
      <c r="B273" s="526">
        <v>46209</v>
      </c>
      <c r="C273" s="524" t="s">
        <v>1148</v>
      </c>
      <c r="D273" s="524" t="s">
        <v>1186</v>
      </c>
      <c r="E273" s="524" t="s">
        <v>1373</v>
      </c>
      <c r="F273" s="524" t="s">
        <v>1183</v>
      </c>
      <c r="G273" s="524" t="s">
        <v>750</v>
      </c>
      <c r="H273" s="527">
        <v>775.27</v>
      </c>
      <c r="I273" s="524" t="s">
        <v>1174</v>
      </c>
      <c r="J273" s="524">
        <f>IF(cmf[[#This Row],[D/C]]="C",cmf[[#This Row],[Valor]],-1*cmf[[#This Row],[Valor]])</f>
        <v>-775.27</v>
      </c>
      <c r="L273" s="524" t="s">
        <v>1188</v>
      </c>
      <c r="M273" s="524" t="s">
        <v>1189</v>
      </c>
      <c r="N273" s="524" t="s">
        <v>1256</v>
      </c>
      <c r="O273" s="524" t="s">
        <v>1257</v>
      </c>
      <c r="P273" s="526">
        <v>46209</v>
      </c>
      <c r="S273" s="527">
        <v>0</v>
      </c>
    </row>
    <row r="274" spans="1:19" x14ac:dyDescent="0.2">
      <c r="A274" s="524">
        <v>68544</v>
      </c>
      <c r="B274" s="526">
        <v>46209</v>
      </c>
      <c r="C274" s="524" t="s">
        <v>1148</v>
      </c>
      <c r="D274" s="524" t="s">
        <v>1186</v>
      </c>
      <c r="E274" s="524" t="s">
        <v>1374</v>
      </c>
      <c r="F274" s="524" t="s">
        <v>1183</v>
      </c>
      <c r="G274" s="524" t="s">
        <v>750</v>
      </c>
      <c r="H274" s="527">
        <v>750</v>
      </c>
      <c r="I274" s="524" t="s">
        <v>1174</v>
      </c>
      <c r="J274" s="524">
        <f>IF(cmf[[#This Row],[D/C]]="C",cmf[[#This Row],[Valor]],-1*cmf[[#This Row],[Valor]])</f>
        <v>-750</v>
      </c>
      <c r="L274" s="524" t="s">
        <v>1188</v>
      </c>
      <c r="M274" s="524" t="s">
        <v>1189</v>
      </c>
      <c r="N274" s="524" t="s">
        <v>1256</v>
      </c>
      <c r="O274" s="524" t="s">
        <v>1257</v>
      </c>
      <c r="P274" s="526">
        <v>46209</v>
      </c>
      <c r="S274" s="527">
        <v>0</v>
      </c>
    </row>
    <row r="275" spans="1:19" x14ac:dyDescent="0.2">
      <c r="A275" s="524">
        <v>68546</v>
      </c>
      <c r="B275" s="526">
        <v>46209</v>
      </c>
      <c r="C275" s="524" t="s">
        <v>1162</v>
      </c>
      <c r="D275" s="524" t="s">
        <v>1186</v>
      </c>
      <c r="E275" s="524" t="s">
        <v>1375</v>
      </c>
      <c r="F275" s="524" t="s">
        <v>1376</v>
      </c>
      <c r="G275" s="524" t="s">
        <v>1377</v>
      </c>
      <c r="H275" s="527">
        <v>1041.4100000000001</v>
      </c>
      <c r="I275" s="524" t="s">
        <v>1174</v>
      </c>
      <c r="J275" s="524">
        <f>IF(cmf[[#This Row],[D/C]]="C",cmf[[#This Row],[Valor]],-1*cmf[[#This Row],[Valor]])</f>
        <v>-1041.4100000000001</v>
      </c>
      <c r="L275" s="524" t="s">
        <v>1188</v>
      </c>
      <c r="M275" s="524" t="s">
        <v>1189</v>
      </c>
      <c r="N275" s="524" t="s">
        <v>1215</v>
      </c>
      <c r="O275" s="524" t="s">
        <v>1267</v>
      </c>
      <c r="P275" s="526"/>
      <c r="S275" s="527">
        <v>0</v>
      </c>
    </row>
    <row r="276" spans="1:19" x14ac:dyDescent="0.2">
      <c r="A276" s="524">
        <v>68547</v>
      </c>
      <c r="B276" s="526">
        <v>46209</v>
      </c>
      <c r="C276" s="524" t="s">
        <v>1162</v>
      </c>
      <c r="D276" s="524" t="s">
        <v>1186</v>
      </c>
      <c r="E276" s="524" t="s">
        <v>1378</v>
      </c>
      <c r="F276" s="524" t="s">
        <v>1376</v>
      </c>
      <c r="G276" s="524" t="s">
        <v>1377</v>
      </c>
      <c r="H276" s="527">
        <v>49.49</v>
      </c>
      <c r="I276" s="524" t="s">
        <v>1174</v>
      </c>
      <c r="J276" s="524">
        <f>IF(cmf[[#This Row],[D/C]]="C",cmf[[#This Row],[Valor]],-1*cmf[[#This Row],[Valor]])</f>
        <v>-49.49</v>
      </c>
      <c r="L276" s="524" t="s">
        <v>1188</v>
      </c>
      <c r="M276" s="524" t="s">
        <v>1189</v>
      </c>
      <c r="N276" s="524" t="s">
        <v>1215</v>
      </c>
      <c r="O276" s="524" t="s">
        <v>1267</v>
      </c>
      <c r="P276" s="526"/>
      <c r="S276" s="527">
        <v>0</v>
      </c>
    </row>
    <row r="277" spans="1:19" x14ac:dyDescent="0.2">
      <c r="A277" s="524">
        <v>68548</v>
      </c>
      <c r="B277" s="526">
        <v>46209</v>
      </c>
      <c r="C277" s="524" t="s">
        <v>1162</v>
      </c>
      <c r="D277" s="524" t="s">
        <v>1186</v>
      </c>
      <c r="E277" s="524" t="s">
        <v>1379</v>
      </c>
      <c r="F277" s="524" t="s">
        <v>1376</v>
      </c>
      <c r="G277" s="524" t="s">
        <v>1377</v>
      </c>
      <c r="H277" s="527">
        <v>55.73</v>
      </c>
      <c r="I277" s="524" t="s">
        <v>1174</v>
      </c>
      <c r="J277" s="524">
        <f>IF(cmf[[#This Row],[D/C]]="C",cmf[[#This Row],[Valor]],-1*cmf[[#This Row],[Valor]])</f>
        <v>-55.73</v>
      </c>
      <c r="L277" s="524" t="s">
        <v>1188</v>
      </c>
      <c r="M277" s="524" t="s">
        <v>1189</v>
      </c>
      <c r="N277" s="524" t="s">
        <v>1215</v>
      </c>
      <c r="O277" s="524" t="s">
        <v>1267</v>
      </c>
      <c r="P277" s="526"/>
      <c r="S277" s="527">
        <v>0</v>
      </c>
    </row>
    <row r="278" spans="1:19" x14ac:dyDescent="0.2">
      <c r="A278" s="524">
        <v>68549</v>
      </c>
      <c r="B278" s="526">
        <v>46209</v>
      </c>
      <c r="C278" s="524" t="s">
        <v>1162</v>
      </c>
      <c r="D278" s="524" t="s">
        <v>1186</v>
      </c>
      <c r="E278" s="524" t="s">
        <v>1380</v>
      </c>
      <c r="F278" s="524" t="s">
        <v>1376</v>
      </c>
      <c r="G278" s="524" t="s">
        <v>1377</v>
      </c>
      <c r="H278" s="527">
        <v>254.26</v>
      </c>
      <c r="I278" s="524" t="s">
        <v>1174</v>
      </c>
      <c r="J278" s="524">
        <f>IF(cmf[[#This Row],[D/C]]="C",cmf[[#This Row],[Valor]],-1*cmf[[#This Row],[Valor]])</f>
        <v>-254.26</v>
      </c>
      <c r="L278" s="524" t="s">
        <v>1188</v>
      </c>
      <c r="M278" s="524" t="s">
        <v>1189</v>
      </c>
      <c r="N278" s="524" t="s">
        <v>1215</v>
      </c>
      <c r="O278" s="524" t="s">
        <v>1267</v>
      </c>
      <c r="P278" s="526"/>
      <c r="S278" s="527">
        <v>0</v>
      </c>
    </row>
    <row r="279" spans="1:19" x14ac:dyDescent="0.2">
      <c r="A279" s="524">
        <v>68550</v>
      </c>
      <c r="B279" s="526">
        <v>46209</v>
      </c>
      <c r="C279" s="524" t="s">
        <v>1148</v>
      </c>
      <c r="D279" s="524" t="s">
        <v>1226</v>
      </c>
      <c r="E279" s="524" t="s">
        <v>1381</v>
      </c>
      <c r="F279" s="524" t="s">
        <v>1183</v>
      </c>
      <c r="G279" s="524" t="s">
        <v>803</v>
      </c>
      <c r="H279" s="527">
        <v>370.96</v>
      </c>
      <c r="I279" s="524" t="s">
        <v>1148</v>
      </c>
      <c r="J279" s="524">
        <f>IF(cmf[[#This Row],[D/C]]="C",cmf[[#This Row],[Valor]],-1*cmf[[#This Row],[Valor]])</f>
        <v>370.96</v>
      </c>
      <c r="L279" s="524" t="s">
        <v>1230</v>
      </c>
      <c r="M279" s="524" t="s">
        <v>1231</v>
      </c>
      <c r="N279" s="524" t="s">
        <v>1192</v>
      </c>
      <c r="O279" s="524" t="s">
        <v>1193</v>
      </c>
      <c r="P279" s="526">
        <v>46209</v>
      </c>
      <c r="S279" s="527">
        <v>0</v>
      </c>
    </row>
    <row r="280" spans="1:19" x14ac:dyDescent="0.2">
      <c r="A280" s="524">
        <v>68551</v>
      </c>
      <c r="B280" s="526">
        <v>46209</v>
      </c>
      <c r="C280" s="524" t="s">
        <v>1148</v>
      </c>
      <c r="D280" s="524" t="s">
        <v>1186</v>
      </c>
      <c r="E280" s="524" t="s">
        <v>1382</v>
      </c>
      <c r="F280" s="524" t="s">
        <v>1183</v>
      </c>
      <c r="G280" s="524" t="s">
        <v>742</v>
      </c>
      <c r="H280" s="527">
        <v>2000</v>
      </c>
      <c r="I280" s="524" t="s">
        <v>1174</v>
      </c>
      <c r="J280" s="524">
        <f>IF(cmf[[#This Row],[D/C]]="C",cmf[[#This Row],[Valor]],-1*cmf[[#This Row],[Valor]])</f>
        <v>-2000</v>
      </c>
      <c r="L280" s="524" t="s">
        <v>1188</v>
      </c>
      <c r="M280" s="524" t="s">
        <v>1189</v>
      </c>
      <c r="N280" s="524" t="s">
        <v>1215</v>
      </c>
      <c r="O280" s="524" t="s">
        <v>1218</v>
      </c>
      <c r="P280" s="526">
        <v>46209</v>
      </c>
      <c r="S280" s="527">
        <v>0</v>
      </c>
    </row>
    <row r="281" spans="1:19" x14ac:dyDescent="0.2">
      <c r="A281" s="524">
        <v>68552</v>
      </c>
      <c r="B281" s="526">
        <v>46209</v>
      </c>
      <c r="C281" s="524" t="s">
        <v>1148</v>
      </c>
      <c r="D281" s="524" t="s">
        <v>1186</v>
      </c>
      <c r="E281" s="524" t="s">
        <v>1383</v>
      </c>
      <c r="F281" s="524" t="s">
        <v>1183</v>
      </c>
      <c r="G281" s="524" t="s">
        <v>742</v>
      </c>
      <c r="H281" s="527">
        <v>255.7</v>
      </c>
      <c r="I281" s="524" t="s">
        <v>1174</v>
      </c>
      <c r="J281" s="524">
        <f>IF(cmf[[#This Row],[D/C]]="C",cmf[[#This Row],[Valor]],-1*cmf[[#This Row],[Valor]])</f>
        <v>-255.7</v>
      </c>
      <c r="L281" s="524" t="s">
        <v>1188</v>
      </c>
      <c r="M281" s="524" t="s">
        <v>1189</v>
      </c>
      <c r="N281" s="524" t="s">
        <v>1215</v>
      </c>
      <c r="O281" s="524" t="s">
        <v>1218</v>
      </c>
      <c r="P281" s="526">
        <v>46209</v>
      </c>
      <c r="S281" s="527">
        <v>0</v>
      </c>
    </row>
    <row r="282" spans="1:19" x14ac:dyDescent="0.2">
      <c r="A282" s="524">
        <v>68553</v>
      </c>
      <c r="B282" s="526">
        <v>46209</v>
      </c>
      <c r="C282" s="524" t="s">
        <v>1148</v>
      </c>
      <c r="D282" s="524" t="s">
        <v>1186</v>
      </c>
      <c r="E282" s="524" t="s">
        <v>1384</v>
      </c>
      <c r="F282" s="524" t="s">
        <v>1183</v>
      </c>
      <c r="G282" s="524" t="s">
        <v>742</v>
      </c>
      <c r="H282" s="527">
        <v>700</v>
      </c>
      <c r="I282" s="524" t="s">
        <v>1174</v>
      </c>
      <c r="J282" s="524">
        <f>IF(cmf[[#This Row],[D/C]]="C",cmf[[#This Row],[Valor]],-1*cmf[[#This Row],[Valor]])</f>
        <v>-700</v>
      </c>
      <c r="L282" s="524" t="s">
        <v>1188</v>
      </c>
      <c r="M282" s="524" t="s">
        <v>1189</v>
      </c>
      <c r="N282" s="524" t="s">
        <v>1215</v>
      </c>
      <c r="O282" s="524" t="s">
        <v>1218</v>
      </c>
      <c r="P282" s="526">
        <v>46209</v>
      </c>
      <c r="S282" s="527">
        <v>0</v>
      </c>
    </row>
    <row r="283" spans="1:19" x14ac:dyDescent="0.2">
      <c r="A283" s="524">
        <v>68554</v>
      </c>
      <c r="B283" s="526">
        <v>46209</v>
      </c>
      <c r="C283" s="524" t="s">
        <v>1148</v>
      </c>
      <c r="D283" s="524" t="s">
        <v>1186</v>
      </c>
      <c r="E283" s="524" t="s">
        <v>1385</v>
      </c>
      <c r="F283" s="524" t="s">
        <v>1183</v>
      </c>
      <c r="G283" s="524" t="s">
        <v>742</v>
      </c>
      <c r="H283" s="527">
        <v>3839.36</v>
      </c>
      <c r="I283" s="524" t="s">
        <v>1174</v>
      </c>
      <c r="J283" s="524">
        <f>IF(cmf[[#This Row],[D/C]]="C",cmf[[#This Row],[Valor]],-1*cmf[[#This Row],[Valor]])</f>
        <v>-3839.36</v>
      </c>
      <c r="L283" s="524" t="s">
        <v>1188</v>
      </c>
      <c r="M283" s="524" t="s">
        <v>1189</v>
      </c>
      <c r="N283" s="524" t="s">
        <v>1215</v>
      </c>
      <c r="O283" s="524" t="s">
        <v>1218</v>
      </c>
      <c r="P283" s="526">
        <v>46209</v>
      </c>
      <c r="S283" s="527">
        <v>0</v>
      </c>
    </row>
    <row r="284" spans="1:19" x14ac:dyDescent="0.2">
      <c r="A284" s="524">
        <v>68555</v>
      </c>
      <c r="B284" s="526">
        <v>46209</v>
      </c>
      <c r="C284" s="524" t="s">
        <v>1148</v>
      </c>
      <c r="D284" s="524" t="s">
        <v>1186</v>
      </c>
      <c r="E284" s="524" t="s">
        <v>1386</v>
      </c>
      <c r="F284" s="524" t="s">
        <v>1183</v>
      </c>
      <c r="G284" s="524" t="s">
        <v>742</v>
      </c>
      <c r="H284" s="527">
        <v>10979.08</v>
      </c>
      <c r="I284" s="524" t="s">
        <v>1174</v>
      </c>
      <c r="J284" s="524">
        <f>IF(cmf[[#This Row],[D/C]]="C",cmf[[#This Row],[Valor]],-1*cmf[[#This Row],[Valor]])</f>
        <v>-10979.08</v>
      </c>
      <c r="L284" s="524" t="s">
        <v>1188</v>
      </c>
      <c r="M284" s="524" t="s">
        <v>1189</v>
      </c>
      <c r="N284" s="524" t="s">
        <v>1215</v>
      </c>
      <c r="O284" s="524" t="s">
        <v>1218</v>
      </c>
      <c r="P284" s="526">
        <v>46209</v>
      </c>
      <c r="S284" s="527">
        <v>0</v>
      </c>
    </row>
    <row r="285" spans="1:19" x14ac:dyDescent="0.2">
      <c r="A285" s="524">
        <v>68556</v>
      </c>
      <c r="B285" s="526">
        <v>46209</v>
      </c>
      <c r="C285" s="524" t="s">
        <v>1148</v>
      </c>
      <c r="D285" s="524" t="s">
        <v>1186</v>
      </c>
      <c r="E285" s="524" t="s">
        <v>1387</v>
      </c>
      <c r="F285" s="524" t="s">
        <v>1183</v>
      </c>
      <c r="G285" s="524" t="s">
        <v>742</v>
      </c>
      <c r="H285" s="527">
        <v>3076</v>
      </c>
      <c r="I285" s="524" t="s">
        <v>1174</v>
      </c>
      <c r="J285" s="524">
        <f>IF(cmf[[#This Row],[D/C]]="C",cmf[[#This Row],[Valor]],-1*cmf[[#This Row],[Valor]])</f>
        <v>-3076</v>
      </c>
      <c r="L285" s="524" t="s">
        <v>1188</v>
      </c>
      <c r="M285" s="524" t="s">
        <v>1189</v>
      </c>
      <c r="N285" s="524" t="s">
        <v>1215</v>
      </c>
      <c r="O285" s="524" t="s">
        <v>1218</v>
      </c>
      <c r="P285" s="526">
        <v>46209</v>
      </c>
      <c r="S285" s="527">
        <v>0</v>
      </c>
    </row>
    <row r="286" spans="1:19" x14ac:dyDescent="0.2">
      <c r="A286" s="524">
        <v>68557</v>
      </c>
      <c r="B286" s="526">
        <v>46209</v>
      </c>
      <c r="C286" s="524" t="s">
        <v>1148</v>
      </c>
      <c r="D286" s="524" t="s">
        <v>1186</v>
      </c>
      <c r="E286" s="524" t="s">
        <v>1388</v>
      </c>
      <c r="F286" s="524" t="s">
        <v>1183</v>
      </c>
      <c r="G286" s="524" t="s">
        <v>742</v>
      </c>
      <c r="H286" s="527">
        <v>5000</v>
      </c>
      <c r="I286" s="524" t="s">
        <v>1174</v>
      </c>
      <c r="J286" s="524">
        <f>IF(cmf[[#This Row],[D/C]]="C",cmf[[#This Row],[Valor]],-1*cmf[[#This Row],[Valor]])</f>
        <v>-5000</v>
      </c>
      <c r="L286" s="524" t="s">
        <v>1188</v>
      </c>
      <c r="M286" s="524" t="s">
        <v>1189</v>
      </c>
      <c r="N286" s="524" t="s">
        <v>1215</v>
      </c>
      <c r="O286" s="524" t="s">
        <v>1218</v>
      </c>
      <c r="P286" s="526">
        <v>46209</v>
      </c>
      <c r="S286" s="527">
        <v>0</v>
      </c>
    </row>
    <row r="287" spans="1:19" x14ac:dyDescent="0.2">
      <c r="A287" s="524">
        <v>68563</v>
      </c>
      <c r="B287" s="526">
        <v>46209</v>
      </c>
      <c r="C287" s="524" t="s">
        <v>1148</v>
      </c>
      <c r="D287" s="524" t="s">
        <v>1186</v>
      </c>
      <c r="E287" s="524" t="s">
        <v>1389</v>
      </c>
      <c r="F287" s="524" t="s">
        <v>1183</v>
      </c>
      <c r="G287" s="524" t="s">
        <v>742</v>
      </c>
      <c r="H287" s="527">
        <v>500</v>
      </c>
      <c r="I287" s="524" t="s">
        <v>1174</v>
      </c>
      <c r="J287" s="524">
        <f>IF(cmf[[#This Row],[D/C]]="C",cmf[[#This Row],[Valor]],-1*cmf[[#This Row],[Valor]])</f>
        <v>-500</v>
      </c>
      <c r="L287" s="524" t="s">
        <v>1188</v>
      </c>
      <c r="M287" s="524" t="s">
        <v>1189</v>
      </c>
      <c r="N287" s="524" t="s">
        <v>1215</v>
      </c>
      <c r="O287" s="524" t="s">
        <v>1218</v>
      </c>
      <c r="P287" s="526">
        <v>46209</v>
      </c>
      <c r="S287" s="527">
        <v>0</v>
      </c>
    </row>
    <row r="288" spans="1:19" x14ac:dyDescent="0.2">
      <c r="A288" s="524">
        <v>68564</v>
      </c>
      <c r="B288" s="526">
        <v>46209</v>
      </c>
      <c r="C288" s="524" t="s">
        <v>1148</v>
      </c>
      <c r="D288" s="524" t="s">
        <v>1186</v>
      </c>
      <c r="E288" s="524" t="s">
        <v>1390</v>
      </c>
      <c r="F288" s="524" t="s">
        <v>1183</v>
      </c>
      <c r="G288" s="524" t="s">
        <v>742</v>
      </c>
      <c r="H288" s="527">
        <v>5500</v>
      </c>
      <c r="I288" s="524" t="s">
        <v>1174</v>
      </c>
      <c r="J288" s="524">
        <f>IF(cmf[[#This Row],[D/C]]="C",cmf[[#This Row],[Valor]],-1*cmf[[#This Row],[Valor]])</f>
        <v>-5500</v>
      </c>
      <c r="L288" s="524" t="s">
        <v>1188</v>
      </c>
      <c r="M288" s="524" t="s">
        <v>1189</v>
      </c>
      <c r="N288" s="524" t="s">
        <v>1215</v>
      </c>
      <c r="O288" s="524" t="s">
        <v>1218</v>
      </c>
      <c r="P288" s="526">
        <v>46209</v>
      </c>
      <c r="S288" s="527">
        <v>0</v>
      </c>
    </row>
    <row r="289" spans="1:19" x14ac:dyDescent="0.2">
      <c r="A289" s="524">
        <v>68565</v>
      </c>
      <c r="B289" s="526">
        <v>46209</v>
      </c>
      <c r="C289" s="524" t="s">
        <v>1148</v>
      </c>
      <c r="D289" s="524" t="s">
        <v>1186</v>
      </c>
      <c r="E289" s="524" t="s">
        <v>1391</v>
      </c>
      <c r="F289" s="524" t="s">
        <v>1183</v>
      </c>
      <c r="G289" s="524" t="s">
        <v>742</v>
      </c>
      <c r="H289" s="527">
        <v>248.59</v>
      </c>
      <c r="I289" s="524" t="s">
        <v>1174</v>
      </c>
      <c r="J289" s="524">
        <f>IF(cmf[[#This Row],[D/C]]="C",cmf[[#This Row],[Valor]],-1*cmf[[#This Row],[Valor]])</f>
        <v>-248.59</v>
      </c>
      <c r="L289" s="524" t="s">
        <v>1188</v>
      </c>
      <c r="M289" s="524" t="s">
        <v>1189</v>
      </c>
      <c r="N289" s="524" t="s">
        <v>1215</v>
      </c>
      <c r="O289" s="524" t="s">
        <v>1218</v>
      </c>
      <c r="P289" s="526">
        <v>46209</v>
      </c>
      <c r="S289" s="527">
        <v>0</v>
      </c>
    </row>
    <row r="290" spans="1:19" x14ac:dyDescent="0.2">
      <c r="A290" s="524">
        <v>68566</v>
      </c>
      <c r="B290" s="526">
        <v>46209</v>
      </c>
      <c r="C290" s="524" t="s">
        <v>1148</v>
      </c>
      <c r="D290" s="524" t="s">
        <v>1186</v>
      </c>
      <c r="E290" s="524" t="s">
        <v>1392</v>
      </c>
      <c r="F290" s="524" t="s">
        <v>1183</v>
      </c>
      <c r="G290" s="524" t="s">
        <v>742</v>
      </c>
      <c r="H290" s="527">
        <v>878.2</v>
      </c>
      <c r="I290" s="524" t="s">
        <v>1174</v>
      </c>
      <c r="J290" s="524">
        <f>IF(cmf[[#This Row],[D/C]]="C",cmf[[#This Row],[Valor]],-1*cmf[[#This Row],[Valor]])</f>
        <v>-878.2</v>
      </c>
      <c r="L290" s="524" t="s">
        <v>1188</v>
      </c>
      <c r="M290" s="524" t="s">
        <v>1189</v>
      </c>
      <c r="N290" s="524" t="s">
        <v>1215</v>
      </c>
      <c r="O290" s="524" t="s">
        <v>1218</v>
      </c>
      <c r="P290" s="526">
        <v>46209</v>
      </c>
      <c r="S290" s="527">
        <v>0</v>
      </c>
    </row>
    <row r="291" spans="1:19" x14ac:dyDescent="0.2">
      <c r="A291" s="524">
        <v>68567</v>
      </c>
      <c r="B291" s="526">
        <v>46209</v>
      </c>
      <c r="C291" s="524" t="s">
        <v>1148</v>
      </c>
      <c r="D291" s="524" t="s">
        <v>1186</v>
      </c>
      <c r="E291" s="524" t="s">
        <v>1393</v>
      </c>
      <c r="F291" s="524" t="s">
        <v>1183</v>
      </c>
      <c r="G291" s="524" t="s">
        <v>766</v>
      </c>
      <c r="H291" s="527">
        <v>65196.73</v>
      </c>
      <c r="I291" s="524" t="s">
        <v>1174</v>
      </c>
      <c r="J291" s="524">
        <f>IF(cmf[[#This Row],[D/C]]="C",cmf[[#This Row],[Valor]],-1*cmf[[#This Row],[Valor]])</f>
        <v>-65196.73</v>
      </c>
      <c r="L291" s="524" t="s">
        <v>1188</v>
      </c>
      <c r="M291" s="524" t="s">
        <v>1189</v>
      </c>
      <c r="N291" s="524" t="s">
        <v>1200</v>
      </c>
      <c r="O291" s="524" t="s">
        <v>1201</v>
      </c>
      <c r="P291" s="526">
        <v>46209</v>
      </c>
      <c r="S291" s="527">
        <v>0</v>
      </c>
    </row>
    <row r="292" spans="1:19" x14ac:dyDescent="0.2">
      <c r="A292" s="524">
        <v>68568</v>
      </c>
      <c r="B292" s="526">
        <v>46209</v>
      </c>
      <c r="C292" s="524" t="s">
        <v>1148</v>
      </c>
      <c r="D292" s="524" t="s">
        <v>1186</v>
      </c>
      <c r="E292" s="524" t="s">
        <v>1394</v>
      </c>
      <c r="F292" s="524" t="s">
        <v>1183</v>
      </c>
      <c r="G292" s="524" t="s">
        <v>766</v>
      </c>
      <c r="H292" s="527">
        <v>5000</v>
      </c>
      <c r="I292" s="524" t="s">
        <v>1174</v>
      </c>
      <c r="J292" s="524">
        <f>IF(cmf[[#This Row],[D/C]]="C",cmf[[#This Row],[Valor]],-1*cmf[[#This Row],[Valor]])</f>
        <v>-5000</v>
      </c>
      <c r="L292" s="524" t="s">
        <v>1188</v>
      </c>
      <c r="M292" s="524" t="s">
        <v>1189</v>
      </c>
      <c r="N292" s="524" t="s">
        <v>1200</v>
      </c>
      <c r="O292" s="524" t="s">
        <v>1201</v>
      </c>
      <c r="P292" s="526">
        <v>46209</v>
      </c>
      <c r="S292" s="527">
        <v>0</v>
      </c>
    </row>
    <row r="293" spans="1:19" x14ac:dyDescent="0.2">
      <c r="A293" s="524">
        <v>68569</v>
      </c>
      <c r="B293" s="526">
        <v>46209</v>
      </c>
      <c r="C293" s="524" t="s">
        <v>1148</v>
      </c>
      <c r="D293" s="524" t="s">
        <v>1186</v>
      </c>
      <c r="E293" s="524" t="s">
        <v>1395</v>
      </c>
      <c r="F293" s="524" t="s">
        <v>1183</v>
      </c>
      <c r="G293" s="524" t="s">
        <v>766</v>
      </c>
      <c r="H293" s="527">
        <v>2520</v>
      </c>
      <c r="I293" s="524" t="s">
        <v>1174</v>
      </c>
      <c r="J293" s="524">
        <f>IF(cmf[[#This Row],[D/C]]="C",cmf[[#This Row],[Valor]],-1*cmf[[#This Row],[Valor]])</f>
        <v>-2520</v>
      </c>
      <c r="L293" s="524" t="s">
        <v>1188</v>
      </c>
      <c r="M293" s="524" t="s">
        <v>1189</v>
      </c>
      <c r="N293" s="524" t="s">
        <v>1200</v>
      </c>
      <c r="O293" s="524" t="s">
        <v>1201</v>
      </c>
      <c r="P293" s="526">
        <v>46209</v>
      </c>
      <c r="S293" s="527">
        <v>0</v>
      </c>
    </row>
    <row r="294" spans="1:19" x14ac:dyDescent="0.2">
      <c r="A294" s="524">
        <v>68570</v>
      </c>
      <c r="B294" s="526">
        <v>46209</v>
      </c>
      <c r="C294" s="524" t="s">
        <v>1148</v>
      </c>
      <c r="D294" s="524" t="s">
        <v>1186</v>
      </c>
      <c r="E294" s="524" t="s">
        <v>1396</v>
      </c>
      <c r="F294" s="524" t="s">
        <v>1183</v>
      </c>
      <c r="G294" s="524" t="s">
        <v>766</v>
      </c>
      <c r="H294" s="527">
        <v>682.67</v>
      </c>
      <c r="I294" s="524" t="s">
        <v>1174</v>
      </c>
      <c r="J294" s="524">
        <f>IF(cmf[[#This Row],[D/C]]="C",cmf[[#This Row],[Valor]],-1*cmf[[#This Row],[Valor]])</f>
        <v>-682.67</v>
      </c>
      <c r="L294" s="524" t="s">
        <v>1188</v>
      </c>
      <c r="M294" s="524" t="s">
        <v>1189</v>
      </c>
      <c r="N294" s="524" t="s">
        <v>1200</v>
      </c>
      <c r="O294" s="524" t="s">
        <v>1201</v>
      </c>
      <c r="P294" s="526">
        <v>46209</v>
      </c>
      <c r="S294" s="527">
        <v>0</v>
      </c>
    </row>
    <row r="295" spans="1:19" x14ac:dyDescent="0.2">
      <c r="A295" s="524">
        <v>68571</v>
      </c>
      <c r="B295" s="526">
        <v>46209</v>
      </c>
      <c r="C295" s="524" t="s">
        <v>1148</v>
      </c>
      <c r="D295" s="524" t="s">
        <v>1186</v>
      </c>
      <c r="E295" s="524" t="s">
        <v>1397</v>
      </c>
      <c r="F295" s="524" t="s">
        <v>1183</v>
      </c>
      <c r="G295" s="524" t="s">
        <v>766</v>
      </c>
      <c r="H295" s="527">
        <v>682.67</v>
      </c>
      <c r="I295" s="524" t="s">
        <v>1174</v>
      </c>
      <c r="J295" s="524">
        <f>IF(cmf[[#This Row],[D/C]]="C",cmf[[#This Row],[Valor]],-1*cmf[[#This Row],[Valor]])</f>
        <v>-682.67</v>
      </c>
      <c r="L295" s="524" t="s">
        <v>1188</v>
      </c>
      <c r="M295" s="524" t="s">
        <v>1189</v>
      </c>
      <c r="N295" s="524" t="s">
        <v>1200</v>
      </c>
      <c r="O295" s="524" t="s">
        <v>1201</v>
      </c>
      <c r="P295" s="526">
        <v>46209</v>
      </c>
      <c r="S295" s="527">
        <v>0</v>
      </c>
    </row>
    <row r="296" spans="1:19" x14ac:dyDescent="0.2">
      <c r="A296" s="524">
        <v>68572</v>
      </c>
      <c r="B296" s="526">
        <v>46209</v>
      </c>
      <c r="C296" s="524" t="s">
        <v>1148</v>
      </c>
      <c r="D296" s="524" t="s">
        <v>1186</v>
      </c>
      <c r="E296" s="524" t="s">
        <v>1398</v>
      </c>
      <c r="F296" s="524" t="s">
        <v>1183</v>
      </c>
      <c r="G296" s="524" t="s">
        <v>766</v>
      </c>
      <c r="H296" s="527">
        <v>109.9</v>
      </c>
      <c r="I296" s="524" t="s">
        <v>1174</v>
      </c>
      <c r="J296" s="524">
        <f>IF(cmf[[#This Row],[D/C]]="C",cmf[[#This Row],[Valor]],-1*cmf[[#This Row],[Valor]])</f>
        <v>-109.9</v>
      </c>
      <c r="L296" s="524" t="s">
        <v>1188</v>
      </c>
      <c r="M296" s="524" t="s">
        <v>1189</v>
      </c>
      <c r="N296" s="524" t="s">
        <v>1200</v>
      </c>
      <c r="O296" s="524" t="s">
        <v>1201</v>
      </c>
      <c r="P296" s="526">
        <v>46209</v>
      </c>
      <c r="S296" s="527">
        <v>0</v>
      </c>
    </row>
    <row r="297" spans="1:19" x14ac:dyDescent="0.2">
      <c r="A297" s="524">
        <v>68573</v>
      </c>
      <c r="B297" s="526">
        <v>46209</v>
      </c>
      <c r="C297" s="524" t="s">
        <v>1148</v>
      </c>
      <c r="D297" s="524" t="s">
        <v>1186</v>
      </c>
      <c r="E297" s="524" t="s">
        <v>1399</v>
      </c>
      <c r="F297" s="524" t="s">
        <v>1183</v>
      </c>
      <c r="G297" s="524" t="s">
        <v>800</v>
      </c>
      <c r="H297" s="527">
        <v>80206.080000000002</v>
      </c>
      <c r="I297" s="524" t="s">
        <v>1174</v>
      </c>
      <c r="J297" s="524">
        <f>IF(cmf[[#This Row],[D/C]]="C",cmf[[#This Row],[Valor]],-1*cmf[[#This Row],[Valor]])</f>
        <v>-80206.080000000002</v>
      </c>
      <c r="L297" s="524" t="s">
        <v>1188</v>
      </c>
      <c r="M297" s="524" t="s">
        <v>1189</v>
      </c>
      <c r="N297" s="524" t="s">
        <v>1171</v>
      </c>
      <c r="O297" s="524" t="s">
        <v>1172</v>
      </c>
      <c r="P297" s="526">
        <v>46209</v>
      </c>
      <c r="S297" s="527">
        <v>0</v>
      </c>
    </row>
    <row r="298" spans="1:19" x14ac:dyDescent="0.2">
      <c r="A298" s="524">
        <v>68574</v>
      </c>
      <c r="B298" s="526">
        <v>46209</v>
      </c>
      <c r="C298" s="524" t="s">
        <v>1148</v>
      </c>
      <c r="D298" s="524" t="s">
        <v>1186</v>
      </c>
      <c r="E298" s="524" t="s">
        <v>1400</v>
      </c>
      <c r="F298" s="524" t="s">
        <v>1183</v>
      </c>
      <c r="G298" s="524" t="s">
        <v>800</v>
      </c>
      <c r="H298" s="527">
        <v>30153.39</v>
      </c>
      <c r="I298" s="524" t="s">
        <v>1174</v>
      </c>
      <c r="J298" s="524">
        <f>IF(cmf[[#This Row],[D/C]]="C",cmf[[#This Row],[Valor]],-1*cmf[[#This Row],[Valor]])</f>
        <v>-30153.39</v>
      </c>
      <c r="L298" s="524" t="s">
        <v>1188</v>
      </c>
      <c r="M298" s="524" t="s">
        <v>1189</v>
      </c>
      <c r="N298" s="524" t="s">
        <v>1171</v>
      </c>
      <c r="O298" s="524" t="s">
        <v>1172</v>
      </c>
      <c r="P298" s="526">
        <v>46209</v>
      </c>
      <c r="S298" s="527">
        <v>0</v>
      </c>
    </row>
    <row r="299" spans="1:19" x14ac:dyDescent="0.2">
      <c r="A299" s="524">
        <v>68575</v>
      </c>
      <c r="B299" s="526">
        <v>46209</v>
      </c>
      <c r="C299" s="524" t="s">
        <v>1148</v>
      </c>
      <c r="D299" s="524" t="s">
        <v>1186</v>
      </c>
      <c r="E299" s="524" t="s">
        <v>1401</v>
      </c>
      <c r="F299" s="524" t="s">
        <v>1183</v>
      </c>
      <c r="G299" s="524" t="s">
        <v>800</v>
      </c>
      <c r="H299" s="527">
        <v>22125</v>
      </c>
      <c r="I299" s="524" t="s">
        <v>1174</v>
      </c>
      <c r="J299" s="524">
        <f>IF(cmf[[#This Row],[D/C]]="C",cmf[[#This Row],[Valor]],-1*cmf[[#This Row],[Valor]])</f>
        <v>-22125</v>
      </c>
      <c r="L299" s="524" t="s">
        <v>1188</v>
      </c>
      <c r="M299" s="524" t="s">
        <v>1189</v>
      </c>
      <c r="N299" s="524" t="s">
        <v>1171</v>
      </c>
      <c r="O299" s="524" t="s">
        <v>1172</v>
      </c>
      <c r="P299" s="526">
        <v>46209</v>
      </c>
      <c r="S299" s="527">
        <v>0</v>
      </c>
    </row>
    <row r="300" spans="1:19" x14ac:dyDescent="0.2">
      <c r="A300" s="524">
        <v>68576</v>
      </c>
      <c r="B300" s="526">
        <v>46209</v>
      </c>
      <c r="C300" s="524" t="s">
        <v>1148</v>
      </c>
      <c r="D300" s="524" t="s">
        <v>1186</v>
      </c>
      <c r="E300" s="524" t="s">
        <v>1402</v>
      </c>
      <c r="F300" s="524" t="s">
        <v>1183</v>
      </c>
      <c r="G300" s="524" t="s">
        <v>800</v>
      </c>
      <c r="H300" s="527">
        <v>19544.259999999998</v>
      </c>
      <c r="I300" s="524" t="s">
        <v>1174</v>
      </c>
      <c r="J300" s="524">
        <f>IF(cmf[[#This Row],[D/C]]="C",cmf[[#This Row],[Valor]],-1*cmf[[#This Row],[Valor]])</f>
        <v>-19544.259999999998</v>
      </c>
      <c r="L300" s="524" t="s">
        <v>1188</v>
      </c>
      <c r="M300" s="524" t="s">
        <v>1189</v>
      </c>
      <c r="N300" s="524" t="s">
        <v>1171</v>
      </c>
      <c r="O300" s="524" t="s">
        <v>1172</v>
      </c>
      <c r="P300" s="526">
        <v>46209</v>
      </c>
      <c r="S300" s="527">
        <v>0</v>
      </c>
    </row>
    <row r="301" spans="1:19" x14ac:dyDescent="0.2">
      <c r="A301" s="524">
        <v>68577</v>
      </c>
      <c r="B301" s="526">
        <v>46209</v>
      </c>
      <c r="C301" s="524" t="s">
        <v>1148</v>
      </c>
      <c r="D301" s="524" t="s">
        <v>1186</v>
      </c>
      <c r="E301" s="524" t="s">
        <v>1403</v>
      </c>
      <c r="F301" s="524" t="s">
        <v>1183</v>
      </c>
      <c r="G301" s="524" t="s">
        <v>800</v>
      </c>
      <c r="H301" s="527">
        <v>14408.28</v>
      </c>
      <c r="I301" s="524" t="s">
        <v>1174</v>
      </c>
      <c r="J301" s="524">
        <f>IF(cmf[[#This Row],[D/C]]="C",cmf[[#This Row],[Valor]],-1*cmf[[#This Row],[Valor]])</f>
        <v>-14408.28</v>
      </c>
      <c r="L301" s="524" t="s">
        <v>1188</v>
      </c>
      <c r="M301" s="524" t="s">
        <v>1189</v>
      </c>
      <c r="N301" s="524" t="s">
        <v>1171</v>
      </c>
      <c r="O301" s="524" t="s">
        <v>1172</v>
      </c>
      <c r="P301" s="526">
        <v>46209</v>
      </c>
      <c r="S301" s="527">
        <v>0</v>
      </c>
    </row>
    <row r="302" spans="1:19" x14ac:dyDescent="0.2">
      <c r="A302" s="524">
        <v>68578</v>
      </c>
      <c r="B302" s="526">
        <v>46209</v>
      </c>
      <c r="C302" s="524" t="s">
        <v>1148</v>
      </c>
      <c r="D302" s="524" t="s">
        <v>1186</v>
      </c>
      <c r="E302" s="524" t="s">
        <v>1404</v>
      </c>
      <c r="F302" s="524" t="s">
        <v>1183</v>
      </c>
      <c r="G302" s="524" t="s">
        <v>800</v>
      </c>
      <c r="H302" s="527">
        <v>12033.22</v>
      </c>
      <c r="I302" s="524" t="s">
        <v>1174</v>
      </c>
      <c r="J302" s="524">
        <f>IF(cmf[[#This Row],[D/C]]="C",cmf[[#This Row],[Valor]],-1*cmf[[#This Row],[Valor]])</f>
        <v>-12033.22</v>
      </c>
      <c r="L302" s="524" t="s">
        <v>1188</v>
      </c>
      <c r="M302" s="524" t="s">
        <v>1189</v>
      </c>
      <c r="N302" s="524" t="s">
        <v>1171</v>
      </c>
      <c r="O302" s="524" t="s">
        <v>1172</v>
      </c>
      <c r="P302" s="526">
        <v>46209</v>
      </c>
      <c r="S302" s="527">
        <v>0</v>
      </c>
    </row>
    <row r="303" spans="1:19" x14ac:dyDescent="0.2">
      <c r="A303" s="524">
        <v>68580</v>
      </c>
      <c r="B303" s="526">
        <v>46209</v>
      </c>
      <c r="C303" s="524" t="s">
        <v>1148</v>
      </c>
      <c r="D303" s="524" t="s">
        <v>1186</v>
      </c>
      <c r="E303" s="524" t="s">
        <v>1405</v>
      </c>
      <c r="F303" s="524" t="s">
        <v>1183</v>
      </c>
      <c r="G303" s="524" t="s">
        <v>800</v>
      </c>
      <c r="H303" s="527">
        <v>12014.58</v>
      </c>
      <c r="I303" s="524" t="s">
        <v>1174</v>
      </c>
      <c r="J303" s="524">
        <f>IF(cmf[[#This Row],[D/C]]="C",cmf[[#This Row],[Valor]],-1*cmf[[#This Row],[Valor]])</f>
        <v>-12014.58</v>
      </c>
      <c r="L303" s="524" t="s">
        <v>1188</v>
      </c>
      <c r="M303" s="524" t="s">
        <v>1189</v>
      </c>
      <c r="N303" s="524" t="s">
        <v>1171</v>
      </c>
      <c r="O303" s="524" t="s">
        <v>1172</v>
      </c>
      <c r="P303" s="526">
        <v>46209</v>
      </c>
      <c r="S303" s="527">
        <v>0</v>
      </c>
    </row>
    <row r="304" spans="1:19" x14ac:dyDescent="0.2">
      <c r="A304" s="524">
        <v>68582</v>
      </c>
      <c r="B304" s="526">
        <v>46209</v>
      </c>
      <c r="C304" s="524" t="s">
        <v>1148</v>
      </c>
      <c r="D304" s="524" t="s">
        <v>1186</v>
      </c>
      <c r="E304" s="524" t="s">
        <v>1406</v>
      </c>
      <c r="F304" s="524" t="s">
        <v>1183</v>
      </c>
      <c r="G304" s="524" t="s">
        <v>800</v>
      </c>
      <c r="H304" s="527">
        <v>11595</v>
      </c>
      <c r="I304" s="524" t="s">
        <v>1174</v>
      </c>
      <c r="J304" s="524">
        <f>IF(cmf[[#This Row],[D/C]]="C",cmf[[#This Row],[Valor]],-1*cmf[[#This Row],[Valor]])</f>
        <v>-11595</v>
      </c>
      <c r="L304" s="524" t="s">
        <v>1188</v>
      </c>
      <c r="M304" s="524" t="s">
        <v>1189</v>
      </c>
      <c r="N304" s="524" t="s">
        <v>1171</v>
      </c>
      <c r="O304" s="524" t="s">
        <v>1172</v>
      </c>
      <c r="P304" s="526">
        <v>46209</v>
      </c>
      <c r="S304" s="527">
        <v>0</v>
      </c>
    </row>
    <row r="305" spans="1:19" x14ac:dyDescent="0.2">
      <c r="A305" s="524">
        <v>68583</v>
      </c>
      <c r="B305" s="526">
        <v>46209</v>
      </c>
      <c r="C305" s="524" t="s">
        <v>1148</v>
      </c>
      <c r="D305" s="524" t="s">
        <v>1186</v>
      </c>
      <c r="E305" s="524" t="s">
        <v>1407</v>
      </c>
      <c r="F305" s="524" t="s">
        <v>1183</v>
      </c>
      <c r="G305" s="524" t="s">
        <v>800</v>
      </c>
      <c r="H305" s="527">
        <v>9826.39</v>
      </c>
      <c r="I305" s="524" t="s">
        <v>1174</v>
      </c>
      <c r="J305" s="524">
        <f>IF(cmf[[#This Row],[D/C]]="C",cmf[[#This Row],[Valor]],-1*cmf[[#This Row],[Valor]])</f>
        <v>-9826.39</v>
      </c>
      <c r="L305" s="524" t="s">
        <v>1188</v>
      </c>
      <c r="M305" s="524" t="s">
        <v>1189</v>
      </c>
      <c r="N305" s="524" t="s">
        <v>1171</v>
      </c>
      <c r="O305" s="524" t="s">
        <v>1172</v>
      </c>
      <c r="P305" s="526">
        <v>46209</v>
      </c>
      <c r="S305" s="527">
        <v>0</v>
      </c>
    </row>
    <row r="306" spans="1:19" x14ac:dyDescent="0.2">
      <c r="A306" s="524">
        <v>68586</v>
      </c>
      <c r="B306" s="526">
        <v>46209</v>
      </c>
      <c r="C306" s="524" t="s">
        <v>1148</v>
      </c>
      <c r="D306" s="524" t="s">
        <v>1186</v>
      </c>
      <c r="E306" s="524" t="s">
        <v>1408</v>
      </c>
      <c r="F306" s="524" t="s">
        <v>1183</v>
      </c>
      <c r="G306" s="524" t="s">
        <v>800</v>
      </c>
      <c r="H306" s="527">
        <v>8820</v>
      </c>
      <c r="I306" s="524" t="s">
        <v>1174</v>
      </c>
      <c r="J306" s="524">
        <f>IF(cmf[[#This Row],[D/C]]="C",cmf[[#This Row],[Valor]],-1*cmf[[#This Row],[Valor]])</f>
        <v>-8820</v>
      </c>
      <c r="L306" s="524" t="s">
        <v>1188</v>
      </c>
      <c r="M306" s="524" t="s">
        <v>1189</v>
      </c>
      <c r="N306" s="524" t="s">
        <v>1171</v>
      </c>
      <c r="O306" s="524" t="s">
        <v>1172</v>
      </c>
      <c r="P306" s="526">
        <v>46209</v>
      </c>
      <c r="S306" s="527">
        <v>0</v>
      </c>
    </row>
    <row r="307" spans="1:19" x14ac:dyDescent="0.2">
      <c r="A307" s="524">
        <v>68588</v>
      </c>
      <c r="B307" s="526">
        <v>46209</v>
      </c>
      <c r="C307" s="524" t="s">
        <v>1148</v>
      </c>
      <c r="D307" s="524" t="s">
        <v>1235</v>
      </c>
      <c r="E307" s="524" t="s">
        <v>1409</v>
      </c>
      <c r="F307" s="524" t="s">
        <v>1170</v>
      </c>
      <c r="G307" s="524" t="s">
        <v>768</v>
      </c>
      <c r="H307" s="527">
        <v>31190.19</v>
      </c>
      <c r="I307" s="524" t="s">
        <v>1174</v>
      </c>
      <c r="J307" s="524">
        <f>IF(cmf[[#This Row],[D/C]]="C",cmf[[#This Row],[Valor]],-1*cmf[[#This Row],[Valor]])</f>
        <v>-31190.19</v>
      </c>
      <c r="L307" s="524" t="s">
        <v>1237</v>
      </c>
      <c r="M307" s="524" t="s">
        <v>1238</v>
      </c>
      <c r="N307" s="524" t="s">
        <v>1219</v>
      </c>
      <c r="O307" s="524" t="s">
        <v>1220</v>
      </c>
      <c r="P307" s="526">
        <v>46209</v>
      </c>
      <c r="S307" s="527">
        <v>0</v>
      </c>
    </row>
    <row r="308" spans="1:19" x14ac:dyDescent="0.2">
      <c r="A308" s="524">
        <v>68590</v>
      </c>
      <c r="B308" s="526">
        <v>46209</v>
      </c>
      <c r="C308" s="524" t="s">
        <v>1148</v>
      </c>
      <c r="D308" s="524" t="s">
        <v>1186</v>
      </c>
      <c r="E308" s="524" t="s">
        <v>1410</v>
      </c>
      <c r="F308" s="524" t="s">
        <v>1183</v>
      </c>
      <c r="G308" s="524" t="s">
        <v>800</v>
      </c>
      <c r="H308" s="527">
        <v>7528.41</v>
      </c>
      <c r="I308" s="524" t="s">
        <v>1174</v>
      </c>
      <c r="J308" s="524">
        <f>IF(cmf[[#This Row],[D/C]]="C",cmf[[#This Row],[Valor]],-1*cmf[[#This Row],[Valor]])</f>
        <v>-7528.41</v>
      </c>
      <c r="L308" s="524" t="s">
        <v>1188</v>
      </c>
      <c r="M308" s="524" t="s">
        <v>1189</v>
      </c>
      <c r="N308" s="524" t="s">
        <v>1171</v>
      </c>
      <c r="O308" s="524" t="s">
        <v>1172</v>
      </c>
      <c r="P308" s="526">
        <v>46209</v>
      </c>
      <c r="S308" s="527">
        <v>0</v>
      </c>
    </row>
    <row r="309" spans="1:19" x14ac:dyDescent="0.2">
      <c r="A309" s="524">
        <v>68591</v>
      </c>
      <c r="B309" s="526">
        <v>46209</v>
      </c>
      <c r="C309" s="524" t="s">
        <v>1148</v>
      </c>
      <c r="D309" s="524" t="s">
        <v>1186</v>
      </c>
      <c r="E309" s="524" t="s">
        <v>1411</v>
      </c>
      <c r="F309" s="524" t="s">
        <v>1183</v>
      </c>
      <c r="G309" s="524" t="s">
        <v>800</v>
      </c>
      <c r="H309" s="527">
        <v>6000</v>
      </c>
      <c r="I309" s="524" t="s">
        <v>1174</v>
      </c>
      <c r="J309" s="524">
        <f>IF(cmf[[#This Row],[D/C]]="C",cmf[[#This Row],[Valor]],-1*cmf[[#This Row],[Valor]])</f>
        <v>-6000</v>
      </c>
      <c r="L309" s="524" t="s">
        <v>1188</v>
      </c>
      <c r="M309" s="524" t="s">
        <v>1189</v>
      </c>
      <c r="N309" s="524" t="s">
        <v>1171</v>
      </c>
      <c r="O309" s="524" t="s">
        <v>1172</v>
      </c>
      <c r="P309" s="526">
        <v>46209</v>
      </c>
      <c r="S309" s="527">
        <v>0</v>
      </c>
    </row>
    <row r="310" spans="1:19" x14ac:dyDescent="0.2">
      <c r="A310" s="524">
        <v>68592</v>
      </c>
      <c r="B310" s="526">
        <v>46209</v>
      </c>
      <c r="C310" s="524" t="s">
        <v>1148</v>
      </c>
      <c r="D310" s="524" t="s">
        <v>1186</v>
      </c>
      <c r="E310" s="524" t="s">
        <v>1412</v>
      </c>
      <c r="F310" s="524" t="s">
        <v>1183</v>
      </c>
      <c r="G310" s="524" t="s">
        <v>800</v>
      </c>
      <c r="H310" s="527">
        <v>5350</v>
      </c>
      <c r="I310" s="524" t="s">
        <v>1174</v>
      </c>
      <c r="J310" s="524">
        <f>IF(cmf[[#This Row],[D/C]]="C",cmf[[#This Row],[Valor]],-1*cmf[[#This Row],[Valor]])</f>
        <v>-5350</v>
      </c>
      <c r="L310" s="524" t="s">
        <v>1188</v>
      </c>
      <c r="M310" s="524" t="s">
        <v>1189</v>
      </c>
      <c r="N310" s="524" t="s">
        <v>1171</v>
      </c>
      <c r="O310" s="524" t="s">
        <v>1172</v>
      </c>
      <c r="P310" s="526">
        <v>46209</v>
      </c>
      <c r="S310" s="527">
        <v>0</v>
      </c>
    </row>
    <row r="311" spans="1:19" x14ac:dyDescent="0.2">
      <c r="A311" s="524">
        <v>68593</v>
      </c>
      <c r="B311" s="526">
        <v>46209</v>
      </c>
      <c r="C311" s="524" t="s">
        <v>1148</v>
      </c>
      <c r="D311" s="524" t="s">
        <v>1186</v>
      </c>
      <c r="E311" s="524" t="s">
        <v>1413</v>
      </c>
      <c r="F311" s="524" t="s">
        <v>1183</v>
      </c>
      <c r="G311" s="524" t="s">
        <v>800</v>
      </c>
      <c r="H311" s="527">
        <v>4856.4799999999996</v>
      </c>
      <c r="I311" s="524" t="s">
        <v>1174</v>
      </c>
      <c r="J311" s="524">
        <f>IF(cmf[[#This Row],[D/C]]="C",cmf[[#This Row],[Valor]],-1*cmf[[#This Row],[Valor]])</f>
        <v>-4856.4799999999996</v>
      </c>
      <c r="L311" s="524" t="s">
        <v>1188</v>
      </c>
      <c r="M311" s="524" t="s">
        <v>1189</v>
      </c>
      <c r="N311" s="524" t="s">
        <v>1171</v>
      </c>
      <c r="O311" s="524" t="s">
        <v>1172</v>
      </c>
      <c r="P311" s="526">
        <v>46209</v>
      </c>
      <c r="S311" s="527">
        <v>0</v>
      </c>
    </row>
    <row r="312" spans="1:19" x14ac:dyDescent="0.2">
      <c r="A312" s="524">
        <v>68595</v>
      </c>
      <c r="B312" s="526">
        <v>46209</v>
      </c>
      <c r="C312" s="524" t="s">
        <v>1148</v>
      </c>
      <c r="D312" s="524" t="s">
        <v>1186</v>
      </c>
      <c r="E312" s="524" t="s">
        <v>1414</v>
      </c>
      <c r="F312" s="524" t="s">
        <v>1183</v>
      </c>
      <c r="G312" s="524" t="s">
        <v>800</v>
      </c>
      <c r="H312" s="527">
        <v>3640</v>
      </c>
      <c r="I312" s="524" t="s">
        <v>1174</v>
      </c>
      <c r="J312" s="524">
        <f>IF(cmf[[#This Row],[D/C]]="C",cmf[[#This Row],[Valor]],-1*cmf[[#This Row],[Valor]])</f>
        <v>-3640</v>
      </c>
      <c r="L312" s="524" t="s">
        <v>1188</v>
      </c>
      <c r="M312" s="524" t="s">
        <v>1189</v>
      </c>
      <c r="N312" s="524" t="s">
        <v>1171</v>
      </c>
      <c r="O312" s="524" t="s">
        <v>1172</v>
      </c>
      <c r="P312" s="526">
        <v>46209</v>
      </c>
      <c r="S312" s="527">
        <v>0</v>
      </c>
    </row>
    <row r="313" spans="1:19" x14ac:dyDescent="0.2">
      <c r="A313" s="524">
        <v>68596</v>
      </c>
      <c r="B313" s="526">
        <v>46209</v>
      </c>
      <c r="C313" s="524" t="s">
        <v>1148</v>
      </c>
      <c r="D313" s="524" t="s">
        <v>1186</v>
      </c>
      <c r="E313" s="524" t="s">
        <v>1415</v>
      </c>
      <c r="F313" s="524" t="s">
        <v>1183</v>
      </c>
      <c r="G313" s="524" t="s">
        <v>800</v>
      </c>
      <c r="H313" s="527">
        <v>3508.84</v>
      </c>
      <c r="I313" s="524" t="s">
        <v>1174</v>
      </c>
      <c r="J313" s="524">
        <f>IF(cmf[[#This Row],[D/C]]="C",cmf[[#This Row],[Valor]],-1*cmf[[#This Row],[Valor]])</f>
        <v>-3508.84</v>
      </c>
      <c r="L313" s="524" t="s">
        <v>1188</v>
      </c>
      <c r="M313" s="524" t="s">
        <v>1189</v>
      </c>
      <c r="N313" s="524" t="s">
        <v>1171</v>
      </c>
      <c r="O313" s="524" t="s">
        <v>1172</v>
      </c>
      <c r="P313" s="526">
        <v>46209</v>
      </c>
      <c r="S313" s="527">
        <v>0</v>
      </c>
    </row>
    <row r="314" spans="1:19" x14ac:dyDescent="0.2">
      <c r="A314" s="524">
        <v>68597</v>
      </c>
      <c r="B314" s="526">
        <v>46209</v>
      </c>
      <c r="C314" s="524" t="s">
        <v>1148</v>
      </c>
      <c r="D314" s="524" t="s">
        <v>1186</v>
      </c>
      <c r="E314" s="524" t="s">
        <v>1416</v>
      </c>
      <c r="F314" s="524" t="s">
        <v>1183</v>
      </c>
      <c r="G314" s="524" t="s">
        <v>800</v>
      </c>
      <c r="H314" s="527">
        <v>3500</v>
      </c>
      <c r="I314" s="524" t="s">
        <v>1174</v>
      </c>
      <c r="J314" s="524">
        <f>IF(cmf[[#This Row],[D/C]]="C",cmf[[#This Row],[Valor]],-1*cmf[[#This Row],[Valor]])</f>
        <v>-3500</v>
      </c>
      <c r="L314" s="524" t="s">
        <v>1188</v>
      </c>
      <c r="M314" s="524" t="s">
        <v>1189</v>
      </c>
      <c r="N314" s="524" t="s">
        <v>1171</v>
      </c>
      <c r="O314" s="524" t="s">
        <v>1172</v>
      </c>
      <c r="P314" s="526">
        <v>46209</v>
      </c>
      <c r="S314" s="527">
        <v>0</v>
      </c>
    </row>
    <row r="315" spans="1:19" x14ac:dyDescent="0.2">
      <c r="A315" s="524">
        <v>68600</v>
      </c>
      <c r="B315" s="526">
        <v>46209</v>
      </c>
      <c r="C315" s="524" t="s">
        <v>1148</v>
      </c>
      <c r="D315" s="524" t="s">
        <v>1186</v>
      </c>
      <c r="E315" s="524" t="s">
        <v>1417</v>
      </c>
      <c r="F315" s="524" t="s">
        <v>1183</v>
      </c>
      <c r="G315" s="524" t="s">
        <v>800</v>
      </c>
      <c r="H315" s="527">
        <v>3277.17</v>
      </c>
      <c r="I315" s="524" t="s">
        <v>1174</v>
      </c>
      <c r="J315" s="524">
        <f>IF(cmf[[#This Row],[D/C]]="C",cmf[[#This Row],[Valor]],-1*cmf[[#This Row],[Valor]])</f>
        <v>-3277.17</v>
      </c>
      <c r="L315" s="524" t="s">
        <v>1188</v>
      </c>
      <c r="M315" s="524" t="s">
        <v>1189</v>
      </c>
      <c r="N315" s="524" t="s">
        <v>1171</v>
      </c>
      <c r="O315" s="524" t="s">
        <v>1172</v>
      </c>
      <c r="P315" s="526">
        <v>46209</v>
      </c>
      <c r="S315" s="527">
        <v>0</v>
      </c>
    </row>
    <row r="316" spans="1:19" x14ac:dyDescent="0.2">
      <c r="A316" s="524">
        <v>68601</v>
      </c>
      <c r="B316" s="526">
        <v>46209</v>
      </c>
      <c r="C316" s="524" t="s">
        <v>1148</v>
      </c>
      <c r="D316" s="524" t="s">
        <v>1186</v>
      </c>
      <c r="E316" s="524" t="s">
        <v>1418</v>
      </c>
      <c r="F316" s="524" t="s">
        <v>1183</v>
      </c>
      <c r="G316" s="524" t="s">
        <v>800</v>
      </c>
      <c r="H316" s="527">
        <v>3201.21</v>
      </c>
      <c r="I316" s="524" t="s">
        <v>1174</v>
      </c>
      <c r="J316" s="524">
        <f>IF(cmf[[#This Row],[D/C]]="C",cmf[[#This Row],[Valor]],-1*cmf[[#This Row],[Valor]])</f>
        <v>-3201.21</v>
      </c>
      <c r="L316" s="524" t="s">
        <v>1188</v>
      </c>
      <c r="M316" s="524" t="s">
        <v>1189</v>
      </c>
      <c r="N316" s="524" t="s">
        <v>1171</v>
      </c>
      <c r="O316" s="524" t="s">
        <v>1172</v>
      </c>
      <c r="P316" s="526">
        <v>46209</v>
      </c>
      <c r="S316" s="527">
        <v>0</v>
      </c>
    </row>
    <row r="317" spans="1:19" x14ac:dyDescent="0.2">
      <c r="A317" s="524">
        <v>68604</v>
      </c>
      <c r="B317" s="526">
        <v>46209</v>
      </c>
      <c r="C317" s="524" t="s">
        <v>1148</v>
      </c>
      <c r="D317" s="524" t="s">
        <v>1186</v>
      </c>
      <c r="E317" s="524" t="s">
        <v>1419</v>
      </c>
      <c r="F317" s="524" t="s">
        <v>1183</v>
      </c>
      <c r="G317" s="524" t="s">
        <v>800</v>
      </c>
      <c r="H317" s="527">
        <v>3200</v>
      </c>
      <c r="I317" s="524" t="s">
        <v>1174</v>
      </c>
      <c r="J317" s="524">
        <f>IF(cmf[[#This Row],[D/C]]="C",cmf[[#This Row],[Valor]],-1*cmf[[#This Row],[Valor]])</f>
        <v>-3200</v>
      </c>
      <c r="L317" s="524" t="s">
        <v>1188</v>
      </c>
      <c r="M317" s="524" t="s">
        <v>1189</v>
      </c>
      <c r="N317" s="524" t="s">
        <v>1171</v>
      </c>
      <c r="O317" s="524" t="s">
        <v>1172</v>
      </c>
      <c r="P317" s="526">
        <v>46209</v>
      </c>
      <c r="S317" s="527">
        <v>0</v>
      </c>
    </row>
    <row r="318" spans="1:19" x14ac:dyDescent="0.2">
      <c r="A318" s="524">
        <v>68606</v>
      </c>
      <c r="B318" s="526">
        <v>46209</v>
      </c>
      <c r="C318" s="524" t="s">
        <v>1148</v>
      </c>
      <c r="D318" s="524" t="s">
        <v>1186</v>
      </c>
      <c r="E318" s="524" t="s">
        <v>1420</v>
      </c>
      <c r="F318" s="524" t="s">
        <v>1183</v>
      </c>
      <c r="G318" s="524" t="s">
        <v>800</v>
      </c>
      <c r="H318" s="527">
        <v>2794.65</v>
      </c>
      <c r="I318" s="524" t="s">
        <v>1174</v>
      </c>
      <c r="J318" s="524">
        <f>IF(cmf[[#This Row],[D/C]]="C",cmf[[#This Row],[Valor]],-1*cmf[[#This Row],[Valor]])</f>
        <v>-2794.65</v>
      </c>
      <c r="L318" s="524" t="s">
        <v>1188</v>
      </c>
      <c r="M318" s="524" t="s">
        <v>1189</v>
      </c>
      <c r="N318" s="524" t="s">
        <v>1171</v>
      </c>
      <c r="O318" s="524" t="s">
        <v>1172</v>
      </c>
      <c r="P318" s="526">
        <v>46209</v>
      </c>
      <c r="S318" s="527">
        <v>0</v>
      </c>
    </row>
    <row r="319" spans="1:19" x14ac:dyDescent="0.2">
      <c r="A319" s="524">
        <v>68608</v>
      </c>
      <c r="B319" s="526">
        <v>46209</v>
      </c>
      <c r="C319" s="524" t="s">
        <v>1148</v>
      </c>
      <c r="D319" s="524" t="s">
        <v>1186</v>
      </c>
      <c r="E319" s="524" t="s">
        <v>1421</v>
      </c>
      <c r="F319" s="524" t="s">
        <v>1183</v>
      </c>
      <c r="G319" s="524" t="s">
        <v>800</v>
      </c>
      <c r="H319" s="527">
        <v>2720.35</v>
      </c>
      <c r="I319" s="524" t="s">
        <v>1174</v>
      </c>
      <c r="J319" s="524">
        <f>IF(cmf[[#This Row],[D/C]]="C",cmf[[#This Row],[Valor]],-1*cmf[[#This Row],[Valor]])</f>
        <v>-2720.35</v>
      </c>
      <c r="L319" s="524" t="s">
        <v>1188</v>
      </c>
      <c r="M319" s="524" t="s">
        <v>1189</v>
      </c>
      <c r="N319" s="524" t="s">
        <v>1171</v>
      </c>
      <c r="O319" s="524" t="s">
        <v>1172</v>
      </c>
      <c r="P319" s="526">
        <v>46209</v>
      </c>
      <c r="S319" s="527">
        <v>0</v>
      </c>
    </row>
    <row r="320" spans="1:19" x14ac:dyDescent="0.2">
      <c r="A320" s="524">
        <v>68610</v>
      </c>
      <c r="B320" s="526">
        <v>46209</v>
      </c>
      <c r="C320" s="524" t="s">
        <v>1148</v>
      </c>
      <c r="D320" s="524" t="s">
        <v>1186</v>
      </c>
      <c r="E320" s="524" t="s">
        <v>1422</v>
      </c>
      <c r="F320" s="524" t="s">
        <v>1183</v>
      </c>
      <c r="G320" s="524" t="s">
        <v>800</v>
      </c>
      <c r="H320" s="527">
        <v>2256.1</v>
      </c>
      <c r="I320" s="524" t="s">
        <v>1174</v>
      </c>
      <c r="J320" s="524">
        <f>IF(cmf[[#This Row],[D/C]]="C",cmf[[#This Row],[Valor]],-1*cmf[[#This Row],[Valor]])</f>
        <v>-2256.1</v>
      </c>
      <c r="L320" s="524" t="s">
        <v>1188</v>
      </c>
      <c r="M320" s="524" t="s">
        <v>1189</v>
      </c>
      <c r="N320" s="524" t="s">
        <v>1171</v>
      </c>
      <c r="O320" s="524" t="s">
        <v>1172</v>
      </c>
      <c r="P320" s="526">
        <v>46209</v>
      </c>
      <c r="S320" s="527">
        <v>0</v>
      </c>
    </row>
    <row r="321" spans="1:19" x14ac:dyDescent="0.2">
      <c r="A321" s="524">
        <v>68611</v>
      </c>
      <c r="B321" s="526">
        <v>46209</v>
      </c>
      <c r="C321" s="524" t="s">
        <v>1148</v>
      </c>
      <c r="D321" s="524" t="s">
        <v>1186</v>
      </c>
      <c r="E321" s="524" t="s">
        <v>1423</v>
      </c>
      <c r="F321" s="524" t="s">
        <v>1183</v>
      </c>
      <c r="G321" s="524" t="s">
        <v>800</v>
      </c>
      <c r="H321" s="527">
        <v>1890</v>
      </c>
      <c r="I321" s="524" t="s">
        <v>1174</v>
      </c>
      <c r="J321" s="524">
        <f>IF(cmf[[#This Row],[D/C]]="C",cmf[[#This Row],[Valor]],-1*cmf[[#This Row],[Valor]])</f>
        <v>-1890</v>
      </c>
      <c r="L321" s="524" t="s">
        <v>1188</v>
      </c>
      <c r="M321" s="524" t="s">
        <v>1189</v>
      </c>
      <c r="N321" s="524" t="s">
        <v>1171</v>
      </c>
      <c r="O321" s="524" t="s">
        <v>1172</v>
      </c>
      <c r="P321" s="526">
        <v>46209</v>
      </c>
      <c r="S321" s="527">
        <v>0</v>
      </c>
    </row>
    <row r="322" spans="1:19" x14ac:dyDescent="0.2">
      <c r="A322" s="524">
        <v>68629</v>
      </c>
      <c r="B322" s="526">
        <v>46209</v>
      </c>
      <c r="C322" s="524" t="s">
        <v>1148</v>
      </c>
      <c r="D322" s="524" t="s">
        <v>1186</v>
      </c>
      <c r="E322" s="524" t="s">
        <v>1424</v>
      </c>
      <c r="F322" s="524" t="s">
        <v>1183</v>
      </c>
      <c r="G322" s="524" t="s">
        <v>769</v>
      </c>
      <c r="H322" s="527">
        <v>1908.58</v>
      </c>
      <c r="I322" s="524" t="s">
        <v>1174</v>
      </c>
      <c r="J322" s="524">
        <f>IF(cmf[[#This Row],[D/C]]="C",cmf[[#This Row],[Valor]],-1*cmf[[#This Row],[Valor]])</f>
        <v>-1908.58</v>
      </c>
      <c r="L322" s="524" t="s">
        <v>1188</v>
      </c>
      <c r="M322" s="524" t="s">
        <v>1189</v>
      </c>
      <c r="N322" s="524" t="s">
        <v>1219</v>
      </c>
      <c r="O322" s="524" t="s">
        <v>1220</v>
      </c>
      <c r="P322" s="526">
        <v>46209</v>
      </c>
      <c r="S322" s="527">
        <v>0</v>
      </c>
    </row>
    <row r="323" spans="1:19" x14ac:dyDescent="0.2">
      <c r="A323" s="524">
        <v>68630</v>
      </c>
      <c r="B323" s="526">
        <v>46209</v>
      </c>
      <c r="C323" s="524" t="s">
        <v>1148</v>
      </c>
      <c r="D323" s="524" t="s">
        <v>1186</v>
      </c>
      <c r="E323" s="524" t="s">
        <v>1425</v>
      </c>
      <c r="F323" s="524" t="s">
        <v>1183</v>
      </c>
      <c r="G323" s="524" t="s">
        <v>769</v>
      </c>
      <c r="H323" s="527">
        <v>2500</v>
      </c>
      <c r="I323" s="524" t="s">
        <v>1174</v>
      </c>
      <c r="J323" s="524">
        <f>IF(cmf[[#This Row],[D/C]]="C",cmf[[#This Row],[Valor]],-1*cmf[[#This Row],[Valor]])</f>
        <v>-2500</v>
      </c>
      <c r="L323" s="524" t="s">
        <v>1188</v>
      </c>
      <c r="M323" s="524" t="s">
        <v>1189</v>
      </c>
      <c r="N323" s="524" t="s">
        <v>1219</v>
      </c>
      <c r="O323" s="524" t="s">
        <v>1220</v>
      </c>
      <c r="P323" s="526">
        <v>46209</v>
      </c>
      <c r="S323" s="527">
        <v>0</v>
      </c>
    </row>
    <row r="324" spans="1:19" x14ac:dyDescent="0.2">
      <c r="A324" s="524">
        <v>68631</v>
      </c>
      <c r="B324" s="526">
        <v>46209</v>
      </c>
      <c r="C324" s="524" t="s">
        <v>1148</v>
      </c>
      <c r="D324" s="524" t="s">
        <v>1186</v>
      </c>
      <c r="E324" s="524" t="s">
        <v>1426</v>
      </c>
      <c r="F324" s="524" t="s">
        <v>1183</v>
      </c>
      <c r="G324" s="524" t="s">
        <v>769</v>
      </c>
      <c r="H324" s="527">
        <v>2167.44</v>
      </c>
      <c r="I324" s="524" t="s">
        <v>1174</v>
      </c>
      <c r="J324" s="524">
        <f>IF(cmf[[#This Row],[D/C]]="C",cmf[[#This Row],[Valor]],-1*cmf[[#This Row],[Valor]])</f>
        <v>-2167.44</v>
      </c>
      <c r="L324" s="524" t="s">
        <v>1188</v>
      </c>
      <c r="M324" s="524" t="s">
        <v>1189</v>
      </c>
      <c r="N324" s="524" t="s">
        <v>1219</v>
      </c>
      <c r="O324" s="524" t="s">
        <v>1220</v>
      </c>
      <c r="P324" s="526">
        <v>46209</v>
      </c>
      <c r="S324" s="527">
        <v>0</v>
      </c>
    </row>
    <row r="325" spans="1:19" x14ac:dyDescent="0.2">
      <c r="A325" s="524">
        <v>68632</v>
      </c>
      <c r="B325" s="526">
        <v>46209</v>
      </c>
      <c r="C325" s="524" t="s">
        <v>1148</v>
      </c>
      <c r="D325" s="524" t="s">
        <v>1186</v>
      </c>
      <c r="E325" s="524" t="s">
        <v>1427</v>
      </c>
      <c r="F325" s="524" t="s">
        <v>1183</v>
      </c>
      <c r="G325" s="524" t="s">
        <v>769</v>
      </c>
      <c r="H325" s="527">
        <v>1064.3900000000001</v>
      </c>
      <c r="I325" s="524" t="s">
        <v>1174</v>
      </c>
      <c r="J325" s="524">
        <f>IF(cmf[[#This Row],[D/C]]="C",cmf[[#This Row],[Valor]],-1*cmf[[#This Row],[Valor]])</f>
        <v>-1064.3900000000001</v>
      </c>
      <c r="L325" s="524" t="s">
        <v>1188</v>
      </c>
      <c r="M325" s="524" t="s">
        <v>1189</v>
      </c>
      <c r="N325" s="524" t="s">
        <v>1219</v>
      </c>
      <c r="O325" s="524" t="s">
        <v>1220</v>
      </c>
      <c r="P325" s="526">
        <v>46209</v>
      </c>
      <c r="S325" s="527">
        <v>0</v>
      </c>
    </row>
    <row r="326" spans="1:19" x14ac:dyDescent="0.2">
      <c r="A326" s="524">
        <v>68634</v>
      </c>
      <c r="B326" s="526">
        <v>46209</v>
      </c>
      <c r="C326" s="524" t="s">
        <v>1148</v>
      </c>
      <c r="D326" s="524" t="s">
        <v>1186</v>
      </c>
      <c r="E326" s="524" t="s">
        <v>1428</v>
      </c>
      <c r="F326" s="524" t="s">
        <v>1183</v>
      </c>
      <c r="G326" s="524" t="s">
        <v>769</v>
      </c>
      <c r="H326" s="527">
        <v>1750</v>
      </c>
      <c r="I326" s="524" t="s">
        <v>1174</v>
      </c>
      <c r="J326" s="524">
        <f>IF(cmf[[#This Row],[D/C]]="C",cmf[[#This Row],[Valor]],-1*cmf[[#This Row],[Valor]])</f>
        <v>-1750</v>
      </c>
      <c r="L326" s="524" t="s">
        <v>1188</v>
      </c>
      <c r="M326" s="524" t="s">
        <v>1189</v>
      </c>
      <c r="N326" s="524" t="s">
        <v>1219</v>
      </c>
      <c r="O326" s="524" t="s">
        <v>1220</v>
      </c>
      <c r="P326" s="526">
        <v>46209</v>
      </c>
      <c r="S326" s="527">
        <v>0</v>
      </c>
    </row>
    <row r="327" spans="1:19" x14ac:dyDescent="0.2">
      <c r="A327" s="524">
        <v>68635</v>
      </c>
      <c r="B327" s="526">
        <v>46209</v>
      </c>
      <c r="C327" s="524" t="s">
        <v>1148</v>
      </c>
      <c r="D327" s="524" t="s">
        <v>1186</v>
      </c>
      <c r="E327" s="524" t="s">
        <v>1429</v>
      </c>
      <c r="F327" s="524" t="s">
        <v>1183</v>
      </c>
      <c r="G327" s="524" t="s">
        <v>769</v>
      </c>
      <c r="H327" s="527">
        <v>1590</v>
      </c>
      <c r="I327" s="524" t="s">
        <v>1174</v>
      </c>
      <c r="J327" s="524">
        <f>IF(cmf[[#This Row],[D/C]]="C",cmf[[#This Row],[Valor]],-1*cmf[[#This Row],[Valor]])</f>
        <v>-1590</v>
      </c>
      <c r="L327" s="524" t="s">
        <v>1188</v>
      </c>
      <c r="M327" s="524" t="s">
        <v>1189</v>
      </c>
      <c r="N327" s="524" t="s">
        <v>1219</v>
      </c>
      <c r="O327" s="524" t="s">
        <v>1220</v>
      </c>
      <c r="P327" s="526">
        <v>46209</v>
      </c>
      <c r="S327" s="527">
        <v>0</v>
      </c>
    </row>
    <row r="328" spans="1:19" x14ac:dyDescent="0.2">
      <c r="A328" s="524">
        <v>68636</v>
      </c>
      <c r="B328" s="526">
        <v>46209</v>
      </c>
      <c r="C328" s="524" t="s">
        <v>1148</v>
      </c>
      <c r="D328" s="524" t="s">
        <v>1186</v>
      </c>
      <c r="E328" s="524" t="s">
        <v>1430</v>
      </c>
      <c r="F328" s="524" t="s">
        <v>1183</v>
      </c>
      <c r="G328" s="524" t="s">
        <v>769</v>
      </c>
      <c r="H328" s="527">
        <v>1289.5</v>
      </c>
      <c r="I328" s="524" t="s">
        <v>1174</v>
      </c>
      <c r="J328" s="524">
        <f>IF(cmf[[#This Row],[D/C]]="C",cmf[[#This Row],[Valor]],-1*cmf[[#This Row],[Valor]])</f>
        <v>-1289.5</v>
      </c>
      <c r="L328" s="524" t="s">
        <v>1188</v>
      </c>
      <c r="M328" s="524" t="s">
        <v>1189</v>
      </c>
      <c r="N328" s="524" t="s">
        <v>1219</v>
      </c>
      <c r="O328" s="524" t="s">
        <v>1220</v>
      </c>
      <c r="P328" s="526">
        <v>46209</v>
      </c>
      <c r="S328" s="527">
        <v>0</v>
      </c>
    </row>
    <row r="329" spans="1:19" x14ac:dyDescent="0.2">
      <c r="A329" s="524">
        <v>68637</v>
      </c>
      <c r="B329" s="526">
        <v>46209</v>
      </c>
      <c r="C329" s="524" t="s">
        <v>1148</v>
      </c>
      <c r="D329" s="524" t="s">
        <v>1186</v>
      </c>
      <c r="E329" s="524" t="s">
        <v>1431</v>
      </c>
      <c r="F329" s="524" t="s">
        <v>1183</v>
      </c>
      <c r="G329" s="524" t="s">
        <v>769</v>
      </c>
      <c r="H329" s="527">
        <v>4592.5</v>
      </c>
      <c r="I329" s="524" t="s">
        <v>1174</v>
      </c>
      <c r="J329" s="524">
        <f>IF(cmf[[#This Row],[D/C]]="C",cmf[[#This Row],[Valor]],-1*cmf[[#This Row],[Valor]])</f>
        <v>-4592.5</v>
      </c>
      <c r="L329" s="524" t="s">
        <v>1188</v>
      </c>
      <c r="M329" s="524" t="s">
        <v>1189</v>
      </c>
      <c r="N329" s="524" t="s">
        <v>1219</v>
      </c>
      <c r="O329" s="524" t="s">
        <v>1220</v>
      </c>
      <c r="P329" s="526">
        <v>46209</v>
      </c>
      <c r="S329" s="527">
        <v>0</v>
      </c>
    </row>
    <row r="330" spans="1:19" x14ac:dyDescent="0.2">
      <c r="A330" s="524">
        <v>68638</v>
      </c>
      <c r="B330" s="526">
        <v>46209</v>
      </c>
      <c r="C330" s="524" t="s">
        <v>1148</v>
      </c>
      <c r="D330" s="524" t="s">
        <v>1186</v>
      </c>
      <c r="E330" s="524" t="s">
        <v>1432</v>
      </c>
      <c r="F330" s="524" t="s">
        <v>1183</v>
      </c>
      <c r="G330" s="524" t="s">
        <v>769</v>
      </c>
      <c r="H330" s="527">
        <v>943.4</v>
      </c>
      <c r="I330" s="524" t="s">
        <v>1174</v>
      </c>
      <c r="J330" s="524">
        <f>IF(cmf[[#This Row],[D/C]]="C",cmf[[#This Row],[Valor]],-1*cmf[[#This Row],[Valor]])</f>
        <v>-943.4</v>
      </c>
      <c r="L330" s="524" t="s">
        <v>1188</v>
      </c>
      <c r="M330" s="524" t="s">
        <v>1189</v>
      </c>
      <c r="N330" s="524" t="s">
        <v>1219</v>
      </c>
      <c r="O330" s="524" t="s">
        <v>1220</v>
      </c>
      <c r="P330" s="526">
        <v>46209</v>
      </c>
      <c r="S330" s="527">
        <v>0</v>
      </c>
    </row>
    <row r="331" spans="1:19" x14ac:dyDescent="0.2">
      <c r="A331" s="524">
        <v>68639</v>
      </c>
      <c r="B331" s="526">
        <v>46209</v>
      </c>
      <c r="C331" s="524" t="s">
        <v>1148</v>
      </c>
      <c r="D331" s="524" t="s">
        <v>1186</v>
      </c>
      <c r="E331" s="524" t="s">
        <v>1433</v>
      </c>
      <c r="F331" s="524" t="s">
        <v>1183</v>
      </c>
      <c r="G331" s="524" t="s">
        <v>769</v>
      </c>
      <c r="H331" s="527">
        <v>810</v>
      </c>
      <c r="I331" s="524" t="s">
        <v>1174</v>
      </c>
      <c r="J331" s="524">
        <f>IF(cmf[[#This Row],[D/C]]="C",cmf[[#This Row],[Valor]],-1*cmf[[#This Row],[Valor]])</f>
        <v>-810</v>
      </c>
      <c r="L331" s="524" t="s">
        <v>1188</v>
      </c>
      <c r="M331" s="524" t="s">
        <v>1189</v>
      </c>
      <c r="N331" s="524" t="s">
        <v>1219</v>
      </c>
      <c r="O331" s="524" t="s">
        <v>1220</v>
      </c>
      <c r="P331" s="526">
        <v>46209</v>
      </c>
      <c r="S331" s="527">
        <v>0</v>
      </c>
    </row>
    <row r="332" spans="1:19" x14ac:dyDescent="0.2">
      <c r="A332" s="524">
        <v>68640</v>
      </c>
      <c r="B332" s="526">
        <v>46209</v>
      </c>
      <c r="C332" s="524" t="s">
        <v>1148</v>
      </c>
      <c r="D332" s="524" t="s">
        <v>1186</v>
      </c>
      <c r="E332" s="524" t="s">
        <v>1434</v>
      </c>
      <c r="F332" s="524" t="s">
        <v>1183</v>
      </c>
      <c r="G332" s="524" t="s">
        <v>769</v>
      </c>
      <c r="H332" s="527">
        <v>740</v>
      </c>
      <c r="I332" s="524" t="s">
        <v>1174</v>
      </c>
      <c r="J332" s="524">
        <f>IF(cmf[[#This Row],[D/C]]="C",cmf[[#This Row],[Valor]],-1*cmf[[#This Row],[Valor]])</f>
        <v>-740</v>
      </c>
      <c r="L332" s="524" t="s">
        <v>1188</v>
      </c>
      <c r="M332" s="524" t="s">
        <v>1189</v>
      </c>
      <c r="N332" s="524" t="s">
        <v>1219</v>
      </c>
      <c r="O332" s="524" t="s">
        <v>1220</v>
      </c>
      <c r="P332" s="526">
        <v>46209</v>
      </c>
      <c r="S332" s="527">
        <v>0</v>
      </c>
    </row>
    <row r="333" spans="1:19" x14ac:dyDescent="0.2">
      <c r="A333" s="524">
        <v>68641</v>
      </c>
      <c r="B333" s="526">
        <v>46209</v>
      </c>
      <c r="C333" s="524" t="s">
        <v>1148</v>
      </c>
      <c r="D333" s="524" t="s">
        <v>1186</v>
      </c>
      <c r="E333" s="524" t="s">
        <v>1435</v>
      </c>
      <c r="F333" s="524" t="s">
        <v>1183</v>
      </c>
      <c r="G333" s="524" t="s">
        <v>769</v>
      </c>
      <c r="H333" s="527">
        <v>460</v>
      </c>
      <c r="I333" s="524" t="s">
        <v>1174</v>
      </c>
      <c r="J333" s="524">
        <f>IF(cmf[[#This Row],[D/C]]="C",cmf[[#This Row],[Valor]],-1*cmf[[#This Row],[Valor]])</f>
        <v>-460</v>
      </c>
      <c r="L333" s="524" t="s">
        <v>1188</v>
      </c>
      <c r="M333" s="524" t="s">
        <v>1189</v>
      </c>
      <c r="N333" s="524" t="s">
        <v>1219</v>
      </c>
      <c r="O333" s="524" t="s">
        <v>1220</v>
      </c>
      <c r="P333" s="526">
        <v>46209</v>
      </c>
      <c r="S333" s="527">
        <v>0</v>
      </c>
    </row>
    <row r="334" spans="1:19" x14ac:dyDescent="0.2">
      <c r="A334" s="524">
        <v>68642</v>
      </c>
      <c r="B334" s="526">
        <v>46209</v>
      </c>
      <c r="C334" s="524" t="s">
        <v>1148</v>
      </c>
      <c r="D334" s="524" t="s">
        <v>1186</v>
      </c>
      <c r="E334" s="524" t="s">
        <v>1436</v>
      </c>
      <c r="F334" s="524" t="s">
        <v>1183</v>
      </c>
      <c r="G334" s="524" t="s">
        <v>769</v>
      </c>
      <c r="H334" s="527">
        <v>460</v>
      </c>
      <c r="I334" s="524" t="s">
        <v>1174</v>
      </c>
      <c r="J334" s="524">
        <f>IF(cmf[[#This Row],[D/C]]="C",cmf[[#This Row],[Valor]],-1*cmf[[#This Row],[Valor]])</f>
        <v>-460</v>
      </c>
      <c r="L334" s="524" t="s">
        <v>1188</v>
      </c>
      <c r="M334" s="524" t="s">
        <v>1189</v>
      </c>
      <c r="N334" s="524" t="s">
        <v>1219</v>
      </c>
      <c r="O334" s="524" t="s">
        <v>1220</v>
      </c>
      <c r="P334" s="526">
        <v>46209</v>
      </c>
      <c r="S334" s="527">
        <v>0</v>
      </c>
    </row>
    <row r="335" spans="1:19" x14ac:dyDescent="0.2">
      <c r="A335" s="524">
        <v>68643</v>
      </c>
      <c r="B335" s="526">
        <v>46209</v>
      </c>
      <c r="C335" s="524" t="s">
        <v>1148</v>
      </c>
      <c r="D335" s="524" t="s">
        <v>1186</v>
      </c>
      <c r="E335" s="524" t="s">
        <v>1437</v>
      </c>
      <c r="F335" s="524" t="s">
        <v>1183</v>
      </c>
      <c r="G335" s="524" t="s">
        <v>769</v>
      </c>
      <c r="H335" s="527">
        <v>418.82</v>
      </c>
      <c r="I335" s="524" t="s">
        <v>1174</v>
      </c>
      <c r="J335" s="524">
        <f>IF(cmf[[#This Row],[D/C]]="C",cmf[[#This Row],[Valor]],-1*cmf[[#This Row],[Valor]])</f>
        <v>-418.82</v>
      </c>
      <c r="L335" s="524" t="s">
        <v>1188</v>
      </c>
      <c r="M335" s="524" t="s">
        <v>1189</v>
      </c>
      <c r="N335" s="524" t="s">
        <v>1219</v>
      </c>
      <c r="O335" s="524" t="s">
        <v>1220</v>
      </c>
      <c r="P335" s="526">
        <v>46209</v>
      </c>
      <c r="S335" s="527">
        <v>0</v>
      </c>
    </row>
    <row r="336" spans="1:19" x14ac:dyDescent="0.2">
      <c r="A336" s="524">
        <v>68644</v>
      </c>
      <c r="B336" s="526">
        <v>46209</v>
      </c>
      <c r="C336" s="524" t="s">
        <v>1148</v>
      </c>
      <c r="D336" s="524" t="s">
        <v>1186</v>
      </c>
      <c r="E336" s="524" t="s">
        <v>1438</v>
      </c>
      <c r="F336" s="524" t="s">
        <v>1183</v>
      </c>
      <c r="G336" s="524" t="s">
        <v>769</v>
      </c>
      <c r="H336" s="527">
        <v>265.64999999999998</v>
      </c>
      <c r="I336" s="524" t="s">
        <v>1174</v>
      </c>
      <c r="J336" s="524">
        <f>IF(cmf[[#This Row],[D/C]]="C",cmf[[#This Row],[Valor]],-1*cmf[[#This Row],[Valor]])</f>
        <v>-265.64999999999998</v>
      </c>
      <c r="L336" s="524" t="s">
        <v>1188</v>
      </c>
      <c r="M336" s="524" t="s">
        <v>1189</v>
      </c>
      <c r="N336" s="524" t="s">
        <v>1219</v>
      </c>
      <c r="O336" s="524" t="s">
        <v>1220</v>
      </c>
      <c r="P336" s="526">
        <v>46209</v>
      </c>
      <c r="S336" s="527">
        <v>0</v>
      </c>
    </row>
    <row r="337" spans="1:19" x14ac:dyDescent="0.2">
      <c r="A337" s="524">
        <v>68645</v>
      </c>
      <c r="B337" s="526">
        <v>46209</v>
      </c>
      <c r="C337" s="524" t="s">
        <v>1148</v>
      </c>
      <c r="D337" s="524" t="s">
        <v>1186</v>
      </c>
      <c r="E337" s="524" t="s">
        <v>1439</v>
      </c>
      <c r="F337" s="524" t="s">
        <v>1183</v>
      </c>
      <c r="G337" s="524" t="s">
        <v>769</v>
      </c>
      <c r="H337" s="527">
        <v>92.62</v>
      </c>
      <c r="I337" s="524" t="s">
        <v>1174</v>
      </c>
      <c r="J337" s="524">
        <f>IF(cmf[[#This Row],[D/C]]="C",cmf[[#This Row],[Valor]],-1*cmf[[#This Row],[Valor]])</f>
        <v>-92.62</v>
      </c>
      <c r="L337" s="524" t="s">
        <v>1188</v>
      </c>
      <c r="M337" s="524" t="s">
        <v>1189</v>
      </c>
      <c r="N337" s="524" t="s">
        <v>1219</v>
      </c>
      <c r="O337" s="524" t="s">
        <v>1220</v>
      </c>
      <c r="P337" s="526">
        <v>46209</v>
      </c>
      <c r="S337" s="527">
        <v>0</v>
      </c>
    </row>
    <row r="338" spans="1:19" x14ac:dyDescent="0.2">
      <c r="A338" s="524">
        <v>68646</v>
      </c>
      <c r="B338" s="526">
        <v>46209</v>
      </c>
      <c r="C338" s="524" t="s">
        <v>1148</v>
      </c>
      <c r="D338" s="524" t="s">
        <v>1186</v>
      </c>
      <c r="E338" s="524" t="s">
        <v>1440</v>
      </c>
      <c r="F338" s="524" t="s">
        <v>1183</v>
      </c>
      <c r="G338" s="524" t="s">
        <v>769</v>
      </c>
      <c r="H338" s="527">
        <v>476.75</v>
      </c>
      <c r="I338" s="524" t="s">
        <v>1174</v>
      </c>
      <c r="J338" s="524">
        <f>IF(cmf[[#This Row],[D/C]]="C",cmf[[#This Row],[Valor]],-1*cmf[[#This Row],[Valor]])</f>
        <v>-476.75</v>
      </c>
      <c r="L338" s="524" t="s">
        <v>1188</v>
      </c>
      <c r="M338" s="524" t="s">
        <v>1189</v>
      </c>
      <c r="N338" s="524" t="s">
        <v>1219</v>
      </c>
      <c r="O338" s="524" t="s">
        <v>1220</v>
      </c>
      <c r="P338" s="526">
        <v>46209</v>
      </c>
      <c r="S338" s="527">
        <v>0</v>
      </c>
    </row>
    <row r="339" spans="1:19" x14ac:dyDescent="0.2">
      <c r="A339" s="524">
        <v>68647</v>
      </c>
      <c r="B339" s="526">
        <v>46209</v>
      </c>
      <c r="C339" s="524" t="s">
        <v>1148</v>
      </c>
      <c r="D339" s="524" t="s">
        <v>1186</v>
      </c>
      <c r="E339" s="524" t="s">
        <v>1441</v>
      </c>
      <c r="F339" s="524" t="s">
        <v>1183</v>
      </c>
      <c r="G339" s="524" t="s">
        <v>769</v>
      </c>
      <c r="H339" s="527">
        <v>4500</v>
      </c>
      <c r="I339" s="524" t="s">
        <v>1174</v>
      </c>
      <c r="J339" s="524">
        <f>IF(cmf[[#This Row],[D/C]]="C",cmf[[#This Row],[Valor]],-1*cmf[[#This Row],[Valor]])</f>
        <v>-4500</v>
      </c>
      <c r="L339" s="524" t="s">
        <v>1188</v>
      </c>
      <c r="M339" s="524" t="s">
        <v>1189</v>
      </c>
      <c r="N339" s="524" t="s">
        <v>1219</v>
      </c>
      <c r="O339" s="524" t="s">
        <v>1220</v>
      </c>
      <c r="P339" s="526">
        <v>46209</v>
      </c>
      <c r="S339" s="527">
        <v>0</v>
      </c>
    </row>
    <row r="340" spans="1:19" x14ac:dyDescent="0.2">
      <c r="A340" s="524">
        <v>68648</v>
      </c>
      <c r="B340" s="526">
        <v>46209</v>
      </c>
      <c r="C340" s="524" t="s">
        <v>1148</v>
      </c>
      <c r="D340" s="524" t="s">
        <v>1186</v>
      </c>
      <c r="E340" s="524" t="s">
        <v>1442</v>
      </c>
      <c r="F340" s="524" t="s">
        <v>1183</v>
      </c>
      <c r="G340" s="524" t="s">
        <v>769</v>
      </c>
      <c r="H340" s="527">
        <v>20303.21</v>
      </c>
      <c r="I340" s="524" t="s">
        <v>1174</v>
      </c>
      <c r="J340" s="524">
        <f>IF(cmf[[#This Row],[D/C]]="C",cmf[[#This Row],[Valor]],-1*cmf[[#This Row],[Valor]])</f>
        <v>-20303.21</v>
      </c>
      <c r="L340" s="524" t="s">
        <v>1188</v>
      </c>
      <c r="M340" s="524" t="s">
        <v>1189</v>
      </c>
      <c r="N340" s="524" t="s">
        <v>1219</v>
      </c>
      <c r="O340" s="524" t="s">
        <v>1220</v>
      </c>
      <c r="P340" s="526">
        <v>46209</v>
      </c>
      <c r="S340" s="527">
        <v>0</v>
      </c>
    </row>
    <row r="341" spans="1:19" x14ac:dyDescent="0.2">
      <c r="A341" s="524">
        <v>68649</v>
      </c>
      <c r="B341" s="526">
        <v>46209</v>
      </c>
      <c r="C341" s="524" t="s">
        <v>1148</v>
      </c>
      <c r="D341" s="524" t="s">
        <v>1186</v>
      </c>
      <c r="E341" s="524" t="s">
        <v>1443</v>
      </c>
      <c r="F341" s="524" t="s">
        <v>1183</v>
      </c>
      <c r="G341" s="524" t="s">
        <v>769</v>
      </c>
      <c r="H341" s="527">
        <v>17898.400000000001</v>
      </c>
      <c r="I341" s="524" t="s">
        <v>1174</v>
      </c>
      <c r="J341" s="524">
        <f>IF(cmf[[#This Row],[D/C]]="C",cmf[[#This Row],[Valor]],-1*cmf[[#This Row],[Valor]])</f>
        <v>-17898.400000000001</v>
      </c>
      <c r="L341" s="524" t="s">
        <v>1188</v>
      </c>
      <c r="M341" s="524" t="s">
        <v>1189</v>
      </c>
      <c r="N341" s="524" t="s">
        <v>1219</v>
      </c>
      <c r="O341" s="524" t="s">
        <v>1220</v>
      </c>
      <c r="P341" s="526">
        <v>46209</v>
      </c>
      <c r="S341" s="527">
        <v>0</v>
      </c>
    </row>
    <row r="342" spans="1:19" x14ac:dyDescent="0.2">
      <c r="A342" s="524">
        <v>68650</v>
      </c>
      <c r="B342" s="526">
        <v>46209</v>
      </c>
      <c r="C342" s="524" t="s">
        <v>1148</v>
      </c>
      <c r="D342" s="524" t="s">
        <v>1186</v>
      </c>
      <c r="E342" s="524" t="s">
        <v>1444</v>
      </c>
      <c r="F342" s="524" t="s">
        <v>1183</v>
      </c>
      <c r="G342" s="524" t="s">
        <v>769</v>
      </c>
      <c r="H342" s="527">
        <v>9520</v>
      </c>
      <c r="I342" s="524" t="s">
        <v>1174</v>
      </c>
      <c r="J342" s="524">
        <f>IF(cmf[[#This Row],[D/C]]="C",cmf[[#This Row],[Valor]],-1*cmf[[#This Row],[Valor]])</f>
        <v>-9520</v>
      </c>
      <c r="L342" s="524" t="s">
        <v>1188</v>
      </c>
      <c r="M342" s="524" t="s">
        <v>1189</v>
      </c>
      <c r="N342" s="524" t="s">
        <v>1219</v>
      </c>
      <c r="O342" s="524" t="s">
        <v>1220</v>
      </c>
      <c r="P342" s="526">
        <v>46209</v>
      </c>
      <c r="S342" s="527">
        <v>0</v>
      </c>
    </row>
    <row r="343" spans="1:19" x14ac:dyDescent="0.2">
      <c r="A343" s="524">
        <v>68651</v>
      </c>
      <c r="B343" s="526">
        <v>46209</v>
      </c>
      <c r="C343" s="524" t="s">
        <v>1148</v>
      </c>
      <c r="D343" s="524" t="s">
        <v>1186</v>
      </c>
      <c r="E343" s="524" t="s">
        <v>1445</v>
      </c>
      <c r="F343" s="524" t="s">
        <v>1183</v>
      </c>
      <c r="G343" s="524" t="s">
        <v>769</v>
      </c>
      <c r="H343" s="527">
        <v>8370.9</v>
      </c>
      <c r="I343" s="524" t="s">
        <v>1174</v>
      </c>
      <c r="J343" s="524">
        <f>IF(cmf[[#This Row],[D/C]]="C",cmf[[#This Row],[Valor]],-1*cmf[[#This Row],[Valor]])</f>
        <v>-8370.9</v>
      </c>
      <c r="L343" s="524" t="s">
        <v>1188</v>
      </c>
      <c r="M343" s="524" t="s">
        <v>1189</v>
      </c>
      <c r="N343" s="524" t="s">
        <v>1219</v>
      </c>
      <c r="O343" s="524" t="s">
        <v>1220</v>
      </c>
      <c r="P343" s="526">
        <v>46209</v>
      </c>
      <c r="S343" s="527">
        <v>0</v>
      </c>
    </row>
    <row r="344" spans="1:19" x14ac:dyDescent="0.2">
      <c r="A344" s="524">
        <v>68652</v>
      </c>
      <c r="B344" s="526">
        <v>46209</v>
      </c>
      <c r="C344" s="524" t="s">
        <v>1148</v>
      </c>
      <c r="D344" s="524" t="s">
        <v>1186</v>
      </c>
      <c r="E344" s="524" t="s">
        <v>1446</v>
      </c>
      <c r="F344" s="524" t="s">
        <v>1183</v>
      </c>
      <c r="G344" s="524" t="s">
        <v>769</v>
      </c>
      <c r="H344" s="527">
        <v>7104</v>
      </c>
      <c r="I344" s="524" t="s">
        <v>1174</v>
      </c>
      <c r="J344" s="524">
        <f>IF(cmf[[#This Row],[D/C]]="C",cmf[[#This Row],[Valor]],-1*cmf[[#This Row],[Valor]])</f>
        <v>-7104</v>
      </c>
      <c r="L344" s="524" t="s">
        <v>1188</v>
      </c>
      <c r="M344" s="524" t="s">
        <v>1189</v>
      </c>
      <c r="N344" s="524" t="s">
        <v>1219</v>
      </c>
      <c r="O344" s="524" t="s">
        <v>1220</v>
      </c>
      <c r="P344" s="526">
        <v>46209</v>
      </c>
      <c r="S344" s="527">
        <v>0</v>
      </c>
    </row>
    <row r="345" spans="1:19" x14ac:dyDescent="0.2">
      <c r="A345" s="524">
        <v>68653</v>
      </c>
      <c r="B345" s="526">
        <v>46209</v>
      </c>
      <c r="C345" s="524" t="s">
        <v>1148</v>
      </c>
      <c r="D345" s="524" t="s">
        <v>1186</v>
      </c>
      <c r="E345" s="524" t="s">
        <v>1447</v>
      </c>
      <c r="F345" s="524" t="s">
        <v>1183</v>
      </c>
      <c r="G345" s="524" t="s">
        <v>769</v>
      </c>
      <c r="H345" s="527">
        <v>5030.97</v>
      </c>
      <c r="I345" s="524" t="s">
        <v>1174</v>
      </c>
      <c r="J345" s="524">
        <f>IF(cmf[[#This Row],[D/C]]="C",cmf[[#This Row],[Valor]],-1*cmf[[#This Row],[Valor]])</f>
        <v>-5030.97</v>
      </c>
      <c r="L345" s="524" t="s">
        <v>1188</v>
      </c>
      <c r="M345" s="524" t="s">
        <v>1189</v>
      </c>
      <c r="N345" s="524" t="s">
        <v>1219</v>
      </c>
      <c r="O345" s="524" t="s">
        <v>1220</v>
      </c>
      <c r="P345" s="526">
        <v>46209</v>
      </c>
      <c r="S345" s="527">
        <v>0</v>
      </c>
    </row>
    <row r="346" spans="1:19" x14ac:dyDescent="0.2">
      <c r="A346" s="524">
        <v>68654</v>
      </c>
      <c r="B346" s="526">
        <v>46209</v>
      </c>
      <c r="C346" s="524" t="s">
        <v>1148</v>
      </c>
      <c r="D346" s="524" t="s">
        <v>1186</v>
      </c>
      <c r="E346" s="524" t="s">
        <v>1448</v>
      </c>
      <c r="F346" s="524" t="s">
        <v>1183</v>
      </c>
      <c r="G346" s="524" t="s">
        <v>769</v>
      </c>
      <c r="H346" s="527">
        <v>2781.52</v>
      </c>
      <c r="I346" s="524" t="s">
        <v>1174</v>
      </c>
      <c r="J346" s="524">
        <f>IF(cmf[[#This Row],[D/C]]="C",cmf[[#This Row],[Valor]],-1*cmf[[#This Row],[Valor]])</f>
        <v>-2781.52</v>
      </c>
      <c r="L346" s="524" t="s">
        <v>1188</v>
      </c>
      <c r="M346" s="524" t="s">
        <v>1189</v>
      </c>
      <c r="N346" s="524" t="s">
        <v>1219</v>
      </c>
      <c r="O346" s="524" t="s">
        <v>1220</v>
      </c>
      <c r="P346" s="526">
        <v>46209</v>
      </c>
      <c r="S346" s="527">
        <v>0</v>
      </c>
    </row>
    <row r="347" spans="1:19" x14ac:dyDescent="0.2">
      <c r="A347" s="524">
        <v>68655</v>
      </c>
      <c r="B347" s="526">
        <v>46209</v>
      </c>
      <c r="C347" s="524" t="s">
        <v>1148</v>
      </c>
      <c r="D347" s="524" t="s">
        <v>1186</v>
      </c>
      <c r="E347" s="524" t="s">
        <v>1449</v>
      </c>
      <c r="F347" s="524" t="s">
        <v>1183</v>
      </c>
      <c r="G347" s="524" t="s">
        <v>769</v>
      </c>
      <c r="H347" s="527">
        <v>3000</v>
      </c>
      <c r="I347" s="524" t="s">
        <v>1174</v>
      </c>
      <c r="J347" s="524">
        <f>IF(cmf[[#This Row],[D/C]]="C",cmf[[#This Row],[Valor]],-1*cmf[[#This Row],[Valor]])</f>
        <v>-3000</v>
      </c>
      <c r="L347" s="524" t="s">
        <v>1188</v>
      </c>
      <c r="M347" s="524" t="s">
        <v>1189</v>
      </c>
      <c r="N347" s="524" t="s">
        <v>1219</v>
      </c>
      <c r="O347" s="524" t="s">
        <v>1220</v>
      </c>
      <c r="P347" s="526">
        <v>46209</v>
      </c>
      <c r="S347" s="527">
        <v>0</v>
      </c>
    </row>
    <row r="348" spans="1:19" x14ac:dyDescent="0.2">
      <c r="A348" s="524">
        <v>68656</v>
      </c>
      <c r="B348" s="526">
        <v>46209</v>
      </c>
      <c r="C348" s="524" t="s">
        <v>1148</v>
      </c>
      <c r="D348" s="524" t="s">
        <v>1186</v>
      </c>
      <c r="E348" s="524" t="s">
        <v>1450</v>
      </c>
      <c r="F348" s="524" t="s">
        <v>1183</v>
      </c>
      <c r="G348" s="524" t="s">
        <v>769</v>
      </c>
      <c r="H348" s="527">
        <v>4113.9799999999996</v>
      </c>
      <c r="I348" s="524" t="s">
        <v>1174</v>
      </c>
      <c r="J348" s="524">
        <f>IF(cmf[[#This Row],[D/C]]="C",cmf[[#This Row],[Valor]],-1*cmf[[#This Row],[Valor]])</f>
        <v>-4113.9799999999996</v>
      </c>
      <c r="L348" s="524" t="s">
        <v>1188</v>
      </c>
      <c r="M348" s="524" t="s">
        <v>1189</v>
      </c>
      <c r="N348" s="524" t="s">
        <v>1219</v>
      </c>
      <c r="O348" s="524" t="s">
        <v>1220</v>
      </c>
      <c r="P348" s="526">
        <v>46209</v>
      </c>
      <c r="S348" s="527">
        <v>0</v>
      </c>
    </row>
    <row r="349" spans="1:19" x14ac:dyDescent="0.2">
      <c r="A349" s="524">
        <v>68657</v>
      </c>
      <c r="B349" s="526">
        <v>46209</v>
      </c>
      <c r="C349" s="524" t="s">
        <v>1148</v>
      </c>
      <c r="D349" s="524" t="s">
        <v>1186</v>
      </c>
      <c r="E349" s="524" t="s">
        <v>1451</v>
      </c>
      <c r="F349" s="524" t="s">
        <v>1183</v>
      </c>
      <c r="G349" s="524" t="s">
        <v>769</v>
      </c>
      <c r="H349" s="527">
        <v>4052</v>
      </c>
      <c r="I349" s="524" t="s">
        <v>1174</v>
      </c>
      <c r="J349" s="524">
        <f>IF(cmf[[#This Row],[D/C]]="C",cmf[[#This Row],[Valor]],-1*cmf[[#This Row],[Valor]])</f>
        <v>-4052</v>
      </c>
      <c r="L349" s="524" t="s">
        <v>1188</v>
      </c>
      <c r="M349" s="524" t="s">
        <v>1189</v>
      </c>
      <c r="N349" s="524" t="s">
        <v>1219</v>
      </c>
      <c r="O349" s="524" t="s">
        <v>1220</v>
      </c>
      <c r="P349" s="526">
        <v>46209</v>
      </c>
      <c r="S349" s="527">
        <v>0</v>
      </c>
    </row>
    <row r="350" spans="1:19" x14ac:dyDescent="0.2">
      <c r="A350" s="524">
        <v>68658</v>
      </c>
      <c r="B350" s="526">
        <v>46209</v>
      </c>
      <c r="C350" s="524" t="s">
        <v>1148</v>
      </c>
      <c r="D350" s="524" t="s">
        <v>1186</v>
      </c>
      <c r="E350" s="524" t="s">
        <v>1452</v>
      </c>
      <c r="F350" s="524" t="s">
        <v>1183</v>
      </c>
      <c r="G350" s="524" t="s">
        <v>769</v>
      </c>
      <c r="H350" s="527">
        <v>3998.4</v>
      </c>
      <c r="I350" s="524" t="s">
        <v>1174</v>
      </c>
      <c r="J350" s="524">
        <f>IF(cmf[[#This Row],[D/C]]="C",cmf[[#This Row],[Valor]],-1*cmf[[#This Row],[Valor]])</f>
        <v>-3998.4</v>
      </c>
      <c r="L350" s="524" t="s">
        <v>1188</v>
      </c>
      <c r="M350" s="524" t="s">
        <v>1189</v>
      </c>
      <c r="N350" s="524" t="s">
        <v>1219</v>
      </c>
      <c r="O350" s="524" t="s">
        <v>1220</v>
      </c>
      <c r="P350" s="526">
        <v>46209</v>
      </c>
      <c r="S350" s="527">
        <v>0</v>
      </c>
    </row>
    <row r="351" spans="1:19" x14ac:dyDescent="0.2">
      <c r="A351" s="524">
        <v>68659</v>
      </c>
      <c r="B351" s="526">
        <v>46209</v>
      </c>
      <c r="C351" s="524" t="s">
        <v>1148</v>
      </c>
      <c r="D351" s="524" t="s">
        <v>1186</v>
      </c>
      <c r="E351" s="524" t="s">
        <v>1453</v>
      </c>
      <c r="F351" s="524" t="s">
        <v>1183</v>
      </c>
      <c r="G351" s="524" t="s">
        <v>769</v>
      </c>
      <c r="H351" s="527">
        <v>3749.99</v>
      </c>
      <c r="I351" s="524" t="s">
        <v>1174</v>
      </c>
      <c r="J351" s="524">
        <f>IF(cmf[[#This Row],[D/C]]="C",cmf[[#This Row],[Valor]],-1*cmf[[#This Row],[Valor]])</f>
        <v>-3749.99</v>
      </c>
      <c r="L351" s="524" t="s">
        <v>1188</v>
      </c>
      <c r="M351" s="524" t="s">
        <v>1189</v>
      </c>
      <c r="N351" s="524" t="s">
        <v>1219</v>
      </c>
      <c r="O351" s="524" t="s">
        <v>1220</v>
      </c>
      <c r="P351" s="526">
        <v>46209</v>
      </c>
      <c r="S351" s="527">
        <v>0</v>
      </c>
    </row>
    <row r="352" spans="1:19" x14ac:dyDescent="0.2">
      <c r="A352" s="524">
        <v>68660</v>
      </c>
      <c r="B352" s="526">
        <v>46209</v>
      </c>
      <c r="C352" s="524" t="s">
        <v>1148</v>
      </c>
      <c r="D352" s="524" t="s">
        <v>1186</v>
      </c>
      <c r="E352" s="524" t="s">
        <v>1454</v>
      </c>
      <c r="F352" s="524" t="s">
        <v>1183</v>
      </c>
      <c r="G352" s="524" t="s">
        <v>769</v>
      </c>
      <c r="H352" s="527">
        <v>3500</v>
      </c>
      <c r="I352" s="524" t="s">
        <v>1174</v>
      </c>
      <c r="J352" s="524">
        <f>IF(cmf[[#This Row],[D/C]]="C",cmf[[#This Row],[Valor]],-1*cmf[[#This Row],[Valor]])</f>
        <v>-3500</v>
      </c>
      <c r="L352" s="524" t="s">
        <v>1188</v>
      </c>
      <c r="M352" s="524" t="s">
        <v>1189</v>
      </c>
      <c r="N352" s="524" t="s">
        <v>1219</v>
      </c>
      <c r="O352" s="524" t="s">
        <v>1220</v>
      </c>
      <c r="P352" s="526">
        <v>46209</v>
      </c>
      <c r="S352" s="527">
        <v>0</v>
      </c>
    </row>
    <row r="353" spans="1:19" x14ac:dyDescent="0.2">
      <c r="A353" s="524">
        <v>68661</v>
      </c>
      <c r="B353" s="526">
        <v>46209</v>
      </c>
      <c r="C353" s="524" t="s">
        <v>1148</v>
      </c>
      <c r="D353" s="524" t="s">
        <v>1186</v>
      </c>
      <c r="E353" s="524" t="s">
        <v>1455</v>
      </c>
      <c r="F353" s="524" t="s">
        <v>1183</v>
      </c>
      <c r="G353" s="524" t="s">
        <v>769</v>
      </c>
      <c r="H353" s="527">
        <v>3359.35</v>
      </c>
      <c r="I353" s="524" t="s">
        <v>1174</v>
      </c>
      <c r="J353" s="524">
        <f>IF(cmf[[#This Row],[D/C]]="C",cmf[[#This Row],[Valor]],-1*cmf[[#This Row],[Valor]])</f>
        <v>-3359.35</v>
      </c>
      <c r="L353" s="524" t="s">
        <v>1188</v>
      </c>
      <c r="M353" s="524" t="s">
        <v>1189</v>
      </c>
      <c r="N353" s="524" t="s">
        <v>1219</v>
      </c>
      <c r="O353" s="524" t="s">
        <v>1220</v>
      </c>
      <c r="P353" s="526">
        <v>46209</v>
      </c>
      <c r="S353" s="527">
        <v>0</v>
      </c>
    </row>
    <row r="354" spans="1:19" x14ac:dyDescent="0.2">
      <c r="A354" s="524">
        <v>68662</v>
      </c>
      <c r="B354" s="526">
        <v>46209</v>
      </c>
      <c r="C354" s="524" t="s">
        <v>1148</v>
      </c>
      <c r="D354" s="524" t="s">
        <v>1186</v>
      </c>
      <c r="E354" s="524" t="s">
        <v>1456</v>
      </c>
      <c r="F354" s="524" t="s">
        <v>1183</v>
      </c>
      <c r="G354" s="524" t="s">
        <v>769</v>
      </c>
      <c r="H354" s="527">
        <v>3100.07</v>
      </c>
      <c r="I354" s="524" t="s">
        <v>1174</v>
      </c>
      <c r="J354" s="524">
        <f>IF(cmf[[#This Row],[D/C]]="C",cmf[[#This Row],[Valor]],-1*cmf[[#This Row],[Valor]])</f>
        <v>-3100.07</v>
      </c>
      <c r="L354" s="524" t="s">
        <v>1188</v>
      </c>
      <c r="M354" s="524" t="s">
        <v>1189</v>
      </c>
      <c r="N354" s="524" t="s">
        <v>1219</v>
      </c>
      <c r="O354" s="524" t="s">
        <v>1220</v>
      </c>
      <c r="P354" s="526">
        <v>46209</v>
      </c>
      <c r="S354" s="527">
        <v>0</v>
      </c>
    </row>
    <row r="355" spans="1:19" x14ac:dyDescent="0.2">
      <c r="A355" s="524">
        <v>68663</v>
      </c>
      <c r="B355" s="526">
        <v>46209</v>
      </c>
      <c r="C355" s="524" t="s">
        <v>1148</v>
      </c>
      <c r="D355" s="524" t="s">
        <v>1186</v>
      </c>
      <c r="E355" s="524" t="s">
        <v>1457</v>
      </c>
      <c r="F355" s="524" t="s">
        <v>1183</v>
      </c>
      <c r="G355" s="524" t="s">
        <v>769</v>
      </c>
      <c r="H355" s="527">
        <v>534.4</v>
      </c>
      <c r="I355" s="524" t="s">
        <v>1174</v>
      </c>
      <c r="J355" s="524">
        <f>IF(cmf[[#This Row],[D/C]]="C",cmf[[#This Row],[Valor]],-1*cmf[[#This Row],[Valor]])</f>
        <v>-534.4</v>
      </c>
      <c r="L355" s="524" t="s">
        <v>1188</v>
      </c>
      <c r="M355" s="524" t="s">
        <v>1189</v>
      </c>
      <c r="N355" s="524" t="s">
        <v>1219</v>
      </c>
      <c r="O355" s="524" t="s">
        <v>1220</v>
      </c>
      <c r="P355" s="526">
        <v>46209</v>
      </c>
      <c r="S355" s="527">
        <v>0</v>
      </c>
    </row>
    <row r="356" spans="1:19" x14ac:dyDescent="0.2">
      <c r="A356" s="524">
        <v>68669</v>
      </c>
      <c r="B356" s="526">
        <v>46209</v>
      </c>
      <c r="C356" s="524" t="s">
        <v>1148</v>
      </c>
      <c r="D356" s="524" t="s">
        <v>1186</v>
      </c>
      <c r="E356" s="524" t="s">
        <v>1458</v>
      </c>
      <c r="F356" s="524" t="s">
        <v>1183</v>
      </c>
      <c r="G356" s="524" t="s">
        <v>758</v>
      </c>
      <c r="H356" s="527">
        <v>30000</v>
      </c>
      <c r="I356" s="524" t="s">
        <v>1174</v>
      </c>
      <c r="J356" s="524">
        <f>IF(cmf[[#This Row],[D/C]]="C",cmf[[#This Row],[Valor]],-1*cmf[[#This Row],[Valor]])</f>
        <v>-30000</v>
      </c>
      <c r="L356" s="524" t="s">
        <v>1188</v>
      </c>
      <c r="M356" s="524" t="s">
        <v>1189</v>
      </c>
      <c r="N356" s="524" t="s">
        <v>1223</v>
      </c>
      <c r="O356" s="524" t="s">
        <v>1224</v>
      </c>
      <c r="P356" s="526">
        <v>46209</v>
      </c>
      <c r="S356" s="527">
        <v>0</v>
      </c>
    </row>
    <row r="357" spans="1:19" x14ac:dyDescent="0.2">
      <c r="A357" s="524">
        <v>68670</v>
      </c>
      <c r="B357" s="526">
        <v>46209</v>
      </c>
      <c r="C357" s="524" t="s">
        <v>1148</v>
      </c>
      <c r="D357" s="524" t="s">
        <v>1186</v>
      </c>
      <c r="E357" s="524" t="s">
        <v>1459</v>
      </c>
      <c r="F357" s="524" t="s">
        <v>1183</v>
      </c>
      <c r="G357" s="524" t="s">
        <v>758</v>
      </c>
      <c r="H357" s="527">
        <v>400</v>
      </c>
      <c r="I357" s="524" t="s">
        <v>1174</v>
      </c>
      <c r="J357" s="524">
        <f>IF(cmf[[#This Row],[D/C]]="C",cmf[[#This Row],[Valor]],-1*cmf[[#This Row],[Valor]])</f>
        <v>-400</v>
      </c>
      <c r="L357" s="524" t="s">
        <v>1188</v>
      </c>
      <c r="M357" s="524" t="s">
        <v>1189</v>
      </c>
      <c r="N357" s="524" t="s">
        <v>1223</v>
      </c>
      <c r="O357" s="524" t="s">
        <v>1224</v>
      </c>
      <c r="P357" s="526">
        <v>46209</v>
      </c>
      <c r="S357" s="527">
        <v>0</v>
      </c>
    </row>
    <row r="358" spans="1:19" x14ac:dyDescent="0.2">
      <c r="A358" s="524">
        <v>68671</v>
      </c>
      <c r="B358" s="526">
        <v>46209</v>
      </c>
      <c r="C358" s="524" t="s">
        <v>1148</v>
      </c>
      <c r="D358" s="524" t="s">
        <v>1186</v>
      </c>
      <c r="E358" s="524" t="s">
        <v>1460</v>
      </c>
      <c r="F358" s="524" t="s">
        <v>1183</v>
      </c>
      <c r="G358" s="524" t="s">
        <v>758</v>
      </c>
      <c r="H358" s="527">
        <v>560</v>
      </c>
      <c r="I358" s="524" t="s">
        <v>1174</v>
      </c>
      <c r="J358" s="524">
        <f>IF(cmf[[#This Row],[D/C]]="C",cmf[[#This Row],[Valor]],-1*cmf[[#This Row],[Valor]])</f>
        <v>-560</v>
      </c>
      <c r="L358" s="524" t="s">
        <v>1188</v>
      </c>
      <c r="M358" s="524" t="s">
        <v>1189</v>
      </c>
      <c r="N358" s="524" t="s">
        <v>1223</v>
      </c>
      <c r="O358" s="524" t="s">
        <v>1224</v>
      </c>
      <c r="P358" s="526">
        <v>46209</v>
      </c>
      <c r="S358" s="527">
        <v>0</v>
      </c>
    </row>
    <row r="359" spans="1:19" x14ac:dyDescent="0.2">
      <c r="A359" s="524">
        <v>68672</v>
      </c>
      <c r="B359" s="526">
        <v>46209</v>
      </c>
      <c r="C359" s="524" t="s">
        <v>1148</v>
      </c>
      <c r="D359" s="524" t="s">
        <v>1186</v>
      </c>
      <c r="E359" s="524" t="s">
        <v>1461</v>
      </c>
      <c r="F359" s="524" t="s">
        <v>1183</v>
      </c>
      <c r="G359" s="524" t="s">
        <v>758</v>
      </c>
      <c r="H359" s="527">
        <v>8398.3799999999992</v>
      </c>
      <c r="I359" s="524" t="s">
        <v>1174</v>
      </c>
      <c r="J359" s="524">
        <f>IF(cmf[[#This Row],[D/C]]="C",cmf[[#This Row],[Valor]],-1*cmf[[#This Row],[Valor]])</f>
        <v>-8398.3799999999992</v>
      </c>
      <c r="L359" s="524" t="s">
        <v>1188</v>
      </c>
      <c r="M359" s="524" t="s">
        <v>1189</v>
      </c>
      <c r="N359" s="524" t="s">
        <v>1223</v>
      </c>
      <c r="O359" s="524" t="s">
        <v>1224</v>
      </c>
      <c r="P359" s="526">
        <v>46209</v>
      </c>
      <c r="S359" s="527">
        <v>0</v>
      </c>
    </row>
    <row r="360" spans="1:19" x14ac:dyDescent="0.2">
      <c r="A360" s="524">
        <v>68673</v>
      </c>
      <c r="B360" s="526">
        <v>46209</v>
      </c>
      <c r="C360" s="524" t="s">
        <v>1148</v>
      </c>
      <c r="D360" s="524" t="s">
        <v>1186</v>
      </c>
      <c r="E360" s="524" t="s">
        <v>1462</v>
      </c>
      <c r="F360" s="524" t="s">
        <v>1183</v>
      </c>
      <c r="G360" s="524" t="s">
        <v>758</v>
      </c>
      <c r="H360" s="527">
        <v>2103.3200000000002</v>
      </c>
      <c r="I360" s="524" t="s">
        <v>1174</v>
      </c>
      <c r="J360" s="524">
        <f>IF(cmf[[#This Row],[D/C]]="C",cmf[[#This Row],[Valor]],-1*cmf[[#This Row],[Valor]])</f>
        <v>-2103.3200000000002</v>
      </c>
      <c r="L360" s="524" t="s">
        <v>1188</v>
      </c>
      <c r="M360" s="524" t="s">
        <v>1189</v>
      </c>
      <c r="N360" s="524" t="s">
        <v>1223</v>
      </c>
      <c r="O360" s="524" t="s">
        <v>1224</v>
      </c>
      <c r="P360" s="526">
        <v>46209</v>
      </c>
      <c r="S360" s="527">
        <v>0</v>
      </c>
    </row>
    <row r="361" spans="1:19" x14ac:dyDescent="0.2">
      <c r="A361" s="524">
        <v>68674</v>
      </c>
      <c r="B361" s="526">
        <v>46209</v>
      </c>
      <c r="C361" s="524" t="s">
        <v>1148</v>
      </c>
      <c r="D361" s="524" t="s">
        <v>1186</v>
      </c>
      <c r="E361" s="524" t="s">
        <v>1463</v>
      </c>
      <c r="F361" s="524" t="s">
        <v>1183</v>
      </c>
      <c r="G361" s="524" t="s">
        <v>758</v>
      </c>
      <c r="H361" s="527">
        <v>2587.21</v>
      </c>
      <c r="I361" s="524" t="s">
        <v>1174</v>
      </c>
      <c r="J361" s="524">
        <f>IF(cmf[[#This Row],[D/C]]="C",cmf[[#This Row],[Valor]],-1*cmf[[#This Row],[Valor]])</f>
        <v>-2587.21</v>
      </c>
      <c r="L361" s="524" t="s">
        <v>1188</v>
      </c>
      <c r="M361" s="524" t="s">
        <v>1189</v>
      </c>
      <c r="N361" s="524" t="s">
        <v>1223</v>
      </c>
      <c r="O361" s="524" t="s">
        <v>1224</v>
      </c>
      <c r="P361" s="526">
        <v>46209</v>
      </c>
      <c r="S361" s="527">
        <v>0</v>
      </c>
    </row>
    <row r="362" spans="1:19" x14ac:dyDescent="0.2">
      <c r="A362" s="524">
        <v>68675</v>
      </c>
      <c r="B362" s="526">
        <v>46209</v>
      </c>
      <c r="C362" s="524" t="s">
        <v>1148</v>
      </c>
      <c r="D362" s="524" t="s">
        <v>1186</v>
      </c>
      <c r="E362" s="524" t="s">
        <v>1464</v>
      </c>
      <c r="F362" s="524" t="s">
        <v>1183</v>
      </c>
      <c r="G362" s="524" t="s">
        <v>758</v>
      </c>
      <c r="H362" s="527">
        <v>3234</v>
      </c>
      <c r="I362" s="524" t="s">
        <v>1174</v>
      </c>
      <c r="J362" s="524">
        <f>IF(cmf[[#This Row],[D/C]]="C",cmf[[#This Row],[Valor]],-1*cmf[[#This Row],[Valor]])</f>
        <v>-3234</v>
      </c>
      <c r="L362" s="524" t="s">
        <v>1188</v>
      </c>
      <c r="M362" s="524" t="s">
        <v>1189</v>
      </c>
      <c r="N362" s="524" t="s">
        <v>1223</v>
      </c>
      <c r="O362" s="524" t="s">
        <v>1224</v>
      </c>
      <c r="P362" s="526">
        <v>46209</v>
      </c>
      <c r="S362" s="527">
        <v>0</v>
      </c>
    </row>
    <row r="363" spans="1:19" x14ac:dyDescent="0.2">
      <c r="A363" s="524">
        <v>68676</v>
      </c>
      <c r="B363" s="526">
        <v>46209</v>
      </c>
      <c r="C363" s="524" t="s">
        <v>1148</v>
      </c>
      <c r="D363" s="524" t="s">
        <v>1186</v>
      </c>
      <c r="E363" s="524" t="s">
        <v>1465</v>
      </c>
      <c r="F363" s="524" t="s">
        <v>1183</v>
      </c>
      <c r="G363" s="524" t="s">
        <v>758</v>
      </c>
      <c r="H363" s="527">
        <v>919.1</v>
      </c>
      <c r="I363" s="524" t="s">
        <v>1174</v>
      </c>
      <c r="J363" s="524">
        <f>IF(cmf[[#This Row],[D/C]]="C",cmf[[#This Row],[Valor]],-1*cmf[[#This Row],[Valor]])</f>
        <v>-919.1</v>
      </c>
      <c r="L363" s="524" t="s">
        <v>1188</v>
      </c>
      <c r="M363" s="524" t="s">
        <v>1189</v>
      </c>
      <c r="N363" s="524" t="s">
        <v>1223</v>
      </c>
      <c r="O363" s="524" t="s">
        <v>1224</v>
      </c>
      <c r="P363" s="526">
        <v>46209</v>
      </c>
      <c r="S363" s="527">
        <v>0</v>
      </c>
    </row>
    <row r="364" spans="1:19" x14ac:dyDescent="0.2">
      <c r="A364" s="524">
        <v>68677</v>
      </c>
      <c r="B364" s="526">
        <v>46209</v>
      </c>
      <c r="C364" s="524" t="s">
        <v>1148</v>
      </c>
      <c r="D364" s="524" t="s">
        <v>1186</v>
      </c>
      <c r="E364" s="524" t="s">
        <v>1466</v>
      </c>
      <c r="F364" s="524" t="s">
        <v>1183</v>
      </c>
      <c r="G364" s="524" t="s">
        <v>758</v>
      </c>
      <c r="H364" s="527">
        <v>2275</v>
      </c>
      <c r="I364" s="524" t="s">
        <v>1174</v>
      </c>
      <c r="J364" s="524">
        <f>IF(cmf[[#This Row],[D/C]]="C",cmf[[#This Row],[Valor]],-1*cmf[[#This Row],[Valor]])</f>
        <v>-2275</v>
      </c>
      <c r="L364" s="524" t="s">
        <v>1188</v>
      </c>
      <c r="M364" s="524" t="s">
        <v>1189</v>
      </c>
      <c r="N364" s="524" t="s">
        <v>1223</v>
      </c>
      <c r="O364" s="524" t="s">
        <v>1224</v>
      </c>
      <c r="P364" s="526">
        <v>46209</v>
      </c>
      <c r="S364" s="527">
        <v>0</v>
      </c>
    </row>
    <row r="365" spans="1:19" x14ac:dyDescent="0.2">
      <c r="A365" s="524">
        <v>68678</v>
      </c>
      <c r="B365" s="526">
        <v>46209</v>
      </c>
      <c r="C365" s="524" t="s">
        <v>1148</v>
      </c>
      <c r="D365" s="524" t="s">
        <v>1186</v>
      </c>
      <c r="E365" s="524" t="s">
        <v>1467</v>
      </c>
      <c r="F365" s="524" t="s">
        <v>1183</v>
      </c>
      <c r="G365" s="524" t="s">
        <v>758</v>
      </c>
      <c r="H365" s="527">
        <v>4500</v>
      </c>
      <c r="I365" s="524" t="s">
        <v>1174</v>
      </c>
      <c r="J365" s="524">
        <f>IF(cmf[[#This Row],[D/C]]="C",cmf[[#This Row],[Valor]],-1*cmf[[#This Row],[Valor]])</f>
        <v>-4500</v>
      </c>
      <c r="L365" s="524" t="s">
        <v>1188</v>
      </c>
      <c r="M365" s="524" t="s">
        <v>1189</v>
      </c>
      <c r="N365" s="524" t="s">
        <v>1223</v>
      </c>
      <c r="O365" s="524" t="s">
        <v>1224</v>
      </c>
      <c r="P365" s="526">
        <v>46209</v>
      </c>
      <c r="S365" s="527">
        <v>0</v>
      </c>
    </row>
    <row r="366" spans="1:19" x14ac:dyDescent="0.2">
      <c r="A366" s="524">
        <v>68679</v>
      </c>
      <c r="B366" s="526">
        <v>46209</v>
      </c>
      <c r="C366" s="524" t="s">
        <v>1148</v>
      </c>
      <c r="D366" s="524" t="s">
        <v>1186</v>
      </c>
      <c r="E366" s="524" t="s">
        <v>1468</v>
      </c>
      <c r="F366" s="524" t="s">
        <v>1183</v>
      </c>
      <c r="G366" s="524" t="s">
        <v>758</v>
      </c>
      <c r="H366" s="527">
        <v>4100</v>
      </c>
      <c r="I366" s="524" t="s">
        <v>1174</v>
      </c>
      <c r="J366" s="524">
        <f>IF(cmf[[#This Row],[D/C]]="C",cmf[[#This Row],[Valor]],-1*cmf[[#This Row],[Valor]])</f>
        <v>-4100</v>
      </c>
      <c r="L366" s="524" t="s">
        <v>1188</v>
      </c>
      <c r="M366" s="524" t="s">
        <v>1189</v>
      </c>
      <c r="N366" s="524" t="s">
        <v>1223</v>
      </c>
      <c r="O366" s="524" t="s">
        <v>1224</v>
      </c>
      <c r="P366" s="526">
        <v>46209</v>
      </c>
      <c r="S366" s="527">
        <v>0</v>
      </c>
    </row>
    <row r="367" spans="1:19" x14ac:dyDescent="0.2">
      <c r="A367" s="524">
        <v>68701</v>
      </c>
      <c r="B367" s="526">
        <v>46209</v>
      </c>
      <c r="C367" s="524" t="s">
        <v>1148</v>
      </c>
      <c r="D367" s="524" t="s">
        <v>1186</v>
      </c>
      <c r="E367" s="524" t="s">
        <v>1469</v>
      </c>
      <c r="F367" s="524" t="s">
        <v>1183</v>
      </c>
      <c r="G367" s="524" t="s">
        <v>763</v>
      </c>
      <c r="H367" s="527">
        <v>200.12</v>
      </c>
      <c r="I367" s="524" t="s">
        <v>1174</v>
      </c>
      <c r="J367" s="524">
        <f>IF(cmf[[#This Row],[D/C]]="C",cmf[[#This Row],[Valor]],-1*cmf[[#This Row],[Valor]])</f>
        <v>-200.12</v>
      </c>
      <c r="L367" s="524" t="s">
        <v>1188</v>
      </c>
      <c r="M367" s="524" t="s">
        <v>1189</v>
      </c>
      <c r="N367" s="524" t="s">
        <v>1180</v>
      </c>
      <c r="O367" s="524" t="s">
        <v>1181</v>
      </c>
      <c r="P367" s="526">
        <v>46209</v>
      </c>
      <c r="S367" s="527">
        <v>0</v>
      </c>
    </row>
    <row r="368" spans="1:19" x14ac:dyDescent="0.2">
      <c r="A368" s="524">
        <v>68702</v>
      </c>
      <c r="B368" s="526">
        <v>46209</v>
      </c>
      <c r="C368" s="524" t="s">
        <v>1148</v>
      </c>
      <c r="D368" s="524" t="s">
        <v>1186</v>
      </c>
      <c r="E368" s="524" t="s">
        <v>1470</v>
      </c>
      <c r="F368" s="524" t="s">
        <v>1183</v>
      </c>
      <c r="G368" s="524" t="s">
        <v>763</v>
      </c>
      <c r="H368" s="527">
        <v>833.28</v>
      </c>
      <c r="I368" s="524" t="s">
        <v>1174</v>
      </c>
      <c r="J368" s="524">
        <f>IF(cmf[[#This Row],[D/C]]="C",cmf[[#This Row],[Valor]],-1*cmf[[#This Row],[Valor]])</f>
        <v>-833.28</v>
      </c>
      <c r="L368" s="524" t="s">
        <v>1188</v>
      </c>
      <c r="M368" s="524" t="s">
        <v>1189</v>
      </c>
      <c r="N368" s="524" t="s">
        <v>1180</v>
      </c>
      <c r="O368" s="524" t="s">
        <v>1181</v>
      </c>
      <c r="P368" s="526">
        <v>46209</v>
      </c>
      <c r="S368" s="527">
        <v>0</v>
      </c>
    </row>
    <row r="369" spans="1:19" x14ac:dyDescent="0.2">
      <c r="A369" s="524">
        <v>68703</v>
      </c>
      <c r="B369" s="526">
        <v>46209</v>
      </c>
      <c r="C369" s="524" t="s">
        <v>1148</v>
      </c>
      <c r="D369" s="524" t="s">
        <v>1186</v>
      </c>
      <c r="E369" s="524" t="s">
        <v>1471</v>
      </c>
      <c r="F369" s="524" t="s">
        <v>1183</v>
      </c>
      <c r="G369" s="524" t="s">
        <v>763</v>
      </c>
      <c r="H369" s="527">
        <v>358</v>
      </c>
      <c r="I369" s="524" t="s">
        <v>1174</v>
      </c>
      <c r="J369" s="524">
        <f>IF(cmf[[#This Row],[D/C]]="C",cmf[[#This Row],[Valor]],-1*cmf[[#This Row],[Valor]])</f>
        <v>-358</v>
      </c>
      <c r="L369" s="524" t="s">
        <v>1188</v>
      </c>
      <c r="M369" s="524" t="s">
        <v>1189</v>
      </c>
      <c r="N369" s="524" t="s">
        <v>1180</v>
      </c>
      <c r="O369" s="524" t="s">
        <v>1181</v>
      </c>
      <c r="P369" s="526">
        <v>46209</v>
      </c>
      <c r="S369" s="527">
        <v>0</v>
      </c>
    </row>
    <row r="370" spans="1:19" x14ac:dyDescent="0.2">
      <c r="A370" s="524">
        <v>68704</v>
      </c>
      <c r="B370" s="526">
        <v>46209</v>
      </c>
      <c r="C370" s="524" t="s">
        <v>1148</v>
      </c>
      <c r="D370" s="524" t="s">
        <v>1186</v>
      </c>
      <c r="E370" s="524" t="s">
        <v>1472</v>
      </c>
      <c r="F370" s="524" t="s">
        <v>1183</v>
      </c>
      <c r="G370" s="524" t="s">
        <v>763</v>
      </c>
      <c r="H370" s="527">
        <v>830.06</v>
      </c>
      <c r="I370" s="524" t="s">
        <v>1174</v>
      </c>
      <c r="J370" s="524">
        <f>IF(cmf[[#This Row],[D/C]]="C",cmf[[#This Row],[Valor]],-1*cmf[[#This Row],[Valor]])</f>
        <v>-830.06</v>
      </c>
      <c r="L370" s="524" t="s">
        <v>1188</v>
      </c>
      <c r="M370" s="524" t="s">
        <v>1189</v>
      </c>
      <c r="N370" s="524" t="s">
        <v>1180</v>
      </c>
      <c r="O370" s="524" t="s">
        <v>1181</v>
      </c>
      <c r="P370" s="526">
        <v>46209</v>
      </c>
      <c r="S370" s="527">
        <v>0</v>
      </c>
    </row>
    <row r="371" spans="1:19" x14ac:dyDescent="0.2">
      <c r="A371" s="524">
        <v>68705</v>
      </c>
      <c r="B371" s="526">
        <v>46209</v>
      </c>
      <c r="C371" s="524" t="s">
        <v>1148</v>
      </c>
      <c r="D371" s="524" t="s">
        <v>1186</v>
      </c>
      <c r="E371" s="524" t="s">
        <v>1473</v>
      </c>
      <c r="F371" s="524" t="s">
        <v>1183</v>
      </c>
      <c r="G371" s="524" t="s">
        <v>763</v>
      </c>
      <c r="H371" s="527">
        <v>844.12</v>
      </c>
      <c r="I371" s="524" t="s">
        <v>1174</v>
      </c>
      <c r="J371" s="524">
        <f>IF(cmf[[#This Row],[D/C]]="C",cmf[[#This Row],[Valor]],-1*cmf[[#This Row],[Valor]])</f>
        <v>-844.12</v>
      </c>
      <c r="L371" s="524" t="s">
        <v>1188</v>
      </c>
      <c r="M371" s="524" t="s">
        <v>1189</v>
      </c>
      <c r="N371" s="524" t="s">
        <v>1180</v>
      </c>
      <c r="O371" s="524" t="s">
        <v>1181</v>
      </c>
      <c r="P371" s="526">
        <v>46209</v>
      </c>
      <c r="S371" s="527">
        <v>0</v>
      </c>
    </row>
    <row r="372" spans="1:19" x14ac:dyDescent="0.2">
      <c r="A372" s="524">
        <v>68707</v>
      </c>
      <c r="B372" s="526">
        <v>46209</v>
      </c>
      <c r="C372" s="524" t="s">
        <v>1148</v>
      </c>
      <c r="D372" s="524" t="s">
        <v>1186</v>
      </c>
      <c r="E372" s="524" t="s">
        <v>1474</v>
      </c>
      <c r="F372" s="524" t="s">
        <v>1183</v>
      </c>
      <c r="G372" s="524" t="s">
        <v>763</v>
      </c>
      <c r="H372" s="527">
        <v>278.23</v>
      </c>
      <c r="I372" s="524" t="s">
        <v>1174</v>
      </c>
      <c r="J372" s="524">
        <f>IF(cmf[[#This Row],[D/C]]="C",cmf[[#This Row],[Valor]],-1*cmf[[#This Row],[Valor]])</f>
        <v>-278.23</v>
      </c>
      <c r="L372" s="524" t="s">
        <v>1188</v>
      </c>
      <c r="M372" s="524" t="s">
        <v>1189</v>
      </c>
      <c r="N372" s="524" t="s">
        <v>1180</v>
      </c>
      <c r="O372" s="524" t="s">
        <v>1181</v>
      </c>
      <c r="P372" s="526">
        <v>46209</v>
      </c>
      <c r="S372" s="527">
        <v>0</v>
      </c>
    </row>
    <row r="373" spans="1:19" x14ac:dyDescent="0.2">
      <c r="A373" s="524">
        <v>68708</v>
      </c>
      <c r="B373" s="526">
        <v>46209</v>
      </c>
      <c r="C373" s="524" t="s">
        <v>1148</v>
      </c>
      <c r="D373" s="524" t="s">
        <v>1186</v>
      </c>
      <c r="E373" s="524" t="s">
        <v>1475</v>
      </c>
      <c r="F373" s="524" t="s">
        <v>1183</v>
      </c>
      <c r="G373" s="524" t="s">
        <v>763</v>
      </c>
      <c r="H373" s="527">
        <v>289.5</v>
      </c>
      <c r="I373" s="524" t="s">
        <v>1174</v>
      </c>
      <c r="J373" s="524">
        <f>IF(cmf[[#This Row],[D/C]]="C",cmf[[#This Row],[Valor]],-1*cmf[[#This Row],[Valor]])</f>
        <v>-289.5</v>
      </c>
      <c r="L373" s="524" t="s">
        <v>1188</v>
      </c>
      <c r="M373" s="524" t="s">
        <v>1189</v>
      </c>
      <c r="N373" s="524" t="s">
        <v>1180</v>
      </c>
      <c r="O373" s="524" t="s">
        <v>1181</v>
      </c>
      <c r="P373" s="526">
        <v>46209</v>
      </c>
      <c r="S373" s="527">
        <v>0</v>
      </c>
    </row>
    <row r="374" spans="1:19" x14ac:dyDescent="0.2">
      <c r="A374" s="524">
        <v>68709</v>
      </c>
      <c r="B374" s="526">
        <v>46209</v>
      </c>
      <c r="C374" s="524" t="s">
        <v>1148</v>
      </c>
      <c r="D374" s="524" t="s">
        <v>1186</v>
      </c>
      <c r="E374" s="524" t="s">
        <v>1476</v>
      </c>
      <c r="F374" s="524" t="s">
        <v>1183</v>
      </c>
      <c r="G374" s="524" t="s">
        <v>763</v>
      </c>
      <c r="H374" s="527">
        <v>767</v>
      </c>
      <c r="I374" s="524" t="s">
        <v>1174</v>
      </c>
      <c r="J374" s="524">
        <f>IF(cmf[[#This Row],[D/C]]="C",cmf[[#This Row],[Valor]],-1*cmf[[#This Row],[Valor]])</f>
        <v>-767</v>
      </c>
      <c r="L374" s="524" t="s">
        <v>1188</v>
      </c>
      <c r="M374" s="524" t="s">
        <v>1189</v>
      </c>
      <c r="N374" s="524" t="s">
        <v>1180</v>
      </c>
      <c r="O374" s="524" t="s">
        <v>1181</v>
      </c>
      <c r="P374" s="526">
        <v>46209</v>
      </c>
      <c r="S374" s="527">
        <v>0</v>
      </c>
    </row>
    <row r="375" spans="1:19" x14ac:dyDescent="0.2">
      <c r="A375" s="524">
        <v>68710</v>
      </c>
      <c r="B375" s="526">
        <v>46209</v>
      </c>
      <c r="C375" s="524" t="s">
        <v>1148</v>
      </c>
      <c r="D375" s="524" t="s">
        <v>1186</v>
      </c>
      <c r="E375" s="524" t="s">
        <v>1477</v>
      </c>
      <c r="F375" s="524" t="s">
        <v>1183</v>
      </c>
      <c r="G375" s="524" t="s">
        <v>763</v>
      </c>
      <c r="H375" s="527">
        <v>440</v>
      </c>
      <c r="I375" s="524" t="s">
        <v>1174</v>
      </c>
      <c r="J375" s="524">
        <f>IF(cmf[[#This Row],[D/C]]="C",cmf[[#This Row],[Valor]],-1*cmf[[#This Row],[Valor]])</f>
        <v>-440</v>
      </c>
      <c r="L375" s="524" t="s">
        <v>1188</v>
      </c>
      <c r="M375" s="524" t="s">
        <v>1189</v>
      </c>
      <c r="N375" s="524" t="s">
        <v>1180</v>
      </c>
      <c r="O375" s="524" t="s">
        <v>1181</v>
      </c>
      <c r="P375" s="526">
        <v>46209</v>
      </c>
      <c r="S375" s="527">
        <v>0</v>
      </c>
    </row>
    <row r="376" spans="1:19" x14ac:dyDescent="0.2">
      <c r="A376" s="524">
        <v>68711</v>
      </c>
      <c r="B376" s="526">
        <v>46209</v>
      </c>
      <c r="C376" s="524" t="s">
        <v>1148</v>
      </c>
      <c r="D376" s="524" t="s">
        <v>1186</v>
      </c>
      <c r="E376" s="524" t="s">
        <v>1478</v>
      </c>
      <c r="F376" s="524" t="s">
        <v>1183</v>
      </c>
      <c r="G376" s="524" t="s">
        <v>763</v>
      </c>
      <c r="H376" s="527">
        <v>426.25</v>
      </c>
      <c r="I376" s="524" t="s">
        <v>1174</v>
      </c>
      <c r="J376" s="524">
        <f>IF(cmf[[#This Row],[D/C]]="C",cmf[[#This Row],[Valor]],-1*cmf[[#This Row],[Valor]])</f>
        <v>-426.25</v>
      </c>
      <c r="L376" s="524" t="s">
        <v>1188</v>
      </c>
      <c r="M376" s="524" t="s">
        <v>1189</v>
      </c>
      <c r="N376" s="524" t="s">
        <v>1180</v>
      </c>
      <c r="O376" s="524" t="s">
        <v>1181</v>
      </c>
      <c r="P376" s="526">
        <v>46209</v>
      </c>
      <c r="S376" s="527">
        <v>0</v>
      </c>
    </row>
    <row r="377" spans="1:19" x14ac:dyDescent="0.2">
      <c r="A377" s="524">
        <v>68725</v>
      </c>
      <c r="B377" s="526">
        <v>46209</v>
      </c>
      <c r="C377" s="524" t="s">
        <v>1148</v>
      </c>
      <c r="D377" s="524" t="s">
        <v>1186</v>
      </c>
      <c r="E377" s="524" t="s">
        <v>1479</v>
      </c>
      <c r="F377" s="524" t="s">
        <v>1183</v>
      </c>
      <c r="G377" s="524" t="s">
        <v>742</v>
      </c>
      <c r="H377" s="527">
        <v>5213.71</v>
      </c>
      <c r="I377" s="524" t="s">
        <v>1174</v>
      </c>
      <c r="J377" s="524">
        <f>IF(cmf[[#This Row],[D/C]]="C",cmf[[#This Row],[Valor]],-1*cmf[[#This Row],[Valor]])</f>
        <v>-5213.71</v>
      </c>
      <c r="L377" s="524" t="s">
        <v>1188</v>
      </c>
      <c r="M377" s="524" t="s">
        <v>1189</v>
      </c>
      <c r="N377" s="524" t="s">
        <v>1215</v>
      </c>
      <c r="O377" s="524" t="s">
        <v>1218</v>
      </c>
      <c r="P377" s="526">
        <v>46210</v>
      </c>
      <c r="S377" s="527">
        <v>0</v>
      </c>
    </row>
    <row r="378" spans="1:19" x14ac:dyDescent="0.2">
      <c r="A378" s="524">
        <v>68726</v>
      </c>
      <c r="B378" s="526">
        <v>46209</v>
      </c>
      <c r="C378" s="524" t="s">
        <v>1148</v>
      </c>
      <c r="D378" s="524" t="s">
        <v>1186</v>
      </c>
      <c r="E378" s="524" t="s">
        <v>1480</v>
      </c>
      <c r="F378" s="524" t="s">
        <v>1183</v>
      </c>
      <c r="G378" s="524" t="s">
        <v>742</v>
      </c>
      <c r="H378" s="527">
        <v>5765.1</v>
      </c>
      <c r="I378" s="524" t="s">
        <v>1174</v>
      </c>
      <c r="J378" s="524">
        <f>IF(cmf[[#This Row],[D/C]]="C",cmf[[#This Row],[Valor]],-1*cmf[[#This Row],[Valor]])</f>
        <v>-5765.1</v>
      </c>
      <c r="L378" s="524" t="s">
        <v>1188</v>
      </c>
      <c r="M378" s="524" t="s">
        <v>1189</v>
      </c>
      <c r="N378" s="524" t="s">
        <v>1215</v>
      </c>
      <c r="O378" s="524" t="s">
        <v>1218</v>
      </c>
      <c r="P378" s="526">
        <v>46210</v>
      </c>
      <c r="S378" s="527">
        <v>0</v>
      </c>
    </row>
    <row r="379" spans="1:19" x14ac:dyDescent="0.2">
      <c r="A379" s="524">
        <v>68727</v>
      </c>
      <c r="B379" s="526">
        <v>46209</v>
      </c>
      <c r="C379" s="524" t="s">
        <v>1148</v>
      </c>
      <c r="D379" s="524" t="s">
        <v>1186</v>
      </c>
      <c r="E379" s="524" t="s">
        <v>1481</v>
      </c>
      <c r="F379" s="524" t="s">
        <v>1183</v>
      </c>
      <c r="G379" s="524" t="s">
        <v>742</v>
      </c>
      <c r="H379" s="527">
        <v>2933.15</v>
      </c>
      <c r="I379" s="524" t="s">
        <v>1174</v>
      </c>
      <c r="J379" s="524">
        <f>IF(cmf[[#This Row],[D/C]]="C",cmf[[#This Row],[Valor]],-1*cmf[[#This Row],[Valor]])</f>
        <v>-2933.15</v>
      </c>
      <c r="L379" s="524" t="s">
        <v>1188</v>
      </c>
      <c r="M379" s="524" t="s">
        <v>1189</v>
      </c>
      <c r="N379" s="524" t="s">
        <v>1215</v>
      </c>
      <c r="O379" s="524" t="s">
        <v>1218</v>
      </c>
      <c r="P379" s="526">
        <v>46210</v>
      </c>
      <c r="S379" s="527">
        <v>0</v>
      </c>
    </row>
    <row r="380" spans="1:19" x14ac:dyDescent="0.2">
      <c r="A380" s="524">
        <v>68728</v>
      </c>
      <c r="B380" s="526">
        <v>46209</v>
      </c>
      <c r="C380" s="524" t="s">
        <v>1148</v>
      </c>
      <c r="D380" s="524" t="s">
        <v>1186</v>
      </c>
      <c r="E380" s="524" t="s">
        <v>1482</v>
      </c>
      <c r="F380" s="524" t="s">
        <v>1183</v>
      </c>
      <c r="G380" s="524" t="s">
        <v>742</v>
      </c>
      <c r="H380" s="527">
        <v>365</v>
      </c>
      <c r="I380" s="524" t="s">
        <v>1174</v>
      </c>
      <c r="J380" s="524">
        <f>IF(cmf[[#This Row],[D/C]]="C",cmf[[#This Row],[Valor]],-1*cmf[[#This Row],[Valor]])</f>
        <v>-365</v>
      </c>
      <c r="L380" s="524" t="s">
        <v>1188</v>
      </c>
      <c r="M380" s="524" t="s">
        <v>1189</v>
      </c>
      <c r="N380" s="524" t="s">
        <v>1215</v>
      </c>
      <c r="O380" s="524" t="s">
        <v>1218</v>
      </c>
      <c r="P380" s="526">
        <v>46210</v>
      </c>
      <c r="S380" s="527">
        <v>0</v>
      </c>
    </row>
    <row r="381" spans="1:19" x14ac:dyDescent="0.2">
      <c r="A381" s="524">
        <v>68729</v>
      </c>
      <c r="B381" s="526">
        <v>46209</v>
      </c>
      <c r="C381" s="524" t="s">
        <v>1148</v>
      </c>
      <c r="D381" s="524" t="s">
        <v>1186</v>
      </c>
      <c r="E381" s="524" t="s">
        <v>1483</v>
      </c>
      <c r="F381" s="524" t="s">
        <v>1183</v>
      </c>
      <c r="G381" s="524" t="s">
        <v>742</v>
      </c>
      <c r="H381" s="527">
        <v>549.20000000000005</v>
      </c>
      <c r="I381" s="524" t="s">
        <v>1174</v>
      </c>
      <c r="J381" s="524">
        <f>IF(cmf[[#This Row],[D/C]]="C",cmf[[#This Row],[Valor]],-1*cmf[[#This Row],[Valor]])</f>
        <v>-549.20000000000005</v>
      </c>
      <c r="L381" s="524" t="s">
        <v>1188</v>
      </c>
      <c r="M381" s="524" t="s">
        <v>1189</v>
      </c>
      <c r="N381" s="524" t="s">
        <v>1215</v>
      </c>
      <c r="O381" s="524" t="s">
        <v>1218</v>
      </c>
      <c r="P381" s="526">
        <v>46210</v>
      </c>
      <c r="S381" s="527">
        <v>0</v>
      </c>
    </row>
    <row r="382" spans="1:19" x14ac:dyDescent="0.2">
      <c r="A382" s="524">
        <v>68730</v>
      </c>
      <c r="B382" s="526">
        <v>46209</v>
      </c>
      <c r="C382" s="524" t="s">
        <v>1148</v>
      </c>
      <c r="D382" s="524" t="s">
        <v>1186</v>
      </c>
      <c r="E382" s="524" t="s">
        <v>1484</v>
      </c>
      <c r="F382" s="524" t="s">
        <v>1183</v>
      </c>
      <c r="G382" s="524" t="s">
        <v>742</v>
      </c>
      <c r="H382" s="527">
        <v>856.59</v>
      </c>
      <c r="I382" s="524" t="s">
        <v>1174</v>
      </c>
      <c r="J382" s="524">
        <f>IF(cmf[[#This Row],[D/C]]="C",cmf[[#This Row],[Valor]],-1*cmf[[#This Row],[Valor]])</f>
        <v>-856.59</v>
      </c>
      <c r="L382" s="524" t="s">
        <v>1188</v>
      </c>
      <c r="M382" s="524" t="s">
        <v>1189</v>
      </c>
      <c r="N382" s="524" t="s">
        <v>1215</v>
      </c>
      <c r="O382" s="524" t="s">
        <v>1218</v>
      </c>
      <c r="P382" s="526">
        <v>46210</v>
      </c>
      <c r="S382" s="527">
        <v>0</v>
      </c>
    </row>
    <row r="383" spans="1:19" x14ac:dyDescent="0.2">
      <c r="A383" s="524">
        <v>68731</v>
      </c>
      <c r="B383" s="526">
        <v>46209</v>
      </c>
      <c r="C383" s="524" t="s">
        <v>1148</v>
      </c>
      <c r="D383" s="524" t="s">
        <v>1186</v>
      </c>
      <c r="E383" s="524" t="s">
        <v>1485</v>
      </c>
      <c r="F383" s="524" t="s">
        <v>1183</v>
      </c>
      <c r="G383" s="524" t="s">
        <v>742</v>
      </c>
      <c r="H383" s="527">
        <v>109.9</v>
      </c>
      <c r="I383" s="524" t="s">
        <v>1174</v>
      </c>
      <c r="J383" s="524">
        <f>IF(cmf[[#This Row],[D/C]]="C",cmf[[#This Row],[Valor]],-1*cmf[[#This Row],[Valor]])</f>
        <v>-109.9</v>
      </c>
      <c r="L383" s="524" t="s">
        <v>1188</v>
      </c>
      <c r="M383" s="524" t="s">
        <v>1189</v>
      </c>
      <c r="N383" s="524" t="s">
        <v>1215</v>
      </c>
      <c r="O383" s="524" t="s">
        <v>1218</v>
      </c>
      <c r="P383" s="526">
        <v>46210</v>
      </c>
      <c r="S383" s="527">
        <v>0</v>
      </c>
    </row>
    <row r="384" spans="1:19" x14ac:dyDescent="0.2">
      <c r="A384" s="524">
        <v>68733</v>
      </c>
      <c r="B384" s="526">
        <v>46209</v>
      </c>
      <c r="C384" s="524" t="s">
        <v>1148</v>
      </c>
      <c r="D384" s="524" t="s">
        <v>1186</v>
      </c>
      <c r="E384" s="524" t="s">
        <v>1486</v>
      </c>
      <c r="F384" s="524" t="s">
        <v>1183</v>
      </c>
      <c r="G384" s="524" t="s">
        <v>742</v>
      </c>
      <c r="H384" s="527">
        <v>113.58</v>
      </c>
      <c r="I384" s="524" t="s">
        <v>1174</v>
      </c>
      <c r="J384" s="524">
        <f>IF(cmf[[#This Row],[D/C]]="C",cmf[[#This Row],[Valor]],-1*cmf[[#This Row],[Valor]])</f>
        <v>-113.58</v>
      </c>
      <c r="L384" s="524" t="s">
        <v>1188</v>
      </c>
      <c r="M384" s="524" t="s">
        <v>1189</v>
      </c>
      <c r="N384" s="524" t="s">
        <v>1215</v>
      </c>
      <c r="O384" s="524" t="s">
        <v>1218</v>
      </c>
      <c r="P384" s="526">
        <v>46210</v>
      </c>
      <c r="S384" s="527">
        <v>0</v>
      </c>
    </row>
    <row r="385" spans="1:19" x14ac:dyDescent="0.2">
      <c r="A385" s="524">
        <v>68734</v>
      </c>
      <c r="B385" s="526">
        <v>46209</v>
      </c>
      <c r="C385" s="524" t="s">
        <v>1148</v>
      </c>
      <c r="D385" s="524" t="s">
        <v>1186</v>
      </c>
      <c r="E385" s="524" t="s">
        <v>1487</v>
      </c>
      <c r="F385" s="524" t="s">
        <v>1183</v>
      </c>
      <c r="G385" s="524" t="s">
        <v>742</v>
      </c>
      <c r="H385" s="527">
        <v>1659.83</v>
      </c>
      <c r="I385" s="524" t="s">
        <v>1174</v>
      </c>
      <c r="J385" s="524">
        <f>IF(cmf[[#This Row],[D/C]]="C",cmf[[#This Row],[Valor]],-1*cmf[[#This Row],[Valor]])</f>
        <v>-1659.83</v>
      </c>
      <c r="L385" s="524" t="s">
        <v>1188</v>
      </c>
      <c r="M385" s="524" t="s">
        <v>1189</v>
      </c>
      <c r="N385" s="524" t="s">
        <v>1215</v>
      </c>
      <c r="O385" s="524" t="s">
        <v>1218</v>
      </c>
      <c r="P385" s="526">
        <v>46210</v>
      </c>
      <c r="S385" s="527">
        <v>0</v>
      </c>
    </row>
    <row r="386" spans="1:19" x14ac:dyDescent="0.2">
      <c r="A386" s="524">
        <v>68735</v>
      </c>
      <c r="B386" s="526">
        <v>46209</v>
      </c>
      <c r="C386" s="524" t="s">
        <v>1148</v>
      </c>
      <c r="D386" s="524" t="s">
        <v>1186</v>
      </c>
      <c r="E386" s="524" t="s">
        <v>1488</v>
      </c>
      <c r="F386" s="524" t="s">
        <v>1183</v>
      </c>
      <c r="G386" s="524" t="s">
        <v>742</v>
      </c>
      <c r="H386" s="527">
        <v>5750</v>
      </c>
      <c r="I386" s="524" t="s">
        <v>1174</v>
      </c>
      <c r="J386" s="524">
        <f>IF(cmf[[#This Row],[D/C]]="C",cmf[[#This Row],[Valor]],-1*cmf[[#This Row],[Valor]])</f>
        <v>-5750</v>
      </c>
      <c r="L386" s="524" t="s">
        <v>1188</v>
      </c>
      <c r="M386" s="524" t="s">
        <v>1189</v>
      </c>
      <c r="N386" s="524" t="s">
        <v>1215</v>
      </c>
      <c r="O386" s="524" t="s">
        <v>1218</v>
      </c>
      <c r="P386" s="526">
        <v>46210</v>
      </c>
      <c r="S386" s="527">
        <v>0</v>
      </c>
    </row>
    <row r="387" spans="1:19" x14ac:dyDescent="0.2">
      <c r="A387" s="524">
        <v>68736</v>
      </c>
      <c r="B387" s="526">
        <v>46209</v>
      </c>
      <c r="C387" s="524" t="s">
        <v>1148</v>
      </c>
      <c r="D387" s="524" t="s">
        <v>1186</v>
      </c>
      <c r="E387" s="524" t="s">
        <v>1489</v>
      </c>
      <c r="F387" s="524" t="s">
        <v>1183</v>
      </c>
      <c r="G387" s="524" t="s">
        <v>742</v>
      </c>
      <c r="H387" s="527">
        <v>2020.7</v>
      </c>
      <c r="I387" s="524" t="s">
        <v>1174</v>
      </c>
      <c r="J387" s="524">
        <f>IF(cmf[[#This Row],[D/C]]="C",cmf[[#This Row],[Valor]],-1*cmf[[#This Row],[Valor]])</f>
        <v>-2020.7</v>
      </c>
      <c r="L387" s="524" t="s">
        <v>1188</v>
      </c>
      <c r="M387" s="524" t="s">
        <v>1189</v>
      </c>
      <c r="N387" s="524" t="s">
        <v>1215</v>
      </c>
      <c r="O387" s="524" t="s">
        <v>1218</v>
      </c>
      <c r="P387" s="526">
        <v>46210</v>
      </c>
      <c r="S387" s="527">
        <v>0</v>
      </c>
    </row>
    <row r="388" spans="1:19" x14ac:dyDescent="0.2">
      <c r="A388" s="524">
        <v>68737</v>
      </c>
      <c r="B388" s="526">
        <v>46209</v>
      </c>
      <c r="C388" s="524" t="s">
        <v>1148</v>
      </c>
      <c r="D388" s="524" t="s">
        <v>1186</v>
      </c>
      <c r="E388" s="524" t="s">
        <v>1490</v>
      </c>
      <c r="F388" s="524" t="s">
        <v>1183</v>
      </c>
      <c r="G388" s="524" t="s">
        <v>742</v>
      </c>
      <c r="H388" s="527">
        <v>5213.71</v>
      </c>
      <c r="I388" s="524" t="s">
        <v>1174</v>
      </c>
      <c r="J388" s="524">
        <f>IF(cmf[[#This Row],[D/C]]="C",cmf[[#This Row],[Valor]],-1*cmf[[#This Row],[Valor]])</f>
        <v>-5213.71</v>
      </c>
      <c r="L388" s="524" t="s">
        <v>1188</v>
      </c>
      <c r="M388" s="524" t="s">
        <v>1189</v>
      </c>
      <c r="N388" s="524" t="s">
        <v>1215</v>
      </c>
      <c r="O388" s="524" t="s">
        <v>1218</v>
      </c>
      <c r="P388" s="526">
        <v>46210</v>
      </c>
      <c r="S388" s="527">
        <v>0</v>
      </c>
    </row>
    <row r="389" spans="1:19" x14ac:dyDescent="0.2">
      <c r="A389" s="524">
        <v>68738</v>
      </c>
      <c r="B389" s="526">
        <v>46209</v>
      </c>
      <c r="C389" s="524" t="s">
        <v>1148</v>
      </c>
      <c r="D389" s="524" t="s">
        <v>1186</v>
      </c>
      <c r="E389" s="524" t="s">
        <v>1491</v>
      </c>
      <c r="F389" s="524" t="s">
        <v>1183</v>
      </c>
      <c r="G389" s="524" t="s">
        <v>742</v>
      </c>
      <c r="H389" s="527">
        <v>3500</v>
      </c>
      <c r="I389" s="524" t="s">
        <v>1174</v>
      </c>
      <c r="J389" s="524">
        <f>IF(cmf[[#This Row],[D/C]]="C",cmf[[#This Row],[Valor]],-1*cmf[[#This Row],[Valor]])</f>
        <v>-3500</v>
      </c>
      <c r="L389" s="524" t="s">
        <v>1188</v>
      </c>
      <c r="M389" s="524" t="s">
        <v>1189</v>
      </c>
      <c r="N389" s="524" t="s">
        <v>1215</v>
      </c>
      <c r="O389" s="524" t="s">
        <v>1218</v>
      </c>
      <c r="P389" s="526">
        <v>46210</v>
      </c>
      <c r="S389" s="527">
        <v>0</v>
      </c>
    </row>
    <row r="390" spans="1:19" x14ac:dyDescent="0.2">
      <c r="A390" s="524">
        <v>68739</v>
      </c>
      <c r="B390" s="526">
        <v>46209</v>
      </c>
      <c r="C390" s="524" t="s">
        <v>1148</v>
      </c>
      <c r="D390" s="524" t="s">
        <v>1186</v>
      </c>
      <c r="E390" s="524" t="s">
        <v>1492</v>
      </c>
      <c r="F390" s="524" t="s">
        <v>1183</v>
      </c>
      <c r="G390" s="524" t="s">
        <v>742</v>
      </c>
      <c r="H390" s="527">
        <v>704</v>
      </c>
      <c r="I390" s="524" t="s">
        <v>1174</v>
      </c>
      <c r="J390" s="524">
        <f>IF(cmf[[#This Row],[D/C]]="C",cmf[[#This Row],[Valor]],-1*cmf[[#This Row],[Valor]])</f>
        <v>-704</v>
      </c>
      <c r="L390" s="524" t="s">
        <v>1188</v>
      </c>
      <c r="M390" s="524" t="s">
        <v>1189</v>
      </c>
      <c r="N390" s="524" t="s">
        <v>1215</v>
      </c>
      <c r="O390" s="524" t="s">
        <v>1218</v>
      </c>
      <c r="P390" s="526">
        <v>46210</v>
      </c>
      <c r="S390" s="527">
        <v>0</v>
      </c>
    </row>
    <row r="391" spans="1:19" x14ac:dyDescent="0.2">
      <c r="A391" s="524">
        <v>68801</v>
      </c>
      <c r="B391" s="526">
        <v>46209</v>
      </c>
      <c r="C391" s="524" t="s">
        <v>1148</v>
      </c>
      <c r="D391" s="524" t="s">
        <v>1186</v>
      </c>
      <c r="E391" s="524" t="s">
        <v>1493</v>
      </c>
      <c r="F391" s="524" t="s">
        <v>1183</v>
      </c>
      <c r="G391" s="524" t="s">
        <v>742</v>
      </c>
      <c r="H391" s="527">
        <v>1000.6</v>
      </c>
      <c r="I391" s="524" t="s">
        <v>1174</v>
      </c>
      <c r="J391" s="524">
        <f>IF(cmf[[#This Row],[D/C]]="C",cmf[[#This Row],[Valor]],-1*cmf[[#This Row],[Valor]])</f>
        <v>-1000.6</v>
      </c>
      <c r="L391" s="524" t="s">
        <v>1188</v>
      </c>
      <c r="M391" s="524" t="s">
        <v>1189</v>
      </c>
      <c r="N391" s="524" t="s">
        <v>1215</v>
      </c>
      <c r="O391" s="524" t="s">
        <v>1218</v>
      </c>
      <c r="P391" s="526">
        <v>46209</v>
      </c>
      <c r="S391" s="527">
        <v>0</v>
      </c>
    </row>
    <row r="392" spans="1:19" x14ac:dyDescent="0.2">
      <c r="A392" s="524">
        <v>68809</v>
      </c>
      <c r="B392" s="526">
        <v>46209</v>
      </c>
      <c r="C392" s="524" t="s">
        <v>1148</v>
      </c>
      <c r="D392" s="524" t="s">
        <v>1186</v>
      </c>
      <c r="E392" s="524" t="s">
        <v>1494</v>
      </c>
      <c r="F392" s="524" t="s">
        <v>1183</v>
      </c>
      <c r="G392" s="524" t="s">
        <v>1304</v>
      </c>
      <c r="H392" s="527">
        <v>716.29</v>
      </c>
      <c r="I392" s="524" t="s">
        <v>1174</v>
      </c>
      <c r="J392" s="524">
        <f>IF(cmf[[#This Row],[D/C]]="C",cmf[[#This Row],[Valor]],-1*cmf[[#This Row],[Valor]])</f>
        <v>-716.29</v>
      </c>
      <c r="L392" s="524" t="s">
        <v>1188</v>
      </c>
      <c r="M392" s="524" t="s">
        <v>1189</v>
      </c>
      <c r="N392" s="524" t="s">
        <v>1305</v>
      </c>
      <c r="O392" s="524" t="s">
        <v>1306</v>
      </c>
      <c r="P392" s="526">
        <v>46209</v>
      </c>
      <c r="S392" s="527">
        <v>0</v>
      </c>
    </row>
    <row r="393" spans="1:19" x14ac:dyDescent="0.2">
      <c r="A393" s="524">
        <v>68810</v>
      </c>
      <c r="B393" s="526">
        <v>46209</v>
      </c>
      <c r="C393" s="524" t="s">
        <v>1148</v>
      </c>
      <c r="D393" s="524" t="s">
        <v>1186</v>
      </c>
      <c r="E393" s="524" t="s">
        <v>1495</v>
      </c>
      <c r="F393" s="524" t="s">
        <v>1183</v>
      </c>
      <c r="G393" s="524" t="s">
        <v>1304</v>
      </c>
      <c r="H393" s="527">
        <v>745</v>
      </c>
      <c r="I393" s="524" t="s">
        <v>1174</v>
      </c>
      <c r="J393" s="524">
        <f>IF(cmf[[#This Row],[D/C]]="C",cmf[[#This Row],[Valor]],-1*cmf[[#This Row],[Valor]])</f>
        <v>-745</v>
      </c>
      <c r="L393" s="524" t="s">
        <v>1188</v>
      </c>
      <c r="M393" s="524" t="s">
        <v>1189</v>
      </c>
      <c r="N393" s="524" t="s">
        <v>1305</v>
      </c>
      <c r="O393" s="524" t="s">
        <v>1306</v>
      </c>
      <c r="P393" s="526">
        <v>46209</v>
      </c>
      <c r="S393" s="527">
        <v>0</v>
      </c>
    </row>
    <row r="394" spans="1:19" x14ac:dyDescent="0.2">
      <c r="A394" s="524">
        <v>68811</v>
      </c>
      <c r="B394" s="526">
        <v>46209</v>
      </c>
      <c r="C394" s="524" t="s">
        <v>1148</v>
      </c>
      <c r="D394" s="524" t="s">
        <v>1186</v>
      </c>
      <c r="E394" s="524" t="s">
        <v>1496</v>
      </c>
      <c r="F394" s="524" t="s">
        <v>943</v>
      </c>
      <c r="G394" s="524" t="s">
        <v>743</v>
      </c>
      <c r="H394" s="527">
        <v>108874.44</v>
      </c>
      <c r="I394" s="524" t="s">
        <v>1174</v>
      </c>
      <c r="J394" s="524">
        <f>IF(cmf[[#This Row],[D/C]]="C",cmf[[#This Row],[Valor]],-1*cmf[[#This Row],[Valor]])</f>
        <v>-108874.44</v>
      </c>
      <c r="L394" s="524" t="s">
        <v>1188</v>
      </c>
      <c r="M394" s="524" t="s">
        <v>1189</v>
      </c>
      <c r="N394" s="524" t="s">
        <v>1215</v>
      </c>
      <c r="O394" s="524" t="s">
        <v>1218</v>
      </c>
      <c r="P394" s="526">
        <v>46209</v>
      </c>
      <c r="S394" s="527">
        <v>0</v>
      </c>
    </row>
    <row r="395" spans="1:19" x14ac:dyDescent="0.2">
      <c r="A395" s="524">
        <v>68888</v>
      </c>
      <c r="B395" s="526">
        <v>46209</v>
      </c>
      <c r="C395" s="524" t="s">
        <v>1148</v>
      </c>
      <c r="D395" s="524" t="s">
        <v>1186</v>
      </c>
      <c r="E395" s="524" t="s">
        <v>1497</v>
      </c>
      <c r="F395" s="524" t="s">
        <v>1183</v>
      </c>
      <c r="G395" s="524" t="s">
        <v>803</v>
      </c>
      <c r="H395" s="527">
        <v>99994.27</v>
      </c>
      <c r="I395" s="524" t="s">
        <v>1174</v>
      </c>
      <c r="J395" s="524">
        <f>IF(cmf[[#This Row],[D/C]]="C",cmf[[#This Row],[Valor]],-1*cmf[[#This Row],[Valor]])</f>
        <v>-99994.27</v>
      </c>
      <c r="L395" s="524" t="s">
        <v>1188</v>
      </c>
      <c r="M395" s="524" t="s">
        <v>1189</v>
      </c>
      <c r="N395" s="524" t="s">
        <v>1192</v>
      </c>
      <c r="O395" s="524" t="s">
        <v>1193</v>
      </c>
      <c r="P395" s="526">
        <v>46209</v>
      </c>
      <c r="S395" s="527">
        <v>0</v>
      </c>
    </row>
    <row r="396" spans="1:19" x14ac:dyDescent="0.2">
      <c r="A396" s="524">
        <v>68889</v>
      </c>
      <c r="B396" s="526">
        <v>46209</v>
      </c>
      <c r="C396" s="524" t="s">
        <v>1148</v>
      </c>
      <c r="D396" s="524" t="s">
        <v>1186</v>
      </c>
      <c r="E396" s="524" t="s">
        <v>1498</v>
      </c>
      <c r="F396" s="524" t="s">
        <v>1183</v>
      </c>
      <c r="G396" s="524" t="s">
        <v>803</v>
      </c>
      <c r="H396" s="527">
        <v>99250</v>
      </c>
      <c r="I396" s="524" t="s">
        <v>1174</v>
      </c>
      <c r="J396" s="524">
        <f>IF(cmf[[#This Row],[D/C]]="C",cmf[[#This Row],[Valor]],-1*cmf[[#This Row],[Valor]])</f>
        <v>-99250</v>
      </c>
      <c r="L396" s="524" t="s">
        <v>1188</v>
      </c>
      <c r="M396" s="524" t="s">
        <v>1189</v>
      </c>
      <c r="N396" s="524" t="s">
        <v>1192</v>
      </c>
      <c r="O396" s="524" t="s">
        <v>1193</v>
      </c>
      <c r="P396" s="526">
        <v>46209</v>
      </c>
      <c r="S396" s="527">
        <v>0</v>
      </c>
    </row>
    <row r="397" spans="1:19" x14ac:dyDescent="0.2">
      <c r="A397" s="524">
        <v>68890</v>
      </c>
      <c r="B397" s="526">
        <v>46209</v>
      </c>
      <c r="C397" s="524" t="s">
        <v>1148</v>
      </c>
      <c r="D397" s="524" t="s">
        <v>1186</v>
      </c>
      <c r="E397" s="524" t="s">
        <v>1499</v>
      </c>
      <c r="F397" s="524" t="s">
        <v>1183</v>
      </c>
      <c r="G397" s="524" t="s">
        <v>803</v>
      </c>
      <c r="H397" s="527">
        <v>57960.12</v>
      </c>
      <c r="I397" s="524" t="s">
        <v>1174</v>
      </c>
      <c r="J397" s="524">
        <f>IF(cmf[[#This Row],[D/C]]="C",cmf[[#This Row],[Valor]],-1*cmf[[#This Row],[Valor]])</f>
        <v>-57960.12</v>
      </c>
      <c r="L397" s="524" t="s">
        <v>1188</v>
      </c>
      <c r="M397" s="524" t="s">
        <v>1189</v>
      </c>
      <c r="N397" s="524" t="s">
        <v>1192</v>
      </c>
      <c r="O397" s="524" t="s">
        <v>1193</v>
      </c>
      <c r="P397" s="526">
        <v>46209</v>
      </c>
      <c r="S397" s="527">
        <v>0</v>
      </c>
    </row>
    <row r="398" spans="1:19" x14ac:dyDescent="0.2">
      <c r="A398" s="524">
        <v>68891</v>
      </c>
      <c r="B398" s="526">
        <v>46209</v>
      </c>
      <c r="C398" s="524" t="s">
        <v>1148</v>
      </c>
      <c r="D398" s="524" t="s">
        <v>1186</v>
      </c>
      <c r="E398" s="524" t="s">
        <v>1500</v>
      </c>
      <c r="F398" s="524" t="s">
        <v>1183</v>
      </c>
      <c r="G398" s="524" t="s">
        <v>803</v>
      </c>
      <c r="H398" s="527">
        <v>49807.09</v>
      </c>
      <c r="I398" s="524" t="s">
        <v>1174</v>
      </c>
      <c r="J398" s="524">
        <f>IF(cmf[[#This Row],[D/C]]="C",cmf[[#This Row],[Valor]],-1*cmf[[#This Row],[Valor]])</f>
        <v>-49807.09</v>
      </c>
      <c r="L398" s="524" t="s">
        <v>1188</v>
      </c>
      <c r="M398" s="524" t="s">
        <v>1189</v>
      </c>
      <c r="N398" s="524" t="s">
        <v>1192</v>
      </c>
      <c r="O398" s="524" t="s">
        <v>1193</v>
      </c>
      <c r="P398" s="526">
        <v>46209</v>
      </c>
      <c r="S398" s="527">
        <v>0</v>
      </c>
    </row>
    <row r="399" spans="1:19" x14ac:dyDescent="0.2">
      <c r="A399" s="524">
        <v>68892</v>
      </c>
      <c r="B399" s="526">
        <v>46209</v>
      </c>
      <c r="C399" s="524" t="s">
        <v>1148</v>
      </c>
      <c r="D399" s="524" t="s">
        <v>1186</v>
      </c>
      <c r="E399" s="524" t="s">
        <v>1501</v>
      </c>
      <c r="F399" s="524" t="s">
        <v>1183</v>
      </c>
      <c r="G399" s="524" t="s">
        <v>803</v>
      </c>
      <c r="H399" s="527">
        <v>49552.25</v>
      </c>
      <c r="I399" s="524" t="s">
        <v>1174</v>
      </c>
      <c r="J399" s="524">
        <f>IF(cmf[[#This Row],[D/C]]="C",cmf[[#This Row],[Valor]],-1*cmf[[#This Row],[Valor]])</f>
        <v>-49552.25</v>
      </c>
      <c r="L399" s="524" t="s">
        <v>1188</v>
      </c>
      <c r="M399" s="524" t="s">
        <v>1189</v>
      </c>
      <c r="N399" s="524" t="s">
        <v>1192</v>
      </c>
      <c r="O399" s="524" t="s">
        <v>1193</v>
      </c>
      <c r="P399" s="526">
        <v>46209</v>
      </c>
      <c r="S399" s="527">
        <v>0</v>
      </c>
    </row>
    <row r="400" spans="1:19" x14ac:dyDescent="0.2">
      <c r="A400" s="524">
        <v>68893</v>
      </c>
      <c r="B400" s="526">
        <v>46209</v>
      </c>
      <c r="C400" s="524" t="s">
        <v>1148</v>
      </c>
      <c r="D400" s="524" t="s">
        <v>1186</v>
      </c>
      <c r="E400" s="524" t="s">
        <v>1502</v>
      </c>
      <c r="F400" s="524" t="s">
        <v>1183</v>
      </c>
      <c r="G400" s="524" t="s">
        <v>803</v>
      </c>
      <c r="H400" s="527">
        <v>45000</v>
      </c>
      <c r="I400" s="524" t="s">
        <v>1174</v>
      </c>
      <c r="J400" s="524">
        <f>IF(cmf[[#This Row],[D/C]]="C",cmf[[#This Row],[Valor]],-1*cmf[[#This Row],[Valor]])</f>
        <v>-45000</v>
      </c>
      <c r="L400" s="524" t="s">
        <v>1188</v>
      </c>
      <c r="M400" s="524" t="s">
        <v>1189</v>
      </c>
      <c r="N400" s="524" t="s">
        <v>1192</v>
      </c>
      <c r="O400" s="524" t="s">
        <v>1193</v>
      </c>
      <c r="P400" s="526">
        <v>46209</v>
      </c>
      <c r="S400" s="527">
        <v>0</v>
      </c>
    </row>
    <row r="401" spans="1:19" x14ac:dyDescent="0.2">
      <c r="A401" s="524">
        <v>68894</v>
      </c>
      <c r="B401" s="526">
        <v>46209</v>
      </c>
      <c r="C401" s="524" t="s">
        <v>1148</v>
      </c>
      <c r="D401" s="524" t="s">
        <v>1186</v>
      </c>
      <c r="E401" s="524" t="s">
        <v>1503</v>
      </c>
      <c r="F401" s="524" t="s">
        <v>1183</v>
      </c>
      <c r="G401" s="524" t="s">
        <v>803</v>
      </c>
      <c r="H401" s="527">
        <v>39864.83</v>
      </c>
      <c r="I401" s="524" t="s">
        <v>1174</v>
      </c>
      <c r="J401" s="524">
        <f>IF(cmf[[#This Row],[D/C]]="C",cmf[[#This Row],[Valor]],-1*cmf[[#This Row],[Valor]])</f>
        <v>-39864.83</v>
      </c>
      <c r="L401" s="524" t="s">
        <v>1188</v>
      </c>
      <c r="M401" s="524" t="s">
        <v>1189</v>
      </c>
      <c r="N401" s="524" t="s">
        <v>1192</v>
      </c>
      <c r="O401" s="524" t="s">
        <v>1193</v>
      </c>
      <c r="P401" s="526">
        <v>46209</v>
      </c>
      <c r="S401" s="527">
        <v>0</v>
      </c>
    </row>
    <row r="402" spans="1:19" x14ac:dyDescent="0.2">
      <c r="A402" s="524">
        <v>68895</v>
      </c>
      <c r="B402" s="526">
        <v>46209</v>
      </c>
      <c r="C402" s="524" t="s">
        <v>1148</v>
      </c>
      <c r="D402" s="524" t="s">
        <v>1186</v>
      </c>
      <c r="E402" s="524" t="s">
        <v>1504</v>
      </c>
      <c r="F402" s="524" t="s">
        <v>1183</v>
      </c>
      <c r="G402" s="524" t="s">
        <v>803</v>
      </c>
      <c r="H402" s="527">
        <v>12199.2</v>
      </c>
      <c r="I402" s="524" t="s">
        <v>1174</v>
      </c>
      <c r="J402" s="524">
        <f>IF(cmf[[#This Row],[D/C]]="C",cmf[[#This Row],[Valor]],-1*cmf[[#This Row],[Valor]])</f>
        <v>-12199.2</v>
      </c>
      <c r="L402" s="524" t="s">
        <v>1188</v>
      </c>
      <c r="M402" s="524" t="s">
        <v>1189</v>
      </c>
      <c r="N402" s="524" t="s">
        <v>1192</v>
      </c>
      <c r="O402" s="524" t="s">
        <v>1193</v>
      </c>
      <c r="P402" s="526">
        <v>46209</v>
      </c>
      <c r="S402" s="527">
        <v>0</v>
      </c>
    </row>
    <row r="403" spans="1:19" x14ac:dyDescent="0.2">
      <c r="A403" s="524">
        <v>68896</v>
      </c>
      <c r="B403" s="526">
        <v>46209</v>
      </c>
      <c r="C403" s="524" t="s">
        <v>1148</v>
      </c>
      <c r="D403" s="524" t="s">
        <v>1186</v>
      </c>
      <c r="E403" s="524" t="s">
        <v>1505</v>
      </c>
      <c r="F403" s="524" t="s">
        <v>1183</v>
      </c>
      <c r="G403" s="524" t="s">
        <v>803</v>
      </c>
      <c r="H403" s="527">
        <v>8615.7999999999993</v>
      </c>
      <c r="I403" s="524" t="s">
        <v>1174</v>
      </c>
      <c r="J403" s="524">
        <f>IF(cmf[[#This Row],[D/C]]="C",cmf[[#This Row],[Valor]],-1*cmf[[#This Row],[Valor]])</f>
        <v>-8615.7999999999993</v>
      </c>
      <c r="L403" s="524" t="s">
        <v>1188</v>
      </c>
      <c r="M403" s="524" t="s">
        <v>1189</v>
      </c>
      <c r="N403" s="524" t="s">
        <v>1192</v>
      </c>
      <c r="O403" s="524" t="s">
        <v>1193</v>
      </c>
      <c r="P403" s="526">
        <v>46209</v>
      </c>
      <c r="S403" s="527">
        <v>0</v>
      </c>
    </row>
    <row r="404" spans="1:19" x14ac:dyDescent="0.2">
      <c r="A404" s="524">
        <v>68897</v>
      </c>
      <c r="B404" s="526">
        <v>46209</v>
      </c>
      <c r="C404" s="524" t="s">
        <v>1148</v>
      </c>
      <c r="D404" s="524" t="s">
        <v>1186</v>
      </c>
      <c r="E404" s="524" t="s">
        <v>1506</v>
      </c>
      <c r="F404" s="524" t="s">
        <v>1183</v>
      </c>
      <c r="G404" s="524" t="s">
        <v>803</v>
      </c>
      <c r="H404" s="527">
        <v>6965.8</v>
      </c>
      <c r="I404" s="524" t="s">
        <v>1174</v>
      </c>
      <c r="J404" s="524">
        <f>IF(cmf[[#This Row],[D/C]]="C",cmf[[#This Row],[Valor]],-1*cmf[[#This Row],[Valor]])</f>
        <v>-6965.8</v>
      </c>
      <c r="L404" s="524" t="s">
        <v>1188</v>
      </c>
      <c r="M404" s="524" t="s">
        <v>1189</v>
      </c>
      <c r="N404" s="524" t="s">
        <v>1192</v>
      </c>
      <c r="O404" s="524" t="s">
        <v>1193</v>
      </c>
      <c r="P404" s="526">
        <v>46209</v>
      </c>
      <c r="S404" s="527">
        <v>0</v>
      </c>
    </row>
    <row r="405" spans="1:19" x14ac:dyDescent="0.2">
      <c r="A405" s="524">
        <v>68898</v>
      </c>
      <c r="B405" s="526">
        <v>46209</v>
      </c>
      <c r="C405" s="524" t="s">
        <v>1148</v>
      </c>
      <c r="D405" s="524" t="s">
        <v>1186</v>
      </c>
      <c r="E405" s="524" t="s">
        <v>1507</v>
      </c>
      <c r="F405" s="524" t="s">
        <v>1183</v>
      </c>
      <c r="G405" s="524" t="s">
        <v>803</v>
      </c>
      <c r="H405" s="527">
        <v>5868</v>
      </c>
      <c r="I405" s="524" t="s">
        <v>1174</v>
      </c>
      <c r="J405" s="524">
        <f>IF(cmf[[#This Row],[D/C]]="C",cmf[[#This Row],[Valor]],-1*cmf[[#This Row],[Valor]])</f>
        <v>-5868</v>
      </c>
      <c r="L405" s="524" t="s">
        <v>1188</v>
      </c>
      <c r="M405" s="524" t="s">
        <v>1189</v>
      </c>
      <c r="N405" s="524" t="s">
        <v>1192</v>
      </c>
      <c r="O405" s="524" t="s">
        <v>1193</v>
      </c>
      <c r="P405" s="526">
        <v>46209</v>
      </c>
      <c r="S405" s="527">
        <v>0</v>
      </c>
    </row>
    <row r="406" spans="1:19" x14ac:dyDescent="0.2">
      <c r="A406" s="524">
        <v>68899</v>
      </c>
      <c r="B406" s="526">
        <v>46209</v>
      </c>
      <c r="C406" s="524" t="s">
        <v>1148</v>
      </c>
      <c r="D406" s="524" t="s">
        <v>1186</v>
      </c>
      <c r="E406" s="524" t="s">
        <v>1508</v>
      </c>
      <c r="F406" s="524" t="s">
        <v>1183</v>
      </c>
      <c r="G406" s="524" t="s">
        <v>803</v>
      </c>
      <c r="H406" s="527">
        <v>5225.8</v>
      </c>
      <c r="I406" s="524" t="s">
        <v>1174</v>
      </c>
      <c r="J406" s="524">
        <f>IF(cmf[[#This Row],[D/C]]="C",cmf[[#This Row],[Valor]],-1*cmf[[#This Row],[Valor]])</f>
        <v>-5225.8</v>
      </c>
      <c r="L406" s="524" t="s">
        <v>1188</v>
      </c>
      <c r="M406" s="524" t="s">
        <v>1189</v>
      </c>
      <c r="N406" s="524" t="s">
        <v>1192</v>
      </c>
      <c r="O406" s="524" t="s">
        <v>1193</v>
      </c>
      <c r="P406" s="526">
        <v>46209</v>
      </c>
      <c r="S406" s="527">
        <v>0</v>
      </c>
    </row>
    <row r="407" spans="1:19" x14ac:dyDescent="0.2">
      <c r="A407" s="524">
        <v>68900</v>
      </c>
      <c r="B407" s="526">
        <v>46209</v>
      </c>
      <c r="C407" s="524" t="s">
        <v>1148</v>
      </c>
      <c r="D407" s="524" t="s">
        <v>1186</v>
      </c>
      <c r="E407" s="524" t="s">
        <v>1509</v>
      </c>
      <c r="F407" s="524" t="s">
        <v>1183</v>
      </c>
      <c r="G407" s="524" t="s">
        <v>803</v>
      </c>
      <c r="H407" s="527">
        <v>4835.8</v>
      </c>
      <c r="I407" s="524" t="s">
        <v>1174</v>
      </c>
      <c r="J407" s="524">
        <f>IF(cmf[[#This Row],[D/C]]="C",cmf[[#This Row],[Valor]],-1*cmf[[#This Row],[Valor]])</f>
        <v>-4835.8</v>
      </c>
      <c r="L407" s="524" t="s">
        <v>1188</v>
      </c>
      <c r="M407" s="524" t="s">
        <v>1189</v>
      </c>
      <c r="N407" s="524" t="s">
        <v>1192</v>
      </c>
      <c r="O407" s="524" t="s">
        <v>1193</v>
      </c>
      <c r="P407" s="526">
        <v>46209</v>
      </c>
      <c r="S407" s="527">
        <v>0</v>
      </c>
    </row>
    <row r="408" spans="1:19" x14ac:dyDescent="0.2">
      <c r="A408" s="524">
        <v>68901</v>
      </c>
      <c r="B408" s="526">
        <v>46209</v>
      </c>
      <c r="C408" s="524" t="s">
        <v>1148</v>
      </c>
      <c r="D408" s="524" t="s">
        <v>1186</v>
      </c>
      <c r="E408" s="524" t="s">
        <v>1510</v>
      </c>
      <c r="F408" s="524" t="s">
        <v>1183</v>
      </c>
      <c r="G408" s="524" t="s">
        <v>803</v>
      </c>
      <c r="H408" s="527">
        <v>4455</v>
      </c>
      <c r="I408" s="524" t="s">
        <v>1174</v>
      </c>
      <c r="J408" s="524">
        <f>IF(cmf[[#This Row],[D/C]]="C",cmf[[#This Row],[Valor]],-1*cmf[[#This Row],[Valor]])</f>
        <v>-4455</v>
      </c>
      <c r="L408" s="524" t="s">
        <v>1188</v>
      </c>
      <c r="M408" s="524" t="s">
        <v>1189</v>
      </c>
      <c r="N408" s="524" t="s">
        <v>1192</v>
      </c>
      <c r="O408" s="524" t="s">
        <v>1193</v>
      </c>
      <c r="P408" s="526">
        <v>46209</v>
      </c>
      <c r="S408" s="527">
        <v>0</v>
      </c>
    </row>
    <row r="409" spans="1:19" x14ac:dyDescent="0.2">
      <c r="A409" s="524">
        <v>68902</v>
      </c>
      <c r="B409" s="526">
        <v>46209</v>
      </c>
      <c r="C409" s="524" t="s">
        <v>1148</v>
      </c>
      <c r="D409" s="524" t="s">
        <v>1186</v>
      </c>
      <c r="E409" s="524" t="s">
        <v>1511</v>
      </c>
      <c r="F409" s="524" t="s">
        <v>1183</v>
      </c>
      <c r="G409" s="524" t="s">
        <v>803</v>
      </c>
      <c r="H409" s="527">
        <v>3870.4</v>
      </c>
      <c r="I409" s="524" t="s">
        <v>1174</v>
      </c>
      <c r="J409" s="524">
        <f>IF(cmf[[#This Row],[D/C]]="C",cmf[[#This Row],[Valor]],-1*cmf[[#This Row],[Valor]])</f>
        <v>-3870.4</v>
      </c>
      <c r="L409" s="524" t="s">
        <v>1188</v>
      </c>
      <c r="M409" s="524" t="s">
        <v>1189</v>
      </c>
      <c r="N409" s="524" t="s">
        <v>1192</v>
      </c>
      <c r="O409" s="524" t="s">
        <v>1193</v>
      </c>
      <c r="P409" s="526">
        <v>46209</v>
      </c>
      <c r="S409" s="527">
        <v>0</v>
      </c>
    </row>
    <row r="410" spans="1:19" x14ac:dyDescent="0.2">
      <c r="A410" s="524">
        <v>68903</v>
      </c>
      <c r="B410" s="526">
        <v>46209</v>
      </c>
      <c r="C410" s="524" t="s">
        <v>1148</v>
      </c>
      <c r="D410" s="524" t="s">
        <v>1186</v>
      </c>
      <c r="E410" s="524" t="s">
        <v>1512</v>
      </c>
      <c r="F410" s="524" t="s">
        <v>1183</v>
      </c>
      <c r="G410" s="524" t="s">
        <v>803</v>
      </c>
      <c r="H410" s="527">
        <v>3500</v>
      </c>
      <c r="I410" s="524" t="s">
        <v>1174</v>
      </c>
      <c r="J410" s="524">
        <f>IF(cmf[[#This Row],[D/C]]="C",cmf[[#This Row],[Valor]],-1*cmf[[#This Row],[Valor]])</f>
        <v>-3500</v>
      </c>
      <c r="L410" s="524" t="s">
        <v>1188</v>
      </c>
      <c r="M410" s="524" t="s">
        <v>1189</v>
      </c>
      <c r="N410" s="524" t="s">
        <v>1192</v>
      </c>
      <c r="O410" s="524" t="s">
        <v>1193</v>
      </c>
      <c r="P410" s="526">
        <v>46209</v>
      </c>
      <c r="S410" s="527">
        <v>0</v>
      </c>
    </row>
    <row r="411" spans="1:19" x14ac:dyDescent="0.2">
      <c r="A411" s="524">
        <v>68904</v>
      </c>
      <c r="B411" s="526">
        <v>46209</v>
      </c>
      <c r="C411" s="524" t="s">
        <v>1148</v>
      </c>
      <c r="D411" s="524" t="s">
        <v>1186</v>
      </c>
      <c r="E411" s="524" t="s">
        <v>1513</v>
      </c>
      <c r="F411" s="524" t="s">
        <v>1183</v>
      </c>
      <c r="G411" s="524" t="s">
        <v>803</v>
      </c>
      <c r="H411" s="527">
        <v>3360</v>
      </c>
      <c r="I411" s="524" t="s">
        <v>1174</v>
      </c>
      <c r="J411" s="524">
        <f>IF(cmf[[#This Row],[D/C]]="C",cmf[[#This Row],[Valor]],-1*cmf[[#This Row],[Valor]])</f>
        <v>-3360</v>
      </c>
      <c r="L411" s="524" t="s">
        <v>1188</v>
      </c>
      <c r="M411" s="524" t="s">
        <v>1189</v>
      </c>
      <c r="N411" s="524" t="s">
        <v>1192</v>
      </c>
      <c r="O411" s="524" t="s">
        <v>1193</v>
      </c>
      <c r="P411" s="526">
        <v>46209</v>
      </c>
      <c r="S411" s="527">
        <v>0</v>
      </c>
    </row>
    <row r="412" spans="1:19" x14ac:dyDescent="0.2">
      <c r="A412" s="524">
        <v>68905</v>
      </c>
      <c r="B412" s="526">
        <v>46209</v>
      </c>
      <c r="C412" s="524" t="s">
        <v>1148</v>
      </c>
      <c r="D412" s="524" t="s">
        <v>1186</v>
      </c>
      <c r="E412" s="524" t="s">
        <v>1514</v>
      </c>
      <c r="F412" s="524" t="s">
        <v>1183</v>
      </c>
      <c r="G412" s="524" t="s">
        <v>803</v>
      </c>
      <c r="H412" s="527">
        <v>3000</v>
      </c>
      <c r="I412" s="524" t="s">
        <v>1174</v>
      </c>
      <c r="J412" s="524">
        <f>IF(cmf[[#This Row],[D/C]]="C",cmf[[#This Row],[Valor]],-1*cmf[[#This Row],[Valor]])</f>
        <v>-3000</v>
      </c>
      <c r="L412" s="524" t="s">
        <v>1188</v>
      </c>
      <c r="M412" s="524" t="s">
        <v>1189</v>
      </c>
      <c r="N412" s="524" t="s">
        <v>1192</v>
      </c>
      <c r="O412" s="524" t="s">
        <v>1193</v>
      </c>
      <c r="P412" s="526">
        <v>46209</v>
      </c>
      <c r="S412" s="527">
        <v>0</v>
      </c>
    </row>
    <row r="413" spans="1:19" x14ac:dyDescent="0.2">
      <c r="A413" s="524">
        <v>68906</v>
      </c>
      <c r="B413" s="526">
        <v>46209</v>
      </c>
      <c r="C413" s="524" t="s">
        <v>1148</v>
      </c>
      <c r="D413" s="524" t="s">
        <v>1186</v>
      </c>
      <c r="E413" s="524" t="s">
        <v>1515</v>
      </c>
      <c r="F413" s="524" t="s">
        <v>1183</v>
      </c>
      <c r="G413" s="524" t="s">
        <v>803</v>
      </c>
      <c r="H413" s="527">
        <v>2271.4499999999998</v>
      </c>
      <c r="I413" s="524" t="s">
        <v>1174</v>
      </c>
      <c r="J413" s="524">
        <f>IF(cmf[[#This Row],[D/C]]="C",cmf[[#This Row],[Valor]],-1*cmf[[#This Row],[Valor]])</f>
        <v>-2271.4499999999998</v>
      </c>
      <c r="L413" s="524" t="s">
        <v>1188</v>
      </c>
      <c r="M413" s="524" t="s">
        <v>1189</v>
      </c>
      <c r="N413" s="524" t="s">
        <v>1192</v>
      </c>
      <c r="O413" s="524" t="s">
        <v>1193</v>
      </c>
      <c r="P413" s="526">
        <v>46209</v>
      </c>
      <c r="S413" s="527">
        <v>0</v>
      </c>
    </row>
    <row r="414" spans="1:19" x14ac:dyDescent="0.2">
      <c r="A414" s="524">
        <v>68907</v>
      </c>
      <c r="B414" s="526">
        <v>46209</v>
      </c>
      <c r="C414" s="524" t="s">
        <v>1148</v>
      </c>
      <c r="D414" s="524" t="s">
        <v>1186</v>
      </c>
      <c r="E414" s="524" t="s">
        <v>1516</v>
      </c>
      <c r="F414" s="524" t="s">
        <v>1183</v>
      </c>
      <c r="G414" s="524" t="s">
        <v>803</v>
      </c>
      <c r="H414" s="527">
        <v>2100</v>
      </c>
      <c r="I414" s="524" t="s">
        <v>1174</v>
      </c>
      <c r="J414" s="524">
        <f>IF(cmf[[#This Row],[D/C]]="C",cmf[[#This Row],[Valor]],-1*cmf[[#This Row],[Valor]])</f>
        <v>-2100</v>
      </c>
      <c r="L414" s="524" t="s">
        <v>1188</v>
      </c>
      <c r="M414" s="524" t="s">
        <v>1189</v>
      </c>
      <c r="N414" s="524" t="s">
        <v>1192</v>
      </c>
      <c r="O414" s="524" t="s">
        <v>1193</v>
      </c>
      <c r="P414" s="526">
        <v>46209</v>
      </c>
      <c r="S414" s="527">
        <v>0</v>
      </c>
    </row>
    <row r="415" spans="1:19" x14ac:dyDescent="0.2">
      <c r="A415" s="524">
        <v>68908</v>
      </c>
      <c r="B415" s="526">
        <v>46209</v>
      </c>
      <c r="C415" s="524" t="s">
        <v>1148</v>
      </c>
      <c r="D415" s="524" t="s">
        <v>1186</v>
      </c>
      <c r="E415" s="524" t="s">
        <v>1517</v>
      </c>
      <c r="F415" s="524" t="s">
        <v>1183</v>
      </c>
      <c r="G415" s="524" t="s">
        <v>803</v>
      </c>
      <c r="H415" s="527">
        <v>2000</v>
      </c>
      <c r="I415" s="524" t="s">
        <v>1174</v>
      </c>
      <c r="J415" s="524">
        <f>IF(cmf[[#This Row],[D/C]]="C",cmf[[#This Row],[Valor]],-1*cmf[[#This Row],[Valor]])</f>
        <v>-2000</v>
      </c>
      <c r="L415" s="524" t="s">
        <v>1188</v>
      </c>
      <c r="M415" s="524" t="s">
        <v>1189</v>
      </c>
      <c r="N415" s="524" t="s">
        <v>1192</v>
      </c>
      <c r="O415" s="524" t="s">
        <v>1193</v>
      </c>
      <c r="P415" s="526">
        <v>46209</v>
      </c>
      <c r="S415" s="527">
        <v>0</v>
      </c>
    </row>
    <row r="416" spans="1:19" x14ac:dyDescent="0.2">
      <c r="A416" s="524">
        <v>68909</v>
      </c>
      <c r="B416" s="526">
        <v>46209</v>
      </c>
      <c r="C416" s="524" t="s">
        <v>1148</v>
      </c>
      <c r="D416" s="524" t="s">
        <v>1186</v>
      </c>
      <c r="E416" s="524" t="s">
        <v>1518</v>
      </c>
      <c r="F416" s="524" t="s">
        <v>1183</v>
      </c>
      <c r="G416" s="524" t="s">
        <v>803</v>
      </c>
      <c r="H416" s="527">
        <v>2000</v>
      </c>
      <c r="I416" s="524" t="s">
        <v>1174</v>
      </c>
      <c r="J416" s="524">
        <f>IF(cmf[[#This Row],[D/C]]="C",cmf[[#This Row],[Valor]],-1*cmf[[#This Row],[Valor]])</f>
        <v>-2000</v>
      </c>
      <c r="L416" s="524" t="s">
        <v>1188</v>
      </c>
      <c r="M416" s="524" t="s">
        <v>1189</v>
      </c>
      <c r="N416" s="524" t="s">
        <v>1192</v>
      </c>
      <c r="O416" s="524" t="s">
        <v>1193</v>
      </c>
      <c r="P416" s="526">
        <v>46209</v>
      </c>
      <c r="S416" s="527">
        <v>0</v>
      </c>
    </row>
    <row r="417" spans="1:19" x14ac:dyDescent="0.2">
      <c r="A417" s="524">
        <v>68910</v>
      </c>
      <c r="B417" s="526">
        <v>46209</v>
      </c>
      <c r="C417" s="524" t="s">
        <v>1148</v>
      </c>
      <c r="D417" s="524" t="s">
        <v>1186</v>
      </c>
      <c r="E417" s="524" t="s">
        <v>1519</v>
      </c>
      <c r="F417" s="524" t="s">
        <v>1183</v>
      </c>
      <c r="G417" s="524" t="s">
        <v>803</v>
      </c>
      <c r="H417" s="527">
        <v>1422.26</v>
      </c>
      <c r="I417" s="524" t="s">
        <v>1174</v>
      </c>
      <c r="J417" s="524">
        <f>IF(cmf[[#This Row],[D/C]]="C",cmf[[#This Row],[Valor]],-1*cmf[[#This Row],[Valor]])</f>
        <v>-1422.26</v>
      </c>
      <c r="L417" s="524" t="s">
        <v>1188</v>
      </c>
      <c r="M417" s="524" t="s">
        <v>1189</v>
      </c>
      <c r="N417" s="524" t="s">
        <v>1192</v>
      </c>
      <c r="O417" s="524" t="s">
        <v>1193</v>
      </c>
      <c r="P417" s="526">
        <v>46209</v>
      </c>
      <c r="S417" s="527">
        <v>0</v>
      </c>
    </row>
    <row r="418" spans="1:19" x14ac:dyDescent="0.2">
      <c r="A418" s="524">
        <v>68911</v>
      </c>
      <c r="B418" s="526">
        <v>46209</v>
      </c>
      <c r="C418" s="524" t="s">
        <v>1148</v>
      </c>
      <c r="D418" s="524" t="s">
        <v>1186</v>
      </c>
      <c r="E418" s="524" t="s">
        <v>1520</v>
      </c>
      <c r="F418" s="524" t="s">
        <v>1183</v>
      </c>
      <c r="G418" s="524" t="s">
        <v>803</v>
      </c>
      <c r="H418" s="527">
        <v>1040</v>
      </c>
      <c r="I418" s="524" t="s">
        <v>1174</v>
      </c>
      <c r="J418" s="524">
        <f>IF(cmf[[#This Row],[D/C]]="C",cmf[[#This Row],[Valor]],-1*cmf[[#This Row],[Valor]])</f>
        <v>-1040</v>
      </c>
      <c r="L418" s="524" t="s">
        <v>1188</v>
      </c>
      <c r="M418" s="524" t="s">
        <v>1189</v>
      </c>
      <c r="N418" s="524" t="s">
        <v>1192</v>
      </c>
      <c r="O418" s="524" t="s">
        <v>1193</v>
      </c>
      <c r="P418" s="526">
        <v>46209</v>
      </c>
      <c r="S418" s="527">
        <v>0</v>
      </c>
    </row>
    <row r="419" spans="1:19" x14ac:dyDescent="0.2">
      <c r="A419" s="524">
        <v>68912</v>
      </c>
      <c r="B419" s="526">
        <v>46209</v>
      </c>
      <c r="C419" s="524" t="s">
        <v>1148</v>
      </c>
      <c r="D419" s="524" t="s">
        <v>1186</v>
      </c>
      <c r="E419" s="524" t="s">
        <v>1521</v>
      </c>
      <c r="F419" s="524" t="s">
        <v>1183</v>
      </c>
      <c r="G419" s="524" t="s">
        <v>803</v>
      </c>
      <c r="H419" s="527">
        <v>778.51</v>
      </c>
      <c r="I419" s="524" t="s">
        <v>1174</v>
      </c>
      <c r="J419" s="524">
        <f>IF(cmf[[#This Row],[D/C]]="C",cmf[[#This Row],[Valor]],-1*cmf[[#This Row],[Valor]])</f>
        <v>-778.51</v>
      </c>
      <c r="L419" s="524" t="s">
        <v>1188</v>
      </c>
      <c r="M419" s="524" t="s">
        <v>1189</v>
      </c>
      <c r="N419" s="524" t="s">
        <v>1192</v>
      </c>
      <c r="O419" s="524" t="s">
        <v>1193</v>
      </c>
      <c r="P419" s="526">
        <v>46209</v>
      </c>
      <c r="S419" s="527">
        <v>0</v>
      </c>
    </row>
    <row r="420" spans="1:19" x14ac:dyDescent="0.2">
      <c r="A420" s="524">
        <v>68913</v>
      </c>
      <c r="B420" s="526">
        <v>46209</v>
      </c>
      <c r="C420" s="524" t="s">
        <v>1148</v>
      </c>
      <c r="D420" s="524" t="s">
        <v>1186</v>
      </c>
      <c r="E420" s="524" t="s">
        <v>1522</v>
      </c>
      <c r="F420" s="524" t="s">
        <v>1183</v>
      </c>
      <c r="G420" s="524" t="s">
        <v>803</v>
      </c>
      <c r="H420" s="527">
        <v>700.4</v>
      </c>
      <c r="I420" s="524" t="s">
        <v>1174</v>
      </c>
      <c r="J420" s="524">
        <f>IF(cmf[[#This Row],[D/C]]="C",cmf[[#This Row],[Valor]],-1*cmf[[#This Row],[Valor]])</f>
        <v>-700.4</v>
      </c>
      <c r="L420" s="524" t="s">
        <v>1188</v>
      </c>
      <c r="M420" s="524" t="s">
        <v>1189</v>
      </c>
      <c r="N420" s="524" t="s">
        <v>1192</v>
      </c>
      <c r="O420" s="524" t="s">
        <v>1193</v>
      </c>
      <c r="P420" s="526">
        <v>46209</v>
      </c>
      <c r="S420" s="527">
        <v>0</v>
      </c>
    </row>
    <row r="421" spans="1:19" x14ac:dyDescent="0.2">
      <c r="A421" s="524">
        <v>68914</v>
      </c>
      <c r="B421" s="526">
        <v>46209</v>
      </c>
      <c r="C421" s="524" t="s">
        <v>1148</v>
      </c>
      <c r="D421" s="524" t="s">
        <v>1186</v>
      </c>
      <c r="E421" s="524" t="s">
        <v>1523</v>
      </c>
      <c r="F421" s="524" t="s">
        <v>1183</v>
      </c>
      <c r="G421" s="524" t="s">
        <v>803</v>
      </c>
      <c r="H421" s="527">
        <v>567.77</v>
      </c>
      <c r="I421" s="524" t="s">
        <v>1174</v>
      </c>
      <c r="J421" s="524">
        <f>IF(cmf[[#This Row],[D/C]]="C",cmf[[#This Row],[Valor]],-1*cmf[[#This Row],[Valor]])</f>
        <v>-567.77</v>
      </c>
      <c r="L421" s="524" t="s">
        <v>1188</v>
      </c>
      <c r="M421" s="524" t="s">
        <v>1189</v>
      </c>
      <c r="N421" s="524" t="s">
        <v>1192</v>
      </c>
      <c r="O421" s="524" t="s">
        <v>1193</v>
      </c>
      <c r="P421" s="526">
        <v>46209</v>
      </c>
      <c r="S421" s="527">
        <v>0</v>
      </c>
    </row>
    <row r="422" spans="1:19" x14ac:dyDescent="0.2">
      <c r="A422" s="524">
        <v>68915</v>
      </c>
      <c r="B422" s="526">
        <v>46209</v>
      </c>
      <c r="C422" s="524" t="s">
        <v>1148</v>
      </c>
      <c r="D422" s="524" t="s">
        <v>1186</v>
      </c>
      <c r="E422" s="524" t="s">
        <v>1524</v>
      </c>
      <c r="F422" s="524" t="s">
        <v>1183</v>
      </c>
      <c r="G422" s="524" t="s">
        <v>803</v>
      </c>
      <c r="H422" s="527">
        <v>567.77</v>
      </c>
      <c r="I422" s="524" t="s">
        <v>1174</v>
      </c>
      <c r="J422" s="524">
        <f>IF(cmf[[#This Row],[D/C]]="C",cmf[[#This Row],[Valor]],-1*cmf[[#This Row],[Valor]])</f>
        <v>-567.77</v>
      </c>
      <c r="L422" s="524" t="s">
        <v>1188</v>
      </c>
      <c r="M422" s="524" t="s">
        <v>1189</v>
      </c>
      <c r="N422" s="524" t="s">
        <v>1192</v>
      </c>
      <c r="O422" s="524" t="s">
        <v>1193</v>
      </c>
      <c r="P422" s="526">
        <v>46209</v>
      </c>
      <c r="S422" s="527">
        <v>0</v>
      </c>
    </row>
    <row r="423" spans="1:19" x14ac:dyDescent="0.2">
      <c r="A423" s="524">
        <v>68916</v>
      </c>
      <c r="B423" s="526">
        <v>46209</v>
      </c>
      <c r="C423" s="524" t="s">
        <v>1148</v>
      </c>
      <c r="D423" s="524" t="s">
        <v>1186</v>
      </c>
      <c r="E423" s="524" t="s">
        <v>1525</v>
      </c>
      <c r="F423" s="524" t="s">
        <v>1183</v>
      </c>
      <c r="G423" s="524" t="s">
        <v>803</v>
      </c>
      <c r="H423" s="527">
        <v>525</v>
      </c>
      <c r="I423" s="524" t="s">
        <v>1174</v>
      </c>
      <c r="J423" s="524">
        <f>IF(cmf[[#This Row],[D/C]]="C",cmf[[#This Row],[Valor]],-1*cmf[[#This Row],[Valor]])</f>
        <v>-525</v>
      </c>
      <c r="L423" s="524" t="s">
        <v>1188</v>
      </c>
      <c r="M423" s="524" t="s">
        <v>1189</v>
      </c>
      <c r="N423" s="524" t="s">
        <v>1192</v>
      </c>
      <c r="O423" s="524" t="s">
        <v>1193</v>
      </c>
      <c r="P423" s="526">
        <v>46209</v>
      </c>
      <c r="S423" s="527">
        <v>0</v>
      </c>
    </row>
    <row r="424" spans="1:19" x14ac:dyDescent="0.2">
      <c r="A424" s="524">
        <v>68917</v>
      </c>
      <c r="B424" s="526">
        <v>46209</v>
      </c>
      <c r="C424" s="524" t="s">
        <v>1148</v>
      </c>
      <c r="D424" s="524" t="s">
        <v>1186</v>
      </c>
      <c r="E424" s="524" t="s">
        <v>1526</v>
      </c>
      <c r="F424" s="524" t="s">
        <v>1183</v>
      </c>
      <c r="G424" s="524" t="s">
        <v>803</v>
      </c>
      <c r="H424" s="527">
        <v>502.34</v>
      </c>
      <c r="I424" s="524" t="s">
        <v>1174</v>
      </c>
      <c r="J424" s="524">
        <f>IF(cmf[[#This Row],[D/C]]="C",cmf[[#This Row],[Valor]],-1*cmf[[#This Row],[Valor]])</f>
        <v>-502.34</v>
      </c>
      <c r="L424" s="524" t="s">
        <v>1188</v>
      </c>
      <c r="M424" s="524" t="s">
        <v>1189</v>
      </c>
      <c r="N424" s="524" t="s">
        <v>1192</v>
      </c>
      <c r="O424" s="524" t="s">
        <v>1193</v>
      </c>
      <c r="P424" s="526">
        <v>46209</v>
      </c>
      <c r="S424" s="527">
        <v>0</v>
      </c>
    </row>
    <row r="425" spans="1:19" x14ac:dyDescent="0.2">
      <c r="A425" s="524">
        <v>68918</v>
      </c>
      <c r="B425" s="526">
        <v>46209</v>
      </c>
      <c r="C425" s="524" t="s">
        <v>1148</v>
      </c>
      <c r="D425" s="524" t="s">
        <v>1186</v>
      </c>
      <c r="E425" s="524" t="s">
        <v>1527</v>
      </c>
      <c r="F425" s="524" t="s">
        <v>1183</v>
      </c>
      <c r="G425" s="524" t="s">
        <v>803</v>
      </c>
      <c r="H425" s="527">
        <v>460</v>
      </c>
      <c r="I425" s="524" t="s">
        <v>1174</v>
      </c>
      <c r="J425" s="524">
        <f>IF(cmf[[#This Row],[D/C]]="C",cmf[[#This Row],[Valor]],-1*cmf[[#This Row],[Valor]])</f>
        <v>-460</v>
      </c>
      <c r="L425" s="524" t="s">
        <v>1188</v>
      </c>
      <c r="M425" s="524" t="s">
        <v>1189</v>
      </c>
      <c r="N425" s="524" t="s">
        <v>1192</v>
      </c>
      <c r="O425" s="524" t="s">
        <v>1193</v>
      </c>
      <c r="P425" s="526">
        <v>46209</v>
      </c>
      <c r="S425" s="527">
        <v>0</v>
      </c>
    </row>
    <row r="426" spans="1:19" x14ac:dyDescent="0.2">
      <c r="A426" s="524">
        <v>68919</v>
      </c>
      <c r="B426" s="526">
        <v>46209</v>
      </c>
      <c r="C426" s="524" t="s">
        <v>1148</v>
      </c>
      <c r="D426" s="524" t="s">
        <v>1186</v>
      </c>
      <c r="E426" s="524" t="s">
        <v>1528</v>
      </c>
      <c r="F426" s="524" t="s">
        <v>1183</v>
      </c>
      <c r="G426" s="524" t="s">
        <v>803</v>
      </c>
      <c r="H426" s="527">
        <v>433.25</v>
      </c>
      <c r="I426" s="524" t="s">
        <v>1174</v>
      </c>
      <c r="J426" s="524">
        <f>IF(cmf[[#This Row],[D/C]]="C",cmf[[#This Row],[Valor]],-1*cmf[[#This Row],[Valor]])</f>
        <v>-433.25</v>
      </c>
      <c r="L426" s="524" t="s">
        <v>1188</v>
      </c>
      <c r="M426" s="524" t="s">
        <v>1189</v>
      </c>
      <c r="N426" s="524" t="s">
        <v>1192</v>
      </c>
      <c r="O426" s="524" t="s">
        <v>1193</v>
      </c>
      <c r="P426" s="526">
        <v>46209</v>
      </c>
      <c r="S426" s="527">
        <v>0</v>
      </c>
    </row>
    <row r="427" spans="1:19" x14ac:dyDescent="0.2">
      <c r="A427" s="524">
        <v>68920</v>
      </c>
      <c r="B427" s="526">
        <v>46209</v>
      </c>
      <c r="C427" s="524" t="s">
        <v>1148</v>
      </c>
      <c r="D427" s="524" t="s">
        <v>1186</v>
      </c>
      <c r="E427" s="524" t="s">
        <v>1529</v>
      </c>
      <c r="F427" s="524" t="s">
        <v>1183</v>
      </c>
      <c r="G427" s="524" t="s">
        <v>803</v>
      </c>
      <c r="H427" s="527">
        <v>245.62</v>
      </c>
      <c r="I427" s="524" t="s">
        <v>1174</v>
      </c>
      <c r="J427" s="524">
        <f>IF(cmf[[#This Row],[D/C]]="C",cmf[[#This Row],[Valor]],-1*cmf[[#This Row],[Valor]])</f>
        <v>-245.62</v>
      </c>
      <c r="L427" s="524" t="s">
        <v>1188</v>
      </c>
      <c r="M427" s="524" t="s">
        <v>1189</v>
      </c>
      <c r="N427" s="524" t="s">
        <v>1192</v>
      </c>
      <c r="O427" s="524" t="s">
        <v>1193</v>
      </c>
      <c r="P427" s="526">
        <v>46209</v>
      </c>
      <c r="S427" s="527">
        <v>0</v>
      </c>
    </row>
    <row r="428" spans="1:19" x14ac:dyDescent="0.2">
      <c r="A428" s="524">
        <v>68921</v>
      </c>
      <c r="B428" s="526">
        <v>46209</v>
      </c>
      <c r="C428" s="524" t="s">
        <v>1148</v>
      </c>
      <c r="D428" s="524" t="s">
        <v>1186</v>
      </c>
      <c r="E428" s="524" t="s">
        <v>1530</v>
      </c>
      <c r="F428" s="524" t="s">
        <v>1183</v>
      </c>
      <c r="G428" s="524" t="s">
        <v>803</v>
      </c>
      <c r="H428" s="527">
        <v>200</v>
      </c>
      <c r="I428" s="524" t="s">
        <v>1174</v>
      </c>
      <c r="J428" s="524">
        <f>IF(cmf[[#This Row],[D/C]]="C",cmf[[#This Row],[Valor]],-1*cmf[[#This Row],[Valor]])</f>
        <v>-200</v>
      </c>
      <c r="L428" s="524" t="s">
        <v>1188</v>
      </c>
      <c r="M428" s="524" t="s">
        <v>1189</v>
      </c>
      <c r="N428" s="524" t="s">
        <v>1192</v>
      </c>
      <c r="O428" s="524" t="s">
        <v>1193</v>
      </c>
      <c r="P428" s="526">
        <v>46209</v>
      </c>
      <c r="S428" s="527">
        <v>0</v>
      </c>
    </row>
    <row r="429" spans="1:19" x14ac:dyDescent="0.2">
      <c r="A429" s="524">
        <v>68922</v>
      </c>
      <c r="B429" s="526">
        <v>46209</v>
      </c>
      <c r="C429" s="524" t="s">
        <v>1148</v>
      </c>
      <c r="D429" s="524" t="s">
        <v>1186</v>
      </c>
      <c r="E429" s="524" t="s">
        <v>1531</v>
      </c>
      <c r="F429" s="524" t="s">
        <v>1183</v>
      </c>
      <c r="G429" s="524" t="s">
        <v>803</v>
      </c>
      <c r="H429" s="527">
        <v>199.56</v>
      </c>
      <c r="I429" s="524" t="s">
        <v>1174</v>
      </c>
      <c r="J429" s="524">
        <f>IF(cmf[[#This Row],[D/C]]="C",cmf[[#This Row],[Valor]],-1*cmf[[#This Row],[Valor]])</f>
        <v>-199.56</v>
      </c>
      <c r="L429" s="524" t="s">
        <v>1188</v>
      </c>
      <c r="M429" s="524" t="s">
        <v>1189</v>
      </c>
      <c r="N429" s="524" t="s">
        <v>1192</v>
      </c>
      <c r="O429" s="524" t="s">
        <v>1193</v>
      </c>
      <c r="P429" s="526">
        <v>46209</v>
      </c>
      <c r="S429" s="527">
        <v>0</v>
      </c>
    </row>
    <row r="430" spans="1:19" x14ac:dyDescent="0.2">
      <c r="A430" s="524">
        <v>68923</v>
      </c>
      <c r="B430" s="526">
        <v>46209</v>
      </c>
      <c r="C430" s="524" t="s">
        <v>1148</v>
      </c>
      <c r="D430" s="524" t="s">
        <v>1186</v>
      </c>
      <c r="E430" s="524" t="s">
        <v>1532</v>
      </c>
      <c r="F430" s="524" t="s">
        <v>1183</v>
      </c>
      <c r="G430" s="524" t="s">
        <v>803</v>
      </c>
      <c r="H430" s="527">
        <v>160.63999999999999</v>
      </c>
      <c r="I430" s="524" t="s">
        <v>1174</v>
      </c>
      <c r="J430" s="524">
        <f>IF(cmf[[#This Row],[D/C]]="C",cmf[[#This Row],[Valor]],-1*cmf[[#This Row],[Valor]])</f>
        <v>-160.63999999999999</v>
      </c>
      <c r="L430" s="524" t="s">
        <v>1188</v>
      </c>
      <c r="M430" s="524" t="s">
        <v>1189</v>
      </c>
      <c r="N430" s="524" t="s">
        <v>1192</v>
      </c>
      <c r="O430" s="524" t="s">
        <v>1193</v>
      </c>
      <c r="P430" s="526">
        <v>46209</v>
      </c>
      <c r="S430" s="527">
        <v>0</v>
      </c>
    </row>
    <row r="431" spans="1:19" x14ac:dyDescent="0.2">
      <c r="A431" s="524">
        <v>68924</v>
      </c>
      <c r="B431" s="526">
        <v>46209</v>
      </c>
      <c r="C431" s="524" t="s">
        <v>1148</v>
      </c>
      <c r="D431" s="524" t="s">
        <v>1186</v>
      </c>
      <c r="E431" s="524" t="s">
        <v>1533</v>
      </c>
      <c r="F431" s="524" t="s">
        <v>1183</v>
      </c>
      <c r="G431" s="524" t="s">
        <v>803</v>
      </c>
      <c r="H431" s="527">
        <v>20000</v>
      </c>
      <c r="I431" s="524" t="s">
        <v>1174</v>
      </c>
      <c r="J431" s="524">
        <f>IF(cmf[[#This Row],[D/C]]="C",cmf[[#This Row],[Valor]],-1*cmf[[#This Row],[Valor]])</f>
        <v>-20000</v>
      </c>
      <c r="L431" s="524" t="s">
        <v>1188</v>
      </c>
      <c r="M431" s="524" t="s">
        <v>1189</v>
      </c>
      <c r="N431" s="524" t="s">
        <v>1192</v>
      </c>
      <c r="O431" s="524" t="s">
        <v>1193</v>
      </c>
      <c r="P431" s="526">
        <v>46209</v>
      </c>
      <c r="S431" s="527">
        <v>0</v>
      </c>
    </row>
    <row r="432" spans="1:19" x14ac:dyDescent="0.2">
      <c r="A432" s="524">
        <v>68927</v>
      </c>
      <c r="B432" s="526">
        <v>46209</v>
      </c>
      <c r="C432" s="524" t="s">
        <v>1162</v>
      </c>
      <c r="D432" s="524" t="s">
        <v>1186</v>
      </c>
      <c r="E432" s="524" t="s">
        <v>1534</v>
      </c>
      <c r="F432" s="524" t="s">
        <v>1183</v>
      </c>
      <c r="G432" s="524" t="s">
        <v>801</v>
      </c>
      <c r="H432" s="527">
        <v>250</v>
      </c>
      <c r="I432" s="524" t="s">
        <v>1174</v>
      </c>
      <c r="J432" s="524">
        <f>IF(cmf[[#This Row],[D/C]]="C",cmf[[#This Row],[Valor]],-1*cmf[[#This Row],[Valor]])</f>
        <v>-250</v>
      </c>
      <c r="L432" s="524" t="s">
        <v>1188</v>
      </c>
      <c r="M432" s="524" t="s">
        <v>1189</v>
      </c>
      <c r="N432" s="524" t="s">
        <v>1203</v>
      </c>
      <c r="O432" s="524" t="s">
        <v>1204</v>
      </c>
      <c r="P432" s="526"/>
      <c r="S432" s="527">
        <v>0</v>
      </c>
    </row>
    <row r="433" spans="1:19" x14ac:dyDescent="0.2">
      <c r="A433" s="524">
        <v>68928</v>
      </c>
      <c r="B433" s="526">
        <v>46209</v>
      </c>
      <c r="C433" s="524" t="s">
        <v>1148</v>
      </c>
      <c r="D433" s="524" t="s">
        <v>1186</v>
      </c>
      <c r="E433" s="524" t="s">
        <v>1535</v>
      </c>
      <c r="F433" s="524" t="s">
        <v>1183</v>
      </c>
      <c r="G433" s="524" t="s">
        <v>789</v>
      </c>
      <c r="H433" s="527">
        <v>6428.23</v>
      </c>
      <c r="I433" s="524" t="s">
        <v>1174</v>
      </c>
      <c r="J433" s="524">
        <f>IF(cmf[[#This Row],[D/C]]="C",cmf[[#This Row],[Valor]],-1*cmf[[#This Row],[Valor]])</f>
        <v>-6428.23</v>
      </c>
      <c r="L433" s="524" t="s">
        <v>1188</v>
      </c>
      <c r="M433" s="524" t="s">
        <v>1189</v>
      </c>
      <c r="N433" s="524" t="s">
        <v>1271</v>
      </c>
      <c r="O433" s="524" t="s">
        <v>1272</v>
      </c>
      <c r="P433" s="526">
        <v>46209</v>
      </c>
      <c r="S433" s="527">
        <v>0</v>
      </c>
    </row>
    <row r="434" spans="1:19" x14ac:dyDescent="0.2">
      <c r="A434" s="524">
        <v>69085</v>
      </c>
      <c r="B434" s="526">
        <v>46209</v>
      </c>
      <c r="C434" s="524" t="s">
        <v>1148</v>
      </c>
      <c r="D434" s="524" t="s">
        <v>1205</v>
      </c>
      <c r="E434" s="524" t="s">
        <v>1536</v>
      </c>
      <c r="F434" s="524" t="s">
        <v>1183</v>
      </c>
      <c r="G434" s="524" t="s">
        <v>742</v>
      </c>
      <c r="H434" s="527">
        <v>150000</v>
      </c>
      <c r="I434" s="524" t="s">
        <v>1174</v>
      </c>
      <c r="J434" s="524">
        <f>IF(cmf[[#This Row],[D/C]]="C",cmf[[#This Row],[Valor]],-1*cmf[[#This Row],[Valor]])</f>
        <v>-150000</v>
      </c>
      <c r="L434" s="524" t="s">
        <v>1207</v>
      </c>
      <c r="M434" s="524" t="s">
        <v>1208</v>
      </c>
      <c r="N434" s="524" t="s">
        <v>1215</v>
      </c>
      <c r="O434" s="524" t="s">
        <v>1218</v>
      </c>
      <c r="P434" s="526">
        <v>46209</v>
      </c>
      <c r="S434" s="527">
        <v>0</v>
      </c>
    </row>
    <row r="435" spans="1:19" x14ac:dyDescent="0.2">
      <c r="A435" s="524">
        <v>69086</v>
      </c>
      <c r="B435" s="526">
        <v>46209</v>
      </c>
      <c r="C435" s="524" t="s">
        <v>1148</v>
      </c>
      <c r="D435" s="524" t="s">
        <v>1205</v>
      </c>
      <c r="E435" s="524" t="s">
        <v>1217</v>
      </c>
      <c r="F435" s="524" t="s">
        <v>1183</v>
      </c>
      <c r="G435" s="524" t="s">
        <v>745</v>
      </c>
      <c r="H435" s="527">
        <v>150000</v>
      </c>
      <c r="I435" s="524" t="s">
        <v>1148</v>
      </c>
      <c r="J435" s="524">
        <f>IF(cmf[[#This Row],[D/C]]="C",cmf[[#This Row],[Valor]],-1*cmf[[#This Row],[Valor]])</f>
        <v>150000</v>
      </c>
      <c r="L435" s="524" t="s">
        <v>1207</v>
      </c>
      <c r="M435" s="524" t="s">
        <v>1208</v>
      </c>
      <c r="N435" s="524" t="s">
        <v>1292</v>
      </c>
      <c r="O435" s="524" t="s">
        <v>1293</v>
      </c>
      <c r="P435" s="526">
        <v>46209</v>
      </c>
      <c r="S435" s="527">
        <v>0</v>
      </c>
    </row>
    <row r="436" spans="1:19" x14ac:dyDescent="0.2">
      <c r="A436" s="524">
        <v>69087</v>
      </c>
      <c r="B436" s="526">
        <v>46209</v>
      </c>
      <c r="C436" s="524" t="s">
        <v>1148</v>
      </c>
      <c r="D436" s="524" t="s">
        <v>1205</v>
      </c>
      <c r="E436" s="524" t="s">
        <v>1537</v>
      </c>
      <c r="F436" s="524" t="s">
        <v>1183</v>
      </c>
      <c r="G436" s="524" t="s">
        <v>758</v>
      </c>
      <c r="H436" s="527">
        <v>50000</v>
      </c>
      <c r="I436" s="524" t="s">
        <v>1174</v>
      </c>
      <c r="J436" s="524">
        <f>IF(cmf[[#This Row],[D/C]]="C",cmf[[#This Row],[Valor]],-1*cmf[[#This Row],[Valor]])</f>
        <v>-50000</v>
      </c>
      <c r="L436" s="524" t="s">
        <v>1207</v>
      </c>
      <c r="M436" s="524" t="s">
        <v>1208</v>
      </c>
      <c r="N436" s="524" t="s">
        <v>1223</v>
      </c>
      <c r="O436" s="524" t="s">
        <v>1224</v>
      </c>
      <c r="P436" s="526">
        <v>46209</v>
      </c>
      <c r="S436" s="527">
        <v>0</v>
      </c>
    </row>
    <row r="437" spans="1:19" x14ac:dyDescent="0.2">
      <c r="A437" s="524">
        <v>69088</v>
      </c>
      <c r="B437" s="526">
        <v>46209</v>
      </c>
      <c r="C437" s="524" t="s">
        <v>1148</v>
      </c>
      <c r="D437" s="524" t="s">
        <v>1205</v>
      </c>
      <c r="E437" s="524" t="s">
        <v>1234</v>
      </c>
      <c r="F437" s="524" t="s">
        <v>1170</v>
      </c>
      <c r="G437" s="524" t="s">
        <v>757</v>
      </c>
      <c r="H437" s="527">
        <v>50000</v>
      </c>
      <c r="I437" s="524" t="s">
        <v>1148</v>
      </c>
      <c r="J437" s="524">
        <f>IF(cmf[[#This Row],[D/C]]="C",cmf[[#This Row],[Valor]],-1*cmf[[#This Row],[Valor]])</f>
        <v>50000</v>
      </c>
      <c r="L437" s="524" t="s">
        <v>1207</v>
      </c>
      <c r="M437" s="524" t="s">
        <v>1208</v>
      </c>
      <c r="N437" s="524" t="s">
        <v>1223</v>
      </c>
      <c r="O437" s="524" t="s">
        <v>1224</v>
      </c>
      <c r="P437" s="526">
        <v>46209</v>
      </c>
      <c r="S437" s="527">
        <v>0</v>
      </c>
    </row>
    <row r="438" spans="1:19" x14ac:dyDescent="0.2">
      <c r="A438" s="524">
        <v>69089</v>
      </c>
      <c r="B438" s="526">
        <v>46209</v>
      </c>
      <c r="C438" s="524" t="s">
        <v>1148</v>
      </c>
      <c r="D438" s="524" t="s">
        <v>1205</v>
      </c>
      <c r="E438" s="524" t="s">
        <v>1334</v>
      </c>
      <c r="F438" s="524" t="s">
        <v>1170</v>
      </c>
      <c r="G438" s="524" t="s">
        <v>768</v>
      </c>
      <c r="H438" s="527">
        <v>300000</v>
      </c>
      <c r="I438" s="524" t="s">
        <v>1174</v>
      </c>
      <c r="J438" s="524">
        <f>IF(cmf[[#This Row],[D/C]]="C",cmf[[#This Row],[Valor]],-1*cmf[[#This Row],[Valor]])</f>
        <v>-300000</v>
      </c>
      <c r="L438" s="524" t="s">
        <v>1207</v>
      </c>
      <c r="M438" s="524" t="s">
        <v>1208</v>
      </c>
      <c r="N438" s="524" t="s">
        <v>1219</v>
      </c>
      <c r="O438" s="524" t="s">
        <v>1220</v>
      </c>
      <c r="P438" s="526">
        <v>46209</v>
      </c>
      <c r="S438" s="527">
        <v>0</v>
      </c>
    </row>
    <row r="439" spans="1:19" x14ac:dyDescent="0.2">
      <c r="A439" s="524">
        <v>69090</v>
      </c>
      <c r="B439" s="526">
        <v>46209</v>
      </c>
      <c r="C439" s="524" t="s">
        <v>1148</v>
      </c>
      <c r="D439" s="524" t="s">
        <v>1205</v>
      </c>
      <c r="E439" s="524" t="s">
        <v>1282</v>
      </c>
      <c r="F439" s="524" t="s">
        <v>1183</v>
      </c>
      <c r="G439" s="524" t="s">
        <v>769</v>
      </c>
      <c r="H439" s="527">
        <v>300000</v>
      </c>
      <c r="I439" s="524" t="s">
        <v>1148</v>
      </c>
      <c r="J439" s="524">
        <f>IF(cmf[[#This Row],[D/C]]="C",cmf[[#This Row],[Valor]],-1*cmf[[#This Row],[Valor]])</f>
        <v>300000</v>
      </c>
      <c r="L439" s="524" t="s">
        <v>1207</v>
      </c>
      <c r="M439" s="524" t="s">
        <v>1208</v>
      </c>
      <c r="N439" s="524" t="s">
        <v>1219</v>
      </c>
      <c r="O439" s="524" t="s">
        <v>1220</v>
      </c>
      <c r="P439" s="526">
        <v>46209</v>
      </c>
      <c r="S439" s="527">
        <v>0</v>
      </c>
    </row>
    <row r="440" spans="1:19" x14ac:dyDescent="0.2">
      <c r="A440" s="524">
        <v>69091</v>
      </c>
      <c r="B440" s="526">
        <v>46209</v>
      </c>
      <c r="C440" s="524" t="s">
        <v>1148</v>
      </c>
      <c r="D440" s="524" t="s">
        <v>1205</v>
      </c>
      <c r="E440" s="524" t="s">
        <v>1214</v>
      </c>
      <c r="F440" s="524" t="s">
        <v>1170</v>
      </c>
      <c r="G440" s="524" t="s">
        <v>765</v>
      </c>
      <c r="H440" s="527">
        <v>281000</v>
      </c>
      <c r="I440" s="524" t="s">
        <v>1174</v>
      </c>
      <c r="J440" s="524">
        <f>IF(cmf[[#This Row],[D/C]]="C",cmf[[#This Row],[Valor]],-1*cmf[[#This Row],[Valor]])</f>
        <v>-281000</v>
      </c>
      <c r="L440" s="524" t="s">
        <v>1207</v>
      </c>
      <c r="M440" s="524" t="s">
        <v>1208</v>
      </c>
      <c r="N440" s="524" t="s">
        <v>1200</v>
      </c>
      <c r="O440" s="524" t="s">
        <v>1201</v>
      </c>
      <c r="P440" s="526">
        <v>46209</v>
      </c>
      <c r="S440" s="527">
        <v>0</v>
      </c>
    </row>
    <row r="441" spans="1:19" x14ac:dyDescent="0.2">
      <c r="A441" s="524">
        <v>69092</v>
      </c>
      <c r="B441" s="526">
        <v>46209</v>
      </c>
      <c r="C441" s="524" t="s">
        <v>1148</v>
      </c>
      <c r="D441" s="524" t="s">
        <v>1205</v>
      </c>
      <c r="E441" s="524" t="s">
        <v>1538</v>
      </c>
      <c r="F441" s="524" t="s">
        <v>1183</v>
      </c>
      <c r="G441" s="524" t="s">
        <v>742</v>
      </c>
      <c r="H441" s="527">
        <v>281000</v>
      </c>
      <c r="I441" s="524" t="s">
        <v>1148</v>
      </c>
      <c r="J441" s="524">
        <f>IF(cmf[[#This Row],[D/C]]="C",cmf[[#This Row],[Valor]],-1*cmf[[#This Row],[Valor]])</f>
        <v>281000</v>
      </c>
      <c r="L441" s="524" t="s">
        <v>1207</v>
      </c>
      <c r="M441" s="524" t="s">
        <v>1208</v>
      </c>
      <c r="N441" s="524" t="s">
        <v>1215</v>
      </c>
      <c r="O441" s="524" t="s">
        <v>1218</v>
      </c>
      <c r="P441" s="526">
        <v>46209</v>
      </c>
      <c r="S441" s="527">
        <v>0</v>
      </c>
    </row>
    <row r="442" spans="1:19" x14ac:dyDescent="0.2">
      <c r="A442" s="524">
        <v>69093</v>
      </c>
      <c r="B442" s="526">
        <v>46209</v>
      </c>
      <c r="C442" s="524" t="s">
        <v>1148</v>
      </c>
      <c r="D442" s="524" t="s">
        <v>1205</v>
      </c>
      <c r="E442" s="524" t="s">
        <v>1214</v>
      </c>
      <c r="F442" s="524" t="s">
        <v>1183</v>
      </c>
      <c r="G442" s="524" t="s">
        <v>806</v>
      </c>
      <c r="H442" s="527">
        <v>450000</v>
      </c>
      <c r="I442" s="524" t="s">
        <v>1174</v>
      </c>
      <c r="J442" s="524">
        <f>IF(cmf[[#This Row],[D/C]]="C",cmf[[#This Row],[Valor]],-1*cmf[[#This Row],[Valor]])</f>
        <v>-450000</v>
      </c>
      <c r="L442" s="524" t="s">
        <v>1207</v>
      </c>
      <c r="M442" s="524" t="s">
        <v>1208</v>
      </c>
      <c r="N442" s="524" t="s">
        <v>1283</v>
      </c>
      <c r="O442" s="524" t="s">
        <v>1284</v>
      </c>
      <c r="P442" s="526">
        <v>46209</v>
      </c>
      <c r="S442" s="527">
        <v>0</v>
      </c>
    </row>
    <row r="443" spans="1:19" x14ac:dyDescent="0.2">
      <c r="A443" s="524">
        <v>69094</v>
      </c>
      <c r="B443" s="526">
        <v>46209</v>
      </c>
      <c r="C443" s="524" t="s">
        <v>1148</v>
      </c>
      <c r="D443" s="524" t="s">
        <v>1205</v>
      </c>
      <c r="E443" s="524" t="s">
        <v>1539</v>
      </c>
      <c r="F443" s="524" t="s">
        <v>1183</v>
      </c>
      <c r="G443" s="524" t="s">
        <v>742</v>
      </c>
      <c r="H443" s="527">
        <v>450000</v>
      </c>
      <c r="I443" s="524" t="s">
        <v>1148</v>
      </c>
      <c r="J443" s="524">
        <f>IF(cmf[[#This Row],[D/C]]="C",cmf[[#This Row],[Valor]],-1*cmf[[#This Row],[Valor]])</f>
        <v>450000</v>
      </c>
      <c r="L443" s="524" t="s">
        <v>1207</v>
      </c>
      <c r="M443" s="524" t="s">
        <v>1208</v>
      </c>
      <c r="N443" s="524" t="s">
        <v>1215</v>
      </c>
      <c r="O443" s="524" t="s">
        <v>1218</v>
      </c>
      <c r="P443" s="526">
        <v>46209</v>
      </c>
      <c r="S443" s="527">
        <v>0</v>
      </c>
    </row>
    <row r="444" spans="1:19" x14ac:dyDescent="0.2">
      <c r="A444" s="524">
        <v>69095</v>
      </c>
      <c r="B444" s="526">
        <v>46209</v>
      </c>
      <c r="C444" s="524" t="s">
        <v>1148</v>
      </c>
      <c r="D444" s="524" t="s">
        <v>1205</v>
      </c>
      <c r="E444" s="524" t="s">
        <v>1540</v>
      </c>
      <c r="F444" s="524" t="s">
        <v>1183</v>
      </c>
      <c r="G444" s="524" t="s">
        <v>742</v>
      </c>
      <c r="H444" s="527">
        <v>12000</v>
      </c>
      <c r="I444" s="524" t="s">
        <v>1174</v>
      </c>
      <c r="J444" s="524">
        <f>IF(cmf[[#This Row],[D/C]]="C",cmf[[#This Row],[Valor]],-1*cmf[[#This Row],[Valor]])</f>
        <v>-12000</v>
      </c>
      <c r="L444" s="524" t="s">
        <v>1207</v>
      </c>
      <c r="M444" s="524" t="s">
        <v>1208</v>
      </c>
      <c r="N444" s="524" t="s">
        <v>1215</v>
      </c>
      <c r="O444" s="524" t="s">
        <v>1218</v>
      </c>
      <c r="P444" s="526">
        <v>46209</v>
      </c>
      <c r="S444" s="527">
        <v>0</v>
      </c>
    </row>
    <row r="445" spans="1:19" x14ac:dyDescent="0.2">
      <c r="A445" s="524">
        <v>69096</v>
      </c>
      <c r="B445" s="526">
        <v>46209</v>
      </c>
      <c r="C445" s="524" t="s">
        <v>1148</v>
      </c>
      <c r="D445" s="524" t="s">
        <v>1205</v>
      </c>
      <c r="E445" s="524" t="s">
        <v>1217</v>
      </c>
      <c r="F445" s="524" t="s">
        <v>1183</v>
      </c>
      <c r="G445" s="524" t="s">
        <v>750</v>
      </c>
      <c r="H445" s="527">
        <v>12000</v>
      </c>
      <c r="I445" s="524" t="s">
        <v>1148</v>
      </c>
      <c r="J445" s="524">
        <f>IF(cmf[[#This Row],[D/C]]="C",cmf[[#This Row],[Valor]],-1*cmf[[#This Row],[Valor]])</f>
        <v>12000</v>
      </c>
      <c r="L445" s="524" t="s">
        <v>1207</v>
      </c>
      <c r="M445" s="524" t="s">
        <v>1208</v>
      </c>
      <c r="N445" s="524" t="s">
        <v>1256</v>
      </c>
      <c r="O445" s="524" t="s">
        <v>1257</v>
      </c>
      <c r="P445" s="526">
        <v>46209</v>
      </c>
      <c r="S445" s="527">
        <v>0</v>
      </c>
    </row>
    <row r="446" spans="1:19" x14ac:dyDescent="0.2">
      <c r="A446" s="524">
        <v>69097</v>
      </c>
      <c r="B446" s="526">
        <v>46209</v>
      </c>
      <c r="C446" s="524" t="s">
        <v>1148</v>
      </c>
      <c r="D446" s="524" t="s">
        <v>1205</v>
      </c>
      <c r="E446" s="524" t="s">
        <v>1335</v>
      </c>
      <c r="F446" s="524" t="s">
        <v>1183</v>
      </c>
      <c r="G446" s="524" t="s">
        <v>742</v>
      </c>
      <c r="H446" s="527">
        <v>400000</v>
      </c>
      <c r="I446" s="524" t="s">
        <v>1174</v>
      </c>
      <c r="J446" s="524">
        <f>IF(cmf[[#This Row],[D/C]]="C",cmf[[#This Row],[Valor]],-1*cmf[[#This Row],[Valor]])</f>
        <v>-400000</v>
      </c>
      <c r="L446" s="524" t="s">
        <v>1207</v>
      </c>
      <c r="M446" s="524" t="s">
        <v>1208</v>
      </c>
      <c r="N446" s="524" t="s">
        <v>1215</v>
      </c>
      <c r="O446" s="524" t="s">
        <v>1218</v>
      </c>
      <c r="P446" s="526">
        <v>46209</v>
      </c>
      <c r="S446" s="527">
        <v>0</v>
      </c>
    </row>
    <row r="447" spans="1:19" x14ac:dyDescent="0.2">
      <c r="A447" s="524">
        <v>69098</v>
      </c>
      <c r="B447" s="526">
        <v>46209</v>
      </c>
      <c r="C447" s="524" t="s">
        <v>1148</v>
      </c>
      <c r="D447" s="524" t="s">
        <v>1205</v>
      </c>
      <c r="E447" s="524" t="s">
        <v>1217</v>
      </c>
      <c r="F447" s="524" t="s">
        <v>1183</v>
      </c>
      <c r="G447" s="524" t="s">
        <v>800</v>
      </c>
      <c r="H447" s="527">
        <v>400000</v>
      </c>
      <c r="I447" s="524" t="s">
        <v>1148</v>
      </c>
      <c r="J447" s="524">
        <f>IF(cmf[[#This Row],[D/C]]="C",cmf[[#This Row],[Valor]],-1*cmf[[#This Row],[Valor]])</f>
        <v>400000</v>
      </c>
      <c r="L447" s="524" t="s">
        <v>1207</v>
      </c>
      <c r="M447" s="524" t="s">
        <v>1208</v>
      </c>
      <c r="N447" s="524" t="s">
        <v>1171</v>
      </c>
      <c r="O447" s="524" t="s">
        <v>1172</v>
      </c>
      <c r="P447" s="526">
        <v>46209</v>
      </c>
      <c r="S447" s="527">
        <v>0</v>
      </c>
    </row>
    <row r="448" spans="1:19" x14ac:dyDescent="0.2">
      <c r="A448" s="524">
        <v>69099</v>
      </c>
      <c r="B448" s="526">
        <v>46209</v>
      </c>
      <c r="C448" s="524" t="s">
        <v>1148</v>
      </c>
      <c r="D448" s="524" t="s">
        <v>1205</v>
      </c>
      <c r="E448" s="524" t="s">
        <v>1337</v>
      </c>
      <c r="F448" s="524" t="s">
        <v>1183</v>
      </c>
      <c r="G448" s="524" t="s">
        <v>742</v>
      </c>
      <c r="H448" s="527">
        <v>600000</v>
      </c>
      <c r="I448" s="524" t="s">
        <v>1174</v>
      </c>
      <c r="J448" s="524">
        <f>IF(cmf[[#This Row],[D/C]]="C",cmf[[#This Row],[Valor]],-1*cmf[[#This Row],[Valor]])</f>
        <v>-600000</v>
      </c>
      <c r="L448" s="524" t="s">
        <v>1207</v>
      </c>
      <c r="M448" s="524" t="s">
        <v>1208</v>
      </c>
      <c r="N448" s="524" t="s">
        <v>1215</v>
      </c>
      <c r="O448" s="524" t="s">
        <v>1218</v>
      </c>
      <c r="P448" s="526">
        <v>46209</v>
      </c>
      <c r="S448" s="527">
        <v>0</v>
      </c>
    </row>
    <row r="449" spans="1:19" x14ac:dyDescent="0.2">
      <c r="A449" s="524">
        <v>69100</v>
      </c>
      <c r="B449" s="526">
        <v>46209</v>
      </c>
      <c r="C449" s="524" t="s">
        <v>1148</v>
      </c>
      <c r="D449" s="524" t="s">
        <v>1205</v>
      </c>
      <c r="E449" s="524" t="s">
        <v>1217</v>
      </c>
      <c r="F449" s="524" t="s">
        <v>1183</v>
      </c>
      <c r="G449" s="524" t="s">
        <v>803</v>
      </c>
      <c r="H449" s="527">
        <v>600000</v>
      </c>
      <c r="I449" s="524" t="s">
        <v>1148</v>
      </c>
      <c r="J449" s="524">
        <f>IF(cmf[[#This Row],[D/C]]="C",cmf[[#This Row],[Valor]],-1*cmf[[#This Row],[Valor]])</f>
        <v>600000</v>
      </c>
      <c r="L449" s="524" t="s">
        <v>1207</v>
      </c>
      <c r="M449" s="524" t="s">
        <v>1208</v>
      </c>
      <c r="N449" s="524" t="s">
        <v>1192</v>
      </c>
      <c r="O449" s="524" t="s">
        <v>1193</v>
      </c>
      <c r="P449" s="526">
        <v>46209</v>
      </c>
      <c r="S449" s="527">
        <v>0</v>
      </c>
    </row>
    <row r="450" spans="1:19" x14ac:dyDescent="0.2">
      <c r="A450" s="524">
        <v>69101</v>
      </c>
      <c r="B450" s="526">
        <v>46209</v>
      </c>
      <c r="C450" s="524" t="s">
        <v>1148</v>
      </c>
      <c r="D450" s="524" t="s">
        <v>1205</v>
      </c>
      <c r="E450" s="524" t="s">
        <v>1541</v>
      </c>
      <c r="F450" s="524" t="s">
        <v>1183</v>
      </c>
      <c r="G450" s="524" t="s">
        <v>742</v>
      </c>
      <c r="H450" s="527">
        <v>105000</v>
      </c>
      <c r="I450" s="524" t="s">
        <v>1174</v>
      </c>
      <c r="J450" s="524">
        <f>IF(cmf[[#This Row],[D/C]]="C",cmf[[#This Row],[Valor]],-1*cmf[[#This Row],[Valor]])</f>
        <v>-105000</v>
      </c>
      <c r="L450" s="524" t="s">
        <v>1207</v>
      </c>
      <c r="M450" s="524" t="s">
        <v>1208</v>
      </c>
      <c r="N450" s="524" t="s">
        <v>1215</v>
      </c>
      <c r="O450" s="524" t="s">
        <v>1218</v>
      </c>
      <c r="P450" s="526">
        <v>46209</v>
      </c>
      <c r="S450" s="527">
        <v>0</v>
      </c>
    </row>
    <row r="451" spans="1:19" x14ac:dyDescent="0.2">
      <c r="A451" s="524">
        <v>69102</v>
      </c>
      <c r="B451" s="526">
        <v>46209</v>
      </c>
      <c r="C451" s="524" t="s">
        <v>1148</v>
      </c>
      <c r="D451" s="524" t="s">
        <v>1205</v>
      </c>
      <c r="E451" s="524" t="s">
        <v>1217</v>
      </c>
      <c r="F451" s="524" t="s">
        <v>1183</v>
      </c>
      <c r="G451" s="524" t="s">
        <v>766</v>
      </c>
      <c r="H451" s="527">
        <v>105000</v>
      </c>
      <c r="I451" s="524" t="s">
        <v>1148</v>
      </c>
      <c r="J451" s="524">
        <f>IF(cmf[[#This Row],[D/C]]="C",cmf[[#This Row],[Valor]],-1*cmf[[#This Row],[Valor]])</f>
        <v>105000</v>
      </c>
      <c r="L451" s="524" t="s">
        <v>1207</v>
      </c>
      <c r="M451" s="524" t="s">
        <v>1208</v>
      </c>
      <c r="N451" s="524" t="s">
        <v>1200</v>
      </c>
      <c r="O451" s="524" t="s">
        <v>1201</v>
      </c>
      <c r="P451" s="526">
        <v>46209</v>
      </c>
      <c r="S451" s="527">
        <v>0</v>
      </c>
    </row>
    <row r="452" spans="1:19" x14ac:dyDescent="0.2">
      <c r="A452" s="524">
        <v>69103</v>
      </c>
      <c r="B452" s="526">
        <v>46209</v>
      </c>
      <c r="C452" s="524" t="s">
        <v>1148</v>
      </c>
      <c r="D452" s="524" t="s">
        <v>1205</v>
      </c>
      <c r="E452" s="524" t="s">
        <v>1214</v>
      </c>
      <c r="F452" s="524" t="s">
        <v>1170</v>
      </c>
      <c r="G452" s="524" t="s">
        <v>768</v>
      </c>
      <c r="H452" s="527">
        <v>500000</v>
      </c>
      <c r="I452" s="524" t="s">
        <v>1174</v>
      </c>
      <c r="J452" s="524">
        <f>IF(cmf[[#This Row],[D/C]]="C",cmf[[#This Row],[Valor]],-1*cmf[[#This Row],[Valor]])</f>
        <v>-500000</v>
      </c>
      <c r="L452" s="524" t="s">
        <v>1207</v>
      </c>
      <c r="M452" s="524" t="s">
        <v>1208</v>
      </c>
      <c r="N452" s="524" t="s">
        <v>1219</v>
      </c>
      <c r="O452" s="524" t="s">
        <v>1220</v>
      </c>
      <c r="P452" s="526">
        <v>46209</v>
      </c>
      <c r="S452" s="527">
        <v>0</v>
      </c>
    </row>
    <row r="453" spans="1:19" x14ac:dyDescent="0.2">
      <c r="A453" s="524">
        <v>69104</v>
      </c>
      <c r="B453" s="526">
        <v>46209</v>
      </c>
      <c r="C453" s="524" t="s">
        <v>1148</v>
      </c>
      <c r="D453" s="524" t="s">
        <v>1205</v>
      </c>
      <c r="E453" s="524" t="s">
        <v>1282</v>
      </c>
      <c r="F453" s="524" t="s">
        <v>1183</v>
      </c>
      <c r="G453" s="524" t="s">
        <v>742</v>
      </c>
      <c r="H453" s="527">
        <v>500000</v>
      </c>
      <c r="I453" s="524" t="s">
        <v>1148</v>
      </c>
      <c r="J453" s="524">
        <f>IF(cmf[[#This Row],[D/C]]="C",cmf[[#This Row],[Valor]],-1*cmf[[#This Row],[Valor]])</f>
        <v>500000</v>
      </c>
      <c r="L453" s="524" t="s">
        <v>1207</v>
      </c>
      <c r="M453" s="524" t="s">
        <v>1208</v>
      </c>
      <c r="N453" s="524" t="s">
        <v>1215</v>
      </c>
      <c r="O453" s="524" t="s">
        <v>1218</v>
      </c>
      <c r="P453" s="526">
        <v>46209</v>
      </c>
      <c r="S453" s="527">
        <v>0</v>
      </c>
    </row>
    <row r="454" spans="1:19" x14ac:dyDescent="0.2">
      <c r="A454" s="524">
        <v>69105</v>
      </c>
      <c r="B454" s="526">
        <v>46209</v>
      </c>
      <c r="C454" s="524" t="s">
        <v>1148</v>
      </c>
      <c r="D454" s="524" t="s">
        <v>1205</v>
      </c>
      <c r="E454" s="524" t="s">
        <v>1542</v>
      </c>
      <c r="F454" s="524" t="s">
        <v>1183</v>
      </c>
      <c r="G454" s="524" t="s">
        <v>766</v>
      </c>
      <c r="H454" s="527">
        <v>20000</v>
      </c>
      <c r="I454" s="524" t="s">
        <v>1174</v>
      </c>
      <c r="J454" s="524">
        <f>IF(cmf[[#This Row],[D/C]]="C",cmf[[#This Row],[Valor]],-1*cmf[[#This Row],[Valor]])</f>
        <v>-20000</v>
      </c>
      <c r="L454" s="524" t="s">
        <v>1207</v>
      </c>
      <c r="M454" s="524" t="s">
        <v>1208</v>
      </c>
      <c r="N454" s="524" t="s">
        <v>1200</v>
      </c>
      <c r="O454" s="524" t="s">
        <v>1201</v>
      </c>
      <c r="P454" s="526">
        <v>46209</v>
      </c>
      <c r="S454" s="527">
        <v>0</v>
      </c>
    </row>
    <row r="455" spans="1:19" x14ac:dyDescent="0.2">
      <c r="A455" s="524">
        <v>69106</v>
      </c>
      <c r="B455" s="526">
        <v>46209</v>
      </c>
      <c r="C455" s="524" t="s">
        <v>1148</v>
      </c>
      <c r="D455" s="524" t="s">
        <v>1205</v>
      </c>
      <c r="E455" s="524" t="s">
        <v>1538</v>
      </c>
      <c r="F455" s="524" t="s">
        <v>1183</v>
      </c>
      <c r="G455" s="524" t="s">
        <v>789</v>
      </c>
      <c r="H455" s="527">
        <v>20000</v>
      </c>
      <c r="I455" s="524" t="s">
        <v>1148</v>
      </c>
      <c r="J455" s="524">
        <f>IF(cmf[[#This Row],[D/C]]="C",cmf[[#This Row],[Valor]],-1*cmf[[#This Row],[Valor]])</f>
        <v>20000</v>
      </c>
      <c r="L455" s="524" t="s">
        <v>1207</v>
      </c>
      <c r="M455" s="524" t="s">
        <v>1208</v>
      </c>
      <c r="N455" s="524" t="s">
        <v>1271</v>
      </c>
      <c r="O455" s="524" t="s">
        <v>1272</v>
      </c>
      <c r="P455" s="526">
        <v>46209</v>
      </c>
      <c r="S455" s="527">
        <v>0</v>
      </c>
    </row>
    <row r="456" spans="1:19" x14ac:dyDescent="0.2">
      <c r="A456" s="524">
        <v>69107</v>
      </c>
      <c r="B456" s="526">
        <v>46209</v>
      </c>
      <c r="C456" s="524" t="s">
        <v>1148</v>
      </c>
      <c r="D456" s="524" t="s">
        <v>1205</v>
      </c>
      <c r="E456" s="524" t="s">
        <v>1542</v>
      </c>
      <c r="F456" s="524" t="s">
        <v>1183</v>
      </c>
      <c r="G456" s="524" t="s">
        <v>769</v>
      </c>
      <c r="H456" s="527">
        <v>20000</v>
      </c>
      <c r="I456" s="524" t="s">
        <v>1174</v>
      </c>
      <c r="J456" s="524">
        <f>IF(cmf[[#This Row],[D/C]]="C",cmf[[#This Row],[Valor]],-1*cmf[[#This Row],[Valor]])</f>
        <v>-20000</v>
      </c>
      <c r="L456" s="524" t="s">
        <v>1207</v>
      </c>
      <c r="M456" s="524" t="s">
        <v>1208</v>
      </c>
      <c r="N456" s="524" t="s">
        <v>1219</v>
      </c>
      <c r="O456" s="524" t="s">
        <v>1220</v>
      </c>
      <c r="P456" s="526">
        <v>46209</v>
      </c>
      <c r="S456" s="527">
        <v>0</v>
      </c>
    </row>
    <row r="457" spans="1:19" x14ac:dyDescent="0.2">
      <c r="A457" s="524">
        <v>69108</v>
      </c>
      <c r="B457" s="526">
        <v>46209</v>
      </c>
      <c r="C457" s="524" t="s">
        <v>1148</v>
      </c>
      <c r="D457" s="524" t="s">
        <v>1205</v>
      </c>
      <c r="E457" s="524" t="s">
        <v>1282</v>
      </c>
      <c r="F457" s="524" t="s">
        <v>1183</v>
      </c>
      <c r="G457" s="524" t="s">
        <v>789</v>
      </c>
      <c r="H457" s="527">
        <v>20000</v>
      </c>
      <c r="I457" s="524" t="s">
        <v>1148</v>
      </c>
      <c r="J457" s="524">
        <f>IF(cmf[[#This Row],[D/C]]="C",cmf[[#This Row],[Valor]],-1*cmf[[#This Row],[Valor]])</f>
        <v>20000</v>
      </c>
      <c r="L457" s="524" t="s">
        <v>1207</v>
      </c>
      <c r="M457" s="524" t="s">
        <v>1208</v>
      </c>
      <c r="N457" s="524" t="s">
        <v>1271</v>
      </c>
      <c r="O457" s="524" t="s">
        <v>1272</v>
      </c>
      <c r="P457" s="526">
        <v>46209</v>
      </c>
      <c r="S457" s="527">
        <v>0</v>
      </c>
    </row>
    <row r="458" spans="1:19" x14ac:dyDescent="0.2">
      <c r="A458" s="524">
        <v>69109</v>
      </c>
      <c r="B458" s="526">
        <v>46209</v>
      </c>
      <c r="C458" s="524" t="s">
        <v>1148</v>
      </c>
      <c r="D458" s="524" t="s">
        <v>1205</v>
      </c>
      <c r="E458" s="524" t="s">
        <v>1542</v>
      </c>
      <c r="F458" s="524" t="s">
        <v>1183</v>
      </c>
      <c r="G458" s="524" t="s">
        <v>758</v>
      </c>
      <c r="H458" s="527">
        <v>20000</v>
      </c>
      <c r="I458" s="524" t="s">
        <v>1174</v>
      </c>
      <c r="J458" s="524">
        <f>IF(cmf[[#This Row],[D/C]]="C",cmf[[#This Row],[Valor]],-1*cmf[[#This Row],[Valor]])</f>
        <v>-20000</v>
      </c>
      <c r="L458" s="524" t="s">
        <v>1207</v>
      </c>
      <c r="M458" s="524" t="s">
        <v>1208</v>
      </c>
      <c r="N458" s="524" t="s">
        <v>1223</v>
      </c>
      <c r="O458" s="524" t="s">
        <v>1224</v>
      </c>
      <c r="P458" s="526">
        <v>46209</v>
      </c>
      <c r="S458" s="527">
        <v>0</v>
      </c>
    </row>
    <row r="459" spans="1:19" x14ac:dyDescent="0.2">
      <c r="A459" s="524">
        <v>69110</v>
      </c>
      <c r="B459" s="526">
        <v>46209</v>
      </c>
      <c r="C459" s="524" t="s">
        <v>1148</v>
      </c>
      <c r="D459" s="524" t="s">
        <v>1205</v>
      </c>
      <c r="E459" s="524" t="s">
        <v>1234</v>
      </c>
      <c r="F459" s="524" t="s">
        <v>1183</v>
      </c>
      <c r="G459" s="524" t="s">
        <v>789</v>
      </c>
      <c r="H459" s="527">
        <v>20000</v>
      </c>
      <c r="I459" s="524" t="s">
        <v>1148</v>
      </c>
      <c r="J459" s="524">
        <f>IF(cmf[[#This Row],[D/C]]="C",cmf[[#This Row],[Valor]],-1*cmf[[#This Row],[Valor]])</f>
        <v>20000</v>
      </c>
      <c r="L459" s="524" t="s">
        <v>1207</v>
      </c>
      <c r="M459" s="524" t="s">
        <v>1208</v>
      </c>
      <c r="N459" s="524" t="s">
        <v>1271</v>
      </c>
      <c r="O459" s="524" t="s">
        <v>1272</v>
      </c>
      <c r="P459" s="526">
        <v>46209</v>
      </c>
      <c r="S459" s="527">
        <v>0</v>
      </c>
    </row>
    <row r="460" spans="1:19" x14ac:dyDescent="0.2">
      <c r="A460" s="524">
        <v>69111</v>
      </c>
      <c r="B460" s="526">
        <v>46209</v>
      </c>
      <c r="C460" s="524" t="s">
        <v>1148</v>
      </c>
      <c r="D460" s="524" t="s">
        <v>1205</v>
      </c>
      <c r="E460" s="524" t="s">
        <v>1542</v>
      </c>
      <c r="F460" s="524" t="s">
        <v>1183</v>
      </c>
      <c r="G460" s="524" t="s">
        <v>803</v>
      </c>
      <c r="H460" s="527">
        <v>20000</v>
      </c>
      <c r="I460" s="524" t="s">
        <v>1174</v>
      </c>
      <c r="J460" s="524">
        <f>IF(cmf[[#This Row],[D/C]]="C",cmf[[#This Row],[Valor]],-1*cmf[[#This Row],[Valor]])</f>
        <v>-20000</v>
      </c>
      <c r="L460" s="524" t="s">
        <v>1207</v>
      </c>
      <c r="M460" s="524" t="s">
        <v>1208</v>
      </c>
      <c r="N460" s="524" t="s">
        <v>1192</v>
      </c>
      <c r="O460" s="524" t="s">
        <v>1193</v>
      </c>
      <c r="P460" s="526">
        <v>46209</v>
      </c>
      <c r="S460" s="527">
        <v>0</v>
      </c>
    </row>
    <row r="461" spans="1:19" x14ac:dyDescent="0.2">
      <c r="A461" s="524">
        <v>69112</v>
      </c>
      <c r="B461" s="526">
        <v>46209</v>
      </c>
      <c r="C461" s="524" t="s">
        <v>1148</v>
      </c>
      <c r="D461" s="524" t="s">
        <v>1205</v>
      </c>
      <c r="E461" s="524" t="s">
        <v>1342</v>
      </c>
      <c r="F461" s="524" t="s">
        <v>1183</v>
      </c>
      <c r="G461" s="524" t="s">
        <v>789</v>
      </c>
      <c r="H461" s="527">
        <v>20000</v>
      </c>
      <c r="I461" s="524" t="s">
        <v>1148</v>
      </c>
      <c r="J461" s="524">
        <f>IF(cmf[[#This Row],[D/C]]="C",cmf[[#This Row],[Valor]],-1*cmf[[#This Row],[Valor]])</f>
        <v>20000</v>
      </c>
      <c r="L461" s="524" t="s">
        <v>1207</v>
      </c>
      <c r="M461" s="524" t="s">
        <v>1208</v>
      </c>
      <c r="N461" s="524" t="s">
        <v>1271</v>
      </c>
      <c r="O461" s="524" t="s">
        <v>1272</v>
      </c>
      <c r="P461" s="526">
        <v>46209</v>
      </c>
      <c r="S461" s="527">
        <v>0</v>
      </c>
    </row>
    <row r="462" spans="1:19" x14ac:dyDescent="0.2">
      <c r="A462" s="524">
        <v>69113</v>
      </c>
      <c r="B462" s="526">
        <v>46209</v>
      </c>
      <c r="C462" s="524" t="s">
        <v>1148</v>
      </c>
      <c r="D462" s="524" t="s">
        <v>1205</v>
      </c>
      <c r="E462" s="524" t="s">
        <v>1542</v>
      </c>
      <c r="F462" s="524" t="s">
        <v>1183</v>
      </c>
      <c r="G462" s="524" t="s">
        <v>800</v>
      </c>
      <c r="H462" s="527">
        <v>20000</v>
      </c>
      <c r="I462" s="524" t="s">
        <v>1174</v>
      </c>
      <c r="J462" s="524">
        <f>IF(cmf[[#This Row],[D/C]]="C",cmf[[#This Row],[Valor]],-1*cmf[[#This Row],[Valor]])</f>
        <v>-20000</v>
      </c>
      <c r="L462" s="524" t="s">
        <v>1207</v>
      </c>
      <c r="M462" s="524" t="s">
        <v>1208</v>
      </c>
      <c r="N462" s="524" t="s">
        <v>1171</v>
      </c>
      <c r="O462" s="524" t="s">
        <v>1172</v>
      </c>
      <c r="P462" s="526">
        <v>46209</v>
      </c>
      <c r="S462" s="527">
        <v>0</v>
      </c>
    </row>
    <row r="463" spans="1:19" x14ac:dyDescent="0.2">
      <c r="A463" s="524">
        <v>69114</v>
      </c>
      <c r="B463" s="526">
        <v>46209</v>
      </c>
      <c r="C463" s="524" t="s">
        <v>1148</v>
      </c>
      <c r="D463" s="524" t="s">
        <v>1205</v>
      </c>
      <c r="E463" s="524" t="s">
        <v>1330</v>
      </c>
      <c r="F463" s="524" t="s">
        <v>1183</v>
      </c>
      <c r="G463" s="524" t="s">
        <v>789</v>
      </c>
      <c r="H463" s="527">
        <v>20000</v>
      </c>
      <c r="I463" s="524" t="s">
        <v>1148</v>
      </c>
      <c r="J463" s="524">
        <f>IF(cmf[[#This Row],[D/C]]="C",cmf[[#This Row],[Valor]],-1*cmf[[#This Row],[Valor]])</f>
        <v>20000</v>
      </c>
      <c r="L463" s="524" t="s">
        <v>1207</v>
      </c>
      <c r="M463" s="524" t="s">
        <v>1208</v>
      </c>
      <c r="N463" s="524" t="s">
        <v>1271</v>
      </c>
      <c r="O463" s="524" t="s">
        <v>1272</v>
      </c>
      <c r="P463" s="526">
        <v>46209</v>
      </c>
      <c r="S463" s="527">
        <v>0</v>
      </c>
    </row>
    <row r="464" spans="1:19" x14ac:dyDescent="0.2">
      <c r="A464" s="524">
        <v>69115</v>
      </c>
      <c r="B464" s="526">
        <v>46209</v>
      </c>
      <c r="C464" s="524" t="s">
        <v>1148</v>
      </c>
      <c r="D464" s="524" t="s">
        <v>1205</v>
      </c>
      <c r="E464" s="524" t="s">
        <v>1543</v>
      </c>
      <c r="F464" s="524" t="s">
        <v>1183</v>
      </c>
      <c r="G464" s="524" t="s">
        <v>742</v>
      </c>
      <c r="H464" s="527">
        <v>97000</v>
      </c>
      <c r="I464" s="524" t="s">
        <v>1174</v>
      </c>
      <c r="J464" s="524">
        <f>IF(cmf[[#This Row],[D/C]]="C",cmf[[#This Row],[Valor]],-1*cmf[[#This Row],[Valor]])</f>
        <v>-97000</v>
      </c>
      <c r="L464" s="524" t="s">
        <v>1207</v>
      </c>
      <c r="M464" s="524" t="s">
        <v>1208</v>
      </c>
      <c r="N464" s="524" t="s">
        <v>1215</v>
      </c>
      <c r="O464" s="524" t="s">
        <v>1218</v>
      </c>
      <c r="P464" s="526">
        <v>46209</v>
      </c>
      <c r="S464" s="527">
        <v>0</v>
      </c>
    </row>
    <row r="465" spans="1:19" x14ac:dyDescent="0.2">
      <c r="A465" s="524">
        <v>69116</v>
      </c>
      <c r="B465" s="526">
        <v>46209</v>
      </c>
      <c r="C465" s="524" t="s">
        <v>1162</v>
      </c>
      <c r="D465" s="524" t="s">
        <v>1205</v>
      </c>
      <c r="E465" s="524" t="s">
        <v>1217</v>
      </c>
      <c r="F465" s="524" t="s">
        <v>1170</v>
      </c>
      <c r="G465" s="524" t="s">
        <v>781</v>
      </c>
      <c r="H465" s="527">
        <v>97000</v>
      </c>
      <c r="I465" s="524" t="s">
        <v>1148</v>
      </c>
      <c r="J465" s="524">
        <f>IF(cmf[[#This Row],[D/C]]="C",cmf[[#This Row],[Valor]],-1*cmf[[#This Row],[Valor]])</f>
        <v>97000</v>
      </c>
      <c r="L465" s="524" t="s">
        <v>1207</v>
      </c>
      <c r="M465" s="524" t="s">
        <v>1208</v>
      </c>
      <c r="N465" s="524" t="s">
        <v>1209</v>
      </c>
      <c r="O465" s="524" t="s">
        <v>1210</v>
      </c>
      <c r="P465" s="526"/>
      <c r="S465" s="527">
        <v>0</v>
      </c>
    </row>
    <row r="466" spans="1:19" x14ac:dyDescent="0.2">
      <c r="A466" s="524">
        <v>69117</v>
      </c>
      <c r="B466" s="526">
        <v>46209</v>
      </c>
      <c r="C466" s="524" t="s">
        <v>1162</v>
      </c>
      <c r="D466" s="524" t="s">
        <v>1205</v>
      </c>
      <c r="E466" s="524" t="s">
        <v>1206</v>
      </c>
      <c r="F466" s="524" t="s">
        <v>1170</v>
      </c>
      <c r="G466" s="524" t="s">
        <v>781</v>
      </c>
      <c r="H466" s="527">
        <v>60000</v>
      </c>
      <c r="I466" s="524" t="s">
        <v>1174</v>
      </c>
      <c r="J466" s="524">
        <f>IF(cmf[[#This Row],[D/C]]="C",cmf[[#This Row],[Valor]],-1*cmf[[#This Row],[Valor]])</f>
        <v>-60000</v>
      </c>
      <c r="L466" s="524" t="s">
        <v>1207</v>
      </c>
      <c r="M466" s="524" t="s">
        <v>1208</v>
      </c>
      <c r="N466" s="524" t="s">
        <v>1209</v>
      </c>
      <c r="O466" s="524" t="s">
        <v>1210</v>
      </c>
      <c r="P466" s="526"/>
      <c r="S466" s="527">
        <v>0</v>
      </c>
    </row>
    <row r="467" spans="1:19" x14ac:dyDescent="0.2">
      <c r="A467" s="524">
        <v>69118</v>
      </c>
      <c r="B467" s="526">
        <v>46209</v>
      </c>
      <c r="C467" s="524" t="s">
        <v>1162</v>
      </c>
      <c r="D467" s="524" t="s">
        <v>1205</v>
      </c>
      <c r="E467" s="524" t="s">
        <v>1211</v>
      </c>
      <c r="F467" s="524" t="s">
        <v>1170</v>
      </c>
      <c r="G467" s="524" t="s">
        <v>775</v>
      </c>
      <c r="H467" s="527">
        <v>60000</v>
      </c>
      <c r="I467" s="524" t="s">
        <v>1148</v>
      </c>
      <c r="J467" s="524">
        <f>IF(cmf[[#This Row],[D/C]]="C",cmf[[#This Row],[Valor]],-1*cmf[[#This Row],[Valor]])</f>
        <v>60000</v>
      </c>
      <c r="L467" s="524" t="s">
        <v>1207</v>
      </c>
      <c r="M467" s="524" t="s">
        <v>1208</v>
      </c>
      <c r="N467" s="524" t="s">
        <v>1212</v>
      </c>
      <c r="O467" s="524" t="s">
        <v>1213</v>
      </c>
      <c r="P467" s="526"/>
      <c r="S467" s="527">
        <v>0</v>
      </c>
    </row>
    <row r="468" spans="1:19" x14ac:dyDescent="0.2">
      <c r="A468" s="524">
        <v>69119</v>
      </c>
      <c r="B468" s="526">
        <v>46209</v>
      </c>
      <c r="C468" s="524" t="s">
        <v>1162</v>
      </c>
      <c r="D468" s="524" t="s">
        <v>1205</v>
      </c>
      <c r="E468" s="524" t="s">
        <v>1339</v>
      </c>
      <c r="F468" s="524" t="s">
        <v>1170</v>
      </c>
      <c r="G468" s="524" t="s">
        <v>781</v>
      </c>
      <c r="H468" s="527">
        <v>2000</v>
      </c>
      <c r="I468" s="524" t="s">
        <v>1174</v>
      </c>
      <c r="J468" s="524">
        <f>IF(cmf[[#This Row],[D/C]]="C",cmf[[#This Row],[Valor]],-1*cmf[[#This Row],[Valor]])</f>
        <v>-2000</v>
      </c>
      <c r="L468" s="524" t="s">
        <v>1207</v>
      </c>
      <c r="M468" s="524" t="s">
        <v>1208</v>
      </c>
      <c r="N468" s="524" t="s">
        <v>1209</v>
      </c>
      <c r="O468" s="524" t="s">
        <v>1210</v>
      </c>
      <c r="P468" s="526"/>
      <c r="S468" s="527">
        <v>0</v>
      </c>
    </row>
    <row r="469" spans="1:19" x14ac:dyDescent="0.2">
      <c r="A469" s="524">
        <v>69120</v>
      </c>
      <c r="B469" s="526">
        <v>46209</v>
      </c>
      <c r="C469" s="524" t="s">
        <v>1162</v>
      </c>
      <c r="D469" s="524" t="s">
        <v>1205</v>
      </c>
      <c r="E469" s="524" t="s">
        <v>1211</v>
      </c>
      <c r="F469" s="524" t="s">
        <v>1170</v>
      </c>
      <c r="G469" s="524" t="s">
        <v>794</v>
      </c>
      <c r="H469" s="527">
        <v>2000</v>
      </c>
      <c r="I469" s="524" t="s">
        <v>1148</v>
      </c>
      <c r="J469" s="524">
        <f>IF(cmf[[#This Row],[D/C]]="C",cmf[[#This Row],[Valor]],-1*cmf[[#This Row],[Valor]])</f>
        <v>2000</v>
      </c>
      <c r="L469" s="524" t="s">
        <v>1207</v>
      </c>
      <c r="M469" s="524" t="s">
        <v>1208</v>
      </c>
      <c r="N469" s="524" t="s">
        <v>1340</v>
      </c>
      <c r="O469" s="524" t="s">
        <v>1341</v>
      </c>
      <c r="P469" s="526"/>
      <c r="S469" s="527">
        <v>0</v>
      </c>
    </row>
    <row r="470" spans="1:19" x14ac:dyDescent="0.2">
      <c r="A470" s="524">
        <v>69216</v>
      </c>
      <c r="B470" s="526">
        <v>46209</v>
      </c>
      <c r="C470" s="524" t="s">
        <v>1148</v>
      </c>
      <c r="D470" s="524" t="s">
        <v>1186</v>
      </c>
      <c r="E470" s="524" t="s">
        <v>1544</v>
      </c>
      <c r="F470" s="524" t="s">
        <v>1183</v>
      </c>
      <c r="G470" s="524" t="s">
        <v>769</v>
      </c>
      <c r="H470" s="527">
        <v>1884.8</v>
      </c>
      <c r="I470" s="524" t="s">
        <v>1174</v>
      </c>
      <c r="J470" s="524">
        <f>IF(cmf[[#This Row],[D/C]]="C",cmf[[#This Row],[Valor]],-1*cmf[[#This Row],[Valor]])</f>
        <v>-1884.8</v>
      </c>
      <c r="L470" s="524" t="s">
        <v>1188</v>
      </c>
      <c r="M470" s="524" t="s">
        <v>1189</v>
      </c>
      <c r="N470" s="524" t="s">
        <v>1219</v>
      </c>
      <c r="O470" s="524" t="s">
        <v>1220</v>
      </c>
      <c r="P470" s="526">
        <v>46209</v>
      </c>
      <c r="S470" s="527">
        <v>0</v>
      </c>
    </row>
    <row r="471" spans="1:19" x14ac:dyDescent="0.2">
      <c r="A471" s="524">
        <v>69223</v>
      </c>
      <c r="B471" s="526">
        <v>46209</v>
      </c>
      <c r="C471" s="524" t="s">
        <v>1148</v>
      </c>
      <c r="D471" s="524" t="s">
        <v>1186</v>
      </c>
      <c r="E471" s="524" t="s">
        <v>1545</v>
      </c>
      <c r="F471" s="524" t="s">
        <v>1183</v>
      </c>
      <c r="G471" s="524" t="s">
        <v>763</v>
      </c>
      <c r="H471" s="527">
        <v>265</v>
      </c>
      <c r="I471" s="524" t="s">
        <v>1174</v>
      </c>
      <c r="J471" s="524">
        <f>IF(cmf[[#This Row],[D/C]]="C",cmf[[#This Row],[Valor]],-1*cmf[[#This Row],[Valor]])</f>
        <v>-265</v>
      </c>
      <c r="L471" s="524" t="s">
        <v>1188</v>
      </c>
      <c r="M471" s="524" t="s">
        <v>1189</v>
      </c>
      <c r="N471" s="524" t="s">
        <v>1180</v>
      </c>
      <c r="O471" s="524" t="s">
        <v>1181</v>
      </c>
      <c r="P471" s="526">
        <v>46209</v>
      </c>
      <c r="S471" s="527">
        <v>0</v>
      </c>
    </row>
    <row r="472" spans="1:19" x14ac:dyDescent="0.2">
      <c r="A472" s="524">
        <v>69284</v>
      </c>
      <c r="B472" s="526">
        <v>46209</v>
      </c>
      <c r="C472" s="524" t="s">
        <v>1148</v>
      </c>
      <c r="D472" s="524" t="s">
        <v>1243</v>
      </c>
      <c r="E472" s="524" t="s">
        <v>1266</v>
      </c>
      <c r="F472" s="524" t="s">
        <v>1183</v>
      </c>
      <c r="G472" s="524" t="s">
        <v>800</v>
      </c>
      <c r="H472" s="527">
        <v>105550.59</v>
      </c>
      <c r="I472" s="524" t="s">
        <v>1174</v>
      </c>
      <c r="J472" s="524">
        <f>IF(cmf[[#This Row],[D/C]]="C",cmf[[#This Row],[Valor]],-1*cmf[[#This Row],[Valor]])</f>
        <v>-105550.59</v>
      </c>
      <c r="L472" s="524" t="s">
        <v>1245</v>
      </c>
      <c r="M472" s="524" t="s">
        <v>1246</v>
      </c>
      <c r="N472" s="524" t="s">
        <v>1171</v>
      </c>
      <c r="O472" s="524" t="s">
        <v>1172</v>
      </c>
      <c r="P472" s="526">
        <v>46209</v>
      </c>
      <c r="S472" s="527">
        <v>0</v>
      </c>
    </row>
    <row r="473" spans="1:19" x14ac:dyDescent="0.2">
      <c r="A473" s="524">
        <v>69347</v>
      </c>
      <c r="B473" s="526">
        <v>46209</v>
      </c>
      <c r="C473" s="524" t="s">
        <v>1148</v>
      </c>
      <c r="D473" s="524" t="s">
        <v>1243</v>
      </c>
      <c r="E473" s="524" t="s">
        <v>1266</v>
      </c>
      <c r="F473" s="524" t="s">
        <v>1183</v>
      </c>
      <c r="G473" s="524" t="s">
        <v>803</v>
      </c>
      <c r="H473" s="527">
        <v>40395.279999999999</v>
      </c>
      <c r="I473" s="524" t="s">
        <v>1174</v>
      </c>
      <c r="J473" s="524">
        <f>IF(cmf[[#This Row],[D/C]]="C",cmf[[#This Row],[Valor]],-1*cmf[[#This Row],[Valor]])</f>
        <v>-40395.279999999999</v>
      </c>
      <c r="L473" s="524" t="s">
        <v>1245</v>
      </c>
      <c r="M473" s="524" t="s">
        <v>1246</v>
      </c>
      <c r="N473" s="524" t="s">
        <v>1192</v>
      </c>
      <c r="O473" s="524" t="s">
        <v>1193</v>
      </c>
      <c r="P473" s="526">
        <v>46209</v>
      </c>
      <c r="S473" s="527">
        <v>0</v>
      </c>
    </row>
    <row r="474" spans="1:19" x14ac:dyDescent="0.2">
      <c r="A474" s="524">
        <v>69388</v>
      </c>
      <c r="B474" s="526">
        <v>46209</v>
      </c>
      <c r="C474" s="524" t="s">
        <v>1148</v>
      </c>
      <c r="D474" s="524" t="s">
        <v>1186</v>
      </c>
      <c r="E474" s="524" t="s">
        <v>1546</v>
      </c>
      <c r="F474" s="524" t="s">
        <v>1183</v>
      </c>
      <c r="G474" s="524" t="s">
        <v>803</v>
      </c>
      <c r="H474" s="527">
        <v>476.75</v>
      </c>
      <c r="I474" s="524" t="s">
        <v>1174</v>
      </c>
      <c r="J474" s="524">
        <f>IF(cmf[[#This Row],[D/C]]="C",cmf[[#This Row],[Valor]],-1*cmf[[#This Row],[Valor]])</f>
        <v>-476.75</v>
      </c>
      <c r="L474" s="524" t="s">
        <v>1188</v>
      </c>
      <c r="M474" s="524" t="s">
        <v>1189</v>
      </c>
      <c r="N474" s="524" t="s">
        <v>1192</v>
      </c>
      <c r="O474" s="524" t="s">
        <v>1193</v>
      </c>
      <c r="P474" s="526">
        <v>46209</v>
      </c>
      <c r="S474" s="527">
        <v>0</v>
      </c>
    </row>
    <row r="475" spans="1:19" x14ac:dyDescent="0.2">
      <c r="A475" s="524">
        <v>69410</v>
      </c>
      <c r="B475" s="526">
        <v>46209</v>
      </c>
      <c r="C475" s="524" t="s">
        <v>1148</v>
      </c>
      <c r="D475" s="524" t="s">
        <v>1226</v>
      </c>
      <c r="E475" s="524" t="s">
        <v>1547</v>
      </c>
      <c r="F475" s="524" t="s">
        <v>1170</v>
      </c>
      <c r="G475" s="524" t="s">
        <v>1102</v>
      </c>
      <c r="H475" s="527">
        <v>1063</v>
      </c>
      <c r="I475" s="524" t="s">
        <v>1148</v>
      </c>
      <c r="J475" s="524">
        <f>IF(cmf[[#This Row],[D/C]]="C",cmf[[#This Row],[Valor]],-1*cmf[[#This Row],[Valor]])</f>
        <v>1063</v>
      </c>
      <c r="L475" s="524" t="s">
        <v>1230</v>
      </c>
      <c r="M475" s="524" t="s">
        <v>1231</v>
      </c>
      <c r="N475" s="524" t="s">
        <v>1192</v>
      </c>
      <c r="O475" s="524" t="s">
        <v>1193</v>
      </c>
      <c r="P475" s="526">
        <v>46209</v>
      </c>
      <c r="S475" s="527">
        <v>0</v>
      </c>
    </row>
    <row r="476" spans="1:19" x14ac:dyDescent="0.2">
      <c r="A476" s="524">
        <v>69411</v>
      </c>
      <c r="B476" s="526">
        <v>46209</v>
      </c>
      <c r="C476" s="524" t="s">
        <v>1148</v>
      </c>
      <c r="D476" s="524" t="s">
        <v>1226</v>
      </c>
      <c r="E476" s="524" t="s">
        <v>1548</v>
      </c>
      <c r="F476" s="524" t="s">
        <v>1170</v>
      </c>
      <c r="G476" s="524" t="s">
        <v>1102</v>
      </c>
      <c r="H476" s="527">
        <v>273.89999999999998</v>
      </c>
      <c r="I476" s="524" t="s">
        <v>1148</v>
      </c>
      <c r="J476" s="524">
        <f>IF(cmf[[#This Row],[D/C]]="C",cmf[[#This Row],[Valor]],-1*cmf[[#This Row],[Valor]])</f>
        <v>273.89999999999998</v>
      </c>
      <c r="L476" s="524" t="s">
        <v>1230</v>
      </c>
      <c r="M476" s="524" t="s">
        <v>1231</v>
      </c>
      <c r="N476" s="524" t="s">
        <v>1192</v>
      </c>
      <c r="O476" s="524" t="s">
        <v>1193</v>
      </c>
      <c r="P476" s="526">
        <v>46209</v>
      </c>
      <c r="S476" s="527">
        <v>0</v>
      </c>
    </row>
    <row r="477" spans="1:19" x14ac:dyDescent="0.2">
      <c r="A477" s="524">
        <v>69412</v>
      </c>
      <c r="B477" s="526">
        <v>46209</v>
      </c>
      <c r="C477" s="524" t="s">
        <v>1148</v>
      </c>
      <c r="D477" s="524" t="s">
        <v>1226</v>
      </c>
      <c r="E477" s="524" t="s">
        <v>1549</v>
      </c>
      <c r="F477" s="524" t="s">
        <v>1170</v>
      </c>
      <c r="G477" s="524" t="s">
        <v>1102</v>
      </c>
      <c r="H477" s="527">
        <v>306.8</v>
      </c>
      <c r="I477" s="524" t="s">
        <v>1148</v>
      </c>
      <c r="J477" s="524">
        <f>IF(cmf[[#This Row],[D/C]]="C",cmf[[#This Row],[Valor]],-1*cmf[[#This Row],[Valor]])</f>
        <v>306.8</v>
      </c>
      <c r="L477" s="524" t="s">
        <v>1230</v>
      </c>
      <c r="M477" s="524" t="s">
        <v>1231</v>
      </c>
      <c r="N477" s="524" t="s">
        <v>1192</v>
      </c>
      <c r="O477" s="524" t="s">
        <v>1193</v>
      </c>
      <c r="P477" s="526">
        <v>46209</v>
      </c>
      <c r="S477" s="527">
        <v>0</v>
      </c>
    </row>
    <row r="478" spans="1:19" x14ac:dyDescent="0.2">
      <c r="A478" s="524">
        <v>69413</v>
      </c>
      <c r="B478" s="526">
        <v>46209</v>
      </c>
      <c r="C478" s="524" t="s">
        <v>1148</v>
      </c>
      <c r="D478" s="524" t="s">
        <v>1226</v>
      </c>
      <c r="E478" s="524" t="s">
        <v>1550</v>
      </c>
      <c r="F478" s="524" t="s">
        <v>1170</v>
      </c>
      <c r="G478" s="524" t="s">
        <v>1102</v>
      </c>
      <c r="H478" s="527">
        <v>848.84</v>
      </c>
      <c r="I478" s="524" t="s">
        <v>1148</v>
      </c>
      <c r="J478" s="524">
        <f>IF(cmf[[#This Row],[D/C]]="C",cmf[[#This Row],[Valor]],-1*cmf[[#This Row],[Valor]])</f>
        <v>848.84</v>
      </c>
      <c r="L478" s="524" t="s">
        <v>1230</v>
      </c>
      <c r="M478" s="524" t="s">
        <v>1231</v>
      </c>
      <c r="N478" s="524" t="s">
        <v>1192</v>
      </c>
      <c r="O478" s="524" t="s">
        <v>1193</v>
      </c>
      <c r="P478" s="526">
        <v>46209</v>
      </c>
      <c r="S478" s="527">
        <v>0</v>
      </c>
    </row>
    <row r="479" spans="1:19" x14ac:dyDescent="0.2">
      <c r="A479" s="524">
        <v>69414</v>
      </c>
      <c r="B479" s="526">
        <v>46209</v>
      </c>
      <c r="C479" s="524" t="s">
        <v>1148</v>
      </c>
      <c r="D479" s="524" t="s">
        <v>1226</v>
      </c>
      <c r="E479" s="524" t="s">
        <v>1551</v>
      </c>
      <c r="F479" s="524" t="s">
        <v>1170</v>
      </c>
      <c r="G479" s="524" t="s">
        <v>1102</v>
      </c>
      <c r="H479" s="527">
        <v>255.43</v>
      </c>
      <c r="I479" s="524" t="s">
        <v>1148</v>
      </c>
      <c r="J479" s="524">
        <f>IF(cmf[[#This Row],[D/C]]="C",cmf[[#This Row],[Valor]],-1*cmf[[#This Row],[Valor]])</f>
        <v>255.43</v>
      </c>
      <c r="L479" s="524" t="s">
        <v>1230</v>
      </c>
      <c r="M479" s="524" t="s">
        <v>1231</v>
      </c>
      <c r="N479" s="524" t="s">
        <v>1192</v>
      </c>
      <c r="O479" s="524" t="s">
        <v>1193</v>
      </c>
      <c r="P479" s="526">
        <v>46209</v>
      </c>
      <c r="S479" s="527">
        <v>0</v>
      </c>
    </row>
    <row r="480" spans="1:19" x14ac:dyDescent="0.2">
      <c r="A480" s="524">
        <v>69415</v>
      </c>
      <c r="B480" s="526">
        <v>46209</v>
      </c>
      <c r="C480" s="524" t="s">
        <v>1148</v>
      </c>
      <c r="D480" s="524" t="s">
        <v>1226</v>
      </c>
      <c r="E480" s="524" t="s">
        <v>1552</v>
      </c>
      <c r="F480" s="524" t="s">
        <v>1170</v>
      </c>
      <c r="G480" s="524" t="s">
        <v>1102</v>
      </c>
      <c r="H480" s="527">
        <v>1693.27</v>
      </c>
      <c r="I480" s="524" t="s">
        <v>1148</v>
      </c>
      <c r="J480" s="524">
        <f>IF(cmf[[#This Row],[D/C]]="C",cmf[[#This Row],[Valor]],-1*cmf[[#This Row],[Valor]])</f>
        <v>1693.27</v>
      </c>
      <c r="L480" s="524" t="s">
        <v>1230</v>
      </c>
      <c r="M480" s="524" t="s">
        <v>1231</v>
      </c>
      <c r="N480" s="524" t="s">
        <v>1192</v>
      </c>
      <c r="O480" s="524" t="s">
        <v>1193</v>
      </c>
      <c r="P480" s="526">
        <v>46209</v>
      </c>
      <c r="S480" s="527">
        <v>0</v>
      </c>
    </row>
    <row r="481" spans="1:19" x14ac:dyDescent="0.2">
      <c r="A481" s="524">
        <v>69416</v>
      </c>
      <c r="B481" s="526">
        <v>46209</v>
      </c>
      <c r="C481" s="524" t="s">
        <v>1148</v>
      </c>
      <c r="D481" s="524" t="s">
        <v>1226</v>
      </c>
      <c r="E481" s="524" t="s">
        <v>1553</v>
      </c>
      <c r="F481" s="524" t="s">
        <v>1170</v>
      </c>
      <c r="G481" s="524" t="s">
        <v>1102</v>
      </c>
      <c r="H481" s="527">
        <v>50</v>
      </c>
      <c r="I481" s="524" t="s">
        <v>1148</v>
      </c>
      <c r="J481" s="524">
        <f>IF(cmf[[#This Row],[D/C]]="C",cmf[[#This Row],[Valor]],-1*cmf[[#This Row],[Valor]])</f>
        <v>50</v>
      </c>
      <c r="L481" s="524" t="s">
        <v>1230</v>
      </c>
      <c r="M481" s="524" t="s">
        <v>1231</v>
      </c>
      <c r="N481" s="524" t="s">
        <v>1192</v>
      </c>
      <c r="O481" s="524" t="s">
        <v>1193</v>
      </c>
      <c r="P481" s="526">
        <v>46209</v>
      </c>
      <c r="S481" s="527">
        <v>0</v>
      </c>
    </row>
    <row r="482" spans="1:19" x14ac:dyDescent="0.2">
      <c r="A482" s="524">
        <v>69454</v>
      </c>
      <c r="B482" s="526">
        <v>46209</v>
      </c>
      <c r="C482" s="524" t="s">
        <v>1148</v>
      </c>
      <c r="D482" s="524" t="s">
        <v>1243</v>
      </c>
      <c r="E482" s="524" t="s">
        <v>1244</v>
      </c>
      <c r="F482" s="524" t="s">
        <v>1183</v>
      </c>
      <c r="G482" s="524" t="s">
        <v>1304</v>
      </c>
      <c r="H482" s="527">
        <v>1461</v>
      </c>
      <c r="I482" s="524" t="s">
        <v>1148</v>
      </c>
      <c r="J482" s="524">
        <f>IF(cmf[[#This Row],[D/C]]="C",cmf[[#This Row],[Valor]],-1*cmf[[#This Row],[Valor]])</f>
        <v>1461</v>
      </c>
      <c r="L482" s="524" t="s">
        <v>1245</v>
      </c>
      <c r="M482" s="524" t="s">
        <v>1246</v>
      </c>
      <c r="N482" s="524" t="s">
        <v>1305</v>
      </c>
      <c r="O482" s="524" t="s">
        <v>1306</v>
      </c>
      <c r="P482" s="526">
        <v>46209</v>
      </c>
      <c r="S482" s="527">
        <v>0</v>
      </c>
    </row>
    <row r="483" spans="1:19" x14ac:dyDescent="0.2">
      <c r="A483" s="524">
        <v>69455</v>
      </c>
      <c r="B483" s="526">
        <v>46209</v>
      </c>
      <c r="C483" s="524" t="s">
        <v>1148</v>
      </c>
      <c r="D483" s="524" t="s">
        <v>1243</v>
      </c>
      <c r="E483" s="524" t="s">
        <v>1244</v>
      </c>
      <c r="F483" s="524" t="s">
        <v>1183</v>
      </c>
      <c r="G483" s="524" t="s">
        <v>1304</v>
      </c>
      <c r="H483" s="527">
        <v>0.28999999999999998</v>
      </c>
      <c r="I483" s="524" t="s">
        <v>1148</v>
      </c>
      <c r="J483" s="524">
        <f>IF(cmf[[#This Row],[D/C]]="C",cmf[[#This Row],[Valor]],-1*cmf[[#This Row],[Valor]])</f>
        <v>0.28999999999999998</v>
      </c>
      <c r="L483" s="524" t="s">
        <v>1245</v>
      </c>
      <c r="M483" s="524" t="s">
        <v>1246</v>
      </c>
      <c r="N483" s="524" t="s">
        <v>1305</v>
      </c>
      <c r="O483" s="524" t="s">
        <v>1306</v>
      </c>
      <c r="P483" s="526">
        <v>46209</v>
      </c>
      <c r="S483" s="527">
        <v>0</v>
      </c>
    </row>
    <row r="484" spans="1:19" x14ac:dyDescent="0.2">
      <c r="A484" s="524">
        <v>69469</v>
      </c>
      <c r="B484" s="526">
        <v>46209</v>
      </c>
      <c r="C484" s="524" t="s">
        <v>1148</v>
      </c>
      <c r="D484" s="524" t="s">
        <v>1243</v>
      </c>
      <c r="E484" s="524" t="s">
        <v>1266</v>
      </c>
      <c r="F484" s="524" t="s">
        <v>1183</v>
      </c>
      <c r="G484" s="524" t="s">
        <v>766</v>
      </c>
      <c r="H484" s="527">
        <v>10808.03</v>
      </c>
      <c r="I484" s="524" t="s">
        <v>1174</v>
      </c>
      <c r="J484" s="524">
        <f>IF(cmf[[#This Row],[D/C]]="C",cmf[[#This Row],[Valor]],-1*cmf[[#This Row],[Valor]])</f>
        <v>-10808.03</v>
      </c>
      <c r="L484" s="524" t="s">
        <v>1245</v>
      </c>
      <c r="M484" s="524" t="s">
        <v>1246</v>
      </c>
      <c r="N484" s="524" t="s">
        <v>1200</v>
      </c>
      <c r="O484" s="524" t="s">
        <v>1201</v>
      </c>
      <c r="P484" s="526">
        <v>46209</v>
      </c>
      <c r="S484" s="527">
        <v>0</v>
      </c>
    </row>
    <row r="485" spans="1:19" x14ac:dyDescent="0.2">
      <c r="A485" s="524">
        <v>69633</v>
      </c>
      <c r="B485" s="526">
        <v>46209</v>
      </c>
      <c r="C485" s="524" t="s">
        <v>1162</v>
      </c>
      <c r="D485" s="524" t="s">
        <v>1186</v>
      </c>
      <c r="E485" s="524" t="s">
        <v>1554</v>
      </c>
      <c r="F485" s="524" t="s">
        <v>1170</v>
      </c>
      <c r="G485" s="524" t="s">
        <v>775</v>
      </c>
      <c r="H485" s="527">
        <v>510.87</v>
      </c>
      <c r="I485" s="524" t="s">
        <v>1174</v>
      </c>
      <c r="J485" s="524">
        <f>IF(cmf[[#This Row],[D/C]]="C",cmf[[#This Row],[Valor]],-1*cmf[[#This Row],[Valor]])</f>
        <v>-510.87</v>
      </c>
      <c r="L485" s="524" t="s">
        <v>1188</v>
      </c>
      <c r="M485" s="524" t="s">
        <v>1189</v>
      </c>
      <c r="N485" s="524" t="s">
        <v>1212</v>
      </c>
      <c r="O485" s="524" t="s">
        <v>1213</v>
      </c>
      <c r="P485" s="526"/>
      <c r="S485" s="527">
        <v>0</v>
      </c>
    </row>
    <row r="486" spans="1:19" x14ac:dyDescent="0.2">
      <c r="A486" s="524">
        <v>69813</v>
      </c>
      <c r="B486" s="526">
        <v>46209</v>
      </c>
      <c r="C486" s="524" t="s">
        <v>1148</v>
      </c>
      <c r="D486" s="524" t="s">
        <v>1226</v>
      </c>
      <c r="E486" s="524" t="s">
        <v>1555</v>
      </c>
      <c r="F486" s="524" t="s">
        <v>1183</v>
      </c>
      <c r="G486" s="524" t="s">
        <v>806</v>
      </c>
      <c r="H486" s="527">
        <v>93000</v>
      </c>
      <c r="I486" s="524" t="s">
        <v>1148</v>
      </c>
      <c r="J486" s="524">
        <f>IF(cmf[[#This Row],[D/C]]="C",cmf[[#This Row],[Valor]],-1*cmf[[#This Row],[Valor]])</f>
        <v>93000</v>
      </c>
      <c r="L486" s="524" t="s">
        <v>1230</v>
      </c>
      <c r="M486" s="524" t="s">
        <v>1231</v>
      </c>
      <c r="N486" s="524" t="s">
        <v>1283</v>
      </c>
      <c r="O486" s="524" t="s">
        <v>1284</v>
      </c>
      <c r="P486" s="526">
        <v>46209</v>
      </c>
      <c r="S486" s="527">
        <v>0</v>
      </c>
    </row>
    <row r="487" spans="1:19" x14ac:dyDescent="0.2">
      <c r="A487" s="524">
        <v>69862</v>
      </c>
      <c r="B487" s="526">
        <v>46209</v>
      </c>
      <c r="C487" s="524" t="s">
        <v>1148</v>
      </c>
      <c r="D487" s="524" t="s">
        <v>1243</v>
      </c>
      <c r="E487" s="524" t="s">
        <v>1266</v>
      </c>
      <c r="F487" s="524" t="s">
        <v>1183</v>
      </c>
      <c r="G487" s="524" t="s">
        <v>769</v>
      </c>
      <c r="H487" s="527">
        <v>151668.35999999999</v>
      </c>
      <c r="I487" s="524" t="s">
        <v>1174</v>
      </c>
      <c r="J487" s="524">
        <f>IF(cmf[[#This Row],[D/C]]="C",cmf[[#This Row],[Valor]],-1*cmf[[#This Row],[Valor]])</f>
        <v>-151668.35999999999</v>
      </c>
      <c r="L487" s="524" t="s">
        <v>1245</v>
      </c>
      <c r="M487" s="524" t="s">
        <v>1246</v>
      </c>
      <c r="N487" s="524" t="s">
        <v>1219</v>
      </c>
      <c r="O487" s="524" t="s">
        <v>1220</v>
      </c>
      <c r="P487" s="526">
        <v>46209</v>
      </c>
      <c r="S487" s="527">
        <v>0</v>
      </c>
    </row>
    <row r="488" spans="1:19" x14ac:dyDescent="0.2">
      <c r="A488" s="524">
        <v>69884</v>
      </c>
      <c r="B488" s="526">
        <v>46209</v>
      </c>
      <c r="C488" s="524" t="s">
        <v>1148</v>
      </c>
      <c r="D488" s="524" t="s">
        <v>1186</v>
      </c>
      <c r="E488" s="524" t="s">
        <v>1556</v>
      </c>
      <c r="F488" s="524" t="s">
        <v>1183</v>
      </c>
      <c r="G488" s="524" t="s">
        <v>742</v>
      </c>
      <c r="H488" s="527">
        <v>100000</v>
      </c>
      <c r="I488" s="524" t="s">
        <v>1174</v>
      </c>
      <c r="J488" s="524">
        <f>IF(cmf[[#This Row],[D/C]]="C",cmf[[#This Row],[Valor]],-1*cmf[[#This Row],[Valor]])</f>
        <v>-100000</v>
      </c>
      <c r="L488" s="524" t="s">
        <v>1188</v>
      </c>
      <c r="M488" s="524" t="s">
        <v>1189</v>
      </c>
      <c r="N488" s="524" t="s">
        <v>1215</v>
      </c>
      <c r="O488" s="524" t="s">
        <v>1218</v>
      </c>
      <c r="P488" s="526">
        <v>46209</v>
      </c>
      <c r="S488" s="527">
        <v>0</v>
      </c>
    </row>
    <row r="489" spans="1:19" x14ac:dyDescent="0.2">
      <c r="A489" s="524">
        <v>69885</v>
      </c>
      <c r="B489" s="526">
        <v>46209</v>
      </c>
      <c r="C489" s="524" t="s">
        <v>1148</v>
      </c>
      <c r="D489" s="524" t="s">
        <v>1186</v>
      </c>
      <c r="E489" s="524" t="s">
        <v>1557</v>
      </c>
      <c r="F489" s="524" t="s">
        <v>1183</v>
      </c>
      <c r="G489" s="524" t="s">
        <v>789</v>
      </c>
      <c r="H489" s="527">
        <v>100000</v>
      </c>
      <c r="I489" s="524" t="s">
        <v>1174</v>
      </c>
      <c r="J489" s="524">
        <f>IF(cmf[[#This Row],[D/C]]="C",cmf[[#This Row],[Valor]],-1*cmf[[#This Row],[Valor]])</f>
        <v>-100000</v>
      </c>
      <c r="L489" s="524" t="s">
        <v>1188</v>
      </c>
      <c r="M489" s="524" t="s">
        <v>1189</v>
      </c>
      <c r="N489" s="524" t="s">
        <v>1271</v>
      </c>
      <c r="O489" s="524" t="s">
        <v>1272</v>
      </c>
      <c r="P489" s="526">
        <v>46209</v>
      </c>
      <c r="S489" s="527">
        <v>0</v>
      </c>
    </row>
    <row r="490" spans="1:19" x14ac:dyDescent="0.2">
      <c r="A490" s="524">
        <v>70200</v>
      </c>
      <c r="B490" s="526">
        <v>46209</v>
      </c>
      <c r="C490" s="524" t="s">
        <v>1148</v>
      </c>
      <c r="D490" s="524" t="s">
        <v>1186</v>
      </c>
      <c r="E490" s="524" t="s">
        <v>1558</v>
      </c>
      <c r="F490" s="524" t="s">
        <v>1183</v>
      </c>
      <c r="G490" s="524" t="s">
        <v>758</v>
      </c>
      <c r="H490" s="527">
        <v>5189.25</v>
      </c>
      <c r="I490" s="524" t="s">
        <v>1174</v>
      </c>
      <c r="J490" s="524">
        <f>IF(cmf[[#This Row],[D/C]]="C",cmf[[#This Row],[Valor]],-1*cmf[[#This Row],[Valor]])</f>
        <v>-5189.25</v>
      </c>
      <c r="L490" s="524" t="s">
        <v>1188</v>
      </c>
      <c r="M490" s="524" t="s">
        <v>1189</v>
      </c>
      <c r="N490" s="524" t="s">
        <v>1223</v>
      </c>
      <c r="O490" s="524" t="s">
        <v>1224</v>
      </c>
      <c r="P490" s="526">
        <v>46209</v>
      </c>
      <c r="S490" s="527">
        <v>0</v>
      </c>
    </row>
    <row r="491" spans="1:19" x14ac:dyDescent="0.2">
      <c r="A491" s="524">
        <v>70205</v>
      </c>
      <c r="B491" s="526">
        <v>46209</v>
      </c>
      <c r="C491" s="524" t="s">
        <v>1148</v>
      </c>
      <c r="D491" s="524" t="s">
        <v>1243</v>
      </c>
      <c r="E491" s="524" t="s">
        <v>1244</v>
      </c>
      <c r="F491" s="524" t="s">
        <v>1183</v>
      </c>
      <c r="G491" s="524" t="s">
        <v>758</v>
      </c>
      <c r="H491" s="527">
        <v>134264.01999999999</v>
      </c>
      <c r="I491" s="524" t="s">
        <v>1148</v>
      </c>
      <c r="J491" s="524">
        <f>IF(cmf[[#This Row],[D/C]]="C",cmf[[#This Row],[Valor]],-1*cmf[[#This Row],[Valor]])</f>
        <v>134264.01999999999</v>
      </c>
      <c r="L491" s="524" t="s">
        <v>1245</v>
      </c>
      <c r="M491" s="524" t="s">
        <v>1246</v>
      </c>
      <c r="N491" s="524" t="s">
        <v>1223</v>
      </c>
      <c r="O491" s="524" t="s">
        <v>1224</v>
      </c>
      <c r="P491" s="526">
        <v>46209</v>
      </c>
      <c r="S491" s="527">
        <v>0</v>
      </c>
    </row>
    <row r="492" spans="1:19" x14ac:dyDescent="0.2">
      <c r="A492" s="524">
        <v>70211</v>
      </c>
      <c r="B492" s="526">
        <v>46209</v>
      </c>
      <c r="C492" s="524" t="s">
        <v>1148</v>
      </c>
      <c r="D492" s="524" t="s">
        <v>1243</v>
      </c>
      <c r="E492" s="524" t="s">
        <v>1244</v>
      </c>
      <c r="F492" s="524" t="s">
        <v>1183</v>
      </c>
      <c r="G492" s="524" t="s">
        <v>758</v>
      </c>
      <c r="H492" s="527">
        <v>2.2400000000000002</v>
      </c>
      <c r="I492" s="524" t="s">
        <v>1148</v>
      </c>
      <c r="J492" s="524">
        <f>IF(cmf[[#This Row],[D/C]]="C",cmf[[#This Row],[Valor]],-1*cmf[[#This Row],[Valor]])</f>
        <v>2.2400000000000002</v>
      </c>
      <c r="L492" s="524" t="s">
        <v>1245</v>
      </c>
      <c r="M492" s="524" t="s">
        <v>1246</v>
      </c>
      <c r="N492" s="524" t="s">
        <v>1223</v>
      </c>
      <c r="O492" s="524" t="s">
        <v>1224</v>
      </c>
      <c r="P492" s="526">
        <v>46209</v>
      </c>
      <c r="S492" s="527">
        <v>0</v>
      </c>
    </row>
    <row r="493" spans="1:19" x14ac:dyDescent="0.2">
      <c r="A493" s="524">
        <v>70222</v>
      </c>
      <c r="B493" s="526">
        <v>46209</v>
      </c>
      <c r="C493" s="524" t="s">
        <v>1148</v>
      </c>
      <c r="D493" s="524" t="s">
        <v>1243</v>
      </c>
      <c r="E493" s="524" t="s">
        <v>1244</v>
      </c>
      <c r="F493" s="524" t="s">
        <v>1183</v>
      </c>
      <c r="G493" s="524" t="s">
        <v>763</v>
      </c>
      <c r="H493" s="527">
        <v>5531.5</v>
      </c>
      <c r="I493" s="524" t="s">
        <v>1148</v>
      </c>
      <c r="J493" s="524">
        <f>IF(cmf[[#This Row],[D/C]]="C",cmf[[#This Row],[Valor]],-1*cmf[[#This Row],[Valor]])</f>
        <v>5531.5</v>
      </c>
      <c r="L493" s="524" t="s">
        <v>1245</v>
      </c>
      <c r="M493" s="524" t="s">
        <v>1246</v>
      </c>
      <c r="N493" s="524" t="s">
        <v>1180</v>
      </c>
      <c r="O493" s="524" t="s">
        <v>1181</v>
      </c>
      <c r="P493" s="526">
        <v>46209</v>
      </c>
      <c r="S493" s="527">
        <v>0</v>
      </c>
    </row>
    <row r="494" spans="1:19" x14ac:dyDescent="0.2">
      <c r="A494" s="524">
        <v>70226</v>
      </c>
      <c r="B494" s="526">
        <v>46209</v>
      </c>
      <c r="C494" s="524" t="s">
        <v>1148</v>
      </c>
      <c r="D494" s="524" t="s">
        <v>1243</v>
      </c>
      <c r="E494" s="524" t="s">
        <v>1244</v>
      </c>
      <c r="F494" s="524" t="s">
        <v>1183</v>
      </c>
      <c r="G494" s="524" t="s">
        <v>763</v>
      </c>
      <c r="H494" s="527">
        <v>0.06</v>
      </c>
      <c r="I494" s="524" t="s">
        <v>1148</v>
      </c>
      <c r="J494" s="524">
        <f>IF(cmf[[#This Row],[D/C]]="C",cmf[[#This Row],[Valor]],-1*cmf[[#This Row],[Valor]])</f>
        <v>0.06</v>
      </c>
      <c r="L494" s="524" t="s">
        <v>1245</v>
      </c>
      <c r="M494" s="524" t="s">
        <v>1246</v>
      </c>
      <c r="N494" s="524" t="s">
        <v>1180</v>
      </c>
      <c r="O494" s="524" t="s">
        <v>1181</v>
      </c>
      <c r="P494" s="526">
        <v>46209</v>
      </c>
      <c r="S494" s="527">
        <v>0</v>
      </c>
    </row>
    <row r="495" spans="1:19" x14ac:dyDescent="0.2">
      <c r="A495" s="524">
        <v>70233</v>
      </c>
      <c r="B495" s="526">
        <v>46209</v>
      </c>
      <c r="C495" s="524" t="s">
        <v>1148</v>
      </c>
      <c r="D495" s="524" t="s">
        <v>1243</v>
      </c>
      <c r="E495" s="524" t="s">
        <v>1244</v>
      </c>
      <c r="F495" s="524" t="s">
        <v>1183</v>
      </c>
      <c r="G495" s="524" t="s">
        <v>806</v>
      </c>
      <c r="H495" s="527">
        <v>195379.46</v>
      </c>
      <c r="I495" s="524" t="s">
        <v>1148</v>
      </c>
      <c r="J495" s="524">
        <f>IF(cmf[[#This Row],[D/C]]="C",cmf[[#This Row],[Valor]],-1*cmf[[#This Row],[Valor]])</f>
        <v>195379.46</v>
      </c>
      <c r="L495" s="524" t="s">
        <v>1245</v>
      </c>
      <c r="M495" s="524" t="s">
        <v>1246</v>
      </c>
      <c r="N495" s="524" t="s">
        <v>1283</v>
      </c>
      <c r="O495" s="524" t="s">
        <v>1284</v>
      </c>
      <c r="P495" s="526">
        <v>46209</v>
      </c>
      <c r="S495" s="527">
        <v>0</v>
      </c>
    </row>
    <row r="496" spans="1:19" x14ac:dyDescent="0.2">
      <c r="A496" s="524">
        <v>70244</v>
      </c>
      <c r="B496" s="526">
        <v>46209</v>
      </c>
      <c r="C496" s="524" t="s">
        <v>1148</v>
      </c>
      <c r="D496" s="524" t="s">
        <v>1243</v>
      </c>
      <c r="E496" s="524" t="s">
        <v>1244</v>
      </c>
      <c r="F496" s="524" t="s">
        <v>1183</v>
      </c>
      <c r="G496" s="524" t="s">
        <v>806</v>
      </c>
      <c r="H496" s="527">
        <v>2.11</v>
      </c>
      <c r="I496" s="524" t="s">
        <v>1148</v>
      </c>
      <c r="J496" s="524">
        <f>IF(cmf[[#This Row],[D/C]]="C",cmf[[#This Row],[Valor]],-1*cmf[[#This Row],[Valor]])</f>
        <v>2.11</v>
      </c>
      <c r="L496" s="524" t="s">
        <v>1245</v>
      </c>
      <c r="M496" s="524" t="s">
        <v>1246</v>
      </c>
      <c r="N496" s="524" t="s">
        <v>1283</v>
      </c>
      <c r="O496" s="524" t="s">
        <v>1284</v>
      </c>
      <c r="P496" s="526">
        <v>46209</v>
      </c>
      <c r="S496" s="527">
        <v>0</v>
      </c>
    </row>
    <row r="497" spans="1:19" x14ac:dyDescent="0.2">
      <c r="A497" s="524">
        <v>70266</v>
      </c>
      <c r="B497" s="526">
        <v>46209</v>
      </c>
      <c r="C497" s="524" t="s">
        <v>1148</v>
      </c>
      <c r="D497" s="524" t="s">
        <v>1243</v>
      </c>
      <c r="E497" s="524" t="s">
        <v>1266</v>
      </c>
      <c r="F497" s="524" t="s">
        <v>1183</v>
      </c>
      <c r="G497" s="524" t="s">
        <v>745</v>
      </c>
      <c r="H497" s="527">
        <v>10000</v>
      </c>
      <c r="I497" s="524" t="s">
        <v>1174</v>
      </c>
      <c r="J497" s="524">
        <f>IF(cmf[[#This Row],[D/C]]="C",cmf[[#This Row],[Valor]],-1*cmf[[#This Row],[Valor]])</f>
        <v>-10000</v>
      </c>
      <c r="L497" s="524" t="s">
        <v>1245</v>
      </c>
      <c r="M497" s="524" t="s">
        <v>1246</v>
      </c>
      <c r="N497" s="524" t="s">
        <v>1292</v>
      </c>
      <c r="O497" s="524" t="s">
        <v>1293</v>
      </c>
      <c r="P497" s="526">
        <v>46209</v>
      </c>
      <c r="S497" s="527">
        <v>0</v>
      </c>
    </row>
    <row r="498" spans="1:19" x14ac:dyDescent="0.2">
      <c r="A498" s="524">
        <v>70285</v>
      </c>
      <c r="B498" s="526">
        <v>46209</v>
      </c>
      <c r="C498" s="524" t="s">
        <v>1148</v>
      </c>
      <c r="D498" s="524" t="s">
        <v>1186</v>
      </c>
      <c r="E498" s="524" t="s">
        <v>1559</v>
      </c>
      <c r="F498" s="524" t="s">
        <v>1183</v>
      </c>
      <c r="G498" s="524" t="s">
        <v>745</v>
      </c>
      <c r="H498" s="527">
        <v>140000</v>
      </c>
      <c r="I498" s="524" t="s">
        <v>1174</v>
      </c>
      <c r="J498" s="524">
        <f>IF(cmf[[#This Row],[D/C]]="C",cmf[[#This Row],[Valor]],-1*cmf[[#This Row],[Valor]])</f>
        <v>-140000</v>
      </c>
      <c r="L498" s="524" t="s">
        <v>1188</v>
      </c>
      <c r="M498" s="524" t="s">
        <v>1189</v>
      </c>
      <c r="N498" s="524" t="s">
        <v>1292</v>
      </c>
      <c r="O498" s="524" t="s">
        <v>1293</v>
      </c>
      <c r="P498" s="526">
        <v>46209</v>
      </c>
      <c r="S498" s="527">
        <v>0</v>
      </c>
    </row>
    <row r="499" spans="1:19" x14ac:dyDescent="0.2">
      <c r="A499" s="524">
        <v>70641</v>
      </c>
      <c r="B499" s="526">
        <v>46209</v>
      </c>
      <c r="C499" s="524" t="s">
        <v>1148</v>
      </c>
      <c r="D499" s="524" t="s">
        <v>1243</v>
      </c>
      <c r="E499" s="524" t="s">
        <v>1254</v>
      </c>
      <c r="F499" s="524" t="s">
        <v>1178</v>
      </c>
      <c r="G499" s="524" t="s">
        <v>1179</v>
      </c>
      <c r="H499" s="527">
        <v>15253.21</v>
      </c>
      <c r="I499" s="524" t="s">
        <v>1148</v>
      </c>
      <c r="J499" s="524">
        <f>IF(cmf[[#This Row],[D/C]]="C",cmf[[#This Row],[Valor]],-1*cmf[[#This Row],[Valor]])</f>
        <v>15253.21</v>
      </c>
      <c r="L499" s="524" t="s">
        <v>1245</v>
      </c>
      <c r="M499" s="524" t="s">
        <v>1246</v>
      </c>
      <c r="N499" s="524" t="s">
        <v>1180</v>
      </c>
      <c r="O499" s="524" t="s">
        <v>1181</v>
      </c>
      <c r="P499" s="526">
        <v>46209</v>
      </c>
      <c r="S499" s="527">
        <v>0</v>
      </c>
    </row>
    <row r="500" spans="1:19" x14ac:dyDescent="0.2">
      <c r="A500" s="524">
        <v>70690</v>
      </c>
      <c r="B500" s="526">
        <v>46209</v>
      </c>
      <c r="C500" s="524" t="s">
        <v>1148</v>
      </c>
      <c r="D500" s="524" t="s">
        <v>1186</v>
      </c>
      <c r="E500" s="524" t="s">
        <v>1560</v>
      </c>
      <c r="F500" s="524" t="s">
        <v>1178</v>
      </c>
      <c r="G500" s="524" t="s">
        <v>1179</v>
      </c>
      <c r="H500" s="527">
        <v>5871.82</v>
      </c>
      <c r="I500" s="524" t="s">
        <v>1174</v>
      </c>
      <c r="J500" s="524">
        <f>IF(cmf[[#This Row],[D/C]]="C",cmf[[#This Row],[Valor]],-1*cmf[[#This Row],[Valor]])</f>
        <v>-5871.82</v>
      </c>
      <c r="L500" s="524" t="s">
        <v>1188</v>
      </c>
      <c r="M500" s="524" t="s">
        <v>1189</v>
      </c>
      <c r="N500" s="524" t="s">
        <v>1180</v>
      </c>
      <c r="O500" s="524" t="s">
        <v>1181</v>
      </c>
      <c r="P500" s="526">
        <v>46209</v>
      </c>
      <c r="S500" s="527">
        <v>0</v>
      </c>
    </row>
    <row r="501" spans="1:19" x14ac:dyDescent="0.2">
      <c r="A501" s="524">
        <v>70757</v>
      </c>
      <c r="B501" s="526">
        <v>46209</v>
      </c>
      <c r="C501" s="524" t="s">
        <v>1148</v>
      </c>
      <c r="D501" s="524" t="s">
        <v>1239</v>
      </c>
      <c r="E501" s="524" t="s">
        <v>1258</v>
      </c>
      <c r="F501" s="524" t="s">
        <v>1170</v>
      </c>
      <c r="G501" s="524" t="s">
        <v>1102</v>
      </c>
      <c r="H501" s="527">
        <v>6.3</v>
      </c>
      <c r="I501" s="524" t="s">
        <v>1174</v>
      </c>
      <c r="J501" s="524">
        <f>IF(cmf[[#This Row],[D/C]]="C",cmf[[#This Row],[Valor]],-1*cmf[[#This Row],[Valor]])</f>
        <v>-6.3</v>
      </c>
      <c r="L501" s="524" t="s">
        <v>1241</v>
      </c>
      <c r="M501" s="524" t="s">
        <v>1242</v>
      </c>
      <c r="N501" s="524" t="s">
        <v>1192</v>
      </c>
      <c r="O501" s="524" t="s">
        <v>1193</v>
      </c>
      <c r="P501" s="526">
        <v>46209</v>
      </c>
      <c r="S501" s="527">
        <v>0</v>
      </c>
    </row>
    <row r="502" spans="1:19" x14ac:dyDescent="0.2">
      <c r="A502" s="524">
        <v>70758</v>
      </c>
      <c r="B502" s="526">
        <v>46209</v>
      </c>
      <c r="C502" s="524" t="s">
        <v>1148</v>
      </c>
      <c r="D502" s="524" t="s">
        <v>1239</v>
      </c>
      <c r="E502" s="524" t="s">
        <v>1258</v>
      </c>
      <c r="F502" s="524" t="s">
        <v>1170</v>
      </c>
      <c r="G502" s="524" t="s">
        <v>1102</v>
      </c>
      <c r="H502" s="527">
        <v>37.799999999999997</v>
      </c>
      <c r="I502" s="524" t="s">
        <v>1174</v>
      </c>
      <c r="J502" s="524">
        <f>IF(cmf[[#This Row],[D/C]]="C",cmf[[#This Row],[Valor]],-1*cmf[[#This Row],[Valor]])</f>
        <v>-37.799999999999997</v>
      </c>
      <c r="L502" s="524" t="s">
        <v>1241</v>
      </c>
      <c r="M502" s="524" t="s">
        <v>1242</v>
      </c>
      <c r="N502" s="524" t="s">
        <v>1192</v>
      </c>
      <c r="O502" s="524" t="s">
        <v>1193</v>
      </c>
      <c r="P502" s="526">
        <v>46209</v>
      </c>
      <c r="S502" s="527">
        <v>0</v>
      </c>
    </row>
    <row r="503" spans="1:19" x14ac:dyDescent="0.2">
      <c r="A503" s="524">
        <v>70759</v>
      </c>
      <c r="B503" s="526">
        <v>46209</v>
      </c>
      <c r="C503" s="524" t="s">
        <v>1148</v>
      </c>
      <c r="D503" s="524" t="s">
        <v>1239</v>
      </c>
      <c r="E503" s="524" t="s">
        <v>1258</v>
      </c>
      <c r="F503" s="524" t="s">
        <v>1170</v>
      </c>
      <c r="G503" s="524" t="s">
        <v>1102</v>
      </c>
      <c r="H503" s="527">
        <v>1.2</v>
      </c>
      <c r="I503" s="524" t="s">
        <v>1174</v>
      </c>
      <c r="J503" s="524">
        <f>IF(cmf[[#This Row],[D/C]]="C",cmf[[#This Row],[Valor]],-1*cmf[[#This Row],[Valor]])</f>
        <v>-1.2</v>
      </c>
      <c r="L503" s="524" t="s">
        <v>1241</v>
      </c>
      <c r="M503" s="524" t="s">
        <v>1242</v>
      </c>
      <c r="N503" s="524" t="s">
        <v>1192</v>
      </c>
      <c r="O503" s="524" t="s">
        <v>1193</v>
      </c>
      <c r="P503" s="526">
        <v>46209</v>
      </c>
      <c r="S503" s="527">
        <v>0</v>
      </c>
    </row>
    <row r="504" spans="1:19" x14ac:dyDescent="0.2">
      <c r="A504" s="524">
        <v>70786</v>
      </c>
      <c r="B504" s="526">
        <v>46209</v>
      </c>
      <c r="C504" s="524" t="s">
        <v>1148</v>
      </c>
      <c r="D504" s="524" t="s">
        <v>1243</v>
      </c>
      <c r="E504" s="524" t="s">
        <v>1254</v>
      </c>
      <c r="F504" s="524" t="s">
        <v>1178</v>
      </c>
      <c r="G504" s="524" t="s">
        <v>1179</v>
      </c>
      <c r="H504" s="527">
        <v>0.74</v>
      </c>
      <c r="I504" s="524" t="s">
        <v>1148</v>
      </c>
      <c r="J504" s="524">
        <f>IF(cmf[[#This Row],[D/C]]="C",cmf[[#This Row],[Valor]],-1*cmf[[#This Row],[Valor]])</f>
        <v>0.74</v>
      </c>
      <c r="L504" s="524" t="s">
        <v>1245</v>
      </c>
      <c r="M504" s="524" t="s">
        <v>1246</v>
      </c>
      <c r="N504" s="524" t="s">
        <v>1180</v>
      </c>
      <c r="O504" s="524" t="s">
        <v>1181</v>
      </c>
      <c r="P504" s="526">
        <v>46209</v>
      </c>
      <c r="S504" s="527">
        <v>0</v>
      </c>
    </row>
    <row r="505" spans="1:19" x14ac:dyDescent="0.2">
      <c r="A505" s="524">
        <v>70964</v>
      </c>
      <c r="B505" s="526">
        <v>46209</v>
      </c>
      <c r="C505" s="524" t="s">
        <v>1148</v>
      </c>
      <c r="D505" s="524" t="s">
        <v>1239</v>
      </c>
      <c r="E505" s="524" t="s">
        <v>1561</v>
      </c>
      <c r="F505" s="524" t="s">
        <v>1170</v>
      </c>
      <c r="G505" s="524" t="s">
        <v>798</v>
      </c>
      <c r="H505" s="527">
        <v>10.039999999999999</v>
      </c>
      <c r="I505" s="524" t="s">
        <v>1174</v>
      </c>
      <c r="J505" s="524">
        <f>IF(cmf[[#This Row],[D/C]]="C",cmf[[#This Row],[Valor]],-1*cmf[[#This Row],[Valor]])</f>
        <v>-10.039999999999999</v>
      </c>
      <c r="L505" s="524" t="s">
        <v>1241</v>
      </c>
      <c r="M505" s="524" t="s">
        <v>1242</v>
      </c>
      <c r="N505" s="524" t="s">
        <v>1171</v>
      </c>
      <c r="O505" s="524" t="s">
        <v>1172</v>
      </c>
      <c r="P505" s="526">
        <v>46209</v>
      </c>
      <c r="S505" s="527">
        <v>0</v>
      </c>
    </row>
    <row r="506" spans="1:19" x14ac:dyDescent="0.2">
      <c r="A506" s="524">
        <v>71035</v>
      </c>
      <c r="B506" s="526">
        <v>46209</v>
      </c>
      <c r="C506" s="524" t="s">
        <v>1148</v>
      </c>
      <c r="D506" s="524" t="s">
        <v>1239</v>
      </c>
      <c r="E506" s="524" t="s">
        <v>1253</v>
      </c>
      <c r="F506" s="524" t="s">
        <v>1170</v>
      </c>
      <c r="G506" s="524" t="s">
        <v>765</v>
      </c>
      <c r="H506" s="527">
        <v>13</v>
      </c>
      <c r="I506" s="524" t="s">
        <v>1174</v>
      </c>
      <c r="J506" s="524">
        <f>IF(cmf[[#This Row],[D/C]]="C",cmf[[#This Row],[Valor]],-1*cmf[[#This Row],[Valor]])</f>
        <v>-13</v>
      </c>
      <c r="L506" s="524" t="s">
        <v>1241</v>
      </c>
      <c r="M506" s="524" t="s">
        <v>1242</v>
      </c>
      <c r="N506" s="524" t="s">
        <v>1200</v>
      </c>
      <c r="O506" s="524" t="s">
        <v>1201</v>
      </c>
      <c r="P506" s="526">
        <v>46209</v>
      </c>
      <c r="S506" s="527">
        <v>0</v>
      </c>
    </row>
    <row r="507" spans="1:19" x14ac:dyDescent="0.2">
      <c r="A507" s="524">
        <v>71085</v>
      </c>
      <c r="B507" s="526">
        <v>46209</v>
      </c>
      <c r="C507" s="524" t="s">
        <v>1148</v>
      </c>
      <c r="D507" s="524" t="s">
        <v>1239</v>
      </c>
      <c r="E507" s="524" t="s">
        <v>1562</v>
      </c>
      <c r="F507" s="524" t="s">
        <v>1170</v>
      </c>
      <c r="G507" s="524" t="s">
        <v>1094</v>
      </c>
      <c r="H507" s="527">
        <v>549</v>
      </c>
      <c r="I507" s="524" t="s">
        <v>1174</v>
      </c>
      <c r="J507" s="524">
        <f>IF(cmf[[#This Row],[D/C]]="C",cmf[[#This Row],[Valor]],-1*cmf[[#This Row],[Valor]])</f>
        <v>-549</v>
      </c>
      <c r="L507" s="524" t="s">
        <v>1241</v>
      </c>
      <c r="M507" s="524" t="s">
        <v>1242</v>
      </c>
      <c r="N507" s="524" t="s">
        <v>1259</v>
      </c>
      <c r="O507" s="524" t="s">
        <v>1260</v>
      </c>
      <c r="P507" s="526">
        <v>46209</v>
      </c>
      <c r="S507" s="527">
        <v>0</v>
      </c>
    </row>
    <row r="508" spans="1:19" x14ac:dyDescent="0.2">
      <c r="A508" s="524">
        <v>71165</v>
      </c>
      <c r="B508" s="526">
        <v>46209</v>
      </c>
      <c r="C508" s="524" t="s">
        <v>1162</v>
      </c>
      <c r="D508" s="524" t="s">
        <v>1186</v>
      </c>
      <c r="E508" s="524" t="s">
        <v>1563</v>
      </c>
      <c r="F508" s="524" t="s">
        <v>1183</v>
      </c>
      <c r="G508" s="524" t="s">
        <v>772</v>
      </c>
      <c r="H508" s="527">
        <v>732.43</v>
      </c>
      <c r="I508" s="524" t="s">
        <v>1174</v>
      </c>
      <c r="J508" s="524">
        <f>IF(cmf[[#This Row],[D/C]]="C",cmf[[#This Row],[Valor]],-1*cmf[[#This Row],[Valor]])</f>
        <v>-732.43</v>
      </c>
      <c r="L508" s="524" t="s">
        <v>1188</v>
      </c>
      <c r="M508" s="524" t="s">
        <v>1189</v>
      </c>
      <c r="N508" s="524" t="s">
        <v>1249</v>
      </c>
      <c r="O508" s="524" t="s">
        <v>1250</v>
      </c>
      <c r="P508" s="526"/>
      <c r="S508" s="527">
        <v>0</v>
      </c>
    </row>
    <row r="509" spans="1:19" x14ac:dyDescent="0.2">
      <c r="A509" s="524">
        <v>71166</v>
      </c>
      <c r="B509" s="526">
        <v>46209</v>
      </c>
      <c r="C509" s="524" t="s">
        <v>1162</v>
      </c>
      <c r="D509" s="524" t="s">
        <v>1186</v>
      </c>
      <c r="E509" s="524" t="s">
        <v>1564</v>
      </c>
      <c r="F509" s="524" t="s">
        <v>1170</v>
      </c>
      <c r="G509" s="524" t="s">
        <v>771</v>
      </c>
      <c r="H509" s="527">
        <v>60524.88</v>
      </c>
      <c r="I509" s="524" t="s">
        <v>1174</v>
      </c>
      <c r="J509" s="524">
        <f>IF(cmf[[#This Row],[D/C]]="C",cmf[[#This Row],[Valor]],-1*cmf[[#This Row],[Valor]])</f>
        <v>-60524.88</v>
      </c>
      <c r="L509" s="524" t="s">
        <v>1188</v>
      </c>
      <c r="M509" s="524" t="s">
        <v>1189</v>
      </c>
      <c r="N509" s="524" t="s">
        <v>1249</v>
      </c>
      <c r="O509" s="524" t="s">
        <v>1250</v>
      </c>
      <c r="P509" s="526"/>
      <c r="S509" s="527">
        <v>0</v>
      </c>
    </row>
    <row r="510" spans="1:19" x14ac:dyDescent="0.2">
      <c r="A510" s="524">
        <v>71167</v>
      </c>
      <c r="B510" s="526">
        <v>46209</v>
      </c>
      <c r="C510" s="524" t="s">
        <v>1162</v>
      </c>
      <c r="D510" s="524" t="s">
        <v>1186</v>
      </c>
      <c r="E510" s="524" t="s">
        <v>1565</v>
      </c>
      <c r="F510" s="524" t="s">
        <v>1170</v>
      </c>
      <c r="G510" s="524" t="s">
        <v>775</v>
      </c>
      <c r="H510" s="527">
        <v>172094.86</v>
      </c>
      <c r="I510" s="524" t="s">
        <v>1174</v>
      </c>
      <c r="J510" s="524">
        <f>IF(cmf[[#This Row],[D/C]]="C",cmf[[#This Row],[Valor]],-1*cmf[[#This Row],[Valor]])</f>
        <v>-172094.86</v>
      </c>
      <c r="L510" s="524" t="s">
        <v>1188</v>
      </c>
      <c r="M510" s="524" t="s">
        <v>1189</v>
      </c>
      <c r="N510" s="524" t="s">
        <v>1212</v>
      </c>
      <c r="O510" s="524" t="s">
        <v>1213</v>
      </c>
      <c r="P510" s="526"/>
      <c r="S510" s="527">
        <v>0</v>
      </c>
    </row>
    <row r="511" spans="1:19" x14ac:dyDescent="0.2">
      <c r="A511" s="524">
        <v>71168</v>
      </c>
      <c r="B511" s="526">
        <v>46209</v>
      </c>
      <c r="C511" s="524" t="s">
        <v>1162</v>
      </c>
      <c r="D511" s="524" t="s">
        <v>1186</v>
      </c>
      <c r="E511" s="524" t="s">
        <v>1566</v>
      </c>
      <c r="F511" s="524" t="s">
        <v>1170</v>
      </c>
      <c r="G511" s="524" t="s">
        <v>794</v>
      </c>
      <c r="H511" s="527">
        <v>226824.98</v>
      </c>
      <c r="I511" s="524" t="s">
        <v>1174</v>
      </c>
      <c r="J511" s="524">
        <f>IF(cmf[[#This Row],[D/C]]="C",cmf[[#This Row],[Valor]],-1*cmf[[#This Row],[Valor]])</f>
        <v>-226824.98</v>
      </c>
      <c r="L511" s="524" t="s">
        <v>1188</v>
      </c>
      <c r="M511" s="524" t="s">
        <v>1189</v>
      </c>
      <c r="N511" s="524" t="s">
        <v>1340</v>
      </c>
      <c r="O511" s="524" t="s">
        <v>1341</v>
      </c>
      <c r="P511" s="526"/>
      <c r="S511" s="527">
        <v>0</v>
      </c>
    </row>
    <row r="512" spans="1:19" x14ac:dyDescent="0.2">
      <c r="A512" s="524">
        <v>71181</v>
      </c>
      <c r="B512" s="526">
        <v>46209</v>
      </c>
      <c r="C512" s="524" t="s">
        <v>1148</v>
      </c>
      <c r="D512" s="524" t="s">
        <v>1239</v>
      </c>
      <c r="E512" s="524" t="s">
        <v>1567</v>
      </c>
      <c r="F512" s="524" t="s">
        <v>1170</v>
      </c>
      <c r="G512" s="524" t="s">
        <v>768</v>
      </c>
      <c r="H512" s="527">
        <v>13</v>
      </c>
      <c r="I512" s="524" t="s">
        <v>1174</v>
      </c>
      <c r="J512" s="524">
        <f>IF(cmf[[#This Row],[D/C]]="C",cmf[[#This Row],[Valor]],-1*cmf[[#This Row],[Valor]])</f>
        <v>-13</v>
      </c>
      <c r="L512" s="524" t="s">
        <v>1241</v>
      </c>
      <c r="M512" s="524" t="s">
        <v>1242</v>
      </c>
      <c r="N512" s="524" t="s">
        <v>1219</v>
      </c>
      <c r="O512" s="524" t="s">
        <v>1220</v>
      </c>
      <c r="P512" s="526">
        <v>46209</v>
      </c>
      <c r="S512" s="527">
        <v>0</v>
      </c>
    </row>
    <row r="513" spans="1:19" x14ac:dyDescent="0.2">
      <c r="A513" s="524">
        <v>71182</v>
      </c>
      <c r="B513" s="526">
        <v>46209</v>
      </c>
      <c r="C513" s="524" t="s">
        <v>1148</v>
      </c>
      <c r="D513" s="524" t="s">
        <v>1239</v>
      </c>
      <c r="E513" s="524" t="s">
        <v>1567</v>
      </c>
      <c r="F513" s="524" t="s">
        <v>1170</v>
      </c>
      <c r="G513" s="524" t="s">
        <v>768</v>
      </c>
      <c r="H513" s="527">
        <v>13</v>
      </c>
      <c r="I513" s="524" t="s">
        <v>1174</v>
      </c>
      <c r="J513" s="524">
        <f>IF(cmf[[#This Row],[D/C]]="C",cmf[[#This Row],[Valor]],-1*cmf[[#This Row],[Valor]])</f>
        <v>-13</v>
      </c>
      <c r="L513" s="524" t="s">
        <v>1241</v>
      </c>
      <c r="M513" s="524" t="s">
        <v>1242</v>
      </c>
      <c r="N513" s="524" t="s">
        <v>1219</v>
      </c>
      <c r="O513" s="524" t="s">
        <v>1220</v>
      </c>
      <c r="P513" s="526">
        <v>46209</v>
      </c>
      <c r="S513" s="527">
        <v>0</v>
      </c>
    </row>
    <row r="514" spans="1:19" x14ac:dyDescent="0.2">
      <c r="A514" s="524">
        <v>71226</v>
      </c>
      <c r="B514" s="526">
        <v>46209</v>
      </c>
      <c r="C514" s="524" t="s">
        <v>1148</v>
      </c>
      <c r="D514" s="524" t="s">
        <v>1239</v>
      </c>
      <c r="E514" s="524" t="s">
        <v>1568</v>
      </c>
      <c r="F514" s="524" t="s">
        <v>1170</v>
      </c>
      <c r="G514" s="524" t="s">
        <v>749</v>
      </c>
      <c r="H514" s="527">
        <v>125</v>
      </c>
      <c r="I514" s="524" t="s">
        <v>1174</v>
      </c>
      <c r="J514" s="524">
        <f>IF(cmf[[#This Row],[D/C]]="C",cmf[[#This Row],[Valor]],-1*cmf[[#This Row],[Valor]])</f>
        <v>-125</v>
      </c>
      <c r="L514" s="524" t="s">
        <v>1241</v>
      </c>
      <c r="M514" s="524" t="s">
        <v>1242</v>
      </c>
      <c r="N514" s="524" t="s">
        <v>1256</v>
      </c>
      <c r="O514" s="524" t="s">
        <v>1257</v>
      </c>
      <c r="P514" s="526">
        <v>46209</v>
      </c>
      <c r="S514" s="527">
        <v>0</v>
      </c>
    </row>
    <row r="515" spans="1:19" x14ac:dyDescent="0.2">
      <c r="A515" s="524">
        <v>71227</v>
      </c>
      <c r="B515" s="526">
        <v>46209</v>
      </c>
      <c r="C515" s="524" t="s">
        <v>1148</v>
      </c>
      <c r="D515" s="524" t="s">
        <v>1239</v>
      </c>
      <c r="E515" s="524" t="s">
        <v>1312</v>
      </c>
      <c r="F515" s="524" t="s">
        <v>1170</v>
      </c>
      <c r="G515" s="524" t="s">
        <v>749</v>
      </c>
      <c r="H515" s="527">
        <v>45</v>
      </c>
      <c r="I515" s="524" t="s">
        <v>1174</v>
      </c>
      <c r="J515" s="524">
        <f>IF(cmf[[#This Row],[D/C]]="C",cmf[[#This Row],[Valor]],-1*cmf[[#This Row],[Valor]])</f>
        <v>-45</v>
      </c>
      <c r="L515" s="524" t="s">
        <v>1241</v>
      </c>
      <c r="M515" s="524" t="s">
        <v>1242</v>
      </c>
      <c r="N515" s="524" t="s">
        <v>1256</v>
      </c>
      <c r="O515" s="524" t="s">
        <v>1257</v>
      </c>
      <c r="P515" s="526">
        <v>46209</v>
      </c>
      <c r="S515" s="527">
        <v>0</v>
      </c>
    </row>
    <row r="516" spans="1:19" x14ac:dyDescent="0.2">
      <c r="A516" s="524">
        <v>71228</v>
      </c>
      <c r="B516" s="526">
        <v>46209</v>
      </c>
      <c r="C516" s="524" t="s">
        <v>1148</v>
      </c>
      <c r="D516" s="524" t="s">
        <v>1226</v>
      </c>
      <c r="E516" s="524" t="s">
        <v>1569</v>
      </c>
      <c r="F516" s="524" t="s">
        <v>1170</v>
      </c>
      <c r="G516" s="524" t="s">
        <v>798</v>
      </c>
      <c r="H516" s="527">
        <v>1129.03</v>
      </c>
      <c r="I516" s="524" t="s">
        <v>1148</v>
      </c>
      <c r="J516" s="524">
        <f>IF(cmf[[#This Row],[D/C]]="C",cmf[[#This Row],[Valor]],-1*cmf[[#This Row],[Valor]])</f>
        <v>1129.03</v>
      </c>
      <c r="L516" s="524" t="s">
        <v>1230</v>
      </c>
      <c r="M516" s="524" t="s">
        <v>1231</v>
      </c>
      <c r="N516" s="524" t="s">
        <v>1171</v>
      </c>
      <c r="O516" s="524" t="s">
        <v>1172</v>
      </c>
      <c r="P516" s="526">
        <v>46209</v>
      </c>
      <c r="S516" s="527">
        <v>0</v>
      </c>
    </row>
    <row r="517" spans="1:19" x14ac:dyDescent="0.2">
      <c r="A517" s="524">
        <v>71506</v>
      </c>
      <c r="B517" s="526">
        <v>46209</v>
      </c>
      <c r="C517" s="524" t="s">
        <v>1148</v>
      </c>
      <c r="D517" s="524" t="s">
        <v>1186</v>
      </c>
      <c r="E517" s="524" t="s">
        <v>1570</v>
      </c>
      <c r="F517" s="524" t="s">
        <v>1170</v>
      </c>
      <c r="G517" s="524" t="s">
        <v>740</v>
      </c>
      <c r="H517" s="527">
        <v>6143.1</v>
      </c>
      <c r="I517" s="524" t="s">
        <v>1174</v>
      </c>
      <c r="J517" s="524">
        <f>IF(cmf[[#This Row],[D/C]]="C",cmf[[#This Row],[Valor]],-1*cmf[[#This Row],[Valor]])</f>
        <v>-6143.1</v>
      </c>
      <c r="L517" s="524" t="s">
        <v>1188</v>
      </c>
      <c r="M517" s="524" t="s">
        <v>1189</v>
      </c>
      <c r="N517" s="524" t="s">
        <v>1215</v>
      </c>
      <c r="O517" s="524" t="s">
        <v>1218</v>
      </c>
      <c r="P517" s="526">
        <v>46209</v>
      </c>
      <c r="S517" s="527">
        <v>0</v>
      </c>
    </row>
    <row r="518" spans="1:19" x14ac:dyDescent="0.2">
      <c r="A518" s="524">
        <v>71507</v>
      </c>
      <c r="B518" s="526">
        <v>46209</v>
      </c>
      <c r="C518" s="524" t="s">
        <v>1148</v>
      </c>
      <c r="D518" s="524" t="s">
        <v>1186</v>
      </c>
      <c r="E518" s="524" t="s">
        <v>1571</v>
      </c>
      <c r="F518" s="524" t="s">
        <v>1170</v>
      </c>
      <c r="G518" s="524" t="s">
        <v>740</v>
      </c>
      <c r="H518" s="527">
        <v>208.78</v>
      </c>
      <c r="I518" s="524" t="s">
        <v>1174</v>
      </c>
      <c r="J518" s="524">
        <f>IF(cmf[[#This Row],[D/C]]="C",cmf[[#This Row],[Valor]],-1*cmf[[#This Row],[Valor]])</f>
        <v>-208.78</v>
      </c>
      <c r="L518" s="524" t="s">
        <v>1188</v>
      </c>
      <c r="M518" s="524" t="s">
        <v>1189</v>
      </c>
      <c r="N518" s="524" t="s">
        <v>1215</v>
      </c>
      <c r="O518" s="524" t="s">
        <v>1218</v>
      </c>
      <c r="P518" s="526">
        <v>46209</v>
      </c>
      <c r="S518" s="527">
        <v>0</v>
      </c>
    </row>
    <row r="519" spans="1:19" x14ac:dyDescent="0.2">
      <c r="A519" s="524">
        <v>71508</v>
      </c>
      <c r="B519" s="526">
        <v>46209</v>
      </c>
      <c r="C519" s="524" t="s">
        <v>1148</v>
      </c>
      <c r="D519" s="524" t="s">
        <v>1186</v>
      </c>
      <c r="E519" s="524" t="s">
        <v>1572</v>
      </c>
      <c r="F519" s="524" t="s">
        <v>1170</v>
      </c>
      <c r="G519" s="524" t="s">
        <v>740</v>
      </c>
      <c r="H519" s="527">
        <v>208.78</v>
      </c>
      <c r="I519" s="524" t="s">
        <v>1174</v>
      </c>
      <c r="J519" s="524">
        <f>IF(cmf[[#This Row],[D/C]]="C",cmf[[#This Row],[Valor]],-1*cmf[[#This Row],[Valor]])</f>
        <v>-208.78</v>
      </c>
      <c r="L519" s="524" t="s">
        <v>1188</v>
      </c>
      <c r="M519" s="524" t="s">
        <v>1189</v>
      </c>
      <c r="N519" s="524" t="s">
        <v>1215</v>
      </c>
      <c r="O519" s="524" t="s">
        <v>1218</v>
      </c>
      <c r="P519" s="526">
        <v>46209</v>
      </c>
      <c r="S519" s="527">
        <v>0</v>
      </c>
    </row>
    <row r="520" spans="1:19" x14ac:dyDescent="0.2">
      <c r="A520" s="524">
        <v>71509</v>
      </c>
      <c r="B520" s="526">
        <v>46209</v>
      </c>
      <c r="C520" s="524" t="s">
        <v>1148</v>
      </c>
      <c r="D520" s="524" t="s">
        <v>1186</v>
      </c>
      <c r="E520" s="524" t="s">
        <v>1573</v>
      </c>
      <c r="F520" s="524" t="s">
        <v>1170</v>
      </c>
      <c r="G520" s="524" t="s">
        <v>740</v>
      </c>
      <c r="H520" s="527">
        <v>1275</v>
      </c>
      <c r="I520" s="524" t="s">
        <v>1174</v>
      </c>
      <c r="J520" s="524">
        <f>IF(cmf[[#This Row],[D/C]]="C",cmf[[#This Row],[Valor]],-1*cmf[[#This Row],[Valor]])</f>
        <v>-1275</v>
      </c>
      <c r="L520" s="524" t="s">
        <v>1188</v>
      </c>
      <c r="M520" s="524" t="s">
        <v>1189</v>
      </c>
      <c r="N520" s="524" t="s">
        <v>1215</v>
      </c>
      <c r="O520" s="524" t="s">
        <v>1218</v>
      </c>
      <c r="P520" s="526">
        <v>46209</v>
      </c>
      <c r="S520" s="527">
        <v>0</v>
      </c>
    </row>
    <row r="521" spans="1:19" x14ac:dyDescent="0.2">
      <c r="A521" s="524">
        <v>71510</v>
      </c>
      <c r="B521" s="526">
        <v>46209</v>
      </c>
      <c r="C521" s="524" t="s">
        <v>1148</v>
      </c>
      <c r="D521" s="524" t="s">
        <v>1239</v>
      </c>
      <c r="E521" s="524" t="s">
        <v>1312</v>
      </c>
      <c r="F521" s="524" t="s">
        <v>1170</v>
      </c>
      <c r="G521" s="524" t="s">
        <v>740</v>
      </c>
      <c r="H521" s="527">
        <v>15</v>
      </c>
      <c r="I521" s="524" t="s">
        <v>1174</v>
      </c>
      <c r="J521" s="524">
        <f>IF(cmf[[#This Row],[D/C]]="C",cmf[[#This Row],[Valor]],-1*cmf[[#This Row],[Valor]])</f>
        <v>-15</v>
      </c>
      <c r="L521" s="524" t="s">
        <v>1241</v>
      </c>
      <c r="M521" s="524" t="s">
        <v>1242</v>
      </c>
      <c r="N521" s="524" t="s">
        <v>1215</v>
      </c>
      <c r="O521" s="524" t="s">
        <v>1218</v>
      </c>
      <c r="P521" s="526">
        <v>46209</v>
      </c>
      <c r="S521" s="527">
        <v>0</v>
      </c>
    </row>
    <row r="522" spans="1:19" x14ac:dyDescent="0.2">
      <c r="A522" s="524">
        <v>71701</v>
      </c>
      <c r="B522" s="526">
        <v>46209</v>
      </c>
      <c r="C522" s="524" t="s">
        <v>1148</v>
      </c>
      <c r="D522" s="524" t="s">
        <v>1243</v>
      </c>
      <c r="E522" s="524" t="s">
        <v>1244</v>
      </c>
      <c r="F522" s="524" t="s">
        <v>1183</v>
      </c>
      <c r="G522" s="524" t="s">
        <v>742</v>
      </c>
      <c r="H522" s="527">
        <v>266976.84000000003</v>
      </c>
      <c r="I522" s="524" t="s">
        <v>1148</v>
      </c>
      <c r="J522" s="524">
        <f>IF(cmf[[#This Row],[D/C]]="C",cmf[[#This Row],[Valor]],-1*cmf[[#This Row],[Valor]])</f>
        <v>266976.84000000003</v>
      </c>
      <c r="L522" s="524" t="s">
        <v>1245</v>
      </c>
      <c r="M522" s="524" t="s">
        <v>1246</v>
      </c>
      <c r="N522" s="524" t="s">
        <v>1215</v>
      </c>
      <c r="O522" s="524" t="s">
        <v>1267</v>
      </c>
      <c r="P522" s="526">
        <v>46209</v>
      </c>
      <c r="S522" s="527">
        <v>0</v>
      </c>
    </row>
    <row r="523" spans="1:19" x14ac:dyDescent="0.2">
      <c r="A523" s="524">
        <v>71702</v>
      </c>
      <c r="B523" s="526">
        <v>46209</v>
      </c>
      <c r="C523" s="524" t="s">
        <v>1148</v>
      </c>
      <c r="D523" s="524" t="s">
        <v>1243</v>
      </c>
      <c r="E523" s="524" t="s">
        <v>1244</v>
      </c>
      <c r="F523" s="524" t="s">
        <v>1183</v>
      </c>
      <c r="G523" s="524" t="s">
        <v>742</v>
      </c>
      <c r="H523" s="527">
        <v>0.69</v>
      </c>
      <c r="I523" s="524" t="s">
        <v>1148</v>
      </c>
      <c r="J523" s="524">
        <f>IF(cmf[[#This Row],[D/C]]="C",cmf[[#This Row],[Valor]],-1*cmf[[#This Row],[Valor]])</f>
        <v>0.69</v>
      </c>
      <c r="L523" s="524" t="s">
        <v>1245</v>
      </c>
      <c r="M523" s="524" t="s">
        <v>1246</v>
      </c>
      <c r="N523" s="524" t="s">
        <v>1215</v>
      </c>
      <c r="O523" s="524" t="s">
        <v>1267</v>
      </c>
      <c r="P523" s="526">
        <v>46209</v>
      </c>
      <c r="S523" s="527">
        <v>0</v>
      </c>
    </row>
    <row r="524" spans="1:19" x14ac:dyDescent="0.2">
      <c r="A524" s="524">
        <v>71893</v>
      </c>
      <c r="B524" s="526">
        <v>46209</v>
      </c>
      <c r="C524" s="524" t="s">
        <v>1148</v>
      </c>
      <c r="D524" s="524" t="s">
        <v>1205</v>
      </c>
      <c r="E524" s="524" t="s">
        <v>1574</v>
      </c>
      <c r="F524" s="524" t="s">
        <v>1183</v>
      </c>
      <c r="G524" s="524" t="s">
        <v>750</v>
      </c>
      <c r="H524" s="527">
        <v>1041.4100000000001</v>
      </c>
      <c r="I524" s="524" t="s">
        <v>1174</v>
      </c>
      <c r="J524" s="524">
        <f>IF(cmf[[#This Row],[D/C]]="C",cmf[[#This Row],[Valor]],-1*cmf[[#This Row],[Valor]])</f>
        <v>-1041.4100000000001</v>
      </c>
      <c r="L524" s="524" t="s">
        <v>1207</v>
      </c>
      <c r="M524" s="524" t="s">
        <v>1208</v>
      </c>
      <c r="N524" s="524" t="s">
        <v>1256</v>
      </c>
      <c r="O524" s="524" t="s">
        <v>1257</v>
      </c>
      <c r="P524" s="526">
        <v>46209</v>
      </c>
      <c r="S524" s="527">
        <v>0</v>
      </c>
    </row>
    <row r="525" spans="1:19" x14ac:dyDescent="0.2">
      <c r="A525" s="524">
        <v>71894</v>
      </c>
      <c r="B525" s="526">
        <v>46209</v>
      </c>
      <c r="C525" s="524" t="s">
        <v>1162</v>
      </c>
      <c r="D525" s="524" t="s">
        <v>1205</v>
      </c>
      <c r="E525" s="524" t="s">
        <v>1575</v>
      </c>
      <c r="F525" s="524" t="s">
        <v>1576</v>
      </c>
      <c r="G525" s="524" t="s">
        <v>1577</v>
      </c>
      <c r="H525" s="527">
        <v>1041.4100000000001</v>
      </c>
      <c r="I525" s="524" t="s">
        <v>1148</v>
      </c>
      <c r="J525" s="524">
        <f>IF(cmf[[#This Row],[D/C]]="C",cmf[[#This Row],[Valor]],-1*cmf[[#This Row],[Valor]])</f>
        <v>1041.4100000000001</v>
      </c>
      <c r="L525" s="524" t="s">
        <v>1207</v>
      </c>
      <c r="M525" s="524" t="s">
        <v>1208</v>
      </c>
      <c r="N525" s="524" t="s">
        <v>1578</v>
      </c>
      <c r="O525" s="524" t="s">
        <v>1579</v>
      </c>
      <c r="P525" s="526"/>
      <c r="S525" s="527">
        <v>0</v>
      </c>
    </row>
    <row r="526" spans="1:19" x14ac:dyDescent="0.2">
      <c r="A526" s="524">
        <v>71895</v>
      </c>
      <c r="B526" s="526">
        <v>46209</v>
      </c>
      <c r="C526" s="524" t="s">
        <v>1148</v>
      </c>
      <c r="D526" s="524" t="s">
        <v>1205</v>
      </c>
      <c r="E526" s="524" t="s">
        <v>1574</v>
      </c>
      <c r="F526" s="524" t="s">
        <v>1183</v>
      </c>
      <c r="G526" s="524" t="s">
        <v>750</v>
      </c>
      <c r="H526" s="527">
        <v>49.49</v>
      </c>
      <c r="I526" s="524" t="s">
        <v>1174</v>
      </c>
      <c r="J526" s="524">
        <f>IF(cmf[[#This Row],[D/C]]="C",cmf[[#This Row],[Valor]],-1*cmf[[#This Row],[Valor]])</f>
        <v>-49.49</v>
      </c>
      <c r="L526" s="524" t="s">
        <v>1207</v>
      </c>
      <c r="M526" s="524" t="s">
        <v>1208</v>
      </c>
      <c r="N526" s="524" t="s">
        <v>1256</v>
      </c>
      <c r="O526" s="524" t="s">
        <v>1257</v>
      </c>
      <c r="P526" s="526">
        <v>46209</v>
      </c>
      <c r="S526" s="527">
        <v>0</v>
      </c>
    </row>
    <row r="527" spans="1:19" x14ac:dyDescent="0.2">
      <c r="A527" s="524">
        <v>71896</v>
      </c>
      <c r="B527" s="526">
        <v>46209</v>
      </c>
      <c r="C527" s="524" t="s">
        <v>1162</v>
      </c>
      <c r="D527" s="524" t="s">
        <v>1205</v>
      </c>
      <c r="E527" s="524" t="s">
        <v>1575</v>
      </c>
      <c r="F527" s="524" t="s">
        <v>1576</v>
      </c>
      <c r="G527" s="524" t="s">
        <v>1577</v>
      </c>
      <c r="H527" s="527">
        <v>49.49</v>
      </c>
      <c r="I527" s="524" t="s">
        <v>1148</v>
      </c>
      <c r="J527" s="524">
        <f>IF(cmf[[#This Row],[D/C]]="C",cmf[[#This Row],[Valor]],-1*cmf[[#This Row],[Valor]])</f>
        <v>49.49</v>
      </c>
      <c r="L527" s="524" t="s">
        <v>1207</v>
      </c>
      <c r="M527" s="524" t="s">
        <v>1208</v>
      </c>
      <c r="N527" s="524" t="s">
        <v>1578</v>
      </c>
      <c r="O527" s="524" t="s">
        <v>1579</v>
      </c>
      <c r="P527" s="526"/>
      <c r="S527" s="527">
        <v>0</v>
      </c>
    </row>
    <row r="528" spans="1:19" x14ac:dyDescent="0.2">
      <c r="A528" s="524">
        <v>71897</v>
      </c>
      <c r="B528" s="526">
        <v>46209</v>
      </c>
      <c r="C528" s="524" t="s">
        <v>1148</v>
      </c>
      <c r="D528" s="524" t="s">
        <v>1205</v>
      </c>
      <c r="E528" s="524" t="s">
        <v>1574</v>
      </c>
      <c r="F528" s="524" t="s">
        <v>1183</v>
      </c>
      <c r="G528" s="524" t="s">
        <v>750</v>
      </c>
      <c r="H528" s="527">
        <v>254.26</v>
      </c>
      <c r="I528" s="524" t="s">
        <v>1174</v>
      </c>
      <c r="J528" s="524">
        <f>IF(cmf[[#This Row],[D/C]]="C",cmf[[#This Row],[Valor]],-1*cmf[[#This Row],[Valor]])</f>
        <v>-254.26</v>
      </c>
      <c r="L528" s="524" t="s">
        <v>1207</v>
      </c>
      <c r="M528" s="524" t="s">
        <v>1208</v>
      </c>
      <c r="N528" s="524" t="s">
        <v>1256</v>
      </c>
      <c r="O528" s="524" t="s">
        <v>1257</v>
      </c>
      <c r="P528" s="526">
        <v>46209</v>
      </c>
      <c r="S528" s="527">
        <v>0</v>
      </c>
    </row>
    <row r="529" spans="1:19" x14ac:dyDescent="0.2">
      <c r="A529" s="524">
        <v>71898</v>
      </c>
      <c r="B529" s="526">
        <v>46209</v>
      </c>
      <c r="C529" s="524" t="s">
        <v>1162</v>
      </c>
      <c r="D529" s="524" t="s">
        <v>1205</v>
      </c>
      <c r="E529" s="524" t="s">
        <v>1575</v>
      </c>
      <c r="F529" s="524" t="s">
        <v>1576</v>
      </c>
      <c r="G529" s="524" t="s">
        <v>1577</v>
      </c>
      <c r="H529" s="527">
        <v>254.26</v>
      </c>
      <c r="I529" s="524" t="s">
        <v>1148</v>
      </c>
      <c r="J529" s="524">
        <f>IF(cmf[[#This Row],[D/C]]="C",cmf[[#This Row],[Valor]],-1*cmf[[#This Row],[Valor]])</f>
        <v>254.26</v>
      </c>
      <c r="L529" s="524" t="s">
        <v>1207</v>
      </c>
      <c r="M529" s="524" t="s">
        <v>1208</v>
      </c>
      <c r="N529" s="524" t="s">
        <v>1578</v>
      </c>
      <c r="O529" s="524" t="s">
        <v>1579</v>
      </c>
      <c r="P529" s="526"/>
      <c r="S529" s="527">
        <v>0</v>
      </c>
    </row>
    <row r="530" spans="1:19" x14ac:dyDescent="0.2">
      <c r="A530" s="524">
        <v>71899</v>
      </c>
      <c r="B530" s="526">
        <v>46209</v>
      </c>
      <c r="C530" s="524" t="s">
        <v>1148</v>
      </c>
      <c r="D530" s="524" t="s">
        <v>1205</v>
      </c>
      <c r="E530" s="524" t="s">
        <v>1574</v>
      </c>
      <c r="F530" s="524" t="s">
        <v>1183</v>
      </c>
      <c r="G530" s="524" t="s">
        <v>750</v>
      </c>
      <c r="H530" s="527">
        <v>55.73</v>
      </c>
      <c r="I530" s="524" t="s">
        <v>1174</v>
      </c>
      <c r="J530" s="524">
        <f>IF(cmf[[#This Row],[D/C]]="C",cmf[[#This Row],[Valor]],-1*cmf[[#This Row],[Valor]])</f>
        <v>-55.73</v>
      </c>
      <c r="L530" s="524" t="s">
        <v>1207</v>
      </c>
      <c r="M530" s="524" t="s">
        <v>1208</v>
      </c>
      <c r="N530" s="524" t="s">
        <v>1256</v>
      </c>
      <c r="O530" s="524" t="s">
        <v>1257</v>
      </c>
      <c r="P530" s="526">
        <v>46209</v>
      </c>
      <c r="S530" s="527">
        <v>0</v>
      </c>
    </row>
    <row r="531" spans="1:19" x14ac:dyDescent="0.2">
      <c r="A531" s="524">
        <v>71900</v>
      </c>
      <c r="B531" s="526">
        <v>46209</v>
      </c>
      <c r="C531" s="524" t="s">
        <v>1162</v>
      </c>
      <c r="D531" s="524" t="s">
        <v>1205</v>
      </c>
      <c r="E531" s="524" t="s">
        <v>1575</v>
      </c>
      <c r="F531" s="524" t="s">
        <v>1576</v>
      </c>
      <c r="G531" s="524" t="s">
        <v>1577</v>
      </c>
      <c r="H531" s="527">
        <v>55.73</v>
      </c>
      <c r="I531" s="524" t="s">
        <v>1148</v>
      </c>
      <c r="J531" s="524">
        <f>IF(cmf[[#This Row],[D/C]]="C",cmf[[#This Row],[Valor]],-1*cmf[[#This Row],[Valor]])</f>
        <v>55.73</v>
      </c>
      <c r="L531" s="524" t="s">
        <v>1207</v>
      </c>
      <c r="M531" s="524" t="s">
        <v>1208</v>
      </c>
      <c r="N531" s="524" t="s">
        <v>1578</v>
      </c>
      <c r="O531" s="524" t="s">
        <v>1579</v>
      </c>
      <c r="P531" s="526"/>
      <c r="S531" s="527">
        <v>0</v>
      </c>
    </row>
    <row r="532" spans="1:19" x14ac:dyDescent="0.2">
      <c r="A532" s="524">
        <v>72204</v>
      </c>
      <c r="B532" s="526">
        <v>46209</v>
      </c>
      <c r="C532" s="524" t="s">
        <v>1148</v>
      </c>
      <c r="D532" s="524" t="s">
        <v>1243</v>
      </c>
      <c r="E532" s="524" t="s">
        <v>1244</v>
      </c>
      <c r="F532" s="524" t="s">
        <v>1183</v>
      </c>
      <c r="G532" s="524" t="s">
        <v>789</v>
      </c>
      <c r="H532" s="527">
        <v>6127.97</v>
      </c>
      <c r="I532" s="524" t="s">
        <v>1148</v>
      </c>
      <c r="J532" s="524">
        <f>IF(cmf[[#This Row],[D/C]]="C",cmf[[#This Row],[Valor]],-1*cmf[[#This Row],[Valor]])</f>
        <v>6127.97</v>
      </c>
      <c r="L532" s="524" t="s">
        <v>1245</v>
      </c>
      <c r="M532" s="524" t="s">
        <v>1246</v>
      </c>
      <c r="N532" s="524" t="s">
        <v>1271</v>
      </c>
      <c r="O532" s="524" t="s">
        <v>1272</v>
      </c>
      <c r="P532" s="526">
        <v>46209</v>
      </c>
      <c r="S532" s="527">
        <v>0</v>
      </c>
    </row>
    <row r="533" spans="1:19" x14ac:dyDescent="0.2">
      <c r="A533" s="524">
        <v>72205</v>
      </c>
      <c r="B533" s="526">
        <v>46209</v>
      </c>
      <c r="C533" s="524" t="s">
        <v>1148</v>
      </c>
      <c r="D533" s="524" t="s">
        <v>1243</v>
      </c>
      <c r="E533" s="524" t="s">
        <v>1244</v>
      </c>
      <c r="F533" s="524" t="s">
        <v>1183</v>
      </c>
      <c r="G533" s="524" t="s">
        <v>789</v>
      </c>
      <c r="H533" s="527">
        <v>0.28999999999999998</v>
      </c>
      <c r="I533" s="524" t="s">
        <v>1148</v>
      </c>
      <c r="J533" s="524">
        <f>IF(cmf[[#This Row],[D/C]]="C",cmf[[#This Row],[Valor]],-1*cmf[[#This Row],[Valor]])</f>
        <v>0.28999999999999998</v>
      </c>
      <c r="L533" s="524" t="s">
        <v>1245</v>
      </c>
      <c r="M533" s="524" t="s">
        <v>1246</v>
      </c>
      <c r="N533" s="524" t="s">
        <v>1271</v>
      </c>
      <c r="O533" s="524" t="s">
        <v>1272</v>
      </c>
      <c r="P533" s="526">
        <v>46209</v>
      </c>
      <c r="S533" s="527">
        <v>0</v>
      </c>
    </row>
    <row r="534" spans="1:19" x14ac:dyDescent="0.2">
      <c r="A534" s="524">
        <v>72503</v>
      </c>
      <c r="B534" s="526">
        <v>46209</v>
      </c>
      <c r="C534" s="524" t="s">
        <v>1148</v>
      </c>
      <c r="D534" s="524" t="s">
        <v>1239</v>
      </c>
      <c r="E534" s="524" t="s">
        <v>1580</v>
      </c>
      <c r="F534" s="524" t="s">
        <v>943</v>
      </c>
      <c r="G534" s="524" t="s">
        <v>743</v>
      </c>
      <c r="H534" s="527">
        <v>580</v>
      </c>
      <c r="I534" s="524" t="s">
        <v>1174</v>
      </c>
      <c r="J534" s="524">
        <f>IF(cmf[[#This Row],[D/C]]="C",cmf[[#This Row],[Valor]],-1*cmf[[#This Row],[Valor]])</f>
        <v>-580</v>
      </c>
      <c r="L534" s="524" t="s">
        <v>1241</v>
      </c>
      <c r="M534" s="524" t="s">
        <v>1242</v>
      </c>
      <c r="N534" s="524" t="s">
        <v>1215</v>
      </c>
      <c r="O534" s="524" t="s">
        <v>1218</v>
      </c>
      <c r="P534" s="526">
        <v>46209</v>
      </c>
      <c r="S534" s="527">
        <v>0</v>
      </c>
    </row>
    <row r="535" spans="1:19" x14ac:dyDescent="0.2">
      <c r="A535" s="524">
        <v>72539</v>
      </c>
      <c r="B535" s="526">
        <v>46209</v>
      </c>
      <c r="C535" s="524" t="s">
        <v>1148</v>
      </c>
      <c r="D535" s="524" t="s">
        <v>1235</v>
      </c>
      <c r="E535" s="524" t="s">
        <v>1581</v>
      </c>
      <c r="F535" s="524" t="s">
        <v>1170</v>
      </c>
      <c r="G535" s="524" t="s">
        <v>757</v>
      </c>
      <c r="H535" s="527">
        <v>26100</v>
      </c>
      <c r="I535" s="524" t="s">
        <v>1174</v>
      </c>
      <c r="J535" s="524">
        <f>IF(cmf[[#This Row],[D/C]]="C",cmf[[#This Row],[Valor]],-1*cmf[[#This Row],[Valor]])</f>
        <v>-26100</v>
      </c>
      <c r="L535" s="524" t="s">
        <v>1237</v>
      </c>
      <c r="M535" s="524" t="s">
        <v>1238</v>
      </c>
      <c r="N535" s="524" t="s">
        <v>1223</v>
      </c>
      <c r="O535" s="524" t="s">
        <v>1224</v>
      </c>
      <c r="P535" s="526">
        <v>46209</v>
      </c>
      <c r="S535" s="527">
        <v>0</v>
      </c>
    </row>
    <row r="536" spans="1:19" x14ac:dyDescent="0.2">
      <c r="A536" s="524">
        <v>72540</v>
      </c>
      <c r="B536" s="526">
        <v>46209</v>
      </c>
      <c r="C536" s="524" t="s">
        <v>1148</v>
      </c>
      <c r="D536" s="524" t="s">
        <v>1235</v>
      </c>
      <c r="E536" s="524" t="s">
        <v>1581</v>
      </c>
      <c r="F536" s="524" t="s">
        <v>1170</v>
      </c>
      <c r="G536" s="524" t="s">
        <v>757</v>
      </c>
      <c r="H536" s="527">
        <v>26100</v>
      </c>
      <c r="I536" s="524" t="s">
        <v>1174</v>
      </c>
      <c r="J536" s="524">
        <f>IF(cmf[[#This Row],[D/C]]="C",cmf[[#This Row],[Valor]],-1*cmf[[#This Row],[Valor]])</f>
        <v>-26100</v>
      </c>
      <c r="L536" s="524" t="s">
        <v>1237</v>
      </c>
      <c r="M536" s="524" t="s">
        <v>1238</v>
      </c>
      <c r="N536" s="524" t="s">
        <v>1223</v>
      </c>
      <c r="O536" s="524" t="s">
        <v>1224</v>
      </c>
      <c r="P536" s="526">
        <v>46209</v>
      </c>
      <c r="S536" s="527">
        <v>0</v>
      </c>
    </row>
    <row r="537" spans="1:19" x14ac:dyDescent="0.2">
      <c r="A537" s="524">
        <v>68410</v>
      </c>
      <c r="B537" s="526">
        <v>46210</v>
      </c>
      <c r="C537" s="524" t="s">
        <v>1162</v>
      </c>
      <c r="D537" s="524" t="s">
        <v>1163</v>
      </c>
      <c r="E537" s="524" t="s">
        <v>1164</v>
      </c>
      <c r="F537" s="524" t="s">
        <v>1165</v>
      </c>
      <c r="G537" s="524" t="s">
        <v>756</v>
      </c>
      <c r="H537" s="527">
        <v>34889.86</v>
      </c>
      <c r="I537" s="524" t="s">
        <v>1148</v>
      </c>
      <c r="J537" s="524">
        <f>IF(cmf[[#This Row],[D/C]]="C",cmf[[#This Row],[Valor]],-1*cmf[[#This Row],[Valor]])</f>
        <v>34889.86</v>
      </c>
      <c r="L537" s="524" t="s">
        <v>1166</v>
      </c>
      <c r="M537" s="524" t="s">
        <v>1167</v>
      </c>
      <c r="N537" s="524" t="s">
        <v>1168</v>
      </c>
      <c r="O537" s="524" t="s">
        <v>1169</v>
      </c>
      <c r="P537" s="526"/>
      <c r="S537" s="527">
        <v>0</v>
      </c>
    </row>
    <row r="538" spans="1:19" x14ac:dyDescent="0.2">
      <c r="A538" s="524">
        <v>68526</v>
      </c>
      <c r="B538" s="526">
        <v>46210</v>
      </c>
      <c r="C538" s="524" t="s">
        <v>1148</v>
      </c>
      <c r="D538" s="524" t="s">
        <v>1163</v>
      </c>
      <c r="E538" s="524" t="s">
        <v>1164</v>
      </c>
      <c r="F538" s="524" t="s">
        <v>1170</v>
      </c>
      <c r="G538" s="524" t="s">
        <v>740</v>
      </c>
      <c r="H538" s="527">
        <v>4516.1899999999996</v>
      </c>
      <c r="I538" s="524" t="s">
        <v>1148</v>
      </c>
      <c r="J538" s="524">
        <f>IF(cmf[[#This Row],[D/C]]="C",cmf[[#This Row],[Valor]],-1*cmf[[#This Row],[Valor]])</f>
        <v>4516.1899999999996</v>
      </c>
      <c r="L538" s="524" t="s">
        <v>1166</v>
      </c>
      <c r="M538" s="524" t="s">
        <v>1167</v>
      </c>
      <c r="N538" s="524" t="s">
        <v>1215</v>
      </c>
      <c r="O538" s="524" t="s">
        <v>1218</v>
      </c>
      <c r="P538" s="526">
        <v>46210</v>
      </c>
      <c r="S538" s="527">
        <v>0</v>
      </c>
    </row>
    <row r="539" spans="1:19" x14ac:dyDescent="0.2">
      <c r="A539" s="524">
        <v>68527</v>
      </c>
      <c r="B539" s="526">
        <v>46210</v>
      </c>
      <c r="C539" s="524" t="s">
        <v>1148</v>
      </c>
      <c r="D539" s="524" t="s">
        <v>1163</v>
      </c>
      <c r="E539" s="524" t="s">
        <v>1173</v>
      </c>
      <c r="F539" s="524" t="s">
        <v>1170</v>
      </c>
      <c r="G539" s="524" t="s">
        <v>740</v>
      </c>
      <c r="H539" s="527">
        <v>25.2</v>
      </c>
      <c r="I539" s="524" t="s">
        <v>1174</v>
      </c>
      <c r="J539" s="524">
        <f>IF(cmf[[#This Row],[D/C]]="C",cmf[[#This Row],[Valor]],-1*cmf[[#This Row],[Valor]])</f>
        <v>-25.2</v>
      </c>
      <c r="L539" s="524" t="s">
        <v>1175</v>
      </c>
      <c r="M539" s="524" t="s">
        <v>1176</v>
      </c>
      <c r="N539" s="524" t="s">
        <v>1215</v>
      </c>
      <c r="O539" s="524" t="s">
        <v>1218</v>
      </c>
      <c r="P539" s="526">
        <v>46210</v>
      </c>
      <c r="S539" s="527">
        <v>0</v>
      </c>
    </row>
    <row r="540" spans="1:19" x14ac:dyDescent="0.2">
      <c r="A540" s="524">
        <v>68528</v>
      </c>
      <c r="B540" s="526">
        <v>46210</v>
      </c>
      <c r="C540" s="524" t="s">
        <v>1162</v>
      </c>
      <c r="D540" s="524" t="s">
        <v>1163</v>
      </c>
      <c r="E540" s="524" t="s">
        <v>1164</v>
      </c>
      <c r="F540" s="524" t="s">
        <v>1183</v>
      </c>
      <c r="G540" s="524" t="s">
        <v>796</v>
      </c>
      <c r="H540" s="527">
        <v>30065.52</v>
      </c>
      <c r="I540" s="524" t="s">
        <v>1148</v>
      </c>
      <c r="J540" s="524">
        <f>IF(cmf[[#This Row],[D/C]]="C",cmf[[#This Row],[Valor]],-1*cmf[[#This Row],[Valor]])</f>
        <v>30065.52</v>
      </c>
      <c r="L540" s="524" t="s">
        <v>1166</v>
      </c>
      <c r="M540" s="524" t="s">
        <v>1167</v>
      </c>
      <c r="N540" s="524" t="s">
        <v>1184</v>
      </c>
      <c r="O540" s="524" t="s">
        <v>1172</v>
      </c>
      <c r="P540" s="526"/>
      <c r="S540" s="527">
        <v>0</v>
      </c>
    </row>
    <row r="541" spans="1:19" x14ac:dyDescent="0.2">
      <c r="A541" s="524">
        <v>68529</v>
      </c>
      <c r="B541" s="526">
        <v>46210</v>
      </c>
      <c r="C541" s="524" t="s">
        <v>1162</v>
      </c>
      <c r="D541" s="524" t="s">
        <v>1163</v>
      </c>
      <c r="E541" s="524" t="s">
        <v>1173</v>
      </c>
      <c r="F541" s="524" t="s">
        <v>1183</v>
      </c>
      <c r="G541" s="524" t="s">
        <v>796</v>
      </c>
      <c r="H541" s="527">
        <v>27.6</v>
      </c>
      <c r="I541" s="524" t="s">
        <v>1174</v>
      </c>
      <c r="J541" s="524">
        <f>IF(cmf[[#This Row],[D/C]]="C",cmf[[#This Row],[Valor]],-1*cmf[[#This Row],[Valor]])</f>
        <v>-27.6</v>
      </c>
      <c r="L541" s="524" t="s">
        <v>1175</v>
      </c>
      <c r="M541" s="524" t="s">
        <v>1176</v>
      </c>
      <c r="N541" s="524" t="s">
        <v>1184</v>
      </c>
      <c r="O541" s="524" t="s">
        <v>1172</v>
      </c>
      <c r="P541" s="526"/>
      <c r="S541" s="527">
        <v>0</v>
      </c>
    </row>
    <row r="542" spans="1:19" x14ac:dyDescent="0.2">
      <c r="A542" s="524">
        <v>68536</v>
      </c>
      <c r="B542" s="526">
        <v>46210</v>
      </c>
      <c r="C542" s="524" t="s">
        <v>1148</v>
      </c>
      <c r="D542" s="524" t="s">
        <v>1163</v>
      </c>
      <c r="E542" s="524" t="s">
        <v>1164</v>
      </c>
      <c r="F542" s="524" t="s">
        <v>1170</v>
      </c>
      <c r="G542" s="524" t="s">
        <v>768</v>
      </c>
      <c r="H542" s="527">
        <v>2066.8200000000002</v>
      </c>
      <c r="I542" s="524" t="s">
        <v>1148</v>
      </c>
      <c r="J542" s="524">
        <f>IF(cmf[[#This Row],[D/C]]="C",cmf[[#This Row],[Valor]],-1*cmf[[#This Row],[Valor]])</f>
        <v>2066.8200000000002</v>
      </c>
      <c r="L542" s="524" t="s">
        <v>1166</v>
      </c>
      <c r="M542" s="524" t="s">
        <v>1167</v>
      </c>
      <c r="N542" s="524" t="s">
        <v>1219</v>
      </c>
      <c r="O542" s="524" t="s">
        <v>1220</v>
      </c>
      <c r="P542" s="526">
        <v>46210</v>
      </c>
      <c r="S542" s="527">
        <v>0</v>
      </c>
    </row>
    <row r="543" spans="1:19" x14ac:dyDescent="0.2">
      <c r="A543" s="524">
        <v>68537</v>
      </c>
      <c r="B543" s="526">
        <v>46210</v>
      </c>
      <c r="C543" s="524" t="s">
        <v>1148</v>
      </c>
      <c r="D543" s="524" t="s">
        <v>1163</v>
      </c>
      <c r="E543" s="524" t="s">
        <v>1173</v>
      </c>
      <c r="F543" s="524" t="s">
        <v>1170</v>
      </c>
      <c r="G543" s="524" t="s">
        <v>768</v>
      </c>
      <c r="H543" s="527">
        <v>18.899999999999999</v>
      </c>
      <c r="I543" s="524" t="s">
        <v>1174</v>
      </c>
      <c r="J543" s="524">
        <f>IF(cmf[[#This Row],[D/C]]="C",cmf[[#This Row],[Valor]],-1*cmf[[#This Row],[Valor]])</f>
        <v>-18.899999999999999</v>
      </c>
      <c r="L543" s="524" t="s">
        <v>1175</v>
      </c>
      <c r="M543" s="524" t="s">
        <v>1176</v>
      </c>
      <c r="N543" s="524" t="s">
        <v>1219</v>
      </c>
      <c r="O543" s="524" t="s">
        <v>1220</v>
      </c>
      <c r="P543" s="526">
        <v>46210</v>
      </c>
      <c r="S543" s="527">
        <v>0</v>
      </c>
    </row>
    <row r="544" spans="1:19" x14ac:dyDescent="0.2">
      <c r="A544" s="524">
        <v>68538</v>
      </c>
      <c r="B544" s="526">
        <v>46210</v>
      </c>
      <c r="C544" s="524" t="s">
        <v>1148</v>
      </c>
      <c r="D544" s="524" t="s">
        <v>1163</v>
      </c>
      <c r="E544" s="524" t="s">
        <v>1164</v>
      </c>
      <c r="F544" s="524" t="s">
        <v>1170</v>
      </c>
      <c r="G544" s="524" t="s">
        <v>757</v>
      </c>
      <c r="H544" s="527">
        <v>768</v>
      </c>
      <c r="I544" s="524" t="s">
        <v>1148</v>
      </c>
      <c r="J544" s="524">
        <f>IF(cmf[[#This Row],[D/C]]="C",cmf[[#This Row],[Valor]],-1*cmf[[#This Row],[Valor]])</f>
        <v>768</v>
      </c>
      <c r="L544" s="524" t="s">
        <v>1166</v>
      </c>
      <c r="M544" s="524" t="s">
        <v>1167</v>
      </c>
      <c r="N544" s="524" t="s">
        <v>1223</v>
      </c>
      <c r="O544" s="524" t="s">
        <v>1224</v>
      </c>
      <c r="P544" s="526">
        <v>46210</v>
      </c>
      <c r="S544" s="527">
        <v>0</v>
      </c>
    </row>
    <row r="545" spans="1:19" x14ac:dyDescent="0.2">
      <c r="A545" s="524">
        <v>68539</v>
      </c>
      <c r="B545" s="526">
        <v>46210</v>
      </c>
      <c r="C545" s="524" t="s">
        <v>1148</v>
      </c>
      <c r="D545" s="524" t="s">
        <v>1163</v>
      </c>
      <c r="E545" s="524" t="s">
        <v>1173</v>
      </c>
      <c r="F545" s="524" t="s">
        <v>1170</v>
      </c>
      <c r="G545" s="524" t="s">
        <v>757</v>
      </c>
      <c r="H545" s="527">
        <v>12.6</v>
      </c>
      <c r="I545" s="524" t="s">
        <v>1174</v>
      </c>
      <c r="J545" s="524">
        <f>IF(cmf[[#This Row],[D/C]]="C",cmf[[#This Row],[Valor]],-1*cmf[[#This Row],[Valor]])</f>
        <v>-12.6</v>
      </c>
      <c r="L545" s="524" t="s">
        <v>1175</v>
      </c>
      <c r="M545" s="524" t="s">
        <v>1176</v>
      </c>
      <c r="N545" s="524" t="s">
        <v>1223</v>
      </c>
      <c r="O545" s="524" t="s">
        <v>1224</v>
      </c>
      <c r="P545" s="526">
        <v>46210</v>
      </c>
      <c r="S545" s="527">
        <v>0</v>
      </c>
    </row>
    <row r="546" spans="1:19" x14ac:dyDescent="0.2">
      <c r="A546" s="524">
        <v>68545</v>
      </c>
      <c r="B546" s="526">
        <v>46210</v>
      </c>
      <c r="C546" s="524" t="s">
        <v>1148</v>
      </c>
      <c r="D546" s="524" t="s">
        <v>1163</v>
      </c>
      <c r="E546" s="524" t="s">
        <v>1164</v>
      </c>
      <c r="F546" s="524" t="s">
        <v>1178</v>
      </c>
      <c r="G546" s="524" t="s">
        <v>1179</v>
      </c>
      <c r="H546" s="527">
        <v>28301.45</v>
      </c>
      <c r="I546" s="524" t="s">
        <v>1148</v>
      </c>
      <c r="J546" s="524">
        <f>IF(cmf[[#This Row],[D/C]]="C",cmf[[#This Row],[Valor]],-1*cmf[[#This Row],[Valor]])</f>
        <v>28301.45</v>
      </c>
      <c r="L546" s="524" t="s">
        <v>1166</v>
      </c>
      <c r="M546" s="524" t="s">
        <v>1167</v>
      </c>
      <c r="N546" s="524" t="s">
        <v>1180</v>
      </c>
      <c r="O546" s="524" t="s">
        <v>1181</v>
      </c>
      <c r="P546" s="526">
        <v>46210</v>
      </c>
      <c r="S546" s="527">
        <v>0</v>
      </c>
    </row>
    <row r="547" spans="1:19" x14ac:dyDescent="0.2">
      <c r="A547" s="524">
        <v>68589</v>
      </c>
      <c r="B547" s="526">
        <v>46210</v>
      </c>
      <c r="C547" s="524" t="s">
        <v>1148</v>
      </c>
      <c r="D547" s="524" t="s">
        <v>1235</v>
      </c>
      <c r="E547" s="524" t="s">
        <v>1582</v>
      </c>
      <c r="F547" s="524" t="s">
        <v>1170</v>
      </c>
      <c r="G547" s="524" t="s">
        <v>768</v>
      </c>
      <c r="H547" s="527">
        <v>1440</v>
      </c>
      <c r="I547" s="524" t="s">
        <v>1174</v>
      </c>
      <c r="J547" s="524">
        <f>IF(cmf[[#This Row],[D/C]]="C",cmf[[#This Row],[Valor]],-1*cmf[[#This Row],[Valor]])</f>
        <v>-1440</v>
      </c>
      <c r="L547" s="524" t="s">
        <v>1237</v>
      </c>
      <c r="M547" s="524" t="s">
        <v>1238</v>
      </c>
      <c r="N547" s="524" t="s">
        <v>1219</v>
      </c>
      <c r="O547" s="524" t="s">
        <v>1220</v>
      </c>
      <c r="P547" s="526">
        <v>46210</v>
      </c>
      <c r="S547" s="527">
        <v>0</v>
      </c>
    </row>
    <row r="548" spans="1:19" x14ac:dyDescent="0.2">
      <c r="A548" s="524">
        <v>68613</v>
      </c>
      <c r="B548" s="526">
        <v>46210</v>
      </c>
      <c r="C548" s="524" t="s">
        <v>1162</v>
      </c>
      <c r="D548" s="524" t="s">
        <v>1186</v>
      </c>
      <c r="E548" s="524" t="s">
        <v>1583</v>
      </c>
      <c r="F548" s="524" t="s">
        <v>1170</v>
      </c>
      <c r="G548" s="524" t="s">
        <v>781</v>
      </c>
      <c r="H548" s="527">
        <v>3800</v>
      </c>
      <c r="I548" s="524" t="s">
        <v>1174</v>
      </c>
      <c r="J548" s="524">
        <f>IF(cmf[[#This Row],[D/C]]="C",cmf[[#This Row],[Valor]],-1*cmf[[#This Row],[Valor]])</f>
        <v>-3800</v>
      </c>
      <c r="L548" s="524" t="s">
        <v>1188</v>
      </c>
      <c r="M548" s="524" t="s">
        <v>1189</v>
      </c>
      <c r="N548" s="524" t="s">
        <v>1209</v>
      </c>
      <c r="O548" s="524" t="s">
        <v>1210</v>
      </c>
      <c r="P548" s="526"/>
      <c r="S548" s="527">
        <v>0</v>
      </c>
    </row>
    <row r="549" spans="1:19" x14ac:dyDescent="0.2">
      <c r="A549" s="524">
        <v>68665</v>
      </c>
      <c r="B549" s="526">
        <v>46210</v>
      </c>
      <c r="C549" s="524" t="s">
        <v>1148</v>
      </c>
      <c r="D549" s="524" t="s">
        <v>1186</v>
      </c>
      <c r="E549" s="524" t="s">
        <v>1584</v>
      </c>
      <c r="F549" s="524" t="s">
        <v>1183</v>
      </c>
      <c r="G549" s="524" t="s">
        <v>769</v>
      </c>
      <c r="H549" s="527">
        <v>9520</v>
      </c>
      <c r="I549" s="524" t="s">
        <v>1174</v>
      </c>
      <c r="J549" s="524">
        <f>IF(cmf[[#This Row],[D/C]]="C",cmf[[#This Row],[Valor]],-1*cmf[[#This Row],[Valor]])</f>
        <v>-9520</v>
      </c>
      <c r="L549" s="524" t="s">
        <v>1188</v>
      </c>
      <c r="M549" s="524" t="s">
        <v>1189</v>
      </c>
      <c r="N549" s="524" t="s">
        <v>1219</v>
      </c>
      <c r="O549" s="524" t="s">
        <v>1220</v>
      </c>
      <c r="P549" s="526">
        <v>46210</v>
      </c>
      <c r="S549" s="527">
        <v>0</v>
      </c>
    </row>
    <row r="550" spans="1:19" x14ac:dyDescent="0.2">
      <c r="A550" s="524">
        <v>68685</v>
      </c>
      <c r="B550" s="526">
        <v>46210</v>
      </c>
      <c r="C550" s="524" t="s">
        <v>1148</v>
      </c>
      <c r="D550" s="524" t="s">
        <v>1186</v>
      </c>
      <c r="E550" s="524" t="s">
        <v>1585</v>
      </c>
      <c r="F550" s="524" t="s">
        <v>1183</v>
      </c>
      <c r="G550" s="524" t="s">
        <v>758</v>
      </c>
      <c r="H550" s="527">
        <v>625.51</v>
      </c>
      <c r="I550" s="524" t="s">
        <v>1174</v>
      </c>
      <c r="J550" s="524">
        <f>IF(cmf[[#This Row],[D/C]]="C",cmf[[#This Row],[Valor]],-1*cmf[[#This Row],[Valor]])</f>
        <v>-625.51</v>
      </c>
      <c r="L550" s="524" t="s">
        <v>1188</v>
      </c>
      <c r="M550" s="524" t="s">
        <v>1189</v>
      </c>
      <c r="N550" s="524" t="s">
        <v>1223</v>
      </c>
      <c r="O550" s="524" t="s">
        <v>1224</v>
      </c>
      <c r="P550" s="526">
        <v>46210</v>
      </c>
      <c r="S550" s="527">
        <v>0</v>
      </c>
    </row>
    <row r="551" spans="1:19" x14ac:dyDescent="0.2">
      <c r="A551" s="524">
        <v>68686</v>
      </c>
      <c r="B551" s="526">
        <v>46210</v>
      </c>
      <c r="C551" s="524" t="s">
        <v>1148</v>
      </c>
      <c r="D551" s="524" t="s">
        <v>1186</v>
      </c>
      <c r="E551" s="524" t="s">
        <v>1586</v>
      </c>
      <c r="F551" s="524" t="s">
        <v>1183</v>
      </c>
      <c r="G551" s="524" t="s">
        <v>758</v>
      </c>
      <c r="H551" s="527">
        <v>479.36</v>
      </c>
      <c r="I551" s="524" t="s">
        <v>1174</v>
      </c>
      <c r="J551" s="524">
        <f>IF(cmf[[#This Row],[D/C]]="C",cmf[[#This Row],[Valor]],-1*cmf[[#This Row],[Valor]])</f>
        <v>-479.36</v>
      </c>
      <c r="L551" s="524" t="s">
        <v>1188</v>
      </c>
      <c r="M551" s="524" t="s">
        <v>1189</v>
      </c>
      <c r="N551" s="524" t="s">
        <v>1223</v>
      </c>
      <c r="O551" s="524" t="s">
        <v>1224</v>
      </c>
      <c r="P551" s="526">
        <v>46210</v>
      </c>
      <c r="S551" s="527">
        <v>0</v>
      </c>
    </row>
    <row r="552" spans="1:19" x14ac:dyDescent="0.2">
      <c r="A552" s="524">
        <v>68687</v>
      </c>
      <c r="B552" s="526">
        <v>46210</v>
      </c>
      <c r="C552" s="524" t="s">
        <v>1148</v>
      </c>
      <c r="D552" s="524" t="s">
        <v>1186</v>
      </c>
      <c r="E552" s="524" t="s">
        <v>1587</v>
      </c>
      <c r="F552" s="524" t="s">
        <v>1183</v>
      </c>
      <c r="G552" s="524" t="s">
        <v>758</v>
      </c>
      <c r="H552" s="527">
        <v>254.6</v>
      </c>
      <c r="I552" s="524" t="s">
        <v>1174</v>
      </c>
      <c r="J552" s="524">
        <f>IF(cmf[[#This Row],[D/C]]="C",cmf[[#This Row],[Valor]],-1*cmf[[#This Row],[Valor]])</f>
        <v>-254.6</v>
      </c>
      <c r="L552" s="524" t="s">
        <v>1188</v>
      </c>
      <c r="M552" s="524" t="s">
        <v>1189</v>
      </c>
      <c r="N552" s="524" t="s">
        <v>1223</v>
      </c>
      <c r="O552" s="524" t="s">
        <v>1224</v>
      </c>
      <c r="P552" s="526">
        <v>46210</v>
      </c>
      <c r="S552" s="527">
        <v>0</v>
      </c>
    </row>
    <row r="553" spans="1:19" x14ac:dyDescent="0.2">
      <c r="A553" s="524">
        <v>68688</v>
      </c>
      <c r="B553" s="526">
        <v>46210</v>
      </c>
      <c r="C553" s="524" t="s">
        <v>1148</v>
      </c>
      <c r="D553" s="524" t="s">
        <v>1186</v>
      </c>
      <c r="E553" s="524" t="s">
        <v>1588</v>
      </c>
      <c r="F553" s="524" t="s">
        <v>1183</v>
      </c>
      <c r="G553" s="524" t="s">
        <v>758</v>
      </c>
      <c r="H553" s="527">
        <v>332.03</v>
      </c>
      <c r="I553" s="524" t="s">
        <v>1174</v>
      </c>
      <c r="J553" s="524">
        <f>IF(cmf[[#This Row],[D/C]]="C",cmf[[#This Row],[Valor]],-1*cmf[[#This Row],[Valor]])</f>
        <v>-332.03</v>
      </c>
      <c r="L553" s="524" t="s">
        <v>1188</v>
      </c>
      <c r="M553" s="524" t="s">
        <v>1189</v>
      </c>
      <c r="N553" s="524" t="s">
        <v>1223</v>
      </c>
      <c r="O553" s="524" t="s">
        <v>1224</v>
      </c>
      <c r="P553" s="526">
        <v>46210</v>
      </c>
      <c r="S553" s="527">
        <v>0</v>
      </c>
    </row>
    <row r="554" spans="1:19" x14ac:dyDescent="0.2">
      <c r="A554" s="524">
        <v>68714</v>
      </c>
      <c r="B554" s="526">
        <v>46210</v>
      </c>
      <c r="C554" s="524" t="s">
        <v>1148</v>
      </c>
      <c r="D554" s="524" t="s">
        <v>1186</v>
      </c>
      <c r="E554" s="524" t="s">
        <v>1589</v>
      </c>
      <c r="F554" s="524" t="s">
        <v>1183</v>
      </c>
      <c r="G554" s="524" t="s">
        <v>763</v>
      </c>
      <c r="H554" s="527">
        <v>3500</v>
      </c>
      <c r="I554" s="524" t="s">
        <v>1174</v>
      </c>
      <c r="J554" s="524">
        <f>IF(cmf[[#This Row],[D/C]]="C",cmf[[#This Row],[Valor]],-1*cmf[[#This Row],[Valor]])</f>
        <v>-3500</v>
      </c>
      <c r="L554" s="524" t="s">
        <v>1188</v>
      </c>
      <c r="M554" s="524" t="s">
        <v>1189</v>
      </c>
      <c r="N554" s="524" t="s">
        <v>1180</v>
      </c>
      <c r="O554" s="524" t="s">
        <v>1181</v>
      </c>
      <c r="P554" s="526">
        <v>46210</v>
      </c>
      <c r="S554" s="527">
        <v>0</v>
      </c>
    </row>
    <row r="555" spans="1:19" x14ac:dyDescent="0.2">
      <c r="A555" s="524">
        <v>68716</v>
      </c>
      <c r="B555" s="526">
        <v>46210</v>
      </c>
      <c r="C555" s="524" t="s">
        <v>1148</v>
      </c>
      <c r="D555" s="524" t="s">
        <v>1186</v>
      </c>
      <c r="E555" s="524" t="s">
        <v>1590</v>
      </c>
      <c r="F555" s="524" t="s">
        <v>1183</v>
      </c>
      <c r="G555" s="524" t="s">
        <v>763</v>
      </c>
      <c r="H555" s="527">
        <v>13940.96</v>
      </c>
      <c r="I555" s="524" t="s">
        <v>1174</v>
      </c>
      <c r="J555" s="524">
        <f>IF(cmf[[#This Row],[D/C]]="C",cmf[[#This Row],[Valor]],-1*cmf[[#This Row],[Valor]])</f>
        <v>-13940.96</v>
      </c>
      <c r="L555" s="524" t="s">
        <v>1188</v>
      </c>
      <c r="M555" s="524" t="s">
        <v>1189</v>
      </c>
      <c r="N555" s="524" t="s">
        <v>1180</v>
      </c>
      <c r="O555" s="524" t="s">
        <v>1181</v>
      </c>
      <c r="P555" s="526">
        <v>46210</v>
      </c>
      <c r="S555" s="527">
        <v>0</v>
      </c>
    </row>
    <row r="556" spans="1:19" x14ac:dyDescent="0.2">
      <c r="A556" s="524">
        <v>68717</v>
      </c>
      <c r="B556" s="526">
        <v>46210</v>
      </c>
      <c r="C556" s="524" t="s">
        <v>1148</v>
      </c>
      <c r="D556" s="524" t="s">
        <v>1186</v>
      </c>
      <c r="E556" s="524" t="s">
        <v>1591</v>
      </c>
      <c r="F556" s="524" t="s">
        <v>1183</v>
      </c>
      <c r="G556" s="524" t="s">
        <v>763</v>
      </c>
      <c r="H556" s="527">
        <v>2785.76</v>
      </c>
      <c r="I556" s="524" t="s">
        <v>1174</v>
      </c>
      <c r="J556" s="524">
        <f>IF(cmf[[#This Row],[D/C]]="C",cmf[[#This Row],[Valor]],-1*cmf[[#This Row],[Valor]])</f>
        <v>-2785.76</v>
      </c>
      <c r="L556" s="524" t="s">
        <v>1188</v>
      </c>
      <c r="M556" s="524" t="s">
        <v>1189</v>
      </c>
      <c r="N556" s="524" t="s">
        <v>1180</v>
      </c>
      <c r="O556" s="524" t="s">
        <v>1181</v>
      </c>
      <c r="P556" s="526">
        <v>46210</v>
      </c>
      <c r="S556" s="527">
        <v>0</v>
      </c>
    </row>
    <row r="557" spans="1:19" x14ac:dyDescent="0.2">
      <c r="A557" s="524">
        <v>68718</v>
      </c>
      <c r="B557" s="526">
        <v>46210</v>
      </c>
      <c r="C557" s="524" t="s">
        <v>1148</v>
      </c>
      <c r="D557" s="524" t="s">
        <v>1186</v>
      </c>
      <c r="E557" s="524" t="s">
        <v>1592</v>
      </c>
      <c r="F557" s="524" t="s">
        <v>1183</v>
      </c>
      <c r="G557" s="524" t="s">
        <v>763</v>
      </c>
      <c r="H557" s="527">
        <v>2250</v>
      </c>
      <c r="I557" s="524" t="s">
        <v>1174</v>
      </c>
      <c r="J557" s="524">
        <f>IF(cmf[[#This Row],[D/C]]="C",cmf[[#This Row],[Valor]],-1*cmf[[#This Row],[Valor]])</f>
        <v>-2250</v>
      </c>
      <c r="L557" s="524" t="s">
        <v>1188</v>
      </c>
      <c r="M557" s="524" t="s">
        <v>1189</v>
      </c>
      <c r="N557" s="524" t="s">
        <v>1180</v>
      </c>
      <c r="O557" s="524" t="s">
        <v>1181</v>
      </c>
      <c r="P557" s="526">
        <v>46210</v>
      </c>
      <c r="S557" s="527">
        <v>0</v>
      </c>
    </row>
    <row r="558" spans="1:19" x14ac:dyDescent="0.2">
      <c r="A558" s="524">
        <v>68719</v>
      </c>
      <c r="B558" s="526">
        <v>46210</v>
      </c>
      <c r="C558" s="524" t="s">
        <v>1148</v>
      </c>
      <c r="D558" s="524" t="s">
        <v>1186</v>
      </c>
      <c r="E558" s="524" t="s">
        <v>1593</v>
      </c>
      <c r="F558" s="524" t="s">
        <v>1183</v>
      </c>
      <c r="G558" s="524" t="s">
        <v>763</v>
      </c>
      <c r="H558" s="527">
        <v>920.81</v>
      </c>
      <c r="I558" s="524" t="s">
        <v>1174</v>
      </c>
      <c r="J558" s="524">
        <f>IF(cmf[[#This Row],[D/C]]="C",cmf[[#This Row],[Valor]],-1*cmf[[#This Row],[Valor]])</f>
        <v>-920.81</v>
      </c>
      <c r="L558" s="524" t="s">
        <v>1188</v>
      </c>
      <c r="M558" s="524" t="s">
        <v>1189</v>
      </c>
      <c r="N558" s="524" t="s">
        <v>1180</v>
      </c>
      <c r="O558" s="524" t="s">
        <v>1181</v>
      </c>
      <c r="P558" s="526">
        <v>46210</v>
      </c>
      <c r="S558" s="527">
        <v>0</v>
      </c>
    </row>
    <row r="559" spans="1:19" x14ac:dyDescent="0.2">
      <c r="A559" s="524">
        <v>68720</v>
      </c>
      <c r="B559" s="526">
        <v>46210</v>
      </c>
      <c r="C559" s="524" t="s">
        <v>1148</v>
      </c>
      <c r="D559" s="524" t="s">
        <v>1186</v>
      </c>
      <c r="E559" s="524" t="s">
        <v>1594</v>
      </c>
      <c r="F559" s="524" t="s">
        <v>1183</v>
      </c>
      <c r="G559" s="524" t="s">
        <v>763</v>
      </c>
      <c r="H559" s="527">
        <v>1300</v>
      </c>
      <c r="I559" s="524" t="s">
        <v>1174</v>
      </c>
      <c r="J559" s="524">
        <f>IF(cmf[[#This Row],[D/C]]="C",cmf[[#This Row],[Valor]],-1*cmf[[#This Row],[Valor]])</f>
        <v>-1300</v>
      </c>
      <c r="L559" s="524" t="s">
        <v>1188</v>
      </c>
      <c r="M559" s="524" t="s">
        <v>1189</v>
      </c>
      <c r="N559" s="524" t="s">
        <v>1180</v>
      </c>
      <c r="O559" s="524" t="s">
        <v>1181</v>
      </c>
      <c r="P559" s="526">
        <v>46210</v>
      </c>
      <c r="S559" s="527">
        <v>0</v>
      </c>
    </row>
    <row r="560" spans="1:19" x14ac:dyDescent="0.2">
      <c r="A560" s="524">
        <v>68721</v>
      </c>
      <c r="B560" s="526">
        <v>46210</v>
      </c>
      <c r="C560" s="524" t="s">
        <v>1148</v>
      </c>
      <c r="D560" s="524" t="s">
        <v>1186</v>
      </c>
      <c r="E560" s="524" t="s">
        <v>1595</v>
      </c>
      <c r="F560" s="524" t="s">
        <v>1183</v>
      </c>
      <c r="G560" s="524" t="s">
        <v>763</v>
      </c>
      <c r="H560" s="527">
        <v>2400</v>
      </c>
      <c r="I560" s="524" t="s">
        <v>1174</v>
      </c>
      <c r="J560" s="524">
        <f>IF(cmf[[#This Row],[D/C]]="C",cmf[[#This Row],[Valor]],-1*cmf[[#This Row],[Valor]])</f>
        <v>-2400</v>
      </c>
      <c r="L560" s="524" t="s">
        <v>1188</v>
      </c>
      <c r="M560" s="524" t="s">
        <v>1189</v>
      </c>
      <c r="N560" s="524" t="s">
        <v>1180</v>
      </c>
      <c r="O560" s="524" t="s">
        <v>1181</v>
      </c>
      <c r="P560" s="526">
        <v>46210</v>
      </c>
      <c r="S560" s="527">
        <v>0</v>
      </c>
    </row>
    <row r="561" spans="1:19" x14ac:dyDescent="0.2">
      <c r="A561" s="524">
        <v>68722</v>
      </c>
      <c r="B561" s="526">
        <v>46210</v>
      </c>
      <c r="C561" s="524" t="s">
        <v>1148</v>
      </c>
      <c r="D561" s="524" t="s">
        <v>1186</v>
      </c>
      <c r="E561" s="524" t="s">
        <v>1596</v>
      </c>
      <c r="F561" s="524" t="s">
        <v>1183</v>
      </c>
      <c r="G561" s="524" t="s">
        <v>763</v>
      </c>
      <c r="H561" s="527">
        <v>5123.2</v>
      </c>
      <c r="I561" s="524" t="s">
        <v>1174</v>
      </c>
      <c r="J561" s="524">
        <f>IF(cmf[[#This Row],[D/C]]="C",cmf[[#This Row],[Valor]],-1*cmf[[#This Row],[Valor]])</f>
        <v>-5123.2</v>
      </c>
      <c r="L561" s="524" t="s">
        <v>1188</v>
      </c>
      <c r="M561" s="524" t="s">
        <v>1189</v>
      </c>
      <c r="N561" s="524" t="s">
        <v>1180</v>
      </c>
      <c r="O561" s="524" t="s">
        <v>1181</v>
      </c>
      <c r="P561" s="526">
        <v>46210</v>
      </c>
      <c r="S561" s="527">
        <v>0</v>
      </c>
    </row>
    <row r="562" spans="1:19" x14ac:dyDescent="0.2">
      <c r="A562" s="524">
        <v>68724</v>
      </c>
      <c r="B562" s="526">
        <v>46210</v>
      </c>
      <c r="C562" s="524" t="s">
        <v>1148</v>
      </c>
      <c r="D562" s="524" t="s">
        <v>1186</v>
      </c>
      <c r="E562" s="524" t="s">
        <v>1597</v>
      </c>
      <c r="F562" s="524" t="s">
        <v>1183</v>
      </c>
      <c r="G562" s="524" t="s">
        <v>763</v>
      </c>
      <c r="H562" s="527">
        <v>4608</v>
      </c>
      <c r="I562" s="524" t="s">
        <v>1174</v>
      </c>
      <c r="J562" s="524">
        <f>IF(cmf[[#This Row],[D/C]]="C",cmf[[#This Row],[Valor]],-1*cmf[[#This Row],[Valor]])</f>
        <v>-4608</v>
      </c>
      <c r="L562" s="524" t="s">
        <v>1188</v>
      </c>
      <c r="M562" s="524" t="s">
        <v>1189</v>
      </c>
      <c r="N562" s="524" t="s">
        <v>1180</v>
      </c>
      <c r="O562" s="524" t="s">
        <v>1181</v>
      </c>
      <c r="P562" s="526">
        <v>46210</v>
      </c>
      <c r="S562" s="527">
        <v>0</v>
      </c>
    </row>
    <row r="563" spans="1:19" x14ac:dyDescent="0.2">
      <c r="A563" s="524">
        <v>68741</v>
      </c>
      <c r="B563" s="526">
        <v>46210</v>
      </c>
      <c r="C563" s="524" t="s">
        <v>1148</v>
      </c>
      <c r="D563" s="524" t="s">
        <v>1186</v>
      </c>
      <c r="E563" s="524" t="s">
        <v>1598</v>
      </c>
      <c r="F563" s="524" t="s">
        <v>1183</v>
      </c>
      <c r="G563" s="524" t="s">
        <v>806</v>
      </c>
      <c r="H563" s="527">
        <v>23462.5</v>
      </c>
      <c r="I563" s="524" t="s">
        <v>1174</v>
      </c>
      <c r="J563" s="524">
        <f>IF(cmf[[#This Row],[D/C]]="C",cmf[[#This Row],[Valor]],-1*cmf[[#This Row],[Valor]])</f>
        <v>-23462.5</v>
      </c>
      <c r="L563" s="524" t="s">
        <v>1188</v>
      </c>
      <c r="M563" s="524" t="s">
        <v>1189</v>
      </c>
      <c r="N563" s="524" t="s">
        <v>1283</v>
      </c>
      <c r="O563" s="524" t="s">
        <v>1284</v>
      </c>
      <c r="P563" s="526">
        <v>46210</v>
      </c>
      <c r="S563" s="527">
        <v>0</v>
      </c>
    </row>
    <row r="564" spans="1:19" x14ac:dyDescent="0.2">
      <c r="A564" s="524">
        <v>68742</v>
      </c>
      <c r="B564" s="526">
        <v>46210</v>
      </c>
      <c r="C564" s="524" t="s">
        <v>1148</v>
      </c>
      <c r="D564" s="524" t="s">
        <v>1186</v>
      </c>
      <c r="E564" s="524" t="s">
        <v>1599</v>
      </c>
      <c r="F564" s="524" t="s">
        <v>1183</v>
      </c>
      <c r="G564" s="524" t="s">
        <v>806</v>
      </c>
      <c r="H564" s="527">
        <v>11262</v>
      </c>
      <c r="I564" s="524" t="s">
        <v>1174</v>
      </c>
      <c r="J564" s="524">
        <f>IF(cmf[[#This Row],[D/C]]="C",cmf[[#This Row],[Valor]],-1*cmf[[#This Row],[Valor]])</f>
        <v>-11262</v>
      </c>
      <c r="L564" s="524" t="s">
        <v>1188</v>
      </c>
      <c r="M564" s="524" t="s">
        <v>1189</v>
      </c>
      <c r="N564" s="524" t="s">
        <v>1283</v>
      </c>
      <c r="O564" s="524" t="s">
        <v>1284</v>
      </c>
      <c r="P564" s="526">
        <v>46210</v>
      </c>
      <c r="S564" s="527">
        <v>0</v>
      </c>
    </row>
    <row r="565" spans="1:19" x14ac:dyDescent="0.2">
      <c r="A565" s="524">
        <v>68743</v>
      </c>
      <c r="B565" s="526">
        <v>46210</v>
      </c>
      <c r="C565" s="524" t="s">
        <v>1148</v>
      </c>
      <c r="D565" s="524" t="s">
        <v>1186</v>
      </c>
      <c r="E565" s="524" t="s">
        <v>1600</v>
      </c>
      <c r="F565" s="524" t="s">
        <v>1183</v>
      </c>
      <c r="G565" s="524" t="s">
        <v>752</v>
      </c>
      <c r="H565" s="527">
        <v>683.92</v>
      </c>
      <c r="I565" s="524" t="s">
        <v>1174</v>
      </c>
      <c r="J565" s="524">
        <f>IF(cmf[[#This Row],[D/C]]="C",cmf[[#This Row],[Valor]],-1*cmf[[#This Row],[Valor]])</f>
        <v>-683.92</v>
      </c>
      <c r="L565" s="524" t="s">
        <v>1188</v>
      </c>
      <c r="M565" s="524" t="s">
        <v>1189</v>
      </c>
      <c r="N565" s="524" t="s">
        <v>1601</v>
      </c>
      <c r="O565" s="524" t="s">
        <v>1602</v>
      </c>
      <c r="P565" s="526">
        <v>46210</v>
      </c>
      <c r="S565" s="527">
        <v>0</v>
      </c>
    </row>
    <row r="566" spans="1:19" x14ac:dyDescent="0.2">
      <c r="A566" s="524">
        <v>68745</v>
      </c>
      <c r="B566" s="526">
        <v>46210</v>
      </c>
      <c r="C566" s="524" t="s">
        <v>1148</v>
      </c>
      <c r="D566" s="524" t="s">
        <v>1186</v>
      </c>
      <c r="E566" s="524" t="s">
        <v>1603</v>
      </c>
      <c r="F566" s="524" t="s">
        <v>1183</v>
      </c>
      <c r="G566" s="524" t="s">
        <v>745</v>
      </c>
      <c r="H566" s="527">
        <v>2720</v>
      </c>
      <c r="I566" s="524" t="s">
        <v>1174</v>
      </c>
      <c r="J566" s="524">
        <f>IF(cmf[[#This Row],[D/C]]="C",cmf[[#This Row],[Valor]],-1*cmf[[#This Row],[Valor]])</f>
        <v>-2720</v>
      </c>
      <c r="L566" s="524" t="s">
        <v>1188</v>
      </c>
      <c r="M566" s="524" t="s">
        <v>1189</v>
      </c>
      <c r="N566" s="524" t="s">
        <v>1292</v>
      </c>
      <c r="O566" s="524" t="s">
        <v>1293</v>
      </c>
      <c r="P566" s="526">
        <v>46210</v>
      </c>
      <c r="S566" s="527">
        <v>0</v>
      </c>
    </row>
    <row r="567" spans="1:19" x14ac:dyDescent="0.2">
      <c r="A567" s="524">
        <v>68746</v>
      </c>
      <c r="B567" s="526">
        <v>46210</v>
      </c>
      <c r="C567" s="524" t="s">
        <v>1148</v>
      </c>
      <c r="D567" s="524" t="s">
        <v>1186</v>
      </c>
      <c r="E567" s="524" t="s">
        <v>1604</v>
      </c>
      <c r="F567" s="524" t="s">
        <v>1183</v>
      </c>
      <c r="G567" s="524" t="s">
        <v>745</v>
      </c>
      <c r="H567" s="527">
        <v>240</v>
      </c>
      <c r="I567" s="524" t="s">
        <v>1174</v>
      </c>
      <c r="J567" s="524">
        <f>IF(cmf[[#This Row],[D/C]]="C",cmf[[#This Row],[Valor]],-1*cmf[[#This Row],[Valor]])</f>
        <v>-240</v>
      </c>
      <c r="L567" s="524" t="s">
        <v>1188</v>
      </c>
      <c r="M567" s="524" t="s">
        <v>1189</v>
      </c>
      <c r="N567" s="524" t="s">
        <v>1292</v>
      </c>
      <c r="O567" s="524" t="s">
        <v>1293</v>
      </c>
      <c r="P567" s="526">
        <v>46210</v>
      </c>
      <c r="S567" s="527">
        <v>0</v>
      </c>
    </row>
    <row r="568" spans="1:19" x14ac:dyDescent="0.2">
      <c r="A568" s="524">
        <v>68747</v>
      </c>
      <c r="B568" s="526">
        <v>46210</v>
      </c>
      <c r="C568" s="524" t="s">
        <v>1148</v>
      </c>
      <c r="D568" s="524" t="s">
        <v>1186</v>
      </c>
      <c r="E568" s="524" t="s">
        <v>1605</v>
      </c>
      <c r="F568" s="524" t="s">
        <v>1183</v>
      </c>
      <c r="G568" s="524" t="s">
        <v>745</v>
      </c>
      <c r="H568" s="527">
        <v>17362.25</v>
      </c>
      <c r="I568" s="524" t="s">
        <v>1174</v>
      </c>
      <c r="J568" s="524">
        <f>IF(cmf[[#This Row],[D/C]]="C",cmf[[#This Row],[Valor]],-1*cmf[[#This Row],[Valor]])</f>
        <v>-17362.25</v>
      </c>
      <c r="L568" s="524" t="s">
        <v>1188</v>
      </c>
      <c r="M568" s="524" t="s">
        <v>1189</v>
      </c>
      <c r="N568" s="524" t="s">
        <v>1292</v>
      </c>
      <c r="O568" s="524" t="s">
        <v>1293</v>
      </c>
      <c r="P568" s="526">
        <v>46210</v>
      </c>
      <c r="S568" s="527">
        <v>0</v>
      </c>
    </row>
    <row r="569" spans="1:19" x14ac:dyDescent="0.2">
      <c r="A569" s="524">
        <v>68748</v>
      </c>
      <c r="B569" s="526">
        <v>46210</v>
      </c>
      <c r="C569" s="524" t="s">
        <v>1148</v>
      </c>
      <c r="D569" s="524" t="s">
        <v>1186</v>
      </c>
      <c r="E569" s="524" t="s">
        <v>1606</v>
      </c>
      <c r="F569" s="524" t="s">
        <v>1183</v>
      </c>
      <c r="G569" s="524" t="s">
        <v>745</v>
      </c>
      <c r="H569" s="527">
        <v>1132.07</v>
      </c>
      <c r="I569" s="524" t="s">
        <v>1174</v>
      </c>
      <c r="J569" s="524">
        <f>IF(cmf[[#This Row],[D/C]]="C",cmf[[#This Row],[Valor]],-1*cmf[[#This Row],[Valor]])</f>
        <v>-1132.07</v>
      </c>
      <c r="L569" s="524" t="s">
        <v>1188</v>
      </c>
      <c r="M569" s="524" t="s">
        <v>1189</v>
      </c>
      <c r="N569" s="524" t="s">
        <v>1292</v>
      </c>
      <c r="O569" s="524" t="s">
        <v>1293</v>
      </c>
      <c r="P569" s="526">
        <v>46210</v>
      </c>
      <c r="S569" s="527">
        <v>0</v>
      </c>
    </row>
    <row r="570" spans="1:19" x14ac:dyDescent="0.2">
      <c r="A570" s="524">
        <v>68749</v>
      </c>
      <c r="B570" s="526">
        <v>46210</v>
      </c>
      <c r="C570" s="524" t="s">
        <v>1148</v>
      </c>
      <c r="D570" s="524" t="s">
        <v>1186</v>
      </c>
      <c r="E570" s="524" t="s">
        <v>1607</v>
      </c>
      <c r="F570" s="524" t="s">
        <v>1183</v>
      </c>
      <c r="G570" s="524" t="s">
        <v>745</v>
      </c>
      <c r="H570" s="527">
        <v>13749.51</v>
      </c>
      <c r="I570" s="524" t="s">
        <v>1174</v>
      </c>
      <c r="J570" s="524">
        <f>IF(cmf[[#This Row],[D/C]]="C",cmf[[#This Row],[Valor]],-1*cmf[[#This Row],[Valor]])</f>
        <v>-13749.51</v>
      </c>
      <c r="L570" s="524" t="s">
        <v>1188</v>
      </c>
      <c r="M570" s="524" t="s">
        <v>1189</v>
      </c>
      <c r="N570" s="524" t="s">
        <v>1292</v>
      </c>
      <c r="O570" s="524" t="s">
        <v>1293</v>
      </c>
      <c r="P570" s="526">
        <v>46210</v>
      </c>
      <c r="S570" s="527">
        <v>0</v>
      </c>
    </row>
    <row r="571" spans="1:19" x14ac:dyDescent="0.2">
      <c r="A571" s="524">
        <v>68750</v>
      </c>
      <c r="B571" s="526">
        <v>46210</v>
      </c>
      <c r="C571" s="524" t="s">
        <v>1148</v>
      </c>
      <c r="D571" s="524" t="s">
        <v>1186</v>
      </c>
      <c r="E571" s="524" t="s">
        <v>1608</v>
      </c>
      <c r="F571" s="524" t="s">
        <v>1183</v>
      </c>
      <c r="G571" s="524" t="s">
        <v>745</v>
      </c>
      <c r="H571" s="527">
        <v>11483.41</v>
      </c>
      <c r="I571" s="524" t="s">
        <v>1174</v>
      </c>
      <c r="J571" s="524">
        <f>IF(cmf[[#This Row],[D/C]]="C",cmf[[#This Row],[Valor]],-1*cmf[[#This Row],[Valor]])</f>
        <v>-11483.41</v>
      </c>
      <c r="L571" s="524" t="s">
        <v>1188</v>
      </c>
      <c r="M571" s="524" t="s">
        <v>1189</v>
      </c>
      <c r="N571" s="524" t="s">
        <v>1292</v>
      </c>
      <c r="O571" s="524" t="s">
        <v>1293</v>
      </c>
      <c r="P571" s="526">
        <v>46210</v>
      </c>
      <c r="S571" s="527">
        <v>0</v>
      </c>
    </row>
    <row r="572" spans="1:19" x14ac:dyDescent="0.2">
      <c r="A572" s="524">
        <v>68751</v>
      </c>
      <c r="B572" s="526">
        <v>46210</v>
      </c>
      <c r="C572" s="524" t="s">
        <v>1148</v>
      </c>
      <c r="D572" s="524" t="s">
        <v>1186</v>
      </c>
      <c r="E572" s="524" t="s">
        <v>1609</v>
      </c>
      <c r="F572" s="524" t="s">
        <v>1183</v>
      </c>
      <c r="G572" s="524" t="s">
        <v>745</v>
      </c>
      <c r="H572" s="527">
        <v>2470</v>
      </c>
      <c r="I572" s="524" t="s">
        <v>1174</v>
      </c>
      <c r="J572" s="524">
        <f>IF(cmf[[#This Row],[D/C]]="C",cmf[[#This Row],[Valor]],-1*cmf[[#This Row],[Valor]])</f>
        <v>-2470</v>
      </c>
      <c r="L572" s="524" t="s">
        <v>1188</v>
      </c>
      <c r="M572" s="524" t="s">
        <v>1189</v>
      </c>
      <c r="N572" s="524" t="s">
        <v>1292</v>
      </c>
      <c r="O572" s="524" t="s">
        <v>1293</v>
      </c>
      <c r="P572" s="526">
        <v>46210</v>
      </c>
      <c r="S572" s="527">
        <v>0</v>
      </c>
    </row>
    <row r="573" spans="1:19" x14ac:dyDescent="0.2">
      <c r="A573" s="524">
        <v>68752</v>
      </c>
      <c r="B573" s="526">
        <v>46210</v>
      </c>
      <c r="C573" s="524" t="s">
        <v>1148</v>
      </c>
      <c r="D573" s="524" t="s">
        <v>1186</v>
      </c>
      <c r="E573" s="524" t="s">
        <v>1610</v>
      </c>
      <c r="F573" s="524" t="s">
        <v>1183</v>
      </c>
      <c r="G573" s="524" t="s">
        <v>745</v>
      </c>
      <c r="H573" s="527">
        <v>5850</v>
      </c>
      <c r="I573" s="524" t="s">
        <v>1174</v>
      </c>
      <c r="J573" s="524">
        <f>IF(cmf[[#This Row],[D/C]]="C",cmf[[#This Row],[Valor]],-1*cmf[[#This Row],[Valor]])</f>
        <v>-5850</v>
      </c>
      <c r="L573" s="524" t="s">
        <v>1188</v>
      </c>
      <c r="M573" s="524" t="s">
        <v>1189</v>
      </c>
      <c r="N573" s="524" t="s">
        <v>1292</v>
      </c>
      <c r="O573" s="524" t="s">
        <v>1293</v>
      </c>
      <c r="P573" s="526">
        <v>46210</v>
      </c>
      <c r="S573" s="527">
        <v>0</v>
      </c>
    </row>
    <row r="574" spans="1:19" x14ac:dyDescent="0.2">
      <c r="A574" s="524">
        <v>68753</v>
      </c>
      <c r="B574" s="526">
        <v>46210</v>
      </c>
      <c r="C574" s="524" t="s">
        <v>1148</v>
      </c>
      <c r="D574" s="524" t="s">
        <v>1186</v>
      </c>
      <c r="E574" s="524" t="s">
        <v>1611</v>
      </c>
      <c r="F574" s="524" t="s">
        <v>1183</v>
      </c>
      <c r="G574" s="524" t="s">
        <v>745</v>
      </c>
      <c r="H574" s="527">
        <v>5500</v>
      </c>
      <c r="I574" s="524" t="s">
        <v>1174</v>
      </c>
      <c r="J574" s="524">
        <f>IF(cmf[[#This Row],[D/C]]="C",cmf[[#This Row],[Valor]],-1*cmf[[#This Row],[Valor]])</f>
        <v>-5500</v>
      </c>
      <c r="L574" s="524" t="s">
        <v>1188</v>
      </c>
      <c r="M574" s="524" t="s">
        <v>1189</v>
      </c>
      <c r="N574" s="524" t="s">
        <v>1292</v>
      </c>
      <c r="O574" s="524" t="s">
        <v>1293</v>
      </c>
      <c r="P574" s="526">
        <v>46210</v>
      </c>
      <c r="S574" s="527">
        <v>0</v>
      </c>
    </row>
    <row r="575" spans="1:19" x14ac:dyDescent="0.2">
      <c r="A575" s="524">
        <v>68754</v>
      </c>
      <c r="B575" s="526">
        <v>46210</v>
      </c>
      <c r="C575" s="524" t="s">
        <v>1148</v>
      </c>
      <c r="D575" s="524" t="s">
        <v>1186</v>
      </c>
      <c r="E575" s="524" t="s">
        <v>1612</v>
      </c>
      <c r="F575" s="524" t="s">
        <v>1183</v>
      </c>
      <c r="G575" s="524" t="s">
        <v>745</v>
      </c>
      <c r="H575" s="527">
        <v>935</v>
      </c>
      <c r="I575" s="524" t="s">
        <v>1174</v>
      </c>
      <c r="J575" s="524">
        <f>IF(cmf[[#This Row],[D/C]]="C",cmf[[#This Row],[Valor]],-1*cmf[[#This Row],[Valor]])</f>
        <v>-935</v>
      </c>
      <c r="L575" s="524" t="s">
        <v>1188</v>
      </c>
      <c r="M575" s="524" t="s">
        <v>1189</v>
      </c>
      <c r="N575" s="524" t="s">
        <v>1292</v>
      </c>
      <c r="O575" s="524" t="s">
        <v>1293</v>
      </c>
      <c r="P575" s="526">
        <v>46210</v>
      </c>
      <c r="S575" s="527">
        <v>0</v>
      </c>
    </row>
    <row r="576" spans="1:19" x14ac:dyDescent="0.2">
      <c r="A576" s="524">
        <v>68755</v>
      </c>
      <c r="B576" s="526">
        <v>46210</v>
      </c>
      <c r="C576" s="524" t="s">
        <v>1148</v>
      </c>
      <c r="D576" s="524" t="s">
        <v>1186</v>
      </c>
      <c r="E576" s="524" t="s">
        <v>1613</v>
      </c>
      <c r="F576" s="524" t="s">
        <v>1183</v>
      </c>
      <c r="G576" s="524" t="s">
        <v>745</v>
      </c>
      <c r="H576" s="527">
        <v>336</v>
      </c>
      <c r="I576" s="524" t="s">
        <v>1174</v>
      </c>
      <c r="J576" s="524">
        <f>IF(cmf[[#This Row],[D/C]]="C",cmf[[#This Row],[Valor]],-1*cmf[[#This Row],[Valor]])</f>
        <v>-336</v>
      </c>
      <c r="L576" s="524" t="s">
        <v>1188</v>
      </c>
      <c r="M576" s="524" t="s">
        <v>1189</v>
      </c>
      <c r="N576" s="524" t="s">
        <v>1292</v>
      </c>
      <c r="O576" s="524" t="s">
        <v>1293</v>
      </c>
      <c r="P576" s="526">
        <v>46210</v>
      </c>
      <c r="S576" s="527">
        <v>0</v>
      </c>
    </row>
    <row r="577" spans="1:19" x14ac:dyDescent="0.2">
      <c r="A577" s="524">
        <v>68758</v>
      </c>
      <c r="B577" s="526">
        <v>46210</v>
      </c>
      <c r="C577" s="524" t="s">
        <v>1148</v>
      </c>
      <c r="D577" s="524" t="s">
        <v>1186</v>
      </c>
      <c r="E577" s="524" t="s">
        <v>1614</v>
      </c>
      <c r="F577" s="524" t="s">
        <v>1178</v>
      </c>
      <c r="G577" s="524" t="s">
        <v>1179</v>
      </c>
      <c r="H577" s="527">
        <v>10275.35</v>
      </c>
      <c r="I577" s="524" t="s">
        <v>1174</v>
      </c>
      <c r="J577" s="524">
        <f>IF(cmf[[#This Row],[D/C]]="C",cmf[[#This Row],[Valor]],-1*cmf[[#This Row],[Valor]])</f>
        <v>-10275.35</v>
      </c>
      <c r="L577" s="524" t="s">
        <v>1188</v>
      </c>
      <c r="M577" s="524" t="s">
        <v>1189</v>
      </c>
      <c r="N577" s="524" t="s">
        <v>1180</v>
      </c>
      <c r="O577" s="524" t="s">
        <v>1181</v>
      </c>
      <c r="P577" s="526">
        <v>46210</v>
      </c>
      <c r="S577" s="527">
        <v>0</v>
      </c>
    </row>
    <row r="578" spans="1:19" x14ac:dyDescent="0.2">
      <c r="A578" s="524">
        <v>68763</v>
      </c>
      <c r="B578" s="526">
        <v>46210</v>
      </c>
      <c r="C578" s="524" t="s">
        <v>1148</v>
      </c>
      <c r="D578" s="524" t="s">
        <v>1186</v>
      </c>
      <c r="E578" s="524" t="s">
        <v>1615</v>
      </c>
      <c r="F578" s="524" t="s">
        <v>1183</v>
      </c>
      <c r="G578" s="524" t="s">
        <v>806</v>
      </c>
      <c r="H578" s="527">
        <v>3378</v>
      </c>
      <c r="I578" s="524" t="s">
        <v>1174</v>
      </c>
      <c r="J578" s="524">
        <f>IF(cmf[[#This Row],[D/C]]="C",cmf[[#This Row],[Valor]],-1*cmf[[#This Row],[Valor]])</f>
        <v>-3378</v>
      </c>
      <c r="L578" s="524" t="s">
        <v>1188</v>
      </c>
      <c r="M578" s="524" t="s">
        <v>1189</v>
      </c>
      <c r="N578" s="524" t="s">
        <v>1283</v>
      </c>
      <c r="O578" s="524" t="s">
        <v>1284</v>
      </c>
      <c r="P578" s="526">
        <v>46210</v>
      </c>
      <c r="S578" s="527">
        <v>0</v>
      </c>
    </row>
    <row r="579" spans="1:19" x14ac:dyDescent="0.2">
      <c r="A579" s="524">
        <v>68764</v>
      </c>
      <c r="B579" s="526">
        <v>46210</v>
      </c>
      <c r="C579" s="524" t="s">
        <v>1148</v>
      </c>
      <c r="D579" s="524" t="s">
        <v>1186</v>
      </c>
      <c r="E579" s="524" t="s">
        <v>1616</v>
      </c>
      <c r="F579" s="524" t="s">
        <v>1183</v>
      </c>
      <c r="G579" s="524" t="s">
        <v>758</v>
      </c>
      <c r="H579" s="527">
        <v>4315.6000000000004</v>
      </c>
      <c r="I579" s="524" t="s">
        <v>1174</v>
      </c>
      <c r="J579" s="524">
        <f>IF(cmf[[#This Row],[D/C]]="C",cmf[[#This Row],[Valor]],-1*cmf[[#This Row],[Valor]])</f>
        <v>-4315.6000000000004</v>
      </c>
      <c r="L579" s="524" t="s">
        <v>1188</v>
      </c>
      <c r="M579" s="524" t="s">
        <v>1189</v>
      </c>
      <c r="N579" s="524" t="s">
        <v>1223</v>
      </c>
      <c r="O579" s="524" t="s">
        <v>1224</v>
      </c>
      <c r="P579" s="526">
        <v>46210</v>
      </c>
      <c r="S579" s="527">
        <v>0</v>
      </c>
    </row>
    <row r="580" spans="1:19" x14ac:dyDescent="0.2">
      <c r="A580" s="524">
        <v>68765</v>
      </c>
      <c r="B580" s="526">
        <v>46210</v>
      </c>
      <c r="C580" s="524" t="s">
        <v>1148</v>
      </c>
      <c r="D580" s="524" t="s">
        <v>1186</v>
      </c>
      <c r="E580" s="524" t="s">
        <v>1617</v>
      </c>
      <c r="F580" s="524" t="s">
        <v>1183</v>
      </c>
      <c r="G580" s="524" t="s">
        <v>758</v>
      </c>
      <c r="H580" s="527">
        <v>3036</v>
      </c>
      <c r="I580" s="524" t="s">
        <v>1174</v>
      </c>
      <c r="J580" s="524">
        <f>IF(cmf[[#This Row],[D/C]]="C",cmf[[#This Row],[Valor]],-1*cmf[[#This Row],[Valor]])</f>
        <v>-3036</v>
      </c>
      <c r="L580" s="524" t="s">
        <v>1188</v>
      </c>
      <c r="M580" s="524" t="s">
        <v>1189</v>
      </c>
      <c r="N580" s="524" t="s">
        <v>1223</v>
      </c>
      <c r="O580" s="524" t="s">
        <v>1224</v>
      </c>
      <c r="P580" s="526">
        <v>46210</v>
      </c>
      <c r="S580" s="527">
        <v>0</v>
      </c>
    </row>
    <row r="581" spans="1:19" x14ac:dyDescent="0.2">
      <c r="A581" s="524">
        <v>68772</v>
      </c>
      <c r="B581" s="526">
        <v>46210</v>
      </c>
      <c r="C581" s="524" t="s">
        <v>1148</v>
      </c>
      <c r="D581" s="524" t="s">
        <v>1186</v>
      </c>
      <c r="E581" s="524" t="s">
        <v>1618</v>
      </c>
      <c r="F581" s="524" t="s">
        <v>1170</v>
      </c>
      <c r="G581" s="524" t="s">
        <v>1094</v>
      </c>
      <c r="H581" s="527">
        <v>33282</v>
      </c>
      <c r="I581" s="524" t="s">
        <v>1174</v>
      </c>
      <c r="J581" s="524">
        <f>IF(cmf[[#This Row],[D/C]]="C",cmf[[#This Row],[Valor]],-1*cmf[[#This Row],[Valor]])</f>
        <v>-33282</v>
      </c>
      <c r="L581" s="524" t="s">
        <v>1188</v>
      </c>
      <c r="M581" s="524" t="s">
        <v>1189</v>
      </c>
      <c r="N581" s="524" t="s">
        <v>1259</v>
      </c>
      <c r="O581" s="524" t="s">
        <v>1260</v>
      </c>
      <c r="P581" s="526">
        <v>46210</v>
      </c>
      <c r="S581" s="527">
        <v>0</v>
      </c>
    </row>
    <row r="582" spans="1:19" x14ac:dyDescent="0.2">
      <c r="A582" s="524">
        <v>68785</v>
      </c>
      <c r="B582" s="526">
        <v>46210</v>
      </c>
      <c r="C582" s="524" t="s">
        <v>1148</v>
      </c>
      <c r="D582" s="524" t="s">
        <v>1163</v>
      </c>
      <c r="E582" s="524" t="s">
        <v>1164</v>
      </c>
      <c r="F582" s="524" t="s">
        <v>1183</v>
      </c>
      <c r="G582" s="524" t="s">
        <v>806</v>
      </c>
      <c r="H582" s="527">
        <v>20000</v>
      </c>
      <c r="I582" s="524" t="s">
        <v>1148</v>
      </c>
      <c r="J582" s="524">
        <f>IF(cmf[[#This Row],[D/C]]="C",cmf[[#This Row],[Valor]],-1*cmf[[#This Row],[Valor]])</f>
        <v>20000</v>
      </c>
      <c r="L582" s="524" t="s">
        <v>1166</v>
      </c>
      <c r="M582" s="524" t="s">
        <v>1167</v>
      </c>
      <c r="N582" s="524" t="s">
        <v>1283</v>
      </c>
      <c r="O582" s="524" t="s">
        <v>1284</v>
      </c>
      <c r="P582" s="526">
        <v>46210</v>
      </c>
      <c r="S582" s="527">
        <v>0</v>
      </c>
    </row>
    <row r="583" spans="1:19" x14ac:dyDescent="0.2">
      <c r="A583" s="524">
        <v>68786</v>
      </c>
      <c r="B583" s="526">
        <v>46210</v>
      </c>
      <c r="C583" s="524" t="s">
        <v>1148</v>
      </c>
      <c r="D583" s="524" t="s">
        <v>1163</v>
      </c>
      <c r="E583" s="524" t="s">
        <v>1173</v>
      </c>
      <c r="F583" s="524" t="s">
        <v>1183</v>
      </c>
      <c r="G583" s="524" t="s">
        <v>806</v>
      </c>
      <c r="H583" s="527">
        <v>2.19</v>
      </c>
      <c r="I583" s="524" t="s">
        <v>1174</v>
      </c>
      <c r="J583" s="524">
        <f>IF(cmf[[#This Row],[D/C]]="C",cmf[[#This Row],[Valor]],-1*cmf[[#This Row],[Valor]])</f>
        <v>-2.19</v>
      </c>
      <c r="L583" s="524" t="s">
        <v>1175</v>
      </c>
      <c r="M583" s="524" t="s">
        <v>1176</v>
      </c>
      <c r="N583" s="524" t="s">
        <v>1283</v>
      </c>
      <c r="O583" s="524" t="s">
        <v>1284</v>
      </c>
      <c r="P583" s="526">
        <v>46210</v>
      </c>
      <c r="S583" s="527">
        <v>0</v>
      </c>
    </row>
    <row r="584" spans="1:19" x14ac:dyDescent="0.2">
      <c r="A584" s="524">
        <v>68799</v>
      </c>
      <c r="B584" s="526">
        <v>46210</v>
      </c>
      <c r="C584" s="524" t="s">
        <v>1162</v>
      </c>
      <c r="D584" s="524" t="s">
        <v>1163</v>
      </c>
      <c r="E584" s="524" t="s">
        <v>1173</v>
      </c>
      <c r="F584" s="524" t="s">
        <v>1111</v>
      </c>
      <c r="G584" s="524" t="s">
        <v>1110</v>
      </c>
      <c r="H584" s="527">
        <v>4</v>
      </c>
      <c r="I584" s="524" t="s">
        <v>1174</v>
      </c>
      <c r="J584" s="524">
        <f>IF(cmf[[#This Row],[D/C]]="C",cmf[[#This Row],[Valor]],-1*cmf[[#This Row],[Valor]])</f>
        <v>-4</v>
      </c>
      <c r="L584" s="524" t="s">
        <v>1175</v>
      </c>
      <c r="M584" s="524" t="s">
        <v>1176</v>
      </c>
      <c r="N584" s="524" t="s">
        <v>1219</v>
      </c>
      <c r="O584" s="524" t="s">
        <v>1220</v>
      </c>
      <c r="P584" s="526"/>
      <c r="S584" s="527">
        <v>0</v>
      </c>
    </row>
    <row r="585" spans="1:19" x14ac:dyDescent="0.2">
      <c r="A585" s="524">
        <v>68802</v>
      </c>
      <c r="B585" s="526">
        <v>46210</v>
      </c>
      <c r="C585" s="524" t="s">
        <v>1148</v>
      </c>
      <c r="D585" s="524" t="s">
        <v>1186</v>
      </c>
      <c r="E585" s="524" t="s">
        <v>1619</v>
      </c>
      <c r="F585" s="524" t="s">
        <v>1183</v>
      </c>
      <c r="G585" s="524" t="s">
        <v>742</v>
      </c>
      <c r="H585" s="527">
        <v>7298.24</v>
      </c>
      <c r="I585" s="524" t="s">
        <v>1174</v>
      </c>
      <c r="J585" s="524">
        <f>IF(cmf[[#This Row],[D/C]]="C",cmf[[#This Row],[Valor]],-1*cmf[[#This Row],[Valor]])</f>
        <v>-7298.24</v>
      </c>
      <c r="L585" s="524" t="s">
        <v>1188</v>
      </c>
      <c r="M585" s="524" t="s">
        <v>1189</v>
      </c>
      <c r="N585" s="524" t="s">
        <v>1215</v>
      </c>
      <c r="O585" s="524" t="s">
        <v>1218</v>
      </c>
      <c r="P585" s="526">
        <v>46210</v>
      </c>
      <c r="S585" s="527">
        <v>0</v>
      </c>
    </row>
    <row r="586" spans="1:19" x14ac:dyDescent="0.2">
      <c r="A586" s="524">
        <v>68803</v>
      </c>
      <c r="B586" s="526">
        <v>46210</v>
      </c>
      <c r="C586" s="524" t="s">
        <v>1148</v>
      </c>
      <c r="D586" s="524" t="s">
        <v>1186</v>
      </c>
      <c r="E586" s="524" t="s">
        <v>1620</v>
      </c>
      <c r="F586" s="524" t="s">
        <v>1183</v>
      </c>
      <c r="G586" s="524" t="s">
        <v>742</v>
      </c>
      <c r="H586" s="527">
        <v>880</v>
      </c>
      <c r="I586" s="524" t="s">
        <v>1174</v>
      </c>
      <c r="J586" s="524">
        <f>IF(cmf[[#This Row],[D/C]]="C",cmf[[#This Row],[Valor]],-1*cmf[[#This Row],[Valor]])</f>
        <v>-880</v>
      </c>
      <c r="L586" s="524" t="s">
        <v>1188</v>
      </c>
      <c r="M586" s="524" t="s">
        <v>1189</v>
      </c>
      <c r="N586" s="524" t="s">
        <v>1215</v>
      </c>
      <c r="O586" s="524" t="s">
        <v>1218</v>
      </c>
      <c r="P586" s="526">
        <v>46210</v>
      </c>
      <c r="S586" s="527">
        <v>0</v>
      </c>
    </row>
    <row r="587" spans="1:19" x14ac:dyDescent="0.2">
      <c r="A587" s="524">
        <v>68804</v>
      </c>
      <c r="B587" s="526">
        <v>46210</v>
      </c>
      <c r="C587" s="524" t="s">
        <v>1148</v>
      </c>
      <c r="D587" s="524" t="s">
        <v>1186</v>
      </c>
      <c r="E587" s="524" t="s">
        <v>1621</v>
      </c>
      <c r="F587" s="524" t="s">
        <v>1183</v>
      </c>
      <c r="G587" s="524" t="s">
        <v>750</v>
      </c>
      <c r="H587" s="527">
        <v>794</v>
      </c>
      <c r="I587" s="524" t="s">
        <v>1174</v>
      </c>
      <c r="J587" s="524">
        <f>IF(cmf[[#This Row],[D/C]]="C",cmf[[#This Row],[Valor]],-1*cmf[[#This Row],[Valor]])</f>
        <v>-794</v>
      </c>
      <c r="L587" s="524" t="s">
        <v>1188</v>
      </c>
      <c r="M587" s="524" t="s">
        <v>1189</v>
      </c>
      <c r="N587" s="524" t="s">
        <v>1256</v>
      </c>
      <c r="O587" s="524" t="s">
        <v>1257</v>
      </c>
      <c r="P587" s="526">
        <v>46210</v>
      </c>
      <c r="S587" s="527">
        <v>0</v>
      </c>
    </row>
    <row r="588" spans="1:19" x14ac:dyDescent="0.2">
      <c r="A588" s="524">
        <v>68806</v>
      </c>
      <c r="B588" s="526">
        <v>46210</v>
      </c>
      <c r="C588" s="524" t="s">
        <v>1148</v>
      </c>
      <c r="D588" s="524" t="s">
        <v>1186</v>
      </c>
      <c r="E588" s="524" t="s">
        <v>1622</v>
      </c>
      <c r="F588" s="524" t="s">
        <v>1183</v>
      </c>
      <c r="G588" s="524" t="s">
        <v>766</v>
      </c>
      <c r="H588" s="527">
        <v>1098</v>
      </c>
      <c r="I588" s="524" t="s">
        <v>1174</v>
      </c>
      <c r="J588" s="524">
        <f>IF(cmf[[#This Row],[D/C]]="C",cmf[[#This Row],[Valor]],-1*cmf[[#This Row],[Valor]])</f>
        <v>-1098</v>
      </c>
      <c r="L588" s="524" t="s">
        <v>1188</v>
      </c>
      <c r="M588" s="524" t="s">
        <v>1189</v>
      </c>
      <c r="N588" s="524" t="s">
        <v>1200</v>
      </c>
      <c r="O588" s="524" t="s">
        <v>1201</v>
      </c>
      <c r="P588" s="526">
        <v>46210</v>
      </c>
      <c r="S588" s="527">
        <v>0</v>
      </c>
    </row>
    <row r="589" spans="1:19" x14ac:dyDescent="0.2">
      <c r="A589" s="524">
        <v>68925</v>
      </c>
      <c r="B589" s="526">
        <v>46210</v>
      </c>
      <c r="C589" s="524" t="s">
        <v>1148</v>
      </c>
      <c r="D589" s="524" t="s">
        <v>1186</v>
      </c>
      <c r="E589" s="524" t="s">
        <v>1623</v>
      </c>
      <c r="F589" s="524" t="s">
        <v>1183</v>
      </c>
      <c r="G589" s="524" t="s">
        <v>803</v>
      </c>
      <c r="H589" s="527">
        <v>12875.5</v>
      </c>
      <c r="I589" s="524" t="s">
        <v>1174</v>
      </c>
      <c r="J589" s="524">
        <f>IF(cmf[[#This Row],[D/C]]="C",cmf[[#This Row],[Valor]],-1*cmf[[#This Row],[Valor]])</f>
        <v>-12875.5</v>
      </c>
      <c r="L589" s="524" t="s">
        <v>1188</v>
      </c>
      <c r="M589" s="524" t="s">
        <v>1189</v>
      </c>
      <c r="N589" s="524" t="s">
        <v>1192</v>
      </c>
      <c r="O589" s="524" t="s">
        <v>1193</v>
      </c>
      <c r="P589" s="526">
        <v>46210</v>
      </c>
      <c r="S589" s="527">
        <v>0</v>
      </c>
    </row>
    <row r="590" spans="1:19" x14ac:dyDescent="0.2">
      <c r="A590" s="524">
        <v>68926</v>
      </c>
      <c r="B590" s="526">
        <v>46210</v>
      </c>
      <c r="C590" s="524" t="s">
        <v>1148</v>
      </c>
      <c r="D590" s="524" t="s">
        <v>1186</v>
      </c>
      <c r="E590" s="524" t="s">
        <v>1624</v>
      </c>
      <c r="F590" s="524" t="s">
        <v>1183</v>
      </c>
      <c r="G590" s="524" t="s">
        <v>803</v>
      </c>
      <c r="H590" s="527">
        <v>3329.46</v>
      </c>
      <c r="I590" s="524" t="s">
        <v>1174</v>
      </c>
      <c r="J590" s="524">
        <f>IF(cmf[[#This Row],[D/C]]="C",cmf[[#This Row],[Valor]],-1*cmf[[#This Row],[Valor]])</f>
        <v>-3329.46</v>
      </c>
      <c r="L590" s="524" t="s">
        <v>1188</v>
      </c>
      <c r="M590" s="524" t="s">
        <v>1189</v>
      </c>
      <c r="N590" s="524" t="s">
        <v>1192</v>
      </c>
      <c r="O590" s="524" t="s">
        <v>1193</v>
      </c>
      <c r="P590" s="526">
        <v>46210</v>
      </c>
      <c r="S590" s="527">
        <v>0</v>
      </c>
    </row>
    <row r="591" spans="1:19" x14ac:dyDescent="0.2">
      <c r="A591" s="524">
        <v>69000</v>
      </c>
      <c r="B591" s="526">
        <v>46210</v>
      </c>
      <c r="C591" s="524" t="s">
        <v>1148</v>
      </c>
      <c r="D591" s="524" t="s">
        <v>1186</v>
      </c>
      <c r="E591" s="524" t="s">
        <v>1625</v>
      </c>
      <c r="F591" s="524" t="s">
        <v>1183</v>
      </c>
      <c r="G591" s="524" t="s">
        <v>800</v>
      </c>
      <c r="H591" s="527">
        <v>15000</v>
      </c>
      <c r="I591" s="524" t="s">
        <v>1174</v>
      </c>
      <c r="J591" s="524">
        <f>IF(cmf[[#This Row],[D/C]]="C",cmf[[#This Row],[Valor]],-1*cmf[[#This Row],[Valor]])</f>
        <v>-15000</v>
      </c>
      <c r="L591" s="524" t="s">
        <v>1188</v>
      </c>
      <c r="M591" s="524" t="s">
        <v>1189</v>
      </c>
      <c r="N591" s="524" t="s">
        <v>1171</v>
      </c>
      <c r="O591" s="524" t="s">
        <v>1172</v>
      </c>
      <c r="P591" s="526">
        <v>46210</v>
      </c>
      <c r="S591" s="527">
        <v>0</v>
      </c>
    </row>
    <row r="592" spans="1:19" x14ac:dyDescent="0.2">
      <c r="A592" s="524">
        <v>69001</v>
      </c>
      <c r="B592" s="526">
        <v>46210</v>
      </c>
      <c r="C592" s="524" t="s">
        <v>1148</v>
      </c>
      <c r="D592" s="524" t="s">
        <v>1186</v>
      </c>
      <c r="E592" s="524" t="s">
        <v>1626</v>
      </c>
      <c r="F592" s="524" t="s">
        <v>1183</v>
      </c>
      <c r="G592" s="524" t="s">
        <v>800</v>
      </c>
      <c r="H592" s="527">
        <v>3153</v>
      </c>
      <c r="I592" s="524" t="s">
        <v>1174</v>
      </c>
      <c r="J592" s="524">
        <f>IF(cmf[[#This Row],[D/C]]="C",cmf[[#This Row],[Valor]],-1*cmf[[#This Row],[Valor]])</f>
        <v>-3153</v>
      </c>
      <c r="L592" s="524" t="s">
        <v>1188</v>
      </c>
      <c r="M592" s="524" t="s">
        <v>1189</v>
      </c>
      <c r="N592" s="524" t="s">
        <v>1171</v>
      </c>
      <c r="O592" s="524" t="s">
        <v>1172</v>
      </c>
      <c r="P592" s="526">
        <v>46210</v>
      </c>
      <c r="S592" s="527">
        <v>0</v>
      </c>
    </row>
    <row r="593" spans="1:19" x14ac:dyDescent="0.2">
      <c r="A593" s="524">
        <v>69004</v>
      </c>
      <c r="B593" s="526">
        <v>46210</v>
      </c>
      <c r="C593" s="524" t="s">
        <v>1148</v>
      </c>
      <c r="D593" s="524" t="s">
        <v>1186</v>
      </c>
      <c r="E593" s="524" t="s">
        <v>1627</v>
      </c>
      <c r="F593" s="524" t="s">
        <v>1183</v>
      </c>
      <c r="G593" s="524" t="s">
        <v>800</v>
      </c>
      <c r="H593" s="527">
        <v>1920</v>
      </c>
      <c r="I593" s="524" t="s">
        <v>1174</v>
      </c>
      <c r="J593" s="524">
        <f>IF(cmf[[#This Row],[D/C]]="C",cmf[[#This Row],[Valor]],-1*cmf[[#This Row],[Valor]])</f>
        <v>-1920</v>
      </c>
      <c r="L593" s="524" t="s">
        <v>1188</v>
      </c>
      <c r="M593" s="524" t="s">
        <v>1189</v>
      </c>
      <c r="N593" s="524" t="s">
        <v>1171</v>
      </c>
      <c r="O593" s="524" t="s">
        <v>1172</v>
      </c>
      <c r="P593" s="526">
        <v>46210</v>
      </c>
      <c r="S593" s="527">
        <v>0</v>
      </c>
    </row>
    <row r="594" spans="1:19" x14ac:dyDescent="0.2">
      <c r="A594" s="524">
        <v>69005</v>
      </c>
      <c r="B594" s="526">
        <v>46210</v>
      </c>
      <c r="C594" s="524" t="s">
        <v>1148</v>
      </c>
      <c r="D594" s="524" t="s">
        <v>1186</v>
      </c>
      <c r="E594" s="524" t="s">
        <v>1628</v>
      </c>
      <c r="F594" s="524" t="s">
        <v>1183</v>
      </c>
      <c r="G594" s="524" t="s">
        <v>800</v>
      </c>
      <c r="H594" s="527">
        <v>2390.58</v>
      </c>
      <c r="I594" s="524" t="s">
        <v>1174</v>
      </c>
      <c r="J594" s="524">
        <f>IF(cmf[[#This Row],[D/C]]="C",cmf[[#This Row],[Valor]],-1*cmf[[#This Row],[Valor]])</f>
        <v>-2390.58</v>
      </c>
      <c r="L594" s="524" t="s">
        <v>1188</v>
      </c>
      <c r="M594" s="524" t="s">
        <v>1189</v>
      </c>
      <c r="N594" s="524" t="s">
        <v>1171</v>
      </c>
      <c r="O594" s="524" t="s">
        <v>1172</v>
      </c>
      <c r="P594" s="526">
        <v>46210</v>
      </c>
      <c r="S594" s="527">
        <v>0</v>
      </c>
    </row>
    <row r="595" spans="1:19" x14ac:dyDescent="0.2">
      <c r="A595" s="524">
        <v>69006</v>
      </c>
      <c r="B595" s="526">
        <v>46210</v>
      </c>
      <c r="C595" s="524" t="s">
        <v>1148</v>
      </c>
      <c r="D595" s="524" t="s">
        <v>1186</v>
      </c>
      <c r="E595" s="524" t="s">
        <v>1629</v>
      </c>
      <c r="F595" s="524" t="s">
        <v>1183</v>
      </c>
      <c r="G595" s="524" t="s">
        <v>800</v>
      </c>
      <c r="H595" s="527">
        <v>2161.65</v>
      </c>
      <c r="I595" s="524" t="s">
        <v>1174</v>
      </c>
      <c r="J595" s="524">
        <f>IF(cmf[[#This Row],[D/C]]="C",cmf[[#This Row],[Valor]],-1*cmf[[#This Row],[Valor]])</f>
        <v>-2161.65</v>
      </c>
      <c r="L595" s="524" t="s">
        <v>1188</v>
      </c>
      <c r="M595" s="524" t="s">
        <v>1189</v>
      </c>
      <c r="N595" s="524" t="s">
        <v>1171</v>
      </c>
      <c r="O595" s="524" t="s">
        <v>1172</v>
      </c>
      <c r="P595" s="526">
        <v>46210</v>
      </c>
      <c r="S595" s="527">
        <v>0</v>
      </c>
    </row>
    <row r="596" spans="1:19" x14ac:dyDescent="0.2">
      <c r="A596" s="524">
        <v>69007</v>
      </c>
      <c r="B596" s="526">
        <v>46210</v>
      </c>
      <c r="C596" s="524" t="s">
        <v>1148</v>
      </c>
      <c r="D596" s="524" t="s">
        <v>1186</v>
      </c>
      <c r="E596" s="524" t="s">
        <v>1630</v>
      </c>
      <c r="F596" s="524" t="s">
        <v>1183</v>
      </c>
      <c r="G596" s="524" t="s">
        <v>800</v>
      </c>
      <c r="H596" s="527">
        <v>2500</v>
      </c>
      <c r="I596" s="524" t="s">
        <v>1174</v>
      </c>
      <c r="J596" s="524">
        <f>IF(cmf[[#This Row],[D/C]]="C",cmf[[#This Row],[Valor]],-1*cmf[[#This Row],[Valor]])</f>
        <v>-2500</v>
      </c>
      <c r="L596" s="524" t="s">
        <v>1188</v>
      </c>
      <c r="M596" s="524" t="s">
        <v>1189</v>
      </c>
      <c r="N596" s="524" t="s">
        <v>1171</v>
      </c>
      <c r="O596" s="524" t="s">
        <v>1172</v>
      </c>
      <c r="P596" s="526">
        <v>46210</v>
      </c>
      <c r="S596" s="527">
        <v>0</v>
      </c>
    </row>
    <row r="597" spans="1:19" x14ac:dyDescent="0.2">
      <c r="A597" s="524">
        <v>69008</v>
      </c>
      <c r="B597" s="526">
        <v>46210</v>
      </c>
      <c r="C597" s="524" t="s">
        <v>1148</v>
      </c>
      <c r="D597" s="524" t="s">
        <v>1186</v>
      </c>
      <c r="E597" s="524" t="s">
        <v>1631</v>
      </c>
      <c r="F597" s="524" t="s">
        <v>1183</v>
      </c>
      <c r="G597" s="524" t="s">
        <v>800</v>
      </c>
      <c r="H597" s="527">
        <v>2385</v>
      </c>
      <c r="I597" s="524" t="s">
        <v>1174</v>
      </c>
      <c r="J597" s="524">
        <f>IF(cmf[[#This Row],[D/C]]="C",cmf[[#This Row],[Valor]],-1*cmf[[#This Row],[Valor]])</f>
        <v>-2385</v>
      </c>
      <c r="L597" s="524" t="s">
        <v>1188</v>
      </c>
      <c r="M597" s="524" t="s">
        <v>1189</v>
      </c>
      <c r="N597" s="524" t="s">
        <v>1171</v>
      </c>
      <c r="O597" s="524" t="s">
        <v>1172</v>
      </c>
      <c r="P597" s="526">
        <v>46210</v>
      </c>
      <c r="S597" s="527">
        <v>0</v>
      </c>
    </row>
    <row r="598" spans="1:19" x14ac:dyDescent="0.2">
      <c r="A598" s="524">
        <v>69009</v>
      </c>
      <c r="B598" s="526">
        <v>46210</v>
      </c>
      <c r="C598" s="524" t="s">
        <v>1148</v>
      </c>
      <c r="D598" s="524" t="s">
        <v>1186</v>
      </c>
      <c r="E598" s="524" t="s">
        <v>1632</v>
      </c>
      <c r="F598" s="524" t="s">
        <v>1183</v>
      </c>
      <c r="G598" s="524" t="s">
        <v>800</v>
      </c>
      <c r="H598" s="527">
        <v>1890</v>
      </c>
      <c r="I598" s="524" t="s">
        <v>1174</v>
      </c>
      <c r="J598" s="524">
        <f>IF(cmf[[#This Row],[D/C]]="C",cmf[[#This Row],[Valor]],-1*cmf[[#This Row],[Valor]])</f>
        <v>-1890</v>
      </c>
      <c r="L598" s="524" t="s">
        <v>1188</v>
      </c>
      <c r="M598" s="524" t="s">
        <v>1189</v>
      </c>
      <c r="N598" s="524" t="s">
        <v>1171</v>
      </c>
      <c r="O598" s="524" t="s">
        <v>1172</v>
      </c>
      <c r="P598" s="526">
        <v>46210</v>
      </c>
      <c r="S598" s="527">
        <v>0</v>
      </c>
    </row>
    <row r="599" spans="1:19" x14ac:dyDescent="0.2">
      <c r="A599" s="524">
        <v>69010</v>
      </c>
      <c r="B599" s="526">
        <v>46210</v>
      </c>
      <c r="C599" s="524" t="s">
        <v>1148</v>
      </c>
      <c r="D599" s="524" t="s">
        <v>1186</v>
      </c>
      <c r="E599" s="524" t="s">
        <v>1633</v>
      </c>
      <c r="F599" s="524" t="s">
        <v>1183</v>
      </c>
      <c r="G599" s="524" t="s">
        <v>800</v>
      </c>
      <c r="H599" s="527">
        <v>1890</v>
      </c>
      <c r="I599" s="524" t="s">
        <v>1174</v>
      </c>
      <c r="J599" s="524">
        <f>IF(cmf[[#This Row],[D/C]]="C",cmf[[#This Row],[Valor]],-1*cmf[[#This Row],[Valor]])</f>
        <v>-1890</v>
      </c>
      <c r="L599" s="524" t="s">
        <v>1188</v>
      </c>
      <c r="M599" s="524" t="s">
        <v>1189</v>
      </c>
      <c r="N599" s="524" t="s">
        <v>1171</v>
      </c>
      <c r="O599" s="524" t="s">
        <v>1172</v>
      </c>
      <c r="P599" s="526">
        <v>46210</v>
      </c>
      <c r="S599" s="527">
        <v>0</v>
      </c>
    </row>
    <row r="600" spans="1:19" x14ac:dyDescent="0.2">
      <c r="A600" s="524">
        <v>69011</v>
      </c>
      <c r="B600" s="526">
        <v>46210</v>
      </c>
      <c r="C600" s="524" t="s">
        <v>1148</v>
      </c>
      <c r="D600" s="524" t="s">
        <v>1186</v>
      </c>
      <c r="E600" s="524" t="s">
        <v>1634</v>
      </c>
      <c r="F600" s="524" t="s">
        <v>1183</v>
      </c>
      <c r="G600" s="524" t="s">
        <v>800</v>
      </c>
      <c r="H600" s="527">
        <v>1890</v>
      </c>
      <c r="I600" s="524" t="s">
        <v>1174</v>
      </c>
      <c r="J600" s="524">
        <f>IF(cmf[[#This Row],[D/C]]="C",cmf[[#This Row],[Valor]],-1*cmf[[#This Row],[Valor]])</f>
        <v>-1890</v>
      </c>
      <c r="L600" s="524" t="s">
        <v>1188</v>
      </c>
      <c r="M600" s="524" t="s">
        <v>1189</v>
      </c>
      <c r="N600" s="524" t="s">
        <v>1171</v>
      </c>
      <c r="O600" s="524" t="s">
        <v>1172</v>
      </c>
      <c r="P600" s="526">
        <v>46210</v>
      </c>
      <c r="S600" s="527">
        <v>0</v>
      </c>
    </row>
    <row r="601" spans="1:19" x14ac:dyDescent="0.2">
      <c r="A601" s="524">
        <v>69012</v>
      </c>
      <c r="B601" s="526">
        <v>46210</v>
      </c>
      <c r="C601" s="524" t="s">
        <v>1148</v>
      </c>
      <c r="D601" s="524" t="s">
        <v>1186</v>
      </c>
      <c r="E601" s="524" t="s">
        <v>1635</v>
      </c>
      <c r="F601" s="524" t="s">
        <v>1183</v>
      </c>
      <c r="G601" s="524" t="s">
        <v>800</v>
      </c>
      <c r="H601" s="527">
        <v>754.94</v>
      </c>
      <c r="I601" s="524" t="s">
        <v>1174</v>
      </c>
      <c r="J601" s="524">
        <f>IF(cmf[[#This Row],[D/C]]="C",cmf[[#This Row],[Valor]],-1*cmf[[#This Row],[Valor]])</f>
        <v>-754.94</v>
      </c>
      <c r="L601" s="524" t="s">
        <v>1188</v>
      </c>
      <c r="M601" s="524" t="s">
        <v>1189</v>
      </c>
      <c r="N601" s="524" t="s">
        <v>1171</v>
      </c>
      <c r="O601" s="524" t="s">
        <v>1172</v>
      </c>
      <c r="P601" s="526">
        <v>46210</v>
      </c>
      <c r="S601" s="527">
        <v>0</v>
      </c>
    </row>
    <row r="602" spans="1:19" x14ac:dyDescent="0.2">
      <c r="A602" s="524">
        <v>69013</v>
      </c>
      <c r="B602" s="526">
        <v>46210</v>
      </c>
      <c r="C602" s="524" t="s">
        <v>1148</v>
      </c>
      <c r="D602" s="524" t="s">
        <v>1186</v>
      </c>
      <c r="E602" s="524" t="s">
        <v>1636</v>
      </c>
      <c r="F602" s="524" t="s">
        <v>1183</v>
      </c>
      <c r="G602" s="524" t="s">
        <v>800</v>
      </c>
      <c r="H602" s="527">
        <v>1481.36</v>
      </c>
      <c r="I602" s="524" t="s">
        <v>1174</v>
      </c>
      <c r="J602" s="524">
        <f>IF(cmf[[#This Row],[D/C]]="C",cmf[[#This Row],[Valor]],-1*cmf[[#This Row],[Valor]])</f>
        <v>-1481.36</v>
      </c>
      <c r="L602" s="524" t="s">
        <v>1188</v>
      </c>
      <c r="M602" s="524" t="s">
        <v>1189</v>
      </c>
      <c r="N602" s="524" t="s">
        <v>1171</v>
      </c>
      <c r="O602" s="524" t="s">
        <v>1172</v>
      </c>
      <c r="P602" s="526">
        <v>46210</v>
      </c>
      <c r="S602" s="527">
        <v>0</v>
      </c>
    </row>
    <row r="603" spans="1:19" x14ac:dyDescent="0.2">
      <c r="A603" s="524">
        <v>69014</v>
      </c>
      <c r="B603" s="526">
        <v>46210</v>
      </c>
      <c r="C603" s="524" t="s">
        <v>1148</v>
      </c>
      <c r="D603" s="524" t="s">
        <v>1186</v>
      </c>
      <c r="E603" s="524" t="s">
        <v>1637</v>
      </c>
      <c r="F603" s="524" t="s">
        <v>1183</v>
      </c>
      <c r="G603" s="524" t="s">
        <v>800</v>
      </c>
      <c r="H603" s="527">
        <v>567.84</v>
      </c>
      <c r="I603" s="524" t="s">
        <v>1174</v>
      </c>
      <c r="J603" s="524">
        <f>IF(cmf[[#This Row],[D/C]]="C",cmf[[#This Row],[Valor]],-1*cmf[[#This Row],[Valor]])</f>
        <v>-567.84</v>
      </c>
      <c r="L603" s="524" t="s">
        <v>1188</v>
      </c>
      <c r="M603" s="524" t="s">
        <v>1189</v>
      </c>
      <c r="N603" s="524" t="s">
        <v>1171</v>
      </c>
      <c r="O603" s="524" t="s">
        <v>1172</v>
      </c>
      <c r="P603" s="526">
        <v>46210</v>
      </c>
      <c r="S603" s="527">
        <v>0</v>
      </c>
    </row>
    <row r="604" spans="1:19" x14ac:dyDescent="0.2">
      <c r="A604" s="524">
        <v>69015</v>
      </c>
      <c r="B604" s="526">
        <v>46210</v>
      </c>
      <c r="C604" s="524" t="s">
        <v>1148</v>
      </c>
      <c r="D604" s="524" t="s">
        <v>1186</v>
      </c>
      <c r="E604" s="524" t="s">
        <v>1638</v>
      </c>
      <c r="F604" s="524" t="s">
        <v>1183</v>
      </c>
      <c r="G604" s="524" t="s">
        <v>800</v>
      </c>
      <c r="H604" s="527">
        <v>1158</v>
      </c>
      <c r="I604" s="524" t="s">
        <v>1174</v>
      </c>
      <c r="J604" s="524">
        <f>IF(cmf[[#This Row],[D/C]]="C",cmf[[#This Row],[Valor]],-1*cmf[[#This Row],[Valor]])</f>
        <v>-1158</v>
      </c>
      <c r="L604" s="524" t="s">
        <v>1188</v>
      </c>
      <c r="M604" s="524" t="s">
        <v>1189</v>
      </c>
      <c r="N604" s="524" t="s">
        <v>1171</v>
      </c>
      <c r="O604" s="524" t="s">
        <v>1172</v>
      </c>
      <c r="P604" s="526">
        <v>46210</v>
      </c>
      <c r="S604" s="527">
        <v>0</v>
      </c>
    </row>
    <row r="605" spans="1:19" x14ac:dyDescent="0.2">
      <c r="A605" s="524">
        <v>69016</v>
      </c>
      <c r="B605" s="526">
        <v>46210</v>
      </c>
      <c r="C605" s="524" t="s">
        <v>1148</v>
      </c>
      <c r="D605" s="524" t="s">
        <v>1186</v>
      </c>
      <c r="E605" s="524" t="s">
        <v>1639</v>
      </c>
      <c r="F605" s="524" t="s">
        <v>1183</v>
      </c>
      <c r="G605" s="524" t="s">
        <v>800</v>
      </c>
      <c r="H605" s="527">
        <v>1078.33</v>
      </c>
      <c r="I605" s="524" t="s">
        <v>1174</v>
      </c>
      <c r="J605" s="524">
        <f>IF(cmf[[#This Row],[D/C]]="C",cmf[[#This Row],[Valor]],-1*cmf[[#This Row],[Valor]])</f>
        <v>-1078.33</v>
      </c>
      <c r="L605" s="524" t="s">
        <v>1188</v>
      </c>
      <c r="M605" s="524" t="s">
        <v>1189</v>
      </c>
      <c r="N605" s="524" t="s">
        <v>1171</v>
      </c>
      <c r="O605" s="524" t="s">
        <v>1172</v>
      </c>
      <c r="P605" s="526">
        <v>46210</v>
      </c>
      <c r="S605" s="527">
        <v>0</v>
      </c>
    </row>
    <row r="606" spans="1:19" x14ac:dyDescent="0.2">
      <c r="A606" s="524">
        <v>69017</v>
      </c>
      <c r="B606" s="526">
        <v>46210</v>
      </c>
      <c r="C606" s="524" t="s">
        <v>1148</v>
      </c>
      <c r="D606" s="524" t="s">
        <v>1186</v>
      </c>
      <c r="E606" s="524" t="s">
        <v>1640</v>
      </c>
      <c r="F606" s="524" t="s">
        <v>1183</v>
      </c>
      <c r="G606" s="524" t="s">
        <v>800</v>
      </c>
      <c r="H606" s="527">
        <v>500</v>
      </c>
      <c r="I606" s="524" t="s">
        <v>1174</v>
      </c>
      <c r="J606" s="524">
        <f>IF(cmf[[#This Row],[D/C]]="C",cmf[[#This Row],[Valor]],-1*cmf[[#This Row],[Valor]])</f>
        <v>-500</v>
      </c>
      <c r="L606" s="524" t="s">
        <v>1188</v>
      </c>
      <c r="M606" s="524" t="s">
        <v>1189</v>
      </c>
      <c r="N606" s="524" t="s">
        <v>1171</v>
      </c>
      <c r="O606" s="524" t="s">
        <v>1172</v>
      </c>
      <c r="P606" s="526">
        <v>46210</v>
      </c>
      <c r="S606" s="527">
        <v>0</v>
      </c>
    </row>
    <row r="607" spans="1:19" x14ac:dyDescent="0.2">
      <c r="A607" s="524">
        <v>69018</v>
      </c>
      <c r="B607" s="526">
        <v>46210</v>
      </c>
      <c r="C607" s="524" t="s">
        <v>1148</v>
      </c>
      <c r="D607" s="524" t="s">
        <v>1186</v>
      </c>
      <c r="E607" s="524" t="s">
        <v>1641</v>
      </c>
      <c r="F607" s="524" t="s">
        <v>1183</v>
      </c>
      <c r="G607" s="524" t="s">
        <v>800</v>
      </c>
      <c r="H607" s="527">
        <v>1755.95</v>
      </c>
      <c r="I607" s="524" t="s">
        <v>1174</v>
      </c>
      <c r="J607" s="524">
        <f>IF(cmf[[#This Row],[D/C]]="C",cmf[[#This Row],[Valor]],-1*cmf[[#This Row],[Valor]])</f>
        <v>-1755.95</v>
      </c>
      <c r="L607" s="524" t="s">
        <v>1188</v>
      </c>
      <c r="M607" s="524" t="s">
        <v>1189</v>
      </c>
      <c r="N607" s="524" t="s">
        <v>1171</v>
      </c>
      <c r="O607" s="524" t="s">
        <v>1172</v>
      </c>
      <c r="P607" s="526">
        <v>46210</v>
      </c>
      <c r="S607" s="527">
        <v>0</v>
      </c>
    </row>
    <row r="608" spans="1:19" x14ac:dyDescent="0.2">
      <c r="A608" s="524">
        <v>69019</v>
      </c>
      <c r="B608" s="526">
        <v>46210</v>
      </c>
      <c r="C608" s="524" t="s">
        <v>1148</v>
      </c>
      <c r="D608" s="524" t="s">
        <v>1186</v>
      </c>
      <c r="E608" s="524" t="s">
        <v>1642</v>
      </c>
      <c r="F608" s="524" t="s">
        <v>1183</v>
      </c>
      <c r="G608" s="524" t="s">
        <v>800</v>
      </c>
      <c r="H608" s="527">
        <v>1693.38</v>
      </c>
      <c r="I608" s="524" t="s">
        <v>1174</v>
      </c>
      <c r="J608" s="524">
        <f>IF(cmf[[#This Row],[D/C]]="C",cmf[[#This Row],[Valor]],-1*cmf[[#This Row],[Valor]])</f>
        <v>-1693.38</v>
      </c>
      <c r="L608" s="524" t="s">
        <v>1188</v>
      </c>
      <c r="M608" s="524" t="s">
        <v>1189</v>
      </c>
      <c r="N608" s="524" t="s">
        <v>1171</v>
      </c>
      <c r="O608" s="524" t="s">
        <v>1172</v>
      </c>
      <c r="P608" s="526">
        <v>46210</v>
      </c>
      <c r="S608" s="527">
        <v>0</v>
      </c>
    </row>
    <row r="609" spans="1:19" x14ac:dyDescent="0.2">
      <c r="A609" s="524">
        <v>69020</v>
      </c>
      <c r="B609" s="526">
        <v>46210</v>
      </c>
      <c r="C609" s="524" t="s">
        <v>1148</v>
      </c>
      <c r="D609" s="524" t="s">
        <v>1186</v>
      </c>
      <c r="E609" s="524" t="s">
        <v>1643</v>
      </c>
      <c r="F609" s="524" t="s">
        <v>1183</v>
      </c>
      <c r="G609" s="524" t="s">
        <v>800</v>
      </c>
      <c r="H609" s="527">
        <v>1825</v>
      </c>
      <c r="I609" s="524" t="s">
        <v>1174</v>
      </c>
      <c r="J609" s="524">
        <f>IF(cmf[[#This Row],[D/C]]="C",cmf[[#This Row],[Valor]],-1*cmf[[#This Row],[Valor]])</f>
        <v>-1825</v>
      </c>
      <c r="L609" s="524" t="s">
        <v>1188</v>
      </c>
      <c r="M609" s="524" t="s">
        <v>1189</v>
      </c>
      <c r="N609" s="524" t="s">
        <v>1171</v>
      </c>
      <c r="O609" s="524" t="s">
        <v>1172</v>
      </c>
      <c r="P609" s="526">
        <v>46210</v>
      </c>
      <c r="S609" s="527">
        <v>0</v>
      </c>
    </row>
    <row r="610" spans="1:19" x14ac:dyDescent="0.2">
      <c r="A610" s="524">
        <v>69021</v>
      </c>
      <c r="B610" s="526">
        <v>46210</v>
      </c>
      <c r="C610" s="524" t="s">
        <v>1148</v>
      </c>
      <c r="D610" s="524" t="s">
        <v>1186</v>
      </c>
      <c r="E610" s="524" t="s">
        <v>1644</v>
      </c>
      <c r="F610" s="524" t="s">
        <v>1183</v>
      </c>
      <c r="G610" s="524" t="s">
        <v>800</v>
      </c>
      <c r="H610" s="527">
        <v>1360</v>
      </c>
      <c r="I610" s="524" t="s">
        <v>1174</v>
      </c>
      <c r="J610" s="524">
        <f>IF(cmf[[#This Row],[D/C]]="C",cmf[[#This Row],[Valor]],-1*cmf[[#This Row],[Valor]])</f>
        <v>-1360</v>
      </c>
      <c r="L610" s="524" t="s">
        <v>1188</v>
      </c>
      <c r="M610" s="524" t="s">
        <v>1189</v>
      </c>
      <c r="N610" s="524" t="s">
        <v>1171</v>
      </c>
      <c r="O610" s="524" t="s">
        <v>1172</v>
      </c>
      <c r="P610" s="526">
        <v>46210</v>
      </c>
      <c r="S610" s="527">
        <v>0</v>
      </c>
    </row>
    <row r="611" spans="1:19" x14ac:dyDescent="0.2">
      <c r="A611" s="524">
        <v>69022</v>
      </c>
      <c r="B611" s="526">
        <v>46210</v>
      </c>
      <c r="C611" s="524" t="s">
        <v>1148</v>
      </c>
      <c r="D611" s="524" t="s">
        <v>1186</v>
      </c>
      <c r="E611" s="524" t="s">
        <v>1645</v>
      </c>
      <c r="F611" s="524" t="s">
        <v>1183</v>
      </c>
      <c r="G611" s="524" t="s">
        <v>800</v>
      </c>
      <c r="H611" s="527">
        <v>440.44</v>
      </c>
      <c r="I611" s="524" t="s">
        <v>1174</v>
      </c>
      <c r="J611" s="524">
        <f>IF(cmf[[#This Row],[D/C]]="C",cmf[[#This Row],[Valor]],-1*cmf[[#This Row],[Valor]])</f>
        <v>-440.44</v>
      </c>
      <c r="L611" s="524" t="s">
        <v>1188</v>
      </c>
      <c r="M611" s="524" t="s">
        <v>1189</v>
      </c>
      <c r="N611" s="524" t="s">
        <v>1171</v>
      </c>
      <c r="O611" s="524" t="s">
        <v>1172</v>
      </c>
      <c r="P611" s="526">
        <v>46210</v>
      </c>
      <c r="S611" s="527">
        <v>0</v>
      </c>
    </row>
    <row r="612" spans="1:19" x14ac:dyDescent="0.2">
      <c r="A612" s="524">
        <v>69023</v>
      </c>
      <c r="B612" s="526">
        <v>46210</v>
      </c>
      <c r="C612" s="524" t="s">
        <v>1148</v>
      </c>
      <c r="D612" s="524" t="s">
        <v>1186</v>
      </c>
      <c r="E612" s="524" t="s">
        <v>1646</v>
      </c>
      <c r="F612" s="524" t="s">
        <v>1183</v>
      </c>
      <c r="G612" s="524" t="s">
        <v>800</v>
      </c>
      <c r="H612" s="527">
        <v>1389</v>
      </c>
      <c r="I612" s="524" t="s">
        <v>1174</v>
      </c>
      <c r="J612" s="524">
        <f>IF(cmf[[#This Row],[D/C]]="C",cmf[[#This Row],[Valor]],-1*cmf[[#This Row],[Valor]])</f>
        <v>-1389</v>
      </c>
      <c r="L612" s="524" t="s">
        <v>1188</v>
      </c>
      <c r="M612" s="524" t="s">
        <v>1189</v>
      </c>
      <c r="N612" s="524" t="s">
        <v>1171</v>
      </c>
      <c r="O612" s="524" t="s">
        <v>1172</v>
      </c>
      <c r="P612" s="526">
        <v>46210</v>
      </c>
      <c r="S612" s="527">
        <v>0</v>
      </c>
    </row>
    <row r="613" spans="1:19" x14ac:dyDescent="0.2">
      <c r="A613" s="524">
        <v>69024</v>
      </c>
      <c r="B613" s="526">
        <v>46210</v>
      </c>
      <c r="C613" s="524" t="s">
        <v>1148</v>
      </c>
      <c r="D613" s="524" t="s">
        <v>1186</v>
      </c>
      <c r="E613" s="524" t="s">
        <v>1647</v>
      </c>
      <c r="F613" s="524" t="s">
        <v>1183</v>
      </c>
      <c r="G613" s="524" t="s">
        <v>800</v>
      </c>
      <c r="H613" s="527">
        <v>449.26</v>
      </c>
      <c r="I613" s="524" t="s">
        <v>1174</v>
      </c>
      <c r="J613" s="524">
        <f>IF(cmf[[#This Row],[D/C]]="C",cmf[[#This Row],[Valor]],-1*cmf[[#This Row],[Valor]])</f>
        <v>-449.26</v>
      </c>
      <c r="L613" s="524" t="s">
        <v>1188</v>
      </c>
      <c r="M613" s="524" t="s">
        <v>1189</v>
      </c>
      <c r="N613" s="524" t="s">
        <v>1171</v>
      </c>
      <c r="O613" s="524" t="s">
        <v>1172</v>
      </c>
      <c r="P613" s="526">
        <v>46210</v>
      </c>
      <c r="S613" s="527">
        <v>0</v>
      </c>
    </row>
    <row r="614" spans="1:19" x14ac:dyDescent="0.2">
      <c r="A614" s="524">
        <v>69025</v>
      </c>
      <c r="B614" s="526">
        <v>46210</v>
      </c>
      <c r="C614" s="524" t="s">
        <v>1148</v>
      </c>
      <c r="D614" s="524" t="s">
        <v>1186</v>
      </c>
      <c r="E614" s="524" t="s">
        <v>1648</v>
      </c>
      <c r="F614" s="524" t="s">
        <v>1183</v>
      </c>
      <c r="G614" s="524" t="s">
        <v>800</v>
      </c>
      <c r="H614" s="527">
        <v>1670</v>
      </c>
      <c r="I614" s="524" t="s">
        <v>1174</v>
      </c>
      <c r="J614" s="524">
        <f>IF(cmf[[#This Row],[D/C]]="C",cmf[[#This Row],[Valor]],-1*cmf[[#This Row],[Valor]])</f>
        <v>-1670</v>
      </c>
      <c r="L614" s="524" t="s">
        <v>1188</v>
      </c>
      <c r="M614" s="524" t="s">
        <v>1189</v>
      </c>
      <c r="N614" s="524" t="s">
        <v>1171</v>
      </c>
      <c r="O614" s="524" t="s">
        <v>1172</v>
      </c>
      <c r="P614" s="526">
        <v>46210</v>
      </c>
      <c r="S614" s="527">
        <v>0</v>
      </c>
    </row>
    <row r="615" spans="1:19" x14ac:dyDescent="0.2">
      <c r="A615" s="524">
        <v>69026</v>
      </c>
      <c r="B615" s="526">
        <v>46210</v>
      </c>
      <c r="C615" s="524" t="s">
        <v>1148</v>
      </c>
      <c r="D615" s="524" t="s">
        <v>1186</v>
      </c>
      <c r="E615" s="524" t="s">
        <v>1649</v>
      </c>
      <c r="F615" s="524" t="s">
        <v>1183</v>
      </c>
      <c r="G615" s="524" t="s">
        <v>800</v>
      </c>
      <c r="H615" s="527">
        <v>1200</v>
      </c>
      <c r="I615" s="524" t="s">
        <v>1174</v>
      </c>
      <c r="J615" s="524">
        <f>IF(cmf[[#This Row],[D/C]]="C",cmf[[#This Row],[Valor]],-1*cmf[[#This Row],[Valor]])</f>
        <v>-1200</v>
      </c>
      <c r="L615" s="524" t="s">
        <v>1188</v>
      </c>
      <c r="M615" s="524" t="s">
        <v>1189</v>
      </c>
      <c r="N615" s="524" t="s">
        <v>1171</v>
      </c>
      <c r="O615" s="524" t="s">
        <v>1172</v>
      </c>
      <c r="P615" s="526">
        <v>46210</v>
      </c>
      <c r="S615" s="527">
        <v>0</v>
      </c>
    </row>
    <row r="616" spans="1:19" x14ac:dyDescent="0.2">
      <c r="A616" s="524">
        <v>69028</v>
      </c>
      <c r="B616" s="526">
        <v>46210</v>
      </c>
      <c r="C616" s="524" t="s">
        <v>1148</v>
      </c>
      <c r="D616" s="524" t="s">
        <v>1186</v>
      </c>
      <c r="E616" s="524" t="s">
        <v>1650</v>
      </c>
      <c r="F616" s="524" t="s">
        <v>1183</v>
      </c>
      <c r="G616" s="524" t="s">
        <v>800</v>
      </c>
      <c r="H616" s="527">
        <v>1085</v>
      </c>
      <c r="I616" s="524" t="s">
        <v>1174</v>
      </c>
      <c r="J616" s="524">
        <f>IF(cmf[[#This Row],[D/C]]="C",cmf[[#This Row],[Valor]],-1*cmf[[#This Row],[Valor]])</f>
        <v>-1085</v>
      </c>
      <c r="L616" s="524" t="s">
        <v>1188</v>
      </c>
      <c r="M616" s="524" t="s">
        <v>1189</v>
      </c>
      <c r="N616" s="524" t="s">
        <v>1171</v>
      </c>
      <c r="O616" s="524" t="s">
        <v>1172</v>
      </c>
      <c r="P616" s="526">
        <v>46210</v>
      </c>
      <c r="S616" s="527">
        <v>0</v>
      </c>
    </row>
    <row r="617" spans="1:19" x14ac:dyDescent="0.2">
      <c r="A617" s="524">
        <v>69029</v>
      </c>
      <c r="B617" s="526">
        <v>46210</v>
      </c>
      <c r="C617" s="524" t="s">
        <v>1148</v>
      </c>
      <c r="D617" s="524" t="s">
        <v>1186</v>
      </c>
      <c r="E617" s="524" t="s">
        <v>1651</v>
      </c>
      <c r="F617" s="524" t="s">
        <v>1183</v>
      </c>
      <c r="G617" s="524" t="s">
        <v>800</v>
      </c>
      <c r="H617" s="527">
        <v>28</v>
      </c>
      <c r="I617" s="524" t="s">
        <v>1174</v>
      </c>
      <c r="J617" s="524">
        <f>IF(cmf[[#This Row],[D/C]]="C",cmf[[#This Row],[Valor]],-1*cmf[[#This Row],[Valor]])</f>
        <v>-28</v>
      </c>
      <c r="L617" s="524" t="s">
        <v>1188</v>
      </c>
      <c r="M617" s="524" t="s">
        <v>1189</v>
      </c>
      <c r="N617" s="524" t="s">
        <v>1171</v>
      </c>
      <c r="O617" s="524" t="s">
        <v>1172</v>
      </c>
      <c r="P617" s="526">
        <v>46210</v>
      </c>
      <c r="S617" s="527">
        <v>0</v>
      </c>
    </row>
    <row r="618" spans="1:19" x14ac:dyDescent="0.2">
      <c r="A618" s="524">
        <v>69030</v>
      </c>
      <c r="B618" s="526">
        <v>46210</v>
      </c>
      <c r="C618" s="524" t="s">
        <v>1148</v>
      </c>
      <c r="D618" s="524" t="s">
        <v>1186</v>
      </c>
      <c r="E618" s="524" t="s">
        <v>1652</v>
      </c>
      <c r="F618" s="524" t="s">
        <v>1183</v>
      </c>
      <c r="G618" s="524" t="s">
        <v>800</v>
      </c>
      <c r="H618" s="527">
        <v>1251.3</v>
      </c>
      <c r="I618" s="524" t="s">
        <v>1174</v>
      </c>
      <c r="J618" s="524">
        <f>IF(cmf[[#This Row],[D/C]]="C",cmf[[#This Row],[Valor]],-1*cmf[[#This Row],[Valor]])</f>
        <v>-1251.3</v>
      </c>
      <c r="L618" s="524" t="s">
        <v>1188</v>
      </c>
      <c r="M618" s="524" t="s">
        <v>1189</v>
      </c>
      <c r="N618" s="524" t="s">
        <v>1171</v>
      </c>
      <c r="O618" s="524" t="s">
        <v>1172</v>
      </c>
      <c r="P618" s="526">
        <v>46210</v>
      </c>
      <c r="S618" s="527">
        <v>0</v>
      </c>
    </row>
    <row r="619" spans="1:19" x14ac:dyDescent="0.2">
      <c r="A619" s="524">
        <v>69031</v>
      </c>
      <c r="B619" s="526">
        <v>46210</v>
      </c>
      <c r="C619" s="524" t="s">
        <v>1148</v>
      </c>
      <c r="D619" s="524" t="s">
        <v>1186</v>
      </c>
      <c r="E619" s="524" t="s">
        <v>1653</v>
      </c>
      <c r="F619" s="524" t="s">
        <v>1183</v>
      </c>
      <c r="G619" s="524" t="s">
        <v>800</v>
      </c>
      <c r="H619" s="527">
        <v>795.12</v>
      </c>
      <c r="I619" s="524" t="s">
        <v>1174</v>
      </c>
      <c r="J619" s="524">
        <f>IF(cmf[[#This Row],[D/C]]="C",cmf[[#This Row],[Valor]],-1*cmf[[#This Row],[Valor]])</f>
        <v>-795.12</v>
      </c>
      <c r="L619" s="524" t="s">
        <v>1188</v>
      </c>
      <c r="M619" s="524" t="s">
        <v>1189</v>
      </c>
      <c r="N619" s="524" t="s">
        <v>1171</v>
      </c>
      <c r="O619" s="524" t="s">
        <v>1172</v>
      </c>
      <c r="P619" s="526">
        <v>46210</v>
      </c>
      <c r="S619" s="527">
        <v>0</v>
      </c>
    </row>
    <row r="620" spans="1:19" x14ac:dyDescent="0.2">
      <c r="A620" s="524">
        <v>69032</v>
      </c>
      <c r="B620" s="526">
        <v>46210</v>
      </c>
      <c r="C620" s="524" t="s">
        <v>1148</v>
      </c>
      <c r="D620" s="524" t="s">
        <v>1186</v>
      </c>
      <c r="E620" s="524" t="s">
        <v>1654</v>
      </c>
      <c r="F620" s="524" t="s">
        <v>1183</v>
      </c>
      <c r="G620" s="524" t="s">
        <v>800</v>
      </c>
      <c r="H620" s="527">
        <v>503.2</v>
      </c>
      <c r="I620" s="524" t="s">
        <v>1174</v>
      </c>
      <c r="J620" s="524">
        <f>IF(cmf[[#This Row],[D/C]]="C",cmf[[#This Row],[Valor]],-1*cmf[[#This Row],[Valor]])</f>
        <v>-503.2</v>
      </c>
      <c r="L620" s="524" t="s">
        <v>1188</v>
      </c>
      <c r="M620" s="524" t="s">
        <v>1189</v>
      </c>
      <c r="N620" s="524" t="s">
        <v>1171</v>
      </c>
      <c r="O620" s="524" t="s">
        <v>1172</v>
      </c>
      <c r="P620" s="526">
        <v>46210</v>
      </c>
      <c r="S620" s="527">
        <v>0</v>
      </c>
    </row>
    <row r="621" spans="1:19" x14ac:dyDescent="0.2">
      <c r="A621" s="524">
        <v>69033</v>
      </c>
      <c r="B621" s="526">
        <v>46210</v>
      </c>
      <c r="C621" s="524" t="s">
        <v>1148</v>
      </c>
      <c r="D621" s="524" t="s">
        <v>1186</v>
      </c>
      <c r="E621" s="524" t="s">
        <v>1655</v>
      </c>
      <c r="F621" s="524" t="s">
        <v>1183</v>
      </c>
      <c r="G621" s="524" t="s">
        <v>800</v>
      </c>
      <c r="H621" s="527">
        <v>2780.2</v>
      </c>
      <c r="I621" s="524" t="s">
        <v>1174</v>
      </c>
      <c r="J621" s="524">
        <f>IF(cmf[[#This Row],[D/C]]="C",cmf[[#This Row],[Valor]],-1*cmf[[#This Row],[Valor]])</f>
        <v>-2780.2</v>
      </c>
      <c r="L621" s="524" t="s">
        <v>1188</v>
      </c>
      <c r="M621" s="524" t="s">
        <v>1189</v>
      </c>
      <c r="N621" s="524" t="s">
        <v>1171</v>
      </c>
      <c r="O621" s="524" t="s">
        <v>1172</v>
      </c>
      <c r="P621" s="526">
        <v>46210</v>
      </c>
      <c r="S621" s="527">
        <v>0</v>
      </c>
    </row>
    <row r="622" spans="1:19" x14ac:dyDescent="0.2">
      <c r="A622" s="524">
        <v>69034</v>
      </c>
      <c r="B622" s="526">
        <v>46210</v>
      </c>
      <c r="C622" s="524" t="s">
        <v>1148</v>
      </c>
      <c r="D622" s="524" t="s">
        <v>1186</v>
      </c>
      <c r="E622" s="524" t="s">
        <v>1656</v>
      </c>
      <c r="F622" s="524" t="s">
        <v>1183</v>
      </c>
      <c r="G622" s="524" t="s">
        <v>800</v>
      </c>
      <c r="H622" s="527">
        <v>1477.11</v>
      </c>
      <c r="I622" s="524" t="s">
        <v>1174</v>
      </c>
      <c r="J622" s="524">
        <f>IF(cmf[[#This Row],[D/C]]="C",cmf[[#This Row],[Valor]],-1*cmf[[#This Row],[Valor]])</f>
        <v>-1477.11</v>
      </c>
      <c r="L622" s="524" t="s">
        <v>1188</v>
      </c>
      <c r="M622" s="524" t="s">
        <v>1189</v>
      </c>
      <c r="N622" s="524" t="s">
        <v>1171</v>
      </c>
      <c r="O622" s="524" t="s">
        <v>1172</v>
      </c>
      <c r="P622" s="526">
        <v>46210</v>
      </c>
      <c r="S622" s="527">
        <v>0</v>
      </c>
    </row>
    <row r="623" spans="1:19" x14ac:dyDescent="0.2">
      <c r="A623" s="524">
        <v>69035</v>
      </c>
      <c r="B623" s="526">
        <v>46210</v>
      </c>
      <c r="C623" s="524" t="s">
        <v>1162</v>
      </c>
      <c r="D623" s="524" t="s">
        <v>1186</v>
      </c>
      <c r="E623" s="524" t="s">
        <v>1657</v>
      </c>
      <c r="F623" s="524" t="s">
        <v>1183</v>
      </c>
      <c r="G623" s="524" t="s">
        <v>800</v>
      </c>
      <c r="H623" s="527">
        <v>15000</v>
      </c>
      <c r="I623" s="524" t="s">
        <v>1174</v>
      </c>
      <c r="J623" s="524">
        <f>IF(cmf[[#This Row],[D/C]]="C",cmf[[#This Row],[Valor]],-1*cmf[[#This Row],[Valor]])</f>
        <v>-15000</v>
      </c>
      <c r="L623" s="524" t="s">
        <v>1188</v>
      </c>
      <c r="M623" s="524" t="s">
        <v>1189</v>
      </c>
      <c r="N623" s="524" t="s">
        <v>1171</v>
      </c>
      <c r="O623" s="524" t="s">
        <v>1172</v>
      </c>
      <c r="P623" s="526"/>
      <c r="S623" s="527">
        <v>0</v>
      </c>
    </row>
    <row r="624" spans="1:19" x14ac:dyDescent="0.2">
      <c r="A624" s="524">
        <v>69036</v>
      </c>
      <c r="B624" s="526">
        <v>46210</v>
      </c>
      <c r="C624" s="524" t="s">
        <v>1148</v>
      </c>
      <c r="D624" s="524" t="s">
        <v>1186</v>
      </c>
      <c r="E624" s="524" t="s">
        <v>1658</v>
      </c>
      <c r="F624" s="524" t="s">
        <v>1183</v>
      </c>
      <c r="G624" s="524" t="s">
        <v>800</v>
      </c>
      <c r="H624" s="527">
        <v>6391.73</v>
      </c>
      <c r="I624" s="524" t="s">
        <v>1174</v>
      </c>
      <c r="J624" s="524">
        <f>IF(cmf[[#This Row],[D/C]]="C",cmf[[#This Row],[Valor]],-1*cmf[[#This Row],[Valor]])</f>
        <v>-6391.73</v>
      </c>
      <c r="L624" s="524" t="s">
        <v>1188</v>
      </c>
      <c r="M624" s="524" t="s">
        <v>1189</v>
      </c>
      <c r="N624" s="524" t="s">
        <v>1171</v>
      </c>
      <c r="O624" s="524" t="s">
        <v>1172</v>
      </c>
      <c r="P624" s="526">
        <v>46210</v>
      </c>
      <c r="S624" s="527">
        <v>0</v>
      </c>
    </row>
    <row r="625" spans="1:19" x14ac:dyDescent="0.2">
      <c r="A625" s="524">
        <v>69037</v>
      </c>
      <c r="B625" s="526">
        <v>46210</v>
      </c>
      <c r="C625" s="524" t="s">
        <v>1148</v>
      </c>
      <c r="D625" s="524" t="s">
        <v>1186</v>
      </c>
      <c r="E625" s="524" t="s">
        <v>1659</v>
      </c>
      <c r="F625" s="524" t="s">
        <v>1183</v>
      </c>
      <c r="G625" s="524" t="s">
        <v>800</v>
      </c>
      <c r="H625" s="527">
        <v>2456</v>
      </c>
      <c r="I625" s="524" t="s">
        <v>1174</v>
      </c>
      <c r="J625" s="524">
        <f>IF(cmf[[#This Row],[D/C]]="C",cmf[[#This Row],[Valor]],-1*cmf[[#This Row],[Valor]])</f>
        <v>-2456</v>
      </c>
      <c r="L625" s="524" t="s">
        <v>1188</v>
      </c>
      <c r="M625" s="524" t="s">
        <v>1189</v>
      </c>
      <c r="N625" s="524" t="s">
        <v>1171</v>
      </c>
      <c r="O625" s="524" t="s">
        <v>1172</v>
      </c>
      <c r="P625" s="526">
        <v>46210</v>
      </c>
      <c r="S625" s="527">
        <v>0</v>
      </c>
    </row>
    <row r="626" spans="1:19" x14ac:dyDescent="0.2">
      <c r="A626" s="524">
        <v>69038</v>
      </c>
      <c r="B626" s="526">
        <v>46210</v>
      </c>
      <c r="C626" s="524" t="s">
        <v>1148</v>
      </c>
      <c r="D626" s="524" t="s">
        <v>1186</v>
      </c>
      <c r="E626" s="524" t="s">
        <v>1660</v>
      </c>
      <c r="F626" s="524" t="s">
        <v>1183</v>
      </c>
      <c r="G626" s="524" t="s">
        <v>800</v>
      </c>
      <c r="H626" s="527">
        <v>8404.56</v>
      </c>
      <c r="I626" s="524" t="s">
        <v>1174</v>
      </c>
      <c r="J626" s="524">
        <f>IF(cmf[[#This Row],[D/C]]="C",cmf[[#This Row],[Valor]],-1*cmf[[#This Row],[Valor]])</f>
        <v>-8404.56</v>
      </c>
      <c r="L626" s="524" t="s">
        <v>1188</v>
      </c>
      <c r="M626" s="524" t="s">
        <v>1189</v>
      </c>
      <c r="N626" s="524" t="s">
        <v>1171</v>
      </c>
      <c r="O626" s="524" t="s">
        <v>1172</v>
      </c>
      <c r="P626" s="526">
        <v>46210</v>
      </c>
      <c r="S626" s="527">
        <v>0</v>
      </c>
    </row>
    <row r="627" spans="1:19" x14ac:dyDescent="0.2">
      <c r="A627" s="524">
        <v>69039</v>
      </c>
      <c r="B627" s="526">
        <v>46210</v>
      </c>
      <c r="C627" s="524" t="s">
        <v>1148</v>
      </c>
      <c r="D627" s="524" t="s">
        <v>1186</v>
      </c>
      <c r="E627" s="524" t="s">
        <v>1661</v>
      </c>
      <c r="F627" s="524" t="s">
        <v>1183</v>
      </c>
      <c r="G627" s="524" t="s">
        <v>800</v>
      </c>
      <c r="H627" s="527">
        <v>3036</v>
      </c>
      <c r="I627" s="524" t="s">
        <v>1174</v>
      </c>
      <c r="J627" s="524">
        <f>IF(cmf[[#This Row],[D/C]]="C",cmf[[#This Row],[Valor]],-1*cmf[[#This Row],[Valor]])</f>
        <v>-3036</v>
      </c>
      <c r="L627" s="524" t="s">
        <v>1188</v>
      </c>
      <c r="M627" s="524" t="s">
        <v>1189</v>
      </c>
      <c r="N627" s="524" t="s">
        <v>1171</v>
      </c>
      <c r="O627" s="524" t="s">
        <v>1172</v>
      </c>
      <c r="P627" s="526">
        <v>46210</v>
      </c>
      <c r="S627" s="527">
        <v>0</v>
      </c>
    </row>
    <row r="628" spans="1:19" x14ac:dyDescent="0.2">
      <c r="A628" s="524">
        <v>69121</v>
      </c>
      <c r="B628" s="526">
        <v>46210</v>
      </c>
      <c r="C628" s="524" t="s">
        <v>1148</v>
      </c>
      <c r="D628" s="524" t="s">
        <v>1205</v>
      </c>
      <c r="E628" s="524" t="s">
        <v>1214</v>
      </c>
      <c r="F628" s="524" t="s">
        <v>1183</v>
      </c>
      <c r="G628" s="524" t="s">
        <v>742</v>
      </c>
      <c r="H628" s="527">
        <v>100000</v>
      </c>
      <c r="I628" s="524" t="s">
        <v>1174</v>
      </c>
      <c r="J628" s="524">
        <f>IF(cmf[[#This Row],[D/C]]="C",cmf[[#This Row],[Valor]],-1*cmf[[#This Row],[Valor]])</f>
        <v>-100000</v>
      </c>
      <c r="L628" s="524" t="s">
        <v>1207</v>
      </c>
      <c r="M628" s="524" t="s">
        <v>1208</v>
      </c>
      <c r="N628" s="524" t="s">
        <v>1215</v>
      </c>
      <c r="O628" s="524" t="s">
        <v>1218</v>
      </c>
      <c r="P628" s="526">
        <v>46210</v>
      </c>
      <c r="S628" s="527">
        <v>0</v>
      </c>
    </row>
    <row r="629" spans="1:19" x14ac:dyDescent="0.2">
      <c r="A629" s="524">
        <v>69122</v>
      </c>
      <c r="B629" s="526">
        <v>46210</v>
      </c>
      <c r="C629" s="524" t="s">
        <v>1148</v>
      </c>
      <c r="D629" s="524" t="s">
        <v>1205</v>
      </c>
      <c r="E629" s="524" t="s">
        <v>1217</v>
      </c>
      <c r="F629" s="524" t="s">
        <v>1170</v>
      </c>
      <c r="G629" s="524" t="s">
        <v>738</v>
      </c>
      <c r="H629" s="527">
        <v>100000</v>
      </c>
      <c r="I629" s="524" t="s">
        <v>1148</v>
      </c>
      <c r="J629" s="524">
        <f>IF(cmf[[#This Row],[D/C]]="C",cmf[[#This Row],[Valor]],-1*cmf[[#This Row],[Valor]])</f>
        <v>100000</v>
      </c>
      <c r="L629" s="524" t="s">
        <v>1207</v>
      </c>
      <c r="M629" s="524" t="s">
        <v>1208</v>
      </c>
      <c r="N629" s="524" t="s">
        <v>1215</v>
      </c>
      <c r="O629" s="524" t="s">
        <v>1216</v>
      </c>
      <c r="P629" s="526">
        <v>46210</v>
      </c>
      <c r="S629" s="527">
        <v>0</v>
      </c>
    </row>
    <row r="630" spans="1:19" x14ac:dyDescent="0.2">
      <c r="A630" s="524">
        <v>69123</v>
      </c>
      <c r="B630" s="526">
        <v>46210</v>
      </c>
      <c r="C630" s="524" t="s">
        <v>1148</v>
      </c>
      <c r="D630" s="524" t="s">
        <v>1205</v>
      </c>
      <c r="E630" s="524" t="s">
        <v>1214</v>
      </c>
      <c r="F630" s="524" t="s">
        <v>1183</v>
      </c>
      <c r="G630" s="524" t="s">
        <v>742</v>
      </c>
      <c r="H630" s="527">
        <v>50000</v>
      </c>
      <c r="I630" s="524" t="s">
        <v>1174</v>
      </c>
      <c r="J630" s="524">
        <f>IF(cmf[[#This Row],[D/C]]="C",cmf[[#This Row],[Valor]],-1*cmf[[#This Row],[Valor]])</f>
        <v>-50000</v>
      </c>
      <c r="L630" s="524" t="s">
        <v>1207</v>
      </c>
      <c r="M630" s="524" t="s">
        <v>1208</v>
      </c>
      <c r="N630" s="524" t="s">
        <v>1215</v>
      </c>
      <c r="O630" s="524" t="s">
        <v>1218</v>
      </c>
      <c r="P630" s="526">
        <v>46210</v>
      </c>
      <c r="S630" s="527">
        <v>0</v>
      </c>
    </row>
    <row r="631" spans="1:19" x14ac:dyDescent="0.2">
      <c r="A631" s="524">
        <v>69124</v>
      </c>
      <c r="B631" s="526">
        <v>46210</v>
      </c>
      <c r="C631" s="524" t="s">
        <v>1148</v>
      </c>
      <c r="D631" s="524" t="s">
        <v>1205</v>
      </c>
      <c r="E631" s="524" t="s">
        <v>1217</v>
      </c>
      <c r="F631" s="524" t="s">
        <v>1170</v>
      </c>
      <c r="G631" s="524" t="s">
        <v>740</v>
      </c>
      <c r="H631" s="527">
        <v>50000</v>
      </c>
      <c r="I631" s="524" t="s">
        <v>1148</v>
      </c>
      <c r="J631" s="524">
        <f>IF(cmf[[#This Row],[D/C]]="C",cmf[[#This Row],[Valor]],-1*cmf[[#This Row],[Valor]])</f>
        <v>50000</v>
      </c>
      <c r="L631" s="524" t="s">
        <v>1207</v>
      </c>
      <c r="M631" s="524" t="s">
        <v>1208</v>
      </c>
      <c r="N631" s="524" t="s">
        <v>1215</v>
      </c>
      <c r="O631" s="524" t="s">
        <v>1218</v>
      </c>
      <c r="P631" s="526">
        <v>46210</v>
      </c>
      <c r="S631" s="527">
        <v>0</v>
      </c>
    </row>
    <row r="632" spans="1:19" x14ac:dyDescent="0.2">
      <c r="A632" s="524">
        <v>69125</v>
      </c>
      <c r="B632" s="526">
        <v>46210</v>
      </c>
      <c r="C632" s="524" t="s">
        <v>1162</v>
      </c>
      <c r="D632" s="524" t="s">
        <v>1205</v>
      </c>
      <c r="E632" s="524" t="s">
        <v>1206</v>
      </c>
      <c r="F632" s="524" t="s">
        <v>1170</v>
      </c>
      <c r="G632" s="524" t="s">
        <v>781</v>
      </c>
      <c r="H632" s="527">
        <v>2000</v>
      </c>
      <c r="I632" s="524" t="s">
        <v>1174</v>
      </c>
      <c r="J632" s="524">
        <f>IF(cmf[[#This Row],[D/C]]="C",cmf[[#This Row],[Valor]],-1*cmf[[#This Row],[Valor]])</f>
        <v>-2000</v>
      </c>
      <c r="L632" s="524" t="s">
        <v>1207</v>
      </c>
      <c r="M632" s="524" t="s">
        <v>1208</v>
      </c>
      <c r="N632" s="524" t="s">
        <v>1209</v>
      </c>
      <c r="O632" s="524" t="s">
        <v>1210</v>
      </c>
      <c r="P632" s="526"/>
      <c r="S632" s="527">
        <v>0</v>
      </c>
    </row>
    <row r="633" spans="1:19" x14ac:dyDescent="0.2">
      <c r="A633" s="524">
        <v>69126</v>
      </c>
      <c r="B633" s="526">
        <v>46210</v>
      </c>
      <c r="C633" s="524" t="s">
        <v>1162</v>
      </c>
      <c r="D633" s="524" t="s">
        <v>1205</v>
      </c>
      <c r="E633" s="524" t="s">
        <v>1211</v>
      </c>
      <c r="F633" s="524" t="s">
        <v>1170</v>
      </c>
      <c r="G633" s="524" t="s">
        <v>775</v>
      </c>
      <c r="H633" s="527">
        <v>2000</v>
      </c>
      <c r="I633" s="524" t="s">
        <v>1148</v>
      </c>
      <c r="J633" s="524">
        <f>IF(cmf[[#This Row],[D/C]]="C",cmf[[#This Row],[Valor]],-1*cmf[[#This Row],[Valor]])</f>
        <v>2000</v>
      </c>
      <c r="L633" s="524" t="s">
        <v>1207</v>
      </c>
      <c r="M633" s="524" t="s">
        <v>1208</v>
      </c>
      <c r="N633" s="524" t="s">
        <v>1212</v>
      </c>
      <c r="O633" s="524" t="s">
        <v>1213</v>
      </c>
      <c r="P633" s="526"/>
      <c r="S633" s="527">
        <v>0</v>
      </c>
    </row>
    <row r="634" spans="1:19" x14ac:dyDescent="0.2">
      <c r="A634" s="524">
        <v>69127</v>
      </c>
      <c r="B634" s="526">
        <v>46210</v>
      </c>
      <c r="C634" s="524" t="s">
        <v>1148</v>
      </c>
      <c r="D634" s="524" t="s">
        <v>1205</v>
      </c>
      <c r="E634" s="524" t="s">
        <v>1336</v>
      </c>
      <c r="F634" s="524" t="s">
        <v>1178</v>
      </c>
      <c r="G634" s="524" t="s">
        <v>1179</v>
      </c>
      <c r="H634" s="527">
        <v>45000</v>
      </c>
      <c r="I634" s="524" t="s">
        <v>1174</v>
      </c>
      <c r="J634" s="524">
        <f>IF(cmf[[#This Row],[D/C]]="C",cmf[[#This Row],[Valor]],-1*cmf[[#This Row],[Valor]])</f>
        <v>-45000</v>
      </c>
      <c r="L634" s="524" t="s">
        <v>1207</v>
      </c>
      <c r="M634" s="524" t="s">
        <v>1208</v>
      </c>
      <c r="N634" s="524" t="s">
        <v>1180</v>
      </c>
      <c r="O634" s="524" t="s">
        <v>1181</v>
      </c>
      <c r="P634" s="526">
        <v>46210</v>
      </c>
      <c r="S634" s="527">
        <v>0</v>
      </c>
    </row>
    <row r="635" spans="1:19" x14ac:dyDescent="0.2">
      <c r="A635" s="524">
        <v>69128</v>
      </c>
      <c r="B635" s="526">
        <v>46210</v>
      </c>
      <c r="C635" s="524" t="s">
        <v>1148</v>
      </c>
      <c r="D635" s="524" t="s">
        <v>1205</v>
      </c>
      <c r="E635" s="524" t="s">
        <v>1662</v>
      </c>
      <c r="F635" s="524" t="s">
        <v>1183</v>
      </c>
      <c r="G635" s="524" t="s">
        <v>763</v>
      </c>
      <c r="H635" s="527">
        <v>45000</v>
      </c>
      <c r="I635" s="524" t="s">
        <v>1148</v>
      </c>
      <c r="J635" s="524">
        <f>IF(cmf[[#This Row],[D/C]]="C",cmf[[#This Row],[Valor]],-1*cmf[[#This Row],[Valor]])</f>
        <v>45000</v>
      </c>
      <c r="L635" s="524" t="s">
        <v>1207</v>
      </c>
      <c r="M635" s="524" t="s">
        <v>1208</v>
      </c>
      <c r="N635" s="524" t="s">
        <v>1180</v>
      </c>
      <c r="O635" s="524" t="s">
        <v>1181</v>
      </c>
      <c r="P635" s="526">
        <v>46210</v>
      </c>
      <c r="S635" s="527">
        <v>0</v>
      </c>
    </row>
    <row r="636" spans="1:19" x14ac:dyDescent="0.2">
      <c r="A636" s="524">
        <v>69129</v>
      </c>
      <c r="B636" s="526">
        <v>46210</v>
      </c>
      <c r="C636" s="524" t="s">
        <v>1162</v>
      </c>
      <c r="D636" s="524" t="s">
        <v>1205</v>
      </c>
      <c r="E636" s="524" t="s">
        <v>1206</v>
      </c>
      <c r="F636" s="524" t="s">
        <v>1170</v>
      </c>
      <c r="G636" s="524" t="s">
        <v>781</v>
      </c>
      <c r="H636" s="527">
        <v>2000</v>
      </c>
      <c r="I636" s="524" t="s">
        <v>1174</v>
      </c>
      <c r="J636" s="524">
        <f>IF(cmf[[#This Row],[D/C]]="C",cmf[[#This Row],[Valor]],-1*cmf[[#This Row],[Valor]])</f>
        <v>-2000</v>
      </c>
      <c r="L636" s="524" t="s">
        <v>1207</v>
      </c>
      <c r="M636" s="524" t="s">
        <v>1208</v>
      </c>
      <c r="N636" s="524" t="s">
        <v>1209</v>
      </c>
      <c r="O636" s="524" t="s">
        <v>1210</v>
      </c>
      <c r="P636" s="526"/>
      <c r="S636" s="527">
        <v>0</v>
      </c>
    </row>
    <row r="637" spans="1:19" x14ac:dyDescent="0.2">
      <c r="A637" s="524">
        <v>69130</v>
      </c>
      <c r="B637" s="526">
        <v>46210</v>
      </c>
      <c r="C637" s="524" t="s">
        <v>1162</v>
      </c>
      <c r="D637" s="524" t="s">
        <v>1205</v>
      </c>
      <c r="E637" s="524" t="s">
        <v>1211</v>
      </c>
      <c r="F637" s="524" t="s">
        <v>1183</v>
      </c>
      <c r="G637" s="524" t="s">
        <v>776</v>
      </c>
      <c r="H637" s="527">
        <v>2000</v>
      </c>
      <c r="I637" s="524" t="s">
        <v>1148</v>
      </c>
      <c r="J637" s="524">
        <f>IF(cmf[[#This Row],[D/C]]="C",cmf[[#This Row],[Valor]],-1*cmf[[#This Row],[Valor]])</f>
        <v>2000</v>
      </c>
      <c r="L637" s="524" t="s">
        <v>1207</v>
      </c>
      <c r="M637" s="524" t="s">
        <v>1208</v>
      </c>
      <c r="N637" s="524" t="s">
        <v>1212</v>
      </c>
      <c r="O637" s="524" t="s">
        <v>1213</v>
      </c>
      <c r="P637" s="526"/>
      <c r="S637" s="527">
        <v>0</v>
      </c>
    </row>
    <row r="638" spans="1:19" x14ac:dyDescent="0.2">
      <c r="A638" s="524">
        <v>69131</v>
      </c>
      <c r="B638" s="526">
        <v>46210</v>
      </c>
      <c r="C638" s="524" t="s">
        <v>1148</v>
      </c>
      <c r="D638" s="524" t="s">
        <v>1205</v>
      </c>
      <c r="E638" s="524" t="s">
        <v>1214</v>
      </c>
      <c r="F638" s="524" t="s">
        <v>1183</v>
      </c>
      <c r="G638" s="524" t="s">
        <v>806</v>
      </c>
      <c r="H638" s="527">
        <v>35000</v>
      </c>
      <c r="I638" s="524" t="s">
        <v>1174</v>
      </c>
      <c r="J638" s="524">
        <f>IF(cmf[[#This Row],[D/C]]="C",cmf[[#This Row],[Valor]],-1*cmf[[#This Row],[Valor]])</f>
        <v>-35000</v>
      </c>
      <c r="L638" s="524" t="s">
        <v>1207</v>
      </c>
      <c r="M638" s="524" t="s">
        <v>1208</v>
      </c>
      <c r="N638" s="524" t="s">
        <v>1283</v>
      </c>
      <c r="O638" s="524" t="s">
        <v>1284</v>
      </c>
      <c r="P638" s="526">
        <v>46210</v>
      </c>
      <c r="S638" s="527">
        <v>0</v>
      </c>
    </row>
    <row r="639" spans="1:19" x14ac:dyDescent="0.2">
      <c r="A639" s="524">
        <v>69132</v>
      </c>
      <c r="B639" s="526">
        <v>46210</v>
      </c>
      <c r="C639" s="524" t="s">
        <v>1148</v>
      </c>
      <c r="D639" s="524" t="s">
        <v>1205</v>
      </c>
      <c r="E639" s="524" t="s">
        <v>1539</v>
      </c>
      <c r="F639" s="524" t="s">
        <v>1183</v>
      </c>
      <c r="G639" s="524" t="s">
        <v>742</v>
      </c>
      <c r="H639" s="527">
        <v>35000</v>
      </c>
      <c r="I639" s="524" t="s">
        <v>1148</v>
      </c>
      <c r="J639" s="524">
        <f>IF(cmf[[#This Row],[D/C]]="C",cmf[[#This Row],[Valor]],-1*cmf[[#This Row],[Valor]])</f>
        <v>35000</v>
      </c>
      <c r="L639" s="524" t="s">
        <v>1207</v>
      </c>
      <c r="M639" s="524" t="s">
        <v>1208</v>
      </c>
      <c r="N639" s="524" t="s">
        <v>1215</v>
      </c>
      <c r="O639" s="524" t="s">
        <v>1218</v>
      </c>
      <c r="P639" s="526">
        <v>46210</v>
      </c>
      <c r="S639" s="527">
        <v>0</v>
      </c>
    </row>
    <row r="640" spans="1:19" x14ac:dyDescent="0.2">
      <c r="A640" s="524">
        <v>69133</v>
      </c>
      <c r="B640" s="526">
        <v>46210</v>
      </c>
      <c r="C640" s="524" t="s">
        <v>1148</v>
      </c>
      <c r="D640" s="524" t="s">
        <v>1205</v>
      </c>
      <c r="E640" s="524" t="s">
        <v>1663</v>
      </c>
      <c r="F640" s="524" t="s">
        <v>1183</v>
      </c>
      <c r="G640" s="524" t="s">
        <v>742</v>
      </c>
      <c r="H640" s="527">
        <v>35000</v>
      </c>
      <c r="I640" s="524" t="s">
        <v>1174</v>
      </c>
      <c r="J640" s="524">
        <f>IF(cmf[[#This Row],[D/C]]="C",cmf[[#This Row],[Valor]],-1*cmf[[#This Row],[Valor]])</f>
        <v>-35000</v>
      </c>
      <c r="L640" s="524" t="s">
        <v>1207</v>
      </c>
      <c r="M640" s="524" t="s">
        <v>1208</v>
      </c>
      <c r="N640" s="524" t="s">
        <v>1215</v>
      </c>
      <c r="O640" s="524" t="s">
        <v>1218</v>
      </c>
      <c r="P640" s="526">
        <v>46210</v>
      </c>
      <c r="S640" s="527">
        <v>0</v>
      </c>
    </row>
    <row r="641" spans="1:19" x14ac:dyDescent="0.2">
      <c r="A641" s="524">
        <v>69134</v>
      </c>
      <c r="B641" s="526">
        <v>46210</v>
      </c>
      <c r="C641" s="524" t="s">
        <v>1148</v>
      </c>
      <c r="D641" s="524" t="s">
        <v>1205</v>
      </c>
      <c r="E641" s="524" t="s">
        <v>1217</v>
      </c>
      <c r="F641" s="524" t="s">
        <v>1170</v>
      </c>
      <c r="G641" s="524" t="s">
        <v>1094</v>
      </c>
      <c r="H641" s="527">
        <v>35000</v>
      </c>
      <c r="I641" s="524" t="s">
        <v>1148</v>
      </c>
      <c r="J641" s="524">
        <f>IF(cmf[[#This Row],[D/C]]="C",cmf[[#This Row],[Valor]],-1*cmf[[#This Row],[Valor]])</f>
        <v>35000</v>
      </c>
      <c r="L641" s="524" t="s">
        <v>1207</v>
      </c>
      <c r="M641" s="524" t="s">
        <v>1208</v>
      </c>
      <c r="N641" s="524" t="s">
        <v>1259</v>
      </c>
      <c r="O641" s="524" t="s">
        <v>1260</v>
      </c>
      <c r="P641" s="526">
        <v>46210</v>
      </c>
      <c r="S641" s="527">
        <v>0</v>
      </c>
    </row>
    <row r="642" spans="1:19" x14ac:dyDescent="0.2">
      <c r="A642" s="524">
        <v>69214</v>
      </c>
      <c r="B642" s="526">
        <v>46210</v>
      </c>
      <c r="C642" s="524" t="s">
        <v>1148</v>
      </c>
      <c r="D642" s="524" t="s">
        <v>1186</v>
      </c>
      <c r="E642" s="524" t="s">
        <v>1664</v>
      </c>
      <c r="F642" s="524" t="s">
        <v>1183</v>
      </c>
      <c r="G642" s="524" t="s">
        <v>769</v>
      </c>
      <c r="H642" s="527">
        <v>3902.4</v>
      </c>
      <c r="I642" s="524" t="s">
        <v>1174</v>
      </c>
      <c r="J642" s="524">
        <f>IF(cmf[[#This Row],[D/C]]="C",cmf[[#This Row],[Valor]],-1*cmf[[#This Row],[Valor]])</f>
        <v>-3902.4</v>
      </c>
      <c r="L642" s="524" t="s">
        <v>1188</v>
      </c>
      <c r="M642" s="524" t="s">
        <v>1189</v>
      </c>
      <c r="N642" s="524" t="s">
        <v>1219</v>
      </c>
      <c r="O642" s="524" t="s">
        <v>1220</v>
      </c>
      <c r="P642" s="526">
        <v>46210</v>
      </c>
      <c r="S642" s="527">
        <v>0</v>
      </c>
    </row>
    <row r="643" spans="1:19" x14ac:dyDescent="0.2">
      <c r="A643" s="524">
        <v>69224</v>
      </c>
      <c r="B643" s="526">
        <v>46210</v>
      </c>
      <c r="C643" s="524" t="s">
        <v>1148</v>
      </c>
      <c r="D643" s="524" t="s">
        <v>1186</v>
      </c>
      <c r="E643" s="524" t="s">
        <v>1665</v>
      </c>
      <c r="F643" s="524" t="s">
        <v>1183</v>
      </c>
      <c r="G643" s="524" t="s">
        <v>763</v>
      </c>
      <c r="H643" s="527">
        <v>1325</v>
      </c>
      <c r="I643" s="524" t="s">
        <v>1174</v>
      </c>
      <c r="J643" s="524">
        <f>IF(cmf[[#This Row],[D/C]]="C",cmf[[#This Row],[Valor]],-1*cmf[[#This Row],[Valor]])</f>
        <v>-1325</v>
      </c>
      <c r="L643" s="524" t="s">
        <v>1188</v>
      </c>
      <c r="M643" s="524" t="s">
        <v>1189</v>
      </c>
      <c r="N643" s="524" t="s">
        <v>1180</v>
      </c>
      <c r="O643" s="524" t="s">
        <v>1181</v>
      </c>
      <c r="P643" s="526">
        <v>46210</v>
      </c>
      <c r="S643" s="527">
        <v>0</v>
      </c>
    </row>
    <row r="644" spans="1:19" x14ac:dyDescent="0.2">
      <c r="A644" s="524">
        <v>69225</v>
      </c>
      <c r="B644" s="526">
        <v>46210</v>
      </c>
      <c r="C644" s="524" t="s">
        <v>1148</v>
      </c>
      <c r="D644" s="524" t="s">
        <v>1186</v>
      </c>
      <c r="E644" s="524" t="s">
        <v>1666</v>
      </c>
      <c r="F644" s="524" t="s">
        <v>1183</v>
      </c>
      <c r="G644" s="524" t="s">
        <v>763</v>
      </c>
      <c r="H644" s="527">
        <v>7280</v>
      </c>
      <c r="I644" s="524" t="s">
        <v>1174</v>
      </c>
      <c r="J644" s="524">
        <f>IF(cmf[[#This Row],[D/C]]="C",cmf[[#This Row],[Valor]],-1*cmf[[#This Row],[Valor]])</f>
        <v>-7280</v>
      </c>
      <c r="L644" s="524" t="s">
        <v>1188</v>
      </c>
      <c r="M644" s="524" t="s">
        <v>1189</v>
      </c>
      <c r="N644" s="524" t="s">
        <v>1180</v>
      </c>
      <c r="O644" s="524" t="s">
        <v>1181</v>
      </c>
      <c r="P644" s="526">
        <v>46210</v>
      </c>
      <c r="S644" s="527">
        <v>0</v>
      </c>
    </row>
    <row r="645" spans="1:19" x14ac:dyDescent="0.2">
      <c r="A645" s="524">
        <v>69285</v>
      </c>
      <c r="B645" s="526">
        <v>46210</v>
      </c>
      <c r="C645" s="524" t="s">
        <v>1148</v>
      </c>
      <c r="D645" s="524" t="s">
        <v>1243</v>
      </c>
      <c r="E645" s="524" t="s">
        <v>1244</v>
      </c>
      <c r="F645" s="524" t="s">
        <v>1183</v>
      </c>
      <c r="G645" s="524" t="s">
        <v>800</v>
      </c>
      <c r="H645" s="527">
        <v>96517.61</v>
      </c>
      <c r="I645" s="524" t="s">
        <v>1148</v>
      </c>
      <c r="J645" s="524">
        <f>IF(cmf[[#This Row],[D/C]]="C",cmf[[#This Row],[Valor]],-1*cmf[[#This Row],[Valor]])</f>
        <v>96517.61</v>
      </c>
      <c r="L645" s="524" t="s">
        <v>1245</v>
      </c>
      <c r="M645" s="524" t="s">
        <v>1246</v>
      </c>
      <c r="N645" s="524" t="s">
        <v>1171</v>
      </c>
      <c r="O645" s="524" t="s">
        <v>1172</v>
      </c>
      <c r="P645" s="526">
        <v>46210</v>
      </c>
      <c r="S645" s="527">
        <v>0</v>
      </c>
    </row>
    <row r="646" spans="1:19" x14ac:dyDescent="0.2">
      <c r="A646" s="524">
        <v>69289</v>
      </c>
      <c r="B646" s="526">
        <v>46210</v>
      </c>
      <c r="C646" s="524" t="s">
        <v>1148</v>
      </c>
      <c r="D646" s="524" t="s">
        <v>1186</v>
      </c>
      <c r="E646" s="524" t="s">
        <v>1667</v>
      </c>
      <c r="F646" s="524" t="s">
        <v>1183</v>
      </c>
      <c r="G646" s="524" t="s">
        <v>800</v>
      </c>
      <c r="H646" s="527">
        <v>757.43</v>
      </c>
      <c r="I646" s="524" t="s">
        <v>1174</v>
      </c>
      <c r="J646" s="524">
        <f>IF(cmf[[#This Row],[D/C]]="C",cmf[[#This Row],[Valor]],-1*cmf[[#This Row],[Valor]])</f>
        <v>-757.43</v>
      </c>
      <c r="L646" s="524" t="s">
        <v>1188</v>
      </c>
      <c r="M646" s="524" t="s">
        <v>1189</v>
      </c>
      <c r="N646" s="524" t="s">
        <v>1171</v>
      </c>
      <c r="O646" s="524" t="s">
        <v>1172</v>
      </c>
      <c r="P646" s="526">
        <v>46210</v>
      </c>
      <c r="S646" s="527">
        <v>0</v>
      </c>
    </row>
    <row r="647" spans="1:19" x14ac:dyDescent="0.2">
      <c r="A647" s="524">
        <v>69290</v>
      </c>
      <c r="B647" s="526">
        <v>46210</v>
      </c>
      <c r="C647" s="524" t="s">
        <v>1148</v>
      </c>
      <c r="D647" s="524" t="s">
        <v>1186</v>
      </c>
      <c r="E647" s="524" t="s">
        <v>1668</v>
      </c>
      <c r="F647" s="524" t="s">
        <v>1183</v>
      </c>
      <c r="G647" s="524" t="s">
        <v>800</v>
      </c>
      <c r="H647" s="527">
        <v>1928.42</v>
      </c>
      <c r="I647" s="524" t="s">
        <v>1174</v>
      </c>
      <c r="J647" s="524">
        <f>IF(cmf[[#This Row],[D/C]]="C",cmf[[#This Row],[Valor]],-1*cmf[[#This Row],[Valor]])</f>
        <v>-1928.42</v>
      </c>
      <c r="L647" s="524" t="s">
        <v>1188</v>
      </c>
      <c r="M647" s="524" t="s">
        <v>1189</v>
      </c>
      <c r="N647" s="524" t="s">
        <v>1171</v>
      </c>
      <c r="O647" s="524" t="s">
        <v>1172</v>
      </c>
      <c r="P647" s="526">
        <v>46210</v>
      </c>
      <c r="S647" s="527">
        <v>0</v>
      </c>
    </row>
    <row r="648" spans="1:19" x14ac:dyDescent="0.2">
      <c r="A648" s="524">
        <v>69296</v>
      </c>
      <c r="B648" s="526">
        <v>46210</v>
      </c>
      <c r="C648" s="524" t="s">
        <v>1148</v>
      </c>
      <c r="D648" s="524" t="s">
        <v>1243</v>
      </c>
      <c r="E648" s="524" t="s">
        <v>1244</v>
      </c>
      <c r="F648" s="524" t="s">
        <v>1183</v>
      </c>
      <c r="G648" s="524" t="s">
        <v>800</v>
      </c>
      <c r="H648" s="527">
        <v>0.19</v>
      </c>
      <c r="I648" s="524" t="s">
        <v>1148</v>
      </c>
      <c r="J648" s="524">
        <f>IF(cmf[[#This Row],[D/C]]="C",cmf[[#This Row],[Valor]],-1*cmf[[#This Row],[Valor]])</f>
        <v>0.19</v>
      </c>
      <c r="L648" s="524" t="s">
        <v>1245</v>
      </c>
      <c r="M648" s="524" t="s">
        <v>1246</v>
      </c>
      <c r="N648" s="524" t="s">
        <v>1171</v>
      </c>
      <c r="O648" s="524" t="s">
        <v>1172</v>
      </c>
      <c r="P648" s="526">
        <v>46210</v>
      </c>
      <c r="S648" s="527">
        <v>0</v>
      </c>
    </row>
    <row r="649" spans="1:19" x14ac:dyDescent="0.2">
      <c r="A649" s="524">
        <v>69348</v>
      </c>
      <c r="B649" s="526">
        <v>46210</v>
      </c>
      <c r="C649" s="524" t="s">
        <v>1148</v>
      </c>
      <c r="D649" s="524" t="s">
        <v>1243</v>
      </c>
      <c r="E649" s="524" t="s">
        <v>1244</v>
      </c>
      <c r="F649" s="524" t="s">
        <v>1183</v>
      </c>
      <c r="G649" s="524" t="s">
        <v>803</v>
      </c>
      <c r="H649" s="527">
        <v>19240.82</v>
      </c>
      <c r="I649" s="524" t="s">
        <v>1148</v>
      </c>
      <c r="J649" s="524">
        <f>IF(cmf[[#This Row],[D/C]]="C",cmf[[#This Row],[Valor]],-1*cmf[[#This Row],[Valor]])</f>
        <v>19240.82</v>
      </c>
      <c r="L649" s="524" t="s">
        <v>1245</v>
      </c>
      <c r="M649" s="524" t="s">
        <v>1246</v>
      </c>
      <c r="N649" s="524" t="s">
        <v>1192</v>
      </c>
      <c r="O649" s="524" t="s">
        <v>1193</v>
      </c>
      <c r="P649" s="526">
        <v>46210</v>
      </c>
      <c r="S649" s="527">
        <v>0</v>
      </c>
    </row>
    <row r="650" spans="1:19" x14ac:dyDescent="0.2">
      <c r="A650" s="524">
        <v>69349</v>
      </c>
      <c r="B650" s="526">
        <v>46210</v>
      </c>
      <c r="C650" s="524" t="s">
        <v>1148</v>
      </c>
      <c r="D650" s="524" t="s">
        <v>1243</v>
      </c>
      <c r="E650" s="524" t="s">
        <v>1244</v>
      </c>
      <c r="F650" s="524" t="s">
        <v>1183</v>
      </c>
      <c r="G650" s="524" t="s">
        <v>803</v>
      </c>
      <c r="H650" s="527">
        <v>0.14000000000000001</v>
      </c>
      <c r="I650" s="524" t="s">
        <v>1148</v>
      </c>
      <c r="J650" s="524">
        <f>IF(cmf[[#This Row],[D/C]]="C",cmf[[#This Row],[Valor]],-1*cmf[[#This Row],[Valor]])</f>
        <v>0.14000000000000001</v>
      </c>
      <c r="L650" s="524" t="s">
        <v>1245</v>
      </c>
      <c r="M650" s="524" t="s">
        <v>1246</v>
      </c>
      <c r="N650" s="524" t="s">
        <v>1192</v>
      </c>
      <c r="O650" s="524" t="s">
        <v>1193</v>
      </c>
      <c r="P650" s="526">
        <v>46210</v>
      </c>
      <c r="S650" s="527">
        <v>0</v>
      </c>
    </row>
    <row r="651" spans="1:19" x14ac:dyDescent="0.2">
      <c r="A651" s="524">
        <v>69393</v>
      </c>
      <c r="B651" s="526">
        <v>46210</v>
      </c>
      <c r="C651" s="524" t="s">
        <v>1148</v>
      </c>
      <c r="D651" s="524" t="s">
        <v>1226</v>
      </c>
      <c r="E651" s="524" t="s">
        <v>1669</v>
      </c>
      <c r="F651" s="524" t="s">
        <v>1183</v>
      </c>
      <c r="G651" s="524" t="s">
        <v>806</v>
      </c>
      <c r="H651" s="527">
        <v>10000</v>
      </c>
      <c r="I651" s="524" t="s">
        <v>1148</v>
      </c>
      <c r="J651" s="524">
        <f>IF(cmf[[#This Row],[D/C]]="C",cmf[[#This Row],[Valor]],-1*cmf[[#This Row],[Valor]])</f>
        <v>10000</v>
      </c>
      <c r="L651" s="524" t="s">
        <v>1230</v>
      </c>
      <c r="M651" s="524" t="s">
        <v>1231</v>
      </c>
      <c r="N651" s="524" t="s">
        <v>1283</v>
      </c>
      <c r="O651" s="524" t="s">
        <v>1284</v>
      </c>
      <c r="P651" s="526">
        <v>46210</v>
      </c>
      <c r="S651" s="527">
        <v>0</v>
      </c>
    </row>
    <row r="652" spans="1:19" x14ac:dyDescent="0.2">
      <c r="A652" s="524">
        <v>69394</v>
      </c>
      <c r="B652" s="526">
        <v>46210</v>
      </c>
      <c r="C652" s="524" t="s">
        <v>1148</v>
      </c>
      <c r="D652" s="524" t="s">
        <v>1186</v>
      </c>
      <c r="E652" s="524" t="s">
        <v>1670</v>
      </c>
      <c r="F652" s="524" t="s">
        <v>1183</v>
      </c>
      <c r="G652" s="524" t="s">
        <v>803</v>
      </c>
      <c r="H652" s="527">
        <v>3036</v>
      </c>
      <c r="I652" s="524" t="s">
        <v>1174</v>
      </c>
      <c r="J652" s="524">
        <f>IF(cmf[[#This Row],[D/C]]="C",cmf[[#This Row],[Valor]],-1*cmf[[#This Row],[Valor]])</f>
        <v>-3036</v>
      </c>
      <c r="L652" s="524" t="s">
        <v>1188</v>
      </c>
      <c r="M652" s="524" t="s">
        <v>1189</v>
      </c>
      <c r="N652" s="524" t="s">
        <v>1192</v>
      </c>
      <c r="O652" s="524" t="s">
        <v>1193</v>
      </c>
      <c r="P652" s="526">
        <v>46210</v>
      </c>
      <c r="S652" s="527">
        <v>0</v>
      </c>
    </row>
    <row r="653" spans="1:19" x14ac:dyDescent="0.2">
      <c r="A653" s="524">
        <v>69417</v>
      </c>
      <c r="B653" s="526">
        <v>46210</v>
      </c>
      <c r="C653" s="524" t="s">
        <v>1148</v>
      </c>
      <c r="D653" s="524" t="s">
        <v>1226</v>
      </c>
      <c r="E653" s="524" t="s">
        <v>1671</v>
      </c>
      <c r="F653" s="524" t="s">
        <v>1170</v>
      </c>
      <c r="G653" s="524" t="s">
        <v>1102</v>
      </c>
      <c r="H653" s="527">
        <v>1173.3</v>
      </c>
      <c r="I653" s="524" t="s">
        <v>1148</v>
      </c>
      <c r="J653" s="524">
        <f>IF(cmf[[#This Row],[D/C]]="C",cmf[[#This Row],[Valor]],-1*cmf[[#This Row],[Valor]])</f>
        <v>1173.3</v>
      </c>
      <c r="L653" s="524" t="s">
        <v>1230</v>
      </c>
      <c r="M653" s="524" t="s">
        <v>1231</v>
      </c>
      <c r="N653" s="524" t="s">
        <v>1192</v>
      </c>
      <c r="O653" s="524" t="s">
        <v>1193</v>
      </c>
      <c r="P653" s="526">
        <v>46210</v>
      </c>
      <c r="S653" s="527">
        <v>0</v>
      </c>
    </row>
    <row r="654" spans="1:19" x14ac:dyDescent="0.2">
      <c r="A654" s="524">
        <v>69418</v>
      </c>
      <c r="B654" s="526">
        <v>46210</v>
      </c>
      <c r="C654" s="524" t="s">
        <v>1148</v>
      </c>
      <c r="D654" s="524" t="s">
        <v>1226</v>
      </c>
      <c r="E654" s="524" t="s">
        <v>1672</v>
      </c>
      <c r="F654" s="524" t="s">
        <v>1170</v>
      </c>
      <c r="G654" s="524" t="s">
        <v>1102</v>
      </c>
      <c r="H654" s="527">
        <v>443.87</v>
      </c>
      <c r="I654" s="524" t="s">
        <v>1148</v>
      </c>
      <c r="J654" s="524">
        <f>IF(cmf[[#This Row],[D/C]]="C",cmf[[#This Row],[Valor]],-1*cmf[[#This Row],[Valor]])</f>
        <v>443.87</v>
      </c>
      <c r="L654" s="524" t="s">
        <v>1230</v>
      </c>
      <c r="M654" s="524" t="s">
        <v>1231</v>
      </c>
      <c r="N654" s="524" t="s">
        <v>1192</v>
      </c>
      <c r="O654" s="524" t="s">
        <v>1193</v>
      </c>
      <c r="P654" s="526">
        <v>46210</v>
      </c>
      <c r="S654" s="527">
        <v>0</v>
      </c>
    </row>
    <row r="655" spans="1:19" x14ac:dyDescent="0.2">
      <c r="A655" s="524">
        <v>69419</v>
      </c>
      <c r="B655" s="526">
        <v>46210</v>
      </c>
      <c r="C655" s="524" t="s">
        <v>1148</v>
      </c>
      <c r="D655" s="524" t="s">
        <v>1226</v>
      </c>
      <c r="E655" s="524" t="s">
        <v>1673</v>
      </c>
      <c r="F655" s="524" t="s">
        <v>1170</v>
      </c>
      <c r="G655" s="524" t="s">
        <v>1102</v>
      </c>
      <c r="H655" s="527">
        <v>384.35</v>
      </c>
      <c r="I655" s="524" t="s">
        <v>1148</v>
      </c>
      <c r="J655" s="524">
        <f>IF(cmf[[#This Row],[D/C]]="C",cmf[[#This Row],[Valor]],-1*cmf[[#This Row],[Valor]])</f>
        <v>384.35</v>
      </c>
      <c r="L655" s="524" t="s">
        <v>1230</v>
      </c>
      <c r="M655" s="524" t="s">
        <v>1231</v>
      </c>
      <c r="N655" s="524" t="s">
        <v>1192</v>
      </c>
      <c r="O655" s="524" t="s">
        <v>1193</v>
      </c>
      <c r="P655" s="526">
        <v>46210</v>
      </c>
      <c r="S655" s="527">
        <v>0</v>
      </c>
    </row>
    <row r="656" spans="1:19" x14ac:dyDescent="0.2">
      <c r="A656" s="524">
        <v>69420</v>
      </c>
      <c r="B656" s="526">
        <v>46210</v>
      </c>
      <c r="C656" s="524" t="s">
        <v>1148</v>
      </c>
      <c r="D656" s="524" t="s">
        <v>1226</v>
      </c>
      <c r="E656" s="524" t="s">
        <v>1674</v>
      </c>
      <c r="F656" s="524" t="s">
        <v>1170</v>
      </c>
      <c r="G656" s="524" t="s">
        <v>1102</v>
      </c>
      <c r="H656" s="527">
        <v>268.49</v>
      </c>
      <c r="I656" s="524" t="s">
        <v>1148</v>
      </c>
      <c r="J656" s="524">
        <f>IF(cmf[[#This Row],[D/C]]="C",cmf[[#This Row],[Valor]],-1*cmf[[#This Row],[Valor]])</f>
        <v>268.49</v>
      </c>
      <c r="L656" s="524" t="s">
        <v>1230</v>
      </c>
      <c r="M656" s="524" t="s">
        <v>1231</v>
      </c>
      <c r="N656" s="524" t="s">
        <v>1192</v>
      </c>
      <c r="O656" s="524" t="s">
        <v>1193</v>
      </c>
      <c r="P656" s="526">
        <v>46210</v>
      </c>
      <c r="S656" s="527">
        <v>0</v>
      </c>
    </row>
    <row r="657" spans="1:19" x14ac:dyDescent="0.2">
      <c r="A657" s="524">
        <v>69421</v>
      </c>
      <c r="B657" s="526">
        <v>46210</v>
      </c>
      <c r="C657" s="524" t="s">
        <v>1148</v>
      </c>
      <c r="D657" s="524" t="s">
        <v>1226</v>
      </c>
      <c r="E657" s="524" t="s">
        <v>1675</v>
      </c>
      <c r="F657" s="524" t="s">
        <v>1170</v>
      </c>
      <c r="G657" s="524" t="s">
        <v>1102</v>
      </c>
      <c r="H657" s="527">
        <v>638.94000000000005</v>
      </c>
      <c r="I657" s="524" t="s">
        <v>1148</v>
      </c>
      <c r="J657" s="524">
        <f>IF(cmf[[#This Row],[D/C]]="C",cmf[[#This Row],[Valor]],-1*cmf[[#This Row],[Valor]])</f>
        <v>638.94000000000005</v>
      </c>
      <c r="L657" s="524" t="s">
        <v>1230</v>
      </c>
      <c r="M657" s="524" t="s">
        <v>1231</v>
      </c>
      <c r="N657" s="524" t="s">
        <v>1192</v>
      </c>
      <c r="O657" s="524" t="s">
        <v>1193</v>
      </c>
      <c r="P657" s="526">
        <v>46210</v>
      </c>
      <c r="S657" s="527">
        <v>0</v>
      </c>
    </row>
    <row r="658" spans="1:19" x14ac:dyDescent="0.2">
      <c r="A658" s="524">
        <v>69422</v>
      </c>
      <c r="B658" s="526">
        <v>46210</v>
      </c>
      <c r="C658" s="524" t="s">
        <v>1148</v>
      </c>
      <c r="D658" s="524" t="s">
        <v>1226</v>
      </c>
      <c r="E658" s="524" t="s">
        <v>1676</v>
      </c>
      <c r="F658" s="524" t="s">
        <v>1170</v>
      </c>
      <c r="G658" s="524" t="s">
        <v>1102</v>
      </c>
      <c r="H658" s="527">
        <v>922.32</v>
      </c>
      <c r="I658" s="524" t="s">
        <v>1148</v>
      </c>
      <c r="J658" s="524">
        <f>IF(cmf[[#This Row],[D/C]]="C",cmf[[#This Row],[Valor]],-1*cmf[[#This Row],[Valor]])</f>
        <v>922.32</v>
      </c>
      <c r="L658" s="524" t="s">
        <v>1230</v>
      </c>
      <c r="M658" s="524" t="s">
        <v>1231</v>
      </c>
      <c r="N658" s="524" t="s">
        <v>1192</v>
      </c>
      <c r="O658" s="524" t="s">
        <v>1193</v>
      </c>
      <c r="P658" s="526">
        <v>46210</v>
      </c>
      <c r="S658" s="527">
        <v>0</v>
      </c>
    </row>
    <row r="659" spans="1:19" x14ac:dyDescent="0.2">
      <c r="A659" s="524">
        <v>69423</v>
      </c>
      <c r="B659" s="526">
        <v>46210</v>
      </c>
      <c r="C659" s="524" t="s">
        <v>1148</v>
      </c>
      <c r="D659" s="524" t="s">
        <v>1226</v>
      </c>
      <c r="E659" s="524" t="s">
        <v>1677</v>
      </c>
      <c r="F659" s="524" t="s">
        <v>1170</v>
      </c>
      <c r="G659" s="524" t="s">
        <v>1102</v>
      </c>
      <c r="H659" s="527">
        <v>615</v>
      </c>
      <c r="I659" s="524" t="s">
        <v>1148</v>
      </c>
      <c r="J659" s="524">
        <f>IF(cmf[[#This Row],[D/C]]="C",cmf[[#This Row],[Valor]],-1*cmf[[#This Row],[Valor]])</f>
        <v>615</v>
      </c>
      <c r="L659" s="524" t="s">
        <v>1230</v>
      </c>
      <c r="M659" s="524" t="s">
        <v>1231</v>
      </c>
      <c r="N659" s="524" t="s">
        <v>1192</v>
      </c>
      <c r="O659" s="524" t="s">
        <v>1193</v>
      </c>
      <c r="P659" s="526">
        <v>46210</v>
      </c>
      <c r="S659" s="527">
        <v>0</v>
      </c>
    </row>
    <row r="660" spans="1:19" x14ac:dyDescent="0.2">
      <c r="A660" s="524">
        <v>69424</v>
      </c>
      <c r="B660" s="526">
        <v>46210</v>
      </c>
      <c r="C660" s="524" t="s">
        <v>1148</v>
      </c>
      <c r="D660" s="524" t="s">
        <v>1226</v>
      </c>
      <c r="E660" s="524" t="s">
        <v>1678</v>
      </c>
      <c r="F660" s="524" t="s">
        <v>1170</v>
      </c>
      <c r="G660" s="524" t="s">
        <v>1102</v>
      </c>
      <c r="H660" s="527">
        <v>676.41</v>
      </c>
      <c r="I660" s="524" t="s">
        <v>1148</v>
      </c>
      <c r="J660" s="524">
        <f>IF(cmf[[#This Row],[D/C]]="C",cmf[[#This Row],[Valor]],-1*cmf[[#This Row],[Valor]])</f>
        <v>676.41</v>
      </c>
      <c r="L660" s="524" t="s">
        <v>1230</v>
      </c>
      <c r="M660" s="524" t="s">
        <v>1231</v>
      </c>
      <c r="N660" s="524" t="s">
        <v>1192</v>
      </c>
      <c r="O660" s="524" t="s">
        <v>1193</v>
      </c>
      <c r="P660" s="526">
        <v>46210</v>
      </c>
      <c r="S660" s="527">
        <v>0</v>
      </c>
    </row>
    <row r="661" spans="1:19" x14ac:dyDescent="0.2">
      <c r="A661" s="524">
        <v>69425</v>
      </c>
      <c r="B661" s="526">
        <v>46210</v>
      </c>
      <c r="C661" s="524" t="s">
        <v>1148</v>
      </c>
      <c r="D661" s="524" t="s">
        <v>1226</v>
      </c>
      <c r="E661" s="524" t="s">
        <v>1679</v>
      </c>
      <c r="F661" s="524" t="s">
        <v>1170</v>
      </c>
      <c r="G661" s="524" t="s">
        <v>1102</v>
      </c>
      <c r="H661" s="527">
        <v>199.5</v>
      </c>
      <c r="I661" s="524" t="s">
        <v>1148</v>
      </c>
      <c r="J661" s="524">
        <f>IF(cmf[[#This Row],[D/C]]="C",cmf[[#This Row],[Valor]],-1*cmf[[#This Row],[Valor]])</f>
        <v>199.5</v>
      </c>
      <c r="L661" s="524" t="s">
        <v>1230</v>
      </c>
      <c r="M661" s="524" t="s">
        <v>1231</v>
      </c>
      <c r="N661" s="524" t="s">
        <v>1192</v>
      </c>
      <c r="O661" s="524" t="s">
        <v>1193</v>
      </c>
      <c r="P661" s="526">
        <v>46210</v>
      </c>
      <c r="S661" s="527">
        <v>0</v>
      </c>
    </row>
    <row r="662" spans="1:19" x14ac:dyDescent="0.2">
      <c r="A662" s="524">
        <v>69426</v>
      </c>
      <c r="B662" s="526">
        <v>46210</v>
      </c>
      <c r="C662" s="524" t="s">
        <v>1148</v>
      </c>
      <c r="D662" s="524" t="s">
        <v>1226</v>
      </c>
      <c r="E662" s="524" t="s">
        <v>1680</v>
      </c>
      <c r="F662" s="524" t="s">
        <v>1170</v>
      </c>
      <c r="G662" s="524" t="s">
        <v>1102</v>
      </c>
      <c r="H662" s="527">
        <v>860.62</v>
      </c>
      <c r="I662" s="524" t="s">
        <v>1148</v>
      </c>
      <c r="J662" s="524">
        <f>IF(cmf[[#This Row],[D/C]]="C",cmf[[#This Row],[Valor]],-1*cmf[[#This Row],[Valor]])</f>
        <v>860.62</v>
      </c>
      <c r="L662" s="524" t="s">
        <v>1230</v>
      </c>
      <c r="M662" s="524" t="s">
        <v>1231</v>
      </c>
      <c r="N662" s="524" t="s">
        <v>1192</v>
      </c>
      <c r="O662" s="524" t="s">
        <v>1193</v>
      </c>
      <c r="P662" s="526">
        <v>46210</v>
      </c>
      <c r="S662" s="527">
        <v>0</v>
      </c>
    </row>
    <row r="663" spans="1:19" x14ac:dyDescent="0.2">
      <c r="A663" s="524">
        <v>69427</v>
      </c>
      <c r="B663" s="526">
        <v>46210</v>
      </c>
      <c r="C663" s="524" t="s">
        <v>1148</v>
      </c>
      <c r="D663" s="524" t="s">
        <v>1226</v>
      </c>
      <c r="E663" s="524" t="s">
        <v>1681</v>
      </c>
      <c r="F663" s="524" t="s">
        <v>1170</v>
      </c>
      <c r="G663" s="524" t="s">
        <v>1102</v>
      </c>
      <c r="H663" s="527">
        <v>212.12</v>
      </c>
      <c r="I663" s="524" t="s">
        <v>1148</v>
      </c>
      <c r="J663" s="524">
        <f>IF(cmf[[#This Row],[D/C]]="C",cmf[[#This Row],[Valor]],-1*cmf[[#This Row],[Valor]])</f>
        <v>212.12</v>
      </c>
      <c r="L663" s="524" t="s">
        <v>1230</v>
      </c>
      <c r="M663" s="524" t="s">
        <v>1231</v>
      </c>
      <c r="N663" s="524" t="s">
        <v>1192</v>
      </c>
      <c r="O663" s="524" t="s">
        <v>1193</v>
      </c>
      <c r="P663" s="526">
        <v>46210</v>
      </c>
      <c r="S663" s="527">
        <v>0</v>
      </c>
    </row>
    <row r="664" spans="1:19" x14ac:dyDescent="0.2">
      <c r="A664" s="524">
        <v>69470</v>
      </c>
      <c r="B664" s="526">
        <v>46210</v>
      </c>
      <c r="C664" s="524" t="s">
        <v>1148</v>
      </c>
      <c r="D664" s="524" t="s">
        <v>1243</v>
      </c>
      <c r="E664" s="524" t="s">
        <v>1244</v>
      </c>
      <c r="F664" s="524" t="s">
        <v>1183</v>
      </c>
      <c r="G664" s="524" t="s">
        <v>766</v>
      </c>
      <c r="H664" s="527">
        <v>9139.08</v>
      </c>
      <c r="I664" s="524" t="s">
        <v>1148</v>
      </c>
      <c r="J664" s="524">
        <f>IF(cmf[[#This Row],[D/C]]="C",cmf[[#This Row],[Valor]],-1*cmf[[#This Row],[Valor]])</f>
        <v>9139.08</v>
      </c>
      <c r="L664" s="524" t="s">
        <v>1245</v>
      </c>
      <c r="M664" s="524" t="s">
        <v>1246</v>
      </c>
      <c r="N664" s="524" t="s">
        <v>1200</v>
      </c>
      <c r="O664" s="524" t="s">
        <v>1201</v>
      </c>
      <c r="P664" s="526">
        <v>46210</v>
      </c>
      <c r="S664" s="527">
        <v>0</v>
      </c>
    </row>
    <row r="665" spans="1:19" x14ac:dyDescent="0.2">
      <c r="A665" s="524">
        <v>69471</v>
      </c>
      <c r="B665" s="526">
        <v>46210</v>
      </c>
      <c r="C665" s="524" t="s">
        <v>1148</v>
      </c>
      <c r="D665" s="524" t="s">
        <v>1243</v>
      </c>
      <c r="E665" s="524" t="s">
        <v>1244</v>
      </c>
      <c r="F665" s="524" t="s">
        <v>1183</v>
      </c>
      <c r="G665" s="524" t="s">
        <v>766</v>
      </c>
      <c r="H665" s="527">
        <v>0.08</v>
      </c>
      <c r="I665" s="524" t="s">
        <v>1148</v>
      </c>
      <c r="J665" s="524">
        <f>IF(cmf[[#This Row],[D/C]]="C",cmf[[#This Row],[Valor]],-1*cmf[[#This Row],[Valor]])</f>
        <v>0.08</v>
      </c>
      <c r="L665" s="524" t="s">
        <v>1245</v>
      </c>
      <c r="M665" s="524" t="s">
        <v>1246</v>
      </c>
      <c r="N665" s="524" t="s">
        <v>1200</v>
      </c>
      <c r="O665" s="524" t="s">
        <v>1201</v>
      </c>
      <c r="P665" s="526">
        <v>46210</v>
      </c>
      <c r="S665" s="527">
        <v>0</v>
      </c>
    </row>
    <row r="666" spans="1:19" x14ac:dyDescent="0.2">
      <c r="A666" s="524">
        <v>69482</v>
      </c>
      <c r="B666" s="526">
        <v>46210</v>
      </c>
      <c r="C666" s="524" t="s">
        <v>1148</v>
      </c>
      <c r="D666" s="524" t="s">
        <v>1186</v>
      </c>
      <c r="E666" s="524" t="s">
        <v>1682</v>
      </c>
      <c r="F666" s="524" t="s">
        <v>1183</v>
      </c>
      <c r="G666" s="524" t="s">
        <v>766</v>
      </c>
      <c r="H666" s="527">
        <v>4020.58</v>
      </c>
      <c r="I666" s="524" t="s">
        <v>1174</v>
      </c>
      <c r="J666" s="524">
        <f>IF(cmf[[#This Row],[D/C]]="C",cmf[[#This Row],[Valor]],-1*cmf[[#This Row],[Valor]])</f>
        <v>-4020.58</v>
      </c>
      <c r="L666" s="524" t="s">
        <v>1188</v>
      </c>
      <c r="M666" s="524" t="s">
        <v>1189</v>
      </c>
      <c r="N666" s="524" t="s">
        <v>1200</v>
      </c>
      <c r="O666" s="524" t="s">
        <v>1201</v>
      </c>
      <c r="P666" s="526">
        <v>46210</v>
      </c>
      <c r="S666" s="527">
        <v>0</v>
      </c>
    </row>
    <row r="667" spans="1:19" x14ac:dyDescent="0.2">
      <c r="A667" s="524">
        <v>69483</v>
      </c>
      <c r="B667" s="526">
        <v>46210</v>
      </c>
      <c r="C667" s="524" t="s">
        <v>1148</v>
      </c>
      <c r="D667" s="524" t="s">
        <v>1186</v>
      </c>
      <c r="E667" s="524" t="s">
        <v>1683</v>
      </c>
      <c r="F667" s="524" t="s">
        <v>1183</v>
      </c>
      <c r="G667" s="524" t="s">
        <v>766</v>
      </c>
      <c r="H667" s="527">
        <v>4020.58</v>
      </c>
      <c r="I667" s="524" t="s">
        <v>1174</v>
      </c>
      <c r="J667" s="524">
        <f>IF(cmf[[#This Row],[D/C]]="C",cmf[[#This Row],[Valor]],-1*cmf[[#This Row],[Valor]])</f>
        <v>-4020.58</v>
      </c>
      <c r="L667" s="524" t="s">
        <v>1188</v>
      </c>
      <c r="M667" s="524" t="s">
        <v>1189</v>
      </c>
      <c r="N667" s="524" t="s">
        <v>1200</v>
      </c>
      <c r="O667" s="524" t="s">
        <v>1201</v>
      </c>
      <c r="P667" s="526">
        <v>46210</v>
      </c>
      <c r="S667" s="527">
        <v>0</v>
      </c>
    </row>
    <row r="668" spans="1:19" x14ac:dyDescent="0.2">
      <c r="A668" s="524">
        <v>69643</v>
      </c>
      <c r="B668" s="526">
        <v>46210</v>
      </c>
      <c r="C668" s="524" t="s">
        <v>1162</v>
      </c>
      <c r="D668" s="524" t="s">
        <v>1186</v>
      </c>
      <c r="E668" s="524" t="s">
        <v>1684</v>
      </c>
      <c r="F668" s="524" t="s">
        <v>1170</v>
      </c>
      <c r="G668" s="524" t="s">
        <v>775</v>
      </c>
      <c r="H668" s="527">
        <v>2711.68</v>
      </c>
      <c r="I668" s="524" t="s">
        <v>1174</v>
      </c>
      <c r="J668" s="524">
        <f>IF(cmf[[#This Row],[D/C]]="C",cmf[[#This Row],[Valor]],-1*cmf[[#This Row],[Valor]])</f>
        <v>-2711.68</v>
      </c>
      <c r="L668" s="524" t="s">
        <v>1188</v>
      </c>
      <c r="M668" s="524" t="s">
        <v>1189</v>
      </c>
      <c r="N668" s="524" t="s">
        <v>1212</v>
      </c>
      <c r="O668" s="524" t="s">
        <v>1213</v>
      </c>
      <c r="P668" s="526"/>
      <c r="S668" s="527">
        <v>0</v>
      </c>
    </row>
    <row r="669" spans="1:19" x14ac:dyDescent="0.2">
      <c r="A669" s="524">
        <v>69644</v>
      </c>
      <c r="B669" s="526">
        <v>46210</v>
      </c>
      <c r="C669" s="524" t="s">
        <v>1162</v>
      </c>
      <c r="D669" s="524" t="s">
        <v>1186</v>
      </c>
      <c r="E669" s="524" t="s">
        <v>1685</v>
      </c>
      <c r="F669" s="524" t="s">
        <v>1183</v>
      </c>
      <c r="G669" s="524" t="s">
        <v>776</v>
      </c>
      <c r="H669" s="527">
        <v>2000</v>
      </c>
      <c r="I669" s="524" t="s">
        <v>1174</v>
      </c>
      <c r="J669" s="524">
        <f>IF(cmf[[#This Row],[D/C]]="C",cmf[[#This Row],[Valor]],-1*cmf[[#This Row],[Valor]])</f>
        <v>-2000</v>
      </c>
      <c r="L669" s="524" t="s">
        <v>1188</v>
      </c>
      <c r="M669" s="524" t="s">
        <v>1189</v>
      </c>
      <c r="N669" s="524" t="s">
        <v>1212</v>
      </c>
      <c r="O669" s="524" t="s">
        <v>1213</v>
      </c>
      <c r="P669" s="526"/>
      <c r="S669" s="527">
        <v>0</v>
      </c>
    </row>
    <row r="670" spans="1:19" x14ac:dyDescent="0.2">
      <c r="A670" s="524">
        <v>69785</v>
      </c>
      <c r="B670" s="526">
        <v>46210</v>
      </c>
      <c r="C670" s="524" t="s">
        <v>1148</v>
      </c>
      <c r="D670" s="524" t="s">
        <v>1163</v>
      </c>
      <c r="E670" s="524" t="s">
        <v>1164</v>
      </c>
      <c r="F670" s="524" t="s">
        <v>1170</v>
      </c>
      <c r="G670" s="524" t="s">
        <v>802</v>
      </c>
      <c r="H670" s="527">
        <v>465268.82</v>
      </c>
      <c r="I670" s="524" t="s">
        <v>1148</v>
      </c>
      <c r="J670" s="524">
        <f>IF(cmf[[#This Row],[D/C]]="C",cmf[[#This Row],[Valor]],-1*cmf[[#This Row],[Valor]])</f>
        <v>465268.82</v>
      </c>
      <c r="L670" s="524" t="s">
        <v>1166</v>
      </c>
      <c r="M670" s="524" t="s">
        <v>1167</v>
      </c>
      <c r="N670" s="524" t="s">
        <v>1192</v>
      </c>
      <c r="O670" s="524" t="s">
        <v>1193</v>
      </c>
      <c r="P670" s="526">
        <v>46210</v>
      </c>
      <c r="S670" s="527">
        <v>0</v>
      </c>
    </row>
    <row r="671" spans="1:19" x14ac:dyDescent="0.2">
      <c r="A671" s="524">
        <v>69786</v>
      </c>
      <c r="B671" s="526">
        <v>46210</v>
      </c>
      <c r="C671" s="524" t="s">
        <v>1148</v>
      </c>
      <c r="D671" s="524" t="s">
        <v>1163</v>
      </c>
      <c r="E671" s="524" t="s">
        <v>1164</v>
      </c>
      <c r="F671" s="524" t="s">
        <v>1170</v>
      </c>
      <c r="G671" s="524" t="s">
        <v>802</v>
      </c>
      <c r="H671" s="527">
        <v>5508.62</v>
      </c>
      <c r="I671" s="524" t="s">
        <v>1148</v>
      </c>
      <c r="J671" s="524">
        <f>IF(cmf[[#This Row],[D/C]]="C",cmf[[#This Row],[Valor]],-1*cmf[[#This Row],[Valor]])</f>
        <v>5508.62</v>
      </c>
      <c r="L671" s="524" t="s">
        <v>1166</v>
      </c>
      <c r="M671" s="524" t="s">
        <v>1167</v>
      </c>
      <c r="N671" s="524" t="s">
        <v>1192</v>
      </c>
      <c r="O671" s="524" t="s">
        <v>1193</v>
      </c>
      <c r="P671" s="526">
        <v>46210</v>
      </c>
      <c r="S671" s="527">
        <v>0</v>
      </c>
    </row>
    <row r="672" spans="1:19" x14ac:dyDescent="0.2">
      <c r="A672" s="524">
        <v>69865</v>
      </c>
      <c r="B672" s="526">
        <v>46210</v>
      </c>
      <c r="C672" s="524" t="s">
        <v>1148</v>
      </c>
      <c r="D672" s="524" t="s">
        <v>1243</v>
      </c>
      <c r="E672" s="524" t="s">
        <v>1244</v>
      </c>
      <c r="F672" s="524" t="s">
        <v>1183</v>
      </c>
      <c r="G672" s="524" t="s">
        <v>769</v>
      </c>
      <c r="H672" s="527">
        <v>13422.22</v>
      </c>
      <c r="I672" s="524" t="s">
        <v>1148</v>
      </c>
      <c r="J672" s="524">
        <f>IF(cmf[[#This Row],[D/C]]="C",cmf[[#This Row],[Valor]],-1*cmf[[#This Row],[Valor]])</f>
        <v>13422.22</v>
      </c>
      <c r="L672" s="524" t="s">
        <v>1245</v>
      </c>
      <c r="M672" s="524" t="s">
        <v>1246</v>
      </c>
      <c r="N672" s="524" t="s">
        <v>1219</v>
      </c>
      <c r="O672" s="524" t="s">
        <v>1220</v>
      </c>
      <c r="P672" s="526">
        <v>46210</v>
      </c>
      <c r="S672" s="527">
        <v>0</v>
      </c>
    </row>
    <row r="673" spans="1:19" x14ac:dyDescent="0.2">
      <c r="A673" s="524">
        <v>69871</v>
      </c>
      <c r="B673" s="526">
        <v>46210</v>
      </c>
      <c r="C673" s="524" t="s">
        <v>1148</v>
      </c>
      <c r="D673" s="524" t="s">
        <v>1243</v>
      </c>
      <c r="E673" s="524" t="s">
        <v>1244</v>
      </c>
      <c r="F673" s="524" t="s">
        <v>1183</v>
      </c>
      <c r="G673" s="524" t="s">
        <v>769</v>
      </c>
      <c r="H673" s="527">
        <v>0.18</v>
      </c>
      <c r="I673" s="524" t="s">
        <v>1148</v>
      </c>
      <c r="J673" s="524">
        <f>IF(cmf[[#This Row],[D/C]]="C",cmf[[#This Row],[Valor]],-1*cmf[[#This Row],[Valor]])</f>
        <v>0.18</v>
      </c>
      <c r="L673" s="524" t="s">
        <v>1245</v>
      </c>
      <c r="M673" s="524" t="s">
        <v>1246</v>
      </c>
      <c r="N673" s="524" t="s">
        <v>1219</v>
      </c>
      <c r="O673" s="524" t="s">
        <v>1220</v>
      </c>
      <c r="P673" s="526">
        <v>46210</v>
      </c>
      <c r="S673" s="527">
        <v>0</v>
      </c>
    </row>
    <row r="674" spans="1:19" x14ac:dyDescent="0.2">
      <c r="A674" s="524">
        <v>69894</v>
      </c>
      <c r="B674" s="526">
        <v>46210</v>
      </c>
      <c r="C674" s="524" t="s">
        <v>1148</v>
      </c>
      <c r="D674" s="524" t="s">
        <v>1186</v>
      </c>
      <c r="E674" s="524" t="s">
        <v>1686</v>
      </c>
      <c r="F674" s="524" t="s">
        <v>1183</v>
      </c>
      <c r="G674" s="524" t="s">
        <v>800</v>
      </c>
      <c r="H674" s="527">
        <v>13120</v>
      </c>
      <c r="I674" s="524" t="s">
        <v>1174</v>
      </c>
      <c r="J674" s="524">
        <f>IF(cmf[[#This Row],[D/C]]="C",cmf[[#This Row],[Valor]],-1*cmf[[#This Row],[Valor]])</f>
        <v>-13120</v>
      </c>
      <c r="L674" s="524" t="s">
        <v>1188</v>
      </c>
      <c r="M674" s="524" t="s">
        <v>1189</v>
      </c>
      <c r="N674" s="524" t="s">
        <v>1171</v>
      </c>
      <c r="O674" s="524" t="s">
        <v>1172</v>
      </c>
      <c r="P674" s="526">
        <v>46210</v>
      </c>
      <c r="S674" s="527">
        <v>0</v>
      </c>
    </row>
    <row r="675" spans="1:19" x14ac:dyDescent="0.2">
      <c r="A675" s="524">
        <v>69895</v>
      </c>
      <c r="B675" s="526">
        <v>46210</v>
      </c>
      <c r="C675" s="524" t="s">
        <v>1162</v>
      </c>
      <c r="D675" s="524" t="s">
        <v>1186</v>
      </c>
      <c r="E675" s="524" t="s">
        <v>1687</v>
      </c>
      <c r="F675" s="524" t="s">
        <v>1328</v>
      </c>
      <c r="G675" s="524" t="s">
        <v>1229</v>
      </c>
      <c r="H675" s="527">
        <v>0</v>
      </c>
      <c r="I675" s="524" t="s">
        <v>1174</v>
      </c>
      <c r="J675" s="524">
        <f>IF(cmf[[#This Row],[D/C]]="C",cmf[[#This Row],[Valor]],-1*cmf[[#This Row],[Valor]])</f>
        <v>0</v>
      </c>
      <c r="L675" s="524" t="s">
        <v>1188</v>
      </c>
      <c r="M675" s="524" t="s">
        <v>1189</v>
      </c>
      <c r="N675" s="524" t="s">
        <v>1171</v>
      </c>
      <c r="O675" s="524" t="s">
        <v>1172</v>
      </c>
      <c r="P675" s="526"/>
      <c r="S675" s="527">
        <v>0</v>
      </c>
    </row>
    <row r="676" spans="1:19" x14ac:dyDescent="0.2">
      <c r="A676" s="524">
        <v>69896</v>
      </c>
      <c r="B676" s="526">
        <v>46210</v>
      </c>
      <c r="C676" s="524" t="s">
        <v>1162</v>
      </c>
      <c r="D676" s="524" t="s">
        <v>1163</v>
      </c>
      <c r="E676" s="524" t="s">
        <v>1164</v>
      </c>
      <c r="F676" s="524" t="s">
        <v>1111</v>
      </c>
      <c r="G676" s="524" t="s">
        <v>1110</v>
      </c>
      <c r="H676" s="527">
        <v>42761.72</v>
      </c>
      <c r="I676" s="524" t="s">
        <v>1148</v>
      </c>
      <c r="J676" s="524">
        <f>IF(cmf[[#This Row],[D/C]]="C",cmf[[#This Row],[Valor]],-1*cmf[[#This Row],[Valor]])</f>
        <v>42761.72</v>
      </c>
      <c r="L676" s="524" t="s">
        <v>1166</v>
      </c>
      <c r="M676" s="524" t="s">
        <v>1167</v>
      </c>
      <c r="N676" s="524" t="s">
        <v>1219</v>
      </c>
      <c r="O676" s="524" t="s">
        <v>1220</v>
      </c>
      <c r="P676" s="526"/>
      <c r="S676" s="527">
        <v>0</v>
      </c>
    </row>
    <row r="677" spans="1:19" x14ac:dyDescent="0.2">
      <c r="A677" s="524">
        <v>70206</v>
      </c>
      <c r="B677" s="526">
        <v>46210</v>
      </c>
      <c r="C677" s="524" t="s">
        <v>1148</v>
      </c>
      <c r="D677" s="524" t="s">
        <v>1243</v>
      </c>
      <c r="E677" s="524" t="s">
        <v>1244</v>
      </c>
      <c r="F677" s="524" t="s">
        <v>1183</v>
      </c>
      <c r="G677" s="524" t="s">
        <v>758</v>
      </c>
      <c r="H677" s="527">
        <v>9042.9</v>
      </c>
      <c r="I677" s="524" t="s">
        <v>1148</v>
      </c>
      <c r="J677" s="524">
        <f>IF(cmf[[#This Row],[D/C]]="C",cmf[[#This Row],[Valor]],-1*cmf[[#This Row],[Valor]])</f>
        <v>9042.9</v>
      </c>
      <c r="L677" s="524" t="s">
        <v>1245</v>
      </c>
      <c r="M677" s="524" t="s">
        <v>1246</v>
      </c>
      <c r="N677" s="524" t="s">
        <v>1223</v>
      </c>
      <c r="O677" s="524" t="s">
        <v>1224</v>
      </c>
      <c r="P677" s="526">
        <v>46210</v>
      </c>
      <c r="S677" s="527">
        <v>0</v>
      </c>
    </row>
    <row r="678" spans="1:19" x14ac:dyDescent="0.2">
      <c r="A678" s="524">
        <v>70212</v>
      </c>
      <c r="B678" s="526">
        <v>46210</v>
      </c>
      <c r="C678" s="524" t="s">
        <v>1148</v>
      </c>
      <c r="D678" s="524" t="s">
        <v>1243</v>
      </c>
      <c r="E678" s="524" t="s">
        <v>1244</v>
      </c>
      <c r="F678" s="524" t="s">
        <v>1183</v>
      </c>
      <c r="G678" s="524" t="s">
        <v>758</v>
      </c>
      <c r="H678" s="527">
        <v>0.2</v>
      </c>
      <c r="I678" s="524" t="s">
        <v>1148</v>
      </c>
      <c r="J678" s="524">
        <f>IF(cmf[[#This Row],[D/C]]="C",cmf[[#This Row],[Valor]],-1*cmf[[#This Row],[Valor]])</f>
        <v>0.2</v>
      </c>
      <c r="L678" s="524" t="s">
        <v>1245</v>
      </c>
      <c r="M678" s="524" t="s">
        <v>1246</v>
      </c>
      <c r="N678" s="524" t="s">
        <v>1223</v>
      </c>
      <c r="O678" s="524" t="s">
        <v>1224</v>
      </c>
      <c r="P678" s="526">
        <v>46210</v>
      </c>
      <c r="S678" s="527">
        <v>0</v>
      </c>
    </row>
    <row r="679" spans="1:19" x14ac:dyDescent="0.2">
      <c r="A679" s="524">
        <v>70223</v>
      </c>
      <c r="B679" s="526">
        <v>46210</v>
      </c>
      <c r="C679" s="524" t="s">
        <v>1148</v>
      </c>
      <c r="D679" s="524" t="s">
        <v>1243</v>
      </c>
      <c r="E679" s="524" t="s">
        <v>1244</v>
      </c>
      <c r="F679" s="524" t="s">
        <v>1183</v>
      </c>
      <c r="G679" s="524" t="s">
        <v>763</v>
      </c>
      <c r="H679" s="527">
        <v>433.72</v>
      </c>
      <c r="I679" s="524" t="s">
        <v>1148</v>
      </c>
      <c r="J679" s="524">
        <f>IF(cmf[[#This Row],[D/C]]="C",cmf[[#This Row],[Valor]],-1*cmf[[#This Row],[Valor]])</f>
        <v>433.72</v>
      </c>
      <c r="L679" s="524" t="s">
        <v>1245</v>
      </c>
      <c r="M679" s="524" t="s">
        <v>1246</v>
      </c>
      <c r="N679" s="524" t="s">
        <v>1180</v>
      </c>
      <c r="O679" s="524" t="s">
        <v>1181</v>
      </c>
      <c r="P679" s="526">
        <v>46210</v>
      </c>
      <c r="S679" s="527">
        <v>0</v>
      </c>
    </row>
    <row r="680" spans="1:19" x14ac:dyDescent="0.2">
      <c r="A680" s="524">
        <v>70227</v>
      </c>
      <c r="B680" s="526">
        <v>46210</v>
      </c>
      <c r="C680" s="524" t="s">
        <v>1148</v>
      </c>
      <c r="D680" s="524" t="s">
        <v>1243</v>
      </c>
      <c r="E680" s="524" t="s">
        <v>1244</v>
      </c>
      <c r="F680" s="524" t="s">
        <v>1183</v>
      </c>
      <c r="G680" s="524" t="s">
        <v>763</v>
      </c>
      <c r="H680" s="527">
        <v>0.01</v>
      </c>
      <c r="I680" s="524" t="s">
        <v>1148</v>
      </c>
      <c r="J680" s="524">
        <f>IF(cmf[[#This Row],[D/C]]="C",cmf[[#This Row],[Valor]],-1*cmf[[#This Row],[Valor]])</f>
        <v>0.01</v>
      </c>
      <c r="L680" s="524" t="s">
        <v>1245</v>
      </c>
      <c r="M680" s="524" t="s">
        <v>1246</v>
      </c>
      <c r="N680" s="524" t="s">
        <v>1180</v>
      </c>
      <c r="O680" s="524" t="s">
        <v>1181</v>
      </c>
      <c r="P680" s="526">
        <v>46210</v>
      </c>
      <c r="S680" s="527">
        <v>0</v>
      </c>
    </row>
    <row r="681" spans="1:19" x14ac:dyDescent="0.2">
      <c r="A681" s="524">
        <v>70234</v>
      </c>
      <c r="B681" s="526">
        <v>46210</v>
      </c>
      <c r="C681" s="524" t="s">
        <v>1148</v>
      </c>
      <c r="D681" s="524" t="s">
        <v>1243</v>
      </c>
      <c r="E681" s="524" t="s">
        <v>1244</v>
      </c>
      <c r="F681" s="524" t="s">
        <v>1183</v>
      </c>
      <c r="G681" s="524" t="s">
        <v>806</v>
      </c>
      <c r="H681" s="527">
        <v>43104.51</v>
      </c>
      <c r="I681" s="524" t="s">
        <v>1148</v>
      </c>
      <c r="J681" s="524">
        <f>IF(cmf[[#This Row],[D/C]]="C",cmf[[#This Row],[Valor]],-1*cmf[[#This Row],[Valor]])</f>
        <v>43104.51</v>
      </c>
      <c r="L681" s="524" t="s">
        <v>1245</v>
      </c>
      <c r="M681" s="524" t="s">
        <v>1246</v>
      </c>
      <c r="N681" s="524" t="s">
        <v>1283</v>
      </c>
      <c r="O681" s="524" t="s">
        <v>1284</v>
      </c>
      <c r="P681" s="526">
        <v>46210</v>
      </c>
      <c r="S681" s="527">
        <v>0</v>
      </c>
    </row>
    <row r="682" spans="1:19" x14ac:dyDescent="0.2">
      <c r="A682" s="524">
        <v>70239</v>
      </c>
      <c r="B682" s="526">
        <v>46210</v>
      </c>
      <c r="C682" s="524" t="s">
        <v>1148</v>
      </c>
      <c r="D682" s="524" t="s">
        <v>1243</v>
      </c>
      <c r="E682" s="524" t="s">
        <v>1244</v>
      </c>
      <c r="F682" s="524" t="s">
        <v>1183</v>
      </c>
      <c r="G682" s="524" t="s">
        <v>806</v>
      </c>
      <c r="H682" s="527">
        <v>0.18</v>
      </c>
      <c r="I682" s="524" t="s">
        <v>1148</v>
      </c>
      <c r="J682" s="524">
        <f>IF(cmf[[#This Row],[D/C]]="C",cmf[[#This Row],[Valor]],-1*cmf[[#This Row],[Valor]])</f>
        <v>0.18</v>
      </c>
      <c r="L682" s="524" t="s">
        <v>1245</v>
      </c>
      <c r="M682" s="524" t="s">
        <v>1246</v>
      </c>
      <c r="N682" s="524" t="s">
        <v>1283</v>
      </c>
      <c r="O682" s="524" t="s">
        <v>1284</v>
      </c>
      <c r="P682" s="526">
        <v>46210</v>
      </c>
      <c r="S682" s="527">
        <v>0</v>
      </c>
    </row>
    <row r="683" spans="1:19" x14ac:dyDescent="0.2">
      <c r="A683" s="524">
        <v>70247</v>
      </c>
      <c r="B683" s="526">
        <v>46210</v>
      </c>
      <c r="C683" s="524" t="s">
        <v>1148</v>
      </c>
      <c r="D683" s="524" t="s">
        <v>1239</v>
      </c>
      <c r="E683" s="524" t="s">
        <v>1255</v>
      </c>
      <c r="F683" s="524" t="s">
        <v>1170</v>
      </c>
      <c r="G683" s="524" t="s">
        <v>768</v>
      </c>
      <c r="H683" s="527">
        <v>1</v>
      </c>
      <c r="I683" s="524" t="s">
        <v>1174</v>
      </c>
      <c r="J683" s="524">
        <f>IF(cmf[[#This Row],[D/C]]="C",cmf[[#This Row],[Valor]],-1*cmf[[#This Row],[Valor]])</f>
        <v>-1</v>
      </c>
      <c r="L683" s="524" t="s">
        <v>1241</v>
      </c>
      <c r="M683" s="524" t="s">
        <v>1242</v>
      </c>
      <c r="N683" s="524" t="s">
        <v>1219</v>
      </c>
      <c r="O683" s="524" t="s">
        <v>1220</v>
      </c>
      <c r="P683" s="526">
        <v>46210</v>
      </c>
      <c r="S683" s="527">
        <v>0</v>
      </c>
    </row>
    <row r="684" spans="1:19" x14ac:dyDescent="0.2">
      <c r="A684" s="524">
        <v>70259</v>
      </c>
      <c r="B684" s="526">
        <v>46210</v>
      </c>
      <c r="C684" s="524" t="s">
        <v>1148</v>
      </c>
      <c r="D684" s="524" t="s">
        <v>1243</v>
      </c>
      <c r="E684" s="524" t="s">
        <v>1244</v>
      </c>
      <c r="F684" s="524" t="s">
        <v>1183</v>
      </c>
      <c r="G684" s="524" t="s">
        <v>752</v>
      </c>
      <c r="H684" s="527">
        <v>683.78</v>
      </c>
      <c r="I684" s="524" t="s">
        <v>1148</v>
      </c>
      <c r="J684" s="524">
        <f>IF(cmf[[#This Row],[D/C]]="C",cmf[[#This Row],[Valor]],-1*cmf[[#This Row],[Valor]])</f>
        <v>683.78</v>
      </c>
      <c r="L684" s="524" t="s">
        <v>1245</v>
      </c>
      <c r="M684" s="524" t="s">
        <v>1246</v>
      </c>
      <c r="N684" s="524" t="s">
        <v>1601</v>
      </c>
      <c r="O684" s="524" t="s">
        <v>1602</v>
      </c>
      <c r="P684" s="526">
        <v>46210</v>
      </c>
      <c r="S684" s="527">
        <v>0</v>
      </c>
    </row>
    <row r="685" spans="1:19" x14ac:dyDescent="0.2">
      <c r="A685" s="524">
        <v>70261</v>
      </c>
      <c r="B685" s="526">
        <v>46210</v>
      </c>
      <c r="C685" s="524" t="s">
        <v>1148</v>
      </c>
      <c r="D685" s="524" t="s">
        <v>1243</v>
      </c>
      <c r="E685" s="524" t="s">
        <v>1244</v>
      </c>
      <c r="F685" s="524" t="s">
        <v>1183</v>
      </c>
      <c r="G685" s="524" t="s">
        <v>752</v>
      </c>
      <c r="H685" s="527">
        <v>0.14000000000000001</v>
      </c>
      <c r="I685" s="524" t="s">
        <v>1148</v>
      </c>
      <c r="J685" s="524">
        <f>IF(cmf[[#This Row],[D/C]]="C",cmf[[#This Row],[Valor]],-1*cmf[[#This Row],[Valor]])</f>
        <v>0.14000000000000001</v>
      </c>
      <c r="L685" s="524" t="s">
        <v>1245</v>
      </c>
      <c r="M685" s="524" t="s">
        <v>1246</v>
      </c>
      <c r="N685" s="524" t="s">
        <v>1601</v>
      </c>
      <c r="O685" s="524" t="s">
        <v>1602</v>
      </c>
      <c r="P685" s="526">
        <v>46210</v>
      </c>
      <c r="S685" s="527">
        <v>0</v>
      </c>
    </row>
    <row r="686" spans="1:19" x14ac:dyDescent="0.2">
      <c r="A686" s="524">
        <v>70270</v>
      </c>
      <c r="B686" s="526">
        <v>46210</v>
      </c>
      <c r="C686" s="524" t="s">
        <v>1148</v>
      </c>
      <c r="D686" s="524" t="s">
        <v>1243</v>
      </c>
      <c r="E686" s="524" t="s">
        <v>1244</v>
      </c>
      <c r="F686" s="524" t="s">
        <v>1183</v>
      </c>
      <c r="G686" s="524" t="s">
        <v>745</v>
      </c>
      <c r="H686" s="527">
        <v>61777.42</v>
      </c>
      <c r="I686" s="524" t="s">
        <v>1148</v>
      </c>
      <c r="J686" s="524">
        <f>IF(cmf[[#This Row],[D/C]]="C",cmf[[#This Row],[Valor]],-1*cmf[[#This Row],[Valor]])</f>
        <v>61777.42</v>
      </c>
      <c r="L686" s="524" t="s">
        <v>1245</v>
      </c>
      <c r="M686" s="524" t="s">
        <v>1246</v>
      </c>
      <c r="N686" s="524" t="s">
        <v>1292</v>
      </c>
      <c r="O686" s="524" t="s">
        <v>1293</v>
      </c>
      <c r="P686" s="526">
        <v>46210</v>
      </c>
      <c r="S686" s="527">
        <v>0</v>
      </c>
    </row>
    <row r="687" spans="1:19" x14ac:dyDescent="0.2">
      <c r="A687" s="524">
        <v>70277</v>
      </c>
      <c r="B687" s="526">
        <v>46210</v>
      </c>
      <c r="C687" s="524" t="s">
        <v>1148</v>
      </c>
      <c r="D687" s="524" t="s">
        <v>1243</v>
      </c>
      <c r="E687" s="524" t="s">
        <v>1244</v>
      </c>
      <c r="F687" s="524" t="s">
        <v>1183</v>
      </c>
      <c r="G687" s="524" t="s">
        <v>745</v>
      </c>
      <c r="H687" s="527">
        <v>0.82</v>
      </c>
      <c r="I687" s="524" t="s">
        <v>1148</v>
      </c>
      <c r="J687" s="524">
        <f>IF(cmf[[#This Row],[D/C]]="C",cmf[[#This Row],[Valor]],-1*cmf[[#This Row],[Valor]])</f>
        <v>0.82</v>
      </c>
      <c r="L687" s="524" t="s">
        <v>1245</v>
      </c>
      <c r="M687" s="524" t="s">
        <v>1246</v>
      </c>
      <c r="N687" s="524" t="s">
        <v>1292</v>
      </c>
      <c r="O687" s="524" t="s">
        <v>1293</v>
      </c>
      <c r="P687" s="526">
        <v>46210</v>
      </c>
      <c r="S687" s="527">
        <v>0</v>
      </c>
    </row>
    <row r="688" spans="1:19" x14ac:dyDescent="0.2">
      <c r="A688" s="524">
        <v>70317</v>
      </c>
      <c r="B688" s="526">
        <v>46210</v>
      </c>
      <c r="C688" s="524" t="s">
        <v>1148</v>
      </c>
      <c r="D688" s="524" t="s">
        <v>1239</v>
      </c>
      <c r="E688" s="524" t="s">
        <v>1255</v>
      </c>
      <c r="F688" s="524" t="s">
        <v>1170</v>
      </c>
      <c r="G688" s="524" t="s">
        <v>757</v>
      </c>
      <c r="H688" s="527">
        <v>0.6</v>
      </c>
      <c r="I688" s="524" t="s">
        <v>1174</v>
      </c>
      <c r="J688" s="524">
        <f>IF(cmf[[#This Row],[D/C]]="C",cmf[[#This Row],[Valor]],-1*cmf[[#This Row],[Valor]])</f>
        <v>-0.6</v>
      </c>
      <c r="L688" s="524" t="s">
        <v>1241</v>
      </c>
      <c r="M688" s="524" t="s">
        <v>1242</v>
      </c>
      <c r="N688" s="524" t="s">
        <v>1223</v>
      </c>
      <c r="O688" s="524" t="s">
        <v>1224</v>
      </c>
      <c r="P688" s="526">
        <v>46210</v>
      </c>
      <c r="S688" s="527">
        <v>0</v>
      </c>
    </row>
    <row r="689" spans="1:19" x14ac:dyDescent="0.2">
      <c r="A689" s="524">
        <v>70543</v>
      </c>
      <c r="B689" s="526">
        <v>46210</v>
      </c>
      <c r="C689" s="524" t="s">
        <v>1148</v>
      </c>
      <c r="D689" s="524" t="s">
        <v>1239</v>
      </c>
      <c r="E689" s="524" t="s">
        <v>1251</v>
      </c>
      <c r="F689" s="524" t="s">
        <v>1178</v>
      </c>
      <c r="G689" s="524" t="s">
        <v>1179</v>
      </c>
      <c r="H689" s="527">
        <v>20</v>
      </c>
      <c r="I689" s="524" t="s">
        <v>1174</v>
      </c>
      <c r="J689" s="524">
        <f>IF(cmf[[#This Row],[D/C]]="C",cmf[[#This Row],[Valor]],-1*cmf[[#This Row],[Valor]])</f>
        <v>-20</v>
      </c>
      <c r="L689" s="524" t="s">
        <v>1241</v>
      </c>
      <c r="M689" s="524" t="s">
        <v>1242</v>
      </c>
      <c r="N689" s="524" t="s">
        <v>1180</v>
      </c>
      <c r="O689" s="524" t="s">
        <v>1181</v>
      </c>
      <c r="P689" s="526">
        <v>46210</v>
      </c>
      <c r="S689" s="527">
        <v>0</v>
      </c>
    </row>
    <row r="690" spans="1:19" x14ac:dyDescent="0.2">
      <c r="A690" s="524">
        <v>70627</v>
      </c>
      <c r="B690" s="526">
        <v>46210</v>
      </c>
      <c r="C690" s="524" t="s">
        <v>1148</v>
      </c>
      <c r="D690" s="524" t="s">
        <v>1243</v>
      </c>
      <c r="E690" s="524" t="s">
        <v>1254</v>
      </c>
      <c r="F690" s="524" t="s">
        <v>1178</v>
      </c>
      <c r="G690" s="524" t="s">
        <v>1179</v>
      </c>
      <c r="H690" s="527">
        <v>26993.9</v>
      </c>
      <c r="I690" s="524" t="s">
        <v>1148</v>
      </c>
      <c r="J690" s="524">
        <f>IF(cmf[[#This Row],[D/C]]="C",cmf[[#This Row],[Valor]],-1*cmf[[#This Row],[Valor]])</f>
        <v>26993.9</v>
      </c>
      <c r="L690" s="524" t="s">
        <v>1245</v>
      </c>
      <c r="M690" s="524" t="s">
        <v>1246</v>
      </c>
      <c r="N690" s="524" t="s">
        <v>1180</v>
      </c>
      <c r="O690" s="524" t="s">
        <v>1181</v>
      </c>
      <c r="P690" s="526">
        <v>46210</v>
      </c>
      <c r="S690" s="527">
        <v>0</v>
      </c>
    </row>
    <row r="691" spans="1:19" x14ac:dyDescent="0.2">
      <c r="A691" s="524">
        <v>70639</v>
      </c>
      <c r="B691" s="526">
        <v>46210</v>
      </c>
      <c r="C691" s="524" t="s">
        <v>1148</v>
      </c>
      <c r="D691" s="524" t="s">
        <v>1186</v>
      </c>
      <c r="E691" s="524" t="s">
        <v>1688</v>
      </c>
      <c r="F691" s="524" t="s">
        <v>1170</v>
      </c>
      <c r="G691" s="524" t="s">
        <v>802</v>
      </c>
      <c r="H691" s="527">
        <v>20000</v>
      </c>
      <c r="I691" s="524" t="s">
        <v>1174</v>
      </c>
      <c r="J691" s="524">
        <f>IF(cmf[[#This Row],[D/C]]="C",cmf[[#This Row],[Valor]],-1*cmf[[#This Row],[Valor]])</f>
        <v>-20000</v>
      </c>
      <c r="L691" s="524" t="s">
        <v>1188</v>
      </c>
      <c r="M691" s="524" t="s">
        <v>1189</v>
      </c>
      <c r="N691" s="524" t="s">
        <v>1192</v>
      </c>
      <c r="O691" s="524" t="s">
        <v>1193</v>
      </c>
      <c r="P691" s="526">
        <v>46210</v>
      </c>
      <c r="S691" s="527">
        <v>0</v>
      </c>
    </row>
    <row r="692" spans="1:19" x14ac:dyDescent="0.2">
      <c r="A692" s="524">
        <v>70741</v>
      </c>
      <c r="B692" s="526">
        <v>46210</v>
      </c>
      <c r="C692" s="524" t="s">
        <v>1148</v>
      </c>
      <c r="D692" s="524" t="s">
        <v>1239</v>
      </c>
      <c r="E692" s="524" t="s">
        <v>1315</v>
      </c>
      <c r="F692" s="524" t="s">
        <v>1170</v>
      </c>
      <c r="G692" s="524" t="s">
        <v>757</v>
      </c>
      <c r="H692" s="527">
        <v>1.2</v>
      </c>
      <c r="I692" s="524" t="s">
        <v>1174</v>
      </c>
      <c r="J692" s="524">
        <f>IF(cmf[[#This Row],[D/C]]="C",cmf[[#This Row],[Valor]],-1*cmf[[#This Row],[Valor]])</f>
        <v>-1.2</v>
      </c>
      <c r="L692" s="524" t="s">
        <v>1241</v>
      </c>
      <c r="M692" s="524" t="s">
        <v>1242</v>
      </c>
      <c r="N692" s="524" t="s">
        <v>1223</v>
      </c>
      <c r="O692" s="524" t="s">
        <v>1224</v>
      </c>
      <c r="P692" s="526">
        <v>46210</v>
      </c>
      <c r="S692" s="527">
        <v>0</v>
      </c>
    </row>
    <row r="693" spans="1:19" x14ac:dyDescent="0.2">
      <c r="A693" s="524">
        <v>70760</v>
      </c>
      <c r="B693" s="526">
        <v>46210</v>
      </c>
      <c r="C693" s="524" t="s">
        <v>1148</v>
      </c>
      <c r="D693" s="524" t="s">
        <v>1239</v>
      </c>
      <c r="E693" s="524" t="s">
        <v>1258</v>
      </c>
      <c r="F693" s="524" t="s">
        <v>1170</v>
      </c>
      <c r="G693" s="524" t="s">
        <v>1102</v>
      </c>
      <c r="H693" s="527">
        <v>69.3</v>
      </c>
      <c r="I693" s="524" t="s">
        <v>1174</v>
      </c>
      <c r="J693" s="524">
        <f>IF(cmf[[#This Row],[D/C]]="C",cmf[[#This Row],[Valor]],-1*cmf[[#This Row],[Valor]])</f>
        <v>-69.3</v>
      </c>
      <c r="L693" s="524" t="s">
        <v>1241</v>
      </c>
      <c r="M693" s="524" t="s">
        <v>1242</v>
      </c>
      <c r="N693" s="524" t="s">
        <v>1192</v>
      </c>
      <c r="O693" s="524" t="s">
        <v>1193</v>
      </c>
      <c r="P693" s="526">
        <v>46210</v>
      </c>
      <c r="S693" s="527">
        <v>0</v>
      </c>
    </row>
    <row r="694" spans="1:19" x14ac:dyDescent="0.2">
      <c r="A694" s="524">
        <v>70761</v>
      </c>
      <c r="B694" s="526">
        <v>46210</v>
      </c>
      <c r="C694" s="524" t="s">
        <v>1148</v>
      </c>
      <c r="D694" s="524" t="s">
        <v>1239</v>
      </c>
      <c r="E694" s="524" t="s">
        <v>1258</v>
      </c>
      <c r="F694" s="524" t="s">
        <v>1170</v>
      </c>
      <c r="G694" s="524" t="s">
        <v>1102</v>
      </c>
      <c r="H694" s="527">
        <v>1.2</v>
      </c>
      <c r="I694" s="524" t="s">
        <v>1174</v>
      </c>
      <c r="J694" s="524">
        <f>IF(cmf[[#This Row],[D/C]]="C",cmf[[#This Row],[Valor]],-1*cmf[[#This Row],[Valor]])</f>
        <v>-1.2</v>
      </c>
      <c r="L694" s="524" t="s">
        <v>1241</v>
      </c>
      <c r="M694" s="524" t="s">
        <v>1242</v>
      </c>
      <c r="N694" s="524" t="s">
        <v>1192</v>
      </c>
      <c r="O694" s="524" t="s">
        <v>1193</v>
      </c>
      <c r="P694" s="526">
        <v>46210</v>
      </c>
      <c r="S694" s="527">
        <v>0</v>
      </c>
    </row>
    <row r="695" spans="1:19" x14ac:dyDescent="0.2">
      <c r="A695" s="524">
        <v>70965</v>
      </c>
      <c r="B695" s="526">
        <v>46210</v>
      </c>
      <c r="C695" s="524" t="s">
        <v>1148</v>
      </c>
      <c r="D695" s="524" t="s">
        <v>1239</v>
      </c>
      <c r="E695" s="524" t="s">
        <v>1253</v>
      </c>
      <c r="F695" s="524" t="s">
        <v>1170</v>
      </c>
      <c r="G695" s="524" t="s">
        <v>798</v>
      </c>
      <c r="H695" s="527">
        <v>0.4</v>
      </c>
      <c r="I695" s="524" t="s">
        <v>1174</v>
      </c>
      <c r="J695" s="524">
        <f>IF(cmf[[#This Row],[D/C]]="C",cmf[[#This Row],[Valor]],-1*cmf[[#This Row],[Valor]])</f>
        <v>-0.4</v>
      </c>
      <c r="L695" s="524" t="s">
        <v>1241</v>
      </c>
      <c r="M695" s="524" t="s">
        <v>1242</v>
      </c>
      <c r="N695" s="524" t="s">
        <v>1171</v>
      </c>
      <c r="O695" s="524" t="s">
        <v>1172</v>
      </c>
      <c r="P695" s="526">
        <v>46210</v>
      </c>
      <c r="S695" s="527">
        <v>0</v>
      </c>
    </row>
    <row r="696" spans="1:19" x14ac:dyDescent="0.2">
      <c r="A696" s="524">
        <v>71036</v>
      </c>
      <c r="B696" s="526">
        <v>46210</v>
      </c>
      <c r="C696" s="524" t="s">
        <v>1148</v>
      </c>
      <c r="D696" s="524" t="s">
        <v>1239</v>
      </c>
      <c r="E696" s="524" t="s">
        <v>1253</v>
      </c>
      <c r="F696" s="524" t="s">
        <v>1170</v>
      </c>
      <c r="G696" s="524" t="s">
        <v>765</v>
      </c>
      <c r="H696" s="527">
        <v>0.4</v>
      </c>
      <c r="I696" s="524" t="s">
        <v>1174</v>
      </c>
      <c r="J696" s="524">
        <f>IF(cmf[[#This Row],[D/C]]="C",cmf[[#This Row],[Valor]],-1*cmf[[#This Row],[Valor]])</f>
        <v>-0.4</v>
      </c>
      <c r="L696" s="524" t="s">
        <v>1241</v>
      </c>
      <c r="M696" s="524" t="s">
        <v>1242</v>
      </c>
      <c r="N696" s="524" t="s">
        <v>1200</v>
      </c>
      <c r="O696" s="524" t="s">
        <v>1201</v>
      </c>
      <c r="P696" s="526">
        <v>46210</v>
      </c>
      <c r="S696" s="527">
        <v>0</v>
      </c>
    </row>
    <row r="697" spans="1:19" x14ac:dyDescent="0.2">
      <c r="A697" s="524">
        <v>71200</v>
      </c>
      <c r="B697" s="526">
        <v>46210</v>
      </c>
      <c r="C697" s="524" t="s">
        <v>1148</v>
      </c>
      <c r="D697" s="524" t="s">
        <v>1239</v>
      </c>
      <c r="E697" s="524" t="s">
        <v>1689</v>
      </c>
      <c r="F697" s="524" t="s">
        <v>1170</v>
      </c>
      <c r="G697" s="524" t="s">
        <v>738</v>
      </c>
      <c r="H697" s="527">
        <v>163585.62</v>
      </c>
      <c r="I697" s="524" t="s">
        <v>1174</v>
      </c>
      <c r="J697" s="524">
        <f>IF(cmf[[#This Row],[D/C]]="C",cmf[[#This Row],[Valor]],-1*cmf[[#This Row],[Valor]])</f>
        <v>-163585.62</v>
      </c>
      <c r="L697" s="524" t="s">
        <v>1264</v>
      </c>
      <c r="M697" s="524" t="s">
        <v>1265</v>
      </c>
      <c r="N697" s="524" t="s">
        <v>1215</v>
      </c>
      <c r="O697" s="524" t="s">
        <v>1218</v>
      </c>
      <c r="P697" s="526">
        <v>46210</v>
      </c>
      <c r="S697" s="527">
        <v>0</v>
      </c>
    </row>
    <row r="698" spans="1:19" x14ac:dyDescent="0.2">
      <c r="A698" s="524">
        <v>71229</v>
      </c>
      <c r="B698" s="526">
        <v>46210</v>
      </c>
      <c r="C698" s="524" t="s">
        <v>1148</v>
      </c>
      <c r="D698" s="524" t="s">
        <v>1239</v>
      </c>
      <c r="E698" s="524" t="s">
        <v>1255</v>
      </c>
      <c r="F698" s="524" t="s">
        <v>1170</v>
      </c>
      <c r="G698" s="524" t="s">
        <v>749</v>
      </c>
      <c r="H698" s="527">
        <v>0.4</v>
      </c>
      <c r="I698" s="524" t="s">
        <v>1174</v>
      </c>
      <c r="J698" s="524">
        <f>IF(cmf[[#This Row],[D/C]]="C",cmf[[#This Row],[Valor]],-1*cmf[[#This Row],[Valor]])</f>
        <v>-0.4</v>
      </c>
      <c r="L698" s="524" t="s">
        <v>1241</v>
      </c>
      <c r="M698" s="524" t="s">
        <v>1242</v>
      </c>
      <c r="N698" s="524" t="s">
        <v>1256</v>
      </c>
      <c r="O698" s="524" t="s">
        <v>1257</v>
      </c>
      <c r="P698" s="526">
        <v>46210</v>
      </c>
      <c r="S698" s="527">
        <v>0</v>
      </c>
    </row>
    <row r="699" spans="1:19" x14ac:dyDescent="0.2">
      <c r="A699" s="524">
        <v>71526</v>
      </c>
      <c r="B699" s="526">
        <v>46210</v>
      </c>
      <c r="C699" s="524" t="s">
        <v>1148</v>
      </c>
      <c r="D699" s="524" t="s">
        <v>1239</v>
      </c>
      <c r="E699" s="524" t="s">
        <v>1312</v>
      </c>
      <c r="F699" s="524" t="s">
        <v>1170</v>
      </c>
      <c r="G699" s="524" t="s">
        <v>740</v>
      </c>
      <c r="H699" s="527">
        <v>10</v>
      </c>
      <c r="I699" s="524" t="s">
        <v>1174</v>
      </c>
      <c r="J699" s="524">
        <f>IF(cmf[[#This Row],[D/C]]="C",cmf[[#This Row],[Valor]],-1*cmf[[#This Row],[Valor]])</f>
        <v>-10</v>
      </c>
      <c r="L699" s="524" t="s">
        <v>1241</v>
      </c>
      <c r="M699" s="524" t="s">
        <v>1242</v>
      </c>
      <c r="N699" s="524" t="s">
        <v>1215</v>
      </c>
      <c r="O699" s="524" t="s">
        <v>1218</v>
      </c>
      <c r="P699" s="526">
        <v>46210</v>
      </c>
      <c r="S699" s="527">
        <v>0</v>
      </c>
    </row>
    <row r="700" spans="1:19" x14ac:dyDescent="0.2">
      <c r="A700" s="524">
        <v>71529</v>
      </c>
      <c r="B700" s="526">
        <v>46210</v>
      </c>
      <c r="C700" s="524" t="s">
        <v>1148</v>
      </c>
      <c r="D700" s="524" t="s">
        <v>1239</v>
      </c>
      <c r="E700" s="524" t="s">
        <v>1690</v>
      </c>
      <c r="F700" s="524" t="s">
        <v>1170</v>
      </c>
      <c r="G700" s="524" t="s">
        <v>740</v>
      </c>
      <c r="H700" s="527">
        <v>9</v>
      </c>
      <c r="I700" s="524" t="s">
        <v>1174</v>
      </c>
      <c r="J700" s="524">
        <f>IF(cmf[[#This Row],[D/C]]="C",cmf[[#This Row],[Valor]],-1*cmf[[#This Row],[Valor]])</f>
        <v>-9</v>
      </c>
      <c r="L700" s="524" t="s">
        <v>1241</v>
      </c>
      <c r="M700" s="524" t="s">
        <v>1242</v>
      </c>
      <c r="N700" s="524" t="s">
        <v>1215</v>
      </c>
      <c r="O700" s="524" t="s">
        <v>1218</v>
      </c>
      <c r="P700" s="526">
        <v>46210</v>
      </c>
      <c r="S700" s="527">
        <v>0</v>
      </c>
    </row>
    <row r="701" spans="1:19" x14ac:dyDescent="0.2">
      <c r="A701" s="524">
        <v>71703</v>
      </c>
      <c r="B701" s="526">
        <v>46210</v>
      </c>
      <c r="C701" s="524" t="s">
        <v>1148</v>
      </c>
      <c r="D701" s="524" t="s">
        <v>1243</v>
      </c>
      <c r="E701" s="524" t="s">
        <v>1244</v>
      </c>
      <c r="F701" s="524" t="s">
        <v>1183</v>
      </c>
      <c r="G701" s="524" t="s">
        <v>742</v>
      </c>
      <c r="H701" s="527">
        <v>163764.89000000001</v>
      </c>
      <c r="I701" s="524" t="s">
        <v>1148</v>
      </c>
      <c r="J701" s="524">
        <f>IF(cmf[[#This Row],[D/C]]="C",cmf[[#This Row],[Valor]],-1*cmf[[#This Row],[Valor]])</f>
        <v>163764.89000000001</v>
      </c>
      <c r="L701" s="524" t="s">
        <v>1245</v>
      </c>
      <c r="M701" s="524" t="s">
        <v>1246</v>
      </c>
      <c r="N701" s="524" t="s">
        <v>1215</v>
      </c>
      <c r="O701" s="524" t="s">
        <v>1267</v>
      </c>
      <c r="P701" s="526">
        <v>46210</v>
      </c>
      <c r="S701" s="527">
        <v>0</v>
      </c>
    </row>
    <row r="702" spans="1:19" x14ac:dyDescent="0.2">
      <c r="A702" s="524">
        <v>71704</v>
      </c>
      <c r="B702" s="526">
        <v>46210</v>
      </c>
      <c r="C702" s="524" t="s">
        <v>1148</v>
      </c>
      <c r="D702" s="524" t="s">
        <v>1243</v>
      </c>
      <c r="E702" s="524" t="s">
        <v>1244</v>
      </c>
      <c r="F702" s="524" t="s">
        <v>1183</v>
      </c>
      <c r="G702" s="524" t="s">
        <v>742</v>
      </c>
      <c r="H702" s="527">
        <v>0.69</v>
      </c>
      <c r="I702" s="524" t="s">
        <v>1148</v>
      </c>
      <c r="J702" s="524">
        <f>IF(cmf[[#This Row],[D/C]]="C",cmf[[#This Row],[Valor]],-1*cmf[[#This Row],[Valor]])</f>
        <v>0.69</v>
      </c>
      <c r="L702" s="524" t="s">
        <v>1245</v>
      </c>
      <c r="M702" s="524" t="s">
        <v>1246</v>
      </c>
      <c r="N702" s="524" t="s">
        <v>1215</v>
      </c>
      <c r="O702" s="524" t="s">
        <v>1267</v>
      </c>
      <c r="P702" s="526">
        <v>46210</v>
      </c>
      <c r="S702" s="527">
        <v>0</v>
      </c>
    </row>
    <row r="703" spans="1:19" x14ac:dyDescent="0.2">
      <c r="A703" s="524">
        <v>71754</v>
      </c>
      <c r="B703" s="526">
        <v>46210</v>
      </c>
      <c r="C703" s="524" t="s">
        <v>1148</v>
      </c>
      <c r="D703" s="524" t="s">
        <v>1186</v>
      </c>
      <c r="E703" s="524" t="s">
        <v>1691</v>
      </c>
      <c r="F703" s="524" t="s">
        <v>1183</v>
      </c>
      <c r="G703" s="524" t="s">
        <v>742</v>
      </c>
      <c r="H703" s="527">
        <v>277.37</v>
      </c>
      <c r="I703" s="524" t="s">
        <v>1174</v>
      </c>
      <c r="J703" s="524">
        <f>IF(cmf[[#This Row],[D/C]]="C",cmf[[#This Row],[Valor]],-1*cmf[[#This Row],[Valor]])</f>
        <v>-277.37</v>
      </c>
      <c r="L703" s="524" t="s">
        <v>1188</v>
      </c>
      <c r="M703" s="524" t="s">
        <v>1189</v>
      </c>
      <c r="N703" s="524" t="s">
        <v>1215</v>
      </c>
      <c r="O703" s="524" t="s">
        <v>1218</v>
      </c>
      <c r="P703" s="526">
        <v>46210</v>
      </c>
      <c r="S703" s="527">
        <v>0</v>
      </c>
    </row>
    <row r="704" spans="1:19" x14ac:dyDescent="0.2">
      <c r="A704" s="524">
        <v>68530</v>
      </c>
      <c r="B704" s="526">
        <v>46211</v>
      </c>
      <c r="C704" s="524" t="s">
        <v>1148</v>
      </c>
      <c r="D704" s="524" t="s">
        <v>1163</v>
      </c>
      <c r="E704" s="524" t="s">
        <v>1164</v>
      </c>
      <c r="F704" s="524" t="s">
        <v>1170</v>
      </c>
      <c r="G704" s="524" t="s">
        <v>798</v>
      </c>
      <c r="H704" s="527">
        <v>1018.76</v>
      </c>
      <c r="I704" s="524" t="s">
        <v>1148</v>
      </c>
      <c r="J704" s="524">
        <f>IF(cmf[[#This Row],[D/C]]="C",cmf[[#This Row],[Valor]],-1*cmf[[#This Row],[Valor]])</f>
        <v>1018.76</v>
      </c>
      <c r="L704" s="524" t="s">
        <v>1166</v>
      </c>
      <c r="M704" s="524" t="s">
        <v>1167</v>
      </c>
      <c r="N704" s="524" t="s">
        <v>1171</v>
      </c>
      <c r="O704" s="524" t="s">
        <v>1172</v>
      </c>
      <c r="P704" s="526">
        <v>46211</v>
      </c>
      <c r="S704" s="527">
        <v>0</v>
      </c>
    </row>
    <row r="705" spans="1:19" x14ac:dyDescent="0.2">
      <c r="A705" s="524">
        <v>68531</v>
      </c>
      <c r="B705" s="526">
        <v>46211</v>
      </c>
      <c r="C705" s="524" t="s">
        <v>1148</v>
      </c>
      <c r="D705" s="524" t="s">
        <v>1163</v>
      </c>
      <c r="E705" s="524" t="s">
        <v>1173</v>
      </c>
      <c r="F705" s="524" t="s">
        <v>1170</v>
      </c>
      <c r="G705" s="524" t="s">
        <v>798</v>
      </c>
      <c r="H705" s="527">
        <v>6.3</v>
      </c>
      <c r="I705" s="524" t="s">
        <v>1174</v>
      </c>
      <c r="J705" s="524">
        <f>IF(cmf[[#This Row],[D/C]]="C",cmf[[#This Row],[Valor]],-1*cmf[[#This Row],[Valor]])</f>
        <v>-6.3</v>
      </c>
      <c r="L705" s="524" t="s">
        <v>1175</v>
      </c>
      <c r="M705" s="524" t="s">
        <v>1176</v>
      </c>
      <c r="N705" s="524" t="s">
        <v>1171</v>
      </c>
      <c r="O705" s="524" t="s">
        <v>1172</v>
      </c>
      <c r="P705" s="526">
        <v>46211</v>
      </c>
      <c r="S705" s="527">
        <v>0</v>
      </c>
    </row>
    <row r="706" spans="1:19" x14ac:dyDescent="0.2">
      <c r="A706" s="524">
        <v>68542</v>
      </c>
      <c r="B706" s="526">
        <v>46211</v>
      </c>
      <c r="C706" s="524" t="s">
        <v>1162</v>
      </c>
      <c r="D706" s="524" t="s">
        <v>1163</v>
      </c>
      <c r="E706" s="524" t="s">
        <v>1164</v>
      </c>
      <c r="F706" s="524" t="s">
        <v>1165</v>
      </c>
      <c r="G706" s="524" t="s">
        <v>756</v>
      </c>
      <c r="H706" s="527">
        <v>27725.71</v>
      </c>
      <c r="I706" s="524" t="s">
        <v>1148</v>
      </c>
      <c r="J706" s="524">
        <f>IF(cmf[[#This Row],[D/C]]="C",cmf[[#This Row],[Valor]],-1*cmf[[#This Row],[Valor]])</f>
        <v>27725.71</v>
      </c>
      <c r="L706" s="524" t="s">
        <v>1166</v>
      </c>
      <c r="M706" s="524" t="s">
        <v>1167</v>
      </c>
      <c r="N706" s="524" t="s">
        <v>1168</v>
      </c>
      <c r="O706" s="524" t="s">
        <v>1169</v>
      </c>
      <c r="P706" s="526"/>
      <c r="S706" s="527">
        <v>0</v>
      </c>
    </row>
    <row r="707" spans="1:19" x14ac:dyDescent="0.2">
      <c r="A707" s="524">
        <v>68789</v>
      </c>
      <c r="B707" s="526">
        <v>46211</v>
      </c>
      <c r="C707" s="524" t="s">
        <v>1162</v>
      </c>
      <c r="D707" s="524" t="s">
        <v>1163</v>
      </c>
      <c r="E707" s="524" t="s">
        <v>1164</v>
      </c>
      <c r="F707" s="524" t="s">
        <v>1183</v>
      </c>
      <c r="G707" s="524" t="s">
        <v>1276</v>
      </c>
      <c r="H707" s="527">
        <v>4017.16</v>
      </c>
      <c r="I707" s="524" t="s">
        <v>1148</v>
      </c>
      <c r="J707" s="524">
        <f>IF(cmf[[#This Row],[D/C]]="C",cmf[[#This Row],[Valor]],-1*cmf[[#This Row],[Valor]])</f>
        <v>4017.16</v>
      </c>
      <c r="L707" s="524" t="s">
        <v>1166</v>
      </c>
      <c r="M707" s="524" t="s">
        <v>1167</v>
      </c>
      <c r="N707" s="524" t="s">
        <v>1184</v>
      </c>
      <c r="O707" s="524" t="s">
        <v>1201</v>
      </c>
      <c r="P707" s="526"/>
      <c r="S707" s="527">
        <v>0</v>
      </c>
    </row>
    <row r="708" spans="1:19" x14ac:dyDescent="0.2">
      <c r="A708" s="524">
        <v>68790</v>
      </c>
      <c r="B708" s="526">
        <v>46211</v>
      </c>
      <c r="C708" s="524" t="s">
        <v>1162</v>
      </c>
      <c r="D708" s="524" t="s">
        <v>1163</v>
      </c>
      <c r="E708" s="524" t="s">
        <v>1173</v>
      </c>
      <c r="F708" s="524" t="s">
        <v>1183</v>
      </c>
      <c r="G708" s="524" t="s">
        <v>1276</v>
      </c>
      <c r="H708" s="527">
        <v>6.9</v>
      </c>
      <c r="I708" s="524" t="s">
        <v>1174</v>
      </c>
      <c r="J708" s="524">
        <f>IF(cmf[[#This Row],[D/C]]="C",cmf[[#This Row],[Valor]],-1*cmf[[#This Row],[Valor]])</f>
        <v>-6.9</v>
      </c>
      <c r="L708" s="524" t="s">
        <v>1175</v>
      </c>
      <c r="M708" s="524" t="s">
        <v>1176</v>
      </c>
      <c r="N708" s="524" t="s">
        <v>1184</v>
      </c>
      <c r="O708" s="524" t="s">
        <v>1201</v>
      </c>
      <c r="P708" s="526"/>
      <c r="S708" s="527">
        <v>0</v>
      </c>
    </row>
    <row r="709" spans="1:19" x14ac:dyDescent="0.2">
      <c r="A709" s="524">
        <v>68791</v>
      </c>
      <c r="B709" s="526">
        <v>46211</v>
      </c>
      <c r="C709" s="524" t="s">
        <v>1148</v>
      </c>
      <c r="D709" s="524" t="s">
        <v>1163</v>
      </c>
      <c r="E709" s="524" t="s">
        <v>1164</v>
      </c>
      <c r="F709" s="524" t="s">
        <v>1178</v>
      </c>
      <c r="G709" s="524" t="s">
        <v>1179</v>
      </c>
      <c r="H709" s="527">
        <v>1390.89</v>
      </c>
      <c r="I709" s="524" t="s">
        <v>1148</v>
      </c>
      <c r="J709" s="524">
        <f>IF(cmf[[#This Row],[D/C]]="C",cmf[[#This Row],[Valor]],-1*cmf[[#This Row],[Valor]])</f>
        <v>1390.89</v>
      </c>
      <c r="L709" s="524" t="s">
        <v>1166</v>
      </c>
      <c r="M709" s="524" t="s">
        <v>1167</v>
      </c>
      <c r="N709" s="524" t="s">
        <v>1180</v>
      </c>
      <c r="O709" s="524" t="s">
        <v>1181</v>
      </c>
      <c r="P709" s="526">
        <v>46211</v>
      </c>
      <c r="S709" s="527">
        <v>0</v>
      </c>
    </row>
    <row r="710" spans="1:19" x14ac:dyDescent="0.2">
      <c r="A710" s="524">
        <v>68792</v>
      </c>
      <c r="B710" s="526">
        <v>46211</v>
      </c>
      <c r="C710" s="524" t="s">
        <v>1148</v>
      </c>
      <c r="D710" s="524" t="s">
        <v>1163</v>
      </c>
      <c r="E710" s="524" t="s">
        <v>1164</v>
      </c>
      <c r="F710" s="524" t="s">
        <v>1170</v>
      </c>
      <c r="G710" s="524" t="s">
        <v>740</v>
      </c>
      <c r="H710" s="527">
        <v>1977.49</v>
      </c>
      <c r="I710" s="524" t="s">
        <v>1148</v>
      </c>
      <c r="J710" s="524">
        <f>IF(cmf[[#This Row],[D/C]]="C",cmf[[#This Row],[Valor]],-1*cmf[[#This Row],[Valor]])</f>
        <v>1977.49</v>
      </c>
      <c r="L710" s="524" t="s">
        <v>1166</v>
      </c>
      <c r="M710" s="524" t="s">
        <v>1167</v>
      </c>
      <c r="N710" s="524" t="s">
        <v>1215</v>
      </c>
      <c r="O710" s="524" t="s">
        <v>1218</v>
      </c>
      <c r="P710" s="526">
        <v>46211</v>
      </c>
      <c r="S710" s="527">
        <v>0</v>
      </c>
    </row>
    <row r="711" spans="1:19" x14ac:dyDescent="0.2">
      <c r="A711" s="524">
        <v>68793</v>
      </c>
      <c r="B711" s="526">
        <v>46211</v>
      </c>
      <c r="C711" s="524" t="s">
        <v>1148</v>
      </c>
      <c r="D711" s="524" t="s">
        <v>1163</v>
      </c>
      <c r="E711" s="524" t="s">
        <v>1173</v>
      </c>
      <c r="F711" s="524" t="s">
        <v>1170</v>
      </c>
      <c r="G711" s="524" t="s">
        <v>740</v>
      </c>
      <c r="H711" s="527">
        <v>12.6</v>
      </c>
      <c r="I711" s="524" t="s">
        <v>1174</v>
      </c>
      <c r="J711" s="524">
        <f>IF(cmf[[#This Row],[D/C]]="C",cmf[[#This Row],[Valor]],-1*cmf[[#This Row],[Valor]])</f>
        <v>-12.6</v>
      </c>
      <c r="L711" s="524" t="s">
        <v>1175</v>
      </c>
      <c r="M711" s="524" t="s">
        <v>1176</v>
      </c>
      <c r="N711" s="524" t="s">
        <v>1215</v>
      </c>
      <c r="O711" s="524" t="s">
        <v>1218</v>
      </c>
      <c r="P711" s="526">
        <v>46211</v>
      </c>
      <c r="S711" s="527">
        <v>0</v>
      </c>
    </row>
    <row r="712" spans="1:19" x14ac:dyDescent="0.2">
      <c r="A712" s="524">
        <v>68795</v>
      </c>
      <c r="B712" s="526">
        <v>46211</v>
      </c>
      <c r="C712" s="524" t="s">
        <v>1162</v>
      </c>
      <c r="D712" s="524" t="s">
        <v>1163</v>
      </c>
      <c r="E712" s="524" t="s">
        <v>1164</v>
      </c>
      <c r="F712" s="524" t="s">
        <v>1183</v>
      </c>
      <c r="G712" s="524" t="s">
        <v>796</v>
      </c>
      <c r="H712" s="527">
        <v>30384.94</v>
      </c>
      <c r="I712" s="524" t="s">
        <v>1148</v>
      </c>
      <c r="J712" s="524">
        <f>IF(cmf[[#This Row],[D/C]]="C",cmf[[#This Row],[Valor]],-1*cmf[[#This Row],[Valor]])</f>
        <v>30384.94</v>
      </c>
      <c r="L712" s="524" t="s">
        <v>1166</v>
      </c>
      <c r="M712" s="524" t="s">
        <v>1167</v>
      </c>
      <c r="N712" s="524" t="s">
        <v>1184</v>
      </c>
      <c r="O712" s="524" t="s">
        <v>1172</v>
      </c>
      <c r="P712" s="526"/>
      <c r="S712" s="527">
        <v>0</v>
      </c>
    </row>
    <row r="713" spans="1:19" x14ac:dyDescent="0.2">
      <c r="A713" s="524">
        <v>68796</v>
      </c>
      <c r="B713" s="526">
        <v>46211</v>
      </c>
      <c r="C713" s="524" t="s">
        <v>1162</v>
      </c>
      <c r="D713" s="524" t="s">
        <v>1163</v>
      </c>
      <c r="E713" s="524" t="s">
        <v>1173</v>
      </c>
      <c r="F713" s="524" t="s">
        <v>1183</v>
      </c>
      <c r="G713" s="524" t="s">
        <v>796</v>
      </c>
      <c r="H713" s="527">
        <v>16.100000000000001</v>
      </c>
      <c r="I713" s="524" t="s">
        <v>1174</v>
      </c>
      <c r="J713" s="524">
        <f>IF(cmf[[#This Row],[D/C]]="C",cmf[[#This Row],[Valor]],-1*cmf[[#This Row],[Valor]])</f>
        <v>-16.100000000000001</v>
      </c>
      <c r="L713" s="524" t="s">
        <v>1175</v>
      </c>
      <c r="M713" s="524" t="s">
        <v>1176</v>
      </c>
      <c r="N713" s="524" t="s">
        <v>1184</v>
      </c>
      <c r="O713" s="524" t="s">
        <v>1172</v>
      </c>
      <c r="P713" s="526"/>
      <c r="S713" s="527">
        <v>0</v>
      </c>
    </row>
    <row r="714" spans="1:19" x14ac:dyDescent="0.2">
      <c r="A714" s="524">
        <v>68800</v>
      </c>
      <c r="B714" s="526">
        <v>46211</v>
      </c>
      <c r="C714" s="524" t="s">
        <v>1162</v>
      </c>
      <c r="D714" s="524" t="s">
        <v>1163</v>
      </c>
      <c r="E714" s="524" t="s">
        <v>1164</v>
      </c>
      <c r="F714" s="524" t="s">
        <v>1111</v>
      </c>
      <c r="G714" s="524" t="s">
        <v>1110</v>
      </c>
      <c r="H714" s="527">
        <v>39609.24</v>
      </c>
      <c r="I714" s="524" t="s">
        <v>1148</v>
      </c>
      <c r="J714" s="524">
        <f>IF(cmf[[#This Row],[D/C]]="C",cmf[[#This Row],[Valor]],-1*cmf[[#This Row],[Valor]])</f>
        <v>39609.24</v>
      </c>
      <c r="L714" s="524" t="s">
        <v>1166</v>
      </c>
      <c r="M714" s="524" t="s">
        <v>1167</v>
      </c>
      <c r="N714" s="524" t="s">
        <v>1219</v>
      </c>
      <c r="O714" s="524" t="s">
        <v>1220</v>
      </c>
      <c r="P714" s="526"/>
      <c r="S714" s="527">
        <v>0</v>
      </c>
    </row>
    <row r="715" spans="1:19" x14ac:dyDescent="0.2">
      <c r="A715" s="524">
        <v>68805</v>
      </c>
      <c r="B715" s="526">
        <v>46211</v>
      </c>
      <c r="C715" s="524" t="s">
        <v>1148</v>
      </c>
      <c r="D715" s="524" t="s">
        <v>1226</v>
      </c>
      <c r="E715" s="524" t="s">
        <v>1692</v>
      </c>
      <c r="F715" s="524" t="s">
        <v>1170</v>
      </c>
      <c r="G715" s="524" t="s">
        <v>768</v>
      </c>
      <c r="H715" s="527">
        <v>3519.85</v>
      </c>
      <c r="I715" s="524" t="s">
        <v>1148</v>
      </c>
      <c r="J715" s="524">
        <f>IF(cmf[[#This Row],[D/C]]="C",cmf[[#This Row],[Valor]],-1*cmf[[#This Row],[Valor]])</f>
        <v>3519.85</v>
      </c>
      <c r="L715" s="524" t="s">
        <v>1230</v>
      </c>
      <c r="M715" s="524" t="s">
        <v>1231</v>
      </c>
      <c r="N715" s="524" t="s">
        <v>1219</v>
      </c>
      <c r="O715" s="524" t="s">
        <v>1220</v>
      </c>
      <c r="P715" s="526">
        <v>46211</v>
      </c>
      <c r="S715" s="527">
        <v>0</v>
      </c>
    </row>
    <row r="716" spans="1:19" x14ac:dyDescent="0.2">
      <c r="A716" s="524">
        <v>68864</v>
      </c>
      <c r="B716" s="526">
        <v>46211</v>
      </c>
      <c r="C716" s="524" t="s">
        <v>1162</v>
      </c>
      <c r="D716" s="524" t="s">
        <v>1205</v>
      </c>
      <c r="E716" s="524" t="s">
        <v>1206</v>
      </c>
      <c r="F716" s="524" t="s">
        <v>1170</v>
      </c>
      <c r="G716" s="524" t="s">
        <v>781</v>
      </c>
      <c r="H716" s="527">
        <v>10000</v>
      </c>
      <c r="I716" s="524" t="s">
        <v>1174</v>
      </c>
      <c r="J716" s="524">
        <f>IF(cmf[[#This Row],[D/C]]="C",cmf[[#This Row],[Valor]],-1*cmf[[#This Row],[Valor]])</f>
        <v>-10000</v>
      </c>
      <c r="L716" s="524" t="s">
        <v>1207</v>
      </c>
      <c r="M716" s="524" t="s">
        <v>1208</v>
      </c>
      <c r="N716" s="524" t="s">
        <v>1209</v>
      </c>
      <c r="O716" s="524" t="s">
        <v>1210</v>
      </c>
      <c r="P716" s="526"/>
      <c r="S716" s="527">
        <v>0</v>
      </c>
    </row>
    <row r="717" spans="1:19" x14ac:dyDescent="0.2">
      <c r="A717" s="524">
        <v>68865</v>
      </c>
      <c r="B717" s="526">
        <v>46211</v>
      </c>
      <c r="C717" s="524" t="s">
        <v>1162</v>
      </c>
      <c r="D717" s="524" t="s">
        <v>1205</v>
      </c>
      <c r="E717" s="524" t="s">
        <v>1211</v>
      </c>
      <c r="F717" s="524" t="s">
        <v>1183</v>
      </c>
      <c r="G717" s="524" t="s">
        <v>776</v>
      </c>
      <c r="H717" s="527">
        <v>10000</v>
      </c>
      <c r="I717" s="524" t="s">
        <v>1148</v>
      </c>
      <c r="J717" s="524">
        <f>IF(cmf[[#This Row],[D/C]]="C",cmf[[#This Row],[Valor]],-1*cmf[[#This Row],[Valor]])</f>
        <v>10000</v>
      </c>
      <c r="L717" s="524" t="s">
        <v>1207</v>
      </c>
      <c r="M717" s="524" t="s">
        <v>1208</v>
      </c>
      <c r="N717" s="524" t="s">
        <v>1212</v>
      </c>
      <c r="O717" s="524" t="s">
        <v>1213</v>
      </c>
      <c r="P717" s="526"/>
      <c r="S717" s="527">
        <v>0</v>
      </c>
    </row>
    <row r="718" spans="1:19" x14ac:dyDescent="0.2">
      <c r="A718" s="524">
        <v>68884</v>
      </c>
      <c r="B718" s="526">
        <v>46211</v>
      </c>
      <c r="C718" s="524" t="s">
        <v>1162</v>
      </c>
      <c r="D718" s="524" t="s">
        <v>1186</v>
      </c>
      <c r="E718" s="524" t="s">
        <v>1693</v>
      </c>
      <c r="F718" s="524" t="s">
        <v>1183</v>
      </c>
      <c r="G718" s="524" t="s">
        <v>776</v>
      </c>
      <c r="H718" s="527">
        <v>10000</v>
      </c>
      <c r="I718" s="524" t="s">
        <v>1174</v>
      </c>
      <c r="J718" s="524">
        <f>IF(cmf[[#This Row],[D/C]]="C",cmf[[#This Row],[Valor]],-1*cmf[[#This Row],[Valor]])</f>
        <v>-10000</v>
      </c>
      <c r="L718" s="524" t="s">
        <v>1188</v>
      </c>
      <c r="M718" s="524" t="s">
        <v>1189</v>
      </c>
      <c r="N718" s="524" t="s">
        <v>1212</v>
      </c>
      <c r="O718" s="524" t="s">
        <v>1213</v>
      </c>
      <c r="P718" s="526"/>
      <c r="S718" s="527">
        <v>0</v>
      </c>
    </row>
    <row r="719" spans="1:19" x14ac:dyDescent="0.2">
      <c r="A719" s="524">
        <v>68887</v>
      </c>
      <c r="B719" s="526">
        <v>46211</v>
      </c>
      <c r="C719" s="524" t="s">
        <v>1148</v>
      </c>
      <c r="D719" s="524" t="s">
        <v>1226</v>
      </c>
      <c r="E719" s="524" t="s">
        <v>1694</v>
      </c>
      <c r="F719" s="524" t="s">
        <v>1170</v>
      </c>
      <c r="G719" s="524" t="s">
        <v>768</v>
      </c>
      <c r="H719" s="527">
        <v>3487.27</v>
      </c>
      <c r="I719" s="524" t="s">
        <v>1148</v>
      </c>
      <c r="J719" s="524">
        <f>IF(cmf[[#This Row],[D/C]]="C",cmf[[#This Row],[Valor]],-1*cmf[[#This Row],[Valor]])</f>
        <v>3487.27</v>
      </c>
      <c r="L719" s="524" t="s">
        <v>1230</v>
      </c>
      <c r="M719" s="524" t="s">
        <v>1231</v>
      </c>
      <c r="N719" s="524" t="s">
        <v>1219</v>
      </c>
      <c r="O719" s="524" t="s">
        <v>1220</v>
      </c>
      <c r="P719" s="526">
        <v>46211</v>
      </c>
      <c r="S719" s="527">
        <v>0</v>
      </c>
    </row>
    <row r="720" spans="1:19" x14ac:dyDescent="0.2">
      <c r="A720" s="524">
        <v>68955</v>
      </c>
      <c r="B720" s="526">
        <v>46211</v>
      </c>
      <c r="C720" s="524" t="s">
        <v>1162</v>
      </c>
      <c r="D720" s="524" t="s">
        <v>1163</v>
      </c>
      <c r="E720" s="524" t="s">
        <v>1173</v>
      </c>
      <c r="F720" s="524" t="s">
        <v>1165</v>
      </c>
      <c r="G720" s="524" t="s">
        <v>756</v>
      </c>
      <c r="H720" s="527">
        <v>8.94</v>
      </c>
      <c r="I720" s="524" t="s">
        <v>1174</v>
      </c>
      <c r="J720" s="524">
        <f>IF(cmf[[#This Row],[D/C]]="C",cmf[[#This Row],[Valor]],-1*cmf[[#This Row],[Valor]])</f>
        <v>-8.94</v>
      </c>
      <c r="L720" s="524" t="s">
        <v>1175</v>
      </c>
      <c r="M720" s="524" t="s">
        <v>1176</v>
      </c>
      <c r="N720" s="524" t="s">
        <v>1168</v>
      </c>
      <c r="O720" s="524" t="s">
        <v>1169</v>
      </c>
      <c r="P720" s="526"/>
      <c r="S720" s="527">
        <v>0</v>
      </c>
    </row>
    <row r="721" spans="1:19" x14ac:dyDescent="0.2">
      <c r="A721" s="524">
        <v>68957</v>
      </c>
      <c r="B721" s="526">
        <v>46211</v>
      </c>
      <c r="C721" s="524" t="s">
        <v>1148</v>
      </c>
      <c r="D721" s="524" t="s">
        <v>1186</v>
      </c>
      <c r="E721" s="524" t="s">
        <v>1695</v>
      </c>
      <c r="F721" s="524" t="s">
        <v>1183</v>
      </c>
      <c r="G721" s="524" t="s">
        <v>803</v>
      </c>
      <c r="H721" s="527">
        <v>320.56</v>
      </c>
      <c r="I721" s="524" t="s">
        <v>1174</v>
      </c>
      <c r="J721" s="524">
        <f>IF(cmf[[#This Row],[D/C]]="C",cmf[[#This Row],[Valor]],-1*cmf[[#This Row],[Valor]])</f>
        <v>-320.56</v>
      </c>
      <c r="L721" s="524" t="s">
        <v>1188</v>
      </c>
      <c r="M721" s="524" t="s">
        <v>1189</v>
      </c>
      <c r="N721" s="524" t="s">
        <v>1192</v>
      </c>
      <c r="O721" s="524" t="s">
        <v>1193</v>
      </c>
      <c r="P721" s="526">
        <v>46211</v>
      </c>
      <c r="S721" s="527">
        <v>0</v>
      </c>
    </row>
    <row r="722" spans="1:19" x14ac:dyDescent="0.2">
      <c r="A722" s="524">
        <v>68958</v>
      </c>
      <c r="B722" s="526">
        <v>46211</v>
      </c>
      <c r="C722" s="524" t="s">
        <v>1148</v>
      </c>
      <c r="D722" s="524" t="s">
        <v>1186</v>
      </c>
      <c r="E722" s="524" t="s">
        <v>1696</v>
      </c>
      <c r="F722" s="524" t="s">
        <v>1183</v>
      </c>
      <c r="G722" s="524" t="s">
        <v>803</v>
      </c>
      <c r="H722" s="527">
        <v>378.54</v>
      </c>
      <c r="I722" s="524" t="s">
        <v>1174</v>
      </c>
      <c r="J722" s="524">
        <f>IF(cmf[[#This Row],[D/C]]="C",cmf[[#This Row],[Valor]],-1*cmf[[#This Row],[Valor]])</f>
        <v>-378.54</v>
      </c>
      <c r="L722" s="524" t="s">
        <v>1188</v>
      </c>
      <c r="M722" s="524" t="s">
        <v>1189</v>
      </c>
      <c r="N722" s="524" t="s">
        <v>1192</v>
      </c>
      <c r="O722" s="524" t="s">
        <v>1193</v>
      </c>
      <c r="P722" s="526">
        <v>46211</v>
      </c>
      <c r="S722" s="527">
        <v>0</v>
      </c>
    </row>
    <row r="723" spans="1:19" x14ac:dyDescent="0.2">
      <c r="A723" s="524">
        <v>68959</v>
      </c>
      <c r="B723" s="526">
        <v>46211</v>
      </c>
      <c r="C723" s="524" t="s">
        <v>1148</v>
      </c>
      <c r="D723" s="524" t="s">
        <v>1186</v>
      </c>
      <c r="E723" s="524" t="s">
        <v>1697</v>
      </c>
      <c r="F723" s="524" t="s">
        <v>1183</v>
      </c>
      <c r="G723" s="524" t="s">
        <v>803</v>
      </c>
      <c r="H723" s="527">
        <v>235.96</v>
      </c>
      <c r="I723" s="524" t="s">
        <v>1174</v>
      </c>
      <c r="J723" s="524">
        <f>IF(cmf[[#This Row],[D/C]]="C",cmf[[#This Row],[Valor]],-1*cmf[[#This Row],[Valor]])</f>
        <v>-235.96</v>
      </c>
      <c r="L723" s="524" t="s">
        <v>1188</v>
      </c>
      <c r="M723" s="524" t="s">
        <v>1189</v>
      </c>
      <c r="N723" s="524" t="s">
        <v>1192</v>
      </c>
      <c r="O723" s="524" t="s">
        <v>1193</v>
      </c>
      <c r="P723" s="526">
        <v>46211</v>
      </c>
      <c r="S723" s="527">
        <v>0</v>
      </c>
    </row>
    <row r="724" spans="1:19" x14ac:dyDescent="0.2">
      <c r="A724" s="524">
        <v>68965</v>
      </c>
      <c r="B724" s="526">
        <v>46211</v>
      </c>
      <c r="C724" s="524" t="s">
        <v>1148</v>
      </c>
      <c r="D724" s="524" t="s">
        <v>1186</v>
      </c>
      <c r="E724" s="524" t="s">
        <v>1698</v>
      </c>
      <c r="F724" s="524" t="s">
        <v>1183</v>
      </c>
      <c r="G724" s="524" t="s">
        <v>742</v>
      </c>
      <c r="H724" s="527">
        <v>149</v>
      </c>
      <c r="I724" s="524" t="s">
        <v>1174</v>
      </c>
      <c r="J724" s="524">
        <f>IF(cmf[[#This Row],[D/C]]="C",cmf[[#This Row],[Valor]],-1*cmf[[#This Row],[Valor]])</f>
        <v>-149</v>
      </c>
      <c r="L724" s="524" t="s">
        <v>1188</v>
      </c>
      <c r="M724" s="524" t="s">
        <v>1189</v>
      </c>
      <c r="N724" s="524" t="s">
        <v>1215</v>
      </c>
      <c r="O724" s="524" t="s">
        <v>1218</v>
      </c>
      <c r="P724" s="526">
        <v>46211</v>
      </c>
      <c r="S724" s="527">
        <v>0</v>
      </c>
    </row>
    <row r="725" spans="1:19" x14ac:dyDescent="0.2">
      <c r="A725" s="524">
        <v>68966</v>
      </c>
      <c r="B725" s="526">
        <v>46211</v>
      </c>
      <c r="C725" s="524" t="s">
        <v>1148</v>
      </c>
      <c r="D725" s="524" t="s">
        <v>1186</v>
      </c>
      <c r="E725" s="524" t="s">
        <v>1699</v>
      </c>
      <c r="F725" s="524" t="s">
        <v>1183</v>
      </c>
      <c r="G725" s="524" t="s">
        <v>742</v>
      </c>
      <c r="H725" s="527">
        <v>428.71</v>
      </c>
      <c r="I725" s="524" t="s">
        <v>1174</v>
      </c>
      <c r="J725" s="524">
        <f>IF(cmf[[#This Row],[D/C]]="C",cmf[[#This Row],[Valor]],-1*cmf[[#This Row],[Valor]])</f>
        <v>-428.71</v>
      </c>
      <c r="L725" s="524" t="s">
        <v>1188</v>
      </c>
      <c r="M725" s="524" t="s">
        <v>1189</v>
      </c>
      <c r="N725" s="524" t="s">
        <v>1215</v>
      </c>
      <c r="O725" s="524" t="s">
        <v>1218</v>
      </c>
      <c r="P725" s="526">
        <v>46211</v>
      </c>
      <c r="S725" s="527">
        <v>0</v>
      </c>
    </row>
    <row r="726" spans="1:19" x14ac:dyDescent="0.2">
      <c r="A726" s="524">
        <v>68967</v>
      </c>
      <c r="B726" s="526">
        <v>46211</v>
      </c>
      <c r="C726" s="524" t="s">
        <v>1148</v>
      </c>
      <c r="D726" s="524" t="s">
        <v>1186</v>
      </c>
      <c r="E726" s="524" t="s">
        <v>1700</v>
      </c>
      <c r="F726" s="524" t="s">
        <v>1183</v>
      </c>
      <c r="G726" s="524" t="s">
        <v>742</v>
      </c>
      <c r="H726" s="527">
        <v>3148.08</v>
      </c>
      <c r="I726" s="524" t="s">
        <v>1174</v>
      </c>
      <c r="J726" s="524">
        <f>IF(cmf[[#This Row],[D/C]]="C",cmf[[#This Row],[Valor]],-1*cmf[[#This Row],[Valor]])</f>
        <v>-3148.08</v>
      </c>
      <c r="L726" s="524" t="s">
        <v>1188</v>
      </c>
      <c r="M726" s="524" t="s">
        <v>1189</v>
      </c>
      <c r="N726" s="524" t="s">
        <v>1215</v>
      </c>
      <c r="O726" s="524" t="s">
        <v>1218</v>
      </c>
      <c r="P726" s="526">
        <v>46211</v>
      </c>
      <c r="S726" s="527">
        <v>0</v>
      </c>
    </row>
    <row r="727" spans="1:19" x14ac:dyDescent="0.2">
      <c r="A727" s="524">
        <v>68968</v>
      </c>
      <c r="B727" s="526">
        <v>46211</v>
      </c>
      <c r="C727" s="524" t="s">
        <v>1148</v>
      </c>
      <c r="D727" s="524" t="s">
        <v>1186</v>
      </c>
      <c r="E727" s="524" t="s">
        <v>1701</v>
      </c>
      <c r="F727" s="524" t="s">
        <v>1183</v>
      </c>
      <c r="G727" s="524" t="s">
        <v>742</v>
      </c>
      <c r="H727" s="527">
        <v>7516.81</v>
      </c>
      <c r="I727" s="524" t="s">
        <v>1174</v>
      </c>
      <c r="J727" s="524">
        <f>IF(cmf[[#This Row],[D/C]]="C",cmf[[#This Row],[Valor]],-1*cmf[[#This Row],[Valor]])</f>
        <v>-7516.81</v>
      </c>
      <c r="L727" s="524" t="s">
        <v>1188</v>
      </c>
      <c r="M727" s="524" t="s">
        <v>1189</v>
      </c>
      <c r="N727" s="524" t="s">
        <v>1215</v>
      </c>
      <c r="O727" s="524" t="s">
        <v>1218</v>
      </c>
      <c r="P727" s="526">
        <v>46211</v>
      </c>
      <c r="S727" s="527">
        <v>0</v>
      </c>
    </row>
    <row r="728" spans="1:19" x14ac:dyDescent="0.2">
      <c r="A728" s="524">
        <v>68969</v>
      </c>
      <c r="B728" s="526">
        <v>46211</v>
      </c>
      <c r="C728" s="524" t="s">
        <v>1148</v>
      </c>
      <c r="D728" s="524" t="s">
        <v>1186</v>
      </c>
      <c r="E728" s="524" t="s">
        <v>1702</v>
      </c>
      <c r="F728" s="524" t="s">
        <v>1183</v>
      </c>
      <c r="G728" s="524" t="s">
        <v>742</v>
      </c>
      <c r="H728" s="527">
        <v>152.38</v>
      </c>
      <c r="I728" s="524" t="s">
        <v>1174</v>
      </c>
      <c r="J728" s="524">
        <f>IF(cmf[[#This Row],[D/C]]="C",cmf[[#This Row],[Valor]],-1*cmf[[#This Row],[Valor]])</f>
        <v>-152.38</v>
      </c>
      <c r="L728" s="524" t="s">
        <v>1188</v>
      </c>
      <c r="M728" s="524" t="s">
        <v>1189</v>
      </c>
      <c r="N728" s="524" t="s">
        <v>1215</v>
      </c>
      <c r="O728" s="524" t="s">
        <v>1218</v>
      </c>
      <c r="P728" s="526">
        <v>46211</v>
      </c>
      <c r="S728" s="527">
        <v>0</v>
      </c>
    </row>
    <row r="729" spans="1:19" x14ac:dyDescent="0.2">
      <c r="A729" s="524">
        <v>68977</v>
      </c>
      <c r="B729" s="526">
        <v>46211</v>
      </c>
      <c r="C729" s="524" t="s">
        <v>1162</v>
      </c>
      <c r="D729" s="524" t="s">
        <v>1186</v>
      </c>
      <c r="E729" s="524" t="s">
        <v>1703</v>
      </c>
      <c r="F729" s="524" t="s">
        <v>1170</v>
      </c>
      <c r="G729" s="524" t="s">
        <v>781</v>
      </c>
      <c r="H729" s="527">
        <v>1865.83</v>
      </c>
      <c r="I729" s="524" t="s">
        <v>1174</v>
      </c>
      <c r="J729" s="524">
        <f>IF(cmf[[#This Row],[D/C]]="C",cmf[[#This Row],[Valor]],-1*cmf[[#This Row],[Valor]])</f>
        <v>-1865.83</v>
      </c>
      <c r="L729" s="524" t="s">
        <v>1188</v>
      </c>
      <c r="M729" s="524" t="s">
        <v>1189</v>
      </c>
      <c r="N729" s="524" t="s">
        <v>1209</v>
      </c>
      <c r="O729" s="524" t="s">
        <v>1210</v>
      </c>
      <c r="P729" s="526"/>
      <c r="S729" s="527">
        <v>0</v>
      </c>
    </row>
    <row r="730" spans="1:19" x14ac:dyDescent="0.2">
      <c r="A730" s="524">
        <v>68978</v>
      </c>
      <c r="B730" s="526">
        <v>46211</v>
      </c>
      <c r="C730" s="524" t="s">
        <v>1162</v>
      </c>
      <c r="D730" s="524" t="s">
        <v>1186</v>
      </c>
      <c r="E730" s="524" t="s">
        <v>1704</v>
      </c>
      <c r="F730" s="524" t="s">
        <v>1170</v>
      </c>
      <c r="G730" s="524" t="s">
        <v>781</v>
      </c>
      <c r="H730" s="527">
        <v>792.68</v>
      </c>
      <c r="I730" s="524" t="s">
        <v>1174</v>
      </c>
      <c r="J730" s="524">
        <f>IF(cmf[[#This Row],[D/C]]="C",cmf[[#This Row],[Valor]],-1*cmf[[#This Row],[Valor]])</f>
        <v>-792.68</v>
      </c>
      <c r="L730" s="524" t="s">
        <v>1188</v>
      </c>
      <c r="M730" s="524" t="s">
        <v>1189</v>
      </c>
      <c r="N730" s="524" t="s">
        <v>1209</v>
      </c>
      <c r="O730" s="524" t="s">
        <v>1210</v>
      </c>
      <c r="P730" s="526"/>
      <c r="S730" s="527">
        <v>0</v>
      </c>
    </row>
    <row r="731" spans="1:19" x14ac:dyDescent="0.2">
      <c r="A731" s="524">
        <v>68979</v>
      </c>
      <c r="B731" s="526">
        <v>46211</v>
      </c>
      <c r="C731" s="524" t="s">
        <v>1162</v>
      </c>
      <c r="D731" s="524" t="s">
        <v>1186</v>
      </c>
      <c r="E731" s="524" t="s">
        <v>1705</v>
      </c>
      <c r="F731" s="524" t="s">
        <v>1170</v>
      </c>
      <c r="G731" s="524" t="s">
        <v>781</v>
      </c>
      <c r="H731" s="527">
        <v>331.13</v>
      </c>
      <c r="I731" s="524" t="s">
        <v>1174</v>
      </c>
      <c r="J731" s="524">
        <f>IF(cmf[[#This Row],[D/C]]="C",cmf[[#This Row],[Valor]],-1*cmf[[#This Row],[Valor]])</f>
        <v>-331.13</v>
      </c>
      <c r="L731" s="524" t="s">
        <v>1188</v>
      </c>
      <c r="M731" s="524" t="s">
        <v>1189</v>
      </c>
      <c r="N731" s="524" t="s">
        <v>1209</v>
      </c>
      <c r="O731" s="524" t="s">
        <v>1210</v>
      </c>
      <c r="P731" s="526"/>
      <c r="S731" s="527">
        <v>0</v>
      </c>
    </row>
    <row r="732" spans="1:19" x14ac:dyDescent="0.2">
      <c r="A732" s="524">
        <v>68980</v>
      </c>
      <c r="B732" s="526">
        <v>46211</v>
      </c>
      <c r="C732" s="524" t="s">
        <v>1162</v>
      </c>
      <c r="D732" s="524" t="s">
        <v>1186</v>
      </c>
      <c r="E732" s="524" t="s">
        <v>1706</v>
      </c>
      <c r="F732" s="524" t="s">
        <v>1170</v>
      </c>
      <c r="G732" s="524" t="s">
        <v>781</v>
      </c>
      <c r="H732" s="527">
        <v>490</v>
      </c>
      <c r="I732" s="524" t="s">
        <v>1174</v>
      </c>
      <c r="J732" s="524">
        <f>IF(cmf[[#This Row],[D/C]]="C",cmf[[#This Row],[Valor]],-1*cmf[[#This Row],[Valor]])</f>
        <v>-490</v>
      </c>
      <c r="L732" s="524" t="s">
        <v>1188</v>
      </c>
      <c r="M732" s="524" t="s">
        <v>1189</v>
      </c>
      <c r="N732" s="524" t="s">
        <v>1209</v>
      </c>
      <c r="O732" s="524" t="s">
        <v>1210</v>
      </c>
      <c r="P732" s="526"/>
      <c r="S732" s="527">
        <v>0</v>
      </c>
    </row>
    <row r="733" spans="1:19" x14ac:dyDescent="0.2">
      <c r="A733" s="524">
        <v>68981</v>
      </c>
      <c r="B733" s="526">
        <v>46211</v>
      </c>
      <c r="C733" s="524" t="s">
        <v>1162</v>
      </c>
      <c r="D733" s="524" t="s">
        <v>1186</v>
      </c>
      <c r="E733" s="524" t="s">
        <v>1707</v>
      </c>
      <c r="F733" s="524" t="s">
        <v>1170</v>
      </c>
      <c r="G733" s="524" t="s">
        <v>781</v>
      </c>
      <c r="H733" s="527">
        <v>3077.39</v>
      </c>
      <c r="I733" s="524" t="s">
        <v>1174</v>
      </c>
      <c r="J733" s="524">
        <f>IF(cmf[[#This Row],[D/C]]="C",cmf[[#This Row],[Valor]],-1*cmf[[#This Row],[Valor]])</f>
        <v>-3077.39</v>
      </c>
      <c r="L733" s="524" t="s">
        <v>1188</v>
      </c>
      <c r="M733" s="524" t="s">
        <v>1189</v>
      </c>
      <c r="N733" s="524" t="s">
        <v>1209</v>
      </c>
      <c r="O733" s="524" t="s">
        <v>1210</v>
      </c>
      <c r="P733" s="526"/>
      <c r="S733" s="527">
        <v>0</v>
      </c>
    </row>
    <row r="734" spans="1:19" x14ac:dyDescent="0.2">
      <c r="A734" s="524">
        <v>68982</v>
      </c>
      <c r="B734" s="526">
        <v>46211</v>
      </c>
      <c r="C734" s="524" t="s">
        <v>1162</v>
      </c>
      <c r="D734" s="524" t="s">
        <v>1186</v>
      </c>
      <c r="E734" s="524" t="s">
        <v>1708</v>
      </c>
      <c r="F734" s="524" t="s">
        <v>1170</v>
      </c>
      <c r="G734" s="524" t="s">
        <v>781</v>
      </c>
      <c r="H734" s="527">
        <v>36.96</v>
      </c>
      <c r="I734" s="524" t="s">
        <v>1174</v>
      </c>
      <c r="J734" s="524">
        <f>IF(cmf[[#This Row],[D/C]]="C",cmf[[#This Row],[Valor]],-1*cmf[[#This Row],[Valor]])</f>
        <v>-36.96</v>
      </c>
      <c r="L734" s="524" t="s">
        <v>1188</v>
      </c>
      <c r="M734" s="524" t="s">
        <v>1189</v>
      </c>
      <c r="N734" s="524" t="s">
        <v>1209</v>
      </c>
      <c r="O734" s="524" t="s">
        <v>1210</v>
      </c>
      <c r="P734" s="526"/>
      <c r="S734" s="527">
        <v>0</v>
      </c>
    </row>
    <row r="735" spans="1:19" x14ac:dyDescent="0.2">
      <c r="A735" s="524">
        <v>68983</v>
      </c>
      <c r="B735" s="526">
        <v>46211</v>
      </c>
      <c r="C735" s="524" t="s">
        <v>1162</v>
      </c>
      <c r="D735" s="524" t="s">
        <v>1186</v>
      </c>
      <c r="E735" s="524" t="s">
        <v>1709</v>
      </c>
      <c r="F735" s="524" t="s">
        <v>1170</v>
      </c>
      <c r="G735" s="524" t="s">
        <v>781</v>
      </c>
      <c r="H735" s="527">
        <v>3378.13</v>
      </c>
      <c r="I735" s="524" t="s">
        <v>1174</v>
      </c>
      <c r="J735" s="524">
        <f>IF(cmf[[#This Row],[D/C]]="C",cmf[[#This Row],[Valor]],-1*cmf[[#This Row],[Valor]])</f>
        <v>-3378.13</v>
      </c>
      <c r="L735" s="524" t="s">
        <v>1188</v>
      </c>
      <c r="M735" s="524" t="s">
        <v>1189</v>
      </c>
      <c r="N735" s="524" t="s">
        <v>1209</v>
      </c>
      <c r="O735" s="524" t="s">
        <v>1210</v>
      </c>
      <c r="P735" s="526"/>
      <c r="S735" s="527">
        <v>0</v>
      </c>
    </row>
    <row r="736" spans="1:19" x14ac:dyDescent="0.2">
      <c r="A736" s="524">
        <v>68984</v>
      </c>
      <c r="B736" s="526">
        <v>46211</v>
      </c>
      <c r="C736" s="524" t="s">
        <v>1162</v>
      </c>
      <c r="D736" s="524" t="s">
        <v>1186</v>
      </c>
      <c r="E736" s="524" t="s">
        <v>1710</v>
      </c>
      <c r="F736" s="524" t="s">
        <v>1170</v>
      </c>
      <c r="G736" s="524" t="s">
        <v>781</v>
      </c>
      <c r="H736" s="527">
        <v>36.96</v>
      </c>
      <c r="I736" s="524" t="s">
        <v>1174</v>
      </c>
      <c r="J736" s="524">
        <f>IF(cmf[[#This Row],[D/C]]="C",cmf[[#This Row],[Valor]],-1*cmf[[#This Row],[Valor]])</f>
        <v>-36.96</v>
      </c>
      <c r="L736" s="524" t="s">
        <v>1188</v>
      </c>
      <c r="M736" s="524" t="s">
        <v>1189</v>
      </c>
      <c r="N736" s="524" t="s">
        <v>1209</v>
      </c>
      <c r="O736" s="524" t="s">
        <v>1210</v>
      </c>
      <c r="P736" s="526"/>
      <c r="S736" s="527">
        <v>0</v>
      </c>
    </row>
    <row r="737" spans="1:19" x14ac:dyDescent="0.2">
      <c r="A737" s="524">
        <v>68985</v>
      </c>
      <c r="B737" s="526">
        <v>46211</v>
      </c>
      <c r="C737" s="524" t="s">
        <v>1162</v>
      </c>
      <c r="D737" s="524" t="s">
        <v>1186</v>
      </c>
      <c r="E737" s="524" t="s">
        <v>1711</v>
      </c>
      <c r="F737" s="524" t="s">
        <v>1170</v>
      </c>
      <c r="G737" s="524" t="s">
        <v>781</v>
      </c>
      <c r="H737" s="527">
        <v>4304.8100000000004</v>
      </c>
      <c r="I737" s="524" t="s">
        <v>1174</v>
      </c>
      <c r="J737" s="524">
        <f>IF(cmf[[#This Row],[D/C]]="C",cmf[[#This Row],[Valor]],-1*cmf[[#This Row],[Valor]])</f>
        <v>-4304.8100000000004</v>
      </c>
      <c r="L737" s="524" t="s">
        <v>1188</v>
      </c>
      <c r="M737" s="524" t="s">
        <v>1189</v>
      </c>
      <c r="N737" s="524" t="s">
        <v>1209</v>
      </c>
      <c r="O737" s="524" t="s">
        <v>1210</v>
      </c>
      <c r="P737" s="526"/>
      <c r="S737" s="527">
        <v>0</v>
      </c>
    </row>
    <row r="738" spans="1:19" x14ac:dyDescent="0.2">
      <c r="A738" s="524">
        <v>68986</v>
      </c>
      <c r="B738" s="526">
        <v>46211</v>
      </c>
      <c r="C738" s="524" t="s">
        <v>1162</v>
      </c>
      <c r="D738" s="524" t="s">
        <v>1186</v>
      </c>
      <c r="E738" s="524" t="s">
        <v>1712</v>
      </c>
      <c r="F738" s="524" t="s">
        <v>1170</v>
      </c>
      <c r="G738" s="524" t="s">
        <v>781</v>
      </c>
      <c r="H738" s="527">
        <v>642.48</v>
      </c>
      <c r="I738" s="524" t="s">
        <v>1174</v>
      </c>
      <c r="J738" s="524">
        <f>IF(cmf[[#This Row],[D/C]]="C",cmf[[#This Row],[Valor]],-1*cmf[[#This Row],[Valor]])</f>
        <v>-642.48</v>
      </c>
      <c r="L738" s="524" t="s">
        <v>1188</v>
      </c>
      <c r="M738" s="524" t="s">
        <v>1189</v>
      </c>
      <c r="N738" s="524" t="s">
        <v>1209</v>
      </c>
      <c r="O738" s="524" t="s">
        <v>1210</v>
      </c>
      <c r="P738" s="526"/>
      <c r="S738" s="527">
        <v>0</v>
      </c>
    </row>
    <row r="739" spans="1:19" x14ac:dyDescent="0.2">
      <c r="A739" s="524">
        <v>68987</v>
      </c>
      <c r="B739" s="526">
        <v>46211</v>
      </c>
      <c r="C739" s="524" t="s">
        <v>1162</v>
      </c>
      <c r="D739" s="524" t="s">
        <v>1186</v>
      </c>
      <c r="E739" s="524" t="s">
        <v>1713</v>
      </c>
      <c r="F739" s="524" t="s">
        <v>1170</v>
      </c>
      <c r="G739" s="524" t="s">
        <v>781</v>
      </c>
      <c r="H739" s="527">
        <v>3376.79</v>
      </c>
      <c r="I739" s="524" t="s">
        <v>1174</v>
      </c>
      <c r="J739" s="524">
        <f>IF(cmf[[#This Row],[D/C]]="C",cmf[[#This Row],[Valor]],-1*cmf[[#This Row],[Valor]])</f>
        <v>-3376.79</v>
      </c>
      <c r="L739" s="524" t="s">
        <v>1188</v>
      </c>
      <c r="M739" s="524" t="s">
        <v>1189</v>
      </c>
      <c r="N739" s="524" t="s">
        <v>1209</v>
      </c>
      <c r="O739" s="524" t="s">
        <v>1210</v>
      </c>
      <c r="P739" s="526"/>
      <c r="S739" s="527">
        <v>0</v>
      </c>
    </row>
    <row r="740" spans="1:19" x14ac:dyDescent="0.2">
      <c r="A740" s="524">
        <v>68988</v>
      </c>
      <c r="B740" s="526">
        <v>46211</v>
      </c>
      <c r="C740" s="524" t="s">
        <v>1162</v>
      </c>
      <c r="D740" s="524" t="s">
        <v>1186</v>
      </c>
      <c r="E740" s="524" t="s">
        <v>1714</v>
      </c>
      <c r="F740" s="524" t="s">
        <v>1170</v>
      </c>
      <c r="G740" s="524" t="s">
        <v>781</v>
      </c>
      <c r="H740" s="527">
        <v>3077.39</v>
      </c>
      <c r="I740" s="524" t="s">
        <v>1174</v>
      </c>
      <c r="J740" s="524">
        <f>IF(cmf[[#This Row],[D/C]]="C",cmf[[#This Row],[Valor]],-1*cmf[[#This Row],[Valor]])</f>
        <v>-3077.39</v>
      </c>
      <c r="L740" s="524" t="s">
        <v>1188</v>
      </c>
      <c r="M740" s="524" t="s">
        <v>1189</v>
      </c>
      <c r="N740" s="524" t="s">
        <v>1209</v>
      </c>
      <c r="O740" s="524" t="s">
        <v>1210</v>
      </c>
      <c r="P740" s="526"/>
      <c r="S740" s="527">
        <v>0</v>
      </c>
    </row>
    <row r="741" spans="1:19" x14ac:dyDescent="0.2">
      <c r="A741" s="524">
        <v>68989</v>
      </c>
      <c r="B741" s="526">
        <v>46211</v>
      </c>
      <c r="C741" s="524" t="s">
        <v>1162</v>
      </c>
      <c r="D741" s="524" t="s">
        <v>1186</v>
      </c>
      <c r="E741" s="524" t="s">
        <v>1715</v>
      </c>
      <c r="F741" s="524" t="s">
        <v>1170</v>
      </c>
      <c r="G741" s="524" t="s">
        <v>781</v>
      </c>
      <c r="H741" s="527">
        <v>3005</v>
      </c>
      <c r="I741" s="524" t="s">
        <v>1174</v>
      </c>
      <c r="J741" s="524">
        <f>IF(cmf[[#This Row],[D/C]]="C",cmf[[#This Row],[Valor]],-1*cmf[[#This Row],[Valor]])</f>
        <v>-3005</v>
      </c>
      <c r="L741" s="524" t="s">
        <v>1188</v>
      </c>
      <c r="M741" s="524" t="s">
        <v>1189</v>
      </c>
      <c r="N741" s="524" t="s">
        <v>1209</v>
      </c>
      <c r="O741" s="524" t="s">
        <v>1210</v>
      </c>
      <c r="P741" s="526"/>
      <c r="S741" s="527">
        <v>0</v>
      </c>
    </row>
    <row r="742" spans="1:19" x14ac:dyDescent="0.2">
      <c r="A742" s="524">
        <v>68990</v>
      </c>
      <c r="B742" s="526">
        <v>46211</v>
      </c>
      <c r="C742" s="524" t="s">
        <v>1162</v>
      </c>
      <c r="D742" s="524" t="s">
        <v>1186</v>
      </c>
      <c r="E742" s="524" t="s">
        <v>1716</v>
      </c>
      <c r="F742" s="524" t="s">
        <v>1170</v>
      </c>
      <c r="G742" s="524" t="s">
        <v>781</v>
      </c>
      <c r="H742" s="527">
        <v>6857.39</v>
      </c>
      <c r="I742" s="524" t="s">
        <v>1174</v>
      </c>
      <c r="J742" s="524">
        <f>IF(cmf[[#This Row],[D/C]]="C",cmf[[#This Row],[Valor]],-1*cmf[[#This Row],[Valor]])</f>
        <v>-6857.39</v>
      </c>
      <c r="L742" s="524" t="s">
        <v>1188</v>
      </c>
      <c r="M742" s="524" t="s">
        <v>1189</v>
      </c>
      <c r="N742" s="524" t="s">
        <v>1209</v>
      </c>
      <c r="O742" s="524" t="s">
        <v>1210</v>
      </c>
      <c r="P742" s="526"/>
      <c r="S742" s="527">
        <v>0</v>
      </c>
    </row>
    <row r="743" spans="1:19" x14ac:dyDescent="0.2">
      <c r="A743" s="524">
        <v>68991</v>
      </c>
      <c r="B743" s="526">
        <v>46211</v>
      </c>
      <c r="C743" s="524" t="s">
        <v>1162</v>
      </c>
      <c r="D743" s="524" t="s">
        <v>1186</v>
      </c>
      <c r="E743" s="524" t="s">
        <v>1717</v>
      </c>
      <c r="F743" s="524" t="s">
        <v>1170</v>
      </c>
      <c r="G743" s="524" t="s">
        <v>781</v>
      </c>
      <c r="H743" s="527">
        <v>1637</v>
      </c>
      <c r="I743" s="524" t="s">
        <v>1174</v>
      </c>
      <c r="J743" s="524">
        <f>IF(cmf[[#This Row],[D/C]]="C",cmf[[#This Row],[Valor]],-1*cmf[[#This Row],[Valor]])</f>
        <v>-1637</v>
      </c>
      <c r="L743" s="524" t="s">
        <v>1188</v>
      </c>
      <c r="M743" s="524" t="s">
        <v>1189</v>
      </c>
      <c r="N743" s="524" t="s">
        <v>1209</v>
      </c>
      <c r="O743" s="524" t="s">
        <v>1210</v>
      </c>
      <c r="P743" s="526"/>
      <c r="S743" s="527">
        <v>0</v>
      </c>
    </row>
    <row r="744" spans="1:19" x14ac:dyDescent="0.2">
      <c r="A744" s="524">
        <v>68992</v>
      </c>
      <c r="B744" s="526">
        <v>46211</v>
      </c>
      <c r="C744" s="524" t="s">
        <v>1162</v>
      </c>
      <c r="D744" s="524" t="s">
        <v>1186</v>
      </c>
      <c r="E744" s="524" t="s">
        <v>1718</v>
      </c>
      <c r="F744" s="524" t="s">
        <v>1170</v>
      </c>
      <c r="G744" s="524" t="s">
        <v>781</v>
      </c>
      <c r="H744" s="527">
        <v>227.69</v>
      </c>
      <c r="I744" s="524" t="s">
        <v>1174</v>
      </c>
      <c r="J744" s="524">
        <f>IF(cmf[[#This Row],[D/C]]="C",cmf[[#This Row],[Valor]],-1*cmf[[#This Row],[Valor]])</f>
        <v>-227.69</v>
      </c>
      <c r="L744" s="524" t="s">
        <v>1188</v>
      </c>
      <c r="M744" s="524" t="s">
        <v>1189</v>
      </c>
      <c r="N744" s="524" t="s">
        <v>1209</v>
      </c>
      <c r="O744" s="524" t="s">
        <v>1210</v>
      </c>
      <c r="P744" s="526"/>
      <c r="S744" s="527">
        <v>0</v>
      </c>
    </row>
    <row r="745" spans="1:19" x14ac:dyDescent="0.2">
      <c r="A745" s="524">
        <v>69350</v>
      </c>
      <c r="B745" s="526">
        <v>46211</v>
      </c>
      <c r="C745" s="524" t="s">
        <v>1148</v>
      </c>
      <c r="D745" s="524" t="s">
        <v>1243</v>
      </c>
      <c r="E745" s="524" t="s">
        <v>1244</v>
      </c>
      <c r="F745" s="524" t="s">
        <v>1183</v>
      </c>
      <c r="G745" s="524" t="s">
        <v>803</v>
      </c>
      <c r="H745" s="527">
        <v>556.51</v>
      </c>
      <c r="I745" s="524" t="s">
        <v>1148</v>
      </c>
      <c r="J745" s="524">
        <f>IF(cmf[[#This Row],[D/C]]="C",cmf[[#This Row],[Valor]],-1*cmf[[#This Row],[Valor]])</f>
        <v>556.51</v>
      </c>
      <c r="L745" s="524" t="s">
        <v>1245</v>
      </c>
      <c r="M745" s="524" t="s">
        <v>1246</v>
      </c>
      <c r="N745" s="524" t="s">
        <v>1192</v>
      </c>
      <c r="O745" s="524" t="s">
        <v>1193</v>
      </c>
      <c r="P745" s="526">
        <v>46211</v>
      </c>
      <c r="S745" s="527">
        <v>0</v>
      </c>
    </row>
    <row r="746" spans="1:19" x14ac:dyDescent="0.2">
      <c r="A746" s="524">
        <v>69351</v>
      </c>
      <c r="B746" s="526">
        <v>46211</v>
      </c>
      <c r="C746" s="524" t="s">
        <v>1148</v>
      </c>
      <c r="D746" s="524" t="s">
        <v>1243</v>
      </c>
      <c r="E746" s="524" t="s">
        <v>1244</v>
      </c>
      <c r="F746" s="524" t="s">
        <v>1183</v>
      </c>
      <c r="G746" s="524" t="s">
        <v>803</v>
      </c>
      <c r="H746" s="527">
        <v>0.01</v>
      </c>
      <c r="I746" s="524" t="s">
        <v>1148</v>
      </c>
      <c r="J746" s="524">
        <f>IF(cmf[[#This Row],[D/C]]="C",cmf[[#This Row],[Valor]],-1*cmf[[#This Row],[Valor]])</f>
        <v>0.01</v>
      </c>
      <c r="L746" s="524" t="s">
        <v>1245</v>
      </c>
      <c r="M746" s="524" t="s">
        <v>1246</v>
      </c>
      <c r="N746" s="524" t="s">
        <v>1192</v>
      </c>
      <c r="O746" s="524" t="s">
        <v>1193</v>
      </c>
      <c r="P746" s="526">
        <v>46211</v>
      </c>
      <c r="S746" s="527">
        <v>0</v>
      </c>
    </row>
    <row r="747" spans="1:19" x14ac:dyDescent="0.2">
      <c r="A747" s="524">
        <v>69395</v>
      </c>
      <c r="B747" s="526">
        <v>46211</v>
      </c>
      <c r="C747" s="524" t="s">
        <v>1148</v>
      </c>
      <c r="D747" s="524" t="s">
        <v>1239</v>
      </c>
      <c r="E747" s="524" t="s">
        <v>1719</v>
      </c>
      <c r="F747" s="524" t="s">
        <v>1183</v>
      </c>
      <c r="G747" s="524" t="s">
        <v>803</v>
      </c>
      <c r="H747" s="527">
        <v>378.54</v>
      </c>
      <c r="I747" s="524" t="s">
        <v>1148</v>
      </c>
      <c r="J747" s="524">
        <f>IF(cmf[[#This Row],[D/C]]="C",cmf[[#This Row],[Valor]],-1*cmf[[#This Row],[Valor]])</f>
        <v>378.54</v>
      </c>
      <c r="L747" s="524" t="s">
        <v>1264</v>
      </c>
      <c r="M747" s="524" t="s">
        <v>1265</v>
      </c>
      <c r="N747" s="524" t="s">
        <v>1192</v>
      </c>
      <c r="O747" s="524" t="s">
        <v>1193</v>
      </c>
      <c r="P747" s="526">
        <v>46211</v>
      </c>
      <c r="S747" s="527">
        <v>0</v>
      </c>
    </row>
    <row r="748" spans="1:19" x14ac:dyDescent="0.2">
      <c r="A748" s="524">
        <v>69428</v>
      </c>
      <c r="B748" s="526">
        <v>46211</v>
      </c>
      <c r="C748" s="524" t="s">
        <v>1148</v>
      </c>
      <c r="D748" s="524" t="s">
        <v>1226</v>
      </c>
      <c r="E748" s="524" t="s">
        <v>1720</v>
      </c>
      <c r="F748" s="524" t="s">
        <v>1170</v>
      </c>
      <c r="G748" s="524" t="s">
        <v>1102</v>
      </c>
      <c r="H748" s="527">
        <v>1270.25</v>
      </c>
      <c r="I748" s="524" t="s">
        <v>1148</v>
      </c>
      <c r="J748" s="524">
        <f>IF(cmf[[#This Row],[D/C]]="C",cmf[[#This Row],[Valor]],-1*cmf[[#This Row],[Valor]])</f>
        <v>1270.25</v>
      </c>
      <c r="L748" s="524" t="s">
        <v>1230</v>
      </c>
      <c r="M748" s="524" t="s">
        <v>1231</v>
      </c>
      <c r="N748" s="524" t="s">
        <v>1192</v>
      </c>
      <c r="O748" s="524" t="s">
        <v>1193</v>
      </c>
      <c r="P748" s="526">
        <v>46211</v>
      </c>
      <c r="S748" s="527">
        <v>0</v>
      </c>
    </row>
    <row r="749" spans="1:19" x14ac:dyDescent="0.2">
      <c r="A749" s="524">
        <v>69429</v>
      </c>
      <c r="B749" s="526">
        <v>46211</v>
      </c>
      <c r="C749" s="524" t="s">
        <v>1148</v>
      </c>
      <c r="D749" s="524" t="s">
        <v>1226</v>
      </c>
      <c r="E749" s="524" t="s">
        <v>1721</v>
      </c>
      <c r="F749" s="524" t="s">
        <v>1170</v>
      </c>
      <c r="G749" s="524" t="s">
        <v>1102</v>
      </c>
      <c r="H749" s="527">
        <v>575.08000000000004</v>
      </c>
      <c r="I749" s="524" t="s">
        <v>1148</v>
      </c>
      <c r="J749" s="524">
        <f>IF(cmf[[#This Row],[D/C]]="C",cmf[[#This Row],[Valor]],-1*cmf[[#This Row],[Valor]])</f>
        <v>575.08000000000004</v>
      </c>
      <c r="L749" s="524" t="s">
        <v>1230</v>
      </c>
      <c r="M749" s="524" t="s">
        <v>1231</v>
      </c>
      <c r="N749" s="524" t="s">
        <v>1192</v>
      </c>
      <c r="O749" s="524" t="s">
        <v>1193</v>
      </c>
      <c r="P749" s="526">
        <v>46211</v>
      </c>
      <c r="S749" s="527">
        <v>0</v>
      </c>
    </row>
    <row r="750" spans="1:19" x14ac:dyDescent="0.2">
      <c r="A750" s="524">
        <v>69435</v>
      </c>
      <c r="B750" s="526">
        <v>46211</v>
      </c>
      <c r="C750" s="524" t="s">
        <v>1148</v>
      </c>
      <c r="D750" s="524" t="s">
        <v>1226</v>
      </c>
      <c r="E750" s="524" t="s">
        <v>1722</v>
      </c>
      <c r="F750" s="524" t="s">
        <v>1170</v>
      </c>
      <c r="G750" s="524" t="s">
        <v>1102</v>
      </c>
      <c r="H750" s="527">
        <v>1129.6199999999999</v>
      </c>
      <c r="I750" s="524" t="s">
        <v>1148</v>
      </c>
      <c r="J750" s="524">
        <f>IF(cmf[[#This Row],[D/C]]="C",cmf[[#This Row],[Valor]],-1*cmf[[#This Row],[Valor]])</f>
        <v>1129.6199999999999</v>
      </c>
      <c r="L750" s="524" t="s">
        <v>1230</v>
      </c>
      <c r="M750" s="524" t="s">
        <v>1231</v>
      </c>
      <c r="N750" s="524" t="s">
        <v>1192</v>
      </c>
      <c r="O750" s="524" t="s">
        <v>1193</v>
      </c>
      <c r="P750" s="526">
        <v>46211</v>
      </c>
      <c r="S750" s="527">
        <v>0</v>
      </c>
    </row>
    <row r="751" spans="1:19" x14ac:dyDescent="0.2">
      <c r="A751" s="524">
        <v>69436</v>
      </c>
      <c r="B751" s="526">
        <v>46211</v>
      </c>
      <c r="C751" s="524" t="s">
        <v>1148</v>
      </c>
      <c r="D751" s="524" t="s">
        <v>1226</v>
      </c>
      <c r="E751" s="524" t="s">
        <v>1723</v>
      </c>
      <c r="F751" s="524" t="s">
        <v>1170</v>
      </c>
      <c r="G751" s="524" t="s">
        <v>1102</v>
      </c>
      <c r="H751" s="527">
        <v>1408.86</v>
      </c>
      <c r="I751" s="524" t="s">
        <v>1148</v>
      </c>
      <c r="J751" s="524">
        <f>IF(cmf[[#This Row],[D/C]]="C",cmf[[#This Row],[Valor]],-1*cmf[[#This Row],[Valor]])</f>
        <v>1408.86</v>
      </c>
      <c r="L751" s="524" t="s">
        <v>1230</v>
      </c>
      <c r="M751" s="524" t="s">
        <v>1231</v>
      </c>
      <c r="N751" s="524" t="s">
        <v>1192</v>
      </c>
      <c r="O751" s="524" t="s">
        <v>1193</v>
      </c>
      <c r="P751" s="526">
        <v>46211</v>
      </c>
      <c r="S751" s="527">
        <v>0</v>
      </c>
    </row>
    <row r="752" spans="1:19" x14ac:dyDescent="0.2">
      <c r="A752" s="524">
        <v>69439</v>
      </c>
      <c r="B752" s="526">
        <v>46211</v>
      </c>
      <c r="C752" s="524" t="s">
        <v>1148</v>
      </c>
      <c r="D752" s="524" t="s">
        <v>1226</v>
      </c>
      <c r="E752" s="524" t="s">
        <v>1724</v>
      </c>
      <c r="F752" s="524" t="s">
        <v>1170</v>
      </c>
      <c r="G752" s="524" t="s">
        <v>1102</v>
      </c>
      <c r="H752" s="527">
        <v>2051.98</v>
      </c>
      <c r="I752" s="524" t="s">
        <v>1148</v>
      </c>
      <c r="J752" s="524">
        <f>IF(cmf[[#This Row],[D/C]]="C",cmf[[#This Row],[Valor]],-1*cmf[[#This Row],[Valor]])</f>
        <v>2051.98</v>
      </c>
      <c r="L752" s="524" t="s">
        <v>1230</v>
      </c>
      <c r="M752" s="524" t="s">
        <v>1231</v>
      </c>
      <c r="N752" s="524" t="s">
        <v>1192</v>
      </c>
      <c r="O752" s="524" t="s">
        <v>1193</v>
      </c>
      <c r="P752" s="526">
        <v>46211</v>
      </c>
      <c r="S752" s="527">
        <v>0</v>
      </c>
    </row>
    <row r="753" spans="1:19" x14ac:dyDescent="0.2">
      <c r="A753" s="524">
        <v>69440</v>
      </c>
      <c r="B753" s="526">
        <v>46211</v>
      </c>
      <c r="C753" s="524" t="s">
        <v>1148</v>
      </c>
      <c r="D753" s="524" t="s">
        <v>1226</v>
      </c>
      <c r="E753" s="524" t="s">
        <v>1725</v>
      </c>
      <c r="F753" s="524" t="s">
        <v>1170</v>
      </c>
      <c r="G753" s="524" t="s">
        <v>1102</v>
      </c>
      <c r="H753" s="527">
        <v>605.9</v>
      </c>
      <c r="I753" s="524" t="s">
        <v>1148</v>
      </c>
      <c r="J753" s="524">
        <f>IF(cmf[[#This Row],[D/C]]="C",cmf[[#This Row],[Valor]],-1*cmf[[#This Row],[Valor]])</f>
        <v>605.9</v>
      </c>
      <c r="L753" s="524" t="s">
        <v>1230</v>
      </c>
      <c r="M753" s="524" t="s">
        <v>1231</v>
      </c>
      <c r="N753" s="524" t="s">
        <v>1192</v>
      </c>
      <c r="O753" s="524" t="s">
        <v>1193</v>
      </c>
      <c r="P753" s="526">
        <v>46211</v>
      </c>
      <c r="S753" s="527">
        <v>0</v>
      </c>
    </row>
    <row r="754" spans="1:19" x14ac:dyDescent="0.2">
      <c r="A754" s="524">
        <v>69441</v>
      </c>
      <c r="B754" s="526">
        <v>46211</v>
      </c>
      <c r="C754" s="524" t="s">
        <v>1148</v>
      </c>
      <c r="D754" s="524" t="s">
        <v>1226</v>
      </c>
      <c r="E754" s="524" t="s">
        <v>1726</v>
      </c>
      <c r="F754" s="524" t="s">
        <v>1170</v>
      </c>
      <c r="G754" s="524" t="s">
        <v>1102</v>
      </c>
      <c r="H754" s="527">
        <v>2777.79</v>
      </c>
      <c r="I754" s="524" t="s">
        <v>1148</v>
      </c>
      <c r="J754" s="524">
        <f>IF(cmf[[#This Row],[D/C]]="C",cmf[[#This Row],[Valor]],-1*cmf[[#This Row],[Valor]])</f>
        <v>2777.79</v>
      </c>
      <c r="L754" s="524" t="s">
        <v>1230</v>
      </c>
      <c r="M754" s="524" t="s">
        <v>1231</v>
      </c>
      <c r="N754" s="524" t="s">
        <v>1192</v>
      </c>
      <c r="O754" s="524" t="s">
        <v>1193</v>
      </c>
      <c r="P754" s="526">
        <v>46211</v>
      </c>
      <c r="S754" s="527">
        <v>0</v>
      </c>
    </row>
    <row r="755" spans="1:19" x14ac:dyDescent="0.2">
      <c r="A755" s="524">
        <v>69442</v>
      </c>
      <c r="B755" s="526">
        <v>46211</v>
      </c>
      <c r="C755" s="524" t="s">
        <v>1148</v>
      </c>
      <c r="D755" s="524" t="s">
        <v>1226</v>
      </c>
      <c r="E755" s="524" t="s">
        <v>1727</v>
      </c>
      <c r="F755" s="524" t="s">
        <v>1170</v>
      </c>
      <c r="G755" s="524" t="s">
        <v>1102</v>
      </c>
      <c r="H755" s="527">
        <v>291.06</v>
      </c>
      <c r="I755" s="524" t="s">
        <v>1148</v>
      </c>
      <c r="J755" s="524">
        <f>IF(cmf[[#This Row],[D/C]]="C",cmf[[#This Row],[Valor]],-1*cmf[[#This Row],[Valor]])</f>
        <v>291.06</v>
      </c>
      <c r="L755" s="524" t="s">
        <v>1230</v>
      </c>
      <c r="M755" s="524" t="s">
        <v>1231</v>
      </c>
      <c r="N755" s="524" t="s">
        <v>1192</v>
      </c>
      <c r="O755" s="524" t="s">
        <v>1193</v>
      </c>
      <c r="P755" s="526">
        <v>46211</v>
      </c>
      <c r="S755" s="527">
        <v>0</v>
      </c>
    </row>
    <row r="756" spans="1:19" x14ac:dyDescent="0.2">
      <c r="A756" s="524">
        <v>69443</v>
      </c>
      <c r="B756" s="526">
        <v>46211</v>
      </c>
      <c r="C756" s="524" t="s">
        <v>1148</v>
      </c>
      <c r="D756" s="524" t="s">
        <v>1226</v>
      </c>
      <c r="E756" s="524" t="s">
        <v>1728</v>
      </c>
      <c r="F756" s="524" t="s">
        <v>1170</v>
      </c>
      <c r="G756" s="524" t="s">
        <v>1102</v>
      </c>
      <c r="H756" s="527">
        <v>1991.31</v>
      </c>
      <c r="I756" s="524" t="s">
        <v>1148</v>
      </c>
      <c r="J756" s="524">
        <f>IF(cmf[[#This Row],[D/C]]="C",cmf[[#This Row],[Valor]],-1*cmf[[#This Row],[Valor]])</f>
        <v>1991.31</v>
      </c>
      <c r="L756" s="524" t="s">
        <v>1230</v>
      </c>
      <c r="M756" s="524" t="s">
        <v>1231</v>
      </c>
      <c r="N756" s="524" t="s">
        <v>1192</v>
      </c>
      <c r="O756" s="524" t="s">
        <v>1193</v>
      </c>
      <c r="P756" s="526">
        <v>46211</v>
      </c>
      <c r="S756" s="527">
        <v>0</v>
      </c>
    </row>
    <row r="757" spans="1:19" x14ac:dyDescent="0.2">
      <c r="A757" s="524">
        <v>69444</v>
      </c>
      <c r="B757" s="526">
        <v>46211</v>
      </c>
      <c r="C757" s="524" t="s">
        <v>1148</v>
      </c>
      <c r="D757" s="524" t="s">
        <v>1226</v>
      </c>
      <c r="E757" s="524" t="s">
        <v>1729</v>
      </c>
      <c r="F757" s="524" t="s">
        <v>1170</v>
      </c>
      <c r="G757" s="524" t="s">
        <v>1102</v>
      </c>
      <c r="H757" s="527">
        <v>1082.23</v>
      </c>
      <c r="I757" s="524" t="s">
        <v>1148</v>
      </c>
      <c r="J757" s="524">
        <f>IF(cmf[[#This Row],[D/C]]="C",cmf[[#This Row],[Valor]],-1*cmf[[#This Row],[Valor]])</f>
        <v>1082.23</v>
      </c>
      <c r="L757" s="524" t="s">
        <v>1230</v>
      </c>
      <c r="M757" s="524" t="s">
        <v>1231</v>
      </c>
      <c r="N757" s="524" t="s">
        <v>1192</v>
      </c>
      <c r="O757" s="524" t="s">
        <v>1193</v>
      </c>
      <c r="P757" s="526">
        <v>46211</v>
      </c>
      <c r="S757" s="527">
        <v>0</v>
      </c>
    </row>
    <row r="758" spans="1:19" x14ac:dyDescent="0.2">
      <c r="A758" s="524">
        <v>69445</v>
      </c>
      <c r="B758" s="526">
        <v>46211</v>
      </c>
      <c r="C758" s="524" t="s">
        <v>1148</v>
      </c>
      <c r="D758" s="524" t="s">
        <v>1226</v>
      </c>
      <c r="E758" s="524" t="s">
        <v>1730</v>
      </c>
      <c r="F758" s="524" t="s">
        <v>1170</v>
      </c>
      <c r="G758" s="524" t="s">
        <v>1102</v>
      </c>
      <c r="H758" s="527">
        <v>1400.01</v>
      </c>
      <c r="I758" s="524" t="s">
        <v>1148</v>
      </c>
      <c r="J758" s="524">
        <f>IF(cmf[[#This Row],[D/C]]="C",cmf[[#This Row],[Valor]],-1*cmf[[#This Row],[Valor]])</f>
        <v>1400.01</v>
      </c>
      <c r="L758" s="524" t="s">
        <v>1230</v>
      </c>
      <c r="M758" s="524" t="s">
        <v>1231</v>
      </c>
      <c r="N758" s="524" t="s">
        <v>1192</v>
      </c>
      <c r="O758" s="524" t="s">
        <v>1193</v>
      </c>
      <c r="P758" s="526">
        <v>46211</v>
      </c>
      <c r="S758" s="527">
        <v>0</v>
      </c>
    </row>
    <row r="759" spans="1:19" x14ac:dyDescent="0.2">
      <c r="A759" s="524">
        <v>69446</v>
      </c>
      <c r="B759" s="526">
        <v>46211</v>
      </c>
      <c r="C759" s="524" t="s">
        <v>1148</v>
      </c>
      <c r="D759" s="524" t="s">
        <v>1226</v>
      </c>
      <c r="E759" s="524" t="s">
        <v>1731</v>
      </c>
      <c r="F759" s="524" t="s">
        <v>1170</v>
      </c>
      <c r="G759" s="524" t="s">
        <v>1102</v>
      </c>
      <c r="H759" s="527">
        <v>185.4</v>
      </c>
      <c r="I759" s="524" t="s">
        <v>1148</v>
      </c>
      <c r="J759" s="524">
        <f>IF(cmf[[#This Row],[D/C]]="C",cmf[[#This Row],[Valor]],-1*cmf[[#This Row],[Valor]])</f>
        <v>185.4</v>
      </c>
      <c r="L759" s="524" t="s">
        <v>1230</v>
      </c>
      <c r="M759" s="524" t="s">
        <v>1231</v>
      </c>
      <c r="N759" s="524" t="s">
        <v>1192</v>
      </c>
      <c r="O759" s="524" t="s">
        <v>1193</v>
      </c>
      <c r="P759" s="526">
        <v>46211</v>
      </c>
      <c r="S759" s="527">
        <v>0</v>
      </c>
    </row>
    <row r="760" spans="1:19" x14ac:dyDescent="0.2">
      <c r="A760" s="524">
        <v>69447</v>
      </c>
      <c r="B760" s="526">
        <v>46211</v>
      </c>
      <c r="C760" s="524" t="s">
        <v>1148</v>
      </c>
      <c r="D760" s="524" t="s">
        <v>1226</v>
      </c>
      <c r="E760" s="524" t="s">
        <v>1732</v>
      </c>
      <c r="F760" s="524" t="s">
        <v>1170</v>
      </c>
      <c r="G760" s="524" t="s">
        <v>1102</v>
      </c>
      <c r="H760" s="527">
        <v>630</v>
      </c>
      <c r="I760" s="524" t="s">
        <v>1148</v>
      </c>
      <c r="J760" s="524">
        <f>IF(cmf[[#This Row],[D/C]]="C",cmf[[#This Row],[Valor]],-1*cmf[[#This Row],[Valor]])</f>
        <v>630</v>
      </c>
      <c r="L760" s="524" t="s">
        <v>1230</v>
      </c>
      <c r="M760" s="524" t="s">
        <v>1231</v>
      </c>
      <c r="N760" s="524" t="s">
        <v>1192</v>
      </c>
      <c r="O760" s="524" t="s">
        <v>1193</v>
      </c>
      <c r="P760" s="526">
        <v>46211</v>
      </c>
      <c r="S760" s="527">
        <v>0</v>
      </c>
    </row>
    <row r="761" spans="1:19" x14ac:dyDescent="0.2">
      <c r="A761" s="524">
        <v>69448</v>
      </c>
      <c r="B761" s="526">
        <v>46211</v>
      </c>
      <c r="C761" s="524" t="s">
        <v>1148</v>
      </c>
      <c r="D761" s="524" t="s">
        <v>1226</v>
      </c>
      <c r="E761" s="524" t="s">
        <v>1733</v>
      </c>
      <c r="F761" s="524" t="s">
        <v>1170</v>
      </c>
      <c r="G761" s="524" t="s">
        <v>1102</v>
      </c>
      <c r="H761" s="527">
        <v>599.75</v>
      </c>
      <c r="I761" s="524" t="s">
        <v>1148</v>
      </c>
      <c r="J761" s="524">
        <f>IF(cmf[[#This Row],[D/C]]="C",cmf[[#This Row],[Valor]],-1*cmf[[#This Row],[Valor]])</f>
        <v>599.75</v>
      </c>
      <c r="L761" s="524" t="s">
        <v>1230</v>
      </c>
      <c r="M761" s="524" t="s">
        <v>1231</v>
      </c>
      <c r="N761" s="524" t="s">
        <v>1192</v>
      </c>
      <c r="O761" s="524" t="s">
        <v>1193</v>
      </c>
      <c r="P761" s="526">
        <v>46211</v>
      </c>
      <c r="S761" s="527">
        <v>0</v>
      </c>
    </row>
    <row r="762" spans="1:19" x14ac:dyDescent="0.2">
      <c r="A762" s="524">
        <v>69463</v>
      </c>
      <c r="B762" s="526">
        <v>46211</v>
      </c>
      <c r="C762" s="524" t="s">
        <v>1162</v>
      </c>
      <c r="D762" s="524" t="s">
        <v>1186</v>
      </c>
      <c r="E762" s="524" t="s">
        <v>1734</v>
      </c>
      <c r="F762" s="524" t="s">
        <v>1170</v>
      </c>
      <c r="G762" s="524" t="s">
        <v>733</v>
      </c>
      <c r="H762" s="527">
        <v>840</v>
      </c>
      <c r="I762" s="524" t="s">
        <v>1174</v>
      </c>
      <c r="J762" s="524">
        <f>IF(cmf[[#This Row],[D/C]]="C",cmf[[#This Row],[Valor]],-1*cmf[[#This Row],[Valor]])</f>
        <v>-840</v>
      </c>
      <c r="L762" s="524" t="s">
        <v>1188</v>
      </c>
      <c r="M762" s="524" t="s">
        <v>1189</v>
      </c>
      <c r="N762" s="524" t="s">
        <v>1735</v>
      </c>
      <c r="O762" s="524" t="s">
        <v>1736</v>
      </c>
      <c r="P762" s="526"/>
      <c r="S762" s="527">
        <v>0</v>
      </c>
    </row>
    <row r="763" spans="1:19" x14ac:dyDescent="0.2">
      <c r="A763" s="524">
        <v>69484</v>
      </c>
      <c r="B763" s="526">
        <v>46211</v>
      </c>
      <c r="C763" s="524" t="s">
        <v>1162</v>
      </c>
      <c r="D763" s="524" t="s">
        <v>1186</v>
      </c>
      <c r="E763" s="524" t="s">
        <v>1737</v>
      </c>
      <c r="F763" s="524" t="s">
        <v>1170</v>
      </c>
      <c r="G763" s="524" t="s">
        <v>771</v>
      </c>
      <c r="H763" s="527">
        <v>890.04</v>
      </c>
      <c r="I763" s="524" t="s">
        <v>1174</v>
      </c>
      <c r="J763" s="524">
        <f>IF(cmf[[#This Row],[D/C]]="C",cmf[[#This Row],[Valor]],-1*cmf[[#This Row],[Valor]])</f>
        <v>-890.04</v>
      </c>
      <c r="L763" s="524" t="s">
        <v>1188</v>
      </c>
      <c r="M763" s="524" t="s">
        <v>1189</v>
      </c>
      <c r="N763" s="524" t="s">
        <v>1249</v>
      </c>
      <c r="O763" s="524" t="s">
        <v>1250</v>
      </c>
      <c r="P763" s="526"/>
      <c r="S763" s="527">
        <v>0</v>
      </c>
    </row>
    <row r="764" spans="1:19" x14ac:dyDescent="0.2">
      <c r="A764" s="524">
        <v>69581</v>
      </c>
      <c r="B764" s="526">
        <v>46211</v>
      </c>
      <c r="C764" s="524" t="s">
        <v>1162</v>
      </c>
      <c r="D764" s="524" t="s">
        <v>1186</v>
      </c>
      <c r="E764" s="524" t="s">
        <v>1738</v>
      </c>
      <c r="F764" s="524" t="s">
        <v>1170</v>
      </c>
      <c r="G764" s="524" t="s">
        <v>794</v>
      </c>
      <c r="H764" s="527">
        <v>2356.21</v>
      </c>
      <c r="I764" s="524" t="s">
        <v>1174</v>
      </c>
      <c r="J764" s="524">
        <f>IF(cmf[[#This Row],[D/C]]="C",cmf[[#This Row],[Valor]],-1*cmf[[#This Row],[Valor]])</f>
        <v>-2356.21</v>
      </c>
      <c r="L764" s="524" t="s">
        <v>1188</v>
      </c>
      <c r="M764" s="524" t="s">
        <v>1189</v>
      </c>
      <c r="N764" s="524" t="s">
        <v>1340</v>
      </c>
      <c r="O764" s="524" t="s">
        <v>1341</v>
      </c>
      <c r="P764" s="526"/>
      <c r="S764" s="527">
        <v>0</v>
      </c>
    </row>
    <row r="765" spans="1:19" x14ac:dyDescent="0.2">
      <c r="A765" s="524">
        <v>69634</v>
      </c>
      <c r="B765" s="526">
        <v>46211</v>
      </c>
      <c r="C765" s="524" t="s">
        <v>1162</v>
      </c>
      <c r="D765" s="524" t="s">
        <v>1186</v>
      </c>
      <c r="E765" s="524" t="s">
        <v>1739</v>
      </c>
      <c r="F765" s="524" t="s">
        <v>1170</v>
      </c>
      <c r="G765" s="524" t="s">
        <v>775</v>
      </c>
      <c r="H765" s="527">
        <v>2017.47</v>
      </c>
      <c r="I765" s="524" t="s">
        <v>1174</v>
      </c>
      <c r="J765" s="524">
        <f>IF(cmf[[#This Row],[D/C]]="C",cmf[[#This Row],[Valor]],-1*cmf[[#This Row],[Valor]])</f>
        <v>-2017.47</v>
      </c>
      <c r="L765" s="524" t="s">
        <v>1188</v>
      </c>
      <c r="M765" s="524" t="s">
        <v>1189</v>
      </c>
      <c r="N765" s="524" t="s">
        <v>1212</v>
      </c>
      <c r="O765" s="524" t="s">
        <v>1213</v>
      </c>
      <c r="P765" s="526"/>
      <c r="S765" s="527">
        <v>0</v>
      </c>
    </row>
    <row r="766" spans="1:19" x14ac:dyDescent="0.2">
      <c r="A766" s="524">
        <v>69635</v>
      </c>
      <c r="B766" s="526">
        <v>46211</v>
      </c>
      <c r="C766" s="524" t="s">
        <v>1162</v>
      </c>
      <c r="D766" s="524" t="s">
        <v>1186</v>
      </c>
      <c r="E766" s="524" t="s">
        <v>1740</v>
      </c>
      <c r="F766" s="524" t="s">
        <v>1170</v>
      </c>
      <c r="G766" s="524" t="s">
        <v>775</v>
      </c>
      <c r="H766" s="527">
        <v>922</v>
      </c>
      <c r="I766" s="524" t="s">
        <v>1174</v>
      </c>
      <c r="J766" s="524">
        <f>IF(cmf[[#This Row],[D/C]]="C",cmf[[#This Row],[Valor]],-1*cmf[[#This Row],[Valor]])</f>
        <v>-922</v>
      </c>
      <c r="L766" s="524" t="s">
        <v>1188</v>
      </c>
      <c r="M766" s="524" t="s">
        <v>1189</v>
      </c>
      <c r="N766" s="524" t="s">
        <v>1212</v>
      </c>
      <c r="O766" s="524" t="s">
        <v>1213</v>
      </c>
      <c r="P766" s="526"/>
      <c r="S766" s="527">
        <v>0</v>
      </c>
    </row>
    <row r="767" spans="1:19" x14ac:dyDescent="0.2">
      <c r="A767" s="524">
        <v>70207</v>
      </c>
      <c r="B767" s="526">
        <v>46211</v>
      </c>
      <c r="C767" s="524" t="s">
        <v>1148</v>
      </c>
      <c r="D767" s="524" t="s">
        <v>1243</v>
      </c>
      <c r="E767" s="524" t="s">
        <v>1244</v>
      </c>
      <c r="F767" s="524" t="s">
        <v>1183</v>
      </c>
      <c r="G767" s="524" t="s">
        <v>758</v>
      </c>
      <c r="H767" s="527">
        <v>29999.21</v>
      </c>
      <c r="I767" s="524" t="s">
        <v>1148</v>
      </c>
      <c r="J767" s="524">
        <f>IF(cmf[[#This Row],[D/C]]="C",cmf[[#This Row],[Valor]],-1*cmf[[#This Row],[Valor]])</f>
        <v>29999.21</v>
      </c>
      <c r="L767" s="524" t="s">
        <v>1245</v>
      </c>
      <c r="M767" s="524" t="s">
        <v>1246</v>
      </c>
      <c r="N767" s="524" t="s">
        <v>1223</v>
      </c>
      <c r="O767" s="524" t="s">
        <v>1224</v>
      </c>
      <c r="P767" s="526">
        <v>46211</v>
      </c>
      <c r="S767" s="527">
        <v>0</v>
      </c>
    </row>
    <row r="768" spans="1:19" x14ac:dyDescent="0.2">
      <c r="A768" s="524">
        <v>70213</v>
      </c>
      <c r="B768" s="526">
        <v>46211</v>
      </c>
      <c r="C768" s="524" t="s">
        <v>1148</v>
      </c>
      <c r="D768" s="524" t="s">
        <v>1243</v>
      </c>
      <c r="E768" s="524" t="s">
        <v>1244</v>
      </c>
      <c r="F768" s="524" t="s">
        <v>1183</v>
      </c>
      <c r="G768" s="524" t="s">
        <v>758</v>
      </c>
      <c r="H768" s="527">
        <v>0.79</v>
      </c>
      <c r="I768" s="524" t="s">
        <v>1148</v>
      </c>
      <c r="J768" s="524">
        <f>IF(cmf[[#This Row],[D/C]]="C",cmf[[#This Row],[Valor]],-1*cmf[[#This Row],[Valor]])</f>
        <v>0.79</v>
      </c>
      <c r="L768" s="524" t="s">
        <v>1245</v>
      </c>
      <c r="M768" s="524" t="s">
        <v>1246</v>
      </c>
      <c r="N768" s="524" t="s">
        <v>1223</v>
      </c>
      <c r="O768" s="524" t="s">
        <v>1224</v>
      </c>
      <c r="P768" s="526">
        <v>46211</v>
      </c>
      <c r="S768" s="527">
        <v>0</v>
      </c>
    </row>
    <row r="769" spans="1:19" x14ac:dyDescent="0.2">
      <c r="A769" s="524">
        <v>70249</v>
      </c>
      <c r="B769" s="526">
        <v>46211</v>
      </c>
      <c r="C769" s="524" t="s">
        <v>1148</v>
      </c>
      <c r="D769" s="524" t="s">
        <v>1239</v>
      </c>
      <c r="E769" s="524" t="s">
        <v>1741</v>
      </c>
      <c r="F769" s="524" t="s">
        <v>1170</v>
      </c>
      <c r="G769" s="524" t="s">
        <v>768</v>
      </c>
      <c r="H769" s="527">
        <v>31.32</v>
      </c>
      <c r="I769" s="524" t="s">
        <v>1174</v>
      </c>
      <c r="J769" s="524">
        <f>IF(cmf[[#This Row],[D/C]]="C",cmf[[#This Row],[Valor]],-1*cmf[[#This Row],[Valor]])</f>
        <v>-31.32</v>
      </c>
      <c r="L769" s="524" t="s">
        <v>1241</v>
      </c>
      <c r="M769" s="524" t="s">
        <v>1242</v>
      </c>
      <c r="N769" s="524" t="s">
        <v>1219</v>
      </c>
      <c r="O769" s="524" t="s">
        <v>1220</v>
      </c>
      <c r="P769" s="526">
        <v>46211</v>
      </c>
      <c r="S769" s="527">
        <v>0</v>
      </c>
    </row>
    <row r="770" spans="1:19" x14ac:dyDescent="0.2">
      <c r="A770" s="524">
        <v>70251</v>
      </c>
      <c r="B770" s="526">
        <v>46211</v>
      </c>
      <c r="C770" s="524" t="s">
        <v>1148</v>
      </c>
      <c r="D770" s="524" t="s">
        <v>1239</v>
      </c>
      <c r="E770" s="524" t="s">
        <v>1741</v>
      </c>
      <c r="F770" s="524" t="s">
        <v>1170</v>
      </c>
      <c r="G770" s="524" t="s">
        <v>768</v>
      </c>
      <c r="H770" s="527">
        <v>31.03</v>
      </c>
      <c r="I770" s="524" t="s">
        <v>1174</v>
      </c>
      <c r="J770" s="524">
        <f>IF(cmf[[#This Row],[D/C]]="C",cmf[[#This Row],[Valor]],-1*cmf[[#This Row],[Valor]])</f>
        <v>-31.03</v>
      </c>
      <c r="L770" s="524" t="s">
        <v>1241</v>
      </c>
      <c r="M770" s="524" t="s">
        <v>1242</v>
      </c>
      <c r="N770" s="524" t="s">
        <v>1219</v>
      </c>
      <c r="O770" s="524" t="s">
        <v>1220</v>
      </c>
      <c r="P770" s="526">
        <v>46211</v>
      </c>
      <c r="S770" s="527">
        <v>0</v>
      </c>
    </row>
    <row r="771" spans="1:19" x14ac:dyDescent="0.2">
      <c r="A771" s="524">
        <v>70252</v>
      </c>
      <c r="B771" s="526">
        <v>46211</v>
      </c>
      <c r="C771" s="524" t="s">
        <v>1148</v>
      </c>
      <c r="D771" s="524" t="s">
        <v>1239</v>
      </c>
      <c r="E771" s="524" t="s">
        <v>1255</v>
      </c>
      <c r="F771" s="524" t="s">
        <v>1170</v>
      </c>
      <c r="G771" s="524" t="s">
        <v>768</v>
      </c>
      <c r="H771" s="527">
        <v>0.6</v>
      </c>
      <c r="I771" s="524" t="s">
        <v>1174</v>
      </c>
      <c r="J771" s="524">
        <f>IF(cmf[[#This Row],[D/C]]="C",cmf[[#This Row],[Valor]],-1*cmf[[#This Row],[Valor]])</f>
        <v>-0.6</v>
      </c>
      <c r="L771" s="524" t="s">
        <v>1241</v>
      </c>
      <c r="M771" s="524" t="s">
        <v>1242</v>
      </c>
      <c r="N771" s="524" t="s">
        <v>1219</v>
      </c>
      <c r="O771" s="524" t="s">
        <v>1220</v>
      </c>
      <c r="P771" s="526">
        <v>46211</v>
      </c>
      <c r="S771" s="527">
        <v>0</v>
      </c>
    </row>
    <row r="772" spans="1:19" x14ac:dyDescent="0.2">
      <c r="A772" s="524">
        <v>70318</v>
      </c>
      <c r="B772" s="526">
        <v>46211</v>
      </c>
      <c r="C772" s="524" t="s">
        <v>1148</v>
      </c>
      <c r="D772" s="524" t="s">
        <v>1239</v>
      </c>
      <c r="E772" s="524" t="s">
        <v>1255</v>
      </c>
      <c r="F772" s="524" t="s">
        <v>1170</v>
      </c>
      <c r="G772" s="524" t="s">
        <v>757</v>
      </c>
      <c r="H772" s="527">
        <v>0.6</v>
      </c>
      <c r="I772" s="524" t="s">
        <v>1174</v>
      </c>
      <c r="J772" s="524">
        <f>IF(cmf[[#This Row],[D/C]]="C",cmf[[#This Row],[Valor]],-1*cmf[[#This Row],[Valor]])</f>
        <v>-0.6</v>
      </c>
      <c r="L772" s="524" t="s">
        <v>1241</v>
      </c>
      <c r="M772" s="524" t="s">
        <v>1242</v>
      </c>
      <c r="N772" s="524" t="s">
        <v>1223</v>
      </c>
      <c r="O772" s="524" t="s">
        <v>1224</v>
      </c>
      <c r="P772" s="526">
        <v>46211</v>
      </c>
      <c r="S772" s="527">
        <v>0</v>
      </c>
    </row>
    <row r="773" spans="1:19" x14ac:dyDescent="0.2">
      <c r="A773" s="524">
        <v>70481</v>
      </c>
      <c r="B773" s="526">
        <v>46211</v>
      </c>
      <c r="C773" s="524" t="s">
        <v>1148</v>
      </c>
      <c r="D773" s="524" t="s">
        <v>1205</v>
      </c>
      <c r="E773" s="524" t="s">
        <v>1543</v>
      </c>
      <c r="F773" s="524" t="s">
        <v>1183</v>
      </c>
      <c r="G773" s="524" t="s">
        <v>742</v>
      </c>
      <c r="H773" s="527">
        <v>20000</v>
      </c>
      <c r="I773" s="524" t="s">
        <v>1174</v>
      </c>
      <c r="J773" s="524">
        <f>IF(cmf[[#This Row],[D/C]]="C",cmf[[#This Row],[Valor]],-1*cmf[[#This Row],[Valor]])</f>
        <v>-20000</v>
      </c>
      <c r="L773" s="524" t="s">
        <v>1207</v>
      </c>
      <c r="M773" s="524" t="s">
        <v>1208</v>
      </c>
      <c r="N773" s="524" t="s">
        <v>1215</v>
      </c>
      <c r="O773" s="524" t="s">
        <v>1218</v>
      </c>
      <c r="P773" s="526">
        <v>46211</v>
      </c>
      <c r="S773" s="527">
        <v>0</v>
      </c>
    </row>
    <row r="774" spans="1:19" x14ac:dyDescent="0.2">
      <c r="A774" s="524">
        <v>70482</v>
      </c>
      <c r="B774" s="526">
        <v>46211</v>
      </c>
      <c r="C774" s="524" t="s">
        <v>1162</v>
      </c>
      <c r="D774" s="524" t="s">
        <v>1205</v>
      </c>
      <c r="E774" s="524" t="s">
        <v>1217</v>
      </c>
      <c r="F774" s="524" t="s">
        <v>1170</v>
      </c>
      <c r="G774" s="524" t="s">
        <v>781</v>
      </c>
      <c r="H774" s="527">
        <v>20000</v>
      </c>
      <c r="I774" s="524" t="s">
        <v>1148</v>
      </c>
      <c r="J774" s="524">
        <f>IF(cmf[[#This Row],[D/C]]="C",cmf[[#This Row],[Valor]],-1*cmf[[#This Row],[Valor]])</f>
        <v>20000</v>
      </c>
      <c r="L774" s="524" t="s">
        <v>1207</v>
      </c>
      <c r="M774" s="524" t="s">
        <v>1208</v>
      </c>
      <c r="N774" s="524" t="s">
        <v>1209</v>
      </c>
      <c r="O774" s="524" t="s">
        <v>1210</v>
      </c>
      <c r="P774" s="526"/>
      <c r="S774" s="527">
        <v>0</v>
      </c>
    </row>
    <row r="775" spans="1:19" x14ac:dyDescent="0.2">
      <c r="A775" s="524">
        <v>70483</v>
      </c>
      <c r="B775" s="526">
        <v>46211</v>
      </c>
      <c r="C775" s="524" t="s">
        <v>1148</v>
      </c>
      <c r="D775" s="524" t="s">
        <v>1205</v>
      </c>
      <c r="E775" s="524" t="s">
        <v>1537</v>
      </c>
      <c r="F775" s="524" t="s">
        <v>1183</v>
      </c>
      <c r="G775" s="524" t="s">
        <v>758</v>
      </c>
      <c r="H775" s="527">
        <v>10000</v>
      </c>
      <c r="I775" s="524" t="s">
        <v>1174</v>
      </c>
      <c r="J775" s="524">
        <f>IF(cmf[[#This Row],[D/C]]="C",cmf[[#This Row],[Valor]],-1*cmf[[#This Row],[Valor]])</f>
        <v>-10000</v>
      </c>
      <c r="L775" s="524" t="s">
        <v>1207</v>
      </c>
      <c r="M775" s="524" t="s">
        <v>1208</v>
      </c>
      <c r="N775" s="524" t="s">
        <v>1223</v>
      </c>
      <c r="O775" s="524" t="s">
        <v>1224</v>
      </c>
      <c r="P775" s="526">
        <v>46211</v>
      </c>
      <c r="S775" s="527">
        <v>0</v>
      </c>
    </row>
    <row r="776" spans="1:19" x14ac:dyDescent="0.2">
      <c r="A776" s="524">
        <v>70484</v>
      </c>
      <c r="B776" s="526">
        <v>46211</v>
      </c>
      <c r="C776" s="524" t="s">
        <v>1148</v>
      </c>
      <c r="D776" s="524" t="s">
        <v>1205</v>
      </c>
      <c r="E776" s="524" t="s">
        <v>1234</v>
      </c>
      <c r="F776" s="524" t="s">
        <v>1170</v>
      </c>
      <c r="G776" s="524" t="s">
        <v>757</v>
      </c>
      <c r="H776" s="527">
        <v>10000</v>
      </c>
      <c r="I776" s="524" t="s">
        <v>1148</v>
      </c>
      <c r="J776" s="524">
        <f>IF(cmf[[#This Row],[D/C]]="C",cmf[[#This Row],[Valor]],-1*cmf[[#This Row],[Valor]])</f>
        <v>10000</v>
      </c>
      <c r="L776" s="524" t="s">
        <v>1207</v>
      </c>
      <c r="M776" s="524" t="s">
        <v>1208</v>
      </c>
      <c r="N776" s="524" t="s">
        <v>1223</v>
      </c>
      <c r="O776" s="524" t="s">
        <v>1224</v>
      </c>
      <c r="P776" s="526">
        <v>46211</v>
      </c>
      <c r="S776" s="527">
        <v>0</v>
      </c>
    </row>
    <row r="777" spans="1:19" x14ac:dyDescent="0.2">
      <c r="A777" s="524">
        <v>70485</v>
      </c>
      <c r="B777" s="526">
        <v>46211</v>
      </c>
      <c r="C777" s="524" t="s">
        <v>1148</v>
      </c>
      <c r="D777" s="524" t="s">
        <v>1205</v>
      </c>
      <c r="E777" s="524" t="s">
        <v>1542</v>
      </c>
      <c r="F777" s="524" t="s">
        <v>1183</v>
      </c>
      <c r="G777" s="524" t="s">
        <v>758</v>
      </c>
      <c r="H777" s="527">
        <v>20000</v>
      </c>
      <c r="I777" s="524" t="s">
        <v>1174</v>
      </c>
      <c r="J777" s="524">
        <f>IF(cmf[[#This Row],[D/C]]="C",cmf[[#This Row],[Valor]],-1*cmf[[#This Row],[Valor]])</f>
        <v>-20000</v>
      </c>
      <c r="L777" s="524" t="s">
        <v>1207</v>
      </c>
      <c r="M777" s="524" t="s">
        <v>1208</v>
      </c>
      <c r="N777" s="524" t="s">
        <v>1223</v>
      </c>
      <c r="O777" s="524" t="s">
        <v>1224</v>
      </c>
      <c r="P777" s="526">
        <v>46211</v>
      </c>
      <c r="S777" s="527">
        <v>0</v>
      </c>
    </row>
    <row r="778" spans="1:19" x14ac:dyDescent="0.2">
      <c r="A778" s="524">
        <v>70486</v>
      </c>
      <c r="B778" s="526">
        <v>46211</v>
      </c>
      <c r="C778" s="524" t="s">
        <v>1148</v>
      </c>
      <c r="D778" s="524" t="s">
        <v>1205</v>
      </c>
      <c r="E778" s="524" t="s">
        <v>1234</v>
      </c>
      <c r="F778" s="524" t="s">
        <v>1170</v>
      </c>
      <c r="G778" s="524" t="s">
        <v>788</v>
      </c>
      <c r="H778" s="527">
        <v>20000</v>
      </c>
      <c r="I778" s="524" t="s">
        <v>1148</v>
      </c>
      <c r="J778" s="524">
        <f>IF(cmf[[#This Row],[D/C]]="C",cmf[[#This Row],[Valor]],-1*cmf[[#This Row],[Valor]])</f>
        <v>20000</v>
      </c>
      <c r="L778" s="524" t="s">
        <v>1207</v>
      </c>
      <c r="M778" s="524" t="s">
        <v>1208</v>
      </c>
      <c r="N778" s="524" t="s">
        <v>1271</v>
      </c>
      <c r="O778" s="524" t="s">
        <v>1272</v>
      </c>
      <c r="P778" s="526">
        <v>46211</v>
      </c>
      <c r="S778" s="527">
        <v>0</v>
      </c>
    </row>
    <row r="779" spans="1:19" x14ac:dyDescent="0.2">
      <c r="A779" s="524">
        <v>70544</v>
      </c>
      <c r="B779" s="526">
        <v>46211</v>
      </c>
      <c r="C779" s="524" t="s">
        <v>1148</v>
      </c>
      <c r="D779" s="524" t="s">
        <v>1239</v>
      </c>
      <c r="E779" s="524" t="s">
        <v>1251</v>
      </c>
      <c r="F779" s="524" t="s">
        <v>1178</v>
      </c>
      <c r="G779" s="524" t="s">
        <v>1179</v>
      </c>
      <c r="H779" s="527">
        <v>5</v>
      </c>
      <c r="I779" s="524" t="s">
        <v>1174</v>
      </c>
      <c r="J779" s="524">
        <f>IF(cmf[[#This Row],[D/C]]="C",cmf[[#This Row],[Valor]],-1*cmf[[#This Row],[Valor]])</f>
        <v>-5</v>
      </c>
      <c r="L779" s="524" t="s">
        <v>1241</v>
      </c>
      <c r="M779" s="524" t="s">
        <v>1242</v>
      </c>
      <c r="N779" s="524" t="s">
        <v>1180</v>
      </c>
      <c r="O779" s="524" t="s">
        <v>1181</v>
      </c>
      <c r="P779" s="526">
        <v>46211</v>
      </c>
      <c r="S779" s="527">
        <v>0</v>
      </c>
    </row>
    <row r="780" spans="1:19" x14ac:dyDescent="0.2">
      <c r="A780" s="524">
        <v>70595</v>
      </c>
      <c r="B780" s="526">
        <v>46211</v>
      </c>
      <c r="C780" s="524" t="s">
        <v>1148</v>
      </c>
      <c r="D780" s="524" t="s">
        <v>1239</v>
      </c>
      <c r="E780" s="524" t="s">
        <v>1311</v>
      </c>
      <c r="F780" s="524" t="s">
        <v>1178</v>
      </c>
      <c r="G780" s="524" t="s">
        <v>1179</v>
      </c>
      <c r="H780" s="527">
        <v>5</v>
      </c>
      <c r="I780" s="524" t="s">
        <v>1174</v>
      </c>
      <c r="J780" s="524">
        <f>IF(cmf[[#This Row],[D/C]]="C",cmf[[#This Row],[Valor]],-1*cmf[[#This Row],[Valor]])</f>
        <v>-5</v>
      </c>
      <c r="L780" s="524" t="s">
        <v>1241</v>
      </c>
      <c r="M780" s="524" t="s">
        <v>1242</v>
      </c>
      <c r="N780" s="524" t="s">
        <v>1180</v>
      </c>
      <c r="O780" s="524" t="s">
        <v>1181</v>
      </c>
      <c r="P780" s="526">
        <v>46211</v>
      </c>
      <c r="S780" s="527">
        <v>0</v>
      </c>
    </row>
    <row r="781" spans="1:19" x14ac:dyDescent="0.2">
      <c r="A781" s="524">
        <v>70642</v>
      </c>
      <c r="B781" s="526">
        <v>46211</v>
      </c>
      <c r="C781" s="524" t="s">
        <v>1148</v>
      </c>
      <c r="D781" s="524" t="s">
        <v>1239</v>
      </c>
      <c r="E781" s="524" t="s">
        <v>1253</v>
      </c>
      <c r="F781" s="524" t="s">
        <v>1170</v>
      </c>
      <c r="G781" s="524" t="s">
        <v>802</v>
      </c>
      <c r="H781" s="527">
        <v>35.799999999999997</v>
      </c>
      <c r="I781" s="524" t="s">
        <v>1174</v>
      </c>
      <c r="J781" s="524">
        <f>IF(cmf[[#This Row],[D/C]]="C",cmf[[#This Row],[Valor]],-1*cmf[[#This Row],[Valor]])</f>
        <v>-35.799999999999997</v>
      </c>
      <c r="L781" s="524" t="s">
        <v>1241</v>
      </c>
      <c r="M781" s="524" t="s">
        <v>1242</v>
      </c>
      <c r="N781" s="524" t="s">
        <v>1192</v>
      </c>
      <c r="O781" s="524" t="s">
        <v>1193</v>
      </c>
      <c r="P781" s="526">
        <v>46211</v>
      </c>
      <c r="S781" s="527">
        <v>0</v>
      </c>
    </row>
    <row r="782" spans="1:19" x14ac:dyDescent="0.2">
      <c r="A782" s="524">
        <v>70766</v>
      </c>
      <c r="B782" s="526">
        <v>46211</v>
      </c>
      <c r="C782" s="524" t="s">
        <v>1148</v>
      </c>
      <c r="D782" s="524" t="s">
        <v>1239</v>
      </c>
      <c r="E782" s="524" t="s">
        <v>1258</v>
      </c>
      <c r="F782" s="524" t="s">
        <v>1170</v>
      </c>
      <c r="G782" s="524" t="s">
        <v>1102</v>
      </c>
      <c r="H782" s="527">
        <v>6.3</v>
      </c>
      <c r="I782" s="524" t="s">
        <v>1174</v>
      </c>
      <c r="J782" s="524">
        <f>IF(cmf[[#This Row],[D/C]]="C",cmf[[#This Row],[Valor]],-1*cmf[[#This Row],[Valor]])</f>
        <v>-6.3</v>
      </c>
      <c r="L782" s="524" t="s">
        <v>1241</v>
      </c>
      <c r="M782" s="524" t="s">
        <v>1242</v>
      </c>
      <c r="N782" s="524" t="s">
        <v>1192</v>
      </c>
      <c r="O782" s="524" t="s">
        <v>1193</v>
      </c>
      <c r="P782" s="526">
        <v>46211</v>
      </c>
      <c r="S782" s="527">
        <v>0</v>
      </c>
    </row>
    <row r="783" spans="1:19" x14ac:dyDescent="0.2">
      <c r="A783" s="524">
        <v>70767</v>
      </c>
      <c r="B783" s="526">
        <v>46211</v>
      </c>
      <c r="C783" s="524" t="s">
        <v>1148</v>
      </c>
      <c r="D783" s="524" t="s">
        <v>1239</v>
      </c>
      <c r="E783" s="524" t="s">
        <v>1258</v>
      </c>
      <c r="F783" s="524" t="s">
        <v>1170</v>
      </c>
      <c r="G783" s="524" t="s">
        <v>1102</v>
      </c>
      <c r="H783" s="527">
        <v>94.5</v>
      </c>
      <c r="I783" s="524" t="s">
        <v>1174</v>
      </c>
      <c r="J783" s="524">
        <f>IF(cmf[[#This Row],[D/C]]="C",cmf[[#This Row],[Valor]],-1*cmf[[#This Row],[Valor]])</f>
        <v>-94.5</v>
      </c>
      <c r="L783" s="524" t="s">
        <v>1241</v>
      </c>
      <c r="M783" s="524" t="s">
        <v>1242</v>
      </c>
      <c r="N783" s="524" t="s">
        <v>1192</v>
      </c>
      <c r="O783" s="524" t="s">
        <v>1193</v>
      </c>
      <c r="P783" s="526">
        <v>46211</v>
      </c>
      <c r="S783" s="527">
        <v>0</v>
      </c>
    </row>
    <row r="784" spans="1:19" x14ac:dyDescent="0.2">
      <c r="A784" s="524">
        <v>70768</v>
      </c>
      <c r="B784" s="526">
        <v>46211</v>
      </c>
      <c r="C784" s="524" t="s">
        <v>1148</v>
      </c>
      <c r="D784" s="524" t="s">
        <v>1239</v>
      </c>
      <c r="E784" s="524" t="s">
        <v>1258</v>
      </c>
      <c r="F784" s="524" t="s">
        <v>1170</v>
      </c>
      <c r="G784" s="524" t="s">
        <v>1102</v>
      </c>
      <c r="H784" s="527">
        <v>1.2</v>
      </c>
      <c r="I784" s="524" t="s">
        <v>1174</v>
      </c>
      <c r="J784" s="524">
        <f>IF(cmf[[#This Row],[D/C]]="C",cmf[[#This Row],[Valor]],-1*cmf[[#This Row],[Valor]])</f>
        <v>-1.2</v>
      </c>
      <c r="L784" s="524" t="s">
        <v>1241</v>
      </c>
      <c r="M784" s="524" t="s">
        <v>1242</v>
      </c>
      <c r="N784" s="524" t="s">
        <v>1192</v>
      </c>
      <c r="O784" s="524" t="s">
        <v>1193</v>
      </c>
      <c r="P784" s="526">
        <v>46211</v>
      </c>
      <c r="S784" s="527">
        <v>0</v>
      </c>
    </row>
    <row r="785" spans="1:19" x14ac:dyDescent="0.2">
      <c r="A785" s="524">
        <v>71202</v>
      </c>
      <c r="B785" s="526">
        <v>46211</v>
      </c>
      <c r="C785" s="524" t="s">
        <v>1148</v>
      </c>
      <c r="D785" s="524" t="s">
        <v>1235</v>
      </c>
      <c r="E785" s="524" t="s">
        <v>1742</v>
      </c>
      <c r="F785" s="524" t="s">
        <v>1170</v>
      </c>
      <c r="G785" s="524" t="s">
        <v>738</v>
      </c>
      <c r="H785" s="527">
        <v>1440</v>
      </c>
      <c r="I785" s="524" t="s">
        <v>1174</v>
      </c>
      <c r="J785" s="524">
        <f>IF(cmf[[#This Row],[D/C]]="C",cmf[[#This Row],[Valor]],-1*cmf[[#This Row],[Valor]])</f>
        <v>-1440</v>
      </c>
      <c r="L785" s="524" t="s">
        <v>1237</v>
      </c>
      <c r="M785" s="524" t="s">
        <v>1238</v>
      </c>
      <c r="N785" s="524" t="s">
        <v>1215</v>
      </c>
      <c r="O785" s="524" t="s">
        <v>1216</v>
      </c>
      <c r="P785" s="526">
        <v>46211</v>
      </c>
      <c r="S785" s="527">
        <v>0</v>
      </c>
    </row>
    <row r="786" spans="1:19" x14ac:dyDescent="0.2">
      <c r="A786" s="524">
        <v>71203</v>
      </c>
      <c r="B786" s="526">
        <v>46211</v>
      </c>
      <c r="C786" s="524" t="s">
        <v>1148</v>
      </c>
      <c r="D786" s="524" t="s">
        <v>1239</v>
      </c>
      <c r="E786" s="524" t="s">
        <v>1255</v>
      </c>
      <c r="F786" s="524" t="s">
        <v>1170</v>
      </c>
      <c r="G786" s="524" t="s">
        <v>738</v>
      </c>
      <c r="H786" s="527">
        <v>0.4</v>
      </c>
      <c r="I786" s="524" t="s">
        <v>1174</v>
      </c>
      <c r="J786" s="524">
        <f>IF(cmf[[#This Row],[D/C]]="C",cmf[[#This Row],[Valor]],-1*cmf[[#This Row],[Valor]])</f>
        <v>-0.4</v>
      </c>
      <c r="L786" s="524" t="s">
        <v>1241</v>
      </c>
      <c r="M786" s="524" t="s">
        <v>1242</v>
      </c>
      <c r="N786" s="524" t="s">
        <v>1215</v>
      </c>
      <c r="O786" s="524" t="s">
        <v>1218</v>
      </c>
      <c r="P786" s="526">
        <v>46211</v>
      </c>
      <c r="S786" s="527">
        <v>0</v>
      </c>
    </row>
    <row r="787" spans="1:19" x14ac:dyDescent="0.2">
      <c r="A787" s="524">
        <v>71230</v>
      </c>
      <c r="B787" s="526">
        <v>46211</v>
      </c>
      <c r="C787" s="524" t="s">
        <v>1148</v>
      </c>
      <c r="D787" s="524" t="s">
        <v>1239</v>
      </c>
      <c r="E787" s="524" t="s">
        <v>1312</v>
      </c>
      <c r="F787" s="524" t="s">
        <v>1170</v>
      </c>
      <c r="G787" s="524" t="s">
        <v>749</v>
      </c>
      <c r="H787" s="527">
        <v>20</v>
      </c>
      <c r="I787" s="524" t="s">
        <v>1174</v>
      </c>
      <c r="J787" s="524">
        <f>IF(cmf[[#This Row],[D/C]]="C",cmf[[#This Row],[Valor]],-1*cmf[[#This Row],[Valor]])</f>
        <v>-20</v>
      </c>
      <c r="L787" s="524" t="s">
        <v>1241</v>
      </c>
      <c r="M787" s="524" t="s">
        <v>1242</v>
      </c>
      <c r="N787" s="524" t="s">
        <v>1256</v>
      </c>
      <c r="O787" s="524" t="s">
        <v>1257</v>
      </c>
      <c r="P787" s="526">
        <v>46210</v>
      </c>
      <c r="S787" s="527">
        <v>0</v>
      </c>
    </row>
    <row r="788" spans="1:19" x14ac:dyDescent="0.2">
      <c r="A788" s="524">
        <v>71231</v>
      </c>
      <c r="B788" s="526">
        <v>46211</v>
      </c>
      <c r="C788" s="524" t="s">
        <v>1148</v>
      </c>
      <c r="D788" s="524" t="s">
        <v>1239</v>
      </c>
      <c r="E788" s="524" t="s">
        <v>1255</v>
      </c>
      <c r="F788" s="524" t="s">
        <v>1170</v>
      </c>
      <c r="G788" s="524" t="s">
        <v>749</v>
      </c>
      <c r="H788" s="527">
        <v>0.2</v>
      </c>
      <c r="I788" s="524" t="s">
        <v>1174</v>
      </c>
      <c r="J788" s="524">
        <f>IF(cmf[[#This Row],[D/C]]="C",cmf[[#This Row],[Valor]],-1*cmf[[#This Row],[Valor]])</f>
        <v>-0.2</v>
      </c>
      <c r="L788" s="524" t="s">
        <v>1241</v>
      </c>
      <c r="M788" s="524" t="s">
        <v>1242</v>
      </c>
      <c r="N788" s="524" t="s">
        <v>1256</v>
      </c>
      <c r="O788" s="524" t="s">
        <v>1257</v>
      </c>
      <c r="P788" s="526">
        <v>46211</v>
      </c>
      <c r="S788" s="527">
        <v>0</v>
      </c>
    </row>
    <row r="789" spans="1:19" x14ac:dyDescent="0.2">
      <c r="A789" s="524">
        <v>71532</v>
      </c>
      <c r="B789" s="526">
        <v>46211</v>
      </c>
      <c r="C789" s="524" t="s">
        <v>1148</v>
      </c>
      <c r="D789" s="524" t="s">
        <v>1239</v>
      </c>
      <c r="E789" s="524" t="s">
        <v>1312</v>
      </c>
      <c r="F789" s="524" t="s">
        <v>1170</v>
      </c>
      <c r="G789" s="524" t="s">
        <v>740</v>
      </c>
      <c r="H789" s="527">
        <v>15</v>
      </c>
      <c r="I789" s="524" t="s">
        <v>1174</v>
      </c>
      <c r="J789" s="524">
        <f>IF(cmf[[#This Row],[D/C]]="C",cmf[[#This Row],[Valor]],-1*cmf[[#This Row],[Valor]])</f>
        <v>-15</v>
      </c>
      <c r="L789" s="524" t="s">
        <v>1241</v>
      </c>
      <c r="M789" s="524" t="s">
        <v>1242</v>
      </c>
      <c r="N789" s="524" t="s">
        <v>1215</v>
      </c>
      <c r="O789" s="524" t="s">
        <v>1218</v>
      </c>
      <c r="P789" s="526">
        <v>46211</v>
      </c>
      <c r="S789" s="527">
        <v>0</v>
      </c>
    </row>
    <row r="790" spans="1:19" x14ac:dyDescent="0.2">
      <c r="A790" s="524">
        <v>71759</v>
      </c>
      <c r="B790" s="526">
        <v>46211</v>
      </c>
      <c r="C790" s="524" t="s">
        <v>1148</v>
      </c>
      <c r="D790" s="524" t="s">
        <v>1239</v>
      </c>
      <c r="E790" s="524" t="s">
        <v>1743</v>
      </c>
      <c r="F790" s="524" t="s">
        <v>1183</v>
      </c>
      <c r="G790" s="524" t="s">
        <v>742</v>
      </c>
      <c r="H790" s="527">
        <v>68000</v>
      </c>
      <c r="I790" s="524" t="s">
        <v>1148</v>
      </c>
      <c r="J790" s="524">
        <f>IF(cmf[[#This Row],[D/C]]="C",cmf[[#This Row],[Valor]],-1*cmf[[#This Row],[Valor]])</f>
        <v>68000</v>
      </c>
      <c r="L790" s="524" t="s">
        <v>1264</v>
      </c>
      <c r="M790" s="524" t="s">
        <v>1265</v>
      </c>
      <c r="N790" s="524" t="s">
        <v>1215</v>
      </c>
      <c r="O790" s="524" t="s">
        <v>1218</v>
      </c>
      <c r="P790" s="526">
        <v>46211</v>
      </c>
      <c r="S790" s="527">
        <v>0</v>
      </c>
    </row>
    <row r="791" spans="1:19" x14ac:dyDescent="0.2">
      <c r="A791" s="524">
        <v>71793</v>
      </c>
      <c r="B791" s="526">
        <v>46211</v>
      </c>
      <c r="C791" s="524" t="s">
        <v>1148</v>
      </c>
      <c r="D791" s="524" t="s">
        <v>1243</v>
      </c>
      <c r="E791" s="524" t="s">
        <v>1266</v>
      </c>
      <c r="F791" s="524" t="s">
        <v>1183</v>
      </c>
      <c r="G791" s="524" t="s">
        <v>742</v>
      </c>
      <c r="H791" s="527">
        <v>7160.52</v>
      </c>
      <c r="I791" s="524" t="s">
        <v>1174</v>
      </c>
      <c r="J791" s="524">
        <f>IF(cmf[[#This Row],[D/C]]="C",cmf[[#This Row],[Valor]],-1*cmf[[#This Row],[Valor]])</f>
        <v>-7160.52</v>
      </c>
      <c r="L791" s="524" t="s">
        <v>1245</v>
      </c>
      <c r="M791" s="524" t="s">
        <v>1246</v>
      </c>
      <c r="N791" s="524" t="s">
        <v>1215</v>
      </c>
      <c r="O791" s="524" t="s">
        <v>1267</v>
      </c>
      <c r="P791" s="526">
        <v>46211</v>
      </c>
      <c r="S791" s="527">
        <v>0</v>
      </c>
    </row>
    <row r="792" spans="1:19" x14ac:dyDescent="0.2">
      <c r="A792" s="524">
        <v>72155</v>
      </c>
      <c r="B792" s="526">
        <v>46211</v>
      </c>
      <c r="C792" s="524" t="s">
        <v>1148</v>
      </c>
      <c r="D792" s="524" t="s">
        <v>1186</v>
      </c>
      <c r="E792" s="524" t="s">
        <v>1744</v>
      </c>
      <c r="F792" s="524" t="s">
        <v>1170</v>
      </c>
      <c r="G792" s="524" t="s">
        <v>788</v>
      </c>
      <c r="H792" s="527">
        <v>15172.32</v>
      </c>
      <c r="I792" s="524" t="s">
        <v>1174</v>
      </c>
      <c r="J792" s="524">
        <f>IF(cmf[[#This Row],[D/C]]="C",cmf[[#This Row],[Valor]],-1*cmf[[#This Row],[Valor]])</f>
        <v>-15172.32</v>
      </c>
      <c r="L792" s="524" t="s">
        <v>1188</v>
      </c>
      <c r="M792" s="524" t="s">
        <v>1189</v>
      </c>
      <c r="N792" s="524" t="s">
        <v>1271</v>
      </c>
      <c r="O792" s="524" t="s">
        <v>1272</v>
      </c>
      <c r="P792" s="526">
        <v>46211</v>
      </c>
      <c r="S792" s="527">
        <v>0</v>
      </c>
    </row>
    <row r="793" spans="1:19" x14ac:dyDescent="0.2">
      <c r="A793" s="524">
        <v>72242</v>
      </c>
      <c r="B793" s="526">
        <v>46211</v>
      </c>
      <c r="C793" s="524" t="s">
        <v>1162</v>
      </c>
      <c r="D793" s="524" t="s">
        <v>1186</v>
      </c>
      <c r="E793" s="524" t="s">
        <v>1745</v>
      </c>
      <c r="F793" s="524" t="s">
        <v>1746</v>
      </c>
      <c r="G793" s="524" t="s">
        <v>1216</v>
      </c>
      <c r="H793" s="527">
        <v>1237</v>
      </c>
      <c r="I793" s="524" t="s">
        <v>1174</v>
      </c>
      <c r="J793" s="524">
        <f>IF(cmf[[#This Row],[D/C]]="C",cmf[[#This Row],[Valor]],-1*cmf[[#This Row],[Valor]])</f>
        <v>-1237</v>
      </c>
      <c r="L793" s="524" t="s">
        <v>1188</v>
      </c>
      <c r="M793" s="524" t="s">
        <v>1189</v>
      </c>
      <c r="N793" s="524" t="s">
        <v>1209</v>
      </c>
      <c r="O793" s="524" t="s">
        <v>1267</v>
      </c>
      <c r="P793" s="526"/>
      <c r="S793" s="527">
        <v>0</v>
      </c>
    </row>
    <row r="794" spans="1:19" x14ac:dyDescent="0.2">
      <c r="A794" s="524">
        <v>72541</v>
      </c>
      <c r="B794" s="526">
        <v>46211</v>
      </c>
      <c r="C794" s="524" t="s">
        <v>1148</v>
      </c>
      <c r="D794" s="524" t="s">
        <v>1235</v>
      </c>
      <c r="E794" s="524" t="s">
        <v>1581</v>
      </c>
      <c r="F794" s="524" t="s">
        <v>1170</v>
      </c>
      <c r="G794" s="524" t="s">
        <v>757</v>
      </c>
      <c r="H794" s="527">
        <v>1440</v>
      </c>
      <c r="I794" s="524" t="s">
        <v>1174</v>
      </c>
      <c r="J794" s="524">
        <f>IF(cmf[[#This Row],[D/C]]="C",cmf[[#This Row],[Valor]],-1*cmf[[#This Row],[Valor]])</f>
        <v>-1440</v>
      </c>
      <c r="L794" s="524" t="s">
        <v>1237</v>
      </c>
      <c r="M794" s="524" t="s">
        <v>1238</v>
      </c>
      <c r="N794" s="524" t="s">
        <v>1223</v>
      </c>
      <c r="O794" s="524" t="s">
        <v>1224</v>
      </c>
      <c r="P794" s="526">
        <v>46211</v>
      </c>
      <c r="S794" s="527">
        <v>0</v>
      </c>
    </row>
    <row r="795" spans="1:19" x14ac:dyDescent="0.2">
      <c r="A795" s="524">
        <v>68794</v>
      </c>
      <c r="B795" s="526">
        <v>46212</v>
      </c>
      <c r="C795" s="524" t="s">
        <v>1162</v>
      </c>
      <c r="D795" s="524" t="s">
        <v>1163</v>
      </c>
      <c r="E795" s="524" t="s">
        <v>1164</v>
      </c>
      <c r="F795" s="524" t="s">
        <v>1165</v>
      </c>
      <c r="G795" s="524" t="s">
        <v>756</v>
      </c>
      <c r="H795" s="527">
        <v>127314.2</v>
      </c>
      <c r="I795" s="524" t="s">
        <v>1148</v>
      </c>
      <c r="J795" s="524">
        <f>IF(cmf[[#This Row],[D/C]]="C",cmf[[#This Row],[Valor]],-1*cmf[[#This Row],[Valor]])</f>
        <v>127314.2</v>
      </c>
      <c r="L795" s="524" t="s">
        <v>1166</v>
      </c>
      <c r="M795" s="524" t="s">
        <v>1167</v>
      </c>
      <c r="N795" s="524" t="s">
        <v>1168</v>
      </c>
      <c r="O795" s="524" t="s">
        <v>1169</v>
      </c>
      <c r="P795" s="526"/>
      <c r="S795" s="527">
        <v>0</v>
      </c>
    </row>
    <row r="796" spans="1:19" x14ac:dyDescent="0.2">
      <c r="A796" s="524">
        <v>68797</v>
      </c>
      <c r="B796" s="526">
        <v>46212</v>
      </c>
      <c r="C796" s="524" t="s">
        <v>1148</v>
      </c>
      <c r="D796" s="524" t="s">
        <v>1163</v>
      </c>
      <c r="E796" s="524" t="s">
        <v>1164</v>
      </c>
      <c r="F796" s="524" t="s">
        <v>1170</v>
      </c>
      <c r="G796" s="524" t="s">
        <v>798</v>
      </c>
      <c r="H796" s="527">
        <v>750.37</v>
      </c>
      <c r="I796" s="524" t="s">
        <v>1148</v>
      </c>
      <c r="J796" s="524">
        <f>IF(cmf[[#This Row],[D/C]]="C",cmf[[#This Row],[Valor]],-1*cmf[[#This Row],[Valor]])</f>
        <v>750.37</v>
      </c>
      <c r="L796" s="524" t="s">
        <v>1166</v>
      </c>
      <c r="M796" s="524" t="s">
        <v>1167</v>
      </c>
      <c r="N796" s="524" t="s">
        <v>1171</v>
      </c>
      <c r="O796" s="524" t="s">
        <v>1172</v>
      </c>
      <c r="P796" s="526">
        <v>46212</v>
      </c>
      <c r="S796" s="527">
        <v>0</v>
      </c>
    </row>
    <row r="797" spans="1:19" x14ac:dyDescent="0.2">
      <c r="A797" s="524">
        <v>68798</v>
      </c>
      <c r="B797" s="526">
        <v>46212</v>
      </c>
      <c r="C797" s="524" t="s">
        <v>1148</v>
      </c>
      <c r="D797" s="524" t="s">
        <v>1163</v>
      </c>
      <c r="E797" s="524" t="s">
        <v>1173</v>
      </c>
      <c r="F797" s="524" t="s">
        <v>1170</v>
      </c>
      <c r="G797" s="524" t="s">
        <v>798</v>
      </c>
      <c r="H797" s="527">
        <v>6.3</v>
      </c>
      <c r="I797" s="524" t="s">
        <v>1174</v>
      </c>
      <c r="J797" s="524">
        <f>IF(cmf[[#This Row],[D/C]]="C",cmf[[#This Row],[Valor]],-1*cmf[[#This Row],[Valor]])</f>
        <v>-6.3</v>
      </c>
      <c r="L797" s="524" t="s">
        <v>1175</v>
      </c>
      <c r="M797" s="524" t="s">
        <v>1176</v>
      </c>
      <c r="N797" s="524" t="s">
        <v>1171</v>
      </c>
      <c r="O797" s="524" t="s">
        <v>1172</v>
      </c>
      <c r="P797" s="526">
        <v>46212</v>
      </c>
      <c r="S797" s="527">
        <v>0</v>
      </c>
    </row>
    <row r="798" spans="1:19" x14ac:dyDescent="0.2">
      <c r="A798" s="524">
        <v>68940</v>
      </c>
      <c r="B798" s="526">
        <v>46212</v>
      </c>
      <c r="C798" s="524" t="s">
        <v>1148</v>
      </c>
      <c r="D798" s="524" t="s">
        <v>1163</v>
      </c>
      <c r="E798" s="524" t="s">
        <v>1164</v>
      </c>
      <c r="F798" s="524" t="s">
        <v>1178</v>
      </c>
      <c r="G798" s="524" t="s">
        <v>1179</v>
      </c>
      <c r="H798" s="527">
        <v>2096.34</v>
      </c>
      <c r="I798" s="524" t="s">
        <v>1148</v>
      </c>
      <c r="J798" s="524">
        <f>IF(cmf[[#This Row],[D/C]]="C",cmf[[#This Row],[Valor]],-1*cmf[[#This Row],[Valor]])</f>
        <v>2096.34</v>
      </c>
      <c r="L798" s="524" t="s">
        <v>1166</v>
      </c>
      <c r="M798" s="524" t="s">
        <v>1167</v>
      </c>
      <c r="N798" s="524" t="s">
        <v>1180</v>
      </c>
      <c r="O798" s="524" t="s">
        <v>1181</v>
      </c>
      <c r="P798" s="526">
        <v>46212</v>
      </c>
      <c r="S798" s="527">
        <v>0</v>
      </c>
    </row>
    <row r="799" spans="1:19" x14ac:dyDescent="0.2">
      <c r="A799" s="524">
        <v>68942</v>
      </c>
      <c r="B799" s="526">
        <v>46212</v>
      </c>
      <c r="C799" s="524" t="s">
        <v>1148</v>
      </c>
      <c r="D799" s="524" t="s">
        <v>1163</v>
      </c>
      <c r="E799" s="524" t="s">
        <v>1164</v>
      </c>
      <c r="F799" s="524" t="s">
        <v>1170</v>
      </c>
      <c r="G799" s="524" t="s">
        <v>740</v>
      </c>
      <c r="H799" s="527">
        <v>228.56</v>
      </c>
      <c r="I799" s="524" t="s">
        <v>1148</v>
      </c>
      <c r="J799" s="524">
        <f>IF(cmf[[#This Row],[D/C]]="C",cmf[[#This Row],[Valor]],-1*cmf[[#This Row],[Valor]])</f>
        <v>228.56</v>
      </c>
      <c r="L799" s="524" t="s">
        <v>1166</v>
      </c>
      <c r="M799" s="524" t="s">
        <v>1167</v>
      </c>
      <c r="N799" s="524" t="s">
        <v>1215</v>
      </c>
      <c r="O799" s="524" t="s">
        <v>1218</v>
      </c>
      <c r="P799" s="526">
        <v>46212</v>
      </c>
      <c r="S799" s="527">
        <v>0</v>
      </c>
    </row>
    <row r="800" spans="1:19" x14ac:dyDescent="0.2">
      <c r="A800" s="524">
        <v>68943</v>
      </c>
      <c r="B800" s="526">
        <v>46212</v>
      </c>
      <c r="C800" s="524" t="s">
        <v>1148</v>
      </c>
      <c r="D800" s="524" t="s">
        <v>1163</v>
      </c>
      <c r="E800" s="524" t="s">
        <v>1173</v>
      </c>
      <c r="F800" s="524" t="s">
        <v>1170</v>
      </c>
      <c r="G800" s="524" t="s">
        <v>740</v>
      </c>
      <c r="H800" s="527">
        <v>12.6</v>
      </c>
      <c r="I800" s="524" t="s">
        <v>1174</v>
      </c>
      <c r="J800" s="524">
        <f>IF(cmf[[#This Row],[D/C]]="C",cmf[[#This Row],[Valor]],-1*cmf[[#This Row],[Valor]])</f>
        <v>-12.6</v>
      </c>
      <c r="L800" s="524" t="s">
        <v>1175</v>
      </c>
      <c r="M800" s="524" t="s">
        <v>1176</v>
      </c>
      <c r="N800" s="524" t="s">
        <v>1215</v>
      </c>
      <c r="O800" s="524" t="s">
        <v>1218</v>
      </c>
      <c r="P800" s="526">
        <v>46212</v>
      </c>
      <c r="S800" s="527">
        <v>0</v>
      </c>
    </row>
    <row r="801" spans="1:19" x14ac:dyDescent="0.2">
      <c r="A801" s="524">
        <v>68952</v>
      </c>
      <c r="B801" s="526">
        <v>46212</v>
      </c>
      <c r="C801" s="524" t="s">
        <v>1162</v>
      </c>
      <c r="D801" s="524" t="s">
        <v>1163</v>
      </c>
      <c r="E801" s="524" t="s">
        <v>1164</v>
      </c>
      <c r="F801" s="524" t="s">
        <v>1183</v>
      </c>
      <c r="G801" s="524" t="s">
        <v>796</v>
      </c>
      <c r="H801" s="527">
        <v>18790.810000000001</v>
      </c>
      <c r="I801" s="524" t="s">
        <v>1148</v>
      </c>
      <c r="J801" s="524">
        <f>IF(cmf[[#This Row],[D/C]]="C",cmf[[#This Row],[Valor]],-1*cmf[[#This Row],[Valor]])</f>
        <v>18790.810000000001</v>
      </c>
      <c r="L801" s="524" t="s">
        <v>1166</v>
      </c>
      <c r="M801" s="524" t="s">
        <v>1167</v>
      </c>
      <c r="N801" s="524" t="s">
        <v>1184</v>
      </c>
      <c r="O801" s="524" t="s">
        <v>1172</v>
      </c>
      <c r="P801" s="526"/>
      <c r="S801" s="527">
        <v>0</v>
      </c>
    </row>
    <row r="802" spans="1:19" x14ac:dyDescent="0.2">
      <c r="A802" s="524">
        <v>68953</v>
      </c>
      <c r="B802" s="526">
        <v>46212</v>
      </c>
      <c r="C802" s="524" t="s">
        <v>1162</v>
      </c>
      <c r="D802" s="524" t="s">
        <v>1163</v>
      </c>
      <c r="E802" s="524" t="s">
        <v>1173</v>
      </c>
      <c r="F802" s="524" t="s">
        <v>1183</v>
      </c>
      <c r="G802" s="524" t="s">
        <v>796</v>
      </c>
      <c r="H802" s="527">
        <v>11.5</v>
      </c>
      <c r="I802" s="524" t="s">
        <v>1174</v>
      </c>
      <c r="J802" s="524">
        <f>IF(cmf[[#This Row],[D/C]]="C",cmf[[#This Row],[Valor]],-1*cmf[[#This Row],[Valor]])</f>
        <v>-11.5</v>
      </c>
      <c r="L802" s="524" t="s">
        <v>1175</v>
      </c>
      <c r="M802" s="524" t="s">
        <v>1176</v>
      </c>
      <c r="N802" s="524" t="s">
        <v>1184</v>
      </c>
      <c r="O802" s="524" t="s">
        <v>1172</v>
      </c>
      <c r="P802" s="526"/>
      <c r="S802" s="527">
        <v>0</v>
      </c>
    </row>
    <row r="803" spans="1:19" x14ac:dyDescent="0.2">
      <c r="A803" s="524">
        <v>68962</v>
      </c>
      <c r="B803" s="526">
        <v>46212</v>
      </c>
      <c r="C803" s="524" t="s">
        <v>1162</v>
      </c>
      <c r="D803" s="524" t="s">
        <v>1163</v>
      </c>
      <c r="E803" s="524" t="s">
        <v>1164</v>
      </c>
      <c r="F803" s="524" t="s">
        <v>1111</v>
      </c>
      <c r="G803" s="524" t="s">
        <v>1110</v>
      </c>
      <c r="H803" s="527">
        <v>4834.45</v>
      </c>
      <c r="I803" s="524" t="s">
        <v>1148</v>
      </c>
      <c r="J803" s="524">
        <f>IF(cmf[[#This Row],[D/C]]="C",cmf[[#This Row],[Valor]],-1*cmf[[#This Row],[Valor]])</f>
        <v>4834.45</v>
      </c>
      <c r="L803" s="524" t="s">
        <v>1166</v>
      </c>
      <c r="M803" s="524" t="s">
        <v>1167</v>
      </c>
      <c r="N803" s="524" t="s">
        <v>1219</v>
      </c>
      <c r="O803" s="524" t="s">
        <v>1220</v>
      </c>
      <c r="P803" s="526"/>
      <c r="S803" s="527">
        <v>0</v>
      </c>
    </row>
    <row r="804" spans="1:19" x14ac:dyDescent="0.2">
      <c r="A804" s="524">
        <v>68963</v>
      </c>
      <c r="B804" s="526">
        <v>46212</v>
      </c>
      <c r="C804" s="524" t="s">
        <v>1162</v>
      </c>
      <c r="D804" s="524" t="s">
        <v>1163</v>
      </c>
      <c r="E804" s="524" t="s">
        <v>1173</v>
      </c>
      <c r="F804" s="524" t="s">
        <v>1111</v>
      </c>
      <c r="G804" s="524" t="s">
        <v>1110</v>
      </c>
      <c r="H804" s="527">
        <v>3.8</v>
      </c>
      <c r="I804" s="524" t="s">
        <v>1174</v>
      </c>
      <c r="J804" s="524">
        <f>IF(cmf[[#This Row],[D/C]]="C",cmf[[#This Row],[Valor]],-1*cmf[[#This Row],[Valor]])</f>
        <v>-3.8</v>
      </c>
      <c r="L804" s="524" t="s">
        <v>1175</v>
      </c>
      <c r="M804" s="524" t="s">
        <v>1176</v>
      </c>
      <c r="N804" s="524" t="s">
        <v>1219</v>
      </c>
      <c r="O804" s="524" t="s">
        <v>1220</v>
      </c>
      <c r="P804" s="526"/>
      <c r="S804" s="527">
        <v>0</v>
      </c>
    </row>
    <row r="805" spans="1:19" x14ac:dyDescent="0.2">
      <c r="A805" s="524">
        <v>70253</v>
      </c>
      <c r="B805" s="526">
        <v>46212</v>
      </c>
      <c r="C805" s="524" t="s">
        <v>1148</v>
      </c>
      <c r="D805" s="524" t="s">
        <v>1239</v>
      </c>
      <c r="E805" s="524" t="s">
        <v>1255</v>
      </c>
      <c r="F805" s="524" t="s">
        <v>1170</v>
      </c>
      <c r="G805" s="524" t="s">
        <v>768</v>
      </c>
      <c r="H805" s="527">
        <v>0.8</v>
      </c>
      <c r="I805" s="524" t="s">
        <v>1174</v>
      </c>
      <c r="J805" s="524">
        <f>IF(cmf[[#This Row],[D/C]]="C",cmf[[#This Row],[Valor]],-1*cmf[[#This Row],[Valor]])</f>
        <v>-0.8</v>
      </c>
      <c r="L805" s="524" t="s">
        <v>1241</v>
      </c>
      <c r="M805" s="524" t="s">
        <v>1242</v>
      </c>
      <c r="N805" s="524" t="s">
        <v>1219</v>
      </c>
      <c r="O805" s="524" t="s">
        <v>1220</v>
      </c>
      <c r="P805" s="526">
        <v>46212</v>
      </c>
      <c r="S805" s="527">
        <v>0</v>
      </c>
    </row>
    <row r="806" spans="1:19" x14ac:dyDescent="0.2">
      <c r="A806" s="524">
        <v>70319</v>
      </c>
      <c r="B806" s="526">
        <v>46212</v>
      </c>
      <c r="C806" s="524" t="s">
        <v>1148</v>
      </c>
      <c r="D806" s="524" t="s">
        <v>1239</v>
      </c>
      <c r="E806" s="524" t="s">
        <v>1255</v>
      </c>
      <c r="F806" s="524" t="s">
        <v>1170</v>
      </c>
      <c r="G806" s="524" t="s">
        <v>757</v>
      </c>
      <c r="H806" s="527">
        <v>0.4</v>
      </c>
      <c r="I806" s="524" t="s">
        <v>1174</v>
      </c>
      <c r="J806" s="524">
        <f>IF(cmf[[#This Row],[D/C]]="C",cmf[[#This Row],[Valor]],-1*cmf[[#This Row],[Valor]])</f>
        <v>-0.4</v>
      </c>
      <c r="L806" s="524" t="s">
        <v>1241</v>
      </c>
      <c r="M806" s="524" t="s">
        <v>1242</v>
      </c>
      <c r="N806" s="524" t="s">
        <v>1223</v>
      </c>
      <c r="O806" s="524" t="s">
        <v>1224</v>
      </c>
      <c r="P806" s="526">
        <v>46212</v>
      </c>
      <c r="S806" s="527">
        <v>0</v>
      </c>
    </row>
    <row r="807" spans="1:19" x14ac:dyDescent="0.2">
      <c r="A807" s="524">
        <v>70450</v>
      </c>
      <c r="B807" s="526">
        <v>46212</v>
      </c>
      <c r="C807" s="524" t="s">
        <v>1148</v>
      </c>
      <c r="D807" s="524" t="s">
        <v>1226</v>
      </c>
      <c r="E807" s="524" t="s">
        <v>1747</v>
      </c>
      <c r="F807" s="524" t="s">
        <v>1170</v>
      </c>
      <c r="G807" s="524" t="s">
        <v>1102</v>
      </c>
      <c r="H807" s="527">
        <v>422.73</v>
      </c>
      <c r="I807" s="524" t="s">
        <v>1148</v>
      </c>
      <c r="J807" s="524">
        <f>IF(cmf[[#This Row],[D/C]]="C",cmf[[#This Row],[Valor]],-1*cmf[[#This Row],[Valor]])</f>
        <v>422.73</v>
      </c>
      <c r="L807" s="524" t="s">
        <v>1230</v>
      </c>
      <c r="M807" s="524" t="s">
        <v>1231</v>
      </c>
      <c r="N807" s="524" t="s">
        <v>1192</v>
      </c>
      <c r="O807" s="524" t="s">
        <v>1193</v>
      </c>
      <c r="P807" s="526">
        <v>46212</v>
      </c>
      <c r="S807" s="527">
        <v>0</v>
      </c>
    </row>
    <row r="808" spans="1:19" x14ac:dyDescent="0.2">
      <c r="A808" s="524">
        <v>70628</v>
      </c>
      <c r="B808" s="526">
        <v>46212</v>
      </c>
      <c r="C808" s="524" t="s">
        <v>1148</v>
      </c>
      <c r="D808" s="524" t="s">
        <v>1243</v>
      </c>
      <c r="E808" s="524" t="s">
        <v>1254</v>
      </c>
      <c r="F808" s="524" t="s">
        <v>1178</v>
      </c>
      <c r="G808" s="524" t="s">
        <v>1179</v>
      </c>
      <c r="H808" s="527">
        <v>65632.63</v>
      </c>
      <c r="I808" s="524" t="s">
        <v>1148</v>
      </c>
      <c r="J808" s="524">
        <f>IF(cmf[[#This Row],[D/C]]="C",cmf[[#This Row],[Valor]],-1*cmf[[#This Row],[Valor]])</f>
        <v>65632.63</v>
      </c>
      <c r="L808" s="524" t="s">
        <v>1245</v>
      </c>
      <c r="M808" s="524" t="s">
        <v>1246</v>
      </c>
      <c r="N808" s="524" t="s">
        <v>1180</v>
      </c>
      <c r="O808" s="524" t="s">
        <v>1181</v>
      </c>
      <c r="P808" s="526">
        <v>46212</v>
      </c>
      <c r="S808" s="527">
        <v>0</v>
      </c>
    </row>
    <row r="809" spans="1:19" x14ac:dyDescent="0.2">
      <c r="A809" s="524">
        <v>70629</v>
      </c>
      <c r="B809" s="526">
        <v>46212</v>
      </c>
      <c r="C809" s="524" t="s">
        <v>1148</v>
      </c>
      <c r="D809" s="524" t="s">
        <v>1243</v>
      </c>
      <c r="E809" s="524" t="s">
        <v>1748</v>
      </c>
      <c r="F809" s="524" t="s">
        <v>1178</v>
      </c>
      <c r="G809" s="524" t="s">
        <v>1179</v>
      </c>
      <c r="H809" s="527">
        <v>67013.52</v>
      </c>
      <c r="I809" s="524" t="s">
        <v>1174</v>
      </c>
      <c r="J809" s="524">
        <f>IF(cmf[[#This Row],[D/C]]="C",cmf[[#This Row],[Valor]],-1*cmf[[#This Row],[Valor]])</f>
        <v>-67013.52</v>
      </c>
      <c r="L809" s="524" t="s">
        <v>1245</v>
      </c>
      <c r="M809" s="524" t="s">
        <v>1246</v>
      </c>
      <c r="N809" s="524" t="s">
        <v>1180</v>
      </c>
      <c r="O809" s="524" t="s">
        <v>1181</v>
      </c>
      <c r="P809" s="526">
        <v>46212</v>
      </c>
      <c r="S809" s="527">
        <v>0</v>
      </c>
    </row>
    <row r="810" spans="1:19" x14ac:dyDescent="0.2">
      <c r="A810" s="524">
        <v>70762</v>
      </c>
      <c r="B810" s="526">
        <v>46212</v>
      </c>
      <c r="C810" s="524" t="s">
        <v>1148</v>
      </c>
      <c r="D810" s="524" t="s">
        <v>1226</v>
      </c>
      <c r="E810" s="524" t="s">
        <v>1749</v>
      </c>
      <c r="F810" s="524" t="s">
        <v>1170</v>
      </c>
      <c r="G810" s="524" t="s">
        <v>1102</v>
      </c>
      <c r="H810" s="527">
        <v>341.13</v>
      </c>
      <c r="I810" s="524" t="s">
        <v>1148</v>
      </c>
      <c r="J810" s="524">
        <f>IF(cmf[[#This Row],[D/C]]="C",cmf[[#This Row],[Valor]],-1*cmf[[#This Row],[Valor]])</f>
        <v>341.13</v>
      </c>
      <c r="L810" s="524" t="s">
        <v>1230</v>
      </c>
      <c r="M810" s="524" t="s">
        <v>1231</v>
      </c>
      <c r="N810" s="524" t="s">
        <v>1192</v>
      </c>
      <c r="O810" s="524" t="s">
        <v>1193</v>
      </c>
      <c r="P810" s="526">
        <v>46212</v>
      </c>
      <c r="S810" s="527">
        <v>0</v>
      </c>
    </row>
    <row r="811" spans="1:19" x14ac:dyDescent="0.2">
      <c r="A811" s="524">
        <v>70769</v>
      </c>
      <c r="B811" s="526">
        <v>46212</v>
      </c>
      <c r="C811" s="524" t="s">
        <v>1148</v>
      </c>
      <c r="D811" s="524" t="s">
        <v>1239</v>
      </c>
      <c r="E811" s="524" t="s">
        <v>1258</v>
      </c>
      <c r="F811" s="524" t="s">
        <v>1170</v>
      </c>
      <c r="G811" s="524" t="s">
        <v>1102</v>
      </c>
      <c r="H811" s="527">
        <v>12.6</v>
      </c>
      <c r="I811" s="524" t="s">
        <v>1174</v>
      </c>
      <c r="J811" s="524">
        <f>IF(cmf[[#This Row],[D/C]]="C",cmf[[#This Row],[Valor]],-1*cmf[[#This Row],[Valor]])</f>
        <v>-12.6</v>
      </c>
      <c r="L811" s="524" t="s">
        <v>1241</v>
      </c>
      <c r="M811" s="524" t="s">
        <v>1242</v>
      </c>
      <c r="N811" s="524" t="s">
        <v>1192</v>
      </c>
      <c r="O811" s="524" t="s">
        <v>1193</v>
      </c>
      <c r="P811" s="526">
        <v>46212</v>
      </c>
      <c r="S811" s="527">
        <v>0</v>
      </c>
    </row>
    <row r="812" spans="1:19" x14ac:dyDescent="0.2">
      <c r="A812" s="524">
        <v>70770</v>
      </c>
      <c r="B812" s="526">
        <v>46212</v>
      </c>
      <c r="C812" s="524" t="s">
        <v>1148</v>
      </c>
      <c r="D812" s="524" t="s">
        <v>1239</v>
      </c>
      <c r="E812" s="524" t="s">
        <v>1258</v>
      </c>
      <c r="F812" s="524" t="s">
        <v>1170</v>
      </c>
      <c r="G812" s="524" t="s">
        <v>1102</v>
      </c>
      <c r="H812" s="527">
        <v>1.2</v>
      </c>
      <c r="I812" s="524" t="s">
        <v>1174</v>
      </c>
      <c r="J812" s="524">
        <f>IF(cmf[[#This Row],[D/C]]="C",cmf[[#This Row],[Valor]],-1*cmf[[#This Row],[Valor]])</f>
        <v>-1.2</v>
      </c>
      <c r="L812" s="524" t="s">
        <v>1241</v>
      </c>
      <c r="M812" s="524" t="s">
        <v>1242</v>
      </c>
      <c r="N812" s="524" t="s">
        <v>1192</v>
      </c>
      <c r="O812" s="524" t="s">
        <v>1193</v>
      </c>
      <c r="P812" s="526">
        <v>46212</v>
      </c>
      <c r="S812" s="527">
        <v>0</v>
      </c>
    </row>
    <row r="813" spans="1:19" x14ac:dyDescent="0.2">
      <c r="A813" s="524">
        <v>70966</v>
      </c>
      <c r="B813" s="526">
        <v>46212</v>
      </c>
      <c r="C813" s="524" t="s">
        <v>1148</v>
      </c>
      <c r="D813" s="524" t="s">
        <v>1239</v>
      </c>
      <c r="E813" s="524" t="s">
        <v>1253</v>
      </c>
      <c r="F813" s="524" t="s">
        <v>1170</v>
      </c>
      <c r="G813" s="524" t="s">
        <v>798</v>
      </c>
      <c r="H813" s="527">
        <v>0.4</v>
      </c>
      <c r="I813" s="524" t="s">
        <v>1174</v>
      </c>
      <c r="J813" s="524">
        <f>IF(cmf[[#This Row],[D/C]]="C",cmf[[#This Row],[Valor]],-1*cmf[[#This Row],[Valor]])</f>
        <v>-0.4</v>
      </c>
      <c r="L813" s="524" t="s">
        <v>1241</v>
      </c>
      <c r="M813" s="524" t="s">
        <v>1242</v>
      </c>
      <c r="N813" s="524" t="s">
        <v>1171</v>
      </c>
      <c r="O813" s="524" t="s">
        <v>1172</v>
      </c>
      <c r="P813" s="526">
        <v>46212</v>
      </c>
      <c r="S813" s="527">
        <v>0</v>
      </c>
    </row>
    <row r="814" spans="1:19" x14ac:dyDescent="0.2">
      <c r="A814" s="524">
        <v>71175</v>
      </c>
      <c r="B814" s="526">
        <v>46212</v>
      </c>
      <c r="C814" s="524" t="s">
        <v>1162</v>
      </c>
      <c r="D814" s="524" t="s">
        <v>1226</v>
      </c>
      <c r="E814" s="524" t="s">
        <v>1750</v>
      </c>
      <c r="F814" s="524" t="s">
        <v>1746</v>
      </c>
      <c r="G814" s="524" t="s">
        <v>1751</v>
      </c>
      <c r="H814" s="527">
        <v>35124</v>
      </c>
      <c r="I814" s="524" t="s">
        <v>1148</v>
      </c>
      <c r="J814" s="524">
        <f>IF(cmf[[#This Row],[D/C]]="C",cmf[[#This Row],[Valor]],-1*cmf[[#This Row],[Valor]])</f>
        <v>35124</v>
      </c>
      <c r="L814" s="524" t="s">
        <v>1230</v>
      </c>
      <c r="M814" s="524" t="s">
        <v>1231</v>
      </c>
      <c r="N814" s="524" t="s">
        <v>1223</v>
      </c>
      <c r="O814" s="524" t="s">
        <v>1267</v>
      </c>
      <c r="P814" s="526"/>
      <c r="S814" s="527">
        <v>0</v>
      </c>
    </row>
    <row r="815" spans="1:19" x14ac:dyDescent="0.2">
      <c r="A815" s="524">
        <v>71209</v>
      </c>
      <c r="B815" s="526">
        <v>46212</v>
      </c>
      <c r="C815" s="524" t="s">
        <v>1148</v>
      </c>
      <c r="D815" s="524" t="s">
        <v>1239</v>
      </c>
      <c r="E815" s="524" t="s">
        <v>1255</v>
      </c>
      <c r="F815" s="524" t="s">
        <v>1170</v>
      </c>
      <c r="G815" s="524" t="s">
        <v>738</v>
      </c>
      <c r="H815" s="527">
        <v>0.2</v>
      </c>
      <c r="I815" s="524" t="s">
        <v>1174</v>
      </c>
      <c r="J815" s="524">
        <f>IF(cmf[[#This Row],[D/C]]="C",cmf[[#This Row],[Valor]],-1*cmf[[#This Row],[Valor]])</f>
        <v>-0.2</v>
      </c>
      <c r="L815" s="524" t="s">
        <v>1241</v>
      </c>
      <c r="M815" s="524" t="s">
        <v>1242</v>
      </c>
      <c r="N815" s="524" t="s">
        <v>1215</v>
      </c>
      <c r="O815" s="524" t="s">
        <v>1218</v>
      </c>
      <c r="P815" s="526">
        <v>46212</v>
      </c>
      <c r="S815" s="527">
        <v>0</v>
      </c>
    </row>
    <row r="816" spans="1:19" x14ac:dyDescent="0.2">
      <c r="A816" s="524">
        <v>71232</v>
      </c>
      <c r="B816" s="526">
        <v>46212</v>
      </c>
      <c r="C816" s="524" t="s">
        <v>1148</v>
      </c>
      <c r="D816" s="524" t="s">
        <v>1239</v>
      </c>
      <c r="E816" s="524" t="s">
        <v>1312</v>
      </c>
      <c r="F816" s="524" t="s">
        <v>1170</v>
      </c>
      <c r="G816" s="524" t="s">
        <v>749</v>
      </c>
      <c r="H816" s="527">
        <v>15</v>
      </c>
      <c r="I816" s="524" t="s">
        <v>1174</v>
      </c>
      <c r="J816" s="524">
        <f>IF(cmf[[#This Row],[D/C]]="C",cmf[[#This Row],[Valor]],-1*cmf[[#This Row],[Valor]])</f>
        <v>-15</v>
      </c>
      <c r="L816" s="524" t="s">
        <v>1241</v>
      </c>
      <c r="M816" s="524" t="s">
        <v>1242</v>
      </c>
      <c r="N816" s="524" t="s">
        <v>1256</v>
      </c>
      <c r="O816" s="524" t="s">
        <v>1257</v>
      </c>
      <c r="P816" s="526">
        <v>46211</v>
      </c>
      <c r="S816" s="527">
        <v>0</v>
      </c>
    </row>
    <row r="817" spans="1:19" x14ac:dyDescent="0.2">
      <c r="A817" s="524">
        <v>71233</v>
      </c>
      <c r="B817" s="526">
        <v>46212</v>
      </c>
      <c r="C817" s="524" t="s">
        <v>1148</v>
      </c>
      <c r="D817" s="524" t="s">
        <v>1239</v>
      </c>
      <c r="E817" s="524" t="s">
        <v>1255</v>
      </c>
      <c r="F817" s="524" t="s">
        <v>1170</v>
      </c>
      <c r="G817" s="524" t="s">
        <v>749</v>
      </c>
      <c r="H817" s="527">
        <v>0.2</v>
      </c>
      <c r="I817" s="524" t="s">
        <v>1174</v>
      </c>
      <c r="J817" s="524">
        <f>IF(cmf[[#This Row],[D/C]]="C",cmf[[#This Row],[Valor]],-1*cmf[[#This Row],[Valor]])</f>
        <v>-0.2</v>
      </c>
      <c r="L817" s="524" t="s">
        <v>1241</v>
      </c>
      <c r="M817" s="524" t="s">
        <v>1242</v>
      </c>
      <c r="N817" s="524" t="s">
        <v>1256</v>
      </c>
      <c r="O817" s="524" t="s">
        <v>1257</v>
      </c>
      <c r="P817" s="526">
        <v>46212</v>
      </c>
      <c r="S817" s="527">
        <v>0</v>
      </c>
    </row>
    <row r="818" spans="1:19" x14ac:dyDescent="0.2">
      <c r="A818" s="524">
        <v>72505</v>
      </c>
      <c r="B818" s="526">
        <v>46212</v>
      </c>
      <c r="C818" s="524" t="s">
        <v>1148</v>
      </c>
      <c r="D818" s="524" t="s">
        <v>1239</v>
      </c>
      <c r="E818" s="524" t="s">
        <v>1752</v>
      </c>
      <c r="F818" s="524" t="s">
        <v>943</v>
      </c>
      <c r="G818" s="524" t="s">
        <v>743</v>
      </c>
      <c r="H818" s="527">
        <v>342.25</v>
      </c>
      <c r="I818" s="524" t="s">
        <v>1174</v>
      </c>
      <c r="J818" s="524">
        <f>IF(cmf[[#This Row],[D/C]]="C",cmf[[#This Row],[Valor]],-1*cmf[[#This Row],[Valor]])</f>
        <v>-342.25</v>
      </c>
      <c r="L818" s="524" t="s">
        <v>1241</v>
      </c>
      <c r="M818" s="524" t="s">
        <v>1242</v>
      </c>
      <c r="N818" s="524" t="s">
        <v>1215</v>
      </c>
      <c r="O818" s="524" t="s">
        <v>1218</v>
      </c>
      <c r="P818" s="526">
        <v>46212</v>
      </c>
      <c r="S818" s="527">
        <v>0</v>
      </c>
    </row>
    <row r="819" spans="1:19" x14ac:dyDescent="0.2">
      <c r="A819" s="524">
        <v>68932</v>
      </c>
      <c r="B819" s="526">
        <v>46213</v>
      </c>
      <c r="C819" s="524" t="s">
        <v>1162</v>
      </c>
      <c r="D819" s="524" t="s">
        <v>1163</v>
      </c>
      <c r="E819" s="524" t="s">
        <v>1164</v>
      </c>
      <c r="F819" s="524" t="s">
        <v>1170</v>
      </c>
      <c r="G819" s="524" t="s">
        <v>771</v>
      </c>
      <c r="H819" s="527">
        <v>688.49</v>
      </c>
      <c r="I819" s="524" t="s">
        <v>1148</v>
      </c>
      <c r="J819" s="524">
        <f>IF(cmf[[#This Row],[D/C]]="C",cmf[[#This Row],[Valor]],-1*cmf[[#This Row],[Valor]])</f>
        <v>688.49</v>
      </c>
      <c r="L819" s="524" t="s">
        <v>1166</v>
      </c>
      <c r="M819" s="524" t="s">
        <v>1167</v>
      </c>
      <c r="N819" s="524" t="s">
        <v>1249</v>
      </c>
      <c r="O819" s="524" t="s">
        <v>1250</v>
      </c>
      <c r="P819" s="526"/>
      <c r="S819" s="527">
        <v>0</v>
      </c>
    </row>
    <row r="820" spans="1:19" x14ac:dyDescent="0.2">
      <c r="A820" s="524">
        <v>68933</v>
      </c>
      <c r="B820" s="526">
        <v>46213</v>
      </c>
      <c r="C820" s="524" t="s">
        <v>1162</v>
      </c>
      <c r="D820" s="524" t="s">
        <v>1163</v>
      </c>
      <c r="E820" s="524" t="s">
        <v>1173</v>
      </c>
      <c r="F820" s="524" t="s">
        <v>1170</v>
      </c>
      <c r="G820" s="524" t="s">
        <v>771</v>
      </c>
      <c r="H820" s="527">
        <v>6.3</v>
      </c>
      <c r="I820" s="524" t="s">
        <v>1174</v>
      </c>
      <c r="J820" s="524">
        <f>IF(cmf[[#This Row],[D/C]]="C",cmf[[#This Row],[Valor]],-1*cmf[[#This Row],[Valor]])</f>
        <v>-6.3</v>
      </c>
      <c r="L820" s="524" t="s">
        <v>1175</v>
      </c>
      <c r="M820" s="524" t="s">
        <v>1176</v>
      </c>
      <c r="N820" s="524" t="s">
        <v>1249</v>
      </c>
      <c r="O820" s="524" t="s">
        <v>1250</v>
      </c>
      <c r="P820" s="526"/>
      <c r="S820" s="527">
        <v>0</v>
      </c>
    </row>
    <row r="821" spans="1:19" x14ac:dyDescent="0.2">
      <c r="A821" s="524">
        <v>68938</v>
      </c>
      <c r="B821" s="526">
        <v>46213</v>
      </c>
      <c r="C821" s="524" t="s">
        <v>1162</v>
      </c>
      <c r="D821" s="524" t="s">
        <v>1163</v>
      </c>
      <c r="E821" s="524" t="s">
        <v>1164</v>
      </c>
      <c r="F821" s="524" t="s">
        <v>1183</v>
      </c>
      <c r="G821" s="524" t="s">
        <v>1276</v>
      </c>
      <c r="H821" s="527">
        <v>188.33</v>
      </c>
      <c r="I821" s="524" t="s">
        <v>1148</v>
      </c>
      <c r="J821" s="524">
        <f>IF(cmf[[#This Row],[D/C]]="C",cmf[[#This Row],[Valor]],-1*cmf[[#This Row],[Valor]])</f>
        <v>188.33</v>
      </c>
      <c r="L821" s="524" t="s">
        <v>1166</v>
      </c>
      <c r="M821" s="524" t="s">
        <v>1167</v>
      </c>
      <c r="N821" s="524" t="s">
        <v>1184</v>
      </c>
      <c r="O821" s="524" t="s">
        <v>1201</v>
      </c>
      <c r="P821" s="526"/>
      <c r="S821" s="527">
        <v>0</v>
      </c>
    </row>
    <row r="822" spans="1:19" x14ac:dyDescent="0.2">
      <c r="A822" s="524">
        <v>68939</v>
      </c>
      <c r="B822" s="526">
        <v>46213</v>
      </c>
      <c r="C822" s="524" t="s">
        <v>1162</v>
      </c>
      <c r="D822" s="524" t="s">
        <v>1163</v>
      </c>
      <c r="E822" s="524" t="s">
        <v>1173</v>
      </c>
      <c r="F822" s="524" t="s">
        <v>1183</v>
      </c>
      <c r="G822" s="524" t="s">
        <v>1276</v>
      </c>
      <c r="H822" s="527">
        <v>2.2999999999999998</v>
      </c>
      <c r="I822" s="524" t="s">
        <v>1174</v>
      </c>
      <c r="J822" s="524">
        <f>IF(cmf[[#This Row],[D/C]]="C",cmf[[#This Row],[Valor]],-1*cmf[[#This Row],[Valor]])</f>
        <v>-2.2999999999999998</v>
      </c>
      <c r="L822" s="524" t="s">
        <v>1175</v>
      </c>
      <c r="M822" s="524" t="s">
        <v>1176</v>
      </c>
      <c r="N822" s="524" t="s">
        <v>1184</v>
      </c>
      <c r="O822" s="524" t="s">
        <v>1201</v>
      </c>
      <c r="P822" s="526"/>
      <c r="S822" s="527">
        <v>0</v>
      </c>
    </row>
    <row r="823" spans="1:19" x14ac:dyDescent="0.2">
      <c r="A823" s="524">
        <v>68941</v>
      </c>
      <c r="B823" s="526">
        <v>46213</v>
      </c>
      <c r="C823" s="524" t="s">
        <v>1148</v>
      </c>
      <c r="D823" s="524" t="s">
        <v>1163</v>
      </c>
      <c r="E823" s="524" t="s">
        <v>1164</v>
      </c>
      <c r="F823" s="524" t="s">
        <v>1178</v>
      </c>
      <c r="G823" s="524" t="s">
        <v>1179</v>
      </c>
      <c r="H823" s="527">
        <v>1744.68</v>
      </c>
      <c r="I823" s="524" t="s">
        <v>1148</v>
      </c>
      <c r="J823" s="524">
        <f>IF(cmf[[#This Row],[D/C]]="C",cmf[[#This Row],[Valor]],-1*cmf[[#This Row],[Valor]])</f>
        <v>1744.68</v>
      </c>
      <c r="L823" s="524" t="s">
        <v>1166</v>
      </c>
      <c r="M823" s="524" t="s">
        <v>1167</v>
      </c>
      <c r="N823" s="524" t="s">
        <v>1180</v>
      </c>
      <c r="O823" s="524" t="s">
        <v>1181</v>
      </c>
      <c r="P823" s="526">
        <v>46213</v>
      </c>
      <c r="S823" s="527">
        <v>0</v>
      </c>
    </row>
    <row r="824" spans="1:19" x14ac:dyDescent="0.2">
      <c r="A824" s="524">
        <v>68944</v>
      </c>
      <c r="B824" s="526">
        <v>46213</v>
      </c>
      <c r="C824" s="524" t="s">
        <v>1148</v>
      </c>
      <c r="D824" s="524" t="s">
        <v>1163</v>
      </c>
      <c r="E824" s="524" t="s">
        <v>1164</v>
      </c>
      <c r="F824" s="524" t="s">
        <v>1170</v>
      </c>
      <c r="G824" s="524" t="s">
        <v>740</v>
      </c>
      <c r="H824" s="527">
        <v>2115.44</v>
      </c>
      <c r="I824" s="524" t="s">
        <v>1148</v>
      </c>
      <c r="J824" s="524">
        <f>IF(cmf[[#This Row],[D/C]]="C",cmf[[#This Row],[Valor]],-1*cmf[[#This Row],[Valor]])</f>
        <v>2115.44</v>
      </c>
      <c r="L824" s="524" t="s">
        <v>1166</v>
      </c>
      <c r="M824" s="524" t="s">
        <v>1167</v>
      </c>
      <c r="N824" s="524" t="s">
        <v>1215</v>
      </c>
      <c r="O824" s="524" t="s">
        <v>1218</v>
      </c>
      <c r="P824" s="526">
        <v>46213</v>
      </c>
      <c r="S824" s="527">
        <v>0</v>
      </c>
    </row>
    <row r="825" spans="1:19" x14ac:dyDescent="0.2">
      <c r="A825" s="524">
        <v>68945</v>
      </c>
      <c r="B825" s="526">
        <v>46213</v>
      </c>
      <c r="C825" s="524" t="s">
        <v>1148</v>
      </c>
      <c r="D825" s="524" t="s">
        <v>1163</v>
      </c>
      <c r="E825" s="524" t="s">
        <v>1173</v>
      </c>
      <c r="F825" s="524" t="s">
        <v>1170</v>
      </c>
      <c r="G825" s="524" t="s">
        <v>740</v>
      </c>
      <c r="H825" s="527">
        <v>6.3</v>
      </c>
      <c r="I825" s="524" t="s">
        <v>1174</v>
      </c>
      <c r="J825" s="524">
        <f>IF(cmf[[#This Row],[D/C]]="C",cmf[[#This Row],[Valor]],-1*cmf[[#This Row],[Valor]])</f>
        <v>-6.3</v>
      </c>
      <c r="L825" s="524" t="s">
        <v>1175</v>
      </c>
      <c r="M825" s="524" t="s">
        <v>1176</v>
      </c>
      <c r="N825" s="524" t="s">
        <v>1215</v>
      </c>
      <c r="O825" s="524" t="s">
        <v>1218</v>
      </c>
      <c r="P825" s="526">
        <v>46213</v>
      </c>
      <c r="S825" s="527">
        <v>0</v>
      </c>
    </row>
    <row r="826" spans="1:19" x14ac:dyDescent="0.2">
      <c r="A826" s="524">
        <v>68946</v>
      </c>
      <c r="B826" s="526">
        <v>46213</v>
      </c>
      <c r="C826" s="524" t="s">
        <v>1148</v>
      </c>
      <c r="D826" s="524" t="s">
        <v>1163</v>
      </c>
      <c r="E826" s="524" t="s">
        <v>1164</v>
      </c>
      <c r="F826" s="524" t="s">
        <v>1170</v>
      </c>
      <c r="G826" s="524" t="s">
        <v>798</v>
      </c>
      <c r="H826" s="527">
        <v>490.66</v>
      </c>
      <c r="I826" s="524" t="s">
        <v>1148</v>
      </c>
      <c r="J826" s="524">
        <f>IF(cmf[[#This Row],[D/C]]="C",cmf[[#This Row],[Valor]],-1*cmf[[#This Row],[Valor]])</f>
        <v>490.66</v>
      </c>
      <c r="L826" s="524" t="s">
        <v>1166</v>
      </c>
      <c r="M826" s="524" t="s">
        <v>1167</v>
      </c>
      <c r="N826" s="524" t="s">
        <v>1171</v>
      </c>
      <c r="O826" s="524" t="s">
        <v>1172</v>
      </c>
      <c r="P826" s="526">
        <v>46213</v>
      </c>
      <c r="S826" s="527">
        <v>0</v>
      </c>
    </row>
    <row r="827" spans="1:19" x14ac:dyDescent="0.2">
      <c r="A827" s="524">
        <v>68947</v>
      </c>
      <c r="B827" s="526">
        <v>46213</v>
      </c>
      <c r="C827" s="524" t="s">
        <v>1148</v>
      </c>
      <c r="D827" s="524" t="s">
        <v>1163</v>
      </c>
      <c r="E827" s="524" t="s">
        <v>1173</v>
      </c>
      <c r="F827" s="524" t="s">
        <v>1170</v>
      </c>
      <c r="G827" s="524" t="s">
        <v>798</v>
      </c>
      <c r="H827" s="527">
        <v>6.3</v>
      </c>
      <c r="I827" s="524" t="s">
        <v>1174</v>
      </c>
      <c r="J827" s="524">
        <f>IF(cmf[[#This Row],[D/C]]="C",cmf[[#This Row],[Valor]],-1*cmf[[#This Row],[Valor]])</f>
        <v>-6.3</v>
      </c>
      <c r="L827" s="524" t="s">
        <v>1175</v>
      </c>
      <c r="M827" s="524" t="s">
        <v>1176</v>
      </c>
      <c r="N827" s="524" t="s">
        <v>1171</v>
      </c>
      <c r="O827" s="524" t="s">
        <v>1172</v>
      </c>
      <c r="P827" s="526">
        <v>46213</v>
      </c>
      <c r="S827" s="527">
        <v>0</v>
      </c>
    </row>
    <row r="828" spans="1:19" x14ac:dyDescent="0.2">
      <c r="A828" s="524">
        <v>68950</v>
      </c>
      <c r="B828" s="526">
        <v>46213</v>
      </c>
      <c r="C828" s="524" t="s">
        <v>1162</v>
      </c>
      <c r="D828" s="524" t="s">
        <v>1163</v>
      </c>
      <c r="E828" s="524" t="s">
        <v>1164</v>
      </c>
      <c r="F828" s="524" t="s">
        <v>1183</v>
      </c>
      <c r="G828" s="524" t="s">
        <v>796</v>
      </c>
      <c r="H828" s="527">
        <v>6389.3</v>
      </c>
      <c r="I828" s="524" t="s">
        <v>1148</v>
      </c>
      <c r="J828" s="524">
        <f>IF(cmf[[#This Row],[D/C]]="C",cmf[[#This Row],[Valor]],-1*cmf[[#This Row],[Valor]])</f>
        <v>6389.3</v>
      </c>
      <c r="L828" s="524" t="s">
        <v>1166</v>
      </c>
      <c r="M828" s="524" t="s">
        <v>1167</v>
      </c>
      <c r="N828" s="524" t="s">
        <v>1184</v>
      </c>
      <c r="O828" s="524" t="s">
        <v>1172</v>
      </c>
      <c r="P828" s="526"/>
      <c r="S828" s="527">
        <v>0</v>
      </c>
    </row>
    <row r="829" spans="1:19" x14ac:dyDescent="0.2">
      <c r="A829" s="524">
        <v>68951</v>
      </c>
      <c r="B829" s="526">
        <v>46213</v>
      </c>
      <c r="C829" s="524" t="s">
        <v>1162</v>
      </c>
      <c r="D829" s="524" t="s">
        <v>1163</v>
      </c>
      <c r="E829" s="524" t="s">
        <v>1173</v>
      </c>
      <c r="F829" s="524" t="s">
        <v>1183</v>
      </c>
      <c r="G829" s="524" t="s">
        <v>796</v>
      </c>
      <c r="H829" s="527">
        <v>6.9</v>
      </c>
      <c r="I829" s="524" t="s">
        <v>1174</v>
      </c>
      <c r="J829" s="524">
        <f>IF(cmf[[#This Row],[D/C]]="C",cmf[[#This Row],[Valor]],-1*cmf[[#This Row],[Valor]])</f>
        <v>-6.9</v>
      </c>
      <c r="L829" s="524" t="s">
        <v>1175</v>
      </c>
      <c r="M829" s="524" t="s">
        <v>1176</v>
      </c>
      <c r="N829" s="524" t="s">
        <v>1184</v>
      </c>
      <c r="O829" s="524" t="s">
        <v>1172</v>
      </c>
      <c r="P829" s="526"/>
      <c r="S829" s="527">
        <v>0</v>
      </c>
    </row>
    <row r="830" spans="1:19" x14ac:dyDescent="0.2">
      <c r="A830" s="524">
        <v>68956</v>
      </c>
      <c r="B830" s="526">
        <v>46213</v>
      </c>
      <c r="C830" s="524" t="s">
        <v>1162</v>
      </c>
      <c r="D830" s="524" t="s">
        <v>1163</v>
      </c>
      <c r="E830" s="524" t="s">
        <v>1164</v>
      </c>
      <c r="F830" s="524" t="s">
        <v>1165</v>
      </c>
      <c r="G830" s="524" t="s">
        <v>756</v>
      </c>
      <c r="H830" s="527">
        <v>2418.9899999999998</v>
      </c>
      <c r="I830" s="524" t="s">
        <v>1148</v>
      </c>
      <c r="J830" s="524">
        <f>IF(cmf[[#This Row],[D/C]]="C",cmf[[#This Row],[Valor]],-1*cmf[[#This Row],[Valor]])</f>
        <v>2418.9899999999998</v>
      </c>
      <c r="L830" s="524" t="s">
        <v>1166</v>
      </c>
      <c r="M830" s="524" t="s">
        <v>1167</v>
      </c>
      <c r="N830" s="524" t="s">
        <v>1168</v>
      </c>
      <c r="O830" s="524" t="s">
        <v>1169</v>
      </c>
      <c r="P830" s="526"/>
      <c r="S830" s="527">
        <v>0</v>
      </c>
    </row>
    <row r="831" spans="1:19" x14ac:dyDescent="0.2">
      <c r="A831" s="524">
        <v>68960</v>
      </c>
      <c r="B831" s="526">
        <v>46213</v>
      </c>
      <c r="C831" s="524" t="s">
        <v>1148</v>
      </c>
      <c r="D831" s="524" t="s">
        <v>1205</v>
      </c>
      <c r="E831" s="524" t="s">
        <v>1543</v>
      </c>
      <c r="F831" s="524" t="s">
        <v>1183</v>
      </c>
      <c r="G831" s="524" t="s">
        <v>742</v>
      </c>
      <c r="H831" s="527">
        <v>10000</v>
      </c>
      <c r="I831" s="524" t="s">
        <v>1174</v>
      </c>
      <c r="J831" s="524">
        <f>IF(cmf[[#This Row],[D/C]]="C",cmf[[#This Row],[Valor]],-1*cmf[[#This Row],[Valor]])</f>
        <v>-10000</v>
      </c>
      <c r="L831" s="524" t="s">
        <v>1207</v>
      </c>
      <c r="M831" s="524" t="s">
        <v>1208</v>
      </c>
      <c r="N831" s="524" t="s">
        <v>1215</v>
      </c>
      <c r="O831" s="524" t="s">
        <v>1218</v>
      </c>
      <c r="P831" s="526">
        <v>46213</v>
      </c>
      <c r="S831" s="527">
        <v>0</v>
      </c>
    </row>
    <row r="832" spans="1:19" x14ac:dyDescent="0.2">
      <c r="A832" s="524">
        <v>68961</v>
      </c>
      <c r="B832" s="526">
        <v>46213</v>
      </c>
      <c r="C832" s="524" t="s">
        <v>1162</v>
      </c>
      <c r="D832" s="524" t="s">
        <v>1205</v>
      </c>
      <c r="E832" s="524" t="s">
        <v>1217</v>
      </c>
      <c r="F832" s="524" t="s">
        <v>1170</v>
      </c>
      <c r="G832" s="524" t="s">
        <v>781</v>
      </c>
      <c r="H832" s="527">
        <v>10000</v>
      </c>
      <c r="I832" s="524" t="s">
        <v>1148</v>
      </c>
      <c r="J832" s="524">
        <f>IF(cmf[[#This Row],[D/C]]="C",cmf[[#This Row],[Valor]],-1*cmf[[#This Row],[Valor]])</f>
        <v>10000</v>
      </c>
      <c r="L832" s="524" t="s">
        <v>1207</v>
      </c>
      <c r="M832" s="524" t="s">
        <v>1208</v>
      </c>
      <c r="N832" s="524" t="s">
        <v>1209</v>
      </c>
      <c r="O832" s="524" t="s">
        <v>1210</v>
      </c>
      <c r="P832" s="526"/>
      <c r="S832" s="527">
        <v>0</v>
      </c>
    </row>
    <row r="833" spans="1:19" x14ac:dyDescent="0.2">
      <c r="A833" s="524">
        <v>68964</v>
      </c>
      <c r="B833" s="526">
        <v>46213</v>
      </c>
      <c r="C833" s="524" t="s">
        <v>1162</v>
      </c>
      <c r="D833" s="524" t="s">
        <v>1163</v>
      </c>
      <c r="E833" s="524" t="s">
        <v>1164</v>
      </c>
      <c r="F833" s="524" t="s">
        <v>1111</v>
      </c>
      <c r="G833" s="524" t="s">
        <v>1110</v>
      </c>
      <c r="H833" s="527">
        <v>8165.82</v>
      </c>
      <c r="I833" s="524" t="s">
        <v>1148</v>
      </c>
      <c r="J833" s="524">
        <f>IF(cmf[[#This Row],[D/C]]="C",cmf[[#This Row],[Valor]],-1*cmf[[#This Row],[Valor]])</f>
        <v>8165.82</v>
      </c>
      <c r="L833" s="524" t="s">
        <v>1166</v>
      </c>
      <c r="M833" s="524" t="s">
        <v>1167</v>
      </c>
      <c r="N833" s="524" t="s">
        <v>1219</v>
      </c>
      <c r="O833" s="524" t="s">
        <v>1220</v>
      </c>
      <c r="P833" s="526"/>
      <c r="S833" s="527">
        <v>0</v>
      </c>
    </row>
    <row r="834" spans="1:19" x14ac:dyDescent="0.2">
      <c r="A834" s="524">
        <v>68970</v>
      </c>
      <c r="B834" s="526">
        <v>46213</v>
      </c>
      <c r="C834" s="524" t="s">
        <v>1162</v>
      </c>
      <c r="D834" s="524" t="s">
        <v>1186</v>
      </c>
      <c r="E834" s="524" t="s">
        <v>1753</v>
      </c>
      <c r="F834" s="524" t="s">
        <v>1170</v>
      </c>
      <c r="G834" s="524" t="s">
        <v>781</v>
      </c>
      <c r="H834" s="527">
        <v>7500</v>
      </c>
      <c r="I834" s="524" t="s">
        <v>1174</v>
      </c>
      <c r="J834" s="524">
        <f>IF(cmf[[#This Row],[D/C]]="C",cmf[[#This Row],[Valor]],-1*cmf[[#This Row],[Valor]])</f>
        <v>-7500</v>
      </c>
      <c r="L834" s="524" t="s">
        <v>1188</v>
      </c>
      <c r="M834" s="524" t="s">
        <v>1189</v>
      </c>
      <c r="N834" s="524" t="s">
        <v>1209</v>
      </c>
      <c r="O834" s="524" t="s">
        <v>1210</v>
      </c>
      <c r="P834" s="526"/>
      <c r="S834" s="527">
        <v>0</v>
      </c>
    </row>
    <row r="835" spans="1:19" x14ac:dyDescent="0.2">
      <c r="A835" s="524">
        <v>68971</v>
      </c>
      <c r="B835" s="526">
        <v>46213</v>
      </c>
      <c r="C835" s="524" t="s">
        <v>1148</v>
      </c>
      <c r="D835" s="524" t="s">
        <v>1205</v>
      </c>
      <c r="E835" s="524" t="s">
        <v>1214</v>
      </c>
      <c r="F835" s="524" t="s">
        <v>1170</v>
      </c>
      <c r="G835" s="524" t="s">
        <v>740</v>
      </c>
      <c r="H835" s="527">
        <v>30000</v>
      </c>
      <c r="I835" s="524" t="s">
        <v>1174</v>
      </c>
      <c r="J835" s="524">
        <f>IF(cmf[[#This Row],[D/C]]="C",cmf[[#This Row],[Valor]],-1*cmf[[#This Row],[Valor]])</f>
        <v>-30000</v>
      </c>
      <c r="L835" s="524" t="s">
        <v>1207</v>
      </c>
      <c r="M835" s="524" t="s">
        <v>1208</v>
      </c>
      <c r="N835" s="524" t="s">
        <v>1215</v>
      </c>
      <c r="O835" s="524" t="s">
        <v>1218</v>
      </c>
      <c r="P835" s="526">
        <v>46213</v>
      </c>
      <c r="S835" s="527">
        <v>0</v>
      </c>
    </row>
    <row r="836" spans="1:19" x14ac:dyDescent="0.2">
      <c r="A836" s="524">
        <v>68972</v>
      </c>
      <c r="B836" s="526">
        <v>46213</v>
      </c>
      <c r="C836" s="524" t="s">
        <v>1148</v>
      </c>
      <c r="D836" s="524" t="s">
        <v>1205</v>
      </c>
      <c r="E836" s="524" t="s">
        <v>1217</v>
      </c>
      <c r="F836" s="524" t="s">
        <v>1183</v>
      </c>
      <c r="G836" s="524" t="s">
        <v>742</v>
      </c>
      <c r="H836" s="527">
        <v>30000</v>
      </c>
      <c r="I836" s="524" t="s">
        <v>1148</v>
      </c>
      <c r="J836" s="524">
        <f>IF(cmf[[#This Row],[D/C]]="C",cmf[[#This Row],[Valor]],-1*cmf[[#This Row],[Valor]])</f>
        <v>30000</v>
      </c>
      <c r="L836" s="524" t="s">
        <v>1207</v>
      </c>
      <c r="M836" s="524" t="s">
        <v>1208</v>
      </c>
      <c r="N836" s="524" t="s">
        <v>1215</v>
      </c>
      <c r="O836" s="524" t="s">
        <v>1218</v>
      </c>
      <c r="P836" s="526">
        <v>46213</v>
      </c>
      <c r="S836" s="527">
        <v>0</v>
      </c>
    </row>
    <row r="837" spans="1:19" x14ac:dyDescent="0.2">
      <c r="A837" s="524">
        <v>68973</v>
      </c>
      <c r="B837" s="526">
        <v>46213</v>
      </c>
      <c r="C837" s="524" t="s">
        <v>1148</v>
      </c>
      <c r="D837" s="524" t="s">
        <v>1205</v>
      </c>
      <c r="E837" s="524" t="s">
        <v>1537</v>
      </c>
      <c r="F837" s="524" t="s">
        <v>1183</v>
      </c>
      <c r="G837" s="524" t="s">
        <v>742</v>
      </c>
      <c r="H837" s="527">
        <v>10000</v>
      </c>
      <c r="I837" s="524" t="s">
        <v>1174</v>
      </c>
      <c r="J837" s="524">
        <f>IF(cmf[[#This Row],[D/C]]="C",cmf[[#This Row],[Valor]],-1*cmf[[#This Row],[Valor]])</f>
        <v>-10000</v>
      </c>
      <c r="L837" s="524" t="s">
        <v>1207</v>
      </c>
      <c r="M837" s="524" t="s">
        <v>1208</v>
      </c>
      <c r="N837" s="524" t="s">
        <v>1215</v>
      </c>
      <c r="O837" s="524" t="s">
        <v>1218</v>
      </c>
      <c r="P837" s="526">
        <v>46213</v>
      </c>
      <c r="S837" s="527">
        <v>0</v>
      </c>
    </row>
    <row r="838" spans="1:19" x14ac:dyDescent="0.2">
      <c r="A838" s="524">
        <v>68974</v>
      </c>
      <c r="B838" s="526">
        <v>46213</v>
      </c>
      <c r="C838" s="524" t="s">
        <v>1148</v>
      </c>
      <c r="D838" s="524" t="s">
        <v>1205</v>
      </c>
      <c r="E838" s="524" t="s">
        <v>1217</v>
      </c>
      <c r="F838" s="524" t="s">
        <v>1183</v>
      </c>
      <c r="G838" s="524" t="s">
        <v>758</v>
      </c>
      <c r="H838" s="527">
        <v>10000</v>
      </c>
      <c r="I838" s="524" t="s">
        <v>1148</v>
      </c>
      <c r="J838" s="524">
        <f>IF(cmf[[#This Row],[D/C]]="C",cmf[[#This Row],[Valor]],-1*cmf[[#This Row],[Valor]])</f>
        <v>10000</v>
      </c>
      <c r="L838" s="524" t="s">
        <v>1207</v>
      </c>
      <c r="M838" s="524" t="s">
        <v>1208</v>
      </c>
      <c r="N838" s="524" t="s">
        <v>1223</v>
      </c>
      <c r="O838" s="524" t="s">
        <v>1224</v>
      </c>
      <c r="P838" s="526">
        <v>46213</v>
      </c>
      <c r="S838" s="527">
        <v>0</v>
      </c>
    </row>
    <row r="839" spans="1:19" x14ac:dyDescent="0.2">
      <c r="A839" s="524">
        <v>68975</v>
      </c>
      <c r="B839" s="526">
        <v>46213</v>
      </c>
      <c r="C839" s="524" t="s">
        <v>1148</v>
      </c>
      <c r="D839" s="524" t="s">
        <v>1186</v>
      </c>
      <c r="E839" s="524" t="s">
        <v>1754</v>
      </c>
      <c r="F839" s="524" t="s">
        <v>1183</v>
      </c>
      <c r="G839" s="524" t="s">
        <v>742</v>
      </c>
      <c r="H839" s="527">
        <v>2320</v>
      </c>
      <c r="I839" s="524" t="s">
        <v>1174</v>
      </c>
      <c r="J839" s="524">
        <f>IF(cmf[[#This Row],[D/C]]="C",cmf[[#This Row],[Valor]],-1*cmf[[#This Row],[Valor]])</f>
        <v>-2320</v>
      </c>
      <c r="L839" s="524" t="s">
        <v>1188</v>
      </c>
      <c r="M839" s="524" t="s">
        <v>1189</v>
      </c>
      <c r="N839" s="524" t="s">
        <v>1215</v>
      </c>
      <c r="O839" s="524" t="s">
        <v>1218</v>
      </c>
      <c r="P839" s="526">
        <v>46213</v>
      </c>
      <c r="S839" s="527">
        <v>0</v>
      </c>
    </row>
    <row r="840" spans="1:19" x14ac:dyDescent="0.2">
      <c r="A840" s="524">
        <v>68976</v>
      </c>
      <c r="B840" s="526">
        <v>46213</v>
      </c>
      <c r="C840" s="524" t="s">
        <v>1148</v>
      </c>
      <c r="D840" s="524" t="s">
        <v>1186</v>
      </c>
      <c r="E840" s="524" t="s">
        <v>1755</v>
      </c>
      <c r="F840" s="524" t="s">
        <v>1183</v>
      </c>
      <c r="G840" s="524" t="s">
        <v>742</v>
      </c>
      <c r="H840" s="527">
        <v>870</v>
      </c>
      <c r="I840" s="524" t="s">
        <v>1174</v>
      </c>
      <c r="J840" s="524">
        <f>IF(cmf[[#This Row],[D/C]]="C",cmf[[#This Row],[Valor]],-1*cmf[[#This Row],[Valor]])</f>
        <v>-870</v>
      </c>
      <c r="L840" s="524" t="s">
        <v>1188</v>
      </c>
      <c r="M840" s="524" t="s">
        <v>1189</v>
      </c>
      <c r="N840" s="524" t="s">
        <v>1215</v>
      </c>
      <c r="O840" s="524" t="s">
        <v>1218</v>
      </c>
      <c r="P840" s="526">
        <v>46213</v>
      </c>
      <c r="S840" s="527">
        <v>0</v>
      </c>
    </row>
    <row r="841" spans="1:19" x14ac:dyDescent="0.2">
      <c r="A841" s="524">
        <v>68997</v>
      </c>
      <c r="B841" s="526">
        <v>46213</v>
      </c>
      <c r="C841" s="524" t="s">
        <v>1148</v>
      </c>
      <c r="D841" s="524" t="s">
        <v>1186</v>
      </c>
      <c r="E841" s="524" t="s">
        <v>1756</v>
      </c>
      <c r="F841" s="524" t="s">
        <v>1183</v>
      </c>
      <c r="G841" s="524" t="s">
        <v>758</v>
      </c>
      <c r="H841" s="527">
        <v>10000</v>
      </c>
      <c r="I841" s="524" t="s">
        <v>1174</v>
      </c>
      <c r="J841" s="524">
        <f>IF(cmf[[#This Row],[D/C]]="C",cmf[[#This Row],[Valor]],-1*cmf[[#This Row],[Valor]])</f>
        <v>-10000</v>
      </c>
      <c r="L841" s="524" t="s">
        <v>1188</v>
      </c>
      <c r="M841" s="524" t="s">
        <v>1189</v>
      </c>
      <c r="N841" s="524" t="s">
        <v>1223</v>
      </c>
      <c r="O841" s="524" t="s">
        <v>1224</v>
      </c>
      <c r="P841" s="526">
        <v>46213</v>
      </c>
      <c r="S841" s="527">
        <v>0</v>
      </c>
    </row>
    <row r="842" spans="1:19" x14ac:dyDescent="0.2">
      <c r="A842" s="524">
        <v>68998</v>
      </c>
      <c r="B842" s="526">
        <v>46213</v>
      </c>
      <c r="C842" s="524" t="s">
        <v>1148</v>
      </c>
      <c r="D842" s="524" t="s">
        <v>1186</v>
      </c>
      <c r="E842" s="524" t="s">
        <v>1757</v>
      </c>
      <c r="F842" s="524" t="s">
        <v>1183</v>
      </c>
      <c r="G842" s="524" t="s">
        <v>745</v>
      </c>
      <c r="H842" s="527">
        <v>1500</v>
      </c>
      <c r="I842" s="524" t="s">
        <v>1174</v>
      </c>
      <c r="J842" s="524">
        <f>IF(cmf[[#This Row],[D/C]]="C",cmf[[#This Row],[Valor]],-1*cmf[[#This Row],[Valor]])</f>
        <v>-1500</v>
      </c>
      <c r="L842" s="524" t="s">
        <v>1188</v>
      </c>
      <c r="M842" s="524" t="s">
        <v>1189</v>
      </c>
      <c r="N842" s="524" t="s">
        <v>1292</v>
      </c>
      <c r="O842" s="524" t="s">
        <v>1293</v>
      </c>
      <c r="P842" s="526">
        <v>46213</v>
      </c>
      <c r="S842" s="527">
        <v>0</v>
      </c>
    </row>
    <row r="843" spans="1:19" x14ac:dyDescent="0.2">
      <c r="A843" s="524">
        <v>68999</v>
      </c>
      <c r="B843" s="526">
        <v>46213</v>
      </c>
      <c r="C843" s="524" t="s">
        <v>1148</v>
      </c>
      <c r="D843" s="524" t="s">
        <v>1186</v>
      </c>
      <c r="E843" s="524" t="s">
        <v>1758</v>
      </c>
      <c r="F843" s="524" t="s">
        <v>1183</v>
      </c>
      <c r="G843" s="524" t="s">
        <v>766</v>
      </c>
      <c r="H843" s="527">
        <v>1500</v>
      </c>
      <c r="I843" s="524" t="s">
        <v>1174</v>
      </c>
      <c r="J843" s="524">
        <f>IF(cmf[[#This Row],[D/C]]="C",cmf[[#This Row],[Valor]],-1*cmf[[#This Row],[Valor]])</f>
        <v>-1500</v>
      </c>
      <c r="L843" s="524" t="s">
        <v>1188</v>
      </c>
      <c r="M843" s="524" t="s">
        <v>1189</v>
      </c>
      <c r="N843" s="524" t="s">
        <v>1200</v>
      </c>
      <c r="O843" s="524" t="s">
        <v>1201</v>
      </c>
      <c r="P843" s="526">
        <v>46213</v>
      </c>
      <c r="S843" s="527">
        <v>0</v>
      </c>
    </row>
    <row r="844" spans="1:19" x14ac:dyDescent="0.2">
      <c r="A844" s="524">
        <v>69040</v>
      </c>
      <c r="B844" s="526">
        <v>46213</v>
      </c>
      <c r="C844" s="524" t="s">
        <v>1148</v>
      </c>
      <c r="D844" s="524" t="s">
        <v>1186</v>
      </c>
      <c r="E844" s="524" t="s">
        <v>1759</v>
      </c>
      <c r="F844" s="524" t="s">
        <v>1170</v>
      </c>
      <c r="G844" s="524" t="s">
        <v>740</v>
      </c>
      <c r="H844" s="527">
        <v>2950.21</v>
      </c>
      <c r="I844" s="524" t="s">
        <v>1174</v>
      </c>
      <c r="J844" s="524">
        <f>IF(cmf[[#This Row],[D/C]]="C",cmf[[#This Row],[Valor]],-1*cmf[[#This Row],[Valor]])</f>
        <v>-2950.21</v>
      </c>
      <c r="L844" s="524" t="s">
        <v>1188</v>
      </c>
      <c r="M844" s="524" t="s">
        <v>1189</v>
      </c>
      <c r="N844" s="524" t="s">
        <v>1215</v>
      </c>
      <c r="O844" s="524" t="s">
        <v>1218</v>
      </c>
      <c r="P844" s="526">
        <v>46213</v>
      </c>
      <c r="S844" s="527">
        <v>0</v>
      </c>
    </row>
    <row r="845" spans="1:19" x14ac:dyDescent="0.2">
      <c r="A845" s="524">
        <v>69041</v>
      </c>
      <c r="B845" s="526">
        <v>46213</v>
      </c>
      <c r="C845" s="524" t="s">
        <v>1148</v>
      </c>
      <c r="D845" s="524" t="s">
        <v>1186</v>
      </c>
      <c r="E845" s="524" t="s">
        <v>1760</v>
      </c>
      <c r="F845" s="524" t="s">
        <v>1170</v>
      </c>
      <c r="G845" s="524" t="s">
        <v>740</v>
      </c>
      <c r="H845" s="527">
        <v>3015.4</v>
      </c>
      <c r="I845" s="524" t="s">
        <v>1174</v>
      </c>
      <c r="J845" s="524">
        <f>IF(cmf[[#This Row],[D/C]]="C",cmf[[#This Row],[Valor]],-1*cmf[[#This Row],[Valor]])</f>
        <v>-3015.4</v>
      </c>
      <c r="L845" s="524" t="s">
        <v>1188</v>
      </c>
      <c r="M845" s="524" t="s">
        <v>1189</v>
      </c>
      <c r="N845" s="524" t="s">
        <v>1215</v>
      </c>
      <c r="O845" s="524" t="s">
        <v>1218</v>
      </c>
      <c r="P845" s="526">
        <v>46213</v>
      </c>
      <c r="S845" s="527">
        <v>0</v>
      </c>
    </row>
    <row r="846" spans="1:19" x14ac:dyDescent="0.2">
      <c r="A846" s="524">
        <v>69068</v>
      </c>
      <c r="B846" s="526">
        <v>46213</v>
      </c>
      <c r="C846" s="524" t="s">
        <v>1148</v>
      </c>
      <c r="D846" s="524" t="s">
        <v>1163</v>
      </c>
      <c r="E846" s="524" t="s">
        <v>1164</v>
      </c>
      <c r="F846" s="524" t="s">
        <v>1183</v>
      </c>
      <c r="G846" s="524" t="s">
        <v>806</v>
      </c>
      <c r="H846" s="527">
        <v>17416.669999999998</v>
      </c>
      <c r="I846" s="524" t="s">
        <v>1148</v>
      </c>
      <c r="J846" s="524">
        <f>IF(cmf[[#This Row],[D/C]]="C",cmf[[#This Row],[Valor]],-1*cmf[[#This Row],[Valor]])</f>
        <v>17416.669999999998</v>
      </c>
      <c r="L846" s="524" t="s">
        <v>1166</v>
      </c>
      <c r="M846" s="524" t="s">
        <v>1167</v>
      </c>
      <c r="N846" s="524" t="s">
        <v>1283</v>
      </c>
      <c r="O846" s="524" t="s">
        <v>1284</v>
      </c>
      <c r="P846" s="526">
        <v>46213</v>
      </c>
      <c r="S846" s="527">
        <v>0</v>
      </c>
    </row>
    <row r="847" spans="1:19" x14ac:dyDescent="0.2">
      <c r="A847" s="524">
        <v>69069</v>
      </c>
      <c r="B847" s="526">
        <v>46213</v>
      </c>
      <c r="C847" s="524" t="s">
        <v>1148</v>
      </c>
      <c r="D847" s="524" t="s">
        <v>1163</v>
      </c>
      <c r="E847" s="524" t="s">
        <v>1173</v>
      </c>
      <c r="F847" s="524" t="s">
        <v>1183</v>
      </c>
      <c r="G847" s="524" t="s">
        <v>806</v>
      </c>
      <c r="H847" s="527">
        <v>4.38</v>
      </c>
      <c r="I847" s="524" t="s">
        <v>1174</v>
      </c>
      <c r="J847" s="524">
        <f>IF(cmf[[#This Row],[D/C]]="C",cmf[[#This Row],[Valor]],-1*cmf[[#This Row],[Valor]])</f>
        <v>-4.38</v>
      </c>
      <c r="L847" s="524" t="s">
        <v>1175</v>
      </c>
      <c r="M847" s="524" t="s">
        <v>1176</v>
      </c>
      <c r="N847" s="524" t="s">
        <v>1283</v>
      </c>
      <c r="O847" s="524" t="s">
        <v>1284</v>
      </c>
      <c r="P847" s="526">
        <v>46213</v>
      </c>
      <c r="S847" s="527">
        <v>0</v>
      </c>
    </row>
    <row r="848" spans="1:19" x14ac:dyDescent="0.2">
      <c r="A848" s="524">
        <v>69072</v>
      </c>
      <c r="B848" s="526">
        <v>46213</v>
      </c>
      <c r="C848" s="524" t="s">
        <v>1162</v>
      </c>
      <c r="D848" s="524" t="s">
        <v>1163</v>
      </c>
      <c r="E848" s="524" t="s">
        <v>1173</v>
      </c>
      <c r="F848" s="524" t="s">
        <v>1170</v>
      </c>
      <c r="G848" s="524" t="s">
        <v>802</v>
      </c>
      <c r="H848" s="527">
        <v>4.5</v>
      </c>
      <c r="I848" s="524" t="s">
        <v>1174</v>
      </c>
      <c r="J848" s="524">
        <f>IF(cmf[[#This Row],[D/C]]="C",cmf[[#This Row],[Valor]],-1*cmf[[#This Row],[Valor]])</f>
        <v>-4.5</v>
      </c>
      <c r="L848" s="524" t="s">
        <v>1175</v>
      </c>
      <c r="M848" s="524" t="s">
        <v>1176</v>
      </c>
      <c r="N848" s="524" t="s">
        <v>1192</v>
      </c>
      <c r="O848" s="524" t="s">
        <v>1193</v>
      </c>
      <c r="P848" s="526"/>
      <c r="S848" s="527">
        <v>0</v>
      </c>
    </row>
    <row r="849" spans="1:19" x14ac:dyDescent="0.2">
      <c r="A849" s="524">
        <v>69082</v>
      </c>
      <c r="B849" s="526">
        <v>46213</v>
      </c>
      <c r="C849" s="524" t="s">
        <v>1162</v>
      </c>
      <c r="D849" s="524" t="s">
        <v>1163</v>
      </c>
      <c r="E849" s="524" t="s">
        <v>1173</v>
      </c>
      <c r="F849" s="524" t="s">
        <v>1111</v>
      </c>
      <c r="G849" s="524" t="s">
        <v>1110</v>
      </c>
      <c r="H849" s="527">
        <v>11.4</v>
      </c>
      <c r="I849" s="524" t="s">
        <v>1174</v>
      </c>
      <c r="J849" s="524">
        <f>IF(cmf[[#This Row],[D/C]]="C",cmf[[#This Row],[Valor]],-1*cmf[[#This Row],[Valor]])</f>
        <v>-11.4</v>
      </c>
      <c r="L849" s="524" t="s">
        <v>1175</v>
      </c>
      <c r="M849" s="524" t="s">
        <v>1176</v>
      </c>
      <c r="N849" s="524" t="s">
        <v>1219</v>
      </c>
      <c r="O849" s="524" t="s">
        <v>1220</v>
      </c>
      <c r="P849" s="526"/>
      <c r="S849" s="527">
        <v>0</v>
      </c>
    </row>
    <row r="850" spans="1:19" x14ac:dyDescent="0.2">
      <c r="A850" s="524">
        <v>69138</v>
      </c>
      <c r="B850" s="526">
        <v>46213</v>
      </c>
      <c r="C850" s="524" t="s">
        <v>1148</v>
      </c>
      <c r="D850" s="524" t="s">
        <v>1186</v>
      </c>
      <c r="E850" s="524" t="s">
        <v>1761</v>
      </c>
      <c r="F850" s="524" t="s">
        <v>1183</v>
      </c>
      <c r="G850" s="524" t="s">
        <v>742</v>
      </c>
      <c r="H850" s="527">
        <v>3486.7</v>
      </c>
      <c r="I850" s="524" t="s">
        <v>1174</v>
      </c>
      <c r="J850" s="524">
        <f>IF(cmf[[#This Row],[D/C]]="C",cmf[[#This Row],[Valor]],-1*cmf[[#This Row],[Valor]])</f>
        <v>-3486.7</v>
      </c>
      <c r="L850" s="524" t="s">
        <v>1188</v>
      </c>
      <c r="M850" s="524" t="s">
        <v>1189</v>
      </c>
      <c r="N850" s="524" t="s">
        <v>1215</v>
      </c>
      <c r="O850" s="524" t="s">
        <v>1218</v>
      </c>
      <c r="P850" s="526">
        <v>46213</v>
      </c>
      <c r="S850" s="527">
        <v>0</v>
      </c>
    </row>
    <row r="851" spans="1:19" x14ac:dyDescent="0.2">
      <c r="A851" s="524">
        <v>69215</v>
      </c>
      <c r="B851" s="526">
        <v>46213</v>
      </c>
      <c r="C851" s="524" t="s">
        <v>1148</v>
      </c>
      <c r="D851" s="524" t="s">
        <v>1186</v>
      </c>
      <c r="E851" s="524" t="s">
        <v>1762</v>
      </c>
      <c r="F851" s="524" t="s">
        <v>1170</v>
      </c>
      <c r="G851" s="524" t="s">
        <v>738</v>
      </c>
      <c r="H851" s="527">
        <v>1798.2</v>
      </c>
      <c r="I851" s="524" t="s">
        <v>1174</v>
      </c>
      <c r="J851" s="524">
        <f>IF(cmf[[#This Row],[D/C]]="C",cmf[[#This Row],[Valor]],-1*cmf[[#This Row],[Valor]])</f>
        <v>-1798.2</v>
      </c>
      <c r="L851" s="524" t="s">
        <v>1188</v>
      </c>
      <c r="M851" s="524" t="s">
        <v>1189</v>
      </c>
      <c r="N851" s="524" t="s">
        <v>1215</v>
      </c>
      <c r="O851" s="524" t="s">
        <v>1216</v>
      </c>
      <c r="P851" s="526">
        <v>46213</v>
      </c>
      <c r="S851" s="527">
        <v>0</v>
      </c>
    </row>
    <row r="852" spans="1:19" x14ac:dyDescent="0.2">
      <c r="A852" s="524">
        <v>69277</v>
      </c>
      <c r="B852" s="526">
        <v>46213</v>
      </c>
      <c r="C852" s="524" t="s">
        <v>1162</v>
      </c>
      <c r="D852" s="524" t="s">
        <v>1186</v>
      </c>
      <c r="E852" s="524" t="s">
        <v>1763</v>
      </c>
      <c r="F852" s="524" t="s">
        <v>1183</v>
      </c>
      <c r="G852" s="524" t="s">
        <v>776</v>
      </c>
      <c r="H852" s="527">
        <v>20000</v>
      </c>
      <c r="I852" s="524" t="s">
        <v>1174</v>
      </c>
      <c r="J852" s="524">
        <f>IF(cmf[[#This Row],[D/C]]="C",cmf[[#This Row],[Valor]],-1*cmf[[#This Row],[Valor]])</f>
        <v>-20000</v>
      </c>
      <c r="L852" s="524" t="s">
        <v>1188</v>
      </c>
      <c r="M852" s="524" t="s">
        <v>1189</v>
      </c>
      <c r="N852" s="524" t="s">
        <v>1212</v>
      </c>
      <c r="O852" s="524" t="s">
        <v>1213</v>
      </c>
      <c r="P852" s="526"/>
      <c r="S852" s="527">
        <v>0</v>
      </c>
    </row>
    <row r="853" spans="1:19" x14ac:dyDescent="0.2">
      <c r="A853" s="524">
        <v>69279</v>
      </c>
      <c r="B853" s="526">
        <v>46213</v>
      </c>
      <c r="C853" s="524" t="s">
        <v>1162</v>
      </c>
      <c r="D853" s="524" t="s">
        <v>1186</v>
      </c>
      <c r="E853" s="524" t="s">
        <v>1764</v>
      </c>
      <c r="F853" s="524" t="s">
        <v>1170</v>
      </c>
      <c r="G853" s="524" t="s">
        <v>775</v>
      </c>
      <c r="H853" s="527">
        <v>421.75</v>
      </c>
      <c r="I853" s="524" t="s">
        <v>1174</v>
      </c>
      <c r="J853" s="524">
        <f>IF(cmf[[#This Row],[D/C]]="C",cmf[[#This Row],[Valor]],-1*cmf[[#This Row],[Valor]])</f>
        <v>-421.75</v>
      </c>
      <c r="L853" s="524" t="s">
        <v>1188</v>
      </c>
      <c r="M853" s="524" t="s">
        <v>1189</v>
      </c>
      <c r="N853" s="524" t="s">
        <v>1212</v>
      </c>
      <c r="O853" s="524" t="s">
        <v>1213</v>
      </c>
      <c r="P853" s="526"/>
      <c r="S853" s="527">
        <v>0</v>
      </c>
    </row>
    <row r="854" spans="1:19" x14ac:dyDescent="0.2">
      <c r="A854" s="524">
        <v>69280</v>
      </c>
      <c r="B854" s="526">
        <v>46213</v>
      </c>
      <c r="C854" s="524" t="s">
        <v>1162</v>
      </c>
      <c r="D854" s="524" t="s">
        <v>1186</v>
      </c>
      <c r="E854" s="524" t="s">
        <v>1765</v>
      </c>
      <c r="F854" s="524" t="s">
        <v>1170</v>
      </c>
      <c r="G854" s="524" t="s">
        <v>775</v>
      </c>
      <c r="H854" s="527">
        <v>615.86</v>
      </c>
      <c r="I854" s="524" t="s">
        <v>1174</v>
      </c>
      <c r="J854" s="524">
        <f>IF(cmf[[#This Row],[D/C]]="C",cmf[[#This Row],[Valor]],-1*cmf[[#This Row],[Valor]])</f>
        <v>-615.86</v>
      </c>
      <c r="L854" s="524" t="s">
        <v>1188</v>
      </c>
      <c r="M854" s="524" t="s">
        <v>1189</v>
      </c>
      <c r="N854" s="524" t="s">
        <v>1212</v>
      </c>
      <c r="O854" s="524" t="s">
        <v>1213</v>
      </c>
      <c r="P854" s="526"/>
      <c r="S854" s="527">
        <v>0</v>
      </c>
    </row>
    <row r="855" spans="1:19" x14ac:dyDescent="0.2">
      <c r="A855" s="524">
        <v>69472</v>
      </c>
      <c r="B855" s="526">
        <v>46213</v>
      </c>
      <c r="C855" s="524" t="s">
        <v>1148</v>
      </c>
      <c r="D855" s="524" t="s">
        <v>1243</v>
      </c>
      <c r="E855" s="524" t="s">
        <v>1244</v>
      </c>
      <c r="F855" s="524" t="s">
        <v>1183</v>
      </c>
      <c r="G855" s="524" t="s">
        <v>766</v>
      </c>
      <c r="H855" s="527">
        <v>1499.99</v>
      </c>
      <c r="I855" s="524" t="s">
        <v>1148</v>
      </c>
      <c r="J855" s="524">
        <f>IF(cmf[[#This Row],[D/C]]="C",cmf[[#This Row],[Valor]],-1*cmf[[#This Row],[Valor]])</f>
        <v>1499.99</v>
      </c>
      <c r="L855" s="524" t="s">
        <v>1245</v>
      </c>
      <c r="M855" s="524" t="s">
        <v>1246</v>
      </c>
      <c r="N855" s="524" t="s">
        <v>1200</v>
      </c>
      <c r="O855" s="524" t="s">
        <v>1201</v>
      </c>
      <c r="P855" s="526">
        <v>46213</v>
      </c>
      <c r="S855" s="527">
        <v>0</v>
      </c>
    </row>
    <row r="856" spans="1:19" x14ac:dyDescent="0.2">
      <c r="A856" s="524">
        <v>69473</v>
      </c>
      <c r="B856" s="526">
        <v>46213</v>
      </c>
      <c r="C856" s="524" t="s">
        <v>1148</v>
      </c>
      <c r="D856" s="524" t="s">
        <v>1243</v>
      </c>
      <c r="E856" s="524" t="s">
        <v>1244</v>
      </c>
      <c r="F856" s="524" t="s">
        <v>1183</v>
      </c>
      <c r="G856" s="524" t="s">
        <v>766</v>
      </c>
      <c r="H856" s="527">
        <v>0.01</v>
      </c>
      <c r="I856" s="524" t="s">
        <v>1148</v>
      </c>
      <c r="J856" s="524">
        <f>IF(cmf[[#This Row],[D/C]]="C",cmf[[#This Row],[Valor]],-1*cmf[[#This Row],[Valor]])</f>
        <v>0.01</v>
      </c>
      <c r="L856" s="524" t="s">
        <v>1245</v>
      </c>
      <c r="M856" s="524" t="s">
        <v>1246</v>
      </c>
      <c r="N856" s="524" t="s">
        <v>1200</v>
      </c>
      <c r="O856" s="524" t="s">
        <v>1201</v>
      </c>
      <c r="P856" s="526">
        <v>46213</v>
      </c>
      <c r="S856" s="527">
        <v>0</v>
      </c>
    </row>
    <row r="857" spans="1:19" x14ac:dyDescent="0.2">
      <c r="A857" s="524">
        <v>69485</v>
      </c>
      <c r="B857" s="526">
        <v>46213</v>
      </c>
      <c r="C857" s="524" t="s">
        <v>1162</v>
      </c>
      <c r="D857" s="524" t="s">
        <v>1186</v>
      </c>
      <c r="E857" s="524" t="s">
        <v>1766</v>
      </c>
      <c r="F857" s="524" t="s">
        <v>1170</v>
      </c>
      <c r="G857" s="524" t="s">
        <v>771</v>
      </c>
      <c r="H857" s="527">
        <v>40</v>
      </c>
      <c r="I857" s="524" t="s">
        <v>1174</v>
      </c>
      <c r="J857" s="524">
        <f>IF(cmf[[#This Row],[D/C]]="C",cmf[[#This Row],[Valor]],-1*cmf[[#This Row],[Valor]])</f>
        <v>-40</v>
      </c>
      <c r="L857" s="524" t="s">
        <v>1188</v>
      </c>
      <c r="M857" s="524" t="s">
        <v>1189</v>
      </c>
      <c r="N857" s="524" t="s">
        <v>1249</v>
      </c>
      <c r="O857" s="524" t="s">
        <v>1250</v>
      </c>
      <c r="P857" s="526"/>
      <c r="S857" s="527">
        <v>0</v>
      </c>
    </row>
    <row r="858" spans="1:19" x14ac:dyDescent="0.2">
      <c r="A858" s="524">
        <v>69636</v>
      </c>
      <c r="B858" s="526">
        <v>46213</v>
      </c>
      <c r="C858" s="524" t="s">
        <v>1162</v>
      </c>
      <c r="D858" s="524" t="s">
        <v>1186</v>
      </c>
      <c r="E858" s="524" t="s">
        <v>1767</v>
      </c>
      <c r="F858" s="524" t="s">
        <v>1170</v>
      </c>
      <c r="G858" s="524" t="s">
        <v>775</v>
      </c>
      <c r="H858" s="527">
        <v>5236.92</v>
      </c>
      <c r="I858" s="524" t="s">
        <v>1174</v>
      </c>
      <c r="J858" s="524">
        <f>IF(cmf[[#This Row],[D/C]]="C",cmf[[#This Row],[Valor]],-1*cmf[[#This Row],[Valor]])</f>
        <v>-5236.92</v>
      </c>
      <c r="L858" s="524" t="s">
        <v>1188</v>
      </c>
      <c r="M858" s="524" t="s">
        <v>1189</v>
      </c>
      <c r="N858" s="524" t="s">
        <v>1212</v>
      </c>
      <c r="O858" s="524" t="s">
        <v>1213</v>
      </c>
      <c r="P858" s="526"/>
      <c r="S858" s="527">
        <v>0</v>
      </c>
    </row>
    <row r="859" spans="1:19" x14ac:dyDescent="0.2">
      <c r="A859" s="524">
        <v>69637</v>
      </c>
      <c r="B859" s="526">
        <v>46213</v>
      </c>
      <c r="C859" s="524" t="s">
        <v>1162</v>
      </c>
      <c r="D859" s="524" t="s">
        <v>1186</v>
      </c>
      <c r="E859" s="524" t="s">
        <v>1768</v>
      </c>
      <c r="F859" s="524" t="s">
        <v>1170</v>
      </c>
      <c r="G859" s="524" t="s">
        <v>775</v>
      </c>
      <c r="H859" s="527">
        <v>39.89</v>
      </c>
      <c r="I859" s="524" t="s">
        <v>1174</v>
      </c>
      <c r="J859" s="524">
        <f>IF(cmf[[#This Row],[D/C]]="C",cmf[[#This Row],[Valor]],-1*cmf[[#This Row],[Valor]])</f>
        <v>-39.89</v>
      </c>
      <c r="L859" s="524" t="s">
        <v>1188</v>
      </c>
      <c r="M859" s="524" t="s">
        <v>1189</v>
      </c>
      <c r="N859" s="524" t="s">
        <v>1212</v>
      </c>
      <c r="O859" s="524" t="s">
        <v>1213</v>
      </c>
      <c r="P859" s="526"/>
      <c r="S859" s="527">
        <v>0</v>
      </c>
    </row>
    <row r="860" spans="1:19" x14ac:dyDescent="0.2">
      <c r="A860" s="524">
        <v>69638</v>
      </c>
      <c r="B860" s="526">
        <v>46213</v>
      </c>
      <c r="C860" s="524" t="s">
        <v>1162</v>
      </c>
      <c r="D860" s="524" t="s">
        <v>1186</v>
      </c>
      <c r="E860" s="524" t="s">
        <v>1769</v>
      </c>
      <c r="F860" s="524" t="s">
        <v>1170</v>
      </c>
      <c r="G860" s="524" t="s">
        <v>775</v>
      </c>
      <c r="H860" s="527">
        <v>895</v>
      </c>
      <c r="I860" s="524" t="s">
        <v>1174</v>
      </c>
      <c r="J860" s="524">
        <f>IF(cmf[[#This Row],[D/C]]="C",cmf[[#This Row],[Valor]],-1*cmf[[#This Row],[Valor]])</f>
        <v>-895</v>
      </c>
      <c r="L860" s="524" t="s">
        <v>1188</v>
      </c>
      <c r="M860" s="524" t="s">
        <v>1189</v>
      </c>
      <c r="N860" s="524" t="s">
        <v>1212</v>
      </c>
      <c r="O860" s="524" t="s">
        <v>1213</v>
      </c>
      <c r="P860" s="526"/>
      <c r="S860" s="527">
        <v>0</v>
      </c>
    </row>
    <row r="861" spans="1:19" x14ac:dyDescent="0.2">
      <c r="A861" s="524">
        <v>69640</v>
      </c>
      <c r="B861" s="526">
        <v>46213</v>
      </c>
      <c r="C861" s="524" t="s">
        <v>1162</v>
      </c>
      <c r="D861" s="524" t="s">
        <v>1186</v>
      </c>
      <c r="E861" s="524" t="s">
        <v>1770</v>
      </c>
      <c r="F861" s="524" t="s">
        <v>1183</v>
      </c>
      <c r="G861" s="524" t="s">
        <v>776</v>
      </c>
      <c r="H861" s="527">
        <v>5000</v>
      </c>
      <c r="I861" s="524" t="s">
        <v>1174</v>
      </c>
      <c r="J861" s="524">
        <f>IF(cmf[[#This Row],[D/C]]="C",cmf[[#This Row],[Valor]],-1*cmf[[#This Row],[Valor]])</f>
        <v>-5000</v>
      </c>
      <c r="L861" s="524" t="s">
        <v>1188</v>
      </c>
      <c r="M861" s="524" t="s">
        <v>1189</v>
      </c>
      <c r="N861" s="524" t="s">
        <v>1212</v>
      </c>
      <c r="O861" s="524" t="s">
        <v>1213</v>
      </c>
      <c r="P861" s="526"/>
      <c r="S861" s="527">
        <v>0</v>
      </c>
    </row>
    <row r="862" spans="1:19" x14ac:dyDescent="0.2">
      <c r="A862" s="524">
        <v>69784</v>
      </c>
      <c r="B862" s="526">
        <v>46213</v>
      </c>
      <c r="C862" s="524" t="s">
        <v>1148</v>
      </c>
      <c r="D862" s="524" t="s">
        <v>1163</v>
      </c>
      <c r="E862" s="524" t="s">
        <v>1164</v>
      </c>
      <c r="F862" s="524" t="s">
        <v>1170</v>
      </c>
      <c r="G862" s="524" t="s">
        <v>799</v>
      </c>
      <c r="H862" s="527">
        <v>418520.93</v>
      </c>
      <c r="I862" s="524" t="s">
        <v>1148</v>
      </c>
      <c r="J862" s="524">
        <f>IF(cmf[[#This Row],[D/C]]="C",cmf[[#This Row],[Valor]],-1*cmf[[#This Row],[Valor]])</f>
        <v>418520.93</v>
      </c>
      <c r="L862" s="524" t="s">
        <v>1166</v>
      </c>
      <c r="M862" s="524" t="s">
        <v>1167</v>
      </c>
      <c r="N862" s="524" t="s">
        <v>1171</v>
      </c>
      <c r="O862" s="524" t="s">
        <v>1172</v>
      </c>
      <c r="P862" s="526">
        <v>46213</v>
      </c>
      <c r="S862" s="527">
        <v>0</v>
      </c>
    </row>
    <row r="863" spans="1:19" x14ac:dyDescent="0.2">
      <c r="A863" s="524">
        <v>69787</v>
      </c>
      <c r="B863" s="526">
        <v>46213</v>
      </c>
      <c r="C863" s="524" t="s">
        <v>1148</v>
      </c>
      <c r="D863" s="524" t="s">
        <v>1163</v>
      </c>
      <c r="E863" s="524" t="s">
        <v>1164</v>
      </c>
      <c r="F863" s="524" t="s">
        <v>1170</v>
      </c>
      <c r="G863" s="524" t="s">
        <v>802</v>
      </c>
      <c r="H863" s="527">
        <v>195215.24</v>
      </c>
      <c r="I863" s="524" t="s">
        <v>1148</v>
      </c>
      <c r="J863" s="524">
        <f>IF(cmf[[#This Row],[D/C]]="C",cmf[[#This Row],[Valor]],-1*cmf[[#This Row],[Valor]])</f>
        <v>195215.24</v>
      </c>
      <c r="L863" s="524" t="s">
        <v>1166</v>
      </c>
      <c r="M863" s="524" t="s">
        <v>1167</v>
      </c>
      <c r="N863" s="524" t="s">
        <v>1192</v>
      </c>
      <c r="O863" s="524" t="s">
        <v>1193</v>
      </c>
      <c r="P863" s="526">
        <v>46213</v>
      </c>
      <c r="S863" s="527">
        <v>0</v>
      </c>
    </row>
    <row r="864" spans="1:19" x14ac:dyDescent="0.2">
      <c r="A864" s="524">
        <v>69788</v>
      </c>
      <c r="B864" s="526">
        <v>46213</v>
      </c>
      <c r="C864" s="524" t="s">
        <v>1148</v>
      </c>
      <c r="D864" s="524" t="s">
        <v>1239</v>
      </c>
      <c r="E864" s="524" t="s">
        <v>1771</v>
      </c>
      <c r="F864" s="524" t="s">
        <v>1170</v>
      </c>
      <c r="G864" s="524" t="s">
        <v>802</v>
      </c>
      <c r="H864" s="527">
        <v>262.41000000000003</v>
      </c>
      <c r="I864" s="524" t="s">
        <v>1148</v>
      </c>
      <c r="J864" s="524">
        <f>IF(cmf[[#This Row],[D/C]]="C",cmf[[#This Row],[Valor]],-1*cmf[[#This Row],[Valor]])</f>
        <v>262.41000000000003</v>
      </c>
      <c r="L864" s="524" t="s">
        <v>1264</v>
      </c>
      <c r="M864" s="524" t="s">
        <v>1265</v>
      </c>
      <c r="N864" s="524" t="s">
        <v>1192</v>
      </c>
      <c r="O864" s="524" t="s">
        <v>1193</v>
      </c>
      <c r="P864" s="526">
        <v>46213</v>
      </c>
      <c r="S864" s="527">
        <v>0</v>
      </c>
    </row>
    <row r="865" spans="1:19" x14ac:dyDescent="0.2">
      <c r="A865" s="524">
        <v>69789</v>
      </c>
      <c r="B865" s="526">
        <v>46213</v>
      </c>
      <c r="C865" s="524" t="s">
        <v>1148</v>
      </c>
      <c r="D865" s="524" t="s">
        <v>1239</v>
      </c>
      <c r="E865" s="524" t="s">
        <v>1772</v>
      </c>
      <c r="F865" s="524" t="s">
        <v>1170</v>
      </c>
      <c r="G865" s="524" t="s">
        <v>802</v>
      </c>
      <c r="H865" s="527">
        <v>312.25</v>
      </c>
      <c r="I865" s="524" t="s">
        <v>1148</v>
      </c>
      <c r="J865" s="524">
        <f>IF(cmf[[#This Row],[D/C]]="C",cmf[[#This Row],[Valor]],-1*cmf[[#This Row],[Valor]])</f>
        <v>312.25</v>
      </c>
      <c r="L865" s="524" t="s">
        <v>1264</v>
      </c>
      <c r="M865" s="524" t="s">
        <v>1265</v>
      </c>
      <c r="N865" s="524" t="s">
        <v>1192</v>
      </c>
      <c r="O865" s="524" t="s">
        <v>1193</v>
      </c>
      <c r="P865" s="526">
        <v>46213</v>
      </c>
      <c r="S865" s="527">
        <v>0</v>
      </c>
    </row>
    <row r="866" spans="1:19" x14ac:dyDescent="0.2">
      <c r="A866" s="524">
        <v>69790</v>
      </c>
      <c r="B866" s="526">
        <v>46213</v>
      </c>
      <c r="C866" s="524" t="s">
        <v>1148</v>
      </c>
      <c r="D866" s="524" t="s">
        <v>1239</v>
      </c>
      <c r="E866" s="524" t="s">
        <v>1773</v>
      </c>
      <c r="F866" s="524" t="s">
        <v>1170</v>
      </c>
      <c r="G866" s="524" t="s">
        <v>802</v>
      </c>
      <c r="H866" s="527">
        <v>312.20999999999998</v>
      </c>
      <c r="I866" s="524" t="s">
        <v>1148</v>
      </c>
      <c r="J866" s="524">
        <f>IF(cmf[[#This Row],[D/C]]="C",cmf[[#This Row],[Valor]],-1*cmf[[#This Row],[Valor]])</f>
        <v>312.20999999999998</v>
      </c>
      <c r="L866" s="524" t="s">
        <v>1264</v>
      </c>
      <c r="M866" s="524" t="s">
        <v>1265</v>
      </c>
      <c r="N866" s="524" t="s">
        <v>1192</v>
      </c>
      <c r="O866" s="524" t="s">
        <v>1193</v>
      </c>
      <c r="P866" s="526">
        <v>46213</v>
      </c>
      <c r="S866" s="527">
        <v>0</v>
      </c>
    </row>
    <row r="867" spans="1:19" x14ac:dyDescent="0.2">
      <c r="A867" s="524">
        <v>69814</v>
      </c>
      <c r="B867" s="526">
        <v>46213</v>
      </c>
      <c r="C867" s="524" t="s">
        <v>1148</v>
      </c>
      <c r="D867" s="524" t="s">
        <v>1226</v>
      </c>
      <c r="E867" s="524" t="s">
        <v>1774</v>
      </c>
      <c r="F867" s="524" t="s">
        <v>1183</v>
      </c>
      <c r="G867" s="524" t="s">
        <v>806</v>
      </c>
      <c r="H867" s="527">
        <v>93000</v>
      </c>
      <c r="I867" s="524" t="s">
        <v>1148</v>
      </c>
      <c r="J867" s="524">
        <f>IF(cmf[[#This Row],[D/C]]="C",cmf[[#This Row],[Valor]],-1*cmf[[#This Row],[Valor]])</f>
        <v>93000</v>
      </c>
      <c r="L867" s="524" t="s">
        <v>1230</v>
      </c>
      <c r="M867" s="524" t="s">
        <v>1231</v>
      </c>
      <c r="N867" s="524" t="s">
        <v>1283</v>
      </c>
      <c r="O867" s="524" t="s">
        <v>1284</v>
      </c>
      <c r="P867" s="526">
        <v>46213</v>
      </c>
      <c r="S867" s="527">
        <v>0</v>
      </c>
    </row>
    <row r="868" spans="1:19" x14ac:dyDescent="0.2">
      <c r="A868" s="524">
        <v>70229</v>
      </c>
      <c r="B868" s="526">
        <v>46213</v>
      </c>
      <c r="C868" s="524" t="s">
        <v>1148</v>
      </c>
      <c r="D868" s="524" t="s">
        <v>1243</v>
      </c>
      <c r="E868" s="524" t="s">
        <v>1266</v>
      </c>
      <c r="F868" s="524" t="s">
        <v>1183</v>
      </c>
      <c r="G868" s="524" t="s">
        <v>806</v>
      </c>
      <c r="H868" s="527">
        <v>102410.1</v>
      </c>
      <c r="I868" s="524" t="s">
        <v>1174</v>
      </c>
      <c r="J868" s="524">
        <f>IF(cmf[[#This Row],[D/C]]="C",cmf[[#This Row],[Valor]],-1*cmf[[#This Row],[Valor]])</f>
        <v>-102410.1</v>
      </c>
      <c r="L868" s="524" t="s">
        <v>1245</v>
      </c>
      <c r="M868" s="524" t="s">
        <v>1246</v>
      </c>
      <c r="N868" s="524" t="s">
        <v>1283</v>
      </c>
      <c r="O868" s="524" t="s">
        <v>1284</v>
      </c>
      <c r="P868" s="526">
        <v>46213</v>
      </c>
      <c r="S868" s="527">
        <v>0</v>
      </c>
    </row>
    <row r="869" spans="1:19" x14ac:dyDescent="0.2">
      <c r="A869" s="524">
        <v>70254</v>
      </c>
      <c r="B869" s="526">
        <v>46213</v>
      </c>
      <c r="C869" s="524" t="s">
        <v>1148</v>
      </c>
      <c r="D869" s="524" t="s">
        <v>1239</v>
      </c>
      <c r="E869" s="524" t="s">
        <v>1312</v>
      </c>
      <c r="F869" s="524" t="s">
        <v>1170</v>
      </c>
      <c r="G869" s="524" t="s">
        <v>768</v>
      </c>
      <c r="H869" s="527">
        <v>10</v>
      </c>
      <c r="I869" s="524" t="s">
        <v>1174</v>
      </c>
      <c r="J869" s="524">
        <f>IF(cmf[[#This Row],[D/C]]="C",cmf[[#This Row],[Valor]],-1*cmf[[#This Row],[Valor]])</f>
        <v>-10</v>
      </c>
      <c r="L869" s="524" t="s">
        <v>1241</v>
      </c>
      <c r="M869" s="524" t="s">
        <v>1242</v>
      </c>
      <c r="N869" s="524" t="s">
        <v>1219</v>
      </c>
      <c r="O869" s="524" t="s">
        <v>1220</v>
      </c>
      <c r="P869" s="526">
        <v>46213</v>
      </c>
      <c r="S869" s="527">
        <v>0</v>
      </c>
    </row>
    <row r="870" spans="1:19" x14ac:dyDescent="0.2">
      <c r="A870" s="524">
        <v>70271</v>
      </c>
      <c r="B870" s="526">
        <v>46213</v>
      </c>
      <c r="C870" s="524" t="s">
        <v>1148</v>
      </c>
      <c r="D870" s="524" t="s">
        <v>1243</v>
      </c>
      <c r="E870" s="524" t="s">
        <v>1244</v>
      </c>
      <c r="F870" s="524" t="s">
        <v>1183</v>
      </c>
      <c r="G870" s="524" t="s">
        <v>745</v>
      </c>
      <c r="H870" s="527">
        <v>1499.99</v>
      </c>
      <c r="I870" s="524" t="s">
        <v>1148</v>
      </c>
      <c r="J870" s="524">
        <f>IF(cmf[[#This Row],[D/C]]="C",cmf[[#This Row],[Valor]],-1*cmf[[#This Row],[Valor]])</f>
        <v>1499.99</v>
      </c>
      <c r="L870" s="524" t="s">
        <v>1245</v>
      </c>
      <c r="M870" s="524" t="s">
        <v>1246</v>
      </c>
      <c r="N870" s="524" t="s">
        <v>1292</v>
      </c>
      <c r="O870" s="524" t="s">
        <v>1293</v>
      </c>
      <c r="P870" s="526">
        <v>46213</v>
      </c>
      <c r="S870" s="527">
        <v>0</v>
      </c>
    </row>
    <row r="871" spans="1:19" x14ac:dyDescent="0.2">
      <c r="A871" s="524">
        <v>70278</v>
      </c>
      <c r="B871" s="526">
        <v>46213</v>
      </c>
      <c r="C871" s="524" t="s">
        <v>1148</v>
      </c>
      <c r="D871" s="524" t="s">
        <v>1243</v>
      </c>
      <c r="E871" s="524" t="s">
        <v>1244</v>
      </c>
      <c r="F871" s="524" t="s">
        <v>1183</v>
      </c>
      <c r="G871" s="524" t="s">
        <v>745</v>
      </c>
      <c r="H871" s="527">
        <v>0.01</v>
      </c>
      <c r="I871" s="524" t="s">
        <v>1148</v>
      </c>
      <c r="J871" s="524">
        <f>IF(cmf[[#This Row],[D/C]]="C",cmf[[#This Row],[Valor]],-1*cmf[[#This Row],[Valor]])</f>
        <v>0.01</v>
      </c>
      <c r="L871" s="524" t="s">
        <v>1245</v>
      </c>
      <c r="M871" s="524" t="s">
        <v>1246</v>
      </c>
      <c r="N871" s="524" t="s">
        <v>1292</v>
      </c>
      <c r="O871" s="524" t="s">
        <v>1293</v>
      </c>
      <c r="P871" s="526">
        <v>46213</v>
      </c>
      <c r="S871" s="527">
        <v>0</v>
      </c>
    </row>
    <row r="872" spans="1:19" x14ac:dyDescent="0.2">
      <c r="A872" s="524">
        <v>70287</v>
      </c>
      <c r="B872" s="526">
        <v>46213</v>
      </c>
      <c r="C872" s="524" t="s">
        <v>1148</v>
      </c>
      <c r="D872" s="524" t="s">
        <v>1186</v>
      </c>
      <c r="E872" s="524" t="s">
        <v>1775</v>
      </c>
      <c r="F872" s="524" t="s">
        <v>1170</v>
      </c>
      <c r="G872" s="524" t="s">
        <v>757</v>
      </c>
      <c r="H872" s="527">
        <v>3146</v>
      </c>
      <c r="I872" s="524" t="s">
        <v>1174</v>
      </c>
      <c r="J872" s="524">
        <f>IF(cmf[[#This Row],[D/C]]="C",cmf[[#This Row],[Valor]],-1*cmf[[#This Row],[Valor]])</f>
        <v>-3146</v>
      </c>
      <c r="L872" s="524" t="s">
        <v>1188</v>
      </c>
      <c r="M872" s="524" t="s">
        <v>1189</v>
      </c>
      <c r="N872" s="524" t="s">
        <v>1223</v>
      </c>
      <c r="O872" s="524" t="s">
        <v>1224</v>
      </c>
      <c r="P872" s="526">
        <v>46213</v>
      </c>
      <c r="S872" s="527">
        <v>0</v>
      </c>
    </row>
    <row r="873" spans="1:19" x14ac:dyDescent="0.2">
      <c r="A873" s="524">
        <v>70288</v>
      </c>
      <c r="B873" s="526">
        <v>46213</v>
      </c>
      <c r="C873" s="524" t="s">
        <v>1148</v>
      </c>
      <c r="D873" s="524" t="s">
        <v>1186</v>
      </c>
      <c r="E873" s="524" t="s">
        <v>1776</v>
      </c>
      <c r="F873" s="524" t="s">
        <v>1170</v>
      </c>
      <c r="G873" s="524" t="s">
        <v>757</v>
      </c>
      <c r="H873" s="527">
        <v>3146</v>
      </c>
      <c r="I873" s="524" t="s">
        <v>1174</v>
      </c>
      <c r="J873" s="524">
        <f>IF(cmf[[#This Row],[D/C]]="C",cmf[[#This Row],[Valor]],-1*cmf[[#This Row],[Valor]])</f>
        <v>-3146</v>
      </c>
      <c r="L873" s="524" t="s">
        <v>1188</v>
      </c>
      <c r="M873" s="524" t="s">
        <v>1189</v>
      </c>
      <c r="N873" s="524" t="s">
        <v>1223</v>
      </c>
      <c r="O873" s="524" t="s">
        <v>1224</v>
      </c>
      <c r="P873" s="526">
        <v>46213</v>
      </c>
      <c r="S873" s="527">
        <v>0</v>
      </c>
    </row>
    <row r="874" spans="1:19" x14ac:dyDescent="0.2">
      <c r="A874" s="524">
        <v>70289</v>
      </c>
      <c r="B874" s="526">
        <v>46213</v>
      </c>
      <c r="C874" s="524" t="s">
        <v>1148</v>
      </c>
      <c r="D874" s="524" t="s">
        <v>1186</v>
      </c>
      <c r="E874" s="524" t="s">
        <v>1777</v>
      </c>
      <c r="F874" s="524" t="s">
        <v>1170</v>
      </c>
      <c r="G874" s="524" t="s">
        <v>757</v>
      </c>
      <c r="H874" s="527">
        <v>3146</v>
      </c>
      <c r="I874" s="524" t="s">
        <v>1174</v>
      </c>
      <c r="J874" s="524">
        <f>IF(cmf[[#This Row],[D/C]]="C",cmf[[#This Row],[Valor]],-1*cmf[[#This Row],[Valor]])</f>
        <v>-3146</v>
      </c>
      <c r="L874" s="524" t="s">
        <v>1188</v>
      </c>
      <c r="M874" s="524" t="s">
        <v>1189</v>
      </c>
      <c r="N874" s="524" t="s">
        <v>1223</v>
      </c>
      <c r="O874" s="524" t="s">
        <v>1224</v>
      </c>
      <c r="P874" s="526">
        <v>46213</v>
      </c>
      <c r="S874" s="527">
        <v>0</v>
      </c>
    </row>
    <row r="875" spans="1:19" x14ac:dyDescent="0.2">
      <c r="A875" s="524">
        <v>70448</v>
      </c>
      <c r="B875" s="526">
        <v>46213</v>
      </c>
      <c r="C875" s="524" t="s">
        <v>1148</v>
      </c>
      <c r="D875" s="524" t="s">
        <v>1226</v>
      </c>
      <c r="E875" s="524" t="s">
        <v>1778</v>
      </c>
      <c r="F875" s="524" t="s">
        <v>1170</v>
      </c>
      <c r="G875" s="524" t="s">
        <v>1102</v>
      </c>
      <c r="H875" s="527">
        <v>886.18</v>
      </c>
      <c r="I875" s="524" t="s">
        <v>1148</v>
      </c>
      <c r="J875" s="524">
        <f>IF(cmf[[#This Row],[D/C]]="C",cmf[[#This Row],[Valor]],-1*cmf[[#This Row],[Valor]])</f>
        <v>886.18</v>
      </c>
      <c r="L875" s="524" t="s">
        <v>1230</v>
      </c>
      <c r="M875" s="524" t="s">
        <v>1231</v>
      </c>
      <c r="N875" s="524" t="s">
        <v>1192</v>
      </c>
      <c r="O875" s="524" t="s">
        <v>1193</v>
      </c>
      <c r="P875" s="526">
        <v>46213</v>
      </c>
      <c r="S875" s="527">
        <v>0</v>
      </c>
    </row>
    <row r="876" spans="1:19" x14ac:dyDescent="0.2">
      <c r="A876" s="524">
        <v>70451</v>
      </c>
      <c r="B876" s="526">
        <v>46213</v>
      </c>
      <c r="C876" s="524" t="s">
        <v>1148</v>
      </c>
      <c r="D876" s="524" t="s">
        <v>1226</v>
      </c>
      <c r="E876" s="524" t="s">
        <v>1779</v>
      </c>
      <c r="F876" s="524" t="s">
        <v>1170</v>
      </c>
      <c r="G876" s="524" t="s">
        <v>1102</v>
      </c>
      <c r="H876" s="527">
        <v>328.84</v>
      </c>
      <c r="I876" s="524" t="s">
        <v>1148</v>
      </c>
      <c r="J876" s="524">
        <f>IF(cmf[[#This Row],[D/C]]="C",cmf[[#This Row],[Valor]],-1*cmf[[#This Row],[Valor]])</f>
        <v>328.84</v>
      </c>
      <c r="L876" s="524" t="s">
        <v>1230</v>
      </c>
      <c r="M876" s="524" t="s">
        <v>1231</v>
      </c>
      <c r="N876" s="524" t="s">
        <v>1192</v>
      </c>
      <c r="O876" s="524" t="s">
        <v>1193</v>
      </c>
      <c r="P876" s="526">
        <v>46213</v>
      </c>
      <c r="S876" s="527">
        <v>0</v>
      </c>
    </row>
    <row r="877" spans="1:19" x14ac:dyDescent="0.2">
      <c r="A877" s="524">
        <v>70477</v>
      </c>
      <c r="B877" s="526">
        <v>46213</v>
      </c>
      <c r="C877" s="524" t="s">
        <v>1148</v>
      </c>
      <c r="D877" s="524" t="s">
        <v>1205</v>
      </c>
      <c r="E877" s="524" t="s">
        <v>1543</v>
      </c>
      <c r="F877" s="524" t="s">
        <v>1183</v>
      </c>
      <c r="G877" s="524" t="s">
        <v>742</v>
      </c>
      <c r="H877" s="527">
        <v>10000</v>
      </c>
      <c r="I877" s="524" t="s">
        <v>1174</v>
      </c>
      <c r="J877" s="524">
        <f>IF(cmf[[#This Row],[D/C]]="C",cmf[[#This Row],[Valor]],-1*cmf[[#This Row],[Valor]])</f>
        <v>-10000</v>
      </c>
      <c r="L877" s="524" t="s">
        <v>1207</v>
      </c>
      <c r="M877" s="524" t="s">
        <v>1208</v>
      </c>
      <c r="N877" s="524" t="s">
        <v>1215</v>
      </c>
      <c r="O877" s="524" t="s">
        <v>1218</v>
      </c>
      <c r="P877" s="526">
        <v>46213</v>
      </c>
      <c r="S877" s="527">
        <v>0</v>
      </c>
    </row>
    <row r="878" spans="1:19" x14ac:dyDescent="0.2">
      <c r="A878" s="524">
        <v>70478</v>
      </c>
      <c r="B878" s="526">
        <v>46213</v>
      </c>
      <c r="C878" s="524" t="s">
        <v>1162</v>
      </c>
      <c r="D878" s="524" t="s">
        <v>1205</v>
      </c>
      <c r="E878" s="524" t="s">
        <v>1217</v>
      </c>
      <c r="F878" s="524" t="s">
        <v>1170</v>
      </c>
      <c r="G878" s="524" t="s">
        <v>781</v>
      </c>
      <c r="H878" s="527">
        <v>10000</v>
      </c>
      <c r="I878" s="524" t="s">
        <v>1148</v>
      </c>
      <c r="J878" s="524">
        <f>IF(cmf[[#This Row],[D/C]]="C",cmf[[#This Row],[Valor]],-1*cmf[[#This Row],[Valor]])</f>
        <v>10000</v>
      </c>
      <c r="L878" s="524" t="s">
        <v>1207</v>
      </c>
      <c r="M878" s="524" t="s">
        <v>1208</v>
      </c>
      <c r="N878" s="524" t="s">
        <v>1209</v>
      </c>
      <c r="O878" s="524" t="s">
        <v>1210</v>
      </c>
      <c r="P878" s="526"/>
      <c r="S878" s="527">
        <v>0</v>
      </c>
    </row>
    <row r="879" spans="1:19" x14ac:dyDescent="0.2">
      <c r="A879" s="524">
        <v>70479</v>
      </c>
      <c r="B879" s="526">
        <v>46213</v>
      </c>
      <c r="C879" s="524" t="s">
        <v>1162</v>
      </c>
      <c r="D879" s="524" t="s">
        <v>1205</v>
      </c>
      <c r="E879" s="524" t="s">
        <v>1206</v>
      </c>
      <c r="F879" s="524" t="s">
        <v>1170</v>
      </c>
      <c r="G879" s="524" t="s">
        <v>781</v>
      </c>
      <c r="H879" s="527">
        <v>6000</v>
      </c>
      <c r="I879" s="524" t="s">
        <v>1174</v>
      </c>
      <c r="J879" s="524">
        <f>IF(cmf[[#This Row],[D/C]]="C",cmf[[#This Row],[Valor]],-1*cmf[[#This Row],[Valor]])</f>
        <v>-6000</v>
      </c>
      <c r="L879" s="524" t="s">
        <v>1207</v>
      </c>
      <c r="M879" s="524" t="s">
        <v>1208</v>
      </c>
      <c r="N879" s="524" t="s">
        <v>1209</v>
      </c>
      <c r="O879" s="524" t="s">
        <v>1210</v>
      </c>
      <c r="P879" s="526"/>
      <c r="S879" s="527">
        <v>0</v>
      </c>
    </row>
    <row r="880" spans="1:19" x14ac:dyDescent="0.2">
      <c r="A880" s="524">
        <v>70480</v>
      </c>
      <c r="B880" s="526">
        <v>46213</v>
      </c>
      <c r="C880" s="524" t="s">
        <v>1162</v>
      </c>
      <c r="D880" s="524" t="s">
        <v>1205</v>
      </c>
      <c r="E880" s="524" t="s">
        <v>1211</v>
      </c>
      <c r="F880" s="524" t="s">
        <v>1183</v>
      </c>
      <c r="G880" s="524" t="s">
        <v>776</v>
      </c>
      <c r="H880" s="527">
        <v>6000</v>
      </c>
      <c r="I880" s="524" t="s">
        <v>1148</v>
      </c>
      <c r="J880" s="524">
        <f>IF(cmf[[#This Row],[D/C]]="C",cmf[[#This Row],[Valor]],-1*cmf[[#This Row],[Valor]])</f>
        <v>6000</v>
      </c>
      <c r="L880" s="524" t="s">
        <v>1207</v>
      </c>
      <c r="M880" s="524" t="s">
        <v>1208</v>
      </c>
      <c r="N880" s="524" t="s">
        <v>1212</v>
      </c>
      <c r="O880" s="524" t="s">
        <v>1213</v>
      </c>
      <c r="P880" s="526"/>
      <c r="S880" s="527">
        <v>0</v>
      </c>
    </row>
    <row r="881" spans="1:19" x14ac:dyDescent="0.2">
      <c r="A881" s="524">
        <v>70684</v>
      </c>
      <c r="B881" s="526">
        <v>46213</v>
      </c>
      <c r="C881" s="524" t="s">
        <v>1148</v>
      </c>
      <c r="D881" s="524" t="s">
        <v>1186</v>
      </c>
      <c r="E881" s="524" t="s">
        <v>1780</v>
      </c>
      <c r="F881" s="524" t="s">
        <v>1178</v>
      </c>
      <c r="G881" s="524" t="s">
        <v>1179</v>
      </c>
      <c r="H881" s="527">
        <v>989.52</v>
      </c>
      <c r="I881" s="524" t="s">
        <v>1174</v>
      </c>
      <c r="J881" s="524">
        <f>IF(cmf[[#This Row],[D/C]]="C",cmf[[#This Row],[Valor]],-1*cmf[[#This Row],[Valor]])</f>
        <v>-989.52</v>
      </c>
      <c r="L881" s="524" t="s">
        <v>1188</v>
      </c>
      <c r="M881" s="524" t="s">
        <v>1189</v>
      </c>
      <c r="N881" s="524" t="s">
        <v>1180</v>
      </c>
      <c r="O881" s="524" t="s">
        <v>1181</v>
      </c>
      <c r="P881" s="526">
        <v>46213</v>
      </c>
      <c r="S881" s="527">
        <v>0</v>
      </c>
    </row>
    <row r="882" spans="1:19" x14ac:dyDescent="0.2">
      <c r="A882" s="524">
        <v>70685</v>
      </c>
      <c r="B882" s="526">
        <v>46213</v>
      </c>
      <c r="C882" s="524" t="s">
        <v>1148</v>
      </c>
      <c r="D882" s="524" t="s">
        <v>1186</v>
      </c>
      <c r="E882" s="524" t="s">
        <v>1781</v>
      </c>
      <c r="F882" s="524" t="s">
        <v>1170</v>
      </c>
      <c r="G882" s="524" t="s">
        <v>802</v>
      </c>
      <c r="H882" s="527">
        <v>2787.09</v>
      </c>
      <c r="I882" s="524" t="s">
        <v>1174</v>
      </c>
      <c r="J882" s="524">
        <f>IF(cmf[[#This Row],[D/C]]="C",cmf[[#This Row],[Valor]],-1*cmf[[#This Row],[Valor]])</f>
        <v>-2787.09</v>
      </c>
      <c r="L882" s="524" t="s">
        <v>1188</v>
      </c>
      <c r="M882" s="524" t="s">
        <v>1189</v>
      </c>
      <c r="N882" s="524" t="s">
        <v>1192</v>
      </c>
      <c r="O882" s="524" t="s">
        <v>1193</v>
      </c>
      <c r="P882" s="526">
        <v>46213</v>
      </c>
      <c r="S882" s="527">
        <v>0</v>
      </c>
    </row>
    <row r="883" spans="1:19" x14ac:dyDescent="0.2">
      <c r="A883" s="524">
        <v>70686</v>
      </c>
      <c r="B883" s="526">
        <v>46213</v>
      </c>
      <c r="C883" s="524" t="s">
        <v>1148</v>
      </c>
      <c r="D883" s="524" t="s">
        <v>1186</v>
      </c>
      <c r="E883" s="524" t="s">
        <v>1782</v>
      </c>
      <c r="F883" s="524" t="s">
        <v>1170</v>
      </c>
      <c r="G883" s="524" t="s">
        <v>802</v>
      </c>
      <c r="H883" s="527">
        <v>2787.09</v>
      </c>
      <c r="I883" s="524" t="s">
        <v>1174</v>
      </c>
      <c r="J883" s="524">
        <f>IF(cmf[[#This Row],[D/C]]="C",cmf[[#This Row],[Valor]],-1*cmf[[#This Row],[Valor]])</f>
        <v>-2787.09</v>
      </c>
      <c r="L883" s="524" t="s">
        <v>1188</v>
      </c>
      <c r="M883" s="524" t="s">
        <v>1189</v>
      </c>
      <c r="N883" s="524" t="s">
        <v>1192</v>
      </c>
      <c r="O883" s="524" t="s">
        <v>1193</v>
      </c>
      <c r="P883" s="526">
        <v>46213</v>
      </c>
      <c r="S883" s="527">
        <v>0</v>
      </c>
    </row>
    <row r="884" spans="1:19" x14ac:dyDescent="0.2">
      <c r="A884" s="524">
        <v>70687</v>
      </c>
      <c r="B884" s="526">
        <v>46213</v>
      </c>
      <c r="C884" s="524" t="s">
        <v>1148</v>
      </c>
      <c r="D884" s="524" t="s">
        <v>1186</v>
      </c>
      <c r="E884" s="524" t="s">
        <v>1783</v>
      </c>
      <c r="F884" s="524" t="s">
        <v>1170</v>
      </c>
      <c r="G884" s="524" t="s">
        <v>802</v>
      </c>
      <c r="H884" s="527">
        <v>2787.09</v>
      </c>
      <c r="I884" s="524" t="s">
        <v>1174</v>
      </c>
      <c r="J884" s="524">
        <f>IF(cmf[[#This Row],[D/C]]="C",cmf[[#This Row],[Valor]],-1*cmf[[#This Row],[Valor]])</f>
        <v>-2787.09</v>
      </c>
      <c r="L884" s="524" t="s">
        <v>1188</v>
      </c>
      <c r="M884" s="524" t="s">
        <v>1189</v>
      </c>
      <c r="N884" s="524" t="s">
        <v>1192</v>
      </c>
      <c r="O884" s="524" t="s">
        <v>1193</v>
      </c>
      <c r="P884" s="526">
        <v>46213</v>
      </c>
      <c r="S884" s="527">
        <v>0</v>
      </c>
    </row>
    <row r="885" spans="1:19" x14ac:dyDescent="0.2">
      <c r="A885" s="524">
        <v>70688</v>
      </c>
      <c r="B885" s="526">
        <v>46213</v>
      </c>
      <c r="C885" s="524" t="s">
        <v>1148</v>
      </c>
      <c r="D885" s="524" t="s">
        <v>1186</v>
      </c>
      <c r="E885" s="524" t="s">
        <v>1784</v>
      </c>
      <c r="F885" s="524" t="s">
        <v>1170</v>
      </c>
      <c r="G885" s="524" t="s">
        <v>802</v>
      </c>
      <c r="H885" s="527">
        <v>2787.09</v>
      </c>
      <c r="I885" s="524" t="s">
        <v>1174</v>
      </c>
      <c r="J885" s="524">
        <f>IF(cmf[[#This Row],[D/C]]="C",cmf[[#This Row],[Valor]],-1*cmf[[#This Row],[Valor]])</f>
        <v>-2787.09</v>
      </c>
      <c r="L885" s="524" t="s">
        <v>1188</v>
      </c>
      <c r="M885" s="524" t="s">
        <v>1189</v>
      </c>
      <c r="N885" s="524" t="s">
        <v>1192</v>
      </c>
      <c r="O885" s="524" t="s">
        <v>1193</v>
      </c>
      <c r="P885" s="526">
        <v>46213</v>
      </c>
      <c r="S885" s="527">
        <v>0</v>
      </c>
    </row>
    <row r="886" spans="1:19" x14ac:dyDescent="0.2">
      <c r="A886" s="524">
        <v>70763</v>
      </c>
      <c r="B886" s="526">
        <v>46213</v>
      </c>
      <c r="C886" s="524" t="s">
        <v>1148</v>
      </c>
      <c r="D886" s="524" t="s">
        <v>1226</v>
      </c>
      <c r="E886" s="524" t="s">
        <v>1785</v>
      </c>
      <c r="F886" s="524" t="s">
        <v>1170</v>
      </c>
      <c r="G886" s="524" t="s">
        <v>1102</v>
      </c>
      <c r="H886" s="527">
        <v>328.84</v>
      </c>
      <c r="I886" s="524" t="s">
        <v>1148</v>
      </c>
      <c r="J886" s="524">
        <f>IF(cmf[[#This Row],[D/C]]="C",cmf[[#This Row],[Valor]],-1*cmf[[#This Row],[Valor]])</f>
        <v>328.84</v>
      </c>
      <c r="L886" s="524" t="s">
        <v>1230</v>
      </c>
      <c r="M886" s="524" t="s">
        <v>1231</v>
      </c>
      <c r="N886" s="524" t="s">
        <v>1192</v>
      </c>
      <c r="O886" s="524" t="s">
        <v>1193</v>
      </c>
      <c r="P886" s="526">
        <v>46213</v>
      </c>
      <c r="S886" s="527">
        <v>0</v>
      </c>
    </row>
    <row r="887" spans="1:19" x14ac:dyDescent="0.2">
      <c r="A887" s="524">
        <v>70771</v>
      </c>
      <c r="B887" s="526">
        <v>46213</v>
      </c>
      <c r="C887" s="524" t="s">
        <v>1148</v>
      </c>
      <c r="D887" s="524" t="s">
        <v>1239</v>
      </c>
      <c r="E887" s="524" t="s">
        <v>1258</v>
      </c>
      <c r="F887" s="524" t="s">
        <v>1170</v>
      </c>
      <c r="G887" s="524" t="s">
        <v>1102</v>
      </c>
      <c r="H887" s="527">
        <v>25.2</v>
      </c>
      <c r="I887" s="524" t="s">
        <v>1174</v>
      </c>
      <c r="J887" s="524">
        <f>IF(cmf[[#This Row],[D/C]]="C",cmf[[#This Row],[Valor]],-1*cmf[[#This Row],[Valor]])</f>
        <v>-25.2</v>
      </c>
      <c r="L887" s="524" t="s">
        <v>1241</v>
      </c>
      <c r="M887" s="524" t="s">
        <v>1242</v>
      </c>
      <c r="N887" s="524" t="s">
        <v>1192</v>
      </c>
      <c r="O887" s="524" t="s">
        <v>1193</v>
      </c>
      <c r="P887" s="526">
        <v>46213</v>
      </c>
      <c r="S887" s="527">
        <v>0</v>
      </c>
    </row>
    <row r="888" spans="1:19" x14ac:dyDescent="0.2">
      <c r="A888" s="524">
        <v>70772</v>
      </c>
      <c r="B888" s="526">
        <v>46213</v>
      </c>
      <c r="C888" s="524" t="s">
        <v>1148</v>
      </c>
      <c r="D888" s="524" t="s">
        <v>1239</v>
      </c>
      <c r="E888" s="524" t="s">
        <v>1258</v>
      </c>
      <c r="F888" s="524" t="s">
        <v>1170</v>
      </c>
      <c r="G888" s="524" t="s">
        <v>1102</v>
      </c>
      <c r="H888" s="527">
        <v>1.2</v>
      </c>
      <c r="I888" s="524" t="s">
        <v>1174</v>
      </c>
      <c r="J888" s="524">
        <f>IF(cmf[[#This Row],[D/C]]="C",cmf[[#This Row],[Valor]],-1*cmf[[#This Row],[Valor]])</f>
        <v>-1.2</v>
      </c>
      <c r="L888" s="524" t="s">
        <v>1241</v>
      </c>
      <c r="M888" s="524" t="s">
        <v>1242</v>
      </c>
      <c r="N888" s="524" t="s">
        <v>1192</v>
      </c>
      <c r="O888" s="524" t="s">
        <v>1193</v>
      </c>
      <c r="P888" s="526">
        <v>46213</v>
      </c>
      <c r="S888" s="527">
        <v>0</v>
      </c>
    </row>
    <row r="889" spans="1:19" x14ac:dyDescent="0.2">
      <c r="A889" s="524">
        <v>70773</v>
      </c>
      <c r="B889" s="526">
        <v>46213</v>
      </c>
      <c r="C889" s="524" t="s">
        <v>1148</v>
      </c>
      <c r="D889" s="524" t="s">
        <v>1239</v>
      </c>
      <c r="E889" s="524" t="s">
        <v>1258</v>
      </c>
      <c r="F889" s="524" t="s">
        <v>1170</v>
      </c>
      <c r="G889" s="524" t="s">
        <v>1102</v>
      </c>
      <c r="H889" s="527">
        <v>4.5</v>
      </c>
      <c r="I889" s="524" t="s">
        <v>1174</v>
      </c>
      <c r="J889" s="524">
        <f>IF(cmf[[#This Row],[D/C]]="C",cmf[[#This Row],[Valor]],-1*cmf[[#This Row],[Valor]])</f>
        <v>-4.5</v>
      </c>
      <c r="L889" s="524" t="s">
        <v>1241</v>
      </c>
      <c r="M889" s="524" t="s">
        <v>1242</v>
      </c>
      <c r="N889" s="524" t="s">
        <v>1192</v>
      </c>
      <c r="O889" s="524" t="s">
        <v>1193</v>
      </c>
      <c r="P889" s="526">
        <v>46213</v>
      </c>
      <c r="S889" s="527">
        <v>0</v>
      </c>
    </row>
    <row r="890" spans="1:19" x14ac:dyDescent="0.2">
      <c r="A890" s="524">
        <v>70967</v>
      </c>
      <c r="B890" s="526">
        <v>46213</v>
      </c>
      <c r="C890" s="524" t="s">
        <v>1148</v>
      </c>
      <c r="D890" s="524" t="s">
        <v>1239</v>
      </c>
      <c r="E890" s="524" t="s">
        <v>1253</v>
      </c>
      <c r="F890" s="524" t="s">
        <v>1170</v>
      </c>
      <c r="G890" s="524" t="s">
        <v>798</v>
      </c>
      <c r="H890" s="527">
        <v>0.4</v>
      </c>
      <c r="I890" s="524" t="s">
        <v>1174</v>
      </c>
      <c r="J890" s="524">
        <f>IF(cmf[[#This Row],[D/C]]="C",cmf[[#This Row],[Valor]],-1*cmf[[#This Row],[Valor]])</f>
        <v>-0.4</v>
      </c>
      <c r="L890" s="524" t="s">
        <v>1241</v>
      </c>
      <c r="M890" s="524" t="s">
        <v>1242</v>
      </c>
      <c r="N890" s="524" t="s">
        <v>1171</v>
      </c>
      <c r="O890" s="524" t="s">
        <v>1172</v>
      </c>
      <c r="P890" s="526">
        <v>46213</v>
      </c>
      <c r="S890" s="527">
        <v>0</v>
      </c>
    </row>
    <row r="891" spans="1:19" x14ac:dyDescent="0.2">
      <c r="A891" s="524">
        <v>71067</v>
      </c>
      <c r="B891" s="526">
        <v>46213</v>
      </c>
      <c r="C891" s="524" t="s">
        <v>1162</v>
      </c>
      <c r="D891" s="524" t="s">
        <v>1205</v>
      </c>
      <c r="E891" s="524" t="s">
        <v>1336</v>
      </c>
      <c r="F891" s="524" t="s">
        <v>1178</v>
      </c>
      <c r="G891" s="524" t="s">
        <v>1786</v>
      </c>
      <c r="H891" s="527">
        <v>3841.02</v>
      </c>
      <c r="I891" s="524" t="s">
        <v>1174</v>
      </c>
      <c r="J891" s="524">
        <f>IF(cmf[[#This Row],[D/C]]="C",cmf[[#This Row],[Valor]],-1*cmf[[#This Row],[Valor]])</f>
        <v>-3841.02</v>
      </c>
      <c r="L891" s="524" t="s">
        <v>1207</v>
      </c>
      <c r="M891" s="524" t="s">
        <v>1208</v>
      </c>
      <c r="N891" s="524" t="s">
        <v>1180</v>
      </c>
      <c r="O891" s="524" t="s">
        <v>1181</v>
      </c>
      <c r="P891" s="526"/>
      <c r="S891" s="527">
        <v>0</v>
      </c>
    </row>
    <row r="892" spans="1:19" x14ac:dyDescent="0.2">
      <c r="A892" s="524">
        <v>71068</v>
      </c>
      <c r="B892" s="526">
        <v>46213</v>
      </c>
      <c r="C892" s="524" t="s">
        <v>1148</v>
      </c>
      <c r="D892" s="524" t="s">
        <v>1205</v>
      </c>
      <c r="E892" s="524" t="s">
        <v>1662</v>
      </c>
      <c r="F892" s="524" t="s">
        <v>1178</v>
      </c>
      <c r="G892" s="524" t="s">
        <v>1179</v>
      </c>
      <c r="H892" s="527">
        <v>3841.02</v>
      </c>
      <c r="I892" s="524" t="s">
        <v>1148</v>
      </c>
      <c r="J892" s="524">
        <f>IF(cmf[[#This Row],[D/C]]="C",cmf[[#This Row],[Valor]],-1*cmf[[#This Row],[Valor]])</f>
        <v>3841.02</v>
      </c>
      <c r="L892" s="524" t="s">
        <v>1207</v>
      </c>
      <c r="M892" s="524" t="s">
        <v>1208</v>
      </c>
      <c r="N892" s="524" t="s">
        <v>1180</v>
      </c>
      <c r="O892" s="524" t="s">
        <v>1181</v>
      </c>
      <c r="P892" s="526">
        <v>46213</v>
      </c>
      <c r="S892" s="527">
        <v>0</v>
      </c>
    </row>
    <row r="893" spans="1:19" x14ac:dyDescent="0.2">
      <c r="A893" s="524">
        <v>71706</v>
      </c>
      <c r="B893" s="526">
        <v>46213</v>
      </c>
      <c r="C893" s="524" t="s">
        <v>1148</v>
      </c>
      <c r="D893" s="524" t="s">
        <v>1243</v>
      </c>
      <c r="E893" s="524" t="s">
        <v>1244</v>
      </c>
      <c r="F893" s="524" t="s">
        <v>1183</v>
      </c>
      <c r="G893" s="524" t="s">
        <v>742</v>
      </c>
      <c r="H893" s="527">
        <v>6676.69</v>
      </c>
      <c r="I893" s="524" t="s">
        <v>1148</v>
      </c>
      <c r="J893" s="524">
        <f>IF(cmf[[#This Row],[D/C]]="C",cmf[[#This Row],[Valor]],-1*cmf[[#This Row],[Valor]])</f>
        <v>6676.69</v>
      </c>
      <c r="L893" s="524" t="s">
        <v>1245</v>
      </c>
      <c r="M893" s="524" t="s">
        <v>1246</v>
      </c>
      <c r="N893" s="524" t="s">
        <v>1215</v>
      </c>
      <c r="O893" s="524" t="s">
        <v>1267</v>
      </c>
      <c r="P893" s="526">
        <v>46213</v>
      </c>
      <c r="S893" s="527">
        <v>0</v>
      </c>
    </row>
    <row r="894" spans="1:19" x14ac:dyDescent="0.2">
      <c r="A894" s="524">
        <v>71707</v>
      </c>
      <c r="B894" s="526">
        <v>46213</v>
      </c>
      <c r="C894" s="524" t="s">
        <v>1148</v>
      </c>
      <c r="D894" s="524" t="s">
        <v>1243</v>
      </c>
      <c r="E894" s="524" t="s">
        <v>1244</v>
      </c>
      <c r="F894" s="524" t="s">
        <v>1183</v>
      </c>
      <c r="G894" s="524" t="s">
        <v>742</v>
      </c>
      <c r="H894" s="527">
        <v>0.01</v>
      </c>
      <c r="I894" s="524" t="s">
        <v>1148</v>
      </c>
      <c r="J894" s="524">
        <f>IF(cmf[[#This Row],[D/C]]="C",cmf[[#This Row],[Valor]],-1*cmf[[#This Row],[Valor]])</f>
        <v>0.01</v>
      </c>
      <c r="L894" s="524" t="s">
        <v>1245</v>
      </c>
      <c r="M894" s="524" t="s">
        <v>1246</v>
      </c>
      <c r="N894" s="524" t="s">
        <v>1215</v>
      </c>
      <c r="O894" s="524" t="s">
        <v>1267</v>
      </c>
      <c r="P894" s="526">
        <v>46213</v>
      </c>
      <c r="S894" s="527">
        <v>0</v>
      </c>
    </row>
    <row r="895" spans="1:19" x14ac:dyDescent="0.2">
      <c r="A895" s="524">
        <v>72586</v>
      </c>
      <c r="B895" s="526">
        <v>46213</v>
      </c>
      <c r="C895" s="524" t="s">
        <v>1148</v>
      </c>
      <c r="D895" s="524" t="s">
        <v>1239</v>
      </c>
      <c r="E895" s="524" t="s">
        <v>1787</v>
      </c>
      <c r="F895" s="524" t="s">
        <v>1170</v>
      </c>
      <c r="G895" s="524" t="s">
        <v>802</v>
      </c>
      <c r="H895" s="527">
        <v>116462.54</v>
      </c>
      <c r="I895" s="524" t="s">
        <v>1174</v>
      </c>
      <c r="J895" s="524">
        <f>IF(cmf[[#This Row],[D/C]]="C",cmf[[#This Row],[Valor]],-1*cmf[[#This Row],[Valor]])</f>
        <v>-116462.54</v>
      </c>
      <c r="L895" s="524" t="s">
        <v>1264</v>
      </c>
      <c r="M895" s="524" t="s">
        <v>1265</v>
      </c>
      <c r="N895" s="524" t="s">
        <v>1192</v>
      </c>
      <c r="O895" s="524" t="s">
        <v>1193</v>
      </c>
      <c r="P895" s="526">
        <v>46213</v>
      </c>
      <c r="S895" s="527">
        <v>0</v>
      </c>
    </row>
    <row r="896" spans="1:19" x14ac:dyDescent="0.2">
      <c r="A896" s="524">
        <v>73018</v>
      </c>
      <c r="B896" s="526">
        <v>46213</v>
      </c>
      <c r="C896" s="524" t="s">
        <v>1162</v>
      </c>
      <c r="D896" s="524" t="s">
        <v>1186</v>
      </c>
      <c r="E896" s="524" t="s">
        <v>1788</v>
      </c>
      <c r="F896" s="524" t="s">
        <v>1228</v>
      </c>
      <c r="G896" s="524" t="s">
        <v>1229</v>
      </c>
      <c r="H896" s="527">
        <v>13653.72</v>
      </c>
      <c r="I896" s="524" t="s">
        <v>1174</v>
      </c>
      <c r="J896" s="524">
        <f>IF(cmf[[#This Row],[D/C]]="C",cmf[[#This Row],[Valor]],-1*cmf[[#This Row],[Valor]])</f>
        <v>-13653.72</v>
      </c>
      <c r="L896" s="524" t="s">
        <v>1188</v>
      </c>
      <c r="M896" s="524" t="s">
        <v>1189</v>
      </c>
      <c r="N896" s="524" t="s">
        <v>1223</v>
      </c>
      <c r="O896" s="524" t="s">
        <v>1224</v>
      </c>
      <c r="P896" s="526"/>
      <c r="S896" s="527">
        <v>0</v>
      </c>
    </row>
    <row r="897" spans="1:19" x14ac:dyDescent="0.2">
      <c r="A897" s="524">
        <v>73019</v>
      </c>
      <c r="B897" s="526">
        <v>46213</v>
      </c>
      <c r="C897" s="524" t="s">
        <v>1162</v>
      </c>
      <c r="D897" s="524" t="s">
        <v>1205</v>
      </c>
      <c r="E897" s="524" t="s">
        <v>1537</v>
      </c>
      <c r="F897" s="524" t="s">
        <v>1376</v>
      </c>
      <c r="G897" s="524" t="s">
        <v>1377</v>
      </c>
      <c r="H897" s="527">
        <v>13653.72</v>
      </c>
      <c r="I897" s="524" t="s">
        <v>1174</v>
      </c>
      <c r="J897" s="524">
        <f>IF(cmf[[#This Row],[D/C]]="C",cmf[[#This Row],[Valor]],-1*cmf[[#This Row],[Valor]])</f>
        <v>-13653.72</v>
      </c>
      <c r="L897" s="524" t="s">
        <v>1207</v>
      </c>
      <c r="M897" s="524" t="s">
        <v>1208</v>
      </c>
      <c r="N897" s="524" t="s">
        <v>1215</v>
      </c>
      <c r="O897" s="524" t="s">
        <v>1267</v>
      </c>
      <c r="P897" s="526"/>
      <c r="S897" s="527">
        <v>0</v>
      </c>
    </row>
    <row r="898" spans="1:19" x14ac:dyDescent="0.2">
      <c r="A898" s="524">
        <v>73020</v>
      </c>
      <c r="B898" s="526">
        <v>46213</v>
      </c>
      <c r="C898" s="524" t="s">
        <v>1162</v>
      </c>
      <c r="D898" s="524" t="s">
        <v>1205</v>
      </c>
      <c r="E898" s="524" t="s">
        <v>1217</v>
      </c>
      <c r="F898" s="524" t="s">
        <v>1228</v>
      </c>
      <c r="G898" s="524" t="s">
        <v>1229</v>
      </c>
      <c r="H898" s="527">
        <v>13653.72</v>
      </c>
      <c r="I898" s="524" t="s">
        <v>1148</v>
      </c>
      <c r="J898" s="524">
        <f>IF(cmf[[#This Row],[D/C]]="C",cmf[[#This Row],[Valor]],-1*cmf[[#This Row],[Valor]])</f>
        <v>13653.72</v>
      </c>
      <c r="L898" s="524" t="s">
        <v>1207</v>
      </c>
      <c r="M898" s="524" t="s">
        <v>1208</v>
      </c>
      <c r="N898" s="524" t="s">
        <v>1223</v>
      </c>
      <c r="O898" s="524" t="s">
        <v>1224</v>
      </c>
      <c r="P898" s="526"/>
      <c r="S898" s="527">
        <v>0</v>
      </c>
    </row>
    <row r="899" spans="1:19" x14ac:dyDescent="0.2">
      <c r="A899" s="524">
        <v>71234</v>
      </c>
      <c r="B899" s="526">
        <v>46214</v>
      </c>
      <c r="C899" s="524" t="s">
        <v>1148</v>
      </c>
      <c r="D899" s="524" t="s">
        <v>1239</v>
      </c>
      <c r="E899" s="524" t="s">
        <v>1312</v>
      </c>
      <c r="F899" s="524" t="s">
        <v>1170</v>
      </c>
      <c r="G899" s="524" t="s">
        <v>749</v>
      </c>
      <c r="H899" s="527">
        <v>10</v>
      </c>
      <c r="I899" s="524" t="s">
        <v>1174</v>
      </c>
      <c r="J899" s="524">
        <f>IF(cmf[[#This Row],[D/C]]="C",cmf[[#This Row],[Valor]],-1*cmf[[#This Row],[Valor]])</f>
        <v>-10</v>
      </c>
      <c r="L899" s="524" t="s">
        <v>1241</v>
      </c>
      <c r="M899" s="524" t="s">
        <v>1242</v>
      </c>
      <c r="N899" s="524" t="s">
        <v>1256</v>
      </c>
      <c r="O899" s="524" t="s">
        <v>1257</v>
      </c>
      <c r="P899" s="526">
        <v>46213</v>
      </c>
      <c r="S899" s="527">
        <v>0</v>
      </c>
    </row>
    <row r="900" spans="1:19" x14ac:dyDescent="0.2">
      <c r="A900" s="524">
        <v>68948</v>
      </c>
      <c r="B900" s="526">
        <v>46216</v>
      </c>
      <c r="C900" s="524" t="s">
        <v>1148</v>
      </c>
      <c r="D900" s="524" t="s">
        <v>1163</v>
      </c>
      <c r="E900" s="524" t="s">
        <v>1164</v>
      </c>
      <c r="F900" s="524" t="s">
        <v>1170</v>
      </c>
      <c r="G900" s="524" t="s">
        <v>798</v>
      </c>
      <c r="H900" s="527">
        <v>1198.47</v>
      </c>
      <c r="I900" s="524" t="s">
        <v>1148</v>
      </c>
      <c r="J900" s="524">
        <f>IF(cmf[[#This Row],[D/C]]="C",cmf[[#This Row],[Valor]],-1*cmf[[#This Row],[Valor]])</f>
        <v>1198.47</v>
      </c>
      <c r="L900" s="524" t="s">
        <v>1166</v>
      </c>
      <c r="M900" s="524" t="s">
        <v>1167</v>
      </c>
      <c r="N900" s="524" t="s">
        <v>1171</v>
      </c>
      <c r="O900" s="524" t="s">
        <v>1172</v>
      </c>
      <c r="P900" s="526">
        <v>46216</v>
      </c>
      <c r="S900" s="527">
        <v>0</v>
      </c>
    </row>
    <row r="901" spans="1:19" x14ac:dyDescent="0.2">
      <c r="A901" s="524">
        <v>68949</v>
      </c>
      <c r="B901" s="526">
        <v>46216</v>
      </c>
      <c r="C901" s="524" t="s">
        <v>1148</v>
      </c>
      <c r="D901" s="524" t="s">
        <v>1163</v>
      </c>
      <c r="E901" s="524" t="s">
        <v>1173</v>
      </c>
      <c r="F901" s="524" t="s">
        <v>1170</v>
      </c>
      <c r="G901" s="524" t="s">
        <v>798</v>
      </c>
      <c r="H901" s="527">
        <v>6.3</v>
      </c>
      <c r="I901" s="524" t="s">
        <v>1174</v>
      </c>
      <c r="J901" s="524">
        <f>IF(cmf[[#This Row],[D/C]]="C",cmf[[#This Row],[Valor]],-1*cmf[[#This Row],[Valor]])</f>
        <v>-6.3</v>
      </c>
      <c r="L901" s="524" t="s">
        <v>1175</v>
      </c>
      <c r="M901" s="524" t="s">
        <v>1176</v>
      </c>
      <c r="N901" s="524" t="s">
        <v>1171</v>
      </c>
      <c r="O901" s="524" t="s">
        <v>1172</v>
      </c>
      <c r="P901" s="526">
        <v>46216</v>
      </c>
      <c r="S901" s="527">
        <v>0</v>
      </c>
    </row>
    <row r="902" spans="1:19" x14ac:dyDescent="0.2">
      <c r="A902" s="524">
        <v>68954</v>
      </c>
      <c r="B902" s="526">
        <v>46216</v>
      </c>
      <c r="C902" s="524" t="s">
        <v>1162</v>
      </c>
      <c r="D902" s="524" t="s">
        <v>1163</v>
      </c>
      <c r="E902" s="524" t="s">
        <v>1164</v>
      </c>
      <c r="F902" s="524" t="s">
        <v>1165</v>
      </c>
      <c r="G902" s="524" t="s">
        <v>756</v>
      </c>
      <c r="H902" s="527">
        <v>4909.5</v>
      </c>
      <c r="I902" s="524" t="s">
        <v>1148</v>
      </c>
      <c r="J902" s="524">
        <f>IF(cmf[[#This Row],[D/C]]="C",cmf[[#This Row],[Valor]],-1*cmf[[#This Row],[Valor]])</f>
        <v>4909.5</v>
      </c>
      <c r="L902" s="524" t="s">
        <v>1166</v>
      </c>
      <c r="M902" s="524" t="s">
        <v>1167</v>
      </c>
      <c r="N902" s="524" t="s">
        <v>1168</v>
      </c>
      <c r="O902" s="524" t="s">
        <v>1169</v>
      </c>
      <c r="P902" s="526"/>
      <c r="S902" s="527">
        <v>0</v>
      </c>
    </row>
    <row r="903" spans="1:19" x14ac:dyDescent="0.2">
      <c r="A903" s="524">
        <v>69073</v>
      </c>
      <c r="B903" s="526">
        <v>46216</v>
      </c>
      <c r="C903" s="524" t="s">
        <v>1148</v>
      </c>
      <c r="D903" s="524" t="s">
        <v>1163</v>
      </c>
      <c r="E903" s="524" t="s">
        <v>1164</v>
      </c>
      <c r="F903" s="524" t="s">
        <v>1178</v>
      </c>
      <c r="G903" s="524" t="s">
        <v>1179</v>
      </c>
      <c r="H903" s="527">
        <v>13317.86</v>
      </c>
      <c r="I903" s="524" t="s">
        <v>1148</v>
      </c>
      <c r="J903" s="524">
        <f>IF(cmf[[#This Row],[D/C]]="C",cmf[[#This Row],[Valor]],-1*cmf[[#This Row],[Valor]])</f>
        <v>13317.86</v>
      </c>
      <c r="L903" s="524" t="s">
        <v>1166</v>
      </c>
      <c r="M903" s="524" t="s">
        <v>1167</v>
      </c>
      <c r="N903" s="524" t="s">
        <v>1180</v>
      </c>
      <c r="O903" s="524" t="s">
        <v>1181</v>
      </c>
      <c r="P903" s="526">
        <v>46216</v>
      </c>
      <c r="S903" s="527">
        <v>0</v>
      </c>
    </row>
    <row r="904" spans="1:19" x14ac:dyDescent="0.2">
      <c r="A904" s="524">
        <v>69076</v>
      </c>
      <c r="B904" s="526">
        <v>46216</v>
      </c>
      <c r="C904" s="524" t="s">
        <v>1162</v>
      </c>
      <c r="D904" s="524" t="s">
        <v>1163</v>
      </c>
      <c r="E904" s="524" t="s">
        <v>1164</v>
      </c>
      <c r="F904" s="524" t="s">
        <v>1183</v>
      </c>
      <c r="G904" s="524" t="s">
        <v>796</v>
      </c>
      <c r="H904" s="527">
        <v>62734.32</v>
      </c>
      <c r="I904" s="524" t="s">
        <v>1148</v>
      </c>
      <c r="J904" s="524">
        <f>IF(cmf[[#This Row],[D/C]]="C",cmf[[#This Row],[Valor]],-1*cmf[[#This Row],[Valor]])</f>
        <v>62734.32</v>
      </c>
      <c r="L904" s="524" t="s">
        <v>1166</v>
      </c>
      <c r="M904" s="524" t="s">
        <v>1167</v>
      </c>
      <c r="N904" s="524" t="s">
        <v>1184</v>
      </c>
      <c r="O904" s="524" t="s">
        <v>1172</v>
      </c>
      <c r="P904" s="526"/>
      <c r="S904" s="527">
        <v>0</v>
      </c>
    </row>
    <row r="905" spans="1:19" x14ac:dyDescent="0.2">
      <c r="A905" s="524">
        <v>69077</v>
      </c>
      <c r="B905" s="526">
        <v>46216</v>
      </c>
      <c r="C905" s="524" t="s">
        <v>1162</v>
      </c>
      <c r="D905" s="524" t="s">
        <v>1163</v>
      </c>
      <c r="E905" s="524" t="s">
        <v>1173</v>
      </c>
      <c r="F905" s="524" t="s">
        <v>1183</v>
      </c>
      <c r="G905" s="524" t="s">
        <v>796</v>
      </c>
      <c r="H905" s="527">
        <v>29.9</v>
      </c>
      <c r="I905" s="524" t="s">
        <v>1174</v>
      </c>
      <c r="J905" s="524">
        <f>IF(cmf[[#This Row],[D/C]]="C",cmf[[#This Row],[Valor]],-1*cmf[[#This Row],[Valor]])</f>
        <v>-29.9</v>
      </c>
      <c r="L905" s="524" t="s">
        <v>1175</v>
      </c>
      <c r="M905" s="524" t="s">
        <v>1176</v>
      </c>
      <c r="N905" s="524" t="s">
        <v>1184</v>
      </c>
      <c r="O905" s="524" t="s">
        <v>1172</v>
      </c>
      <c r="P905" s="526"/>
      <c r="S905" s="527">
        <v>0</v>
      </c>
    </row>
    <row r="906" spans="1:19" x14ac:dyDescent="0.2">
      <c r="A906" s="524">
        <v>69078</v>
      </c>
      <c r="B906" s="526">
        <v>46216</v>
      </c>
      <c r="C906" s="524" t="s">
        <v>1148</v>
      </c>
      <c r="D906" s="524" t="s">
        <v>1163</v>
      </c>
      <c r="E906" s="524" t="s">
        <v>1164</v>
      </c>
      <c r="F906" s="524" t="s">
        <v>1170</v>
      </c>
      <c r="G906" s="524" t="s">
        <v>749</v>
      </c>
      <c r="H906" s="527">
        <v>1215.4000000000001</v>
      </c>
      <c r="I906" s="524" t="s">
        <v>1148</v>
      </c>
      <c r="J906" s="524">
        <f>IF(cmf[[#This Row],[D/C]]="C",cmf[[#This Row],[Valor]],-1*cmf[[#This Row],[Valor]])</f>
        <v>1215.4000000000001</v>
      </c>
      <c r="L906" s="524" t="s">
        <v>1166</v>
      </c>
      <c r="M906" s="524" t="s">
        <v>1167</v>
      </c>
      <c r="N906" s="524" t="s">
        <v>1256</v>
      </c>
      <c r="O906" s="524" t="s">
        <v>1257</v>
      </c>
      <c r="P906" s="526">
        <v>46216</v>
      </c>
      <c r="S906" s="527">
        <v>0</v>
      </c>
    </row>
    <row r="907" spans="1:19" x14ac:dyDescent="0.2">
      <c r="A907" s="524">
        <v>69080</v>
      </c>
      <c r="B907" s="526">
        <v>46216</v>
      </c>
      <c r="C907" s="524" t="s">
        <v>1148</v>
      </c>
      <c r="D907" s="524" t="s">
        <v>1163</v>
      </c>
      <c r="E907" s="524" t="s">
        <v>1164</v>
      </c>
      <c r="F907" s="524" t="s">
        <v>1170</v>
      </c>
      <c r="G907" s="524" t="s">
        <v>768</v>
      </c>
      <c r="H907" s="527">
        <v>1041.72</v>
      </c>
      <c r="I907" s="524" t="s">
        <v>1148</v>
      </c>
      <c r="J907" s="524">
        <f>IF(cmf[[#This Row],[D/C]]="C",cmf[[#This Row],[Valor]],-1*cmf[[#This Row],[Valor]])</f>
        <v>1041.72</v>
      </c>
      <c r="L907" s="524" t="s">
        <v>1166</v>
      </c>
      <c r="M907" s="524" t="s">
        <v>1167</v>
      </c>
      <c r="N907" s="524" t="s">
        <v>1219</v>
      </c>
      <c r="O907" s="524" t="s">
        <v>1220</v>
      </c>
      <c r="P907" s="526">
        <v>46216</v>
      </c>
      <c r="S907" s="527">
        <v>0</v>
      </c>
    </row>
    <row r="908" spans="1:19" x14ac:dyDescent="0.2">
      <c r="A908" s="524">
        <v>69081</v>
      </c>
      <c r="B908" s="526">
        <v>46216</v>
      </c>
      <c r="C908" s="524" t="s">
        <v>1148</v>
      </c>
      <c r="D908" s="524" t="s">
        <v>1163</v>
      </c>
      <c r="E908" s="524" t="s">
        <v>1173</v>
      </c>
      <c r="F908" s="524" t="s">
        <v>1170</v>
      </c>
      <c r="G908" s="524" t="s">
        <v>768</v>
      </c>
      <c r="H908" s="527">
        <v>6.3</v>
      </c>
      <c r="I908" s="524" t="s">
        <v>1174</v>
      </c>
      <c r="J908" s="524">
        <f>IF(cmf[[#This Row],[D/C]]="C",cmf[[#This Row],[Valor]],-1*cmf[[#This Row],[Valor]])</f>
        <v>-6.3</v>
      </c>
      <c r="L908" s="524" t="s">
        <v>1175</v>
      </c>
      <c r="M908" s="524" t="s">
        <v>1176</v>
      </c>
      <c r="N908" s="524" t="s">
        <v>1219</v>
      </c>
      <c r="O908" s="524" t="s">
        <v>1220</v>
      </c>
      <c r="P908" s="526">
        <v>46216</v>
      </c>
      <c r="S908" s="527">
        <v>0</v>
      </c>
    </row>
    <row r="909" spans="1:19" x14ac:dyDescent="0.2">
      <c r="A909" s="524">
        <v>69083</v>
      </c>
      <c r="B909" s="526">
        <v>46216</v>
      </c>
      <c r="C909" s="524" t="s">
        <v>1162</v>
      </c>
      <c r="D909" s="524" t="s">
        <v>1163</v>
      </c>
      <c r="E909" s="524" t="s">
        <v>1164</v>
      </c>
      <c r="F909" s="524" t="s">
        <v>1111</v>
      </c>
      <c r="G909" s="524" t="s">
        <v>1110</v>
      </c>
      <c r="H909" s="527">
        <v>34892.19</v>
      </c>
      <c r="I909" s="524" t="s">
        <v>1148</v>
      </c>
      <c r="J909" s="524">
        <f>IF(cmf[[#This Row],[D/C]]="C",cmf[[#This Row],[Valor]],-1*cmf[[#This Row],[Valor]])</f>
        <v>34892.19</v>
      </c>
      <c r="L909" s="524" t="s">
        <v>1166</v>
      </c>
      <c r="M909" s="524" t="s">
        <v>1167</v>
      </c>
      <c r="N909" s="524" t="s">
        <v>1219</v>
      </c>
      <c r="O909" s="524" t="s">
        <v>1220</v>
      </c>
      <c r="P909" s="526"/>
      <c r="S909" s="527">
        <v>0</v>
      </c>
    </row>
    <row r="910" spans="1:19" x14ac:dyDescent="0.2">
      <c r="A910" s="524">
        <v>69135</v>
      </c>
      <c r="B910" s="526">
        <v>46216</v>
      </c>
      <c r="C910" s="524" t="s">
        <v>1148</v>
      </c>
      <c r="D910" s="524" t="s">
        <v>1226</v>
      </c>
      <c r="E910" s="524" t="s">
        <v>1789</v>
      </c>
      <c r="F910" s="524" t="s">
        <v>1183</v>
      </c>
      <c r="G910" s="524" t="s">
        <v>803</v>
      </c>
      <c r="H910" s="527">
        <v>300</v>
      </c>
      <c r="I910" s="524" t="s">
        <v>1148</v>
      </c>
      <c r="J910" s="524">
        <f>IF(cmf[[#This Row],[D/C]]="C",cmf[[#This Row],[Valor]],-1*cmf[[#This Row],[Valor]])</f>
        <v>300</v>
      </c>
      <c r="L910" s="524" t="s">
        <v>1230</v>
      </c>
      <c r="M910" s="524" t="s">
        <v>1231</v>
      </c>
      <c r="N910" s="524" t="s">
        <v>1192</v>
      </c>
      <c r="O910" s="524" t="s">
        <v>1193</v>
      </c>
      <c r="P910" s="526">
        <v>46216</v>
      </c>
      <c r="S910" s="527">
        <v>0</v>
      </c>
    </row>
    <row r="911" spans="1:19" x14ac:dyDescent="0.2">
      <c r="A911" s="524">
        <v>69221</v>
      </c>
      <c r="B911" s="526">
        <v>46216</v>
      </c>
      <c r="C911" s="524" t="s">
        <v>1162</v>
      </c>
      <c r="D911" s="524" t="s">
        <v>1226</v>
      </c>
      <c r="E911" s="524" t="s">
        <v>1790</v>
      </c>
      <c r="F911" s="524" t="s">
        <v>1328</v>
      </c>
      <c r="G911" s="524" t="s">
        <v>1229</v>
      </c>
      <c r="H911" s="527">
        <v>37420.620000000003</v>
      </c>
      <c r="I911" s="524" t="s">
        <v>1148</v>
      </c>
      <c r="J911" s="524">
        <f>IF(cmf[[#This Row],[D/C]]="C",cmf[[#This Row],[Valor]],-1*cmf[[#This Row],[Valor]])</f>
        <v>37420.620000000003</v>
      </c>
      <c r="L911" s="524" t="s">
        <v>1230</v>
      </c>
      <c r="M911" s="524" t="s">
        <v>1231</v>
      </c>
      <c r="N911" s="524" t="s">
        <v>1171</v>
      </c>
      <c r="O911" s="524" t="s">
        <v>1172</v>
      </c>
      <c r="P911" s="526"/>
      <c r="S911" s="527">
        <v>0</v>
      </c>
    </row>
    <row r="912" spans="1:19" x14ac:dyDescent="0.2">
      <c r="A912" s="524">
        <v>69297</v>
      </c>
      <c r="B912" s="526">
        <v>46216</v>
      </c>
      <c r="C912" s="524" t="s">
        <v>1148</v>
      </c>
      <c r="D912" s="524" t="s">
        <v>1163</v>
      </c>
      <c r="E912" s="524" t="s">
        <v>1164</v>
      </c>
      <c r="F912" s="524" t="s">
        <v>1183</v>
      </c>
      <c r="G912" s="524" t="s">
        <v>806</v>
      </c>
      <c r="H912" s="527">
        <v>34875</v>
      </c>
      <c r="I912" s="524" t="s">
        <v>1148</v>
      </c>
      <c r="J912" s="524">
        <f>IF(cmf[[#This Row],[D/C]]="C",cmf[[#This Row],[Valor]],-1*cmf[[#This Row],[Valor]])</f>
        <v>34875</v>
      </c>
      <c r="L912" s="524" t="s">
        <v>1166</v>
      </c>
      <c r="M912" s="524" t="s">
        <v>1167</v>
      </c>
      <c r="N912" s="524" t="s">
        <v>1283</v>
      </c>
      <c r="O912" s="524" t="s">
        <v>1284</v>
      </c>
      <c r="P912" s="526">
        <v>46216</v>
      </c>
      <c r="S912" s="527">
        <v>0</v>
      </c>
    </row>
    <row r="913" spans="1:19" x14ac:dyDescent="0.2">
      <c r="A913" s="524">
        <v>69298</v>
      </c>
      <c r="B913" s="526">
        <v>46216</v>
      </c>
      <c r="C913" s="524" t="s">
        <v>1148</v>
      </c>
      <c r="D913" s="524" t="s">
        <v>1163</v>
      </c>
      <c r="E913" s="524" t="s">
        <v>1173</v>
      </c>
      <c r="F913" s="524" t="s">
        <v>1183</v>
      </c>
      <c r="G913" s="524" t="s">
        <v>806</v>
      </c>
      <c r="H913" s="527">
        <v>2.19</v>
      </c>
      <c r="I913" s="524" t="s">
        <v>1174</v>
      </c>
      <c r="J913" s="524">
        <f>IF(cmf[[#This Row],[D/C]]="C",cmf[[#This Row],[Valor]],-1*cmf[[#This Row],[Valor]])</f>
        <v>-2.19</v>
      </c>
      <c r="L913" s="524" t="s">
        <v>1175</v>
      </c>
      <c r="M913" s="524" t="s">
        <v>1176</v>
      </c>
      <c r="N913" s="524" t="s">
        <v>1283</v>
      </c>
      <c r="O913" s="524" t="s">
        <v>1284</v>
      </c>
      <c r="P913" s="526">
        <v>46216</v>
      </c>
      <c r="S913" s="527">
        <v>0</v>
      </c>
    </row>
    <row r="914" spans="1:19" x14ac:dyDescent="0.2">
      <c r="A914" s="524">
        <v>69307</v>
      </c>
      <c r="B914" s="526">
        <v>46216</v>
      </c>
      <c r="C914" s="524" t="s">
        <v>1162</v>
      </c>
      <c r="D914" s="524" t="s">
        <v>1163</v>
      </c>
      <c r="E914" s="524" t="s">
        <v>1173</v>
      </c>
      <c r="F914" s="524" t="s">
        <v>1183</v>
      </c>
      <c r="G914" s="524" t="s">
        <v>796</v>
      </c>
      <c r="H914" s="527">
        <v>2.2999999999999998</v>
      </c>
      <c r="I914" s="524" t="s">
        <v>1174</v>
      </c>
      <c r="J914" s="524">
        <f>IF(cmf[[#This Row],[D/C]]="C",cmf[[#This Row],[Valor]],-1*cmf[[#This Row],[Valor]])</f>
        <v>-2.2999999999999998</v>
      </c>
      <c r="L914" s="524" t="s">
        <v>1175</v>
      </c>
      <c r="M914" s="524" t="s">
        <v>1176</v>
      </c>
      <c r="N914" s="524" t="s">
        <v>1184</v>
      </c>
      <c r="O914" s="524" t="s">
        <v>1172</v>
      </c>
      <c r="P914" s="526"/>
      <c r="S914" s="527">
        <v>0</v>
      </c>
    </row>
    <row r="915" spans="1:19" x14ac:dyDescent="0.2">
      <c r="A915" s="524">
        <v>69311</v>
      </c>
      <c r="B915" s="526">
        <v>46216</v>
      </c>
      <c r="C915" s="524" t="s">
        <v>1162</v>
      </c>
      <c r="D915" s="524" t="s">
        <v>1163</v>
      </c>
      <c r="E915" s="524" t="s">
        <v>1173</v>
      </c>
      <c r="F915" s="524" t="s">
        <v>1165</v>
      </c>
      <c r="G915" s="524" t="s">
        <v>756</v>
      </c>
      <c r="H915" s="527">
        <v>1.49</v>
      </c>
      <c r="I915" s="524" t="s">
        <v>1174</v>
      </c>
      <c r="J915" s="524">
        <f>IF(cmf[[#This Row],[D/C]]="C",cmf[[#This Row],[Valor]],-1*cmf[[#This Row],[Valor]])</f>
        <v>-1.49</v>
      </c>
      <c r="L915" s="524" t="s">
        <v>1175</v>
      </c>
      <c r="M915" s="524" t="s">
        <v>1176</v>
      </c>
      <c r="N915" s="524" t="s">
        <v>1168</v>
      </c>
      <c r="O915" s="524" t="s">
        <v>1169</v>
      </c>
      <c r="P915" s="526"/>
      <c r="S915" s="527">
        <v>0</v>
      </c>
    </row>
    <row r="916" spans="1:19" x14ac:dyDescent="0.2">
      <c r="A916" s="524">
        <v>69313</v>
      </c>
      <c r="B916" s="526">
        <v>46216</v>
      </c>
      <c r="C916" s="524" t="s">
        <v>1148</v>
      </c>
      <c r="D916" s="524" t="s">
        <v>1226</v>
      </c>
      <c r="E916" s="524" t="s">
        <v>1791</v>
      </c>
      <c r="F916" s="524" t="s">
        <v>1183</v>
      </c>
      <c r="G916" s="524" t="s">
        <v>803</v>
      </c>
      <c r="H916" s="527">
        <v>1000</v>
      </c>
      <c r="I916" s="524" t="s">
        <v>1148</v>
      </c>
      <c r="J916" s="524">
        <f>IF(cmf[[#This Row],[D/C]]="C",cmf[[#This Row],[Valor]],-1*cmf[[#This Row],[Valor]])</f>
        <v>1000</v>
      </c>
      <c r="L916" s="524" t="s">
        <v>1230</v>
      </c>
      <c r="M916" s="524" t="s">
        <v>1231</v>
      </c>
      <c r="N916" s="524" t="s">
        <v>1192</v>
      </c>
      <c r="O916" s="524" t="s">
        <v>1193</v>
      </c>
      <c r="P916" s="526">
        <v>46216</v>
      </c>
      <c r="S916" s="527">
        <v>0</v>
      </c>
    </row>
    <row r="917" spans="1:19" x14ac:dyDescent="0.2">
      <c r="A917" s="524">
        <v>69368</v>
      </c>
      <c r="B917" s="526">
        <v>46216</v>
      </c>
      <c r="C917" s="524" t="s">
        <v>1148</v>
      </c>
      <c r="D917" s="524" t="s">
        <v>1186</v>
      </c>
      <c r="E917" s="524" t="s">
        <v>1792</v>
      </c>
      <c r="F917" s="524" t="s">
        <v>1178</v>
      </c>
      <c r="G917" s="524" t="s">
        <v>1179</v>
      </c>
      <c r="H917" s="527">
        <v>600</v>
      </c>
      <c r="I917" s="524" t="s">
        <v>1174</v>
      </c>
      <c r="J917" s="524">
        <f>IF(cmf[[#This Row],[D/C]]="C",cmf[[#This Row],[Valor]],-1*cmf[[#This Row],[Valor]])</f>
        <v>-600</v>
      </c>
      <c r="L917" s="524" t="s">
        <v>1188</v>
      </c>
      <c r="M917" s="524" t="s">
        <v>1189</v>
      </c>
      <c r="N917" s="524" t="s">
        <v>1180</v>
      </c>
      <c r="O917" s="524" t="s">
        <v>1181</v>
      </c>
      <c r="P917" s="526">
        <v>46216</v>
      </c>
      <c r="S917" s="527">
        <v>0</v>
      </c>
    </row>
    <row r="918" spans="1:19" x14ac:dyDescent="0.2">
      <c r="A918" s="524">
        <v>69369</v>
      </c>
      <c r="B918" s="526">
        <v>46216</v>
      </c>
      <c r="C918" s="524" t="s">
        <v>1148</v>
      </c>
      <c r="D918" s="524" t="s">
        <v>1186</v>
      </c>
      <c r="E918" s="524" t="s">
        <v>1793</v>
      </c>
      <c r="F918" s="524" t="s">
        <v>1178</v>
      </c>
      <c r="G918" s="524" t="s">
        <v>1179</v>
      </c>
      <c r="H918" s="527">
        <v>489.43</v>
      </c>
      <c r="I918" s="524" t="s">
        <v>1174</v>
      </c>
      <c r="J918" s="524">
        <f>IF(cmf[[#This Row],[D/C]]="C",cmf[[#This Row],[Valor]],-1*cmf[[#This Row],[Valor]])</f>
        <v>-489.43</v>
      </c>
      <c r="L918" s="524" t="s">
        <v>1188</v>
      </c>
      <c r="M918" s="524" t="s">
        <v>1189</v>
      </c>
      <c r="N918" s="524" t="s">
        <v>1180</v>
      </c>
      <c r="O918" s="524" t="s">
        <v>1181</v>
      </c>
      <c r="P918" s="526">
        <v>46216</v>
      </c>
      <c r="S918" s="527">
        <v>0</v>
      </c>
    </row>
    <row r="919" spans="1:19" x14ac:dyDescent="0.2">
      <c r="A919" s="524">
        <v>69370</v>
      </c>
      <c r="B919" s="526">
        <v>46216</v>
      </c>
      <c r="C919" s="524" t="s">
        <v>1148</v>
      </c>
      <c r="D919" s="524" t="s">
        <v>1186</v>
      </c>
      <c r="E919" s="524" t="s">
        <v>1794</v>
      </c>
      <c r="F919" s="524" t="s">
        <v>1183</v>
      </c>
      <c r="G919" s="524" t="s">
        <v>769</v>
      </c>
      <c r="H919" s="527">
        <v>1000</v>
      </c>
      <c r="I919" s="524" t="s">
        <v>1174</v>
      </c>
      <c r="J919" s="524">
        <f>IF(cmf[[#This Row],[D/C]]="C",cmf[[#This Row],[Valor]],-1*cmf[[#This Row],[Valor]])</f>
        <v>-1000</v>
      </c>
      <c r="L919" s="524" t="s">
        <v>1188</v>
      </c>
      <c r="M919" s="524" t="s">
        <v>1189</v>
      </c>
      <c r="N919" s="524" t="s">
        <v>1219</v>
      </c>
      <c r="O919" s="524" t="s">
        <v>1220</v>
      </c>
      <c r="P919" s="526">
        <v>46216</v>
      </c>
      <c r="S919" s="527">
        <v>0</v>
      </c>
    </row>
    <row r="920" spans="1:19" x14ac:dyDescent="0.2">
      <c r="A920" s="524">
        <v>69371</v>
      </c>
      <c r="B920" s="526">
        <v>46216</v>
      </c>
      <c r="C920" s="524" t="s">
        <v>1148</v>
      </c>
      <c r="D920" s="524" t="s">
        <v>1186</v>
      </c>
      <c r="E920" s="524" t="s">
        <v>1795</v>
      </c>
      <c r="F920" s="524" t="s">
        <v>1183</v>
      </c>
      <c r="G920" s="524" t="s">
        <v>769</v>
      </c>
      <c r="H920" s="527">
        <v>6457.03</v>
      </c>
      <c r="I920" s="524" t="s">
        <v>1174</v>
      </c>
      <c r="J920" s="524">
        <f>IF(cmf[[#This Row],[D/C]]="C",cmf[[#This Row],[Valor]],-1*cmf[[#This Row],[Valor]])</f>
        <v>-6457.03</v>
      </c>
      <c r="L920" s="524" t="s">
        <v>1188</v>
      </c>
      <c r="M920" s="524" t="s">
        <v>1189</v>
      </c>
      <c r="N920" s="524" t="s">
        <v>1219</v>
      </c>
      <c r="O920" s="524" t="s">
        <v>1220</v>
      </c>
      <c r="P920" s="526">
        <v>46216</v>
      </c>
      <c r="S920" s="527">
        <v>0</v>
      </c>
    </row>
    <row r="921" spans="1:19" x14ac:dyDescent="0.2">
      <c r="A921" s="524">
        <v>69387</v>
      </c>
      <c r="B921" s="526">
        <v>46216</v>
      </c>
      <c r="C921" s="524" t="s">
        <v>1148</v>
      </c>
      <c r="D921" s="524" t="s">
        <v>1186</v>
      </c>
      <c r="E921" s="524" t="s">
        <v>1796</v>
      </c>
      <c r="F921" s="524" t="s">
        <v>1183</v>
      </c>
      <c r="G921" s="524" t="s">
        <v>742</v>
      </c>
      <c r="H921" s="527">
        <v>10130</v>
      </c>
      <c r="I921" s="524" t="s">
        <v>1174</v>
      </c>
      <c r="J921" s="524">
        <f>IF(cmf[[#This Row],[D/C]]="C",cmf[[#This Row],[Valor]],-1*cmf[[#This Row],[Valor]])</f>
        <v>-10130</v>
      </c>
      <c r="L921" s="524" t="s">
        <v>1188</v>
      </c>
      <c r="M921" s="524" t="s">
        <v>1189</v>
      </c>
      <c r="N921" s="524" t="s">
        <v>1215</v>
      </c>
      <c r="O921" s="524" t="s">
        <v>1218</v>
      </c>
      <c r="P921" s="526">
        <v>46216</v>
      </c>
      <c r="S921" s="527">
        <v>0</v>
      </c>
    </row>
    <row r="922" spans="1:19" x14ac:dyDescent="0.2">
      <c r="A922" s="524">
        <v>69389</v>
      </c>
      <c r="B922" s="526">
        <v>46216</v>
      </c>
      <c r="C922" s="524" t="s">
        <v>1148</v>
      </c>
      <c r="D922" s="524" t="s">
        <v>1186</v>
      </c>
      <c r="E922" s="524" t="s">
        <v>1797</v>
      </c>
      <c r="F922" s="524" t="s">
        <v>1183</v>
      </c>
      <c r="G922" s="524" t="s">
        <v>803</v>
      </c>
      <c r="H922" s="527">
        <v>98.68</v>
      </c>
      <c r="I922" s="524" t="s">
        <v>1174</v>
      </c>
      <c r="J922" s="524">
        <f>IF(cmf[[#This Row],[D/C]]="C",cmf[[#This Row],[Valor]],-1*cmf[[#This Row],[Valor]])</f>
        <v>-98.68</v>
      </c>
      <c r="L922" s="524" t="s">
        <v>1188</v>
      </c>
      <c r="M922" s="524" t="s">
        <v>1189</v>
      </c>
      <c r="N922" s="524" t="s">
        <v>1192</v>
      </c>
      <c r="O922" s="524" t="s">
        <v>1193</v>
      </c>
      <c r="P922" s="526">
        <v>46216</v>
      </c>
      <c r="S922" s="527">
        <v>0</v>
      </c>
    </row>
    <row r="923" spans="1:19" x14ac:dyDescent="0.2">
      <c r="A923" s="524">
        <v>69390</v>
      </c>
      <c r="B923" s="526">
        <v>46216</v>
      </c>
      <c r="C923" s="524" t="s">
        <v>1148</v>
      </c>
      <c r="D923" s="524" t="s">
        <v>1186</v>
      </c>
      <c r="E923" s="524" t="s">
        <v>1798</v>
      </c>
      <c r="F923" s="524" t="s">
        <v>1183</v>
      </c>
      <c r="G923" s="524" t="s">
        <v>803</v>
      </c>
      <c r="H923" s="527">
        <v>870</v>
      </c>
      <c r="I923" s="524" t="s">
        <v>1174</v>
      </c>
      <c r="J923" s="524">
        <f>IF(cmf[[#This Row],[D/C]]="C",cmf[[#This Row],[Valor]],-1*cmf[[#This Row],[Valor]])</f>
        <v>-870</v>
      </c>
      <c r="L923" s="524" t="s">
        <v>1188</v>
      </c>
      <c r="M923" s="524" t="s">
        <v>1189</v>
      </c>
      <c r="N923" s="524" t="s">
        <v>1192</v>
      </c>
      <c r="O923" s="524" t="s">
        <v>1193</v>
      </c>
      <c r="P923" s="526">
        <v>46216</v>
      </c>
      <c r="S923" s="527">
        <v>0</v>
      </c>
    </row>
    <row r="924" spans="1:19" x14ac:dyDescent="0.2">
      <c r="A924" s="524">
        <v>69391</v>
      </c>
      <c r="B924" s="526">
        <v>46216</v>
      </c>
      <c r="C924" s="524" t="s">
        <v>1148</v>
      </c>
      <c r="D924" s="524" t="s">
        <v>1186</v>
      </c>
      <c r="E924" s="524" t="s">
        <v>1799</v>
      </c>
      <c r="F924" s="524" t="s">
        <v>1183</v>
      </c>
      <c r="G924" s="524" t="s">
        <v>800</v>
      </c>
      <c r="H924" s="527">
        <v>92.2</v>
      </c>
      <c r="I924" s="524" t="s">
        <v>1174</v>
      </c>
      <c r="J924" s="524">
        <f>IF(cmf[[#This Row],[D/C]]="C",cmf[[#This Row],[Valor]],-1*cmf[[#This Row],[Valor]])</f>
        <v>-92.2</v>
      </c>
      <c r="L924" s="524" t="s">
        <v>1188</v>
      </c>
      <c r="M924" s="524" t="s">
        <v>1189</v>
      </c>
      <c r="N924" s="524" t="s">
        <v>1171</v>
      </c>
      <c r="O924" s="524" t="s">
        <v>1172</v>
      </c>
      <c r="P924" s="526">
        <v>46216</v>
      </c>
      <c r="S924" s="527">
        <v>0</v>
      </c>
    </row>
    <row r="925" spans="1:19" x14ac:dyDescent="0.2">
      <c r="A925" s="524">
        <v>69392</v>
      </c>
      <c r="B925" s="526">
        <v>46216</v>
      </c>
      <c r="C925" s="524" t="s">
        <v>1148</v>
      </c>
      <c r="D925" s="524" t="s">
        <v>1186</v>
      </c>
      <c r="E925" s="524" t="s">
        <v>1800</v>
      </c>
      <c r="F925" s="524" t="s">
        <v>1183</v>
      </c>
      <c r="G925" s="524" t="s">
        <v>800</v>
      </c>
      <c r="H925" s="527">
        <v>1363.63</v>
      </c>
      <c r="I925" s="524" t="s">
        <v>1174</v>
      </c>
      <c r="J925" s="524">
        <f>IF(cmf[[#This Row],[D/C]]="C",cmf[[#This Row],[Valor]],-1*cmf[[#This Row],[Valor]])</f>
        <v>-1363.63</v>
      </c>
      <c r="L925" s="524" t="s">
        <v>1188</v>
      </c>
      <c r="M925" s="524" t="s">
        <v>1189</v>
      </c>
      <c r="N925" s="524" t="s">
        <v>1171</v>
      </c>
      <c r="O925" s="524" t="s">
        <v>1172</v>
      </c>
      <c r="P925" s="526">
        <v>46216</v>
      </c>
      <c r="S925" s="527">
        <v>0</v>
      </c>
    </row>
    <row r="926" spans="1:19" x14ac:dyDescent="0.2">
      <c r="A926" s="524">
        <v>69557</v>
      </c>
      <c r="B926" s="526">
        <v>46216</v>
      </c>
      <c r="C926" s="524" t="s">
        <v>1162</v>
      </c>
      <c r="D926" s="524" t="s">
        <v>1226</v>
      </c>
      <c r="E926" s="524" t="s">
        <v>1801</v>
      </c>
      <c r="F926" s="524" t="s">
        <v>1228</v>
      </c>
      <c r="G926" s="524" t="s">
        <v>1229</v>
      </c>
      <c r="H926" s="527">
        <v>13868.59</v>
      </c>
      <c r="I926" s="524" t="s">
        <v>1148</v>
      </c>
      <c r="J926" s="524">
        <f>IF(cmf[[#This Row],[D/C]]="C",cmf[[#This Row],[Valor]],-1*cmf[[#This Row],[Valor]])</f>
        <v>13868.59</v>
      </c>
      <c r="L926" s="524" t="s">
        <v>1230</v>
      </c>
      <c r="M926" s="524" t="s">
        <v>1231</v>
      </c>
      <c r="N926" s="524" t="s">
        <v>1223</v>
      </c>
      <c r="O926" s="524" t="s">
        <v>1224</v>
      </c>
      <c r="P926" s="526"/>
      <c r="S926" s="527">
        <v>0</v>
      </c>
    </row>
    <row r="927" spans="1:19" x14ac:dyDescent="0.2">
      <c r="A927" s="524">
        <v>69562</v>
      </c>
      <c r="B927" s="526">
        <v>46216</v>
      </c>
      <c r="C927" s="524" t="s">
        <v>1162</v>
      </c>
      <c r="D927" s="524" t="s">
        <v>1186</v>
      </c>
      <c r="E927" s="524" t="s">
        <v>1802</v>
      </c>
      <c r="F927" s="524" t="s">
        <v>1170</v>
      </c>
      <c r="G927" s="524" t="s">
        <v>794</v>
      </c>
      <c r="H927" s="527">
        <v>399.96</v>
      </c>
      <c r="I927" s="524" t="s">
        <v>1174</v>
      </c>
      <c r="J927" s="524">
        <f>IF(cmf[[#This Row],[D/C]]="C",cmf[[#This Row],[Valor]],-1*cmf[[#This Row],[Valor]])</f>
        <v>-399.96</v>
      </c>
      <c r="L927" s="524" t="s">
        <v>1188</v>
      </c>
      <c r="M927" s="524" t="s">
        <v>1189</v>
      </c>
      <c r="N927" s="524" t="s">
        <v>1340</v>
      </c>
      <c r="O927" s="524" t="s">
        <v>1341</v>
      </c>
      <c r="P927" s="526"/>
      <c r="S927" s="527">
        <v>0</v>
      </c>
    </row>
    <row r="928" spans="1:19" x14ac:dyDescent="0.2">
      <c r="A928" s="524">
        <v>69645</v>
      </c>
      <c r="B928" s="526">
        <v>46216</v>
      </c>
      <c r="C928" s="524" t="s">
        <v>1162</v>
      </c>
      <c r="D928" s="524" t="s">
        <v>1186</v>
      </c>
      <c r="E928" s="524" t="s">
        <v>1803</v>
      </c>
      <c r="F928" s="524" t="s">
        <v>1170</v>
      </c>
      <c r="G928" s="524" t="s">
        <v>775</v>
      </c>
      <c r="H928" s="527">
        <v>456.46</v>
      </c>
      <c r="I928" s="524" t="s">
        <v>1174</v>
      </c>
      <c r="J928" s="524">
        <f>IF(cmf[[#This Row],[D/C]]="C",cmf[[#This Row],[Valor]],-1*cmf[[#This Row],[Valor]])</f>
        <v>-456.46</v>
      </c>
      <c r="L928" s="524" t="s">
        <v>1188</v>
      </c>
      <c r="M928" s="524" t="s">
        <v>1189</v>
      </c>
      <c r="N928" s="524" t="s">
        <v>1212</v>
      </c>
      <c r="O928" s="524" t="s">
        <v>1213</v>
      </c>
      <c r="P928" s="526"/>
      <c r="S928" s="527">
        <v>0</v>
      </c>
    </row>
    <row r="929" spans="1:19" x14ac:dyDescent="0.2">
      <c r="A929" s="524">
        <v>69659</v>
      </c>
      <c r="B929" s="526">
        <v>46216</v>
      </c>
      <c r="C929" s="524" t="s">
        <v>1162</v>
      </c>
      <c r="D929" s="524" t="s">
        <v>1205</v>
      </c>
      <c r="E929" s="524" t="s">
        <v>1233</v>
      </c>
      <c r="F929" s="524" t="s">
        <v>1228</v>
      </c>
      <c r="G929" s="524" t="s">
        <v>1229</v>
      </c>
      <c r="H929" s="527">
        <v>13868.59</v>
      </c>
      <c r="I929" s="524" t="s">
        <v>1174</v>
      </c>
      <c r="J929" s="524">
        <f>IF(cmf[[#This Row],[D/C]]="C",cmf[[#This Row],[Valor]],-1*cmf[[#This Row],[Valor]])</f>
        <v>-13868.59</v>
      </c>
      <c r="L929" s="524" t="s">
        <v>1207</v>
      </c>
      <c r="M929" s="524" t="s">
        <v>1208</v>
      </c>
      <c r="N929" s="524" t="s">
        <v>1223</v>
      </c>
      <c r="O929" s="524" t="s">
        <v>1224</v>
      </c>
      <c r="P929" s="526"/>
      <c r="S929" s="527">
        <v>0</v>
      </c>
    </row>
    <row r="930" spans="1:19" x14ac:dyDescent="0.2">
      <c r="A930" s="524">
        <v>69660</v>
      </c>
      <c r="B930" s="526">
        <v>46216</v>
      </c>
      <c r="C930" s="524" t="s">
        <v>1162</v>
      </c>
      <c r="D930" s="524" t="s">
        <v>1205</v>
      </c>
      <c r="E930" s="524" t="s">
        <v>1234</v>
      </c>
      <c r="F930" s="524" t="s">
        <v>1165</v>
      </c>
      <c r="G930" s="524" t="s">
        <v>756</v>
      </c>
      <c r="H930" s="527">
        <v>13868.59</v>
      </c>
      <c r="I930" s="524" t="s">
        <v>1148</v>
      </c>
      <c r="J930" s="524">
        <f>IF(cmf[[#This Row],[D/C]]="C",cmf[[#This Row],[Valor]],-1*cmf[[#This Row],[Valor]])</f>
        <v>13868.59</v>
      </c>
      <c r="L930" s="524" t="s">
        <v>1207</v>
      </c>
      <c r="M930" s="524" t="s">
        <v>1208</v>
      </c>
      <c r="N930" s="524" t="s">
        <v>1168</v>
      </c>
      <c r="O930" s="524" t="s">
        <v>1169</v>
      </c>
      <c r="P930" s="526"/>
      <c r="S930" s="527">
        <v>0</v>
      </c>
    </row>
    <row r="931" spans="1:19" x14ac:dyDescent="0.2">
      <c r="A931" s="524">
        <v>69745</v>
      </c>
      <c r="B931" s="526">
        <v>46216</v>
      </c>
      <c r="C931" s="524" t="s">
        <v>1162</v>
      </c>
      <c r="D931" s="524" t="s">
        <v>1205</v>
      </c>
      <c r="E931" s="524" t="s">
        <v>1329</v>
      </c>
      <c r="F931" s="524" t="s">
        <v>1328</v>
      </c>
      <c r="G931" s="524" t="s">
        <v>1229</v>
      </c>
      <c r="H931" s="527">
        <v>37420.620000000003</v>
      </c>
      <c r="I931" s="524" t="s">
        <v>1174</v>
      </c>
      <c r="J931" s="524">
        <f>IF(cmf[[#This Row],[D/C]]="C",cmf[[#This Row],[Valor]],-1*cmf[[#This Row],[Valor]])</f>
        <v>-37420.620000000003</v>
      </c>
      <c r="L931" s="524" t="s">
        <v>1207</v>
      </c>
      <c r="M931" s="524" t="s">
        <v>1208</v>
      </c>
      <c r="N931" s="524" t="s">
        <v>1171</v>
      </c>
      <c r="O931" s="524" t="s">
        <v>1172</v>
      </c>
      <c r="P931" s="526"/>
      <c r="S931" s="527">
        <v>0</v>
      </c>
    </row>
    <row r="932" spans="1:19" x14ac:dyDescent="0.2">
      <c r="A932" s="524">
        <v>69746</v>
      </c>
      <c r="B932" s="526">
        <v>46216</v>
      </c>
      <c r="C932" s="524" t="s">
        <v>1162</v>
      </c>
      <c r="D932" s="524" t="s">
        <v>1205</v>
      </c>
      <c r="E932" s="524" t="s">
        <v>1330</v>
      </c>
      <c r="F932" s="524" t="s">
        <v>1183</v>
      </c>
      <c r="G932" s="524" t="s">
        <v>796</v>
      </c>
      <c r="H932" s="527">
        <v>37420.620000000003</v>
      </c>
      <c r="I932" s="524" t="s">
        <v>1148</v>
      </c>
      <c r="J932" s="524">
        <f>IF(cmf[[#This Row],[D/C]]="C",cmf[[#This Row],[Valor]],-1*cmf[[#This Row],[Valor]])</f>
        <v>37420.620000000003</v>
      </c>
      <c r="L932" s="524" t="s">
        <v>1207</v>
      </c>
      <c r="M932" s="524" t="s">
        <v>1208</v>
      </c>
      <c r="N932" s="524" t="s">
        <v>1184</v>
      </c>
      <c r="O932" s="524" t="s">
        <v>1172</v>
      </c>
      <c r="P932" s="526"/>
      <c r="S932" s="527">
        <v>0</v>
      </c>
    </row>
    <row r="933" spans="1:19" x14ac:dyDescent="0.2">
      <c r="A933" s="524">
        <v>69860</v>
      </c>
      <c r="B933" s="526">
        <v>46216</v>
      </c>
      <c r="C933" s="524" t="s">
        <v>1162</v>
      </c>
      <c r="D933" s="524" t="s">
        <v>1186</v>
      </c>
      <c r="E933" s="524" t="s">
        <v>1804</v>
      </c>
      <c r="F933" s="524" t="s">
        <v>1320</v>
      </c>
      <c r="G933" s="524" t="s">
        <v>1229</v>
      </c>
      <c r="H933" s="527">
        <v>0</v>
      </c>
      <c r="I933" s="524" t="s">
        <v>1174</v>
      </c>
      <c r="J933" s="524">
        <f>IF(cmf[[#This Row],[D/C]]="C",cmf[[#This Row],[Valor]],-1*cmf[[#This Row],[Valor]])</f>
        <v>0</v>
      </c>
      <c r="L933" s="524" t="s">
        <v>1188</v>
      </c>
      <c r="M933" s="524" t="s">
        <v>1189</v>
      </c>
      <c r="N933" s="524" t="s">
        <v>1192</v>
      </c>
      <c r="O933" s="524" t="s">
        <v>1193</v>
      </c>
      <c r="P933" s="526"/>
      <c r="S933" s="527">
        <v>0</v>
      </c>
    </row>
    <row r="934" spans="1:19" x14ac:dyDescent="0.2">
      <c r="A934" s="524">
        <v>69866</v>
      </c>
      <c r="B934" s="526">
        <v>46216</v>
      </c>
      <c r="C934" s="524" t="s">
        <v>1148</v>
      </c>
      <c r="D934" s="524" t="s">
        <v>1243</v>
      </c>
      <c r="E934" s="524" t="s">
        <v>1244</v>
      </c>
      <c r="F934" s="524" t="s">
        <v>1183</v>
      </c>
      <c r="G934" s="524" t="s">
        <v>769</v>
      </c>
      <c r="H934" s="527">
        <v>7456.89</v>
      </c>
      <c r="I934" s="524" t="s">
        <v>1148</v>
      </c>
      <c r="J934" s="524">
        <f>IF(cmf[[#This Row],[D/C]]="C",cmf[[#This Row],[Valor]],-1*cmf[[#This Row],[Valor]])</f>
        <v>7456.89</v>
      </c>
      <c r="L934" s="524" t="s">
        <v>1245</v>
      </c>
      <c r="M934" s="524" t="s">
        <v>1246</v>
      </c>
      <c r="N934" s="524" t="s">
        <v>1219</v>
      </c>
      <c r="O934" s="524" t="s">
        <v>1220</v>
      </c>
      <c r="P934" s="526">
        <v>46216</v>
      </c>
      <c r="S934" s="527">
        <v>0</v>
      </c>
    </row>
    <row r="935" spans="1:19" x14ac:dyDescent="0.2">
      <c r="A935" s="524">
        <v>69872</v>
      </c>
      <c r="B935" s="526">
        <v>46216</v>
      </c>
      <c r="C935" s="524" t="s">
        <v>1148</v>
      </c>
      <c r="D935" s="524" t="s">
        <v>1243</v>
      </c>
      <c r="E935" s="524" t="s">
        <v>1244</v>
      </c>
      <c r="F935" s="524" t="s">
        <v>1183</v>
      </c>
      <c r="G935" s="524" t="s">
        <v>769</v>
      </c>
      <c r="H935" s="527">
        <v>0.14000000000000001</v>
      </c>
      <c r="I935" s="524" t="s">
        <v>1148</v>
      </c>
      <c r="J935" s="524">
        <f>IF(cmf[[#This Row],[D/C]]="C",cmf[[#This Row],[Valor]],-1*cmf[[#This Row],[Valor]])</f>
        <v>0.14000000000000001</v>
      </c>
      <c r="L935" s="524" t="s">
        <v>1245</v>
      </c>
      <c r="M935" s="524" t="s">
        <v>1246</v>
      </c>
      <c r="N935" s="524" t="s">
        <v>1219</v>
      </c>
      <c r="O935" s="524" t="s">
        <v>1220</v>
      </c>
      <c r="P935" s="526">
        <v>46216</v>
      </c>
      <c r="S935" s="527">
        <v>0</v>
      </c>
    </row>
    <row r="936" spans="1:19" x14ac:dyDescent="0.2">
      <c r="A936" s="524">
        <v>69893</v>
      </c>
      <c r="B936" s="526">
        <v>46216</v>
      </c>
      <c r="C936" s="524" t="s">
        <v>1162</v>
      </c>
      <c r="D936" s="524" t="s">
        <v>1805</v>
      </c>
      <c r="E936" s="524" t="s">
        <v>1806</v>
      </c>
      <c r="F936" s="524" t="s">
        <v>1746</v>
      </c>
      <c r="G936" s="524" t="s">
        <v>1579</v>
      </c>
      <c r="H936" s="527">
        <v>0</v>
      </c>
      <c r="I936" s="524" t="s">
        <v>1174</v>
      </c>
      <c r="J936" s="524">
        <f>IF(cmf[[#This Row],[D/C]]="C",cmf[[#This Row],[Valor]],-1*cmf[[#This Row],[Valor]])</f>
        <v>0</v>
      </c>
      <c r="L936" s="524" t="s">
        <v>1807</v>
      </c>
      <c r="M936" s="524" t="s">
        <v>1808</v>
      </c>
      <c r="N936" s="524" t="s">
        <v>1180</v>
      </c>
      <c r="O936" s="524" t="s">
        <v>1181</v>
      </c>
      <c r="P936" s="526"/>
      <c r="S936" s="527">
        <v>0</v>
      </c>
    </row>
    <row r="937" spans="1:19" x14ac:dyDescent="0.2">
      <c r="A937" s="524">
        <v>70004</v>
      </c>
      <c r="B937" s="526">
        <v>46216</v>
      </c>
      <c r="C937" s="524" t="s">
        <v>1162</v>
      </c>
      <c r="D937" s="524" t="s">
        <v>1186</v>
      </c>
      <c r="E937" s="524" t="s">
        <v>1809</v>
      </c>
      <c r="F937" s="524" t="s">
        <v>1170</v>
      </c>
      <c r="G937" s="524" t="s">
        <v>771</v>
      </c>
      <c r="H937" s="527">
        <v>3693.74</v>
      </c>
      <c r="I937" s="524" t="s">
        <v>1174</v>
      </c>
      <c r="J937" s="524">
        <f>IF(cmf[[#This Row],[D/C]]="C",cmf[[#This Row],[Valor]],-1*cmf[[#This Row],[Valor]])</f>
        <v>-3693.74</v>
      </c>
      <c r="L937" s="524" t="s">
        <v>1188</v>
      </c>
      <c r="M937" s="524" t="s">
        <v>1189</v>
      </c>
      <c r="N937" s="524" t="s">
        <v>1249</v>
      </c>
      <c r="O937" s="524" t="s">
        <v>1250</v>
      </c>
      <c r="P937" s="526"/>
      <c r="S937" s="527">
        <v>0</v>
      </c>
    </row>
    <row r="938" spans="1:19" x14ac:dyDescent="0.2">
      <c r="A938" s="524">
        <v>70102</v>
      </c>
      <c r="B938" s="526">
        <v>46216</v>
      </c>
      <c r="C938" s="524" t="s">
        <v>1148</v>
      </c>
      <c r="D938" s="524" t="s">
        <v>1226</v>
      </c>
      <c r="E938" s="524" t="s">
        <v>1810</v>
      </c>
      <c r="F938" s="524" t="s">
        <v>1170</v>
      </c>
      <c r="G938" s="524" t="s">
        <v>1102</v>
      </c>
      <c r="H938" s="527">
        <v>10000</v>
      </c>
      <c r="I938" s="524" t="s">
        <v>1148</v>
      </c>
      <c r="J938" s="524">
        <f>IF(cmf[[#This Row],[D/C]]="C",cmf[[#This Row],[Valor]],-1*cmf[[#This Row],[Valor]])</f>
        <v>10000</v>
      </c>
      <c r="L938" s="524" t="s">
        <v>1230</v>
      </c>
      <c r="M938" s="524" t="s">
        <v>1231</v>
      </c>
      <c r="N938" s="524" t="s">
        <v>1192</v>
      </c>
      <c r="O938" s="524" t="s">
        <v>1193</v>
      </c>
      <c r="P938" s="526">
        <v>46216</v>
      </c>
      <c r="S938" s="527">
        <v>0</v>
      </c>
    </row>
    <row r="939" spans="1:19" x14ac:dyDescent="0.2">
      <c r="A939" s="524">
        <v>70103</v>
      </c>
      <c r="B939" s="526">
        <v>46216</v>
      </c>
      <c r="C939" s="524" t="s">
        <v>1148</v>
      </c>
      <c r="D939" s="524" t="s">
        <v>1226</v>
      </c>
      <c r="E939" s="524" t="s">
        <v>1811</v>
      </c>
      <c r="F939" s="524" t="s">
        <v>1170</v>
      </c>
      <c r="G939" s="524" t="s">
        <v>1102</v>
      </c>
      <c r="H939" s="527">
        <v>1351.61</v>
      </c>
      <c r="I939" s="524" t="s">
        <v>1148</v>
      </c>
      <c r="J939" s="524">
        <f>IF(cmf[[#This Row],[D/C]]="C",cmf[[#This Row],[Valor]],-1*cmf[[#This Row],[Valor]])</f>
        <v>1351.61</v>
      </c>
      <c r="L939" s="524" t="s">
        <v>1230</v>
      </c>
      <c r="M939" s="524" t="s">
        <v>1231</v>
      </c>
      <c r="N939" s="524" t="s">
        <v>1192</v>
      </c>
      <c r="O939" s="524" t="s">
        <v>1193</v>
      </c>
      <c r="P939" s="526">
        <v>46216</v>
      </c>
      <c r="S939" s="527">
        <v>0</v>
      </c>
    </row>
    <row r="940" spans="1:19" x14ac:dyDescent="0.2">
      <c r="A940" s="524">
        <v>70104</v>
      </c>
      <c r="B940" s="526">
        <v>46216</v>
      </c>
      <c r="C940" s="524" t="s">
        <v>1148</v>
      </c>
      <c r="D940" s="524" t="s">
        <v>1226</v>
      </c>
      <c r="E940" s="524" t="s">
        <v>1812</v>
      </c>
      <c r="F940" s="524" t="s">
        <v>1170</v>
      </c>
      <c r="G940" s="524" t="s">
        <v>1102</v>
      </c>
      <c r="H940" s="527">
        <v>550.80999999999995</v>
      </c>
      <c r="I940" s="524" t="s">
        <v>1148</v>
      </c>
      <c r="J940" s="524">
        <f>IF(cmf[[#This Row],[D/C]]="C",cmf[[#This Row],[Valor]],-1*cmf[[#This Row],[Valor]])</f>
        <v>550.80999999999995</v>
      </c>
      <c r="L940" s="524" t="s">
        <v>1230</v>
      </c>
      <c r="M940" s="524" t="s">
        <v>1231</v>
      </c>
      <c r="N940" s="524" t="s">
        <v>1192</v>
      </c>
      <c r="O940" s="524" t="s">
        <v>1193</v>
      </c>
      <c r="P940" s="526">
        <v>46216</v>
      </c>
      <c r="S940" s="527">
        <v>0</v>
      </c>
    </row>
    <row r="941" spans="1:19" x14ac:dyDescent="0.2">
      <c r="A941" s="524">
        <v>70105</v>
      </c>
      <c r="B941" s="526">
        <v>46216</v>
      </c>
      <c r="C941" s="524" t="s">
        <v>1148</v>
      </c>
      <c r="D941" s="524" t="s">
        <v>1226</v>
      </c>
      <c r="E941" s="524" t="s">
        <v>1813</v>
      </c>
      <c r="F941" s="524" t="s">
        <v>1170</v>
      </c>
      <c r="G941" s="524" t="s">
        <v>1102</v>
      </c>
      <c r="H941" s="527">
        <v>1045</v>
      </c>
      <c r="I941" s="524" t="s">
        <v>1148</v>
      </c>
      <c r="J941" s="524">
        <f>IF(cmf[[#This Row],[D/C]]="C",cmf[[#This Row],[Valor]],-1*cmf[[#This Row],[Valor]])</f>
        <v>1045</v>
      </c>
      <c r="L941" s="524" t="s">
        <v>1230</v>
      </c>
      <c r="M941" s="524" t="s">
        <v>1231</v>
      </c>
      <c r="N941" s="524" t="s">
        <v>1192</v>
      </c>
      <c r="O941" s="524" t="s">
        <v>1193</v>
      </c>
      <c r="P941" s="526">
        <v>46216</v>
      </c>
      <c r="S941" s="527">
        <v>0</v>
      </c>
    </row>
    <row r="942" spans="1:19" x14ac:dyDescent="0.2">
      <c r="A942" s="524">
        <v>70106</v>
      </c>
      <c r="B942" s="526">
        <v>46216</v>
      </c>
      <c r="C942" s="524" t="s">
        <v>1148</v>
      </c>
      <c r="D942" s="524" t="s">
        <v>1226</v>
      </c>
      <c r="E942" s="524" t="s">
        <v>1814</v>
      </c>
      <c r="F942" s="524" t="s">
        <v>1170</v>
      </c>
      <c r="G942" s="524" t="s">
        <v>1102</v>
      </c>
      <c r="H942" s="527">
        <v>426</v>
      </c>
      <c r="I942" s="524" t="s">
        <v>1148</v>
      </c>
      <c r="J942" s="524">
        <f>IF(cmf[[#This Row],[D/C]]="C",cmf[[#This Row],[Valor]],-1*cmf[[#This Row],[Valor]])</f>
        <v>426</v>
      </c>
      <c r="L942" s="524" t="s">
        <v>1230</v>
      </c>
      <c r="M942" s="524" t="s">
        <v>1231</v>
      </c>
      <c r="N942" s="524" t="s">
        <v>1192</v>
      </c>
      <c r="O942" s="524" t="s">
        <v>1193</v>
      </c>
      <c r="P942" s="526">
        <v>46216</v>
      </c>
      <c r="S942" s="527">
        <v>0</v>
      </c>
    </row>
    <row r="943" spans="1:19" x14ac:dyDescent="0.2">
      <c r="A943" s="524">
        <v>70107</v>
      </c>
      <c r="B943" s="526">
        <v>46216</v>
      </c>
      <c r="C943" s="524" t="s">
        <v>1148</v>
      </c>
      <c r="D943" s="524" t="s">
        <v>1226</v>
      </c>
      <c r="E943" s="524" t="s">
        <v>1815</v>
      </c>
      <c r="F943" s="524" t="s">
        <v>1170</v>
      </c>
      <c r="G943" s="524" t="s">
        <v>1102</v>
      </c>
      <c r="H943" s="527">
        <v>611.34</v>
      </c>
      <c r="I943" s="524" t="s">
        <v>1148</v>
      </c>
      <c r="J943" s="524">
        <f>IF(cmf[[#This Row],[D/C]]="C",cmf[[#This Row],[Valor]],-1*cmf[[#This Row],[Valor]])</f>
        <v>611.34</v>
      </c>
      <c r="L943" s="524" t="s">
        <v>1230</v>
      </c>
      <c r="M943" s="524" t="s">
        <v>1231</v>
      </c>
      <c r="N943" s="524" t="s">
        <v>1192</v>
      </c>
      <c r="O943" s="524" t="s">
        <v>1193</v>
      </c>
      <c r="P943" s="526">
        <v>46216</v>
      </c>
      <c r="S943" s="527">
        <v>0</v>
      </c>
    </row>
    <row r="944" spans="1:19" x14ac:dyDescent="0.2">
      <c r="A944" s="524">
        <v>70108</v>
      </c>
      <c r="B944" s="526">
        <v>46216</v>
      </c>
      <c r="C944" s="524" t="s">
        <v>1148</v>
      </c>
      <c r="D944" s="524" t="s">
        <v>1226</v>
      </c>
      <c r="E944" s="524" t="s">
        <v>1816</v>
      </c>
      <c r="F944" s="524" t="s">
        <v>1170</v>
      </c>
      <c r="G944" s="524" t="s">
        <v>1102</v>
      </c>
      <c r="H944" s="527">
        <v>399.18</v>
      </c>
      <c r="I944" s="524" t="s">
        <v>1148</v>
      </c>
      <c r="J944" s="524">
        <f>IF(cmf[[#This Row],[D/C]]="C",cmf[[#This Row],[Valor]],-1*cmf[[#This Row],[Valor]])</f>
        <v>399.18</v>
      </c>
      <c r="L944" s="524" t="s">
        <v>1230</v>
      </c>
      <c r="M944" s="524" t="s">
        <v>1231</v>
      </c>
      <c r="N944" s="524" t="s">
        <v>1192</v>
      </c>
      <c r="O944" s="524" t="s">
        <v>1193</v>
      </c>
      <c r="P944" s="526">
        <v>46216</v>
      </c>
      <c r="S944" s="527">
        <v>0</v>
      </c>
    </row>
    <row r="945" spans="1:19" x14ac:dyDescent="0.2">
      <c r="A945" s="524">
        <v>70109</v>
      </c>
      <c r="B945" s="526">
        <v>46216</v>
      </c>
      <c r="C945" s="524" t="s">
        <v>1148</v>
      </c>
      <c r="D945" s="524" t="s">
        <v>1226</v>
      </c>
      <c r="E945" s="524" t="s">
        <v>1817</v>
      </c>
      <c r="F945" s="524" t="s">
        <v>1170</v>
      </c>
      <c r="G945" s="524" t="s">
        <v>1102</v>
      </c>
      <c r="H945" s="527">
        <v>725.23</v>
      </c>
      <c r="I945" s="524" t="s">
        <v>1148</v>
      </c>
      <c r="J945" s="524">
        <f>IF(cmf[[#This Row],[D/C]]="C",cmf[[#This Row],[Valor]],-1*cmf[[#This Row],[Valor]])</f>
        <v>725.23</v>
      </c>
      <c r="L945" s="524" t="s">
        <v>1230</v>
      </c>
      <c r="M945" s="524" t="s">
        <v>1231</v>
      </c>
      <c r="N945" s="524" t="s">
        <v>1192</v>
      </c>
      <c r="O945" s="524" t="s">
        <v>1193</v>
      </c>
      <c r="P945" s="526">
        <v>46216</v>
      </c>
      <c r="S945" s="527">
        <v>0</v>
      </c>
    </row>
    <row r="946" spans="1:19" x14ac:dyDescent="0.2">
      <c r="A946" s="524">
        <v>70110</v>
      </c>
      <c r="B946" s="526">
        <v>46216</v>
      </c>
      <c r="C946" s="524" t="s">
        <v>1148</v>
      </c>
      <c r="D946" s="524" t="s">
        <v>1226</v>
      </c>
      <c r="E946" s="524" t="s">
        <v>1818</v>
      </c>
      <c r="F946" s="524" t="s">
        <v>1170</v>
      </c>
      <c r="G946" s="524" t="s">
        <v>1102</v>
      </c>
      <c r="H946" s="527">
        <v>595.42999999999995</v>
      </c>
      <c r="I946" s="524" t="s">
        <v>1148</v>
      </c>
      <c r="J946" s="524">
        <f>IF(cmf[[#This Row],[D/C]]="C",cmf[[#This Row],[Valor]],-1*cmf[[#This Row],[Valor]])</f>
        <v>595.42999999999995</v>
      </c>
      <c r="L946" s="524" t="s">
        <v>1230</v>
      </c>
      <c r="M946" s="524" t="s">
        <v>1231</v>
      </c>
      <c r="N946" s="524" t="s">
        <v>1192</v>
      </c>
      <c r="O946" s="524" t="s">
        <v>1193</v>
      </c>
      <c r="P946" s="526">
        <v>46216</v>
      </c>
      <c r="S946" s="527">
        <v>0</v>
      </c>
    </row>
    <row r="947" spans="1:19" x14ac:dyDescent="0.2">
      <c r="A947" s="524">
        <v>70111</v>
      </c>
      <c r="B947" s="526">
        <v>46216</v>
      </c>
      <c r="C947" s="524" t="s">
        <v>1148</v>
      </c>
      <c r="D947" s="524" t="s">
        <v>1226</v>
      </c>
      <c r="E947" s="524" t="s">
        <v>1819</v>
      </c>
      <c r="F947" s="524" t="s">
        <v>1170</v>
      </c>
      <c r="G947" s="524" t="s">
        <v>1102</v>
      </c>
      <c r="H947" s="527">
        <v>165.91</v>
      </c>
      <c r="I947" s="524" t="s">
        <v>1148</v>
      </c>
      <c r="J947" s="524">
        <f>IF(cmf[[#This Row],[D/C]]="C",cmf[[#This Row],[Valor]],-1*cmf[[#This Row],[Valor]])</f>
        <v>165.91</v>
      </c>
      <c r="L947" s="524" t="s">
        <v>1230</v>
      </c>
      <c r="M947" s="524" t="s">
        <v>1231</v>
      </c>
      <c r="N947" s="524" t="s">
        <v>1192</v>
      </c>
      <c r="O947" s="524" t="s">
        <v>1193</v>
      </c>
      <c r="P947" s="526">
        <v>46216</v>
      </c>
      <c r="S947" s="527">
        <v>0</v>
      </c>
    </row>
    <row r="948" spans="1:19" x14ac:dyDescent="0.2">
      <c r="A948" s="524">
        <v>70112</v>
      </c>
      <c r="B948" s="526">
        <v>46216</v>
      </c>
      <c r="C948" s="524" t="s">
        <v>1148</v>
      </c>
      <c r="D948" s="524" t="s">
        <v>1226</v>
      </c>
      <c r="E948" s="524" t="s">
        <v>1820</v>
      </c>
      <c r="F948" s="524" t="s">
        <v>1170</v>
      </c>
      <c r="G948" s="524" t="s">
        <v>1102</v>
      </c>
      <c r="H948" s="527">
        <v>10235.06</v>
      </c>
      <c r="I948" s="524" t="s">
        <v>1148</v>
      </c>
      <c r="J948" s="524">
        <f>IF(cmf[[#This Row],[D/C]]="C",cmf[[#This Row],[Valor]],-1*cmf[[#This Row],[Valor]])</f>
        <v>10235.06</v>
      </c>
      <c r="L948" s="524" t="s">
        <v>1230</v>
      </c>
      <c r="M948" s="524" t="s">
        <v>1231</v>
      </c>
      <c r="N948" s="524" t="s">
        <v>1192</v>
      </c>
      <c r="O948" s="524" t="s">
        <v>1193</v>
      </c>
      <c r="P948" s="526">
        <v>46216</v>
      </c>
      <c r="S948" s="527">
        <v>0</v>
      </c>
    </row>
    <row r="949" spans="1:19" x14ac:dyDescent="0.2">
      <c r="A949" s="524">
        <v>70230</v>
      </c>
      <c r="B949" s="526">
        <v>46216</v>
      </c>
      <c r="C949" s="524" t="s">
        <v>1148</v>
      </c>
      <c r="D949" s="524" t="s">
        <v>1243</v>
      </c>
      <c r="E949" s="524" t="s">
        <v>1266</v>
      </c>
      <c r="F949" s="524" t="s">
        <v>1183</v>
      </c>
      <c r="G949" s="524" t="s">
        <v>806</v>
      </c>
      <c r="H949" s="527">
        <v>44872.81</v>
      </c>
      <c r="I949" s="524" t="s">
        <v>1174</v>
      </c>
      <c r="J949" s="524">
        <f>IF(cmf[[#This Row],[D/C]]="C",cmf[[#This Row],[Valor]],-1*cmf[[#This Row],[Valor]])</f>
        <v>-44872.81</v>
      </c>
      <c r="L949" s="524" t="s">
        <v>1245</v>
      </c>
      <c r="M949" s="524" t="s">
        <v>1246</v>
      </c>
      <c r="N949" s="524" t="s">
        <v>1283</v>
      </c>
      <c r="O949" s="524" t="s">
        <v>1284</v>
      </c>
      <c r="P949" s="526">
        <v>46216</v>
      </c>
      <c r="S949" s="527">
        <v>0</v>
      </c>
    </row>
    <row r="950" spans="1:19" x14ac:dyDescent="0.2">
      <c r="A950" s="524">
        <v>70255</v>
      </c>
      <c r="B950" s="526">
        <v>46216</v>
      </c>
      <c r="C950" s="524" t="s">
        <v>1148</v>
      </c>
      <c r="D950" s="524" t="s">
        <v>1239</v>
      </c>
      <c r="E950" s="524" t="s">
        <v>1312</v>
      </c>
      <c r="F950" s="524" t="s">
        <v>1170</v>
      </c>
      <c r="G950" s="524" t="s">
        <v>768</v>
      </c>
      <c r="H950" s="527">
        <v>5</v>
      </c>
      <c r="I950" s="524" t="s">
        <v>1174</v>
      </c>
      <c r="J950" s="524">
        <f>IF(cmf[[#This Row],[D/C]]="C",cmf[[#This Row],[Valor]],-1*cmf[[#This Row],[Valor]])</f>
        <v>-5</v>
      </c>
      <c r="L950" s="524" t="s">
        <v>1241</v>
      </c>
      <c r="M950" s="524" t="s">
        <v>1242</v>
      </c>
      <c r="N950" s="524" t="s">
        <v>1219</v>
      </c>
      <c r="O950" s="524" t="s">
        <v>1220</v>
      </c>
      <c r="P950" s="526">
        <v>46216</v>
      </c>
      <c r="S950" s="527">
        <v>0</v>
      </c>
    </row>
    <row r="951" spans="1:19" x14ac:dyDescent="0.2">
      <c r="A951" s="524">
        <v>70333</v>
      </c>
      <c r="B951" s="526">
        <v>46216</v>
      </c>
      <c r="C951" s="524" t="s">
        <v>1148</v>
      </c>
      <c r="D951" s="524" t="s">
        <v>1243</v>
      </c>
      <c r="E951" s="524" t="s">
        <v>1266</v>
      </c>
      <c r="F951" s="524" t="s">
        <v>1183</v>
      </c>
      <c r="G951" s="524" t="s">
        <v>803</v>
      </c>
      <c r="H951" s="527">
        <v>331.32</v>
      </c>
      <c r="I951" s="524" t="s">
        <v>1174</v>
      </c>
      <c r="J951" s="524">
        <f>IF(cmf[[#This Row],[D/C]]="C",cmf[[#This Row],[Valor]],-1*cmf[[#This Row],[Valor]])</f>
        <v>-331.32</v>
      </c>
      <c r="L951" s="524" t="s">
        <v>1245</v>
      </c>
      <c r="M951" s="524" t="s">
        <v>1246</v>
      </c>
      <c r="N951" s="524" t="s">
        <v>1192</v>
      </c>
      <c r="O951" s="524" t="s">
        <v>1193</v>
      </c>
      <c r="P951" s="526">
        <v>46216</v>
      </c>
      <c r="S951" s="527">
        <v>0</v>
      </c>
    </row>
    <row r="952" spans="1:19" x14ac:dyDescent="0.2">
      <c r="A952" s="524">
        <v>70345</v>
      </c>
      <c r="B952" s="526">
        <v>46216</v>
      </c>
      <c r="C952" s="524" t="s">
        <v>1148</v>
      </c>
      <c r="D952" s="524" t="s">
        <v>1243</v>
      </c>
      <c r="E952" s="524" t="s">
        <v>1244</v>
      </c>
      <c r="F952" s="524" t="s">
        <v>1183</v>
      </c>
      <c r="G952" s="524" t="s">
        <v>800</v>
      </c>
      <c r="H952" s="527">
        <v>1455.81</v>
      </c>
      <c r="I952" s="524" t="s">
        <v>1148</v>
      </c>
      <c r="J952" s="524">
        <f>IF(cmf[[#This Row],[D/C]]="C",cmf[[#This Row],[Valor]],-1*cmf[[#This Row],[Valor]])</f>
        <v>1455.81</v>
      </c>
      <c r="L952" s="524" t="s">
        <v>1245</v>
      </c>
      <c r="M952" s="524" t="s">
        <v>1246</v>
      </c>
      <c r="N952" s="524" t="s">
        <v>1171</v>
      </c>
      <c r="O952" s="524" t="s">
        <v>1172</v>
      </c>
      <c r="P952" s="526">
        <v>46216</v>
      </c>
      <c r="S952" s="527">
        <v>0</v>
      </c>
    </row>
    <row r="953" spans="1:19" x14ac:dyDescent="0.2">
      <c r="A953" s="524">
        <v>70346</v>
      </c>
      <c r="B953" s="526">
        <v>46216</v>
      </c>
      <c r="C953" s="524" t="s">
        <v>1148</v>
      </c>
      <c r="D953" s="524" t="s">
        <v>1243</v>
      </c>
      <c r="E953" s="524" t="s">
        <v>1244</v>
      </c>
      <c r="F953" s="524" t="s">
        <v>1183</v>
      </c>
      <c r="G953" s="524" t="s">
        <v>800</v>
      </c>
      <c r="H953" s="527">
        <v>0.02</v>
      </c>
      <c r="I953" s="524" t="s">
        <v>1148</v>
      </c>
      <c r="J953" s="524">
        <f>IF(cmf[[#This Row],[D/C]]="C",cmf[[#This Row],[Valor]],-1*cmf[[#This Row],[Valor]])</f>
        <v>0.02</v>
      </c>
      <c r="L953" s="524" t="s">
        <v>1245</v>
      </c>
      <c r="M953" s="524" t="s">
        <v>1246</v>
      </c>
      <c r="N953" s="524" t="s">
        <v>1171</v>
      </c>
      <c r="O953" s="524" t="s">
        <v>1172</v>
      </c>
      <c r="P953" s="526">
        <v>46216</v>
      </c>
      <c r="S953" s="527">
        <v>0</v>
      </c>
    </row>
    <row r="954" spans="1:19" x14ac:dyDescent="0.2">
      <c r="A954" s="524">
        <v>70536</v>
      </c>
      <c r="B954" s="526">
        <v>46216</v>
      </c>
      <c r="C954" s="524" t="s">
        <v>1148</v>
      </c>
      <c r="D954" s="524" t="s">
        <v>1239</v>
      </c>
      <c r="E954" s="524" t="s">
        <v>1821</v>
      </c>
      <c r="F954" s="524" t="s">
        <v>1178</v>
      </c>
      <c r="G954" s="524" t="s">
        <v>1179</v>
      </c>
      <c r="H954" s="527">
        <v>270</v>
      </c>
      <c r="I954" s="524" t="s">
        <v>1174</v>
      </c>
      <c r="J954" s="524">
        <f>IF(cmf[[#This Row],[D/C]]="C",cmf[[#This Row],[Valor]],-1*cmf[[#This Row],[Valor]])</f>
        <v>-270</v>
      </c>
      <c r="L954" s="524" t="s">
        <v>1241</v>
      </c>
      <c r="M954" s="524" t="s">
        <v>1242</v>
      </c>
      <c r="N954" s="524" t="s">
        <v>1180</v>
      </c>
      <c r="O954" s="524" t="s">
        <v>1181</v>
      </c>
      <c r="P954" s="526">
        <v>46216</v>
      </c>
      <c r="S954" s="527">
        <v>0</v>
      </c>
    </row>
    <row r="955" spans="1:19" x14ac:dyDescent="0.2">
      <c r="A955" s="524">
        <v>70630</v>
      </c>
      <c r="B955" s="526">
        <v>46216</v>
      </c>
      <c r="C955" s="524" t="s">
        <v>1148</v>
      </c>
      <c r="D955" s="524" t="s">
        <v>1243</v>
      </c>
      <c r="E955" s="524" t="s">
        <v>1748</v>
      </c>
      <c r="F955" s="524" t="s">
        <v>1178</v>
      </c>
      <c r="G955" s="524" t="s">
        <v>1179</v>
      </c>
      <c r="H955" s="527">
        <v>14809.93</v>
      </c>
      <c r="I955" s="524" t="s">
        <v>1174</v>
      </c>
      <c r="J955" s="524">
        <f>IF(cmf[[#This Row],[D/C]]="C",cmf[[#This Row],[Valor]],-1*cmf[[#This Row],[Valor]])</f>
        <v>-14809.93</v>
      </c>
      <c r="L955" s="524" t="s">
        <v>1245</v>
      </c>
      <c r="M955" s="524" t="s">
        <v>1246</v>
      </c>
      <c r="N955" s="524" t="s">
        <v>1180</v>
      </c>
      <c r="O955" s="524" t="s">
        <v>1181</v>
      </c>
      <c r="P955" s="526">
        <v>46216</v>
      </c>
      <c r="S955" s="527">
        <v>0</v>
      </c>
    </row>
    <row r="956" spans="1:19" x14ac:dyDescent="0.2">
      <c r="A956" s="524">
        <v>70671</v>
      </c>
      <c r="B956" s="526">
        <v>46216</v>
      </c>
      <c r="C956" s="524" t="s">
        <v>1148</v>
      </c>
      <c r="D956" s="524" t="s">
        <v>1239</v>
      </c>
      <c r="E956" s="524" t="s">
        <v>1822</v>
      </c>
      <c r="F956" s="524" t="s">
        <v>1178</v>
      </c>
      <c r="G956" s="524" t="s">
        <v>1179</v>
      </c>
      <c r="H956" s="527">
        <v>531.99</v>
      </c>
      <c r="I956" s="524" t="s">
        <v>1174</v>
      </c>
      <c r="J956" s="524">
        <f>IF(cmf[[#This Row],[D/C]]="C",cmf[[#This Row],[Valor]],-1*cmf[[#This Row],[Valor]])</f>
        <v>-531.99</v>
      </c>
      <c r="L956" s="524" t="s">
        <v>1823</v>
      </c>
      <c r="M956" s="524" t="s">
        <v>1824</v>
      </c>
      <c r="N956" s="524" t="s">
        <v>1180</v>
      </c>
      <c r="O956" s="524" t="s">
        <v>1181</v>
      </c>
      <c r="P956" s="526">
        <v>46216</v>
      </c>
      <c r="S956" s="527">
        <v>0</v>
      </c>
    </row>
    <row r="957" spans="1:19" x14ac:dyDescent="0.2">
      <c r="A957" s="524">
        <v>70672</v>
      </c>
      <c r="B957" s="526">
        <v>46216</v>
      </c>
      <c r="C957" s="524" t="s">
        <v>1148</v>
      </c>
      <c r="D957" s="524" t="s">
        <v>1239</v>
      </c>
      <c r="E957" s="524" t="s">
        <v>1822</v>
      </c>
      <c r="F957" s="524" t="s">
        <v>1178</v>
      </c>
      <c r="G957" s="524" t="s">
        <v>1179</v>
      </c>
      <c r="H957" s="527">
        <v>531.99</v>
      </c>
      <c r="I957" s="524" t="s">
        <v>1148</v>
      </c>
      <c r="J957" s="524">
        <f>IF(cmf[[#This Row],[D/C]]="C",cmf[[#This Row],[Valor]],-1*cmf[[#This Row],[Valor]])</f>
        <v>531.99</v>
      </c>
      <c r="L957" s="524" t="s">
        <v>1264</v>
      </c>
      <c r="M957" s="524" t="s">
        <v>1265</v>
      </c>
      <c r="N957" s="524" t="s">
        <v>1180</v>
      </c>
      <c r="O957" s="524" t="s">
        <v>1181</v>
      </c>
      <c r="P957" s="526">
        <v>46216</v>
      </c>
      <c r="S957" s="527">
        <v>0</v>
      </c>
    </row>
    <row r="958" spans="1:19" x14ac:dyDescent="0.2">
      <c r="A958" s="524">
        <v>70673</v>
      </c>
      <c r="B958" s="526">
        <v>46216</v>
      </c>
      <c r="C958" s="524" t="s">
        <v>1148</v>
      </c>
      <c r="D958" s="524" t="s">
        <v>1226</v>
      </c>
      <c r="E958" s="524" t="s">
        <v>1825</v>
      </c>
      <c r="F958" s="524" t="s">
        <v>1183</v>
      </c>
      <c r="G958" s="524" t="s">
        <v>806</v>
      </c>
      <c r="H958" s="527">
        <v>10000</v>
      </c>
      <c r="I958" s="524" t="s">
        <v>1148</v>
      </c>
      <c r="J958" s="524">
        <f>IF(cmf[[#This Row],[D/C]]="C",cmf[[#This Row],[Valor]],-1*cmf[[#This Row],[Valor]])</f>
        <v>10000</v>
      </c>
      <c r="L958" s="524" t="s">
        <v>1230</v>
      </c>
      <c r="M958" s="524" t="s">
        <v>1231</v>
      </c>
      <c r="N958" s="524" t="s">
        <v>1283</v>
      </c>
      <c r="O958" s="524" t="s">
        <v>1284</v>
      </c>
      <c r="P958" s="526">
        <v>46216</v>
      </c>
      <c r="S958" s="527">
        <v>0</v>
      </c>
    </row>
    <row r="959" spans="1:19" x14ac:dyDescent="0.2">
      <c r="A959" s="524">
        <v>70774</v>
      </c>
      <c r="B959" s="526">
        <v>46216</v>
      </c>
      <c r="C959" s="524" t="s">
        <v>1148</v>
      </c>
      <c r="D959" s="524" t="s">
        <v>1239</v>
      </c>
      <c r="E959" s="524" t="s">
        <v>1258</v>
      </c>
      <c r="F959" s="524" t="s">
        <v>1170</v>
      </c>
      <c r="G959" s="524" t="s">
        <v>1102</v>
      </c>
      <c r="H959" s="527">
        <v>6.3</v>
      </c>
      <c r="I959" s="524" t="s">
        <v>1174</v>
      </c>
      <c r="J959" s="524">
        <f>IF(cmf[[#This Row],[D/C]]="C",cmf[[#This Row],[Valor]],-1*cmf[[#This Row],[Valor]])</f>
        <v>-6.3</v>
      </c>
      <c r="L959" s="524" t="s">
        <v>1241</v>
      </c>
      <c r="M959" s="524" t="s">
        <v>1242</v>
      </c>
      <c r="N959" s="524" t="s">
        <v>1192</v>
      </c>
      <c r="O959" s="524" t="s">
        <v>1193</v>
      </c>
      <c r="P959" s="526">
        <v>46216</v>
      </c>
      <c r="S959" s="527">
        <v>0</v>
      </c>
    </row>
    <row r="960" spans="1:19" x14ac:dyDescent="0.2">
      <c r="A960" s="524">
        <v>70775</v>
      </c>
      <c r="B960" s="526">
        <v>46216</v>
      </c>
      <c r="C960" s="524" t="s">
        <v>1148</v>
      </c>
      <c r="D960" s="524" t="s">
        <v>1239</v>
      </c>
      <c r="E960" s="524" t="s">
        <v>1258</v>
      </c>
      <c r="F960" s="524" t="s">
        <v>1170</v>
      </c>
      <c r="G960" s="524" t="s">
        <v>1102</v>
      </c>
      <c r="H960" s="527">
        <v>75.599999999999994</v>
      </c>
      <c r="I960" s="524" t="s">
        <v>1174</v>
      </c>
      <c r="J960" s="524">
        <f>IF(cmf[[#This Row],[D/C]]="C",cmf[[#This Row],[Valor]],-1*cmf[[#This Row],[Valor]])</f>
        <v>-75.599999999999994</v>
      </c>
      <c r="L960" s="524" t="s">
        <v>1241</v>
      </c>
      <c r="M960" s="524" t="s">
        <v>1242</v>
      </c>
      <c r="N960" s="524" t="s">
        <v>1192</v>
      </c>
      <c r="O960" s="524" t="s">
        <v>1193</v>
      </c>
      <c r="P960" s="526">
        <v>46216</v>
      </c>
      <c r="S960" s="527">
        <v>0</v>
      </c>
    </row>
    <row r="961" spans="1:19" x14ac:dyDescent="0.2">
      <c r="A961" s="524">
        <v>70776</v>
      </c>
      <c r="B961" s="526">
        <v>46216</v>
      </c>
      <c r="C961" s="524" t="s">
        <v>1148</v>
      </c>
      <c r="D961" s="524" t="s">
        <v>1239</v>
      </c>
      <c r="E961" s="524" t="s">
        <v>1258</v>
      </c>
      <c r="F961" s="524" t="s">
        <v>1170</v>
      </c>
      <c r="G961" s="524" t="s">
        <v>1102</v>
      </c>
      <c r="H961" s="527">
        <v>1.2</v>
      </c>
      <c r="I961" s="524" t="s">
        <v>1174</v>
      </c>
      <c r="J961" s="524">
        <f>IF(cmf[[#This Row],[D/C]]="C",cmf[[#This Row],[Valor]],-1*cmf[[#This Row],[Valor]])</f>
        <v>-1.2</v>
      </c>
      <c r="L961" s="524" t="s">
        <v>1241</v>
      </c>
      <c r="M961" s="524" t="s">
        <v>1242</v>
      </c>
      <c r="N961" s="524" t="s">
        <v>1192</v>
      </c>
      <c r="O961" s="524" t="s">
        <v>1193</v>
      </c>
      <c r="P961" s="526">
        <v>46216</v>
      </c>
      <c r="S961" s="527">
        <v>0</v>
      </c>
    </row>
    <row r="962" spans="1:19" x14ac:dyDescent="0.2">
      <c r="A962" s="524">
        <v>71086</v>
      </c>
      <c r="B962" s="526">
        <v>46216</v>
      </c>
      <c r="C962" s="524" t="s">
        <v>1148</v>
      </c>
      <c r="D962" s="524" t="s">
        <v>1226</v>
      </c>
      <c r="E962" s="524" t="s">
        <v>1826</v>
      </c>
      <c r="F962" s="524" t="s">
        <v>1170</v>
      </c>
      <c r="G962" s="524" t="s">
        <v>1102</v>
      </c>
      <c r="H962" s="527">
        <v>1835.13</v>
      </c>
      <c r="I962" s="524" t="s">
        <v>1148</v>
      </c>
      <c r="J962" s="524">
        <f>IF(cmf[[#This Row],[D/C]]="C",cmf[[#This Row],[Valor]],-1*cmf[[#This Row],[Valor]])</f>
        <v>1835.13</v>
      </c>
      <c r="L962" s="524" t="s">
        <v>1230</v>
      </c>
      <c r="M962" s="524" t="s">
        <v>1231</v>
      </c>
      <c r="N962" s="524" t="s">
        <v>1192</v>
      </c>
      <c r="O962" s="524" t="s">
        <v>1193</v>
      </c>
      <c r="P962" s="526">
        <v>46216</v>
      </c>
      <c r="S962" s="527">
        <v>0</v>
      </c>
    </row>
    <row r="963" spans="1:19" x14ac:dyDescent="0.2">
      <c r="A963" s="524">
        <v>71088</v>
      </c>
      <c r="B963" s="526">
        <v>46216</v>
      </c>
      <c r="C963" s="524" t="s">
        <v>1148</v>
      </c>
      <c r="D963" s="524" t="s">
        <v>1226</v>
      </c>
      <c r="E963" s="524" t="s">
        <v>1827</v>
      </c>
      <c r="F963" s="524" t="s">
        <v>1170</v>
      </c>
      <c r="G963" s="524" t="s">
        <v>1102</v>
      </c>
      <c r="H963" s="527">
        <v>1335.52</v>
      </c>
      <c r="I963" s="524" t="s">
        <v>1148</v>
      </c>
      <c r="J963" s="524">
        <f>IF(cmf[[#This Row],[D/C]]="C",cmf[[#This Row],[Valor]],-1*cmf[[#This Row],[Valor]])</f>
        <v>1335.52</v>
      </c>
      <c r="L963" s="524" t="s">
        <v>1230</v>
      </c>
      <c r="M963" s="524" t="s">
        <v>1231</v>
      </c>
      <c r="N963" s="524" t="s">
        <v>1192</v>
      </c>
      <c r="O963" s="524" t="s">
        <v>1193</v>
      </c>
      <c r="P963" s="526">
        <v>46216</v>
      </c>
      <c r="S963" s="527">
        <v>0</v>
      </c>
    </row>
    <row r="964" spans="1:19" x14ac:dyDescent="0.2">
      <c r="A964" s="524">
        <v>71236</v>
      </c>
      <c r="B964" s="526">
        <v>46216</v>
      </c>
      <c r="C964" s="524" t="s">
        <v>1148</v>
      </c>
      <c r="D964" s="524" t="s">
        <v>1239</v>
      </c>
      <c r="E964" s="524" t="s">
        <v>1828</v>
      </c>
      <c r="F964" s="524" t="s">
        <v>1170</v>
      </c>
      <c r="G964" s="524" t="s">
        <v>749</v>
      </c>
      <c r="H964" s="527">
        <v>12.6</v>
      </c>
      <c r="I964" s="524" t="s">
        <v>1174</v>
      </c>
      <c r="J964" s="524">
        <f>IF(cmf[[#This Row],[D/C]]="C",cmf[[#This Row],[Valor]],-1*cmf[[#This Row],[Valor]])</f>
        <v>-12.6</v>
      </c>
      <c r="L964" s="524" t="s">
        <v>1264</v>
      </c>
      <c r="M964" s="524" t="s">
        <v>1265</v>
      </c>
      <c r="N964" s="524" t="s">
        <v>1256</v>
      </c>
      <c r="O964" s="524" t="s">
        <v>1257</v>
      </c>
      <c r="P964" s="526">
        <v>46216</v>
      </c>
      <c r="S964" s="527">
        <v>0</v>
      </c>
    </row>
    <row r="965" spans="1:19" x14ac:dyDescent="0.2">
      <c r="A965" s="524">
        <v>71238</v>
      </c>
      <c r="B965" s="526">
        <v>46216</v>
      </c>
      <c r="C965" s="524" t="s">
        <v>1148</v>
      </c>
      <c r="D965" s="524" t="s">
        <v>1239</v>
      </c>
      <c r="E965" s="524" t="s">
        <v>1312</v>
      </c>
      <c r="F965" s="524" t="s">
        <v>1170</v>
      </c>
      <c r="G965" s="524" t="s">
        <v>749</v>
      </c>
      <c r="H965" s="527">
        <v>50</v>
      </c>
      <c r="I965" s="524" t="s">
        <v>1174</v>
      </c>
      <c r="J965" s="524">
        <f>IF(cmf[[#This Row],[D/C]]="C",cmf[[#This Row],[Valor]],-1*cmf[[#This Row],[Valor]])</f>
        <v>-50</v>
      </c>
      <c r="L965" s="524" t="s">
        <v>1264</v>
      </c>
      <c r="M965" s="524" t="s">
        <v>1265</v>
      </c>
      <c r="N965" s="524" t="s">
        <v>1256</v>
      </c>
      <c r="O965" s="524" t="s">
        <v>1257</v>
      </c>
      <c r="P965" s="526">
        <v>46216</v>
      </c>
      <c r="S965" s="527">
        <v>0</v>
      </c>
    </row>
    <row r="966" spans="1:19" x14ac:dyDescent="0.2">
      <c r="A966" s="524">
        <v>71262</v>
      </c>
      <c r="B966" s="526">
        <v>46216</v>
      </c>
      <c r="C966" s="524" t="s">
        <v>1148</v>
      </c>
      <c r="D966" s="524" t="s">
        <v>1226</v>
      </c>
      <c r="E966" s="524" t="s">
        <v>1829</v>
      </c>
      <c r="F966" s="524" t="s">
        <v>1170</v>
      </c>
      <c r="G966" s="524" t="s">
        <v>749</v>
      </c>
      <c r="H966" s="527">
        <v>48590.39</v>
      </c>
      <c r="I966" s="524" t="s">
        <v>1148</v>
      </c>
      <c r="J966" s="524">
        <f>IF(cmf[[#This Row],[D/C]]="C",cmf[[#This Row],[Valor]],-1*cmf[[#This Row],[Valor]])</f>
        <v>48590.39</v>
      </c>
      <c r="L966" s="524" t="s">
        <v>1230</v>
      </c>
      <c r="M966" s="524" t="s">
        <v>1231</v>
      </c>
      <c r="N966" s="524" t="s">
        <v>1256</v>
      </c>
      <c r="O966" s="524" t="s">
        <v>1257</v>
      </c>
      <c r="P966" s="526">
        <v>46216</v>
      </c>
      <c r="S966" s="527">
        <v>0</v>
      </c>
    </row>
    <row r="967" spans="1:19" x14ac:dyDescent="0.2">
      <c r="A967" s="524">
        <v>71533</v>
      </c>
      <c r="B967" s="526">
        <v>46216</v>
      </c>
      <c r="C967" s="524" t="s">
        <v>1148</v>
      </c>
      <c r="D967" s="524" t="s">
        <v>1239</v>
      </c>
      <c r="E967" s="524" t="s">
        <v>1312</v>
      </c>
      <c r="F967" s="524" t="s">
        <v>1170</v>
      </c>
      <c r="G967" s="524" t="s">
        <v>740</v>
      </c>
      <c r="H967" s="527">
        <v>20</v>
      </c>
      <c r="I967" s="524" t="s">
        <v>1174</v>
      </c>
      <c r="J967" s="524">
        <f>IF(cmf[[#This Row],[D/C]]="C",cmf[[#This Row],[Valor]],-1*cmf[[#This Row],[Valor]])</f>
        <v>-20</v>
      </c>
      <c r="L967" s="524" t="s">
        <v>1241</v>
      </c>
      <c r="M967" s="524" t="s">
        <v>1242</v>
      </c>
      <c r="N967" s="524" t="s">
        <v>1215</v>
      </c>
      <c r="O967" s="524" t="s">
        <v>1218</v>
      </c>
      <c r="P967" s="526">
        <v>46216</v>
      </c>
      <c r="S967" s="527">
        <v>0</v>
      </c>
    </row>
    <row r="968" spans="1:19" x14ac:dyDescent="0.2">
      <c r="A968" s="524">
        <v>71711</v>
      </c>
      <c r="B968" s="526">
        <v>46216</v>
      </c>
      <c r="C968" s="524" t="s">
        <v>1148</v>
      </c>
      <c r="D968" s="524" t="s">
        <v>1243</v>
      </c>
      <c r="E968" s="524" t="s">
        <v>1244</v>
      </c>
      <c r="F968" s="524" t="s">
        <v>1183</v>
      </c>
      <c r="G968" s="524" t="s">
        <v>742</v>
      </c>
      <c r="H968" s="527">
        <v>483.83</v>
      </c>
      <c r="I968" s="524" t="s">
        <v>1148</v>
      </c>
      <c r="J968" s="524">
        <f>IF(cmf[[#This Row],[D/C]]="C",cmf[[#This Row],[Valor]],-1*cmf[[#This Row],[Valor]])</f>
        <v>483.83</v>
      </c>
      <c r="L968" s="524" t="s">
        <v>1245</v>
      </c>
      <c r="M968" s="524" t="s">
        <v>1246</v>
      </c>
      <c r="N968" s="524" t="s">
        <v>1215</v>
      </c>
      <c r="O968" s="524" t="s">
        <v>1267</v>
      </c>
      <c r="P968" s="526">
        <v>46216</v>
      </c>
      <c r="S968" s="527">
        <v>0</v>
      </c>
    </row>
    <row r="969" spans="1:19" x14ac:dyDescent="0.2">
      <c r="A969" s="524">
        <v>71712</v>
      </c>
      <c r="B969" s="526">
        <v>46216</v>
      </c>
      <c r="C969" s="524" t="s">
        <v>1148</v>
      </c>
      <c r="D969" s="524" t="s">
        <v>1243</v>
      </c>
      <c r="E969" s="524" t="s">
        <v>1244</v>
      </c>
      <c r="F969" s="524" t="s">
        <v>1183</v>
      </c>
      <c r="G969" s="524" t="s">
        <v>742</v>
      </c>
      <c r="H969" s="527">
        <v>0.01</v>
      </c>
      <c r="I969" s="524" t="s">
        <v>1148</v>
      </c>
      <c r="J969" s="524">
        <f>IF(cmf[[#This Row],[D/C]]="C",cmf[[#This Row],[Valor]],-1*cmf[[#This Row],[Valor]])</f>
        <v>0.01</v>
      </c>
      <c r="L969" s="524" t="s">
        <v>1245</v>
      </c>
      <c r="M969" s="524" t="s">
        <v>1246</v>
      </c>
      <c r="N969" s="524" t="s">
        <v>1215</v>
      </c>
      <c r="O969" s="524" t="s">
        <v>1267</v>
      </c>
      <c r="P969" s="526">
        <v>46216</v>
      </c>
      <c r="S969" s="527">
        <v>0</v>
      </c>
    </row>
    <row r="970" spans="1:19" x14ac:dyDescent="0.2">
      <c r="A970" s="524">
        <v>72506</v>
      </c>
      <c r="B970" s="526">
        <v>46216</v>
      </c>
      <c r="C970" s="524" t="s">
        <v>1148</v>
      </c>
      <c r="D970" s="524" t="s">
        <v>1239</v>
      </c>
      <c r="E970" s="524" t="s">
        <v>1830</v>
      </c>
      <c r="F970" s="524" t="s">
        <v>943</v>
      </c>
      <c r="G970" s="524" t="s">
        <v>743</v>
      </c>
      <c r="H970" s="527">
        <v>2453.5</v>
      </c>
      <c r="I970" s="524" t="s">
        <v>1174</v>
      </c>
      <c r="J970" s="524">
        <f>IF(cmf[[#This Row],[D/C]]="C",cmf[[#This Row],[Valor]],-1*cmf[[#This Row],[Valor]])</f>
        <v>-2453.5</v>
      </c>
      <c r="L970" s="524" t="s">
        <v>1264</v>
      </c>
      <c r="M970" s="524" t="s">
        <v>1265</v>
      </c>
      <c r="N970" s="524" t="s">
        <v>1215</v>
      </c>
      <c r="O970" s="524" t="s">
        <v>1218</v>
      </c>
      <c r="P970" s="526">
        <v>46216</v>
      </c>
      <c r="S970" s="527">
        <v>0</v>
      </c>
    </row>
    <row r="971" spans="1:19" x14ac:dyDescent="0.2">
      <c r="A971" s="524">
        <v>72507</v>
      </c>
      <c r="B971" s="526">
        <v>46216</v>
      </c>
      <c r="C971" s="524" t="s">
        <v>1148</v>
      </c>
      <c r="D971" s="524" t="s">
        <v>1239</v>
      </c>
      <c r="E971" s="524" t="s">
        <v>1831</v>
      </c>
      <c r="F971" s="524" t="s">
        <v>943</v>
      </c>
      <c r="G971" s="524" t="s">
        <v>743</v>
      </c>
      <c r="H971" s="527">
        <v>3500</v>
      </c>
      <c r="I971" s="524" t="s">
        <v>1174</v>
      </c>
      <c r="J971" s="524">
        <f>IF(cmf[[#This Row],[D/C]]="C",cmf[[#This Row],[Valor]],-1*cmf[[#This Row],[Valor]])</f>
        <v>-3500</v>
      </c>
      <c r="L971" s="524" t="s">
        <v>1264</v>
      </c>
      <c r="M971" s="524" t="s">
        <v>1265</v>
      </c>
      <c r="N971" s="524" t="s">
        <v>1215</v>
      </c>
      <c r="O971" s="524" t="s">
        <v>1218</v>
      </c>
      <c r="P971" s="526">
        <v>46216</v>
      </c>
      <c r="S971" s="527">
        <v>0</v>
      </c>
    </row>
    <row r="972" spans="1:19" x14ac:dyDescent="0.2">
      <c r="A972" s="524">
        <v>72508</v>
      </c>
      <c r="B972" s="526">
        <v>46216</v>
      </c>
      <c r="C972" s="524" t="s">
        <v>1148</v>
      </c>
      <c r="D972" s="524" t="s">
        <v>1239</v>
      </c>
      <c r="E972" s="524" t="s">
        <v>1832</v>
      </c>
      <c r="F972" s="524" t="s">
        <v>943</v>
      </c>
      <c r="G972" s="524" t="s">
        <v>743</v>
      </c>
      <c r="H972" s="527">
        <v>19.8</v>
      </c>
      <c r="I972" s="524" t="s">
        <v>1174</v>
      </c>
      <c r="J972" s="524">
        <f>IF(cmf[[#This Row],[D/C]]="C",cmf[[#This Row],[Valor]],-1*cmf[[#This Row],[Valor]])</f>
        <v>-19.8</v>
      </c>
      <c r="L972" s="524" t="s">
        <v>1241</v>
      </c>
      <c r="M972" s="524" t="s">
        <v>1242</v>
      </c>
      <c r="N972" s="524" t="s">
        <v>1215</v>
      </c>
      <c r="O972" s="524" t="s">
        <v>1218</v>
      </c>
      <c r="P972" s="526">
        <v>46216</v>
      </c>
      <c r="S972" s="527">
        <v>0</v>
      </c>
    </row>
    <row r="973" spans="1:19" x14ac:dyDescent="0.2">
      <c r="A973" s="524">
        <v>72517</v>
      </c>
      <c r="B973" s="526">
        <v>46216</v>
      </c>
      <c r="C973" s="524" t="s">
        <v>1148</v>
      </c>
      <c r="D973" s="524" t="s">
        <v>1239</v>
      </c>
      <c r="E973" s="524" t="s">
        <v>1833</v>
      </c>
      <c r="F973" s="524" t="s">
        <v>1170</v>
      </c>
      <c r="G973" s="524" t="s">
        <v>799</v>
      </c>
      <c r="H973" s="527">
        <v>68844.36</v>
      </c>
      <c r="I973" s="524" t="s">
        <v>1148</v>
      </c>
      <c r="J973" s="524">
        <f>IF(cmf[[#This Row],[D/C]]="C",cmf[[#This Row],[Valor]],-1*cmf[[#This Row],[Valor]])</f>
        <v>68844.36</v>
      </c>
      <c r="L973" s="524" t="s">
        <v>1264</v>
      </c>
      <c r="M973" s="524" t="s">
        <v>1265</v>
      </c>
      <c r="N973" s="524" t="s">
        <v>1171</v>
      </c>
      <c r="O973" s="524" t="s">
        <v>1172</v>
      </c>
      <c r="P973" s="526">
        <v>46216</v>
      </c>
      <c r="S973" s="527">
        <v>0</v>
      </c>
    </row>
    <row r="974" spans="1:19" x14ac:dyDescent="0.2">
      <c r="A974" s="524">
        <v>72530</v>
      </c>
      <c r="B974" s="526">
        <v>46216</v>
      </c>
      <c r="C974" s="524" t="s">
        <v>1162</v>
      </c>
      <c r="D974" s="524" t="s">
        <v>1235</v>
      </c>
      <c r="E974" s="524" t="s">
        <v>1834</v>
      </c>
      <c r="F974" s="524" t="s">
        <v>1170</v>
      </c>
      <c r="G974" s="524" t="s">
        <v>799</v>
      </c>
      <c r="H974" s="527">
        <v>68844.36</v>
      </c>
      <c r="I974" s="524" t="s">
        <v>1148</v>
      </c>
      <c r="J974" s="524">
        <f>IF(cmf[[#This Row],[D/C]]="C",cmf[[#This Row],[Valor]],-1*cmf[[#This Row],[Valor]])</f>
        <v>68844.36</v>
      </c>
      <c r="L974" s="524" t="s">
        <v>1237</v>
      </c>
      <c r="M974" s="524" t="s">
        <v>1238</v>
      </c>
      <c r="N974" s="524" t="s">
        <v>1171</v>
      </c>
      <c r="O974" s="524" t="s">
        <v>1172</v>
      </c>
      <c r="P974" s="526"/>
      <c r="S974" s="527">
        <v>0</v>
      </c>
    </row>
    <row r="975" spans="1:19" x14ac:dyDescent="0.2">
      <c r="A975" s="524">
        <v>69074</v>
      </c>
      <c r="B975" s="526">
        <v>46217</v>
      </c>
      <c r="C975" s="524" t="s">
        <v>1148</v>
      </c>
      <c r="D975" s="524" t="s">
        <v>1163</v>
      </c>
      <c r="E975" s="524" t="s">
        <v>1164</v>
      </c>
      <c r="F975" s="524" t="s">
        <v>1170</v>
      </c>
      <c r="G975" s="524" t="s">
        <v>798</v>
      </c>
      <c r="H975" s="527">
        <v>404.05</v>
      </c>
      <c r="I975" s="524" t="s">
        <v>1148</v>
      </c>
      <c r="J975" s="524">
        <f>IF(cmf[[#This Row],[D/C]]="C",cmf[[#This Row],[Valor]],-1*cmf[[#This Row],[Valor]])</f>
        <v>404.05</v>
      </c>
      <c r="L975" s="524" t="s">
        <v>1166</v>
      </c>
      <c r="M975" s="524" t="s">
        <v>1167</v>
      </c>
      <c r="N975" s="524" t="s">
        <v>1171</v>
      </c>
      <c r="O975" s="524" t="s">
        <v>1172</v>
      </c>
      <c r="P975" s="526">
        <v>46217</v>
      </c>
      <c r="S975" s="527">
        <v>0</v>
      </c>
    </row>
    <row r="976" spans="1:19" x14ac:dyDescent="0.2">
      <c r="A976" s="524">
        <v>69075</v>
      </c>
      <c r="B976" s="526">
        <v>46217</v>
      </c>
      <c r="C976" s="524" t="s">
        <v>1148</v>
      </c>
      <c r="D976" s="524" t="s">
        <v>1163</v>
      </c>
      <c r="E976" s="524" t="s">
        <v>1173</v>
      </c>
      <c r="F976" s="524" t="s">
        <v>1170</v>
      </c>
      <c r="G976" s="524" t="s">
        <v>798</v>
      </c>
      <c r="H976" s="527">
        <v>6.3</v>
      </c>
      <c r="I976" s="524" t="s">
        <v>1174</v>
      </c>
      <c r="J976" s="524">
        <f>IF(cmf[[#This Row],[D/C]]="C",cmf[[#This Row],[Valor]],-1*cmf[[#This Row],[Valor]])</f>
        <v>-6.3</v>
      </c>
      <c r="L976" s="524" t="s">
        <v>1175</v>
      </c>
      <c r="M976" s="524" t="s">
        <v>1176</v>
      </c>
      <c r="N976" s="524" t="s">
        <v>1171</v>
      </c>
      <c r="O976" s="524" t="s">
        <v>1172</v>
      </c>
      <c r="P976" s="526">
        <v>46217</v>
      </c>
      <c r="S976" s="527">
        <v>0</v>
      </c>
    </row>
    <row r="977" spans="1:19" x14ac:dyDescent="0.2">
      <c r="A977" s="524">
        <v>69084</v>
      </c>
      <c r="B977" s="526">
        <v>46217</v>
      </c>
      <c r="C977" s="524" t="s">
        <v>1162</v>
      </c>
      <c r="D977" s="524" t="s">
        <v>1163</v>
      </c>
      <c r="E977" s="524" t="s">
        <v>1164</v>
      </c>
      <c r="F977" s="524" t="s">
        <v>1165</v>
      </c>
      <c r="G977" s="524" t="s">
        <v>756</v>
      </c>
      <c r="H977" s="527">
        <v>65714.14</v>
      </c>
      <c r="I977" s="524" t="s">
        <v>1148</v>
      </c>
      <c r="J977" s="524">
        <f>IF(cmf[[#This Row],[D/C]]="C",cmf[[#This Row],[Valor]],-1*cmf[[#This Row],[Valor]])</f>
        <v>65714.14</v>
      </c>
      <c r="L977" s="524" t="s">
        <v>1166</v>
      </c>
      <c r="M977" s="524" t="s">
        <v>1167</v>
      </c>
      <c r="N977" s="524" t="s">
        <v>1168</v>
      </c>
      <c r="O977" s="524" t="s">
        <v>1169</v>
      </c>
      <c r="P977" s="526"/>
      <c r="S977" s="527">
        <v>0</v>
      </c>
    </row>
    <row r="978" spans="1:19" x14ac:dyDescent="0.2">
      <c r="A978" s="524">
        <v>69301</v>
      </c>
      <c r="B978" s="526">
        <v>46217</v>
      </c>
      <c r="C978" s="524" t="s">
        <v>1162</v>
      </c>
      <c r="D978" s="524" t="s">
        <v>1163</v>
      </c>
      <c r="E978" s="524" t="s">
        <v>1164</v>
      </c>
      <c r="F978" s="524" t="s">
        <v>1183</v>
      </c>
      <c r="G978" s="524" t="s">
        <v>1276</v>
      </c>
      <c r="H978" s="527">
        <v>317.64999999999998</v>
      </c>
      <c r="I978" s="524" t="s">
        <v>1148</v>
      </c>
      <c r="J978" s="524">
        <f>IF(cmf[[#This Row],[D/C]]="C",cmf[[#This Row],[Valor]],-1*cmf[[#This Row],[Valor]])</f>
        <v>317.64999999999998</v>
      </c>
      <c r="L978" s="524" t="s">
        <v>1166</v>
      </c>
      <c r="M978" s="524" t="s">
        <v>1167</v>
      </c>
      <c r="N978" s="524" t="s">
        <v>1184</v>
      </c>
      <c r="O978" s="524" t="s">
        <v>1201</v>
      </c>
      <c r="P978" s="526"/>
      <c r="S978" s="527">
        <v>0</v>
      </c>
    </row>
    <row r="979" spans="1:19" x14ac:dyDescent="0.2">
      <c r="A979" s="524">
        <v>69302</v>
      </c>
      <c r="B979" s="526">
        <v>46217</v>
      </c>
      <c r="C979" s="524" t="s">
        <v>1162</v>
      </c>
      <c r="D979" s="524" t="s">
        <v>1163</v>
      </c>
      <c r="E979" s="524" t="s">
        <v>1173</v>
      </c>
      <c r="F979" s="524" t="s">
        <v>1183</v>
      </c>
      <c r="G979" s="524" t="s">
        <v>1276</v>
      </c>
      <c r="H979" s="527">
        <v>2.2999999999999998</v>
      </c>
      <c r="I979" s="524" t="s">
        <v>1174</v>
      </c>
      <c r="J979" s="524">
        <f>IF(cmf[[#This Row],[D/C]]="C",cmf[[#This Row],[Valor]],-1*cmf[[#This Row],[Valor]])</f>
        <v>-2.2999999999999998</v>
      </c>
      <c r="L979" s="524" t="s">
        <v>1175</v>
      </c>
      <c r="M979" s="524" t="s">
        <v>1176</v>
      </c>
      <c r="N979" s="524" t="s">
        <v>1184</v>
      </c>
      <c r="O979" s="524" t="s">
        <v>1201</v>
      </c>
      <c r="P979" s="526"/>
      <c r="S979" s="527">
        <v>0</v>
      </c>
    </row>
    <row r="980" spans="1:19" x14ac:dyDescent="0.2">
      <c r="A980" s="524">
        <v>69305</v>
      </c>
      <c r="B980" s="526">
        <v>46217</v>
      </c>
      <c r="C980" s="524" t="s">
        <v>1162</v>
      </c>
      <c r="D980" s="524" t="s">
        <v>1163</v>
      </c>
      <c r="E980" s="524" t="s">
        <v>1164</v>
      </c>
      <c r="F980" s="524" t="s">
        <v>1183</v>
      </c>
      <c r="G980" s="524" t="s">
        <v>796</v>
      </c>
      <c r="H980" s="527">
        <v>4385.22</v>
      </c>
      <c r="I980" s="524" t="s">
        <v>1148</v>
      </c>
      <c r="J980" s="524">
        <f>IF(cmf[[#This Row],[D/C]]="C",cmf[[#This Row],[Valor]],-1*cmf[[#This Row],[Valor]])</f>
        <v>4385.22</v>
      </c>
      <c r="L980" s="524" t="s">
        <v>1166</v>
      </c>
      <c r="M980" s="524" t="s">
        <v>1167</v>
      </c>
      <c r="N980" s="524" t="s">
        <v>1184</v>
      </c>
      <c r="O980" s="524" t="s">
        <v>1172</v>
      </c>
      <c r="P980" s="526"/>
      <c r="S980" s="527">
        <v>0</v>
      </c>
    </row>
    <row r="981" spans="1:19" x14ac:dyDescent="0.2">
      <c r="A981" s="524">
        <v>69306</v>
      </c>
      <c r="B981" s="526">
        <v>46217</v>
      </c>
      <c r="C981" s="524" t="s">
        <v>1162</v>
      </c>
      <c r="D981" s="524" t="s">
        <v>1163</v>
      </c>
      <c r="E981" s="524" t="s">
        <v>1173</v>
      </c>
      <c r="F981" s="524" t="s">
        <v>1183</v>
      </c>
      <c r="G981" s="524" t="s">
        <v>796</v>
      </c>
      <c r="H981" s="527">
        <v>6.9</v>
      </c>
      <c r="I981" s="524" t="s">
        <v>1174</v>
      </c>
      <c r="J981" s="524">
        <f>IF(cmf[[#This Row],[D/C]]="C",cmf[[#This Row],[Valor]],-1*cmf[[#This Row],[Valor]])</f>
        <v>-6.9</v>
      </c>
      <c r="L981" s="524" t="s">
        <v>1175</v>
      </c>
      <c r="M981" s="524" t="s">
        <v>1176</v>
      </c>
      <c r="N981" s="524" t="s">
        <v>1184</v>
      </c>
      <c r="O981" s="524" t="s">
        <v>1172</v>
      </c>
      <c r="P981" s="526"/>
      <c r="S981" s="527">
        <v>0</v>
      </c>
    </row>
    <row r="982" spans="1:19" x14ac:dyDescent="0.2">
      <c r="A982" s="524">
        <v>69308</v>
      </c>
      <c r="B982" s="526">
        <v>46217</v>
      </c>
      <c r="C982" s="524" t="s">
        <v>1148</v>
      </c>
      <c r="D982" s="524" t="s">
        <v>1163</v>
      </c>
      <c r="E982" s="524" t="s">
        <v>1164</v>
      </c>
      <c r="F982" s="524" t="s">
        <v>1170</v>
      </c>
      <c r="G982" s="524" t="s">
        <v>768</v>
      </c>
      <c r="H982" s="527">
        <v>266.97000000000003</v>
      </c>
      <c r="I982" s="524" t="s">
        <v>1148</v>
      </c>
      <c r="J982" s="524">
        <f>IF(cmf[[#This Row],[D/C]]="C",cmf[[#This Row],[Valor]],-1*cmf[[#This Row],[Valor]])</f>
        <v>266.97000000000003</v>
      </c>
      <c r="L982" s="524" t="s">
        <v>1166</v>
      </c>
      <c r="M982" s="524" t="s">
        <v>1167</v>
      </c>
      <c r="N982" s="524" t="s">
        <v>1219</v>
      </c>
      <c r="O982" s="524" t="s">
        <v>1220</v>
      </c>
      <c r="P982" s="526">
        <v>46217</v>
      </c>
      <c r="S982" s="527">
        <v>0</v>
      </c>
    </row>
    <row r="983" spans="1:19" x14ac:dyDescent="0.2">
      <c r="A983" s="524">
        <v>69309</v>
      </c>
      <c r="B983" s="526">
        <v>46217</v>
      </c>
      <c r="C983" s="524" t="s">
        <v>1148</v>
      </c>
      <c r="D983" s="524" t="s">
        <v>1163</v>
      </c>
      <c r="E983" s="524" t="s">
        <v>1173</v>
      </c>
      <c r="F983" s="524" t="s">
        <v>1170</v>
      </c>
      <c r="G983" s="524" t="s">
        <v>768</v>
      </c>
      <c r="H983" s="527">
        <v>6.3</v>
      </c>
      <c r="I983" s="524" t="s">
        <v>1174</v>
      </c>
      <c r="J983" s="524">
        <f>IF(cmf[[#This Row],[D/C]]="C",cmf[[#This Row],[Valor]],-1*cmf[[#This Row],[Valor]])</f>
        <v>-6.3</v>
      </c>
      <c r="L983" s="524" t="s">
        <v>1175</v>
      </c>
      <c r="M983" s="524" t="s">
        <v>1176</v>
      </c>
      <c r="N983" s="524" t="s">
        <v>1219</v>
      </c>
      <c r="O983" s="524" t="s">
        <v>1220</v>
      </c>
      <c r="P983" s="526">
        <v>46217</v>
      </c>
      <c r="S983" s="527">
        <v>0</v>
      </c>
    </row>
    <row r="984" spans="1:19" x14ac:dyDescent="0.2">
      <c r="A984" s="524">
        <v>69310</v>
      </c>
      <c r="B984" s="526">
        <v>46217</v>
      </c>
      <c r="C984" s="524" t="s">
        <v>1162</v>
      </c>
      <c r="D984" s="524" t="s">
        <v>1163</v>
      </c>
      <c r="E984" s="524" t="s">
        <v>1164</v>
      </c>
      <c r="F984" s="524" t="s">
        <v>1111</v>
      </c>
      <c r="G984" s="524" t="s">
        <v>1110</v>
      </c>
      <c r="H984" s="527">
        <v>3241.6</v>
      </c>
      <c r="I984" s="524" t="s">
        <v>1148</v>
      </c>
      <c r="J984" s="524">
        <f>IF(cmf[[#This Row],[D/C]]="C",cmf[[#This Row],[Valor]],-1*cmf[[#This Row],[Valor]])</f>
        <v>3241.6</v>
      </c>
      <c r="L984" s="524" t="s">
        <v>1166</v>
      </c>
      <c r="M984" s="524" t="s">
        <v>1167</v>
      </c>
      <c r="N984" s="524" t="s">
        <v>1219</v>
      </c>
      <c r="O984" s="524" t="s">
        <v>1220</v>
      </c>
      <c r="P984" s="526"/>
      <c r="S984" s="527">
        <v>0</v>
      </c>
    </row>
    <row r="985" spans="1:19" x14ac:dyDescent="0.2">
      <c r="A985" s="524">
        <v>69386</v>
      </c>
      <c r="B985" s="526">
        <v>46217</v>
      </c>
      <c r="C985" s="524" t="s">
        <v>1162</v>
      </c>
      <c r="D985" s="524" t="s">
        <v>1186</v>
      </c>
      <c r="E985" s="524" t="s">
        <v>1835</v>
      </c>
      <c r="F985" s="524" t="s">
        <v>1170</v>
      </c>
      <c r="G985" s="524" t="s">
        <v>771</v>
      </c>
      <c r="H985" s="527">
        <v>1544.8</v>
      </c>
      <c r="I985" s="524" t="s">
        <v>1174</v>
      </c>
      <c r="J985" s="524">
        <f>IF(cmf[[#This Row],[D/C]]="C",cmf[[#This Row],[Valor]],-1*cmf[[#This Row],[Valor]])</f>
        <v>-1544.8</v>
      </c>
      <c r="L985" s="524" t="s">
        <v>1188</v>
      </c>
      <c r="M985" s="524" t="s">
        <v>1189</v>
      </c>
      <c r="N985" s="524" t="s">
        <v>1249</v>
      </c>
      <c r="O985" s="524" t="s">
        <v>1250</v>
      </c>
      <c r="P985" s="526"/>
      <c r="S985" s="527">
        <v>0</v>
      </c>
    </row>
    <row r="986" spans="1:19" x14ac:dyDescent="0.2">
      <c r="A986" s="524">
        <v>69430</v>
      </c>
      <c r="B986" s="526">
        <v>46217</v>
      </c>
      <c r="C986" s="524" t="s">
        <v>1148</v>
      </c>
      <c r="D986" s="524" t="s">
        <v>1186</v>
      </c>
      <c r="E986" s="524" t="s">
        <v>1836</v>
      </c>
      <c r="F986" s="524" t="s">
        <v>1178</v>
      </c>
      <c r="G986" s="524" t="s">
        <v>1179</v>
      </c>
      <c r="H986" s="527">
        <v>4897.2</v>
      </c>
      <c r="I986" s="524" t="s">
        <v>1174</v>
      </c>
      <c r="J986" s="524">
        <f>IF(cmf[[#This Row],[D/C]]="C",cmf[[#This Row],[Valor]],-1*cmf[[#This Row],[Valor]])</f>
        <v>-4897.2</v>
      </c>
      <c r="L986" s="524" t="s">
        <v>1188</v>
      </c>
      <c r="M986" s="524" t="s">
        <v>1189</v>
      </c>
      <c r="N986" s="524" t="s">
        <v>1180</v>
      </c>
      <c r="O986" s="524" t="s">
        <v>1181</v>
      </c>
      <c r="P986" s="526">
        <v>46217</v>
      </c>
      <c r="S986" s="527">
        <v>0</v>
      </c>
    </row>
    <row r="987" spans="1:19" x14ac:dyDescent="0.2">
      <c r="A987" s="524">
        <v>69431</v>
      </c>
      <c r="B987" s="526">
        <v>46217</v>
      </c>
      <c r="C987" s="524" t="s">
        <v>1148</v>
      </c>
      <c r="D987" s="524" t="s">
        <v>1186</v>
      </c>
      <c r="E987" s="524" t="s">
        <v>1837</v>
      </c>
      <c r="F987" s="524" t="s">
        <v>1178</v>
      </c>
      <c r="G987" s="524" t="s">
        <v>1179</v>
      </c>
      <c r="H987" s="527">
        <v>163.69999999999999</v>
      </c>
      <c r="I987" s="524" t="s">
        <v>1174</v>
      </c>
      <c r="J987" s="524">
        <f>IF(cmf[[#This Row],[D/C]]="C",cmf[[#This Row],[Valor]],-1*cmf[[#This Row],[Valor]])</f>
        <v>-163.69999999999999</v>
      </c>
      <c r="L987" s="524" t="s">
        <v>1188</v>
      </c>
      <c r="M987" s="524" t="s">
        <v>1189</v>
      </c>
      <c r="N987" s="524" t="s">
        <v>1180</v>
      </c>
      <c r="O987" s="524" t="s">
        <v>1181</v>
      </c>
      <c r="P987" s="526">
        <v>46217</v>
      </c>
      <c r="S987" s="527">
        <v>0</v>
      </c>
    </row>
    <row r="988" spans="1:19" x14ac:dyDescent="0.2">
      <c r="A988" s="524">
        <v>69432</v>
      </c>
      <c r="B988" s="526">
        <v>46217</v>
      </c>
      <c r="C988" s="524" t="s">
        <v>1148</v>
      </c>
      <c r="D988" s="524" t="s">
        <v>1186</v>
      </c>
      <c r="E988" s="524" t="s">
        <v>1838</v>
      </c>
      <c r="F988" s="524" t="s">
        <v>1178</v>
      </c>
      <c r="G988" s="524" t="s">
        <v>1179</v>
      </c>
      <c r="H988" s="527">
        <v>293.79000000000002</v>
      </c>
      <c r="I988" s="524" t="s">
        <v>1174</v>
      </c>
      <c r="J988" s="524">
        <f>IF(cmf[[#This Row],[D/C]]="C",cmf[[#This Row],[Valor]],-1*cmf[[#This Row],[Valor]])</f>
        <v>-293.79000000000002</v>
      </c>
      <c r="L988" s="524" t="s">
        <v>1188</v>
      </c>
      <c r="M988" s="524" t="s">
        <v>1189</v>
      </c>
      <c r="N988" s="524" t="s">
        <v>1180</v>
      </c>
      <c r="O988" s="524" t="s">
        <v>1181</v>
      </c>
      <c r="P988" s="526">
        <v>46217</v>
      </c>
      <c r="S988" s="527">
        <v>0</v>
      </c>
    </row>
    <row r="989" spans="1:19" x14ac:dyDescent="0.2">
      <c r="A989" s="524">
        <v>69433</v>
      </c>
      <c r="B989" s="526">
        <v>46217</v>
      </c>
      <c r="C989" s="524" t="s">
        <v>1148</v>
      </c>
      <c r="D989" s="524" t="s">
        <v>1186</v>
      </c>
      <c r="E989" s="524" t="s">
        <v>1839</v>
      </c>
      <c r="F989" s="524" t="s">
        <v>1178</v>
      </c>
      <c r="G989" s="524" t="s">
        <v>1179</v>
      </c>
      <c r="H989" s="527">
        <v>1013</v>
      </c>
      <c r="I989" s="524" t="s">
        <v>1174</v>
      </c>
      <c r="J989" s="524">
        <f>IF(cmf[[#This Row],[D/C]]="C",cmf[[#This Row],[Valor]],-1*cmf[[#This Row],[Valor]])</f>
        <v>-1013</v>
      </c>
      <c r="L989" s="524" t="s">
        <v>1188</v>
      </c>
      <c r="M989" s="524" t="s">
        <v>1189</v>
      </c>
      <c r="N989" s="524" t="s">
        <v>1180</v>
      </c>
      <c r="O989" s="524" t="s">
        <v>1181</v>
      </c>
      <c r="P989" s="526">
        <v>46217</v>
      </c>
      <c r="S989" s="527">
        <v>0</v>
      </c>
    </row>
    <row r="990" spans="1:19" x14ac:dyDescent="0.2">
      <c r="A990" s="524">
        <v>69434</v>
      </c>
      <c r="B990" s="526">
        <v>46217</v>
      </c>
      <c r="C990" s="524" t="s">
        <v>1148</v>
      </c>
      <c r="D990" s="524" t="s">
        <v>1186</v>
      </c>
      <c r="E990" s="524" t="s">
        <v>1840</v>
      </c>
      <c r="F990" s="524" t="s">
        <v>1178</v>
      </c>
      <c r="G990" s="524" t="s">
        <v>1179</v>
      </c>
      <c r="H990" s="527">
        <v>2193.46</v>
      </c>
      <c r="I990" s="524" t="s">
        <v>1174</v>
      </c>
      <c r="J990" s="524">
        <f>IF(cmf[[#This Row],[D/C]]="C",cmf[[#This Row],[Valor]],-1*cmf[[#This Row],[Valor]])</f>
        <v>-2193.46</v>
      </c>
      <c r="L990" s="524" t="s">
        <v>1188</v>
      </c>
      <c r="M990" s="524" t="s">
        <v>1189</v>
      </c>
      <c r="N990" s="524" t="s">
        <v>1180</v>
      </c>
      <c r="O990" s="524" t="s">
        <v>1181</v>
      </c>
      <c r="P990" s="526">
        <v>46217</v>
      </c>
      <c r="S990" s="527">
        <v>0</v>
      </c>
    </row>
    <row r="991" spans="1:19" x14ac:dyDescent="0.2">
      <c r="A991" s="524">
        <v>69437</v>
      </c>
      <c r="B991" s="526">
        <v>46217</v>
      </c>
      <c r="C991" s="524" t="s">
        <v>1148</v>
      </c>
      <c r="D991" s="524" t="s">
        <v>1186</v>
      </c>
      <c r="E991" s="524" t="s">
        <v>1841</v>
      </c>
      <c r="F991" s="524" t="s">
        <v>1183</v>
      </c>
      <c r="G991" s="524" t="s">
        <v>745</v>
      </c>
      <c r="H991" s="527">
        <v>2060.7199999999998</v>
      </c>
      <c r="I991" s="524" t="s">
        <v>1174</v>
      </c>
      <c r="J991" s="524">
        <f>IF(cmf[[#This Row],[D/C]]="C",cmf[[#This Row],[Valor]],-1*cmf[[#This Row],[Valor]])</f>
        <v>-2060.7199999999998</v>
      </c>
      <c r="L991" s="524" t="s">
        <v>1188</v>
      </c>
      <c r="M991" s="524" t="s">
        <v>1189</v>
      </c>
      <c r="N991" s="524" t="s">
        <v>1292</v>
      </c>
      <c r="O991" s="524" t="s">
        <v>1293</v>
      </c>
      <c r="P991" s="526">
        <v>46217</v>
      </c>
      <c r="S991" s="527">
        <v>0</v>
      </c>
    </row>
    <row r="992" spans="1:19" x14ac:dyDescent="0.2">
      <c r="A992" s="524">
        <v>69438</v>
      </c>
      <c r="B992" s="526">
        <v>46217</v>
      </c>
      <c r="C992" s="524" t="s">
        <v>1148</v>
      </c>
      <c r="D992" s="524" t="s">
        <v>1186</v>
      </c>
      <c r="E992" s="524" t="s">
        <v>1842</v>
      </c>
      <c r="F992" s="524" t="s">
        <v>1183</v>
      </c>
      <c r="G992" s="524" t="s">
        <v>745</v>
      </c>
      <c r="H992" s="527">
        <v>3930.45</v>
      </c>
      <c r="I992" s="524" t="s">
        <v>1174</v>
      </c>
      <c r="J992" s="524">
        <f>IF(cmf[[#This Row],[D/C]]="C",cmf[[#This Row],[Valor]],-1*cmf[[#This Row],[Valor]])</f>
        <v>-3930.45</v>
      </c>
      <c r="L992" s="524" t="s">
        <v>1188</v>
      </c>
      <c r="M992" s="524" t="s">
        <v>1189</v>
      </c>
      <c r="N992" s="524" t="s">
        <v>1292</v>
      </c>
      <c r="O992" s="524" t="s">
        <v>1293</v>
      </c>
      <c r="P992" s="526">
        <v>46217</v>
      </c>
      <c r="S992" s="527">
        <v>0</v>
      </c>
    </row>
    <row r="993" spans="1:19" x14ac:dyDescent="0.2">
      <c r="A993" s="524">
        <v>69449</v>
      </c>
      <c r="B993" s="526">
        <v>46217</v>
      </c>
      <c r="C993" s="524" t="s">
        <v>1148</v>
      </c>
      <c r="D993" s="524" t="s">
        <v>1186</v>
      </c>
      <c r="E993" s="524" t="s">
        <v>1843</v>
      </c>
      <c r="F993" s="524" t="s">
        <v>1183</v>
      </c>
      <c r="G993" s="524" t="s">
        <v>806</v>
      </c>
      <c r="H993" s="527">
        <v>4500</v>
      </c>
      <c r="I993" s="524" t="s">
        <v>1174</v>
      </c>
      <c r="J993" s="524">
        <f>IF(cmf[[#This Row],[D/C]]="C",cmf[[#This Row],[Valor]],-1*cmf[[#This Row],[Valor]])</f>
        <v>-4500</v>
      </c>
      <c r="L993" s="524" t="s">
        <v>1188</v>
      </c>
      <c r="M993" s="524" t="s">
        <v>1189</v>
      </c>
      <c r="N993" s="524" t="s">
        <v>1283</v>
      </c>
      <c r="O993" s="524" t="s">
        <v>1284</v>
      </c>
      <c r="P993" s="526">
        <v>46217</v>
      </c>
      <c r="S993" s="527">
        <v>0</v>
      </c>
    </row>
    <row r="994" spans="1:19" x14ac:dyDescent="0.2">
      <c r="A994" s="524">
        <v>69450</v>
      </c>
      <c r="B994" s="526">
        <v>46217</v>
      </c>
      <c r="C994" s="524" t="s">
        <v>1148</v>
      </c>
      <c r="D994" s="524" t="s">
        <v>1186</v>
      </c>
      <c r="E994" s="524" t="s">
        <v>1844</v>
      </c>
      <c r="F994" s="524" t="s">
        <v>1183</v>
      </c>
      <c r="G994" s="524" t="s">
        <v>806</v>
      </c>
      <c r="H994" s="527">
        <v>4500</v>
      </c>
      <c r="I994" s="524" t="s">
        <v>1174</v>
      </c>
      <c r="J994" s="524">
        <f>IF(cmf[[#This Row],[D/C]]="C",cmf[[#This Row],[Valor]],-1*cmf[[#This Row],[Valor]])</f>
        <v>-4500</v>
      </c>
      <c r="L994" s="524" t="s">
        <v>1188</v>
      </c>
      <c r="M994" s="524" t="s">
        <v>1189</v>
      </c>
      <c r="N994" s="524" t="s">
        <v>1283</v>
      </c>
      <c r="O994" s="524" t="s">
        <v>1284</v>
      </c>
      <c r="P994" s="526">
        <v>46217</v>
      </c>
      <c r="S994" s="527">
        <v>0</v>
      </c>
    </row>
    <row r="995" spans="1:19" x14ac:dyDescent="0.2">
      <c r="A995" s="524">
        <v>69456</v>
      </c>
      <c r="B995" s="526">
        <v>46217</v>
      </c>
      <c r="C995" s="524" t="s">
        <v>1148</v>
      </c>
      <c r="D995" s="524" t="s">
        <v>1186</v>
      </c>
      <c r="E995" s="524" t="s">
        <v>1845</v>
      </c>
      <c r="F995" s="524" t="s">
        <v>1183</v>
      </c>
      <c r="G995" s="524" t="s">
        <v>758</v>
      </c>
      <c r="H995" s="527">
        <v>802.93</v>
      </c>
      <c r="I995" s="524" t="s">
        <v>1174</v>
      </c>
      <c r="J995" s="524">
        <f>IF(cmf[[#This Row],[D/C]]="C",cmf[[#This Row],[Valor]],-1*cmf[[#This Row],[Valor]])</f>
        <v>-802.93</v>
      </c>
      <c r="L995" s="524" t="s">
        <v>1188</v>
      </c>
      <c r="M995" s="524" t="s">
        <v>1189</v>
      </c>
      <c r="N995" s="524" t="s">
        <v>1223</v>
      </c>
      <c r="O995" s="524" t="s">
        <v>1224</v>
      </c>
      <c r="P995" s="526">
        <v>46217</v>
      </c>
      <c r="S995" s="527">
        <v>0</v>
      </c>
    </row>
    <row r="996" spans="1:19" x14ac:dyDescent="0.2">
      <c r="A996" s="524">
        <v>69457</v>
      </c>
      <c r="B996" s="526">
        <v>46217</v>
      </c>
      <c r="C996" s="524" t="s">
        <v>1148</v>
      </c>
      <c r="D996" s="524" t="s">
        <v>1186</v>
      </c>
      <c r="E996" s="524" t="s">
        <v>1846</v>
      </c>
      <c r="F996" s="524" t="s">
        <v>1183</v>
      </c>
      <c r="G996" s="524" t="s">
        <v>758</v>
      </c>
      <c r="H996" s="527">
        <v>650</v>
      </c>
      <c r="I996" s="524" t="s">
        <v>1174</v>
      </c>
      <c r="J996" s="524">
        <f>IF(cmf[[#This Row],[D/C]]="C",cmf[[#This Row],[Valor]],-1*cmf[[#This Row],[Valor]])</f>
        <v>-650</v>
      </c>
      <c r="L996" s="524" t="s">
        <v>1188</v>
      </c>
      <c r="M996" s="524" t="s">
        <v>1189</v>
      </c>
      <c r="N996" s="524" t="s">
        <v>1223</v>
      </c>
      <c r="O996" s="524" t="s">
        <v>1224</v>
      </c>
      <c r="P996" s="526">
        <v>46217</v>
      </c>
      <c r="S996" s="527">
        <v>0</v>
      </c>
    </row>
    <row r="997" spans="1:19" x14ac:dyDescent="0.2">
      <c r="A997" s="524">
        <v>69458</v>
      </c>
      <c r="B997" s="526">
        <v>46217</v>
      </c>
      <c r="C997" s="524" t="s">
        <v>1148</v>
      </c>
      <c r="D997" s="524" t="s">
        <v>1186</v>
      </c>
      <c r="E997" s="524" t="s">
        <v>1847</v>
      </c>
      <c r="F997" s="524" t="s">
        <v>1183</v>
      </c>
      <c r="G997" s="524" t="s">
        <v>769</v>
      </c>
      <c r="H997" s="527">
        <v>1400</v>
      </c>
      <c r="I997" s="524" t="s">
        <v>1174</v>
      </c>
      <c r="J997" s="524">
        <f>IF(cmf[[#This Row],[D/C]]="C",cmf[[#This Row],[Valor]],-1*cmf[[#This Row],[Valor]])</f>
        <v>-1400</v>
      </c>
      <c r="L997" s="524" t="s">
        <v>1188</v>
      </c>
      <c r="M997" s="524" t="s">
        <v>1189</v>
      </c>
      <c r="N997" s="524" t="s">
        <v>1219</v>
      </c>
      <c r="O997" s="524" t="s">
        <v>1220</v>
      </c>
      <c r="P997" s="526">
        <v>46217</v>
      </c>
      <c r="S997" s="527">
        <v>0</v>
      </c>
    </row>
    <row r="998" spans="1:19" x14ac:dyDescent="0.2">
      <c r="A998" s="524">
        <v>69459</v>
      </c>
      <c r="B998" s="526">
        <v>46217</v>
      </c>
      <c r="C998" s="524" t="s">
        <v>1148</v>
      </c>
      <c r="D998" s="524" t="s">
        <v>1186</v>
      </c>
      <c r="E998" s="524" t="s">
        <v>1848</v>
      </c>
      <c r="F998" s="524" t="s">
        <v>1183</v>
      </c>
      <c r="G998" s="524" t="s">
        <v>769</v>
      </c>
      <c r="H998" s="527">
        <v>6672.09</v>
      </c>
      <c r="I998" s="524" t="s">
        <v>1174</v>
      </c>
      <c r="J998" s="524">
        <f>IF(cmf[[#This Row],[D/C]]="C",cmf[[#This Row],[Valor]],-1*cmf[[#This Row],[Valor]])</f>
        <v>-6672.09</v>
      </c>
      <c r="L998" s="524" t="s">
        <v>1188</v>
      </c>
      <c r="M998" s="524" t="s">
        <v>1189</v>
      </c>
      <c r="N998" s="524" t="s">
        <v>1219</v>
      </c>
      <c r="O998" s="524" t="s">
        <v>1220</v>
      </c>
      <c r="P998" s="526">
        <v>46217</v>
      </c>
      <c r="S998" s="527">
        <v>0</v>
      </c>
    </row>
    <row r="999" spans="1:19" x14ac:dyDescent="0.2">
      <c r="A999" s="524">
        <v>69460</v>
      </c>
      <c r="B999" s="526">
        <v>46217</v>
      </c>
      <c r="C999" s="524" t="s">
        <v>1148</v>
      </c>
      <c r="D999" s="524" t="s">
        <v>1186</v>
      </c>
      <c r="E999" s="524" t="s">
        <v>1849</v>
      </c>
      <c r="F999" s="524" t="s">
        <v>1183</v>
      </c>
      <c r="G999" s="524" t="s">
        <v>769</v>
      </c>
      <c r="H999" s="527">
        <v>3285</v>
      </c>
      <c r="I999" s="524" t="s">
        <v>1174</v>
      </c>
      <c r="J999" s="524">
        <f>IF(cmf[[#This Row],[D/C]]="C",cmf[[#This Row],[Valor]],-1*cmf[[#This Row],[Valor]])</f>
        <v>-3285</v>
      </c>
      <c r="L999" s="524" t="s">
        <v>1188</v>
      </c>
      <c r="M999" s="524" t="s">
        <v>1189</v>
      </c>
      <c r="N999" s="524" t="s">
        <v>1219</v>
      </c>
      <c r="O999" s="524" t="s">
        <v>1220</v>
      </c>
      <c r="P999" s="526">
        <v>46217</v>
      </c>
      <c r="S999" s="527">
        <v>0</v>
      </c>
    </row>
    <row r="1000" spans="1:19" x14ac:dyDescent="0.2">
      <c r="A1000" s="524">
        <v>69461</v>
      </c>
      <c r="B1000" s="526">
        <v>46217</v>
      </c>
      <c r="C1000" s="524" t="s">
        <v>1148</v>
      </c>
      <c r="D1000" s="524" t="s">
        <v>1186</v>
      </c>
      <c r="E1000" s="524" t="s">
        <v>1850</v>
      </c>
      <c r="F1000" s="524" t="s">
        <v>1183</v>
      </c>
      <c r="G1000" s="524" t="s">
        <v>769</v>
      </c>
      <c r="H1000" s="527">
        <v>3406.77</v>
      </c>
      <c r="I1000" s="524" t="s">
        <v>1174</v>
      </c>
      <c r="J1000" s="524">
        <f>IF(cmf[[#This Row],[D/C]]="C",cmf[[#This Row],[Valor]],-1*cmf[[#This Row],[Valor]])</f>
        <v>-3406.77</v>
      </c>
      <c r="L1000" s="524" t="s">
        <v>1188</v>
      </c>
      <c r="M1000" s="524" t="s">
        <v>1189</v>
      </c>
      <c r="N1000" s="524" t="s">
        <v>1219</v>
      </c>
      <c r="O1000" s="524" t="s">
        <v>1220</v>
      </c>
      <c r="P1000" s="526">
        <v>46217</v>
      </c>
      <c r="S1000" s="527">
        <v>0</v>
      </c>
    </row>
    <row r="1001" spans="1:19" x14ac:dyDescent="0.2">
      <c r="A1001" s="524">
        <v>69462</v>
      </c>
      <c r="B1001" s="526">
        <v>46217</v>
      </c>
      <c r="C1001" s="524" t="s">
        <v>1148</v>
      </c>
      <c r="D1001" s="524" t="s">
        <v>1186</v>
      </c>
      <c r="E1001" s="524" t="s">
        <v>1851</v>
      </c>
      <c r="F1001" s="524" t="s">
        <v>1183</v>
      </c>
      <c r="G1001" s="524" t="s">
        <v>769</v>
      </c>
      <c r="H1001" s="527">
        <v>1636.8</v>
      </c>
      <c r="I1001" s="524" t="s">
        <v>1174</v>
      </c>
      <c r="J1001" s="524">
        <f>IF(cmf[[#This Row],[D/C]]="C",cmf[[#This Row],[Valor]],-1*cmf[[#This Row],[Valor]])</f>
        <v>-1636.8</v>
      </c>
      <c r="L1001" s="524" t="s">
        <v>1188</v>
      </c>
      <c r="M1001" s="524" t="s">
        <v>1189</v>
      </c>
      <c r="N1001" s="524" t="s">
        <v>1219</v>
      </c>
      <c r="O1001" s="524" t="s">
        <v>1220</v>
      </c>
      <c r="P1001" s="526">
        <v>46217</v>
      </c>
      <c r="S1001" s="527">
        <v>0</v>
      </c>
    </row>
    <row r="1002" spans="1:19" x14ac:dyDescent="0.2">
      <c r="A1002" s="524">
        <v>69486</v>
      </c>
      <c r="B1002" s="526">
        <v>46217</v>
      </c>
      <c r="C1002" s="524" t="s">
        <v>1148</v>
      </c>
      <c r="D1002" s="524" t="s">
        <v>1163</v>
      </c>
      <c r="E1002" s="524" t="s">
        <v>1164</v>
      </c>
      <c r="F1002" s="524" t="s">
        <v>1183</v>
      </c>
      <c r="G1002" s="524" t="s">
        <v>806</v>
      </c>
      <c r="H1002" s="527">
        <v>5238.5600000000004</v>
      </c>
      <c r="I1002" s="524" t="s">
        <v>1148</v>
      </c>
      <c r="J1002" s="524">
        <f>IF(cmf[[#This Row],[D/C]]="C",cmf[[#This Row],[Valor]],-1*cmf[[#This Row],[Valor]])</f>
        <v>5238.5600000000004</v>
      </c>
      <c r="L1002" s="524" t="s">
        <v>1166</v>
      </c>
      <c r="M1002" s="524" t="s">
        <v>1167</v>
      </c>
      <c r="N1002" s="524" t="s">
        <v>1283</v>
      </c>
      <c r="O1002" s="524" t="s">
        <v>1284</v>
      </c>
      <c r="P1002" s="526">
        <v>46217</v>
      </c>
      <c r="S1002" s="527">
        <v>0</v>
      </c>
    </row>
    <row r="1003" spans="1:19" x14ac:dyDescent="0.2">
      <c r="A1003" s="524">
        <v>69487</v>
      </c>
      <c r="B1003" s="526">
        <v>46217</v>
      </c>
      <c r="C1003" s="524" t="s">
        <v>1148</v>
      </c>
      <c r="D1003" s="524" t="s">
        <v>1163</v>
      </c>
      <c r="E1003" s="524" t="s">
        <v>1173</v>
      </c>
      <c r="F1003" s="524" t="s">
        <v>1183</v>
      </c>
      <c r="G1003" s="524" t="s">
        <v>806</v>
      </c>
      <c r="H1003" s="527">
        <v>2.19</v>
      </c>
      <c r="I1003" s="524" t="s">
        <v>1174</v>
      </c>
      <c r="J1003" s="524">
        <f>IF(cmf[[#This Row],[D/C]]="C",cmf[[#This Row],[Valor]],-1*cmf[[#This Row],[Valor]])</f>
        <v>-2.19</v>
      </c>
      <c r="L1003" s="524" t="s">
        <v>1175</v>
      </c>
      <c r="M1003" s="524" t="s">
        <v>1176</v>
      </c>
      <c r="N1003" s="524" t="s">
        <v>1283</v>
      </c>
      <c r="O1003" s="524" t="s">
        <v>1284</v>
      </c>
      <c r="P1003" s="526">
        <v>46217</v>
      </c>
      <c r="S1003" s="527">
        <v>0</v>
      </c>
    </row>
    <row r="1004" spans="1:19" x14ac:dyDescent="0.2">
      <c r="A1004" s="524">
        <v>69496</v>
      </c>
      <c r="B1004" s="526">
        <v>46217</v>
      </c>
      <c r="C1004" s="524" t="s">
        <v>1162</v>
      </c>
      <c r="D1004" s="524" t="s">
        <v>1163</v>
      </c>
      <c r="E1004" s="524" t="s">
        <v>1173</v>
      </c>
      <c r="F1004" s="524" t="s">
        <v>1165</v>
      </c>
      <c r="G1004" s="524" t="s">
        <v>756</v>
      </c>
      <c r="H1004" s="527">
        <v>1.49</v>
      </c>
      <c r="I1004" s="524" t="s">
        <v>1174</v>
      </c>
      <c r="J1004" s="524">
        <f>IF(cmf[[#This Row],[D/C]]="C",cmf[[#This Row],[Valor]],-1*cmf[[#This Row],[Valor]])</f>
        <v>-1.49</v>
      </c>
      <c r="L1004" s="524" t="s">
        <v>1175</v>
      </c>
      <c r="M1004" s="524" t="s">
        <v>1176</v>
      </c>
      <c r="N1004" s="524" t="s">
        <v>1168</v>
      </c>
      <c r="O1004" s="524" t="s">
        <v>1169</v>
      </c>
      <c r="P1004" s="526"/>
      <c r="S1004" s="527">
        <v>0</v>
      </c>
    </row>
    <row r="1005" spans="1:19" x14ac:dyDescent="0.2">
      <c r="A1005" s="524">
        <v>69498</v>
      </c>
      <c r="B1005" s="526">
        <v>46217</v>
      </c>
      <c r="C1005" s="524" t="s">
        <v>1162</v>
      </c>
      <c r="D1005" s="524" t="s">
        <v>1163</v>
      </c>
      <c r="E1005" s="524" t="s">
        <v>1173</v>
      </c>
      <c r="F1005" s="524" t="s">
        <v>1111</v>
      </c>
      <c r="G1005" s="524" t="s">
        <v>1110</v>
      </c>
      <c r="H1005" s="527">
        <v>7.7</v>
      </c>
      <c r="I1005" s="524" t="s">
        <v>1174</v>
      </c>
      <c r="J1005" s="524">
        <f>IF(cmf[[#This Row],[D/C]]="C",cmf[[#This Row],[Valor]],-1*cmf[[#This Row],[Valor]])</f>
        <v>-7.7</v>
      </c>
      <c r="L1005" s="524" t="s">
        <v>1175</v>
      </c>
      <c r="M1005" s="524" t="s">
        <v>1176</v>
      </c>
      <c r="N1005" s="524" t="s">
        <v>1219</v>
      </c>
      <c r="O1005" s="524" t="s">
        <v>1220</v>
      </c>
      <c r="P1005" s="526"/>
      <c r="S1005" s="527">
        <v>0</v>
      </c>
    </row>
    <row r="1006" spans="1:19" x14ac:dyDescent="0.2">
      <c r="A1006" s="524">
        <v>69500</v>
      </c>
      <c r="B1006" s="526">
        <v>46217</v>
      </c>
      <c r="C1006" s="524" t="s">
        <v>1148</v>
      </c>
      <c r="D1006" s="524" t="s">
        <v>1186</v>
      </c>
      <c r="E1006" s="524" t="s">
        <v>1852</v>
      </c>
      <c r="F1006" s="524" t="s">
        <v>1183</v>
      </c>
      <c r="G1006" s="524" t="s">
        <v>800</v>
      </c>
      <c r="H1006" s="527">
        <v>126.55</v>
      </c>
      <c r="I1006" s="524" t="s">
        <v>1174</v>
      </c>
      <c r="J1006" s="524">
        <f>IF(cmf[[#This Row],[D/C]]="C",cmf[[#This Row],[Valor]],-1*cmf[[#This Row],[Valor]])</f>
        <v>-126.55</v>
      </c>
      <c r="L1006" s="524" t="s">
        <v>1188</v>
      </c>
      <c r="M1006" s="524" t="s">
        <v>1189</v>
      </c>
      <c r="N1006" s="524" t="s">
        <v>1171</v>
      </c>
      <c r="O1006" s="524" t="s">
        <v>1172</v>
      </c>
      <c r="P1006" s="526">
        <v>46217</v>
      </c>
      <c r="S1006" s="527">
        <v>0</v>
      </c>
    </row>
    <row r="1007" spans="1:19" x14ac:dyDescent="0.2">
      <c r="A1007" s="524">
        <v>69501</v>
      </c>
      <c r="B1007" s="526">
        <v>46217</v>
      </c>
      <c r="C1007" s="524" t="s">
        <v>1148</v>
      </c>
      <c r="D1007" s="524" t="s">
        <v>1186</v>
      </c>
      <c r="E1007" s="524" t="s">
        <v>1853</v>
      </c>
      <c r="F1007" s="524" t="s">
        <v>1183</v>
      </c>
      <c r="G1007" s="524" t="s">
        <v>800</v>
      </c>
      <c r="H1007" s="527">
        <v>83937.49</v>
      </c>
      <c r="I1007" s="524" t="s">
        <v>1174</v>
      </c>
      <c r="J1007" s="524">
        <f>IF(cmf[[#This Row],[D/C]]="C",cmf[[#This Row],[Valor]],-1*cmf[[#This Row],[Valor]])</f>
        <v>-83937.49</v>
      </c>
      <c r="L1007" s="524" t="s">
        <v>1188</v>
      </c>
      <c r="M1007" s="524" t="s">
        <v>1189</v>
      </c>
      <c r="N1007" s="524" t="s">
        <v>1171</v>
      </c>
      <c r="O1007" s="524" t="s">
        <v>1172</v>
      </c>
      <c r="P1007" s="526">
        <v>46217</v>
      </c>
      <c r="S1007" s="527">
        <v>0</v>
      </c>
    </row>
    <row r="1008" spans="1:19" x14ac:dyDescent="0.2">
      <c r="A1008" s="524">
        <v>69502</v>
      </c>
      <c r="B1008" s="526">
        <v>46217</v>
      </c>
      <c r="C1008" s="524" t="s">
        <v>1148</v>
      </c>
      <c r="D1008" s="524" t="s">
        <v>1186</v>
      </c>
      <c r="E1008" s="524" t="s">
        <v>1854</v>
      </c>
      <c r="F1008" s="524" t="s">
        <v>1183</v>
      </c>
      <c r="G1008" s="524" t="s">
        <v>800</v>
      </c>
      <c r="H1008" s="527">
        <v>2800</v>
      </c>
      <c r="I1008" s="524" t="s">
        <v>1174</v>
      </c>
      <c r="J1008" s="524">
        <f>IF(cmf[[#This Row],[D/C]]="C",cmf[[#This Row],[Valor]],-1*cmf[[#This Row],[Valor]])</f>
        <v>-2800</v>
      </c>
      <c r="L1008" s="524" t="s">
        <v>1188</v>
      </c>
      <c r="M1008" s="524" t="s">
        <v>1189</v>
      </c>
      <c r="N1008" s="524" t="s">
        <v>1171</v>
      </c>
      <c r="O1008" s="524" t="s">
        <v>1172</v>
      </c>
      <c r="P1008" s="526">
        <v>46217</v>
      </c>
      <c r="S1008" s="527">
        <v>0</v>
      </c>
    </row>
    <row r="1009" spans="1:19" x14ac:dyDescent="0.2">
      <c r="A1009" s="524">
        <v>69503</v>
      </c>
      <c r="B1009" s="526">
        <v>46217</v>
      </c>
      <c r="C1009" s="524" t="s">
        <v>1148</v>
      </c>
      <c r="D1009" s="524" t="s">
        <v>1186</v>
      </c>
      <c r="E1009" s="524" t="s">
        <v>1855</v>
      </c>
      <c r="F1009" s="524" t="s">
        <v>1183</v>
      </c>
      <c r="G1009" s="524" t="s">
        <v>800</v>
      </c>
      <c r="H1009" s="527">
        <v>10000</v>
      </c>
      <c r="I1009" s="524" t="s">
        <v>1174</v>
      </c>
      <c r="J1009" s="524">
        <f>IF(cmf[[#This Row],[D/C]]="C",cmf[[#This Row],[Valor]],-1*cmf[[#This Row],[Valor]])</f>
        <v>-10000</v>
      </c>
      <c r="L1009" s="524" t="s">
        <v>1188</v>
      </c>
      <c r="M1009" s="524" t="s">
        <v>1189</v>
      </c>
      <c r="N1009" s="524" t="s">
        <v>1171</v>
      </c>
      <c r="O1009" s="524" t="s">
        <v>1172</v>
      </c>
      <c r="P1009" s="526">
        <v>46217</v>
      </c>
      <c r="S1009" s="527">
        <v>0</v>
      </c>
    </row>
    <row r="1010" spans="1:19" x14ac:dyDescent="0.2">
      <c r="A1010" s="524">
        <v>69504</v>
      </c>
      <c r="B1010" s="526">
        <v>46217</v>
      </c>
      <c r="C1010" s="524" t="s">
        <v>1148</v>
      </c>
      <c r="D1010" s="524" t="s">
        <v>1186</v>
      </c>
      <c r="E1010" s="524" t="s">
        <v>1856</v>
      </c>
      <c r="F1010" s="524" t="s">
        <v>1183</v>
      </c>
      <c r="G1010" s="524" t="s">
        <v>800</v>
      </c>
      <c r="H1010" s="527">
        <v>1192.1400000000001</v>
      </c>
      <c r="I1010" s="524" t="s">
        <v>1174</v>
      </c>
      <c r="J1010" s="524">
        <f>IF(cmf[[#This Row],[D/C]]="C",cmf[[#This Row],[Valor]],-1*cmf[[#This Row],[Valor]])</f>
        <v>-1192.1400000000001</v>
      </c>
      <c r="L1010" s="524" t="s">
        <v>1188</v>
      </c>
      <c r="M1010" s="524" t="s">
        <v>1189</v>
      </c>
      <c r="N1010" s="524" t="s">
        <v>1171</v>
      </c>
      <c r="O1010" s="524" t="s">
        <v>1172</v>
      </c>
      <c r="P1010" s="526">
        <v>46217</v>
      </c>
      <c r="S1010" s="527">
        <v>0</v>
      </c>
    </row>
    <row r="1011" spans="1:19" x14ac:dyDescent="0.2">
      <c r="A1011" s="524">
        <v>69505</v>
      </c>
      <c r="B1011" s="526">
        <v>46217</v>
      </c>
      <c r="C1011" s="524" t="s">
        <v>1148</v>
      </c>
      <c r="D1011" s="524" t="s">
        <v>1186</v>
      </c>
      <c r="E1011" s="524" t="s">
        <v>1857</v>
      </c>
      <c r="F1011" s="524" t="s">
        <v>1183</v>
      </c>
      <c r="G1011" s="524" t="s">
        <v>800</v>
      </c>
      <c r="H1011" s="527">
        <v>2068.6</v>
      </c>
      <c r="I1011" s="524" t="s">
        <v>1174</v>
      </c>
      <c r="J1011" s="524">
        <f>IF(cmf[[#This Row],[D/C]]="C",cmf[[#This Row],[Valor]],-1*cmf[[#This Row],[Valor]])</f>
        <v>-2068.6</v>
      </c>
      <c r="L1011" s="524" t="s">
        <v>1188</v>
      </c>
      <c r="M1011" s="524" t="s">
        <v>1189</v>
      </c>
      <c r="N1011" s="524" t="s">
        <v>1171</v>
      </c>
      <c r="O1011" s="524" t="s">
        <v>1172</v>
      </c>
      <c r="P1011" s="526">
        <v>46217</v>
      </c>
      <c r="S1011" s="527">
        <v>0</v>
      </c>
    </row>
    <row r="1012" spans="1:19" x14ac:dyDescent="0.2">
      <c r="A1012" s="524">
        <v>69506</v>
      </c>
      <c r="B1012" s="526">
        <v>46217</v>
      </c>
      <c r="C1012" s="524" t="s">
        <v>1148</v>
      </c>
      <c r="D1012" s="524" t="s">
        <v>1186</v>
      </c>
      <c r="E1012" s="524" t="s">
        <v>1858</v>
      </c>
      <c r="F1012" s="524" t="s">
        <v>1183</v>
      </c>
      <c r="G1012" s="524" t="s">
        <v>800</v>
      </c>
      <c r="H1012" s="527">
        <v>3716.66</v>
      </c>
      <c r="I1012" s="524" t="s">
        <v>1174</v>
      </c>
      <c r="J1012" s="524">
        <f>IF(cmf[[#This Row],[D/C]]="C",cmf[[#This Row],[Valor]],-1*cmf[[#This Row],[Valor]])</f>
        <v>-3716.66</v>
      </c>
      <c r="L1012" s="524" t="s">
        <v>1188</v>
      </c>
      <c r="M1012" s="524" t="s">
        <v>1189</v>
      </c>
      <c r="N1012" s="524" t="s">
        <v>1171</v>
      </c>
      <c r="O1012" s="524" t="s">
        <v>1172</v>
      </c>
      <c r="P1012" s="526">
        <v>46217</v>
      </c>
      <c r="S1012" s="527">
        <v>0</v>
      </c>
    </row>
    <row r="1013" spans="1:19" x14ac:dyDescent="0.2">
      <c r="A1013" s="524">
        <v>69507</v>
      </c>
      <c r="B1013" s="526">
        <v>46217</v>
      </c>
      <c r="C1013" s="524" t="s">
        <v>1148</v>
      </c>
      <c r="D1013" s="524" t="s">
        <v>1186</v>
      </c>
      <c r="E1013" s="524" t="s">
        <v>1859</v>
      </c>
      <c r="F1013" s="524" t="s">
        <v>1183</v>
      </c>
      <c r="G1013" s="524" t="s">
        <v>800</v>
      </c>
      <c r="H1013" s="527">
        <v>120</v>
      </c>
      <c r="I1013" s="524" t="s">
        <v>1174</v>
      </c>
      <c r="J1013" s="524">
        <f>IF(cmf[[#This Row],[D/C]]="C",cmf[[#This Row],[Valor]],-1*cmf[[#This Row],[Valor]])</f>
        <v>-120</v>
      </c>
      <c r="L1013" s="524" t="s">
        <v>1188</v>
      </c>
      <c r="M1013" s="524" t="s">
        <v>1189</v>
      </c>
      <c r="N1013" s="524" t="s">
        <v>1171</v>
      </c>
      <c r="O1013" s="524" t="s">
        <v>1172</v>
      </c>
      <c r="P1013" s="526">
        <v>46217</v>
      </c>
      <c r="S1013" s="527">
        <v>0</v>
      </c>
    </row>
    <row r="1014" spans="1:19" x14ac:dyDescent="0.2">
      <c r="A1014" s="524">
        <v>69508</v>
      </c>
      <c r="B1014" s="526">
        <v>46217</v>
      </c>
      <c r="C1014" s="524" t="s">
        <v>1148</v>
      </c>
      <c r="D1014" s="524" t="s">
        <v>1186</v>
      </c>
      <c r="E1014" s="524" t="s">
        <v>1860</v>
      </c>
      <c r="F1014" s="524" t="s">
        <v>1183</v>
      </c>
      <c r="G1014" s="524" t="s">
        <v>800</v>
      </c>
      <c r="H1014" s="527">
        <v>170</v>
      </c>
      <c r="I1014" s="524" t="s">
        <v>1174</v>
      </c>
      <c r="J1014" s="524">
        <f>IF(cmf[[#This Row],[D/C]]="C",cmf[[#This Row],[Valor]],-1*cmf[[#This Row],[Valor]])</f>
        <v>-170</v>
      </c>
      <c r="L1014" s="524" t="s">
        <v>1188</v>
      </c>
      <c r="M1014" s="524" t="s">
        <v>1189</v>
      </c>
      <c r="N1014" s="524" t="s">
        <v>1171</v>
      </c>
      <c r="O1014" s="524" t="s">
        <v>1172</v>
      </c>
      <c r="P1014" s="526">
        <v>46217</v>
      </c>
      <c r="S1014" s="527">
        <v>0</v>
      </c>
    </row>
    <row r="1015" spans="1:19" x14ac:dyDescent="0.2">
      <c r="A1015" s="524">
        <v>69509</v>
      </c>
      <c r="B1015" s="526">
        <v>46217</v>
      </c>
      <c r="C1015" s="524" t="s">
        <v>1148</v>
      </c>
      <c r="D1015" s="524" t="s">
        <v>1186</v>
      </c>
      <c r="E1015" s="524" t="s">
        <v>1861</v>
      </c>
      <c r="F1015" s="524" t="s">
        <v>1183</v>
      </c>
      <c r="G1015" s="524" t="s">
        <v>800</v>
      </c>
      <c r="H1015" s="527">
        <v>7254.09</v>
      </c>
      <c r="I1015" s="524" t="s">
        <v>1174</v>
      </c>
      <c r="J1015" s="524">
        <f>IF(cmf[[#This Row],[D/C]]="C",cmf[[#This Row],[Valor]],-1*cmf[[#This Row],[Valor]])</f>
        <v>-7254.09</v>
      </c>
      <c r="L1015" s="524" t="s">
        <v>1188</v>
      </c>
      <c r="M1015" s="524" t="s">
        <v>1189</v>
      </c>
      <c r="N1015" s="524" t="s">
        <v>1171</v>
      </c>
      <c r="O1015" s="524" t="s">
        <v>1172</v>
      </c>
      <c r="P1015" s="526">
        <v>46217</v>
      </c>
      <c r="S1015" s="527">
        <v>0</v>
      </c>
    </row>
    <row r="1016" spans="1:19" x14ac:dyDescent="0.2">
      <c r="A1016" s="524">
        <v>69510</v>
      </c>
      <c r="B1016" s="526">
        <v>46217</v>
      </c>
      <c r="C1016" s="524" t="s">
        <v>1148</v>
      </c>
      <c r="D1016" s="524" t="s">
        <v>1186</v>
      </c>
      <c r="E1016" s="524" t="s">
        <v>1862</v>
      </c>
      <c r="F1016" s="524" t="s">
        <v>1183</v>
      </c>
      <c r="G1016" s="524" t="s">
        <v>800</v>
      </c>
      <c r="H1016" s="527">
        <v>2223.33</v>
      </c>
      <c r="I1016" s="524" t="s">
        <v>1174</v>
      </c>
      <c r="J1016" s="524">
        <f>IF(cmf[[#This Row],[D/C]]="C",cmf[[#This Row],[Valor]],-1*cmf[[#This Row],[Valor]])</f>
        <v>-2223.33</v>
      </c>
      <c r="L1016" s="524" t="s">
        <v>1188</v>
      </c>
      <c r="M1016" s="524" t="s">
        <v>1189</v>
      </c>
      <c r="N1016" s="524" t="s">
        <v>1171</v>
      </c>
      <c r="O1016" s="524" t="s">
        <v>1172</v>
      </c>
      <c r="P1016" s="526">
        <v>46217</v>
      </c>
      <c r="S1016" s="527">
        <v>0</v>
      </c>
    </row>
    <row r="1017" spans="1:19" x14ac:dyDescent="0.2">
      <c r="A1017" s="524">
        <v>69511</v>
      </c>
      <c r="B1017" s="526">
        <v>46217</v>
      </c>
      <c r="C1017" s="524" t="s">
        <v>1148</v>
      </c>
      <c r="D1017" s="524" t="s">
        <v>1186</v>
      </c>
      <c r="E1017" s="524" t="s">
        <v>1863</v>
      </c>
      <c r="F1017" s="524" t="s">
        <v>1183</v>
      </c>
      <c r="G1017" s="524" t="s">
        <v>800</v>
      </c>
      <c r="H1017" s="527">
        <v>2015.41</v>
      </c>
      <c r="I1017" s="524" t="s">
        <v>1174</v>
      </c>
      <c r="J1017" s="524">
        <f>IF(cmf[[#This Row],[D/C]]="C",cmf[[#This Row],[Valor]],-1*cmf[[#This Row],[Valor]])</f>
        <v>-2015.41</v>
      </c>
      <c r="L1017" s="524" t="s">
        <v>1188</v>
      </c>
      <c r="M1017" s="524" t="s">
        <v>1189</v>
      </c>
      <c r="N1017" s="524" t="s">
        <v>1171</v>
      </c>
      <c r="O1017" s="524" t="s">
        <v>1172</v>
      </c>
      <c r="P1017" s="526">
        <v>46217</v>
      </c>
      <c r="S1017" s="527">
        <v>0</v>
      </c>
    </row>
    <row r="1018" spans="1:19" x14ac:dyDescent="0.2">
      <c r="A1018" s="524">
        <v>69512</v>
      </c>
      <c r="B1018" s="526">
        <v>46217</v>
      </c>
      <c r="C1018" s="524" t="s">
        <v>1148</v>
      </c>
      <c r="D1018" s="524" t="s">
        <v>1186</v>
      </c>
      <c r="E1018" s="524" t="s">
        <v>1864</v>
      </c>
      <c r="F1018" s="524" t="s">
        <v>1183</v>
      </c>
      <c r="G1018" s="524" t="s">
        <v>803</v>
      </c>
      <c r="H1018" s="527">
        <v>17700.11</v>
      </c>
      <c r="I1018" s="524" t="s">
        <v>1174</v>
      </c>
      <c r="J1018" s="524">
        <f>IF(cmf[[#This Row],[D/C]]="C",cmf[[#This Row],[Valor]],-1*cmf[[#This Row],[Valor]])</f>
        <v>-17700.11</v>
      </c>
      <c r="L1018" s="524" t="s">
        <v>1188</v>
      </c>
      <c r="M1018" s="524" t="s">
        <v>1189</v>
      </c>
      <c r="N1018" s="524" t="s">
        <v>1192</v>
      </c>
      <c r="O1018" s="524" t="s">
        <v>1193</v>
      </c>
      <c r="P1018" s="526">
        <v>46217</v>
      </c>
      <c r="S1018" s="527">
        <v>0</v>
      </c>
    </row>
    <row r="1019" spans="1:19" x14ac:dyDescent="0.2">
      <c r="A1019" s="524">
        <v>69513</v>
      </c>
      <c r="B1019" s="526">
        <v>46217</v>
      </c>
      <c r="C1019" s="524" t="s">
        <v>1148</v>
      </c>
      <c r="D1019" s="524" t="s">
        <v>1186</v>
      </c>
      <c r="E1019" s="524" t="s">
        <v>1865</v>
      </c>
      <c r="F1019" s="524" t="s">
        <v>1183</v>
      </c>
      <c r="G1019" s="524" t="s">
        <v>803</v>
      </c>
      <c r="H1019" s="527">
        <v>3360</v>
      </c>
      <c r="I1019" s="524" t="s">
        <v>1174</v>
      </c>
      <c r="J1019" s="524">
        <f>IF(cmf[[#This Row],[D/C]]="C",cmf[[#This Row],[Valor]],-1*cmf[[#This Row],[Valor]])</f>
        <v>-3360</v>
      </c>
      <c r="L1019" s="524" t="s">
        <v>1188</v>
      </c>
      <c r="M1019" s="524" t="s">
        <v>1189</v>
      </c>
      <c r="N1019" s="524" t="s">
        <v>1192</v>
      </c>
      <c r="O1019" s="524" t="s">
        <v>1193</v>
      </c>
      <c r="P1019" s="526">
        <v>46217</v>
      </c>
      <c r="S1019" s="527">
        <v>0</v>
      </c>
    </row>
    <row r="1020" spans="1:19" x14ac:dyDescent="0.2">
      <c r="A1020" s="524">
        <v>69514</v>
      </c>
      <c r="B1020" s="526">
        <v>46217</v>
      </c>
      <c r="C1020" s="524" t="s">
        <v>1148</v>
      </c>
      <c r="D1020" s="524" t="s">
        <v>1186</v>
      </c>
      <c r="E1020" s="524" t="s">
        <v>1866</v>
      </c>
      <c r="F1020" s="524" t="s">
        <v>1183</v>
      </c>
      <c r="G1020" s="524" t="s">
        <v>803</v>
      </c>
      <c r="H1020" s="527">
        <v>5626.32</v>
      </c>
      <c r="I1020" s="524" t="s">
        <v>1174</v>
      </c>
      <c r="J1020" s="524">
        <f>IF(cmf[[#This Row],[D/C]]="C",cmf[[#This Row],[Valor]],-1*cmf[[#This Row],[Valor]])</f>
        <v>-5626.32</v>
      </c>
      <c r="L1020" s="524" t="s">
        <v>1188</v>
      </c>
      <c r="M1020" s="524" t="s">
        <v>1189</v>
      </c>
      <c r="N1020" s="524" t="s">
        <v>1192</v>
      </c>
      <c r="O1020" s="524" t="s">
        <v>1193</v>
      </c>
      <c r="P1020" s="526">
        <v>46217</v>
      </c>
      <c r="S1020" s="527">
        <v>0</v>
      </c>
    </row>
    <row r="1021" spans="1:19" x14ac:dyDescent="0.2">
      <c r="A1021" s="524">
        <v>69515</v>
      </c>
      <c r="B1021" s="526">
        <v>46217</v>
      </c>
      <c r="C1021" s="524" t="s">
        <v>1148</v>
      </c>
      <c r="D1021" s="524" t="s">
        <v>1186</v>
      </c>
      <c r="E1021" s="524" t="s">
        <v>1867</v>
      </c>
      <c r="F1021" s="524" t="s">
        <v>1183</v>
      </c>
      <c r="G1021" s="524" t="s">
        <v>803</v>
      </c>
      <c r="H1021" s="527">
        <v>6277.6</v>
      </c>
      <c r="I1021" s="524" t="s">
        <v>1174</v>
      </c>
      <c r="J1021" s="524">
        <f>IF(cmf[[#This Row],[D/C]]="C",cmf[[#This Row],[Valor]],-1*cmf[[#This Row],[Valor]])</f>
        <v>-6277.6</v>
      </c>
      <c r="L1021" s="524" t="s">
        <v>1188</v>
      </c>
      <c r="M1021" s="524" t="s">
        <v>1189</v>
      </c>
      <c r="N1021" s="524" t="s">
        <v>1192</v>
      </c>
      <c r="O1021" s="524" t="s">
        <v>1193</v>
      </c>
      <c r="P1021" s="526">
        <v>46217</v>
      </c>
      <c r="S1021" s="527">
        <v>0</v>
      </c>
    </row>
    <row r="1022" spans="1:19" x14ac:dyDescent="0.2">
      <c r="A1022" s="524">
        <v>69517</v>
      </c>
      <c r="B1022" s="526">
        <v>46217</v>
      </c>
      <c r="C1022" s="524" t="s">
        <v>1148</v>
      </c>
      <c r="D1022" s="524" t="s">
        <v>1186</v>
      </c>
      <c r="E1022" s="524" t="s">
        <v>1868</v>
      </c>
      <c r="F1022" s="524" t="s">
        <v>1183</v>
      </c>
      <c r="G1022" s="524" t="s">
        <v>750</v>
      </c>
      <c r="H1022" s="527">
        <v>178.06</v>
      </c>
      <c r="I1022" s="524" t="s">
        <v>1174</v>
      </c>
      <c r="J1022" s="524">
        <f>IF(cmf[[#This Row],[D/C]]="C",cmf[[#This Row],[Valor]],-1*cmf[[#This Row],[Valor]])</f>
        <v>-178.06</v>
      </c>
      <c r="L1022" s="524" t="s">
        <v>1188</v>
      </c>
      <c r="M1022" s="524" t="s">
        <v>1189</v>
      </c>
      <c r="N1022" s="524" t="s">
        <v>1256</v>
      </c>
      <c r="O1022" s="524" t="s">
        <v>1257</v>
      </c>
      <c r="P1022" s="526">
        <v>46217</v>
      </c>
      <c r="S1022" s="527">
        <v>0</v>
      </c>
    </row>
    <row r="1023" spans="1:19" x14ac:dyDescent="0.2">
      <c r="A1023" s="524">
        <v>69518</v>
      </c>
      <c r="B1023" s="526">
        <v>46217</v>
      </c>
      <c r="C1023" s="524" t="s">
        <v>1148</v>
      </c>
      <c r="D1023" s="524" t="s">
        <v>1186</v>
      </c>
      <c r="E1023" s="524" t="s">
        <v>1869</v>
      </c>
      <c r="F1023" s="524" t="s">
        <v>1183</v>
      </c>
      <c r="G1023" s="524" t="s">
        <v>742</v>
      </c>
      <c r="H1023" s="527">
        <v>650</v>
      </c>
      <c r="I1023" s="524" t="s">
        <v>1174</v>
      </c>
      <c r="J1023" s="524">
        <f>IF(cmf[[#This Row],[D/C]]="C",cmf[[#This Row],[Valor]],-1*cmf[[#This Row],[Valor]])</f>
        <v>-650</v>
      </c>
      <c r="L1023" s="524" t="s">
        <v>1188</v>
      </c>
      <c r="M1023" s="524" t="s">
        <v>1189</v>
      </c>
      <c r="N1023" s="524" t="s">
        <v>1215</v>
      </c>
      <c r="O1023" s="524" t="s">
        <v>1218</v>
      </c>
      <c r="P1023" s="526">
        <v>46217</v>
      </c>
      <c r="S1023" s="527">
        <v>0</v>
      </c>
    </row>
    <row r="1024" spans="1:19" x14ac:dyDescent="0.2">
      <c r="A1024" s="524">
        <v>69519</v>
      </c>
      <c r="B1024" s="526">
        <v>46217</v>
      </c>
      <c r="C1024" s="524" t="s">
        <v>1148</v>
      </c>
      <c r="D1024" s="524" t="s">
        <v>1186</v>
      </c>
      <c r="E1024" s="524" t="s">
        <v>1870</v>
      </c>
      <c r="F1024" s="524" t="s">
        <v>1183</v>
      </c>
      <c r="G1024" s="524" t="s">
        <v>742</v>
      </c>
      <c r="H1024" s="527">
        <v>121.74</v>
      </c>
      <c r="I1024" s="524" t="s">
        <v>1174</v>
      </c>
      <c r="J1024" s="524">
        <f>IF(cmf[[#This Row],[D/C]]="C",cmf[[#This Row],[Valor]],-1*cmf[[#This Row],[Valor]])</f>
        <v>-121.74</v>
      </c>
      <c r="L1024" s="524" t="s">
        <v>1188</v>
      </c>
      <c r="M1024" s="524" t="s">
        <v>1189</v>
      </c>
      <c r="N1024" s="524" t="s">
        <v>1215</v>
      </c>
      <c r="O1024" s="524" t="s">
        <v>1218</v>
      </c>
      <c r="P1024" s="526">
        <v>46217</v>
      </c>
      <c r="S1024" s="527">
        <v>0</v>
      </c>
    </row>
    <row r="1025" spans="1:19" x14ac:dyDescent="0.2">
      <c r="A1025" s="524">
        <v>69520</v>
      </c>
      <c r="B1025" s="526">
        <v>46217</v>
      </c>
      <c r="C1025" s="524" t="s">
        <v>1148</v>
      </c>
      <c r="D1025" s="524" t="s">
        <v>1186</v>
      </c>
      <c r="E1025" s="524" t="s">
        <v>1871</v>
      </c>
      <c r="F1025" s="524" t="s">
        <v>1183</v>
      </c>
      <c r="G1025" s="524" t="s">
        <v>742</v>
      </c>
      <c r="H1025" s="527">
        <v>4830</v>
      </c>
      <c r="I1025" s="524" t="s">
        <v>1174</v>
      </c>
      <c r="J1025" s="524">
        <f>IF(cmf[[#This Row],[D/C]]="C",cmf[[#This Row],[Valor]],-1*cmf[[#This Row],[Valor]])</f>
        <v>-4830</v>
      </c>
      <c r="L1025" s="524" t="s">
        <v>1188</v>
      </c>
      <c r="M1025" s="524" t="s">
        <v>1189</v>
      </c>
      <c r="N1025" s="524" t="s">
        <v>1215</v>
      </c>
      <c r="O1025" s="524" t="s">
        <v>1218</v>
      </c>
      <c r="P1025" s="526">
        <v>46217</v>
      </c>
      <c r="S1025" s="527">
        <v>0</v>
      </c>
    </row>
    <row r="1026" spans="1:19" x14ac:dyDescent="0.2">
      <c r="A1026" s="524">
        <v>69538</v>
      </c>
      <c r="B1026" s="526">
        <v>46217</v>
      </c>
      <c r="C1026" s="524" t="s">
        <v>1148</v>
      </c>
      <c r="D1026" s="524" t="s">
        <v>1186</v>
      </c>
      <c r="E1026" s="524" t="s">
        <v>1872</v>
      </c>
      <c r="F1026" s="524" t="s">
        <v>1183</v>
      </c>
      <c r="G1026" s="524" t="s">
        <v>742</v>
      </c>
      <c r="H1026" s="527">
        <v>102.62</v>
      </c>
      <c r="I1026" s="524" t="s">
        <v>1174</v>
      </c>
      <c r="J1026" s="524">
        <f>IF(cmf[[#This Row],[D/C]]="C",cmf[[#This Row],[Valor]],-1*cmf[[#This Row],[Valor]])</f>
        <v>-102.62</v>
      </c>
      <c r="L1026" s="524" t="s">
        <v>1188</v>
      </c>
      <c r="M1026" s="524" t="s">
        <v>1189</v>
      </c>
      <c r="N1026" s="524" t="s">
        <v>1215</v>
      </c>
      <c r="O1026" s="524" t="s">
        <v>1218</v>
      </c>
      <c r="P1026" s="526">
        <v>46217</v>
      </c>
      <c r="S1026" s="527">
        <v>0</v>
      </c>
    </row>
    <row r="1027" spans="1:19" x14ac:dyDescent="0.2">
      <c r="A1027" s="524">
        <v>69539</v>
      </c>
      <c r="B1027" s="526">
        <v>46217</v>
      </c>
      <c r="C1027" s="524" t="s">
        <v>1148</v>
      </c>
      <c r="D1027" s="524" t="s">
        <v>1186</v>
      </c>
      <c r="E1027" s="524" t="s">
        <v>1873</v>
      </c>
      <c r="F1027" s="524" t="s">
        <v>1183</v>
      </c>
      <c r="G1027" s="524" t="s">
        <v>742</v>
      </c>
      <c r="H1027" s="527">
        <v>99.38</v>
      </c>
      <c r="I1027" s="524" t="s">
        <v>1174</v>
      </c>
      <c r="J1027" s="524">
        <f>IF(cmf[[#This Row],[D/C]]="C",cmf[[#This Row],[Valor]],-1*cmf[[#This Row],[Valor]])</f>
        <v>-99.38</v>
      </c>
      <c r="L1027" s="524" t="s">
        <v>1188</v>
      </c>
      <c r="M1027" s="524" t="s">
        <v>1189</v>
      </c>
      <c r="N1027" s="524" t="s">
        <v>1215</v>
      </c>
      <c r="O1027" s="524" t="s">
        <v>1218</v>
      </c>
      <c r="P1027" s="526">
        <v>46217</v>
      </c>
      <c r="S1027" s="527">
        <v>0</v>
      </c>
    </row>
    <row r="1028" spans="1:19" x14ac:dyDescent="0.2">
      <c r="A1028" s="524">
        <v>69540</v>
      </c>
      <c r="B1028" s="526">
        <v>46217</v>
      </c>
      <c r="C1028" s="524" t="s">
        <v>1148</v>
      </c>
      <c r="D1028" s="524" t="s">
        <v>1186</v>
      </c>
      <c r="E1028" s="524" t="s">
        <v>1874</v>
      </c>
      <c r="F1028" s="524" t="s">
        <v>1183</v>
      </c>
      <c r="G1028" s="524" t="s">
        <v>742</v>
      </c>
      <c r="H1028" s="527">
        <v>102.62</v>
      </c>
      <c r="I1028" s="524" t="s">
        <v>1174</v>
      </c>
      <c r="J1028" s="524">
        <f>IF(cmf[[#This Row],[D/C]]="C",cmf[[#This Row],[Valor]],-1*cmf[[#This Row],[Valor]])</f>
        <v>-102.62</v>
      </c>
      <c r="L1028" s="524" t="s">
        <v>1188</v>
      </c>
      <c r="M1028" s="524" t="s">
        <v>1189</v>
      </c>
      <c r="N1028" s="524" t="s">
        <v>1215</v>
      </c>
      <c r="O1028" s="524" t="s">
        <v>1218</v>
      </c>
      <c r="P1028" s="526">
        <v>46217</v>
      </c>
      <c r="S1028" s="527">
        <v>0</v>
      </c>
    </row>
    <row r="1029" spans="1:19" x14ac:dyDescent="0.2">
      <c r="A1029" s="524">
        <v>69541</v>
      </c>
      <c r="B1029" s="526">
        <v>46217</v>
      </c>
      <c r="C1029" s="524" t="s">
        <v>1148</v>
      </c>
      <c r="D1029" s="524" t="s">
        <v>1186</v>
      </c>
      <c r="E1029" s="524" t="s">
        <v>1875</v>
      </c>
      <c r="F1029" s="524" t="s">
        <v>1183</v>
      </c>
      <c r="G1029" s="524" t="s">
        <v>742</v>
      </c>
      <c r="H1029" s="527">
        <v>123.29</v>
      </c>
      <c r="I1029" s="524" t="s">
        <v>1174</v>
      </c>
      <c r="J1029" s="524">
        <f>IF(cmf[[#This Row],[D/C]]="C",cmf[[#This Row],[Valor]],-1*cmf[[#This Row],[Valor]])</f>
        <v>-123.29</v>
      </c>
      <c r="L1029" s="524" t="s">
        <v>1188</v>
      </c>
      <c r="M1029" s="524" t="s">
        <v>1189</v>
      </c>
      <c r="N1029" s="524" t="s">
        <v>1215</v>
      </c>
      <c r="O1029" s="524" t="s">
        <v>1218</v>
      </c>
      <c r="P1029" s="526">
        <v>46217</v>
      </c>
      <c r="S1029" s="527">
        <v>0</v>
      </c>
    </row>
    <row r="1030" spans="1:19" x14ac:dyDescent="0.2">
      <c r="A1030" s="524">
        <v>69542</v>
      </c>
      <c r="B1030" s="526">
        <v>46217</v>
      </c>
      <c r="C1030" s="524" t="s">
        <v>1148</v>
      </c>
      <c r="D1030" s="524" t="s">
        <v>1186</v>
      </c>
      <c r="E1030" s="524" t="s">
        <v>1876</v>
      </c>
      <c r="F1030" s="524" t="s">
        <v>1183</v>
      </c>
      <c r="G1030" s="524" t="s">
        <v>742</v>
      </c>
      <c r="H1030" s="527">
        <v>101.27</v>
      </c>
      <c r="I1030" s="524" t="s">
        <v>1174</v>
      </c>
      <c r="J1030" s="524">
        <f>IF(cmf[[#This Row],[D/C]]="C",cmf[[#This Row],[Valor]],-1*cmf[[#This Row],[Valor]])</f>
        <v>-101.27</v>
      </c>
      <c r="L1030" s="524" t="s">
        <v>1188</v>
      </c>
      <c r="M1030" s="524" t="s">
        <v>1189</v>
      </c>
      <c r="N1030" s="524" t="s">
        <v>1215</v>
      </c>
      <c r="O1030" s="524" t="s">
        <v>1218</v>
      </c>
      <c r="P1030" s="526">
        <v>46217</v>
      </c>
      <c r="S1030" s="527">
        <v>0</v>
      </c>
    </row>
    <row r="1031" spans="1:19" x14ac:dyDescent="0.2">
      <c r="A1031" s="524">
        <v>69543</v>
      </c>
      <c r="B1031" s="526">
        <v>46217</v>
      </c>
      <c r="C1031" s="524" t="s">
        <v>1148</v>
      </c>
      <c r="D1031" s="524" t="s">
        <v>1186</v>
      </c>
      <c r="E1031" s="524" t="s">
        <v>1877</v>
      </c>
      <c r="F1031" s="524" t="s">
        <v>1183</v>
      </c>
      <c r="G1031" s="524" t="s">
        <v>742</v>
      </c>
      <c r="H1031" s="527">
        <v>99.39</v>
      </c>
      <c r="I1031" s="524" t="s">
        <v>1174</v>
      </c>
      <c r="J1031" s="524">
        <f>IF(cmf[[#This Row],[D/C]]="C",cmf[[#This Row],[Valor]],-1*cmf[[#This Row],[Valor]])</f>
        <v>-99.39</v>
      </c>
      <c r="L1031" s="524" t="s">
        <v>1188</v>
      </c>
      <c r="M1031" s="524" t="s">
        <v>1189</v>
      </c>
      <c r="N1031" s="524" t="s">
        <v>1215</v>
      </c>
      <c r="O1031" s="524" t="s">
        <v>1218</v>
      </c>
      <c r="P1031" s="526">
        <v>46217</v>
      </c>
      <c r="S1031" s="527">
        <v>0</v>
      </c>
    </row>
    <row r="1032" spans="1:19" x14ac:dyDescent="0.2">
      <c r="A1032" s="524">
        <v>69544</v>
      </c>
      <c r="B1032" s="526">
        <v>46217</v>
      </c>
      <c r="C1032" s="524" t="s">
        <v>1148</v>
      </c>
      <c r="D1032" s="524" t="s">
        <v>1186</v>
      </c>
      <c r="E1032" s="524" t="s">
        <v>1878</v>
      </c>
      <c r="F1032" s="524" t="s">
        <v>1183</v>
      </c>
      <c r="G1032" s="524" t="s">
        <v>742</v>
      </c>
      <c r="H1032" s="527">
        <v>99.47</v>
      </c>
      <c r="I1032" s="524" t="s">
        <v>1174</v>
      </c>
      <c r="J1032" s="524">
        <f>IF(cmf[[#This Row],[D/C]]="C",cmf[[#This Row],[Valor]],-1*cmf[[#This Row],[Valor]])</f>
        <v>-99.47</v>
      </c>
      <c r="L1032" s="524" t="s">
        <v>1188</v>
      </c>
      <c r="M1032" s="524" t="s">
        <v>1189</v>
      </c>
      <c r="N1032" s="524" t="s">
        <v>1215</v>
      </c>
      <c r="O1032" s="524" t="s">
        <v>1218</v>
      </c>
      <c r="P1032" s="526">
        <v>46217</v>
      </c>
      <c r="S1032" s="527">
        <v>0</v>
      </c>
    </row>
    <row r="1033" spans="1:19" x14ac:dyDescent="0.2">
      <c r="A1033" s="524">
        <v>69570</v>
      </c>
      <c r="B1033" s="526">
        <v>46217</v>
      </c>
      <c r="C1033" s="524" t="s">
        <v>1162</v>
      </c>
      <c r="D1033" s="524" t="s">
        <v>1186</v>
      </c>
      <c r="E1033" s="524" t="s">
        <v>1879</v>
      </c>
      <c r="F1033" s="524" t="s">
        <v>1111</v>
      </c>
      <c r="G1033" s="524" t="s">
        <v>1110</v>
      </c>
      <c r="H1033" s="527">
        <v>316606</v>
      </c>
      <c r="I1033" s="524" t="s">
        <v>1174</v>
      </c>
      <c r="J1033" s="524">
        <f>IF(cmf[[#This Row],[D/C]]="C",cmf[[#This Row],[Valor]],-1*cmf[[#This Row],[Valor]])</f>
        <v>-316606</v>
      </c>
      <c r="L1033" s="524" t="s">
        <v>1188</v>
      </c>
      <c r="M1033" s="524" t="s">
        <v>1189</v>
      </c>
      <c r="N1033" s="524" t="s">
        <v>1219</v>
      </c>
      <c r="O1033" s="524" t="s">
        <v>1220</v>
      </c>
      <c r="P1033" s="526"/>
      <c r="S1033" s="527">
        <v>0</v>
      </c>
    </row>
    <row r="1034" spans="1:19" x14ac:dyDescent="0.2">
      <c r="A1034" s="524">
        <v>69700</v>
      </c>
      <c r="B1034" s="526">
        <v>46217</v>
      </c>
      <c r="C1034" s="524" t="s">
        <v>1148</v>
      </c>
      <c r="D1034" s="524" t="s">
        <v>1186</v>
      </c>
      <c r="E1034" s="524" t="s">
        <v>1880</v>
      </c>
      <c r="F1034" s="524" t="s">
        <v>1183</v>
      </c>
      <c r="G1034" s="524" t="s">
        <v>742</v>
      </c>
      <c r="H1034" s="527">
        <v>196.02</v>
      </c>
      <c r="I1034" s="524" t="s">
        <v>1174</v>
      </c>
      <c r="J1034" s="524">
        <f>IF(cmf[[#This Row],[D/C]]="C",cmf[[#This Row],[Valor]],-1*cmf[[#This Row],[Valor]])</f>
        <v>-196.02</v>
      </c>
      <c r="L1034" s="524" t="s">
        <v>1188</v>
      </c>
      <c r="M1034" s="524" t="s">
        <v>1189</v>
      </c>
      <c r="N1034" s="524" t="s">
        <v>1215</v>
      </c>
      <c r="O1034" s="524" t="s">
        <v>1218</v>
      </c>
      <c r="P1034" s="526">
        <v>46217</v>
      </c>
      <c r="S1034" s="527">
        <v>0</v>
      </c>
    </row>
    <row r="1035" spans="1:19" x14ac:dyDescent="0.2">
      <c r="A1035" s="524">
        <v>69701</v>
      </c>
      <c r="B1035" s="526">
        <v>46217</v>
      </c>
      <c r="C1035" s="524" t="s">
        <v>1148</v>
      </c>
      <c r="D1035" s="524" t="s">
        <v>1186</v>
      </c>
      <c r="E1035" s="524" t="s">
        <v>1881</v>
      </c>
      <c r="F1035" s="524" t="s">
        <v>1183</v>
      </c>
      <c r="G1035" s="524" t="s">
        <v>742</v>
      </c>
      <c r="H1035" s="527">
        <v>178.06</v>
      </c>
      <c r="I1035" s="524" t="s">
        <v>1174</v>
      </c>
      <c r="J1035" s="524">
        <f>IF(cmf[[#This Row],[D/C]]="C",cmf[[#This Row],[Valor]],-1*cmf[[#This Row],[Valor]])</f>
        <v>-178.06</v>
      </c>
      <c r="L1035" s="524" t="s">
        <v>1188</v>
      </c>
      <c r="M1035" s="524" t="s">
        <v>1189</v>
      </c>
      <c r="N1035" s="524" t="s">
        <v>1215</v>
      </c>
      <c r="O1035" s="524" t="s">
        <v>1218</v>
      </c>
      <c r="P1035" s="526">
        <v>46217</v>
      </c>
      <c r="S1035" s="527">
        <v>0</v>
      </c>
    </row>
    <row r="1036" spans="1:19" x14ac:dyDescent="0.2">
      <c r="A1036" s="524">
        <v>69702</v>
      </c>
      <c r="B1036" s="526">
        <v>46217</v>
      </c>
      <c r="C1036" s="524" t="s">
        <v>1148</v>
      </c>
      <c r="D1036" s="524" t="s">
        <v>1186</v>
      </c>
      <c r="E1036" s="524" t="s">
        <v>1882</v>
      </c>
      <c r="F1036" s="524" t="s">
        <v>1183</v>
      </c>
      <c r="G1036" s="524" t="s">
        <v>742</v>
      </c>
      <c r="H1036" s="527">
        <v>1525.13</v>
      </c>
      <c r="I1036" s="524" t="s">
        <v>1174</v>
      </c>
      <c r="J1036" s="524">
        <f>IF(cmf[[#This Row],[D/C]]="C",cmf[[#This Row],[Valor]],-1*cmf[[#This Row],[Valor]])</f>
        <v>-1525.13</v>
      </c>
      <c r="L1036" s="524" t="s">
        <v>1188</v>
      </c>
      <c r="M1036" s="524" t="s">
        <v>1189</v>
      </c>
      <c r="N1036" s="524" t="s">
        <v>1215</v>
      </c>
      <c r="O1036" s="524" t="s">
        <v>1218</v>
      </c>
      <c r="P1036" s="526">
        <v>46217</v>
      </c>
      <c r="S1036" s="527">
        <v>0</v>
      </c>
    </row>
    <row r="1037" spans="1:19" x14ac:dyDescent="0.2">
      <c r="A1037" s="524">
        <v>69703</v>
      </c>
      <c r="B1037" s="526">
        <v>46217</v>
      </c>
      <c r="C1037" s="524" t="s">
        <v>1148</v>
      </c>
      <c r="D1037" s="524" t="s">
        <v>1186</v>
      </c>
      <c r="E1037" s="524" t="s">
        <v>1883</v>
      </c>
      <c r="F1037" s="524" t="s">
        <v>1183</v>
      </c>
      <c r="G1037" s="524" t="s">
        <v>742</v>
      </c>
      <c r="H1037" s="527">
        <v>230</v>
      </c>
      <c r="I1037" s="524" t="s">
        <v>1174</v>
      </c>
      <c r="J1037" s="524">
        <f>IF(cmf[[#This Row],[D/C]]="C",cmf[[#This Row],[Valor]],-1*cmf[[#This Row],[Valor]])</f>
        <v>-230</v>
      </c>
      <c r="L1037" s="524" t="s">
        <v>1188</v>
      </c>
      <c r="M1037" s="524" t="s">
        <v>1189</v>
      </c>
      <c r="N1037" s="524" t="s">
        <v>1215</v>
      </c>
      <c r="O1037" s="524" t="s">
        <v>1218</v>
      </c>
      <c r="P1037" s="526">
        <v>46217</v>
      </c>
      <c r="S1037" s="527">
        <v>0</v>
      </c>
    </row>
    <row r="1038" spans="1:19" x14ac:dyDescent="0.2">
      <c r="A1038" s="524">
        <v>69704</v>
      </c>
      <c r="B1038" s="526">
        <v>46217</v>
      </c>
      <c r="C1038" s="524" t="s">
        <v>1148</v>
      </c>
      <c r="D1038" s="524" t="s">
        <v>1186</v>
      </c>
      <c r="E1038" s="524" t="s">
        <v>1884</v>
      </c>
      <c r="F1038" s="524" t="s">
        <v>1183</v>
      </c>
      <c r="G1038" s="524" t="s">
        <v>742</v>
      </c>
      <c r="H1038" s="527">
        <v>29.27</v>
      </c>
      <c r="I1038" s="524" t="s">
        <v>1174</v>
      </c>
      <c r="J1038" s="524">
        <f>IF(cmf[[#This Row],[D/C]]="C",cmf[[#This Row],[Valor]],-1*cmf[[#This Row],[Valor]])</f>
        <v>-29.27</v>
      </c>
      <c r="L1038" s="524" t="s">
        <v>1188</v>
      </c>
      <c r="M1038" s="524" t="s">
        <v>1189</v>
      </c>
      <c r="N1038" s="524" t="s">
        <v>1215</v>
      </c>
      <c r="O1038" s="524" t="s">
        <v>1218</v>
      </c>
      <c r="P1038" s="526">
        <v>46217</v>
      </c>
      <c r="S1038" s="527">
        <v>0</v>
      </c>
    </row>
    <row r="1039" spans="1:19" x14ac:dyDescent="0.2">
      <c r="A1039" s="524">
        <v>69724</v>
      </c>
      <c r="B1039" s="526">
        <v>46217</v>
      </c>
      <c r="C1039" s="524" t="s">
        <v>1162</v>
      </c>
      <c r="D1039" s="524" t="s">
        <v>1226</v>
      </c>
      <c r="E1039" s="524" t="s">
        <v>1885</v>
      </c>
      <c r="F1039" s="524" t="s">
        <v>1328</v>
      </c>
      <c r="G1039" s="524" t="s">
        <v>1229</v>
      </c>
      <c r="H1039" s="527">
        <v>171797.19</v>
      </c>
      <c r="I1039" s="524" t="s">
        <v>1148</v>
      </c>
      <c r="J1039" s="524">
        <f>IF(cmf[[#This Row],[D/C]]="C",cmf[[#This Row],[Valor]],-1*cmf[[#This Row],[Valor]])</f>
        <v>171797.19</v>
      </c>
      <c r="L1039" s="524" t="s">
        <v>1230</v>
      </c>
      <c r="M1039" s="524" t="s">
        <v>1231</v>
      </c>
      <c r="N1039" s="524" t="s">
        <v>1171</v>
      </c>
      <c r="O1039" s="524" t="s">
        <v>1172</v>
      </c>
      <c r="P1039" s="526"/>
      <c r="S1039" s="527">
        <v>0</v>
      </c>
    </row>
    <row r="1040" spans="1:19" x14ac:dyDescent="0.2">
      <c r="A1040" s="524">
        <v>69725</v>
      </c>
      <c r="B1040" s="526">
        <v>46217</v>
      </c>
      <c r="C1040" s="524" t="s">
        <v>1162</v>
      </c>
      <c r="D1040" s="524" t="s">
        <v>1205</v>
      </c>
      <c r="E1040" s="524" t="s">
        <v>1214</v>
      </c>
      <c r="F1040" s="524" t="s">
        <v>1328</v>
      </c>
      <c r="G1040" s="524" t="s">
        <v>1229</v>
      </c>
      <c r="H1040" s="527">
        <v>171797.19</v>
      </c>
      <c r="I1040" s="524" t="s">
        <v>1174</v>
      </c>
      <c r="J1040" s="524">
        <f>IF(cmf[[#This Row],[D/C]]="C",cmf[[#This Row],[Valor]],-1*cmf[[#This Row],[Valor]])</f>
        <v>-171797.19</v>
      </c>
      <c r="L1040" s="524" t="s">
        <v>1207</v>
      </c>
      <c r="M1040" s="524" t="s">
        <v>1208</v>
      </c>
      <c r="N1040" s="524" t="s">
        <v>1171</v>
      </c>
      <c r="O1040" s="524" t="s">
        <v>1172</v>
      </c>
      <c r="P1040" s="526"/>
      <c r="S1040" s="527">
        <v>0</v>
      </c>
    </row>
    <row r="1041" spans="1:19" x14ac:dyDescent="0.2">
      <c r="A1041" s="524">
        <v>69726</v>
      </c>
      <c r="B1041" s="526">
        <v>46217</v>
      </c>
      <c r="C1041" s="524" t="s">
        <v>1148</v>
      </c>
      <c r="D1041" s="524" t="s">
        <v>1205</v>
      </c>
      <c r="E1041" s="524" t="s">
        <v>1330</v>
      </c>
      <c r="F1041" s="524" t="s">
        <v>1183</v>
      </c>
      <c r="G1041" s="524" t="s">
        <v>742</v>
      </c>
      <c r="H1041" s="527">
        <v>171797.19</v>
      </c>
      <c r="I1041" s="524" t="s">
        <v>1148</v>
      </c>
      <c r="J1041" s="524">
        <f>IF(cmf[[#This Row],[D/C]]="C",cmf[[#This Row],[Valor]],-1*cmf[[#This Row],[Valor]])</f>
        <v>171797.19</v>
      </c>
      <c r="L1041" s="524" t="s">
        <v>1207</v>
      </c>
      <c r="M1041" s="524" t="s">
        <v>1208</v>
      </c>
      <c r="N1041" s="524" t="s">
        <v>1215</v>
      </c>
      <c r="O1041" s="524" t="s">
        <v>1218</v>
      </c>
      <c r="P1041" s="526">
        <v>46217</v>
      </c>
      <c r="S1041" s="527">
        <v>0</v>
      </c>
    </row>
    <row r="1042" spans="1:19" x14ac:dyDescent="0.2">
      <c r="A1042" s="524">
        <v>69728</v>
      </c>
      <c r="B1042" s="526">
        <v>46217</v>
      </c>
      <c r="C1042" s="524" t="s">
        <v>1148</v>
      </c>
      <c r="D1042" s="524" t="s">
        <v>1186</v>
      </c>
      <c r="E1042" s="524" t="s">
        <v>1886</v>
      </c>
      <c r="F1042" s="524" t="s">
        <v>1183</v>
      </c>
      <c r="G1042" s="524" t="s">
        <v>800</v>
      </c>
      <c r="H1042" s="527">
        <v>883.14</v>
      </c>
      <c r="I1042" s="524" t="s">
        <v>1174</v>
      </c>
      <c r="J1042" s="524">
        <f>IF(cmf[[#This Row],[D/C]]="C",cmf[[#This Row],[Valor]],-1*cmf[[#This Row],[Valor]])</f>
        <v>-883.14</v>
      </c>
      <c r="L1042" s="524" t="s">
        <v>1188</v>
      </c>
      <c r="M1042" s="524" t="s">
        <v>1189</v>
      </c>
      <c r="N1042" s="524" t="s">
        <v>1171</v>
      </c>
      <c r="O1042" s="524" t="s">
        <v>1172</v>
      </c>
      <c r="P1042" s="526">
        <v>46217</v>
      </c>
      <c r="S1042" s="527">
        <v>0</v>
      </c>
    </row>
    <row r="1043" spans="1:19" x14ac:dyDescent="0.2">
      <c r="A1043" s="524">
        <v>69729</v>
      </c>
      <c r="B1043" s="526">
        <v>46217</v>
      </c>
      <c r="C1043" s="524" t="s">
        <v>1148</v>
      </c>
      <c r="D1043" s="524" t="s">
        <v>1186</v>
      </c>
      <c r="E1043" s="524" t="s">
        <v>1887</v>
      </c>
      <c r="F1043" s="524" t="s">
        <v>1183</v>
      </c>
      <c r="G1043" s="524" t="s">
        <v>800</v>
      </c>
      <c r="H1043" s="527">
        <v>94.99</v>
      </c>
      <c r="I1043" s="524" t="s">
        <v>1174</v>
      </c>
      <c r="J1043" s="524">
        <f>IF(cmf[[#This Row],[D/C]]="C",cmf[[#This Row],[Valor]],-1*cmf[[#This Row],[Valor]])</f>
        <v>-94.99</v>
      </c>
      <c r="L1043" s="524" t="s">
        <v>1188</v>
      </c>
      <c r="M1043" s="524" t="s">
        <v>1189</v>
      </c>
      <c r="N1043" s="524" t="s">
        <v>1171</v>
      </c>
      <c r="O1043" s="524" t="s">
        <v>1172</v>
      </c>
      <c r="P1043" s="526">
        <v>46217</v>
      </c>
      <c r="S1043" s="527">
        <v>0</v>
      </c>
    </row>
    <row r="1044" spans="1:19" x14ac:dyDescent="0.2">
      <c r="A1044" s="524">
        <v>69782</v>
      </c>
      <c r="B1044" s="526">
        <v>46217</v>
      </c>
      <c r="C1044" s="524" t="s">
        <v>1148</v>
      </c>
      <c r="D1044" s="524" t="s">
        <v>1186</v>
      </c>
      <c r="E1044" s="524" t="s">
        <v>1888</v>
      </c>
      <c r="F1044" s="524" t="s">
        <v>1183</v>
      </c>
      <c r="G1044" s="524" t="s">
        <v>742</v>
      </c>
      <c r="H1044" s="527">
        <v>3663.05</v>
      </c>
      <c r="I1044" s="524" t="s">
        <v>1174</v>
      </c>
      <c r="J1044" s="524">
        <f>IF(cmf[[#This Row],[D/C]]="C",cmf[[#This Row],[Valor]],-1*cmf[[#This Row],[Valor]])</f>
        <v>-3663.05</v>
      </c>
      <c r="L1044" s="524" t="s">
        <v>1188</v>
      </c>
      <c r="M1044" s="524" t="s">
        <v>1189</v>
      </c>
      <c r="N1044" s="524" t="s">
        <v>1215</v>
      </c>
      <c r="O1044" s="524" t="s">
        <v>1218</v>
      </c>
      <c r="P1044" s="526">
        <v>46217</v>
      </c>
      <c r="S1044" s="527">
        <v>0</v>
      </c>
    </row>
    <row r="1045" spans="1:19" x14ac:dyDescent="0.2">
      <c r="A1045" s="524">
        <v>69783</v>
      </c>
      <c r="B1045" s="526">
        <v>46217</v>
      </c>
      <c r="C1045" s="524" t="s">
        <v>1148</v>
      </c>
      <c r="D1045" s="524" t="s">
        <v>1186</v>
      </c>
      <c r="E1045" s="524" t="s">
        <v>1889</v>
      </c>
      <c r="F1045" s="524" t="s">
        <v>1183</v>
      </c>
      <c r="G1045" s="524" t="s">
        <v>742</v>
      </c>
      <c r="H1045" s="527">
        <v>33847.760000000002</v>
      </c>
      <c r="I1045" s="524" t="s">
        <v>1174</v>
      </c>
      <c r="J1045" s="524">
        <f>IF(cmf[[#This Row],[D/C]]="C",cmf[[#This Row],[Valor]],-1*cmf[[#This Row],[Valor]])</f>
        <v>-33847.760000000002</v>
      </c>
      <c r="L1045" s="524" t="s">
        <v>1188</v>
      </c>
      <c r="M1045" s="524" t="s">
        <v>1189</v>
      </c>
      <c r="N1045" s="524" t="s">
        <v>1215</v>
      </c>
      <c r="O1045" s="524" t="s">
        <v>1218</v>
      </c>
      <c r="P1045" s="526">
        <v>46217</v>
      </c>
      <c r="S1045" s="527">
        <v>0</v>
      </c>
    </row>
    <row r="1046" spans="1:19" x14ac:dyDescent="0.2">
      <c r="A1046" s="524">
        <v>69815</v>
      </c>
      <c r="B1046" s="526">
        <v>46217</v>
      </c>
      <c r="C1046" s="524" t="s">
        <v>1148</v>
      </c>
      <c r="D1046" s="524" t="s">
        <v>1186</v>
      </c>
      <c r="E1046" s="524" t="s">
        <v>1890</v>
      </c>
      <c r="F1046" s="524" t="s">
        <v>1183</v>
      </c>
      <c r="G1046" s="524" t="s">
        <v>742</v>
      </c>
      <c r="H1046" s="527">
        <v>745.5</v>
      </c>
      <c r="I1046" s="524" t="s">
        <v>1174</v>
      </c>
      <c r="J1046" s="524">
        <f>IF(cmf[[#This Row],[D/C]]="C",cmf[[#This Row],[Valor]],-1*cmf[[#This Row],[Valor]])</f>
        <v>-745.5</v>
      </c>
      <c r="L1046" s="524" t="s">
        <v>1188</v>
      </c>
      <c r="M1046" s="524" t="s">
        <v>1189</v>
      </c>
      <c r="N1046" s="524" t="s">
        <v>1215</v>
      </c>
      <c r="O1046" s="524" t="s">
        <v>1218</v>
      </c>
      <c r="P1046" s="526">
        <v>46217</v>
      </c>
      <c r="S1046" s="527">
        <v>0</v>
      </c>
    </row>
    <row r="1047" spans="1:19" x14ac:dyDescent="0.2">
      <c r="A1047" s="524">
        <v>69867</v>
      </c>
      <c r="B1047" s="526">
        <v>46217</v>
      </c>
      <c r="C1047" s="524" t="s">
        <v>1148</v>
      </c>
      <c r="D1047" s="524" t="s">
        <v>1243</v>
      </c>
      <c r="E1047" s="524" t="s">
        <v>1244</v>
      </c>
      <c r="F1047" s="524" t="s">
        <v>1183</v>
      </c>
      <c r="G1047" s="524" t="s">
        <v>769</v>
      </c>
      <c r="H1047" s="527">
        <v>100509.26</v>
      </c>
      <c r="I1047" s="524" t="s">
        <v>1148</v>
      </c>
      <c r="J1047" s="524">
        <f>IF(cmf[[#This Row],[D/C]]="C",cmf[[#This Row],[Valor]],-1*cmf[[#This Row],[Valor]])</f>
        <v>100509.26</v>
      </c>
      <c r="L1047" s="524" t="s">
        <v>1245</v>
      </c>
      <c r="M1047" s="524" t="s">
        <v>1246</v>
      </c>
      <c r="N1047" s="524" t="s">
        <v>1219</v>
      </c>
      <c r="O1047" s="524" t="s">
        <v>1220</v>
      </c>
      <c r="P1047" s="526">
        <v>46217</v>
      </c>
      <c r="S1047" s="527">
        <v>0</v>
      </c>
    </row>
    <row r="1048" spans="1:19" x14ac:dyDescent="0.2">
      <c r="A1048" s="524">
        <v>69873</v>
      </c>
      <c r="B1048" s="526">
        <v>46217</v>
      </c>
      <c r="C1048" s="524" t="s">
        <v>1148</v>
      </c>
      <c r="D1048" s="524" t="s">
        <v>1243</v>
      </c>
      <c r="E1048" s="524" t="s">
        <v>1244</v>
      </c>
      <c r="F1048" s="524" t="s">
        <v>1183</v>
      </c>
      <c r="G1048" s="524" t="s">
        <v>769</v>
      </c>
      <c r="H1048" s="527">
        <v>1.33</v>
      </c>
      <c r="I1048" s="524" t="s">
        <v>1148</v>
      </c>
      <c r="J1048" s="524">
        <f>IF(cmf[[#This Row],[D/C]]="C",cmf[[#This Row],[Valor]],-1*cmf[[#This Row],[Valor]])</f>
        <v>1.33</v>
      </c>
      <c r="L1048" s="524" t="s">
        <v>1245</v>
      </c>
      <c r="M1048" s="524" t="s">
        <v>1246</v>
      </c>
      <c r="N1048" s="524" t="s">
        <v>1219</v>
      </c>
      <c r="O1048" s="524" t="s">
        <v>1220</v>
      </c>
      <c r="P1048" s="526">
        <v>46217</v>
      </c>
      <c r="S1048" s="527">
        <v>0</v>
      </c>
    </row>
    <row r="1049" spans="1:19" x14ac:dyDescent="0.2">
      <c r="A1049" s="524">
        <v>69917</v>
      </c>
      <c r="B1049" s="526">
        <v>46217</v>
      </c>
      <c r="C1049" s="524" t="s">
        <v>1148</v>
      </c>
      <c r="D1049" s="524" t="s">
        <v>1186</v>
      </c>
      <c r="E1049" s="524" t="s">
        <v>1891</v>
      </c>
      <c r="F1049" s="524" t="s">
        <v>1183</v>
      </c>
      <c r="G1049" s="524" t="s">
        <v>742</v>
      </c>
      <c r="H1049" s="527">
        <v>154.29</v>
      </c>
      <c r="I1049" s="524" t="s">
        <v>1174</v>
      </c>
      <c r="J1049" s="524">
        <f>IF(cmf[[#This Row],[D/C]]="C",cmf[[#This Row],[Valor]],-1*cmf[[#This Row],[Valor]])</f>
        <v>-154.29</v>
      </c>
      <c r="L1049" s="524" t="s">
        <v>1188</v>
      </c>
      <c r="M1049" s="524" t="s">
        <v>1189</v>
      </c>
      <c r="N1049" s="524" t="s">
        <v>1215</v>
      </c>
      <c r="O1049" s="524" t="s">
        <v>1218</v>
      </c>
      <c r="P1049" s="526">
        <v>46217</v>
      </c>
      <c r="S1049" s="527">
        <v>0</v>
      </c>
    </row>
    <row r="1050" spans="1:19" x14ac:dyDescent="0.2">
      <c r="A1050" s="524">
        <v>69918</v>
      </c>
      <c r="B1050" s="526">
        <v>46217</v>
      </c>
      <c r="C1050" s="524" t="s">
        <v>1162</v>
      </c>
      <c r="D1050" s="524" t="s">
        <v>1186</v>
      </c>
      <c r="E1050" s="524" t="s">
        <v>1892</v>
      </c>
      <c r="F1050" s="524" t="s">
        <v>1576</v>
      </c>
      <c r="G1050" s="524" t="s">
        <v>1577</v>
      </c>
      <c r="H1050" s="527">
        <v>1468.3</v>
      </c>
      <c r="I1050" s="524" t="s">
        <v>1174</v>
      </c>
      <c r="J1050" s="524">
        <f>IF(cmf[[#This Row],[D/C]]="C",cmf[[#This Row],[Valor]],-1*cmf[[#This Row],[Valor]])</f>
        <v>-1468.3</v>
      </c>
      <c r="L1050" s="524" t="s">
        <v>1188</v>
      </c>
      <c r="M1050" s="524" t="s">
        <v>1189</v>
      </c>
      <c r="N1050" s="524" t="s">
        <v>1578</v>
      </c>
      <c r="O1050" s="524" t="s">
        <v>1579</v>
      </c>
      <c r="P1050" s="526"/>
      <c r="S1050" s="527">
        <v>0</v>
      </c>
    </row>
    <row r="1051" spans="1:19" x14ac:dyDescent="0.2">
      <c r="A1051" s="524">
        <v>69980</v>
      </c>
      <c r="B1051" s="526">
        <v>46217</v>
      </c>
      <c r="C1051" s="524" t="s">
        <v>1148</v>
      </c>
      <c r="D1051" s="524" t="s">
        <v>1186</v>
      </c>
      <c r="E1051" s="524" t="s">
        <v>1893</v>
      </c>
      <c r="F1051" s="524" t="s">
        <v>1183</v>
      </c>
      <c r="G1051" s="524" t="s">
        <v>800</v>
      </c>
      <c r="H1051" s="527">
        <v>7475.8</v>
      </c>
      <c r="I1051" s="524" t="s">
        <v>1174</v>
      </c>
      <c r="J1051" s="524">
        <f>IF(cmf[[#This Row],[D/C]]="C",cmf[[#This Row],[Valor]],-1*cmf[[#This Row],[Valor]])</f>
        <v>-7475.8</v>
      </c>
      <c r="L1051" s="524" t="s">
        <v>1188</v>
      </c>
      <c r="M1051" s="524" t="s">
        <v>1189</v>
      </c>
      <c r="N1051" s="524" t="s">
        <v>1171</v>
      </c>
      <c r="O1051" s="524" t="s">
        <v>1172</v>
      </c>
      <c r="P1051" s="526">
        <v>46217</v>
      </c>
      <c r="S1051" s="527">
        <v>0</v>
      </c>
    </row>
    <row r="1052" spans="1:19" x14ac:dyDescent="0.2">
      <c r="A1052" s="524">
        <v>70113</v>
      </c>
      <c r="B1052" s="526">
        <v>46217</v>
      </c>
      <c r="C1052" s="524" t="s">
        <v>1148</v>
      </c>
      <c r="D1052" s="524" t="s">
        <v>1226</v>
      </c>
      <c r="E1052" s="524" t="s">
        <v>1894</v>
      </c>
      <c r="F1052" s="524" t="s">
        <v>1170</v>
      </c>
      <c r="G1052" s="524" t="s">
        <v>1102</v>
      </c>
      <c r="H1052" s="527">
        <v>522.20000000000005</v>
      </c>
      <c r="I1052" s="524" t="s">
        <v>1148</v>
      </c>
      <c r="J1052" s="524">
        <f>IF(cmf[[#This Row],[D/C]]="C",cmf[[#This Row],[Valor]],-1*cmf[[#This Row],[Valor]])</f>
        <v>522.20000000000005</v>
      </c>
      <c r="L1052" s="524" t="s">
        <v>1230</v>
      </c>
      <c r="M1052" s="524" t="s">
        <v>1231</v>
      </c>
      <c r="N1052" s="524" t="s">
        <v>1192</v>
      </c>
      <c r="O1052" s="524" t="s">
        <v>1193</v>
      </c>
      <c r="P1052" s="526">
        <v>46217</v>
      </c>
      <c r="S1052" s="527">
        <v>0</v>
      </c>
    </row>
    <row r="1053" spans="1:19" x14ac:dyDescent="0.2">
      <c r="A1053" s="524">
        <v>70114</v>
      </c>
      <c r="B1053" s="526">
        <v>46217</v>
      </c>
      <c r="C1053" s="524" t="s">
        <v>1148</v>
      </c>
      <c r="D1053" s="524" t="s">
        <v>1226</v>
      </c>
      <c r="E1053" s="524" t="s">
        <v>1895</v>
      </c>
      <c r="F1053" s="524" t="s">
        <v>1170</v>
      </c>
      <c r="G1053" s="524" t="s">
        <v>1102</v>
      </c>
      <c r="H1053" s="527">
        <v>926.91</v>
      </c>
      <c r="I1053" s="524" t="s">
        <v>1148</v>
      </c>
      <c r="J1053" s="524">
        <f>IF(cmf[[#This Row],[D/C]]="C",cmf[[#This Row],[Valor]],-1*cmf[[#This Row],[Valor]])</f>
        <v>926.91</v>
      </c>
      <c r="L1053" s="524" t="s">
        <v>1230</v>
      </c>
      <c r="M1053" s="524" t="s">
        <v>1231</v>
      </c>
      <c r="N1053" s="524" t="s">
        <v>1192</v>
      </c>
      <c r="O1053" s="524" t="s">
        <v>1193</v>
      </c>
      <c r="P1053" s="526">
        <v>46217</v>
      </c>
      <c r="S1053" s="527">
        <v>0</v>
      </c>
    </row>
    <row r="1054" spans="1:19" x14ac:dyDescent="0.2">
      <c r="A1054" s="524">
        <v>70115</v>
      </c>
      <c r="B1054" s="526">
        <v>46217</v>
      </c>
      <c r="C1054" s="524" t="s">
        <v>1148</v>
      </c>
      <c r="D1054" s="524" t="s">
        <v>1226</v>
      </c>
      <c r="E1054" s="524" t="s">
        <v>1896</v>
      </c>
      <c r="F1054" s="524" t="s">
        <v>1170</v>
      </c>
      <c r="G1054" s="524" t="s">
        <v>1102</v>
      </c>
      <c r="H1054" s="527">
        <v>311.2</v>
      </c>
      <c r="I1054" s="524" t="s">
        <v>1148</v>
      </c>
      <c r="J1054" s="524">
        <f>IF(cmf[[#This Row],[D/C]]="C",cmf[[#This Row],[Valor]],-1*cmf[[#This Row],[Valor]])</f>
        <v>311.2</v>
      </c>
      <c r="L1054" s="524" t="s">
        <v>1230</v>
      </c>
      <c r="M1054" s="524" t="s">
        <v>1231</v>
      </c>
      <c r="N1054" s="524" t="s">
        <v>1192</v>
      </c>
      <c r="O1054" s="524" t="s">
        <v>1193</v>
      </c>
      <c r="P1054" s="526">
        <v>46217</v>
      </c>
      <c r="S1054" s="527">
        <v>0</v>
      </c>
    </row>
    <row r="1055" spans="1:19" x14ac:dyDescent="0.2">
      <c r="A1055" s="524">
        <v>70116</v>
      </c>
      <c r="B1055" s="526">
        <v>46217</v>
      </c>
      <c r="C1055" s="524" t="s">
        <v>1148</v>
      </c>
      <c r="D1055" s="524" t="s">
        <v>1226</v>
      </c>
      <c r="E1055" s="524" t="s">
        <v>1897</v>
      </c>
      <c r="F1055" s="524" t="s">
        <v>1170</v>
      </c>
      <c r="G1055" s="524" t="s">
        <v>1102</v>
      </c>
      <c r="H1055" s="527">
        <v>123</v>
      </c>
      <c r="I1055" s="524" t="s">
        <v>1148</v>
      </c>
      <c r="J1055" s="524">
        <f>IF(cmf[[#This Row],[D/C]]="C",cmf[[#This Row],[Valor]],-1*cmf[[#This Row],[Valor]])</f>
        <v>123</v>
      </c>
      <c r="L1055" s="524" t="s">
        <v>1230</v>
      </c>
      <c r="M1055" s="524" t="s">
        <v>1231</v>
      </c>
      <c r="N1055" s="524" t="s">
        <v>1192</v>
      </c>
      <c r="O1055" s="524" t="s">
        <v>1193</v>
      </c>
      <c r="P1055" s="526">
        <v>46217</v>
      </c>
      <c r="S1055" s="527">
        <v>0</v>
      </c>
    </row>
    <row r="1056" spans="1:19" x14ac:dyDescent="0.2">
      <c r="A1056" s="524">
        <v>70117</v>
      </c>
      <c r="B1056" s="526">
        <v>46217</v>
      </c>
      <c r="C1056" s="524" t="s">
        <v>1148</v>
      </c>
      <c r="D1056" s="524" t="s">
        <v>1226</v>
      </c>
      <c r="E1056" s="524" t="s">
        <v>1898</v>
      </c>
      <c r="F1056" s="524" t="s">
        <v>1170</v>
      </c>
      <c r="G1056" s="524" t="s">
        <v>1102</v>
      </c>
      <c r="H1056" s="527">
        <v>2019.32</v>
      </c>
      <c r="I1056" s="524" t="s">
        <v>1148</v>
      </c>
      <c r="J1056" s="524">
        <f>IF(cmf[[#This Row],[D/C]]="C",cmf[[#This Row],[Valor]],-1*cmf[[#This Row],[Valor]])</f>
        <v>2019.32</v>
      </c>
      <c r="L1056" s="524" t="s">
        <v>1230</v>
      </c>
      <c r="M1056" s="524" t="s">
        <v>1231</v>
      </c>
      <c r="N1056" s="524" t="s">
        <v>1192</v>
      </c>
      <c r="O1056" s="524" t="s">
        <v>1193</v>
      </c>
      <c r="P1056" s="526">
        <v>46217</v>
      </c>
      <c r="S1056" s="527">
        <v>0</v>
      </c>
    </row>
    <row r="1057" spans="1:19" x14ac:dyDescent="0.2">
      <c r="A1057" s="524">
        <v>70191</v>
      </c>
      <c r="B1057" s="526">
        <v>46217</v>
      </c>
      <c r="C1057" s="524" t="s">
        <v>1148</v>
      </c>
      <c r="D1057" s="524" t="s">
        <v>1226</v>
      </c>
      <c r="E1057" s="524" t="s">
        <v>1899</v>
      </c>
      <c r="F1057" s="524" t="s">
        <v>1183</v>
      </c>
      <c r="G1057" s="524" t="s">
        <v>806</v>
      </c>
      <c r="H1057" s="527">
        <v>10000</v>
      </c>
      <c r="I1057" s="524" t="s">
        <v>1148</v>
      </c>
      <c r="J1057" s="524">
        <f>IF(cmf[[#This Row],[D/C]]="C",cmf[[#This Row],[Valor]],-1*cmf[[#This Row],[Valor]])</f>
        <v>10000</v>
      </c>
      <c r="L1057" s="524" t="s">
        <v>1230</v>
      </c>
      <c r="M1057" s="524" t="s">
        <v>1231</v>
      </c>
      <c r="N1057" s="524" t="s">
        <v>1283</v>
      </c>
      <c r="O1057" s="524" t="s">
        <v>1284</v>
      </c>
      <c r="P1057" s="526">
        <v>46217</v>
      </c>
      <c r="S1057" s="527">
        <v>0</v>
      </c>
    </row>
    <row r="1058" spans="1:19" x14ac:dyDescent="0.2">
      <c r="A1058" s="524">
        <v>70208</v>
      </c>
      <c r="B1058" s="526">
        <v>46217</v>
      </c>
      <c r="C1058" s="524" t="s">
        <v>1148</v>
      </c>
      <c r="D1058" s="524" t="s">
        <v>1243</v>
      </c>
      <c r="E1058" s="524" t="s">
        <v>1244</v>
      </c>
      <c r="F1058" s="524" t="s">
        <v>1183</v>
      </c>
      <c r="G1058" s="524" t="s">
        <v>758</v>
      </c>
      <c r="H1058" s="527">
        <v>1452.84</v>
      </c>
      <c r="I1058" s="524" t="s">
        <v>1148</v>
      </c>
      <c r="J1058" s="524">
        <f>IF(cmf[[#This Row],[D/C]]="C",cmf[[#This Row],[Valor]],-1*cmf[[#This Row],[Valor]])</f>
        <v>1452.84</v>
      </c>
      <c r="L1058" s="524" t="s">
        <v>1245</v>
      </c>
      <c r="M1058" s="524" t="s">
        <v>1246</v>
      </c>
      <c r="N1058" s="524" t="s">
        <v>1223</v>
      </c>
      <c r="O1058" s="524" t="s">
        <v>1224</v>
      </c>
      <c r="P1058" s="526">
        <v>46217</v>
      </c>
      <c r="S1058" s="527">
        <v>0</v>
      </c>
    </row>
    <row r="1059" spans="1:19" x14ac:dyDescent="0.2">
      <c r="A1059" s="524">
        <v>70214</v>
      </c>
      <c r="B1059" s="526">
        <v>46217</v>
      </c>
      <c r="C1059" s="524" t="s">
        <v>1148</v>
      </c>
      <c r="D1059" s="524" t="s">
        <v>1243</v>
      </c>
      <c r="E1059" s="524" t="s">
        <v>1244</v>
      </c>
      <c r="F1059" s="524" t="s">
        <v>1183</v>
      </c>
      <c r="G1059" s="524" t="s">
        <v>758</v>
      </c>
      <c r="H1059" s="527">
        <v>0.09</v>
      </c>
      <c r="I1059" s="524" t="s">
        <v>1148</v>
      </c>
      <c r="J1059" s="524">
        <f>IF(cmf[[#This Row],[D/C]]="C",cmf[[#This Row],[Valor]],-1*cmf[[#This Row],[Valor]])</f>
        <v>0.09</v>
      </c>
      <c r="L1059" s="524" t="s">
        <v>1245</v>
      </c>
      <c r="M1059" s="524" t="s">
        <v>1246</v>
      </c>
      <c r="N1059" s="524" t="s">
        <v>1223</v>
      </c>
      <c r="O1059" s="524" t="s">
        <v>1224</v>
      </c>
      <c r="P1059" s="526">
        <v>46217</v>
      </c>
      <c r="S1059" s="527">
        <v>0</v>
      </c>
    </row>
    <row r="1060" spans="1:19" x14ac:dyDescent="0.2">
      <c r="A1060" s="524">
        <v>70235</v>
      </c>
      <c r="B1060" s="526">
        <v>46217</v>
      </c>
      <c r="C1060" s="524" t="s">
        <v>1148</v>
      </c>
      <c r="D1060" s="524" t="s">
        <v>1243</v>
      </c>
      <c r="E1060" s="524" t="s">
        <v>1244</v>
      </c>
      <c r="F1060" s="524" t="s">
        <v>1183</v>
      </c>
      <c r="G1060" s="524" t="s">
        <v>806</v>
      </c>
      <c r="H1060" s="527">
        <v>133762.10999999999</v>
      </c>
      <c r="I1060" s="524" t="s">
        <v>1148</v>
      </c>
      <c r="J1060" s="524">
        <f>IF(cmf[[#This Row],[D/C]]="C",cmf[[#This Row],[Valor]],-1*cmf[[#This Row],[Valor]])</f>
        <v>133762.10999999999</v>
      </c>
      <c r="L1060" s="524" t="s">
        <v>1245</v>
      </c>
      <c r="M1060" s="524" t="s">
        <v>1246</v>
      </c>
      <c r="N1060" s="524" t="s">
        <v>1283</v>
      </c>
      <c r="O1060" s="524" t="s">
        <v>1284</v>
      </c>
      <c r="P1060" s="526">
        <v>46217</v>
      </c>
      <c r="S1060" s="527">
        <v>0</v>
      </c>
    </row>
    <row r="1061" spans="1:19" x14ac:dyDescent="0.2">
      <c r="A1061" s="524">
        <v>70240</v>
      </c>
      <c r="B1061" s="526">
        <v>46217</v>
      </c>
      <c r="C1061" s="524" t="s">
        <v>1148</v>
      </c>
      <c r="D1061" s="524" t="s">
        <v>1243</v>
      </c>
      <c r="E1061" s="524" t="s">
        <v>1244</v>
      </c>
      <c r="F1061" s="524" t="s">
        <v>1183</v>
      </c>
      <c r="G1061" s="524" t="s">
        <v>806</v>
      </c>
      <c r="H1061" s="527">
        <v>1.52</v>
      </c>
      <c r="I1061" s="524" t="s">
        <v>1148</v>
      </c>
      <c r="J1061" s="524">
        <f>IF(cmf[[#This Row],[D/C]]="C",cmf[[#This Row],[Valor]],-1*cmf[[#This Row],[Valor]])</f>
        <v>1.52</v>
      </c>
      <c r="L1061" s="524" t="s">
        <v>1245</v>
      </c>
      <c r="M1061" s="524" t="s">
        <v>1246</v>
      </c>
      <c r="N1061" s="524" t="s">
        <v>1283</v>
      </c>
      <c r="O1061" s="524" t="s">
        <v>1284</v>
      </c>
      <c r="P1061" s="526">
        <v>46217</v>
      </c>
      <c r="S1061" s="527">
        <v>0</v>
      </c>
    </row>
    <row r="1062" spans="1:19" x14ac:dyDescent="0.2">
      <c r="A1062" s="524">
        <v>70256</v>
      </c>
      <c r="B1062" s="526">
        <v>46217</v>
      </c>
      <c r="C1062" s="524" t="s">
        <v>1148</v>
      </c>
      <c r="D1062" s="524" t="s">
        <v>1239</v>
      </c>
      <c r="E1062" s="524" t="s">
        <v>1255</v>
      </c>
      <c r="F1062" s="524" t="s">
        <v>1170</v>
      </c>
      <c r="G1062" s="524" t="s">
        <v>768</v>
      </c>
      <c r="H1062" s="527">
        <v>0.6</v>
      </c>
      <c r="I1062" s="524" t="s">
        <v>1174</v>
      </c>
      <c r="J1062" s="524">
        <f>IF(cmf[[#This Row],[D/C]]="C",cmf[[#This Row],[Valor]],-1*cmf[[#This Row],[Valor]])</f>
        <v>-0.6</v>
      </c>
      <c r="L1062" s="524" t="s">
        <v>1241</v>
      </c>
      <c r="M1062" s="524" t="s">
        <v>1242</v>
      </c>
      <c r="N1062" s="524" t="s">
        <v>1219</v>
      </c>
      <c r="O1062" s="524" t="s">
        <v>1220</v>
      </c>
      <c r="P1062" s="526">
        <v>46217</v>
      </c>
      <c r="S1062" s="527">
        <v>0</v>
      </c>
    </row>
    <row r="1063" spans="1:19" x14ac:dyDescent="0.2">
      <c r="A1063" s="524">
        <v>70257</v>
      </c>
      <c r="B1063" s="526">
        <v>46217</v>
      </c>
      <c r="C1063" s="524" t="s">
        <v>1148</v>
      </c>
      <c r="D1063" s="524" t="s">
        <v>1239</v>
      </c>
      <c r="E1063" s="524" t="s">
        <v>1312</v>
      </c>
      <c r="F1063" s="524" t="s">
        <v>1170</v>
      </c>
      <c r="G1063" s="524" t="s">
        <v>768</v>
      </c>
      <c r="H1063" s="527">
        <v>10</v>
      </c>
      <c r="I1063" s="524" t="s">
        <v>1174</v>
      </c>
      <c r="J1063" s="524">
        <f>IF(cmf[[#This Row],[D/C]]="C",cmf[[#This Row],[Valor]],-1*cmf[[#This Row],[Valor]])</f>
        <v>-10</v>
      </c>
      <c r="L1063" s="524" t="s">
        <v>1241</v>
      </c>
      <c r="M1063" s="524" t="s">
        <v>1242</v>
      </c>
      <c r="N1063" s="524" t="s">
        <v>1219</v>
      </c>
      <c r="O1063" s="524" t="s">
        <v>1220</v>
      </c>
      <c r="P1063" s="526">
        <v>46217</v>
      </c>
      <c r="S1063" s="527">
        <v>0</v>
      </c>
    </row>
    <row r="1064" spans="1:19" x14ac:dyDescent="0.2">
      <c r="A1064" s="524">
        <v>70272</v>
      </c>
      <c r="B1064" s="526">
        <v>46217</v>
      </c>
      <c r="C1064" s="524" t="s">
        <v>1148</v>
      </c>
      <c r="D1064" s="524" t="s">
        <v>1243</v>
      </c>
      <c r="E1064" s="524" t="s">
        <v>1244</v>
      </c>
      <c r="F1064" s="524" t="s">
        <v>1183</v>
      </c>
      <c r="G1064" s="524" t="s">
        <v>745</v>
      </c>
      <c r="H1064" s="527">
        <v>5991.09</v>
      </c>
      <c r="I1064" s="524" t="s">
        <v>1148</v>
      </c>
      <c r="J1064" s="524">
        <f>IF(cmf[[#This Row],[D/C]]="C",cmf[[#This Row],[Valor]],-1*cmf[[#This Row],[Valor]])</f>
        <v>5991.09</v>
      </c>
      <c r="L1064" s="524" t="s">
        <v>1245</v>
      </c>
      <c r="M1064" s="524" t="s">
        <v>1246</v>
      </c>
      <c r="N1064" s="524" t="s">
        <v>1292</v>
      </c>
      <c r="O1064" s="524" t="s">
        <v>1293</v>
      </c>
      <c r="P1064" s="526">
        <v>46217</v>
      </c>
      <c r="S1064" s="527">
        <v>0</v>
      </c>
    </row>
    <row r="1065" spans="1:19" x14ac:dyDescent="0.2">
      <c r="A1065" s="524">
        <v>70279</v>
      </c>
      <c r="B1065" s="526">
        <v>46217</v>
      </c>
      <c r="C1065" s="524" t="s">
        <v>1148</v>
      </c>
      <c r="D1065" s="524" t="s">
        <v>1243</v>
      </c>
      <c r="E1065" s="524" t="s">
        <v>1244</v>
      </c>
      <c r="F1065" s="524" t="s">
        <v>1183</v>
      </c>
      <c r="G1065" s="524" t="s">
        <v>745</v>
      </c>
      <c r="H1065" s="527">
        <v>0.08</v>
      </c>
      <c r="I1065" s="524" t="s">
        <v>1148</v>
      </c>
      <c r="J1065" s="524">
        <f>IF(cmf[[#This Row],[D/C]]="C",cmf[[#This Row],[Valor]],-1*cmf[[#This Row],[Valor]])</f>
        <v>0.08</v>
      </c>
      <c r="L1065" s="524" t="s">
        <v>1245</v>
      </c>
      <c r="M1065" s="524" t="s">
        <v>1246</v>
      </c>
      <c r="N1065" s="524" t="s">
        <v>1292</v>
      </c>
      <c r="O1065" s="524" t="s">
        <v>1293</v>
      </c>
      <c r="P1065" s="526">
        <v>46217</v>
      </c>
      <c r="S1065" s="527">
        <v>0</v>
      </c>
    </row>
    <row r="1066" spans="1:19" x14ac:dyDescent="0.2">
      <c r="A1066" s="524">
        <v>70334</v>
      </c>
      <c r="B1066" s="526">
        <v>46217</v>
      </c>
      <c r="C1066" s="524" t="s">
        <v>1148</v>
      </c>
      <c r="D1066" s="524" t="s">
        <v>1243</v>
      </c>
      <c r="E1066" s="524" t="s">
        <v>1244</v>
      </c>
      <c r="F1066" s="524" t="s">
        <v>1183</v>
      </c>
      <c r="G1066" s="524" t="s">
        <v>803</v>
      </c>
      <c r="H1066" s="527">
        <v>27963.65</v>
      </c>
      <c r="I1066" s="524" t="s">
        <v>1148</v>
      </c>
      <c r="J1066" s="524">
        <f>IF(cmf[[#This Row],[D/C]]="C",cmf[[#This Row],[Valor]],-1*cmf[[#This Row],[Valor]])</f>
        <v>27963.65</v>
      </c>
      <c r="L1066" s="524" t="s">
        <v>1245</v>
      </c>
      <c r="M1066" s="524" t="s">
        <v>1246</v>
      </c>
      <c r="N1066" s="524" t="s">
        <v>1192</v>
      </c>
      <c r="O1066" s="524" t="s">
        <v>1193</v>
      </c>
      <c r="P1066" s="526">
        <v>46217</v>
      </c>
      <c r="S1066" s="527">
        <v>0</v>
      </c>
    </row>
    <row r="1067" spans="1:19" x14ac:dyDescent="0.2">
      <c r="A1067" s="524">
        <v>70335</v>
      </c>
      <c r="B1067" s="526">
        <v>46217</v>
      </c>
      <c r="C1067" s="524" t="s">
        <v>1148</v>
      </c>
      <c r="D1067" s="524" t="s">
        <v>1243</v>
      </c>
      <c r="E1067" s="524" t="s">
        <v>1244</v>
      </c>
      <c r="F1067" s="524" t="s">
        <v>1183</v>
      </c>
      <c r="G1067" s="524" t="s">
        <v>803</v>
      </c>
      <c r="H1067" s="527">
        <v>0.38</v>
      </c>
      <c r="I1067" s="524" t="s">
        <v>1148</v>
      </c>
      <c r="J1067" s="524">
        <f>IF(cmf[[#This Row],[D/C]]="C",cmf[[#This Row],[Valor]],-1*cmf[[#This Row],[Valor]])</f>
        <v>0.38</v>
      </c>
      <c r="L1067" s="524" t="s">
        <v>1245</v>
      </c>
      <c r="M1067" s="524" t="s">
        <v>1246</v>
      </c>
      <c r="N1067" s="524" t="s">
        <v>1192</v>
      </c>
      <c r="O1067" s="524" t="s">
        <v>1193</v>
      </c>
      <c r="P1067" s="526">
        <v>46217</v>
      </c>
      <c r="S1067" s="527">
        <v>0</v>
      </c>
    </row>
    <row r="1068" spans="1:19" x14ac:dyDescent="0.2">
      <c r="A1068" s="524">
        <v>70347</v>
      </c>
      <c r="B1068" s="526">
        <v>46217</v>
      </c>
      <c r="C1068" s="524" t="s">
        <v>1148</v>
      </c>
      <c r="D1068" s="524" t="s">
        <v>1243</v>
      </c>
      <c r="E1068" s="524" t="s">
        <v>1244</v>
      </c>
      <c r="F1068" s="524" t="s">
        <v>1183</v>
      </c>
      <c r="G1068" s="524" t="s">
        <v>800</v>
      </c>
      <c r="H1068" s="527">
        <v>18395.73</v>
      </c>
      <c r="I1068" s="524" t="s">
        <v>1148</v>
      </c>
      <c r="J1068" s="524">
        <f>IF(cmf[[#This Row],[D/C]]="C",cmf[[#This Row],[Valor]],-1*cmf[[#This Row],[Valor]])</f>
        <v>18395.73</v>
      </c>
      <c r="L1068" s="524" t="s">
        <v>1245</v>
      </c>
      <c r="M1068" s="524" t="s">
        <v>1246</v>
      </c>
      <c r="N1068" s="524" t="s">
        <v>1171</v>
      </c>
      <c r="O1068" s="524" t="s">
        <v>1172</v>
      </c>
      <c r="P1068" s="526">
        <v>46217</v>
      </c>
      <c r="S1068" s="527">
        <v>0</v>
      </c>
    </row>
    <row r="1069" spans="1:19" x14ac:dyDescent="0.2">
      <c r="A1069" s="524">
        <v>70348</v>
      </c>
      <c r="B1069" s="526">
        <v>46217</v>
      </c>
      <c r="C1069" s="524" t="s">
        <v>1148</v>
      </c>
      <c r="D1069" s="524" t="s">
        <v>1243</v>
      </c>
      <c r="E1069" s="524" t="s">
        <v>1244</v>
      </c>
      <c r="F1069" s="524" t="s">
        <v>1183</v>
      </c>
      <c r="G1069" s="524" t="s">
        <v>800</v>
      </c>
      <c r="H1069" s="527">
        <v>0.25</v>
      </c>
      <c r="I1069" s="524" t="s">
        <v>1148</v>
      </c>
      <c r="J1069" s="524">
        <f>IF(cmf[[#This Row],[D/C]]="C",cmf[[#This Row],[Valor]],-1*cmf[[#This Row],[Valor]])</f>
        <v>0.25</v>
      </c>
      <c r="L1069" s="524" t="s">
        <v>1245</v>
      </c>
      <c r="M1069" s="524" t="s">
        <v>1246</v>
      </c>
      <c r="N1069" s="524" t="s">
        <v>1171</v>
      </c>
      <c r="O1069" s="524" t="s">
        <v>1172</v>
      </c>
      <c r="P1069" s="526">
        <v>46217</v>
      </c>
      <c r="S1069" s="527">
        <v>0</v>
      </c>
    </row>
    <row r="1070" spans="1:19" x14ac:dyDescent="0.2">
      <c r="A1070" s="524">
        <v>70453</v>
      </c>
      <c r="B1070" s="526">
        <v>46217</v>
      </c>
      <c r="C1070" s="524" t="s">
        <v>1148</v>
      </c>
      <c r="D1070" s="524" t="s">
        <v>1226</v>
      </c>
      <c r="E1070" s="524" t="s">
        <v>1900</v>
      </c>
      <c r="F1070" s="524" t="s">
        <v>1170</v>
      </c>
      <c r="G1070" s="524" t="s">
        <v>1102</v>
      </c>
      <c r="H1070" s="527">
        <v>421.35</v>
      </c>
      <c r="I1070" s="524" t="s">
        <v>1148</v>
      </c>
      <c r="J1070" s="524">
        <f>IF(cmf[[#This Row],[D/C]]="C",cmf[[#This Row],[Valor]],-1*cmf[[#This Row],[Valor]])</f>
        <v>421.35</v>
      </c>
      <c r="L1070" s="524" t="s">
        <v>1230</v>
      </c>
      <c r="M1070" s="524" t="s">
        <v>1231</v>
      </c>
      <c r="N1070" s="524" t="s">
        <v>1192</v>
      </c>
      <c r="O1070" s="524" t="s">
        <v>1193</v>
      </c>
      <c r="P1070" s="526">
        <v>46217</v>
      </c>
      <c r="S1070" s="527">
        <v>0</v>
      </c>
    </row>
    <row r="1071" spans="1:19" x14ac:dyDescent="0.2">
      <c r="A1071" s="524">
        <v>70487</v>
      </c>
      <c r="B1071" s="526">
        <v>46217</v>
      </c>
      <c r="C1071" s="524" t="s">
        <v>1148</v>
      </c>
      <c r="D1071" s="524" t="s">
        <v>1205</v>
      </c>
      <c r="E1071" s="524" t="s">
        <v>1214</v>
      </c>
      <c r="F1071" s="524" t="s">
        <v>1183</v>
      </c>
      <c r="G1071" s="524" t="s">
        <v>769</v>
      </c>
      <c r="H1071" s="527">
        <v>100000</v>
      </c>
      <c r="I1071" s="524" t="s">
        <v>1174</v>
      </c>
      <c r="J1071" s="524">
        <f>IF(cmf[[#This Row],[D/C]]="C",cmf[[#This Row],[Valor]],-1*cmf[[#This Row],[Valor]])</f>
        <v>-100000</v>
      </c>
      <c r="L1071" s="524" t="s">
        <v>1207</v>
      </c>
      <c r="M1071" s="524" t="s">
        <v>1208</v>
      </c>
      <c r="N1071" s="524" t="s">
        <v>1219</v>
      </c>
      <c r="O1071" s="524" t="s">
        <v>1220</v>
      </c>
      <c r="P1071" s="526">
        <v>46217</v>
      </c>
      <c r="S1071" s="527">
        <v>0</v>
      </c>
    </row>
    <row r="1072" spans="1:19" x14ac:dyDescent="0.2">
      <c r="A1072" s="524">
        <v>70488</v>
      </c>
      <c r="B1072" s="526">
        <v>46217</v>
      </c>
      <c r="C1072" s="524" t="s">
        <v>1148</v>
      </c>
      <c r="D1072" s="524" t="s">
        <v>1205</v>
      </c>
      <c r="E1072" s="524" t="s">
        <v>1282</v>
      </c>
      <c r="F1072" s="524" t="s">
        <v>1183</v>
      </c>
      <c r="G1072" s="524" t="s">
        <v>742</v>
      </c>
      <c r="H1072" s="527">
        <v>100000</v>
      </c>
      <c r="I1072" s="524" t="s">
        <v>1148</v>
      </c>
      <c r="J1072" s="524">
        <f>IF(cmf[[#This Row],[D/C]]="C",cmf[[#This Row],[Valor]],-1*cmf[[#This Row],[Valor]])</f>
        <v>100000</v>
      </c>
      <c r="L1072" s="524" t="s">
        <v>1207</v>
      </c>
      <c r="M1072" s="524" t="s">
        <v>1208</v>
      </c>
      <c r="N1072" s="524" t="s">
        <v>1215</v>
      </c>
      <c r="O1072" s="524" t="s">
        <v>1218</v>
      </c>
      <c r="P1072" s="526">
        <v>46217</v>
      </c>
      <c r="S1072" s="527">
        <v>0</v>
      </c>
    </row>
    <row r="1073" spans="1:19" x14ac:dyDescent="0.2">
      <c r="A1073" s="524">
        <v>70489</v>
      </c>
      <c r="B1073" s="526">
        <v>46217</v>
      </c>
      <c r="C1073" s="524" t="s">
        <v>1148</v>
      </c>
      <c r="D1073" s="524" t="s">
        <v>1205</v>
      </c>
      <c r="E1073" s="524" t="s">
        <v>1214</v>
      </c>
      <c r="F1073" s="524" t="s">
        <v>1183</v>
      </c>
      <c r="G1073" s="524" t="s">
        <v>806</v>
      </c>
      <c r="H1073" s="527">
        <v>150000</v>
      </c>
      <c r="I1073" s="524" t="s">
        <v>1174</v>
      </c>
      <c r="J1073" s="524">
        <f>IF(cmf[[#This Row],[D/C]]="C",cmf[[#This Row],[Valor]],-1*cmf[[#This Row],[Valor]])</f>
        <v>-150000</v>
      </c>
      <c r="L1073" s="524" t="s">
        <v>1207</v>
      </c>
      <c r="M1073" s="524" t="s">
        <v>1208</v>
      </c>
      <c r="N1073" s="524" t="s">
        <v>1283</v>
      </c>
      <c r="O1073" s="524" t="s">
        <v>1284</v>
      </c>
      <c r="P1073" s="526">
        <v>46217</v>
      </c>
      <c r="S1073" s="527">
        <v>0</v>
      </c>
    </row>
    <row r="1074" spans="1:19" x14ac:dyDescent="0.2">
      <c r="A1074" s="524">
        <v>70490</v>
      </c>
      <c r="B1074" s="526">
        <v>46217</v>
      </c>
      <c r="C1074" s="524" t="s">
        <v>1148</v>
      </c>
      <c r="D1074" s="524" t="s">
        <v>1205</v>
      </c>
      <c r="E1074" s="524" t="s">
        <v>1539</v>
      </c>
      <c r="F1074" s="524" t="s">
        <v>1183</v>
      </c>
      <c r="G1074" s="524" t="s">
        <v>742</v>
      </c>
      <c r="H1074" s="527">
        <v>150000</v>
      </c>
      <c r="I1074" s="524" t="s">
        <v>1148</v>
      </c>
      <c r="J1074" s="524">
        <f>IF(cmf[[#This Row],[D/C]]="C",cmf[[#This Row],[Valor]],-1*cmf[[#This Row],[Valor]])</f>
        <v>150000</v>
      </c>
      <c r="L1074" s="524" t="s">
        <v>1207</v>
      </c>
      <c r="M1074" s="524" t="s">
        <v>1208</v>
      </c>
      <c r="N1074" s="524" t="s">
        <v>1215</v>
      </c>
      <c r="O1074" s="524" t="s">
        <v>1218</v>
      </c>
      <c r="P1074" s="526">
        <v>46217</v>
      </c>
      <c r="S1074" s="527">
        <v>0</v>
      </c>
    </row>
    <row r="1075" spans="1:19" x14ac:dyDescent="0.2">
      <c r="A1075" s="524">
        <v>70491</v>
      </c>
      <c r="B1075" s="526">
        <v>46217</v>
      </c>
      <c r="C1075" s="524" t="s">
        <v>1148</v>
      </c>
      <c r="D1075" s="524" t="s">
        <v>1205</v>
      </c>
      <c r="E1075" s="524" t="s">
        <v>1540</v>
      </c>
      <c r="F1075" s="524" t="s">
        <v>1183</v>
      </c>
      <c r="G1075" s="524" t="s">
        <v>742</v>
      </c>
      <c r="H1075" s="527">
        <v>80000</v>
      </c>
      <c r="I1075" s="524" t="s">
        <v>1174</v>
      </c>
      <c r="J1075" s="524">
        <f>IF(cmf[[#This Row],[D/C]]="C",cmf[[#This Row],[Valor]],-1*cmf[[#This Row],[Valor]])</f>
        <v>-80000</v>
      </c>
      <c r="L1075" s="524" t="s">
        <v>1207</v>
      </c>
      <c r="M1075" s="524" t="s">
        <v>1208</v>
      </c>
      <c r="N1075" s="524" t="s">
        <v>1215</v>
      </c>
      <c r="O1075" s="524" t="s">
        <v>1218</v>
      </c>
      <c r="P1075" s="526">
        <v>46217</v>
      </c>
      <c r="S1075" s="527">
        <v>0</v>
      </c>
    </row>
    <row r="1076" spans="1:19" x14ac:dyDescent="0.2">
      <c r="A1076" s="524">
        <v>70492</v>
      </c>
      <c r="B1076" s="526">
        <v>46217</v>
      </c>
      <c r="C1076" s="524" t="s">
        <v>1148</v>
      </c>
      <c r="D1076" s="524" t="s">
        <v>1205</v>
      </c>
      <c r="E1076" s="524" t="s">
        <v>1217</v>
      </c>
      <c r="F1076" s="524" t="s">
        <v>1183</v>
      </c>
      <c r="G1076" s="524" t="s">
        <v>750</v>
      </c>
      <c r="H1076" s="527">
        <v>80000</v>
      </c>
      <c r="I1076" s="524" t="s">
        <v>1148</v>
      </c>
      <c r="J1076" s="524">
        <f>IF(cmf[[#This Row],[D/C]]="C",cmf[[#This Row],[Valor]],-1*cmf[[#This Row],[Valor]])</f>
        <v>80000</v>
      </c>
      <c r="L1076" s="524" t="s">
        <v>1207</v>
      </c>
      <c r="M1076" s="524" t="s">
        <v>1208</v>
      </c>
      <c r="N1076" s="524" t="s">
        <v>1256</v>
      </c>
      <c r="O1076" s="524" t="s">
        <v>1257</v>
      </c>
      <c r="P1076" s="526">
        <v>46217</v>
      </c>
      <c r="S1076" s="527">
        <v>0</v>
      </c>
    </row>
    <row r="1077" spans="1:19" x14ac:dyDescent="0.2">
      <c r="A1077" s="524">
        <v>70493</v>
      </c>
      <c r="B1077" s="526">
        <v>46217</v>
      </c>
      <c r="C1077" s="524" t="s">
        <v>1148</v>
      </c>
      <c r="D1077" s="524" t="s">
        <v>1205</v>
      </c>
      <c r="E1077" s="524" t="s">
        <v>1335</v>
      </c>
      <c r="F1077" s="524" t="s">
        <v>1183</v>
      </c>
      <c r="G1077" s="524" t="s">
        <v>742</v>
      </c>
      <c r="H1077" s="527">
        <v>105000</v>
      </c>
      <c r="I1077" s="524" t="s">
        <v>1174</v>
      </c>
      <c r="J1077" s="524">
        <f>IF(cmf[[#This Row],[D/C]]="C",cmf[[#This Row],[Valor]],-1*cmf[[#This Row],[Valor]])</f>
        <v>-105000</v>
      </c>
      <c r="L1077" s="524" t="s">
        <v>1207</v>
      </c>
      <c r="M1077" s="524" t="s">
        <v>1208</v>
      </c>
      <c r="N1077" s="524" t="s">
        <v>1215</v>
      </c>
      <c r="O1077" s="524" t="s">
        <v>1218</v>
      </c>
      <c r="P1077" s="526">
        <v>46217</v>
      </c>
      <c r="S1077" s="527">
        <v>0</v>
      </c>
    </row>
    <row r="1078" spans="1:19" x14ac:dyDescent="0.2">
      <c r="A1078" s="524">
        <v>70494</v>
      </c>
      <c r="B1078" s="526">
        <v>46217</v>
      </c>
      <c r="C1078" s="524" t="s">
        <v>1148</v>
      </c>
      <c r="D1078" s="524" t="s">
        <v>1205</v>
      </c>
      <c r="E1078" s="524" t="s">
        <v>1217</v>
      </c>
      <c r="F1078" s="524" t="s">
        <v>1183</v>
      </c>
      <c r="G1078" s="524" t="s">
        <v>800</v>
      </c>
      <c r="H1078" s="527">
        <v>105000</v>
      </c>
      <c r="I1078" s="524" t="s">
        <v>1148</v>
      </c>
      <c r="J1078" s="524">
        <f>IF(cmf[[#This Row],[D/C]]="C",cmf[[#This Row],[Valor]],-1*cmf[[#This Row],[Valor]])</f>
        <v>105000</v>
      </c>
      <c r="L1078" s="524" t="s">
        <v>1207</v>
      </c>
      <c r="M1078" s="524" t="s">
        <v>1208</v>
      </c>
      <c r="N1078" s="524" t="s">
        <v>1171</v>
      </c>
      <c r="O1078" s="524" t="s">
        <v>1172</v>
      </c>
      <c r="P1078" s="526">
        <v>46217</v>
      </c>
      <c r="S1078" s="527">
        <v>0</v>
      </c>
    </row>
    <row r="1079" spans="1:19" x14ac:dyDescent="0.2">
      <c r="A1079" s="524">
        <v>70495</v>
      </c>
      <c r="B1079" s="526">
        <v>46217</v>
      </c>
      <c r="C1079" s="524" t="s">
        <v>1148</v>
      </c>
      <c r="D1079" s="524" t="s">
        <v>1205</v>
      </c>
      <c r="E1079" s="524" t="s">
        <v>1337</v>
      </c>
      <c r="F1079" s="524" t="s">
        <v>1183</v>
      </c>
      <c r="G1079" s="524" t="s">
        <v>742</v>
      </c>
      <c r="H1079" s="527">
        <v>5000</v>
      </c>
      <c r="I1079" s="524" t="s">
        <v>1174</v>
      </c>
      <c r="J1079" s="524">
        <f>IF(cmf[[#This Row],[D/C]]="C",cmf[[#This Row],[Valor]],-1*cmf[[#This Row],[Valor]])</f>
        <v>-5000</v>
      </c>
      <c r="L1079" s="524" t="s">
        <v>1207</v>
      </c>
      <c r="M1079" s="524" t="s">
        <v>1208</v>
      </c>
      <c r="N1079" s="524" t="s">
        <v>1215</v>
      </c>
      <c r="O1079" s="524" t="s">
        <v>1218</v>
      </c>
      <c r="P1079" s="526">
        <v>46217</v>
      </c>
      <c r="S1079" s="527">
        <v>0</v>
      </c>
    </row>
    <row r="1080" spans="1:19" x14ac:dyDescent="0.2">
      <c r="A1080" s="524">
        <v>70496</v>
      </c>
      <c r="B1080" s="526">
        <v>46217</v>
      </c>
      <c r="C1080" s="524" t="s">
        <v>1148</v>
      </c>
      <c r="D1080" s="524" t="s">
        <v>1205</v>
      </c>
      <c r="E1080" s="524" t="s">
        <v>1217</v>
      </c>
      <c r="F1080" s="524" t="s">
        <v>1183</v>
      </c>
      <c r="G1080" s="524" t="s">
        <v>803</v>
      </c>
      <c r="H1080" s="527">
        <v>5000</v>
      </c>
      <c r="I1080" s="524" t="s">
        <v>1148</v>
      </c>
      <c r="J1080" s="524">
        <f>IF(cmf[[#This Row],[D/C]]="C",cmf[[#This Row],[Valor]],-1*cmf[[#This Row],[Valor]])</f>
        <v>5000</v>
      </c>
      <c r="L1080" s="524" t="s">
        <v>1207</v>
      </c>
      <c r="M1080" s="524" t="s">
        <v>1208</v>
      </c>
      <c r="N1080" s="524" t="s">
        <v>1192</v>
      </c>
      <c r="O1080" s="524" t="s">
        <v>1193</v>
      </c>
      <c r="P1080" s="526">
        <v>46217</v>
      </c>
      <c r="S1080" s="527">
        <v>0</v>
      </c>
    </row>
    <row r="1081" spans="1:19" x14ac:dyDescent="0.2">
      <c r="A1081" s="524">
        <v>70545</v>
      </c>
      <c r="B1081" s="526">
        <v>46217</v>
      </c>
      <c r="C1081" s="524" t="s">
        <v>1148</v>
      </c>
      <c r="D1081" s="524" t="s">
        <v>1239</v>
      </c>
      <c r="E1081" s="524" t="s">
        <v>1251</v>
      </c>
      <c r="F1081" s="524" t="s">
        <v>1178</v>
      </c>
      <c r="G1081" s="524" t="s">
        <v>1179</v>
      </c>
      <c r="H1081" s="527">
        <v>15</v>
      </c>
      <c r="I1081" s="524" t="s">
        <v>1174</v>
      </c>
      <c r="J1081" s="524">
        <f>IF(cmf[[#This Row],[D/C]]="C",cmf[[#This Row],[Valor]],-1*cmf[[#This Row],[Valor]])</f>
        <v>-15</v>
      </c>
      <c r="L1081" s="524" t="s">
        <v>1241</v>
      </c>
      <c r="M1081" s="524" t="s">
        <v>1242</v>
      </c>
      <c r="N1081" s="524" t="s">
        <v>1180</v>
      </c>
      <c r="O1081" s="524" t="s">
        <v>1181</v>
      </c>
      <c r="P1081" s="526">
        <v>46217</v>
      </c>
      <c r="S1081" s="527">
        <v>0</v>
      </c>
    </row>
    <row r="1082" spans="1:19" x14ac:dyDescent="0.2">
      <c r="A1082" s="524">
        <v>70631</v>
      </c>
      <c r="B1082" s="526">
        <v>46217</v>
      </c>
      <c r="C1082" s="524" t="s">
        <v>1148</v>
      </c>
      <c r="D1082" s="524" t="s">
        <v>1243</v>
      </c>
      <c r="E1082" s="524" t="s">
        <v>1254</v>
      </c>
      <c r="F1082" s="524" t="s">
        <v>1178</v>
      </c>
      <c r="G1082" s="524" t="s">
        <v>1179</v>
      </c>
      <c r="H1082" s="527">
        <v>8576.15</v>
      </c>
      <c r="I1082" s="524" t="s">
        <v>1148</v>
      </c>
      <c r="J1082" s="524">
        <f>IF(cmf[[#This Row],[D/C]]="C",cmf[[#This Row],[Valor]],-1*cmf[[#This Row],[Valor]])</f>
        <v>8576.15</v>
      </c>
      <c r="L1082" s="524" t="s">
        <v>1245</v>
      </c>
      <c r="M1082" s="524" t="s">
        <v>1246</v>
      </c>
      <c r="N1082" s="524" t="s">
        <v>1180</v>
      </c>
      <c r="O1082" s="524" t="s">
        <v>1181</v>
      </c>
      <c r="P1082" s="526">
        <v>46217</v>
      </c>
      <c r="S1082" s="527">
        <v>0</v>
      </c>
    </row>
    <row r="1083" spans="1:19" x14ac:dyDescent="0.2">
      <c r="A1083" s="524">
        <v>70777</v>
      </c>
      <c r="B1083" s="526">
        <v>46217</v>
      </c>
      <c r="C1083" s="524" t="s">
        <v>1148</v>
      </c>
      <c r="D1083" s="524" t="s">
        <v>1239</v>
      </c>
      <c r="E1083" s="524" t="s">
        <v>1258</v>
      </c>
      <c r="F1083" s="524" t="s">
        <v>1170</v>
      </c>
      <c r="G1083" s="524" t="s">
        <v>1102</v>
      </c>
      <c r="H1083" s="527">
        <v>12.6</v>
      </c>
      <c r="I1083" s="524" t="s">
        <v>1174</v>
      </c>
      <c r="J1083" s="524">
        <f>IF(cmf[[#This Row],[D/C]]="C",cmf[[#This Row],[Valor]],-1*cmf[[#This Row],[Valor]])</f>
        <v>-12.6</v>
      </c>
      <c r="L1083" s="524" t="s">
        <v>1241</v>
      </c>
      <c r="M1083" s="524" t="s">
        <v>1242</v>
      </c>
      <c r="N1083" s="524" t="s">
        <v>1192</v>
      </c>
      <c r="O1083" s="524" t="s">
        <v>1193</v>
      </c>
      <c r="P1083" s="526">
        <v>46217</v>
      </c>
      <c r="S1083" s="527">
        <v>0</v>
      </c>
    </row>
    <row r="1084" spans="1:19" x14ac:dyDescent="0.2">
      <c r="A1084" s="524">
        <v>70778</v>
      </c>
      <c r="B1084" s="526">
        <v>46217</v>
      </c>
      <c r="C1084" s="524" t="s">
        <v>1148</v>
      </c>
      <c r="D1084" s="524" t="s">
        <v>1239</v>
      </c>
      <c r="E1084" s="524" t="s">
        <v>1258</v>
      </c>
      <c r="F1084" s="524" t="s">
        <v>1170</v>
      </c>
      <c r="G1084" s="524" t="s">
        <v>1102</v>
      </c>
      <c r="H1084" s="527">
        <v>25.2</v>
      </c>
      <c r="I1084" s="524" t="s">
        <v>1174</v>
      </c>
      <c r="J1084" s="524">
        <f>IF(cmf[[#This Row],[D/C]]="C",cmf[[#This Row],[Valor]],-1*cmf[[#This Row],[Valor]])</f>
        <v>-25.2</v>
      </c>
      <c r="L1084" s="524" t="s">
        <v>1241</v>
      </c>
      <c r="M1084" s="524" t="s">
        <v>1242</v>
      </c>
      <c r="N1084" s="524" t="s">
        <v>1192</v>
      </c>
      <c r="O1084" s="524" t="s">
        <v>1193</v>
      </c>
      <c r="P1084" s="526">
        <v>46217</v>
      </c>
      <c r="S1084" s="527">
        <v>0</v>
      </c>
    </row>
    <row r="1085" spans="1:19" x14ac:dyDescent="0.2">
      <c r="A1085" s="524">
        <v>70779</v>
      </c>
      <c r="B1085" s="526">
        <v>46217</v>
      </c>
      <c r="C1085" s="524" t="s">
        <v>1148</v>
      </c>
      <c r="D1085" s="524" t="s">
        <v>1239</v>
      </c>
      <c r="E1085" s="524" t="s">
        <v>1258</v>
      </c>
      <c r="F1085" s="524" t="s">
        <v>1170</v>
      </c>
      <c r="G1085" s="524" t="s">
        <v>1102</v>
      </c>
      <c r="H1085" s="527">
        <v>1.2</v>
      </c>
      <c r="I1085" s="524" t="s">
        <v>1174</v>
      </c>
      <c r="J1085" s="524">
        <f>IF(cmf[[#This Row],[D/C]]="C",cmf[[#This Row],[Valor]],-1*cmf[[#This Row],[Valor]])</f>
        <v>-1.2</v>
      </c>
      <c r="L1085" s="524" t="s">
        <v>1241</v>
      </c>
      <c r="M1085" s="524" t="s">
        <v>1242</v>
      </c>
      <c r="N1085" s="524" t="s">
        <v>1192</v>
      </c>
      <c r="O1085" s="524" t="s">
        <v>1193</v>
      </c>
      <c r="P1085" s="526">
        <v>46217</v>
      </c>
      <c r="S1085" s="527">
        <v>0</v>
      </c>
    </row>
    <row r="1086" spans="1:19" x14ac:dyDescent="0.2">
      <c r="A1086" s="524">
        <v>70790</v>
      </c>
      <c r="B1086" s="526">
        <v>46217</v>
      </c>
      <c r="C1086" s="524" t="s">
        <v>1148</v>
      </c>
      <c r="D1086" s="524" t="s">
        <v>1226</v>
      </c>
      <c r="E1086" s="524" t="s">
        <v>1901</v>
      </c>
      <c r="F1086" s="524" t="s">
        <v>1183</v>
      </c>
      <c r="G1086" s="524" t="s">
        <v>806</v>
      </c>
      <c r="H1086" s="527">
        <v>10000</v>
      </c>
      <c r="I1086" s="524" t="s">
        <v>1148</v>
      </c>
      <c r="J1086" s="524">
        <f>IF(cmf[[#This Row],[D/C]]="C",cmf[[#This Row],[Valor]],-1*cmf[[#This Row],[Valor]])</f>
        <v>10000</v>
      </c>
      <c r="L1086" s="524" t="s">
        <v>1230</v>
      </c>
      <c r="M1086" s="524" t="s">
        <v>1231</v>
      </c>
      <c r="N1086" s="524" t="s">
        <v>1283</v>
      </c>
      <c r="O1086" s="524" t="s">
        <v>1284</v>
      </c>
      <c r="P1086" s="526">
        <v>46217</v>
      </c>
      <c r="S1086" s="527">
        <v>0</v>
      </c>
    </row>
    <row r="1087" spans="1:19" x14ac:dyDescent="0.2">
      <c r="A1087" s="524">
        <v>70969</v>
      </c>
      <c r="B1087" s="526">
        <v>46217</v>
      </c>
      <c r="C1087" s="524" t="s">
        <v>1148</v>
      </c>
      <c r="D1087" s="524" t="s">
        <v>1239</v>
      </c>
      <c r="E1087" s="524" t="s">
        <v>1253</v>
      </c>
      <c r="F1087" s="524" t="s">
        <v>1170</v>
      </c>
      <c r="G1087" s="524" t="s">
        <v>798</v>
      </c>
      <c r="H1087" s="527">
        <v>0.4</v>
      </c>
      <c r="I1087" s="524" t="s">
        <v>1174</v>
      </c>
      <c r="J1087" s="524">
        <f>IF(cmf[[#This Row],[D/C]]="C",cmf[[#This Row],[Valor]],-1*cmf[[#This Row],[Valor]])</f>
        <v>-0.4</v>
      </c>
      <c r="L1087" s="524" t="s">
        <v>1241</v>
      </c>
      <c r="M1087" s="524" t="s">
        <v>1242</v>
      </c>
      <c r="N1087" s="524" t="s">
        <v>1171</v>
      </c>
      <c r="O1087" s="524" t="s">
        <v>1172</v>
      </c>
      <c r="P1087" s="526">
        <v>46217</v>
      </c>
      <c r="S1087" s="527">
        <v>0</v>
      </c>
    </row>
    <row r="1088" spans="1:19" x14ac:dyDescent="0.2">
      <c r="A1088" s="524">
        <v>71017</v>
      </c>
      <c r="B1088" s="526">
        <v>46217</v>
      </c>
      <c r="C1088" s="524" t="s">
        <v>1148</v>
      </c>
      <c r="D1088" s="524" t="s">
        <v>1239</v>
      </c>
      <c r="E1088" s="524" t="s">
        <v>1253</v>
      </c>
      <c r="F1088" s="524" t="s">
        <v>1170</v>
      </c>
      <c r="G1088" s="524" t="s">
        <v>799</v>
      </c>
      <c r="H1088" s="527">
        <v>0.2</v>
      </c>
      <c r="I1088" s="524" t="s">
        <v>1174</v>
      </c>
      <c r="J1088" s="524">
        <f>IF(cmf[[#This Row],[D/C]]="C",cmf[[#This Row],[Valor]],-1*cmf[[#This Row],[Valor]])</f>
        <v>-0.2</v>
      </c>
      <c r="L1088" s="524" t="s">
        <v>1241</v>
      </c>
      <c r="M1088" s="524" t="s">
        <v>1242</v>
      </c>
      <c r="N1088" s="524" t="s">
        <v>1171</v>
      </c>
      <c r="O1088" s="524" t="s">
        <v>1172</v>
      </c>
      <c r="P1088" s="526">
        <v>46217</v>
      </c>
      <c r="S1088" s="527">
        <v>0</v>
      </c>
    </row>
    <row r="1089" spans="1:19" x14ac:dyDescent="0.2">
      <c r="A1089" s="524">
        <v>71018</v>
      </c>
      <c r="B1089" s="526">
        <v>46217</v>
      </c>
      <c r="C1089" s="524" t="s">
        <v>1148</v>
      </c>
      <c r="D1089" s="524" t="s">
        <v>1239</v>
      </c>
      <c r="E1089" s="524" t="s">
        <v>1902</v>
      </c>
      <c r="F1089" s="524" t="s">
        <v>1170</v>
      </c>
      <c r="G1089" s="524" t="s">
        <v>799</v>
      </c>
      <c r="H1089" s="527">
        <v>300</v>
      </c>
      <c r="I1089" s="524" t="s">
        <v>1174</v>
      </c>
      <c r="J1089" s="524">
        <f>IF(cmf[[#This Row],[D/C]]="C",cmf[[#This Row],[Valor]],-1*cmf[[#This Row],[Valor]])</f>
        <v>-300</v>
      </c>
      <c r="L1089" s="524" t="s">
        <v>1241</v>
      </c>
      <c r="M1089" s="524" t="s">
        <v>1242</v>
      </c>
      <c r="N1089" s="524" t="s">
        <v>1171</v>
      </c>
      <c r="O1089" s="524" t="s">
        <v>1172</v>
      </c>
      <c r="P1089" s="526">
        <v>46217</v>
      </c>
      <c r="S1089" s="527">
        <v>0</v>
      </c>
    </row>
    <row r="1090" spans="1:19" x14ac:dyDescent="0.2">
      <c r="A1090" s="524">
        <v>71195</v>
      </c>
      <c r="B1090" s="526">
        <v>46217</v>
      </c>
      <c r="C1090" s="524" t="s">
        <v>1148</v>
      </c>
      <c r="D1090" s="524" t="s">
        <v>1186</v>
      </c>
      <c r="E1090" s="524" t="s">
        <v>1903</v>
      </c>
      <c r="F1090" s="524" t="s">
        <v>1183</v>
      </c>
      <c r="G1090" s="524" t="s">
        <v>750</v>
      </c>
      <c r="H1090" s="527">
        <v>1100</v>
      </c>
      <c r="I1090" s="524" t="s">
        <v>1174</v>
      </c>
      <c r="J1090" s="524">
        <f>IF(cmf[[#This Row],[D/C]]="C",cmf[[#This Row],[Valor]],-1*cmf[[#This Row],[Valor]])</f>
        <v>-1100</v>
      </c>
      <c r="L1090" s="524" t="s">
        <v>1188</v>
      </c>
      <c r="M1090" s="524" t="s">
        <v>1189</v>
      </c>
      <c r="N1090" s="524" t="s">
        <v>1256</v>
      </c>
      <c r="O1090" s="524" t="s">
        <v>1257</v>
      </c>
      <c r="P1090" s="526">
        <v>46217</v>
      </c>
      <c r="S1090" s="527">
        <v>0</v>
      </c>
    </row>
    <row r="1091" spans="1:19" x14ac:dyDescent="0.2">
      <c r="A1091" s="524">
        <v>71212</v>
      </c>
      <c r="B1091" s="526">
        <v>46217</v>
      </c>
      <c r="C1091" s="524" t="s">
        <v>1148</v>
      </c>
      <c r="D1091" s="524" t="s">
        <v>1235</v>
      </c>
      <c r="E1091" s="524" t="s">
        <v>1742</v>
      </c>
      <c r="F1091" s="524" t="s">
        <v>1170</v>
      </c>
      <c r="G1091" s="524" t="s">
        <v>738</v>
      </c>
      <c r="H1091" s="527">
        <v>3000</v>
      </c>
      <c r="I1091" s="524" t="s">
        <v>1174</v>
      </c>
      <c r="J1091" s="524">
        <f>IF(cmf[[#This Row],[D/C]]="C",cmf[[#This Row],[Valor]],-1*cmf[[#This Row],[Valor]])</f>
        <v>-3000</v>
      </c>
      <c r="L1091" s="524" t="s">
        <v>1237</v>
      </c>
      <c r="M1091" s="524" t="s">
        <v>1238</v>
      </c>
      <c r="N1091" s="524" t="s">
        <v>1215</v>
      </c>
      <c r="O1091" s="524" t="s">
        <v>1216</v>
      </c>
      <c r="P1091" s="526">
        <v>46217</v>
      </c>
      <c r="S1091" s="527">
        <v>0</v>
      </c>
    </row>
    <row r="1092" spans="1:19" x14ac:dyDescent="0.2">
      <c r="A1092" s="524">
        <v>71239</v>
      </c>
      <c r="B1092" s="526">
        <v>46217</v>
      </c>
      <c r="C1092" s="524" t="s">
        <v>1148</v>
      </c>
      <c r="D1092" s="524" t="s">
        <v>1239</v>
      </c>
      <c r="E1092" s="524" t="s">
        <v>1255</v>
      </c>
      <c r="F1092" s="524" t="s">
        <v>1170</v>
      </c>
      <c r="G1092" s="524" t="s">
        <v>749</v>
      </c>
      <c r="H1092" s="527">
        <v>0.6</v>
      </c>
      <c r="I1092" s="524" t="s">
        <v>1174</v>
      </c>
      <c r="J1092" s="524">
        <f>IF(cmf[[#This Row],[D/C]]="C",cmf[[#This Row],[Valor]],-1*cmf[[#This Row],[Valor]])</f>
        <v>-0.6</v>
      </c>
      <c r="L1092" s="524" t="s">
        <v>1241</v>
      </c>
      <c r="M1092" s="524" t="s">
        <v>1242</v>
      </c>
      <c r="N1092" s="524" t="s">
        <v>1256</v>
      </c>
      <c r="O1092" s="524" t="s">
        <v>1257</v>
      </c>
      <c r="P1092" s="526">
        <v>46217</v>
      </c>
      <c r="S1092" s="527">
        <v>0</v>
      </c>
    </row>
    <row r="1093" spans="1:19" x14ac:dyDescent="0.2">
      <c r="A1093" s="524">
        <v>71240</v>
      </c>
      <c r="B1093" s="526">
        <v>46217</v>
      </c>
      <c r="C1093" s="524" t="s">
        <v>1148</v>
      </c>
      <c r="D1093" s="524" t="s">
        <v>1239</v>
      </c>
      <c r="E1093" s="524" t="s">
        <v>1312</v>
      </c>
      <c r="F1093" s="524" t="s">
        <v>1170</v>
      </c>
      <c r="G1093" s="524" t="s">
        <v>749</v>
      </c>
      <c r="H1093" s="527">
        <v>25</v>
      </c>
      <c r="I1093" s="524" t="s">
        <v>1174</v>
      </c>
      <c r="J1093" s="524">
        <f>IF(cmf[[#This Row],[D/C]]="C",cmf[[#This Row],[Valor]],-1*cmf[[#This Row],[Valor]])</f>
        <v>-25</v>
      </c>
      <c r="L1093" s="524" t="s">
        <v>1241</v>
      </c>
      <c r="M1093" s="524" t="s">
        <v>1242</v>
      </c>
      <c r="N1093" s="524" t="s">
        <v>1256</v>
      </c>
      <c r="O1093" s="524" t="s">
        <v>1257</v>
      </c>
      <c r="P1093" s="526">
        <v>46217</v>
      </c>
      <c r="S1093" s="527">
        <v>0</v>
      </c>
    </row>
    <row r="1094" spans="1:19" x14ac:dyDescent="0.2">
      <c r="A1094" s="524">
        <v>71534</v>
      </c>
      <c r="B1094" s="526">
        <v>46217</v>
      </c>
      <c r="C1094" s="524" t="s">
        <v>1148</v>
      </c>
      <c r="D1094" s="524" t="s">
        <v>1239</v>
      </c>
      <c r="E1094" s="524" t="s">
        <v>1312</v>
      </c>
      <c r="F1094" s="524" t="s">
        <v>1170</v>
      </c>
      <c r="G1094" s="524" t="s">
        <v>740</v>
      </c>
      <c r="H1094" s="527">
        <v>30</v>
      </c>
      <c r="I1094" s="524" t="s">
        <v>1174</v>
      </c>
      <c r="J1094" s="524">
        <f>IF(cmf[[#This Row],[D/C]]="C",cmf[[#This Row],[Valor]],-1*cmf[[#This Row],[Valor]])</f>
        <v>-30</v>
      </c>
      <c r="L1094" s="524" t="s">
        <v>1241</v>
      </c>
      <c r="M1094" s="524" t="s">
        <v>1242</v>
      </c>
      <c r="N1094" s="524" t="s">
        <v>1215</v>
      </c>
      <c r="O1094" s="524" t="s">
        <v>1218</v>
      </c>
      <c r="P1094" s="526">
        <v>46217</v>
      </c>
      <c r="S1094" s="527">
        <v>0</v>
      </c>
    </row>
    <row r="1095" spans="1:19" x14ac:dyDescent="0.2">
      <c r="A1095" s="524">
        <v>71565</v>
      </c>
      <c r="B1095" s="526">
        <v>46217</v>
      </c>
      <c r="C1095" s="524" t="s">
        <v>1162</v>
      </c>
      <c r="D1095" s="524" t="s">
        <v>1205</v>
      </c>
      <c r="E1095" s="524" t="s">
        <v>1334</v>
      </c>
      <c r="F1095" s="524" t="s">
        <v>1111</v>
      </c>
      <c r="G1095" s="524" t="s">
        <v>1110</v>
      </c>
      <c r="H1095" s="527">
        <v>15890.07</v>
      </c>
      <c r="I1095" s="524" t="s">
        <v>1174</v>
      </c>
      <c r="J1095" s="524">
        <f>IF(cmf[[#This Row],[D/C]]="C",cmf[[#This Row],[Valor]],-1*cmf[[#This Row],[Valor]])</f>
        <v>-15890.07</v>
      </c>
      <c r="L1095" s="524" t="s">
        <v>1207</v>
      </c>
      <c r="M1095" s="524" t="s">
        <v>1208</v>
      </c>
      <c r="N1095" s="524" t="s">
        <v>1219</v>
      </c>
      <c r="O1095" s="524" t="s">
        <v>1220</v>
      </c>
      <c r="P1095" s="526"/>
      <c r="S1095" s="527">
        <v>0</v>
      </c>
    </row>
    <row r="1096" spans="1:19" x14ac:dyDescent="0.2">
      <c r="A1096" s="524">
        <v>71566</v>
      </c>
      <c r="B1096" s="526">
        <v>46217</v>
      </c>
      <c r="C1096" s="524" t="s">
        <v>1148</v>
      </c>
      <c r="D1096" s="524" t="s">
        <v>1205</v>
      </c>
      <c r="E1096" s="524" t="s">
        <v>1282</v>
      </c>
      <c r="F1096" s="524" t="s">
        <v>1183</v>
      </c>
      <c r="G1096" s="524" t="s">
        <v>769</v>
      </c>
      <c r="H1096" s="527">
        <v>15890.07</v>
      </c>
      <c r="I1096" s="524" t="s">
        <v>1148</v>
      </c>
      <c r="J1096" s="524">
        <f>IF(cmf[[#This Row],[D/C]]="C",cmf[[#This Row],[Valor]],-1*cmf[[#This Row],[Valor]])</f>
        <v>15890.07</v>
      </c>
      <c r="L1096" s="524" t="s">
        <v>1207</v>
      </c>
      <c r="M1096" s="524" t="s">
        <v>1208</v>
      </c>
      <c r="N1096" s="524" t="s">
        <v>1219</v>
      </c>
      <c r="O1096" s="524" t="s">
        <v>1220</v>
      </c>
      <c r="P1096" s="526">
        <v>46217</v>
      </c>
      <c r="S1096" s="527">
        <v>0</v>
      </c>
    </row>
    <row r="1097" spans="1:19" x14ac:dyDescent="0.2">
      <c r="A1097" s="524">
        <v>71794</v>
      </c>
      <c r="B1097" s="526">
        <v>46217</v>
      </c>
      <c r="C1097" s="524" t="s">
        <v>1148</v>
      </c>
      <c r="D1097" s="524" t="s">
        <v>1239</v>
      </c>
      <c r="E1097" s="524" t="s">
        <v>1904</v>
      </c>
      <c r="F1097" s="524" t="s">
        <v>1183</v>
      </c>
      <c r="G1097" s="524" t="s">
        <v>742</v>
      </c>
      <c r="H1097" s="527">
        <v>68.400000000000006</v>
      </c>
      <c r="I1097" s="524" t="s">
        <v>1174</v>
      </c>
      <c r="J1097" s="524">
        <f>IF(cmf[[#This Row],[D/C]]="C",cmf[[#This Row],[Valor]],-1*cmf[[#This Row],[Valor]])</f>
        <v>-68.400000000000006</v>
      </c>
      <c r="L1097" s="524" t="s">
        <v>1241</v>
      </c>
      <c r="M1097" s="524" t="s">
        <v>1242</v>
      </c>
      <c r="N1097" s="524" t="s">
        <v>1215</v>
      </c>
      <c r="O1097" s="524" t="s">
        <v>1218</v>
      </c>
      <c r="P1097" s="526">
        <v>46217</v>
      </c>
      <c r="S1097" s="527">
        <v>0</v>
      </c>
    </row>
    <row r="1098" spans="1:19" x14ac:dyDescent="0.2">
      <c r="A1098" s="524">
        <v>71795</v>
      </c>
      <c r="B1098" s="526">
        <v>46217</v>
      </c>
      <c r="C1098" s="524" t="s">
        <v>1148</v>
      </c>
      <c r="D1098" s="524" t="s">
        <v>1239</v>
      </c>
      <c r="E1098" s="524" t="s">
        <v>1905</v>
      </c>
      <c r="F1098" s="524" t="s">
        <v>1183</v>
      </c>
      <c r="G1098" s="524" t="s">
        <v>742</v>
      </c>
      <c r="H1098" s="527">
        <v>1468.3</v>
      </c>
      <c r="I1098" s="524" t="s">
        <v>1174</v>
      </c>
      <c r="J1098" s="524">
        <f>IF(cmf[[#This Row],[D/C]]="C",cmf[[#This Row],[Valor]],-1*cmf[[#This Row],[Valor]])</f>
        <v>-1468.3</v>
      </c>
      <c r="L1098" s="524" t="s">
        <v>1359</v>
      </c>
      <c r="M1098" s="524" t="s">
        <v>1360</v>
      </c>
      <c r="N1098" s="524" t="s">
        <v>1215</v>
      </c>
      <c r="O1098" s="524" t="s">
        <v>1218</v>
      </c>
      <c r="P1098" s="526">
        <v>46217</v>
      </c>
      <c r="S1098" s="527">
        <v>0</v>
      </c>
    </row>
    <row r="1099" spans="1:19" x14ac:dyDescent="0.2">
      <c r="A1099" s="524">
        <v>71796</v>
      </c>
      <c r="B1099" s="526">
        <v>46217</v>
      </c>
      <c r="C1099" s="524" t="s">
        <v>1148</v>
      </c>
      <c r="D1099" s="524" t="s">
        <v>1243</v>
      </c>
      <c r="E1099" s="524" t="s">
        <v>1266</v>
      </c>
      <c r="F1099" s="524" t="s">
        <v>1183</v>
      </c>
      <c r="G1099" s="524" t="s">
        <v>742</v>
      </c>
      <c r="H1099" s="527">
        <v>173715.47</v>
      </c>
      <c r="I1099" s="524" t="s">
        <v>1174</v>
      </c>
      <c r="J1099" s="524">
        <f>IF(cmf[[#This Row],[D/C]]="C",cmf[[#This Row],[Valor]],-1*cmf[[#This Row],[Valor]])</f>
        <v>-173715.47</v>
      </c>
      <c r="L1099" s="524" t="s">
        <v>1245</v>
      </c>
      <c r="M1099" s="524" t="s">
        <v>1246</v>
      </c>
      <c r="N1099" s="524" t="s">
        <v>1215</v>
      </c>
      <c r="O1099" s="524" t="s">
        <v>1267</v>
      </c>
      <c r="P1099" s="526">
        <v>46217</v>
      </c>
      <c r="S1099" s="527">
        <v>0</v>
      </c>
    </row>
    <row r="1100" spans="1:19" x14ac:dyDescent="0.2">
      <c r="A1100" s="524">
        <v>71868</v>
      </c>
      <c r="B1100" s="526">
        <v>46217</v>
      </c>
      <c r="C1100" s="524" t="s">
        <v>1148</v>
      </c>
      <c r="D1100" s="524" t="s">
        <v>1243</v>
      </c>
      <c r="E1100" s="524" t="s">
        <v>1266</v>
      </c>
      <c r="F1100" s="524" t="s">
        <v>1183</v>
      </c>
      <c r="G1100" s="524" t="s">
        <v>750</v>
      </c>
      <c r="H1100" s="527">
        <v>4771.3599999999997</v>
      </c>
      <c r="I1100" s="524" t="s">
        <v>1174</v>
      </c>
      <c r="J1100" s="524">
        <f>IF(cmf[[#This Row],[D/C]]="C",cmf[[#This Row],[Valor]],-1*cmf[[#This Row],[Valor]])</f>
        <v>-4771.3599999999997</v>
      </c>
      <c r="L1100" s="524" t="s">
        <v>1245</v>
      </c>
      <c r="M1100" s="524" t="s">
        <v>1246</v>
      </c>
      <c r="N1100" s="524" t="s">
        <v>1256</v>
      </c>
      <c r="O1100" s="524" t="s">
        <v>1257</v>
      </c>
      <c r="P1100" s="526">
        <v>46217</v>
      </c>
      <c r="S1100" s="527">
        <v>0</v>
      </c>
    </row>
    <row r="1101" spans="1:19" x14ac:dyDescent="0.2">
      <c r="A1101" s="524">
        <v>71890</v>
      </c>
      <c r="B1101" s="526">
        <v>46217</v>
      </c>
      <c r="C1101" s="524" t="s">
        <v>1148</v>
      </c>
      <c r="D1101" s="524" t="s">
        <v>1239</v>
      </c>
      <c r="E1101" s="524" t="s">
        <v>1268</v>
      </c>
      <c r="F1101" s="524" t="s">
        <v>1183</v>
      </c>
      <c r="G1101" s="524" t="s">
        <v>750</v>
      </c>
      <c r="H1101" s="527">
        <v>71942.03</v>
      </c>
      <c r="I1101" s="524" t="s">
        <v>1174</v>
      </c>
      <c r="J1101" s="524">
        <f>IF(cmf[[#This Row],[D/C]]="C",cmf[[#This Row],[Valor]],-1*cmf[[#This Row],[Valor]])</f>
        <v>-71942.03</v>
      </c>
      <c r="L1101" s="524" t="s">
        <v>1269</v>
      </c>
      <c r="M1101" s="524" t="s">
        <v>1270</v>
      </c>
      <c r="N1101" s="524" t="s">
        <v>1256</v>
      </c>
      <c r="O1101" s="524" t="s">
        <v>1257</v>
      </c>
      <c r="P1101" s="526">
        <v>46217</v>
      </c>
      <c r="S1101" s="527">
        <v>0</v>
      </c>
    </row>
    <row r="1102" spans="1:19" x14ac:dyDescent="0.2">
      <c r="A1102" s="524">
        <v>72531</v>
      </c>
      <c r="B1102" s="526">
        <v>46217</v>
      </c>
      <c r="C1102" s="524" t="s">
        <v>1162</v>
      </c>
      <c r="D1102" s="524" t="s">
        <v>1235</v>
      </c>
      <c r="E1102" s="524" t="s">
        <v>1906</v>
      </c>
      <c r="F1102" s="524" t="s">
        <v>1170</v>
      </c>
      <c r="G1102" s="524" t="s">
        <v>799</v>
      </c>
      <c r="H1102" s="527">
        <v>300</v>
      </c>
      <c r="I1102" s="524" t="s">
        <v>1174</v>
      </c>
      <c r="J1102" s="524">
        <f>IF(cmf[[#This Row],[D/C]]="C",cmf[[#This Row],[Valor]],-1*cmf[[#This Row],[Valor]])</f>
        <v>-300</v>
      </c>
      <c r="L1102" s="524" t="s">
        <v>1237</v>
      </c>
      <c r="M1102" s="524" t="s">
        <v>1238</v>
      </c>
      <c r="N1102" s="524" t="s">
        <v>1171</v>
      </c>
      <c r="O1102" s="524" t="s">
        <v>1172</v>
      </c>
      <c r="P1102" s="526"/>
      <c r="S1102" s="527">
        <v>0</v>
      </c>
    </row>
    <row r="1103" spans="1:19" x14ac:dyDescent="0.2">
      <c r="A1103" s="524">
        <v>69303</v>
      </c>
      <c r="B1103" s="526">
        <v>46218</v>
      </c>
      <c r="C1103" s="524" t="s">
        <v>1148</v>
      </c>
      <c r="D1103" s="524" t="s">
        <v>1163</v>
      </c>
      <c r="E1103" s="524" t="s">
        <v>1164</v>
      </c>
      <c r="F1103" s="524" t="s">
        <v>1170</v>
      </c>
      <c r="G1103" s="524" t="s">
        <v>798</v>
      </c>
      <c r="H1103" s="527">
        <v>517.48</v>
      </c>
      <c r="I1103" s="524" t="s">
        <v>1148</v>
      </c>
      <c r="J1103" s="524">
        <f>IF(cmf[[#This Row],[D/C]]="C",cmf[[#This Row],[Valor]],-1*cmf[[#This Row],[Valor]])</f>
        <v>517.48</v>
      </c>
      <c r="L1103" s="524" t="s">
        <v>1166</v>
      </c>
      <c r="M1103" s="524" t="s">
        <v>1167</v>
      </c>
      <c r="N1103" s="524" t="s">
        <v>1171</v>
      </c>
      <c r="O1103" s="524" t="s">
        <v>1172</v>
      </c>
      <c r="P1103" s="526">
        <v>46218</v>
      </c>
      <c r="S1103" s="527">
        <v>0</v>
      </c>
    </row>
    <row r="1104" spans="1:19" x14ac:dyDescent="0.2">
      <c r="A1104" s="524">
        <v>69304</v>
      </c>
      <c r="B1104" s="526">
        <v>46218</v>
      </c>
      <c r="C1104" s="524" t="s">
        <v>1148</v>
      </c>
      <c r="D1104" s="524" t="s">
        <v>1163</v>
      </c>
      <c r="E1104" s="524" t="s">
        <v>1173</v>
      </c>
      <c r="F1104" s="524" t="s">
        <v>1170</v>
      </c>
      <c r="G1104" s="524" t="s">
        <v>798</v>
      </c>
      <c r="H1104" s="527">
        <v>6.3</v>
      </c>
      <c r="I1104" s="524" t="s">
        <v>1174</v>
      </c>
      <c r="J1104" s="524">
        <f>IF(cmf[[#This Row],[D/C]]="C",cmf[[#This Row],[Valor]],-1*cmf[[#This Row],[Valor]])</f>
        <v>-6.3</v>
      </c>
      <c r="L1104" s="524" t="s">
        <v>1175</v>
      </c>
      <c r="M1104" s="524" t="s">
        <v>1176</v>
      </c>
      <c r="N1104" s="524" t="s">
        <v>1171</v>
      </c>
      <c r="O1104" s="524" t="s">
        <v>1172</v>
      </c>
      <c r="P1104" s="526">
        <v>46218</v>
      </c>
      <c r="S1104" s="527">
        <v>0</v>
      </c>
    </row>
    <row r="1105" spans="1:19" x14ac:dyDescent="0.2">
      <c r="A1105" s="524">
        <v>69312</v>
      </c>
      <c r="B1105" s="526">
        <v>46218</v>
      </c>
      <c r="C1105" s="524" t="s">
        <v>1162</v>
      </c>
      <c r="D1105" s="524" t="s">
        <v>1163</v>
      </c>
      <c r="E1105" s="524" t="s">
        <v>1164</v>
      </c>
      <c r="F1105" s="524" t="s">
        <v>1165</v>
      </c>
      <c r="G1105" s="524" t="s">
        <v>756</v>
      </c>
      <c r="H1105" s="527">
        <v>77949.539999999994</v>
      </c>
      <c r="I1105" s="524" t="s">
        <v>1148</v>
      </c>
      <c r="J1105" s="524">
        <f>IF(cmf[[#This Row],[D/C]]="C",cmf[[#This Row],[Valor]],-1*cmf[[#This Row],[Valor]])</f>
        <v>77949.539999999994</v>
      </c>
      <c r="L1105" s="524" t="s">
        <v>1166</v>
      </c>
      <c r="M1105" s="524" t="s">
        <v>1167</v>
      </c>
      <c r="N1105" s="524" t="s">
        <v>1168</v>
      </c>
      <c r="O1105" s="524" t="s">
        <v>1169</v>
      </c>
      <c r="P1105" s="526"/>
      <c r="S1105" s="527">
        <v>0</v>
      </c>
    </row>
    <row r="1106" spans="1:19" x14ac:dyDescent="0.2">
      <c r="A1106" s="524">
        <v>69488</v>
      </c>
      <c r="B1106" s="526">
        <v>46218</v>
      </c>
      <c r="C1106" s="524" t="s">
        <v>1162</v>
      </c>
      <c r="D1106" s="524" t="s">
        <v>1163</v>
      </c>
      <c r="E1106" s="524" t="s">
        <v>1164</v>
      </c>
      <c r="F1106" s="524" t="s">
        <v>1183</v>
      </c>
      <c r="G1106" s="524" t="s">
        <v>1276</v>
      </c>
      <c r="H1106" s="527">
        <v>1039.6300000000001</v>
      </c>
      <c r="I1106" s="524" t="s">
        <v>1148</v>
      </c>
      <c r="J1106" s="524">
        <f>IF(cmf[[#This Row],[D/C]]="C",cmf[[#This Row],[Valor]],-1*cmf[[#This Row],[Valor]])</f>
        <v>1039.6300000000001</v>
      </c>
      <c r="L1106" s="524" t="s">
        <v>1166</v>
      </c>
      <c r="M1106" s="524" t="s">
        <v>1167</v>
      </c>
      <c r="N1106" s="524" t="s">
        <v>1184</v>
      </c>
      <c r="O1106" s="524" t="s">
        <v>1201</v>
      </c>
      <c r="P1106" s="526"/>
      <c r="S1106" s="527">
        <v>0</v>
      </c>
    </row>
    <row r="1107" spans="1:19" x14ac:dyDescent="0.2">
      <c r="A1107" s="524">
        <v>69489</v>
      </c>
      <c r="B1107" s="526">
        <v>46218</v>
      </c>
      <c r="C1107" s="524" t="s">
        <v>1162</v>
      </c>
      <c r="D1107" s="524" t="s">
        <v>1163</v>
      </c>
      <c r="E1107" s="524" t="s">
        <v>1173</v>
      </c>
      <c r="F1107" s="524" t="s">
        <v>1183</v>
      </c>
      <c r="G1107" s="524" t="s">
        <v>1276</v>
      </c>
      <c r="H1107" s="527">
        <v>2.2999999999999998</v>
      </c>
      <c r="I1107" s="524" t="s">
        <v>1174</v>
      </c>
      <c r="J1107" s="524">
        <f>IF(cmf[[#This Row],[D/C]]="C",cmf[[#This Row],[Valor]],-1*cmf[[#This Row],[Valor]])</f>
        <v>-2.2999999999999998</v>
      </c>
      <c r="L1107" s="524" t="s">
        <v>1175</v>
      </c>
      <c r="M1107" s="524" t="s">
        <v>1176</v>
      </c>
      <c r="N1107" s="524" t="s">
        <v>1184</v>
      </c>
      <c r="O1107" s="524" t="s">
        <v>1201</v>
      </c>
      <c r="P1107" s="526"/>
      <c r="S1107" s="527">
        <v>0</v>
      </c>
    </row>
    <row r="1108" spans="1:19" x14ac:dyDescent="0.2">
      <c r="A1108" s="524">
        <v>69492</v>
      </c>
      <c r="B1108" s="526">
        <v>46218</v>
      </c>
      <c r="C1108" s="524" t="s">
        <v>1162</v>
      </c>
      <c r="D1108" s="524" t="s">
        <v>1163</v>
      </c>
      <c r="E1108" s="524" t="s">
        <v>1164</v>
      </c>
      <c r="F1108" s="524" t="s">
        <v>1183</v>
      </c>
      <c r="G1108" s="524" t="s">
        <v>796</v>
      </c>
      <c r="H1108" s="527">
        <v>46949.72</v>
      </c>
      <c r="I1108" s="524" t="s">
        <v>1148</v>
      </c>
      <c r="J1108" s="524">
        <f>IF(cmf[[#This Row],[D/C]]="C",cmf[[#This Row],[Valor]],-1*cmf[[#This Row],[Valor]])</f>
        <v>46949.72</v>
      </c>
      <c r="L1108" s="524" t="s">
        <v>1166</v>
      </c>
      <c r="M1108" s="524" t="s">
        <v>1167</v>
      </c>
      <c r="N1108" s="524" t="s">
        <v>1184</v>
      </c>
      <c r="O1108" s="524" t="s">
        <v>1172</v>
      </c>
      <c r="P1108" s="526"/>
      <c r="S1108" s="527">
        <v>0</v>
      </c>
    </row>
    <row r="1109" spans="1:19" x14ac:dyDescent="0.2">
      <c r="A1109" s="524">
        <v>69493</v>
      </c>
      <c r="B1109" s="526">
        <v>46218</v>
      </c>
      <c r="C1109" s="524" t="s">
        <v>1162</v>
      </c>
      <c r="D1109" s="524" t="s">
        <v>1163</v>
      </c>
      <c r="E1109" s="524" t="s">
        <v>1173</v>
      </c>
      <c r="F1109" s="524" t="s">
        <v>1183</v>
      </c>
      <c r="G1109" s="524" t="s">
        <v>796</v>
      </c>
      <c r="H1109" s="527">
        <v>11.5</v>
      </c>
      <c r="I1109" s="524" t="s">
        <v>1174</v>
      </c>
      <c r="J1109" s="524">
        <f>IF(cmf[[#This Row],[D/C]]="C",cmf[[#This Row],[Valor]],-1*cmf[[#This Row],[Valor]])</f>
        <v>-11.5</v>
      </c>
      <c r="L1109" s="524" t="s">
        <v>1175</v>
      </c>
      <c r="M1109" s="524" t="s">
        <v>1176</v>
      </c>
      <c r="N1109" s="524" t="s">
        <v>1184</v>
      </c>
      <c r="O1109" s="524" t="s">
        <v>1172</v>
      </c>
      <c r="P1109" s="526"/>
      <c r="S1109" s="527">
        <v>0</v>
      </c>
    </row>
    <row r="1110" spans="1:19" x14ac:dyDescent="0.2">
      <c r="A1110" s="524">
        <v>69494</v>
      </c>
      <c r="B1110" s="526">
        <v>46218</v>
      </c>
      <c r="C1110" s="524" t="s">
        <v>1148</v>
      </c>
      <c r="D1110" s="524" t="s">
        <v>1163</v>
      </c>
      <c r="E1110" s="524" t="s">
        <v>1164</v>
      </c>
      <c r="F1110" s="524" t="s">
        <v>1170</v>
      </c>
      <c r="G1110" s="524" t="s">
        <v>749</v>
      </c>
      <c r="H1110" s="527">
        <v>3925.74</v>
      </c>
      <c r="I1110" s="524" t="s">
        <v>1148</v>
      </c>
      <c r="J1110" s="524">
        <f>IF(cmf[[#This Row],[D/C]]="C",cmf[[#This Row],[Valor]],-1*cmf[[#This Row],[Valor]])</f>
        <v>3925.74</v>
      </c>
      <c r="L1110" s="524" t="s">
        <v>1166</v>
      </c>
      <c r="M1110" s="524" t="s">
        <v>1167</v>
      </c>
      <c r="N1110" s="524" t="s">
        <v>1256</v>
      </c>
      <c r="O1110" s="524" t="s">
        <v>1257</v>
      </c>
      <c r="P1110" s="526">
        <v>46218</v>
      </c>
      <c r="S1110" s="527">
        <v>0</v>
      </c>
    </row>
    <row r="1111" spans="1:19" x14ac:dyDescent="0.2">
      <c r="A1111" s="524">
        <v>69495</v>
      </c>
      <c r="B1111" s="526">
        <v>46218</v>
      </c>
      <c r="C1111" s="524" t="s">
        <v>1148</v>
      </c>
      <c r="D1111" s="524" t="s">
        <v>1163</v>
      </c>
      <c r="E1111" s="524" t="s">
        <v>1173</v>
      </c>
      <c r="F1111" s="524" t="s">
        <v>1170</v>
      </c>
      <c r="G1111" s="524" t="s">
        <v>749</v>
      </c>
      <c r="H1111" s="527">
        <v>12.6</v>
      </c>
      <c r="I1111" s="524" t="s">
        <v>1174</v>
      </c>
      <c r="J1111" s="524">
        <f>IF(cmf[[#This Row],[D/C]]="C",cmf[[#This Row],[Valor]],-1*cmf[[#This Row],[Valor]])</f>
        <v>-12.6</v>
      </c>
      <c r="L1111" s="524" t="s">
        <v>1175</v>
      </c>
      <c r="M1111" s="524" t="s">
        <v>1176</v>
      </c>
      <c r="N1111" s="524" t="s">
        <v>1256</v>
      </c>
      <c r="O1111" s="524" t="s">
        <v>1257</v>
      </c>
      <c r="P1111" s="526">
        <v>46218</v>
      </c>
      <c r="S1111" s="527">
        <v>0</v>
      </c>
    </row>
    <row r="1112" spans="1:19" x14ac:dyDescent="0.2">
      <c r="A1112" s="524">
        <v>69499</v>
      </c>
      <c r="B1112" s="526">
        <v>46218</v>
      </c>
      <c r="C1112" s="524" t="s">
        <v>1162</v>
      </c>
      <c r="D1112" s="524" t="s">
        <v>1163</v>
      </c>
      <c r="E1112" s="524" t="s">
        <v>1164</v>
      </c>
      <c r="F1112" s="524" t="s">
        <v>1111</v>
      </c>
      <c r="G1112" s="524" t="s">
        <v>1110</v>
      </c>
      <c r="H1112" s="527">
        <v>18377.93</v>
      </c>
      <c r="I1112" s="524" t="s">
        <v>1148</v>
      </c>
      <c r="J1112" s="524">
        <f>IF(cmf[[#This Row],[D/C]]="C",cmf[[#This Row],[Valor]],-1*cmf[[#This Row],[Valor]])</f>
        <v>18377.93</v>
      </c>
      <c r="L1112" s="524" t="s">
        <v>1166</v>
      </c>
      <c r="M1112" s="524" t="s">
        <v>1167</v>
      </c>
      <c r="N1112" s="524" t="s">
        <v>1219</v>
      </c>
      <c r="O1112" s="524" t="s">
        <v>1220</v>
      </c>
      <c r="P1112" s="526"/>
      <c r="S1112" s="527">
        <v>0</v>
      </c>
    </row>
    <row r="1113" spans="1:19" x14ac:dyDescent="0.2">
      <c r="A1113" s="524">
        <v>69612</v>
      </c>
      <c r="B1113" s="526">
        <v>46218</v>
      </c>
      <c r="C1113" s="524" t="s">
        <v>1162</v>
      </c>
      <c r="D1113" s="524" t="s">
        <v>1186</v>
      </c>
      <c r="E1113" s="524" t="s">
        <v>1907</v>
      </c>
      <c r="F1113" s="524" t="s">
        <v>1183</v>
      </c>
      <c r="G1113" s="524" t="s">
        <v>801</v>
      </c>
      <c r="H1113" s="527">
        <v>3150</v>
      </c>
      <c r="I1113" s="524" t="s">
        <v>1174</v>
      </c>
      <c r="J1113" s="524">
        <f>IF(cmf[[#This Row],[D/C]]="C",cmf[[#This Row],[Valor]],-1*cmf[[#This Row],[Valor]])</f>
        <v>-3150</v>
      </c>
      <c r="L1113" s="524" t="s">
        <v>1188</v>
      </c>
      <c r="M1113" s="524" t="s">
        <v>1189</v>
      </c>
      <c r="N1113" s="524" t="s">
        <v>1203</v>
      </c>
      <c r="O1113" s="524" t="s">
        <v>1204</v>
      </c>
      <c r="P1113" s="526"/>
      <c r="S1113" s="527">
        <v>0</v>
      </c>
    </row>
    <row r="1114" spans="1:19" x14ac:dyDescent="0.2">
      <c r="A1114" s="524">
        <v>69625</v>
      </c>
      <c r="B1114" s="526">
        <v>46218</v>
      </c>
      <c r="C1114" s="524" t="s">
        <v>1162</v>
      </c>
      <c r="D1114" s="524" t="s">
        <v>1186</v>
      </c>
      <c r="E1114" s="524" t="s">
        <v>1908</v>
      </c>
      <c r="F1114" s="524" t="s">
        <v>1170</v>
      </c>
      <c r="G1114" s="524" t="s">
        <v>775</v>
      </c>
      <c r="H1114" s="527">
        <v>120</v>
      </c>
      <c r="I1114" s="524" t="s">
        <v>1174</v>
      </c>
      <c r="J1114" s="524">
        <f>IF(cmf[[#This Row],[D/C]]="C",cmf[[#This Row],[Valor]],-1*cmf[[#This Row],[Valor]])</f>
        <v>-120</v>
      </c>
      <c r="L1114" s="524" t="s">
        <v>1188</v>
      </c>
      <c r="M1114" s="524" t="s">
        <v>1189</v>
      </c>
      <c r="N1114" s="524" t="s">
        <v>1212</v>
      </c>
      <c r="O1114" s="524" t="s">
        <v>1213</v>
      </c>
      <c r="P1114" s="526"/>
      <c r="S1114" s="527">
        <v>0</v>
      </c>
    </row>
    <row r="1115" spans="1:19" x14ac:dyDescent="0.2">
      <c r="A1115" s="524">
        <v>69646</v>
      </c>
      <c r="B1115" s="526">
        <v>46218</v>
      </c>
      <c r="C1115" s="524" t="s">
        <v>1148</v>
      </c>
      <c r="D1115" s="524" t="s">
        <v>1186</v>
      </c>
      <c r="E1115" s="524" t="s">
        <v>1909</v>
      </c>
      <c r="F1115" s="524" t="s">
        <v>1183</v>
      </c>
      <c r="G1115" s="524" t="s">
        <v>745</v>
      </c>
      <c r="H1115" s="527">
        <v>11499.89</v>
      </c>
      <c r="I1115" s="524" t="s">
        <v>1174</v>
      </c>
      <c r="J1115" s="524">
        <f>IF(cmf[[#This Row],[D/C]]="C",cmf[[#This Row],[Valor]],-1*cmf[[#This Row],[Valor]])</f>
        <v>-11499.89</v>
      </c>
      <c r="L1115" s="524" t="s">
        <v>1188</v>
      </c>
      <c r="M1115" s="524" t="s">
        <v>1189</v>
      </c>
      <c r="N1115" s="524" t="s">
        <v>1292</v>
      </c>
      <c r="O1115" s="524" t="s">
        <v>1293</v>
      </c>
      <c r="P1115" s="526">
        <v>46218</v>
      </c>
      <c r="S1115" s="527">
        <v>0</v>
      </c>
    </row>
    <row r="1116" spans="1:19" x14ac:dyDescent="0.2">
      <c r="A1116" s="524">
        <v>69647</v>
      </c>
      <c r="B1116" s="526">
        <v>46218</v>
      </c>
      <c r="C1116" s="524" t="s">
        <v>1148</v>
      </c>
      <c r="D1116" s="524" t="s">
        <v>1186</v>
      </c>
      <c r="E1116" s="524" t="s">
        <v>1910</v>
      </c>
      <c r="F1116" s="524" t="s">
        <v>1183</v>
      </c>
      <c r="G1116" s="524" t="s">
        <v>745</v>
      </c>
      <c r="H1116" s="527">
        <v>2000</v>
      </c>
      <c r="I1116" s="524" t="s">
        <v>1174</v>
      </c>
      <c r="J1116" s="524">
        <f>IF(cmf[[#This Row],[D/C]]="C",cmf[[#This Row],[Valor]],-1*cmf[[#This Row],[Valor]])</f>
        <v>-2000</v>
      </c>
      <c r="L1116" s="524" t="s">
        <v>1188</v>
      </c>
      <c r="M1116" s="524" t="s">
        <v>1189</v>
      </c>
      <c r="N1116" s="524" t="s">
        <v>1292</v>
      </c>
      <c r="O1116" s="524" t="s">
        <v>1293</v>
      </c>
      <c r="P1116" s="526">
        <v>46218</v>
      </c>
      <c r="S1116" s="527">
        <v>0</v>
      </c>
    </row>
    <row r="1117" spans="1:19" x14ac:dyDescent="0.2">
      <c r="A1117" s="524">
        <v>69648</v>
      </c>
      <c r="B1117" s="526">
        <v>46218</v>
      </c>
      <c r="C1117" s="524" t="s">
        <v>1148</v>
      </c>
      <c r="D1117" s="524" t="s">
        <v>1186</v>
      </c>
      <c r="E1117" s="524" t="s">
        <v>1911</v>
      </c>
      <c r="F1117" s="524" t="s">
        <v>1178</v>
      </c>
      <c r="G1117" s="524" t="s">
        <v>1179</v>
      </c>
      <c r="H1117" s="527">
        <v>2350.04</v>
      </c>
      <c r="I1117" s="524" t="s">
        <v>1174</v>
      </c>
      <c r="J1117" s="524">
        <f>IF(cmf[[#This Row],[D/C]]="C",cmf[[#This Row],[Valor]],-1*cmf[[#This Row],[Valor]])</f>
        <v>-2350.04</v>
      </c>
      <c r="L1117" s="524" t="s">
        <v>1188</v>
      </c>
      <c r="M1117" s="524" t="s">
        <v>1189</v>
      </c>
      <c r="N1117" s="524" t="s">
        <v>1180</v>
      </c>
      <c r="O1117" s="524" t="s">
        <v>1181</v>
      </c>
      <c r="P1117" s="526">
        <v>46218</v>
      </c>
      <c r="S1117" s="527">
        <v>0</v>
      </c>
    </row>
    <row r="1118" spans="1:19" x14ac:dyDescent="0.2">
      <c r="A1118" s="524">
        <v>69649</v>
      </c>
      <c r="B1118" s="526">
        <v>46218</v>
      </c>
      <c r="C1118" s="524" t="s">
        <v>1148</v>
      </c>
      <c r="D1118" s="524" t="s">
        <v>1186</v>
      </c>
      <c r="E1118" s="524" t="s">
        <v>1912</v>
      </c>
      <c r="F1118" s="524" t="s">
        <v>1178</v>
      </c>
      <c r="G1118" s="524" t="s">
        <v>1179</v>
      </c>
      <c r="H1118" s="527">
        <v>2250</v>
      </c>
      <c r="I1118" s="524" t="s">
        <v>1174</v>
      </c>
      <c r="J1118" s="524">
        <f>IF(cmf[[#This Row],[D/C]]="C",cmf[[#This Row],[Valor]],-1*cmf[[#This Row],[Valor]])</f>
        <v>-2250</v>
      </c>
      <c r="L1118" s="524" t="s">
        <v>1188</v>
      </c>
      <c r="M1118" s="524" t="s">
        <v>1189</v>
      </c>
      <c r="N1118" s="524" t="s">
        <v>1180</v>
      </c>
      <c r="O1118" s="524" t="s">
        <v>1181</v>
      </c>
      <c r="P1118" s="526">
        <v>46218</v>
      </c>
      <c r="S1118" s="527">
        <v>0</v>
      </c>
    </row>
    <row r="1119" spans="1:19" x14ac:dyDescent="0.2">
      <c r="A1119" s="524">
        <v>69650</v>
      </c>
      <c r="B1119" s="526">
        <v>46218</v>
      </c>
      <c r="C1119" s="524" t="s">
        <v>1148</v>
      </c>
      <c r="D1119" s="524" t="s">
        <v>1186</v>
      </c>
      <c r="E1119" s="524" t="s">
        <v>1913</v>
      </c>
      <c r="F1119" s="524" t="s">
        <v>1178</v>
      </c>
      <c r="G1119" s="524" t="s">
        <v>1179</v>
      </c>
      <c r="H1119" s="527">
        <v>930</v>
      </c>
      <c r="I1119" s="524" t="s">
        <v>1174</v>
      </c>
      <c r="J1119" s="524">
        <f>IF(cmf[[#This Row],[D/C]]="C",cmf[[#This Row],[Valor]],-1*cmf[[#This Row],[Valor]])</f>
        <v>-930</v>
      </c>
      <c r="L1119" s="524" t="s">
        <v>1188</v>
      </c>
      <c r="M1119" s="524" t="s">
        <v>1189</v>
      </c>
      <c r="N1119" s="524" t="s">
        <v>1180</v>
      </c>
      <c r="O1119" s="524" t="s">
        <v>1181</v>
      </c>
      <c r="P1119" s="526">
        <v>46218</v>
      </c>
      <c r="S1119" s="527">
        <v>0</v>
      </c>
    </row>
    <row r="1120" spans="1:19" x14ac:dyDescent="0.2">
      <c r="A1120" s="524">
        <v>69651</v>
      </c>
      <c r="B1120" s="526">
        <v>46218</v>
      </c>
      <c r="C1120" s="524" t="s">
        <v>1148</v>
      </c>
      <c r="D1120" s="524" t="s">
        <v>1186</v>
      </c>
      <c r="E1120" s="524" t="s">
        <v>1914</v>
      </c>
      <c r="F1120" s="524" t="s">
        <v>1183</v>
      </c>
      <c r="G1120" s="524" t="s">
        <v>752</v>
      </c>
      <c r="H1120" s="527">
        <v>3500</v>
      </c>
      <c r="I1120" s="524" t="s">
        <v>1174</v>
      </c>
      <c r="J1120" s="524">
        <f>IF(cmf[[#This Row],[D/C]]="C",cmf[[#This Row],[Valor]],-1*cmf[[#This Row],[Valor]])</f>
        <v>-3500</v>
      </c>
      <c r="L1120" s="524" t="s">
        <v>1188</v>
      </c>
      <c r="M1120" s="524" t="s">
        <v>1189</v>
      </c>
      <c r="N1120" s="524" t="s">
        <v>1601</v>
      </c>
      <c r="O1120" s="524" t="s">
        <v>1602</v>
      </c>
      <c r="P1120" s="526">
        <v>46218</v>
      </c>
      <c r="S1120" s="527">
        <v>0</v>
      </c>
    </row>
    <row r="1121" spans="1:19" x14ac:dyDescent="0.2">
      <c r="A1121" s="524">
        <v>69661</v>
      </c>
      <c r="B1121" s="526">
        <v>46218</v>
      </c>
      <c r="C1121" s="524" t="s">
        <v>1162</v>
      </c>
      <c r="D1121" s="524" t="s">
        <v>1186</v>
      </c>
      <c r="E1121" s="524" t="s">
        <v>1915</v>
      </c>
      <c r="F1121" s="524" t="s">
        <v>1170</v>
      </c>
      <c r="G1121" s="524" t="s">
        <v>771</v>
      </c>
      <c r="H1121" s="527">
        <v>3680.25</v>
      </c>
      <c r="I1121" s="524" t="s">
        <v>1174</v>
      </c>
      <c r="J1121" s="524">
        <f>IF(cmf[[#This Row],[D/C]]="C",cmf[[#This Row],[Valor]],-1*cmf[[#This Row],[Valor]])</f>
        <v>-3680.25</v>
      </c>
      <c r="L1121" s="524" t="s">
        <v>1188</v>
      </c>
      <c r="M1121" s="524" t="s">
        <v>1189</v>
      </c>
      <c r="N1121" s="524" t="s">
        <v>1249</v>
      </c>
      <c r="O1121" s="524" t="s">
        <v>1250</v>
      </c>
      <c r="P1121" s="526"/>
      <c r="S1121" s="527">
        <v>0</v>
      </c>
    </row>
    <row r="1122" spans="1:19" x14ac:dyDescent="0.2">
      <c r="A1122" s="524">
        <v>69662</v>
      </c>
      <c r="B1122" s="526">
        <v>46218</v>
      </c>
      <c r="C1122" s="524" t="s">
        <v>1162</v>
      </c>
      <c r="D1122" s="524" t="s">
        <v>1186</v>
      </c>
      <c r="E1122" s="524" t="s">
        <v>1916</v>
      </c>
      <c r="F1122" s="524" t="s">
        <v>1170</v>
      </c>
      <c r="G1122" s="524" t="s">
        <v>775</v>
      </c>
      <c r="H1122" s="527">
        <v>616.02</v>
      </c>
      <c r="I1122" s="524" t="s">
        <v>1174</v>
      </c>
      <c r="J1122" s="524">
        <f>IF(cmf[[#This Row],[D/C]]="C",cmf[[#This Row],[Valor]],-1*cmf[[#This Row],[Valor]])</f>
        <v>-616.02</v>
      </c>
      <c r="L1122" s="524" t="s">
        <v>1188</v>
      </c>
      <c r="M1122" s="524" t="s">
        <v>1189</v>
      </c>
      <c r="N1122" s="524" t="s">
        <v>1212</v>
      </c>
      <c r="O1122" s="524" t="s">
        <v>1213</v>
      </c>
      <c r="P1122" s="526"/>
      <c r="S1122" s="527">
        <v>0</v>
      </c>
    </row>
    <row r="1123" spans="1:19" x14ac:dyDescent="0.2">
      <c r="A1123" s="524">
        <v>69663</v>
      </c>
      <c r="B1123" s="526">
        <v>46218</v>
      </c>
      <c r="C1123" s="524" t="s">
        <v>1162</v>
      </c>
      <c r="D1123" s="524" t="s">
        <v>1186</v>
      </c>
      <c r="E1123" s="524" t="s">
        <v>1917</v>
      </c>
      <c r="F1123" s="524" t="s">
        <v>1170</v>
      </c>
      <c r="G1123" s="524" t="s">
        <v>775</v>
      </c>
      <c r="H1123" s="527">
        <v>657.09</v>
      </c>
      <c r="I1123" s="524" t="s">
        <v>1174</v>
      </c>
      <c r="J1123" s="524">
        <f>IF(cmf[[#This Row],[D/C]]="C",cmf[[#This Row],[Valor]],-1*cmf[[#This Row],[Valor]])</f>
        <v>-657.09</v>
      </c>
      <c r="L1123" s="524" t="s">
        <v>1188</v>
      </c>
      <c r="M1123" s="524" t="s">
        <v>1189</v>
      </c>
      <c r="N1123" s="524" t="s">
        <v>1212</v>
      </c>
      <c r="O1123" s="524" t="s">
        <v>1213</v>
      </c>
      <c r="P1123" s="526"/>
      <c r="S1123" s="527">
        <v>0</v>
      </c>
    </row>
    <row r="1124" spans="1:19" x14ac:dyDescent="0.2">
      <c r="A1124" s="524">
        <v>69664</v>
      </c>
      <c r="B1124" s="526">
        <v>46218</v>
      </c>
      <c r="C1124" s="524" t="s">
        <v>1162</v>
      </c>
      <c r="D1124" s="524" t="s">
        <v>1186</v>
      </c>
      <c r="E1124" s="524" t="s">
        <v>1918</v>
      </c>
      <c r="F1124" s="524" t="s">
        <v>1183</v>
      </c>
      <c r="G1124" s="524" t="s">
        <v>1919</v>
      </c>
      <c r="H1124" s="527">
        <v>1626.38</v>
      </c>
      <c r="I1124" s="524" t="s">
        <v>1174</v>
      </c>
      <c r="J1124" s="524">
        <f>IF(cmf[[#This Row],[D/C]]="C",cmf[[#This Row],[Valor]],-1*cmf[[#This Row],[Valor]])</f>
        <v>-1626.38</v>
      </c>
      <c r="L1124" s="524" t="s">
        <v>1188</v>
      </c>
      <c r="M1124" s="524" t="s">
        <v>1189</v>
      </c>
      <c r="N1124" s="524" t="s">
        <v>1209</v>
      </c>
      <c r="O1124" s="524" t="s">
        <v>1210</v>
      </c>
      <c r="P1124" s="526"/>
      <c r="S1124" s="527">
        <v>0</v>
      </c>
    </row>
    <row r="1125" spans="1:19" x14ac:dyDescent="0.2">
      <c r="A1125" s="524">
        <v>69667</v>
      </c>
      <c r="B1125" s="526">
        <v>46218</v>
      </c>
      <c r="C1125" s="524" t="s">
        <v>1148</v>
      </c>
      <c r="D1125" s="524" t="s">
        <v>1186</v>
      </c>
      <c r="E1125" s="524" t="s">
        <v>1920</v>
      </c>
      <c r="F1125" s="524" t="s">
        <v>1183</v>
      </c>
      <c r="G1125" s="524" t="s">
        <v>806</v>
      </c>
      <c r="H1125" s="527">
        <v>1692.65</v>
      </c>
      <c r="I1125" s="524" t="s">
        <v>1174</v>
      </c>
      <c r="J1125" s="524">
        <f>IF(cmf[[#This Row],[D/C]]="C",cmf[[#This Row],[Valor]],-1*cmf[[#This Row],[Valor]])</f>
        <v>-1692.65</v>
      </c>
      <c r="L1125" s="524" t="s">
        <v>1188</v>
      </c>
      <c r="M1125" s="524" t="s">
        <v>1189</v>
      </c>
      <c r="N1125" s="524" t="s">
        <v>1283</v>
      </c>
      <c r="O1125" s="524" t="s">
        <v>1284</v>
      </c>
      <c r="P1125" s="526">
        <v>46218</v>
      </c>
      <c r="S1125" s="527">
        <v>0</v>
      </c>
    </row>
    <row r="1126" spans="1:19" x14ac:dyDescent="0.2">
      <c r="A1126" s="524">
        <v>69668</v>
      </c>
      <c r="B1126" s="526">
        <v>46218</v>
      </c>
      <c r="C1126" s="524" t="s">
        <v>1148</v>
      </c>
      <c r="D1126" s="524" t="s">
        <v>1186</v>
      </c>
      <c r="E1126" s="524" t="s">
        <v>1921</v>
      </c>
      <c r="F1126" s="524" t="s">
        <v>1183</v>
      </c>
      <c r="G1126" s="524" t="s">
        <v>758</v>
      </c>
      <c r="H1126" s="527">
        <v>56000</v>
      </c>
      <c r="I1126" s="524" t="s">
        <v>1174</v>
      </c>
      <c r="J1126" s="524">
        <f>IF(cmf[[#This Row],[D/C]]="C",cmf[[#This Row],[Valor]],-1*cmf[[#This Row],[Valor]])</f>
        <v>-56000</v>
      </c>
      <c r="L1126" s="524" t="s">
        <v>1188</v>
      </c>
      <c r="M1126" s="524" t="s">
        <v>1189</v>
      </c>
      <c r="N1126" s="524" t="s">
        <v>1223</v>
      </c>
      <c r="O1126" s="524" t="s">
        <v>1224</v>
      </c>
      <c r="P1126" s="526">
        <v>46218</v>
      </c>
      <c r="S1126" s="527">
        <v>0</v>
      </c>
    </row>
    <row r="1127" spans="1:19" x14ac:dyDescent="0.2">
      <c r="A1127" s="524">
        <v>69669</v>
      </c>
      <c r="B1127" s="526">
        <v>46218</v>
      </c>
      <c r="C1127" s="524" t="s">
        <v>1148</v>
      </c>
      <c r="D1127" s="524" t="s">
        <v>1186</v>
      </c>
      <c r="E1127" s="524" t="s">
        <v>1922</v>
      </c>
      <c r="F1127" s="524" t="s">
        <v>1183</v>
      </c>
      <c r="G1127" s="524" t="s">
        <v>758</v>
      </c>
      <c r="H1127" s="527">
        <v>5159.03</v>
      </c>
      <c r="I1127" s="524" t="s">
        <v>1174</v>
      </c>
      <c r="J1127" s="524">
        <f>IF(cmf[[#This Row],[D/C]]="C",cmf[[#This Row],[Valor]],-1*cmf[[#This Row],[Valor]])</f>
        <v>-5159.03</v>
      </c>
      <c r="L1127" s="524" t="s">
        <v>1188</v>
      </c>
      <c r="M1127" s="524" t="s">
        <v>1189</v>
      </c>
      <c r="N1127" s="524" t="s">
        <v>1223</v>
      </c>
      <c r="O1127" s="524" t="s">
        <v>1224</v>
      </c>
      <c r="P1127" s="526">
        <v>46218</v>
      </c>
      <c r="S1127" s="527">
        <v>0</v>
      </c>
    </row>
    <row r="1128" spans="1:19" x14ac:dyDescent="0.2">
      <c r="A1128" s="524">
        <v>69670</v>
      </c>
      <c r="B1128" s="526">
        <v>46218</v>
      </c>
      <c r="C1128" s="524" t="s">
        <v>1148</v>
      </c>
      <c r="D1128" s="524" t="s">
        <v>1186</v>
      </c>
      <c r="E1128" s="524" t="s">
        <v>1923</v>
      </c>
      <c r="F1128" s="524" t="s">
        <v>1183</v>
      </c>
      <c r="G1128" s="524" t="s">
        <v>758</v>
      </c>
      <c r="H1128" s="527">
        <v>5159.03</v>
      </c>
      <c r="I1128" s="524" t="s">
        <v>1174</v>
      </c>
      <c r="J1128" s="524">
        <f>IF(cmf[[#This Row],[D/C]]="C",cmf[[#This Row],[Valor]],-1*cmf[[#This Row],[Valor]])</f>
        <v>-5159.03</v>
      </c>
      <c r="L1128" s="524" t="s">
        <v>1188</v>
      </c>
      <c r="M1128" s="524" t="s">
        <v>1189</v>
      </c>
      <c r="N1128" s="524" t="s">
        <v>1223</v>
      </c>
      <c r="O1128" s="524" t="s">
        <v>1224</v>
      </c>
      <c r="P1128" s="526">
        <v>46218</v>
      </c>
      <c r="S1128" s="527">
        <v>0</v>
      </c>
    </row>
    <row r="1129" spans="1:19" x14ac:dyDescent="0.2">
      <c r="A1129" s="524">
        <v>69671</v>
      </c>
      <c r="B1129" s="526">
        <v>46218</v>
      </c>
      <c r="C1129" s="524" t="s">
        <v>1148</v>
      </c>
      <c r="D1129" s="524" t="s">
        <v>1186</v>
      </c>
      <c r="E1129" s="524" t="s">
        <v>1924</v>
      </c>
      <c r="F1129" s="524" t="s">
        <v>1183</v>
      </c>
      <c r="G1129" s="524" t="s">
        <v>758</v>
      </c>
      <c r="H1129" s="527">
        <v>4500</v>
      </c>
      <c r="I1129" s="524" t="s">
        <v>1174</v>
      </c>
      <c r="J1129" s="524">
        <f>IF(cmf[[#This Row],[D/C]]="C",cmf[[#This Row],[Valor]],-1*cmf[[#This Row],[Valor]])</f>
        <v>-4500</v>
      </c>
      <c r="L1129" s="524" t="s">
        <v>1188</v>
      </c>
      <c r="M1129" s="524" t="s">
        <v>1189</v>
      </c>
      <c r="N1129" s="524" t="s">
        <v>1223</v>
      </c>
      <c r="O1129" s="524" t="s">
        <v>1224</v>
      </c>
      <c r="P1129" s="526">
        <v>46218</v>
      </c>
      <c r="S1129" s="527">
        <v>0</v>
      </c>
    </row>
    <row r="1130" spans="1:19" x14ac:dyDescent="0.2">
      <c r="A1130" s="524">
        <v>69672</v>
      </c>
      <c r="B1130" s="526">
        <v>46218</v>
      </c>
      <c r="C1130" s="524" t="s">
        <v>1148</v>
      </c>
      <c r="D1130" s="524" t="s">
        <v>1186</v>
      </c>
      <c r="E1130" s="524" t="s">
        <v>1925</v>
      </c>
      <c r="F1130" s="524" t="s">
        <v>1183</v>
      </c>
      <c r="G1130" s="524" t="s">
        <v>758</v>
      </c>
      <c r="H1130" s="527">
        <v>168000</v>
      </c>
      <c r="I1130" s="524" t="s">
        <v>1174</v>
      </c>
      <c r="J1130" s="524">
        <f>IF(cmf[[#This Row],[D/C]]="C",cmf[[#This Row],[Valor]],-1*cmf[[#This Row],[Valor]])</f>
        <v>-168000</v>
      </c>
      <c r="L1130" s="524" t="s">
        <v>1188</v>
      </c>
      <c r="M1130" s="524" t="s">
        <v>1189</v>
      </c>
      <c r="N1130" s="524" t="s">
        <v>1223</v>
      </c>
      <c r="O1130" s="524" t="s">
        <v>1224</v>
      </c>
      <c r="P1130" s="526">
        <v>46218</v>
      </c>
      <c r="S1130" s="527">
        <v>0</v>
      </c>
    </row>
    <row r="1131" spans="1:19" x14ac:dyDescent="0.2">
      <c r="A1131" s="524">
        <v>69673</v>
      </c>
      <c r="B1131" s="526">
        <v>46218</v>
      </c>
      <c r="C1131" s="524" t="s">
        <v>1148</v>
      </c>
      <c r="D1131" s="524" t="s">
        <v>1186</v>
      </c>
      <c r="E1131" s="524" t="s">
        <v>1926</v>
      </c>
      <c r="F1131" s="524" t="s">
        <v>1183</v>
      </c>
      <c r="G1131" s="524" t="s">
        <v>758</v>
      </c>
      <c r="H1131" s="527">
        <v>1339.57</v>
      </c>
      <c r="I1131" s="524" t="s">
        <v>1174</v>
      </c>
      <c r="J1131" s="524">
        <f>IF(cmf[[#This Row],[D/C]]="C",cmf[[#This Row],[Valor]],-1*cmf[[#This Row],[Valor]])</f>
        <v>-1339.57</v>
      </c>
      <c r="L1131" s="524" t="s">
        <v>1188</v>
      </c>
      <c r="M1131" s="524" t="s">
        <v>1189</v>
      </c>
      <c r="N1131" s="524" t="s">
        <v>1223</v>
      </c>
      <c r="O1131" s="524" t="s">
        <v>1224</v>
      </c>
      <c r="P1131" s="526">
        <v>46218</v>
      </c>
      <c r="S1131" s="527">
        <v>0</v>
      </c>
    </row>
    <row r="1132" spans="1:19" x14ac:dyDescent="0.2">
      <c r="A1132" s="524">
        <v>69674</v>
      </c>
      <c r="B1132" s="526">
        <v>46218</v>
      </c>
      <c r="C1132" s="524" t="s">
        <v>1148</v>
      </c>
      <c r="D1132" s="524" t="s">
        <v>1186</v>
      </c>
      <c r="E1132" s="524" t="s">
        <v>1927</v>
      </c>
      <c r="F1132" s="524" t="s">
        <v>1183</v>
      </c>
      <c r="G1132" s="524" t="s">
        <v>758</v>
      </c>
      <c r="H1132" s="527">
        <v>56000</v>
      </c>
      <c r="I1132" s="524" t="s">
        <v>1174</v>
      </c>
      <c r="J1132" s="524">
        <f>IF(cmf[[#This Row],[D/C]]="C",cmf[[#This Row],[Valor]],-1*cmf[[#This Row],[Valor]])</f>
        <v>-56000</v>
      </c>
      <c r="L1132" s="524" t="s">
        <v>1188</v>
      </c>
      <c r="M1132" s="524" t="s">
        <v>1189</v>
      </c>
      <c r="N1132" s="524" t="s">
        <v>1223</v>
      </c>
      <c r="O1132" s="524" t="s">
        <v>1224</v>
      </c>
      <c r="P1132" s="526">
        <v>46218</v>
      </c>
      <c r="S1132" s="527">
        <v>0</v>
      </c>
    </row>
    <row r="1133" spans="1:19" x14ac:dyDescent="0.2">
      <c r="A1133" s="524">
        <v>69675</v>
      </c>
      <c r="B1133" s="526">
        <v>46218</v>
      </c>
      <c r="C1133" s="524" t="s">
        <v>1148</v>
      </c>
      <c r="D1133" s="524" t="s">
        <v>1186</v>
      </c>
      <c r="E1133" s="524" t="s">
        <v>1928</v>
      </c>
      <c r="F1133" s="524" t="s">
        <v>1183</v>
      </c>
      <c r="G1133" s="524" t="s">
        <v>758</v>
      </c>
      <c r="H1133" s="527">
        <v>800</v>
      </c>
      <c r="I1133" s="524" t="s">
        <v>1174</v>
      </c>
      <c r="J1133" s="524">
        <f>IF(cmf[[#This Row],[D/C]]="C",cmf[[#This Row],[Valor]],-1*cmf[[#This Row],[Valor]])</f>
        <v>-800</v>
      </c>
      <c r="L1133" s="524" t="s">
        <v>1188</v>
      </c>
      <c r="M1133" s="524" t="s">
        <v>1189</v>
      </c>
      <c r="N1133" s="524" t="s">
        <v>1223</v>
      </c>
      <c r="O1133" s="524" t="s">
        <v>1224</v>
      </c>
      <c r="P1133" s="526">
        <v>46218</v>
      </c>
      <c r="S1133" s="527">
        <v>0</v>
      </c>
    </row>
    <row r="1134" spans="1:19" x14ac:dyDescent="0.2">
      <c r="A1134" s="524">
        <v>69676</v>
      </c>
      <c r="B1134" s="526">
        <v>46218</v>
      </c>
      <c r="C1134" s="524" t="s">
        <v>1148</v>
      </c>
      <c r="D1134" s="524" t="s">
        <v>1186</v>
      </c>
      <c r="E1134" s="524" t="s">
        <v>1929</v>
      </c>
      <c r="F1134" s="524" t="s">
        <v>1183</v>
      </c>
      <c r="G1134" s="524" t="s">
        <v>758</v>
      </c>
      <c r="H1134" s="527">
        <v>81.239999999999995</v>
      </c>
      <c r="I1134" s="524" t="s">
        <v>1174</v>
      </c>
      <c r="J1134" s="524">
        <f>IF(cmf[[#This Row],[D/C]]="C",cmf[[#This Row],[Valor]],-1*cmf[[#This Row],[Valor]])</f>
        <v>-81.239999999999995</v>
      </c>
      <c r="L1134" s="524" t="s">
        <v>1188</v>
      </c>
      <c r="M1134" s="524" t="s">
        <v>1189</v>
      </c>
      <c r="N1134" s="524" t="s">
        <v>1223</v>
      </c>
      <c r="O1134" s="524" t="s">
        <v>1224</v>
      </c>
      <c r="P1134" s="526">
        <v>46218</v>
      </c>
      <c r="S1134" s="527">
        <v>0</v>
      </c>
    </row>
    <row r="1135" spans="1:19" x14ac:dyDescent="0.2">
      <c r="A1135" s="524">
        <v>69677</v>
      </c>
      <c r="B1135" s="526">
        <v>46218</v>
      </c>
      <c r="C1135" s="524" t="s">
        <v>1148</v>
      </c>
      <c r="D1135" s="524" t="s">
        <v>1186</v>
      </c>
      <c r="E1135" s="524" t="s">
        <v>1930</v>
      </c>
      <c r="F1135" s="524" t="s">
        <v>1183</v>
      </c>
      <c r="G1135" s="524" t="s">
        <v>758</v>
      </c>
      <c r="H1135" s="527">
        <v>23.04</v>
      </c>
      <c r="I1135" s="524" t="s">
        <v>1174</v>
      </c>
      <c r="J1135" s="524">
        <f>IF(cmf[[#This Row],[D/C]]="C",cmf[[#This Row],[Valor]],-1*cmf[[#This Row],[Valor]])</f>
        <v>-23.04</v>
      </c>
      <c r="L1135" s="524" t="s">
        <v>1188</v>
      </c>
      <c r="M1135" s="524" t="s">
        <v>1189</v>
      </c>
      <c r="N1135" s="524" t="s">
        <v>1223</v>
      </c>
      <c r="O1135" s="524" t="s">
        <v>1224</v>
      </c>
      <c r="P1135" s="526">
        <v>46218</v>
      </c>
      <c r="S1135" s="527">
        <v>0</v>
      </c>
    </row>
    <row r="1136" spans="1:19" x14ac:dyDescent="0.2">
      <c r="A1136" s="524">
        <v>69678</v>
      </c>
      <c r="B1136" s="526">
        <v>46218</v>
      </c>
      <c r="C1136" s="524" t="s">
        <v>1148</v>
      </c>
      <c r="D1136" s="524" t="s">
        <v>1186</v>
      </c>
      <c r="E1136" s="524" t="s">
        <v>1931</v>
      </c>
      <c r="F1136" s="524" t="s">
        <v>1183</v>
      </c>
      <c r="G1136" s="524" t="s">
        <v>758</v>
      </c>
      <c r="H1136" s="527">
        <v>81.239999999999995</v>
      </c>
      <c r="I1136" s="524" t="s">
        <v>1174</v>
      </c>
      <c r="J1136" s="524">
        <f>IF(cmf[[#This Row],[D/C]]="C",cmf[[#This Row],[Valor]],-1*cmf[[#This Row],[Valor]])</f>
        <v>-81.239999999999995</v>
      </c>
      <c r="L1136" s="524" t="s">
        <v>1188</v>
      </c>
      <c r="M1136" s="524" t="s">
        <v>1189</v>
      </c>
      <c r="N1136" s="524" t="s">
        <v>1223</v>
      </c>
      <c r="O1136" s="524" t="s">
        <v>1224</v>
      </c>
      <c r="P1136" s="526">
        <v>46218</v>
      </c>
      <c r="S1136" s="527">
        <v>0</v>
      </c>
    </row>
    <row r="1137" spans="1:19" x14ac:dyDescent="0.2">
      <c r="A1137" s="524">
        <v>69679</v>
      </c>
      <c r="B1137" s="526">
        <v>46218</v>
      </c>
      <c r="C1137" s="524" t="s">
        <v>1148</v>
      </c>
      <c r="D1137" s="524" t="s">
        <v>1186</v>
      </c>
      <c r="E1137" s="524" t="s">
        <v>1932</v>
      </c>
      <c r="F1137" s="524" t="s">
        <v>1183</v>
      </c>
      <c r="G1137" s="524" t="s">
        <v>769</v>
      </c>
      <c r="H1137" s="527">
        <v>178.06</v>
      </c>
      <c r="I1137" s="524" t="s">
        <v>1174</v>
      </c>
      <c r="J1137" s="524">
        <f>IF(cmf[[#This Row],[D/C]]="C",cmf[[#This Row],[Valor]],-1*cmf[[#This Row],[Valor]])</f>
        <v>-178.06</v>
      </c>
      <c r="L1137" s="524" t="s">
        <v>1188</v>
      </c>
      <c r="M1137" s="524" t="s">
        <v>1189</v>
      </c>
      <c r="N1137" s="524" t="s">
        <v>1219</v>
      </c>
      <c r="O1137" s="524" t="s">
        <v>1220</v>
      </c>
      <c r="P1137" s="526">
        <v>46218</v>
      </c>
      <c r="S1137" s="527">
        <v>0</v>
      </c>
    </row>
    <row r="1138" spans="1:19" x14ac:dyDescent="0.2">
      <c r="A1138" s="524">
        <v>69680</v>
      </c>
      <c r="B1138" s="526">
        <v>46218</v>
      </c>
      <c r="C1138" s="524" t="s">
        <v>1148</v>
      </c>
      <c r="D1138" s="524" t="s">
        <v>1186</v>
      </c>
      <c r="E1138" s="524" t="s">
        <v>1933</v>
      </c>
      <c r="F1138" s="524" t="s">
        <v>1183</v>
      </c>
      <c r="G1138" s="524" t="s">
        <v>769</v>
      </c>
      <c r="H1138" s="527">
        <v>129.99</v>
      </c>
      <c r="I1138" s="524" t="s">
        <v>1174</v>
      </c>
      <c r="J1138" s="524">
        <f>IF(cmf[[#This Row],[D/C]]="C",cmf[[#This Row],[Valor]],-1*cmf[[#This Row],[Valor]])</f>
        <v>-129.99</v>
      </c>
      <c r="L1138" s="524" t="s">
        <v>1188</v>
      </c>
      <c r="M1138" s="524" t="s">
        <v>1189</v>
      </c>
      <c r="N1138" s="524" t="s">
        <v>1219</v>
      </c>
      <c r="O1138" s="524" t="s">
        <v>1220</v>
      </c>
      <c r="P1138" s="526">
        <v>46218</v>
      </c>
      <c r="S1138" s="527">
        <v>0</v>
      </c>
    </row>
    <row r="1139" spans="1:19" x14ac:dyDescent="0.2">
      <c r="A1139" s="524">
        <v>69681</v>
      </c>
      <c r="B1139" s="526">
        <v>46218</v>
      </c>
      <c r="C1139" s="524" t="s">
        <v>1148</v>
      </c>
      <c r="D1139" s="524" t="s">
        <v>1186</v>
      </c>
      <c r="E1139" s="524" t="s">
        <v>1934</v>
      </c>
      <c r="F1139" s="524" t="s">
        <v>1183</v>
      </c>
      <c r="G1139" s="524" t="s">
        <v>769</v>
      </c>
      <c r="H1139" s="527">
        <v>1600</v>
      </c>
      <c r="I1139" s="524" t="s">
        <v>1174</v>
      </c>
      <c r="J1139" s="524">
        <f>IF(cmf[[#This Row],[D/C]]="C",cmf[[#This Row],[Valor]],-1*cmf[[#This Row],[Valor]])</f>
        <v>-1600</v>
      </c>
      <c r="L1139" s="524" t="s">
        <v>1188</v>
      </c>
      <c r="M1139" s="524" t="s">
        <v>1189</v>
      </c>
      <c r="N1139" s="524" t="s">
        <v>1219</v>
      </c>
      <c r="O1139" s="524" t="s">
        <v>1220</v>
      </c>
      <c r="P1139" s="526">
        <v>46218</v>
      </c>
      <c r="S1139" s="527">
        <v>0</v>
      </c>
    </row>
    <row r="1140" spans="1:19" x14ac:dyDescent="0.2">
      <c r="A1140" s="524">
        <v>69682</v>
      </c>
      <c r="B1140" s="526">
        <v>46218</v>
      </c>
      <c r="C1140" s="524" t="s">
        <v>1148</v>
      </c>
      <c r="D1140" s="524" t="s">
        <v>1186</v>
      </c>
      <c r="E1140" s="524" t="s">
        <v>1935</v>
      </c>
      <c r="F1140" s="524" t="s">
        <v>1183</v>
      </c>
      <c r="G1140" s="524" t="s">
        <v>769</v>
      </c>
      <c r="H1140" s="527">
        <v>2500</v>
      </c>
      <c r="I1140" s="524" t="s">
        <v>1174</v>
      </c>
      <c r="J1140" s="524">
        <f>IF(cmf[[#This Row],[D/C]]="C",cmf[[#This Row],[Valor]],-1*cmf[[#This Row],[Valor]])</f>
        <v>-2500</v>
      </c>
      <c r="L1140" s="524" t="s">
        <v>1188</v>
      </c>
      <c r="M1140" s="524" t="s">
        <v>1189</v>
      </c>
      <c r="N1140" s="524" t="s">
        <v>1219</v>
      </c>
      <c r="O1140" s="524" t="s">
        <v>1220</v>
      </c>
      <c r="P1140" s="526">
        <v>46218</v>
      </c>
      <c r="S1140" s="527">
        <v>0</v>
      </c>
    </row>
    <row r="1141" spans="1:19" x14ac:dyDescent="0.2">
      <c r="A1141" s="524">
        <v>69685</v>
      </c>
      <c r="B1141" s="526">
        <v>46218</v>
      </c>
      <c r="C1141" s="524" t="s">
        <v>1162</v>
      </c>
      <c r="D1141" s="524" t="s">
        <v>1163</v>
      </c>
      <c r="E1141" s="524" t="s">
        <v>1173</v>
      </c>
      <c r="F1141" s="524" t="s">
        <v>1170</v>
      </c>
      <c r="G1141" s="524" t="s">
        <v>771</v>
      </c>
      <c r="H1141" s="527">
        <v>4.5</v>
      </c>
      <c r="I1141" s="524" t="s">
        <v>1174</v>
      </c>
      <c r="J1141" s="524">
        <f>IF(cmf[[#This Row],[D/C]]="C",cmf[[#This Row],[Valor]],-1*cmf[[#This Row],[Valor]])</f>
        <v>-4.5</v>
      </c>
      <c r="L1141" s="524" t="s">
        <v>1175</v>
      </c>
      <c r="M1141" s="524" t="s">
        <v>1176</v>
      </c>
      <c r="N1141" s="524" t="s">
        <v>1249</v>
      </c>
      <c r="O1141" s="524" t="s">
        <v>1250</v>
      </c>
      <c r="P1141" s="526"/>
      <c r="S1141" s="527">
        <v>0</v>
      </c>
    </row>
    <row r="1142" spans="1:19" x14ac:dyDescent="0.2">
      <c r="A1142" s="524">
        <v>69686</v>
      </c>
      <c r="B1142" s="526">
        <v>46218</v>
      </c>
      <c r="C1142" s="524" t="s">
        <v>1148</v>
      </c>
      <c r="D1142" s="524" t="s">
        <v>1163</v>
      </c>
      <c r="E1142" s="524" t="s">
        <v>1164</v>
      </c>
      <c r="F1142" s="524" t="s">
        <v>1183</v>
      </c>
      <c r="G1142" s="524" t="s">
        <v>806</v>
      </c>
      <c r="H1142" s="527">
        <v>174285.15</v>
      </c>
      <c r="I1142" s="524" t="s">
        <v>1148</v>
      </c>
      <c r="J1142" s="524">
        <f>IF(cmf[[#This Row],[D/C]]="C",cmf[[#This Row],[Valor]],-1*cmf[[#This Row],[Valor]])</f>
        <v>174285.15</v>
      </c>
      <c r="L1142" s="524" t="s">
        <v>1166</v>
      </c>
      <c r="M1142" s="524" t="s">
        <v>1167</v>
      </c>
      <c r="N1142" s="524" t="s">
        <v>1283</v>
      </c>
      <c r="O1142" s="524" t="s">
        <v>1284</v>
      </c>
      <c r="P1142" s="526">
        <v>46218</v>
      </c>
      <c r="S1142" s="527">
        <v>0</v>
      </c>
    </row>
    <row r="1143" spans="1:19" x14ac:dyDescent="0.2">
      <c r="A1143" s="524">
        <v>69687</v>
      </c>
      <c r="B1143" s="526">
        <v>46218</v>
      </c>
      <c r="C1143" s="524" t="s">
        <v>1148</v>
      </c>
      <c r="D1143" s="524" t="s">
        <v>1163</v>
      </c>
      <c r="E1143" s="524" t="s">
        <v>1173</v>
      </c>
      <c r="F1143" s="524" t="s">
        <v>1183</v>
      </c>
      <c r="G1143" s="524" t="s">
        <v>806</v>
      </c>
      <c r="H1143" s="527">
        <v>10.95</v>
      </c>
      <c r="I1143" s="524" t="s">
        <v>1174</v>
      </c>
      <c r="J1143" s="524">
        <f>IF(cmf[[#This Row],[D/C]]="C",cmf[[#This Row],[Valor]],-1*cmf[[#This Row],[Valor]])</f>
        <v>-10.95</v>
      </c>
      <c r="L1143" s="524" t="s">
        <v>1175</v>
      </c>
      <c r="M1143" s="524" t="s">
        <v>1176</v>
      </c>
      <c r="N1143" s="524" t="s">
        <v>1283</v>
      </c>
      <c r="O1143" s="524" t="s">
        <v>1284</v>
      </c>
      <c r="P1143" s="526">
        <v>46218</v>
      </c>
      <c r="S1143" s="527">
        <v>0</v>
      </c>
    </row>
    <row r="1144" spans="1:19" x14ac:dyDescent="0.2">
      <c r="A1144" s="524">
        <v>69690</v>
      </c>
      <c r="B1144" s="526">
        <v>46218</v>
      </c>
      <c r="C1144" s="524" t="s">
        <v>1162</v>
      </c>
      <c r="D1144" s="524" t="s">
        <v>1163</v>
      </c>
      <c r="E1144" s="524" t="s">
        <v>1173</v>
      </c>
      <c r="F1144" s="524" t="s">
        <v>1170</v>
      </c>
      <c r="G1144" s="524" t="s">
        <v>802</v>
      </c>
      <c r="H1144" s="527">
        <v>4.5</v>
      </c>
      <c r="I1144" s="524" t="s">
        <v>1174</v>
      </c>
      <c r="J1144" s="524">
        <f>IF(cmf[[#This Row],[D/C]]="C",cmf[[#This Row],[Valor]],-1*cmf[[#This Row],[Valor]])</f>
        <v>-4.5</v>
      </c>
      <c r="L1144" s="524" t="s">
        <v>1175</v>
      </c>
      <c r="M1144" s="524" t="s">
        <v>1176</v>
      </c>
      <c r="N1144" s="524" t="s">
        <v>1192</v>
      </c>
      <c r="O1144" s="524" t="s">
        <v>1193</v>
      </c>
      <c r="P1144" s="526"/>
      <c r="S1144" s="527">
        <v>0</v>
      </c>
    </row>
    <row r="1145" spans="1:19" x14ac:dyDescent="0.2">
      <c r="A1145" s="524">
        <v>69696</v>
      </c>
      <c r="B1145" s="526">
        <v>46218</v>
      </c>
      <c r="C1145" s="524" t="s">
        <v>1148</v>
      </c>
      <c r="D1145" s="524" t="s">
        <v>1163</v>
      </c>
      <c r="E1145" s="524" t="s">
        <v>1173</v>
      </c>
      <c r="F1145" s="524" t="s">
        <v>1170</v>
      </c>
      <c r="G1145" s="524" t="s">
        <v>740</v>
      </c>
      <c r="H1145" s="527">
        <v>4.5</v>
      </c>
      <c r="I1145" s="524" t="s">
        <v>1174</v>
      </c>
      <c r="J1145" s="524">
        <f>IF(cmf[[#This Row],[D/C]]="C",cmf[[#This Row],[Valor]],-1*cmf[[#This Row],[Valor]])</f>
        <v>-4.5</v>
      </c>
      <c r="L1145" s="524" t="s">
        <v>1175</v>
      </c>
      <c r="M1145" s="524" t="s">
        <v>1176</v>
      </c>
      <c r="N1145" s="524" t="s">
        <v>1215</v>
      </c>
      <c r="O1145" s="524" t="s">
        <v>1218</v>
      </c>
      <c r="P1145" s="526">
        <v>46218</v>
      </c>
      <c r="S1145" s="527">
        <v>0</v>
      </c>
    </row>
    <row r="1146" spans="1:19" x14ac:dyDescent="0.2">
      <c r="A1146" s="524">
        <v>69699</v>
      </c>
      <c r="B1146" s="526">
        <v>46218</v>
      </c>
      <c r="C1146" s="524" t="s">
        <v>1148</v>
      </c>
      <c r="D1146" s="524" t="s">
        <v>1163</v>
      </c>
      <c r="E1146" s="524" t="s">
        <v>1173</v>
      </c>
      <c r="F1146" s="524" t="s">
        <v>1170</v>
      </c>
      <c r="G1146" s="524" t="s">
        <v>798</v>
      </c>
      <c r="H1146" s="527">
        <v>4.5</v>
      </c>
      <c r="I1146" s="524" t="s">
        <v>1174</v>
      </c>
      <c r="J1146" s="524">
        <f>IF(cmf[[#This Row],[D/C]]="C",cmf[[#This Row],[Valor]],-1*cmf[[#This Row],[Valor]])</f>
        <v>-4.5</v>
      </c>
      <c r="L1146" s="524" t="s">
        <v>1175</v>
      </c>
      <c r="M1146" s="524" t="s">
        <v>1176</v>
      </c>
      <c r="N1146" s="524" t="s">
        <v>1171</v>
      </c>
      <c r="O1146" s="524" t="s">
        <v>1172</v>
      </c>
      <c r="P1146" s="526">
        <v>46218</v>
      </c>
      <c r="S1146" s="527">
        <v>0</v>
      </c>
    </row>
    <row r="1147" spans="1:19" x14ac:dyDescent="0.2">
      <c r="A1147" s="524">
        <v>69705</v>
      </c>
      <c r="B1147" s="526">
        <v>46218</v>
      </c>
      <c r="C1147" s="524" t="s">
        <v>1148</v>
      </c>
      <c r="D1147" s="524" t="s">
        <v>1163</v>
      </c>
      <c r="E1147" s="524" t="s">
        <v>1173</v>
      </c>
      <c r="F1147" s="524" t="s">
        <v>1170</v>
      </c>
      <c r="G1147" s="524" t="s">
        <v>768</v>
      </c>
      <c r="H1147" s="527">
        <v>4.5</v>
      </c>
      <c r="I1147" s="524" t="s">
        <v>1174</v>
      </c>
      <c r="J1147" s="524">
        <f>IF(cmf[[#This Row],[D/C]]="C",cmf[[#This Row],[Valor]],-1*cmf[[#This Row],[Valor]])</f>
        <v>-4.5</v>
      </c>
      <c r="L1147" s="524" t="s">
        <v>1175</v>
      </c>
      <c r="M1147" s="524" t="s">
        <v>1176</v>
      </c>
      <c r="N1147" s="524" t="s">
        <v>1219</v>
      </c>
      <c r="O1147" s="524" t="s">
        <v>1220</v>
      </c>
      <c r="P1147" s="526">
        <v>46218</v>
      </c>
      <c r="S1147" s="527">
        <v>0</v>
      </c>
    </row>
    <row r="1148" spans="1:19" x14ac:dyDescent="0.2">
      <c r="A1148" s="524">
        <v>69706</v>
      </c>
      <c r="B1148" s="526">
        <v>46218</v>
      </c>
      <c r="C1148" s="524" t="s">
        <v>1162</v>
      </c>
      <c r="D1148" s="524" t="s">
        <v>1163</v>
      </c>
      <c r="E1148" s="524" t="s">
        <v>1173</v>
      </c>
      <c r="F1148" s="524" t="s">
        <v>1111</v>
      </c>
      <c r="G1148" s="524" t="s">
        <v>1110</v>
      </c>
      <c r="H1148" s="527">
        <v>7.6</v>
      </c>
      <c r="I1148" s="524" t="s">
        <v>1174</v>
      </c>
      <c r="J1148" s="524">
        <f>IF(cmf[[#This Row],[D/C]]="C",cmf[[#This Row],[Valor]],-1*cmf[[#This Row],[Valor]])</f>
        <v>-7.6</v>
      </c>
      <c r="L1148" s="524" t="s">
        <v>1175</v>
      </c>
      <c r="M1148" s="524" t="s">
        <v>1176</v>
      </c>
      <c r="N1148" s="524" t="s">
        <v>1219</v>
      </c>
      <c r="O1148" s="524" t="s">
        <v>1220</v>
      </c>
      <c r="P1148" s="526"/>
      <c r="S1148" s="527">
        <v>0</v>
      </c>
    </row>
    <row r="1149" spans="1:19" x14ac:dyDescent="0.2">
      <c r="A1149" s="524">
        <v>69711</v>
      </c>
      <c r="B1149" s="526">
        <v>46218</v>
      </c>
      <c r="C1149" s="524" t="s">
        <v>1148</v>
      </c>
      <c r="D1149" s="524" t="s">
        <v>1186</v>
      </c>
      <c r="E1149" s="524" t="s">
        <v>1936</v>
      </c>
      <c r="F1149" s="524" t="s">
        <v>1183</v>
      </c>
      <c r="G1149" s="524" t="s">
        <v>742</v>
      </c>
      <c r="H1149" s="527">
        <v>3000</v>
      </c>
      <c r="I1149" s="524" t="s">
        <v>1174</v>
      </c>
      <c r="J1149" s="524">
        <f>IF(cmf[[#This Row],[D/C]]="C",cmf[[#This Row],[Valor]],-1*cmf[[#This Row],[Valor]])</f>
        <v>-3000</v>
      </c>
      <c r="L1149" s="524" t="s">
        <v>1188</v>
      </c>
      <c r="M1149" s="524" t="s">
        <v>1189</v>
      </c>
      <c r="N1149" s="524" t="s">
        <v>1215</v>
      </c>
      <c r="O1149" s="524" t="s">
        <v>1218</v>
      </c>
      <c r="P1149" s="526">
        <v>46218</v>
      </c>
      <c r="S1149" s="527">
        <v>0</v>
      </c>
    </row>
    <row r="1150" spans="1:19" x14ac:dyDescent="0.2">
      <c r="A1150" s="524">
        <v>69712</v>
      </c>
      <c r="B1150" s="526">
        <v>46218</v>
      </c>
      <c r="C1150" s="524" t="s">
        <v>1148</v>
      </c>
      <c r="D1150" s="524" t="s">
        <v>1186</v>
      </c>
      <c r="E1150" s="524" t="s">
        <v>1937</v>
      </c>
      <c r="F1150" s="524" t="s">
        <v>1183</v>
      </c>
      <c r="G1150" s="524" t="s">
        <v>742</v>
      </c>
      <c r="H1150" s="527">
        <v>3000</v>
      </c>
      <c r="I1150" s="524" t="s">
        <v>1174</v>
      </c>
      <c r="J1150" s="524">
        <f>IF(cmf[[#This Row],[D/C]]="C",cmf[[#This Row],[Valor]],-1*cmf[[#This Row],[Valor]])</f>
        <v>-3000</v>
      </c>
      <c r="L1150" s="524" t="s">
        <v>1188</v>
      </c>
      <c r="M1150" s="524" t="s">
        <v>1189</v>
      </c>
      <c r="N1150" s="524" t="s">
        <v>1215</v>
      </c>
      <c r="O1150" s="524" t="s">
        <v>1218</v>
      </c>
      <c r="P1150" s="526">
        <v>46218</v>
      </c>
      <c r="S1150" s="527">
        <v>0</v>
      </c>
    </row>
    <row r="1151" spans="1:19" x14ac:dyDescent="0.2">
      <c r="A1151" s="524">
        <v>69713</v>
      </c>
      <c r="B1151" s="526">
        <v>46218</v>
      </c>
      <c r="C1151" s="524" t="s">
        <v>1148</v>
      </c>
      <c r="D1151" s="524" t="s">
        <v>1186</v>
      </c>
      <c r="E1151" s="524" t="s">
        <v>1938</v>
      </c>
      <c r="F1151" s="524" t="s">
        <v>1183</v>
      </c>
      <c r="G1151" s="524" t="s">
        <v>742</v>
      </c>
      <c r="H1151" s="527">
        <v>6000</v>
      </c>
      <c r="I1151" s="524" t="s">
        <v>1174</v>
      </c>
      <c r="J1151" s="524">
        <f>IF(cmf[[#This Row],[D/C]]="C",cmf[[#This Row],[Valor]],-1*cmf[[#This Row],[Valor]])</f>
        <v>-6000</v>
      </c>
      <c r="L1151" s="524" t="s">
        <v>1188</v>
      </c>
      <c r="M1151" s="524" t="s">
        <v>1189</v>
      </c>
      <c r="N1151" s="524" t="s">
        <v>1215</v>
      </c>
      <c r="O1151" s="524" t="s">
        <v>1218</v>
      </c>
      <c r="P1151" s="526">
        <v>46218</v>
      </c>
      <c r="S1151" s="527">
        <v>0</v>
      </c>
    </row>
    <row r="1152" spans="1:19" x14ac:dyDescent="0.2">
      <c r="A1152" s="524">
        <v>69714</v>
      </c>
      <c r="B1152" s="526">
        <v>46218</v>
      </c>
      <c r="C1152" s="524" t="s">
        <v>1148</v>
      </c>
      <c r="D1152" s="524" t="s">
        <v>1186</v>
      </c>
      <c r="E1152" s="524" t="s">
        <v>1939</v>
      </c>
      <c r="F1152" s="524" t="s">
        <v>1183</v>
      </c>
      <c r="G1152" s="524" t="s">
        <v>742</v>
      </c>
      <c r="H1152" s="527">
        <v>500</v>
      </c>
      <c r="I1152" s="524" t="s">
        <v>1174</v>
      </c>
      <c r="J1152" s="524">
        <f>IF(cmf[[#This Row],[D/C]]="C",cmf[[#This Row],[Valor]],-1*cmf[[#This Row],[Valor]])</f>
        <v>-500</v>
      </c>
      <c r="L1152" s="524" t="s">
        <v>1188</v>
      </c>
      <c r="M1152" s="524" t="s">
        <v>1189</v>
      </c>
      <c r="N1152" s="524" t="s">
        <v>1215</v>
      </c>
      <c r="O1152" s="524" t="s">
        <v>1218</v>
      </c>
      <c r="P1152" s="526">
        <v>46218</v>
      </c>
      <c r="S1152" s="527">
        <v>0</v>
      </c>
    </row>
    <row r="1153" spans="1:19" x14ac:dyDescent="0.2">
      <c r="A1153" s="524">
        <v>69715</v>
      </c>
      <c r="B1153" s="526">
        <v>46218</v>
      </c>
      <c r="C1153" s="524" t="s">
        <v>1148</v>
      </c>
      <c r="D1153" s="524" t="s">
        <v>1186</v>
      </c>
      <c r="E1153" s="524" t="s">
        <v>1940</v>
      </c>
      <c r="F1153" s="524" t="s">
        <v>1183</v>
      </c>
      <c r="G1153" s="524" t="s">
        <v>742</v>
      </c>
      <c r="H1153" s="527">
        <v>364.64</v>
      </c>
      <c r="I1153" s="524" t="s">
        <v>1174</v>
      </c>
      <c r="J1153" s="524">
        <f>IF(cmf[[#This Row],[D/C]]="C",cmf[[#This Row],[Valor]],-1*cmf[[#This Row],[Valor]])</f>
        <v>-364.64</v>
      </c>
      <c r="L1153" s="524" t="s">
        <v>1188</v>
      </c>
      <c r="M1153" s="524" t="s">
        <v>1189</v>
      </c>
      <c r="N1153" s="524" t="s">
        <v>1215</v>
      </c>
      <c r="O1153" s="524" t="s">
        <v>1218</v>
      </c>
      <c r="P1153" s="526">
        <v>46218</v>
      </c>
      <c r="S1153" s="527">
        <v>0</v>
      </c>
    </row>
    <row r="1154" spans="1:19" x14ac:dyDescent="0.2">
      <c r="A1154" s="524">
        <v>69716</v>
      </c>
      <c r="B1154" s="526">
        <v>46218</v>
      </c>
      <c r="C1154" s="524" t="s">
        <v>1148</v>
      </c>
      <c r="D1154" s="524" t="s">
        <v>1186</v>
      </c>
      <c r="E1154" s="524" t="s">
        <v>1941</v>
      </c>
      <c r="F1154" s="524" t="s">
        <v>1183</v>
      </c>
      <c r="G1154" s="524" t="s">
        <v>742</v>
      </c>
      <c r="H1154" s="527">
        <v>344.71</v>
      </c>
      <c r="I1154" s="524" t="s">
        <v>1174</v>
      </c>
      <c r="J1154" s="524">
        <f>IF(cmf[[#This Row],[D/C]]="C",cmf[[#This Row],[Valor]],-1*cmf[[#This Row],[Valor]])</f>
        <v>-344.71</v>
      </c>
      <c r="L1154" s="524" t="s">
        <v>1188</v>
      </c>
      <c r="M1154" s="524" t="s">
        <v>1189</v>
      </c>
      <c r="N1154" s="524" t="s">
        <v>1215</v>
      </c>
      <c r="O1154" s="524" t="s">
        <v>1218</v>
      </c>
      <c r="P1154" s="526">
        <v>46218</v>
      </c>
      <c r="S1154" s="527">
        <v>0</v>
      </c>
    </row>
    <row r="1155" spans="1:19" x14ac:dyDescent="0.2">
      <c r="A1155" s="524">
        <v>69719</v>
      </c>
      <c r="B1155" s="526">
        <v>46218</v>
      </c>
      <c r="C1155" s="524" t="s">
        <v>1148</v>
      </c>
      <c r="D1155" s="524" t="s">
        <v>1186</v>
      </c>
      <c r="E1155" s="524" t="s">
        <v>1942</v>
      </c>
      <c r="F1155" s="524" t="s">
        <v>1183</v>
      </c>
      <c r="G1155" s="524" t="s">
        <v>742</v>
      </c>
      <c r="H1155" s="527">
        <v>929.33</v>
      </c>
      <c r="I1155" s="524" t="s">
        <v>1174</v>
      </c>
      <c r="J1155" s="524">
        <f>IF(cmf[[#This Row],[D/C]]="C",cmf[[#This Row],[Valor]],-1*cmf[[#This Row],[Valor]])</f>
        <v>-929.33</v>
      </c>
      <c r="L1155" s="524" t="s">
        <v>1188</v>
      </c>
      <c r="M1155" s="524" t="s">
        <v>1189</v>
      </c>
      <c r="N1155" s="524" t="s">
        <v>1215</v>
      </c>
      <c r="O1155" s="524" t="s">
        <v>1218</v>
      </c>
      <c r="P1155" s="526">
        <v>46218</v>
      </c>
      <c r="S1155" s="527">
        <v>0</v>
      </c>
    </row>
    <row r="1156" spans="1:19" x14ac:dyDescent="0.2">
      <c r="A1156" s="524">
        <v>69720</v>
      </c>
      <c r="B1156" s="526">
        <v>46218</v>
      </c>
      <c r="C1156" s="524" t="s">
        <v>1148</v>
      </c>
      <c r="D1156" s="524" t="s">
        <v>1186</v>
      </c>
      <c r="E1156" s="524" t="s">
        <v>1943</v>
      </c>
      <c r="F1156" s="524" t="s">
        <v>1183</v>
      </c>
      <c r="G1156" s="524" t="s">
        <v>750</v>
      </c>
      <c r="H1156" s="527">
        <v>425.86</v>
      </c>
      <c r="I1156" s="524" t="s">
        <v>1174</v>
      </c>
      <c r="J1156" s="524">
        <f>IF(cmf[[#This Row],[D/C]]="C",cmf[[#This Row],[Valor]],-1*cmf[[#This Row],[Valor]])</f>
        <v>-425.86</v>
      </c>
      <c r="L1156" s="524" t="s">
        <v>1188</v>
      </c>
      <c r="M1156" s="524" t="s">
        <v>1189</v>
      </c>
      <c r="N1156" s="524" t="s">
        <v>1256</v>
      </c>
      <c r="O1156" s="524" t="s">
        <v>1257</v>
      </c>
      <c r="P1156" s="526">
        <v>46218</v>
      </c>
      <c r="S1156" s="527">
        <v>0</v>
      </c>
    </row>
    <row r="1157" spans="1:19" x14ac:dyDescent="0.2">
      <c r="A1157" s="524">
        <v>69721</v>
      </c>
      <c r="B1157" s="526">
        <v>46218</v>
      </c>
      <c r="C1157" s="524" t="s">
        <v>1148</v>
      </c>
      <c r="D1157" s="524" t="s">
        <v>1186</v>
      </c>
      <c r="E1157" s="524" t="s">
        <v>1944</v>
      </c>
      <c r="F1157" s="524" t="s">
        <v>1183</v>
      </c>
      <c r="G1157" s="524" t="s">
        <v>766</v>
      </c>
      <c r="H1157" s="527">
        <v>4000</v>
      </c>
      <c r="I1157" s="524" t="s">
        <v>1174</v>
      </c>
      <c r="J1157" s="524">
        <f>IF(cmf[[#This Row],[D/C]]="C",cmf[[#This Row],[Valor]],-1*cmf[[#This Row],[Valor]])</f>
        <v>-4000</v>
      </c>
      <c r="L1157" s="524" t="s">
        <v>1188</v>
      </c>
      <c r="M1157" s="524" t="s">
        <v>1189</v>
      </c>
      <c r="N1157" s="524" t="s">
        <v>1200</v>
      </c>
      <c r="O1157" s="524" t="s">
        <v>1201</v>
      </c>
      <c r="P1157" s="526">
        <v>46218</v>
      </c>
      <c r="S1157" s="527">
        <v>0</v>
      </c>
    </row>
    <row r="1158" spans="1:19" x14ac:dyDescent="0.2">
      <c r="A1158" s="524">
        <v>69722</v>
      </c>
      <c r="B1158" s="526">
        <v>46218</v>
      </c>
      <c r="C1158" s="524" t="s">
        <v>1148</v>
      </c>
      <c r="D1158" s="524" t="s">
        <v>1186</v>
      </c>
      <c r="E1158" s="524" t="s">
        <v>1945</v>
      </c>
      <c r="F1158" s="524" t="s">
        <v>1183</v>
      </c>
      <c r="G1158" s="524" t="s">
        <v>766</v>
      </c>
      <c r="H1158" s="527">
        <v>1563.36</v>
      </c>
      <c r="I1158" s="524" t="s">
        <v>1174</v>
      </c>
      <c r="J1158" s="524">
        <f>IF(cmf[[#This Row],[D/C]]="C",cmf[[#This Row],[Valor]],-1*cmf[[#This Row],[Valor]])</f>
        <v>-1563.36</v>
      </c>
      <c r="L1158" s="524" t="s">
        <v>1188</v>
      </c>
      <c r="M1158" s="524" t="s">
        <v>1189</v>
      </c>
      <c r="N1158" s="524" t="s">
        <v>1200</v>
      </c>
      <c r="O1158" s="524" t="s">
        <v>1201</v>
      </c>
      <c r="P1158" s="526">
        <v>46218</v>
      </c>
      <c r="S1158" s="527">
        <v>0</v>
      </c>
    </row>
    <row r="1159" spans="1:19" x14ac:dyDescent="0.2">
      <c r="A1159" s="524">
        <v>69723</v>
      </c>
      <c r="B1159" s="526">
        <v>46218</v>
      </c>
      <c r="C1159" s="524" t="s">
        <v>1148</v>
      </c>
      <c r="D1159" s="524" t="s">
        <v>1186</v>
      </c>
      <c r="E1159" s="524" t="s">
        <v>1946</v>
      </c>
      <c r="F1159" s="524" t="s">
        <v>1183</v>
      </c>
      <c r="G1159" s="524" t="s">
        <v>766</v>
      </c>
      <c r="H1159" s="527">
        <v>190</v>
      </c>
      <c r="I1159" s="524" t="s">
        <v>1174</v>
      </c>
      <c r="J1159" s="524">
        <f>IF(cmf[[#This Row],[D/C]]="C",cmf[[#This Row],[Valor]],-1*cmf[[#This Row],[Valor]])</f>
        <v>-190</v>
      </c>
      <c r="L1159" s="524" t="s">
        <v>1188</v>
      </c>
      <c r="M1159" s="524" t="s">
        <v>1189</v>
      </c>
      <c r="N1159" s="524" t="s">
        <v>1200</v>
      </c>
      <c r="O1159" s="524" t="s">
        <v>1201</v>
      </c>
      <c r="P1159" s="526">
        <v>46218</v>
      </c>
      <c r="S1159" s="527">
        <v>0</v>
      </c>
    </row>
    <row r="1160" spans="1:19" x14ac:dyDescent="0.2">
      <c r="A1160" s="524">
        <v>69730</v>
      </c>
      <c r="B1160" s="526">
        <v>46218</v>
      </c>
      <c r="C1160" s="524" t="s">
        <v>1148</v>
      </c>
      <c r="D1160" s="524" t="s">
        <v>1186</v>
      </c>
      <c r="E1160" s="524" t="s">
        <v>1947</v>
      </c>
      <c r="F1160" s="524" t="s">
        <v>1183</v>
      </c>
      <c r="G1160" s="524" t="s">
        <v>800</v>
      </c>
      <c r="H1160" s="527">
        <v>200</v>
      </c>
      <c r="I1160" s="524" t="s">
        <v>1174</v>
      </c>
      <c r="J1160" s="524">
        <f>IF(cmf[[#This Row],[D/C]]="C",cmf[[#This Row],[Valor]],-1*cmf[[#This Row],[Valor]])</f>
        <v>-200</v>
      </c>
      <c r="L1160" s="524" t="s">
        <v>1188</v>
      </c>
      <c r="M1160" s="524" t="s">
        <v>1189</v>
      </c>
      <c r="N1160" s="524" t="s">
        <v>1171</v>
      </c>
      <c r="O1160" s="524" t="s">
        <v>1172</v>
      </c>
      <c r="P1160" s="526">
        <v>46218</v>
      </c>
      <c r="S1160" s="527">
        <v>0</v>
      </c>
    </row>
    <row r="1161" spans="1:19" x14ac:dyDescent="0.2">
      <c r="A1161" s="524">
        <v>69731</v>
      </c>
      <c r="B1161" s="526">
        <v>46218</v>
      </c>
      <c r="C1161" s="524" t="s">
        <v>1148</v>
      </c>
      <c r="D1161" s="524" t="s">
        <v>1186</v>
      </c>
      <c r="E1161" s="524" t="s">
        <v>1948</v>
      </c>
      <c r="F1161" s="524" t="s">
        <v>1183</v>
      </c>
      <c r="G1161" s="524" t="s">
        <v>800</v>
      </c>
      <c r="H1161" s="527">
        <v>424</v>
      </c>
      <c r="I1161" s="524" t="s">
        <v>1174</v>
      </c>
      <c r="J1161" s="524">
        <f>IF(cmf[[#This Row],[D/C]]="C",cmf[[#This Row],[Valor]],-1*cmf[[#This Row],[Valor]])</f>
        <v>-424</v>
      </c>
      <c r="L1161" s="524" t="s">
        <v>1188</v>
      </c>
      <c r="M1161" s="524" t="s">
        <v>1189</v>
      </c>
      <c r="N1161" s="524" t="s">
        <v>1171</v>
      </c>
      <c r="O1161" s="524" t="s">
        <v>1172</v>
      </c>
      <c r="P1161" s="526">
        <v>46218</v>
      </c>
      <c r="S1161" s="527">
        <v>0</v>
      </c>
    </row>
    <row r="1162" spans="1:19" x14ac:dyDescent="0.2">
      <c r="A1162" s="524">
        <v>69732</v>
      </c>
      <c r="B1162" s="526">
        <v>46218</v>
      </c>
      <c r="C1162" s="524" t="s">
        <v>1148</v>
      </c>
      <c r="D1162" s="524" t="s">
        <v>1186</v>
      </c>
      <c r="E1162" s="524" t="s">
        <v>1949</v>
      </c>
      <c r="F1162" s="524" t="s">
        <v>1183</v>
      </c>
      <c r="G1162" s="524" t="s">
        <v>800</v>
      </c>
      <c r="H1162" s="527">
        <v>1082</v>
      </c>
      <c r="I1162" s="524" t="s">
        <v>1174</v>
      </c>
      <c r="J1162" s="524">
        <f>IF(cmf[[#This Row],[D/C]]="C",cmf[[#This Row],[Valor]],-1*cmf[[#This Row],[Valor]])</f>
        <v>-1082</v>
      </c>
      <c r="L1162" s="524" t="s">
        <v>1188</v>
      </c>
      <c r="M1162" s="524" t="s">
        <v>1189</v>
      </c>
      <c r="N1162" s="524" t="s">
        <v>1171</v>
      </c>
      <c r="O1162" s="524" t="s">
        <v>1172</v>
      </c>
      <c r="P1162" s="526">
        <v>46218</v>
      </c>
      <c r="S1162" s="527">
        <v>0</v>
      </c>
    </row>
    <row r="1163" spans="1:19" x14ac:dyDescent="0.2">
      <c r="A1163" s="524">
        <v>69733</v>
      </c>
      <c r="B1163" s="526">
        <v>46218</v>
      </c>
      <c r="C1163" s="524" t="s">
        <v>1148</v>
      </c>
      <c r="D1163" s="524" t="s">
        <v>1186</v>
      </c>
      <c r="E1163" s="524" t="s">
        <v>1950</v>
      </c>
      <c r="F1163" s="524" t="s">
        <v>1183</v>
      </c>
      <c r="G1163" s="524" t="s">
        <v>800</v>
      </c>
      <c r="H1163" s="527">
        <v>773</v>
      </c>
      <c r="I1163" s="524" t="s">
        <v>1174</v>
      </c>
      <c r="J1163" s="524">
        <f>IF(cmf[[#This Row],[D/C]]="C",cmf[[#This Row],[Valor]],-1*cmf[[#This Row],[Valor]])</f>
        <v>-773</v>
      </c>
      <c r="L1163" s="524" t="s">
        <v>1188</v>
      </c>
      <c r="M1163" s="524" t="s">
        <v>1189</v>
      </c>
      <c r="N1163" s="524" t="s">
        <v>1171</v>
      </c>
      <c r="O1163" s="524" t="s">
        <v>1172</v>
      </c>
      <c r="P1163" s="526">
        <v>46218</v>
      </c>
      <c r="S1163" s="527">
        <v>0</v>
      </c>
    </row>
    <row r="1164" spans="1:19" x14ac:dyDescent="0.2">
      <c r="A1164" s="524">
        <v>69734</v>
      </c>
      <c r="B1164" s="526">
        <v>46218</v>
      </c>
      <c r="C1164" s="524" t="s">
        <v>1148</v>
      </c>
      <c r="D1164" s="524" t="s">
        <v>1186</v>
      </c>
      <c r="E1164" s="524" t="s">
        <v>1951</v>
      </c>
      <c r="F1164" s="524" t="s">
        <v>1183</v>
      </c>
      <c r="G1164" s="524" t="s">
        <v>803</v>
      </c>
      <c r="H1164" s="527">
        <v>414.54</v>
      </c>
      <c r="I1164" s="524" t="s">
        <v>1174</v>
      </c>
      <c r="J1164" s="524">
        <f>IF(cmf[[#This Row],[D/C]]="C",cmf[[#This Row],[Valor]],-1*cmf[[#This Row],[Valor]])</f>
        <v>-414.54</v>
      </c>
      <c r="L1164" s="524" t="s">
        <v>1188</v>
      </c>
      <c r="M1164" s="524" t="s">
        <v>1189</v>
      </c>
      <c r="N1164" s="524" t="s">
        <v>1192</v>
      </c>
      <c r="O1164" s="524" t="s">
        <v>1193</v>
      </c>
      <c r="P1164" s="526">
        <v>46218</v>
      </c>
      <c r="S1164" s="527">
        <v>0</v>
      </c>
    </row>
    <row r="1165" spans="1:19" x14ac:dyDescent="0.2">
      <c r="A1165" s="524">
        <v>69735</v>
      </c>
      <c r="B1165" s="526">
        <v>46218</v>
      </c>
      <c r="C1165" s="524" t="s">
        <v>1148</v>
      </c>
      <c r="D1165" s="524" t="s">
        <v>1186</v>
      </c>
      <c r="E1165" s="524" t="s">
        <v>1952</v>
      </c>
      <c r="F1165" s="524" t="s">
        <v>1183</v>
      </c>
      <c r="G1165" s="524" t="s">
        <v>803</v>
      </c>
      <c r="H1165" s="527">
        <v>170</v>
      </c>
      <c r="I1165" s="524" t="s">
        <v>1174</v>
      </c>
      <c r="J1165" s="524">
        <f>IF(cmf[[#This Row],[D/C]]="C",cmf[[#This Row],[Valor]],-1*cmf[[#This Row],[Valor]])</f>
        <v>-170</v>
      </c>
      <c r="L1165" s="524" t="s">
        <v>1188</v>
      </c>
      <c r="M1165" s="524" t="s">
        <v>1189</v>
      </c>
      <c r="N1165" s="524" t="s">
        <v>1192</v>
      </c>
      <c r="O1165" s="524" t="s">
        <v>1193</v>
      </c>
      <c r="P1165" s="526">
        <v>46218</v>
      </c>
      <c r="S1165" s="527">
        <v>0</v>
      </c>
    </row>
    <row r="1166" spans="1:19" x14ac:dyDescent="0.2">
      <c r="A1166" s="524">
        <v>69736</v>
      </c>
      <c r="B1166" s="526">
        <v>46218</v>
      </c>
      <c r="C1166" s="524" t="s">
        <v>1148</v>
      </c>
      <c r="D1166" s="524" t="s">
        <v>1186</v>
      </c>
      <c r="E1166" s="524" t="s">
        <v>1953</v>
      </c>
      <c r="F1166" s="524" t="s">
        <v>1183</v>
      </c>
      <c r="G1166" s="524" t="s">
        <v>803</v>
      </c>
      <c r="H1166" s="527">
        <v>985</v>
      </c>
      <c r="I1166" s="524" t="s">
        <v>1174</v>
      </c>
      <c r="J1166" s="524">
        <f>IF(cmf[[#This Row],[D/C]]="C",cmf[[#This Row],[Valor]],-1*cmf[[#This Row],[Valor]])</f>
        <v>-985</v>
      </c>
      <c r="L1166" s="524" t="s">
        <v>1188</v>
      </c>
      <c r="M1166" s="524" t="s">
        <v>1189</v>
      </c>
      <c r="N1166" s="524" t="s">
        <v>1192</v>
      </c>
      <c r="O1166" s="524" t="s">
        <v>1193</v>
      </c>
      <c r="P1166" s="526">
        <v>46218</v>
      </c>
      <c r="S1166" s="527">
        <v>0</v>
      </c>
    </row>
    <row r="1167" spans="1:19" x14ac:dyDescent="0.2">
      <c r="A1167" s="524">
        <v>69737</v>
      </c>
      <c r="B1167" s="526">
        <v>46218</v>
      </c>
      <c r="C1167" s="524" t="s">
        <v>1148</v>
      </c>
      <c r="D1167" s="524" t="s">
        <v>1186</v>
      </c>
      <c r="E1167" s="524" t="s">
        <v>1954</v>
      </c>
      <c r="F1167" s="524" t="s">
        <v>1183</v>
      </c>
      <c r="G1167" s="524" t="s">
        <v>803</v>
      </c>
      <c r="H1167" s="527">
        <v>846.4</v>
      </c>
      <c r="I1167" s="524" t="s">
        <v>1174</v>
      </c>
      <c r="J1167" s="524">
        <f>IF(cmf[[#This Row],[D/C]]="C",cmf[[#This Row],[Valor]],-1*cmf[[#This Row],[Valor]])</f>
        <v>-846.4</v>
      </c>
      <c r="L1167" s="524" t="s">
        <v>1188</v>
      </c>
      <c r="M1167" s="524" t="s">
        <v>1189</v>
      </c>
      <c r="N1167" s="524" t="s">
        <v>1192</v>
      </c>
      <c r="O1167" s="524" t="s">
        <v>1193</v>
      </c>
      <c r="P1167" s="526">
        <v>46218</v>
      </c>
      <c r="S1167" s="527">
        <v>0</v>
      </c>
    </row>
    <row r="1168" spans="1:19" x14ac:dyDescent="0.2">
      <c r="A1168" s="524">
        <v>69738</v>
      </c>
      <c r="B1168" s="526">
        <v>46218</v>
      </c>
      <c r="C1168" s="524" t="s">
        <v>1148</v>
      </c>
      <c r="D1168" s="524" t="s">
        <v>1186</v>
      </c>
      <c r="E1168" s="524" t="s">
        <v>1955</v>
      </c>
      <c r="F1168" s="524" t="s">
        <v>1183</v>
      </c>
      <c r="G1168" s="524" t="s">
        <v>803</v>
      </c>
      <c r="H1168" s="527">
        <v>319.45999999999998</v>
      </c>
      <c r="I1168" s="524" t="s">
        <v>1174</v>
      </c>
      <c r="J1168" s="524">
        <f>IF(cmf[[#This Row],[D/C]]="C",cmf[[#This Row],[Valor]],-1*cmf[[#This Row],[Valor]])</f>
        <v>-319.45999999999998</v>
      </c>
      <c r="L1168" s="524" t="s">
        <v>1188</v>
      </c>
      <c r="M1168" s="524" t="s">
        <v>1189</v>
      </c>
      <c r="N1168" s="524" t="s">
        <v>1192</v>
      </c>
      <c r="O1168" s="524" t="s">
        <v>1193</v>
      </c>
      <c r="P1168" s="526">
        <v>46218</v>
      </c>
      <c r="S1168" s="527">
        <v>0</v>
      </c>
    </row>
    <row r="1169" spans="1:19" x14ac:dyDescent="0.2">
      <c r="A1169" s="524">
        <v>69739</v>
      </c>
      <c r="B1169" s="526">
        <v>46218</v>
      </c>
      <c r="C1169" s="524" t="s">
        <v>1148</v>
      </c>
      <c r="D1169" s="524" t="s">
        <v>1186</v>
      </c>
      <c r="E1169" s="524" t="s">
        <v>1956</v>
      </c>
      <c r="F1169" s="524" t="s">
        <v>1183</v>
      </c>
      <c r="G1169" s="524" t="s">
        <v>803</v>
      </c>
      <c r="H1169" s="527">
        <v>338</v>
      </c>
      <c r="I1169" s="524" t="s">
        <v>1174</v>
      </c>
      <c r="J1169" s="524">
        <f>IF(cmf[[#This Row],[D/C]]="C",cmf[[#This Row],[Valor]],-1*cmf[[#This Row],[Valor]])</f>
        <v>-338</v>
      </c>
      <c r="L1169" s="524" t="s">
        <v>1188</v>
      </c>
      <c r="M1169" s="524" t="s">
        <v>1189</v>
      </c>
      <c r="N1169" s="524" t="s">
        <v>1192</v>
      </c>
      <c r="O1169" s="524" t="s">
        <v>1193</v>
      </c>
      <c r="P1169" s="526">
        <v>46218</v>
      </c>
      <c r="S1169" s="527">
        <v>0</v>
      </c>
    </row>
    <row r="1170" spans="1:19" x14ac:dyDescent="0.2">
      <c r="A1170" s="524">
        <v>69740</v>
      </c>
      <c r="B1170" s="526">
        <v>46218</v>
      </c>
      <c r="C1170" s="524" t="s">
        <v>1148</v>
      </c>
      <c r="D1170" s="524" t="s">
        <v>1186</v>
      </c>
      <c r="E1170" s="524" t="s">
        <v>1957</v>
      </c>
      <c r="F1170" s="524" t="s">
        <v>1183</v>
      </c>
      <c r="G1170" s="524" t="s">
        <v>803</v>
      </c>
      <c r="H1170" s="527">
        <v>300</v>
      </c>
      <c r="I1170" s="524" t="s">
        <v>1174</v>
      </c>
      <c r="J1170" s="524">
        <f>IF(cmf[[#This Row],[D/C]]="C",cmf[[#This Row],[Valor]],-1*cmf[[#This Row],[Valor]])</f>
        <v>-300</v>
      </c>
      <c r="L1170" s="524" t="s">
        <v>1188</v>
      </c>
      <c r="M1170" s="524" t="s">
        <v>1189</v>
      </c>
      <c r="N1170" s="524" t="s">
        <v>1192</v>
      </c>
      <c r="O1170" s="524" t="s">
        <v>1193</v>
      </c>
      <c r="P1170" s="526">
        <v>46218</v>
      </c>
      <c r="S1170" s="527">
        <v>0</v>
      </c>
    </row>
    <row r="1171" spans="1:19" x14ac:dyDescent="0.2">
      <c r="A1171" s="524">
        <v>69741</v>
      </c>
      <c r="B1171" s="526">
        <v>46218</v>
      </c>
      <c r="C1171" s="524" t="s">
        <v>1162</v>
      </c>
      <c r="D1171" s="524" t="s">
        <v>1186</v>
      </c>
      <c r="E1171" s="524" t="s">
        <v>1958</v>
      </c>
      <c r="F1171" s="524" t="s">
        <v>1170</v>
      </c>
      <c r="G1171" s="524" t="s">
        <v>781</v>
      </c>
      <c r="H1171" s="527">
        <v>2400</v>
      </c>
      <c r="I1171" s="524" t="s">
        <v>1174</v>
      </c>
      <c r="J1171" s="524">
        <f>IF(cmf[[#This Row],[D/C]]="C",cmf[[#This Row],[Valor]],-1*cmf[[#This Row],[Valor]])</f>
        <v>-2400</v>
      </c>
      <c r="L1171" s="524" t="s">
        <v>1188</v>
      </c>
      <c r="M1171" s="524" t="s">
        <v>1189</v>
      </c>
      <c r="N1171" s="524" t="s">
        <v>1209</v>
      </c>
      <c r="O1171" s="524" t="s">
        <v>1210</v>
      </c>
      <c r="P1171" s="526"/>
      <c r="S1171" s="527">
        <v>0</v>
      </c>
    </row>
    <row r="1172" spans="1:19" x14ac:dyDescent="0.2">
      <c r="A1172" s="524">
        <v>69747</v>
      </c>
      <c r="B1172" s="526">
        <v>46218</v>
      </c>
      <c r="C1172" s="524" t="s">
        <v>1148</v>
      </c>
      <c r="D1172" s="524" t="s">
        <v>1186</v>
      </c>
      <c r="E1172" s="524" t="s">
        <v>1959</v>
      </c>
      <c r="F1172" s="524" t="s">
        <v>1183</v>
      </c>
      <c r="G1172" s="524" t="s">
        <v>742</v>
      </c>
      <c r="H1172" s="527">
        <v>645.97</v>
      </c>
      <c r="I1172" s="524" t="s">
        <v>1174</v>
      </c>
      <c r="J1172" s="524">
        <f>IF(cmf[[#This Row],[D/C]]="C",cmf[[#This Row],[Valor]],-1*cmf[[#This Row],[Valor]])</f>
        <v>-645.97</v>
      </c>
      <c r="L1172" s="524" t="s">
        <v>1188</v>
      </c>
      <c r="M1172" s="524" t="s">
        <v>1189</v>
      </c>
      <c r="N1172" s="524" t="s">
        <v>1215</v>
      </c>
      <c r="O1172" s="524" t="s">
        <v>1218</v>
      </c>
      <c r="P1172" s="526">
        <v>46218</v>
      </c>
      <c r="S1172" s="527">
        <v>0</v>
      </c>
    </row>
    <row r="1173" spans="1:19" x14ac:dyDescent="0.2">
      <c r="A1173" s="524">
        <v>69778</v>
      </c>
      <c r="B1173" s="526">
        <v>46218</v>
      </c>
      <c r="C1173" s="524" t="s">
        <v>1148</v>
      </c>
      <c r="D1173" s="524" t="s">
        <v>1186</v>
      </c>
      <c r="E1173" s="524" t="s">
        <v>1960</v>
      </c>
      <c r="F1173" s="524" t="s">
        <v>1183</v>
      </c>
      <c r="G1173" s="524" t="s">
        <v>803</v>
      </c>
      <c r="H1173" s="527">
        <v>2010.74</v>
      </c>
      <c r="I1173" s="524" t="s">
        <v>1174</v>
      </c>
      <c r="J1173" s="524">
        <f>IF(cmf[[#This Row],[D/C]]="C",cmf[[#This Row],[Valor]],-1*cmf[[#This Row],[Valor]])</f>
        <v>-2010.74</v>
      </c>
      <c r="L1173" s="524" t="s">
        <v>1188</v>
      </c>
      <c r="M1173" s="524" t="s">
        <v>1189</v>
      </c>
      <c r="N1173" s="524" t="s">
        <v>1192</v>
      </c>
      <c r="O1173" s="524" t="s">
        <v>1193</v>
      </c>
      <c r="P1173" s="526">
        <v>46218</v>
      </c>
      <c r="S1173" s="527">
        <v>0</v>
      </c>
    </row>
    <row r="1174" spans="1:19" x14ac:dyDescent="0.2">
      <c r="A1174" s="524">
        <v>69779</v>
      </c>
      <c r="B1174" s="526">
        <v>46218</v>
      </c>
      <c r="C1174" s="524" t="s">
        <v>1148</v>
      </c>
      <c r="D1174" s="524" t="s">
        <v>1186</v>
      </c>
      <c r="E1174" s="524" t="s">
        <v>1961</v>
      </c>
      <c r="F1174" s="524" t="s">
        <v>1183</v>
      </c>
      <c r="G1174" s="524" t="s">
        <v>803</v>
      </c>
      <c r="H1174" s="527">
        <v>2234.4899999999998</v>
      </c>
      <c r="I1174" s="524" t="s">
        <v>1174</v>
      </c>
      <c r="J1174" s="524">
        <f>IF(cmf[[#This Row],[D/C]]="C",cmf[[#This Row],[Valor]],-1*cmf[[#This Row],[Valor]])</f>
        <v>-2234.4899999999998</v>
      </c>
      <c r="L1174" s="524" t="s">
        <v>1188</v>
      </c>
      <c r="M1174" s="524" t="s">
        <v>1189</v>
      </c>
      <c r="N1174" s="524" t="s">
        <v>1192</v>
      </c>
      <c r="O1174" s="524" t="s">
        <v>1193</v>
      </c>
      <c r="P1174" s="526">
        <v>46218</v>
      </c>
      <c r="S1174" s="527">
        <v>0</v>
      </c>
    </row>
    <row r="1175" spans="1:19" x14ac:dyDescent="0.2">
      <c r="A1175" s="524">
        <v>69780</v>
      </c>
      <c r="B1175" s="526">
        <v>46218</v>
      </c>
      <c r="C1175" s="524" t="s">
        <v>1148</v>
      </c>
      <c r="D1175" s="524" t="s">
        <v>1186</v>
      </c>
      <c r="E1175" s="524" t="s">
        <v>1962</v>
      </c>
      <c r="F1175" s="524" t="s">
        <v>1183</v>
      </c>
      <c r="G1175" s="524" t="s">
        <v>803</v>
      </c>
      <c r="H1175" s="527">
        <v>1802.8</v>
      </c>
      <c r="I1175" s="524" t="s">
        <v>1174</v>
      </c>
      <c r="J1175" s="524">
        <f>IF(cmf[[#This Row],[D/C]]="C",cmf[[#This Row],[Valor]],-1*cmf[[#This Row],[Valor]])</f>
        <v>-1802.8</v>
      </c>
      <c r="L1175" s="524" t="s">
        <v>1188</v>
      </c>
      <c r="M1175" s="524" t="s">
        <v>1189</v>
      </c>
      <c r="N1175" s="524" t="s">
        <v>1192</v>
      </c>
      <c r="O1175" s="524" t="s">
        <v>1193</v>
      </c>
      <c r="P1175" s="526">
        <v>46218</v>
      </c>
      <c r="S1175" s="527">
        <v>0</v>
      </c>
    </row>
    <row r="1176" spans="1:19" x14ac:dyDescent="0.2">
      <c r="A1176" s="524">
        <v>69781</v>
      </c>
      <c r="B1176" s="526">
        <v>46218</v>
      </c>
      <c r="C1176" s="524" t="s">
        <v>1148</v>
      </c>
      <c r="D1176" s="524" t="s">
        <v>1186</v>
      </c>
      <c r="E1176" s="524" t="s">
        <v>1963</v>
      </c>
      <c r="F1176" s="524" t="s">
        <v>1183</v>
      </c>
      <c r="G1176" s="524" t="s">
        <v>803</v>
      </c>
      <c r="H1176" s="527">
        <v>2234.4899999999998</v>
      </c>
      <c r="I1176" s="524" t="s">
        <v>1174</v>
      </c>
      <c r="J1176" s="524">
        <f>IF(cmf[[#This Row],[D/C]]="C",cmf[[#This Row],[Valor]],-1*cmf[[#This Row],[Valor]])</f>
        <v>-2234.4899999999998</v>
      </c>
      <c r="L1176" s="524" t="s">
        <v>1188</v>
      </c>
      <c r="M1176" s="524" t="s">
        <v>1189</v>
      </c>
      <c r="N1176" s="524" t="s">
        <v>1192</v>
      </c>
      <c r="O1176" s="524" t="s">
        <v>1193</v>
      </c>
      <c r="P1176" s="526">
        <v>46218</v>
      </c>
      <c r="S1176" s="527">
        <v>0</v>
      </c>
    </row>
    <row r="1177" spans="1:19" x14ac:dyDescent="0.2">
      <c r="A1177" s="524">
        <v>69868</v>
      </c>
      <c r="B1177" s="526">
        <v>46218</v>
      </c>
      <c r="C1177" s="524" t="s">
        <v>1148</v>
      </c>
      <c r="D1177" s="524" t="s">
        <v>1243</v>
      </c>
      <c r="E1177" s="524" t="s">
        <v>1244</v>
      </c>
      <c r="F1177" s="524" t="s">
        <v>1183</v>
      </c>
      <c r="G1177" s="524" t="s">
        <v>769</v>
      </c>
      <c r="H1177" s="527">
        <v>4407.97</v>
      </c>
      <c r="I1177" s="524" t="s">
        <v>1148</v>
      </c>
      <c r="J1177" s="524">
        <f>IF(cmf[[#This Row],[D/C]]="C",cmf[[#This Row],[Valor]],-1*cmf[[#This Row],[Valor]])</f>
        <v>4407.97</v>
      </c>
      <c r="L1177" s="524" t="s">
        <v>1245</v>
      </c>
      <c r="M1177" s="524" t="s">
        <v>1246</v>
      </c>
      <c r="N1177" s="524" t="s">
        <v>1219</v>
      </c>
      <c r="O1177" s="524" t="s">
        <v>1220</v>
      </c>
      <c r="P1177" s="526">
        <v>46218</v>
      </c>
      <c r="S1177" s="527">
        <v>0</v>
      </c>
    </row>
    <row r="1178" spans="1:19" x14ac:dyDescent="0.2">
      <c r="A1178" s="524">
        <v>69874</v>
      </c>
      <c r="B1178" s="526">
        <v>46218</v>
      </c>
      <c r="C1178" s="524" t="s">
        <v>1148</v>
      </c>
      <c r="D1178" s="524" t="s">
        <v>1243</v>
      </c>
      <c r="E1178" s="524" t="s">
        <v>1244</v>
      </c>
      <c r="F1178" s="524" t="s">
        <v>1183</v>
      </c>
      <c r="G1178" s="524" t="s">
        <v>769</v>
      </c>
      <c r="H1178" s="527">
        <v>0.08</v>
      </c>
      <c r="I1178" s="524" t="s">
        <v>1148</v>
      </c>
      <c r="J1178" s="524">
        <f>IF(cmf[[#This Row],[D/C]]="C",cmf[[#This Row],[Valor]],-1*cmf[[#This Row],[Valor]])</f>
        <v>0.08</v>
      </c>
      <c r="L1178" s="524" t="s">
        <v>1245</v>
      </c>
      <c r="M1178" s="524" t="s">
        <v>1246</v>
      </c>
      <c r="N1178" s="524" t="s">
        <v>1219</v>
      </c>
      <c r="O1178" s="524" t="s">
        <v>1220</v>
      </c>
      <c r="P1178" s="526">
        <v>46218</v>
      </c>
      <c r="S1178" s="527">
        <v>0</v>
      </c>
    </row>
    <row r="1179" spans="1:19" x14ac:dyDescent="0.2">
      <c r="A1179" s="524">
        <v>70209</v>
      </c>
      <c r="B1179" s="526">
        <v>46218</v>
      </c>
      <c r="C1179" s="524" t="s">
        <v>1148</v>
      </c>
      <c r="D1179" s="524" t="s">
        <v>1243</v>
      </c>
      <c r="E1179" s="524" t="s">
        <v>1244</v>
      </c>
      <c r="F1179" s="524" t="s">
        <v>1183</v>
      </c>
      <c r="G1179" s="524" t="s">
        <v>758</v>
      </c>
      <c r="H1179" s="527">
        <v>3142.94</v>
      </c>
      <c r="I1179" s="524" t="s">
        <v>1148</v>
      </c>
      <c r="J1179" s="524">
        <f>IF(cmf[[#This Row],[D/C]]="C",cmf[[#This Row],[Valor]],-1*cmf[[#This Row],[Valor]])</f>
        <v>3142.94</v>
      </c>
      <c r="L1179" s="524" t="s">
        <v>1245</v>
      </c>
      <c r="M1179" s="524" t="s">
        <v>1246</v>
      </c>
      <c r="N1179" s="524" t="s">
        <v>1223</v>
      </c>
      <c r="O1179" s="524" t="s">
        <v>1224</v>
      </c>
      <c r="P1179" s="526">
        <v>46218</v>
      </c>
      <c r="S1179" s="527">
        <v>0</v>
      </c>
    </row>
    <row r="1180" spans="1:19" x14ac:dyDescent="0.2">
      <c r="A1180" s="524">
        <v>70215</v>
      </c>
      <c r="B1180" s="526">
        <v>46218</v>
      </c>
      <c r="C1180" s="524" t="s">
        <v>1148</v>
      </c>
      <c r="D1180" s="524" t="s">
        <v>1243</v>
      </c>
      <c r="E1180" s="524" t="s">
        <v>1244</v>
      </c>
      <c r="F1180" s="524" t="s">
        <v>1183</v>
      </c>
      <c r="G1180" s="524" t="s">
        <v>758</v>
      </c>
      <c r="H1180" s="527">
        <v>0.21</v>
      </c>
      <c r="I1180" s="524" t="s">
        <v>1148</v>
      </c>
      <c r="J1180" s="524">
        <f>IF(cmf[[#This Row],[D/C]]="C",cmf[[#This Row],[Valor]],-1*cmf[[#This Row],[Valor]])</f>
        <v>0.21</v>
      </c>
      <c r="L1180" s="524" t="s">
        <v>1245</v>
      </c>
      <c r="M1180" s="524" t="s">
        <v>1246</v>
      </c>
      <c r="N1180" s="524" t="s">
        <v>1223</v>
      </c>
      <c r="O1180" s="524" t="s">
        <v>1224</v>
      </c>
      <c r="P1180" s="526">
        <v>46218</v>
      </c>
      <c r="S1180" s="527">
        <v>0</v>
      </c>
    </row>
    <row r="1181" spans="1:19" x14ac:dyDescent="0.2">
      <c r="A1181" s="524">
        <v>70231</v>
      </c>
      <c r="B1181" s="526">
        <v>46218</v>
      </c>
      <c r="C1181" s="524" t="s">
        <v>1148</v>
      </c>
      <c r="D1181" s="524" t="s">
        <v>1243</v>
      </c>
      <c r="E1181" s="524" t="s">
        <v>1266</v>
      </c>
      <c r="F1181" s="524" t="s">
        <v>1183</v>
      </c>
      <c r="G1181" s="524" t="s">
        <v>806</v>
      </c>
      <c r="H1181" s="527">
        <v>172581.55</v>
      </c>
      <c r="I1181" s="524" t="s">
        <v>1174</v>
      </c>
      <c r="J1181" s="524">
        <f>IF(cmf[[#This Row],[D/C]]="C",cmf[[#This Row],[Valor]],-1*cmf[[#This Row],[Valor]])</f>
        <v>-172581.55</v>
      </c>
      <c r="L1181" s="524" t="s">
        <v>1245</v>
      </c>
      <c r="M1181" s="524" t="s">
        <v>1246</v>
      </c>
      <c r="N1181" s="524" t="s">
        <v>1283</v>
      </c>
      <c r="O1181" s="524" t="s">
        <v>1284</v>
      </c>
      <c r="P1181" s="526">
        <v>46218</v>
      </c>
      <c r="S1181" s="527">
        <v>0</v>
      </c>
    </row>
    <row r="1182" spans="1:19" x14ac:dyDescent="0.2">
      <c r="A1182" s="524">
        <v>70258</v>
      </c>
      <c r="B1182" s="526">
        <v>46218</v>
      </c>
      <c r="C1182" s="524" t="s">
        <v>1148</v>
      </c>
      <c r="D1182" s="524" t="s">
        <v>1239</v>
      </c>
      <c r="E1182" s="524" t="s">
        <v>1255</v>
      </c>
      <c r="F1182" s="524" t="s">
        <v>1170</v>
      </c>
      <c r="G1182" s="524" t="s">
        <v>768</v>
      </c>
      <c r="H1182" s="527">
        <v>0.6</v>
      </c>
      <c r="I1182" s="524" t="s">
        <v>1174</v>
      </c>
      <c r="J1182" s="524">
        <f>IF(cmf[[#This Row],[D/C]]="C",cmf[[#This Row],[Valor]],-1*cmf[[#This Row],[Valor]])</f>
        <v>-0.6</v>
      </c>
      <c r="L1182" s="524" t="s">
        <v>1241</v>
      </c>
      <c r="M1182" s="524" t="s">
        <v>1242</v>
      </c>
      <c r="N1182" s="524" t="s">
        <v>1219</v>
      </c>
      <c r="O1182" s="524" t="s">
        <v>1220</v>
      </c>
      <c r="P1182" s="526">
        <v>46218</v>
      </c>
      <c r="S1182" s="527">
        <v>0</v>
      </c>
    </row>
    <row r="1183" spans="1:19" x14ac:dyDescent="0.2">
      <c r="A1183" s="524">
        <v>70260</v>
      </c>
      <c r="B1183" s="526">
        <v>46218</v>
      </c>
      <c r="C1183" s="524" t="s">
        <v>1148</v>
      </c>
      <c r="D1183" s="524" t="s">
        <v>1243</v>
      </c>
      <c r="E1183" s="524" t="s">
        <v>1244</v>
      </c>
      <c r="F1183" s="524" t="s">
        <v>1183</v>
      </c>
      <c r="G1183" s="524" t="s">
        <v>752</v>
      </c>
      <c r="H1183" s="527">
        <v>3499.11</v>
      </c>
      <c r="I1183" s="524" t="s">
        <v>1148</v>
      </c>
      <c r="J1183" s="524">
        <f>IF(cmf[[#This Row],[D/C]]="C",cmf[[#This Row],[Valor]],-1*cmf[[#This Row],[Valor]])</f>
        <v>3499.11</v>
      </c>
      <c r="L1183" s="524" t="s">
        <v>1245</v>
      </c>
      <c r="M1183" s="524" t="s">
        <v>1246</v>
      </c>
      <c r="N1183" s="524" t="s">
        <v>1601</v>
      </c>
      <c r="O1183" s="524" t="s">
        <v>1602</v>
      </c>
      <c r="P1183" s="526">
        <v>46218</v>
      </c>
      <c r="S1183" s="527">
        <v>0</v>
      </c>
    </row>
    <row r="1184" spans="1:19" x14ac:dyDescent="0.2">
      <c r="A1184" s="524">
        <v>70262</v>
      </c>
      <c r="B1184" s="526">
        <v>46218</v>
      </c>
      <c r="C1184" s="524" t="s">
        <v>1148</v>
      </c>
      <c r="D1184" s="524" t="s">
        <v>1243</v>
      </c>
      <c r="E1184" s="524" t="s">
        <v>1244</v>
      </c>
      <c r="F1184" s="524" t="s">
        <v>1183</v>
      </c>
      <c r="G1184" s="524" t="s">
        <v>752</v>
      </c>
      <c r="H1184" s="527">
        <v>0.89</v>
      </c>
      <c r="I1184" s="524" t="s">
        <v>1148</v>
      </c>
      <c r="J1184" s="524">
        <f>IF(cmf[[#This Row],[D/C]]="C",cmf[[#This Row],[Valor]],-1*cmf[[#This Row],[Valor]])</f>
        <v>0.89</v>
      </c>
      <c r="L1184" s="524" t="s">
        <v>1245</v>
      </c>
      <c r="M1184" s="524" t="s">
        <v>1246</v>
      </c>
      <c r="N1184" s="524" t="s">
        <v>1601</v>
      </c>
      <c r="O1184" s="524" t="s">
        <v>1602</v>
      </c>
      <c r="P1184" s="526">
        <v>46218</v>
      </c>
      <c r="S1184" s="527">
        <v>0</v>
      </c>
    </row>
    <row r="1185" spans="1:19" x14ac:dyDescent="0.2">
      <c r="A1185" s="524">
        <v>70263</v>
      </c>
      <c r="B1185" s="526">
        <v>46218</v>
      </c>
      <c r="C1185" s="524" t="s">
        <v>1148</v>
      </c>
      <c r="D1185" s="524" t="s">
        <v>1239</v>
      </c>
      <c r="E1185" s="524" t="s">
        <v>1312</v>
      </c>
      <c r="F1185" s="524" t="s">
        <v>1170</v>
      </c>
      <c r="G1185" s="524" t="s">
        <v>768</v>
      </c>
      <c r="H1185" s="527">
        <v>5</v>
      </c>
      <c r="I1185" s="524" t="s">
        <v>1174</v>
      </c>
      <c r="J1185" s="524">
        <f>IF(cmf[[#This Row],[D/C]]="C",cmf[[#This Row],[Valor]],-1*cmf[[#This Row],[Valor]])</f>
        <v>-5</v>
      </c>
      <c r="L1185" s="524" t="s">
        <v>1241</v>
      </c>
      <c r="M1185" s="524" t="s">
        <v>1242</v>
      </c>
      <c r="N1185" s="524" t="s">
        <v>1219</v>
      </c>
      <c r="O1185" s="524" t="s">
        <v>1220</v>
      </c>
      <c r="P1185" s="526">
        <v>46218</v>
      </c>
      <c r="S1185" s="527">
        <v>0</v>
      </c>
    </row>
    <row r="1186" spans="1:19" x14ac:dyDescent="0.2">
      <c r="A1186" s="524">
        <v>70273</v>
      </c>
      <c r="B1186" s="526">
        <v>46218</v>
      </c>
      <c r="C1186" s="524" t="s">
        <v>1148</v>
      </c>
      <c r="D1186" s="524" t="s">
        <v>1243</v>
      </c>
      <c r="E1186" s="524" t="s">
        <v>1244</v>
      </c>
      <c r="F1186" s="524" t="s">
        <v>1183</v>
      </c>
      <c r="G1186" s="524" t="s">
        <v>745</v>
      </c>
      <c r="H1186" s="527">
        <v>499.88</v>
      </c>
      <c r="I1186" s="524" t="s">
        <v>1148</v>
      </c>
      <c r="J1186" s="524">
        <f>IF(cmf[[#This Row],[D/C]]="C",cmf[[#This Row],[Valor]],-1*cmf[[#This Row],[Valor]])</f>
        <v>499.88</v>
      </c>
      <c r="L1186" s="524" t="s">
        <v>1245</v>
      </c>
      <c r="M1186" s="524" t="s">
        <v>1246</v>
      </c>
      <c r="N1186" s="524" t="s">
        <v>1292</v>
      </c>
      <c r="O1186" s="524" t="s">
        <v>1293</v>
      </c>
      <c r="P1186" s="526">
        <v>46218</v>
      </c>
      <c r="S1186" s="527">
        <v>0</v>
      </c>
    </row>
    <row r="1187" spans="1:19" x14ac:dyDescent="0.2">
      <c r="A1187" s="524">
        <v>70280</v>
      </c>
      <c r="B1187" s="526">
        <v>46218</v>
      </c>
      <c r="C1187" s="524" t="s">
        <v>1148</v>
      </c>
      <c r="D1187" s="524" t="s">
        <v>1243</v>
      </c>
      <c r="E1187" s="524" t="s">
        <v>1244</v>
      </c>
      <c r="F1187" s="524" t="s">
        <v>1183</v>
      </c>
      <c r="G1187" s="524" t="s">
        <v>745</v>
      </c>
      <c r="H1187" s="527">
        <v>0.01</v>
      </c>
      <c r="I1187" s="524" t="s">
        <v>1148</v>
      </c>
      <c r="J1187" s="524">
        <f>IF(cmf[[#This Row],[D/C]]="C",cmf[[#This Row],[Valor]],-1*cmf[[#This Row],[Valor]])</f>
        <v>0.01</v>
      </c>
      <c r="L1187" s="524" t="s">
        <v>1245</v>
      </c>
      <c r="M1187" s="524" t="s">
        <v>1246</v>
      </c>
      <c r="N1187" s="524" t="s">
        <v>1292</v>
      </c>
      <c r="O1187" s="524" t="s">
        <v>1293</v>
      </c>
      <c r="P1187" s="526">
        <v>46218</v>
      </c>
      <c r="S1187" s="527">
        <v>0</v>
      </c>
    </row>
    <row r="1188" spans="1:19" x14ac:dyDescent="0.2">
      <c r="A1188" s="524">
        <v>70286</v>
      </c>
      <c r="B1188" s="526">
        <v>46218</v>
      </c>
      <c r="C1188" s="524" t="s">
        <v>1148</v>
      </c>
      <c r="D1188" s="524" t="s">
        <v>1186</v>
      </c>
      <c r="E1188" s="524" t="s">
        <v>1964</v>
      </c>
      <c r="F1188" s="524" t="s">
        <v>1183</v>
      </c>
      <c r="G1188" s="524" t="s">
        <v>745</v>
      </c>
      <c r="H1188" s="527">
        <v>15000</v>
      </c>
      <c r="I1188" s="524" t="s">
        <v>1174</v>
      </c>
      <c r="J1188" s="524">
        <f>IF(cmf[[#This Row],[D/C]]="C",cmf[[#This Row],[Valor]],-1*cmf[[#This Row],[Valor]])</f>
        <v>-15000</v>
      </c>
      <c r="L1188" s="524" t="s">
        <v>1188</v>
      </c>
      <c r="M1188" s="524" t="s">
        <v>1189</v>
      </c>
      <c r="N1188" s="524" t="s">
        <v>1292</v>
      </c>
      <c r="O1188" s="524" t="s">
        <v>1293</v>
      </c>
      <c r="P1188" s="526">
        <v>46218</v>
      </c>
      <c r="S1188" s="527">
        <v>0</v>
      </c>
    </row>
    <row r="1189" spans="1:19" x14ac:dyDescent="0.2">
      <c r="A1189" s="524">
        <v>70303</v>
      </c>
      <c r="B1189" s="526">
        <v>46218</v>
      </c>
      <c r="C1189" s="524" t="s">
        <v>1148</v>
      </c>
      <c r="D1189" s="524" t="s">
        <v>1239</v>
      </c>
      <c r="E1189" s="524" t="s">
        <v>1965</v>
      </c>
      <c r="F1189" s="524" t="s">
        <v>1170</v>
      </c>
      <c r="G1189" s="524" t="s">
        <v>768</v>
      </c>
      <c r="H1189" s="527">
        <v>7419.74</v>
      </c>
      <c r="I1189" s="524" t="s">
        <v>1174</v>
      </c>
      <c r="J1189" s="524">
        <f>IF(cmf[[#This Row],[D/C]]="C",cmf[[#This Row],[Valor]],-1*cmf[[#This Row],[Valor]])</f>
        <v>-7419.74</v>
      </c>
      <c r="L1189" s="524" t="s">
        <v>1264</v>
      </c>
      <c r="M1189" s="524" t="s">
        <v>1265</v>
      </c>
      <c r="N1189" s="524" t="s">
        <v>1219</v>
      </c>
      <c r="O1189" s="524" t="s">
        <v>1220</v>
      </c>
      <c r="P1189" s="526">
        <v>46218</v>
      </c>
      <c r="S1189" s="527">
        <v>0</v>
      </c>
    </row>
    <row r="1190" spans="1:19" x14ac:dyDescent="0.2">
      <c r="A1190" s="524">
        <v>70328</v>
      </c>
      <c r="B1190" s="526">
        <v>46218</v>
      </c>
      <c r="C1190" s="524" t="s">
        <v>1148</v>
      </c>
      <c r="D1190" s="524" t="s">
        <v>1243</v>
      </c>
      <c r="E1190" s="524" t="s">
        <v>1244</v>
      </c>
      <c r="F1190" s="524" t="s">
        <v>1183</v>
      </c>
      <c r="G1190" s="524" t="s">
        <v>766</v>
      </c>
      <c r="H1190" s="527">
        <v>1253.33</v>
      </c>
      <c r="I1190" s="524" t="s">
        <v>1148</v>
      </c>
      <c r="J1190" s="524">
        <f>IF(cmf[[#This Row],[D/C]]="C",cmf[[#This Row],[Valor]],-1*cmf[[#This Row],[Valor]])</f>
        <v>1253.33</v>
      </c>
      <c r="L1190" s="524" t="s">
        <v>1245</v>
      </c>
      <c r="M1190" s="524" t="s">
        <v>1246</v>
      </c>
      <c r="N1190" s="524" t="s">
        <v>1200</v>
      </c>
      <c r="O1190" s="524" t="s">
        <v>1201</v>
      </c>
      <c r="P1190" s="526">
        <v>46218</v>
      </c>
      <c r="S1190" s="527">
        <v>0</v>
      </c>
    </row>
    <row r="1191" spans="1:19" x14ac:dyDescent="0.2">
      <c r="A1191" s="524">
        <v>70329</v>
      </c>
      <c r="B1191" s="526">
        <v>46218</v>
      </c>
      <c r="C1191" s="524" t="s">
        <v>1148</v>
      </c>
      <c r="D1191" s="524" t="s">
        <v>1243</v>
      </c>
      <c r="E1191" s="524" t="s">
        <v>1244</v>
      </c>
      <c r="F1191" s="524" t="s">
        <v>1183</v>
      </c>
      <c r="G1191" s="524" t="s">
        <v>766</v>
      </c>
      <c r="H1191" s="527">
        <v>0.03</v>
      </c>
      <c r="I1191" s="524" t="s">
        <v>1148</v>
      </c>
      <c r="J1191" s="524">
        <f>IF(cmf[[#This Row],[D/C]]="C",cmf[[#This Row],[Valor]],-1*cmf[[#This Row],[Valor]])</f>
        <v>0.03</v>
      </c>
      <c r="L1191" s="524" t="s">
        <v>1245</v>
      </c>
      <c r="M1191" s="524" t="s">
        <v>1246</v>
      </c>
      <c r="N1191" s="524" t="s">
        <v>1200</v>
      </c>
      <c r="O1191" s="524" t="s">
        <v>1201</v>
      </c>
      <c r="P1191" s="526">
        <v>46218</v>
      </c>
      <c r="S1191" s="527">
        <v>0</v>
      </c>
    </row>
    <row r="1192" spans="1:19" x14ac:dyDescent="0.2">
      <c r="A1192" s="524">
        <v>70336</v>
      </c>
      <c r="B1192" s="526">
        <v>46218</v>
      </c>
      <c r="C1192" s="524" t="s">
        <v>1148</v>
      </c>
      <c r="D1192" s="524" t="s">
        <v>1243</v>
      </c>
      <c r="E1192" s="524" t="s">
        <v>1244</v>
      </c>
      <c r="F1192" s="524" t="s">
        <v>1183</v>
      </c>
      <c r="G1192" s="524" t="s">
        <v>803</v>
      </c>
      <c r="H1192" s="527">
        <v>655.9</v>
      </c>
      <c r="I1192" s="524" t="s">
        <v>1148</v>
      </c>
      <c r="J1192" s="524">
        <f>IF(cmf[[#This Row],[D/C]]="C",cmf[[#This Row],[Valor]],-1*cmf[[#This Row],[Valor]])</f>
        <v>655.9</v>
      </c>
      <c r="L1192" s="524" t="s">
        <v>1245</v>
      </c>
      <c r="M1192" s="524" t="s">
        <v>1246</v>
      </c>
      <c r="N1192" s="524" t="s">
        <v>1192</v>
      </c>
      <c r="O1192" s="524" t="s">
        <v>1193</v>
      </c>
      <c r="P1192" s="526">
        <v>46218</v>
      </c>
      <c r="S1192" s="527">
        <v>0</v>
      </c>
    </row>
    <row r="1193" spans="1:19" x14ac:dyDescent="0.2">
      <c r="A1193" s="524">
        <v>70337</v>
      </c>
      <c r="B1193" s="526">
        <v>46218</v>
      </c>
      <c r="C1193" s="524" t="s">
        <v>1148</v>
      </c>
      <c r="D1193" s="524" t="s">
        <v>1243</v>
      </c>
      <c r="E1193" s="524" t="s">
        <v>1244</v>
      </c>
      <c r="F1193" s="524" t="s">
        <v>1183</v>
      </c>
      <c r="G1193" s="524" t="s">
        <v>803</v>
      </c>
      <c r="H1193" s="527">
        <v>0.02</v>
      </c>
      <c r="I1193" s="524" t="s">
        <v>1148</v>
      </c>
      <c r="J1193" s="524">
        <f>IF(cmf[[#This Row],[D/C]]="C",cmf[[#This Row],[Valor]],-1*cmf[[#This Row],[Valor]])</f>
        <v>0.02</v>
      </c>
      <c r="L1193" s="524" t="s">
        <v>1245</v>
      </c>
      <c r="M1193" s="524" t="s">
        <v>1246</v>
      </c>
      <c r="N1193" s="524" t="s">
        <v>1192</v>
      </c>
      <c r="O1193" s="524" t="s">
        <v>1193</v>
      </c>
      <c r="P1193" s="526">
        <v>46218</v>
      </c>
      <c r="S1193" s="527">
        <v>0</v>
      </c>
    </row>
    <row r="1194" spans="1:19" x14ac:dyDescent="0.2">
      <c r="A1194" s="524">
        <v>70349</v>
      </c>
      <c r="B1194" s="526">
        <v>46218</v>
      </c>
      <c r="C1194" s="524" t="s">
        <v>1148</v>
      </c>
      <c r="D1194" s="524" t="s">
        <v>1243</v>
      </c>
      <c r="E1194" s="524" t="s">
        <v>1266</v>
      </c>
      <c r="F1194" s="524" t="s">
        <v>1183</v>
      </c>
      <c r="G1194" s="524" t="s">
        <v>800</v>
      </c>
      <c r="H1194" s="527">
        <v>838.78</v>
      </c>
      <c r="I1194" s="524" t="s">
        <v>1174</v>
      </c>
      <c r="J1194" s="524">
        <f>IF(cmf[[#This Row],[D/C]]="C",cmf[[#This Row],[Valor]],-1*cmf[[#This Row],[Valor]])</f>
        <v>-838.78</v>
      </c>
      <c r="L1194" s="524" t="s">
        <v>1245</v>
      </c>
      <c r="M1194" s="524" t="s">
        <v>1246</v>
      </c>
      <c r="N1194" s="524" t="s">
        <v>1171</v>
      </c>
      <c r="O1194" s="524" t="s">
        <v>1172</v>
      </c>
      <c r="P1194" s="526">
        <v>46218</v>
      </c>
      <c r="S1194" s="527">
        <v>0</v>
      </c>
    </row>
    <row r="1195" spans="1:19" x14ac:dyDescent="0.2">
      <c r="A1195" s="524">
        <v>70355</v>
      </c>
      <c r="B1195" s="526">
        <v>46218</v>
      </c>
      <c r="C1195" s="524" t="s">
        <v>1148</v>
      </c>
      <c r="D1195" s="524" t="s">
        <v>1186</v>
      </c>
      <c r="E1195" s="524" t="s">
        <v>1966</v>
      </c>
      <c r="F1195" s="524" t="s">
        <v>1170</v>
      </c>
      <c r="G1195" s="524" t="s">
        <v>757</v>
      </c>
      <c r="H1195" s="527">
        <v>400</v>
      </c>
      <c r="I1195" s="524" t="s">
        <v>1174</v>
      </c>
      <c r="J1195" s="524">
        <f>IF(cmf[[#This Row],[D/C]]="C",cmf[[#This Row],[Valor]],-1*cmf[[#This Row],[Valor]])</f>
        <v>-400</v>
      </c>
      <c r="L1195" s="524" t="s">
        <v>1188</v>
      </c>
      <c r="M1195" s="524" t="s">
        <v>1189</v>
      </c>
      <c r="N1195" s="524" t="s">
        <v>1223</v>
      </c>
      <c r="O1195" s="524" t="s">
        <v>1224</v>
      </c>
      <c r="P1195" s="526">
        <v>46218</v>
      </c>
      <c r="S1195" s="527">
        <v>0</v>
      </c>
    </row>
    <row r="1196" spans="1:19" x14ac:dyDescent="0.2">
      <c r="A1196" s="524">
        <v>70356</v>
      </c>
      <c r="B1196" s="526">
        <v>46218</v>
      </c>
      <c r="C1196" s="524" t="s">
        <v>1148</v>
      </c>
      <c r="D1196" s="524" t="s">
        <v>1186</v>
      </c>
      <c r="E1196" s="524" t="s">
        <v>1967</v>
      </c>
      <c r="F1196" s="524" t="s">
        <v>1170</v>
      </c>
      <c r="G1196" s="524" t="s">
        <v>757</v>
      </c>
      <c r="H1196" s="527">
        <v>400</v>
      </c>
      <c r="I1196" s="524" t="s">
        <v>1174</v>
      </c>
      <c r="J1196" s="524">
        <f>IF(cmf[[#This Row],[D/C]]="C",cmf[[#This Row],[Valor]],-1*cmf[[#This Row],[Valor]])</f>
        <v>-400</v>
      </c>
      <c r="L1196" s="524" t="s">
        <v>1188</v>
      </c>
      <c r="M1196" s="524" t="s">
        <v>1189</v>
      </c>
      <c r="N1196" s="524" t="s">
        <v>1223</v>
      </c>
      <c r="O1196" s="524" t="s">
        <v>1224</v>
      </c>
      <c r="P1196" s="526">
        <v>46218</v>
      </c>
      <c r="S1196" s="527">
        <v>0</v>
      </c>
    </row>
    <row r="1197" spans="1:19" x14ac:dyDescent="0.2">
      <c r="A1197" s="524">
        <v>70357</v>
      </c>
      <c r="B1197" s="526">
        <v>46218</v>
      </c>
      <c r="C1197" s="524" t="s">
        <v>1148</v>
      </c>
      <c r="D1197" s="524" t="s">
        <v>1186</v>
      </c>
      <c r="E1197" s="524" t="s">
        <v>1968</v>
      </c>
      <c r="F1197" s="524" t="s">
        <v>1170</v>
      </c>
      <c r="G1197" s="524" t="s">
        <v>757</v>
      </c>
      <c r="H1197" s="527">
        <v>400</v>
      </c>
      <c r="I1197" s="524" t="s">
        <v>1174</v>
      </c>
      <c r="J1197" s="524">
        <f>IF(cmf[[#This Row],[D/C]]="C",cmf[[#This Row],[Valor]],-1*cmf[[#This Row],[Valor]])</f>
        <v>-400</v>
      </c>
      <c r="L1197" s="524" t="s">
        <v>1188</v>
      </c>
      <c r="M1197" s="524" t="s">
        <v>1189</v>
      </c>
      <c r="N1197" s="524" t="s">
        <v>1223</v>
      </c>
      <c r="O1197" s="524" t="s">
        <v>1224</v>
      </c>
      <c r="P1197" s="526">
        <v>46218</v>
      </c>
      <c r="S1197" s="527">
        <v>0</v>
      </c>
    </row>
    <row r="1198" spans="1:19" x14ac:dyDescent="0.2">
      <c r="A1198" s="524">
        <v>70358</v>
      </c>
      <c r="B1198" s="526">
        <v>46218</v>
      </c>
      <c r="C1198" s="524" t="s">
        <v>1148</v>
      </c>
      <c r="D1198" s="524" t="s">
        <v>1186</v>
      </c>
      <c r="E1198" s="524" t="s">
        <v>1969</v>
      </c>
      <c r="F1198" s="524" t="s">
        <v>1170</v>
      </c>
      <c r="G1198" s="524" t="s">
        <v>757</v>
      </c>
      <c r="H1198" s="527">
        <v>400</v>
      </c>
      <c r="I1198" s="524" t="s">
        <v>1174</v>
      </c>
      <c r="J1198" s="524">
        <f>IF(cmf[[#This Row],[D/C]]="C",cmf[[#This Row],[Valor]],-1*cmf[[#This Row],[Valor]])</f>
        <v>-400</v>
      </c>
      <c r="L1198" s="524" t="s">
        <v>1188</v>
      </c>
      <c r="M1198" s="524" t="s">
        <v>1189</v>
      </c>
      <c r="N1198" s="524" t="s">
        <v>1223</v>
      </c>
      <c r="O1198" s="524" t="s">
        <v>1224</v>
      </c>
      <c r="P1198" s="526">
        <v>46218</v>
      </c>
      <c r="S1198" s="527">
        <v>0</v>
      </c>
    </row>
    <row r="1199" spans="1:19" x14ac:dyDescent="0.2">
      <c r="A1199" s="524">
        <v>70359</v>
      </c>
      <c r="B1199" s="526">
        <v>46218</v>
      </c>
      <c r="C1199" s="524" t="s">
        <v>1148</v>
      </c>
      <c r="D1199" s="524" t="s">
        <v>1186</v>
      </c>
      <c r="E1199" s="524" t="s">
        <v>1970</v>
      </c>
      <c r="F1199" s="524" t="s">
        <v>1170</v>
      </c>
      <c r="G1199" s="524" t="s">
        <v>757</v>
      </c>
      <c r="H1199" s="527">
        <v>400</v>
      </c>
      <c r="I1199" s="524" t="s">
        <v>1174</v>
      </c>
      <c r="J1199" s="524">
        <f>IF(cmf[[#This Row],[D/C]]="C",cmf[[#This Row],[Valor]],-1*cmf[[#This Row],[Valor]])</f>
        <v>-400</v>
      </c>
      <c r="L1199" s="524" t="s">
        <v>1188</v>
      </c>
      <c r="M1199" s="524" t="s">
        <v>1189</v>
      </c>
      <c r="N1199" s="524" t="s">
        <v>1223</v>
      </c>
      <c r="O1199" s="524" t="s">
        <v>1224</v>
      </c>
      <c r="P1199" s="526">
        <v>46218</v>
      </c>
      <c r="S1199" s="527">
        <v>0</v>
      </c>
    </row>
    <row r="1200" spans="1:19" x14ac:dyDescent="0.2">
      <c r="A1200" s="524">
        <v>70360</v>
      </c>
      <c r="B1200" s="526">
        <v>46218</v>
      </c>
      <c r="C1200" s="524" t="s">
        <v>1148</v>
      </c>
      <c r="D1200" s="524" t="s">
        <v>1186</v>
      </c>
      <c r="E1200" s="524" t="s">
        <v>1971</v>
      </c>
      <c r="F1200" s="524" t="s">
        <v>1170</v>
      </c>
      <c r="G1200" s="524" t="s">
        <v>757</v>
      </c>
      <c r="H1200" s="527">
        <v>400</v>
      </c>
      <c r="I1200" s="524" t="s">
        <v>1174</v>
      </c>
      <c r="J1200" s="524">
        <f>IF(cmf[[#This Row],[D/C]]="C",cmf[[#This Row],[Valor]],-1*cmf[[#This Row],[Valor]])</f>
        <v>-400</v>
      </c>
      <c r="L1200" s="524" t="s">
        <v>1188</v>
      </c>
      <c r="M1200" s="524" t="s">
        <v>1189</v>
      </c>
      <c r="N1200" s="524" t="s">
        <v>1223</v>
      </c>
      <c r="O1200" s="524" t="s">
        <v>1224</v>
      </c>
      <c r="P1200" s="526">
        <v>46218</v>
      </c>
      <c r="S1200" s="527">
        <v>0</v>
      </c>
    </row>
    <row r="1201" spans="1:19" x14ac:dyDescent="0.2">
      <c r="A1201" s="524">
        <v>70361</v>
      </c>
      <c r="B1201" s="526">
        <v>46218</v>
      </c>
      <c r="C1201" s="524" t="s">
        <v>1148</v>
      </c>
      <c r="D1201" s="524" t="s">
        <v>1186</v>
      </c>
      <c r="E1201" s="524" t="s">
        <v>1972</v>
      </c>
      <c r="F1201" s="524" t="s">
        <v>1170</v>
      </c>
      <c r="G1201" s="524" t="s">
        <v>757</v>
      </c>
      <c r="H1201" s="527">
        <v>400</v>
      </c>
      <c r="I1201" s="524" t="s">
        <v>1174</v>
      </c>
      <c r="J1201" s="524">
        <f>IF(cmf[[#This Row],[D/C]]="C",cmf[[#This Row],[Valor]],-1*cmf[[#This Row],[Valor]])</f>
        <v>-400</v>
      </c>
      <c r="L1201" s="524" t="s">
        <v>1188</v>
      </c>
      <c r="M1201" s="524" t="s">
        <v>1189</v>
      </c>
      <c r="N1201" s="524" t="s">
        <v>1223</v>
      </c>
      <c r="O1201" s="524" t="s">
        <v>1224</v>
      </c>
      <c r="P1201" s="526">
        <v>46218</v>
      </c>
      <c r="S1201" s="527">
        <v>0</v>
      </c>
    </row>
    <row r="1202" spans="1:19" x14ac:dyDescent="0.2">
      <c r="A1202" s="524">
        <v>70362</v>
      </c>
      <c r="B1202" s="526">
        <v>46218</v>
      </c>
      <c r="C1202" s="524" t="s">
        <v>1148</v>
      </c>
      <c r="D1202" s="524" t="s">
        <v>1186</v>
      </c>
      <c r="E1202" s="524" t="s">
        <v>1973</v>
      </c>
      <c r="F1202" s="524" t="s">
        <v>1170</v>
      </c>
      <c r="G1202" s="524" t="s">
        <v>757</v>
      </c>
      <c r="H1202" s="527">
        <v>400</v>
      </c>
      <c r="I1202" s="524" t="s">
        <v>1174</v>
      </c>
      <c r="J1202" s="524">
        <f>IF(cmf[[#This Row],[D/C]]="C",cmf[[#This Row],[Valor]],-1*cmf[[#This Row],[Valor]])</f>
        <v>-400</v>
      </c>
      <c r="L1202" s="524" t="s">
        <v>1188</v>
      </c>
      <c r="M1202" s="524" t="s">
        <v>1189</v>
      </c>
      <c r="N1202" s="524" t="s">
        <v>1223</v>
      </c>
      <c r="O1202" s="524" t="s">
        <v>1224</v>
      </c>
      <c r="P1202" s="526">
        <v>46218</v>
      </c>
      <c r="S1202" s="527">
        <v>0</v>
      </c>
    </row>
    <row r="1203" spans="1:19" x14ac:dyDescent="0.2">
      <c r="A1203" s="524">
        <v>70363</v>
      </c>
      <c r="B1203" s="526">
        <v>46218</v>
      </c>
      <c r="C1203" s="524" t="s">
        <v>1148</v>
      </c>
      <c r="D1203" s="524" t="s">
        <v>1186</v>
      </c>
      <c r="E1203" s="524" t="s">
        <v>1974</v>
      </c>
      <c r="F1203" s="524" t="s">
        <v>1170</v>
      </c>
      <c r="G1203" s="524" t="s">
        <v>757</v>
      </c>
      <c r="H1203" s="527">
        <v>400</v>
      </c>
      <c r="I1203" s="524" t="s">
        <v>1174</v>
      </c>
      <c r="J1203" s="524">
        <f>IF(cmf[[#This Row],[D/C]]="C",cmf[[#This Row],[Valor]],-1*cmf[[#This Row],[Valor]])</f>
        <v>-400</v>
      </c>
      <c r="L1203" s="524" t="s">
        <v>1188</v>
      </c>
      <c r="M1203" s="524" t="s">
        <v>1189</v>
      </c>
      <c r="N1203" s="524" t="s">
        <v>1223</v>
      </c>
      <c r="O1203" s="524" t="s">
        <v>1224</v>
      </c>
      <c r="P1203" s="526">
        <v>46218</v>
      </c>
      <c r="S1203" s="527">
        <v>0</v>
      </c>
    </row>
    <row r="1204" spans="1:19" x14ac:dyDescent="0.2">
      <c r="A1204" s="524">
        <v>70364</v>
      </c>
      <c r="B1204" s="526">
        <v>46218</v>
      </c>
      <c r="C1204" s="524" t="s">
        <v>1148</v>
      </c>
      <c r="D1204" s="524" t="s">
        <v>1186</v>
      </c>
      <c r="E1204" s="524" t="s">
        <v>1975</v>
      </c>
      <c r="F1204" s="524" t="s">
        <v>1170</v>
      </c>
      <c r="G1204" s="524" t="s">
        <v>757</v>
      </c>
      <c r="H1204" s="527">
        <v>400</v>
      </c>
      <c r="I1204" s="524" t="s">
        <v>1174</v>
      </c>
      <c r="J1204" s="524">
        <f>IF(cmf[[#This Row],[D/C]]="C",cmf[[#This Row],[Valor]],-1*cmf[[#This Row],[Valor]])</f>
        <v>-400</v>
      </c>
      <c r="L1204" s="524" t="s">
        <v>1188</v>
      </c>
      <c r="M1204" s="524" t="s">
        <v>1189</v>
      </c>
      <c r="N1204" s="524" t="s">
        <v>1223</v>
      </c>
      <c r="O1204" s="524" t="s">
        <v>1224</v>
      </c>
      <c r="P1204" s="526">
        <v>46218</v>
      </c>
      <c r="S1204" s="527">
        <v>0</v>
      </c>
    </row>
    <row r="1205" spans="1:19" x14ac:dyDescent="0.2">
      <c r="A1205" s="524">
        <v>70365</v>
      </c>
      <c r="B1205" s="526">
        <v>46218</v>
      </c>
      <c r="C1205" s="524" t="s">
        <v>1148</v>
      </c>
      <c r="D1205" s="524" t="s">
        <v>1186</v>
      </c>
      <c r="E1205" s="524" t="s">
        <v>1976</v>
      </c>
      <c r="F1205" s="524" t="s">
        <v>1170</v>
      </c>
      <c r="G1205" s="524" t="s">
        <v>757</v>
      </c>
      <c r="H1205" s="527">
        <v>400</v>
      </c>
      <c r="I1205" s="524" t="s">
        <v>1174</v>
      </c>
      <c r="J1205" s="524">
        <f>IF(cmf[[#This Row],[D/C]]="C",cmf[[#This Row],[Valor]],-1*cmf[[#This Row],[Valor]])</f>
        <v>-400</v>
      </c>
      <c r="L1205" s="524" t="s">
        <v>1188</v>
      </c>
      <c r="M1205" s="524" t="s">
        <v>1189</v>
      </c>
      <c r="N1205" s="524" t="s">
        <v>1223</v>
      </c>
      <c r="O1205" s="524" t="s">
        <v>1224</v>
      </c>
      <c r="P1205" s="526">
        <v>46218</v>
      </c>
      <c r="S1205" s="527">
        <v>0</v>
      </c>
    </row>
    <row r="1206" spans="1:19" x14ac:dyDescent="0.2">
      <c r="A1206" s="524">
        <v>70366</v>
      </c>
      <c r="B1206" s="526">
        <v>46218</v>
      </c>
      <c r="C1206" s="524" t="s">
        <v>1148</v>
      </c>
      <c r="D1206" s="524" t="s">
        <v>1186</v>
      </c>
      <c r="E1206" s="524" t="s">
        <v>1977</v>
      </c>
      <c r="F1206" s="524" t="s">
        <v>1170</v>
      </c>
      <c r="G1206" s="524" t="s">
        <v>757</v>
      </c>
      <c r="H1206" s="527">
        <v>400</v>
      </c>
      <c r="I1206" s="524" t="s">
        <v>1174</v>
      </c>
      <c r="J1206" s="524">
        <f>IF(cmf[[#This Row],[D/C]]="C",cmf[[#This Row],[Valor]],-1*cmf[[#This Row],[Valor]])</f>
        <v>-400</v>
      </c>
      <c r="L1206" s="524" t="s">
        <v>1188</v>
      </c>
      <c r="M1206" s="524" t="s">
        <v>1189</v>
      </c>
      <c r="N1206" s="524" t="s">
        <v>1223</v>
      </c>
      <c r="O1206" s="524" t="s">
        <v>1224</v>
      </c>
      <c r="P1206" s="526">
        <v>46218</v>
      </c>
      <c r="S1206" s="527">
        <v>0</v>
      </c>
    </row>
    <row r="1207" spans="1:19" x14ac:dyDescent="0.2">
      <c r="A1207" s="524">
        <v>70367</v>
      </c>
      <c r="B1207" s="526">
        <v>46218</v>
      </c>
      <c r="C1207" s="524" t="s">
        <v>1148</v>
      </c>
      <c r="D1207" s="524" t="s">
        <v>1186</v>
      </c>
      <c r="E1207" s="524" t="s">
        <v>1978</v>
      </c>
      <c r="F1207" s="524" t="s">
        <v>1170</v>
      </c>
      <c r="G1207" s="524" t="s">
        <v>757</v>
      </c>
      <c r="H1207" s="527">
        <v>400</v>
      </c>
      <c r="I1207" s="524" t="s">
        <v>1174</v>
      </c>
      <c r="J1207" s="524">
        <f>IF(cmf[[#This Row],[D/C]]="C",cmf[[#This Row],[Valor]],-1*cmf[[#This Row],[Valor]])</f>
        <v>-400</v>
      </c>
      <c r="L1207" s="524" t="s">
        <v>1188</v>
      </c>
      <c r="M1207" s="524" t="s">
        <v>1189</v>
      </c>
      <c r="N1207" s="524" t="s">
        <v>1223</v>
      </c>
      <c r="O1207" s="524" t="s">
        <v>1224</v>
      </c>
      <c r="P1207" s="526">
        <v>46218</v>
      </c>
      <c r="S1207" s="527">
        <v>0</v>
      </c>
    </row>
    <row r="1208" spans="1:19" x14ac:dyDescent="0.2">
      <c r="A1208" s="524">
        <v>70368</v>
      </c>
      <c r="B1208" s="526">
        <v>46218</v>
      </c>
      <c r="C1208" s="524" t="s">
        <v>1148</v>
      </c>
      <c r="D1208" s="524" t="s">
        <v>1186</v>
      </c>
      <c r="E1208" s="524" t="s">
        <v>1979</v>
      </c>
      <c r="F1208" s="524" t="s">
        <v>1170</v>
      </c>
      <c r="G1208" s="524" t="s">
        <v>757</v>
      </c>
      <c r="H1208" s="527">
        <v>400</v>
      </c>
      <c r="I1208" s="524" t="s">
        <v>1174</v>
      </c>
      <c r="J1208" s="524">
        <f>IF(cmf[[#This Row],[D/C]]="C",cmf[[#This Row],[Valor]],-1*cmf[[#This Row],[Valor]])</f>
        <v>-400</v>
      </c>
      <c r="L1208" s="524" t="s">
        <v>1188</v>
      </c>
      <c r="M1208" s="524" t="s">
        <v>1189</v>
      </c>
      <c r="N1208" s="524" t="s">
        <v>1223</v>
      </c>
      <c r="O1208" s="524" t="s">
        <v>1224</v>
      </c>
      <c r="P1208" s="526">
        <v>46218</v>
      </c>
      <c r="S1208" s="527">
        <v>0</v>
      </c>
    </row>
    <row r="1209" spans="1:19" x14ac:dyDescent="0.2">
      <c r="A1209" s="524">
        <v>70369</v>
      </c>
      <c r="B1209" s="526">
        <v>46218</v>
      </c>
      <c r="C1209" s="524" t="s">
        <v>1148</v>
      </c>
      <c r="D1209" s="524" t="s">
        <v>1186</v>
      </c>
      <c r="E1209" s="524" t="s">
        <v>1980</v>
      </c>
      <c r="F1209" s="524" t="s">
        <v>1170</v>
      </c>
      <c r="G1209" s="524" t="s">
        <v>757</v>
      </c>
      <c r="H1209" s="527">
        <v>400</v>
      </c>
      <c r="I1209" s="524" t="s">
        <v>1174</v>
      </c>
      <c r="J1209" s="524">
        <f>IF(cmf[[#This Row],[D/C]]="C",cmf[[#This Row],[Valor]],-1*cmf[[#This Row],[Valor]])</f>
        <v>-400</v>
      </c>
      <c r="L1209" s="524" t="s">
        <v>1188</v>
      </c>
      <c r="M1209" s="524" t="s">
        <v>1189</v>
      </c>
      <c r="N1209" s="524" t="s">
        <v>1223</v>
      </c>
      <c r="O1209" s="524" t="s">
        <v>1224</v>
      </c>
      <c r="P1209" s="526">
        <v>46218</v>
      </c>
      <c r="S1209" s="527">
        <v>0</v>
      </c>
    </row>
    <row r="1210" spans="1:19" x14ac:dyDescent="0.2">
      <c r="A1210" s="524">
        <v>70370</v>
      </c>
      <c r="B1210" s="526">
        <v>46218</v>
      </c>
      <c r="C1210" s="524" t="s">
        <v>1148</v>
      </c>
      <c r="D1210" s="524" t="s">
        <v>1186</v>
      </c>
      <c r="E1210" s="524" t="s">
        <v>1981</v>
      </c>
      <c r="F1210" s="524" t="s">
        <v>1170</v>
      </c>
      <c r="G1210" s="524" t="s">
        <v>757</v>
      </c>
      <c r="H1210" s="527">
        <v>400</v>
      </c>
      <c r="I1210" s="524" t="s">
        <v>1174</v>
      </c>
      <c r="J1210" s="524">
        <f>IF(cmf[[#This Row],[D/C]]="C",cmf[[#This Row],[Valor]],-1*cmf[[#This Row],[Valor]])</f>
        <v>-400</v>
      </c>
      <c r="L1210" s="524" t="s">
        <v>1188</v>
      </c>
      <c r="M1210" s="524" t="s">
        <v>1189</v>
      </c>
      <c r="N1210" s="524" t="s">
        <v>1223</v>
      </c>
      <c r="O1210" s="524" t="s">
        <v>1224</v>
      </c>
      <c r="P1210" s="526">
        <v>46218</v>
      </c>
      <c r="S1210" s="527">
        <v>0</v>
      </c>
    </row>
    <row r="1211" spans="1:19" x14ac:dyDescent="0.2">
      <c r="A1211" s="524">
        <v>70498</v>
      </c>
      <c r="B1211" s="526">
        <v>46218</v>
      </c>
      <c r="C1211" s="524" t="s">
        <v>1148</v>
      </c>
      <c r="D1211" s="524" t="s">
        <v>1205</v>
      </c>
      <c r="E1211" s="524" t="s">
        <v>1214</v>
      </c>
      <c r="F1211" s="524" t="s">
        <v>1170</v>
      </c>
      <c r="G1211" s="524" t="s">
        <v>802</v>
      </c>
      <c r="H1211" s="527">
        <v>300000</v>
      </c>
      <c r="I1211" s="524" t="s">
        <v>1174</v>
      </c>
      <c r="J1211" s="524">
        <f>IF(cmf[[#This Row],[D/C]]="C",cmf[[#This Row],[Valor]],-1*cmf[[#This Row],[Valor]])</f>
        <v>-300000</v>
      </c>
      <c r="L1211" s="524" t="s">
        <v>1207</v>
      </c>
      <c r="M1211" s="524" t="s">
        <v>1208</v>
      </c>
      <c r="N1211" s="524" t="s">
        <v>1192</v>
      </c>
      <c r="O1211" s="524" t="s">
        <v>1193</v>
      </c>
      <c r="P1211" s="526">
        <v>46218</v>
      </c>
      <c r="S1211" s="527">
        <v>0</v>
      </c>
    </row>
    <row r="1212" spans="1:19" x14ac:dyDescent="0.2">
      <c r="A1212" s="524">
        <v>70499</v>
      </c>
      <c r="B1212" s="526">
        <v>46218</v>
      </c>
      <c r="C1212" s="524" t="s">
        <v>1148</v>
      </c>
      <c r="D1212" s="524" t="s">
        <v>1205</v>
      </c>
      <c r="E1212" s="524" t="s">
        <v>1342</v>
      </c>
      <c r="F1212" s="524" t="s">
        <v>1183</v>
      </c>
      <c r="G1212" s="524" t="s">
        <v>742</v>
      </c>
      <c r="H1212" s="527">
        <v>300000</v>
      </c>
      <c r="I1212" s="524" t="s">
        <v>1148</v>
      </c>
      <c r="J1212" s="524">
        <f>IF(cmf[[#This Row],[D/C]]="C",cmf[[#This Row],[Valor]],-1*cmf[[#This Row],[Valor]])</f>
        <v>300000</v>
      </c>
      <c r="L1212" s="524" t="s">
        <v>1207</v>
      </c>
      <c r="M1212" s="524" t="s">
        <v>1208</v>
      </c>
      <c r="N1212" s="524" t="s">
        <v>1215</v>
      </c>
      <c r="O1212" s="524" t="s">
        <v>1218</v>
      </c>
      <c r="P1212" s="526">
        <v>46218</v>
      </c>
      <c r="S1212" s="527">
        <v>0</v>
      </c>
    </row>
    <row r="1213" spans="1:19" x14ac:dyDescent="0.2">
      <c r="A1213" s="524">
        <v>70500</v>
      </c>
      <c r="B1213" s="526">
        <v>46218</v>
      </c>
      <c r="C1213" s="524" t="s">
        <v>1148</v>
      </c>
      <c r="D1213" s="524" t="s">
        <v>1205</v>
      </c>
      <c r="E1213" s="524" t="s">
        <v>1335</v>
      </c>
      <c r="F1213" s="524" t="s">
        <v>1183</v>
      </c>
      <c r="G1213" s="524" t="s">
        <v>742</v>
      </c>
      <c r="H1213" s="527">
        <v>4000</v>
      </c>
      <c r="I1213" s="524" t="s">
        <v>1174</v>
      </c>
      <c r="J1213" s="524">
        <f>IF(cmf[[#This Row],[D/C]]="C",cmf[[#This Row],[Valor]],-1*cmf[[#This Row],[Valor]])</f>
        <v>-4000</v>
      </c>
      <c r="L1213" s="524" t="s">
        <v>1207</v>
      </c>
      <c r="M1213" s="524" t="s">
        <v>1208</v>
      </c>
      <c r="N1213" s="524" t="s">
        <v>1215</v>
      </c>
      <c r="O1213" s="524" t="s">
        <v>1218</v>
      </c>
      <c r="P1213" s="526">
        <v>46218</v>
      </c>
      <c r="S1213" s="527">
        <v>0</v>
      </c>
    </row>
    <row r="1214" spans="1:19" x14ac:dyDescent="0.2">
      <c r="A1214" s="524">
        <v>70501</v>
      </c>
      <c r="B1214" s="526">
        <v>46218</v>
      </c>
      <c r="C1214" s="524" t="s">
        <v>1148</v>
      </c>
      <c r="D1214" s="524" t="s">
        <v>1205</v>
      </c>
      <c r="E1214" s="524" t="s">
        <v>1217</v>
      </c>
      <c r="F1214" s="524" t="s">
        <v>1183</v>
      </c>
      <c r="G1214" s="524" t="s">
        <v>800</v>
      </c>
      <c r="H1214" s="527">
        <v>4000</v>
      </c>
      <c r="I1214" s="524" t="s">
        <v>1148</v>
      </c>
      <c r="J1214" s="524">
        <f>IF(cmf[[#This Row],[D/C]]="C",cmf[[#This Row],[Valor]],-1*cmf[[#This Row],[Valor]])</f>
        <v>4000</v>
      </c>
      <c r="L1214" s="524" t="s">
        <v>1207</v>
      </c>
      <c r="M1214" s="524" t="s">
        <v>1208</v>
      </c>
      <c r="N1214" s="524" t="s">
        <v>1171</v>
      </c>
      <c r="O1214" s="524" t="s">
        <v>1172</v>
      </c>
      <c r="P1214" s="526">
        <v>46218</v>
      </c>
      <c r="S1214" s="527">
        <v>0</v>
      </c>
    </row>
    <row r="1215" spans="1:19" x14ac:dyDescent="0.2">
      <c r="A1215" s="524">
        <v>70502</v>
      </c>
      <c r="B1215" s="526">
        <v>46218</v>
      </c>
      <c r="C1215" s="524" t="s">
        <v>1148</v>
      </c>
      <c r="D1215" s="524" t="s">
        <v>1205</v>
      </c>
      <c r="E1215" s="524" t="s">
        <v>1536</v>
      </c>
      <c r="F1215" s="524" t="s">
        <v>1183</v>
      </c>
      <c r="G1215" s="524" t="s">
        <v>742</v>
      </c>
      <c r="H1215" s="527">
        <v>28000</v>
      </c>
      <c r="I1215" s="524" t="s">
        <v>1174</v>
      </c>
      <c r="J1215" s="524">
        <f>IF(cmf[[#This Row],[D/C]]="C",cmf[[#This Row],[Valor]],-1*cmf[[#This Row],[Valor]])</f>
        <v>-28000</v>
      </c>
      <c r="L1215" s="524" t="s">
        <v>1207</v>
      </c>
      <c r="M1215" s="524" t="s">
        <v>1208</v>
      </c>
      <c r="N1215" s="524" t="s">
        <v>1215</v>
      </c>
      <c r="O1215" s="524" t="s">
        <v>1218</v>
      </c>
      <c r="P1215" s="526">
        <v>46218</v>
      </c>
      <c r="S1215" s="527">
        <v>0</v>
      </c>
    </row>
    <row r="1216" spans="1:19" x14ac:dyDescent="0.2">
      <c r="A1216" s="524">
        <v>70503</v>
      </c>
      <c r="B1216" s="526">
        <v>46218</v>
      </c>
      <c r="C1216" s="524" t="s">
        <v>1148</v>
      </c>
      <c r="D1216" s="524" t="s">
        <v>1205</v>
      </c>
      <c r="E1216" s="524" t="s">
        <v>1217</v>
      </c>
      <c r="F1216" s="524" t="s">
        <v>1183</v>
      </c>
      <c r="G1216" s="524" t="s">
        <v>745</v>
      </c>
      <c r="H1216" s="527">
        <v>28000</v>
      </c>
      <c r="I1216" s="524" t="s">
        <v>1148</v>
      </c>
      <c r="J1216" s="524">
        <f>IF(cmf[[#This Row],[D/C]]="C",cmf[[#This Row],[Valor]],-1*cmf[[#This Row],[Valor]])</f>
        <v>28000</v>
      </c>
      <c r="L1216" s="524" t="s">
        <v>1207</v>
      </c>
      <c r="M1216" s="524" t="s">
        <v>1208</v>
      </c>
      <c r="N1216" s="524" t="s">
        <v>1292</v>
      </c>
      <c r="O1216" s="524" t="s">
        <v>1293</v>
      </c>
      <c r="P1216" s="526">
        <v>46218</v>
      </c>
      <c r="S1216" s="527">
        <v>0</v>
      </c>
    </row>
    <row r="1217" spans="1:19" x14ac:dyDescent="0.2">
      <c r="A1217" s="524">
        <v>70504</v>
      </c>
      <c r="B1217" s="526">
        <v>46218</v>
      </c>
      <c r="C1217" s="524" t="s">
        <v>1148</v>
      </c>
      <c r="D1217" s="524" t="s">
        <v>1205</v>
      </c>
      <c r="E1217" s="524" t="s">
        <v>1337</v>
      </c>
      <c r="F1217" s="524" t="s">
        <v>1183</v>
      </c>
      <c r="G1217" s="524" t="s">
        <v>742</v>
      </c>
      <c r="H1217" s="527">
        <v>6000</v>
      </c>
      <c r="I1217" s="524" t="s">
        <v>1174</v>
      </c>
      <c r="J1217" s="524">
        <f>IF(cmf[[#This Row],[D/C]]="C",cmf[[#This Row],[Valor]],-1*cmf[[#This Row],[Valor]])</f>
        <v>-6000</v>
      </c>
      <c r="L1217" s="524" t="s">
        <v>1207</v>
      </c>
      <c r="M1217" s="524" t="s">
        <v>1208</v>
      </c>
      <c r="N1217" s="524" t="s">
        <v>1215</v>
      </c>
      <c r="O1217" s="524" t="s">
        <v>1218</v>
      </c>
      <c r="P1217" s="526">
        <v>46218</v>
      </c>
      <c r="S1217" s="527">
        <v>0</v>
      </c>
    </row>
    <row r="1218" spans="1:19" x14ac:dyDescent="0.2">
      <c r="A1218" s="524">
        <v>70505</v>
      </c>
      <c r="B1218" s="526">
        <v>46218</v>
      </c>
      <c r="C1218" s="524" t="s">
        <v>1148</v>
      </c>
      <c r="D1218" s="524" t="s">
        <v>1205</v>
      </c>
      <c r="E1218" s="524" t="s">
        <v>1217</v>
      </c>
      <c r="F1218" s="524" t="s">
        <v>1183</v>
      </c>
      <c r="G1218" s="524" t="s">
        <v>803</v>
      </c>
      <c r="H1218" s="527">
        <v>6000</v>
      </c>
      <c r="I1218" s="524" t="s">
        <v>1148</v>
      </c>
      <c r="J1218" s="524">
        <f>IF(cmf[[#This Row],[D/C]]="C",cmf[[#This Row],[Valor]],-1*cmf[[#This Row],[Valor]])</f>
        <v>6000</v>
      </c>
      <c r="L1218" s="524" t="s">
        <v>1207</v>
      </c>
      <c r="M1218" s="524" t="s">
        <v>1208</v>
      </c>
      <c r="N1218" s="524" t="s">
        <v>1192</v>
      </c>
      <c r="O1218" s="524" t="s">
        <v>1193</v>
      </c>
      <c r="P1218" s="526">
        <v>46218</v>
      </c>
      <c r="S1218" s="527">
        <v>0</v>
      </c>
    </row>
    <row r="1219" spans="1:19" x14ac:dyDescent="0.2">
      <c r="A1219" s="524">
        <v>70506</v>
      </c>
      <c r="B1219" s="526">
        <v>46218</v>
      </c>
      <c r="C1219" s="524" t="s">
        <v>1148</v>
      </c>
      <c r="D1219" s="524" t="s">
        <v>1205</v>
      </c>
      <c r="E1219" s="524" t="s">
        <v>1541</v>
      </c>
      <c r="F1219" s="524" t="s">
        <v>1183</v>
      </c>
      <c r="G1219" s="524" t="s">
        <v>742</v>
      </c>
      <c r="H1219" s="527">
        <v>4500</v>
      </c>
      <c r="I1219" s="524" t="s">
        <v>1174</v>
      </c>
      <c r="J1219" s="524">
        <f>IF(cmf[[#This Row],[D/C]]="C",cmf[[#This Row],[Valor]],-1*cmf[[#This Row],[Valor]])</f>
        <v>-4500</v>
      </c>
      <c r="L1219" s="524" t="s">
        <v>1207</v>
      </c>
      <c r="M1219" s="524" t="s">
        <v>1208</v>
      </c>
      <c r="N1219" s="524" t="s">
        <v>1215</v>
      </c>
      <c r="O1219" s="524" t="s">
        <v>1218</v>
      </c>
      <c r="P1219" s="526">
        <v>46218</v>
      </c>
      <c r="S1219" s="527">
        <v>0</v>
      </c>
    </row>
    <row r="1220" spans="1:19" x14ac:dyDescent="0.2">
      <c r="A1220" s="524">
        <v>70507</v>
      </c>
      <c r="B1220" s="526">
        <v>46218</v>
      </c>
      <c r="C1220" s="524" t="s">
        <v>1148</v>
      </c>
      <c r="D1220" s="524" t="s">
        <v>1205</v>
      </c>
      <c r="E1220" s="524" t="s">
        <v>1217</v>
      </c>
      <c r="F1220" s="524" t="s">
        <v>1183</v>
      </c>
      <c r="G1220" s="524" t="s">
        <v>766</v>
      </c>
      <c r="H1220" s="527">
        <v>4500</v>
      </c>
      <c r="I1220" s="524" t="s">
        <v>1148</v>
      </c>
      <c r="J1220" s="524">
        <f>IF(cmf[[#This Row],[D/C]]="C",cmf[[#This Row],[Valor]],-1*cmf[[#This Row],[Valor]])</f>
        <v>4500</v>
      </c>
      <c r="L1220" s="524" t="s">
        <v>1207</v>
      </c>
      <c r="M1220" s="524" t="s">
        <v>1208</v>
      </c>
      <c r="N1220" s="524" t="s">
        <v>1200</v>
      </c>
      <c r="O1220" s="524" t="s">
        <v>1201</v>
      </c>
      <c r="P1220" s="526">
        <v>46218</v>
      </c>
      <c r="S1220" s="527">
        <v>0</v>
      </c>
    </row>
    <row r="1221" spans="1:19" x14ac:dyDescent="0.2">
      <c r="A1221" s="524">
        <v>70508</v>
      </c>
      <c r="B1221" s="526">
        <v>46218</v>
      </c>
      <c r="C1221" s="524" t="s">
        <v>1148</v>
      </c>
      <c r="D1221" s="524" t="s">
        <v>1205</v>
      </c>
      <c r="E1221" s="524" t="s">
        <v>1537</v>
      </c>
      <c r="F1221" s="524" t="s">
        <v>1183</v>
      </c>
      <c r="G1221" s="524" t="s">
        <v>742</v>
      </c>
      <c r="H1221" s="527">
        <v>294000</v>
      </c>
      <c r="I1221" s="524" t="s">
        <v>1174</v>
      </c>
      <c r="J1221" s="524">
        <f>IF(cmf[[#This Row],[D/C]]="C",cmf[[#This Row],[Valor]],-1*cmf[[#This Row],[Valor]])</f>
        <v>-294000</v>
      </c>
      <c r="L1221" s="524" t="s">
        <v>1207</v>
      </c>
      <c r="M1221" s="524" t="s">
        <v>1208</v>
      </c>
      <c r="N1221" s="524" t="s">
        <v>1215</v>
      </c>
      <c r="O1221" s="524" t="s">
        <v>1218</v>
      </c>
      <c r="P1221" s="526">
        <v>46218</v>
      </c>
      <c r="S1221" s="527">
        <v>0</v>
      </c>
    </row>
    <row r="1222" spans="1:19" x14ac:dyDescent="0.2">
      <c r="A1222" s="524">
        <v>70509</v>
      </c>
      <c r="B1222" s="526">
        <v>46218</v>
      </c>
      <c r="C1222" s="524" t="s">
        <v>1148</v>
      </c>
      <c r="D1222" s="524" t="s">
        <v>1205</v>
      </c>
      <c r="E1222" s="524" t="s">
        <v>1217</v>
      </c>
      <c r="F1222" s="524" t="s">
        <v>1183</v>
      </c>
      <c r="G1222" s="524" t="s">
        <v>758</v>
      </c>
      <c r="H1222" s="527">
        <v>294000</v>
      </c>
      <c r="I1222" s="524" t="s">
        <v>1148</v>
      </c>
      <c r="J1222" s="524">
        <f>IF(cmf[[#This Row],[D/C]]="C",cmf[[#This Row],[Valor]],-1*cmf[[#This Row],[Valor]])</f>
        <v>294000</v>
      </c>
      <c r="L1222" s="524" t="s">
        <v>1207</v>
      </c>
      <c r="M1222" s="524" t="s">
        <v>1208</v>
      </c>
      <c r="N1222" s="524" t="s">
        <v>1223</v>
      </c>
      <c r="O1222" s="524" t="s">
        <v>1224</v>
      </c>
      <c r="P1222" s="526">
        <v>46218</v>
      </c>
      <c r="S1222" s="527">
        <v>0</v>
      </c>
    </row>
    <row r="1223" spans="1:19" x14ac:dyDescent="0.2">
      <c r="A1223" s="524">
        <v>70588</v>
      </c>
      <c r="B1223" s="526">
        <v>46218</v>
      </c>
      <c r="C1223" s="524" t="s">
        <v>1148</v>
      </c>
      <c r="D1223" s="524" t="s">
        <v>1239</v>
      </c>
      <c r="E1223" s="524" t="s">
        <v>1251</v>
      </c>
      <c r="F1223" s="524" t="s">
        <v>1178</v>
      </c>
      <c r="G1223" s="524" t="s">
        <v>1179</v>
      </c>
      <c r="H1223" s="527">
        <v>5</v>
      </c>
      <c r="I1223" s="524" t="s">
        <v>1174</v>
      </c>
      <c r="J1223" s="524">
        <f>IF(cmf[[#This Row],[D/C]]="C",cmf[[#This Row],[Valor]],-1*cmf[[#This Row],[Valor]])</f>
        <v>-5</v>
      </c>
      <c r="L1223" s="524" t="s">
        <v>1241</v>
      </c>
      <c r="M1223" s="524" t="s">
        <v>1242</v>
      </c>
      <c r="N1223" s="524" t="s">
        <v>1180</v>
      </c>
      <c r="O1223" s="524" t="s">
        <v>1181</v>
      </c>
      <c r="P1223" s="526">
        <v>46218</v>
      </c>
      <c r="S1223" s="527">
        <v>0</v>
      </c>
    </row>
    <row r="1224" spans="1:19" x14ac:dyDescent="0.2">
      <c r="A1224" s="524">
        <v>70632</v>
      </c>
      <c r="B1224" s="526">
        <v>46218</v>
      </c>
      <c r="C1224" s="524" t="s">
        <v>1148</v>
      </c>
      <c r="D1224" s="524" t="s">
        <v>1243</v>
      </c>
      <c r="E1224" s="524" t="s">
        <v>1254</v>
      </c>
      <c r="F1224" s="524" t="s">
        <v>1178</v>
      </c>
      <c r="G1224" s="524" t="s">
        <v>1179</v>
      </c>
      <c r="H1224" s="527">
        <v>5535.04</v>
      </c>
      <c r="I1224" s="524" t="s">
        <v>1148</v>
      </c>
      <c r="J1224" s="524">
        <f>IF(cmf[[#This Row],[D/C]]="C",cmf[[#This Row],[Valor]],-1*cmf[[#This Row],[Valor]])</f>
        <v>5535.04</v>
      </c>
      <c r="L1224" s="524" t="s">
        <v>1245</v>
      </c>
      <c r="M1224" s="524" t="s">
        <v>1246</v>
      </c>
      <c r="N1224" s="524" t="s">
        <v>1180</v>
      </c>
      <c r="O1224" s="524" t="s">
        <v>1181</v>
      </c>
      <c r="P1224" s="526">
        <v>46218</v>
      </c>
      <c r="S1224" s="527">
        <v>0</v>
      </c>
    </row>
    <row r="1225" spans="1:19" x14ac:dyDescent="0.2">
      <c r="A1225" s="524">
        <v>70724</v>
      </c>
      <c r="B1225" s="526">
        <v>46218</v>
      </c>
      <c r="C1225" s="524" t="s">
        <v>1148</v>
      </c>
      <c r="D1225" s="524" t="s">
        <v>1239</v>
      </c>
      <c r="E1225" s="524" t="s">
        <v>1982</v>
      </c>
      <c r="F1225" s="524" t="s">
        <v>1170</v>
      </c>
      <c r="G1225" s="524" t="s">
        <v>802</v>
      </c>
      <c r="H1225" s="527">
        <v>300000</v>
      </c>
      <c r="I1225" s="524" t="s">
        <v>1148</v>
      </c>
      <c r="J1225" s="524">
        <f>IF(cmf[[#This Row],[D/C]]="C",cmf[[#This Row],[Valor]],-1*cmf[[#This Row],[Valor]])</f>
        <v>300000</v>
      </c>
      <c r="L1225" s="524" t="s">
        <v>1264</v>
      </c>
      <c r="M1225" s="524" t="s">
        <v>1265</v>
      </c>
      <c r="N1225" s="524" t="s">
        <v>1192</v>
      </c>
      <c r="O1225" s="524" t="s">
        <v>1193</v>
      </c>
      <c r="P1225" s="526">
        <v>46218</v>
      </c>
      <c r="S1225" s="527">
        <v>0</v>
      </c>
    </row>
    <row r="1226" spans="1:19" x14ac:dyDescent="0.2">
      <c r="A1226" s="524">
        <v>70725</v>
      </c>
      <c r="B1226" s="526">
        <v>46218</v>
      </c>
      <c r="C1226" s="524" t="s">
        <v>1148</v>
      </c>
      <c r="D1226" s="524" t="s">
        <v>1239</v>
      </c>
      <c r="E1226" s="524" t="s">
        <v>1567</v>
      </c>
      <c r="F1226" s="524" t="s">
        <v>1170</v>
      </c>
      <c r="G1226" s="524" t="s">
        <v>802</v>
      </c>
      <c r="H1226" s="527">
        <v>13</v>
      </c>
      <c r="I1226" s="524" t="s">
        <v>1174</v>
      </c>
      <c r="J1226" s="524">
        <f>IF(cmf[[#This Row],[D/C]]="C",cmf[[#This Row],[Valor]],-1*cmf[[#This Row],[Valor]])</f>
        <v>-13</v>
      </c>
      <c r="L1226" s="524" t="s">
        <v>1241</v>
      </c>
      <c r="M1226" s="524" t="s">
        <v>1242</v>
      </c>
      <c r="N1226" s="524" t="s">
        <v>1192</v>
      </c>
      <c r="O1226" s="524" t="s">
        <v>1193</v>
      </c>
      <c r="P1226" s="526">
        <v>46218</v>
      </c>
      <c r="S1226" s="527">
        <v>0</v>
      </c>
    </row>
    <row r="1227" spans="1:19" x14ac:dyDescent="0.2">
      <c r="A1227" s="524">
        <v>70726</v>
      </c>
      <c r="B1227" s="526">
        <v>46218</v>
      </c>
      <c r="C1227" s="524" t="s">
        <v>1148</v>
      </c>
      <c r="D1227" s="524" t="s">
        <v>1239</v>
      </c>
      <c r="E1227" s="524" t="s">
        <v>1567</v>
      </c>
      <c r="F1227" s="524" t="s">
        <v>1170</v>
      </c>
      <c r="G1227" s="524" t="s">
        <v>802</v>
      </c>
      <c r="H1227" s="527">
        <v>13</v>
      </c>
      <c r="I1227" s="524" t="s">
        <v>1174</v>
      </c>
      <c r="J1227" s="524">
        <f>IF(cmf[[#This Row],[D/C]]="C",cmf[[#This Row],[Valor]],-1*cmf[[#This Row],[Valor]])</f>
        <v>-13</v>
      </c>
      <c r="L1227" s="524" t="s">
        <v>1241</v>
      </c>
      <c r="M1227" s="524" t="s">
        <v>1242</v>
      </c>
      <c r="N1227" s="524" t="s">
        <v>1192</v>
      </c>
      <c r="O1227" s="524" t="s">
        <v>1193</v>
      </c>
      <c r="P1227" s="526">
        <v>46218</v>
      </c>
      <c r="S1227" s="527">
        <v>0</v>
      </c>
    </row>
    <row r="1228" spans="1:19" x14ac:dyDescent="0.2">
      <c r="A1228" s="524">
        <v>70727</v>
      </c>
      <c r="B1228" s="526">
        <v>46218</v>
      </c>
      <c r="C1228" s="524" t="s">
        <v>1148</v>
      </c>
      <c r="D1228" s="524" t="s">
        <v>1235</v>
      </c>
      <c r="E1228" s="524" t="s">
        <v>1983</v>
      </c>
      <c r="F1228" s="524" t="s">
        <v>1170</v>
      </c>
      <c r="G1228" s="524" t="s">
        <v>802</v>
      </c>
      <c r="H1228" s="527">
        <v>872.61</v>
      </c>
      <c r="I1228" s="524" t="s">
        <v>1174</v>
      </c>
      <c r="J1228" s="524">
        <f>IF(cmf[[#This Row],[D/C]]="C",cmf[[#This Row],[Valor]],-1*cmf[[#This Row],[Valor]])</f>
        <v>-872.61</v>
      </c>
      <c r="L1228" s="524" t="s">
        <v>1237</v>
      </c>
      <c r="M1228" s="524" t="s">
        <v>1238</v>
      </c>
      <c r="N1228" s="524" t="s">
        <v>1192</v>
      </c>
      <c r="O1228" s="524" t="s">
        <v>1193</v>
      </c>
      <c r="P1228" s="526">
        <v>46218</v>
      </c>
      <c r="S1228" s="527">
        <v>0</v>
      </c>
    </row>
    <row r="1229" spans="1:19" x14ac:dyDescent="0.2">
      <c r="A1229" s="524">
        <v>70780</v>
      </c>
      <c r="B1229" s="526">
        <v>46218</v>
      </c>
      <c r="C1229" s="524" t="s">
        <v>1148</v>
      </c>
      <c r="D1229" s="524" t="s">
        <v>1239</v>
      </c>
      <c r="E1229" s="524" t="s">
        <v>1258</v>
      </c>
      <c r="F1229" s="524" t="s">
        <v>1170</v>
      </c>
      <c r="G1229" s="524" t="s">
        <v>1102</v>
      </c>
      <c r="H1229" s="527">
        <v>4.5</v>
      </c>
      <c r="I1229" s="524" t="s">
        <v>1174</v>
      </c>
      <c r="J1229" s="524">
        <f>IF(cmf[[#This Row],[D/C]]="C",cmf[[#This Row],[Valor]],-1*cmf[[#This Row],[Valor]])</f>
        <v>-4.5</v>
      </c>
      <c r="L1229" s="524" t="s">
        <v>1241</v>
      </c>
      <c r="M1229" s="524" t="s">
        <v>1242</v>
      </c>
      <c r="N1229" s="524" t="s">
        <v>1192</v>
      </c>
      <c r="O1229" s="524" t="s">
        <v>1193</v>
      </c>
      <c r="P1229" s="526">
        <v>46218</v>
      </c>
      <c r="S1229" s="527">
        <v>0</v>
      </c>
    </row>
    <row r="1230" spans="1:19" x14ac:dyDescent="0.2">
      <c r="A1230" s="524">
        <v>70970</v>
      </c>
      <c r="B1230" s="526">
        <v>46218</v>
      </c>
      <c r="C1230" s="524" t="s">
        <v>1148</v>
      </c>
      <c r="D1230" s="524" t="s">
        <v>1239</v>
      </c>
      <c r="E1230" s="524" t="s">
        <v>1253</v>
      </c>
      <c r="F1230" s="524" t="s">
        <v>1170</v>
      </c>
      <c r="G1230" s="524" t="s">
        <v>798</v>
      </c>
      <c r="H1230" s="527">
        <v>0.4</v>
      </c>
      <c r="I1230" s="524" t="s">
        <v>1174</v>
      </c>
      <c r="J1230" s="524">
        <f>IF(cmf[[#This Row],[D/C]]="C",cmf[[#This Row],[Valor]],-1*cmf[[#This Row],[Valor]])</f>
        <v>-0.4</v>
      </c>
      <c r="L1230" s="524" t="s">
        <v>1241</v>
      </c>
      <c r="M1230" s="524" t="s">
        <v>1242</v>
      </c>
      <c r="N1230" s="524" t="s">
        <v>1171</v>
      </c>
      <c r="O1230" s="524" t="s">
        <v>1172</v>
      </c>
      <c r="P1230" s="526">
        <v>46218</v>
      </c>
      <c r="S1230" s="527">
        <v>0</v>
      </c>
    </row>
    <row r="1231" spans="1:19" x14ac:dyDescent="0.2">
      <c r="A1231" s="524">
        <v>71019</v>
      </c>
      <c r="B1231" s="526">
        <v>46218</v>
      </c>
      <c r="C1231" s="524" t="s">
        <v>1148</v>
      </c>
      <c r="D1231" s="524" t="s">
        <v>1239</v>
      </c>
      <c r="E1231" s="524" t="s">
        <v>1253</v>
      </c>
      <c r="F1231" s="524" t="s">
        <v>1170</v>
      </c>
      <c r="G1231" s="524" t="s">
        <v>799</v>
      </c>
      <c r="H1231" s="527">
        <v>0.2</v>
      </c>
      <c r="I1231" s="524" t="s">
        <v>1174</v>
      </c>
      <c r="J1231" s="524">
        <f>IF(cmf[[#This Row],[D/C]]="C",cmf[[#This Row],[Valor]],-1*cmf[[#This Row],[Valor]])</f>
        <v>-0.2</v>
      </c>
      <c r="L1231" s="524" t="s">
        <v>1241</v>
      </c>
      <c r="M1231" s="524" t="s">
        <v>1242</v>
      </c>
      <c r="N1231" s="524" t="s">
        <v>1171</v>
      </c>
      <c r="O1231" s="524" t="s">
        <v>1172</v>
      </c>
      <c r="P1231" s="526">
        <v>46218</v>
      </c>
      <c r="S1231" s="527">
        <v>0</v>
      </c>
    </row>
    <row r="1232" spans="1:19" x14ac:dyDescent="0.2">
      <c r="A1232" s="524">
        <v>71241</v>
      </c>
      <c r="B1232" s="526">
        <v>46218</v>
      </c>
      <c r="C1232" s="524" t="s">
        <v>1148</v>
      </c>
      <c r="D1232" s="524" t="s">
        <v>1239</v>
      </c>
      <c r="E1232" s="524" t="s">
        <v>1255</v>
      </c>
      <c r="F1232" s="524" t="s">
        <v>1170</v>
      </c>
      <c r="G1232" s="524" t="s">
        <v>749</v>
      </c>
      <c r="H1232" s="527">
        <v>0.2</v>
      </c>
      <c r="I1232" s="524" t="s">
        <v>1174</v>
      </c>
      <c r="J1232" s="524">
        <f>IF(cmf[[#This Row],[D/C]]="C",cmf[[#This Row],[Valor]],-1*cmf[[#This Row],[Valor]])</f>
        <v>-0.2</v>
      </c>
      <c r="L1232" s="524" t="s">
        <v>1241</v>
      </c>
      <c r="M1232" s="524" t="s">
        <v>1242</v>
      </c>
      <c r="N1232" s="524" t="s">
        <v>1256</v>
      </c>
      <c r="O1232" s="524" t="s">
        <v>1257</v>
      </c>
      <c r="P1232" s="526">
        <v>46218</v>
      </c>
      <c r="S1232" s="527">
        <v>0</v>
      </c>
    </row>
    <row r="1233" spans="1:19" x14ac:dyDescent="0.2">
      <c r="A1233" s="524">
        <v>71243</v>
      </c>
      <c r="B1233" s="526">
        <v>46218</v>
      </c>
      <c r="C1233" s="524" t="s">
        <v>1148</v>
      </c>
      <c r="D1233" s="524" t="s">
        <v>1239</v>
      </c>
      <c r="E1233" s="524" t="s">
        <v>1312</v>
      </c>
      <c r="F1233" s="524" t="s">
        <v>1170</v>
      </c>
      <c r="G1233" s="524" t="s">
        <v>749</v>
      </c>
      <c r="H1233" s="527">
        <v>15</v>
      </c>
      <c r="I1233" s="524" t="s">
        <v>1174</v>
      </c>
      <c r="J1233" s="524">
        <f>IF(cmf[[#This Row],[D/C]]="C",cmf[[#This Row],[Valor]],-1*cmf[[#This Row],[Valor]])</f>
        <v>-15</v>
      </c>
      <c r="L1233" s="524" t="s">
        <v>1241</v>
      </c>
      <c r="M1233" s="524" t="s">
        <v>1242</v>
      </c>
      <c r="N1233" s="524" t="s">
        <v>1256</v>
      </c>
      <c r="O1233" s="524" t="s">
        <v>1257</v>
      </c>
      <c r="P1233" s="526">
        <v>46218</v>
      </c>
      <c r="S1233" s="527">
        <v>0</v>
      </c>
    </row>
    <row r="1234" spans="1:19" x14ac:dyDescent="0.2">
      <c r="A1234" s="524">
        <v>71527</v>
      </c>
      <c r="B1234" s="526">
        <v>46218</v>
      </c>
      <c r="C1234" s="524" t="s">
        <v>1148</v>
      </c>
      <c r="D1234" s="524" t="s">
        <v>1205</v>
      </c>
      <c r="E1234" s="524" t="s">
        <v>1337</v>
      </c>
      <c r="F1234" s="524" t="s">
        <v>1183</v>
      </c>
      <c r="G1234" s="524" t="s">
        <v>742</v>
      </c>
      <c r="H1234" s="527">
        <v>5000</v>
      </c>
      <c r="I1234" s="524" t="s">
        <v>1174</v>
      </c>
      <c r="J1234" s="524">
        <f>IF(cmf[[#This Row],[D/C]]="C",cmf[[#This Row],[Valor]],-1*cmf[[#This Row],[Valor]])</f>
        <v>-5000</v>
      </c>
      <c r="L1234" s="524" t="s">
        <v>1207</v>
      </c>
      <c r="M1234" s="524" t="s">
        <v>1208</v>
      </c>
      <c r="N1234" s="524" t="s">
        <v>1215</v>
      </c>
      <c r="O1234" s="524" t="s">
        <v>1218</v>
      </c>
      <c r="P1234" s="526">
        <v>46218</v>
      </c>
      <c r="S1234" s="527">
        <v>0</v>
      </c>
    </row>
    <row r="1235" spans="1:19" x14ac:dyDescent="0.2">
      <c r="A1235" s="524">
        <v>71528</v>
      </c>
      <c r="B1235" s="526">
        <v>46218</v>
      </c>
      <c r="C1235" s="524" t="s">
        <v>1148</v>
      </c>
      <c r="D1235" s="524" t="s">
        <v>1205</v>
      </c>
      <c r="E1235" s="524" t="s">
        <v>1217</v>
      </c>
      <c r="F1235" s="524" t="s">
        <v>1183</v>
      </c>
      <c r="G1235" s="524" t="s">
        <v>803</v>
      </c>
      <c r="H1235" s="527">
        <v>5000</v>
      </c>
      <c r="I1235" s="524" t="s">
        <v>1148</v>
      </c>
      <c r="J1235" s="524">
        <f>IF(cmf[[#This Row],[D/C]]="C",cmf[[#This Row],[Valor]],-1*cmf[[#This Row],[Valor]])</f>
        <v>5000</v>
      </c>
      <c r="L1235" s="524" t="s">
        <v>1207</v>
      </c>
      <c r="M1235" s="524" t="s">
        <v>1208</v>
      </c>
      <c r="N1235" s="524" t="s">
        <v>1192</v>
      </c>
      <c r="O1235" s="524" t="s">
        <v>1193</v>
      </c>
      <c r="P1235" s="526">
        <v>46218</v>
      </c>
      <c r="S1235" s="527">
        <v>0</v>
      </c>
    </row>
    <row r="1236" spans="1:19" x14ac:dyDescent="0.2">
      <c r="A1236" s="524">
        <v>71535</v>
      </c>
      <c r="B1236" s="526">
        <v>46218</v>
      </c>
      <c r="C1236" s="524" t="s">
        <v>1148</v>
      </c>
      <c r="D1236" s="524" t="s">
        <v>1239</v>
      </c>
      <c r="E1236" s="524" t="s">
        <v>1312</v>
      </c>
      <c r="F1236" s="524" t="s">
        <v>1170</v>
      </c>
      <c r="G1236" s="524" t="s">
        <v>740</v>
      </c>
      <c r="H1236" s="527">
        <v>15</v>
      </c>
      <c r="I1236" s="524" t="s">
        <v>1174</v>
      </c>
      <c r="J1236" s="524">
        <f>IF(cmf[[#This Row],[D/C]]="C",cmf[[#This Row],[Valor]],-1*cmf[[#This Row],[Valor]])</f>
        <v>-15</v>
      </c>
      <c r="L1236" s="524" t="s">
        <v>1241</v>
      </c>
      <c r="M1236" s="524" t="s">
        <v>1242</v>
      </c>
      <c r="N1236" s="524" t="s">
        <v>1215</v>
      </c>
      <c r="O1236" s="524" t="s">
        <v>1218</v>
      </c>
      <c r="P1236" s="526">
        <v>46218</v>
      </c>
      <c r="S1236" s="527">
        <v>0</v>
      </c>
    </row>
    <row r="1237" spans="1:19" x14ac:dyDescent="0.2">
      <c r="A1237" s="524">
        <v>71713</v>
      </c>
      <c r="B1237" s="526">
        <v>46218</v>
      </c>
      <c r="C1237" s="524" t="s">
        <v>1148</v>
      </c>
      <c r="D1237" s="524" t="s">
        <v>1243</v>
      </c>
      <c r="E1237" s="524" t="s">
        <v>1244</v>
      </c>
      <c r="F1237" s="524" t="s">
        <v>1183</v>
      </c>
      <c r="G1237" s="524" t="s">
        <v>742</v>
      </c>
      <c r="H1237" s="527">
        <v>56284.62</v>
      </c>
      <c r="I1237" s="524" t="s">
        <v>1148</v>
      </c>
      <c r="J1237" s="524">
        <f>IF(cmf[[#This Row],[D/C]]="C",cmf[[#This Row],[Valor]],-1*cmf[[#This Row],[Valor]])</f>
        <v>56284.62</v>
      </c>
      <c r="L1237" s="524" t="s">
        <v>1245</v>
      </c>
      <c r="M1237" s="524" t="s">
        <v>1246</v>
      </c>
      <c r="N1237" s="524" t="s">
        <v>1215</v>
      </c>
      <c r="O1237" s="524" t="s">
        <v>1267</v>
      </c>
      <c r="P1237" s="526">
        <v>46218</v>
      </c>
      <c r="S1237" s="527">
        <v>0</v>
      </c>
    </row>
    <row r="1238" spans="1:19" x14ac:dyDescent="0.2">
      <c r="A1238" s="524">
        <v>71714</v>
      </c>
      <c r="B1238" s="526">
        <v>46218</v>
      </c>
      <c r="C1238" s="524" t="s">
        <v>1148</v>
      </c>
      <c r="D1238" s="524" t="s">
        <v>1243</v>
      </c>
      <c r="E1238" s="524" t="s">
        <v>1244</v>
      </c>
      <c r="F1238" s="524" t="s">
        <v>1183</v>
      </c>
      <c r="G1238" s="524" t="s">
        <v>742</v>
      </c>
      <c r="H1238" s="527">
        <v>0.03</v>
      </c>
      <c r="I1238" s="524" t="s">
        <v>1148</v>
      </c>
      <c r="J1238" s="524">
        <f>IF(cmf[[#This Row],[D/C]]="C",cmf[[#This Row],[Valor]],-1*cmf[[#This Row],[Valor]])</f>
        <v>0.03</v>
      </c>
      <c r="L1238" s="524" t="s">
        <v>1245</v>
      </c>
      <c r="M1238" s="524" t="s">
        <v>1246</v>
      </c>
      <c r="N1238" s="524" t="s">
        <v>1215</v>
      </c>
      <c r="O1238" s="524" t="s">
        <v>1267</v>
      </c>
      <c r="P1238" s="526">
        <v>46218</v>
      </c>
      <c r="S1238" s="527">
        <v>0</v>
      </c>
    </row>
    <row r="1239" spans="1:19" x14ac:dyDescent="0.2">
      <c r="A1239" s="524">
        <v>71869</v>
      </c>
      <c r="B1239" s="526">
        <v>46218</v>
      </c>
      <c r="C1239" s="524" t="s">
        <v>1148</v>
      </c>
      <c r="D1239" s="524" t="s">
        <v>1243</v>
      </c>
      <c r="E1239" s="524" t="s">
        <v>1244</v>
      </c>
      <c r="F1239" s="524" t="s">
        <v>1183</v>
      </c>
      <c r="G1239" s="524" t="s">
        <v>750</v>
      </c>
      <c r="H1239" s="527">
        <v>425.86</v>
      </c>
      <c r="I1239" s="524" t="s">
        <v>1148</v>
      </c>
      <c r="J1239" s="524">
        <f>IF(cmf[[#This Row],[D/C]]="C",cmf[[#This Row],[Valor]],-1*cmf[[#This Row],[Valor]])</f>
        <v>425.86</v>
      </c>
      <c r="L1239" s="524" t="s">
        <v>1245</v>
      </c>
      <c r="M1239" s="524" t="s">
        <v>1246</v>
      </c>
      <c r="N1239" s="524" t="s">
        <v>1256</v>
      </c>
      <c r="O1239" s="524" t="s">
        <v>1257</v>
      </c>
      <c r="P1239" s="526">
        <v>46218</v>
      </c>
      <c r="S1239" s="527">
        <v>0</v>
      </c>
    </row>
    <row r="1240" spans="1:19" x14ac:dyDescent="0.2">
      <c r="A1240" s="524">
        <v>72518</v>
      </c>
      <c r="B1240" s="526">
        <v>46218</v>
      </c>
      <c r="C1240" s="524" t="s">
        <v>1148</v>
      </c>
      <c r="D1240" s="524" t="s">
        <v>1239</v>
      </c>
      <c r="E1240" s="524" t="s">
        <v>1833</v>
      </c>
      <c r="F1240" s="524" t="s">
        <v>1170</v>
      </c>
      <c r="G1240" s="524" t="s">
        <v>799</v>
      </c>
      <c r="H1240" s="527">
        <v>12263.35</v>
      </c>
      <c r="I1240" s="524" t="s">
        <v>1174</v>
      </c>
      <c r="J1240" s="524">
        <f>IF(cmf[[#This Row],[D/C]]="C",cmf[[#This Row],[Valor]],-1*cmf[[#This Row],[Valor]])</f>
        <v>-12263.35</v>
      </c>
      <c r="L1240" s="524" t="s">
        <v>1264</v>
      </c>
      <c r="M1240" s="524" t="s">
        <v>1265</v>
      </c>
      <c r="N1240" s="524" t="s">
        <v>1171</v>
      </c>
      <c r="O1240" s="524" t="s">
        <v>1172</v>
      </c>
      <c r="P1240" s="526">
        <v>46218</v>
      </c>
      <c r="S1240" s="527">
        <v>0</v>
      </c>
    </row>
    <row r="1241" spans="1:19" x14ac:dyDescent="0.2">
      <c r="A1241" s="524">
        <v>72532</v>
      </c>
      <c r="B1241" s="526">
        <v>46218</v>
      </c>
      <c r="C1241" s="524" t="s">
        <v>1162</v>
      </c>
      <c r="D1241" s="524" t="s">
        <v>1235</v>
      </c>
      <c r="E1241" s="524" t="s">
        <v>1984</v>
      </c>
      <c r="F1241" s="524" t="s">
        <v>1170</v>
      </c>
      <c r="G1241" s="524" t="s">
        <v>799</v>
      </c>
      <c r="H1241" s="527">
        <v>12263.35</v>
      </c>
      <c r="I1241" s="524" t="s">
        <v>1174</v>
      </c>
      <c r="J1241" s="524">
        <f>IF(cmf[[#This Row],[D/C]]="C",cmf[[#This Row],[Valor]],-1*cmf[[#This Row],[Valor]])</f>
        <v>-12263.35</v>
      </c>
      <c r="L1241" s="524" t="s">
        <v>1237</v>
      </c>
      <c r="M1241" s="524" t="s">
        <v>1238</v>
      </c>
      <c r="N1241" s="524" t="s">
        <v>1171</v>
      </c>
      <c r="O1241" s="524" t="s">
        <v>1172</v>
      </c>
      <c r="P1241" s="526"/>
      <c r="S1241" s="527">
        <v>0</v>
      </c>
    </row>
    <row r="1242" spans="1:19" x14ac:dyDescent="0.2">
      <c r="A1242" s="524">
        <v>72594</v>
      </c>
      <c r="B1242" s="526">
        <v>46218</v>
      </c>
      <c r="C1242" s="524" t="s">
        <v>1148</v>
      </c>
      <c r="D1242" s="524" t="s">
        <v>1239</v>
      </c>
      <c r="E1242" s="524" t="s">
        <v>1985</v>
      </c>
      <c r="F1242" s="524" t="s">
        <v>1170</v>
      </c>
      <c r="G1242" s="524" t="s">
        <v>802</v>
      </c>
      <c r="H1242" s="527">
        <v>300000</v>
      </c>
      <c r="I1242" s="524" t="s">
        <v>1174</v>
      </c>
      <c r="J1242" s="524">
        <f>IF(cmf[[#This Row],[D/C]]="C",cmf[[#This Row],[Valor]],-1*cmf[[#This Row],[Valor]])</f>
        <v>-300000</v>
      </c>
      <c r="L1242" s="524" t="s">
        <v>1264</v>
      </c>
      <c r="M1242" s="524" t="s">
        <v>1265</v>
      </c>
      <c r="N1242" s="524" t="s">
        <v>1192</v>
      </c>
      <c r="O1242" s="524" t="s">
        <v>1193</v>
      </c>
      <c r="P1242" s="526">
        <v>46218</v>
      </c>
      <c r="S1242" s="527">
        <v>0</v>
      </c>
    </row>
    <row r="1243" spans="1:19" x14ac:dyDescent="0.2">
      <c r="A1243" s="524">
        <v>69490</v>
      </c>
      <c r="B1243" s="526">
        <v>46219</v>
      </c>
      <c r="C1243" s="524" t="s">
        <v>1148</v>
      </c>
      <c r="D1243" s="524" t="s">
        <v>1163</v>
      </c>
      <c r="E1243" s="524" t="s">
        <v>1164</v>
      </c>
      <c r="F1243" s="524" t="s">
        <v>1170</v>
      </c>
      <c r="G1243" s="524" t="s">
        <v>798</v>
      </c>
      <c r="H1243" s="527">
        <v>1280.3800000000001</v>
      </c>
      <c r="I1243" s="524" t="s">
        <v>1148</v>
      </c>
      <c r="J1243" s="524">
        <f>IF(cmf[[#This Row],[D/C]]="C",cmf[[#This Row],[Valor]],-1*cmf[[#This Row],[Valor]])</f>
        <v>1280.3800000000001</v>
      </c>
      <c r="L1243" s="524" t="s">
        <v>1166</v>
      </c>
      <c r="M1243" s="524" t="s">
        <v>1167</v>
      </c>
      <c r="N1243" s="524" t="s">
        <v>1171</v>
      </c>
      <c r="O1243" s="524" t="s">
        <v>1172</v>
      </c>
      <c r="P1243" s="526">
        <v>46219</v>
      </c>
      <c r="S1243" s="527">
        <v>0</v>
      </c>
    </row>
    <row r="1244" spans="1:19" x14ac:dyDescent="0.2">
      <c r="A1244" s="524">
        <v>69491</v>
      </c>
      <c r="B1244" s="526">
        <v>46219</v>
      </c>
      <c r="C1244" s="524" t="s">
        <v>1148</v>
      </c>
      <c r="D1244" s="524" t="s">
        <v>1163</v>
      </c>
      <c r="E1244" s="524" t="s">
        <v>1173</v>
      </c>
      <c r="F1244" s="524" t="s">
        <v>1170</v>
      </c>
      <c r="G1244" s="524" t="s">
        <v>798</v>
      </c>
      <c r="H1244" s="527">
        <v>12.6</v>
      </c>
      <c r="I1244" s="524" t="s">
        <v>1174</v>
      </c>
      <c r="J1244" s="524">
        <f>IF(cmf[[#This Row],[D/C]]="C",cmf[[#This Row],[Valor]],-1*cmf[[#This Row],[Valor]])</f>
        <v>-12.6</v>
      </c>
      <c r="L1244" s="524" t="s">
        <v>1175</v>
      </c>
      <c r="M1244" s="524" t="s">
        <v>1176</v>
      </c>
      <c r="N1244" s="524" t="s">
        <v>1171</v>
      </c>
      <c r="O1244" s="524" t="s">
        <v>1172</v>
      </c>
      <c r="P1244" s="526">
        <v>46219</v>
      </c>
      <c r="S1244" s="527">
        <v>0</v>
      </c>
    </row>
    <row r="1245" spans="1:19" x14ac:dyDescent="0.2">
      <c r="A1245" s="524">
        <v>69497</v>
      </c>
      <c r="B1245" s="526">
        <v>46219</v>
      </c>
      <c r="C1245" s="524" t="s">
        <v>1162</v>
      </c>
      <c r="D1245" s="524" t="s">
        <v>1163</v>
      </c>
      <c r="E1245" s="524" t="s">
        <v>1164</v>
      </c>
      <c r="F1245" s="524" t="s">
        <v>1165</v>
      </c>
      <c r="G1245" s="524" t="s">
        <v>756</v>
      </c>
      <c r="H1245" s="527">
        <v>11126.37</v>
      </c>
      <c r="I1245" s="524" t="s">
        <v>1148</v>
      </c>
      <c r="J1245" s="524">
        <f>IF(cmf[[#This Row],[D/C]]="C",cmf[[#This Row],[Valor]],-1*cmf[[#This Row],[Valor]])</f>
        <v>11126.37</v>
      </c>
      <c r="L1245" s="524" t="s">
        <v>1166</v>
      </c>
      <c r="M1245" s="524" t="s">
        <v>1167</v>
      </c>
      <c r="N1245" s="524" t="s">
        <v>1168</v>
      </c>
      <c r="O1245" s="524" t="s">
        <v>1169</v>
      </c>
      <c r="P1245" s="526"/>
      <c r="S1245" s="527">
        <v>0</v>
      </c>
    </row>
    <row r="1246" spans="1:19" x14ac:dyDescent="0.2">
      <c r="A1246" s="524">
        <v>69691</v>
      </c>
      <c r="B1246" s="526">
        <v>46219</v>
      </c>
      <c r="C1246" s="524" t="s">
        <v>1162</v>
      </c>
      <c r="D1246" s="524" t="s">
        <v>1163</v>
      </c>
      <c r="E1246" s="524" t="s">
        <v>1164</v>
      </c>
      <c r="F1246" s="524" t="s">
        <v>1183</v>
      </c>
      <c r="G1246" s="524" t="s">
        <v>1276</v>
      </c>
      <c r="H1246" s="527">
        <v>6714.86</v>
      </c>
      <c r="I1246" s="524" t="s">
        <v>1148</v>
      </c>
      <c r="J1246" s="524">
        <f>IF(cmf[[#This Row],[D/C]]="C",cmf[[#This Row],[Valor]],-1*cmf[[#This Row],[Valor]])</f>
        <v>6714.86</v>
      </c>
      <c r="L1246" s="524" t="s">
        <v>1166</v>
      </c>
      <c r="M1246" s="524" t="s">
        <v>1167</v>
      </c>
      <c r="N1246" s="524" t="s">
        <v>1184</v>
      </c>
      <c r="O1246" s="524" t="s">
        <v>1201</v>
      </c>
      <c r="P1246" s="526"/>
      <c r="S1246" s="527">
        <v>0</v>
      </c>
    </row>
    <row r="1247" spans="1:19" x14ac:dyDescent="0.2">
      <c r="A1247" s="524">
        <v>69692</v>
      </c>
      <c r="B1247" s="526">
        <v>46219</v>
      </c>
      <c r="C1247" s="524" t="s">
        <v>1162</v>
      </c>
      <c r="D1247" s="524" t="s">
        <v>1163</v>
      </c>
      <c r="E1247" s="524" t="s">
        <v>1173</v>
      </c>
      <c r="F1247" s="524" t="s">
        <v>1183</v>
      </c>
      <c r="G1247" s="524" t="s">
        <v>1276</v>
      </c>
      <c r="H1247" s="527">
        <v>6.9</v>
      </c>
      <c r="I1247" s="524" t="s">
        <v>1174</v>
      </c>
      <c r="J1247" s="524">
        <f>IF(cmf[[#This Row],[D/C]]="C",cmf[[#This Row],[Valor]],-1*cmf[[#This Row],[Valor]])</f>
        <v>-6.9</v>
      </c>
      <c r="L1247" s="524" t="s">
        <v>1175</v>
      </c>
      <c r="M1247" s="524" t="s">
        <v>1176</v>
      </c>
      <c r="N1247" s="524" t="s">
        <v>1184</v>
      </c>
      <c r="O1247" s="524" t="s">
        <v>1201</v>
      </c>
      <c r="P1247" s="526"/>
      <c r="S1247" s="527">
        <v>0</v>
      </c>
    </row>
    <row r="1248" spans="1:19" x14ac:dyDescent="0.2">
      <c r="A1248" s="524">
        <v>69693</v>
      </c>
      <c r="B1248" s="526">
        <v>46219</v>
      </c>
      <c r="C1248" s="524" t="s">
        <v>1148</v>
      </c>
      <c r="D1248" s="524" t="s">
        <v>1163</v>
      </c>
      <c r="E1248" s="524" t="s">
        <v>1164</v>
      </c>
      <c r="F1248" s="524" t="s">
        <v>1178</v>
      </c>
      <c r="G1248" s="524" t="s">
        <v>1179</v>
      </c>
      <c r="H1248" s="527">
        <v>8744.2000000000007</v>
      </c>
      <c r="I1248" s="524" t="s">
        <v>1148</v>
      </c>
      <c r="J1248" s="524">
        <f>IF(cmf[[#This Row],[D/C]]="C",cmf[[#This Row],[Valor]],-1*cmf[[#This Row],[Valor]])</f>
        <v>8744.2000000000007</v>
      </c>
      <c r="L1248" s="524" t="s">
        <v>1166</v>
      </c>
      <c r="M1248" s="524" t="s">
        <v>1167</v>
      </c>
      <c r="N1248" s="524" t="s">
        <v>1180</v>
      </c>
      <c r="O1248" s="524" t="s">
        <v>1181</v>
      </c>
      <c r="P1248" s="526">
        <v>46219</v>
      </c>
      <c r="S1248" s="527">
        <v>0</v>
      </c>
    </row>
    <row r="1249" spans="1:19" x14ac:dyDescent="0.2">
      <c r="A1249" s="524">
        <v>69694</v>
      </c>
      <c r="B1249" s="526">
        <v>46219</v>
      </c>
      <c r="C1249" s="524" t="s">
        <v>1148</v>
      </c>
      <c r="D1249" s="524" t="s">
        <v>1163</v>
      </c>
      <c r="E1249" s="524" t="s">
        <v>1164</v>
      </c>
      <c r="F1249" s="524" t="s">
        <v>1170</v>
      </c>
      <c r="G1249" s="524" t="s">
        <v>740</v>
      </c>
      <c r="H1249" s="527">
        <v>11189.02</v>
      </c>
      <c r="I1249" s="524" t="s">
        <v>1148</v>
      </c>
      <c r="J1249" s="524">
        <f>IF(cmf[[#This Row],[D/C]]="C",cmf[[#This Row],[Valor]],-1*cmf[[#This Row],[Valor]])</f>
        <v>11189.02</v>
      </c>
      <c r="L1249" s="524" t="s">
        <v>1166</v>
      </c>
      <c r="M1249" s="524" t="s">
        <v>1167</v>
      </c>
      <c r="N1249" s="524" t="s">
        <v>1215</v>
      </c>
      <c r="O1249" s="524" t="s">
        <v>1218</v>
      </c>
      <c r="P1249" s="526">
        <v>46219</v>
      </c>
      <c r="S1249" s="527">
        <v>0</v>
      </c>
    </row>
    <row r="1250" spans="1:19" x14ac:dyDescent="0.2">
      <c r="A1250" s="524">
        <v>69695</v>
      </c>
      <c r="B1250" s="526">
        <v>46219</v>
      </c>
      <c r="C1250" s="524" t="s">
        <v>1148</v>
      </c>
      <c r="D1250" s="524" t="s">
        <v>1163</v>
      </c>
      <c r="E1250" s="524" t="s">
        <v>1173</v>
      </c>
      <c r="F1250" s="524" t="s">
        <v>1170</v>
      </c>
      <c r="G1250" s="524" t="s">
        <v>740</v>
      </c>
      <c r="H1250" s="527">
        <v>18.899999999999999</v>
      </c>
      <c r="I1250" s="524" t="s">
        <v>1174</v>
      </c>
      <c r="J1250" s="524">
        <f>IF(cmf[[#This Row],[D/C]]="C",cmf[[#This Row],[Valor]],-1*cmf[[#This Row],[Valor]])</f>
        <v>-18.899999999999999</v>
      </c>
      <c r="L1250" s="524" t="s">
        <v>1175</v>
      </c>
      <c r="M1250" s="524" t="s">
        <v>1176</v>
      </c>
      <c r="N1250" s="524" t="s">
        <v>1215</v>
      </c>
      <c r="O1250" s="524" t="s">
        <v>1218</v>
      </c>
      <c r="P1250" s="526">
        <v>46219</v>
      </c>
      <c r="S1250" s="527">
        <v>0</v>
      </c>
    </row>
    <row r="1251" spans="1:19" x14ac:dyDescent="0.2">
      <c r="A1251" s="524">
        <v>69707</v>
      </c>
      <c r="B1251" s="526">
        <v>46219</v>
      </c>
      <c r="C1251" s="524" t="s">
        <v>1162</v>
      </c>
      <c r="D1251" s="524" t="s">
        <v>1163</v>
      </c>
      <c r="E1251" s="524" t="s">
        <v>1164</v>
      </c>
      <c r="F1251" s="524" t="s">
        <v>1111</v>
      </c>
      <c r="G1251" s="524" t="s">
        <v>1110</v>
      </c>
      <c r="H1251" s="527">
        <v>19207.560000000001</v>
      </c>
      <c r="I1251" s="524" t="s">
        <v>1148</v>
      </c>
      <c r="J1251" s="524">
        <f>IF(cmf[[#This Row],[D/C]]="C",cmf[[#This Row],[Valor]],-1*cmf[[#This Row],[Valor]])</f>
        <v>19207.560000000001</v>
      </c>
      <c r="L1251" s="524" t="s">
        <v>1166</v>
      </c>
      <c r="M1251" s="524" t="s">
        <v>1167</v>
      </c>
      <c r="N1251" s="524" t="s">
        <v>1219</v>
      </c>
      <c r="O1251" s="524" t="s">
        <v>1220</v>
      </c>
      <c r="P1251" s="526"/>
      <c r="S1251" s="527">
        <v>0</v>
      </c>
    </row>
    <row r="1252" spans="1:19" x14ac:dyDescent="0.2">
      <c r="A1252" s="524">
        <v>69709</v>
      </c>
      <c r="B1252" s="526">
        <v>46219</v>
      </c>
      <c r="C1252" s="524" t="s">
        <v>1148</v>
      </c>
      <c r="D1252" s="524" t="s">
        <v>1163</v>
      </c>
      <c r="E1252" s="524" t="s">
        <v>1164</v>
      </c>
      <c r="F1252" s="524" t="s">
        <v>1170</v>
      </c>
      <c r="G1252" s="524" t="s">
        <v>757</v>
      </c>
      <c r="H1252" s="527">
        <v>369</v>
      </c>
      <c r="I1252" s="524" t="s">
        <v>1148</v>
      </c>
      <c r="J1252" s="524">
        <f>IF(cmf[[#This Row],[D/C]]="C",cmf[[#This Row],[Valor]],-1*cmf[[#This Row],[Valor]])</f>
        <v>369</v>
      </c>
      <c r="L1252" s="524" t="s">
        <v>1166</v>
      </c>
      <c r="M1252" s="524" t="s">
        <v>1167</v>
      </c>
      <c r="N1252" s="524" t="s">
        <v>1223</v>
      </c>
      <c r="O1252" s="524" t="s">
        <v>1224</v>
      </c>
      <c r="P1252" s="526">
        <v>46219</v>
      </c>
      <c r="S1252" s="527">
        <v>0</v>
      </c>
    </row>
    <row r="1253" spans="1:19" x14ac:dyDescent="0.2">
      <c r="A1253" s="524">
        <v>69710</v>
      </c>
      <c r="B1253" s="526">
        <v>46219</v>
      </c>
      <c r="C1253" s="524" t="s">
        <v>1148</v>
      </c>
      <c r="D1253" s="524" t="s">
        <v>1163</v>
      </c>
      <c r="E1253" s="524" t="s">
        <v>1173</v>
      </c>
      <c r="F1253" s="524" t="s">
        <v>1170</v>
      </c>
      <c r="G1253" s="524" t="s">
        <v>757</v>
      </c>
      <c r="H1253" s="527">
        <v>6.3</v>
      </c>
      <c r="I1253" s="524" t="s">
        <v>1174</v>
      </c>
      <c r="J1253" s="524">
        <f>IF(cmf[[#This Row],[D/C]]="C",cmf[[#This Row],[Valor]],-1*cmf[[#This Row],[Valor]])</f>
        <v>-6.3</v>
      </c>
      <c r="L1253" s="524" t="s">
        <v>1175</v>
      </c>
      <c r="M1253" s="524" t="s">
        <v>1176</v>
      </c>
      <c r="N1253" s="524" t="s">
        <v>1223</v>
      </c>
      <c r="O1253" s="524" t="s">
        <v>1224</v>
      </c>
      <c r="P1253" s="526">
        <v>46219</v>
      </c>
      <c r="S1253" s="527">
        <v>0</v>
      </c>
    </row>
    <row r="1254" spans="1:19" x14ac:dyDescent="0.2">
      <c r="A1254" s="524">
        <v>69717</v>
      </c>
      <c r="B1254" s="526">
        <v>46219</v>
      </c>
      <c r="C1254" s="524" t="s">
        <v>1162</v>
      </c>
      <c r="D1254" s="524" t="s">
        <v>1163</v>
      </c>
      <c r="E1254" s="524" t="s">
        <v>1164</v>
      </c>
      <c r="F1254" s="524" t="s">
        <v>1183</v>
      </c>
      <c r="G1254" s="524" t="s">
        <v>796</v>
      </c>
      <c r="H1254" s="527">
        <v>49912.39</v>
      </c>
      <c r="I1254" s="524" t="s">
        <v>1148</v>
      </c>
      <c r="J1254" s="524">
        <f>IF(cmf[[#This Row],[D/C]]="C",cmf[[#This Row],[Valor]],-1*cmf[[#This Row],[Valor]])</f>
        <v>49912.39</v>
      </c>
      <c r="L1254" s="524" t="s">
        <v>1166</v>
      </c>
      <c r="M1254" s="524" t="s">
        <v>1167</v>
      </c>
      <c r="N1254" s="524" t="s">
        <v>1184</v>
      </c>
      <c r="O1254" s="524" t="s">
        <v>1172</v>
      </c>
      <c r="P1254" s="526"/>
      <c r="S1254" s="527">
        <v>0</v>
      </c>
    </row>
    <row r="1255" spans="1:19" x14ac:dyDescent="0.2">
      <c r="A1255" s="524">
        <v>69718</v>
      </c>
      <c r="B1255" s="526">
        <v>46219</v>
      </c>
      <c r="C1255" s="524" t="s">
        <v>1162</v>
      </c>
      <c r="D1255" s="524" t="s">
        <v>1163</v>
      </c>
      <c r="E1255" s="524" t="s">
        <v>1173</v>
      </c>
      <c r="F1255" s="524" t="s">
        <v>1183</v>
      </c>
      <c r="G1255" s="524" t="s">
        <v>796</v>
      </c>
      <c r="H1255" s="527">
        <v>34.5</v>
      </c>
      <c r="I1255" s="524" t="s">
        <v>1174</v>
      </c>
      <c r="J1255" s="524">
        <f>IF(cmf[[#This Row],[D/C]]="C",cmf[[#This Row],[Valor]],-1*cmf[[#This Row],[Valor]])</f>
        <v>-34.5</v>
      </c>
      <c r="L1255" s="524" t="s">
        <v>1175</v>
      </c>
      <c r="M1255" s="524" t="s">
        <v>1176</v>
      </c>
      <c r="N1255" s="524" t="s">
        <v>1184</v>
      </c>
      <c r="O1255" s="524" t="s">
        <v>1172</v>
      </c>
      <c r="P1255" s="526"/>
      <c r="S1255" s="527">
        <v>0</v>
      </c>
    </row>
    <row r="1256" spans="1:19" x14ac:dyDescent="0.2">
      <c r="A1256" s="524">
        <v>69727</v>
      </c>
      <c r="B1256" s="526">
        <v>46219</v>
      </c>
      <c r="C1256" s="524" t="s">
        <v>1148</v>
      </c>
      <c r="D1256" s="524" t="s">
        <v>1226</v>
      </c>
      <c r="E1256" s="524" t="s">
        <v>1986</v>
      </c>
      <c r="F1256" s="524" t="s">
        <v>1170</v>
      </c>
      <c r="G1256" s="524" t="s">
        <v>768</v>
      </c>
      <c r="H1256" s="527">
        <v>15000</v>
      </c>
      <c r="I1256" s="524" t="s">
        <v>1148</v>
      </c>
      <c r="J1256" s="524">
        <f>IF(cmf[[#This Row],[D/C]]="C",cmf[[#This Row],[Valor]],-1*cmf[[#This Row],[Valor]])</f>
        <v>15000</v>
      </c>
      <c r="L1256" s="524" t="s">
        <v>1230</v>
      </c>
      <c r="M1256" s="524" t="s">
        <v>1231</v>
      </c>
      <c r="N1256" s="524" t="s">
        <v>1219</v>
      </c>
      <c r="O1256" s="524" t="s">
        <v>1220</v>
      </c>
      <c r="P1256" s="526">
        <v>46219</v>
      </c>
      <c r="S1256" s="527">
        <v>0</v>
      </c>
    </row>
    <row r="1257" spans="1:19" x14ac:dyDescent="0.2">
      <c r="A1257" s="524">
        <v>69742</v>
      </c>
      <c r="B1257" s="526">
        <v>46219</v>
      </c>
      <c r="C1257" s="524" t="s">
        <v>1162</v>
      </c>
      <c r="D1257" s="524" t="s">
        <v>1226</v>
      </c>
      <c r="E1257" s="524" t="s">
        <v>1987</v>
      </c>
      <c r="F1257" s="524" t="s">
        <v>1328</v>
      </c>
      <c r="G1257" s="524" t="s">
        <v>1229</v>
      </c>
      <c r="H1257" s="527">
        <v>81701.2</v>
      </c>
      <c r="I1257" s="524" t="s">
        <v>1148</v>
      </c>
      <c r="J1257" s="524">
        <f>IF(cmf[[#This Row],[D/C]]="C",cmf[[#This Row],[Valor]],-1*cmf[[#This Row],[Valor]])</f>
        <v>81701.2</v>
      </c>
      <c r="L1257" s="524" t="s">
        <v>1230</v>
      </c>
      <c r="M1257" s="524" t="s">
        <v>1231</v>
      </c>
      <c r="N1257" s="524" t="s">
        <v>1171</v>
      </c>
      <c r="O1257" s="524" t="s">
        <v>1172</v>
      </c>
      <c r="P1257" s="526"/>
      <c r="S1257" s="527">
        <v>0</v>
      </c>
    </row>
    <row r="1258" spans="1:19" x14ac:dyDescent="0.2">
      <c r="A1258" s="524">
        <v>69743</v>
      </c>
      <c r="B1258" s="526">
        <v>46219</v>
      </c>
      <c r="C1258" s="524" t="s">
        <v>1162</v>
      </c>
      <c r="D1258" s="524" t="s">
        <v>1205</v>
      </c>
      <c r="E1258" s="524" t="s">
        <v>1214</v>
      </c>
      <c r="F1258" s="524" t="s">
        <v>1328</v>
      </c>
      <c r="G1258" s="524" t="s">
        <v>1229</v>
      </c>
      <c r="H1258" s="527">
        <v>81701.2</v>
      </c>
      <c r="I1258" s="524" t="s">
        <v>1174</v>
      </c>
      <c r="J1258" s="524">
        <f>IF(cmf[[#This Row],[D/C]]="C",cmf[[#This Row],[Valor]],-1*cmf[[#This Row],[Valor]])</f>
        <v>-81701.2</v>
      </c>
      <c r="L1258" s="524" t="s">
        <v>1207</v>
      </c>
      <c r="M1258" s="524" t="s">
        <v>1208</v>
      </c>
      <c r="N1258" s="524" t="s">
        <v>1171</v>
      </c>
      <c r="O1258" s="524" t="s">
        <v>1172</v>
      </c>
      <c r="P1258" s="526"/>
      <c r="S1258" s="527">
        <v>0</v>
      </c>
    </row>
    <row r="1259" spans="1:19" x14ac:dyDescent="0.2">
      <c r="A1259" s="524">
        <v>69744</v>
      </c>
      <c r="B1259" s="526">
        <v>46219</v>
      </c>
      <c r="C1259" s="524" t="s">
        <v>1148</v>
      </c>
      <c r="D1259" s="524" t="s">
        <v>1205</v>
      </c>
      <c r="E1259" s="524" t="s">
        <v>1330</v>
      </c>
      <c r="F1259" s="524" t="s">
        <v>1183</v>
      </c>
      <c r="G1259" s="524" t="s">
        <v>742</v>
      </c>
      <c r="H1259" s="527">
        <v>81701.2</v>
      </c>
      <c r="I1259" s="524" t="s">
        <v>1148</v>
      </c>
      <c r="J1259" s="524">
        <f>IF(cmf[[#This Row],[D/C]]="C",cmf[[#This Row],[Valor]],-1*cmf[[#This Row],[Valor]])</f>
        <v>81701.2</v>
      </c>
      <c r="L1259" s="524" t="s">
        <v>1207</v>
      </c>
      <c r="M1259" s="524" t="s">
        <v>1208</v>
      </c>
      <c r="N1259" s="524" t="s">
        <v>1215</v>
      </c>
      <c r="O1259" s="524" t="s">
        <v>1218</v>
      </c>
      <c r="P1259" s="526">
        <v>46219</v>
      </c>
      <c r="S1259" s="527">
        <v>0</v>
      </c>
    </row>
    <row r="1260" spans="1:19" x14ac:dyDescent="0.2">
      <c r="A1260" s="524">
        <v>69748</v>
      </c>
      <c r="B1260" s="526">
        <v>46219</v>
      </c>
      <c r="C1260" s="524" t="s">
        <v>1162</v>
      </c>
      <c r="D1260" s="524" t="s">
        <v>1186</v>
      </c>
      <c r="E1260" s="524" t="s">
        <v>1988</v>
      </c>
      <c r="F1260" s="524" t="s">
        <v>1170</v>
      </c>
      <c r="G1260" s="524" t="s">
        <v>781</v>
      </c>
      <c r="H1260" s="527">
        <v>1523.8</v>
      </c>
      <c r="I1260" s="524" t="s">
        <v>1174</v>
      </c>
      <c r="J1260" s="524">
        <f>IF(cmf[[#This Row],[D/C]]="C",cmf[[#This Row],[Valor]],-1*cmf[[#This Row],[Valor]])</f>
        <v>-1523.8</v>
      </c>
      <c r="L1260" s="524" t="s">
        <v>1188</v>
      </c>
      <c r="M1260" s="524" t="s">
        <v>1189</v>
      </c>
      <c r="N1260" s="524" t="s">
        <v>1209</v>
      </c>
      <c r="O1260" s="524" t="s">
        <v>1210</v>
      </c>
      <c r="P1260" s="526"/>
      <c r="S1260" s="527">
        <v>0</v>
      </c>
    </row>
    <row r="1261" spans="1:19" x14ac:dyDescent="0.2">
      <c r="A1261" s="524">
        <v>69749</v>
      </c>
      <c r="B1261" s="526">
        <v>46219</v>
      </c>
      <c r="C1261" s="524" t="s">
        <v>1148</v>
      </c>
      <c r="D1261" s="524" t="s">
        <v>1186</v>
      </c>
      <c r="E1261" s="524" t="s">
        <v>1989</v>
      </c>
      <c r="F1261" s="524" t="s">
        <v>1183</v>
      </c>
      <c r="G1261" s="524" t="s">
        <v>803</v>
      </c>
      <c r="H1261" s="527">
        <v>499.93</v>
      </c>
      <c r="I1261" s="524" t="s">
        <v>1174</v>
      </c>
      <c r="J1261" s="524">
        <f>IF(cmf[[#This Row],[D/C]]="C",cmf[[#This Row],[Valor]],-1*cmf[[#This Row],[Valor]])</f>
        <v>-499.93</v>
      </c>
      <c r="L1261" s="524" t="s">
        <v>1188</v>
      </c>
      <c r="M1261" s="524" t="s">
        <v>1189</v>
      </c>
      <c r="N1261" s="524" t="s">
        <v>1192</v>
      </c>
      <c r="O1261" s="524" t="s">
        <v>1193</v>
      </c>
      <c r="P1261" s="526">
        <v>46219</v>
      </c>
      <c r="S1261" s="527">
        <v>0</v>
      </c>
    </row>
    <row r="1262" spans="1:19" x14ac:dyDescent="0.2">
      <c r="A1262" s="524">
        <v>69750</v>
      </c>
      <c r="B1262" s="526">
        <v>46219</v>
      </c>
      <c r="C1262" s="524" t="s">
        <v>1148</v>
      </c>
      <c r="D1262" s="524" t="s">
        <v>1186</v>
      </c>
      <c r="E1262" s="524" t="s">
        <v>1990</v>
      </c>
      <c r="F1262" s="524" t="s">
        <v>1183</v>
      </c>
      <c r="G1262" s="524" t="s">
        <v>803</v>
      </c>
      <c r="H1262" s="527">
        <v>1040</v>
      </c>
      <c r="I1262" s="524" t="s">
        <v>1174</v>
      </c>
      <c r="J1262" s="524">
        <f>IF(cmf[[#This Row],[D/C]]="C",cmf[[#This Row],[Valor]],-1*cmf[[#This Row],[Valor]])</f>
        <v>-1040</v>
      </c>
      <c r="L1262" s="524" t="s">
        <v>1188</v>
      </c>
      <c r="M1262" s="524" t="s">
        <v>1189</v>
      </c>
      <c r="N1262" s="524" t="s">
        <v>1192</v>
      </c>
      <c r="O1262" s="524" t="s">
        <v>1193</v>
      </c>
      <c r="P1262" s="526">
        <v>46219</v>
      </c>
      <c r="S1262" s="527">
        <v>0</v>
      </c>
    </row>
    <row r="1263" spans="1:19" x14ac:dyDescent="0.2">
      <c r="A1263" s="524">
        <v>69751</v>
      </c>
      <c r="B1263" s="526">
        <v>46219</v>
      </c>
      <c r="C1263" s="524" t="s">
        <v>1148</v>
      </c>
      <c r="D1263" s="524" t="s">
        <v>1186</v>
      </c>
      <c r="E1263" s="524" t="s">
        <v>1991</v>
      </c>
      <c r="F1263" s="524" t="s">
        <v>1183</v>
      </c>
      <c r="G1263" s="524" t="s">
        <v>803</v>
      </c>
      <c r="H1263" s="527">
        <v>330</v>
      </c>
      <c r="I1263" s="524" t="s">
        <v>1174</v>
      </c>
      <c r="J1263" s="524">
        <f>IF(cmf[[#This Row],[D/C]]="C",cmf[[#This Row],[Valor]],-1*cmf[[#This Row],[Valor]])</f>
        <v>-330</v>
      </c>
      <c r="L1263" s="524" t="s">
        <v>1188</v>
      </c>
      <c r="M1263" s="524" t="s">
        <v>1189</v>
      </c>
      <c r="N1263" s="524" t="s">
        <v>1192</v>
      </c>
      <c r="O1263" s="524" t="s">
        <v>1193</v>
      </c>
      <c r="P1263" s="526">
        <v>46219</v>
      </c>
      <c r="S1263" s="527">
        <v>0</v>
      </c>
    </row>
    <row r="1264" spans="1:19" x14ac:dyDescent="0.2">
      <c r="A1264" s="524">
        <v>69752</v>
      </c>
      <c r="B1264" s="526">
        <v>46219</v>
      </c>
      <c r="C1264" s="524" t="s">
        <v>1148</v>
      </c>
      <c r="D1264" s="524" t="s">
        <v>1186</v>
      </c>
      <c r="E1264" s="524" t="s">
        <v>1992</v>
      </c>
      <c r="F1264" s="524" t="s">
        <v>1183</v>
      </c>
      <c r="G1264" s="524" t="s">
        <v>803</v>
      </c>
      <c r="H1264" s="527">
        <v>1846.56</v>
      </c>
      <c r="I1264" s="524" t="s">
        <v>1174</v>
      </c>
      <c r="J1264" s="524">
        <f>IF(cmf[[#This Row],[D/C]]="C",cmf[[#This Row],[Valor]],-1*cmf[[#This Row],[Valor]])</f>
        <v>-1846.56</v>
      </c>
      <c r="L1264" s="524" t="s">
        <v>1188</v>
      </c>
      <c r="M1264" s="524" t="s">
        <v>1189</v>
      </c>
      <c r="N1264" s="524" t="s">
        <v>1192</v>
      </c>
      <c r="O1264" s="524" t="s">
        <v>1193</v>
      </c>
      <c r="P1264" s="526">
        <v>46219</v>
      </c>
      <c r="S1264" s="527">
        <v>0</v>
      </c>
    </row>
    <row r="1265" spans="1:19" x14ac:dyDescent="0.2">
      <c r="A1265" s="524">
        <v>69753</v>
      </c>
      <c r="B1265" s="526">
        <v>46219</v>
      </c>
      <c r="C1265" s="524" t="s">
        <v>1148</v>
      </c>
      <c r="D1265" s="524" t="s">
        <v>1186</v>
      </c>
      <c r="E1265" s="524" t="s">
        <v>1993</v>
      </c>
      <c r="F1265" s="524" t="s">
        <v>1183</v>
      </c>
      <c r="G1265" s="524" t="s">
        <v>803</v>
      </c>
      <c r="H1265" s="527">
        <v>2000</v>
      </c>
      <c r="I1265" s="524" t="s">
        <v>1174</v>
      </c>
      <c r="J1265" s="524">
        <f>IF(cmf[[#This Row],[D/C]]="C",cmf[[#This Row],[Valor]],-1*cmf[[#This Row],[Valor]])</f>
        <v>-2000</v>
      </c>
      <c r="L1265" s="524" t="s">
        <v>1188</v>
      </c>
      <c r="M1265" s="524" t="s">
        <v>1189</v>
      </c>
      <c r="N1265" s="524" t="s">
        <v>1192</v>
      </c>
      <c r="O1265" s="524" t="s">
        <v>1193</v>
      </c>
      <c r="P1265" s="526">
        <v>46219</v>
      </c>
      <c r="S1265" s="527">
        <v>0</v>
      </c>
    </row>
    <row r="1266" spans="1:19" x14ac:dyDescent="0.2">
      <c r="A1266" s="524">
        <v>69754</v>
      </c>
      <c r="B1266" s="526">
        <v>46219</v>
      </c>
      <c r="C1266" s="524" t="s">
        <v>1148</v>
      </c>
      <c r="D1266" s="524" t="s">
        <v>1186</v>
      </c>
      <c r="E1266" s="524" t="s">
        <v>1994</v>
      </c>
      <c r="F1266" s="524" t="s">
        <v>1183</v>
      </c>
      <c r="G1266" s="524" t="s">
        <v>803</v>
      </c>
      <c r="H1266" s="527">
        <v>514.89</v>
      </c>
      <c r="I1266" s="524" t="s">
        <v>1174</v>
      </c>
      <c r="J1266" s="524">
        <f>IF(cmf[[#This Row],[D/C]]="C",cmf[[#This Row],[Valor]],-1*cmf[[#This Row],[Valor]])</f>
        <v>-514.89</v>
      </c>
      <c r="L1266" s="524" t="s">
        <v>1188</v>
      </c>
      <c r="M1266" s="524" t="s">
        <v>1189</v>
      </c>
      <c r="N1266" s="524" t="s">
        <v>1192</v>
      </c>
      <c r="O1266" s="524" t="s">
        <v>1193</v>
      </c>
      <c r="P1266" s="526">
        <v>46219</v>
      </c>
      <c r="S1266" s="527">
        <v>0</v>
      </c>
    </row>
    <row r="1267" spans="1:19" x14ac:dyDescent="0.2">
      <c r="A1267" s="524">
        <v>69755</v>
      </c>
      <c r="B1267" s="526">
        <v>46219</v>
      </c>
      <c r="C1267" s="524" t="s">
        <v>1148</v>
      </c>
      <c r="D1267" s="524" t="s">
        <v>1186</v>
      </c>
      <c r="E1267" s="524" t="s">
        <v>1995</v>
      </c>
      <c r="F1267" s="524" t="s">
        <v>1183</v>
      </c>
      <c r="G1267" s="524" t="s">
        <v>803</v>
      </c>
      <c r="H1267" s="527">
        <v>817.44</v>
      </c>
      <c r="I1267" s="524" t="s">
        <v>1174</v>
      </c>
      <c r="J1267" s="524">
        <f>IF(cmf[[#This Row],[D/C]]="C",cmf[[#This Row],[Valor]],-1*cmf[[#This Row],[Valor]])</f>
        <v>-817.44</v>
      </c>
      <c r="L1267" s="524" t="s">
        <v>1188</v>
      </c>
      <c r="M1267" s="524" t="s">
        <v>1189</v>
      </c>
      <c r="N1267" s="524" t="s">
        <v>1192</v>
      </c>
      <c r="O1267" s="524" t="s">
        <v>1193</v>
      </c>
      <c r="P1267" s="526">
        <v>46219</v>
      </c>
      <c r="S1267" s="527">
        <v>0</v>
      </c>
    </row>
    <row r="1268" spans="1:19" x14ac:dyDescent="0.2">
      <c r="A1268" s="524">
        <v>69756</v>
      </c>
      <c r="B1268" s="526">
        <v>46219</v>
      </c>
      <c r="C1268" s="524" t="s">
        <v>1148</v>
      </c>
      <c r="D1268" s="524" t="s">
        <v>1186</v>
      </c>
      <c r="E1268" s="524" t="s">
        <v>1996</v>
      </c>
      <c r="F1268" s="524" t="s">
        <v>1183</v>
      </c>
      <c r="G1268" s="524" t="s">
        <v>803</v>
      </c>
      <c r="H1268" s="527">
        <v>410</v>
      </c>
      <c r="I1268" s="524" t="s">
        <v>1174</v>
      </c>
      <c r="J1268" s="524">
        <f>IF(cmf[[#This Row],[D/C]]="C",cmf[[#This Row],[Valor]],-1*cmf[[#This Row],[Valor]])</f>
        <v>-410</v>
      </c>
      <c r="L1268" s="524" t="s">
        <v>1188</v>
      </c>
      <c r="M1268" s="524" t="s">
        <v>1189</v>
      </c>
      <c r="N1268" s="524" t="s">
        <v>1192</v>
      </c>
      <c r="O1268" s="524" t="s">
        <v>1193</v>
      </c>
      <c r="P1268" s="526">
        <v>46219</v>
      </c>
      <c r="S1268" s="527">
        <v>0</v>
      </c>
    </row>
    <row r="1269" spans="1:19" x14ac:dyDescent="0.2">
      <c r="A1269" s="524">
        <v>69757</v>
      </c>
      <c r="B1269" s="526">
        <v>46219</v>
      </c>
      <c r="C1269" s="524" t="s">
        <v>1148</v>
      </c>
      <c r="D1269" s="524" t="s">
        <v>1186</v>
      </c>
      <c r="E1269" s="524" t="s">
        <v>1997</v>
      </c>
      <c r="F1269" s="524" t="s">
        <v>1183</v>
      </c>
      <c r="G1269" s="524" t="s">
        <v>803</v>
      </c>
      <c r="H1269" s="527">
        <v>961.5</v>
      </c>
      <c r="I1269" s="524" t="s">
        <v>1174</v>
      </c>
      <c r="J1269" s="524">
        <f>IF(cmf[[#This Row],[D/C]]="C",cmf[[#This Row],[Valor]],-1*cmf[[#This Row],[Valor]])</f>
        <v>-961.5</v>
      </c>
      <c r="L1269" s="524" t="s">
        <v>1188</v>
      </c>
      <c r="M1269" s="524" t="s">
        <v>1189</v>
      </c>
      <c r="N1269" s="524" t="s">
        <v>1192</v>
      </c>
      <c r="O1269" s="524" t="s">
        <v>1193</v>
      </c>
      <c r="P1269" s="526">
        <v>46219</v>
      </c>
      <c r="S1269" s="527">
        <v>0</v>
      </c>
    </row>
    <row r="1270" spans="1:19" x14ac:dyDescent="0.2">
      <c r="A1270" s="524">
        <v>69758</v>
      </c>
      <c r="B1270" s="526">
        <v>46219</v>
      </c>
      <c r="C1270" s="524" t="s">
        <v>1148</v>
      </c>
      <c r="D1270" s="524" t="s">
        <v>1186</v>
      </c>
      <c r="E1270" s="524" t="s">
        <v>1998</v>
      </c>
      <c r="F1270" s="524" t="s">
        <v>1183</v>
      </c>
      <c r="G1270" s="524" t="s">
        <v>803</v>
      </c>
      <c r="H1270" s="527">
        <v>1416.9</v>
      </c>
      <c r="I1270" s="524" t="s">
        <v>1174</v>
      </c>
      <c r="J1270" s="524">
        <f>IF(cmf[[#This Row],[D/C]]="C",cmf[[#This Row],[Valor]],-1*cmf[[#This Row],[Valor]])</f>
        <v>-1416.9</v>
      </c>
      <c r="L1270" s="524" t="s">
        <v>1188</v>
      </c>
      <c r="M1270" s="524" t="s">
        <v>1189</v>
      </c>
      <c r="N1270" s="524" t="s">
        <v>1192</v>
      </c>
      <c r="O1270" s="524" t="s">
        <v>1193</v>
      </c>
      <c r="P1270" s="526">
        <v>46219</v>
      </c>
      <c r="S1270" s="527">
        <v>0</v>
      </c>
    </row>
    <row r="1271" spans="1:19" x14ac:dyDescent="0.2">
      <c r="A1271" s="524">
        <v>69761</v>
      </c>
      <c r="B1271" s="526">
        <v>46219</v>
      </c>
      <c r="C1271" s="524" t="s">
        <v>1148</v>
      </c>
      <c r="D1271" s="524" t="s">
        <v>1186</v>
      </c>
      <c r="E1271" s="524" t="s">
        <v>1999</v>
      </c>
      <c r="F1271" s="524" t="s">
        <v>1183</v>
      </c>
      <c r="G1271" s="524" t="s">
        <v>800</v>
      </c>
      <c r="H1271" s="527">
        <v>5687.4</v>
      </c>
      <c r="I1271" s="524" t="s">
        <v>1174</v>
      </c>
      <c r="J1271" s="524">
        <f>IF(cmf[[#This Row],[D/C]]="C",cmf[[#This Row],[Valor]],-1*cmf[[#This Row],[Valor]])</f>
        <v>-5687.4</v>
      </c>
      <c r="L1271" s="524" t="s">
        <v>1188</v>
      </c>
      <c r="M1271" s="524" t="s">
        <v>1189</v>
      </c>
      <c r="N1271" s="524" t="s">
        <v>1171</v>
      </c>
      <c r="O1271" s="524" t="s">
        <v>1172</v>
      </c>
      <c r="P1271" s="526">
        <v>46219</v>
      </c>
      <c r="S1271" s="527">
        <v>0</v>
      </c>
    </row>
    <row r="1272" spans="1:19" x14ac:dyDescent="0.2">
      <c r="A1272" s="524">
        <v>69762</v>
      </c>
      <c r="B1272" s="526">
        <v>46219</v>
      </c>
      <c r="C1272" s="524" t="s">
        <v>1148</v>
      </c>
      <c r="D1272" s="524" t="s">
        <v>1186</v>
      </c>
      <c r="E1272" s="524" t="s">
        <v>2000</v>
      </c>
      <c r="F1272" s="524" t="s">
        <v>1183</v>
      </c>
      <c r="G1272" s="524" t="s">
        <v>800</v>
      </c>
      <c r="H1272" s="527">
        <v>2400</v>
      </c>
      <c r="I1272" s="524" t="s">
        <v>1174</v>
      </c>
      <c r="J1272" s="524">
        <f>IF(cmf[[#This Row],[D/C]]="C",cmf[[#This Row],[Valor]],-1*cmf[[#This Row],[Valor]])</f>
        <v>-2400</v>
      </c>
      <c r="L1272" s="524" t="s">
        <v>1188</v>
      </c>
      <c r="M1272" s="524" t="s">
        <v>1189</v>
      </c>
      <c r="N1272" s="524" t="s">
        <v>1171</v>
      </c>
      <c r="O1272" s="524" t="s">
        <v>1172</v>
      </c>
      <c r="P1272" s="526">
        <v>46219</v>
      </c>
      <c r="S1272" s="527">
        <v>0</v>
      </c>
    </row>
    <row r="1273" spans="1:19" x14ac:dyDescent="0.2">
      <c r="A1273" s="524">
        <v>69763</v>
      </c>
      <c r="B1273" s="526">
        <v>46219</v>
      </c>
      <c r="C1273" s="524" t="s">
        <v>1148</v>
      </c>
      <c r="D1273" s="524" t="s">
        <v>1186</v>
      </c>
      <c r="E1273" s="524" t="s">
        <v>2001</v>
      </c>
      <c r="F1273" s="524" t="s">
        <v>1183</v>
      </c>
      <c r="G1273" s="524" t="s">
        <v>800</v>
      </c>
      <c r="H1273" s="527">
        <v>10006.66</v>
      </c>
      <c r="I1273" s="524" t="s">
        <v>1174</v>
      </c>
      <c r="J1273" s="524">
        <f>IF(cmf[[#This Row],[D/C]]="C",cmf[[#This Row],[Valor]],-1*cmf[[#This Row],[Valor]])</f>
        <v>-10006.66</v>
      </c>
      <c r="L1273" s="524" t="s">
        <v>1188</v>
      </c>
      <c r="M1273" s="524" t="s">
        <v>1189</v>
      </c>
      <c r="N1273" s="524" t="s">
        <v>1171</v>
      </c>
      <c r="O1273" s="524" t="s">
        <v>1172</v>
      </c>
      <c r="P1273" s="526">
        <v>46219</v>
      </c>
      <c r="S1273" s="527">
        <v>0</v>
      </c>
    </row>
    <row r="1274" spans="1:19" x14ac:dyDescent="0.2">
      <c r="A1274" s="524">
        <v>69764</v>
      </c>
      <c r="B1274" s="526">
        <v>46219</v>
      </c>
      <c r="C1274" s="524" t="s">
        <v>1148</v>
      </c>
      <c r="D1274" s="524" t="s">
        <v>1186</v>
      </c>
      <c r="E1274" s="524" t="s">
        <v>2002</v>
      </c>
      <c r="F1274" s="524" t="s">
        <v>1183</v>
      </c>
      <c r="G1274" s="524" t="s">
        <v>800</v>
      </c>
      <c r="H1274" s="527">
        <v>319.49</v>
      </c>
      <c r="I1274" s="524" t="s">
        <v>1174</v>
      </c>
      <c r="J1274" s="524">
        <f>IF(cmf[[#This Row],[D/C]]="C",cmf[[#This Row],[Valor]],-1*cmf[[#This Row],[Valor]])</f>
        <v>-319.49</v>
      </c>
      <c r="L1274" s="524" t="s">
        <v>1188</v>
      </c>
      <c r="M1274" s="524" t="s">
        <v>1189</v>
      </c>
      <c r="N1274" s="524" t="s">
        <v>1171</v>
      </c>
      <c r="O1274" s="524" t="s">
        <v>1172</v>
      </c>
      <c r="P1274" s="526">
        <v>46219</v>
      </c>
      <c r="S1274" s="527">
        <v>0</v>
      </c>
    </row>
    <row r="1275" spans="1:19" x14ac:dyDescent="0.2">
      <c r="A1275" s="524">
        <v>69765</v>
      </c>
      <c r="B1275" s="526">
        <v>46219</v>
      </c>
      <c r="C1275" s="524" t="s">
        <v>1148</v>
      </c>
      <c r="D1275" s="524" t="s">
        <v>1186</v>
      </c>
      <c r="E1275" s="524" t="s">
        <v>2003</v>
      </c>
      <c r="F1275" s="524" t="s">
        <v>1183</v>
      </c>
      <c r="G1275" s="524" t="s">
        <v>800</v>
      </c>
      <c r="H1275" s="527">
        <v>6107.1</v>
      </c>
      <c r="I1275" s="524" t="s">
        <v>1174</v>
      </c>
      <c r="J1275" s="524">
        <f>IF(cmf[[#This Row],[D/C]]="C",cmf[[#This Row],[Valor]],-1*cmf[[#This Row],[Valor]])</f>
        <v>-6107.1</v>
      </c>
      <c r="L1275" s="524" t="s">
        <v>1188</v>
      </c>
      <c r="M1275" s="524" t="s">
        <v>1189</v>
      </c>
      <c r="N1275" s="524" t="s">
        <v>1171</v>
      </c>
      <c r="O1275" s="524" t="s">
        <v>1172</v>
      </c>
      <c r="P1275" s="526">
        <v>46219</v>
      </c>
      <c r="S1275" s="527">
        <v>0</v>
      </c>
    </row>
    <row r="1276" spans="1:19" x14ac:dyDescent="0.2">
      <c r="A1276" s="524">
        <v>69766</v>
      </c>
      <c r="B1276" s="526">
        <v>46219</v>
      </c>
      <c r="C1276" s="524" t="s">
        <v>1148</v>
      </c>
      <c r="D1276" s="524" t="s">
        <v>1186</v>
      </c>
      <c r="E1276" s="524" t="s">
        <v>2004</v>
      </c>
      <c r="F1276" s="524" t="s">
        <v>1183</v>
      </c>
      <c r="G1276" s="524" t="s">
        <v>766</v>
      </c>
      <c r="H1276" s="527">
        <v>1502.52</v>
      </c>
      <c r="I1276" s="524" t="s">
        <v>1174</v>
      </c>
      <c r="J1276" s="524">
        <f>IF(cmf[[#This Row],[D/C]]="C",cmf[[#This Row],[Valor]],-1*cmf[[#This Row],[Valor]])</f>
        <v>-1502.52</v>
      </c>
      <c r="L1276" s="524" t="s">
        <v>1188</v>
      </c>
      <c r="M1276" s="524" t="s">
        <v>1189</v>
      </c>
      <c r="N1276" s="524" t="s">
        <v>1200</v>
      </c>
      <c r="O1276" s="524" t="s">
        <v>1201</v>
      </c>
      <c r="P1276" s="526">
        <v>46219</v>
      </c>
      <c r="S1276" s="527">
        <v>0</v>
      </c>
    </row>
    <row r="1277" spans="1:19" x14ac:dyDescent="0.2">
      <c r="A1277" s="524">
        <v>69767</v>
      </c>
      <c r="B1277" s="526">
        <v>46219</v>
      </c>
      <c r="C1277" s="524" t="s">
        <v>1148</v>
      </c>
      <c r="D1277" s="524" t="s">
        <v>1186</v>
      </c>
      <c r="E1277" s="524" t="s">
        <v>2005</v>
      </c>
      <c r="F1277" s="524" t="s">
        <v>1183</v>
      </c>
      <c r="G1277" s="524" t="s">
        <v>766</v>
      </c>
      <c r="H1277" s="527">
        <v>1739.92</v>
      </c>
      <c r="I1277" s="524" t="s">
        <v>1174</v>
      </c>
      <c r="J1277" s="524">
        <f>IF(cmf[[#This Row],[D/C]]="C",cmf[[#This Row],[Valor]],-1*cmf[[#This Row],[Valor]])</f>
        <v>-1739.92</v>
      </c>
      <c r="L1277" s="524" t="s">
        <v>1188</v>
      </c>
      <c r="M1277" s="524" t="s">
        <v>1189</v>
      </c>
      <c r="N1277" s="524" t="s">
        <v>1200</v>
      </c>
      <c r="O1277" s="524" t="s">
        <v>1201</v>
      </c>
      <c r="P1277" s="526">
        <v>46219</v>
      </c>
      <c r="S1277" s="527">
        <v>0</v>
      </c>
    </row>
    <row r="1278" spans="1:19" x14ac:dyDescent="0.2">
      <c r="A1278" s="524">
        <v>69768</v>
      </c>
      <c r="B1278" s="526">
        <v>46219</v>
      </c>
      <c r="C1278" s="524" t="s">
        <v>1148</v>
      </c>
      <c r="D1278" s="524" t="s">
        <v>1186</v>
      </c>
      <c r="E1278" s="524" t="s">
        <v>2006</v>
      </c>
      <c r="F1278" s="524" t="s">
        <v>1183</v>
      </c>
      <c r="G1278" s="524" t="s">
        <v>766</v>
      </c>
      <c r="H1278" s="527">
        <v>2000</v>
      </c>
      <c r="I1278" s="524" t="s">
        <v>1174</v>
      </c>
      <c r="J1278" s="524">
        <f>IF(cmf[[#This Row],[D/C]]="C",cmf[[#This Row],[Valor]],-1*cmf[[#This Row],[Valor]])</f>
        <v>-2000</v>
      </c>
      <c r="L1278" s="524" t="s">
        <v>1188</v>
      </c>
      <c r="M1278" s="524" t="s">
        <v>1189</v>
      </c>
      <c r="N1278" s="524" t="s">
        <v>1200</v>
      </c>
      <c r="O1278" s="524" t="s">
        <v>1201</v>
      </c>
      <c r="P1278" s="526">
        <v>46219</v>
      </c>
      <c r="S1278" s="527">
        <v>0</v>
      </c>
    </row>
    <row r="1279" spans="1:19" x14ac:dyDescent="0.2">
      <c r="A1279" s="524">
        <v>69769</v>
      </c>
      <c r="B1279" s="526">
        <v>46219</v>
      </c>
      <c r="C1279" s="524" t="s">
        <v>1148</v>
      </c>
      <c r="D1279" s="524" t="s">
        <v>1186</v>
      </c>
      <c r="E1279" s="524" t="s">
        <v>2007</v>
      </c>
      <c r="F1279" s="524" t="s">
        <v>1183</v>
      </c>
      <c r="G1279" s="524" t="s">
        <v>742</v>
      </c>
      <c r="H1279" s="527">
        <v>2565.77</v>
      </c>
      <c r="I1279" s="524" t="s">
        <v>1174</v>
      </c>
      <c r="J1279" s="524">
        <f>IF(cmf[[#This Row],[D/C]]="C",cmf[[#This Row],[Valor]],-1*cmf[[#This Row],[Valor]])</f>
        <v>-2565.77</v>
      </c>
      <c r="L1279" s="524" t="s">
        <v>1188</v>
      </c>
      <c r="M1279" s="524" t="s">
        <v>1189</v>
      </c>
      <c r="N1279" s="524" t="s">
        <v>1215</v>
      </c>
      <c r="O1279" s="524" t="s">
        <v>1218</v>
      </c>
      <c r="P1279" s="526">
        <v>46219</v>
      </c>
      <c r="S1279" s="527">
        <v>0</v>
      </c>
    </row>
    <row r="1280" spans="1:19" x14ac:dyDescent="0.2">
      <c r="A1280" s="524">
        <v>69770</v>
      </c>
      <c r="B1280" s="526">
        <v>46219</v>
      </c>
      <c r="C1280" s="524" t="s">
        <v>1148</v>
      </c>
      <c r="D1280" s="524" t="s">
        <v>1186</v>
      </c>
      <c r="E1280" s="524" t="s">
        <v>2008</v>
      </c>
      <c r="F1280" s="524" t="s">
        <v>1183</v>
      </c>
      <c r="G1280" s="524" t="s">
        <v>742</v>
      </c>
      <c r="H1280" s="527">
        <v>355.14</v>
      </c>
      <c r="I1280" s="524" t="s">
        <v>1174</v>
      </c>
      <c r="J1280" s="524">
        <f>IF(cmf[[#This Row],[D/C]]="C",cmf[[#This Row],[Valor]],-1*cmf[[#This Row],[Valor]])</f>
        <v>-355.14</v>
      </c>
      <c r="L1280" s="524" t="s">
        <v>1188</v>
      </c>
      <c r="M1280" s="524" t="s">
        <v>1189</v>
      </c>
      <c r="N1280" s="524" t="s">
        <v>1215</v>
      </c>
      <c r="O1280" s="524" t="s">
        <v>1218</v>
      </c>
      <c r="P1280" s="526">
        <v>46219</v>
      </c>
      <c r="S1280" s="527">
        <v>0</v>
      </c>
    </row>
    <row r="1281" spans="1:19" x14ac:dyDescent="0.2">
      <c r="A1281" s="524">
        <v>69771</v>
      </c>
      <c r="B1281" s="526">
        <v>46219</v>
      </c>
      <c r="C1281" s="524" t="s">
        <v>1148</v>
      </c>
      <c r="D1281" s="524" t="s">
        <v>1186</v>
      </c>
      <c r="E1281" s="524" t="s">
        <v>2009</v>
      </c>
      <c r="F1281" s="524" t="s">
        <v>1183</v>
      </c>
      <c r="G1281" s="524" t="s">
        <v>742</v>
      </c>
      <c r="H1281" s="527">
        <v>167.09</v>
      </c>
      <c r="I1281" s="524" t="s">
        <v>1174</v>
      </c>
      <c r="J1281" s="524">
        <f>IF(cmf[[#This Row],[D/C]]="C",cmf[[#This Row],[Valor]],-1*cmf[[#This Row],[Valor]])</f>
        <v>-167.09</v>
      </c>
      <c r="L1281" s="524" t="s">
        <v>1188</v>
      </c>
      <c r="M1281" s="524" t="s">
        <v>1189</v>
      </c>
      <c r="N1281" s="524" t="s">
        <v>1215</v>
      </c>
      <c r="O1281" s="524" t="s">
        <v>1218</v>
      </c>
      <c r="P1281" s="526">
        <v>46219</v>
      </c>
      <c r="S1281" s="527">
        <v>0</v>
      </c>
    </row>
    <row r="1282" spans="1:19" x14ac:dyDescent="0.2">
      <c r="A1282" s="524">
        <v>69772</v>
      </c>
      <c r="B1282" s="526">
        <v>46219</v>
      </c>
      <c r="C1282" s="524" t="s">
        <v>1148</v>
      </c>
      <c r="D1282" s="524" t="s">
        <v>1186</v>
      </c>
      <c r="E1282" s="524" t="s">
        <v>2010</v>
      </c>
      <c r="F1282" s="524" t="s">
        <v>1183</v>
      </c>
      <c r="G1282" s="524" t="s">
        <v>742</v>
      </c>
      <c r="H1282" s="527">
        <v>982.91</v>
      </c>
      <c r="I1282" s="524" t="s">
        <v>1174</v>
      </c>
      <c r="J1282" s="524">
        <f>IF(cmf[[#This Row],[D/C]]="C",cmf[[#This Row],[Valor]],-1*cmf[[#This Row],[Valor]])</f>
        <v>-982.91</v>
      </c>
      <c r="L1282" s="524" t="s">
        <v>1188</v>
      </c>
      <c r="M1282" s="524" t="s">
        <v>1189</v>
      </c>
      <c r="N1282" s="524" t="s">
        <v>1215</v>
      </c>
      <c r="O1282" s="524" t="s">
        <v>1218</v>
      </c>
      <c r="P1282" s="526">
        <v>46219</v>
      </c>
      <c r="S1282" s="527">
        <v>0</v>
      </c>
    </row>
    <row r="1283" spans="1:19" x14ac:dyDescent="0.2">
      <c r="A1283" s="524">
        <v>69775</v>
      </c>
      <c r="B1283" s="526">
        <v>46219</v>
      </c>
      <c r="C1283" s="524" t="s">
        <v>1148</v>
      </c>
      <c r="D1283" s="524" t="s">
        <v>1186</v>
      </c>
      <c r="E1283" s="524" t="s">
        <v>2011</v>
      </c>
      <c r="F1283" s="524" t="s">
        <v>1183</v>
      </c>
      <c r="G1283" s="524" t="s">
        <v>742</v>
      </c>
      <c r="H1283" s="527">
        <v>125.7</v>
      </c>
      <c r="I1283" s="524" t="s">
        <v>1174</v>
      </c>
      <c r="J1283" s="524">
        <f>IF(cmf[[#This Row],[D/C]]="C",cmf[[#This Row],[Valor]],-1*cmf[[#This Row],[Valor]])</f>
        <v>-125.7</v>
      </c>
      <c r="L1283" s="524" t="s">
        <v>1188</v>
      </c>
      <c r="M1283" s="524" t="s">
        <v>1189</v>
      </c>
      <c r="N1283" s="524" t="s">
        <v>1215</v>
      </c>
      <c r="O1283" s="524" t="s">
        <v>1218</v>
      </c>
      <c r="P1283" s="526">
        <v>46219</v>
      </c>
      <c r="S1283" s="527">
        <v>0</v>
      </c>
    </row>
    <row r="1284" spans="1:19" x14ac:dyDescent="0.2">
      <c r="A1284" s="524">
        <v>69776</v>
      </c>
      <c r="B1284" s="526">
        <v>46219</v>
      </c>
      <c r="C1284" s="524" t="s">
        <v>1148</v>
      </c>
      <c r="D1284" s="524" t="s">
        <v>1186</v>
      </c>
      <c r="E1284" s="524" t="s">
        <v>2012</v>
      </c>
      <c r="F1284" s="524" t="s">
        <v>1183</v>
      </c>
      <c r="G1284" s="524" t="s">
        <v>742</v>
      </c>
      <c r="H1284" s="527">
        <v>149</v>
      </c>
      <c r="I1284" s="524" t="s">
        <v>1174</v>
      </c>
      <c r="J1284" s="524">
        <f>IF(cmf[[#This Row],[D/C]]="C",cmf[[#This Row],[Valor]],-1*cmf[[#This Row],[Valor]])</f>
        <v>-149</v>
      </c>
      <c r="L1284" s="524" t="s">
        <v>1188</v>
      </c>
      <c r="M1284" s="524" t="s">
        <v>1189</v>
      </c>
      <c r="N1284" s="524" t="s">
        <v>1215</v>
      </c>
      <c r="O1284" s="524" t="s">
        <v>1218</v>
      </c>
      <c r="P1284" s="526">
        <v>46219</v>
      </c>
      <c r="S1284" s="527">
        <v>0</v>
      </c>
    </row>
    <row r="1285" spans="1:19" x14ac:dyDescent="0.2">
      <c r="A1285" s="524">
        <v>69777</v>
      </c>
      <c r="B1285" s="526">
        <v>46219</v>
      </c>
      <c r="C1285" s="524" t="s">
        <v>1148</v>
      </c>
      <c r="D1285" s="524" t="s">
        <v>1186</v>
      </c>
      <c r="E1285" s="524" t="s">
        <v>2013</v>
      </c>
      <c r="F1285" s="524" t="s">
        <v>1183</v>
      </c>
      <c r="G1285" s="524" t="s">
        <v>803</v>
      </c>
      <c r="H1285" s="527">
        <v>124.7</v>
      </c>
      <c r="I1285" s="524" t="s">
        <v>1174</v>
      </c>
      <c r="J1285" s="524">
        <f>IF(cmf[[#This Row],[D/C]]="C",cmf[[#This Row],[Valor]],-1*cmf[[#This Row],[Valor]])</f>
        <v>-124.7</v>
      </c>
      <c r="L1285" s="524" t="s">
        <v>1188</v>
      </c>
      <c r="M1285" s="524" t="s">
        <v>1189</v>
      </c>
      <c r="N1285" s="524" t="s">
        <v>1192</v>
      </c>
      <c r="O1285" s="524" t="s">
        <v>1193</v>
      </c>
      <c r="P1285" s="526">
        <v>46219</v>
      </c>
      <c r="S1285" s="527">
        <v>0</v>
      </c>
    </row>
    <row r="1286" spans="1:19" x14ac:dyDescent="0.2">
      <c r="A1286" s="524">
        <v>69791</v>
      </c>
      <c r="B1286" s="526">
        <v>46219</v>
      </c>
      <c r="C1286" s="524" t="s">
        <v>1148</v>
      </c>
      <c r="D1286" s="524" t="s">
        <v>1163</v>
      </c>
      <c r="E1286" s="524" t="s">
        <v>1164</v>
      </c>
      <c r="F1286" s="524" t="s">
        <v>1183</v>
      </c>
      <c r="G1286" s="524" t="s">
        <v>806</v>
      </c>
      <c r="H1286" s="527">
        <v>129500</v>
      </c>
      <c r="I1286" s="524" t="s">
        <v>1148</v>
      </c>
      <c r="J1286" s="524">
        <f>IF(cmf[[#This Row],[D/C]]="C",cmf[[#This Row],[Valor]],-1*cmf[[#This Row],[Valor]])</f>
        <v>129500</v>
      </c>
      <c r="L1286" s="524" t="s">
        <v>1166</v>
      </c>
      <c r="M1286" s="524" t="s">
        <v>1167</v>
      </c>
      <c r="N1286" s="524" t="s">
        <v>1283</v>
      </c>
      <c r="O1286" s="524" t="s">
        <v>1284</v>
      </c>
      <c r="P1286" s="526">
        <v>46219</v>
      </c>
      <c r="S1286" s="527">
        <v>0</v>
      </c>
    </row>
    <row r="1287" spans="1:19" x14ac:dyDescent="0.2">
      <c r="A1287" s="524">
        <v>69792</v>
      </c>
      <c r="B1287" s="526">
        <v>46219</v>
      </c>
      <c r="C1287" s="524" t="s">
        <v>1148</v>
      </c>
      <c r="D1287" s="524" t="s">
        <v>1163</v>
      </c>
      <c r="E1287" s="524" t="s">
        <v>1173</v>
      </c>
      <c r="F1287" s="524" t="s">
        <v>1183</v>
      </c>
      <c r="G1287" s="524" t="s">
        <v>806</v>
      </c>
      <c r="H1287" s="527">
        <v>2.19</v>
      </c>
      <c r="I1287" s="524" t="s">
        <v>1174</v>
      </c>
      <c r="J1287" s="524">
        <f>IF(cmf[[#This Row],[D/C]]="C",cmf[[#This Row],[Valor]],-1*cmf[[#This Row],[Valor]])</f>
        <v>-2.19</v>
      </c>
      <c r="L1287" s="524" t="s">
        <v>1175</v>
      </c>
      <c r="M1287" s="524" t="s">
        <v>1176</v>
      </c>
      <c r="N1287" s="524" t="s">
        <v>1283</v>
      </c>
      <c r="O1287" s="524" t="s">
        <v>1284</v>
      </c>
      <c r="P1287" s="526">
        <v>46219</v>
      </c>
      <c r="S1287" s="527">
        <v>0</v>
      </c>
    </row>
    <row r="1288" spans="1:19" x14ac:dyDescent="0.2">
      <c r="A1288" s="524">
        <v>69803</v>
      </c>
      <c r="B1288" s="526">
        <v>46219</v>
      </c>
      <c r="C1288" s="524" t="s">
        <v>1162</v>
      </c>
      <c r="D1288" s="524" t="s">
        <v>1163</v>
      </c>
      <c r="E1288" s="524" t="s">
        <v>1173</v>
      </c>
      <c r="F1288" s="524" t="s">
        <v>1165</v>
      </c>
      <c r="G1288" s="524" t="s">
        <v>756</v>
      </c>
      <c r="H1288" s="527">
        <v>1.49</v>
      </c>
      <c r="I1288" s="524" t="s">
        <v>1174</v>
      </c>
      <c r="J1288" s="524">
        <f>IF(cmf[[#This Row],[D/C]]="C",cmf[[#This Row],[Valor]],-1*cmf[[#This Row],[Valor]])</f>
        <v>-1.49</v>
      </c>
      <c r="L1288" s="524" t="s">
        <v>1175</v>
      </c>
      <c r="M1288" s="524" t="s">
        <v>1176</v>
      </c>
      <c r="N1288" s="524" t="s">
        <v>1168</v>
      </c>
      <c r="O1288" s="524" t="s">
        <v>1169</v>
      </c>
      <c r="P1288" s="526"/>
      <c r="S1288" s="527">
        <v>0</v>
      </c>
    </row>
    <row r="1289" spans="1:19" x14ac:dyDescent="0.2">
      <c r="A1289" s="524">
        <v>69806</v>
      </c>
      <c r="B1289" s="526">
        <v>46219</v>
      </c>
      <c r="C1289" s="524" t="s">
        <v>1148</v>
      </c>
      <c r="D1289" s="524" t="s">
        <v>1186</v>
      </c>
      <c r="E1289" s="524" t="s">
        <v>2014</v>
      </c>
      <c r="F1289" s="524" t="s">
        <v>1178</v>
      </c>
      <c r="G1289" s="524" t="s">
        <v>1179</v>
      </c>
      <c r="H1289" s="527">
        <v>3264.8</v>
      </c>
      <c r="I1289" s="524" t="s">
        <v>1174</v>
      </c>
      <c r="J1289" s="524">
        <f>IF(cmf[[#This Row],[D/C]]="C",cmf[[#This Row],[Valor]],-1*cmf[[#This Row],[Valor]])</f>
        <v>-3264.8</v>
      </c>
      <c r="L1289" s="524" t="s">
        <v>1188</v>
      </c>
      <c r="M1289" s="524" t="s">
        <v>1189</v>
      </c>
      <c r="N1289" s="524" t="s">
        <v>1180</v>
      </c>
      <c r="O1289" s="524" t="s">
        <v>1181</v>
      </c>
      <c r="P1289" s="526">
        <v>46219</v>
      </c>
      <c r="S1289" s="527">
        <v>0</v>
      </c>
    </row>
    <row r="1290" spans="1:19" x14ac:dyDescent="0.2">
      <c r="A1290" s="524">
        <v>69807</v>
      </c>
      <c r="B1290" s="526">
        <v>46219</v>
      </c>
      <c r="C1290" s="524" t="s">
        <v>1148</v>
      </c>
      <c r="D1290" s="524" t="s">
        <v>1186</v>
      </c>
      <c r="E1290" s="524" t="s">
        <v>2015</v>
      </c>
      <c r="F1290" s="524" t="s">
        <v>1178</v>
      </c>
      <c r="G1290" s="524" t="s">
        <v>1179</v>
      </c>
      <c r="H1290" s="527">
        <v>2814.2</v>
      </c>
      <c r="I1290" s="524" t="s">
        <v>1174</v>
      </c>
      <c r="J1290" s="524">
        <f>IF(cmf[[#This Row],[D/C]]="C",cmf[[#This Row],[Valor]],-1*cmf[[#This Row],[Valor]])</f>
        <v>-2814.2</v>
      </c>
      <c r="L1290" s="524" t="s">
        <v>1188</v>
      </c>
      <c r="M1290" s="524" t="s">
        <v>1189</v>
      </c>
      <c r="N1290" s="524" t="s">
        <v>1180</v>
      </c>
      <c r="O1290" s="524" t="s">
        <v>1181</v>
      </c>
      <c r="P1290" s="526">
        <v>46219</v>
      </c>
      <c r="S1290" s="527">
        <v>0</v>
      </c>
    </row>
    <row r="1291" spans="1:19" x14ac:dyDescent="0.2">
      <c r="A1291" s="524">
        <v>69808</v>
      </c>
      <c r="B1291" s="526">
        <v>46219</v>
      </c>
      <c r="C1291" s="524" t="s">
        <v>1148</v>
      </c>
      <c r="D1291" s="524" t="s">
        <v>1186</v>
      </c>
      <c r="E1291" s="524" t="s">
        <v>2016</v>
      </c>
      <c r="F1291" s="524" t="s">
        <v>1178</v>
      </c>
      <c r="G1291" s="524" t="s">
        <v>1179</v>
      </c>
      <c r="H1291" s="527">
        <v>467</v>
      </c>
      <c r="I1291" s="524" t="s">
        <v>1174</v>
      </c>
      <c r="J1291" s="524">
        <f>IF(cmf[[#This Row],[D/C]]="C",cmf[[#This Row],[Valor]],-1*cmf[[#This Row],[Valor]])</f>
        <v>-467</v>
      </c>
      <c r="L1291" s="524" t="s">
        <v>1188</v>
      </c>
      <c r="M1291" s="524" t="s">
        <v>1189</v>
      </c>
      <c r="N1291" s="524" t="s">
        <v>1180</v>
      </c>
      <c r="O1291" s="524" t="s">
        <v>1181</v>
      </c>
      <c r="P1291" s="526">
        <v>46219</v>
      </c>
      <c r="S1291" s="527">
        <v>0</v>
      </c>
    </row>
    <row r="1292" spans="1:19" x14ac:dyDescent="0.2">
      <c r="A1292" s="524">
        <v>69809</v>
      </c>
      <c r="B1292" s="526">
        <v>46219</v>
      </c>
      <c r="C1292" s="524" t="s">
        <v>1148</v>
      </c>
      <c r="D1292" s="524" t="s">
        <v>1186</v>
      </c>
      <c r="E1292" s="524" t="s">
        <v>2017</v>
      </c>
      <c r="F1292" s="524" t="s">
        <v>1178</v>
      </c>
      <c r="G1292" s="524" t="s">
        <v>1179</v>
      </c>
      <c r="H1292" s="527">
        <v>866.7</v>
      </c>
      <c r="I1292" s="524" t="s">
        <v>1174</v>
      </c>
      <c r="J1292" s="524">
        <f>IF(cmf[[#This Row],[D/C]]="C",cmf[[#This Row],[Valor]],-1*cmf[[#This Row],[Valor]])</f>
        <v>-866.7</v>
      </c>
      <c r="L1292" s="524" t="s">
        <v>1188</v>
      </c>
      <c r="M1292" s="524" t="s">
        <v>1189</v>
      </c>
      <c r="N1292" s="524" t="s">
        <v>1180</v>
      </c>
      <c r="O1292" s="524" t="s">
        <v>1181</v>
      </c>
      <c r="P1292" s="526">
        <v>46219</v>
      </c>
      <c r="S1292" s="527">
        <v>0</v>
      </c>
    </row>
    <row r="1293" spans="1:19" x14ac:dyDescent="0.2">
      <c r="A1293" s="524">
        <v>69810</v>
      </c>
      <c r="B1293" s="526">
        <v>46219</v>
      </c>
      <c r="C1293" s="524" t="s">
        <v>1148</v>
      </c>
      <c r="D1293" s="524" t="s">
        <v>1186</v>
      </c>
      <c r="E1293" s="524" t="s">
        <v>2018</v>
      </c>
      <c r="F1293" s="524" t="s">
        <v>1178</v>
      </c>
      <c r="G1293" s="524" t="s">
        <v>1179</v>
      </c>
      <c r="H1293" s="527">
        <v>347.06</v>
      </c>
      <c r="I1293" s="524" t="s">
        <v>1174</v>
      </c>
      <c r="J1293" s="524">
        <f>IF(cmf[[#This Row],[D/C]]="C",cmf[[#This Row],[Valor]],-1*cmf[[#This Row],[Valor]])</f>
        <v>-347.06</v>
      </c>
      <c r="L1293" s="524" t="s">
        <v>1188</v>
      </c>
      <c r="M1293" s="524" t="s">
        <v>1189</v>
      </c>
      <c r="N1293" s="524" t="s">
        <v>1180</v>
      </c>
      <c r="O1293" s="524" t="s">
        <v>1181</v>
      </c>
      <c r="P1293" s="526">
        <v>46219</v>
      </c>
      <c r="S1293" s="527">
        <v>0</v>
      </c>
    </row>
    <row r="1294" spans="1:19" x14ac:dyDescent="0.2">
      <c r="A1294" s="524">
        <v>69811</v>
      </c>
      <c r="B1294" s="526">
        <v>46219</v>
      </c>
      <c r="C1294" s="524" t="s">
        <v>1148</v>
      </c>
      <c r="D1294" s="524" t="s">
        <v>1186</v>
      </c>
      <c r="E1294" s="524" t="s">
        <v>2019</v>
      </c>
      <c r="F1294" s="524" t="s">
        <v>1178</v>
      </c>
      <c r="G1294" s="524" t="s">
        <v>1179</v>
      </c>
      <c r="H1294" s="527">
        <v>1525.6</v>
      </c>
      <c r="I1294" s="524" t="s">
        <v>1174</v>
      </c>
      <c r="J1294" s="524">
        <f>IF(cmf[[#This Row],[D/C]]="C",cmf[[#This Row],[Valor]],-1*cmf[[#This Row],[Valor]])</f>
        <v>-1525.6</v>
      </c>
      <c r="L1294" s="524" t="s">
        <v>1188</v>
      </c>
      <c r="M1294" s="524" t="s">
        <v>1189</v>
      </c>
      <c r="N1294" s="524" t="s">
        <v>1180</v>
      </c>
      <c r="O1294" s="524" t="s">
        <v>1181</v>
      </c>
      <c r="P1294" s="526">
        <v>46219</v>
      </c>
      <c r="S1294" s="527">
        <v>0</v>
      </c>
    </row>
    <row r="1295" spans="1:19" x14ac:dyDescent="0.2">
      <c r="A1295" s="524">
        <v>69812</v>
      </c>
      <c r="B1295" s="526">
        <v>46219</v>
      </c>
      <c r="C1295" s="524" t="s">
        <v>1148</v>
      </c>
      <c r="D1295" s="524" t="s">
        <v>1186</v>
      </c>
      <c r="E1295" s="524" t="s">
        <v>2020</v>
      </c>
      <c r="F1295" s="524" t="s">
        <v>1178</v>
      </c>
      <c r="G1295" s="524" t="s">
        <v>1179</v>
      </c>
      <c r="H1295" s="527">
        <v>4214.8</v>
      </c>
      <c r="I1295" s="524" t="s">
        <v>1174</v>
      </c>
      <c r="J1295" s="524">
        <f>IF(cmf[[#This Row],[D/C]]="C",cmf[[#This Row],[Valor]],-1*cmf[[#This Row],[Valor]])</f>
        <v>-4214.8</v>
      </c>
      <c r="L1295" s="524" t="s">
        <v>1188</v>
      </c>
      <c r="M1295" s="524" t="s">
        <v>1189</v>
      </c>
      <c r="N1295" s="524" t="s">
        <v>1180</v>
      </c>
      <c r="O1295" s="524" t="s">
        <v>1181</v>
      </c>
      <c r="P1295" s="526">
        <v>46219</v>
      </c>
      <c r="S1295" s="527">
        <v>0</v>
      </c>
    </row>
    <row r="1296" spans="1:19" x14ac:dyDescent="0.2">
      <c r="A1296" s="524">
        <v>69816</v>
      </c>
      <c r="B1296" s="526">
        <v>46219</v>
      </c>
      <c r="C1296" s="524" t="s">
        <v>1148</v>
      </c>
      <c r="D1296" s="524" t="s">
        <v>1186</v>
      </c>
      <c r="E1296" s="524" t="s">
        <v>2021</v>
      </c>
      <c r="F1296" s="524" t="s">
        <v>1183</v>
      </c>
      <c r="G1296" s="524" t="s">
        <v>806</v>
      </c>
      <c r="H1296" s="527">
        <v>5745.49</v>
      </c>
      <c r="I1296" s="524" t="s">
        <v>1174</v>
      </c>
      <c r="J1296" s="524">
        <f>IF(cmf[[#This Row],[D/C]]="C",cmf[[#This Row],[Valor]],-1*cmf[[#This Row],[Valor]])</f>
        <v>-5745.49</v>
      </c>
      <c r="L1296" s="524" t="s">
        <v>1188</v>
      </c>
      <c r="M1296" s="524" t="s">
        <v>1189</v>
      </c>
      <c r="N1296" s="524" t="s">
        <v>1283</v>
      </c>
      <c r="O1296" s="524" t="s">
        <v>1284</v>
      </c>
      <c r="P1296" s="526">
        <v>46219</v>
      </c>
      <c r="S1296" s="527">
        <v>0</v>
      </c>
    </row>
    <row r="1297" spans="1:19" x14ac:dyDescent="0.2">
      <c r="A1297" s="524">
        <v>69822</v>
      </c>
      <c r="B1297" s="526">
        <v>46219</v>
      </c>
      <c r="C1297" s="524" t="s">
        <v>1148</v>
      </c>
      <c r="D1297" s="524" t="s">
        <v>1186</v>
      </c>
      <c r="E1297" s="524" t="s">
        <v>2022</v>
      </c>
      <c r="F1297" s="524" t="s">
        <v>1183</v>
      </c>
      <c r="G1297" s="524" t="s">
        <v>758</v>
      </c>
      <c r="H1297" s="527">
        <v>3800</v>
      </c>
      <c r="I1297" s="524" t="s">
        <v>1174</v>
      </c>
      <c r="J1297" s="524">
        <f>IF(cmf[[#This Row],[D/C]]="C",cmf[[#This Row],[Valor]],-1*cmf[[#This Row],[Valor]])</f>
        <v>-3800</v>
      </c>
      <c r="L1297" s="524" t="s">
        <v>1188</v>
      </c>
      <c r="M1297" s="524" t="s">
        <v>1189</v>
      </c>
      <c r="N1297" s="524" t="s">
        <v>1223</v>
      </c>
      <c r="O1297" s="524" t="s">
        <v>1224</v>
      </c>
      <c r="P1297" s="526">
        <v>46219</v>
      </c>
      <c r="S1297" s="527">
        <v>0</v>
      </c>
    </row>
    <row r="1298" spans="1:19" x14ac:dyDescent="0.2">
      <c r="A1298" s="524">
        <v>69823</v>
      </c>
      <c r="B1298" s="526">
        <v>46219</v>
      </c>
      <c r="C1298" s="524" t="s">
        <v>1148</v>
      </c>
      <c r="D1298" s="524" t="s">
        <v>1186</v>
      </c>
      <c r="E1298" s="524" t="s">
        <v>2023</v>
      </c>
      <c r="F1298" s="524" t="s">
        <v>1183</v>
      </c>
      <c r="G1298" s="524" t="s">
        <v>758</v>
      </c>
      <c r="H1298" s="527">
        <v>472.3</v>
      </c>
      <c r="I1298" s="524" t="s">
        <v>1174</v>
      </c>
      <c r="J1298" s="524">
        <f>IF(cmf[[#This Row],[D/C]]="C",cmf[[#This Row],[Valor]],-1*cmf[[#This Row],[Valor]])</f>
        <v>-472.3</v>
      </c>
      <c r="L1298" s="524" t="s">
        <v>1188</v>
      </c>
      <c r="M1298" s="524" t="s">
        <v>1189</v>
      </c>
      <c r="N1298" s="524" t="s">
        <v>1223</v>
      </c>
      <c r="O1298" s="524" t="s">
        <v>1224</v>
      </c>
      <c r="P1298" s="526">
        <v>46219</v>
      </c>
      <c r="S1298" s="527">
        <v>0</v>
      </c>
    </row>
    <row r="1299" spans="1:19" x14ac:dyDescent="0.2">
      <c r="A1299" s="524">
        <v>69824</v>
      </c>
      <c r="B1299" s="526">
        <v>46219</v>
      </c>
      <c r="C1299" s="524" t="s">
        <v>1148</v>
      </c>
      <c r="D1299" s="524" t="s">
        <v>1186</v>
      </c>
      <c r="E1299" s="524" t="s">
        <v>2024</v>
      </c>
      <c r="F1299" s="524" t="s">
        <v>1183</v>
      </c>
      <c r="G1299" s="524" t="s">
        <v>758</v>
      </c>
      <c r="H1299" s="527">
        <v>348.34</v>
      </c>
      <c r="I1299" s="524" t="s">
        <v>1174</v>
      </c>
      <c r="J1299" s="524">
        <f>IF(cmf[[#This Row],[D/C]]="C",cmf[[#This Row],[Valor]],-1*cmf[[#This Row],[Valor]])</f>
        <v>-348.34</v>
      </c>
      <c r="L1299" s="524" t="s">
        <v>1188</v>
      </c>
      <c r="M1299" s="524" t="s">
        <v>1189</v>
      </c>
      <c r="N1299" s="524" t="s">
        <v>1223</v>
      </c>
      <c r="O1299" s="524" t="s">
        <v>1224</v>
      </c>
      <c r="P1299" s="526">
        <v>46219</v>
      </c>
      <c r="S1299" s="527">
        <v>0</v>
      </c>
    </row>
    <row r="1300" spans="1:19" x14ac:dyDescent="0.2">
      <c r="A1300" s="524">
        <v>69825</v>
      </c>
      <c r="B1300" s="526">
        <v>46219</v>
      </c>
      <c r="C1300" s="524" t="s">
        <v>1148</v>
      </c>
      <c r="D1300" s="524" t="s">
        <v>1186</v>
      </c>
      <c r="E1300" s="524" t="s">
        <v>2025</v>
      </c>
      <c r="F1300" s="524" t="s">
        <v>1183</v>
      </c>
      <c r="G1300" s="524" t="s">
        <v>769</v>
      </c>
      <c r="H1300" s="527">
        <v>27483.88</v>
      </c>
      <c r="I1300" s="524" t="s">
        <v>1174</v>
      </c>
      <c r="J1300" s="524">
        <f>IF(cmf[[#This Row],[D/C]]="C",cmf[[#This Row],[Valor]],-1*cmf[[#This Row],[Valor]])</f>
        <v>-27483.88</v>
      </c>
      <c r="L1300" s="524" t="s">
        <v>1188</v>
      </c>
      <c r="M1300" s="524" t="s">
        <v>1189</v>
      </c>
      <c r="N1300" s="524" t="s">
        <v>1219</v>
      </c>
      <c r="O1300" s="524" t="s">
        <v>1220</v>
      </c>
      <c r="P1300" s="526">
        <v>46219</v>
      </c>
      <c r="S1300" s="527">
        <v>0</v>
      </c>
    </row>
    <row r="1301" spans="1:19" x14ac:dyDescent="0.2">
      <c r="A1301" s="524">
        <v>69826</v>
      </c>
      <c r="B1301" s="526">
        <v>46219</v>
      </c>
      <c r="C1301" s="524" t="s">
        <v>1148</v>
      </c>
      <c r="D1301" s="524" t="s">
        <v>1186</v>
      </c>
      <c r="E1301" s="524" t="s">
        <v>2026</v>
      </c>
      <c r="F1301" s="524" t="s">
        <v>1183</v>
      </c>
      <c r="G1301" s="524" t="s">
        <v>769</v>
      </c>
      <c r="H1301" s="527">
        <v>97</v>
      </c>
      <c r="I1301" s="524" t="s">
        <v>1174</v>
      </c>
      <c r="J1301" s="524">
        <f>IF(cmf[[#This Row],[D/C]]="C",cmf[[#This Row],[Valor]],-1*cmf[[#This Row],[Valor]])</f>
        <v>-97</v>
      </c>
      <c r="L1301" s="524" t="s">
        <v>1188</v>
      </c>
      <c r="M1301" s="524" t="s">
        <v>1189</v>
      </c>
      <c r="N1301" s="524" t="s">
        <v>1219</v>
      </c>
      <c r="O1301" s="524" t="s">
        <v>1220</v>
      </c>
      <c r="P1301" s="526">
        <v>46219</v>
      </c>
      <c r="S1301" s="527">
        <v>0</v>
      </c>
    </row>
    <row r="1302" spans="1:19" x14ac:dyDescent="0.2">
      <c r="A1302" s="524">
        <v>69827</v>
      </c>
      <c r="B1302" s="526">
        <v>46219</v>
      </c>
      <c r="C1302" s="524" t="s">
        <v>1148</v>
      </c>
      <c r="D1302" s="524" t="s">
        <v>1186</v>
      </c>
      <c r="E1302" s="524" t="s">
        <v>2027</v>
      </c>
      <c r="F1302" s="524" t="s">
        <v>1183</v>
      </c>
      <c r="G1302" s="524" t="s">
        <v>769</v>
      </c>
      <c r="H1302" s="527">
        <v>245</v>
      </c>
      <c r="I1302" s="524" t="s">
        <v>1174</v>
      </c>
      <c r="J1302" s="524">
        <f>IF(cmf[[#This Row],[D/C]]="C",cmf[[#This Row],[Valor]],-1*cmf[[#This Row],[Valor]])</f>
        <v>-245</v>
      </c>
      <c r="L1302" s="524" t="s">
        <v>1188</v>
      </c>
      <c r="M1302" s="524" t="s">
        <v>1189</v>
      </c>
      <c r="N1302" s="524" t="s">
        <v>1219</v>
      </c>
      <c r="O1302" s="524" t="s">
        <v>1220</v>
      </c>
      <c r="P1302" s="526">
        <v>46219</v>
      </c>
      <c r="S1302" s="527">
        <v>0</v>
      </c>
    </row>
    <row r="1303" spans="1:19" x14ac:dyDescent="0.2">
      <c r="A1303" s="524">
        <v>69828</v>
      </c>
      <c r="B1303" s="526">
        <v>46219</v>
      </c>
      <c r="C1303" s="524" t="s">
        <v>1148</v>
      </c>
      <c r="D1303" s="524" t="s">
        <v>1186</v>
      </c>
      <c r="E1303" s="524" t="s">
        <v>2028</v>
      </c>
      <c r="F1303" s="524" t="s">
        <v>1183</v>
      </c>
      <c r="G1303" s="524" t="s">
        <v>769</v>
      </c>
      <c r="H1303" s="527">
        <v>1244</v>
      </c>
      <c r="I1303" s="524" t="s">
        <v>1174</v>
      </c>
      <c r="J1303" s="524">
        <f>IF(cmf[[#This Row],[D/C]]="C",cmf[[#This Row],[Valor]],-1*cmf[[#This Row],[Valor]])</f>
        <v>-1244</v>
      </c>
      <c r="L1303" s="524" t="s">
        <v>1188</v>
      </c>
      <c r="M1303" s="524" t="s">
        <v>1189</v>
      </c>
      <c r="N1303" s="524" t="s">
        <v>1219</v>
      </c>
      <c r="O1303" s="524" t="s">
        <v>1220</v>
      </c>
      <c r="P1303" s="526">
        <v>46219</v>
      </c>
      <c r="S1303" s="527">
        <v>0</v>
      </c>
    </row>
    <row r="1304" spans="1:19" x14ac:dyDescent="0.2">
      <c r="A1304" s="524">
        <v>69829</v>
      </c>
      <c r="B1304" s="526">
        <v>46219</v>
      </c>
      <c r="C1304" s="524" t="s">
        <v>1148</v>
      </c>
      <c r="D1304" s="524" t="s">
        <v>1186</v>
      </c>
      <c r="E1304" s="524" t="s">
        <v>2029</v>
      </c>
      <c r="F1304" s="524" t="s">
        <v>1183</v>
      </c>
      <c r="G1304" s="524" t="s">
        <v>769</v>
      </c>
      <c r="H1304" s="527">
        <v>6859.84</v>
      </c>
      <c r="I1304" s="524" t="s">
        <v>1174</v>
      </c>
      <c r="J1304" s="524">
        <f>IF(cmf[[#This Row],[D/C]]="C",cmf[[#This Row],[Valor]],-1*cmf[[#This Row],[Valor]])</f>
        <v>-6859.84</v>
      </c>
      <c r="L1304" s="524" t="s">
        <v>1188</v>
      </c>
      <c r="M1304" s="524" t="s">
        <v>1189</v>
      </c>
      <c r="N1304" s="524" t="s">
        <v>1219</v>
      </c>
      <c r="O1304" s="524" t="s">
        <v>1220</v>
      </c>
      <c r="P1304" s="526">
        <v>46219</v>
      </c>
      <c r="S1304" s="527">
        <v>0</v>
      </c>
    </row>
    <row r="1305" spans="1:19" x14ac:dyDescent="0.2">
      <c r="A1305" s="524">
        <v>69830</v>
      </c>
      <c r="B1305" s="526">
        <v>46219</v>
      </c>
      <c r="C1305" s="524" t="s">
        <v>1148</v>
      </c>
      <c r="D1305" s="524" t="s">
        <v>1186</v>
      </c>
      <c r="E1305" s="524" t="s">
        <v>2030</v>
      </c>
      <c r="F1305" s="524" t="s">
        <v>1183</v>
      </c>
      <c r="G1305" s="524" t="s">
        <v>769</v>
      </c>
      <c r="H1305" s="527">
        <v>5713.6</v>
      </c>
      <c r="I1305" s="524" t="s">
        <v>1174</v>
      </c>
      <c r="J1305" s="524">
        <f>IF(cmf[[#This Row],[D/C]]="C",cmf[[#This Row],[Valor]],-1*cmf[[#This Row],[Valor]])</f>
        <v>-5713.6</v>
      </c>
      <c r="L1305" s="524" t="s">
        <v>1188</v>
      </c>
      <c r="M1305" s="524" t="s">
        <v>1189</v>
      </c>
      <c r="N1305" s="524" t="s">
        <v>1219</v>
      </c>
      <c r="O1305" s="524" t="s">
        <v>1220</v>
      </c>
      <c r="P1305" s="526">
        <v>46219</v>
      </c>
      <c r="S1305" s="527">
        <v>0</v>
      </c>
    </row>
    <row r="1306" spans="1:19" x14ac:dyDescent="0.2">
      <c r="A1306" s="524">
        <v>69831</v>
      </c>
      <c r="B1306" s="526">
        <v>46219</v>
      </c>
      <c r="C1306" s="524" t="s">
        <v>1148</v>
      </c>
      <c r="D1306" s="524" t="s">
        <v>1186</v>
      </c>
      <c r="E1306" s="524" t="s">
        <v>2031</v>
      </c>
      <c r="F1306" s="524" t="s">
        <v>1183</v>
      </c>
      <c r="G1306" s="524" t="s">
        <v>769</v>
      </c>
      <c r="H1306" s="527">
        <v>4277.51</v>
      </c>
      <c r="I1306" s="524" t="s">
        <v>1174</v>
      </c>
      <c r="J1306" s="524">
        <f>IF(cmf[[#This Row],[D/C]]="C",cmf[[#This Row],[Valor]],-1*cmf[[#This Row],[Valor]])</f>
        <v>-4277.51</v>
      </c>
      <c r="L1306" s="524" t="s">
        <v>1188</v>
      </c>
      <c r="M1306" s="524" t="s">
        <v>1189</v>
      </c>
      <c r="N1306" s="524" t="s">
        <v>1219</v>
      </c>
      <c r="O1306" s="524" t="s">
        <v>1220</v>
      </c>
      <c r="P1306" s="526">
        <v>46219</v>
      </c>
      <c r="S1306" s="527">
        <v>0</v>
      </c>
    </row>
    <row r="1307" spans="1:19" x14ac:dyDescent="0.2">
      <c r="A1307" s="524">
        <v>69832</v>
      </c>
      <c r="B1307" s="526">
        <v>46219</v>
      </c>
      <c r="C1307" s="524" t="s">
        <v>1148</v>
      </c>
      <c r="D1307" s="524" t="s">
        <v>1186</v>
      </c>
      <c r="E1307" s="524" t="s">
        <v>2032</v>
      </c>
      <c r="F1307" s="524" t="s">
        <v>1183</v>
      </c>
      <c r="G1307" s="524" t="s">
        <v>769</v>
      </c>
      <c r="H1307" s="527">
        <v>5432.8</v>
      </c>
      <c r="I1307" s="524" t="s">
        <v>1174</v>
      </c>
      <c r="J1307" s="524">
        <f>IF(cmf[[#This Row],[D/C]]="C",cmf[[#This Row],[Valor]],-1*cmf[[#This Row],[Valor]])</f>
        <v>-5432.8</v>
      </c>
      <c r="L1307" s="524" t="s">
        <v>1188</v>
      </c>
      <c r="M1307" s="524" t="s">
        <v>1189</v>
      </c>
      <c r="N1307" s="524" t="s">
        <v>1219</v>
      </c>
      <c r="O1307" s="524" t="s">
        <v>1220</v>
      </c>
      <c r="P1307" s="526">
        <v>46219</v>
      </c>
      <c r="S1307" s="527">
        <v>0</v>
      </c>
    </row>
    <row r="1308" spans="1:19" x14ac:dyDescent="0.2">
      <c r="A1308" s="524">
        <v>69833</v>
      </c>
      <c r="B1308" s="526">
        <v>46219</v>
      </c>
      <c r="C1308" s="524" t="s">
        <v>1148</v>
      </c>
      <c r="D1308" s="524" t="s">
        <v>1186</v>
      </c>
      <c r="E1308" s="524" t="s">
        <v>2033</v>
      </c>
      <c r="F1308" s="524" t="s">
        <v>1183</v>
      </c>
      <c r="G1308" s="524" t="s">
        <v>769</v>
      </c>
      <c r="H1308" s="527">
        <v>2195.7800000000002</v>
      </c>
      <c r="I1308" s="524" t="s">
        <v>1174</v>
      </c>
      <c r="J1308" s="524">
        <f>IF(cmf[[#This Row],[D/C]]="C",cmf[[#This Row],[Valor]],-1*cmf[[#This Row],[Valor]])</f>
        <v>-2195.7800000000002</v>
      </c>
      <c r="L1308" s="524" t="s">
        <v>1188</v>
      </c>
      <c r="M1308" s="524" t="s">
        <v>1189</v>
      </c>
      <c r="N1308" s="524" t="s">
        <v>1219</v>
      </c>
      <c r="O1308" s="524" t="s">
        <v>1220</v>
      </c>
      <c r="P1308" s="526">
        <v>46219</v>
      </c>
      <c r="S1308" s="527">
        <v>0</v>
      </c>
    </row>
    <row r="1309" spans="1:19" x14ac:dyDescent="0.2">
      <c r="A1309" s="524">
        <v>69834</v>
      </c>
      <c r="B1309" s="526">
        <v>46219</v>
      </c>
      <c r="C1309" s="524" t="s">
        <v>1148</v>
      </c>
      <c r="D1309" s="524" t="s">
        <v>1186</v>
      </c>
      <c r="E1309" s="524" t="s">
        <v>2034</v>
      </c>
      <c r="F1309" s="524" t="s">
        <v>1183</v>
      </c>
      <c r="G1309" s="524" t="s">
        <v>745</v>
      </c>
      <c r="H1309" s="527">
        <v>6366.13</v>
      </c>
      <c r="I1309" s="524" t="s">
        <v>1174</v>
      </c>
      <c r="J1309" s="524">
        <f>IF(cmf[[#This Row],[D/C]]="C",cmf[[#This Row],[Valor]],-1*cmf[[#This Row],[Valor]])</f>
        <v>-6366.13</v>
      </c>
      <c r="L1309" s="524" t="s">
        <v>1188</v>
      </c>
      <c r="M1309" s="524" t="s">
        <v>1189</v>
      </c>
      <c r="N1309" s="524" t="s">
        <v>1292</v>
      </c>
      <c r="O1309" s="524" t="s">
        <v>1293</v>
      </c>
      <c r="P1309" s="526">
        <v>46219</v>
      </c>
      <c r="S1309" s="527">
        <v>0</v>
      </c>
    </row>
    <row r="1310" spans="1:19" x14ac:dyDescent="0.2">
      <c r="A1310" s="524">
        <v>69869</v>
      </c>
      <c r="B1310" s="526">
        <v>46219</v>
      </c>
      <c r="C1310" s="524" t="s">
        <v>1148</v>
      </c>
      <c r="D1310" s="524" t="s">
        <v>1243</v>
      </c>
      <c r="E1310" s="524" t="s">
        <v>1244</v>
      </c>
      <c r="F1310" s="524" t="s">
        <v>1183</v>
      </c>
      <c r="G1310" s="524" t="s">
        <v>769</v>
      </c>
      <c r="H1310" s="527">
        <v>33548.660000000003</v>
      </c>
      <c r="I1310" s="524" t="s">
        <v>1148</v>
      </c>
      <c r="J1310" s="524">
        <f>IF(cmf[[#This Row],[D/C]]="C",cmf[[#This Row],[Valor]],-1*cmf[[#This Row],[Valor]])</f>
        <v>33548.660000000003</v>
      </c>
      <c r="L1310" s="524" t="s">
        <v>1245</v>
      </c>
      <c r="M1310" s="524" t="s">
        <v>1246</v>
      </c>
      <c r="N1310" s="524" t="s">
        <v>1219</v>
      </c>
      <c r="O1310" s="524" t="s">
        <v>1220</v>
      </c>
      <c r="P1310" s="526">
        <v>46219</v>
      </c>
      <c r="S1310" s="527">
        <v>0</v>
      </c>
    </row>
    <row r="1311" spans="1:19" x14ac:dyDescent="0.2">
      <c r="A1311" s="524">
        <v>69875</v>
      </c>
      <c r="B1311" s="526">
        <v>46219</v>
      </c>
      <c r="C1311" s="524" t="s">
        <v>1148</v>
      </c>
      <c r="D1311" s="524" t="s">
        <v>1243</v>
      </c>
      <c r="E1311" s="524" t="s">
        <v>1244</v>
      </c>
      <c r="F1311" s="524" t="s">
        <v>1183</v>
      </c>
      <c r="G1311" s="524" t="s">
        <v>769</v>
      </c>
      <c r="H1311" s="527">
        <v>0.75</v>
      </c>
      <c r="I1311" s="524" t="s">
        <v>1148</v>
      </c>
      <c r="J1311" s="524">
        <f>IF(cmf[[#This Row],[D/C]]="C",cmf[[#This Row],[Valor]],-1*cmf[[#This Row],[Valor]])</f>
        <v>0.75</v>
      </c>
      <c r="L1311" s="524" t="s">
        <v>1245</v>
      </c>
      <c r="M1311" s="524" t="s">
        <v>1246</v>
      </c>
      <c r="N1311" s="524" t="s">
        <v>1219</v>
      </c>
      <c r="O1311" s="524" t="s">
        <v>1220</v>
      </c>
      <c r="P1311" s="526">
        <v>46219</v>
      </c>
      <c r="S1311" s="527">
        <v>0</v>
      </c>
    </row>
    <row r="1312" spans="1:19" x14ac:dyDescent="0.2">
      <c r="A1312" s="524">
        <v>70002</v>
      </c>
      <c r="B1312" s="526">
        <v>46219</v>
      </c>
      <c r="C1312" s="524" t="s">
        <v>1162</v>
      </c>
      <c r="D1312" s="524" t="s">
        <v>1186</v>
      </c>
      <c r="E1312" s="524" t="s">
        <v>2035</v>
      </c>
      <c r="F1312" s="524" t="s">
        <v>1183</v>
      </c>
      <c r="G1312" s="524" t="s">
        <v>776</v>
      </c>
      <c r="H1312" s="527">
        <v>2813.93</v>
      </c>
      <c r="I1312" s="524" t="s">
        <v>1174</v>
      </c>
      <c r="J1312" s="524">
        <f>IF(cmf[[#This Row],[D/C]]="C",cmf[[#This Row],[Valor]],-1*cmf[[#This Row],[Valor]])</f>
        <v>-2813.93</v>
      </c>
      <c r="L1312" s="524" t="s">
        <v>1188</v>
      </c>
      <c r="M1312" s="524" t="s">
        <v>1189</v>
      </c>
      <c r="N1312" s="524" t="s">
        <v>1212</v>
      </c>
      <c r="O1312" s="524" t="s">
        <v>1213</v>
      </c>
      <c r="P1312" s="526"/>
      <c r="S1312" s="527">
        <v>0</v>
      </c>
    </row>
    <row r="1313" spans="1:19" x14ac:dyDescent="0.2">
      <c r="A1313" s="524">
        <v>70003</v>
      </c>
      <c r="B1313" s="526">
        <v>46219</v>
      </c>
      <c r="C1313" s="524" t="s">
        <v>1162</v>
      </c>
      <c r="D1313" s="524" t="s">
        <v>1186</v>
      </c>
      <c r="E1313" s="524" t="s">
        <v>2036</v>
      </c>
      <c r="F1313" s="524" t="s">
        <v>1183</v>
      </c>
      <c r="G1313" s="524" t="s">
        <v>776</v>
      </c>
      <c r="H1313" s="527">
        <v>22863.03</v>
      </c>
      <c r="I1313" s="524" t="s">
        <v>1174</v>
      </c>
      <c r="J1313" s="524">
        <f>IF(cmf[[#This Row],[D/C]]="C",cmf[[#This Row],[Valor]],-1*cmf[[#This Row],[Valor]])</f>
        <v>-22863.03</v>
      </c>
      <c r="L1313" s="524" t="s">
        <v>1188</v>
      </c>
      <c r="M1313" s="524" t="s">
        <v>1189</v>
      </c>
      <c r="N1313" s="524" t="s">
        <v>1212</v>
      </c>
      <c r="O1313" s="524" t="s">
        <v>1213</v>
      </c>
      <c r="P1313" s="526"/>
      <c r="S1313" s="527">
        <v>0</v>
      </c>
    </row>
    <row r="1314" spans="1:19" x14ac:dyDescent="0.2">
      <c r="A1314" s="524">
        <v>70019</v>
      </c>
      <c r="B1314" s="526">
        <v>46219</v>
      </c>
      <c r="C1314" s="524" t="s">
        <v>1148</v>
      </c>
      <c r="D1314" s="524" t="s">
        <v>1186</v>
      </c>
      <c r="E1314" s="524" t="s">
        <v>2037</v>
      </c>
      <c r="F1314" s="524" t="s">
        <v>1183</v>
      </c>
      <c r="G1314" s="524" t="s">
        <v>803</v>
      </c>
      <c r="H1314" s="527">
        <v>1653.29</v>
      </c>
      <c r="I1314" s="524" t="s">
        <v>1174</v>
      </c>
      <c r="J1314" s="524">
        <f>IF(cmf[[#This Row],[D/C]]="C",cmf[[#This Row],[Valor]],-1*cmf[[#This Row],[Valor]])</f>
        <v>-1653.29</v>
      </c>
      <c r="L1314" s="524" t="s">
        <v>1188</v>
      </c>
      <c r="M1314" s="524" t="s">
        <v>1189</v>
      </c>
      <c r="N1314" s="524" t="s">
        <v>1192</v>
      </c>
      <c r="O1314" s="524" t="s">
        <v>1193</v>
      </c>
      <c r="P1314" s="526">
        <v>46219</v>
      </c>
      <c r="S1314" s="527">
        <v>0</v>
      </c>
    </row>
    <row r="1315" spans="1:19" x14ac:dyDescent="0.2">
      <c r="A1315" s="524">
        <v>70118</v>
      </c>
      <c r="B1315" s="526">
        <v>46219</v>
      </c>
      <c r="C1315" s="524" t="s">
        <v>1148</v>
      </c>
      <c r="D1315" s="524" t="s">
        <v>1226</v>
      </c>
      <c r="E1315" s="524" t="s">
        <v>2038</v>
      </c>
      <c r="F1315" s="524" t="s">
        <v>1170</v>
      </c>
      <c r="G1315" s="524" t="s">
        <v>1102</v>
      </c>
      <c r="H1315" s="527">
        <v>300</v>
      </c>
      <c r="I1315" s="524" t="s">
        <v>1148</v>
      </c>
      <c r="J1315" s="524">
        <f>IF(cmf[[#This Row],[D/C]]="C",cmf[[#This Row],[Valor]],-1*cmf[[#This Row],[Valor]])</f>
        <v>300</v>
      </c>
      <c r="L1315" s="524" t="s">
        <v>1230</v>
      </c>
      <c r="M1315" s="524" t="s">
        <v>1231</v>
      </c>
      <c r="N1315" s="524" t="s">
        <v>1192</v>
      </c>
      <c r="O1315" s="524" t="s">
        <v>1193</v>
      </c>
      <c r="P1315" s="526">
        <v>46219</v>
      </c>
      <c r="S1315" s="527">
        <v>0</v>
      </c>
    </row>
    <row r="1316" spans="1:19" x14ac:dyDescent="0.2">
      <c r="A1316" s="524">
        <v>70119</v>
      </c>
      <c r="B1316" s="526">
        <v>46219</v>
      </c>
      <c r="C1316" s="524" t="s">
        <v>1148</v>
      </c>
      <c r="D1316" s="524" t="s">
        <v>1226</v>
      </c>
      <c r="E1316" s="524" t="s">
        <v>2039</v>
      </c>
      <c r="F1316" s="524" t="s">
        <v>1170</v>
      </c>
      <c r="G1316" s="524" t="s">
        <v>1102</v>
      </c>
      <c r="H1316" s="527">
        <v>566.55999999999995</v>
      </c>
      <c r="I1316" s="524" t="s">
        <v>1148</v>
      </c>
      <c r="J1316" s="524">
        <f>IF(cmf[[#This Row],[D/C]]="C",cmf[[#This Row],[Valor]],-1*cmf[[#This Row],[Valor]])</f>
        <v>566.55999999999995</v>
      </c>
      <c r="L1316" s="524" t="s">
        <v>1230</v>
      </c>
      <c r="M1316" s="524" t="s">
        <v>1231</v>
      </c>
      <c r="N1316" s="524" t="s">
        <v>1192</v>
      </c>
      <c r="O1316" s="524" t="s">
        <v>1193</v>
      </c>
      <c r="P1316" s="526">
        <v>46219</v>
      </c>
      <c r="S1316" s="527">
        <v>0</v>
      </c>
    </row>
    <row r="1317" spans="1:19" x14ac:dyDescent="0.2">
      <c r="A1317" s="524">
        <v>70120</v>
      </c>
      <c r="B1317" s="526">
        <v>46219</v>
      </c>
      <c r="C1317" s="524" t="s">
        <v>1148</v>
      </c>
      <c r="D1317" s="524" t="s">
        <v>1226</v>
      </c>
      <c r="E1317" s="524" t="s">
        <v>2040</v>
      </c>
      <c r="F1317" s="524" t="s">
        <v>1170</v>
      </c>
      <c r="G1317" s="524" t="s">
        <v>1102</v>
      </c>
      <c r="H1317" s="527">
        <v>8340</v>
      </c>
      <c r="I1317" s="524" t="s">
        <v>1148</v>
      </c>
      <c r="J1317" s="524">
        <f>IF(cmf[[#This Row],[D/C]]="C",cmf[[#This Row],[Valor]],-1*cmf[[#This Row],[Valor]])</f>
        <v>8340</v>
      </c>
      <c r="L1317" s="524" t="s">
        <v>1230</v>
      </c>
      <c r="M1317" s="524" t="s">
        <v>1231</v>
      </c>
      <c r="N1317" s="524" t="s">
        <v>1192</v>
      </c>
      <c r="O1317" s="524" t="s">
        <v>1193</v>
      </c>
      <c r="P1317" s="526">
        <v>46219</v>
      </c>
      <c r="S1317" s="527">
        <v>0</v>
      </c>
    </row>
    <row r="1318" spans="1:19" x14ac:dyDescent="0.2">
      <c r="A1318" s="524">
        <v>70121</v>
      </c>
      <c r="B1318" s="526">
        <v>46219</v>
      </c>
      <c r="C1318" s="524" t="s">
        <v>1148</v>
      </c>
      <c r="D1318" s="524" t="s">
        <v>1226</v>
      </c>
      <c r="E1318" s="524" t="s">
        <v>2041</v>
      </c>
      <c r="F1318" s="524" t="s">
        <v>1170</v>
      </c>
      <c r="G1318" s="524" t="s">
        <v>1102</v>
      </c>
      <c r="H1318" s="527">
        <v>410.65</v>
      </c>
      <c r="I1318" s="524" t="s">
        <v>1148</v>
      </c>
      <c r="J1318" s="524">
        <f>IF(cmf[[#This Row],[D/C]]="C",cmf[[#This Row],[Valor]],-1*cmf[[#This Row],[Valor]])</f>
        <v>410.65</v>
      </c>
      <c r="L1318" s="524" t="s">
        <v>1230</v>
      </c>
      <c r="M1318" s="524" t="s">
        <v>1231</v>
      </c>
      <c r="N1318" s="524" t="s">
        <v>1192</v>
      </c>
      <c r="O1318" s="524" t="s">
        <v>1193</v>
      </c>
      <c r="P1318" s="526">
        <v>46219</v>
      </c>
      <c r="S1318" s="527">
        <v>0</v>
      </c>
    </row>
    <row r="1319" spans="1:19" x14ac:dyDescent="0.2">
      <c r="A1319" s="524">
        <v>70201</v>
      </c>
      <c r="B1319" s="526">
        <v>46219</v>
      </c>
      <c r="C1319" s="524" t="s">
        <v>1148</v>
      </c>
      <c r="D1319" s="524" t="s">
        <v>1243</v>
      </c>
      <c r="E1319" s="524" t="s">
        <v>1266</v>
      </c>
      <c r="F1319" s="524" t="s">
        <v>1183</v>
      </c>
      <c r="G1319" s="524" t="s">
        <v>758</v>
      </c>
      <c r="H1319" s="527">
        <v>379.36</v>
      </c>
      <c r="I1319" s="524" t="s">
        <v>1174</v>
      </c>
      <c r="J1319" s="524">
        <f>IF(cmf[[#This Row],[D/C]]="C",cmf[[#This Row],[Valor]],-1*cmf[[#This Row],[Valor]])</f>
        <v>-379.36</v>
      </c>
      <c r="L1319" s="524" t="s">
        <v>1245</v>
      </c>
      <c r="M1319" s="524" t="s">
        <v>1246</v>
      </c>
      <c r="N1319" s="524" t="s">
        <v>1223</v>
      </c>
      <c r="O1319" s="524" t="s">
        <v>1224</v>
      </c>
      <c r="P1319" s="526">
        <v>46219</v>
      </c>
      <c r="S1319" s="527">
        <v>0</v>
      </c>
    </row>
    <row r="1320" spans="1:19" x14ac:dyDescent="0.2">
      <c r="A1320" s="524">
        <v>70232</v>
      </c>
      <c r="B1320" s="526">
        <v>46219</v>
      </c>
      <c r="C1320" s="524" t="s">
        <v>1148</v>
      </c>
      <c r="D1320" s="524" t="s">
        <v>1243</v>
      </c>
      <c r="E1320" s="524" t="s">
        <v>1266</v>
      </c>
      <c r="F1320" s="524" t="s">
        <v>1183</v>
      </c>
      <c r="G1320" s="524" t="s">
        <v>806</v>
      </c>
      <c r="H1320" s="527">
        <v>123752.32000000001</v>
      </c>
      <c r="I1320" s="524" t="s">
        <v>1174</v>
      </c>
      <c r="J1320" s="524">
        <f>IF(cmf[[#This Row],[D/C]]="C",cmf[[#This Row],[Valor]],-1*cmf[[#This Row],[Valor]])</f>
        <v>-123752.32000000001</v>
      </c>
      <c r="L1320" s="524" t="s">
        <v>1245</v>
      </c>
      <c r="M1320" s="524" t="s">
        <v>1246</v>
      </c>
      <c r="N1320" s="524" t="s">
        <v>1283</v>
      </c>
      <c r="O1320" s="524" t="s">
        <v>1284</v>
      </c>
      <c r="P1320" s="526">
        <v>46219</v>
      </c>
      <c r="S1320" s="527">
        <v>0</v>
      </c>
    </row>
    <row r="1321" spans="1:19" x14ac:dyDescent="0.2">
      <c r="A1321" s="524">
        <v>70264</v>
      </c>
      <c r="B1321" s="526">
        <v>46219</v>
      </c>
      <c r="C1321" s="524" t="s">
        <v>1148</v>
      </c>
      <c r="D1321" s="524" t="s">
        <v>1239</v>
      </c>
      <c r="E1321" s="524" t="s">
        <v>1741</v>
      </c>
      <c r="F1321" s="524" t="s">
        <v>1170</v>
      </c>
      <c r="G1321" s="524" t="s">
        <v>768</v>
      </c>
      <c r="H1321" s="527">
        <v>8.66</v>
      </c>
      <c r="I1321" s="524" t="s">
        <v>1174</v>
      </c>
      <c r="J1321" s="524">
        <f>IF(cmf[[#This Row],[D/C]]="C",cmf[[#This Row],[Valor]],-1*cmf[[#This Row],[Valor]])</f>
        <v>-8.66</v>
      </c>
      <c r="L1321" s="524" t="s">
        <v>1241</v>
      </c>
      <c r="M1321" s="524" t="s">
        <v>1242</v>
      </c>
      <c r="N1321" s="524" t="s">
        <v>1219</v>
      </c>
      <c r="O1321" s="524" t="s">
        <v>1220</v>
      </c>
      <c r="P1321" s="526">
        <v>46219</v>
      </c>
      <c r="S1321" s="527">
        <v>0</v>
      </c>
    </row>
    <row r="1322" spans="1:19" x14ac:dyDescent="0.2">
      <c r="A1322" s="524">
        <v>70265</v>
      </c>
      <c r="B1322" s="526">
        <v>46219</v>
      </c>
      <c r="C1322" s="524" t="s">
        <v>1148</v>
      </c>
      <c r="D1322" s="524" t="s">
        <v>1239</v>
      </c>
      <c r="E1322" s="524" t="s">
        <v>1255</v>
      </c>
      <c r="F1322" s="524" t="s">
        <v>1170</v>
      </c>
      <c r="G1322" s="524" t="s">
        <v>768</v>
      </c>
      <c r="H1322" s="527">
        <v>0.6</v>
      </c>
      <c r="I1322" s="524" t="s">
        <v>1174</v>
      </c>
      <c r="J1322" s="524">
        <f>IF(cmf[[#This Row],[D/C]]="C",cmf[[#This Row],[Valor]],-1*cmf[[#This Row],[Valor]])</f>
        <v>-0.6</v>
      </c>
      <c r="L1322" s="524" t="s">
        <v>1241</v>
      </c>
      <c r="M1322" s="524" t="s">
        <v>1242</v>
      </c>
      <c r="N1322" s="524" t="s">
        <v>1219</v>
      </c>
      <c r="O1322" s="524" t="s">
        <v>1220</v>
      </c>
      <c r="P1322" s="526">
        <v>46219</v>
      </c>
      <c r="S1322" s="527">
        <v>0</v>
      </c>
    </row>
    <row r="1323" spans="1:19" x14ac:dyDescent="0.2">
      <c r="A1323" s="524">
        <v>70267</v>
      </c>
      <c r="B1323" s="526">
        <v>46219</v>
      </c>
      <c r="C1323" s="524" t="s">
        <v>1148</v>
      </c>
      <c r="D1323" s="524" t="s">
        <v>1243</v>
      </c>
      <c r="E1323" s="524" t="s">
        <v>1266</v>
      </c>
      <c r="F1323" s="524" t="s">
        <v>1183</v>
      </c>
      <c r="G1323" s="524" t="s">
        <v>745</v>
      </c>
      <c r="H1323" s="527">
        <v>3633.87</v>
      </c>
      <c r="I1323" s="524" t="s">
        <v>1174</v>
      </c>
      <c r="J1323" s="524">
        <f>IF(cmf[[#This Row],[D/C]]="C",cmf[[#This Row],[Valor]],-1*cmf[[#This Row],[Valor]])</f>
        <v>-3633.87</v>
      </c>
      <c r="L1323" s="524" t="s">
        <v>1245</v>
      </c>
      <c r="M1323" s="524" t="s">
        <v>1246</v>
      </c>
      <c r="N1323" s="524" t="s">
        <v>1292</v>
      </c>
      <c r="O1323" s="524" t="s">
        <v>1293</v>
      </c>
      <c r="P1323" s="526">
        <v>46219</v>
      </c>
      <c r="S1323" s="527">
        <v>0</v>
      </c>
    </row>
    <row r="1324" spans="1:19" x14ac:dyDescent="0.2">
      <c r="A1324" s="524">
        <v>70320</v>
      </c>
      <c r="B1324" s="526">
        <v>46219</v>
      </c>
      <c r="C1324" s="524" t="s">
        <v>1148</v>
      </c>
      <c r="D1324" s="524" t="s">
        <v>1239</v>
      </c>
      <c r="E1324" s="524" t="s">
        <v>1255</v>
      </c>
      <c r="F1324" s="524" t="s">
        <v>1170</v>
      </c>
      <c r="G1324" s="524" t="s">
        <v>757</v>
      </c>
      <c r="H1324" s="527">
        <v>3.2</v>
      </c>
      <c r="I1324" s="524" t="s">
        <v>1174</v>
      </c>
      <c r="J1324" s="524">
        <f>IF(cmf[[#This Row],[D/C]]="C",cmf[[#This Row],[Valor]],-1*cmf[[#This Row],[Valor]])</f>
        <v>-3.2</v>
      </c>
      <c r="L1324" s="524" t="s">
        <v>1241</v>
      </c>
      <c r="M1324" s="524" t="s">
        <v>1242</v>
      </c>
      <c r="N1324" s="524" t="s">
        <v>1223</v>
      </c>
      <c r="O1324" s="524" t="s">
        <v>1224</v>
      </c>
      <c r="P1324" s="526">
        <v>46219</v>
      </c>
      <c r="S1324" s="527">
        <v>0</v>
      </c>
    </row>
    <row r="1325" spans="1:19" x14ac:dyDescent="0.2">
      <c r="A1325" s="524">
        <v>70330</v>
      </c>
      <c r="B1325" s="526">
        <v>46219</v>
      </c>
      <c r="C1325" s="524" t="s">
        <v>1148</v>
      </c>
      <c r="D1325" s="524" t="s">
        <v>1243</v>
      </c>
      <c r="E1325" s="524" t="s">
        <v>1266</v>
      </c>
      <c r="F1325" s="524" t="s">
        <v>1183</v>
      </c>
      <c r="G1325" s="524" t="s">
        <v>766</v>
      </c>
      <c r="H1325" s="527">
        <v>4757.5600000000004</v>
      </c>
      <c r="I1325" s="524" t="s">
        <v>1174</v>
      </c>
      <c r="J1325" s="524">
        <f>IF(cmf[[#This Row],[D/C]]="C",cmf[[#This Row],[Valor]],-1*cmf[[#This Row],[Valor]])</f>
        <v>-4757.5600000000004</v>
      </c>
      <c r="L1325" s="524" t="s">
        <v>1245</v>
      </c>
      <c r="M1325" s="524" t="s">
        <v>1246</v>
      </c>
      <c r="N1325" s="524" t="s">
        <v>1200</v>
      </c>
      <c r="O1325" s="524" t="s">
        <v>1201</v>
      </c>
      <c r="P1325" s="526">
        <v>46219</v>
      </c>
      <c r="S1325" s="527">
        <v>0</v>
      </c>
    </row>
    <row r="1326" spans="1:19" x14ac:dyDescent="0.2">
      <c r="A1326" s="524">
        <v>70338</v>
      </c>
      <c r="B1326" s="526">
        <v>46219</v>
      </c>
      <c r="C1326" s="524" t="s">
        <v>1148</v>
      </c>
      <c r="D1326" s="524" t="s">
        <v>1243</v>
      </c>
      <c r="E1326" s="524" t="s">
        <v>1266</v>
      </c>
      <c r="F1326" s="524" t="s">
        <v>1183</v>
      </c>
      <c r="G1326" s="524" t="s">
        <v>803</v>
      </c>
      <c r="H1326" s="527">
        <v>3384.79</v>
      </c>
      <c r="I1326" s="524" t="s">
        <v>1174</v>
      </c>
      <c r="J1326" s="524">
        <f>IF(cmf[[#This Row],[D/C]]="C",cmf[[#This Row],[Valor]],-1*cmf[[#This Row],[Valor]])</f>
        <v>-3384.79</v>
      </c>
      <c r="L1326" s="524" t="s">
        <v>1245</v>
      </c>
      <c r="M1326" s="524" t="s">
        <v>1246</v>
      </c>
      <c r="N1326" s="524" t="s">
        <v>1192</v>
      </c>
      <c r="O1326" s="524" t="s">
        <v>1193</v>
      </c>
      <c r="P1326" s="526">
        <v>46219</v>
      </c>
      <c r="S1326" s="527">
        <v>0</v>
      </c>
    </row>
    <row r="1327" spans="1:19" x14ac:dyDescent="0.2">
      <c r="A1327" s="524">
        <v>70342</v>
      </c>
      <c r="B1327" s="526">
        <v>46219</v>
      </c>
      <c r="C1327" s="524" t="s">
        <v>1148</v>
      </c>
      <c r="D1327" s="524" t="s">
        <v>1226</v>
      </c>
      <c r="E1327" s="524" t="s">
        <v>2042</v>
      </c>
      <c r="F1327" s="524" t="s">
        <v>1170</v>
      </c>
      <c r="G1327" s="524" t="s">
        <v>768</v>
      </c>
      <c r="H1327" s="527">
        <v>973.58</v>
      </c>
      <c r="I1327" s="524" t="s">
        <v>1148</v>
      </c>
      <c r="J1327" s="524">
        <f>IF(cmf[[#This Row],[D/C]]="C",cmf[[#This Row],[Valor]],-1*cmf[[#This Row],[Valor]])</f>
        <v>973.58</v>
      </c>
      <c r="L1327" s="524" t="s">
        <v>1230</v>
      </c>
      <c r="M1327" s="524" t="s">
        <v>1231</v>
      </c>
      <c r="N1327" s="524" t="s">
        <v>1219</v>
      </c>
      <c r="O1327" s="524" t="s">
        <v>1220</v>
      </c>
      <c r="P1327" s="526">
        <v>46219</v>
      </c>
      <c r="S1327" s="527">
        <v>0</v>
      </c>
    </row>
    <row r="1328" spans="1:19" x14ac:dyDescent="0.2">
      <c r="A1328" s="524">
        <v>70350</v>
      </c>
      <c r="B1328" s="526">
        <v>46219</v>
      </c>
      <c r="C1328" s="524" t="s">
        <v>1148</v>
      </c>
      <c r="D1328" s="524" t="s">
        <v>1243</v>
      </c>
      <c r="E1328" s="524" t="s">
        <v>1266</v>
      </c>
      <c r="F1328" s="524" t="s">
        <v>1183</v>
      </c>
      <c r="G1328" s="524" t="s">
        <v>800</v>
      </c>
      <c r="H1328" s="527">
        <v>479.35</v>
      </c>
      <c r="I1328" s="524" t="s">
        <v>1174</v>
      </c>
      <c r="J1328" s="524">
        <f>IF(cmf[[#This Row],[D/C]]="C",cmf[[#This Row],[Valor]],-1*cmf[[#This Row],[Valor]])</f>
        <v>-479.35</v>
      </c>
      <c r="L1328" s="524" t="s">
        <v>1245</v>
      </c>
      <c r="M1328" s="524" t="s">
        <v>1246</v>
      </c>
      <c r="N1328" s="524" t="s">
        <v>1171</v>
      </c>
      <c r="O1328" s="524" t="s">
        <v>1172</v>
      </c>
      <c r="P1328" s="526">
        <v>46219</v>
      </c>
      <c r="S1328" s="527">
        <v>0</v>
      </c>
    </row>
    <row r="1329" spans="1:19" x14ac:dyDescent="0.2">
      <c r="A1329" s="524">
        <v>70511</v>
      </c>
      <c r="B1329" s="526">
        <v>46219</v>
      </c>
      <c r="C1329" s="524" t="s">
        <v>1148</v>
      </c>
      <c r="D1329" s="524" t="s">
        <v>1205</v>
      </c>
      <c r="E1329" s="524" t="s">
        <v>1543</v>
      </c>
      <c r="F1329" s="524" t="s">
        <v>1183</v>
      </c>
      <c r="G1329" s="524" t="s">
        <v>742</v>
      </c>
      <c r="H1329" s="527">
        <v>30000</v>
      </c>
      <c r="I1329" s="524" t="s">
        <v>1174</v>
      </c>
      <c r="J1329" s="524">
        <f>IF(cmf[[#This Row],[D/C]]="C",cmf[[#This Row],[Valor]],-1*cmf[[#This Row],[Valor]])</f>
        <v>-30000</v>
      </c>
      <c r="L1329" s="524" t="s">
        <v>1207</v>
      </c>
      <c r="M1329" s="524" t="s">
        <v>1208</v>
      </c>
      <c r="N1329" s="524" t="s">
        <v>1215</v>
      </c>
      <c r="O1329" s="524" t="s">
        <v>1218</v>
      </c>
      <c r="P1329" s="526">
        <v>46219</v>
      </c>
      <c r="S1329" s="527">
        <v>0</v>
      </c>
    </row>
    <row r="1330" spans="1:19" x14ac:dyDescent="0.2">
      <c r="A1330" s="524">
        <v>70512</v>
      </c>
      <c r="B1330" s="526">
        <v>46219</v>
      </c>
      <c r="C1330" s="524" t="s">
        <v>1162</v>
      </c>
      <c r="D1330" s="524" t="s">
        <v>1205</v>
      </c>
      <c r="E1330" s="524" t="s">
        <v>1217</v>
      </c>
      <c r="F1330" s="524" t="s">
        <v>1170</v>
      </c>
      <c r="G1330" s="524" t="s">
        <v>781</v>
      </c>
      <c r="H1330" s="527">
        <v>30000</v>
      </c>
      <c r="I1330" s="524" t="s">
        <v>1148</v>
      </c>
      <c r="J1330" s="524">
        <f>IF(cmf[[#This Row],[D/C]]="C",cmf[[#This Row],[Valor]],-1*cmf[[#This Row],[Valor]])</f>
        <v>30000</v>
      </c>
      <c r="L1330" s="524" t="s">
        <v>1207</v>
      </c>
      <c r="M1330" s="524" t="s">
        <v>1208</v>
      </c>
      <c r="N1330" s="524" t="s">
        <v>1209</v>
      </c>
      <c r="O1330" s="524" t="s">
        <v>1210</v>
      </c>
      <c r="P1330" s="526"/>
      <c r="S1330" s="527">
        <v>0</v>
      </c>
    </row>
    <row r="1331" spans="1:19" x14ac:dyDescent="0.2">
      <c r="A1331" s="524">
        <v>70513</v>
      </c>
      <c r="B1331" s="526">
        <v>46219</v>
      </c>
      <c r="C1331" s="524" t="s">
        <v>1148</v>
      </c>
      <c r="D1331" s="524" t="s">
        <v>1205</v>
      </c>
      <c r="E1331" s="524" t="s">
        <v>1541</v>
      </c>
      <c r="F1331" s="524" t="s">
        <v>1183</v>
      </c>
      <c r="G1331" s="524" t="s">
        <v>742</v>
      </c>
      <c r="H1331" s="527">
        <v>10000</v>
      </c>
      <c r="I1331" s="524" t="s">
        <v>1174</v>
      </c>
      <c r="J1331" s="524">
        <f>IF(cmf[[#This Row],[D/C]]="C",cmf[[#This Row],[Valor]],-1*cmf[[#This Row],[Valor]])</f>
        <v>-10000</v>
      </c>
      <c r="L1331" s="524" t="s">
        <v>1207</v>
      </c>
      <c r="M1331" s="524" t="s">
        <v>1208</v>
      </c>
      <c r="N1331" s="524" t="s">
        <v>1215</v>
      </c>
      <c r="O1331" s="524" t="s">
        <v>1218</v>
      </c>
      <c r="P1331" s="526">
        <v>46219</v>
      </c>
      <c r="S1331" s="527">
        <v>0</v>
      </c>
    </row>
    <row r="1332" spans="1:19" x14ac:dyDescent="0.2">
      <c r="A1332" s="524">
        <v>70514</v>
      </c>
      <c r="B1332" s="526">
        <v>46219</v>
      </c>
      <c r="C1332" s="524" t="s">
        <v>1148</v>
      </c>
      <c r="D1332" s="524" t="s">
        <v>1205</v>
      </c>
      <c r="E1332" s="524" t="s">
        <v>1217</v>
      </c>
      <c r="F1332" s="524" t="s">
        <v>1183</v>
      </c>
      <c r="G1332" s="524" t="s">
        <v>766</v>
      </c>
      <c r="H1332" s="527">
        <v>10000</v>
      </c>
      <c r="I1332" s="524" t="s">
        <v>1148</v>
      </c>
      <c r="J1332" s="524">
        <f>IF(cmf[[#This Row],[D/C]]="C",cmf[[#This Row],[Valor]],-1*cmf[[#This Row],[Valor]])</f>
        <v>10000</v>
      </c>
      <c r="L1332" s="524" t="s">
        <v>1207</v>
      </c>
      <c r="M1332" s="524" t="s">
        <v>1208</v>
      </c>
      <c r="N1332" s="524" t="s">
        <v>1200</v>
      </c>
      <c r="O1332" s="524" t="s">
        <v>1201</v>
      </c>
      <c r="P1332" s="526">
        <v>46219</v>
      </c>
      <c r="S1332" s="527">
        <v>0</v>
      </c>
    </row>
    <row r="1333" spans="1:19" x14ac:dyDescent="0.2">
      <c r="A1333" s="524">
        <v>70515</v>
      </c>
      <c r="B1333" s="526">
        <v>46219</v>
      </c>
      <c r="C1333" s="524" t="s">
        <v>1148</v>
      </c>
      <c r="D1333" s="524" t="s">
        <v>1205</v>
      </c>
      <c r="E1333" s="524" t="s">
        <v>1537</v>
      </c>
      <c r="F1333" s="524" t="s">
        <v>1183</v>
      </c>
      <c r="G1333" s="524" t="s">
        <v>742</v>
      </c>
      <c r="H1333" s="527">
        <v>5000</v>
      </c>
      <c r="I1333" s="524" t="s">
        <v>1174</v>
      </c>
      <c r="J1333" s="524">
        <f>IF(cmf[[#This Row],[D/C]]="C",cmf[[#This Row],[Valor]],-1*cmf[[#This Row],[Valor]])</f>
        <v>-5000</v>
      </c>
      <c r="L1333" s="524" t="s">
        <v>1207</v>
      </c>
      <c r="M1333" s="524" t="s">
        <v>1208</v>
      </c>
      <c r="N1333" s="524" t="s">
        <v>1215</v>
      </c>
      <c r="O1333" s="524" t="s">
        <v>1218</v>
      </c>
      <c r="P1333" s="526">
        <v>46219</v>
      </c>
      <c r="S1333" s="527">
        <v>0</v>
      </c>
    </row>
    <row r="1334" spans="1:19" x14ac:dyDescent="0.2">
      <c r="A1334" s="524">
        <v>70516</v>
      </c>
      <c r="B1334" s="526">
        <v>46219</v>
      </c>
      <c r="C1334" s="524" t="s">
        <v>1148</v>
      </c>
      <c r="D1334" s="524" t="s">
        <v>1205</v>
      </c>
      <c r="E1334" s="524" t="s">
        <v>1217</v>
      </c>
      <c r="F1334" s="524" t="s">
        <v>1183</v>
      </c>
      <c r="G1334" s="524" t="s">
        <v>758</v>
      </c>
      <c r="H1334" s="527">
        <v>5000</v>
      </c>
      <c r="I1334" s="524" t="s">
        <v>1148</v>
      </c>
      <c r="J1334" s="524">
        <f>IF(cmf[[#This Row],[D/C]]="C",cmf[[#This Row],[Valor]],-1*cmf[[#This Row],[Valor]])</f>
        <v>5000</v>
      </c>
      <c r="L1334" s="524" t="s">
        <v>1207</v>
      </c>
      <c r="M1334" s="524" t="s">
        <v>1208</v>
      </c>
      <c r="N1334" s="524" t="s">
        <v>1223</v>
      </c>
      <c r="O1334" s="524" t="s">
        <v>1224</v>
      </c>
      <c r="P1334" s="526">
        <v>46219</v>
      </c>
      <c r="S1334" s="527">
        <v>0</v>
      </c>
    </row>
    <row r="1335" spans="1:19" x14ac:dyDescent="0.2">
      <c r="A1335" s="524">
        <v>70517</v>
      </c>
      <c r="B1335" s="526">
        <v>46219</v>
      </c>
      <c r="C1335" s="524" t="s">
        <v>1148</v>
      </c>
      <c r="D1335" s="524" t="s">
        <v>1205</v>
      </c>
      <c r="E1335" s="524" t="s">
        <v>1337</v>
      </c>
      <c r="F1335" s="524" t="s">
        <v>1183</v>
      </c>
      <c r="G1335" s="524" t="s">
        <v>742</v>
      </c>
      <c r="H1335" s="527">
        <v>15000</v>
      </c>
      <c r="I1335" s="524" t="s">
        <v>1174</v>
      </c>
      <c r="J1335" s="524">
        <f>IF(cmf[[#This Row],[D/C]]="C",cmf[[#This Row],[Valor]],-1*cmf[[#This Row],[Valor]])</f>
        <v>-15000</v>
      </c>
      <c r="L1335" s="524" t="s">
        <v>1207</v>
      </c>
      <c r="M1335" s="524" t="s">
        <v>1208</v>
      </c>
      <c r="N1335" s="524" t="s">
        <v>1215</v>
      </c>
      <c r="O1335" s="524" t="s">
        <v>1218</v>
      </c>
      <c r="P1335" s="526">
        <v>46219</v>
      </c>
      <c r="S1335" s="527">
        <v>0</v>
      </c>
    </row>
    <row r="1336" spans="1:19" x14ac:dyDescent="0.2">
      <c r="A1336" s="524">
        <v>70518</v>
      </c>
      <c r="B1336" s="526">
        <v>46219</v>
      </c>
      <c r="C1336" s="524" t="s">
        <v>1148</v>
      </c>
      <c r="D1336" s="524" t="s">
        <v>1205</v>
      </c>
      <c r="E1336" s="524" t="s">
        <v>1217</v>
      </c>
      <c r="F1336" s="524" t="s">
        <v>1183</v>
      </c>
      <c r="G1336" s="524" t="s">
        <v>803</v>
      </c>
      <c r="H1336" s="527">
        <v>15000</v>
      </c>
      <c r="I1336" s="524" t="s">
        <v>1148</v>
      </c>
      <c r="J1336" s="524">
        <f>IF(cmf[[#This Row],[D/C]]="C",cmf[[#This Row],[Valor]],-1*cmf[[#This Row],[Valor]])</f>
        <v>15000</v>
      </c>
      <c r="L1336" s="524" t="s">
        <v>1207</v>
      </c>
      <c r="M1336" s="524" t="s">
        <v>1208</v>
      </c>
      <c r="N1336" s="524" t="s">
        <v>1192</v>
      </c>
      <c r="O1336" s="524" t="s">
        <v>1193</v>
      </c>
      <c r="P1336" s="526">
        <v>46219</v>
      </c>
      <c r="S1336" s="527">
        <v>0</v>
      </c>
    </row>
    <row r="1337" spans="1:19" x14ac:dyDescent="0.2">
      <c r="A1337" s="524">
        <v>70519</v>
      </c>
      <c r="B1337" s="526">
        <v>46219</v>
      </c>
      <c r="C1337" s="524" t="s">
        <v>1148</v>
      </c>
      <c r="D1337" s="524" t="s">
        <v>1205</v>
      </c>
      <c r="E1337" s="524" t="s">
        <v>1335</v>
      </c>
      <c r="F1337" s="524" t="s">
        <v>1183</v>
      </c>
      <c r="G1337" s="524" t="s">
        <v>742</v>
      </c>
      <c r="H1337" s="527">
        <v>25000</v>
      </c>
      <c r="I1337" s="524" t="s">
        <v>1174</v>
      </c>
      <c r="J1337" s="524">
        <f>IF(cmf[[#This Row],[D/C]]="C",cmf[[#This Row],[Valor]],-1*cmf[[#This Row],[Valor]])</f>
        <v>-25000</v>
      </c>
      <c r="L1337" s="524" t="s">
        <v>1207</v>
      </c>
      <c r="M1337" s="524" t="s">
        <v>1208</v>
      </c>
      <c r="N1337" s="524" t="s">
        <v>1215</v>
      </c>
      <c r="O1337" s="524" t="s">
        <v>1218</v>
      </c>
      <c r="P1337" s="526">
        <v>46219</v>
      </c>
      <c r="S1337" s="527">
        <v>0</v>
      </c>
    </row>
    <row r="1338" spans="1:19" x14ac:dyDescent="0.2">
      <c r="A1338" s="524">
        <v>70520</v>
      </c>
      <c r="B1338" s="526">
        <v>46219</v>
      </c>
      <c r="C1338" s="524" t="s">
        <v>1148</v>
      </c>
      <c r="D1338" s="524" t="s">
        <v>1205</v>
      </c>
      <c r="E1338" s="524" t="s">
        <v>1217</v>
      </c>
      <c r="F1338" s="524" t="s">
        <v>1183</v>
      </c>
      <c r="G1338" s="524" t="s">
        <v>800</v>
      </c>
      <c r="H1338" s="527">
        <v>25000</v>
      </c>
      <c r="I1338" s="524" t="s">
        <v>1148</v>
      </c>
      <c r="J1338" s="524">
        <f>IF(cmf[[#This Row],[D/C]]="C",cmf[[#This Row],[Valor]],-1*cmf[[#This Row],[Valor]])</f>
        <v>25000</v>
      </c>
      <c r="L1338" s="524" t="s">
        <v>1207</v>
      </c>
      <c r="M1338" s="524" t="s">
        <v>1208</v>
      </c>
      <c r="N1338" s="524" t="s">
        <v>1171</v>
      </c>
      <c r="O1338" s="524" t="s">
        <v>1172</v>
      </c>
      <c r="P1338" s="526">
        <v>46219</v>
      </c>
      <c r="S1338" s="527">
        <v>0</v>
      </c>
    </row>
    <row r="1339" spans="1:19" x14ac:dyDescent="0.2">
      <c r="A1339" s="524">
        <v>70521</v>
      </c>
      <c r="B1339" s="526">
        <v>46219</v>
      </c>
      <c r="C1339" s="524" t="s">
        <v>1148</v>
      </c>
      <c r="D1339" s="524" t="s">
        <v>1205</v>
      </c>
      <c r="E1339" s="524" t="s">
        <v>1334</v>
      </c>
      <c r="F1339" s="524" t="s">
        <v>1183</v>
      </c>
      <c r="G1339" s="524" t="s">
        <v>742</v>
      </c>
      <c r="H1339" s="527">
        <v>20000</v>
      </c>
      <c r="I1339" s="524" t="s">
        <v>1174</v>
      </c>
      <c r="J1339" s="524">
        <f>IF(cmf[[#This Row],[D/C]]="C",cmf[[#This Row],[Valor]],-1*cmf[[#This Row],[Valor]])</f>
        <v>-20000</v>
      </c>
      <c r="L1339" s="524" t="s">
        <v>1207</v>
      </c>
      <c r="M1339" s="524" t="s">
        <v>1208</v>
      </c>
      <c r="N1339" s="524" t="s">
        <v>1215</v>
      </c>
      <c r="O1339" s="524" t="s">
        <v>1218</v>
      </c>
      <c r="P1339" s="526">
        <v>46219</v>
      </c>
      <c r="S1339" s="527">
        <v>0</v>
      </c>
    </row>
    <row r="1340" spans="1:19" x14ac:dyDescent="0.2">
      <c r="A1340" s="524">
        <v>70522</v>
      </c>
      <c r="B1340" s="526">
        <v>46219</v>
      </c>
      <c r="C1340" s="524" t="s">
        <v>1148</v>
      </c>
      <c r="D1340" s="524" t="s">
        <v>1205</v>
      </c>
      <c r="E1340" s="524" t="s">
        <v>1217</v>
      </c>
      <c r="F1340" s="524" t="s">
        <v>1183</v>
      </c>
      <c r="G1340" s="524" t="s">
        <v>769</v>
      </c>
      <c r="H1340" s="527">
        <v>20000</v>
      </c>
      <c r="I1340" s="524" t="s">
        <v>1148</v>
      </c>
      <c r="J1340" s="524">
        <f>IF(cmf[[#This Row],[D/C]]="C",cmf[[#This Row],[Valor]],-1*cmf[[#This Row],[Valor]])</f>
        <v>20000</v>
      </c>
      <c r="L1340" s="524" t="s">
        <v>1207</v>
      </c>
      <c r="M1340" s="524" t="s">
        <v>1208</v>
      </c>
      <c r="N1340" s="524" t="s">
        <v>1219</v>
      </c>
      <c r="O1340" s="524" t="s">
        <v>1220</v>
      </c>
      <c r="P1340" s="526">
        <v>46219</v>
      </c>
      <c r="S1340" s="527">
        <v>0</v>
      </c>
    </row>
    <row r="1341" spans="1:19" x14ac:dyDescent="0.2">
      <c r="A1341" s="524">
        <v>70523</v>
      </c>
      <c r="B1341" s="526">
        <v>46219</v>
      </c>
      <c r="C1341" s="524" t="s">
        <v>1148</v>
      </c>
      <c r="D1341" s="524" t="s">
        <v>1205</v>
      </c>
      <c r="E1341" s="524" t="s">
        <v>1536</v>
      </c>
      <c r="F1341" s="524" t="s">
        <v>1183</v>
      </c>
      <c r="G1341" s="524" t="s">
        <v>742</v>
      </c>
      <c r="H1341" s="527">
        <v>10000</v>
      </c>
      <c r="I1341" s="524" t="s">
        <v>1174</v>
      </c>
      <c r="J1341" s="524">
        <f>IF(cmf[[#This Row],[D/C]]="C",cmf[[#This Row],[Valor]],-1*cmf[[#This Row],[Valor]])</f>
        <v>-10000</v>
      </c>
      <c r="L1341" s="524" t="s">
        <v>1207</v>
      </c>
      <c r="M1341" s="524" t="s">
        <v>1208</v>
      </c>
      <c r="N1341" s="524" t="s">
        <v>1215</v>
      </c>
      <c r="O1341" s="524" t="s">
        <v>1218</v>
      </c>
      <c r="P1341" s="526">
        <v>46219</v>
      </c>
      <c r="S1341" s="527">
        <v>0</v>
      </c>
    </row>
    <row r="1342" spans="1:19" x14ac:dyDescent="0.2">
      <c r="A1342" s="524">
        <v>70524</v>
      </c>
      <c r="B1342" s="526">
        <v>46219</v>
      </c>
      <c r="C1342" s="524" t="s">
        <v>1148</v>
      </c>
      <c r="D1342" s="524" t="s">
        <v>1205</v>
      </c>
      <c r="E1342" s="524" t="s">
        <v>1217</v>
      </c>
      <c r="F1342" s="524" t="s">
        <v>1183</v>
      </c>
      <c r="G1342" s="524" t="s">
        <v>745</v>
      </c>
      <c r="H1342" s="527">
        <v>10000</v>
      </c>
      <c r="I1342" s="524" t="s">
        <v>1148</v>
      </c>
      <c r="J1342" s="524">
        <f>IF(cmf[[#This Row],[D/C]]="C",cmf[[#This Row],[Valor]],-1*cmf[[#This Row],[Valor]])</f>
        <v>10000</v>
      </c>
      <c r="L1342" s="524" t="s">
        <v>1207</v>
      </c>
      <c r="M1342" s="524" t="s">
        <v>1208</v>
      </c>
      <c r="N1342" s="524" t="s">
        <v>1292</v>
      </c>
      <c r="O1342" s="524" t="s">
        <v>1293</v>
      </c>
      <c r="P1342" s="526">
        <v>46219</v>
      </c>
      <c r="S1342" s="527">
        <v>0</v>
      </c>
    </row>
    <row r="1343" spans="1:19" x14ac:dyDescent="0.2">
      <c r="A1343" s="524">
        <v>70525</v>
      </c>
      <c r="B1343" s="526">
        <v>46219</v>
      </c>
      <c r="C1343" s="524" t="s">
        <v>1162</v>
      </c>
      <c r="D1343" s="524" t="s">
        <v>1205</v>
      </c>
      <c r="E1343" s="524" t="s">
        <v>1206</v>
      </c>
      <c r="F1343" s="524" t="s">
        <v>1170</v>
      </c>
      <c r="G1343" s="524" t="s">
        <v>781</v>
      </c>
      <c r="H1343" s="527">
        <v>2000</v>
      </c>
      <c r="I1343" s="524" t="s">
        <v>1174</v>
      </c>
      <c r="J1343" s="524">
        <f>IF(cmf[[#This Row],[D/C]]="C",cmf[[#This Row],[Valor]],-1*cmf[[#This Row],[Valor]])</f>
        <v>-2000</v>
      </c>
      <c r="L1343" s="524" t="s">
        <v>1207</v>
      </c>
      <c r="M1343" s="524" t="s">
        <v>1208</v>
      </c>
      <c r="N1343" s="524" t="s">
        <v>1209</v>
      </c>
      <c r="O1343" s="524" t="s">
        <v>1210</v>
      </c>
      <c r="P1343" s="526"/>
      <c r="S1343" s="527">
        <v>0</v>
      </c>
    </row>
    <row r="1344" spans="1:19" x14ac:dyDescent="0.2">
      <c r="A1344" s="524">
        <v>70526</v>
      </c>
      <c r="B1344" s="526">
        <v>46219</v>
      </c>
      <c r="C1344" s="524" t="s">
        <v>1162</v>
      </c>
      <c r="D1344" s="524" t="s">
        <v>1205</v>
      </c>
      <c r="E1344" s="524" t="s">
        <v>1211</v>
      </c>
      <c r="F1344" s="524" t="s">
        <v>1183</v>
      </c>
      <c r="G1344" s="524" t="s">
        <v>776</v>
      </c>
      <c r="H1344" s="527">
        <v>2000</v>
      </c>
      <c r="I1344" s="524" t="s">
        <v>1148</v>
      </c>
      <c r="J1344" s="524">
        <f>IF(cmf[[#This Row],[D/C]]="C",cmf[[#This Row],[Valor]],-1*cmf[[#This Row],[Valor]])</f>
        <v>2000</v>
      </c>
      <c r="L1344" s="524" t="s">
        <v>1207</v>
      </c>
      <c r="M1344" s="524" t="s">
        <v>1208</v>
      </c>
      <c r="N1344" s="524" t="s">
        <v>1212</v>
      </c>
      <c r="O1344" s="524" t="s">
        <v>1213</v>
      </c>
      <c r="P1344" s="526"/>
      <c r="S1344" s="527">
        <v>0</v>
      </c>
    </row>
    <row r="1345" spans="1:19" x14ac:dyDescent="0.2">
      <c r="A1345" s="524">
        <v>70537</v>
      </c>
      <c r="B1345" s="526">
        <v>46219</v>
      </c>
      <c r="C1345" s="524" t="s">
        <v>1148</v>
      </c>
      <c r="D1345" s="524" t="s">
        <v>1239</v>
      </c>
      <c r="E1345" s="524" t="s">
        <v>1821</v>
      </c>
      <c r="F1345" s="524" t="s">
        <v>1178</v>
      </c>
      <c r="G1345" s="524" t="s">
        <v>1179</v>
      </c>
      <c r="H1345" s="527">
        <v>120</v>
      </c>
      <c r="I1345" s="524" t="s">
        <v>1174</v>
      </c>
      <c r="J1345" s="524">
        <f>IF(cmf[[#This Row],[D/C]]="C",cmf[[#This Row],[Valor]],-1*cmf[[#This Row],[Valor]])</f>
        <v>-120</v>
      </c>
      <c r="L1345" s="524" t="s">
        <v>1241</v>
      </c>
      <c r="M1345" s="524" t="s">
        <v>1242</v>
      </c>
      <c r="N1345" s="524" t="s">
        <v>1180</v>
      </c>
      <c r="O1345" s="524" t="s">
        <v>1181</v>
      </c>
      <c r="P1345" s="526">
        <v>46219</v>
      </c>
      <c r="S1345" s="527">
        <v>0</v>
      </c>
    </row>
    <row r="1346" spans="1:19" x14ac:dyDescent="0.2">
      <c r="A1346" s="524">
        <v>70589</v>
      </c>
      <c r="B1346" s="526">
        <v>46219</v>
      </c>
      <c r="C1346" s="524" t="s">
        <v>1148</v>
      </c>
      <c r="D1346" s="524" t="s">
        <v>1239</v>
      </c>
      <c r="E1346" s="524" t="s">
        <v>1251</v>
      </c>
      <c r="F1346" s="524" t="s">
        <v>1178</v>
      </c>
      <c r="G1346" s="524" t="s">
        <v>1179</v>
      </c>
      <c r="H1346" s="527">
        <v>5</v>
      </c>
      <c r="I1346" s="524" t="s">
        <v>1174</v>
      </c>
      <c r="J1346" s="524">
        <f>IF(cmf[[#This Row],[D/C]]="C",cmf[[#This Row],[Valor]],-1*cmf[[#This Row],[Valor]])</f>
        <v>-5</v>
      </c>
      <c r="L1346" s="524" t="s">
        <v>1241</v>
      </c>
      <c r="M1346" s="524" t="s">
        <v>1242</v>
      </c>
      <c r="N1346" s="524" t="s">
        <v>1180</v>
      </c>
      <c r="O1346" s="524" t="s">
        <v>1181</v>
      </c>
      <c r="P1346" s="526">
        <v>46219</v>
      </c>
      <c r="S1346" s="527">
        <v>0</v>
      </c>
    </row>
    <row r="1347" spans="1:19" x14ac:dyDescent="0.2">
      <c r="A1347" s="524">
        <v>70633</v>
      </c>
      <c r="B1347" s="526">
        <v>46219</v>
      </c>
      <c r="C1347" s="524" t="s">
        <v>1148</v>
      </c>
      <c r="D1347" s="524" t="s">
        <v>1243</v>
      </c>
      <c r="E1347" s="524" t="s">
        <v>1254</v>
      </c>
      <c r="F1347" s="524" t="s">
        <v>1178</v>
      </c>
      <c r="G1347" s="524" t="s">
        <v>1179</v>
      </c>
      <c r="H1347" s="527">
        <v>4880.96</v>
      </c>
      <c r="I1347" s="524" t="s">
        <v>1148</v>
      </c>
      <c r="J1347" s="524">
        <f>IF(cmf[[#This Row],[D/C]]="C",cmf[[#This Row],[Valor]],-1*cmf[[#This Row],[Valor]])</f>
        <v>4880.96</v>
      </c>
      <c r="L1347" s="524" t="s">
        <v>1245</v>
      </c>
      <c r="M1347" s="524" t="s">
        <v>1246</v>
      </c>
      <c r="N1347" s="524" t="s">
        <v>1180</v>
      </c>
      <c r="O1347" s="524" t="s">
        <v>1181</v>
      </c>
      <c r="P1347" s="526">
        <v>46219</v>
      </c>
      <c r="S1347" s="527">
        <v>0</v>
      </c>
    </row>
    <row r="1348" spans="1:19" x14ac:dyDescent="0.2">
      <c r="A1348" s="524">
        <v>70728</v>
      </c>
      <c r="B1348" s="526">
        <v>46219</v>
      </c>
      <c r="C1348" s="524" t="s">
        <v>1148</v>
      </c>
      <c r="D1348" s="524" t="s">
        <v>1239</v>
      </c>
      <c r="E1348" s="524" t="s">
        <v>1253</v>
      </c>
      <c r="F1348" s="524" t="s">
        <v>1170</v>
      </c>
      <c r="G1348" s="524" t="s">
        <v>802</v>
      </c>
      <c r="H1348" s="527">
        <v>1.2</v>
      </c>
      <c r="I1348" s="524" t="s">
        <v>1174</v>
      </c>
      <c r="J1348" s="524">
        <f>IF(cmf[[#This Row],[D/C]]="C",cmf[[#This Row],[Valor]],-1*cmf[[#This Row],[Valor]])</f>
        <v>-1.2</v>
      </c>
      <c r="L1348" s="524" t="s">
        <v>1241</v>
      </c>
      <c r="M1348" s="524" t="s">
        <v>1242</v>
      </c>
      <c r="N1348" s="524" t="s">
        <v>1192</v>
      </c>
      <c r="O1348" s="524" t="s">
        <v>1193</v>
      </c>
      <c r="P1348" s="526">
        <v>46219</v>
      </c>
      <c r="S1348" s="527">
        <v>0</v>
      </c>
    </row>
    <row r="1349" spans="1:19" x14ac:dyDescent="0.2">
      <c r="A1349" s="524">
        <v>70742</v>
      </c>
      <c r="B1349" s="526">
        <v>46219</v>
      </c>
      <c r="C1349" s="524" t="s">
        <v>1148</v>
      </c>
      <c r="D1349" s="524" t="s">
        <v>1239</v>
      </c>
      <c r="E1349" s="524" t="s">
        <v>1315</v>
      </c>
      <c r="F1349" s="524" t="s">
        <v>1170</v>
      </c>
      <c r="G1349" s="524" t="s">
        <v>757</v>
      </c>
      <c r="H1349" s="527">
        <v>1.2</v>
      </c>
      <c r="I1349" s="524" t="s">
        <v>1174</v>
      </c>
      <c r="J1349" s="524">
        <f>IF(cmf[[#This Row],[D/C]]="C",cmf[[#This Row],[Valor]],-1*cmf[[#This Row],[Valor]])</f>
        <v>-1.2</v>
      </c>
      <c r="L1349" s="524" t="s">
        <v>1241</v>
      </c>
      <c r="M1349" s="524" t="s">
        <v>1242</v>
      </c>
      <c r="N1349" s="524" t="s">
        <v>1223</v>
      </c>
      <c r="O1349" s="524" t="s">
        <v>1224</v>
      </c>
      <c r="P1349" s="526">
        <v>46219</v>
      </c>
      <c r="S1349" s="527">
        <v>0</v>
      </c>
    </row>
    <row r="1350" spans="1:19" x14ac:dyDescent="0.2">
      <c r="A1350" s="524">
        <v>70781</v>
      </c>
      <c r="B1350" s="526">
        <v>46219</v>
      </c>
      <c r="C1350" s="524" t="s">
        <v>1148</v>
      </c>
      <c r="D1350" s="524" t="s">
        <v>1239</v>
      </c>
      <c r="E1350" s="524" t="s">
        <v>1258</v>
      </c>
      <c r="F1350" s="524" t="s">
        <v>1170</v>
      </c>
      <c r="G1350" s="524" t="s">
        <v>1102</v>
      </c>
      <c r="H1350" s="527">
        <v>25.2</v>
      </c>
      <c r="I1350" s="524" t="s">
        <v>1174</v>
      </c>
      <c r="J1350" s="524">
        <f>IF(cmf[[#This Row],[D/C]]="C",cmf[[#This Row],[Valor]],-1*cmf[[#This Row],[Valor]])</f>
        <v>-25.2</v>
      </c>
      <c r="L1350" s="524" t="s">
        <v>1241</v>
      </c>
      <c r="M1350" s="524" t="s">
        <v>1242</v>
      </c>
      <c r="N1350" s="524" t="s">
        <v>1192</v>
      </c>
      <c r="O1350" s="524" t="s">
        <v>1193</v>
      </c>
      <c r="P1350" s="526">
        <v>46219</v>
      </c>
      <c r="S1350" s="527">
        <v>0</v>
      </c>
    </row>
    <row r="1351" spans="1:19" x14ac:dyDescent="0.2">
      <c r="A1351" s="524">
        <v>70782</v>
      </c>
      <c r="B1351" s="526">
        <v>46219</v>
      </c>
      <c r="C1351" s="524" t="s">
        <v>1148</v>
      </c>
      <c r="D1351" s="524" t="s">
        <v>1239</v>
      </c>
      <c r="E1351" s="524" t="s">
        <v>1258</v>
      </c>
      <c r="F1351" s="524" t="s">
        <v>1170</v>
      </c>
      <c r="G1351" s="524" t="s">
        <v>1102</v>
      </c>
      <c r="H1351" s="527">
        <v>1.2</v>
      </c>
      <c r="I1351" s="524" t="s">
        <v>1174</v>
      </c>
      <c r="J1351" s="524">
        <f>IF(cmf[[#This Row],[D/C]]="C",cmf[[#This Row],[Valor]],-1*cmf[[#This Row],[Valor]])</f>
        <v>-1.2</v>
      </c>
      <c r="L1351" s="524" t="s">
        <v>1241</v>
      </c>
      <c r="M1351" s="524" t="s">
        <v>1242</v>
      </c>
      <c r="N1351" s="524" t="s">
        <v>1192</v>
      </c>
      <c r="O1351" s="524" t="s">
        <v>1193</v>
      </c>
      <c r="P1351" s="526">
        <v>46219</v>
      </c>
      <c r="S1351" s="527">
        <v>0</v>
      </c>
    </row>
    <row r="1352" spans="1:19" x14ac:dyDescent="0.2">
      <c r="A1352" s="524">
        <v>70971</v>
      </c>
      <c r="B1352" s="526">
        <v>46219</v>
      </c>
      <c r="C1352" s="524" t="s">
        <v>1148</v>
      </c>
      <c r="D1352" s="524" t="s">
        <v>1239</v>
      </c>
      <c r="E1352" s="524" t="s">
        <v>1253</v>
      </c>
      <c r="F1352" s="524" t="s">
        <v>1170</v>
      </c>
      <c r="G1352" s="524" t="s">
        <v>798</v>
      </c>
      <c r="H1352" s="527">
        <v>0.6</v>
      </c>
      <c r="I1352" s="524" t="s">
        <v>1174</v>
      </c>
      <c r="J1352" s="524">
        <f>IF(cmf[[#This Row],[D/C]]="C",cmf[[#This Row],[Valor]],-1*cmf[[#This Row],[Valor]])</f>
        <v>-0.6</v>
      </c>
      <c r="L1352" s="524" t="s">
        <v>1241</v>
      </c>
      <c r="M1352" s="524" t="s">
        <v>1242</v>
      </c>
      <c r="N1352" s="524" t="s">
        <v>1171</v>
      </c>
      <c r="O1352" s="524" t="s">
        <v>1172</v>
      </c>
      <c r="P1352" s="526">
        <v>46219</v>
      </c>
      <c r="S1352" s="527">
        <v>0</v>
      </c>
    </row>
    <row r="1353" spans="1:19" x14ac:dyDescent="0.2">
      <c r="A1353" s="524">
        <v>71020</v>
      </c>
      <c r="B1353" s="526">
        <v>46219</v>
      </c>
      <c r="C1353" s="524" t="s">
        <v>1148</v>
      </c>
      <c r="D1353" s="524" t="s">
        <v>1239</v>
      </c>
      <c r="E1353" s="524" t="s">
        <v>1253</v>
      </c>
      <c r="F1353" s="524" t="s">
        <v>1170</v>
      </c>
      <c r="G1353" s="524" t="s">
        <v>799</v>
      </c>
      <c r="H1353" s="527">
        <v>0.2</v>
      </c>
      <c r="I1353" s="524" t="s">
        <v>1174</v>
      </c>
      <c r="J1353" s="524">
        <f>IF(cmf[[#This Row],[D/C]]="C",cmf[[#This Row],[Valor]],-1*cmf[[#This Row],[Valor]])</f>
        <v>-0.2</v>
      </c>
      <c r="L1353" s="524" t="s">
        <v>1241</v>
      </c>
      <c r="M1353" s="524" t="s">
        <v>1242</v>
      </c>
      <c r="N1353" s="524" t="s">
        <v>1171</v>
      </c>
      <c r="O1353" s="524" t="s">
        <v>1172</v>
      </c>
      <c r="P1353" s="526">
        <v>46219</v>
      </c>
      <c r="S1353" s="527">
        <v>0</v>
      </c>
    </row>
    <row r="1354" spans="1:19" x14ac:dyDescent="0.2">
      <c r="A1354" s="524">
        <v>71037</v>
      </c>
      <c r="B1354" s="526">
        <v>46219</v>
      </c>
      <c r="C1354" s="524" t="s">
        <v>1148</v>
      </c>
      <c r="D1354" s="524" t="s">
        <v>1239</v>
      </c>
      <c r="E1354" s="524" t="s">
        <v>1258</v>
      </c>
      <c r="F1354" s="524" t="s">
        <v>1170</v>
      </c>
      <c r="G1354" s="524" t="s">
        <v>765</v>
      </c>
      <c r="H1354" s="527">
        <v>1.5</v>
      </c>
      <c r="I1354" s="524" t="s">
        <v>1174</v>
      </c>
      <c r="J1354" s="524">
        <f>IF(cmf[[#This Row],[D/C]]="C",cmf[[#This Row],[Valor]],-1*cmf[[#This Row],[Valor]])</f>
        <v>-1.5</v>
      </c>
      <c r="L1354" s="524" t="s">
        <v>1241</v>
      </c>
      <c r="M1354" s="524" t="s">
        <v>1242</v>
      </c>
      <c r="N1354" s="524" t="s">
        <v>1200</v>
      </c>
      <c r="O1354" s="524" t="s">
        <v>1201</v>
      </c>
      <c r="P1354" s="526">
        <v>46219</v>
      </c>
      <c r="S1354" s="527">
        <v>0</v>
      </c>
    </row>
    <row r="1355" spans="1:19" x14ac:dyDescent="0.2">
      <c r="A1355" s="524">
        <v>71220</v>
      </c>
      <c r="B1355" s="526">
        <v>46219</v>
      </c>
      <c r="C1355" s="524" t="s">
        <v>1148</v>
      </c>
      <c r="D1355" s="524" t="s">
        <v>1239</v>
      </c>
      <c r="E1355" s="524" t="s">
        <v>2043</v>
      </c>
      <c r="F1355" s="524" t="s">
        <v>1170</v>
      </c>
      <c r="G1355" s="524" t="s">
        <v>738</v>
      </c>
      <c r="H1355" s="527">
        <v>507</v>
      </c>
      <c r="I1355" s="524" t="s">
        <v>1174</v>
      </c>
      <c r="J1355" s="524">
        <f>IF(cmf[[#This Row],[D/C]]="C",cmf[[#This Row],[Valor]],-1*cmf[[#This Row],[Valor]])</f>
        <v>-507</v>
      </c>
      <c r="L1355" s="524" t="s">
        <v>1359</v>
      </c>
      <c r="M1355" s="524" t="s">
        <v>1360</v>
      </c>
      <c r="N1355" s="524" t="s">
        <v>1215</v>
      </c>
      <c r="O1355" s="524" t="s">
        <v>1218</v>
      </c>
      <c r="P1355" s="526">
        <v>46219</v>
      </c>
      <c r="S1355" s="527">
        <v>0</v>
      </c>
    </row>
    <row r="1356" spans="1:19" x14ac:dyDescent="0.2">
      <c r="A1356" s="524">
        <v>71244</v>
      </c>
      <c r="B1356" s="526">
        <v>46219</v>
      </c>
      <c r="C1356" s="524" t="s">
        <v>1148</v>
      </c>
      <c r="D1356" s="524" t="s">
        <v>1239</v>
      </c>
      <c r="E1356" s="524" t="s">
        <v>1255</v>
      </c>
      <c r="F1356" s="524" t="s">
        <v>1170</v>
      </c>
      <c r="G1356" s="524" t="s">
        <v>749</v>
      </c>
      <c r="H1356" s="527">
        <v>0.6</v>
      </c>
      <c r="I1356" s="524" t="s">
        <v>1174</v>
      </c>
      <c r="J1356" s="524">
        <f>IF(cmf[[#This Row],[D/C]]="C",cmf[[#This Row],[Valor]],-1*cmf[[#This Row],[Valor]])</f>
        <v>-0.6</v>
      </c>
      <c r="L1356" s="524" t="s">
        <v>1241</v>
      </c>
      <c r="M1356" s="524" t="s">
        <v>1242</v>
      </c>
      <c r="N1356" s="524" t="s">
        <v>1256</v>
      </c>
      <c r="O1356" s="524" t="s">
        <v>1257</v>
      </c>
      <c r="P1356" s="526">
        <v>46219</v>
      </c>
      <c r="S1356" s="527">
        <v>0</v>
      </c>
    </row>
    <row r="1357" spans="1:19" x14ac:dyDescent="0.2">
      <c r="A1357" s="524">
        <v>71245</v>
      </c>
      <c r="B1357" s="526">
        <v>46219</v>
      </c>
      <c r="C1357" s="524" t="s">
        <v>1148</v>
      </c>
      <c r="D1357" s="524" t="s">
        <v>1239</v>
      </c>
      <c r="E1357" s="524" t="s">
        <v>1312</v>
      </c>
      <c r="F1357" s="524" t="s">
        <v>1170</v>
      </c>
      <c r="G1357" s="524" t="s">
        <v>749</v>
      </c>
      <c r="H1357" s="527">
        <v>5</v>
      </c>
      <c r="I1357" s="524" t="s">
        <v>1174</v>
      </c>
      <c r="J1357" s="524">
        <f>IF(cmf[[#This Row],[D/C]]="C",cmf[[#This Row],[Valor]],-1*cmf[[#This Row],[Valor]])</f>
        <v>-5</v>
      </c>
      <c r="L1357" s="524" t="s">
        <v>1241</v>
      </c>
      <c r="M1357" s="524" t="s">
        <v>1242</v>
      </c>
      <c r="N1357" s="524" t="s">
        <v>1256</v>
      </c>
      <c r="O1357" s="524" t="s">
        <v>1257</v>
      </c>
      <c r="P1357" s="526">
        <v>46219</v>
      </c>
      <c r="S1357" s="527">
        <v>0</v>
      </c>
    </row>
    <row r="1358" spans="1:19" x14ac:dyDescent="0.2">
      <c r="A1358" s="524">
        <v>71246</v>
      </c>
      <c r="B1358" s="526">
        <v>46219</v>
      </c>
      <c r="C1358" s="524" t="s">
        <v>1148</v>
      </c>
      <c r="D1358" s="524" t="s">
        <v>1239</v>
      </c>
      <c r="E1358" s="524" t="s">
        <v>1255</v>
      </c>
      <c r="F1358" s="524" t="s">
        <v>1170</v>
      </c>
      <c r="G1358" s="524" t="s">
        <v>749</v>
      </c>
      <c r="H1358" s="527">
        <v>0.2</v>
      </c>
      <c r="I1358" s="524" t="s">
        <v>1174</v>
      </c>
      <c r="J1358" s="524">
        <f>IF(cmf[[#This Row],[D/C]]="C",cmf[[#This Row],[Valor]],-1*cmf[[#This Row],[Valor]])</f>
        <v>-0.2</v>
      </c>
      <c r="L1358" s="524" t="s">
        <v>1241</v>
      </c>
      <c r="M1358" s="524" t="s">
        <v>1242</v>
      </c>
      <c r="N1358" s="524" t="s">
        <v>1256</v>
      </c>
      <c r="O1358" s="524" t="s">
        <v>1257</v>
      </c>
      <c r="P1358" s="526">
        <v>46220</v>
      </c>
      <c r="S1358" s="527">
        <v>0</v>
      </c>
    </row>
    <row r="1359" spans="1:19" x14ac:dyDescent="0.2">
      <c r="A1359" s="524">
        <v>71538</v>
      </c>
      <c r="B1359" s="526">
        <v>46219</v>
      </c>
      <c r="C1359" s="524" t="s">
        <v>1148</v>
      </c>
      <c r="D1359" s="524" t="s">
        <v>1239</v>
      </c>
      <c r="E1359" s="524" t="s">
        <v>2043</v>
      </c>
      <c r="F1359" s="524" t="s">
        <v>1170</v>
      </c>
      <c r="G1359" s="524" t="s">
        <v>740</v>
      </c>
      <c r="H1359" s="527">
        <v>225.34</v>
      </c>
      <c r="I1359" s="524" t="s">
        <v>1174</v>
      </c>
      <c r="J1359" s="524">
        <f>IF(cmf[[#This Row],[D/C]]="C",cmf[[#This Row],[Valor]],-1*cmf[[#This Row],[Valor]])</f>
        <v>-225.34</v>
      </c>
      <c r="L1359" s="524" t="s">
        <v>1359</v>
      </c>
      <c r="M1359" s="524" t="s">
        <v>1360</v>
      </c>
      <c r="N1359" s="524" t="s">
        <v>1215</v>
      </c>
      <c r="O1359" s="524" t="s">
        <v>1218</v>
      </c>
      <c r="P1359" s="526">
        <v>46219</v>
      </c>
      <c r="S1359" s="527">
        <v>0</v>
      </c>
    </row>
    <row r="1360" spans="1:19" x14ac:dyDescent="0.2">
      <c r="A1360" s="524">
        <v>71540</v>
      </c>
      <c r="B1360" s="526">
        <v>46219</v>
      </c>
      <c r="C1360" s="524" t="s">
        <v>1148</v>
      </c>
      <c r="D1360" s="524" t="s">
        <v>1239</v>
      </c>
      <c r="E1360" s="524" t="s">
        <v>1312</v>
      </c>
      <c r="F1360" s="524" t="s">
        <v>1170</v>
      </c>
      <c r="G1360" s="524" t="s">
        <v>740</v>
      </c>
      <c r="H1360" s="527">
        <v>5</v>
      </c>
      <c r="I1360" s="524" t="s">
        <v>1174</v>
      </c>
      <c r="J1360" s="524">
        <f>IF(cmf[[#This Row],[D/C]]="C",cmf[[#This Row],[Valor]],-1*cmf[[#This Row],[Valor]])</f>
        <v>-5</v>
      </c>
      <c r="L1360" s="524" t="s">
        <v>1241</v>
      </c>
      <c r="M1360" s="524" t="s">
        <v>1242</v>
      </c>
      <c r="N1360" s="524" t="s">
        <v>1215</v>
      </c>
      <c r="O1360" s="524" t="s">
        <v>1218</v>
      </c>
      <c r="P1360" s="526">
        <v>46219</v>
      </c>
      <c r="S1360" s="527">
        <v>0</v>
      </c>
    </row>
    <row r="1361" spans="1:19" x14ac:dyDescent="0.2">
      <c r="A1361" s="524">
        <v>71715</v>
      </c>
      <c r="B1361" s="526">
        <v>46219</v>
      </c>
      <c r="C1361" s="524" t="s">
        <v>1148</v>
      </c>
      <c r="D1361" s="524" t="s">
        <v>1243</v>
      </c>
      <c r="E1361" s="524" t="s">
        <v>1244</v>
      </c>
      <c r="F1361" s="524" t="s">
        <v>1183</v>
      </c>
      <c r="G1361" s="524" t="s">
        <v>742</v>
      </c>
      <c r="H1361" s="527">
        <v>37644.36</v>
      </c>
      <c r="I1361" s="524" t="s">
        <v>1148</v>
      </c>
      <c r="J1361" s="524">
        <f>IF(cmf[[#This Row],[D/C]]="C",cmf[[#This Row],[Valor]],-1*cmf[[#This Row],[Valor]])</f>
        <v>37644.36</v>
      </c>
      <c r="L1361" s="524" t="s">
        <v>1245</v>
      </c>
      <c r="M1361" s="524" t="s">
        <v>1246</v>
      </c>
      <c r="N1361" s="524" t="s">
        <v>1215</v>
      </c>
      <c r="O1361" s="524" t="s">
        <v>1267</v>
      </c>
      <c r="P1361" s="526">
        <v>46219</v>
      </c>
      <c r="S1361" s="527">
        <v>0</v>
      </c>
    </row>
    <row r="1362" spans="1:19" x14ac:dyDescent="0.2">
      <c r="A1362" s="524">
        <v>71716</v>
      </c>
      <c r="B1362" s="526">
        <v>46219</v>
      </c>
      <c r="C1362" s="524" t="s">
        <v>1148</v>
      </c>
      <c r="D1362" s="524" t="s">
        <v>1243</v>
      </c>
      <c r="E1362" s="524" t="s">
        <v>1244</v>
      </c>
      <c r="F1362" s="524" t="s">
        <v>1183</v>
      </c>
      <c r="G1362" s="524" t="s">
        <v>742</v>
      </c>
      <c r="H1362" s="527">
        <v>0.05</v>
      </c>
      <c r="I1362" s="524" t="s">
        <v>1148</v>
      </c>
      <c r="J1362" s="524">
        <f>IF(cmf[[#This Row],[D/C]]="C",cmf[[#This Row],[Valor]],-1*cmf[[#This Row],[Valor]])</f>
        <v>0.05</v>
      </c>
      <c r="L1362" s="524" t="s">
        <v>1245</v>
      </c>
      <c r="M1362" s="524" t="s">
        <v>1246</v>
      </c>
      <c r="N1362" s="524" t="s">
        <v>1215</v>
      </c>
      <c r="O1362" s="524" t="s">
        <v>1267</v>
      </c>
      <c r="P1362" s="526">
        <v>46219</v>
      </c>
      <c r="S1362" s="527">
        <v>0</v>
      </c>
    </row>
    <row r="1363" spans="1:19" x14ac:dyDescent="0.2">
      <c r="A1363" s="524">
        <v>69697</v>
      </c>
      <c r="B1363" s="526">
        <v>46220</v>
      </c>
      <c r="C1363" s="524" t="s">
        <v>1148</v>
      </c>
      <c r="D1363" s="524" t="s">
        <v>1163</v>
      </c>
      <c r="E1363" s="524" t="s">
        <v>1164</v>
      </c>
      <c r="F1363" s="524" t="s">
        <v>1170</v>
      </c>
      <c r="G1363" s="524" t="s">
        <v>765</v>
      </c>
      <c r="H1363" s="527">
        <v>399</v>
      </c>
      <c r="I1363" s="524" t="s">
        <v>1148</v>
      </c>
      <c r="J1363" s="524">
        <f>IF(cmf[[#This Row],[D/C]]="C",cmf[[#This Row],[Valor]],-1*cmf[[#This Row],[Valor]])</f>
        <v>399</v>
      </c>
      <c r="L1363" s="524" t="s">
        <v>1166</v>
      </c>
      <c r="M1363" s="524" t="s">
        <v>1167</v>
      </c>
      <c r="N1363" s="524" t="s">
        <v>1200</v>
      </c>
      <c r="O1363" s="524" t="s">
        <v>1201</v>
      </c>
      <c r="P1363" s="526">
        <v>46220</v>
      </c>
      <c r="S1363" s="527">
        <v>0</v>
      </c>
    </row>
    <row r="1364" spans="1:19" x14ac:dyDescent="0.2">
      <c r="A1364" s="524">
        <v>69698</v>
      </c>
      <c r="B1364" s="526">
        <v>46220</v>
      </c>
      <c r="C1364" s="524" t="s">
        <v>1148</v>
      </c>
      <c r="D1364" s="524" t="s">
        <v>1163</v>
      </c>
      <c r="E1364" s="524" t="s">
        <v>1173</v>
      </c>
      <c r="F1364" s="524" t="s">
        <v>1170</v>
      </c>
      <c r="G1364" s="524" t="s">
        <v>765</v>
      </c>
      <c r="H1364" s="527">
        <v>6.3</v>
      </c>
      <c r="I1364" s="524" t="s">
        <v>1174</v>
      </c>
      <c r="J1364" s="524">
        <f>IF(cmf[[#This Row],[D/C]]="C",cmf[[#This Row],[Valor]],-1*cmf[[#This Row],[Valor]])</f>
        <v>-6.3</v>
      </c>
      <c r="L1364" s="524" t="s">
        <v>1175</v>
      </c>
      <c r="M1364" s="524" t="s">
        <v>1176</v>
      </c>
      <c r="N1364" s="524" t="s">
        <v>1200</v>
      </c>
      <c r="O1364" s="524" t="s">
        <v>1201</v>
      </c>
      <c r="P1364" s="526">
        <v>46220</v>
      </c>
      <c r="S1364" s="527">
        <v>0</v>
      </c>
    </row>
    <row r="1365" spans="1:19" x14ac:dyDescent="0.2">
      <c r="A1365" s="524">
        <v>69708</v>
      </c>
      <c r="B1365" s="526">
        <v>46220</v>
      </c>
      <c r="C1365" s="524" t="s">
        <v>1162</v>
      </c>
      <c r="D1365" s="524" t="s">
        <v>1163</v>
      </c>
      <c r="E1365" s="524" t="s">
        <v>1164</v>
      </c>
      <c r="F1365" s="524" t="s">
        <v>1165</v>
      </c>
      <c r="G1365" s="524" t="s">
        <v>756</v>
      </c>
      <c r="H1365" s="527">
        <v>125664.75</v>
      </c>
      <c r="I1365" s="524" t="s">
        <v>1148</v>
      </c>
      <c r="J1365" s="524">
        <f>IF(cmf[[#This Row],[D/C]]="C",cmf[[#This Row],[Valor]],-1*cmf[[#This Row],[Valor]])</f>
        <v>125664.75</v>
      </c>
      <c r="L1365" s="524" t="s">
        <v>1166</v>
      </c>
      <c r="M1365" s="524" t="s">
        <v>1167</v>
      </c>
      <c r="N1365" s="524" t="s">
        <v>1168</v>
      </c>
      <c r="O1365" s="524" t="s">
        <v>1169</v>
      </c>
      <c r="P1365" s="526"/>
      <c r="S1365" s="527">
        <v>0</v>
      </c>
    </row>
    <row r="1366" spans="1:19" x14ac:dyDescent="0.2">
      <c r="A1366" s="524">
        <v>69795</v>
      </c>
      <c r="B1366" s="526">
        <v>46220</v>
      </c>
      <c r="C1366" s="524" t="s">
        <v>1148</v>
      </c>
      <c r="D1366" s="524" t="s">
        <v>1163</v>
      </c>
      <c r="E1366" s="524" t="s">
        <v>1164</v>
      </c>
      <c r="F1366" s="524" t="s">
        <v>1170</v>
      </c>
      <c r="G1366" s="524" t="s">
        <v>740</v>
      </c>
      <c r="H1366" s="527">
        <v>1416.56</v>
      </c>
      <c r="I1366" s="524" t="s">
        <v>1148</v>
      </c>
      <c r="J1366" s="524">
        <f>IF(cmf[[#This Row],[D/C]]="C",cmf[[#This Row],[Valor]],-1*cmf[[#This Row],[Valor]])</f>
        <v>1416.56</v>
      </c>
      <c r="L1366" s="524" t="s">
        <v>1166</v>
      </c>
      <c r="M1366" s="524" t="s">
        <v>1167</v>
      </c>
      <c r="N1366" s="524" t="s">
        <v>1215</v>
      </c>
      <c r="O1366" s="524" t="s">
        <v>1218</v>
      </c>
      <c r="P1366" s="526">
        <v>46220</v>
      </c>
      <c r="S1366" s="527">
        <v>0</v>
      </c>
    </row>
    <row r="1367" spans="1:19" x14ac:dyDescent="0.2">
      <c r="A1367" s="524">
        <v>69796</v>
      </c>
      <c r="B1367" s="526">
        <v>46220</v>
      </c>
      <c r="C1367" s="524" t="s">
        <v>1148</v>
      </c>
      <c r="D1367" s="524" t="s">
        <v>1163</v>
      </c>
      <c r="E1367" s="524" t="s">
        <v>1173</v>
      </c>
      <c r="F1367" s="524" t="s">
        <v>1170</v>
      </c>
      <c r="G1367" s="524" t="s">
        <v>740</v>
      </c>
      <c r="H1367" s="527">
        <v>18.899999999999999</v>
      </c>
      <c r="I1367" s="524" t="s">
        <v>1174</v>
      </c>
      <c r="J1367" s="524">
        <f>IF(cmf[[#This Row],[D/C]]="C",cmf[[#This Row],[Valor]],-1*cmf[[#This Row],[Valor]])</f>
        <v>-18.899999999999999</v>
      </c>
      <c r="L1367" s="524" t="s">
        <v>1175</v>
      </c>
      <c r="M1367" s="524" t="s">
        <v>1176</v>
      </c>
      <c r="N1367" s="524" t="s">
        <v>1215</v>
      </c>
      <c r="O1367" s="524" t="s">
        <v>1218</v>
      </c>
      <c r="P1367" s="526">
        <v>46220</v>
      </c>
      <c r="S1367" s="527">
        <v>0</v>
      </c>
    </row>
    <row r="1368" spans="1:19" x14ac:dyDescent="0.2">
      <c r="A1368" s="524">
        <v>69799</v>
      </c>
      <c r="B1368" s="526">
        <v>46220</v>
      </c>
      <c r="C1368" s="524" t="s">
        <v>1162</v>
      </c>
      <c r="D1368" s="524" t="s">
        <v>1163</v>
      </c>
      <c r="E1368" s="524" t="s">
        <v>1164</v>
      </c>
      <c r="F1368" s="524" t="s">
        <v>1183</v>
      </c>
      <c r="G1368" s="524" t="s">
        <v>796</v>
      </c>
      <c r="H1368" s="527">
        <v>1153.8699999999999</v>
      </c>
      <c r="I1368" s="524" t="s">
        <v>1148</v>
      </c>
      <c r="J1368" s="524">
        <f>IF(cmf[[#This Row],[D/C]]="C",cmf[[#This Row],[Valor]],-1*cmf[[#This Row],[Valor]])</f>
        <v>1153.8699999999999</v>
      </c>
      <c r="L1368" s="524" t="s">
        <v>1166</v>
      </c>
      <c r="M1368" s="524" t="s">
        <v>1167</v>
      </c>
      <c r="N1368" s="524" t="s">
        <v>1184</v>
      </c>
      <c r="O1368" s="524" t="s">
        <v>1172</v>
      </c>
      <c r="P1368" s="526"/>
      <c r="S1368" s="527">
        <v>0</v>
      </c>
    </row>
    <row r="1369" spans="1:19" x14ac:dyDescent="0.2">
      <c r="A1369" s="524">
        <v>69800</v>
      </c>
      <c r="B1369" s="526">
        <v>46220</v>
      </c>
      <c r="C1369" s="524" t="s">
        <v>1162</v>
      </c>
      <c r="D1369" s="524" t="s">
        <v>1163</v>
      </c>
      <c r="E1369" s="524" t="s">
        <v>1173</v>
      </c>
      <c r="F1369" s="524" t="s">
        <v>1183</v>
      </c>
      <c r="G1369" s="524" t="s">
        <v>796</v>
      </c>
      <c r="H1369" s="527">
        <v>2.2999999999999998</v>
      </c>
      <c r="I1369" s="524" t="s">
        <v>1174</v>
      </c>
      <c r="J1369" s="524">
        <f>IF(cmf[[#This Row],[D/C]]="C",cmf[[#This Row],[Valor]],-1*cmf[[#This Row],[Valor]])</f>
        <v>-2.2999999999999998</v>
      </c>
      <c r="L1369" s="524" t="s">
        <v>1175</v>
      </c>
      <c r="M1369" s="524" t="s">
        <v>1176</v>
      </c>
      <c r="N1369" s="524" t="s">
        <v>1184</v>
      </c>
      <c r="O1369" s="524" t="s">
        <v>1172</v>
      </c>
      <c r="P1369" s="526"/>
      <c r="S1369" s="527">
        <v>0</v>
      </c>
    </row>
    <row r="1370" spans="1:19" x14ac:dyDescent="0.2">
      <c r="A1370" s="524">
        <v>69801</v>
      </c>
      <c r="B1370" s="526">
        <v>46220</v>
      </c>
      <c r="C1370" s="524" t="s">
        <v>1148</v>
      </c>
      <c r="D1370" s="524" t="s">
        <v>1163</v>
      </c>
      <c r="E1370" s="524" t="s">
        <v>1164</v>
      </c>
      <c r="F1370" s="524" t="s">
        <v>1170</v>
      </c>
      <c r="G1370" s="524" t="s">
        <v>768</v>
      </c>
      <c r="H1370" s="527">
        <v>932.86</v>
      </c>
      <c r="I1370" s="524" t="s">
        <v>1148</v>
      </c>
      <c r="J1370" s="524">
        <f>IF(cmf[[#This Row],[D/C]]="C",cmf[[#This Row],[Valor]],-1*cmf[[#This Row],[Valor]])</f>
        <v>932.86</v>
      </c>
      <c r="L1370" s="524" t="s">
        <v>1166</v>
      </c>
      <c r="M1370" s="524" t="s">
        <v>1167</v>
      </c>
      <c r="N1370" s="524" t="s">
        <v>1219</v>
      </c>
      <c r="O1370" s="524" t="s">
        <v>1220</v>
      </c>
      <c r="P1370" s="526">
        <v>46220</v>
      </c>
      <c r="S1370" s="527">
        <v>0</v>
      </c>
    </row>
    <row r="1371" spans="1:19" x14ac:dyDescent="0.2">
      <c r="A1371" s="524">
        <v>69802</v>
      </c>
      <c r="B1371" s="526">
        <v>46220</v>
      </c>
      <c r="C1371" s="524" t="s">
        <v>1148</v>
      </c>
      <c r="D1371" s="524" t="s">
        <v>1163</v>
      </c>
      <c r="E1371" s="524" t="s">
        <v>1173</v>
      </c>
      <c r="F1371" s="524" t="s">
        <v>1170</v>
      </c>
      <c r="G1371" s="524" t="s">
        <v>768</v>
      </c>
      <c r="H1371" s="527">
        <v>12.6</v>
      </c>
      <c r="I1371" s="524" t="s">
        <v>1174</v>
      </c>
      <c r="J1371" s="524">
        <f>IF(cmf[[#This Row],[D/C]]="C",cmf[[#This Row],[Valor]],-1*cmf[[#This Row],[Valor]])</f>
        <v>-12.6</v>
      </c>
      <c r="L1371" s="524" t="s">
        <v>1175</v>
      </c>
      <c r="M1371" s="524" t="s">
        <v>1176</v>
      </c>
      <c r="N1371" s="524" t="s">
        <v>1219</v>
      </c>
      <c r="O1371" s="524" t="s">
        <v>1220</v>
      </c>
      <c r="P1371" s="526">
        <v>46220</v>
      </c>
      <c r="S1371" s="527">
        <v>0</v>
      </c>
    </row>
    <row r="1372" spans="1:19" x14ac:dyDescent="0.2">
      <c r="A1372" s="524">
        <v>69817</v>
      </c>
      <c r="B1372" s="526">
        <v>46220</v>
      </c>
      <c r="C1372" s="524" t="s">
        <v>1148</v>
      </c>
      <c r="D1372" s="524" t="s">
        <v>1186</v>
      </c>
      <c r="E1372" s="524" t="s">
        <v>2044</v>
      </c>
      <c r="F1372" s="524" t="s">
        <v>1183</v>
      </c>
      <c r="G1372" s="524" t="s">
        <v>803</v>
      </c>
      <c r="H1372" s="527">
        <v>51994.39</v>
      </c>
      <c r="I1372" s="524" t="s">
        <v>1174</v>
      </c>
      <c r="J1372" s="524">
        <f>IF(cmf[[#This Row],[D/C]]="C",cmf[[#This Row],[Valor]],-1*cmf[[#This Row],[Valor]])</f>
        <v>-51994.39</v>
      </c>
      <c r="L1372" s="524" t="s">
        <v>1188</v>
      </c>
      <c r="M1372" s="524" t="s">
        <v>1189</v>
      </c>
      <c r="N1372" s="524" t="s">
        <v>1192</v>
      </c>
      <c r="O1372" s="524" t="s">
        <v>1193</v>
      </c>
      <c r="P1372" s="526">
        <v>46220</v>
      </c>
      <c r="S1372" s="527">
        <v>0</v>
      </c>
    </row>
    <row r="1373" spans="1:19" x14ac:dyDescent="0.2">
      <c r="A1373" s="524">
        <v>69818</v>
      </c>
      <c r="B1373" s="526">
        <v>46220</v>
      </c>
      <c r="C1373" s="524" t="s">
        <v>1148</v>
      </c>
      <c r="D1373" s="524" t="s">
        <v>1186</v>
      </c>
      <c r="E1373" s="524" t="s">
        <v>2045</v>
      </c>
      <c r="F1373" s="524" t="s">
        <v>1183</v>
      </c>
      <c r="G1373" s="524" t="s">
        <v>803</v>
      </c>
      <c r="H1373" s="527">
        <v>42300</v>
      </c>
      <c r="I1373" s="524" t="s">
        <v>1174</v>
      </c>
      <c r="J1373" s="524">
        <f>IF(cmf[[#This Row],[D/C]]="C",cmf[[#This Row],[Valor]],-1*cmf[[#This Row],[Valor]])</f>
        <v>-42300</v>
      </c>
      <c r="L1373" s="524" t="s">
        <v>1188</v>
      </c>
      <c r="M1373" s="524" t="s">
        <v>1189</v>
      </c>
      <c r="N1373" s="524" t="s">
        <v>1192</v>
      </c>
      <c r="O1373" s="524" t="s">
        <v>1193</v>
      </c>
      <c r="P1373" s="526">
        <v>46220</v>
      </c>
      <c r="S1373" s="527">
        <v>0</v>
      </c>
    </row>
    <row r="1374" spans="1:19" x14ac:dyDescent="0.2">
      <c r="A1374" s="524">
        <v>69819</v>
      </c>
      <c r="B1374" s="526">
        <v>46220</v>
      </c>
      <c r="C1374" s="524" t="s">
        <v>1148</v>
      </c>
      <c r="D1374" s="524" t="s">
        <v>1186</v>
      </c>
      <c r="E1374" s="524" t="s">
        <v>2046</v>
      </c>
      <c r="F1374" s="524" t="s">
        <v>1183</v>
      </c>
      <c r="G1374" s="524" t="s">
        <v>800</v>
      </c>
      <c r="H1374" s="527">
        <v>12750</v>
      </c>
      <c r="I1374" s="524" t="s">
        <v>1174</v>
      </c>
      <c r="J1374" s="524">
        <f>IF(cmf[[#This Row],[D/C]]="C",cmf[[#This Row],[Valor]],-1*cmf[[#This Row],[Valor]])</f>
        <v>-12750</v>
      </c>
      <c r="L1374" s="524" t="s">
        <v>1188</v>
      </c>
      <c r="M1374" s="524" t="s">
        <v>1189</v>
      </c>
      <c r="N1374" s="524" t="s">
        <v>1171</v>
      </c>
      <c r="O1374" s="524" t="s">
        <v>1172</v>
      </c>
      <c r="P1374" s="526">
        <v>46220</v>
      </c>
      <c r="S1374" s="527">
        <v>0</v>
      </c>
    </row>
    <row r="1375" spans="1:19" x14ac:dyDescent="0.2">
      <c r="A1375" s="524">
        <v>69820</v>
      </c>
      <c r="B1375" s="526">
        <v>46220</v>
      </c>
      <c r="C1375" s="524" t="s">
        <v>1148</v>
      </c>
      <c r="D1375" s="524" t="s">
        <v>1186</v>
      </c>
      <c r="E1375" s="524" t="s">
        <v>2047</v>
      </c>
      <c r="F1375" s="524" t="s">
        <v>1183</v>
      </c>
      <c r="G1375" s="524" t="s">
        <v>800</v>
      </c>
      <c r="H1375" s="527">
        <v>71692.02</v>
      </c>
      <c r="I1375" s="524" t="s">
        <v>1174</v>
      </c>
      <c r="J1375" s="524">
        <f>IF(cmf[[#This Row],[D/C]]="C",cmf[[#This Row],[Valor]],-1*cmf[[#This Row],[Valor]])</f>
        <v>-71692.02</v>
      </c>
      <c r="L1375" s="524" t="s">
        <v>1188</v>
      </c>
      <c r="M1375" s="524" t="s">
        <v>1189</v>
      </c>
      <c r="N1375" s="524" t="s">
        <v>1171</v>
      </c>
      <c r="O1375" s="524" t="s">
        <v>1172</v>
      </c>
      <c r="P1375" s="526">
        <v>46220</v>
      </c>
      <c r="S1375" s="527">
        <v>0</v>
      </c>
    </row>
    <row r="1376" spans="1:19" x14ac:dyDescent="0.2">
      <c r="A1376" s="524">
        <v>69821</v>
      </c>
      <c r="B1376" s="526">
        <v>46220</v>
      </c>
      <c r="C1376" s="524" t="s">
        <v>1148</v>
      </c>
      <c r="D1376" s="524" t="s">
        <v>1186</v>
      </c>
      <c r="E1376" s="524" t="s">
        <v>2048</v>
      </c>
      <c r="F1376" s="524" t="s">
        <v>1170</v>
      </c>
      <c r="G1376" s="524" t="s">
        <v>788</v>
      </c>
      <c r="H1376" s="527">
        <v>9657.07</v>
      </c>
      <c r="I1376" s="524" t="s">
        <v>1174</v>
      </c>
      <c r="J1376" s="524">
        <f>IF(cmf[[#This Row],[D/C]]="C",cmf[[#This Row],[Valor]],-1*cmf[[#This Row],[Valor]])</f>
        <v>-9657.07</v>
      </c>
      <c r="L1376" s="524" t="s">
        <v>1188</v>
      </c>
      <c r="M1376" s="524" t="s">
        <v>1189</v>
      </c>
      <c r="N1376" s="524" t="s">
        <v>1271</v>
      </c>
      <c r="O1376" s="524" t="s">
        <v>1272</v>
      </c>
      <c r="P1376" s="526">
        <v>46220</v>
      </c>
      <c r="S1376" s="527">
        <v>0</v>
      </c>
    </row>
    <row r="1377" spans="1:19" x14ac:dyDescent="0.2">
      <c r="A1377" s="524">
        <v>69835</v>
      </c>
      <c r="B1377" s="526">
        <v>46220</v>
      </c>
      <c r="C1377" s="524" t="s">
        <v>1148</v>
      </c>
      <c r="D1377" s="524" t="s">
        <v>1186</v>
      </c>
      <c r="E1377" s="524" t="s">
        <v>2049</v>
      </c>
      <c r="F1377" s="524" t="s">
        <v>1178</v>
      </c>
      <c r="G1377" s="524" t="s">
        <v>1179</v>
      </c>
      <c r="H1377" s="527">
        <v>34729.5</v>
      </c>
      <c r="I1377" s="524" t="s">
        <v>1174</v>
      </c>
      <c r="J1377" s="524">
        <f>IF(cmf[[#This Row],[D/C]]="C",cmf[[#This Row],[Valor]],-1*cmf[[#This Row],[Valor]])</f>
        <v>-34729.5</v>
      </c>
      <c r="L1377" s="524" t="s">
        <v>1188</v>
      </c>
      <c r="M1377" s="524" t="s">
        <v>1189</v>
      </c>
      <c r="N1377" s="524" t="s">
        <v>1180</v>
      </c>
      <c r="O1377" s="524" t="s">
        <v>1181</v>
      </c>
      <c r="P1377" s="526">
        <v>46220</v>
      </c>
      <c r="S1377" s="527">
        <v>0</v>
      </c>
    </row>
    <row r="1378" spans="1:19" x14ac:dyDescent="0.2">
      <c r="A1378" s="524">
        <v>69836</v>
      </c>
      <c r="B1378" s="526">
        <v>46220</v>
      </c>
      <c r="C1378" s="524" t="s">
        <v>1148</v>
      </c>
      <c r="D1378" s="524" t="s">
        <v>1186</v>
      </c>
      <c r="E1378" s="524" t="s">
        <v>2050</v>
      </c>
      <c r="F1378" s="524" t="s">
        <v>1183</v>
      </c>
      <c r="G1378" s="524" t="s">
        <v>769</v>
      </c>
      <c r="H1378" s="527">
        <v>19049.900000000001</v>
      </c>
      <c r="I1378" s="524" t="s">
        <v>1174</v>
      </c>
      <c r="J1378" s="524">
        <f>IF(cmf[[#This Row],[D/C]]="C",cmf[[#This Row],[Valor]],-1*cmf[[#This Row],[Valor]])</f>
        <v>-19049.900000000001</v>
      </c>
      <c r="L1378" s="524" t="s">
        <v>1188</v>
      </c>
      <c r="M1378" s="524" t="s">
        <v>1189</v>
      </c>
      <c r="N1378" s="524" t="s">
        <v>1219</v>
      </c>
      <c r="O1378" s="524" t="s">
        <v>1220</v>
      </c>
      <c r="P1378" s="526">
        <v>46220</v>
      </c>
      <c r="S1378" s="527">
        <v>0</v>
      </c>
    </row>
    <row r="1379" spans="1:19" x14ac:dyDescent="0.2">
      <c r="A1379" s="524">
        <v>69837</v>
      </c>
      <c r="B1379" s="526">
        <v>46220</v>
      </c>
      <c r="C1379" s="524" t="s">
        <v>1148</v>
      </c>
      <c r="D1379" s="524" t="s">
        <v>1186</v>
      </c>
      <c r="E1379" s="524" t="s">
        <v>2051</v>
      </c>
      <c r="F1379" s="524" t="s">
        <v>1183</v>
      </c>
      <c r="G1379" s="524" t="s">
        <v>769</v>
      </c>
      <c r="H1379" s="527">
        <v>66553.649999999994</v>
      </c>
      <c r="I1379" s="524" t="s">
        <v>1174</v>
      </c>
      <c r="J1379" s="524">
        <f>IF(cmf[[#This Row],[D/C]]="C",cmf[[#This Row],[Valor]],-1*cmf[[#This Row],[Valor]])</f>
        <v>-66553.649999999994</v>
      </c>
      <c r="L1379" s="524" t="s">
        <v>1188</v>
      </c>
      <c r="M1379" s="524" t="s">
        <v>1189</v>
      </c>
      <c r="N1379" s="524" t="s">
        <v>1219</v>
      </c>
      <c r="O1379" s="524" t="s">
        <v>1220</v>
      </c>
      <c r="P1379" s="526">
        <v>46220</v>
      </c>
      <c r="S1379" s="527">
        <v>0</v>
      </c>
    </row>
    <row r="1380" spans="1:19" x14ac:dyDescent="0.2">
      <c r="A1380" s="524">
        <v>69838</v>
      </c>
      <c r="B1380" s="526">
        <v>46220</v>
      </c>
      <c r="C1380" s="524" t="s">
        <v>1148</v>
      </c>
      <c r="D1380" s="524" t="s">
        <v>1186</v>
      </c>
      <c r="E1380" s="524" t="s">
        <v>2052</v>
      </c>
      <c r="F1380" s="524" t="s">
        <v>1183</v>
      </c>
      <c r="G1380" s="524" t="s">
        <v>769</v>
      </c>
      <c r="H1380" s="527">
        <v>9380.73</v>
      </c>
      <c r="I1380" s="524" t="s">
        <v>1174</v>
      </c>
      <c r="J1380" s="524">
        <f>IF(cmf[[#This Row],[D/C]]="C",cmf[[#This Row],[Valor]],-1*cmf[[#This Row],[Valor]])</f>
        <v>-9380.73</v>
      </c>
      <c r="L1380" s="524" t="s">
        <v>1188</v>
      </c>
      <c r="M1380" s="524" t="s">
        <v>1189</v>
      </c>
      <c r="N1380" s="524" t="s">
        <v>1219</v>
      </c>
      <c r="O1380" s="524" t="s">
        <v>1220</v>
      </c>
      <c r="P1380" s="526">
        <v>46220</v>
      </c>
      <c r="S1380" s="527">
        <v>0</v>
      </c>
    </row>
    <row r="1381" spans="1:19" x14ac:dyDescent="0.2">
      <c r="A1381" s="524">
        <v>69839</v>
      </c>
      <c r="B1381" s="526">
        <v>46220</v>
      </c>
      <c r="C1381" s="524" t="s">
        <v>1162</v>
      </c>
      <c r="D1381" s="524" t="s">
        <v>1186</v>
      </c>
      <c r="E1381" s="524" t="s">
        <v>2053</v>
      </c>
      <c r="F1381" s="524" t="s">
        <v>1183</v>
      </c>
      <c r="G1381" s="524" t="s">
        <v>776</v>
      </c>
      <c r="H1381" s="527">
        <v>3500</v>
      </c>
      <c r="I1381" s="524" t="s">
        <v>1174</v>
      </c>
      <c r="J1381" s="524">
        <f>IF(cmf[[#This Row],[D/C]]="C",cmf[[#This Row],[Valor]],-1*cmf[[#This Row],[Valor]])</f>
        <v>-3500</v>
      </c>
      <c r="L1381" s="524" t="s">
        <v>1188</v>
      </c>
      <c r="M1381" s="524" t="s">
        <v>1189</v>
      </c>
      <c r="N1381" s="524" t="s">
        <v>1212</v>
      </c>
      <c r="O1381" s="524" t="s">
        <v>1213</v>
      </c>
      <c r="P1381" s="526"/>
      <c r="S1381" s="527">
        <v>0</v>
      </c>
    </row>
    <row r="1382" spans="1:19" x14ac:dyDescent="0.2">
      <c r="A1382" s="524">
        <v>69856</v>
      </c>
      <c r="B1382" s="526">
        <v>46220</v>
      </c>
      <c r="C1382" s="524" t="s">
        <v>1148</v>
      </c>
      <c r="D1382" s="524" t="s">
        <v>1163</v>
      </c>
      <c r="E1382" s="524" t="s">
        <v>1164</v>
      </c>
      <c r="F1382" s="524" t="s">
        <v>1183</v>
      </c>
      <c r="G1382" s="524" t="s">
        <v>806</v>
      </c>
      <c r="H1382" s="527">
        <v>19800</v>
      </c>
      <c r="I1382" s="524" t="s">
        <v>1148</v>
      </c>
      <c r="J1382" s="524">
        <f>IF(cmf[[#This Row],[D/C]]="C",cmf[[#This Row],[Valor]],-1*cmf[[#This Row],[Valor]])</f>
        <v>19800</v>
      </c>
      <c r="L1382" s="524" t="s">
        <v>1166</v>
      </c>
      <c r="M1382" s="524" t="s">
        <v>1167</v>
      </c>
      <c r="N1382" s="524" t="s">
        <v>1283</v>
      </c>
      <c r="O1382" s="524" t="s">
        <v>1284</v>
      </c>
      <c r="P1382" s="526">
        <v>46220</v>
      </c>
      <c r="S1382" s="527">
        <v>0</v>
      </c>
    </row>
    <row r="1383" spans="1:19" x14ac:dyDescent="0.2">
      <c r="A1383" s="524">
        <v>69857</v>
      </c>
      <c r="B1383" s="526">
        <v>46220</v>
      </c>
      <c r="C1383" s="524" t="s">
        <v>1148</v>
      </c>
      <c r="D1383" s="524" t="s">
        <v>1163</v>
      </c>
      <c r="E1383" s="524" t="s">
        <v>1173</v>
      </c>
      <c r="F1383" s="524" t="s">
        <v>1183</v>
      </c>
      <c r="G1383" s="524" t="s">
        <v>806</v>
      </c>
      <c r="H1383" s="527">
        <v>2.19</v>
      </c>
      <c r="I1383" s="524" t="s">
        <v>1174</v>
      </c>
      <c r="J1383" s="524">
        <f>IF(cmf[[#This Row],[D/C]]="C",cmf[[#This Row],[Valor]],-1*cmf[[#This Row],[Valor]])</f>
        <v>-2.19</v>
      </c>
      <c r="L1383" s="524" t="s">
        <v>1175</v>
      </c>
      <c r="M1383" s="524" t="s">
        <v>1176</v>
      </c>
      <c r="N1383" s="524" t="s">
        <v>1283</v>
      </c>
      <c r="O1383" s="524" t="s">
        <v>1284</v>
      </c>
      <c r="P1383" s="526">
        <v>46220</v>
      </c>
      <c r="S1383" s="527">
        <v>0</v>
      </c>
    </row>
    <row r="1384" spans="1:19" x14ac:dyDescent="0.2">
      <c r="A1384" s="524">
        <v>69888</v>
      </c>
      <c r="B1384" s="526">
        <v>46220</v>
      </c>
      <c r="C1384" s="524" t="s">
        <v>1148</v>
      </c>
      <c r="D1384" s="524" t="s">
        <v>1226</v>
      </c>
      <c r="E1384" s="524" t="s">
        <v>2054</v>
      </c>
      <c r="F1384" s="524" t="s">
        <v>1183</v>
      </c>
      <c r="G1384" s="524" t="s">
        <v>803</v>
      </c>
      <c r="H1384" s="527">
        <v>343</v>
      </c>
      <c r="I1384" s="524" t="s">
        <v>1148</v>
      </c>
      <c r="J1384" s="524">
        <f>IF(cmf[[#This Row],[D/C]]="C",cmf[[#This Row],[Valor]],-1*cmf[[#This Row],[Valor]])</f>
        <v>343</v>
      </c>
      <c r="L1384" s="524" t="s">
        <v>1230</v>
      </c>
      <c r="M1384" s="524" t="s">
        <v>1231</v>
      </c>
      <c r="N1384" s="524" t="s">
        <v>1192</v>
      </c>
      <c r="O1384" s="524" t="s">
        <v>1193</v>
      </c>
      <c r="P1384" s="526">
        <v>46220</v>
      </c>
      <c r="S1384" s="527">
        <v>0</v>
      </c>
    </row>
    <row r="1385" spans="1:19" x14ac:dyDescent="0.2">
      <c r="A1385" s="524">
        <v>70005</v>
      </c>
      <c r="B1385" s="526">
        <v>46220</v>
      </c>
      <c r="C1385" s="524" t="s">
        <v>1162</v>
      </c>
      <c r="D1385" s="524" t="s">
        <v>1186</v>
      </c>
      <c r="E1385" s="524" t="s">
        <v>2055</v>
      </c>
      <c r="F1385" s="524" t="s">
        <v>1170</v>
      </c>
      <c r="G1385" s="524" t="s">
        <v>794</v>
      </c>
      <c r="H1385" s="527">
        <v>7686.37</v>
      </c>
      <c r="I1385" s="524" t="s">
        <v>1174</v>
      </c>
      <c r="J1385" s="524">
        <f>IF(cmf[[#This Row],[D/C]]="C",cmf[[#This Row],[Valor]],-1*cmf[[#This Row],[Valor]])</f>
        <v>-7686.37</v>
      </c>
      <c r="L1385" s="524" t="s">
        <v>1188</v>
      </c>
      <c r="M1385" s="524" t="s">
        <v>1189</v>
      </c>
      <c r="N1385" s="524" t="s">
        <v>1340</v>
      </c>
      <c r="O1385" s="524" t="s">
        <v>1341</v>
      </c>
      <c r="P1385" s="526"/>
      <c r="S1385" s="527">
        <v>0</v>
      </c>
    </row>
    <row r="1386" spans="1:19" x14ac:dyDescent="0.2">
      <c r="A1386" s="524">
        <v>70009</v>
      </c>
      <c r="B1386" s="526">
        <v>46220</v>
      </c>
      <c r="C1386" s="524" t="s">
        <v>1162</v>
      </c>
      <c r="D1386" s="524" t="s">
        <v>1186</v>
      </c>
      <c r="E1386" s="524" t="s">
        <v>2056</v>
      </c>
      <c r="F1386" s="524" t="s">
        <v>1170</v>
      </c>
      <c r="G1386" s="524" t="s">
        <v>771</v>
      </c>
      <c r="H1386" s="527">
        <v>1005.47</v>
      </c>
      <c r="I1386" s="524" t="s">
        <v>1174</v>
      </c>
      <c r="J1386" s="524">
        <f>IF(cmf[[#This Row],[D/C]]="C",cmf[[#This Row],[Valor]],-1*cmf[[#This Row],[Valor]])</f>
        <v>-1005.47</v>
      </c>
      <c r="L1386" s="524" t="s">
        <v>1188</v>
      </c>
      <c r="M1386" s="524" t="s">
        <v>1189</v>
      </c>
      <c r="N1386" s="524" t="s">
        <v>1249</v>
      </c>
      <c r="O1386" s="524" t="s">
        <v>1250</v>
      </c>
      <c r="P1386" s="526"/>
      <c r="S1386" s="527">
        <v>0</v>
      </c>
    </row>
    <row r="1387" spans="1:19" x14ac:dyDescent="0.2">
      <c r="A1387" s="524">
        <v>70010</v>
      </c>
      <c r="B1387" s="526">
        <v>46220</v>
      </c>
      <c r="C1387" s="524" t="s">
        <v>1162</v>
      </c>
      <c r="D1387" s="524" t="s">
        <v>1186</v>
      </c>
      <c r="E1387" s="524" t="s">
        <v>2057</v>
      </c>
      <c r="F1387" s="524" t="s">
        <v>1170</v>
      </c>
      <c r="G1387" s="524" t="s">
        <v>771</v>
      </c>
      <c r="H1387" s="527">
        <v>4972.38</v>
      </c>
      <c r="I1387" s="524" t="s">
        <v>1174</v>
      </c>
      <c r="J1387" s="524">
        <f>IF(cmf[[#This Row],[D/C]]="C",cmf[[#This Row],[Valor]],-1*cmf[[#This Row],[Valor]])</f>
        <v>-4972.38</v>
      </c>
      <c r="L1387" s="524" t="s">
        <v>1188</v>
      </c>
      <c r="M1387" s="524" t="s">
        <v>1189</v>
      </c>
      <c r="N1387" s="524" t="s">
        <v>1249</v>
      </c>
      <c r="O1387" s="524" t="s">
        <v>1250</v>
      </c>
      <c r="P1387" s="526"/>
      <c r="S1387" s="527">
        <v>0</v>
      </c>
    </row>
    <row r="1388" spans="1:19" x14ac:dyDescent="0.2">
      <c r="A1388" s="524">
        <v>70011</v>
      </c>
      <c r="B1388" s="526">
        <v>46220</v>
      </c>
      <c r="C1388" s="524" t="s">
        <v>1162</v>
      </c>
      <c r="D1388" s="524" t="s">
        <v>1186</v>
      </c>
      <c r="E1388" s="524" t="s">
        <v>2058</v>
      </c>
      <c r="F1388" s="524" t="s">
        <v>1170</v>
      </c>
      <c r="G1388" s="524" t="s">
        <v>771</v>
      </c>
      <c r="H1388" s="527">
        <v>405.49</v>
      </c>
      <c r="I1388" s="524" t="s">
        <v>1174</v>
      </c>
      <c r="J1388" s="524">
        <f>IF(cmf[[#This Row],[D/C]]="C",cmf[[#This Row],[Valor]],-1*cmf[[#This Row],[Valor]])</f>
        <v>-405.49</v>
      </c>
      <c r="L1388" s="524" t="s">
        <v>1188</v>
      </c>
      <c r="M1388" s="524" t="s">
        <v>1189</v>
      </c>
      <c r="N1388" s="524" t="s">
        <v>1249</v>
      </c>
      <c r="O1388" s="524" t="s">
        <v>1250</v>
      </c>
      <c r="P1388" s="526"/>
      <c r="S1388" s="527">
        <v>0</v>
      </c>
    </row>
    <row r="1389" spans="1:19" x14ac:dyDescent="0.2">
      <c r="A1389" s="524">
        <v>70122</v>
      </c>
      <c r="B1389" s="526">
        <v>46220</v>
      </c>
      <c r="C1389" s="524" t="s">
        <v>1148</v>
      </c>
      <c r="D1389" s="524" t="s">
        <v>1226</v>
      </c>
      <c r="E1389" s="524" t="s">
        <v>2059</v>
      </c>
      <c r="F1389" s="524" t="s">
        <v>1170</v>
      </c>
      <c r="G1389" s="524" t="s">
        <v>1102</v>
      </c>
      <c r="H1389" s="527">
        <v>789.22</v>
      </c>
      <c r="I1389" s="524" t="s">
        <v>1148</v>
      </c>
      <c r="J1389" s="524">
        <f>IF(cmf[[#This Row],[D/C]]="C",cmf[[#This Row],[Valor]],-1*cmf[[#This Row],[Valor]])</f>
        <v>789.22</v>
      </c>
      <c r="L1389" s="524" t="s">
        <v>1230</v>
      </c>
      <c r="M1389" s="524" t="s">
        <v>1231</v>
      </c>
      <c r="N1389" s="524" t="s">
        <v>1192</v>
      </c>
      <c r="O1389" s="524" t="s">
        <v>1193</v>
      </c>
      <c r="P1389" s="526">
        <v>46220</v>
      </c>
      <c r="S1389" s="527">
        <v>0</v>
      </c>
    </row>
    <row r="1390" spans="1:19" x14ac:dyDescent="0.2">
      <c r="A1390" s="524">
        <v>70193</v>
      </c>
      <c r="B1390" s="526">
        <v>46220</v>
      </c>
      <c r="C1390" s="524" t="s">
        <v>1148</v>
      </c>
      <c r="D1390" s="524" t="s">
        <v>1243</v>
      </c>
      <c r="E1390" s="524" t="s">
        <v>1266</v>
      </c>
      <c r="F1390" s="524" t="s">
        <v>1183</v>
      </c>
      <c r="G1390" s="524" t="s">
        <v>769</v>
      </c>
      <c r="H1390" s="527">
        <v>5015.72</v>
      </c>
      <c r="I1390" s="524" t="s">
        <v>1174</v>
      </c>
      <c r="J1390" s="524">
        <f>IF(cmf[[#This Row],[D/C]]="C",cmf[[#This Row],[Valor]],-1*cmf[[#This Row],[Valor]])</f>
        <v>-5015.72</v>
      </c>
      <c r="L1390" s="524" t="s">
        <v>1245</v>
      </c>
      <c r="M1390" s="524" t="s">
        <v>1246</v>
      </c>
      <c r="N1390" s="524" t="s">
        <v>1219</v>
      </c>
      <c r="O1390" s="524" t="s">
        <v>1220</v>
      </c>
      <c r="P1390" s="526">
        <v>46220</v>
      </c>
      <c r="S1390" s="527">
        <v>0</v>
      </c>
    </row>
    <row r="1391" spans="1:19" x14ac:dyDescent="0.2">
      <c r="A1391" s="524">
        <v>70236</v>
      </c>
      <c r="B1391" s="526">
        <v>46220</v>
      </c>
      <c r="C1391" s="524" t="s">
        <v>1148</v>
      </c>
      <c r="D1391" s="524" t="s">
        <v>1243</v>
      </c>
      <c r="E1391" s="524" t="s">
        <v>1244</v>
      </c>
      <c r="F1391" s="524" t="s">
        <v>1183</v>
      </c>
      <c r="G1391" s="524" t="s">
        <v>806</v>
      </c>
      <c r="H1391" s="527">
        <v>15202.04</v>
      </c>
      <c r="I1391" s="524" t="s">
        <v>1148</v>
      </c>
      <c r="J1391" s="524">
        <f>IF(cmf[[#This Row],[D/C]]="C",cmf[[#This Row],[Valor]],-1*cmf[[#This Row],[Valor]])</f>
        <v>15202.04</v>
      </c>
      <c r="L1391" s="524" t="s">
        <v>1245</v>
      </c>
      <c r="M1391" s="524" t="s">
        <v>1246</v>
      </c>
      <c r="N1391" s="524" t="s">
        <v>1283</v>
      </c>
      <c r="O1391" s="524" t="s">
        <v>1284</v>
      </c>
      <c r="P1391" s="526">
        <v>46220</v>
      </c>
      <c r="S1391" s="527">
        <v>0</v>
      </c>
    </row>
    <row r="1392" spans="1:19" x14ac:dyDescent="0.2">
      <c r="A1392" s="524">
        <v>70241</v>
      </c>
      <c r="B1392" s="526">
        <v>46220</v>
      </c>
      <c r="C1392" s="524" t="s">
        <v>1148</v>
      </c>
      <c r="D1392" s="524" t="s">
        <v>1243</v>
      </c>
      <c r="E1392" s="524" t="s">
        <v>1244</v>
      </c>
      <c r="F1392" s="524" t="s">
        <v>1183</v>
      </c>
      <c r="G1392" s="524" t="s">
        <v>806</v>
      </c>
      <c r="H1392" s="527">
        <v>0.15</v>
      </c>
      <c r="I1392" s="524" t="s">
        <v>1148</v>
      </c>
      <c r="J1392" s="524">
        <f>IF(cmf[[#This Row],[D/C]]="C",cmf[[#This Row],[Valor]],-1*cmf[[#This Row],[Valor]])</f>
        <v>0.15</v>
      </c>
      <c r="L1392" s="524" t="s">
        <v>1245</v>
      </c>
      <c r="M1392" s="524" t="s">
        <v>1246</v>
      </c>
      <c r="N1392" s="524" t="s">
        <v>1283</v>
      </c>
      <c r="O1392" s="524" t="s">
        <v>1284</v>
      </c>
      <c r="P1392" s="526">
        <v>46220</v>
      </c>
      <c r="S1392" s="527">
        <v>0</v>
      </c>
    </row>
    <row r="1393" spans="1:19" x14ac:dyDescent="0.2">
      <c r="A1393" s="524">
        <v>70284</v>
      </c>
      <c r="B1393" s="526">
        <v>46220</v>
      </c>
      <c r="C1393" s="524" t="s">
        <v>1148</v>
      </c>
      <c r="D1393" s="524" t="s">
        <v>1239</v>
      </c>
      <c r="E1393" s="524" t="s">
        <v>1567</v>
      </c>
      <c r="F1393" s="524" t="s">
        <v>1170</v>
      </c>
      <c r="G1393" s="524" t="s">
        <v>768</v>
      </c>
      <c r="H1393" s="527">
        <v>13</v>
      </c>
      <c r="I1393" s="524" t="s">
        <v>1174</v>
      </c>
      <c r="J1393" s="524">
        <f>IF(cmf[[#This Row],[D/C]]="C",cmf[[#This Row],[Valor]],-1*cmf[[#This Row],[Valor]])</f>
        <v>-13</v>
      </c>
      <c r="L1393" s="524" t="s">
        <v>1241</v>
      </c>
      <c r="M1393" s="524" t="s">
        <v>1242</v>
      </c>
      <c r="N1393" s="524" t="s">
        <v>1219</v>
      </c>
      <c r="O1393" s="524" t="s">
        <v>1220</v>
      </c>
      <c r="P1393" s="526">
        <v>46220</v>
      </c>
      <c r="S1393" s="527">
        <v>0</v>
      </c>
    </row>
    <row r="1394" spans="1:19" x14ac:dyDescent="0.2">
      <c r="A1394" s="524">
        <v>70290</v>
      </c>
      <c r="B1394" s="526">
        <v>46220</v>
      </c>
      <c r="C1394" s="524" t="s">
        <v>1148</v>
      </c>
      <c r="D1394" s="524" t="s">
        <v>1239</v>
      </c>
      <c r="E1394" s="524" t="s">
        <v>1255</v>
      </c>
      <c r="F1394" s="524" t="s">
        <v>1170</v>
      </c>
      <c r="G1394" s="524" t="s">
        <v>768</v>
      </c>
      <c r="H1394" s="527">
        <v>0.6</v>
      </c>
      <c r="I1394" s="524" t="s">
        <v>1174</v>
      </c>
      <c r="J1394" s="524">
        <f>IF(cmf[[#This Row],[D/C]]="C",cmf[[#This Row],[Valor]],-1*cmf[[#This Row],[Valor]])</f>
        <v>-0.6</v>
      </c>
      <c r="L1394" s="524" t="s">
        <v>1241</v>
      </c>
      <c r="M1394" s="524" t="s">
        <v>1242</v>
      </c>
      <c r="N1394" s="524" t="s">
        <v>1219</v>
      </c>
      <c r="O1394" s="524" t="s">
        <v>1220</v>
      </c>
      <c r="P1394" s="526">
        <v>46220</v>
      </c>
      <c r="S1394" s="527">
        <v>0</v>
      </c>
    </row>
    <row r="1395" spans="1:19" x14ac:dyDescent="0.2">
      <c r="A1395" s="524">
        <v>70299</v>
      </c>
      <c r="B1395" s="526">
        <v>46220</v>
      </c>
      <c r="C1395" s="524" t="s">
        <v>1148</v>
      </c>
      <c r="D1395" s="524" t="s">
        <v>1205</v>
      </c>
      <c r="E1395" s="524" t="s">
        <v>1334</v>
      </c>
      <c r="F1395" s="524" t="s">
        <v>1170</v>
      </c>
      <c r="G1395" s="524" t="s">
        <v>768</v>
      </c>
      <c r="H1395" s="527">
        <v>100000</v>
      </c>
      <c r="I1395" s="524" t="s">
        <v>1174</v>
      </c>
      <c r="J1395" s="524">
        <f>IF(cmf[[#This Row],[D/C]]="C",cmf[[#This Row],[Valor]],-1*cmf[[#This Row],[Valor]])</f>
        <v>-100000</v>
      </c>
      <c r="L1395" s="524" t="s">
        <v>1207</v>
      </c>
      <c r="M1395" s="524" t="s">
        <v>1208</v>
      </c>
      <c r="N1395" s="524" t="s">
        <v>1219</v>
      </c>
      <c r="O1395" s="524" t="s">
        <v>1220</v>
      </c>
      <c r="P1395" s="526">
        <v>46220</v>
      </c>
      <c r="S1395" s="527">
        <v>0</v>
      </c>
    </row>
    <row r="1396" spans="1:19" x14ac:dyDescent="0.2">
      <c r="A1396" s="524">
        <v>70300</v>
      </c>
      <c r="B1396" s="526">
        <v>46220</v>
      </c>
      <c r="C1396" s="524" t="s">
        <v>1148</v>
      </c>
      <c r="D1396" s="524" t="s">
        <v>1205</v>
      </c>
      <c r="E1396" s="524" t="s">
        <v>1282</v>
      </c>
      <c r="F1396" s="524" t="s">
        <v>1183</v>
      </c>
      <c r="G1396" s="524" t="s">
        <v>769</v>
      </c>
      <c r="H1396" s="527">
        <v>100000</v>
      </c>
      <c r="I1396" s="524" t="s">
        <v>1148</v>
      </c>
      <c r="J1396" s="524">
        <f>IF(cmf[[#This Row],[D/C]]="C",cmf[[#This Row],[Valor]],-1*cmf[[#This Row],[Valor]])</f>
        <v>100000</v>
      </c>
      <c r="L1396" s="524" t="s">
        <v>1207</v>
      </c>
      <c r="M1396" s="524" t="s">
        <v>1208</v>
      </c>
      <c r="N1396" s="524" t="s">
        <v>1219</v>
      </c>
      <c r="O1396" s="524" t="s">
        <v>1220</v>
      </c>
      <c r="P1396" s="526">
        <v>46220</v>
      </c>
      <c r="S1396" s="527">
        <v>0</v>
      </c>
    </row>
    <row r="1397" spans="1:19" x14ac:dyDescent="0.2">
      <c r="A1397" s="524">
        <v>70321</v>
      </c>
      <c r="B1397" s="526">
        <v>46220</v>
      </c>
      <c r="C1397" s="524" t="s">
        <v>1148</v>
      </c>
      <c r="D1397" s="524" t="s">
        <v>1239</v>
      </c>
      <c r="E1397" s="524" t="s">
        <v>1255</v>
      </c>
      <c r="F1397" s="524" t="s">
        <v>1170</v>
      </c>
      <c r="G1397" s="524" t="s">
        <v>757</v>
      </c>
      <c r="H1397" s="527">
        <v>2.6</v>
      </c>
      <c r="I1397" s="524" t="s">
        <v>1174</v>
      </c>
      <c r="J1397" s="524">
        <f>IF(cmf[[#This Row],[D/C]]="C",cmf[[#This Row],[Valor]],-1*cmf[[#This Row],[Valor]])</f>
        <v>-2.6</v>
      </c>
      <c r="L1397" s="524" t="s">
        <v>1241</v>
      </c>
      <c r="M1397" s="524" t="s">
        <v>1242</v>
      </c>
      <c r="N1397" s="524" t="s">
        <v>1223</v>
      </c>
      <c r="O1397" s="524" t="s">
        <v>1224</v>
      </c>
      <c r="P1397" s="526">
        <v>46220</v>
      </c>
      <c r="S1397" s="527">
        <v>0</v>
      </c>
    </row>
    <row r="1398" spans="1:19" x14ac:dyDescent="0.2">
      <c r="A1398" s="524">
        <v>70339</v>
      </c>
      <c r="B1398" s="526">
        <v>46220</v>
      </c>
      <c r="C1398" s="524" t="s">
        <v>1148</v>
      </c>
      <c r="D1398" s="524" t="s">
        <v>1243</v>
      </c>
      <c r="E1398" s="524" t="s">
        <v>1266</v>
      </c>
      <c r="F1398" s="524" t="s">
        <v>1183</v>
      </c>
      <c r="G1398" s="524" t="s">
        <v>803</v>
      </c>
      <c r="H1398" s="527">
        <v>1048.6099999999999</v>
      </c>
      <c r="I1398" s="524" t="s">
        <v>1174</v>
      </c>
      <c r="J1398" s="524">
        <f>IF(cmf[[#This Row],[D/C]]="C",cmf[[#This Row],[Valor]],-1*cmf[[#This Row],[Valor]])</f>
        <v>-1048.6099999999999</v>
      </c>
      <c r="L1398" s="524" t="s">
        <v>1245</v>
      </c>
      <c r="M1398" s="524" t="s">
        <v>1246</v>
      </c>
      <c r="N1398" s="524" t="s">
        <v>1192</v>
      </c>
      <c r="O1398" s="524" t="s">
        <v>1193</v>
      </c>
      <c r="P1398" s="526">
        <v>46220</v>
      </c>
      <c r="S1398" s="527">
        <v>0</v>
      </c>
    </row>
    <row r="1399" spans="1:19" x14ac:dyDescent="0.2">
      <c r="A1399" s="524">
        <v>70351</v>
      </c>
      <c r="B1399" s="526">
        <v>46220</v>
      </c>
      <c r="C1399" s="524" t="s">
        <v>1148</v>
      </c>
      <c r="D1399" s="524" t="s">
        <v>1243</v>
      </c>
      <c r="E1399" s="524" t="s">
        <v>1266</v>
      </c>
      <c r="F1399" s="524" t="s">
        <v>1183</v>
      </c>
      <c r="G1399" s="524" t="s">
        <v>800</v>
      </c>
      <c r="H1399" s="527">
        <v>557.98</v>
      </c>
      <c r="I1399" s="524" t="s">
        <v>1174</v>
      </c>
      <c r="J1399" s="524">
        <f>IF(cmf[[#This Row],[D/C]]="C",cmf[[#This Row],[Valor]],-1*cmf[[#This Row],[Valor]])</f>
        <v>-557.98</v>
      </c>
      <c r="L1399" s="524" t="s">
        <v>1245</v>
      </c>
      <c r="M1399" s="524" t="s">
        <v>1246</v>
      </c>
      <c r="N1399" s="524" t="s">
        <v>1171</v>
      </c>
      <c r="O1399" s="524" t="s">
        <v>1172</v>
      </c>
      <c r="P1399" s="526">
        <v>46220</v>
      </c>
      <c r="S1399" s="527">
        <v>0</v>
      </c>
    </row>
    <row r="1400" spans="1:19" x14ac:dyDescent="0.2">
      <c r="A1400" s="524">
        <v>70371</v>
      </c>
      <c r="B1400" s="526">
        <v>46220</v>
      </c>
      <c r="C1400" s="524" t="s">
        <v>1148</v>
      </c>
      <c r="D1400" s="524" t="s">
        <v>1186</v>
      </c>
      <c r="E1400" s="524" t="s">
        <v>2060</v>
      </c>
      <c r="F1400" s="524" t="s">
        <v>1170</v>
      </c>
      <c r="G1400" s="524" t="s">
        <v>757</v>
      </c>
      <c r="H1400" s="527">
        <v>400</v>
      </c>
      <c r="I1400" s="524" t="s">
        <v>1174</v>
      </c>
      <c r="J1400" s="524">
        <f>IF(cmf[[#This Row],[D/C]]="C",cmf[[#This Row],[Valor]],-1*cmf[[#This Row],[Valor]])</f>
        <v>-400</v>
      </c>
      <c r="L1400" s="524" t="s">
        <v>1188</v>
      </c>
      <c r="M1400" s="524" t="s">
        <v>1189</v>
      </c>
      <c r="N1400" s="524" t="s">
        <v>1223</v>
      </c>
      <c r="O1400" s="524" t="s">
        <v>1224</v>
      </c>
      <c r="P1400" s="526">
        <v>46220</v>
      </c>
      <c r="S1400" s="527">
        <v>0</v>
      </c>
    </row>
    <row r="1401" spans="1:19" x14ac:dyDescent="0.2">
      <c r="A1401" s="524">
        <v>70372</v>
      </c>
      <c r="B1401" s="526">
        <v>46220</v>
      </c>
      <c r="C1401" s="524" t="s">
        <v>1148</v>
      </c>
      <c r="D1401" s="524" t="s">
        <v>1186</v>
      </c>
      <c r="E1401" s="524" t="s">
        <v>2061</v>
      </c>
      <c r="F1401" s="524" t="s">
        <v>1170</v>
      </c>
      <c r="G1401" s="524" t="s">
        <v>757</v>
      </c>
      <c r="H1401" s="527">
        <v>400</v>
      </c>
      <c r="I1401" s="524" t="s">
        <v>1174</v>
      </c>
      <c r="J1401" s="524">
        <f>IF(cmf[[#This Row],[D/C]]="C",cmf[[#This Row],[Valor]],-1*cmf[[#This Row],[Valor]])</f>
        <v>-400</v>
      </c>
      <c r="L1401" s="524" t="s">
        <v>1188</v>
      </c>
      <c r="M1401" s="524" t="s">
        <v>1189</v>
      </c>
      <c r="N1401" s="524" t="s">
        <v>1223</v>
      </c>
      <c r="O1401" s="524" t="s">
        <v>1224</v>
      </c>
      <c r="P1401" s="526">
        <v>46220</v>
      </c>
      <c r="S1401" s="527">
        <v>0</v>
      </c>
    </row>
    <row r="1402" spans="1:19" x14ac:dyDescent="0.2">
      <c r="A1402" s="524">
        <v>70373</v>
      </c>
      <c r="B1402" s="526">
        <v>46220</v>
      </c>
      <c r="C1402" s="524" t="s">
        <v>1148</v>
      </c>
      <c r="D1402" s="524" t="s">
        <v>1186</v>
      </c>
      <c r="E1402" s="524" t="s">
        <v>2062</v>
      </c>
      <c r="F1402" s="524" t="s">
        <v>1170</v>
      </c>
      <c r="G1402" s="524" t="s">
        <v>757</v>
      </c>
      <c r="H1402" s="527">
        <v>400</v>
      </c>
      <c r="I1402" s="524" t="s">
        <v>1174</v>
      </c>
      <c r="J1402" s="524">
        <f>IF(cmf[[#This Row],[D/C]]="C",cmf[[#This Row],[Valor]],-1*cmf[[#This Row],[Valor]])</f>
        <v>-400</v>
      </c>
      <c r="L1402" s="524" t="s">
        <v>1188</v>
      </c>
      <c r="M1402" s="524" t="s">
        <v>1189</v>
      </c>
      <c r="N1402" s="524" t="s">
        <v>1223</v>
      </c>
      <c r="O1402" s="524" t="s">
        <v>1224</v>
      </c>
      <c r="P1402" s="526">
        <v>46220</v>
      </c>
      <c r="S1402" s="527">
        <v>0</v>
      </c>
    </row>
    <row r="1403" spans="1:19" x14ac:dyDescent="0.2">
      <c r="A1403" s="524">
        <v>70374</v>
      </c>
      <c r="B1403" s="526">
        <v>46220</v>
      </c>
      <c r="C1403" s="524" t="s">
        <v>1148</v>
      </c>
      <c r="D1403" s="524" t="s">
        <v>1186</v>
      </c>
      <c r="E1403" s="524" t="s">
        <v>2063</v>
      </c>
      <c r="F1403" s="524" t="s">
        <v>1170</v>
      </c>
      <c r="G1403" s="524" t="s">
        <v>757</v>
      </c>
      <c r="H1403" s="527">
        <v>400</v>
      </c>
      <c r="I1403" s="524" t="s">
        <v>1174</v>
      </c>
      <c r="J1403" s="524">
        <f>IF(cmf[[#This Row],[D/C]]="C",cmf[[#This Row],[Valor]],-1*cmf[[#This Row],[Valor]])</f>
        <v>-400</v>
      </c>
      <c r="L1403" s="524" t="s">
        <v>1188</v>
      </c>
      <c r="M1403" s="524" t="s">
        <v>1189</v>
      </c>
      <c r="N1403" s="524" t="s">
        <v>1223</v>
      </c>
      <c r="O1403" s="524" t="s">
        <v>1224</v>
      </c>
      <c r="P1403" s="526">
        <v>46220</v>
      </c>
      <c r="S1403" s="527">
        <v>0</v>
      </c>
    </row>
    <row r="1404" spans="1:19" x14ac:dyDescent="0.2">
      <c r="A1404" s="524">
        <v>70375</v>
      </c>
      <c r="B1404" s="526">
        <v>46220</v>
      </c>
      <c r="C1404" s="524" t="s">
        <v>1148</v>
      </c>
      <c r="D1404" s="524" t="s">
        <v>1186</v>
      </c>
      <c r="E1404" s="524" t="s">
        <v>2064</v>
      </c>
      <c r="F1404" s="524" t="s">
        <v>1170</v>
      </c>
      <c r="G1404" s="524" t="s">
        <v>757</v>
      </c>
      <c r="H1404" s="527">
        <v>400</v>
      </c>
      <c r="I1404" s="524" t="s">
        <v>1174</v>
      </c>
      <c r="J1404" s="524">
        <f>IF(cmf[[#This Row],[D/C]]="C",cmf[[#This Row],[Valor]],-1*cmf[[#This Row],[Valor]])</f>
        <v>-400</v>
      </c>
      <c r="L1404" s="524" t="s">
        <v>1188</v>
      </c>
      <c r="M1404" s="524" t="s">
        <v>1189</v>
      </c>
      <c r="N1404" s="524" t="s">
        <v>1223</v>
      </c>
      <c r="O1404" s="524" t="s">
        <v>1224</v>
      </c>
      <c r="P1404" s="526">
        <v>46220</v>
      </c>
      <c r="S1404" s="527">
        <v>0</v>
      </c>
    </row>
    <row r="1405" spans="1:19" x14ac:dyDescent="0.2">
      <c r="A1405" s="524">
        <v>70376</v>
      </c>
      <c r="B1405" s="526">
        <v>46220</v>
      </c>
      <c r="C1405" s="524" t="s">
        <v>1148</v>
      </c>
      <c r="D1405" s="524" t="s">
        <v>1186</v>
      </c>
      <c r="E1405" s="524" t="s">
        <v>2065</v>
      </c>
      <c r="F1405" s="524" t="s">
        <v>1170</v>
      </c>
      <c r="G1405" s="524" t="s">
        <v>757</v>
      </c>
      <c r="H1405" s="527">
        <v>400</v>
      </c>
      <c r="I1405" s="524" t="s">
        <v>1174</v>
      </c>
      <c r="J1405" s="524">
        <f>IF(cmf[[#This Row],[D/C]]="C",cmf[[#This Row],[Valor]],-1*cmf[[#This Row],[Valor]])</f>
        <v>-400</v>
      </c>
      <c r="L1405" s="524" t="s">
        <v>1188</v>
      </c>
      <c r="M1405" s="524" t="s">
        <v>1189</v>
      </c>
      <c r="N1405" s="524" t="s">
        <v>1223</v>
      </c>
      <c r="O1405" s="524" t="s">
        <v>1224</v>
      </c>
      <c r="P1405" s="526">
        <v>46220</v>
      </c>
      <c r="S1405" s="527">
        <v>0</v>
      </c>
    </row>
    <row r="1406" spans="1:19" x14ac:dyDescent="0.2">
      <c r="A1406" s="524">
        <v>70377</v>
      </c>
      <c r="B1406" s="526">
        <v>46220</v>
      </c>
      <c r="C1406" s="524" t="s">
        <v>1148</v>
      </c>
      <c r="D1406" s="524" t="s">
        <v>1186</v>
      </c>
      <c r="E1406" s="524" t="s">
        <v>2066</v>
      </c>
      <c r="F1406" s="524" t="s">
        <v>1170</v>
      </c>
      <c r="G1406" s="524" t="s">
        <v>757</v>
      </c>
      <c r="H1406" s="527">
        <v>400</v>
      </c>
      <c r="I1406" s="524" t="s">
        <v>1174</v>
      </c>
      <c r="J1406" s="524">
        <f>IF(cmf[[#This Row],[D/C]]="C",cmf[[#This Row],[Valor]],-1*cmf[[#This Row],[Valor]])</f>
        <v>-400</v>
      </c>
      <c r="L1406" s="524" t="s">
        <v>1188</v>
      </c>
      <c r="M1406" s="524" t="s">
        <v>1189</v>
      </c>
      <c r="N1406" s="524" t="s">
        <v>1223</v>
      </c>
      <c r="O1406" s="524" t="s">
        <v>1224</v>
      </c>
      <c r="P1406" s="526">
        <v>46220</v>
      </c>
      <c r="S1406" s="527">
        <v>0</v>
      </c>
    </row>
    <row r="1407" spans="1:19" x14ac:dyDescent="0.2">
      <c r="A1407" s="524">
        <v>70378</v>
      </c>
      <c r="B1407" s="526">
        <v>46220</v>
      </c>
      <c r="C1407" s="524" t="s">
        <v>1148</v>
      </c>
      <c r="D1407" s="524" t="s">
        <v>1186</v>
      </c>
      <c r="E1407" s="524" t="s">
        <v>2067</v>
      </c>
      <c r="F1407" s="524" t="s">
        <v>1170</v>
      </c>
      <c r="G1407" s="524" t="s">
        <v>757</v>
      </c>
      <c r="H1407" s="527">
        <v>400</v>
      </c>
      <c r="I1407" s="524" t="s">
        <v>1174</v>
      </c>
      <c r="J1407" s="524">
        <f>IF(cmf[[#This Row],[D/C]]="C",cmf[[#This Row],[Valor]],-1*cmf[[#This Row],[Valor]])</f>
        <v>-400</v>
      </c>
      <c r="L1407" s="524" t="s">
        <v>1188</v>
      </c>
      <c r="M1407" s="524" t="s">
        <v>1189</v>
      </c>
      <c r="N1407" s="524" t="s">
        <v>1223</v>
      </c>
      <c r="O1407" s="524" t="s">
        <v>1224</v>
      </c>
      <c r="P1407" s="526">
        <v>46220</v>
      </c>
      <c r="S1407" s="527">
        <v>0</v>
      </c>
    </row>
    <row r="1408" spans="1:19" x14ac:dyDescent="0.2">
      <c r="A1408" s="524">
        <v>70379</v>
      </c>
      <c r="B1408" s="526">
        <v>46220</v>
      </c>
      <c r="C1408" s="524" t="s">
        <v>1148</v>
      </c>
      <c r="D1408" s="524" t="s">
        <v>1186</v>
      </c>
      <c r="E1408" s="524" t="s">
        <v>2068</v>
      </c>
      <c r="F1408" s="524" t="s">
        <v>1170</v>
      </c>
      <c r="G1408" s="524" t="s">
        <v>757</v>
      </c>
      <c r="H1408" s="527">
        <v>400</v>
      </c>
      <c r="I1408" s="524" t="s">
        <v>1174</v>
      </c>
      <c r="J1408" s="524">
        <f>IF(cmf[[#This Row],[D/C]]="C",cmf[[#This Row],[Valor]],-1*cmf[[#This Row],[Valor]])</f>
        <v>-400</v>
      </c>
      <c r="L1408" s="524" t="s">
        <v>1188</v>
      </c>
      <c r="M1408" s="524" t="s">
        <v>1189</v>
      </c>
      <c r="N1408" s="524" t="s">
        <v>1223</v>
      </c>
      <c r="O1408" s="524" t="s">
        <v>1224</v>
      </c>
      <c r="P1408" s="526">
        <v>46220</v>
      </c>
      <c r="S1408" s="527">
        <v>0</v>
      </c>
    </row>
    <row r="1409" spans="1:19" x14ac:dyDescent="0.2">
      <c r="A1409" s="524">
        <v>70527</v>
      </c>
      <c r="B1409" s="526">
        <v>46220</v>
      </c>
      <c r="C1409" s="524" t="s">
        <v>1148</v>
      </c>
      <c r="D1409" s="524" t="s">
        <v>1205</v>
      </c>
      <c r="E1409" s="524" t="s">
        <v>1335</v>
      </c>
      <c r="F1409" s="524" t="s">
        <v>1170</v>
      </c>
      <c r="G1409" s="524" t="s">
        <v>799</v>
      </c>
      <c r="H1409" s="527">
        <v>85000</v>
      </c>
      <c r="I1409" s="524" t="s">
        <v>1174</v>
      </c>
      <c r="J1409" s="524">
        <f>IF(cmf[[#This Row],[D/C]]="C",cmf[[#This Row],[Valor]],-1*cmf[[#This Row],[Valor]])</f>
        <v>-85000</v>
      </c>
      <c r="L1409" s="524" t="s">
        <v>1207</v>
      </c>
      <c r="M1409" s="524" t="s">
        <v>1208</v>
      </c>
      <c r="N1409" s="524" t="s">
        <v>1171</v>
      </c>
      <c r="O1409" s="524" t="s">
        <v>1172</v>
      </c>
      <c r="P1409" s="526">
        <v>46220</v>
      </c>
      <c r="S1409" s="527">
        <v>0</v>
      </c>
    </row>
    <row r="1410" spans="1:19" x14ac:dyDescent="0.2">
      <c r="A1410" s="524">
        <v>70528</v>
      </c>
      <c r="B1410" s="526">
        <v>46220</v>
      </c>
      <c r="C1410" s="524" t="s">
        <v>1148</v>
      </c>
      <c r="D1410" s="524" t="s">
        <v>1205</v>
      </c>
      <c r="E1410" s="524" t="s">
        <v>1330</v>
      </c>
      <c r="F1410" s="524" t="s">
        <v>1183</v>
      </c>
      <c r="G1410" s="524" t="s">
        <v>800</v>
      </c>
      <c r="H1410" s="527">
        <v>85000</v>
      </c>
      <c r="I1410" s="524" t="s">
        <v>1148</v>
      </c>
      <c r="J1410" s="524">
        <f>IF(cmf[[#This Row],[D/C]]="C",cmf[[#This Row],[Valor]],-1*cmf[[#This Row],[Valor]])</f>
        <v>85000</v>
      </c>
      <c r="L1410" s="524" t="s">
        <v>1207</v>
      </c>
      <c r="M1410" s="524" t="s">
        <v>1208</v>
      </c>
      <c r="N1410" s="524" t="s">
        <v>1171</v>
      </c>
      <c r="O1410" s="524" t="s">
        <v>1172</v>
      </c>
      <c r="P1410" s="526">
        <v>46220</v>
      </c>
      <c r="S1410" s="527">
        <v>0</v>
      </c>
    </row>
    <row r="1411" spans="1:19" x14ac:dyDescent="0.2">
      <c r="A1411" s="524">
        <v>70529</v>
      </c>
      <c r="B1411" s="526">
        <v>46220</v>
      </c>
      <c r="C1411" s="524" t="s">
        <v>1148</v>
      </c>
      <c r="D1411" s="524" t="s">
        <v>1205</v>
      </c>
      <c r="E1411" s="524" t="s">
        <v>1337</v>
      </c>
      <c r="F1411" s="524" t="s">
        <v>1170</v>
      </c>
      <c r="G1411" s="524" t="s">
        <v>802</v>
      </c>
      <c r="H1411" s="527">
        <v>95000</v>
      </c>
      <c r="I1411" s="524" t="s">
        <v>1174</v>
      </c>
      <c r="J1411" s="524">
        <f>IF(cmf[[#This Row],[D/C]]="C",cmf[[#This Row],[Valor]],-1*cmf[[#This Row],[Valor]])</f>
        <v>-95000</v>
      </c>
      <c r="L1411" s="524" t="s">
        <v>1207</v>
      </c>
      <c r="M1411" s="524" t="s">
        <v>1208</v>
      </c>
      <c r="N1411" s="524" t="s">
        <v>1192</v>
      </c>
      <c r="O1411" s="524" t="s">
        <v>1193</v>
      </c>
      <c r="P1411" s="526">
        <v>46220</v>
      </c>
      <c r="S1411" s="527">
        <v>0</v>
      </c>
    </row>
    <row r="1412" spans="1:19" x14ac:dyDescent="0.2">
      <c r="A1412" s="524">
        <v>70530</v>
      </c>
      <c r="B1412" s="526">
        <v>46220</v>
      </c>
      <c r="C1412" s="524" t="s">
        <v>1148</v>
      </c>
      <c r="D1412" s="524" t="s">
        <v>1205</v>
      </c>
      <c r="E1412" s="524" t="s">
        <v>1342</v>
      </c>
      <c r="F1412" s="524" t="s">
        <v>1183</v>
      </c>
      <c r="G1412" s="524" t="s">
        <v>803</v>
      </c>
      <c r="H1412" s="527">
        <v>95000</v>
      </c>
      <c r="I1412" s="524" t="s">
        <v>1148</v>
      </c>
      <c r="J1412" s="524">
        <f>IF(cmf[[#This Row],[D/C]]="C",cmf[[#This Row],[Valor]],-1*cmf[[#This Row],[Valor]])</f>
        <v>95000</v>
      </c>
      <c r="L1412" s="524" t="s">
        <v>1207</v>
      </c>
      <c r="M1412" s="524" t="s">
        <v>1208</v>
      </c>
      <c r="N1412" s="524" t="s">
        <v>1192</v>
      </c>
      <c r="O1412" s="524" t="s">
        <v>1193</v>
      </c>
      <c r="P1412" s="526">
        <v>46220</v>
      </c>
      <c r="S1412" s="527">
        <v>0</v>
      </c>
    </row>
    <row r="1413" spans="1:19" x14ac:dyDescent="0.2">
      <c r="A1413" s="524">
        <v>70533</v>
      </c>
      <c r="B1413" s="526">
        <v>46220</v>
      </c>
      <c r="C1413" s="524" t="s">
        <v>1162</v>
      </c>
      <c r="D1413" s="524" t="s">
        <v>1205</v>
      </c>
      <c r="E1413" s="524" t="s">
        <v>1206</v>
      </c>
      <c r="F1413" s="524" t="s">
        <v>1170</v>
      </c>
      <c r="G1413" s="524" t="s">
        <v>781</v>
      </c>
      <c r="H1413" s="527">
        <v>3500</v>
      </c>
      <c r="I1413" s="524" t="s">
        <v>1174</v>
      </c>
      <c r="J1413" s="524">
        <f>IF(cmf[[#This Row],[D/C]]="C",cmf[[#This Row],[Valor]],-1*cmf[[#This Row],[Valor]])</f>
        <v>-3500</v>
      </c>
      <c r="L1413" s="524" t="s">
        <v>1207</v>
      </c>
      <c r="M1413" s="524" t="s">
        <v>1208</v>
      </c>
      <c r="N1413" s="524" t="s">
        <v>1209</v>
      </c>
      <c r="O1413" s="524" t="s">
        <v>1210</v>
      </c>
      <c r="P1413" s="526"/>
      <c r="S1413" s="527">
        <v>0</v>
      </c>
    </row>
    <row r="1414" spans="1:19" x14ac:dyDescent="0.2">
      <c r="A1414" s="524">
        <v>70534</v>
      </c>
      <c r="B1414" s="526">
        <v>46220</v>
      </c>
      <c r="C1414" s="524" t="s">
        <v>1162</v>
      </c>
      <c r="D1414" s="524" t="s">
        <v>1205</v>
      </c>
      <c r="E1414" s="524" t="s">
        <v>1211</v>
      </c>
      <c r="F1414" s="524" t="s">
        <v>1183</v>
      </c>
      <c r="G1414" s="524" t="s">
        <v>776</v>
      </c>
      <c r="H1414" s="527">
        <v>3500</v>
      </c>
      <c r="I1414" s="524" t="s">
        <v>1148</v>
      </c>
      <c r="J1414" s="524">
        <f>IF(cmf[[#This Row],[D/C]]="C",cmf[[#This Row],[Valor]],-1*cmf[[#This Row],[Valor]])</f>
        <v>3500</v>
      </c>
      <c r="L1414" s="524" t="s">
        <v>1207</v>
      </c>
      <c r="M1414" s="524" t="s">
        <v>1208</v>
      </c>
      <c r="N1414" s="524" t="s">
        <v>1212</v>
      </c>
      <c r="O1414" s="524" t="s">
        <v>1213</v>
      </c>
      <c r="P1414" s="526"/>
      <c r="S1414" s="527">
        <v>0</v>
      </c>
    </row>
    <row r="1415" spans="1:19" x14ac:dyDescent="0.2">
      <c r="A1415" s="524">
        <v>70590</v>
      </c>
      <c r="B1415" s="526">
        <v>46220</v>
      </c>
      <c r="C1415" s="524" t="s">
        <v>1148</v>
      </c>
      <c r="D1415" s="524" t="s">
        <v>1239</v>
      </c>
      <c r="E1415" s="524" t="s">
        <v>1251</v>
      </c>
      <c r="F1415" s="524" t="s">
        <v>1178</v>
      </c>
      <c r="G1415" s="524" t="s">
        <v>1179</v>
      </c>
      <c r="H1415" s="527">
        <v>5</v>
      </c>
      <c r="I1415" s="524" t="s">
        <v>1174</v>
      </c>
      <c r="J1415" s="524">
        <f>IF(cmf[[#This Row],[D/C]]="C",cmf[[#This Row],[Valor]],-1*cmf[[#This Row],[Valor]])</f>
        <v>-5</v>
      </c>
      <c r="L1415" s="524" t="s">
        <v>1241</v>
      </c>
      <c r="M1415" s="524" t="s">
        <v>1242</v>
      </c>
      <c r="N1415" s="524" t="s">
        <v>1180</v>
      </c>
      <c r="O1415" s="524" t="s">
        <v>1181</v>
      </c>
      <c r="P1415" s="526">
        <v>46220</v>
      </c>
      <c r="S1415" s="527">
        <v>0</v>
      </c>
    </row>
    <row r="1416" spans="1:19" x14ac:dyDescent="0.2">
      <c r="A1416" s="524">
        <v>70634</v>
      </c>
      <c r="B1416" s="526">
        <v>46220</v>
      </c>
      <c r="C1416" s="524" t="s">
        <v>1148</v>
      </c>
      <c r="D1416" s="524" t="s">
        <v>1243</v>
      </c>
      <c r="E1416" s="524" t="s">
        <v>1254</v>
      </c>
      <c r="F1416" s="524" t="s">
        <v>1178</v>
      </c>
      <c r="G1416" s="524" t="s">
        <v>1179</v>
      </c>
      <c r="H1416" s="527">
        <v>34734.5</v>
      </c>
      <c r="I1416" s="524" t="s">
        <v>1148</v>
      </c>
      <c r="J1416" s="524">
        <f>IF(cmf[[#This Row],[D/C]]="C",cmf[[#This Row],[Valor]],-1*cmf[[#This Row],[Valor]])</f>
        <v>34734.5</v>
      </c>
      <c r="L1416" s="524" t="s">
        <v>1245</v>
      </c>
      <c r="M1416" s="524" t="s">
        <v>1246</v>
      </c>
      <c r="N1416" s="524" t="s">
        <v>1180</v>
      </c>
      <c r="O1416" s="524" t="s">
        <v>1181</v>
      </c>
      <c r="P1416" s="526">
        <v>46220</v>
      </c>
      <c r="S1416" s="527">
        <v>0</v>
      </c>
    </row>
    <row r="1417" spans="1:19" x14ac:dyDescent="0.2">
      <c r="A1417" s="524">
        <v>70729</v>
      </c>
      <c r="B1417" s="526">
        <v>46220</v>
      </c>
      <c r="C1417" s="524" t="s">
        <v>1148</v>
      </c>
      <c r="D1417" s="524" t="s">
        <v>1239</v>
      </c>
      <c r="E1417" s="524" t="s">
        <v>2069</v>
      </c>
      <c r="F1417" s="524" t="s">
        <v>1170</v>
      </c>
      <c r="G1417" s="524" t="s">
        <v>802</v>
      </c>
      <c r="H1417" s="527">
        <v>13</v>
      </c>
      <c r="I1417" s="524" t="s">
        <v>1174</v>
      </c>
      <c r="J1417" s="524">
        <f>IF(cmf[[#This Row],[D/C]]="C",cmf[[#This Row],[Valor]],-1*cmf[[#This Row],[Valor]])</f>
        <v>-13</v>
      </c>
      <c r="L1417" s="524" t="s">
        <v>1241</v>
      </c>
      <c r="M1417" s="524" t="s">
        <v>1242</v>
      </c>
      <c r="N1417" s="524" t="s">
        <v>1192</v>
      </c>
      <c r="O1417" s="524" t="s">
        <v>1193</v>
      </c>
      <c r="P1417" s="526">
        <v>46220</v>
      </c>
      <c r="S1417" s="527">
        <v>0</v>
      </c>
    </row>
    <row r="1418" spans="1:19" x14ac:dyDescent="0.2">
      <c r="A1418" s="524">
        <v>70764</v>
      </c>
      <c r="B1418" s="526">
        <v>46220</v>
      </c>
      <c r="C1418" s="524" t="s">
        <v>1148</v>
      </c>
      <c r="D1418" s="524" t="s">
        <v>1226</v>
      </c>
      <c r="E1418" s="524" t="s">
        <v>2070</v>
      </c>
      <c r="F1418" s="524" t="s">
        <v>1170</v>
      </c>
      <c r="G1418" s="524" t="s">
        <v>1102</v>
      </c>
      <c r="H1418" s="527">
        <v>1549.44</v>
      </c>
      <c r="I1418" s="524" t="s">
        <v>1148</v>
      </c>
      <c r="J1418" s="524">
        <f>IF(cmf[[#This Row],[D/C]]="C",cmf[[#This Row],[Valor]],-1*cmf[[#This Row],[Valor]])</f>
        <v>1549.44</v>
      </c>
      <c r="L1418" s="524" t="s">
        <v>1230</v>
      </c>
      <c r="M1418" s="524" t="s">
        <v>1231</v>
      </c>
      <c r="N1418" s="524" t="s">
        <v>1192</v>
      </c>
      <c r="O1418" s="524" t="s">
        <v>1193</v>
      </c>
      <c r="P1418" s="526">
        <v>46220</v>
      </c>
      <c r="S1418" s="527">
        <v>0</v>
      </c>
    </row>
    <row r="1419" spans="1:19" x14ac:dyDescent="0.2">
      <c r="A1419" s="524">
        <v>70783</v>
      </c>
      <c r="B1419" s="526">
        <v>46220</v>
      </c>
      <c r="C1419" s="524" t="s">
        <v>1148</v>
      </c>
      <c r="D1419" s="524" t="s">
        <v>1239</v>
      </c>
      <c r="E1419" s="524" t="s">
        <v>1258</v>
      </c>
      <c r="F1419" s="524" t="s">
        <v>1170</v>
      </c>
      <c r="G1419" s="524" t="s">
        <v>1102</v>
      </c>
      <c r="H1419" s="527">
        <v>12.6</v>
      </c>
      <c r="I1419" s="524" t="s">
        <v>1174</v>
      </c>
      <c r="J1419" s="524">
        <f>IF(cmf[[#This Row],[D/C]]="C",cmf[[#This Row],[Valor]],-1*cmf[[#This Row],[Valor]])</f>
        <v>-12.6</v>
      </c>
      <c r="L1419" s="524" t="s">
        <v>1241</v>
      </c>
      <c r="M1419" s="524" t="s">
        <v>1242</v>
      </c>
      <c r="N1419" s="524" t="s">
        <v>1192</v>
      </c>
      <c r="O1419" s="524" t="s">
        <v>1193</v>
      </c>
      <c r="P1419" s="526">
        <v>46220</v>
      </c>
      <c r="S1419" s="527">
        <v>0</v>
      </c>
    </row>
    <row r="1420" spans="1:19" x14ac:dyDescent="0.2">
      <c r="A1420" s="524">
        <v>70784</v>
      </c>
      <c r="B1420" s="526">
        <v>46220</v>
      </c>
      <c r="C1420" s="524" t="s">
        <v>1148</v>
      </c>
      <c r="D1420" s="524" t="s">
        <v>1239</v>
      </c>
      <c r="E1420" s="524" t="s">
        <v>1258</v>
      </c>
      <c r="F1420" s="524" t="s">
        <v>1170</v>
      </c>
      <c r="G1420" s="524" t="s">
        <v>1102</v>
      </c>
      <c r="H1420" s="527">
        <v>1.2</v>
      </c>
      <c r="I1420" s="524" t="s">
        <v>1174</v>
      </c>
      <c r="J1420" s="524">
        <f>IF(cmf[[#This Row],[D/C]]="C",cmf[[#This Row],[Valor]],-1*cmf[[#This Row],[Valor]])</f>
        <v>-1.2</v>
      </c>
      <c r="L1420" s="524" t="s">
        <v>1241</v>
      </c>
      <c r="M1420" s="524" t="s">
        <v>1242</v>
      </c>
      <c r="N1420" s="524" t="s">
        <v>1192</v>
      </c>
      <c r="O1420" s="524" t="s">
        <v>1193</v>
      </c>
      <c r="P1420" s="526">
        <v>46220</v>
      </c>
      <c r="S1420" s="527">
        <v>0</v>
      </c>
    </row>
    <row r="1421" spans="1:19" x14ac:dyDescent="0.2">
      <c r="A1421" s="524">
        <v>70785</v>
      </c>
      <c r="B1421" s="526">
        <v>46220</v>
      </c>
      <c r="C1421" s="524" t="s">
        <v>1148</v>
      </c>
      <c r="D1421" s="524" t="s">
        <v>1239</v>
      </c>
      <c r="E1421" s="524" t="s">
        <v>1258</v>
      </c>
      <c r="F1421" s="524" t="s">
        <v>1170</v>
      </c>
      <c r="G1421" s="524" t="s">
        <v>1102</v>
      </c>
      <c r="H1421" s="527">
        <v>4</v>
      </c>
      <c r="I1421" s="524" t="s">
        <v>1174</v>
      </c>
      <c r="J1421" s="524">
        <f>IF(cmf[[#This Row],[D/C]]="C",cmf[[#This Row],[Valor]],-1*cmf[[#This Row],[Valor]])</f>
        <v>-4</v>
      </c>
      <c r="L1421" s="524" t="s">
        <v>1241</v>
      </c>
      <c r="M1421" s="524" t="s">
        <v>1242</v>
      </c>
      <c r="N1421" s="524" t="s">
        <v>1192</v>
      </c>
      <c r="O1421" s="524" t="s">
        <v>1193</v>
      </c>
      <c r="P1421" s="526">
        <v>46220</v>
      </c>
      <c r="S1421" s="527">
        <v>0</v>
      </c>
    </row>
    <row r="1422" spans="1:19" x14ac:dyDescent="0.2">
      <c r="A1422" s="524">
        <v>70972</v>
      </c>
      <c r="B1422" s="526">
        <v>46220</v>
      </c>
      <c r="C1422" s="524" t="s">
        <v>1148</v>
      </c>
      <c r="D1422" s="524" t="s">
        <v>1239</v>
      </c>
      <c r="E1422" s="524" t="s">
        <v>1253</v>
      </c>
      <c r="F1422" s="524" t="s">
        <v>1170</v>
      </c>
      <c r="G1422" s="524" t="s">
        <v>798</v>
      </c>
      <c r="H1422" s="527">
        <v>0.4</v>
      </c>
      <c r="I1422" s="524" t="s">
        <v>1174</v>
      </c>
      <c r="J1422" s="524">
        <f>IF(cmf[[#This Row],[D/C]]="C",cmf[[#This Row],[Valor]],-1*cmf[[#This Row],[Valor]])</f>
        <v>-0.4</v>
      </c>
      <c r="L1422" s="524" t="s">
        <v>1241</v>
      </c>
      <c r="M1422" s="524" t="s">
        <v>1242</v>
      </c>
      <c r="N1422" s="524" t="s">
        <v>1171</v>
      </c>
      <c r="O1422" s="524" t="s">
        <v>1172</v>
      </c>
      <c r="P1422" s="526">
        <v>46220</v>
      </c>
      <c r="S1422" s="527">
        <v>0</v>
      </c>
    </row>
    <row r="1423" spans="1:19" x14ac:dyDescent="0.2">
      <c r="A1423" s="524">
        <v>71021</v>
      </c>
      <c r="B1423" s="526">
        <v>46220</v>
      </c>
      <c r="C1423" s="524" t="s">
        <v>1148</v>
      </c>
      <c r="D1423" s="524" t="s">
        <v>1239</v>
      </c>
      <c r="E1423" s="524" t="s">
        <v>1567</v>
      </c>
      <c r="F1423" s="524" t="s">
        <v>1170</v>
      </c>
      <c r="G1423" s="524" t="s">
        <v>799</v>
      </c>
      <c r="H1423" s="527">
        <v>13</v>
      </c>
      <c r="I1423" s="524" t="s">
        <v>1174</v>
      </c>
      <c r="J1423" s="524">
        <f>IF(cmf[[#This Row],[D/C]]="C",cmf[[#This Row],[Valor]],-1*cmf[[#This Row],[Valor]])</f>
        <v>-13</v>
      </c>
      <c r="L1423" s="524" t="s">
        <v>1241</v>
      </c>
      <c r="M1423" s="524" t="s">
        <v>1242</v>
      </c>
      <c r="N1423" s="524" t="s">
        <v>1171</v>
      </c>
      <c r="O1423" s="524" t="s">
        <v>1172</v>
      </c>
      <c r="P1423" s="526">
        <v>46220</v>
      </c>
      <c r="S1423" s="527">
        <v>0</v>
      </c>
    </row>
    <row r="1424" spans="1:19" x14ac:dyDescent="0.2">
      <c r="A1424" s="524">
        <v>71038</v>
      </c>
      <c r="B1424" s="526">
        <v>46220</v>
      </c>
      <c r="C1424" s="524" t="s">
        <v>1148</v>
      </c>
      <c r="D1424" s="524" t="s">
        <v>1239</v>
      </c>
      <c r="E1424" s="524" t="s">
        <v>1253</v>
      </c>
      <c r="F1424" s="524" t="s">
        <v>1170</v>
      </c>
      <c r="G1424" s="524" t="s">
        <v>765</v>
      </c>
      <c r="H1424" s="527">
        <v>0.2</v>
      </c>
      <c r="I1424" s="524" t="s">
        <v>1174</v>
      </c>
      <c r="J1424" s="524">
        <f>IF(cmf[[#This Row],[D/C]]="C",cmf[[#This Row],[Valor]],-1*cmf[[#This Row],[Valor]])</f>
        <v>-0.2</v>
      </c>
      <c r="L1424" s="524" t="s">
        <v>1241</v>
      </c>
      <c r="M1424" s="524" t="s">
        <v>1242</v>
      </c>
      <c r="N1424" s="524" t="s">
        <v>1200</v>
      </c>
      <c r="O1424" s="524" t="s">
        <v>1201</v>
      </c>
      <c r="P1424" s="526">
        <v>46220</v>
      </c>
      <c r="S1424" s="527">
        <v>0</v>
      </c>
    </row>
    <row r="1425" spans="1:19" x14ac:dyDescent="0.2">
      <c r="A1425" s="524">
        <v>71089</v>
      </c>
      <c r="B1425" s="526">
        <v>46220</v>
      </c>
      <c r="C1425" s="524" t="s">
        <v>1148</v>
      </c>
      <c r="D1425" s="524" t="s">
        <v>1239</v>
      </c>
      <c r="E1425" s="524" t="s">
        <v>2071</v>
      </c>
      <c r="F1425" s="524" t="s">
        <v>1170</v>
      </c>
      <c r="G1425" s="524" t="s">
        <v>762</v>
      </c>
      <c r="H1425" s="527">
        <v>39</v>
      </c>
      <c r="I1425" s="524" t="s">
        <v>1174</v>
      </c>
      <c r="J1425" s="524">
        <f>IF(cmf[[#This Row],[D/C]]="C",cmf[[#This Row],[Valor]],-1*cmf[[#This Row],[Valor]])</f>
        <v>-39</v>
      </c>
      <c r="L1425" s="524" t="s">
        <v>1241</v>
      </c>
      <c r="M1425" s="524" t="s">
        <v>1242</v>
      </c>
      <c r="N1425" s="524" t="s">
        <v>1180</v>
      </c>
      <c r="O1425" s="524" t="s">
        <v>1181</v>
      </c>
      <c r="P1425" s="526">
        <v>46220</v>
      </c>
      <c r="S1425" s="527">
        <v>0</v>
      </c>
    </row>
    <row r="1426" spans="1:19" x14ac:dyDescent="0.2">
      <c r="A1426" s="524">
        <v>71221</v>
      </c>
      <c r="B1426" s="526">
        <v>46220</v>
      </c>
      <c r="C1426" s="524" t="s">
        <v>1148</v>
      </c>
      <c r="D1426" s="524" t="s">
        <v>1239</v>
      </c>
      <c r="E1426" s="524" t="s">
        <v>1255</v>
      </c>
      <c r="F1426" s="524" t="s">
        <v>1170</v>
      </c>
      <c r="G1426" s="524" t="s">
        <v>738</v>
      </c>
      <c r="H1426" s="527">
        <v>0.2</v>
      </c>
      <c r="I1426" s="524" t="s">
        <v>1174</v>
      </c>
      <c r="J1426" s="524">
        <f>IF(cmf[[#This Row],[D/C]]="C",cmf[[#This Row],[Valor]],-1*cmf[[#This Row],[Valor]])</f>
        <v>-0.2</v>
      </c>
      <c r="L1426" s="524" t="s">
        <v>1241</v>
      </c>
      <c r="M1426" s="524" t="s">
        <v>1242</v>
      </c>
      <c r="N1426" s="524" t="s">
        <v>1215</v>
      </c>
      <c r="O1426" s="524" t="s">
        <v>1218</v>
      </c>
      <c r="P1426" s="526">
        <v>46220</v>
      </c>
      <c r="S1426" s="527">
        <v>0</v>
      </c>
    </row>
    <row r="1427" spans="1:19" x14ac:dyDescent="0.2">
      <c r="A1427" s="524">
        <v>71247</v>
      </c>
      <c r="B1427" s="526">
        <v>46220</v>
      </c>
      <c r="C1427" s="524" t="s">
        <v>1148</v>
      </c>
      <c r="D1427" s="524" t="s">
        <v>1239</v>
      </c>
      <c r="E1427" s="524" t="s">
        <v>1312</v>
      </c>
      <c r="F1427" s="524" t="s">
        <v>1170</v>
      </c>
      <c r="G1427" s="524" t="s">
        <v>749</v>
      </c>
      <c r="H1427" s="527">
        <v>15</v>
      </c>
      <c r="I1427" s="524" t="s">
        <v>1174</v>
      </c>
      <c r="J1427" s="524">
        <f>IF(cmf[[#This Row],[D/C]]="C",cmf[[#This Row],[Valor]],-1*cmf[[#This Row],[Valor]])</f>
        <v>-15</v>
      </c>
      <c r="L1427" s="524" t="s">
        <v>1241</v>
      </c>
      <c r="M1427" s="524" t="s">
        <v>1242</v>
      </c>
      <c r="N1427" s="524" t="s">
        <v>1256</v>
      </c>
      <c r="O1427" s="524" t="s">
        <v>1257</v>
      </c>
      <c r="P1427" s="526">
        <v>46220</v>
      </c>
      <c r="S1427" s="527">
        <v>0</v>
      </c>
    </row>
    <row r="1428" spans="1:19" x14ac:dyDescent="0.2">
      <c r="A1428" s="524">
        <v>71541</v>
      </c>
      <c r="B1428" s="526">
        <v>46220</v>
      </c>
      <c r="C1428" s="524" t="s">
        <v>1148</v>
      </c>
      <c r="D1428" s="524" t="s">
        <v>1239</v>
      </c>
      <c r="E1428" s="524" t="s">
        <v>1312</v>
      </c>
      <c r="F1428" s="524" t="s">
        <v>1170</v>
      </c>
      <c r="G1428" s="524" t="s">
        <v>740</v>
      </c>
      <c r="H1428" s="527">
        <v>5</v>
      </c>
      <c r="I1428" s="524" t="s">
        <v>1174</v>
      </c>
      <c r="J1428" s="524">
        <f>IF(cmf[[#This Row],[D/C]]="C",cmf[[#This Row],[Valor]],-1*cmf[[#This Row],[Valor]])</f>
        <v>-5</v>
      </c>
      <c r="L1428" s="524" t="s">
        <v>1241</v>
      </c>
      <c r="M1428" s="524" t="s">
        <v>1242</v>
      </c>
      <c r="N1428" s="524" t="s">
        <v>1215</v>
      </c>
      <c r="O1428" s="524" t="s">
        <v>1218</v>
      </c>
      <c r="P1428" s="526">
        <v>46220</v>
      </c>
      <c r="S1428" s="527">
        <v>0</v>
      </c>
    </row>
    <row r="1429" spans="1:19" x14ac:dyDescent="0.2">
      <c r="A1429" s="524">
        <v>71870</v>
      </c>
      <c r="B1429" s="526">
        <v>46220</v>
      </c>
      <c r="C1429" s="524" t="s">
        <v>1148</v>
      </c>
      <c r="D1429" s="524" t="s">
        <v>1243</v>
      </c>
      <c r="E1429" s="524" t="s">
        <v>1244</v>
      </c>
      <c r="F1429" s="524" t="s">
        <v>1183</v>
      </c>
      <c r="G1429" s="524" t="s">
        <v>750</v>
      </c>
      <c r="H1429" s="527">
        <v>4345.5</v>
      </c>
      <c r="I1429" s="524" t="s">
        <v>1148</v>
      </c>
      <c r="J1429" s="524">
        <f>IF(cmf[[#This Row],[D/C]]="C",cmf[[#This Row],[Valor]],-1*cmf[[#This Row],[Valor]])</f>
        <v>4345.5</v>
      </c>
      <c r="L1429" s="524" t="s">
        <v>1245</v>
      </c>
      <c r="M1429" s="524" t="s">
        <v>1246</v>
      </c>
      <c r="N1429" s="524" t="s">
        <v>1256</v>
      </c>
      <c r="O1429" s="524" t="s">
        <v>1257</v>
      </c>
      <c r="P1429" s="526">
        <v>46220</v>
      </c>
      <c r="S1429" s="527">
        <v>0</v>
      </c>
    </row>
    <row r="1430" spans="1:19" x14ac:dyDescent="0.2">
      <c r="A1430" s="524">
        <v>71871</v>
      </c>
      <c r="B1430" s="526">
        <v>46220</v>
      </c>
      <c r="C1430" s="524" t="s">
        <v>1148</v>
      </c>
      <c r="D1430" s="524" t="s">
        <v>1243</v>
      </c>
      <c r="E1430" s="524" t="s">
        <v>1244</v>
      </c>
      <c r="F1430" s="524" t="s">
        <v>1183</v>
      </c>
      <c r="G1430" s="524" t="s">
        <v>750</v>
      </c>
      <c r="H1430" s="527">
        <v>0.02</v>
      </c>
      <c r="I1430" s="524" t="s">
        <v>1148</v>
      </c>
      <c r="J1430" s="524">
        <f>IF(cmf[[#This Row],[D/C]]="C",cmf[[#This Row],[Valor]],-1*cmf[[#This Row],[Valor]])</f>
        <v>0.02</v>
      </c>
      <c r="L1430" s="524" t="s">
        <v>1245</v>
      </c>
      <c r="M1430" s="524" t="s">
        <v>1246</v>
      </c>
      <c r="N1430" s="524" t="s">
        <v>1256</v>
      </c>
      <c r="O1430" s="524" t="s">
        <v>1257</v>
      </c>
      <c r="P1430" s="526">
        <v>46220</v>
      </c>
      <c r="S1430" s="527">
        <v>0</v>
      </c>
    </row>
    <row r="1431" spans="1:19" x14ac:dyDescent="0.2">
      <c r="A1431" s="524">
        <v>71891</v>
      </c>
      <c r="B1431" s="526">
        <v>46220</v>
      </c>
      <c r="C1431" s="524" t="s">
        <v>1148</v>
      </c>
      <c r="D1431" s="524" t="s">
        <v>1239</v>
      </c>
      <c r="E1431" s="524" t="s">
        <v>1268</v>
      </c>
      <c r="F1431" s="524" t="s">
        <v>1183</v>
      </c>
      <c r="G1431" s="524" t="s">
        <v>750</v>
      </c>
      <c r="H1431" s="527">
        <v>26500.74</v>
      </c>
      <c r="I1431" s="524" t="s">
        <v>1174</v>
      </c>
      <c r="J1431" s="524">
        <f>IF(cmf[[#This Row],[D/C]]="C",cmf[[#This Row],[Valor]],-1*cmf[[#This Row],[Valor]])</f>
        <v>-26500.74</v>
      </c>
      <c r="L1431" s="524" t="s">
        <v>1269</v>
      </c>
      <c r="M1431" s="524" t="s">
        <v>1270</v>
      </c>
      <c r="N1431" s="524" t="s">
        <v>1256</v>
      </c>
      <c r="O1431" s="524" t="s">
        <v>1257</v>
      </c>
      <c r="P1431" s="526">
        <v>46220</v>
      </c>
      <c r="S1431" s="527">
        <v>0</v>
      </c>
    </row>
    <row r="1432" spans="1:19" x14ac:dyDescent="0.2">
      <c r="A1432" s="524">
        <v>72151</v>
      </c>
      <c r="B1432" s="526">
        <v>46220</v>
      </c>
      <c r="C1432" s="524" t="s">
        <v>1148</v>
      </c>
      <c r="D1432" s="524" t="s">
        <v>1205</v>
      </c>
      <c r="E1432" s="524" t="s">
        <v>1542</v>
      </c>
      <c r="F1432" s="524" t="s">
        <v>1183</v>
      </c>
      <c r="G1432" s="524" t="s">
        <v>806</v>
      </c>
      <c r="H1432" s="527">
        <v>35000</v>
      </c>
      <c r="I1432" s="524" t="s">
        <v>1174</v>
      </c>
      <c r="J1432" s="524">
        <f>IF(cmf[[#This Row],[D/C]]="C",cmf[[#This Row],[Valor]],-1*cmf[[#This Row],[Valor]])</f>
        <v>-35000</v>
      </c>
      <c r="L1432" s="524" t="s">
        <v>1207</v>
      </c>
      <c r="M1432" s="524" t="s">
        <v>1208</v>
      </c>
      <c r="N1432" s="524" t="s">
        <v>1283</v>
      </c>
      <c r="O1432" s="524" t="s">
        <v>1284</v>
      </c>
      <c r="P1432" s="526">
        <v>46220</v>
      </c>
      <c r="S1432" s="527">
        <v>0</v>
      </c>
    </row>
    <row r="1433" spans="1:19" x14ac:dyDescent="0.2">
      <c r="A1433" s="524">
        <v>72152</v>
      </c>
      <c r="B1433" s="526">
        <v>46220</v>
      </c>
      <c r="C1433" s="524" t="s">
        <v>1148</v>
      </c>
      <c r="D1433" s="524" t="s">
        <v>1205</v>
      </c>
      <c r="E1433" s="524" t="s">
        <v>1539</v>
      </c>
      <c r="F1433" s="524" t="s">
        <v>1170</v>
      </c>
      <c r="G1433" s="524" t="s">
        <v>788</v>
      </c>
      <c r="H1433" s="527">
        <v>35000</v>
      </c>
      <c r="I1433" s="524" t="s">
        <v>1148</v>
      </c>
      <c r="J1433" s="524">
        <f>IF(cmf[[#This Row],[D/C]]="C",cmf[[#This Row],[Valor]],-1*cmf[[#This Row],[Valor]])</f>
        <v>35000</v>
      </c>
      <c r="L1433" s="524" t="s">
        <v>1207</v>
      </c>
      <c r="M1433" s="524" t="s">
        <v>1208</v>
      </c>
      <c r="N1433" s="524" t="s">
        <v>1271</v>
      </c>
      <c r="O1433" s="524" t="s">
        <v>1272</v>
      </c>
      <c r="P1433" s="526">
        <v>46220</v>
      </c>
      <c r="S1433" s="527">
        <v>0</v>
      </c>
    </row>
    <row r="1434" spans="1:19" x14ac:dyDescent="0.2">
      <c r="A1434" s="524">
        <v>72550</v>
      </c>
      <c r="B1434" s="526">
        <v>46220</v>
      </c>
      <c r="C1434" s="524" t="s">
        <v>1148</v>
      </c>
      <c r="D1434" s="524" t="s">
        <v>1235</v>
      </c>
      <c r="E1434" s="524" t="s">
        <v>2072</v>
      </c>
      <c r="F1434" s="524" t="s">
        <v>1170</v>
      </c>
      <c r="G1434" s="524" t="s">
        <v>757</v>
      </c>
      <c r="H1434" s="527">
        <v>1494751.71</v>
      </c>
      <c r="I1434" s="524" t="s">
        <v>1148</v>
      </c>
      <c r="J1434" s="524">
        <f>IF(cmf[[#This Row],[D/C]]="C",cmf[[#This Row],[Valor]],-1*cmf[[#This Row],[Valor]])</f>
        <v>1494751.71</v>
      </c>
      <c r="L1434" s="524" t="s">
        <v>1237</v>
      </c>
      <c r="M1434" s="524" t="s">
        <v>1238</v>
      </c>
      <c r="N1434" s="524" t="s">
        <v>1223</v>
      </c>
      <c r="O1434" s="524" t="s">
        <v>1224</v>
      </c>
      <c r="P1434" s="526">
        <v>46220</v>
      </c>
      <c r="S1434" s="527">
        <v>0</v>
      </c>
    </row>
    <row r="1435" spans="1:19" x14ac:dyDescent="0.2">
      <c r="A1435" s="524">
        <v>69880</v>
      </c>
      <c r="B1435" s="526">
        <v>46221</v>
      </c>
      <c r="C1435" s="524" t="s">
        <v>1162</v>
      </c>
      <c r="D1435" s="524" t="s">
        <v>1163</v>
      </c>
      <c r="E1435" s="524" t="s">
        <v>1173</v>
      </c>
      <c r="F1435" s="524" t="s">
        <v>1111</v>
      </c>
      <c r="G1435" s="524" t="s">
        <v>1110</v>
      </c>
      <c r="H1435" s="527">
        <v>3.8</v>
      </c>
      <c r="I1435" s="524" t="s">
        <v>1174</v>
      </c>
      <c r="J1435" s="524">
        <f>IF(cmf[[#This Row],[D/C]]="C",cmf[[#This Row],[Valor]],-1*cmf[[#This Row],[Valor]])</f>
        <v>-3.8</v>
      </c>
      <c r="L1435" s="524" t="s">
        <v>1175</v>
      </c>
      <c r="M1435" s="524" t="s">
        <v>1176</v>
      </c>
      <c r="N1435" s="524" t="s">
        <v>1219</v>
      </c>
      <c r="O1435" s="524" t="s">
        <v>1220</v>
      </c>
      <c r="P1435" s="526"/>
      <c r="S1435" s="527">
        <v>0</v>
      </c>
    </row>
    <row r="1436" spans="1:19" x14ac:dyDescent="0.2">
      <c r="A1436" s="524">
        <v>69881</v>
      </c>
      <c r="B1436" s="526">
        <v>46222</v>
      </c>
      <c r="C1436" s="524" t="s">
        <v>1162</v>
      </c>
      <c r="D1436" s="524" t="s">
        <v>1163</v>
      </c>
      <c r="E1436" s="524" t="s">
        <v>1173</v>
      </c>
      <c r="F1436" s="524" t="s">
        <v>1111</v>
      </c>
      <c r="G1436" s="524" t="s">
        <v>1110</v>
      </c>
      <c r="H1436" s="527">
        <v>5.7</v>
      </c>
      <c r="I1436" s="524" t="s">
        <v>1174</v>
      </c>
      <c r="J1436" s="524">
        <f>IF(cmf[[#This Row],[D/C]]="C",cmf[[#This Row],[Valor]],-1*cmf[[#This Row],[Valor]])</f>
        <v>-5.7</v>
      </c>
      <c r="L1436" s="524" t="s">
        <v>1175</v>
      </c>
      <c r="M1436" s="524" t="s">
        <v>1176</v>
      </c>
      <c r="N1436" s="524" t="s">
        <v>1219</v>
      </c>
      <c r="O1436" s="524" t="s">
        <v>1220</v>
      </c>
      <c r="P1436" s="526"/>
      <c r="S1436" s="527">
        <v>0</v>
      </c>
    </row>
    <row r="1437" spans="1:19" x14ac:dyDescent="0.2">
      <c r="A1437" s="524">
        <v>69797</v>
      </c>
      <c r="B1437" s="526">
        <v>46223</v>
      </c>
      <c r="C1437" s="524" t="s">
        <v>1148</v>
      </c>
      <c r="D1437" s="524" t="s">
        <v>1163</v>
      </c>
      <c r="E1437" s="524" t="s">
        <v>1164</v>
      </c>
      <c r="F1437" s="524" t="s">
        <v>1170</v>
      </c>
      <c r="G1437" s="524" t="s">
        <v>798</v>
      </c>
      <c r="H1437" s="527">
        <v>1040.6199999999999</v>
      </c>
      <c r="I1437" s="524" t="s">
        <v>1148</v>
      </c>
      <c r="J1437" s="524">
        <f>IF(cmf[[#This Row],[D/C]]="C",cmf[[#This Row],[Valor]],-1*cmf[[#This Row],[Valor]])</f>
        <v>1040.6199999999999</v>
      </c>
      <c r="L1437" s="524" t="s">
        <v>1166</v>
      </c>
      <c r="M1437" s="524" t="s">
        <v>1167</v>
      </c>
      <c r="N1437" s="524" t="s">
        <v>1171</v>
      </c>
      <c r="O1437" s="524" t="s">
        <v>1172</v>
      </c>
      <c r="P1437" s="526">
        <v>46223</v>
      </c>
      <c r="S1437" s="527">
        <v>0</v>
      </c>
    </row>
    <row r="1438" spans="1:19" x14ac:dyDescent="0.2">
      <c r="A1438" s="524">
        <v>69798</v>
      </c>
      <c r="B1438" s="526">
        <v>46223</v>
      </c>
      <c r="C1438" s="524" t="s">
        <v>1148</v>
      </c>
      <c r="D1438" s="524" t="s">
        <v>1163</v>
      </c>
      <c r="E1438" s="524" t="s">
        <v>1173</v>
      </c>
      <c r="F1438" s="524" t="s">
        <v>1170</v>
      </c>
      <c r="G1438" s="524" t="s">
        <v>798</v>
      </c>
      <c r="H1438" s="527">
        <v>6.3</v>
      </c>
      <c r="I1438" s="524" t="s">
        <v>1174</v>
      </c>
      <c r="J1438" s="524">
        <f>IF(cmf[[#This Row],[D/C]]="C",cmf[[#This Row],[Valor]],-1*cmf[[#This Row],[Valor]])</f>
        <v>-6.3</v>
      </c>
      <c r="L1438" s="524" t="s">
        <v>1175</v>
      </c>
      <c r="M1438" s="524" t="s">
        <v>1176</v>
      </c>
      <c r="N1438" s="524" t="s">
        <v>1171</v>
      </c>
      <c r="O1438" s="524" t="s">
        <v>1172</v>
      </c>
      <c r="P1438" s="526">
        <v>46223</v>
      </c>
      <c r="S1438" s="527">
        <v>0</v>
      </c>
    </row>
    <row r="1439" spans="1:19" x14ac:dyDescent="0.2">
      <c r="A1439" s="524">
        <v>69804</v>
      </c>
      <c r="B1439" s="526">
        <v>46223</v>
      </c>
      <c r="C1439" s="524" t="s">
        <v>1162</v>
      </c>
      <c r="D1439" s="524" t="s">
        <v>1163</v>
      </c>
      <c r="E1439" s="524" t="s">
        <v>1164</v>
      </c>
      <c r="F1439" s="524" t="s">
        <v>1165</v>
      </c>
      <c r="G1439" s="524" t="s">
        <v>756</v>
      </c>
      <c r="H1439" s="527">
        <v>1498.13</v>
      </c>
      <c r="I1439" s="524" t="s">
        <v>1148</v>
      </c>
      <c r="J1439" s="524">
        <f>IF(cmf[[#This Row],[D/C]]="C",cmf[[#This Row],[Valor]],-1*cmf[[#This Row],[Valor]])</f>
        <v>1498.13</v>
      </c>
      <c r="L1439" s="524" t="s">
        <v>1166</v>
      </c>
      <c r="M1439" s="524" t="s">
        <v>1167</v>
      </c>
      <c r="N1439" s="524" t="s">
        <v>1168</v>
      </c>
      <c r="O1439" s="524" t="s">
        <v>1169</v>
      </c>
      <c r="P1439" s="526"/>
      <c r="S1439" s="527">
        <v>0</v>
      </c>
    </row>
    <row r="1440" spans="1:19" x14ac:dyDescent="0.2">
      <c r="A1440" s="524">
        <v>69845</v>
      </c>
      <c r="B1440" s="526">
        <v>46223</v>
      </c>
      <c r="C1440" s="524" t="s">
        <v>1148</v>
      </c>
      <c r="D1440" s="524" t="s">
        <v>1186</v>
      </c>
      <c r="E1440" s="524" t="s">
        <v>2073</v>
      </c>
      <c r="F1440" s="524" t="s">
        <v>1183</v>
      </c>
      <c r="G1440" s="524" t="s">
        <v>763</v>
      </c>
      <c r="H1440" s="527">
        <v>2000</v>
      </c>
      <c r="I1440" s="524" t="s">
        <v>1174</v>
      </c>
      <c r="J1440" s="524">
        <f>IF(cmf[[#This Row],[D/C]]="C",cmf[[#This Row],[Valor]],-1*cmf[[#This Row],[Valor]])</f>
        <v>-2000</v>
      </c>
      <c r="L1440" s="524" t="s">
        <v>1188</v>
      </c>
      <c r="M1440" s="524" t="s">
        <v>1189</v>
      </c>
      <c r="N1440" s="524" t="s">
        <v>1180</v>
      </c>
      <c r="O1440" s="524" t="s">
        <v>1181</v>
      </c>
      <c r="P1440" s="526">
        <v>46223</v>
      </c>
      <c r="S1440" s="527">
        <v>0</v>
      </c>
    </row>
    <row r="1441" spans="1:19" x14ac:dyDescent="0.2">
      <c r="A1441" s="524">
        <v>69846</v>
      </c>
      <c r="B1441" s="526">
        <v>46223</v>
      </c>
      <c r="C1441" s="524" t="s">
        <v>1148</v>
      </c>
      <c r="D1441" s="524" t="s">
        <v>1186</v>
      </c>
      <c r="E1441" s="524" t="s">
        <v>2074</v>
      </c>
      <c r="F1441" s="524" t="s">
        <v>1183</v>
      </c>
      <c r="G1441" s="524" t="s">
        <v>763</v>
      </c>
      <c r="H1441" s="527">
        <v>20000</v>
      </c>
      <c r="I1441" s="524" t="s">
        <v>1174</v>
      </c>
      <c r="J1441" s="524">
        <f>IF(cmf[[#This Row],[D/C]]="C",cmf[[#This Row],[Valor]],-1*cmf[[#This Row],[Valor]])</f>
        <v>-20000</v>
      </c>
      <c r="L1441" s="524" t="s">
        <v>1188</v>
      </c>
      <c r="M1441" s="524" t="s">
        <v>1189</v>
      </c>
      <c r="N1441" s="524" t="s">
        <v>1180</v>
      </c>
      <c r="O1441" s="524" t="s">
        <v>1181</v>
      </c>
      <c r="P1441" s="526">
        <v>46223</v>
      </c>
      <c r="S1441" s="527">
        <v>0</v>
      </c>
    </row>
    <row r="1442" spans="1:19" x14ac:dyDescent="0.2">
      <c r="A1442" s="524">
        <v>69847</v>
      </c>
      <c r="B1442" s="526">
        <v>46223</v>
      </c>
      <c r="C1442" s="524" t="s">
        <v>1148</v>
      </c>
      <c r="D1442" s="524" t="s">
        <v>1186</v>
      </c>
      <c r="E1442" s="524" t="s">
        <v>2075</v>
      </c>
      <c r="F1442" s="524" t="s">
        <v>1183</v>
      </c>
      <c r="G1442" s="524" t="s">
        <v>763</v>
      </c>
      <c r="H1442" s="527">
        <v>16000</v>
      </c>
      <c r="I1442" s="524" t="s">
        <v>1174</v>
      </c>
      <c r="J1442" s="524">
        <f>IF(cmf[[#This Row],[D/C]]="C",cmf[[#This Row],[Valor]],-1*cmf[[#This Row],[Valor]])</f>
        <v>-16000</v>
      </c>
      <c r="L1442" s="524" t="s">
        <v>1188</v>
      </c>
      <c r="M1442" s="524" t="s">
        <v>1189</v>
      </c>
      <c r="N1442" s="524" t="s">
        <v>1180</v>
      </c>
      <c r="O1442" s="524" t="s">
        <v>1181</v>
      </c>
      <c r="P1442" s="526">
        <v>46223</v>
      </c>
      <c r="S1442" s="527">
        <v>0</v>
      </c>
    </row>
    <row r="1443" spans="1:19" x14ac:dyDescent="0.2">
      <c r="A1443" s="524">
        <v>69848</v>
      </c>
      <c r="B1443" s="526">
        <v>46223</v>
      </c>
      <c r="C1443" s="524" t="s">
        <v>1148</v>
      </c>
      <c r="D1443" s="524" t="s">
        <v>1186</v>
      </c>
      <c r="E1443" s="524" t="s">
        <v>2076</v>
      </c>
      <c r="F1443" s="524" t="s">
        <v>1183</v>
      </c>
      <c r="G1443" s="524" t="s">
        <v>769</v>
      </c>
      <c r="H1443" s="527">
        <v>10000</v>
      </c>
      <c r="I1443" s="524" t="s">
        <v>1174</v>
      </c>
      <c r="J1443" s="524">
        <f>IF(cmf[[#This Row],[D/C]]="C",cmf[[#This Row],[Valor]],-1*cmf[[#This Row],[Valor]])</f>
        <v>-10000</v>
      </c>
      <c r="L1443" s="524" t="s">
        <v>1188</v>
      </c>
      <c r="M1443" s="524" t="s">
        <v>1189</v>
      </c>
      <c r="N1443" s="524" t="s">
        <v>1219</v>
      </c>
      <c r="O1443" s="524" t="s">
        <v>1220</v>
      </c>
      <c r="P1443" s="526">
        <v>46223</v>
      </c>
      <c r="S1443" s="527">
        <v>0</v>
      </c>
    </row>
    <row r="1444" spans="1:19" x14ac:dyDescent="0.2">
      <c r="A1444" s="524">
        <v>69849</v>
      </c>
      <c r="B1444" s="526">
        <v>46223</v>
      </c>
      <c r="C1444" s="524" t="s">
        <v>1148</v>
      </c>
      <c r="D1444" s="524" t="s">
        <v>1186</v>
      </c>
      <c r="E1444" s="524" t="s">
        <v>2077</v>
      </c>
      <c r="F1444" s="524" t="s">
        <v>1183</v>
      </c>
      <c r="G1444" s="524" t="s">
        <v>769</v>
      </c>
      <c r="H1444" s="527">
        <v>35000</v>
      </c>
      <c r="I1444" s="524" t="s">
        <v>1174</v>
      </c>
      <c r="J1444" s="524">
        <f>IF(cmf[[#This Row],[D/C]]="C",cmf[[#This Row],[Valor]],-1*cmf[[#This Row],[Valor]])</f>
        <v>-35000</v>
      </c>
      <c r="L1444" s="524" t="s">
        <v>1188</v>
      </c>
      <c r="M1444" s="524" t="s">
        <v>1189</v>
      </c>
      <c r="N1444" s="524" t="s">
        <v>1219</v>
      </c>
      <c r="O1444" s="524" t="s">
        <v>1220</v>
      </c>
      <c r="P1444" s="526">
        <v>46223</v>
      </c>
      <c r="S1444" s="527">
        <v>0</v>
      </c>
    </row>
    <row r="1445" spans="1:19" x14ac:dyDescent="0.2">
      <c r="A1445" s="524">
        <v>69850</v>
      </c>
      <c r="B1445" s="526">
        <v>46223</v>
      </c>
      <c r="C1445" s="524" t="s">
        <v>1148</v>
      </c>
      <c r="D1445" s="524" t="s">
        <v>1186</v>
      </c>
      <c r="E1445" s="524" t="s">
        <v>2078</v>
      </c>
      <c r="F1445" s="524" t="s">
        <v>1183</v>
      </c>
      <c r="G1445" s="524" t="s">
        <v>758</v>
      </c>
      <c r="H1445" s="527">
        <v>5000</v>
      </c>
      <c r="I1445" s="524" t="s">
        <v>1174</v>
      </c>
      <c r="J1445" s="524">
        <f>IF(cmf[[#This Row],[D/C]]="C",cmf[[#This Row],[Valor]],-1*cmf[[#This Row],[Valor]])</f>
        <v>-5000</v>
      </c>
      <c r="L1445" s="524" t="s">
        <v>1188</v>
      </c>
      <c r="M1445" s="524" t="s">
        <v>1189</v>
      </c>
      <c r="N1445" s="524" t="s">
        <v>1223</v>
      </c>
      <c r="O1445" s="524" t="s">
        <v>1224</v>
      </c>
      <c r="P1445" s="526">
        <v>46223</v>
      </c>
      <c r="S1445" s="527">
        <v>0</v>
      </c>
    </row>
    <row r="1446" spans="1:19" x14ac:dyDescent="0.2">
      <c r="A1446" s="524">
        <v>69851</v>
      </c>
      <c r="B1446" s="526">
        <v>46223</v>
      </c>
      <c r="C1446" s="524" t="s">
        <v>1148</v>
      </c>
      <c r="D1446" s="524" t="s">
        <v>1186</v>
      </c>
      <c r="E1446" s="524" t="s">
        <v>2079</v>
      </c>
      <c r="F1446" s="524" t="s">
        <v>1183</v>
      </c>
      <c r="G1446" s="524" t="s">
        <v>769</v>
      </c>
      <c r="H1446" s="527">
        <v>20000</v>
      </c>
      <c r="I1446" s="524" t="s">
        <v>1174</v>
      </c>
      <c r="J1446" s="524">
        <f>IF(cmf[[#This Row],[D/C]]="C",cmf[[#This Row],[Valor]],-1*cmf[[#This Row],[Valor]])</f>
        <v>-20000</v>
      </c>
      <c r="L1446" s="524" t="s">
        <v>1188</v>
      </c>
      <c r="M1446" s="524" t="s">
        <v>1189</v>
      </c>
      <c r="N1446" s="524" t="s">
        <v>1219</v>
      </c>
      <c r="O1446" s="524" t="s">
        <v>1220</v>
      </c>
      <c r="P1446" s="526">
        <v>46223</v>
      </c>
      <c r="S1446" s="527">
        <v>0</v>
      </c>
    </row>
    <row r="1447" spans="1:19" x14ac:dyDescent="0.2">
      <c r="A1447" s="524">
        <v>69852</v>
      </c>
      <c r="B1447" s="526">
        <v>46223</v>
      </c>
      <c r="C1447" s="524" t="s">
        <v>1148</v>
      </c>
      <c r="D1447" s="524" t="s">
        <v>1186</v>
      </c>
      <c r="E1447" s="524" t="s">
        <v>2080</v>
      </c>
      <c r="F1447" s="524" t="s">
        <v>1183</v>
      </c>
      <c r="G1447" s="524" t="s">
        <v>803</v>
      </c>
      <c r="H1447" s="527">
        <v>27000</v>
      </c>
      <c r="I1447" s="524" t="s">
        <v>1174</v>
      </c>
      <c r="J1447" s="524">
        <f>IF(cmf[[#This Row],[D/C]]="C",cmf[[#This Row],[Valor]],-1*cmf[[#This Row],[Valor]])</f>
        <v>-27000</v>
      </c>
      <c r="L1447" s="524" t="s">
        <v>1188</v>
      </c>
      <c r="M1447" s="524" t="s">
        <v>1189</v>
      </c>
      <c r="N1447" s="524" t="s">
        <v>1192</v>
      </c>
      <c r="O1447" s="524" t="s">
        <v>1193</v>
      </c>
      <c r="P1447" s="526">
        <v>46223</v>
      </c>
      <c r="S1447" s="527">
        <v>0</v>
      </c>
    </row>
    <row r="1448" spans="1:19" x14ac:dyDescent="0.2">
      <c r="A1448" s="524">
        <v>69853</v>
      </c>
      <c r="B1448" s="526">
        <v>46223</v>
      </c>
      <c r="C1448" s="524" t="s">
        <v>1148</v>
      </c>
      <c r="D1448" s="524" t="s">
        <v>1186</v>
      </c>
      <c r="E1448" s="524" t="s">
        <v>2081</v>
      </c>
      <c r="F1448" s="524" t="s">
        <v>1183</v>
      </c>
      <c r="G1448" s="524" t="s">
        <v>800</v>
      </c>
      <c r="H1448" s="527">
        <v>27000</v>
      </c>
      <c r="I1448" s="524" t="s">
        <v>1174</v>
      </c>
      <c r="J1448" s="524">
        <f>IF(cmf[[#This Row],[D/C]]="C",cmf[[#This Row],[Valor]],-1*cmf[[#This Row],[Valor]])</f>
        <v>-27000</v>
      </c>
      <c r="L1448" s="524" t="s">
        <v>1188</v>
      </c>
      <c r="M1448" s="524" t="s">
        <v>1189</v>
      </c>
      <c r="N1448" s="524" t="s">
        <v>1171</v>
      </c>
      <c r="O1448" s="524" t="s">
        <v>1172</v>
      </c>
      <c r="P1448" s="526">
        <v>46223</v>
      </c>
      <c r="S1448" s="527">
        <v>0</v>
      </c>
    </row>
    <row r="1449" spans="1:19" x14ac:dyDescent="0.2">
      <c r="A1449" s="524">
        <v>69858</v>
      </c>
      <c r="B1449" s="526">
        <v>46223</v>
      </c>
      <c r="C1449" s="524" t="s">
        <v>1162</v>
      </c>
      <c r="D1449" s="524" t="s">
        <v>1163</v>
      </c>
      <c r="E1449" s="524" t="s">
        <v>1164</v>
      </c>
      <c r="F1449" s="524" t="s">
        <v>1183</v>
      </c>
      <c r="G1449" s="524" t="s">
        <v>1276</v>
      </c>
      <c r="H1449" s="527">
        <v>476.22</v>
      </c>
      <c r="I1449" s="524" t="s">
        <v>1148</v>
      </c>
      <c r="J1449" s="524">
        <f>IF(cmf[[#This Row],[D/C]]="C",cmf[[#This Row],[Valor]],-1*cmf[[#This Row],[Valor]])</f>
        <v>476.22</v>
      </c>
      <c r="L1449" s="524" t="s">
        <v>1166</v>
      </c>
      <c r="M1449" s="524" t="s">
        <v>1167</v>
      </c>
      <c r="N1449" s="524" t="s">
        <v>1184</v>
      </c>
      <c r="O1449" s="524" t="s">
        <v>1201</v>
      </c>
      <c r="P1449" s="526"/>
      <c r="S1449" s="527">
        <v>0</v>
      </c>
    </row>
    <row r="1450" spans="1:19" x14ac:dyDescent="0.2">
      <c r="A1450" s="524">
        <v>69859</v>
      </c>
      <c r="B1450" s="526">
        <v>46223</v>
      </c>
      <c r="C1450" s="524" t="s">
        <v>1162</v>
      </c>
      <c r="D1450" s="524" t="s">
        <v>1163</v>
      </c>
      <c r="E1450" s="524" t="s">
        <v>1173</v>
      </c>
      <c r="F1450" s="524" t="s">
        <v>1183</v>
      </c>
      <c r="G1450" s="524" t="s">
        <v>1276</v>
      </c>
      <c r="H1450" s="527">
        <v>2.2999999999999998</v>
      </c>
      <c r="I1450" s="524" t="s">
        <v>1174</v>
      </c>
      <c r="J1450" s="524">
        <f>IF(cmf[[#This Row],[D/C]]="C",cmf[[#This Row],[Valor]],-1*cmf[[#This Row],[Valor]])</f>
        <v>-2.2999999999999998</v>
      </c>
      <c r="L1450" s="524" t="s">
        <v>1175</v>
      </c>
      <c r="M1450" s="524" t="s">
        <v>1176</v>
      </c>
      <c r="N1450" s="524" t="s">
        <v>1184</v>
      </c>
      <c r="O1450" s="524" t="s">
        <v>1201</v>
      </c>
      <c r="P1450" s="526"/>
      <c r="S1450" s="527">
        <v>0</v>
      </c>
    </row>
    <row r="1451" spans="1:19" x14ac:dyDescent="0.2">
      <c r="A1451" s="524">
        <v>69861</v>
      </c>
      <c r="B1451" s="526">
        <v>46223</v>
      </c>
      <c r="C1451" s="524" t="s">
        <v>1148</v>
      </c>
      <c r="D1451" s="524" t="s">
        <v>1163</v>
      </c>
      <c r="E1451" s="524" t="s">
        <v>1164</v>
      </c>
      <c r="F1451" s="524" t="s">
        <v>1178</v>
      </c>
      <c r="G1451" s="524" t="s">
        <v>1179</v>
      </c>
      <c r="H1451" s="527">
        <v>8749.82</v>
      </c>
      <c r="I1451" s="524" t="s">
        <v>1148</v>
      </c>
      <c r="J1451" s="524">
        <f>IF(cmf[[#This Row],[D/C]]="C",cmf[[#This Row],[Valor]],-1*cmf[[#This Row],[Valor]])</f>
        <v>8749.82</v>
      </c>
      <c r="L1451" s="524" t="s">
        <v>1166</v>
      </c>
      <c r="M1451" s="524" t="s">
        <v>1167</v>
      </c>
      <c r="N1451" s="524" t="s">
        <v>1180</v>
      </c>
      <c r="O1451" s="524" t="s">
        <v>1181</v>
      </c>
      <c r="P1451" s="526">
        <v>46223</v>
      </c>
      <c r="S1451" s="527">
        <v>0</v>
      </c>
    </row>
    <row r="1452" spans="1:19" x14ac:dyDescent="0.2">
      <c r="A1452" s="524">
        <v>69878</v>
      </c>
      <c r="B1452" s="526">
        <v>46223</v>
      </c>
      <c r="C1452" s="524" t="s">
        <v>1162</v>
      </c>
      <c r="D1452" s="524" t="s">
        <v>1163</v>
      </c>
      <c r="E1452" s="524" t="s">
        <v>1164</v>
      </c>
      <c r="F1452" s="524" t="s">
        <v>1183</v>
      </c>
      <c r="G1452" s="524" t="s">
        <v>796</v>
      </c>
      <c r="H1452" s="527">
        <v>3415.83</v>
      </c>
      <c r="I1452" s="524" t="s">
        <v>1148</v>
      </c>
      <c r="J1452" s="524">
        <f>IF(cmf[[#This Row],[D/C]]="C",cmf[[#This Row],[Valor]],-1*cmf[[#This Row],[Valor]])</f>
        <v>3415.83</v>
      </c>
      <c r="L1452" s="524" t="s">
        <v>1166</v>
      </c>
      <c r="M1452" s="524" t="s">
        <v>1167</v>
      </c>
      <c r="N1452" s="524" t="s">
        <v>1184</v>
      </c>
      <c r="O1452" s="524" t="s">
        <v>1172</v>
      </c>
      <c r="P1452" s="526"/>
      <c r="S1452" s="527">
        <v>0</v>
      </c>
    </row>
    <row r="1453" spans="1:19" x14ac:dyDescent="0.2">
      <c r="A1453" s="524">
        <v>69879</v>
      </c>
      <c r="B1453" s="526">
        <v>46223</v>
      </c>
      <c r="C1453" s="524" t="s">
        <v>1162</v>
      </c>
      <c r="D1453" s="524" t="s">
        <v>1163</v>
      </c>
      <c r="E1453" s="524" t="s">
        <v>1173</v>
      </c>
      <c r="F1453" s="524" t="s">
        <v>1183</v>
      </c>
      <c r="G1453" s="524" t="s">
        <v>796</v>
      </c>
      <c r="H1453" s="527">
        <v>4.5999999999999996</v>
      </c>
      <c r="I1453" s="524" t="s">
        <v>1174</v>
      </c>
      <c r="J1453" s="524">
        <f>IF(cmf[[#This Row],[D/C]]="C",cmf[[#This Row],[Valor]],-1*cmf[[#This Row],[Valor]])</f>
        <v>-4.5999999999999996</v>
      </c>
      <c r="L1453" s="524" t="s">
        <v>1175</v>
      </c>
      <c r="M1453" s="524" t="s">
        <v>1176</v>
      </c>
      <c r="N1453" s="524" t="s">
        <v>1184</v>
      </c>
      <c r="O1453" s="524" t="s">
        <v>1172</v>
      </c>
      <c r="P1453" s="526"/>
      <c r="S1453" s="527">
        <v>0</v>
      </c>
    </row>
    <row r="1454" spans="1:19" x14ac:dyDescent="0.2">
      <c r="A1454" s="524">
        <v>69882</v>
      </c>
      <c r="B1454" s="526">
        <v>46223</v>
      </c>
      <c r="C1454" s="524" t="s">
        <v>1162</v>
      </c>
      <c r="D1454" s="524" t="s">
        <v>1163</v>
      </c>
      <c r="E1454" s="524" t="s">
        <v>1164</v>
      </c>
      <c r="F1454" s="524" t="s">
        <v>1111</v>
      </c>
      <c r="G1454" s="524" t="s">
        <v>1110</v>
      </c>
      <c r="H1454" s="527">
        <v>2046.66</v>
      </c>
      <c r="I1454" s="524" t="s">
        <v>1148</v>
      </c>
      <c r="J1454" s="524">
        <f>IF(cmf[[#This Row],[D/C]]="C",cmf[[#This Row],[Valor]],-1*cmf[[#This Row],[Valor]])</f>
        <v>2046.66</v>
      </c>
      <c r="L1454" s="524" t="s">
        <v>1166</v>
      </c>
      <c r="M1454" s="524" t="s">
        <v>1167</v>
      </c>
      <c r="N1454" s="524" t="s">
        <v>1219</v>
      </c>
      <c r="O1454" s="524" t="s">
        <v>1220</v>
      </c>
      <c r="P1454" s="526"/>
      <c r="S1454" s="527">
        <v>0</v>
      </c>
    </row>
    <row r="1455" spans="1:19" x14ac:dyDescent="0.2">
      <c r="A1455" s="524">
        <v>69887</v>
      </c>
      <c r="B1455" s="526">
        <v>46223</v>
      </c>
      <c r="C1455" s="524" t="s">
        <v>1148</v>
      </c>
      <c r="D1455" s="524" t="s">
        <v>1186</v>
      </c>
      <c r="E1455" s="524" t="s">
        <v>2082</v>
      </c>
      <c r="F1455" s="524" t="s">
        <v>1170</v>
      </c>
      <c r="G1455" s="524" t="s">
        <v>740</v>
      </c>
      <c r="H1455" s="527">
        <v>16168.47</v>
      </c>
      <c r="I1455" s="524" t="s">
        <v>1174</v>
      </c>
      <c r="J1455" s="524">
        <f>IF(cmf[[#This Row],[D/C]]="C",cmf[[#This Row],[Valor]],-1*cmf[[#This Row],[Valor]])</f>
        <v>-16168.47</v>
      </c>
      <c r="L1455" s="524" t="s">
        <v>1188</v>
      </c>
      <c r="M1455" s="524" t="s">
        <v>1189</v>
      </c>
      <c r="N1455" s="524" t="s">
        <v>1215</v>
      </c>
      <c r="O1455" s="524" t="s">
        <v>1218</v>
      </c>
      <c r="P1455" s="526">
        <v>46223</v>
      </c>
      <c r="S1455" s="527">
        <v>0</v>
      </c>
    </row>
    <row r="1456" spans="1:19" x14ac:dyDescent="0.2">
      <c r="A1456" s="524">
        <v>69889</v>
      </c>
      <c r="B1456" s="526">
        <v>46223</v>
      </c>
      <c r="C1456" s="524" t="s">
        <v>1148</v>
      </c>
      <c r="D1456" s="524" t="s">
        <v>1226</v>
      </c>
      <c r="E1456" s="524" t="s">
        <v>2083</v>
      </c>
      <c r="F1456" s="524" t="s">
        <v>1183</v>
      </c>
      <c r="G1456" s="524" t="s">
        <v>803</v>
      </c>
      <c r="H1456" s="527">
        <v>200</v>
      </c>
      <c r="I1456" s="524" t="s">
        <v>1148</v>
      </c>
      <c r="J1456" s="524">
        <f>IF(cmf[[#This Row],[D/C]]="C",cmf[[#This Row],[Valor]],-1*cmf[[#This Row],[Valor]])</f>
        <v>200</v>
      </c>
      <c r="L1456" s="524" t="s">
        <v>1230</v>
      </c>
      <c r="M1456" s="524" t="s">
        <v>1231</v>
      </c>
      <c r="N1456" s="524" t="s">
        <v>1192</v>
      </c>
      <c r="O1456" s="524" t="s">
        <v>1193</v>
      </c>
      <c r="P1456" s="526">
        <v>46223</v>
      </c>
      <c r="S1456" s="527">
        <v>0</v>
      </c>
    </row>
    <row r="1457" spans="1:19" x14ac:dyDescent="0.2">
      <c r="A1457" s="524">
        <v>69891</v>
      </c>
      <c r="B1457" s="526">
        <v>46223</v>
      </c>
      <c r="C1457" s="524" t="s">
        <v>1148</v>
      </c>
      <c r="D1457" s="524" t="s">
        <v>1186</v>
      </c>
      <c r="E1457" s="524" t="s">
        <v>2084</v>
      </c>
      <c r="F1457" s="524" t="s">
        <v>1183</v>
      </c>
      <c r="G1457" s="524" t="s">
        <v>803</v>
      </c>
      <c r="H1457" s="527">
        <v>187.34</v>
      </c>
      <c r="I1457" s="524" t="s">
        <v>1174</v>
      </c>
      <c r="J1457" s="524">
        <f>IF(cmf[[#This Row],[D/C]]="C",cmf[[#This Row],[Valor]],-1*cmf[[#This Row],[Valor]])</f>
        <v>-187.34</v>
      </c>
      <c r="L1457" s="524" t="s">
        <v>1188</v>
      </c>
      <c r="M1457" s="524" t="s">
        <v>1189</v>
      </c>
      <c r="N1457" s="524" t="s">
        <v>1192</v>
      </c>
      <c r="O1457" s="524" t="s">
        <v>1193</v>
      </c>
      <c r="P1457" s="526">
        <v>46223</v>
      </c>
      <c r="S1457" s="527">
        <v>0</v>
      </c>
    </row>
    <row r="1458" spans="1:19" x14ac:dyDescent="0.2">
      <c r="A1458" s="524">
        <v>69897</v>
      </c>
      <c r="B1458" s="526">
        <v>46223</v>
      </c>
      <c r="C1458" s="524" t="s">
        <v>1148</v>
      </c>
      <c r="D1458" s="524" t="s">
        <v>1205</v>
      </c>
      <c r="E1458" s="524" t="s">
        <v>1537</v>
      </c>
      <c r="F1458" s="524" t="s">
        <v>1170</v>
      </c>
      <c r="G1458" s="524" t="s">
        <v>757</v>
      </c>
      <c r="H1458" s="527">
        <v>250000</v>
      </c>
      <c r="I1458" s="524" t="s">
        <v>1174</v>
      </c>
      <c r="J1458" s="524">
        <f>IF(cmf[[#This Row],[D/C]]="C",cmf[[#This Row],[Valor]],-1*cmf[[#This Row],[Valor]])</f>
        <v>-250000</v>
      </c>
      <c r="L1458" s="524" t="s">
        <v>1207</v>
      </c>
      <c r="M1458" s="524" t="s">
        <v>1208</v>
      </c>
      <c r="N1458" s="524" t="s">
        <v>1223</v>
      </c>
      <c r="O1458" s="524" t="s">
        <v>1224</v>
      </c>
      <c r="P1458" s="526">
        <v>46223</v>
      </c>
      <c r="S1458" s="527">
        <v>0</v>
      </c>
    </row>
    <row r="1459" spans="1:19" x14ac:dyDescent="0.2">
      <c r="A1459" s="524">
        <v>69898</v>
      </c>
      <c r="B1459" s="526">
        <v>46223</v>
      </c>
      <c r="C1459" s="524" t="s">
        <v>1148</v>
      </c>
      <c r="D1459" s="524" t="s">
        <v>1205</v>
      </c>
      <c r="E1459" s="524" t="s">
        <v>1234</v>
      </c>
      <c r="F1459" s="524" t="s">
        <v>1183</v>
      </c>
      <c r="G1459" s="524" t="s">
        <v>758</v>
      </c>
      <c r="H1459" s="527">
        <v>250000</v>
      </c>
      <c r="I1459" s="524" t="s">
        <v>1148</v>
      </c>
      <c r="J1459" s="524">
        <f>IF(cmf[[#This Row],[D/C]]="C",cmf[[#This Row],[Valor]],-1*cmf[[#This Row],[Valor]])</f>
        <v>250000</v>
      </c>
      <c r="L1459" s="524" t="s">
        <v>1207</v>
      </c>
      <c r="M1459" s="524" t="s">
        <v>1208</v>
      </c>
      <c r="N1459" s="524" t="s">
        <v>1223</v>
      </c>
      <c r="O1459" s="524" t="s">
        <v>1224</v>
      </c>
      <c r="P1459" s="526">
        <v>46223</v>
      </c>
      <c r="S1459" s="527">
        <v>0</v>
      </c>
    </row>
    <row r="1460" spans="1:19" x14ac:dyDescent="0.2">
      <c r="A1460" s="524">
        <v>69899</v>
      </c>
      <c r="B1460" s="526">
        <v>46223</v>
      </c>
      <c r="C1460" s="524" t="s">
        <v>1148</v>
      </c>
      <c r="D1460" s="524" t="s">
        <v>1186</v>
      </c>
      <c r="E1460" s="524" t="s">
        <v>2085</v>
      </c>
      <c r="F1460" s="524" t="s">
        <v>1183</v>
      </c>
      <c r="G1460" s="524" t="s">
        <v>758</v>
      </c>
      <c r="H1460" s="527">
        <v>220094.12</v>
      </c>
      <c r="I1460" s="524" t="s">
        <v>1174</v>
      </c>
      <c r="J1460" s="524">
        <f>IF(cmf[[#This Row],[D/C]]="C",cmf[[#This Row],[Valor]],-1*cmf[[#This Row],[Valor]])</f>
        <v>-220094.12</v>
      </c>
      <c r="L1460" s="524" t="s">
        <v>1188</v>
      </c>
      <c r="M1460" s="524" t="s">
        <v>1189</v>
      </c>
      <c r="N1460" s="524" t="s">
        <v>1223</v>
      </c>
      <c r="O1460" s="524" t="s">
        <v>1224</v>
      </c>
      <c r="P1460" s="526">
        <v>46223</v>
      </c>
      <c r="S1460" s="527">
        <v>0</v>
      </c>
    </row>
    <row r="1461" spans="1:19" x14ac:dyDescent="0.2">
      <c r="A1461" s="524">
        <v>69900</v>
      </c>
      <c r="B1461" s="526">
        <v>46223</v>
      </c>
      <c r="C1461" s="524" t="s">
        <v>1148</v>
      </c>
      <c r="D1461" s="524" t="s">
        <v>1186</v>
      </c>
      <c r="E1461" s="524" t="s">
        <v>2086</v>
      </c>
      <c r="F1461" s="524" t="s">
        <v>1183</v>
      </c>
      <c r="G1461" s="524" t="s">
        <v>742</v>
      </c>
      <c r="H1461" s="527">
        <v>1596</v>
      </c>
      <c r="I1461" s="524" t="s">
        <v>1174</v>
      </c>
      <c r="J1461" s="524">
        <f>IF(cmf[[#This Row],[D/C]]="C",cmf[[#This Row],[Valor]],-1*cmf[[#This Row],[Valor]])</f>
        <v>-1596</v>
      </c>
      <c r="L1461" s="524" t="s">
        <v>1188</v>
      </c>
      <c r="M1461" s="524" t="s">
        <v>1189</v>
      </c>
      <c r="N1461" s="524" t="s">
        <v>1215</v>
      </c>
      <c r="O1461" s="524" t="s">
        <v>1218</v>
      </c>
      <c r="P1461" s="526">
        <v>46223</v>
      </c>
      <c r="S1461" s="527">
        <v>0</v>
      </c>
    </row>
    <row r="1462" spans="1:19" x14ac:dyDescent="0.2">
      <c r="A1462" s="524">
        <v>69901</v>
      </c>
      <c r="B1462" s="526">
        <v>46223</v>
      </c>
      <c r="C1462" s="524" t="s">
        <v>1148</v>
      </c>
      <c r="D1462" s="524" t="s">
        <v>1186</v>
      </c>
      <c r="E1462" s="524" t="s">
        <v>2087</v>
      </c>
      <c r="F1462" s="524" t="s">
        <v>1183</v>
      </c>
      <c r="G1462" s="524" t="s">
        <v>742</v>
      </c>
      <c r="H1462" s="527">
        <v>272</v>
      </c>
      <c r="I1462" s="524" t="s">
        <v>1174</v>
      </c>
      <c r="J1462" s="524">
        <f>IF(cmf[[#This Row],[D/C]]="C",cmf[[#This Row],[Valor]],-1*cmf[[#This Row],[Valor]])</f>
        <v>-272</v>
      </c>
      <c r="L1462" s="524" t="s">
        <v>1188</v>
      </c>
      <c r="M1462" s="524" t="s">
        <v>1189</v>
      </c>
      <c r="N1462" s="524" t="s">
        <v>1215</v>
      </c>
      <c r="O1462" s="524" t="s">
        <v>1218</v>
      </c>
      <c r="P1462" s="526">
        <v>46223</v>
      </c>
      <c r="S1462" s="527">
        <v>0</v>
      </c>
    </row>
    <row r="1463" spans="1:19" x14ac:dyDescent="0.2">
      <c r="A1463" s="524">
        <v>69902</v>
      </c>
      <c r="B1463" s="526">
        <v>46223</v>
      </c>
      <c r="C1463" s="524" t="s">
        <v>1148</v>
      </c>
      <c r="D1463" s="524" t="s">
        <v>1186</v>
      </c>
      <c r="E1463" s="524" t="s">
        <v>2088</v>
      </c>
      <c r="F1463" s="524" t="s">
        <v>1183</v>
      </c>
      <c r="G1463" s="524" t="s">
        <v>742</v>
      </c>
      <c r="H1463" s="527">
        <v>799</v>
      </c>
      <c r="I1463" s="524" t="s">
        <v>1174</v>
      </c>
      <c r="J1463" s="524">
        <f>IF(cmf[[#This Row],[D/C]]="C",cmf[[#This Row],[Valor]],-1*cmf[[#This Row],[Valor]])</f>
        <v>-799</v>
      </c>
      <c r="L1463" s="524" t="s">
        <v>1188</v>
      </c>
      <c r="M1463" s="524" t="s">
        <v>1189</v>
      </c>
      <c r="N1463" s="524" t="s">
        <v>1215</v>
      </c>
      <c r="O1463" s="524" t="s">
        <v>1218</v>
      </c>
      <c r="P1463" s="526">
        <v>46223</v>
      </c>
      <c r="S1463" s="527">
        <v>0</v>
      </c>
    </row>
    <row r="1464" spans="1:19" x14ac:dyDescent="0.2">
      <c r="A1464" s="524">
        <v>69903</v>
      </c>
      <c r="B1464" s="526">
        <v>46223</v>
      </c>
      <c r="C1464" s="524" t="s">
        <v>1148</v>
      </c>
      <c r="D1464" s="524" t="s">
        <v>1186</v>
      </c>
      <c r="E1464" s="524" t="s">
        <v>2089</v>
      </c>
      <c r="F1464" s="524" t="s">
        <v>1183</v>
      </c>
      <c r="G1464" s="524" t="s">
        <v>742</v>
      </c>
      <c r="H1464" s="527">
        <v>13.41</v>
      </c>
      <c r="I1464" s="524" t="s">
        <v>1174</v>
      </c>
      <c r="J1464" s="524">
        <f>IF(cmf[[#This Row],[D/C]]="C",cmf[[#This Row],[Valor]],-1*cmf[[#This Row],[Valor]])</f>
        <v>-13.41</v>
      </c>
      <c r="L1464" s="524" t="s">
        <v>1188</v>
      </c>
      <c r="M1464" s="524" t="s">
        <v>1189</v>
      </c>
      <c r="N1464" s="524" t="s">
        <v>1215</v>
      </c>
      <c r="O1464" s="524" t="s">
        <v>1218</v>
      </c>
      <c r="P1464" s="526">
        <v>46223</v>
      </c>
      <c r="S1464" s="527">
        <v>0</v>
      </c>
    </row>
    <row r="1465" spans="1:19" x14ac:dyDescent="0.2">
      <c r="A1465" s="524">
        <v>69904</v>
      </c>
      <c r="B1465" s="526">
        <v>46223</v>
      </c>
      <c r="C1465" s="524" t="s">
        <v>1148</v>
      </c>
      <c r="D1465" s="524" t="s">
        <v>1186</v>
      </c>
      <c r="E1465" s="524" t="s">
        <v>2090</v>
      </c>
      <c r="F1465" s="524" t="s">
        <v>1183</v>
      </c>
      <c r="G1465" s="524" t="s">
        <v>742</v>
      </c>
      <c r="H1465" s="527">
        <v>14045.21</v>
      </c>
      <c r="I1465" s="524" t="s">
        <v>1174</v>
      </c>
      <c r="J1465" s="524">
        <f>IF(cmf[[#This Row],[D/C]]="C",cmf[[#This Row],[Valor]],-1*cmf[[#This Row],[Valor]])</f>
        <v>-14045.21</v>
      </c>
      <c r="L1465" s="524" t="s">
        <v>1188</v>
      </c>
      <c r="M1465" s="524" t="s">
        <v>1189</v>
      </c>
      <c r="N1465" s="524" t="s">
        <v>1215</v>
      </c>
      <c r="O1465" s="524" t="s">
        <v>1218</v>
      </c>
      <c r="P1465" s="526">
        <v>46223</v>
      </c>
      <c r="S1465" s="527">
        <v>0</v>
      </c>
    </row>
    <row r="1466" spans="1:19" x14ac:dyDescent="0.2">
      <c r="A1466" s="524">
        <v>69905</v>
      </c>
      <c r="B1466" s="526">
        <v>46223</v>
      </c>
      <c r="C1466" s="524" t="s">
        <v>1148</v>
      </c>
      <c r="D1466" s="524" t="s">
        <v>1186</v>
      </c>
      <c r="E1466" s="524" t="s">
        <v>2091</v>
      </c>
      <c r="F1466" s="524" t="s">
        <v>1183</v>
      </c>
      <c r="G1466" s="524" t="s">
        <v>742</v>
      </c>
      <c r="H1466" s="527">
        <v>185.25</v>
      </c>
      <c r="I1466" s="524" t="s">
        <v>1174</v>
      </c>
      <c r="J1466" s="524">
        <f>IF(cmf[[#This Row],[D/C]]="C",cmf[[#This Row],[Valor]],-1*cmf[[#This Row],[Valor]])</f>
        <v>-185.25</v>
      </c>
      <c r="L1466" s="524" t="s">
        <v>1188</v>
      </c>
      <c r="M1466" s="524" t="s">
        <v>1189</v>
      </c>
      <c r="N1466" s="524" t="s">
        <v>1215</v>
      </c>
      <c r="O1466" s="524" t="s">
        <v>1218</v>
      </c>
      <c r="P1466" s="526">
        <v>46223</v>
      </c>
      <c r="S1466" s="527">
        <v>0</v>
      </c>
    </row>
    <row r="1467" spans="1:19" x14ac:dyDescent="0.2">
      <c r="A1467" s="524">
        <v>69906</v>
      </c>
      <c r="B1467" s="526">
        <v>46223</v>
      </c>
      <c r="C1467" s="524" t="s">
        <v>1148</v>
      </c>
      <c r="D1467" s="524" t="s">
        <v>1186</v>
      </c>
      <c r="E1467" s="524" t="s">
        <v>2092</v>
      </c>
      <c r="F1467" s="524" t="s">
        <v>1183</v>
      </c>
      <c r="G1467" s="524" t="s">
        <v>742</v>
      </c>
      <c r="H1467" s="527">
        <v>2090.5300000000002</v>
      </c>
      <c r="I1467" s="524" t="s">
        <v>1174</v>
      </c>
      <c r="J1467" s="524">
        <f>IF(cmf[[#This Row],[D/C]]="C",cmf[[#This Row],[Valor]],-1*cmf[[#This Row],[Valor]])</f>
        <v>-2090.5300000000002</v>
      </c>
      <c r="L1467" s="524" t="s">
        <v>1188</v>
      </c>
      <c r="M1467" s="524" t="s">
        <v>1189</v>
      </c>
      <c r="N1467" s="524" t="s">
        <v>1215</v>
      </c>
      <c r="O1467" s="524" t="s">
        <v>1218</v>
      </c>
      <c r="P1467" s="526">
        <v>46223</v>
      </c>
      <c r="S1467" s="527">
        <v>0</v>
      </c>
    </row>
    <row r="1468" spans="1:19" x14ac:dyDescent="0.2">
      <c r="A1468" s="524">
        <v>69907</v>
      </c>
      <c r="B1468" s="526">
        <v>46223</v>
      </c>
      <c r="C1468" s="524" t="s">
        <v>1148</v>
      </c>
      <c r="D1468" s="524" t="s">
        <v>1186</v>
      </c>
      <c r="E1468" s="524" t="s">
        <v>2093</v>
      </c>
      <c r="F1468" s="524" t="s">
        <v>1183</v>
      </c>
      <c r="G1468" s="524" t="s">
        <v>742</v>
      </c>
      <c r="H1468" s="527">
        <v>353.73</v>
      </c>
      <c r="I1468" s="524" t="s">
        <v>1174</v>
      </c>
      <c r="J1468" s="524">
        <f>IF(cmf[[#This Row],[D/C]]="C",cmf[[#This Row],[Valor]],-1*cmf[[#This Row],[Valor]])</f>
        <v>-353.73</v>
      </c>
      <c r="L1468" s="524" t="s">
        <v>1188</v>
      </c>
      <c r="M1468" s="524" t="s">
        <v>1189</v>
      </c>
      <c r="N1468" s="524" t="s">
        <v>1215</v>
      </c>
      <c r="O1468" s="524" t="s">
        <v>1218</v>
      </c>
      <c r="P1468" s="526">
        <v>46223</v>
      </c>
      <c r="S1468" s="527">
        <v>0</v>
      </c>
    </row>
    <row r="1469" spans="1:19" x14ac:dyDescent="0.2">
      <c r="A1469" s="524">
        <v>69908</v>
      </c>
      <c r="B1469" s="526">
        <v>46223</v>
      </c>
      <c r="C1469" s="524" t="s">
        <v>1148</v>
      </c>
      <c r="D1469" s="524" t="s">
        <v>1186</v>
      </c>
      <c r="E1469" s="524" t="s">
        <v>2094</v>
      </c>
      <c r="F1469" s="524" t="s">
        <v>1183</v>
      </c>
      <c r="G1469" s="524" t="s">
        <v>742</v>
      </c>
      <c r="H1469" s="527">
        <v>1903.44</v>
      </c>
      <c r="I1469" s="524" t="s">
        <v>1174</v>
      </c>
      <c r="J1469" s="524">
        <f>IF(cmf[[#This Row],[D/C]]="C",cmf[[#This Row],[Valor]],-1*cmf[[#This Row],[Valor]])</f>
        <v>-1903.44</v>
      </c>
      <c r="L1469" s="524" t="s">
        <v>1188</v>
      </c>
      <c r="M1469" s="524" t="s">
        <v>1189</v>
      </c>
      <c r="N1469" s="524" t="s">
        <v>1215</v>
      </c>
      <c r="O1469" s="524" t="s">
        <v>1218</v>
      </c>
      <c r="P1469" s="526">
        <v>46223</v>
      </c>
      <c r="S1469" s="527">
        <v>0</v>
      </c>
    </row>
    <row r="1470" spans="1:19" x14ac:dyDescent="0.2">
      <c r="A1470" s="524">
        <v>69909</v>
      </c>
      <c r="B1470" s="526">
        <v>46223</v>
      </c>
      <c r="C1470" s="524" t="s">
        <v>1148</v>
      </c>
      <c r="D1470" s="524" t="s">
        <v>1186</v>
      </c>
      <c r="E1470" s="524" t="s">
        <v>2095</v>
      </c>
      <c r="F1470" s="524" t="s">
        <v>1183</v>
      </c>
      <c r="G1470" s="524" t="s">
        <v>742</v>
      </c>
      <c r="H1470" s="527">
        <v>2766.91</v>
      </c>
      <c r="I1470" s="524" t="s">
        <v>1174</v>
      </c>
      <c r="J1470" s="524">
        <f>IF(cmf[[#This Row],[D/C]]="C",cmf[[#This Row],[Valor]],-1*cmf[[#This Row],[Valor]])</f>
        <v>-2766.91</v>
      </c>
      <c r="L1470" s="524" t="s">
        <v>1188</v>
      </c>
      <c r="M1470" s="524" t="s">
        <v>1189</v>
      </c>
      <c r="N1470" s="524" t="s">
        <v>1215</v>
      </c>
      <c r="O1470" s="524" t="s">
        <v>1218</v>
      </c>
      <c r="P1470" s="526">
        <v>46223</v>
      </c>
      <c r="S1470" s="527">
        <v>0</v>
      </c>
    </row>
    <row r="1471" spans="1:19" x14ac:dyDescent="0.2">
      <c r="A1471" s="524">
        <v>69910</v>
      </c>
      <c r="B1471" s="526">
        <v>46223</v>
      </c>
      <c r="C1471" s="524" t="s">
        <v>1148</v>
      </c>
      <c r="D1471" s="524" t="s">
        <v>1186</v>
      </c>
      <c r="E1471" s="524" t="s">
        <v>2096</v>
      </c>
      <c r="F1471" s="524" t="s">
        <v>1183</v>
      </c>
      <c r="G1471" s="524" t="s">
        <v>742</v>
      </c>
      <c r="H1471" s="527">
        <v>512</v>
      </c>
      <c r="I1471" s="524" t="s">
        <v>1174</v>
      </c>
      <c r="J1471" s="524">
        <f>IF(cmf[[#This Row],[D/C]]="C",cmf[[#This Row],[Valor]],-1*cmf[[#This Row],[Valor]])</f>
        <v>-512</v>
      </c>
      <c r="L1471" s="524" t="s">
        <v>1188</v>
      </c>
      <c r="M1471" s="524" t="s">
        <v>1189</v>
      </c>
      <c r="N1471" s="524" t="s">
        <v>1215</v>
      </c>
      <c r="O1471" s="524" t="s">
        <v>1218</v>
      </c>
      <c r="P1471" s="526">
        <v>46223</v>
      </c>
      <c r="S1471" s="527">
        <v>0</v>
      </c>
    </row>
    <row r="1472" spans="1:19" x14ac:dyDescent="0.2">
      <c r="A1472" s="524">
        <v>69911</v>
      </c>
      <c r="B1472" s="526">
        <v>46223</v>
      </c>
      <c r="C1472" s="524" t="s">
        <v>1148</v>
      </c>
      <c r="D1472" s="524" t="s">
        <v>1186</v>
      </c>
      <c r="E1472" s="524" t="s">
        <v>2097</v>
      </c>
      <c r="F1472" s="524" t="s">
        <v>1183</v>
      </c>
      <c r="G1472" s="524" t="s">
        <v>742</v>
      </c>
      <c r="H1472" s="527">
        <v>1623.9</v>
      </c>
      <c r="I1472" s="524" t="s">
        <v>1174</v>
      </c>
      <c r="J1472" s="524">
        <f>IF(cmf[[#This Row],[D/C]]="C",cmf[[#This Row],[Valor]],-1*cmf[[#This Row],[Valor]])</f>
        <v>-1623.9</v>
      </c>
      <c r="L1472" s="524" t="s">
        <v>1188</v>
      </c>
      <c r="M1472" s="524" t="s">
        <v>1189</v>
      </c>
      <c r="N1472" s="524" t="s">
        <v>1215</v>
      </c>
      <c r="O1472" s="524" t="s">
        <v>1218</v>
      </c>
      <c r="P1472" s="526">
        <v>46223</v>
      </c>
      <c r="S1472" s="527">
        <v>0</v>
      </c>
    </row>
    <row r="1473" spans="1:19" x14ac:dyDescent="0.2">
      <c r="A1473" s="524">
        <v>69912</v>
      </c>
      <c r="B1473" s="526">
        <v>46223</v>
      </c>
      <c r="C1473" s="524" t="s">
        <v>1148</v>
      </c>
      <c r="D1473" s="524" t="s">
        <v>1186</v>
      </c>
      <c r="E1473" s="524" t="s">
        <v>2098</v>
      </c>
      <c r="F1473" s="524" t="s">
        <v>1183</v>
      </c>
      <c r="G1473" s="524" t="s">
        <v>742</v>
      </c>
      <c r="H1473" s="527">
        <v>1442.69</v>
      </c>
      <c r="I1473" s="524" t="s">
        <v>1174</v>
      </c>
      <c r="J1473" s="524">
        <f>IF(cmf[[#This Row],[D/C]]="C",cmf[[#This Row],[Valor]],-1*cmf[[#This Row],[Valor]])</f>
        <v>-1442.69</v>
      </c>
      <c r="L1473" s="524" t="s">
        <v>1188</v>
      </c>
      <c r="M1473" s="524" t="s">
        <v>1189</v>
      </c>
      <c r="N1473" s="524" t="s">
        <v>1215</v>
      </c>
      <c r="O1473" s="524" t="s">
        <v>1218</v>
      </c>
      <c r="P1473" s="526">
        <v>46223</v>
      </c>
      <c r="S1473" s="527">
        <v>0</v>
      </c>
    </row>
    <row r="1474" spans="1:19" x14ac:dyDescent="0.2">
      <c r="A1474" s="524">
        <v>69913</v>
      </c>
      <c r="B1474" s="526">
        <v>46223</v>
      </c>
      <c r="C1474" s="524" t="s">
        <v>1148</v>
      </c>
      <c r="D1474" s="524" t="s">
        <v>1186</v>
      </c>
      <c r="E1474" s="524" t="s">
        <v>2099</v>
      </c>
      <c r="F1474" s="524" t="s">
        <v>1183</v>
      </c>
      <c r="G1474" s="524" t="s">
        <v>742</v>
      </c>
      <c r="H1474" s="527">
        <v>172.31</v>
      </c>
      <c r="I1474" s="524" t="s">
        <v>1174</v>
      </c>
      <c r="J1474" s="524">
        <f>IF(cmf[[#This Row],[D/C]]="C",cmf[[#This Row],[Valor]],-1*cmf[[#This Row],[Valor]])</f>
        <v>-172.31</v>
      </c>
      <c r="L1474" s="524" t="s">
        <v>1188</v>
      </c>
      <c r="M1474" s="524" t="s">
        <v>1189</v>
      </c>
      <c r="N1474" s="524" t="s">
        <v>1215</v>
      </c>
      <c r="O1474" s="524" t="s">
        <v>1218</v>
      </c>
      <c r="P1474" s="526">
        <v>46223</v>
      </c>
      <c r="S1474" s="527">
        <v>0</v>
      </c>
    </row>
    <row r="1475" spans="1:19" x14ac:dyDescent="0.2">
      <c r="A1475" s="524">
        <v>69914</v>
      </c>
      <c r="B1475" s="526">
        <v>46223</v>
      </c>
      <c r="C1475" s="524" t="s">
        <v>1148</v>
      </c>
      <c r="D1475" s="524" t="s">
        <v>1186</v>
      </c>
      <c r="E1475" s="524" t="s">
        <v>2100</v>
      </c>
      <c r="F1475" s="524" t="s">
        <v>1183</v>
      </c>
      <c r="G1475" s="524" t="s">
        <v>742</v>
      </c>
      <c r="H1475" s="527">
        <v>4000</v>
      </c>
      <c r="I1475" s="524" t="s">
        <v>1174</v>
      </c>
      <c r="J1475" s="524">
        <f>IF(cmf[[#This Row],[D/C]]="C",cmf[[#This Row],[Valor]],-1*cmf[[#This Row],[Valor]])</f>
        <v>-4000</v>
      </c>
      <c r="L1475" s="524" t="s">
        <v>1188</v>
      </c>
      <c r="M1475" s="524" t="s">
        <v>1189</v>
      </c>
      <c r="N1475" s="524" t="s">
        <v>1215</v>
      </c>
      <c r="O1475" s="524" t="s">
        <v>1218</v>
      </c>
      <c r="P1475" s="526">
        <v>46223</v>
      </c>
      <c r="S1475" s="527">
        <v>0</v>
      </c>
    </row>
    <row r="1476" spans="1:19" x14ac:dyDescent="0.2">
      <c r="A1476" s="524">
        <v>69915</v>
      </c>
      <c r="B1476" s="526">
        <v>46223</v>
      </c>
      <c r="C1476" s="524" t="s">
        <v>1148</v>
      </c>
      <c r="D1476" s="524" t="s">
        <v>1186</v>
      </c>
      <c r="E1476" s="524" t="s">
        <v>2101</v>
      </c>
      <c r="F1476" s="524" t="s">
        <v>1183</v>
      </c>
      <c r="G1476" s="524" t="s">
        <v>742</v>
      </c>
      <c r="H1476" s="527">
        <v>500</v>
      </c>
      <c r="I1476" s="524" t="s">
        <v>1174</v>
      </c>
      <c r="J1476" s="524">
        <f>IF(cmf[[#This Row],[D/C]]="C",cmf[[#This Row],[Valor]],-1*cmf[[#This Row],[Valor]])</f>
        <v>-500</v>
      </c>
      <c r="L1476" s="524" t="s">
        <v>1188</v>
      </c>
      <c r="M1476" s="524" t="s">
        <v>1189</v>
      </c>
      <c r="N1476" s="524" t="s">
        <v>1215</v>
      </c>
      <c r="O1476" s="524" t="s">
        <v>1218</v>
      </c>
      <c r="P1476" s="526">
        <v>46223</v>
      </c>
      <c r="S1476" s="527">
        <v>0</v>
      </c>
    </row>
    <row r="1477" spans="1:19" x14ac:dyDescent="0.2">
      <c r="A1477" s="524">
        <v>69916</v>
      </c>
      <c r="B1477" s="526">
        <v>46223</v>
      </c>
      <c r="C1477" s="524" t="s">
        <v>1148</v>
      </c>
      <c r="D1477" s="524" t="s">
        <v>1186</v>
      </c>
      <c r="E1477" s="524" t="s">
        <v>2102</v>
      </c>
      <c r="F1477" s="524" t="s">
        <v>1183</v>
      </c>
      <c r="G1477" s="524" t="s">
        <v>742</v>
      </c>
      <c r="H1477" s="527">
        <v>1078.8</v>
      </c>
      <c r="I1477" s="524" t="s">
        <v>1174</v>
      </c>
      <c r="J1477" s="524">
        <f>IF(cmf[[#This Row],[D/C]]="C",cmf[[#This Row],[Valor]],-1*cmf[[#This Row],[Valor]])</f>
        <v>-1078.8</v>
      </c>
      <c r="L1477" s="524" t="s">
        <v>1188</v>
      </c>
      <c r="M1477" s="524" t="s">
        <v>1189</v>
      </c>
      <c r="N1477" s="524" t="s">
        <v>1215</v>
      </c>
      <c r="O1477" s="524" t="s">
        <v>1218</v>
      </c>
      <c r="P1477" s="526">
        <v>46223</v>
      </c>
      <c r="S1477" s="527">
        <v>0</v>
      </c>
    </row>
    <row r="1478" spans="1:19" x14ac:dyDescent="0.2">
      <c r="A1478" s="524">
        <v>69919</v>
      </c>
      <c r="B1478" s="526">
        <v>46223</v>
      </c>
      <c r="C1478" s="524" t="s">
        <v>1162</v>
      </c>
      <c r="D1478" s="524" t="s">
        <v>1186</v>
      </c>
      <c r="E1478" s="524" t="s">
        <v>2103</v>
      </c>
      <c r="F1478" s="524" t="s">
        <v>1183</v>
      </c>
      <c r="G1478" s="524" t="s">
        <v>786</v>
      </c>
      <c r="H1478" s="527">
        <v>25000</v>
      </c>
      <c r="I1478" s="524" t="s">
        <v>1174</v>
      </c>
      <c r="J1478" s="524">
        <f>IF(cmf[[#This Row],[D/C]]="C",cmf[[#This Row],[Valor]],-1*cmf[[#This Row],[Valor]])</f>
        <v>-25000</v>
      </c>
      <c r="L1478" s="524" t="s">
        <v>1188</v>
      </c>
      <c r="M1478" s="524" t="s">
        <v>1189</v>
      </c>
      <c r="N1478" s="524" t="s">
        <v>2104</v>
      </c>
      <c r="O1478" s="524" t="s">
        <v>1751</v>
      </c>
      <c r="P1478" s="526"/>
      <c r="S1478" s="527">
        <v>0</v>
      </c>
    </row>
    <row r="1479" spans="1:19" x14ac:dyDescent="0.2">
      <c r="A1479" s="524">
        <v>69920</v>
      </c>
      <c r="B1479" s="526">
        <v>46223</v>
      </c>
      <c r="C1479" s="524" t="s">
        <v>1162</v>
      </c>
      <c r="D1479" s="524" t="s">
        <v>1186</v>
      </c>
      <c r="E1479" s="524" t="s">
        <v>2105</v>
      </c>
      <c r="F1479" s="524" t="s">
        <v>1183</v>
      </c>
      <c r="G1479" s="524" t="s">
        <v>786</v>
      </c>
      <c r="H1479" s="527">
        <v>502.51</v>
      </c>
      <c r="I1479" s="524" t="s">
        <v>1174</v>
      </c>
      <c r="J1479" s="524">
        <f>IF(cmf[[#This Row],[D/C]]="C",cmf[[#This Row],[Valor]],-1*cmf[[#This Row],[Valor]])</f>
        <v>-502.51</v>
      </c>
      <c r="L1479" s="524" t="s">
        <v>1188</v>
      </c>
      <c r="M1479" s="524" t="s">
        <v>1189</v>
      </c>
      <c r="N1479" s="524" t="s">
        <v>2104</v>
      </c>
      <c r="O1479" s="524" t="s">
        <v>1751</v>
      </c>
      <c r="P1479" s="526"/>
      <c r="S1479" s="527">
        <v>0</v>
      </c>
    </row>
    <row r="1480" spans="1:19" x14ac:dyDescent="0.2">
      <c r="A1480" s="524">
        <v>69921</v>
      </c>
      <c r="B1480" s="526">
        <v>46223</v>
      </c>
      <c r="C1480" s="524" t="s">
        <v>1148</v>
      </c>
      <c r="D1480" s="524" t="s">
        <v>1186</v>
      </c>
      <c r="E1480" s="524" t="s">
        <v>2106</v>
      </c>
      <c r="F1480" s="524" t="s">
        <v>1183</v>
      </c>
      <c r="G1480" s="524" t="s">
        <v>750</v>
      </c>
      <c r="H1480" s="527">
        <v>160</v>
      </c>
      <c r="I1480" s="524" t="s">
        <v>1174</v>
      </c>
      <c r="J1480" s="524">
        <f>IF(cmf[[#This Row],[D/C]]="C",cmf[[#This Row],[Valor]],-1*cmf[[#This Row],[Valor]])</f>
        <v>-160</v>
      </c>
      <c r="L1480" s="524" t="s">
        <v>1188</v>
      </c>
      <c r="M1480" s="524" t="s">
        <v>1189</v>
      </c>
      <c r="N1480" s="524" t="s">
        <v>1256</v>
      </c>
      <c r="O1480" s="524" t="s">
        <v>1257</v>
      </c>
      <c r="P1480" s="526">
        <v>46223</v>
      </c>
      <c r="S1480" s="527">
        <v>0</v>
      </c>
    </row>
    <row r="1481" spans="1:19" x14ac:dyDescent="0.2">
      <c r="A1481" s="524">
        <v>69922</v>
      </c>
      <c r="B1481" s="526">
        <v>46223</v>
      </c>
      <c r="C1481" s="524" t="s">
        <v>1148</v>
      </c>
      <c r="D1481" s="524" t="s">
        <v>1186</v>
      </c>
      <c r="E1481" s="524" t="s">
        <v>2107</v>
      </c>
      <c r="F1481" s="524" t="s">
        <v>1183</v>
      </c>
      <c r="G1481" s="524" t="s">
        <v>750</v>
      </c>
      <c r="H1481" s="527">
        <v>199.38</v>
      </c>
      <c r="I1481" s="524" t="s">
        <v>1174</v>
      </c>
      <c r="J1481" s="524">
        <f>IF(cmf[[#This Row],[D/C]]="C",cmf[[#This Row],[Valor]],-1*cmf[[#This Row],[Valor]])</f>
        <v>-199.38</v>
      </c>
      <c r="L1481" s="524" t="s">
        <v>1188</v>
      </c>
      <c r="M1481" s="524" t="s">
        <v>1189</v>
      </c>
      <c r="N1481" s="524" t="s">
        <v>1256</v>
      </c>
      <c r="O1481" s="524" t="s">
        <v>1257</v>
      </c>
      <c r="P1481" s="526">
        <v>46223</v>
      </c>
      <c r="S1481" s="527">
        <v>0</v>
      </c>
    </row>
    <row r="1482" spans="1:19" x14ac:dyDescent="0.2">
      <c r="A1482" s="524">
        <v>69923</v>
      </c>
      <c r="B1482" s="526">
        <v>46223</v>
      </c>
      <c r="C1482" s="524" t="s">
        <v>1162</v>
      </c>
      <c r="D1482" s="524" t="s">
        <v>1186</v>
      </c>
      <c r="E1482" s="524" t="s">
        <v>2108</v>
      </c>
      <c r="F1482" s="524" t="s">
        <v>1183</v>
      </c>
      <c r="G1482" s="524" t="s">
        <v>1919</v>
      </c>
      <c r="H1482" s="527">
        <v>1892.37</v>
      </c>
      <c r="I1482" s="524" t="s">
        <v>1174</v>
      </c>
      <c r="J1482" s="524">
        <f>IF(cmf[[#This Row],[D/C]]="C",cmf[[#This Row],[Valor]],-1*cmf[[#This Row],[Valor]])</f>
        <v>-1892.37</v>
      </c>
      <c r="L1482" s="524" t="s">
        <v>1188</v>
      </c>
      <c r="M1482" s="524" t="s">
        <v>1189</v>
      </c>
      <c r="N1482" s="524" t="s">
        <v>1209</v>
      </c>
      <c r="O1482" s="524" t="s">
        <v>1210</v>
      </c>
      <c r="P1482" s="526"/>
      <c r="S1482" s="527">
        <v>0</v>
      </c>
    </row>
    <row r="1483" spans="1:19" x14ac:dyDescent="0.2">
      <c r="A1483" s="524">
        <v>69924</v>
      </c>
      <c r="B1483" s="526">
        <v>46223</v>
      </c>
      <c r="C1483" s="524" t="s">
        <v>1162</v>
      </c>
      <c r="D1483" s="524" t="s">
        <v>1186</v>
      </c>
      <c r="E1483" s="524" t="s">
        <v>2109</v>
      </c>
      <c r="F1483" s="524" t="s">
        <v>1183</v>
      </c>
      <c r="G1483" s="524" t="s">
        <v>1919</v>
      </c>
      <c r="H1483" s="527">
        <v>100</v>
      </c>
      <c r="I1483" s="524" t="s">
        <v>1174</v>
      </c>
      <c r="J1483" s="524">
        <f>IF(cmf[[#This Row],[D/C]]="C",cmf[[#This Row],[Valor]],-1*cmf[[#This Row],[Valor]])</f>
        <v>-100</v>
      </c>
      <c r="L1483" s="524" t="s">
        <v>1188</v>
      </c>
      <c r="M1483" s="524" t="s">
        <v>1189</v>
      </c>
      <c r="N1483" s="524" t="s">
        <v>1209</v>
      </c>
      <c r="O1483" s="524" t="s">
        <v>1210</v>
      </c>
      <c r="P1483" s="526"/>
      <c r="S1483" s="527">
        <v>0</v>
      </c>
    </row>
    <row r="1484" spans="1:19" x14ac:dyDescent="0.2">
      <c r="A1484" s="524">
        <v>69925</v>
      </c>
      <c r="B1484" s="526">
        <v>46223</v>
      </c>
      <c r="C1484" s="524" t="s">
        <v>1162</v>
      </c>
      <c r="D1484" s="524" t="s">
        <v>1186</v>
      </c>
      <c r="E1484" s="524" t="s">
        <v>2110</v>
      </c>
      <c r="F1484" s="524" t="s">
        <v>1183</v>
      </c>
      <c r="G1484" s="524" t="s">
        <v>1919</v>
      </c>
      <c r="H1484" s="527">
        <v>100</v>
      </c>
      <c r="I1484" s="524" t="s">
        <v>1174</v>
      </c>
      <c r="J1484" s="524">
        <f>IF(cmf[[#This Row],[D/C]]="C",cmf[[#This Row],[Valor]],-1*cmf[[#This Row],[Valor]])</f>
        <v>-100</v>
      </c>
      <c r="L1484" s="524" t="s">
        <v>1188</v>
      </c>
      <c r="M1484" s="524" t="s">
        <v>1189</v>
      </c>
      <c r="N1484" s="524" t="s">
        <v>1209</v>
      </c>
      <c r="O1484" s="524" t="s">
        <v>1210</v>
      </c>
      <c r="P1484" s="526"/>
      <c r="S1484" s="527">
        <v>0</v>
      </c>
    </row>
    <row r="1485" spans="1:19" x14ac:dyDescent="0.2">
      <c r="A1485" s="524">
        <v>69926</v>
      </c>
      <c r="B1485" s="526">
        <v>46223</v>
      </c>
      <c r="C1485" s="524" t="s">
        <v>1162</v>
      </c>
      <c r="D1485" s="524" t="s">
        <v>1186</v>
      </c>
      <c r="E1485" s="524" t="s">
        <v>2111</v>
      </c>
      <c r="F1485" s="524" t="s">
        <v>1183</v>
      </c>
      <c r="G1485" s="524" t="s">
        <v>1919</v>
      </c>
      <c r="H1485" s="527">
        <v>100</v>
      </c>
      <c r="I1485" s="524" t="s">
        <v>1174</v>
      </c>
      <c r="J1485" s="524">
        <f>IF(cmf[[#This Row],[D/C]]="C",cmf[[#This Row],[Valor]],-1*cmf[[#This Row],[Valor]])</f>
        <v>-100</v>
      </c>
      <c r="L1485" s="524" t="s">
        <v>1188</v>
      </c>
      <c r="M1485" s="524" t="s">
        <v>1189</v>
      </c>
      <c r="N1485" s="524" t="s">
        <v>1209</v>
      </c>
      <c r="O1485" s="524" t="s">
        <v>1210</v>
      </c>
      <c r="P1485" s="526"/>
      <c r="S1485" s="527">
        <v>0</v>
      </c>
    </row>
    <row r="1486" spans="1:19" x14ac:dyDescent="0.2">
      <c r="A1486" s="524">
        <v>69927</v>
      </c>
      <c r="B1486" s="526">
        <v>46223</v>
      </c>
      <c r="C1486" s="524" t="s">
        <v>1162</v>
      </c>
      <c r="D1486" s="524" t="s">
        <v>1186</v>
      </c>
      <c r="E1486" s="524" t="s">
        <v>2112</v>
      </c>
      <c r="F1486" s="524" t="s">
        <v>1183</v>
      </c>
      <c r="G1486" s="524" t="s">
        <v>1919</v>
      </c>
      <c r="H1486" s="527">
        <v>645.58000000000004</v>
      </c>
      <c r="I1486" s="524" t="s">
        <v>1174</v>
      </c>
      <c r="J1486" s="524">
        <f>IF(cmf[[#This Row],[D/C]]="C",cmf[[#This Row],[Valor]],-1*cmf[[#This Row],[Valor]])</f>
        <v>-645.58000000000004</v>
      </c>
      <c r="L1486" s="524" t="s">
        <v>1188</v>
      </c>
      <c r="M1486" s="524" t="s">
        <v>1189</v>
      </c>
      <c r="N1486" s="524" t="s">
        <v>1209</v>
      </c>
      <c r="O1486" s="524" t="s">
        <v>1210</v>
      </c>
      <c r="P1486" s="526"/>
      <c r="S1486" s="527">
        <v>0</v>
      </c>
    </row>
    <row r="1487" spans="1:19" x14ac:dyDescent="0.2">
      <c r="A1487" s="524">
        <v>69928</v>
      </c>
      <c r="B1487" s="526">
        <v>46223</v>
      </c>
      <c r="C1487" s="524" t="s">
        <v>1162</v>
      </c>
      <c r="D1487" s="524" t="s">
        <v>1186</v>
      </c>
      <c r="E1487" s="524" t="s">
        <v>2113</v>
      </c>
      <c r="F1487" s="524" t="s">
        <v>1183</v>
      </c>
      <c r="G1487" s="524" t="s">
        <v>1919</v>
      </c>
      <c r="H1487" s="527">
        <v>36.96</v>
      </c>
      <c r="I1487" s="524" t="s">
        <v>1174</v>
      </c>
      <c r="J1487" s="524">
        <f>IF(cmf[[#This Row],[D/C]]="C",cmf[[#This Row],[Valor]],-1*cmf[[#This Row],[Valor]])</f>
        <v>-36.96</v>
      </c>
      <c r="L1487" s="524" t="s">
        <v>1188</v>
      </c>
      <c r="M1487" s="524" t="s">
        <v>1189</v>
      </c>
      <c r="N1487" s="524" t="s">
        <v>1209</v>
      </c>
      <c r="O1487" s="524" t="s">
        <v>1210</v>
      </c>
      <c r="P1487" s="526"/>
      <c r="S1487" s="527">
        <v>0</v>
      </c>
    </row>
    <row r="1488" spans="1:19" x14ac:dyDescent="0.2">
      <c r="A1488" s="524">
        <v>69929</v>
      </c>
      <c r="B1488" s="526">
        <v>46223</v>
      </c>
      <c r="C1488" s="524" t="s">
        <v>1162</v>
      </c>
      <c r="D1488" s="524" t="s">
        <v>1186</v>
      </c>
      <c r="E1488" s="524" t="s">
        <v>2114</v>
      </c>
      <c r="F1488" s="524" t="s">
        <v>1183</v>
      </c>
      <c r="G1488" s="524" t="s">
        <v>1919</v>
      </c>
      <c r="H1488" s="527">
        <v>1500</v>
      </c>
      <c r="I1488" s="524" t="s">
        <v>1174</v>
      </c>
      <c r="J1488" s="524">
        <f>IF(cmf[[#This Row],[D/C]]="C",cmf[[#This Row],[Valor]],-1*cmf[[#This Row],[Valor]])</f>
        <v>-1500</v>
      </c>
      <c r="L1488" s="524" t="s">
        <v>1188</v>
      </c>
      <c r="M1488" s="524" t="s">
        <v>1189</v>
      </c>
      <c r="N1488" s="524" t="s">
        <v>1209</v>
      </c>
      <c r="O1488" s="524" t="s">
        <v>1210</v>
      </c>
      <c r="P1488" s="526"/>
      <c r="S1488" s="527">
        <v>0</v>
      </c>
    </row>
    <row r="1489" spans="1:19" x14ac:dyDescent="0.2">
      <c r="A1489" s="524">
        <v>69931</v>
      </c>
      <c r="B1489" s="526">
        <v>46223</v>
      </c>
      <c r="C1489" s="524" t="s">
        <v>1148</v>
      </c>
      <c r="D1489" s="524" t="s">
        <v>1186</v>
      </c>
      <c r="E1489" s="524" t="s">
        <v>2115</v>
      </c>
      <c r="F1489" s="524" t="s">
        <v>1183</v>
      </c>
      <c r="G1489" s="524" t="s">
        <v>800</v>
      </c>
      <c r="H1489" s="527">
        <v>59577.66</v>
      </c>
      <c r="I1489" s="524" t="s">
        <v>1174</v>
      </c>
      <c r="J1489" s="524">
        <f>IF(cmf[[#This Row],[D/C]]="C",cmf[[#This Row],[Valor]],-1*cmf[[#This Row],[Valor]])</f>
        <v>-59577.66</v>
      </c>
      <c r="L1489" s="524" t="s">
        <v>1188</v>
      </c>
      <c r="M1489" s="524" t="s">
        <v>1189</v>
      </c>
      <c r="N1489" s="524" t="s">
        <v>1171</v>
      </c>
      <c r="O1489" s="524" t="s">
        <v>1172</v>
      </c>
      <c r="P1489" s="526">
        <v>46223</v>
      </c>
      <c r="S1489" s="527">
        <v>0</v>
      </c>
    </row>
    <row r="1490" spans="1:19" x14ac:dyDescent="0.2">
      <c r="A1490" s="524">
        <v>69932</v>
      </c>
      <c r="B1490" s="526">
        <v>46223</v>
      </c>
      <c r="C1490" s="524" t="s">
        <v>1148</v>
      </c>
      <c r="D1490" s="524" t="s">
        <v>1186</v>
      </c>
      <c r="E1490" s="524" t="s">
        <v>2116</v>
      </c>
      <c r="F1490" s="524" t="s">
        <v>1183</v>
      </c>
      <c r="G1490" s="524" t="s">
        <v>800</v>
      </c>
      <c r="H1490" s="527">
        <v>15000</v>
      </c>
      <c r="I1490" s="524" t="s">
        <v>1174</v>
      </c>
      <c r="J1490" s="524">
        <f>IF(cmf[[#This Row],[D/C]]="C",cmf[[#This Row],[Valor]],-1*cmf[[#This Row],[Valor]])</f>
        <v>-15000</v>
      </c>
      <c r="L1490" s="524" t="s">
        <v>1188</v>
      </c>
      <c r="M1490" s="524" t="s">
        <v>1189</v>
      </c>
      <c r="N1490" s="524" t="s">
        <v>1171</v>
      </c>
      <c r="O1490" s="524" t="s">
        <v>1172</v>
      </c>
      <c r="P1490" s="526">
        <v>46223</v>
      </c>
      <c r="S1490" s="527">
        <v>0</v>
      </c>
    </row>
    <row r="1491" spans="1:19" x14ac:dyDescent="0.2">
      <c r="A1491" s="524">
        <v>69933</v>
      </c>
      <c r="B1491" s="526">
        <v>46223</v>
      </c>
      <c r="C1491" s="524" t="s">
        <v>1148</v>
      </c>
      <c r="D1491" s="524" t="s">
        <v>1186</v>
      </c>
      <c r="E1491" s="524" t="s">
        <v>2117</v>
      </c>
      <c r="F1491" s="524" t="s">
        <v>1183</v>
      </c>
      <c r="G1491" s="524" t="s">
        <v>800</v>
      </c>
      <c r="H1491" s="527">
        <v>7721.03</v>
      </c>
      <c r="I1491" s="524" t="s">
        <v>1174</v>
      </c>
      <c r="J1491" s="524">
        <f>IF(cmf[[#This Row],[D/C]]="C",cmf[[#This Row],[Valor]],-1*cmf[[#This Row],[Valor]])</f>
        <v>-7721.03</v>
      </c>
      <c r="L1491" s="524" t="s">
        <v>1188</v>
      </c>
      <c r="M1491" s="524" t="s">
        <v>1189</v>
      </c>
      <c r="N1491" s="524" t="s">
        <v>1171</v>
      </c>
      <c r="O1491" s="524" t="s">
        <v>1172</v>
      </c>
      <c r="P1491" s="526">
        <v>46223</v>
      </c>
      <c r="S1491" s="527">
        <v>0</v>
      </c>
    </row>
    <row r="1492" spans="1:19" x14ac:dyDescent="0.2">
      <c r="A1492" s="524">
        <v>69934</v>
      </c>
      <c r="B1492" s="526">
        <v>46223</v>
      </c>
      <c r="C1492" s="524" t="s">
        <v>1148</v>
      </c>
      <c r="D1492" s="524" t="s">
        <v>1186</v>
      </c>
      <c r="E1492" s="524" t="s">
        <v>2118</v>
      </c>
      <c r="F1492" s="524" t="s">
        <v>1183</v>
      </c>
      <c r="G1492" s="524" t="s">
        <v>800</v>
      </c>
      <c r="H1492" s="527">
        <v>3825</v>
      </c>
      <c r="I1492" s="524" t="s">
        <v>1174</v>
      </c>
      <c r="J1492" s="524">
        <f>IF(cmf[[#This Row],[D/C]]="C",cmf[[#This Row],[Valor]],-1*cmf[[#This Row],[Valor]])</f>
        <v>-3825</v>
      </c>
      <c r="L1492" s="524" t="s">
        <v>1188</v>
      </c>
      <c r="M1492" s="524" t="s">
        <v>1189</v>
      </c>
      <c r="N1492" s="524" t="s">
        <v>1171</v>
      </c>
      <c r="O1492" s="524" t="s">
        <v>1172</v>
      </c>
      <c r="P1492" s="526">
        <v>46223</v>
      </c>
      <c r="S1492" s="527">
        <v>0</v>
      </c>
    </row>
    <row r="1493" spans="1:19" x14ac:dyDescent="0.2">
      <c r="A1493" s="524">
        <v>69935</v>
      </c>
      <c r="B1493" s="526">
        <v>46223</v>
      </c>
      <c r="C1493" s="524" t="s">
        <v>1148</v>
      </c>
      <c r="D1493" s="524" t="s">
        <v>1186</v>
      </c>
      <c r="E1493" s="524" t="s">
        <v>2119</v>
      </c>
      <c r="F1493" s="524" t="s">
        <v>1183</v>
      </c>
      <c r="G1493" s="524" t="s">
        <v>800</v>
      </c>
      <c r="H1493" s="527">
        <v>3466.8</v>
      </c>
      <c r="I1493" s="524" t="s">
        <v>1174</v>
      </c>
      <c r="J1493" s="524">
        <f>IF(cmf[[#This Row],[D/C]]="C",cmf[[#This Row],[Valor]],-1*cmf[[#This Row],[Valor]])</f>
        <v>-3466.8</v>
      </c>
      <c r="L1493" s="524" t="s">
        <v>1188</v>
      </c>
      <c r="M1493" s="524" t="s">
        <v>1189</v>
      </c>
      <c r="N1493" s="524" t="s">
        <v>1171</v>
      </c>
      <c r="O1493" s="524" t="s">
        <v>1172</v>
      </c>
      <c r="P1493" s="526">
        <v>46223</v>
      </c>
      <c r="S1493" s="527">
        <v>0</v>
      </c>
    </row>
    <row r="1494" spans="1:19" x14ac:dyDescent="0.2">
      <c r="A1494" s="524">
        <v>69936</v>
      </c>
      <c r="B1494" s="526">
        <v>46223</v>
      </c>
      <c r="C1494" s="524" t="s">
        <v>1148</v>
      </c>
      <c r="D1494" s="524" t="s">
        <v>1186</v>
      </c>
      <c r="E1494" s="524" t="s">
        <v>2120</v>
      </c>
      <c r="F1494" s="524" t="s">
        <v>1183</v>
      </c>
      <c r="G1494" s="524" t="s">
        <v>800</v>
      </c>
      <c r="H1494" s="527">
        <v>3000</v>
      </c>
      <c r="I1494" s="524" t="s">
        <v>1174</v>
      </c>
      <c r="J1494" s="524">
        <f>IF(cmf[[#This Row],[D/C]]="C",cmf[[#This Row],[Valor]],-1*cmf[[#This Row],[Valor]])</f>
        <v>-3000</v>
      </c>
      <c r="L1494" s="524" t="s">
        <v>1188</v>
      </c>
      <c r="M1494" s="524" t="s">
        <v>1189</v>
      </c>
      <c r="N1494" s="524" t="s">
        <v>1171</v>
      </c>
      <c r="O1494" s="524" t="s">
        <v>1172</v>
      </c>
      <c r="P1494" s="526">
        <v>46223</v>
      </c>
      <c r="S1494" s="527">
        <v>0</v>
      </c>
    </row>
    <row r="1495" spans="1:19" x14ac:dyDescent="0.2">
      <c r="A1495" s="524">
        <v>69937</v>
      </c>
      <c r="B1495" s="526">
        <v>46223</v>
      </c>
      <c r="C1495" s="524" t="s">
        <v>1148</v>
      </c>
      <c r="D1495" s="524" t="s">
        <v>1186</v>
      </c>
      <c r="E1495" s="524" t="s">
        <v>2121</v>
      </c>
      <c r="F1495" s="524" t="s">
        <v>1183</v>
      </c>
      <c r="G1495" s="524" t="s">
        <v>800</v>
      </c>
      <c r="H1495" s="527">
        <v>2851.31</v>
      </c>
      <c r="I1495" s="524" t="s">
        <v>1174</v>
      </c>
      <c r="J1495" s="524">
        <f>IF(cmf[[#This Row],[D/C]]="C",cmf[[#This Row],[Valor]],-1*cmf[[#This Row],[Valor]])</f>
        <v>-2851.31</v>
      </c>
      <c r="L1495" s="524" t="s">
        <v>1188</v>
      </c>
      <c r="M1495" s="524" t="s">
        <v>1189</v>
      </c>
      <c r="N1495" s="524" t="s">
        <v>1171</v>
      </c>
      <c r="O1495" s="524" t="s">
        <v>1172</v>
      </c>
      <c r="P1495" s="526">
        <v>46223</v>
      </c>
      <c r="S1495" s="527">
        <v>0</v>
      </c>
    </row>
    <row r="1496" spans="1:19" x14ac:dyDescent="0.2">
      <c r="A1496" s="524">
        <v>69938</v>
      </c>
      <c r="B1496" s="526">
        <v>46223</v>
      </c>
      <c r="C1496" s="524" t="s">
        <v>1148</v>
      </c>
      <c r="D1496" s="524" t="s">
        <v>1186</v>
      </c>
      <c r="E1496" s="524" t="s">
        <v>2122</v>
      </c>
      <c r="F1496" s="524" t="s">
        <v>1183</v>
      </c>
      <c r="G1496" s="524" t="s">
        <v>800</v>
      </c>
      <c r="H1496" s="527">
        <v>2500</v>
      </c>
      <c r="I1496" s="524" t="s">
        <v>1174</v>
      </c>
      <c r="J1496" s="524">
        <f>IF(cmf[[#This Row],[D/C]]="C",cmf[[#This Row],[Valor]],-1*cmf[[#This Row],[Valor]])</f>
        <v>-2500</v>
      </c>
      <c r="L1496" s="524" t="s">
        <v>1188</v>
      </c>
      <c r="M1496" s="524" t="s">
        <v>1189</v>
      </c>
      <c r="N1496" s="524" t="s">
        <v>1171</v>
      </c>
      <c r="O1496" s="524" t="s">
        <v>1172</v>
      </c>
      <c r="P1496" s="526">
        <v>46223</v>
      </c>
      <c r="S1496" s="527">
        <v>0</v>
      </c>
    </row>
    <row r="1497" spans="1:19" x14ac:dyDescent="0.2">
      <c r="A1497" s="524">
        <v>69939</v>
      </c>
      <c r="B1497" s="526">
        <v>46223</v>
      </c>
      <c r="C1497" s="524" t="s">
        <v>1148</v>
      </c>
      <c r="D1497" s="524" t="s">
        <v>1186</v>
      </c>
      <c r="E1497" s="524" t="s">
        <v>2123</v>
      </c>
      <c r="F1497" s="524" t="s">
        <v>1183</v>
      </c>
      <c r="G1497" s="524" t="s">
        <v>800</v>
      </c>
      <c r="H1497" s="527">
        <v>2482.25</v>
      </c>
      <c r="I1497" s="524" t="s">
        <v>1174</v>
      </c>
      <c r="J1497" s="524">
        <f>IF(cmf[[#This Row],[D/C]]="C",cmf[[#This Row],[Valor]],-1*cmf[[#This Row],[Valor]])</f>
        <v>-2482.25</v>
      </c>
      <c r="L1497" s="524" t="s">
        <v>1188</v>
      </c>
      <c r="M1497" s="524" t="s">
        <v>1189</v>
      </c>
      <c r="N1497" s="524" t="s">
        <v>1171</v>
      </c>
      <c r="O1497" s="524" t="s">
        <v>1172</v>
      </c>
      <c r="P1497" s="526">
        <v>46223</v>
      </c>
      <c r="S1497" s="527">
        <v>0</v>
      </c>
    </row>
    <row r="1498" spans="1:19" x14ac:dyDescent="0.2">
      <c r="A1498" s="524">
        <v>69940</v>
      </c>
      <c r="B1498" s="526">
        <v>46223</v>
      </c>
      <c r="C1498" s="524" t="s">
        <v>1148</v>
      </c>
      <c r="D1498" s="524" t="s">
        <v>1186</v>
      </c>
      <c r="E1498" s="524" t="s">
        <v>2124</v>
      </c>
      <c r="F1498" s="524" t="s">
        <v>1183</v>
      </c>
      <c r="G1498" s="524" t="s">
        <v>800</v>
      </c>
      <c r="H1498" s="527">
        <v>2277</v>
      </c>
      <c r="I1498" s="524" t="s">
        <v>1174</v>
      </c>
      <c r="J1498" s="524">
        <f>IF(cmf[[#This Row],[D/C]]="C",cmf[[#This Row],[Valor]],-1*cmf[[#This Row],[Valor]])</f>
        <v>-2277</v>
      </c>
      <c r="L1498" s="524" t="s">
        <v>1188</v>
      </c>
      <c r="M1498" s="524" t="s">
        <v>1189</v>
      </c>
      <c r="N1498" s="524" t="s">
        <v>1171</v>
      </c>
      <c r="O1498" s="524" t="s">
        <v>1172</v>
      </c>
      <c r="P1498" s="526">
        <v>46223</v>
      </c>
      <c r="S1498" s="527">
        <v>0</v>
      </c>
    </row>
    <row r="1499" spans="1:19" x14ac:dyDescent="0.2">
      <c r="A1499" s="524">
        <v>69941</v>
      </c>
      <c r="B1499" s="526">
        <v>46223</v>
      </c>
      <c r="C1499" s="524" t="s">
        <v>1148</v>
      </c>
      <c r="D1499" s="524" t="s">
        <v>1186</v>
      </c>
      <c r="E1499" s="524" t="s">
        <v>2125</v>
      </c>
      <c r="F1499" s="524" t="s">
        <v>1183</v>
      </c>
      <c r="G1499" s="524" t="s">
        <v>800</v>
      </c>
      <c r="H1499" s="527">
        <v>2202.02</v>
      </c>
      <c r="I1499" s="524" t="s">
        <v>1174</v>
      </c>
      <c r="J1499" s="524">
        <f>IF(cmf[[#This Row],[D/C]]="C",cmf[[#This Row],[Valor]],-1*cmf[[#This Row],[Valor]])</f>
        <v>-2202.02</v>
      </c>
      <c r="L1499" s="524" t="s">
        <v>1188</v>
      </c>
      <c r="M1499" s="524" t="s">
        <v>1189</v>
      </c>
      <c r="N1499" s="524" t="s">
        <v>1171</v>
      </c>
      <c r="O1499" s="524" t="s">
        <v>1172</v>
      </c>
      <c r="P1499" s="526">
        <v>46223</v>
      </c>
      <c r="S1499" s="527">
        <v>0</v>
      </c>
    </row>
    <row r="1500" spans="1:19" x14ac:dyDescent="0.2">
      <c r="A1500" s="524">
        <v>69942</v>
      </c>
      <c r="B1500" s="526">
        <v>46223</v>
      </c>
      <c r="C1500" s="524" t="s">
        <v>1148</v>
      </c>
      <c r="D1500" s="524" t="s">
        <v>1186</v>
      </c>
      <c r="E1500" s="524" t="s">
        <v>2126</v>
      </c>
      <c r="F1500" s="524" t="s">
        <v>1183</v>
      </c>
      <c r="G1500" s="524" t="s">
        <v>800</v>
      </c>
      <c r="H1500" s="527">
        <v>2100</v>
      </c>
      <c r="I1500" s="524" t="s">
        <v>1174</v>
      </c>
      <c r="J1500" s="524">
        <f>IF(cmf[[#This Row],[D/C]]="C",cmf[[#This Row],[Valor]],-1*cmf[[#This Row],[Valor]])</f>
        <v>-2100</v>
      </c>
      <c r="L1500" s="524" t="s">
        <v>1188</v>
      </c>
      <c r="M1500" s="524" t="s">
        <v>1189</v>
      </c>
      <c r="N1500" s="524" t="s">
        <v>1171</v>
      </c>
      <c r="O1500" s="524" t="s">
        <v>1172</v>
      </c>
      <c r="P1500" s="526">
        <v>46223</v>
      </c>
      <c r="S1500" s="527">
        <v>0</v>
      </c>
    </row>
    <row r="1501" spans="1:19" x14ac:dyDescent="0.2">
      <c r="A1501" s="524">
        <v>69943</v>
      </c>
      <c r="B1501" s="526">
        <v>46223</v>
      </c>
      <c r="C1501" s="524" t="s">
        <v>1148</v>
      </c>
      <c r="D1501" s="524" t="s">
        <v>1186</v>
      </c>
      <c r="E1501" s="524" t="s">
        <v>2127</v>
      </c>
      <c r="F1501" s="524" t="s">
        <v>1183</v>
      </c>
      <c r="G1501" s="524" t="s">
        <v>800</v>
      </c>
      <c r="H1501" s="527">
        <v>1900</v>
      </c>
      <c r="I1501" s="524" t="s">
        <v>1174</v>
      </c>
      <c r="J1501" s="524">
        <f>IF(cmf[[#This Row],[D/C]]="C",cmf[[#This Row],[Valor]],-1*cmf[[#This Row],[Valor]])</f>
        <v>-1900</v>
      </c>
      <c r="L1501" s="524" t="s">
        <v>1188</v>
      </c>
      <c r="M1501" s="524" t="s">
        <v>1189</v>
      </c>
      <c r="N1501" s="524" t="s">
        <v>1171</v>
      </c>
      <c r="O1501" s="524" t="s">
        <v>1172</v>
      </c>
      <c r="P1501" s="526">
        <v>46223</v>
      </c>
      <c r="S1501" s="527">
        <v>0</v>
      </c>
    </row>
    <row r="1502" spans="1:19" x14ac:dyDescent="0.2">
      <c r="A1502" s="524">
        <v>69944</v>
      </c>
      <c r="B1502" s="526">
        <v>46223</v>
      </c>
      <c r="C1502" s="524" t="s">
        <v>1148</v>
      </c>
      <c r="D1502" s="524" t="s">
        <v>1186</v>
      </c>
      <c r="E1502" s="524" t="s">
        <v>2128</v>
      </c>
      <c r="F1502" s="524" t="s">
        <v>1183</v>
      </c>
      <c r="G1502" s="524" t="s">
        <v>800</v>
      </c>
      <c r="H1502" s="527">
        <v>1702.51</v>
      </c>
      <c r="I1502" s="524" t="s">
        <v>1174</v>
      </c>
      <c r="J1502" s="524">
        <f>IF(cmf[[#This Row],[D/C]]="C",cmf[[#This Row],[Valor]],-1*cmf[[#This Row],[Valor]])</f>
        <v>-1702.51</v>
      </c>
      <c r="L1502" s="524" t="s">
        <v>1188</v>
      </c>
      <c r="M1502" s="524" t="s">
        <v>1189</v>
      </c>
      <c r="N1502" s="524" t="s">
        <v>1171</v>
      </c>
      <c r="O1502" s="524" t="s">
        <v>1172</v>
      </c>
      <c r="P1502" s="526">
        <v>46223</v>
      </c>
      <c r="S1502" s="527">
        <v>0</v>
      </c>
    </row>
    <row r="1503" spans="1:19" x14ac:dyDescent="0.2">
      <c r="A1503" s="524">
        <v>69945</v>
      </c>
      <c r="B1503" s="526">
        <v>46223</v>
      </c>
      <c r="C1503" s="524" t="s">
        <v>1148</v>
      </c>
      <c r="D1503" s="524" t="s">
        <v>1186</v>
      </c>
      <c r="E1503" s="524" t="s">
        <v>2129</v>
      </c>
      <c r="F1503" s="524" t="s">
        <v>1183</v>
      </c>
      <c r="G1503" s="524" t="s">
        <v>800</v>
      </c>
      <c r="H1503" s="527">
        <v>1374.89</v>
      </c>
      <c r="I1503" s="524" t="s">
        <v>1174</v>
      </c>
      <c r="J1503" s="524">
        <f>IF(cmf[[#This Row],[D/C]]="C",cmf[[#This Row],[Valor]],-1*cmf[[#This Row],[Valor]])</f>
        <v>-1374.89</v>
      </c>
      <c r="L1503" s="524" t="s">
        <v>1188</v>
      </c>
      <c r="M1503" s="524" t="s">
        <v>1189</v>
      </c>
      <c r="N1503" s="524" t="s">
        <v>1171</v>
      </c>
      <c r="O1503" s="524" t="s">
        <v>1172</v>
      </c>
      <c r="P1503" s="526">
        <v>46223</v>
      </c>
      <c r="S1503" s="527">
        <v>0</v>
      </c>
    </row>
    <row r="1504" spans="1:19" x14ac:dyDescent="0.2">
      <c r="A1504" s="524">
        <v>69946</v>
      </c>
      <c r="B1504" s="526">
        <v>46223</v>
      </c>
      <c r="C1504" s="524" t="s">
        <v>1148</v>
      </c>
      <c r="D1504" s="524" t="s">
        <v>1186</v>
      </c>
      <c r="E1504" s="524" t="s">
        <v>2130</v>
      </c>
      <c r="F1504" s="524" t="s">
        <v>1183</v>
      </c>
      <c r="G1504" s="524" t="s">
        <v>800</v>
      </c>
      <c r="H1504" s="527">
        <v>1373.44</v>
      </c>
      <c r="I1504" s="524" t="s">
        <v>1174</v>
      </c>
      <c r="J1504" s="524">
        <f>IF(cmf[[#This Row],[D/C]]="C",cmf[[#This Row],[Valor]],-1*cmf[[#This Row],[Valor]])</f>
        <v>-1373.44</v>
      </c>
      <c r="L1504" s="524" t="s">
        <v>1188</v>
      </c>
      <c r="M1504" s="524" t="s">
        <v>1189</v>
      </c>
      <c r="N1504" s="524" t="s">
        <v>1171</v>
      </c>
      <c r="O1504" s="524" t="s">
        <v>1172</v>
      </c>
      <c r="P1504" s="526">
        <v>46223</v>
      </c>
      <c r="S1504" s="527">
        <v>0</v>
      </c>
    </row>
    <row r="1505" spans="1:19" x14ac:dyDescent="0.2">
      <c r="A1505" s="524">
        <v>69947</v>
      </c>
      <c r="B1505" s="526">
        <v>46223</v>
      </c>
      <c r="C1505" s="524" t="s">
        <v>1148</v>
      </c>
      <c r="D1505" s="524" t="s">
        <v>1186</v>
      </c>
      <c r="E1505" s="524" t="s">
        <v>2131</v>
      </c>
      <c r="F1505" s="524" t="s">
        <v>1183</v>
      </c>
      <c r="G1505" s="524" t="s">
        <v>800</v>
      </c>
      <c r="H1505" s="527">
        <v>1200</v>
      </c>
      <c r="I1505" s="524" t="s">
        <v>1174</v>
      </c>
      <c r="J1505" s="524">
        <f>IF(cmf[[#This Row],[D/C]]="C",cmf[[#This Row],[Valor]],-1*cmf[[#This Row],[Valor]])</f>
        <v>-1200</v>
      </c>
      <c r="L1505" s="524" t="s">
        <v>1188</v>
      </c>
      <c r="M1505" s="524" t="s">
        <v>1189</v>
      </c>
      <c r="N1505" s="524" t="s">
        <v>1171</v>
      </c>
      <c r="O1505" s="524" t="s">
        <v>1172</v>
      </c>
      <c r="P1505" s="526">
        <v>46223</v>
      </c>
      <c r="S1505" s="527">
        <v>0</v>
      </c>
    </row>
    <row r="1506" spans="1:19" x14ac:dyDescent="0.2">
      <c r="A1506" s="524">
        <v>69948</v>
      </c>
      <c r="B1506" s="526">
        <v>46223</v>
      </c>
      <c r="C1506" s="524" t="s">
        <v>1148</v>
      </c>
      <c r="D1506" s="524" t="s">
        <v>1186</v>
      </c>
      <c r="E1506" s="524" t="s">
        <v>2132</v>
      </c>
      <c r="F1506" s="524" t="s">
        <v>1183</v>
      </c>
      <c r="G1506" s="524" t="s">
        <v>800</v>
      </c>
      <c r="H1506" s="527">
        <v>1070.28</v>
      </c>
      <c r="I1506" s="524" t="s">
        <v>1174</v>
      </c>
      <c r="J1506" s="524">
        <f>IF(cmf[[#This Row],[D/C]]="C",cmf[[#This Row],[Valor]],-1*cmf[[#This Row],[Valor]])</f>
        <v>-1070.28</v>
      </c>
      <c r="L1506" s="524" t="s">
        <v>1188</v>
      </c>
      <c r="M1506" s="524" t="s">
        <v>1189</v>
      </c>
      <c r="N1506" s="524" t="s">
        <v>1171</v>
      </c>
      <c r="O1506" s="524" t="s">
        <v>1172</v>
      </c>
      <c r="P1506" s="526">
        <v>46223</v>
      </c>
      <c r="S1506" s="527">
        <v>0</v>
      </c>
    </row>
    <row r="1507" spans="1:19" x14ac:dyDescent="0.2">
      <c r="A1507" s="524">
        <v>69949</v>
      </c>
      <c r="B1507" s="526">
        <v>46223</v>
      </c>
      <c r="C1507" s="524" t="s">
        <v>1148</v>
      </c>
      <c r="D1507" s="524" t="s">
        <v>1186</v>
      </c>
      <c r="E1507" s="524" t="s">
        <v>2133</v>
      </c>
      <c r="F1507" s="524" t="s">
        <v>1183</v>
      </c>
      <c r="G1507" s="524" t="s">
        <v>800</v>
      </c>
      <c r="H1507" s="527">
        <v>1000</v>
      </c>
      <c r="I1507" s="524" t="s">
        <v>1174</v>
      </c>
      <c r="J1507" s="524">
        <f>IF(cmf[[#This Row],[D/C]]="C",cmf[[#This Row],[Valor]],-1*cmf[[#This Row],[Valor]])</f>
        <v>-1000</v>
      </c>
      <c r="L1507" s="524" t="s">
        <v>1188</v>
      </c>
      <c r="M1507" s="524" t="s">
        <v>1189</v>
      </c>
      <c r="N1507" s="524" t="s">
        <v>1171</v>
      </c>
      <c r="O1507" s="524" t="s">
        <v>1172</v>
      </c>
      <c r="P1507" s="526">
        <v>46223</v>
      </c>
      <c r="S1507" s="527">
        <v>0</v>
      </c>
    </row>
    <row r="1508" spans="1:19" x14ac:dyDescent="0.2">
      <c r="A1508" s="524">
        <v>69950</v>
      </c>
      <c r="B1508" s="526">
        <v>46223</v>
      </c>
      <c r="C1508" s="524" t="s">
        <v>1148</v>
      </c>
      <c r="D1508" s="524" t="s">
        <v>1186</v>
      </c>
      <c r="E1508" s="524" t="s">
        <v>2134</v>
      </c>
      <c r="F1508" s="524" t="s">
        <v>1183</v>
      </c>
      <c r="G1508" s="524" t="s">
        <v>800</v>
      </c>
      <c r="H1508" s="527">
        <v>983.55</v>
      </c>
      <c r="I1508" s="524" t="s">
        <v>1174</v>
      </c>
      <c r="J1508" s="524">
        <f>IF(cmf[[#This Row],[D/C]]="C",cmf[[#This Row],[Valor]],-1*cmf[[#This Row],[Valor]])</f>
        <v>-983.55</v>
      </c>
      <c r="L1508" s="524" t="s">
        <v>1188</v>
      </c>
      <c r="M1508" s="524" t="s">
        <v>1189</v>
      </c>
      <c r="N1508" s="524" t="s">
        <v>1171</v>
      </c>
      <c r="O1508" s="524" t="s">
        <v>1172</v>
      </c>
      <c r="P1508" s="526">
        <v>46223</v>
      </c>
      <c r="S1508" s="527">
        <v>0</v>
      </c>
    </row>
    <row r="1509" spans="1:19" x14ac:dyDescent="0.2">
      <c r="A1509" s="524">
        <v>69951</v>
      </c>
      <c r="B1509" s="526">
        <v>46223</v>
      </c>
      <c r="C1509" s="524" t="s">
        <v>1148</v>
      </c>
      <c r="D1509" s="524" t="s">
        <v>1186</v>
      </c>
      <c r="E1509" s="524" t="s">
        <v>2135</v>
      </c>
      <c r="F1509" s="524" t="s">
        <v>1183</v>
      </c>
      <c r="G1509" s="524" t="s">
        <v>800</v>
      </c>
      <c r="H1509" s="527">
        <v>600</v>
      </c>
      <c r="I1509" s="524" t="s">
        <v>1174</v>
      </c>
      <c r="J1509" s="524">
        <f>IF(cmf[[#This Row],[D/C]]="C",cmf[[#This Row],[Valor]],-1*cmf[[#This Row],[Valor]])</f>
        <v>-600</v>
      </c>
      <c r="L1509" s="524" t="s">
        <v>1188</v>
      </c>
      <c r="M1509" s="524" t="s">
        <v>1189</v>
      </c>
      <c r="N1509" s="524" t="s">
        <v>1171</v>
      </c>
      <c r="O1509" s="524" t="s">
        <v>1172</v>
      </c>
      <c r="P1509" s="526">
        <v>46223</v>
      </c>
      <c r="S1509" s="527">
        <v>0</v>
      </c>
    </row>
    <row r="1510" spans="1:19" x14ac:dyDescent="0.2">
      <c r="A1510" s="524">
        <v>69952</v>
      </c>
      <c r="B1510" s="526">
        <v>46223</v>
      </c>
      <c r="C1510" s="524" t="s">
        <v>1148</v>
      </c>
      <c r="D1510" s="524" t="s">
        <v>1186</v>
      </c>
      <c r="E1510" s="524" t="s">
        <v>2136</v>
      </c>
      <c r="F1510" s="524" t="s">
        <v>1183</v>
      </c>
      <c r="G1510" s="524" t="s">
        <v>800</v>
      </c>
      <c r="H1510" s="527">
        <v>555</v>
      </c>
      <c r="I1510" s="524" t="s">
        <v>1174</v>
      </c>
      <c r="J1510" s="524">
        <f>IF(cmf[[#This Row],[D/C]]="C",cmf[[#This Row],[Valor]],-1*cmf[[#This Row],[Valor]])</f>
        <v>-555</v>
      </c>
      <c r="L1510" s="524" t="s">
        <v>1188</v>
      </c>
      <c r="M1510" s="524" t="s">
        <v>1189</v>
      </c>
      <c r="N1510" s="524" t="s">
        <v>1171</v>
      </c>
      <c r="O1510" s="524" t="s">
        <v>1172</v>
      </c>
      <c r="P1510" s="526">
        <v>46223</v>
      </c>
      <c r="S1510" s="527">
        <v>0</v>
      </c>
    </row>
    <row r="1511" spans="1:19" x14ac:dyDescent="0.2">
      <c r="A1511" s="524">
        <v>69953</v>
      </c>
      <c r="B1511" s="526">
        <v>46223</v>
      </c>
      <c r="C1511" s="524" t="s">
        <v>1148</v>
      </c>
      <c r="D1511" s="524" t="s">
        <v>1186</v>
      </c>
      <c r="E1511" s="524" t="s">
        <v>2137</v>
      </c>
      <c r="F1511" s="524" t="s">
        <v>1183</v>
      </c>
      <c r="G1511" s="524" t="s">
        <v>800</v>
      </c>
      <c r="H1511" s="527">
        <v>500</v>
      </c>
      <c r="I1511" s="524" t="s">
        <v>1174</v>
      </c>
      <c r="J1511" s="524">
        <f>IF(cmf[[#This Row],[D/C]]="C",cmf[[#This Row],[Valor]],-1*cmf[[#This Row],[Valor]])</f>
        <v>-500</v>
      </c>
      <c r="L1511" s="524" t="s">
        <v>1188</v>
      </c>
      <c r="M1511" s="524" t="s">
        <v>1189</v>
      </c>
      <c r="N1511" s="524" t="s">
        <v>1171</v>
      </c>
      <c r="O1511" s="524" t="s">
        <v>1172</v>
      </c>
      <c r="P1511" s="526">
        <v>46223</v>
      </c>
      <c r="S1511" s="527">
        <v>0</v>
      </c>
    </row>
    <row r="1512" spans="1:19" x14ac:dyDescent="0.2">
      <c r="A1512" s="524">
        <v>69954</v>
      </c>
      <c r="B1512" s="526">
        <v>46223</v>
      </c>
      <c r="C1512" s="524" t="s">
        <v>1148</v>
      </c>
      <c r="D1512" s="524" t="s">
        <v>1186</v>
      </c>
      <c r="E1512" s="524" t="s">
        <v>2138</v>
      </c>
      <c r="F1512" s="524" t="s">
        <v>1183</v>
      </c>
      <c r="G1512" s="524" t="s">
        <v>800</v>
      </c>
      <c r="H1512" s="527">
        <v>410</v>
      </c>
      <c r="I1512" s="524" t="s">
        <v>1174</v>
      </c>
      <c r="J1512" s="524">
        <f>IF(cmf[[#This Row],[D/C]]="C",cmf[[#This Row],[Valor]],-1*cmf[[#This Row],[Valor]])</f>
        <v>-410</v>
      </c>
      <c r="L1512" s="524" t="s">
        <v>1188</v>
      </c>
      <c r="M1512" s="524" t="s">
        <v>1189</v>
      </c>
      <c r="N1512" s="524" t="s">
        <v>1171</v>
      </c>
      <c r="O1512" s="524" t="s">
        <v>1172</v>
      </c>
      <c r="P1512" s="526">
        <v>46223</v>
      </c>
      <c r="S1512" s="527">
        <v>0</v>
      </c>
    </row>
    <row r="1513" spans="1:19" x14ac:dyDescent="0.2">
      <c r="A1513" s="524">
        <v>69955</v>
      </c>
      <c r="B1513" s="526">
        <v>46223</v>
      </c>
      <c r="C1513" s="524" t="s">
        <v>1148</v>
      </c>
      <c r="D1513" s="524" t="s">
        <v>1186</v>
      </c>
      <c r="E1513" s="524" t="s">
        <v>2139</v>
      </c>
      <c r="F1513" s="524" t="s">
        <v>1183</v>
      </c>
      <c r="G1513" s="524" t="s">
        <v>800</v>
      </c>
      <c r="H1513" s="527">
        <v>365</v>
      </c>
      <c r="I1513" s="524" t="s">
        <v>1174</v>
      </c>
      <c r="J1513" s="524">
        <f>IF(cmf[[#This Row],[D/C]]="C",cmf[[#This Row],[Valor]],-1*cmf[[#This Row],[Valor]])</f>
        <v>-365</v>
      </c>
      <c r="L1513" s="524" t="s">
        <v>1188</v>
      </c>
      <c r="M1513" s="524" t="s">
        <v>1189</v>
      </c>
      <c r="N1513" s="524" t="s">
        <v>1171</v>
      </c>
      <c r="O1513" s="524" t="s">
        <v>1172</v>
      </c>
      <c r="P1513" s="526">
        <v>46223</v>
      </c>
      <c r="S1513" s="527">
        <v>0</v>
      </c>
    </row>
    <row r="1514" spans="1:19" x14ac:dyDescent="0.2">
      <c r="A1514" s="524">
        <v>69956</v>
      </c>
      <c r="B1514" s="526">
        <v>46223</v>
      </c>
      <c r="C1514" s="524" t="s">
        <v>1148</v>
      </c>
      <c r="D1514" s="524" t="s">
        <v>1186</v>
      </c>
      <c r="E1514" s="524" t="s">
        <v>2140</v>
      </c>
      <c r="F1514" s="524" t="s">
        <v>1183</v>
      </c>
      <c r="G1514" s="524" t="s">
        <v>800</v>
      </c>
      <c r="H1514" s="527">
        <v>322.5</v>
      </c>
      <c r="I1514" s="524" t="s">
        <v>1174</v>
      </c>
      <c r="J1514" s="524">
        <f>IF(cmf[[#This Row],[D/C]]="C",cmf[[#This Row],[Valor]],-1*cmf[[#This Row],[Valor]])</f>
        <v>-322.5</v>
      </c>
      <c r="L1514" s="524" t="s">
        <v>1188</v>
      </c>
      <c r="M1514" s="524" t="s">
        <v>1189</v>
      </c>
      <c r="N1514" s="524" t="s">
        <v>1171</v>
      </c>
      <c r="O1514" s="524" t="s">
        <v>1172</v>
      </c>
      <c r="P1514" s="526">
        <v>46223</v>
      </c>
      <c r="S1514" s="527">
        <v>0</v>
      </c>
    </row>
    <row r="1515" spans="1:19" x14ac:dyDescent="0.2">
      <c r="A1515" s="524">
        <v>69957</v>
      </c>
      <c r="B1515" s="526">
        <v>46223</v>
      </c>
      <c r="C1515" s="524" t="s">
        <v>1148</v>
      </c>
      <c r="D1515" s="524" t="s">
        <v>1186</v>
      </c>
      <c r="E1515" s="524" t="s">
        <v>2141</v>
      </c>
      <c r="F1515" s="524" t="s">
        <v>1183</v>
      </c>
      <c r="G1515" s="524" t="s">
        <v>800</v>
      </c>
      <c r="H1515" s="527">
        <v>300</v>
      </c>
      <c r="I1515" s="524" t="s">
        <v>1174</v>
      </c>
      <c r="J1515" s="524">
        <f>IF(cmf[[#This Row],[D/C]]="C",cmf[[#This Row],[Valor]],-1*cmf[[#This Row],[Valor]])</f>
        <v>-300</v>
      </c>
      <c r="L1515" s="524" t="s">
        <v>1188</v>
      </c>
      <c r="M1515" s="524" t="s">
        <v>1189</v>
      </c>
      <c r="N1515" s="524" t="s">
        <v>1171</v>
      </c>
      <c r="O1515" s="524" t="s">
        <v>1172</v>
      </c>
      <c r="P1515" s="526">
        <v>46223</v>
      </c>
      <c r="S1515" s="527">
        <v>0</v>
      </c>
    </row>
    <row r="1516" spans="1:19" x14ac:dyDescent="0.2">
      <c r="A1516" s="524">
        <v>69958</v>
      </c>
      <c r="B1516" s="526">
        <v>46223</v>
      </c>
      <c r="C1516" s="524" t="s">
        <v>1148</v>
      </c>
      <c r="D1516" s="524" t="s">
        <v>1186</v>
      </c>
      <c r="E1516" s="524" t="s">
        <v>2142</v>
      </c>
      <c r="F1516" s="524" t="s">
        <v>1183</v>
      </c>
      <c r="G1516" s="524" t="s">
        <v>800</v>
      </c>
      <c r="H1516" s="527">
        <v>288</v>
      </c>
      <c r="I1516" s="524" t="s">
        <v>1174</v>
      </c>
      <c r="J1516" s="524">
        <f>IF(cmf[[#This Row],[D/C]]="C",cmf[[#This Row],[Valor]],-1*cmf[[#This Row],[Valor]])</f>
        <v>-288</v>
      </c>
      <c r="L1516" s="524" t="s">
        <v>1188</v>
      </c>
      <c r="M1516" s="524" t="s">
        <v>1189</v>
      </c>
      <c r="N1516" s="524" t="s">
        <v>1171</v>
      </c>
      <c r="O1516" s="524" t="s">
        <v>1172</v>
      </c>
      <c r="P1516" s="526">
        <v>46223</v>
      </c>
      <c r="S1516" s="527">
        <v>0</v>
      </c>
    </row>
    <row r="1517" spans="1:19" x14ac:dyDescent="0.2">
      <c r="A1517" s="524">
        <v>69959</v>
      </c>
      <c r="B1517" s="526">
        <v>46223</v>
      </c>
      <c r="C1517" s="524" t="s">
        <v>1148</v>
      </c>
      <c r="D1517" s="524" t="s">
        <v>1186</v>
      </c>
      <c r="E1517" s="524" t="s">
        <v>2143</v>
      </c>
      <c r="F1517" s="524" t="s">
        <v>1183</v>
      </c>
      <c r="G1517" s="524" t="s">
        <v>800</v>
      </c>
      <c r="H1517" s="527">
        <v>265.45</v>
      </c>
      <c r="I1517" s="524" t="s">
        <v>1174</v>
      </c>
      <c r="J1517" s="524">
        <f>IF(cmf[[#This Row],[D/C]]="C",cmf[[#This Row],[Valor]],-1*cmf[[#This Row],[Valor]])</f>
        <v>-265.45</v>
      </c>
      <c r="L1517" s="524" t="s">
        <v>1188</v>
      </c>
      <c r="M1517" s="524" t="s">
        <v>1189</v>
      </c>
      <c r="N1517" s="524" t="s">
        <v>1171</v>
      </c>
      <c r="O1517" s="524" t="s">
        <v>1172</v>
      </c>
      <c r="P1517" s="526">
        <v>46223</v>
      </c>
      <c r="S1517" s="527">
        <v>0</v>
      </c>
    </row>
    <row r="1518" spans="1:19" x14ac:dyDescent="0.2">
      <c r="A1518" s="524">
        <v>69960</v>
      </c>
      <c r="B1518" s="526">
        <v>46223</v>
      </c>
      <c r="C1518" s="524" t="s">
        <v>1148</v>
      </c>
      <c r="D1518" s="524" t="s">
        <v>1186</v>
      </c>
      <c r="E1518" s="524" t="s">
        <v>2144</v>
      </c>
      <c r="F1518" s="524" t="s">
        <v>1183</v>
      </c>
      <c r="G1518" s="524" t="s">
        <v>800</v>
      </c>
      <c r="H1518" s="527">
        <v>261.24</v>
      </c>
      <c r="I1518" s="524" t="s">
        <v>1174</v>
      </c>
      <c r="J1518" s="524">
        <f>IF(cmf[[#This Row],[D/C]]="C",cmf[[#This Row],[Valor]],-1*cmf[[#This Row],[Valor]])</f>
        <v>-261.24</v>
      </c>
      <c r="L1518" s="524" t="s">
        <v>1188</v>
      </c>
      <c r="M1518" s="524" t="s">
        <v>1189</v>
      </c>
      <c r="N1518" s="524" t="s">
        <v>1171</v>
      </c>
      <c r="O1518" s="524" t="s">
        <v>1172</v>
      </c>
      <c r="P1518" s="526">
        <v>46223</v>
      </c>
      <c r="S1518" s="527">
        <v>0</v>
      </c>
    </row>
    <row r="1519" spans="1:19" x14ac:dyDescent="0.2">
      <c r="A1519" s="524">
        <v>69961</v>
      </c>
      <c r="B1519" s="526">
        <v>46223</v>
      </c>
      <c r="C1519" s="524" t="s">
        <v>1148</v>
      </c>
      <c r="D1519" s="524" t="s">
        <v>1186</v>
      </c>
      <c r="E1519" s="524" t="s">
        <v>2145</v>
      </c>
      <c r="F1519" s="524" t="s">
        <v>1183</v>
      </c>
      <c r="G1519" s="524" t="s">
        <v>800</v>
      </c>
      <c r="H1519" s="527">
        <v>233</v>
      </c>
      <c r="I1519" s="524" t="s">
        <v>1174</v>
      </c>
      <c r="J1519" s="524">
        <f>IF(cmf[[#This Row],[D/C]]="C",cmf[[#This Row],[Valor]],-1*cmf[[#This Row],[Valor]])</f>
        <v>-233</v>
      </c>
      <c r="L1519" s="524" t="s">
        <v>1188</v>
      </c>
      <c r="M1519" s="524" t="s">
        <v>1189</v>
      </c>
      <c r="N1519" s="524" t="s">
        <v>1171</v>
      </c>
      <c r="O1519" s="524" t="s">
        <v>1172</v>
      </c>
      <c r="P1519" s="526">
        <v>46223</v>
      </c>
      <c r="S1519" s="527">
        <v>0</v>
      </c>
    </row>
    <row r="1520" spans="1:19" x14ac:dyDescent="0.2">
      <c r="A1520" s="524">
        <v>69962</v>
      </c>
      <c r="B1520" s="526">
        <v>46223</v>
      </c>
      <c r="C1520" s="524" t="s">
        <v>1148</v>
      </c>
      <c r="D1520" s="524" t="s">
        <v>1186</v>
      </c>
      <c r="E1520" s="524" t="s">
        <v>2146</v>
      </c>
      <c r="F1520" s="524" t="s">
        <v>1183</v>
      </c>
      <c r="G1520" s="524" t="s">
        <v>800</v>
      </c>
      <c r="H1520" s="527">
        <v>220</v>
      </c>
      <c r="I1520" s="524" t="s">
        <v>1174</v>
      </c>
      <c r="J1520" s="524">
        <f>IF(cmf[[#This Row],[D/C]]="C",cmf[[#This Row],[Valor]],-1*cmf[[#This Row],[Valor]])</f>
        <v>-220</v>
      </c>
      <c r="L1520" s="524" t="s">
        <v>1188</v>
      </c>
      <c r="M1520" s="524" t="s">
        <v>1189</v>
      </c>
      <c r="N1520" s="524" t="s">
        <v>1171</v>
      </c>
      <c r="O1520" s="524" t="s">
        <v>1172</v>
      </c>
      <c r="P1520" s="526">
        <v>46223</v>
      </c>
      <c r="S1520" s="527">
        <v>0</v>
      </c>
    </row>
    <row r="1521" spans="1:19" x14ac:dyDescent="0.2">
      <c r="A1521" s="524">
        <v>69963</v>
      </c>
      <c r="B1521" s="526">
        <v>46223</v>
      </c>
      <c r="C1521" s="524" t="s">
        <v>1148</v>
      </c>
      <c r="D1521" s="524" t="s">
        <v>1186</v>
      </c>
      <c r="E1521" s="524" t="s">
        <v>2147</v>
      </c>
      <c r="F1521" s="524" t="s">
        <v>1183</v>
      </c>
      <c r="G1521" s="524" t="s">
        <v>800</v>
      </c>
      <c r="H1521" s="527">
        <v>220</v>
      </c>
      <c r="I1521" s="524" t="s">
        <v>1174</v>
      </c>
      <c r="J1521" s="524">
        <f>IF(cmf[[#This Row],[D/C]]="C",cmf[[#This Row],[Valor]],-1*cmf[[#This Row],[Valor]])</f>
        <v>-220</v>
      </c>
      <c r="L1521" s="524" t="s">
        <v>1188</v>
      </c>
      <c r="M1521" s="524" t="s">
        <v>1189</v>
      </c>
      <c r="N1521" s="524" t="s">
        <v>1171</v>
      </c>
      <c r="O1521" s="524" t="s">
        <v>1172</v>
      </c>
      <c r="P1521" s="526">
        <v>46223</v>
      </c>
      <c r="S1521" s="527">
        <v>0</v>
      </c>
    </row>
    <row r="1522" spans="1:19" x14ac:dyDescent="0.2">
      <c r="A1522" s="524">
        <v>69964</v>
      </c>
      <c r="B1522" s="526">
        <v>46223</v>
      </c>
      <c r="C1522" s="524" t="s">
        <v>1148</v>
      </c>
      <c r="D1522" s="524" t="s">
        <v>1186</v>
      </c>
      <c r="E1522" s="524" t="s">
        <v>2148</v>
      </c>
      <c r="F1522" s="524" t="s">
        <v>1183</v>
      </c>
      <c r="G1522" s="524" t="s">
        <v>800</v>
      </c>
      <c r="H1522" s="527">
        <v>200</v>
      </c>
      <c r="I1522" s="524" t="s">
        <v>1174</v>
      </c>
      <c r="J1522" s="524">
        <f>IF(cmf[[#This Row],[D/C]]="C",cmf[[#This Row],[Valor]],-1*cmf[[#This Row],[Valor]])</f>
        <v>-200</v>
      </c>
      <c r="L1522" s="524" t="s">
        <v>1188</v>
      </c>
      <c r="M1522" s="524" t="s">
        <v>1189</v>
      </c>
      <c r="N1522" s="524" t="s">
        <v>1171</v>
      </c>
      <c r="O1522" s="524" t="s">
        <v>1172</v>
      </c>
      <c r="P1522" s="526">
        <v>46223</v>
      </c>
      <c r="S1522" s="527">
        <v>0</v>
      </c>
    </row>
    <row r="1523" spans="1:19" x14ac:dyDescent="0.2">
      <c r="A1523" s="524">
        <v>69965</v>
      </c>
      <c r="B1523" s="526">
        <v>46223</v>
      </c>
      <c r="C1523" s="524" t="s">
        <v>1148</v>
      </c>
      <c r="D1523" s="524" t="s">
        <v>1186</v>
      </c>
      <c r="E1523" s="524" t="s">
        <v>2149</v>
      </c>
      <c r="F1523" s="524" t="s">
        <v>1183</v>
      </c>
      <c r="G1523" s="524" t="s">
        <v>800</v>
      </c>
      <c r="H1523" s="527">
        <v>194.5</v>
      </c>
      <c r="I1523" s="524" t="s">
        <v>1174</v>
      </c>
      <c r="J1523" s="524">
        <f>IF(cmf[[#This Row],[D/C]]="C",cmf[[#This Row],[Valor]],-1*cmf[[#This Row],[Valor]])</f>
        <v>-194.5</v>
      </c>
      <c r="L1523" s="524" t="s">
        <v>1188</v>
      </c>
      <c r="M1523" s="524" t="s">
        <v>1189</v>
      </c>
      <c r="N1523" s="524" t="s">
        <v>1171</v>
      </c>
      <c r="O1523" s="524" t="s">
        <v>1172</v>
      </c>
      <c r="P1523" s="526">
        <v>46223</v>
      </c>
      <c r="S1523" s="527">
        <v>0</v>
      </c>
    </row>
    <row r="1524" spans="1:19" x14ac:dyDescent="0.2">
      <c r="A1524" s="524">
        <v>69966</v>
      </c>
      <c r="B1524" s="526">
        <v>46223</v>
      </c>
      <c r="C1524" s="524" t="s">
        <v>1148</v>
      </c>
      <c r="D1524" s="524" t="s">
        <v>1186</v>
      </c>
      <c r="E1524" s="524" t="s">
        <v>2150</v>
      </c>
      <c r="F1524" s="524" t="s">
        <v>1183</v>
      </c>
      <c r="G1524" s="524" t="s">
        <v>800</v>
      </c>
      <c r="H1524" s="527">
        <v>140</v>
      </c>
      <c r="I1524" s="524" t="s">
        <v>1174</v>
      </c>
      <c r="J1524" s="524">
        <f>IF(cmf[[#This Row],[D/C]]="C",cmf[[#This Row],[Valor]],-1*cmf[[#This Row],[Valor]])</f>
        <v>-140</v>
      </c>
      <c r="L1524" s="524" t="s">
        <v>1188</v>
      </c>
      <c r="M1524" s="524" t="s">
        <v>1189</v>
      </c>
      <c r="N1524" s="524" t="s">
        <v>1171</v>
      </c>
      <c r="O1524" s="524" t="s">
        <v>1172</v>
      </c>
      <c r="P1524" s="526">
        <v>46223</v>
      </c>
      <c r="S1524" s="527">
        <v>0</v>
      </c>
    </row>
    <row r="1525" spans="1:19" x14ac:dyDescent="0.2">
      <c r="A1525" s="524">
        <v>69967</v>
      </c>
      <c r="B1525" s="526">
        <v>46223</v>
      </c>
      <c r="C1525" s="524" t="s">
        <v>1148</v>
      </c>
      <c r="D1525" s="524" t="s">
        <v>1186</v>
      </c>
      <c r="E1525" s="524" t="s">
        <v>2151</v>
      </c>
      <c r="F1525" s="524" t="s">
        <v>1183</v>
      </c>
      <c r="G1525" s="524" t="s">
        <v>766</v>
      </c>
      <c r="H1525" s="527">
        <v>2100</v>
      </c>
      <c r="I1525" s="524" t="s">
        <v>1174</v>
      </c>
      <c r="J1525" s="524">
        <f>IF(cmf[[#This Row],[D/C]]="C",cmf[[#This Row],[Valor]],-1*cmf[[#This Row],[Valor]])</f>
        <v>-2100</v>
      </c>
      <c r="L1525" s="524" t="s">
        <v>1188</v>
      </c>
      <c r="M1525" s="524" t="s">
        <v>1189</v>
      </c>
      <c r="N1525" s="524" t="s">
        <v>1200</v>
      </c>
      <c r="O1525" s="524" t="s">
        <v>1201</v>
      </c>
      <c r="P1525" s="526">
        <v>46223</v>
      </c>
      <c r="S1525" s="527">
        <v>0</v>
      </c>
    </row>
    <row r="1526" spans="1:19" x14ac:dyDescent="0.2">
      <c r="A1526" s="524">
        <v>69968</v>
      </c>
      <c r="B1526" s="526">
        <v>46223</v>
      </c>
      <c r="C1526" s="524" t="s">
        <v>1148</v>
      </c>
      <c r="D1526" s="524" t="s">
        <v>1186</v>
      </c>
      <c r="E1526" s="524" t="s">
        <v>2152</v>
      </c>
      <c r="F1526" s="524" t="s">
        <v>1183</v>
      </c>
      <c r="G1526" s="524" t="s">
        <v>766</v>
      </c>
      <c r="H1526" s="527">
        <v>1900</v>
      </c>
      <c r="I1526" s="524" t="s">
        <v>1174</v>
      </c>
      <c r="J1526" s="524">
        <f>IF(cmf[[#This Row],[D/C]]="C",cmf[[#This Row],[Valor]],-1*cmf[[#This Row],[Valor]])</f>
        <v>-1900</v>
      </c>
      <c r="L1526" s="524" t="s">
        <v>1188</v>
      </c>
      <c r="M1526" s="524" t="s">
        <v>1189</v>
      </c>
      <c r="N1526" s="524" t="s">
        <v>1200</v>
      </c>
      <c r="O1526" s="524" t="s">
        <v>1201</v>
      </c>
      <c r="P1526" s="526">
        <v>46223</v>
      </c>
      <c r="S1526" s="527">
        <v>0</v>
      </c>
    </row>
    <row r="1527" spans="1:19" x14ac:dyDescent="0.2">
      <c r="A1527" s="524">
        <v>69969</v>
      </c>
      <c r="B1527" s="526">
        <v>46223</v>
      </c>
      <c r="C1527" s="524" t="s">
        <v>1148</v>
      </c>
      <c r="D1527" s="524" t="s">
        <v>1186</v>
      </c>
      <c r="E1527" s="524" t="s">
        <v>2153</v>
      </c>
      <c r="F1527" s="524" t="s">
        <v>1183</v>
      </c>
      <c r="G1527" s="524" t="s">
        <v>766</v>
      </c>
      <c r="H1527" s="527">
        <v>1643.5</v>
      </c>
      <c r="I1527" s="524" t="s">
        <v>1174</v>
      </c>
      <c r="J1527" s="524">
        <f>IF(cmf[[#This Row],[D/C]]="C",cmf[[#This Row],[Valor]],-1*cmf[[#This Row],[Valor]])</f>
        <v>-1643.5</v>
      </c>
      <c r="L1527" s="524" t="s">
        <v>1188</v>
      </c>
      <c r="M1527" s="524" t="s">
        <v>1189</v>
      </c>
      <c r="N1527" s="524" t="s">
        <v>1200</v>
      </c>
      <c r="O1527" s="524" t="s">
        <v>1201</v>
      </c>
      <c r="P1527" s="526">
        <v>46223</v>
      </c>
      <c r="S1527" s="527">
        <v>0</v>
      </c>
    </row>
    <row r="1528" spans="1:19" x14ac:dyDescent="0.2">
      <c r="A1528" s="524">
        <v>69970</v>
      </c>
      <c r="B1528" s="526">
        <v>46223</v>
      </c>
      <c r="C1528" s="524" t="s">
        <v>1148</v>
      </c>
      <c r="D1528" s="524" t="s">
        <v>1186</v>
      </c>
      <c r="E1528" s="524" t="s">
        <v>2154</v>
      </c>
      <c r="F1528" s="524" t="s">
        <v>1183</v>
      </c>
      <c r="G1528" s="524" t="s">
        <v>803</v>
      </c>
      <c r="H1528" s="527">
        <v>6804</v>
      </c>
      <c r="I1528" s="524" t="s">
        <v>1174</v>
      </c>
      <c r="J1528" s="524">
        <f>IF(cmf[[#This Row],[D/C]]="C",cmf[[#This Row],[Valor]],-1*cmf[[#This Row],[Valor]])</f>
        <v>-6804</v>
      </c>
      <c r="L1528" s="524" t="s">
        <v>1188</v>
      </c>
      <c r="M1528" s="524" t="s">
        <v>1189</v>
      </c>
      <c r="N1528" s="524" t="s">
        <v>1192</v>
      </c>
      <c r="O1528" s="524" t="s">
        <v>1193</v>
      </c>
      <c r="P1528" s="526">
        <v>46223</v>
      </c>
      <c r="S1528" s="527">
        <v>0</v>
      </c>
    </row>
    <row r="1529" spans="1:19" x14ac:dyDescent="0.2">
      <c r="A1529" s="524">
        <v>69971</v>
      </c>
      <c r="B1529" s="526">
        <v>46223</v>
      </c>
      <c r="C1529" s="524" t="s">
        <v>1148</v>
      </c>
      <c r="D1529" s="524" t="s">
        <v>1186</v>
      </c>
      <c r="E1529" s="524" t="s">
        <v>2155</v>
      </c>
      <c r="F1529" s="524" t="s">
        <v>1183</v>
      </c>
      <c r="G1529" s="524" t="s">
        <v>803</v>
      </c>
      <c r="H1529" s="527">
        <v>6420</v>
      </c>
      <c r="I1529" s="524" t="s">
        <v>1174</v>
      </c>
      <c r="J1529" s="524">
        <f>IF(cmf[[#This Row],[D/C]]="C",cmf[[#This Row],[Valor]],-1*cmf[[#This Row],[Valor]])</f>
        <v>-6420</v>
      </c>
      <c r="L1529" s="524" t="s">
        <v>1188</v>
      </c>
      <c r="M1529" s="524" t="s">
        <v>1189</v>
      </c>
      <c r="N1529" s="524" t="s">
        <v>1192</v>
      </c>
      <c r="O1529" s="524" t="s">
        <v>1193</v>
      </c>
      <c r="P1529" s="526">
        <v>46223</v>
      </c>
      <c r="S1529" s="527">
        <v>0</v>
      </c>
    </row>
    <row r="1530" spans="1:19" x14ac:dyDescent="0.2">
      <c r="A1530" s="524">
        <v>69972</v>
      </c>
      <c r="B1530" s="526">
        <v>46223</v>
      </c>
      <c r="C1530" s="524" t="s">
        <v>1148</v>
      </c>
      <c r="D1530" s="524" t="s">
        <v>1186</v>
      </c>
      <c r="E1530" s="524" t="s">
        <v>2156</v>
      </c>
      <c r="F1530" s="524" t="s">
        <v>1183</v>
      </c>
      <c r="G1530" s="524" t="s">
        <v>803</v>
      </c>
      <c r="H1530" s="527">
        <v>3015</v>
      </c>
      <c r="I1530" s="524" t="s">
        <v>1174</v>
      </c>
      <c r="J1530" s="524">
        <f>IF(cmf[[#This Row],[D/C]]="C",cmf[[#This Row],[Valor]],-1*cmf[[#This Row],[Valor]])</f>
        <v>-3015</v>
      </c>
      <c r="L1530" s="524" t="s">
        <v>1188</v>
      </c>
      <c r="M1530" s="524" t="s">
        <v>1189</v>
      </c>
      <c r="N1530" s="524" t="s">
        <v>1192</v>
      </c>
      <c r="O1530" s="524" t="s">
        <v>1193</v>
      </c>
      <c r="P1530" s="526">
        <v>46223</v>
      </c>
      <c r="S1530" s="527">
        <v>0</v>
      </c>
    </row>
    <row r="1531" spans="1:19" x14ac:dyDescent="0.2">
      <c r="A1531" s="524">
        <v>69973</v>
      </c>
      <c r="B1531" s="526">
        <v>46223</v>
      </c>
      <c r="C1531" s="524" t="s">
        <v>1148</v>
      </c>
      <c r="D1531" s="524" t="s">
        <v>1186</v>
      </c>
      <c r="E1531" s="524" t="s">
        <v>2157</v>
      </c>
      <c r="F1531" s="524" t="s">
        <v>1183</v>
      </c>
      <c r="G1531" s="524" t="s">
        <v>803</v>
      </c>
      <c r="H1531" s="527">
        <v>2100.0100000000002</v>
      </c>
      <c r="I1531" s="524" t="s">
        <v>1174</v>
      </c>
      <c r="J1531" s="524">
        <f>IF(cmf[[#This Row],[D/C]]="C",cmf[[#This Row],[Valor]],-1*cmf[[#This Row],[Valor]])</f>
        <v>-2100.0100000000002</v>
      </c>
      <c r="L1531" s="524" t="s">
        <v>1188</v>
      </c>
      <c r="M1531" s="524" t="s">
        <v>1189</v>
      </c>
      <c r="N1531" s="524" t="s">
        <v>1192</v>
      </c>
      <c r="O1531" s="524" t="s">
        <v>1193</v>
      </c>
      <c r="P1531" s="526">
        <v>46223</v>
      </c>
      <c r="S1531" s="527">
        <v>0</v>
      </c>
    </row>
    <row r="1532" spans="1:19" x14ac:dyDescent="0.2">
      <c r="A1532" s="524">
        <v>69974</v>
      </c>
      <c r="B1532" s="526">
        <v>46223</v>
      </c>
      <c r="C1532" s="524" t="s">
        <v>1148</v>
      </c>
      <c r="D1532" s="524" t="s">
        <v>1186</v>
      </c>
      <c r="E1532" s="524" t="s">
        <v>2158</v>
      </c>
      <c r="F1532" s="524" t="s">
        <v>1183</v>
      </c>
      <c r="G1532" s="524" t="s">
        <v>803</v>
      </c>
      <c r="H1532" s="527">
        <v>2100</v>
      </c>
      <c r="I1532" s="524" t="s">
        <v>1174</v>
      </c>
      <c r="J1532" s="524">
        <f>IF(cmf[[#This Row],[D/C]]="C",cmf[[#This Row],[Valor]],-1*cmf[[#This Row],[Valor]])</f>
        <v>-2100</v>
      </c>
      <c r="L1532" s="524" t="s">
        <v>1188</v>
      </c>
      <c r="M1532" s="524" t="s">
        <v>1189</v>
      </c>
      <c r="N1532" s="524" t="s">
        <v>1192</v>
      </c>
      <c r="O1532" s="524" t="s">
        <v>1193</v>
      </c>
      <c r="P1532" s="526">
        <v>46223</v>
      </c>
      <c r="S1532" s="527">
        <v>0</v>
      </c>
    </row>
    <row r="1533" spans="1:19" x14ac:dyDescent="0.2">
      <c r="A1533" s="524">
        <v>69975</v>
      </c>
      <c r="B1533" s="526">
        <v>46223</v>
      </c>
      <c r="C1533" s="524" t="s">
        <v>1148</v>
      </c>
      <c r="D1533" s="524" t="s">
        <v>1186</v>
      </c>
      <c r="E1533" s="524" t="s">
        <v>2159</v>
      </c>
      <c r="F1533" s="524" t="s">
        <v>1183</v>
      </c>
      <c r="G1533" s="524" t="s">
        <v>803</v>
      </c>
      <c r="H1533" s="527">
        <v>1900</v>
      </c>
      <c r="I1533" s="524" t="s">
        <v>1174</v>
      </c>
      <c r="J1533" s="524">
        <f>IF(cmf[[#This Row],[D/C]]="C",cmf[[#This Row],[Valor]],-1*cmf[[#This Row],[Valor]])</f>
        <v>-1900</v>
      </c>
      <c r="L1533" s="524" t="s">
        <v>1188</v>
      </c>
      <c r="M1533" s="524" t="s">
        <v>1189</v>
      </c>
      <c r="N1533" s="524" t="s">
        <v>1192</v>
      </c>
      <c r="O1533" s="524" t="s">
        <v>1193</v>
      </c>
      <c r="P1533" s="526">
        <v>46223</v>
      </c>
      <c r="S1533" s="527">
        <v>0</v>
      </c>
    </row>
    <row r="1534" spans="1:19" x14ac:dyDescent="0.2">
      <c r="A1534" s="524">
        <v>69976</v>
      </c>
      <c r="B1534" s="526">
        <v>46223</v>
      </c>
      <c r="C1534" s="524" t="s">
        <v>1148</v>
      </c>
      <c r="D1534" s="524" t="s">
        <v>1186</v>
      </c>
      <c r="E1534" s="524" t="s">
        <v>2160</v>
      </c>
      <c r="F1534" s="524" t="s">
        <v>1183</v>
      </c>
      <c r="G1534" s="524" t="s">
        <v>803</v>
      </c>
      <c r="H1534" s="527">
        <v>1680</v>
      </c>
      <c r="I1534" s="524" t="s">
        <v>1174</v>
      </c>
      <c r="J1534" s="524">
        <f>IF(cmf[[#This Row],[D/C]]="C",cmf[[#This Row],[Valor]],-1*cmf[[#This Row],[Valor]])</f>
        <v>-1680</v>
      </c>
      <c r="L1534" s="524" t="s">
        <v>1188</v>
      </c>
      <c r="M1534" s="524" t="s">
        <v>1189</v>
      </c>
      <c r="N1534" s="524" t="s">
        <v>1192</v>
      </c>
      <c r="O1534" s="524" t="s">
        <v>1193</v>
      </c>
      <c r="P1534" s="526">
        <v>46223</v>
      </c>
      <c r="S1534" s="527">
        <v>0</v>
      </c>
    </row>
    <row r="1535" spans="1:19" x14ac:dyDescent="0.2">
      <c r="A1535" s="524">
        <v>69977</v>
      </c>
      <c r="B1535" s="526">
        <v>46223</v>
      </c>
      <c r="C1535" s="524" t="s">
        <v>1148</v>
      </c>
      <c r="D1535" s="524" t="s">
        <v>1186</v>
      </c>
      <c r="E1535" s="524" t="s">
        <v>2161</v>
      </c>
      <c r="F1535" s="524" t="s">
        <v>1183</v>
      </c>
      <c r="G1535" s="524" t="s">
        <v>803</v>
      </c>
      <c r="H1535" s="527">
        <v>1380</v>
      </c>
      <c r="I1535" s="524" t="s">
        <v>1174</v>
      </c>
      <c r="J1535" s="524">
        <f>IF(cmf[[#This Row],[D/C]]="C",cmf[[#This Row],[Valor]],-1*cmf[[#This Row],[Valor]])</f>
        <v>-1380</v>
      </c>
      <c r="L1535" s="524" t="s">
        <v>1188</v>
      </c>
      <c r="M1535" s="524" t="s">
        <v>1189</v>
      </c>
      <c r="N1535" s="524" t="s">
        <v>1192</v>
      </c>
      <c r="O1535" s="524" t="s">
        <v>1193</v>
      </c>
      <c r="P1535" s="526">
        <v>46223</v>
      </c>
      <c r="S1535" s="527">
        <v>0</v>
      </c>
    </row>
    <row r="1536" spans="1:19" x14ac:dyDescent="0.2">
      <c r="A1536" s="524">
        <v>69978</v>
      </c>
      <c r="B1536" s="526">
        <v>46223</v>
      </c>
      <c r="C1536" s="524" t="s">
        <v>1148</v>
      </c>
      <c r="D1536" s="524" t="s">
        <v>1186</v>
      </c>
      <c r="E1536" s="524" t="s">
        <v>2162</v>
      </c>
      <c r="F1536" s="524" t="s">
        <v>1183</v>
      </c>
      <c r="G1536" s="524" t="s">
        <v>803</v>
      </c>
      <c r="H1536" s="527">
        <v>1200</v>
      </c>
      <c r="I1536" s="524" t="s">
        <v>1174</v>
      </c>
      <c r="J1536" s="524">
        <f>IF(cmf[[#This Row],[D/C]]="C",cmf[[#This Row],[Valor]],-1*cmf[[#This Row],[Valor]])</f>
        <v>-1200</v>
      </c>
      <c r="L1536" s="524" t="s">
        <v>1188</v>
      </c>
      <c r="M1536" s="524" t="s">
        <v>1189</v>
      </c>
      <c r="N1536" s="524" t="s">
        <v>1192</v>
      </c>
      <c r="O1536" s="524" t="s">
        <v>1193</v>
      </c>
      <c r="P1536" s="526">
        <v>46223</v>
      </c>
      <c r="S1536" s="527">
        <v>0</v>
      </c>
    </row>
    <row r="1537" spans="1:19" x14ac:dyDescent="0.2">
      <c r="A1537" s="524">
        <v>69979</v>
      </c>
      <c r="B1537" s="526">
        <v>46223</v>
      </c>
      <c r="C1537" s="524" t="s">
        <v>1148</v>
      </c>
      <c r="D1537" s="524" t="s">
        <v>1186</v>
      </c>
      <c r="E1537" s="524" t="s">
        <v>2163</v>
      </c>
      <c r="F1537" s="524" t="s">
        <v>1183</v>
      </c>
      <c r="G1537" s="524" t="s">
        <v>803</v>
      </c>
      <c r="H1537" s="527">
        <v>350</v>
      </c>
      <c r="I1537" s="524" t="s">
        <v>1174</v>
      </c>
      <c r="J1537" s="524">
        <f>IF(cmf[[#This Row],[D/C]]="C",cmf[[#This Row],[Valor]],-1*cmf[[#This Row],[Valor]])</f>
        <v>-350</v>
      </c>
      <c r="L1537" s="524" t="s">
        <v>1188</v>
      </c>
      <c r="M1537" s="524" t="s">
        <v>1189</v>
      </c>
      <c r="N1537" s="524" t="s">
        <v>1192</v>
      </c>
      <c r="O1537" s="524" t="s">
        <v>1193</v>
      </c>
      <c r="P1537" s="526">
        <v>46223</v>
      </c>
      <c r="S1537" s="527">
        <v>0</v>
      </c>
    </row>
    <row r="1538" spans="1:19" x14ac:dyDescent="0.2">
      <c r="A1538" s="524">
        <v>69981</v>
      </c>
      <c r="B1538" s="526">
        <v>46223</v>
      </c>
      <c r="C1538" s="524" t="s">
        <v>1148</v>
      </c>
      <c r="D1538" s="524" t="s">
        <v>2164</v>
      </c>
      <c r="E1538" s="524" t="s">
        <v>1164</v>
      </c>
      <c r="F1538" s="524" t="s">
        <v>1183</v>
      </c>
      <c r="G1538" s="524" t="s">
        <v>806</v>
      </c>
      <c r="H1538" s="527">
        <v>153236.1</v>
      </c>
      <c r="I1538" s="524" t="s">
        <v>1148</v>
      </c>
      <c r="J1538" s="524">
        <f>IF(cmf[[#This Row],[D/C]]="C",cmf[[#This Row],[Valor]],-1*cmf[[#This Row],[Valor]])</f>
        <v>153236.1</v>
      </c>
      <c r="L1538" s="524" t="s">
        <v>1166</v>
      </c>
      <c r="M1538" s="524" t="s">
        <v>1167</v>
      </c>
      <c r="N1538" s="524" t="s">
        <v>1283</v>
      </c>
      <c r="O1538" s="524" t="s">
        <v>1284</v>
      </c>
      <c r="P1538" s="526">
        <v>46223</v>
      </c>
      <c r="S1538" s="527">
        <v>0</v>
      </c>
    </row>
    <row r="1539" spans="1:19" x14ac:dyDescent="0.2">
      <c r="A1539" s="524">
        <v>69982</v>
      </c>
      <c r="B1539" s="526">
        <v>46223</v>
      </c>
      <c r="C1539" s="524" t="s">
        <v>1162</v>
      </c>
      <c r="D1539" s="524" t="s">
        <v>2164</v>
      </c>
      <c r="E1539" s="524" t="s">
        <v>1173</v>
      </c>
      <c r="F1539" s="524" t="s">
        <v>1183</v>
      </c>
      <c r="G1539" s="524" t="s">
        <v>806</v>
      </c>
      <c r="H1539" s="527">
        <v>19.71</v>
      </c>
      <c r="I1539" s="524" t="s">
        <v>1174</v>
      </c>
      <c r="J1539" s="524">
        <f>IF(cmf[[#This Row],[D/C]]="C",cmf[[#This Row],[Valor]],-1*cmf[[#This Row],[Valor]])</f>
        <v>-19.71</v>
      </c>
      <c r="L1539" s="524" t="s">
        <v>1175</v>
      </c>
      <c r="M1539" s="524" t="s">
        <v>1176</v>
      </c>
      <c r="N1539" s="524" t="s">
        <v>1283</v>
      </c>
      <c r="O1539" s="524" t="s">
        <v>1284</v>
      </c>
      <c r="P1539" s="526"/>
      <c r="S1539" s="527">
        <v>0</v>
      </c>
    </row>
    <row r="1540" spans="1:19" x14ac:dyDescent="0.2">
      <c r="A1540" s="524">
        <v>69985</v>
      </c>
      <c r="B1540" s="526">
        <v>46223</v>
      </c>
      <c r="C1540" s="524" t="s">
        <v>1162</v>
      </c>
      <c r="D1540" s="524" t="s">
        <v>1163</v>
      </c>
      <c r="E1540" s="524" t="s">
        <v>1173</v>
      </c>
      <c r="F1540" s="524" t="s">
        <v>1170</v>
      </c>
      <c r="G1540" s="524" t="s">
        <v>802</v>
      </c>
      <c r="H1540" s="527">
        <v>13.5</v>
      </c>
      <c r="I1540" s="524" t="s">
        <v>1174</v>
      </c>
      <c r="J1540" s="524">
        <f>IF(cmf[[#This Row],[D/C]]="C",cmf[[#This Row],[Valor]],-1*cmf[[#This Row],[Valor]])</f>
        <v>-13.5</v>
      </c>
      <c r="L1540" s="524" t="s">
        <v>1175</v>
      </c>
      <c r="M1540" s="524" t="s">
        <v>1176</v>
      </c>
      <c r="N1540" s="524" t="s">
        <v>1192</v>
      </c>
      <c r="O1540" s="524" t="s">
        <v>1193</v>
      </c>
      <c r="P1540" s="526"/>
      <c r="S1540" s="527">
        <v>0</v>
      </c>
    </row>
    <row r="1541" spans="1:19" x14ac:dyDescent="0.2">
      <c r="A1541" s="524">
        <v>69990</v>
      </c>
      <c r="B1541" s="526">
        <v>46223</v>
      </c>
      <c r="C1541" s="524" t="s">
        <v>1148</v>
      </c>
      <c r="D1541" s="524" t="s">
        <v>1163</v>
      </c>
      <c r="E1541" s="524" t="s">
        <v>1173</v>
      </c>
      <c r="F1541" s="524" t="s">
        <v>1170</v>
      </c>
      <c r="G1541" s="524" t="s">
        <v>740</v>
      </c>
      <c r="H1541" s="527">
        <v>13.5</v>
      </c>
      <c r="I1541" s="524" t="s">
        <v>1174</v>
      </c>
      <c r="J1541" s="524">
        <f>IF(cmf[[#This Row],[D/C]]="C",cmf[[#This Row],[Valor]],-1*cmf[[#This Row],[Valor]])</f>
        <v>-13.5</v>
      </c>
      <c r="L1541" s="524" t="s">
        <v>1175</v>
      </c>
      <c r="M1541" s="524" t="s">
        <v>1176</v>
      </c>
      <c r="N1541" s="524" t="s">
        <v>1215</v>
      </c>
      <c r="O1541" s="524" t="s">
        <v>1218</v>
      </c>
      <c r="P1541" s="526">
        <v>46223</v>
      </c>
      <c r="S1541" s="527">
        <v>0</v>
      </c>
    </row>
    <row r="1542" spans="1:19" x14ac:dyDescent="0.2">
      <c r="A1542" s="524">
        <v>69993</v>
      </c>
      <c r="B1542" s="526">
        <v>46223</v>
      </c>
      <c r="C1542" s="524" t="s">
        <v>1162</v>
      </c>
      <c r="D1542" s="524" t="s">
        <v>1163</v>
      </c>
      <c r="E1542" s="524" t="s">
        <v>1173</v>
      </c>
      <c r="F1542" s="524" t="s">
        <v>1183</v>
      </c>
      <c r="G1542" s="524" t="s">
        <v>796</v>
      </c>
      <c r="H1542" s="527">
        <v>5.3</v>
      </c>
      <c r="I1542" s="524" t="s">
        <v>1174</v>
      </c>
      <c r="J1542" s="524">
        <f>IF(cmf[[#This Row],[D/C]]="C",cmf[[#This Row],[Valor]],-1*cmf[[#This Row],[Valor]])</f>
        <v>-5.3</v>
      </c>
      <c r="L1542" s="524" t="s">
        <v>1175</v>
      </c>
      <c r="M1542" s="524" t="s">
        <v>1176</v>
      </c>
      <c r="N1542" s="524" t="s">
        <v>1184</v>
      </c>
      <c r="O1542" s="524" t="s">
        <v>1172</v>
      </c>
      <c r="P1542" s="526"/>
      <c r="S1542" s="527">
        <v>0</v>
      </c>
    </row>
    <row r="1543" spans="1:19" x14ac:dyDescent="0.2">
      <c r="A1543" s="524">
        <v>69994</v>
      </c>
      <c r="B1543" s="526">
        <v>46223</v>
      </c>
      <c r="C1543" s="524" t="s">
        <v>1148</v>
      </c>
      <c r="D1543" s="524" t="s">
        <v>1163</v>
      </c>
      <c r="E1543" s="524" t="s">
        <v>1173</v>
      </c>
      <c r="F1543" s="524" t="s">
        <v>1170</v>
      </c>
      <c r="G1543" s="524" t="s">
        <v>749</v>
      </c>
      <c r="H1543" s="527">
        <v>4.5</v>
      </c>
      <c r="I1543" s="524" t="s">
        <v>1174</v>
      </c>
      <c r="J1543" s="524">
        <f>IF(cmf[[#This Row],[D/C]]="C",cmf[[#This Row],[Valor]],-1*cmf[[#This Row],[Valor]])</f>
        <v>-4.5</v>
      </c>
      <c r="L1543" s="524" t="s">
        <v>1175</v>
      </c>
      <c r="M1543" s="524" t="s">
        <v>1176</v>
      </c>
      <c r="N1543" s="524" t="s">
        <v>1256</v>
      </c>
      <c r="O1543" s="524" t="s">
        <v>1257</v>
      </c>
      <c r="P1543" s="526">
        <v>46223</v>
      </c>
      <c r="S1543" s="527">
        <v>0</v>
      </c>
    </row>
    <row r="1544" spans="1:19" x14ac:dyDescent="0.2">
      <c r="A1544" s="524">
        <v>69996</v>
      </c>
      <c r="B1544" s="526">
        <v>46223</v>
      </c>
      <c r="C1544" s="524" t="s">
        <v>1162</v>
      </c>
      <c r="D1544" s="524" t="s">
        <v>1186</v>
      </c>
      <c r="E1544" s="524" t="s">
        <v>2165</v>
      </c>
      <c r="F1544" s="524" t="s">
        <v>1170</v>
      </c>
      <c r="G1544" s="524" t="s">
        <v>794</v>
      </c>
      <c r="H1544" s="527">
        <v>31133.21</v>
      </c>
      <c r="I1544" s="524" t="s">
        <v>1174</v>
      </c>
      <c r="J1544" s="524">
        <f>IF(cmf[[#This Row],[D/C]]="C",cmf[[#This Row],[Valor]],-1*cmf[[#This Row],[Valor]])</f>
        <v>-31133.21</v>
      </c>
      <c r="L1544" s="524" t="s">
        <v>1188</v>
      </c>
      <c r="M1544" s="524" t="s">
        <v>1189</v>
      </c>
      <c r="N1544" s="524" t="s">
        <v>1340</v>
      </c>
      <c r="O1544" s="524" t="s">
        <v>1341</v>
      </c>
      <c r="P1544" s="526"/>
      <c r="S1544" s="527">
        <v>0</v>
      </c>
    </row>
    <row r="1545" spans="1:19" x14ac:dyDescent="0.2">
      <c r="A1545" s="524">
        <v>69997</v>
      </c>
      <c r="B1545" s="526">
        <v>46223</v>
      </c>
      <c r="C1545" s="524" t="s">
        <v>1162</v>
      </c>
      <c r="D1545" s="524" t="s">
        <v>1186</v>
      </c>
      <c r="E1545" s="524" t="s">
        <v>2166</v>
      </c>
      <c r="F1545" s="524" t="s">
        <v>1170</v>
      </c>
      <c r="G1545" s="524" t="s">
        <v>794</v>
      </c>
      <c r="H1545" s="527">
        <v>6753.33</v>
      </c>
      <c r="I1545" s="524" t="s">
        <v>1174</v>
      </c>
      <c r="J1545" s="524">
        <f>IF(cmf[[#This Row],[D/C]]="C",cmf[[#This Row],[Valor]],-1*cmf[[#This Row],[Valor]])</f>
        <v>-6753.33</v>
      </c>
      <c r="L1545" s="524" t="s">
        <v>1188</v>
      </c>
      <c r="M1545" s="524" t="s">
        <v>1189</v>
      </c>
      <c r="N1545" s="524" t="s">
        <v>1340</v>
      </c>
      <c r="O1545" s="524" t="s">
        <v>1341</v>
      </c>
      <c r="P1545" s="526"/>
      <c r="S1545" s="527">
        <v>0</v>
      </c>
    </row>
    <row r="1546" spans="1:19" x14ac:dyDescent="0.2">
      <c r="A1546" s="524">
        <v>69998</v>
      </c>
      <c r="B1546" s="526">
        <v>46223</v>
      </c>
      <c r="C1546" s="524" t="s">
        <v>1162</v>
      </c>
      <c r="D1546" s="524" t="s">
        <v>1186</v>
      </c>
      <c r="E1546" s="524" t="s">
        <v>2167</v>
      </c>
      <c r="F1546" s="524" t="s">
        <v>1170</v>
      </c>
      <c r="G1546" s="524" t="s">
        <v>794</v>
      </c>
      <c r="H1546" s="527">
        <v>2278.5</v>
      </c>
      <c r="I1546" s="524" t="s">
        <v>1174</v>
      </c>
      <c r="J1546" s="524">
        <f>IF(cmf[[#This Row],[D/C]]="C",cmf[[#This Row],[Valor]],-1*cmf[[#This Row],[Valor]])</f>
        <v>-2278.5</v>
      </c>
      <c r="L1546" s="524" t="s">
        <v>1188</v>
      </c>
      <c r="M1546" s="524" t="s">
        <v>1189</v>
      </c>
      <c r="N1546" s="524" t="s">
        <v>1340</v>
      </c>
      <c r="O1546" s="524" t="s">
        <v>1341</v>
      </c>
      <c r="P1546" s="526"/>
      <c r="S1546" s="527">
        <v>0</v>
      </c>
    </row>
    <row r="1547" spans="1:19" x14ac:dyDescent="0.2">
      <c r="A1547" s="524">
        <v>70014</v>
      </c>
      <c r="B1547" s="526">
        <v>46223</v>
      </c>
      <c r="C1547" s="524" t="s">
        <v>1162</v>
      </c>
      <c r="D1547" s="524" t="s">
        <v>1226</v>
      </c>
      <c r="E1547" s="524" t="s">
        <v>2168</v>
      </c>
      <c r="F1547" s="524" t="s">
        <v>1328</v>
      </c>
      <c r="G1547" s="524" t="s">
        <v>1229</v>
      </c>
      <c r="H1547" s="527">
        <v>43447.99</v>
      </c>
      <c r="I1547" s="524" t="s">
        <v>1148</v>
      </c>
      <c r="J1547" s="524">
        <f>IF(cmf[[#This Row],[D/C]]="C",cmf[[#This Row],[Valor]],-1*cmf[[#This Row],[Valor]])</f>
        <v>43447.99</v>
      </c>
      <c r="L1547" s="524" t="s">
        <v>1230</v>
      </c>
      <c r="M1547" s="524" t="s">
        <v>1231</v>
      </c>
      <c r="N1547" s="524" t="s">
        <v>1171</v>
      </c>
      <c r="O1547" s="524" t="s">
        <v>1172</v>
      </c>
      <c r="P1547" s="526"/>
      <c r="S1547" s="527">
        <v>0</v>
      </c>
    </row>
    <row r="1548" spans="1:19" x14ac:dyDescent="0.2">
      <c r="A1548" s="524">
        <v>70015</v>
      </c>
      <c r="B1548" s="526">
        <v>46223</v>
      </c>
      <c r="C1548" s="524" t="s">
        <v>1162</v>
      </c>
      <c r="D1548" s="524" t="s">
        <v>1205</v>
      </c>
      <c r="E1548" s="524" t="s">
        <v>1214</v>
      </c>
      <c r="F1548" s="524" t="s">
        <v>1328</v>
      </c>
      <c r="G1548" s="524" t="s">
        <v>1229</v>
      </c>
      <c r="H1548" s="527">
        <v>43447.99</v>
      </c>
      <c r="I1548" s="524" t="s">
        <v>1174</v>
      </c>
      <c r="J1548" s="524">
        <f>IF(cmf[[#This Row],[D/C]]="C",cmf[[#This Row],[Valor]],-1*cmf[[#This Row],[Valor]])</f>
        <v>-43447.99</v>
      </c>
      <c r="L1548" s="524" t="s">
        <v>1207</v>
      </c>
      <c r="M1548" s="524" t="s">
        <v>1208</v>
      </c>
      <c r="N1548" s="524" t="s">
        <v>1171</v>
      </c>
      <c r="O1548" s="524" t="s">
        <v>1172</v>
      </c>
      <c r="P1548" s="526"/>
      <c r="S1548" s="527">
        <v>0</v>
      </c>
    </row>
    <row r="1549" spans="1:19" x14ac:dyDescent="0.2">
      <c r="A1549" s="524">
        <v>70016</v>
      </c>
      <c r="B1549" s="526">
        <v>46223</v>
      </c>
      <c r="C1549" s="524" t="s">
        <v>1148</v>
      </c>
      <c r="D1549" s="524" t="s">
        <v>1205</v>
      </c>
      <c r="E1549" s="524" t="s">
        <v>1330</v>
      </c>
      <c r="F1549" s="524" t="s">
        <v>1183</v>
      </c>
      <c r="G1549" s="524" t="s">
        <v>742</v>
      </c>
      <c r="H1549" s="527">
        <v>43447.99</v>
      </c>
      <c r="I1549" s="524" t="s">
        <v>1148</v>
      </c>
      <c r="J1549" s="524">
        <f>IF(cmf[[#This Row],[D/C]]="C",cmf[[#This Row],[Valor]],-1*cmf[[#This Row],[Valor]])</f>
        <v>43447.99</v>
      </c>
      <c r="L1549" s="524" t="s">
        <v>1207</v>
      </c>
      <c r="M1549" s="524" t="s">
        <v>1208</v>
      </c>
      <c r="N1549" s="524" t="s">
        <v>1215</v>
      </c>
      <c r="O1549" s="524" t="s">
        <v>1218</v>
      </c>
      <c r="P1549" s="526">
        <v>46223</v>
      </c>
      <c r="S1549" s="527">
        <v>0</v>
      </c>
    </row>
    <row r="1550" spans="1:19" x14ac:dyDescent="0.2">
      <c r="A1550" s="524">
        <v>70022</v>
      </c>
      <c r="B1550" s="526">
        <v>46223</v>
      </c>
      <c r="C1550" s="524" t="s">
        <v>1148</v>
      </c>
      <c r="D1550" s="524" t="s">
        <v>1186</v>
      </c>
      <c r="E1550" s="524" t="s">
        <v>2169</v>
      </c>
      <c r="F1550" s="524" t="s">
        <v>1183</v>
      </c>
      <c r="G1550" s="524" t="s">
        <v>769</v>
      </c>
      <c r="H1550" s="527">
        <v>7356</v>
      </c>
      <c r="I1550" s="524" t="s">
        <v>1174</v>
      </c>
      <c r="J1550" s="524">
        <f>IF(cmf[[#This Row],[D/C]]="C",cmf[[#This Row],[Valor]],-1*cmf[[#This Row],[Valor]])</f>
        <v>-7356</v>
      </c>
      <c r="L1550" s="524" t="s">
        <v>1188</v>
      </c>
      <c r="M1550" s="524" t="s">
        <v>1189</v>
      </c>
      <c r="N1550" s="524" t="s">
        <v>1219</v>
      </c>
      <c r="O1550" s="524" t="s">
        <v>1220</v>
      </c>
      <c r="P1550" s="526">
        <v>46223</v>
      </c>
      <c r="S1550" s="527">
        <v>0</v>
      </c>
    </row>
    <row r="1551" spans="1:19" x14ac:dyDescent="0.2">
      <c r="A1551" s="524">
        <v>70023</v>
      </c>
      <c r="B1551" s="526">
        <v>46223</v>
      </c>
      <c r="C1551" s="524" t="s">
        <v>1148</v>
      </c>
      <c r="D1551" s="524" t="s">
        <v>1186</v>
      </c>
      <c r="E1551" s="524" t="s">
        <v>2170</v>
      </c>
      <c r="F1551" s="524" t="s">
        <v>1183</v>
      </c>
      <c r="G1551" s="524" t="s">
        <v>769</v>
      </c>
      <c r="H1551" s="527">
        <v>18913.41</v>
      </c>
      <c r="I1551" s="524" t="s">
        <v>1174</v>
      </c>
      <c r="J1551" s="524">
        <f>IF(cmf[[#This Row],[D/C]]="C",cmf[[#This Row],[Valor]],-1*cmf[[#This Row],[Valor]])</f>
        <v>-18913.41</v>
      </c>
      <c r="L1551" s="524" t="s">
        <v>1188</v>
      </c>
      <c r="M1551" s="524" t="s">
        <v>1189</v>
      </c>
      <c r="N1551" s="524" t="s">
        <v>1219</v>
      </c>
      <c r="O1551" s="524" t="s">
        <v>1220</v>
      </c>
      <c r="P1551" s="526">
        <v>46223</v>
      </c>
      <c r="S1551" s="527">
        <v>0</v>
      </c>
    </row>
    <row r="1552" spans="1:19" x14ac:dyDescent="0.2">
      <c r="A1552" s="524">
        <v>70024</v>
      </c>
      <c r="B1552" s="526">
        <v>46223</v>
      </c>
      <c r="C1552" s="524" t="s">
        <v>1148</v>
      </c>
      <c r="D1552" s="524" t="s">
        <v>1186</v>
      </c>
      <c r="E1552" s="524" t="s">
        <v>2171</v>
      </c>
      <c r="F1552" s="524" t="s">
        <v>1183</v>
      </c>
      <c r="G1552" s="524" t="s">
        <v>769</v>
      </c>
      <c r="H1552" s="527">
        <v>32611.09</v>
      </c>
      <c r="I1552" s="524" t="s">
        <v>1174</v>
      </c>
      <c r="J1552" s="524">
        <f>IF(cmf[[#This Row],[D/C]]="C",cmf[[#This Row],[Valor]],-1*cmf[[#This Row],[Valor]])</f>
        <v>-32611.09</v>
      </c>
      <c r="L1552" s="524" t="s">
        <v>1188</v>
      </c>
      <c r="M1552" s="524" t="s">
        <v>1189</v>
      </c>
      <c r="N1552" s="524" t="s">
        <v>1219</v>
      </c>
      <c r="O1552" s="524" t="s">
        <v>1220</v>
      </c>
      <c r="P1552" s="526">
        <v>46223</v>
      </c>
      <c r="S1552" s="527">
        <v>0</v>
      </c>
    </row>
    <row r="1553" spans="1:19" x14ac:dyDescent="0.2">
      <c r="A1553" s="524">
        <v>70025</v>
      </c>
      <c r="B1553" s="526">
        <v>46223</v>
      </c>
      <c r="C1553" s="524" t="s">
        <v>1148</v>
      </c>
      <c r="D1553" s="524" t="s">
        <v>1186</v>
      </c>
      <c r="E1553" s="524" t="s">
        <v>2172</v>
      </c>
      <c r="F1553" s="524" t="s">
        <v>1183</v>
      </c>
      <c r="G1553" s="524" t="s">
        <v>769</v>
      </c>
      <c r="H1553" s="527">
        <v>1200</v>
      </c>
      <c r="I1553" s="524" t="s">
        <v>1174</v>
      </c>
      <c r="J1553" s="524">
        <f>IF(cmf[[#This Row],[D/C]]="C",cmf[[#This Row],[Valor]],-1*cmf[[#This Row],[Valor]])</f>
        <v>-1200</v>
      </c>
      <c r="L1553" s="524" t="s">
        <v>1188</v>
      </c>
      <c r="M1553" s="524" t="s">
        <v>1189</v>
      </c>
      <c r="N1553" s="524" t="s">
        <v>1219</v>
      </c>
      <c r="O1553" s="524" t="s">
        <v>1220</v>
      </c>
      <c r="P1553" s="526">
        <v>46223</v>
      </c>
      <c r="S1553" s="527">
        <v>0</v>
      </c>
    </row>
    <row r="1554" spans="1:19" x14ac:dyDescent="0.2">
      <c r="A1554" s="524">
        <v>70026</v>
      </c>
      <c r="B1554" s="526">
        <v>46223</v>
      </c>
      <c r="C1554" s="524" t="s">
        <v>1148</v>
      </c>
      <c r="D1554" s="524" t="s">
        <v>1186</v>
      </c>
      <c r="E1554" s="524" t="s">
        <v>2173</v>
      </c>
      <c r="F1554" s="524" t="s">
        <v>1183</v>
      </c>
      <c r="G1554" s="524" t="s">
        <v>769</v>
      </c>
      <c r="H1554" s="527">
        <v>7490</v>
      </c>
      <c r="I1554" s="524" t="s">
        <v>1174</v>
      </c>
      <c r="J1554" s="524">
        <f>IF(cmf[[#This Row],[D/C]]="C",cmf[[#This Row],[Valor]],-1*cmf[[#This Row],[Valor]])</f>
        <v>-7490</v>
      </c>
      <c r="L1554" s="524" t="s">
        <v>1188</v>
      </c>
      <c r="M1554" s="524" t="s">
        <v>1189</v>
      </c>
      <c r="N1554" s="524" t="s">
        <v>1219</v>
      </c>
      <c r="O1554" s="524" t="s">
        <v>1220</v>
      </c>
      <c r="P1554" s="526">
        <v>46223</v>
      </c>
      <c r="S1554" s="527">
        <v>0</v>
      </c>
    </row>
    <row r="1555" spans="1:19" x14ac:dyDescent="0.2">
      <c r="A1555" s="524">
        <v>70027</v>
      </c>
      <c r="B1555" s="526">
        <v>46223</v>
      </c>
      <c r="C1555" s="524" t="s">
        <v>1148</v>
      </c>
      <c r="D1555" s="524" t="s">
        <v>1186</v>
      </c>
      <c r="E1555" s="524" t="s">
        <v>2174</v>
      </c>
      <c r="F1555" s="524" t="s">
        <v>1183</v>
      </c>
      <c r="G1555" s="524" t="s">
        <v>769</v>
      </c>
      <c r="H1555" s="527">
        <v>2100</v>
      </c>
      <c r="I1555" s="524" t="s">
        <v>1174</v>
      </c>
      <c r="J1555" s="524">
        <f>IF(cmf[[#This Row],[D/C]]="C",cmf[[#This Row],[Valor]],-1*cmf[[#This Row],[Valor]])</f>
        <v>-2100</v>
      </c>
      <c r="L1555" s="524" t="s">
        <v>1188</v>
      </c>
      <c r="M1555" s="524" t="s">
        <v>1189</v>
      </c>
      <c r="N1555" s="524" t="s">
        <v>1219</v>
      </c>
      <c r="O1555" s="524" t="s">
        <v>1220</v>
      </c>
      <c r="P1555" s="526">
        <v>46223</v>
      </c>
      <c r="S1555" s="527">
        <v>0</v>
      </c>
    </row>
    <row r="1556" spans="1:19" x14ac:dyDescent="0.2">
      <c r="A1556" s="524">
        <v>70028</v>
      </c>
      <c r="B1556" s="526">
        <v>46223</v>
      </c>
      <c r="C1556" s="524" t="s">
        <v>1148</v>
      </c>
      <c r="D1556" s="524" t="s">
        <v>1186</v>
      </c>
      <c r="E1556" s="524" t="s">
        <v>2175</v>
      </c>
      <c r="F1556" s="524" t="s">
        <v>1183</v>
      </c>
      <c r="G1556" s="524" t="s">
        <v>769</v>
      </c>
      <c r="H1556" s="527">
        <v>11040</v>
      </c>
      <c r="I1556" s="524" t="s">
        <v>1174</v>
      </c>
      <c r="J1556" s="524">
        <f>IF(cmf[[#This Row],[D/C]]="C",cmf[[#This Row],[Valor]],-1*cmf[[#This Row],[Valor]])</f>
        <v>-11040</v>
      </c>
      <c r="L1556" s="524" t="s">
        <v>1188</v>
      </c>
      <c r="M1556" s="524" t="s">
        <v>1189</v>
      </c>
      <c r="N1556" s="524" t="s">
        <v>1219</v>
      </c>
      <c r="O1556" s="524" t="s">
        <v>1220</v>
      </c>
      <c r="P1556" s="526">
        <v>46223</v>
      </c>
      <c r="S1556" s="527">
        <v>0</v>
      </c>
    </row>
    <row r="1557" spans="1:19" x14ac:dyDescent="0.2">
      <c r="A1557" s="524">
        <v>70029</v>
      </c>
      <c r="B1557" s="526">
        <v>46223</v>
      </c>
      <c r="C1557" s="524" t="s">
        <v>1148</v>
      </c>
      <c r="D1557" s="524" t="s">
        <v>1186</v>
      </c>
      <c r="E1557" s="524" t="s">
        <v>2176</v>
      </c>
      <c r="F1557" s="524" t="s">
        <v>1183</v>
      </c>
      <c r="G1557" s="524" t="s">
        <v>769</v>
      </c>
      <c r="H1557" s="527">
        <v>1400</v>
      </c>
      <c r="I1557" s="524" t="s">
        <v>1174</v>
      </c>
      <c r="J1557" s="524">
        <f>IF(cmf[[#This Row],[D/C]]="C",cmf[[#This Row],[Valor]],-1*cmf[[#This Row],[Valor]])</f>
        <v>-1400</v>
      </c>
      <c r="L1557" s="524" t="s">
        <v>1188</v>
      </c>
      <c r="M1557" s="524" t="s">
        <v>1189</v>
      </c>
      <c r="N1557" s="524" t="s">
        <v>1219</v>
      </c>
      <c r="O1557" s="524" t="s">
        <v>1220</v>
      </c>
      <c r="P1557" s="526">
        <v>46223</v>
      </c>
      <c r="S1557" s="527">
        <v>0</v>
      </c>
    </row>
    <row r="1558" spans="1:19" x14ac:dyDescent="0.2">
      <c r="A1558" s="524">
        <v>70030</v>
      </c>
      <c r="B1558" s="526">
        <v>46223</v>
      </c>
      <c r="C1558" s="524" t="s">
        <v>1148</v>
      </c>
      <c r="D1558" s="524" t="s">
        <v>1186</v>
      </c>
      <c r="E1558" s="524" t="s">
        <v>2177</v>
      </c>
      <c r="F1558" s="524" t="s">
        <v>1183</v>
      </c>
      <c r="G1558" s="524" t="s">
        <v>769</v>
      </c>
      <c r="H1558" s="527">
        <v>2719.07</v>
      </c>
      <c r="I1558" s="524" t="s">
        <v>1174</v>
      </c>
      <c r="J1558" s="524">
        <f>IF(cmf[[#This Row],[D/C]]="C",cmf[[#This Row],[Valor]],-1*cmf[[#This Row],[Valor]])</f>
        <v>-2719.07</v>
      </c>
      <c r="L1558" s="524" t="s">
        <v>1188</v>
      </c>
      <c r="M1558" s="524" t="s">
        <v>1189</v>
      </c>
      <c r="N1558" s="524" t="s">
        <v>1219</v>
      </c>
      <c r="O1558" s="524" t="s">
        <v>1220</v>
      </c>
      <c r="P1558" s="526">
        <v>46223</v>
      </c>
      <c r="S1558" s="527">
        <v>0</v>
      </c>
    </row>
    <row r="1559" spans="1:19" x14ac:dyDescent="0.2">
      <c r="A1559" s="524">
        <v>70031</v>
      </c>
      <c r="B1559" s="526">
        <v>46223</v>
      </c>
      <c r="C1559" s="524" t="s">
        <v>1148</v>
      </c>
      <c r="D1559" s="524" t="s">
        <v>1186</v>
      </c>
      <c r="E1559" s="524" t="s">
        <v>2178</v>
      </c>
      <c r="F1559" s="524" t="s">
        <v>1183</v>
      </c>
      <c r="G1559" s="524" t="s">
        <v>769</v>
      </c>
      <c r="H1559" s="527">
        <v>648</v>
      </c>
      <c r="I1559" s="524" t="s">
        <v>1174</v>
      </c>
      <c r="J1559" s="524">
        <f>IF(cmf[[#This Row],[D/C]]="C",cmf[[#This Row],[Valor]],-1*cmf[[#This Row],[Valor]])</f>
        <v>-648</v>
      </c>
      <c r="L1559" s="524" t="s">
        <v>1188</v>
      </c>
      <c r="M1559" s="524" t="s">
        <v>1189</v>
      </c>
      <c r="N1559" s="524" t="s">
        <v>1219</v>
      </c>
      <c r="O1559" s="524" t="s">
        <v>1220</v>
      </c>
      <c r="P1559" s="526">
        <v>46223</v>
      </c>
      <c r="S1559" s="527">
        <v>0</v>
      </c>
    </row>
    <row r="1560" spans="1:19" x14ac:dyDescent="0.2">
      <c r="A1560" s="524">
        <v>70032</v>
      </c>
      <c r="B1560" s="526">
        <v>46223</v>
      </c>
      <c r="C1560" s="524" t="s">
        <v>1148</v>
      </c>
      <c r="D1560" s="524" t="s">
        <v>1186</v>
      </c>
      <c r="E1560" s="524" t="s">
        <v>2179</v>
      </c>
      <c r="F1560" s="524" t="s">
        <v>1183</v>
      </c>
      <c r="G1560" s="524" t="s">
        <v>769</v>
      </c>
      <c r="H1560" s="527">
        <v>395</v>
      </c>
      <c r="I1560" s="524" t="s">
        <v>1174</v>
      </c>
      <c r="J1560" s="524">
        <f>IF(cmf[[#This Row],[D/C]]="C",cmf[[#This Row],[Valor]],-1*cmf[[#This Row],[Valor]])</f>
        <v>-395</v>
      </c>
      <c r="L1560" s="524" t="s">
        <v>1188</v>
      </c>
      <c r="M1560" s="524" t="s">
        <v>1189</v>
      </c>
      <c r="N1560" s="524" t="s">
        <v>1219</v>
      </c>
      <c r="O1560" s="524" t="s">
        <v>1220</v>
      </c>
      <c r="P1560" s="526">
        <v>46223</v>
      </c>
      <c r="S1560" s="527">
        <v>0</v>
      </c>
    </row>
    <row r="1561" spans="1:19" x14ac:dyDescent="0.2">
      <c r="A1561" s="524">
        <v>70033</v>
      </c>
      <c r="B1561" s="526">
        <v>46223</v>
      </c>
      <c r="C1561" s="524" t="s">
        <v>1148</v>
      </c>
      <c r="D1561" s="524" t="s">
        <v>1186</v>
      </c>
      <c r="E1561" s="524" t="s">
        <v>2180</v>
      </c>
      <c r="F1561" s="524" t="s">
        <v>1183</v>
      </c>
      <c r="G1561" s="524" t="s">
        <v>769</v>
      </c>
      <c r="H1561" s="527">
        <v>2584.5500000000002</v>
      </c>
      <c r="I1561" s="524" t="s">
        <v>1174</v>
      </c>
      <c r="J1561" s="524">
        <f>IF(cmf[[#This Row],[D/C]]="C",cmf[[#This Row],[Valor]],-1*cmf[[#This Row],[Valor]])</f>
        <v>-2584.5500000000002</v>
      </c>
      <c r="L1561" s="524" t="s">
        <v>1188</v>
      </c>
      <c r="M1561" s="524" t="s">
        <v>1189</v>
      </c>
      <c r="N1561" s="524" t="s">
        <v>1219</v>
      </c>
      <c r="O1561" s="524" t="s">
        <v>1220</v>
      </c>
      <c r="P1561" s="526">
        <v>46223</v>
      </c>
      <c r="S1561" s="527">
        <v>0</v>
      </c>
    </row>
    <row r="1562" spans="1:19" x14ac:dyDescent="0.2">
      <c r="A1562" s="524">
        <v>70034</v>
      </c>
      <c r="B1562" s="526">
        <v>46223</v>
      </c>
      <c r="C1562" s="524" t="s">
        <v>1148</v>
      </c>
      <c r="D1562" s="524" t="s">
        <v>1186</v>
      </c>
      <c r="E1562" s="524" t="s">
        <v>2181</v>
      </c>
      <c r="F1562" s="524" t="s">
        <v>1183</v>
      </c>
      <c r="G1562" s="524" t="s">
        <v>769</v>
      </c>
      <c r="H1562" s="527">
        <v>3856.4</v>
      </c>
      <c r="I1562" s="524" t="s">
        <v>1174</v>
      </c>
      <c r="J1562" s="524">
        <f>IF(cmf[[#This Row],[D/C]]="C",cmf[[#This Row],[Valor]],-1*cmf[[#This Row],[Valor]])</f>
        <v>-3856.4</v>
      </c>
      <c r="L1562" s="524" t="s">
        <v>1188</v>
      </c>
      <c r="M1562" s="524" t="s">
        <v>1189</v>
      </c>
      <c r="N1562" s="524" t="s">
        <v>1219</v>
      </c>
      <c r="O1562" s="524" t="s">
        <v>1220</v>
      </c>
      <c r="P1562" s="526">
        <v>46223</v>
      </c>
      <c r="S1562" s="527">
        <v>0</v>
      </c>
    </row>
    <row r="1563" spans="1:19" x14ac:dyDescent="0.2">
      <c r="A1563" s="524">
        <v>70035</v>
      </c>
      <c r="B1563" s="526">
        <v>46223</v>
      </c>
      <c r="C1563" s="524" t="s">
        <v>1148</v>
      </c>
      <c r="D1563" s="524" t="s">
        <v>1186</v>
      </c>
      <c r="E1563" s="524" t="s">
        <v>2182</v>
      </c>
      <c r="F1563" s="524" t="s">
        <v>1183</v>
      </c>
      <c r="G1563" s="524" t="s">
        <v>769</v>
      </c>
      <c r="H1563" s="527">
        <v>10000</v>
      </c>
      <c r="I1563" s="524" t="s">
        <v>1174</v>
      </c>
      <c r="J1563" s="524">
        <f>IF(cmf[[#This Row],[D/C]]="C",cmf[[#This Row],[Valor]],-1*cmf[[#This Row],[Valor]])</f>
        <v>-10000</v>
      </c>
      <c r="L1563" s="524" t="s">
        <v>1188</v>
      </c>
      <c r="M1563" s="524" t="s">
        <v>1189</v>
      </c>
      <c r="N1563" s="524" t="s">
        <v>1219</v>
      </c>
      <c r="O1563" s="524" t="s">
        <v>1220</v>
      </c>
      <c r="P1563" s="526">
        <v>46223</v>
      </c>
      <c r="S1563" s="527">
        <v>0</v>
      </c>
    </row>
    <row r="1564" spans="1:19" x14ac:dyDescent="0.2">
      <c r="A1564" s="524">
        <v>70036</v>
      </c>
      <c r="B1564" s="526">
        <v>46223</v>
      </c>
      <c r="C1564" s="524" t="s">
        <v>1148</v>
      </c>
      <c r="D1564" s="524" t="s">
        <v>1186</v>
      </c>
      <c r="E1564" s="524" t="s">
        <v>2183</v>
      </c>
      <c r="F1564" s="524" t="s">
        <v>1183</v>
      </c>
      <c r="G1564" s="524" t="s">
        <v>769</v>
      </c>
      <c r="H1564" s="527">
        <v>1854.4</v>
      </c>
      <c r="I1564" s="524" t="s">
        <v>1174</v>
      </c>
      <c r="J1564" s="524">
        <f>IF(cmf[[#This Row],[D/C]]="C",cmf[[#This Row],[Valor]],-1*cmf[[#This Row],[Valor]])</f>
        <v>-1854.4</v>
      </c>
      <c r="L1564" s="524" t="s">
        <v>1188</v>
      </c>
      <c r="M1564" s="524" t="s">
        <v>1189</v>
      </c>
      <c r="N1564" s="524" t="s">
        <v>1219</v>
      </c>
      <c r="O1564" s="524" t="s">
        <v>1220</v>
      </c>
      <c r="P1564" s="526">
        <v>46223</v>
      </c>
      <c r="S1564" s="527">
        <v>0</v>
      </c>
    </row>
    <row r="1565" spans="1:19" x14ac:dyDescent="0.2">
      <c r="A1565" s="524">
        <v>70037</v>
      </c>
      <c r="B1565" s="526">
        <v>46223</v>
      </c>
      <c r="C1565" s="524" t="s">
        <v>1148</v>
      </c>
      <c r="D1565" s="524" t="s">
        <v>1186</v>
      </c>
      <c r="E1565" s="524" t="s">
        <v>2184</v>
      </c>
      <c r="F1565" s="524" t="s">
        <v>1183</v>
      </c>
      <c r="G1565" s="524" t="s">
        <v>769</v>
      </c>
      <c r="H1565" s="527">
        <v>120</v>
      </c>
      <c r="I1565" s="524" t="s">
        <v>1174</v>
      </c>
      <c r="J1565" s="524">
        <f>IF(cmf[[#This Row],[D/C]]="C",cmf[[#This Row],[Valor]],-1*cmf[[#This Row],[Valor]])</f>
        <v>-120</v>
      </c>
      <c r="L1565" s="524" t="s">
        <v>1188</v>
      </c>
      <c r="M1565" s="524" t="s">
        <v>1189</v>
      </c>
      <c r="N1565" s="524" t="s">
        <v>1219</v>
      </c>
      <c r="O1565" s="524" t="s">
        <v>1220</v>
      </c>
      <c r="P1565" s="526">
        <v>46223</v>
      </c>
      <c r="S1565" s="527">
        <v>0</v>
      </c>
    </row>
    <row r="1566" spans="1:19" x14ac:dyDescent="0.2">
      <c r="A1566" s="524">
        <v>70038</v>
      </c>
      <c r="B1566" s="526">
        <v>46223</v>
      </c>
      <c r="C1566" s="524" t="s">
        <v>1148</v>
      </c>
      <c r="D1566" s="524" t="s">
        <v>1186</v>
      </c>
      <c r="E1566" s="524" t="s">
        <v>2185</v>
      </c>
      <c r="F1566" s="524" t="s">
        <v>1183</v>
      </c>
      <c r="G1566" s="524" t="s">
        <v>769</v>
      </c>
      <c r="H1566" s="527">
        <v>2500</v>
      </c>
      <c r="I1566" s="524" t="s">
        <v>1174</v>
      </c>
      <c r="J1566" s="524">
        <f>IF(cmf[[#This Row],[D/C]]="C",cmf[[#This Row],[Valor]],-1*cmf[[#This Row],[Valor]])</f>
        <v>-2500</v>
      </c>
      <c r="L1566" s="524" t="s">
        <v>1188</v>
      </c>
      <c r="M1566" s="524" t="s">
        <v>1189</v>
      </c>
      <c r="N1566" s="524" t="s">
        <v>1219</v>
      </c>
      <c r="O1566" s="524" t="s">
        <v>1220</v>
      </c>
      <c r="P1566" s="526">
        <v>46223</v>
      </c>
      <c r="S1566" s="527">
        <v>0</v>
      </c>
    </row>
    <row r="1567" spans="1:19" x14ac:dyDescent="0.2">
      <c r="A1567" s="524">
        <v>70039</v>
      </c>
      <c r="B1567" s="526">
        <v>46223</v>
      </c>
      <c r="C1567" s="524" t="s">
        <v>1148</v>
      </c>
      <c r="D1567" s="524" t="s">
        <v>1186</v>
      </c>
      <c r="E1567" s="524" t="s">
        <v>2186</v>
      </c>
      <c r="F1567" s="524" t="s">
        <v>1183</v>
      </c>
      <c r="G1567" s="524" t="s">
        <v>769</v>
      </c>
      <c r="H1567" s="527">
        <v>494.5</v>
      </c>
      <c r="I1567" s="524" t="s">
        <v>1174</v>
      </c>
      <c r="J1567" s="524">
        <f>IF(cmf[[#This Row],[D/C]]="C",cmf[[#This Row],[Valor]],-1*cmf[[#This Row],[Valor]])</f>
        <v>-494.5</v>
      </c>
      <c r="L1567" s="524" t="s">
        <v>1188</v>
      </c>
      <c r="M1567" s="524" t="s">
        <v>1189</v>
      </c>
      <c r="N1567" s="524" t="s">
        <v>1219</v>
      </c>
      <c r="O1567" s="524" t="s">
        <v>1220</v>
      </c>
      <c r="P1567" s="526">
        <v>46223</v>
      </c>
      <c r="S1567" s="527">
        <v>0</v>
      </c>
    </row>
    <row r="1568" spans="1:19" x14ac:dyDescent="0.2">
      <c r="A1568" s="524">
        <v>70040</v>
      </c>
      <c r="B1568" s="526">
        <v>46223</v>
      </c>
      <c r="C1568" s="524" t="s">
        <v>1148</v>
      </c>
      <c r="D1568" s="524" t="s">
        <v>1186</v>
      </c>
      <c r="E1568" s="524" t="s">
        <v>2187</v>
      </c>
      <c r="F1568" s="524" t="s">
        <v>1183</v>
      </c>
      <c r="G1568" s="524" t="s">
        <v>769</v>
      </c>
      <c r="H1568" s="527">
        <v>1886.4</v>
      </c>
      <c r="I1568" s="524" t="s">
        <v>1174</v>
      </c>
      <c r="J1568" s="524">
        <f>IF(cmf[[#This Row],[D/C]]="C",cmf[[#This Row],[Valor]],-1*cmf[[#This Row],[Valor]])</f>
        <v>-1886.4</v>
      </c>
      <c r="L1568" s="524" t="s">
        <v>1188</v>
      </c>
      <c r="M1568" s="524" t="s">
        <v>1189</v>
      </c>
      <c r="N1568" s="524" t="s">
        <v>1219</v>
      </c>
      <c r="O1568" s="524" t="s">
        <v>1220</v>
      </c>
      <c r="P1568" s="526">
        <v>46223</v>
      </c>
      <c r="S1568" s="527">
        <v>0</v>
      </c>
    </row>
    <row r="1569" spans="1:19" x14ac:dyDescent="0.2">
      <c r="A1569" s="524">
        <v>70041</v>
      </c>
      <c r="B1569" s="526">
        <v>46223</v>
      </c>
      <c r="C1569" s="524" t="s">
        <v>1148</v>
      </c>
      <c r="D1569" s="524" t="s">
        <v>1186</v>
      </c>
      <c r="E1569" s="524" t="s">
        <v>2188</v>
      </c>
      <c r="F1569" s="524" t="s">
        <v>1183</v>
      </c>
      <c r="G1569" s="524" t="s">
        <v>769</v>
      </c>
      <c r="H1569" s="527">
        <v>19084.240000000002</v>
      </c>
      <c r="I1569" s="524" t="s">
        <v>1174</v>
      </c>
      <c r="J1569" s="524">
        <f>IF(cmf[[#This Row],[D/C]]="C",cmf[[#This Row],[Valor]],-1*cmf[[#This Row],[Valor]])</f>
        <v>-19084.240000000002</v>
      </c>
      <c r="L1569" s="524" t="s">
        <v>1188</v>
      </c>
      <c r="M1569" s="524" t="s">
        <v>1189</v>
      </c>
      <c r="N1569" s="524" t="s">
        <v>1219</v>
      </c>
      <c r="O1569" s="524" t="s">
        <v>1220</v>
      </c>
      <c r="P1569" s="526">
        <v>46223</v>
      </c>
      <c r="S1569" s="527">
        <v>0</v>
      </c>
    </row>
    <row r="1570" spans="1:19" x14ac:dyDescent="0.2">
      <c r="A1570" s="524">
        <v>70042</v>
      </c>
      <c r="B1570" s="526">
        <v>46223</v>
      </c>
      <c r="C1570" s="524" t="s">
        <v>1148</v>
      </c>
      <c r="D1570" s="524" t="s">
        <v>1186</v>
      </c>
      <c r="E1570" s="524" t="s">
        <v>2189</v>
      </c>
      <c r="F1570" s="524" t="s">
        <v>1183</v>
      </c>
      <c r="G1570" s="524" t="s">
        <v>769</v>
      </c>
      <c r="H1570" s="527">
        <v>2733.44</v>
      </c>
      <c r="I1570" s="524" t="s">
        <v>1174</v>
      </c>
      <c r="J1570" s="524">
        <f>IF(cmf[[#This Row],[D/C]]="C",cmf[[#This Row],[Valor]],-1*cmf[[#This Row],[Valor]])</f>
        <v>-2733.44</v>
      </c>
      <c r="L1570" s="524" t="s">
        <v>1188</v>
      </c>
      <c r="M1570" s="524" t="s">
        <v>1189</v>
      </c>
      <c r="N1570" s="524" t="s">
        <v>1219</v>
      </c>
      <c r="O1570" s="524" t="s">
        <v>1220</v>
      </c>
      <c r="P1570" s="526">
        <v>46223</v>
      </c>
      <c r="S1570" s="527">
        <v>0</v>
      </c>
    </row>
    <row r="1571" spans="1:19" x14ac:dyDescent="0.2">
      <c r="A1571" s="524">
        <v>70043</v>
      </c>
      <c r="B1571" s="526">
        <v>46223</v>
      </c>
      <c r="C1571" s="524" t="s">
        <v>1148</v>
      </c>
      <c r="D1571" s="524" t="s">
        <v>1186</v>
      </c>
      <c r="E1571" s="524" t="s">
        <v>2190</v>
      </c>
      <c r="F1571" s="524" t="s">
        <v>1183</v>
      </c>
      <c r="G1571" s="524" t="s">
        <v>769</v>
      </c>
      <c r="H1571" s="527">
        <v>2733.44</v>
      </c>
      <c r="I1571" s="524" t="s">
        <v>1174</v>
      </c>
      <c r="J1571" s="524">
        <f>IF(cmf[[#This Row],[D/C]]="C",cmf[[#This Row],[Valor]],-1*cmf[[#This Row],[Valor]])</f>
        <v>-2733.44</v>
      </c>
      <c r="L1571" s="524" t="s">
        <v>1188</v>
      </c>
      <c r="M1571" s="524" t="s">
        <v>1189</v>
      </c>
      <c r="N1571" s="524" t="s">
        <v>1219</v>
      </c>
      <c r="O1571" s="524" t="s">
        <v>1220</v>
      </c>
      <c r="P1571" s="526">
        <v>46223</v>
      </c>
      <c r="S1571" s="527">
        <v>0</v>
      </c>
    </row>
    <row r="1572" spans="1:19" x14ac:dyDescent="0.2">
      <c r="A1572" s="524">
        <v>70044</v>
      </c>
      <c r="B1572" s="526">
        <v>46223</v>
      </c>
      <c r="C1572" s="524" t="s">
        <v>1148</v>
      </c>
      <c r="D1572" s="524" t="s">
        <v>1186</v>
      </c>
      <c r="E1572" s="524" t="s">
        <v>2191</v>
      </c>
      <c r="F1572" s="524" t="s">
        <v>1183</v>
      </c>
      <c r="G1572" s="524" t="s">
        <v>769</v>
      </c>
      <c r="H1572" s="527">
        <v>2727.45</v>
      </c>
      <c r="I1572" s="524" t="s">
        <v>1174</v>
      </c>
      <c r="J1572" s="524">
        <f>IF(cmf[[#This Row],[D/C]]="C",cmf[[#This Row],[Valor]],-1*cmf[[#This Row],[Valor]])</f>
        <v>-2727.45</v>
      </c>
      <c r="L1572" s="524" t="s">
        <v>1188</v>
      </c>
      <c r="M1572" s="524" t="s">
        <v>1189</v>
      </c>
      <c r="N1572" s="524" t="s">
        <v>1219</v>
      </c>
      <c r="O1572" s="524" t="s">
        <v>1220</v>
      </c>
      <c r="P1572" s="526">
        <v>46223</v>
      </c>
      <c r="S1572" s="527">
        <v>0</v>
      </c>
    </row>
    <row r="1573" spans="1:19" x14ac:dyDescent="0.2">
      <c r="A1573" s="524">
        <v>70045</v>
      </c>
      <c r="B1573" s="526">
        <v>46223</v>
      </c>
      <c r="C1573" s="524" t="s">
        <v>1148</v>
      </c>
      <c r="D1573" s="524" t="s">
        <v>1186</v>
      </c>
      <c r="E1573" s="524" t="s">
        <v>2192</v>
      </c>
      <c r="F1573" s="524" t="s">
        <v>1183</v>
      </c>
      <c r="G1573" s="524" t="s">
        <v>769</v>
      </c>
      <c r="H1573" s="527">
        <v>2000</v>
      </c>
      <c r="I1573" s="524" t="s">
        <v>1174</v>
      </c>
      <c r="J1573" s="524">
        <f>IF(cmf[[#This Row],[D/C]]="C",cmf[[#This Row],[Valor]],-1*cmf[[#This Row],[Valor]])</f>
        <v>-2000</v>
      </c>
      <c r="L1573" s="524" t="s">
        <v>1188</v>
      </c>
      <c r="M1573" s="524" t="s">
        <v>1189</v>
      </c>
      <c r="N1573" s="524" t="s">
        <v>1219</v>
      </c>
      <c r="O1573" s="524" t="s">
        <v>1220</v>
      </c>
      <c r="P1573" s="526">
        <v>46223</v>
      </c>
      <c r="S1573" s="527">
        <v>0</v>
      </c>
    </row>
    <row r="1574" spans="1:19" x14ac:dyDescent="0.2">
      <c r="A1574" s="524">
        <v>70048</v>
      </c>
      <c r="B1574" s="526">
        <v>46223</v>
      </c>
      <c r="C1574" s="524" t="s">
        <v>1148</v>
      </c>
      <c r="D1574" s="524" t="s">
        <v>1186</v>
      </c>
      <c r="E1574" s="524" t="s">
        <v>2193</v>
      </c>
      <c r="F1574" s="524" t="s">
        <v>1170</v>
      </c>
      <c r="G1574" s="524" t="s">
        <v>740</v>
      </c>
      <c r="H1574" s="527">
        <v>759.05</v>
      </c>
      <c r="I1574" s="524" t="s">
        <v>1174</v>
      </c>
      <c r="J1574" s="524">
        <f>IF(cmf[[#This Row],[D/C]]="C",cmf[[#This Row],[Valor]],-1*cmf[[#This Row],[Valor]])</f>
        <v>-759.05</v>
      </c>
      <c r="L1574" s="524" t="s">
        <v>1188</v>
      </c>
      <c r="M1574" s="524" t="s">
        <v>1189</v>
      </c>
      <c r="N1574" s="524" t="s">
        <v>1215</v>
      </c>
      <c r="O1574" s="524" t="s">
        <v>1218</v>
      </c>
      <c r="P1574" s="526">
        <v>46223</v>
      </c>
      <c r="S1574" s="527">
        <v>0</v>
      </c>
    </row>
    <row r="1575" spans="1:19" x14ac:dyDescent="0.2">
      <c r="A1575" s="524">
        <v>70063</v>
      </c>
      <c r="B1575" s="526">
        <v>46223</v>
      </c>
      <c r="C1575" s="524" t="s">
        <v>1148</v>
      </c>
      <c r="D1575" s="524" t="s">
        <v>1186</v>
      </c>
      <c r="E1575" s="524" t="s">
        <v>2194</v>
      </c>
      <c r="F1575" s="524" t="s">
        <v>1183</v>
      </c>
      <c r="G1575" s="524" t="s">
        <v>758</v>
      </c>
      <c r="H1575" s="527">
        <v>1200</v>
      </c>
      <c r="I1575" s="524" t="s">
        <v>1174</v>
      </c>
      <c r="J1575" s="524">
        <f>IF(cmf[[#This Row],[D/C]]="C",cmf[[#This Row],[Valor]],-1*cmf[[#This Row],[Valor]])</f>
        <v>-1200</v>
      </c>
      <c r="L1575" s="524" t="s">
        <v>1188</v>
      </c>
      <c r="M1575" s="524" t="s">
        <v>1189</v>
      </c>
      <c r="N1575" s="524" t="s">
        <v>1223</v>
      </c>
      <c r="O1575" s="524" t="s">
        <v>1224</v>
      </c>
      <c r="P1575" s="526">
        <v>46223</v>
      </c>
      <c r="S1575" s="527">
        <v>0</v>
      </c>
    </row>
    <row r="1576" spans="1:19" x14ac:dyDescent="0.2">
      <c r="A1576" s="524">
        <v>70064</v>
      </c>
      <c r="B1576" s="526">
        <v>46223</v>
      </c>
      <c r="C1576" s="524" t="s">
        <v>1148</v>
      </c>
      <c r="D1576" s="524" t="s">
        <v>1186</v>
      </c>
      <c r="E1576" s="524" t="s">
        <v>2195</v>
      </c>
      <c r="F1576" s="524" t="s">
        <v>1183</v>
      </c>
      <c r="G1576" s="524" t="s">
        <v>758</v>
      </c>
      <c r="H1576" s="527">
        <v>247725.14</v>
      </c>
      <c r="I1576" s="524" t="s">
        <v>1174</v>
      </c>
      <c r="J1576" s="524">
        <f>IF(cmf[[#This Row],[D/C]]="C",cmf[[#This Row],[Valor]],-1*cmf[[#This Row],[Valor]])</f>
        <v>-247725.14</v>
      </c>
      <c r="L1576" s="524" t="s">
        <v>1188</v>
      </c>
      <c r="M1576" s="524" t="s">
        <v>1189</v>
      </c>
      <c r="N1576" s="524" t="s">
        <v>1223</v>
      </c>
      <c r="O1576" s="524" t="s">
        <v>1224</v>
      </c>
      <c r="P1576" s="526">
        <v>46223</v>
      </c>
      <c r="S1576" s="527">
        <v>0</v>
      </c>
    </row>
    <row r="1577" spans="1:19" x14ac:dyDescent="0.2">
      <c r="A1577" s="524">
        <v>70065</v>
      </c>
      <c r="B1577" s="526">
        <v>46223</v>
      </c>
      <c r="C1577" s="524" t="s">
        <v>1148</v>
      </c>
      <c r="D1577" s="524" t="s">
        <v>1186</v>
      </c>
      <c r="E1577" s="524" t="s">
        <v>2196</v>
      </c>
      <c r="F1577" s="524" t="s">
        <v>1183</v>
      </c>
      <c r="G1577" s="524" t="s">
        <v>758</v>
      </c>
      <c r="H1577" s="527">
        <v>3234</v>
      </c>
      <c r="I1577" s="524" t="s">
        <v>1174</v>
      </c>
      <c r="J1577" s="524">
        <f>IF(cmf[[#This Row],[D/C]]="C",cmf[[#This Row],[Valor]],-1*cmf[[#This Row],[Valor]])</f>
        <v>-3234</v>
      </c>
      <c r="L1577" s="524" t="s">
        <v>1188</v>
      </c>
      <c r="M1577" s="524" t="s">
        <v>1189</v>
      </c>
      <c r="N1577" s="524" t="s">
        <v>1223</v>
      </c>
      <c r="O1577" s="524" t="s">
        <v>1224</v>
      </c>
      <c r="P1577" s="526">
        <v>46223</v>
      </c>
      <c r="S1577" s="527">
        <v>0</v>
      </c>
    </row>
    <row r="1578" spans="1:19" x14ac:dyDescent="0.2">
      <c r="A1578" s="524">
        <v>70066</v>
      </c>
      <c r="B1578" s="526">
        <v>46223</v>
      </c>
      <c r="C1578" s="524" t="s">
        <v>1148</v>
      </c>
      <c r="D1578" s="524" t="s">
        <v>1186</v>
      </c>
      <c r="E1578" s="524" t="s">
        <v>2197</v>
      </c>
      <c r="F1578" s="524" t="s">
        <v>1183</v>
      </c>
      <c r="G1578" s="524" t="s">
        <v>758</v>
      </c>
      <c r="H1578" s="527">
        <v>13139</v>
      </c>
      <c r="I1578" s="524" t="s">
        <v>1174</v>
      </c>
      <c r="J1578" s="524">
        <f>IF(cmf[[#This Row],[D/C]]="C",cmf[[#This Row],[Valor]],-1*cmf[[#This Row],[Valor]])</f>
        <v>-13139</v>
      </c>
      <c r="L1578" s="524" t="s">
        <v>1188</v>
      </c>
      <c r="M1578" s="524" t="s">
        <v>1189</v>
      </c>
      <c r="N1578" s="524" t="s">
        <v>1223</v>
      </c>
      <c r="O1578" s="524" t="s">
        <v>1224</v>
      </c>
      <c r="P1578" s="526">
        <v>46223</v>
      </c>
      <c r="S1578" s="527">
        <v>0</v>
      </c>
    </row>
    <row r="1579" spans="1:19" x14ac:dyDescent="0.2">
      <c r="A1579" s="524">
        <v>70067</v>
      </c>
      <c r="B1579" s="526">
        <v>46223</v>
      </c>
      <c r="C1579" s="524" t="s">
        <v>1148</v>
      </c>
      <c r="D1579" s="524" t="s">
        <v>1186</v>
      </c>
      <c r="E1579" s="524" t="s">
        <v>2198</v>
      </c>
      <c r="F1579" s="524" t="s">
        <v>1183</v>
      </c>
      <c r="G1579" s="524" t="s">
        <v>758</v>
      </c>
      <c r="H1579" s="527">
        <v>30266.62</v>
      </c>
      <c r="I1579" s="524" t="s">
        <v>1174</v>
      </c>
      <c r="J1579" s="524">
        <f>IF(cmf[[#This Row],[D/C]]="C",cmf[[#This Row],[Valor]],-1*cmf[[#This Row],[Valor]])</f>
        <v>-30266.62</v>
      </c>
      <c r="L1579" s="524" t="s">
        <v>1188</v>
      </c>
      <c r="M1579" s="524" t="s">
        <v>1189</v>
      </c>
      <c r="N1579" s="524" t="s">
        <v>1223</v>
      </c>
      <c r="O1579" s="524" t="s">
        <v>1224</v>
      </c>
      <c r="P1579" s="526">
        <v>46223</v>
      </c>
      <c r="S1579" s="527">
        <v>0</v>
      </c>
    </row>
    <row r="1580" spans="1:19" x14ac:dyDescent="0.2">
      <c r="A1580" s="524">
        <v>70068</v>
      </c>
      <c r="B1580" s="526">
        <v>46223</v>
      </c>
      <c r="C1580" s="524" t="s">
        <v>1148</v>
      </c>
      <c r="D1580" s="524" t="s">
        <v>1186</v>
      </c>
      <c r="E1580" s="524" t="s">
        <v>2199</v>
      </c>
      <c r="F1580" s="524" t="s">
        <v>1183</v>
      </c>
      <c r="G1580" s="524" t="s">
        <v>745</v>
      </c>
      <c r="H1580" s="527">
        <v>2100</v>
      </c>
      <c r="I1580" s="524" t="s">
        <v>1174</v>
      </c>
      <c r="J1580" s="524">
        <f>IF(cmf[[#This Row],[D/C]]="C",cmf[[#This Row],[Valor]],-1*cmf[[#This Row],[Valor]])</f>
        <v>-2100</v>
      </c>
      <c r="L1580" s="524" t="s">
        <v>1188</v>
      </c>
      <c r="M1580" s="524" t="s">
        <v>1189</v>
      </c>
      <c r="N1580" s="524" t="s">
        <v>1292</v>
      </c>
      <c r="O1580" s="524" t="s">
        <v>1293</v>
      </c>
      <c r="P1580" s="526">
        <v>46223</v>
      </c>
      <c r="S1580" s="527">
        <v>0</v>
      </c>
    </row>
    <row r="1581" spans="1:19" x14ac:dyDescent="0.2">
      <c r="A1581" s="524">
        <v>70069</v>
      </c>
      <c r="B1581" s="526">
        <v>46223</v>
      </c>
      <c r="C1581" s="524" t="s">
        <v>1148</v>
      </c>
      <c r="D1581" s="524" t="s">
        <v>1186</v>
      </c>
      <c r="E1581" s="524" t="s">
        <v>2200</v>
      </c>
      <c r="F1581" s="524" t="s">
        <v>1183</v>
      </c>
      <c r="G1581" s="524" t="s">
        <v>745</v>
      </c>
      <c r="H1581" s="527">
        <v>5000</v>
      </c>
      <c r="I1581" s="524" t="s">
        <v>1174</v>
      </c>
      <c r="J1581" s="524">
        <f>IF(cmf[[#This Row],[D/C]]="C",cmf[[#This Row],[Valor]],-1*cmf[[#This Row],[Valor]])</f>
        <v>-5000</v>
      </c>
      <c r="L1581" s="524" t="s">
        <v>1188</v>
      </c>
      <c r="M1581" s="524" t="s">
        <v>1189</v>
      </c>
      <c r="N1581" s="524" t="s">
        <v>1292</v>
      </c>
      <c r="O1581" s="524" t="s">
        <v>1293</v>
      </c>
      <c r="P1581" s="526">
        <v>46223</v>
      </c>
      <c r="S1581" s="527">
        <v>0</v>
      </c>
    </row>
    <row r="1582" spans="1:19" x14ac:dyDescent="0.2">
      <c r="A1582" s="524">
        <v>70076</v>
      </c>
      <c r="B1582" s="526">
        <v>46223</v>
      </c>
      <c r="C1582" s="524" t="s">
        <v>1162</v>
      </c>
      <c r="D1582" s="524" t="s">
        <v>1163</v>
      </c>
      <c r="E1582" s="524" t="s">
        <v>1173</v>
      </c>
      <c r="F1582" s="524" t="s">
        <v>1170</v>
      </c>
      <c r="G1582" s="524" t="s">
        <v>798</v>
      </c>
      <c r="H1582" s="527">
        <v>4.5</v>
      </c>
      <c r="I1582" s="524" t="s">
        <v>1174</v>
      </c>
      <c r="J1582" s="524">
        <f>IF(cmf[[#This Row],[D/C]]="C",cmf[[#This Row],[Valor]],-1*cmf[[#This Row],[Valor]])</f>
        <v>-4.5</v>
      </c>
      <c r="L1582" s="524" t="s">
        <v>1175</v>
      </c>
      <c r="M1582" s="524" t="s">
        <v>1176</v>
      </c>
      <c r="N1582" s="524" t="s">
        <v>1171</v>
      </c>
      <c r="O1582" s="524" t="s">
        <v>1172</v>
      </c>
      <c r="P1582" s="526"/>
      <c r="S1582" s="527">
        <v>0</v>
      </c>
    </row>
    <row r="1583" spans="1:19" x14ac:dyDescent="0.2">
      <c r="A1583" s="524">
        <v>70081</v>
      </c>
      <c r="B1583" s="526">
        <v>46223</v>
      </c>
      <c r="C1583" s="524" t="s">
        <v>1148</v>
      </c>
      <c r="D1583" s="524" t="s">
        <v>1186</v>
      </c>
      <c r="E1583" s="524" t="s">
        <v>2201</v>
      </c>
      <c r="F1583" s="524" t="s">
        <v>1178</v>
      </c>
      <c r="G1583" s="524" t="s">
        <v>1179</v>
      </c>
      <c r="H1583" s="527">
        <v>11634.1</v>
      </c>
      <c r="I1583" s="524" t="s">
        <v>1174</v>
      </c>
      <c r="J1583" s="524">
        <f>IF(cmf[[#This Row],[D/C]]="C",cmf[[#This Row],[Valor]],-1*cmf[[#This Row],[Valor]])</f>
        <v>-11634.1</v>
      </c>
      <c r="L1583" s="524" t="s">
        <v>1188</v>
      </c>
      <c r="M1583" s="524" t="s">
        <v>1189</v>
      </c>
      <c r="N1583" s="524" t="s">
        <v>1180</v>
      </c>
      <c r="O1583" s="524" t="s">
        <v>1181</v>
      </c>
      <c r="P1583" s="526">
        <v>46223</v>
      </c>
      <c r="S1583" s="527">
        <v>0</v>
      </c>
    </row>
    <row r="1584" spans="1:19" x14ac:dyDescent="0.2">
      <c r="A1584" s="524">
        <v>70082</v>
      </c>
      <c r="B1584" s="526">
        <v>46223</v>
      </c>
      <c r="C1584" s="524" t="s">
        <v>1148</v>
      </c>
      <c r="D1584" s="524" t="s">
        <v>1186</v>
      </c>
      <c r="E1584" s="524" t="s">
        <v>2202</v>
      </c>
      <c r="F1584" s="524" t="s">
        <v>1178</v>
      </c>
      <c r="G1584" s="524" t="s">
        <v>1179</v>
      </c>
      <c r="H1584" s="527">
        <v>6103.12</v>
      </c>
      <c r="I1584" s="524" t="s">
        <v>1174</v>
      </c>
      <c r="J1584" s="524">
        <f>IF(cmf[[#This Row],[D/C]]="C",cmf[[#This Row],[Valor]],-1*cmf[[#This Row],[Valor]])</f>
        <v>-6103.12</v>
      </c>
      <c r="L1584" s="524" t="s">
        <v>1188</v>
      </c>
      <c r="M1584" s="524" t="s">
        <v>1189</v>
      </c>
      <c r="N1584" s="524" t="s">
        <v>1180</v>
      </c>
      <c r="O1584" s="524" t="s">
        <v>1181</v>
      </c>
      <c r="P1584" s="526">
        <v>46223</v>
      </c>
      <c r="S1584" s="527">
        <v>0</v>
      </c>
    </row>
    <row r="1585" spans="1:19" x14ac:dyDescent="0.2">
      <c r="A1585" s="524">
        <v>70083</v>
      </c>
      <c r="B1585" s="526">
        <v>46223</v>
      </c>
      <c r="C1585" s="524" t="s">
        <v>1148</v>
      </c>
      <c r="D1585" s="524" t="s">
        <v>1186</v>
      </c>
      <c r="E1585" s="524" t="s">
        <v>2203</v>
      </c>
      <c r="F1585" s="524" t="s">
        <v>1178</v>
      </c>
      <c r="G1585" s="524" t="s">
        <v>1179</v>
      </c>
      <c r="H1585" s="527">
        <v>500</v>
      </c>
      <c r="I1585" s="524" t="s">
        <v>1174</v>
      </c>
      <c r="J1585" s="524">
        <f>IF(cmf[[#This Row],[D/C]]="C",cmf[[#This Row],[Valor]],-1*cmf[[#This Row],[Valor]])</f>
        <v>-500</v>
      </c>
      <c r="L1585" s="524" t="s">
        <v>1188</v>
      </c>
      <c r="M1585" s="524" t="s">
        <v>1189</v>
      </c>
      <c r="N1585" s="524" t="s">
        <v>1180</v>
      </c>
      <c r="O1585" s="524" t="s">
        <v>1181</v>
      </c>
      <c r="P1585" s="526">
        <v>46223</v>
      </c>
      <c r="S1585" s="527">
        <v>0</v>
      </c>
    </row>
    <row r="1586" spans="1:19" x14ac:dyDescent="0.2">
      <c r="A1586" s="524">
        <v>70084</v>
      </c>
      <c r="B1586" s="526">
        <v>46223</v>
      </c>
      <c r="C1586" s="524" t="s">
        <v>1148</v>
      </c>
      <c r="D1586" s="524" t="s">
        <v>1186</v>
      </c>
      <c r="E1586" s="524" t="s">
        <v>2204</v>
      </c>
      <c r="F1586" s="524" t="s">
        <v>1178</v>
      </c>
      <c r="G1586" s="524" t="s">
        <v>1179</v>
      </c>
      <c r="H1586" s="527">
        <v>2100</v>
      </c>
      <c r="I1586" s="524" t="s">
        <v>1174</v>
      </c>
      <c r="J1586" s="524">
        <f>IF(cmf[[#This Row],[D/C]]="C",cmf[[#This Row],[Valor]],-1*cmf[[#This Row],[Valor]])</f>
        <v>-2100</v>
      </c>
      <c r="L1586" s="524" t="s">
        <v>1188</v>
      </c>
      <c r="M1586" s="524" t="s">
        <v>1189</v>
      </c>
      <c r="N1586" s="524" t="s">
        <v>1180</v>
      </c>
      <c r="O1586" s="524" t="s">
        <v>1181</v>
      </c>
      <c r="P1586" s="526">
        <v>46223</v>
      </c>
      <c r="S1586" s="527">
        <v>0</v>
      </c>
    </row>
    <row r="1587" spans="1:19" x14ac:dyDescent="0.2">
      <c r="A1587" s="524">
        <v>70086</v>
      </c>
      <c r="B1587" s="526">
        <v>46223</v>
      </c>
      <c r="C1587" s="524" t="s">
        <v>1148</v>
      </c>
      <c r="D1587" s="524" t="s">
        <v>1186</v>
      </c>
      <c r="E1587" s="524" t="s">
        <v>2205</v>
      </c>
      <c r="F1587" s="524" t="s">
        <v>1178</v>
      </c>
      <c r="G1587" s="524" t="s">
        <v>1179</v>
      </c>
      <c r="H1587" s="527">
        <v>1085.9100000000001</v>
      </c>
      <c r="I1587" s="524" t="s">
        <v>1174</v>
      </c>
      <c r="J1587" s="524">
        <f>IF(cmf[[#This Row],[D/C]]="C",cmf[[#This Row],[Valor]],-1*cmf[[#This Row],[Valor]])</f>
        <v>-1085.9100000000001</v>
      </c>
      <c r="L1587" s="524" t="s">
        <v>1188</v>
      </c>
      <c r="M1587" s="524" t="s">
        <v>1189</v>
      </c>
      <c r="N1587" s="524" t="s">
        <v>1180</v>
      </c>
      <c r="O1587" s="524" t="s">
        <v>1181</v>
      </c>
      <c r="P1587" s="526">
        <v>46223</v>
      </c>
      <c r="S1587" s="527">
        <v>0</v>
      </c>
    </row>
    <row r="1588" spans="1:19" x14ac:dyDescent="0.2">
      <c r="A1588" s="524">
        <v>70087</v>
      </c>
      <c r="B1588" s="526">
        <v>46223</v>
      </c>
      <c r="C1588" s="524" t="s">
        <v>1148</v>
      </c>
      <c r="D1588" s="524" t="s">
        <v>1186</v>
      </c>
      <c r="E1588" s="524" t="s">
        <v>2206</v>
      </c>
      <c r="F1588" s="524" t="s">
        <v>1178</v>
      </c>
      <c r="G1588" s="524" t="s">
        <v>1179</v>
      </c>
      <c r="H1588" s="527">
        <v>1400</v>
      </c>
      <c r="I1588" s="524" t="s">
        <v>1174</v>
      </c>
      <c r="J1588" s="524">
        <f>IF(cmf[[#This Row],[D/C]]="C",cmf[[#This Row],[Valor]],-1*cmf[[#This Row],[Valor]])</f>
        <v>-1400</v>
      </c>
      <c r="L1588" s="524" t="s">
        <v>1188</v>
      </c>
      <c r="M1588" s="524" t="s">
        <v>1189</v>
      </c>
      <c r="N1588" s="524" t="s">
        <v>1180</v>
      </c>
      <c r="O1588" s="524" t="s">
        <v>1181</v>
      </c>
      <c r="P1588" s="526">
        <v>46223</v>
      </c>
      <c r="S1588" s="527">
        <v>0</v>
      </c>
    </row>
    <row r="1589" spans="1:19" x14ac:dyDescent="0.2">
      <c r="A1589" s="524">
        <v>70088</v>
      </c>
      <c r="B1589" s="526">
        <v>46223</v>
      </c>
      <c r="C1589" s="524" t="s">
        <v>1148</v>
      </c>
      <c r="D1589" s="524" t="s">
        <v>1186</v>
      </c>
      <c r="E1589" s="524" t="s">
        <v>2207</v>
      </c>
      <c r="F1589" s="524" t="s">
        <v>1178</v>
      </c>
      <c r="G1589" s="524" t="s">
        <v>1179</v>
      </c>
      <c r="H1589" s="527">
        <v>1987.6</v>
      </c>
      <c r="I1589" s="524" t="s">
        <v>1174</v>
      </c>
      <c r="J1589" s="524">
        <f>IF(cmf[[#This Row],[D/C]]="C",cmf[[#This Row],[Valor]],-1*cmf[[#This Row],[Valor]])</f>
        <v>-1987.6</v>
      </c>
      <c r="L1589" s="524" t="s">
        <v>1188</v>
      </c>
      <c r="M1589" s="524" t="s">
        <v>1189</v>
      </c>
      <c r="N1589" s="524" t="s">
        <v>1180</v>
      </c>
      <c r="O1589" s="524" t="s">
        <v>1181</v>
      </c>
      <c r="P1589" s="526">
        <v>46223</v>
      </c>
      <c r="S1589" s="527">
        <v>0</v>
      </c>
    </row>
    <row r="1590" spans="1:19" x14ac:dyDescent="0.2">
      <c r="A1590" s="524">
        <v>70089</v>
      </c>
      <c r="B1590" s="526">
        <v>46223</v>
      </c>
      <c r="C1590" s="524" t="s">
        <v>1148</v>
      </c>
      <c r="D1590" s="524" t="s">
        <v>1186</v>
      </c>
      <c r="E1590" s="524" t="s">
        <v>2208</v>
      </c>
      <c r="F1590" s="524" t="s">
        <v>1178</v>
      </c>
      <c r="G1590" s="524" t="s">
        <v>1179</v>
      </c>
      <c r="H1590" s="527">
        <v>2000</v>
      </c>
      <c r="I1590" s="524" t="s">
        <v>1174</v>
      </c>
      <c r="J1590" s="524">
        <f>IF(cmf[[#This Row],[D/C]]="C",cmf[[#This Row],[Valor]],-1*cmf[[#This Row],[Valor]])</f>
        <v>-2000</v>
      </c>
      <c r="L1590" s="524" t="s">
        <v>1188</v>
      </c>
      <c r="M1590" s="524" t="s">
        <v>1189</v>
      </c>
      <c r="N1590" s="524" t="s">
        <v>1180</v>
      </c>
      <c r="O1590" s="524" t="s">
        <v>1181</v>
      </c>
      <c r="P1590" s="526">
        <v>46223</v>
      </c>
      <c r="S1590" s="527">
        <v>0</v>
      </c>
    </row>
    <row r="1591" spans="1:19" x14ac:dyDescent="0.2">
      <c r="A1591" s="524">
        <v>70090</v>
      </c>
      <c r="B1591" s="526">
        <v>46223</v>
      </c>
      <c r="C1591" s="524" t="s">
        <v>1148</v>
      </c>
      <c r="D1591" s="524" t="s">
        <v>1186</v>
      </c>
      <c r="E1591" s="524" t="s">
        <v>2209</v>
      </c>
      <c r="F1591" s="524" t="s">
        <v>1178</v>
      </c>
      <c r="G1591" s="524" t="s">
        <v>1179</v>
      </c>
      <c r="H1591" s="527">
        <v>2600</v>
      </c>
      <c r="I1591" s="524" t="s">
        <v>1174</v>
      </c>
      <c r="J1591" s="524">
        <f>IF(cmf[[#This Row],[D/C]]="C",cmf[[#This Row],[Valor]],-1*cmf[[#This Row],[Valor]])</f>
        <v>-2600</v>
      </c>
      <c r="L1591" s="524" t="s">
        <v>1188</v>
      </c>
      <c r="M1591" s="524" t="s">
        <v>1189</v>
      </c>
      <c r="N1591" s="524" t="s">
        <v>1180</v>
      </c>
      <c r="O1591" s="524" t="s">
        <v>1181</v>
      </c>
      <c r="P1591" s="526">
        <v>46223</v>
      </c>
      <c r="S1591" s="527">
        <v>0</v>
      </c>
    </row>
    <row r="1592" spans="1:19" x14ac:dyDescent="0.2">
      <c r="A1592" s="524">
        <v>70091</v>
      </c>
      <c r="B1592" s="526">
        <v>46223</v>
      </c>
      <c r="C1592" s="524" t="s">
        <v>1148</v>
      </c>
      <c r="D1592" s="524" t="s">
        <v>1186</v>
      </c>
      <c r="E1592" s="524" t="s">
        <v>2210</v>
      </c>
      <c r="F1592" s="524" t="s">
        <v>1178</v>
      </c>
      <c r="G1592" s="524" t="s">
        <v>1179</v>
      </c>
      <c r="H1592" s="527">
        <v>451</v>
      </c>
      <c r="I1592" s="524" t="s">
        <v>1174</v>
      </c>
      <c r="J1592" s="524">
        <f>IF(cmf[[#This Row],[D/C]]="C",cmf[[#This Row],[Valor]],-1*cmf[[#This Row],[Valor]])</f>
        <v>-451</v>
      </c>
      <c r="L1592" s="524" t="s">
        <v>1188</v>
      </c>
      <c r="M1592" s="524" t="s">
        <v>1189</v>
      </c>
      <c r="N1592" s="524" t="s">
        <v>1180</v>
      </c>
      <c r="O1592" s="524" t="s">
        <v>1181</v>
      </c>
      <c r="P1592" s="526">
        <v>46223</v>
      </c>
      <c r="S1592" s="527">
        <v>0</v>
      </c>
    </row>
    <row r="1593" spans="1:19" x14ac:dyDescent="0.2">
      <c r="A1593" s="524">
        <v>70092</v>
      </c>
      <c r="B1593" s="526">
        <v>46223</v>
      </c>
      <c r="C1593" s="524" t="s">
        <v>1148</v>
      </c>
      <c r="D1593" s="524" t="s">
        <v>1186</v>
      </c>
      <c r="E1593" s="524" t="s">
        <v>2211</v>
      </c>
      <c r="F1593" s="524" t="s">
        <v>1178</v>
      </c>
      <c r="G1593" s="524" t="s">
        <v>1179</v>
      </c>
      <c r="H1593" s="527">
        <v>415</v>
      </c>
      <c r="I1593" s="524" t="s">
        <v>1174</v>
      </c>
      <c r="J1593" s="524">
        <f>IF(cmf[[#This Row],[D/C]]="C",cmf[[#This Row],[Valor]],-1*cmf[[#This Row],[Valor]])</f>
        <v>-415</v>
      </c>
      <c r="L1593" s="524" t="s">
        <v>1188</v>
      </c>
      <c r="M1593" s="524" t="s">
        <v>1189</v>
      </c>
      <c r="N1593" s="524" t="s">
        <v>1180</v>
      </c>
      <c r="O1593" s="524" t="s">
        <v>1181</v>
      </c>
      <c r="P1593" s="526">
        <v>46223</v>
      </c>
      <c r="S1593" s="527">
        <v>0</v>
      </c>
    </row>
    <row r="1594" spans="1:19" x14ac:dyDescent="0.2">
      <c r="A1594" s="524">
        <v>70093</v>
      </c>
      <c r="B1594" s="526">
        <v>46223</v>
      </c>
      <c r="C1594" s="524" t="s">
        <v>1148</v>
      </c>
      <c r="D1594" s="524" t="s">
        <v>1186</v>
      </c>
      <c r="E1594" s="524" t="s">
        <v>2212</v>
      </c>
      <c r="F1594" s="524" t="s">
        <v>1178</v>
      </c>
      <c r="G1594" s="524" t="s">
        <v>1179</v>
      </c>
      <c r="H1594" s="527">
        <v>162</v>
      </c>
      <c r="I1594" s="524" t="s">
        <v>1174</v>
      </c>
      <c r="J1594" s="524">
        <f>IF(cmf[[#This Row],[D/C]]="C",cmf[[#This Row],[Valor]],-1*cmf[[#This Row],[Valor]])</f>
        <v>-162</v>
      </c>
      <c r="L1594" s="524" t="s">
        <v>1188</v>
      </c>
      <c r="M1594" s="524" t="s">
        <v>1189</v>
      </c>
      <c r="N1594" s="524" t="s">
        <v>1180</v>
      </c>
      <c r="O1594" s="524" t="s">
        <v>1181</v>
      </c>
      <c r="P1594" s="526">
        <v>46223</v>
      </c>
      <c r="S1594" s="527">
        <v>0</v>
      </c>
    </row>
    <row r="1595" spans="1:19" x14ac:dyDescent="0.2">
      <c r="A1595" s="524">
        <v>70094</v>
      </c>
      <c r="B1595" s="526">
        <v>46223</v>
      </c>
      <c r="C1595" s="524" t="s">
        <v>1148</v>
      </c>
      <c r="D1595" s="524" t="s">
        <v>1186</v>
      </c>
      <c r="E1595" s="524" t="s">
        <v>2213</v>
      </c>
      <c r="F1595" s="524" t="s">
        <v>1178</v>
      </c>
      <c r="G1595" s="524" t="s">
        <v>1179</v>
      </c>
      <c r="H1595" s="527">
        <v>1203.5999999999999</v>
      </c>
      <c r="I1595" s="524" t="s">
        <v>1174</v>
      </c>
      <c r="J1595" s="524">
        <f>IF(cmf[[#This Row],[D/C]]="C",cmf[[#This Row],[Valor]],-1*cmf[[#This Row],[Valor]])</f>
        <v>-1203.5999999999999</v>
      </c>
      <c r="L1595" s="524" t="s">
        <v>1188</v>
      </c>
      <c r="M1595" s="524" t="s">
        <v>1189</v>
      </c>
      <c r="N1595" s="524" t="s">
        <v>1180</v>
      </c>
      <c r="O1595" s="524" t="s">
        <v>1181</v>
      </c>
      <c r="P1595" s="526">
        <v>46223</v>
      </c>
      <c r="S1595" s="527">
        <v>0</v>
      </c>
    </row>
    <row r="1596" spans="1:19" x14ac:dyDescent="0.2">
      <c r="A1596" s="524">
        <v>70095</v>
      </c>
      <c r="B1596" s="526">
        <v>46223</v>
      </c>
      <c r="C1596" s="524" t="s">
        <v>1148</v>
      </c>
      <c r="D1596" s="524" t="s">
        <v>1186</v>
      </c>
      <c r="E1596" s="524" t="s">
        <v>2214</v>
      </c>
      <c r="F1596" s="524" t="s">
        <v>1178</v>
      </c>
      <c r="G1596" s="524" t="s">
        <v>1179</v>
      </c>
      <c r="H1596" s="527">
        <v>3749.85</v>
      </c>
      <c r="I1596" s="524" t="s">
        <v>1174</v>
      </c>
      <c r="J1596" s="524">
        <f>IF(cmf[[#This Row],[D/C]]="C",cmf[[#This Row],[Valor]],-1*cmf[[#This Row],[Valor]])</f>
        <v>-3749.85</v>
      </c>
      <c r="L1596" s="524" t="s">
        <v>1188</v>
      </c>
      <c r="M1596" s="524" t="s">
        <v>1189</v>
      </c>
      <c r="N1596" s="524" t="s">
        <v>1180</v>
      </c>
      <c r="O1596" s="524" t="s">
        <v>1181</v>
      </c>
      <c r="P1596" s="526">
        <v>46223</v>
      </c>
      <c r="S1596" s="527">
        <v>0</v>
      </c>
    </row>
    <row r="1597" spans="1:19" x14ac:dyDescent="0.2">
      <c r="A1597" s="524">
        <v>70096</v>
      </c>
      <c r="B1597" s="526">
        <v>46223</v>
      </c>
      <c r="C1597" s="524" t="s">
        <v>1148</v>
      </c>
      <c r="D1597" s="524" t="s">
        <v>1186</v>
      </c>
      <c r="E1597" s="524" t="s">
        <v>2215</v>
      </c>
      <c r="F1597" s="524" t="s">
        <v>1178</v>
      </c>
      <c r="G1597" s="524" t="s">
        <v>1179</v>
      </c>
      <c r="H1597" s="527">
        <v>425</v>
      </c>
      <c r="I1597" s="524" t="s">
        <v>1174</v>
      </c>
      <c r="J1597" s="524">
        <f>IF(cmf[[#This Row],[D/C]]="C",cmf[[#This Row],[Valor]],-1*cmf[[#This Row],[Valor]])</f>
        <v>-425</v>
      </c>
      <c r="L1597" s="524" t="s">
        <v>1188</v>
      </c>
      <c r="M1597" s="524" t="s">
        <v>1189</v>
      </c>
      <c r="N1597" s="524" t="s">
        <v>1180</v>
      </c>
      <c r="O1597" s="524" t="s">
        <v>1181</v>
      </c>
      <c r="P1597" s="526">
        <v>46223</v>
      </c>
      <c r="S1597" s="527">
        <v>0</v>
      </c>
    </row>
    <row r="1598" spans="1:19" x14ac:dyDescent="0.2">
      <c r="A1598" s="524">
        <v>70097</v>
      </c>
      <c r="B1598" s="526">
        <v>46223</v>
      </c>
      <c r="C1598" s="524" t="s">
        <v>1148</v>
      </c>
      <c r="D1598" s="524" t="s">
        <v>1186</v>
      </c>
      <c r="E1598" s="524" t="s">
        <v>2216</v>
      </c>
      <c r="F1598" s="524" t="s">
        <v>1178</v>
      </c>
      <c r="G1598" s="524" t="s">
        <v>1179</v>
      </c>
      <c r="H1598" s="527">
        <v>367</v>
      </c>
      <c r="I1598" s="524" t="s">
        <v>1174</v>
      </c>
      <c r="J1598" s="524">
        <f>IF(cmf[[#This Row],[D/C]]="C",cmf[[#This Row],[Valor]],-1*cmf[[#This Row],[Valor]])</f>
        <v>-367</v>
      </c>
      <c r="L1598" s="524" t="s">
        <v>1188</v>
      </c>
      <c r="M1598" s="524" t="s">
        <v>1189</v>
      </c>
      <c r="N1598" s="524" t="s">
        <v>1180</v>
      </c>
      <c r="O1598" s="524" t="s">
        <v>1181</v>
      </c>
      <c r="P1598" s="526">
        <v>46223</v>
      </c>
      <c r="S1598" s="527">
        <v>0</v>
      </c>
    </row>
    <row r="1599" spans="1:19" x14ac:dyDescent="0.2">
      <c r="A1599" s="524">
        <v>70098</v>
      </c>
      <c r="B1599" s="526">
        <v>46223</v>
      </c>
      <c r="C1599" s="524" t="s">
        <v>1148</v>
      </c>
      <c r="D1599" s="524" t="s">
        <v>1186</v>
      </c>
      <c r="E1599" s="524" t="s">
        <v>2217</v>
      </c>
      <c r="F1599" s="524" t="s">
        <v>1178</v>
      </c>
      <c r="G1599" s="524" t="s">
        <v>1179</v>
      </c>
      <c r="H1599" s="527">
        <v>600</v>
      </c>
      <c r="I1599" s="524" t="s">
        <v>1174</v>
      </c>
      <c r="J1599" s="524">
        <f>IF(cmf[[#This Row],[D/C]]="C",cmf[[#This Row],[Valor]],-1*cmf[[#This Row],[Valor]])</f>
        <v>-600</v>
      </c>
      <c r="L1599" s="524" t="s">
        <v>1188</v>
      </c>
      <c r="M1599" s="524" t="s">
        <v>1189</v>
      </c>
      <c r="N1599" s="524" t="s">
        <v>1180</v>
      </c>
      <c r="O1599" s="524" t="s">
        <v>1181</v>
      </c>
      <c r="P1599" s="526">
        <v>46223</v>
      </c>
      <c r="S1599" s="527">
        <v>0</v>
      </c>
    </row>
    <row r="1600" spans="1:19" x14ac:dyDescent="0.2">
      <c r="A1600" s="524">
        <v>70099</v>
      </c>
      <c r="B1600" s="526">
        <v>46223</v>
      </c>
      <c r="C1600" s="524" t="s">
        <v>1148</v>
      </c>
      <c r="D1600" s="524" t="s">
        <v>1186</v>
      </c>
      <c r="E1600" s="524" t="s">
        <v>2218</v>
      </c>
      <c r="F1600" s="524" t="s">
        <v>1178</v>
      </c>
      <c r="G1600" s="524" t="s">
        <v>1179</v>
      </c>
      <c r="H1600" s="527">
        <v>4841.18</v>
      </c>
      <c r="I1600" s="524" t="s">
        <v>1174</v>
      </c>
      <c r="J1600" s="524">
        <f>IF(cmf[[#This Row],[D/C]]="C",cmf[[#This Row],[Valor]],-1*cmf[[#This Row],[Valor]])</f>
        <v>-4841.18</v>
      </c>
      <c r="L1600" s="524" t="s">
        <v>1188</v>
      </c>
      <c r="M1600" s="524" t="s">
        <v>1189</v>
      </c>
      <c r="N1600" s="524" t="s">
        <v>1180</v>
      </c>
      <c r="O1600" s="524" t="s">
        <v>1181</v>
      </c>
      <c r="P1600" s="526">
        <v>46223</v>
      </c>
      <c r="S1600" s="527">
        <v>0</v>
      </c>
    </row>
    <row r="1601" spans="1:19" x14ac:dyDescent="0.2">
      <c r="A1601" s="524">
        <v>70100</v>
      </c>
      <c r="B1601" s="526">
        <v>46223</v>
      </c>
      <c r="C1601" s="524" t="s">
        <v>1148</v>
      </c>
      <c r="D1601" s="524" t="s">
        <v>1186</v>
      </c>
      <c r="E1601" s="524" t="s">
        <v>2219</v>
      </c>
      <c r="F1601" s="524" t="s">
        <v>1178</v>
      </c>
      <c r="G1601" s="524" t="s">
        <v>1179</v>
      </c>
      <c r="H1601" s="527">
        <v>472.36</v>
      </c>
      <c r="I1601" s="524" t="s">
        <v>1174</v>
      </c>
      <c r="J1601" s="524">
        <f>IF(cmf[[#This Row],[D/C]]="C",cmf[[#This Row],[Valor]],-1*cmf[[#This Row],[Valor]])</f>
        <v>-472.36</v>
      </c>
      <c r="L1601" s="524" t="s">
        <v>1188</v>
      </c>
      <c r="M1601" s="524" t="s">
        <v>1189</v>
      </c>
      <c r="N1601" s="524" t="s">
        <v>1180</v>
      </c>
      <c r="O1601" s="524" t="s">
        <v>1181</v>
      </c>
      <c r="P1601" s="526">
        <v>46223</v>
      </c>
      <c r="S1601" s="527">
        <v>0</v>
      </c>
    </row>
    <row r="1602" spans="1:19" x14ac:dyDescent="0.2">
      <c r="A1602" s="524">
        <v>70123</v>
      </c>
      <c r="B1602" s="526">
        <v>46223</v>
      </c>
      <c r="C1602" s="524" t="s">
        <v>1148</v>
      </c>
      <c r="D1602" s="524" t="s">
        <v>1226</v>
      </c>
      <c r="E1602" s="524" t="s">
        <v>2220</v>
      </c>
      <c r="F1602" s="524" t="s">
        <v>1170</v>
      </c>
      <c r="G1602" s="524" t="s">
        <v>1102</v>
      </c>
      <c r="H1602" s="527">
        <v>3318.09</v>
      </c>
      <c r="I1602" s="524" t="s">
        <v>1148</v>
      </c>
      <c r="J1602" s="524">
        <f>IF(cmf[[#This Row],[D/C]]="C",cmf[[#This Row],[Valor]],-1*cmf[[#This Row],[Valor]])</f>
        <v>3318.09</v>
      </c>
      <c r="L1602" s="524" t="s">
        <v>1230</v>
      </c>
      <c r="M1602" s="524" t="s">
        <v>1231</v>
      </c>
      <c r="N1602" s="524" t="s">
        <v>1192</v>
      </c>
      <c r="O1602" s="524" t="s">
        <v>1193</v>
      </c>
      <c r="P1602" s="526">
        <v>46223</v>
      </c>
      <c r="S1602" s="527">
        <v>0</v>
      </c>
    </row>
    <row r="1603" spans="1:19" x14ac:dyDescent="0.2">
      <c r="A1603" s="524">
        <v>70142</v>
      </c>
      <c r="B1603" s="526">
        <v>46223</v>
      </c>
      <c r="C1603" s="524" t="s">
        <v>1162</v>
      </c>
      <c r="D1603" s="524" t="s">
        <v>1186</v>
      </c>
      <c r="E1603" s="524" t="s">
        <v>2221</v>
      </c>
      <c r="F1603" s="524" t="s">
        <v>1170</v>
      </c>
      <c r="G1603" s="524" t="s">
        <v>771</v>
      </c>
      <c r="H1603" s="527">
        <v>7127.38</v>
      </c>
      <c r="I1603" s="524" t="s">
        <v>1174</v>
      </c>
      <c r="J1603" s="524">
        <f>IF(cmf[[#This Row],[D/C]]="C",cmf[[#This Row],[Valor]],-1*cmf[[#This Row],[Valor]])</f>
        <v>-7127.38</v>
      </c>
      <c r="L1603" s="524" t="s">
        <v>1188</v>
      </c>
      <c r="M1603" s="524" t="s">
        <v>1189</v>
      </c>
      <c r="N1603" s="524" t="s">
        <v>1249</v>
      </c>
      <c r="O1603" s="524" t="s">
        <v>1250</v>
      </c>
      <c r="P1603" s="526"/>
      <c r="S1603" s="527">
        <v>0</v>
      </c>
    </row>
    <row r="1604" spans="1:19" x14ac:dyDescent="0.2">
      <c r="A1604" s="524">
        <v>70143</v>
      </c>
      <c r="B1604" s="526">
        <v>46223</v>
      </c>
      <c r="C1604" s="524" t="s">
        <v>1162</v>
      </c>
      <c r="D1604" s="524" t="s">
        <v>1186</v>
      </c>
      <c r="E1604" s="524" t="s">
        <v>2222</v>
      </c>
      <c r="F1604" s="524" t="s">
        <v>1170</v>
      </c>
      <c r="G1604" s="524" t="s">
        <v>771</v>
      </c>
      <c r="H1604" s="527">
        <v>11133.33</v>
      </c>
      <c r="I1604" s="524" t="s">
        <v>1174</v>
      </c>
      <c r="J1604" s="524">
        <f>IF(cmf[[#This Row],[D/C]]="C",cmf[[#This Row],[Valor]],-1*cmf[[#This Row],[Valor]])</f>
        <v>-11133.33</v>
      </c>
      <c r="L1604" s="524" t="s">
        <v>1188</v>
      </c>
      <c r="M1604" s="524" t="s">
        <v>1189</v>
      </c>
      <c r="N1604" s="524" t="s">
        <v>1249</v>
      </c>
      <c r="O1604" s="524" t="s">
        <v>1250</v>
      </c>
      <c r="P1604" s="526"/>
      <c r="S1604" s="527">
        <v>0</v>
      </c>
    </row>
    <row r="1605" spans="1:19" x14ac:dyDescent="0.2">
      <c r="A1605" s="524">
        <v>70144</v>
      </c>
      <c r="B1605" s="526">
        <v>46223</v>
      </c>
      <c r="C1605" s="524" t="s">
        <v>1162</v>
      </c>
      <c r="D1605" s="524" t="s">
        <v>1186</v>
      </c>
      <c r="E1605" s="524" t="s">
        <v>2223</v>
      </c>
      <c r="F1605" s="524" t="s">
        <v>1170</v>
      </c>
      <c r="G1605" s="524" t="s">
        <v>771</v>
      </c>
      <c r="H1605" s="527">
        <v>2621.1999999999998</v>
      </c>
      <c r="I1605" s="524" t="s">
        <v>1174</v>
      </c>
      <c r="J1605" s="524">
        <f>IF(cmf[[#This Row],[D/C]]="C",cmf[[#This Row],[Valor]],-1*cmf[[#This Row],[Valor]])</f>
        <v>-2621.1999999999998</v>
      </c>
      <c r="L1605" s="524" t="s">
        <v>1188</v>
      </c>
      <c r="M1605" s="524" t="s">
        <v>1189</v>
      </c>
      <c r="N1605" s="524" t="s">
        <v>1249</v>
      </c>
      <c r="O1605" s="524" t="s">
        <v>1250</v>
      </c>
      <c r="P1605" s="526"/>
      <c r="S1605" s="527">
        <v>0</v>
      </c>
    </row>
    <row r="1606" spans="1:19" x14ac:dyDescent="0.2">
      <c r="A1606" s="524">
        <v>70145</v>
      </c>
      <c r="B1606" s="526">
        <v>46223</v>
      </c>
      <c r="C1606" s="524" t="s">
        <v>1162</v>
      </c>
      <c r="D1606" s="524" t="s">
        <v>1186</v>
      </c>
      <c r="E1606" s="524" t="s">
        <v>2224</v>
      </c>
      <c r="F1606" s="524" t="s">
        <v>1170</v>
      </c>
      <c r="G1606" s="524" t="s">
        <v>771</v>
      </c>
      <c r="H1606" s="527">
        <v>1510.9</v>
      </c>
      <c r="I1606" s="524" t="s">
        <v>1174</v>
      </c>
      <c r="J1606" s="524">
        <f>IF(cmf[[#This Row],[D/C]]="C",cmf[[#This Row],[Valor]],-1*cmf[[#This Row],[Valor]])</f>
        <v>-1510.9</v>
      </c>
      <c r="L1606" s="524" t="s">
        <v>1188</v>
      </c>
      <c r="M1606" s="524" t="s">
        <v>1189</v>
      </c>
      <c r="N1606" s="524" t="s">
        <v>1249</v>
      </c>
      <c r="O1606" s="524" t="s">
        <v>1250</v>
      </c>
      <c r="P1606" s="526"/>
      <c r="S1606" s="527">
        <v>0</v>
      </c>
    </row>
    <row r="1607" spans="1:19" x14ac:dyDescent="0.2">
      <c r="A1607" s="524">
        <v>70146</v>
      </c>
      <c r="B1607" s="526">
        <v>46223</v>
      </c>
      <c r="C1607" s="524" t="s">
        <v>1162</v>
      </c>
      <c r="D1607" s="524" t="s">
        <v>1186</v>
      </c>
      <c r="E1607" s="524" t="s">
        <v>2225</v>
      </c>
      <c r="F1607" s="524" t="s">
        <v>1170</v>
      </c>
      <c r="G1607" s="524" t="s">
        <v>771</v>
      </c>
      <c r="H1607" s="527">
        <v>321.08</v>
      </c>
      <c r="I1607" s="524" t="s">
        <v>1174</v>
      </c>
      <c r="J1607" s="524">
        <f>IF(cmf[[#This Row],[D/C]]="C",cmf[[#This Row],[Valor]],-1*cmf[[#This Row],[Valor]])</f>
        <v>-321.08</v>
      </c>
      <c r="L1607" s="524" t="s">
        <v>1188</v>
      </c>
      <c r="M1607" s="524" t="s">
        <v>1189</v>
      </c>
      <c r="N1607" s="524" t="s">
        <v>1249</v>
      </c>
      <c r="O1607" s="524" t="s">
        <v>1250</v>
      </c>
      <c r="P1607" s="526"/>
      <c r="S1607" s="527">
        <v>0</v>
      </c>
    </row>
    <row r="1608" spans="1:19" x14ac:dyDescent="0.2">
      <c r="A1608" s="524">
        <v>70147</v>
      </c>
      <c r="B1608" s="526">
        <v>46223</v>
      </c>
      <c r="C1608" s="524" t="s">
        <v>1162</v>
      </c>
      <c r="D1608" s="524" t="s">
        <v>1186</v>
      </c>
      <c r="E1608" s="524" t="s">
        <v>2226</v>
      </c>
      <c r="F1608" s="524" t="s">
        <v>1170</v>
      </c>
      <c r="G1608" s="524" t="s">
        <v>771</v>
      </c>
      <c r="H1608" s="527">
        <v>311.8</v>
      </c>
      <c r="I1608" s="524" t="s">
        <v>1174</v>
      </c>
      <c r="J1608" s="524">
        <f>IF(cmf[[#This Row],[D/C]]="C",cmf[[#This Row],[Valor]],-1*cmf[[#This Row],[Valor]])</f>
        <v>-311.8</v>
      </c>
      <c r="L1608" s="524" t="s">
        <v>1188</v>
      </c>
      <c r="M1608" s="524" t="s">
        <v>1189</v>
      </c>
      <c r="N1608" s="524" t="s">
        <v>1249</v>
      </c>
      <c r="O1608" s="524" t="s">
        <v>1250</v>
      </c>
      <c r="P1608" s="526"/>
      <c r="S1608" s="527">
        <v>0</v>
      </c>
    </row>
    <row r="1609" spans="1:19" x14ac:dyDescent="0.2">
      <c r="A1609" s="524">
        <v>70158</v>
      </c>
      <c r="B1609" s="526">
        <v>46223</v>
      </c>
      <c r="C1609" s="524" t="s">
        <v>1162</v>
      </c>
      <c r="D1609" s="524" t="s">
        <v>1186</v>
      </c>
      <c r="E1609" s="524" t="s">
        <v>2227</v>
      </c>
      <c r="F1609" s="524" t="s">
        <v>1170</v>
      </c>
      <c r="G1609" s="524" t="s">
        <v>775</v>
      </c>
      <c r="H1609" s="527">
        <v>7723.33</v>
      </c>
      <c r="I1609" s="524" t="s">
        <v>1174</v>
      </c>
      <c r="J1609" s="524">
        <f>IF(cmf[[#This Row],[D/C]]="C",cmf[[#This Row],[Valor]],-1*cmf[[#This Row],[Valor]])</f>
        <v>-7723.33</v>
      </c>
      <c r="L1609" s="524" t="s">
        <v>1188</v>
      </c>
      <c r="M1609" s="524" t="s">
        <v>1189</v>
      </c>
      <c r="N1609" s="524" t="s">
        <v>1212</v>
      </c>
      <c r="O1609" s="524" t="s">
        <v>1213</v>
      </c>
      <c r="P1609" s="526"/>
      <c r="S1609" s="527">
        <v>0</v>
      </c>
    </row>
    <row r="1610" spans="1:19" x14ac:dyDescent="0.2">
      <c r="A1610" s="524">
        <v>70159</v>
      </c>
      <c r="B1610" s="526">
        <v>46223</v>
      </c>
      <c r="C1610" s="524" t="s">
        <v>1162</v>
      </c>
      <c r="D1610" s="524" t="s">
        <v>1186</v>
      </c>
      <c r="E1610" s="524" t="s">
        <v>2228</v>
      </c>
      <c r="F1610" s="524" t="s">
        <v>1170</v>
      </c>
      <c r="G1610" s="524" t="s">
        <v>775</v>
      </c>
      <c r="H1610" s="527">
        <v>1129.69</v>
      </c>
      <c r="I1610" s="524" t="s">
        <v>1174</v>
      </c>
      <c r="J1610" s="524">
        <f>IF(cmf[[#This Row],[D/C]]="C",cmf[[#This Row],[Valor]],-1*cmf[[#This Row],[Valor]])</f>
        <v>-1129.69</v>
      </c>
      <c r="L1610" s="524" t="s">
        <v>1188</v>
      </c>
      <c r="M1610" s="524" t="s">
        <v>1189</v>
      </c>
      <c r="N1610" s="524" t="s">
        <v>1212</v>
      </c>
      <c r="O1610" s="524" t="s">
        <v>1213</v>
      </c>
      <c r="P1610" s="526"/>
      <c r="S1610" s="527">
        <v>0</v>
      </c>
    </row>
    <row r="1611" spans="1:19" x14ac:dyDescent="0.2">
      <c r="A1611" s="524">
        <v>70160</v>
      </c>
      <c r="B1611" s="526">
        <v>46223</v>
      </c>
      <c r="C1611" s="524" t="s">
        <v>1162</v>
      </c>
      <c r="D1611" s="524" t="s">
        <v>1186</v>
      </c>
      <c r="E1611" s="524" t="s">
        <v>2229</v>
      </c>
      <c r="F1611" s="524" t="s">
        <v>1170</v>
      </c>
      <c r="G1611" s="524" t="s">
        <v>775</v>
      </c>
      <c r="H1611" s="527">
        <v>24769.17</v>
      </c>
      <c r="I1611" s="524" t="s">
        <v>1174</v>
      </c>
      <c r="J1611" s="524">
        <f>IF(cmf[[#This Row],[D/C]]="C",cmf[[#This Row],[Valor]],-1*cmf[[#This Row],[Valor]])</f>
        <v>-24769.17</v>
      </c>
      <c r="L1611" s="524" t="s">
        <v>1188</v>
      </c>
      <c r="M1611" s="524" t="s">
        <v>1189</v>
      </c>
      <c r="N1611" s="524" t="s">
        <v>1212</v>
      </c>
      <c r="O1611" s="524" t="s">
        <v>1213</v>
      </c>
      <c r="P1611" s="526"/>
      <c r="S1611" s="527">
        <v>0</v>
      </c>
    </row>
    <row r="1612" spans="1:19" x14ac:dyDescent="0.2">
      <c r="A1612" s="524">
        <v>70161</v>
      </c>
      <c r="B1612" s="526">
        <v>46223</v>
      </c>
      <c r="C1612" s="524" t="s">
        <v>1162</v>
      </c>
      <c r="D1612" s="524" t="s">
        <v>1186</v>
      </c>
      <c r="E1612" s="524" t="s">
        <v>2230</v>
      </c>
      <c r="F1612" s="524" t="s">
        <v>1170</v>
      </c>
      <c r="G1612" s="524" t="s">
        <v>775</v>
      </c>
      <c r="H1612" s="527">
        <v>321.08</v>
      </c>
      <c r="I1612" s="524" t="s">
        <v>1174</v>
      </c>
      <c r="J1612" s="524">
        <f>IF(cmf[[#This Row],[D/C]]="C",cmf[[#This Row],[Valor]],-1*cmf[[#This Row],[Valor]])</f>
        <v>-321.08</v>
      </c>
      <c r="L1612" s="524" t="s">
        <v>1188</v>
      </c>
      <c r="M1612" s="524" t="s">
        <v>1189</v>
      </c>
      <c r="N1612" s="524" t="s">
        <v>1212</v>
      </c>
      <c r="O1612" s="524" t="s">
        <v>1213</v>
      </c>
      <c r="P1612" s="526"/>
      <c r="S1612" s="527">
        <v>0</v>
      </c>
    </row>
    <row r="1613" spans="1:19" x14ac:dyDescent="0.2">
      <c r="A1613" s="524">
        <v>70162</v>
      </c>
      <c r="B1613" s="526">
        <v>46223</v>
      </c>
      <c r="C1613" s="524" t="s">
        <v>1162</v>
      </c>
      <c r="D1613" s="524" t="s">
        <v>1186</v>
      </c>
      <c r="E1613" s="524" t="s">
        <v>2231</v>
      </c>
      <c r="F1613" s="524" t="s">
        <v>1170</v>
      </c>
      <c r="G1613" s="524" t="s">
        <v>775</v>
      </c>
      <c r="H1613" s="527">
        <v>1161.8599999999999</v>
      </c>
      <c r="I1613" s="524" t="s">
        <v>1174</v>
      </c>
      <c r="J1613" s="524">
        <f>IF(cmf[[#This Row],[D/C]]="C",cmf[[#This Row],[Valor]],-1*cmf[[#This Row],[Valor]])</f>
        <v>-1161.8599999999999</v>
      </c>
      <c r="L1613" s="524" t="s">
        <v>1188</v>
      </c>
      <c r="M1613" s="524" t="s">
        <v>1189</v>
      </c>
      <c r="N1613" s="524" t="s">
        <v>1212</v>
      </c>
      <c r="O1613" s="524" t="s">
        <v>1213</v>
      </c>
      <c r="P1613" s="526"/>
      <c r="S1613" s="527">
        <v>0</v>
      </c>
    </row>
    <row r="1614" spans="1:19" x14ac:dyDescent="0.2">
      <c r="A1614" s="524">
        <v>70194</v>
      </c>
      <c r="B1614" s="526">
        <v>46223</v>
      </c>
      <c r="C1614" s="524" t="s">
        <v>1148</v>
      </c>
      <c r="D1614" s="524" t="s">
        <v>1243</v>
      </c>
      <c r="E1614" s="524" t="s">
        <v>1266</v>
      </c>
      <c r="F1614" s="524" t="s">
        <v>1183</v>
      </c>
      <c r="G1614" s="524" t="s">
        <v>769</v>
      </c>
      <c r="H1614" s="527">
        <v>20052.61</v>
      </c>
      <c r="I1614" s="524" t="s">
        <v>1174</v>
      </c>
      <c r="J1614" s="524">
        <f>IF(cmf[[#This Row],[D/C]]="C",cmf[[#This Row],[Valor]],-1*cmf[[#This Row],[Valor]])</f>
        <v>-20052.61</v>
      </c>
      <c r="L1614" s="524" t="s">
        <v>1245</v>
      </c>
      <c r="M1614" s="524" t="s">
        <v>1246</v>
      </c>
      <c r="N1614" s="524" t="s">
        <v>1219</v>
      </c>
      <c r="O1614" s="524" t="s">
        <v>1220</v>
      </c>
      <c r="P1614" s="526">
        <v>46223</v>
      </c>
      <c r="S1614" s="527">
        <v>0</v>
      </c>
    </row>
    <row r="1615" spans="1:19" x14ac:dyDescent="0.2">
      <c r="A1615" s="524">
        <v>70197</v>
      </c>
      <c r="B1615" s="526">
        <v>46223</v>
      </c>
      <c r="C1615" s="524" t="s">
        <v>1148</v>
      </c>
      <c r="D1615" s="524" t="s">
        <v>1239</v>
      </c>
      <c r="E1615" s="524" t="s">
        <v>2232</v>
      </c>
      <c r="F1615" s="524" t="s">
        <v>1183</v>
      </c>
      <c r="G1615" s="524" t="s">
        <v>769</v>
      </c>
      <c r="H1615" s="527">
        <v>1500</v>
      </c>
      <c r="I1615" s="524" t="s">
        <v>1174</v>
      </c>
      <c r="J1615" s="524">
        <f>IF(cmf[[#This Row],[D/C]]="C",cmf[[#This Row],[Valor]],-1*cmf[[#This Row],[Valor]])</f>
        <v>-1500</v>
      </c>
      <c r="L1615" s="524" t="s">
        <v>1823</v>
      </c>
      <c r="M1615" s="524" t="s">
        <v>1824</v>
      </c>
      <c r="N1615" s="524" t="s">
        <v>1219</v>
      </c>
      <c r="O1615" s="524" t="s">
        <v>1220</v>
      </c>
      <c r="P1615" s="526">
        <v>46223</v>
      </c>
      <c r="S1615" s="527">
        <v>0</v>
      </c>
    </row>
    <row r="1616" spans="1:19" x14ac:dyDescent="0.2">
      <c r="A1616" s="524">
        <v>70202</v>
      </c>
      <c r="B1616" s="526">
        <v>46223</v>
      </c>
      <c r="C1616" s="524" t="s">
        <v>1148</v>
      </c>
      <c r="D1616" s="524" t="s">
        <v>1243</v>
      </c>
      <c r="E1616" s="524" t="s">
        <v>1266</v>
      </c>
      <c r="F1616" s="524" t="s">
        <v>1183</v>
      </c>
      <c r="G1616" s="524" t="s">
        <v>758</v>
      </c>
      <c r="H1616" s="527">
        <v>46139.22</v>
      </c>
      <c r="I1616" s="524" t="s">
        <v>1174</v>
      </c>
      <c r="J1616" s="524">
        <f>IF(cmf[[#This Row],[D/C]]="C",cmf[[#This Row],[Valor]],-1*cmf[[#This Row],[Valor]])</f>
        <v>-46139.22</v>
      </c>
      <c r="L1616" s="524" t="s">
        <v>1245</v>
      </c>
      <c r="M1616" s="524" t="s">
        <v>1246</v>
      </c>
      <c r="N1616" s="524" t="s">
        <v>1223</v>
      </c>
      <c r="O1616" s="524" t="s">
        <v>1224</v>
      </c>
      <c r="P1616" s="526">
        <v>46223</v>
      </c>
      <c r="S1616" s="527">
        <v>0</v>
      </c>
    </row>
    <row r="1617" spans="1:19" x14ac:dyDescent="0.2">
      <c r="A1617" s="524">
        <v>70237</v>
      </c>
      <c r="B1617" s="526">
        <v>46223</v>
      </c>
      <c r="C1617" s="524" t="s">
        <v>1148</v>
      </c>
      <c r="D1617" s="524" t="s">
        <v>1243</v>
      </c>
      <c r="E1617" s="524" t="s">
        <v>1244</v>
      </c>
      <c r="F1617" s="524" t="s">
        <v>1183</v>
      </c>
      <c r="G1617" s="524" t="s">
        <v>806</v>
      </c>
      <c r="H1617" s="527">
        <v>56618.57</v>
      </c>
      <c r="I1617" s="524" t="s">
        <v>1148</v>
      </c>
      <c r="J1617" s="524">
        <f>IF(cmf[[#This Row],[D/C]]="C",cmf[[#This Row],[Valor]],-1*cmf[[#This Row],[Valor]])</f>
        <v>56618.57</v>
      </c>
      <c r="L1617" s="524" t="s">
        <v>1245</v>
      </c>
      <c r="M1617" s="524" t="s">
        <v>1246</v>
      </c>
      <c r="N1617" s="524" t="s">
        <v>1283</v>
      </c>
      <c r="O1617" s="524" t="s">
        <v>1284</v>
      </c>
      <c r="P1617" s="526">
        <v>46223</v>
      </c>
      <c r="S1617" s="527">
        <v>0</v>
      </c>
    </row>
    <row r="1618" spans="1:19" x14ac:dyDescent="0.2">
      <c r="A1618" s="524">
        <v>70242</v>
      </c>
      <c r="B1618" s="526">
        <v>46223</v>
      </c>
      <c r="C1618" s="524" t="s">
        <v>1148</v>
      </c>
      <c r="D1618" s="524" t="s">
        <v>1243</v>
      </c>
      <c r="E1618" s="524" t="s">
        <v>1244</v>
      </c>
      <c r="F1618" s="524" t="s">
        <v>1183</v>
      </c>
      <c r="G1618" s="524" t="s">
        <v>806</v>
      </c>
      <c r="H1618" s="527">
        <v>0.56000000000000005</v>
      </c>
      <c r="I1618" s="524" t="s">
        <v>1148</v>
      </c>
      <c r="J1618" s="524">
        <f>IF(cmf[[#This Row],[D/C]]="C",cmf[[#This Row],[Valor]],-1*cmf[[#This Row],[Valor]])</f>
        <v>0.56000000000000005</v>
      </c>
      <c r="L1618" s="524" t="s">
        <v>1245</v>
      </c>
      <c r="M1618" s="524" t="s">
        <v>1246</v>
      </c>
      <c r="N1618" s="524" t="s">
        <v>1283</v>
      </c>
      <c r="O1618" s="524" t="s">
        <v>1284</v>
      </c>
      <c r="P1618" s="526">
        <v>46223</v>
      </c>
      <c r="S1618" s="527">
        <v>0</v>
      </c>
    </row>
    <row r="1619" spans="1:19" x14ac:dyDescent="0.2">
      <c r="A1619" s="524">
        <v>70268</v>
      </c>
      <c r="B1619" s="526">
        <v>46223</v>
      </c>
      <c r="C1619" s="524" t="s">
        <v>1148</v>
      </c>
      <c r="D1619" s="524" t="s">
        <v>1243</v>
      </c>
      <c r="E1619" s="524" t="s">
        <v>1266</v>
      </c>
      <c r="F1619" s="524" t="s">
        <v>1183</v>
      </c>
      <c r="G1619" s="524" t="s">
        <v>745</v>
      </c>
      <c r="H1619" s="527">
        <v>2900</v>
      </c>
      <c r="I1619" s="524" t="s">
        <v>1174</v>
      </c>
      <c r="J1619" s="524">
        <f>IF(cmf[[#This Row],[D/C]]="C",cmf[[#This Row],[Valor]],-1*cmf[[#This Row],[Valor]])</f>
        <v>-2900</v>
      </c>
      <c r="L1619" s="524" t="s">
        <v>1245</v>
      </c>
      <c r="M1619" s="524" t="s">
        <v>1246</v>
      </c>
      <c r="N1619" s="524" t="s">
        <v>1292</v>
      </c>
      <c r="O1619" s="524" t="s">
        <v>1293</v>
      </c>
      <c r="P1619" s="526">
        <v>46223</v>
      </c>
      <c r="S1619" s="527">
        <v>0</v>
      </c>
    </row>
    <row r="1620" spans="1:19" x14ac:dyDescent="0.2">
      <c r="A1620" s="524">
        <v>70291</v>
      </c>
      <c r="B1620" s="526">
        <v>46223</v>
      </c>
      <c r="C1620" s="524" t="s">
        <v>1148</v>
      </c>
      <c r="D1620" s="524" t="s">
        <v>1239</v>
      </c>
      <c r="E1620" s="524" t="s">
        <v>1567</v>
      </c>
      <c r="F1620" s="524" t="s">
        <v>1170</v>
      </c>
      <c r="G1620" s="524" t="s">
        <v>768</v>
      </c>
      <c r="H1620" s="527">
        <v>13</v>
      </c>
      <c r="I1620" s="524" t="s">
        <v>1174</v>
      </c>
      <c r="J1620" s="524">
        <f>IF(cmf[[#This Row],[D/C]]="C",cmf[[#This Row],[Valor]],-1*cmf[[#This Row],[Valor]])</f>
        <v>-13</v>
      </c>
      <c r="L1620" s="524" t="s">
        <v>1241</v>
      </c>
      <c r="M1620" s="524" t="s">
        <v>1242</v>
      </c>
      <c r="N1620" s="524" t="s">
        <v>1219</v>
      </c>
      <c r="O1620" s="524" t="s">
        <v>1220</v>
      </c>
      <c r="P1620" s="526">
        <v>46223</v>
      </c>
      <c r="S1620" s="527">
        <v>0</v>
      </c>
    </row>
    <row r="1621" spans="1:19" x14ac:dyDescent="0.2">
      <c r="A1621" s="524">
        <v>70292</v>
      </c>
      <c r="B1621" s="526">
        <v>46223</v>
      </c>
      <c r="C1621" s="524" t="s">
        <v>1148</v>
      </c>
      <c r="D1621" s="524" t="s">
        <v>1239</v>
      </c>
      <c r="E1621" s="524" t="s">
        <v>1312</v>
      </c>
      <c r="F1621" s="524" t="s">
        <v>1170</v>
      </c>
      <c r="G1621" s="524" t="s">
        <v>768</v>
      </c>
      <c r="H1621" s="527">
        <v>10</v>
      </c>
      <c r="I1621" s="524" t="s">
        <v>1174</v>
      </c>
      <c r="J1621" s="524">
        <f>IF(cmf[[#This Row],[D/C]]="C",cmf[[#This Row],[Valor]],-1*cmf[[#This Row],[Valor]])</f>
        <v>-10</v>
      </c>
      <c r="L1621" s="524" t="s">
        <v>1241</v>
      </c>
      <c r="M1621" s="524" t="s">
        <v>1242</v>
      </c>
      <c r="N1621" s="524" t="s">
        <v>1219</v>
      </c>
      <c r="O1621" s="524" t="s">
        <v>1220</v>
      </c>
      <c r="P1621" s="526">
        <v>46223</v>
      </c>
      <c r="S1621" s="527">
        <v>0</v>
      </c>
    </row>
    <row r="1622" spans="1:19" x14ac:dyDescent="0.2">
      <c r="A1622" s="524">
        <v>70301</v>
      </c>
      <c r="B1622" s="526">
        <v>46223</v>
      </c>
      <c r="C1622" s="524" t="s">
        <v>1148</v>
      </c>
      <c r="D1622" s="524" t="s">
        <v>1205</v>
      </c>
      <c r="E1622" s="524" t="s">
        <v>1334</v>
      </c>
      <c r="F1622" s="524" t="s">
        <v>1170</v>
      </c>
      <c r="G1622" s="524" t="s">
        <v>768</v>
      </c>
      <c r="H1622" s="527">
        <v>160000</v>
      </c>
      <c r="I1622" s="524" t="s">
        <v>1174</v>
      </c>
      <c r="J1622" s="524">
        <f>IF(cmf[[#This Row],[D/C]]="C",cmf[[#This Row],[Valor]],-1*cmf[[#This Row],[Valor]])</f>
        <v>-160000</v>
      </c>
      <c r="L1622" s="524" t="s">
        <v>1207</v>
      </c>
      <c r="M1622" s="524" t="s">
        <v>1208</v>
      </c>
      <c r="N1622" s="524" t="s">
        <v>1219</v>
      </c>
      <c r="O1622" s="524" t="s">
        <v>1220</v>
      </c>
      <c r="P1622" s="526">
        <v>46223</v>
      </c>
      <c r="S1622" s="527">
        <v>0</v>
      </c>
    </row>
    <row r="1623" spans="1:19" x14ac:dyDescent="0.2">
      <c r="A1623" s="524">
        <v>70302</v>
      </c>
      <c r="B1623" s="526">
        <v>46223</v>
      </c>
      <c r="C1623" s="524" t="s">
        <v>1148</v>
      </c>
      <c r="D1623" s="524" t="s">
        <v>1205</v>
      </c>
      <c r="E1623" s="524" t="s">
        <v>1282</v>
      </c>
      <c r="F1623" s="524" t="s">
        <v>1183</v>
      </c>
      <c r="G1623" s="524" t="s">
        <v>769</v>
      </c>
      <c r="H1623" s="527">
        <v>160000</v>
      </c>
      <c r="I1623" s="524" t="s">
        <v>1148</v>
      </c>
      <c r="J1623" s="524">
        <f>IF(cmf[[#This Row],[D/C]]="C",cmf[[#This Row],[Valor]],-1*cmf[[#This Row],[Valor]])</f>
        <v>160000</v>
      </c>
      <c r="L1623" s="524" t="s">
        <v>1207</v>
      </c>
      <c r="M1623" s="524" t="s">
        <v>1208</v>
      </c>
      <c r="N1623" s="524" t="s">
        <v>1219</v>
      </c>
      <c r="O1623" s="524" t="s">
        <v>1220</v>
      </c>
      <c r="P1623" s="526">
        <v>46223</v>
      </c>
      <c r="S1623" s="527">
        <v>0</v>
      </c>
    </row>
    <row r="1624" spans="1:19" x14ac:dyDescent="0.2">
      <c r="A1624" s="524">
        <v>70324</v>
      </c>
      <c r="B1624" s="526">
        <v>46223</v>
      </c>
      <c r="C1624" s="524" t="s">
        <v>1148</v>
      </c>
      <c r="D1624" s="524" t="s">
        <v>1239</v>
      </c>
      <c r="E1624" s="524" t="s">
        <v>1567</v>
      </c>
      <c r="F1624" s="524" t="s">
        <v>1170</v>
      </c>
      <c r="G1624" s="524" t="s">
        <v>757</v>
      </c>
      <c r="H1624" s="527">
        <v>13</v>
      </c>
      <c r="I1624" s="524" t="s">
        <v>1174</v>
      </c>
      <c r="J1624" s="524">
        <f>IF(cmf[[#This Row],[D/C]]="C",cmf[[#This Row],[Valor]],-1*cmf[[#This Row],[Valor]])</f>
        <v>-13</v>
      </c>
      <c r="L1624" s="524" t="s">
        <v>1241</v>
      </c>
      <c r="M1624" s="524" t="s">
        <v>1242</v>
      </c>
      <c r="N1624" s="524" t="s">
        <v>1223</v>
      </c>
      <c r="O1624" s="524" t="s">
        <v>1224</v>
      </c>
      <c r="P1624" s="526">
        <v>46223</v>
      </c>
      <c r="S1624" s="527">
        <v>0</v>
      </c>
    </row>
    <row r="1625" spans="1:19" x14ac:dyDescent="0.2">
      <c r="A1625" s="524">
        <v>70325</v>
      </c>
      <c r="B1625" s="526">
        <v>46223</v>
      </c>
      <c r="C1625" s="524" t="s">
        <v>1148</v>
      </c>
      <c r="D1625" s="524" t="s">
        <v>1239</v>
      </c>
      <c r="E1625" s="524" t="s">
        <v>1567</v>
      </c>
      <c r="F1625" s="524" t="s">
        <v>1170</v>
      </c>
      <c r="G1625" s="524" t="s">
        <v>757</v>
      </c>
      <c r="H1625" s="527">
        <v>13</v>
      </c>
      <c r="I1625" s="524" t="s">
        <v>1174</v>
      </c>
      <c r="J1625" s="524">
        <f>IF(cmf[[#This Row],[D/C]]="C",cmf[[#This Row],[Valor]],-1*cmf[[#This Row],[Valor]])</f>
        <v>-13</v>
      </c>
      <c r="L1625" s="524" t="s">
        <v>1241</v>
      </c>
      <c r="M1625" s="524" t="s">
        <v>1242</v>
      </c>
      <c r="N1625" s="524" t="s">
        <v>1223</v>
      </c>
      <c r="O1625" s="524" t="s">
        <v>1224</v>
      </c>
      <c r="P1625" s="526">
        <v>46223</v>
      </c>
      <c r="S1625" s="527">
        <v>0</v>
      </c>
    </row>
    <row r="1626" spans="1:19" x14ac:dyDescent="0.2">
      <c r="A1626" s="524">
        <v>70326</v>
      </c>
      <c r="B1626" s="526">
        <v>46223</v>
      </c>
      <c r="C1626" s="524" t="s">
        <v>1148</v>
      </c>
      <c r="D1626" s="524" t="s">
        <v>1239</v>
      </c>
      <c r="E1626" s="524" t="s">
        <v>1567</v>
      </c>
      <c r="F1626" s="524" t="s">
        <v>1170</v>
      </c>
      <c r="G1626" s="524" t="s">
        <v>757</v>
      </c>
      <c r="H1626" s="527">
        <v>13</v>
      </c>
      <c r="I1626" s="524" t="s">
        <v>1174</v>
      </c>
      <c r="J1626" s="524">
        <f>IF(cmf[[#This Row],[D/C]]="C",cmf[[#This Row],[Valor]],-1*cmf[[#This Row],[Valor]])</f>
        <v>-13</v>
      </c>
      <c r="L1626" s="524" t="s">
        <v>1241</v>
      </c>
      <c r="M1626" s="524" t="s">
        <v>1242</v>
      </c>
      <c r="N1626" s="524" t="s">
        <v>1223</v>
      </c>
      <c r="O1626" s="524" t="s">
        <v>1224</v>
      </c>
      <c r="P1626" s="526">
        <v>46223</v>
      </c>
      <c r="S1626" s="527">
        <v>0</v>
      </c>
    </row>
    <row r="1627" spans="1:19" x14ac:dyDescent="0.2">
      <c r="A1627" s="524">
        <v>70331</v>
      </c>
      <c r="B1627" s="526">
        <v>46223</v>
      </c>
      <c r="C1627" s="524" t="s">
        <v>1148</v>
      </c>
      <c r="D1627" s="524" t="s">
        <v>1243</v>
      </c>
      <c r="E1627" s="524" t="s">
        <v>1244</v>
      </c>
      <c r="F1627" s="524" t="s">
        <v>1183</v>
      </c>
      <c r="G1627" s="524" t="s">
        <v>766</v>
      </c>
      <c r="H1627" s="527">
        <v>3643.36</v>
      </c>
      <c r="I1627" s="524" t="s">
        <v>1148</v>
      </c>
      <c r="J1627" s="524">
        <f>IF(cmf[[#This Row],[D/C]]="C",cmf[[#This Row],[Valor]],-1*cmf[[#This Row],[Valor]])</f>
        <v>3643.36</v>
      </c>
      <c r="L1627" s="524" t="s">
        <v>1245</v>
      </c>
      <c r="M1627" s="524" t="s">
        <v>1246</v>
      </c>
      <c r="N1627" s="524" t="s">
        <v>1200</v>
      </c>
      <c r="O1627" s="524" t="s">
        <v>1201</v>
      </c>
      <c r="P1627" s="526">
        <v>46223</v>
      </c>
      <c r="S1627" s="527">
        <v>0</v>
      </c>
    </row>
    <row r="1628" spans="1:19" x14ac:dyDescent="0.2">
      <c r="A1628" s="524">
        <v>70332</v>
      </c>
      <c r="B1628" s="526">
        <v>46223</v>
      </c>
      <c r="C1628" s="524" t="s">
        <v>1148</v>
      </c>
      <c r="D1628" s="524" t="s">
        <v>1243</v>
      </c>
      <c r="E1628" s="524" t="s">
        <v>1244</v>
      </c>
      <c r="F1628" s="524" t="s">
        <v>1183</v>
      </c>
      <c r="G1628" s="524" t="s">
        <v>766</v>
      </c>
      <c r="H1628" s="527">
        <v>0.14000000000000001</v>
      </c>
      <c r="I1628" s="524" t="s">
        <v>1148</v>
      </c>
      <c r="J1628" s="524">
        <f>IF(cmf[[#This Row],[D/C]]="C",cmf[[#This Row],[Valor]],-1*cmf[[#This Row],[Valor]])</f>
        <v>0.14000000000000001</v>
      </c>
      <c r="L1628" s="524" t="s">
        <v>1245</v>
      </c>
      <c r="M1628" s="524" t="s">
        <v>1246</v>
      </c>
      <c r="N1628" s="524" t="s">
        <v>1200</v>
      </c>
      <c r="O1628" s="524" t="s">
        <v>1201</v>
      </c>
      <c r="P1628" s="526">
        <v>46223</v>
      </c>
      <c r="S1628" s="527">
        <v>0</v>
      </c>
    </row>
    <row r="1629" spans="1:19" x14ac:dyDescent="0.2">
      <c r="A1629" s="524">
        <v>70340</v>
      </c>
      <c r="B1629" s="526">
        <v>46223</v>
      </c>
      <c r="C1629" s="524" t="s">
        <v>1148</v>
      </c>
      <c r="D1629" s="524" t="s">
        <v>1243</v>
      </c>
      <c r="E1629" s="524" t="s">
        <v>1266</v>
      </c>
      <c r="F1629" s="524" t="s">
        <v>1183</v>
      </c>
      <c r="G1629" s="524" t="s">
        <v>803</v>
      </c>
      <c r="H1629" s="527">
        <v>3063.65</v>
      </c>
      <c r="I1629" s="524" t="s">
        <v>1174</v>
      </c>
      <c r="J1629" s="524">
        <f>IF(cmf[[#This Row],[D/C]]="C",cmf[[#This Row],[Valor]],-1*cmf[[#This Row],[Valor]])</f>
        <v>-3063.65</v>
      </c>
      <c r="L1629" s="524" t="s">
        <v>1245</v>
      </c>
      <c r="M1629" s="524" t="s">
        <v>1246</v>
      </c>
      <c r="N1629" s="524" t="s">
        <v>1192</v>
      </c>
      <c r="O1629" s="524" t="s">
        <v>1193</v>
      </c>
      <c r="P1629" s="526">
        <v>46223</v>
      </c>
      <c r="S1629" s="527">
        <v>0</v>
      </c>
    </row>
    <row r="1630" spans="1:19" x14ac:dyDescent="0.2">
      <c r="A1630" s="524">
        <v>70352</v>
      </c>
      <c r="B1630" s="526">
        <v>46223</v>
      </c>
      <c r="C1630" s="524" t="s">
        <v>1148</v>
      </c>
      <c r="D1630" s="524" t="s">
        <v>1243</v>
      </c>
      <c r="E1630" s="524" t="s">
        <v>1266</v>
      </c>
      <c r="F1630" s="524" t="s">
        <v>1183</v>
      </c>
      <c r="G1630" s="524" t="s">
        <v>800</v>
      </c>
      <c r="H1630" s="527">
        <v>7317.57</v>
      </c>
      <c r="I1630" s="524" t="s">
        <v>1174</v>
      </c>
      <c r="J1630" s="524">
        <f>IF(cmf[[#This Row],[D/C]]="C",cmf[[#This Row],[Valor]],-1*cmf[[#This Row],[Valor]])</f>
        <v>-7317.57</v>
      </c>
      <c r="L1630" s="524" t="s">
        <v>1245</v>
      </c>
      <c r="M1630" s="524" t="s">
        <v>1246</v>
      </c>
      <c r="N1630" s="524" t="s">
        <v>1171</v>
      </c>
      <c r="O1630" s="524" t="s">
        <v>1172</v>
      </c>
      <c r="P1630" s="526">
        <v>46223</v>
      </c>
      <c r="S1630" s="527">
        <v>0</v>
      </c>
    </row>
    <row r="1631" spans="1:19" x14ac:dyDescent="0.2">
      <c r="A1631" s="524">
        <v>70380</v>
      </c>
      <c r="B1631" s="526">
        <v>46223</v>
      </c>
      <c r="C1631" s="524" t="s">
        <v>1148</v>
      </c>
      <c r="D1631" s="524" t="s">
        <v>1186</v>
      </c>
      <c r="E1631" s="524" t="s">
        <v>2233</v>
      </c>
      <c r="F1631" s="524" t="s">
        <v>1183</v>
      </c>
      <c r="G1631" s="524" t="s">
        <v>800</v>
      </c>
      <c r="H1631" s="527">
        <v>15000</v>
      </c>
      <c r="I1631" s="524" t="s">
        <v>1174</v>
      </c>
      <c r="J1631" s="524">
        <f>IF(cmf[[#This Row],[D/C]]="C",cmf[[#This Row],[Valor]],-1*cmf[[#This Row],[Valor]])</f>
        <v>-15000</v>
      </c>
      <c r="L1631" s="524" t="s">
        <v>1188</v>
      </c>
      <c r="M1631" s="524" t="s">
        <v>1189</v>
      </c>
      <c r="N1631" s="524" t="s">
        <v>1171</v>
      </c>
      <c r="O1631" s="524" t="s">
        <v>1172</v>
      </c>
      <c r="P1631" s="526">
        <v>46223</v>
      </c>
      <c r="S1631" s="527">
        <v>0</v>
      </c>
    </row>
    <row r="1632" spans="1:19" x14ac:dyDescent="0.2">
      <c r="A1632" s="524">
        <v>70381</v>
      </c>
      <c r="B1632" s="526">
        <v>46223</v>
      </c>
      <c r="C1632" s="524" t="s">
        <v>1148</v>
      </c>
      <c r="D1632" s="524" t="s">
        <v>1186</v>
      </c>
      <c r="E1632" s="524" t="s">
        <v>2234</v>
      </c>
      <c r="F1632" s="524" t="s">
        <v>1183</v>
      </c>
      <c r="G1632" s="524" t="s">
        <v>800</v>
      </c>
      <c r="H1632" s="527">
        <v>19000</v>
      </c>
      <c r="I1632" s="524" t="s">
        <v>1174</v>
      </c>
      <c r="J1632" s="524">
        <f>IF(cmf[[#This Row],[D/C]]="C",cmf[[#This Row],[Valor]],-1*cmf[[#This Row],[Valor]])</f>
        <v>-19000</v>
      </c>
      <c r="L1632" s="524" t="s">
        <v>1188</v>
      </c>
      <c r="M1632" s="524" t="s">
        <v>1189</v>
      </c>
      <c r="N1632" s="524" t="s">
        <v>1171</v>
      </c>
      <c r="O1632" s="524" t="s">
        <v>1172</v>
      </c>
      <c r="P1632" s="526">
        <v>46223</v>
      </c>
      <c r="S1632" s="527">
        <v>0</v>
      </c>
    </row>
    <row r="1633" spans="1:19" x14ac:dyDescent="0.2">
      <c r="A1633" s="524">
        <v>70510</v>
      </c>
      <c r="B1633" s="526">
        <v>46223</v>
      </c>
      <c r="C1633" s="524" t="s">
        <v>1148</v>
      </c>
      <c r="D1633" s="524" t="s">
        <v>1186</v>
      </c>
      <c r="E1633" s="524" t="s">
        <v>2235</v>
      </c>
      <c r="F1633" s="524" t="s">
        <v>1178</v>
      </c>
      <c r="G1633" s="524" t="s">
        <v>1179</v>
      </c>
      <c r="H1633" s="527">
        <v>33042.1</v>
      </c>
      <c r="I1633" s="524" t="s">
        <v>1174</v>
      </c>
      <c r="J1633" s="524">
        <f>IF(cmf[[#This Row],[D/C]]="C",cmf[[#This Row],[Valor]],-1*cmf[[#This Row],[Valor]])</f>
        <v>-33042.1</v>
      </c>
      <c r="L1633" s="524" t="s">
        <v>1188</v>
      </c>
      <c r="M1633" s="524" t="s">
        <v>1189</v>
      </c>
      <c r="N1633" s="524" t="s">
        <v>1180</v>
      </c>
      <c r="O1633" s="524" t="s">
        <v>1181</v>
      </c>
      <c r="P1633" s="526">
        <v>46223</v>
      </c>
      <c r="S1633" s="527">
        <v>0</v>
      </c>
    </row>
    <row r="1634" spans="1:19" x14ac:dyDescent="0.2">
      <c r="A1634" s="524">
        <v>70546</v>
      </c>
      <c r="B1634" s="526">
        <v>46223</v>
      </c>
      <c r="C1634" s="524" t="s">
        <v>1148</v>
      </c>
      <c r="D1634" s="524" t="s">
        <v>1205</v>
      </c>
      <c r="E1634" s="524" t="s">
        <v>1214</v>
      </c>
      <c r="F1634" s="524" t="s">
        <v>1183</v>
      </c>
      <c r="G1634" s="524" t="s">
        <v>806</v>
      </c>
      <c r="H1634" s="527">
        <v>220000</v>
      </c>
      <c r="I1634" s="524" t="s">
        <v>1174</v>
      </c>
      <c r="J1634" s="524">
        <f>IF(cmf[[#This Row],[D/C]]="C",cmf[[#This Row],[Valor]],-1*cmf[[#This Row],[Valor]])</f>
        <v>-220000</v>
      </c>
      <c r="L1634" s="524" t="s">
        <v>1207</v>
      </c>
      <c r="M1634" s="524" t="s">
        <v>1208</v>
      </c>
      <c r="N1634" s="524" t="s">
        <v>1283</v>
      </c>
      <c r="O1634" s="524" t="s">
        <v>1284</v>
      </c>
      <c r="P1634" s="526">
        <v>46223</v>
      </c>
      <c r="S1634" s="527">
        <v>0</v>
      </c>
    </row>
    <row r="1635" spans="1:19" x14ac:dyDescent="0.2">
      <c r="A1635" s="524">
        <v>70547</v>
      </c>
      <c r="B1635" s="526">
        <v>46223</v>
      </c>
      <c r="C1635" s="524" t="s">
        <v>1148</v>
      </c>
      <c r="D1635" s="524" t="s">
        <v>1205</v>
      </c>
      <c r="E1635" s="524" t="s">
        <v>1539</v>
      </c>
      <c r="F1635" s="524" t="s">
        <v>1183</v>
      </c>
      <c r="G1635" s="524" t="s">
        <v>742</v>
      </c>
      <c r="H1635" s="527">
        <v>220000</v>
      </c>
      <c r="I1635" s="524" t="s">
        <v>1148</v>
      </c>
      <c r="J1635" s="524">
        <f>IF(cmf[[#This Row],[D/C]]="C",cmf[[#This Row],[Valor]],-1*cmf[[#This Row],[Valor]])</f>
        <v>220000</v>
      </c>
      <c r="L1635" s="524" t="s">
        <v>1207</v>
      </c>
      <c r="M1635" s="524" t="s">
        <v>1208</v>
      </c>
      <c r="N1635" s="524" t="s">
        <v>1215</v>
      </c>
      <c r="O1635" s="524" t="s">
        <v>1218</v>
      </c>
      <c r="P1635" s="526">
        <v>46223</v>
      </c>
      <c r="S1635" s="527">
        <v>0</v>
      </c>
    </row>
    <row r="1636" spans="1:19" x14ac:dyDescent="0.2">
      <c r="A1636" s="524">
        <v>70548</v>
      </c>
      <c r="B1636" s="526">
        <v>46223</v>
      </c>
      <c r="C1636" s="524" t="s">
        <v>1148</v>
      </c>
      <c r="D1636" s="524" t="s">
        <v>1205</v>
      </c>
      <c r="E1636" s="524" t="s">
        <v>1334</v>
      </c>
      <c r="F1636" s="524" t="s">
        <v>1183</v>
      </c>
      <c r="G1636" s="524" t="s">
        <v>742</v>
      </c>
      <c r="H1636" s="527">
        <v>65000</v>
      </c>
      <c r="I1636" s="524" t="s">
        <v>1174</v>
      </c>
      <c r="J1636" s="524">
        <f>IF(cmf[[#This Row],[D/C]]="C",cmf[[#This Row],[Valor]],-1*cmf[[#This Row],[Valor]])</f>
        <v>-65000</v>
      </c>
      <c r="L1636" s="524" t="s">
        <v>1207</v>
      </c>
      <c r="M1636" s="524" t="s">
        <v>1208</v>
      </c>
      <c r="N1636" s="524" t="s">
        <v>1215</v>
      </c>
      <c r="O1636" s="524" t="s">
        <v>1218</v>
      </c>
      <c r="P1636" s="526">
        <v>46223</v>
      </c>
      <c r="S1636" s="527">
        <v>0</v>
      </c>
    </row>
    <row r="1637" spans="1:19" x14ac:dyDescent="0.2">
      <c r="A1637" s="524">
        <v>70549</v>
      </c>
      <c r="B1637" s="526">
        <v>46223</v>
      </c>
      <c r="C1637" s="524" t="s">
        <v>1148</v>
      </c>
      <c r="D1637" s="524" t="s">
        <v>1205</v>
      </c>
      <c r="E1637" s="524" t="s">
        <v>1217</v>
      </c>
      <c r="F1637" s="524" t="s">
        <v>1183</v>
      </c>
      <c r="G1637" s="524" t="s">
        <v>769</v>
      </c>
      <c r="H1637" s="527">
        <v>65000</v>
      </c>
      <c r="I1637" s="524" t="s">
        <v>1148</v>
      </c>
      <c r="J1637" s="524">
        <f>IF(cmf[[#This Row],[D/C]]="C",cmf[[#This Row],[Valor]],-1*cmf[[#This Row],[Valor]])</f>
        <v>65000</v>
      </c>
      <c r="L1637" s="524" t="s">
        <v>1207</v>
      </c>
      <c r="M1637" s="524" t="s">
        <v>1208</v>
      </c>
      <c r="N1637" s="524" t="s">
        <v>1219</v>
      </c>
      <c r="O1637" s="524" t="s">
        <v>1220</v>
      </c>
      <c r="P1637" s="526">
        <v>46223</v>
      </c>
      <c r="S1637" s="527">
        <v>0</v>
      </c>
    </row>
    <row r="1638" spans="1:19" x14ac:dyDescent="0.2">
      <c r="A1638" s="524">
        <v>70550</v>
      </c>
      <c r="B1638" s="526">
        <v>46223</v>
      </c>
      <c r="C1638" s="524" t="s">
        <v>1148</v>
      </c>
      <c r="D1638" s="524" t="s">
        <v>1205</v>
      </c>
      <c r="E1638" s="524" t="s">
        <v>1335</v>
      </c>
      <c r="F1638" s="524" t="s">
        <v>1183</v>
      </c>
      <c r="G1638" s="524" t="s">
        <v>742</v>
      </c>
      <c r="H1638" s="527">
        <v>61000</v>
      </c>
      <c r="I1638" s="524" t="s">
        <v>1174</v>
      </c>
      <c r="J1638" s="524">
        <f>IF(cmf[[#This Row],[D/C]]="C",cmf[[#This Row],[Valor]],-1*cmf[[#This Row],[Valor]])</f>
        <v>-61000</v>
      </c>
      <c r="L1638" s="524" t="s">
        <v>1207</v>
      </c>
      <c r="M1638" s="524" t="s">
        <v>1208</v>
      </c>
      <c r="N1638" s="524" t="s">
        <v>1215</v>
      </c>
      <c r="O1638" s="524" t="s">
        <v>1218</v>
      </c>
      <c r="P1638" s="526">
        <v>46223</v>
      </c>
      <c r="S1638" s="527">
        <v>0</v>
      </c>
    </row>
    <row r="1639" spans="1:19" x14ac:dyDescent="0.2">
      <c r="A1639" s="524">
        <v>70551</v>
      </c>
      <c r="B1639" s="526">
        <v>46223</v>
      </c>
      <c r="C1639" s="524" t="s">
        <v>1148</v>
      </c>
      <c r="D1639" s="524" t="s">
        <v>1205</v>
      </c>
      <c r="E1639" s="524" t="s">
        <v>1217</v>
      </c>
      <c r="F1639" s="524" t="s">
        <v>1183</v>
      </c>
      <c r="G1639" s="524" t="s">
        <v>800</v>
      </c>
      <c r="H1639" s="527">
        <v>61000</v>
      </c>
      <c r="I1639" s="524" t="s">
        <v>1148</v>
      </c>
      <c r="J1639" s="524">
        <f>IF(cmf[[#This Row],[D/C]]="C",cmf[[#This Row],[Valor]],-1*cmf[[#This Row],[Valor]])</f>
        <v>61000</v>
      </c>
      <c r="L1639" s="524" t="s">
        <v>1207</v>
      </c>
      <c r="M1639" s="524" t="s">
        <v>1208</v>
      </c>
      <c r="N1639" s="524" t="s">
        <v>1171</v>
      </c>
      <c r="O1639" s="524" t="s">
        <v>1172</v>
      </c>
      <c r="P1639" s="526">
        <v>46223</v>
      </c>
      <c r="S1639" s="527">
        <v>0</v>
      </c>
    </row>
    <row r="1640" spans="1:19" x14ac:dyDescent="0.2">
      <c r="A1640" s="524">
        <v>70552</v>
      </c>
      <c r="B1640" s="526">
        <v>46223</v>
      </c>
      <c r="C1640" s="524" t="s">
        <v>1148</v>
      </c>
      <c r="D1640" s="524" t="s">
        <v>1205</v>
      </c>
      <c r="E1640" s="524" t="s">
        <v>1336</v>
      </c>
      <c r="F1640" s="524" t="s">
        <v>1183</v>
      </c>
      <c r="G1640" s="524" t="s">
        <v>742</v>
      </c>
      <c r="H1640" s="527">
        <v>38000</v>
      </c>
      <c r="I1640" s="524" t="s">
        <v>1174</v>
      </c>
      <c r="J1640" s="524">
        <f>IF(cmf[[#This Row],[D/C]]="C",cmf[[#This Row],[Valor]],-1*cmf[[#This Row],[Valor]])</f>
        <v>-38000</v>
      </c>
      <c r="L1640" s="524" t="s">
        <v>1207</v>
      </c>
      <c r="M1640" s="524" t="s">
        <v>1208</v>
      </c>
      <c r="N1640" s="524" t="s">
        <v>1215</v>
      </c>
      <c r="O1640" s="524" t="s">
        <v>1218</v>
      </c>
      <c r="P1640" s="526">
        <v>46223</v>
      </c>
      <c r="S1640" s="527">
        <v>0</v>
      </c>
    </row>
    <row r="1641" spans="1:19" x14ac:dyDescent="0.2">
      <c r="A1641" s="524">
        <v>70553</v>
      </c>
      <c r="B1641" s="526">
        <v>46223</v>
      </c>
      <c r="C1641" s="524" t="s">
        <v>1148</v>
      </c>
      <c r="D1641" s="524" t="s">
        <v>1205</v>
      </c>
      <c r="E1641" s="524" t="s">
        <v>1217</v>
      </c>
      <c r="F1641" s="524" t="s">
        <v>1183</v>
      </c>
      <c r="G1641" s="524" t="s">
        <v>763</v>
      </c>
      <c r="H1641" s="527">
        <v>38000</v>
      </c>
      <c r="I1641" s="524" t="s">
        <v>1148</v>
      </c>
      <c r="J1641" s="524">
        <f>IF(cmf[[#This Row],[D/C]]="C",cmf[[#This Row],[Valor]],-1*cmf[[#This Row],[Valor]])</f>
        <v>38000</v>
      </c>
      <c r="L1641" s="524" t="s">
        <v>1207</v>
      </c>
      <c r="M1641" s="524" t="s">
        <v>1208</v>
      </c>
      <c r="N1641" s="524" t="s">
        <v>1180</v>
      </c>
      <c r="O1641" s="524" t="s">
        <v>1181</v>
      </c>
      <c r="P1641" s="526">
        <v>46223</v>
      </c>
      <c r="S1641" s="527">
        <v>0</v>
      </c>
    </row>
    <row r="1642" spans="1:19" x14ac:dyDescent="0.2">
      <c r="A1642" s="524">
        <v>70554</v>
      </c>
      <c r="B1642" s="526">
        <v>46223</v>
      </c>
      <c r="C1642" s="524" t="s">
        <v>1148</v>
      </c>
      <c r="D1642" s="524" t="s">
        <v>1205</v>
      </c>
      <c r="E1642" s="524" t="s">
        <v>1337</v>
      </c>
      <c r="F1642" s="524" t="s">
        <v>1183</v>
      </c>
      <c r="G1642" s="524" t="s">
        <v>742</v>
      </c>
      <c r="H1642" s="527">
        <v>49000</v>
      </c>
      <c r="I1642" s="524" t="s">
        <v>1174</v>
      </c>
      <c r="J1642" s="524">
        <f>IF(cmf[[#This Row],[D/C]]="C",cmf[[#This Row],[Valor]],-1*cmf[[#This Row],[Valor]])</f>
        <v>-49000</v>
      </c>
      <c r="L1642" s="524" t="s">
        <v>1207</v>
      </c>
      <c r="M1642" s="524" t="s">
        <v>1208</v>
      </c>
      <c r="N1642" s="524" t="s">
        <v>1215</v>
      </c>
      <c r="O1642" s="524" t="s">
        <v>1218</v>
      </c>
      <c r="P1642" s="526">
        <v>46223</v>
      </c>
      <c r="S1642" s="527">
        <v>0</v>
      </c>
    </row>
    <row r="1643" spans="1:19" x14ac:dyDescent="0.2">
      <c r="A1643" s="524">
        <v>70555</v>
      </c>
      <c r="B1643" s="526">
        <v>46223</v>
      </c>
      <c r="C1643" s="524" t="s">
        <v>1148</v>
      </c>
      <c r="D1643" s="524" t="s">
        <v>1205</v>
      </c>
      <c r="E1643" s="524" t="s">
        <v>1217</v>
      </c>
      <c r="F1643" s="524" t="s">
        <v>1183</v>
      </c>
      <c r="G1643" s="524" t="s">
        <v>803</v>
      </c>
      <c r="H1643" s="527">
        <v>49000</v>
      </c>
      <c r="I1643" s="524" t="s">
        <v>1148</v>
      </c>
      <c r="J1643" s="524">
        <f>IF(cmf[[#This Row],[D/C]]="C",cmf[[#This Row],[Valor]],-1*cmf[[#This Row],[Valor]])</f>
        <v>49000</v>
      </c>
      <c r="L1643" s="524" t="s">
        <v>1207</v>
      </c>
      <c r="M1643" s="524" t="s">
        <v>1208</v>
      </c>
      <c r="N1643" s="524" t="s">
        <v>1192</v>
      </c>
      <c r="O1643" s="524" t="s">
        <v>1193</v>
      </c>
      <c r="P1643" s="526">
        <v>46223</v>
      </c>
      <c r="S1643" s="527">
        <v>0</v>
      </c>
    </row>
    <row r="1644" spans="1:19" x14ac:dyDescent="0.2">
      <c r="A1644" s="524">
        <v>70556</v>
      </c>
      <c r="B1644" s="526">
        <v>46223</v>
      </c>
      <c r="C1644" s="524" t="s">
        <v>1148</v>
      </c>
      <c r="D1644" s="524" t="s">
        <v>1205</v>
      </c>
      <c r="E1644" s="524" t="s">
        <v>1537</v>
      </c>
      <c r="F1644" s="524" t="s">
        <v>1183</v>
      </c>
      <c r="G1644" s="524" t="s">
        <v>742</v>
      </c>
      <c r="H1644" s="527">
        <v>5000</v>
      </c>
      <c r="I1644" s="524" t="s">
        <v>1174</v>
      </c>
      <c r="J1644" s="524">
        <f>IF(cmf[[#This Row],[D/C]]="C",cmf[[#This Row],[Valor]],-1*cmf[[#This Row],[Valor]])</f>
        <v>-5000</v>
      </c>
      <c r="L1644" s="524" t="s">
        <v>1207</v>
      </c>
      <c r="M1644" s="524" t="s">
        <v>1208</v>
      </c>
      <c r="N1644" s="524" t="s">
        <v>1215</v>
      </c>
      <c r="O1644" s="524" t="s">
        <v>1218</v>
      </c>
      <c r="P1644" s="526">
        <v>46223</v>
      </c>
      <c r="S1644" s="527">
        <v>0</v>
      </c>
    </row>
    <row r="1645" spans="1:19" x14ac:dyDescent="0.2">
      <c r="A1645" s="524">
        <v>70557</v>
      </c>
      <c r="B1645" s="526">
        <v>46223</v>
      </c>
      <c r="C1645" s="524" t="s">
        <v>1148</v>
      </c>
      <c r="D1645" s="524" t="s">
        <v>1205</v>
      </c>
      <c r="E1645" s="524" t="s">
        <v>1217</v>
      </c>
      <c r="F1645" s="524" t="s">
        <v>1183</v>
      </c>
      <c r="G1645" s="524" t="s">
        <v>758</v>
      </c>
      <c r="H1645" s="527">
        <v>5000</v>
      </c>
      <c r="I1645" s="524" t="s">
        <v>1148</v>
      </c>
      <c r="J1645" s="524">
        <f>IF(cmf[[#This Row],[D/C]]="C",cmf[[#This Row],[Valor]],-1*cmf[[#This Row],[Valor]])</f>
        <v>5000</v>
      </c>
      <c r="L1645" s="524" t="s">
        <v>1207</v>
      </c>
      <c r="M1645" s="524" t="s">
        <v>1208</v>
      </c>
      <c r="N1645" s="524" t="s">
        <v>1223</v>
      </c>
      <c r="O1645" s="524" t="s">
        <v>1224</v>
      </c>
      <c r="P1645" s="526">
        <v>46223</v>
      </c>
      <c r="S1645" s="527">
        <v>0</v>
      </c>
    </row>
    <row r="1646" spans="1:19" x14ac:dyDescent="0.2">
      <c r="A1646" s="524">
        <v>70558</v>
      </c>
      <c r="B1646" s="526">
        <v>46223</v>
      </c>
      <c r="C1646" s="524" t="s">
        <v>1148</v>
      </c>
      <c r="D1646" s="524" t="s">
        <v>1205</v>
      </c>
      <c r="E1646" s="524" t="s">
        <v>1543</v>
      </c>
      <c r="F1646" s="524" t="s">
        <v>1183</v>
      </c>
      <c r="G1646" s="524" t="s">
        <v>742</v>
      </c>
      <c r="H1646" s="527">
        <v>90000</v>
      </c>
      <c r="I1646" s="524" t="s">
        <v>1174</v>
      </c>
      <c r="J1646" s="524">
        <f>IF(cmf[[#This Row],[D/C]]="C",cmf[[#This Row],[Valor]],-1*cmf[[#This Row],[Valor]])</f>
        <v>-90000</v>
      </c>
      <c r="L1646" s="524" t="s">
        <v>1207</v>
      </c>
      <c r="M1646" s="524" t="s">
        <v>1208</v>
      </c>
      <c r="N1646" s="524" t="s">
        <v>1215</v>
      </c>
      <c r="O1646" s="524" t="s">
        <v>1218</v>
      </c>
      <c r="P1646" s="526">
        <v>46223</v>
      </c>
      <c r="S1646" s="527">
        <v>0</v>
      </c>
    </row>
    <row r="1647" spans="1:19" x14ac:dyDescent="0.2">
      <c r="A1647" s="524">
        <v>70559</v>
      </c>
      <c r="B1647" s="526">
        <v>46223</v>
      </c>
      <c r="C1647" s="524" t="s">
        <v>1162</v>
      </c>
      <c r="D1647" s="524" t="s">
        <v>1205</v>
      </c>
      <c r="E1647" s="524" t="s">
        <v>1217</v>
      </c>
      <c r="F1647" s="524" t="s">
        <v>1170</v>
      </c>
      <c r="G1647" s="524" t="s">
        <v>781</v>
      </c>
      <c r="H1647" s="527">
        <v>90000</v>
      </c>
      <c r="I1647" s="524" t="s">
        <v>1148</v>
      </c>
      <c r="J1647" s="524">
        <f>IF(cmf[[#This Row],[D/C]]="C",cmf[[#This Row],[Valor]],-1*cmf[[#This Row],[Valor]])</f>
        <v>90000</v>
      </c>
      <c r="L1647" s="524" t="s">
        <v>1207</v>
      </c>
      <c r="M1647" s="524" t="s">
        <v>1208</v>
      </c>
      <c r="N1647" s="524" t="s">
        <v>1209</v>
      </c>
      <c r="O1647" s="524" t="s">
        <v>1210</v>
      </c>
      <c r="P1647" s="526"/>
      <c r="S1647" s="527">
        <v>0</v>
      </c>
    </row>
    <row r="1648" spans="1:19" x14ac:dyDescent="0.2">
      <c r="A1648" s="524">
        <v>70560</v>
      </c>
      <c r="B1648" s="526">
        <v>46223</v>
      </c>
      <c r="C1648" s="524" t="s">
        <v>1162</v>
      </c>
      <c r="D1648" s="524" t="s">
        <v>1205</v>
      </c>
      <c r="E1648" s="524" t="s">
        <v>1338</v>
      </c>
      <c r="F1648" s="524" t="s">
        <v>1170</v>
      </c>
      <c r="G1648" s="524" t="s">
        <v>781</v>
      </c>
      <c r="H1648" s="527">
        <v>106000</v>
      </c>
      <c r="I1648" s="524" t="s">
        <v>1174</v>
      </c>
      <c r="J1648" s="524">
        <f>IF(cmf[[#This Row],[D/C]]="C",cmf[[#This Row],[Valor]],-1*cmf[[#This Row],[Valor]])</f>
        <v>-106000</v>
      </c>
      <c r="L1648" s="524" t="s">
        <v>1207</v>
      </c>
      <c r="M1648" s="524" t="s">
        <v>1208</v>
      </c>
      <c r="N1648" s="524" t="s">
        <v>1209</v>
      </c>
      <c r="O1648" s="524" t="s">
        <v>1210</v>
      </c>
      <c r="P1648" s="526"/>
      <c r="S1648" s="527">
        <v>0</v>
      </c>
    </row>
    <row r="1649" spans="1:19" x14ac:dyDescent="0.2">
      <c r="A1649" s="524">
        <v>70561</v>
      </c>
      <c r="B1649" s="526">
        <v>46223</v>
      </c>
      <c r="C1649" s="524" t="s">
        <v>1162</v>
      </c>
      <c r="D1649" s="524" t="s">
        <v>1205</v>
      </c>
      <c r="E1649" s="524" t="s">
        <v>1211</v>
      </c>
      <c r="F1649" s="524" t="s">
        <v>1170</v>
      </c>
      <c r="G1649" s="524" t="s">
        <v>771</v>
      </c>
      <c r="H1649" s="527">
        <v>106000</v>
      </c>
      <c r="I1649" s="524" t="s">
        <v>1148</v>
      </c>
      <c r="J1649" s="524">
        <f>IF(cmf[[#This Row],[D/C]]="C",cmf[[#This Row],[Valor]],-1*cmf[[#This Row],[Valor]])</f>
        <v>106000</v>
      </c>
      <c r="L1649" s="524" t="s">
        <v>1207</v>
      </c>
      <c r="M1649" s="524" t="s">
        <v>1208</v>
      </c>
      <c r="N1649" s="524" t="s">
        <v>1249</v>
      </c>
      <c r="O1649" s="524" t="s">
        <v>1250</v>
      </c>
      <c r="P1649" s="526"/>
      <c r="S1649" s="527">
        <v>0</v>
      </c>
    </row>
    <row r="1650" spans="1:19" x14ac:dyDescent="0.2">
      <c r="A1650" s="524">
        <v>70562</v>
      </c>
      <c r="B1650" s="526">
        <v>46223</v>
      </c>
      <c r="C1650" s="524" t="s">
        <v>1148</v>
      </c>
      <c r="D1650" s="524" t="s">
        <v>1205</v>
      </c>
      <c r="E1650" s="524" t="s">
        <v>1540</v>
      </c>
      <c r="F1650" s="524" t="s">
        <v>1183</v>
      </c>
      <c r="G1650" s="524" t="s">
        <v>750</v>
      </c>
      <c r="H1650" s="527">
        <v>10000</v>
      </c>
      <c r="I1650" s="524" t="s">
        <v>1174</v>
      </c>
      <c r="J1650" s="524">
        <f>IF(cmf[[#This Row],[D/C]]="C",cmf[[#This Row],[Valor]],-1*cmf[[#This Row],[Valor]])</f>
        <v>-10000</v>
      </c>
      <c r="L1650" s="524" t="s">
        <v>1207</v>
      </c>
      <c r="M1650" s="524" t="s">
        <v>1208</v>
      </c>
      <c r="N1650" s="524" t="s">
        <v>1256</v>
      </c>
      <c r="O1650" s="524" t="s">
        <v>1257</v>
      </c>
      <c r="P1650" s="526">
        <v>46223</v>
      </c>
      <c r="S1650" s="527">
        <v>0</v>
      </c>
    </row>
    <row r="1651" spans="1:19" x14ac:dyDescent="0.2">
      <c r="A1651" s="524">
        <v>70563</v>
      </c>
      <c r="B1651" s="526">
        <v>46223</v>
      </c>
      <c r="C1651" s="524" t="s">
        <v>1148</v>
      </c>
      <c r="D1651" s="524" t="s">
        <v>1205</v>
      </c>
      <c r="E1651" s="524" t="s">
        <v>1575</v>
      </c>
      <c r="F1651" s="524" t="s">
        <v>1170</v>
      </c>
      <c r="G1651" s="524" t="s">
        <v>749</v>
      </c>
      <c r="H1651" s="527">
        <v>10000</v>
      </c>
      <c r="I1651" s="524" t="s">
        <v>1148</v>
      </c>
      <c r="J1651" s="524">
        <f>IF(cmf[[#This Row],[D/C]]="C",cmf[[#This Row],[Valor]],-1*cmf[[#This Row],[Valor]])</f>
        <v>10000</v>
      </c>
      <c r="L1651" s="524" t="s">
        <v>1207</v>
      </c>
      <c r="M1651" s="524" t="s">
        <v>1208</v>
      </c>
      <c r="N1651" s="524" t="s">
        <v>1256</v>
      </c>
      <c r="O1651" s="524" t="s">
        <v>1257</v>
      </c>
      <c r="P1651" s="526">
        <v>46223</v>
      </c>
      <c r="S1651" s="527">
        <v>0</v>
      </c>
    </row>
    <row r="1652" spans="1:19" x14ac:dyDescent="0.2">
      <c r="A1652" s="524">
        <v>70564</v>
      </c>
      <c r="B1652" s="526">
        <v>46223</v>
      </c>
      <c r="C1652" s="524" t="s">
        <v>1148</v>
      </c>
      <c r="D1652" s="524" t="s">
        <v>1205</v>
      </c>
      <c r="E1652" s="524" t="s">
        <v>1335</v>
      </c>
      <c r="F1652" s="524" t="s">
        <v>1170</v>
      </c>
      <c r="G1652" s="524" t="s">
        <v>799</v>
      </c>
      <c r="H1652" s="527">
        <v>130000</v>
      </c>
      <c r="I1652" s="524" t="s">
        <v>1174</v>
      </c>
      <c r="J1652" s="524">
        <f>IF(cmf[[#This Row],[D/C]]="C",cmf[[#This Row],[Valor]],-1*cmf[[#This Row],[Valor]])</f>
        <v>-130000</v>
      </c>
      <c r="L1652" s="524" t="s">
        <v>1207</v>
      </c>
      <c r="M1652" s="524" t="s">
        <v>1208</v>
      </c>
      <c r="N1652" s="524" t="s">
        <v>1171</v>
      </c>
      <c r="O1652" s="524" t="s">
        <v>1172</v>
      </c>
      <c r="P1652" s="526">
        <v>46223</v>
      </c>
      <c r="S1652" s="527">
        <v>0</v>
      </c>
    </row>
    <row r="1653" spans="1:19" x14ac:dyDescent="0.2">
      <c r="A1653" s="524">
        <v>70565</v>
      </c>
      <c r="B1653" s="526">
        <v>46223</v>
      </c>
      <c r="C1653" s="524" t="s">
        <v>1148</v>
      </c>
      <c r="D1653" s="524" t="s">
        <v>1205</v>
      </c>
      <c r="E1653" s="524" t="s">
        <v>1330</v>
      </c>
      <c r="F1653" s="524" t="s">
        <v>1183</v>
      </c>
      <c r="G1653" s="524" t="s">
        <v>800</v>
      </c>
      <c r="H1653" s="527">
        <v>130000</v>
      </c>
      <c r="I1653" s="524" t="s">
        <v>1148</v>
      </c>
      <c r="J1653" s="524">
        <f>IF(cmf[[#This Row],[D/C]]="C",cmf[[#This Row],[Valor]],-1*cmf[[#This Row],[Valor]])</f>
        <v>130000</v>
      </c>
      <c r="L1653" s="524" t="s">
        <v>1207</v>
      </c>
      <c r="M1653" s="524" t="s">
        <v>1208</v>
      </c>
      <c r="N1653" s="524" t="s">
        <v>1171</v>
      </c>
      <c r="O1653" s="524" t="s">
        <v>1172</v>
      </c>
      <c r="P1653" s="526">
        <v>46223</v>
      </c>
      <c r="S1653" s="527">
        <v>0</v>
      </c>
    </row>
    <row r="1654" spans="1:19" x14ac:dyDescent="0.2">
      <c r="A1654" s="524">
        <v>70566</v>
      </c>
      <c r="B1654" s="526">
        <v>46223</v>
      </c>
      <c r="C1654" s="524" t="s">
        <v>1148</v>
      </c>
      <c r="D1654" s="524" t="s">
        <v>1205</v>
      </c>
      <c r="E1654" s="524" t="s">
        <v>1337</v>
      </c>
      <c r="F1654" s="524" t="s">
        <v>1170</v>
      </c>
      <c r="G1654" s="524" t="s">
        <v>802</v>
      </c>
      <c r="H1654" s="527">
        <v>30000</v>
      </c>
      <c r="I1654" s="524" t="s">
        <v>1174</v>
      </c>
      <c r="J1654" s="524">
        <f>IF(cmf[[#This Row],[D/C]]="C",cmf[[#This Row],[Valor]],-1*cmf[[#This Row],[Valor]])</f>
        <v>-30000</v>
      </c>
      <c r="L1654" s="524" t="s">
        <v>1207</v>
      </c>
      <c r="M1654" s="524" t="s">
        <v>1208</v>
      </c>
      <c r="N1654" s="524" t="s">
        <v>1192</v>
      </c>
      <c r="O1654" s="524" t="s">
        <v>1193</v>
      </c>
      <c r="P1654" s="526">
        <v>46223</v>
      </c>
      <c r="S1654" s="527">
        <v>0</v>
      </c>
    </row>
    <row r="1655" spans="1:19" x14ac:dyDescent="0.2">
      <c r="A1655" s="524">
        <v>70567</v>
      </c>
      <c r="B1655" s="526">
        <v>46223</v>
      </c>
      <c r="C1655" s="524" t="s">
        <v>1148</v>
      </c>
      <c r="D1655" s="524" t="s">
        <v>1205</v>
      </c>
      <c r="E1655" s="524" t="s">
        <v>1342</v>
      </c>
      <c r="F1655" s="524" t="s">
        <v>1183</v>
      </c>
      <c r="G1655" s="524" t="s">
        <v>803</v>
      </c>
      <c r="H1655" s="527">
        <v>30000</v>
      </c>
      <c r="I1655" s="524" t="s">
        <v>1148</v>
      </c>
      <c r="J1655" s="524">
        <f>IF(cmf[[#This Row],[D/C]]="C",cmf[[#This Row],[Valor]],-1*cmf[[#This Row],[Valor]])</f>
        <v>30000</v>
      </c>
      <c r="L1655" s="524" t="s">
        <v>1207</v>
      </c>
      <c r="M1655" s="524" t="s">
        <v>1208</v>
      </c>
      <c r="N1655" s="524" t="s">
        <v>1192</v>
      </c>
      <c r="O1655" s="524" t="s">
        <v>1193</v>
      </c>
      <c r="P1655" s="526">
        <v>46223</v>
      </c>
      <c r="S1655" s="527">
        <v>0</v>
      </c>
    </row>
    <row r="1656" spans="1:19" x14ac:dyDescent="0.2">
      <c r="A1656" s="524">
        <v>70568</v>
      </c>
      <c r="B1656" s="526">
        <v>46223</v>
      </c>
      <c r="C1656" s="524" t="s">
        <v>1148</v>
      </c>
      <c r="D1656" s="524" t="s">
        <v>1205</v>
      </c>
      <c r="E1656" s="524" t="s">
        <v>1537</v>
      </c>
      <c r="F1656" s="524" t="s">
        <v>1170</v>
      </c>
      <c r="G1656" s="524" t="s">
        <v>757</v>
      </c>
      <c r="H1656" s="527">
        <v>315000</v>
      </c>
      <c r="I1656" s="524" t="s">
        <v>1174</v>
      </c>
      <c r="J1656" s="524">
        <f>IF(cmf[[#This Row],[D/C]]="C",cmf[[#This Row],[Valor]],-1*cmf[[#This Row],[Valor]])</f>
        <v>-315000</v>
      </c>
      <c r="L1656" s="524" t="s">
        <v>1207</v>
      </c>
      <c r="M1656" s="524" t="s">
        <v>1208</v>
      </c>
      <c r="N1656" s="524" t="s">
        <v>1223</v>
      </c>
      <c r="O1656" s="524" t="s">
        <v>1224</v>
      </c>
      <c r="P1656" s="526">
        <v>46223</v>
      </c>
      <c r="S1656" s="527">
        <v>0</v>
      </c>
    </row>
    <row r="1657" spans="1:19" x14ac:dyDescent="0.2">
      <c r="A1657" s="524">
        <v>70569</v>
      </c>
      <c r="B1657" s="526">
        <v>46223</v>
      </c>
      <c r="C1657" s="524" t="s">
        <v>1148</v>
      </c>
      <c r="D1657" s="524" t="s">
        <v>1205</v>
      </c>
      <c r="E1657" s="524" t="s">
        <v>1234</v>
      </c>
      <c r="F1657" s="524" t="s">
        <v>1183</v>
      </c>
      <c r="G1657" s="524" t="s">
        <v>758</v>
      </c>
      <c r="H1657" s="527">
        <v>315000</v>
      </c>
      <c r="I1657" s="524" t="s">
        <v>1148</v>
      </c>
      <c r="J1657" s="524">
        <f>IF(cmf[[#This Row],[D/C]]="C",cmf[[#This Row],[Valor]],-1*cmf[[#This Row],[Valor]])</f>
        <v>315000</v>
      </c>
      <c r="L1657" s="524" t="s">
        <v>1207</v>
      </c>
      <c r="M1657" s="524" t="s">
        <v>1208</v>
      </c>
      <c r="N1657" s="524" t="s">
        <v>1223</v>
      </c>
      <c r="O1657" s="524" t="s">
        <v>1224</v>
      </c>
      <c r="P1657" s="526">
        <v>46223</v>
      </c>
      <c r="S1657" s="527">
        <v>0</v>
      </c>
    </row>
    <row r="1658" spans="1:19" x14ac:dyDescent="0.2">
      <c r="A1658" s="524">
        <v>70570</v>
      </c>
      <c r="B1658" s="526">
        <v>46223</v>
      </c>
      <c r="C1658" s="524" t="s">
        <v>1148</v>
      </c>
      <c r="D1658" s="524" t="s">
        <v>1205</v>
      </c>
      <c r="E1658" s="524" t="s">
        <v>1214</v>
      </c>
      <c r="F1658" s="524" t="s">
        <v>1170</v>
      </c>
      <c r="G1658" s="524" t="s">
        <v>757</v>
      </c>
      <c r="H1658" s="527">
        <v>300000</v>
      </c>
      <c r="I1658" s="524" t="s">
        <v>1174</v>
      </c>
      <c r="J1658" s="524">
        <f>IF(cmf[[#This Row],[D/C]]="C",cmf[[#This Row],[Valor]],-1*cmf[[#This Row],[Valor]])</f>
        <v>-300000</v>
      </c>
      <c r="L1658" s="524" t="s">
        <v>1207</v>
      </c>
      <c r="M1658" s="524" t="s">
        <v>1208</v>
      </c>
      <c r="N1658" s="524" t="s">
        <v>1223</v>
      </c>
      <c r="O1658" s="524" t="s">
        <v>1224</v>
      </c>
      <c r="P1658" s="526">
        <v>46223</v>
      </c>
      <c r="S1658" s="527">
        <v>0</v>
      </c>
    </row>
    <row r="1659" spans="1:19" x14ac:dyDescent="0.2">
      <c r="A1659" s="524">
        <v>70571</v>
      </c>
      <c r="B1659" s="526">
        <v>46223</v>
      </c>
      <c r="C1659" s="524" t="s">
        <v>1148</v>
      </c>
      <c r="D1659" s="524" t="s">
        <v>1205</v>
      </c>
      <c r="E1659" s="524" t="s">
        <v>1234</v>
      </c>
      <c r="F1659" s="524" t="s">
        <v>1183</v>
      </c>
      <c r="G1659" s="524" t="s">
        <v>742</v>
      </c>
      <c r="H1659" s="527">
        <v>300000</v>
      </c>
      <c r="I1659" s="524" t="s">
        <v>1148</v>
      </c>
      <c r="J1659" s="524">
        <f>IF(cmf[[#This Row],[D/C]]="C",cmf[[#This Row],[Valor]],-1*cmf[[#This Row],[Valor]])</f>
        <v>300000</v>
      </c>
      <c r="L1659" s="524" t="s">
        <v>1207</v>
      </c>
      <c r="M1659" s="524" t="s">
        <v>1208</v>
      </c>
      <c r="N1659" s="524" t="s">
        <v>1215</v>
      </c>
      <c r="O1659" s="524" t="s">
        <v>1218</v>
      </c>
      <c r="P1659" s="526">
        <v>46223</v>
      </c>
      <c r="S1659" s="527">
        <v>0</v>
      </c>
    </row>
    <row r="1660" spans="1:19" x14ac:dyDescent="0.2">
      <c r="A1660" s="524">
        <v>70572</v>
      </c>
      <c r="B1660" s="526">
        <v>46223</v>
      </c>
      <c r="C1660" s="524" t="s">
        <v>1148</v>
      </c>
      <c r="D1660" s="524" t="s">
        <v>1205</v>
      </c>
      <c r="E1660" s="524" t="s">
        <v>1543</v>
      </c>
      <c r="F1660" s="524" t="s">
        <v>1183</v>
      </c>
      <c r="G1660" s="524" t="s">
        <v>742</v>
      </c>
      <c r="H1660" s="527">
        <v>206000</v>
      </c>
      <c r="I1660" s="524" t="s">
        <v>1174</v>
      </c>
      <c r="J1660" s="524">
        <f>IF(cmf[[#This Row],[D/C]]="C",cmf[[#This Row],[Valor]],-1*cmf[[#This Row],[Valor]])</f>
        <v>-206000</v>
      </c>
      <c r="L1660" s="524" t="s">
        <v>1207</v>
      </c>
      <c r="M1660" s="524" t="s">
        <v>1208</v>
      </c>
      <c r="N1660" s="524" t="s">
        <v>1215</v>
      </c>
      <c r="O1660" s="524" t="s">
        <v>1218</v>
      </c>
      <c r="P1660" s="526">
        <v>46223</v>
      </c>
      <c r="S1660" s="527">
        <v>0</v>
      </c>
    </row>
    <row r="1661" spans="1:19" x14ac:dyDescent="0.2">
      <c r="A1661" s="524">
        <v>70573</v>
      </c>
      <c r="B1661" s="526">
        <v>46223</v>
      </c>
      <c r="C1661" s="524" t="s">
        <v>1162</v>
      </c>
      <c r="D1661" s="524" t="s">
        <v>1205</v>
      </c>
      <c r="E1661" s="524" t="s">
        <v>1217</v>
      </c>
      <c r="F1661" s="524" t="s">
        <v>1170</v>
      </c>
      <c r="G1661" s="524" t="s">
        <v>781</v>
      </c>
      <c r="H1661" s="527">
        <v>206000</v>
      </c>
      <c r="I1661" s="524" t="s">
        <v>1148</v>
      </c>
      <c r="J1661" s="524">
        <f>IF(cmf[[#This Row],[D/C]]="C",cmf[[#This Row],[Valor]],-1*cmf[[#This Row],[Valor]])</f>
        <v>206000</v>
      </c>
      <c r="L1661" s="524" t="s">
        <v>1207</v>
      </c>
      <c r="M1661" s="524" t="s">
        <v>1208</v>
      </c>
      <c r="N1661" s="524" t="s">
        <v>1209</v>
      </c>
      <c r="O1661" s="524" t="s">
        <v>1210</v>
      </c>
      <c r="P1661" s="526"/>
      <c r="S1661" s="527">
        <v>0</v>
      </c>
    </row>
    <row r="1662" spans="1:19" x14ac:dyDescent="0.2">
      <c r="A1662" s="524">
        <v>70574</v>
      </c>
      <c r="B1662" s="526">
        <v>46223</v>
      </c>
      <c r="C1662" s="524" t="s">
        <v>1162</v>
      </c>
      <c r="D1662" s="524" t="s">
        <v>1205</v>
      </c>
      <c r="E1662" s="524" t="s">
        <v>1338</v>
      </c>
      <c r="F1662" s="524" t="s">
        <v>1170</v>
      </c>
      <c r="G1662" s="524" t="s">
        <v>781</v>
      </c>
      <c r="H1662" s="527">
        <v>30000</v>
      </c>
      <c r="I1662" s="524" t="s">
        <v>1174</v>
      </c>
      <c r="J1662" s="524">
        <f>IF(cmf[[#This Row],[D/C]]="C",cmf[[#This Row],[Valor]],-1*cmf[[#This Row],[Valor]])</f>
        <v>-30000</v>
      </c>
      <c r="L1662" s="524" t="s">
        <v>1207</v>
      </c>
      <c r="M1662" s="524" t="s">
        <v>1208</v>
      </c>
      <c r="N1662" s="524" t="s">
        <v>1209</v>
      </c>
      <c r="O1662" s="524" t="s">
        <v>1210</v>
      </c>
      <c r="P1662" s="526"/>
      <c r="S1662" s="527">
        <v>0</v>
      </c>
    </row>
    <row r="1663" spans="1:19" x14ac:dyDescent="0.2">
      <c r="A1663" s="524">
        <v>70575</v>
      </c>
      <c r="B1663" s="526">
        <v>46223</v>
      </c>
      <c r="C1663" s="524" t="s">
        <v>1162</v>
      </c>
      <c r="D1663" s="524" t="s">
        <v>1205</v>
      </c>
      <c r="E1663" s="524" t="s">
        <v>1211</v>
      </c>
      <c r="F1663" s="524" t="s">
        <v>1170</v>
      </c>
      <c r="G1663" s="524" t="s">
        <v>771</v>
      </c>
      <c r="H1663" s="527">
        <v>30000</v>
      </c>
      <c r="I1663" s="524" t="s">
        <v>1148</v>
      </c>
      <c r="J1663" s="524">
        <f>IF(cmf[[#This Row],[D/C]]="C",cmf[[#This Row],[Valor]],-1*cmf[[#This Row],[Valor]])</f>
        <v>30000</v>
      </c>
      <c r="L1663" s="524" t="s">
        <v>1207</v>
      </c>
      <c r="M1663" s="524" t="s">
        <v>1208</v>
      </c>
      <c r="N1663" s="524" t="s">
        <v>1249</v>
      </c>
      <c r="O1663" s="524" t="s">
        <v>1250</v>
      </c>
      <c r="P1663" s="526"/>
      <c r="S1663" s="527">
        <v>0</v>
      </c>
    </row>
    <row r="1664" spans="1:19" x14ac:dyDescent="0.2">
      <c r="A1664" s="524">
        <v>70576</v>
      </c>
      <c r="B1664" s="526">
        <v>46223</v>
      </c>
      <c r="C1664" s="524" t="s">
        <v>1162</v>
      </c>
      <c r="D1664" s="524" t="s">
        <v>1205</v>
      </c>
      <c r="E1664" s="524" t="s">
        <v>1206</v>
      </c>
      <c r="F1664" s="524" t="s">
        <v>1170</v>
      </c>
      <c r="G1664" s="524" t="s">
        <v>781</v>
      </c>
      <c r="H1664" s="527">
        <v>58000</v>
      </c>
      <c r="I1664" s="524" t="s">
        <v>1174</v>
      </c>
      <c r="J1664" s="524">
        <f>IF(cmf[[#This Row],[D/C]]="C",cmf[[#This Row],[Valor]],-1*cmf[[#This Row],[Valor]])</f>
        <v>-58000</v>
      </c>
      <c r="L1664" s="524" t="s">
        <v>1207</v>
      </c>
      <c r="M1664" s="524" t="s">
        <v>1208</v>
      </c>
      <c r="N1664" s="524" t="s">
        <v>1209</v>
      </c>
      <c r="O1664" s="524" t="s">
        <v>1210</v>
      </c>
      <c r="P1664" s="526"/>
      <c r="S1664" s="527">
        <v>0</v>
      </c>
    </row>
    <row r="1665" spans="1:19" x14ac:dyDescent="0.2">
      <c r="A1665" s="524">
        <v>70577</v>
      </c>
      <c r="B1665" s="526">
        <v>46223</v>
      </c>
      <c r="C1665" s="524" t="s">
        <v>1162</v>
      </c>
      <c r="D1665" s="524" t="s">
        <v>1205</v>
      </c>
      <c r="E1665" s="524" t="s">
        <v>1211</v>
      </c>
      <c r="F1665" s="524" t="s">
        <v>1170</v>
      </c>
      <c r="G1665" s="524" t="s">
        <v>775</v>
      </c>
      <c r="H1665" s="527">
        <v>58000</v>
      </c>
      <c r="I1665" s="524" t="s">
        <v>1148</v>
      </c>
      <c r="J1665" s="524">
        <f>IF(cmf[[#This Row],[D/C]]="C",cmf[[#This Row],[Valor]],-1*cmf[[#This Row],[Valor]])</f>
        <v>58000</v>
      </c>
      <c r="L1665" s="524" t="s">
        <v>1207</v>
      </c>
      <c r="M1665" s="524" t="s">
        <v>1208</v>
      </c>
      <c r="N1665" s="524" t="s">
        <v>1212</v>
      </c>
      <c r="O1665" s="524" t="s">
        <v>1213</v>
      </c>
      <c r="P1665" s="526"/>
      <c r="S1665" s="527">
        <v>0</v>
      </c>
    </row>
    <row r="1666" spans="1:19" x14ac:dyDescent="0.2">
      <c r="A1666" s="524">
        <v>70578</v>
      </c>
      <c r="B1666" s="526">
        <v>46223</v>
      </c>
      <c r="C1666" s="524" t="s">
        <v>1162</v>
      </c>
      <c r="D1666" s="524" t="s">
        <v>1205</v>
      </c>
      <c r="E1666" s="524" t="s">
        <v>2236</v>
      </c>
      <c r="F1666" s="524" t="s">
        <v>1170</v>
      </c>
      <c r="G1666" s="524" t="s">
        <v>781</v>
      </c>
      <c r="H1666" s="527">
        <v>26000</v>
      </c>
      <c r="I1666" s="524" t="s">
        <v>1174</v>
      </c>
      <c r="J1666" s="524">
        <f>IF(cmf[[#This Row],[D/C]]="C",cmf[[#This Row],[Valor]],-1*cmf[[#This Row],[Valor]])</f>
        <v>-26000</v>
      </c>
      <c r="L1666" s="524" t="s">
        <v>1207</v>
      </c>
      <c r="M1666" s="524" t="s">
        <v>1208</v>
      </c>
      <c r="N1666" s="524" t="s">
        <v>1209</v>
      </c>
      <c r="O1666" s="524" t="s">
        <v>1210</v>
      </c>
      <c r="P1666" s="526"/>
      <c r="S1666" s="527">
        <v>0</v>
      </c>
    </row>
    <row r="1667" spans="1:19" x14ac:dyDescent="0.2">
      <c r="A1667" s="524">
        <v>70579</v>
      </c>
      <c r="B1667" s="526">
        <v>46223</v>
      </c>
      <c r="C1667" s="524" t="s">
        <v>1162</v>
      </c>
      <c r="D1667" s="524" t="s">
        <v>1205</v>
      </c>
      <c r="E1667" s="524" t="s">
        <v>1211</v>
      </c>
      <c r="F1667" s="524" t="s">
        <v>1183</v>
      </c>
      <c r="G1667" s="524" t="s">
        <v>786</v>
      </c>
      <c r="H1667" s="527">
        <v>26000</v>
      </c>
      <c r="I1667" s="524" t="s">
        <v>1148</v>
      </c>
      <c r="J1667" s="524">
        <f>IF(cmf[[#This Row],[D/C]]="C",cmf[[#This Row],[Valor]],-1*cmf[[#This Row],[Valor]])</f>
        <v>26000</v>
      </c>
      <c r="L1667" s="524" t="s">
        <v>1207</v>
      </c>
      <c r="M1667" s="524" t="s">
        <v>1208</v>
      </c>
      <c r="N1667" s="524" t="s">
        <v>2104</v>
      </c>
      <c r="O1667" s="524" t="s">
        <v>1751</v>
      </c>
      <c r="P1667" s="526"/>
      <c r="S1667" s="527">
        <v>0</v>
      </c>
    </row>
    <row r="1668" spans="1:19" x14ac:dyDescent="0.2">
      <c r="A1668" s="524">
        <v>70580</v>
      </c>
      <c r="B1668" s="526">
        <v>46223</v>
      </c>
      <c r="C1668" s="524" t="s">
        <v>1162</v>
      </c>
      <c r="D1668" s="524" t="s">
        <v>1205</v>
      </c>
      <c r="E1668" s="524" t="s">
        <v>1339</v>
      </c>
      <c r="F1668" s="524" t="s">
        <v>1170</v>
      </c>
      <c r="G1668" s="524" t="s">
        <v>781</v>
      </c>
      <c r="H1668" s="527">
        <v>42000</v>
      </c>
      <c r="I1668" s="524" t="s">
        <v>1174</v>
      </c>
      <c r="J1668" s="524">
        <f>IF(cmf[[#This Row],[D/C]]="C",cmf[[#This Row],[Valor]],-1*cmf[[#This Row],[Valor]])</f>
        <v>-42000</v>
      </c>
      <c r="L1668" s="524" t="s">
        <v>1207</v>
      </c>
      <c r="M1668" s="524" t="s">
        <v>1208</v>
      </c>
      <c r="N1668" s="524" t="s">
        <v>1209</v>
      </c>
      <c r="O1668" s="524" t="s">
        <v>1210</v>
      </c>
      <c r="P1668" s="526"/>
      <c r="S1668" s="527">
        <v>0</v>
      </c>
    </row>
    <row r="1669" spans="1:19" x14ac:dyDescent="0.2">
      <c r="A1669" s="524">
        <v>70581</v>
      </c>
      <c r="B1669" s="526">
        <v>46223</v>
      </c>
      <c r="C1669" s="524" t="s">
        <v>1162</v>
      </c>
      <c r="D1669" s="524" t="s">
        <v>1205</v>
      </c>
      <c r="E1669" s="524" t="s">
        <v>1211</v>
      </c>
      <c r="F1669" s="524" t="s">
        <v>1170</v>
      </c>
      <c r="G1669" s="524" t="s">
        <v>794</v>
      </c>
      <c r="H1669" s="527">
        <v>42000</v>
      </c>
      <c r="I1669" s="524" t="s">
        <v>1148</v>
      </c>
      <c r="J1669" s="524">
        <f>IF(cmf[[#This Row],[D/C]]="C",cmf[[#This Row],[Valor]],-1*cmf[[#This Row],[Valor]])</f>
        <v>42000</v>
      </c>
      <c r="L1669" s="524" t="s">
        <v>1207</v>
      </c>
      <c r="M1669" s="524" t="s">
        <v>1208</v>
      </c>
      <c r="N1669" s="524" t="s">
        <v>1340</v>
      </c>
      <c r="O1669" s="524" t="s">
        <v>1341</v>
      </c>
      <c r="P1669" s="526"/>
      <c r="S1669" s="527">
        <v>0</v>
      </c>
    </row>
    <row r="1670" spans="1:19" x14ac:dyDescent="0.2">
      <c r="A1670" s="524">
        <v>70582</v>
      </c>
      <c r="B1670" s="526">
        <v>46223</v>
      </c>
      <c r="C1670" s="524" t="s">
        <v>1148</v>
      </c>
      <c r="D1670" s="524" t="s">
        <v>1205</v>
      </c>
      <c r="E1670" s="524" t="s">
        <v>1536</v>
      </c>
      <c r="F1670" s="524" t="s">
        <v>1183</v>
      </c>
      <c r="G1670" s="524" t="s">
        <v>742</v>
      </c>
      <c r="H1670" s="527">
        <v>10000</v>
      </c>
      <c r="I1670" s="524" t="s">
        <v>1174</v>
      </c>
      <c r="J1670" s="524">
        <f>IF(cmf[[#This Row],[D/C]]="C",cmf[[#This Row],[Valor]],-1*cmf[[#This Row],[Valor]])</f>
        <v>-10000</v>
      </c>
      <c r="L1670" s="524" t="s">
        <v>1207</v>
      </c>
      <c r="M1670" s="524" t="s">
        <v>1208</v>
      </c>
      <c r="N1670" s="524" t="s">
        <v>1215</v>
      </c>
      <c r="O1670" s="524" t="s">
        <v>1218</v>
      </c>
      <c r="P1670" s="526">
        <v>46223</v>
      </c>
      <c r="S1670" s="527">
        <v>0</v>
      </c>
    </row>
    <row r="1671" spans="1:19" x14ac:dyDescent="0.2">
      <c r="A1671" s="524">
        <v>70583</v>
      </c>
      <c r="B1671" s="526">
        <v>46223</v>
      </c>
      <c r="C1671" s="524" t="s">
        <v>1148</v>
      </c>
      <c r="D1671" s="524" t="s">
        <v>1205</v>
      </c>
      <c r="E1671" s="524" t="s">
        <v>1217</v>
      </c>
      <c r="F1671" s="524" t="s">
        <v>1183</v>
      </c>
      <c r="G1671" s="524" t="s">
        <v>745</v>
      </c>
      <c r="H1671" s="527">
        <v>10000</v>
      </c>
      <c r="I1671" s="524" t="s">
        <v>1148</v>
      </c>
      <c r="J1671" s="524">
        <f>IF(cmf[[#This Row],[D/C]]="C",cmf[[#This Row],[Valor]],-1*cmf[[#This Row],[Valor]])</f>
        <v>10000</v>
      </c>
      <c r="L1671" s="524" t="s">
        <v>1207</v>
      </c>
      <c r="M1671" s="524" t="s">
        <v>1208</v>
      </c>
      <c r="N1671" s="524" t="s">
        <v>1292</v>
      </c>
      <c r="O1671" s="524" t="s">
        <v>1293</v>
      </c>
      <c r="P1671" s="526">
        <v>46223</v>
      </c>
      <c r="S1671" s="527">
        <v>0</v>
      </c>
    </row>
    <row r="1672" spans="1:19" x14ac:dyDescent="0.2">
      <c r="A1672" s="524">
        <v>70584</v>
      </c>
      <c r="B1672" s="526">
        <v>46223</v>
      </c>
      <c r="C1672" s="524" t="s">
        <v>1148</v>
      </c>
      <c r="D1672" s="524" t="s">
        <v>1205</v>
      </c>
      <c r="E1672" s="524" t="s">
        <v>1336</v>
      </c>
      <c r="F1672" s="524" t="s">
        <v>1183</v>
      </c>
      <c r="G1672" s="524" t="s">
        <v>742</v>
      </c>
      <c r="H1672" s="527">
        <v>57000</v>
      </c>
      <c r="I1672" s="524" t="s">
        <v>1174</v>
      </c>
      <c r="J1672" s="524">
        <f>IF(cmf[[#This Row],[D/C]]="C",cmf[[#This Row],[Valor]],-1*cmf[[#This Row],[Valor]])</f>
        <v>-57000</v>
      </c>
      <c r="L1672" s="524" t="s">
        <v>1207</v>
      </c>
      <c r="M1672" s="524" t="s">
        <v>1208</v>
      </c>
      <c r="N1672" s="524" t="s">
        <v>1215</v>
      </c>
      <c r="O1672" s="524" t="s">
        <v>1218</v>
      </c>
      <c r="P1672" s="526">
        <v>46223</v>
      </c>
      <c r="S1672" s="527">
        <v>0</v>
      </c>
    </row>
    <row r="1673" spans="1:19" x14ac:dyDescent="0.2">
      <c r="A1673" s="524">
        <v>70585</v>
      </c>
      <c r="B1673" s="526">
        <v>46223</v>
      </c>
      <c r="C1673" s="524" t="s">
        <v>1148</v>
      </c>
      <c r="D1673" s="524" t="s">
        <v>1205</v>
      </c>
      <c r="E1673" s="524" t="s">
        <v>1217</v>
      </c>
      <c r="F1673" s="524" t="s">
        <v>1178</v>
      </c>
      <c r="G1673" s="524" t="s">
        <v>1179</v>
      </c>
      <c r="H1673" s="527">
        <v>57000</v>
      </c>
      <c r="I1673" s="524" t="s">
        <v>1148</v>
      </c>
      <c r="J1673" s="524">
        <f>IF(cmf[[#This Row],[D/C]]="C",cmf[[#This Row],[Valor]],-1*cmf[[#This Row],[Valor]])</f>
        <v>57000</v>
      </c>
      <c r="L1673" s="524" t="s">
        <v>1207</v>
      </c>
      <c r="M1673" s="524" t="s">
        <v>1208</v>
      </c>
      <c r="N1673" s="524" t="s">
        <v>1180</v>
      </c>
      <c r="O1673" s="524" t="s">
        <v>1181</v>
      </c>
      <c r="P1673" s="526">
        <v>46223</v>
      </c>
      <c r="S1673" s="527">
        <v>0</v>
      </c>
    </row>
    <row r="1674" spans="1:19" x14ac:dyDescent="0.2">
      <c r="A1674" s="524">
        <v>70586</v>
      </c>
      <c r="B1674" s="526">
        <v>46223</v>
      </c>
      <c r="C1674" s="524" t="s">
        <v>1148</v>
      </c>
      <c r="D1674" s="524" t="s">
        <v>1205</v>
      </c>
      <c r="E1674" s="524" t="s">
        <v>1541</v>
      </c>
      <c r="F1674" s="524" t="s">
        <v>1183</v>
      </c>
      <c r="G1674" s="524" t="s">
        <v>742</v>
      </c>
      <c r="H1674" s="527">
        <v>2000</v>
      </c>
      <c r="I1674" s="524" t="s">
        <v>1174</v>
      </c>
      <c r="J1674" s="524">
        <f>IF(cmf[[#This Row],[D/C]]="C",cmf[[#This Row],[Valor]],-1*cmf[[#This Row],[Valor]])</f>
        <v>-2000</v>
      </c>
      <c r="L1674" s="524" t="s">
        <v>1207</v>
      </c>
      <c r="M1674" s="524" t="s">
        <v>1208</v>
      </c>
      <c r="N1674" s="524" t="s">
        <v>1215</v>
      </c>
      <c r="O1674" s="524" t="s">
        <v>1218</v>
      </c>
      <c r="P1674" s="526">
        <v>46223</v>
      </c>
      <c r="S1674" s="527">
        <v>0</v>
      </c>
    </row>
    <row r="1675" spans="1:19" x14ac:dyDescent="0.2">
      <c r="A1675" s="524">
        <v>70587</v>
      </c>
      <c r="B1675" s="526">
        <v>46223</v>
      </c>
      <c r="C1675" s="524" t="s">
        <v>1148</v>
      </c>
      <c r="D1675" s="524" t="s">
        <v>1205</v>
      </c>
      <c r="E1675" s="524" t="s">
        <v>1217</v>
      </c>
      <c r="F1675" s="524" t="s">
        <v>1183</v>
      </c>
      <c r="G1675" s="524" t="s">
        <v>766</v>
      </c>
      <c r="H1675" s="527">
        <v>2000</v>
      </c>
      <c r="I1675" s="524" t="s">
        <v>1148</v>
      </c>
      <c r="J1675" s="524">
        <f>IF(cmf[[#This Row],[D/C]]="C",cmf[[#This Row],[Valor]],-1*cmf[[#This Row],[Valor]])</f>
        <v>2000</v>
      </c>
      <c r="L1675" s="524" t="s">
        <v>1207</v>
      </c>
      <c r="M1675" s="524" t="s">
        <v>1208</v>
      </c>
      <c r="N1675" s="524" t="s">
        <v>1200</v>
      </c>
      <c r="O1675" s="524" t="s">
        <v>1201</v>
      </c>
      <c r="P1675" s="526">
        <v>46223</v>
      </c>
      <c r="S1675" s="527">
        <v>0</v>
      </c>
    </row>
    <row r="1676" spans="1:19" x14ac:dyDescent="0.2">
      <c r="A1676" s="524">
        <v>70702</v>
      </c>
      <c r="B1676" s="526">
        <v>46223</v>
      </c>
      <c r="C1676" s="524" t="s">
        <v>1162</v>
      </c>
      <c r="D1676" s="524" t="s">
        <v>1186</v>
      </c>
      <c r="E1676" s="524" t="s">
        <v>2237</v>
      </c>
      <c r="F1676" s="524" t="s">
        <v>1170</v>
      </c>
      <c r="G1676" s="524" t="s">
        <v>781</v>
      </c>
      <c r="H1676" s="527">
        <v>2532.46</v>
      </c>
      <c r="I1676" s="524" t="s">
        <v>1174</v>
      </c>
      <c r="J1676" s="524">
        <f>IF(cmf[[#This Row],[D/C]]="C",cmf[[#This Row],[Valor]],-1*cmf[[#This Row],[Valor]])</f>
        <v>-2532.46</v>
      </c>
      <c r="L1676" s="524" t="s">
        <v>1188</v>
      </c>
      <c r="M1676" s="524" t="s">
        <v>1189</v>
      </c>
      <c r="N1676" s="524" t="s">
        <v>1209</v>
      </c>
      <c r="O1676" s="524" t="s">
        <v>1210</v>
      </c>
      <c r="P1676" s="526"/>
      <c r="S1676" s="527">
        <v>0</v>
      </c>
    </row>
    <row r="1677" spans="1:19" x14ac:dyDescent="0.2">
      <c r="A1677" s="524">
        <v>70730</v>
      </c>
      <c r="B1677" s="526">
        <v>46223</v>
      </c>
      <c r="C1677" s="524" t="s">
        <v>1148</v>
      </c>
      <c r="D1677" s="524" t="s">
        <v>1239</v>
      </c>
      <c r="E1677" s="524" t="s">
        <v>2069</v>
      </c>
      <c r="F1677" s="524" t="s">
        <v>1170</v>
      </c>
      <c r="G1677" s="524" t="s">
        <v>802</v>
      </c>
      <c r="H1677" s="527">
        <v>13</v>
      </c>
      <c r="I1677" s="524" t="s">
        <v>1174</v>
      </c>
      <c r="J1677" s="524">
        <f>IF(cmf[[#This Row],[D/C]]="C",cmf[[#This Row],[Valor]],-1*cmf[[#This Row],[Valor]])</f>
        <v>-13</v>
      </c>
      <c r="L1677" s="524" t="s">
        <v>1241</v>
      </c>
      <c r="M1677" s="524" t="s">
        <v>1242</v>
      </c>
      <c r="N1677" s="524" t="s">
        <v>1192</v>
      </c>
      <c r="O1677" s="524" t="s">
        <v>1193</v>
      </c>
      <c r="P1677" s="526">
        <v>46223</v>
      </c>
      <c r="S1677" s="527">
        <v>0</v>
      </c>
    </row>
    <row r="1678" spans="1:19" x14ac:dyDescent="0.2">
      <c r="A1678" s="524">
        <v>70731</v>
      </c>
      <c r="B1678" s="526">
        <v>46223</v>
      </c>
      <c r="C1678" s="524" t="s">
        <v>1148</v>
      </c>
      <c r="D1678" s="524" t="s">
        <v>1235</v>
      </c>
      <c r="E1678" s="524" t="s">
        <v>1983</v>
      </c>
      <c r="F1678" s="524" t="s">
        <v>1170</v>
      </c>
      <c r="G1678" s="524" t="s">
        <v>802</v>
      </c>
      <c r="H1678" s="527">
        <v>300</v>
      </c>
      <c r="I1678" s="524" t="s">
        <v>1174</v>
      </c>
      <c r="J1678" s="524">
        <f>IF(cmf[[#This Row],[D/C]]="C",cmf[[#This Row],[Valor]],-1*cmf[[#This Row],[Valor]])</f>
        <v>-300</v>
      </c>
      <c r="L1678" s="524" t="s">
        <v>1237</v>
      </c>
      <c r="M1678" s="524" t="s">
        <v>1238</v>
      </c>
      <c r="N1678" s="524" t="s">
        <v>1192</v>
      </c>
      <c r="O1678" s="524" t="s">
        <v>1193</v>
      </c>
      <c r="P1678" s="526">
        <v>46223</v>
      </c>
      <c r="S1678" s="527">
        <v>0</v>
      </c>
    </row>
    <row r="1679" spans="1:19" x14ac:dyDescent="0.2">
      <c r="A1679" s="524">
        <v>70765</v>
      </c>
      <c r="B1679" s="526">
        <v>46223</v>
      </c>
      <c r="C1679" s="524" t="s">
        <v>1148</v>
      </c>
      <c r="D1679" s="524" t="s">
        <v>1243</v>
      </c>
      <c r="E1679" s="524" t="s">
        <v>1254</v>
      </c>
      <c r="F1679" s="524" t="s">
        <v>1178</v>
      </c>
      <c r="G1679" s="524" t="s">
        <v>1179</v>
      </c>
      <c r="H1679" s="527">
        <v>13287.35</v>
      </c>
      <c r="I1679" s="524" t="s">
        <v>1148</v>
      </c>
      <c r="J1679" s="524">
        <f>IF(cmf[[#This Row],[D/C]]="C",cmf[[#This Row],[Valor]],-1*cmf[[#This Row],[Valor]])</f>
        <v>13287.35</v>
      </c>
      <c r="L1679" s="524" t="s">
        <v>1245</v>
      </c>
      <c r="M1679" s="524" t="s">
        <v>1246</v>
      </c>
      <c r="N1679" s="524" t="s">
        <v>1180</v>
      </c>
      <c r="O1679" s="524" t="s">
        <v>1181</v>
      </c>
      <c r="P1679" s="526">
        <v>46223</v>
      </c>
      <c r="S1679" s="527">
        <v>0</v>
      </c>
    </row>
    <row r="1680" spans="1:19" x14ac:dyDescent="0.2">
      <c r="A1680" s="524">
        <v>70787</v>
      </c>
      <c r="B1680" s="526">
        <v>46223</v>
      </c>
      <c r="C1680" s="524" t="s">
        <v>1148</v>
      </c>
      <c r="D1680" s="524" t="s">
        <v>1239</v>
      </c>
      <c r="E1680" s="524" t="s">
        <v>1258</v>
      </c>
      <c r="F1680" s="524" t="s">
        <v>1170</v>
      </c>
      <c r="G1680" s="524" t="s">
        <v>1102</v>
      </c>
      <c r="H1680" s="527">
        <v>6.3</v>
      </c>
      <c r="I1680" s="524" t="s">
        <v>1174</v>
      </c>
      <c r="J1680" s="524">
        <f>IF(cmf[[#This Row],[D/C]]="C",cmf[[#This Row],[Valor]],-1*cmf[[#This Row],[Valor]])</f>
        <v>-6.3</v>
      </c>
      <c r="L1680" s="524" t="s">
        <v>1241</v>
      </c>
      <c r="M1680" s="524" t="s">
        <v>1242</v>
      </c>
      <c r="N1680" s="524" t="s">
        <v>1192</v>
      </c>
      <c r="O1680" s="524" t="s">
        <v>1193</v>
      </c>
      <c r="P1680" s="526">
        <v>46223</v>
      </c>
      <c r="S1680" s="527">
        <v>0</v>
      </c>
    </row>
    <row r="1681" spans="1:19" x14ac:dyDescent="0.2">
      <c r="A1681" s="524">
        <v>70788</v>
      </c>
      <c r="B1681" s="526">
        <v>46223</v>
      </c>
      <c r="C1681" s="524" t="s">
        <v>1148</v>
      </c>
      <c r="D1681" s="524" t="s">
        <v>1239</v>
      </c>
      <c r="E1681" s="524" t="s">
        <v>1258</v>
      </c>
      <c r="F1681" s="524" t="s">
        <v>1170</v>
      </c>
      <c r="G1681" s="524" t="s">
        <v>1102</v>
      </c>
      <c r="H1681" s="527">
        <v>1.2</v>
      </c>
      <c r="I1681" s="524" t="s">
        <v>1174</v>
      </c>
      <c r="J1681" s="524">
        <f>IF(cmf[[#This Row],[D/C]]="C",cmf[[#This Row],[Valor]],-1*cmf[[#This Row],[Valor]])</f>
        <v>-1.2</v>
      </c>
      <c r="L1681" s="524" t="s">
        <v>1241</v>
      </c>
      <c r="M1681" s="524" t="s">
        <v>1242</v>
      </c>
      <c r="N1681" s="524" t="s">
        <v>1192</v>
      </c>
      <c r="O1681" s="524" t="s">
        <v>1193</v>
      </c>
      <c r="P1681" s="526">
        <v>46223</v>
      </c>
      <c r="S1681" s="527">
        <v>0</v>
      </c>
    </row>
    <row r="1682" spans="1:19" x14ac:dyDescent="0.2">
      <c r="A1682" s="524">
        <v>70789</v>
      </c>
      <c r="B1682" s="526">
        <v>46223</v>
      </c>
      <c r="C1682" s="524" t="s">
        <v>1148</v>
      </c>
      <c r="D1682" s="524" t="s">
        <v>1239</v>
      </c>
      <c r="E1682" s="524" t="s">
        <v>1258</v>
      </c>
      <c r="F1682" s="524" t="s">
        <v>1170</v>
      </c>
      <c r="G1682" s="524" t="s">
        <v>1102</v>
      </c>
      <c r="H1682" s="527">
        <v>13.5</v>
      </c>
      <c r="I1682" s="524" t="s">
        <v>1174</v>
      </c>
      <c r="J1682" s="524">
        <f>IF(cmf[[#This Row],[D/C]]="C",cmf[[#This Row],[Valor]],-1*cmf[[#This Row],[Valor]])</f>
        <v>-13.5</v>
      </c>
      <c r="L1682" s="524" t="s">
        <v>1241</v>
      </c>
      <c r="M1682" s="524" t="s">
        <v>1242</v>
      </c>
      <c r="N1682" s="524" t="s">
        <v>1192</v>
      </c>
      <c r="O1682" s="524" t="s">
        <v>1193</v>
      </c>
      <c r="P1682" s="526">
        <v>46223</v>
      </c>
      <c r="S1682" s="527">
        <v>0</v>
      </c>
    </row>
    <row r="1683" spans="1:19" x14ac:dyDescent="0.2">
      <c r="A1683" s="524">
        <v>70973</v>
      </c>
      <c r="B1683" s="526">
        <v>46223</v>
      </c>
      <c r="C1683" s="524" t="s">
        <v>1148</v>
      </c>
      <c r="D1683" s="524" t="s">
        <v>1239</v>
      </c>
      <c r="E1683" s="524" t="s">
        <v>1258</v>
      </c>
      <c r="F1683" s="524" t="s">
        <v>1170</v>
      </c>
      <c r="G1683" s="524" t="s">
        <v>798</v>
      </c>
      <c r="H1683" s="527">
        <v>9</v>
      </c>
      <c r="I1683" s="524" t="s">
        <v>1174</v>
      </c>
      <c r="J1683" s="524">
        <f>IF(cmf[[#This Row],[D/C]]="C",cmf[[#This Row],[Valor]],-1*cmf[[#This Row],[Valor]])</f>
        <v>-9</v>
      </c>
      <c r="L1683" s="524" t="s">
        <v>1241</v>
      </c>
      <c r="M1683" s="524" t="s">
        <v>1242</v>
      </c>
      <c r="N1683" s="524" t="s">
        <v>1171</v>
      </c>
      <c r="O1683" s="524" t="s">
        <v>1172</v>
      </c>
      <c r="P1683" s="526">
        <v>46223</v>
      </c>
      <c r="S1683" s="527">
        <v>0</v>
      </c>
    </row>
    <row r="1684" spans="1:19" x14ac:dyDescent="0.2">
      <c r="A1684" s="524">
        <v>71015</v>
      </c>
      <c r="B1684" s="526">
        <v>46223</v>
      </c>
      <c r="C1684" s="524" t="s">
        <v>1162</v>
      </c>
      <c r="D1684" s="524" t="s">
        <v>1186</v>
      </c>
      <c r="E1684" s="524" t="s">
        <v>2238</v>
      </c>
      <c r="F1684" s="524" t="s">
        <v>1170</v>
      </c>
      <c r="G1684" s="524" t="s">
        <v>771</v>
      </c>
      <c r="H1684" s="527">
        <v>321.08</v>
      </c>
      <c r="I1684" s="524" t="s">
        <v>1174</v>
      </c>
      <c r="J1684" s="524">
        <f>IF(cmf[[#This Row],[D/C]]="C",cmf[[#This Row],[Valor]],-1*cmf[[#This Row],[Valor]])</f>
        <v>-321.08</v>
      </c>
      <c r="L1684" s="524" t="s">
        <v>1188</v>
      </c>
      <c r="M1684" s="524" t="s">
        <v>1189</v>
      </c>
      <c r="N1684" s="524" t="s">
        <v>1249</v>
      </c>
      <c r="O1684" s="524" t="s">
        <v>1250</v>
      </c>
      <c r="P1684" s="526"/>
      <c r="S1684" s="527">
        <v>0</v>
      </c>
    </row>
    <row r="1685" spans="1:19" x14ac:dyDescent="0.2">
      <c r="A1685" s="524">
        <v>71024</v>
      </c>
      <c r="B1685" s="526">
        <v>46223</v>
      </c>
      <c r="C1685" s="524" t="s">
        <v>1148</v>
      </c>
      <c r="D1685" s="524" t="s">
        <v>1239</v>
      </c>
      <c r="E1685" s="524" t="s">
        <v>1567</v>
      </c>
      <c r="F1685" s="524" t="s">
        <v>1170</v>
      </c>
      <c r="G1685" s="524" t="s">
        <v>799</v>
      </c>
      <c r="H1685" s="527">
        <v>13</v>
      </c>
      <c r="I1685" s="524" t="s">
        <v>1174</v>
      </c>
      <c r="J1685" s="524">
        <f>IF(cmf[[#This Row],[D/C]]="C",cmf[[#This Row],[Valor]],-1*cmf[[#This Row],[Valor]])</f>
        <v>-13</v>
      </c>
      <c r="L1685" s="524" t="s">
        <v>1241</v>
      </c>
      <c r="M1685" s="524" t="s">
        <v>1242</v>
      </c>
      <c r="N1685" s="524" t="s">
        <v>1171</v>
      </c>
      <c r="O1685" s="524" t="s">
        <v>1172</v>
      </c>
      <c r="P1685" s="526">
        <v>46223</v>
      </c>
      <c r="S1685" s="527">
        <v>0</v>
      </c>
    </row>
    <row r="1686" spans="1:19" x14ac:dyDescent="0.2">
      <c r="A1686" s="524">
        <v>71143</v>
      </c>
      <c r="B1686" s="526">
        <v>46223</v>
      </c>
      <c r="C1686" s="524" t="s">
        <v>1162</v>
      </c>
      <c r="D1686" s="524" t="s">
        <v>1226</v>
      </c>
      <c r="E1686" s="524" t="s">
        <v>2239</v>
      </c>
      <c r="F1686" s="524" t="s">
        <v>1183</v>
      </c>
      <c r="G1686" s="524" t="s">
        <v>806</v>
      </c>
      <c r="H1686" s="527">
        <v>5083.33</v>
      </c>
      <c r="I1686" s="524" t="s">
        <v>1148</v>
      </c>
      <c r="J1686" s="524">
        <f>IF(cmf[[#This Row],[D/C]]="C",cmf[[#This Row],[Valor]],-1*cmf[[#This Row],[Valor]])</f>
        <v>5083.33</v>
      </c>
      <c r="L1686" s="524" t="s">
        <v>1230</v>
      </c>
      <c r="M1686" s="524" t="s">
        <v>1231</v>
      </c>
      <c r="N1686" s="524" t="s">
        <v>1283</v>
      </c>
      <c r="O1686" s="524" t="s">
        <v>1284</v>
      </c>
      <c r="P1686" s="526"/>
      <c r="S1686" s="527">
        <v>0</v>
      </c>
    </row>
    <row r="1687" spans="1:19" x14ac:dyDescent="0.2">
      <c r="A1687" s="524">
        <v>71144</v>
      </c>
      <c r="B1687" s="526">
        <v>46223</v>
      </c>
      <c r="C1687" s="524" t="s">
        <v>1162</v>
      </c>
      <c r="D1687" s="524" t="s">
        <v>1226</v>
      </c>
      <c r="E1687" s="524" t="s">
        <v>2240</v>
      </c>
      <c r="F1687" s="524" t="s">
        <v>1183</v>
      </c>
      <c r="G1687" s="524" t="s">
        <v>806</v>
      </c>
      <c r="H1687" s="527">
        <v>5083.33</v>
      </c>
      <c r="I1687" s="524" t="s">
        <v>1148</v>
      </c>
      <c r="J1687" s="524">
        <f>IF(cmf[[#This Row],[D/C]]="C",cmf[[#This Row],[Valor]],-1*cmf[[#This Row],[Valor]])</f>
        <v>5083.33</v>
      </c>
      <c r="L1687" s="524" t="s">
        <v>1230</v>
      </c>
      <c r="M1687" s="524" t="s">
        <v>1231</v>
      </c>
      <c r="N1687" s="524" t="s">
        <v>1283</v>
      </c>
      <c r="O1687" s="524" t="s">
        <v>1284</v>
      </c>
      <c r="P1687" s="526"/>
      <c r="S1687" s="527">
        <v>0</v>
      </c>
    </row>
    <row r="1688" spans="1:19" x14ac:dyDescent="0.2">
      <c r="A1688" s="524">
        <v>71248</v>
      </c>
      <c r="B1688" s="526">
        <v>46223</v>
      </c>
      <c r="C1688" s="524" t="s">
        <v>1148</v>
      </c>
      <c r="D1688" s="524" t="s">
        <v>1239</v>
      </c>
      <c r="E1688" s="524" t="s">
        <v>1689</v>
      </c>
      <c r="F1688" s="524" t="s">
        <v>1170</v>
      </c>
      <c r="G1688" s="524" t="s">
        <v>749</v>
      </c>
      <c r="H1688" s="527">
        <v>109176.49</v>
      </c>
      <c r="I1688" s="524" t="s">
        <v>1174</v>
      </c>
      <c r="J1688" s="524">
        <f>IF(cmf[[#This Row],[D/C]]="C",cmf[[#This Row],[Valor]],-1*cmf[[#This Row],[Valor]])</f>
        <v>-109176.49</v>
      </c>
      <c r="L1688" s="524" t="s">
        <v>1264</v>
      </c>
      <c r="M1688" s="524" t="s">
        <v>1265</v>
      </c>
      <c r="N1688" s="524" t="s">
        <v>1256</v>
      </c>
      <c r="O1688" s="524" t="s">
        <v>1257</v>
      </c>
      <c r="P1688" s="526">
        <v>46223</v>
      </c>
      <c r="S1688" s="527">
        <v>0</v>
      </c>
    </row>
    <row r="1689" spans="1:19" x14ac:dyDescent="0.2">
      <c r="A1689" s="524">
        <v>71249</v>
      </c>
      <c r="B1689" s="526">
        <v>46223</v>
      </c>
      <c r="C1689" s="524" t="s">
        <v>1148</v>
      </c>
      <c r="D1689" s="524" t="s">
        <v>1239</v>
      </c>
      <c r="E1689" s="524" t="s">
        <v>1312</v>
      </c>
      <c r="F1689" s="524" t="s">
        <v>1170</v>
      </c>
      <c r="G1689" s="524" t="s">
        <v>749</v>
      </c>
      <c r="H1689" s="527">
        <v>50</v>
      </c>
      <c r="I1689" s="524" t="s">
        <v>1174</v>
      </c>
      <c r="J1689" s="524">
        <f>IF(cmf[[#This Row],[D/C]]="C",cmf[[#This Row],[Valor]],-1*cmf[[#This Row],[Valor]])</f>
        <v>-50</v>
      </c>
      <c r="L1689" s="524" t="s">
        <v>1241</v>
      </c>
      <c r="M1689" s="524" t="s">
        <v>1242</v>
      </c>
      <c r="N1689" s="524" t="s">
        <v>1256</v>
      </c>
      <c r="O1689" s="524" t="s">
        <v>1257</v>
      </c>
      <c r="P1689" s="526">
        <v>46223</v>
      </c>
      <c r="S1689" s="527">
        <v>0</v>
      </c>
    </row>
    <row r="1690" spans="1:19" x14ac:dyDescent="0.2">
      <c r="A1690" s="524">
        <v>71543</v>
      </c>
      <c r="B1690" s="526">
        <v>46223</v>
      </c>
      <c r="C1690" s="524" t="s">
        <v>1148</v>
      </c>
      <c r="D1690" s="524" t="s">
        <v>1186</v>
      </c>
      <c r="E1690" s="524" t="s">
        <v>2241</v>
      </c>
      <c r="F1690" s="524" t="s">
        <v>1183</v>
      </c>
      <c r="G1690" s="524" t="s">
        <v>803</v>
      </c>
      <c r="H1690" s="527">
        <v>15000</v>
      </c>
      <c r="I1690" s="524" t="s">
        <v>1174</v>
      </c>
      <c r="J1690" s="524">
        <f>IF(cmf[[#This Row],[D/C]]="C",cmf[[#This Row],[Valor]],-1*cmf[[#This Row],[Valor]])</f>
        <v>-15000</v>
      </c>
      <c r="L1690" s="524" t="s">
        <v>1188</v>
      </c>
      <c r="M1690" s="524" t="s">
        <v>1189</v>
      </c>
      <c r="N1690" s="524" t="s">
        <v>1192</v>
      </c>
      <c r="O1690" s="524" t="s">
        <v>1193</v>
      </c>
      <c r="P1690" s="526">
        <v>46223</v>
      </c>
      <c r="S1690" s="527">
        <v>0</v>
      </c>
    </row>
    <row r="1691" spans="1:19" x14ac:dyDescent="0.2">
      <c r="A1691" s="524">
        <v>71719</v>
      </c>
      <c r="B1691" s="526">
        <v>46223</v>
      </c>
      <c r="C1691" s="524" t="s">
        <v>1148</v>
      </c>
      <c r="D1691" s="524" t="s">
        <v>1243</v>
      </c>
      <c r="E1691" s="524" t="s">
        <v>1244</v>
      </c>
      <c r="F1691" s="524" t="s">
        <v>1183</v>
      </c>
      <c r="G1691" s="524" t="s">
        <v>742</v>
      </c>
      <c r="H1691" s="527">
        <v>52922.04</v>
      </c>
      <c r="I1691" s="524" t="s">
        <v>1148</v>
      </c>
      <c r="J1691" s="524">
        <f>IF(cmf[[#This Row],[D/C]]="C",cmf[[#This Row],[Valor]],-1*cmf[[#This Row],[Valor]])</f>
        <v>52922.04</v>
      </c>
      <c r="L1691" s="524" t="s">
        <v>1245</v>
      </c>
      <c r="M1691" s="524" t="s">
        <v>1246</v>
      </c>
      <c r="N1691" s="524" t="s">
        <v>1215</v>
      </c>
      <c r="O1691" s="524" t="s">
        <v>1267</v>
      </c>
      <c r="P1691" s="526">
        <v>46223</v>
      </c>
      <c r="S1691" s="527">
        <v>0</v>
      </c>
    </row>
    <row r="1692" spans="1:19" x14ac:dyDescent="0.2">
      <c r="A1692" s="524">
        <v>71720</v>
      </c>
      <c r="B1692" s="526">
        <v>46223</v>
      </c>
      <c r="C1692" s="524" t="s">
        <v>1148</v>
      </c>
      <c r="D1692" s="524" t="s">
        <v>1243</v>
      </c>
      <c r="E1692" s="524" t="s">
        <v>1244</v>
      </c>
      <c r="F1692" s="524" t="s">
        <v>1183</v>
      </c>
      <c r="G1692" s="524" t="s">
        <v>742</v>
      </c>
      <c r="H1692" s="527">
        <v>0.35</v>
      </c>
      <c r="I1692" s="524" t="s">
        <v>1148</v>
      </c>
      <c r="J1692" s="524">
        <f>IF(cmf[[#This Row],[D/C]]="C",cmf[[#This Row],[Valor]],-1*cmf[[#This Row],[Valor]])</f>
        <v>0.35</v>
      </c>
      <c r="L1692" s="524" t="s">
        <v>1245</v>
      </c>
      <c r="M1692" s="524" t="s">
        <v>1246</v>
      </c>
      <c r="N1692" s="524" t="s">
        <v>1215</v>
      </c>
      <c r="O1692" s="524" t="s">
        <v>1267</v>
      </c>
      <c r="P1692" s="526">
        <v>46223</v>
      </c>
      <c r="S1692" s="527">
        <v>0</v>
      </c>
    </row>
    <row r="1693" spans="1:19" x14ac:dyDescent="0.2">
      <c r="A1693" s="524">
        <v>71799</v>
      </c>
      <c r="B1693" s="526">
        <v>46223</v>
      </c>
      <c r="C1693" s="524" t="s">
        <v>1148</v>
      </c>
      <c r="D1693" s="524" t="s">
        <v>1239</v>
      </c>
      <c r="E1693" s="524" t="s">
        <v>1904</v>
      </c>
      <c r="F1693" s="524" t="s">
        <v>1183</v>
      </c>
      <c r="G1693" s="524" t="s">
        <v>742</v>
      </c>
      <c r="H1693" s="527">
        <v>15.2</v>
      </c>
      <c r="I1693" s="524" t="s">
        <v>1174</v>
      </c>
      <c r="J1693" s="524">
        <f>IF(cmf[[#This Row],[D/C]]="C",cmf[[#This Row],[Valor]],-1*cmf[[#This Row],[Valor]])</f>
        <v>-15.2</v>
      </c>
      <c r="L1693" s="524" t="s">
        <v>1241</v>
      </c>
      <c r="M1693" s="524" t="s">
        <v>1242</v>
      </c>
      <c r="N1693" s="524" t="s">
        <v>1215</v>
      </c>
      <c r="O1693" s="524" t="s">
        <v>1218</v>
      </c>
      <c r="P1693" s="526">
        <v>46223</v>
      </c>
      <c r="S1693" s="527">
        <v>0</v>
      </c>
    </row>
    <row r="1694" spans="1:19" x14ac:dyDescent="0.2">
      <c r="A1694" s="524">
        <v>72176</v>
      </c>
      <c r="B1694" s="526">
        <v>46223</v>
      </c>
      <c r="C1694" s="524" t="s">
        <v>1148</v>
      </c>
      <c r="D1694" s="524" t="s">
        <v>1186</v>
      </c>
      <c r="E1694" s="524" t="s">
        <v>2242</v>
      </c>
      <c r="F1694" s="524" t="s">
        <v>1183</v>
      </c>
      <c r="G1694" s="524" t="s">
        <v>758</v>
      </c>
      <c r="H1694" s="527">
        <v>3201.9</v>
      </c>
      <c r="I1694" s="524" t="s">
        <v>1174</v>
      </c>
      <c r="J1694" s="524">
        <f>IF(cmf[[#This Row],[D/C]]="C",cmf[[#This Row],[Valor]],-1*cmf[[#This Row],[Valor]])</f>
        <v>-3201.9</v>
      </c>
      <c r="L1694" s="524" t="s">
        <v>1188</v>
      </c>
      <c r="M1694" s="524" t="s">
        <v>1189</v>
      </c>
      <c r="N1694" s="524" t="s">
        <v>1223</v>
      </c>
      <c r="O1694" s="524" t="s">
        <v>1224</v>
      </c>
      <c r="P1694" s="526">
        <v>46223</v>
      </c>
      <c r="S1694" s="527">
        <v>0</v>
      </c>
    </row>
    <row r="1695" spans="1:19" x14ac:dyDescent="0.2">
      <c r="A1695" s="524">
        <v>72271</v>
      </c>
      <c r="B1695" s="526">
        <v>46223</v>
      </c>
      <c r="C1695" s="524" t="s">
        <v>1148</v>
      </c>
      <c r="D1695" s="524" t="s">
        <v>1186</v>
      </c>
      <c r="E1695" s="524" t="s">
        <v>2243</v>
      </c>
      <c r="F1695" s="524" t="s">
        <v>1183</v>
      </c>
      <c r="G1695" s="524" t="s">
        <v>803</v>
      </c>
      <c r="H1695" s="527">
        <v>7000</v>
      </c>
      <c r="I1695" s="524" t="s">
        <v>1174</v>
      </c>
      <c r="J1695" s="524">
        <f>IF(cmf[[#This Row],[D/C]]="C",cmf[[#This Row],[Valor]],-1*cmf[[#This Row],[Valor]])</f>
        <v>-7000</v>
      </c>
      <c r="L1695" s="524" t="s">
        <v>1188</v>
      </c>
      <c r="M1695" s="524" t="s">
        <v>1189</v>
      </c>
      <c r="N1695" s="524" t="s">
        <v>1192</v>
      </c>
      <c r="O1695" s="524" t="s">
        <v>1193</v>
      </c>
      <c r="P1695" s="526">
        <v>46223</v>
      </c>
      <c r="S1695" s="527">
        <v>0</v>
      </c>
    </row>
    <row r="1696" spans="1:19" x14ac:dyDescent="0.2">
      <c r="A1696" s="524">
        <v>73138</v>
      </c>
      <c r="B1696" s="526">
        <v>46223</v>
      </c>
      <c r="C1696" s="524" t="s">
        <v>1162</v>
      </c>
      <c r="D1696" s="524" t="s">
        <v>1186</v>
      </c>
      <c r="E1696" s="524" t="s">
        <v>2244</v>
      </c>
      <c r="F1696" s="524" t="s">
        <v>1170</v>
      </c>
      <c r="G1696" s="524" t="s">
        <v>775</v>
      </c>
      <c r="H1696" s="527">
        <v>80498.53</v>
      </c>
      <c r="I1696" s="524" t="s">
        <v>1174</v>
      </c>
      <c r="J1696" s="524">
        <f>IF(cmf[[#This Row],[D/C]]="C",cmf[[#This Row],[Valor]],-1*cmf[[#This Row],[Valor]])</f>
        <v>-80498.53</v>
      </c>
      <c r="L1696" s="524" t="s">
        <v>1188</v>
      </c>
      <c r="M1696" s="524" t="s">
        <v>1189</v>
      </c>
      <c r="N1696" s="524" t="s">
        <v>1212</v>
      </c>
      <c r="O1696" s="524" t="s">
        <v>1213</v>
      </c>
      <c r="P1696" s="526"/>
      <c r="S1696" s="527">
        <v>0</v>
      </c>
    </row>
    <row r="1697" spans="1:19" x14ac:dyDescent="0.2">
      <c r="A1697" s="524">
        <v>73474</v>
      </c>
      <c r="B1697" s="526">
        <v>46223</v>
      </c>
      <c r="C1697" s="524" t="s">
        <v>1162</v>
      </c>
      <c r="D1697" s="524" t="s">
        <v>1186</v>
      </c>
      <c r="E1697" s="524" t="s">
        <v>2245</v>
      </c>
      <c r="F1697" s="524" t="s">
        <v>1183</v>
      </c>
      <c r="G1697" s="524" t="s">
        <v>772</v>
      </c>
      <c r="H1697" s="527">
        <v>1120.79</v>
      </c>
      <c r="I1697" s="524" t="s">
        <v>1174</v>
      </c>
      <c r="J1697" s="524">
        <f>IF(cmf[[#This Row],[D/C]]="C",cmf[[#This Row],[Valor]],-1*cmf[[#This Row],[Valor]])</f>
        <v>-1120.79</v>
      </c>
      <c r="L1697" s="524" t="s">
        <v>1188</v>
      </c>
      <c r="M1697" s="524" t="s">
        <v>1189</v>
      </c>
      <c r="N1697" s="524" t="s">
        <v>1249</v>
      </c>
      <c r="O1697" s="524" t="s">
        <v>1250</v>
      </c>
      <c r="P1697" s="526"/>
      <c r="S1697" s="527">
        <v>0</v>
      </c>
    </row>
    <row r="1698" spans="1:19" x14ac:dyDescent="0.2">
      <c r="A1698" s="524">
        <v>73475</v>
      </c>
      <c r="B1698" s="526">
        <v>46223</v>
      </c>
      <c r="C1698" s="524" t="s">
        <v>1162</v>
      </c>
      <c r="D1698" s="524" t="s">
        <v>1186</v>
      </c>
      <c r="E1698" s="524" t="s">
        <v>2246</v>
      </c>
      <c r="F1698" s="524" t="s">
        <v>1170</v>
      </c>
      <c r="G1698" s="524" t="s">
        <v>771</v>
      </c>
      <c r="H1698" s="527">
        <v>30338.69</v>
      </c>
      <c r="I1698" s="524" t="s">
        <v>1174</v>
      </c>
      <c r="J1698" s="524">
        <f>IF(cmf[[#This Row],[D/C]]="C",cmf[[#This Row],[Valor]],-1*cmf[[#This Row],[Valor]])</f>
        <v>-30338.69</v>
      </c>
      <c r="L1698" s="524" t="s">
        <v>1188</v>
      </c>
      <c r="M1698" s="524" t="s">
        <v>1189</v>
      </c>
      <c r="N1698" s="524" t="s">
        <v>1249</v>
      </c>
      <c r="O1698" s="524" t="s">
        <v>1250</v>
      </c>
      <c r="P1698" s="526"/>
      <c r="S1698" s="527">
        <v>0</v>
      </c>
    </row>
    <row r="1699" spans="1:19" x14ac:dyDescent="0.2">
      <c r="A1699" s="524">
        <v>73482</v>
      </c>
      <c r="B1699" s="526">
        <v>46223</v>
      </c>
      <c r="C1699" s="524" t="s">
        <v>1162</v>
      </c>
      <c r="D1699" s="524" t="s">
        <v>1186</v>
      </c>
      <c r="E1699" s="524" t="s">
        <v>2247</v>
      </c>
      <c r="F1699" s="524" t="s">
        <v>1170</v>
      </c>
      <c r="G1699" s="524" t="s">
        <v>794</v>
      </c>
      <c r="H1699" s="527">
        <v>96072.48</v>
      </c>
      <c r="I1699" s="524" t="s">
        <v>1174</v>
      </c>
      <c r="J1699" s="524">
        <f>IF(cmf[[#This Row],[D/C]]="C",cmf[[#This Row],[Valor]],-1*cmf[[#This Row],[Valor]])</f>
        <v>-96072.48</v>
      </c>
      <c r="L1699" s="524" t="s">
        <v>1188</v>
      </c>
      <c r="M1699" s="524" t="s">
        <v>1189</v>
      </c>
      <c r="N1699" s="524" t="s">
        <v>1340</v>
      </c>
      <c r="O1699" s="524" t="s">
        <v>1341</v>
      </c>
      <c r="P1699" s="526"/>
      <c r="S1699" s="527">
        <v>0</v>
      </c>
    </row>
    <row r="1700" spans="1:19" x14ac:dyDescent="0.2">
      <c r="A1700" s="524">
        <v>69876</v>
      </c>
      <c r="B1700" s="526">
        <v>46224</v>
      </c>
      <c r="C1700" s="524" t="s">
        <v>1148</v>
      </c>
      <c r="D1700" s="524" t="s">
        <v>1163</v>
      </c>
      <c r="E1700" s="524" t="s">
        <v>1164</v>
      </c>
      <c r="F1700" s="524" t="s">
        <v>1170</v>
      </c>
      <c r="G1700" s="524" t="s">
        <v>798</v>
      </c>
      <c r="H1700" s="527">
        <v>389.79</v>
      </c>
      <c r="I1700" s="524" t="s">
        <v>1148</v>
      </c>
      <c r="J1700" s="524">
        <f>IF(cmf[[#This Row],[D/C]]="C",cmf[[#This Row],[Valor]],-1*cmf[[#This Row],[Valor]])</f>
        <v>389.79</v>
      </c>
      <c r="L1700" s="524" t="s">
        <v>1166</v>
      </c>
      <c r="M1700" s="524" t="s">
        <v>1167</v>
      </c>
      <c r="N1700" s="524" t="s">
        <v>1171</v>
      </c>
      <c r="O1700" s="524" t="s">
        <v>1172</v>
      </c>
      <c r="P1700" s="526">
        <v>46224</v>
      </c>
      <c r="S1700" s="527">
        <v>0</v>
      </c>
    </row>
    <row r="1701" spans="1:19" x14ac:dyDescent="0.2">
      <c r="A1701" s="524">
        <v>69877</v>
      </c>
      <c r="B1701" s="526">
        <v>46224</v>
      </c>
      <c r="C1701" s="524" t="s">
        <v>1148</v>
      </c>
      <c r="D1701" s="524" t="s">
        <v>1163</v>
      </c>
      <c r="E1701" s="524" t="s">
        <v>1173</v>
      </c>
      <c r="F1701" s="524" t="s">
        <v>1170</v>
      </c>
      <c r="G1701" s="524" t="s">
        <v>798</v>
      </c>
      <c r="H1701" s="527">
        <v>6.3</v>
      </c>
      <c r="I1701" s="524" t="s">
        <v>1174</v>
      </c>
      <c r="J1701" s="524">
        <f>IF(cmf[[#This Row],[D/C]]="C",cmf[[#This Row],[Valor]],-1*cmf[[#This Row],[Valor]])</f>
        <v>-6.3</v>
      </c>
      <c r="L1701" s="524" t="s">
        <v>1175</v>
      </c>
      <c r="M1701" s="524" t="s">
        <v>1176</v>
      </c>
      <c r="N1701" s="524" t="s">
        <v>1171</v>
      </c>
      <c r="O1701" s="524" t="s">
        <v>1172</v>
      </c>
      <c r="P1701" s="526">
        <v>46224</v>
      </c>
      <c r="S1701" s="527">
        <v>0</v>
      </c>
    </row>
    <row r="1702" spans="1:19" x14ac:dyDescent="0.2">
      <c r="A1702" s="524">
        <v>69883</v>
      </c>
      <c r="B1702" s="526">
        <v>46224</v>
      </c>
      <c r="C1702" s="524" t="s">
        <v>1162</v>
      </c>
      <c r="D1702" s="524" t="s">
        <v>1163</v>
      </c>
      <c r="E1702" s="524" t="s">
        <v>1164</v>
      </c>
      <c r="F1702" s="524" t="s">
        <v>1165</v>
      </c>
      <c r="G1702" s="524" t="s">
        <v>756</v>
      </c>
      <c r="H1702" s="527">
        <v>1690</v>
      </c>
      <c r="I1702" s="524" t="s">
        <v>1148</v>
      </c>
      <c r="J1702" s="524">
        <f>IF(cmf[[#This Row],[D/C]]="C",cmf[[#This Row],[Valor]],-1*cmf[[#This Row],[Valor]])</f>
        <v>1690</v>
      </c>
      <c r="L1702" s="524" t="s">
        <v>1166</v>
      </c>
      <c r="M1702" s="524" t="s">
        <v>1167</v>
      </c>
      <c r="N1702" s="524" t="s">
        <v>1168</v>
      </c>
      <c r="O1702" s="524" t="s">
        <v>1169</v>
      </c>
      <c r="P1702" s="526"/>
      <c r="S1702" s="527">
        <v>0</v>
      </c>
    </row>
    <row r="1703" spans="1:19" x14ac:dyDescent="0.2">
      <c r="A1703" s="524">
        <v>69986</v>
      </c>
      <c r="B1703" s="526">
        <v>46224</v>
      </c>
      <c r="C1703" s="524" t="s">
        <v>1162</v>
      </c>
      <c r="D1703" s="524" t="s">
        <v>1163</v>
      </c>
      <c r="E1703" s="524" t="s">
        <v>1164</v>
      </c>
      <c r="F1703" s="524" t="s">
        <v>1183</v>
      </c>
      <c r="G1703" s="524" t="s">
        <v>1276</v>
      </c>
      <c r="H1703" s="527">
        <v>2126.02</v>
      </c>
      <c r="I1703" s="524" t="s">
        <v>1148</v>
      </c>
      <c r="J1703" s="524">
        <f>IF(cmf[[#This Row],[D/C]]="C",cmf[[#This Row],[Valor]],-1*cmf[[#This Row],[Valor]])</f>
        <v>2126.02</v>
      </c>
      <c r="L1703" s="524" t="s">
        <v>1166</v>
      </c>
      <c r="M1703" s="524" t="s">
        <v>1167</v>
      </c>
      <c r="N1703" s="524" t="s">
        <v>1184</v>
      </c>
      <c r="O1703" s="524" t="s">
        <v>1201</v>
      </c>
      <c r="P1703" s="526"/>
      <c r="S1703" s="527">
        <v>0</v>
      </c>
    </row>
    <row r="1704" spans="1:19" x14ac:dyDescent="0.2">
      <c r="A1704" s="524">
        <v>69987</v>
      </c>
      <c r="B1704" s="526">
        <v>46224</v>
      </c>
      <c r="C1704" s="524" t="s">
        <v>1162</v>
      </c>
      <c r="D1704" s="524" t="s">
        <v>1163</v>
      </c>
      <c r="E1704" s="524" t="s">
        <v>1173</v>
      </c>
      <c r="F1704" s="524" t="s">
        <v>1183</v>
      </c>
      <c r="G1704" s="524" t="s">
        <v>1276</v>
      </c>
      <c r="H1704" s="527">
        <v>4.5999999999999996</v>
      </c>
      <c r="I1704" s="524" t="s">
        <v>1174</v>
      </c>
      <c r="J1704" s="524">
        <f>IF(cmf[[#This Row],[D/C]]="C",cmf[[#This Row],[Valor]],-1*cmf[[#This Row],[Valor]])</f>
        <v>-4.5999999999999996</v>
      </c>
      <c r="L1704" s="524" t="s">
        <v>1175</v>
      </c>
      <c r="M1704" s="524" t="s">
        <v>1176</v>
      </c>
      <c r="N1704" s="524" t="s">
        <v>1184</v>
      </c>
      <c r="O1704" s="524" t="s">
        <v>1201</v>
      </c>
      <c r="P1704" s="526"/>
      <c r="S1704" s="527">
        <v>0</v>
      </c>
    </row>
    <row r="1705" spans="1:19" x14ac:dyDescent="0.2">
      <c r="A1705" s="524">
        <v>69988</v>
      </c>
      <c r="B1705" s="526">
        <v>46224</v>
      </c>
      <c r="C1705" s="524" t="s">
        <v>1148</v>
      </c>
      <c r="D1705" s="524" t="s">
        <v>1163</v>
      </c>
      <c r="E1705" s="524" t="s">
        <v>1164</v>
      </c>
      <c r="F1705" s="524" t="s">
        <v>1170</v>
      </c>
      <c r="G1705" s="524" t="s">
        <v>740</v>
      </c>
      <c r="H1705" s="527">
        <v>3824.68</v>
      </c>
      <c r="I1705" s="524" t="s">
        <v>1148</v>
      </c>
      <c r="J1705" s="524">
        <f>IF(cmf[[#This Row],[D/C]]="C",cmf[[#This Row],[Valor]],-1*cmf[[#This Row],[Valor]])</f>
        <v>3824.68</v>
      </c>
      <c r="L1705" s="524" t="s">
        <v>1166</v>
      </c>
      <c r="M1705" s="524" t="s">
        <v>1167</v>
      </c>
      <c r="N1705" s="524" t="s">
        <v>1215</v>
      </c>
      <c r="O1705" s="524" t="s">
        <v>1218</v>
      </c>
      <c r="P1705" s="526">
        <v>46224</v>
      </c>
      <c r="S1705" s="527">
        <v>0</v>
      </c>
    </row>
    <row r="1706" spans="1:19" x14ac:dyDescent="0.2">
      <c r="A1706" s="524">
        <v>69989</v>
      </c>
      <c r="B1706" s="526">
        <v>46224</v>
      </c>
      <c r="C1706" s="524" t="s">
        <v>1148</v>
      </c>
      <c r="D1706" s="524" t="s">
        <v>1163</v>
      </c>
      <c r="E1706" s="524" t="s">
        <v>1173</v>
      </c>
      <c r="F1706" s="524" t="s">
        <v>1170</v>
      </c>
      <c r="G1706" s="524" t="s">
        <v>740</v>
      </c>
      <c r="H1706" s="527">
        <v>12.6</v>
      </c>
      <c r="I1706" s="524" t="s">
        <v>1174</v>
      </c>
      <c r="J1706" s="524">
        <f>IF(cmf[[#This Row],[D/C]]="C",cmf[[#This Row],[Valor]],-1*cmf[[#This Row],[Valor]])</f>
        <v>-12.6</v>
      </c>
      <c r="L1706" s="524" t="s">
        <v>1175</v>
      </c>
      <c r="M1706" s="524" t="s">
        <v>1176</v>
      </c>
      <c r="N1706" s="524" t="s">
        <v>1215</v>
      </c>
      <c r="O1706" s="524" t="s">
        <v>1218</v>
      </c>
      <c r="P1706" s="526">
        <v>46224</v>
      </c>
      <c r="S1706" s="527">
        <v>0</v>
      </c>
    </row>
    <row r="1707" spans="1:19" x14ac:dyDescent="0.2">
      <c r="A1707" s="524">
        <v>69991</v>
      </c>
      <c r="B1707" s="526">
        <v>46224</v>
      </c>
      <c r="C1707" s="524" t="s">
        <v>1162</v>
      </c>
      <c r="D1707" s="524" t="s">
        <v>1163</v>
      </c>
      <c r="E1707" s="524" t="s">
        <v>1164</v>
      </c>
      <c r="F1707" s="524" t="s">
        <v>1183</v>
      </c>
      <c r="G1707" s="524" t="s">
        <v>796</v>
      </c>
      <c r="H1707" s="527">
        <v>21130.560000000001</v>
      </c>
      <c r="I1707" s="524" t="s">
        <v>1148</v>
      </c>
      <c r="J1707" s="524">
        <f>IF(cmf[[#This Row],[D/C]]="C",cmf[[#This Row],[Valor]],-1*cmf[[#This Row],[Valor]])</f>
        <v>21130.560000000001</v>
      </c>
      <c r="L1707" s="524" t="s">
        <v>1166</v>
      </c>
      <c r="M1707" s="524" t="s">
        <v>1167</v>
      </c>
      <c r="N1707" s="524" t="s">
        <v>1184</v>
      </c>
      <c r="O1707" s="524" t="s">
        <v>1172</v>
      </c>
      <c r="P1707" s="526"/>
      <c r="S1707" s="527">
        <v>0</v>
      </c>
    </row>
    <row r="1708" spans="1:19" x14ac:dyDescent="0.2">
      <c r="A1708" s="524">
        <v>69992</v>
      </c>
      <c r="B1708" s="526">
        <v>46224</v>
      </c>
      <c r="C1708" s="524" t="s">
        <v>1162</v>
      </c>
      <c r="D1708" s="524" t="s">
        <v>1163</v>
      </c>
      <c r="E1708" s="524" t="s">
        <v>1173</v>
      </c>
      <c r="F1708" s="524" t="s">
        <v>1183</v>
      </c>
      <c r="G1708" s="524" t="s">
        <v>796</v>
      </c>
      <c r="H1708" s="527">
        <v>32.200000000000003</v>
      </c>
      <c r="I1708" s="524" t="s">
        <v>1174</v>
      </c>
      <c r="J1708" s="524">
        <f>IF(cmf[[#This Row],[D/C]]="C",cmf[[#This Row],[Valor]],-1*cmf[[#This Row],[Valor]])</f>
        <v>-32.200000000000003</v>
      </c>
      <c r="L1708" s="524" t="s">
        <v>1175</v>
      </c>
      <c r="M1708" s="524" t="s">
        <v>1176</v>
      </c>
      <c r="N1708" s="524" t="s">
        <v>1184</v>
      </c>
      <c r="O1708" s="524" t="s">
        <v>1172</v>
      </c>
      <c r="P1708" s="526"/>
      <c r="S1708" s="527">
        <v>0</v>
      </c>
    </row>
    <row r="1709" spans="1:19" x14ac:dyDescent="0.2">
      <c r="A1709" s="524">
        <v>69995</v>
      </c>
      <c r="B1709" s="526">
        <v>46224</v>
      </c>
      <c r="C1709" s="524" t="s">
        <v>1162</v>
      </c>
      <c r="D1709" s="524" t="s">
        <v>1239</v>
      </c>
      <c r="E1709" s="524" t="s">
        <v>2248</v>
      </c>
      <c r="F1709" s="524" t="s">
        <v>1183</v>
      </c>
      <c r="G1709" s="524" t="s">
        <v>776</v>
      </c>
      <c r="H1709" s="527">
        <v>500</v>
      </c>
      <c r="I1709" s="524" t="s">
        <v>1148</v>
      </c>
      <c r="J1709" s="524">
        <f>IF(cmf[[#This Row],[D/C]]="C",cmf[[#This Row],[Valor]],-1*cmf[[#This Row],[Valor]])</f>
        <v>500</v>
      </c>
      <c r="L1709" s="524" t="s">
        <v>1264</v>
      </c>
      <c r="M1709" s="524" t="s">
        <v>1265</v>
      </c>
      <c r="N1709" s="524" t="s">
        <v>1212</v>
      </c>
      <c r="O1709" s="524" t="s">
        <v>1213</v>
      </c>
      <c r="P1709" s="526"/>
      <c r="S1709" s="527">
        <v>0</v>
      </c>
    </row>
    <row r="1710" spans="1:19" x14ac:dyDescent="0.2">
      <c r="A1710" s="524">
        <v>69999</v>
      </c>
      <c r="B1710" s="526">
        <v>46224</v>
      </c>
      <c r="C1710" s="524" t="s">
        <v>1148</v>
      </c>
      <c r="D1710" s="524" t="s">
        <v>1163</v>
      </c>
      <c r="E1710" s="524" t="s">
        <v>1164</v>
      </c>
      <c r="F1710" s="524" t="s">
        <v>1178</v>
      </c>
      <c r="G1710" s="524" t="s">
        <v>1179</v>
      </c>
      <c r="H1710" s="527">
        <v>13293.79</v>
      </c>
      <c r="I1710" s="524" t="s">
        <v>1148</v>
      </c>
      <c r="J1710" s="524">
        <f>IF(cmf[[#This Row],[D/C]]="C",cmf[[#This Row],[Valor]],-1*cmf[[#This Row],[Valor]])</f>
        <v>13293.79</v>
      </c>
      <c r="L1710" s="524" t="s">
        <v>1166</v>
      </c>
      <c r="M1710" s="524" t="s">
        <v>1167</v>
      </c>
      <c r="N1710" s="524" t="s">
        <v>1180</v>
      </c>
      <c r="O1710" s="524" t="s">
        <v>1181</v>
      </c>
      <c r="P1710" s="526">
        <v>46224</v>
      </c>
      <c r="S1710" s="527">
        <v>0</v>
      </c>
    </row>
    <row r="1711" spans="1:19" x14ac:dyDescent="0.2">
      <c r="A1711" s="524">
        <v>70000</v>
      </c>
      <c r="B1711" s="526">
        <v>46224</v>
      </c>
      <c r="C1711" s="524" t="s">
        <v>1162</v>
      </c>
      <c r="D1711" s="524" t="s">
        <v>1163</v>
      </c>
      <c r="E1711" s="524" t="s">
        <v>1164</v>
      </c>
      <c r="F1711" s="524" t="s">
        <v>1111</v>
      </c>
      <c r="G1711" s="524" t="s">
        <v>1110</v>
      </c>
      <c r="H1711" s="527">
        <v>27665.200000000001</v>
      </c>
      <c r="I1711" s="524" t="s">
        <v>1148</v>
      </c>
      <c r="J1711" s="524">
        <f>IF(cmf[[#This Row],[D/C]]="C",cmf[[#This Row],[Valor]],-1*cmf[[#This Row],[Valor]])</f>
        <v>27665.200000000001</v>
      </c>
      <c r="L1711" s="524" t="s">
        <v>1166</v>
      </c>
      <c r="M1711" s="524" t="s">
        <v>1167</v>
      </c>
      <c r="N1711" s="524" t="s">
        <v>1219</v>
      </c>
      <c r="O1711" s="524" t="s">
        <v>1220</v>
      </c>
      <c r="P1711" s="526"/>
      <c r="S1711" s="527">
        <v>0</v>
      </c>
    </row>
    <row r="1712" spans="1:19" x14ac:dyDescent="0.2">
      <c r="A1712" s="524">
        <v>70006</v>
      </c>
      <c r="B1712" s="526">
        <v>46224</v>
      </c>
      <c r="C1712" s="524" t="s">
        <v>1148</v>
      </c>
      <c r="D1712" s="524" t="s">
        <v>1186</v>
      </c>
      <c r="E1712" s="524" t="s">
        <v>2249</v>
      </c>
      <c r="F1712" s="524" t="s">
        <v>1178</v>
      </c>
      <c r="G1712" s="524" t="s">
        <v>1179</v>
      </c>
      <c r="H1712" s="527">
        <v>5189</v>
      </c>
      <c r="I1712" s="524" t="s">
        <v>1174</v>
      </c>
      <c r="J1712" s="524">
        <f>IF(cmf[[#This Row],[D/C]]="C",cmf[[#This Row],[Valor]],-1*cmf[[#This Row],[Valor]])</f>
        <v>-5189</v>
      </c>
      <c r="L1712" s="524" t="s">
        <v>1188</v>
      </c>
      <c r="M1712" s="524" t="s">
        <v>1189</v>
      </c>
      <c r="N1712" s="524" t="s">
        <v>1180</v>
      </c>
      <c r="O1712" s="524" t="s">
        <v>1181</v>
      </c>
      <c r="P1712" s="526">
        <v>46224</v>
      </c>
      <c r="S1712" s="527">
        <v>0</v>
      </c>
    </row>
    <row r="1713" spans="1:19" x14ac:dyDescent="0.2">
      <c r="A1713" s="524">
        <v>70007</v>
      </c>
      <c r="B1713" s="526">
        <v>46224</v>
      </c>
      <c r="C1713" s="524" t="s">
        <v>1148</v>
      </c>
      <c r="D1713" s="524" t="s">
        <v>1186</v>
      </c>
      <c r="E1713" s="524" t="s">
        <v>2250</v>
      </c>
      <c r="F1713" s="524" t="s">
        <v>1183</v>
      </c>
      <c r="G1713" s="524" t="s">
        <v>800</v>
      </c>
      <c r="H1713" s="527">
        <v>40150.5</v>
      </c>
      <c r="I1713" s="524" t="s">
        <v>1174</v>
      </c>
      <c r="J1713" s="524">
        <f>IF(cmf[[#This Row],[D/C]]="C",cmf[[#This Row],[Valor]],-1*cmf[[#This Row],[Valor]])</f>
        <v>-40150.5</v>
      </c>
      <c r="L1713" s="524" t="s">
        <v>1188</v>
      </c>
      <c r="M1713" s="524" t="s">
        <v>1189</v>
      </c>
      <c r="N1713" s="524" t="s">
        <v>1171</v>
      </c>
      <c r="O1713" s="524" t="s">
        <v>1172</v>
      </c>
      <c r="P1713" s="526">
        <v>46224</v>
      </c>
      <c r="S1713" s="527">
        <v>0</v>
      </c>
    </row>
    <row r="1714" spans="1:19" x14ac:dyDescent="0.2">
      <c r="A1714" s="524">
        <v>70008</v>
      </c>
      <c r="B1714" s="526">
        <v>46224</v>
      </c>
      <c r="C1714" s="524" t="s">
        <v>1148</v>
      </c>
      <c r="D1714" s="524" t="s">
        <v>1186</v>
      </c>
      <c r="E1714" s="524" t="s">
        <v>2251</v>
      </c>
      <c r="F1714" s="524" t="s">
        <v>1183</v>
      </c>
      <c r="G1714" s="524" t="s">
        <v>769</v>
      </c>
      <c r="H1714" s="527">
        <v>34681.85</v>
      </c>
      <c r="I1714" s="524" t="s">
        <v>1174</v>
      </c>
      <c r="J1714" s="524">
        <f>IF(cmf[[#This Row],[D/C]]="C",cmf[[#This Row],[Valor]],-1*cmf[[#This Row],[Valor]])</f>
        <v>-34681.85</v>
      </c>
      <c r="L1714" s="524" t="s">
        <v>1188</v>
      </c>
      <c r="M1714" s="524" t="s">
        <v>1189</v>
      </c>
      <c r="N1714" s="524" t="s">
        <v>1219</v>
      </c>
      <c r="O1714" s="524" t="s">
        <v>1220</v>
      </c>
      <c r="P1714" s="526">
        <v>46224</v>
      </c>
      <c r="S1714" s="527">
        <v>0</v>
      </c>
    </row>
    <row r="1715" spans="1:19" x14ac:dyDescent="0.2">
      <c r="A1715" s="524">
        <v>70012</v>
      </c>
      <c r="B1715" s="526">
        <v>46224</v>
      </c>
      <c r="C1715" s="524" t="s">
        <v>1148</v>
      </c>
      <c r="D1715" s="524" t="s">
        <v>1186</v>
      </c>
      <c r="E1715" s="524" t="s">
        <v>2252</v>
      </c>
      <c r="F1715" s="524" t="s">
        <v>1183</v>
      </c>
      <c r="G1715" s="524" t="s">
        <v>742</v>
      </c>
      <c r="H1715" s="527">
        <v>500</v>
      </c>
      <c r="I1715" s="524" t="s">
        <v>1174</v>
      </c>
      <c r="J1715" s="524">
        <f>IF(cmf[[#This Row],[D/C]]="C",cmf[[#This Row],[Valor]],-1*cmf[[#This Row],[Valor]])</f>
        <v>-500</v>
      </c>
      <c r="L1715" s="524" t="s">
        <v>1188</v>
      </c>
      <c r="M1715" s="524" t="s">
        <v>1189</v>
      </c>
      <c r="N1715" s="524" t="s">
        <v>1215</v>
      </c>
      <c r="O1715" s="524" t="s">
        <v>1218</v>
      </c>
      <c r="P1715" s="526">
        <v>46224</v>
      </c>
      <c r="S1715" s="527">
        <v>0</v>
      </c>
    </row>
    <row r="1716" spans="1:19" x14ac:dyDescent="0.2">
      <c r="A1716" s="524">
        <v>70013</v>
      </c>
      <c r="B1716" s="526">
        <v>46224</v>
      </c>
      <c r="C1716" s="524" t="s">
        <v>1148</v>
      </c>
      <c r="D1716" s="524" t="s">
        <v>1186</v>
      </c>
      <c r="E1716" s="524" t="s">
        <v>2253</v>
      </c>
      <c r="F1716" s="524" t="s">
        <v>1183</v>
      </c>
      <c r="G1716" s="524" t="s">
        <v>742</v>
      </c>
      <c r="H1716" s="527">
        <v>39.58</v>
      </c>
      <c r="I1716" s="524" t="s">
        <v>1174</v>
      </c>
      <c r="J1716" s="524">
        <f>IF(cmf[[#This Row],[D/C]]="C",cmf[[#This Row],[Valor]],-1*cmf[[#This Row],[Valor]])</f>
        <v>-39.58</v>
      </c>
      <c r="L1716" s="524" t="s">
        <v>1188</v>
      </c>
      <c r="M1716" s="524" t="s">
        <v>1189</v>
      </c>
      <c r="N1716" s="524" t="s">
        <v>1215</v>
      </c>
      <c r="O1716" s="524" t="s">
        <v>1218</v>
      </c>
      <c r="P1716" s="526">
        <v>46224</v>
      </c>
      <c r="S1716" s="527">
        <v>0</v>
      </c>
    </row>
    <row r="1717" spans="1:19" x14ac:dyDescent="0.2">
      <c r="A1717" s="524">
        <v>70017</v>
      </c>
      <c r="B1717" s="526">
        <v>46224</v>
      </c>
      <c r="C1717" s="524" t="s">
        <v>1148</v>
      </c>
      <c r="D1717" s="524" t="s">
        <v>1226</v>
      </c>
      <c r="E1717" s="524" t="s">
        <v>2254</v>
      </c>
      <c r="F1717" s="524" t="s">
        <v>1170</v>
      </c>
      <c r="G1717" s="524" t="s">
        <v>762</v>
      </c>
      <c r="H1717" s="527">
        <v>2320</v>
      </c>
      <c r="I1717" s="524" t="s">
        <v>1148</v>
      </c>
      <c r="J1717" s="524">
        <f>IF(cmf[[#This Row],[D/C]]="C",cmf[[#This Row],[Valor]],-1*cmf[[#This Row],[Valor]])</f>
        <v>2320</v>
      </c>
      <c r="L1717" s="524" t="s">
        <v>1230</v>
      </c>
      <c r="M1717" s="524" t="s">
        <v>1231</v>
      </c>
      <c r="N1717" s="524" t="s">
        <v>1180</v>
      </c>
      <c r="O1717" s="524" t="s">
        <v>1181</v>
      </c>
      <c r="P1717" s="526">
        <v>46224</v>
      </c>
      <c r="S1717" s="527">
        <v>0</v>
      </c>
    </row>
    <row r="1718" spans="1:19" x14ac:dyDescent="0.2">
      <c r="A1718" s="524">
        <v>70018</v>
      </c>
      <c r="B1718" s="526">
        <v>46224</v>
      </c>
      <c r="C1718" s="524" t="s">
        <v>1148</v>
      </c>
      <c r="D1718" s="524" t="s">
        <v>1226</v>
      </c>
      <c r="E1718" s="524" t="s">
        <v>2255</v>
      </c>
      <c r="F1718" s="524" t="s">
        <v>1170</v>
      </c>
      <c r="G1718" s="524" t="s">
        <v>768</v>
      </c>
      <c r="H1718" s="527">
        <v>6325</v>
      </c>
      <c r="I1718" s="524" t="s">
        <v>1148</v>
      </c>
      <c r="J1718" s="524">
        <f>IF(cmf[[#This Row],[D/C]]="C",cmf[[#This Row],[Valor]],-1*cmf[[#This Row],[Valor]])</f>
        <v>6325</v>
      </c>
      <c r="L1718" s="524" t="s">
        <v>1230</v>
      </c>
      <c r="M1718" s="524" t="s">
        <v>1231</v>
      </c>
      <c r="N1718" s="524" t="s">
        <v>1219</v>
      </c>
      <c r="O1718" s="524" t="s">
        <v>1220</v>
      </c>
      <c r="P1718" s="526">
        <v>46224</v>
      </c>
      <c r="S1718" s="527">
        <v>0</v>
      </c>
    </row>
    <row r="1719" spans="1:19" x14ac:dyDescent="0.2">
      <c r="A1719" s="524">
        <v>70020</v>
      </c>
      <c r="B1719" s="526">
        <v>46224</v>
      </c>
      <c r="C1719" s="524" t="s">
        <v>1162</v>
      </c>
      <c r="D1719" s="524" t="s">
        <v>1186</v>
      </c>
      <c r="E1719" s="524" t="s">
        <v>2256</v>
      </c>
      <c r="F1719" s="524" t="s">
        <v>1170</v>
      </c>
      <c r="G1719" s="524" t="s">
        <v>781</v>
      </c>
      <c r="H1719" s="527">
        <v>110.99</v>
      </c>
      <c r="I1719" s="524" t="s">
        <v>1174</v>
      </c>
      <c r="J1719" s="524">
        <f>IF(cmf[[#This Row],[D/C]]="C",cmf[[#This Row],[Valor]],-1*cmf[[#This Row],[Valor]])</f>
        <v>-110.99</v>
      </c>
      <c r="L1719" s="524" t="s">
        <v>1188</v>
      </c>
      <c r="M1719" s="524" t="s">
        <v>1189</v>
      </c>
      <c r="N1719" s="524" t="s">
        <v>1209</v>
      </c>
      <c r="O1719" s="524" t="s">
        <v>1210</v>
      </c>
      <c r="P1719" s="526"/>
      <c r="S1719" s="527">
        <v>0</v>
      </c>
    </row>
    <row r="1720" spans="1:19" x14ac:dyDescent="0.2">
      <c r="A1720" s="524">
        <v>70046</v>
      </c>
      <c r="B1720" s="526">
        <v>46224</v>
      </c>
      <c r="C1720" s="524" t="s">
        <v>1162</v>
      </c>
      <c r="D1720" s="524" t="s">
        <v>1186</v>
      </c>
      <c r="E1720" s="524" t="s">
        <v>2257</v>
      </c>
      <c r="F1720" s="524" t="s">
        <v>1183</v>
      </c>
      <c r="G1720" s="524" t="s">
        <v>801</v>
      </c>
      <c r="H1720" s="527">
        <v>1250</v>
      </c>
      <c r="I1720" s="524" t="s">
        <v>1174</v>
      </c>
      <c r="J1720" s="524">
        <f>IF(cmf[[#This Row],[D/C]]="C",cmf[[#This Row],[Valor]],-1*cmf[[#This Row],[Valor]])</f>
        <v>-1250</v>
      </c>
      <c r="L1720" s="524" t="s">
        <v>1188</v>
      </c>
      <c r="M1720" s="524" t="s">
        <v>1189</v>
      </c>
      <c r="N1720" s="524" t="s">
        <v>1203</v>
      </c>
      <c r="O1720" s="524" t="s">
        <v>1204</v>
      </c>
      <c r="P1720" s="526"/>
      <c r="S1720" s="527">
        <v>0</v>
      </c>
    </row>
    <row r="1721" spans="1:19" x14ac:dyDescent="0.2">
      <c r="A1721" s="524">
        <v>70047</v>
      </c>
      <c r="B1721" s="526">
        <v>46224</v>
      </c>
      <c r="C1721" s="524" t="s">
        <v>1148</v>
      </c>
      <c r="D1721" s="524" t="s">
        <v>1186</v>
      </c>
      <c r="E1721" s="524" t="s">
        <v>2258</v>
      </c>
      <c r="F1721" s="524" t="s">
        <v>1183</v>
      </c>
      <c r="G1721" s="524" t="s">
        <v>742</v>
      </c>
      <c r="H1721" s="527">
        <v>25325</v>
      </c>
      <c r="I1721" s="524" t="s">
        <v>1174</v>
      </c>
      <c r="J1721" s="524">
        <f>IF(cmf[[#This Row],[D/C]]="C",cmf[[#This Row],[Valor]],-1*cmf[[#This Row],[Valor]])</f>
        <v>-25325</v>
      </c>
      <c r="L1721" s="524" t="s">
        <v>1188</v>
      </c>
      <c r="M1721" s="524" t="s">
        <v>1189</v>
      </c>
      <c r="N1721" s="524" t="s">
        <v>1215</v>
      </c>
      <c r="O1721" s="524" t="s">
        <v>1218</v>
      </c>
      <c r="P1721" s="526">
        <v>46224</v>
      </c>
      <c r="S1721" s="527">
        <v>0</v>
      </c>
    </row>
    <row r="1722" spans="1:19" x14ac:dyDescent="0.2">
      <c r="A1722" s="524">
        <v>70050</v>
      </c>
      <c r="B1722" s="526">
        <v>46224</v>
      </c>
      <c r="C1722" s="524" t="s">
        <v>1148</v>
      </c>
      <c r="D1722" s="524" t="s">
        <v>1186</v>
      </c>
      <c r="E1722" s="524" t="s">
        <v>2259</v>
      </c>
      <c r="F1722" s="524" t="s">
        <v>1183</v>
      </c>
      <c r="G1722" s="524" t="s">
        <v>800</v>
      </c>
      <c r="H1722" s="527">
        <v>704.3</v>
      </c>
      <c r="I1722" s="524" t="s">
        <v>1174</v>
      </c>
      <c r="J1722" s="524">
        <f>IF(cmf[[#This Row],[D/C]]="C",cmf[[#This Row],[Valor]],-1*cmf[[#This Row],[Valor]])</f>
        <v>-704.3</v>
      </c>
      <c r="L1722" s="524" t="s">
        <v>1188</v>
      </c>
      <c r="M1722" s="524" t="s">
        <v>1189</v>
      </c>
      <c r="N1722" s="524" t="s">
        <v>1171</v>
      </c>
      <c r="O1722" s="524" t="s">
        <v>1172</v>
      </c>
      <c r="P1722" s="526">
        <v>46224</v>
      </c>
      <c r="S1722" s="527">
        <v>0</v>
      </c>
    </row>
    <row r="1723" spans="1:19" x14ac:dyDescent="0.2">
      <c r="A1723" s="524">
        <v>70051</v>
      </c>
      <c r="B1723" s="526">
        <v>46224</v>
      </c>
      <c r="C1723" s="524" t="s">
        <v>1148</v>
      </c>
      <c r="D1723" s="524" t="s">
        <v>1186</v>
      </c>
      <c r="E1723" s="524" t="s">
        <v>2260</v>
      </c>
      <c r="F1723" s="524" t="s">
        <v>1183</v>
      </c>
      <c r="G1723" s="524" t="s">
        <v>800</v>
      </c>
      <c r="H1723" s="527">
        <v>200</v>
      </c>
      <c r="I1723" s="524" t="s">
        <v>1174</v>
      </c>
      <c r="J1723" s="524">
        <f>IF(cmf[[#This Row],[D/C]]="C",cmf[[#This Row],[Valor]],-1*cmf[[#This Row],[Valor]])</f>
        <v>-200</v>
      </c>
      <c r="L1723" s="524" t="s">
        <v>1188</v>
      </c>
      <c r="M1723" s="524" t="s">
        <v>1189</v>
      </c>
      <c r="N1723" s="524" t="s">
        <v>1171</v>
      </c>
      <c r="O1723" s="524" t="s">
        <v>1172</v>
      </c>
      <c r="P1723" s="526">
        <v>46224</v>
      </c>
      <c r="S1723" s="527">
        <v>0</v>
      </c>
    </row>
    <row r="1724" spans="1:19" x14ac:dyDescent="0.2">
      <c r="A1724" s="524">
        <v>70052</v>
      </c>
      <c r="B1724" s="526">
        <v>46224</v>
      </c>
      <c r="C1724" s="524" t="s">
        <v>1148</v>
      </c>
      <c r="D1724" s="524" t="s">
        <v>1186</v>
      </c>
      <c r="E1724" s="524" t="s">
        <v>2261</v>
      </c>
      <c r="F1724" s="524" t="s">
        <v>1183</v>
      </c>
      <c r="G1724" s="524" t="s">
        <v>803</v>
      </c>
      <c r="H1724" s="527">
        <v>2009.05</v>
      </c>
      <c r="I1724" s="524" t="s">
        <v>1174</v>
      </c>
      <c r="J1724" s="524">
        <f>IF(cmf[[#This Row],[D/C]]="C",cmf[[#This Row],[Valor]],-1*cmf[[#This Row],[Valor]])</f>
        <v>-2009.05</v>
      </c>
      <c r="L1724" s="524" t="s">
        <v>1188</v>
      </c>
      <c r="M1724" s="524" t="s">
        <v>1189</v>
      </c>
      <c r="N1724" s="524" t="s">
        <v>1192</v>
      </c>
      <c r="O1724" s="524" t="s">
        <v>1193</v>
      </c>
      <c r="P1724" s="526">
        <v>46224</v>
      </c>
      <c r="S1724" s="527">
        <v>0</v>
      </c>
    </row>
    <row r="1725" spans="1:19" x14ac:dyDescent="0.2">
      <c r="A1725" s="524">
        <v>70053</v>
      </c>
      <c r="B1725" s="526">
        <v>46224</v>
      </c>
      <c r="C1725" s="524" t="s">
        <v>1148</v>
      </c>
      <c r="D1725" s="524" t="s">
        <v>1186</v>
      </c>
      <c r="E1725" s="524" t="s">
        <v>2262</v>
      </c>
      <c r="F1725" s="524" t="s">
        <v>1183</v>
      </c>
      <c r="G1725" s="524" t="s">
        <v>803</v>
      </c>
      <c r="H1725" s="527">
        <v>1657</v>
      </c>
      <c r="I1725" s="524" t="s">
        <v>1174</v>
      </c>
      <c r="J1725" s="524">
        <f>IF(cmf[[#This Row],[D/C]]="C",cmf[[#This Row],[Valor]],-1*cmf[[#This Row],[Valor]])</f>
        <v>-1657</v>
      </c>
      <c r="L1725" s="524" t="s">
        <v>1188</v>
      </c>
      <c r="M1725" s="524" t="s">
        <v>1189</v>
      </c>
      <c r="N1725" s="524" t="s">
        <v>1192</v>
      </c>
      <c r="O1725" s="524" t="s">
        <v>1193</v>
      </c>
      <c r="P1725" s="526">
        <v>46224</v>
      </c>
      <c r="S1725" s="527">
        <v>0</v>
      </c>
    </row>
    <row r="1726" spans="1:19" x14ac:dyDescent="0.2">
      <c r="A1726" s="524">
        <v>70054</v>
      </c>
      <c r="B1726" s="526">
        <v>46224</v>
      </c>
      <c r="C1726" s="524" t="s">
        <v>1148</v>
      </c>
      <c r="D1726" s="524" t="s">
        <v>1186</v>
      </c>
      <c r="E1726" s="524" t="s">
        <v>2263</v>
      </c>
      <c r="F1726" s="524" t="s">
        <v>1183</v>
      </c>
      <c r="G1726" s="524" t="s">
        <v>803</v>
      </c>
      <c r="H1726" s="527">
        <v>873</v>
      </c>
      <c r="I1726" s="524" t="s">
        <v>1174</v>
      </c>
      <c r="J1726" s="524">
        <f>IF(cmf[[#This Row],[D/C]]="C",cmf[[#This Row],[Valor]],-1*cmf[[#This Row],[Valor]])</f>
        <v>-873</v>
      </c>
      <c r="L1726" s="524" t="s">
        <v>1188</v>
      </c>
      <c r="M1726" s="524" t="s">
        <v>1189</v>
      </c>
      <c r="N1726" s="524" t="s">
        <v>1192</v>
      </c>
      <c r="O1726" s="524" t="s">
        <v>1193</v>
      </c>
      <c r="P1726" s="526">
        <v>46224</v>
      </c>
      <c r="S1726" s="527">
        <v>0</v>
      </c>
    </row>
    <row r="1727" spans="1:19" x14ac:dyDescent="0.2">
      <c r="A1727" s="524">
        <v>70055</v>
      </c>
      <c r="B1727" s="526">
        <v>46224</v>
      </c>
      <c r="C1727" s="524" t="s">
        <v>1148</v>
      </c>
      <c r="D1727" s="524" t="s">
        <v>1186</v>
      </c>
      <c r="E1727" s="524" t="s">
        <v>2264</v>
      </c>
      <c r="F1727" s="524" t="s">
        <v>1183</v>
      </c>
      <c r="G1727" s="524" t="s">
        <v>769</v>
      </c>
      <c r="H1727" s="527">
        <v>1500</v>
      </c>
      <c r="I1727" s="524" t="s">
        <v>1174</v>
      </c>
      <c r="J1727" s="524">
        <f>IF(cmf[[#This Row],[D/C]]="C",cmf[[#This Row],[Valor]],-1*cmf[[#This Row],[Valor]])</f>
        <v>-1500</v>
      </c>
      <c r="L1727" s="524" t="s">
        <v>1188</v>
      </c>
      <c r="M1727" s="524" t="s">
        <v>1189</v>
      </c>
      <c r="N1727" s="524" t="s">
        <v>1219</v>
      </c>
      <c r="O1727" s="524" t="s">
        <v>1220</v>
      </c>
      <c r="P1727" s="526">
        <v>46224</v>
      </c>
      <c r="S1727" s="527">
        <v>0</v>
      </c>
    </row>
    <row r="1728" spans="1:19" x14ac:dyDescent="0.2">
      <c r="A1728" s="524">
        <v>70056</v>
      </c>
      <c r="B1728" s="526">
        <v>46224</v>
      </c>
      <c r="C1728" s="524" t="s">
        <v>1148</v>
      </c>
      <c r="D1728" s="524" t="s">
        <v>1186</v>
      </c>
      <c r="E1728" s="524" t="s">
        <v>2265</v>
      </c>
      <c r="F1728" s="524" t="s">
        <v>1183</v>
      </c>
      <c r="G1728" s="524" t="s">
        <v>769</v>
      </c>
      <c r="H1728" s="527">
        <v>491.8</v>
      </c>
      <c r="I1728" s="524" t="s">
        <v>1174</v>
      </c>
      <c r="J1728" s="524">
        <f>IF(cmf[[#This Row],[D/C]]="C",cmf[[#This Row],[Valor]],-1*cmf[[#This Row],[Valor]])</f>
        <v>-491.8</v>
      </c>
      <c r="L1728" s="524" t="s">
        <v>1188</v>
      </c>
      <c r="M1728" s="524" t="s">
        <v>1189</v>
      </c>
      <c r="N1728" s="524" t="s">
        <v>1219</v>
      </c>
      <c r="O1728" s="524" t="s">
        <v>1220</v>
      </c>
      <c r="P1728" s="526">
        <v>46224</v>
      </c>
      <c r="S1728" s="527">
        <v>0</v>
      </c>
    </row>
    <row r="1729" spans="1:19" x14ac:dyDescent="0.2">
      <c r="A1729" s="524">
        <v>70057</v>
      </c>
      <c r="B1729" s="526">
        <v>46224</v>
      </c>
      <c r="C1729" s="524" t="s">
        <v>1148</v>
      </c>
      <c r="D1729" s="524" t="s">
        <v>1186</v>
      </c>
      <c r="E1729" s="524" t="s">
        <v>2266</v>
      </c>
      <c r="F1729" s="524" t="s">
        <v>1183</v>
      </c>
      <c r="G1729" s="524" t="s">
        <v>769</v>
      </c>
      <c r="H1729" s="527">
        <v>6262.11</v>
      </c>
      <c r="I1729" s="524" t="s">
        <v>1174</v>
      </c>
      <c r="J1729" s="524">
        <f>IF(cmf[[#This Row],[D/C]]="C",cmf[[#This Row],[Valor]],-1*cmf[[#This Row],[Valor]])</f>
        <v>-6262.11</v>
      </c>
      <c r="L1729" s="524" t="s">
        <v>1188</v>
      </c>
      <c r="M1729" s="524" t="s">
        <v>1189</v>
      </c>
      <c r="N1729" s="524" t="s">
        <v>1219</v>
      </c>
      <c r="O1729" s="524" t="s">
        <v>1220</v>
      </c>
      <c r="P1729" s="526">
        <v>46224</v>
      </c>
      <c r="S1729" s="527">
        <v>0</v>
      </c>
    </row>
    <row r="1730" spans="1:19" x14ac:dyDescent="0.2">
      <c r="A1730" s="524">
        <v>70058</v>
      </c>
      <c r="B1730" s="526">
        <v>46224</v>
      </c>
      <c r="C1730" s="524" t="s">
        <v>1148</v>
      </c>
      <c r="D1730" s="524" t="s">
        <v>1186</v>
      </c>
      <c r="E1730" s="524" t="s">
        <v>2267</v>
      </c>
      <c r="F1730" s="524" t="s">
        <v>1178</v>
      </c>
      <c r="G1730" s="524" t="s">
        <v>1179</v>
      </c>
      <c r="H1730" s="527">
        <v>338.91</v>
      </c>
      <c r="I1730" s="524" t="s">
        <v>1174</v>
      </c>
      <c r="J1730" s="524">
        <f>IF(cmf[[#This Row],[D/C]]="C",cmf[[#This Row],[Valor]],-1*cmf[[#This Row],[Valor]])</f>
        <v>-338.91</v>
      </c>
      <c r="L1730" s="524" t="s">
        <v>1188</v>
      </c>
      <c r="M1730" s="524" t="s">
        <v>1189</v>
      </c>
      <c r="N1730" s="524" t="s">
        <v>1180</v>
      </c>
      <c r="O1730" s="524" t="s">
        <v>1181</v>
      </c>
      <c r="P1730" s="526">
        <v>46224</v>
      </c>
      <c r="S1730" s="527">
        <v>0</v>
      </c>
    </row>
    <row r="1731" spans="1:19" x14ac:dyDescent="0.2">
      <c r="A1731" s="524">
        <v>70059</v>
      </c>
      <c r="B1731" s="526">
        <v>46224</v>
      </c>
      <c r="C1731" s="524" t="s">
        <v>1148</v>
      </c>
      <c r="D1731" s="524" t="s">
        <v>1186</v>
      </c>
      <c r="E1731" s="524" t="s">
        <v>2268</v>
      </c>
      <c r="F1731" s="524" t="s">
        <v>1178</v>
      </c>
      <c r="G1731" s="524" t="s">
        <v>1179</v>
      </c>
      <c r="H1731" s="527">
        <v>96</v>
      </c>
      <c r="I1731" s="524" t="s">
        <v>1174</v>
      </c>
      <c r="J1731" s="524">
        <f>IF(cmf[[#This Row],[D/C]]="C",cmf[[#This Row],[Valor]],-1*cmf[[#This Row],[Valor]])</f>
        <v>-96</v>
      </c>
      <c r="L1731" s="524" t="s">
        <v>1188</v>
      </c>
      <c r="M1731" s="524" t="s">
        <v>1189</v>
      </c>
      <c r="N1731" s="524" t="s">
        <v>1180</v>
      </c>
      <c r="O1731" s="524" t="s">
        <v>1181</v>
      </c>
      <c r="P1731" s="526">
        <v>46224</v>
      </c>
      <c r="S1731" s="527">
        <v>0</v>
      </c>
    </row>
    <row r="1732" spans="1:19" x14ac:dyDescent="0.2">
      <c r="A1732" s="524">
        <v>70060</v>
      </c>
      <c r="B1732" s="526">
        <v>46224</v>
      </c>
      <c r="C1732" s="524" t="s">
        <v>1148</v>
      </c>
      <c r="D1732" s="524" t="s">
        <v>1186</v>
      </c>
      <c r="E1732" s="524" t="s">
        <v>2269</v>
      </c>
      <c r="F1732" s="524" t="s">
        <v>1178</v>
      </c>
      <c r="G1732" s="524" t="s">
        <v>1179</v>
      </c>
      <c r="H1732" s="527">
        <v>90</v>
      </c>
      <c r="I1732" s="524" t="s">
        <v>1174</v>
      </c>
      <c r="J1732" s="524">
        <f>IF(cmf[[#This Row],[D/C]]="C",cmf[[#This Row],[Valor]],-1*cmf[[#This Row],[Valor]])</f>
        <v>-90</v>
      </c>
      <c r="L1732" s="524" t="s">
        <v>1188</v>
      </c>
      <c r="M1732" s="524" t="s">
        <v>1189</v>
      </c>
      <c r="N1732" s="524" t="s">
        <v>1180</v>
      </c>
      <c r="O1732" s="524" t="s">
        <v>1181</v>
      </c>
      <c r="P1732" s="526">
        <v>46224</v>
      </c>
      <c r="S1732" s="527">
        <v>0</v>
      </c>
    </row>
    <row r="1733" spans="1:19" x14ac:dyDescent="0.2">
      <c r="A1733" s="524">
        <v>70061</v>
      </c>
      <c r="B1733" s="526">
        <v>46224</v>
      </c>
      <c r="C1733" s="524" t="s">
        <v>1148</v>
      </c>
      <c r="D1733" s="524" t="s">
        <v>1186</v>
      </c>
      <c r="E1733" s="524" t="s">
        <v>2270</v>
      </c>
      <c r="F1733" s="524" t="s">
        <v>1178</v>
      </c>
      <c r="G1733" s="524" t="s">
        <v>1179</v>
      </c>
      <c r="H1733" s="527">
        <v>34.96</v>
      </c>
      <c r="I1733" s="524" t="s">
        <v>1174</v>
      </c>
      <c r="J1733" s="524">
        <f>IF(cmf[[#This Row],[D/C]]="C",cmf[[#This Row],[Valor]],-1*cmf[[#This Row],[Valor]])</f>
        <v>-34.96</v>
      </c>
      <c r="L1733" s="524" t="s">
        <v>1188</v>
      </c>
      <c r="M1733" s="524" t="s">
        <v>1189</v>
      </c>
      <c r="N1733" s="524" t="s">
        <v>1180</v>
      </c>
      <c r="O1733" s="524" t="s">
        <v>1181</v>
      </c>
      <c r="P1733" s="526">
        <v>46224</v>
      </c>
      <c r="S1733" s="527">
        <v>0</v>
      </c>
    </row>
    <row r="1734" spans="1:19" x14ac:dyDescent="0.2">
      <c r="A1734" s="524">
        <v>70124</v>
      </c>
      <c r="B1734" s="526">
        <v>46224</v>
      </c>
      <c r="C1734" s="524" t="s">
        <v>1148</v>
      </c>
      <c r="D1734" s="524" t="s">
        <v>1226</v>
      </c>
      <c r="E1734" s="524" t="s">
        <v>2271</v>
      </c>
      <c r="F1734" s="524" t="s">
        <v>1170</v>
      </c>
      <c r="G1734" s="524" t="s">
        <v>1102</v>
      </c>
      <c r="H1734" s="527">
        <v>1219.3800000000001</v>
      </c>
      <c r="I1734" s="524" t="s">
        <v>1148</v>
      </c>
      <c r="J1734" s="524">
        <f>IF(cmf[[#This Row],[D/C]]="C",cmf[[#This Row],[Valor]],-1*cmf[[#This Row],[Valor]])</f>
        <v>1219.3800000000001</v>
      </c>
      <c r="L1734" s="524" t="s">
        <v>1230</v>
      </c>
      <c r="M1734" s="524" t="s">
        <v>1231</v>
      </c>
      <c r="N1734" s="524" t="s">
        <v>1192</v>
      </c>
      <c r="O1734" s="524" t="s">
        <v>1193</v>
      </c>
      <c r="P1734" s="526">
        <v>46224</v>
      </c>
      <c r="S1734" s="527">
        <v>0</v>
      </c>
    </row>
    <row r="1735" spans="1:19" x14ac:dyDescent="0.2">
      <c r="A1735" s="524">
        <v>70125</v>
      </c>
      <c r="B1735" s="526">
        <v>46224</v>
      </c>
      <c r="C1735" s="524" t="s">
        <v>1148</v>
      </c>
      <c r="D1735" s="524" t="s">
        <v>1226</v>
      </c>
      <c r="E1735" s="524" t="s">
        <v>2272</v>
      </c>
      <c r="F1735" s="524" t="s">
        <v>1170</v>
      </c>
      <c r="G1735" s="524" t="s">
        <v>1102</v>
      </c>
      <c r="H1735" s="527">
        <v>1382.06</v>
      </c>
      <c r="I1735" s="524" t="s">
        <v>1148</v>
      </c>
      <c r="J1735" s="524">
        <f>IF(cmf[[#This Row],[D/C]]="C",cmf[[#This Row],[Valor]],-1*cmf[[#This Row],[Valor]])</f>
        <v>1382.06</v>
      </c>
      <c r="L1735" s="524" t="s">
        <v>1230</v>
      </c>
      <c r="M1735" s="524" t="s">
        <v>1231</v>
      </c>
      <c r="N1735" s="524" t="s">
        <v>1192</v>
      </c>
      <c r="O1735" s="524" t="s">
        <v>1193</v>
      </c>
      <c r="P1735" s="526">
        <v>46224</v>
      </c>
      <c r="S1735" s="527">
        <v>0</v>
      </c>
    </row>
    <row r="1736" spans="1:19" x14ac:dyDescent="0.2">
      <c r="A1736" s="524">
        <v>70126</v>
      </c>
      <c r="B1736" s="526">
        <v>46224</v>
      </c>
      <c r="C1736" s="524" t="s">
        <v>1148</v>
      </c>
      <c r="D1736" s="524" t="s">
        <v>1226</v>
      </c>
      <c r="E1736" s="524" t="s">
        <v>2273</v>
      </c>
      <c r="F1736" s="524" t="s">
        <v>1170</v>
      </c>
      <c r="G1736" s="524" t="s">
        <v>1102</v>
      </c>
      <c r="H1736" s="527">
        <v>594.66999999999996</v>
      </c>
      <c r="I1736" s="524" t="s">
        <v>1148</v>
      </c>
      <c r="J1736" s="524">
        <f>IF(cmf[[#This Row],[D/C]]="C",cmf[[#This Row],[Valor]],-1*cmf[[#This Row],[Valor]])</f>
        <v>594.66999999999996</v>
      </c>
      <c r="L1736" s="524" t="s">
        <v>1230</v>
      </c>
      <c r="M1736" s="524" t="s">
        <v>1231</v>
      </c>
      <c r="N1736" s="524" t="s">
        <v>1192</v>
      </c>
      <c r="O1736" s="524" t="s">
        <v>1193</v>
      </c>
      <c r="P1736" s="526">
        <v>46224</v>
      </c>
      <c r="S1736" s="527">
        <v>0</v>
      </c>
    </row>
    <row r="1737" spans="1:19" x14ac:dyDescent="0.2">
      <c r="A1737" s="524">
        <v>70127</v>
      </c>
      <c r="B1737" s="526">
        <v>46224</v>
      </c>
      <c r="C1737" s="524" t="s">
        <v>1148</v>
      </c>
      <c r="D1737" s="524" t="s">
        <v>1226</v>
      </c>
      <c r="E1737" s="524" t="s">
        <v>2274</v>
      </c>
      <c r="F1737" s="524" t="s">
        <v>1170</v>
      </c>
      <c r="G1737" s="524" t="s">
        <v>1102</v>
      </c>
      <c r="H1737" s="527">
        <v>605.89</v>
      </c>
      <c r="I1737" s="524" t="s">
        <v>1148</v>
      </c>
      <c r="J1737" s="524">
        <f>IF(cmf[[#This Row],[D/C]]="C",cmf[[#This Row],[Valor]],-1*cmf[[#This Row],[Valor]])</f>
        <v>605.89</v>
      </c>
      <c r="L1737" s="524" t="s">
        <v>1230</v>
      </c>
      <c r="M1737" s="524" t="s">
        <v>1231</v>
      </c>
      <c r="N1737" s="524" t="s">
        <v>1192</v>
      </c>
      <c r="O1737" s="524" t="s">
        <v>1193</v>
      </c>
      <c r="P1737" s="526">
        <v>46224</v>
      </c>
      <c r="S1737" s="527">
        <v>0</v>
      </c>
    </row>
    <row r="1738" spans="1:19" x14ac:dyDescent="0.2">
      <c r="A1738" s="524">
        <v>70128</v>
      </c>
      <c r="B1738" s="526">
        <v>46224</v>
      </c>
      <c r="C1738" s="524" t="s">
        <v>1148</v>
      </c>
      <c r="D1738" s="524" t="s">
        <v>1226</v>
      </c>
      <c r="E1738" s="524" t="s">
        <v>2275</v>
      </c>
      <c r="F1738" s="524" t="s">
        <v>1170</v>
      </c>
      <c r="G1738" s="524" t="s">
        <v>1102</v>
      </c>
      <c r="H1738" s="527">
        <v>409.76</v>
      </c>
      <c r="I1738" s="524" t="s">
        <v>1148</v>
      </c>
      <c r="J1738" s="524">
        <f>IF(cmf[[#This Row],[D/C]]="C",cmf[[#This Row],[Valor]],-1*cmf[[#This Row],[Valor]])</f>
        <v>409.76</v>
      </c>
      <c r="L1738" s="524" t="s">
        <v>1230</v>
      </c>
      <c r="M1738" s="524" t="s">
        <v>1231</v>
      </c>
      <c r="N1738" s="524" t="s">
        <v>1192</v>
      </c>
      <c r="O1738" s="524" t="s">
        <v>1193</v>
      </c>
      <c r="P1738" s="526">
        <v>46224</v>
      </c>
      <c r="S1738" s="527">
        <v>0</v>
      </c>
    </row>
    <row r="1739" spans="1:19" x14ac:dyDescent="0.2">
      <c r="A1739" s="524">
        <v>70129</v>
      </c>
      <c r="B1739" s="526">
        <v>46224</v>
      </c>
      <c r="C1739" s="524" t="s">
        <v>1148</v>
      </c>
      <c r="D1739" s="524" t="s">
        <v>1226</v>
      </c>
      <c r="E1739" s="524" t="s">
        <v>2276</v>
      </c>
      <c r="F1739" s="524" t="s">
        <v>1170</v>
      </c>
      <c r="G1739" s="524" t="s">
        <v>1102</v>
      </c>
      <c r="H1739" s="527">
        <v>224.44</v>
      </c>
      <c r="I1739" s="524" t="s">
        <v>1148</v>
      </c>
      <c r="J1739" s="524">
        <f>IF(cmf[[#This Row],[D/C]]="C",cmf[[#This Row],[Valor]],-1*cmf[[#This Row],[Valor]])</f>
        <v>224.44</v>
      </c>
      <c r="L1739" s="524" t="s">
        <v>1230</v>
      </c>
      <c r="M1739" s="524" t="s">
        <v>1231</v>
      </c>
      <c r="N1739" s="524" t="s">
        <v>1192</v>
      </c>
      <c r="O1739" s="524" t="s">
        <v>1193</v>
      </c>
      <c r="P1739" s="526">
        <v>46224</v>
      </c>
      <c r="S1739" s="527">
        <v>0</v>
      </c>
    </row>
    <row r="1740" spans="1:19" x14ac:dyDescent="0.2">
      <c r="A1740" s="524">
        <v>70130</v>
      </c>
      <c r="B1740" s="526">
        <v>46224</v>
      </c>
      <c r="C1740" s="524" t="s">
        <v>1148</v>
      </c>
      <c r="D1740" s="524" t="s">
        <v>1226</v>
      </c>
      <c r="E1740" s="524" t="s">
        <v>2277</v>
      </c>
      <c r="F1740" s="524" t="s">
        <v>1170</v>
      </c>
      <c r="G1740" s="524" t="s">
        <v>1102</v>
      </c>
      <c r="H1740" s="527">
        <v>364.16</v>
      </c>
      <c r="I1740" s="524" t="s">
        <v>1148</v>
      </c>
      <c r="J1740" s="524">
        <f>IF(cmf[[#This Row],[D/C]]="C",cmf[[#This Row],[Valor]],-1*cmf[[#This Row],[Valor]])</f>
        <v>364.16</v>
      </c>
      <c r="L1740" s="524" t="s">
        <v>1230</v>
      </c>
      <c r="M1740" s="524" t="s">
        <v>1231</v>
      </c>
      <c r="N1740" s="524" t="s">
        <v>1192</v>
      </c>
      <c r="O1740" s="524" t="s">
        <v>1193</v>
      </c>
      <c r="P1740" s="526">
        <v>46224</v>
      </c>
      <c r="S1740" s="527">
        <v>0</v>
      </c>
    </row>
    <row r="1741" spans="1:19" x14ac:dyDescent="0.2">
      <c r="A1741" s="524">
        <v>70131</v>
      </c>
      <c r="B1741" s="526">
        <v>46224</v>
      </c>
      <c r="C1741" s="524" t="s">
        <v>1148</v>
      </c>
      <c r="D1741" s="524" t="s">
        <v>1226</v>
      </c>
      <c r="E1741" s="524" t="s">
        <v>2278</v>
      </c>
      <c r="F1741" s="524" t="s">
        <v>1170</v>
      </c>
      <c r="G1741" s="524" t="s">
        <v>1102</v>
      </c>
      <c r="H1741" s="527">
        <v>1517.2</v>
      </c>
      <c r="I1741" s="524" t="s">
        <v>1148</v>
      </c>
      <c r="J1741" s="524">
        <f>IF(cmf[[#This Row],[D/C]]="C",cmf[[#This Row],[Valor]],-1*cmf[[#This Row],[Valor]])</f>
        <v>1517.2</v>
      </c>
      <c r="L1741" s="524" t="s">
        <v>1230</v>
      </c>
      <c r="M1741" s="524" t="s">
        <v>1231</v>
      </c>
      <c r="N1741" s="524" t="s">
        <v>1192</v>
      </c>
      <c r="O1741" s="524" t="s">
        <v>1193</v>
      </c>
      <c r="P1741" s="526">
        <v>46224</v>
      </c>
      <c r="S1741" s="527">
        <v>0</v>
      </c>
    </row>
    <row r="1742" spans="1:19" x14ac:dyDescent="0.2">
      <c r="A1742" s="524">
        <v>70132</v>
      </c>
      <c r="B1742" s="526">
        <v>46224</v>
      </c>
      <c r="C1742" s="524" t="s">
        <v>1148</v>
      </c>
      <c r="D1742" s="524" t="s">
        <v>1226</v>
      </c>
      <c r="E1742" s="524" t="s">
        <v>2279</v>
      </c>
      <c r="F1742" s="524" t="s">
        <v>1170</v>
      </c>
      <c r="G1742" s="524" t="s">
        <v>1102</v>
      </c>
      <c r="H1742" s="527">
        <v>205.25</v>
      </c>
      <c r="I1742" s="524" t="s">
        <v>1148</v>
      </c>
      <c r="J1742" s="524">
        <f>IF(cmf[[#This Row],[D/C]]="C",cmf[[#This Row],[Valor]],-1*cmf[[#This Row],[Valor]])</f>
        <v>205.25</v>
      </c>
      <c r="L1742" s="524" t="s">
        <v>1230</v>
      </c>
      <c r="M1742" s="524" t="s">
        <v>1231</v>
      </c>
      <c r="N1742" s="524" t="s">
        <v>1192</v>
      </c>
      <c r="O1742" s="524" t="s">
        <v>1193</v>
      </c>
      <c r="P1742" s="526">
        <v>46224</v>
      </c>
      <c r="S1742" s="527">
        <v>0</v>
      </c>
    </row>
    <row r="1743" spans="1:19" x14ac:dyDescent="0.2">
      <c r="A1743" s="524">
        <v>70133</v>
      </c>
      <c r="B1743" s="526">
        <v>46224</v>
      </c>
      <c r="C1743" s="524" t="s">
        <v>1148</v>
      </c>
      <c r="D1743" s="524" t="s">
        <v>1226</v>
      </c>
      <c r="E1743" s="524" t="s">
        <v>2280</v>
      </c>
      <c r="F1743" s="524" t="s">
        <v>1170</v>
      </c>
      <c r="G1743" s="524" t="s">
        <v>1102</v>
      </c>
      <c r="H1743" s="527">
        <v>441.19</v>
      </c>
      <c r="I1743" s="524" t="s">
        <v>1148</v>
      </c>
      <c r="J1743" s="524">
        <f>IF(cmf[[#This Row],[D/C]]="C",cmf[[#This Row],[Valor]],-1*cmf[[#This Row],[Valor]])</f>
        <v>441.19</v>
      </c>
      <c r="L1743" s="524" t="s">
        <v>1230</v>
      </c>
      <c r="M1743" s="524" t="s">
        <v>1231</v>
      </c>
      <c r="N1743" s="524" t="s">
        <v>1192</v>
      </c>
      <c r="O1743" s="524" t="s">
        <v>1193</v>
      </c>
      <c r="P1743" s="526">
        <v>46224</v>
      </c>
      <c r="S1743" s="527">
        <v>0</v>
      </c>
    </row>
    <row r="1744" spans="1:19" x14ac:dyDescent="0.2">
      <c r="A1744" s="524">
        <v>70134</v>
      </c>
      <c r="B1744" s="526">
        <v>46224</v>
      </c>
      <c r="C1744" s="524" t="s">
        <v>1148</v>
      </c>
      <c r="D1744" s="524" t="s">
        <v>1226</v>
      </c>
      <c r="E1744" s="524" t="s">
        <v>2281</v>
      </c>
      <c r="F1744" s="524" t="s">
        <v>1170</v>
      </c>
      <c r="G1744" s="524" t="s">
        <v>1102</v>
      </c>
      <c r="H1744" s="527">
        <v>270.13</v>
      </c>
      <c r="I1744" s="524" t="s">
        <v>1148</v>
      </c>
      <c r="J1744" s="524">
        <f>IF(cmf[[#This Row],[D/C]]="C",cmf[[#This Row],[Valor]],-1*cmf[[#This Row],[Valor]])</f>
        <v>270.13</v>
      </c>
      <c r="L1744" s="524" t="s">
        <v>1230</v>
      </c>
      <c r="M1744" s="524" t="s">
        <v>1231</v>
      </c>
      <c r="N1744" s="524" t="s">
        <v>1192</v>
      </c>
      <c r="O1744" s="524" t="s">
        <v>1193</v>
      </c>
      <c r="P1744" s="526">
        <v>46224</v>
      </c>
      <c r="S1744" s="527">
        <v>0</v>
      </c>
    </row>
    <row r="1745" spans="1:19" x14ac:dyDescent="0.2">
      <c r="A1745" s="524">
        <v>70135</v>
      </c>
      <c r="B1745" s="526">
        <v>46224</v>
      </c>
      <c r="C1745" s="524" t="s">
        <v>1148</v>
      </c>
      <c r="D1745" s="524" t="s">
        <v>1226</v>
      </c>
      <c r="E1745" s="524" t="s">
        <v>2282</v>
      </c>
      <c r="F1745" s="524" t="s">
        <v>1170</v>
      </c>
      <c r="G1745" s="524" t="s">
        <v>1102</v>
      </c>
      <c r="H1745" s="527">
        <v>203.7</v>
      </c>
      <c r="I1745" s="524" t="s">
        <v>1148</v>
      </c>
      <c r="J1745" s="524">
        <f>IF(cmf[[#This Row],[D/C]]="C",cmf[[#This Row],[Valor]],-1*cmf[[#This Row],[Valor]])</f>
        <v>203.7</v>
      </c>
      <c r="L1745" s="524" t="s">
        <v>1230</v>
      </c>
      <c r="M1745" s="524" t="s">
        <v>1231</v>
      </c>
      <c r="N1745" s="524" t="s">
        <v>1192</v>
      </c>
      <c r="O1745" s="524" t="s">
        <v>1193</v>
      </c>
      <c r="P1745" s="526">
        <v>46224</v>
      </c>
      <c r="S1745" s="527">
        <v>0</v>
      </c>
    </row>
    <row r="1746" spans="1:19" x14ac:dyDescent="0.2">
      <c r="A1746" s="524">
        <v>70136</v>
      </c>
      <c r="B1746" s="526">
        <v>46224</v>
      </c>
      <c r="C1746" s="524" t="s">
        <v>1148</v>
      </c>
      <c r="D1746" s="524" t="s">
        <v>1226</v>
      </c>
      <c r="E1746" s="524" t="s">
        <v>2283</v>
      </c>
      <c r="F1746" s="524" t="s">
        <v>1170</v>
      </c>
      <c r="G1746" s="524" t="s">
        <v>1102</v>
      </c>
      <c r="H1746" s="527">
        <v>101.5</v>
      </c>
      <c r="I1746" s="524" t="s">
        <v>1148</v>
      </c>
      <c r="J1746" s="524">
        <f>IF(cmf[[#This Row],[D/C]]="C",cmf[[#This Row],[Valor]],-1*cmf[[#This Row],[Valor]])</f>
        <v>101.5</v>
      </c>
      <c r="L1746" s="524" t="s">
        <v>1230</v>
      </c>
      <c r="M1746" s="524" t="s">
        <v>1231</v>
      </c>
      <c r="N1746" s="524" t="s">
        <v>1192</v>
      </c>
      <c r="O1746" s="524" t="s">
        <v>1193</v>
      </c>
      <c r="P1746" s="526">
        <v>46224</v>
      </c>
      <c r="S1746" s="527">
        <v>0</v>
      </c>
    </row>
    <row r="1747" spans="1:19" x14ac:dyDescent="0.2">
      <c r="A1747" s="524">
        <v>70137</v>
      </c>
      <c r="B1747" s="526">
        <v>46224</v>
      </c>
      <c r="C1747" s="524" t="s">
        <v>1148</v>
      </c>
      <c r="D1747" s="524" t="s">
        <v>1226</v>
      </c>
      <c r="E1747" s="524" t="s">
        <v>2284</v>
      </c>
      <c r="F1747" s="524" t="s">
        <v>1170</v>
      </c>
      <c r="G1747" s="524" t="s">
        <v>1102</v>
      </c>
      <c r="H1747" s="527">
        <v>459.31</v>
      </c>
      <c r="I1747" s="524" t="s">
        <v>1148</v>
      </c>
      <c r="J1747" s="524">
        <f>IF(cmf[[#This Row],[D/C]]="C",cmf[[#This Row],[Valor]],-1*cmf[[#This Row],[Valor]])</f>
        <v>459.31</v>
      </c>
      <c r="L1747" s="524" t="s">
        <v>1230</v>
      </c>
      <c r="M1747" s="524" t="s">
        <v>1231</v>
      </c>
      <c r="N1747" s="524" t="s">
        <v>1192</v>
      </c>
      <c r="O1747" s="524" t="s">
        <v>1193</v>
      </c>
      <c r="P1747" s="526">
        <v>46224</v>
      </c>
      <c r="S1747" s="527">
        <v>0</v>
      </c>
    </row>
    <row r="1748" spans="1:19" x14ac:dyDescent="0.2">
      <c r="A1748" s="524">
        <v>70138</v>
      </c>
      <c r="B1748" s="526">
        <v>46224</v>
      </c>
      <c r="C1748" s="524" t="s">
        <v>1148</v>
      </c>
      <c r="D1748" s="524" t="s">
        <v>1226</v>
      </c>
      <c r="E1748" s="524" t="s">
        <v>2285</v>
      </c>
      <c r="F1748" s="524" t="s">
        <v>1170</v>
      </c>
      <c r="G1748" s="524" t="s">
        <v>1102</v>
      </c>
      <c r="H1748" s="527">
        <v>1149.8599999999999</v>
      </c>
      <c r="I1748" s="524" t="s">
        <v>1148</v>
      </c>
      <c r="J1748" s="524">
        <f>IF(cmf[[#This Row],[D/C]]="C",cmf[[#This Row],[Valor]],-1*cmf[[#This Row],[Valor]])</f>
        <v>1149.8599999999999</v>
      </c>
      <c r="L1748" s="524" t="s">
        <v>1230</v>
      </c>
      <c r="M1748" s="524" t="s">
        <v>1231</v>
      </c>
      <c r="N1748" s="524" t="s">
        <v>1192</v>
      </c>
      <c r="O1748" s="524" t="s">
        <v>1193</v>
      </c>
      <c r="P1748" s="526">
        <v>46224</v>
      </c>
      <c r="S1748" s="527">
        <v>0</v>
      </c>
    </row>
    <row r="1749" spans="1:19" x14ac:dyDescent="0.2">
      <c r="A1749" s="524">
        <v>70139</v>
      </c>
      <c r="B1749" s="526">
        <v>46224</v>
      </c>
      <c r="C1749" s="524" t="s">
        <v>1148</v>
      </c>
      <c r="D1749" s="524" t="s">
        <v>1226</v>
      </c>
      <c r="E1749" s="524" t="s">
        <v>2286</v>
      </c>
      <c r="F1749" s="524" t="s">
        <v>1170</v>
      </c>
      <c r="G1749" s="524" t="s">
        <v>1102</v>
      </c>
      <c r="H1749" s="527">
        <v>626.75</v>
      </c>
      <c r="I1749" s="524" t="s">
        <v>1148</v>
      </c>
      <c r="J1749" s="524">
        <f>IF(cmf[[#This Row],[D/C]]="C",cmf[[#This Row],[Valor]],-1*cmf[[#This Row],[Valor]])</f>
        <v>626.75</v>
      </c>
      <c r="L1749" s="524" t="s">
        <v>1230</v>
      </c>
      <c r="M1749" s="524" t="s">
        <v>1231</v>
      </c>
      <c r="N1749" s="524" t="s">
        <v>1192</v>
      </c>
      <c r="O1749" s="524" t="s">
        <v>1193</v>
      </c>
      <c r="P1749" s="526">
        <v>46224</v>
      </c>
      <c r="S1749" s="527">
        <v>0</v>
      </c>
    </row>
    <row r="1750" spans="1:19" x14ac:dyDescent="0.2">
      <c r="A1750" s="524">
        <v>70148</v>
      </c>
      <c r="B1750" s="526">
        <v>46224</v>
      </c>
      <c r="C1750" s="524" t="s">
        <v>1162</v>
      </c>
      <c r="D1750" s="524" t="s">
        <v>1186</v>
      </c>
      <c r="E1750" s="524" t="s">
        <v>2287</v>
      </c>
      <c r="F1750" s="524" t="s">
        <v>1183</v>
      </c>
      <c r="G1750" s="524" t="s">
        <v>772</v>
      </c>
      <c r="H1750" s="527">
        <v>1500</v>
      </c>
      <c r="I1750" s="524" t="s">
        <v>1174</v>
      </c>
      <c r="J1750" s="524">
        <f>IF(cmf[[#This Row],[D/C]]="C",cmf[[#This Row],[Valor]],-1*cmf[[#This Row],[Valor]])</f>
        <v>-1500</v>
      </c>
      <c r="L1750" s="524" t="s">
        <v>1188</v>
      </c>
      <c r="M1750" s="524" t="s">
        <v>1189</v>
      </c>
      <c r="N1750" s="524" t="s">
        <v>1249</v>
      </c>
      <c r="O1750" s="524" t="s">
        <v>1250</v>
      </c>
      <c r="P1750" s="526"/>
      <c r="S1750" s="527">
        <v>0</v>
      </c>
    </row>
    <row r="1751" spans="1:19" x14ac:dyDescent="0.2">
      <c r="A1751" s="524">
        <v>70149</v>
      </c>
      <c r="B1751" s="526">
        <v>46224</v>
      </c>
      <c r="C1751" s="524" t="s">
        <v>1162</v>
      </c>
      <c r="D1751" s="524" t="s">
        <v>1186</v>
      </c>
      <c r="E1751" s="524" t="s">
        <v>2288</v>
      </c>
      <c r="F1751" s="524" t="s">
        <v>1183</v>
      </c>
      <c r="G1751" s="524" t="s">
        <v>772</v>
      </c>
      <c r="H1751" s="527">
        <v>2000</v>
      </c>
      <c r="I1751" s="524" t="s">
        <v>1174</v>
      </c>
      <c r="J1751" s="524">
        <f>IF(cmf[[#This Row],[D/C]]="C",cmf[[#This Row],[Valor]],-1*cmf[[#This Row],[Valor]])</f>
        <v>-2000</v>
      </c>
      <c r="L1751" s="524" t="s">
        <v>1188</v>
      </c>
      <c r="M1751" s="524" t="s">
        <v>1189</v>
      </c>
      <c r="N1751" s="524" t="s">
        <v>1249</v>
      </c>
      <c r="O1751" s="524" t="s">
        <v>1250</v>
      </c>
      <c r="P1751" s="526"/>
      <c r="S1751" s="527">
        <v>0</v>
      </c>
    </row>
    <row r="1752" spans="1:19" x14ac:dyDescent="0.2">
      <c r="A1752" s="524">
        <v>70163</v>
      </c>
      <c r="B1752" s="526">
        <v>46224</v>
      </c>
      <c r="C1752" s="524" t="s">
        <v>1162</v>
      </c>
      <c r="D1752" s="524" t="s">
        <v>1186</v>
      </c>
      <c r="E1752" s="524" t="s">
        <v>2289</v>
      </c>
      <c r="F1752" s="524" t="s">
        <v>1183</v>
      </c>
      <c r="G1752" s="524" t="s">
        <v>776</v>
      </c>
      <c r="H1752" s="527">
        <v>1833.33</v>
      </c>
      <c r="I1752" s="524" t="s">
        <v>1174</v>
      </c>
      <c r="J1752" s="524">
        <f>IF(cmf[[#This Row],[D/C]]="C",cmf[[#This Row],[Valor]],-1*cmf[[#This Row],[Valor]])</f>
        <v>-1833.33</v>
      </c>
      <c r="L1752" s="524" t="s">
        <v>1188</v>
      </c>
      <c r="M1752" s="524" t="s">
        <v>1189</v>
      </c>
      <c r="N1752" s="524" t="s">
        <v>1212</v>
      </c>
      <c r="O1752" s="524" t="s">
        <v>1213</v>
      </c>
      <c r="P1752" s="526"/>
      <c r="S1752" s="527">
        <v>0</v>
      </c>
    </row>
    <row r="1753" spans="1:19" x14ac:dyDescent="0.2">
      <c r="A1753" s="524">
        <v>70164</v>
      </c>
      <c r="B1753" s="526">
        <v>46224</v>
      </c>
      <c r="C1753" s="524" t="s">
        <v>1162</v>
      </c>
      <c r="D1753" s="524" t="s">
        <v>1186</v>
      </c>
      <c r="E1753" s="524" t="s">
        <v>2290</v>
      </c>
      <c r="F1753" s="524" t="s">
        <v>1183</v>
      </c>
      <c r="G1753" s="524" t="s">
        <v>776</v>
      </c>
      <c r="H1753" s="527">
        <v>5000</v>
      </c>
      <c r="I1753" s="524" t="s">
        <v>1174</v>
      </c>
      <c r="J1753" s="524">
        <f>IF(cmf[[#This Row],[D/C]]="C",cmf[[#This Row],[Valor]],-1*cmf[[#This Row],[Valor]])</f>
        <v>-5000</v>
      </c>
      <c r="L1753" s="524" t="s">
        <v>1188</v>
      </c>
      <c r="M1753" s="524" t="s">
        <v>1189</v>
      </c>
      <c r="N1753" s="524" t="s">
        <v>1212</v>
      </c>
      <c r="O1753" s="524" t="s">
        <v>1213</v>
      </c>
      <c r="P1753" s="526"/>
      <c r="S1753" s="527">
        <v>0</v>
      </c>
    </row>
    <row r="1754" spans="1:19" x14ac:dyDescent="0.2">
      <c r="A1754" s="524">
        <v>70195</v>
      </c>
      <c r="B1754" s="526">
        <v>46224</v>
      </c>
      <c r="C1754" s="524" t="s">
        <v>1148</v>
      </c>
      <c r="D1754" s="524" t="s">
        <v>1243</v>
      </c>
      <c r="E1754" s="524" t="s">
        <v>1244</v>
      </c>
      <c r="F1754" s="524" t="s">
        <v>1183</v>
      </c>
      <c r="G1754" s="524" t="s">
        <v>769</v>
      </c>
      <c r="H1754" s="527">
        <v>32854.5</v>
      </c>
      <c r="I1754" s="524" t="s">
        <v>1148</v>
      </c>
      <c r="J1754" s="524">
        <f>IF(cmf[[#This Row],[D/C]]="C",cmf[[#This Row],[Valor]],-1*cmf[[#This Row],[Valor]])</f>
        <v>32854.5</v>
      </c>
      <c r="L1754" s="524" t="s">
        <v>1245</v>
      </c>
      <c r="M1754" s="524" t="s">
        <v>1246</v>
      </c>
      <c r="N1754" s="524" t="s">
        <v>1219</v>
      </c>
      <c r="O1754" s="524" t="s">
        <v>1220</v>
      </c>
      <c r="P1754" s="526">
        <v>46224</v>
      </c>
      <c r="S1754" s="527">
        <v>0</v>
      </c>
    </row>
    <row r="1755" spans="1:19" x14ac:dyDescent="0.2">
      <c r="A1755" s="524">
        <v>70196</v>
      </c>
      <c r="B1755" s="526">
        <v>46224</v>
      </c>
      <c r="C1755" s="524" t="s">
        <v>1148</v>
      </c>
      <c r="D1755" s="524" t="s">
        <v>1243</v>
      </c>
      <c r="E1755" s="524" t="s">
        <v>1244</v>
      </c>
      <c r="F1755" s="524" t="s">
        <v>1183</v>
      </c>
      <c r="G1755" s="524" t="s">
        <v>769</v>
      </c>
      <c r="H1755" s="527">
        <v>0.38</v>
      </c>
      <c r="I1755" s="524" t="s">
        <v>1148</v>
      </c>
      <c r="J1755" s="524">
        <f>IF(cmf[[#This Row],[D/C]]="C",cmf[[#This Row],[Valor]],-1*cmf[[#This Row],[Valor]])</f>
        <v>0.38</v>
      </c>
      <c r="L1755" s="524" t="s">
        <v>1245</v>
      </c>
      <c r="M1755" s="524" t="s">
        <v>1246</v>
      </c>
      <c r="N1755" s="524" t="s">
        <v>1219</v>
      </c>
      <c r="O1755" s="524" t="s">
        <v>1220</v>
      </c>
      <c r="P1755" s="526">
        <v>46224</v>
      </c>
      <c r="S1755" s="527">
        <v>0</v>
      </c>
    </row>
    <row r="1756" spans="1:19" x14ac:dyDescent="0.2">
      <c r="A1756" s="524">
        <v>70198</v>
      </c>
      <c r="B1756" s="526">
        <v>46224</v>
      </c>
      <c r="C1756" s="524" t="s">
        <v>1148</v>
      </c>
      <c r="D1756" s="524" t="s">
        <v>1239</v>
      </c>
      <c r="E1756" s="524" t="s">
        <v>2291</v>
      </c>
      <c r="F1756" s="524" t="s">
        <v>1183</v>
      </c>
      <c r="G1756" s="524" t="s">
        <v>769</v>
      </c>
      <c r="H1756" s="527">
        <v>1500</v>
      </c>
      <c r="I1756" s="524" t="s">
        <v>1148</v>
      </c>
      <c r="J1756" s="524">
        <f>IF(cmf[[#This Row],[D/C]]="C",cmf[[#This Row],[Valor]],-1*cmf[[#This Row],[Valor]])</f>
        <v>1500</v>
      </c>
      <c r="L1756" s="524" t="s">
        <v>1264</v>
      </c>
      <c r="M1756" s="524" t="s">
        <v>1265</v>
      </c>
      <c r="N1756" s="524" t="s">
        <v>1219</v>
      </c>
      <c r="O1756" s="524" t="s">
        <v>1220</v>
      </c>
      <c r="P1756" s="526">
        <v>46224</v>
      </c>
      <c r="S1756" s="527">
        <v>0</v>
      </c>
    </row>
    <row r="1757" spans="1:19" x14ac:dyDescent="0.2">
      <c r="A1757" s="524">
        <v>70274</v>
      </c>
      <c r="B1757" s="526">
        <v>46224</v>
      </c>
      <c r="C1757" s="524" t="s">
        <v>1148</v>
      </c>
      <c r="D1757" s="524" t="s">
        <v>1243</v>
      </c>
      <c r="E1757" s="524" t="s">
        <v>1244</v>
      </c>
      <c r="F1757" s="524" t="s">
        <v>1183</v>
      </c>
      <c r="G1757" s="524" t="s">
        <v>745</v>
      </c>
      <c r="H1757" s="527">
        <v>3784.65</v>
      </c>
      <c r="I1757" s="524" t="s">
        <v>1148</v>
      </c>
      <c r="J1757" s="524">
        <f>IF(cmf[[#This Row],[D/C]]="C",cmf[[#This Row],[Valor]],-1*cmf[[#This Row],[Valor]])</f>
        <v>3784.65</v>
      </c>
      <c r="L1757" s="524" t="s">
        <v>1245</v>
      </c>
      <c r="M1757" s="524" t="s">
        <v>1246</v>
      </c>
      <c r="N1757" s="524" t="s">
        <v>1292</v>
      </c>
      <c r="O1757" s="524" t="s">
        <v>1293</v>
      </c>
      <c r="P1757" s="526">
        <v>46224</v>
      </c>
      <c r="S1757" s="527">
        <v>0</v>
      </c>
    </row>
    <row r="1758" spans="1:19" x14ac:dyDescent="0.2">
      <c r="A1758" s="524">
        <v>70281</v>
      </c>
      <c r="B1758" s="526">
        <v>46224</v>
      </c>
      <c r="C1758" s="524" t="s">
        <v>1148</v>
      </c>
      <c r="D1758" s="524" t="s">
        <v>1243</v>
      </c>
      <c r="E1758" s="524" t="s">
        <v>1244</v>
      </c>
      <c r="F1758" s="524" t="s">
        <v>1183</v>
      </c>
      <c r="G1758" s="524" t="s">
        <v>745</v>
      </c>
      <c r="H1758" s="527">
        <v>0.1</v>
      </c>
      <c r="I1758" s="524" t="s">
        <v>1148</v>
      </c>
      <c r="J1758" s="524">
        <f>IF(cmf[[#This Row],[D/C]]="C",cmf[[#This Row],[Valor]],-1*cmf[[#This Row],[Valor]])</f>
        <v>0.1</v>
      </c>
      <c r="L1758" s="524" t="s">
        <v>1245</v>
      </c>
      <c r="M1758" s="524" t="s">
        <v>1246</v>
      </c>
      <c r="N1758" s="524" t="s">
        <v>1292</v>
      </c>
      <c r="O1758" s="524" t="s">
        <v>1293</v>
      </c>
      <c r="P1758" s="526">
        <v>46224</v>
      </c>
      <c r="S1758" s="527">
        <v>0</v>
      </c>
    </row>
    <row r="1759" spans="1:19" x14ac:dyDescent="0.2">
      <c r="A1759" s="524">
        <v>70293</v>
      </c>
      <c r="B1759" s="526">
        <v>46224</v>
      </c>
      <c r="C1759" s="524" t="s">
        <v>1148</v>
      </c>
      <c r="D1759" s="524" t="s">
        <v>1239</v>
      </c>
      <c r="E1759" s="524" t="s">
        <v>1741</v>
      </c>
      <c r="F1759" s="524" t="s">
        <v>1170</v>
      </c>
      <c r="G1759" s="524" t="s">
        <v>768</v>
      </c>
      <c r="H1759" s="527">
        <v>56.29</v>
      </c>
      <c r="I1759" s="524" t="s">
        <v>1174</v>
      </c>
      <c r="J1759" s="524">
        <f>IF(cmf[[#This Row],[D/C]]="C",cmf[[#This Row],[Valor]],-1*cmf[[#This Row],[Valor]])</f>
        <v>-56.29</v>
      </c>
      <c r="L1759" s="524" t="s">
        <v>1241</v>
      </c>
      <c r="M1759" s="524" t="s">
        <v>1242</v>
      </c>
      <c r="N1759" s="524" t="s">
        <v>1219</v>
      </c>
      <c r="O1759" s="524" t="s">
        <v>1220</v>
      </c>
      <c r="P1759" s="526">
        <v>46224</v>
      </c>
      <c r="S1759" s="527">
        <v>0</v>
      </c>
    </row>
    <row r="1760" spans="1:19" x14ac:dyDescent="0.2">
      <c r="A1760" s="524">
        <v>70294</v>
      </c>
      <c r="B1760" s="526">
        <v>46224</v>
      </c>
      <c r="C1760" s="524" t="s">
        <v>1148</v>
      </c>
      <c r="D1760" s="524" t="s">
        <v>1239</v>
      </c>
      <c r="E1760" s="524" t="s">
        <v>1255</v>
      </c>
      <c r="F1760" s="524" t="s">
        <v>1170</v>
      </c>
      <c r="G1760" s="524" t="s">
        <v>768</v>
      </c>
      <c r="H1760" s="527">
        <v>0.6</v>
      </c>
      <c r="I1760" s="524" t="s">
        <v>1174</v>
      </c>
      <c r="J1760" s="524">
        <f>IF(cmf[[#This Row],[D/C]]="C",cmf[[#This Row],[Valor]],-1*cmf[[#This Row],[Valor]])</f>
        <v>-0.6</v>
      </c>
      <c r="L1760" s="524" t="s">
        <v>1241</v>
      </c>
      <c r="M1760" s="524" t="s">
        <v>1242</v>
      </c>
      <c r="N1760" s="524" t="s">
        <v>1219</v>
      </c>
      <c r="O1760" s="524" t="s">
        <v>1220</v>
      </c>
      <c r="P1760" s="526">
        <v>46224</v>
      </c>
      <c r="S1760" s="527">
        <v>0</v>
      </c>
    </row>
    <row r="1761" spans="1:19" x14ac:dyDescent="0.2">
      <c r="A1761" s="524">
        <v>70322</v>
      </c>
      <c r="B1761" s="526">
        <v>46224</v>
      </c>
      <c r="C1761" s="524" t="s">
        <v>1148</v>
      </c>
      <c r="D1761" s="524" t="s">
        <v>1239</v>
      </c>
      <c r="E1761" s="524" t="s">
        <v>1255</v>
      </c>
      <c r="F1761" s="524" t="s">
        <v>1170</v>
      </c>
      <c r="G1761" s="524" t="s">
        <v>757</v>
      </c>
      <c r="H1761" s="527">
        <v>1.2</v>
      </c>
      <c r="I1761" s="524" t="s">
        <v>1174</v>
      </c>
      <c r="J1761" s="524">
        <f>IF(cmf[[#This Row],[D/C]]="C",cmf[[#This Row],[Valor]],-1*cmf[[#This Row],[Valor]])</f>
        <v>-1.2</v>
      </c>
      <c r="L1761" s="524" t="s">
        <v>1241</v>
      </c>
      <c r="M1761" s="524" t="s">
        <v>1242</v>
      </c>
      <c r="N1761" s="524" t="s">
        <v>1223</v>
      </c>
      <c r="O1761" s="524" t="s">
        <v>1224</v>
      </c>
      <c r="P1761" s="526">
        <v>46224</v>
      </c>
      <c r="S1761" s="527">
        <v>0</v>
      </c>
    </row>
    <row r="1762" spans="1:19" x14ac:dyDescent="0.2">
      <c r="A1762" s="524">
        <v>70327</v>
      </c>
      <c r="B1762" s="526">
        <v>46224</v>
      </c>
      <c r="C1762" s="524" t="s">
        <v>1148</v>
      </c>
      <c r="D1762" s="524" t="s">
        <v>1186</v>
      </c>
      <c r="E1762" s="524" t="s">
        <v>2292</v>
      </c>
      <c r="F1762" s="524" t="s">
        <v>1170</v>
      </c>
      <c r="G1762" s="524" t="s">
        <v>757</v>
      </c>
      <c r="H1762" s="527">
        <v>5021.99</v>
      </c>
      <c r="I1762" s="524" t="s">
        <v>1174</v>
      </c>
      <c r="J1762" s="524">
        <f>IF(cmf[[#This Row],[D/C]]="C",cmf[[#This Row],[Valor]],-1*cmf[[#This Row],[Valor]])</f>
        <v>-5021.99</v>
      </c>
      <c r="L1762" s="524" t="s">
        <v>1188</v>
      </c>
      <c r="M1762" s="524" t="s">
        <v>1189</v>
      </c>
      <c r="N1762" s="524" t="s">
        <v>1223</v>
      </c>
      <c r="O1762" s="524" t="s">
        <v>1224</v>
      </c>
      <c r="P1762" s="526">
        <v>46224</v>
      </c>
      <c r="S1762" s="527">
        <v>0</v>
      </c>
    </row>
    <row r="1763" spans="1:19" x14ac:dyDescent="0.2">
      <c r="A1763" s="524">
        <v>70341</v>
      </c>
      <c r="B1763" s="526">
        <v>46224</v>
      </c>
      <c r="C1763" s="524" t="s">
        <v>1148</v>
      </c>
      <c r="D1763" s="524" t="s">
        <v>1243</v>
      </c>
      <c r="E1763" s="524" t="s">
        <v>1244</v>
      </c>
      <c r="F1763" s="524" t="s">
        <v>1183</v>
      </c>
      <c r="G1763" s="524" t="s">
        <v>803</v>
      </c>
      <c r="H1763" s="527">
        <v>0.08</v>
      </c>
      <c r="I1763" s="524" t="s">
        <v>1148</v>
      </c>
      <c r="J1763" s="524">
        <f>IF(cmf[[#This Row],[D/C]]="C",cmf[[#This Row],[Valor]],-1*cmf[[#This Row],[Valor]])</f>
        <v>0.08</v>
      </c>
      <c r="L1763" s="524" t="s">
        <v>1245</v>
      </c>
      <c r="M1763" s="524" t="s">
        <v>1246</v>
      </c>
      <c r="N1763" s="524" t="s">
        <v>1192</v>
      </c>
      <c r="O1763" s="524" t="s">
        <v>1193</v>
      </c>
      <c r="P1763" s="526">
        <v>46224</v>
      </c>
      <c r="S1763" s="527">
        <v>0</v>
      </c>
    </row>
    <row r="1764" spans="1:19" x14ac:dyDescent="0.2">
      <c r="A1764" s="524">
        <v>70343</v>
      </c>
      <c r="B1764" s="526">
        <v>46224</v>
      </c>
      <c r="C1764" s="524" t="s">
        <v>1148</v>
      </c>
      <c r="D1764" s="524" t="s">
        <v>1243</v>
      </c>
      <c r="E1764" s="524" t="s">
        <v>1244</v>
      </c>
      <c r="F1764" s="524" t="s">
        <v>1183</v>
      </c>
      <c r="G1764" s="524" t="s">
        <v>803</v>
      </c>
      <c r="H1764" s="527">
        <v>4538.97</v>
      </c>
      <c r="I1764" s="524" t="s">
        <v>1148</v>
      </c>
      <c r="J1764" s="524">
        <f>IF(cmf[[#This Row],[D/C]]="C",cmf[[#This Row],[Valor]],-1*cmf[[#This Row],[Valor]])</f>
        <v>4538.97</v>
      </c>
      <c r="L1764" s="524" t="s">
        <v>1245</v>
      </c>
      <c r="M1764" s="524" t="s">
        <v>1246</v>
      </c>
      <c r="N1764" s="524" t="s">
        <v>1192</v>
      </c>
      <c r="O1764" s="524" t="s">
        <v>1193</v>
      </c>
      <c r="P1764" s="526">
        <v>46224</v>
      </c>
      <c r="S1764" s="527">
        <v>0</v>
      </c>
    </row>
    <row r="1765" spans="1:19" x14ac:dyDescent="0.2">
      <c r="A1765" s="524">
        <v>70353</v>
      </c>
      <c r="B1765" s="526">
        <v>46224</v>
      </c>
      <c r="C1765" s="524" t="s">
        <v>1148</v>
      </c>
      <c r="D1765" s="524" t="s">
        <v>1243</v>
      </c>
      <c r="E1765" s="524" t="s">
        <v>1244</v>
      </c>
      <c r="F1765" s="524" t="s">
        <v>1183</v>
      </c>
      <c r="G1765" s="524" t="s">
        <v>800</v>
      </c>
      <c r="H1765" s="527">
        <v>3054.76</v>
      </c>
      <c r="I1765" s="524" t="s">
        <v>1148</v>
      </c>
      <c r="J1765" s="524">
        <f>IF(cmf[[#This Row],[D/C]]="C",cmf[[#This Row],[Valor]],-1*cmf[[#This Row],[Valor]])</f>
        <v>3054.76</v>
      </c>
      <c r="L1765" s="524" t="s">
        <v>1245</v>
      </c>
      <c r="M1765" s="524" t="s">
        <v>1246</v>
      </c>
      <c r="N1765" s="524" t="s">
        <v>1171</v>
      </c>
      <c r="O1765" s="524" t="s">
        <v>1172</v>
      </c>
      <c r="P1765" s="526">
        <v>46224</v>
      </c>
      <c r="S1765" s="527">
        <v>0</v>
      </c>
    </row>
    <row r="1766" spans="1:19" x14ac:dyDescent="0.2">
      <c r="A1766" s="524">
        <v>70354</v>
      </c>
      <c r="B1766" s="526">
        <v>46224</v>
      </c>
      <c r="C1766" s="524" t="s">
        <v>1148</v>
      </c>
      <c r="D1766" s="524" t="s">
        <v>1243</v>
      </c>
      <c r="E1766" s="524" t="s">
        <v>1244</v>
      </c>
      <c r="F1766" s="524" t="s">
        <v>1183</v>
      </c>
      <c r="G1766" s="524" t="s">
        <v>800</v>
      </c>
      <c r="H1766" s="527">
        <v>0.04</v>
      </c>
      <c r="I1766" s="524" t="s">
        <v>1148</v>
      </c>
      <c r="J1766" s="524">
        <f>IF(cmf[[#This Row],[D/C]]="C",cmf[[#This Row],[Valor]],-1*cmf[[#This Row],[Valor]])</f>
        <v>0.04</v>
      </c>
      <c r="L1766" s="524" t="s">
        <v>1245</v>
      </c>
      <c r="M1766" s="524" t="s">
        <v>1246</v>
      </c>
      <c r="N1766" s="524" t="s">
        <v>1171</v>
      </c>
      <c r="O1766" s="524" t="s">
        <v>1172</v>
      </c>
      <c r="P1766" s="526">
        <v>46224</v>
      </c>
      <c r="S1766" s="527">
        <v>0</v>
      </c>
    </row>
    <row r="1767" spans="1:19" x14ac:dyDescent="0.2">
      <c r="A1767" s="524">
        <v>70452</v>
      </c>
      <c r="B1767" s="526">
        <v>46224</v>
      </c>
      <c r="C1767" s="524" t="s">
        <v>1148</v>
      </c>
      <c r="D1767" s="524" t="s">
        <v>1226</v>
      </c>
      <c r="E1767" s="524" t="s">
        <v>2293</v>
      </c>
      <c r="F1767" s="524" t="s">
        <v>1170</v>
      </c>
      <c r="G1767" s="524" t="s">
        <v>1102</v>
      </c>
      <c r="H1767" s="527">
        <v>926.93</v>
      </c>
      <c r="I1767" s="524" t="s">
        <v>1148</v>
      </c>
      <c r="J1767" s="524">
        <f>IF(cmf[[#This Row],[D/C]]="C",cmf[[#This Row],[Valor]],-1*cmf[[#This Row],[Valor]])</f>
        <v>926.93</v>
      </c>
      <c r="L1767" s="524" t="s">
        <v>1230</v>
      </c>
      <c r="M1767" s="524" t="s">
        <v>1231</v>
      </c>
      <c r="N1767" s="524" t="s">
        <v>1192</v>
      </c>
      <c r="O1767" s="524" t="s">
        <v>1193</v>
      </c>
      <c r="P1767" s="526">
        <v>46224</v>
      </c>
      <c r="S1767" s="527">
        <v>0</v>
      </c>
    </row>
    <row r="1768" spans="1:19" x14ac:dyDescent="0.2">
      <c r="A1768" s="524">
        <v>70538</v>
      </c>
      <c r="B1768" s="526">
        <v>46224</v>
      </c>
      <c r="C1768" s="524" t="s">
        <v>1148</v>
      </c>
      <c r="D1768" s="524" t="s">
        <v>1239</v>
      </c>
      <c r="E1768" s="524" t="s">
        <v>1821</v>
      </c>
      <c r="F1768" s="524" t="s">
        <v>1178</v>
      </c>
      <c r="G1768" s="524" t="s">
        <v>1179</v>
      </c>
      <c r="H1768" s="527">
        <v>120</v>
      </c>
      <c r="I1768" s="524" t="s">
        <v>1174</v>
      </c>
      <c r="J1768" s="524">
        <f>IF(cmf[[#This Row],[D/C]]="C",cmf[[#This Row],[Valor]],-1*cmf[[#This Row],[Valor]])</f>
        <v>-120</v>
      </c>
      <c r="L1768" s="524" t="s">
        <v>1241</v>
      </c>
      <c r="M1768" s="524" t="s">
        <v>1242</v>
      </c>
      <c r="N1768" s="524" t="s">
        <v>1180</v>
      </c>
      <c r="O1768" s="524" t="s">
        <v>1181</v>
      </c>
      <c r="P1768" s="526">
        <v>46224</v>
      </c>
      <c r="S1768" s="527">
        <v>0</v>
      </c>
    </row>
    <row r="1769" spans="1:19" x14ac:dyDescent="0.2">
      <c r="A1769" s="524">
        <v>70591</v>
      </c>
      <c r="B1769" s="526">
        <v>46224</v>
      </c>
      <c r="C1769" s="524" t="s">
        <v>1148</v>
      </c>
      <c r="D1769" s="524" t="s">
        <v>1239</v>
      </c>
      <c r="E1769" s="524" t="s">
        <v>1251</v>
      </c>
      <c r="F1769" s="524" t="s">
        <v>1178</v>
      </c>
      <c r="G1769" s="524" t="s">
        <v>1179</v>
      </c>
      <c r="H1769" s="527">
        <v>35</v>
      </c>
      <c r="I1769" s="524" t="s">
        <v>1174</v>
      </c>
      <c r="J1769" s="524">
        <f>IF(cmf[[#This Row],[D/C]]="C",cmf[[#This Row],[Valor]],-1*cmf[[#This Row],[Valor]])</f>
        <v>-35</v>
      </c>
      <c r="L1769" s="524" t="s">
        <v>1241</v>
      </c>
      <c r="M1769" s="524" t="s">
        <v>1242</v>
      </c>
      <c r="N1769" s="524" t="s">
        <v>1180</v>
      </c>
      <c r="O1769" s="524" t="s">
        <v>1181</v>
      </c>
      <c r="P1769" s="526">
        <v>46224</v>
      </c>
      <c r="S1769" s="527">
        <v>0</v>
      </c>
    </row>
    <row r="1770" spans="1:19" x14ac:dyDescent="0.2">
      <c r="A1770" s="524">
        <v>70596</v>
      </c>
      <c r="B1770" s="526">
        <v>46224</v>
      </c>
      <c r="C1770" s="524" t="s">
        <v>1162</v>
      </c>
      <c r="D1770" s="524" t="s">
        <v>1205</v>
      </c>
      <c r="E1770" s="524" t="s">
        <v>1206</v>
      </c>
      <c r="F1770" s="524" t="s">
        <v>1170</v>
      </c>
      <c r="G1770" s="524" t="s">
        <v>781</v>
      </c>
      <c r="H1770" s="527">
        <v>6000</v>
      </c>
      <c r="I1770" s="524" t="s">
        <v>1174</v>
      </c>
      <c r="J1770" s="524">
        <f>IF(cmf[[#This Row],[D/C]]="C",cmf[[#This Row],[Valor]],-1*cmf[[#This Row],[Valor]])</f>
        <v>-6000</v>
      </c>
      <c r="L1770" s="524" t="s">
        <v>1207</v>
      </c>
      <c r="M1770" s="524" t="s">
        <v>1208</v>
      </c>
      <c r="N1770" s="524" t="s">
        <v>1209</v>
      </c>
      <c r="O1770" s="524" t="s">
        <v>1210</v>
      </c>
      <c r="P1770" s="526"/>
      <c r="S1770" s="527">
        <v>0</v>
      </c>
    </row>
    <row r="1771" spans="1:19" x14ac:dyDescent="0.2">
      <c r="A1771" s="524">
        <v>70597</v>
      </c>
      <c r="B1771" s="526">
        <v>46224</v>
      </c>
      <c r="C1771" s="524" t="s">
        <v>1162</v>
      </c>
      <c r="D1771" s="524" t="s">
        <v>1205</v>
      </c>
      <c r="E1771" s="524" t="s">
        <v>1211</v>
      </c>
      <c r="F1771" s="524" t="s">
        <v>1183</v>
      </c>
      <c r="G1771" s="524" t="s">
        <v>776</v>
      </c>
      <c r="H1771" s="527">
        <v>6000</v>
      </c>
      <c r="I1771" s="524" t="s">
        <v>1148</v>
      </c>
      <c r="J1771" s="524">
        <f>IF(cmf[[#This Row],[D/C]]="C",cmf[[#This Row],[Valor]],-1*cmf[[#This Row],[Valor]])</f>
        <v>6000</v>
      </c>
      <c r="L1771" s="524" t="s">
        <v>1207</v>
      </c>
      <c r="M1771" s="524" t="s">
        <v>1208</v>
      </c>
      <c r="N1771" s="524" t="s">
        <v>1212</v>
      </c>
      <c r="O1771" s="524" t="s">
        <v>1213</v>
      </c>
      <c r="P1771" s="526"/>
      <c r="S1771" s="527">
        <v>0</v>
      </c>
    </row>
    <row r="1772" spans="1:19" x14ac:dyDescent="0.2">
      <c r="A1772" s="524">
        <v>70598</v>
      </c>
      <c r="B1772" s="526">
        <v>46224</v>
      </c>
      <c r="C1772" s="524" t="s">
        <v>1148</v>
      </c>
      <c r="D1772" s="524" t="s">
        <v>1205</v>
      </c>
      <c r="E1772" s="524" t="s">
        <v>1335</v>
      </c>
      <c r="F1772" s="524" t="s">
        <v>1170</v>
      </c>
      <c r="G1772" s="524" t="s">
        <v>799</v>
      </c>
      <c r="H1772" s="527">
        <v>38000</v>
      </c>
      <c r="I1772" s="524" t="s">
        <v>1174</v>
      </c>
      <c r="J1772" s="524">
        <f>IF(cmf[[#This Row],[D/C]]="C",cmf[[#This Row],[Valor]],-1*cmf[[#This Row],[Valor]])</f>
        <v>-38000</v>
      </c>
      <c r="L1772" s="524" t="s">
        <v>1207</v>
      </c>
      <c r="M1772" s="524" t="s">
        <v>1208</v>
      </c>
      <c r="N1772" s="524" t="s">
        <v>1171</v>
      </c>
      <c r="O1772" s="524" t="s">
        <v>1172</v>
      </c>
      <c r="P1772" s="526">
        <v>46224</v>
      </c>
      <c r="S1772" s="527">
        <v>0</v>
      </c>
    </row>
    <row r="1773" spans="1:19" x14ac:dyDescent="0.2">
      <c r="A1773" s="524">
        <v>70599</v>
      </c>
      <c r="B1773" s="526">
        <v>46224</v>
      </c>
      <c r="C1773" s="524" t="s">
        <v>1148</v>
      </c>
      <c r="D1773" s="524" t="s">
        <v>1205</v>
      </c>
      <c r="E1773" s="524" t="s">
        <v>1330</v>
      </c>
      <c r="F1773" s="524" t="s">
        <v>1183</v>
      </c>
      <c r="G1773" s="524" t="s">
        <v>800</v>
      </c>
      <c r="H1773" s="527">
        <v>38000</v>
      </c>
      <c r="I1773" s="524" t="s">
        <v>1148</v>
      </c>
      <c r="J1773" s="524">
        <f>IF(cmf[[#This Row],[D/C]]="C",cmf[[#This Row],[Valor]],-1*cmf[[#This Row],[Valor]])</f>
        <v>38000</v>
      </c>
      <c r="L1773" s="524" t="s">
        <v>1207</v>
      </c>
      <c r="M1773" s="524" t="s">
        <v>1208</v>
      </c>
      <c r="N1773" s="524" t="s">
        <v>1171</v>
      </c>
      <c r="O1773" s="524" t="s">
        <v>1172</v>
      </c>
      <c r="P1773" s="526">
        <v>46224</v>
      </c>
      <c r="S1773" s="527">
        <v>0</v>
      </c>
    </row>
    <row r="1774" spans="1:19" x14ac:dyDescent="0.2">
      <c r="A1774" s="524">
        <v>70635</v>
      </c>
      <c r="B1774" s="526">
        <v>46224</v>
      </c>
      <c r="C1774" s="524" t="s">
        <v>1148</v>
      </c>
      <c r="D1774" s="524" t="s">
        <v>1243</v>
      </c>
      <c r="E1774" s="524" t="s">
        <v>1748</v>
      </c>
      <c r="F1774" s="524" t="s">
        <v>1178</v>
      </c>
      <c r="G1774" s="524" t="s">
        <v>1179</v>
      </c>
      <c r="H1774" s="527">
        <v>577813.57999999996</v>
      </c>
      <c r="I1774" s="524" t="s">
        <v>1174</v>
      </c>
      <c r="J1774" s="524">
        <f>IF(cmf[[#This Row],[D/C]]="C",cmf[[#This Row],[Valor]],-1*cmf[[#This Row],[Valor]])</f>
        <v>-577813.57999999996</v>
      </c>
      <c r="L1774" s="524" t="s">
        <v>1245</v>
      </c>
      <c r="M1774" s="524" t="s">
        <v>1246</v>
      </c>
      <c r="N1774" s="524" t="s">
        <v>1180</v>
      </c>
      <c r="O1774" s="524" t="s">
        <v>1181</v>
      </c>
      <c r="P1774" s="526">
        <v>46224</v>
      </c>
      <c r="S1774" s="527">
        <v>0</v>
      </c>
    </row>
    <row r="1775" spans="1:19" x14ac:dyDescent="0.2">
      <c r="A1775" s="524">
        <v>70693</v>
      </c>
      <c r="B1775" s="526">
        <v>46224</v>
      </c>
      <c r="C1775" s="524" t="s">
        <v>1148</v>
      </c>
      <c r="D1775" s="524" t="s">
        <v>1235</v>
      </c>
      <c r="E1775" s="524" t="s">
        <v>2294</v>
      </c>
      <c r="F1775" s="524" t="s">
        <v>1178</v>
      </c>
      <c r="G1775" s="524" t="s">
        <v>1179</v>
      </c>
      <c r="H1775" s="527">
        <v>566526.31000000006</v>
      </c>
      <c r="I1775" s="524" t="s">
        <v>1148</v>
      </c>
      <c r="J1775" s="524">
        <f>IF(cmf[[#This Row],[D/C]]="C",cmf[[#This Row],[Valor]],-1*cmf[[#This Row],[Valor]])</f>
        <v>566526.31000000006</v>
      </c>
      <c r="L1775" s="524" t="s">
        <v>1237</v>
      </c>
      <c r="M1775" s="524" t="s">
        <v>1238</v>
      </c>
      <c r="N1775" s="524" t="s">
        <v>1180</v>
      </c>
      <c r="O1775" s="524" t="s">
        <v>1181</v>
      </c>
      <c r="P1775" s="526">
        <v>46224</v>
      </c>
      <c r="S1775" s="527">
        <v>0</v>
      </c>
    </row>
    <row r="1776" spans="1:19" x14ac:dyDescent="0.2">
      <c r="A1776" s="524">
        <v>70734</v>
      </c>
      <c r="B1776" s="526">
        <v>46224</v>
      </c>
      <c r="C1776" s="524" t="s">
        <v>1148</v>
      </c>
      <c r="D1776" s="524" t="s">
        <v>1235</v>
      </c>
      <c r="E1776" s="524" t="s">
        <v>1983</v>
      </c>
      <c r="F1776" s="524" t="s">
        <v>1170</v>
      </c>
      <c r="G1776" s="524" t="s">
        <v>802</v>
      </c>
      <c r="H1776" s="527">
        <v>300</v>
      </c>
      <c r="I1776" s="524" t="s">
        <v>1174</v>
      </c>
      <c r="J1776" s="524">
        <f>IF(cmf[[#This Row],[D/C]]="C",cmf[[#This Row],[Valor]],-1*cmf[[#This Row],[Valor]])</f>
        <v>-300</v>
      </c>
      <c r="L1776" s="524" t="s">
        <v>1237</v>
      </c>
      <c r="M1776" s="524" t="s">
        <v>1238</v>
      </c>
      <c r="N1776" s="524" t="s">
        <v>1192</v>
      </c>
      <c r="O1776" s="524" t="s">
        <v>1193</v>
      </c>
      <c r="P1776" s="526">
        <v>46224</v>
      </c>
      <c r="S1776" s="527">
        <v>0</v>
      </c>
    </row>
    <row r="1777" spans="1:19" x14ac:dyDescent="0.2">
      <c r="A1777" s="524">
        <v>70735</v>
      </c>
      <c r="B1777" s="526">
        <v>46224</v>
      </c>
      <c r="C1777" s="524" t="s">
        <v>1148</v>
      </c>
      <c r="D1777" s="524" t="s">
        <v>1239</v>
      </c>
      <c r="E1777" s="524" t="s">
        <v>1253</v>
      </c>
      <c r="F1777" s="524" t="s">
        <v>1170</v>
      </c>
      <c r="G1777" s="524" t="s">
        <v>802</v>
      </c>
      <c r="H1777" s="527">
        <v>0.6</v>
      </c>
      <c r="I1777" s="524" t="s">
        <v>1174</v>
      </c>
      <c r="J1777" s="524">
        <f>IF(cmf[[#This Row],[D/C]]="C",cmf[[#This Row],[Valor]],-1*cmf[[#This Row],[Valor]])</f>
        <v>-0.6</v>
      </c>
      <c r="L1777" s="524" t="s">
        <v>1241</v>
      </c>
      <c r="M1777" s="524" t="s">
        <v>1242</v>
      </c>
      <c r="N1777" s="524" t="s">
        <v>1192</v>
      </c>
      <c r="O1777" s="524" t="s">
        <v>1193</v>
      </c>
      <c r="P1777" s="526">
        <v>46224</v>
      </c>
      <c r="S1777" s="527">
        <v>0</v>
      </c>
    </row>
    <row r="1778" spans="1:19" x14ac:dyDescent="0.2">
      <c r="A1778" s="524">
        <v>70794</v>
      </c>
      <c r="B1778" s="526">
        <v>46224</v>
      </c>
      <c r="C1778" s="524" t="s">
        <v>1148</v>
      </c>
      <c r="D1778" s="524" t="s">
        <v>1239</v>
      </c>
      <c r="E1778" s="524" t="s">
        <v>1258</v>
      </c>
      <c r="F1778" s="524" t="s">
        <v>1170</v>
      </c>
      <c r="G1778" s="524" t="s">
        <v>1102</v>
      </c>
      <c r="H1778" s="527">
        <v>107.1</v>
      </c>
      <c r="I1778" s="524" t="s">
        <v>1174</v>
      </c>
      <c r="J1778" s="524">
        <f>IF(cmf[[#This Row],[D/C]]="C",cmf[[#This Row],[Valor]],-1*cmf[[#This Row],[Valor]])</f>
        <v>-107.1</v>
      </c>
      <c r="L1778" s="524" t="s">
        <v>1241</v>
      </c>
      <c r="M1778" s="524" t="s">
        <v>1242</v>
      </c>
      <c r="N1778" s="524" t="s">
        <v>1192</v>
      </c>
      <c r="O1778" s="524" t="s">
        <v>1193</v>
      </c>
      <c r="P1778" s="526">
        <v>46224</v>
      </c>
      <c r="S1778" s="527">
        <v>0</v>
      </c>
    </row>
    <row r="1779" spans="1:19" x14ac:dyDescent="0.2">
      <c r="A1779" s="524">
        <v>70795</v>
      </c>
      <c r="B1779" s="526">
        <v>46224</v>
      </c>
      <c r="C1779" s="524" t="s">
        <v>1148</v>
      </c>
      <c r="D1779" s="524" t="s">
        <v>1239</v>
      </c>
      <c r="E1779" s="524" t="s">
        <v>1258</v>
      </c>
      <c r="F1779" s="524" t="s">
        <v>1170</v>
      </c>
      <c r="G1779" s="524" t="s">
        <v>1102</v>
      </c>
      <c r="H1779" s="527">
        <v>1.2</v>
      </c>
      <c r="I1779" s="524" t="s">
        <v>1174</v>
      </c>
      <c r="J1779" s="524">
        <f>IF(cmf[[#This Row],[D/C]]="C",cmf[[#This Row],[Valor]],-1*cmf[[#This Row],[Valor]])</f>
        <v>-1.2</v>
      </c>
      <c r="L1779" s="524" t="s">
        <v>1241</v>
      </c>
      <c r="M1779" s="524" t="s">
        <v>1242</v>
      </c>
      <c r="N1779" s="524" t="s">
        <v>1192</v>
      </c>
      <c r="O1779" s="524" t="s">
        <v>1193</v>
      </c>
      <c r="P1779" s="526">
        <v>46224</v>
      </c>
      <c r="S1779" s="527">
        <v>0</v>
      </c>
    </row>
    <row r="1780" spans="1:19" x14ac:dyDescent="0.2">
      <c r="A1780" s="524">
        <v>70974</v>
      </c>
      <c r="B1780" s="526">
        <v>46224</v>
      </c>
      <c r="C1780" s="524" t="s">
        <v>1148</v>
      </c>
      <c r="D1780" s="524" t="s">
        <v>1239</v>
      </c>
      <c r="E1780" s="524" t="s">
        <v>1253</v>
      </c>
      <c r="F1780" s="524" t="s">
        <v>1170</v>
      </c>
      <c r="G1780" s="524" t="s">
        <v>798</v>
      </c>
      <c r="H1780" s="527">
        <v>0.6</v>
      </c>
      <c r="I1780" s="524" t="s">
        <v>1174</v>
      </c>
      <c r="J1780" s="524">
        <f>IF(cmf[[#This Row],[D/C]]="C",cmf[[#This Row],[Valor]],-1*cmf[[#This Row],[Valor]])</f>
        <v>-0.6</v>
      </c>
      <c r="L1780" s="524" t="s">
        <v>1241</v>
      </c>
      <c r="M1780" s="524" t="s">
        <v>1242</v>
      </c>
      <c r="N1780" s="524" t="s">
        <v>1171</v>
      </c>
      <c r="O1780" s="524" t="s">
        <v>1172</v>
      </c>
      <c r="P1780" s="526">
        <v>46224</v>
      </c>
      <c r="S1780" s="527">
        <v>0</v>
      </c>
    </row>
    <row r="1781" spans="1:19" x14ac:dyDescent="0.2">
      <c r="A1781" s="524">
        <v>70983</v>
      </c>
      <c r="B1781" s="526">
        <v>46224</v>
      </c>
      <c r="C1781" s="524" t="s">
        <v>1162</v>
      </c>
      <c r="D1781" s="524" t="s">
        <v>1186</v>
      </c>
      <c r="E1781" s="524" t="s">
        <v>2295</v>
      </c>
      <c r="F1781" s="524" t="s">
        <v>1183</v>
      </c>
      <c r="G1781" s="524" t="s">
        <v>776</v>
      </c>
      <c r="H1781" s="527">
        <v>3500</v>
      </c>
      <c r="I1781" s="524" t="s">
        <v>1174</v>
      </c>
      <c r="J1781" s="524">
        <f>IF(cmf[[#This Row],[D/C]]="C",cmf[[#This Row],[Valor]],-1*cmf[[#This Row],[Valor]])</f>
        <v>-3500</v>
      </c>
      <c r="L1781" s="524" t="s">
        <v>1188</v>
      </c>
      <c r="M1781" s="524" t="s">
        <v>1189</v>
      </c>
      <c r="N1781" s="524" t="s">
        <v>1212</v>
      </c>
      <c r="O1781" s="524" t="s">
        <v>1213</v>
      </c>
      <c r="P1781" s="526"/>
      <c r="S1781" s="527">
        <v>0</v>
      </c>
    </row>
    <row r="1782" spans="1:19" x14ac:dyDescent="0.2">
      <c r="A1782" s="524">
        <v>70984</v>
      </c>
      <c r="B1782" s="526">
        <v>46224</v>
      </c>
      <c r="C1782" s="524" t="s">
        <v>1162</v>
      </c>
      <c r="D1782" s="524" t="s">
        <v>1186</v>
      </c>
      <c r="E1782" s="524" t="s">
        <v>2296</v>
      </c>
      <c r="F1782" s="524" t="s">
        <v>1183</v>
      </c>
      <c r="G1782" s="524" t="s">
        <v>776</v>
      </c>
      <c r="H1782" s="527">
        <v>2500</v>
      </c>
      <c r="I1782" s="524" t="s">
        <v>1174</v>
      </c>
      <c r="J1782" s="524">
        <f>IF(cmf[[#This Row],[D/C]]="C",cmf[[#This Row],[Valor]],-1*cmf[[#This Row],[Valor]])</f>
        <v>-2500</v>
      </c>
      <c r="L1782" s="524" t="s">
        <v>1188</v>
      </c>
      <c r="M1782" s="524" t="s">
        <v>1189</v>
      </c>
      <c r="N1782" s="524" t="s">
        <v>1212</v>
      </c>
      <c r="O1782" s="524" t="s">
        <v>1213</v>
      </c>
      <c r="P1782" s="526"/>
      <c r="S1782" s="527">
        <v>0</v>
      </c>
    </row>
    <row r="1783" spans="1:19" x14ac:dyDescent="0.2">
      <c r="A1783" s="524">
        <v>71025</v>
      </c>
      <c r="B1783" s="526">
        <v>46224</v>
      </c>
      <c r="C1783" s="524" t="s">
        <v>1148</v>
      </c>
      <c r="D1783" s="524" t="s">
        <v>1239</v>
      </c>
      <c r="E1783" s="524" t="s">
        <v>1567</v>
      </c>
      <c r="F1783" s="524" t="s">
        <v>1170</v>
      </c>
      <c r="G1783" s="524" t="s">
        <v>799</v>
      </c>
      <c r="H1783" s="527">
        <v>13</v>
      </c>
      <c r="I1783" s="524" t="s">
        <v>1174</v>
      </c>
      <c r="J1783" s="524">
        <f>IF(cmf[[#This Row],[D/C]]="C",cmf[[#This Row],[Valor]],-1*cmf[[#This Row],[Valor]])</f>
        <v>-13</v>
      </c>
      <c r="L1783" s="524" t="s">
        <v>1241</v>
      </c>
      <c r="M1783" s="524" t="s">
        <v>1242</v>
      </c>
      <c r="N1783" s="524" t="s">
        <v>1171</v>
      </c>
      <c r="O1783" s="524" t="s">
        <v>1172</v>
      </c>
      <c r="P1783" s="526">
        <v>46224</v>
      </c>
      <c r="S1783" s="527">
        <v>0</v>
      </c>
    </row>
    <row r="1784" spans="1:19" x14ac:dyDescent="0.2">
      <c r="A1784" s="524">
        <v>71026</v>
      </c>
      <c r="B1784" s="526">
        <v>46224</v>
      </c>
      <c r="C1784" s="524" t="s">
        <v>1148</v>
      </c>
      <c r="D1784" s="524" t="s">
        <v>1239</v>
      </c>
      <c r="E1784" s="524" t="s">
        <v>1253</v>
      </c>
      <c r="F1784" s="524" t="s">
        <v>1170</v>
      </c>
      <c r="G1784" s="524" t="s">
        <v>799</v>
      </c>
      <c r="H1784" s="527">
        <v>0.4</v>
      </c>
      <c r="I1784" s="524" t="s">
        <v>1174</v>
      </c>
      <c r="J1784" s="524">
        <f>IF(cmf[[#This Row],[D/C]]="C",cmf[[#This Row],[Valor]],-1*cmf[[#This Row],[Valor]])</f>
        <v>-0.4</v>
      </c>
      <c r="L1784" s="524" t="s">
        <v>1241</v>
      </c>
      <c r="M1784" s="524" t="s">
        <v>1242</v>
      </c>
      <c r="N1784" s="524" t="s">
        <v>1171</v>
      </c>
      <c r="O1784" s="524" t="s">
        <v>1172</v>
      </c>
      <c r="P1784" s="526">
        <v>46224</v>
      </c>
      <c r="S1784" s="527">
        <v>0</v>
      </c>
    </row>
    <row r="1785" spans="1:19" x14ac:dyDescent="0.2">
      <c r="A1785" s="524">
        <v>71090</v>
      </c>
      <c r="B1785" s="526">
        <v>46224</v>
      </c>
      <c r="C1785" s="524" t="s">
        <v>1148</v>
      </c>
      <c r="D1785" s="524" t="s">
        <v>1239</v>
      </c>
      <c r="E1785" s="524" t="s">
        <v>1741</v>
      </c>
      <c r="F1785" s="524" t="s">
        <v>1170</v>
      </c>
      <c r="G1785" s="524" t="s">
        <v>762</v>
      </c>
      <c r="H1785" s="527">
        <v>20.64</v>
      </c>
      <c r="I1785" s="524" t="s">
        <v>1174</v>
      </c>
      <c r="J1785" s="524">
        <f>IF(cmf[[#This Row],[D/C]]="C",cmf[[#This Row],[Valor]],-1*cmf[[#This Row],[Valor]])</f>
        <v>-20.64</v>
      </c>
      <c r="L1785" s="524" t="s">
        <v>1241</v>
      </c>
      <c r="M1785" s="524" t="s">
        <v>1242</v>
      </c>
      <c r="N1785" s="524" t="s">
        <v>1180</v>
      </c>
      <c r="O1785" s="524" t="s">
        <v>1181</v>
      </c>
      <c r="P1785" s="526">
        <v>46224</v>
      </c>
      <c r="S1785" s="527">
        <v>0</v>
      </c>
    </row>
    <row r="1786" spans="1:19" x14ac:dyDescent="0.2">
      <c r="A1786" s="524">
        <v>71095</v>
      </c>
      <c r="B1786" s="526">
        <v>46224</v>
      </c>
      <c r="C1786" s="524" t="s">
        <v>1148</v>
      </c>
      <c r="D1786" s="524" t="s">
        <v>1186</v>
      </c>
      <c r="E1786" s="524" t="s">
        <v>2297</v>
      </c>
      <c r="F1786" s="524" t="s">
        <v>1170</v>
      </c>
      <c r="G1786" s="524" t="s">
        <v>744</v>
      </c>
      <c r="H1786" s="527">
        <v>3284.75</v>
      </c>
      <c r="I1786" s="524" t="s">
        <v>1174</v>
      </c>
      <c r="J1786" s="524">
        <f>IF(cmf[[#This Row],[D/C]]="C",cmf[[#This Row],[Valor]],-1*cmf[[#This Row],[Valor]])</f>
        <v>-3284.75</v>
      </c>
      <c r="L1786" s="524" t="s">
        <v>1188</v>
      </c>
      <c r="M1786" s="524" t="s">
        <v>1189</v>
      </c>
      <c r="N1786" s="524" t="s">
        <v>1292</v>
      </c>
      <c r="O1786" s="524" t="s">
        <v>1293</v>
      </c>
      <c r="P1786" s="526">
        <v>46224</v>
      </c>
      <c r="S1786" s="527">
        <v>0</v>
      </c>
    </row>
    <row r="1787" spans="1:19" x14ac:dyDescent="0.2">
      <c r="A1787" s="524">
        <v>71096</v>
      </c>
      <c r="B1787" s="526">
        <v>46224</v>
      </c>
      <c r="C1787" s="524" t="s">
        <v>1148</v>
      </c>
      <c r="D1787" s="524" t="s">
        <v>1239</v>
      </c>
      <c r="E1787" s="524" t="s">
        <v>1741</v>
      </c>
      <c r="F1787" s="524" t="s">
        <v>1170</v>
      </c>
      <c r="G1787" s="524" t="s">
        <v>744</v>
      </c>
      <c r="H1787" s="527">
        <v>8.5</v>
      </c>
      <c r="I1787" s="524" t="s">
        <v>1174</v>
      </c>
      <c r="J1787" s="524">
        <f>IF(cmf[[#This Row],[D/C]]="C",cmf[[#This Row],[Valor]],-1*cmf[[#This Row],[Valor]])</f>
        <v>-8.5</v>
      </c>
      <c r="L1787" s="524" t="s">
        <v>1241</v>
      </c>
      <c r="M1787" s="524" t="s">
        <v>1242</v>
      </c>
      <c r="N1787" s="524" t="s">
        <v>1292</v>
      </c>
      <c r="O1787" s="524" t="s">
        <v>1293</v>
      </c>
      <c r="P1787" s="526">
        <v>46224</v>
      </c>
      <c r="S1787" s="527">
        <v>0</v>
      </c>
    </row>
    <row r="1788" spans="1:19" x14ac:dyDescent="0.2">
      <c r="A1788" s="524">
        <v>71097</v>
      </c>
      <c r="B1788" s="526">
        <v>46224</v>
      </c>
      <c r="C1788" s="524" t="s">
        <v>1148</v>
      </c>
      <c r="D1788" s="524" t="s">
        <v>1239</v>
      </c>
      <c r="E1788" s="524" t="s">
        <v>1568</v>
      </c>
      <c r="F1788" s="524" t="s">
        <v>1170</v>
      </c>
      <c r="G1788" s="524" t="s">
        <v>744</v>
      </c>
      <c r="H1788" s="527">
        <v>15.28</v>
      </c>
      <c r="I1788" s="524" t="s">
        <v>1174</v>
      </c>
      <c r="J1788" s="524">
        <f>IF(cmf[[#This Row],[D/C]]="C",cmf[[#This Row],[Valor]],-1*cmf[[#This Row],[Valor]])</f>
        <v>-15.28</v>
      </c>
      <c r="L1788" s="524" t="s">
        <v>1241</v>
      </c>
      <c r="M1788" s="524" t="s">
        <v>1242</v>
      </c>
      <c r="N1788" s="524" t="s">
        <v>1292</v>
      </c>
      <c r="O1788" s="524" t="s">
        <v>1293</v>
      </c>
      <c r="P1788" s="526">
        <v>46224</v>
      </c>
      <c r="S1788" s="527">
        <v>0</v>
      </c>
    </row>
    <row r="1789" spans="1:19" x14ac:dyDescent="0.2">
      <c r="A1789" s="524">
        <v>71251</v>
      </c>
      <c r="B1789" s="526">
        <v>46224</v>
      </c>
      <c r="C1789" s="524" t="s">
        <v>1148</v>
      </c>
      <c r="D1789" s="524" t="s">
        <v>1239</v>
      </c>
      <c r="E1789" s="524" t="s">
        <v>1255</v>
      </c>
      <c r="F1789" s="524" t="s">
        <v>1170</v>
      </c>
      <c r="G1789" s="524" t="s">
        <v>749</v>
      </c>
      <c r="H1789" s="527">
        <v>0.8</v>
      </c>
      <c r="I1789" s="524" t="s">
        <v>1174</v>
      </c>
      <c r="J1789" s="524">
        <f>IF(cmf[[#This Row],[D/C]]="C",cmf[[#This Row],[Valor]],-1*cmf[[#This Row],[Valor]])</f>
        <v>-0.8</v>
      </c>
      <c r="L1789" s="524" t="s">
        <v>1241</v>
      </c>
      <c r="M1789" s="524" t="s">
        <v>1242</v>
      </c>
      <c r="N1789" s="524" t="s">
        <v>1256</v>
      </c>
      <c r="O1789" s="524" t="s">
        <v>1257</v>
      </c>
      <c r="P1789" s="526">
        <v>46224</v>
      </c>
      <c r="S1789" s="527">
        <v>0</v>
      </c>
    </row>
    <row r="1790" spans="1:19" x14ac:dyDescent="0.2">
      <c r="A1790" s="524">
        <v>71721</v>
      </c>
      <c r="B1790" s="526">
        <v>46224</v>
      </c>
      <c r="C1790" s="524" t="s">
        <v>1148</v>
      </c>
      <c r="D1790" s="524" t="s">
        <v>1243</v>
      </c>
      <c r="E1790" s="524" t="s">
        <v>1244</v>
      </c>
      <c r="F1790" s="524" t="s">
        <v>1183</v>
      </c>
      <c r="G1790" s="524" t="s">
        <v>742</v>
      </c>
      <c r="H1790" s="527">
        <v>25864.32</v>
      </c>
      <c r="I1790" s="524" t="s">
        <v>1148</v>
      </c>
      <c r="J1790" s="524">
        <f>IF(cmf[[#This Row],[D/C]]="C",cmf[[#This Row],[Valor]],-1*cmf[[#This Row],[Valor]])</f>
        <v>25864.32</v>
      </c>
      <c r="L1790" s="524" t="s">
        <v>1245</v>
      </c>
      <c r="M1790" s="524" t="s">
        <v>1246</v>
      </c>
      <c r="N1790" s="524" t="s">
        <v>1215</v>
      </c>
      <c r="O1790" s="524" t="s">
        <v>1267</v>
      </c>
      <c r="P1790" s="526">
        <v>46224</v>
      </c>
      <c r="S1790" s="527">
        <v>0</v>
      </c>
    </row>
    <row r="1791" spans="1:19" x14ac:dyDescent="0.2">
      <c r="A1791" s="524">
        <v>71722</v>
      </c>
      <c r="B1791" s="526">
        <v>46224</v>
      </c>
      <c r="C1791" s="524" t="s">
        <v>1148</v>
      </c>
      <c r="D1791" s="524" t="s">
        <v>1243</v>
      </c>
      <c r="E1791" s="524" t="s">
        <v>1244</v>
      </c>
      <c r="F1791" s="524" t="s">
        <v>1183</v>
      </c>
      <c r="G1791" s="524" t="s">
        <v>742</v>
      </c>
      <c r="H1791" s="527">
        <v>0.26</v>
      </c>
      <c r="I1791" s="524" t="s">
        <v>1148</v>
      </c>
      <c r="J1791" s="524">
        <f>IF(cmf[[#This Row],[D/C]]="C",cmf[[#This Row],[Valor]],-1*cmf[[#This Row],[Valor]])</f>
        <v>0.26</v>
      </c>
      <c r="L1791" s="524" t="s">
        <v>1245</v>
      </c>
      <c r="M1791" s="524" t="s">
        <v>1246</v>
      </c>
      <c r="N1791" s="524" t="s">
        <v>1215</v>
      </c>
      <c r="O1791" s="524" t="s">
        <v>1267</v>
      </c>
      <c r="P1791" s="526">
        <v>46224</v>
      </c>
      <c r="S1791" s="527">
        <v>0</v>
      </c>
    </row>
    <row r="1792" spans="1:19" x14ac:dyDescent="0.2">
      <c r="A1792" s="524">
        <v>71726</v>
      </c>
      <c r="B1792" s="526">
        <v>46224</v>
      </c>
      <c r="C1792" s="524" t="s">
        <v>1148</v>
      </c>
      <c r="D1792" s="524" t="s">
        <v>1205</v>
      </c>
      <c r="E1792" s="524" t="s">
        <v>1536</v>
      </c>
      <c r="F1792" s="524" t="s">
        <v>1183</v>
      </c>
      <c r="G1792" s="524" t="s">
        <v>745</v>
      </c>
      <c r="H1792" s="527">
        <v>3284.75</v>
      </c>
      <c r="I1792" s="524" t="s">
        <v>1174</v>
      </c>
      <c r="J1792" s="524">
        <f>IF(cmf[[#This Row],[D/C]]="C",cmf[[#This Row],[Valor]],-1*cmf[[#This Row],[Valor]])</f>
        <v>-3284.75</v>
      </c>
      <c r="L1792" s="524" t="s">
        <v>1207</v>
      </c>
      <c r="M1792" s="524" t="s">
        <v>1208</v>
      </c>
      <c r="N1792" s="524" t="s">
        <v>1292</v>
      </c>
      <c r="O1792" s="524" t="s">
        <v>1293</v>
      </c>
      <c r="P1792" s="526">
        <v>46224</v>
      </c>
      <c r="S1792" s="527">
        <v>0</v>
      </c>
    </row>
    <row r="1793" spans="1:19" x14ac:dyDescent="0.2">
      <c r="A1793" s="524">
        <v>71727</v>
      </c>
      <c r="B1793" s="526">
        <v>46224</v>
      </c>
      <c r="C1793" s="524" t="s">
        <v>1148</v>
      </c>
      <c r="D1793" s="524" t="s">
        <v>1205</v>
      </c>
      <c r="E1793" s="524" t="s">
        <v>2298</v>
      </c>
      <c r="F1793" s="524" t="s">
        <v>1170</v>
      </c>
      <c r="G1793" s="524" t="s">
        <v>744</v>
      </c>
      <c r="H1793" s="527">
        <v>3284.75</v>
      </c>
      <c r="I1793" s="524" t="s">
        <v>1148</v>
      </c>
      <c r="J1793" s="524">
        <f>IF(cmf[[#This Row],[D/C]]="C",cmf[[#This Row],[Valor]],-1*cmf[[#This Row],[Valor]])</f>
        <v>3284.75</v>
      </c>
      <c r="L1793" s="524" t="s">
        <v>1207</v>
      </c>
      <c r="M1793" s="524" t="s">
        <v>1208</v>
      </c>
      <c r="N1793" s="524" t="s">
        <v>1292</v>
      </c>
      <c r="O1793" s="524" t="s">
        <v>1293</v>
      </c>
      <c r="P1793" s="526">
        <v>46224</v>
      </c>
      <c r="S1793" s="527">
        <v>0</v>
      </c>
    </row>
    <row r="1794" spans="1:19" x14ac:dyDescent="0.2">
      <c r="A1794" s="524">
        <v>71736</v>
      </c>
      <c r="B1794" s="526">
        <v>46224</v>
      </c>
      <c r="C1794" s="524" t="s">
        <v>1148</v>
      </c>
      <c r="D1794" s="524" t="s">
        <v>1205</v>
      </c>
      <c r="E1794" s="524" t="s">
        <v>1536</v>
      </c>
      <c r="F1794" s="524" t="s">
        <v>1183</v>
      </c>
      <c r="G1794" s="524" t="s">
        <v>745</v>
      </c>
      <c r="H1794" s="527">
        <v>500</v>
      </c>
      <c r="I1794" s="524" t="s">
        <v>1174</v>
      </c>
      <c r="J1794" s="524">
        <f>IF(cmf[[#This Row],[D/C]]="C",cmf[[#This Row],[Valor]],-1*cmf[[#This Row],[Valor]])</f>
        <v>-500</v>
      </c>
      <c r="L1794" s="524" t="s">
        <v>1207</v>
      </c>
      <c r="M1794" s="524" t="s">
        <v>1208</v>
      </c>
      <c r="N1794" s="524" t="s">
        <v>1292</v>
      </c>
      <c r="O1794" s="524" t="s">
        <v>1293</v>
      </c>
      <c r="P1794" s="526">
        <v>46224</v>
      </c>
      <c r="S1794" s="527">
        <v>0</v>
      </c>
    </row>
    <row r="1795" spans="1:19" x14ac:dyDescent="0.2">
      <c r="A1795" s="524">
        <v>71737</v>
      </c>
      <c r="B1795" s="526">
        <v>46224</v>
      </c>
      <c r="C1795" s="524" t="s">
        <v>1148</v>
      </c>
      <c r="D1795" s="524" t="s">
        <v>1205</v>
      </c>
      <c r="E1795" s="524" t="s">
        <v>2298</v>
      </c>
      <c r="F1795" s="524" t="s">
        <v>1170</v>
      </c>
      <c r="G1795" s="524" t="s">
        <v>744</v>
      </c>
      <c r="H1795" s="527">
        <v>500</v>
      </c>
      <c r="I1795" s="524" t="s">
        <v>1148</v>
      </c>
      <c r="J1795" s="524">
        <f>IF(cmf[[#This Row],[D/C]]="C",cmf[[#This Row],[Valor]],-1*cmf[[#This Row],[Valor]])</f>
        <v>500</v>
      </c>
      <c r="L1795" s="524" t="s">
        <v>1207</v>
      </c>
      <c r="M1795" s="524" t="s">
        <v>1208</v>
      </c>
      <c r="N1795" s="524" t="s">
        <v>1292</v>
      </c>
      <c r="O1795" s="524" t="s">
        <v>1293</v>
      </c>
      <c r="P1795" s="526">
        <v>46224</v>
      </c>
      <c r="S1795" s="527">
        <v>0</v>
      </c>
    </row>
    <row r="1796" spans="1:19" x14ac:dyDescent="0.2">
      <c r="A1796" s="524">
        <v>71842</v>
      </c>
      <c r="B1796" s="526">
        <v>46224</v>
      </c>
      <c r="C1796" s="524" t="s">
        <v>1162</v>
      </c>
      <c r="D1796" s="524" t="s">
        <v>1186</v>
      </c>
      <c r="E1796" s="524" t="s">
        <v>2299</v>
      </c>
      <c r="F1796" s="524" t="s">
        <v>1320</v>
      </c>
      <c r="G1796" s="524" t="s">
        <v>1229</v>
      </c>
      <c r="H1796" s="527">
        <v>0</v>
      </c>
      <c r="I1796" s="524" t="s">
        <v>1174</v>
      </c>
      <c r="J1796" s="524">
        <f>IF(cmf[[#This Row],[D/C]]="C",cmf[[#This Row],[Valor]],-1*cmf[[#This Row],[Valor]])</f>
        <v>0</v>
      </c>
      <c r="L1796" s="524" t="s">
        <v>1188</v>
      </c>
      <c r="M1796" s="524" t="s">
        <v>1189</v>
      </c>
      <c r="N1796" s="524" t="s">
        <v>1192</v>
      </c>
      <c r="O1796" s="524" t="s">
        <v>1193</v>
      </c>
      <c r="P1796" s="526"/>
      <c r="S1796" s="527">
        <v>0</v>
      </c>
    </row>
    <row r="1797" spans="1:19" x14ac:dyDescent="0.2">
      <c r="A1797" s="524">
        <v>72153</v>
      </c>
      <c r="B1797" s="526">
        <v>46224</v>
      </c>
      <c r="C1797" s="524" t="s">
        <v>1148</v>
      </c>
      <c r="D1797" s="524" t="s">
        <v>1239</v>
      </c>
      <c r="E1797" s="524" t="s">
        <v>2300</v>
      </c>
      <c r="F1797" s="524" t="s">
        <v>1170</v>
      </c>
      <c r="G1797" s="524" t="s">
        <v>788</v>
      </c>
      <c r="H1797" s="527">
        <v>9.0399999999999991</v>
      </c>
      <c r="I1797" s="524" t="s">
        <v>1148</v>
      </c>
      <c r="J1797" s="524">
        <f>IF(cmf[[#This Row],[D/C]]="C",cmf[[#This Row],[Valor]],-1*cmf[[#This Row],[Valor]])</f>
        <v>9.0399999999999991</v>
      </c>
      <c r="L1797" s="524" t="s">
        <v>1359</v>
      </c>
      <c r="M1797" s="524" t="s">
        <v>1360</v>
      </c>
      <c r="N1797" s="524" t="s">
        <v>1271</v>
      </c>
      <c r="O1797" s="524" t="s">
        <v>1272</v>
      </c>
      <c r="P1797" s="526">
        <v>46224</v>
      </c>
      <c r="S1797" s="527">
        <v>0</v>
      </c>
    </row>
    <row r="1798" spans="1:19" x14ac:dyDescent="0.2">
      <c r="A1798" s="524">
        <v>70001</v>
      </c>
      <c r="B1798" s="526">
        <v>46225</v>
      </c>
      <c r="C1798" s="524" t="s">
        <v>1162</v>
      </c>
      <c r="D1798" s="524" t="s">
        <v>1163</v>
      </c>
      <c r="E1798" s="524" t="s">
        <v>1164</v>
      </c>
      <c r="F1798" s="524" t="s">
        <v>1165</v>
      </c>
      <c r="G1798" s="524" t="s">
        <v>756</v>
      </c>
      <c r="H1798" s="527">
        <v>26887.200000000001</v>
      </c>
      <c r="I1798" s="524" t="s">
        <v>1148</v>
      </c>
      <c r="J1798" s="524">
        <f>IF(cmf[[#This Row],[D/C]]="C",cmf[[#This Row],[Valor]],-1*cmf[[#This Row],[Valor]])</f>
        <v>26887.200000000001</v>
      </c>
      <c r="L1798" s="524" t="s">
        <v>1166</v>
      </c>
      <c r="M1798" s="524" t="s">
        <v>1167</v>
      </c>
      <c r="N1798" s="524" t="s">
        <v>1168</v>
      </c>
      <c r="O1798" s="524" t="s">
        <v>1169</v>
      </c>
      <c r="P1798" s="526"/>
      <c r="S1798" s="527">
        <v>0</v>
      </c>
    </row>
    <row r="1799" spans="1:19" x14ac:dyDescent="0.2">
      <c r="A1799" s="524">
        <v>70072</v>
      </c>
      <c r="B1799" s="526">
        <v>46225</v>
      </c>
      <c r="C1799" s="524" t="s">
        <v>1162</v>
      </c>
      <c r="D1799" s="524" t="s">
        <v>1163</v>
      </c>
      <c r="E1799" s="524" t="s">
        <v>1164</v>
      </c>
      <c r="F1799" s="524" t="s">
        <v>1183</v>
      </c>
      <c r="G1799" s="524" t="s">
        <v>1276</v>
      </c>
      <c r="H1799" s="527">
        <v>318.23</v>
      </c>
      <c r="I1799" s="524" t="s">
        <v>1148</v>
      </c>
      <c r="J1799" s="524">
        <f>IF(cmf[[#This Row],[D/C]]="C",cmf[[#This Row],[Valor]],-1*cmf[[#This Row],[Valor]])</f>
        <v>318.23</v>
      </c>
      <c r="L1799" s="524" t="s">
        <v>1166</v>
      </c>
      <c r="M1799" s="524" t="s">
        <v>1167</v>
      </c>
      <c r="N1799" s="524" t="s">
        <v>1184</v>
      </c>
      <c r="O1799" s="524" t="s">
        <v>1201</v>
      </c>
      <c r="P1799" s="526"/>
      <c r="S1799" s="527">
        <v>0</v>
      </c>
    </row>
    <row r="1800" spans="1:19" x14ac:dyDescent="0.2">
      <c r="A1800" s="524">
        <v>70073</v>
      </c>
      <c r="B1800" s="526">
        <v>46225</v>
      </c>
      <c r="C1800" s="524" t="s">
        <v>1162</v>
      </c>
      <c r="D1800" s="524" t="s">
        <v>1163</v>
      </c>
      <c r="E1800" s="524" t="s">
        <v>1173</v>
      </c>
      <c r="F1800" s="524" t="s">
        <v>1183</v>
      </c>
      <c r="G1800" s="524" t="s">
        <v>1276</v>
      </c>
      <c r="H1800" s="527">
        <v>2.2999999999999998</v>
      </c>
      <c r="I1800" s="524" t="s">
        <v>1174</v>
      </c>
      <c r="J1800" s="524">
        <f>IF(cmf[[#This Row],[D/C]]="C",cmf[[#This Row],[Valor]],-1*cmf[[#This Row],[Valor]])</f>
        <v>-2.2999999999999998</v>
      </c>
      <c r="L1800" s="524" t="s">
        <v>1175</v>
      </c>
      <c r="M1800" s="524" t="s">
        <v>1176</v>
      </c>
      <c r="N1800" s="524" t="s">
        <v>1184</v>
      </c>
      <c r="O1800" s="524" t="s">
        <v>1201</v>
      </c>
      <c r="P1800" s="526"/>
      <c r="S1800" s="527">
        <v>0</v>
      </c>
    </row>
    <row r="1801" spans="1:19" x14ac:dyDescent="0.2">
      <c r="A1801" s="524">
        <v>70074</v>
      </c>
      <c r="B1801" s="526">
        <v>46225</v>
      </c>
      <c r="C1801" s="524" t="s">
        <v>1148</v>
      </c>
      <c r="D1801" s="524" t="s">
        <v>1163</v>
      </c>
      <c r="E1801" s="524" t="s">
        <v>1164</v>
      </c>
      <c r="F1801" s="524" t="s">
        <v>1170</v>
      </c>
      <c r="G1801" s="524" t="s">
        <v>798</v>
      </c>
      <c r="H1801" s="527">
        <v>1564.89</v>
      </c>
      <c r="I1801" s="524" t="s">
        <v>1148</v>
      </c>
      <c r="J1801" s="524">
        <f>IF(cmf[[#This Row],[D/C]]="C",cmf[[#This Row],[Valor]],-1*cmf[[#This Row],[Valor]])</f>
        <v>1564.89</v>
      </c>
      <c r="L1801" s="524" t="s">
        <v>1166</v>
      </c>
      <c r="M1801" s="524" t="s">
        <v>1167</v>
      </c>
      <c r="N1801" s="524" t="s">
        <v>1171</v>
      </c>
      <c r="O1801" s="524" t="s">
        <v>1172</v>
      </c>
      <c r="P1801" s="526">
        <v>46225</v>
      </c>
      <c r="S1801" s="527">
        <v>0</v>
      </c>
    </row>
    <row r="1802" spans="1:19" x14ac:dyDescent="0.2">
      <c r="A1802" s="524">
        <v>70075</v>
      </c>
      <c r="B1802" s="526">
        <v>46225</v>
      </c>
      <c r="C1802" s="524" t="s">
        <v>1148</v>
      </c>
      <c r="D1802" s="524" t="s">
        <v>1163</v>
      </c>
      <c r="E1802" s="524" t="s">
        <v>1173</v>
      </c>
      <c r="F1802" s="524" t="s">
        <v>1170</v>
      </c>
      <c r="G1802" s="524" t="s">
        <v>798</v>
      </c>
      <c r="H1802" s="527">
        <v>12.6</v>
      </c>
      <c r="I1802" s="524" t="s">
        <v>1174</v>
      </c>
      <c r="J1802" s="524">
        <f>IF(cmf[[#This Row],[D/C]]="C",cmf[[#This Row],[Valor]],-1*cmf[[#This Row],[Valor]])</f>
        <v>-12.6</v>
      </c>
      <c r="L1802" s="524" t="s">
        <v>1175</v>
      </c>
      <c r="M1802" s="524" t="s">
        <v>1176</v>
      </c>
      <c r="N1802" s="524" t="s">
        <v>1171</v>
      </c>
      <c r="O1802" s="524" t="s">
        <v>1172</v>
      </c>
      <c r="P1802" s="526">
        <v>46225</v>
      </c>
      <c r="S1802" s="527">
        <v>0</v>
      </c>
    </row>
    <row r="1803" spans="1:19" x14ac:dyDescent="0.2">
      <c r="A1803" s="524">
        <v>70077</v>
      </c>
      <c r="B1803" s="526">
        <v>46225</v>
      </c>
      <c r="C1803" s="524" t="s">
        <v>1162</v>
      </c>
      <c r="D1803" s="524" t="s">
        <v>1163</v>
      </c>
      <c r="E1803" s="524" t="s">
        <v>1164</v>
      </c>
      <c r="F1803" s="524" t="s">
        <v>1183</v>
      </c>
      <c r="G1803" s="524" t="s">
        <v>796</v>
      </c>
      <c r="H1803" s="527">
        <v>22139.4</v>
      </c>
      <c r="I1803" s="524" t="s">
        <v>1148</v>
      </c>
      <c r="J1803" s="524">
        <f>IF(cmf[[#This Row],[D/C]]="C",cmf[[#This Row],[Valor]],-1*cmf[[#This Row],[Valor]])</f>
        <v>22139.4</v>
      </c>
      <c r="L1803" s="524" t="s">
        <v>1166</v>
      </c>
      <c r="M1803" s="524" t="s">
        <v>1167</v>
      </c>
      <c r="N1803" s="524" t="s">
        <v>1184</v>
      </c>
      <c r="O1803" s="524" t="s">
        <v>1172</v>
      </c>
      <c r="P1803" s="526"/>
      <c r="S1803" s="527">
        <v>0</v>
      </c>
    </row>
    <row r="1804" spans="1:19" x14ac:dyDescent="0.2">
      <c r="A1804" s="524">
        <v>70078</v>
      </c>
      <c r="B1804" s="526">
        <v>46225</v>
      </c>
      <c r="C1804" s="524" t="s">
        <v>1162</v>
      </c>
      <c r="D1804" s="524" t="s">
        <v>1163</v>
      </c>
      <c r="E1804" s="524" t="s">
        <v>1173</v>
      </c>
      <c r="F1804" s="524" t="s">
        <v>1183</v>
      </c>
      <c r="G1804" s="524" t="s">
        <v>796</v>
      </c>
      <c r="H1804" s="527">
        <v>9.1999999999999993</v>
      </c>
      <c r="I1804" s="524" t="s">
        <v>1174</v>
      </c>
      <c r="J1804" s="524">
        <f>IF(cmf[[#This Row],[D/C]]="C",cmf[[#This Row],[Valor]],-1*cmf[[#This Row],[Valor]])</f>
        <v>-9.1999999999999993</v>
      </c>
      <c r="L1804" s="524" t="s">
        <v>1175</v>
      </c>
      <c r="M1804" s="524" t="s">
        <v>1176</v>
      </c>
      <c r="N1804" s="524" t="s">
        <v>1184</v>
      </c>
      <c r="O1804" s="524" t="s">
        <v>1172</v>
      </c>
      <c r="P1804" s="526"/>
      <c r="S1804" s="527">
        <v>0</v>
      </c>
    </row>
    <row r="1805" spans="1:19" x14ac:dyDescent="0.2">
      <c r="A1805" s="524">
        <v>70079</v>
      </c>
      <c r="B1805" s="526">
        <v>46225</v>
      </c>
      <c r="C1805" s="524" t="s">
        <v>1162</v>
      </c>
      <c r="D1805" s="524" t="s">
        <v>1163</v>
      </c>
      <c r="E1805" s="524" t="s">
        <v>1164</v>
      </c>
      <c r="F1805" s="524" t="s">
        <v>1111</v>
      </c>
      <c r="G1805" s="524" t="s">
        <v>1110</v>
      </c>
      <c r="H1805" s="527">
        <v>8662.33</v>
      </c>
      <c r="I1805" s="524" t="s">
        <v>1148</v>
      </c>
      <c r="J1805" s="524">
        <f>IF(cmf[[#This Row],[D/C]]="C",cmf[[#This Row],[Valor]],-1*cmf[[#This Row],[Valor]])</f>
        <v>8662.33</v>
      </c>
      <c r="L1805" s="524" t="s">
        <v>1166</v>
      </c>
      <c r="M1805" s="524" t="s">
        <v>1167</v>
      </c>
      <c r="N1805" s="524" t="s">
        <v>1219</v>
      </c>
      <c r="O1805" s="524" t="s">
        <v>1220</v>
      </c>
      <c r="P1805" s="526"/>
      <c r="S1805" s="527">
        <v>0</v>
      </c>
    </row>
    <row r="1806" spans="1:19" x14ac:dyDescent="0.2">
      <c r="A1806" s="524">
        <v>70140</v>
      </c>
      <c r="B1806" s="526">
        <v>46225</v>
      </c>
      <c r="C1806" s="524" t="s">
        <v>1148</v>
      </c>
      <c r="D1806" s="524" t="s">
        <v>1226</v>
      </c>
      <c r="E1806" s="524" t="s">
        <v>2301</v>
      </c>
      <c r="F1806" s="524" t="s">
        <v>1170</v>
      </c>
      <c r="G1806" s="524" t="s">
        <v>1102</v>
      </c>
      <c r="H1806" s="527">
        <v>1025.52</v>
      </c>
      <c r="I1806" s="524" t="s">
        <v>1148</v>
      </c>
      <c r="J1806" s="524">
        <f>IF(cmf[[#This Row],[D/C]]="C",cmf[[#This Row],[Valor]],-1*cmf[[#This Row],[Valor]])</f>
        <v>1025.52</v>
      </c>
      <c r="L1806" s="524" t="s">
        <v>1230</v>
      </c>
      <c r="M1806" s="524" t="s">
        <v>1231</v>
      </c>
      <c r="N1806" s="524" t="s">
        <v>1192</v>
      </c>
      <c r="O1806" s="524" t="s">
        <v>1193</v>
      </c>
      <c r="P1806" s="526">
        <v>46225</v>
      </c>
      <c r="S1806" s="527">
        <v>0</v>
      </c>
    </row>
    <row r="1807" spans="1:19" x14ac:dyDescent="0.2">
      <c r="A1807" s="524">
        <v>70165</v>
      </c>
      <c r="B1807" s="526">
        <v>46225</v>
      </c>
      <c r="C1807" s="524" t="s">
        <v>1162</v>
      </c>
      <c r="D1807" s="524" t="s">
        <v>1186</v>
      </c>
      <c r="E1807" s="524" t="s">
        <v>2302</v>
      </c>
      <c r="F1807" s="524" t="s">
        <v>1183</v>
      </c>
      <c r="G1807" s="524" t="s">
        <v>776</v>
      </c>
      <c r="H1807" s="527">
        <v>10000</v>
      </c>
      <c r="I1807" s="524" t="s">
        <v>1174</v>
      </c>
      <c r="J1807" s="524">
        <f>IF(cmf[[#This Row],[D/C]]="C",cmf[[#This Row],[Valor]],-1*cmf[[#This Row],[Valor]])</f>
        <v>-10000</v>
      </c>
      <c r="L1807" s="524" t="s">
        <v>1188</v>
      </c>
      <c r="M1807" s="524" t="s">
        <v>1189</v>
      </c>
      <c r="N1807" s="524" t="s">
        <v>1212</v>
      </c>
      <c r="O1807" s="524" t="s">
        <v>1213</v>
      </c>
      <c r="P1807" s="526"/>
      <c r="S1807" s="527">
        <v>0</v>
      </c>
    </row>
    <row r="1808" spans="1:19" x14ac:dyDescent="0.2">
      <c r="A1808" s="524">
        <v>70166</v>
      </c>
      <c r="B1808" s="526">
        <v>46225</v>
      </c>
      <c r="C1808" s="524" t="s">
        <v>1162</v>
      </c>
      <c r="D1808" s="524" t="s">
        <v>1186</v>
      </c>
      <c r="E1808" s="524" t="s">
        <v>2303</v>
      </c>
      <c r="F1808" s="524" t="s">
        <v>1183</v>
      </c>
      <c r="G1808" s="524" t="s">
        <v>776</v>
      </c>
      <c r="H1808" s="527">
        <v>561.97</v>
      </c>
      <c r="I1808" s="524" t="s">
        <v>1174</v>
      </c>
      <c r="J1808" s="524">
        <f>IF(cmf[[#This Row],[D/C]]="C",cmf[[#This Row],[Valor]],-1*cmf[[#This Row],[Valor]])</f>
        <v>-561.97</v>
      </c>
      <c r="L1808" s="524" t="s">
        <v>1188</v>
      </c>
      <c r="M1808" s="524" t="s">
        <v>1189</v>
      </c>
      <c r="N1808" s="524" t="s">
        <v>1212</v>
      </c>
      <c r="O1808" s="524" t="s">
        <v>1213</v>
      </c>
      <c r="P1808" s="526"/>
      <c r="S1808" s="527">
        <v>0</v>
      </c>
    </row>
    <row r="1809" spans="1:19" x14ac:dyDescent="0.2">
      <c r="A1809" s="524">
        <v>70167</v>
      </c>
      <c r="B1809" s="526">
        <v>46225</v>
      </c>
      <c r="C1809" s="524" t="s">
        <v>1148</v>
      </c>
      <c r="D1809" s="524" t="s">
        <v>1186</v>
      </c>
      <c r="E1809" s="524" t="s">
        <v>2304</v>
      </c>
      <c r="F1809" s="524" t="s">
        <v>1183</v>
      </c>
      <c r="G1809" s="524" t="s">
        <v>742</v>
      </c>
      <c r="H1809" s="527">
        <v>6801.2</v>
      </c>
      <c r="I1809" s="524" t="s">
        <v>1174</v>
      </c>
      <c r="J1809" s="524">
        <f>IF(cmf[[#This Row],[D/C]]="C",cmf[[#This Row],[Valor]],-1*cmf[[#This Row],[Valor]])</f>
        <v>-6801.2</v>
      </c>
      <c r="L1809" s="524" t="s">
        <v>1188</v>
      </c>
      <c r="M1809" s="524" t="s">
        <v>1189</v>
      </c>
      <c r="N1809" s="524" t="s">
        <v>1215</v>
      </c>
      <c r="O1809" s="524" t="s">
        <v>1218</v>
      </c>
      <c r="P1809" s="526">
        <v>46225</v>
      </c>
      <c r="S1809" s="527">
        <v>0</v>
      </c>
    </row>
    <row r="1810" spans="1:19" x14ac:dyDescent="0.2">
      <c r="A1810" s="524">
        <v>70168</v>
      </c>
      <c r="B1810" s="526">
        <v>46225</v>
      </c>
      <c r="C1810" s="524" t="s">
        <v>1148</v>
      </c>
      <c r="D1810" s="524" t="s">
        <v>1186</v>
      </c>
      <c r="E1810" s="524" t="s">
        <v>2305</v>
      </c>
      <c r="F1810" s="524" t="s">
        <v>1183</v>
      </c>
      <c r="G1810" s="524" t="s">
        <v>742</v>
      </c>
      <c r="H1810" s="527">
        <v>9618.84</v>
      </c>
      <c r="I1810" s="524" t="s">
        <v>1174</v>
      </c>
      <c r="J1810" s="524">
        <f>IF(cmf[[#This Row],[D/C]]="C",cmf[[#This Row],[Valor]],-1*cmf[[#This Row],[Valor]])</f>
        <v>-9618.84</v>
      </c>
      <c r="L1810" s="524" t="s">
        <v>1188</v>
      </c>
      <c r="M1810" s="524" t="s">
        <v>1189</v>
      </c>
      <c r="N1810" s="524" t="s">
        <v>1215</v>
      </c>
      <c r="O1810" s="524" t="s">
        <v>1218</v>
      </c>
      <c r="P1810" s="526">
        <v>46225</v>
      </c>
      <c r="S1810" s="527">
        <v>0</v>
      </c>
    </row>
    <row r="1811" spans="1:19" x14ac:dyDescent="0.2">
      <c r="A1811" s="524">
        <v>70169</v>
      </c>
      <c r="B1811" s="526">
        <v>46225</v>
      </c>
      <c r="C1811" s="524" t="s">
        <v>1148</v>
      </c>
      <c r="D1811" s="524" t="s">
        <v>1226</v>
      </c>
      <c r="E1811" s="524" t="s">
        <v>2306</v>
      </c>
      <c r="F1811" s="524" t="s">
        <v>1183</v>
      </c>
      <c r="G1811" s="524" t="s">
        <v>742</v>
      </c>
      <c r="H1811" s="527">
        <v>14032</v>
      </c>
      <c r="I1811" s="524" t="s">
        <v>1148</v>
      </c>
      <c r="J1811" s="524">
        <f>IF(cmf[[#This Row],[D/C]]="C",cmf[[#This Row],[Valor]],-1*cmf[[#This Row],[Valor]])</f>
        <v>14032</v>
      </c>
      <c r="L1811" s="524" t="s">
        <v>1230</v>
      </c>
      <c r="M1811" s="524" t="s">
        <v>1231</v>
      </c>
      <c r="N1811" s="524" t="s">
        <v>1215</v>
      </c>
      <c r="O1811" s="524" t="s">
        <v>1218</v>
      </c>
      <c r="P1811" s="526">
        <v>46225</v>
      </c>
      <c r="S1811" s="527">
        <v>0</v>
      </c>
    </row>
    <row r="1812" spans="1:19" x14ac:dyDescent="0.2">
      <c r="A1812" s="524">
        <v>70170</v>
      </c>
      <c r="B1812" s="526">
        <v>46225</v>
      </c>
      <c r="C1812" s="524" t="s">
        <v>1148</v>
      </c>
      <c r="D1812" s="524" t="s">
        <v>1186</v>
      </c>
      <c r="E1812" s="524" t="s">
        <v>2307</v>
      </c>
      <c r="F1812" s="524" t="s">
        <v>1183</v>
      </c>
      <c r="G1812" s="524" t="s">
        <v>803</v>
      </c>
      <c r="H1812" s="527">
        <v>101.68</v>
      </c>
      <c r="I1812" s="524" t="s">
        <v>1174</v>
      </c>
      <c r="J1812" s="524">
        <f>IF(cmf[[#This Row],[D/C]]="C",cmf[[#This Row],[Valor]],-1*cmf[[#This Row],[Valor]])</f>
        <v>-101.68</v>
      </c>
      <c r="L1812" s="524" t="s">
        <v>1188</v>
      </c>
      <c r="M1812" s="524" t="s">
        <v>1189</v>
      </c>
      <c r="N1812" s="524" t="s">
        <v>1192</v>
      </c>
      <c r="O1812" s="524" t="s">
        <v>1193</v>
      </c>
      <c r="P1812" s="526">
        <v>46225</v>
      </c>
      <c r="S1812" s="527">
        <v>0</v>
      </c>
    </row>
    <row r="1813" spans="1:19" x14ac:dyDescent="0.2">
      <c r="A1813" s="524">
        <v>70171</v>
      </c>
      <c r="B1813" s="526">
        <v>46225</v>
      </c>
      <c r="C1813" s="524" t="s">
        <v>1148</v>
      </c>
      <c r="D1813" s="524" t="s">
        <v>1186</v>
      </c>
      <c r="E1813" s="524" t="s">
        <v>2308</v>
      </c>
      <c r="F1813" s="524" t="s">
        <v>1183</v>
      </c>
      <c r="G1813" s="524" t="s">
        <v>766</v>
      </c>
      <c r="H1813" s="527">
        <v>31206.53</v>
      </c>
      <c r="I1813" s="524" t="s">
        <v>1174</v>
      </c>
      <c r="J1813" s="524">
        <f>IF(cmf[[#This Row],[D/C]]="C",cmf[[#This Row],[Valor]],-1*cmf[[#This Row],[Valor]])</f>
        <v>-31206.53</v>
      </c>
      <c r="L1813" s="524" t="s">
        <v>1188</v>
      </c>
      <c r="M1813" s="524" t="s">
        <v>1189</v>
      </c>
      <c r="N1813" s="524" t="s">
        <v>1200</v>
      </c>
      <c r="O1813" s="524" t="s">
        <v>1201</v>
      </c>
      <c r="P1813" s="526">
        <v>46225</v>
      </c>
      <c r="S1813" s="527">
        <v>0</v>
      </c>
    </row>
    <row r="1814" spans="1:19" x14ac:dyDescent="0.2">
      <c r="A1814" s="524">
        <v>70172</v>
      </c>
      <c r="B1814" s="526">
        <v>46225</v>
      </c>
      <c r="C1814" s="524" t="s">
        <v>1148</v>
      </c>
      <c r="D1814" s="524" t="s">
        <v>1186</v>
      </c>
      <c r="E1814" s="524" t="s">
        <v>2309</v>
      </c>
      <c r="F1814" s="524" t="s">
        <v>1183</v>
      </c>
      <c r="G1814" s="524" t="s">
        <v>769</v>
      </c>
      <c r="H1814" s="527">
        <v>13712</v>
      </c>
      <c r="I1814" s="524" t="s">
        <v>1174</v>
      </c>
      <c r="J1814" s="524">
        <f>IF(cmf[[#This Row],[D/C]]="C",cmf[[#This Row],[Valor]],-1*cmf[[#This Row],[Valor]])</f>
        <v>-13712</v>
      </c>
      <c r="L1814" s="524" t="s">
        <v>1188</v>
      </c>
      <c r="M1814" s="524" t="s">
        <v>1189</v>
      </c>
      <c r="N1814" s="524" t="s">
        <v>1219</v>
      </c>
      <c r="O1814" s="524" t="s">
        <v>1220</v>
      </c>
      <c r="P1814" s="526">
        <v>46225</v>
      </c>
      <c r="S1814" s="527">
        <v>0</v>
      </c>
    </row>
    <row r="1815" spans="1:19" x14ac:dyDescent="0.2">
      <c r="A1815" s="524">
        <v>70173</v>
      </c>
      <c r="B1815" s="526">
        <v>46225</v>
      </c>
      <c r="C1815" s="524" t="s">
        <v>1148</v>
      </c>
      <c r="D1815" s="524" t="s">
        <v>1186</v>
      </c>
      <c r="E1815" s="524" t="s">
        <v>2310</v>
      </c>
      <c r="F1815" s="524" t="s">
        <v>1183</v>
      </c>
      <c r="G1815" s="524" t="s">
        <v>769</v>
      </c>
      <c r="H1815" s="527">
        <v>9585.83</v>
      </c>
      <c r="I1815" s="524" t="s">
        <v>1174</v>
      </c>
      <c r="J1815" s="524">
        <f>IF(cmf[[#This Row],[D/C]]="C",cmf[[#This Row],[Valor]],-1*cmf[[#This Row],[Valor]])</f>
        <v>-9585.83</v>
      </c>
      <c r="L1815" s="524" t="s">
        <v>1188</v>
      </c>
      <c r="M1815" s="524" t="s">
        <v>1189</v>
      </c>
      <c r="N1815" s="524" t="s">
        <v>1219</v>
      </c>
      <c r="O1815" s="524" t="s">
        <v>1220</v>
      </c>
      <c r="P1815" s="526">
        <v>46225</v>
      </c>
      <c r="S1815" s="527">
        <v>0</v>
      </c>
    </row>
    <row r="1816" spans="1:19" x14ac:dyDescent="0.2">
      <c r="A1816" s="524">
        <v>70174</v>
      </c>
      <c r="B1816" s="526">
        <v>46225</v>
      </c>
      <c r="C1816" s="524" t="s">
        <v>1148</v>
      </c>
      <c r="D1816" s="524" t="s">
        <v>1186</v>
      </c>
      <c r="E1816" s="524" t="s">
        <v>2311</v>
      </c>
      <c r="F1816" s="524" t="s">
        <v>1183</v>
      </c>
      <c r="G1816" s="524" t="s">
        <v>769</v>
      </c>
      <c r="H1816" s="527">
        <v>25771.66</v>
      </c>
      <c r="I1816" s="524" t="s">
        <v>1174</v>
      </c>
      <c r="J1816" s="524">
        <f>IF(cmf[[#This Row],[D/C]]="C",cmf[[#This Row],[Valor]],-1*cmf[[#This Row],[Valor]])</f>
        <v>-25771.66</v>
      </c>
      <c r="L1816" s="524" t="s">
        <v>1188</v>
      </c>
      <c r="M1816" s="524" t="s">
        <v>1189</v>
      </c>
      <c r="N1816" s="524" t="s">
        <v>1219</v>
      </c>
      <c r="O1816" s="524" t="s">
        <v>1220</v>
      </c>
      <c r="P1816" s="526">
        <v>46225</v>
      </c>
      <c r="S1816" s="527">
        <v>0</v>
      </c>
    </row>
    <row r="1817" spans="1:19" x14ac:dyDescent="0.2">
      <c r="A1817" s="524">
        <v>70175</v>
      </c>
      <c r="B1817" s="526">
        <v>46225</v>
      </c>
      <c r="C1817" s="524" t="s">
        <v>1148</v>
      </c>
      <c r="D1817" s="524" t="s">
        <v>1186</v>
      </c>
      <c r="E1817" s="524" t="s">
        <v>2312</v>
      </c>
      <c r="F1817" s="524" t="s">
        <v>1183</v>
      </c>
      <c r="G1817" s="524" t="s">
        <v>769</v>
      </c>
      <c r="H1817" s="527">
        <v>8915.93</v>
      </c>
      <c r="I1817" s="524" t="s">
        <v>1174</v>
      </c>
      <c r="J1817" s="524">
        <f>IF(cmf[[#This Row],[D/C]]="C",cmf[[#This Row],[Valor]],-1*cmf[[#This Row],[Valor]])</f>
        <v>-8915.93</v>
      </c>
      <c r="L1817" s="524" t="s">
        <v>1188</v>
      </c>
      <c r="M1817" s="524" t="s">
        <v>1189</v>
      </c>
      <c r="N1817" s="524" t="s">
        <v>1219</v>
      </c>
      <c r="O1817" s="524" t="s">
        <v>1220</v>
      </c>
      <c r="P1817" s="526">
        <v>46225</v>
      </c>
      <c r="S1817" s="527">
        <v>0</v>
      </c>
    </row>
    <row r="1818" spans="1:19" x14ac:dyDescent="0.2">
      <c r="A1818" s="524">
        <v>70176</v>
      </c>
      <c r="B1818" s="526">
        <v>46225</v>
      </c>
      <c r="C1818" s="524" t="s">
        <v>1148</v>
      </c>
      <c r="D1818" s="524" t="s">
        <v>1186</v>
      </c>
      <c r="E1818" s="524" t="s">
        <v>2313</v>
      </c>
      <c r="F1818" s="524" t="s">
        <v>1183</v>
      </c>
      <c r="G1818" s="524" t="s">
        <v>769</v>
      </c>
      <c r="H1818" s="527">
        <v>7691.28</v>
      </c>
      <c r="I1818" s="524" t="s">
        <v>1174</v>
      </c>
      <c r="J1818" s="524">
        <f>IF(cmf[[#This Row],[D/C]]="C",cmf[[#This Row],[Valor]],-1*cmf[[#This Row],[Valor]])</f>
        <v>-7691.28</v>
      </c>
      <c r="L1818" s="524" t="s">
        <v>1188</v>
      </c>
      <c r="M1818" s="524" t="s">
        <v>1189</v>
      </c>
      <c r="N1818" s="524" t="s">
        <v>1219</v>
      </c>
      <c r="O1818" s="524" t="s">
        <v>1220</v>
      </c>
      <c r="P1818" s="526">
        <v>46225</v>
      </c>
      <c r="S1818" s="527">
        <v>0</v>
      </c>
    </row>
    <row r="1819" spans="1:19" x14ac:dyDescent="0.2">
      <c r="A1819" s="524">
        <v>70177</v>
      </c>
      <c r="B1819" s="526">
        <v>46225</v>
      </c>
      <c r="C1819" s="524" t="s">
        <v>1148</v>
      </c>
      <c r="D1819" s="524" t="s">
        <v>1186</v>
      </c>
      <c r="E1819" s="524" t="s">
        <v>2314</v>
      </c>
      <c r="F1819" s="524" t="s">
        <v>1183</v>
      </c>
      <c r="G1819" s="524" t="s">
        <v>800</v>
      </c>
      <c r="H1819" s="527">
        <v>6037.4</v>
      </c>
      <c r="I1819" s="524" t="s">
        <v>1174</v>
      </c>
      <c r="J1819" s="524">
        <f>IF(cmf[[#This Row],[D/C]]="C",cmf[[#This Row],[Valor]],-1*cmf[[#This Row],[Valor]])</f>
        <v>-6037.4</v>
      </c>
      <c r="L1819" s="524" t="s">
        <v>1188</v>
      </c>
      <c r="M1819" s="524" t="s">
        <v>1189</v>
      </c>
      <c r="N1819" s="524" t="s">
        <v>1171</v>
      </c>
      <c r="O1819" s="524" t="s">
        <v>1172</v>
      </c>
      <c r="P1819" s="526">
        <v>46225</v>
      </c>
      <c r="S1819" s="527">
        <v>0</v>
      </c>
    </row>
    <row r="1820" spans="1:19" x14ac:dyDescent="0.2">
      <c r="A1820" s="524">
        <v>70178</v>
      </c>
      <c r="B1820" s="526">
        <v>46225</v>
      </c>
      <c r="C1820" s="524" t="s">
        <v>1148</v>
      </c>
      <c r="D1820" s="524" t="s">
        <v>1186</v>
      </c>
      <c r="E1820" s="524" t="s">
        <v>2315</v>
      </c>
      <c r="F1820" s="524" t="s">
        <v>1183</v>
      </c>
      <c r="G1820" s="524" t="s">
        <v>800</v>
      </c>
      <c r="H1820" s="527">
        <v>11633.64</v>
      </c>
      <c r="I1820" s="524" t="s">
        <v>1174</v>
      </c>
      <c r="J1820" s="524">
        <f>IF(cmf[[#This Row],[D/C]]="C",cmf[[#This Row],[Valor]],-1*cmf[[#This Row],[Valor]])</f>
        <v>-11633.64</v>
      </c>
      <c r="L1820" s="524" t="s">
        <v>1188</v>
      </c>
      <c r="M1820" s="524" t="s">
        <v>1189</v>
      </c>
      <c r="N1820" s="524" t="s">
        <v>1171</v>
      </c>
      <c r="O1820" s="524" t="s">
        <v>1172</v>
      </c>
      <c r="P1820" s="526">
        <v>46225</v>
      </c>
      <c r="S1820" s="527">
        <v>0</v>
      </c>
    </row>
    <row r="1821" spans="1:19" x14ac:dyDescent="0.2">
      <c r="A1821" s="524">
        <v>70179</v>
      </c>
      <c r="B1821" s="526">
        <v>46225</v>
      </c>
      <c r="C1821" s="524" t="s">
        <v>1148</v>
      </c>
      <c r="D1821" s="524" t="s">
        <v>1186</v>
      </c>
      <c r="E1821" s="524" t="s">
        <v>2316</v>
      </c>
      <c r="F1821" s="524" t="s">
        <v>1183</v>
      </c>
      <c r="G1821" s="524" t="s">
        <v>800</v>
      </c>
      <c r="H1821" s="527">
        <v>7771.14</v>
      </c>
      <c r="I1821" s="524" t="s">
        <v>1174</v>
      </c>
      <c r="J1821" s="524">
        <f>IF(cmf[[#This Row],[D/C]]="C",cmf[[#This Row],[Valor]],-1*cmf[[#This Row],[Valor]])</f>
        <v>-7771.14</v>
      </c>
      <c r="L1821" s="524" t="s">
        <v>1188</v>
      </c>
      <c r="M1821" s="524" t="s">
        <v>1189</v>
      </c>
      <c r="N1821" s="524" t="s">
        <v>1171</v>
      </c>
      <c r="O1821" s="524" t="s">
        <v>1172</v>
      </c>
      <c r="P1821" s="526">
        <v>46225</v>
      </c>
      <c r="S1821" s="527">
        <v>0</v>
      </c>
    </row>
    <row r="1822" spans="1:19" x14ac:dyDescent="0.2">
      <c r="A1822" s="524">
        <v>70180</v>
      </c>
      <c r="B1822" s="526">
        <v>46225</v>
      </c>
      <c r="C1822" s="524" t="s">
        <v>1148</v>
      </c>
      <c r="D1822" s="524" t="s">
        <v>1186</v>
      </c>
      <c r="E1822" s="524" t="s">
        <v>2317</v>
      </c>
      <c r="F1822" s="524" t="s">
        <v>1183</v>
      </c>
      <c r="G1822" s="524" t="s">
        <v>745</v>
      </c>
      <c r="H1822" s="527">
        <v>5550</v>
      </c>
      <c r="I1822" s="524" t="s">
        <v>1174</v>
      </c>
      <c r="J1822" s="524">
        <f>IF(cmf[[#This Row],[D/C]]="C",cmf[[#This Row],[Valor]],-1*cmf[[#This Row],[Valor]])</f>
        <v>-5550</v>
      </c>
      <c r="L1822" s="524" t="s">
        <v>1188</v>
      </c>
      <c r="M1822" s="524" t="s">
        <v>1189</v>
      </c>
      <c r="N1822" s="524" t="s">
        <v>1292</v>
      </c>
      <c r="O1822" s="524" t="s">
        <v>1293</v>
      </c>
      <c r="P1822" s="526">
        <v>46225</v>
      </c>
      <c r="S1822" s="527">
        <v>0</v>
      </c>
    </row>
    <row r="1823" spans="1:19" x14ac:dyDescent="0.2">
      <c r="A1823" s="524">
        <v>70181</v>
      </c>
      <c r="B1823" s="526">
        <v>46225</v>
      </c>
      <c r="C1823" s="524" t="s">
        <v>1162</v>
      </c>
      <c r="D1823" s="524" t="s">
        <v>1186</v>
      </c>
      <c r="E1823" s="524" t="s">
        <v>2318</v>
      </c>
      <c r="F1823" s="524" t="s">
        <v>1170</v>
      </c>
      <c r="G1823" s="524" t="s">
        <v>781</v>
      </c>
      <c r="H1823" s="527">
        <v>232.53</v>
      </c>
      <c r="I1823" s="524" t="s">
        <v>1174</v>
      </c>
      <c r="J1823" s="524">
        <f>IF(cmf[[#This Row],[D/C]]="C",cmf[[#This Row],[Valor]],-1*cmf[[#This Row],[Valor]])</f>
        <v>-232.53</v>
      </c>
      <c r="L1823" s="524" t="s">
        <v>1188</v>
      </c>
      <c r="M1823" s="524" t="s">
        <v>1189</v>
      </c>
      <c r="N1823" s="524" t="s">
        <v>1209</v>
      </c>
      <c r="O1823" s="524" t="s">
        <v>1210</v>
      </c>
      <c r="P1823" s="526"/>
      <c r="S1823" s="527">
        <v>0</v>
      </c>
    </row>
    <row r="1824" spans="1:19" x14ac:dyDescent="0.2">
      <c r="A1824" s="524">
        <v>70189</v>
      </c>
      <c r="B1824" s="526">
        <v>46225</v>
      </c>
      <c r="C1824" s="524" t="s">
        <v>1162</v>
      </c>
      <c r="D1824" s="524" t="s">
        <v>1163</v>
      </c>
      <c r="E1824" s="524" t="s">
        <v>1173</v>
      </c>
      <c r="F1824" s="524" t="s">
        <v>1111</v>
      </c>
      <c r="G1824" s="524" t="s">
        <v>1110</v>
      </c>
      <c r="H1824" s="527">
        <v>3.8</v>
      </c>
      <c r="I1824" s="524" t="s">
        <v>1174</v>
      </c>
      <c r="J1824" s="524">
        <f>IF(cmf[[#This Row],[D/C]]="C",cmf[[#This Row],[Valor]],-1*cmf[[#This Row],[Valor]])</f>
        <v>-3.8</v>
      </c>
      <c r="L1824" s="524" t="s">
        <v>1175</v>
      </c>
      <c r="M1824" s="524" t="s">
        <v>1176</v>
      </c>
      <c r="N1824" s="524" t="s">
        <v>1219</v>
      </c>
      <c r="O1824" s="524" t="s">
        <v>1220</v>
      </c>
      <c r="P1824" s="526"/>
      <c r="S1824" s="527">
        <v>0</v>
      </c>
    </row>
    <row r="1825" spans="1:19" x14ac:dyDescent="0.2">
      <c r="A1825" s="524">
        <v>70192</v>
      </c>
      <c r="B1825" s="526">
        <v>46225</v>
      </c>
      <c r="C1825" s="524" t="s">
        <v>1148</v>
      </c>
      <c r="D1825" s="524" t="s">
        <v>1186</v>
      </c>
      <c r="E1825" s="524" t="s">
        <v>2319</v>
      </c>
      <c r="F1825" s="524" t="s">
        <v>1183</v>
      </c>
      <c r="G1825" s="524" t="s">
        <v>769</v>
      </c>
      <c r="H1825" s="527">
        <v>1260</v>
      </c>
      <c r="I1825" s="524" t="s">
        <v>1174</v>
      </c>
      <c r="J1825" s="524">
        <f>IF(cmf[[#This Row],[D/C]]="C",cmf[[#This Row],[Valor]],-1*cmf[[#This Row],[Valor]])</f>
        <v>-1260</v>
      </c>
      <c r="L1825" s="524" t="s">
        <v>1188</v>
      </c>
      <c r="M1825" s="524" t="s">
        <v>1189</v>
      </c>
      <c r="N1825" s="524" t="s">
        <v>1219</v>
      </c>
      <c r="O1825" s="524" t="s">
        <v>1220</v>
      </c>
      <c r="P1825" s="526">
        <v>46225</v>
      </c>
      <c r="S1825" s="527">
        <v>0</v>
      </c>
    </row>
    <row r="1826" spans="1:19" x14ac:dyDescent="0.2">
      <c r="A1826" s="524">
        <v>70238</v>
      </c>
      <c r="B1826" s="526">
        <v>46225</v>
      </c>
      <c r="C1826" s="524" t="s">
        <v>1148</v>
      </c>
      <c r="D1826" s="524" t="s">
        <v>1243</v>
      </c>
      <c r="E1826" s="524" t="s">
        <v>1244</v>
      </c>
      <c r="F1826" s="524" t="s">
        <v>1183</v>
      </c>
      <c r="G1826" s="524" t="s">
        <v>806</v>
      </c>
      <c r="H1826" s="527">
        <v>149998.53</v>
      </c>
      <c r="I1826" s="524" t="s">
        <v>1148</v>
      </c>
      <c r="J1826" s="524">
        <f>IF(cmf[[#This Row],[D/C]]="C",cmf[[#This Row],[Valor]],-1*cmf[[#This Row],[Valor]])</f>
        <v>149998.53</v>
      </c>
      <c r="L1826" s="524" t="s">
        <v>1245</v>
      </c>
      <c r="M1826" s="524" t="s">
        <v>1246</v>
      </c>
      <c r="N1826" s="524" t="s">
        <v>1283</v>
      </c>
      <c r="O1826" s="524" t="s">
        <v>1284</v>
      </c>
      <c r="P1826" s="526">
        <v>46225</v>
      </c>
      <c r="S1826" s="527">
        <v>0</v>
      </c>
    </row>
    <row r="1827" spans="1:19" x14ac:dyDescent="0.2">
      <c r="A1827" s="524">
        <v>70243</v>
      </c>
      <c r="B1827" s="526">
        <v>46225</v>
      </c>
      <c r="C1827" s="524" t="s">
        <v>1148</v>
      </c>
      <c r="D1827" s="524" t="s">
        <v>1243</v>
      </c>
      <c r="E1827" s="524" t="s">
        <v>1244</v>
      </c>
      <c r="F1827" s="524" t="s">
        <v>1183</v>
      </c>
      <c r="G1827" s="524" t="s">
        <v>806</v>
      </c>
      <c r="H1827" s="527">
        <v>1.47</v>
      </c>
      <c r="I1827" s="524" t="s">
        <v>1148</v>
      </c>
      <c r="J1827" s="524">
        <f>IF(cmf[[#This Row],[D/C]]="C",cmf[[#This Row],[Valor]],-1*cmf[[#This Row],[Valor]])</f>
        <v>1.47</v>
      </c>
      <c r="L1827" s="524" t="s">
        <v>1245</v>
      </c>
      <c r="M1827" s="524" t="s">
        <v>1246</v>
      </c>
      <c r="N1827" s="524" t="s">
        <v>1283</v>
      </c>
      <c r="O1827" s="524" t="s">
        <v>1284</v>
      </c>
      <c r="P1827" s="526">
        <v>46225</v>
      </c>
      <c r="S1827" s="527">
        <v>0</v>
      </c>
    </row>
    <row r="1828" spans="1:19" x14ac:dyDescent="0.2">
      <c r="A1828" s="524">
        <v>70275</v>
      </c>
      <c r="B1828" s="526">
        <v>46225</v>
      </c>
      <c r="C1828" s="524" t="s">
        <v>1148</v>
      </c>
      <c r="D1828" s="524" t="s">
        <v>1243</v>
      </c>
      <c r="E1828" s="524" t="s">
        <v>1244</v>
      </c>
      <c r="F1828" s="524" t="s">
        <v>1183</v>
      </c>
      <c r="G1828" s="524" t="s">
        <v>745</v>
      </c>
      <c r="H1828" s="527">
        <v>549.99</v>
      </c>
      <c r="I1828" s="524" t="s">
        <v>1148</v>
      </c>
      <c r="J1828" s="524">
        <f>IF(cmf[[#This Row],[D/C]]="C",cmf[[#This Row],[Valor]],-1*cmf[[#This Row],[Valor]])</f>
        <v>549.99</v>
      </c>
      <c r="L1828" s="524" t="s">
        <v>1245</v>
      </c>
      <c r="M1828" s="524" t="s">
        <v>1246</v>
      </c>
      <c r="N1828" s="524" t="s">
        <v>1292</v>
      </c>
      <c r="O1828" s="524" t="s">
        <v>1293</v>
      </c>
      <c r="P1828" s="526">
        <v>46225</v>
      </c>
      <c r="S1828" s="527">
        <v>0</v>
      </c>
    </row>
    <row r="1829" spans="1:19" x14ac:dyDescent="0.2">
      <c r="A1829" s="524">
        <v>70282</v>
      </c>
      <c r="B1829" s="526">
        <v>46225</v>
      </c>
      <c r="C1829" s="524" t="s">
        <v>1148</v>
      </c>
      <c r="D1829" s="524" t="s">
        <v>1243</v>
      </c>
      <c r="E1829" s="524" t="s">
        <v>1244</v>
      </c>
      <c r="F1829" s="524" t="s">
        <v>1183</v>
      </c>
      <c r="G1829" s="524" t="s">
        <v>745</v>
      </c>
      <c r="H1829" s="527">
        <v>0.01</v>
      </c>
      <c r="I1829" s="524" t="s">
        <v>1148</v>
      </c>
      <c r="J1829" s="524">
        <f>IF(cmf[[#This Row],[D/C]]="C",cmf[[#This Row],[Valor]],-1*cmf[[#This Row],[Valor]])</f>
        <v>0.01</v>
      </c>
      <c r="L1829" s="524" t="s">
        <v>1245</v>
      </c>
      <c r="M1829" s="524" t="s">
        <v>1246</v>
      </c>
      <c r="N1829" s="524" t="s">
        <v>1292</v>
      </c>
      <c r="O1829" s="524" t="s">
        <v>1293</v>
      </c>
      <c r="P1829" s="526">
        <v>46225</v>
      </c>
      <c r="S1829" s="527">
        <v>0</v>
      </c>
    </row>
    <row r="1830" spans="1:19" x14ac:dyDescent="0.2">
      <c r="A1830" s="524">
        <v>70295</v>
      </c>
      <c r="B1830" s="526">
        <v>46225</v>
      </c>
      <c r="C1830" s="524" t="s">
        <v>1148</v>
      </c>
      <c r="D1830" s="524" t="s">
        <v>1239</v>
      </c>
      <c r="E1830" s="524" t="s">
        <v>1741</v>
      </c>
      <c r="F1830" s="524" t="s">
        <v>1170</v>
      </c>
      <c r="G1830" s="524" t="s">
        <v>768</v>
      </c>
      <c r="H1830" s="527">
        <v>7.0000000000000007E-2</v>
      </c>
      <c r="I1830" s="524" t="s">
        <v>1174</v>
      </c>
      <c r="J1830" s="524">
        <f>IF(cmf[[#This Row],[D/C]]="C",cmf[[#This Row],[Valor]],-1*cmf[[#This Row],[Valor]])</f>
        <v>-7.0000000000000007E-2</v>
      </c>
      <c r="L1830" s="524" t="s">
        <v>1241</v>
      </c>
      <c r="M1830" s="524" t="s">
        <v>1242</v>
      </c>
      <c r="N1830" s="524" t="s">
        <v>1219</v>
      </c>
      <c r="O1830" s="524" t="s">
        <v>1220</v>
      </c>
      <c r="P1830" s="526">
        <v>46225</v>
      </c>
      <c r="S1830" s="527">
        <v>0</v>
      </c>
    </row>
    <row r="1831" spans="1:19" x14ac:dyDescent="0.2">
      <c r="A1831" s="524">
        <v>70296</v>
      </c>
      <c r="B1831" s="526">
        <v>46225</v>
      </c>
      <c r="C1831" s="524" t="s">
        <v>1148</v>
      </c>
      <c r="D1831" s="524" t="s">
        <v>1239</v>
      </c>
      <c r="E1831" s="524" t="s">
        <v>1255</v>
      </c>
      <c r="F1831" s="524" t="s">
        <v>1170</v>
      </c>
      <c r="G1831" s="524" t="s">
        <v>768</v>
      </c>
      <c r="H1831" s="527">
        <v>0.4</v>
      </c>
      <c r="I1831" s="524" t="s">
        <v>1174</v>
      </c>
      <c r="J1831" s="524">
        <f>IF(cmf[[#This Row],[D/C]]="C",cmf[[#This Row],[Valor]],-1*cmf[[#This Row],[Valor]])</f>
        <v>-0.4</v>
      </c>
      <c r="L1831" s="524" t="s">
        <v>1241</v>
      </c>
      <c r="M1831" s="524" t="s">
        <v>1242</v>
      </c>
      <c r="N1831" s="524" t="s">
        <v>1219</v>
      </c>
      <c r="O1831" s="524" t="s">
        <v>1220</v>
      </c>
      <c r="P1831" s="526">
        <v>46225</v>
      </c>
      <c r="S1831" s="527">
        <v>0</v>
      </c>
    </row>
    <row r="1832" spans="1:19" x14ac:dyDescent="0.2">
      <c r="A1832" s="524">
        <v>70304</v>
      </c>
      <c r="B1832" s="526">
        <v>46225</v>
      </c>
      <c r="C1832" s="524" t="s">
        <v>1148</v>
      </c>
      <c r="D1832" s="524" t="s">
        <v>1186</v>
      </c>
      <c r="E1832" s="524" t="s">
        <v>2320</v>
      </c>
      <c r="F1832" s="524" t="s">
        <v>1178</v>
      </c>
      <c r="G1832" s="524" t="s">
        <v>1179</v>
      </c>
      <c r="H1832" s="527">
        <v>582.5</v>
      </c>
      <c r="I1832" s="524" t="s">
        <v>1174</v>
      </c>
      <c r="J1832" s="524">
        <f>IF(cmf[[#This Row],[D/C]]="C",cmf[[#This Row],[Valor]],-1*cmf[[#This Row],[Valor]])</f>
        <v>-582.5</v>
      </c>
      <c r="L1832" s="524" t="s">
        <v>1188</v>
      </c>
      <c r="M1832" s="524" t="s">
        <v>1189</v>
      </c>
      <c r="N1832" s="524" t="s">
        <v>1180</v>
      </c>
      <c r="O1832" s="524" t="s">
        <v>1181</v>
      </c>
      <c r="P1832" s="526">
        <v>46225</v>
      </c>
      <c r="S1832" s="527">
        <v>0</v>
      </c>
    </row>
    <row r="1833" spans="1:19" x14ac:dyDescent="0.2">
      <c r="A1833" s="524">
        <v>70323</v>
      </c>
      <c r="B1833" s="526">
        <v>46225</v>
      </c>
      <c r="C1833" s="524" t="s">
        <v>1148</v>
      </c>
      <c r="D1833" s="524" t="s">
        <v>1239</v>
      </c>
      <c r="E1833" s="524" t="s">
        <v>1255</v>
      </c>
      <c r="F1833" s="524" t="s">
        <v>1170</v>
      </c>
      <c r="G1833" s="524" t="s">
        <v>757</v>
      </c>
      <c r="H1833" s="527">
        <v>0.4</v>
      </c>
      <c r="I1833" s="524" t="s">
        <v>1174</v>
      </c>
      <c r="J1833" s="524">
        <f>IF(cmf[[#This Row],[D/C]]="C",cmf[[#This Row],[Valor]],-1*cmf[[#This Row],[Valor]])</f>
        <v>-0.4</v>
      </c>
      <c r="L1833" s="524" t="s">
        <v>1241</v>
      </c>
      <c r="M1833" s="524" t="s">
        <v>1242</v>
      </c>
      <c r="N1833" s="524" t="s">
        <v>1223</v>
      </c>
      <c r="O1833" s="524" t="s">
        <v>1224</v>
      </c>
      <c r="P1833" s="526">
        <v>46225</v>
      </c>
      <c r="S1833" s="527">
        <v>0</v>
      </c>
    </row>
    <row r="1834" spans="1:19" x14ac:dyDescent="0.2">
      <c r="A1834" s="524">
        <v>70344</v>
      </c>
      <c r="B1834" s="526">
        <v>46225</v>
      </c>
      <c r="C1834" s="524" t="s">
        <v>1148</v>
      </c>
      <c r="D1834" s="524" t="s">
        <v>1226</v>
      </c>
      <c r="E1834" s="524" t="s">
        <v>2321</v>
      </c>
      <c r="F1834" s="524" t="s">
        <v>1170</v>
      </c>
      <c r="G1834" s="524" t="s">
        <v>768</v>
      </c>
      <c r="H1834" s="527">
        <v>8.57</v>
      </c>
      <c r="I1834" s="524" t="s">
        <v>1148</v>
      </c>
      <c r="J1834" s="524">
        <f>IF(cmf[[#This Row],[D/C]]="C",cmf[[#This Row],[Valor]],-1*cmf[[#This Row],[Valor]])</f>
        <v>8.57</v>
      </c>
      <c r="L1834" s="524" t="s">
        <v>1230</v>
      </c>
      <c r="M1834" s="524" t="s">
        <v>1231</v>
      </c>
      <c r="N1834" s="524" t="s">
        <v>1219</v>
      </c>
      <c r="O1834" s="524" t="s">
        <v>1220</v>
      </c>
      <c r="P1834" s="526">
        <v>46225</v>
      </c>
      <c r="S1834" s="527">
        <v>0</v>
      </c>
    </row>
    <row r="1835" spans="1:19" x14ac:dyDescent="0.2">
      <c r="A1835" s="524">
        <v>70470</v>
      </c>
      <c r="B1835" s="526">
        <v>46225</v>
      </c>
      <c r="C1835" s="524" t="s">
        <v>1162</v>
      </c>
      <c r="D1835" s="524" t="s">
        <v>1163</v>
      </c>
      <c r="E1835" s="524" t="s">
        <v>1164</v>
      </c>
      <c r="F1835" s="524" t="s">
        <v>1170</v>
      </c>
      <c r="G1835" s="524" t="s">
        <v>771</v>
      </c>
      <c r="H1835" s="527">
        <v>393.26</v>
      </c>
      <c r="I1835" s="524" t="s">
        <v>1148</v>
      </c>
      <c r="J1835" s="524">
        <f>IF(cmf[[#This Row],[D/C]]="C",cmf[[#This Row],[Valor]],-1*cmf[[#This Row],[Valor]])</f>
        <v>393.26</v>
      </c>
      <c r="L1835" s="524" t="s">
        <v>1166</v>
      </c>
      <c r="M1835" s="524" t="s">
        <v>1167</v>
      </c>
      <c r="N1835" s="524" t="s">
        <v>1249</v>
      </c>
      <c r="O1835" s="524" t="s">
        <v>1250</v>
      </c>
      <c r="P1835" s="526"/>
      <c r="S1835" s="527">
        <v>0</v>
      </c>
    </row>
    <row r="1836" spans="1:19" x14ac:dyDescent="0.2">
      <c r="A1836" s="524">
        <v>70471</v>
      </c>
      <c r="B1836" s="526">
        <v>46225</v>
      </c>
      <c r="C1836" s="524" t="s">
        <v>1162</v>
      </c>
      <c r="D1836" s="524" t="s">
        <v>1163</v>
      </c>
      <c r="E1836" s="524" t="s">
        <v>1173</v>
      </c>
      <c r="F1836" s="524" t="s">
        <v>1170</v>
      </c>
      <c r="G1836" s="524" t="s">
        <v>771</v>
      </c>
      <c r="H1836" s="527">
        <v>6.3</v>
      </c>
      <c r="I1836" s="524" t="s">
        <v>1174</v>
      </c>
      <c r="J1836" s="524">
        <f>IF(cmf[[#This Row],[D/C]]="C",cmf[[#This Row],[Valor]],-1*cmf[[#This Row],[Valor]])</f>
        <v>-6.3</v>
      </c>
      <c r="L1836" s="524" t="s">
        <v>1175</v>
      </c>
      <c r="M1836" s="524" t="s">
        <v>1176</v>
      </c>
      <c r="N1836" s="524" t="s">
        <v>1249</v>
      </c>
      <c r="O1836" s="524" t="s">
        <v>1250</v>
      </c>
      <c r="P1836" s="526"/>
      <c r="S1836" s="527">
        <v>0</v>
      </c>
    </row>
    <row r="1837" spans="1:19" x14ac:dyDescent="0.2">
      <c r="A1837" s="524">
        <v>70592</v>
      </c>
      <c r="B1837" s="526">
        <v>46225</v>
      </c>
      <c r="C1837" s="524" t="s">
        <v>1148</v>
      </c>
      <c r="D1837" s="524" t="s">
        <v>1239</v>
      </c>
      <c r="E1837" s="524" t="s">
        <v>1251</v>
      </c>
      <c r="F1837" s="524" t="s">
        <v>1178</v>
      </c>
      <c r="G1837" s="524" t="s">
        <v>1179</v>
      </c>
      <c r="H1837" s="527">
        <v>20</v>
      </c>
      <c r="I1837" s="524" t="s">
        <v>1174</v>
      </c>
      <c r="J1837" s="524">
        <f>IF(cmf[[#This Row],[D/C]]="C",cmf[[#This Row],[Valor]],-1*cmf[[#This Row],[Valor]])</f>
        <v>-20</v>
      </c>
      <c r="L1837" s="524" t="s">
        <v>1241</v>
      </c>
      <c r="M1837" s="524" t="s">
        <v>1242</v>
      </c>
      <c r="N1837" s="524" t="s">
        <v>1180</v>
      </c>
      <c r="O1837" s="524" t="s">
        <v>1181</v>
      </c>
      <c r="P1837" s="526">
        <v>46225</v>
      </c>
      <c r="S1837" s="527">
        <v>0</v>
      </c>
    </row>
    <row r="1838" spans="1:19" x14ac:dyDescent="0.2">
      <c r="A1838" s="524">
        <v>70609</v>
      </c>
      <c r="B1838" s="526">
        <v>46225</v>
      </c>
      <c r="C1838" s="524" t="s">
        <v>1162</v>
      </c>
      <c r="D1838" s="524" t="s">
        <v>1205</v>
      </c>
      <c r="E1838" s="524" t="s">
        <v>1338</v>
      </c>
      <c r="F1838" s="524" t="s">
        <v>1170</v>
      </c>
      <c r="G1838" s="524" t="s">
        <v>781</v>
      </c>
      <c r="H1838" s="527">
        <v>10000</v>
      </c>
      <c r="I1838" s="524" t="s">
        <v>1174</v>
      </c>
      <c r="J1838" s="524">
        <f>IF(cmf[[#This Row],[D/C]]="C",cmf[[#This Row],[Valor]],-1*cmf[[#This Row],[Valor]])</f>
        <v>-10000</v>
      </c>
      <c r="L1838" s="524" t="s">
        <v>1207</v>
      </c>
      <c r="M1838" s="524" t="s">
        <v>1208</v>
      </c>
      <c r="N1838" s="524" t="s">
        <v>1209</v>
      </c>
      <c r="O1838" s="524" t="s">
        <v>1210</v>
      </c>
      <c r="P1838" s="526"/>
      <c r="S1838" s="527">
        <v>0</v>
      </c>
    </row>
    <row r="1839" spans="1:19" x14ac:dyDescent="0.2">
      <c r="A1839" s="524">
        <v>70610</v>
      </c>
      <c r="B1839" s="526">
        <v>46225</v>
      </c>
      <c r="C1839" s="524" t="s">
        <v>1162</v>
      </c>
      <c r="D1839" s="524" t="s">
        <v>1205</v>
      </c>
      <c r="E1839" s="524" t="s">
        <v>1211</v>
      </c>
      <c r="F1839" s="524" t="s">
        <v>1170</v>
      </c>
      <c r="G1839" s="524" t="s">
        <v>771</v>
      </c>
      <c r="H1839" s="527">
        <v>10000</v>
      </c>
      <c r="I1839" s="524" t="s">
        <v>1148</v>
      </c>
      <c r="J1839" s="524">
        <f>IF(cmf[[#This Row],[D/C]]="C",cmf[[#This Row],[Valor]],-1*cmf[[#This Row],[Valor]])</f>
        <v>10000</v>
      </c>
      <c r="L1839" s="524" t="s">
        <v>1207</v>
      </c>
      <c r="M1839" s="524" t="s">
        <v>1208</v>
      </c>
      <c r="N1839" s="524" t="s">
        <v>1249</v>
      </c>
      <c r="O1839" s="524" t="s">
        <v>1250</v>
      </c>
      <c r="P1839" s="526"/>
      <c r="S1839" s="527">
        <v>0</v>
      </c>
    </row>
    <row r="1840" spans="1:19" x14ac:dyDescent="0.2">
      <c r="A1840" s="524">
        <v>70611</v>
      </c>
      <c r="B1840" s="526">
        <v>46225</v>
      </c>
      <c r="C1840" s="524" t="s">
        <v>1148</v>
      </c>
      <c r="D1840" s="524" t="s">
        <v>1205</v>
      </c>
      <c r="E1840" s="524" t="s">
        <v>1214</v>
      </c>
      <c r="F1840" s="524" t="s">
        <v>1183</v>
      </c>
      <c r="G1840" s="524" t="s">
        <v>806</v>
      </c>
      <c r="H1840" s="527">
        <v>100000</v>
      </c>
      <c r="I1840" s="524" t="s">
        <v>1174</v>
      </c>
      <c r="J1840" s="524">
        <f>IF(cmf[[#This Row],[D/C]]="C",cmf[[#This Row],[Valor]],-1*cmf[[#This Row],[Valor]])</f>
        <v>-100000</v>
      </c>
      <c r="L1840" s="524" t="s">
        <v>1207</v>
      </c>
      <c r="M1840" s="524" t="s">
        <v>1208</v>
      </c>
      <c r="N1840" s="524" t="s">
        <v>1283</v>
      </c>
      <c r="O1840" s="524" t="s">
        <v>1284</v>
      </c>
      <c r="P1840" s="526">
        <v>46225</v>
      </c>
      <c r="S1840" s="527">
        <v>0</v>
      </c>
    </row>
    <row r="1841" spans="1:19" x14ac:dyDescent="0.2">
      <c r="A1841" s="524">
        <v>70612</v>
      </c>
      <c r="B1841" s="526">
        <v>46225</v>
      </c>
      <c r="C1841" s="524" t="s">
        <v>1148</v>
      </c>
      <c r="D1841" s="524" t="s">
        <v>1205</v>
      </c>
      <c r="E1841" s="524" t="s">
        <v>1539</v>
      </c>
      <c r="F1841" s="524" t="s">
        <v>1183</v>
      </c>
      <c r="G1841" s="524" t="s">
        <v>742</v>
      </c>
      <c r="H1841" s="527">
        <v>100000</v>
      </c>
      <c r="I1841" s="524" t="s">
        <v>1148</v>
      </c>
      <c r="J1841" s="524">
        <f>IF(cmf[[#This Row],[D/C]]="C",cmf[[#This Row],[Valor]],-1*cmf[[#This Row],[Valor]])</f>
        <v>100000</v>
      </c>
      <c r="L1841" s="524" t="s">
        <v>1207</v>
      </c>
      <c r="M1841" s="524" t="s">
        <v>1208</v>
      </c>
      <c r="N1841" s="524" t="s">
        <v>1215</v>
      </c>
      <c r="O1841" s="524" t="s">
        <v>1218</v>
      </c>
      <c r="P1841" s="526">
        <v>46225</v>
      </c>
      <c r="S1841" s="527">
        <v>0</v>
      </c>
    </row>
    <row r="1842" spans="1:19" x14ac:dyDescent="0.2">
      <c r="A1842" s="524">
        <v>70613</v>
      </c>
      <c r="B1842" s="526">
        <v>46225</v>
      </c>
      <c r="C1842" s="524" t="s">
        <v>1148</v>
      </c>
      <c r="D1842" s="524" t="s">
        <v>1205</v>
      </c>
      <c r="E1842" s="524" t="s">
        <v>1541</v>
      </c>
      <c r="F1842" s="524" t="s">
        <v>1183</v>
      </c>
      <c r="G1842" s="524" t="s">
        <v>742</v>
      </c>
      <c r="H1842" s="527">
        <v>32000</v>
      </c>
      <c r="I1842" s="524" t="s">
        <v>1174</v>
      </c>
      <c r="J1842" s="524">
        <f>IF(cmf[[#This Row],[D/C]]="C",cmf[[#This Row],[Valor]],-1*cmf[[#This Row],[Valor]])</f>
        <v>-32000</v>
      </c>
      <c r="L1842" s="524" t="s">
        <v>1207</v>
      </c>
      <c r="M1842" s="524" t="s">
        <v>1208</v>
      </c>
      <c r="N1842" s="524" t="s">
        <v>1215</v>
      </c>
      <c r="O1842" s="524" t="s">
        <v>1218</v>
      </c>
      <c r="P1842" s="526">
        <v>46225</v>
      </c>
      <c r="S1842" s="527">
        <v>0</v>
      </c>
    </row>
    <row r="1843" spans="1:19" x14ac:dyDescent="0.2">
      <c r="A1843" s="524">
        <v>70614</v>
      </c>
      <c r="B1843" s="526">
        <v>46225</v>
      </c>
      <c r="C1843" s="524" t="s">
        <v>1148</v>
      </c>
      <c r="D1843" s="524" t="s">
        <v>1205</v>
      </c>
      <c r="E1843" s="524" t="s">
        <v>1217</v>
      </c>
      <c r="F1843" s="524" t="s">
        <v>1183</v>
      </c>
      <c r="G1843" s="524" t="s">
        <v>766</v>
      </c>
      <c r="H1843" s="527">
        <v>32000</v>
      </c>
      <c r="I1843" s="524" t="s">
        <v>1148</v>
      </c>
      <c r="J1843" s="524">
        <f>IF(cmf[[#This Row],[D/C]]="C",cmf[[#This Row],[Valor]],-1*cmf[[#This Row],[Valor]])</f>
        <v>32000</v>
      </c>
      <c r="L1843" s="524" t="s">
        <v>1207</v>
      </c>
      <c r="M1843" s="524" t="s">
        <v>1208</v>
      </c>
      <c r="N1843" s="524" t="s">
        <v>1200</v>
      </c>
      <c r="O1843" s="524" t="s">
        <v>1201</v>
      </c>
      <c r="P1843" s="526">
        <v>46225</v>
      </c>
      <c r="S1843" s="527">
        <v>0</v>
      </c>
    </row>
    <row r="1844" spans="1:19" x14ac:dyDescent="0.2">
      <c r="A1844" s="524">
        <v>70615</v>
      </c>
      <c r="B1844" s="526">
        <v>46225</v>
      </c>
      <c r="C1844" s="524" t="s">
        <v>1148</v>
      </c>
      <c r="D1844" s="524" t="s">
        <v>1205</v>
      </c>
      <c r="E1844" s="524" t="s">
        <v>1334</v>
      </c>
      <c r="F1844" s="524" t="s">
        <v>1183</v>
      </c>
      <c r="G1844" s="524" t="s">
        <v>742</v>
      </c>
      <c r="H1844" s="527">
        <v>70000</v>
      </c>
      <c r="I1844" s="524" t="s">
        <v>1174</v>
      </c>
      <c r="J1844" s="524">
        <f>IF(cmf[[#This Row],[D/C]]="C",cmf[[#This Row],[Valor]],-1*cmf[[#This Row],[Valor]])</f>
        <v>-70000</v>
      </c>
      <c r="L1844" s="524" t="s">
        <v>1207</v>
      </c>
      <c r="M1844" s="524" t="s">
        <v>1208</v>
      </c>
      <c r="N1844" s="524" t="s">
        <v>1215</v>
      </c>
      <c r="O1844" s="524" t="s">
        <v>1218</v>
      </c>
      <c r="P1844" s="526">
        <v>46225</v>
      </c>
      <c r="S1844" s="527">
        <v>0</v>
      </c>
    </row>
    <row r="1845" spans="1:19" x14ac:dyDescent="0.2">
      <c r="A1845" s="524">
        <v>70616</v>
      </c>
      <c r="B1845" s="526">
        <v>46225</v>
      </c>
      <c r="C1845" s="524" t="s">
        <v>1148</v>
      </c>
      <c r="D1845" s="524" t="s">
        <v>1205</v>
      </c>
      <c r="E1845" s="524" t="s">
        <v>1217</v>
      </c>
      <c r="F1845" s="524" t="s">
        <v>1183</v>
      </c>
      <c r="G1845" s="524" t="s">
        <v>769</v>
      </c>
      <c r="H1845" s="527">
        <v>70000</v>
      </c>
      <c r="I1845" s="524" t="s">
        <v>1148</v>
      </c>
      <c r="J1845" s="524">
        <f>IF(cmf[[#This Row],[D/C]]="C",cmf[[#This Row],[Valor]],-1*cmf[[#This Row],[Valor]])</f>
        <v>70000</v>
      </c>
      <c r="L1845" s="524" t="s">
        <v>1207</v>
      </c>
      <c r="M1845" s="524" t="s">
        <v>1208</v>
      </c>
      <c r="N1845" s="524" t="s">
        <v>1219</v>
      </c>
      <c r="O1845" s="524" t="s">
        <v>1220</v>
      </c>
      <c r="P1845" s="526">
        <v>46225</v>
      </c>
      <c r="S1845" s="527">
        <v>0</v>
      </c>
    </row>
    <row r="1846" spans="1:19" x14ac:dyDescent="0.2">
      <c r="A1846" s="524">
        <v>70617</v>
      </c>
      <c r="B1846" s="526">
        <v>46225</v>
      </c>
      <c r="C1846" s="524" t="s">
        <v>1148</v>
      </c>
      <c r="D1846" s="524" t="s">
        <v>1205</v>
      </c>
      <c r="E1846" s="524" t="s">
        <v>1335</v>
      </c>
      <c r="F1846" s="524" t="s">
        <v>1183</v>
      </c>
      <c r="G1846" s="524" t="s">
        <v>742</v>
      </c>
      <c r="H1846" s="527">
        <v>25000</v>
      </c>
      <c r="I1846" s="524" t="s">
        <v>1174</v>
      </c>
      <c r="J1846" s="524">
        <f>IF(cmf[[#This Row],[D/C]]="C",cmf[[#This Row],[Valor]],-1*cmf[[#This Row],[Valor]])</f>
        <v>-25000</v>
      </c>
      <c r="L1846" s="524" t="s">
        <v>1207</v>
      </c>
      <c r="M1846" s="524" t="s">
        <v>1208</v>
      </c>
      <c r="N1846" s="524" t="s">
        <v>1215</v>
      </c>
      <c r="O1846" s="524" t="s">
        <v>1218</v>
      </c>
      <c r="P1846" s="526">
        <v>46225</v>
      </c>
      <c r="S1846" s="527">
        <v>0</v>
      </c>
    </row>
    <row r="1847" spans="1:19" x14ac:dyDescent="0.2">
      <c r="A1847" s="524">
        <v>70618</v>
      </c>
      <c r="B1847" s="526">
        <v>46225</v>
      </c>
      <c r="C1847" s="524" t="s">
        <v>1148</v>
      </c>
      <c r="D1847" s="524" t="s">
        <v>1205</v>
      </c>
      <c r="E1847" s="524" t="s">
        <v>1217</v>
      </c>
      <c r="F1847" s="524" t="s">
        <v>1183</v>
      </c>
      <c r="G1847" s="524" t="s">
        <v>800</v>
      </c>
      <c r="H1847" s="527">
        <v>25000</v>
      </c>
      <c r="I1847" s="524" t="s">
        <v>1148</v>
      </c>
      <c r="J1847" s="524">
        <f>IF(cmf[[#This Row],[D/C]]="C",cmf[[#This Row],[Valor]],-1*cmf[[#This Row],[Valor]])</f>
        <v>25000</v>
      </c>
      <c r="L1847" s="524" t="s">
        <v>1207</v>
      </c>
      <c r="M1847" s="524" t="s">
        <v>1208</v>
      </c>
      <c r="N1847" s="524" t="s">
        <v>1171</v>
      </c>
      <c r="O1847" s="524" t="s">
        <v>1172</v>
      </c>
      <c r="P1847" s="526">
        <v>46225</v>
      </c>
      <c r="S1847" s="527">
        <v>0</v>
      </c>
    </row>
    <row r="1848" spans="1:19" x14ac:dyDescent="0.2">
      <c r="A1848" s="524">
        <v>70619</v>
      </c>
      <c r="B1848" s="526">
        <v>46225</v>
      </c>
      <c r="C1848" s="524" t="s">
        <v>1148</v>
      </c>
      <c r="D1848" s="524" t="s">
        <v>1205</v>
      </c>
      <c r="E1848" s="524" t="s">
        <v>1214</v>
      </c>
      <c r="F1848" s="524" t="s">
        <v>1183</v>
      </c>
      <c r="G1848" s="524" t="s">
        <v>806</v>
      </c>
      <c r="H1848" s="527">
        <v>50000</v>
      </c>
      <c r="I1848" s="524" t="s">
        <v>1174</v>
      </c>
      <c r="J1848" s="524">
        <f>IF(cmf[[#This Row],[D/C]]="C",cmf[[#This Row],[Valor]],-1*cmf[[#This Row],[Valor]])</f>
        <v>-50000</v>
      </c>
      <c r="L1848" s="524" t="s">
        <v>1207</v>
      </c>
      <c r="M1848" s="524" t="s">
        <v>1208</v>
      </c>
      <c r="N1848" s="524" t="s">
        <v>1283</v>
      </c>
      <c r="O1848" s="524" t="s">
        <v>1284</v>
      </c>
      <c r="P1848" s="526">
        <v>46225</v>
      </c>
      <c r="S1848" s="527">
        <v>0</v>
      </c>
    </row>
    <row r="1849" spans="1:19" x14ac:dyDescent="0.2">
      <c r="A1849" s="524">
        <v>70620</v>
      </c>
      <c r="B1849" s="526">
        <v>46225</v>
      </c>
      <c r="C1849" s="524" t="s">
        <v>1148</v>
      </c>
      <c r="D1849" s="524" t="s">
        <v>1205</v>
      </c>
      <c r="E1849" s="524" t="s">
        <v>1539</v>
      </c>
      <c r="F1849" s="524" t="s">
        <v>1183</v>
      </c>
      <c r="G1849" s="524" t="s">
        <v>742</v>
      </c>
      <c r="H1849" s="527">
        <v>50000</v>
      </c>
      <c r="I1849" s="524" t="s">
        <v>1148</v>
      </c>
      <c r="J1849" s="524">
        <f>IF(cmf[[#This Row],[D/C]]="C",cmf[[#This Row],[Valor]],-1*cmf[[#This Row],[Valor]])</f>
        <v>50000</v>
      </c>
      <c r="L1849" s="524" t="s">
        <v>1207</v>
      </c>
      <c r="M1849" s="524" t="s">
        <v>1208</v>
      </c>
      <c r="N1849" s="524" t="s">
        <v>1215</v>
      </c>
      <c r="O1849" s="524" t="s">
        <v>1218</v>
      </c>
      <c r="P1849" s="526">
        <v>46225</v>
      </c>
      <c r="S1849" s="527">
        <v>0</v>
      </c>
    </row>
    <row r="1850" spans="1:19" x14ac:dyDescent="0.2">
      <c r="A1850" s="524">
        <v>70621</v>
      </c>
      <c r="B1850" s="526">
        <v>46225</v>
      </c>
      <c r="C1850" s="524" t="s">
        <v>1148</v>
      </c>
      <c r="D1850" s="524" t="s">
        <v>1205</v>
      </c>
      <c r="E1850" s="524" t="s">
        <v>1536</v>
      </c>
      <c r="F1850" s="524" t="s">
        <v>1183</v>
      </c>
      <c r="G1850" s="524" t="s">
        <v>742</v>
      </c>
      <c r="H1850" s="527">
        <v>5000</v>
      </c>
      <c r="I1850" s="524" t="s">
        <v>1174</v>
      </c>
      <c r="J1850" s="524">
        <f>IF(cmf[[#This Row],[D/C]]="C",cmf[[#This Row],[Valor]],-1*cmf[[#This Row],[Valor]])</f>
        <v>-5000</v>
      </c>
      <c r="L1850" s="524" t="s">
        <v>1207</v>
      </c>
      <c r="M1850" s="524" t="s">
        <v>1208</v>
      </c>
      <c r="N1850" s="524" t="s">
        <v>1215</v>
      </c>
      <c r="O1850" s="524" t="s">
        <v>1218</v>
      </c>
      <c r="P1850" s="526">
        <v>46225</v>
      </c>
      <c r="S1850" s="527">
        <v>0</v>
      </c>
    </row>
    <row r="1851" spans="1:19" x14ac:dyDescent="0.2">
      <c r="A1851" s="524">
        <v>70622</v>
      </c>
      <c r="B1851" s="526">
        <v>46225</v>
      </c>
      <c r="C1851" s="524" t="s">
        <v>1148</v>
      </c>
      <c r="D1851" s="524" t="s">
        <v>1205</v>
      </c>
      <c r="E1851" s="524" t="s">
        <v>1217</v>
      </c>
      <c r="F1851" s="524" t="s">
        <v>1183</v>
      </c>
      <c r="G1851" s="524" t="s">
        <v>745</v>
      </c>
      <c r="H1851" s="527">
        <v>5000</v>
      </c>
      <c r="I1851" s="524" t="s">
        <v>1148</v>
      </c>
      <c r="J1851" s="524">
        <f>IF(cmf[[#This Row],[D/C]]="C",cmf[[#This Row],[Valor]],-1*cmf[[#This Row],[Valor]])</f>
        <v>5000</v>
      </c>
      <c r="L1851" s="524" t="s">
        <v>1207</v>
      </c>
      <c r="M1851" s="524" t="s">
        <v>1208</v>
      </c>
      <c r="N1851" s="524" t="s">
        <v>1292</v>
      </c>
      <c r="O1851" s="524" t="s">
        <v>1293</v>
      </c>
      <c r="P1851" s="526">
        <v>46225</v>
      </c>
      <c r="S1851" s="527">
        <v>0</v>
      </c>
    </row>
    <row r="1852" spans="1:19" x14ac:dyDescent="0.2">
      <c r="A1852" s="524">
        <v>70636</v>
      </c>
      <c r="B1852" s="526">
        <v>46225</v>
      </c>
      <c r="C1852" s="524" t="s">
        <v>1148</v>
      </c>
      <c r="D1852" s="524" t="s">
        <v>1243</v>
      </c>
      <c r="E1852" s="524" t="s">
        <v>1254</v>
      </c>
      <c r="F1852" s="524" t="s">
        <v>1178</v>
      </c>
      <c r="G1852" s="524" t="s">
        <v>1179</v>
      </c>
      <c r="H1852" s="527">
        <v>602.5</v>
      </c>
      <c r="I1852" s="524" t="s">
        <v>1148</v>
      </c>
      <c r="J1852" s="524">
        <f>IF(cmf[[#This Row],[D/C]]="C",cmf[[#This Row],[Valor]],-1*cmf[[#This Row],[Valor]])</f>
        <v>602.5</v>
      </c>
      <c r="L1852" s="524" t="s">
        <v>1245</v>
      </c>
      <c r="M1852" s="524" t="s">
        <v>1246</v>
      </c>
      <c r="N1852" s="524" t="s">
        <v>1180</v>
      </c>
      <c r="O1852" s="524" t="s">
        <v>1181</v>
      </c>
      <c r="P1852" s="526">
        <v>46225</v>
      </c>
      <c r="S1852" s="527">
        <v>0</v>
      </c>
    </row>
    <row r="1853" spans="1:19" x14ac:dyDescent="0.2">
      <c r="A1853" s="524">
        <v>70711</v>
      </c>
      <c r="B1853" s="526">
        <v>46225</v>
      </c>
      <c r="C1853" s="524" t="s">
        <v>1162</v>
      </c>
      <c r="D1853" s="524" t="s">
        <v>1186</v>
      </c>
      <c r="E1853" s="524" t="s">
        <v>2322</v>
      </c>
      <c r="F1853" s="524" t="s">
        <v>1170</v>
      </c>
      <c r="G1853" s="524" t="s">
        <v>781</v>
      </c>
      <c r="H1853" s="527">
        <v>13722.97</v>
      </c>
      <c r="I1853" s="524" t="s">
        <v>1174</v>
      </c>
      <c r="J1853" s="524">
        <f>IF(cmf[[#This Row],[D/C]]="C",cmf[[#This Row],[Valor]],-1*cmf[[#This Row],[Valor]])</f>
        <v>-13722.97</v>
      </c>
      <c r="L1853" s="524" t="s">
        <v>1188</v>
      </c>
      <c r="M1853" s="524" t="s">
        <v>1189</v>
      </c>
      <c r="N1853" s="524" t="s">
        <v>1209</v>
      </c>
      <c r="O1853" s="524" t="s">
        <v>1210</v>
      </c>
      <c r="P1853" s="526"/>
      <c r="S1853" s="527">
        <v>0</v>
      </c>
    </row>
    <row r="1854" spans="1:19" x14ac:dyDescent="0.2">
      <c r="A1854" s="524">
        <v>70736</v>
      </c>
      <c r="B1854" s="526">
        <v>46225</v>
      </c>
      <c r="C1854" s="524" t="s">
        <v>1148</v>
      </c>
      <c r="D1854" s="524" t="s">
        <v>1239</v>
      </c>
      <c r="E1854" s="524" t="s">
        <v>1253</v>
      </c>
      <c r="F1854" s="524" t="s">
        <v>1170</v>
      </c>
      <c r="G1854" s="524" t="s">
        <v>802</v>
      </c>
      <c r="H1854" s="527">
        <v>0.2</v>
      </c>
      <c r="I1854" s="524" t="s">
        <v>1174</v>
      </c>
      <c r="J1854" s="524">
        <f>IF(cmf[[#This Row],[D/C]]="C",cmf[[#This Row],[Valor]],-1*cmf[[#This Row],[Valor]])</f>
        <v>-0.2</v>
      </c>
      <c r="L1854" s="524" t="s">
        <v>1241</v>
      </c>
      <c r="M1854" s="524" t="s">
        <v>1242</v>
      </c>
      <c r="N1854" s="524" t="s">
        <v>1192</v>
      </c>
      <c r="O1854" s="524" t="s">
        <v>1193</v>
      </c>
      <c r="P1854" s="526">
        <v>46225</v>
      </c>
      <c r="S1854" s="527">
        <v>0</v>
      </c>
    </row>
    <row r="1855" spans="1:19" x14ac:dyDescent="0.2">
      <c r="A1855" s="524">
        <v>70796</v>
      </c>
      <c r="B1855" s="526">
        <v>46225</v>
      </c>
      <c r="C1855" s="524" t="s">
        <v>1148</v>
      </c>
      <c r="D1855" s="524" t="s">
        <v>1239</v>
      </c>
      <c r="E1855" s="524" t="s">
        <v>1258</v>
      </c>
      <c r="F1855" s="524" t="s">
        <v>1170</v>
      </c>
      <c r="G1855" s="524" t="s">
        <v>1102</v>
      </c>
      <c r="H1855" s="527">
        <v>6.3</v>
      </c>
      <c r="I1855" s="524" t="s">
        <v>1174</v>
      </c>
      <c r="J1855" s="524">
        <f>IF(cmf[[#This Row],[D/C]]="C",cmf[[#This Row],[Valor]],-1*cmf[[#This Row],[Valor]])</f>
        <v>-6.3</v>
      </c>
      <c r="L1855" s="524" t="s">
        <v>1241</v>
      </c>
      <c r="M1855" s="524" t="s">
        <v>1242</v>
      </c>
      <c r="N1855" s="524" t="s">
        <v>1192</v>
      </c>
      <c r="O1855" s="524" t="s">
        <v>1193</v>
      </c>
      <c r="P1855" s="526">
        <v>46225</v>
      </c>
      <c r="S1855" s="527">
        <v>0</v>
      </c>
    </row>
    <row r="1856" spans="1:19" x14ac:dyDescent="0.2">
      <c r="A1856" s="524">
        <v>70797</v>
      </c>
      <c r="B1856" s="526">
        <v>46225</v>
      </c>
      <c r="C1856" s="524" t="s">
        <v>1148</v>
      </c>
      <c r="D1856" s="524" t="s">
        <v>1239</v>
      </c>
      <c r="E1856" s="524" t="s">
        <v>1258</v>
      </c>
      <c r="F1856" s="524" t="s">
        <v>1170</v>
      </c>
      <c r="G1856" s="524" t="s">
        <v>1102</v>
      </c>
      <c r="H1856" s="527">
        <v>1.2</v>
      </c>
      <c r="I1856" s="524" t="s">
        <v>1174</v>
      </c>
      <c r="J1856" s="524">
        <f>IF(cmf[[#This Row],[D/C]]="C",cmf[[#This Row],[Valor]],-1*cmf[[#This Row],[Valor]])</f>
        <v>-1.2</v>
      </c>
      <c r="L1856" s="524" t="s">
        <v>1241</v>
      </c>
      <c r="M1856" s="524" t="s">
        <v>1242</v>
      </c>
      <c r="N1856" s="524" t="s">
        <v>1192</v>
      </c>
      <c r="O1856" s="524" t="s">
        <v>1193</v>
      </c>
      <c r="P1856" s="526">
        <v>46225</v>
      </c>
      <c r="S1856" s="527">
        <v>0</v>
      </c>
    </row>
    <row r="1857" spans="1:19" x14ac:dyDescent="0.2">
      <c r="A1857" s="524">
        <v>70975</v>
      </c>
      <c r="B1857" s="526">
        <v>46225</v>
      </c>
      <c r="C1857" s="524" t="s">
        <v>1148</v>
      </c>
      <c r="D1857" s="524" t="s">
        <v>1239</v>
      </c>
      <c r="E1857" s="524" t="s">
        <v>1253</v>
      </c>
      <c r="F1857" s="524" t="s">
        <v>1170</v>
      </c>
      <c r="G1857" s="524" t="s">
        <v>798</v>
      </c>
      <c r="H1857" s="527">
        <v>0.4</v>
      </c>
      <c r="I1857" s="524" t="s">
        <v>1174</v>
      </c>
      <c r="J1857" s="524">
        <f>IF(cmf[[#This Row],[D/C]]="C",cmf[[#This Row],[Valor]],-1*cmf[[#This Row],[Valor]])</f>
        <v>-0.4</v>
      </c>
      <c r="L1857" s="524" t="s">
        <v>1241</v>
      </c>
      <c r="M1857" s="524" t="s">
        <v>1242</v>
      </c>
      <c r="N1857" s="524" t="s">
        <v>1171</v>
      </c>
      <c r="O1857" s="524" t="s">
        <v>1172</v>
      </c>
      <c r="P1857" s="526">
        <v>46225</v>
      </c>
      <c r="S1857" s="527">
        <v>0</v>
      </c>
    </row>
    <row r="1858" spans="1:19" x14ac:dyDescent="0.2">
      <c r="A1858" s="524">
        <v>71027</v>
      </c>
      <c r="B1858" s="526">
        <v>46225</v>
      </c>
      <c r="C1858" s="524" t="s">
        <v>1148</v>
      </c>
      <c r="D1858" s="524" t="s">
        <v>1239</v>
      </c>
      <c r="E1858" s="524" t="s">
        <v>1253</v>
      </c>
      <c r="F1858" s="524" t="s">
        <v>1170</v>
      </c>
      <c r="G1858" s="524" t="s">
        <v>799</v>
      </c>
      <c r="H1858" s="527">
        <v>0.4</v>
      </c>
      <c r="I1858" s="524" t="s">
        <v>1174</v>
      </c>
      <c r="J1858" s="524">
        <f>IF(cmf[[#This Row],[D/C]]="C",cmf[[#This Row],[Valor]],-1*cmf[[#This Row],[Valor]])</f>
        <v>-0.4</v>
      </c>
      <c r="L1858" s="524" t="s">
        <v>1241</v>
      </c>
      <c r="M1858" s="524" t="s">
        <v>1242</v>
      </c>
      <c r="N1858" s="524" t="s">
        <v>1171</v>
      </c>
      <c r="O1858" s="524" t="s">
        <v>1172</v>
      </c>
      <c r="P1858" s="526">
        <v>46225</v>
      </c>
      <c r="S1858" s="527">
        <v>0</v>
      </c>
    </row>
    <row r="1859" spans="1:19" x14ac:dyDescent="0.2">
      <c r="A1859" s="524">
        <v>71069</v>
      </c>
      <c r="B1859" s="526">
        <v>46225</v>
      </c>
      <c r="C1859" s="524" t="s">
        <v>1148</v>
      </c>
      <c r="D1859" s="524" t="s">
        <v>1186</v>
      </c>
      <c r="E1859" s="524" t="s">
        <v>2323</v>
      </c>
      <c r="F1859" s="524" t="s">
        <v>1170</v>
      </c>
      <c r="G1859" s="524" t="s">
        <v>802</v>
      </c>
      <c r="H1859" s="527">
        <v>10905.81</v>
      </c>
      <c r="I1859" s="524" t="s">
        <v>1174</v>
      </c>
      <c r="J1859" s="524">
        <f>IF(cmf[[#This Row],[D/C]]="C",cmf[[#This Row],[Valor]],-1*cmf[[#This Row],[Valor]])</f>
        <v>-10905.81</v>
      </c>
      <c r="L1859" s="524" t="s">
        <v>1188</v>
      </c>
      <c r="M1859" s="524" t="s">
        <v>1189</v>
      </c>
      <c r="N1859" s="524" t="s">
        <v>1192</v>
      </c>
      <c r="O1859" s="524" t="s">
        <v>1193</v>
      </c>
      <c r="P1859" s="526">
        <v>46225</v>
      </c>
      <c r="S1859" s="527">
        <v>0</v>
      </c>
    </row>
    <row r="1860" spans="1:19" x14ac:dyDescent="0.2">
      <c r="A1860" s="524">
        <v>71091</v>
      </c>
      <c r="B1860" s="526">
        <v>46225</v>
      </c>
      <c r="C1860" s="524" t="s">
        <v>1148</v>
      </c>
      <c r="D1860" s="524" t="s">
        <v>1239</v>
      </c>
      <c r="E1860" s="524" t="s">
        <v>1255</v>
      </c>
      <c r="F1860" s="524" t="s">
        <v>1170</v>
      </c>
      <c r="G1860" s="524" t="s">
        <v>762</v>
      </c>
      <c r="H1860" s="527">
        <v>0.4</v>
      </c>
      <c r="I1860" s="524" t="s">
        <v>1174</v>
      </c>
      <c r="J1860" s="524">
        <f>IF(cmf[[#This Row],[D/C]]="C",cmf[[#This Row],[Valor]],-1*cmf[[#This Row],[Valor]])</f>
        <v>-0.4</v>
      </c>
      <c r="L1860" s="524" t="s">
        <v>1241</v>
      </c>
      <c r="M1860" s="524" t="s">
        <v>1242</v>
      </c>
      <c r="N1860" s="524" t="s">
        <v>1180</v>
      </c>
      <c r="O1860" s="524" t="s">
        <v>1181</v>
      </c>
      <c r="P1860" s="526">
        <v>46225</v>
      </c>
      <c r="S1860" s="527">
        <v>0</v>
      </c>
    </row>
    <row r="1861" spans="1:19" x14ac:dyDescent="0.2">
      <c r="A1861" s="524">
        <v>71252</v>
      </c>
      <c r="B1861" s="526">
        <v>46225</v>
      </c>
      <c r="C1861" s="524" t="s">
        <v>1148</v>
      </c>
      <c r="D1861" s="524" t="s">
        <v>1239</v>
      </c>
      <c r="E1861" s="524" t="s">
        <v>1312</v>
      </c>
      <c r="F1861" s="524" t="s">
        <v>1170</v>
      </c>
      <c r="G1861" s="524" t="s">
        <v>749</v>
      </c>
      <c r="H1861" s="527">
        <v>35</v>
      </c>
      <c r="I1861" s="524" t="s">
        <v>1174</v>
      </c>
      <c r="J1861" s="524">
        <f>IF(cmf[[#This Row],[D/C]]="C",cmf[[#This Row],[Valor]],-1*cmf[[#This Row],[Valor]])</f>
        <v>-35</v>
      </c>
      <c r="L1861" s="524" t="s">
        <v>1241</v>
      </c>
      <c r="M1861" s="524" t="s">
        <v>1242</v>
      </c>
      <c r="N1861" s="524" t="s">
        <v>1256</v>
      </c>
      <c r="O1861" s="524" t="s">
        <v>1257</v>
      </c>
      <c r="P1861" s="526">
        <v>46225</v>
      </c>
      <c r="S1861" s="527">
        <v>0</v>
      </c>
    </row>
    <row r="1862" spans="1:19" x14ac:dyDescent="0.2">
      <c r="A1862" s="524">
        <v>71547</v>
      </c>
      <c r="B1862" s="526">
        <v>46225</v>
      </c>
      <c r="C1862" s="524" t="s">
        <v>1148</v>
      </c>
      <c r="D1862" s="524" t="s">
        <v>1243</v>
      </c>
      <c r="E1862" s="524" t="s">
        <v>1244</v>
      </c>
      <c r="F1862" s="524" t="s">
        <v>1183</v>
      </c>
      <c r="G1862" s="524" t="s">
        <v>803</v>
      </c>
      <c r="H1862" s="527">
        <v>101.68</v>
      </c>
      <c r="I1862" s="524" t="s">
        <v>1148</v>
      </c>
      <c r="J1862" s="524">
        <f>IF(cmf[[#This Row],[D/C]]="C",cmf[[#This Row],[Valor]],-1*cmf[[#This Row],[Valor]])</f>
        <v>101.68</v>
      </c>
      <c r="L1862" s="524" t="s">
        <v>1245</v>
      </c>
      <c r="M1862" s="524" t="s">
        <v>1246</v>
      </c>
      <c r="N1862" s="524" t="s">
        <v>1192</v>
      </c>
      <c r="O1862" s="524" t="s">
        <v>1193</v>
      </c>
      <c r="P1862" s="526">
        <v>46225</v>
      </c>
      <c r="S1862" s="527">
        <v>0</v>
      </c>
    </row>
    <row r="1863" spans="1:19" x14ac:dyDescent="0.2">
      <c r="A1863" s="524">
        <v>71572</v>
      </c>
      <c r="B1863" s="526">
        <v>46225</v>
      </c>
      <c r="C1863" s="524" t="s">
        <v>1148</v>
      </c>
      <c r="D1863" s="524" t="s">
        <v>1243</v>
      </c>
      <c r="E1863" s="524" t="s">
        <v>1244</v>
      </c>
      <c r="F1863" s="524" t="s">
        <v>1183</v>
      </c>
      <c r="G1863" s="524" t="s">
        <v>800</v>
      </c>
      <c r="H1863" s="527">
        <v>442.18</v>
      </c>
      <c r="I1863" s="524" t="s">
        <v>1148</v>
      </c>
      <c r="J1863" s="524">
        <f>IF(cmf[[#This Row],[D/C]]="C",cmf[[#This Row],[Valor]],-1*cmf[[#This Row],[Valor]])</f>
        <v>442.18</v>
      </c>
      <c r="L1863" s="524" t="s">
        <v>1245</v>
      </c>
      <c r="M1863" s="524" t="s">
        <v>1246</v>
      </c>
      <c r="N1863" s="524" t="s">
        <v>1171</v>
      </c>
      <c r="O1863" s="524" t="s">
        <v>1172</v>
      </c>
      <c r="P1863" s="526">
        <v>46225</v>
      </c>
      <c r="S1863" s="527">
        <v>0</v>
      </c>
    </row>
    <row r="1864" spans="1:19" x14ac:dyDescent="0.2">
      <c r="A1864" s="524">
        <v>71662</v>
      </c>
      <c r="B1864" s="526">
        <v>46225</v>
      </c>
      <c r="C1864" s="524" t="s">
        <v>1148</v>
      </c>
      <c r="D1864" s="524" t="s">
        <v>1243</v>
      </c>
      <c r="E1864" s="524" t="s">
        <v>1266</v>
      </c>
      <c r="F1864" s="524" t="s">
        <v>1183</v>
      </c>
      <c r="G1864" s="524" t="s">
        <v>766</v>
      </c>
      <c r="H1864" s="527">
        <v>793.47</v>
      </c>
      <c r="I1864" s="524" t="s">
        <v>1174</v>
      </c>
      <c r="J1864" s="524">
        <f>IF(cmf[[#This Row],[D/C]]="C",cmf[[#This Row],[Valor]],-1*cmf[[#This Row],[Valor]])</f>
        <v>-793.47</v>
      </c>
      <c r="L1864" s="524" t="s">
        <v>1245</v>
      </c>
      <c r="M1864" s="524" t="s">
        <v>1246</v>
      </c>
      <c r="N1864" s="524" t="s">
        <v>1200</v>
      </c>
      <c r="O1864" s="524" t="s">
        <v>1201</v>
      </c>
      <c r="P1864" s="526">
        <v>46225</v>
      </c>
      <c r="S1864" s="527">
        <v>0</v>
      </c>
    </row>
    <row r="1865" spans="1:19" x14ac:dyDescent="0.2">
      <c r="A1865" s="524">
        <v>71800</v>
      </c>
      <c r="B1865" s="526">
        <v>46225</v>
      </c>
      <c r="C1865" s="524" t="s">
        <v>1148</v>
      </c>
      <c r="D1865" s="524" t="s">
        <v>1243</v>
      </c>
      <c r="E1865" s="524" t="s">
        <v>1266</v>
      </c>
      <c r="F1865" s="524" t="s">
        <v>1183</v>
      </c>
      <c r="G1865" s="524" t="s">
        <v>742</v>
      </c>
      <c r="H1865" s="527">
        <v>15611.96</v>
      </c>
      <c r="I1865" s="524" t="s">
        <v>1174</v>
      </c>
      <c r="J1865" s="524">
        <f>IF(cmf[[#This Row],[D/C]]="C",cmf[[#This Row],[Valor]],-1*cmf[[#This Row],[Valor]])</f>
        <v>-15611.96</v>
      </c>
      <c r="L1865" s="524" t="s">
        <v>1245</v>
      </c>
      <c r="M1865" s="524" t="s">
        <v>1246</v>
      </c>
      <c r="N1865" s="524" t="s">
        <v>1215</v>
      </c>
      <c r="O1865" s="524" t="s">
        <v>1267</v>
      </c>
      <c r="P1865" s="526">
        <v>46225</v>
      </c>
      <c r="S1865" s="527">
        <v>0</v>
      </c>
    </row>
    <row r="1866" spans="1:19" x14ac:dyDescent="0.2">
      <c r="A1866" s="524">
        <v>72542</v>
      </c>
      <c r="B1866" s="526">
        <v>46225</v>
      </c>
      <c r="C1866" s="524" t="s">
        <v>1148</v>
      </c>
      <c r="D1866" s="524" t="s">
        <v>1235</v>
      </c>
      <c r="E1866" s="524" t="s">
        <v>1581</v>
      </c>
      <c r="F1866" s="524" t="s">
        <v>1170</v>
      </c>
      <c r="G1866" s="524" t="s">
        <v>757</v>
      </c>
      <c r="H1866" s="527">
        <v>2400</v>
      </c>
      <c r="I1866" s="524" t="s">
        <v>1174</v>
      </c>
      <c r="J1866" s="524">
        <f>IF(cmf[[#This Row],[D/C]]="C",cmf[[#This Row],[Valor]],-1*cmf[[#This Row],[Valor]])</f>
        <v>-2400</v>
      </c>
      <c r="L1866" s="524" t="s">
        <v>1237</v>
      </c>
      <c r="M1866" s="524" t="s">
        <v>1238</v>
      </c>
      <c r="N1866" s="524" t="s">
        <v>1223</v>
      </c>
      <c r="O1866" s="524" t="s">
        <v>1224</v>
      </c>
      <c r="P1866" s="526">
        <v>46225</v>
      </c>
      <c r="S1866" s="527">
        <v>0</v>
      </c>
    </row>
    <row r="1867" spans="1:19" x14ac:dyDescent="0.2">
      <c r="A1867" s="524">
        <v>72543</v>
      </c>
      <c r="B1867" s="526">
        <v>46225</v>
      </c>
      <c r="C1867" s="524" t="s">
        <v>1148</v>
      </c>
      <c r="D1867" s="524" t="s">
        <v>1235</v>
      </c>
      <c r="E1867" s="524" t="s">
        <v>1581</v>
      </c>
      <c r="F1867" s="524" t="s">
        <v>1170</v>
      </c>
      <c r="G1867" s="524" t="s">
        <v>757</v>
      </c>
      <c r="H1867" s="527">
        <v>3000</v>
      </c>
      <c r="I1867" s="524" t="s">
        <v>1174</v>
      </c>
      <c r="J1867" s="524">
        <f>IF(cmf[[#This Row],[D/C]]="C",cmf[[#This Row],[Valor]],-1*cmf[[#This Row],[Valor]])</f>
        <v>-3000</v>
      </c>
      <c r="L1867" s="524" t="s">
        <v>1237</v>
      </c>
      <c r="M1867" s="524" t="s">
        <v>1238</v>
      </c>
      <c r="N1867" s="524" t="s">
        <v>1223</v>
      </c>
      <c r="O1867" s="524" t="s">
        <v>1224</v>
      </c>
      <c r="P1867" s="526">
        <v>46225</v>
      </c>
      <c r="S1867" s="527">
        <v>0</v>
      </c>
    </row>
    <row r="1868" spans="1:19" x14ac:dyDescent="0.2">
      <c r="A1868" s="524">
        <v>73537</v>
      </c>
      <c r="B1868" s="526">
        <v>46225</v>
      </c>
      <c r="C1868" s="524" t="s">
        <v>1162</v>
      </c>
      <c r="D1868" s="524" t="s">
        <v>1186</v>
      </c>
      <c r="E1868" s="524" t="s">
        <v>2324</v>
      </c>
      <c r="F1868" s="524" t="s">
        <v>1170</v>
      </c>
      <c r="G1868" s="524" t="s">
        <v>771</v>
      </c>
      <c r="H1868" s="527">
        <v>105200</v>
      </c>
      <c r="I1868" s="524" t="s">
        <v>1174</v>
      </c>
      <c r="J1868" s="524">
        <f>IF(cmf[[#This Row],[D/C]]="C",cmf[[#This Row],[Valor]],-1*cmf[[#This Row],[Valor]])</f>
        <v>-105200</v>
      </c>
      <c r="L1868" s="524" t="s">
        <v>1188</v>
      </c>
      <c r="M1868" s="524" t="s">
        <v>1189</v>
      </c>
      <c r="N1868" s="524" t="s">
        <v>1249</v>
      </c>
      <c r="O1868" s="524" t="s">
        <v>1250</v>
      </c>
      <c r="P1868" s="526"/>
      <c r="S1868" s="527">
        <v>0</v>
      </c>
    </row>
    <row r="1869" spans="1:19" x14ac:dyDescent="0.2">
      <c r="A1869" s="524">
        <v>70080</v>
      </c>
      <c r="B1869" s="526">
        <v>46226</v>
      </c>
      <c r="C1869" s="524" t="s">
        <v>1162</v>
      </c>
      <c r="D1869" s="524" t="s">
        <v>1163</v>
      </c>
      <c r="E1869" s="524" t="s">
        <v>1164</v>
      </c>
      <c r="F1869" s="524" t="s">
        <v>1165</v>
      </c>
      <c r="G1869" s="524" t="s">
        <v>756</v>
      </c>
      <c r="H1869" s="527">
        <v>27350.42</v>
      </c>
      <c r="I1869" s="524" t="s">
        <v>1148</v>
      </c>
      <c r="J1869" s="524">
        <f>IF(cmf[[#This Row],[D/C]]="C",cmf[[#This Row],[Valor]],-1*cmf[[#This Row],[Valor]])</f>
        <v>27350.42</v>
      </c>
      <c r="L1869" s="524" t="s">
        <v>1166</v>
      </c>
      <c r="M1869" s="524" t="s">
        <v>1167</v>
      </c>
      <c r="N1869" s="524" t="s">
        <v>1168</v>
      </c>
      <c r="O1869" s="524" t="s">
        <v>1169</v>
      </c>
      <c r="P1869" s="526"/>
      <c r="S1869" s="527">
        <v>0</v>
      </c>
    </row>
    <row r="1870" spans="1:19" x14ac:dyDescent="0.2">
      <c r="A1870" s="524">
        <v>70183</v>
      </c>
      <c r="B1870" s="526">
        <v>46226</v>
      </c>
      <c r="C1870" s="524" t="s">
        <v>1162</v>
      </c>
      <c r="D1870" s="524" t="s">
        <v>1163</v>
      </c>
      <c r="E1870" s="524" t="s">
        <v>1164</v>
      </c>
      <c r="F1870" s="524" t="s">
        <v>1183</v>
      </c>
      <c r="G1870" s="524" t="s">
        <v>796</v>
      </c>
      <c r="H1870" s="527">
        <v>5908.8</v>
      </c>
      <c r="I1870" s="524" t="s">
        <v>1148</v>
      </c>
      <c r="J1870" s="524">
        <f>IF(cmf[[#This Row],[D/C]]="C",cmf[[#This Row],[Valor]],-1*cmf[[#This Row],[Valor]])</f>
        <v>5908.8</v>
      </c>
      <c r="L1870" s="524" t="s">
        <v>1166</v>
      </c>
      <c r="M1870" s="524" t="s">
        <v>1167</v>
      </c>
      <c r="N1870" s="524" t="s">
        <v>1184</v>
      </c>
      <c r="O1870" s="524" t="s">
        <v>1172</v>
      </c>
      <c r="P1870" s="526"/>
      <c r="S1870" s="527">
        <v>0</v>
      </c>
    </row>
    <row r="1871" spans="1:19" x14ac:dyDescent="0.2">
      <c r="A1871" s="524">
        <v>70184</v>
      </c>
      <c r="B1871" s="526">
        <v>46226</v>
      </c>
      <c r="C1871" s="524" t="s">
        <v>1162</v>
      </c>
      <c r="D1871" s="524" t="s">
        <v>1163</v>
      </c>
      <c r="E1871" s="524" t="s">
        <v>1173</v>
      </c>
      <c r="F1871" s="524" t="s">
        <v>1183</v>
      </c>
      <c r="G1871" s="524" t="s">
        <v>796</v>
      </c>
      <c r="H1871" s="527">
        <v>6.9</v>
      </c>
      <c r="I1871" s="524" t="s">
        <v>1174</v>
      </c>
      <c r="J1871" s="524">
        <f>IF(cmf[[#This Row],[D/C]]="C",cmf[[#This Row],[Valor]],-1*cmf[[#This Row],[Valor]])</f>
        <v>-6.9</v>
      </c>
      <c r="L1871" s="524" t="s">
        <v>1175</v>
      </c>
      <c r="M1871" s="524" t="s">
        <v>1176</v>
      </c>
      <c r="N1871" s="524" t="s">
        <v>1184</v>
      </c>
      <c r="O1871" s="524" t="s">
        <v>1172</v>
      </c>
      <c r="P1871" s="526"/>
      <c r="S1871" s="527">
        <v>0</v>
      </c>
    </row>
    <row r="1872" spans="1:19" x14ac:dyDescent="0.2">
      <c r="A1872" s="524">
        <v>70190</v>
      </c>
      <c r="B1872" s="526">
        <v>46226</v>
      </c>
      <c r="C1872" s="524" t="s">
        <v>1162</v>
      </c>
      <c r="D1872" s="524" t="s">
        <v>1163</v>
      </c>
      <c r="E1872" s="524" t="s">
        <v>1164</v>
      </c>
      <c r="F1872" s="524" t="s">
        <v>1111</v>
      </c>
      <c r="G1872" s="524" t="s">
        <v>1110</v>
      </c>
      <c r="H1872" s="527">
        <v>14038.24</v>
      </c>
      <c r="I1872" s="524" t="s">
        <v>1148</v>
      </c>
      <c r="J1872" s="524">
        <f>IF(cmf[[#This Row],[D/C]]="C",cmf[[#This Row],[Valor]],-1*cmf[[#This Row],[Valor]])</f>
        <v>14038.24</v>
      </c>
      <c r="L1872" s="524" t="s">
        <v>1166</v>
      </c>
      <c r="M1872" s="524" t="s">
        <v>1167</v>
      </c>
      <c r="N1872" s="524" t="s">
        <v>1219</v>
      </c>
      <c r="O1872" s="524" t="s">
        <v>1220</v>
      </c>
      <c r="P1872" s="526"/>
      <c r="S1872" s="527">
        <v>0</v>
      </c>
    </row>
    <row r="1873" spans="1:19" x14ac:dyDescent="0.2">
      <c r="A1873" s="524">
        <v>70199</v>
      </c>
      <c r="B1873" s="526">
        <v>46226</v>
      </c>
      <c r="C1873" s="524" t="s">
        <v>1162</v>
      </c>
      <c r="D1873" s="524" t="s">
        <v>1186</v>
      </c>
      <c r="E1873" s="524" t="s">
        <v>2325</v>
      </c>
      <c r="F1873" s="524" t="s">
        <v>1183</v>
      </c>
      <c r="G1873" s="524" t="s">
        <v>1919</v>
      </c>
      <c r="H1873" s="527">
        <v>239.27</v>
      </c>
      <c r="I1873" s="524" t="s">
        <v>1174</v>
      </c>
      <c r="J1873" s="524">
        <f>IF(cmf[[#This Row],[D/C]]="C",cmf[[#This Row],[Valor]],-1*cmf[[#This Row],[Valor]])</f>
        <v>-239.27</v>
      </c>
      <c r="L1873" s="524" t="s">
        <v>1188</v>
      </c>
      <c r="M1873" s="524" t="s">
        <v>1189</v>
      </c>
      <c r="N1873" s="524" t="s">
        <v>1209</v>
      </c>
      <c r="O1873" s="524" t="s">
        <v>1210</v>
      </c>
      <c r="P1873" s="526"/>
      <c r="S1873" s="527">
        <v>0</v>
      </c>
    </row>
    <row r="1874" spans="1:19" x14ac:dyDescent="0.2">
      <c r="A1874" s="524">
        <v>70216</v>
      </c>
      <c r="B1874" s="526">
        <v>46226</v>
      </c>
      <c r="C1874" s="524" t="s">
        <v>1148</v>
      </c>
      <c r="D1874" s="524" t="s">
        <v>1186</v>
      </c>
      <c r="E1874" s="524" t="s">
        <v>2326</v>
      </c>
      <c r="F1874" s="524" t="s">
        <v>1183</v>
      </c>
      <c r="G1874" s="524" t="s">
        <v>769</v>
      </c>
      <c r="H1874" s="527">
        <v>692.01</v>
      </c>
      <c r="I1874" s="524" t="s">
        <v>1174</v>
      </c>
      <c r="J1874" s="524">
        <f>IF(cmf[[#This Row],[D/C]]="C",cmf[[#This Row],[Valor]],-1*cmf[[#This Row],[Valor]])</f>
        <v>-692.01</v>
      </c>
      <c r="L1874" s="524" t="s">
        <v>1188</v>
      </c>
      <c r="M1874" s="524" t="s">
        <v>1189</v>
      </c>
      <c r="N1874" s="524" t="s">
        <v>1219</v>
      </c>
      <c r="O1874" s="524" t="s">
        <v>1220</v>
      </c>
      <c r="P1874" s="526">
        <v>46226</v>
      </c>
      <c r="S1874" s="527">
        <v>0</v>
      </c>
    </row>
    <row r="1875" spans="1:19" x14ac:dyDescent="0.2">
      <c r="A1875" s="524">
        <v>70217</v>
      </c>
      <c r="B1875" s="526">
        <v>46226</v>
      </c>
      <c r="C1875" s="524" t="s">
        <v>1148</v>
      </c>
      <c r="D1875" s="524" t="s">
        <v>1186</v>
      </c>
      <c r="E1875" s="524" t="s">
        <v>2327</v>
      </c>
      <c r="F1875" s="524" t="s">
        <v>1183</v>
      </c>
      <c r="G1875" s="524" t="s">
        <v>769</v>
      </c>
      <c r="H1875" s="527">
        <v>3224.3</v>
      </c>
      <c r="I1875" s="524" t="s">
        <v>1174</v>
      </c>
      <c r="J1875" s="524">
        <f>IF(cmf[[#This Row],[D/C]]="C",cmf[[#This Row],[Valor]],-1*cmf[[#This Row],[Valor]])</f>
        <v>-3224.3</v>
      </c>
      <c r="L1875" s="524" t="s">
        <v>1188</v>
      </c>
      <c r="M1875" s="524" t="s">
        <v>1189</v>
      </c>
      <c r="N1875" s="524" t="s">
        <v>1219</v>
      </c>
      <c r="O1875" s="524" t="s">
        <v>1220</v>
      </c>
      <c r="P1875" s="526">
        <v>46226</v>
      </c>
      <c r="S1875" s="527">
        <v>0</v>
      </c>
    </row>
    <row r="1876" spans="1:19" x14ac:dyDescent="0.2">
      <c r="A1876" s="524">
        <v>70218</v>
      </c>
      <c r="B1876" s="526">
        <v>46226</v>
      </c>
      <c r="C1876" s="524" t="s">
        <v>1148</v>
      </c>
      <c r="D1876" s="524" t="s">
        <v>1186</v>
      </c>
      <c r="E1876" s="524" t="s">
        <v>2328</v>
      </c>
      <c r="F1876" s="524" t="s">
        <v>1183</v>
      </c>
      <c r="G1876" s="524" t="s">
        <v>742</v>
      </c>
      <c r="H1876" s="527">
        <v>1417.88</v>
      </c>
      <c r="I1876" s="524" t="s">
        <v>1174</v>
      </c>
      <c r="J1876" s="524">
        <f>IF(cmf[[#This Row],[D/C]]="C",cmf[[#This Row],[Valor]],-1*cmf[[#This Row],[Valor]])</f>
        <v>-1417.88</v>
      </c>
      <c r="L1876" s="524" t="s">
        <v>1188</v>
      </c>
      <c r="M1876" s="524" t="s">
        <v>1189</v>
      </c>
      <c r="N1876" s="524" t="s">
        <v>1215</v>
      </c>
      <c r="O1876" s="524" t="s">
        <v>1218</v>
      </c>
      <c r="P1876" s="526">
        <v>46226</v>
      </c>
      <c r="S1876" s="527">
        <v>0</v>
      </c>
    </row>
    <row r="1877" spans="1:19" x14ac:dyDescent="0.2">
      <c r="A1877" s="524">
        <v>70219</v>
      </c>
      <c r="B1877" s="526">
        <v>46226</v>
      </c>
      <c r="C1877" s="524" t="s">
        <v>1148</v>
      </c>
      <c r="D1877" s="524" t="s">
        <v>1186</v>
      </c>
      <c r="E1877" s="524" t="s">
        <v>2329</v>
      </c>
      <c r="F1877" s="524" t="s">
        <v>1183</v>
      </c>
      <c r="G1877" s="524" t="s">
        <v>742</v>
      </c>
      <c r="H1877" s="527">
        <v>123.2</v>
      </c>
      <c r="I1877" s="524" t="s">
        <v>1174</v>
      </c>
      <c r="J1877" s="524">
        <f>IF(cmf[[#This Row],[D/C]]="C",cmf[[#This Row],[Valor]],-1*cmf[[#This Row],[Valor]])</f>
        <v>-123.2</v>
      </c>
      <c r="L1877" s="524" t="s">
        <v>1188</v>
      </c>
      <c r="M1877" s="524" t="s">
        <v>1189</v>
      </c>
      <c r="N1877" s="524" t="s">
        <v>1215</v>
      </c>
      <c r="O1877" s="524" t="s">
        <v>1218</v>
      </c>
      <c r="P1877" s="526">
        <v>46226</v>
      </c>
      <c r="S1877" s="527">
        <v>0</v>
      </c>
    </row>
    <row r="1878" spans="1:19" x14ac:dyDescent="0.2">
      <c r="A1878" s="524">
        <v>70306</v>
      </c>
      <c r="B1878" s="526">
        <v>46226</v>
      </c>
      <c r="C1878" s="524" t="s">
        <v>1162</v>
      </c>
      <c r="D1878" s="524" t="s">
        <v>1163</v>
      </c>
      <c r="E1878" s="524" t="s">
        <v>1173</v>
      </c>
      <c r="F1878" s="524" t="s">
        <v>1111</v>
      </c>
      <c r="G1878" s="524" t="s">
        <v>1110</v>
      </c>
      <c r="H1878" s="527">
        <v>7.6</v>
      </c>
      <c r="I1878" s="524" t="s">
        <v>1174</v>
      </c>
      <c r="J1878" s="524">
        <f>IF(cmf[[#This Row],[D/C]]="C",cmf[[#This Row],[Valor]],-1*cmf[[#This Row],[Valor]])</f>
        <v>-7.6</v>
      </c>
      <c r="L1878" s="524" t="s">
        <v>1175</v>
      </c>
      <c r="M1878" s="524" t="s">
        <v>1176</v>
      </c>
      <c r="N1878" s="524" t="s">
        <v>1219</v>
      </c>
      <c r="O1878" s="524" t="s">
        <v>1220</v>
      </c>
      <c r="P1878" s="526"/>
      <c r="S1878" s="527">
        <v>0</v>
      </c>
    </row>
    <row r="1879" spans="1:19" x14ac:dyDescent="0.2">
      <c r="A1879" s="524">
        <v>70308</v>
      </c>
      <c r="B1879" s="526">
        <v>46226</v>
      </c>
      <c r="C1879" s="524" t="s">
        <v>1162</v>
      </c>
      <c r="D1879" s="524" t="s">
        <v>1163</v>
      </c>
      <c r="E1879" s="524" t="s">
        <v>1173</v>
      </c>
      <c r="F1879" s="524" t="s">
        <v>1183</v>
      </c>
      <c r="G1879" s="524" t="s">
        <v>796</v>
      </c>
      <c r="H1879" s="527">
        <v>6.9</v>
      </c>
      <c r="I1879" s="524" t="s">
        <v>1174</v>
      </c>
      <c r="J1879" s="524">
        <f>IF(cmf[[#This Row],[D/C]]="C",cmf[[#This Row],[Valor]],-1*cmf[[#This Row],[Valor]])</f>
        <v>-6.9</v>
      </c>
      <c r="L1879" s="524" t="s">
        <v>1175</v>
      </c>
      <c r="M1879" s="524" t="s">
        <v>1176</v>
      </c>
      <c r="N1879" s="524" t="s">
        <v>1184</v>
      </c>
      <c r="O1879" s="524" t="s">
        <v>1172</v>
      </c>
      <c r="P1879" s="526"/>
      <c r="S1879" s="527">
        <v>0</v>
      </c>
    </row>
    <row r="1880" spans="1:19" x14ac:dyDescent="0.2">
      <c r="A1880" s="524">
        <v>70311</v>
      </c>
      <c r="B1880" s="526">
        <v>46226</v>
      </c>
      <c r="C1880" s="524" t="s">
        <v>1148</v>
      </c>
      <c r="D1880" s="524" t="s">
        <v>1163</v>
      </c>
      <c r="E1880" s="524" t="s">
        <v>1164</v>
      </c>
      <c r="F1880" s="524" t="s">
        <v>1183</v>
      </c>
      <c r="G1880" s="524" t="s">
        <v>806</v>
      </c>
      <c r="H1880" s="527">
        <v>133000</v>
      </c>
      <c r="I1880" s="524" t="s">
        <v>1148</v>
      </c>
      <c r="J1880" s="524">
        <f>IF(cmf[[#This Row],[D/C]]="C",cmf[[#This Row],[Valor]],-1*cmf[[#This Row],[Valor]])</f>
        <v>133000</v>
      </c>
      <c r="L1880" s="524" t="s">
        <v>1166</v>
      </c>
      <c r="M1880" s="524" t="s">
        <v>1167</v>
      </c>
      <c r="N1880" s="524" t="s">
        <v>1283</v>
      </c>
      <c r="O1880" s="524" t="s">
        <v>1284</v>
      </c>
      <c r="P1880" s="526">
        <v>46226</v>
      </c>
      <c r="S1880" s="527">
        <v>0</v>
      </c>
    </row>
    <row r="1881" spans="1:19" x14ac:dyDescent="0.2">
      <c r="A1881" s="524">
        <v>70312</v>
      </c>
      <c r="B1881" s="526">
        <v>46226</v>
      </c>
      <c r="C1881" s="524" t="s">
        <v>1148</v>
      </c>
      <c r="D1881" s="524" t="s">
        <v>1163</v>
      </c>
      <c r="E1881" s="524" t="s">
        <v>1173</v>
      </c>
      <c r="F1881" s="524" t="s">
        <v>1183</v>
      </c>
      <c r="G1881" s="524" t="s">
        <v>806</v>
      </c>
      <c r="H1881" s="527">
        <v>2.19</v>
      </c>
      <c r="I1881" s="524" t="s">
        <v>1174</v>
      </c>
      <c r="J1881" s="524">
        <f>IF(cmf[[#This Row],[D/C]]="C",cmf[[#This Row],[Valor]],-1*cmf[[#This Row],[Valor]])</f>
        <v>-2.19</v>
      </c>
      <c r="L1881" s="524" t="s">
        <v>1175</v>
      </c>
      <c r="M1881" s="524" t="s">
        <v>1176</v>
      </c>
      <c r="N1881" s="524" t="s">
        <v>1283</v>
      </c>
      <c r="O1881" s="524" t="s">
        <v>1284</v>
      </c>
      <c r="P1881" s="526">
        <v>46226</v>
      </c>
      <c r="S1881" s="527">
        <v>0</v>
      </c>
    </row>
    <row r="1882" spans="1:19" x14ac:dyDescent="0.2">
      <c r="A1882" s="524">
        <v>70313</v>
      </c>
      <c r="B1882" s="526">
        <v>46226</v>
      </c>
      <c r="C1882" s="524" t="s">
        <v>1148</v>
      </c>
      <c r="D1882" s="524" t="s">
        <v>1186</v>
      </c>
      <c r="E1882" s="524" t="s">
        <v>2330</v>
      </c>
      <c r="F1882" s="524" t="s">
        <v>1183</v>
      </c>
      <c r="G1882" s="524" t="s">
        <v>800</v>
      </c>
      <c r="H1882" s="527">
        <v>3822</v>
      </c>
      <c r="I1882" s="524" t="s">
        <v>1174</v>
      </c>
      <c r="J1882" s="524">
        <f>IF(cmf[[#This Row],[D/C]]="C",cmf[[#This Row],[Valor]],-1*cmf[[#This Row],[Valor]])</f>
        <v>-3822</v>
      </c>
      <c r="L1882" s="524" t="s">
        <v>1188</v>
      </c>
      <c r="M1882" s="524" t="s">
        <v>1189</v>
      </c>
      <c r="N1882" s="524" t="s">
        <v>1171</v>
      </c>
      <c r="O1882" s="524" t="s">
        <v>1172</v>
      </c>
      <c r="P1882" s="526">
        <v>46226</v>
      </c>
      <c r="S1882" s="527">
        <v>0</v>
      </c>
    </row>
    <row r="1883" spans="1:19" x14ac:dyDescent="0.2">
      <c r="A1883" s="524">
        <v>70314</v>
      </c>
      <c r="B1883" s="526">
        <v>46226</v>
      </c>
      <c r="C1883" s="524" t="s">
        <v>1148</v>
      </c>
      <c r="D1883" s="524" t="s">
        <v>1186</v>
      </c>
      <c r="E1883" s="524" t="s">
        <v>2331</v>
      </c>
      <c r="F1883" s="524" t="s">
        <v>1183</v>
      </c>
      <c r="G1883" s="524" t="s">
        <v>800</v>
      </c>
      <c r="H1883" s="527">
        <v>240</v>
      </c>
      <c r="I1883" s="524" t="s">
        <v>1174</v>
      </c>
      <c r="J1883" s="524">
        <f>IF(cmf[[#This Row],[D/C]]="C",cmf[[#This Row],[Valor]],-1*cmf[[#This Row],[Valor]])</f>
        <v>-240</v>
      </c>
      <c r="L1883" s="524" t="s">
        <v>1188</v>
      </c>
      <c r="M1883" s="524" t="s">
        <v>1189</v>
      </c>
      <c r="N1883" s="524" t="s">
        <v>1171</v>
      </c>
      <c r="O1883" s="524" t="s">
        <v>1172</v>
      </c>
      <c r="P1883" s="526">
        <v>46226</v>
      </c>
      <c r="S1883" s="527">
        <v>0</v>
      </c>
    </row>
    <row r="1884" spans="1:19" x14ac:dyDescent="0.2">
      <c r="A1884" s="524">
        <v>70316</v>
      </c>
      <c r="B1884" s="526">
        <v>46226</v>
      </c>
      <c r="C1884" s="524" t="s">
        <v>1148</v>
      </c>
      <c r="D1884" s="524" t="s">
        <v>1186</v>
      </c>
      <c r="E1884" s="524" t="s">
        <v>2332</v>
      </c>
      <c r="F1884" s="524" t="s">
        <v>1183</v>
      </c>
      <c r="G1884" s="524" t="s">
        <v>800</v>
      </c>
      <c r="H1884" s="527">
        <v>88.79</v>
      </c>
      <c r="I1884" s="524" t="s">
        <v>1174</v>
      </c>
      <c r="J1884" s="524">
        <f>IF(cmf[[#This Row],[D/C]]="C",cmf[[#This Row],[Valor]],-1*cmf[[#This Row],[Valor]])</f>
        <v>-88.79</v>
      </c>
      <c r="L1884" s="524" t="s">
        <v>1188</v>
      </c>
      <c r="M1884" s="524" t="s">
        <v>1189</v>
      </c>
      <c r="N1884" s="524" t="s">
        <v>1171</v>
      </c>
      <c r="O1884" s="524" t="s">
        <v>1172</v>
      </c>
      <c r="P1884" s="526">
        <v>46226</v>
      </c>
      <c r="S1884" s="527">
        <v>0</v>
      </c>
    </row>
    <row r="1885" spans="1:19" x14ac:dyDescent="0.2">
      <c r="A1885" s="524">
        <v>70539</v>
      </c>
      <c r="B1885" s="526">
        <v>46226</v>
      </c>
      <c r="C1885" s="524" t="s">
        <v>1148</v>
      </c>
      <c r="D1885" s="524" t="s">
        <v>1239</v>
      </c>
      <c r="E1885" s="524" t="s">
        <v>1821</v>
      </c>
      <c r="F1885" s="524" t="s">
        <v>1178</v>
      </c>
      <c r="G1885" s="524" t="s">
        <v>1179</v>
      </c>
      <c r="H1885" s="527">
        <v>60</v>
      </c>
      <c r="I1885" s="524" t="s">
        <v>1174</v>
      </c>
      <c r="J1885" s="524">
        <f>IF(cmf[[#This Row],[D/C]]="C",cmf[[#This Row],[Valor]],-1*cmf[[#This Row],[Valor]])</f>
        <v>-60</v>
      </c>
      <c r="L1885" s="524" t="s">
        <v>1241</v>
      </c>
      <c r="M1885" s="524" t="s">
        <v>1242</v>
      </c>
      <c r="N1885" s="524" t="s">
        <v>1180</v>
      </c>
      <c r="O1885" s="524" t="s">
        <v>1181</v>
      </c>
      <c r="P1885" s="526">
        <v>46226</v>
      </c>
      <c r="S1885" s="527">
        <v>0</v>
      </c>
    </row>
    <row r="1886" spans="1:19" x14ac:dyDescent="0.2">
      <c r="A1886" s="524">
        <v>70593</v>
      </c>
      <c r="B1886" s="526">
        <v>46226</v>
      </c>
      <c r="C1886" s="524" t="s">
        <v>1148</v>
      </c>
      <c r="D1886" s="524" t="s">
        <v>1239</v>
      </c>
      <c r="E1886" s="524" t="s">
        <v>1251</v>
      </c>
      <c r="F1886" s="524" t="s">
        <v>1178</v>
      </c>
      <c r="G1886" s="524" t="s">
        <v>1179</v>
      </c>
      <c r="H1886" s="527">
        <v>5</v>
      </c>
      <c r="I1886" s="524" t="s">
        <v>1174</v>
      </c>
      <c r="J1886" s="524">
        <f>IF(cmf[[#This Row],[D/C]]="C",cmf[[#This Row],[Valor]],-1*cmf[[#This Row],[Valor]])</f>
        <v>-5</v>
      </c>
      <c r="L1886" s="524" t="s">
        <v>1241</v>
      </c>
      <c r="M1886" s="524" t="s">
        <v>1242</v>
      </c>
      <c r="N1886" s="524" t="s">
        <v>1180</v>
      </c>
      <c r="O1886" s="524" t="s">
        <v>1181</v>
      </c>
      <c r="P1886" s="526">
        <v>46226</v>
      </c>
      <c r="S1886" s="527">
        <v>0</v>
      </c>
    </row>
    <row r="1887" spans="1:19" x14ac:dyDescent="0.2">
      <c r="A1887" s="524">
        <v>70623</v>
      </c>
      <c r="B1887" s="526">
        <v>46226</v>
      </c>
      <c r="C1887" s="524" t="s">
        <v>1148</v>
      </c>
      <c r="D1887" s="524" t="s">
        <v>1205</v>
      </c>
      <c r="E1887" s="524" t="s">
        <v>1334</v>
      </c>
      <c r="F1887" s="524" t="s">
        <v>1183</v>
      </c>
      <c r="G1887" s="524" t="s">
        <v>769</v>
      </c>
      <c r="H1887" s="527">
        <v>797.55</v>
      </c>
      <c r="I1887" s="524" t="s">
        <v>1174</v>
      </c>
      <c r="J1887" s="524">
        <f>IF(cmf[[#This Row],[D/C]]="C",cmf[[#This Row],[Valor]],-1*cmf[[#This Row],[Valor]])</f>
        <v>-797.55</v>
      </c>
      <c r="L1887" s="524" t="s">
        <v>1207</v>
      </c>
      <c r="M1887" s="524" t="s">
        <v>1208</v>
      </c>
      <c r="N1887" s="524" t="s">
        <v>1219</v>
      </c>
      <c r="O1887" s="524" t="s">
        <v>1220</v>
      </c>
      <c r="P1887" s="526">
        <v>46226</v>
      </c>
      <c r="S1887" s="527">
        <v>0</v>
      </c>
    </row>
    <row r="1888" spans="1:19" x14ac:dyDescent="0.2">
      <c r="A1888" s="524">
        <v>70624</v>
      </c>
      <c r="B1888" s="526">
        <v>46226</v>
      </c>
      <c r="C1888" s="524" t="s">
        <v>1162</v>
      </c>
      <c r="D1888" s="524" t="s">
        <v>1205</v>
      </c>
      <c r="E1888" s="524" t="s">
        <v>1282</v>
      </c>
      <c r="F1888" s="524" t="s">
        <v>1111</v>
      </c>
      <c r="G1888" s="524" t="s">
        <v>2333</v>
      </c>
      <c r="H1888" s="527">
        <v>797.55</v>
      </c>
      <c r="I1888" s="524" t="s">
        <v>1148</v>
      </c>
      <c r="J1888" s="524">
        <f>IF(cmf[[#This Row],[D/C]]="C",cmf[[#This Row],[Valor]],-1*cmf[[#This Row],[Valor]])</f>
        <v>797.55</v>
      </c>
      <c r="L1888" s="524" t="s">
        <v>1207</v>
      </c>
      <c r="M1888" s="524" t="s">
        <v>1208</v>
      </c>
      <c r="N1888" s="524" t="s">
        <v>1219</v>
      </c>
      <c r="O1888" s="524" t="s">
        <v>1220</v>
      </c>
      <c r="P1888" s="526"/>
      <c r="S1888" s="527">
        <v>0</v>
      </c>
    </row>
    <row r="1889" spans="1:19" x14ac:dyDescent="0.2">
      <c r="A1889" s="524">
        <v>70637</v>
      </c>
      <c r="B1889" s="526">
        <v>46226</v>
      </c>
      <c r="C1889" s="524" t="s">
        <v>1148</v>
      </c>
      <c r="D1889" s="524" t="s">
        <v>1243</v>
      </c>
      <c r="E1889" s="524" t="s">
        <v>1254</v>
      </c>
      <c r="F1889" s="524" t="s">
        <v>1178</v>
      </c>
      <c r="G1889" s="524" t="s">
        <v>1179</v>
      </c>
      <c r="H1889" s="527">
        <v>65</v>
      </c>
      <c r="I1889" s="524" t="s">
        <v>1148</v>
      </c>
      <c r="J1889" s="524">
        <f>IF(cmf[[#This Row],[D/C]]="C",cmf[[#This Row],[Valor]],-1*cmf[[#This Row],[Valor]])</f>
        <v>65</v>
      </c>
      <c r="L1889" s="524" t="s">
        <v>1245</v>
      </c>
      <c r="M1889" s="524" t="s">
        <v>1246</v>
      </c>
      <c r="N1889" s="524" t="s">
        <v>1180</v>
      </c>
      <c r="O1889" s="524" t="s">
        <v>1181</v>
      </c>
      <c r="P1889" s="526">
        <v>46226</v>
      </c>
      <c r="S1889" s="527">
        <v>0</v>
      </c>
    </row>
    <row r="1890" spans="1:19" x14ac:dyDescent="0.2">
      <c r="A1890" s="524">
        <v>70720</v>
      </c>
      <c r="B1890" s="526">
        <v>46226</v>
      </c>
      <c r="C1890" s="524" t="s">
        <v>1148</v>
      </c>
      <c r="D1890" s="524" t="s">
        <v>1226</v>
      </c>
      <c r="E1890" s="524" t="s">
        <v>2334</v>
      </c>
      <c r="F1890" s="524" t="s">
        <v>1170</v>
      </c>
      <c r="G1890" s="524" t="s">
        <v>768</v>
      </c>
      <c r="H1890" s="527">
        <v>7387.66</v>
      </c>
      <c r="I1890" s="524" t="s">
        <v>1148</v>
      </c>
      <c r="J1890" s="524">
        <f>IF(cmf[[#This Row],[D/C]]="C",cmf[[#This Row],[Valor]],-1*cmf[[#This Row],[Valor]])</f>
        <v>7387.66</v>
      </c>
      <c r="L1890" s="524" t="s">
        <v>1230</v>
      </c>
      <c r="M1890" s="524" t="s">
        <v>1231</v>
      </c>
      <c r="N1890" s="524" t="s">
        <v>1219</v>
      </c>
      <c r="O1890" s="524" t="s">
        <v>1220</v>
      </c>
      <c r="P1890" s="526">
        <v>46226</v>
      </c>
      <c r="S1890" s="527">
        <v>0</v>
      </c>
    </row>
    <row r="1891" spans="1:19" x14ac:dyDescent="0.2">
      <c r="A1891" s="524">
        <v>70738</v>
      </c>
      <c r="B1891" s="526">
        <v>46226</v>
      </c>
      <c r="C1891" s="524" t="s">
        <v>1148</v>
      </c>
      <c r="D1891" s="524" t="s">
        <v>1235</v>
      </c>
      <c r="E1891" s="524" t="s">
        <v>1983</v>
      </c>
      <c r="F1891" s="524" t="s">
        <v>1170</v>
      </c>
      <c r="G1891" s="524" t="s">
        <v>802</v>
      </c>
      <c r="H1891" s="527">
        <v>900</v>
      </c>
      <c r="I1891" s="524" t="s">
        <v>1174</v>
      </c>
      <c r="J1891" s="524">
        <f>IF(cmf[[#This Row],[D/C]]="C",cmf[[#This Row],[Valor]],-1*cmf[[#This Row],[Valor]])</f>
        <v>-900</v>
      </c>
      <c r="L1891" s="524" t="s">
        <v>1237</v>
      </c>
      <c r="M1891" s="524" t="s">
        <v>1238</v>
      </c>
      <c r="N1891" s="524" t="s">
        <v>1192</v>
      </c>
      <c r="O1891" s="524" t="s">
        <v>1193</v>
      </c>
      <c r="P1891" s="526">
        <v>46226</v>
      </c>
      <c r="S1891" s="527">
        <v>0</v>
      </c>
    </row>
    <row r="1892" spans="1:19" x14ac:dyDescent="0.2">
      <c r="A1892" s="524">
        <v>70801</v>
      </c>
      <c r="B1892" s="526">
        <v>46226</v>
      </c>
      <c r="C1892" s="524" t="s">
        <v>1148</v>
      </c>
      <c r="D1892" s="524" t="s">
        <v>1239</v>
      </c>
      <c r="E1892" s="524" t="s">
        <v>1258</v>
      </c>
      <c r="F1892" s="524" t="s">
        <v>1170</v>
      </c>
      <c r="G1892" s="524" t="s">
        <v>1102</v>
      </c>
      <c r="H1892" s="527">
        <v>12.6</v>
      </c>
      <c r="I1892" s="524" t="s">
        <v>1174</v>
      </c>
      <c r="J1892" s="524">
        <f>IF(cmf[[#This Row],[D/C]]="C",cmf[[#This Row],[Valor]],-1*cmf[[#This Row],[Valor]])</f>
        <v>-12.6</v>
      </c>
      <c r="L1892" s="524" t="s">
        <v>1241</v>
      </c>
      <c r="M1892" s="524" t="s">
        <v>1242</v>
      </c>
      <c r="N1892" s="524" t="s">
        <v>1192</v>
      </c>
      <c r="O1892" s="524" t="s">
        <v>1193</v>
      </c>
      <c r="P1892" s="526">
        <v>46226</v>
      </c>
      <c r="S1892" s="527">
        <v>0</v>
      </c>
    </row>
    <row r="1893" spans="1:19" x14ac:dyDescent="0.2">
      <c r="A1893" s="524">
        <v>70802</v>
      </c>
      <c r="B1893" s="526">
        <v>46226</v>
      </c>
      <c r="C1893" s="524" t="s">
        <v>1148</v>
      </c>
      <c r="D1893" s="524" t="s">
        <v>1239</v>
      </c>
      <c r="E1893" s="524" t="s">
        <v>1258</v>
      </c>
      <c r="F1893" s="524" t="s">
        <v>1170</v>
      </c>
      <c r="G1893" s="524" t="s">
        <v>1102</v>
      </c>
      <c r="H1893" s="527">
        <v>1.2</v>
      </c>
      <c r="I1893" s="524" t="s">
        <v>1174</v>
      </c>
      <c r="J1893" s="524">
        <f>IF(cmf[[#This Row],[D/C]]="C",cmf[[#This Row],[Valor]],-1*cmf[[#This Row],[Valor]])</f>
        <v>-1.2</v>
      </c>
      <c r="L1893" s="524" t="s">
        <v>1241</v>
      </c>
      <c r="M1893" s="524" t="s">
        <v>1242</v>
      </c>
      <c r="N1893" s="524" t="s">
        <v>1192</v>
      </c>
      <c r="O1893" s="524" t="s">
        <v>1193</v>
      </c>
      <c r="P1893" s="526">
        <v>46226</v>
      </c>
      <c r="S1893" s="527">
        <v>0</v>
      </c>
    </row>
    <row r="1894" spans="1:19" x14ac:dyDescent="0.2">
      <c r="A1894" s="524">
        <v>70811</v>
      </c>
      <c r="B1894" s="526">
        <v>46226</v>
      </c>
      <c r="C1894" s="524" t="s">
        <v>1148</v>
      </c>
      <c r="D1894" s="524" t="s">
        <v>1226</v>
      </c>
      <c r="E1894" s="524" t="s">
        <v>2335</v>
      </c>
      <c r="F1894" s="524" t="s">
        <v>1170</v>
      </c>
      <c r="G1894" s="524" t="s">
        <v>1102</v>
      </c>
      <c r="H1894" s="527">
        <v>1636.54</v>
      </c>
      <c r="I1894" s="524" t="s">
        <v>1148</v>
      </c>
      <c r="J1894" s="524">
        <f>IF(cmf[[#This Row],[D/C]]="C",cmf[[#This Row],[Valor]],-1*cmf[[#This Row],[Valor]])</f>
        <v>1636.54</v>
      </c>
      <c r="L1894" s="524" t="s">
        <v>1230</v>
      </c>
      <c r="M1894" s="524" t="s">
        <v>1231</v>
      </c>
      <c r="N1894" s="524" t="s">
        <v>1192</v>
      </c>
      <c r="O1894" s="524" t="s">
        <v>1193</v>
      </c>
      <c r="P1894" s="526">
        <v>46226</v>
      </c>
      <c r="S1894" s="527">
        <v>0</v>
      </c>
    </row>
    <row r="1895" spans="1:19" x14ac:dyDescent="0.2">
      <c r="A1895" s="524">
        <v>70812</v>
      </c>
      <c r="B1895" s="526">
        <v>46226</v>
      </c>
      <c r="C1895" s="524" t="s">
        <v>1148</v>
      </c>
      <c r="D1895" s="524" t="s">
        <v>1226</v>
      </c>
      <c r="E1895" s="524" t="s">
        <v>2336</v>
      </c>
      <c r="F1895" s="524" t="s">
        <v>1170</v>
      </c>
      <c r="G1895" s="524" t="s">
        <v>1102</v>
      </c>
      <c r="H1895" s="527">
        <v>832</v>
      </c>
      <c r="I1895" s="524" t="s">
        <v>1148</v>
      </c>
      <c r="J1895" s="524">
        <f>IF(cmf[[#This Row],[D/C]]="C",cmf[[#This Row],[Valor]],-1*cmf[[#This Row],[Valor]])</f>
        <v>832</v>
      </c>
      <c r="L1895" s="524" t="s">
        <v>1230</v>
      </c>
      <c r="M1895" s="524" t="s">
        <v>1231</v>
      </c>
      <c r="N1895" s="524" t="s">
        <v>1192</v>
      </c>
      <c r="O1895" s="524" t="s">
        <v>1193</v>
      </c>
      <c r="P1895" s="526">
        <v>46226</v>
      </c>
      <c r="S1895" s="527">
        <v>0</v>
      </c>
    </row>
    <row r="1896" spans="1:19" x14ac:dyDescent="0.2">
      <c r="A1896" s="524">
        <v>70976</v>
      </c>
      <c r="B1896" s="526">
        <v>46226</v>
      </c>
      <c r="C1896" s="524" t="s">
        <v>1148</v>
      </c>
      <c r="D1896" s="524" t="s">
        <v>1239</v>
      </c>
      <c r="E1896" s="524" t="s">
        <v>1561</v>
      </c>
      <c r="F1896" s="524" t="s">
        <v>1170</v>
      </c>
      <c r="G1896" s="524" t="s">
        <v>798</v>
      </c>
      <c r="H1896" s="527">
        <v>5.7</v>
      </c>
      <c r="I1896" s="524" t="s">
        <v>1174</v>
      </c>
      <c r="J1896" s="524">
        <f>IF(cmf[[#This Row],[D/C]]="C",cmf[[#This Row],[Valor]],-1*cmf[[#This Row],[Valor]])</f>
        <v>-5.7</v>
      </c>
      <c r="L1896" s="524" t="s">
        <v>1241</v>
      </c>
      <c r="M1896" s="524" t="s">
        <v>1242</v>
      </c>
      <c r="N1896" s="524" t="s">
        <v>1171</v>
      </c>
      <c r="O1896" s="524" t="s">
        <v>1172</v>
      </c>
      <c r="P1896" s="526">
        <v>46226</v>
      </c>
      <c r="S1896" s="527">
        <v>0</v>
      </c>
    </row>
    <row r="1897" spans="1:19" x14ac:dyDescent="0.2">
      <c r="A1897" s="524">
        <v>70977</v>
      </c>
      <c r="B1897" s="526">
        <v>46226</v>
      </c>
      <c r="C1897" s="524" t="s">
        <v>1148</v>
      </c>
      <c r="D1897" s="524" t="s">
        <v>1239</v>
      </c>
      <c r="E1897" s="524" t="s">
        <v>1253</v>
      </c>
      <c r="F1897" s="524" t="s">
        <v>1170</v>
      </c>
      <c r="G1897" s="524" t="s">
        <v>798</v>
      </c>
      <c r="H1897" s="527">
        <v>0.4</v>
      </c>
      <c r="I1897" s="524" t="s">
        <v>1174</v>
      </c>
      <c r="J1897" s="524">
        <f>IF(cmf[[#This Row],[D/C]]="C",cmf[[#This Row],[Valor]],-1*cmf[[#This Row],[Valor]])</f>
        <v>-0.4</v>
      </c>
      <c r="L1897" s="524" t="s">
        <v>1241</v>
      </c>
      <c r="M1897" s="524" t="s">
        <v>1242</v>
      </c>
      <c r="N1897" s="524" t="s">
        <v>1171</v>
      </c>
      <c r="O1897" s="524" t="s">
        <v>1172</v>
      </c>
      <c r="P1897" s="526">
        <v>46226</v>
      </c>
      <c r="S1897" s="527">
        <v>0</v>
      </c>
    </row>
    <row r="1898" spans="1:19" x14ac:dyDescent="0.2">
      <c r="A1898" s="524">
        <v>70980</v>
      </c>
      <c r="B1898" s="526">
        <v>46226</v>
      </c>
      <c r="C1898" s="524" t="s">
        <v>1148</v>
      </c>
      <c r="D1898" s="524" t="s">
        <v>1226</v>
      </c>
      <c r="E1898" s="524" t="s">
        <v>2337</v>
      </c>
      <c r="F1898" s="524" t="s">
        <v>1170</v>
      </c>
      <c r="G1898" s="524" t="s">
        <v>798</v>
      </c>
      <c r="H1898" s="527">
        <v>640.99</v>
      </c>
      <c r="I1898" s="524" t="s">
        <v>1148</v>
      </c>
      <c r="J1898" s="524">
        <f>IF(cmf[[#This Row],[D/C]]="C",cmf[[#This Row],[Valor]],-1*cmf[[#This Row],[Valor]])</f>
        <v>640.99</v>
      </c>
      <c r="L1898" s="524" t="s">
        <v>1230</v>
      </c>
      <c r="M1898" s="524" t="s">
        <v>1231</v>
      </c>
      <c r="N1898" s="524" t="s">
        <v>1171</v>
      </c>
      <c r="O1898" s="524" t="s">
        <v>1172</v>
      </c>
      <c r="P1898" s="526">
        <v>46226</v>
      </c>
      <c r="S1898" s="527">
        <v>0</v>
      </c>
    </row>
    <row r="1899" spans="1:19" x14ac:dyDescent="0.2">
      <c r="A1899" s="524">
        <v>70982</v>
      </c>
      <c r="B1899" s="526">
        <v>46226</v>
      </c>
      <c r="C1899" s="524" t="s">
        <v>1148</v>
      </c>
      <c r="D1899" s="524" t="s">
        <v>1239</v>
      </c>
      <c r="E1899" s="524" t="s">
        <v>1253</v>
      </c>
      <c r="F1899" s="524" t="s">
        <v>1170</v>
      </c>
      <c r="G1899" s="524" t="s">
        <v>802</v>
      </c>
      <c r="H1899" s="527">
        <v>0.2</v>
      </c>
      <c r="I1899" s="524" t="s">
        <v>1174</v>
      </c>
      <c r="J1899" s="524">
        <f>IF(cmf[[#This Row],[D/C]]="C",cmf[[#This Row],[Valor]],-1*cmf[[#This Row],[Valor]])</f>
        <v>-0.2</v>
      </c>
      <c r="L1899" s="524" t="s">
        <v>1241</v>
      </c>
      <c r="M1899" s="524" t="s">
        <v>1242</v>
      </c>
      <c r="N1899" s="524" t="s">
        <v>1192</v>
      </c>
      <c r="O1899" s="524" t="s">
        <v>1193</v>
      </c>
      <c r="P1899" s="526">
        <v>46226</v>
      </c>
      <c r="S1899" s="527">
        <v>0</v>
      </c>
    </row>
    <row r="1900" spans="1:19" x14ac:dyDescent="0.2">
      <c r="A1900" s="524">
        <v>70985</v>
      </c>
      <c r="B1900" s="526">
        <v>46226</v>
      </c>
      <c r="C1900" s="524" t="s">
        <v>1162</v>
      </c>
      <c r="D1900" s="524" t="s">
        <v>1186</v>
      </c>
      <c r="E1900" s="524" t="s">
        <v>2338</v>
      </c>
      <c r="F1900" s="524" t="s">
        <v>1183</v>
      </c>
      <c r="G1900" s="524" t="s">
        <v>776</v>
      </c>
      <c r="H1900" s="527">
        <v>1382.8</v>
      </c>
      <c r="I1900" s="524" t="s">
        <v>1174</v>
      </c>
      <c r="J1900" s="524">
        <f>IF(cmf[[#This Row],[D/C]]="C",cmf[[#This Row],[Valor]],-1*cmf[[#This Row],[Valor]])</f>
        <v>-1382.8</v>
      </c>
      <c r="L1900" s="524" t="s">
        <v>1188</v>
      </c>
      <c r="M1900" s="524" t="s">
        <v>1189</v>
      </c>
      <c r="N1900" s="524" t="s">
        <v>1212</v>
      </c>
      <c r="O1900" s="524" t="s">
        <v>1213</v>
      </c>
      <c r="P1900" s="526"/>
      <c r="S1900" s="527">
        <v>0</v>
      </c>
    </row>
    <row r="1901" spans="1:19" x14ac:dyDescent="0.2">
      <c r="A1901" s="524">
        <v>71187</v>
      </c>
      <c r="B1901" s="526">
        <v>46226</v>
      </c>
      <c r="C1901" s="524" t="s">
        <v>1148</v>
      </c>
      <c r="D1901" s="524" t="s">
        <v>1239</v>
      </c>
      <c r="E1901" s="524" t="s">
        <v>1741</v>
      </c>
      <c r="F1901" s="524" t="s">
        <v>1170</v>
      </c>
      <c r="G1901" s="524" t="s">
        <v>768</v>
      </c>
      <c r="H1901" s="527">
        <v>65.75</v>
      </c>
      <c r="I1901" s="524" t="s">
        <v>1174</v>
      </c>
      <c r="J1901" s="524">
        <f>IF(cmf[[#This Row],[D/C]]="C",cmf[[#This Row],[Valor]],-1*cmf[[#This Row],[Valor]])</f>
        <v>-65.75</v>
      </c>
      <c r="L1901" s="524" t="s">
        <v>1241</v>
      </c>
      <c r="M1901" s="524" t="s">
        <v>1242</v>
      </c>
      <c r="N1901" s="524" t="s">
        <v>1219</v>
      </c>
      <c r="O1901" s="524" t="s">
        <v>1220</v>
      </c>
      <c r="P1901" s="526">
        <v>46226</v>
      </c>
      <c r="S1901" s="527">
        <v>0</v>
      </c>
    </row>
    <row r="1902" spans="1:19" x14ac:dyDescent="0.2">
      <c r="A1902" s="524">
        <v>71188</v>
      </c>
      <c r="B1902" s="526">
        <v>46226</v>
      </c>
      <c r="C1902" s="524" t="s">
        <v>1148</v>
      </c>
      <c r="D1902" s="524" t="s">
        <v>1239</v>
      </c>
      <c r="E1902" s="524" t="s">
        <v>1255</v>
      </c>
      <c r="F1902" s="524" t="s">
        <v>1170</v>
      </c>
      <c r="G1902" s="524" t="s">
        <v>768</v>
      </c>
      <c r="H1902" s="527">
        <v>0.4</v>
      </c>
      <c r="I1902" s="524" t="s">
        <v>1174</v>
      </c>
      <c r="J1902" s="524">
        <f>IF(cmf[[#This Row],[D/C]]="C",cmf[[#This Row],[Valor]],-1*cmf[[#This Row],[Valor]])</f>
        <v>-0.4</v>
      </c>
      <c r="L1902" s="524" t="s">
        <v>1241</v>
      </c>
      <c r="M1902" s="524" t="s">
        <v>1242</v>
      </c>
      <c r="N1902" s="524" t="s">
        <v>1219</v>
      </c>
      <c r="O1902" s="524" t="s">
        <v>1220</v>
      </c>
      <c r="P1902" s="526">
        <v>46226</v>
      </c>
      <c r="S1902" s="527">
        <v>0</v>
      </c>
    </row>
    <row r="1903" spans="1:19" x14ac:dyDescent="0.2">
      <c r="A1903" s="524">
        <v>71253</v>
      </c>
      <c r="B1903" s="526">
        <v>46226</v>
      </c>
      <c r="C1903" s="524" t="s">
        <v>1148</v>
      </c>
      <c r="D1903" s="524" t="s">
        <v>1239</v>
      </c>
      <c r="E1903" s="524" t="s">
        <v>1255</v>
      </c>
      <c r="F1903" s="524" t="s">
        <v>1170</v>
      </c>
      <c r="G1903" s="524" t="s">
        <v>749</v>
      </c>
      <c r="H1903" s="527">
        <v>0.2</v>
      </c>
      <c r="I1903" s="524" t="s">
        <v>1174</v>
      </c>
      <c r="J1903" s="524">
        <f>IF(cmf[[#This Row],[D/C]]="C",cmf[[#This Row],[Valor]],-1*cmf[[#This Row],[Valor]])</f>
        <v>-0.2</v>
      </c>
      <c r="L1903" s="524" t="s">
        <v>1241</v>
      </c>
      <c r="M1903" s="524" t="s">
        <v>1242</v>
      </c>
      <c r="N1903" s="524" t="s">
        <v>1256</v>
      </c>
      <c r="O1903" s="524" t="s">
        <v>1257</v>
      </c>
      <c r="P1903" s="526">
        <v>46226</v>
      </c>
      <c r="S1903" s="527">
        <v>0</v>
      </c>
    </row>
    <row r="1904" spans="1:19" x14ac:dyDescent="0.2">
      <c r="A1904" s="524">
        <v>71254</v>
      </c>
      <c r="B1904" s="526">
        <v>46226</v>
      </c>
      <c r="C1904" s="524" t="s">
        <v>1148</v>
      </c>
      <c r="D1904" s="524" t="s">
        <v>1239</v>
      </c>
      <c r="E1904" s="524" t="s">
        <v>1312</v>
      </c>
      <c r="F1904" s="524" t="s">
        <v>1170</v>
      </c>
      <c r="G1904" s="524" t="s">
        <v>749</v>
      </c>
      <c r="H1904" s="527">
        <v>5</v>
      </c>
      <c r="I1904" s="524" t="s">
        <v>1174</v>
      </c>
      <c r="J1904" s="524">
        <f>IF(cmf[[#This Row],[D/C]]="C",cmf[[#This Row],[Valor]],-1*cmf[[#This Row],[Valor]])</f>
        <v>-5</v>
      </c>
      <c r="L1904" s="524" t="s">
        <v>1241</v>
      </c>
      <c r="M1904" s="524" t="s">
        <v>1242</v>
      </c>
      <c r="N1904" s="524" t="s">
        <v>1256</v>
      </c>
      <c r="O1904" s="524" t="s">
        <v>1257</v>
      </c>
      <c r="P1904" s="526">
        <v>46226</v>
      </c>
      <c r="S1904" s="527">
        <v>0</v>
      </c>
    </row>
    <row r="1905" spans="1:19" x14ac:dyDescent="0.2">
      <c r="A1905" s="524">
        <v>71279</v>
      </c>
      <c r="B1905" s="526">
        <v>46226</v>
      </c>
      <c r="C1905" s="524" t="s">
        <v>1148</v>
      </c>
      <c r="D1905" s="524" t="s">
        <v>1243</v>
      </c>
      <c r="E1905" s="524" t="s">
        <v>1266</v>
      </c>
      <c r="F1905" s="524" t="s">
        <v>1183</v>
      </c>
      <c r="G1905" s="524" t="s">
        <v>806</v>
      </c>
      <c r="H1905" s="527">
        <v>132997.81</v>
      </c>
      <c r="I1905" s="524" t="s">
        <v>1174</v>
      </c>
      <c r="J1905" s="524">
        <f>IF(cmf[[#This Row],[D/C]]="C",cmf[[#This Row],[Valor]],-1*cmf[[#This Row],[Valor]])</f>
        <v>-132997.81</v>
      </c>
      <c r="L1905" s="524" t="s">
        <v>1245</v>
      </c>
      <c r="M1905" s="524" t="s">
        <v>1246</v>
      </c>
      <c r="N1905" s="524" t="s">
        <v>1283</v>
      </c>
      <c r="O1905" s="524" t="s">
        <v>1284</v>
      </c>
      <c r="P1905" s="526">
        <v>46226</v>
      </c>
      <c r="S1905" s="527">
        <v>0</v>
      </c>
    </row>
    <row r="1906" spans="1:19" x14ac:dyDescent="0.2">
      <c r="A1906" s="524">
        <v>71296</v>
      </c>
      <c r="B1906" s="526">
        <v>46226</v>
      </c>
      <c r="C1906" s="524" t="s">
        <v>1148</v>
      </c>
      <c r="D1906" s="524" t="s">
        <v>1239</v>
      </c>
      <c r="E1906" s="524" t="s">
        <v>1255</v>
      </c>
      <c r="F1906" s="524" t="s">
        <v>1170</v>
      </c>
      <c r="G1906" s="524" t="s">
        <v>757</v>
      </c>
      <c r="H1906" s="527">
        <v>0.2</v>
      </c>
      <c r="I1906" s="524" t="s">
        <v>1174</v>
      </c>
      <c r="J1906" s="524">
        <f>IF(cmf[[#This Row],[D/C]]="C",cmf[[#This Row],[Valor]],-1*cmf[[#This Row],[Valor]])</f>
        <v>-0.2</v>
      </c>
      <c r="L1906" s="524" t="s">
        <v>1241</v>
      </c>
      <c r="M1906" s="524" t="s">
        <v>1242</v>
      </c>
      <c r="N1906" s="524" t="s">
        <v>1223</v>
      </c>
      <c r="O1906" s="524" t="s">
        <v>1224</v>
      </c>
      <c r="P1906" s="526">
        <v>46226</v>
      </c>
      <c r="S1906" s="527">
        <v>0</v>
      </c>
    </row>
    <row r="1907" spans="1:19" x14ac:dyDescent="0.2">
      <c r="A1907" s="524">
        <v>71573</v>
      </c>
      <c r="B1907" s="526">
        <v>46226</v>
      </c>
      <c r="C1907" s="524" t="s">
        <v>1148</v>
      </c>
      <c r="D1907" s="524" t="s">
        <v>1243</v>
      </c>
      <c r="E1907" s="524" t="s">
        <v>1244</v>
      </c>
      <c r="F1907" s="524" t="s">
        <v>1183</v>
      </c>
      <c r="G1907" s="524" t="s">
        <v>800</v>
      </c>
      <c r="H1907" s="527">
        <v>4150.7700000000004</v>
      </c>
      <c r="I1907" s="524" t="s">
        <v>1148</v>
      </c>
      <c r="J1907" s="524">
        <f>IF(cmf[[#This Row],[D/C]]="C",cmf[[#This Row],[Valor]],-1*cmf[[#This Row],[Valor]])</f>
        <v>4150.7700000000004</v>
      </c>
      <c r="L1907" s="524" t="s">
        <v>1245</v>
      </c>
      <c r="M1907" s="524" t="s">
        <v>1246</v>
      </c>
      <c r="N1907" s="524" t="s">
        <v>1171</v>
      </c>
      <c r="O1907" s="524" t="s">
        <v>1172</v>
      </c>
      <c r="P1907" s="526">
        <v>46226</v>
      </c>
      <c r="S1907" s="527">
        <v>0</v>
      </c>
    </row>
    <row r="1908" spans="1:19" x14ac:dyDescent="0.2">
      <c r="A1908" s="524">
        <v>71574</v>
      </c>
      <c r="B1908" s="526">
        <v>46226</v>
      </c>
      <c r="C1908" s="524" t="s">
        <v>1148</v>
      </c>
      <c r="D1908" s="524" t="s">
        <v>1243</v>
      </c>
      <c r="E1908" s="524" t="s">
        <v>1244</v>
      </c>
      <c r="F1908" s="524" t="s">
        <v>1183</v>
      </c>
      <c r="G1908" s="524" t="s">
        <v>800</v>
      </c>
      <c r="H1908" s="527">
        <v>0.02</v>
      </c>
      <c r="I1908" s="524" t="s">
        <v>1148</v>
      </c>
      <c r="J1908" s="524">
        <f>IF(cmf[[#This Row],[D/C]]="C",cmf[[#This Row],[Valor]],-1*cmf[[#This Row],[Valor]])</f>
        <v>0.02</v>
      </c>
      <c r="L1908" s="524" t="s">
        <v>1245</v>
      </c>
      <c r="M1908" s="524" t="s">
        <v>1246</v>
      </c>
      <c r="N1908" s="524" t="s">
        <v>1171</v>
      </c>
      <c r="O1908" s="524" t="s">
        <v>1172</v>
      </c>
      <c r="P1908" s="526">
        <v>46226</v>
      </c>
      <c r="S1908" s="527">
        <v>0</v>
      </c>
    </row>
    <row r="1909" spans="1:19" x14ac:dyDescent="0.2">
      <c r="A1909" s="524">
        <v>71635</v>
      </c>
      <c r="B1909" s="526">
        <v>46226</v>
      </c>
      <c r="C1909" s="524" t="s">
        <v>1148</v>
      </c>
      <c r="D1909" s="524" t="s">
        <v>1239</v>
      </c>
      <c r="E1909" s="524" t="s">
        <v>2339</v>
      </c>
      <c r="F1909" s="524" t="s">
        <v>1170</v>
      </c>
      <c r="G1909" s="524" t="s">
        <v>740</v>
      </c>
      <c r="H1909" s="527">
        <v>2433.73</v>
      </c>
      <c r="I1909" s="524" t="s">
        <v>1174</v>
      </c>
      <c r="J1909" s="524">
        <f>IF(cmf[[#This Row],[D/C]]="C",cmf[[#This Row],[Valor]],-1*cmf[[#This Row],[Valor]])</f>
        <v>-2433.73</v>
      </c>
      <c r="L1909" s="524" t="s">
        <v>1359</v>
      </c>
      <c r="M1909" s="524" t="s">
        <v>1360</v>
      </c>
      <c r="N1909" s="524" t="s">
        <v>1215</v>
      </c>
      <c r="O1909" s="524" t="s">
        <v>1218</v>
      </c>
      <c r="P1909" s="526">
        <v>46226</v>
      </c>
      <c r="S1909" s="527">
        <v>0</v>
      </c>
    </row>
    <row r="1910" spans="1:19" x14ac:dyDescent="0.2">
      <c r="A1910" s="524">
        <v>71723</v>
      </c>
      <c r="B1910" s="526">
        <v>46226</v>
      </c>
      <c r="C1910" s="524" t="s">
        <v>1148</v>
      </c>
      <c r="D1910" s="524" t="s">
        <v>1243</v>
      </c>
      <c r="E1910" s="524" t="s">
        <v>1244</v>
      </c>
      <c r="F1910" s="524" t="s">
        <v>1183</v>
      </c>
      <c r="G1910" s="524" t="s">
        <v>742</v>
      </c>
      <c r="H1910" s="527">
        <v>3175.3</v>
      </c>
      <c r="I1910" s="524" t="s">
        <v>1148</v>
      </c>
      <c r="J1910" s="524">
        <f>IF(cmf[[#This Row],[D/C]]="C",cmf[[#This Row],[Valor]],-1*cmf[[#This Row],[Valor]])</f>
        <v>3175.3</v>
      </c>
      <c r="L1910" s="524" t="s">
        <v>1245</v>
      </c>
      <c r="M1910" s="524" t="s">
        <v>1246</v>
      </c>
      <c r="N1910" s="524" t="s">
        <v>1215</v>
      </c>
      <c r="O1910" s="524" t="s">
        <v>1267</v>
      </c>
      <c r="P1910" s="526">
        <v>46226</v>
      </c>
      <c r="S1910" s="527">
        <v>0</v>
      </c>
    </row>
    <row r="1911" spans="1:19" x14ac:dyDescent="0.2">
      <c r="A1911" s="524">
        <v>71724</v>
      </c>
      <c r="B1911" s="526">
        <v>46226</v>
      </c>
      <c r="C1911" s="524" t="s">
        <v>1148</v>
      </c>
      <c r="D1911" s="524" t="s">
        <v>1243</v>
      </c>
      <c r="E1911" s="524" t="s">
        <v>1244</v>
      </c>
      <c r="F1911" s="524" t="s">
        <v>1183</v>
      </c>
      <c r="G1911" s="524" t="s">
        <v>742</v>
      </c>
      <c r="H1911" s="527">
        <v>0.04</v>
      </c>
      <c r="I1911" s="524" t="s">
        <v>1148</v>
      </c>
      <c r="J1911" s="524">
        <f>IF(cmf[[#This Row],[D/C]]="C",cmf[[#This Row],[Valor]],-1*cmf[[#This Row],[Valor]])</f>
        <v>0.04</v>
      </c>
      <c r="L1911" s="524" t="s">
        <v>1245</v>
      </c>
      <c r="M1911" s="524" t="s">
        <v>1246</v>
      </c>
      <c r="N1911" s="524" t="s">
        <v>1215</v>
      </c>
      <c r="O1911" s="524" t="s">
        <v>1267</v>
      </c>
      <c r="P1911" s="526">
        <v>46226</v>
      </c>
      <c r="S1911" s="527">
        <v>0</v>
      </c>
    </row>
    <row r="1912" spans="1:19" x14ac:dyDescent="0.2">
      <c r="A1912" s="524">
        <v>71801</v>
      </c>
      <c r="B1912" s="526">
        <v>46226</v>
      </c>
      <c r="C1912" s="524" t="s">
        <v>1148</v>
      </c>
      <c r="D1912" s="524" t="s">
        <v>1186</v>
      </c>
      <c r="E1912" s="524" t="s">
        <v>2340</v>
      </c>
      <c r="F1912" s="524" t="s">
        <v>1183</v>
      </c>
      <c r="G1912" s="524" t="s">
        <v>742</v>
      </c>
      <c r="H1912" s="527">
        <v>1634.26</v>
      </c>
      <c r="I1912" s="524" t="s">
        <v>1174</v>
      </c>
      <c r="J1912" s="524">
        <f>IF(cmf[[#This Row],[D/C]]="C",cmf[[#This Row],[Valor]],-1*cmf[[#This Row],[Valor]])</f>
        <v>-1634.26</v>
      </c>
      <c r="L1912" s="524" t="s">
        <v>1188</v>
      </c>
      <c r="M1912" s="524" t="s">
        <v>1189</v>
      </c>
      <c r="N1912" s="524" t="s">
        <v>1215</v>
      </c>
      <c r="O1912" s="524" t="s">
        <v>1218</v>
      </c>
      <c r="P1912" s="526">
        <v>46226</v>
      </c>
      <c r="S1912" s="527">
        <v>0</v>
      </c>
    </row>
    <row r="1913" spans="1:19" x14ac:dyDescent="0.2">
      <c r="A1913" s="524">
        <v>72523</v>
      </c>
      <c r="B1913" s="526">
        <v>46226</v>
      </c>
      <c r="C1913" s="524" t="s">
        <v>1162</v>
      </c>
      <c r="D1913" s="524" t="s">
        <v>1186</v>
      </c>
      <c r="E1913" s="524" t="s">
        <v>2341</v>
      </c>
      <c r="F1913" s="524" t="s">
        <v>1376</v>
      </c>
      <c r="G1913" s="524" t="s">
        <v>1377</v>
      </c>
      <c r="H1913" s="527">
        <v>0</v>
      </c>
      <c r="I1913" s="524" t="s">
        <v>1174</v>
      </c>
      <c r="J1913" s="524">
        <f>IF(cmf[[#This Row],[D/C]]="C",cmf[[#This Row],[Valor]],-1*cmf[[#This Row],[Valor]])</f>
        <v>0</v>
      </c>
      <c r="L1913" s="524" t="s">
        <v>1188</v>
      </c>
      <c r="M1913" s="524" t="s">
        <v>1189</v>
      </c>
      <c r="N1913" s="524" t="s">
        <v>1215</v>
      </c>
      <c r="O1913" s="524" t="s">
        <v>1267</v>
      </c>
      <c r="P1913" s="526"/>
      <c r="S1913" s="527">
        <v>0</v>
      </c>
    </row>
    <row r="1914" spans="1:19" x14ac:dyDescent="0.2">
      <c r="A1914" s="524">
        <v>72544</v>
      </c>
      <c r="B1914" s="526">
        <v>46226</v>
      </c>
      <c r="C1914" s="524" t="s">
        <v>1148</v>
      </c>
      <c r="D1914" s="524" t="s">
        <v>1235</v>
      </c>
      <c r="E1914" s="524" t="s">
        <v>1581</v>
      </c>
      <c r="F1914" s="524" t="s">
        <v>1170</v>
      </c>
      <c r="G1914" s="524" t="s">
        <v>757</v>
      </c>
      <c r="H1914" s="527">
        <v>3300</v>
      </c>
      <c r="I1914" s="524" t="s">
        <v>1174</v>
      </c>
      <c r="J1914" s="524">
        <f>IF(cmf[[#This Row],[D/C]]="C",cmf[[#This Row],[Valor]],-1*cmf[[#This Row],[Valor]])</f>
        <v>-3300</v>
      </c>
      <c r="L1914" s="524" t="s">
        <v>1237</v>
      </c>
      <c r="M1914" s="524" t="s">
        <v>1238</v>
      </c>
      <c r="N1914" s="524" t="s">
        <v>1223</v>
      </c>
      <c r="O1914" s="524" t="s">
        <v>1224</v>
      </c>
      <c r="P1914" s="526">
        <v>46226</v>
      </c>
      <c r="S1914" s="527">
        <v>0</v>
      </c>
    </row>
    <row r="1915" spans="1:19" x14ac:dyDescent="0.2">
      <c r="A1915" s="524">
        <v>70182</v>
      </c>
      <c r="B1915" s="526">
        <v>46227</v>
      </c>
      <c r="C1915" s="524" t="s">
        <v>1162</v>
      </c>
      <c r="D1915" s="524" t="s">
        <v>1163</v>
      </c>
      <c r="E1915" s="524" t="s">
        <v>1164</v>
      </c>
      <c r="F1915" s="524" t="s">
        <v>1165</v>
      </c>
      <c r="G1915" s="524" t="s">
        <v>756</v>
      </c>
      <c r="H1915" s="527">
        <v>3205.21</v>
      </c>
      <c r="I1915" s="524" t="s">
        <v>1148</v>
      </c>
      <c r="J1915" s="524">
        <f>IF(cmf[[#This Row],[D/C]]="C",cmf[[#This Row],[Valor]],-1*cmf[[#This Row],[Valor]])</f>
        <v>3205.21</v>
      </c>
      <c r="L1915" s="524" t="s">
        <v>1166</v>
      </c>
      <c r="M1915" s="524" t="s">
        <v>1167</v>
      </c>
      <c r="N1915" s="524" t="s">
        <v>1168</v>
      </c>
      <c r="O1915" s="524" t="s">
        <v>1169</v>
      </c>
      <c r="P1915" s="526"/>
      <c r="S1915" s="527">
        <v>0</v>
      </c>
    </row>
    <row r="1916" spans="1:19" x14ac:dyDescent="0.2">
      <c r="A1916" s="524">
        <v>70307</v>
      </c>
      <c r="B1916" s="526">
        <v>46227</v>
      </c>
      <c r="C1916" s="524" t="s">
        <v>1162</v>
      </c>
      <c r="D1916" s="524" t="s">
        <v>1163</v>
      </c>
      <c r="E1916" s="524" t="s">
        <v>1164</v>
      </c>
      <c r="F1916" s="524" t="s">
        <v>1111</v>
      </c>
      <c r="G1916" s="524" t="s">
        <v>1110</v>
      </c>
      <c r="H1916" s="527">
        <v>2325.33</v>
      </c>
      <c r="I1916" s="524" t="s">
        <v>1148</v>
      </c>
      <c r="J1916" s="524">
        <f>IF(cmf[[#This Row],[D/C]]="C",cmf[[#This Row],[Valor]],-1*cmf[[#This Row],[Valor]])</f>
        <v>2325.33</v>
      </c>
      <c r="L1916" s="524" t="s">
        <v>1166</v>
      </c>
      <c r="M1916" s="524" t="s">
        <v>1167</v>
      </c>
      <c r="N1916" s="524" t="s">
        <v>1219</v>
      </c>
      <c r="O1916" s="524" t="s">
        <v>1220</v>
      </c>
      <c r="P1916" s="526"/>
      <c r="S1916" s="527">
        <v>0</v>
      </c>
    </row>
    <row r="1917" spans="1:19" x14ac:dyDescent="0.2">
      <c r="A1917" s="524">
        <v>70309</v>
      </c>
      <c r="B1917" s="526">
        <v>46227</v>
      </c>
      <c r="C1917" s="524" t="s">
        <v>1162</v>
      </c>
      <c r="D1917" s="524" t="s">
        <v>1163</v>
      </c>
      <c r="E1917" s="524" t="s">
        <v>1164</v>
      </c>
      <c r="F1917" s="524" t="s">
        <v>1183</v>
      </c>
      <c r="G1917" s="524" t="s">
        <v>1276</v>
      </c>
      <c r="H1917" s="527">
        <v>1448.52</v>
      </c>
      <c r="I1917" s="524" t="s">
        <v>1148</v>
      </c>
      <c r="J1917" s="524">
        <f>IF(cmf[[#This Row],[D/C]]="C",cmf[[#This Row],[Valor]],-1*cmf[[#This Row],[Valor]])</f>
        <v>1448.52</v>
      </c>
      <c r="L1917" s="524" t="s">
        <v>1166</v>
      </c>
      <c r="M1917" s="524" t="s">
        <v>1167</v>
      </c>
      <c r="N1917" s="524" t="s">
        <v>1184</v>
      </c>
      <c r="O1917" s="524" t="s">
        <v>1201</v>
      </c>
      <c r="P1917" s="526"/>
      <c r="S1917" s="527">
        <v>0</v>
      </c>
    </row>
    <row r="1918" spans="1:19" x14ac:dyDescent="0.2">
      <c r="A1918" s="524">
        <v>70310</v>
      </c>
      <c r="B1918" s="526">
        <v>46227</v>
      </c>
      <c r="C1918" s="524" t="s">
        <v>1162</v>
      </c>
      <c r="D1918" s="524" t="s">
        <v>1163</v>
      </c>
      <c r="E1918" s="524" t="s">
        <v>1173</v>
      </c>
      <c r="F1918" s="524" t="s">
        <v>1183</v>
      </c>
      <c r="G1918" s="524" t="s">
        <v>1276</v>
      </c>
      <c r="H1918" s="527">
        <v>2.2999999999999998</v>
      </c>
      <c r="I1918" s="524" t="s">
        <v>1174</v>
      </c>
      <c r="J1918" s="524">
        <f>IF(cmf[[#This Row],[D/C]]="C",cmf[[#This Row],[Valor]],-1*cmf[[#This Row],[Valor]])</f>
        <v>-2.2999999999999998</v>
      </c>
      <c r="L1918" s="524" t="s">
        <v>1175</v>
      </c>
      <c r="M1918" s="524" t="s">
        <v>1176</v>
      </c>
      <c r="N1918" s="524" t="s">
        <v>1184</v>
      </c>
      <c r="O1918" s="524" t="s">
        <v>1201</v>
      </c>
      <c r="P1918" s="526"/>
      <c r="S1918" s="527">
        <v>0</v>
      </c>
    </row>
    <row r="1919" spans="1:19" x14ac:dyDescent="0.2">
      <c r="A1919" s="524">
        <v>70382</v>
      </c>
      <c r="B1919" s="526">
        <v>46227</v>
      </c>
      <c r="C1919" s="524" t="s">
        <v>1148</v>
      </c>
      <c r="D1919" s="524" t="s">
        <v>1186</v>
      </c>
      <c r="E1919" s="524" t="s">
        <v>2342</v>
      </c>
      <c r="F1919" s="524" t="s">
        <v>1183</v>
      </c>
      <c r="G1919" s="524" t="s">
        <v>800</v>
      </c>
      <c r="H1919" s="527">
        <v>8843.52</v>
      </c>
      <c r="I1919" s="524" t="s">
        <v>1174</v>
      </c>
      <c r="J1919" s="524">
        <f>IF(cmf[[#This Row],[D/C]]="C",cmf[[#This Row],[Valor]],-1*cmf[[#This Row],[Valor]])</f>
        <v>-8843.52</v>
      </c>
      <c r="L1919" s="524" t="s">
        <v>1188</v>
      </c>
      <c r="M1919" s="524" t="s">
        <v>1189</v>
      </c>
      <c r="N1919" s="524" t="s">
        <v>1171</v>
      </c>
      <c r="O1919" s="524" t="s">
        <v>1172</v>
      </c>
      <c r="P1919" s="526">
        <v>46227</v>
      </c>
      <c r="S1919" s="527">
        <v>0</v>
      </c>
    </row>
    <row r="1920" spans="1:19" x14ac:dyDescent="0.2">
      <c r="A1920" s="524">
        <v>70383</v>
      </c>
      <c r="B1920" s="526">
        <v>46227</v>
      </c>
      <c r="C1920" s="524" t="s">
        <v>1148</v>
      </c>
      <c r="D1920" s="524" t="s">
        <v>1186</v>
      </c>
      <c r="E1920" s="524" t="s">
        <v>2343</v>
      </c>
      <c r="F1920" s="524" t="s">
        <v>1183</v>
      </c>
      <c r="G1920" s="524" t="s">
        <v>800</v>
      </c>
      <c r="H1920" s="527">
        <v>9125.0300000000007</v>
      </c>
      <c r="I1920" s="524" t="s">
        <v>1174</v>
      </c>
      <c r="J1920" s="524">
        <f>IF(cmf[[#This Row],[D/C]]="C",cmf[[#This Row],[Valor]],-1*cmf[[#This Row],[Valor]])</f>
        <v>-9125.0300000000007</v>
      </c>
      <c r="L1920" s="524" t="s">
        <v>1188</v>
      </c>
      <c r="M1920" s="524" t="s">
        <v>1189</v>
      </c>
      <c r="N1920" s="524" t="s">
        <v>1171</v>
      </c>
      <c r="O1920" s="524" t="s">
        <v>1172</v>
      </c>
      <c r="P1920" s="526">
        <v>46227</v>
      </c>
      <c r="S1920" s="527">
        <v>0</v>
      </c>
    </row>
    <row r="1921" spans="1:19" x14ac:dyDescent="0.2">
      <c r="A1921" s="524">
        <v>70384</v>
      </c>
      <c r="B1921" s="526">
        <v>46227</v>
      </c>
      <c r="C1921" s="524" t="s">
        <v>1148</v>
      </c>
      <c r="D1921" s="524" t="s">
        <v>1186</v>
      </c>
      <c r="E1921" s="524" t="s">
        <v>2344</v>
      </c>
      <c r="F1921" s="524" t="s">
        <v>1183</v>
      </c>
      <c r="G1921" s="524" t="s">
        <v>800</v>
      </c>
      <c r="H1921" s="527">
        <v>59600</v>
      </c>
      <c r="I1921" s="524" t="s">
        <v>1174</v>
      </c>
      <c r="J1921" s="524">
        <f>IF(cmf[[#This Row],[D/C]]="C",cmf[[#This Row],[Valor]],-1*cmf[[#This Row],[Valor]])</f>
        <v>-59600</v>
      </c>
      <c r="L1921" s="524" t="s">
        <v>1188</v>
      </c>
      <c r="M1921" s="524" t="s">
        <v>1189</v>
      </c>
      <c r="N1921" s="524" t="s">
        <v>1171</v>
      </c>
      <c r="O1921" s="524" t="s">
        <v>1172</v>
      </c>
      <c r="P1921" s="526">
        <v>46227</v>
      </c>
      <c r="S1921" s="527">
        <v>0</v>
      </c>
    </row>
    <row r="1922" spans="1:19" x14ac:dyDescent="0.2">
      <c r="A1922" s="524">
        <v>70385</v>
      </c>
      <c r="B1922" s="526">
        <v>46227</v>
      </c>
      <c r="C1922" s="524" t="s">
        <v>1148</v>
      </c>
      <c r="D1922" s="524" t="s">
        <v>1186</v>
      </c>
      <c r="E1922" s="524" t="s">
        <v>2345</v>
      </c>
      <c r="F1922" s="524" t="s">
        <v>1183</v>
      </c>
      <c r="G1922" s="524" t="s">
        <v>800</v>
      </c>
      <c r="H1922" s="527">
        <v>6733.89</v>
      </c>
      <c r="I1922" s="524" t="s">
        <v>1174</v>
      </c>
      <c r="J1922" s="524">
        <f>IF(cmf[[#This Row],[D/C]]="C",cmf[[#This Row],[Valor]],-1*cmf[[#This Row],[Valor]])</f>
        <v>-6733.89</v>
      </c>
      <c r="L1922" s="524" t="s">
        <v>1188</v>
      </c>
      <c r="M1922" s="524" t="s">
        <v>1189</v>
      </c>
      <c r="N1922" s="524" t="s">
        <v>1171</v>
      </c>
      <c r="O1922" s="524" t="s">
        <v>1172</v>
      </c>
      <c r="P1922" s="526">
        <v>46227</v>
      </c>
      <c r="S1922" s="527">
        <v>0</v>
      </c>
    </row>
    <row r="1923" spans="1:19" x14ac:dyDescent="0.2">
      <c r="A1923" s="524">
        <v>70386</v>
      </c>
      <c r="B1923" s="526">
        <v>46227</v>
      </c>
      <c r="C1923" s="524" t="s">
        <v>1148</v>
      </c>
      <c r="D1923" s="524" t="s">
        <v>1186</v>
      </c>
      <c r="E1923" s="524" t="s">
        <v>2346</v>
      </c>
      <c r="F1923" s="524" t="s">
        <v>1183</v>
      </c>
      <c r="G1923" s="524" t="s">
        <v>800</v>
      </c>
      <c r="H1923" s="527">
        <v>25486.52</v>
      </c>
      <c r="I1923" s="524" t="s">
        <v>1174</v>
      </c>
      <c r="J1923" s="524">
        <f>IF(cmf[[#This Row],[D/C]]="C",cmf[[#This Row],[Valor]],-1*cmf[[#This Row],[Valor]])</f>
        <v>-25486.52</v>
      </c>
      <c r="L1923" s="524" t="s">
        <v>1188</v>
      </c>
      <c r="M1923" s="524" t="s">
        <v>1189</v>
      </c>
      <c r="N1923" s="524" t="s">
        <v>1171</v>
      </c>
      <c r="O1923" s="524" t="s">
        <v>1172</v>
      </c>
      <c r="P1923" s="526">
        <v>46227</v>
      </c>
      <c r="S1923" s="527">
        <v>0</v>
      </c>
    </row>
    <row r="1924" spans="1:19" x14ac:dyDescent="0.2">
      <c r="A1924" s="524">
        <v>70387</v>
      </c>
      <c r="B1924" s="526">
        <v>46227</v>
      </c>
      <c r="C1924" s="524" t="s">
        <v>1148</v>
      </c>
      <c r="D1924" s="524" t="s">
        <v>1186</v>
      </c>
      <c r="E1924" s="524" t="s">
        <v>2347</v>
      </c>
      <c r="F1924" s="524" t="s">
        <v>1183</v>
      </c>
      <c r="G1924" s="524" t="s">
        <v>803</v>
      </c>
      <c r="H1924" s="527">
        <v>15617.44</v>
      </c>
      <c r="I1924" s="524" t="s">
        <v>1174</v>
      </c>
      <c r="J1924" s="524">
        <f>IF(cmf[[#This Row],[D/C]]="C",cmf[[#This Row],[Valor]],-1*cmf[[#This Row],[Valor]])</f>
        <v>-15617.44</v>
      </c>
      <c r="L1924" s="524" t="s">
        <v>1188</v>
      </c>
      <c r="M1924" s="524" t="s">
        <v>1189</v>
      </c>
      <c r="N1924" s="524" t="s">
        <v>1192</v>
      </c>
      <c r="O1924" s="524" t="s">
        <v>1193</v>
      </c>
      <c r="P1924" s="526">
        <v>46227</v>
      </c>
      <c r="S1924" s="527">
        <v>0</v>
      </c>
    </row>
    <row r="1925" spans="1:19" x14ac:dyDescent="0.2">
      <c r="A1925" s="524">
        <v>70388</v>
      </c>
      <c r="B1925" s="526">
        <v>46227</v>
      </c>
      <c r="C1925" s="524" t="s">
        <v>1148</v>
      </c>
      <c r="D1925" s="524" t="s">
        <v>1186</v>
      </c>
      <c r="E1925" s="524" t="s">
        <v>2348</v>
      </c>
      <c r="F1925" s="524" t="s">
        <v>1183</v>
      </c>
      <c r="G1925" s="524" t="s">
        <v>803</v>
      </c>
      <c r="H1925" s="527">
        <v>20480</v>
      </c>
      <c r="I1925" s="524" t="s">
        <v>1174</v>
      </c>
      <c r="J1925" s="524">
        <f>IF(cmf[[#This Row],[D/C]]="C",cmf[[#This Row],[Valor]],-1*cmf[[#This Row],[Valor]])</f>
        <v>-20480</v>
      </c>
      <c r="L1925" s="524" t="s">
        <v>1188</v>
      </c>
      <c r="M1925" s="524" t="s">
        <v>1189</v>
      </c>
      <c r="N1925" s="524" t="s">
        <v>1192</v>
      </c>
      <c r="O1925" s="524" t="s">
        <v>1193</v>
      </c>
      <c r="P1925" s="526">
        <v>46227</v>
      </c>
      <c r="S1925" s="527">
        <v>0</v>
      </c>
    </row>
    <row r="1926" spans="1:19" x14ac:dyDescent="0.2">
      <c r="A1926" s="524">
        <v>70389</v>
      </c>
      <c r="B1926" s="526">
        <v>46227</v>
      </c>
      <c r="C1926" s="524" t="s">
        <v>1148</v>
      </c>
      <c r="D1926" s="524" t="s">
        <v>1186</v>
      </c>
      <c r="E1926" s="524" t="s">
        <v>2349</v>
      </c>
      <c r="F1926" s="524" t="s">
        <v>1183</v>
      </c>
      <c r="G1926" s="524" t="s">
        <v>803</v>
      </c>
      <c r="H1926" s="527">
        <v>6000</v>
      </c>
      <c r="I1926" s="524" t="s">
        <v>1174</v>
      </c>
      <c r="J1926" s="524">
        <f>IF(cmf[[#This Row],[D/C]]="C",cmf[[#This Row],[Valor]],-1*cmf[[#This Row],[Valor]])</f>
        <v>-6000</v>
      </c>
      <c r="L1926" s="524" t="s">
        <v>1188</v>
      </c>
      <c r="M1926" s="524" t="s">
        <v>1189</v>
      </c>
      <c r="N1926" s="524" t="s">
        <v>1192</v>
      </c>
      <c r="O1926" s="524" t="s">
        <v>1193</v>
      </c>
      <c r="P1926" s="526">
        <v>46227</v>
      </c>
      <c r="S1926" s="527">
        <v>0</v>
      </c>
    </row>
    <row r="1927" spans="1:19" x14ac:dyDescent="0.2">
      <c r="A1927" s="524">
        <v>70390</v>
      </c>
      <c r="B1927" s="526">
        <v>46227</v>
      </c>
      <c r="C1927" s="524" t="s">
        <v>1148</v>
      </c>
      <c r="D1927" s="524" t="s">
        <v>1186</v>
      </c>
      <c r="E1927" s="524" t="s">
        <v>2350</v>
      </c>
      <c r="F1927" s="524" t="s">
        <v>1183</v>
      </c>
      <c r="G1927" s="524" t="s">
        <v>803</v>
      </c>
      <c r="H1927" s="527">
        <v>9536.94</v>
      </c>
      <c r="I1927" s="524" t="s">
        <v>1174</v>
      </c>
      <c r="J1927" s="524">
        <f>IF(cmf[[#This Row],[D/C]]="C",cmf[[#This Row],[Valor]],-1*cmf[[#This Row],[Valor]])</f>
        <v>-9536.94</v>
      </c>
      <c r="L1927" s="524" t="s">
        <v>1188</v>
      </c>
      <c r="M1927" s="524" t="s">
        <v>1189</v>
      </c>
      <c r="N1927" s="524" t="s">
        <v>1192</v>
      </c>
      <c r="O1927" s="524" t="s">
        <v>1193</v>
      </c>
      <c r="P1927" s="526">
        <v>46227</v>
      </c>
      <c r="S1927" s="527">
        <v>0</v>
      </c>
    </row>
    <row r="1928" spans="1:19" x14ac:dyDescent="0.2">
      <c r="A1928" s="524">
        <v>70391</v>
      </c>
      <c r="B1928" s="526">
        <v>46227</v>
      </c>
      <c r="C1928" s="524" t="s">
        <v>1148</v>
      </c>
      <c r="D1928" s="524" t="s">
        <v>1186</v>
      </c>
      <c r="E1928" s="524" t="s">
        <v>2351</v>
      </c>
      <c r="F1928" s="524" t="s">
        <v>1183</v>
      </c>
      <c r="G1928" s="524" t="s">
        <v>769</v>
      </c>
      <c r="H1928" s="527">
        <v>7187.09</v>
      </c>
      <c r="I1928" s="524" t="s">
        <v>1174</v>
      </c>
      <c r="J1928" s="524">
        <f>IF(cmf[[#This Row],[D/C]]="C",cmf[[#This Row],[Valor]],-1*cmf[[#This Row],[Valor]])</f>
        <v>-7187.09</v>
      </c>
      <c r="L1928" s="524" t="s">
        <v>1188</v>
      </c>
      <c r="M1928" s="524" t="s">
        <v>1189</v>
      </c>
      <c r="N1928" s="524" t="s">
        <v>1219</v>
      </c>
      <c r="O1928" s="524" t="s">
        <v>1220</v>
      </c>
      <c r="P1928" s="526">
        <v>46227</v>
      </c>
      <c r="S1928" s="527">
        <v>0</v>
      </c>
    </row>
    <row r="1929" spans="1:19" x14ac:dyDescent="0.2">
      <c r="A1929" s="524">
        <v>70392</v>
      </c>
      <c r="B1929" s="526">
        <v>46227</v>
      </c>
      <c r="C1929" s="524" t="s">
        <v>1148</v>
      </c>
      <c r="D1929" s="524" t="s">
        <v>1186</v>
      </c>
      <c r="E1929" s="524" t="s">
        <v>2352</v>
      </c>
      <c r="F1929" s="524" t="s">
        <v>1183</v>
      </c>
      <c r="G1929" s="524" t="s">
        <v>769</v>
      </c>
      <c r="H1929" s="527">
        <v>11563.38</v>
      </c>
      <c r="I1929" s="524" t="s">
        <v>1174</v>
      </c>
      <c r="J1929" s="524">
        <f>IF(cmf[[#This Row],[D/C]]="C",cmf[[#This Row],[Valor]],-1*cmf[[#This Row],[Valor]])</f>
        <v>-11563.38</v>
      </c>
      <c r="L1929" s="524" t="s">
        <v>1188</v>
      </c>
      <c r="M1929" s="524" t="s">
        <v>1189</v>
      </c>
      <c r="N1929" s="524" t="s">
        <v>1219</v>
      </c>
      <c r="O1929" s="524" t="s">
        <v>1220</v>
      </c>
      <c r="P1929" s="526">
        <v>46227</v>
      </c>
      <c r="S1929" s="527">
        <v>0</v>
      </c>
    </row>
    <row r="1930" spans="1:19" x14ac:dyDescent="0.2">
      <c r="A1930" s="524">
        <v>70393</v>
      </c>
      <c r="B1930" s="526">
        <v>46227</v>
      </c>
      <c r="C1930" s="524" t="s">
        <v>1148</v>
      </c>
      <c r="D1930" s="524" t="s">
        <v>1186</v>
      </c>
      <c r="E1930" s="524" t="s">
        <v>2353</v>
      </c>
      <c r="F1930" s="524" t="s">
        <v>1183</v>
      </c>
      <c r="G1930" s="524" t="s">
        <v>769</v>
      </c>
      <c r="H1930" s="527">
        <v>5325</v>
      </c>
      <c r="I1930" s="524" t="s">
        <v>1174</v>
      </c>
      <c r="J1930" s="524">
        <f>IF(cmf[[#This Row],[D/C]]="C",cmf[[#This Row],[Valor]],-1*cmf[[#This Row],[Valor]])</f>
        <v>-5325</v>
      </c>
      <c r="L1930" s="524" t="s">
        <v>1188</v>
      </c>
      <c r="M1930" s="524" t="s">
        <v>1189</v>
      </c>
      <c r="N1930" s="524" t="s">
        <v>1219</v>
      </c>
      <c r="O1930" s="524" t="s">
        <v>1220</v>
      </c>
      <c r="P1930" s="526">
        <v>46227</v>
      </c>
      <c r="S1930" s="527">
        <v>0</v>
      </c>
    </row>
    <row r="1931" spans="1:19" x14ac:dyDescent="0.2">
      <c r="A1931" s="524">
        <v>70394</v>
      </c>
      <c r="B1931" s="526">
        <v>46227</v>
      </c>
      <c r="C1931" s="524" t="s">
        <v>1148</v>
      </c>
      <c r="D1931" s="524" t="s">
        <v>1186</v>
      </c>
      <c r="E1931" s="524" t="s">
        <v>2354</v>
      </c>
      <c r="F1931" s="524" t="s">
        <v>1183</v>
      </c>
      <c r="G1931" s="524" t="s">
        <v>769</v>
      </c>
      <c r="H1931" s="527">
        <v>29548.48</v>
      </c>
      <c r="I1931" s="524" t="s">
        <v>1174</v>
      </c>
      <c r="J1931" s="524">
        <f>IF(cmf[[#This Row],[D/C]]="C",cmf[[#This Row],[Valor]],-1*cmf[[#This Row],[Valor]])</f>
        <v>-29548.48</v>
      </c>
      <c r="L1931" s="524" t="s">
        <v>1188</v>
      </c>
      <c r="M1931" s="524" t="s">
        <v>1189</v>
      </c>
      <c r="N1931" s="524" t="s">
        <v>1219</v>
      </c>
      <c r="O1931" s="524" t="s">
        <v>1220</v>
      </c>
      <c r="P1931" s="526">
        <v>46227</v>
      </c>
      <c r="S1931" s="527">
        <v>0</v>
      </c>
    </row>
    <row r="1932" spans="1:19" x14ac:dyDescent="0.2">
      <c r="A1932" s="524">
        <v>70395</v>
      </c>
      <c r="B1932" s="526">
        <v>46227</v>
      </c>
      <c r="C1932" s="524" t="s">
        <v>1148</v>
      </c>
      <c r="D1932" s="524" t="s">
        <v>1186</v>
      </c>
      <c r="E1932" s="524" t="s">
        <v>2355</v>
      </c>
      <c r="F1932" s="524" t="s">
        <v>1183</v>
      </c>
      <c r="G1932" s="524" t="s">
        <v>769</v>
      </c>
      <c r="H1932" s="527">
        <v>6745.67</v>
      </c>
      <c r="I1932" s="524" t="s">
        <v>1174</v>
      </c>
      <c r="J1932" s="524">
        <f>IF(cmf[[#This Row],[D/C]]="C",cmf[[#This Row],[Valor]],-1*cmf[[#This Row],[Valor]])</f>
        <v>-6745.67</v>
      </c>
      <c r="L1932" s="524" t="s">
        <v>1188</v>
      </c>
      <c r="M1932" s="524" t="s">
        <v>1189</v>
      </c>
      <c r="N1932" s="524" t="s">
        <v>1219</v>
      </c>
      <c r="O1932" s="524" t="s">
        <v>1220</v>
      </c>
      <c r="P1932" s="526">
        <v>46227</v>
      </c>
      <c r="S1932" s="527">
        <v>0</v>
      </c>
    </row>
    <row r="1933" spans="1:19" x14ac:dyDescent="0.2">
      <c r="A1933" s="524">
        <v>70396</v>
      </c>
      <c r="B1933" s="526">
        <v>46227</v>
      </c>
      <c r="C1933" s="524" t="s">
        <v>1148</v>
      </c>
      <c r="D1933" s="524" t="s">
        <v>1205</v>
      </c>
      <c r="E1933" s="524" t="s">
        <v>1335</v>
      </c>
      <c r="F1933" s="524" t="s">
        <v>1170</v>
      </c>
      <c r="G1933" s="524" t="s">
        <v>799</v>
      </c>
      <c r="H1933" s="527">
        <v>85000</v>
      </c>
      <c r="I1933" s="524" t="s">
        <v>1174</v>
      </c>
      <c r="J1933" s="524">
        <f>IF(cmf[[#This Row],[D/C]]="C",cmf[[#This Row],[Valor]],-1*cmf[[#This Row],[Valor]])</f>
        <v>-85000</v>
      </c>
      <c r="L1933" s="524" t="s">
        <v>1207</v>
      </c>
      <c r="M1933" s="524" t="s">
        <v>1208</v>
      </c>
      <c r="N1933" s="524" t="s">
        <v>1171</v>
      </c>
      <c r="O1933" s="524" t="s">
        <v>1172</v>
      </c>
      <c r="P1933" s="526">
        <v>46227</v>
      </c>
      <c r="S1933" s="527">
        <v>0</v>
      </c>
    </row>
    <row r="1934" spans="1:19" x14ac:dyDescent="0.2">
      <c r="A1934" s="524">
        <v>70397</v>
      </c>
      <c r="B1934" s="526">
        <v>46227</v>
      </c>
      <c r="C1934" s="524" t="s">
        <v>1148</v>
      </c>
      <c r="D1934" s="524" t="s">
        <v>1205</v>
      </c>
      <c r="E1934" s="524" t="s">
        <v>1330</v>
      </c>
      <c r="F1934" s="524" t="s">
        <v>1183</v>
      </c>
      <c r="G1934" s="524" t="s">
        <v>800</v>
      </c>
      <c r="H1934" s="527">
        <v>85000</v>
      </c>
      <c r="I1934" s="524" t="s">
        <v>1148</v>
      </c>
      <c r="J1934" s="524">
        <f>IF(cmf[[#This Row],[D/C]]="C",cmf[[#This Row],[Valor]],-1*cmf[[#This Row],[Valor]])</f>
        <v>85000</v>
      </c>
      <c r="L1934" s="524" t="s">
        <v>1207</v>
      </c>
      <c r="M1934" s="524" t="s">
        <v>1208</v>
      </c>
      <c r="N1934" s="524" t="s">
        <v>1171</v>
      </c>
      <c r="O1934" s="524" t="s">
        <v>1172</v>
      </c>
      <c r="P1934" s="526">
        <v>46227</v>
      </c>
      <c r="S1934" s="527">
        <v>0</v>
      </c>
    </row>
    <row r="1935" spans="1:19" x14ac:dyDescent="0.2">
      <c r="A1935" s="524">
        <v>70398</v>
      </c>
      <c r="B1935" s="526">
        <v>46227</v>
      </c>
      <c r="C1935" s="524" t="s">
        <v>1148</v>
      </c>
      <c r="D1935" s="524" t="s">
        <v>1186</v>
      </c>
      <c r="E1935" s="524" t="s">
        <v>2356</v>
      </c>
      <c r="F1935" s="524" t="s">
        <v>1183</v>
      </c>
      <c r="G1935" s="524" t="s">
        <v>806</v>
      </c>
      <c r="H1935" s="527">
        <v>9385</v>
      </c>
      <c r="I1935" s="524" t="s">
        <v>1174</v>
      </c>
      <c r="J1935" s="524">
        <f>IF(cmf[[#This Row],[D/C]]="C",cmf[[#This Row],[Valor]],-1*cmf[[#This Row],[Valor]])</f>
        <v>-9385</v>
      </c>
      <c r="L1935" s="524" t="s">
        <v>1188</v>
      </c>
      <c r="M1935" s="524" t="s">
        <v>1189</v>
      </c>
      <c r="N1935" s="524" t="s">
        <v>1283</v>
      </c>
      <c r="O1935" s="524" t="s">
        <v>1284</v>
      </c>
      <c r="P1935" s="526">
        <v>46227</v>
      </c>
      <c r="S1935" s="527">
        <v>0</v>
      </c>
    </row>
    <row r="1936" spans="1:19" x14ac:dyDescent="0.2">
      <c r="A1936" s="524">
        <v>70399</v>
      </c>
      <c r="B1936" s="526">
        <v>46227</v>
      </c>
      <c r="C1936" s="524" t="s">
        <v>1148</v>
      </c>
      <c r="D1936" s="524" t="s">
        <v>1186</v>
      </c>
      <c r="E1936" s="524" t="s">
        <v>2357</v>
      </c>
      <c r="F1936" s="524" t="s">
        <v>1183</v>
      </c>
      <c r="G1936" s="524" t="s">
        <v>745</v>
      </c>
      <c r="H1936" s="527">
        <v>9385</v>
      </c>
      <c r="I1936" s="524" t="s">
        <v>1174</v>
      </c>
      <c r="J1936" s="524">
        <f>IF(cmf[[#This Row],[D/C]]="C",cmf[[#This Row],[Valor]],-1*cmf[[#This Row],[Valor]])</f>
        <v>-9385</v>
      </c>
      <c r="L1936" s="524" t="s">
        <v>1188</v>
      </c>
      <c r="M1936" s="524" t="s">
        <v>1189</v>
      </c>
      <c r="N1936" s="524" t="s">
        <v>1292</v>
      </c>
      <c r="O1936" s="524" t="s">
        <v>1293</v>
      </c>
      <c r="P1936" s="526">
        <v>46227</v>
      </c>
      <c r="S1936" s="527">
        <v>0</v>
      </c>
    </row>
    <row r="1937" spans="1:19" x14ac:dyDescent="0.2">
      <c r="A1937" s="524">
        <v>70420</v>
      </c>
      <c r="B1937" s="526">
        <v>46227</v>
      </c>
      <c r="C1937" s="524" t="s">
        <v>1148</v>
      </c>
      <c r="D1937" s="524" t="s">
        <v>1186</v>
      </c>
      <c r="E1937" s="524" t="s">
        <v>2358</v>
      </c>
      <c r="F1937" s="524" t="s">
        <v>1183</v>
      </c>
      <c r="G1937" s="524" t="s">
        <v>800</v>
      </c>
      <c r="H1937" s="527">
        <v>7285</v>
      </c>
      <c r="I1937" s="524" t="s">
        <v>1174</v>
      </c>
      <c r="J1937" s="524">
        <f>IF(cmf[[#This Row],[D/C]]="C",cmf[[#This Row],[Valor]],-1*cmf[[#This Row],[Valor]])</f>
        <v>-7285</v>
      </c>
      <c r="L1937" s="524" t="s">
        <v>1188</v>
      </c>
      <c r="M1937" s="524" t="s">
        <v>1189</v>
      </c>
      <c r="N1937" s="524" t="s">
        <v>1171</v>
      </c>
      <c r="O1937" s="524" t="s">
        <v>1172</v>
      </c>
      <c r="P1937" s="526">
        <v>46227</v>
      </c>
      <c r="S1937" s="527">
        <v>0</v>
      </c>
    </row>
    <row r="1938" spans="1:19" x14ac:dyDescent="0.2">
      <c r="A1938" s="524">
        <v>70421</v>
      </c>
      <c r="B1938" s="526">
        <v>46227</v>
      </c>
      <c r="C1938" s="524" t="s">
        <v>1148</v>
      </c>
      <c r="D1938" s="524" t="s">
        <v>1186</v>
      </c>
      <c r="E1938" s="524" t="s">
        <v>2359</v>
      </c>
      <c r="F1938" s="524" t="s">
        <v>1183</v>
      </c>
      <c r="G1938" s="524" t="s">
        <v>769</v>
      </c>
      <c r="H1938" s="527">
        <v>16900</v>
      </c>
      <c r="I1938" s="524" t="s">
        <v>1174</v>
      </c>
      <c r="J1938" s="524">
        <f>IF(cmf[[#This Row],[D/C]]="C",cmf[[#This Row],[Valor]],-1*cmf[[#This Row],[Valor]])</f>
        <v>-16900</v>
      </c>
      <c r="L1938" s="524" t="s">
        <v>1188</v>
      </c>
      <c r="M1938" s="524" t="s">
        <v>1189</v>
      </c>
      <c r="N1938" s="524" t="s">
        <v>1219</v>
      </c>
      <c r="O1938" s="524" t="s">
        <v>1220</v>
      </c>
      <c r="P1938" s="526">
        <v>46227</v>
      </c>
      <c r="S1938" s="527">
        <v>0</v>
      </c>
    </row>
    <row r="1939" spans="1:19" x14ac:dyDescent="0.2">
      <c r="A1939" s="524">
        <v>70458</v>
      </c>
      <c r="B1939" s="526">
        <v>46227</v>
      </c>
      <c r="C1939" s="524" t="s">
        <v>1162</v>
      </c>
      <c r="D1939" s="524" t="s">
        <v>1163</v>
      </c>
      <c r="E1939" s="524" t="s">
        <v>1173</v>
      </c>
      <c r="F1939" s="524" t="s">
        <v>1183</v>
      </c>
      <c r="G1939" s="524" t="s">
        <v>796</v>
      </c>
      <c r="H1939" s="527">
        <v>9</v>
      </c>
      <c r="I1939" s="524" t="s">
        <v>1174</v>
      </c>
      <c r="J1939" s="524">
        <f>IF(cmf[[#This Row],[D/C]]="C",cmf[[#This Row],[Valor]],-1*cmf[[#This Row],[Valor]])</f>
        <v>-9</v>
      </c>
      <c r="L1939" s="524" t="s">
        <v>1175</v>
      </c>
      <c r="M1939" s="524" t="s">
        <v>1176</v>
      </c>
      <c r="N1939" s="524" t="s">
        <v>1184</v>
      </c>
      <c r="O1939" s="524" t="s">
        <v>1172</v>
      </c>
      <c r="P1939" s="526"/>
      <c r="S1939" s="527">
        <v>0</v>
      </c>
    </row>
    <row r="1940" spans="1:19" x14ac:dyDescent="0.2">
      <c r="A1940" s="524">
        <v>70468</v>
      </c>
      <c r="B1940" s="526">
        <v>46227</v>
      </c>
      <c r="C1940" s="524" t="s">
        <v>1148</v>
      </c>
      <c r="D1940" s="524" t="s">
        <v>1163</v>
      </c>
      <c r="E1940" s="524" t="s">
        <v>1164</v>
      </c>
      <c r="F1940" s="524" t="s">
        <v>1183</v>
      </c>
      <c r="G1940" s="524" t="s">
        <v>806</v>
      </c>
      <c r="H1940" s="527">
        <v>21611.67</v>
      </c>
      <c r="I1940" s="524" t="s">
        <v>1148</v>
      </c>
      <c r="J1940" s="524">
        <f>IF(cmf[[#This Row],[D/C]]="C",cmf[[#This Row],[Valor]],-1*cmf[[#This Row],[Valor]])</f>
        <v>21611.67</v>
      </c>
      <c r="L1940" s="524" t="s">
        <v>1166</v>
      </c>
      <c r="M1940" s="524" t="s">
        <v>1167</v>
      </c>
      <c r="N1940" s="524" t="s">
        <v>1283</v>
      </c>
      <c r="O1940" s="524" t="s">
        <v>1284</v>
      </c>
      <c r="P1940" s="526">
        <v>46227</v>
      </c>
      <c r="S1940" s="527">
        <v>0</v>
      </c>
    </row>
    <row r="1941" spans="1:19" x14ac:dyDescent="0.2">
      <c r="A1941" s="524">
        <v>70469</v>
      </c>
      <c r="B1941" s="526">
        <v>46227</v>
      </c>
      <c r="C1941" s="524" t="s">
        <v>1148</v>
      </c>
      <c r="D1941" s="524" t="s">
        <v>1163</v>
      </c>
      <c r="E1941" s="524" t="s">
        <v>1173</v>
      </c>
      <c r="F1941" s="524" t="s">
        <v>1183</v>
      </c>
      <c r="G1941" s="524" t="s">
        <v>806</v>
      </c>
      <c r="H1941" s="527">
        <v>13.52</v>
      </c>
      <c r="I1941" s="524" t="s">
        <v>1174</v>
      </c>
      <c r="J1941" s="524">
        <f>IF(cmf[[#This Row],[D/C]]="C",cmf[[#This Row],[Valor]],-1*cmf[[#This Row],[Valor]])</f>
        <v>-13.52</v>
      </c>
      <c r="L1941" s="524" t="s">
        <v>1175</v>
      </c>
      <c r="M1941" s="524" t="s">
        <v>1176</v>
      </c>
      <c r="N1941" s="524" t="s">
        <v>1283</v>
      </c>
      <c r="O1941" s="524" t="s">
        <v>1284</v>
      </c>
      <c r="P1941" s="526">
        <v>46227</v>
      </c>
      <c r="S1941" s="527">
        <v>0</v>
      </c>
    </row>
    <row r="1942" spans="1:19" x14ac:dyDescent="0.2">
      <c r="A1942" s="524">
        <v>70472</v>
      </c>
      <c r="B1942" s="526">
        <v>46227</v>
      </c>
      <c r="C1942" s="524" t="s">
        <v>1162</v>
      </c>
      <c r="D1942" s="524" t="s">
        <v>1163</v>
      </c>
      <c r="E1942" s="524" t="s">
        <v>1173</v>
      </c>
      <c r="F1942" s="524" t="s">
        <v>1111</v>
      </c>
      <c r="G1942" s="524" t="s">
        <v>1110</v>
      </c>
      <c r="H1942" s="527">
        <v>9.5</v>
      </c>
      <c r="I1942" s="524" t="s">
        <v>1174</v>
      </c>
      <c r="J1942" s="524">
        <f>IF(cmf[[#This Row],[D/C]]="C",cmf[[#This Row],[Valor]],-1*cmf[[#This Row],[Valor]])</f>
        <v>-9.5</v>
      </c>
      <c r="L1942" s="524" t="s">
        <v>1175</v>
      </c>
      <c r="M1942" s="524" t="s">
        <v>1176</v>
      </c>
      <c r="N1942" s="524" t="s">
        <v>1219</v>
      </c>
      <c r="O1942" s="524" t="s">
        <v>1220</v>
      </c>
      <c r="P1942" s="526"/>
      <c r="S1942" s="527">
        <v>0</v>
      </c>
    </row>
    <row r="1943" spans="1:19" x14ac:dyDescent="0.2">
      <c r="A1943" s="524">
        <v>70606</v>
      </c>
      <c r="B1943" s="526">
        <v>46227</v>
      </c>
      <c r="C1943" s="524" t="s">
        <v>1148</v>
      </c>
      <c r="D1943" s="524" t="s">
        <v>1226</v>
      </c>
      <c r="E1943" s="524" t="s">
        <v>2360</v>
      </c>
      <c r="F1943" s="524" t="s">
        <v>1183</v>
      </c>
      <c r="G1943" s="524" t="s">
        <v>806</v>
      </c>
      <c r="H1943" s="527">
        <v>139500</v>
      </c>
      <c r="I1943" s="524" t="s">
        <v>1148</v>
      </c>
      <c r="J1943" s="524">
        <f>IF(cmf[[#This Row],[D/C]]="C",cmf[[#This Row],[Valor]],-1*cmf[[#This Row],[Valor]])</f>
        <v>139500</v>
      </c>
      <c r="L1943" s="524" t="s">
        <v>1230</v>
      </c>
      <c r="M1943" s="524" t="s">
        <v>1231</v>
      </c>
      <c r="N1943" s="524" t="s">
        <v>1283</v>
      </c>
      <c r="O1943" s="524" t="s">
        <v>1284</v>
      </c>
      <c r="P1943" s="526">
        <v>46230</v>
      </c>
      <c r="S1943" s="527">
        <v>0</v>
      </c>
    </row>
    <row r="1944" spans="1:19" x14ac:dyDescent="0.2">
      <c r="A1944" s="524">
        <v>70638</v>
      </c>
      <c r="B1944" s="526">
        <v>46227</v>
      </c>
      <c r="C1944" s="524" t="s">
        <v>1148</v>
      </c>
      <c r="D1944" s="524" t="s">
        <v>1239</v>
      </c>
      <c r="E1944" s="524" t="s">
        <v>2361</v>
      </c>
      <c r="F1944" s="524" t="s">
        <v>1178</v>
      </c>
      <c r="G1944" s="524" t="s">
        <v>1179</v>
      </c>
      <c r="H1944" s="527">
        <v>34.96</v>
      </c>
      <c r="I1944" s="524" t="s">
        <v>1148</v>
      </c>
      <c r="J1944" s="524">
        <f>IF(cmf[[#This Row],[D/C]]="C",cmf[[#This Row],[Valor]],-1*cmf[[#This Row],[Valor]])</f>
        <v>34.96</v>
      </c>
      <c r="L1944" s="524" t="s">
        <v>1264</v>
      </c>
      <c r="M1944" s="524" t="s">
        <v>1265</v>
      </c>
      <c r="N1944" s="524" t="s">
        <v>1180</v>
      </c>
      <c r="O1944" s="524" t="s">
        <v>1181</v>
      </c>
      <c r="P1944" s="526">
        <v>46227</v>
      </c>
      <c r="S1944" s="527">
        <v>0</v>
      </c>
    </row>
    <row r="1945" spans="1:19" x14ac:dyDescent="0.2">
      <c r="A1945" s="524">
        <v>70643</v>
      </c>
      <c r="B1945" s="526">
        <v>46227</v>
      </c>
      <c r="C1945" s="524" t="s">
        <v>1162</v>
      </c>
      <c r="D1945" s="524" t="s">
        <v>1205</v>
      </c>
      <c r="E1945" s="524" t="s">
        <v>1206</v>
      </c>
      <c r="F1945" s="524" t="s">
        <v>1170</v>
      </c>
      <c r="G1945" s="524" t="s">
        <v>781</v>
      </c>
      <c r="H1945" s="527">
        <v>1400</v>
      </c>
      <c r="I1945" s="524" t="s">
        <v>1174</v>
      </c>
      <c r="J1945" s="524">
        <f>IF(cmf[[#This Row],[D/C]]="C",cmf[[#This Row],[Valor]],-1*cmf[[#This Row],[Valor]])</f>
        <v>-1400</v>
      </c>
      <c r="L1945" s="524" t="s">
        <v>1207</v>
      </c>
      <c r="M1945" s="524" t="s">
        <v>1208</v>
      </c>
      <c r="N1945" s="524" t="s">
        <v>1209</v>
      </c>
      <c r="O1945" s="524" t="s">
        <v>1210</v>
      </c>
      <c r="P1945" s="526"/>
      <c r="S1945" s="527">
        <v>0</v>
      </c>
    </row>
    <row r="1946" spans="1:19" x14ac:dyDescent="0.2">
      <c r="A1946" s="524">
        <v>70644</v>
      </c>
      <c r="B1946" s="526">
        <v>46227</v>
      </c>
      <c r="C1946" s="524" t="s">
        <v>1162</v>
      </c>
      <c r="D1946" s="524" t="s">
        <v>1205</v>
      </c>
      <c r="E1946" s="524" t="s">
        <v>1211</v>
      </c>
      <c r="F1946" s="524" t="s">
        <v>1183</v>
      </c>
      <c r="G1946" s="524" t="s">
        <v>776</v>
      </c>
      <c r="H1946" s="527">
        <v>1400</v>
      </c>
      <c r="I1946" s="524" t="s">
        <v>1148</v>
      </c>
      <c r="J1946" s="524">
        <f>IF(cmf[[#This Row],[D/C]]="C",cmf[[#This Row],[Valor]],-1*cmf[[#This Row],[Valor]])</f>
        <v>1400</v>
      </c>
      <c r="L1946" s="524" t="s">
        <v>1207</v>
      </c>
      <c r="M1946" s="524" t="s">
        <v>1208</v>
      </c>
      <c r="N1946" s="524" t="s">
        <v>1212</v>
      </c>
      <c r="O1946" s="524" t="s">
        <v>1213</v>
      </c>
      <c r="P1946" s="526"/>
      <c r="S1946" s="527">
        <v>0</v>
      </c>
    </row>
    <row r="1947" spans="1:19" x14ac:dyDescent="0.2">
      <c r="A1947" s="524">
        <v>70647</v>
      </c>
      <c r="B1947" s="526">
        <v>46227</v>
      </c>
      <c r="C1947" s="524" t="s">
        <v>1148</v>
      </c>
      <c r="D1947" s="524" t="s">
        <v>1205</v>
      </c>
      <c r="E1947" s="524" t="s">
        <v>1337</v>
      </c>
      <c r="F1947" s="524" t="s">
        <v>1170</v>
      </c>
      <c r="G1947" s="524" t="s">
        <v>802</v>
      </c>
      <c r="H1947" s="527">
        <v>50000</v>
      </c>
      <c r="I1947" s="524" t="s">
        <v>1174</v>
      </c>
      <c r="J1947" s="524">
        <f>IF(cmf[[#This Row],[D/C]]="C",cmf[[#This Row],[Valor]],-1*cmf[[#This Row],[Valor]])</f>
        <v>-50000</v>
      </c>
      <c r="L1947" s="524" t="s">
        <v>1207</v>
      </c>
      <c r="M1947" s="524" t="s">
        <v>1208</v>
      </c>
      <c r="N1947" s="524" t="s">
        <v>1192</v>
      </c>
      <c r="O1947" s="524" t="s">
        <v>1193</v>
      </c>
      <c r="P1947" s="526">
        <v>46227</v>
      </c>
      <c r="S1947" s="527">
        <v>0</v>
      </c>
    </row>
    <row r="1948" spans="1:19" x14ac:dyDescent="0.2">
      <c r="A1948" s="524">
        <v>70648</v>
      </c>
      <c r="B1948" s="526">
        <v>46227</v>
      </c>
      <c r="C1948" s="524" t="s">
        <v>1148</v>
      </c>
      <c r="D1948" s="524" t="s">
        <v>1205</v>
      </c>
      <c r="E1948" s="524" t="s">
        <v>1342</v>
      </c>
      <c r="F1948" s="524" t="s">
        <v>1183</v>
      </c>
      <c r="G1948" s="524" t="s">
        <v>803</v>
      </c>
      <c r="H1948" s="527">
        <v>50000</v>
      </c>
      <c r="I1948" s="524" t="s">
        <v>1148</v>
      </c>
      <c r="J1948" s="524">
        <f>IF(cmf[[#This Row],[D/C]]="C",cmf[[#This Row],[Valor]],-1*cmf[[#This Row],[Valor]])</f>
        <v>50000</v>
      </c>
      <c r="L1948" s="524" t="s">
        <v>1207</v>
      </c>
      <c r="M1948" s="524" t="s">
        <v>1208</v>
      </c>
      <c r="N1948" s="524" t="s">
        <v>1192</v>
      </c>
      <c r="O1948" s="524" t="s">
        <v>1193</v>
      </c>
      <c r="P1948" s="526">
        <v>46227</v>
      </c>
      <c r="S1948" s="527">
        <v>0</v>
      </c>
    </row>
    <row r="1949" spans="1:19" x14ac:dyDescent="0.2">
      <c r="A1949" s="524">
        <v>70649</v>
      </c>
      <c r="B1949" s="526">
        <v>46227</v>
      </c>
      <c r="C1949" s="524" t="s">
        <v>1148</v>
      </c>
      <c r="D1949" s="524" t="s">
        <v>1205</v>
      </c>
      <c r="E1949" s="524" t="s">
        <v>1334</v>
      </c>
      <c r="F1949" s="524" t="s">
        <v>1170</v>
      </c>
      <c r="G1949" s="524" t="s">
        <v>768</v>
      </c>
      <c r="H1949" s="527">
        <v>100000</v>
      </c>
      <c r="I1949" s="524" t="s">
        <v>1174</v>
      </c>
      <c r="J1949" s="524">
        <f>IF(cmf[[#This Row],[D/C]]="C",cmf[[#This Row],[Valor]],-1*cmf[[#This Row],[Valor]])</f>
        <v>-100000</v>
      </c>
      <c r="L1949" s="524" t="s">
        <v>1207</v>
      </c>
      <c r="M1949" s="524" t="s">
        <v>1208</v>
      </c>
      <c r="N1949" s="524" t="s">
        <v>1219</v>
      </c>
      <c r="O1949" s="524" t="s">
        <v>1220</v>
      </c>
      <c r="P1949" s="526">
        <v>46227</v>
      </c>
      <c r="S1949" s="527">
        <v>0</v>
      </c>
    </row>
    <row r="1950" spans="1:19" x14ac:dyDescent="0.2">
      <c r="A1950" s="524">
        <v>70650</v>
      </c>
      <c r="B1950" s="526">
        <v>46227</v>
      </c>
      <c r="C1950" s="524" t="s">
        <v>1148</v>
      </c>
      <c r="D1950" s="524" t="s">
        <v>1205</v>
      </c>
      <c r="E1950" s="524" t="s">
        <v>1282</v>
      </c>
      <c r="F1950" s="524" t="s">
        <v>1183</v>
      </c>
      <c r="G1950" s="524" t="s">
        <v>769</v>
      </c>
      <c r="H1950" s="527">
        <v>100000</v>
      </c>
      <c r="I1950" s="524" t="s">
        <v>1148</v>
      </c>
      <c r="J1950" s="524">
        <f>IF(cmf[[#This Row],[D/C]]="C",cmf[[#This Row],[Valor]],-1*cmf[[#This Row],[Valor]])</f>
        <v>100000</v>
      </c>
      <c r="L1950" s="524" t="s">
        <v>1207</v>
      </c>
      <c r="M1950" s="524" t="s">
        <v>1208</v>
      </c>
      <c r="N1950" s="524" t="s">
        <v>1219</v>
      </c>
      <c r="O1950" s="524" t="s">
        <v>1220</v>
      </c>
      <c r="P1950" s="526">
        <v>46227</v>
      </c>
      <c r="S1950" s="527">
        <v>0</v>
      </c>
    </row>
    <row r="1951" spans="1:19" x14ac:dyDescent="0.2">
      <c r="A1951" s="524">
        <v>70651</v>
      </c>
      <c r="B1951" s="526">
        <v>46227</v>
      </c>
      <c r="C1951" s="524" t="s">
        <v>1148</v>
      </c>
      <c r="D1951" s="524" t="s">
        <v>1205</v>
      </c>
      <c r="E1951" s="524" t="s">
        <v>1536</v>
      </c>
      <c r="F1951" s="524" t="s">
        <v>1183</v>
      </c>
      <c r="G1951" s="524" t="s">
        <v>742</v>
      </c>
      <c r="H1951" s="527">
        <v>17000</v>
      </c>
      <c r="I1951" s="524" t="s">
        <v>1174</v>
      </c>
      <c r="J1951" s="524">
        <f>IF(cmf[[#This Row],[D/C]]="C",cmf[[#This Row],[Valor]],-1*cmf[[#This Row],[Valor]])</f>
        <v>-17000</v>
      </c>
      <c r="L1951" s="524" t="s">
        <v>1207</v>
      </c>
      <c r="M1951" s="524" t="s">
        <v>1208</v>
      </c>
      <c r="N1951" s="524" t="s">
        <v>1215</v>
      </c>
      <c r="O1951" s="524" t="s">
        <v>1218</v>
      </c>
      <c r="P1951" s="526">
        <v>46227</v>
      </c>
      <c r="S1951" s="527">
        <v>0</v>
      </c>
    </row>
    <row r="1952" spans="1:19" x14ac:dyDescent="0.2">
      <c r="A1952" s="524">
        <v>70652</v>
      </c>
      <c r="B1952" s="526">
        <v>46227</v>
      </c>
      <c r="C1952" s="524" t="s">
        <v>1148</v>
      </c>
      <c r="D1952" s="524" t="s">
        <v>1205</v>
      </c>
      <c r="E1952" s="524" t="s">
        <v>1217</v>
      </c>
      <c r="F1952" s="524" t="s">
        <v>1183</v>
      </c>
      <c r="G1952" s="524" t="s">
        <v>745</v>
      </c>
      <c r="H1952" s="527">
        <v>17000</v>
      </c>
      <c r="I1952" s="524" t="s">
        <v>1148</v>
      </c>
      <c r="J1952" s="524">
        <f>IF(cmf[[#This Row],[D/C]]="C",cmf[[#This Row],[Valor]],-1*cmf[[#This Row],[Valor]])</f>
        <v>17000</v>
      </c>
      <c r="L1952" s="524" t="s">
        <v>1207</v>
      </c>
      <c r="M1952" s="524" t="s">
        <v>1208</v>
      </c>
      <c r="N1952" s="524" t="s">
        <v>1292</v>
      </c>
      <c r="O1952" s="524" t="s">
        <v>1293</v>
      </c>
      <c r="P1952" s="526">
        <v>46227</v>
      </c>
      <c r="S1952" s="527">
        <v>0</v>
      </c>
    </row>
    <row r="1953" spans="1:19" x14ac:dyDescent="0.2">
      <c r="A1953" s="524">
        <v>70653</v>
      </c>
      <c r="B1953" s="526">
        <v>46227</v>
      </c>
      <c r="C1953" s="524" t="s">
        <v>1148</v>
      </c>
      <c r="D1953" s="524" t="s">
        <v>1205</v>
      </c>
      <c r="E1953" s="524" t="s">
        <v>1536</v>
      </c>
      <c r="F1953" s="524" t="s">
        <v>1183</v>
      </c>
      <c r="G1953" s="524" t="s">
        <v>742</v>
      </c>
      <c r="H1953" s="527">
        <v>10000</v>
      </c>
      <c r="I1953" s="524" t="s">
        <v>1174</v>
      </c>
      <c r="J1953" s="524">
        <f>IF(cmf[[#This Row],[D/C]]="C",cmf[[#This Row],[Valor]],-1*cmf[[#This Row],[Valor]])</f>
        <v>-10000</v>
      </c>
      <c r="L1953" s="524" t="s">
        <v>1207</v>
      </c>
      <c r="M1953" s="524" t="s">
        <v>1208</v>
      </c>
      <c r="N1953" s="524" t="s">
        <v>1215</v>
      </c>
      <c r="O1953" s="524" t="s">
        <v>1218</v>
      </c>
      <c r="P1953" s="526">
        <v>46227</v>
      </c>
      <c r="S1953" s="527">
        <v>0</v>
      </c>
    </row>
    <row r="1954" spans="1:19" x14ac:dyDescent="0.2">
      <c r="A1954" s="524">
        <v>70654</v>
      </c>
      <c r="B1954" s="526">
        <v>46227</v>
      </c>
      <c r="C1954" s="524" t="s">
        <v>1148</v>
      </c>
      <c r="D1954" s="524" t="s">
        <v>1205</v>
      </c>
      <c r="E1954" s="524" t="s">
        <v>1217</v>
      </c>
      <c r="F1954" s="524" t="s">
        <v>1183</v>
      </c>
      <c r="G1954" s="524" t="s">
        <v>745</v>
      </c>
      <c r="H1954" s="527">
        <v>10000</v>
      </c>
      <c r="I1954" s="524" t="s">
        <v>1148</v>
      </c>
      <c r="J1954" s="524">
        <f>IF(cmf[[#This Row],[D/C]]="C",cmf[[#This Row],[Valor]],-1*cmf[[#This Row],[Valor]])</f>
        <v>10000</v>
      </c>
      <c r="L1954" s="524" t="s">
        <v>1207</v>
      </c>
      <c r="M1954" s="524" t="s">
        <v>1208</v>
      </c>
      <c r="N1954" s="524" t="s">
        <v>1292</v>
      </c>
      <c r="O1954" s="524" t="s">
        <v>1293</v>
      </c>
      <c r="P1954" s="526">
        <v>46227</v>
      </c>
      <c r="S1954" s="527">
        <v>0</v>
      </c>
    </row>
    <row r="1955" spans="1:19" x14ac:dyDescent="0.2">
      <c r="A1955" s="524">
        <v>70655</v>
      </c>
      <c r="B1955" s="526">
        <v>46227</v>
      </c>
      <c r="C1955" s="524" t="s">
        <v>1148</v>
      </c>
      <c r="D1955" s="524" t="s">
        <v>1205</v>
      </c>
      <c r="E1955" s="524" t="s">
        <v>1214</v>
      </c>
      <c r="F1955" s="524" t="s">
        <v>1183</v>
      </c>
      <c r="G1955" s="524" t="s">
        <v>806</v>
      </c>
      <c r="H1955" s="527">
        <v>100000</v>
      </c>
      <c r="I1955" s="524" t="s">
        <v>1174</v>
      </c>
      <c r="J1955" s="524">
        <f>IF(cmf[[#This Row],[D/C]]="C",cmf[[#This Row],[Valor]],-1*cmf[[#This Row],[Valor]])</f>
        <v>-100000</v>
      </c>
      <c r="L1955" s="524" t="s">
        <v>1207</v>
      </c>
      <c r="M1955" s="524" t="s">
        <v>1208</v>
      </c>
      <c r="N1955" s="524" t="s">
        <v>1283</v>
      </c>
      <c r="O1955" s="524" t="s">
        <v>1284</v>
      </c>
      <c r="P1955" s="526">
        <v>46227</v>
      </c>
      <c r="S1955" s="527">
        <v>0</v>
      </c>
    </row>
    <row r="1956" spans="1:19" x14ac:dyDescent="0.2">
      <c r="A1956" s="524">
        <v>70656</v>
      </c>
      <c r="B1956" s="526">
        <v>46227</v>
      </c>
      <c r="C1956" s="524" t="s">
        <v>1148</v>
      </c>
      <c r="D1956" s="524" t="s">
        <v>1205</v>
      </c>
      <c r="E1956" s="524" t="s">
        <v>1539</v>
      </c>
      <c r="F1956" s="524" t="s">
        <v>1183</v>
      </c>
      <c r="G1956" s="524" t="s">
        <v>742</v>
      </c>
      <c r="H1956" s="527">
        <v>100000</v>
      </c>
      <c r="I1956" s="524" t="s">
        <v>1148</v>
      </c>
      <c r="J1956" s="524">
        <f>IF(cmf[[#This Row],[D/C]]="C",cmf[[#This Row],[Valor]],-1*cmf[[#This Row],[Valor]])</f>
        <v>100000</v>
      </c>
      <c r="L1956" s="524" t="s">
        <v>1207</v>
      </c>
      <c r="M1956" s="524" t="s">
        <v>1208</v>
      </c>
      <c r="N1956" s="524" t="s">
        <v>1215</v>
      </c>
      <c r="O1956" s="524" t="s">
        <v>1218</v>
      </c>
      <c r="P1956" s="526">
        <v>46227</v>
      </c>
      <c r="S1956" s="527">
        <v>0</v>
      </c>
    </row>
    <row r="1957" spans="1:19" x14ac:dyDescent="0.2">
      <c r="A1957" s="524">
        <v>70657</v>
      </c>
      <c r="B1957" s="526">
        <v>46227</v>
      </c>
      <c r="C1957" s="524" t="s">
        <v>1148</v>
      </c>
      <c r="D1957" s="524" t="s">
        <v>1205</v>
      </c>
      <c r="E1957" s="524" t="s">
        <v>1543</v>
      </c>
      <c r="F1957" s="524" t="s">
        <v>1183</v>
      </c>
      <c r="G1957" s="524" t="s">
        <v>742</v>
      </c>
      <c r="H1957" s="527">
        <v>100000</v>
      </c>
      <c r="I1957" s="524" t="s">
        <v>1174</v>
      </c>
      <c r="J1957" s="524">
        <f>IF(cmf[[#This Row],[D/C]]="C",cmf[[#This Row],[Valor]],-1*cmf[[#This Row],[Valor]])</f>
        <v>-100000</v>
      </c>
      <c r="L1957" s="524" t="s">
        <v>1207</v>
      </c>
      <c r="M1957" s="524" t="s">
        <v>1208</v>
      </c>
      <c r="N1957" s="524" t="s">
        <v>1215</v>
      </c>
      <c r="O1957" s="524" t="s">
        <v>1218</v>
      </c>
      <c r="P1957" s="526">
        <v>46227</v>
      </c>
      <c r="S1957" s="527">
        <v>0</v>
      </c>
    </row>
    <row r="1958" spans="1:19" x14ac:dyDescent="0.2">
      <c r="A1958" s="524">
        <v>70658</v>
      </c>
      <c r="B1958" s="526">
        <v>46227</v>
      </c>
      <c r="C1958" s="524" t="s">
        <v>1162</v>
      </c>
      <c r="D1958" s="524" t="s">
        <v>1205</v>
      </c>
      <c r="E1958" s="524" t="s">
        <v>1217</v>
      </c>
      <c r="F1958" s="524" t="s">
        <v>1170</v>
      </c>
      <c r="G1958" s="524" t="s">
        <v>781</v>
      </c>
      <c r="H1958" s="527">
        <v>100000</v>
      </c>
      <c r="I1958" s="524" t="s">
        <v>1148</v>
      </c>
      <c r="J1958" s="524">
        <f>IF(cmf[[#This Row],[D/C]]="C",cmf[[#This Row],[Valor]],-1*cmf[[#This Row],[Valor]])</f>
        <v>100000</v>
      </c>
      <c r="L1958" s="524" t="s">
        <v>1207</v>
      </c>
      <c r="M1958" s="524" t="s">
        <v>1208</v>
      </c>
      <c r="N1958" s="524" t="s">
        <v>1209</v>
      </c>
      <c r="O1958" s="524" t="s">
        <v>1210</v>
      </c>
      <c r="P1958" s="526"/>
      <c r="S1958" s="527">
        <v>0</v>
      </c>
    </row>
    <row r="1959" spans="1:19" x14ac:dyDescent="0.2">
      <c r="A1959" s="524">
        <v>70659</v>
      </c>
      <c r="B1959" s="526">
        <v>46227</v>
      </c>
      <c r="C1959" s="524" t="s">
        <v>1162</v>
      </c>
      <c r="D1959" s="524" t="s">
        <v>1205</v>
      </c>
      <c r="E1959" s="524" t="s">
        <v>1206</v>
      </c>
      <c r="F1959" s="524" t="s">
        <v>1170</v>
      </c>
      <c r="G1959" s="524" t="s">
        <v>781</v>
      </c>
      <c r="H1959" s="527">
        <v>26000</v>
      </c>
      <c r="I1959" s="524" t="s">
        <v>1174</v>
      </c>
      <c r="J1959" s="524">
        <f>IF(cmf[[#This Row],[D/C]]="C",cmf[[#This Row],[Valor]],-1*cmf[[#This Row],[Valor]])</f>
        <v>-26000</v>
      </c>
      <c r="L1959" s="524" t="s">
        <v>1207</v>
      </c>
      <c r="M1959" s="524" t="s">
        <v>1208</v>
      </c>
      <c r="N1959" s="524" t="s">
        <v>1209</v>
      </c>
      <c r="O1959" s="524" t="s">
        <v>1210</v>
      </c>
      <c r="P1959" s="526"/>
      <c r="S1959" s="527">
        <v>0</v>
      </c>
    </row>
    <row r="1960" spans="1:19" x14ac:dyDescent="0.2">
      <c r="A1960" s="524">
        <v>70660</v>
      </c>
      <c r="B1960" s="526">
        <v>46227</v>
      </c>
      <c r="C1960" s="524" t="s">
        <v>1162</v>
      </c>
      <c r="D1960" s="524" t="s">
        <v>1205</v>
      </c>
      <c r="E1960" s="524" t="s">
        <v>1211</v>
      </c>
      <c r="F1960" s="524" t="s">
        <v>1183</v>
      </c>
      <c r="G1960" s="524" t="s">
        <v>776</v>
      </c>
      <c r="H1960" s="527">
        <v>26000</v>
      </c>
      <c r="I1960" s="524" t="s">
        <v>1148</v>
      </c>
      <c r="J1960" s="524">
        <f>IF(cmf[[#This Row],[D/C]]="C",cmf[[#This Row],[Valor]],-1*cmf[[#This Row],[Valor]])</f>
        <v>26000</v>
      </c>
      <c r="L1960" s="524" t="s">
        <v>1207</v>
      </c>
      <c r="M1960" s="524" t="s">
        <v>1208</v>
      </c>
      <c r="N1960" s="524" t="s">
        <v>1212</v>
      </c>
      <c r="O1960" s="524" t="s">
        <v>1213</v>
      </c>
      <c r="P1960" s="526"/>
      <c r="S1960" s="527">
        <v>0</v>
      </c>
    </row>
    <row r="1961" spans="1:19" x14ac:dyDescent="0.2">
      <c r="A1961" s="524">
        <v>70661</v>
      </c>
      <c r="B1961" s="526">
        <v>46227</v>
      </c>
      <c r="C1961" s="524" t="s">
        <v>1162</v>
      </c>
      <c r="D1961" s="524" t="s">
        <v>1205</v>
      </c>
      <c r="E1961" s="524" t="s">
        <v>1338</v>
      </c>
      <c r="F1961" s="524" t="s">
        <v>1170</v>
      </c>
      <c r="G1961" s="524" t="s">
        <v>781</v>
      </c>
      <c r="H1961" s="527">
        <v>23000</v>
      </c>
      <c r="I1961" s="524" t="s">
        <v>1174</v>
      </c>
      <c r="J1961" s="524">
        <f>IF(cmf[[#This Row],[D/C]]="C",cmf[[#This Row],[Valor]],-1*cmf[[#This Row],[Valor]])</f>
        <v>-23000</v>
      </c>
      <c r="L1961" s="524" t="s">
        <v>1207</v>
      </c>
      <c r="M1961" s="524" t="s">
        <v>1208</v>
      </c>
      <c r="N1961" s="524" t="s">
        <v>1209</v>
      </c>
      <c r="O1961" s="524" t="s">
        <v>1210</v>
      </c>
      <c r="P1961" s="526"/>
      <c r="S1961" s="527">
        <v>0</v>
      </c>
    </row>
    <row r="1962" spans="1:19" x14ac:dyDescent="0.2">
      <c r="A1962" s="524">
        <v>70662</v>
      </c>
      <c r="B1962" s="526">
        <v>46227</v>
      </c>
      <c r="C1962" s="524" t="s">
        <v>1162</v>
      </c>
      <c r="D1962" s="524" t="s">
        <v>1205</v>
      </c>
      <c r="E1962" s="524" t="s">
        <v>1211</v>
      </c>
      <c r="F1962" s="524" t="s">
        <v>1183</v>
      </c>
      <c r="G1962" s="524" t="s">
        <v>772</v>
      </c>
      <c r="H1962" s="527">
        <v>23000</v>
      </c>
      <c r="I1962" s="524" t="s">
        <v>1148</v>
      </c>
      <c r="J1962" s="524">
        <f>IF(cmf[[#This Row],[D/C]]="C",cmf[[#This Row],[Valor]],-1*cmf[[#This Row],[Valor]])</f>
        <v>23000</v>
      </c>
      <c r="L1962" s="524" t="s">
        <v>1207</v>
      </c>
      <c r="M1962" s="524" t="s">
        <v>1208</v>
      </c>
      <c r="N1962" s="524" t="s">
        <v>1249</v>
      </c>
      <c r="O1962" s="524" t="s">
        <v>1250</v>
      </c>
      <c r="P1962" s="526"/>
      <c r="S1962" s="527">
        <v>0</v>
      </c>
    </row>
    <row r="1963" spans="1:19" x14ac:dyDescent="0.2">
      <c r="A1963" s="524">
        <v>70663</v>
      </c>
      <c r="B1963" s="526">
        <v>46227</v>
      </c>
      <c r="C1963" s="524" t="s">
        <v>1162</v>
      </c>
      <c r="D1963" s="524" t="s">
        <v>1205</v>
      </c>
      <c r="E1963" s="524" t="s">
        <v>1338</v>
      </c>
      <c r="F1963" s="524" t="s">
        <v>1170</v>
      </c>
      <c r="G1963" s="524" t="s">
        <v>781</v>
      </c>
      <c r="H1963" s="527">
        <v>50000</v>
      </c>
      <c r="I1963" s="524" t="s">
        <v>1174</v>
      </c>
      <c r="J1963" s="524">
        <f>IF(cmf[[#This Row],[D/C]]="C",cmf[[#This Row],[Valor]],-1*cmf[[#This Row],[Valor]])</f>
        <v>-50000</v>
      </c>
      <c r="L1963" s="524" t="s">
        <v>1207</v>
      </c>
      <c r="M1963" s="524" t="s">
        <v>1208</v>
      </c>
      <c r="N1963" s="524" t="s">
        <v>1209</v>
      </c>
      <c r="O1963" s="524" t="s">
        <v>1210</v>
      </c>
      <c r="P1963" s="526"/>
      <c r="S1963" s="527">
        <v>0</v>
      </c>
    </row>
    <row r="1964" spans="1:19" x14ac:dyDescent="0.2">
      <c r="A1964" s="524">
        <v>70664</v>
      </c>
      <c r="B1964" s="526">
        <v>46227</v>
      </c>
      <c r="C1964" s="524" t="s">
        <v>1162</v>
      </c>
      <c r="D1964" s="524" t="s">
        <v>1205</v>
      </c>
      <c r="E1964" s="524" t="s">
        <v>1211</v>
      </c>
      <c r="F1964" s="524" t="s">
        <v>1170</v>
      </c>
      <c r="G1964" s="524" t="s">
        <v>771</v>
      </c>
      <c r="H1964" s="527">
        <v>50000</v>
      </c>
      <c r="I1964" s="524" t="s">
        <v>1148</v>
      </c>
      <c r="J1964" s="524">
        <f>IF(cmf[[#This Row],[D/C]]="C",cmf[[#This Row],[Valor]],-1*cmf[[#This Row],[Valor]])</f>
        <v>50000</v>
      </c>
      <c r="L1964" s="524" t="s">
        <v>1207</v>
      </c>
      <c r="M1964" s="524" t="s">
        <v>1208</v>
      </c>
      <c r="N1964" s="524" t="s">
        <v>1249</v>
      </c>
      <c r="O1964" s="524" t="s">
        <v>1250</v>
      </c>
      <c r="P1964" s="526"/>
      <c r="S1964" s="527">
        <v>0</v>
      </c>
    </row>
    <row r="1965" spans="1:19" x14ac:dyDescent="0.2">
      <c r="A1965" s="524">
        <v>70665</v>
      </c>
      <c r="B1965" s="526">
        <v>46227</v>
      </c>
      <c r="C1965" s="524" t="s">
        <v>1162</v>
      </c>
      <c r="D1965" s="524" t="s">
        <v>1205</v>
      </c>
      <c r="E1965" s="524" t="s">
        <v>1543</v>
      </c>
      <c r="F1965" s="524" t="s">
        <v>1170</v>
      </c>
      <c r="G1965" s="524" t="s">
        <v>771</v>
      </c>
      <c r="H1965" s="527">
        <v>50000</v>
      </c>
      <c r="I1965" s="524" t="s">
        <v>1174</v>
      </c>
      <c r="J1965" s="524">
        <f>IF(cmf[[#This Row],[D/C]]="C",cmf[[#This Row],[Valor]],-1*cmf[[#This Row],[Valor]])</f>
        <v>-50000</v>
      </c>
      <c r="L1965" s="524" t="s">
        <v>1207</v>
      </c>
      <c r="M1965" s="524" t="s">
        <v>1208</v>
      </c>
      <c r="N1965" s="524" t="s">
        <v>1249</v>
      </c>
      <c r="O1965" s="524" t="s">
        <v>1250</v>
      </c>
      <c r="P1965" s="526"/>
      <c r="S1965" s="527">
        <v>0</v>
      </c>
    </row>
    <row r="1966" spans="1:19" x14ac:dyDescent="0.2">
      <c r="A1966" s="524">
        <v>70666</v>
      </c>
      <c r="B1966" s="526">
        <v>46227</v>
      </c>
      <c r="C1966" s="524" t="s">
        <v>1162</v>
      </c>
      <c r="D1966" s="524" t="s">
        <v>1205</v>
      </c>
      <c r="E1966" s="524" t="s">
        <v>2362</v>
      </c>
      <c r="F1966" s="524" t="s">
        <v>1170</v>
      </c>
      <c r="G1966" s="524" t="s">
        <v>781</v>
      </c>
      <c r="H1966" s="527">
        <v>50000</v>
      </c>
      <c r="I1966" s="524" t="s">
        <v>1148</v>
      </c>
      <c r="J1966" s="524">
        <f>IF(cmf[[#This Row],[D/C]]="C",cmf[[#This Row],[Valor]],-1*cmf[[#This Row],[Valor]])</f>
        <v>50000</v>
      </c>
      <c r="L1966" s="524" t="s">
        <v>1207</v>
      </c>
      <c r="M1966" s="524" t="s">
        <v>1208</v>
      </c>
      <c r="N1966" s="524" t="s">
        <v>1209</v>
      </c>
      <c r="O1966" s="524" t="s">
        <v>1210</v>
      </c>
      <c r="P1966" s="526"/>
      <c r="S1966" s="527">
        <v>0</v>
      </c>
    </row>
    <row r="1967" spans="1:19" x14ac:dyDescent="0.2">
      <c r="A1967" s="524">
        <v>70667</v>
      </c>
      <c r="B1967" s="526">
        <v>46227</v>
      </c>
      <c r="C1967" s="524" t="s">
        <v>1162</v>
      </c>
      <c r="D1967" s="524" t="s">
        <v>1205</v>
      </c>
      <c r="E1967" s="524" t="s">
        <v>1339</v>
      </c>
      <c r="F1967" s="524" t="s">
        <v>1170</v>
      </c>
      <c r="G1967" s="524" t="s">
        <v>781</v>
      </c>
      <c r="H1967" s="527">
        <v>50000</v>
      </c>
      <c r="I1967" s="524" t="s">
        <v>1174</v>
      </c>
      <c r="J1967" s="524">
        <f>IF(cmf[[#This Row],[D/C]]="C",cmf[[#This Row],[Valor]],-1*cmf[[#This Row],[Valor]])</f>
        <v>-50000</v>
      </c>
      <c r="L1967" s="524" t="s">
        <v>1207</v>
      </c>
      <c r="M1967" s="524" t="s">
        <v>1208</v>
      </c>
      <c r="N1967" s="524" t="s">
        <v>1209</v>
      </c>
      <c r="O1967" s="524" t="s">
        <v>1210</v>
      </c>
      <c r="P1967" s="526"/>
      <c r="S1967" s="527">
        <v>0</v>
      </c>
    </row>
    <row r="1968" spans="1:19" x14ac:dyDescent="0.2">
      <c r="A1968" s="524">
        <v>70668</v>
      </c>
      <c r="B1968" s="526">
        <v>46227</v>
      </c>
      <c r="C1968" s="524" t="s">
        <v>1162</v>
      </c>
      <c r="D1968" s="524" t="s">
        <v>1205</v>
      </c>
      <c r="E1968" s="524" t="s">
        <v>1211</v>
      </c>
      <c r="F1968" s="524" t="s">
        <v>1170</v>
      </c>
      <c r="G1968" s="524" t="s">
        <v>794</v>
      </c>
      <c r="H1968" s="527">
        <v>50000</v>
      </c>
      <c r="I1968" s="524" t="s">
        <v>1148</v>
      </c>
      <c r="J1968" s="524">
        <f>IF(cmf[[#This Row],[D/C]]="C",cmf[[#This Row],[Valor]],-1*cmf[[#This Row],[Valor]])</f>
        <v>50000</v>
      </c>
      <c r="L1968" s="524" t="s">
        <v>1207</v>
      </c>
      <c r="M1968" s="524" t="s">
        <v>1208</v>
      </c>
      <c r="N1968" s="524" t="s">
        <v>1340</v>
      </c>
      <c r="O1968" s="524" t="s">
        <v>1341</v>
      </c>
      <c r="P1968" s="526"/>
      <c r="S1968" s="527">
        <v>0</v>
      </c>
    </row>
    <row r="1969" spans="1:19" x14ac:dyDescent="0.2">
      <c r="A1969" s="524">
        <v>70669</v>
      </c>
      <c r="B1969" s="526">
        <v>46227</v>
      </c>
      <c r="C1969" s="524" t="s">
        <v>1162</v>
      </c>
      <c r="D1969" s="524" t="s">
        <v>1205</v>
      </c>
      <c r="E1969" s="524" t="s">
        <v>1338</v>
      </c>
      <c r="F1969" s="524" t="s">
        <v>1170</v>
      </c>
      <c r="G1969" s="524" t="s">
        <v>781</v>
      </c>
      <c r="H1969" s="527">
        <v>5000</v>
      </c>
      <c r="I1969" s="524" t="s">
        <v>1174</v>
      </c>
      <c r="J1969" s="524">
        <f>IF(cmf[[#This Row],[D/C]]="C",cmf[[#This Row],[Valor]],-1*cmf[[#This Row],[Valor]])</f>
        <v>-5000</v>
      </c>
      <c r="L1969" s="524" t="s">
        <v>1207</v>
      </c>
      <c r="M1969" s="524" t="s">
        <v>1208</v>
      </c>
      <c r="N1969" s="524" t="s">
        <v>1209</v>
      </c>
      <c r="O1969" s="524" t="s">
        <v>1210</v>
      </c>
      <c r="P1969" s="526"/>
      <c r="S1969" s="527">
        <v>0</v>
      </c>
    </row>
    <row r="1970" spans="1:19" x14ac:dyDescent="0.2">
      <c r="A1970" s="524">
        <v>70670</v>
      </c>
      <c r="B1970" s="526">
        <v>46227</v>
      </c>
      <c r="C1970" s="524" t="s">
        <v>1162</v>
      </c>
      <c r="D1970" s="524" t="s">
        <v>1205</v>
      </c>
      <c r="E1970" s="524" t="s">
        <v>1211</v>
      </c>
      <c r="F1970" s="524" t="s">
        <v>1170</v>
      </c>
      <c r="G1970" s="524" t="s">
        <v>771</v>
      </c>
      <c r="H1970" s="527">
        <v>5000</v>
      </c>
      <c r="I1970" s="524" t="s">
        <v>1148</v>
      </c>
      <c r="J1970" s="524">
        <f>IF(cmf[[#This Row],[D/C]]="C",cmf[[#This Row],[Valor]],-1*cmf[[#This Row],[Valor]])</f>
        <v>5000</v>
      </c>
      <c r="L1970" s="524" t="s">
        <v>1207</v>
      </c>
      <c r="M1970" s="524" t="s">
        <v>1208</v>
      </c>
      <c r="N1970" s="524" t="s">
        <v>1249</v>
      </c>
      <c r="O1970" s="524" t="s">
        <v>1250</v>
      </c>
      <c r="P1970" s="526"/>
      <c r="S1970" s="527">
        <v>0</v>
      </c>
    </row>
    <row r="1971" spans="1:19" x14ac:dyDescent="0.2">
      <c r="A1971" s="524">
        <v>70675</v>
      </c>
      <c r="B1971" s="526">
        <v>46227</v>
      </c>
      <c r="C1971" s="524" t="s">
        <v>1148</v>
      </c>
      <c r="D1971" s="524" t="s">
        <v>1226</v>
      </c>
      <c r="E1971" s="524" t="s">
        <v>2363</v>
      </c>
      <c r="F1971" s="524" t="s">
        <v>1183</v>
      </c>
      <c r="G1971" s="524" t="s">
        <v>806</v>
      </c>
      <c r="H1971" s="527">
        <v>74200</v>
      </c>
      <c r="I1971" s="524" t="s">
        <v>1148</v>
      </c>
      <c r="J1971" s="524">
        <f>IF(cmf[[#This Row],[D/C]]="C",cmf[[#This Row],[Valor]],-1*cmf[[#This Row],[Valor]])</f>
        <v>74200</v>
      </c>
      <c r="L1971" s="524" t="s">
        <v>1230</v>
      </c>
      <c r="M1971" s="524" t="s">
        <v>1231</v>
      </c>
      <c r="N1971" s="524" t="s">
        <v>1283</v>
      </c>
      <c r="O1971" s="524" t="s">
        <v>1284</v>
      </c>
      <c r="P1971" s="526">
        <v>46227</v>
      </c>
      <c r="S1971" s="527">
        <v>0</v>
      </c>
    </row>
    <row r="1972" spans="1:19" x14ac:dyDescent="0.2">
      <c r="A1972" s="524">
        <v>70723</v>
      </c>
      <c r="B1972" s="526">
        <v>46227</v>
      </c>
      <c r="C1972" s="524" t="s">
        <v>1148</v>
      </c>
      <c r="D1972" s="524" t="s">
        <v>1226</v>
      </c>
      <c r="E1972" s="524" t="s">
        <v>2364</v>
      </c>
      <c r="F1972" s="524" t="s">
        <v>1170</v>
      </c>
      <c r="G1972" s="524" t="s">
        <v>768</v>
      </c>
      <c r="H1972" s="527">
        <v>297.16000000000003</v>
      </c>
      <c r="I1972" s="524" t="s">
        <v>1148</v>
      </c>
      <c r="J1972" s="524">
        <f>IF(cmf[[#This Row],[D/C]]="C",cmf[[#This Row],[Valor]],-1*cmf[[#This Row],[Valor]])</f>
        <v>297.16000000000003</v>
      </c>
      <c r="L1972" s="524" t="s">
        <v>1230</v>
      </c>
      <c r="M1972" s="524" t="s">
        <v>1231</v>
      </c>
      <c r="N1972" s="524" t="s">
        <v>1219</v>
      </c>
      <c r="O1972" s="524" t="s">
        <v>1220</v>
      </c>
      <c r="P1972" s="526">
        <v>46227</v>
      </c>
      <c r="S1972" s="527">
        <v>0</v>
      </c>
    </row>
    <row r="1973" spans="1:19" x14ac:dyDescent="0.2">
      <c r="A1973" s="524">
        <v>70743</v>
      </c>
      <c r="B1973" s="526">
        <v>46227</v>
      </c>
      <c r="C1973" s="524" t="s">
        <v>1148</v>
      </c>
      <c r="D1973" s="524" t="s">
        <v>1239</v>
      </c>
      <c r="E1973" s="524" t="s">
        <v>2069</v>
      </c>
      <c r="F1973" s="524" t="s">
        <v>1170</v>
      </c>
      <c r="G1973" s="524" t="s">
        <v>802</v>
      </c>
      <c r="H1973" s="527">
        <v>13</v>
      </c>
      <c r="I1973" s="524" t="s">
        <v>1174</v>
      </c>
      <c r="J1973" s="524">
        <f>IF(cmf[[#This Row],[D/C]]="C",cmf[[#This Row],[Valor]],-1*cmf[[#This Row],[Valor]])</f>
        <v>-13</v>
      </c>
      <c r="L1973" s="524" t="s">
        <v>1241</v>
      </c>
      <c r="M1973" s="524" t="s">
        <v>1242</v>
      </c>
      <c r="N1973" s="524" t="s">
        <v>1192</v>
      </c>
      <c r="O1973" s="524" t="s">
        <v>1193</v>
      </c>
      <c r="P1973" s="526">
        <v>46227</v>
      </c>
      <c r="S1973" s="527">
        <v>0</v>
      </c>
    </row>
    <row r="1974" spans="1:19" x14ac:dyDescent="0.2">
      <c r="A1974" s="524">
        <v>70744</v>
      </c>
      <c r="B1974" s="526">
        <v>46227</v>
      </c>
      <c r="C1974" s="524" t="s">
        <v>1148</v>
      </c>
      <c r="D1974" s="524" t="s">
        <v>1239</v>
      </c>
      <c r="E1974" s="524" t="s">
        <v>2069</v>
      </c>
      <c r="F1974" s="524" t="s">
        <v>1170</v>
      </c>
      <c r="G1974" s="524" t="s">
        <v>802</v>
      </c>
      <c r="H1974" s="527">
        <v>0.2</v>
      </c>
      <c r="I1974" s="524" t="s">
        <v>1174</v>
      </c>
      <c r="J1974" s="524">
        <f>IF(cmf[[#This Row],[D/C]]="C",cmf[[#This Row],[Valor]],-1*cmf[[#This Row],[Valor]])</f>
        <v>-0.2</v>
      </c>
      <c r="L1974" s="524" t="s">
        <v>1241</v>
      </c>
      <c r="M1974" s="524" t="s">
        <v>1242</v>
      </c>
      <c r="N1974" s="524" t="s">
        <v>1192</v>
      </c>
      <c r="O1974" s="524" t="s">
        <v>1193</v>
      </c>
      <c r="P1974" s="526">
        <v>46227</v>
      </c>
      <c r="S1974" s="527">
        <v>0</v>
      </c>
    </row>
    <row r="1975" spans="1:19" x14ac:dyDescent="0.2">
      <c r="A1975" s="524">
        <v>70968</v>
      </c>
      <c r="B1975" s="526">
        <v>46227</v>
      </c>
      <c r="C1975" s="524" t="s">
        <v>1148</v>
      </c>
      <c r="D1975" s="524" t="s">
        <v>1186</v>
      </c>
      <c r="E1975" s="524" t="s">
        <v>2365</v>
      </c>
      <c r="F1975" s="524" t="s">
        <v>1183</v>
      </c>
      <c r="G1975" s="524" t="s">
        <v>745</v>
      </c>
      <c r="H1975" s="527">
        <v>20000</v>
      </c>
      <c r="I1975" s="524" t="s">
        <v>1174</v>
      </c>
      <c r="J1975" s="524">
        <f>IF(cmf[[#This Row],[D/C]]="C",cmf[[#This Row],[Valor]],-1*cmf[[#This Row],[Valor]])</f>
        <v>-20000</v>
      </c>
      <c r="L1975" s="524" t="s">
        <v>1188</v>
      </c>
      <c r="M1975" s="524" t="s">
        <v>1189</v>
      </c>
      <c r="N1975" s="524" t="s">
        <v>1292</v>
      </c>
      <c r="O1975" s="524" t="s">
        <v>1293</v>
      </c>
      <c r="P1975" s="526">
        <v>46227</v>
      </c>
      <c r="S1975" s="527">
        <v>0</v>
      </c>
    </row>
    <row r="1976" spans="1:19" x14ac:dyDescent="0.2">
      <c r="A1976" s="524">
        <v>70978</v>
      </c>
      <c r="B1976" s="526">
        <v>46227</v>
      </c>
      <c r="C1976" s="524" t="s">
        <v>1148</v>
      </c>
      <c r="D1976" s="524" t="s">
        <v>1239</v>
      </c>
      <c r="E1976" s="524" t="s">
        <v>1253</v>
      </c>
      <c r="F1976" s="524" t="s">
        <v>1170</v>
      </c>
      <c r="G1976" s="524" t="s">
        <v>798</v>
      </c>
      <c r="H1976" s="527">
        <v>0.4</v>
      </c>
      <c r="I1976" s="524" t="s">
        <v>1174</v>
      </c>
      <c r="J1976" s="524">
        <f>IF(cmf[[#This Row],[D/C]]="C",cmf[[#This Row],[Valor]],-1*cmf[[#This Row],[Valor]])</f>
        <v>-0.4</v>
      </c>
      <c r="L1976" s="524" t="s">
        <v>1241</v>
      </c>
      <c r="M1976" s="524" t="s">
        <v>1242</v>
      </c>
      <c r="N1976" s="524" t="s">
        <v>1171</v>
      </c>
      <c r="O1976" s="524" t="s">
        <v>1172</v>
      </c>
      <c r="P1976" s="526">
        <v>46227</v>
      </c>
      <c r="S1976" s="527">
        <v>0</v>
      </c>
    </row>
    <row r="1977" spans="1:19" x14ac:dyDescent="0.2">
      <c r="A1977" s="524">
        <v>71028</v>
      </c>
      <c r="B1977" s="526">
        <v>46227</v>
      </c>
      <c r="C1977" s="524" t="s">
        <v>1148</v>
      </c>
      <c r="D1977" s="524" t="s">
        <v>1239</v>
      </c>
      <c r="E1977" s="524" t="s">
        <v>1567</v>
      </c>
      <c r="F1977" s="524" t="s">
        <v>1170</v>
      </c>
      <c r="G1977" s="524" t="s">
        <v>799</v>
      </c>
      <c r="H1977" s="527">
        <v>13</v>
      </c>
      <c r="I1977" s="524" t="s">
        <v>1174</v>
      </c>
      <c r="J1977" s="524">
        <f>IF(cmf[[#This Row],[D/C]]="C",cmf[[#This Row],[Valor]],-1*cmf[[#This Row],[Valor]])</f>
        <v>-13</v>
      </c>
      <c r="L1977" s="524" t="s">
        <v>1241</v>
      </c>
      <c r="M1977" s="524" t="s">
        <v>1242</v>
      </c>
      <c r="N1977" s="524" t="s">
        <v>1171</v>
      </c>
      <c r="O1977" s="524" t="s">
        <v>1172</v>
      </c>
      <c r="P1977" s="526">
        <v>46227</v>
      </c>
      <c r="S1977" s="527">
        <v>0</v>
      </c>
    </row>
    <row r="1978" spans="1:19" x14ac:dyDescent="0.2">
      <c r="A1978" s="524">
        <v>71029</v>
      </c>
      <c r="B1978" s="526">
        <v>46227</v>
      </c>
      <c r="C1978" s="524" t="s">
        <v>1148</v>
      </c>
      <c r="D1978" s="524" t="s">
        <v>1239</v>
      </c>
      <c r="E1978" s="524" t="s">
        <v>1567</v>
      </c>
      <c r="F1978" s="524" t="s">
        <v>1170</v>
      </c>
      <c r="G1978" s="524" t="s">
        <v>799</v>
      </c>
      <c r="H1978" s="527">
        <v>13</v>
      </c>
      <c r="I1978" s="524" t="s">
        <v>1174</v>
      </c>
      <c r="J1978" s="524">
        <f>IF(cmf[[#This Row],[D/C]]="C",cmf[[#This Row],[Valor]],-1*cmf[[#This Row],[Valor]])</f>
        <v>-13</v>
      </c>
      <c r="L1978" s="524" t="s">
        <v>1241</v>
      </c>
      <c r="M1978" s="524" t="s">
        <v>1242</v>
      </c>
      <c r="N1978" s="524" t="s">
        <v>1171</v>
      </c>
      <c r="O1978" s="524" t="s">
        <v>1172</v>
      </c>
      <c r="P1978" s="526">
        <v>46227</v>
      </c>
      <c r="S1978" s="527">
        <v>0</v>
      </c>
    </row>
    <row r="1979" spans="1:19" x14ac:dyDescent="0.2">
      <c r="A1979" s="524">
        <v>71030</v>
      </c>
      <c r="B1979" s="526">
        <v>46227</v>
      </c>
      <c r="C1979" s="524" t="s">
        <v>1148</v>
      </c>
      <c r="D1979" s="524" t="s">
        <v>1205</v>
      </c>
      <c r="E1979" s="524" t="s">
        <v>1335</v>
      </c>
      <c r="F1979" s="524" t="s">
        <v>1170</v>
      </c>
      <c r="G1979" s="524" t="s">
        <v>799</v>
      </c>
      <c r="H1979" s="527">
        <v>130000</v>
      </c>
      <c r="I1979" s="524" t="s">
        <v>1174</v>
      </c>
      <c r="J1979" s="524">
        <f>IF(cmf[[#This Row],[D/C]]="C",cmf[[#This Row],[Valor]],-1*cmf[[#This Row],[Valor]])</f>
        <v>-130000</v>
      </c>
      <c r="L1979" s="524" t="s">
        <v>1207</v>
      </c>
      <c r="M1979" s="524" t="s">
        <v>1208</v>
      </c>
      <c r="N1979" s="524" t="s">
        <v>1171</v>
      </c>
      <c r="O1979" s="524" t="s">
        <v>1172</v>
      </c>
      <c r="P1979" s="526">
        <v>46227</v>
      </c>
      <c r="S1979" s="527">
        <v>0</v>
      </c>
    </row>
    <row r="1980" spans="1:19" x14ac:dyDescent="0.2">
      <c r="A1980" s="524">
        <v>71031</v>
      </c>
      <c r="B1980" s="526">
        <v>46227</v>
      </c>
      <c r="C1980" s="524" t="s">
        <v>1148</v>
      </c>
      <c r="D1980" s="524" t="s">
        <v>1205</v>
      </c>
      <c r="E1980" s="524" t="s">
        <v>1330</v>
      </c>
      <c r="F1980" s="524" t="s">
        <v>1183</v>
      </c>
      <c r="G1980" s="524" t="s">
        <v>800</v>
      </c>
      <c r="H1980" s="527">
        <v>130000</v>
      </c>
      <c r="I1980" s="524" t="s">
        <v>1148</v>
      </c>
      <c r="J1980" s="524">
        <f>IF(cmf[[#This Row],[D/C]]="C",cmf[[#This Row],[Valor]],-1*cmf[[#This Row],[Valor]])</f>
        <v>130000</v>
      </c>
      <c r="L1980" s="524" t="s">
        <v>1207</v>
      </c>
      <c r="M1980" s="524" t="s">
        <v>1208</v>
      </c>
      <c r="N1980" s="524" t="s">
        <v>1171</v>
      </c>
      <c r="O1980" s="524" t="s">
        <v>1172</v>
      </c>
      <c r="P1980" s="526">
        <v>46227</v>
      </c>
      <c r="S1980" s="527">
        <v>0</v>
      </c>
    </row>
    <row r="1981" spans="1:19" x14ac:dyDescent="0.2">
      <c r="A1981" s="524">
        <v>71189</v>
      </c>
      <c r="B1981" s="526">
        <v>46227</v>
      </c>
      <c r="C1981" s="524" t="s">
        <v>1148</v>
      </c>
      <c r="D1981" s="524" t="s">
        <v>1239</v>
      </c>
      <c r="E1981" s="524" t="s">
        <v>1567</v>
      </c>
      <c r="F1981" s="524" t="s">
        <v>1170</v>
      </c>
      <c r="G1981" s="524" t="s">
        <v>768</v>
      </c>
      <c r="H1981" s="527">
        <v>13</v>
      </c>
      <c r="I1981" s="524" t="s">
        <v>1174</v>
      </c>
      <c r="J1981" s="524">
        <f>IF(cmf[[#This Row],[D/C]]="C",cmf[[#This Row],[Valor]],-1*cmf[[#This Row],[Valor]])</f>
        <v>-13</v>
      </c>
      <c r="L1981" s="524" t="s">
        <v>1241</v>
      </c>
      <c r="M1981" s="524" t="s">
        <v>1242</v>
      </c>
      <c r="N1981" s="524" t="s">
        <v>1219</v>
      </c>
      <c r="O1981" s="524" t="s">
        <v>1220</v>
      </c>
      <c r="P1981" s="526">
        <v>46227</v>
      </c>
      <c r="S1981" s="527">
        <v>0</v>
      </c>
    </row>
    <row r="1982" spans="1:19" x14ac:dyDescent="0.2">
      <c r="A1982" s="524">
        <v>71190</v>
      </c>
      <c r="B1982" s="526">
        <v>46227</v>
      </c>
      <c r="C1982" s="524" t="s">
        <v>1148</v>
      </c>
      <c r="D1982" s="524" t="s">
        <v>1239</v>
      </c>
      <c r="E1982" s="524" t="s">
        <v>1255</v>
      </c>
      <c r="F1982" s="524" t="s">
        <v>1170</v>
      </c>
      <c r="G1982" s="524" t="s">
        <v>768</v>
      </c>
      <c r="H1982" s="527">
        <v>0.4</v>
      </c>
      <c r="I1982" s="524" t="s">
        <v>1174</v>
      </c>
      <c r="J1982" s="524">
        <f>IF(cmf[[#This Row],[D/C]]="C",cmf[[#This Row],[Valor]],-1*cmf[[#This Row],[Valor]])</f>
        <v>-0.4</v>
      </c>
      <c r="L1982" s="524" t="s">
        <v>1241</v>
      </c>
      <c r="M1982" s="524" t="s">
        <v>1242</v>
      </c>
      <c r="N1982" s="524" t="s">
        <v>1219</v>
      </c>
      <c r="O1982" s="524" t="s">
        <v>1220</v>
      </c>
      <c r="P1982" s="526">
        <v>46227</v>
      </c>
      <c r="S1982" s="527">
        <v>0</v>
      </c>
    </row>
    <row r="1983" spans="1:19" x14ac:dyDescent="0.2">
      <c r="A1983" s="524">
        <v>71191</v>
      </c>
      <c r="B1983" s="526">
        <v>46227</v>
      </c>
      <c r="C1983" s="524" t="s">
        <v>1148</v>
      </c>
      <c r="D1983" s="524" t="s">
        <v>1239</v>
      </c>
      <c r="E1983" s="524" t="s">
        <v>1741</v>
      </c>
      <c r="F1983" s="524" t="s">
        <v>1170</v>
      </c>
      <c r="G1983" s="524" t="s">
        <v>768</v>
      </c>
      <c r="H1983" s="527">
        <v>2.64</v>
      </c>
      <c r="I1983" s="524" t="s">
        <v>1174</v>
      </c>
      <c r="J1983" s="524">
        <f>IF(cmf[[#This Row],[D/C]]="C",cmf[[#This Row],[Valor]],-1*cmf[[#This Row],[Valor]])</f>
        <v>-2.64</v>
      </c>
      <c r="L1983" s="524" t="s">
        <v>1241</v>
      </c>
      <c r="M1983" s="524" t="s">
        <v>1242</v>
      </c>
      <c r="N1983" s="524" t="s">
        <v>1219</v>
      </c>
      <c r="O1983" s="524" t="s">
        <v>1220</v>
      </c>
      <c r="P1983" s="526">
        <v>46227</v>
      </c>
      <c r="S1983" s="527">
        <v>0</v>
      </c>
    </row>
    <row r="1984" spans="1:19" x14ac:dyDescent="0.2">
      <c r="A1984" s="524">
        <v>71237</v>
      </c>
      <c r="B1984" s="526">
        <v>46227</v>
      </c>
      <c r="C1984" s="524" t="s">
        <v>1148</v>
      </c>
      <c r="D1984" s="524" t="s">
        <v>1239</v>
      </c>
      <c r="E1984" s="524" t="s">
        <v>2366</v>
      </c>
      <c r="F1984" s="524" t="s">
        <v>1170</v>
      </c>
      <c r="G1984" s="524" t="s">
        <v>738</v>
      </c>
      <c r="H1984" s="527">
        <v>264809</v>
      </c>
      <c r="I1984" s="524" t="s">
        <v>1148</v>
      </c>
      <c r="J1984" s="524">
        <f>IF(cmf[[#This Row],[D/C]]="C",cmf[[#This Row],[Valor]],-1*cmf[[#This Row],[Valor]])</f>
        <v>264809</v>
      </c>
      <c r="L1984" s="524" t="s">
        <v>1166</v>
      </c>
      <c r="M1984" s="524" t="s">
        <v>1167</v>
      </c>
      <c r="N1984" s="524" t="s">
        <v>1215</v>
      </c>
      <c r="O1984" s="524" t="s">
        <v>1218</v>
      </c>
      <c r="P1984" s="526">
        <v>46227</v>
      </c>
      <c r="S1984" s="527">
        <v>0</v>
      </c>
    </row>
    <row r="1985" spans="1:19" x14ac:dyDescent="0.2">
      <c r="A1985" s="524">
        <v>71255</v>
      </c>
      <c r="B1985" s="526">
        <v>46227</v>
      </c>
      <c r="C1985" s="524" t="s">
        <v>1148</v>
      </c>
      <c r="D1985" s="524" t="s">
        <v>1239</v>
      </c>
      <c r="E1985" s="524" t="s">
        <v>1255</v>
      </c>
      <c r="F1985" s="524" t="s">
        <v>1170</v>
      </c>
      <c r="G1985" s="524" t="s">
        <v>749</v>
      </c>
      <c r="H1985" s="527">
        <v>0.2</v>
      </c>
      <c r="I1985" s="524" t="s">
        <v>1174</v>
      </c>
      <c r="J1985" s="524">
        <f>IF(cmf[[#This Row],[D/C]]="C",cmf[[#This Row],[Valor]],-1*cmf[[#This Row],[Valor]])</f>
        <v>-0.2</v>
      </c>
      <c r="L1985" s="524" t="s">
        <v>1241</v>
      </c>
      <c r="M1985" s="524" t="s">
        <v>1242</v>
      </c>
      <c r="N1985" s="524" t="s">
        <v>1256</v>
      </c>
      <c r="O1985" s="524" t="s">
        <v>1257</v>
      </c>
      <c r="P1985" s="526">
        <v>46227</v>
      </c>
      <c r="S1985" s="527">
        <v>0</v>
      </c>
    </row>
    <row r="1986" spans="1:19" x14ac:dyDescent="0.2">
      <c r="A1986" s="524">
        <v>71256</v>
      </c>
      <c r="B1986" s="526">
        <v>46227</v>
      </c>
      <c r="C1986" s="524" t="s">
        <v>1148</v>
      </c>
      <c r="D1986" s="524" t="s">
        <v>1239</v>
      </c>
      <c r="E1986" s="524" t="s">
        <v>1312</v>
      </c>
      <c r="F1986" s="524" t="s">
        <v>1170</v>
      </c>
      <c r="G1986" s="524" t="s">
        <v>749</v>
      </c>
      <c r="H1986" s="527">
        <v>20</v>
      </c>
      <c r="I1986" s="524" t="s">
        <v>1174</v>
      </c>
      <c r="J1986" s="524">
        <f>IF(cmf[[#This Row],[D/C]]="C",cmf[[#This Row],[Valor]],-1*cmf[[#This Row],[Valor]])</f>
        <v>-20</v>
      </c>
      <c r="L1986" s="524" t="s">
        <v>1241</v>
      </c>
      <c r="M1986" s="524" t="s">
        <v>1242</v>
      </c>
      <c r="N1986" s="524" t="s">
        <v>1256</v>
      </c>
      <c r="O1986" s="524" t="s">
        <v>1257</v>
      </c>
      <c r="P1986" s="526">
        <v>46227</v>
      </c>
      <c r="S1986" s="527">
        <v>0</v>
      </c>
    </row>
    <row r="1987" spans="1:19" x14ac:dyDescent="0.2">
      <c r="A1987" s="524">
        <v>71272</v>
      </c>
      <c r="B1987" s="526">
        <v>46227</v>
      </c>
      <c r="C1987" s="524" t="s">
        <v>1148</v>
      </c>
      <c r="D1987" s="524" t="s">
        <v>1243</v>
      </c>
      <c r="E1987" s="524" t="s">
        <v>1266</v>
      </c>
      <c r="F1987" s="524" t="s">
        <v>1183</v>
      </c>
      <c r="G1987" s="524" t="s">
        <v>769</v>
      </c>
      <c r="H1987" s="527">
        <v>12498.94</v>
      </c>
      <c r="I1987" s="524" t="s">
        <v>1174</v>
      </c>
      <c r="J1987" s="524">
        <f>IF(cmf[[#This Row],[D/C]]="C",cmf[[#This Row],[Valor]],-1*cmf[[#This Row],[Valor]])</f>
        <v>-12498.94</v>
      </c>
      <c r="L1987" s="524" t="s">
        <v>1245</v>
      </c>
      <c r="M1987" s="524" t="s">
        <v>1246</v>
      </c>
      <c r="N1987" s="524" t="s">
        <v>1219</v>
      </c>
      <c r="O1987" s="524" t="s">
        <v>1220</v>
      </c>
      <c r="P1987" s="526">
        <v>46227</v>
      </c>
      <c r="S1987" s="527">
        <v>0</v>
      </c>
    </row>
    <row r="1988" spans="1:19" x14ac:dyDescent="0.2">
      <c r="A1988" s="524">
        <v>71276</v>
      </c>
      <c r="B1988" s="526">
        <v>46227</v>
      </c>
      <c r="C1988" s="524" t="s">
        <v>1148</v>
      </c>
      <c r="D1988" s="524" t="s">
        <v>1243</v>
      </c>
      <c r="E1988" s="524" t="s">
        <v>1266</v>
      </c>
      <c r="F1988" s="524" t="s">
        <v>1183</v>
      </c>
      <c r="G1988" s="524" t="s">
        <v>758</v>
      </c>
      <c r="H1988" s="527">
        <v>309321.15000000002</v>
      </c>
      <c r="I1988" s="524" t="s">
        <v>1174</v>
      </c>
      <c r="J1988" s="524">
        <f>IF(cmf[[#This Row],[D/C]]="C",cmf[[#This Row],[Valor]],-1*cmf[[#This Row],[Valor]])</f>
        <v>-309321.15000000002</v>
      </c>
      <c r="L1988" s="524" t="s">
        <v>1245</v>
      </c>
      <c r="M1988" s="524" t="s">
        <v>1246</v>
      </c>
      <c r="N1988" s="524" t="s">
        <v>1223</v>
      </c>
      <c r="O1988" s="524" t="s">
        <v>1224</v>
      </c>
      <c r="P1988" s="526">
        <v>46227</v>
      </c>
      <c r="S1988" s="527">
        <v>0</v>
      </c>
    </row>
    <row r="1989" spans="1:19" x14ac:dyDescent="0.2">
      <c r="A1989" s="524">
        <v>71280</v>
      </c>
      <c r="B1989" s="526">
        <v>46227</v>
      </c>
      <c r="C1989" s="524" t="s">
        <v>1148</v>
      </c>
      <c r="D1989" s="524" t="s">
        <v>1243</v>
      </c>
      <c r="E1989" s="524" t="s">
        <v>1244</v>
      </c>
      <c r="F1989" s="524" t="s">
        <v>1183</v>
      </c>
      <c r="G1989" s="524" t="s">
        <v>806</v>
      </c>
      <c r="H1989" s="527">
        <v>13586.61</v>
      </c>
      <c r="I1989" s="524" t="s">
        <v>1148</v>
      </c>
      <c r="J1989" s="524">
        <f>IF(cmf[[#This Row],[D/C]]="C",cmf[[#This Row],[Valor]],-1*cmf[[#This Row],[Valor]])</f>
        <v>13586.61</v>
      </c>
      <c r="L1989" s="524" t="s">
        <v>1245</v>
      </c>
      <c r="M1989" s="524" t="s">
        <v>1246</v>
      </c>
      <c r="N1989" s="524" t="s">
        <v>1283</v>
      </c>
      <c r="O1989" s="524" t="s">
        <v>1284</v>
      </c>
      <c r="P1989" s="526">
        <v>46227</v>
      </c>
      <c r="S1989" s="527">
        <v>0</v>
      </c>
    </row>
    <row r="1990" spans="1:19" x14ac:dyDescent="0.2">
      <c r="A1990" s="524">
        <v>71281</v>
      </c>
      <c r="B1990" s="526">
        <v>46227</v>
      </c>
      <c r="C1990" s="524" t="s">
        <v>1148</v>
      </c>
      <c r="D1990" s="524" t="s">
        <v>1243</v>
      </c>
      <c r="E1990" s="524" t="s">
        <v>1244</v>
      </c>
      <c r="F1990" s="524" t="s">
        <v>1183</v>
      </c>
      <c r="G1990" s="524" t="s">
        <v>806</v>
      </c>
      <c r="H1990" s="527">
        <v>0.24</v>
      </c>
      <c r="I1990" s="524" t="s">
        <v>1148</v>
      </c>
      <c r="J1990" s="524">
        <f>IF(cmf[[#This Row],[D/C]]="C",cmf[[#This Row],[Valor]],-1*cmf[[#This Row],[Valor]])</f>
        <v>0.24</v>
      </c>
      <c r="L1990" s="524" t="s">
        <v>1245</v>
      </c>
      <c r="M1990" s="524" t="s">
        <v>1246</v>
      </c>
      <c r="N1990" s="524" t="s">
        <v>1283</v>
      </c>
      <c r="O1990" s="524" t="s">
        <v>1284</v>
      </c>
      <c r="P1990" s="526">
        <v>46227</v>
      </c>
      <c r="S1990" s="527">
        <v>0</v>
      </c>
    </row>
    <row r="1991" spans="1:19" x14ac:dyDescent="0.2">
      <c r="A1991" s="524">
        <v>71297</v>
      </c>
      <c r="B1991" s="526">
        <v>46227</v>
      </c>
      <c r="C1991" s="524" t="s">
        <v>1148</v>
      </c>
      <c r="D1991" s="524" t="s">
        <v>1239</v>
      </c>
      <c r="E1991" s="524" t="s">
        <v>1255</v>
      </c>
      <c r="F1991" s="524" t="s">
        <v>1170</v>
      </c>
      <c r="G1991" s="524" t="s">
        <v>757</v>
      </c>
      <c r="H1991" s="527">
        <v>0.2</v>
      </c>
      <c r="I1991" s="524" t="s">
        <v>1174</v>
      </c>
      <c r="J1991" s="524">
        <f>IF(cmf[[#This Row],[D/C]]="C",cmf[[#This Row],[Valor]],-1*cmf[[#This Row],[Valor]])</f>
        <v>-0.2</v>
      </c>
      <c r="L1991" s="524" t="s">
        <v>1241</v>
      </c>
      <c r="M1991" s="524" t="s">
        <v>1242</v>
      </c>
      <c r="N1991" s="524" t="s">
        <v>1223</v>
      </c>
      <c r="O1991" s="524" t="s">
        <v>1224</v>
      </c>
      <c r="P1991" s="526">
        <v>46227</v>
      </c>
      <c r="S1991" s="527">
        <v>0</v>
      </c>
    </row>
    <row r="1992" spans="1:19" x14ac:dyDescent="0.2">
      <c r="A1992" s="524">
        <v>71354</v>
      </c>
      <c r="B1992" s="526">
        <v>46227</v>
      </c>
      <c r="C1992" s="524" t="s">
        <v>1148</v>
      </c>
      <c r="D1992" s="524" t="s">
        <v>1243</v>
      </c>
      <c r="E1992" s="524" t="s">
        <v>1244</v>
      </c>
      <c r="F1992" s="524" t="s">
        <v>1183</v>
      </c>
      <c r="G1992" s="524" t="s">
        <v>745</v>
      </c>
      <c r="H1992" s="527">
        <v>2384.9699999999998</v>
      </c>
      <c r="I1992" s="524" t="s">
        <v>1148</v>
      </c>
      <c r="J1992" s="524">
        <f>IF(cmf[[#This Row],[D/C]]="C",cmf[[#This Row],[Valor]],-1*cmf[[#This Row],[Valor]])</f>
        <v>2384.9699999999998</v>
      </c>
      <c r="L1992" s="524" t="s">
        <v>1245</v>
      </c>
      <c r="M1992" s="524" t="s">
        <v>1246</v>
      </c>
      <c r="N1992" s="524" t="s">
        <v>1292</v>
      </c>
      <c r="O1992" s="524" t="s">
        <v>1293</v>
      </c>
      <c r="P1992" s="526">
        <v>46227</v>
      </c>
      <c r="S1992" s="527">
        <v>0</v>
      </c>
    </row>
    <row r="1993" spans="1:19" x14ac:dyDescent="0.2">
      <c r="A1993" s="524">
        <v>71355</v>
      </c>
      <c r="B1993" s="526">
        <v>46227</v>
      </c>
      <c r="C1993" s="524" t="s">
        <v>1148</v>
      </c>
      <c r="D1993" s="524" t="s">
        <v>1243</v>
      </c>
      <c r="E1993" s="524" t="s">
        <v>1244</v>
      </c>
      <c r="F1993" s="524" t="s">
        <v>1183</v>
      </c>
      <c r="G1993" s="524" t="s">
        <v>745</v>
      </c>
      <c r="H1993" s="527">
        <v>0.03</v>
      </c>
      <c r="I1993" s="524" t="s">
        <v>1148</v>
      </c>
      <c r="J1993" s="524">
        <f>IF(cmf[[#This Row],[D/C]]="C",cmf[[#This Row],[Valor]],-1*cmf[[#This Row],[Valor]])</f>
        <v>0.03</v>
      </c>
      <c r="L1993" s="524" t="s">
        <v>1245</v>
      </c>
      <c r="M1993" s="524" t="s">
        <v>1246</v>
      </c>
      <c r="N1993" s="524" t="s">
        <v>1292</v>
      </c>
      <c r="O1993" s="524" t="s">
        <v>1293</v>
      </c>
      <c r="P1993" s="526">
        <v>46227</v>
      </c>
      <c r="S1993" s="527">
        <v>0</v>
      </c>
    </row>
    <row r="1994" spans="1:19" x14ac:dyDescent="0.2">
      <c r="A1994" s="524">
        <v>71426</v>
      </c>
      <c r="B1994" s="526">
        <v>46227</v>
      </c>
      <c r="C1994" s="524" t="s">
        <v>1148</v>
      </c>
      <c r="D1994" s="524" t="s">
        <v>1186</v>
      </c>
      <c r="E1994" s="524" t="s">
        <v>2367</v>
      </c>
      <c r="F1994" s="524" t="s">
        <v>1183</v>
      </c>
      <c r="G1994" s="524" t="s">
        <v>800</v>
      </c>
      <c r="H1994" s="527">
        <v>28123.41</v>
      </c>
      <c r="I1994" s="524" t="s">
        <v>1174</v>
      </c>
      <c r="J1994" s="524">
        <f>IF(cmf[[#This Row],[D/C]]="C",cmf[[#This Row],[Valor]],-1*cmf[[#This Row],[Valor]])</f>
        <v>-28123.41</v>
      </c>
      <c r="L1994" s="524" t="s">
        <v>1188</v>
      </c>
      <c r="M1994" s="524" t="s">
        <v>1189</v>
      </c>
      <c r="N1994" s="524" t="s">
        <v>1171</v>
      </c>
      <c r="O1994" s="524" t="s">
        <v>1172</v>
      </c>
      <c r="P1994" s="526">
        <v>46227</v>
      </c>
      <c r="S1994" s="527">
        <v>0</v>
      </c>
    </row>
    <row r="1995" spans="1:19" x14ac:dyDescent="0.2">
      <c r="A1995" s="524">
        <v>71427</v>
      </c>
      <c r="B1995" s="526">
        <v>46227</v>
      </c>
      <c r="C1995" s="524" t="s">
        <v>1148</v>
      </c>
      <c r="D1995" s="524" t="s">
        <v>1186</v>
      </c>
      <c r="E1995" s="524" t="s">
        <v>2368</v>
      </c>
      <c r="F1995" s="524" t="s">
        <v>1183</v>
      </c>
      <c r="G1995" s="524" t="s">
        <v>800</v>
      </c>
      <c r="H1995" s="527">
        <v>56229.96</v>
      </c>
      <c r="I1995" s="524" t="s">
        <v>1174</v>
      </c>
      <c r="J1995" s="524">
        <f>IF(cmf[[#This Row],[D/C]]="C",cmf[[#This Row],[Valor]],-1*cmf[[#This Row],[Valor]])</f>
        <v>-56229.96</v>
      </c>
      <c r="L1995" s="524" t="s">
        <v>1188</v>
      </c>
      <c r="M1995" s="524" t="s">
        <v>1189</v>
      </c>
      <c r="N1995" s="524" t="s">
        <v>1171</v>
      </c>
      <c r="O1995" s="524" t="s">
        <v>1172</v>
      </c>
      <c r="P1995" s="526">
        <v>46227</v>
      </c>
      <c r="S1995" s="527">
        <v>0</v>
      </c>
    </row>
    <row r="1996" spans="1:19" x14ac:dyDescent="0.2">
      <c r="A1996" s="524">
        <v>71548</v>
      </c>
      <c r="B1996" s="526">
        <v>46227</v>
      </c>
      <c r="C1996" s="524" t="s">
        <v>1148</v>
      </c>
      <c r="D1996" s="524" t="s">
        <v>1243</v>
      </c>
      <c r="E1996" s="524" t="s">
        <v>1244</v>
      </c>
      <c r="F1996" s="524" t="s">
        <v>1183</v>
      </c>
      <c r="G1996" s="524" t="s">
        <v>803</v>
      </c>
      <c r="H1996" s="527">
        <v>1634.35</v>
      </c>
      <c r="I1996" s="524" t="s">
        <v>1148</v>
      </c>
      <c r="J1996" s="524">
        <f>IF(cmf[[#This Row],[D/C]]="C",cmf[[#This Row],[Valor]],-1*cmf[[#This Row],[Valor]])</f>
        <v>1634.35</v>
      </c>
      <c r="L1996" s="524" t="s">
        <v>1245</v>
      </c>
      <c r="M1996" s="524" t="s">
        <v>1246</v>
      </c>
      <c r="N1996" s="524" t="s">
        <v>1192</v>
      </c>
      <c r="O1996" s="524" t="s">
        <v>1193</v>
      </c>
      <c r="P1996" s="526">
        <v>46227</v>
      </c>
      <c r="S1996" s="527">
        <v>0</v>
      </c>
    </row>
    <row r="1997" spans="1:19" x14ac:dyDescent="0.2">
      <c r="A1997" s="524">
        <v>71549</v>
      </c>
      <c r="B1997" s="526">
        <v>46227</v>
      </c>
      <c r="C1997" s="524" t="s">
        <v>1148</v>
      </c>
      <c r="D1997" s="524" t="s">
        <v>1243</v>
      </c>
      <c r="E1997" s="524" t="s">
        <v>1244</v>
      </c>
      <c r="F1997" s="524" t="s">
        <v>1183</v>
      </c>
      <c r="G1997" s="524" t="s">
        <v>803</v>
      </c>
      <c r="H1997" s="527">
        <v>0.03</v>
      </c>
      <c r="I1997" s="524" t="s">
        <v>1148</v>
      </c>
      <c r="J1997" s="524">
        <f>IF(cmf[[#This Row],[D/C]]="C",cmf[[#This Row],[Valor]],-1*cmf[[#This Row],[Valor]])</f>
        <v>0.03</v>
      </c>
      <c r="L1997" s="524" t="s">
        <v>1245</v>
      </c>
      <c r="M1997" s="524" t="s">
        <v>1246</v>
      </c>
      <c r="N1997" s="524" t="s">
        <v>1192</v>
      </c>
      <c r="O1997" s="524" t="s">
        <v>1193</v>
      </c>
      <c r="P1997" s="526">
        <v>46227</v>
      </c>
      <c r="S1997" s="527">
        <v>0</v>
      </c>
    </row>
    <row r="1998" spans="1:19" x14ac:dyDescent="0.2">
      <c r="A1998" s="524">
        <v>71575</v>
      </c>
      <c r="B1998" s="526">
        <v>46227</v>
      </c>
      <c r="C1998" s="524" t="s">
        <v>1148</v>
      </c>
      <c r="D1998" s="524" t="s">
        <v>1243</v>
      </c>
      <c r="E1998" s="524" t="s">
        <v>1266</v>
      </c>
      <c r="F1998" s="524" t="s">
        <v>1183</v>
      </c>
      <c r="G1998" s="524" t="s">
        <v>800</v>
      </c>
      <c r="H1998" s="527">
        <v>13572.67</v>
      </c>
      <c r="I1998" s="524" t="s">
        <v>1174</v>
      </c>
      <c r="J1998" s="524">
        <f>IF(cmf[[#This Row],[D/C]]="C",cmf[[#This Row],[Valor]],-1*cmf[[#This Row],[Valor]])</f>
        <v>-13572.67</v>
      </c>
      <c r="L1998" s="524" t="s">
        <v>1245</v>
      </c>
      <c r="M1998" s="524" t="s">
        <v>1246</v>
      </c>
      <c r="N1998" s="524" t="s">
        <v>1171</v>
      </c>
      <c r="O1998" s="524" t="s">
        <v>1172</v>
      </c>
      <c r="P1998" s="526">
        <v>46227</v>
      </c>
      <c r="S1998" s="527">
        <v>0</v>
      </c>
    </row>
    <row r="1999" spans="1:19" x14ac:dyDescent="0.2">
      <c r="A1999" s="524">
        <v>71636</v>
      </c>
      <c r="B1999" s="526">
        <v>46227</v>
      </c>
      <c r="C1999" s="524" t="s">
        <v>1148</v>
      </c>
      <c r="D1999" s="524" t="s">
        <v>1239</v>
      </c>
      <c r="E1999" s="524" t="s">
        <v>2369</v>
      </c>
      <c r="F1999" s="524" t="s">
        <v>1170</v>
      </c>
      <c r="G1999" s="524" t="s">
        <v>740</v>
      </c>
      <c r="H1999" s="527">
        <v>3000</v>
      </c>
      <c r="I1999" s="524" t="s">
        <v>1174</v>
      </c>
      <c r="J1999" s="524">
        <f>IF(cmf[[#This Row],[D/C]]="C",cmf[[#This Row],[Valor]],-1*cmf[[#This Row],[Valor]])</f>
        <v>-3000</v>
      </c>
      <c r="L1999" s="524" t="s">
        <v>1359</v>
      </c>
      <c r="M1999" s="524" t="s">
        <v>1360</v>
      </c>
      <c r="N1999" s="524" t="s">
        <v>1215</v>
      </c>
      <c r="O1999" s="524" t="s">
        <v>1218</v>
      </c>
      <c r="P1999" s="526">
        <v>46227</v>
      </c>
      <c r="S1999" s="527">
        <v>0</v>
      </c>
    </row>
    <row r="2000" spans="1:19" x14ac:dyDescent="0.2">
      <c r="A2000" s="524">
        <v>71728</v>
      </c>
      <c r="B2000" s="526">
        <v>46227</v>
      </c>
      <c r="C2000" s="524" t="s">
        <v>1148</v>
      </c>
      <c r="D2000" s="524" t="s">
        <v>1243</v>
      </c>
      <c r="E2000" s="524" t="s">
        <v>1244</v>
      </c>
      <c r="F2000" s="524" t="s">
        <v>1183</v>
      </c>
      <c r="G2000" s="524" t="s">
        <v>742</v>
      </c>
      <c r="H2000" s="527">
        <v>13436.79</v>
      </c>
      <c r="I2000" s="524" t="s">
        <v>1148</v>
      </c>
      <c r="J2000" s="524">
        <f>IF(cmf[[#This Row],[D/C]]="C",cmf[[#This Row],[Valor]],-1*cmf[[#This Row],[Valor]])</f>
        <v>13436.79</v>
      </c>
      <c r="L2000" s="524" t="s">
        <v>1245</v>
      </c>
      <c r="M2000" s="524" t="s">
        <v>1246</v>
      </c>
      <c r="N2000" s="524" t="s">
        <v>1215</v>
      </c>
      <c r="O2000" s="524" t="s">
        <v>1267</v>
      </c>
      <c r="P2000" s="526">
        <v>46227</v>
      </c>
      <c r="S2000" s="527">
        <v>0</v>
      </c>
    </row>
    <row r="2001" spans="1:19" x14ac:dyDescent="0.2">
      <c r="A2001" s="524">
        <v>71729</v>
      </c>
      <c r="B2001" s="526">
        <v>46227</v>
      </c>
      <c r="C2001" s="524" t="s">
        <v>1148</v>
      </c>
      <c r="D2001" s="524" t="s">
        <v>1243</v>
      </c>
      <c r="E2001" s="524" t="s">
        <v>1244</v>
      </c>
      <c r="F2001" s="524" t="s">
        <v>1183</v>
      </c>
      <c r="G2001" s="524" t="s">
        <v>742</v>
      </c>
      <c r="H2001" s="527">
        <v>0.02</v>
      </c>
      <c r="I2001" s="524" t="s">
        <v>1148</v>
      </c>
      <c r="J2001" s="524">
        <f>IF(cmf[[#This Row],[D/C]]="C",cmf[[#This Row],[Valor]],-1*cmf[[#This Row],[Valor]])</f>
        <v>0.02</v>
      </c>
      <c r="L2001" s="524" t="s">
        <v>1245</v>
      </c>
      <c r="M2001" s="524" t="s">
        <v>1246</v>
      </c>
      <c r="N2001" s="524" t="s">
        <v>1215</v>
      </c>
      <c r="O2001" s="524" t="s">
        <v>1267</v>
      </c>
      <c r="P2001" s="526">
        <v>46227</v>
      </c>
      <c r="S2001" s="527">
        <v>0</v>
      </c>
    </row>
    <row r="2002" spans="1:19" x14ac:dyDescent="0.2">
      <c r="A2002" s="524">
        <v>71802</v>
      </c>
      <c r="B2002" s="526">
        <v>46227</v>
      </c>
      <c r="C2002" s="524" t="s">
        <v>1148</v>
      </c>
      <c r="D2002" s="524" t="s">
        <v>1239</v>
      </c>
      <c r="E2002" s="524" t="s">
        <v>1904</v>
      </c>
      <c r="F2002" s="524" t="s">
        <v>1183</v>
      </c>
      <c r="G2002" s="524" t="s">
        <v>742</v>
      </c>
      <c r="H2002" s="527">
        <v>129.19999999999999</v>
      </c>
      <c r="I2002" s="524" t="s">
        <v>1174</v>
      </c>
      <c r="J2002" s="524">
        <f>IF(cmf[[#This Row],[D/C]]="C",cmf[[#This Row],[Valor]],-1*cmf[[#This Row],[Valor]])</f>
        <v>-129.19999999999999</v>
      </c>
      <c r="L2002" s="524" t="s">
        <v>1241</v>
      </c>
      <c r="M2002" s="524" t="s">
        <v>1242</v>
      </c>
      <c r="N2002" s="524" t="s">
        <v>1215</v>
      </c>
      <c r="O2002" s="524" t="s">
        <v>1218</v>
      </c>
      <c r="P2002" s="526">
        <v>46227</v>
      </c>
      <c r="S2002" s="527">
        <v>0</v>
      </c>
    </row>
    <row r="2003" spans="1:19" x14ac:dyDescent="0.2">
      <c r="A2003" s="524">
        <v>72177</v>
      </c>
      <c r="B2003" s="526">
        <v>46227</v>
      </c>
      <c r="C2003" s="524" t="s">
        <v>1148</v>
      </c>
      <c r="D2003" s="524" t="s">
        <v>1239</v>
      </c>
      <c r="E2003" s="524" t="s">
        <v>2370</v>
      </c>
      <c r="F2003" s="524" t="s">
        <v>1183</v>
      </c>
      <c r="G2003" s="524" t="s">
        <v>758</v>
      </c>
      <c r="H2003" s="527">
        <v>309321.15000000002</v>
      </c>
      <c r="I2003" s="524" t="s">
        <v>1148</v>
      </c>
      <c r="J2003" s="524">
        <f>IF(cmf[[#This Row],[D/C]]="C",cmf[[#This Row],[Valor]],-1*cmf[[#This Row],[Valor]])</f>
        <v>309321.15000000002</v>
      </c>
      <c r="L2003" s="524" t="s">
        <v>1264</v>
      </c>
      <c r="M2003" s="524" t="s">
        <v>1265</v>
      </c>
      <c r="N2003" s="524" t="s">
        <v>1223</v>
      </c>
      <c r="O2003" s="524" t="s">
        <v>1224</v>
      </c>
      <c r="P2003" s="526">
        <v>46227</v>
      </c>
      <c r="S2003" s="527">
        <v>0</v>
      </c>
    </row>
    <row r="2004" spans="1:19" x14ac:dyDescent="0.2">
      <c r="A2004" s="524">
        <v>70473</v>
      </c>
      <c r="B2004" s="526">
        <v>46228</v>
      </c>
      <c r="C2004" s="524" t="s">
        <v>1162</v>
      </c>
      <c r="D2004" s="524" t="s">
        <v>1163</v>
      </c>
      <c r="E2004" s="524" t="s">
        <v>1173</v>
      </c>
      <c r="F2004" s="524" t="s">
        <v>1111</v>
      </c>
      <c r="G2004" s="524" t="s">
        <v>1110</v>
      </c>
      <c r="H2004" s="527">
        <v>11.4</v>
      </c>
      <c r="I2004" s="524" t="s">
        <v>1174</v>
      </c>
      <c r="J2004" s="524">
        <f>IF(cmf[[#This Row],[D/C]]="C",cmf[[#This Row],[Valor]],-1*cmf[[#This Row],[Valor]])</f>
        <v>-11.4</v>
      </c>
      <c r="L2004" s="524" t="s">
        <v>1175</v>
      </c>
      <c r="M2004" s="524" t="s">
        <v>1176</v>
      </c>
      <c r="N2004" s="524" t="s">
        <v>1219</v>
      </c>
      <c r="O2004" s="524" t="s">
        <v>1220</v>
      </c>
      <c r="P2004" s="526"/>
      <c r="S2004" s="527">
        <v>0</v>
      </c>
    </row>
    <row r="2005" spans="1:19" x14ac:dyDescent="0.2">
      <c r="A2005" s="524">
        <v>70474</v>
      </c>
      <c r="B2005" s="526">
        <v>46229</v>
      </c>
      <c r="C2005" s="524" t="s">
        <v>1162</v>
      </c>
      <c r="D2005" s="524" t="s">
        <v>1163</v>
      </c>
      <c r="E2005" s="524" t="s">
        <v>1173</v>
      </c>
      <c r="F2005" s="524" t="s">
        <v>1111</v>
      </c>
      <c r="G2005" s="524" t="s">
        <v>1110</v>
      </c>
      <c r="H2005" s="527">
        <v>9.5</v>
      </c>
      <c r="I2005" s="524" t="s">
        <v>1174</v>
      </c>
      <c r="J2005" s="524">
        <f>IF(cmf[[#This Row],[D/C]]="C",cmf[[#This Row],[Valor]],-1*cmf[[#This Row],[Valor]])</f>
        <v>-9.5</v>
      </c>
      <c r="L2005" s="524" t="s">
        <v>1175</v>
      </c>
      <c r="M2005" s="524" t="s">
        <v>1176</v>
      </c>
      <c r="N2005" s="524" t="s">
        <v>1219</v>
      </c>
      <c r="O2005" s="524" t="s">
        <v>1220</v>
      </c>
      <c r="P2005" s="526"/>
      <c r="S2005" s="527">
        <v>0</v>
      </c>
    </row>
    <row r="2006" spans="1:19" x14ac:dyDescent="0.2">
      <c r="A2006" s="524">
        <v>71010</v>
      </c>
      <c r="B2006" s="526">
        <v>46229</v>
      </c>
      <c r="C2006" s="524" t="s">
        <v>1162</v>
      </c>
      <c r="D2006" s="524" t="s">
        <v>1186</v>
      </c>
      <c r="E2006" s="524" t="s">
        <v>2371</v>
      </c>
      <c r="F2006" s="524" t="s">
        <v>1165</v>
      </c>
      <c r="G2006" s="524" t="s">
        <v>2372</v>
      </c>
      <c r="H2006" s="527">
        <v>19387.82</v>
      </c>
      <c r="I2006" s="524" t="s">
        <v>1174</v>
      </c>
      <c r="J2006" s="524">
        <f>IF(cmf[[#This Row],[D/C]]="C",cmf[[#This Row],[Valor]],-1*cmf[[#This Row],[Valor]])</f>
        <v>-19387.82</v>
      </c>
      <c r="L2006" s="524" t="s">
        <v>1188</v>
      </c>
      <c r="M2006" s="524" t="s">
        <v>1189</v>
      </c>
      <c r="N2006" s="524" t="s">
        <v>2373</v>
      </c>
      <c r="O2006" s="524" t="s">
        <v>1267</v>
      </c>
      <c r="P2006" s="526"/>
      <c r="S2006" s="527">
        <v>0</v>
      </c>
    </row>
    <row r="2007" spans="1:19" x14ac:dyDescent="0.2">
      <c r="A2007" s="524">
        <v>70305</v>
      </c>
      <c r="B2007" s="526">
        <v>46230</v>
      </c>
      <c r="C2007" s="524" t="s">
        <v>1162</v>
      </c>
      <c r="D2007" s="524" t="s">
        <v>1163</v>
      </c>
      <c r="E2007" s="524" t="s">
        <v>1164</v>
      </c>
      <c r="F2007" s="524" t="s">
        <v>1165</v>
      </c>
      <c r="G2007" s="524" t="s">
        <v>756</v>
      </c>
      <c r="H2007" s="527">
        <v>19436.64</v>
      </c>
      <c r="I2007" s="524" t="s">
        <v>1148</v>
      </c>
      <c r="J2007" s="524">
        <f>IF(cmf[[#This Row],[D/C]]="C",cmf[[#This Row],[Valor]],-1*cmf[[#This Row],[Valor]])</f>
        <v>19436.64</v>
      </c>
      <c r="L2007" s="524" t="s">
        <v>1166</v>
      </c>
      <c r="M2007" s="524" t="s">
        <v>1167</v>
      </c>
      <c r="N2007" s="524" t="s">
        <v>1168</v>
      </c>
      <c r="O2007" s="524" t="s">
        <v>1169</v>
      </c>
      <c r="P2007" s="526"/>
      <c r="S2007" s="527">
        <v>0</v>
      </c>
    </row>
    <row r="2008" spans="1:19" x14ac:dyDescent="0.2">
      <c r="A2008" s="524">
        <v>70456</v>
      </c>
      <c r="B2008" s="526">
        <v>46230</v>
      </c>
      <c r="C2008" s="524" t="s">
        <v>1162</v>
      </c>
      <c r="D2008" s="524" t="s">
        <v>1163</v>
      </c>
      <c r="E2008" s="524" t="s">
        <v>1164</v>
      </c>
      <c r="F2008" s="524" t="s">
        <v>1183</v>
      </c>
      <c r="G2008" s="524" t="s">
        <v>796</v>
      </c>
      <c r="H2008" s="527">
        <v>40129.1</v>
      </c>
      <c r="I2008" s="524" t="s">
        <v>1148</v>
      </c>
      <c r="J2008" s="524">
        <f>IF(cmf[[#This Row],[D/C]]="C",cmf[[#This Row],[Valor]],-1*cmf[[#This Row],[Valor]])</f>
        <v>40129.1</v>
      </c>
      <c r="L2008" s="524" t="s">
        <v>1166</v>
      </c>
      <c r="M2008" s="524" t="s">
        <v>1167</v>
      </c>
      <c r="N2008" s="524" t="s">
        <v>1184</v>
      </c>
      <c r="O2008" s="524" t="s">
        <v>1172</v>
      </c>
      <c r="P2008" s="526"/>
      <c r="S2008" s="527">
        <v>0</v>
      </c>
    </row>
    <row r="2009" spans="1:19" x14ac:dyDescent="0.2">
      <c r="A2009" s="524">
        <v>70457</v>
      </c>
      <c r="B2009" s="526">
        <v>46230</v>
      </c>
      <c r="C2009" s="524" t="s">
        <v>1162</v>
      </c>
      <c r="D2009" s="524" t="s">
        <v>1163</v>
      </c>
      <c r="E2009" s="524" t="s">
        <v>1173</v>
      </c>
      <c r="F2009" s="524" t="s">
        <v>1183</v>
      </c>
      <c r="G2009" s="524" t="s">
        <v>796</v>
      </c>
      <c r="H2009" s="527">
        <v>20.7</v>
      </c>
      <c r="I2009" s="524" t="s">
        <v>1174</v>
      </c>
      <c r="J2009" s="524">
        <f>IF(cmf[[#This Row],[D/C]]="C",cmf[[#This Row],[Valor]],-1*cmf[[#This Row],[Valor]])</f>
        <v>-20.7</v>
      </c>
      <c r="L2009" s="524" t="s">
        <v>1175</v>
      </c>
      <c r="M2009" s="524" t="s">
        <v>1176</v>
      </c>
      <c r="N2009" s="524" t="s">
        <v>1184</v>
      </c>
      <c r="O2009" s="524" t="s">
        <v>1172</v>
      </c>
      <c r="P2009" s="526"/>
      <c r="S2009" s="527">
        <v>0</v>
      </c>
    </row>
    <row r="2010" spans="1:19" x14ac:dyDescent="0.2">
      <c r="A2010" s="524">
        <v>70461</v>
      </c>
      <c r="B2010" s="526">
        <v>46230</v>
      </c>
      <c r="C2010" s="524" t="s">
        <v>1162</v>
      </c>
      <c r="D2010" s="524" t="s">
        <v>1186</v>
      </c>
      <c r="E2010" s="524" t="s">
        <v>2374</v>
      </c>
      <c r="F2010" s="524" t="s">
        <v>1170</v>
      </c>
      <c r="G2010" s="524" t="s">
        <v>791</v>
      </c>
      <c r="H2010" s="527">
        <v>2942.78</v>
      </c>
      <c r="I2010" s="524" t="s">
        <v>1174</v>
      </c>
      <c r="J2010" s="524">
        <f>IF(cmf[[#This Row],[D/C]]="C",cmf[[#This Row],[Valor]],-1*cmf[[#This Row],[Valor]])</f>
        <v>-2942.78</v>
      </c>
      <c r="L2010" s="524" t="s">
        <v>1188</v>
      </c>
      <c r="M2010" s="524" t="s">
        <v>1189</v>
      </c>
      <c r="N2010" s="524" t="s">
        <v>2373</v>
      </c>
      <c r="O2010" s="524" t="s">
        <v>2375</v>
      </c>
      <c r="P2010" s="526"/>
      <c r="S2010" s="527">
        <v>0</v>
      </c>
    </row>
    <row r="2011" spans="1:19" x14ac:dyDescent="0.2">
      <c r="A2011" s="524">
        <v>70462</v>
      </c>
      <c r="B2011" s="526">
        <v>46230</v>
      </c>
      <c r="C2011" s="524" t="s">
        <v>1148</v>
      </c>
      <c r="D2011" s="524" t="s">
        <v>1163</v>
      </c>
      <c r="E2011" s="524" t="s">
        <v>1164</v>
      </c>
      <c r="F2011" s="524" t="s">
        <v>1170</v>
      </c>
      <c r="G2011" s="524" t="s">
        <v>740</v>
      </c>
      <c r="H2011" s="527">
        <v>2067.9499999999998</v>
      </c>
      <c r="I2011" s="524" t="s">
        <v>1148</v>
      </c>
      <c r="J2011" s="524">
        <f>IF(cmf[[#This Row],[D/C]]="C",cmf[[#This Row],[Valor]],-1*cmf[[#This Row],[Valor]])</f>
        <v>2067.9499999999998</v>
      </c>
      <c r="L2011" s="524" t="s">
        <v>1166</v>
      </c>
      <c r="M2011" s="524" t="s">
        <v>1167</v>
      </c>
      <c r="N2011" s="524" t="s">
        <v>1215</v>
      </c>
      <c r="O2011" s="524" t="s">
        <v>1218</v>
      </c>
      <c r="P2011" s="526">
        <v>46230</v>
      </c>
      <c r="S2011" s="527">
        <v>0</v>
      </c>
    </row>
    <row r="2012" spans="1:19" x14ac:dyDescent="0.2">
      <c r="A2012" s="524">
        <v>70463</v>
      </c>
      <c r="B2012" s="526">
        <v>46230</v>
      </c>
      <c r="C2012" s="524" t="s">
        <v>1148</v>
      </c>
      <c r="D2012" s="524" t="s">
        <v>1163</v>
      </c>
      <c r="E2012" s="524" t="s">
        <v>1173</v>
      </c>
      <c r="F2012" s="524" t="s">
        <v>1170</v>
      </c>
      <c r="G2012" s="524" t="s">
        <v>740</v>
      </c>
      <c r="H2012" s="527">
        <v>12.6</v>
      </c>
      <c r="I2012" s="524" t="s">
        <v>1174</v>
      </c>
      <c r="J2012" s="524">
        <f>IF(cmf[[#This Row],[D/C]]="C",cmf[[#This Row],[Valor]],-1*cmf[[#This Row],[Valor]])</f>
        <v>-12.6</v>
      </c>
      <c r="L2012" s="524" t="s">
        <v>1175</v>
      </c>
      <c r="M2012" s="524" t="s">
        <v>1176</v>
      </c>
      <c r="N2012" s="524" t="s">
        <v>1215</v>
      </c>
      <c r="O2012" s="524" t="s">
        <v>1218</v>
      </c>
      <c r="P2012" s="526">
        <v>46230</v>
      </c>
      <c r="S2012" s="527">
        <v>0</v>
      </c>
    </row>
    <row r="2013" spans="1:19" x14ac:dyDescent="0.2">
      <c r="A2013" s="524">
        <v>70464</v>
      </c>
      <c r="B2013" s="526">
        <v>46230</v>
      </c>
      <c r="C2013" s="524" t="s">
        <v>1162</v>
      </c>
      <c r="D2013" s="524" t="s">
        <v>1163</v>
      </c>
      <c r="E2013" s="524" t="s">
        <v>1164</v>
      </c>
      <c r="F2013" s="524" t="s">
        <v>1183</v>
      </c>
      <c r="G2013" s="524" t="s">
        <v>1276</v>
      </c>
      <c r="H2013" s="527">
        <v>31959.53</v>
      </c>
      <c r="I2013" s="524" t="s">
        <v>1148</v>
      </c>
      <c r="J2013" s="524">
        <f>IF(cmf[[#This Row],[D/C]]="C",cmf[[#This Row],[Valor]],-1*cmf[[#This Row],[Valor]])</f>
        <v>31959.53</v>
      </c>
      <c r="L2013" s="524" t="s">
        <v>1166</v>
      </c>
      <c r="M2013" s="524" t="s">
        <v>1167</v>
      </c>
      <c r="N2013" s="524" t="s">
        <v>1184</v>
      </c>
      <c r="O2013" s="524" t="s">
        <v>1201</v>
      </c>
      <c r="P2013" s="526"/>
      <c r="S2013" s="527">
        <v>0</v>
      </c>
    </row>
    <row r="2014" spans="1:19" x14ac:dyDescent="0.2">
      <c r="A2014" s="524">
        <v>70465</v>
      </c>
      <c r="B2014" s="526">
        <v>46230</v>
      </c>
      <c r="C2014" s="524" t="s">
        <v>1162</v>
      </c>
      <c r="D2014" s="524" t="s">
        <v>1163</v>
      </c>
      <c r="E2014" s="524" t="s">
        <v>1173</v>
      </c>
      <c r="F2014" s="524" t="s">
        <v>1183</v>
      </c>
      <c r="G2014" s="524" t="s">
        <v>1276</v>
      </c>
      <c r="H2014" s="527">
        <v>9.1999999999999993</v>
      </c>
      <c r="I2014" s="524" t="s">
        <v>1174</v>
      </c>
      <c r="J2014" s="524">
        <f>IF(cmf[[#This Row],[D/C]]="C",cmf[[#This Row],[Valor]],-1*cmf[[#This Row],[Valor]])</f>
        <v>-9.1999999999999993</v>
      </c>
      <c r="L2014" s="524" t="s">
        <v>1175</v>
      </c>
      <c r="M2014" s="524" t="s">
        <v>1176</v>
      </c>
      <c r="N2014" s="524" t="s">
        <v>1184</v>
      </c>
      <c r="O2014" s="524" t="s">
        <v>1201</v>
      </c>
      <c r="P2014" s="526"/>
      <c r="S2014" s="527">
        <v>0</v>
      </c>
    </row>
    <row r="2015" spans="1:19" x14ac:dyDescent="0.2">
      <c r="A2015" s="524">
        <v>70475</v>
      </c>
      <c r="B2015" s="526">
        <v>46230</v>
      </c>
      <c r="C2015" s="524" t="s">
        <v>1162</v>
      </c>
      <c r="D2015" s="524" t="s">
        <v>1163</v>
      </c>
      <c r="E2015" s="524" t="s">
        <v>1164</v>
      </c>
      <c r="F2015" s="524" t="s">
        <v>1111</v>
      </c>
      <c r="G2015" s="524" t="s">
        <v>1110</v>
      </c>
      <c r="H2015" s="527">
        <v>6248.41</v>
      </c>
      <c r="I2015" s="524" t="s">
        <v>1148</v>
      </c>
      <c r="J2015" s="524">
        <f>IF(cmf[[#This Row],[D/C]]="C",cmf[[#This Row],[Valor]],-1*cmf[[#This Row],[Valor]])</f>
        <v>6248.41</v>
      </c>
      <c r="L2015" s="524" t="s">
        <v>1166</v>
      </c>
      <c r="M2015" s="524" t="s">
        <v>1167</v>
      </c>
      <c r="N2015" s="524" t="s">
        <v>1219</v>
      </c>
      <c r="O2015" s="524" t="s">
        <v>1220</v>
      </c>
      <c r="P2015" s="526"/>
      <c r="S2015" s="527">
        <v>0</v>
      </c>
    </row>
    <row r="2016" spans="1:19" x14ac:dyDescent="0.2">
      <c r="A2016" s="524">
        <v>70745</v>
      </c>
      <c r="B2016" s="526">
        <v>46230</v>
      </c>
      <c r="C2016" s="524" t="s">
        <v>1148</v>
      </c>
      <c r="D2016" s="524" t="s">
        <v>1239</v>
      </c>
      <c r="E2016" s="524" t="s">
        <v>2376</v>
      </c>
      <c r="F2016" s="524" t="s">
        <v>1170</v>
      </c>
      <c r="G2016" s="524" t="s">
        <v>802</v>
      </c>
      <c r="H2016" s="527">
        <v>73</v>
      </c>
      <c r="I2016" s="524" t="s">
        <v>1174</v>
      </c>
      <c r="J2016" s="524">
        <f>IF(cmf[[#This Row],[D/C]]="C",cmf[[#This Row],[Valor]],-1*cmf[[#This Row],[Valor]])</f>
        <v>-73</v>
      </c>
      <c r="L2016" s="524" t="s">
        <v>1241</v>
      </c>
      <c r="M2016" s="524" t="s">
        <v>1242</v>
      </c>
      <c r="N2016" s="524" t="s">
        <v>1192</v>
      </c>
      <c r="O2016" s="524" t="s">
        <v>1193</v>
      </c>
      <c r="P2016" s="526">
        <v>46230</v>
      </c>
      <c r="S2016" s="527">
        <v>0</v>
      </c>
    </row>
    <row r="2017" spans="1:19" x14ac:dyDescent="0.2">
      <c r="A2017" s="524">
        <v>70747</v>
      </c>
      <c r="B2017" s="526">
        <v>46230</v>
      </c>
      <c r="C2017" s="524" t="s">
        <v>1148</v>
      </c>
      <c r="D2017" s="524" t="s">
        <v>1186</v>
      </c>
      <c r="E2017" s="524" t="s">
        <v>2377</v>
      </c>
      <c r="F2017" s="524" t="s">
        <v>1183</v>
      </c>
      <c r="G2017" s="524" t="s">
        <v>742</v>
      </c>
      <c r="H2017" s="527">
        <v>60000</v>
      </c>
      <c r="I2017" s="524" t="s">
        <v>1174</v>
      </c>
      <c r="J2017" s="524">
        <f>IF(cmf[[#This Row],[D/C]]="C",cmf[[#This Row],[Valor]],-1*cmf[[#This Row],[Valor]])</f>
        <v>-60000</v>
      </c>
      <c r="L2017" s="524" t="s">
        <v>1188</v>
      </c>
      <c r="M2017" s="524" t="s">
        <v>1189</v>
      </c>
      <c r="N2017" s="524" t="s">
        <v>1215</v>
      </c>
      <c r="O2017" s="524" t="s">
        <v>1218</v>
      </c>
      <c r="P2017" s="526">
        <v>46230</v>
      </c>
      <c r="S2017" s="527">
        <v>0</v>
      </c>
    </row>
    <row r="2018" spans="1:19" x14ac:dyDescent="0.2">
      <c r="A2018" s="524">
        <v>70756</v>
      </c>
      <c r="B2018" s="526">
        <v>46230</v>
      </c>
      <c r="C2018" s="524" t="s">
        <v>1162</v>
      </c>
      <c r="D2018" s="524" t="s">
        <v>1186</v>
      </c>
      <c r="E2018" s="524" t="s">
        <v>2378</v>
      </c>
      <c r="F2018" s="524" t="s">
        <v>1170</v>
      </c>
      <c r="G2018" s="524" t="s">
        <v>771</v>
      </c>
      <c r="H2018" s="527">
        <v>3711.33</v>
      </c>
      <c r="I2018" s="524" t="s">
        <v>1174</v>
      </c>
      <c r="J2018" s="524">
        <f>IF(cmf[[#This Row],[D/C]]="C",cmf[[#This Row],[Valor]],-1*cmf[[#This Row],[Valor]])</f>
        <v>-3711.33</v>
      </c>
      <c r="L2018" s="524" t="s">
        <v>1188</v>
      </c>
      <c r="M2018" s="524" t="s">
        <v>1189</v>
      </c>
      <c r="N2018" s="524" t="s">
        <v>1249</v>
      </c>
      <c r="O2018" s="524" t="s">
        <v>1250</v>
      </c>
      <c r="P2018" s="526"/>
      <c r="S2018" s="527">
        <v>0</v>
      </c>
    </row>
    <row r="2019" spans="1:19" x14ac:dyDescent="0.2">
      <c r="A2019" s="524">
        <v>70804</v>
      </c>
      <c r="B2019" s="526">
        <v>46230</v>
      </c>
      <c r="C2019" s="524" t="s">
        <v>1148</v>
      </c>
      <c r="D2019" s="524" t="s">
        <v>1239</v>
      </c>
      <c r="E2019" s="524" t="s">
        <v>1258</v>
      </c>
      <c r="F2019" s="524" t="s">
        <v>1170</v>
      </c>
      <c r="G2019" s="524" t="s">
        <v>1102</v>
      </c>
      <c r="H2019" s="527">
        <v>6.3</v>
      </c>
      <c r="I2019" s="524" t="s">
        <v>1174</v>
      </c>
      <c r="J2019" s="524">
        <f>IF(cmf[[#This Row],[D/C]]="C",cmf[[#This Row],[Valor]],-1*cmf[[#This Row],[Valor]])</f>
        <v>-6.3</v>
      </c>
      <c r="L2019" s="524" t="s">
        <v>1241</v>
      </c>
      <c r="M2019" s="524" t="s">
        <v>1242</v>
      </c>
      <c r="N2019" s="524" t="s">
        <v>1192</v>
      </c>
      <c r="O2019" s="524" t="s">
        <v>1193</v>
      </c>
      <c r="P2019" s="526">
        <v>46230</v>
      </c>
      <c r="S2019" s="527">
        <v>0</v>
      </c>
    </row>
    <row r="2020" spans="1:19" x14ac:dyDescent="0.2">
      <c r="A2020" s="524">
        <v>70805</v>
      </c>
      <c r="B2020" s="526">
        <v>46230</v>
      </c>
      <c r="C2020" s="524" t="s">
        <v>1148</v>
      </c>
      <c r="D2020" s="524" t="s">
        <v>1239</v>
      </c>
      <c r="E2020" s="524" t="s">
        <v>1258</v>
      </c>
      <c r="F2020" s="524" t="s">
        <v>1170</v>
      </c>
      <c r="G2020" s="524" t="s">
        <v>1102</v>
      </c>
      <c r="H2020" s="527">
        <v>12.6</v>
      </c>
      <c r="I2020" s="524" t="s">
        <v>1174</v>
      </c>
      <c r="J2020" s="524">
        <f>IF(cmf[[#This Row],[D/C]]="C",cmf[[#This Row],[Valor]],-1*cmf[[#This Row],[Valor]])</f>
        <v>-12.6</v>
      </c>
      <c r="L2020" s="524" t="s">
        <v>1241</v>
      </c>
      <c r="M2020" s="524" t="s">
        <v>1242</v>
      </c>
      <c r="N2020" s="524" t="s">
        <v>1192</v>
      </c>
      <c r="O2020" s="524" t="s">
        <v>1193</v>
      </c>
      <c r="P2020" s="526">
        <v>46230</v>
      </c>
      <c r="S2020" s="527">
        <v>0</v>
      </c>
    </row>
    <row r="2021" spans="1:19" x14ac:dyDescent="0.2">
      <c r="A2021" s="524">
        <v>70806</v>
      </c>
      <c r="B2021" s="526">
        <v>46230</v>
      </c>
      <c r="C2021" s="524" t="s">
        <v>1148</v>
      </c>
      <c r="D2021" s="524" t="s">
        <v>1239</v>
      </c>
      <c r="E2021" s="524" t="s">
        <v>1258</v>
      </c>
      <c r="F2021" s="524" t="s">
        <v>1170</v>
      </c>
      <c r="G2021" s="524" t="s">
        <v>1102</v>
      </c>
      <c r="H2021" s="527">
        <v>31.5</v>
      </c>
      <c r="I2021" s="524" t="s">
        <v>1174</v>
      </c>
      <c r="J2021" s="524">
        <f>IF(cmf[[#This Row],[D/C]]="C",cmf[[#This Row],[Valor]],-1*cmf[[#This Row],[Valor]])</f>
        <v>-31.5</v>
      </c>
      <c r="L2021" s="524" t="s">
        <v>1241</v>
      </c>
      <c r="M2021" s="524" t="s">
        <v>1242</v>
      </c>
      <c r="N2021" s="524" t="s">
        <v>1192</v>
      </c>
      <c r="O2021" s="524" t="s">
        <v>1193</v>
      </c>
      <c r="P2021" s="526">
        <v>46230</v>
      </c>
      <c r="S2021" s="527">
        <v>0</v>
      </c>
    </row>
    <row r="2022" spans="1:19" x14ac:dyDescent="0.2">
      <c r="A2022" s="524">
        <v>70813</v>
      </c>
      <c r="B2022" s="526">
        <v>46230</v>
      </c>
      <c r="C2022" s="524" t="s">
        <v>1148</v>
      </c>
      <c r="D2022" s="524" t="s">
        <v>1226</v>
      </c>
      <c r="E2022" s="524" t="s">
        <v>2379</v>
      </c>
      <c r="F2022" s="524" t="s">
        <v>1170</v>
      </c>
      <c r="G2022" s="524" t="s">
        <v>1102</v>
      </c>
      <c r="H2022" s="527">
        <v>2192.29</v>
      </c>
      <c r="I2022" s="524" t="s">
        <v>1148</v>
      </c>
      <c r="J2022" s="524">
        <f>IF(cmf[[#This Row],[D/C]]="C",cmf[[#This Row],[Valor]],-1*cmf[[#This Row],[Valor]])</f>
        <v>2192.29</v>
      </c>
      <c r="L2022" s="524" t="s">
        <v>1230</v>
      </c>
      <c r="M2022" s="524" t="s">
        <v>1231</v>
      </c>
      <c r="N2022" s="524" t="s">
        <v>1192</v>
      </c>
      <c r="O2022" s="524" t="s">
        <v>1193</v>
      </c>
      <c r="P2022" s="526">
        <v>46230</v>
      </c>
      <c r="S2022" s="527">
        <v>0</v>
      </c>
    </row>
    <row r="2023" spans="1:19" x14ac:dyDescent="0.2">
      <c r="A2023" s="524">
        <v>70814</v>
      </c>
      <c r="B2023" s="526">
        <v>46230</v>
      </c>
      <c r="C2023" s="524" t="s">
        <v>1148</v>
      </c>
      <c r="D2023" s="524" t="s">
        <v>1226</v>
      </c>
      <c r="E2023" s="524" t="s">
        <v>2380</v>
      </c>
      <c r="F2023" s="524" t="s">
        <v>1170</v>
      </c>
      <c r="G2023" s="524" t="s">
        <v>1102</v>
      </c>
      <c r="H2023" s="527">
        <v>675.14</v>
      </c>
      <c r="I2023" s="524" t="s">
        <v>1148</v>
      </c>
      <c r="J2023" s="524">
        <f>IF(cmf[[#This Row],[D/C]]="C",cmf[[#This Row],[Valor]],-1*cmf[[#This Row],[Valor]])</f>
        <v>675.14</v>
      </c>
      <c r="L2023" s="524" t="s">
        <v>1230</v>
      </c>
      <c r="M2023" s="524" t="s">
        <v>1231</v>
      </c>
      <c r="N2023" s="524" t="s">
        <v>1192</v>
      </c>
      <c r="O2023" s="524" t="s">
        <v>1193</v>
      </c>
      <c r="P2023" s="526">
        <v>46230</v>
      </c>
      <c r="S2023" s="527">
        <v>0</v>
      </c>
    </row>
    <row r="2024" spans="1:19" x14ac:dyDescent="0.2">
      <c r="A2024" s="524">
        <v>70815</v>
      </c>
      <c r="B2024" s="526">
        <v>46230</v>
      </c>
      <c r="C2024" s="524" t="s">
        <v>1148</v>
      </c>
      <c r="D2024" s="524" t="s">
        <v>1226</v>
      </c>
      <c r="E2024" s="524" t="s">
        <v>2381</v>
      </c>
      <c r="F2024" s="524" t="s">
        <v>1170</v>
      </c>
      <c r="G2024" s="524" t="s">
        <v>1102</v>
      </c>
      <c r="H2024" s="527">
        <v>2319.44</v>
      </c>
      <c r="I2024" s="524" t="s">
        <v>1148</v>
      </c>
      <c r="J2024" s="524">
        <f>IF(cmf[[#This Row],[D/C]]="C",cmf[[#This Row],[Valor]],-1*cmf[[#This Row],[Valor]])</f>
        <v>2319.44</v>
      </c>
      <c r="L2024" s="524" t="s">
        <v>1230</v>
      </c>
      <c r="M2024" s="524" t="s">
        <v>1231</v>
      </c>
      <c r="N2024" s="524" t="s">
        <v>1192</v>
      </c>
      <c r="O2024" s="524" t="s">
        <v>1193</v>
      </c>
      <c r="P2024" s="526">
        <v>46230</v>
      </c>
      <c r="S2024" s="527">
        <v>0</v>
      </c>
    </row>
    <row r="2025" spans="1:19" x14ac:dyDescent="0.2">
      <c r="A2025" s="524">
        <v>70817</v>
      </c>
      <c r="B2025" s="526">
        <v>46230</v>
      </c>
      <c r="C2025" s="524" t="s">
        <v>1148</v>
      </c>
      <c r="D2025" s="524" t="s">
        <v>1226</v>
      </c>
      <c r="E2025" s="524" t="s">
        <v>2382</v>
      </c>
      <c r="F2025" s="524" t="s">
        <v>1170</v>
      </c>
      <c r="G2025" s="524" t="s">
        <v>1102</v>
      </c>
      <c r="H2025" s="527">
        <v>300</v>
      </c>
      <c r="I2025" s="524" t="s">
        <v>1148</v>
      </c>
      <c r="J2025" s="524">
        <f>IF(cmf[[#This Row],[D/C]]="C",cmf[[#This Row],[Valor]],-1*cmf[[#This Row],[Valor]])</f>
        <v>300</v>
      </c>
      <c r="L2025" s="524" t="s">
        <v>1230</v>
      </c>
      <c r="M2025" s="524" t="s">
        <v>1231</v>
      </c>
      <c r="N2025" s="524" t="s">
        <v>1192</v>
      </c>
      <c r="O2025" s="524" t="s">
        <v>1193</v>
      </c>
      <c r="P2025" s="526">
        <v>46230</v>
      </c>
      <c r="S2025" s="527">
        <v>0</v>
      </c>
    </row>
    <row r="2026" spans="1:19" x14ac:dyDescent="0.2">
      <c r="A2026" s="524">
        <v>70821</v>
      </c>
      <c r="B2026" s="526">
        <v>46230</v>
      </c>
      <c r="C2026" s="524" t="s">
        <v>1148</v>
      </c>
      <c r="D2026" s="524" t="s">
        <v>1226</v>
      </c>
      <c r="E2026" s="524" t="s">
        <v>2383</v>
      </c>
      <c r="F2026" s="524" t="s">
        <v>1170</v>
      </c>
      <c r="G2026" s="524" t="s">
        <v>1102</v>
      </c>
      <c r="H2026" s="527">
        <v>469.12</v>
      </c>
      <c r="I2026" s="524" t="s">
        <v>1148</v>
      </c>
      <c r="J2026" s="524">
        <f>IF(cmf[[#This Row],[D/C]]="C",cmf[[#This Row],[Valor]],-1*cmf[[#This Row],[Valor]])</f>
        <v>469.12</v>
      </c>
      <c r="L2026" s="524" t="s">
        <v>1230</v>
      </c>
      <c r="M2026" s="524" t="s">
        <v>1231</v>
      </c>
      <c r="N2026" s="524" t="s">
        <v>1192</v>
      </c>
      <c r="O2026" s="524" t="s">
        <v>1193</v>
      </c>
      <c r="P2026" s="526">
        <v>46230</v>
      </c>
      <c r="S2026" s="527">
        <v>0</v>
      </c>
    </row>
    <row r="2027" spans="1:19" x14ac:dyDescent="0.2">
      <c r="A2027" s="524">
        <v>70824</v>
      </c>
      <c r="B2027" s="526">
        <v>46230</v>
      </c>
      <c r="C2027" s="524" t="s">
        <v>1148</v>
      </c>
      <c r="D2027" s="524" t="s">
        <v>1226</v>
      </c>
      <c r="E2027" s="524" t="s">
        <v>2384</v>
      </c>
      <c r="F2027" s="524" t="s">
        <v>1170</v>
      </c>
      <c r="G2027" s="524" t="s">
        <v>1102</v>
      </c>
      <c r="H2027" s="527">
        <v>170.62</v>
      </c>
      <c r="I2027" s="524" t="s">
        <v>1148</v>
      </c>
      <c r="J2027" s="524">
        <f>IF(cmf[[#This Row],[D/C]]="C",cmf[[#This Row],[Valor]],-1*cmf[[#This Row],[Valor]])</f>
        <v>170.62</v>
      </c>
      <c r="L2027" s="524" t="s">
        <v>1230</v>
      </c>
      <c r="M2027" s="524" t="s">
        <v>1231</v>
      </c>
      <c r="N2027" s="524" t="s">
        <v>1192</v>
      </c>
      <c r="O2027" s="524" t="s">
        <v>1193</v>
      </c>
      <c r="P2027" s="526">
        <v>46230</v>
      </c>
      <c r="S2027" s="527">
        <v>0</v>
      </c>
    </row>
    <row r="2028" spans="1:19" x14ac:dyDescent="0.2">
      <c r="A2028" s="524">
        <v>70825</v>
      </c>
      <c r="B2028" s="526">
        <v>46230</v>
      </c>
      <c r="C2028" s="524" t="s">
        <v>1148</v>
      </c>
      <c r="D2028" s="524" t="s">
        <v>1226</v>
      </c>
      <c r="E2028" s="524" t="s">
        <v>2385</v>
      </c>
      <c r="F2028" s="524" t="s">
        <v>1170</v>
      </c>
      <c r="G2028" s="524" t="s">
        <v>1102</v>
      </c>
      <c r="H2028" s="527">
        <v>682.76</v>
      </c>
      <c r="I2028" s="524" t="s">
        <v>1148</v>
      </c>
      <c r="J2028" s="524">
        <f>IF(cmf[[#This Row],[D/C]]="C",cmf[[#This Row],[Valor]],-1*cmf[[#This Row],[Valor]])</f>
        <v>682.76</v>
      </c>
      <c r="L2028" s="524" t="s">
        <v>1230</v>
      </c>
      <c r="M2028" s="524" t="s">
        <v>1231</v>
      </c>
      <c r="N2028" s="524" t="s">
        <v>1192</v>
      </c>
      <c r="O2028" s="524" t="s">
        <v>1193</v>
      </c>
      <c r="P2028" s="526">
        <v>46230</v>
      </c>
      <c r="S2028" s="527">
        <v>0</v>
      </c>
    </row>
    <row r="2029" spans="1:19" x14ac:dyDescent="0.2">
      <c r="A2029" s="524">
        <v>70841</v>
      </c>
      <c r="B2029" s="526">
        <v>46230</v>
      </c>
      <c r="C2029" s="524" t="s">
        <v>1148</v>
      </c>
      <c r="D2029" s="524" t="s">
        <v>1186</v>
      </c>
      <c r="E2029" s="524" t="s">
        <v>2386</v>
      </c>
      <c r="F2029" s="524" t="s">
        <v>1183</v>
      </c>
      <c r="G2029" s="524" t="s">
        <v>769</v>
      </c>
      <c r="H2029" s="527">
        <v>7992.03</v>
      </c>
      <c r="I2029" s="524" t="s">
        <v>1174</v>
      </c>
      <c r="J2029" s="524">
        <f>IF(cmf[[#This Row],[D/C]]="C",cmf[[#This Row],[Valor]],-1*cmf[[#This Row],[Valor]])</f>
        <v>-7992.03</v>
      </c>
      <c r="L2029" s="524" t="s">
        <v>1188</v>
      </c>
      <c r="M2029" s="524" t="s">
        <v>1189</v>
      </c>
      <c r="N2029" s="524" t="s">
        <v>1219</v>
      </c>
      <c r="O2029" s="524" t="s">
        <v>1220</v>
      </c>
      <c r="P2029" s="526">
        <v>46230</v>
      </c>
      <c r="S2029" s="527">
        <v>0</v>
      </c>
    </row>
    <row r="2030" spans="1:19" x14ac:dyDescent="0.2">
      <c r="A2030" s="524">
        <v>70842</v>
      </c>
      <c r="B2030" s="526">
        <v>46230</v>
      </c>
      <c r="C2030" s="524" t="s">
        <v>1148</v>
      </c>
      <c r="D2030" s="524" t="s">
        <v>1186</v>
      </c>
      <c r="E2030" s="524" t="s">
        <v>2387</v>
      </c>
      <c r="F2030" s="524" t="s">
        <v>1183</v>
      </c>
      <c r="G2030" s="524" t="s">
        <v>769</v>
      </c>
      <c r="H2030" s="527">
        <v>6401.26</v>
      </c>
      <c r="I2030" s="524" t="s">
        <v>1174</v>
      </c>
      <c r="J2030" s="524">
        <f>IF(cmf[[#This Row],[D/C]]="C",cmf[[#This Row],[Valor]],-1*cmf[[#This Row],[Valor]])</f>
        <v>-6401.26</v>
      </c>
      <c r="L2030" s="524" t="s">
        <v>1188</v>
      </c>
      <c r="M2030" s="524" t="s">
        <v>1189</v>
      </c>
      <c r="N2030" s="524" t="s">
        <v>1219</v>
      </c>
      <c r="O2030" s="524" t="s">
        <v>1220</v>
      </c>
      <c r="P2030" s="526">
        <v>46230</v>
      </c>
      <c r="S2030" s="527">
        <v>0</v>
      </c>
    </row>
    <row r="2031" spans="1:19" x14ac:dyDescent="0.2">
      <c r="A2031" s="524">
        <v>70843</v>
      </c>
      <c r="B2031" s="526">
        <v>46230</v>
      </c>
      <c r="C2031" s="524" t="s">
        <v>1148</v>
      </c>
      <c r="D2031" s="524" t="s">
        <v>1186</v>
      </c>
      <c r="E2031" s="524" t="s">
        <v>2388</v>
      </c>
      <c r="F2031" s="524" t="s">
        <v>1183</v>
      </c>
      <c r="G2031" s="524" t="s">
        <v>769</v>
      </c>
      <c r="H2031" s="527">
        <v>234.36</v>
      </c>
      <c r="I2031" s="524" t="s">
        <v>1174</v>
      </c>
      <c r="J2031" s="524">
        <f>IF(cmf[[#This Row],[D/C]]="C",cmf[[#This Row],[Valor]],-1*cmf[[#This Row],[Valor]])</f>
        <v>-234.36</v>
      </c>
      <c r="L2031" s="524" t="s">
        <v>1188</v>
      </c>
      <c r="M2031" s="524" t="s">
        <v>1189</v>
      </c>
      <c r="N2031" s="524" t="s">
        <v>1219</v>
      </c>
      <c r="O2031" s="524" t="s">
        <v>1220</v>
      </c>
      <c r="P2031" s="526">
        <v>46230</v>
      </c>
      <c r="S2031" s="527">
        <v>0</v>
      </c>
    </row>
    <row r="2032" spans="1:19" x14ac:dyDescent="0.2">
      <c r="A2032" s="524">
        <v>70844</v>
      </c>
      <c r="B2032" s="526">
        <v>46230</v>
      </c>
      <c r="C2032" s="524" t="s">
        <v>1148</v>
      </c>
      <c r="D2032" s="524" t="s">
        <v>1186</v>
      </c>
      <c r="E2032" s="524" t="s">
        <v>2389</v>
      </c>
      <c r="F2032" s="524" t="s">
        <v>1183</v>
      </c>
      <c r="G2032" s="524" t="s">
        <v>769</v>
      </c>
      <c r="H2032" s="527">
        <v>13310.91</v>
      </c>
      <c r="I2032" s="524" t="s">
        <v>1174</v>
      </c>
      <c r="J2032" s="524">
        <f>IF(cmf[[#This Row],[D/C]]="C",cmf[[#This Row],[Valor]],-1*cmf[[#This Row],[Valor]])</f>
        <v>-13310.91</v>
      </c>
      <c r="L2032" s="524" t="s">
        <v>1188</v>
      </c>
      <c r="M2032" s="524" t="s">
        <v>1189</v>
      </c>
      <c r="N2032" s="524" t="s">
        <v>1219</v>
      </c>
      <c r="O2032" s="524" t="s">
        <v>1220</v>
      </c>
      <c r="P2032" s="526">
        <v>46230</v>
      </c>
      <c r="S2032" s="527">
        <v>0</v>
      </c>
    </row>
    <row r="2033" spans="1:19" x14ac:dyDescent="0.2">
      <c r="A2033" s="524">
        <v>70845</v>
      </c>
      <c r="B2033" s="526">
        <v>46230</v>
      </c>
      <c r="C2033" s="524" t="s">
        <v>1148</v>
      </c>
      <c r="D2033" s="524" t="s">
        <v>1186</v>
      </c>
      <c r="E2033" s="524" t="s">
        <v>2390</v>
      </c>
      <c r="F2033" s="524" t="s">
        <v>1183</v>
      </c>
      <c r="G2033" s="524" t="s">
        <v>769</v>
      </c>
      <c r="H2033" s="527">
        <v>9103.74</v>
      </c>
      <c r="I2033" s="524" t="s">
        <v>1174</v>
      </c>
      <c r="J2033" s="524">
        <f>IF(cmf[[#This Row],[D/C]]="C",cmf[[#This Row],[Valor]],-1*cmf[[#This Row],[Valor]])</f>
        <v>-9103.74</v>
      </c>
      <c r="L2033" s="524" t="s">
        <v>1188</v>
      </c>
      <c r="M2033" s="524" t="s">
        <v>1189</v>
      </c>
      <c r="N2033" s="524" t="s">
        <v>1219</v>
      </c>
      <c r="O2033" s="524" t="s">
        <v>1220</v>
      </c>
      <c r="P2033" s="526">
        <v>46230</v>
      </c>
      <c r="S2033" s="527">
        <v>0</v>
      </c>
    </row>
    <row r="2034" spans="1:19" x14ac:dyDescent="0.2">
      <c r="A2034" s="524">
        <v>70846</v>
      </c>
      <c r="B2034" s="526">
        <v>46230</v>
      </c>
      <c r="C2034" s="524" t="s">
        <v>1148</v>
      </c>
      <c r="D2034" s="524" t="s">
        <v>1186</v>
      </c>
      <c r="E2034" s="524" t="s">
        <v>2391</v>
      </c>
      <c r="F2034" s="524" t="s">
        <v>1183</v>
      </c>
      <c r="G2034" s="524" t="s">
        <v>769</v>
      </c>
      <c r="H2034" s="527">
        <v>1886.4</v>
      </c>
      <c r="I2034" s="524" t="s">
        <v>1174</v>
      </c>
      <c r="J2034" s="524">
        <f>IF(cmf[[#This Row],[D/C]]="C",cmf[[#This Row],[Valor]],-1*cmf[[#This Row],[Valor]])</f>
        <v>-1886.4</v>
      </c>
      <c r="L2034" s="524" t="s">
        <v>1188</v>
      </c>
      <c r="M2034" s="524" t="s">
        <v>1189</v>
      </c>
      <c r="N2034" s="524" t="s">
        <v>1219</v>
      </c>
      <c r="O2034" s="524" t="s">
        <v>1220</v>
      </c>
      <c r="P2034" s="526">
        <v>46230</v>
      </c>
      <c r="S2034" s="527">
        <v>0</v>
      </c>
    </row>
    <row r="2035" spans="1:19" x14ac:dyDescent="0.2">
      <c r="A2035" s="524">
        <v>70847</v>
      </c>
      <c r="B2035" s="526">
        <v>46230</v>
      </c>
      <c r="C2035" s="524" t="s">
        <v>1148</v>
      </c>
      <c r="D2035" s="524" t="s">
        <v>1186</v>
      </c>
      <c r="E2035" s="524" t="s">
        <v>2392</v>
      </c>
      <c r="F2035" s="524" t="s">
        <v>1183</v>
      </c>
      <c r="G2035" s="524" t="s">
        <v>769</v>
      </c>
      <c r="H2035" s="527">
        <v>124168.2</v>
      </c>
      <c r="I2035" s="524" t="s">
        <v>1174</v>
      </c>
      <c r="J2035" s="524">
        <f>IF(cmf[[#This Row],[D/C]]="C",cmf[[#This Row],[Valor]],-1*cmf[[#This Row],[Valor]])</f>
        <v>-124168.2</v>
      </c>
      <c r="L2035" s="524" t="s">
        <v>1188</v>
      </c>
      <c r="M2035" s="524" t="s">
        <v>1189</v>
      </c>
      <c r="N2035" s="524" t="s">
        <v>1219</v>
      </c>
      <c r="O2035" s="524" t="s">
        <v>1220</v>
      </c>
      <c r="P2035" s="526">
        <v>46230</v>
      </c>
      <c r="S2035" s="527">
        <v>0</v>
      </c>
    </row>
    <row r="2036" spans="1:19" x14ac:dyDescent="0.2">
      <c r="A2036" s="524">
        <v>70848</v>
      </c>
      <c r="B2036" s="526">
        <v>46230</v>
      </c>
      <c r="C2036" s="524" t="s">
        <v>1148</v>
      </c>
      <c r="D2036" s="524" t="s">
        <v>1186</v>
      </c>
      <c r="E2036" s="524" t="s">
        <v>2393</v>
      </c>
      <c r="F2036" s="524" t="s">
        <v>1183</v>
      </c>
      <c r="G2036" s="524" t="s">
        <v>769</v>
      </c>
      <c r="H2036" s="527">
        <v>1632</v>
      </c>
      <c r="I2036" s="524" t="s">
        <v>1174</v>
      </c>
      <c r="J2036" s="524">
        <f>IF(cmf[[#This Row],[D/C]]="C",cmf[[#This Row],[Valor]],-1*cmf[[#This Row],[Valor]])</f>
        <v>-1632</v>
      </c>
      <c r="L2036" s="524" t="s">
        <v>1188</v>
      </c>
      <c r="M2036" s="524" t="s">
        <v>1189</v>
      </c>
      <c r="N2036" s="524" t="s">
        <v>1219</v>
      </c>
      <c r="O2036" s="524" t="s">
        <v>1220</v>
      </c>
      <c r="P2036" s="526">
        <v>46230</v>
      </c>
      <c r="S2036" s="527">
        <v>0</v>
      </c>
    </row>
    <row r="2037" spans="1:19" x14ac:dyDescent="0.2">
      <c r="A2037" s="524">
        <v>70849</v>
      </c>
      <c r="B2037" s="526">
        <v>46230</v>
      </c>
      <c r="C2037" s="524" t="s">
        <v>1148</v>
      </c>
      <c r="D2037" s="524" t="s">
        <v>1186</v>
      </c>
      <c r="E2037" s="524" t="s">
        <v>2394</v>
      </c>
      <c r="F2037" s="524" t="s">
        <v>1183</v>
      </c>
      <c r="G2037" s="524" t="s">
        <v>769</v>
      </c>
      <c r="H2037" s="527">
        <v>122.93</v>
      </c>
      <c r="I2037" s="524" t="s">
        <v>1174</v>
      </c>
      <c r="J2037" s="524">
        <f>IF(cmf[[#This Row],[D/C]]="C",cmf[[#This Row],[Valor]],-1*cmf[[#This Row],[Valor]])</f>
        <v>-122.93</v>
      </c>
      <c r="L2037" s="524" t="s">
        <v>1188</v>
      </c>
      <c r="M2037" s="524" t="s">
        <v>1189</v>
      </c>
      <c r="N2037" s="524" t="s">
        <v>1219</v>
      </c>
      <c r="O2037" s="524" t="s">
        <v>1220</v>
      </c>
      <c r="P2037" s="526">
        <v>46230</v>
      </c>
      <c r="S2037" s="527">
        <v>0</v>
      </c>
    </row>
    <row r="2038" spans="1:19" x14ac:dyDescent="0.2">
      <c r="A2038" s="524">
        <v>70850</v>
      </c>
      <c r="B2038" s="526">
        <v>46230</v>
      </c>
      <c r="C2038" s="524" t="s">
        <v>1148</v>
      </c>
      <c r="D2038" s="524" t="s">
        <v>1186</v>
      </c>
      <c r="E2038" s="524" t="s">
        <v>2395</v>
      </c>
      <c r="F2038" s="524" t="s">
        <v>1183</v>
      </c>
      <c r="G2038" s="524" t="s">
        <v>769</v>
      </c>
      <c r="H2038" s="527">
        <v>27264.9</v>
      </c>
      <c r="I2038" s="524" t="s">
        <v>1174</v>
      </c>
      <c r="J2038" s="524">
        <f>IF(cmf[[#This Row],[D/C]]="C",cmf[[#This Row],[Valor]],-1*cmf[[#This Row],[Valor]])</f>
        <v>-27264.9</v>
      </c>
      <c r="L2038" s="524" t="s">
        <v>1188</v>
      </c>
      <c r="M2038" s="524" t="s">
        <v>1189</v>
      </c>
      <c r="N2038" s="524" t="s">
        <v>1219</v>
      </c>
      <c r="O2038" s="524" t="s">
        <v>1220</v>
      </c>
      <c r="P2038" s="526">
        <v>46230</v>
      </c>
      <c r="S2038" s="527">
        <v>0</v>
      </c>
    </row>
    <row r="2039" spans="1:19" x14ac:dyDescent="0.2">
      <c r="A2039" s="524">
        <v>70851</v>
      </c>
      <c r="B2039" s="526">
        <v>46230</v>
      </c>
      <c r="C2039" s="524" t="s">
        <v>1148</v>
      </c>
      <c r="D2039" s="524" t="s">
        <v>1186</v>
      </c>
      <c r="E2039" s="524" t="s">
        <v>2396</v>
      </c>
      <c r="F2039" s="524" t="s">
        <v>1183</v>
      </c>
      <c r="G2039" s="524" t="s">
        <v>769</v>
      </c>
      <c r="H2039" s="527">
        <v>2089.88</v>
      </c>
      <c r="I2039" s="524" t="s">
        <v>1174</v>
      </c>
      <c r="J2039" s="524">
        <f>IF(cmf[[#This Row],[D/C]]="C",cmf[[#This Row],[Valor]],-1*cmf[[#This Row],[Valor]])</f>
        <v>-2089.88</v>
      </c>
      <c r="L2039" s="524" t="s">
        <v>1188</v>
      </c>
      <c r="M2039" s="524" t="s">
        <v>1189</v>
      </c>
      <c r="N2039" s="524" t="s">
        <v>1219</v>
      </c>
      <c r="O2039" s="524" t="s">
        <v>1220</v>
      </c>
      <c r="P2039" s="526">
        <v>46230</v>
      </c>
      <c r="S2039" s="527">
        <v>0</v>
      </c>
    </row>
    <row r="2040" spans="1:19" x14ac:dyDescent="0.2">
      <c r="A2040" s="524">
        <v>70852</v>
      </c>
      <c r="B2040" s="526">
        <v>46230</v>
      </c>
      <c r="C2040" s="524" t="s">
        <v>1148</v>
      </c>
      <c r="D2040" s="524" t="s">
        <v>1186</v>
      </c>
      <c r="E2040" s="524" t="s">
        <v>2397</v>
      </c>
      <c r="F2040" s="524" t="s">
        <v>1183</v>
      </c>
      <c r="G2040" s="524" t="s">
        <v>769</v>
      </c>
      <c r="H2040" s="527">
        <v>7755</v>
      </c>
      <c r="I2040" s="524" t="s">
        <v>1174</v>
      </c>
      <c r="J2040" s="524">
        <f>IF(cmf[[#This Row],[D/C]]="C",cmf[[#This Row],[Valor]],-1*cmf[[#This Row],[Valor]])</f>
        <v>-7755</v>
      </c>
      <c r="L2040" s="524" t="s">
        <v>1188</v>
      </c>
      <c r="M2040" s="524" t="s">
        <v>1189</v>
      </c>
      <c r="N2040" s="524" t="s">
        <v>1219</v>
      </c>
      <c r="O2040" s="524" t="s">
        <v>1220</v>
      </c>
      <c r="P2040" s="526">
        <v>46230</v>
      </c>
      <c r="S2040" s="527">
        <v>0</v>
      </c>
    </row>
    <row r="2041" spans="1:19" x14ac:dyDescent="0.2">
      <c r="A2041" s="524">
        <v>70853</v>
      </c>
      <c r="B2041" s="526">
        <v>46230</v>
      </c>
      <c r="C2041" s="524" t="s">
        <v>1148</v>
      </c>
      <c r="D2041" s="524" t="s">
        <v>1186</v>
      </c>
      <c r="E2041" s="524" t="s">
        <v>2398</v>
      </c>
      <c r="F2041" s="524" t="s">
        <v>1183</v>
      </c>
      <c r="G2041" s="524" t="s">
        <v>769</v>
      </c>
      <c r="H2041" s="527">
        <v>15294.39</v>
      </c>
      <c r="I2041" s="524" t="s">
        <v>1174</v>
      </c>
      <c r="J2041" s="524">
        <f>IF(cmf[[#This Row],[D/C]]="C",cmf[[#This Row],[Valor]],-1*cmf[[#This Row],[Valor]])</f>
        <v>-15294.39</v>
      </c>
      <c r="L2041" s="524" t="s">
        <v>1188</v>
      </c>
      <c r="M2041" s="524" t="s">
        <v>1189</v>
      </c>
      <c r="N2041" s="524" t="s">
        <v>1219</v>
      </c>
      <c r="O2041" s="524" t="s">
        <v>1220</v>
      </c>
      <c r="P2041" s="526">
        <v>46230</v>
      </c>
      <c r="S2041" s="527">
        <v>0</v>
      </c>
    </row>
    <row r="2042" spans="1:19" x14ac:dyDescent="0.2">
      <c r="A2042" s="524">
        <v>70854</v>
      </c>
      <c r="B2042" s="526">
        <v>46230</v>
      </c>
      <c r="C2042" s="524" t="s">
        <v>1148</v>
      </c>
      <c r="D2042" s="524" t="s">
        <v>1186</v>
      </c>
      <c r="E2042" s="524" t="s">
        <v>2399</v>
      </c>
      <c r="F2042" s="524" t="s">
        <v>1183</v>
      </c>
      <c r="G2042" s="524" t="s">
        <v>769</v>
      </c>
      <c r="H2042" s="527">
        <v>1098</v>
      </c>
      <c r="I2042" s="524" t="s">
        <v>1174</v>
      </c>
      <c r="J2042" s="524">
        <f>IF(cmf[[#This Row],[D/C]]="C",cmf[[#This Row],[Valor]],-1*cmf[[#This Row],[Valor]])</f>
        <v>-1098</v>
      </c>
      <c r="L2042" s="524" t="s">
        <v>1188</v>
      </c>
      <c r="M2042" s="524" t="s">
        <v>1189</v>
      </c>
      <c r="N2042" s="524" t="s">
        <v>1219</v>
      </c>
      <c r="O2042" s="524" t="s">
        <v>1220</v>
      </c>
      <c r="P2042" s="526">
        <v>46230</v>
      </c>
      <c r="S2042" s="527">
        <v>0</v>
      </c>
    </row>
    <row r="2043" spans="1:19" x14ac:dyDescent="0.2">
      <c r="A2043" s="524">
        <v>70855</v>
      </c>
      <c r="B2043" s="526">
        <v>46230</v>
      </c>
      <c r="C2043" s="524" t="s">
        <v>1148</v>
      </c>
      <c r="D2043" s="524" t="s">
        <v>1186</v>
      </c>
      <c r="E2043" s="524" t="s">
        <v>2400</v>
      </c>
      <c r="F2043" s="524" t="s">
        <v>1183</v>
      </c>
      <c r="G2043" s="524" t="s">
        <v>769</v>
      </c>
      <c r="H2043" s="527">
        <v>1060</v>
      </c>
      <c r="I2043" s="524" t="s">
        <v>1174</v>
      </c>
      <c r="J2043" s="524">
        <f>IF(cmf[[#This Row],[D/C]]="C",cmf[[#This Row],[Valor]],-1*cmf[[#This Row],[Valor]])</f>
        <v>-1060</v>
      </c>
      <c r="L2043" s="524" t="s">
        <v>1188</v>
      </c>
      <c r="M2043" s="524" t="s">
        <v>1189</v>
      </c>
      <c r="N2043" s="524" t="s">
        <v>1219</v>
      </c>
      <c r="O2043" s="524" t="s">
        <v>1220</v>
      </c>
      <c r="P2043" s="526">
        <v>46230</v>
      </c>
      <c r="S2043" s="527">
        <v>0</v>
      </c>
    </row>
    <row r="2044" spans="1:19" x14ac:dyDescent="0.2">
      <c r="A2044" s="524">
        <v>70856</v>
      </c>
      <c r="B2044" s="526">
        <v>46230</v>
      </c>
      <c r="C2044" s="524" t="s">
        <v>1148</v>
      </c>
      <c r="D2044" s="524" t="s">
        <v>1186</v>
      </c>
      <c r="E2044" s="524" t="s">
        <v>2401</v>
      </c>
      <c r="F2044" s="524" t="s">
        <v>1183</v>
      </c>
      <c r="G2044" s="524" t="s">
        <v>750</v>
      </c>
      <c r="H2044" s="527">
        <v>2677.19</v>
      </c>
      <c r="I2044" s="524" t="s">
        <v>1174</v>
      </c>
      <c r="J2044" s="524">
        <f>IF(cmf[[#This Row],[D/C]]="C",cmf[[#This Row],[Valor]],-1*cmf[[#This Row],[Valor]])</f>
        <v>-2677.19</v>
      </c>
      <c r="L2044" s="524" t="s">
        <v>1188</v>
      </c>
      <c r="M2044" s="524" t="s">
        <v>1189</v>
      </c>
      <c r="N2044" s="524" t="s">
        <v>1256</v>
      </c>
      <c r="O2044" s="524" t="s">
        <v>1257</v>
      </c>
      <c r="P2044" s="526">
        <v>46230</v>
      </c>
      <c r="S2044" s="527">
        <v>0</v>
      </c>
    </row>
    <row r="2045" spans="1:19" x14ac:dyDescent="0.2">
      <c r="A2045" s="524">
        <v>70858</v>
      </c>
      <c r="B2045" s="526">
        <v>46230</v>
      </c>
      <c r="C2045" s="524" t="s">
        <v>1148</v>
      </c>
      <c r="D2045" s="524" t="s">
        <v>1186</v>
      </c>
      <c r="E2045" s="524" t="s">
        <v>2402</v>
      </c>
      <c r="F2045" s="524" t="s">
        <v>1183</v>
      </c>
      <c r="G2045" s="524" t="s">
        <v>742</v>
      </c>
      <c r="H2045" s="527">
        <v>73424.67</v>
      </c>
      <c r="I2045" s="524" t="s">
        <v>1174</v>
      </c>
      <c r="J2045" s="524">
        <f>IF(cmf[[#This Row],[D/C]]="C",cmf[[#This Row],[Valor]],-1*cmf[[#This Row],[Valor]])</f>
        <v>-73424.67</v>
      </c>
      <c r="L2045" s="524" t="s">
        <v>1188</v>
      </c>
      <c r="M2045" s="524" t="s">
        <v>1189</v>
      </c>
      <c r="N2045" s="524" t="s">
        <v>1215</v>
      </c>
      <c r="O2045" s="524" t="s">
        <v>1218</v>
      </c>
      <c r="P2045" s="526">
        <v>46230</v>
      </c>
      <c r="S2045" s="527">
        <v>0</v>
      </c>
    </row>
    <row r="2046" spans="1:19" x14ac:dyDescent="0.2">
      <c r="A2046" s="524">
        <v>70859</v>
      </c>
      <c r="B2046" s="526">
        <v>46230</v>
      </c>
      <c r="C2046" s="524" t="s">
        <v>1148</v>
      </c>
      <c r="D2046" s="524" t="s">
        <v>1186</v>
      </c>
      <c r="E2046" s="524" t="s">
        <v>2403</v>
      </c>
      <c r="F2046" s="524" t="s">
        <v>1183</v>
      </c>
      <c r="G2046" s="524" t="s">
        <v>742</v>
      </c>
      <c r="H2046" s="527">
        <v>191.84</v>
      </c>
      <c r="I2046" s="524" t="s">
        <v>1174</v>
      </c>
      <c r="J2046" s="524">
        <f>IF(cmf[[#This Row],[D/C]]="C",cmf[[#This Row],[Valor]],-1*cmf[[#This Row],[Valor]])</f>
        <v>-191.84</v>
      </c>
      <c r="L2046" s="524" t="s">
        <v>1188</v>
      </c>
      <c r="M2046" s="524" t="s">
        <v>1189</v>
      </c>
      <c r="N2046" s="524" t="s">
        <v>1215</v>
      </c>
      <c r="O2046" s="524" t="s">
        <v>1218</v>
      </c>
      <c r="P2046" s="526">
        <v>46230</v>
      </c>
      <c r="S2046" s="527">
        <v>0</v>
      </c>
    </row>
    <row r="2047" spans="1:19" x14ac:dyDescent="0.2">
      <c r="A2047" s="524">
        <v>70860</v>
      </c>
      <c r="B2047" s="526">
        <v>46230</v>
      </c>
      <c r="C2047" s="524" t="s">
        <v>1148</v>
      </c>
      <c r="D2047" s="524" t="s">
        <v>1186</v>
      </c>
      <c r="E2047" s="524" t="s">
        <v>2404</v>
      </c>
      <c r="F2047" s="524" t="s">
        <v>1183</v>
      </c>
      <c r="G2047" s="524" t="s">
        <v>742</v>
      </c>
      <c r="H2047" s="527">
        <v>3368.22</v>
      </c>
      <c r="I2047" s="524" t="s">
        <v>1174</v>
      </c>
      <c r="J2047" s="524">
        <f>IF(cmf[[#This Row],[D/C]]="C",cmf[[#This Row],[Valor]],-1*cmf[[#This Row],[Valor]])</f>
        <v>-3368.22</v>
      </c>
      <c r="L2047" s="524" t="s">
        <v>1188</v>
      </c>
      <c r="M2047" s="524" t="s">
        <v>1189</v>
      </c>
      <c r="N2047" s="524" t="s">
        <v>1215</v>
      </c>
      <c r="O2047" s="524" t="s">
        <v>1218</v>
      </c>
      <c r="P2047" s="526">
        <v>46230</v>
      </c>
      <c r="S2047" s="527">
        <v>0</v>
      </c>
    </row>
    <row r="2048" spans="1:19" x14ac:dyDescent="0.2">
      <c r="A2048" s="524">
        <v>70861</v>
      </c>
      <c r="B2048" s="526">
        <v>46230</v>
      </c>
      <c r="C2048" s="524" t="s">
        <v>1148</v>
      </c>
      <c r="D2048" s="524" t="s">
        <v>1186</v>
      </c>
      <c r="E2048" s="524" t="s">
        <v>2405</v>
      </c>
      <c r="F2048" s="524" t="s">
        <v>1183</v>
      </c>
      <c r="G2048" s="524" t="s">
        <v>742</v>
      </c>
      <c r="H2048" s="527">
        <v>3500</v>
      </c>
      <c r="I2048" s="524" t="s">
        <v>1174</v>
      </c>
      <c r="J2048" s="524">
        <f>IF(cmf[[#This Row],[D/C]]="C",cmf[[#This Row],[Valor]],-1*cmf[[#This Row],[Valor]])</f>
        <v>-3500</v>
      </c>
      <c r="L2048" s="524" t="s">
        <v>1188</v>
      </c>
      <c r="M2048" s="524" t="s">
        <v>1189</v>
      </c>
      <c r="N2048" s="524" t="s">
        <v>1215</v>
      </c>
      <c r="O2048" s="524" t="s">
        <v>1218</v>
      </c>
      <c r="P2048" s="526">
        <v>46230</v>
      </c>
      <c r="S2048" s="527">
        <v>0</v>
      </c>
    </row>
    <row r="2049" spans="1:19" x14ac:dyDescent="0.2">
      <c r="A2049" s="524">
        <v>70862</v>
      </c>
      <c r="B2049" s="526">
        <v>46230</v>
      </c>
      <c r="C2049" s="524" t="s">
        <v>1148</v>
      </c>
      <c r="D2049" s="524" t="s">
        <v>1186</v>
      </c>
      <c r="E2049" s="524" t="s">
        <v>2406</v>
      </c>
      <c r="F2049" s="524" t="s">
        <v>1183</v>
      </c>
      <c r="G2049" s="524" t="s">
        <v>742</v>
      </c>
      <c r="H2049" s="527">
        <v>3000</v>
      </c>
      <c r="I2049" s="524" t="s">
        <v>1174</v>
      </c>
      <c r="J2049" s="524">
        <f>IF(cmf[[#This Row],[D/C]]="C",cmf[[#This Row],[Valor]],-1*cmf[[#This Row],[Valor]])</f>
        <v>-3000</v>
      </c>
      <c r="L2049" s="524" t="s">
        <v>1188</v>
      </c>
      <c r="M2049" s="524" t="s">
        <v>1189</v>
      </c>
      <c r="N2049" s="524" t="s">
        <v>1215</v>
      </c>
      <c r="O2049" s="524" t="s">
        <v>1218</v>
      </c>
      <c r="P2049" s="526">
        <v>46230</v>
      </c>
      <c r="S2049" s="527">
        <v>0</v>
      </c>
    </row>
    <row r="2050" spans="1:19" x14ac:dyDescent="0.2">
      <c r="A2050" s="524">
        <v>70863</v>
      </c>
      <c r="B2050" s="526">
        <v>46230</v>
      </c>
      <c r="C2050" s="524" t="s">
        <v>1148</v>
      </c>
      <c r="D2050" s="524" t="s">
        <v>1186</v>
      </c>
      <c r="E2050" s="524" t="s">
        <v>2407</v>
      </c>
      <c r="F2050" s="524" t="s">
        <v>1183</v>
      </c>
      <c r="G2050" s="524" t="s">
        <v>742</v>
      </c>
      <c r="H2050" s="527">
        <v>1663.95</v>
      </c>
      <c r="I2050" s="524" t="s">
        <v>1174</v>
      </c>
      <c r="J2050" s="524">
        <f>IF(cmf[[#This Row],[D/C]]="C",cmf[[#This Row],[Valor]],-1*cmf[[#This Row],[Valor]])</f>
        <v>-1663.95</v>
      </c>
      <c r="L2050" s="524" t="s">
        <v>1188</v>
      </c>
      <c r="M2050" s="524" t="s">
        <v>1189</v>
      </c>
      <c r="N2050" s="524" t="s">
        <v>1215</v>
      </c>
      <c r="O2050" s="524" t="s">
        <v>1218</v>
      </c>
      <c r="P2050" s="526">
        <v>46230</v>
      </c>
      <c r="S2050" s="527">
        <v>0</v>
      </c>
    </row>
    <row r="2051" spans="1:19" x14ac:dyDescent="0.2">
      <c r="A2051" s="524">
        <v>70864</v>
      </c>
      <c r="B2051" s="526">
        <v>46230</v>
      </c>
      <c r="C2051" s="524" t="s">
        <v>1148</v>
      </c>
      <c r="D2051" s="524" t="s">
        <v>1186</v>
      </c>
      <c r="E2051" s="524" t="s">
        <v>2408</v>
      </c>
      <c r="F2051" s="524" t="s">
        <v>1183</v>
      </c>
      <c r="G2051" s="524" t="s">
        <v>742</v>
      </c>
      <c r="H2051" s="527">
        <v>489.6</v>
      </c>
      <c r="I2051" s="524" t="s">
        <v>1174</v>
      </c>
      <c r="J2051" s="524">
        <f>IF(cmf[[#This Row],[D/C]]="C",cmf[[#This Row],[Valor]],-1*cmf[[#This Row],[Valor]])</f>
        <v>-489.6</v>
      </c>
      <c r="L2051" s="524" t="s">
        <v>1188</v>
      </c>
      <c r="M2051" s="524" t="s">
        <v>1189</v>
      </c>
      <c r="N2051" s="524" t="s">
        <v>1215</v>
      </c>
      <c r="O2051" s="524" t="s">
        <v>1218</v>
      </c>
      <c r="P2051" s="526">
        <v>46230</v>
      </c>
      <c r="S2051" s="527">
        <v>0</v>
      </c>
    </row>
    <row r="2052" spans="1:19" x14ac:dyDescent="0.2">
      <c r="A2052" s="524">
        <v>70865</v>
      </c>
      <c r="B2052" s="526">
        <v>46230</v>
      </c>
      <c r="C2052" s="524" t="s">
        <v>1148</v>
      </c>
      <c r="D2052" s="524" t="s">
        <v>1186</v>
      </c>
      <c r="E2052" s="524" t="s">
        <v>2409</v>
      </c>
      <c r="F2052" s="524" t="s">
        <v>1183</v>
      </c>
      <c r="G2052" s="524" t="s">
        <v>742</v>
      </c>
      <c r="H2052" s="527">
        <v>69.83</v>
      </c>
      <c r="I2052" s="524" t="s">
        <v>1174</v>
      </c>
      <c r="J2052" s="524">
        <f>IF(cmf[[#This Row],[D/C]]="C",cmf[[#This Row],[Valor]],-1*cmf[[#This Row],[Valor]])</f>
        <v>-69.83</v>
      </c>
      <c r="L2052" s="524" t="s">
        <v>1188</v>
      </c>
      <c r="M2052" s="524" t="s">
        <v>1189</v>
      </c>
      <c r="N2052" s="524" t="s">
        <v>1215</v>
      </c>
      <c r="O2052" s="524" t="s">
        <v>1218</v>
      </c>
      <c r="P2052" s="526">
        <v>46230</v>
      </c>
      <c r="S2052" s="527">
        <v>0</v>
      </c>
    </row>
    <row r="2053" spans="1:19" x14ac:dyDescent="0.2">
      <c r="A2053" s="524">
        <v>70866</v>
      </c>
      <c r="B2053" s="526">
        <v>46230</v>
      </c>
      <c r="C2053" s="524" t="s">
        <v>1148</v>
      </c>
      <c r="D2053" s="524" t="s">
        <v>1186</v>
      </c>
      <c r="E2053" s="524" t="s">
        <v>2410</v>
      </c>
      <c r="F2053" s="524" t="s">
        <v>1183</v>
      </c>
      <c r="G2053" s="524" t="s">
        <v>742</v>
      </c>
      <c r="H2053" s="527">
        <v>2383.75</v>
      </c>
      <c r="I2053" s="524" t="s">
        <v>1174</v>
      </c>
      <c r="J2053" s="524">
        <f>IF(cmf[[#This Row],[D/C]]="C",cmf[[#This Row],[Valor]],-1*cmf[[#This Row],[Valor]])</f>
        <v>-2383.75</v>
      </c>
      <c r="L2053" s="524" t="s">
        <v>1188</v>
      </c>
      <c r="M2053" s="524" t="s">
        <v>1189</v>
      </c>
      <c r="N2053" s="524" t="s">
        <v>1215</v>
      </c>
      <c r="O2053" s="524" t="s">
        <v>1218</v>
      </c>
      <c r="P2053" s="526">
        <v>46230</v>
      </c>
      <c r="S2053" s="527">
        <v>0</v>
      </c>
    </row>
    <row r="2054" spans="1:19" x14ac:dyDescent="0.2">
      <c r="A2054" s="524">
        <v>70867</v>
      </c>
      <c r="B2054" s="526">
        <v>46230</v>
      </c>
      <c r="C2054" s="524" t="s">
        <v>1148</v>
      </c>
      <c r="D2054" s="524" t="s">
        <v>1186</v>
      </c>
      <c r="E2054" s="524" t="s">
        <v>2411</v>
      </c>
      <c r="F2054" s="524" t="s">
        <v>1183</v>
      </c>
      <c r="G2054" s="524" t="s">
        <v>742</v>
      </c>
      <c r="H2054" s="527">
        <v>2227.75</v>
      </c>
      <c r="I2054" s="524" t="s">
        <v>1174</v>
      </c>
      <c r="J2054" s="524">
        <f>IF(cmf[[#This Row],[D/C]]="C",cmf[[#This Row],[Valor]],-1*cmf[[#This Row],[Valor]])</f>
        <v>-2227.75</v>
      </c>
      <c r="L2054" s="524" t="s">
        <v>1188</v>
      </c>
      <c r="M2054" s="524" t="s">
        <v>1189</v>
      </c>
      <c r="N2054" s="524" t="s">
        <v>1215</v>
      </c>
      <c r="O2054" s="524" t="s">
        <v>1218</v>
      </c>
      <c r="P2054" s="526">
        <v>46230</v>
      </c>
      <c r="S2054" s="527">
        <v>0</v>
      </c>
    </row>
    <row r="2055" spans="1:19" x14ac:dyDescent="0.2">
      <c r="A2055" s="524">
        <v>70868</v>
      </c>
      <c r="B2055" s="526">
        <v>46230</v>
      </c>
      <c r="C2055" s="524" t="s">
        <v>1148</v>
      </c>
      <c r="D2055" s="524" t="s">
        <v>1186</v>
      </c>
      <c r="E2055" s="524" t="s">
        <v>2412</v>
      </c>
      <c r="F2055" s="524" t="s">
        <v>1183</v>
      </c>
      <c r="G2055" s="524" t="s">
        <v>742</v>
      </c>
      <c r="H2055" s="527">
        <v>4100.87</v>
      </c>
      <c r="I2055" s="524" t="s">
        <v>1174</v>
      </c>
      <c r="J2055" s="524">
        <f>IF(cmf[[#This Row],[D/C]]="C",cmf[[#This Row],[Valor]],-1*cmf[[#This Row],[Valor]])</f>
        <v>-4100.87</v>
      </c>
      <c r="L2055" s="524" t="s">
        <v>1188</v>
      </c>
      <c r="M2055" s="524" t="s">
        <v>1189</v>
      </c>
      <c r="N2055" s="524" t="s">
        <v>1215</v>
      </c>
      <c r="O2055" s="524" t="s">
        <v>1218</v>
      </c>
      <c r="P2055" s="526">
        <v>46230</v>
      </c>
      <c r="S2055" s="527">
        <v>0</v>
      </c>
    </row>
    <row r="2056" spans="1:19" x14ac:dyDescent="0.2">
      <c r="A2056" s="524">
        <v>70869</v>
      </c>
      <c r="B2056" s="526">
        <v>46230</v>
      </c>
      <c r="C2056" s="524" t="s">
        <v>1148</v>
      </c>
      <c r="D2056" s="524" t="s">
        <v>1186</v>
      </c>
      <c r="E2056" s="524" t="s">
        <v>2413</v>
      </c>
      <c r="F2056" s="524" t="s">
        <v>1183</v>
      </c>
      <c r="G2056" s="524" t="s">
        <v>742</v>
      </c>
      <c r="H2056" s="527">
        <v>1689.76</v>
      </c>
      <c r="I2056" s="524" t="s">
        <v>1174</v>
      </c>
      <c r="J2056" s="524">
        <f>IF(cmf[[#This Row],[D/C]]="C",cmf[[#This Row],[Valor]],-1*cmf[[#This Row],[Valor]])</f>
        <v>-1689.76</v>
      </c>
      <c r="L2056" s="524" t="s">
        <v>1188</v>
      </c>
      <c r="M2056" s="524" t="s">
        <v>1189</v>
      </c>
      <c r="N2056" s="524" t="s">
        <v>1215</v>
      </c>
      <c r="O2056" s="524" t="s">
        <v>1218</v>
      </c>
      <c r="P2056" s="526">
        <v>46230</v>
      </c>
      <c r="S2056" s="527">
        <v>0</v>
      </c>
    </row>
    <row r="2057" spans="1:19" x14ac:dyDescent="0.2">
      <c r="A2057" s="524">
        <v>70870</v>
      </c>
      <c r="B2057" s="526">
        <v>46230</v>
      </c>
      <c r="C2057" s="524" t="s">
        <v>1148</v>
      </c>
      <c r="D2057" s="524" t="s">
        <v>1186</v>
      </c>
      <c r="E2057" s="524" t="s">
        <v>2414</v>
      </c>
      <c r="F2057" s="524" t="s">
        <v>1183</v>
      </c>
      <c r="G2057" s="524" t="s">
        <v>742</v>
      </c>
      <c r="H2057" s="527">
        <v>2813.97</v>
      </c>
      <c r="I2057" s="524" t="s">
        <v>1174</v>
      </c>
      <c r="J2057" s="524">
        <f>IF(cmf[[#This Row],[D/C]]="C",cmf[[#This Row],[Valor]],-1*cmf[[#This Row],[Valor]])</f>
        <v>-2813.97</v>
      </c>
      <c r="L2057" s="524" t="s">
        <v>1188</v>
      </c>
      <c r="M2057" s="524" t="s">
        <v>1189</v>
      </c>
      <c r="N2057" s="524" t="s">
        <v>1215</v>
      </c>
      <c r="O2057" s="524" t="s">
        <v>1218</v>
      </c>
      <c r="P2057" s="526">
        <v>46230</v>
      </c>
      <c r="S2057" s="527">
        <v>0</v>
      </c>
    </row>
    <row r="2058" spans="1:19" x14ac:dyDescent="0.2">
      <c r="A2058" s="524">
        <v>70871</v>
      </c>
      <c r="B2058" s="526">
        <v>46230</v>
      </c>
      <c r="C2058" s="524" t="s">
        <v>1148</v>
      </c>
      <c r="D2058" s="524" t="s">
        <v>1186</v>
      </c>
      <c r="E2058" s="524" t="s">
        <v>2415</v>
      </c>
      <c r="F2058" s="524" t="s">
        <v>1183</v>
      </c>
      <c r="G2058" s="524" t="s">
        <v>742</v>
      </c>
      <c r="H2058" s="527">
        <v>260.13</v>
      </c>
      <c r="I2058" s="524" t="s">
        <v>1174</v>
      </c>
      <c r="J2058" s="524">
        <f>IF(cmf[[#This Row],[D/C]]="C",cmf[[#This Row],[Valor]],-1*cmf[[#This Row],[Valor]])</f>
        <v>-260.13</v>
      </c>
      <c r="L2058" s="524" t="s">
        <v>1188</v>
      </c>
      <c r="M2058" s="524" t="s">
        <v>1189</v>
      </c>
      <c r="N2058" s="524" t="s">
        <v>1215</v>
      </c>
      <c r="O2058" s="524" t="s">
        <v>1218</v>
      </c>
      <c r="P2058" s="526">
        <v>46230</v>
      </c>
      <c r="S2058" s="527">
        <v>0</v>
      </c>
    </row>
    <row r="2059" spans="1:19" x14ac:dyDescent="0.2">
      <c r="A2059" s="524">
        <v>70872</v>
      </c>
      <c r="B2059" s="526">
        <v>46230</v>
      </c>
      <c r="C2059" s="524" t="s">
        <v>1148</v>
      </c>
      <c r="D2059" s="524" t="s">
        <v>1186</v>
      </c>
      <c r="E2059" s="524" t="s">
        <v>2416</v>
      </c>
      <c r="F2059" s="524" t="s">
        <v>1183</v>
      </c>
      <c r="G2059" s="524" t="s">
        <v>742</v>
      </c>
      <c r="H2059" s="527">
        <v>149.99</v>
      </c>
      <c r="I2059" s="524" t="s">
        <v>1174</v>
      </c>
      <c r="J2059" s="524">
        <f>IF(cmf[[#This Row],[D/C]]="C",cmf[[#This Row],[Valor]],-1*cmf[[#This Row],[Valor]])</f>
        <v>-149.99</v>
      </c>
      <c r="L2059" s="524" t="s">
        <v>1188</v>
      </c>
      <c r="M2059" s="524" t="s">
        <v>1189</v>
      </c>
      <c r="N2059" s="524" t="s">
        <v>1215</v>
      </c>
      <c r="O2059" s="524" t="s">
        <v>1218</v>
      </c>
      <c r="P2059" s="526">
        <v>46230</v>
      </c>
      <c r="S2059" s="527">
        <v>0</v>
      </c>
    </row>
    <row r="2060" spans="1:19" x14ac:dyDescent="0.2">
      <c r="A2060" s="524">
        <v>70873</v>
      </c>
      <c r="B2060" s="526">
        <v>46230</v>
      </c>
      <c r="C2060" s="524" t="s">
        <v>1148</v>
      </c>
      <c r="D2060" s="524" t="s">
        <v>1186</v>
      </c>
      <c r="E2060" s="524" t="s">
        <v>2417</v>
      </c>
      <c r="F2060" s="524" t="s">
        <v>1183</v>
      </c>
      <c r="G2060" s="524" t="s">
        <v>742</v>
      </c>
      <c r="H2060" s="527">
        <v>121.92</v>
      </c>
      <c r="I2060" s="524" t="s">
        <v>1174</v>
      </c>
      <c r="J2060" s="524">
        <f>IF(cmf[[#This Row],[D/C]]="C",cmf[[#This Row],[Valor]],-1*cmf[[#This Row],[Valor]])</f>
        <v>-121.92</v>
      </c>
      <c r="L2060" s="524" t="s">
        <v>1188</v>
      </c>
      <c r="M2060" s="524" t="s">
        <v>1189</v>
      </c>
      <c r="N2060" s="524" t="s">
        <v>1215</v>
      </c>
      <c r="O2060" s="524" t="s">
        <v>1218</v>
      </c>
      <c r="P2060" s="526">
        <v>46230</v>
      </c>
      <c r="S2060" s="527">
        <v>0</v>
      </c>
    </row>
    <row r="2061" spans="1:19" x14ac:dyDescent="0.2">
      <c r="A2061" s="524">
        <v>70874</v>
      </c>
      <c r="B2061" s="526">
        <v>46230</v>
      </c>
      <c r="C2061" s="524" t="s">
        <v>1148</v>
      </c>
      <c r="D2061" s="524" t="s">
        <v>1186</v>
      </c>
      <c r="E2061" s="524" t="s">
        <v>2418</v>
      </c>
      <c r="F2061" s="524" t="s">
        <v>1183</v>
      </c>
      <c r="G2061" s="524" t="s">
        <v>742</v>
      </c>
      <c r="H2061" s="527">
        <v>3109.41</v>
      </c>
      <c r="I2061" s="524" t="s">
        <v>1174</v>
      </c>
      <c r="J2061" s="524">
        <f>IF(cmf[[#This Row],[D/C]]="C",cmf[[#This Row],[Valor]],-1*cmf[[#This Row],[Valor]])</f>
        <v>-3109.41</v>
      </c>
      <c r="L2061" s="524" t="s">
        <v>1188</v>
      </c>
      <c r="M2061" s="524" t="s">
        <v>1189</v>
      </c>
      <c r="N2061" s="524" t="s">
        <v>1215</v>
      </c>
      <c r="O2061" s="524" t="s">
        <v>1218</v>
      </c>
      <c r="P2061" s="526">
        <v>46230</v>
      </c>
      <c r="S2061" s="527">
        <v>0</v>
      </c>
    </row>
    <row r="2062" spans="1:19" x14ac:dyDescent="0.2">
      <c r="A2062" s="524">
        <v>70875</v>
      </c>
      <c r="B2062" s="526">
        <v>46230</v>
      </c>
      <c r="C2062" s="524" t="s">
        <v>1148</v>
      </c>
      <c r="D2062" s="524" t="s">
        <v>1186</v>
      </c>
      <c r="E2062" s="524" t="s">
        <v>2419</v>
      </c>
      <c r="F2062" s="524" t="s">
        <v>1183</v>
      </c>
      <c r="G2062" s="524" t="s">
        <v>742</v>
      </c>
      <c r="H2062" s="527">
        <v>4605.92</v>
      </c>
      <c r="I2062" s="524" t="s">
        <v>1174</v>
      </c>
      <c r="J2062" s="524">
        <f>IF(cmf[[#This Row],[D/C]]="C",cmf[[#This Row],[Valor]],-1*cmf[[#This Row],[Valor]])</f>
        <v>-4605.92</v>
      </c>
      <c r="L2062" s="524" t="s">
        <v>1188</v>
      </c>
      <c r="M2062" s="524" t="s">
        <v>1189</v>
      </c>
      <c r="N2062" s="524" t="s">
        <v>1215</v>
      </c>
      <c r="O2062" s="524" t="s">
        <v>1218</v>
      </c>
      <c r="P2062" s="526">
        <v>46230</v>
      </c>
      <c r="S2062" s="527">
        <v>0</v>
      </c>
    </row>
    <row r="2063" spans="1:19" x14ac:dyDescent="0.2">
      <c r="A2063" s="524">
        <v>70876</v>
      </c>
      <c r="B2063" s="526">
        <v>46230</v>
      </c>
      <c r="C2063" s="524" t="s">
        <v>1148</v>
      </c>
      <c r="D2063" s="524" t="s">
        <v>1186</v>
      </c>
      <c r="E2063" s="524" t="s">
        <v>2420</v>
      </c>
      <c r="F2063" s="524" t="s">
        <v>1183</v>
      </c>
      <c r="G2063" s="524" t="s">
        <v>742</v>
      </c>
      <c r="H2063" s="527">
        <v>530.58000000000004</v>
      </c>
      <c r="I2063" s="524" t="s">
        <v>1174</v>
      </c>
      <c r="J2063" s="524">
        <f>IF(cmf[[#This Row],[D/C]]="C",cmf[[#This Row],[Valor]],-1*cmf[[#This Row],[Valor]])</f>
        <v>-530.58000000000004</v>
      </c>
      <c r="L2063" s="524" t="s">
        <v>1188</v>
      </c>
      <c r="M2063" s="524" t="s">
        <v>1189</v>
      </c>
      <c r="N2063" s="524" t="s">
        <v>1215</v>
      </c>
      <c r="O2063" s="524" t="s">
        <v>1218</v>
      </c>
      <c r="P2063" s="526">
        <v>46230</v>
      </c>
      <c r="S2063" s="527">
        <v>0</v>
      </c>
    </row>
    <row r="2064" spans="1:19" x14ac:dyDescent="0.2">
      <c r="A2064" s="524">
        <v>70877</v>
      </c>
      <c r="B2064" s="526">
        <v>46230</v>
      </c>
      <c r="C2064" s="524" t="s">
        <v>1148</v>
      </c>
      <c r="D2064" s="524" t="s">
        <v>1186</v>
      </c>
      <c r="E2064" s="524" t="s">
        <v>2421</v>
      </c>
      <c r="F2064" s="524" t="s">
        <v>1183</v>
      </c>
      <c r="G2064" s="524" t="s">
        <v>800</v>
      </c>
      <c r="H2064" s="527">
        <v>2211.6999999999998</v>
      </c>
      <c r="I2064" s="524" t="s">
        <v>1174</v>
      </c>
      <c r="J2064" s="524">
        <f>IF(cmf[[#This Row],[D/C]]="C",cmf[[#This Row],[Valor]],-1*cmf[[#This Row],[Valor]])</f>
        <v>-2211.6999999999998</v>
      </c>
      <c r="L2064" s="524" t="s">
        <v>1188</v>
      </c>
      <c r="M2064" s="524" t="s">
        <v>1189</v>
      </c>
      <c r="N2064" s="524" t="s">
        <v>1171</v>
      </c>
      <c r="O2064" s="524" t="s">
        <v>1172</v>
      </c>
      <c r="P2064" s="526">
        <v>46230</v>
      </c>
      <c r="S2064" s="527">
        <v>0</v>
      </c>
    </row>
    <row r="2065" spans="1:19" x14ac:dyDescent="0.2">
      <c r="A2065" s="524">
        <v>70878</v>
      </c>
      <c r="B2065" s="526">
        <v>46230</v>
      </c>
      <c r="C2065" s="524" t="s">
        <v>1148</v>
      </c>
      <c r="D2065" s="524" t="s">
        <v>1186</v>
      </c>
      <c r="E2065" s="524" t="s">
        <v>2422</v>
      </c>
      <c r="F2065" s="524" t="s">
        <v>1183</v>
      </c>
      <c r="G2065" s="524" t="s">
        <v>800</v>
      </c>
      <c r="H2065" s="527">
        <v>11184.49</v>
      </c>
      <c r="I2065" s="524" t="s">
        <v>1174</v>
      </c>
      <c r="J2065" s="524">
        <f>IF(cmf[[#This Row],[D/C]]="C",cmf[[#This Row],[Valor]],-1*cmf[[#This Row],[Valor]])</f>
        <v>-11184.49</v>
      </c>
      <c r="L2065" s="524" t="s">
        <v>1188</v>
      </c>
      <c r="M2065" s="524" t="s">
        <v>1189</v>
      </c>
      <c r="N2065" s="524" t="s">
        <v>1171</v>
      </c>
      <c r="O2065" s="524" t="s">
        <v>1172</v>
      </c>
      <c r="P2065" s="526">
        <v>46230</v>
      </c>
      <c r="S2065" s="527">
        <v>0</v>
      </c>
    </row>
    <row r="2066" spans="1:19" x14ac:dyDescent="0.2">
      <c r="A2066" s="524">
        <v>70879</v>
      </c>
      <c r="B2066" s="526">
        <v>46230</v>
      </c>
      <c r="C2066" s="524" t="s">
        <v>1148</v>
      </c>
      <c r="D2066" s="524" t="s">
        <v>1186</v>
      </c>
      <c r="E2066" s="524" t="s">
        <v>2423</v>
      </c>
      <c r="F2066" s="524" t="s">
        <v>1183</v>
      </c>
      <c r="G2066" s="524" t="s">
        <v>800</v>
      </c>
      <c r="H2066" s="527">
        <v>11404.42</v>
      </c>
      <c r="I2066" s="524" t="s">
        <v>1174</v>
      </c>
      <c r="J2066" s="524">
        <f>IF(cmf[[#This Row],[D/C]]="C",cmf[[#This Row],[Valor]],-1*cmf[[#This Row],[Valor]])</f>
        <v>-11404.42</v>
      </c>
      <c r="L2066" s="524" t="s">
        <v>1188</v>
      </c>
      <c r="M2066" s="524" t="s">
        <v>1189</v>
      </c>
      <c r="N2066" s="524" t="s">
        <v>1171</v>
      </c>
      <c r="O2066" s="524" t="s">
        <v>1172</v>
      </c>
      <c r="P2066" s="526">
        <v>46230</v>
      </c>
      <c r="S2066" s="527">
        <v>0</v>
      </c>
    </row>
    <row r="2067" spans="1:19" x14ac:dyDescent="0.2">
      <c r="A2067" s="524">
        <v>70880</v>
      </c>
      <c r="B2067" s="526">
        <v>46230</v>
      </c>
      <c r="C2067" s="524" t="s">
        <v>1148</v>
      </c>
      <c r="D2067" s="524" t="s">
        <v>1186</v>
      </c>
      <c r="E2067" s="524" t="s">
        <v>2424</v>
      </c>
      <c r="F2067" s="524" t="s">
        <v>1183</v>
      </c>
      <c r="G2067" s="524" t="s">
        <v>800</v>
      </c>
      <c r="H2067" s="527">
        <v>2449.6999999999998</v>
      </c>
      <c r="I2067" s="524" t="s">
        <v>1174</v>
      </c>
      <c r="J2067" s="524">
        <f>IF(cmf[[#This Row],[D/C]]="C",cmf[[#This Row],[Valor]],-1*cmf[[#This Row],[Valor]])</f>
        <v>-2449.6999999999998</v>
      </c>
      <c r="L2067" s="524" t="s">
        <v>1188</v>
      </c>
      <c r="M2067" s="524" t="s">
        <v>1189</v>
      </c>
      <c r="N2067" s="524" t="s">
        <v>1171</v>
      </c>
      <c r="O2067" s="524" t="s">
        <v>1172</v>
      </c>
      <c r="P2067" s="526">
        <v>46230</v>
      </c>
      <c r="S2067" s="527">
        <v>0</v>
      </c>
    </row>
    <row r="2068" spans="1:19" x14ac:dyDescent="0.2">
      <c r="A2068" s="524">
        <v>70881</v>
      </c>
      <c r="B2068" s="526">
        <v>46230</v>
      </c>
      <c r="C2068" s="524" t="s">
        <v>1148</v>
      </c>
      <c r="D2068" s="524" t="s">
        <v>1186</v>
      </c>
      <c r="E2068" s="524" t="s">
        <v>2425</v>
      </c>
      <c r="F2068" s="524" t="s">
        <v>1183</v>
      </c>
      <c r="G2068" s="524" t="s">
        <v>800</v>
      </c>
      <c r="H2068" s="527">
        <v>3485</v>
      </c>
      <c r="I2068" s="524" t="s">
        <v>1174</v>
      </c>
      <c r="J2068" s="524">
        <f>IF(cmf[[#This Row],[D/C]]="C",cmf[[#This Row],[Valor]],-1*cmf[[#This Row],[Valor]])</f>
        <v>-3485</v>
      </c>
      <c r="L2068" s="524" t="s">
        <v>1188</v>
      </c>
      <c r="M2068" s="524" t="s">
        <v>1189</v>
      </c>
      <c r="N2068" s="524" t="s">
        <v>1171</v>
      </c>
      <c r="O2068" s="524" t="s">
        <v>1172</v>
      </c>
      <c r="P2068" s="526">
        <v>46230</v>
      </c>
      <c r="S2068" s="527">
        <v>0</v>
      </c>
    </row>
    <row r="2069" spans="1:19" x14ac:dyDescent="0.2">
      <c r="A2069" s="524">
        <v>70882</v>
      </c>
      <c r="B2069" s="526">
        <v>46230</v>
      </c>
      <c r="C2069" s="524" t="s">
        <v>1148</v>
      </c>
      <c r="D2069" s="524" t="s">
        <v>1186</v>
      </c>
      <c r="E2069" s="524" t="s">
        <v>2426</v>
      </c>
      <c r="F2069" s="524" t="s">
        <v>1183</v>
      </c>
      <c r="G2069" s="524" t="s">
        <v>800</v>
      </c>
      <c r="H2069" s="527">
        <v>80206.080000000002</v>
      </c>
      <c r="I2069" s="524" t="s">
        <v>1174</v>
      </c>
      <c r="J2069" s="524">
        <f>IF(cmf[[#This Row],[D/C]]="C",cmf[[#This Row],[Valor]],-1*cmf[[#This Row],[Valor]])</f>
        <v>-80206.080000000002</v>
      </c>
      <c r="L2069" s="524" t="s">
        <v>1188</v>
      </c>
      <c r="M2069" s="524" t="s">
        <v>1189</v>
      </c>
      <c r="N2069" s="524" t="s">
        <v>1171</v>
      </c>
      <c r="O2069" s="524" t="s">
        <v>1172</v>
      </c>
      <c r="P2069" s="526">
        <v>46230</v>
      </c>
      <c r="S2069" s="527">
        <v>0</v>
      </c>
    </row>
    <row r="2070" spans="1:19" x14ac:dyDescent="0.2">
      <c r="A2070" s="524">
        <v>70883</v>
      </c>
      <c r="B2070" s="526">
        <v>46230</v>
      </c>
      <c r="C2070" s="524" t="s">
        <v>1148</v>
      </c>
      <c r="D2070" s="524" t="s">
        <v>1186</v>
      </c>
      <c r="E2070" s="524" t="s">
        <v>2427</v>
      </c>
      <c r="F2070" s="524" t="s">
        <v>1183</v>
      </c>
      <c r="G2070" s="524" t="s">
        <v>800</v>
      </c>
      <c r="H2070" s="527">
        <v>500</v>
      </c>
      <c r="I2070" s="524" t="s">
        <v>1174</v>
      </c>
      <c r="J2070" s="524">
        <f>IF(cmf[[#This Row],[D/C]]="C",cmf[[#This Row],[Valor]],-1*cmf[[#This Row],[Valor]])</f>
        <v>-500</v>
      </c>
      <c r="L2070" s="524" t="s">
        <v>1188</v>
      </c>
      <c r="M2070" s="524" t="s">
        <v>1189</v>
      </c>
      <c r="N2070" s="524" t="s">
        <v>1171</v>
      </c>
      <c r="O2070" s="524" t="s">
        <v>1172</v>
      </c>
      <c r="P2070" s="526">
        <v>46230</v>
      </c>
      <c r="S2070" s="527">
        <v>0</v>
      </c>
    </row>
    <row r="2071" spans="1:19" x14ac:dyDescent="0.2">
      <c r="A2071" s="524">
        <v>70884</v>
      </c>
      <c r="B2071" s="526">
        <v>46230</v>
      </c>
      <c r="C2071" s="524" t="s">
        <v>1148</v>
      </c>
      <c r="D2071" s="524" t="s">
        <v>1186</v>
      </c>
      <c r="E2071" s="524" t="s">
        <v>2428</v>
      </c>
      <c r="F2071" s="524" t="s">
        <v>1183</v>
      </c>
      <c r="G2071" s="524" t="s">
        <v>800</v>
      </c>
      <c r="H2071" s="527">
        <v>17842.03</v>
      </c>
      <c r="I2071" s="524" t="s">
        <v>1174</v>
      </c>
      <c r="J2071" s="524">
        <f>IF(cmf[[#This Row],[D/C]]="C",cmf[[#This Row],[Valor]],-1*cmf[[#This Row],[Valor]])</f>
        <v>-17842.03</v>
      </c>
      <c r="L2071" s="524" t="s">
        <v>1188</v>
      </c>
      <c r="M2071" s="524" t="s">
        <v>1189</v>
      </c>
      <c r="N2071" s="524" t="s">
        <v>1171</v>
      </c>
      <c r="O2071" s="524" t="s">
        <v>1172</v>
      </c>
      <c r="P2071" s="526">
        <v>46230</v>
      </c>
      <c r="S2071" s="527">
        <v>0</v>
      </c>
    </row>
    <row r="2072" spans="1:19" x14ac:dyDescent="0.2">
      <c r="A2072" s="524">
        <v>70885</v>
      </c>
      <c r="B2072" s="526">
        <v>46230</v>
      </c>
      <c r="C2072" s="524" t="s">
        <v>1148</v>
      </c>
      <c r="D2072" s="524" t="s">
        <v>1186</v>
      </c>
      <c r="E2072" s="524" t="s">
        <v>2429</v>
      </c>
      <c r="F2072" s="524" t="s">
        <v>1183</v>
      </c>
      <c r="G2072" s="524" t="s">
        <v>800</v>
      </c>
      <c r="H2072" s="527">
        <v>410</v>
      </c>
      <c r="I2072" s="524" t="s">
        <v>1174</v>
      </c>
      <c r="J2072" s="524">
        <f>IF(cmf[[#This Row],[D/C]]="C",cmf[[#This Row],[Valor]],-1*cmf[[#This Row],[Valor]])</f>
        <v>-410</v>
      </c>
      <c r="L2072" s="524" t="s">
        <v>1188</v>
      </c>
      <c r="M2072" s="524" t="s">
        <v>1189</v>
      </c>
      <c r="N2072" s="524" t="s">
        <v>1171</v>
      </c>
      <c r="O2072" s="524" t="s">
        <v>1172</v>
      </c>
      <c r="P2072" s="526">
        <v>46230</v>
      </c>
      <c r="S2072" s="527">
        <v>0</v>
      </c>
    </row>
    <row r="2073" spans="1:19" x14ac:dyDescent="0.2">
      <c r="A2073" s="524">
        <v>70886</v>
      </c>
      <c r="B2073" s="526">
        <v>46230</v>
      </c>
      <c r="C2073" s="524" t="s">
        <v>1148</v>
      </c>
      <c r="D2073" s="524" t="s">
        <v>1186</v>
      </c>
      <c r="E2073" s="524" t="s">
        <v>2430</v>
      </c>
      <c r="F2073" s="524" t="s">
        <v>1183</v>
      </c>
      <c r="G2073" s="524" t="s">
        <v>800</v>
      </c>
      <c r="H2073" s="527">
        <v>660</v>
      </c>
      <c r="I2073" s="524" t="s">
        <v>1174</v>
      </c>
      <c r="J2073" s="524">
        <f>IF(cmf[[#This Row],[D/C]]="C",cmf[[#This Row],[Valor]],-1*cmf[[#This Row],[Valor]])</f>
        <v>-660</v>
      </c>
      <c r="L2073" s="524" t="s">
        <v>1188</v>
      </c>
      <c r="M2073" s="524" t="s">
        <v>1189</v>
      </c>
      <c r="N2073" s="524" t="s">
        <v>1171</v>
      </c>
      <c r="O2073" s="524" t="s">
        <v>1172</v>
      </c>
      <c r="P2073" s="526">
        <v>46230</v>
      </c>
      <c r="S2073" s="527">
        <v>0</v>
      </c>
    </row>
    <row r="2074" spans="1:19" x14ac:dyDescent="0.2">
      <c r="A2074" s="524">
        <v>70887</v>
      </c>
      <c r="B2074" s="526">
        <v>46230</v>
      </c>
      <c r="C2074" s="524" t="s">
        <v>1148</v>
      </c>
      <c r="D2074" s="524" t="s">
        <v>1186</v>
      </c>
      <c r="E2074" s="524" t="s">
        <v>2431</v>
      </c>
      <c r="F2074" s="524" t="s">
        <v>1183</v>
      </c>
      <c r="G2074" s="524" t="s">
        <v>800</v>
      </c>
      <c r="H2074" s="527">
        <v>4000</v>
      </c>
      <c r="I2074" s="524" t="s">
        <v>1174</v>
      </c>
      <c r="J2074" s="524">
        <f>IF(cmf[[#This Row],[D/C]]="C",cmf[[#This Row],[Valor]],-1*cmf[[#This Row],[Valor]])</f>
        <v>-4000</v>
      </c>
      <c r="L2074" s="524" t="s">
        <v>1188</v>
      </c>
      <c r="M2074" s="524" t="s">
        <v>1189</v>
      </c>
      <c r="N2074" s="524" t="s">
        <v>1171</v>
      </c>
      <c r="O2074" s="524" t="s">
        <v>1172</v>
      </c>
      <c r="P2074" s="526">
        <v>46230</v>
      </c>
      <c r="S2074" s="527">
        <v>0</v>
      </c>
    </row>
    <row r="2075" spans="1:19" x14ac:dyDescent="0.2">
      <c r="A2075" s="524">
        <v>70888</v>
      </c>
      <c r="B2075" s="526">
        <v>46230</v>
      </c>
      <c r="C2075" s="524" t="s">
        <v>1148</v>
      </c>
      <c r="D2075" s="524" t="s">
        <v>1186</v>
      </c>
      <c r="E2075" s="524" t="s">
        <v>2432</v>
      </c>
      <c r="F2075" s="524" t="s">
        <v>1183</v>
      </c>
      <c r="G2075" s="524" t="s">
        <v>800</v>
      </c>
      <c r="H2075" s="527">
        <v>755.74</v>
      </c>
      <c r="I2075" s="524" t="s">
        <v>1174</v>
      </c>
      <c r="J2075" s="524">
        <f>IF(cmf[[#This Row],[D/C]]="C",cmf[[#This Row],[Valor]],-1*cmf[[#This Row],[Valor]])</f>
        <v>-755.74</v>
      </c>
      <c r="L2075" s="524" t="s">
        <v>1188</v>
      </c>
      <c r="M2075" s="524" t="s">
        <v>1189</v>
      </c>
      <c r="N2075" s="524" t="s">
        <v>1171</v>
      </c>
      <c r="O2075" s="524" t="s">
        <v>1172</v>
      </c>
      <c r="P2075" s="526">
        <v>46230</v>
      </c>
      <c r="S2075" s="527">
        <v>0</v>
      </c>
    </row>
    <row r="2076" spans="1:19" x14ac:dyDescent="0.2">
      <c r="A2076" s="524">
        <v>70889</v>
      </c>
      <c r="B2076" s="526">
        <v>46230</v>
      </c>
      <c r="C2076" s="524" t="s">
        <v>1148</v>
      </c>
      <c r="D2076" s="524" t="s">
        <v>1186</v>
      </c>
      <c r="E2076" s="524" t="s">
        <v>2433</v>
      </c>
      <c r="F2076" s="524" t="s">
        <v>1183</v>
      </c>
      <c r="G2076" s="524" t="s">
        <v>800</v>
      </c>
      <c r="H2076" s="527">
        <v>1578.89</v>
      </c>
      <c r="I2076" s="524" t="s">
        <v>1174</v>
      </c>
      <c r="J2076" s="524">
        <f>IF(cmf[[#This Row],[D/C]]="C",cmf[[#This Row],[Valor]],-1*cmf[[#This Row],[Valor]])</f>
        <v>-1578.89</v>
      </c>
      <c r="L2076" s="524" t="s">
        <v>1188</v>
      </c>
      <c r="M2076" s="524" t="s">
        <v>1189</v>
      </c>
      <c r="N2076" s="524" t="s">
        <v>1171</v>
      </c>
      <c r="O2076" s="524" t="s">
        <v>1172</v>
      </c>
      <c r="P2076" s="526">
        <v>46230</v>
      </c>
      <c r="S2076" s="527">
        <v>0</v>
      </c>
    </row>
    <row r="2077" spans="1:19" x14ac:dyDescent="0.2">
      <c r="A2077" s="524">
        <v>70890</v>
      </c>
      <c r="B2077" s="526">
        <v>46230</v>
      </c>
      <c r="C2077" s="524" t="s">
        <v>1148</v>
      </c>
      <c r="D2077" s="524" t="s">
        <v>1186</v>
      </c>
      <c r="E2077" s="524" t="s">
        <v>2434</v>
      </c>
      <c r="F2077" s="524" t="s">
        <v>1183</v>
      </c>
      <c r="G2077" s="524" t="s">
        <v>800</v>
      </c>
      <c r="H2077" s="527">
        <v>1060</v>
      </c>
      <c r="I2077" s="524" t="s">
        <v>1174</v>
      </c>
      <c r="J2077" s="524">
        <f>IF(cmf[[#This Row],[D/C]]="C",cmf[[#This Row],[Valor]],-1*cmf[[#This Row],[Valor]])</f>
        <v>-1060</v>
      </c>
      <c r="L2077" s="524" t="s">
        <v>1188</v>
      </c>
      <c r="M2077" s="524" t="s">
        <v>1189</v>
      </c>
      <c r="N2077" s="524" t="s">
        <v>1171</v>
      </c>
      <c r="O2077" s="524" t="s">
        <v>1172</v>
      </c>
      <c r="P2077" s="526">
        <v>46230</v>
      </c>
      <c r="S2077" s="527">
        <v>0</v>
      </c>
    </row>
    <row r="2078" spans="1:19" x14ac:dyDescent="0.2">
      <c r="A2078" s="524">
        <v>70891</v>
      </c>
      <c r="B2078" s="526">
        <v>46230</v>
      </c>
      <c r="C2078" s="524" t="s">
        <v>1162</v>
      </c>
      <c r="D2078" s="524" t="s">
        <v>2164</v>
      </c>
      <c r="E2078" s="524" t="s">
        <v>1164</v>
      </c>
      <c r="F2078" s="524" t="s">
        <v>1183</v>
      </c>
      <c r="G2078" s="524" t="s">
        <v>806</v>
      </c>
      <c r="H2078" s="527">
        <v>41900</v>
      </c>
      <c r="I2078" s="524" t="s">
        <v>1148</v>
      </c>
      <c r="J2078" s="524">
        <f>IF(cmf[[#This Row],[D/C]]="C",cmf[[#This Row],[Valor]],-1*cmf[[#This Row],[Valor]])</f>
        <v>41900</v>
      </c>
      <c r="L2078" s="524" t="s">
        <v>1166</v>
      </c>
      <c r="M2078" s="524" t="s">
        <v>1167</v>
      </c>
      <c r="N2078" s="524" t="s">
        <v>1283</v>
      </c>
      <c r="O2078" s="524" t="s">
        <v>1284</v>
      </c>
      <c r="P2078" s="526"/>
      <c r="S2078" s="527">
        <v>0</v>
      </c>
    </row>
    <row r="2079" spans="1:19" x14ac:dyDescent="0.2">
      <c r="A2079" s="524">
        <v>70892</v>
      </c>
      <c r="B2079" s="526">
        <v>46230</v>
      </c>
      <c r="C2079" s="524" t="s">
        <v>1162</v>
      </c>
      <c r="D2079" s="524" t="s">
        <v>2164</v>
      </c>
      <c r="E2079" s="524" t="s">
        <v>1173</v>
      </c>
      <c r="F2079" s="524" t="s">
        <v>1183</v>
      </c>
      <c r="G2079" s="524" t="s">
        <v>806</v>
      </c>
      <c r="H2079" s="527">
        <v>8.76</v>
      </c>
      <c r="I2079" s="524" t="s">
        <v>1174</v>
      </c>
      <c r="J2079" s="524">
        <f>IF(cmf[[#This Row],[D/C]]="C",cmf[[#This Row],[Valor]],-1*cmf[[#This Row],[Valor]])</f>
        <v>-8.76</v>
      </c>
      <c r="L2079" s="524" t="s">
        <v>1175</v>
      </c>
      <c r="M2079" s="524" t="s">
        <v>1176</v>
      </c>
      <c r="N2079" s="524" t="s">
        <v>1283</v>
      </c>
      <c r="O2079" s="524" t="s">
        <v>1284</v>
      </c>
      <c r="P2079" s="526"/>
      <c r="S2079" s="527">
        <v>0</v>
      </c>
    </row>
    <row r="2080" spans="1:19" x14ac:dyDescent="0.2">
      <c r="A2080" s="524">
        <v>70895</v>
      </c>
      <c r="B2080" s="526">
        <v>46230</v>
      </c>
      <c r="C2080" s="524" t="s">
        <v>1162</v>
      </c>
      <c r="D2080" s="524" t="s">
        <v>1163</v>
      </c>
      <c r="E2080" s="524" t="s">
        <v>1173</v>
      </c>
      <c r="F2080" s="524" t="s">
        <v>1170</v>
      </c>
      <c r="G2080" s="524" t="s">
        <v>802</v>
      </c>
      <c r="H2080" s="527">
        <v>9</v>
      </c>
      <c r="I2080" s="524" t="s">
        <v>1174</v>
      </c>
      <c r="J2080" s="524">
        <f>IF(cmf[[#This Row],[D/C]]="C",cmf[[#This Row],[Valor]],-1*cmf[[#This Row],[Valor]])</f>
        <v>-9</v>
      </c>
      <c r="L2080" s="524" t="s">
        <v>1175</v>
      </c>
      <c r="M2080" s="524" t="s">
        <v>1176</v>
      </c>
      <c r="N2080" s="524" t="s">
        <v>1192</v>
      </c>
      <c r="O2080" s="524" t="s">
        <v>1193</v>
      </c>
      <c r="P2080" s="526"/>
      <c r="S2080" s="527">
        <v>0</v>
      </c>
    </row>
    <row r="2081" spans="1:19" x14ac:dyDescent="0.2">
      <c r="A2081" s="524">
        <v>70898</v>
      </c>
      <c r="B2081" s="526">
        <v>46230</v>
      </c>
      <c r="C2081" s="524" t="s">
        <v>1148</v>
      </c>
      <c r="D2081" s="524" t="s">
        <v>1186</v>
      </c>
      <c r="E2081" s="524" t="s">
        <v>2435</v>
      </c>
      <c r="F2081" s="524" t="s">
        <v>1183</v>
      </c>
      <c r="G2081" s="524" t="s">
        <v>766</v>
      </c>
      <c r="H2081" s="527">
        <v>4000</v>
      </c>
      <c r="I2081" s="524" t="s">
        <v>1174</v>
      </c>
      <c r="J2081" s="524">
        <f>IF(cmf[[#This Row],[D/C]]="C",cmf[[#This Row],[Valor]],-1*cmf[[#This Row],[Valor]])</f>
        <v>-4000</v>
      </c>
      <c r="L2081" s="524" t="s">
        <v>1188</v>
      </c>
      <c r="M2081" s="524" t="s">
        <v>1189</v>
      </c>
      <c r="N2081" s="524" t="s">
        <v>1200</v>
      </c>
      <c r="O2081" s="524" t="s">
        <v>1201</v>
      </c>
      <c r="P2081" s="526">
        <v>46230</v>
      </c>
      <c r="S2081" s="527">
        <v>0</v>
      </c>
    </row>
    <row r="2082" spans="1:19" x14ac:dyDescent="0.2">
      <c r="A2082" s="524">
        <v>70899</v>
      </c>
      <c r="B2082" s="526">
        <v>46230</v>
      </c>
      <c r="C2082" s="524" t="s">
        <v>1148</v>
      </c>
      <c r="D2082" s="524" t="s">
        <v>1186</v>
      </c>
      <c r="E2082" s="524" t="s">
        <v>2436</v>
      </c>
      <c r="F2082" s="524" t="s">
        <v>1183</v>
      </c>
      <c r="G2082" s="524" t="s">
        <v>766</v>
      </c>
      <c r="H2082" s="527">
        <v>83.03</v>
      </c>
      <c r="I2082" s="524" t="s">
        <v>1174</v>
      </c>
      <c r="J2082" s="524">
        <f>IF(cmf[[#This Row],[D/C]]="C",cmf[[#This Row],[Valor]],-1*cmf[[#This Row],[Valor]])</f>
        <v>-83.03</v>
      </c>
      <c r="L2082" s="524" t="s">
        <v>1188</v>
      </c>
      <c r="M2082" s="524" t="s">
        <v>1189</v>
      </c>
      <c r="N2082" s="524" t="s">
        <v>1200</v>
      </c>
      <c r="O2082" s="524" t="s">
        <v>1201</v>
      </c>
      <c r="P2082" s="526">
        <v>46230</v>
      </c>
      <c r="S2082" s="527">
        <v>0</v>
      </c>
    </row>
    <row r="2083" spans="1:19" x14ac:dyDescent="0.2">
      <c r="A2083" s="524">
        <v>70903</v>
      </c>
      <c r="B2083" s="526">
        <v>46230</v>
      </c>
      <c r="C2083" s="524" t="s">
        <v>1148</v>
      </c>
      <c r="D2083" s="524" t="s">
        <v>1163</v>
      </c>
      <c r="E2083" s="524" t="s">
        <v>1173</v>
      </c>
      <c r="F2083" s="524" t="s">
        <v>1170</v>
      </c>
      <c r="G2083" s="524" t="s">
        <v>740</v>
      </c>
      <c r="H2083" s="527">
        <v>13.5</v>
      </c>
      <c r="I2083" s="524" t="s">
        <v>1174</v>
      </c>
      <c r="J2083" s="524">
        <f>IF(cmf[[#This Row],[D/C]]="C",cmf[[#This Row],[Valor]],-1*cmf[[#This Row],[Valor]])</f>
        <v>-13.5</v>
      </c>
      <c r="L2083" s="524" t="s">
        <v>1175</v>
      </c>
      <c r="M2083" s="524" t="s">
        <v>1176</v>
      </c>
      <c r="N2083" s="524" t="s">
        <v>1215</v>
      </c>
      <c r="O2083" s="524" t="s">
        <v>1218</v>
      </c>
      <c r="P2083" s="526">
        <v>46230</v>
      </c>
      <c r="S2083" s="527">
        <v>0</v>
      </c>
    </row>
    <row r="2084" spans="1:19" x14ac:dyDescent="0.2">
      <c r="A2084" s="524">
        <v>70904</v>
      </c>
      <c r="B2084" s="526">
        <v>46230</v>
      </c>
      <c r="C2084" s="524" t="s">
        <v>1148</v>
      </c>
      <c r="D2084" s="524" t="s">
        <v>1186</v>
      </c>
      <c r="E2084" s="524" t="s">
        <v>2437</v>
      </c>
      <c r="F2084" s="524" t="s">
        <v>1178</v>
      </c>
      <c r="G2084" s="524" t="s">
        <v>1179</v>
      </c>
      <c r="H2084" s="527">
        <v>3051.2</v>
      </c>
      <c r="I2084" s="524" t="s">
        <v>1174</v>
      </c>
      <c r="J2084" s="524">
        <f>IF(cmf[[#This Row],[D/C]]="C",cmf[[#This Row],[Valor]],-1*cmf[[#This Row],[Valor]])</f>
        <v>-3051.2</v>
      </c>
      <c r="L2084" s="524" t="s">
        <v>1188</v>
      </c>
      <c r="M2084" s="524" t="s">
        <v>1189</v>
      </c>
      <c r="N2084" s="524" t="s">
        <v>1180</v>
      </c>
      <c r="O2084" s="524" t="s">
        <v>1181</v>
      </c>
      <c r="P2084" s="526">
        <v>46230</v>
      </c>
      <c r="S2084" s="527">
        <v>0</v>
      </c>
    </row>
    <row r="2085" spans="1:19" x14ac:dyDescent="0.2">
      <c r="A2085" s="524">
        <v>70905</v>
      </c>
      <c r="B2085" s="526">
        <v>46230</v>
      </c>
      <c r="C2085" s="524" t="s">
        <v>1148</v>
      </c>
      <c r="D2085" s="524" t="s">
        <v>1186</v>
      </c>
      <c r="E2085" s="524" t="s">
        <v>2438</v>
      </c>
      <c r="F2085" s="524" t="s">
        <v>1178</v>
      </c>
      <c r="G2085" s="524" t="s">
        <v>1179</v>
      </c>
      <c r="H2085" s="527">
        <v>255</v>
      </c>
      <c r="I2085" s="524" t="s">
        <v>1174</v>
      </c>
      <c r="J2085" s="524">
        <f>IF(cmf[[#This Row],[D/C]]="C",cmf[[#This Row],[Valor]],-1*cmf[[#This Row],[Valor]])</f>
        <v>-255</v>
      </c>
      <c r="L2085" s="524" t="s">
        <v>1188</v>
      </c>
      <c r="M2085" s="524" t="s">
        <v>1189</v>
      </c>
      <c r="N2085" s="524" t="s">
        <v>1180</v>
      </c>
      <c r="O2085" s="524" t="s">
        <v>1181</v>
      </c>
      <c r="P2085" s="526">
        <v>46230</v>
      </c>
      <c r="S2085" s="527">
        <v>0</v>
      </c>
    </row>
    <row r="2086" spans="1:19" x14ac:dyDescent="0.2">
      <c r="A2086" s="524">
        <v>70906</v>
      </c>
      <c r="B2086" s="526">
        <v>46230</v>
      </c>
      <c r="C2086" s="524" t="s">
        <v>1148</v>
      </c>
      <c r="D2086" s="524" t="s">
        <v>1186</v>
      </c>
      <c r="E2086" s="524" t="s">
        <v>2439</v>
      </c>
      <c r="F2086" s="524" t="s">
        <v>1178</v>
      </c>
      <c r="G2086" s="524" t="s">
        <v>1179</v>
      </c>
      <c r="H2086" s="527">
        <v>118</v>
      </c>
      <c r="I2086" s="524" t="s">
        <v>1174</v>
      </c>
      <c r="J2086" s="524">
        <f>IF(cmf[[#This Row],[D/C]]="C",cmf[[#This Row],[Valor]],-1*cmf[[#This Row],[Valor]])</f>
        <v>-118</v>
      </c>
      <c r="L2086" s="524" t="s">
        <v>1188</v>
      </c>
      <c r="M2086" s="524" t="s">
        <v>1189</v>
      </c>
      <c r="N2086" s="524" t="s">
        <v>1180</v>
      </c>
      <c r="O2086" s="524" t="s">
        <v>1181</v>
      </c>
      <c r="P2086" s="526">
        <v>46230</v>
      </c>
      <c r="S2086" s="527">
        <v>0</v>
      </c>
    </row>
    <row r="2087" spans="1:19" x14ac:dyDescent="0.2">
      <c r="A2087" s="524">
        <v>70907</v>
      </c>
      <c r="B2087" s="526">
        <v>46230</v>
      </c>
      <c r="C2087" s="524" t="s">
        <v>1148</v>
      </c>
      <c r="D2087" s="524" t="s">
        <v>1186</v>
      </c>
      <c r="E2087" s="524" t="s">
        <v>2440</v>
      </c>
      <c r="F2087" s="524" t="s">
        <v>1178</v>
      </c>
      <c r="G2087" s="524" t="s">
        <v>1179</v>
      </c>
      <c r="H2087" s="527">
        <v>289.5</v>
      </c>
      <c r="I2087" s="524" t="s">
        <v>1174</v>
      </c>
      <c r="J2087" s="524">
        <f>IF(cmf[[#This Row],[D/C]]="C",cmf[[#This Row],[Valor]],-1*cmf[[#This Row],[Valor]])</f>
        <v>-289.5</v>
      </c>
      <c r="L2087" s="524" t="s">
        <v>1188</v>
      </c>
      <c r="M2087" s="524" t="s">
        <v>1189</v>
      </c>
      <c r="N2087" s="524" t="s">
        <v>1180</v>
      </c>
      <c r="O2087" s="524" t="s">
        <v>1181</v>
      </c>
      <c r="P2087" s="526">
        <v>46230</v>
      </c>
      <c r="S2087" s="527">
        <v>0</v>
      </c>
    </row>
    <row r="2088" spans="1:19" x14ac:dyDescent="0.2">
      <c r="A2088" s="524">
        <v>70908</v>
      </c>
      <c r="B2088" s="526">
        <v>46230</v>
      </c>
      <c r="C2088" s="524" t="s">
        <v>1148</v>
      </c>
      <c r="D2088" s="524" t="s">
        <v>1186</v>
      </c>
      <c r="E2088" s="524" t="s">
        <v>2441</v>
      </c>
      <c r="F2088" s="524" t="s">
        <v>1178</v>
      </c>
      <c r="G2088" s="524" t="s">
        <v>1179</v>
      </c>
      <c r="H2088" s="527">
        <v>1533.5</v>
      </c>
      <c r="I2088" s="524" t="s">
        <v>1174</v>
      </c>
      <c r="J2088" s="524">
        <f>IF(cmf[[#This Row],[D/C]]="C",cmf[[#This Row],[Valor]],-1*cmf[[#This Row],[Valor]])</f>
        <v>-1533.5</v>
      </c>
      <c r="L2088" s="524" t="s">
        <v>1188</v>
      </c>
      <c r="M2088" s="524" t="s">
        <v>1189</v>
      </c>
      <c r="N2088" s="524" t="s">
        <v>1180</v>
      </c>
      <c r="O2088" s="524" t="s">
        <v>1181</v>
      </c>
      <c r="P2088" s="526">
        <v>46230</v>
      </c>
      <c r="S2088" s="527">
        <v>0</v>
      </c>
    </row>
    <row r="2089" spans="1:19" x14ac:dyDescent="0.2">
      <c r="A2089" s="524">
        <v>70911</v>
      </c>
      <c r="B2089" s="526">
        <v>46230</v>
      </c>
      <c r="C2089" s="524" t="s">
        <v>1148</v>
      </c>
      <c r="D2089" s="524" t="s">
        <v>1163</v>
      </c>
      <c r="E2089" s="524" t="s">
        <v>1173</v>
      </c>
      <c r="F2089" s="524" t="s">
        <v>1170</v>
      </c>
      <c r="G2089" s="524" t="s">
        <v>798</v>
      </c>
      <c r="H2089" s="527">
        <v>13.5</v>
      </c>
      <c r="I2089" s="524" t="s">
        <v>1174</v>
      </c>
      <c r="J2089" s="524">
        <f>IF(cmf[[#This Row],[D/C]]="C",cmf[[#This Row],[Valor]],-1*cmf[[#This Row],[Valor]])</f>
        <v>-13.5</v>
      </c>
      <c r="L2089" s="524" t="s">
        <v>1175</v>
      </c>
      <c r="M2089" s="524" t="s">
        <v>1176</v>
      </c>
      <c r="N2089" s="524" t="s">
        <v>1171</v>
      </c>
      <c r="O2089" s="524" t="s">
        <v>1172</v>
      </c>
      <c r="P2089" s="526">
        <v>46230</v>
      </c>
      <c r="S2089" s="527">
        <v>0</v>
      </c>
    </row>
    <row r="2090" spans="1:19" x14ac:dyDescent="0.2">
      <c r="A2090" s="524">
        <v>70914</v>
      </c>
      <c r="B2090" s="526">
        <v>46230</v>
      </c>
      <c r="C2090" s="524" t="s">
        <v>1148</v>
      </c>
      <c r="D2090" s="524" t="s">
        <v>1186</v>
      </c>
      <c r="E2090" s="524" t="s">
        <v>2442</v>
      </c>
      <c r="F2090" s="524" t="s">
        <v>1178</v>
      </c>
      <c r="G2090" s="524" t="s">
        <v>1179</v>
      </c>
      <c r="H2090" s="527">
        <v>134.38999999999999</v>
      </c>
      <c r="I2090" s="524" t="s">
        <v>1174</v>
      </c>
      <c r="J2090" s="524">
        <f>IF(cmf[[#This Row],[D/C]]="C",cmf[[#This Row],[Valor]],-1*cmf[[#This Row],[Valor]])</f>
        <v>-134.38999999999999</v>
      </c>
      <c r="L2090" s="524" t="s">
        <v>1188</v>
      </c>
      <c r="M2090" s="524" t="s">
        <v>1189</v>
      </c>
      <c r="N2090" s="524" t="s">
        <v>1180</v>
      </c>
      <c r="O2090" s="524" t="s">
        <v>1181</v>
      </c>
      <c r="P2090" s="526">
        <v>46230</v>
      </c>
      <c r="S2090" s="527">
        <v>0</v>
      </c>
    </row>
    <row r="2091" spans="1:19" x14ac:dyDescent="0.2">
      <c r="A2091" s="524">
        <v>70915</v>
      </c>
      <c r="B2091" s="526">
        <v>46230</v>
      </c>
      <c r="C2091" s="524" t="s">
        <v>1148</v>
      </c>
      <c r="D2091" s="524" t="s">
        <v>1186</v>
      </c>
      <c r="E2091" s="524" t="s">
        <v>2443</v>
      </c>
      <c r="F2091" s="524" t="s">
        <v>1183</v>
      </c>
      <c r="G2091" s="524" t="s">
        <v>803</v>
      </c>
      <c r="H2091" s="527">
        <v>936.79</v>
      </c>
      <c r="I2091" s="524" t="s">
        <v>1174</v>
      </c>
      <c r="J2091" s="524">
        <f>IF(cmf[[#This Row],[D/C]]="C",cmf[[#This Row],[Valor]],-1*cmf[[#This Row],[Valor]])</f>
        <v>-936.79</v>
      </c>
      <c r="L2091" s="524" t="s">
        <v>1188</v>
      </c>
      <c r="M2091" s="524" t="s">
        <v>1189</v>
      </c>
      <c r="N2091" s="524" t="s">
        <v>1192</v>
      </c>
      <c r="O2091" s="524" t="s">
        <v>1193</v>
      </c>
      <c r="P2091" s="526">
        <v>46230</v>
      </c>
      <c r="S2091" s="527">
        <v>0</v>
      </c>
    </row>
    <row r="2092" spans="1:19" x14ac:dyDescent="0.2">
      <c r="A2092" s="524">
        <v>70916</v>
      </c>
      <c r="B2092" s="526">
        <v>46230</v>
      </c>
      <c r="C2092" s="524" t="s">
        <v>1148</v>
      </c>
      <c r="D2092" s="524" t="s">
        <v>1186</v>
      </c>
      <c r="E2092" s="524" t="s">
        <v>2444</v>
      </c>
      <c r="F2092" s="524" t="s">
        <v>1183</v>
      </c>
      <c r="G2092" s="524" t="s">
        <v>803</v>
      </c>
      <c r="H2092" s="527">
        <v>455</v>
      </c>
      <c r="I2092" s="524" t="s">
        <v>1174</v>
      </c>
      <c r="J2092" s="524">
        <f>IF(cmf[[#This Row],[D/C]]="C",cmf[[#This Row],[Valor]],-1*cmf[[#This Row],[Valor]])</f>
        <v>-455</v>
      </c>
      <c r="L2092" s="524" t="s">
        <v>1188</v>
      </c>
      <c r="M2092" s="524" t="s">
        <v>1189</v>
      </c>
      <c r="N2092" s="524" t="s">
        <v>1192</v>
      </c>
      <c r="O2092" s="524" t="s">
        <v>1193</v>
      </c>
      <c r="P2092" s="526">
        <v>46230</v>
      </c>
      <c r="S2092" s="527">
        <v>0</v>
      </c>
    </row>
    <row r="2093" spans="1:19" x14ac:dyDescent="0.2">
      <c r="A2093" s="524">
        <v>70917</v>
      </c>
      <c r="B2093" s="526">
        <v>46230</v>
      </c>
      <c r="C2093" s="524" t="s">
        <v>1148</v>
      </c>
      <c r="D2093" s="524" t="s">
        <v>1186</v>
      </c>
      <c r="E2093" s="524" t="s">
        <v>2445</v>
      </c>
      <c r="F2093" s="524" t="s">
        <v>1183</v>
      </c>
      <c r="G2093" s="524" t="s">
        <v>803</v>
      </c>
      <c r="H2093" s="527">
        <v>320</v>
      </c>
      <c r="I2093" s="524" t="s">
        <v>1174</v>
      </c>
      <c r="J2093" s="524">
        <f>IF(cmf[[#This Row],[D/C]]="C",cmf[[#This Row],[Valor]],-1*cmf[[#This Row],[Valor]])</f>
        <v>-320</v>
      </c>
      <c r="L2093" s="524" t="s">
        <v>1188</v>
      </c>
      <c r="M2093" s="524" t="s">
        <v>1189</v>
      </c>
      <c r="N2093" s="524" t="s">
        <v>1192</v>
      </c>
      <c r="O2093" s="524" t="s">
        <v>1193</v>
      </c>
      <c r="P2093" s="526">
        <v>46230</v>
      </c>
      <c r="S2093" s="527">
        <v>0</v>
      </c>
    </row>
    <row r="2094" spans="1:19" x14ac:dyDescent="0.2">
      <c r="A2094" s="524">
        <v>70920</v>
      </c>
      <c r="B2094" s="526">
        <v>46230</v>
      </c>
      <c r="C2094" s="524" t="s">
        <v>1148</v>
      </c>
      <c r="D2094" s="524" t="s">
        <v>1163</v>
      </c>
      <c r="E2094" s="524" t="s">
        <v>1173</v>
      </c>
      <c r="F2094" s="524" t="s">
        <v>1170</v>
      </c>
      <c r="G2094" s="524" t="s">
        <v>749</v>
      </c>
      <c r="H2094" s="527">
        <v>4.5</v>
      </c>
      <c r="I2094" s="524" t="s">
        <v>1174</v>
      </c>
      <c r="J2094" s="524">
        <f>IF(cmf[[#This Row],[D/C]]="C",cmf[[#This Row],[Valor]],-1*cmf[[#This Row],[Valor]])</f>
        <v>-4.5</v>
      </c>
      <c r="L2094" s="524" t="s">
        <v>1175</v>
      </c>
      <c r="M2094" s="524" t="s">
        <v>1176</v>
      </c>
      <c r="N2094" s="524" t="s">
        <v>1256</v>
      </c>
      <c r="O2094" s="524" t="s">
        <v>1257</v>
      </c>
      <c r="P2094" s="526">
        <v>46230</v>
      </c>
      <c r="S2094" s="527">
        <v>0</v>
      </c>
    </row>
    <row r="2095" spans="1:19" x14ac:dyDescent="0.2">
      <c r="A2095" s="524">
        <v>70921</v>
      </c>
      <c r="B2095" s="526">
        <v>46230</v>
      </c>
      <c r="C2095" s="524" t="s">
        <v>1148</v>
      </c>
      <c r="D2095" s="524" t="s">
        <v>1163</v>
      </c>
      <c r="E2095" s="524" t="s">
        <v>1173</v>
      </c>
      <c r="F2095" s="524" t="s">
        <v>1170</v>
      </c>
      <c r="G2095" s="524" t="s">
        <v>768</v>
      </c>
      <c r="H2095" s="527">
        <v>4.5</v>
      </c>
      <c r="I2095" s="524" t="s">
        <v>1174</v>
      </c>
      <c r="J2095" s="524">
        <f>IF(cmf[[#This Row],[D/C]]="C",cmf[[#This Row],[Valor]],-1*cmf[[#This Row],[Valor]])</f>
        <v>-4.5</v>
      </c>
      <c r="L2095" s="524" t="s">
        <v>1175</v>
      </c>
      <c r="M2095" s="524" t="s">
        <v>1176</v>
      </c>
      <c r="N2095" s="524" t="s">
        <v>1219</v>
      </c>
      <c r="O2095" s="524" t="s">
        <v>1220</v>
      </c>
      <c r="P2095" s="526">
        <v>46230</v>
      </c>
      <c r="S2095" s="527">
        <v>0</v>
      </c>
    </row>
    <row r="2096" spans="1:19" x14ac:dyDescent="0.2">
      <c r="A2096" s="524">
        <v>70922</v>
      </c>
      <c r="B2096" s="526">
        <v>46230</v>
      </c>
      <c r="C2096" s="524" t="s">
        <v>1148</v>
      </c>
      <c r="D2096" s="524" t="s">
        <v>1186</v>
      </c>
      <c r="E2096" s="524" t="s">
        <v>2446</v>
      </c>
      <c r="F2096" s="524" t="s">
        <v>1183</v>
      </c>
      <c r="G2096" s="524" t="s">
        <v>806</v>
      </c>
      <c r="H2096" s="527">
        <v>37333.33</v>
      </c>
      <c r="I2096" s="524" t="s">
        <v>1174</v>
      </c>
      <c r="J2096" s="524">
        <f>IF(cmf[[#This Row],[D/C]]="C",cmf[[#This Row],[Valor]],-1*cmf[[#This Row],[Valor]])</f>
        <v>-37333.33</v>
      </c>
      <c r="L2096" s="524" t="s">
        <v>1188</v>
      </c>
      <c r="M2096" s="524" t="s">
        <v>1189</v>
      </c>
      <c r="N2096" s="524" t="s">
        <v>1283</v>
      </c>
      <c r="O2096" s="524" t="s">
        <v>1284</v>
      </c>
      <c r="P2096" s="526">
        <v>46230</v>
      </c>
      <c r="S2096" s="527">
        <v>0</v>
      </c>
    </row>
    <row r="2097" spans="1:19" x14ac:dyDescent="0.2">
      <c r="A2097" s="524">
        <v>70925</v>
      </c>
      <c r="B2097" s="526">
        <v>46230</v>
      </c>
      <c r="C2097" s="524" t="s">
        <v>1148</v>
      </c>
      <c r="D2097" s="524" t="s">
        <v>1186</v>
      </c>
      <c r="E2097" s="524" t="s">
        <v>2447</v>
      </c>
      <c r="F2097" s="524" t="s">
        <v>1183</v>
      </c>
      <c r="G2097" s="524" t="s">
        <v>758</v>
      </c>
      <c r="H2097" s="527">
        <v>234.5</v>
      </c>
      <c r="I2097" s="524" t="s">
        <v>1174</v>
      </c>
      <c r="J2097" s="524">
        <f>IF(cmf[[#This Row],[D/C]]="C",cmf[[#This Row],[Valor]],-1*cmf[[#This Row],[Valor]])</f>
        <v>-234.5</v>
      </c>
      <c r="L2097" s="524" t="s">
        <v>1188</v>
      </c>
      <c r="M2097" s="524" t="s">
        <v>1189</v>
      </c>
      <c r="N2097" s="524" t="s">
        <v>1223</v>
      </c>
      <c r="O2097" s="524" t="s">
        <v>1224</v>
      </c>
      <c r="P2097" s="526">
        <v>46230</v>
      </c>
      <c r="S2097" s="527">
        <v>0</v>
      </c>
    </row>
    <row r="2098" spans="1:19" x14ac:dyDescent="0.2">
      <c r="A2098" s="524">
        <v>70926</v>
      </c>
      <c r="B2098" s="526">
        <v>46230</v>
      </c>
      <c r="C2098" s="524" t="s">
        <v>1148</v>
      </c>
      <c r="D2098" s="524" t="s">
        <v>1186</v>
      </c>
      <c r="E2098" s="524" t="s">
        <v>2448</v>
      </c>
      <c r="F2098" s="524" t="s">
        <v>1183</v>
      </c>
      <c r="G2098" s="524" t="s">
        <v>758</v>
      </c>
      <c r="H2098" s="527">
        <v>3036.24</v>
      </c>
      <c r="I2098" s="524" t="s">
        <v>1174</v>
      </c>
      <c r="J2098" s="524">
        <f>IF(cmf[[#This Row],[D/C]]="C",cmf[[#This Row],[Valor]],-1*cmf[[#This Row],[Valor]])</f>
        <v>-3036.24</v>
      </c>
      <c r="L2098" s="524" t="s">
        <v>1188</v>
      </c>
      <c r="M2098" s="524" t="s">
        <v>1189</v>
      </c>
      <c r="N2098" s="524" t="s">
        <v>1223</v>
      </c>
      <c r="O2098" s="524" t="s">
        <v>1224</v>
      </c>
      <c r="P2098" s="526">
        <v>46230</v>
      </c>
      <c r="S2098" s="527">
        <v>0</v>
      </c>
    </row>
    <row r="2099" spans="1:19" x14ac:dyDescent="0.2">
      <c r="A2099" s="524">
        <v>70927</v>
      </c>
      <c r="B2099" s="526">
        <v>46230</v>
      </c>
      <c r="C2099" s="524" t="s">
        <v>1148</v>
      </c>
      <c r="D2099" s="524" t="s">
        <v>1186</v>
      </c>
      <c r="E2099" s="524" t="s">
        <v>2449</v>
      </c>
      <c r="F2099" s="524" t="s">
        <v>1183</v>
      </c>
      <c r="G2099" s="524" t="s">
        <v>758</v>
      </c>
      <c r="H2099" s="527">
        <v>2200</v>
      </c>
      <c r="I2099" s="524" t="s">
        <v>1174</v>
      </c>
      <c r="J2099" s="524">
        <f>IF(cmf[[#This Row],[D/C]]="C",cmf[[#This Row],[Valor]],-1*cmf[[#This Row],[Valor]])</f>
        <v>-2200</v>
      </c>
      <c r="L2099" s="524" t="s">
        <v>1188</v>
      </c>
      <c r="M2099" s="524" t="s">
        <v>1189</v>
      </c>
      <c r="N2099" s="524" t="s">
        <v>1223</v>
      </c>
      <c r="O2099" s="524" t="s">
        <v>1224</v>
      </c>
      <c r="P2099" s="526">
        <v>46230</v>
      </c>
      <c r="S2099" s="527">
        <v>0</v>
      </c>
    </row>
    <row r="2100" spans="1:19" x14ac:dyDescent="0.2">
      <c r="A2100" s="524">
        <v>70928</v>
      </c>
      <c r="B2100" s="526">
        <v>46230</v>
      </c>
      <c r="C2100" s="524" t="s">
        <v>1148</v>
      </c>
      <c r="D2100" s="524" t="s">
        <v>1186</v>
      </c>
      <c r="E2100" s="524" t="s">
        <v>2450</v>
      </c>
      <c r="F2100" s="524" t="s">
        <v>1183</v>
      </c>
      <c r="G2100" s="524" t="s">
        <v>758</v>
      </c>
      <c r="H2100" s="527">
        <v>190</v>
      </c>
      <c r="I2100" s="524" t="s">
        <v>1174</v>
      </c>
      <c r="J2100" s="524">
        <f>IF(cmf[[#This Row],[D/C]]="C",cmf[[#This Row],[Valor]],-1*cmf[[#This Row],[Valor]])</f>
        <v>-190</v>
      </c>
      <c r="L2100" s="524" t="s">
        <v>1188</v>
      </c>
      <c r="M2100" s="524" t="s">
        <v>1189</v>
      </c>
      <c r="N2100" s="524" t="s">
        <v>1223</v>
      </c>
      <c r="O2100" s="524" t="s">
        <v>1224</v>
      </c>
      <c r="P2100" s="526">
        <v>46230</v>
      </c>
      <c r="S2100" s="527">
        <v>0</v>
      </c>
    </row>
    <row r="2101" spans="1:19" x14ac:dyDescent="0.2">
      <c r="A2101" s="524">
        <v>70929</v>
      </c>
      <c r="B2101" s="526">
        <v>46230</v>
      </c>
      <c r="C2101" s="524" t="s">
        <v>1162</v>
      </c>
      <c r="D2101" s="524" t="s">
        <v>1186</v>
      </c>
      <c r="E2101" s="524" t="s">
        <v>2451</v>
      </c>
      <c r="F2101" s="524" t="s">
        <v>1170</v>
      </c>
      <c r="G2101" s="524" t="s">
        <v>781</v>
      </c>
      <c r="H2101" s="527">
        <v>3147</v>
      </c>
      <c r="I2101" s="524" t="s">
        <v>1174</v>
      </c>
      <c r="J2101" s="524">
        <f>IF(cmf[[#This Row],[D/C]]="C",cmf[[#This Row],[Valor]],-1*cmf[[#This Row],[Valor]])</f>
        <v>-3147</v>
      </c>
      <c r="L2101" s="524" t="s">
        <v>1188</v>
      </c>
      <c r="M2101" s="524" t="s">
        <v>1189</v>
      </c>
      <c r="N2101" s="524" t="s">
        <v>1209</v>
      </c>
      <c r="O2101" s="524" t="s">
        <v>1210</v>
      </c>
      <c r="P2101" s="526"/>
      <c r="S2101" s="527">
        <v>0</v>
      </c>
    </row>
    <row r="2102" spans="1:19" x14ac:dyDescent="0.2">
      <c r="A2102" s="524">
        <v>70930</v>
      </c>
      <c r="B2102" s="526">
        <v>46230</v>
      </c>
      <c r="C2102" s="524" t="s">
        <v>1162</v>
      </c>
      <c r="D2102" s="524" t="s">
        <v>1186</v>
      </c>
      <c r="E2102" s="524" t="s">
        <v>2452</v>
      </c>
      <c r="F2102" s="524" t="s">
        <v>1170</v>
      </c>
      <c r="G2102" s="524" t="s">
        <v>781</v>
      </c>
      <c r="H2102" s="527">
        <v>633.91999999999996</v>
      </c>
      <c r="I2102" s="524" t="s">
        <v>1174</v>
      </c>
      <c r="J2102" s="524">
        <f>IF(cmf[[#This Row],[D/C]]="C",cmf[[#This Row],[Valor]],-1*cmf[[#This Row],[Valor]])</f>
        <v>-633.91999999999996</v>
      </c>
      <c r="L2102" s="524" t="s">
        <v>1188</v>
      </c>
      <c r="M2102" s="524" t="s">
        <v>1189</v>
      </c>
      <c r="N2102" s="524" t="s">
        <v>1209</v>
      </c>
      <c r="O2102" s="524" t="s">
        <v>1210</v>
      </c>
      <c r="P2102" s="526"/>
      <c r="S2102" s="527">
        <v>0</v>
      </c>
    </row>
    <row r="2103" spans="1:19" x14ac:dyDescent="0.2">
      <c r="A2103" s="524">
        <v>70933</v>
      </c>
      <c r="B2103" s="526">
        <v>46230</v>
      </c>
      <c r="C2103" s="524" t="s">
        <v>1162</v>
      </c>
      <c r="D2103" s="524" t="s">
        <v>1186</v>
      </c>
      <c r="E2103" s="524" t="s">
        <v>2453</v>
      </c>
      <c r="F2103" s="524" t="s">
        <v>1170</v>
      </c>
      <c r="G2103" s="524" t="s">
        <v>781</v>
      </c>
      <c r="H2103" s="527">
        <v>2107.92</v>
      </c>
      <c r="I2103" s="524" t="s">
        <v>1174</v>
      </c>
      <c r="J2103" s="524">
        <f>IF(cmf[[#This Row],[D/C]]="C",cmf[[#This Row],[Valor]],-1*cmf[[#This Row],[Valor]])</f>
        <v>-2107.92</v>
      </c>
      <c r="L2103" s="524" t="s">
        <v>1188</v>
      </c>
      <c r="M2103" s="524" t="s">
        <v>1189</v>
      </c>
      <c r="N2103" s="524" t="s">
        <v>1209</v>
      </c>
      <c r="O2103" s="524" t="s">
        <v>1210</v>
      </c>
      <c r="P2103" s="526"/>
      <c r="S2103" s="527">
        <v>0</v>
      </c>
    </row>
    <row r="2104" spans="1:19" x14ac:dyDescent="0.2">
      <c r="A2104" s="524">
        <v>70954</v>
      </c>
      <c r="B2104" s="526">
        <v>46230</v>
      </c>
      <c r="C2104" s="524" t="s">
        <v>1148</v>
      </c>
      <c r="D2104" s="524" t="s">
        <v>1226</v>
      </c>
      <c r="E2104" s="524" t="s">
        <v>2454</v>
      </c>
      <c r="F2104" s="524" t="s">
        <v>1170</v>
      </c>
      <c r="G2104" s="524" t="s">
        <v>749</v>
      </c>
      <c r="H2104" s="527">
        <v>1292.1500000000001</v>
      </c>
      <c r="I2104" s="524" t="s">
        <v>1148</v>
      </c>
      <c r="J2104" s="524">
        <f>IF(cmf[[#This Row],[D/C]]="C",cmf[[#This Row],[Valor]],-1*cmf[[#This Row],[Valor]])</f>
        <v>1292.1500000000001</v>
      </c>
      <c r="L2104" s="524" t="s">
        <v>1230</v>
      </c>
      <c r="M2104" s="524" t="s">
        <v>1231</v>
      </c>
      <c r="N2104" s="524" t="s">
        <v>1256</v>
      </c>
      <c r="O2104" s="524" t="s">
        <v>1257</v>
      </c>
      <c r="P2104" s="526">
        <v>46230</v>
      </c>
      <c r="S2104" s="527">
        <v>0</v>
      </c>
    </row>
    <row r="2105" spans="1:19" x14ac:dyDescent="0.2">
      <c r="A2105" s="524">
        <v>70979</v>
      </c>
      <c r="B2105" s="526">
        <v>46230</v>
      </c>
      <c r="C2105" s="524" t="s">
        <v>1148</v>
      </c>
      <c r="D2105" s="524" t="s">
        <v>1239</v>
      </c>
      <c r="E2105" s="524" t="s">
        <v>2455</v>
      </c>
      <c r="F2105" s="524" t="s">
        <v>1170</v>
      </c>
      <c r="G2105" s="524" t="s">
        <v>798</v>
      </c>
      <c r="H2105" s="527">
        <v>75</v>
      </c>
      <c r="I2105" s="524" t="s">
        <v>1174</v>
      </c>
      <c r="J2105" s="524">
        <f>IF(cmf[[#This Row],[D/C]]="C",cmf[[#This Row],[Valor]],-1*cmf[[#This Row],[Valor]])</f>
        <v>-75</v>
      </c>
      <c r="L2105" s="524" t="s">
        <v>1241</v>
      </c>
      <c r="M2105" s="524" t="s">
        <v>1242</v>
      </c>
      <c r="N2105" s="524" t="s">
        <v>1171</v>
      </c>
      <c r="O2105" s="524" t="s">
        <v>1172</v>
      </c>
      <c r="P2105" s="526">
        <v>46230</v>
      </c>
      <c r="S2105" s="527">
        <v>0</v>
      </c>
    </row>
    <row r="2106" spans="1:19" x14ac:dyDescent="0.2">
      <c r="A2106" s="524">
        <v>70989</v>
      </c>
      <c r="B2106" s="526">
        <v>46230</v>
      </c>
      <c r="C2106" s="524" t="s">
        <v>1148</v>
      </c>
      <c r="D2106" s="524" t="s">
        <v>1186</v>
      </c>
      <c r="E2106" s="524" t="s">
        <v>2456</v>
      </c>
      <c r="F2106" s="524" t="s">
        <v>1170</v>
      </c>
      <c r="G2106" s="524" t="s">
        <v>802</v>
      </c>
      <c r="H2106" s="527">
        <v>157840.5</v>
      </c>
      <c r="I2106" s="524" t="s">
        <v>1174</v>
      </c>
      <c r="J2106" s="524">
        <f>IF(cmf[[#This Row],[D/C]]="C",cmf[[#This Row],[Valor]],-1*cmf[[#This Row],[Valor]])</f>
        <v>-157840.5</v>
      </c>
      <c r="L2106" s="524" t="s">
        <v>1188</v>
      </c>
      <c r="M2106" s="524" t="s">
        <v>1189</v>
      </c>
      <c r="N2106" s="524" t="s">
        <v>1192</v>
      </c>
      <c r="O2106" s="524" t="s">
        <v>1193</v>
      </c>
      <c r="P2106" s="526">
        <v>46230</v>
      </c>
      <c r="S2106" s="527">
        <v>0</v>
      </c>
    </row>
    <row r="2107" spans="1:19" x14ac:dyDescent="0.2">
      <c r="A2107" s="524">
        <v>70996</v>
      </c>
      <c r="B2107" s="526">
        <v>46230</v>
      </c>
      <c r="C2107" s="524" t="s">
        <v>1162</v>
      </c>
      <c r="D2107" s="524" t="s">
        <v>1186</v>
      </c>
      <c r="E2107" s="524" t="s">
        <v>2457</v>
      </c>
      <c r="F2107" s="524" t="s">
        <v>1170</v>
      </c>
      <c r="G2107" s="524" t="s">
        <v>785</v>
      </c>
      <c r="H2107" s="527">
        <v>11783.68</v>
      </c>
      <c r="I2107" s="524" t="s">
        <v>1174</v>
      </c>
      <c r="J2107" s="524">
        <f>IF(cmf[[#This Row],[D/C]]="C",cmf[[#This Row],[Valor]],-1*cmf[[#This Row],[Valor]])</f>
        <v>-11783.68</v>
      </c>
      <c r="L2107" s="524" t="s">
        <v>1188</v>
      </c>
      <c r="M2107" s="524" t="s">
        <v>1189</v>
      </c>
      <c r="N2107" s="524" t="s">
        <v>2104</v>
      </c>
      <c r="O2107" s="524" t="s">
        <v>1751</v>
      </c>
      <c r="P2107" s="526"/>
      <c r="S2107" s="527">
        <v>0</v>
      </c>
    </row>
    <row r="2108" spans="1:19" x14ac:dyDescent="0.2">
      <c r="A2108" s="524">
        <v>70997</v>
      </c>
      <c r="B2108" s="526">
        <v>46230</v>
      </c>
      <c r="C2108" s="524" t="s">
        <v>1162</v>
      </c>
      <c r="D2108" s="524" t="s">
        <v>1186</v>
      </c>
      <c r="E2108" s="524" t="s">
        <v>2458</v>
      </c>
      <c r="F2108" s="524" t="s">
        <v>1170</v>
      </c>
      <c r="G2108" s="524" t="s">
        <v>785</v>
      </c>
      <c r="H2108" s="527">
        <v>16802.439999999999</v>
      </c>
      <c r="I2108" s="524" t="s">
        <v>1174</v>
      </c>
      <c r="J2108" s="524">
        <f>IF(cmf[[#This Row],[D/C]]="C",cmf[[#This Row],[Valor]],-1*cmf[[#This Row],[Valor]])</f>
        <v>-16802.439999999999</v>
      </c>
      <c r="L2108" s="524" t="s">
        <v>1188</v>
      </c>
      <c r="M2108" s="524" t="s">
        <v>1189</v>
      </c>
      <c r="N2108" s="524" t="s">
        <v>2104</v>
      </c>
      <c r="O2108" s="524" t="s">
        <v>1751</v>
      </c>
      <c r="P2108" s="526"/>
      <c r="S2108" s="527">
        <v>0</v>
      </c>
    </row>
    <row r="2109" spans="1:19" x14ac:dyDescent="0.2">
      <c r="A2109" s="524">
        <v>70999</v>
      </c>
      <c r="B2109" s="526">
        <v>46230</v>
      </c>
      <c r="C2109" s="524" t="s">
        <v>1162</v>
      </c>
      <c r="D2109" s="524" t="s">
        <v>1186</v>
      </c>
      <c r="E2109" s="524" t="s">
        <v>2459</v>
      </c>
      <c r="F2109" s="524" t="s">
        <v>1170</v>
      </c>
      <c r="G2109" s="524" t="s">
        <v>775</v>
      </c>
      <c r="H2109" s="527">
        <v>3180</v>
      </c>
      <c r="I2109" s="524" t="s">
        <v>1174</v>
      </c>
      <c r="J2109" s="524">
        <f>IF(cmf[[#This Row],[D/C]]="C",cmf[[#This Row],[Valor]],-1*cmf[[#This Row],[Valor]])</f>
        <v>-3180</v>
      </c>
      <c r="L2109" s="524" t="s">
        <v>1188</v>
      </c>
      <c r="M2109" s="524" t="s">
        <v>1189</v>
      </c>
      <c r="N2109" s="524" t="s">
        <v>1212</v>
      </c>
      <c r="O2109" s="524" t="s">
        <v>1213</v>
      </c>
      <c r="P2109" s="526"/>
      <c r="S2109" s="527">
        <v>0</v>
      </c>
    </row>
    <row r="2110" spans="1:19" x14ac:dyDescent="0.2">
      <c r="A2110" s="524">
        <v>71000</v>
      </c>
      <c r="B2110" s="526">
        <v>46230</v>
      </c>
      <c r="C2110" s="524" t="s">
        <v>1162</v>
      </c>
      <c r="D2110" s="524" t="s">
        <v>1186</v>
      </c>
      <c r="E2110" s="524" t="s">
        <v>2460</v>
      </c>
      <c r="F2110" s="524" t="s">
        <v>1170</v>
      </c>
      <c r="G2110" s="524" t="s">
        <v>775</v>
      </c>
      <c r="H2110" s="527">
        <v>27540</v>
      </c>
      <c r="I2110" s="524" t="s">
        <v>1174</v>
      </c>
      <c r="J2110" s="524">
        <f>IF(cmf[[#This Row],[D/C]]="C",cmf[[#This Row],[Valor]],-1*cmf[[#This Row],[Valor]])</f>
        <v>-27540</v>
      </c>
      <c r="L2110" s="524" t="s">
        <v>1188</v>
      </c>
      <c r="M2110" s="524" t="s">
        <v>1189</v>
      </c>
      <c r="N2110" s="524" t="s">
        <v>1212</v>
      </c>
      <c r="O2110" s="524" t="s">
        <v>1213</v>
      </c>
      <c r="P2110" s="526"/>
      <c r="S2110" s="527">
        <v>0</v>
      </c>
    </row>
    <row r="2111" spans="1:19" x14ac:dyDescent="0.2">
      <c r="A2111" s="524">
        <v>71001</v>
      </c>
      <c r="B2111" s="526">
        <v>46230</v>
      </c>
      <c r="C2111" s="524" t="s">
        <v>1162</v>
      </c>
      <c r="D2111" s="524" t="s">
        <v>1186</v>
      </c>
      <c r="E2111" s="524" t="s">
        <v>2461</v>
      </c>
      <c r="F2111" s="524" t="s">
        <v>1170</v>
      </c>
      <c r="G2111" s="524" t="s">
        <v>775</v>
      </c>
      <c r="H2111" s="527">
        <v>34073.24</v>
      </c>
      <c r="I2111" s="524" t="s">
        <v>1174</v>
      </c>
      <c r="J2111" s="524">
        <f>IF(cmf[[#This Row],[D/C]]="C",cmf[[#This Row],[Valor]],-1*cmf[[#This Row],[Valor]])</f>
        <v>-34073.24</v>
      </c>
      <c r="L2111" s="524" t="s">
        <v>1188</v>
      </c>
      <c r="M2111" s="524" t="s">
        <v>1189</v>
      </c>
      <c r="N2111" s="524" t="s">
        <v>1212</v>
      </c>
      <c r="O2111" s="524" t="s">
        <v>1213</v>
      </c>
      <c r="P2111" s="526"/>
      <c r="S2111" s="527">
        <v>0</v>
      </c>
    </row>
    <row r="2112" spans="1:19" x14ac:dyDescent="0.2">
      <c r="A2112" s="524">
        <v>71002</v>
      </c>
      <c r="B2112" s="526">
        <v>46230</v>
      </c>
      <c r="C2112" s="524" t="s">
        <v>1162</v>
      </c>
      <c r="D2112" s="524" t="s">
        <v>1186</v>
      </c>
      <c r="E2112" s="524" t="s">
        <v>2462</v>
      </c>
      <c r="F2112" s="524" t="s">
        <v>1170</v>
      </c>
      <c r="G2112" s="524" t="s">
        <v>775</v>
      </c>
      <c r="H2112" s="527">
        <v>200</v>
      </c>
      <c r="I2112" s="524" t="s">
        <v>1174</v>
      </c>
      <c r="J2112" s="524">
        <f>IF(cmf[[#This Row],[D/C]]="C",cmf[[#This Row],[Valor]],-1*cmf[[#This Row],[Valor]])</f>
        <v>-200</v>
      </c>
      <c r="L2112" s="524" t="s">
        <v>1188</v>
      </c>
      <c r="M2112" s="524" t="s">
        <v>1189</v>
      </c>
      <c r="N2112" s="524" t="s">
        <v>1212</v>
      </c>
      <c r="O2112" s="524" t="s">
        <v>1213</v>
      </c>
      <c r="P2112" s="526"/>
      <c r="S2112" s="527">
        <v>0</v>
      </c>
    </row>
    <row r="2113" spans="1:19" x14ac:dyDescent="0.2">
      <c r="A2113" s="524">
        <v>71003</v>
      </c>
      <c r="B2113" s="526">
        <v>46230</v>
      </c>
      <c r="C2113" s="524" t="s">
        <v>1162</v>
      </c>
      <c r="D2113" s="524" t="s">
        <v>1186</v>
      </c>
      <c r="E2113" s="524" t="s">
        <v>2463</v>
      </c>
      <c r="F2113" s="524" t="s">
        <v>1170</v>
      </c>
      <c r="G2113" s="524" t="s">
        <v>794</v>
      </c>
      <c r="H2113" s="527">
        <v>34170</v>
      </c>
      <c r="I2113" s="524" t="s">
        <v>1174</v>
      </c>
      <c r="J2113" s="524">
        <f>IF(cmf[[#This Row],[D/C]]="C",cmf[[#This Row],[Valor]],-1*cmf[[#This Row],[Valor]])</f>
        <v>-34170</v>
      </c>
      <c r="L2113" s="524" t="s">
        <v>1188</v>
      </c>
      <c r="M2113" s="524" t="s">
        <v>1189</v>
      </c>
      <c r="N2113" s="524" t="s">
        <v>1340</v>
      </c>
      <c r="O2113" s="524" t="s">
        <v>1341</v>
      </c>
      <c r="P2113" s="526"/>
      <c r="S2113" s="527">
        <v>0</v>
      </c>
    </row>
    <row r="2114" spans="1:19" x14ac:dyDescent="0.2">
      <c r="A2114" s="524">
        <v>71004</v>
      </c>
      <c r="B2114" s="526">
        <v>46230</v>
      </c>
      <c r="C2114" s="524" t="s">
        <v>1162</v>
      </c>
      <c r="D2114" s="524" t="s">
        <v>1186</v>
      </c>
      <c r="E2114" s="524" t="s">
        <v>2464</v>
      </c>
      <c r="F2114" s="524" t="s">
        <v>1170</v>
      </c>
      <c r="G2114" s="524" t="s">
        <v>794</v>
      </c>
      <c r="H2114" s="527">
        <v>25772.91</v>
      </c>
      <c r="I2114" s="524" t="s">
        <v>1174</v>
      </c>
      <c r="J2114" s="524">
        <f>IF(cmf[[#This Row],[D/C]]="C",cmf[[#This Row],[Valor]],-1*cmf[[#This Row],[Valor]])</f>
        <v>-25772.91</v>
      </c>
      <c r="L2114" s="524" t="s">
        <v>1188</v>
      </c>
      <c r="M2114" s="524" t="s">
        <v>1189</v>
      </c>
      <c r="N2114" s="524" t="s">
        <v>1340</v>
      </c>
      <c r="O2114" s="524" t="s">
        <v>1341</v>
      </c>
      <c r="P2114" s="526"/>
      <c r="S2114" s="527">
        <v>0</v>
      </c>
    </row>
    <row r="2115" spans="1:19" x14ac:dyDescent="0.2">
      <c r="A2115" s="524">
        <v>71006</v>
      </c>
      <c r="B2115" s="526">
        <v>46230</v>
      </c>
      <c r="C2115" s="524" t="s">
        <v>1162</v>
      </c>
      <c r="D2115" s="524" t="s">
        <v>1186</v>
      </c>
      <c r="E2115" s="524" t="s">
        <v>2465</v>
      </c>
      <c r="F2115" s="524" t="s">
        <v>1170</v>
      </c>
      <c r="G2115" s="524" t="s">
        <v>771</v>
      </c>
      <c r="H2115" s="527">
        <v>1760.95</v>
      </c>
      <c r="I2115" s="524" t="s">
        <v>1174</v>
      </c>
      <c r="J2115" s="524">
        <f>IF(cmf[[#This Row],[D/C]]="C",cmf[[#This Row],[Valor]],-1*cmf[[#This Row],[Valor]])</f>
        <v>-1760.95</v>
      </c>
      <c r="L2115" s="524" t="s">
        <v>1188</v>
      </c>
      <c r="M2115" s="524" t="s">
        <v>1189</v>
      </c>
      <c r="N2115" s="524" t="s">
        <v>1249</v>
      </c>
      <c r="O2115" s="524" t="s">
        <v>1250</v>
      </c>
      <c r="P2115" s="526"/>
      <c r="S2115" s="527">
        <v>0</v>
      </c>
    </row>
    <row r="2116" spans="1:19" x14ac:dyDescent="0.2">
      <c r="A2116" s="524">
        <v>71007</v>
      </c>
      <c r="B2116" s="526">
        <v>46230</v>
      </c>
      <c r="C2116" s="524" t="s">
        <v>1162</v>
      </c>
      <c r="D2116" s="524" t="s">
        <v>1186</v>
      </c>
      <c r="E2116" s="524" t="s">
        <v>2466</v>
      </c>
      <c r="F2116" s="524" t="s">
        <v>1170</v>
      </c>
      <c r="G2116" s="524" t="s">
        <v>771</v>
      </c>
      <c r="H2116" s="527">
        <v>750</v>
      </c>
      <c r="I2116" s="524" t="s">
        <v>1174</v>
      </c>
      <c r="J2116" s="524">
        <f>IF(cmf[[#This Row],[D/C]]="C",cmf[[#This Row],[Valor]],-1*cmf[[#This Row],[Valor]])</f>
        <v>-750</v>
      </c>
      <c r="L2116" s="524" t="s">
        <v>1188</v>
      </c>
      <c r="M2116" s="524" t="s">
        <v>1189</v>
      </c>
      <c r="N2116" s="524" t="s">
        <v>1249</v>
      </c>
      <c r="O2116" s="524" t="s">
        <v>1250</v>
      </c>
      <c r="P2116" s="526"/>
      <c r="S2116" s="527">
        <v>0</v>
      </c>
    </row>
    <row r="2117" spans="1:19" x14ac:dyDescent="0.2">
      <c r="A2117" s="524">
        <v>71008</v>
      </c>
      <c r="B2117" s="526">
        <v>46230</v>
      </c>
      <c r="C2117" s="524" t="s">
        <v>1162</v>
      </c>
      <c r="D2117" s="524" t="s">
        <v>1186</v>
      </c>
      <c r="E2117" s="524" t="s">
        <v>2467</v>
      </c>
      <c r="F2117" s="524" t="s">
        <v>1170</v>
      </c>
      <c r="G2117" s="524" t="s">
        <v>771</v>
      </c>
      <c r="H2117" s="527">
        <v>21367.53</v>
      </c>
      <c r="I2117" s="524" t="s">
        <v>1174</v>
      </c>
      <c r="J2117" s="524">
        <f>IF(cmf[[#This Row],[D/C]]="C",cmf[[#This Row],[Valor]],-1*cmf[[#This Row],[Valor]])</f>
        <v>-21367.53</v>
      </c>
      <c r="L2117" s="524" t="s">
        <v>1188</v>
      </c>
      <c r="M2117" s="524" t="s">
        <v>1189</v>
      </c>
      <c r="N2117" s="524" t="s">
        <v>1249</v>
      </c>
      <c r="O2117" s="524" t="s">
        <v>1250</v>
      </c>
      <c r="P2117" s="526"/>
      <c r="S2117" s="527">
        <v>0</v>
      </c>
    </row>
    <row r="2118" spans="1:19" x14ac:dyDescent="0.2">
      <c r="A2118" s="524">
        <v>71009</v>
      </c>
      <c r="B2118" s="526">
        <v>46230</v>
      </c>
      <c r="C2118" s="524" t="s">
        <v>1162</v>
      </c>
      <c r="D2118" s="524" t="s">
        <v>1186</v>
      </c>
      <c r="E2118" s="524" t="s">
        <v>2468</v>
      </c>
      <c r="F2118" s="524" t="s">
        <v>1170</v>
      </c>
      <c r="G2118" s="524" t="s">
        <v>771</v>
      </c>
      <c r="H2118" s="527">
        <v>17340</v>
      </c>
      <c r="I2118" s="524" t="s">
        <v>1174</v>
      </c>
      <c r="J2118" s="524">
        <f>IF(cmf[[#This Row],[D/C]]="C",cmf[[#This Row],[Valor]],-1*cmf[[#This Row],[Valor]])</f>
        <v>-17340</v>
      </c>
      <c r="L2118" s="524" t="s">
        <v>1188</v>
      </c>
      <c r="M2118" s="524" t="s">
        <v>1189</v>
      </c>
      <c r="N2118" s="524" t="s">
        <v>1249</v>
      </c>
      <c r="O2118" s="524" t="s">
        <v>1250</v>
      </c>
      <c r="P2118" s="526"/>
      <c r="S2118" s="527">
        <v>0</v>
      </c>
    </row>
    <row r="2119" spans="1:19" x14ac:dyDescent="0.2">
      <c r="A2119" s="524">
        <v>71032</v>
      </c>
      <c r="B2119" s="526">
        <v>46230</v>
      </c>
      <c r="C2119" s="524" t="s">
        <v>1148</v>
      </c>
      <c r="D2119" s="524" t="s">
        <v>1239</v>
      </c>
      <c r="E2119" s="524" t="s">
        <v>2376</v>
      </c>
      <c r="F2119" s="524" t="s">
        <v>1170</v>
      </c>
      <c r="G2119" s="524" t="s">
        <v>799</v>
      </c>
      <c r="H2119" s="527">
        <v>73</v>
      </c>
      <c r="I2119" s="524" t="s">
        <v>1174</v>
      </c>
      <c r="J2119" s="524">
        <f>IF(cmf[[#This Row],[D/C]]="C",cmf[[#This Row],[Valor]],-1*cmf[[#This Row],[Valor]])</f>
        <v>-73</v>
      </c>
      <c r="L2119" s="524" t="s">
        <v>1241</v>
      </c>
      <c r="M2119" s="524" t="s">
        <v>1242</v>
      </c>
      <c r="N2119" s="524" t="s">
        <v>1171</v>
      </c>
      <c r="O2119" s="524" t="s">
        <v>1172</v>
      </c>
      <c r="P2119" s="526">
        <v>46230</v>
      </c>
      <c r="S2119" s="527">
        <v>0</v>
      </c>
    </row>
    <row r="2120" spans="1:19" x14ac:dyDescent="0.2">
      <c r="A2120" s="524">
        <v>71051</v>
      </c>
      <c r="B2120" s="526">
        <v>46230</v>
      </c>
      <c r="C2120" s="524" t="s">
        <v>1148</v>
      </c>
      <c r="D2120" s="524" t="s">
        <v>1239</v>
      </c>
      <c r="E2120" s="524" t="s">
        <v>2376</v>
      </c>
      <c r="F2120" s="524" t="s">
        <v>1170</v>
      </c>
      <c r="G2120" s="524" t="s">
        <v>765</v>
      </c>
      <c r="H2120" s="527">
        <v>73</v>
      </c>
      <c r="I2120" s="524" t="s">
        <v>1174</v>
      </c>
      <c r="J2120" s="524">
        <f>IF(cmf[[#This Row],[D/C]]="C",cmf[[#This Row],[Valor]],-1*cmf[[#This Row],[Valor]])</f>
        <v>-73</v>
      </c>
      <c r="L2120" s="524" t="s">
        <v>1241</v>
      </c>
      <c r="M2120" s="524" t="s">
        <v>1242</v>
      </c>
      <c r="N2120" s="524" t="s">
        <v>1200</v>
      </c>
      <c r="O2120" s="524" t="s">
        <v>1201</v>
      </c>
      <c r="P2120" s="526">
        <v>46230</v>
      </c>
      <c r="S2120" s="527">
        <v>0</v>
      </c>
    </row>
    <row r="2121" spans="1:19" x14ac:dyDescent="0.2">
      <c r="A2121" s="524">
        <v>71052</v>
      </c>
      <c r="B2121" s="526">
        <v>46230</v>
      </c>
      <c r="C2121" s="524" t="s">
        <v>1148</v>
      </c>
      <c r="D2121" s="524" t="s">
        <v>1239</v>
      </c>
      <c r="E2121" s="524" t="s">
        <v>2069</v>
      </c>
      <c r="F2121" s="524" t="s">
        <v>1170</v>
      </c>
      <c r="G2121" s="524" t="s">
        <v>765</v>
      </c>
      <c r="H2121" s="527">
        <v>13</v>
      </c>
      <c r="I2121" s="524" t="s">
        <v>1174</v>
      </c>
      <c r="J2121" s="524">
        <f>IF(cmf[[#This Row],[D/C]]="C",cmf[[#This Row],[Valor]],-1*cmf[[#This Row],[Valor]])</f>
        <v>-13</v>
      </c>
      <c r="L2121" s="524" t="s">
        <v>1241</v>
      </c>
      <c r="M2121" s="524" t="s">
        <v>1242</v>
      </c>
      <c r="N2121" s="524" t="s">
        <v>1200</v>
      </c>
      <c r="O2121" s="524" t="s">
        <v>1201</v>
      </c>
      <c r="P2121" s="526">
        <v>46230</v>
      </c>
      <c r="S2121" s="527">
        <v>0</v>
      </c>
    </row>
    <row r="2122" spans="1:19" x14ac:dyDescent="0.2">
      <c r="A2122" s="524">
        <v>71053</v>
      </c>
      <c r="B2122" s="526">
        <v>46230</v>
      </c>
      <c r="C2122" s="524" t="s">
        <v>1148</v>
      </c>
      <c r="D2122" s="524" t="s">
        <v>1239</v>
      </c>
      <c r="E2122" s="524" t="s">
        <v>1258</v>
      </c>
      <c r="F2122" s="524" t="s">
        <v>1170</v>
      </c>
      <c r="G2122" s="524" t="s">
        <v>765</v>
      </c>
      <c r="H2122" s="527">
        <v>1.5</v>
      </c>
      <c r="I2122" s="524" t="s">
        <v>1174</v>
      </c>
      <c r="J2122" s="524">
        <f>IF(cmf[[#This Row],[D/C]]="C",cmf[[#This Row],[Valor]],-1*cmf[[#This Row],[Valor]])</f>
        <v>-1.5</v>
      </c>
      <c r="L2122" s="524" t="s">
        <v>1241</v>
      </c>
      <c r="M2122" s="524" t="s">
        <v>1242</v>
      </c>
      <c r="N2122" s="524" t="s">
        <v>1200</v>
      </c>
      <c r="O2122" s="524" t="s">
        <v>1201</v>
      </c>
      <c r="P2122" s="526">
        <v>46230</v>
      </c>
      <c r="S2122" s="527">
        <v>0</v>
      </c>
    </row>
    <row r="2123" spans="1:19" x14ac:dyDescent="0.2">
      <c r="A2123" s="524">
        <v>71092</v>
      </c>
      <c r="B2123" s="526">
        <v>46230</v>
      </c>
      <c r="C2123" s="524" t="s">
        <v>1148</v>
      </c>
      <c r="D2123" s="524" t="s">
        <v>1239</v>
      </c>
      <c r="E2123" s="524" t="s">
        <v>2469</v>
      </c>
      <c r="F2123" s="524" t="s">
        <v>1170</v>
      </c>
      <c r="G2123" s="524" t="s">
        <v>762</v>
      </c>
      <c r="H2123" s="527">
        <v>73</v>
      </c>
      <c r="I2123" s="524" t="s">
        <v>1174</v>
      </c>
      <c r="J2123" s="524">
        <f>IF(cmf[[#This Row],[D/C]]="C",cmf[[#This Row],[Valor]],-1*cmf[[#This Row],[Valor]])</f>
        <v>-73</v>
      </c>
      <c r="L2123" s="524" t="s">
        <v>1241</v>
      </c>
      <c r="M2123" s="524" t="s">
        <v>1242</v>
      </c>
      <c r="N2123" s="524" t="s">
        <v>1180</v>
      </c>
      <c r="O2123" s="524" t="s">
        <v>1181</v>
      </c>
      <c r="P2123" s="526">
        <v>46230</v>
      </c>
      <c r="S2123" s="527">
        <v>0</v>
      </c>
    </row>
    <row r="2124" spans="1:19" x14ac:dyDescent="0.2">
      <c r="A2124" s="524">
        <v>71106</v>
      </c>
      <c r="B2124" s="526">
        <v>46230</v>
      </c>
      <c r="C2124" s="524" t="s">
        <v>1148</v>
      </c>
      <c r="D2124" s="524" t="s">
        <v>1205</v>
      </c>
      <c r="E2124" s="524" t="s">
        <v>1214</v>
      </c>
      <c r="F2124" s="524" t="s">
        <v>1170</v>
      </c>
      <c r="G2124" s="524" t="s">
        <v>768</v>
      </c>
      <c r="H2124" s="527">
        <v>20000</v>
      </c>
      <c r="I2124" s="524" t="s">
        <v>1174</v>
      </c>
      <c r="J2124" s="524">
        <f>IF(cmf[[#This Row],[D/C]]="C",cmf[[#This Row],[Valor]],-1*cmf[[#This Row],[Valor]])</f>
        <v>-20000</v>
      </c>
      <c r="L2124" s="524" t="s">
        <v>1207</v>
      </c>
      <c r="M2124" s="524" t="s">
        <v>1208</v>
      </c>
      <c r="N2124" s="524" t="s">
        <v>1219</v>
      </c>
      <c r="O2124" s="524" t="s">
        <v>1220</v>
      </c>
      <c r="P2124" s="526">
        <v>46230</v>
      </c>
      <c r="S2124" s="527">
        <v>0</v>
      </c>
    </row>
    <row r="2125" spans="1:19" x14ac:dyDescent="0.2">
      <c r="A2125" s="524">
        <v>71107</v>
      </c>
      <c r="B2125" s="526">
        <v>46230</v>
      </c>
      <c r="C2125" s="524" t="s">
        <v>1148</v>
      </c>
      <c r="D2125" s="524" t="s">
        <v>1205</v>
      </c>
      <c r="E2125" s="524" t="s">
        <v>1282</v>
      </c>
      <c r="F2125" s="524" t="s">
        <v>1183</v>
      </c>
      <c r="G2125" s="524" t="s">
        <v>742</v>
      </c>
      <c r="H2125" s="527">
        <v>20000</v>
      </c>
      <c r="I2125" s="524" t="s">
        <v>1148</v>
      </c>
      <c r="J2125" s="524">
        <f>IF(cmf[[#This Row],[D/C]]="C",cmf[[#This Row],[Valor]],-1*cmf[[#This Row],[Valor]])</f>
        <v>20000</v>
      </c>
      <c r="L2125" s="524" t="s">
        <v>1207</v>
      </c>
      <c r="M2125" s="524" t="s">
        <v>1208</v>
      </c>
      <c r="N2125" s="524" t="s">
        <v>1215</v>
      </c>
      <c r="O2125" s="524" t="s">
        <v>1218</v>
      </c>
      <c r="P2125" s="526">
        <v>46230</v>
      </c>
      <c r="S2125" s="527">
        <v>0</v>
      </c>
    </row>
    <row r="2126" spans="1:19" x14ac:dyDescent="0.2">
      <c r="A2126" s="524">
        <v>71108</v>
      </c>
      <c r="B2126" s="526">
        <v>46230</v>
      </c>
      <c r="C2126" s="524" t="s">
        <v>1148</v>
      </c>
      <c r="D2126" s="524" t="s">
        <v>1205</v>
      </c>
      <c r="E2126" s="524" t="s">
        <v>1214</v>
      </c>
      <c r="F2126" s="524" t="s">
        <v>1170</v>
      </c>
      <c r="G2126" s="524" t="s">
        <v>757</v>
      </c>
      <c r="H2126" s="527">
        <v>20000</v>
      </c>
      <c r="I2126" s="524" t="s">
        <v>1174</v>
      </c>
      <c r="J2126" s="524">
        <f>IF(cmf[[#This Row],[D/C]]="C",cmf[[#This Row],[Valor]],-1*cmf[[#This Row],[Valor]])</f>
        <v>-20000</v>
      </c>
      <c r="L2126" s="524" t="s">
        <v>1207</v>
      </c>
      <c r="M2126" s="524" t="s">
        <v>1208</v>
      </c>
      <c r="N2126" s="524" t="s">
        <v>1223</v>
      </c>
      <c r="O2126" s="524" t="s">
        <v>1224</v>
      </c>
      <c r="P2126" s="526">
        <v>46230</v>
      </c>
      <c r="S2126" s="527">
        <v>0</v>
      </c>
    </row>
    <row r="2127" spans="1:19" x14ac:dyDescent="0.2">
      <c r="A2127" s="524">
        <v>71109</v>
      </c>
      <c r="B2127" s="526">
        <v>46230</v>
      </c>
      <c r="C2127" s="524" t="s">
        <v>1148</v>
      </c>
      <c r="D2127" s="524" t="s">
        <v>1205</v>
      </c>
      <c r="E2127" s="524" t="s">
        <v>1234</v>
      </c>
      <c r="F2127" s="524" t="s">
        <v>1183</v>
      </c>
      <c r="G2127" s="524" t="s">
        <v>742</v>
      </c>
      <c r="H2127" s="527">
        <v>20000</v>
      </c>
      <c r="I2127" s="524" t="s">
        <v>1148</v>
      </c>
      <c r="J2127" s="524">
        <f>IF(cmf[[#This Row],[D/C]]="C",cmf[[#This Row],[Valor]],-1*cmf[[#This Row],[Valor]])</f>
        <v>20000</v>
      </c>
      <c r="L2127" s="524" t="s">
        <v>1207</v>
      </c>
      <c r="M2127" s="524" t="s">
        <v>1208</v>
      </c>
      <c r="N2127" s="524" t="s">
        <v>1215</v>
      </c>
      <c r="O2127" s="524" t="s">
        <v>1218</v>
      </c>
      <c r="P2127" s="526">
        <v>46230</v>
      </c>
      <c r="S2127" s="527">
        <v>0</v>
      </c>
    </row>
    <row r="2128" spans="1:19" x14ac:dyDescent="0.2">
      <c r="A2128" s="524">
        <v>71110</v>
      </c>
      <c r="B2128" s="526">
        <v>46230</v>
      </c>
      <c r="C2128" s="524" t="s">
        <v>1148</v>
      </c>
      <c r="D2128" s="524" t="s">
        <v>1205</v>
      </c>
      <c r="E2128" s="524" t="s">
        <v>1214</v>
      </c>
      <c r="F2128" s="524" t="s">
        <v>1170</v>
      </c>
      <c r="G2128" s="524" t="s">
        <v>802</v>
      </c>
      <c r="H2128" s="527">
        <v>20000</v>
      </c>
      <c r="I2128" s="524" t="s">
        <v>1174</v>
      </c>
      <c r="J2128" s="524">
        <f>IF(cmf[[#This Row],[D/C]]="C",cmf[[#This Row],[Valor]],-1*cmf[[#This Row],[Valor]])</f>
        <v>-20000</v>
      </c>
      <c r="L2128" s="524" t="s">
        <v>1207</v>
      </c>
      <c r="M2128" s="524" t="s">
        <v>1208</v>
      </c>
      <c r="N2128" s="524" t="s">
        <v>1192</v>
      </c>
      <c r="O2128" s="524" t="s">
        <v>1193</v>
      </c>
      <c r="P2128" s="526">
        <v>46230</v>
      </c>
      <c r="S2128" s="527">
        <v>0</v>
      </c>
    </row>
    <row r="2129" spans="1:19" x14ac:dyDescent="0.2">
      <c r="A2129" s="524">
        <v>71111</v>
      </c>
      <c r="B2129" s="526">
        <v>46230</v>
      </c>
      <c r="C2129" s="524" t="s">
        <v>1148</v>
      </c>
      <c r="D2129" s="524" t="s">
        <v>1205</v>
      </c>
      <c r="E2129" s="524" t="s">
        <v>1342</v>
      </c>
      <c r="F2129" s="524" t="s">
        <v>1183</v>
      </c>
      <c r="G2129" s="524" t="s">
        <v>742</v>
      </c>
      <c r="H2129" s="527">
        <v>20000</v>
      </c>
      <c r="I2129" s="524" t="s">
        <v>1148</v>
      </c>
      <c r="J2129" s="524">
        <f>IF(cmf[[#This Row],[D/C]]="C",cmf[[#This Row],[Valor]],-1*cmf[[#This Row],[Valor]])</f>
        <v>20000</v>
      </c>
      <c r="L2129" s="524" t="s">
        <v>1207</v>
      </c>
      <c r="M2129" s="524" t="s">
        <v>1208</v>
      </c>
      <c r="N2129" s="524" t="s">
        <v>1215</v>
      </c>
      <c r="O2129" s="524" t="s">
        <v>1218</v>
      </c>
      <c r="P2129" s="526">
        <v>46230</v>
      </c>
      <c r="S2129" s="527">
        <v>0</v>
      </c>
    </row>
    <row r="2130" spans="1:19" x14ac:dyDescent="0.2">
      <c r="A2130" s="524">
        <v>71112</v>
      </c>
      <c r="B2130" s="526">
        <v>46230</v>
      </c>
      <c r="C2130" s="524" t="s">
        <v>1148</v>
      </c>
      <c r="D2130" s="524" t="s">
        <v>1205</v>
      </c>
      <c r="E2130" s="524" t="s">
        <v>1214</v>
      </c>
      <c r="F2130" s="524" t="s">
        <v>1183</v>
      </c>
      <c r="G2130" s="524" t="s">
        <v>806</v>
      </c>
      <c r="H2130" s="527">
        <v>250000</v>
      </c>
      <c r="I2130" s="524" t="s">
        <v>1174</v>
      </c>
      <c r="J2130" s="524">
        <f>IF(cmf[[#This Row],[D/C]]="C",cmf[[#This Row],[Valor]],-1*cmf[[#This Row],[Valor]])</f>
        <v>-250000</v>
      </c>
      <c r="L2130" s="524" t="s">
        <v>1207</v>
      </c>
      <c r="M2130" s="524" t="s">
        <v>1208</v>
      </c>
      <c r="N2130" s="524" t="s">
        <v>1283</v>
      </c>
      <c r="O2130" s="524" t="s">
        <v>1284</v>
      </c>
      <c r="P2130" s="526">
        <v>46230</v>
      </c>
      <c r="S2130" s="527">
        <v>0</v>
      </c>
    </row>
    <row r="2131" spans="1:19" x14ac:dyDescent="0.2">
      <c r="A2131" s="524">
        <v>71113</v>
      </c>
      <c r="B2131" s="526">
        <v>46230</v>
      </c>
      <c r="C2131" s="524" t="s">
        <v>1148</v>
      </c>
      <c r="D2131" s="524" t="s">
        <v>1205</v>
      </c>
      <c r="E2131" s="524" t="s">
        <v>1539</v>
      </c>
      <c r="F2131" s="524" t="s">
        <v>1183</v>
      </c>
      <c r="G2131" s="524" t="s">
        <v>742</v>
      </c>
      <c r="H2131" s="527">
        <v>250000</v>
      </c>
      <c r="I2131" s="524" t="s">
        <v>1148</v>
      </c>
      <c r="J2131" s="524">
        <f>IF(cmf[[#This Row],[D/C]]="C",cmf[[#This Row],[Valor]],-1*cmf[[#This Row],[Valor]])</f>
        <v>250000</v>
      </c>
      <c r="L2131" s="524" t="s">
        <v>1207</v>
      </c>
      <c r="M2131" s="524" t="s">
        <v>1208</v>
      </c>
      <c r="N2131" s="524" t="s">
        <v>1215</v>
      </c>
      <c r="O2131" s="524" t="s">
        <v>1218</v>
      </c>
      <c r="P2131" s="526">
        <v>46230</v>
      </c>
      <c r="S2131" s="527">
        <v>0</v>
      </c>
    </row>
    <row r="2132" spans="1:19" x14ac:dyDescent="0.2">
      <c r="A2132" s="524">
        <v>71114</v>
      </c>
      <c r="B2132" s="526">
        <v>46230</v>
      </c>
      <c r="C2132" s="524" t="s">
        <v>1148</v>
      </c>
      <c r="D2132" s="524" t="s">
        <v>1205</v>
      </c>
      <c r="E2132" s="524" t="s">
        <v>1543</v>
      </c>
      <c r="F2132" s="524" t="s">
        <v>1183</v>
      </c>
      <c r="G2132" s="524" t="s">
        <v>742</v>
      </c>
      <c r="H2132" s="527">
        <v>216000</v>
      </c>
      <c r="I2132" s="524" t="s">
        <v>1174</v>
      </c>
      <c r="J2132" s="524">
        <f>IF(cmf[[#This Row],[D/C]]="C",cmf[[#This Row],[Valor]],-1*cmf[[#This Row],[Valor]])</f>
        <v>-216000</v>
      </c>
      <c r="L2132" s="524" t="s">
        <v>1207</v>
      </c>
      <c r="M2132" s="524" t="s">
        <v>1208</v>
      </c>
      <c r="N2132" s="524" t="s">
        <v>1215</v>
      </c>
      <c r="O2132" s="524" t="s">
        <v>1218</v>
      </c>
      <c r="P2132" s="526">
        <v>46230</v>
      </c>
      <c r="S2132" s="527">
        <v>0</v>
      </c>
    </row>
    <row r="2133" spans="1:19" x14ac:dyDescent="0.2">
      <c r="A2133" s="524">
        <v>71115</v>
      </c>
      <c r="B2133" s="526">
        <v>46230</v>
      </c>
      <c r="C2133" s="524" t="s">
        <v>1162</v>
      </c>
      <c r="D2133" s="524" t="s">
        <v>1205</v>
      </c>
      <c r="E2133" s="524" t="s">
        <v>1217</v>
      </c>
      <c r="F2133" s="524" t="s">
        <v>1170</v>
      </c>
      <c r="G2133" s="524" t="s">
        <v>781</v>
      </c>
      <c r="H2133" s="527">
        <v>216000</v>
      </c>
      <c r="I2133" s="524" t="s">
        <v>1148</v>
      </c>
      <c r="J2133" s="524">
        <f>IF(cmf[[#This Row],[D/C]]="C",cmf[[#This Row],[Valor]],-1*cmf[[#This Row],[Valor]])</f>
        <v>216000</v>
      </c>
      <c r="L2133" s="524" t="s">
        <v>1207</v>
      </c>
      <c r="M2133" s="524" t="s">
        <v>1208</v>
      </c>
      <c r="N2133" s="524" t="s">
        <v>1209</v>
      </c>
      <c r="O2133" s="524" t="s">
        <v>1210</v>
      </c>
      <c r="P2133" s="526"/>
      <c r="S2133" s="527">
        <v>0</v>
      </c>
    </row>
    <row r="2134" spans="1:19" x14ac:dyDescent="0.2">
      <c r="A2134" s="524">
        <v>71116</v>
      </c>
      <c r="B2134" s="526">
        <v>46230</v>
      </c>
      <c r="C2134" s="524" t="s">
        <v>1148</v>
      </c>
      <c r="D2134" s="524" t="s">
        <v>1205</v>
      </c>
      <c r="E2134" s="524" t="s">
        <v>1214</v>
      </c>
      <c r="F2134" s="524" t="s">
        <v>1170</v>
      </c>
      <c r="G2134" s="524" t="s">
        <v>738</v>
      </c>
      <c r="H2134" s="527">
        <v>115000</v>
      </c>
      <c r="I2134" s="524" t="s">
        <v>1174</v>
      </c>
      <c r="J2134" s="524">
        <f>IF(cmf[[#This Row],[D/C]]="C",cmf[[#This Row],[Valor]],-1*cmf[[#This Row],[Valor]])</f>
        <v>-115000</v>
      </c>
      <c r="L2134" s="524" t="s">
        <v>1207</v>
      </c>
      <c r="M2134" s="524" t="s">
        <v>1208</v>
      </c>
      <c r="N2134" s="524" t="s">
        <v>1215</v>
      </c>
      <c r="O2134" s="524" t="s">
        <v>1216</v>
      </c>
      <c r="P2134" s="526">
        <v>46230</v>
      </c>
      <c r="S2134" s="527">
        <v>0</v>
      </c>
    </row>
    <row r="2135" spans="1:19" x14ac:dyDescent="0.2">
      <c r="A2135" s="524">
        <v>71117</v>
      </c>
      <c r="B2135" s="526">
        <v>46230</v>
      </c>
      <c r="C2135" s="524" t="s">
        <v>1148</v>
      </c>
      <c r="D2135" s="524" t="s">
        <v>1205</v>
      </c>
      <c r="E2135" s="524" t="s">
        <v>1217</v>
      </c>
      <c r="F2135" s="524" t="s">
        <v>1183</v>
      </c>
      <c r="G2135" s="524" t="s">
        <v>742</v>
      </c>
      <c r="H2135" s="527">
        <v>115000</v>
      </c>
      <c r="I2135" s="524" t="s">
        <v>1148</v>
      </c>
      <c r="J2135" s="524">
        <f>IF(cmf[[#This Row],[D/C]]="C",cmf[[#This Row],[Valor]],-1*cmf[[#This Row],[Valor]])</f>
        <v>115000</v>
      </c>
      <c r="L2135" s="524" t="s">
        <v>1207</v>
      </c>
      <c r="M2135" s="524" t="s">
        <v>1208</v>
      </c>
      <c r="N2135" s="524" t="s">
        <v>1215</v>
      </c>
      <c r="O2135" s="524" t="s">
        <v>1218</v>
      </c>
      <c r="P2135" s="526">
        <v>46230</v>
      </c>
      <c r="S2135" s="527">
        <v>0</v>
      </c>
    </row>
    <row r="2136" spans="1:19" x14ac:dyDescent="0.2">
      <c r="A2136" s="524">
        <v>71118</v>
      </c>
      <c r="B2136" s="526">
        <v>46230</v>
      </c>
      <c r="C2136" s="524" t="s">
        <v>1148</v>
      </c>
      <c r="D2136" s="524" t="s">
        <v>1205</v>
      </c>
      <c r="E2136" s="524" t="s">
        <v>1541</v>
      </c>
      <c r="F2136" s="524" t="s">
        <v>1170</v>
      </c>
      <c r="G2136" s="524" t="s">
        <v>765</v>
      </c>
      <c r="H2136" s="527">
        <v>10000</v>
      </c>
      <c r="I2136" s="524" t="s">
        <v>1174</v>
      </c>
      <c r="J2136" s="524">
        <f>IF(cmf[[#This Row],[D/C]]="C",cmf[[#This Row],[Valor]],-1*cmf[[#This Row],[Valor]])</f>
        <v>-10000</v>
      </c>
      <c r="L2136" s="524" t="s">
        <v>1207</v>
      </c>
      <c r="M2136" s="524" t="s">
        <v>1208</v>
      </c>
      <c r="N2136" s="524" t="s">
        <v>1200</v>
      </c>
      <c r="O2136" s="524" t="s">
        <v>1201</v>
      </c>
      <c r="P2136" s="526">
        <v>46230</v>
      </c>
      <c r="S2136" s="527">
        <v>0</v>
      </c>
    </row>
    <row r="2137" spans="1:19" x14ac:dyDescent="0.2">
      <c r="A2137" s="524">
        <v>71119</v>
      </c>
      <c r="B2137" s="526">
        <v>46230</v>
      </c>
      <c r="C2137" s="524" t="s">
        <v>1148</v>
      </c>
      <c r="D2137" s="524" t="s">
        <v>1205</v>
      </c>
      <c r="E2137" s="524" t="s">
        <v>1538</v>
      </c>
      <c r="F2137" s="524" t="s">
        <v>1183</v>
      </c>
      <c r="G2137" s="524" t="s">
        <v>766</v>
      </c>
      <c r="H2137" s="527">
        <v>10000</v>
      </c>
      <c r="I2137" s="524" t="s">
        <v>1148</v>
      </c>
      <c r="J2137" s="524">
        <f>IF(cmf[[#This Row],[D/C]]="C",cmf[[#This Row],[Valor]],-1*cmf[[#This Row],[Valor]])</f>
        <v>10000</v>
      </c>
      <c r="L2137" s="524" t="s">
        <v>1207</v>
      </c>
      <c r="M2137" s="524" t="s">
        <v>1208</v>
      </c>
      <c r="N2137" s="524" t="s">
        <v>1200</v>
      </c>
      <c r="O2137" s="524" t="s">
        <v>1201</v>
      </c>
      <c r="P2137" s="526">
        <v>46230</v>
      </c>
      <c r="S2137" s="527">
        <v>0</v>
      </c>
    </row>
    <row r="2138" spans="1:19" x14ac:dyDescent="0.2">
      <c r="A2138" s="524">
        <v>71124</v>
      </c>
      <c r="B2138" s="526">
        <v>46230</v>
      </c>
      <c r="C2138" s="524" t="s">
        <v>1148</v>
      </c>
      <c r="D2138" s="524" t="s">
        <v>1205</v>
      </c>
      <c r="E2138" s="524" t="s">
        <v>1335</v>
      </c>
      <c r="F2138" s="524" t="s">
        <v>1183</v>
      </c>
      <c r="G2138" s="524" t="s">
        <v>742</v>
      </c>
      <c r="H2138" s="527">
        <v>130000</v>
      </c>
      <c r="I2138" s="524" t="s">
        <v>1174</v>
      </c>
      <c r="J2138" s="524">
        <f>IF(cmf[[#This Row],[D/C]]="C",cmf[[#This Row],[Valor]],-1*cmf[[#This Row],[Valor]])</f>
        <v>-130000</v>
      </c>
      <c r="L2138" s="524" t="s">
        <v>1207</v>
      </c>
      <c r="M2138" s="524" t="s">
        <v>1208</v>
      </c>
      <c r="N2138" s="524" t="s">
        <v>1215</v>
      </c>
      <c r="O2138" s="524" t="s">
        <v>1218</v>
      </c>
      <c r="P2138" s="526">
        <v>46230</v>
      </c>
      <c r="S2138" s="527">
        <v>0</v>
      </c>
    </row>
    <row r="2139" spans="1:19" x14ac:dyDescent="0.2">
      <c r="A2139" s="524">
        <v>71125</v>
      </c>
      <c r="B2139" s="526">
        <v>46230</v>
      </c>
      <c r="C2139" s="524" t="s">
        <v>1148</v>
      </c>
      <c r="D2139" s="524" t="s">
        <v>1205</v>
      </c>
      <c r="E2139" s="524" t="s">
        <v>1217</v>
      </c>
      <c r="F2139" s="524" t="s">
        <v>1183</v>
      </c>
      <c r="G2139" s="524" t="s">
        <v>800</v>
      </c>
      <c r="H2139" s="527">
        <v>130000</v>
      </c>
      <c r="I2139" s="524" t="s">
        <v>1148</v>
      </c>
      <c r="J2139" s="524">
        <f>IF(cmf[[#This Row],[D/C]]="C",cmf[[#This Row],[Valor]],-1*cmf[[#This Row],[Valor]])</f>
        <v>130000</v>
      </c>
      <c r="L2139" s="524" t="s">
        <v>1207</v>
      </c>
      <c r="M2139" s="524" t="s">
        <v>1208</v>
      </c>
      <c r="N2139" s="524" t="s">
        <v>1171</v>
      </c>
      <c r="O2139" s="524" t="s">
        <v>1172</v>
      </c>
      <c r="P2139" s="526">
        <v>46230</v>
      </c>
      <c r="S2139" s="527">
        <v>0</v>
      </c>
    </row>
    <row r="2140" spans="1:19" x14ac:dyDescent="0.2">
      <c r="A2140" s="524">
        <v>71126</v>
      </c>
      <c r="B2140" s="526">
        <v>46230</v>
      </c>
      <c r="C2140" s="524" t="s">
        <v>1148</v>
      </c>
      <c r="D2140" s="524" t="s">
        <v>1205</v>
      </c>
      <c r="E2140" s="524" t="s">
        <v>1536</v>
      </c>
      <c r="F2140" s="524" t="s">
        <v>1183</v>
      </c>
      <c r="G2140" s="524" t="s">
        <v>742</v>
      </c>
      <c r="H2140" s="527">
        <v>83000</v>
      </c>
      <c r="I2140" s="524" t="s">
        <v>1174</v>
      </c>
      <c r="J2140" s="524">
        <f>IF(cmf[[#This Row],[D/C]]="C",cmf[[#This Row],[Valor]],-1*cmf[[#This Row],[Valor]])</f>
        <v>-83000</v>
      </c>
      <c r="L2140" s="524" t="s">
        <v>1207</v>
      </c>
      <c r="M2140" s="524" t="s">
        <v>1208</v>
      </c>
      <c r="N2140" s="524" t="s">
        <v>1215</v>
      </c>
      <c r="O2140" s="524" t="s">
        <v>1218</v>
      </c>
      <c r="P2140" s="526">
        <v>46230</v>
      </c>
      <c r="S2140" s="527">
        <v>0</v>
      </c>
    </row>
    <row r="2141" spans="1:19" x14ac:dyDescent="0.2">
      <c r="A2141" s="524">
        <v>71127</v>
      </c>
      <c r="B2141" s="526">
        <v>46230</v>
      </c>
      <c r="C2141" s="524" t="s">
        <v>1148</v>
      </c>
      <c r="D2141" s="524" t="s">
        <v>1205</v>
      </c>
      <c r="E2141" s="524" t="s">
        <v>1217</v>
      </c>
      <c r="F2141" s="524" t="s">
        <v>1183</v>
      </c>
      <c r="G2141" s="524" t="s">
        <v>745</v>
      </c>
      <c r="H2141" s="527">
        <v>83000</v>
      </c>
      <c r="I2141" s="524" t="s">
        <v>1148</v>
      </c>
      <c r="J2141" s="524">
        <f>IF(cmf[[#This Row],[D/C]]="C",cmf[[#This Row],[Valor]],-1*cmf[[#This Row],[Valor]])</f>
        <v>83000</v>
      </c>
      <c r="L2141" s="524" t="s">
        <v>1207</v>
      </c>
      <c r="M2141" s="524" t="s">
        <v>1208</v>
      </c>
      <c r="N2141" s="524" t="s">
        <v>1292</v>
      </c>
      <c r="O2141" s="524" t="s">
        <v>1293</v>
      </c>
      <c r="P2141" s="526">
        <v>46230</v>
      </c>
      <c r="S2141" s="527">
        <v>0</v>
      </c>
    </row>
    <row r="2142" spans="1:19" x14ac:dyDescent="0.2">
      <c r="A2142" s="524">
        <v>71128</v>
      </c>
      <c r="B2142" s="526">
        <v>46230</v>
      </c>
      <c r="C2142" s="524" t="s">
        <v>1162</v>
      </c>
      <c r="D2142" s="524" t="s">
        <v>1205</v>
      </c>
      <c r="E2142" s="524" t="s">
        <v>1338</v>
      </c>
      <c r="F2142" s="524" t="s">
        <v>1170</v>
      </c>
      <c r="G2142" s="524" t="s">
        <v>781</v>
      </c>
      <c r="H2142" s="527">
        <v>43000</v>
      </c>
      <c r="I2142" s="524" t="s">
        <v>1174</v>
      </c>
      <c r="J2142" s="524">
        <f>IF(cmf[[#This Row],[D/C]]="C",cmf[[#This Row],[Valor]],-1*cmf[[#This Row],[Valor]])</f>
        <v>-43000</v>
      </c>
      <c r="L2142" s="524" t="s">
        <v>1207</v>
      </c>
      <c r="M2142" s="524" t="s">
        <v>1208</v>
      </c>
      <c r="N2142" s="524" t="s">
        <v>1209</v>
      </c>
      <c r="O2142" s="524" t="s">
        <v>1210</v>
      </c>
      <c r="P2142" s="526"/>
      <c r="S2142" s="527">
        <v>0</v>
      </c>
    </row>
    <row r="2143" spans="1:19" x14ac:dyDescent="0.2">
      <c r="A2143" s="524">
        <v>71129</v>
      </c>
      <c r="B2143" s="526">
        <v>46230</v>
      </c>
      <c r="C2143" s="524" t="s">
        <v>1162</v>
      </c>
      <c r="D2143" s="524" t="s">
        <v>1205</v>
      </c>
      <c r="E2143" s="524" t="s">
        <v>1211</v>
      </c>
      <c r="F2143" s="524" t="s">
        <v>1170</v>
      </c>
      <c r="G2143" s="524" t="s">
        <v>771</v>
      </c>
      <c r="H2143" s="527">
        <v>43000</v>
      </c>
      <c r="I2143" s="524" t="s">
        <v>1148</v>
      </c>
      <c r="J2143" s="524">
        <f>IF(cmf[[#This Row],[D/C]]="C",cmf[[#This Row],[Valor]],-1*cmf[[#This Row],[Valor]])</f>
        <v>43000</v>
      </c>
      <c r="L2143" s="524" t="s">
        <v>1207</v>
      </c>
      <c r="M2143" s="524" t="s">
        <v>1208</v>
      </c>
      <c r="N2143" s="524" t="s">
        <v>1249</v>
      </c>
      <c r="O2143" s="524" t="s">
        <v>1250</v>
      </c>
      <c r="P2143" s="526"/>
      <c r="S2143" s="527">
        <v>0</v>
      </c>
    </row>
    <row r="2144" spans="1:19" x14ac:dyDescent="0.2">
      <c r="A2144" s="524">
        <v>71130</v>
      </c>
      <c r="B2144" s="526">
        <v>46230</v>
      </c>
      <c r="C2144" s="524" t="s">
        <v>1162</v>
      </c>
      <c r="D2144" s="524" t="s">
        <v>1205</v>
      </c>
      <c r="E2144" s="524" t="s">
        <v>1206</v>
      </c>
      <c r="F2144" s="524" t="s">
        <v>1170</v>
      </c>
      <c r="G2144" s="524" t="s">
        <v>781</v>
      </c>
      <c r="H2144" s="527">
        <v>68000</v>
      </c>
      <c r="I2144" s="524" t="s">
        <v>1174</v>
      </c>
      <c r="J2144" s="524">
        <f>IF(cmf[[#This Row],[D/C]]="C",cmf[[#This Row],[Valor]],-1*cmf[[#This Row],[Valor]])</f>
        <v>-68000</v>
      </c>
      <c r="L2144" s="524" t="s">
        <v>1207</v>
      </c>
      <c r="M2144" s="524" t="s">
        <v>1208</v>
      </c>
      <c r="N2144" s="524" t="s">
        <v>1209</v>
      </c>
      <c r="O2144" s="524" t="s">
        <v>1210</v>
      </c>
      <c r="P2144" s="526"/>
      <c r="S2144" s="527">
        <v>0</v>
      </c>
    </row>
    <row r="2145" spans="1:19" x14ac:dyDescent="0.2">
      <c r="A2145" s="524">
        <v>71131</v>
      </c>
      <c r="B2145" s="526">
        <v>46230</v>
      </c>
      <c r="C2145" s="524" t="s">
        <v>1162</v>
      </c>
      <c r="D2145" s="524" t="s">
        <v>1205</v>
      </c>
      <c r="E2145" s="524" t="s">
        <v>1211</v>
      </c>
      <c r="F2145" s="524" t="s">
        <v>1170</v>
      </c>
      <c r="G2145" s="524" t="s">
        <v>775</v>
      </c>
      <c r="H2145" s="527">
        <v>68000</v>
      </c>
      <c r="I2145" s="524" t="s">
        <v>1148</v>
      </c>
      <c r="J2145" s="524">
        <f>IF(cmf[[#This Row],[D/C]]="C",cmf[[#This Row],[Valor]],-1*cmf[[#This Row],[Valor]])</f>
        <v>68000</v>
      </c>
      <c r="L2145" s="524" t="s">
        <v>1207</v>
      </c>
      <c r="M2145" s="524" t="s">
        <v>1208</v>
      </c>
      <c r="N2145" s="524" t="s">
        <v>1212</v>
      </c>
      <c r="O2145" s="524" t="s">
        <v>1213</v>
      </c>
      <c r="P2145" s="526"/>
      <c r="S2145" s="527">
        <v>0</v>
      </c>
    </row>
    <row r="2146" spans="1:19" x14ac:dyDescent="0.2">
      <c r="A2146" s="524">
        <v>71132</v>
      </c>
      <c r="B2146" s="526">
        <v>46230</v>
      </c>
      <c r="C2146" s="524" t="s">
        <v>1162</v>
      </c>
      <c r="D2146" s="524" t="s">
        <v>1205</v>
      </c>
      <c r="E2146" s="524" t="s">
        <v>2236</v>
      </c>
      <c r="F2146" s="524" t="s">
        <v>1170</v>
      </c>
      <c r="G2146" s="524" t="s">
        <v>781</v>
      </c>
      <c r="H2146" s="527">
        <v>45000</v>
      </c>
      <c r="I2146" s="524" t="s">
        <v>1174</v>
      </c>
      <c r="J2146" s="524">
        <f>IF(cmf[[#This Row],[D/C]]="C",cmf[[#This Row],[Valor]],-1*cmf[[#This Row],[Valor]])</f>
        <v>-45000</v>
      </c>
      <c r="L2146" s="524" t="s">
        <v>1207</v>
      </c>
      <c r="M2146" s="524" t="s">
        <v>1208</v>
      </c>
      <c r="N2146" s="524" t="s">
        <v>1209</v>
      </c>
      <c r="O2146" s="524" t="s">
        <v>1210</v>
      </c>
      <c r="P2146" s="526"/>
      <c r="S2146" s="527">
        <v>0</v>
      </c>
    </row>
    <row r="2147" spans="1:19" x14ac:dyDescent="0.2">
      <c r="A2147" s="524">
        <v>71133</v>
      </c>
      <c r="B2147" s="526">
        <v>46230</v>
      </c>
      <c r="C2147" s="524" t="s">
        <v>1162</v>
      </c>
      <c r="D2147" s="524" t="s">
        <v>1205</v>
      </c>
      <c r="E2147" s="524" t="s">
        <v>1211</v>
      </c>
      <c r="F2147" s="524" t="s">
        <v>1183</v>
      </c>
      <c r="G2147" s="524" t="s">
        <v>786</v>
      </c>
      <c r="H2147" s="527">
        <v>45000</v>
      </c>
      <c r="I2147" s="524" t="s">
        <v>1148</v>
      </c>
      <c r="J2147" s="524">
        <f>IF(cmf[[#This Row],[D/C]]="C",cmf[[#This Row],[Valor]],-1*cmf[[#This Row],[Valor]])</f>
        <v>45000</v>
      </c>
      <c r="L2147" s="524" t="s">
        <v>1207</v>
      </c>
      <c r="M2147" s="524" t="s">
        <v>1208</v>
      </c>
      <c r="N2147" s="524" t="s">
        <v>2104</v>
      </c>
      <c r="O2147" s="524" t="s">
        <v>1751</v>
      </c>
      <c r="P2147" s="526"/>
      <c r="S2147" s="527">
        <v>0</v>
      </c>
    </row>
    <row r="2148" spans="1:19" x14ac:dyDescent="0.2">
      <c r="A2148" s="524">
        <v>71134</v>
      </c>
      <c r="B2148" s="526">
        <v>46230</v>
      </c>
      <c r="C2148" s="524" t="s">
        <v>1162</v>
      </c>
      <c r="D2148" s="524" t="s">
        <v>1205</v>
      </c>
      <c r="E2148" s="524" t="s">
        <v>1339</v>
      </c>
      <c r="F2148" s="524" t="s">
        <v>1170</v>
      </c>
      <c r="G2148" s="524" t="s">
        <v>781</v>
      </c>
      <c r="H2148" s="527">
        <v>60000</v>
      </c>
      <c r="I2148" s="524" t="s">
        <v>1174</v>
      </c>
      <c r="J2148" s="524">
        <f>IF(cmf[[#This Row],[D/C]]="C",cmf[[#This Row],[Valor]],-1*cmf[[#This Row],[Valor]])</f>
        <v>-60000</v>
      </c>
      <c r="L2148" s="524" t="s">
        <v>1207</v>
      </c>
      <c r="M2148" s="524" t="s">
        <v>1208</v>
      </c>
      <c r="N2148" s="524" t="s">
        <v>1209</v>
      </c>
      <c r="O2148" s="524" t="s">
        <v>1210</v>
      </c>
      <c r="P2148" s="526"/>
      <c r="S2148" s="527">
        <v>0</v>
      </c>
    </row>
    <row r="2149" spans="1:19" x14ac:dyDescent="0.2">
      <c r="A2149" s="524">
        <v>71135</v>
      </c>
      <c r="B2149" s="526">
        <v>46230</v>
      </c>
      <c r="C2149" s="524" t="s">
        <v>1162</v>
      </c>
      <c r="D2149" s="524" t="s">
        <v>1205</v>
      </c>
      <c r="E2149" s="524" t="s">
        <v>1211</v>
      </c>
      <c r="F2149" s="524" t="s">
        <v>1170</v>
      </c>
      <c r="G2149" s="524" t="s">
        <v>794</v>
      </c>
      <c r="H2149" s="527">
        <v>60000</v>
      </c>
      <c r="I2149" s="524" t="s">
        <v>1148</v>
      </c>
      <c r="J2149" s="524">
        <f>IF(cmf[[#This Row],[D/C]]="C",cmf[[#This Row],[Valor]],-1*cmf[[#This Row],[Valor]])</f>
        <v>60000</v>
      </c>
      <c r="L2149" s="524" t="s">
        <v>1207</v>
      </c>
      <c r="M2149" s="524" t="s">
        <v>1208</v>
      </c>
      <c r="N2149" s="524" t="s">
        <v>1340</v>
      </c>
      <c r="O2149" s="524" t="s">
        <v>1341</v>
      </c>
      <c r="P2149" s="526"/>
      <c r="S2149" s="527">
        <v>0</v>
      </c>
    </row>
    <row r="2150" spans="1:19" x14ac:dyDescent="0.2">
      <c r="A2150" s="524">
        <v>71136</v>
      </c>
      <c r="B2150" s="526">
        <v>46230</v>
      </c>
      <c r="C2150" s="524" t="s">
        <v>1162</v>
      </c>
      <c r="D2150" s="524" t="s">
        <v>1205</v>
      </c>
      <c r="E2150" s="524" t="s">
        <v>2236</v>
      </c>
      <c r="F2150" s="524" t="s">
        <v>1183</v>
      </c>
      <c r="G2150" s="524" t="s">
        <v>786</v>
      </c>
      <c r="H2150" s="527">
        <v>45000</v>
      </c>
      <c r="I2150" s="524" t="s">
        <v>1174</v>
      </c>
      <c r="J2150" s="524">
        <f>IF(cmf[[#This Row],[D/C]]="C",cmf[[#This Row],[Valor]],-1*cmf[[#This Row],[Valor]])</f>
        <v>-45000</v>
      </c>
      <c r="L2150" s="524" t="s">
        <v>1207</v>
      </c>
      <c r="M2150" s="524" t="s">
        <v>1208</v>
      </c>
      <c r="N2150" s="524" t="s">
        <v>2104</v>
      </c>
      <c r="O2150" s="524" t="s">
        <v>1751</v>
      </c>
      <c r="P2150" s="526"/>
      <c r="S2150" s="527">
        <v>0</v>
      </c>
    </row>
    <row r="2151" spans="1:19" x14ac:dyDescent="0.2">
      <c r="A2151" s="524">
        <v>71137</v>
      </c>
      <c r="B2151" s="526">
        <v>46230</v>
      </c>
      <c r="C2151" s="524" t="s">
        <v>1162</v>
      </c>
      <c r="D2151" s="524" t="s">
        <v>1205</v>
      </c>
      <c r="E2151" s="524" t="s">
        <v>2470</v>
      </c>
      <c r="F2151" s="524" t="s">
        <v>1170</v>
      </c>
      <c r="G2151" s="524" t="s">
        <v>785</v>
      </c>
      <c r="H2151" s="527">
        <v>45000</v>
      </c>
      <c r="I2151" s="524" t="s">
        <v>1148</v>
      </c>
      <c r="J2151" s="524">
        <f>IF(cmf[[#This Row],[D/C]]="C",cmf[[#This Row],[Valor]],-1*cmf[[#This Row],[Valor]])</f>
        <v>45000</v>
      </c>
      <c r="L2151" s="524" t="s">
        <v>1207</v>
      </c>
      <c r="M2151" s="524" t="s">
        <v>1208</v>
      </c>
      <c r="N2151" s="524" t="s">
        <v>2104</v>
      </c>
      <c r="O2151" s="524" t="s">
        <v>1751</v>
      </c>
      <c r="P2151" s="526"/>
      <c r="S2151" s="527">
        <v>0</v>
      </c>
    </row>
    <row r="2152" spans="1:19" x14ac:dyDescent="0.2">
      <c r="A2152" s="524">
        <v>71138</v>
      </c>
      <c r="B2152" s="526">
        <v>46230</v>
      </c>
      <c r="C2152" s="524" t="s">
        <v>1148</v>
      </c>
      <c r="D2152" s="524" t="s">
        <v>1205</v>
      </c>
      <c r="E2152" s="524" t="s">
        <v>1334</v>
      </c>
      <c r="F2152" s="524" t="s">
        <v>1183</v>
      </c>
      <c r="G2152" s="524" t="s">
        <v>742</v>
      </c>
      <c r="H2152" s="527">
        <v>220000</v>
      </c>
      <c r="I2152" s="524" t="s">
        <v>1174</v>
      </c>
      <c r="J2152" s="524">
        <f>IF(cmf[[#This Row],[D/C]]="C",cmf[[#This Row],[Valor]],-1*cmf[[#This Row],[Valor]])</f>
        <v>-220000</v>
      </c>
      <c r="L2152" s="524" t="s">
        <v>1207</v>
      </c>
      <c r="M2152" s="524" t="s">
        <v>1208</v>
      </c>
      <c r="N2152" s="524" t="s">
        <v>1215</v>
      </c>
      <c r="O2152" s="524" t="s">
        <v>1218</v>
      </c>
      <c r="P2152" s="526">
        <v>46230</v>
      </c>
      <c r="S2152" s="527">
        <v>0</v>
      </c>
    </row>
    <row r="2153" spans="1:19" x14ac:dyDescent="0.2">
      <c r="A2153" s="524">
        <v>71139</v>
      </c>
      <c r="B2153" s="526">
        <v>46230</v>
      </c>
      <c r="C2153" s="524" t="s">
        <v>1148</v>
      </c>
      <c r="D2153" s="524" t="s">
        <v>1205</v>
      </c>
      <c r="E2153" s="524" t="s">
        <v>1217</v>
      </c>
      <c r="F2153" s="524" t="s">
        <v>1183</v>
      </c>
      <c r="G2153" s="524" t="s">
        <v>769</v>
      </c>
      <c r="H2153" s="527">
        <v>220000</v>
      </c>
      <c r="I2153" s="524" t="s">
        <v>1148</v>
      </c>
      <c r="J2153" s="524">
        <f>IF(cmf[[#This Row],[D/C]]="C",cmf[[#This Row],[Valor]],-1*cmf[[#This Row],[Valor]])</f>
        <v>220000</v>
      </c>
      <c r="L2153" s="524" t="s">
        <v>1207</v>
      </c>
      <c r="M2153" s="524" t="s">
        <v>1208</v>
      </c>
      <c r="N2153" s="524" t="s">
        <v>1219</v>
      </c>
      <c r="O2153" s="524" t="s">
        <v>1220</v>
      </c>
      <c r="P2153" s="526">
        <v>46230</v>
      </c>
      <c r="S2153" s="527">
        <v>0</v>
      </c>
    </row>
    <row r="2154" spans="1:19" x14ac:dyDescent="0.2">
      <c r="A2154" s="524">
        <v>71163</v>
      </c>
      <c r="B2154" s="526">
        <v>46230</v>
      </c>
      <c r="C2154" s="524" t="s">
        <v>1162</v>
      </c>
      <c r="D2154" s="524" t="s">
        <v>1226</v>
      </c>
      <c r="E2154" s="524" t="s">
        <v>2471</v>
      </c>
      <c r="F2154" s="524" t="s">
        <v>1183</v>
      </c>
      <c r="G2154" s="524" t="s">
        <v>806</v>
      </c>
      <c r="H2154" s="527">
        <v>88333.34</v>
      </c>
      <c r="I2154" s="524" t="s">
        <v>1148</v>
      </c>
      <c r="J2154" s="524">
        <f>IF(cmf[[#This Row],[D/C]]="C",cmf[[#This Row],[Valor]],-1*cmf[[#This Row],[Valor]])</f>
        <v>88333.34</v>
      </c>
      <c r="L2154" s="524" t="s">
        <v>1230</v>
      </c>
      <c r="M2154" s="524" t="s">
        <v>1231</v>
      </c>
      <c r="N2154" s="524" t="s">
        <v>1283</v>
      </c>
      <c r="O2154" s="524" t="s">
        <v>1284</v>
      </c>
      <c r="P2154" s="526"/>
      <c r="S2154" s="527">
        <v>0</v>
      </c>
    </row>
    <row r="2155" spans="1:19" x14ac:dyDescent="0.2">
      <c r="A2155" s="524">
        <v>71164</v>
      </c>
      <c r="B2155" s="526">
        <v>46230</v>
      </c>
      <c r="C2155" s="524" t="s">
        <v>1162</v>
      </c>
      <c r="D2155" s="524" t="s">
        <v>1226</v>
      </c>
      <c r="E2155" s="524" t="s">
        <v>2472</v>
      </c>
      <c r="F2155" s="524" t="s">
        <v>1183</v>
      </c>
      <c r="G2155" s="524" t="s">
        <v>806</v>
      </c>
      <c r="H2155" s="527">
        <v>88333.34</v>
      </c>
      <c r="I2155" s="524" t="s">
        <v>1148</v>
      </c>
      <c r="J2155" s="524">
        <f>IF(cmf[[#This Row],[D/C]]="C",cmf[[#This Row],[Valor]],-1*cmf[[#This Row],[Valor]])</f>
        <v>88333.34</v>
      </c>
      <c r="L2155" s="524" t="s">
        <v>1230</v>
      </c>
      <c r="M2155" s="524" t="s">
        <v>1231</v>
      </c>
      <c r="N2155" s="524" t="s">
        <v>1283</v>
      </c>
      <c r="O2155" s="524" t="s">
        <v>1284</v>
      </c>
      <c r="P2155" s="526"/>
      <c r="S2155" s="527">
        <v>0</v>
      </c>
    </row>
    <row r="2156" spans="1:19" x14ac:dyDescent="0.2">
      <c r="A2156" s="524">
        <v>71186</v>
      </c>
      <c r="B2156" s="526">
        <v>46230</v>
      </c>
      <c r="C2156" s="524" t="s">
        <v>1148</v>
      </c>
      <c r="D2156" s="524" t="s">
        <v>1186</v>
      </c>
      <c r="E2156" s="524" t="s">
        <v>2473</v>
      </c>
      <c r="F2156" s="524" t="s">
        <v>1183</v>
      </c>
      <c r="G2156" s="524" t="s">
        <v>742</v>
      </c>
      <c r="H2156" s="527">
        <v>12496.76</v>
      </c>
      <c r="I2156" s="524" t="s">
        <v>1174</v>
      </c>
      <c r="J2156" s="524">
        <f>IF(cmf[[#This Row],[D/C]]="C",cmf[[#This Row],[Valor]],-1*cmf[[#This Row],[Valor]])</f>
        <v>-12496.76</v>
      </c>
      <c r="L2156" s="524" t="s">
        <v>1188</v>
      </c>
      <c r="M2156" s="524" t="s">
        <v>1189</v>
      </c>
      <c r="N2156" s="524" t="s">
        <v>1215</v>
      </c>
      <c r="O2156" s="524" t="s">
        <v>1218</v>
      </c>
      <c r="P2156" s="526">
        <v>46230</v>
      </c>
      <c r="S2156" s="527">
        <v>0</v>
      </c>
    </row>
    <row r="2157" spans="1:19" x14ac:dyDescent="0.2">
      <c r="A2157" s="524">
        <v>71192</v>
      </c>
      <c r="B2157" s="526">
        <v>46230</v>
      </c>
      <c r="C2157" s="524" t="s">
        <v>1148</v>
      </c>
      <c r="D2157" s="524" t="s">
        <v>1239</v>
      </c>
      <c r="E2157" s="524" t="s">
        <v>1568</v>
      </c>
      <c r="F2157" s="524" t="s">
        <v>1170</v>
      </c>
      <c r="G2157" s="524" t="s">
        <v>768</v>
      </c>
      <c r="H2157" s="527">
        <v>75</v>
      </c>
      <c r="I2157" s="524" t="s">
        <v>1174</v>
      </c>
      <c r="J2157" s="524">
        <f>IF(cmf[[#This Row],[D/C]]="C",cmf[[#This Row],[Valor]],-1*cmf[[#This Row],[Valor]])</f>
        <v>-75</v>
      </c>
      <c r="L2157" s="524" t="s">
        <v>1241</v>
      </c>
      <c r="M2157" s="524" t="s">
        <v>1242</v>
      </c>
      <c r="N2157" s="524" t="s">
        <v>1219</v>
      </c>
      <c r="O2157" s="524" t="s">
        <v>1220</v>
      </c>
      <c r="P2157" s="526">
        <v>46230</v>
      </c>
      <c r="S2157" s="527">
        <v>0</v>
      </c>
    </row>
    <row r="2158" spans="1:19" x14ac:dyDescent="0.2">
      <c r="A2158" s="524">
        <v>71193</v>
      </c>
      <c r="B2158" s="526">
        <v>46230</v>
      </c>
      <c r="C2158" s="524" t="s">
        <v>1148</v>
      </c>
      <c r="D2158" s="524" t="s">
        <v>1239</v>
      </c>
      <c r="E2158" s="524" t="s">
        <v>1567</v>
      </c>
      <c r="F2158" s="524" t="s">
        <v>1170</v>
      </c>
      <c r="G2158" s="524" t="s">
        <v>768</v>
      </c>
      <c r="H2158" s="527">
        <v>13</v>
      </c>
      <c r="I2158" s="524" t="s">
        <v>1174</v>
      </c>
      <c r="J2158" s="524">
        <f>IF(cmf[[#This Row],[D/C]]="C",cmf[[#This Row],[Valor]],-1*cmf[[#This Row],[Valor]])</f>
        <v>-13</v>
      </c>
      <c r="L2158" s="524" t="s">
        <v>1241</v>
      </c>
      <c r="M2158" s="524" t="s">
        <v>1242</v>
      </c>
      <c r="N2158" s="524" t="s">
        <v>1219</v>
      </c>
      <c r="O2158" s="524" t="s">
        <v>1220</v>
      </c>
      <c r="P2158" s="526">
        <v>46230</v>
      </c>
      <c r="S2158" s="527">
        <v>0</v>
      </c>
    </row>
    <row r="2159" spans="1:19" x14ac:dyDescent="0.2">
      <c r="A2159" s="524">
        <v>71196</v>
      </c>
      <c r="B2159" s="526">
        <v>46230</v>
      </c>
      <c r="C2159" s="524" t="s">
        <v>1148</v>
      </c>
      <c r="D2159" s="524" t="s">
        <v>1226</v>
      </c>
      <c r="E2159" s="524" t="s">
        <v>2474</v>
      </c>
      <c r="F2159" s="524" t="s">
        <v>1170</v>
      </c>
      <c r="G2159" s="524" t="s">
        <v>1102</v>
      </c>
      <c r="H2159" s="527">
        <v>150</v>
      </c>
      <c r="I2159" s="524" t="s">
        <v>1148</v>
      </c>
      <c r="J2159" s="524">
        <f>IF(cmf[[#This Row],[D/C]]="C",cmf[[#This Row],[Valor]],-1*cmf[[#This Row],[Valor]])</f>
        <v>150</v>
      </c>
      <c r="L2159" s="524" t="s">
        <v>1230</v>
      </c>
      <c r="M2159" s="524" t="s">
        <v>1231</v>
      </c>
      <c r="N2159" s="524" t="s">
        <v>1192</v>
      </c>
      <c r="O2159" s="524" t="s">
        <v>1193</v>
      </c>
      <c r="P2159" s="526">
        <v>46230</v>
      </c>
      <c r="S2159" s="527">
        <v>0</v>
      </c>
    </row>
    <row r="2160" spans="1:19" x14ac:dyDescent="0.2">
      <c r="A2160" s="524">
        <v>71206</v>
      </c>
      <c r="B2160" s="526">
        <v>46230</v>
      </c>
      <c r="C2160" s="524" t="s">
        <v>1148</v>
      </c>
      <c r="D2160" s="524" t="s">
        <v>1239</v>
      </c>
      <c r="E2160" s="524" t="s">
        <v>1689</v>
      </c>
      <c r="F2160" s="524" t="s">
        <v>1170</v>
      </c>
      <c r="G2160" s="524" t="s">
        <v>799</v>
      </c>
      <c r="H2160" s="527">
        <v>15545.33</v>
      </c>
      <c r="I2160" s="524" t="s">
        <v>1174</v>
      </c>
      <c r="J2160" s="524">
        <f>IF(cmf[[#This Row],[D/C]]="C",cmf[[#This Row],[Valor]],-1*cmf[[#This Row],[Valor]])</f>
        <v>-15545.33</v>
      </c>
      <c r="L2160" s="524" t="s">
        <v>1264</v>
      </c>
      <c r="M2160" s="524" t="s">
        <v>1265</v>
      </c>
      <c r="N2160" s="524" t="s">
        <v>1171</v>
      </c>
      <c r="O2160" s="524" t="s">
        <v>1172</v>
      </c>
      <c r="P2160" s="526">
        <v>46230</v>
      </c>
      <c r="S2160" s="527">
        <v>0</v>
      </c>
    </row>
    <row r="2161" spans="1:19" x14ac:dyDescent="0.2">
      <c r="A2161" s="524">
        <v>71242</v>
      </c>
      <c r="B2161" s="526">
        <v>46230</v>
      </c>
      <c r="C2161" s="524" t="s">
        <v>1148</v>
      </c>
      <c r="D2161" s="524" t="s">
        <v>1239</v>
      </c>
      <c r="E2161" s="524" t="s">
        <v>1568</v>
      </c>
      <c r="F2161" s="524" t="s">
        <v>1170</v>
      </c>
      <c r="G2161" s="524" t="s">
        <v>738</v>
      </c>
      <c r="H2161" s="527">
        <v>125</v>
      </c>
      <c r="I2161" s="524" t="s">
        <v>1174</v>
      </c>
      <c r="J2161" s="524">
        <f>IF(cmf[[#This Row],[D/C]]="C",cmf[[#This Row],[Valor]],-1*cmf[[#This Row],[Valor]])</f>
        <v>-125</v>
      </c>
      <c r="L2161" s="524" t="s">
        <v>1241</v>
      </c>
      <c r="M2161" s="524" t="s">
        <v>1242</v>
      </c>
      <c r="N2161" s="524" t="s">
        <v>1215</v>
      </c>
      <c r="O2161" s="524" t="s">
        <v>1218</v>
      </c>
      <c r="P2161" s="526">
        <v>46230</v>
      </c>
      <c r="S2161" s="527">
        <v>0</v>
      </c>
    </row>
    <row r="2162" spans="1:19" x14ac:dyDescent="0.2">
      <c r="A2162" s="524">
        <v>71257</v>
      </c>
      <c r="B2162" s="526">
        <v>46230</v>
      </c>
      <c r="C2162" s="524" t="s">
        <v>1148</v>
      </c>
      <c r="D2162" s="524" t="s">
        <v>1239</v>
      </c>
      <c r="E2162" s="524" t="s">
        <v>1741</v>
      </c>
      <c r="F2162" s="524" t="s">
        <v>1170</v>
      </c>
      <c r="G2162" s="524" t="s">
        <v>749</v>
      </c>
      <c r="H2162" s="527">
        <v>11.5</v>
      </c>
      <c r="I2162" s="524" t="s">
        <v>1174</v>
      </c>
      <c r="J2162" s="524">
        <f>IF(cmf[[#This Row],[D/C]]="C",cmf[[#This Row],[Valor]],-1*cmf[[#This Row],[Valor]])</f>
        <v>-11.5</v>
      </c>
      <c r="L2162" s="524" t="s">
        <v>1241</v>
      </c>
      <c r="M2162" s="524" t="s">
        <v>1242</v>
      </c>
      <c r="N2162" s="524" t="s">
        <v>1256</v>
      </c>
      <c r="O2162" s="524" t="s">
        <v>1257</v>
      </c>
      <c r="P2162" s="526">
        <v>46230</v>
      </c>
      <c r="S2162" s="527">
        <v>0</v>
      </c>
    </row>
    <row r="2163" spans="1:19" x14ac:dyDescent="0.2">
      <c r="A2163" s="524">
        <v>71258</v>
      </c>
      <c r="B2163" s="526">
        <v>46230</v>
      </c>
      <c r="C2163" s="524" t="s">
        <v>1148</v>
      </c>
      <c r="D2163" s="524" t="s">
        <v>1239</v>
      </c>
      <c r="E2163" s="524" t="s">
        <v>1312</v>
      </c>
      <c r="F2163" s="524" t="s">
        <v>1170</v>
      </c>
      <c r="G2163" s="524" t="s">
        <v>749</v>
      </c>
      <c r="H2163" s="527">
        <v>15</v>
      </c>
      <c r="I2163" s="524" t="s">
        <v>1174</v>
      </c>
      <c r="J2163" s="524">
        <f>IF(cmf[[#This Row],[D/C]]="C",cmf[[#This Row],[Valor]],-1*cmf[[#This Row],[Valor]])</f>
        <v>-15</v>
      </c>
      <c r="L2163" s="524" t="s">
        <v>1241</v>
      </c>
      <c r="M2163" s="524" t="s">
        <v>1242</v>
      </c>
      <c r="N2163" s="524" t="s">
        <v>1256</v>
      </c>
      <c r="O2163" s="524" t="s">
        <v>1257</v>
      </c>
      <c r="P2163" s="526">
        <v>46230</v>
      </c>
      <c r="S2163" s="527">
        <v>0</v>
      </c>
    </row>
    <row r="2164" spans="1:19" x14ac:dyDescent="0.2">
      <c r="A2164" s="524">
        <v>71273</v>
      </c>
      <c r="B2164" s="526">
        <v>46230</v>
      </c>
      <c r="C2164" s="524" t="s">
        <v>1148</v>
      </c>
      <c r="D2164" s="524" t="s">
        <v>1243</v>
      </c>
      <c r="E2164" s="524" t="s">
        <v>1266</v>
      </c>
      <c r="F2164" s="524" t="s">
        <v>1183</v>
      </c>
      <c r="G2164" s="524" t="s">
        <v>769</v>
      </c>
      <c r="H2164" s="527">
        <v>586</v>
      </c>
      <c r="I2164" s="524" t="s">
        <v>1174</v>
      </c>
      <c r="J2164" s="524">
        <f>IF(cmf[[#This Row],[D/C]]="C",cmf[[#This Row],[Valor]],-1*cmf[[#This Row],[Valor]])</f>
        <v>-586</v>
      </c>
      <c r="L2164" s="524" t="s">
        <v>1245</v>
      </c>
      <c r="M2164" s="524" t="s">
        <v>1246</v>
      </c>
      <c r="N2164" s="524" t="s">
        <v>1219</v>
      </c>
      <c r="O2164" s="524" t="s">
        <v>1220</v>
      </c>
      <c r="P2164" s="526">
        <v>46230</v>
      </c>
      <c r="S2164" s="527">
        <v>0</v>
      </c>
    </row>
    <row r="2165" spans="1:19" x14ac:dyDescent="0.2">
      <c r="A2165" s="524">
        <v>71277</v>
      </c>
      <c r="B2165" s="526">
        <v>46230</v>
      </c>
      <c r="C2165" s="524" t="s">
        <v>1148</v>
      </c>
      <c r="D2165" s="524" t="s">
        <v>1243</v>
      </c>
      <c r="E2165" s="524" t="s">
        <v>1244</v>
      </c>
      <c r="F2165" s="524" t="s">
        <v>1183</v>
      </c>
      <c r="G2165" s="524" t="s">
        <v>758</v>
      </c>
      <c r="H2165" s="527">
        <v>305659.51</v>
      </c>
      <c r="I2165" s="524" t="s">
        <v>1148</v>
      </c>
      <c r="J2165" s="524">
        <f>IF(cmf[[#This Row],[D/C]]="C",cmf[[#This Row],[Valor]],-1*cmf[[#This Row],[Valor]])</f>
        <v>305659.51</v>
      </c>
      <c r="L2165" s="524" t="s">
        <v>1245</v>
      </c>
      <c r="M2165" s="524" t="s">
        <v>1246</v>
      </c>
      <c r="N2165" s="524" t="s">
        <v>1223</v>
      </c>
      <c r="O2165" s="524" t="s">
        <v>1224</v>
      </c>
      <c r="P2165" s="526">
        <v>46230</v>
      </c>
      <c r="S2165" s="527">
        <v>0</v>
      </c>
    </row>
    <row r="2166" spans="1:19" x14ac:dyDescent="0.2">
      <c r="A2166" s="524">
        <v>71278</v>
      </c>
      <c r="B2166" s="526">
        <v>46230</v>
      </c>
      <c r="C2166" s="524" t="s">
        <v>1148</v>
      </c>
      <c r="D2166" s="524" t="s">
        <v>1243</v>
      </c>
      <c r="E2166" s="524" t="s">
        <v>1244</v>
      </c>
      <c r="F2166" s="524" t="s">
        <v>1183</v>
      </c>
      <c r="G2166" s="524" t="s">
        <v>758</v>
      </c>
      <c r="H2166" s="527">
        <v>1.23</v>
      </c>
      <c r="I2166" s="524" t="s">
        <v>1148</v>
      </c>
      <c r="J2166" s="524">
        <f>IF(cmf[[#This Row],[D/C]]="C",cmf[[#This Row],[Valor]],-1*cmf[[#This Row],[Valor]])</f>
        <v>1.23</v>
      </c>
      <c r="L2166" s="524" t="s">
        <v>1245</v>
      </c>
      <c r="M2166" s="524" t="s">
        <v>1246</v>
      </c>
      <c r="N2166" s="524" t="s">
        <v>1223</v>
      </c>
      <c r="O2166" s="524" t="s">
        <v>1224</v>
      </c>
      <c r="P2166" s="526">
        <v>46230</v>
      </c>
      <c r="S2166" s="527">
        <v>0</v>
      </c>
    </row>
    <row r="2167" spans="1:19" x14ac:dyDescent="0.2">
      <c r="A2167" s="524">
        <v>71282</v>
      </c>
      <c r="B2167" s="526">
        <v>46230</v>
      </c>
      <c r="C2167" s="524" t="s">
        <v>1148</v>
      </c>
      <c r="D2167" s="524" t="s">
        <v>1243</v>
      </c>
      <c r="E2167" s="524" t="s">
        <v>1266</v>
      </c>
      <c r="F2167" s="524" t="s">
        <v>1183</v>
      </c>
      <c r="G2167" s="524" t="s">
        <v>806</v>
      </c>
      <c r="H2167" s="527">
        <v>70722.38</v>
      </c>
      <c r="I2167" s="524" t="s">
        <v>1174</v>
      </c>
      <c r="J2167" s="524">
        <f>IF(cmf[[#This Row],[D/C]]="C",cmf[[#This Row],[Valor]],-1*cmf[[#This Row],[Valor]])</f>
        <v>-70722.38</v>
      </c>
      <c r="L2167" s="524" t="s">
        <v>1245</v>
      </c>
      <c r="M2167" s="524" t="s">
        <v>1246</v>
      </c>
      <c r="N2167" s="524" t="s">
        <v>1283</v>
      </c>
      <c r="O2167" s="524" t="s">
        <v>1284</v>
      </c>
      <c r="P2167" s="526">
        <v>46230</v>
      </c>
      <c r="S2167" s="527">
        <v>0</v>
      </c>
    </row>
    <row r="2168" spans="1:19" x14ac:dyDescent="0.2">
      <c r="A2168" s="524">
        <v>71300</v>
      </c>
      <c r="B2168" s="526">
        <v>46230</v>
      </c>
      <c r="C2168" s="524" t="s">
        <v>1148</v>
      </c>
      <c r="D2168" s="524" t="s">
        <v>1239</v>
      </c>
      <c r="E2168" s="524" t="s">
        <v>2469</v>
      </c>
      <c r="F2168" s="524" t="s">
        <v>1170</v>
      </c>
      <c r="G2168" s="524" t="s">
        <v>757</v>
      </c>
      <c r="H2168" s="527">
        <v>73</v>
      </c>
      <c r="I2168" s="524" t="s">
        <v>1174</v>
      </c>
      <c r="J2168" s="524">
        <f>IF(cmf[[#This Row],[D/C]]="C",cmf[[#This Row],[Valor]],-1*cmf[[#This Row],[Valor]])</f>
        <v>-73</v>
      </c>
      <c r="L2168" s="524" t="s">
        <v>1241</v>
      </c>
      <c r="M2168" s="524" t="s">
        <v>1242</v>
      </c>
      <c r="N2168" s="524" t="s">
        <v>1223</v>
      </c>
      <c r="O2168" s="524" t="s">
        <v>1224</v>
      </c>
      <c r="P2168" s="526">
        <v>46230</v>
      </c>
      <c r="S2168" s="527">
        <v>0</v>
      </c>
    </row>
    <row r="2169" spans="1:19" x14ac:dyDescent="0.2">
      <c r="A2169" s="524">
        <v>71301</v>
      </c>
      <c r="B2169" s="526">
        <v>46230</v>
      </c>
      <c r="C2169" s="524" t="s">
        <v>1148</v>
      </c>
      <c r="D2169" s="524" t="s">
        <v>1239</v>
      </c>
      <c r="E2169" s="524" t="s">
        <v>1567</v>
      </c>
      <c r="F2169" s="524" t="s">
        <v>1170</v>
      </c>
      <c r="G2169" s="524" t="s">
        <v>757</v>
      </c>
      <c r="H2169" s="527">
        <v>13</v>
      </c>
      <c r="I2169" s="524" t="s">
        <v>1174</v>
      </c>
      <c r="J2169" s="524">
        <f>IF(cmf[[#This Row],[D/C]]="C",cmf[[#This Row],[Valor]],-1*cmf[[#This Row],[Valor]])</f>
        <v>-13</v>
      </c>
      <c r="L2169" s="524" t="s">
        <v>1241</v>
      </c>
      <c r="M2169" s="524" t="s">
        <v>1242</v>
      </c>
      <c r="N2169" s="524" t="s">
        <v>1223</v>
      </c>
      <c r="O2169" s="524" t="s">
        <v>1224</v>
      </c>
      <c r="P2169" s="526">
        <v>46230</v>
      </c>
      <c r="S2169" s="527">
        <v>0</v>
      </c>
    </row>
    <row r="2170" spans="1:19" x14ac:dyDescent="0.2">
      <c r="A2170" s="524">
        <v>71302</v>
      </c>
      <c r="B2170" s="526">
        <v>46230</v>
      </c>
      <c r="C2170" s="524" t="s">
        <v>1148</v>
      </c>
      <c r="D2170" s="524" t="s">
        <v>1239</v>
      </c>
      <c r="E2170" s="524" t="s">
        <v>1567</v>
      </c>
      <c r="F2170" s="524" t="s">
        <v>1170</v>
      </c>
      <c r="G2170" s="524" t="s">
        <v>757</v>
      </c>
      <c r="H2170" s="527">
        <v>13</v>
      </c>
      <c r="I2170" s="524" t="s">
        <v>1174</v>
      </c>
      <c r="J2170" s="524">
        <f>IF(cmf[[#This Row],[D/C]]="C",cmf[[#This Row],[Valor]],-1*cmf[[#This Row],[Valor]])</f>
        <v>-13</v>
      </c>
      <c r="L2170" s="524" t="s">
        <v>1241</v>
      </c>
      <c r="M2170" s="524" t="s">
        <v>1242</v>
      </c>
      <c r="N2170" s="524" t="s">
        <v>1223</v>
      </c>
      <c r="O2170" s="524" t="s">
        <v>1224</v>
      </c>
      <c r="P2170" s="526">
        <v>46230</v>
      </c>
      <c r="S2170" s="527">
        <v>0</v>
      </c>
    </row>
    <row r="2171" spans="1:19" x14ac:dyDescent="0.2">
      <c r="A2171" s="524">
        <v>71333</v>
      </c>
      <c r="B2171" s="526">
        <v>46230</v>
      </c>
      <c r="C2171" s="524" t="s">
        <v>1148</v>
      </c>
      <c r="D2171" s="524" t="s">
        <v>1239</v>
      </c>
      <c r="E2171" s="524" t="s">
        <v>2455</v>
      </c>
      <c r="F2171" s="524" t="s">
        <v>1170</v>
      </c>
      <c r="G2171" s="524" t="s">
        <v>747</v>
      </c>
      <c r="H2171" s="527">
        <v>75</v>
      </c>
      <c r="I2171" s="524" t="s">
        <v>1174</v>
      </c>
      <c r="J2171" s="524">
        <f>IF(cmf[[#This Row],[D/C]]="C",cmf[[#This Row],[Valor]],-1*cmf[[#This Row],[Valor]])</f>
        <v>-75</v>
      </c>
      <c r="L2171" s="524" t="s">
        <v>1241</v>
      </c>
      <c r="M2171" s="524" t="s">
        <v>1242</v>
      </c>
      <c r="N2171" s="524" t="s">
        <v>1256</v>
      </c>
      <c r="O2171" s="524" t="s">
        <v>1257</v>
      </c>
      <c r="P2171" s="526">
        <v>46230</v>
      </c>
      <c r="S2171" s="527">
        <v>0</v>
      </c>
    </row>
    <row r="2172" spans="1:19" x14ac:dyDescent="0.2">
      <c r="A2172" s="524">
        <v>71356</v>
      </c>
      <c r="B2172" s="526">
        <v>46230</v>
      </c>
      <c r="C2172" s="524" t="s">
        <v>1148</v>
      </c>
      <c r="D2172" s="524" t="s">
        <v>1243</v>
      </c>
      <c r="E2172" s="524" t="s">
        <v>1266</v>
      </c>
      <c r="F2172" s="524" t="s">
        <v>1183</v>
      </c>
      <c r="G2172" s="524" t="s">
        <v>745</v>
      </c>
      <c r="H2172" s="527">
        <v>83000</v>
      </c>
      <c r="I2172" s="524" t="s">
        <v>1174</v>
      </c>
      <c r="J2172" s="524">
        <f>IF(cmf[[#This Row],[D/C]]="C",cmf[[#This Row],[Valor]],-1*cmf[[#This Row],[Valor]])</f>
        <v>-83000</v>
      </c>
      <c r="L2172" s="524" t="s">
        <v>1245</v>
      </c>
      <c r="M2172" s="524" t="s">
        <v>1246</v>
      </c>
      <c r="N2172" s="524" t="s">
        <v>1292</v>
      </c>
      <c r="O2172" s="524" t="s">
        <v>1293</v>
      </c>
      <c r="P2172" s="526">
        <v>46230</v>
      </c>
      <c r="S2172" s="527">
        <v>0</v>
      </c>
    </row>
    <row r="2173" spans="1:19" x14ac:dyDescent="0.2">
      <c r="A2173" s="524">
        <v>71380</v>
      </c>
      <c r="B2173" s="526">
        <v>46230</v>
      </c>
      <c r="C2173" s="524" t="s">
        <v>1148</v>
      </c>
      <c r="D2173" s="524" t="s">
        <v>1163</v>
      </c>
      <c r="E2173" s="524" t="s">
        <v>1164</v>
      </c>
      <c r="F2173" s="524" t="s">
        <v>1170</v>
      </c>
      <c r="G2173" s="524" t="s">
        <v>802</v>
      </c>
      <c r="H2173" s="527">
        <v>48425.89</v>
      </c>
      <c r="I2173" s="524" t="s">
        <v>1148</v>
      </c>
      <c r="J2173" s="524">
        <f>IF(cmf[[#This Row],[D/C]]="C",cmf[[#This Row],[Valor]],-1*cmf[[#This Row],[Valor]])</f>
        <v>48425.89</v>
      </c>
      <c r="L2173" s="524" t="s">
        <v>1166</v>
      </c>
      <c r="M2173" s="524" t="s">
        <v>1167</v>
      </c>
      <c r="N2173" s="524" t="s">
        <v>1192</v>
      </c>
      <c r="O2173" s="524" t="s">
        <v>1193</v>
      </c>
      <c r="P2173" s="526">
        <v>46230</v>
      </c>
      <c r="S2173" s="527">
        <v>0</v>
      </c>
    </row>
    <row r="2174" spans="1:19" x14ac:dyDescent="0.2">
      <c r="A2174" s="524">
        <v>71381</v>
      </c>
      <c r="B2174" s="526">
        <v>46230</v>
      </c>
      <c r="C2174" s="524" t="s">
        <v>1148</v>
      </c>
      <c r="D2174" s="524" t="s">
        <v>1163</v>
      </c>
      <c r="E2174" s="524" t="s">
        <v>1164</v>
      </c>
      <c r="F2174" s="524" t="s">
        <v>1170</v>
      </c>
      <c r="G2174" s="524" t="s">
        <v>802</v>
      </c>
      <c r="H2174" s="527">
        <v>65552.92</v>
      </c>
      <c r="I2174" s="524" t="s">
        <v>1148</v>
      </c>
      <c r="J2174" s="524">
        <f>IF(cmf[[#This Row],[D/C]]="C",cmf[[#This Row],[Valor]],-1*cmf[[#This Row],[Valor]])</f>
        <v>65552.92</v>
      </c>
      <c r="L2174" s="524" t="s">
        <v>1166</v>
      </c>
      <c r="M2174" s="524" t="s">
        <v>1167</v>
      </c>
      <c r="N2174" s="524" t="s">
        <v>1192</v>
      </c>
      <c r="O2174" s="524" t="s">
        <v>1193</v>
      </c>
      <c r="P2174" s="526">
        <v>46230</v>
      </c>
      <c r="S2174" s="527">
        <v>0</v>
      </c>
    </row>
    <row r="2175" spans="1:19" x14ac:dyDescent="0.2">
      <c r="A2175" s="524">
        <v>71383</v>
      </c>
      <c r="B2175" s="526">
        <v>46230</v>
      </c>
      <c r="C2175" s="524" t="s">
        <v>1148</v>
      </c>
      <c r="D2175" s="524" t="s">
        <v>1163</v>
      </c>
      <c r="E2175" s="524" t="s">
        <v>1164</v>
      </c>
      <c r="F2175" s="524" t="s">
        <v>1170</v>
      </c>
      <c r="G2175" s="524" t="s">
        <v>802</v>
      </c>
      <c r="H2175" s="527">
        <v>52376.94</v>
      </c>
      <c r="I2175" s="524" t="s">
        <v>1148</v>
      </c>
      <c r="J2175" s="524">
        <f>IF(cmf[[#This Row],[D/C]]="C",cmf[[#This Row],[Valor]],-1*cmf[[#This Row],[Valor]])</f>
        <v>52376.94</v>
      </c>
      <c r="L2175" s="524" t="s">
        <v>1166</v>
      </c>
      <c r="M2175" s="524" t="s">
        <v>1167</v>
      </c>
      <c r="N2175" s="524" t="s">
        <v>1192</v>
      </c>
      <c r="O2175" s="524" t="s">
        <v>1193</v>
      </c>
      <c r="P2175" s="526">
        <v>46230</v>
      </c>
      <c r="S2175" s="527">
        <v>0</v>
      </c>
    </row>
    <row r="2176" spans="1:19" x14ac:dyDescent="0.2">
      <c r="A2176" s="524">
        <v>71386</v>
      </c>
      <c r="B2176" s="526">
        <v>46230</v>
      </c>
      <c r="C2176" s="524" t="s">
        <v>1148</v>
      </c>
      <c r="D2176" s="524" t="s">
        <v>1163</v>
      </c>
      <c r="E2176" s="524" t="s">
        <v>1164</v>
      </c>
      <c r="F2176" s="524" t="s">
        <v>1170</v>
      </c>
      <c r="G2176" s="524" t="s">
        <v>802</v>
      </c>
      <c r="H2176" s="527">
        <v>73466.13</v>
      </c>
      <c r="I2176" s="524" t="s">
        <v>1148</v>
      </c>
      <c r="J2176" s="524">
        <f>IF(cmf[[#This Row],[D/C]]="C",cmf[[#This Row],[Valor]],-1*cmf[[#This Row],[Valor]])</f>
        <v>73466.13</v>
      </c>
      <c r="L2176" s="524" t="s">
        <v>1166</v>
      </c>
      <c r="M2176" s="524" t="s">
        <v>1167</v>
      </c>
      <c r="N2176" s="524" t="s">
        <v>1192</v>
      </c>
      <c r="O2176" s="524" t="s">
        <v>1193</v>
      </c>
      <c r="P2176" s="526">
        <v>46230</v>
      </c>
      <c r="S2176" s="527">
        <v>0</v>
      </c>
    </row>
    <row r="2177" spans="1:19" x14ac:dyDescent="0.2">
      <c r="A2177" s="524">
        <v>71407</v>
      </c>
      <c r="B2177" s="526">
        <v>46230</v>
      </c>
      <c r="C2177" s="524" t="s">
        <v>1148</v>
      </c>
      <c r="D2177" s="524" t="s">
        <v>1239</v>
      </c>
      <c r="E2177" s="524" t="s">
        <v>2475</v>
      </c>
      <c r="F2177" s="524" t="s">
        <v>1170</v>
      </c>
      <c r="G2177" s="524" t="s">
        <v>802</v>
      </c>
      <c r="H2177" s="527">
        <v>219.64</v>
      </c>
      <c r="I2177" s="524" t="s">
        <v>1148</v>
      </c>
      <c r="J2177" s="524">
        <f>IF(cmf[[#This Row],[D/C]]="C",cmf[[#This Row],[Valor]],-1*cmf[[#This Row],[Valor]])</f>
        <v>219.64</v>
      </c>
      <c r="L2177" s="524" t="s">
        <v>1264</v>
      </c>
      <c r="M2177" s="524" t="s">
        <v>1265</v>
      </c>
      <c r="N2177" s="524" t="s">
        <v>1192</v>
      </c>
      <c r="O2177" s="524" t="s">
        <v>1193</v>
      </c>
      <c r="P2177" s="526">
        <v>46230</v>
      </c>
      <c r="S2177" s="527">
        <v>0</v>
      </c>
    </row>
    <row r="2178" spans="1:19" x14ac:dyDescent="0.2">
      <c r="A2178" s="524">
        <v>71408</v>
      </c>
      <c r="B2178" s="526">
        <v>46230</v>
      </c>
      <c r="C2178" s="524" t="s">
        <v>1148</v>
      </c>
      <c r="D2178" s="524" t="s">
        <v>1239</v>
      </c>
      <c r="E2178" s="524" t="s">
        <v>2476</v>
      </c>
      <c r="F2178" s="524" t="s">
        <v>1170</v>
      </c>
      <c r="G2178" s="524" t="s">
        <v>802</v>
      </c>
      <c r="H2178" s="527">
        <v>459.66</v>
      </c>
      <c r="I2178" s="524" t="s">
        <v>1148</v>
      </c>
      <c r="J2178" s="524">
        <f>IF(cmf[[#This Row],[D/C]]="C",cmf[[#This Row],[Valor]],-1*cmf[[#This Row],[Valor]])</f>
        <v>459.66</v>
      </c>
      <c r="L2178" s="524" t="s">
        <v>1264</v>
      </c>
      <c r="M2178" s="524" t="s">
        <v>1265</v>
      </c>
      <c r="N2178" s="524" t="s">
        <v>1192</v>
      </c>
      <c r="O2178" s="524" t="s">
        <v>1193</v>
      </c>
      <c r="P2178" s="526">
        <v>46230</v>
      </c>
      <c r="S2178" s="527">
        <v>0</v>
      </c>
    </row>
    <row r="2179" spans="1:19" x14ac:dyDescent="0.2">
      <c r="A2179" s="524">
        <v>71409</v>
      </c>
      <c r="B2179" s="526">
        <v>46230</v>
      </c>
      <c r="C2179" s="524" t="s">
        <v>1148</v>
      </c>
      <c r="D2179" s="524" t="s">
        <v>1239</v>
      </c>
      <c r="E2179" s="524" t="s">
        <v>2477</v>
      </c>
      <c r="F2179" s="524" t="s">
        <v>1170</v>
      </c>
      <c r="G2179" s="524" t="s">
        <v>802</v>
      </c>
      <c r="H2179" s="527">
        <v>319.18</v>
      </c>
      <c r="I2179" s="524" t="s">
        <v>1148</v>
      </c>
      <c r="J2179" s="524">
        <f>IF(cmf[[#This Row],[D/C]]="C",cmf[[#This Row],[Valor]],-1*cmf[[#This Row],[Valor]])</f>
        <v>319.18</v>
      </c>
      <c r="L2179" s="524" t="s">
        <v>1264</v>
      </c>
      <c r="M2179" s="524" t="s">
        <v>1265</v>
      </c>
      <c r="N2179" s="524" t="s">
        <v>1192</v>
      </c>
      <c r="O2179" s="524" t="s">
        <v>1193</v>
      </c>
      <c r="P2179" s="526">
        <v>46230</v>
      </c>
      <c r="S2179" s="527">
        <v>0</v>
      </c>
    </row>
    <row r="2180" spans="1:19" x14ac:dyDescent="0.2">
      <c r="A2180" s="524">
        <v>71410</v>
      </c>
      <c r="B2180" s="526">
        <v>46230</v>
      </c>
      <c r="C2180" s="524" t="s">
        <v>1148</v>
      </c>
      <c r="D2180" s="524" t="s">
        <v>1239</v>
      </c>
      <c r="E2180" s="524" t="s">
        <v>2478</v>
      </c>
      <c r="F2180" s="524" t="s">
        <v>1170</v>
      </c>
      <c r="G2180" s="524" t="s">
        <v>802</v>
      </c>
      <c r="H2180" s="527">
        <v>334.47</v>
      </c>
      <c r="I2180" s="524" t="s">
        <v>1148</v>
      </c>
      <c r="J2180" s="524">
        <f>IF(cmf[[#This Row],[D/C]]="C",cmf[[#This Row],[Valor]],-1*cmf[[#This Row],[Valor]])</f>
        <v>334.47</v>
      </c>
      <c r="L2180" s="524" t="s">
        <v>1264</v>
      </c>
      <c r="M2180" s="524" t="s">
        <v>1265</v>
      </c>
      <c r="N2180" s="524" t="s">
        <v>1192</v>
      </c>
      <c r="O2180" s="524" t="s">
        <v>1193</v>
      </c>
      <c r="P2180" s="526">
        <v>46230</v>
      </c>
      <c r="S2180" s="527">
        <v>0</v>
      </c>
    </row>
    <row r="2181" spans="1:19" x14ac:dyDescent="0.2">
      <c r="A2181" s="524">
        <v>71411</v>
      </c>
      <c r="B2181" s="526">
        <v>46230</v>
      </c>
      <c r="C2181" s="524" t="s">
        <v>1148</v>
      </c>
      <c r="D2181" s="524" t="s">
        <v>1239</v>
      </c>
      <c r="E2181" s="524" t="s">
        <v>2479</v>
      </c>
      <c r="F2181" s="524" t="s">
        <v>1170</v>
      </c>
      <c r="G2181" s="524" t="s">
        <v>802</v>
      </c>
      <c r="H2181" s="527">
        <v>237.38</v>
      </c>
      <c r="I2181" s="524" t="s">
        <v>1148</v>
      </c>
      <c r="J2181" s="524">
        <f>IF(cmf[[#This Row],[D/C]]="C",cmf[[#This Row],[Valor]],-1*cmf[[#This Row],[Valor]])</f>
        <v>237.38</v>
      </c>
      <c r="L2181" s="524" t="s">
        <v>1264</v>
      </c>
      <c r="M2181" s="524" t="s">
        <v>1265</v>
      </c>
      <c r="N2181" s="524" t="s">
        <v>1192</v>
      </c>
      <c r="O2181" s="524" t="s">
        <v>1193</v>
      </c>
      <c r="P2181" s="526">
        <v>46230</v>
      </c>
      <c r="S2181" s="527">
        <v>0</v>
      </c>
    </row>
    <row r="2182" spans="1:19" x14ac:dyDescent="0.2">
      <c r="A2182" s="524">
        <v>71545</v>
      </c>
      <c r="B2182" s="526">
        <v>46230</v>
      </c>
      <c r="C2182" s="524" t="s">
        <v>1148</v>
      </c>
      <c r="D2182" s="524" t="s">
        <v>1239</v>
      </c>
      <c r="E2182" s="524" t="s">
        <v>1568</v>
      </c>
      <c r="F2182" s="524" t="s">
        <v>1170</v>
      </c>
      <c r="G2182" s="524" t="s">
        <v>744</v>
      </c>
      <c r="H2182" s="527">
        <v>75</v>
      </c>
      <c r="I2182" s="524" t="s">
        <v>1174</v>
      </c>
      <c r="J2182" s="524">
        <f>IF(cmf[[#This Row],[D/C]]="C",cmf[[#This Row],[Valor]],-1*cmf[[#This Row],[Valor]])</f>
        <v>-75</v>
      </c>
      <c r="L2182" s="524" t="s">
        <v>1241</v>
      </c>
      <c r="M2182" s="524" t="s">
        <v>1242</v>
      </c>
      <c r="N2182" s="524" t="s">
        <v>1292</v>
      </c>
      <c r="O2182" s="524" t="s">
        <v>1293</v>
      </c>
      <c r="P2182" s="526">
        <v>46230</v>
      </c>
      <c r="S2182" s="527">
        <v>0</v>
      </c>
    </row>
    <row r="2183" spans="1:19" x14ac:dyDescent="0.2">
      <c r="A2183" s="524">
        <v>71550</v>
      </c>
      <c r="B2183" s="526">
        <v>46230</v>
      </c>
      <c r="C2183" s="524" t="s">
        <v>1148</v>
      </c>
      <c r="D2183" s="524" t="s">
        <v>1243</v>
      </c>
      <c r="E2183" s="524" t="s">
        <v>1244</v>
      </c>
      <c r="F2183" s="524" t="s">
        <v>1183</v>
      </c>
      <c r="G2183" s="524" t="s">
        <v>803</v>
      </c>
      <c r="H2183" s="527">
        <v>1711.77</v>
      </c>
      <c r="I2183" s="524" t="s">
        <v>1148</v>
      </c>
      <c r="J2183" s="524">
        <f>IF(cmf[[#This Row],[D/C]]="C",cmf[[#This Row],[Valor]],-1*cmf[[#This Row],[Valor]])</f>
        <v>1711.77</v>
      </c>
      <c r="L2183" s="524" t="s">
        <v>1245</v>
      </c>
      <c r="M2183" s="524" t="s">
        <v>1246</v>
      </c>
      <c r="N2183" s="524" t="s">
        <v>1192</v>
      </c>
      <c r="O2183" s="524" t="s">
        <v>1193</v>
      </c>
      <c r="P2183" s="526">
        <v>46230</v>
      </c>
      <c r="S2183" s="527">
        <v>0</v>
      </c>
    </row>
    <row r="2184" spans="1:19" x14ac:dyDescent="0.2">
      <c r="A2184" s="524">
        <v>71551</v>
      </c>
      <c r="B2184" s="526">
        <v>46230</v>
      </c>
      <c r="C2184" s="524" t="s">
        <v>1148</v>
      </c>
      <c r="D2184" s="524" t="s">
        <v>1243</v>
      </c>
      <c r="E2184" s="524" t="s">
        <v>1244</v>
      </c>
      <c r="F2184" s="524" t="s">
        <v>1183</v>
      </c>
      <c r="G2184" s="524" t="s">
        <v>803</v>
      </c>
      <c r="H2184" s="527">
        <v>0.02</v>
      </c>
      <c r="I2184" s="524" t="s">
        <v>1148</v>
      </c>
      <c r="J2184" s="524">
        <f>IF(cmf[[#This Row],[D/C]]="C",cmf[[#This Row],[Valor]],-1*cmf[[#This Row],[Valor]])</f>
        <v>0.02</v>
      </c>
      <c r="L2184" s="524" t="s">
        <v>1245</v>
      </c>
      <c r="M2184" s="524" t="s">
        <v>1246</v>
      </c>
      <c r="N2184" s="524" t="s">
        <v>1192</v>
      </c>
      <c r="O2184" s="524" t="s">
        <v>1193</v>
      </c>
      <c r="P2184" s="526">
        <v>46230</v>
      </c>
      <c r="S2184" s="527">
        <v>0</v>
      </c>
    </row>
    <row r="2185" spans="1:19" x14ac:dyDescent="0.2">
      <c r="A2185" s="524">
        <v>71576</v>
      </c>
      <c r="B2185" s="526">
        <v>46230</v>
      </c>
      <c r="C2185" s="524" t="s">
        <v>1148</v>
      </c>
      <c r="D2185" s="524" t="s">
        <v>1243</v>
      </c>
      <c r="E2185" s="524" t="s">
        <v>1244</v>
      </c>
      <c r="F2185" s="524" t="s">
        <v>1183</v>
      </c>
      <c r="G2185" s="524" t="s">
        <v>800</v>
      </c>
      <c r="H2185" s="527">
        <v>7748.02</v>
      </c>
      <c r="I2185" s="524" t="s">
        <v>1148</v>
      </c>
      <c r="J2185" s="524">
        <f>IF(cmf[[#This Row],[D/C]]="C",cmf[[#This Row],[Valor]],-1*cmf[[#This Row],[Valor]])</f>
        <v>7748.02</v>
      </c>
      <c r="L2185" s="524" t="s">
        <v>1245</v>
      </c>
      <c r="M2185" s="524" t="s">
        <v>1246</v>
      </c>
      <c r="N2185" s="524" t="s">
        <v>1171</v>
      </c>
      <c r="O2185" s="524" t="s">
        <v>1172</v>
      </c>
      <c r="P2185" s="526">
        <v>46230</v>
      </c>
      <c r="S2185" s="527">
        <v>0</v>
      </c>
    </row>
    <row r="2186" spans="1:19" x14ac:dyDescent="0.2">
      <c r="A2186" s="524">
        <v>71577</v>
      </c>
      <c r="B2186" s="526">
        <v>46230</v>
      </c>
      <c r="C2186" s="524" t="s">
        <v>1148</v>
      </c>
      <c r="D2186" s="524" t="s">
        <v>1243</v>
      </c>
      <c r="E2186" s="524" t="s">
        <v>1244</v>
      </c>
      <c r="F2186" s="524" t="s">
        <v>1183</v>
      </c>
      <c r="G2186" s="524" t="s">
        <v>800</v>
      </c>
      <c r="H2186" s="527">
        <v>0.03</v>
      </c>
      <c r="I2186" s="524" t="s">
        <v>1148</v>
      </c>
      <c r="J2186" s="524">
        <f>IF(cmf[[#This Row],[D/C]]="C",cmf[[#This Row],[Valor]],-1*cmf[[#This Row],[Valor]])</f>
        <v>0.03</v>
      </c>
      <c r="L2186" s="524" t="s">
        <v>1245</v>
      </c>
      <c r="M2186" s="524" t="s">
        <v>1246</v>
      </c>
      <c r="N2186" s="524" t="s">
        <v>1171</v>
      </c>
      <c r="O2186" s="524" t="s">
        <v>1172</v>
      </c>
      <c r="P2186" s="526">
        <v>46230</v>
      </c>
      <c r="S2186" s="527">
        <v>0</v>
      </c>
    </row>
    <row r="2187" spans="1:19" x14ac:dyDescent="0.2">
      <c r="A2187" s="524">
        <v>71641</v>
      </c>
      <c r="B2187" s="526">
        <v>46230</v>
      </c>
      <c r="C2187" s="524" t="s">
        <v>1148</v>
      </c>
      <c r="D2187" s="524" t="s">
        <v>1239</v>
      </c>
      <c r="E2187" s="524" t="s">
        <v>2455</v>
      </c>
      <c r="F2187" s="524" t="s">
        <v>1170</v>
      </c>
      <c r="G2187" s="524" t="s">
        <v>740</v>
      </c>
      <c r="H2187" s="527">
        <v>189</v>
      </c>
      <c r="I2187" s="524" t="s">
        <v>1174</v>
      </c>
      <c r="J2187" s="524">
        <f>IF(cmf[[#This Row],[D/C]]="C",cmf[[#This Row],[Valor]],-1*cmf[[#This Row],[Valor]])</f>
        <v>-189</v>
      </c>
      <c r="L2187" s="524" t="s">
        <v>1241</v>
      </c>
      <c r="M2187" s="524" t="s">
        <v>1242</v>
      </c>
      <c r="N2187" s="524" t="s">
        <v>1215</v>
      </c>
      <c r="O2187" s="524" t="s">
        <v>1218</v>
      </c>
      <c r="P2187" s="526">
        <v>46230</v>
      </c>
      <c r="S2187" s="527">
        <v>0</v>
      </c>
    </row>
    <row r="2188" spans="1:19" x14ac:dyDescent="0.2">
      <c r="A2188" s="524">
        <v>71663</v>
      </c>
      <c r="B2188" s="526">
        <v>46230</v>
      </c>
      <c r="C2188" s="524" t="s">
        <v>1148</v>
      </c>
      <c r="D2188" s="524" t="s">
        <v>1243</v>
      </c>
      <c r="E2188" s="524" t="s">
        <v>1266</v>
      </c>
      <c r="F2188" s="524" t="s">
        <v>1183</v>
      </c>
      <c r="G2188" s="524" t="s">
        <v>766</v>
      </c>
      <c r="H2188" s="527">
        <v>5916.97</v>
      </c>
      <c r="I2188" s="524" t="s">
        <v>1174</v>
      </c>
      <c r="J2188" s="524">
        <f>IF(cmf[[#This Row],[D/C]]="C",cmf[[#This Row],[Valor]],-1*cmf[[#This Row],[Valor]])</f>
        <v>-5916.97</v>
      </c>
      <c r="L2188" s="524" t="s">
        <v>1245</v>
      </c>
      <c r="M2188" s="524" t="s">
        <v>1246</v>
      </c>
      <c r="N2188" s="524" t="s">
        <v>1200</v>
      </c>
      <c r="O2188" s="524" t="s">
        <v>1201</v>
      </c>
      <c r="P2188" s="526">
        <v>46230</v>
      </c>
      <c r="S2188" s="527">
        <v>0</v>
      </c>
    </row>
    <row r="2189" spans="1:19" x14ac:dyDescent="0.2">
      <c r="A2189" s="524">
        <v>71687</v>
      </c>
      <c r="B2189" s="526">
        <v>46230</v>
      </c>
      <c r="C2189" s="524" t="s">
        <v>1148</v>
      </c>
      <c r="D2189" s="524" t="s">
        <v>1239</v>
      </c>
      <c r="E2189" s="524" t="s">
        <v>1567</v>
      </c>
      <c r="F2189" s="524" t="s">
        <v>1170</v>
      </c>
      <c r="G2189" s="524" t="s">
        <v>802</v>
      </c>
      <c r="H2189" s="527">
        <v>13</v>
      </c>
      <c r="I2189" s="524" t="s">
        <v>1174</v>
      </c>
      <c r="J2189" s="524">
        <f>IF(cmf[[#This Row],[D/C]]="C",cmf[[#This Row],[Valor]],-1*cmf[[#This Row],[Valor]])</f>
        <v>-13</v>
      </c>
      <c r="L2189" s="524" t="s">
        <v>1241</v>
      </c>
      <c r="M2189" s="524" t="s">
        <v>1242</v>
      </c>
      <c r="N2189" s="524" t="s">
        <v>1192</v>
      </c>
      <c r="O2189" s="524" t="s">
        <v>1193</v>
      </c>
      <c r="P2189" s="526">
        <v>46230</v>
      </c>
      <c r="S2189" s="527">
        <v>0</v>
      </c>
    </row>
    <row r="2190" spans="1:19" x14ac:dyDescent="0.2">
      <c r="A2190" s="524">
        <v>71752</v>
      </c>
      <c r="B2190" s="526">
        <v>46230</v>
      </c>
      <c r="C2190" s="524" t="s">
        <v>1148</v>
      </c>
      <c r="D2190" s="524" t="s">
        <v>1239</v>
      </c>
      <c r="E2190" s="524" t="s">
        <v>1258</v>
      </c>
      <c r="F2190" s="524" t="s">
        <v>1170</v>
      </c>
      <c r="G2190" s="524" t="s">
        <v>1102</v>
      </c>
      <c r="H2190" s="527">
        <v>1.2</v>
      </c>
      <c r="I2190" s="524" t="s">
        <v>1174</v>
      </c>
      <c r="J2190" s="524">
        <f>IF(cmf[[#This Row],[D/C]]="C",cmf[[#This Row],[Valor]],-1*cmf[[#This Row],[Valor]])</f>
        <v>-1.2</v>
      </c>
      <c r="L2190" s="524" t="s">
        <v>1241</v>
      </c>
      <c r="M2190" s="524" t="s">
        <v>1242</v>
      </c>
      <c r="N2190" s="524" t="s">
        <v>1192</v>
      </c>
      <c r="O2190" s="524" t="s">
        <v>1193</v>
      </c>
      <c r="P2190" s="526">
        <v>46230</v>
      </c>
      <c r="S2190" s="527">
        <v>0</v>
      </c>
    </row>
    <row r="2191" spans="1:19" x14ac:dyDescent="0.2">
      <c r="A2191" s="524">
        <v>71753</v>
      </c>
      <c r="B2191" s="526">
        <v>46230</v>
      </c>
      <c r="C2191" s="524" t="s">
        <v>1148</v>
      </c>
      <c r="D2191" s="524" t="s">
        <v>1239</v>
      </c>
      <c r="E2191" s="524" t="s">
        <v>1258</v>
      </c>
      <c r="F2191" s="524" t="s">
        <v>1170</v>
      </c>
      <c r="G2191" s="524" t="s">
        <v>1102</v>
      </c>
      <c r="H2191" s="527">
        <v>9</v>
      </c>
      <c r="I2191" s="524" t="s">
        <v>1174</v>
      </c>
      <c r="J2191" s="524">
        <f>IF(cmf[[#This Row],[D/C]]="C",cmf[[#This Row],[Valor]],-1*cmf[[#This Row],[Valor]])</f>
        <v>-9</v>
      </c>
      <c r="L2191" s="524" t="s">
        <v>1241</v>
      </c>
      <c r="M2191" s="524" t="s">
        <v>1242</v>
      </c>
      <c r="N2191" s="524" t="s">
        <v>1192</v>
      </c>
      <c r="O2191" s="524" t="s">
        <v>1193</v>
      </c>
      <c r="P2191" s="526">
        <v>46230</v>
      </c>
      <c r="S2191" s="527">
        <v>0</v>
      </c>
    </row>
    <row r="2192" spans="1:19" x14ac:dyDescent="0.2">
      <c r="A2192" s="524">
        <v>71803</v>
      </c>
      <c r="B2192" s="526">
        <v>46230</v>
      </c>
      <c r="C2192" s="524" t="s">
        <v>1148</v>
      </c>
      <c r="D2192" s="524" t="s">
        <v>1205</v>
      </c>
      <c r="E2192" s="524" t="s">
        <v>1214</v>
      </c>
      <c r="F2192" s="524" t="s">
        <v>1170</v>
      </c>
      <c r="G2192" s="524" t="s">
        <v>757</v>
      </c>
      <c r="H2192" s="527">
        <v>292000</v>
      </c>
      <c r="I2192" s="524" t="s">
        <v>1174</v>
      </c>
      <c r="J2192" s="524">
        <f>IF(cmf[[#This Row],[D/C]]="C",cmf[[#This Row],[Valor]],-1*cmf[[#This Row],[Valor]])</f>
        <v>-292000</v>
      </c>
      <c r="L2192" s="524" t="s">
        <v>1207</v>
      </c>
      <c r="M2192" s="524" t="s">
        <v>1208</v>
      </c>
      <c r="N2192" s="524" t="s">
        <v>1223</v>
      </c>
      <c r="O2192" s="524" t="s">
        <v>1224</v>
      </c>
      <c r="P2192" s="526">
        <v>46230</v>
      </c>
      <c r="S2192" s="527">
        <v>0</v>
      </c>
    </row>
    <row r="2193" spans="1:19" x14ac:dyDescent="0.2">
      <c r="A2193" s="524">
        <v>71804</v>
      </c>
      <c r="B2193" s="526">
        <v>46230</v>
      </c>
      <c r="C2193" s="524" t="s">
        <v>1148</v>
      </c>
      <c r="D2193" s="524" t="s">
        <v>1205</v>
      </c>
      <c r="E2193" s="524" t="s">
        <v>1234</v>
      </c>
      <c r="F2193" s="524" t="s">
        <v>1183</v>
      </c>
      <c r="G2193" s="524" t="s">
        <v>742</v>
      </c>
      <c r="H2193" s="527">
        <v>292000</v>
      </c>
      <c r="I2193" s="524" t="s">
        <v>1148</v>
      </c>
      <c r="J2193" s="524">
        <f>IF(cmf[[#This Row],[D/C]]="C",cmf[[#This Row],[Valor]],-1*cmf[[#This Row],[Valor]])</f>
        <v>292000</v>
      </c>
      <c r="L2193" s="524" t="s">
        <v>1207</v>
      </c>
      <c r="M2193" s="524" t="s">
        <v>1208</v>
      </c>
      <c r="N2193" s="524" t="s">
        <v>1215</v>
      </c>
      <c r="O2193" s="524" t="s">
        <v>1218</v>
      </c>
      <c r="P2193" s="526">
        <v>46230</v>
      </c>
      <c r="S2193" s="527">
        <v>0</v>
      </c>
    </row>
    <row r="2194" spans="1:19" x14ac:dyDescent="0.2">
      <c r="A2194" s="524">
        <v>71805</v>
      </c>
      <c r="B2194" s="526">
        <v>46230</v>
      </c>
      <c r="C2194" s="524" t="s">
        <v>1148</v>
      </c>
      <c r="D2194" s="524" t="s">
        <v>1239</v>
      </c>
      <c r="E2194" s="524" t="s">
        <v>2480</v>
      </c>
      <c r="F2194" s="524" t="s">
        <v>1183</v>
      </c>
      <c r="G2194" s="524" t="s">
        <v>742</v>
      </c>
      <c r="H2194" s="527">
        <v>40000</v>
      </c>
      <c r="I2194" s="524" t="s">
        <v>1148</v>
      </c>
      <c r="J2194" s="524">
        <f>IF(cmf[[#This Row],[D/C]]="C",cmf[[#This Row],[Valor]],-1*cmf[[#This Row],[Valor]])</f>
        <v>40000</v>
      </c>
      <c r="L2194" s="524" t="s">
        <v>1359</v>
      </c>
      <c r="M2194" s="524" t="s">
        <v>1360</v>
      </c>
      <c r="N2194" s="524" t="s">
        <v>1215</v>
      </c>
      <c r="O2194" s="524" t="s">
        <v>1218</v>
      </c>
      <c r="P2194" s="526">
        <v>46230</v>
      </c>
      <c r="S2194" s="527">
        <v>0</v>
      </c>
    </row>
    <row r="2195" spans="1:19" x14ac:dyDescent="0.2">
      <c r="A2195" s="524">
        <v>71806</v>
      </c>
      <c r="B2195" s="526">
        <v>46230</v>
      </c>
      <c r="C2195" s="524" t="s">
        <v>1148</v>
      </c>
      <c r="D2195" s="524" t="s">
        <v>1243</v>
      </c>
      <c r="E2195" s="524" t="s">
        <v>1266</v>
      </c>
      <c r="F2195" s="524" t="s">
        <v>1183</v>
      </c>
      <c r="G2195" s="524" t="s">
        <v>742</v>
      </c>
      <c r="H2195" s="527">
        <v>214108.69</v>
      </c>
      <c r="I2195" s="524" t="s">
        <v>1174</v>
      </c>
      <c r="J2195" s="524">
        <f>IF(cmf[[#This Row],[D/C]]="C",cmf[[#This Row],[Valor]],-1*cmf[[#This Row],[Valor]])</f>
        <v>-214108.69</v>
      </c>
      <c r="L2195" s="524" t="s">
        <v>1245</v>
      </c>
      <c r="M2195" s="524" t="s">
        <v>1246</v>
      </c>
      <c r="N2195" s="524" t="s">
        <v>1215</v>
      </c>
      <c r="O2195" s="524" t="s">
        <v>1267</v>
      </c>
      <c r="P2195" s="526">
        <v>46230</v>
      </c>
      <c r="S2195" s="527">
        <v>0</v>
      </c>
    </row>
    <row r="2196" spans="1:19" x14ac:dyDescent="0.2">
      <c r="A2196" s="524">
        <v>71901</v>
      </c>
      <c r="B2196" s="526">
        <v>46230</v>
      </c>
      <c r="C2196" s="524" t="s">
        <v>1148</v>
      </c>
      <c r="D2196" s="524" t="s">
        <v>1186</v>
      </c>
      <c r="E2196" s="524" t="s">
        <v>2481</v>
      </c>
      <c r="F2196" s="524" t="s">
        <v>1183</v>
      </c>
      <c r="G2196" s="524" t="s">
        <v>750</v>
      </c>
      <c r="H2196" s="527">
        <v>245.52</v>
      </c>
      <c r="I2196" s="524" t="s">
        <v>1174</v>
      </c>
      <c r="J2196" s="524">
        <f>IF(cmf[[#This Row],[D/C]]="C",cmf[[#This Row],[Valor]],-1*cmf[[#This Row],[Valor]])</f>
        <v>-245.52</v>
      </c>
      <c r="L2196" s="524" t="s">
        <v>1188</v>
      </c>
      <c r="M2196" s="524" t="s">
        <v>1189</v>
      </c>
      <c r="N2196" s="524" t="s">
        <v>1256</v>
      </c>
      <c r="O2196" s="524" t="s">
        <v>1257</v>
      </c>
      <c r="P2196" s="526">
        <v>46230</v>
      </c>
      <c r="S2196" s="527">
        <v>0</v>
      </c>
    </row>
    <row r="2197" spans="1:19" x14ac:dyDescent="0.2">
      <c r="A2197" s="524">
        <v>72154</v>
      </c>
      <c r="B2197" s="526">
        <v>46230</v>
      </c>
      <c r="C2197" s="524" t="s">
        <v>1148</v>
      </c>
      <c r="D2197" s="524" t="s">
        <v>1239</v>
      </c>
      <c r="E2197" s="524" t="s">
        <v>1568</v>
      </c>
      <c r="F2197" s="524" t="s">
        <v>1170</v>
      </c>
      <c r="G2197" s="524" t="s">
        <v>788</v>
      </c>
      <c r="H2197" s="527">
        <v>189</v>
      </c>
      <c r="I2197" s="524" t="s">
        <v>1174</v>
      </c>
      <c r="J2197" s="524">
        <f>IF(cmf[[#This Row],[D/C]]="C",cmf[[#This Row],[Valor]],-1*cmf[[#This Row],[Valor]])</f>
        <v>-189</v>
      </c>
      <c r="L2197" s="524" t="s">
        <v>1241</v>
      </c>
      <c r="M2197" s="524" t="s">
        <v>1242</v>
      </c>
      <c r="N2197" s="524" t="s">
        <v>1271</v>
      </c>
      <c r="O2197" s="524" t="s">
        <v>1272</v>
      </c>
      <c r="P2197" s="526">
        <v>46230</v>
      </c>
      <c r="S2197" s="527">
        <v>0</v>
      </c>
    </row>
    <row r="2198" spans="1:19" x14ac:dyDescent="0.2">
      <c r="A2198" s="524">
        <v>72171</v>
      </c>
      <c r="B2198" s="526">
        <v>46230</v>
      </c>
      <c r="C2198" s="524" t="s">
        <v>1148</v>
      </c>
      <c r="D2198" s="524" t="s">
        <v>1205</v>
      </c>
      <c r="E2198" s="524" t="s">
        <v>1214</v>
      </c>
      <c r="F2198" s="524" t="s">
        <v>1183</v>
      </c>
      <c r="G2198" s="524" t="s">
        <v>758</v>
      </c>
      <c r="H2198" s="527">
        <v>300000</v>
      </c>
      <c r="I2198" s="524" t="s">
        <v>1174</v>
      </c>
      <c r="J2198" s="524">
        <f>IF(cmf[[#This Row],[D/C]]="C",cmf[[#This Row],[Valor]],-1*cmf[[#This Row],[Valor]])</f>
        <v>-300000</v>
      </c>
      <c r="L2198" s="524" t="s">
        <v>1207</v>
      </c>
      <c r="M2198" s="524" t="s">
        <v>1208</v>
      </c>
      <c r="N2198" s="524" t="s">
        <v>1223</v>
      </c>
      <c r="O2198" s="524" t="s">
        <v>1224</v>
      </c>
      <c r="P2198" s="526">
        <v>46230</v>
      </c>
      <c r="S2198" s="527">
        <v>0</v>
      </c>
    </row>
    <row r="2199" spans="1:19" x14ac:dyDescent="0.2">
      <c r="A2199" s="524">
        <v>72172</v>
      </c>
      <c r="B2199" s="526">
        <v>46230</v>
      </c>
      <c r="C2199" s="524" t="s">
        <v>1148</v>
      </c>
      <c r="D2199" s="524" t="s">
        <v>1205</v>
      </c>
      <c r="E2199" s="524" t="s">
        <v>1234</v>
      </c>
      <c r="F2199" s="524" t="s">
        <v>1183</v>
      </c>
      <c r="G2199" s="524" t="s">
        <v>742</v>
      </c>
      <c r="H2199" s="527">
        <v>300000</v>
      </c>
      <c r="I2199" s="524" t="s">
        <v>1148</v>
      </c>
      <c r="J2199" s="524">
        <f>IF(cmf[[#This Row],[D/C]]="C",cmf[[#This Row],[Valor]],-1*cmf[[#This Row],[Valor]])</f>
        <v>300000</v>
      </c>
      <c r="L2199" s="524" t="s">
        <v>1207</v>
      </c>
      <c r="M2199" s="524" t="s">
        <v>1208</v>
      </c>
      <c r="N2199" s="524" t="s">
        <v>1215</v>
      </c>
      <c r="O2199" s="524" t="s">
        <v>1218</v>
      </c>
      <c r="P2199" s="526">
        <v>46230</v>
      </c>
      <c r="S2199" s="527">
        <v>0</v>
      </c>
    </row>
    <row r="2200" spans="1:19" x14ac:dyDescent="0.2">
      <c r="A2200" s="524">
        <v>72215</v>
      </c>
      <c r="B2200" s="526">
        <v>46230</v>
      </c>
      <c r="C2200" s="524" t="s">
        <v>1148</v>
      </c>
      <c r="D2200" s="524" t="s">
        <v>1243</v>
      </c>
      <c r="E2200" s="524" t="s">
        <v>1254</v>
      </c>
      <c r="F2200" s="524" t="s">
        <v>1178</v>
      </c>
      <c r="G2200" s="524" t="s">
        <v>1179</v>
      </c>
      <c r="H2200" s="527">
        <v>14142.72</v>
      </c>
      <c r="I2200" s="524" t="s">
        <v>1148</v>
      </c>
      <c r="J2200" s="524">
        <f>IF(cmf[[#This Row],[D/C]]="C",cmf[[#This Row],[Valor]],-1*cmf[[#This Row],[Valor]])</f>
        <v>14142.72</v>
      </c>
      <c r="L2200" s="524" t="s">
        <v>1245</v>
      </c>
      <c r="M2200" s="524" t="s">
        <v>1246</v>
      </c>
      <c r="N2200" s="524" t="s">
        <v>1180</v>
      </c>
      <c r="O2200" s="524" t="s">
        <v>1181</v>
      </c>
      <c r="P2200" s="526">
        <v>46230</v>
      </c>
      <c r="S2200" s="527">
        <v>0</v>
      </c>
    </row>
    <row r="2201" spans="1:19" x14ac:dyDescent="0.2">
      <c r="A2201" s="524">
        <v>72245</v>
      </c>
      <c r="B2201" s="526">
        <v>46230</v>
      </c>
      <c r="C2201" s="524" t="s">
        <v>1162</v>
      </c>
      <c r="D2201" s="524" t="s">
        <v>1226</v>
      </c>
      <c r="E2201" s="524" t="s">
        <v>2482</v>
      </c>
      <c r="F2201" s="524" t="s">
        <v>1170</v>
      </c>
      <c r="G2201" s="524" t="s">
        <v>1102</v>
      </c>
      <c r="H2201" s="527">
        <v>1070.8699999999999</v>
      </c>
      <c r="I2201" s="524" t="s">
        <v>1148</v>
      </c>
      <c r="J2201" s="524">
        <f>IF(cmf[[#This Row],[D/C]]="C",cmf[[#This Row],[Valor]],-1*cmf[[#This Row],[Valor]])</f>
        <v>1070.8699999999999</v>
      </c>
      <c r="L2201" s="524" t="s">
        <v>1230</v>
      </c>
      <c r="M2201" s="524" t="s">
        <v>1231</v>
      </c>
      <c r="N2201" s="524" t="s">
        <v>1192</v>
      </c>
      <c r="O2201" s="524" t="s">
        <v>1193</v>
      </c>
      <c r="P2201" s="526"/>
      <c r="S2201" s="527">
        <v>0</v>
      </c>
    </row>
    <row r="2202" spans="1:19" x14ac:dyDescent="0.2">
      <c r="A2202" s="524">
        <v>72260</v>
      </c>
      <c r="B2202" s="526">
        <v>46230</v>
      </c>
      <c r="C2202" s="524" t="s">
        <v>1148</v>
      </c>
      <c r="D2202" s="524" t="s">
        <v>1239</v>
      </c>
      <c r="E2202" s="524" t="s">
        <v>1821</v>
      </c>
      <c r="F2202" s="524" t="s">
        <v>1178</v>
      </c>
      <c r="G2202" s="524" t="s">
        <v>1179</v>
      </c>
      <c r="H2202" s="527">
        <v>30</v>
      </c>
      <c r="I2202" s="524" t="s">
        <v>1174</v>
      </c>
      <c r="J2202" s="524">
        <f>IF(cmf[[#This Row],[D/C]]="C",cmf[[#This Row],[Valor]],-1*cmf[[#This Row],[Valor]])</f>
        <v>-30</v>
      </c>
      <c r="L2202" s="524" t="s">
        <v>1241</v>
      </c>
      <c r="M2202" s="524" t="s">
        <v>1242</v>
      </c>
      <c r="N2202" s="524" t="s">
        <v>1180</v>
      </c>
      <c r="O2202" s="524" t="s">
        <v>1181</v>
      </c>
      <c r="P2202" s="526">
        <v>46230</v>
      </c>
      <c r="S2202" s="527">
        <v>0</v>
      </c>
    </row>
    <row r="2203" spans="1:19" x14ac:dyDescent="0.2">
      <c r="A2203" s="524">
        <v>72533</v>
      </c>
      <c r="B2203" s="526">
        <v>46230</v>
      </c>
      <c r="C2203" s="524" t="s">
        <v>1162</v>
      </c>
      <c r="D2203" s="524" t="s">
        <v>1235</v>
      </c>
      <c r="E2203" s="524" t="s">
        <v>2483</v>
      </c>
      <c r="F2203" s="524" t="s">
        <v>1170</v>
      </c>
      <c r="G2203" s="524" t="s">
        <v>799</v>
      </c>
      <c r="H2203" s="527">
        <v>15545.33</v>
      </c>
      <c r="I2203" s="524" t="s">
        <v>1174</v>
      </c>
      <c r="J2203" s="524">
        <f>IF(cmf[[#This Row],[D/C]]="C",cmf[[#This Row],[Valor]],-1*cmf[[#This Row],[Valor]])</f>
        <v>-15545.33</v>
      </c>
      <c r="L2203" s="524" t="s">
        <v>1237</v>
      </c>
      <c r="M2203" s="524" t="s">
        <v>1238</v>
      </c>
      <c r="N2203" s="524" t="s">
        <v>1171</v>
      </c>
      <c r="O2203" s="524" t="s">
        <v>1172</v>
      </c>
      <c r="P2203" s="526"/>
      <c r="S2203" s="527">
        <v>0</v>
      </c>
    </row>
    <row r="2204" spans="1:19" x14ac:dyDescent="0.2">
      <c r="A2204" s="524">
        <v>70454</v>
      </c>
      <c r="B2204" s="526">
        <v>46231</v>
      </c>
      <c r="C2204" s="524" t="s">
        <v>1148</v>
      </c>
      <c r="D2204" s="524" t="s">
        <v>1163</v>
      </c>
      <c r="E2204" s="524" t="s">
        <v>1164</v>
      </c>
      <c r="F2204" s="524" t="s">
        <v>1170</v>
      </c>
      <c r="G2204" s="524" t="s">
        <v>798</v>
      </c>
      <c r="H2204" s="527">
        <v>2555.5300000000002</v>
      </c>
      <c r="I2204" s="524" t="s">
        <v>1148</v>
      </c>
      <c r="J2204" s="524">
        <f>IF(cmf[[#This Row],[D/C]]="C",cmf[[#This Row],[Valor]],-1*cmf[[#This Row],[Valor]])</f>
        <v>2555.5300000000002</v>
      </c>
      <c r="L2204" s="524" t="s">
        <v>1166</v>
      </c>
      <c r="M2204" s="524" t="s">
        <v>1167</v>
      </c>
      <c r="N2204" s="524" t="s">
        <v>1171</v>
      </c>
      <c r="O2204" s="524" t="s">
        <v>1172</v>
      </c>
      <c r="P2204" s="526">
        <v>46231</v>
      </c>
      <c r="S2204" s="527">
        <v>0</v>
      </c>
    </row>
    <row r="2205" spans="1:19" x14ac:dyDescent="0.2">
      <c r="A2205" s="524">
        <v>70455</v>
      </c>
      <c r="B2205" s="526">
        <v>46231</v>
      </c>
      <c r="C2205" s="524" t="s">
        <v>1148</v>
      </c>
      <c r="D2205" s="524" t="s">
        <v>1163</v>
      </c>
      <c r="E2205" s="524" t="s">
        <v>1173</v>
      </c>
      <c r="F2205" s="524" t="s">
        <v>1170</v>
      </c>
      <c r="G2205" s="524" t="s">
        <v>798</v>
      </c>
      <c r="H2205" s="527">
        <v>18.899999999999999</v>
      </c>
      <c r="I2205" s="524" t="s">
        <v>1174</v>
      </c>
      <c r="J2205" s="524">
        <f>IF(cmf[[#This Row],[D/C]]="C",cmf[[#This Row],[Valor]],-1*cmf[[#This Row],[Valor]])</f>
        <v>-18.899999999999999</v>
      </c>
      <c r="L2205" s="524" t="s">
        <v>1175</v>
      </c>
      <c r="M2205" s="524" t="s">
        <v>1176</v>
      </c>
      <c r="N2205" s="524" t="s">
        <v>1171</v>
      </c>
      <c r="O2205" s="524" t="s">
        <v>1172</v>
      </c>
      <c r="P2205" s="526">
        <v>46231</v>
      </c>
      <c r="S2205" s="527">
        <v>0</v>
      </c>
    </row>
    <row r="2206" spans="1:19" x14ac:dyDescent="0.2">
      <c r="A2206" s="524">
        <v>70459</v>
      </c>
      <c r="B2206" s="526">
        <v>46231</v>
      </c>
      <c r="C2206" s="524" t="s">
        <v>1148</v>
      </c>
      <c r="D2206" s="524" t="s">
        <v>1163</v>
      </c>
      <c r="E2206" s="524" t="s">
        <v>1164</v>
      </c>
      <c r="F2206" s="524" t="s">
        <v>1170</v>
      </c>
      <c r="G2206" s="524" t="s">
        <v>765</v>
      </c>
      <c r="H2206" s="527">
        <v>384</v>
      </c>
      <c r="I2206" s="524" t="s">
        <v>1148</v>
      </c>
      <c r="J2206" s="524">
        <f>IF(cmf[[#This Row],[D/C]]="C",cmf[[#This Row],[Valor]],-1*cmf[[#This Row],[Valor]])</f>
        <v>384</v>
      </c>
      <c r="L2206" s="524" t="s">
        <v>1166</v>
      </c>
      <c r="M2206" s="524" t="s">
        <v>1167</v>
      </c>
      <c r="N2206" s="524" t="s">
        <v>1200</v>
      </c>
      <c r="O2206" s="524" t="s">
        <v>1201</v>
      </c>
      <c r="P2206" s="526">
        <v>46231</v>
      </c>
      <c r="S2206" s="527">
        <v>0</v>
      </c>
    </row>
    <row r="2207" spans="1:19" x14ac:dyDescent="0.2">
      <c r="A2207" s="524">
        <v>70460</v>
      </c>
      <c r="B2207" s="526">
        <v>46231</v>
      </c>
      <c r="C2207" s="524" t="s">
        <v>1148</v>
      </c>
      <c r="D2207" s="524" t="s">
        <v>1163</v>
      </c>
      <c r="E2207" s="524" t="s">
        <v>1173</v>
      </c>
      <c r="F2207" s="524" t="s">
        <v>1170</v>
      </c>
      <c r="G2207" s="524" t="s">
        <v>765</v>
      </c>
      <c r="H2207" s="527">
        <v>12.6</v>
      </c>
      <c r="I2207" s="524" t="s">
        <v>1174</v>
      </c>
      <c r="J2207" s="524">
        <f>IF(cmf[[#This Row],[D/C]]="C",cmf[[#This Row],[Valor]],-1*cmf[[#This Row],[Valor]])</f>
        <v>-12.6</v>
      </c>
      <c r="L2207" s="524" t="s">
        <v>1175</v>
      </c>
      <c r="M2207" s="524" t="s">
        <v>1176</v>
      </c>
      <c r="N2207" s="524" t="s">
        <v>1200</v>
      </c>
      <c r="O2207" s="524" t="s">
        <v>1201</v>
      </c>
      <c r="P2207" s="526">
        <v>46231</v>
      </c>
      <c r="S2207" s="527">
        <v>0</v>
      </c>
    </row>
    <row r="2208" spans="1:19" x14ac:dyDescent="0.2">
      <c r="A2208" s="524">
        <v>70476</v>
      </c>
      <c r="B2208" s="526">
        <v>46231</v>
      </c>
      <c r="C2208" s="524" t="s">
        <v>1162</v>
      </c>
      <c r="D2208" s="524" t="s">
        <v>1163</v>
      </c>
      <c r="E2208" s="524" t="s">
        <v>1164</v>
      </c>
      <c r="F2208" s="524" t="s">
        <v>1165</v>
      </c>
      <c r="G2208" s="524" t="s">
        <v>756</v>
      </c>
      <c r="H2208" s="527">
        <v>105846.63</v>
      </c>
      <c r="I2208" s="524" t="s">
        <v>1148</v>
      </c>
      <c r="J2208" s="524">
        <f>IF(cmf[[#This Row],[D/C]]="C",cmf[[#This Row],[Valor]],-1*cmf[[#This Row],[Valor]])</f>
        <v>105846.63</v>
      </c>
      <c r="L2208" s="524" t="s">
        <v>1166</v>
      </c>
      <c r="M2208" s="524" t="s">
        <v>1167</v>
      </c>
      <c r="N2208" s="524" t="s">
        <v>1168</v>
      </c>
      <c r="O2208" s="524" t="s">
        <v>1169</v>
      </c>
      <c r="P2208" s="526"/>
      <c r="S2208" s="527">
        <v>0</v>
      </c>
    </row>
    <row r="2209" spans="1:19" x14ac:dyDescent="0.2">
      <c r="A2209" s="524">
        <v>70896</v>
      </c>
      <c r="B2209" s="526">
        <v>46231</v>
      </c>
      <c r="C2209" s="524" t="s">
        <v>1162</v>
      </c>
      <c r="D2209" s="524" t="s">
        <v>1163</v>
      </c>
      <c r="E2209" s="524" t="s">
        <v>1164</v>
      </c>
      <c r="F2209" s="524" t="s">
        <v>1183</v>
      </c>
      <c r="G2209" s="524" t="s">
        <v>1276</v>
      </c>
      <c r="H2209" s="527">
        <v>3423.77</v>
      </c>
      <c r="I2209" s="524" t="s">
        <v>1148</v>
      </c>
      <c r="J2209" s="524">
        <f>IF(cmf[[#This Row],[D/C]]="C",cmf[[#This Row],[Valor]],-1*cmf[[#This Row],[Valor]])</f>
        <v>3423.77</v>
      </c>
      <c r="L2209" s="524" t="s">
        <v>1166</v>
      </c>
      <c r="M2209" s="524" t="s">
        <v>1167</v>
      </c>
      <c r="N2209" s="524" t="s">
        <v>1184</v>
      </c>
      <c r="O2209" s="524" t="s">
        <v>1201</v>
      </c>
      <c r="P2209" s="526"/>
      <c r="S2209" s="527">
        <v>0</v>
      </c>
    </row>
    <row r="2210" spans="1:19" x14ac:dyDescent="0.2">
      <c r="A2210" s="524">
        <v>70897</v>
      </c>
      <c r="B2210" s="526">
        <v>46231</v>
      </c>
      <c r="C2210" s="524" t="s">
        <v>1162</v>
      </c>
      <c r="D2210" s="524" t="s">
        <v>1163</v>
      </c>
      <c r="E2210" s="524" t="s">
        <v>1173</v>
      </c>
      <c r="F2210" s="524" t="s">
        <v>1183</v>
      </c>
      <c r="G2210" s="524" t="s">
        <v>1276</v>
      </c>
      <c r="H2210" s="527">
        <v>4.5999999999999996</v>
      </c>
      <c r="I2210" s="524" t="s">
        <v>1174</v>
      </c>
      <c r="J2210" s="524">
        <f>IF(cmf[[#This Row],[D/C]]="C",cmf[[#This Row],[Valor]],-1*cmf[[#This Row],[Valor]])</f>
        <v>-4.5999999999999996</v>
      </c>
      <c r="L2210" s="524" t="s">
        <v>1175</v>
      </c>
      <c r="M2210" s="524" t="s">
        <v>1176</v>
      </c>
      <c r="N2210" s="524" t="s">
        <v>1184</v>
      </c>
      <c r="O2210" s="524" t="s">
        <v>1201</v>
      </c>
      <c r="P2210" s="526"/>
      <c r="S2210" s="527">
        <v>0</v>
      </c>
    </row>
    <row r="2211" spans="1:19" x14ac:dyDescent="0.2">
      <c r="A2211" s="524">
        <v>70900</v>
      </c>
      <c r="B2211" s="526">
        <v>46231</v>
      </c>
      <c r="C2211" s="524" t="s">
        <v>1148</v>
      </c>
      <c r="D2211" s="524" t="s">
        <v>1163</v>
      </c>
      <c r="E2211" s="524" t="s">
        <v>1164</v>
      </c>
      <c r="F2211" s="524" t="s">
        <v>1178</v>
      </c>
      <c r="G2211" s="524" t="s">
        <v>1179</v>
      </c>
      <c r="H2211" s="527">
        <v>2269.9</v>
      </c>
      <c r="I2211" s="524" t="s">
        <v>1148</v>
      </c>
      <c r="J2211" s="524">
        <f>IF(cmf[[#This Row],[D/C]]="C",cmf[[#This Row],[Valor]],-1*cmf[[#This Row],[Valor]])</f>
        <v>2269.9</v>
      </c>
      <c r="L2211" s="524" t="s">
        <v>1166</v>
      </c>
      <c r="M2211" s="524" t="s">
        <v>1167</v>
      </c>
      <c r="N2211" s="524" t="s">
        <v>1180</v>
      </c>
      <c r="O2211" s="524" t="s">
        <v>1181</v>
      </c>
      <c r="P2211" s="526">
        <v>46231</v>
      </c>
      <c r="S2211" s="527">
        <v>0</v>
      </c>
    </row>
    <row r="2212" spans="1:19" x14ac:dyDescent="0.2">
      <c r="A2212" s="524">
        <v>70901</v>
      </c>
      <c r="B2212" s="526">
        <v>46231</v>
      </c>
      <c r="C2212" s="524" t="s">
        <v>1148</v>
      </c>
      <c r="D2212" s="524" t="s">
        <v>1163</v>
      </c>
      <c r="E2212" s="524" t="s">
        <v>1164</v>
      </c>
      <c r="F2212" s="524" t="s">
        <v>1170</v>
      </c>
      <c r="G2212" s="524" t="s">
        <v>740</v>
      </c>
      <c r="H2212" s="527">
        <v>4537.3900000000003</v>
      </c>
      <c r="I2212" s="524" t="s">
        <v>1148</v>
      </c>
      <c r="J2212" s="524">
        <f>IF(cmf[[#This Row],[D/C]]="C",cmf[[#This Row],[Valor]],-1*cmf[[#This Row],[Valor]])</f>
        <v>4537.3900000000003</v>
      </c>
      <c r="L2212" s="524" t="s">
        <v>1166</v>
      </c>
      <c r="M2212" s="524" t="s">
        <v>1167</v>
      </c>
      <c r="N2212" s="524" t="s">
        <v>1215</v>
      </c>
      <c r="O2212" s="524" t="s">
        <v>1218</v>
      </c>
      <c r="P2212" s="526">
        <v>46231</v>
      </c>
      <c r="S2212" s="527">
        <v>0</v>
      </c>
    </row>
    <row r="2213" spans="1:19" x14ac:dyDescent="0.2">
      <c r="A2213" s="524">
        <v>70902</v>
      </c>
      <c r="B2213" s="526">
        <v>46231</v>
      </c>
      <c r="C2213" s="524" t="s">
        <v>1148</v>
      </c>
      <c r="D2213" s="524" t="s">
        <v>1163</v>
      </c>
      <c r="E2213" s="524" t="s">
        <v>1173</v>
      </c>
      <c r="F2213" s="524" t="s">
        <v>1170</v>
      </c>
      <c r="G2213" s="524" t="s">
        <v>740</v>
      </c>
      <c r="H2213" s="527">
        <v>18.899999999999999</v>
      </c>
      <c r="I2213" s="524" t="s">
        <v>1174</v>
      </c>
      <c r="J2213" s="524">
        <f>IF(cmf[[#This Row],[D/C]]="C",cmf[[#This Row],[Valor]],-1*cmf[[#This Row],[Valor]])</f>
        <v>-18.899999999999999</v>
      </c>
      <c r="L2213" s="524" t="s">
        <v>1175</v>
      </c>
      <c r="M2213" s="524" t="s">
        <v>1176</v>
      </c>
      <c r="N2213" s="524" t="s">
        <v>1215</v>
      </c>
      <c r="O2213" s="524" t="s">
        <v>1218</v>
      </c>
      <c r="P2213" s="526">
        <v>46231</v>
      </c>
      <c r="S2213" s="527">
        <v>0</v>
      </c>
    </row>
    <row r="2214" spans="1:19" x14ac:dyDescent="0.2">
      <c r="A2214" s="524">
        <v>70912</v>
      </c>
      <c r="B2214" s="526">
        <v>46231</v>
      </c>
      <c r="C2214" s="524" t="s">
        <v>1162</v>
      </c>
      <c r="D2214" s="524" t="s">
        <v>1163</v>
      </c>
      <c r="E2214" s="524" t="s">
        <v>1164</v>
      </c>
      <c r="F2214" s="524" t="s">
        <v>1183</v>
      </c>
      <c r="G2214" s="524" t="s">
        <v>796</v>
      </c>
      <c r="H2214" s="527">
        <v>34013.94</v>
      </c>
      <c r="I2214" s="524" t="s">
        <v>1148</v>
      </c>
      <c r="J2214" s="524">
        <f>IF(cmf[[#This Row],[D/C]]="C",cmf[[#This Row],[Valor]],-1*cmf[[#This Row],[Valor]])</f>
        <v>34013.94</v>
      </c>
      <c r="L2214" s="524" t="s">
        <v>1166</v>
      </c>
      <c r="M2214" s="524" t="s">
        <v>1167</v>
      </c>
      <c r="N2214" s="524" t="s">
        <v>1184</v>
      </c>
      <c r="O2214" s="524" t="s">
        <v>1172</v>
      </c>
      <c r="P2214" s="526"/>
      <c r="S2214" s="527">
        <v>0</v>
      </c>
    </row>
    <row r="2215" spans="1:19" x14ac:dyDescent="0.2">
      <c r="A2215" s="524">
        <v>70913</v>
      </c>
      <c r="B2215" s="526">
        <v>46231</v>
      </c>
      <c r="C2215" s="524" t="s">
        <v>1162</v>
      </c>
      <c r="D2215" s="524" t="s">
        <v>1163</v>
      </c>
      <c r="E2215" s="524" t="s">
        <v>1173</v>
      </c>
      <c r="F2215" s="524" t="s">
        <v>1183</v>
      </c>
      <c r="G2215" s="524" t="s">
        <v>796</v>
      </c>
      <c r="H2215" s="527">
        <v>32.200000000000003</v>
      </c>
      <c r="I2215" s="524" t="s">
        <v>1174</v>
      </c>
      <c r="J2215" s="524">
        <f>IF(cmf[[#This Row],[D/C]]="C",cmf[[#This Row],[Valor]],-1*cmf[[#This Row],[Valor]])</f>
        <v>-32.200000000000003</v>
      </c>
      <c r="L2215" s="524" t="s">
        <v>1175</v>
      </c>
      <c r="M2215" s="524" t="s">
        <v>1176</v>
      </c>
      <c r="N2215" s="524" t="s">
        <v>1184</v>
      </c>
      <c r="O2215" s="524" t="s">
        <v>1172</v>
      </c>
      <c r="P2215" s="526"/>
      <c r="S2215" s="527">
        <v>0</v>
      </c>
    </row>
    <row r="2216" spans="1:19" x14ac:dyDescent="0.2">
      <c r="A2216" s="524">
        <v>70918</v>
      </c>
      <c r="B2216" s="526">
        <v>46231</v>
      </c>
      <c r="C2216" s="524" t="s">
        <v>1148</v>
      </c>
      <c r="D2216" s="524" t="s">
        <v>1163</v>
      </c>
      <c r="E2216" s="524" t="s">
        <v>1164</v>
      </c>
      <c r="F2216" s="524" t="s">
        <v>1170</v>
      </c>
      <c r="G2216" s="524" t="s">
        <v>749</v>
      </c>
      <c r="H2216" s="527">
        <v>2615.19</v>
      </c>
      <c r="I2216" s="524" t="s">
        <v>1148</v>
      </c>
      <c r="J2216" s="524">
        <f>IF(cmf[[#This Row],[D/C]]="C",cmf[[#This Row],[Valor]],-1*cmf[[#This Row],[Valor]])</f>
        <v>2615.19</v>
      </c>
      <c r="L2216" s="524" t="s">
        <v>1166</v>
      </c>
      <c r="M2216" s="524" t="s">
        <v>1167</v>
      </c>
      <c r="N2216" s="524" t="s">
        <v>1256</v>
      </c>
      <c r="O2216" s="524" t="s">
        <v>1257</v>
      </c>
      <c r="P2216" s="526">
        <v>46231</v>
      </c>
      <c r="S2216" s="527">
        <v>0</v>
      </c>
    </row>
    <row r="2217" spans="1:19" x14ac:dyDescent="0.2">
      <c r="A2217" s="524">
        <v>70919</v>
      </c>
      <c r="B2217" s="526">
        <v>46231</v>
      </c>
      <c r="C2217" s="524" t="s">
        <v>1148</v>
      </c>
      <c r="D2217" s="524" t="s">
        <v>1163</v>
      </c>
      <c r="E2217" s="524" t="s">
        <v>1173</v>
      </c>
      <c r="F2217" s="524" t="s">
        <v>1170</v>
      </c>
      <c r="G2217" s="524" t="s">
        <v>749</v>
      </c>
      <c r="H2217" s="527">
        <v>6.3</v>
      </c>
      <c r="I2217" s="524" t="s">
        <v>1174</v>
      </c>
      <c r="J2217" s="524">
        <f>IF(cmf[[#This Row],[D/C]]="C",cmf[[#This Row],[Valor]],-1*cmf[[#This Row],[Valor]])</f>
        <v>-6.3</v>
      </c>
      <c r="L2217" s="524" t="s">
        <v>1175</v>
      </c>
      <c r="M2217" s="524" t="s">
        <v>1176</v>
      </c>
      <c r="N2217" s="524" t="s">
        <v>1256</v>
      </c>
      <c r="O2217" s="524" t="s">
        <v>1257</v>
      </c>
      <c r="P2217" s="526">
        <v>46231</v>
      </c>
      <c r="S2217" s="527">
        <v>0</v>
      </c>
    </row>
    <row r="2218" spans="1:19" x14ac:dyDescent="0.2">
      <c r="A2218" s="524">
        <v>70923</v>
      </c>
      <c r="B2218" s="526">
        <v>46231</v>
      </c>
      <c r="C2218" s="524" t="s">
        <v>1162</v>
      </c>
      <c r="D2218" s="524" t="s">
        <v>1163</v>
      </c>
      <c r="E2218" s="524" t="s">
        <v>1164</v>
      </c>
      <c r="F2218" s="524" t="s">
        <v>1111</v>
      </c>
      <c r="G2218" s="524" t="s">
        <v>1110</v>
      </c>
      <c r="H2218" s="527">
        <v>42552.45</v>
      </c>
      <c r="I2218" s="524" t="s">
        <v>1148</v>
      </c>
      <c r="J2218" s="524">
        <f>IF(cmf[[#This Row],[D/C]]="C",cmf[[#This Row],[Valor]],-1*cmf[[#This Row],[Valor]])</f>
        <v>42552.45</v>
      </c>
      <c r="L2218" s="524" t="s">
        <v>1166</v>
      </c>
      <c r="M2218" s="524" t="s">
        <v>1167</v>
      </c>
      <c r="N2218" s="524" t="s">
        <v>1219</v>
      </c>
      <c r="O2218" s="524" t="s">
        <v>1220</v>
      </c>
      <c r="P2218" s="526"/>
      <c r="S2218" s="527">
        <v>0</v>
      </c>
    </row>
    <row r="2219" spans="1:19" x14ac:dyDescent="0.2">
      <c r="A2219" s="524">
        <v>70935</v>
      </c>
      <c r="B2219" s="526">
        <v>46231</v>
      </c>
      <c r="C2219" s="524" t="s">
        <v>1148</v>
      </c>
      <c r="D2219" s="524" t="s">
        <v>1186</v>
      </c>
      <c r="E2219" s="524" t="s">
        <v>2484</v>
      </c>
      <c r="F2219" s="524" t="s">
        <v>1183</v>
      </c>
      <c r="G2219" s="524" t="s">
        <v>745</v>
      </c>
      <c r="H2219" s="527">
        <v>3713.86</v>
      </c>
      <c r="I2219" s="524" t="s">
        <v>1174</v>
      </c>
      <c r="J2219" s="524">
        <f>IF(cmf[[#This Row],[D/C]]="C",cmf[[#This Row],[Valor]],-1*cmf[[#This Row],[Valor]])</f>
        <v>-3713.86</v>
      </c>
      <c r="L2219" s="524" t="s">
        <v>1188</v>
      </c>
      <c r="M2219" s="524" t="s">
        <v>1189</v>
      </c>
      <c r="N2219" s="524" t="s">
        <v>1292</v>
      </c>
      <c r="O2219" s="524" t="s">
        <v>1293</v>
      </c>
      <c r="P2219" s="526">
        <v>46231</v>
      </c>
      <c r="S2219" s="527">
        <v>0</v>
      </c>
    </row>
    <row r="2220" spans="1:19" x14ac:dyDescent="0.2">
      <c r="A2220" s="524">
        <v>70936</v>
      </c>
      <c r="B2220" s="526">
        <v>46231</v>
      </c>
      <c r="C2220" s="524" t="s">
        <v>1148</v>
      </c>
      <c r="D2220" s="524" t="s">
        <v>1186</v>
      </c>
      <c r="E2220" s="524" t="s">
        <v>2485</v>
      </c>
      <c r="F2220" s="524" t="s">
        <v>1183</v>
      </c>
      <c r="G2220" s="524" t="s">
        <v>745</v>
      </c>
      <c r="H2220" s="527">
        <v>38333.339999999997</v>
      </c>
      <c r="I2220" s="524" t="s">
        <v>1174</v>
      </c>
      <c r="J2220" s="524">
        <f>IF(cmf[[#This Row],[D/C]]="C",cmf[[#This Row],[Valor]],-1*cmf[[#This Row],[Valor]])</f>
        <v>-38333.339999999997</v>
      </c>
      <c r="L2220" s="524" t="s">
        <v>1188</v>
      </c>
      <c r="M2220" s="524" t="s">
        <v>1189</v>
      </c>
      <c r="N2220" s="524" t="s">
        <v>1292</v>
      </c>
      <c r="O2220" s="524" t="s">
        <v>1293</v>
      </c>
      <c r="P2220" s="526">
        <v>46231</v>
      </c>
      <c r="S2220" s="527">
        <v>0</v>
      </c>
    </row>
    <row r="2221" spans="1:19" x14ac:dyDescent="0.2">
      <c r="A2221" s="524">
        <v>70953</v>
      </c>
      <c r="B2221" s="526">
        <v>46231</v>
      </c>
      <c r="C2221" s="524" t="s">
        <v>1162</v>
      </c>
      <c r="D2221" s="524" t="s">
        <v>1186</v>
      </c>
      <c r="E2221" s="524" t="s">
        <v>2486</v>
      </c>
      <c r="F2221" s="524" t="s">
        <v>1576</v>
      </c>
      <c r="G2221" s="524" t="s">
        <v>1577</v>
      </c>
      <c r="H2221" s="527">
        <v>1000</v>
      </c>
      <c r="I2221" s="524" t="s">
        <v>1174</v>
      </c>
      <c r="J2221" s="524">
        <f>IF(cmf[[#This Row],[D/C]]="C",cmf[[#This Row],[Valor]],-1*cmf[[#This Row],[Valor]])</f>
        <v>-1000</v>
      </c>
      <c r="L2221" s="524" t="s">
        <v>1188</v>
      </c>
      <c r="M2221" s="524" t="s">
        <v>1189</v>
      </c>
      <c r="N2221" s="524" t="s">
        <v>1578</v>
      </c>
      <c r="O2221" s="524" t="s">
        <v>1579</v>
      </c>
      <c r="P2221" s="526"/>
      <c r="S2221" s="527">
        <v>0</v>
      </c>
    </row>
    <row r="2222" spans="1:19" x14ac:dyDescent="0.2">
      <c r="A2222" s="524">
        <v>70959</v>
      </c>
      <c r="B2222" s="526">
        <v>46231</v>
      </c>
      <c r="C2222" s="524" t="s">
        <v>1148</v>
      </c>
      <c r="D2222" s="524" t="s">
        <v>1186</v>
      </c>
      <c r="E2222" s="524" t="s">
        <v>2487</v>
      </c>
      <c r="F2222" s="524" t="s">
        <v>1178</v>
      </c>
      <c r="G2222" s="524" t="s">
        <v>1179</v>
      </c>
      <c r="H2222" s="527">
        <v>525.74</v>
      </c>
      <c r="I2222" s="524" t="s">
        <v>1174</v>
      </c>
      <c r="J2222" s="524">
        <f>IF(cmf[[#This Row],[D/C]]="C",cmf[[#This Row],[Valor]],-1*cmf[[#This Row],[Valor]])</f>
        <v>-525.74</v>
      </c>
      <c r="L2222" s="524" t="s">
        <v>1188</v>
      </c>
      <c r="M2222" s="524" t="s">
        <v>1189</v>
      </c>
      <c r="N2222" s="524" t="s">
        <v>1180</v>
      </c>
      <c r="O2222" s="524" t="s">
        <v>1181</v>
      </c>
      <c r="P2222" s="526">
        <v>46231</v>
      </c>
      <c r="S2222" s="527">
        <v>0</v>
      </c>
    </row>
    <row r="2223" spans="1:19" x14ac:dyDescent="0.2">
      <c r="A2223" s="524">
        <v>70960</v>
      </c>
      <c r="B2223" s="526">
        <v>46231</v>
      </c>
      <c r="C2223" s="524" t="s">
        <v>1148</v>
      </c>
      <c r="D2223" s="524" t="s">
        <v>1186</v>
      </c>
      <c r="E2223" s="524" t="s">
        <v>2488</v>
      </c>
      <c r="F2223" s="524" t="s">
        <v>1178</v>
      </c>
      <c r="G2223" s="524" t="s">
        <v>1179</v>
      </c>
      <c r="H2223" s="527">
        <v>483.99</v>
      </c>
      <c r="I2223" s="524" t="s">
        <v>1174</v>
      </c>
      <c r="J2223" s="524">
        <f>IF(cmf[[#This Row],[D/C]]="C",cmf[[#This Row],[Valor]],-1*cmf[[#This Row],[Valor]])</f>
        <v>-483.99</v>
      </c>
      <c r="L2223" s="524" t="s">
        <v>1188</v>
      </c>
      <c r="M2223" s="524" t="s">
        <v>1189</v>
      </c>
      <c r="N2223" s="524" t="s">
        <v>1180</v>
      </c>
      <c r="O2223" s="524" t="s">
        <v>1181</v>
      </c>
      <c r="P2223" s="526">
        <v>46231</v>
      </c>
      <c r="S2223" s="527">
        <v>0</v>
      </c>
    </row>
    <row r="2224" spans="1:19" x14ac:dyDescent="0.2">
      <c r="A2224" s="524">
        <v>70986</v>
      </c>
      <c r="B2224" s="526">
        <v>46231</v>
      </c>
      <c r="C2224" s="524" t="s">
        <v>1162</v>
      </c>
      <c r="D2224" s="524" t="s">
        <v>1186</v>
      </c>
      <c r="E2224" s="524" t="s">
        <v>2489</v>
      </c>
      <c r="F2224" s="524" t="s">
        <v>1183</v>
      </c>
      <c r="G2224" s="524" t="s">
        <v>776</v>
      </c>
      <c r="H2224" s="527">
        <v>1600</v>
      </c>
      <c r="I2224" s="524" t="s">
        <v>1174</v>
      </c>
      <c r="J2224" s="524">
        <f>IF(cmf[[#This Row],[D/C]]="C",cmf[[#This Row],[Valor]],-1*cmf[[#This Row],[Valor]])</f>
        <v>-1600</v>
      </c>
      <c r="L2224" s="524" t="s">
        <v>1188</v>
      </c>
      <c r="M2224" s="524" t="s">
        <v>1189</v>
      </c>
      <c r="N2224" s="524" t="s">
        <v>1212</v>
      </c>
      <c r="O2224" s="524" t="s">
        <v>1213</v>
      </c>
      <c r="P2224" s="526"/>
      <c r="S2224" s="527">
        <v>0</v>
      </c>
    </row>
    <row r="2225" spans="1:19" x14ac:dyDescent="0.2">
      <c r="A2225" s="524">
        <v>70987</v>
      </c>
      <c r="B2225" s="526">
        <v>46231</v>
      </c>
      <c r="C2225" s="524" t="s">
        <v>1162</v>
      </c>
      <c r="D2225" s="524" t="s">
        <v>1186</v>
      </c>
      <c r="E2225" s="524" t="s">
        <v>2490</v>
      </c>
      <c r="F2225" s="524" t="s">
        <v>1183</v>
      </c>
      <c r="G2225" s="524" t="s">
        <v>776</v>
      </c>
      <c r="H2225" s="527">
        <v>600</v>
      </c>
      <c r="I2225" s="524" t="s">
        <v>1174</v>
      </c>
      <c r="J2225" s="524">
        <f>IF(cmf[[#This Row],[D/C]]="C",cmf[[#This Row],[Valor]],-1*cmf[[#This Row],[Valor]])</f>
        <v>-600</v>
      </c>
      <c r="L2225" s="524" t="s">
        <v>1188</v>
      </c>
      <c r="M2225" s="524" t="s">
        <v>1189</v>
      </c>
      <c r="N2225" s="524" t="s">
        <v>1212</v>
      </c>
      <c r="O2225" s="524" t="s">
        <v>1213</v>
      </c>
      <c r="P2225" s="526"/>
      <c r="S2225" s="527">
        <v>0</v>
      </c>
    </row>
    <row r="2226" spans="1:19" x14ac:dyDescent="0.2">
      <c r="A2226" s="524">
        <v>70990</v>
      </c>
      <c r="B2226" s="526">
        <v>46231</v>
      </c>
      <c r="C2226" s="524" t="s">
        <v>1162</v>
      </c>
      <c r="D2226" s="524" t="s">
        <v>1239</v>
      </c>
      <c r="E2226" s="524" t="s">
        <v>2491</v>
      </c>
      <c r="F2226" s="524" t="s">
        <v>1376</v>
      </c>
      <c r="G2226" s="524" t="s">
        <v>1377</v>
      </c>
      <c r="H2226" s="527">
        <v>52500</v>
      </c>
      <c r="I2226" s="524" t="s">
        <v>1148</v>
      </c>
      <c r="J2226" s="524">
        <f>IF(cmf[[#This Row],[D/C]]="C",cmf[[#This Row],[Valor]],-1*cmf[[#This Row],[Valor]])</f>
        <v>52500</v>
      </c>
      <c r="L2226" s="524" t="s">
        <v>2492</v>
      </c>
      <c r="M2226" s="524" t="s">
        <v>2493</v>
      </c>
      <c r="N2226" s="524" t="s">
        <v>1215</v>
      </c>
      <c r="O2226" s="524" t="s">
        <v>1267</v>
      </c>
      <c r="P2226" s="526"/>
      <c r="S2226" s="527">
        <v>0</v>
      </c>
    </row>
    <row r="2227" spans="1:19" x14ac:dyDescent="0.2">
      <c r="A2227" s="524">
        <v>70991</v>
      </c>
      <c r="B2227" s="526">
        <v>46231</v>
      </c>
      <c r="C2227" s="524" t="s">
        <v>1148</v>
      </c>
      <c r="D2227" s="524" t="s">
        <v>1186</v>
      </c>
      <c r="E2227" s="524" t="s">
        <v>2494</v>
      </c>
      <c r="F2227" s="524" t="s">
        <v>1183</v>
      </c>
      <c r="G2227" s="524" t="s">
        <v>758</v>
      </c>
      <c r="H2227" s="527">
        <v>800</v>
      </c>
      <c r="I2227" s="524" t="s">
        <v>1174</v>
      </c>
      <c r="J2227" s="524">
        <f>IF(cmf[[#This Row],[D/C]]="C",cmf[[#This Row],[Valor]],-1*cmf[[#This Row],[Valor]])</f>
        <v>-800</v>
      </c>
      <c r="L2227" s="524" t="s">
        <v>1188</v>
      </c>
      <c r="M2227" s="524" t="s">
        <v>1189</v>
      </c>
      <c r="N2227" s="524" t="s">
        <v>1223</v>
      </c>
      <c r="O2227" s="524" t="s">
        <v>1224</v>
      </c>
      <c r="P2227" s="526">
        <v>46231</v>
      </c>
      <c r="S2227" s="527">
        <v>0</v>
      </c>
    </row>
    <row r="2228" spans="1:19" x14ac:dyDescent="0.2">
      <c r="A2228" s="524">
        <v>70992</v>
      </c>
      <c r="B2228" s="526">
        <v>46231</v>
      </c>
      <c r="C2228" s="524" t="s">
        <v>1148</v>
      </c>
      <c r="D2228" s="524" t="s">
        <v>1239</v>
      </c>
      <c r="E2228" s="524" t="s">
        <v>2495</v>
      </c>
      <c r="F2228" s="524" t="s">
        <v>1183</v>
      </c>
      <c r="G2228" s="524" t="s">
        <v>742</v>
      </c>
      <c r="H2228" s="527">
        <v>38777.03</v>
      </c>
      <c r="I2228" s="524" t="s">
        <v>1174</v>
      </c>
      <c r="J2228" s="524">
        <f>IF(cmf[[#This Row],[D/C]]="C",cmf[[#This Row],[Valor]],-1*cmf[[#This Row],[Valor]])</f>
        <v>-38777.03</v>
      </c>
      <c r="L2228" s="524" t="s">
        <v>2492</v>
      </c>
      <c r="M2228" s="524" t="s">
        <v>2493</v>
      </c>
      <c r="N2228" s="524" t="s">
        <v>1215</v>
      </c>
      <c r="O2228" s="524" t="s">
        <v>1218</v>
      </c>
      <c r="P2228" s="526">
        <v>46231</v>
      </c>
      <c r="S2228" s="527">
        <v>0</v>
      </c>
    </row>
    <row r="2229" spans="1:19" x14ac:dyDescent="0.2">
      <c r="A2229" s="524">
        <v>71005</v>
      </c>
      <c r="B2229" s="526">
        <v>46231</v>
      </c>
      <c r="C2229" s="524" t="s">
        <v>1148</v>
      </c>
      <c r="D2229" s="524" t="s">
        <v>1186</v>
      </c>
      <c r="E2229" s="524" t="s">
        <v>2496</v>
      </c>
      <c r="F2229" s="524" t="s">
        <v>1183</v>
      </c>
      <c r="G2229" s="524" t="s">
        <v>789</v>
      </c>
      <c r="H2229" s="527">
        <v>19387.82</v>
      </c>
      <c r="I2229" s="524" t="s">
        <v>1174</v>
      </c>
      <c r="J2229" s="524">
        <f>IF(cmf[[#This Row],[D/C]]="C",cmf[[#This Row],[Valor]],-1*cmf[[#This Row],[Valor]])</f>
        <v>-19387.82</v>
      </c>
      <c r="L2229" s="524" t="s">
        <v>1188</v>
      </c>
      <c r="M2229" s="524" t="s">
        <v>1189</v>
      </c>
      <c r="N2229" s="524" t="s">
        <v>1271</v>
      </c>
      <c r="O2229" s="524" t="s">
        <v>1272</v>
      </c>
      <c r="P2229" s="526">
        <v>46231</v>
      </c>
      <c r="S2229" s="527">
        <v>0</v>
      </c>
    </row>
    <row r="2230" spans="1:19" x14ac:dyDescent="0.2">
      <c r="A2230" s="524">
        <v>71011</v>
      </c>
      <c r="B2230" s="526">
        <v>46231</v>
      </c>
      <c r="C2230" s="524" t="s">
        <v>1162</v>
      </c>
      <c r="D2230" s="524" t="s">
        <v>1186</v>
      </c>
      <c r="E2230" s="524" t="s">
        <v>2497</v>
      </c>
      <c r="F2230" s="524" t="s">
        <v>1170</v>
      </c>
      <c r="G2230" s="524" t="s">
        <v>781</v>
      </c>
      <c r="H2230" s="527">
        <v>450</v>
      </c>
      <c r="I2230" s="524" t="s">
        <v>1174</v>
      </c>
      <c r="J2230" s="524">
        <f>IF(cmf[[#This Row],[D/C]]="C",cmf[[#This Row],[Valor]],-1*cmf[[#This Row],[Valor]])</f>
        <v>-450</v>
      </c>
      <c r="L2230" s="524" t="s">
        <v>1188</v>
      </c>
      <c r="M2230" s="524" t="s">
        <v>1189</v>
      </c>
      <c r="N2230" s="524" t="s">
        <v>1209</v>
      </c>
      <c r="O2230" s="524" t="s">
        <v>1210</v>
      </c>
      <c r="P2230" s="526"/>
      <c r="S2230" s="527">
        <v>0</v>
      </c>
    </row>
    <row r="2231" spans="1:19" x14ac:dyDescent="0.2">
      <c r="A2231" s="524">
        <v>71012</v>
      </c>
      <c r="B2231" s="526">
        <v>46231</v>
      </c>
      <c r="C2231" s="524" t="s">
        <v>1148</v>
      </c>
      <c r="D2231" s="524" t="s">
        <v>1186</v>
      </c>
      <c r="E2231" s="524" t="s">
        <v>2498</v>
      </c>
      <c r="F2231" s="524" t="s">
        <v>1183</v>
      </c>
      <c r="G2231" s="524" t="s">
        <v>803</v>
      </c>
      <c r="H2231" s="527">
        <v>932.72</v>
      </c>
      <c r="I2231" s="524" t="s">
        <v>1174</v>
      </c>
      <c r="J2231" s="524">
        <f>IF(cmf[[#This Row],[D/C]]="C",cmf[[#This Row],[Valor]],-1*cmf[[#This Row],[Valor]])</f>
        <v>-932.72</v>
      </c>
      <c r="L2231" s="524" t="s">
        <v>1188</v>
      </c>
      <c r="M2231" s="524" t="s">
        <v>1189</v>
      </c>
      <c r="N2231" s="524" t="s">
        <v>1192</v>
      </c>
      <c r="O2231" s="524" t="s">
        <v>1193</v>
      </c>
      <c r="P2231" s="526">
        <v>46231</v>
      </c>
      <c r="S2231" s="527">
        <v>0</v>
      </c>
    </row>
    <row r="2232" spans="1:19" x14ac:dyDescent="0.2">
      <c r="A2232" s="524">
        <v>71013</v>
      </c>
      <c r="B2232" s="526">
        <v>46231</v>
      </c>
      <c r="C2232" s="524" t="s">
        <v>1148</v>
      </c>
      <c r="D2232" s="524" t="s">
        <v>1186</v>
      </c>
      <c r="E2232" s="524" t="s">
        <v>2499</v>
      </c>
      <c r="F2232" s="524" t="s">
        <v>1183</v>
      </c>
      <c r="G2232" s="524" t="s">
        <v>803</v>
      </c>
      <c r="H2232" s="527">
        <v>241.94</v>
      </c>
      <c r="I2232" s="524" t="s">
        <v>1174</v>
      </c>
      <c r="J2232" s="524">
        <f>IF(cmf[[#This Row],[D/C]]="C",cmf[[#This Row],[Valor]],-1*cmf[[#This Row],[Valor]])</f>
        <v>-241.94</v>
      </c>
      <c r="L2232" s="524" t="s">
        <v>1188</v>
      </c>
      <c r="M2232" s="524" t="s">
        <v>1189</v>
      </c>
      <c r="N2232" s="524" t="s">
        <v>1192</v>
      </c>
      <c r="O2232" s="524" t="s">
        <v>1193</v>
      </c>
      <c r="P2232" s="526">
        <v>46231</v>
      </c>
      <c r="S2232" s="527">
        <v>0</v>
      </c>
    </row>
    <row r="2233" spans="1:19" x14ac:dyDescent="0.2">
      <c r="A2233" s="524">
        <v>71014</v>
      </c>
      <c r="B2233" s="526">
        <v>46231</v>
      </c>
      <c r="C2233" s="524" t="s">
        <v>1148</v>
      </c>
      <c r="D2233" s="524" t="s">
        <v>1186</v>
      </c>
      <c r="E2233" s="524" t="s">
        <v>2500</v>
      </c>
      <c r="F2233" s="524" t="s">
        <v>1183</v>
      </c>
      <c r="G2233" s="524" t="s">
        <v>766</v>
      </c>
      <c r="H2233" s="527">
        <v>83.03</v>
      </c>
      <c r="I2233" s="524" t="s">
        <v>1174</v>
      </c>
      <c r="J2233" s="524">
        <f>IF(cmf[[#This Row],[D/C]]="C",cmf[[#This Row],[Valor]],-1*cmf[[#This Row],[Valor]])</f>
        <v>-83.03</v>
      </c>
      <c r="L2233" s="524" t="s">
        <v>1188</v>
      </c>
      <c r="M2233" s="524" t="s">
        <v>1189</v>
      </c>
      <c r="N2233" s="524" t="s">
        <v>1200</v>
      </c>
      <c r="O2233" s="524" t="s">
        <v>1201</v>
      </c>
      <c r="P2233" s="526">
        <v>46231</v>
      </c>
      <c r="S2233" s="527">
        <v>0</v>
      </c>
    </row>
    <row r="2234" spans="1:19" x14ac:dyDescent="0.2">
      <c r="A2234" s="524">
        <v>71016</v>
      </c>
      <c r="B2234" s="526">
        <v>46231</v>
      </c>
      <c r="C2234" s="524" t="s">
        <v>1162</v>
      </c>
      <c r="D2234" s="524" t="s">
        <v>1186</v>
      </c>
      <c r="E2234" s="524" t="s">
        <v>2501</v>
      </c>
      <c r="F2234" s="524" t="s">
        <v>1170</v>
      </c>
      <c r="G2234" s="524" t="s">
        <v>785</v>
      </c>
      <c r="H2234" s="527">
        <v>17884.650000000001</v>
      </c>
      <c r="I2234" s="524" t="s">
        <v>1174</v>
      </c>
      <c r="J2234" s="524">
        <f>IF(cmf[[#This Row],[D/C]]="C",cmf[[#This Row],[Valor]],-1*cmf[[#This Row],[Valor]])</f>
        <v>-17884.650000000001</v>
      </c>
      <c r="L2234" s="524" t="s">
        <v>1188</v>
      </c>
      <c r="M2234" s="524" t="s">
        <v>1189</v>
      </c>
      <c r="N2234" s="524" t="s">
        <v>2104</v>
      </c>
      <c r="O2234" s="524" t="s">
        <v>1751</v>
      </c>
      <c r="P2234" s="526"/>
      <c r="S2234" s="527">
        <v>0</v>
      </c>
    </row>
    <row r="2235" spans="1:19" x14ac:dyDescent="0.2">
      <c r="A2235" s="524">
        <v>71022</v>
      </c>
      <c r="B2235" s="526">
        <v>46231</v>
      </c>
      <c r="C2235" s="524" t="s">
        <v>1148</v>
      </c>
      <c r="D2235" s="524" t="s">
        <v>1239</v>
      </c>
      <c r="E2235" s="524" t="s">
        <v>2502</v>
      </c>
      <c r="F2235" s="524" t="s">
        <v>1170</v>
      </c>
      <c r="G2235" s="524" t="s">
        <v>799</v>
      </c>
      <c r="H2235" s="527">
        <v>1440</v>
      </c>
      <c r="I2235" s="524" t="s">
        <v>1174</v>
      </c>
      <c r="J2235" s="524">
        <f>IF(cmf[[#This Row],[D/C]]="C",cmf[[#This Row],[Valor]],-1*cmf[[#This Row],[Valor]])</f>
        <v>-1440</v>
      </c>
      <c r="L2235" s="524" t="s">
        <v>1241</v>
      </c>
      <c r="M2235" s="524" t="s">
        <v>1242</v>
      </c>
      <c r="N2235" s="524" t="s">
        <v>1171</v>
      </c>
      <c r="O2235" s="524" t="s">
        <v>1172</v>
      </c>
      <c r="P2235" s="526">
        <v>46231</v>
      </c>
      <c r="S2235" s="527">
        <v>0</v>
      </c>
    </row>
    <row r="2236" spans="1:19" x14ac:dyDescent="0.2">
      <c r="A2236" s="524">
        <v>71023</v>
      </c>
      <c r="B2236" s="526">
        <v>46231</v>
      </c>
      <c r="C2236" s="524" t="s">
        <v>1162</v>
      </c>
      <c r="D2236" s="524" t="s">
        <v>1186</v>
      </c>
      <c r="E2236" s="524" t="s">
        <v>2503</v>
      </c>
      <c r="F2236" s="524" t="s">
        <v>1170</v>
      </c>
      <c r="G2236" s="524" t="s">
        <v>781</v>
      </c>
      <c r="H2236" s="527">
        <v>812.57</v>
      </c>
      <c r="I2236" s="524" t="s">
        <v>1174</v>
      </c>
      <c r="J2236" s="524">
        <f>IF(cmf[[#This Row],[D/C]]="C",cmf[[#This Row],[Valor]],-1*cmf[[#This Row],[Valor]])</f>
        <v>-812.57</v>
      </c>
      <c r="L2236" s="524" t="s">
        <v>1188</v>
      </c>
      <c r="M2236" s="524" t="s">
        <v>1189</v>
      </c>
      <c r="N2236" s="524" t="s">
        <v>1209</v>
      </c>
      <c r="O2236" s="524" t="s">
        <v>1210</v>
      </c>
      <c r="P2236" s="526"/>
      <c r="S2236" s="527">
        <v>0</v>
      </c>
    </row>
    <row r="2237" spans="1:19" x14ac:dyDescent="0.2">
      <c r="A2237" s="524">
        <v>71039</v>
      </c>
      <c r="B2237" s="526">
        <v>46231</v>
      </c>
      <c r="C2237" s="524" t="s">
        <v>1148</v>
      </c>
      <c r="D2237" s="524" t="s">
        <v>1186</v>
      </c>
      <c r="E2237" s="524" t="s">
        <v>2504</v>
      </c>
      <c r="F2237" s="524" t="s">
        <v>1183</v>
      </c>
      <c r="G2237" s="524" t="s">
        <v>742</v>
      </c>
      <c r="H2237" s="527">
        <v>2167.1999999999998</v>
      </c>
      <c r="I2237" s="524" t="s">
        <v>1174</v>
      </c>
      <c r="J2237" s="524">
        <f>IF(cmf[[#This Row],[D/C]]="C",cmf[[#This Row],[Valor]],-1*cmf[[#This Row],[Valor]])</f>
        <v>-2167.1999999999998</v>
      </c>
      <c r="L2237" s="524" t="s">
        <v>1188</v>
      </c>
      <c r="M2237" s="524" t="s">
        <v>1189</v>
      </c>
      <c r="N2237" s="524" t="s">
        <v>1215</v>
      </c>
      <c r="O2237" s="524" t="s">
        <v>1218</v>
      </c>
      <c r="P2237" s="526">
        <v>46231</v>
      </c>
      <c r="S2237" s="527">
        <v>0</v>
      </c>
    </row>
    <row r="2238" spans="1:19" x14ac:dyDescent="0.2">
      <c r="A2238" s="524">
        <v>71040</v>
      </c>
      <c r="B2238" s="526">
        <v>46231</v>
      </c>
      <c r="C2238" s="524" t="s">
        <v>1148</v>
      </c>
      <c r="D2238" s="524" t="s">
        <v>1186</v>
      </c>
      <c r="E2238" s="524" t="s">
        <v>2505</v>
      </c>
      <c r="F2238" s="524" t="s">
        <v>1183</v>
      </c>
      <c r="G2238" s="524" t="s">
        <v>742</v>
      </c>
      <c r="H2238" s="527">
        <v>3500</v>
      </c>
      <c r="I2238" s="524" t="s">
        <v>1174</v>
      </c>
      <c r="J2238" s="524">
        <f>IF(cmf[[#This Row],[D/C]]="C",cmf[[#This Row],[Valor]],-1*cmf[[#This Row],[Valor]])</f>
        <v>-3500</v>
      </c>
      <c r="L2238" s="524" t="s">
        <v>1188</v>
      </c>
      <c r="M2238" s="524" t="s">
        <v>1189</v>
      </c>
      <c r="N2238" s="524" t="s">
        <v>1215</v>
      </c>
      <c r="O2238" s="524" t="s">
        <v>1218</v>
      </c>
      <c r="P2238" s="526">
        <v>46231</v>
      </c>
      <c r="S2238" s="527">
        <v>0</v>
      </c>
    </row>
    <row r="2239" spans="1:19" x14ac:dyDescent="0.2">
      <c r="A2239" s="524">
        <v>71041</v>
      </c>
      <c r="B2239" s="526">
        <v>46231</v>
      </c>
      <c r="C2239" s="524" t="s">
        <v>1148</v>
      </c>
      <c r="D2239" s="524" t="s">
        <v>1186</v>
      </c>
      <c r="E2239" s="524" t="s">
        <v>2506</v>
      </c>
      <c r="F2239" s="524" t="s">
        <v>1183</v>
      </c>
      <c r="G2239" s="524" t="s">
        <v>742</v>
      </c>
      <c r="H2239" s="527">
        <v>3000</v>
      </c>
      <c r="I2239" s="524" t="s">
        <v>1174</v>
      </c>
      <c r="J2239" s="524">
        <f>IF(cmf[[#This Row],[D/C]]="C",cmf[[#This Row],[Valor]],-1*cmf[[#This Row],[Valor]])</f>
        <v>-3000</v>
      </c>
      <c r="L2239" s="524" t="s">
        <v>1188</v>
      </c>
      <c r="M2239" s="524" t="s">
        <v>1189</v>
      </c>
      <c r="N2239" s="524" t="s">
        <v>1215</v>
      </c>
      <c r="O2239" s="524" t="s">
        <v>1218</v>
      </c>
      <c r="P2239" s="526">
        <v>46231</v>
      </c>
      <c r="S2239" s="527">
        <v>0</v>
      </c>
    </row>
    <row r="2240" spans="1:19" x14ac:dyDescent="0.2">
      <c r="A2240" s="524">
        <v>71042</v>
      </c>
      <c r="B2240" s="526">
        <v>46231</v>
      </c>
      <c r="C2240" s="524" t="s">
        <v>1148</v>
      </c>
      <c r="D2240" s="524" t="s">
        <v>1186</v>
      </c>
      <c r="E2240" s="524" t="s">
        <v>2507</v>
      </c>
      <c r="F2240" s="524" t="s">
        <v>1183</v>
      </c>
      <c r="G2240" s="524" t="s">
        <v>742</v>
      </c>
      <c r="H2240" s="527">
        <v>1115.08</v>
      </c>
      <c r="I2240" s="524" t="s">
        <v>1174</v>
      </c>
      <c r="J2240" s="524">
        <f>IF(cmf[[#This Row],[D/C]]="C",cmf[[#This Row],[Valor]],-1*cmf[[#This Row],[Valor]])</f>
        <v>-1115.08</v>
      </c>
      <c r="L2240" s="524" t="s">
        <v>1188</v>
      </c>
      <c r="M2240" s="524" t="s">
        <v>1189</v>
      </c>
      <c r="N2240" s="524" t="s">
        <v>1215</v>
      </c>
      <c r="O2240" s="524" t="s">
        <v>1218</v>
      </c>
      <c r="P2240" s="526">
        <v>46231</v>
      </c>
      <c r="S2240" s="527">
        <v>0</v>
      </c>
    </row>
    <row r="2241" spans="1:19" x14ac:dyDescent="0.2">
      <c r="A2241" s="524">
        <v>71043</v>
      </c>
      <c r="B2241" s="526">
        <v>46231</v>
      </c>
      <c r="C2241" s="524" t="s">
        <v>1148</v>
      </c>
      <c r="D2241" s="524" t="s">
        <v>1186</v>
      </c>
      <c r="E2241" s="524" t="s">
        <v>2508</v>
      </c>
      <c r="F2241" s="524" t="s">
        <v>1183</v>
      </c>
      <c r="G2241" s="524" t="s">
        <v>742</v>
      </c>
      <c r="H2241" s="527">
        <v>48.8</v>
      </c>
      <c r="I2241" s="524" t="s">
        <v>1174</v>
      </c>
      <c r="J2241" s="524">
        <f>IF(cmf[[#This Row],[D/C]]="C",cmf[[#This Row],[Valor]],-1*cmf[[#This Row],[Valor]])</f>
        <v>-48.8</v>
      </c>
      <c r="L2241" s="524" t="s">
        <v>1188</v>
      </c>
      <c r="M2241" s="524" t="s">
        <v>1189</v>
      </c>
      <c r="N2241" s="524" t="s">
        <v>1215</v>
      </c>
      <c r="O2241" s="524" t="s">
        <v>1218</v>
      </c>
      <c r="P2241" s="526">
        <v>46231</v>
      </c>
      <c r="S2241" s="527">
        <v>0</v>
      </c>
    </row>
    <row r="2242" spans="1:19" x14ac:dyDescent="0.2">
      <c r="A2242" s="524">
        <v>71044</v>
      </c>
      <c r="B2242" s="526">
        <v>46231</v>
      </c>
      <c r="C2242" s="524" t="s">
        <v>1148</v>
      </c>
      <c r="D2242" s="524" t="s">
        <v>1186</v>
      </c>
      <c r="E2242" s="524" t="s">
        <v>2509</v>
      </c>
      <c r="F2242" s="524" t="s">
        <v>1178</v>
      </c>
      <c r="G2242" s="524" t="s">
        <v>1179</v>
      </c>
      <c r="H2242" s="527">
        <v>368</v>
      </c>
      <c r="I2242" s="524" t="s">
        <v>1174</v>
      </c>
      <c r="J2242" s="524">
        <f>IF(cmf[[#This Row],[D/C]]="C",cmf[[#This Row],[Valor]],-1*cmf[[#This Row],[Valor]])</f>
        <v>-368</v>
      </c>
      <c r="L2242" s="524" t="s">
        <v>1188</v>
      </c>
      <c r="M2242" s="524" t="s">
        <v>1189</v>
      </c>
      <c r="N2242" s="524" t="s">
        <v>1180</v>
      </c>
      <c r="O2242" s="524" t="s">
        <v>1181</v>
      </c>
      <c r="P2242" s="526">
        <v>46231</v>
      </c>
      <c r="S2242" s="527">
        <v>0</v>
      </c>
    </row>
    <row r="2243" spans="1:19" x14ac:dyDescent="0.2">
      <c r="A2243" s="524">
        <v>71045</v>
      </c>
      <c r="B2243" s="526">
        <v>46231</v>
      </c>
      <c r="C2243" s="524" t="s">
        <v>1148</v>
      </c>
      <c r="D2243" s="524" t="s">
        <v>1186</v>
      </c>
      <c r="E2243" s="524" t="s">
        <v>2510</v>
      </c>
      <c r="F2243" s="524" t="s">
        <v>1178</v>
      </c>
      <c r="G2243" s="524" t="s">
        <v>1179</v>
      </c>
      <c r="H2243" s="527">
        <v>84</v>
      </c>
      <c r="I2243" s="524" t="s">
        <v>1174</v>
      </c>
      <c r="J2243" s="524">
        <f>IF(cmf[[#This Row],[D/C]]="C",cmf[[#This Row],[Valor]],-1*cmf[[#This Row],[Valor]])</f>
        <v>-84</v>
      </c>
      <c r="L2243" s="524" t="s">
        <v>1188</v>
      </c>
      <c r="M2243" s="524" t="s">
        <v>1189</v>
      </c>
      <c r="N2243" s="524" t="s">
        <v>1180</v>
      </c>
      <c r="O2243" s="524" t="s">
        <v>1181</v>
      </c>
      <c r="P2243" s="526">
        <v>46231</v>
      </c>
      <c r="S2243" s="527">
        <v>0</v>
      </c>
    </row>
    <row r="2244" spans="1:19" x14ac:dyDescent="0.2">
      <c r="A2244" s="524">
        <v>71046</v>
      </c>
      <c r="B2244" s="526">
        <v>46231</v>
      </c>
      <c r="C2244" s="524" t="s">
        <v>1148</v>
      </c>
      <c r="D2244" s="524" t="s">
        <v>1186</v>
      </c>
      <c r="E2244" s="524" t="s">
        <v>2511</v>
      </c>
      <c r="F2244" s="524" t="s">
        <v>1178</v>
      </c>
      <c r="G2244" s="524" t="s">
        <v>1179</v>
      </c>
      <c r="H2244" s="527">
        <v>17500</v>
      </c>
      <c r="I2244" s="524" t="s">
        <v>1174</v>
      </c>
      <c r="J2244" s="524">
        <f>IF(cmf[[#This Row],[D/C]]="C",cmf[[#This Row],[Valor]],-1*cmf[[#This Row],[Valor]])</f>
        <v>-17500</v>
      </c>
      <c r="L2244" s="524" t="s">
        <v>1188</v>
      </c>
      <c r="M2244" s="524" t="s">
        <v>1189</v>
      </c>
      <c r="N2244" s="524" t="s">
        <v>1180</v>
      </c>
      <c r="O2244" s="524" t="s">
        <v>1181</v>
      </c>
      <c r="P2244" s="526">
        <v>46231</v>
      </c>
      <c r="S2244" s="527">
        <v>0</v>
      </c>
    </row>
    <row r="2245" spans="1:19" x14ac:dyDescent="0.2">
      <c r="A2245" s="524">
        <v>71047</v>
      </c>
      <c r="B2245" s="526">
        <v>46231</v>
      </c>
      <c r="C2245" s="524" t="s">
        <v>1148</v>
      </c>
      <c r="D2245" s="524" t="s">
        <v>1186</v>
      </c>
      <c r="E2245" s="524" t="s">
        <v>2512</v>
      </c>
      <c r="F2245" s="524" t="s">
        <v>1178</v>
      </c>
      <c r="G2245" s="524" t="s">
        <v>1179</v>
      </c>
      <c r="H2245" s="527">
        <v>346</v>
      </c>
      <c r="I2245" s="524" t="s">
        <v>1174</v>
      </c>
      <c r="J2245" s="524">
        <f>IF(cmf[[#This Row],[D/C]]="C",cmf[[#This Row],[Valor]],-1*cmf[[#This Row],[Valor]])</f>
        <v>-346</v>
      </c>
      <c r="L2245" s="524" t="s">
        <v>1188</v>
      </c>
      <c r="M2245" s="524" t="s">
        <v>1189</v>
      </c>
      <c r="N2245" s="524" t="s">
        <v>1180</v>
      </c>
      <c r="O2245" s="524" t="s">
        <v>1181</v>
      </c>
      <c r="P2245" s="526">
        <v>46231</v>
      </c>
      <c r="S2245" s="527">
        <v>0</v>
      </c>
    </row>
    <row r="2246" spans="1:19" x14ac:dyDescent="0.2">
      <c r="A2246" s="524">
        <v>71048</v>
      </c>
      <c r="B2246" s="526">
        <v>46231</v>
      </c>
      <c r="C2246" s="524" t="s">
        <v>1148</v>
      </c>
      <c r="D2246" s="524" t="s">
        <v>1186</v>
      </c>
      <c r="E2246" s="524" t="s">
        <v>2513</v>
      </c>
      <c r="F2246" s="524" t="s">
        <v>1178</v>
      </c>
      <c r="G2246" s="524" t="s">
        <v>1179</v>
      </c>
      <c r="H2246" s="527">
        <v>120</v>
      </c>
      <c r="I2246" s="524" t="s">
        <v>1174</v>
      </c>
      <c r="J2246" s="524">
        <f>IF(cmf[[#This Row],[D/C]]="C",cmf[[#This Row],[Valor]],-1*cmf[[#This Row],[Valor]])</f>
        <v>-120</v>
      </c>
      <c r="L2246" s="524" t="s">
        <v>1188</v>
      </c>
      <c r="M2246" s="524" t="s">
        <v>1189</v>
      </c>
      <c r="N2246" s="524" t="s">
        <v>1180</v>
      </c>
      <c r="O2246" s="524" t="s">
        <v>1181</v>
      </c>
      <c r="P2246" s="526">
        <v>46231</v>
      </c>
      <c r="S2246" s="527">
        <v>0</v>
      </c>
    </row>
    <row r="2247" spans="1:19" x14ac:dyDescent="0.2">
      <c r="A2247" s="524">
        <v>71049</v>
      </c>
      <c r="B2247" s="526">
        <v>46231</v>
      </c>
      <c r="C2247" s="524" t="s">
        <v>1148</v>
      </c>
      <c r="D2247" s="524" t="s">
        <v>1186</v>
      </c>
      <c r="E2247" s="524" t="s">
        <v>2514</v>
      </c>
      <c r="F2247" s="524" t="s">
        <v>1178</v>
      </c>
      <c r="G2247" s="524" t="s">
        <v>1179</v>
      </c>
      <c r="H2247" s="527">
        <v>1465</v>
      </c>
      <c r="I2247" s="524" t="s">
        <v>1174</v>
      </c>
      <c r="J2247" s="524">
        <f>IF(cmf[[#This Row],[D/C]]="C",cmf[[#This Row],[Valor]],-1*cmf[[#This Row],[Valor]])</f>
        <v>-1465</v>
      </c>
      <c r="L2247" s="524" t="s">
        <v>1188</v>
      </c>
      <c r="M2247" s="524" t="s">
        <v>1189</v>
      </c>
      <c r="N2247" s="524" t="s">
        <v>1180</v>
      </c>
      <c r="O2247" s="524" t="s">
        <v>1181</v>
      </c>
      <c r="P2247" s="526">
        <v>46231</v>
      </c>
      <c r="S2247" s="527">
        <v>0</v>
      </c>
    </row>
    <row r="2248" spans="1:19" x14ac:dyDescent="0.2">
      <c r="A2248" s="524">
        <v>71050</v>
      </c>
      <c r="B2248" s="526">
        <v>46231</v>
      </c>
      <c r="C2248" s="524" t="s">
        <v>1148</v>
      </c>
      <c r="D2248" s="524" t="s">
        <v>1186</v>
      </c>
      <c r="E2248" s="524" t="s">
        <v>2515</v>
      </c>
      <c r="F2248" s="524" t="s">
        <v>1178</v>
      </c>
      <c r="G2248" s="524" t="s">
        <v>1179</v>
      </c>
      <c r="H2248" s="527">
        <v>1110.01</v>
      </c>
      <c r="I2248" s="524" t="s">
        <v>1174</v>
      </c>
      <c r="J2248" s="524">
        <f>IF(cmf[[#This Row],[D/C]]="C",cmf[[#This Row],[Valor]],-1*cmf[[#This Row],[Valor]])</f>
        <v>-1110.01</v>
      </c>
      <c r="L2248" s="524" t="s">
        <v>1188</v>
      </c>
      <c r="M2248" s="524" t="s">
        <v>1189</v>
      </c>
      <c r="N2248" s="524" t="s">
        <v>1180</v>
      </c>
      <c r="O2248" s="524" t="s">
        <v>1181</v>
      </c>
      <c r="P2248" s="526">
        <v>46231</v>
      </c>
      <c r="S2248" s="527">
        <v>0</v>
      </c>
    </row>
    <row r="2249" spans="1:19" x14ac:dyDescent="0.2">
      <c r="A2249" s="524">
        <v>71054</v>
      </c>
      <c r="B2249" s="526">
        <v>46231</v>
      </c>
      <c r="C2249" s="524" t="s">
        <v>1148</v>
      </c>
      <c r="D2249" s="524" t="s">
        <v>1186</v>
      </c>
      <c r="E2249" s="524" t="s">
        <v>2516</v>
      </c>
      <c r="F2249" s="524" t="s">
        <v>1183</v>
      </c>
      <c r="G2249" s="524" t="s">
        <v>742</v>
      </c>
      <c r="H2249" s="527">
        <v>51.12</v>
      </c>
      <c r="I2249" s="524" t="s">
        <v>1174</v>
      </c>
      <c r="J2249" s="524">
        <f>IF(cmf[[#This Row],[D/C]]="C",cmf[[#This Row],[Valor]],-1*cmf[[#This Row],[Valor]])</f>
        <v>-51.12</v>
      </c>
      <c r="L2249" s="524" t="s">
        <v>1188</v>
      </c>
      <c r="M2249" s="524" t="s">
        <v>1189</v>
      </c>
      <c r="N2249" s="524" t="s">
        <v>1215</v>
      </c>
      <c r="O2249" s="524" t="s">
        <v>1218</v>
      </c>
      <c r="P2249" s="526">
        <v>46231</v>
      </c>
      <c r="S2249" s="527">
        <v>0</v>
      </c>
    </row>
    <row r="2250" spans="1:19" x14ac:dyDescent="0.2">
      <c r="A2250" s="524">
        <v>71055</v>
      </c>
      <c r="B2250" s="526">
        <v>46231</v>
      </c>
      <c r="C2250" s="524" t="s">
        <v>1148</v>
      </c>
      <c r="D2250" s="524" t="s">
        <v>1186</v>
      </c>
      <c r="E2250" s="524" t="s">
        <v>2517</v>
      </c>
      <c r="F2250" s="524" t="s">
        <v>1183</v>
      </c>
      <c r="G2250" s="524" t="s">
        <v>758</v>
      </c>
      <c r="H2250" s="527">
        <v>420</v>
      </c>
      <c r="I2250" s="524" t="s">
        <v>1174</v>
      </c>
      <c r="J2250" s="524">
        <f>IF(cmf[[#This Row],[D/C]]="C",cmf[[#This Row],[Valor]],-1*cmf[[#This Row],[Valor]])</f>
        <v>-420</v>
      </c>
      <c r="L2250" s="524" t="s">
        <v>1188</v>
      </c>
      <c r="M2250" s="524" t="s">
        <v>1189</v>
      </c>
      <c r="N2250" s="524" t="s">
        <v>1223</v>
      </c>
      <c r="O2250" s="524" t="s">
        <v>1224</v>
      </c>
      <c r="P2250" s="526">
        <v>46231</v>
      </c>
      <c r="S2250" s="527">
        <v>0</v>
      </c>
    </row>
    <row r="2251" spans="1:19" x14ac:dyDescent="0.2">
      <c r="A2251" s="524">
        <v>71056</v>
      </c>
      <c r="B2251" s="526">
        <v>46231</v>
      </c>
      <c r="C2251" s="524" t="s">
        <v>1148</v>
      </c>
      <c r="D2251" s="524" t="s">
        <v>1186</v>
      </c>
      <c r="E2251" s="524" t="s">
        <v>2518</v>
      </c>
      <c r="F2251" s="524" t="s">
        <v>1183</v>
      </c>
      <c r="G2251" s="524" t="s">
        <v>758</v>
      </c>
      <c r="H2251" s="527">
        <v>34367.660000000003</v>
      </c>
      <c r="I2251" s="524" t="s">
        <v>1174</v>
      </c>
      <c r="J2251" s="524">
        <f>IF(cmf[[#This Row],[D/C]]="C",cmf[[#This Row],[Valor]],-1*cmf[[#This Row],[Valor]])</f>
        <v>-34367.660000000003</v>
      </c>
      <c r="L2251" s="524" t="s">
        <v>1188</v>
      </c>
      <c r="M2251" s="524" t="s">
        <v>1189</v>
      </c>
      <c r="N2251" s="524" t="s">
        <v>1223</v>
      </c>
      <c r="O2251" s="524" t="s">
        <v>1224</v>
      </c>
      <c r="P2251" s="526">
        <v>46231</v>
      </c>
      <c r="S2251" s="527">
        <v>0</v>
      </c>
    </row>
    <row r="2252" spans="1:19" x14ac:dyDescent="0.2">
      <c r="A2252" s="524">
        <v>71057</v>
      </c>
      <c r="B2252" s="526">
        <v>46231</v>
      </c>
      <c r="C2252" s="524" t="s">
        <v>1148</v>
      </c>
      <c r="D2252" s="524" t="s">
        <v>1186</v>
      </c>
      <c r="E2252" s="524" t="s">
        <v>2519</v>
      </c>
      <c r="F2252" s="524" t="s">
        <v>1183</v>
      </c>
      <c r="G2252" s="524" t="s">
        <v>758</v>
      </c>
      <c r="H2252" s="527">
        <v>131.19999999999999</v>
      </c>
      <c r="I2252" s="524" t="s">
        <v>1174</v>
      </c>
      <c r="J2252" s="524">
        <f>IF(cmf[[#This Row],[D/C]]="C",cmf[[#This Row],[Valor]],-1*cmf[[#This Row],[Valor]])</f>
        <v>-131.19999999999999</v>
      </c>
      <c r="L2252" s="524" t="s">
        <v>1188</v>
      </c>
      <c r="M2252" s="524" t="s">
        <v>1189</v>
      </c>
      <c r="N2252" s="524" t="s">
        <v>1223</v>
      </c>
      <c r="O2252" s="524" t="s">
        <v>1224</v>
      </c>
      <c r="P2252" s="526">
        <v>46231</v>
      </c>
      <c r="S2252" s="527">
        <v>0</v>
      </c>
    </row>
    <row r="2253" spans="1:19" x14ac:dyDescent="0.2">
      <c r="A2253" s="524">
        <v>71058</v>
      </c>
      <c r="B2253" s="526">
        <v>46231</v>
      </c>
      <c r="C2253" s="524" t="s">
        <v>1148</v>
      </c>
      <c r="D2253" s="524" t="s">
        <v>1186</v>
      </c>
      <c r="E2253" s="524" t="s">
        <v>2520</v>
      </c>
      <c r="F2253" s="524" t="s">
        <v>1183</v>
      </c>
      <c r="G2253" s="524" t="s">
        <v>758</v>
      </c>
      <c r="H2253" s="527">
        <v>2579.5</v>
      </c>
      <c r="I2253" s="524" t="s">
        <v>1174</v>
      </c>
      <c r="J2253" s="524">
        <f>IF(cmf[[#This Row],[D/C]]="C",cmf[[#This Row],[Valor]],-1*cmf[[#This Row],[Valor]])</f>
        <v>-2579.5</v>
      </c>
      <c r="L2253" s="524" t="s">
        <v>1188</v>
      </c>
      <c r="M2253" s="524" t="s">
        <v>1189</v>
      </c>
      <c r="N2253" s="524" t="s">
        <v>1223</v>
      </c>
      <c r="O2253" s="524" t="s">
        <v>1224</v>
      </c>
      <c r="P2253" s="526">
        <v>46231</v>
      </c>
      <c r="S2253" s="527">
        <v>0</v>
      </c>
    </row>
    <row r="2254" spans="1:19" x14ac:dyDescent="0.2">
      <c r="A2254" s="524">
        <v>71059</v>
      </c>
      <c r="B2254" s="526">
        <v>46231</v>
      </c>
      <c r="C2254" s="524" t="s">
        <v>1148</v>
      </c>
      <c r="D2254" s="524" t="s">
        <v>1186</v>
      </c>
      <c r="E2254" s="524" t="s">
        <v>2521</v>
      </c>
      <c r="F2254" s="524" t="s">
        <v>1183</v>
      </c>
      <c r="G2254" s="524" t="s">
        <v>758</v>
      </c>
      <c r="H2254" s="527">
        <v>7231.96</v>
      </c>
      <c r="I2254" s="524" t="s">
        <v>1174</v>
      </c>
      <c r="J2254" s="524">
        <f>IF(cmf[[#This Row],[D/C]]="C",cmf[[#This Row],[Valor]],-1*cmf[[#This Row],[Valor]])</f>
        <v>-7231.96</v>
      </c>
      <c r="L2254" s="524" t="s">
        <v>1188</v>
      </c>
      <c r="M2254" s="524" t="s">
        <v>1189</v>
      </c>
      <c r="N2254" s="524" t="s">
        <v>1223</v>
      </c>
      <c r="O2254" s="524" t="s">
        <v>1224</v>
      </c>
      <c r="P2254" s="526">
        <v>46231</v>
      </c>
      <c r="S2254" s="527">
        <v>0</v>
      </c>
    </row>
    <row r="2255" spans="1:19" x14ac:dyDescent="0.2">
      <c r="A2255" s="524">
        <v>71060</v>
      </c>
      <c r="B2255" s="526">
        <v>46231</v>
      </c>
      <c r="C2255" s="524" t="s">
        <v>1148</v>
      </c>
      <c r="D2255" s="524" t="s">
        <v>1186</v>
      </c>
      <c r="E2255" s="524" t="s">
        <v>2522</v>
      </c>
      <c r="F2255" s="524" t="s">
        <v>1183</v>
      </c>
      <c r="G2255" s="524" t="s">
        <v>758</v>
      </c>
      <c r="H2255" s="527">
        <v>3175.72</v>
      </c>
      <c r="I2255" s="524" t="s">
        <v>1174</v>
      </c>
      <c r="J2255" s="524">
        <f>IF(cmf[[#This Row],[D/C]]="C",cmf[[#This Row],[Valor]],-1*cmf[[#This Row],[Valor]])</f>
        <v>-3175.72</v>
      </c>
      <c r="L2255" s="524" t="s">
        <v>1188</v>
      </c>
      <c r="M2255" s="524" t="s">
        <v>1189</v>
      </c>
      <c r="N2255" s="524" t="s">
        <v>1223</v>
      </c>
      <c r="O2255" s="524" t="s">
        <v>1224</v>
      </c>
      <c r="P2255" s="526">
        <v>46231</v>
      </c>
      <c r="S2255" s="527">
        <v>0</v>
      </c>
    </row>
    <row r="2256" spans="1:19" x14ac:dyDescent="0.2">
      <c r="A2256" s="524">
        <v>71061</v>
      </c>
      <c r="B2256" s="526">
        <v>46231</v>
      </c>
      <c r="C2256" s="524" t="s">
        <v>1148</v>
      </c>
      <c r="D2256" s="524" t="s">
        <v>1186</v>
      </c>
      <c r="E2256" s="524" t="s">
        <v>2523</v>
      </c>
      <c r="F2256" s="524" t="s">
        <v>1183</v>
      </c>
      <c r="G2256" s="524" t="s">
        <v>803</v>
      </c>
      <c r="H2256" s="527">
        <v>914</v>
      </c>
      <c r="I2256" s="524" t="s">
        <v>1174</v>
      </c>
      <c r="J2256" s="524">
        <f>IF(cmf[[#This Row],[D/C]]="C",cmf[[#This Row],[Valor]],-1*cmf[[#This Row],[Valor]])</f>
        <v>-914</v>
      </c>
      <c r="L2256" s="524" t="s">
        <v>1188</v>
      </c>
      <c r="M2256" s="524" t="s">
        <v>1189</v>
      </c>
      <c r="N2256" s="524" t="s">
        <v>1192</v>
      </c>
      <c r="O2256" s="524" t="s">
        <v>1193</v>
      </c>
      <c r="P2256" s="526">
        <v>46231</v>
      </c>
      <c r="S2256" s="527">
        <v>0</v>
      </c>
    </row>
    <row r="2257" spans="1:19" x14ac:dyDescent="0.2">
      <c r="A2257" s="524">
        <v>71062</v>
      </c>
      <c r="B2257" s="526">
        <v>46231</v>
      </c>
      <c r="C2257" s="524" t="s">
        <v>1148</v>
      </c>
      <c r="D2257" s="524" t="s">
        <v>1186</v>
      </c>
      <c r="E2257" s="524" t="s">
        <v>2524</v>
      </c>
      <c r="F2257" s="524" t="s">
        <v>1183</v>
      </c>
      <c r="G2257" s="524" t="s">
        <v>803</v>
      </c>
      <c r="H2257" s="527">
        <v>1680</v>
      </c>
      <c r="I2257" s="524" t="s">
        <v>1174</v>
      </c>
      <c r="J2257" s="524">
        <f>IF(cmf[[#This Row],[D/C]]="C",cmf[[#This Row],[Valor]],-1*cmf[[#This Row],[Valor]])</f>
        <v>-1680</v>
      </c>
      <c r="L2257" s="524" t="s">
        <v>1188</v>
      </c>
      <c r="M2257" s="524" t="s">
        <v>1189</v>
      </c>
      <c r="N2257" s="524" t="s">
        <v>1192</v>
      </c>
      <c r="O2257" s="524" t="s">
        <v>1193</v>
      </c>
      <c r="P2257" s="526">
        <v>46231</v>
      </c>
      <c r="S2257" s="527">
        <v>0</v>
      </c>
    </row>
    <row r="2258" spans="1:19" x14ac:dyDescent="0.2">
      <c r="A2258" s="524">
        <v>71063</v>
      </c>
      <c r="B2258" s="526">
        <v>46231</v>
      </c>
      <c r="C2258" s="524" t="s">
        <v>1148</v>
      </c>
      <c r="D2258" s="524" t="s">
        <v>1186</v>
      </c>
      <c r="E2258" s="524" t="s">
        <v>2525</v>
      </c>
      <c r="F2258" s="524" t="s">
        <v>1183</v>
      </c>
      <c r="G2258" s="524" t="s">
        <v>803</v>
      </c>
      <c r="H2258" s="527">
        <v>110.14</v>
      </c>
      <c r="I2258" s="524" t="s">
        <v>1174</v>
      </c>
      <c r="J2258" s="524">
        <f>IF(cmf[[#This Row],[D/C]]="C",cmf[[#This Row],[Valor]],-1*cmf[[#This Row],[Valor]])</f>
        <v>-110.14</v>
      </c>
      <c r="L2258" s="524" t="s">
        <v>1188</v>
      </c>
      <c r="M2258" s="524" t="s">
        <v>1189</v>
      </c>
      <c r="N2258" s="524" t="s">
        <v>1192</v>
      </c>
      <c r="O2258" s="524" t="s">
        <v>1193</v>
      </c>
      <c r="P2258" s="526">
        <v>46231</v>
      </c>
      <c r="S2258" s="527">
        <v>0</v>
      </c>
    </row>
    <row r="2259" spans="1:19" x14ac:dyDescent="0.2">
      <c r="A2259" s="524">
        <v>71064</v>
      </c>
      <c r="B2259" s="526">
        <v>46231</v>
      </c>
      <c r="C2259" s="524" t="s">
        <v>1148</v>
      </c>
      <c r="D2259" s="524" t="s">
        <v>1186</v>
      </c>
      <c r="E2259" s="524" t="s">
        <v>2526</v>
      </c>
      <c r="F2259" s="524" t="s">
        <v>1183</v>
      </c>
      <c r="G2259" s="524" t="s">
        <v>803</v>
      </c>
      <c r="H2259" s="527">
        <v>799.8</v>
      </c>
      <c r="I2259" s="524" t="s">
        <v>1174</v>
      </c>
      <c r="J2259" s="524">
        <f>IF(cmf[[#This Row],[D/C]]="C",cmf[[#This Row],[Valor]],-1*cmf[[#This Row],[Valor]])</f>
        <v>-799.8</v>
      </c>
      <c r="L2259" s="524" t="s">
        <v>1188</v>
      </c>
      <c r="M2259" s="524" t="s">
        <v>1189</v>
      </c>
      <c r="N2259" s="524" t="s">
        <v>1192</v>
      </c>
      <c r="O2259" s="524" t="s">
        <v>1193</v>
      </c>
      <c r="P2259" s="526">
        <v>46231</v>
      </c>
      <c r="S2259" s="527">
        <v>0</v>
      </c>
    </row>
    <row r="2260" spans="1:19" x14ac:dyDescent="0.2">
      <c r="A2260" s="524">
        <v>71065</v>
      </c>
      <c r="B2260" s="526">
        <v>46231</v>
      </c>
      <c r="C2260" s="524" t="s">
        <v>1148</v>
      </c>
      <c r="D2260" s="524" t="s">
        <v>1186</v>
      </c>
      <c r="E2260" s="524" t="s">
        <v>2527</v>
      </c>
      <c r="F2260" s="524" t="s">
        <v>1183</v>
      </c>
      <c r="G2260" s="524" t="s">
        <v>803</v>
      </c>
      <c r="H2260" s="527">
        <v>640.52</v>
      </c>
      <c r="I2260" s="524" t="s">
        <v>1174</v>
      </c>
      <c r="J2260" s="524">
        <f>IF(cmf[[#This Row],[D/C]]="C",cmf[[#This Row],[Valor]],-1*cmf[[#This Row],[Valor]])</f>
        <v>-640.52</v>
      </c>
      <c r="L2260" s="524" t="s">
        <v>1188</v>
      </c>
      <c r="M2260" s="524" t="s">
        <v>1189</v>
      </c>
      <c r="N2260" s="524" t="s">
        <v>1192</v>
      </c>
      <c r="O2260" s="524" t="s">
        <v>1193</v>
      </c>
      <c r="P2260" s="526">
        <v>46231</v>
      </c>
      <c r="S2260" s="527">
        <v>0</v>
      </c>
    </row>
    <row r="2261" spans="1:19" x14ac:dyDescent="0.2">
      <c r="A2261" s="524">
        <v>71066</v>
      </c>
      <c r="B2261" s="526">
        <v>46231</v>
      </c>
      <c r="C2261" s="524" t="s">
        <v>1148</v>
      </c>
      <c r="D2261" s="524" t="s">
        <v>1186</v>
      </c>
      <c r="E2261" s="524" t="s">
        <v>2528</v>
      </c>
      <c r="F2261" s="524" t="s">
        <v>1183</v>
      </c>
      <c r="G2261" s="524" t="s">
        <v>803</v>
      </c>
      <c r="H2261" s="527">
        <v>440.04</v>
      </c>
      <c r="I2261" s="524" t="s">
        <v>1174</v>
      </c>
      <c r="J2261" s="524">
        <f>IF(cmf[[#This Row],[D/C]]="C",cmf[[#This Row],[Valor]],-1*cmf[[#This Row],[Valor]])</f>
        <v>-440.04</v>
      </c>
      <c r="L2261" s="524" t="s">
        <v>1188</v>
      </c>
      <c r="M2261" s="524" t="s">
        <v>1189</v>
      </c>
      <c r="N2261" s="524" t="s">
        <v>1192</v>
      </c>
      <c r="O2261" s="524" t="s">
        <v>1193</v>
      </c>
      <c r="P2261" s="526">
        <v>46231</v>
      </c>
      <c r="S2261" s="527">
        <v>0</v>
      </c>
    </row>
    <row r="2262" spans="1:19" x14ac:dyDescent="0.2">
      <c r="A2262" s="524">
        <v>71070</v>
      </c>
      <c r="B2262" s="526">
        <v>46231</v>
      </c>
      <c r="C2262" s="524" t="s">
        <v>1148</v>
      </c>
      <c r="D2262" s="524" t="s">
        <v>1186</v>
      </c>
      <c r="E2262" s="524" t="s">
        <v>2529</v>
      </c>
      <c r="F2262" s="524" t="s">
        <v>1183</v>
      </c>
      <c r="G2262" s="524" t="s">
        <v>769</v>
      </c>
      <c r="H2262" s="527">
        <v>4432.6899999999996</v>
      </c>
      <c r="I2262" s="524" t="s">
        <v>1174</v>
      </c>
      <c r="J2262" s="524">
        <f>IF(cmf[[#This Row],[D/C]]="C",cmf[[#This Row],[Valor]],-1*cmf[[#This Row],[Valor]])</f>
        <v>-4432.6899999999996</v>
      </c>
      <c r="L2262" s="524" t="s">
        <v>1188</v>
      </c>
      <c r="M2262" s="524" t="s">
        <v>1189</v>
      </c>
      <c r="N2262" s="524" t="s">
        <v>1219</v>
      </c>
      <c r="O2262" s="524" t="s">
        <v>1220</v>
      </c>
      <c r="P2262" s="526">
        <v>46231</v>
      </c>
      <c r="S2262" s="527">
        <v>0</v>
      </c>
    </row>
    <row r="2263" spans="1:19" x14ac:dyDescent="0.2">
      <c r="A2263" s="524">
        <v>71071</v>
      </c>
      <c r="B2263" s="526">
        <v>46231</v>
      </c>
      <c r="C2263" s="524" t="s">
        <v>1148</v>
      </c>
      <c r="D2263" s="524" t="s">
        <v>1186</v>
      </c>
      <c r="E2263" s="524" t="s">
        <v>2530</v>
      </c>
      <c r="F2263" s="524" t="s">
        <v>1183</v>
      </c>
      <c r="G2263" s="524" t="s">
        <v>769</v>
      </c>
      <c r="H2263" s="527">
        <v>1884.8</v>
      </c>
      <c r="I2263" s="524" t="s">
        <v>1174</v>
      </c>
      <c r="J2263" s="524">
        <f>IF(cmf[[#This Row],[D/C]]="C",cmf[[#This Row],[Valor]],-1*cmf[[#This Row],[Valor]])</f>
        <v>-1884.8</v>
      </c>
      <c r="L2263" s="524" t="s">
        <v>1188</v>
      </c>
      <c r="M2263" s="524" t="s">
        <v>1189</v>
      </c>
      <c r="N2263" s="524" t="s">
        <v>1219</v>
      </c>
      <c r="O2263" s="524" t="s">
        <v>1220</v>
      </c>
      <c r="P2263" s="526">
        <v>46231</v>
      </c>
      <c r="S2263" s="527">
        <v>0</v>
      </c>
    </row>
    <row r="2264" spans="1:19" x14ac:dyDescent="0.2">
      <c r="A2264" s="524">
        <v>71072</v>
      </c>
      <c r="B2264" s="526">
        <v>46231</v>
      </c>
      <c r="C2264" s="524" t="s">
        <v>1148</v>
      </c>
      <c r="D2264" s="524" t="s">
        <v>1186</v>
      </c>
      <c r="E2264" s="524" t="s">
        <v>2531</v>
      </c>
      <c r="F2264" s="524" t="s">
        <v>1183</v>
      </c>
      <c r="G2264" s="524" t="s">
        <v>769</v>
      </c>
      <c r="H2264" s="527">
        <v>1666.45</v>
      </c>
      <c r="I2264" s="524" t="s">
        <v>1174</v>
      </c>
      <c r="J2264" s="524">
        <f>IF(cmf[[#This Row],[D/C]]="C",cmf[[#This Row],[Valor]],-1*cmf[[#This Row],[Valor]])</f>
        <v>-1666.45</v>
      </c>
      <c r="L2264" s="524" t="s">
        <v>1188</v>
      </c>
      <c r="M2264" s="524" t="s">
        <v>1189</v>
      </c>
      <c r="N2264" s="524" t="s">
        <v>1219</v>
      </c>
      <c r="O2264" s="524" t="s">
        <v>1220</v>
      </c>
      <c r="P2264" s="526">
        <v>46231</v>
      </c>
      <c r="S2264" s="527">
        <v>0</v>
      </c>
    </row>
    <row r="2265" spans="1:19" x14ac:dyDescent="0.2">
      <c r="A2265" s="524">
        <v>71073</v>
      </c>
      <c r="B2265" s="526">
        <v>46231</v>
      </c>
      <c r="C2265" s="524" t="s">
        <v>1148</v>
      </c>
      <c r="D2265" s="524" t="s">
        <v>1186</v>
      </c>
      <c r="E2265" s="524" t="s">
        <v>2532</v>
      </c>
      <c r="F2265" s="524" t="s">
        <v>1183</v>
      </c>
      <c r="G2265" s="524" t="s">
        <v>769</v>
      </c>
      <c r="H2265" s="527">
        <v>5063.4399999999996</v>
      </c>
      <c r="I2265" s="524" t="s">
        <v>1174</v>
      </c>
      <c r="J2265" s="524">
        <f>IF(cmf[[#This Row],[D/C]]="C",cmf[[#This Row],[Valor]],-1*cmf[[#This Row],[Valor]])</f>
        <v>-5063.4399999999996</v>
      </c>
      <c r="L2265" s="524" t="s">
        <v>1188</v>
      </c>
      <c r="M2265" s="524" t="s">
        <v>1189</v>
      </c>
      <c r="N2265" s="524" t="s">
        <v>1219</v>
      </c>
      <c r="O2265" s="524" t="s">
        <v>1220</v>
      </c>
      <c r="P2265" s="526">
        <v>46231</v>
      </c>
      <c r="S2265" s="527">
        <v>0</v>
      </c>
    </row>
    <row r="2266" spans="1:19" x14ac:dyDescent="0.2">
      <c r="A2266" s="524">
        <v>71074</v>
      </c>
      <c r="B2266" s="526">
        <v>46231</v>
      </c>
      <c r="C2266" s="524" t="s">
        <v>1148</v>
      </c>
      <c r="D2266" s="524" t="s">
        <v>1186</v>
      </c>
      <c r="E2266" s="524" t="s">
        <v>2533</v>
      </c>
      <c r="F2266" s="524" t="s">
        <v>1183</v>
      </c>
      <c r="G2266" s="524" t="s">
        <v>769</v>
      </c>
      <c r="H2266" s="527">
        <v>319.86</v>
      </c>
      <c r="I2266" s="524" t="s">
        <v>1174</v>
      </c>
      <c r="J2266" s="524">
        <f>IF(cmf[[#This Row],[D/C]]="C",cmf[[#This Row],[Valor]],-1*cmf[[#This Row],[Valor]])</f>
        <v>-319.86</v>
      </c>
      <c r="L2266" s="524" t="s">
        <v>1188</v>
      </c>
      <c r="M2266" s="524" t="s">
        <v>1189</v>
      </c>
      <c r="N2266" s="524" t="s">
        <v>1219</v>
      </c>
      <c r="O2266" s="524" t="s">
        <v>1220</v>
      </c>
      <c r="P2266" s="526">
        <v>46231</v>
      </c>
      <c r="S2266" s="527">
        <v>0</v>
      </c>
    </row>
    <row r="2267" spans="1:19" x14ac:dyDescent="0.2">
      <c r="A2267" s="524">
        <v>71075</v>
      </c>
      <c r="B2267" s="526">
        <v>46231</v>
      </c>
      <c r="C2267" s="524" t="s">
        <v>1148</v>
      </c>
      <c r="D2267" s="524" t="s">
        <v>1186</v>
      </c>
      <c r="E2267" s="524" t="s">
        <v>2534</v>
      </c>
      <c r="F2267" s="524" t="s">
        <v>1183</v>
      </c>
      <c r="G2267" s="524" t="s">
        <v>800</v>
      </c>
      <c r="H2267" s="527">
        <v>586.67999999999995</v>
      </c>
      <c r="I2267" s="524" t="s">
        <v>1174</v>
      </c>
      <c r="J2267" s="524">
        <f>IF(cmf[[#This Row],[D/C]]="C",cmf[[#This Row],[Valor]],-1*cmf[[#This Row],[Valor]])</f>
        <v>-586.67999999999995</v>
      </c>
      <c r="L2267" s="524" t="s">
        <v>1188</v>
      </c>
      <c r="M2267" s="524" t="s">
        <v>1189</v>
      </c>
      <c r="N2267" s="524" t="s">
        <v>1171</v>
      </c>
      <c r="O2267" s="524" t="s">
        <v>1172</v>
      </c>
      <c r="P2267" s="526">
        <v>46231</v>
      </c>
      <c r="S2267" s="527">
        <v>0</v>
      </c>
    </row>
    <row r="2268" spans="1:19" x14ac:dyDescent="0.2">
      <c r="A2268" s="524">
        <v>71076</v>
      </c>
      <c r="B2268" s="526">
        <v>46231</v>
      </c>
      <c r="C2268" s="524" t="s">
        <v>1148</v>
      </c>
      <c r="D2268" s="524" t="s">
        <v>1186</v>
      </c>
      <c r="E2268" s="524" t="s">
        <v>2535</v>
      </c>
      <c r="F2268" s="524" t="s">
        <v>1183</v>
      </c>
      <c r="G2268" s="524" t="s">
        <v>800</v>
      </c>
      <c r="H2268" s="527">
        <v>769.8</v>
      </c>
      <c r="I2268" s="524" t="s">
        <v>1174</v>
      </c>
      <c r="J2268" s="524">
        <f>IF(cmf[[#This Row],[D/C]]="C",cmf[[#This Row],[Valor]],-1*cmf[[#This Row],[Valor]])</f>
        <v>-769.8</v>
      </c>
      <c r="L2268" s="524" t="s">
        <v>1188</v>
      </c>
      <c r="M2268" s="524" t="s">
        <v>1189</v>
      </c>
      <c r="N2268" s="524" t="s">
        <v>1171</v>
      </c>
      <c r="O2268" s="524" t="s">
        <v>1172</v>
      </c>
      <c r="P2268" s="526">
        <v>46231</v>
      </c>
      <c r="S2268" s="527">
        <v>0</v>
      </c>
    </row>
    <row r="2269" spans="1:19" x14ac:dyDescent="0.2">
      <c r="A2269" s="524">
        <v>71077</v>
      </c>
      <c r="B2269" s="526">
        <v>46231</v>
      </c>
      <c r="C2269" s="524" t="s">
        <v>1148</v>
      </c>
      <c r="D2269" s="524" t="s">
        <v>1186</v>
      </c>
      <c r="E2269" s="524" t="s">
        <v>2536</v>
      </c>
      <c r="F2269" s="524" t="s">
        <v>1183</v>
      </c>
      <c r="G2269" s="524" t="s">
        <v>800</v>
      </c>
      <c r="H2269" s="527">
        <v>1639.9</v>
      </c>
      <c r="I2269" s="524" t="s">
        <v>1174</v>
      </c>
      <c r="J2269" s="524">
        <f>IF(cmf[[#This Row],[D/C]]="C",cmf[[#This Row],[Valor]],-1*cmf[[#This Row],[Valor]])</f>
        <v>-1639.9</v>
      </c>
      <c r="L2269" s="524" t="s">
        <v>1188</v>
      </c>
      <c r="M2269" s="524" t="s">
        <v>1189</v>
      </c>
      <c r="N2269" s="524" t="s">
        <v>1171</v>
      </c>
      <c r="O2269" s="524" t="s">
        <v>1172</v>
      </c>
      <c r="P2269" s="526">
        <v>46231</v>
      </c>
      <c r="S2269" s="527">
        <v>0</v>
      </c>
    </row>
    <row r="2270" spans="1:19" x14ac:dyDescent="0.2">
      <c r="A2270" s="524">
        <v>71078</v>
      </c>
      <c r="B2270" s="526">
        <v>46231</v>
      </c>
      <c r="C2270" s="524" t="s">
        <v>1148</v>
      </c>
      <c r="D2270" s="524" t="s">
        <v>1186</v>
      </c>
      <c r="E2270" s="524" t="s">
        <v>2537</v>
      </c>
      <c r="F2270" s="524" t="s">
        <v>1183</v>
      </c>
      <c r="G2270" s="524" t="s">
        <v>800</v>
      </c>
      <c r="H2270" s="527">
        <v>15000</v>
      </c>
      <c r="I2270" s="524" t="s">
        <v>1174</v>
      </c>
      <c r="J2270" s="524">
        <f>IF(cmf[[#This Row],[D/C]]="C",cmf[[#This Row],[Valor]],-1*cmf[[#This Row],[Valor]])</f>
        <v>-15000</v>
      </c>
      <c r="L2270" s="524" t="s">
        <v>1188</v>
      </c>
      <c r="M2270" s="524" t="s">
        <v>1189</v>
      </c>
      <c r="N2270" s="524" t="s">
        <v>1171</v>
      </c>
      <c r="O2270" s="524" t="s">
        <v>1172</v>
      </c>
      <c r="P2270" s="526">
        <v>46231</v>
      </c>
      <c r="S2270" s="527">
        <v>0</v>
      </c>
    </row>
    <row r="2271" spans="1:19" x14ac:dyDescent="0.2">
      <c r="A2271" s="524">
        <v>71079</v>
      </c>
      <c r="B2271" s="526">
        <v>46231</v>
      </c>
      <c r="C2271" s="524" t="s">
        <v>1148</v>
      </c>
      <c r="D2271" s="524" t="s">
        <v>1186</v>
      </c>
      <c r="E2271" s="524" t="s">
        <v>2538</v>
      </c>
      <c r="F2271" s="524" t="s">
        <v>1183</v>
      </c>
      <c r="G2271" s="524" t="s">
        <v>800</v>
      </c>
      <c r="H2271" s="527">
        <v>340</v>
      </c>
      <c r="I2271" s="524" t="s">
        <v>1174</v>
      </c>
      <c r="J2271" s="524">
        <f>IF(cmf[[#This Row],[D/C]]="C",cmf[[#This Row],[Valor]],-1*cmf[[#This Row],[Valor]])</f>
        <v>-340</v>
      </c>
      <c r="L2271" s="524" t="s">
        <v>1188</v>
      </c>
      <c r="M2271" s="524" t="s">
        <v>1189</v>
      </c>
      <c r="N2271" s="524" t="s">
        <v>1171</v>
      </c>
      <c r="O2271" s="524" t="s">
        <v>1172</v>
      </c>
      <c r="P2271" s="526">
        <v>46231</v>
      </c>
      <c r="S2271" s="527">
        <v>0</v>
      </c>
    </row>
    <row r="2272" spans="1:19" x14ac:dyDescent="0.2">
      <c r="A2272" s="524">
        <v>71080</v>
      </c>
      <c r="B2272" s="526">
        <v>46231</v>
      </c>
      <c r="C2272" s="524" t="s">
        <v>1148</v>
      </c>
      <c r="D2272" s="524" t="s">
        <v>1186</v>
      </c>
      <c r="E2272" s="524" t="s">
        <v>2539</v>
      </c>
      <c r="F2272" s="524" t="s">
        <v>1183</v>
      </c>
      <c r="G2272" s="524" t="s">
        <v>800</v>
      </c>
      <c r="H2272" s="527">
        <v>4080</v>
      </c>
      <c r="I2272" s="524" t="s">
        <v>1174</v>
      </c>
      <c r="J2272" s="524">
        <f>IF(cmf[[#This Row],[D/C]]="C",cmf[[#This Row],[Valor]],-1*cmf[[#This Row],[Valor]])</f>
        <v>-4080</v>
      </c>
      <c r="L2272" s="524" t="s">
        <v>1188</v>
      </c>
      <c r="M2272" s="524" t="s">
        <v>1189</v>
      </c>
      <c r="N2272" s="524" t="s">
        <v>1171</v>
      </c>
      <c r="O2272" s="524" t="s">
        <v>1172</v>
      </c>
      <c r="P2272" s="526">
        <v>46231</v>
      </c>
      <c r="S2272" s="527">
        <v>0</v>
      </c>
    </row>
    <row r="2273" spans="1:19" x14ac:dyDescent="0.2">
      <c r="A2273" s="524">
        <v>71081</v>
      </c>
      <c r="B2273" s="526">
        <v>46231</v>
      </c>
      <c r="C2273" s="524" t="s">
        <v>1148</v>
      </c>
      <c r="D2273" s="524" t="s">
        <v>1186</v>
      </c>
      <c r="E2273" s="524" t="s">
        <v>2540</v>
      </c>
      <c r="F2273" s="524" t="s">
        <v>1183</v>
      </c>
      <c r="G2273" s="524" t="s">
        <v>800</v>
      </c>
      <c r="H2273" s="527">
        <v>1200</v>
      </c>
      <c r="I2273" s="524" t="s">
        <v>1174</v>
      </c>
      <c r="J2273" s="524">
        <f>IF(cmf[[#This Row],[D/C]]="C",cmf[[#This Row],[Valor]],-1*cmf[[#This Row],[Valor]])</f>
        <v>-1200</v>
      </c>
      <c r="L2273" s="524" t="s">
        <v>1188</v>
      </c>
      <c r="M2273" s="524" t="s">
        <v>1189</v>
      </c>
      <c r="N2273" s="524" t="s">
        <v>1171</v>
      </c>
      <c r="O2273" s="524" t="s">
        <v>1172</v>
      </c>
      <c r="P2273" s="526">
        <v>46231</v>
      </c>
      <c r="S2273" s="527">
        <v>0</v>
      </c>
    </row>
    <row r="2274" spans="1:19" x14ac:dyDescent="0.2">
      <c r="A2274" s="524">
        <v>71082</v>
      </c>
      <c r="B2274" s="526">
        <v>46231</v>
      </c>
      <c r="C2274" s="524" t="s">
        <v>1148</v>
      </c>
      <c r="D2274" s="524" t="s">
        <v>1186</v>
      </c>
      <c r="E2274" s="524" t="s">
        <v>2541</v>
      </c>
      <c r="F2274" s="524" t="s">
        <v>1183</v>
      </c>
      <c r="G2274" s="524" t="s">
        <v>800</v>
      </c>
      <c r="H2274" s="527">
        <v>251.6</v>
      </c>
      <c r="I2274" s="524" t="s">
        <v>1174</v>
      </c>
      <c r="J2274" s="524">
        <f>IF(cmf[[#This Row],[D/C]]="C",cmf[[#This Row],[Valor]],-1*cmf[[#This Row],[Valor]])</f>
        <v>-251.6</v>
      </c>
      <c r="L2274" s="524" t="s">
        <v>1188</v>
      </c>
      <c r="M2274" s="524" t="s">
        <v>1189</v>
      </c>
      <c r="N2274" s="524" t="s">
        <v>1171</v>
      </c>
      <c r="O2274" s="524" t="s">
        <v>1172</v>
      </c>
      <c r="P2274" s="526">
        <v>46231</v>
      </c>
      <c r="S2274" s="527">
        <v>0</v>
      </c>
    </row>
    <row r="2275" spans="1:19" x14ac:dyDescent="0.2">
      <c r="A2275" s="524">
        <v>71083</v>
      </c>
      <c r="B2275" s="526">
        <v>46231</v>
      </c>
      <c r="C2275" s="524" t="s">
        <v>1162</v>
      </c>
      <c r="D2275" s="524" t="s">
        <v>1186</v>
      </c>
      <c r="E2275" s="524" t="s">
        <v>2542</v>
      </c>
      <c r="F2275" s="524" t="s">
        <v>1576</v>
      </c>
      <c r="G2275" s="524" t="s">
        <v>1577</v>
      </c>
      <c r="H2275" s="527">
        <v>168.01</v>
      </c>
      <c r="I2275" s="524" t="s">
        <v>1174</v>
      </c>
      <c r="J2275" s="524">
        <f>IF(cmf[[#This Row],[D/C]]="C",cmf[[#This Row],[Valor]],-1*cmf[[#This Row],[Valor]])</f>
        <v>-168.01</v>
      </c>
      <c r="L2275" s="524" t="s">
        <v>1188</v>
      </c>
      <c r="M2275" s="524" t="s">
        <v>1189</v>
      </c>
      <c r="N2275" s="524" t="s">
        <v>1578</v>
      </c>
      <c r="O2275" s="524" t="s">
        <v>1579</v>
      </c>
      <c r="P2275" s="526"/>
      <c r="S2275" s="527">
        <v>0</v>
      </c>
    </row>
    <row r="2276" spans="1:19" x14ac:dyDescent="0.2">
      <c r="A2276" s="524">
        <v>71087</v>
      </c>
      <c r="B2276" s="526">
        <v>46231</v>
      </c>
      <c r="C2276" s="524" t="s">
        <v>1148</v>
      </c>
      <c r="D2276" s="524" t="s">
        <v>1186</v>
      </c>
      <c r="E2276" s="524" t="s">
        <v>2543</v>
      </c>
      <c r="F2276" s="524" t="s">
        <v>1183</v>
      </c>
      <c r="G2276" s="524" t="s">
        <v>800</v>
      </c>
      <c r="H2276" s="527">
        <v>435.73</v>
      </c>
      <c r="I2276" s="524" t="s">
        <v>1174</v>
      </c>
      <c r="J2276" s="524">
        <f>IF(cmf[[#This Row],[D/C]]="C",cmf[[#This Row],[Valor]],-1*cmf[[#This Row],[Valor]])</f>
        <v>-435.73</v>
      </c>
      <c r="L2276" s="524" t="s">
        <v>1188</v>
      </c>
      <c r="M2276" s="524" t="s">
        <v>1189</v>
      </c>
      <c r="N2276" s="524" t="s">
        <v>1171</v>
      </c>
      <c r="O2276" s="524" t="s">
        <v>1172</v>
      </c>
      <c r="P2276" s="526">
        <v>46231</v>
      </c>
      <c r="S2276" s="527">
        <v>0</v>
      </c>
    </row>
    <row r="2277" spans="1:19" x14ac:dyDescent="0.2">
      <c r="A2277" s="524">
        <v>71103</v>
      </c>
      <c r="B2277" s="526">
        <v>46231</v>
      </c>
      <c r="C2277" s="524" t="s">
        <v>1148</v>
      </c>
      <c r="D2277" s="524" t="s">
        <v>1226</v>
      </c>
      <c r="E2277" s="524" t="s">
        <v>2544</v>
      </c>
      <c r="F2277" s="524" t="s">
        <v>1170</v>
      </c>
      <c r="G2277" s="524" t="s">
        <v>768</v>
      </c>
      <c r="H2277" s="527">
        <v>8408</v>
      </c>
      <c r="I2277" s="524" t="s">
        <v>1148</v>
      </c>
      <c r="J2277" s="524">
        <f>IF(cmf[[#This Row],[D/C]]="C",cmf[[#This Row],[Valor]],-1*cmf[[#This Row],[Valor]])</f>
        <v>8408</v>
      </c>
      <c r="L2277" s="524" t="s">
        <v>1230</v>
      </c>
      <c r="M2277" s="524" t="s">
        <v>1231</v>
      </c>
      <c r="N2277" s="524" t="s">
        <v>1219</v>
      </c>
      <c r="O2277" s="524" t="s">
        <v>1220</v>
      </c>
      <c r="P2277" s="526">
        <v>46231</v>
      </c>
      <c r="S2277" s="527">
        <v>0</v>
      </c>
    </row>
    <row r="2278" spans="1:19" x14ac:dyDescent="0.2">
      <c r="A2278" s="524">
        <v>71104</v>
      </c>
      <c r="B2278" s="526">
        <v>46231</v>
      </c>
      <c r="C2278" s="524" t="s">
        <v>1148</v>
      </c>
      <c r="D2278" s="524" t="s">
        <v>1186</v>
      </c>
      <c r="E2278" s="524" t="s">
        <v>2545</v>
      </c>
      <c r="F2278" s="524" t="s">
        <v>1183</v>
      </c>
      <c r="G2278" s="524" t="s">
        <v>752</v>
      </c>
      <c r="H2278" s="527">
        <v>10000</v>
      </c>
      <c r="I2278" s="524" t="s">
        <v>1174</v>
      </c>
      <c r="J2278" s="524">
        <f>IF(cmf[[#This Row],[D/C]]="C",cmf[[#This Row],[Valor]],-1*cmf[[#This Row],[Valor]])</f>
        <v>-10000</v>
      </c>
      <c r="L2278" s="524" t="s">
        <v>1188</v>
      </c>
      <c r="M2278" s="524" t="s">
        <v>1189</v>
      </c>
      <c r="N2278" s="524" t="s">
        <v>1601</v>
      </c>
      <c r="O2278" s="524" t="s">
        <v>1602</v>
      </c>
      <c r="P2278" s="526">
        <v>46231</v>
      </c>
      <c r="S2278" s="527">
        <v>0</v>
      </c>
    </row>
    <row r="2279" spans="1:19" x14ac:dyDescent="0.2">
      <c r="A2279" s="524">
        <v>71145</v>
      </c>
      <c r="B2279" s="526">
        <v>46231</v>
      </c>
      <c r="C2279" s="524" t="s">
        <v>1162</v>
      </c>
      <c r="D2279" s="524" t="s">
        <v>1205</v>
      </c>
      <c r="E2279" s="524" t="s">
        <v>1206</v>
      </c>
      <c r="F2279" s="524" t="s">
        <v>1170</v>
      </c>
      <c r="G2279" s="524" t="s">
        <v>781</v>
      </c>
      <c r="H2279" s="527">
        <v>2200</v>
      </c>
      <c r="I2279" s="524" t="s">
        <v>1174</v>
      </c>
      <c r="J2279" s="524">
        <f>IF(cmf[[#This Row],[D/C]]="C",cmf[[#This Row],[Valor]],-1*cmf[[#This Row],[Valor]])</f>
        <v>-2200</v>
      </c>
      <c r="L2279" s="524" t="s">
        <v>1207</v>
      </c>
      <c r="M2279" s="524" t="s">
        <v>1208</v>
      </c>
      <c r="N2279" s="524" t="s">
        <v>1209</v>
      </c>
      <c r="O2279" s="524" t="s">
        <v>1210</v>
      </c>
      <c r="P2279" s="526"/>
      <c r="S2279" s="527">
        <v>0</v>
      </c>
    </row>
    <row r="2280" spans="1:19" x14ac:dyDescent="0.2">
      <c r="A2280" s="524">
        <v>71146</v>
      </c>
      <c r="B2280" s="526">
        <v>46231</v>
      </c>
      <c r="C2280" s="524" t="s">
        <v>1162</v>
      </c>
      <c r="D2280" s="524" t="s">
        <v>1205</v>
      </c>
      <c r="E2280" s="524" t="s">
        <v>1211</v>
      </c>
      <c r="F2280" s="524" t="s">
        <v>1183</v>
      </c>
      <c r="G2280" s="524" t="s">
        <v>776</v>
      </c>
      <c r="H2280" s="527">
        <v>2200</v>
      </c>
      <c r="I2280" s="524" t="s">
        <v>1148</v>
      </c>
      <c r="J2280" s="524">
        <f>IF(cmf[[#This Row],[D/C]]="C",cmf[[#This Row],[Valor]],-1*cmf[[#This Row],[Valor]])</f>
        <v>2200</v>
      </c>
      <c r="L2280" s="524" t="s">
        <v>1207</v>
      </c>
      <c r="M2280" s="524" t="s">
        <v>1208</v>
      </c>
      <c r="N2280" s="524" t="s">
        <v>1212</v>
      </c>
      <c r="O2280" s="524" t="s">
        <v>1213</v>
      </c>
      <c r="P2280" s="526"/>
      <c r="S2280" s="527">
        <v>0</v>
      </c>
    </row>
    <row r="2281" spans="1:19" x14ac:dyDescent="0.2">
      <c r="A2281" s="524">
        <v>71147</v>
      </c>
      <c r="B2281" s="526">
        <v>46231</v>
      </c>
      <c r="C2281" s="524" t="s">
        <v>1162</v>
      </c>
      <c r="D2281" s="524" t="s">
        <v>1205</v>
      </c>
      <c r="E2281" s="524" t="s">
        <v>2236</v>
      </c>
      <c r="F2281" s="524" t="s">
        <v>1183</v>
      </c>
      <c r="G2281" s="524" t="s">
        <v>786</v>
      </c>
      <c r="H2281" s="527">
        <v>5000</v>
      </c>
      <c r="I2281" s="524" t="s">
        <v>1174</v>
      </c>
      <c r="J2281" s="524">
        <f>IF(cmf[[#This Row],[D/C]]="C",cmf[[#This Row],[Valor]],-1*cmf[[#This Row],[Valor]])</f>
        <v>-5000</v>
      </c>
      <c r="L2281" s="524" t="s">
        <v>1207</v>
      </c>
      <c r="M2281" s="524" t="s">
        <v>1208</v>
      </c>
      <c r="N2281" s="524" t="s">
        <v>2104</v>
      </c>
      <c r="O2281" s="524" t="s">
        <v>1751</v>
      </c>
      <c r="P2281" s="526"/>
      <c r="S2281" s="527">
        <v>0</v>
      </c>
    </row>
    <row r="2282" spans="1:19" x14ac:dyDescent="0.2">
      <c r="A2282" s="524">
        <v>71148</v>
      </c>
      <c r="B2282" s="526">
        <v>46231</v>
      </c>
      <c r="C2282" s="524" t="s">
        <v>1162</v>
      </c>
      <c r="D2282" s="524" t="s">
        <v>1205</v>
      </c>
      <c r="E2282" s="524" t="s">
        <v>2470</v>
      </c>
      <c r="F2282" s="524" t="s">
        <v>1170</v>
      </c>
      <c r="G2282" s="524" t="s">
        <v>785</v>
      </c>
      <c r="H2282" s="527">
        <v>5000</v>
      </c>
      <c r="I2282" s="524" t="s">
        <v>1148</v>
      </c>
      <c r="J2282" s="524">
        <f>IF(cmf[[#This Row],[D/C]]="C",cmf[[#This Row],[Valor]],-1*cmf[[#This Row],[Valor]])</f>
        <v>5000</v>
      </c>
      <c r="L2282" s="524" t="s">
        <v>1207</v>
      </c>
      <c r="M2282" s="524" t="s">
        <v>1208</v>
      </c>
      <c r="N2282" s="524" t="s">
        <v>2104</v>
      </c>
      <c r="O2282" s="524" t="s">
        <v>1751</v>
      </c>
      <c r="P2282" s="526"/>
      <c r="S2282" s="527">
        <v>0</v>
      </c>
    </row>
    <row r="2283" spans="1:19" x14ac:dyDescent="0.2">
      <c r="A2283" s="524">
        <v>71149</v>
      </c>
      <c r="B2283" s="526">
        <v>46231</v>
      </c>
      <c r="C2283" s="524" t="s">
        <v>1148</v>
      </c>
      <c r="D2283" s="524" t="s">
        <v>1205</v>
      </c>
      <c r="E2283" s="524" t="s">
        <v>1542</v>
      </c>
      <c r="F2283" s="524" t="s">
        <v>1183</v>
      </c>
      <c r="G2283" s="524" t="s">
        <v>806</v>
      </c>
      <c r="H2283" s="527">
        <v>20000</v>
      </c>
      <c r="I2283" s="524" t="s">
        <v>1174</v>
      </c>
      <c r="J2283" s="524">
        <f>IF(cmf[[#This Row],[D/C]]="C",cmf[[#This Row],[Valor]],-1*cmf[[#This Row],[Valor]])</f>
        <v>-20000</v>
      </c>
      <c r="L2283" s="524" t="s">
        <v>1207</v>
      </c>
      <c r="M2283" s="524" t="s">
        <v>1208</v>
      </c>
      <c r="N2283" s="524" t="s">
        <v>1283</v>
      </c>
      <c r="O2283" s="524" t="s">
        <v>1284</v>
      </c>
      <c r="P2283" s="526">
        <v>46231</v>
      </c>
      <c r="S2283" s="527">
        <v>0</v>
      </c>
    </row>
    <row r="2284" spans="1:19" x14ac:dyDescent="0.2">
      <c r="A2284" s="524">
        <v>71150</v>
      </c>
      <c r="B2284" s="526">
        <v>46231</v>
      </c>
      <c r="C2284" s="524" t="s">
        <v>1148</v>
      </c>
      <c r="D2284" s="524" t="s">
        <v>1205</v>
      </c>
      <c r="E2284" s="524" t="s">
        <v>1539</v>
      </c>
      <c r="F2284" s="524" t="s">
        <v>1183</v>
      </c>
      <c r="G2284" s="524" t="s">
        <v>789</v>
      </c>
      <c r="H2284" s="527">
        <v>20000</v>
      </c>
      <c r="I2284" s="524" t="s">
        <v>1148</v>
      </c>
      <c r="J2284" s="524">
        <f>IF(cmf[[#This Row],[D/C]]="C",cmf[[#This Row],[Valor]],-1*cmf[[#This Row],[Valor]])</f>
        <v>20000</v>
      </c>
      <c r="L2284" s="524" t="s">
        <v>1207</v>
      </c>
      <c r="M2284" s="524" t="s">
        <v>1208</v>
      </c>
      <c r="N2284" s="524" t="s">
        <v>1271</v>
      </c>
      <c r="O2284" s="524" t="s">
        <v>1272</v>
      </c>
      <c r="P2284" s="526">
        <v>46231</v>
      </c>
      <c r="S2284" s="527">
        <v>0</v>
      </c>
    </row>
    <row r="2285" spans="1:19" x14ac:dyDescent="0.2">
      <c r="A2285" s="524">
        <v>71151</v>
      </c>
      <c r="B2285" s="526">
        <v>46231</v>
      </c>
      <c r="C2285" s="524" t="s">
        <v>1148</v>
      </c>
      <c r="D2285" s="524" t="s">
        <v>1205</v>
      </c>
      <c r="E2285" s="524" t="s">
        <v>1335</v>
      </c>
      <c r="F2285" s="524" t="s">
        <v>1183</v>
      </c>
      <c r="G2285" s="524" t="s">
        <v>742</v>
      </c>
      <c r="H2285" s="527">
        <v>20000</v>
      </c>
      <c r="I2285" s="524" t="s">
        <v>1174</v>
      </c>
      <c r="J2285" s="524">
        <f>IF(cmf[[#This Row],[D/C]]="C",cmf[[#This Row],[Valor]],-1*cmf[[#This Row],[Valor]])</f>
        <v>-20000</v>
      </c>
      <c r="L2285" s="524" t="s">
        <v>1207</v>
      </c>
      <c r="M2285" s="524" t="s">
        <v>1208</v>
      </c>
      <c r="N2285" s="524" t="s">
        <v>1215</v>
      </c>
      <c r="O2285" s="524" t="s">
        <v>1218</v>
      </c>
      <c r="P2285" s="526">
        <v>46231</v>
      </c>
      <c r="S2285" s="527">
        <v>0</v>
      </c>
    </row>
    <row r="2286" spans="1:19" x14ac:dyDescent="0.2">
      <c r="A2286" s="524">
        <v>71152</v>
      </c>
      <c r="B2286" s="526">
        <v>46231</v>
      </c>
      <c r="C2286" s="524" t="s">
        <v>1148</v>
      </c>
      <c r="D2286" s="524" t="s">
        <v>1205</v>
      </c>
      <c r="E2286" s="524" t="s">
        <v>1217</v>
      </c>
      <c r="F2286" s="524" t="s">
        <v>1183</v>
      </c>
      <c r="G2286" s="524" t="s">
        <v>800</v>
      </c>
      <c r="H2286" s="527">
        <v>20000</v>
      </c>
      <c r="I2286" s="524" t="s">
        <v>1148</v>
      </c>
      <c r="J2286" s="524">
        <f>IF(cmf[[#This Row],[D/C]]="C",cmf[[#This Row],[Valor]],-1*cmf[[#This Row],[Valor]])</f>
        <v>20000</v>
      </c>
      <c r="L2286" s="524" t="s">
        <v>1207</v>
      </c>
      <c r="M2286" s="524" t="s">
        <v>1208</v>
      </c>
      <c r="N2286" s="524" t="s">
        <v>1171</v>
      </c>
      <c r="O2286" s="524" t="s">
        <v>1172</v>
      </c>
      <c r="P2286" s="526">
        <v>46231</v>
      </c>
      <c r="S2286" s="527">
        <v>0</v>
      </c>
    </row>
    <row r="2287" spans="1:19" x14ac:dyDescent="0.2">
      <c r="A2287" s="524">
        <v>71153</v>
      </c>
      <c r="B2287" s="526">
        <v>46231</v>
      </c>
      <c r="C2287" s="524" t="s">
        <v>1148</v>
      </c>
      <c r="D2287" s="524" t="s">
        <v>1205</v>
      </c>
      <c r="E2287" s="524" t="s">
        <v>1337</v>
      </c>
      <c r="F2287" s="524" t="s">
        <v>1183</v>
      </c>
      <c r="G2287" s="524" t="s">
        <v>742</v>
      </c>
      <c r="H2287" s="527">
        <v>5000</v>
      </c>
      <c r="I2287" s="524" t="s">
        <v>1174</v>
      </c>
      <c r="J2287" s="524">
        <f>IF(cmf[[#This Row],[D/C]]="C",cmf[[#This Row],[Valor]],-1*cmf[[#This Row],[Valor]])</f>
        <v>-5000</v>
      </c>
      <c r="L2287" s="524" t="s">
        <v>1207</v>
      </c>
      <c r="M2287" s="524" t="s">
        <v>1208</v>
      </c>
      <c r="N2287" s="524" t="s">
        <v>1215</v>
      </c>
      <c r="O2287" s="524" t="s">
        <v>1218</v>
      </c>
      <c r="P2287" s="526">
        <v>46231</v>
      </c>
      <c r="S2287" s="527">
        <v>0</v>
      </c>
    </row>
    <row r="2288" spans="1:19" x14ac:dyDescent="0.2">
      <c r="A2288" s="524">
        <v>71154</v>
      </c>
      <c r="B2288" s="526">
        <v>46231</v>
      </c>
      <c r="C2288" s="524" t="s">
        <v>1148</v>
      </c>
      <c r="D2288" s="524" t="s">
        <v>1205</v>
      </c>
      <c r="E2288" s="524" t="s">
        <v>1217</v>
      </c>
      <c r="F2288" s="524" t="s">
        <v>1183</v>
      </c>
      <c r="G2288" s="524" t="s">
        <v>803</v>
      </c>
      <c r="H2288" s="527">
        <v>5000</v>
      </c>
      <c r="I2288" s="524" t="s">
        <v>1148</v>
      </c>
      <c r="J2288" s="524">
        <f>IF(cmf[[#This Row],[D/C]]="C",cmf[[#This Row],[Valor]],-1*cmf[[#This Row],[Valor]])</f>
        <v>5000</v>
      </c>
      <c r="L2288" s="524" t="s">
        <v>1207</v>
      </c>
      <c r="M2288" s="524" t="s">
        <v>1208</v>
      </c>
      <c r="N2288" s="524" t="s">
        <v>1192</v>
      </c>
      <c r="O2288" s="524" t="s">
        <v>1193</v>
      </c>
      <c r="P2288" s="526">
        <v>46231</v>
      </c>
      <c r="S2288" s="527">
        <v>0</v>
      </c>
    </row>
    <row r="2289" spans="1:19" x14ac:dyDescent="0.2">
      <c r="A2289" s="524">
        <v>71155</v>
      </c>
      <c r="B2289" s="526">
        <v>46231</v>
      </c>
      <c r="C2289" s="524" t="s">
        <v>1148</v>
      </c>
      <c r="D2289" s="524" t="s">
        <v>1205</v>
      </c>
      <c r="E2289" s="524" t="s">
        <v>2546</v>
      </c>
      <c r="F2289" s="524" t="s">
        <v>1183</v>
      </c>
      <c r="G2289" s="524" t="s">
        <v>742</v>
      </c>
      <c r="H2289" s="527">
        <v>10000</v>
      </c>
      <c r="I2289" s="524" t="s">
        <v>1174</v>
      </c>
      <c r="J2289" s="524">
        <f>IF(cmf[[#This Row],[D/C]]="C",cmf[[#This Row],[Valor]],-1*cmf[[#This Row],[Valor]])</f>
        <v>-10000</v>
      </c>
      <c r="L2289" s="524" t="s">
        <v>1207</v>
      </c>
      <c r="M2289" s="524" t="s">
        <v>1208</v>
      </c>
      <c r="N2289" s="524" t="s">
        <v>1215</v>
      </c>
      <c r="O2289" s="524" t="s">
        <v>1218</v>
      </c>
      <c r="P2289" s="526">
        <v>46231</v>
      </c>
      <c r="S2289" s="527">
        <v>0</v>
      </c>
    </row>
    <row r="2290" spans="1:19" x14ac:dyDescent="0.2">
      <c r="A2290" s="524">
        <v>71156</v>
      </c>
      <c r="B2290" s="526">
        <v>46231</v>
      </c>
      <c r="C2290" s="524" t="s">
        <v>1148</v>
      </c>
      <c r="D2290" s="524" t="s">
        <v>1205</v>
      </c>
      <c r="E2290" s="524" t="s">
        <v>1217</v>
      </c>
      <c r="F2290" s="524" t="s">
        <v>1183</v>
      </c>
      <c r="G2290" s="524" t="s">
        <v>752</v>
      </c>
      <c r="H2290" s="527">
        <v>10000</v>
      </c>
      <c r="I2290" s="524" t="s">
        <v>1148</v>
      </c>
      <c r="J2290" s="524">
        <f>IF(cmf[[#This Row],[D/C]]="C",cmf[[#This Row],[Valor]],-1*cmf[[#This Row],[Valor]])</f>
        <v>10000</v>
      </c>
      <c r="L2290" s="524" t="s">
        <v>1207</v>
      </c>
      <c r="M2290" s="524" t="s">
        <v>1208</v>
      </c>
      <c r="N2290" s="524" t="s">
        <v>1601</v>
      </c>
      <c r="O2290" s="524" t="s">
        <v>1602</v>
      </c>
      <c r="P2290" s="526">
        <v>46231</v>
      </c>
      <c r="S2290" s="527">
        <v>0</v>
      </c>
    </row>
    <row r="2291" spans="1:19" x14ac:dyDescent="0.2">
      <c r="A2291" s="524">
        <v>71172</v>
      </c>
      <c r="B2291" s="526">
        <v>46231</v>
      </c>
      <c r="C2291" s="524" t="s">
        <v>1162</v>
      </c>
      <c r="D2291" s="524" t="s">
        <v>1163</v>
      </c>
      <c r="E2291" s="524" t="s">
        <v>1173</v>
      </c>
      <c r="F2291" s="524" t="s">
        <v>1111</v>
      </c>
      <c r="G2291" s="524" t="s">
        <v>1110</v>
      </c>
      <c r="H2291" s="527">
        <v>2</v>
      </c>
      <c r="I2291" s="524" t="s">
        <v>1174</v>
      </c>
      <c r="J2291" s="524">
        <f>IF(cmf[[#This Row],[D/C]]="C",cmf[[#This Row],[Valor]],-1*cmf[[#This Row],[Valor]])</f>
        <v>-2</v>
      </c>
      <c r="L2291" s="524" t="s">
        <v>1175</v>
      </c>
      <c r="M2291" s="524" t="s">
        <v>1176</v>
      </c>
      <c r="N2291" s="524" t="s">
        <v>1219</v>
      </c>
      <c r="O2291" s="524" t="s">
        <v>1220</v>
      </c>
      <c r="P2291" s="526"/>
      <c r="S2291" s="527">
        <v>0</v>
      </c>
    </row>
    <row r="2292" spans="1:19" x14ac:dyDescent="0.2">
      <c r="A2292" s="524">
        <v>71194</v>
      </c>
      <c r="B2292" s="526">
        <v>46231</v>
      </c>
      <c r="C2292" s="524" t="s">
        <v>1148</v>
      </c>
      <c r="D2292" s="524" t="s">
        <v>1239</v>
      </c>
      <c r="E2292" s="524" t="s">
        <v>1741</v>
      </c>
      <c r="F2292" s="524" t="s">
        <v>1170</v>
      </c>
      <c r="G2292" s="524" t="s">
        <v>768</v>
      </c>
      <c r="H2292" s="527">
        <v>74.83</v>
      </c>
      <c r="I2292" s="524" t="s">
        <v>1174</v>
      </c>
      <c r="J2292" s="524">
        <f>IF(cmf[[#This Row],[D/C]]="C",cmf[[#This Row],[Valor]],-1*cmf[[#This Row],[Valor]])</f>
        <v>-74.83</v>
      </c>
      <c r="L2292" s="524" t="s">
        <v>1241</v>
      </c>
      <c r="M2292" s="524" t="s">
        <v>1242</v>
      </c>
      <c r="N2292" s="524" t="s">
        <v>1219</v>
      </c>
      <c r="O2292" s="524" t="s">
        <v>1220</v>
      </c>
      <c r="P2292" s="526">
        <v>46231</v>
      </c>
      <c r="S2292" s="527">
        <v>0</v>
      </c>
    </row>
    <row r="2293" spans="1:19" x14ac:dyDescent="0.2">
      <c r="A2293" s="524">
        <v>71199</v>
      </c>
      <c r="B2293" s="526">
        <v>46231</v>
      </c>
      <c r="C2293" s="524" t="s">
        <v>1148</v>
      </c>
      <c r="D2293" s="524" t="s">
        <v>1226</v>
      </c>
      <c r="E2293" s="524" t="s">
        <v>2547</v>
      </c>
      <c r="F2293" s="524" t="s">
        <v>1170</v>
      </c>
      <c r="G2293" s="524" t="s">
        <v>1102</v>
      </c>
      <c r="H2293" s="527">
        <v>1872.56</v>
      </c>
      <c r="I2293" s="524" t="s">
        <v>1148</v>
      </c>
      <c r="J2293" s="524">
        <f>IF(cmf[[#This Row],[D/C]]="C",cmf[[#This Row],[Valor]],-1*cmf[[#This Row],[Valor]])</f>
        <v>1872.56</v>
      </c>
      <c r="L2293" s="524" t="s">
        <v>1230</v>
      </c>
      <c r="M2293" s="524" t="s">
        <v>1231</v>
      </c>
      <c r="N2293" s="524" t="s">
        <v>1192</v>
      </c>
      <c r="O2293" s="524" t="s">
        <v>1193</v>
      </c>
      <c r="P2293" s="526">
        <v>46231</v>
      </c>
      <c r="S2293" s="527">
        <v>0</v>
      </c>
    </row>
    <row r="2294" spans="1:19" x14ac:dyDescent="0.2">
      <c r="A2294" s="524">
        <v>71201</v>
      </c>
      <c r="B2294" s="526">
        <v>46231</v>
      </c>
      <c r="C2294" s="524" t="s">
        <v>1148</v>
      </c>
      <c r="D2294" s="524" t="s">
        <v>1226</v>
      </c>
      <c r="E2294" s="524" t="s">
        <v>2548</v>
      </c>
      <c r="F2294" s="524" t="s">
        <v>1170</v>
      </c>
      <c r="G2294" s="524" t="s">
        <v>1102</v>
      </c>
      <c r="H2294" s="527">
        <v>774.22</v>
      </c>
      <c r="I2294" s="524" t="s">
        <v>1148</v>
      </c>
      <c r="J2294" s="524">
        <f>IF(cmf[[#This Row],[D/C]]="C",cmf[[#This Row],[Valor]],-1*cmf[[#This Row],[Valor]])</f>
        <v>774.22</v>
      </c>
      <c r="L2294" s="524" t="s">
        <v>1230</v>
      </c>
      <c r="M2294" s="524" t="s">
        <v>1231</v>
      </c>
      <c r="N2294" s="524" t="s">
        <v>1192</v>
      </c>
      <c r="O2294" s="524" t="s">
        <v>1193</v>
      </c>
      <c r="P2294" s="526">
        <v>46231</v>
      </c>
      <c r="S2294" s="527">
        <v>0</v>
      </c>
    </row>
    <row r="2295" spans="1:19" x14ac:dyDescent="0.2">
      <c r="A2295" s="524">
        <v>71204</v>
      </c>
      <c r="B2295" s="526">
        <v>46231</v>
      </c>
      <c r="C2295" s="524" t="s">
        <v>1148</v>
      </c>
      <c r="D2295" s="524" t="s">
        <v>1226</v>
      </c>
      <c r="E2295" s="524" t="s">
        <v>2549</v>
      </c>
      <c r="F2295" s="524" t="s">
        <v>1170</v>
      </c>
      <c r="G2295" s="524" t="s">
        <v>1102</v>
      </c>
      <c r="H2295" s="527">
        <v>807.2</v>
      </c>
      <c r="I2295" s="524" t="s">
        <v>1148</v>
      </c>
      <c r="J2295" s="524">
        <f>IF(cmf[[#This Row],[D/C]]="C",cmf[[#This Row],[Valor]],-1*cmf[[#This Row],[Valor]])</f>
        <v>807.2</v>
      </c>
      <c r="L2295" s="524" t="s">
        <v>1230</v>
      </c>
      <c r="M2295" s="524" t="s">
        <v>1231</v>
      </c>
      <c r="N2295" s="524" t="s">
        <v>1192</v>
      </c>
      <c r="O2295" s="524" t="s">
        <v>1193</v>
      </c>
      <c r="P2295" s="526">
        <v>46231</v>
      </c>
      <c r="S2295" s="527">
        <v>0</v>
      </c>
    </row>
    <row r="2296" spans="1:19" x14ac:dyDescent="0.2">
      <c r="A2296" s="524">
        <v>71207</v>
      </c>
      <c r="B2296" s="526">
        <v>46231</v>
      </c>
      <c r="C2296" s="524" t="s">
        <v>1148</v>
      </c>
      <c r="D2296" s="524" t="s">
        <v>1226</v>
      </c>
      <c r="E2296" s="524" t="s">
        <v>2550</v>
      </c>
      <c r="F2296" s="524" t="s">
        <v>1170</v>
      </c>
      <c r="G2296" s="524" t="s">
        <v>1102</v>
      </c>
      <c r="H2296" s="527">
        <v>574.55999999999995</v>
      </c>
      <c r="I2296" s="524" t="s">
        <v>1148</v>
      </c>
      <c r="J2296" s="524">
        <f>IF(cmf[[#This Row],[D/C]]="C",cmf[[#This Row],[Valor]],-1*cmf[[#This Row],[Valor]])</f>
        <v>574.55999999999995</v>
      </c>
      <c r="L2296" s="524" t="s">
        <v>1230</v>
      </c>
      <c r="M2296" s="524" t="s">
        <v>1231</v>
      </c>
      <c r="N2296" s="524" t="s">
        <v>1192</v>
      </c>
      <c r="O2296" s="524" t="s">
        <v>1193</v>
      </c>
      <c r="P2296" s="526">
        <v>46231</v>
      </c>
      <c r="S2296" s="527">
        <v>0</v>
      </c>
    </row>
    <row r="2297" spans="1:19" x14ac:dyDescent="0.2">
      <c r="A2297" s="524">
        <v>71208</v>
      </c>
      <c r="B2297" s="526">
        <v>46231</v>
      </c>
      <c r="C2297" s="524" t="s">
        <v>1148</v>
      </c>
      <c r="D2297" s="524" t="s">
        <v>1226</v>
      </c>
      <c r="E2297" s="524" t="s">
        <v>2551</v>
      </c>
      <c r="F2297" s="524" t="s">
        <v>1170</v>
      </c>
      <c r="G2297" s="524" t="s">
        <v>1102</v>
      </c>
      <c r="H2297" s="527">
        <v>717</v>
      </c>
      <c r="I2297" s="524" t="s">
        <v>1148</v>
      </c>
      <c r="J2297" s="524">
        <f>IF(cmf[[#This Row],[D/C]]="C",cmf[[#This Row],[Valor]],-1*cmf[[#This Row],[Valor]])</f>
        <v>717</v>
      </c>
      <c r="L2297" s="524" t="s">
        <v>1230</v>
      </c>
      <c r="M2297" s="524" t="s">
        <v>1231</v>
      </c>
      <c r="N2297" s="524" t="s">
        <v>1192</v>
      </c>
      <c r="O2297" s="524" t="s">
        <v>1193</v>
      </c>
      <c r="P2297" s="526">
        <v>46231</v>
      </c>
      <c r="S2297" s="527">
        <v>0</v>
      </c>
    </row>
    <row r="2298" spans="1:19" x14ac:dyDescent="0.2">
      <c r="A2298" s="524">
        <v>71210</v>
      </c>
      <c r="B2298" s="526">
        <v>46231</v>
      </c>
      <c r="C2298" s="524" t="s">
        <v>1148</v>
      </c>
      <c r="D2298" s="524" t="s">
        <v>1226</v>
      </c>
      <c r="E2298" s="524" t="s">
        <v>2552</v>
      </c>
      <c r="F2298" s="524" t="s">
        <v>1170</v>
      </c>
      <c r="G2298" s="524" t="s">
        <v>1102</v>
      </c>
      <c r="H2298" s="527">
        <v>1758.36</v>
      </c>
      <c r="I2298" s="524" t="s">
        <v>1148</v>
      </c>
      <c r="J2298" s="524">
        <f>IF(cmf[[#This Row],[D/C]]="C",cmf[[#This Row],[Valor]],-1*cmf[[#This Row],[Valor]])</f>
        <v>1758.36</v>
      </c>
      <c r="L2298" s="524" t="s">
        <v>1230</v>
      </c>
      <c r="M2298" s="524" t="s">
        <v>1231</v>
      </c>
      <c r="N2298" s="524" t="s">
        <v>1192</v>
      </c>
      <c r="O2298" s="524" t="s">
        <v>1193</v>
      </c>
      <c r="P2298" s="526">
        <v>46231</v>
      </c>
      <c r="S2298" s="527">
        <v>0</v>
      </c>
    </row>
    <row r="2299" spans="1:19" x14ac:dyDescent="0.2">
      <c r="A2299" s="524">
        <v>71211</v>
      </c>
      <c r="B2299" s="526">
        <v>46231</v>
      </c>
      <c r="C2299" s="524" t="s">
        <v>1148</v>
      </c>
      <c r="D2299" s="524" t="s">
        <v>1226</v>
      </c>
      <c r="E2299" s="524" t="s">
        <v>2553</v>
      </c>
      <c r="F2299" s="524" t="s">
        <v>1170</v>
      </c>
      <c r="G2299" s="524" t="s">
        <v>1102</v>
      </c>
      <c r="H2299" s="527">
        <v>220.32</v>
      </c>
      <c r="I2299" s="524" t="s">
        <v>1148</v>
      </c>
      <c r="J2299" s="524">
        <f>IF(cmf[[#This Row],[D/C]]="C",cmf[[#This Row],[Valor]],-1*cmf[[#This Row],[Valor]])</f>
        <v>220.32</v>
      </c>
      <c r="L2299" s="524" t="s">
        <v>1230</v>
      </c>
      <c r="M2299" s="524" t="s">
        <v>1231</v>
      </c>
      <c r="N2299" s="524" t="s">
        <v>1192</v>
      </c>
      <c r="O2299" s="524" t="s">
        <v>1193</v>
      </c>
      <c r="P2299" s="526">
        <v>46231</v>
      </c>
      <c r="S2299" s="527">
        <v>0</v>
      </c>
    </row>
    <row r="2300" spans="1:19" x14ac:dyDescent="0.2">
      <c r="A2300" s="524">
        <v>71213</v>
      </c>
      <c r="B2300" s="526">
        <v>46231</v>
      </c>
      <c r="C2300" s="524" t="s">
        <v>1148</v>
      </c>
      <c r="D2300" s="524" t="s">
        <v>1226</v>
      </c>
      <c r="E2300" s="524" t="s">
        <v>2554</v>
      </c>
      <c r="F2300" s="524" t="s">
        <v>1170</v>
      </c>
      <c r="G2300" s="524" t="s">
        <v>1102</v>
      </c>
      <c r="H2300" s="527">
        <v>1369.56</v>
      </c>
      <c r="I2300" s="524" t="s">
        <v>1148</v>
      </c>
      <c r="J2300" s="524">
        <f>IF(cmf[[#This Row],[D/C]]="C",cmf[[#This Row],[Valor]],-1*cmf[[#This Row],[Valor]])</f>
        <v>1369.56</v>
      </c>
      <c r="L2300" s="524" t="s">
        <v>1230</v>
      </c>
      <c r="M2300" s="524" t="s">
        <v>1231</v>
      </c>
      <c r="N2300" s="524" t="s">
        <v>1192</v>
      </c>
      <c r="O2300" s="524" t="s">
        <v>1193</v>
      </c>
      <c r="P2300" s="526">
        <v>46231</v>
      </c>
      <c r="S2300" s="527">
        <v>0</v>
      </c>
    </row>
    <row r="2301" spans="1:19" x14ac:dyDescent="0.2">
      <c r="A2301" s="524">
        <v>71214</v>
      </c>
      <c r="B2301" s="526">
        <v>46231</v>
      </c>
      <c r="C2301" s="524" t="s">
        <v>1148</v>
      </c>
      <c r="D2301" s="524" t="s">
        <v>1226</v>
      </c>
      <c r="E2301" s="524" t="s">
        <v>2555</v>
      </c>
      <c r="F2301" s="524" t="s">
        <v>1170</v>
      </c>
      <c r="G2301" s="524" t="s">
        <v>1102</v>
      </c>
      <c r="H2301" s="527">
        <v>954</v>
      </c>
      <c r="I2301" s="524" t="s">
        <v>1148</v>
      </c>
      <c r="J2301" s="524">
        <f>IF(cmf[[#This Row],[D/C]]="C",cmf[[#This Row],[Valor]],-1*cmf[[#This Row],[Valor]])</f>
        <v>954</v>
      </c>
      <c r="L2301" s="524" t="s">
        <v>1230</v>
      </c>
      <c r="M2301" s="524" t="s">
        <v>1231</v>
      </c>
      <c r="N2301" s="524" t="s">
        <v>1192</v>
      </c>
      <c r="O2301" s="524" t="s">
        <v>1193</v>
      </c>
      <c r="P2301" s="526">
        <v>46231</v>
      </c>
      <c r="S2301" s="527">
        <v>0</v>
      </c>
    </row>
    <row r="2302" spans="1:19" x14ac:dyDescent="0.2">
      <c r="A2302" s="524">
        <v>71215</v>
      </c>
      <c r="B2302" s="526">
        <v>46231</v>
      </c>
      <c r="C2302" s="524" t="s">
        <v>1148</v>
      </c>
      <c r="D2302" s="524" t="s">
        <v>1226</v>
      </c>
      <c r="E2302" s="524" t="s">
        <v>2556</v>
      </c>
      <c r="F2302" s="524" t="s">
        <v>1170</v>
      </c>
      <c r="G2302" s="524" t="s">
        <v>1102</v>
      </c>
      <c r="H2302" s="527">
        <v>4000</v>
      </c>
      <c r="I2302" s="524" t="s">
        <v>1148</v>
      </c>
      <c r="J2302" s="524">
        <f>IF(cmf[[#This Row],[D/C]]="C",cmf[[#This Row],[Valor]],-1*cmf[[#This Row],[Valor]])</f>
        <v>4000</v>
      </c>
      <c r="L2302" s="524" t="s">
        <v>1230</v>
      </c>
      <c r="M2302" s="524" t="s">
        <v>1231</v>
      </c>
      <c r="N2302" s="524" t="s">
        <v>1192</v>
      </c>
      <c r="O2302" s="524" t="s">
        <v>1193</v>
      </c>
      <c r="P2302" s="526">
        <v>46231</v>
      </c>
      <c r="S2302" s="527">
        <v>0</v>
      </c>
    </row>
    <row r="2303" spans="1:19" x14ac:dyDescent="0.2">
      <c r="A2303" s="524">
        <v>71216</v>
      </c>
      <c r="B2303" s="526">
        <v>46231</v>
      </c>
      <c r="C2303" s="524" t="s">
        <v>1148</v>
      </c>
      <c r="D2303" s="524" t="s">
        <v>1226</v>
      </c>
      <c r="E2303" s="524" t="s">
        <v>2557</v>
      </c>
      <c r="F2303" s="524" t="s">
        <v>1170</v>
      </c>
      <c r="G2303" s="524" t="s">
        <v>1102</v>
      </c>
      <c r="H2303" s="527">
        <v>1500</v>
      </c>
      <c r="I2303" s="524" t="s">
        <v>1148</v>
      </c>
      <c r="J2303" s="524">
        <f>IF(cmf[[#This Row],[D/C]]="C",cmf[[#This Row],[Valor]],-1*cmf[[#This Row],[Valor]])</f>
        <v>1500</v>
      </c>
      <c r="L2303" s="524" t="s">
        <v>1230</v>
      </c>
      <c r="M2303" s="524" t="s">
        <v>1231</v>
      </c>
      <c r="N2303" s="524" t="s">
        <v>1192</v>
      </c>
      <c r="O2303" s="524" t="s">
        <v>1193</v>
      </c>
      <c r="P2303" s="526">
        <v>46231</v>
      </c>
      <c r="S2303" s="527">
        <v>0</v>
      </c>
    </row>
    <row r="2304" spans="1:19" x14ac:dyDescent="0.2">
      <c r="A2304" s="524">
        <v>71250</v>
      </c>
      <c r="B2304" s="526">
        <v>46231</v>
      </c>
      <c r="C2304" s="524" t="s">
        <v>1148</v>
      </c>
      <c r="D2304" s="524" t="s">
        <v>1239</v>
      </c>
      <c r="E2304" s="524" t="s">
        <v>1255</v>
      </c>
      <c r="F2304" s="524" t="s">
        <v>1170</v>
      </c>
      <c r="G2304" s="524" t="s">
        <v>738</v>
      </c>
      <c r="H2304" s="527">
        <v>0.4</v>
      </c>
      <c r="I2304" s="524" t="s">
        <v>1174</v>
      </c>
      <c r="J2304" s="524">
        <f>IF(cmf[[#This Row],[D/C]]="C",cmf[[#This Row],[Valor]],-1*cmf[[#This Row],[Valor]])</f>
        <v>-0.4</v>
      </c>
      <c r="L2304" s="524" t="s">
        <v>1241</v>
      </c>
      <c r="M2304" s="524" t="s">
        <v>1242</v>
      </c>
      <c r="N2304" s="524" t="s">
        <v>1215</v>
      </c>
      <c r="O2304" s="524" t="s">
        <v>1218</v>
      </c>
      <c r="P2304" s="526">
        <v>46231</v>
      </c>
      <c r="S2304" s="527">
        <v>0</v>
      </c>
    </row>
    <row r="2305" spans="1:19" x14ac:dyDescent="0.2">
      <c r="A2305" s="524">
        <v>71259</v>
      </c>
      <c r="B2305" s="526">
        <v>46231</v>
      </c>
      <c r="C2305" s="524" t="s">
        <v>1148</v>
      </c>
      <c r="D2305" s="524" t="s">
        <v>1239</v>
      </c>
      <c r="E2305" s="524" t="s">
        <v>1255</v>
      </c>
      <c r="F2305" s="524" t="s">
        <v>1170</v>
      </c>
      <c r="G2305" s="524" t="s">
        <v>749</v>
      </c>
      <c r="H2305" s="527">
        <v>0.8</v>
      </c>
      <c r="I2305" s="524" t="s">
        <v>1174</v>
      </c>
      <c r="J2305" s="524">
        <f>IF(cmf[[#This Row],[D/C]]="C",cmf[[#This Row],[Valor]],-1*cmf[[#This Row],[Valor]])</f>
        <v>-0.8</v>
      </c>
      <c r="L2305" s="524" t="s">
        <v>1241</v>
      </c>
      <c r="M2305" s="524" t="s">
        <v>1242</v>
      </c>
      <c r="N2305" s="524" t="s">
        <v>1256</v>
      </c>
      <c r="O2305" s="524" t="s">
        <v>1257</v>
      </c>
      <c r="P2305" s="526">
        <v>46231</v>
      </c>
      <c r="S2305" s="527">
        <v>0</v>
      </c>
    </row>
    <row r="2306" spans="1:19" x14ac:dyDescent="0.2">
      <c r="A2306" s="524">
        <v>71260</v>
      </c>
      <c r="B2306" s="526">
        <v>46231</v>
      </c>
      <c r="C2306" s="524" t="s">
        <v>1148</v>
      </c>
      <c r="D2306" s="524" t="s">
        <v>1239</v>
      </c>
      <c r="E2306" s="524" t="s">
        <v>1312</v>
      </c>
      <c r="F2306" s="524" t="s">
        <v>1170</v>
      </c>
      <c r="G2306" s="524" t="s">
        <v>749</v>
      </c>
      <c r="H2306" s="527">
        <v>20</v>
      </c>
      <c r="I2306" s="524" t="s">
        <v>1174</v>
      </c>
      <c r="J2306" s="524">
        <f>IF(cmf[[#This Row],[D/C]]="C",cmf[[#This Row],[Valor]],-1*cmf[[#This Row],[Valor]])</f>
        <v>-20</v>
      </c>
      <c r="L2306" s="524" t="s">
        <v>1241</v>
      </c>
      <c r="M2306" s="524" t="s">
        <v>1242</v>
      </c>
      <c r="N2306" s="524" t="s">
        <v>1256</v>
      </c>
      <c r="O2306" s="524" t="s">
        <v>1257</v>
      </c>
      <c r="P2306" s="526">
        <v>46231</v>
      </c>
      <c r="S2306" s="527">
        <v>0</v>
      </c>
    </row>
    <row r="2307" spans="1:19" x14ac:dyDescent="0.2">
      <c r="A2307" s="524">
        <v>71263</v>
      </c>
      <c r="B2307" s="526">
        <v>46231</v>
      </c>
      <c r="C2307" s="524" t="s">
        <v>1148</v>
      </c>
      <c r="D2307" s="524" t="s">
        <v>1226</v>
      </c>
      <c r="E2307" s="524" t="s">
        <v>2558</v>
      </c>
      <c r="F2307" s="524" t="s">
        <v>1183</v>
      </c>
      <c r="G2307" s="524" t="s">
        <v>750</v>
      </c>
      <c r="H2307" s="527">
        <v>113102.98</v>
      </c>
      <c r="I2307" s="524" t="s">
        <v>1148</v>
      </c>
      <c r="J2307" s="524">
        <f>IF(cmf[[#This Row],[D/C]]="C",cmf[[#This Row],[Valor]],-1*cmf[[#This Row],[Valor]])</f>
        <v>113102.98</v>
      </c>
      <c r="L2307" s="524" t="s">
        <v>1230</v>
      </c>
      <c r="M2307" s="524" t="s">
        <v>1231</v>
      </c>
      <c r="N2307" s="524" t="s">
        <v>1256</v>
      </c>
      <c r="O2307" s="524" t="s">
        <v>1257</v>
      </c>
      <c r="P2307" s="526">
        <v>46231</v>
      </c>
      <c r="S2307" s="527">
        <v>0</v>
      </c>
    </row>
    <row r="2308" spans="1:19" x14ac:dyDescent="0.2">
      <c r="A2308" s="524">
        <v>71274</v>
      </c>
      <c r="B2308" s="526">
        <v>46231</v>
      </c>
      <c r="C2308" s="524" t="s">
        <v>1148</v>
      </c>
      <c r="D2308" s="524" t="s">
        <v>1243</v>
      </c>
      <c r="E2308" s="524" t="s">
        <v>1244</v>
      </c>
      <c r="F2308" s="524" t="s">
        <v>1183</v>
      </c>
      <c r="G2308" s="524" t="s">
        <v>769</v>
      </c>
      <c r="H2308" s="527">
        <v>13084.94</v>
      </c>
      <c r="I2308" s="524" t="s">
        <v>1148</v>
      </c>
      <c r="J2308" s="524">
        <f>IF(cmf[[#This Row],[D/C]]="C",cmf[[#This Row],[Valor]],-1*cmf[[#This Row],[Valor]])</f>
        <v>13084.94</v>
      </c>
      <c r="L2308" s="524" t="s">
        <v>1245</v>
      </c>
      <c r="M2308" s="524" t="s">
        <v>1246</v>
      </c>
      <c r="N2308" s="524" t="s">
        <v>1219</v>
      </c>
      <c r="O2308" s="524" t="s">
        <v>1220</v>
      </c>
      <c r="P2308" s="526">
        <v>46231</v>
      </c>
      <c r="S2308" s="527">
        <v>0</v>
      </c>
    </row>
    <row r="2309" spans="1:19" x14ac:dyDescent="0.2">
      <c r="A2309" s="524">
        <v>71275</v>
      </c>
      <c r="B2309" s="526">
        <v>46231</v>
      </c>
      <c r="C2309" s="524" t="s">
        <v>1148</v>
      </c>
      <c r="D2309" s="524" t="s">
        <v>1243</v>
      </c>
      <c r="E2309" s="524" t="s">
        <v>1244</v>
      </c>
      <c r="F2309" s="524" t="s">
        <v>1183</v>
      </c>
      <c r="G2309" s="524" t="s">
        <v>769</v>
      </c>
      <c r="H2309" s="527">
        <v>0.04</v>
      </c>
      <c r="I2309" s="524" t="s">
        <v>1148</v>
      </c>
      <c r="J2309" s="524">
        <f>IF(cmf[[#This Row],[D/C]]="C",cmf[[#This Row],[Valor]],-1*cmf[[#This Row],[Valor]])</f>
        <v>0.04</v>
      </c>
      <c r="L2309" s="524" t="s">
        <v>1245</v>
      </c>
      <c r="M2309" s="524" t="s">
        <v>1246</v>
      </c>
      <c r="N2309" s="524" t="s">
        <v>1219</v>
      </c>
      <c r="O2309" s="524" t="s">
        <v>1220</v>
      </c>
      <c r="P2309" s="526">
        <v>46231</v>
      </c>
      <c r="S2309" s="527">
        <v>0</v>
      </c>
    </row>
    <row r="2310" spans="1:19" x14ac:dyDescent="0.2">
      <c r="A2310" s="524">
        <v>71284</v>
      </c>
      <c r="B2310" s="526">
        <v>46231</v>
      </c>
      <c r="C2310" s="524" t="s">
        <v>1148</v>
      </c>
      <c r="D2310" s="524" t="s">
        <v>1163</v>
      </c>
      <c r="E2310" s="524" t="s">
        <v>1164</v>
      </c>
      <c r="F2310" s="524" t="s">
        <v>1170</v>
      </c>
      <c r="G2310" s="524" t="s">
        <v>799</v>
      </c>
      <c r="H2310" s="527">
        <v>95752.74</v>
      </c>
      <c r="I2310" s="524" t="s">
        <v>1148</v>
      </c>
      <c r="J2310" s="524">
        <f>IF(cmf[[#This Row],[D/C]]="C",cmf[[#This Row],[Valor]],-1*cmf[[#This Row],[Valor]])</f>
        <v>95752.74</v>
      </c>
      <c r="L2310" s="524" t="s">
        <v>1166</v>
      </c>
      <c r="M2310" s="524" t="s">
        <v>1167</v>
      </c>
      <c r="N2310" s="524" t="s">
        <v>1171</v>
      </c>
      <c r="O2310" s="524" t="s">
        <v>1172</v>
      </c>
      <c r="P2310" s="526">
        <v>46231</v>
      </c>
      <c r="S2310" s="527">
        <v>0</v>
      </c>
    </row>
    <row r="2311" spans="1:19" x14ac:dyDescent="0.2">
      <c r="A2311" s="524">
        <v>71285</v>
      </c>
      <c r="B2311" s="526">
        <v>46231</v>
      </c>
      <c r="C2311" s="524" t="s">
        <v>1148</v>
      </c>
      <c r="D2311" s="524" t="s">
        <v>1163</v>
      </c>
      <c r="E2311" s="524" t="s">
        <v>1164</v>
      </c>
      <c r="F2311" s="524" t="s">
        <v>1170</v>
      </c>
      <c r="G2311" s="524" t="s">
        <v>799</v>
      </c>
      <c r="H2311" s="527">
        <v>173577.71</v>
      </c>
      <c r="I2311" s="524" t="s">
        <v>1148</v>
      </c>
      <c r="J2311" s="524">
        <f>IF(cmf[[#This Row],[D/C]]="C",cmf[[#This Row],[Valor]],-1*cmf[[#This Row],[Valor]])</f>
        <v>173577.71</v>
      </c>
      <c r="L2311" s="524" t="s">
        <v>1166</v>
      </c>
      <c r="M2311" s="524" t="s">
        <v>1167</v>
      </c>
      <c r="N2311" s="524" t="s">
        <v>1171</v>
      </c>
      <c r="O2311" s="524" t="s">
        <v>1172</v>
      </c>
      <c r="P2311" s="526">
        <v>46231</v>
      </c>
      <c r="S2311" s="527">
        <v>0</v>
      </c>
    </row>
    <row r="2312" spans="1:19" x14ac:dyDescent="0.2">
      <c r="A2312" s="524">
        <v>71286</v>
      </c>
      <c r="B2312" s="526">
        <v>46231</v>
      </c>
      <c r="C2312" s="524" t="s">
        <v>1148</v>
      </c>
      <c r="D2312" s="524" t="s">
        <v>1239</v>
      </c>
      <c r="E2312" s="524" t="s">
        <v>2559</v>
      </c>
      <c r="F2312" s="524" t="s">
        <v>1170</v>
      </c>
      <c r="G2312" s="524" t="s">
        <v>799</v>
      </c>
      <c r="H2312" s="527">
        <v>1130.26</v>
      </c>
      <c r="I2312" s="524" t="s">
        <v>1148</v>
      </c>
      <c r="J2312" s="524">
        <f>IF(cmf[[#This Row],[D/C]]="C",cmf[[#This Row],[Valor]],-1*cmf[[#This Row],[Valor]])</f>
        <v>1130.26</v>
      </c>
      <c r="L2312" s="524" t="s">
        <v>1264</v>
      </c>
      <c r="M2312" s="524" t="s">
        <v>1265</v>
      </c>
      <c r="N2312" s="524" t="s">
        <v>1171</v>
      </c>
      <c r="O2312" s="524" t="s">
        <v>1172</v>
      </c>
      <c r="P2312" s="526">
        <v>46231</v>
      </c>
      <c r="S2312" s="527">
        <v>0</v>
      </c>
    </row>
    <row r="2313" spans="1:19" x14ac:dyDescent="0.2">
      <c r="A2313" s="524">
        <v>71287</v>
      </c>
      <c r="B2313" s="526">
        <v>46231</v>
      </c>
      <c r="C2313" s="524" t="s">
        <v>1148</v>
      </c>
      <c r="D2313" s="524" t="s">
        <v>1239</v>
      </c>
      <c r="E2313" s="524" t="s">
        <v>2560</v>
      </c>
      <c r="F2313" s="524" t="s">
        <v>1170</v>
      </c>
      <c r="G2313" s="524" t="s">
        <v>799</v>
      </c>
      <c r="H2313" s="527">
        <v>2111.66</v>
      </c>
      <c r="I2313" s="524" t="s">
        <v>1148</v>
      </c>
      <c r="J2313" s="524">
        <f>IF(cmf[[#This Row],[D/C]]="C",cmf[[#This Row],[Valor]],-1*cmf[[#This Row],[Valor]])</f>
        <v>2111.66</v>
      </c>
      <c r="L2313" s="524" t="s">
        <v>1264</v>
      </c>
      <c r="M2313" s="524" t="s">
        <v>1265</v>
      </c>
      <c r="N2313" s="524" t="s">
        <v>1171</v>
      </c>
      <c r="O2313" s="524" t="s">
        <v>1172</v>
      </c>
      <c r="P2313" s="526">
        <v>46231</v>
      </c>
      <c r="S2313" s="527">
        <v>0</v>
      </c>
    </row>
    <row r="2314" spans="1:19" x14ac:dyDescent="0.2">
      <c r="A2314" s="524">
        <v>71298</v>
      </c>
      <c r="B2314" s="526">
        <v>46231</v>
      </c>
      <c r="C2314" s="524" t="s">
        <v>1148</v>
      </c>
      <c r="D2314" s="524" t="s">
        <v>1239</v>
      </c>
      <c r="E2314" s="524" t="s">
        <v>1255</v>
      </c>
      <c r="F2314" s="524" t="s">
        <v>1170</v>
      </c>
      <c r="G2314" s="524" t="s">
        <v>757</v>
      </c>
      <c r="H2314" s="527">
        <v>1</v>
      </c>
      <c r="I2314" s="524" t="s">
        <v>1174</v>
      </c>
      <c r="J2314" s="524">
        <f>IF(cmf[[#This Row],[D/C]]="C",cmf[[#This Row],[Valor]],-1*cmf[[#This Row],[Valor]])</f>
        <v>-1</v>
      </c>
      <c r="L2314" s="524" t="s">
        <v>1241</v>
      </c>
      <c r="M2314" s="524" t="s">
        <v>1242</v>
      </c>
      <c r="N2314" s="524" t="s">
        <v>1223</v>
      </c>
      <c r="O2314" s="524" t="s">
        <v>1224</v>
      </c>
      <c r="P2314" s="526">
        <v>46231</v>
      </c>
      <c r="S2314" s="527">
        <v>0</v>
      </c>
    </row>
    <row r="2315" spans="1:19" x14ac:dyDescent="0.2">
      <c r="A2315" s="524">
        <v>71312</v>
      </c>
      <c r="B2315" s="526">
        <v>46231</v>
      </c>
      <c r="C2315" s="524" t="s">
        <v>1148</v>
      </c>
      <c r="D2315" s="524" t="s">
        <v>1186</v>
      </c>
      <c r="E2315" s="524" t="s">
        <v>2561</v>
      </c>
      <c r="F2315" s="524" t="s">
        <v>1183</v>
      </c>
      <c r="G2315" s="524" t="s">
        <v>745</v>
      </c>
      <c r="H2315" s="527">
        <v>38333.33</v>
      </c>
      <c r="I2315" s="524" t="s">
        <v>1174</v>
      </c>
      <c r="J2315" s="524">
        <f>IF(cmf[[#This Row],[D/C]]="C",cmf[[#This Row],[Valor]],-1*cmf[[#This Row],[Valor]])</f>
        <v>-38333.33</v>
      </c>
      <c r="L2315" s="524" t="s">
        <v>1188</v>
      </c>
      <c r="M2315" s="524" t="s">
        <v>1189</v>
      </c>
      <c r="N2315" s="524" t="s">
        <v>1292</v>
      </c>
      <c r="O2315" s="524" t="s">
        <v>1293</v>
      </c>
      <c r="P2315" s="526">
        <v>46231</v>
      </c>
      <c r="S2315" s="527">
        <v>0</v>
      </c>
    </row>
    <row r="2316" spans="1:19" x14ac:dyDescent="0.2">
      <c r="A2316" s="524">
        <v>71313</v>
      </c>
      <c r="B2316" s="526">
        <v>46231</v>
      </c>
      <c r="C2316" s="524" t="s">
        <v>1162</v>
      </c>
      <c r="D2316" s="524" t="s">
        <v>1239</v>
      </c>
      <c r="E2316" s="524" t="s">
        <v>2562</v>
      </c>
      <c r="F2316" s="524" t="s">
        <v>1170</v>
      </c>
      <c r="G2316" s="524" t="s">
        <v>757</v>
      </c>
      <c r="H2316" s="527">
        <v>262.02</v>
      </c>
      <c r="I2316" s="524" t="s">
        <v>1148</v>
      </c>
      <c r="J2316" s="524">
        <f>IF(cmf[[#This Row],[D/C]]="C",cmf[[#This Row],[Valor]],-1*cmf[[#This Row],[Valor]])</f>
        <v>262.02</v>
      </c>
      <c r="L2316" s="524" t="s">
        <v>1264</v>
      </c>
      <c r="M2316" s="524" t="s">
        <v>1265</v>
      </c>
      <c r="N2316" s="524" t="s">
        <v>1223</v>
      </c>
      <c r="O2316" s="524" t="s">
        <v>1224</v>
      </c>
      <c r="P2316" s="526"/>
      <c r="S2316" s="527">
        <v>0</v>
      </c>
    </row>
    <row r="2317" spans="1:19" x14ac:dyDescent="0.2">
      <c r="A2317" s="524">
        <v>71314</v>
      </c>
      <c r="B2317" s="526">
        <v>46231</v>
      </c>
      <c r="C2317" s="524" t="s">
        <v>1162</v>
      </c>
      <c r="D2317" s="524" t="s">
        <v>1239</v>
      </c>
      <c r="E2317" s="524" t="s">
        <v>2563</v>
      </c>
      <c r="F2317" s="524" t="s">
        <v>1170</v>
      </c>
      <c r="G2317" s="524" t="s">
        <v>757</v>
      </c>
      <c r="H2317" s="527">
        <v>193.68</v>
      </c>
      <c r="I2317" s="524" t="s">
        <v>1148</v>
      </c>
      <c r="J2317" s="524">
        <f>IF(cmf[[#This Row],[D/C]]="C",cmf[[#This Row],[Valor]],-1*cmf[[#This Row],[Valor]])</f>
        <v>193.68</v>
      </c>
      <c r="L2317" s="524" t="s">
        <v>1264</v>
      </c>
      <c r="M2317" s="524" t="s">
        <v>1265</v>
      </c>
      <c r="N2317" s="524" t="s">
        <v>1223</v>
      </c>
      <c r="O2317" s="524" t="s">
        <v>1224</v>
      </c>
      <c r="P2317" s="526"/>
      <c r="S2317" s="527">
        <v>0</v>
      </c>
    </row>
    <row r="2318" spans="1:19" x14ac:dyDescent="0.2">
      <c r="A2318" s="524">
        <v>71315</v>
      </c>
      <c r="B2318" s="526">
        <v>46231</v>
      </c>
      <c r="C2318" s="524" t="s">
        <v>1162</v>
      </c>
      <c r="D2318" s="524" t="s">
        <v>1239</v>
      </c>
      <c r="E2318" s="524" t="s">
        <v>2564</v>
      </c>
      <c r="F2318" s="524" t="s">
        <v>1170</v>
      </c>
      <c r="G2318" s="524" t="s">
        <v>757</v>
      </c>
      <c r="H2318" s="527">
        <v>126.22</v>
      </c>
      <c r="I2318" s="524" t="s">
        <v>1148</v>
      </c>
      <c r="J2318" s="524">
        <f>IF(cmf[[#This Row],[D/C]]="C",cmf[[#This Row],[Valor]],-1*cmf[[#This Row],[Valor]])</f>
        <v>126.22</v>
      </c>
      <c r="L2318" s="524" t="s">
        <v>1264</v>
      </c>
      <c r="M2318" s="524" t="s">
        <v>1265</v>
      </c>
      <c r="N2318" s="524" t="s">
        <v>1223</v>
      </c>
      <c r="O2318" s="524" t="s">
        <v>1224</v>
      </c>
      <c r="P2318" s="526"/>
      <c r="S2318" s="527">
        <v>0</v>
      </c>
    </row>
    <row r="2319" spans="1:19" x14ac:dyDescent="0.2">
      <c r="A2319" s="524">
        <v>71316</v>
      </c>
      <c r="B2319" s="526">
        <v>46231</v>
      </c>
      <c r="C2319" s="524" t="s">
        <v>1162</v>
      </c>
      <c r="D2319" s="524" t="s">
        <v>1239</v>
      </c>
      <c r="E2319" s="524" t="s">
        <v>2565</v>
      </c>
      <c r="F2319" s="524" t="s">
        <v>1170</v>
      </c>
      <c r="G2319" s="524" t="s">
        <v>757</v>
      </c>
      <c r="H2319" s="527">
        <v>126.65</v>
      </c>
      <c r="I2319" s="524" t="s">
        <v>1148</v>
      </c>
      <c r="J2319" s="524">
        <f>IF(cmf[[#This Row],[D/C]]="C",cmf[[#This Row],[Valor]],-1*cmf[[#This Row],[Valor]])</f>
        <v>126.65</v>
      </c>
      <c r="L2319" s="524" t="s">
        <v>1264</v>
      </c>
      <c r="M2319" s="524" t="s">
        <v>1265</v>
      </c>
      <c r="N2319" s="524" t="s">
        <v>1223</v>
      </c>
      <c r="O2319" s="524" t="s">
        <v>1224</v>
      </c>
      <c r="P2319" s="526"/>
      <c r="S2319" s="527">
        <v>0</v>
      </c>
    </row>
    <row r="2320" spans="1:19" x14ac:dyDescent="0.2">
      <c r="A2320" s="524">
        <v>71319</v>
      </c>
      <c r="B2320" s="526">
        <v>46231</v>
      </c>
      <c r="C2320" s="524" t="s">
        <v>1162</v>
      </c>
      <c r="D2320" s="524" t="s">
        <v>1239</v>
      </c>
      <c r="E2320" s="524" t="s">
        <v>2566</v>
      </c>
      <c r="F2320" s="524" t="s">
        <v>1170</v>
      </c>
      <c r="G2320" s="524" t="s">
        <v>757</v>
      </c>
      <c r="H2320" s="527">
        <v>271.57</v>
      </c>
      <c r="I2320" s="524" t="s">
        <v>1148</v>
      </c>
      <c r="J2320" s="524">
        <f>IF(cmf[[#This Row],[D/C]]="C",cmf[[#This Row],[Valor]],-1*cmf[[#This Row],[Valor]])</f>
        <v>271.57</v>
      </c>
      <c r="L2320" s="524" t="s">
        <v>1264</v>
      </c>
      <c r="M2320" s="524" t="s">
        <v>1265</v>
      </c>
      <c r="N2320" s="524" t="s">
        <v>1223</v>
      </c>
      <c r="O2320" s="524" t="s">
        <v>1224</v>
      </c>
      <c r="P2320" s="526"/>
      <c r="S2320" s="527">
        <v>0</v>
      </c>
    </row>
    <row r="2321" spans="1:19" x14ac:dyDescent="0.2">
      <c r="A2321" s="524">
        <v>71320</v>
      </c>
      <c r="B2321" s="526">
        <v>46231</v>
      </c>
      <c r="C2321" s="524" t="s">
        <v>1162</v>
      </c>
      <c r="D2321" s="524" t="s">
        <v>1239</v>
      </c>
      <c r="E2321" s="524" t="s">
        <v>2567</v>
      </c>
      <c r="F2321" s="524" t="s">
        <v>1170</v>
      </c>
      <c r="G2321" s="524" t="s">
        <v>757</v>
      </c>
      <c r="H2321" s="527">
        <v>264.41000000000003</v>
      </c>
      <c r="I2321" s="524" t="s">
        <v>1148</v>
      </c>
      <c r="J2321" s="524">
        <f>IF(cmf[[#This Row],[D/C]]="C",cmf[[#This Row],[Valor]],-1*cmf[[#This Row],[Valor]])</f>
        <v>264.41000000000003</v>
      </c>
      <c r="L2321" s="524" t="s">
        <v>1264</v>
      </c>
      <c r="M2321" s="524" t="s">
        <v>1265</v>
      </c>
      <c r="N2321" s="524" t="s">
        <v>1223</v>
      </c>
      <c r="O2321" s="524" t="s">
        <v>1224</v>
      </c>
      <c r="P2321" s="526"/>
      <c r="S2321" s="527">
        <v>0</v>
      </c>
    </row>
    <row r="2322" spans="1:19" x14ac:dyDescent="0.2">
      <c r="A2322" s="524">
        <v>71321</v>
      </c>
      <c r="B2322" s="526">
        <v>46231</v>
      </c>
      <c r="C2322" s="524" t="s">
        <v>1162</v>
      </c>
      <c r="D2322" s="524" t="s">
        <v>1239</v>
      </c>
      <c r="E2322" s="524" t="s">
        <v>2568</v>
      </c>
      <c r="F2322" s="524" t="s">
        <v>1170</v>
      </c>
      <c r="G2322" s="524" t="s">
        <v>757</v>
      </c>
      <c r="H2322" s="527">
        <v>190.82</v>
      </c>
      <c r="I2322" s="524" t="s">
        <v>1148</v>
      </c>
      <c r="J2322" s="524">
        <f>IF(cmf[[#This Row],[D/C]]="C",cmf[[#This Row],[Valor]],-1*cmf[[#This Row],[Valor]])</f>
        <v>190.82</v>
      </c>
      <c r="L2322" s="524" t="s">
        <v>1264</v>
      </c>
      <c r="M2322" s="524" t="s">
        <v>1265</v>
      </c>
      <c r="N2322" s="524" t="s">
        <v>1223</v>
      </c>
      <c r="O2322" s="524" t="s">
        <v>1224</v>
      </c>
      <c r="P2322" s="526"/>
      <c r="S2322" s="527">
        <v>0</v>
      </c>
    </row>
    <row r="2323" spans="1:19" x14ac:dyDescent="0.2">
      <c r="A2323" s="524">
        <v>71324</v>
      </c>
      <c r="B2323" s="526">
        <v>46231</v>
      </c>
      <c r="C2323" s="524" t="s">
        <v>1162</v>
      </c>
      <c r="D2323" s="524" t="s">
        <v>1239</v>
      </c>
      <c r="E2323" s="524" t="s">
        <v>2569</v>
      </c>
      <c r="F2323" s="524" t="s">
        <v>1170</v>
      </c>
      <c r="G2323" s="524" t="s">
        <v>757</v>
      </c>
      <c r="H2323" s="527">
        <v>268.48</v>
      </c>
      <c r="I2323" s="524" t="s">
        <v>1148</v>
      </c>
      <c r="J2323" s="524">
        <f>IF(cmf[[#This Row],[D/C]]="C",cmf[[#This Row],[Valor]],-1*cmf[[#This Row],[Valor]])</f>
        <v>268.48</v>
      </c>
      <c r="L2323" s="524" t="s">
        <v>1264</v>
      </c>
      <c r="M2323" s="524" t="s">
        <v>1265</v>
      </c>
      <c r="N2323" s="524" t="s">
        <v>1223</v>
      </c>
      <c r="O2323" s="524" t="s">
        <v>1224</v>
      </c>
      <c r="P2323" s="526"/>
      <c r="S2323" s="527">
        <v>0</v>
      </c>
    </row>
    <row r="2324" spans="1:19" x14ac:dyDescent="0.2">
      <c r="A2324" s="524">
        <v>71325</v>
      </c>
      <c r="B2324" s="526">
        <v>46231</v>
      </c>
      <c r="C2324" s="524" t="s">
        <v>1162</v>
      </c>
      <c r="D2324" s="524" t="s">
        <v>1239</v>
      </c>
      <c r="E2324" s="524" t="s">
        <v>2570</v>
      </c>
      <c r="F2324" s="524" t="s">
        <v>1170</v>
      </c>
      <c r="G2324" s="524" t="s">
        <v>757</v>
      </c>
      <c r="H2324" s="527">
        <v>125.99</v>
      </c>
      <c r="I2324" s="524" t="s">
        <v>1148</v>
      </c>
      <c r="J2324" s="524">
        <f>IF(cmf[[#This Row],[D/C]]="C",cmf[[#This Row],[Valor]],-1*cmf[[#This Row],[Valor]])</f>
        <v>125.99</v>
      </c>
      <c r="L2324" s="524" t="s">
        <v>1264</v>
      </c>
      <c r="M2324" s="524" t="s">
        <v>1265</v>
      </c>
      <c r="N2324" s="524" t="s">
        <v>1223</v>
      </c>
      <c r="O2324" s="524" t="s">
        <v>1224</v>
      </c>
      <c r="P2324" s="526"/>
      <c r="S2324" s="527">
        <v>0</v>
      </c>
    </row>
    <row r="2325" spans="1:19" x14ac:dyDescent="0.2">
      <c r="A2325" s="524">
        <v>71326</v>
      </c>
      <c r="B2325" s="526">
        <v>46231</v>
      </c>
      <c r="C2325" s="524" t="s">
        <v>1162</v>
      </c>
      <c r="D2325" s="524" t="s">
        <v>1239</v>
      </c>
      <c r="E2325" s="524" t="s">
        <v>2571</v>
      </c>
      <c r="F2325" s="524" t="s">
        <v>1170</v>
      </c>
      <c r="G2325" s="524" t="s">
        <v>757</v>
      </c>
      <c r="H2325" s="527">
        <v>258.48</v>
      </c>
      <c r="I2325" s="524" t="s">
        <v>1148</v>
      </c>
      <c r="J2325" s="524">
        <f>IF(cmf[[#This Row],[D/C]]="C",cmf[[#This Row],[Valor]],-1*cmf[[#This Row],[Valor]])</f>
        <v>258.48</v>
      </c>
      <c r="L2325" s="524" t="s">
        <v>1264</v>
      </c>
      <c r="M2325" s="524" t="s">
        <v>1265</v>
      </c>
      <c r="N2325" s="524" t="s">
        <v>1223</v>
      </c>
      <c r="O2325" s="524" t="s">
        <v>1224</v>
      </c>
      <c r="P2325" s="526"/>
      <c r="S2325" s="527">
        <v>0</v>
      </c>
    </row>
    <row r="2326" spans="1:19" x14ac:dyDescent="0.2">
      <c r="A2326" s="524">
        <v>71327</v>
      </c>
      <c r="B2326" s="526">
        <v>46231</v>
      </c>
      <c r="C2326" s="524" t="s">
        <v>1162</v>
      </c>
      <c r="D2326" s="524" t="s">
        <v>1239</v>
      </c>
      <c r="E2326" s="524" t="s">
        <v>2572</v>
      </c>
      <c r="F2326" s="524" t="s">
        <v>1170</v>
      </c>
      <c r="G2326" s="524" t="s">
        <v>757</v>
      </c>
      <c r="H2326" s="527">
        <v>129.78</v>
      </c>
      <c r="I2326" s="524" t="s">
        <v>1148</v>
      </c>
      <c r="J2326" s="524">
        <f>IF(cmf[[#This Row],[D/C]]="C",cmf[[#This Row],[Valor]],-1*cmf[[#This Row],[Valor]])</f>
        <v>129.78</v>
      </c>
      <c r="L2326" s="524" t="s">
        <v>1264</v>
      </c>
      <c r="M2326" s="524" t="s">
        <v>1265</v>
      </c>
      <c r="N2326" s="524" t="s">
        <v>1223</v>
      </c>
      <c r="O2326" s="524" t="s">
        <v>1224</v>
      </c>
      <c r="P2326" s="526"/>
      <c r="S2326" s="527">
        <v>0</v>
      </c>
    </row>
    <row r="2327" spans="1:19" x14ac:dyDescent="0.2">
      <c r="A2327" s="524">
        <v>71328</v>
      </c>
      <c r="B2327" s="526">
        <v>46231</v>
      </c>
      <c r="C2327" s="524" t="s">
        <v>1162</v>
      </c>
      <c r="D2327" s="524" t="s">
        <v>1239</v>
      </c>
      <c r="E2327" s="524" t="s">
        <v>2573</v>
      </c>
      <c r="F2327" s="524" t="s">
        <v>1170</v>
      </c>
      <c r="G2327" s="524" t="s">
        <v>757</v>
      </c>
      <c r="H2327" s="527">
        <v>207.48</v>
      </c>
      <c r="I2327" s="524" t="s">
        <v>1148</v>
      </c>
      <c r="J2327" s="524">
        <f>IF(cmf[[#This Row],[D/C]]="C",cmf[[#This Row],[Valor]],-1*cmf[[#This Row],[Valor]])</f>
        <v>207.48</v>
      </c>
      <c r="L2327" s="524" t="s">
        <v>1264</v>
      </c>
      <c r="M2327" s="524" t="s">
        <v>1265</v>
      </c>
      <c r="N2327" s="524" t="s">
        <v>1223</v>
      </c>
      <c r="O2327" s="524" t="s">
        <v>1224</v>
      </c>
      <c r="P2327" s="526"/>
      <c r="S2327" s="527">
        <v>0</v>
      </c>
    </row>
    <row r="2328" spans="1:19" x14ac:dyDescent="0.2">
      <c r="A2328" s="524">
        <v>71329</v>
      </c>
      <c r="B2328" s="526">
        <v>46231</v>
      </c>
      <c r="C2328" s="524" t="s">
        <v>1162</v>
      </c>
      <c r="D2328" s="524" t="s">
        <v>1239</v>
      </c>
      <c r="E2328" s="524" t="s">
        <v>2574</v>
      </c>
      <c r="F2328" s="524" t="s">
        <v>1170</v>
      </c>
      <c r="G2328" s="524" t="s">
        <v>757</v>
      </c>
      <c r="H2328" s="527">
        <v>192.19</v>
      </c>
      <c r="I2328" s="524" t="s">
        <v>1148</v>
      </c>
      <c r="J2328" s="524">
        <f>IF(cmf[[#This Row],[D/C]]="C",cmf[[#This Row],[Valor]],-1*cmf[[#This Row],[Valor]])</f>
        <v>192.19</v>
      </c>
      <c r="L2328" s="524" t="s">
        <v>1264</v>
      </c>
      <c r="M2328" s="524" t="s">
        <v>1265</v>
      </c>
      <c r="N2328" s="524" t="s">
        <v>1223</v>
      </c>
      <c r="O2328" s="524" t="s">
        <v>1224</v>
      </c>
      <c r="P2328" s="526"/>
      <c r="S2328" s="527">
        <v>0</v>
      </c>
    </row>
    <row r="2329" spans="1:19" x14ac:dyDescent="0.2">
      <c r="A2329" s="524">
        <v>71330</v>
      </c>
      <c r="B2329" s="526">
        <v>46231</v>
      </c>
      <c r="C2329" s="524" t="s">
        <v>1162</v>
      </c>
      <c r="D2329" s="524" t="s">
        <v>1239</v>
      </c>
      <c r="E2329" s="524" t="s">
        <v>2575</v>
      </c>
      <c r="F2329" s="524" t="s">
        <v>1170</v>
      </c>
      <c r="G2329" s="524" t="s">
        <v>757</v>
      </c>
      <c r="H2329" s="527">
        <v>190.94</v>
      </c>
      <c r="I2329" s="524" t="s">
        <v>1148</v>
      </c>
      <c r="J2329" s="524">
        <f>IF(cmf[[#This Row],[D/C]]="C",cmf[[#This Row],[Valor]],-1*cmf[[#This Row],[Valor]])</f>
        <v>190.94</v>
      </c>
      <c r="L2329" s="524" t="s">
        <v>1264</v>
      </c>
      <c r="M2329" s="524" t="s">
        <v>1265</v>
      </c>
      <c r="N2329" s="524" t="s">
        <v>1223</v>
      </c>
      <c r="O2329" s="524" t="s">
        <v>1224</v>
      </c>
      <c r="P2329" s="526"/>
      <c r="S2329" s="527">
        <v>0</v>
      </c>
    </row>
    <row r="2330" spans="1:19" x14ac:dyDescent="0.2">
      <c r="A2330" s="524">
        <v>71331</v>
      </c>
      <c r="B2330" s="526">
        <v>46231</v>
      </c>
      <c r="C2330" s="524" t="s">
        <v>1162</v>
      </c>
      <c r="D2330" s="524" t="s">
        <v>1239</v>
      </c>
      <c r="E2330" s="524" t="s">
        <v>2576</v>
      </c>
      <c r="F2330" s="524" t="s">
        <v>1170</v>
      </c>
      <c r="G2330" s="524" t="s">
        <v>757</v>
      </c>
      <c r="H2330" s="527">
        <v>193.86</v>
      </c>
      <c r="I2330" s="524" t="s">
        <v>1148</v>
      </c>
      <c r="J2330" s="524">
        <f>IF(cmf[[#This Row],[D/C]]="C",cmf[[#This Row],[Valor]],-1*cmf[[#This Row],[Valor]])</f>
        <v>193.86</v>
      </c>
      <c r="L2330" s="524" t="s">
        <v>1264</v>
      </c>
      <c r="M2330" s="524" t="s">
        <v>1265</v>
      </c>
      <c r="N2330" s="524" t="s">
        <v>1223</v>
      </c>
      <c r="O2330" s="524" t="s">
        <v>1224</v>
      </c>
      <c r="P2330" s="526"/>
      <c r="S2330" s="527">
        <v>0</v>
      </c>
    </row>
    <row r="2331" spans="1:19" x14ac:dyDescent="0.2">
      <c r="A2331" s="524">
        <v>71332</v>
      </c>
      <c r="B2331" s="526">
        <v>46231</v>
      </c>
      <c r="C2331" s="524" t="s">
        <v>1162</v>
      </c>
      <c r="D2331" s="524" t="s">
        <v>1239</v>
      </c>
      <c r="E2331" s="524" t="s">
        <v>2577</v>
      </c>
      <c r="F2331" s="524" t="s">
        <v>1170</v>
      </c>
      <c r="G2331" s="524" t="s">
        <v>757</v>
      </c>
      <c r="H2331" s="527">
        <v>189.1</v>
      </c>
      <c r="I2331" s="524" t="s">
        <v>1148</v>
      </c>
      <c r="J2331" s="524">
        <f>IF(cmf[[#This Row],[D/C]]="C",cmf[[#This Row],[Valor]],-1*cmf[[#This Row],[Valor]])</f>
        <v>189.1</v>
      </c>
      <c r="L2331" s="524" t="s">
        <v>1264</v>
      </c>
      <c r="M2331" s="524" t="s">
        <v>1265</v>
      </c>
      <c r="N2331" s="524" t="s">
        <v>1223</v>
      </c>
      <c r="O2331" s="524" t="s">
        <v>1224</v>
      </c>
      <c r="P2331" s="526"/>
      <c r="S2331" s="527">
        <v>0</v>
      </c>
    </row>
    <row r="2332" spans="1:19" x14ac:dyDescent="0.2">
      <c r="A2332" s="524">
        <v>71334</v>
      </c>
      <c r="B2332" s="526">
        <v>46231</v>
      </c>
      <c r="C2332" s="524" t="s">
        <v>1148</v>
      </c>
      <c r="D2332" s="524" t="s">
        <v>1239</v>
      </c>
      <c r="E2332" s="524" t="s">
        <v>1255</v>
      </c>
      <c r="F2332" s="524" t="s">
        <v>1170</v>
      </c>
      <c r="G2332" s="524" t="s">
        <v>747</v>
      </c>
      <c r="H2332" s="527">
        <v>0.2</v>
      </c>
      <c r="I2332" s="524" t="s">
        <v>1174</v>
      </c>
      <c r="J2332" s="524">
        <f>IF(cmf[[#This Row],[D/C]]="C",cmf[[#This Row],[Valor]],-1*cmf[[#This Row],[Valor]])</f>
        <v>-0.2</v>
      </c>
      <c r="L2332" s="524" t="s">
        <v>1241</v>
      </c>
      <c r="M2332" s="524" t="s">
        <v>1242</v>
      </c>
      <c r="N2332" s="524" t="s">
        <v>1256</v>
      </c>
      <c r="O2332" s="524" t="s">
        <v>1257</v>
      </c>
      <c r="P2332" s="526">
        <v>46231</v>
      </c>
      <c r="S2332" s="527">
        <v>0</v>
      </c>
    </row>
    <row r="2333" spans="1:19" x14ac:dyDescent="0.2">
      <c r="A2333" s="524">
        <v>71335</v>
      </c>
      <c r="B2333" s="526">
        <v>46231</v>
      </c>
      <c r="C2333" s="524" t="s">
        <v>1162</v>
      </c>
      <c r="D2333" s="524" t="s">
        <v>1239</v>
      </c>
      <c r="E2333" s="524" t="s">
        <v>2578</v>
      </c>
      <c r="F2333" s="524" t="s">
        <v>1170</v>
      </c>
      <c r="G2333" s="524" t="s">
        <v>757</v>
      </c>
      <c r="H2333" s="527">
        <v>209.74</v>
      </c>
      <c r="I2333" s="524" t="s">
        <v>1148</v>
      </c>
      <c r="J2333" s="524">
        <f>IF(cmf[[#This Row],[D/C]]="C",cmf[[#This Row],[Valor]],-1*cmf[[#This Row],[Valor]])</f>
        <v>209.74</v>
      </c>
      <c r="L2333" s="524" t="s">
        <v>1264</v>
      </c>
      <c r="M2333" s="524" t="s">
        <v>1265</v>
      </c>
      <c r="N2333" s="524" t="s">
        <v>1223</v>
      </c>
      <c r="O2333" s="524" t="s">
        <v>1224</v>
      </c>
      <c r="P2333" s="526"/>
      <c r="S2333" s="527">
        <v>0</v>
      </c>
    </row>
    <row r="2334" spans="1:19" x14ac:dyDescent="0.2">
      <c r="A2334" s="524">
        <v>71336</v>
      </c>
      <c r="B2334" s="526">
        <v>46231</v>
      </c>
      <c r="C2334" s="524" t="s">
        <v>1162</v>
      </c>
      <c r="D2334" s="524" t="s">
        <v>1239</v>
      </c>
      <c r="E2334" s="524" t="s">
        <v>2579</v>
      </c>
      <c r="F2334" s="524" t="s">
        <v>1170</v>
      </c>
      <c r="G2334" s="524" t="s">
        <v>757</v>
      </c>
      <c r="H2334" s="527">
        <v>125.74</v>
      </c>
      <c r="I2334" s="524" t="s">
        <v>1148</v>
      </c>
      <c r="J2334" s="524">
        <f>IF(cmf[[#This Row],[D/C]]="C",cmf[[#This Row],[Valor]],-1*cmf[[#This Row],[Valor]])</f>
        <v>125.74</v>
      </c>
      <c r="L2334" s="524" t="s">
        <v>1264</v>
      </c>
      <c r="M2334" s="524" t="s">
        <v>1265</v>
      </c>
      <c r="N2334" s="524" t="s">
        <v>1223</v>
      </c>
      <c r="O2334" s="524" t="s">
        <v>1224</v>
      </c>
      <c r="P2334" s="526"/>
      <c r="S2334" s="527">
        <v>0</v>
      </c>
    </row>
    <row r="2335" spans="1:19" x14ac:dyDescent="0.2">
      <c r="A2335" s="524">
        <v>71337</v>
      </c>
      <c r="B2335" s="526">
        <v>46231</v>
      </c>
      <c r="C2335" s="524" t="s">
        <v>1162</v>
      </c>
      <c r="D2335" s="524" t="s">
        <v>1239</v>
      </c>
      <c r="E2335" s="524" t="s">
        <v>2580</v>
      </c>
      <c r="F2335" s="524" t="s">
        <v>1170</v>
      </c>
      <c r="G2335" s="524" t="s">
        <v>757</v>
      </c>
      <c r="H2335" s="527">
        <v>192.34</v>
      </c>
      <c r="I2335" s="524" t="s">
        <v>1148</v>
      </c>
      <c r="J2335" s="524">
        <f>IF(cmf[[#This Row],[D/C]]="C",cmf[[#This Row],[Valor]],-1*cmf[[#This Row],[Valor]])</f>
        <v>192.34</v>
      </c>
      <c r="L2335" s="524" t="s">
        <v>1264</v>
      </c>
      <c r="M2335" s="524" t="s">
        <v>1265</v>
      </c>
      <c r="N2335" s="524" t="s">
        <v>1223</v>
      </c>
      <c r="O2335" s="524" t="s">
        <v>1224</v>
      </c>
      <c r="P2335" s="526"/>
      <c r="S2335" s="527">
        <v>0</v>
      </c>
    </row>
    <row r="2336" spans="1:19" x14ac:dyDescent="0.2">
      <c r="A2336" s="524">
        <v>71338</v>
      </c>
      <c r="B2336" s="526">
        <v>46231</v>
      </c>
      <c r="C2336" s="524" t="s">
        <v>1162</v>
      </c>
      <c r="D2336" s="524" t="s">
        <v>1239</v>
      </c>
      <c r="E2336" s="524" t="s">
        <v>2581</v>
      </c>
      <c r="F2336" s="524" t="s">
        <v>1170</v>
      </c>
      <c r="G2336" s="524" t="s">
        <v>757</v>
      </c>
      <c r="H2336" s="527">
        <v>127.97</v>
      </c>
      <c r="I2336" s="524" t="s">
        <v>1148</v>
      </c>
      <c r="J2336" s="524">
        <f>IF(cmf[[#This Row],[D/C]]="C",cmf[[#This Row],[Valor]],-1*cmf[[#This Row],[Valor]])</f>
        <v>127.97</v>
      </c>
      <c r="L2336" s="524" t="s">
        <v>1264</v>
      </c>
      <c r="M2336" s="524" t="s">
        <v>1265</v>
      </c>
      <c r="N2336" s="524" t="s">
        <v>1223</v>
      </c>
      <c r="O2336" s="524" t="s">
        <v>1224</v>
      </c>
      <c r="P2336" s="526"/>
      <c r="S2336" s="527">
        <v>0</v>
      </c>
    </row>
    <row r="2337" spans="1:19" x14ac:dyDescent="0.2">
      <c r="A2337" s="524">
        <v>71339</v>
      </c>
      <c r="B2337" s="526">
        <v>46231</v>
      </c>
      <c r="C2337" s="524" t="s">
        <v>1162</v>
      </c>
      <c r="D2337" s="524" t="s">
        <v>1239</v>
      </c>
      <c r="E2337" s="524" t="s">
        <v>2582</v>
      </c>
      <c r="F2337" s="524" t="s">
        <v>1170</v>
      </c>
      <c r="G2337" s="524" t="s">
        <v>757</v>
      </c>
      <c r="H2337" s="527">
        <v>121.08</v>
      </c>
      <c r="I2337" s="524" t="s">
        <v>1148</v>
      </c>
      <c r="J2337" s="524">
        <f>IF(cmf[[#This Row],[D/C]]="C",cmf[[#This Row],[Valor]],-1*cmf[[#This Row],[Valor]])</f>
        <v>121.08</v>
      </c>
      <c r="L2337" s="524" t="s">
        <v>1264</v>
      </c>
      <c r="M2337" s="524" t="s">
        <v>1265</v>
      </c>
      <c r="N2337" s="524" t="s">
        <v>1223</v>
      </c>
      <c r="O2337" s="524" t="s">
        <v>1224</v>
      </c>
      <c r="P2337" s="526"/>
      <c r="S2337" s="527">
        <v>0</v>
      </c>
    </row>
    <row r="2338" spans="1:19" x14ac:dyDescent="0.2">
      <c r="A2338" s="524">
        <v>71340</v>
      </c>
      <c r="B2338" s="526">
        <v>46231</v>
      </c>
      <c r="C2338" s="524" t="s">
        <v>1162</v>
      </c>
      <c r="D2338" s="524" t="s">
        <v>1239</v>
      </c>
      <c r="E2338" s="524" t="s">
        <v>2583</v>
      </c>
      <c r="F2338" s="524" t="s">
        <v>1170</v>
      </c>
      <c r="G2338" s="524" t="s">
        <v>757</v>
      </c>
      <c r="H2338" s="527">
        <v>192.04</v>
      </c>
      <c r="I2338" s="524" t="s">
        <v>1148</v>
      </c>
      <c r="J2338" s="524">
        <f>IF(cmf[[#This Row],[D/C]]="C",cmf[[#This Row],[Valor]],-1*cmf[[#This Row],[Valor]])</f>
        <v>192.04</v>
      </c>
      <c r="L2338" s="524" t="s">
        <v>1264</v>
      </c>
      <c r="M2338" s="524" t="s">
        <v>1265</v>
      </c>
      <c r="N2338" s="524" t="s">
        <v>1223</v>
      </c>
      <c r="O2338" s="524" t="s">
        <v>1224</v>
      </c>
      <c r="P2338" s="526"/>
      <c r="S2338" s="527">
        <v>0</v>
      </c>
    </row>
    <row r="2339" spans="1:19" x14ac:dyDescent="0.2">
      <c r="A2339" s="524">
        <v>71341</v>
      </c>
      <c r="B2339" s="526">
        <v>46231</v>
      </c>
      <c r="C2339" s="524" t="s">
        <v>1162</v>
      </c>
      <c r="D2339" s="524" t="s">
        <v>1239</v>
      </c>
      <c r="E2339" s="524" t="s">
        <v>2584</v>
      </c>
      <c r="F2339" s="524" t="s">
        <v>1170</v>
      </c>
      <c r="G2339" s="524" t="s">
        <v>757</v>
      </c>
      <c r="H2339" s="527">
        <v>192.72</v>
      </c>
      <c r="I2339" s="524" t="s">
        <v>1148</v>
      </c>
      <c r="J2339" s="524">
        <f>IF(cmf[[#This Row],[D/C]]="C",cmf[[#This Row],[Valor]],-1*cmf[[#This Row],[Valor]])</f>
        <v>192.72</v>
      </c>
      <c r="L2339" s="524" t="s">
        <v>1264</v>
      </c>
      <c r="M2339" s="524" t="s">
        <v>1265</v>
      </c>
      <c r="N2339" s="524" t="s">
        <v>1223</v>
      </c>
      <c r="O2339" s="524" t="s">
        <v>1224</v>
      </c>
      <c r="P2339" s="526"/>
      <c r="S2339" s="527">
        <v>0</v>
      </c>
    </row>
    <row r="2340" spans="1:19" x14ac:dyDescent="0.2">
      <c r="A2340" s="524">
        <v>71342</v>
      </c>
      <c r="B2340" s="526">
        <v>46231</v>
      </c>
      <c r="C2340" s="524" t="s">
        <v>1162</v>
      </c>
      <c r="D2340" s="524" t="s">
        <v>1239</v>
      </c>
      <c r="E2340" s="524" t="s">
        <v>2585</v>
      </c>
      <c r="F2340" s="524" t="s">
        <v>1170</v>
      </c>
      <c r="G2340" s="524" t="s">
        <v>757</v>
      </c>
      <c r="H2340" s="527">
        <v>127.78</v>
      </c>
      <c r="I2340" s="524" t="s">
        <v>1148</v>
      </c>
      <c r="J2340" s="524">
        <f>IF(cmf[[#This Row],[D/C]]="C",cmf[[#This Row],[Valor]],-1*cmf[[#This Row],[Valor]])</f>
        <v>127.78</v>
      </c>
      <c r="L2340" s="524" t="s">
        <v>1264</v>
      </c>
      <c r="M2340" s="524" t="s">
        <v>1265</v>
      </c>
      <c r="N2340" s="524" t="s">
        <v>1223</v>
      </c>
      <c r="O2340" s="524" t="s">
        <v>1224</v>
      </c>
      <c r="P2340" s="526"/>
      <c r="S2340" s="527">
        <v>0</v>
      </c>
    </row>
    <row r="2341" spans="1:19" x14ac:dyDescent="0.2">
      <c r="A2341" s="524">
        <v>71343</v>
      </c>
      <c r="B2341" s="526">
        <v>46231</v>
      </c>
      <c r="C2341" s="524" t="s">
        <v>1162</v>
      </c>
      <c r="D2341" s="524" t="s">
        <v>1239</v>
      </c>
      <c r="E2341" s="524" t="s">
        <v>2586</v>
      </c>
      <c r="F2341" s="524" t="s">
        <v>1170</v>
      </c>
      <c r="G2341" s="524" t="s">
        <v>757</v>
      </c>
      <c r="H2341" s="527">
        <v>202.41</v>
      </c>
      <c r="I2341" s="524" t="s">
        <v>1148</v>
      </c>
      <c r="J2341" s="524">
        <f>IF(cmf[[#This Row],[D/C]]="C",cmf[[#This Row],[Valor]],-1*cmf[[#This Row],[Valor]])</f>
        <v>202.41</v>
      </c>
      <c r="L2341" s="524" t="s">
        <v>1264</v>
      </c>
      <c r="M2341" s="524" t="s">
        <v>1265</v>
      </c>
      <c r="N2341" s="524" t="s">
        <v>1223</v>
      </c>
      <c r="O2341" s="524" t="s">
        <v>1224</v>
      </c>
      <c r="P2341" s="526"/>
      <c r="S2341" s="527">
        <v>0</v>
      </c>
    </row>
    <row r="2342" spans="1:19" x14ac:dyDescent="0.2">
      <c r="A2342" s="524">
        <v>71345</v>
      </c>
      <c r="B2342" s="526">
        <v>46231</v>
      </c>
      <c r="C2342" s="524" t="s">
        <v>1162</v>
      </c>
      <c r="D2342" s="524" t="s">
        <v>1239</v>
      </c>
      <c r="E2342" s="524" t="s">
        <v>2587</v>
      </c>
      <c r="F2342" s="524" t="s">
        <v>1170</v>
      </c>
      <c r="G2342" s="524" t="s">
        <v>757</v>
      </c>
      <c r="H2342" s="527">
        <v>192.24</v>
      </c>
      <c r="I2342" s="524" t="s">
        <v>1148</v>
      </c>
      <c r="J2342" s="524">
        <f>IF(cmf[[#This Row],[D/C]]="C",cmf[[#This Row],[Valor]],-1*cmf[[#This Row],[Valor]])</f>
        <v>192.24</v>
      </c>
      <c r="L2342" s="524" t="s">
        <v>1264</v>
      </c>
      <c r="M2342" s="524" t="s">
        <v>1265</v>
      </c>
      <c r="N2342" s="524" t="s">
        <v>1223</v>
      </c>
      <c r="O2342" s="524" t="s">
        <v>1224</v>
      </c>
      <c r="P2342" s="526"/>
      <c r="S2342" s="527">
        <v>0</v>
      </c>
    </row>
    <row r="2343" spans="1:19" x14ac:dyDescent="0.2">
      <c r="A2343" s="524">
        <v>71346</v>
      </c>
      <c r="B2343" s="526">
        <v>46231</v>
      </c>
      <c r="C2343" s="524" t="s">
        <v>1162</v>
      </c>
      <c r="D2343" s="524" t="s">
        <v>1239</v>
      </c>
      <c r="E2343" s="524" t="s">
        <v>2588</v>
      </c>
      <c r="F2343" s="524" t="s">
        <v>1170</v>
      </c>
      <c r="G2343" s="524" t="s">
        <v>757</v>
      </c>
      <c r="H2343" s="527">
        <v>188.92</v>
      </c>
      <c r="I2343" s="524" t="s">
        <v>1148</v>
      </c>
      <c r="J2343" s="524">
        <f>IF(cmf[[#This Row],[D/C]]="C",cmf[[#This Row],[Valor]],-1*cmf[[#This Row],[Valor]])</f>
        <v>188.92</v>
      </c>
      <c r="L2343" s="524" t="s">
        <v>1264</v>
      </c>
      <c r="M2343" s="524" t="s">
        <v>1265</v>
      </c>
      <c r="N2343" s="524" t="s">
        <v>1223</v>
      </c>
      <c r="O2343" s="524" t="s">
        <v>1224</v>
      </c>
      <c r="P2343" s="526"/>
      <c r="S2343" s="527">
        <v>0</v>
      </c>
    </row>
    <row r="2344" spans="1:19" x14ac:dyDescent="0.2">
      <c r="A2344" s="524">
        <v>71347</v>
      </c>
      <c r="B2344" s="526">
        <v>46231</v>
      </c>
      <c r="C2344" s="524" t="s">
        <v>1162</v>
      </c>
      <c r="D2344" s="524" t="s">
        <v>1239</v>
      </c>
      <c r="E2344" s="524" t="s">
        <v>2589</v>
      </c>
      <c r="F2344" s="524" t="s">
        <v>1170</v>
      </c>
      <c r="G2344" s="524" t="s">
        <v>757</v>
      </c>
      <c r="H2344" s="527">
        <v>190.88</v>
      </c>
      <c r="I2344" s="524" t="s">
        <v>1148</v>
      </c>
      <c r="J2344" s="524">
        <f>IF(cmf[[#This Row],[D/C]]="C",cmf[[#This Row],[Valor]],-1*cmf[[#This Row],[Valor]])</f>
        <v>190.88</v>
      </c>
      <c r="L2344" s="524" t="s">
        <v>1264</v>
      </c>
      <c r="M2344" s="524" t="s">
        <v>1265</v>
      </c>
      <c r="N2344" s="524" t="s">
        <v>1223</v>
      </c>
      <c r="O2344" s="524" t="s">
        <v>1224</v>
      </c>
      <c r="P2344" s="526"/>
      <c r="S2344" s="527">
        <v>0</v>
      </c>
    </row>
    <row r="2345" spans="1:19" x14ac:dyDescent="0.2">
      <c r="A2345" s="524">
        <v>71348</v>
      </c>
      <c r="B2345" s="526">
        <v>46231</v>
      </c>
      <c r="C2345" s="524" t="s">
        <v>1162</v>
      </c>
      <c r="D2345" s="524" t="s">
        <v>1239</v>
      </c>
      <c r="E2345" s="524" t="s">
        <v>2590</v>
      </c>
      <c r="F2345" s="524" t="s">
        <v>1170</v>
      </c>
      <c r="G2345" s="524" t="s">
        <v>757</v>
      </c>
      <c r="H2345" s="527">
        <v>193.94</v>
      </c>
      <c r="I2345" s="524" t="s">
        <v>1148</v>
      </c>
      <c r="J2345" s="524">
        <f>IF(cmf[[#This Row],[D/C]]="C",cmf[[#This Row],[Valor]],-1*cmf[[#This Row],[Valor]])</f>
        <v>193.94</v>
      </c>
      <c r="L2345" s="524" t="s">
        <v>1264</v>
      </c>
      <c r="M2345" s="524" t="s">
        <v>1265</v>
      </c>
      <c r="N2345" s="524" t="s">
        <v>1223</v>
      </c>
      <c r="O2345" s="524" t="s">
        <v>1224</v>
      </c>
      <c r="P2345" s="526"/>
      <c r="S2345" s="527">
        <v>0</v>
      </c>
    </row>
    <row r="2346" spans="1:19" x14ac:dyDescent="0.2">
      <c r="A2346" s="524">
        <v>71349</v>
      </c>
      <c r="B2346" s="526">
        <v>46231</v>
      </c>
      <c r="C2346" s="524" t="s">
        <v>1162</v>
      </c>
      <c r="D2346" s="524" t="s">
        <v>1239</v>
      </c>
      <c r="E2346" s="524" t="s">
        <v>2591</v>
      </c>
      <c r="F2346" s="524" t="s">
        <v>1170</v>
      </c>
      <c r="G2346" s="524" t="s">
        <v>757</v>
      </c>
      <c r="H2346" s="527">
        <v>190.58</v>
      </c>
      <c r="I2346" s="524" t="s">
        <v>1148</v>
      </c>
      <c r="J2346" s="524">
        <f>IF(cmf[[#This Row],[D/C]]="C",cmf[[#This Row],[Valor]],-1*cmf[[#This Row],[Valor]])</f>
        <v>190.58</v>
      </c>
      <c r="L2346" s="524" t="s">
        <v>1264</v>
      </c>
      <c r="M2346" s="524" t="s">
        <v>1265</v>
      </c>
      <c r="N2346" s="524" t="s">
        <v>1223</v>
      </c>
      <c r="O2346" s="524" t="s">
        <v>1224</v>
      </c>
      <c r="P2346" s="526"/>
      <c r="S2346" s="527">
        <v>0</v>
      </c>
    </row>
    <row r="2347" spans="1:19" x14ac:dyDescent="0.2">
      <c r="A2347" s="524">
        <v>71350</v>
      </c>
      <c r="B2347" s="526">
        <v>46231</v>
      </c>
      <c r="C2347" s="524" t="s">
        <v>1162</v>
      </c>
      <c r="D2347" s="524" t="s">
        <v>1239</v>
      </c>
      <c r="E2347" s="524" t="s">
        <v>2592</v>
      </c>
      <c r="F2347" s="524" t="s">
        <v>1170</v>
      </c>
      <c r="G2347" s="524" t="s">
        <v>757</v>
      </c>
      <c r="H2347" s="527">
        <v>192.17</v>
      </c>
      <c r="I2347" s="524" t="s">
        <v>1148</v>
      </c>
      <c r="J2347" s="524">
        <f>IF(cmf[[#This Row],[D/C]]="C",cmf[[#This Row],[Valor]],-1*cmf[[#This Row],[Valor]])</f>
        <v>192.17</v>
      </c>
      <c r="L2347" s="524" t="s">
        <v>1264</v>
      </c>
      <c r="M2347" s="524" t="s">
        <v>1265</v>
      </c>
      <c r="N2347" s="524" t="s">
        <v>1223</v>
      </c>
      <c r="O2347" s="524" t="s">
        <v>1224</v>
      </c>
      <c r="P2347" s="526"/>
      <c r="S2347" s="527">
        <v>0</v>
      </c>
    </row>
    <row r="2348" spans="1:19" x14ac:dyDescent="0.2">
      <c r="A2348" s="524">
        <v>71351</v>
      </c>
      <c r="B2348" s="526">
        <v>46231</v>
      </c>
      <c r="C2348" s="524" t="s">
        <v>1162</v>
      </c>
      <c r="D2348" s="524" t="s">
        <v>1239</v>
      </c>
      <c r="E2348" s="524" t="s">
        <v>2593</v>
      </c>
      <c r="F2348" s="524" t="s">
        <v>1170</v>
      </c>
      <c r="G2348" s="524" t="s">
        <v>757</v>
      </c>
      <c r="H2348" s="527">
        <v>193.44</v>
      </c>
      <c r="I2348" s="524" t="s">
        <v>1148</v>
      </c>
      <c r="J2348" s="524">
        <f>IF(cmf[[#This Row],[D/C]]="C",cmf[[#This Row],[Valor]],-1*cmf[[#This Row],[Valor]])</f>
        <v>193.44</v>
      </c>
      <c r="L2348" s="524" t="s">
        <v>1264</v>
      </c>
      <c r="M2348" s="524" t="s">
        <v>1265</v>
      </c>
      <c r="N2348" s="524" t="s">
        <v>1223</v>
      </c>
      <c r="O2348" s="524" t="s">
        <v>1224</v>
      </c>
      <c r="P2348" s="526"/>
      <c r="S2348" s="527">
        <v>0</v>
      </c>
    </row>
    <row r="2349" spans="1:19" x14ac:dyDescent="0.2">
      <c r="A2349" s="524">
        <v>71352</v>
      </c>
      <c r="B2349" s="526">
        <v>46231</v>
      </c>
      <c r="C2349" s="524" t="s">
        <v>1162</v>
      </c>
      <c r="D2349" s="524" t="s">
        <v>1239</v>
      </c>
      <c r="E2349" s="524" t="s">
        <v>2594</v>
      </c>
      <c r="F2349" s="524" t="s">
        <v>1170</v>
      </c>
      <c r="G2349" s="524" t="s">
        <v>757</v>
      </c>
      <c r="H2349" s="527">
        <v>125.89</v>
      </c>
      <c r="I2349" s="524" t="s">
        <v>1148</v>
      </c>
      <c r="J2349" s="524">
        <f>IF(cmf[[#This Row],[D/C]]="C",cmf[[#This Row],[Valor]],-1*cmf[[#This Row],[Valor]])</f>
        <v>125.89</v>
      </c>
      <c r="L2349" s="524" t="s">
        <v>1264</v>
      </c>
      <c r="M2349" s="524" t="s">
        <v>1265</v>
      </c>
      <c r="N2349" s="524" t="s">
        <v>1223</v>
      </c>
      <c r="O2349" s="524" t="s">
        <v>1224</v>
      </c>
      <c r="P2349" s="526"/>
      <c r="S2349" s="527">
        <v>0</v>
      </c>
    </row>
    <row r="2350" spans="1:19" x14ac:dyDescent="0.2">
      <c r="A2350" s="524">
        <v>71353</v>
      </c>
      <c r="B2350" s="526">
        <v>46231</v>
      </c>
      <c r="C2350" s="524" t="s">
        <v>1162</v>
      </c>
      <c r="D2350" s="524" t="s">
        <v>1239</v>
      </c>
      <c r="E2350" s="524" t="s">
        <v>2595</v>
      </c>
      <c r="F2350" s="524" t="s">
        <v>1170</v>
      </c>
      <c r="G2350" s="524" t="s">
        <v>757</v>
      </c>
      <c r="H2350" s="527">
        <v>195.53</v>
      </c>
      <c r="I2350" s="524" t="s">
        <v>1148</v>
      </c>
      <c r="J2350" s="524">
        <f>IF(cmf[[#This Row],[D/C]]="C",cmf[[#This Row],[Valor]],-1*cmf[[#This Row],[Valor]])</f>
        <v>195.53</v>
      </c>
      <c r="L2350" s="524" t="s">
        <v>1264</v>
      </c>
      <c r="M2350" s="524" t="s">
        <v>1265</v>
      </c>
      <c r="N2350" s="524" t="s">
        <v>1223</v>
      </c>
      <c r="O2350" s="524" t="s">
        <v>1224</v>
      </c>
      <c r="P2350" s="526"/>
      <c r="S2350" s="527">
        <v>0</v>
      </c>
    </row>
    <row r="2351" spans="1:19" x14ac:dyDescent="0.2">
      <c r="A2351" s="524">
        <v>71357</v>
      </c>
      <c r="B2351" s="526">
        <v>46231</v>
      </c>
      <c r="C2351" s="524" t="s">
        <v>1148</v>
      </c>
      <c r="D2351" s="524" t="s">
        <v>1243</v>
      </c>
      <c r="E2351" s="524" t="s">
        <v>1244</v>
      </c>
      <c r="F2351" s="524" t="s">
        <v>1183</v>
      </c>
      <c r="G2351" s="524" t="s">
        <v>745</v>
      </c>
      <c r="H2351" s="527">
        <v>80380.460000000006</v>
      </c>
      <c r="I2351" s="524" t="s">
        <v>1148</v>
      </c>
      <c r="J2351" s="524">
        <f>IF(cmf[[#This Row],[D/C]]="C",cmf[[#This Row],[Valor]],-1*cmf[[#This Row],[Valor]])</f>
        <v>80380.460000000006</v>
      </c>
      <c r="L2351" s="524" t="s">
        <v>1245</v>
      </c>
      <c r="M2351" s="524" t="s">
        <v>1246</v>
      </c>
      <c r="N2351" s="524" t="s">
        <v>1292</v>
      </c>
      <c r="O2351" s="524" t="s">
        <v>1293</v>
      </c>
      <c r="P2351" s="526">
        <v>46231</v>
      </c>
      <c r="S2351" s="527">
        <v>0</v>
      </c>
    </row>
    <row r="2352" spans="1:19" x14ac:dyDescent="0.2">
      <c r="A2352" s="524">
        <v>71358</v>
      </c>
      <c r="B2352" s="526">
        <v>46231</v>
      </c>
      <c r="C2352" s="524" t="s">
        <v>1148</v>
      </c>
      <c r="D2352" s="524" t="s">
        <v>1243</v>
      </c>
      <c r="E2352" s="524" t="s">
        <v>1244</v>
      </c>
      <c r="F2352" s="524" t="s">
        <v>1183</v>
      </c>
      <c r="G2352" s="524" t="s">
        <v>745</v>
      </c>
      <c r="H2352" s="527">
        <v>7.0000000000000007E-2</v>
      </c>
      <c r="I2352" s="524" t="s">
        <v>1148</v>
      </c>
      <c r="J2352" s="524">
        <f>IF(cmf[[#This Row],[D/C]]="C",cmf[[#This Row],[Valor]],-1*cmf[[#This Row],[Valor]])</f>
        <v>7.0000000000000007E-2</v>
      </c>
      <c r="L2352" s="524" t="s">
        <v>1245</v>
      </c>
      <c r="M2352" s="524" t="s">
        <v>1246</v>
      </c>
      <c r="N2352" s="524" t="s">
        <v>1292</v>
      </c>
      <c r="O2352" s="524" t="s">
        <v>1293</v>
      </c>
      <c r="P2352" s="526">
        <v>46231</v>
      </c>
      <c r="S2352" s="527">
        <v>0</v>
      </c>
    </row>
    <row r="2353" spans="1:19" x14ac:dyDescent="0.2">
      <c r="A2353" s="524">
        <v>71361</v>
      </c>
      <c r="B2353" s="526">
        <v>46231</v>
      </c>
      <c r="C2353" s="524" t="s">
        <v>1162</v>
      </c>
      <c r="D2353" s="524" t="s">
        <v>1239</v>
      </c>
      <c r="E2353" s="524" t="s">
        <v>2596</v>
      </c>
      <c r="F2353" s="524" t="s">
        <v>1170</v>
      </c>
      <c r="G2353" s="524" t="s">
        <v>757</v>
      </c>
      <c r="H2353" s="527">
        <v>194.73</v>
      </c>
      <c r="I2353" s="524" t="s">
        <v>1148</v>
      </c>
      <c r="J2353" s="524">
        <f>IF(cmf[[#This Row],[D/C]]="C",cmf[[#This Row],[Valor]],-1*cmf[[#This Row],[Valor]])</f>
        <v>194.73</v>
      </c>
      <c r="L2353" s="524" t="s">
        <v>1264</v>
      </c>
      <c r="M2353" s="524" t="s">
        <v>1265</v>
      </c>
      <c r="N2353" s="524" t="s">
        <v>1223</v>
      </c>
      <c r="O2353" s="524" t="s">
        <v>1224</v>
      </c>
      <c r="P2353" s="526"/>
      <c r="S2353" s="527">
        <v>0</v>
      </c>
    </row>
    <row r="2354" spans="1:19" x14ac:dyDescent="0.2">
      <c r="A2354" s="524">
        <v>71362</v>
      </c>
      <c r="B2354" s="526">
        <v>46231</v>
      </c>
      <c r="C2354" s="524" t="s">
        <v>1162</v>
      </c>
      <c r="D2354" s="524" t="s">
        <v>1239</v>
      </c>
      <c r="E2354" s="524" t="s">
        <v>2597</v>
      </c>
      <c r="F2354" s="524" t="s">
        <v>1170</v>
      </c>
      <c r="G2354" s="524" t="s">
        <v>757</v>
      </c>
      <c r="H2354" s="527">
        <v>192.9</v>
      </c>
      <c r="I2354" s="524" t="s">
        <v>1148</v>
      </c>
      <c r="J2354" s="524">
        <f>IF(cmf[[#This Row],[D/C]]="C",cmf[[#This Row],[Valor]],-1*cmf[[#This Row],[Valor]])</f>
        <v>192.9</v>
      </c>
      <c r="L2354" s="524" t="s">
        <v>1264</v>
      </c>
      <c r="M2354" s="524" t="s">
        <v>1265</v>
      </c>
      <c r="N2354" s="524" t="s">
        <v>1223</v>
      </c>
      <c r="O2354" s="524" t="s">
        <v>1224</v>
      </c>
      <c r="P2354" s="526"/>
      <c r="S2354" s="527">
        <v>0</v>
      </c>
    </row>
    <row r="2355" spans="1:19" x14ac:dyDescent="0.2">
      <c r="A2355" s="524">
        <v>71363</v>
      </c>
      <c r="B2355" s="526">
        <v>46231</v>
      </c>
      <c r="C2355" s="524" t="s">
        <v>1162</v>
      </c>
      <c r="D2355" s="524" t="s">
        <v>1239</v>
      </c>
      <c r="E2355" s="524" t="s">
        <v>2598</v>
      </c>
      <c r="F2355" s="524" t="s">
        <v>1170</v>
      </c>
      <c r="G2355" s="524" t="s">
        <v>757</v>
      </c>
      <c r="H2355" s="527">
        <v>127.46</v>
      </c>
      <c r="I2355" s="524" t="s">
        <v>1148</v>
      </c>
      <c r="J2355" s="524">
        <f>IF(cmf[[#This Row],[D/C]]="C",cmf[[#This Row],[Valor]],-1*cmf[[#This Row],[Valor]])</f>
        <v>127.46</v>
      </c>
      <c r="L2355" s="524" t="s">
        <v>1264</v>
      </c>
      <c r="M2355" s="524" t="s">
        <v>1265</v>
      </c>
      <c r="N2355" s="524" t="s">
        <v>1223</v>
      </c>
      <c r="O2355" s="524" t="s">
        <v>1224</v>
      </c>
      <c r="P2355" s="526"/>
      <c r="S2355" s="527">
        <v>0</v>
      </c>
    </row>
    <row r="2356" spans="1:19" x14ac:dyDescent="0.2">
      <c r="A2356" s="524">
        <v>71364</v>
      </c>
      <c r="B2356" s="526">
        <v>46231</v>
      </c>
      <c r="C2356" s="524" t="s">
        <v>1162</v>
      </c>
      <c r="D2356" s="524" t="s">
        <v>1239</v>
      </c>
      <c r="E2356" s="524" t="s">
        <v>2599</v>
      </c>
      <c r="F2356" s="524" t="s">
        <v>1170</v>
      </c>
      <c r="G2356" s="524" t="s">
        <v>757</v>
      </c>
      <c r="H2356" s="527">
        <v>204.72</v>
      </c>
      <c r="I2356" s="524" t="s">
        <v>1148</v>
      </c>
      <c r="J2356" s="524">
        <f>IF(cmf[[#This Row],[D/C]]="C",cmf[[#This Row],[Valor]],-1*cmf[[#This Row],[Valor]])</f>
        <v>204.72</v>
      </c>
      <c r="L2356" s="524" t="s">
        <v>1264</v>
      </c>
      <c r="M2356" s="524" t="s">
        <v>1265</v>
      </c>
      <c r="N2356" s="524" t="s">
        <v>1223</v>
      </c>
      <c r="O2356" s="524" t="s">
        <v>1224</v>
      </c>
      <c r="P2356" s="526"/>
      <c r="S2356" s="527">
        <v>0</v>
      </c>
    </row>
    <row r="2357" spans="1:19" x14ac:dyDescent="0.2">
      <c r="A2357" s="524">
        <v>71365</v>
      </c>
      <c r="B2357" s="526">
        <v>46231</v>
      </c>
      <c r="C2357" s="524" t="s">
        <v>1162</v>
      </c>
      <c r="D2357" s="524" t="s">
        <v>1239</v>
      </c>
      <c r="E2357" s="524" t="s">
        <v>2600</v>
      </c>
      <c r="F2357" s="524" t="s">
        <v>1170</v>
      </c>
      <c r="G2357" s="524" t="s">
        <v>757</v>
      </c>
      <c r="H2357" s="527">
        <v>122.83</v>
      </c>
      <c r="I2357" s="524" t="s">
        <v>1148</v>
      </c>
      <c r="J2357" s="524">
        <f>IF(cmf[[#This Row],[D/C]]="C",cmf[[#This Row],[Valor]],-1*cmf[[#This Row],[Valor]])</f>
        <v>122.83</v>
      </c>
      <c r="L2357" s="524" t="s">
        <v>1264</v>
      </c>
      <c r="M2357" s="524" t="s">
        <v>1265</v>
      </c>
      <c r="N2357" s="524" t="s">
        <v>1223</v>
      </c>
      <c r="O2357" s="524" t="s">
        <v>1224</v>
      </c>
      <c r="P2357" s="526"/>
      <c r="S2357" s="527">
        <v>0</v>
      </c>
    </row>
    <row r="2358" spans="1:19" x14ac:dyDescent="0.2">
      <c r="A2358" s="524">
        <v>71366</v>
      </c>
      <c r="B2358" s="526">
        <v>46231</v>
      </c>
      <c r="C2358" s="524" t="s">
        <v>1162</v>
      </c>
      <c r="D2358" s="524" t="s">
        <v>1239</v>
      </c>
      <c r="E2358" s="524" t="s">
        <v>2601</v>
      </c>
      <c r="F2358" s="524" t="s">
        <v>1170</v>
      </c>
      <c r="G2358" s="524" t="s">
        <v>757</v>
      </c>
      <c r="H2358" s="527">
        <v>205.84</v>
      </c>
      <c r="I2358" s="524" t="s">
        <v>1148</v>
      </c>
      <c r="J2358" s="524">
        <f>IF(cmf[[#This Row],[D/C]]="C",cmf[[#This Row],[Valor]],-1*cmf[[#This Row],[Valor]])</f>
        <v>205.84</v>
      </c>
      <c r="L2358" s="524" t="s">
        <v>1264</v>
      </c>
      <c r="M2358" s="524" t="s">
        <v>1265</v>
      </c>
      <c r="N2358" s="524" t="s">
        <v>1223</v>
      </c>
      <c r="O2358" s="524" t="s">
        <v>1224</v>
      </c>
      <c r="P2358" s="526"/>
      <c r="S2358" s="527">
        <v>0</v>
      </c>
    </row>
    <row r="2359" spans="1:19" x14ac:dyDescent="0.2">
      <c r="A2359" s="524">
        <v>71367</v>
      </c>
      <c r="B2359" s="526">
        <v>46231</v>
      </c>
      <c r="C2359" s="524" t="s">
        <v>1162</v>
      </c>
      <c r="D2359" s="524" t="s">
        <v>1239</v>
      </c>
      <c r="E2359" s="524" t="s">
        <v>2602</v>
      </c>
      <c r="F2359" s="524" t="s">
        <v>1170</v>
      </c>
      <c r="G2359" s="524" t="s">
        <v>757</v>
      </c>
      <c r="H2359" s="527">
        <v>122.88</v>
      </c>
      <c r="I2359" s="524" t="s">
        <v>1148</v>
      </c>
      <c r="J2359" s="524">
        <f>IF(cmf[[#This Row],[D/C]]="C",cmf[[#This Row],[Valor]],-1*cmf[[#This Row],[Valor]])</f>
        <v>122.88</v>
      </c>
      <c r="L2359" s="524" t="s">
        <v>1264</v>
      </c>
      <c r="M2359" s="524" t="s">
        <v>1265</v>
      </c>
      <c r="N2359" s="524" t="s">
        <v>1223</v>
      </c>
      <c r="O2359" s="524" t="s">
        <v>1224</v>
      </c>
      <c r="P2359" s="526"/>
      <c r="S2359" s="527">
        <v>0</v>
      </c>
    </row>
    <row r="2360" spans="1:19" x14ac:dyDescent="0.2">
      <c r="A2360" s="524">
        <v>71371</v>
      </c>
      <c r="B2360" s="526">
        <v>46231</v>
      </c>
      <c r="C2360" s="524" t="s">
        <v>1162</v>
      </c>
      <c r="D2360" s="524" t="s">
        <v>1239</v>
      </c>
      <c r="E2360" s="524" t="s">
        <v>2603</v>
      </c>
      <c r="F2360" s="524" t="s">
        <v>1170</v>
      </c>
      <c r="G2360" s="524" t="s">
        <v>757</v>
      </c>
      <c r="H2360" s="527">
        <v>127.06</v>
      </c>
      <c r="I2360" s="524" t="s">
        <v>1148</v>
      </c>
      <c r="J2360" s="524">
        <f>IF(cmf[[#This Row],[D/C]]="C",cmf[[#This Row],[Valor]],-1*cmf[[#This Row],[Valor]])</f>
        <v>127.06</v>
      </c>
      <c r="L2360" s="524" t="s">
        <v>1264</v>
      </c>
      <c r="M2360" s="524" t="s">
        <v>1265</v>
      </c>
      <c r="N2360" s="524" t="s">
        <v>1223</v>
      </c>
      <c r="O2360" s="524" t="s">
        <v>1224</v>
      </c>
      <c r="P2360" s="526"/>
      <c r="S2360" s="527">
        <v>0</v>
      </c>
    </row>
    <row r="2361" spans="1:19" x14ac:dyDescent="0.2">
      <c r="A2361" s="524">
        <v>71372</v>
      </c>
      <c r="B2361" s="526">
        <v>46231</v>
      </c>
      <c r="C2361" s="524" t="s">
        <v>1162</v>
      </c>
      <c r="D2361" s="524" t="s">
        <v>1239</v>
      </c>
      <c r="E2361" s="524" t="s">
        <v>2604</v>
      </c>
      <c r="F2361" s="524" t="s">
        <v>1170</v>
      </c>
      <c r="G2361" s="524" t="s">
        <v>757</v>
      </c>
      <c r="H2361" s="527">
        <v>124.22</v>
      </c>
      <c r="I2361" s="524" t="s">
        <v>1148</v>
      </c>
      <c r="J2361" s="524">
        <f>IF(cmf[[#This Row],[D/C]]="C",cmf[[#This Row],[Valor]],-1*cmf[[#This Row],[Valor]])</f>
        <v>124.22</v>
      </c>
      <c r="L2361" s="524" t="s">
        <v>1264</v>
      </c>
      <c r="M2361" s="524" t="s">
        <v>1265</v>
      </c>
      <c r="N2361" s="524" t="s">
        <v>1223</v>
      </c>
      <c r="O2361" s="524" t="s">
        <v>1224</v>
      </c>
      <c r="P2361" s="526"/>
      <c r="S2361" s="527">
        <v>0</v>
      </c>
    </row>
    <row r="2362" spans="1:19" x14ac:dyDescent="0.2">
      <c r="A2362" s="524">
        <v>71373</v>
      </c>
      <c r="B2362" s="526">
        <v>46231</v>
      </c>
      <c r="C2362" s="524" t="s">
        <v>1162</v>
      </c>
      <c r="D2362" s="524" t="s">
        <v>1239</v>
      </c>
      <c r="E2362" s="524" t="s">
        <v>2605</v>
      </c>
      <c r="F2362" s="524" t="s">
        <v>1170</v>
      </c>
      <c r="G2362" s="524" t="s">
        <v>757</v>
      </c>
      <c r="H2362" s="527">
        <v>194.55</v>
      </c>
      <c r="I2362" s="524" t="s">
        <v>1148</v>
      </c>
      <c r="J2362" s="524">
        <f>IF(cmf[[#This Row],[D/C]]="C",cmf[[#This Row],[Valor]],-1*cmf[[#This Row],[Valor]])</f>
        <v>194.55</v>
      </c>
      <c r="L2362" s="524" t="s">
        <v>1264</v>
      </c>
      <c r="M2362" s="524" t="s">
        <v>1265</v>
      </c>
      <c r="N2362" s="524" t="s">
        <v>1223</v>
      </c>
      <c r="O2362" s="524" t="s">
        <v>1224</v>
      </c>
      <c r="P2362" s="526"/>
      <c r="S2362" s="527">
        <v>0</v>
      </c>
    </row>
    <row r="2363" spans="1:19" x14ac:dyDescent="0.2">
      <c r="A2363" s="524">
        <v>71375</v>
      </c>
      <c r="B2363" s="526">
        <v>46231</v>
      </c>
      <c r="C2363" s="524" t="s">
        <v>1162</v>
      </c>
      <c r="D2363" s="524" t="s">
        <v>1239</v>
      </c>
      <c r="E2363" s="524" t="s">
        <v>2606</v>
      </c>
      <c r="F2363" s="524" t="s">
        <v>1170</v>
      </c>
      <c r="G2363" s="524" t="s">
        <v>757</v>
      </c>
      <c r="H2363" s="527">
        <v>125.61</v>
      </c>
      <c r="I2363" s="524" t="s">
        <v>1148</v>
      </c>
      <c r="J2363" s="524">
        <f>IF(cmf[[#This Row],[D/C]]="C",cmf[[#This Row],[Valor]],-1*cmf[[#This Row],[Valor]])</f>
        <v>125.61</v>
      </c>
      <c r="L2363" s="524" t="s">
        <v>1264</v>
      </c>
      <c r="M2363" s="524" t="s">
        <v>1265</v>
      </c>
      <c r="N2363" s="524" t="s">
        <v>1223</v>
      </c>
      <c r="O2363" s="524" t="s">
        <v>1224</v>
      </c>
      <c r="P2363" s="526"/>
      <c r="S2363" s="527">
        <v>0</v>
      </c>
    </row>
    <row r="2364" spans="1:19" x14ac:dyDescent="0.2">
      <c r="A2364" s="524">
        <v>71376</v>
      </c>
      <c r="B2364" s="526">
        <v>46231</v>
      </c>
      <c r="C2364" s="524" t="s">
        <v>1162</v>
      </c>
      <c r="D2364" s="524" t="s">
        <v>1239</v>
      </c>
      <c r="E2364" s="524" t="s">
        <v>2607</v>
      </c>
      <c r="F2364" s="524" t="s">
        <v>1170</v>
      </c>
      <c r="G2364" s="524" t="s">
        <v>757</v>
      </c>
      <c r="H2364" s="527">
        <v>125.65</v>
      </c>
      <c r="I2364" s="524" t="s">
        <v>1148</v>
      </c>
      <c r="J2364" s="524">
        <f>IF(cmf[[#This Row],[D/C]]="C",cmf[[#This Row],[Valor]],-1*cmf[[#This Row],[Valor]])</f>
        <v>125.65</v>
      </c>
      <c r="L2364" s="524" t="s">
        <v>1264</v>
      </c>
      <c r="M2364" s="524" t="s">
        <v>1265</v>
      </c>
      <c r="N2364" s="524" t="s">
        <v>1223</v>
      </c>
      <c r="O2364" s="524" t="s">
        <v>1224</v>
      </c>
      <c r="P2364" s="526"/>
      <c r="S2364" s="527">
        <v>0</v>
      </c>
    </row>
    <row r="2365" spans="1:19" x14ac:dyDescent="0.2">
      <c r="A2365" s="524">
        <v>71377</v>
      </c>
      <c r="B2365" s="526">
        <v>46231</v>
      </c>
      <c r="C2365" s="524" t="s">
        <v>1162</v>
      </c>
      <c r="D2365" s="524" t="s">
        <v>1239</v>
      </c>
      <c r="E2365" s="524" t="s">
        <v>2608</v>
      </c>
      <c r="F2365" s="524" t="s">
        <v>1170</v>
      </c>
      <c r="G2365" s="524" t="s">
        <v>757</v>
      </c>
      <c r="H2365" s="527">
        <v>125.34</v>
      </c>
      <c r="I2365" s="524" t="s">
        <v>1148</v>
      </c>
      <c r="J2365" s="524">
        <f>IF(cmf[[#This Row],[D/C]]="C",cmf[[#This Row],[Valor]],-1*cmf[[#This Row],[Valor]])</f>
        <v>125.34</v>
      </c>
      <c r="L2365" s="524" t="s">
        <v>1264</v>
      </c>
      <c r="M2365" s="524" t="s">
        <v>1265</v>
      </c>
      <c r="N2365" s="524" t="s">
        <v>1223</v>
      </c>
      <c r="O2365" s="524" t="s">
        <v>1224</v>
      </c>
      <c r="P2365" s="526"/>
      <c r="S2365" s="527">
        <v>0</v>
      </c>
    </row>
    <row r="2366" spans="1:19" x14ac:dyDescent="0.2">
      <c r="A2366" s="524">
        <v>71378</v>
      </c>
      <c r="B2366" s="526">
        <v>46231</v>
      </c>
      <c r="C2366" s="524" t="s">
        <v>1162</v>
      </c>
      <c r="D2366" s="524" t="s">
        <v>1239</v>
      </c>
      <c r="E2366" s="524" t="s">
        <v>2609</v>
      </c>
      <c r="F2366" s="524" t="s">
        <v>1170</v>
      </c>
      <c r="G2366" s="524" t="s">
        <v>757</v>
      </c>
      <c r="H2366" s="527">
        <v>125.99</v>
      </c>
      <c r="I2366" s="524" t="s">
        <v>1148</v>
      </c>
      <c r="J2366" s="524">
        <f>IF(cmf[[#This Row],[D/C]]="C",cmf[[#This Row],[Valor]],-1*cmf[[#This Row],[Valor]])</f>
        <v>125.99</v>
      </c>
      <c r="L2366" s="524" t="s">
        <v>1264</v>
      </c>
      <c r="M2366" s="524" t="s">
        <v>1265</v>
      </c>
      <c r="N2366" s="524" t="s">
        <v>1223</v>
      </c>
      <c r="O2366" s="524" t="s">
        <v>1224</v>
      </c>
      <c r="P2366" s="526"/>
      <c r="S2366" s="527">
        <v>0</v>
      </c>
    </row>
    <row r="2367" spans="1:19" x14ac:dyDescent="0.2">
      <c r="A2367" s="524">
        <v>71382</v>
      </c>
      <c r="B2367" s="526">
        <v>46231</v>
      </c>
      <c r="C2367" s="524" t="s">
        <v>1162</v>
      </c>
      <c r="D2367" s="524" t="s">
        <v>1239</v>
      </c>
      <c r="E2367" s="524" t="s">
        <v>2610</v>
      </c>
      <c r="F2367" s="524" t="s">
        <v>1170</v>
      </c>
      <c r="G2367" s="524" t="s">
        <v>757</v>
      </c>
      <c r="H2367" s="527">
        <v>126.09</v>
      </c>
      <c r="I2367" s="524" t="s">
        <v>1148</v>
      </c>
      <c r="J2367" s="524">
        <f>IF(cmf[[#This Row],[D/C]]="C",cmf[[#This Row],[Valor]],-1*cmf[[#This Row],[Valor]])</f>
        <v>126.09</v>
      </c>
      <c r="L2367" s="524" t="s">
        <v>1264</v>
      </c>
      <c r="M2367" s="524" t="s">
        <v>1265</v>
      </c>
      <c r="N2367" s="524" t="s">
        <v>1223</v>
      </c>
      <c r="O2367" s="524" t="s">
        <v>1224</v>
      </c>
      <c r="P2367" s="526"/>
      <c r="S2367" s="527">
        <v>0</v>
      </c>
    </row>
    <row r="2368" spans="1:19" x14ac:dyDescent="0.2">
      <c r="A2368" s="524">
        <v>71384</v>
      </c>
      <c r="B2368" s="526">
        <v>46231</v>
      </c>
      <c r="C2368" s="524" t="s">
        <v>1162</v>
      </c>
      <c r="D2368" s="524" t="s">
        <v>1239</v>
      </c>
      <c r="E2368" s="524" t="s">
        <v>2611</v>
      </c>
      <c r="F2368" s="524" t="s">
        <v>1170</v>
      </c>
      <c r="G2368" s="524" t="s">
        <v>757</v>
      </c>
      <c r="H2368" s="527">
        <v>206.27</v>
      </c>
      <c r="I2368" s="524" t="s">
        <v>1148</v>
      </c>
      <c r="J2368" s="524">
        <f>IF(cmf[[#This Row],[D/C]]="C",cmf[[#This Row],[Valor]],-1*cmf[[#This Row],[Valor]])</f>
        <v>206.27</v>
      </c>
      <c r="L2368" s="524" t="s">
        <v>1264</v>
      </c>
      <c r="M2368" s="524" t="s">
        <v>1265</v>
      </c>
      <c r="N2368" s="524" t="s">
        <v>1223</v>
      </c>
      <c r="O2368" s="524" t="s">
        <v>1224</v>
      </c>
      <c r="P2368" s="526"/>
      <c r="S2368" s="527">
        <v>0</v>
      </c>
    </row>
    <row r="2369" spans="1:19" x14ac:dyDescent="0.2">
      <c r="A2369" s="524">
        <v>71385</v>
      </c>
      <c r="B2369" s="526">
        <v>46231</v>
      </c>
      <c r="C2369" s="524" t="s">
        <v>1148</v>
      </c>
      <c r="D2369" s="524" t="s">
        <v>1163</v>
      </c>
      <c r="E2369" s="524" t="s">
        <v>1164</v>
      </c>
      <c r="F2369" s="524" t="s">
        <v>1170</v>
      </c>
      <c r="G2369" s="524" t="s">
        <v>802</v>
      </c>
      <c r="H2369" s="527">
        <v>70379.06</v>
      </c>
      <c r="I2369" s="524" t="s">
        <v>1148</v>
      </c>
      <c r="J2369" s="524">
        <f>IF(cmf[[#This Row],[D/C]]="C",cmf[[#This Row],[Valor]],-1*cmf[[#This Row],[Valor]])</f>
        <v>70379.06</v>
      </c>
      <c r="L2369" s="524" t="s">
        <v>1166</v>
      </c>
      <c r="M2369" s="524" t="s">
        <v>1167</v>
      </c>
      <c r="N2369" s="524" t="s">
        <v>1192</v>
      </c>
      <c r="O2369" s="524" t="s">
        <v>1193</v>
      </c>
      <c r="P2369" s="526">
        <v>46230</v>
      </c>
      <c r="S2369" s="527">
        <v>0</v>
      </c>
    </row>
    <row r="2370" spans="1:19" x14ac:dyDescent="0.2">
      <c r="A2370" s="524">
        <v>71387</v>
      </c>
      <c r="B2370" s="526">
        <v>46231</v>
      </c>
      <c r="C2370" s="524" t="s">
        <v>1162</v>
      </c>
      <c r="D2370" s="524" t="s">
        <v>1239</v>
      </c>
      <c r="E2370" s="524" t="s">
        <v>2612</v>
      </c>
      <c r="F2370" s="524" t="s">
        <v>1170</v>
      </c>
      <c r="G2370" s="524" t="s">
        <v>757</v>
      </c>
      <c r="H2370" s="527">
        <v>124.89</v>
      </c>
      <c r="I2370" s="524" t="s">
        <v>1148</v>
      </c>
      <c r="J2370" s="524">
        <f>IF(cmf[[#This Row],[D/C]]="C",cmf[[#This Row],[Valor]],-1*cmf[[#This Row],[Valor]])</f>
        <v>124.89</v>
      </c>
      <c r="L2370" s="524" t="s">
        <v>1264</v>
      </c>
      <c r="M2370" s="524" t="s">
        <v>1265</v>
      </c>
      <c r="N2370" s="524" t="s">
        <v>1223</v>
      </c>
      <c r="O2370" s="524" t="s">
        <v>1224</v>
      </c>
      <c r="P2370" s="526"/>
      <c r="S2370" s="527">
        <v>0</v>
      </c>
    </row>
    <row r="2371" spans="1:19" x14ac:dyDescent="0.2">
      <c r="A2371" s="524">
        <v>71388</v>
      </c>
      <c r="B2371" s="526">
        <v>46231</v>
      </c>
      <c r="C2371" s="524" t="s">
        <v>1162</v>
      </c>
      <c r="D2371" s="524" t="s">
        <v>1239</v>
      </c>
      <c r="E2371" s="524" t="s">
        <v>2613</v>
      </c>
      <c r="F2371" s="524" t="s">
        <v>1170</v>
      </c>
      <c r="G2371" s="524" t="s">
        <v>757</v>
      </c>
      <c r="H2371" s="527">
        <v>192.12</v>
      </c>
      <c r="I2371" s="524" t="s">
        <v>1148</v>
      </c>
      <c r="J2371" s="524">
        <f>IF(cmf[[#This Row],[D/C]]="C",cmf[[#This Row],[Valor]],-1*cmf[[#This Row],[Valor]])</f>
        <v>192.12</v>
      </c>
      <c r="L2371" s="524" t="s">
        <v>1264</v>
      </c>
      <c r="M2371" s="524" t="s">
        <v>1265</v>
      </c>
      <c r="N2371" s="524" t="s">
        <v>1223</v>
      </c>
      <c r="O2371" s="524" t="s">
        <v>1224</v>
      </c>
      <c r="P2371" s="526"/>
      <c r="S2371" s="527">
        <v>0</v>
      </c>
    </row>
    <row r="2372" spans="1:19" x14ac:dyDescent="0.2">
      <c r="A2372" s="524">
        <v>71389</v>
      </c>
      <c r="B2372" s="526">
        <v>46231</v>
      </c>
      <c r="C2372" s="524" t="s">
        <v>1162</v>
      </c>
      <c r="D2372" s="524" t="s">
        <v>1239</v>
      </c>
      <c r="E2372" s="524" t="s">
        <v>2614</v>
      </c>
      <c r="F2372" s="524" t="s">
        <v>1170</v>
      </c>
      <c r="G2372" s="524" t="s">
        <v>757</v>
      </c>
      <c r="H2372" s="527">
        <v>192.31</v>
      </c>
      <c r="I2372" s="524" t="s">
        <v>1148</v>
      </c>
      <c r="J2372" s="524">
        <f>IF(cmf[[#This Row],[D/C]]="C",cmf[[#This Row],[Valor]],-1*cmf[[#This Row],[Valor]])</f>
        <v>192.31</v>
      </c>
      <c r="L2372" s="524" t="s">
        <v>1264</v>
      </c>
      <c r="M2372" s="524" t="s">
        <v>1265</v>
      </c>
      <c r="N2372" s="524" t="s">
        <v>1223</v>
      </c>
      <c r="O2372" s="524" t="s">
        <v>1224</v>
      </c>
      <c r="P2372" s="526"/>
      <c r="S2372" s="527">
        <v>0</v>
      </c>
    </row>
    <row r="2373" spans="1:19" x14ac:dyDescent="0.2">
      <c r="A2373" s="524">
        <v>71390</v>
      </c>
      <c r="B2373" s="526">
        <v>46231</v>
      </c>
      <c r="C2373" s="524" t="s">
        <v>1148</v>
      </c>
      <c r="D2373" s="524" t="s">
        <v>1163</v>
      </c>
      <c r="E2373" s="524" t="s">
        <v>1164</v>
      </c>
      <c r="F2373" s="524" t="s">
        <v>1170</v>
      </c>
      <c r="G2373" s="524" t="s">
        <v>802</v>
      </c>
      <c r="H2373" s="527">
        <v>47354.89</v>
      </c>
      <c r="I2373" s="524" t="s">
        <v>1148</v>
      </c>
      <c r="J2373" s="524">
        <f>IF(cmf[[#This Row],[D/C]]="C",cmf[[#This Row],[Valor]],-1*cmf[[#This Row],[Valor]])</f>
        <v>47354.89</v>
      </c>
      <c r="L2373" s="524" t="s">
        <v>1166</v>
      </c>
      <c r="M2373" s="524" t="s">
        <v>1167</v>
      </c>
      <c r="N2373" s="524" t="s">
        <v>1192</v>
      </c>
      <c r="O2373" s="524" t="s">
        <v>1193</v>
      </c>
      <c r="P2373" s="526">
        <v>46231</v>
      </c>
      <c r="S2373" s="527">
        <v>0</v>
      </c>
    </row>
    <row r="2374" spans="1:19" x14ac:dyDescent="0.2">
      <c r="A2374" s="524">
        <v>71391</v>
      </c>
      <c r="B2374" s="526">
        <v>46231</v>
      </c>
      <c r="C2374" s="524" t="s">
        <v>1162</v>
      </c>
      <c r="D2374" s="524" t="s">
        <v>1239</v>
      </c>
      <c r="E2374" s="524" t="s">
        <v>2615</v>
      </c>
      <c r="F2374" s="524" t="s">
        <v>1170</v>
      </c>
      <c r="G2374" s="524" t="s">
        <v>757</v>
      </c>
      <c r="H2374" s="527">
        <v>122.78</v>
      </c>
      <c r="I2374" s="524" t="s">
        <v>1148</v>
      </c>
      <c r="J2374" s="524">
        <f>IF(cmf[[#This Row],[D/C]]="C",cmf[[#This Row],[Valor]],-1*cmf[[#This Row],[Valor]])</f>
        <v>122.78</v>
      </c>
      <c r="L2374" s="524" t="s">
        <v>1264</v>
      </c>
      <c r="M2374" s="524" t="s">
        <v>1265</v>
      </c>
      <c r="N2374" s="524" t="s">
        <v>1223</v>
      </c>
      <c r="O2374" s="524" t="s">
        <v>1224</v>
      </c>
      <c r="P2374" s="526"/>
      <c r="S2374" s="527">
        <v>0</v>
      </c>
    </row>
    <row r="2375" spans="1:19" x14ac:dyDescent="0.2">
      <c r="A2375" s="524">
        <v>71392</v>
      </c>
      <c r="B2375" s="526">
        <v>46231</v>
      </c>
      <c r="C2375" s="524" t="s">
        <v>1162</v>
      </c>
      <c r="D2375" s="524" t="s">
        <v>1239</v>
      </c>
      <c r="E2375" s="524" t="s">
        <v>2616</v>
      </c>
      <c r="F2375" s="524" t="s">
        <v>1170</v>
      </c>
      <c r="G2375" s="524" t="s">
        <v>757</v>
      </c>
      <c r="H2375" s="527">
        <v>126.85</v>
      </c>
      <c r="I2375" s="524" t="s">
        <v>1148</v>
      </c>
      <c r="J2375" s="524">
        <f>IF(cmf[[#This Row],[D/C]]="C",cmf[[#This Row],[Valor]],-1*cmf[[#This Row],[Valor]])</f>
        <v>126.85</v>
      </c>
      <c r="L2375" s="524" t="s">
        <v>1264</v>
      </c>
      <c r="M2375" s="524" t="s">
        <v>1265</v>
      </c>
      <c r="N2375" s="524" t="s">
        <v>1223</v>
      </c>
      <c r="O2375" s="524" t="s">
        <v>1224</v>
      </c>
      <c r="P2375" s="526"/>
      <c r="S2375" s="527">
        <v>0</v>
      </c>
    </row>
    <row r="2376" spans="1:19" x14ac:dyDescent="0.2">
      <c r="A2376" s="524">
        <v>71393</v>
      </c>
      <c r="B2376" s="526">
        <v>46231</v>
      </c>
      <c r="C2376" s="524" t="s">
        <v>1162</v>
      </c>
      <c r="D2376" s="524" t="s">
        <v>1239</v>
      </c>
      <c r="E2376" s="524" t="s">
        <v>2617</v>
      </c>
      <c r="F2376" s="524" t="s">
        <v>1170</v>
      </c>
      <c r="G2376" s="524" t="s">
        <v>757</v>
      </c>
      <c r="H2376" s="527">
        <v>206.27</v>
      </c>
      <c r="I2376" s="524" t="s">
        <v>1148</v>
      </c>
      <c r="J2376" s="524">
        <f>IF(cmf[[#This Row],[D/C]]="C",cmf[[#This Row],[Valor]],-1*cmf[[#This Row],[Valor]])</f>
        <v>206.27</v>
      </c>
      <c r="L2376" s="524" t="s">
        <v>1264</v>
      </c>
      <c r="M2376" s="524" t="s">
        <v>1265</v>
      </c>
      <c r="N2376" s="524" t="s">
        <v>1223</v>
      </c>
      <c r="O2376" s="524" t="s">
        <v>1224</v>
      </c>
      <c r="P2376" s="526"/>
      <c r="S2376" s="527">
        <v>0</v>
      </c>
    </row>
    <row r="2377" spans="1:19" x14ac:dyDescent="0.2">
      <c r="A2377" s="524">
        <v>71394</v>
      </c>
      <c r="B2377" s="526">
        <v>46231</v>
      </c>
      <c r="C2377" s="524" t="s">
        <v>1162</v>
      </c>
      <c r="D2377" s="524" t="s">
        <v>1239</v>
      </c>
      <c r="E2377" s="524" t="s">
        <v>2618</v>
      </c>
      <c r="F2377" s="524" t="s">
        <v>1170</v>
      </c>
      <c r="G2377" s="524" t="s">
        <v>757</v>
      </c>
      <c r="H2377" s="527">
        <v>206.27</v>
      </c>
      <c r="I2377" s="524" t="s">
        <v>1148</v>
      </c>
      <c r="J2377" s="524">
        <f>IF(cmf[[#This Row],[D/C]]="C",cmf[[#This Row],[Valor]],-1*cmf[[#This Row],[Valor]])</f>
        <v>206.27</v>
      </c>
      <c r="L2377" s="524" t="s">
        <v>1264</v>
      </c>
      <c r="M2377" s="524" t="s">
        <v>1265</v>
      </c>
      <c r="N2377" s="524" t="s">
        <v>1223</v>
      </c>
      <c r="O2377" s="524" t="s">
        <v>1224</v>
      </c>
      <c r="P2377" s="526"/>
      <c r="S2377" s="527">
        <v>0</v>
      </c>
    </row>
    <row r="2378" spans="1:19" x14ac:dyDescent="0.2">
      <c r="A2378" s="524">
        <v>71395</v>
      </c>
      <c r="B2378" s="526">
        <v>46231</v>
      </c>
      <c r="C2378" s="524" t="s">
        <v>1162</v>
      </c>
      <c r="D2378" s="524" t="s">
        <v>1239</v>
      </c>
      <c r="E2378" s="524" t="s">
        <v>2619</v>
      </c>
      <c r="F2378" s="524" t="s">
        <v>1170</v>
      </c>
      <c r="G2378" s="524" t="s">
        <v>757</v>
      </c>
      <c r="H2378" s="527">
        <v>120.59</v>
      </c>
      <c r="I2378" s="524" t="s">
        <v>1148</v>
      </c>
      <c r="J2378" s="524">
        <f>IF(cmf[[#This Row],[D/C]]="C",cmf[[#This Row],[Valor]],-1*cmf[[#This Row],[Valor]])</f>
        <v>120.59</v>
      </c>
      <c r="L2378" s="524" t="s">
        <v>1264</v>
      </c>
      <c r="M2378" s="524" t="s">
        <v>1265</v>
      </c>
      <c r="N2378" s="524" t="s">
        <v>1223</v>
      </c>
      <c r="O2378" s="524" t="s">
        <v>1224</v>
      </c>
      <c r="P2378" s="526"/>
      <c r="S2378" s="527">
        <v>0</v>
      </c>
    </row>
    <row r="2379" spans="1:19" x14ac:dyDescent="0.2">
      <c r="A2379" s="524">
        <v>71396</v>
      </c>
      <c r="B2379" s="526">
        <v>46231</v>
      </c>
      <c r="C2379" s="524" t="s">
        <v>1162</v>
      </c>
      <c r="D2379" s="524" t="s">
        <v>1239</v>
      </c>
      <c r="E2379" s="524" t="s">
        <v>2620</v>
      </c>
      <c r="F2379" s="524" t="s">
        <v>1170</v>
      </c>
      <c r="G2379" s="524" t="s">
        <v>757</v>
      </c>
      <c r="H2379" s="527">
        <v>127.26</v>
      </c>
      <c r="I2379" s="524" t="s">
        <v>1148</v>
      </c>
      <c r="J2379" s="524">
        <f>IF(cmf[[#This Row],[D/C]]="C",cmf[[#This Row],[Valor]],-1*cmf[[#This Row],[Valor]])</f>
        <v>127.26</v>
      </c>
      <c r="L2379" s="524" t="s">
        <v>1264</v>
      </c>
      <c r="M2379" s="524" t="s">
        <v>1265</v>
      </c>
      <c r="N2379" s="524" t="s">
        <v>1223</v>
      </c>
      <c r="O2379" s="524" t="s">
        <v>1224</v>
      </c>
      <c r="P2379" s="526"/>
      <c r="S2379" s="527">
        <v>0</v>
      </c>
    </row>
    <row r="2380" spans="1:19" x14ac:dyDescent="0.2">
      <c r="A2380" s="524">
        <v>71397</v>
      </c>
      <c r="B2380" s="526">
        <v>46231</v>
      </c>
      <c r="C2380" s="524" t="s">
        <v>1162</v>
      </c>
      <c r="D2380" s="524" t="s">
        <v>1239</v>
      </c>
      <c r="E2380" s="524" t="s">
        <v>2621</v>
      </c>
      <c r="F2380" s="524" t="s">
        <v>1170</v>
      </c>
      <c r="G2380" s="524" t="s">
        <v>757</v>
      </c>
      <c r="H2380" s="527">
        <v>192.03</v>
      </c>
      <c r="I2380" s="524" t="s">
        <v>1148</v>
      </c>
      <c r="J2380" s="524">
        <f>IF(cmf[[#This Row],[D/C]]="C",cmf[[#This Row],[Valor]],-1*cmf[[#This Row],[Valor]])</f>
        <v>192.03</v>
      </c>
      <c r="L2380" s="524" t="s">
        <v>1264</v>
      </c>
      <c r="M2380" s="524" t="s">
        <v>1265</v>
      </c>
      <c r="N2380" s="524" t="s">
        <v>1223</v>
      </c>
      <c r="O2380" s="524" t="s">
        <v>1224</v>
      </c>
      <c r="P2380" s="526"/>
      <c r="S2380" s="527">
        <v>0</v>
      </c>
    </row>
    <row r="2381" spans="1:19" x14ac:dyDescent="0.2">
      <c r="A2381" s="524">
        <v>71398</v>
      </c>
      <c r="B2381" s="526">
        <v>46231</v>
      </c>
      <c r="C2381" s="524" t="s">
        <v>1162</v>
      </c>
      <c r="D2381" s="524" t="s">
        <v>1239</v>
      </c>
      <c r="E2381" s="524" t="s">
        <v>2622</v>
      </c>
      <c r="F2381" s="524" t="s">
        <v>1170</v>
      </c>
      <c r="G2381" s="524" t="s">
        <v>757</v>
      </c>
      <c r="H2381" s="527">
        <v>206.7</v>
      </c>
      <c r="I2381" s="524" t="s">
        <v>1148</v>
      </c>
      <c r="J2381" s="524">
        <f>IF(cmf[[#This Row],[D/C]]="C",cmf[[#This Row],[Valor]],-1*cmf[[#This Row],[Valor]])</f>
        <v>206.7</v>
      </c>
      <c r="L2381" s="524" t="s">
        <v>1264</v>
      </c>
      <c r="M2381" s="524" t="s">
        <v>1265</v>
      </c>
      <c r="N2381" s="524" t="s">
        <v>1223</v>
      </c>
      <c r="O2381" s="524" t="s">
        <v>1224</v>
      </c>
      <c r="P2381" s="526"/>
      <c r="S2381" s="527">
        <v>0</v>
      </c>
    </row>
    <row r="2382" spans="1:19" x14ac:dyDescent="0.2">
      <c r="A2382" s="524">
        <v>71399</v>
      </c>
      <c r="B2382" s="526">
        <v>46231</v>
      </c>
      <c r="C2382" s="524" t="s">
        <v>1162</v>
      </c>
      <c r="D2382" s="524" t="s">
        <v>1239</v>
      </c>
      <c r="E2382" s="524" t="s">
        <v>2623</v>
      </c>
      <c r="F2382" s="524" t="s">
        <v>1170</v>
      </c>
      <c r="G2382" s="524" t="s">
        <v>757</v>
      </c>
      <c r="H2382" s="527">
        <v>125.99</v>
      </c>
      <c r="I2382" s="524" t="s">
        <v>1148</v>
      </c>
      <c r="J2382" s="524">
        <f>IF(cmf[[#This Row],[D/C]]="C",cmf[[#This Row],[Valor]],-1*cmf[[#This Row],[Valor]])</f>
        <v>125.99</v>
      </c>
      <c r="L2382" s="524" t="s">
        <v>1264</v>
      </c>
      <c r="M2382" s="524" t="s">
        <v>1265</v>
      </c>
      <c r="N2382" s="524" t="s">
        <v>1223</v>
      </c>
      <c r="O2382" s="524" t="s">
        <v>1224</v>
      </c>
      <c r="P2382" s="526"/>
      <c r="S2382" s="527">
        <v>0</v>
      </c>
    </row>
    <row r="2383" spans="1:19" x14ac:dyDescent="0.2">
      <c r="A2383" s="524">
        <v>71400</v>
      </c>
      <c r="B2383" s="526">
        <v>46231</v>
      </c>
      <c r="C2383" s="524" t="s">
        <v>1162</v>
      </c>
      <c r="D2383" s="524" t="s">
        <v>1239</v>
      </c>
      <c r="E2383" s="524" t="s">
        <v>2624</v>
      </c>
      <c r="F2383" s="524" t="s">
        <v>1170</v>
      </c>
      <c r="G2383" s="524" t="s">
        <v>757</v>
      </c>
      <c r="H2383" s="527">
        <v>125.2</v>
      </c>
      <c r="I2383" s="524" t="s">
        <v>1148</v>
      </c>
      <c r="J2383" s="524">
        <f>IF(cmf[[#This Row],[D/C]]="C",cmf[[#This Row],[Valor]],-1*cmf[[#This Row],[Valor]])</f>
        <v>125.2</v>
      </c>
      <c r="L2383" s="524" t="s">
        <v>1264</v>
      </c>
      <c r="M2383" s="524" t="s">
        <v>1265</v>
      </c>
      <c r="N2383" s="524" t="s">
        <v>1223</v>
      </c>
      <c r="O2383" s="524" t="s">
        <v>1224</v>
      </c>
      <c r="P2383" s="526"/>
      <c r="S2383" s="527">
        <v>0</v>
      </c>
    </row>
    <row r="2384" spans="1:19" x14ac:dyDescent="0.2">
      <c r="A2384" s="524">
        <v>71401</v>
      </c>
      <c r="B2384" s="526">
        <v>46231</v>
      </c>
      <c r="C2384" s="524" t="s">
        <v>1162</v>
      </c>
      <c r="D2384" s="524" t="s">
        <v>1239</v>
      </c>
      <c r="E2384" s="524" t="s">
        <v>2625</v>
      </c>
      <c r="F2384" s="524" t="s">
        <v>1170</v>
      </c>
      <c r="G2384" s="524" t="s">
        <v>757</v>
      </c>
      <c r="H2384" s="527">
        <v>191.2</v>
      </c>
      <c r="I2384" s="524" t="s">
        <v>1148</v>
      </c>
      <c r="J2384" s="524">
        <f>IF(cmf[[#This Row],[D/C]]="C",cmf[[#This Row],[Valor]],-1*cmf[[#This Row],[Valor]])</f>
        <v>191.2</v>
      </c>
      <c r="L2384" s="524" t="s">
        <v>1264</v>
      </c>
      <c r="M2384" s="524" t="s">
        <v>1265</v>
      </c>
      <c r="N2384" s="524" t="s">
        <v>1223</v>
      </c>
      <c r="O2384" s="524" t="s">
        <v>1224</v>
      </c>
      <c r="P2384" s="526"/>
      <c r="S2384" s="527">
        <v>0</v>
      </c>
    </row>
    <row r="2385" spans="1:19" x14ac:dyDescent="0.2">
      <c r="A2385" s="524">
        <v>71402</v>
      </c>
      <c r="B2385" s="526">
        <v>46231</v>
      </c>
      <c r="C2385" s="524" t="s">
        <v>1162</v>
      </c>
      <c r="D2385" s="524" t="s">
        <v>1239</v>
      </c>
      <c r="E2385" s="524" t="s">
        <v>2626</v>
      </c>
      <c r="F2385" s="524" t="s">
        <v>1170</v>
      </c>
      <c r="G2385" s="524" t="s">
        <v>757</v>
      </c>
      <c r="H2385" s="527">
        <v>190.76</v>
      </c>
      <c r="I2385" s="524" t="s">
        <v>1148</v>
      </c>
      <c r="J2385" s="524">
        <f>IF(cmf[[#This Row],[D/C]]="C",cmf[[#This Row],[Valor]],-1*cmf[[#This Row],[Valor]])</f>
        <v>190.76</v>
      </c>
      <c r="L2385" s="524" t="s">
        <v>1264</v>
      </c>
      <c r="M2385" s="524" t="s">
        <v>1265</v>
      </c>
      <c r="N2385" s="524" t="s">
        <v>1223</v>
      </c>
      <c r="O2385" s="524" t="s">
        <v>1224</v>
      </c>
      <c r="P2385" s="526"/>
      <c r="S2385" s="527">
        <v>0</v>
      </c>
    </row>
    <row r="2386" spans="1:19" x14ac:dyDescent="0.2">
      <c r="A2386" s="524">
        <v>71403</v>
      </c>
      <c r="B2386" s="526">
        <v>46231</v>
      </c>
      <c r="C2386" s="524" t="s">
        <v>1162</v>
      </c>
      <c r="D2386" s="524" t="s">
        <v>1239</v>
      </c>
      <c r="E2386" s="524" t="s">
        <v>2627</v>
      </c>
      <c r="F2386" s="524" t="s">
        <v>1170</v>
      </c>
      <c r="G2386" s="524" t="s">
        <v>757</v>
      </c>
      <c r="H2386" s="527">
        <v>118.31</v>
      </c>
      <c r="I2386" s="524" t="s">
        <v>1148</v>
      </c>
      <c r="J2386" s="524">
        <f>IF(cmf[[#This Row],[D/C]]="C",cmf[[#This Row],[Valor]],-1*cmf[[#This Row],[Valor]])</f>
        <v>118.31</v>
      </c>
      <c r="L2386" s="524" t="s">
        <v>1264</v>
      </c>
      <c r="M2386" s="524" t="s">
        <v>1265</v>
      </c>
      <c r="N2386" s="524" t="s">
        <v>1223</v>
      </c>
      <c r="O2386" s="524" t="s">
        <v>1224</v>
      </c>
      <c r="P2386" s="526"/>
      <c r="S2386" s="527">
        <v>0</v>
      </c>
    </row>
    <row r="2387" spans="1:19" x14ac:dyDescent="0.2">
      <c r="A2387" s="524">
        <v>71404</v>
      </c>
      <c r="B2387" s="526">
        <v>46231</v>
      </c>
      <c r="C2387" s="524" t="s">
        <v>1162</v>
      </c>
      <c r="D2387" s="524" t="s">
        <v>1239</v>
      </c>
      <c r="E2387" s="524" t="s">
        <v>2628</v>
      </c>
      <c r="F2387" s="524" t="s">
        <v>1170</v>
      </c>
      <c r="G2387" s="524" t="s">
        <v>757</v>
      </c>
      <c r="H2387" s="527">
        <v>192.31</v>
      </c>
      <c r="I2387" s="524" t="s">
        <v>1148</v>
      </c>
      <c r="J2387" s="524">
        <f>IF(cmf[[#This Row],[D/C]]="C",cmf[[#This Row],[Valor]],-1*cmf[[#This Row],[Valor]])</f>
        <v>192.31</v>
      </c>
      <c r="L2387" s="524" t="s">
        <v>1264</v>
      </c>
      <c r="M2387" s="524" t="s">
        <v>1265</v>
      </c>
      <c r="N2387" s="524" t="s">
        <v>1223</v>
      </c>
      <c r="O2387" s="524" t="s">
        <v>1224</v>
      </c>
      <c r="P2387" s="526"/>
      <c r="S2387" s="527">
        <v>0</v>
      </c>
    </row>
    <row r="2388" spans="1:19" x14ac:dyDescent="0.2">
      <c r="A2388" s="524">
        <v>71405</v>
      </c>
      <c r="B2388" s="526">
        <v>46231</v>
      </c>
      <c r="C2388" s="524" t="s">
        <v>1162</v>
      </c>
      <c r="D2388" s="524" t="s">
        <v>1239</v>
      </c>
      <c r="E2388" s="524" t="s">
        <v>2629</v>
      </c>
      <c r="F2388" s="524" t="s">
        <v>1170</v>
      </c>
      <c r="G2388" s="524" t="s">
        <v>757</v>
      </c>
      <c r="H2388" s="527">
        <v>205.47</v>
      </c>
      <c r="I2388" s="524" t="s">
        <v>1148</v>
      </c>
      <c r="J2388" s="524">
        <f>IF(cmf[[#This Row],[D/C]]="C",cmf[[#This Row],[Valor]],-1*cmf[[#This Row],[Valor]])</f>
        <v>205.47</v>
      </c>
      <c r="L2388" s="524" t="s">
        <v>1264</v>
      </c>
      <c r="M2388" s="524" t="s">
        <v>1265</v>
      </c>
      <c r="N2388" s="524" t="s">
        <v>1223</v>
      </c>
      <c r="O2388" s="524" t="s">
        <v>1224</v>
      </c>
      <c r="P2388" s="526"/>
      <c r="S2388" s="527">
        <v>0</v>
      </c>
    </row>
    <row r="2389" spans="1:19" x14ac:dyDescent="0.2">
      <c r="A2389" s="524">
        <v>71406</v>
      </c>
      <c r="B2389" s="526">
        <v>46231</v>
      </c>
      <c r="C2389" s="524" t="s">
        <v>1162</v>
      </c>
      <c r="D2389" s="524" t="s">
        <v>1239</v>
      </c>
      <c r="E2389" s="524" t="s">
        <v>2630</v>
      </c>
      <c r="F2389" s="524" t="s">
        <v>1170</v>
      </c>
      <c r="G2389" s="524" t="s">
        <v>757</v>
      </c>
      <c r="H2389" s="527">
        <v>126.09</v>
      </c>
      <c r="I2389" s="524" t="s">
        <v>1148</v>
      </c>
      <c r="J2389" s="524">
        <f>IF(cmf[[#This Row],[D/C]]="C",cmf[[#This Row],[Valor]],-1*cmf[[#This Row],[Valor]])</f>
        <v>126.09</v>
      </c>
      <c r="L2389" s="524" t="s">
        <v>1264</v>
      </c>
      <c r="M2389" s="524" t="s">
        <v>1265</v>
      </c>
      <c r="N2389" s="524" t="s">
        <v>1223</v>
      </c>
      <c r="O2389" s="524" t="s">
        <v>1224</v>
      </c>
      <c r="P2389" s="526"/>
      <c r="S2389" s="527">
        <v>0</v>
      </c>
    </row>
    <row r="2390" spans="1:19" x14ac:dyDescent="0.2">
      <c r="A2390" s="524">
        <v>71412</v>
      </c>
      <c r="B2390" s="526">
        <v>46231</v>
      </c>
      <c r="C2390" s="524" t="s">
        <v>1148</v>
      </c>
      <c r="D2390" s="524" t="s">
        <v>1239</v>
      </c>
      <c r="E2390" s="524" t="s">
        <v>2631</v>
      </c>
      <c r="F2390" s="524" t="s">
        <v>1170</v>
      </c>
      <c r="G2390" s="524" t="s">
        <v>802</v>
      </c>
      <c r="H2390" s="527">
        <v>322.06</v>
      </c>
      <c r="I2390" s="524" t="s">
        <v>1148</v>
      </c>
      <c r="J2390" s="524">
        <f>IF(cmf[[#This Row],[D/C]]="C",cmf[[#This Row],[Valor]],-1*cmf[[#This Row],[Valor]])</f>
        <v>322.06</v>
      </c>
      <c r="L2390" s="524" t="s">
        <v>1264</v>
      </c>
      <c r="M2390" s="524" t="s">
        <v>1265</v>
      </c>
      <c r="N2390" s="524" t="s">
        <v>1192</v>
      </c>
      <c r="O2390" s="524" t="s">
        <v>1193</v>
      </c>
      <c r="P2390" s="526">
        <v>46231</v>
      </c>
      <c r="S2390" s="527">
        <v>0</v>
      </c>
    </row>
    <row r="2391" spans="1:19" x14ac:dyDescent="0.2">
      <c r="A2391" s="524">
        <v>71539</v>
      </c>
      <c r="B2391" s="526">
        <v>46231</v>
      </c>
      <c r="C2391" s="524" t="s">
        <v>1148</v>
      </c>
      <c r="D2391" s="524" t="s">
        <v>1239</v>
      </c>
      <c r="E2391" s="524" t="s">
        <v>1255</v>
      </c>
      <c r="F2391" s="524" t="s">
        <v>1170</v>
      </c>
      <c r="G2391" s="524" t="s">
        <v>762</v>
      </c>
      <c r="H2391" s="527">
        <v>0.2</v>
      </c>
      <c r="I2391" s="524" t="s">
        <v>1174</v>
      </c>
      <c r="J2391" s="524">
        <f>IF(cmf[[#This Row],[D/C]]="C",cmf[[#This Row],[Valor]],-1*cmf[[#This Row],[Valor]])</f>
        <v>-0.2</v>
      </c>
      <c r="L2391" s="524" t="s">
        <v>1241</v>
      </c>
      <c r="M2391" s="524" t="s">
        <v>1242</v>
      </c>
      <c r="N2391" s="524" t="s">
        <v>1180</v>
      </c>
      <c r="O2391" s="524" t="s">
        <v>1181</v>
      </c>
      <c r="P2391" s="526">
        <v>46231</v>
      </c>
      <c r="S2391" s="527">
        <v>0</v>
      </c>
    </row>
    <row r="2392" spans="1:19" x14ac:dyDescent="0.2">
      <c r="A2392" s="524">
        <v>71552</v>
      </c>
      <c r="B2392" s="526">
        <v>46231</v>
      </c>
      <c r="C2392" s="524" t="s">
        <v>1148</v>
      </c>
      <c r="D2392" s="524" t="s">
        <v>1243</v>
      </c>
      <c r="E2392" s="524" t="s">
        <v>1244</v>
      </c>
      <c r="F2392" s="524" t="s">
        <v>1183</v>
      </c>
      <c r="G2392" s="524" t="s">
        <v>803</v>
      </c>
      <c r="H2392" s="527">
        <v>759.14</v>
      </c>
      <c r="I2392" s="524" t="s">
        <v>1148</v>
      </c>
      <c r="J2392" s="524">
        <f>IF(cmf[[#This Row],[D/C]]="C",cmf[[#This Row],[Valor]],-1*cmf[[#This Row],[Valor]])</f>
        <v>759.14</v>
      </c>
      <c r="L2392" s="524" t="s">
        <v>1245</v>
      </c>
      <c r="M2392" s="524" t="s">
        <v>1246</v>
      </c>
      <c r="N2392" s="524" t="s">
        <v>1192</v>
      </c>
      <c r="O2392" s="524" t="s">
        <v>1193</v>
      </c>
      <c r="P2392" s="526">
        <v>46231</v>
      </c>
      <c r="S2392" s="527">
        <v>0</v>
      </c>
    </row>
    <row r="2393" spans="1:19" x14ac:dyDescent="0.2">
      <c r="A2393" s="524">
        <v>71553</v>
      </c>
      <c r="B2393" s="526">
        <v>46231</v>
      </c>
      <c r="C2393" s="524" t="s">
        <v>1148</v>
      </c>
      <c r="D2393" s="524" t="s">
        <v>1243</v>
      </c>
      <c r="E2393" s="524" t="s">
        <v>1244</v>
      </c>
      <c r="F2393" s="524" t="s">
        <v>1183</v>
      </c>
      <c r="G2393" s="524" t="s">
        <v>803</v>
      </c>
      <c r="H2393" s="527">
        <v>0.02</v>
      </c>
      <c r="I2393" s="524" t="s">
        <v>1148</v>
      </c>
      <c r="J2393" s="524">
        <f>IF(cmf[[#This Row],[D/C]]="C",cmf[[#This Row],[Valor]],-1*cmf[[#This Row],[Valor]])</f>
        <v>0.02</v>
      </c>
      <c r="L2393" s="524" t="s">
        <v>1245</v>
      </c>
      <c r="M2393" s="524" t="s">
        <v>1246</v>
      </c>
      <c r="N2393" s="524" t="s">
        <v>1192</v>
      </c>
      <c r="O2393" s="524" t="s">
        <v>1193</v>
      </c>
      <c r="P2393" s="526">
        <v>46231</v>
      </c>
      <c r="S2393" s="527">
        <v>0</v>
      </c>
    </row>
    <row r="2394" spans="1:19" x14ac:dyDescent="0.2">
      <c r="A2394" s="524">
        <v>71578</v>
      </c>
      <c r="B2394" s="526">
        <v>46231</v>
      </c>
      <c r="C2394" s="524" t="s">
        <v>1148</v>
      </c>
      <c r="D2394" s="524" t="s">
        <v>1243</v>
      </c>
      <c r="E2394" s="524" t="s">
        <v>1244</v>
      </c>
      <c r="F2394" s="524" t="s">
        <v>1183</v>
      </c>
      <c r="G2394" s="524" t="s">
        <v>800</v>
      </c>
      <c r="H2394" s="527">
        <v>4303.6899999999996</v>
      </c>
      <c r="I2394" s="524" t="s">
        <v>1148</v>
      </c>
      <c r="J2394" s="524">
        <f>IF(cmf[[#This Row],[D/C]]="C",cmf[[#This Row],[Valor]],-1*cmf[[#This Row],[Valor]])</f>
        <v>4303.6899999999996</v>
      </c>
      <c r="L2394" s="524" t="s">
        <v>1245</v>
      </c>
      <c r="M2394" s="524" t="s">
        <v>1246</v>
      </c>
      <c r="N2394" s="524" t="s">
        <v>1171</v>
      </c>
      <c r="O2394" s="524" t="s">
        <v>1172</v>
      </c>
      <c r="P2394" s="526">
        <v>46231</v>
      </c>
      <c r="S2394" s="527">
        <v>0</v>
      </c>
    </row>
    <row r="2395" spans="1:19" x14ac:dyDescent="0.2">
      <c r="A2395" s="524">
        <v>71579</v>
      </c>
      <c r="B2395" s="526">
        <v>46231</v>
      </c>
      <c r="C2395" s="524" t="s">
        <v>1148</v>
      </c>
      <c r="D2395" s="524" t="s">
        <v>1243</v>
      </c>
      <c r="E2395" s="524" t="s">
        <v>1244</v>
      </c>
      <c r="F2395" s="524" t="s">
        <v>1183</v>
      </c>
      <c r="G2395" s="524" t="s">
        <v>800</v>
      </c>
      <c r="H2395" s="527">
        <v>0.02</v>
      </c>
      <c r="I2395" s="524" t="s">
        <v>1148</v>
      </c>
      <c r="J2395" s="524">
        <f>IF(cmf[[#This Row],[D/C]]="C",cmf[[#This Row],[Valor]],-1*cmf[[#This Row],[Valor]])</f>
        <v>0.02</v>
      </c>
      <c r="L2395" s="524" t="s">
        <v>1245</v>
      </c>
      <c r="M2395" s="524" t="s">
        <v>1246</v>
      </c>
      <c r="N2395" s="524" t="s">
        <v>1171</v>
      </c>
      <c r="O2395" s="524" t="s">
        <v>1172</v>
      </c>
      <c r="P2395" s="526">
        <v>46231</v>
      </c>
      <c r="S2395" s="527">
        <v>0</v>
      </c>
    </row>
    <row r="2396" spans="1:19" x14ac:dyDescent="0.2">
      <c r="A2396" s="524">
        <v>71664</v>
      </c>
      <c r="B2396" s="526">
        <v>46231</v>
      </c>
      <c r="C2396" s="524" t="s">
        <v>1148</v>
      </c>
      <c r="D2396" s="524" t="s">
        <v>1243</v>
      </c>
      <c r="E2396" s="524" t="s">
        <v>1244</v>
      </c>
      <c r="F2396" s="524" t="s">
        <v>1183</v>
      </c>
      <c r="G2396" s="524" t="s">
        <v>766</v>
      </c>
      <c r="H2396" s="527">
        <v>83.03</v>
      </c>
      <c r="I2396" s="524" t="s">
        <v>1148</v>
      </c>
      <c r="J2396" s="524">
        <f>IF(cmf[[#This Row],[D/C]]="C",cmf[[#This Row],[Valor]],-1*cmf[[#This Row],[Valor]])</f>
        <v>83.03</v>
      </c>
      <c r="L2396" s="524" t="s">
        <v>1245</v>
      </c>
      <c r="M2396" s="524" t="s">
        <v>1246</v>
      </c>
      <c r="N2396" s="524" t="s">
        <v>1200</v>
      </c>
      <c r="O2396" s="524" t="s">
        <v>1201</v>
      </c>
      <c r="P2396" s="526">
        <v>46231</v>
      </c>
      <c r="S2396" s="527">
        <v>0</v>
      </c>
    </row>
    <row r="2397" spans="1:19" x14ac:dyDescent="0.2">
      <c r="A2397" s="524">
        <v>71678</v>
      </c>
      <c r="B2397" s="526">
        <v>46231</v>
      </c>
      <c r="C2397" s="524" t="s">
        <v>1148</v>
      </c>
      <c r="D2397" s="524" t="s">
        <v>1239</v>
      </c>
      <c r="E2397" s="524" t="s">
        <v>2632</v>
      </c>
      <c r="F2397" s="524" t="s">
        <v>1170</v>
      </c>
      <c r="G2397" s="524" t="s">
        <v>765</v>
      </c>
      <c r="H2397" s="527">
        <v>0.8</v>
      </c>
      <c r="I2397" s="524" t="s">
        <v>1174</v>
      </c>
      <c r="J2397" s="524">
        <f>IF(cmf[[#This Row],[D/C]]="C",cmf[[#This Row],[Valor]],-1*cmf[[#This Row],[Valor]])</f>
        <v>-0.8</v>
      </c>
      <c r="L2397" s="524" t="s">
        <v>1241</v>
      </c>
      <c r="M2397" s="524" t="s">
        <v>1242</v>
      </c>
      <c r="N2397" s="524" t="s">
        <v>1200</v>
      </c>
      <c r="O2397" s="524" t="s">
        <v>1201</v>
      </c>
      <c r="P2397" s="526">
        <v>46231</v>
      </c>
      <c r="S2397" s="527">
        <v>0</v>
      </c>
    </row>
    <row r="2398" spans="1:19" x14ac:dyDescent="0.2">
      <c r="A2398" s="524">
        <v>71682</v>
      </c>
      <c r="B2398" s="526">
        <v>46231</v>
      </c>
      <c r="C2398" s="524" t="s">
        <v>1148</v>
      </c>
      <c r="D2398" s="524" t="s">
        <v>1239</v>
      </c>
      <c r="E2398" s="524" t="s">
        <v>1253</v>
      </c>
      <c r="F2398" s="524" t="s">
        <v>1170</v>
      </c>
      <c r="G2398" s="524" t="s">
        <v>799</v>
      </c>
      <c r="H2398" s="527">
        <v>0.4</v>
      </c>
      <c r="I2398" s="524" t="s">
        <v>1174</v>
      </c>
      <c r="J2398" s="524">
        <f>IF(cmf[[#This Row],[D/C]]="C",cmf[[#This Row],[Valor]],-1*cmf[[#This Row],[Valor]])</f>
        <v>-0.4</v>
      </c>
      <c r="L2398" s="524" t="s">
        <v>1241</v>
      </c>
      <c r="M2398" s="524" t="s">
        <v>1242</v>
      </c>
      <c r="N2398" s="524" t="s">
        <v>1171</v>
      </c>
      <c r="O2398" s="524" t="s">
        <v>1172</v>
      </c>
      <c r="P2398" s="526">
        <v>46231</v>
      </c>
      <c r="S2398" s="527">
        <v>0</v>
      </c>
    </row>
    <row r="2399" spans="1:19" x14ac:dyDescent="0.2">
      <c r="A2399" s="524">
        <v>71694</v>
      </c>
      <c r="B2399" s="526">
        <v>46231</v>
      </c>
      <c r="C2399" s="524" t="s">
        <v>1148</v>
      </c>
      <c r="D2399" s="524" t="s">
        <v>1239</v>
      </c>
      <c r="E2399" s="524" t="s">
        <v>1253</v>
      </c>
      <c r="F2399" s="524" t="s">
        <v>1170</v>
      </c>
      <c r="G2399" s="524" t="s">
        <v>802</v>
      </c>
      <c r="H2399" s="527">
        <v>7.6</v>
      </c>
      <c r="I2399" s="524" t="s">
        <v>1174</v>
      </c>
      <c r="J2399" s="524">
        <f>IF(cmf[[#This Row],[D/C]]="C",cmf[[#This Row],[Valor]],-1*cmf[[#This Row],[Valor]])</f>
        <v>-7.6</v>
      </c>
      <c r="L2399" s="524" t="s">
        <v>1241</v>
      </c>
      <c r="M2399" s="524" t="s">
        <v>1242</v>
      </c>
      <c r="N2399" s="524" t="s">
        <v>1192</v>
      </c>
      <c r="O2399" s="524" t="s">
        <v>1193</v>
      </c>
      <c r="P2399" s="526">
        <v>46231</v>
      </c>
      <c r="S2399" s="527">
        <v>0</v>
      </c>
    </row>
    <row r="2400" spans="1:19" x14ac:dyDescent="0.2">
      <c r="A2400" s="524">
        <v>71725</v>
      </c>
      <c r="B2400" s="526">
        <v>46231</v>
      </c>
      <c r="C2400" s="524" t="s">
        <v>1148</v>
      </c>
      <c r="D2400" s="524" t="s">
        <v>1239</v>
      </c>
      <c r="E2400" s="524" t="s">
        <v>1253</v>
      </c>
      <c r="F2400" s="524" t="s">
        <v>1170</v>
      </c>
      <c r="G2400" s="524" t="s">
        <v>798</v>
      </c>
      <c r="H2400" s="527">
        <v>0.4</v>
      </c>
      <c r="I2400" s="524" t="s">
        <v>1174</v>
      </c>
      <c r="J2400" s="524">
        <f>IF(cmf[[#This Row],[D/C]]="C",cmf[[#This Row],[Valor]],-1*cmf[[#This Row],[Valor]])</f>
        <v>-0.4</v>
      </c>
      <c r="L2400" s="524" t="s">
        <v>1241</v>
      </c>
      <c r="M2400" s="524" t="s">
        <v>1242</v>
      </c>
      <c r="N2400" s="524" t="s">
        <v>1171</v>
      </c>
      <c r="O2400" s="524" t="s">
        <v>1172</v>
      </c>
      <c r="P2400" s="526">
        <v>46231</v>
      </c>
      <c r="S2400" s="527">
        <v>0</v>
      </c>
    </row>
    <row r="2401" spans="1:19" x14ac:dyDescent="0.2">
      <c r="A2401" s="524">
        <v>71730</v>
      </c>
      <c r="B2401" s="526">
        <v>46231</v>
      </c>
      <c r="C2401" s="524" t="s">
        <v>1148</v>
      </c>
      <c r="D2401" s="524" t="s">
        <v>1243</v>
      </c>
      <c r="E2401" s="524" t="s">
        <v>1244</v>
      </c>
      <c r="F2401" s="524" t="s">
        <v>1183</v>
      </c>
      <c r="G2401" s="524" t="s">
        <v>742</v>
      </c>
      <c r="H2401" s="527">
        <v>64827.21</v>
      </c>
      <c r="I2401" s="524" t="s">
        <v>1148</v>
      </c>
      <c r="J2401" s="524">
        <f>IF(cmf[[#This Row],[D/C]]="C",cmf[[#This Row],[Valor]],-1*cmf[[#This Row],[Valor]])</f>
        <v>64827.21</v>
      </c>
      <c r="L2401" s="524" t="s">
        <v>1245</v>
      </c>
      <c r="M2401" s="524" t="s">
        <v>1246</v>
      </c>
      <c r="N2401" s="524" t="s">
        <v>1215</v>
      </c>
      <c r="O2401" s="524" t="s">
        <v>1267</v>
      </c>
      <c r="P2401" s="526">
        <v>46231</v>
      </c>
      <c r="S2401" s="527">
        <v>0</v>
      </c>
    </row>
    <row r="2402" spans="1:19" x14ac:dyDescent="0.2">
      <c r="A2402" s="524">
        <v>71733</v>
      </c>
      <c r="B2402" s="526">
        <v>46231</v>
      </c>
      <c r="C2402" s="524" t="s">
        <v>1148</v>
      </c>
      <c r="D2402" s="524" t="s">
        <v>1243</v>
      </c>
      <c r="E2402" s="524" t="s">
        <v>1244</v>
      </c>
      <c r="F2402" s="524" t="s">
        <v>1183</v>
      </c>
      <c r="G2402" s="524" t="s">
        <v>742</v>
      </c>
      <c r="H2402" s="527">
        <v>0.03</v>
      </c>
      <c r="I2402" s="524" t="s">
        <v>1148</v>
      </c>
      <c r="J2402" s="524">
        <f>IF(cmf[[#This Row],[D/C]]="C",cmf[[#This Row],[Valor]],-1*cmf[[#This Row],[Valor]])</f>
        <v>0.03</v>
      </c>
      <c r="L2402" s="524" t="s">
        <v>1245</v>
      </c>
      <c r="M2402" s="524" t="s">
        <v>1246</v>
      </c>
      <c r="N2402" s="524" t="s">
        <v>1215</v>
      </c>
      <c r="O2402" s="524" t="s">
        <v>1267</v>
      </c>
      <c r="P2402" s="526">
        <v>46231</v>
      </c>
      <c r="S2402" s="527">
        <v>0</v>
      </c>
    </row>
    <row r="2403" spans="1:19" x14ac:dyDescent="0.2">
      <c r="A2403" s="524">
        <v>71750</v>
      </c>
      <c r="B2403" s="526">
        <v>46231</v>
      </c>
      <c r="C2403" s="524" t="s">
        <v>1148</v>
      </c>
      <c r="D2403" s="524" t="s">
        <v>1163</v>
      </c>
      <c r="E2403" s="524" t="s">
        <v>1164</v>
      </c>
      <c r="F2403" s="524" t="s">
        <v>1183</v>
      </c>
      <c r="G2403" s="524" t="s">
        <v>806</v>
      </c>
      <c r="H2403" s="527">
        <v>34715.800000000003</v>
      </c>
      <c r="I2403" s="524" t="s">
        <v>1148</v>
      </c>
      <c r="J2403" s="524">
        <f>IF(cmf[[#This Row],[D/C]]="C",cmf[[#This Row],[Valor]],-1*cmf[[#This Row],[Valor]])</f>
        <v>34715.800000000003</v>
      </c>
      <c r="L2403" s="524" t="s">
        <v>1166</v>
      </c>
      <c r="M2403" s="524" t="s">
        <v>1167</v>
      </c>
      <c r="N2403" s="524" t="s">
        <v>1283</v>
      </c>
      <c r="O2403" s="524" t="s">
        <v>1284</v>
      </c>
      <c r="P2403" s="526">
        <v>46231</v>
      </c>
      <c r="S2403" s="527">
        <v>0</v>
      </c>
    </row>
    <row r="2404" spans="1:19" x14ac:dyDescent="0.2">
      <c r="A2404" s="524">
        <v>71751</v>
      </c>
      <c r="B2404" s="526">
        <v>46231</v>
      </c>
      <c r="C2404" s="524" t="s">
        <v>1148</v>
      </c>
      <c r="D2404" s="524" t="s">
        <v>1163</v>
      </c>
      <c r="E2404" s="524" t="s">
        <v>1173</v>
      </c>
      <c r="F2404" s="524" t="s">
        <v>1183</v>
      </c>
      <c r="G2404" s="524" t="s">
        <v>806</v>
      </c>
      <c r="H2404" s="527">
        <v>4.38</v>
      </c>
      <c r="I2404" s="524" t="s">
        <v>1174</v>
      </c>
      <c r="J2404" s="524">
        <f>IF(cmf[[#This Row],[D/C]]="C",cmf[[#This Row],[Valor]],-1*cmf[[#This Row],[Valor]])</f>
        <v>-4.38</v>
      </c>
      <c r="L2404" s="524" t="s">
        <v>1175</v>
      </c>
      <c r="M2404" s="524" t="s">
        <v>1176</v>
      </c>
      <c r="N2404" s="524" t="s">
        <v>1283</v>
      </c>
      <c r="O2404" s="524" t="s">
        <v>1284</v>
      </c>
      <c r="P2404" s="526">
        <v>46231</v>
      </c>
      <c r="S2404" s="527">
        <v>0</v>
      </c>
    </row>
    <row r="2405" spans="1:19" x14ac:dyDescent="0.2">
      <c r="A2405" s="524">
        <v>71755</v>
      </c>
      <c r="B2405" s="526">
        <v>46231</v>
      </c>
      <c r="C2405" s="524" t="s">
        <v>1162</v>
      </c>
      <c r="D2405" s="524" t="s">
        <v>1239</v>
      </c>
      <c r="E2405" s="524" t="s">
        <v>2633</v>
      </c>
      <c r="F2405" s="524" t="s">
        <v>1170</v>
      </c>
      <c r="G2405" s="524" t="s">
        <v>757</v>
      </c>
      <c r="H2405" s="527">
        <v>125.11</v>
      </c>
      <c r="I2405" s="524" t="s">
        <v>1148</v>
      </c>
      <c r="J2405" s="524">
        <f>IF(cmf[[#This Row],[D/C]]="C",cmf[[#This Row],[Valor]],-1*cmf[[#This Row],[Valor]])</f>
        <v>125.11</v>
      </c>
      <c r="L2405" s="524" t="s">
        <v>1264</v>
      </c>
      <c r="M2405" s="524" t="s">
        <v>1265</v>
      </c>
      <c r="N2405" s="524" t="s">
        <v>1223</v>
      </c>
      <c r="O2405" s="524" t="s">
        <v>1224</v>
      </c>
      <c r="P2405" s="526"/>
      <c r="S2405" s="527">
        <v>0</v>
      </c>
    </row>
    <row r="2406" spans="1:19" x14ac:dyDescent="0.2">
      <c r="A2406" s="524">
        <v>71756</v>
      </c>
      <c r="B2406" s="526">
        <v>46231</v>
      </c>
      <c r="C2406" s="524" t="s">
        <v>1162</v>
      </c>
      <c r="D2406" s="524" t="s">
        <v>1239</v>
      </c>
      <c r="E2406" s="524" t="s">
        <v>2634</v>
      </c>
      <c r="F2406" s="524" t="s">
        <v>1170</v>
      </c>
      <c r="G2406" s="524" t="s">
        <v>757</v>
      </c>
      <c r="H2406" s="527">
        <v>192.89</v>
      </c>
      <c r="I2406" s="524" t="s">
        <v>1148</v>
      </c>
      <c r="J2406" s="524">
        <f>IF(cmf[[#This Row],[D/C]]="C",cmf[[#This Row],[Valor]],-1*cmf[[#This Row],[Valor]])</f>
        <v>192.89</v>
      </c>
      <c r="L2406" s="524" t="s">
        <v>1264</v>
      </c>
      <c r="M2406" s="524" t="s">
        <v>1265</v>
      </c>
      <c r="N2406" s="524" t="s">
        <v>1223</v>
      </c>
      <c r="O2406" s="524" t="s">
        <v>1224</v>
      </c>
      <c r="P2406" s="526"/>
      <c r="S2406" s="527">
        <v>0</v>
      </c>
    </row>
    <row r="2407" spans="1:19" x14ac:dyDescent="0.2">
      <c r="A2407" s="524">
        <v>71757</v>
      </c>
      <c r="B2407" s="526">
        <v>46231</v>
      </c>
      <c r="C2407" s="524" t="s">
        <v>1162</v>
      </c>
      <c r="D2407" s="524" t="s">
        <v>1239</v>
      </c>
      <c r="E2407" s="524" t="s">
        <v>2635</v>
      </c>
      <c r="F2407" s="524" t="s">
        <v>1170</v>
      </c>
      <c r="G2407" s="524" t="s">
        <v>757</v>
      </c>
      <c r="H2407" s="527">
        <v>266.39999999999998</v>
      </c>
      <c r="I2407" s="524" t="s">
        <v>1148</v>
      </c>
      <c r="J2407" s="524">
        <f>IF(cmf[[#This Row],[D/C]]="C",cmf[[#This Row],[Valor]],-1*cmf[[#This Row],[Valor]])</f>
        <v>266.39999999999998</v>
      </c>
      <c r="L2407" s="524" t="s">
        <v>1264</v>
      </c>
      <c r="M2407" s="524" t="s">
        <v>1265</v>
      </c>
      <c r="N2407" s="524" t="s">
        <v>1223</v>
      </c>
      <c r="O2407" s="524" t="s">
        <v>1224</v>
      </c>
      <c r="P2407" s="526"/>
      <c r="S2407" s="527">
        <v>0</v>
      </c>
    </row>
    <row r="2408" spans="1:19" x14ac:dyDescent="0.2">
      <c r="A2408" s="524">
        <v>71758</v>
      </c>
      <c r="B2408" s="526">
        <v>46231</v>
      </c>
      <c r="C2408" s="524" t="s">
        <v>1162</v>
      </c>
      <c r="D2408" s="524" t="s">
        <v>1239</v>
      </c>
      <c r="E2408" s="524" t="s">
        <v>2636</v>
      </c>
      <c r="F2408" s="524" t="s">
        <v>1170</v>
      </c>
      <c r="G2408" s="524" t="s">
        <v>757</v>
      </c>
      <c r="H2408" s="527">
        <v>124.17</v>
      </c>
      <c r="I2408" s="524" t="s">
        <v>1148</v>
      </c>
      <c r="J2408" s="524">
        <f>IF(cmf[[#This Row],[D/C]]="C",cmf[[#This Row],[Valor]],-1*cmf[[#This Row],[Valor]])</f>
        <v>124.17</v>
      </c>
      <c r="L2408" s="524" t="s">
        <v>1264</v>
      </c>
      <c r="M2408" s="524" t="s">
        <v>1265</v>
      </c>
      <c r="N2408" s="524" t="s">
        <v>1223</v>
      </c>
      <c r="O2408" s="524" t="s">
        <v>1224</v>
      </c>
      <c r="P2408" s="526"/>
      <c r="S2408" s="527">
        <v>0</v>
      </c>
    </row>
    <row r="2409" spans="1:19" x14ac:dyDescent="0.2">
      <c r="A2409" s="524">
        <v>71760</v>
      </c>
      <c r="B2409" s="526">
        <v>46231</v>
      </c>
      <c r="C2409" s="524" t="s">
        <v>1162</v>
      </c>
      <c r="D2409" s="524" t="s">
        <v>1239</v>
      </c>
      <c r="E2409" s="524" t="s">
        <v>2637</v>
      </c>
      <c r="F2409" s="524" t="s">
        <v>1170</v>
      </c>
      <c r="G2409" s="524" t="s">
        <v>757</v>
      </c>
      <c r="H2409" s="527">
        <v>126.17</v>
      </c>
      <c r="I2409" s="524" t="s">
        <v>1148</v>
      </c>
      <c r="J2409" s="524">
        <f>IF(cmf[[#This Row],[D/C]]="C",cmf[[#This Row],[Valor]],-1*cmf[[#This Row],[Valor]])</f>
        <v>126.17</v>
      </c>
      <c r="L2409" s="524" t="s">
        <v>1264</v>
      </c>
      <c r="M2409" s="524" t="s">
        <v>1265</v>
      </c>
      <c r="N2409" s="524" t="s">
        <v>1223</v>
      </c>
      <c r="O2409" s="524" t="s">
        <v>1224</v>
      </c>
      <c r="P2409" s="526"/>
      <c r="S2409" s="527">
        <v>0</v>
      </c>
    </row>
    <row r="2410" spans="1:19" x14ac:dyDescent="0.2">
      <c r="A2410" s="524">
        <v>71761</v>
      </c>
      <c r="B2410" s="526">
        <v>46231</v>
      </c>
      <c r="C2410" s="524" t="s">
        <v>1162</v>
      </c>
      <c r="D2410" s="524" t="s">
        <v>1239</v>
      </c>
      <c r="E2410" s="524" t="s">
        <v>2638</v>
      </c>
      <c r="F2410" s="524" t="s">
        <v>1170</v>
      </c>
      <c r="G2410" s="524" t="s">
        <v>757</v>
      </c>
      <c r="H2410" s="527">
        <v>125.86</v>
      </c>
      <c r="I2410" s="524" t="s">
        <v>1148</v>
      </c>
      <c r="J2410" s="524">
        <f>IF(cmf[[#This Row],[D/C]]="C",cmf[[#This Row],[Valor]],-1*cmf[[#This Row],[Valor]])</f>
        <v>125.86</v>
      </c>
      <c r="L2410" s="524" t="s">
        <v>1264</v>
      </c>
      <c r="M2410" s="524" t="s">
        <v>1265</v>
      </c>
      <c r="N2410" s="524" t="s">
        <v>1223</v>
      </c>
      <c r="O2410" s="524" t="s">
        <v>1224</v>
      </c>
      <c r="P2410" s="526"/>
      <c r="S2410" s="527">
        <v>0</v>
      </c>
    </row>
    <row r="2411" spans="1:19" x14ac:dyDescent="0.2">
      <c r="A2411" s="524">
        <v>71762</v>
      </c>
      <c r="B2411" s="526">
        <v>46231</v>
      </c>
      <c r="C2411" s="524" t="s">
        <v>1162</v>
      </c>
      <c r="D2411" s="524" t="s">
        <v>1239</v>
      </c>
      <c r="E2411" s="524" t="s">
        <v>2639</v>
      </c>
      <c r="F2411" s="524" t="s">
        <v>1170</v>
      </c>
      <c r="G2411" s="524" t="s">
        <v>757</v>
      </c>
      <c r="H2411" s="527">
        <v>191.38</v>
      </c>
      <c r="I2411" s="524" t="s">
        <v>1148</v>
      </c>
      <c r="J2411" s="524">
        <f>IF(cmf[[#This Row],[D/C]]="C",cmf[[#This Row],[Valor]],-1*cmf[[#This Row],[Valor]])</f>
        <v>191.38</v>
      </c>
      <c r="L2411" s="524" t="s">
        <v>1264</v>
      </c>
      <c r="M2411" s="524" t="s">
        <v>1265</v>
      </c>
      <c r="N2411" s="524" t="s">
        <v>1223</v>
      </c>
      <c r="O2411" s="524" t="s">
        <v>1224</v>
      </c>
      <c r="P2411" s="526"/>
      <c r="S2411" s="527">
        <v>0</v>
      </c>
    </row>
    <row r="2412" spans="1:19" x14ac:dyDescent="0.2">
      <c r="A2412" s="524">
        <v>71764</v>
      </c>
      <c r="B2412" s="526">
        <v>46231</v>
      </c>
      <c r="C2412" s="524" t="s">
        <v>1162</v>
      </c>
      <c r="D2412" s="524" t="s">
        <v>1239</v>
      </c>
      <c r="E2412" s="524" t="s">
        <v>2640</v>
      </c>
      <c r="F2412" s="524" t="s">
        <v>1170</v>
      </c>
      <c r="G2412" s="524" t="s">
        <v>757</v>
      </c>
      <c r="H2412" s="527">
        <v>193.25</v>
      </c>
      <c r="I2412" s="524" t="s">
        <v>1148</v>
      </c>
      <c r="J2412" s="524">
        <f>IF(cmf[[#This Row],[D/C]]="C",cmf[[#This Row],[Valor]],-1*cmf[[#This Row],[Valor]])</f>
        <v>193.25</v>
      </c>
      <c r="L2412" s="524" t="s">
        <v>1264</v>
      </c>
      <c r="M2412" s="524" t="s">
        <v>1265</v>
      </c>
      <c r="N2412" s="524" t="s">
        <v>1223</v>
      </c>
      <c r="O2412" s="524" t="s">
        <v>1224</v>
      </c>
      <c r="P2412" s="526"/>
      <c r="S2412" s="527">
        <v>0</v>
      </c>
    </row>
    <row r="2413" spans="1:19" x14ac:dyDescent="0.2">
      <c r="A2413" s="524">
        <v>71765</v>
      </c>
      <c r="B2413" s="526">
        <v>46231</v>
      </c>
      <c r="C2413" s="524" t="s">
        <v>1162</v>
      </c>
      <c r="D2413" s="524" t="s">
        <v>1239</v>
      </c>
      <c r="E2413" s="524" t="s">
        <v>2641</v>
      </c>
      <c r="F2413" s="524" t="s">
        <v>1170</v>
      </c>
      <c r="G2413" s="524" t="s">
        <v>757</v>
      </c>
      <c r="H2413" s="527">
        <v>125.78</v>
      </c>
      <c r="I2413" s="524" t="s">
        <v>1148</v>
      </c>
      <c r="J2413" s="524">
        <f>IF(cmf[[#This Row],[D/C]]="C",cmf[[#This Row],[Valor]],-1*cmf[[#This Row],[Valor]])</f>
        <v>125.78</v>
      </c>
      <c r="L2413" s="524" t="s">
        <v>1264</v>
      </c>
      <c r="M2413" s="524" t="s">
        <v>1265</v>
      </c>
      <c r="N2413" s="524" t="s">
        <v>1223</v>
      </c>
      <c r="O2413" s="524" t="s">
        <v>1224</v>
      </c>
      <c r="P2413" s="526"/>
      <c r="S2413" s="527">
        <v>0</v>
      </c>
    </row>
    <row r="2414" spans="1:19" x14ac:dyDescent="0.2">
      <c r="A2414" s="524">
        <v>71766</v>
      </c>
      <c r="B2414" s="526">
        <v>46231</v>
      </c>
      <c r="C2414" s="524" t="s">
        <v>1162</v>
      </c>
      <c r="D2414" s="524" t="s">
        <v>1239</v>
      </c>
      <c r="E2414" s="524" t="s">
        <v>2642</v>
      </c>
      <c r="F2414" s="524" t="s">
        <v>1170</v>
      </c>
      <c r="G2414" s="524" t="s">
        <v>757</v>
      </c>
      <c r="H2414" s="527">
        <v>125.78</v>
      </c>
      <c r="I2414" s="524" t="s">
        <v>1148</v>
      </c>
      <c r="J2414" s="524">
        <f>IF(cmf[[#This Row],[D/C]]="C",cmf[[#This Row],[Valor]],-1*cmf[[#This Row],[Valor]])</f>
        <v>125.78</v>
      </c>
      <c r="L2414" s="524" t="s">
        <v>1264</v>
      </c>
      <c r="M2414" s="524" t="s">
        <v>1265</v>
      </c>
      <c r="N2414" s="524" t="s">
        <v>1223</v>
      </c>
      <c r="O2414" s="524" t="s">
        <v>1224</v>
      </c>
      <c r="P2414" s="526"/>
      <c r="S2414" s="527">
        <v>0</v>
      </c>
    </row>
    <row r="2415" spans="1:19" x14ac:dyDescent="0.2">
      <c r="A2415" s="524">
        <v>71767</v>
      </c>
      <c r="B2415" s="526">
        <v>46231</v>
      </c>
      <c r="C2415" s="524" t="s">
        <v>1162</v>
      </c>
      <c r="D2415" s="524" t="s">
        <v>1239</v>
      </c>
      <c r="E2415" s="524" t="s">
        <v>2643</v>
      </c>
      <c r="F2415" s="524" t="s">
        <v>1170</v>
      </c>
      <c r="G2415" s="524" t="s">
        <v>757</v>
      </c>
      <c r="H2415" s="527">
        <v>125.21</v>
      </c>
      <c r="I2415" s="524" t="s">
        <v>1148</v>
      </c>
      <c r="J2415" s="524">
        <f>IF(cmf[[#This Row],[D/C]]="C",cmf[[#This Row],[Valor]],-1*cmf[[#This Row],[Valor]])</f>
        <v>125.21</v>
      </c>
      <c r="L2415" s="524" t="s">
        <v>1264</v>
      </c>
      <c r="M2415" s="524" t="s">
        <v>1265</v>
      </c>
      <c r="N2415" s="524" t="s">
        <v>1223</v>
      </c>
      <c r="O2415" s="524" t="s">
        <v>1224</v>
      </c>
      <c r="P2415" s="526"/>
      <c r="S2415" s="527">
        <v>0</v>
      </c>
    </row>
    <row r="2416" spans="1:19" x14ac:dyDescent="0.2">
      <c r="A2416" s="524">
        <v>71768</v>
      </c>
      <c r="B2416" s="526">
        <v>46231</v>
      </c>
      <c r="C2416" s="524" t="s">
        <v>1162</v>
      </c>
      <c r="D2416" s="524" t="s">
        <v>1239</v>
      </c>
      <c r="E2416" s="524" t="s">
        <v>2644</v>
      </c>
      <c r="F2416" s="524" t="s">
        <v>1170</v>
      </c>
      <c r="G2416" s="524" t="s">
        <v>757</v>
      </c>
      <c r="H2416" s="527">
        <v>210.25</v>
      </c>
      <c r="I2416" s="524" t="s">
        <v>1148</v>
      </c>
      <c r="J2416" s="524">
        <f>IF(cmf[[#This Row],[D/C]]="C",cmf[[#This Row],[Valor]],-1*cmf[[#This Row],[Valor]])</f>
        <v>210.25</v>
      </c>
      <c r="L2416" s="524" t="s">
        <v>1264</v>
      </c>
      <c r="M2416" s="524" t="s">
        <v>1265</v>
      </c>
      <c r="N2416" s="524" t="s">
        <v>1223</v>
      </c>
      <c r="O2416" s="524" t="s">
        <v>1224</v>
      </c>
      <c r="P2416" s="526"/>
      <c r="S2416" s="527">
        <v>0</v>
      </c>
    </row>
    <row r="2417" spans="1:19" x14ac:dyDescent="0.2">
      <c r="A2417" s="524">
        <v>71769</v>
      </c>
      <c r="B2417" s="526">
        <v>46231</v>
      </c>
      <c r="C2417" s="524" t="s">
        <v>1162</v>
      </c>
      <c r="D2417" s="524" t="s">
        <v>1239</v>
      </c>
      <c r="E2417" s="524" t="s">
        <v>2645</v>
      </c>
      <c r="F2417" s="524" t="s">
        <v>1170</v>
      </c>
      <c r="G2417" s="524" t="s">
        <v>757</v>
      </c>
      <c r="H2417" s="527">
        <v>126.09</v>
      </c>
      <c r="I2417" s="524" t="s">
        <v>1148</v>
      </c>
      <c r="J2417" s="524">
        <f>IF(cmf[[#This Row],[D/C]]="C",cmf[[#This Row],[Valor]],-1*cmf[[#This Row],[Valor]])</f>
        <v>126.09</v>
      </c>
      <c r="L2417" s="524" t="s">
        <v>1264</v>
      </c>
      <c r="M2417" s="524" t="s">
        <v>1265</v>
      </c>
      <c r="N2417" s="524" t="s">
        <v>1223</v>
      </c>
      <c r="O2417" s="524" t="s">
        <v>1224</v>
      </c>
      <c r="P2417" s="526"/>
      <c r="S2417" s="527">
        <v>0</v>
      </c>
    </row>
    <row r="2418" spans="1:19" x14ac:dyDescent="0.2">
      <c r="A2418" s="524">
        <v>71770</v>
      </c>
      <c r="B2418" s="526">
        <v>46231</v>
      </c>
      <c r="C2418" s="524" t="s">
        <v>1162</v>
      </c>
      <c r="D2418" s="524" t="s">
        <v>1239</v>
      </c>
      <c r="E2418" s="524" t="s">
        <v>2646</v>
      </c>
      <c r="F2418" s="524" t="s">
        <v>1170</v>
      </c>
      <c r="G2418" s="524" t="s">
        <v>757</v>
      </c>
      <c r="H2418" s="527">
        <v>126.56</v>
      </c>
      <c r="I2418" s="524" t="s">
        <v>1148</v>
      </c>
      <c r="J2418" s="524">
        <f>IF(cmf[[#This Row],[D/C]]="C",cmf[[#This Row],[Valor]],-1*cmf[[#This Row],[Valor]])</f>
        <v>126.56</v>
      </c>
      <c r="L2418" s="524" t="s">
        <v>1264</v>
      </c>
      <c r="M2418" s="524" t="s">
        <v>1265</v>
      </c>
      <c r="N2418" s="524" t="s">
        <v>1223</v>
      </c>
      <c r="O2418" s="524" t="s">
        <v>1224</v>
      </c>
      <c r="P2418" s="526"/>
      <c r="S2418" s="527">
        <v>0</v>
      </c>
    </row>
    <row r="2419" spans="1:19" x14ac:dyDescent="0.2">
      <c r="A2419" s="524">
        <v>71771</v>
      </c>
      <c r="B2419" s="526">
        <v>46231</v>
      </c>
      <c r="C2419" s="524" t="s">
        <v>1162</v>
      </c>
      <c r="D2419" s="524" t="s">
        <v>1239</v>
      </c>
      <c r="E2419" s="524" t="s">
        <v>2647</v>
      </c>
      <c r="F2419" s="524" t="s">
        <v>1170</v>
      </c>
      <c r="G2419" s="524" t="s">
        <v>757</v>
      </c>
      <c r="H2419" s="527">
        <v>207.15</v>
      </c>
      <c r="I2419" s="524" t="s">
        <v>1148</v>
      </c>
      <c r="J2419" s="524">
        <f>IF(cmf[[#This Row],[D/C]]="C",cmf[[#This Row],[Valor]],-1*cmf[[#This Row],[Valor]])</f>
        <v>207.15</v>
      </c>
      <c r="L2419" s="524" t="s">
        <v>1264</v>
      </c>
      <c r="M2419" s="524" t="s">
        <v>1265</v>
      </c>
      <c r="N2419" s="524" t="s">
        <v>1223</v>
      </c>
      <c r="O2419" s="524" t="s">
        <v>1224</v>
      </c>
      <c r="P2419" s="526"/>
      <c r="S2419" s="527">
        <v>0</v>
      </c>
    </row>
    <row r="2420" spans="1:19" x14ac:dyDescent="0.2">
      <c r="A2420" s="524">
        <v>71772</v>
      </c>
      <c r="B2420" s="526">
        <v>46231</v>
      </c>
      <c r="C2420" s="524" t="s">
        <v>1162</v>
      </c>
      <c r="D2420" s="524" t="s">
        <v>1239</v>
      </c>
      <c r="E2420" s="524" t="s">
        <v>2648</v>
      </c>
      <c r="F2420" s="524" t="s">
        <v>1170</v>
      </c>
      <c r="G2420" s="524" t="s">
        <v>757</v>
      </c>
      <c r="H2420" s="527">
        <v>272.82</v>
      </c>
      <c r="I2420" s="524" t="s">
        <v>1148</v>
      </c>
      <c r="J2420" s="524">
        <f>IF(cmf[[#This Row],[D/C]]="C",cmf[[#This Row],[Valor]],-1*cmf[[#This Row],[Valor]])</f>
        <v>272.82</v>
      </c>
      <c r="L2420" s="524" t="s">
        <v>1264</v>
      </c>
      <c r="M2420" s="524" t="s">
        <v>1265</v>
      </c>
      <c r="N2420" s="524" t="s">
        <v>1223</v>
      </c>
      <c r="O2420" s="524" t="s">
        <v>1224</v>
      </c>
      <c r="P2420" s="526"/>
      <c r="S2420" s="527">
        <v>0</v>
      </c>
    </row>
    <row r="2421" spans="1:19" x14ac:dyDescent="0.2">
      <c r="A2421" s="524">
        <v>71773</v>
      </c>
      <c r="B2421" s="526">
        <v>46231</v>
      </c>
      <c r="C2421" s="524" t="s">
        <v>1162</v>
      </c>
      <c r="D2421" s="524" t="s">
        <v>1239</v>
      </c>
      <c r="E2421" s="524" t="s">
        <v>2649</v>
      </c>
      <c r="F2421" s="524" t="s">
        <v>1170</v>
      </c>
      <c r="G2421" s="524" t="s">
        <v>757</v>
      </c>
      <c r="H2421" s="527">
        <v>192.6</v>
      </c>
      <c r="I2421" s="524" t="s">
        <v>1148</v>
      </c>
      <c r="J2421" s="524">
        <f>IF(cmf[[#This Row],[D/C]]="C",cmf[[#This Row],[Valor]],-1*cmf[[#This Row],[Valor]])</f>
        <v>192.6</v>
      </c>
      <c r="L2421" s="524" t="s">
        <v>1264</v>
      </c>
      <c r="M2421" s="524" t="s">
        <v>1265</v>
      </c>
      <c r="N2421" s="524" t="s">
        <v>1223</v>
      </c>
      <c r="O2421" s="524" t="s">
        <v>1224</v>
      </c>
      <c r="P2421" s="526"/>
      <c r="S2421" s="527">
        <v>0</v>
      </c>
    </row>
    <row r="2422" spans="1:19" x14ac:dyDescent="0.2">
      <c r="A2422" s="524">
        <v>71774</v>
      </c>
      <c r="B2422" s="526">
        <v>46231</v>
      </c>
      <c r="C2422" s="524" t="s">
        <v>1162</v>
      </c>
      <c r="D2422" s="524" t="s">
        <v>1239</v>
      </c>
      <c r="E2422" s="524" t="s">
        <v>2650</v>
      </c>
      <c r="F2422" s="524" t="s">
        <v>1170</v>
      </c>
      <c r="G2422" s="524" t="s">
        <v>757</v>
      </c>
      <c r="H2422" s="527">
        <v>126.92</v>
      </c>
      <c r="I2422" s="524" t="s">
        <v>1148</v>
      </c>
      <c r="J2422" s="524">
        <f>IF(cmf[[#This Row],[D/C]]="C",cmf[[#This Row],[Valor]],-1*cmf[[#This Row],[Valor]])</f>
        <v>126.92</v>
      </c>
      <c r="L2422" s="524" t="s">
        <v>1264</v>
      </c>
      <c r="M2422" s="524" t="s">
        <v>1265</v>
      </c>
      <c r="N2422" s="524" t="s">
        <v>1223</v>
      </c>
      <c r="O2422" s="524" t="s">
        <v>1224</v>
      </c>
      <c r="P2422" s="526"/>
      <c r="S2422" s="527">
        <v>0</v>
      </c>
    </row>
    <row r="2423" spans="1:19" x14ac:dyDescent="0.2">
      <c r="A2423" s="524">
        <v>71776</v>
      </c>
      <c r="B2423" s="526">
        <v>46231</v>
      </c>
      <c r="C2423" s="524" t="s">
        <v>1162</v>
      </c>
      <c r="D2423" s="524" t="s">
        <v>1239</v>
      </c>
      <c r="E2423" s="524" t="s">
        <v>2651</v>
      </c>
      <c r="F2423" s="524" t="s">
        <v>1170</v>
      </c>
      <c r="G2423" s="524" t="s">
        <v>757</v>
      </c>
      <c r="H2423" s="527">
        <v>191.05</v>
      </c>
      <c r="I2423" s="524" t="s">
        <v>1148</v>
      </c>
      <c r="J2423" s="524">
        <f>IF(cmf[[#This Row],[D/C]]="C",cmf[[#This Row],[Valor]],-1*cmf[[#This Row],[Valor]])</f>
        <v>191.05</v>
      </c>
      <c r="L2423" s="524" t="s">
        <v>1264</v>
      </c>
      <c r="M2423" s="524" t="s">
        <v>1265</v>
      </c>
      <c r="N2423" s="524" t="s">
        <v>1223</v>
      </c>
      <c r="O2423" s="524" t="s">
        <v>1224</v>
      </c>
      <c r="P2423" s="526"/>
      <c r="S2423" s="527">
        <v>0</v>
      </c>
    </row>
    <row r="2424" spans="1:19" x14ac:dyDescent="0.2">
      <c r="A2424" s="524">
        <v>71778</v>
      </c>
      <c r="B2424" s="526">
        <v>46231</v>
      </c>
      <c r="C2424" s="524" t="s">
        <v>1162</v>
      </c>
      <c r="D2424" s="524" t="s">
        <v>1239</v>
      </c>
      <c r="E2424" s="524" t="s">
        <v>2652</v>
      </c>
      <c r="F2424" s="524" t="s">
        <v>1170</v>
      </c>
      <c r="G2424" s="524" t="s">
        <v>757</v>
      </c>
      <c r="H2424" s="527">
        <v>125.72</v>
      </c>
      <c r="I2424" s="524" t="s">
        <v>1148</v>
      </c>
      <c r="J2424" s="524">
        <f>IF(cmf[[#This Row],[D/C]]="C",cmf[[#This Row],[Valor]],-1*cmf[[#This Row],[Valor]])</f>
        <v>125.72</v>
      </c>
      <c r="L2424" s="524" t="s">
        <v>1264</v>
      </c>
      <c r="M2424" s="524" t="s">
        <v>1265</v>
      </c>
      <c r="N2424" s="524" t="s">
        <v>1223</v>
      </c>
      <c r="O2424" s="524" t="s">
        <v>1224</v>
      </c>
      <c r="P2424" s="526"/>
      <c r="S2424" s="527">
        <v>0</v>
      </c>
    </row>
    <row r="2425" spans="1:19" x14ac:dyDescent="0.2">
      <c r="A2425" s="524">
        <v>71779</v>
      </c>
      <c r="B2425" s="526">
        <v>46231</v>
      </c>
      <c r="C2425" s="524" t="s">
        <v>1148</v>
      </c>
      <c r="D2425" s="524" t="s">
        <v>1243</v>
      </c>
      <c r="E2425" s="524" t="s">
        <v>1244</v>
      </c>
      <c r="F2425" s="524" t="s">
        <v>1183</v>
      </c>
      <c r="G2425" s="524" t="s">
        <v>758</v>
      </c>
      <c r="H2425" s="527">
        <v>48705.919999999998</v>
      </c>
      <c r="I2425" s="524" t="s">
        <v>1148</v>
      </c>
      <c r="J2425" s="524">
        <f>IF(cmf[[#This Row],[D/C]]="C",cmf[[#This Row],[Valor]],-1*cmf[[#This Row],[Valor]])</f>
        <v>48705.919999999998</v>
      </c>
      <c r="L2425" s="524" t="s">
        <v>1245</v>
      </c>
      <c r="M2425" s="524" t="s">
        <v>1246</v>
      </c>
      <c r="N2425" s="524" t="s">
        <v>1223</v>
      </c>
      <c r="O2425" s="524" t="s">
        <v>1224</v>
      </c>
      <c r="P2425" s="526">
        <v>46231</v>
      </c>
      <c r="S2425" s="527">
        <v>0</v>
      </c>
    </row>
    <row r="2426" spans="1:19" x14ac:dyDescent="0.2">
      <c r="A2426" s="524">
        <v>71782</v>
      </c>
      <c r="B2426" s="526">
        <v>46231</v>
      </c>
      <c r="C2426" s="524" t="s">
        <v>1148</v>
      </c>
      <c r="D2426" s="524" t="s">
        <v>1243</v>
      </c>
      <c r="E2426" s="524" t="s">
        <v>1244</v>
      </c>
      <c r="F2426" s="524" t="s">
        <v>1183</v>
      </c>
      <c r="G2426" s="524" t="s">
        <v>758</v>
      </c>
      <c r="H2426" s="527">
        <v>0.12</v>
      </c>
      <c r="I2426" s="524" t="s">
        <v>1148</v>
      </c>
      <c r="J2426" s="524">
        <f>IF(cmf[[#This Row],[D/C]]="C",cmf[[#This Row],[Valor]],-1*cmf[[#This Row],[Valor]])</f>
        <v>0.12</v>
      </c>
      <c r="L2426" s="524" t="s">
        <v>1245</v>
      </c>
      <c r="M2426" s="524" t="s">
        <v>1246</v>
      </c>
      <c r="N2426" s="524" t="s">
        <v>1223</v>
      </c>
      <c r="O2426" s="524" t="s">
        <v>1224</v>
      </c>
      <c r="P2426" s="526">
        <v>46231</v>
      </c>
      <c r="S2426" s="527">
        <v>0</v>
      </c>
    </row>
    <row r="2427" spans="1:19" x14ac:dyDescent="0.2">
      <c r="A2427" s="524">
        <v>71784</v>
      </c>
      <c r="B2427" s="526">
        <v>46231</v>
      </c>
      <c r="C2427" s="524" t="s">
        <v>1162</v>
      </c>
      <c r="D2427" s="524" t="s">
        <v>1239</v>
      </c>
      <c r="E2427" s="524" t="s">
        <v>2653</v>
      </c>
      <c r="F2427" s="524" t="s">
        <v>1170</v>
      </c>
      <c r="G2427" s="524" t="s">
        <v>757</v>
      </c>
      <c r="H2427" s="527">
        <v>123.6</v>
      </c>
      <c r="I2427" s="524" t="s">
        <v>1148</v>
      </c>
      <c r="J2427" s="524">
        <f>IF(cmf[[#This Row],[D/C]]="C",cmf[[#This Row],[Valor]],-1*cmf[[#This Row],[Valor]])</f>
        <v>123.6</v>
      </c>
      <c r="L2427" s="524" t="s">
        <v>1264</v>
      </c>
      <c r="M2427" s="524" t="s">
        <v>1265</v>
      </c>
      <c r="N2427" s="524" t="s">
        <v>1223</v>
      </c>
      <c r="O2427" s="524" t="s">
        <v>1224</v>
      </c>
      <c r="P2427" s="526"/>
      <c r="S2427" s="527">
        <v>0</v>
      </c>
    </row>
    <row r="2428" spans="1:19" x14ac:dyDescent="0.2">
      <c r="A2428" s="524">
        <v>71785</v>
      </c>
      <c r="B2428" s="526">
        <v>46231</v>
      </c>
      <c r="C2428" s="524" t="s">
        <v>1162</v>
      </c>
      <c r="D2428" s="524" t="s">
        <v>1239</v>
      </c>
      <c r="E2428" s="524" t="s">
        <v>2654</v>
      </c>
      <c r="F2428" s="524" t="s">
        <v>1170</v>
      </c>
      <c r="G2428" s="524" t="s">
        <v>757</v>
      </c>
      <c r="H2428" s="527">
        <v>191.3</v>
      </c>
      <c r="I2428" s="524" t="s">
        <v>1148</v>
      </c>
      <c r="J2428" s="524">
        <f>IF(cmf[[#This Row],[D/C]]="C",cmf[[#This Row],[Valor]],-1*cmf[[#This Row],[Valor]])</f>
        <v>191.3</v>
      </c>
      <c r="L2428" s="524" t="s">
        <v>1264</v>
      </c>
      <c r="M2428" s="524" t="s">
        <v>1265</v>
      </c>
      <c r="N2428" s="524" t="s">
        <v>1223</v>
      </c>
      <c r="O2428" s="524" t="s">
        <v>1224</v>
      </c>
      <c r="P2428" s="526"/>
      <c r="S2428" s="527">
        <v>0</v>
      </c>
    </row>
    <row r="2429" spans="1:19" x14ac:dyDescent="0.2">
      <c r="A2429" s="524">
        <v>71786</v>
      </c>
      <c r="B2429" s="526">
        <v>46231</v>
      </c>
      <c r="C2429" s="524" t="s">
        <v>1162</v>
      </c>
      <c r="D2429" s="524" t="s">
        <v>1239</v>
      </c>
      <c r="E2429" s="524" t="s">
        <v>2655</v>
      </c>
      <c r="F2429" s="524" t="s">
        <v>1170</v>
      </c>
      <c r="G2429" s="524" t="s">
        <v>757</v>
      </c>
      <c r="H2429" s="527">
        <v>125.79</v>
      </c>
      <c r="I2429" s="524" t="s">
        <v>1148</v>
      </c>
      <c r="J2429" s="524">
        <f>IF(cmf[[#This Row],[D/C]]="C",cmf[[#This Row],[Valor]],-1*cmf[[#This Row],[Valor]])</f>
        <v>125.79</v>
      </c>
      <c r="L2429" s="524" t="s">
        <v>1264</v>
      </c>
      <c r="M2429" s="524" t="s">
        <v>1265</v>
      </c>
      <c r="N2429" s="524" t="s">
        <v>1223</v>
      </c>
      <c r="O2429" s="524" t="s">
        <v>1224</v>
      </c>
      <c r="P2429" s="526"/>
      <c r="S2429" s="527">
        <v>0</v>
      </c>
    </row>
    <row r="2430" spans="1:19" x14ac:dyDescent="0.2">
      <c r="A2430" s="524">
        <v>71787</v>
      </c>
      <c r="B2430" s="526">
        <v>46231</v>
      </c>
      <c r="C2430" s="524" t="s">
        <v>1162</v>
      </c>
      <c r="D2430" s="524" t="s">
        <v>1239</v>
      </c>
      <c r="E2430" s="524" t="s">
        <v>2656</v>
      </c>
      <c r="F2430" s="524" t="s">
        <v>1170</v>
      </c>
      <c r="G2430" s="524" t="s">
        <v>757</v>
      </c>
      <c r="H2430" s="527">
        <v>194.86</v>
      </c>
      <c r="I2430" s="524" t="s">
        <v>1148</v>
      </c>
      <c r="J2430" s="524">
        <f>IF(cmf[[#This Row],[D/C]]="C",cmf[[#This Row],[Valor]],-1*cmf[[#This Row],[Valor]])</f>
        <v>194.86</v>
      </c>
      <c r="L2430" s="524" t="s">
        <v>1264</v>
      </c>
      <c r="M2430" s="524" t="s">
        <v>1265</v>
      </c>
      <c r="N2430" s="524" t="s">
        <v>1223</v>
      </c>
      <c r="O2430" s="524" t="s">
        <v>1224</v>
      </c>
      <c r="P2430" s="526"/>
      <c r="S2430" s="527">
        <v>0</v>
      </c>
    </row>
    <row r="2431" spans="1:19" x14ac:dyDescent="0.2">
      <c r="A2431" s="524">
        <v>71788</v>
      </c>
      <c r="B2431" s="526">
        <v>46231</v>
      </c>
      <c r="C2431" s="524" t="s">
        <v>1162</v>
      </c>
      <c r="D2431" s="524" t="s">
        <v>1239</v>
      </c>
      <c r="E2431" s="524" t="s">
        <v>2657</v>
      </c>
      <c r="F2431" s="524" t="s">
        <v>1170</v>
      </c>
      <c r="G2431" s="524" t="s">
        <v>757</v>
      </c>
      <c r="H2431" s="527">
        <v>124.93</v>
      </c>
      <c r="I2431" s="524" t="s">
        <v>1148</v>
      </c>
      <c r="J2431" s="524">
        <f>IF(cmf[[#This Row],[D/C]]="C",cmf[[#This Row],[Valor]],-1*cmf[[#This Row],[Valor]])</f>
        <v>124.93</v>
      </c>
      <c r="L2431" s="524" t="s">
        <v>1264</v>
      </c>
      <c r="M2431" s="524" t="s">
        <v>1265</v>
      </c>
      <c r="N2431" s="524" t="s">
        <v>1223</v>
      </c>
      <c r="O2431" s="524" t="s">
        <v>1224</v>
      </c>
      <c r="P2431" s="526"/>
      <c r="S2431" s="527">
        <v>0</v>
      </c>
    </row>
    <row r="2432" spans="1:19" x14ac:dyDescent="0.2">
      <c r="A2432" s="524">
        <v>71808</v>
      </c>
      <c r="B2432" s="526">
        <v>46231</v>
      </c>
      <c r="C2432" s="524" t="s">
        <v>1148</v>
      </c>
      <c r="D2432" s="524" t="s">
        <v>1239</v>
      </c>
      <c r="E2432" s="524" t="s">
        <v>2658</v>
      </c>
      <c r="F2432" s="524" t="s">
        <v>1183</v>
      </c>
      <c r="G2432" s="524" t="s">
        <v>742</v>
      </c>
      <c r="H2432" s="527">
        <v>20000</v>
      </c>
      <c r="I2432" s="524" t="s">
        <v>1148</v>
      </c>
      <c r="J2432" s="524">
        <f>IF(cmf[[#This Row],[D/C]]="C",cmf[[#This Row],[Valor]],-1*cmf[[#This Row],[Valor]])</f>
        <v>20000</v>
      </c>
      <c r="L2432" s="524" t="s">
        <v>1359</v>
      </c>
      <c r="M2432" s="524" t="s">
        <v>1360</v>
      </c>
      <c r="N2432" s="524" t="s">
        <v>1215</v>
      </c>
      <c r="O2432" s="524" t="s">
        <v>1218</v>
      </c>
      <c r="P2432" s="526">
        <v>46231</v>
      </c>
      <c r="S2432" s="527">
        <v>0</v>
      </c>
    </row>
    <row r="2433" spans="1:19" x14ac:dyDescent="0.2">
      <c r="A2433" s="524">
        <v>71809</v>
      </c>
      <c r="B2433" s="526">
        <v>46231</v>
      </c>
      <c r="C2433" s="524" t="s">
        <v>1148</v>
      </c>
      <c r="D2433" s="524" t="s">
        <v>1205</v>
      </c>
      <c r="E2433" s="524" t="s">
        <v>1574</v>
      </c>
      <c r="F2433" s="524" t="s">
        <v>1183</v>
      </c>
      <c r="G2433" s="524" t="s">
        <v>742</v>
      </c>
      <c r="H2433" s="527">
        <v>1000</v>
      </c>
      <c r="I2433" s="524" t="s">
        <v>1174</v>
      </c>
      <c r="J2433" s="524">
        <f>IF(cmf[[#This Row],[D/C]]="C",cmf[[#This Row],[Valor]],-1*cmf[[#This Row],[Valor]])</f>
        <v>-1000</v>
      </c>
      <c r="L2433" s="524" t="s">
        <v>1207</v>
      </c>
      <c r="M2433" s="524" t="s">
        <v>1208</v>
      </c>
      <c r="N2433" s="524" t="s">
        <v>1215</v>
      </c>
      <c r="O2433" s="524" t="s">
        <v>1218</v>
      </c>
      <c r="P2433" s="526">
        <v>46231</v>
      </c>
      <c r="S2433" s="527">
        <v>0</v>
      </c>
    </row>
    <row r="2434" spans="1:19" x14ac:dyDescent="0.2">
      <c r="A2434" s="524">
        <v>71810</v>
      </c>
      <c r="B2434" s="526">
        <v>46231</v>
      </c>
      <c r="C2434" s="524" t="s">
        <v>1162</v>
      </c>
      <c r="D2434" s="524" t="s">
        <v>1205</v>
      </c>
      <c r="E2434" s="524" t="s">
        <v>1217</v>
      </c>
      <c r="F2434" s="524" t="s">
        <v>1576</v>
      </c>
      <c r="G2434" s="524" t="s">
        <v>1577</v>
      </c>
      <c r="H2434" s="527">
        <v>1000</v>
      </c>
      <c r="I2434" s="524" t="s">
        <v>1148</v>
      </c>
      <c r="J2434" s="524">
        <f>IF(cmf[[#This Row],[D/C]]="C",cmf[[#This Row],[Valor]],-1*cmf[[#This Row],[Valor]])</f>
        <v>1000</v>
      </c>
      <c r="L2434" s="524" t="s">
        <v>1207</v>
      </c>
      <c r="M2434" s="524" t="s">
        <v>1208</v>
      </c>
      <c r="N2434" s="524" t="s">
        <v>1578</v>
      </c>
      <c r="O2434" s="524" t="s">
        <v>1579</v>
      </c>
      <c r="P2434" s="526"/>
      <c r="S2434" s="527">
        <v>0</v>
      </c>
    </row>
    <row r="2435" spans="1:19" x14ac:dyDescent="0.2">
      <c r="A2435" s="524">
        <v>71811</v>
      </c>
      <c r="B2435" s="526">
        <v>46231</v>
      </c>
      <c r="C2435" s="524" t="s">
        <v>1148</v>
      </c>
      <c r="D2435" s="524" t="s">
        <v>1205</v>
      </c>
      <c r="E2435" s="524" t="s">
        <v>1574</v>
      </c>
      <c r="F2435" s="524" t="s">
        <v>1183</v>
      </c>
      <c r="G2435" s="524" t="s">
        <v>742</v>
      </c>
      <c r="H2435" s="527">
        <v>168.01</v>
      </c>
      <c r="I2435" s="524" t="s">
        <v>1174</v>
      </c>
      <c r="J2435" s="524">
        <f>IF(cmf[[#This Row],[D/C]]="C",cmf[[#This Row],[Valor]],-1*cmf[[#This Row],[Valor]])</f>
        <v>-168.01</v>
      </c>
      <c r="L2435" s="524" t="s">
        <v>1207</v>
      </c>
      <c r="M2435" s="524" t="s">
        <v>1208</v>
      </c>
      <c r="N2435" s="524" t="s">
        <v>1215</v>
      </c>
      <c r="O2435" s="524" t="s">
        <v>1218</v>
      </c>
      <c r="P2435" s="526">
        <v>46231</v>
      </c>
      <c r="S2435" s="527">
        <v>0</v>
      </c>
    </row>
    <row r="2436" spans="1:19" x14ac:dyDescent="0.2">
      <c r="A2436" s="524">
        <v>71812</v>
      </c>
      <c r="B2436" s="526">
        <v>46231</v>
      </c>
      <c r="C2436" s="524" t="s">
        <v>1162</v>
      </c>
      <c r="D2436" s="524" t="s">
        <v>1205</v>
      </c>
      <c r="E2436" s="524" t="s">
        <v>1217</v>
      </c>
      <c r="F2436" s="524" t="s">
        <v>1576</v>
      </c>
      <c r="G2436" s="524" t="s">
        <v>1577</v>
      </c>
      <c r="H2436" s="527">
        <v>168.01</v>
      </c>
      <c r="I2436" s="524" t="s">
        <v>1148</v>
      </c>
      <c r="J2436" s="524">
        <f>IF(cmf[[#This Row],[D/C]]="C",cmf[[#This Row],[Valor]],-1*cmf[[#This Row],[Valor]])</f>
        <v>168.01</v>
      </c>
      <c r="L2436" s="524" t="s">
        <v>1207</v>
      </c>
      <c r="M2436" s="524" t="s">
        <v>1208</v>
      </c>
      <c r="N2436" s="524" t="s">
        <v>1578</v>
      </c>
      <c r="O2436" s="524" t="s">
        <v>1579</v>
      </c>
      <c r="P2436" s="526"/>
      <c r="S2436" s="527">
        <v>0</v>
      </c>
    </row>
    <row r="2437" spans="1:19" x14ac:dyDescent="0.2">
      <c r="A2437" s="524">
        <v>71872</v>
      </c>
      <c r="B2437" s="526">
        <v>46231</v>
      </c>
      <c r="C2437" s="524" t="s">
        <v>1148</v>
      </c>
      <c r="D2437" s="524" t="s">
        <v>1243</v>
      </c>
      <c r="E2437" s="524" t="s">
        <v>1266</v>
      </c>
      <c r="F2437" s="524" t="s">
        <v>1183</v>
      </c>
      <c r="G2437" s="524" t="s">
        <v>750</v>
      </c>
      <c r="H2437" s="527">
        <v>76700</v>
      </c>
      <c r="I2437" s="524" t="s">
        <v>1174</v>
      </c>
      <c r="J2437" s="524">
        <f>IF(cmf[[#This Row],[D/C]]="C",cmf[[#This Row],[Valor]],-1*cmf[[#This Row],[Valor]])</f>
        <v>-76700</v>
      </c>
      <c r="L2437" s="524" t="s">
        <v>1245</v>
      </c>
      <c r="M2437" s="524" t="s">
        <v>1246</v>
      </c>
      <c r="N2437" s="524" t="s">
        <v>1256</v>
      </c>
      <c r="O2437" s="524" t="s">
        <v>1257</v>
      </c>
      <c r="P2437" s="526">
        <v>46231</v>
      </c>
      <c r="S2437" s="527">
        <v>0</v>
      </c>
    </row>
    <row r="2438" spans="1:19" x14ac:dyDescent="0.2">
      <c r="A2438" s="524">
        <v>71904</v>
      </c>
      <c r="B2438" s="526">
        <v>46231</v>
      </c>
      <c r="C2438" s="524" t="s">
        <v>1148</v>
      </c>
      <c r="D2438" s="524" t="s">
        <v>1186</v>
      </c>
      <c r="E2438" s="524" t="s">
        <v>2659</v>
      </c>
      <c r="F2438" s="524" t="s">
        <v>1183</v>
      </c>
      <c r="G2438" s="524" t="s">
        <v>750</v>
      </c>
      <c r="H2438" s="527">
        <v>965.67</v>
      </c>
      <c r="I2438" s="524" t="s">
        <v>1174</v>
      </c>
      <c r="J2438" s="524">
        <f>IF(cmf[[#This Row],[D/C]]="C",cmf[[#This Row],[Valor]],-1*cmf[[#This Row],[Valor]])</f>
        <v>-965.67</v>
      </c>
      <c r="L2438" s="524" t="s">
        <v>1188</v>
      </c>
      <c r="M2438" s="524" t="s">
        <v>1189</v>
      </c>
      <c r="N2438" s="524" t="s">
        <v>1256</v>
      </c>
      <c r="O2438" s="524" t="s">
        <v>1257</v>
      </c>
      <c r="P2438" s="526">
        <v>46231</v>
      </c>
      <c r="S2438" s="527">
        <v>0</v>
      </c>
    </row>
    <row r="2439" spans="1:19" x14ac:dyDescent="0.2">
      <c r="A2439" s="524">
        <v>71909</v>
      </c>
      <c r="B2439" s="526">
        <v>46231</v>
      </c>
      <c r="C2439" s="524" t="s">
        <v>1148</v>
      </c>
      <c r="D2439" s="524" t="s">
        <v>1239</v>
      </c>
      <c r="E2439" s="524" t="s">
        <v>2660</v>
      </c>
      <c r="F2439" s="524" t="s">
        <v>1170</v>
      </c>
      <c r="G2439" s="524" t="s">
        <v>1102</v>
      </c>
      <c r="H2439" s="527">
        <v>1160.27</v>
      </c>
      <c r="I2439" s="524" t="s">
        <v>1174</v>
      </c>
      <c r="J2439" s="524">
        <f>IF(cmf[[#This Row],[D/C]]="C",cmf[[#This Row],[Valor]],-1*cmf[[#This Row],[Valor]])</f>
        <v>-1160.27</v>
      </c>
      <c r="L2439" s="524" t="s">
        <v>1241</v>
      </c>
      <c r="M2439" s="524" t="s">
        <v>1242</v>
      </c>
      <c r="N2439" s="524" t="s">
        <v>1192</v>
      </c>
      <c r="O2439" s="524" t="s">
        <v>1193</v>
      </c>
      <c r="P2439" s="526">
        <v>46231</v>
      </c>
      <c r="S2439" s="527">
        <v>0</v>
      </c>
    </row>
    <row r="2440" spans="1:19" x14ac:dyDescent="0.2">
      <c r="A2440" s="524">
        <v>71910</v>
      </c>
      <c r="B2440" s="526">
        <v>46231</v>
      </c>
      <c r="C2440" s="524" t="s">
        <v>1148</v>
      </c>
      <c r="D2440" s="524" t="s">
        <v>1243</v>
      </c>
      <c r="E2440" s="524" t="s">
        <v>1244</v>
      </c>
      <c r="F2440" s="524" t="s">
        <v>1183</v>
      </c>
      <c r="G2440" s="524" t="s">
        <v>752</v>
      </c>
      <c r="H2440" s="527">
        <v>108.35</v>
      </c>
      <c r="I2440" s="524" t="s">
        <v>1148</v>
      </c>
      <c r="J2440" s="524">
        <f>IF(cmf[[#This Row],[D/C]]="C",cmf[[#This Row],[Valor]],-1*cmf[[#This Row],[Valor]])</f>
        <v>108.35</v>
      </c>
      <c r="L2440" s="524" t="s">
        <v>1245</v>
      </c>
      <c r="M2440" s="524" t="s">
        <v>1246</v>
      </c>
      <c r="N2440" s="524" t="s">
        <v>1601</v>
      </c>
      <c r="O2440" s="524" t="s">
        <v>1602</v>
      </c>
      <c r="P2440" s="526">
        <v>46231</v>
      </c>
      <c r="S2440" s="527">
        <v>0</v>
      </c>
    </row>
    <row r="2441" spans="1:19" x14ac:dyDescent="0.2">
      <c r="A2441" s="524">
        <v>71911</v>
      </c>
      <c r="B2441" s="526">
        <v>46231</v>
      </c>
      <c r="C2441" s="524" t="s">
        <v>1148</v>
      </c>
      <c r="D2441" s="524" t="s">
        <v>1243</v>
      </c>
      <c r="E2441" s="524" t="s">
        <v>1244</v>
      </c>
      <c r="F2441" s="524" t="s">
        <v>1183</v>
      </c>
      <c r="G2441" s="524" t="s">
        <v>752</v>
      </c>
      <c r="H2441" s="527">
        <v>0.04</v>
      </c>
      <c r="I2441" s="524" t="s">
        <v>1148</v>
      </c>
      <c r="J2441" s="524">
        <f>IF(cmf[[#This Row],[D/C]]="C",cmf[[#This Row],[Valor]],-1*cmf[[#This Row],[Valor]])</f>
        <v>0.04</v>
      </c>
      <c r="L2441" s="524" t="s">
        <v>1245</v>
      </c>
      <c r="M2441" s="524" t="s">
        <v>1246</v>
      </c>
      <c r="N2441" s="524" t="s">
        <v>1601</v>
      </c>
      <c r="O2441" s="524" t="s">
        <v>1602</v>
      </c>
      <c r="P2441" s="526">
        <v>46231</v>
      </c>
      <c r="S2441" s="527">
        <v>0</v>
      </c>
    </row>
    <row r="2442" spans="1:19" x14ac:dyDescent="0.2">
      <c r="A2442" s="524">
        <v>72073</v>
      </c>
      <c r="B2442" s="526">
        <v>46231</v>
      </c>
      <c r="C2442" s="524" t="s">
        <v>1148</v>
      </c>
      <c r="D2442" s="524" t="s">
        <v>1163</v>
      </c>
      <c r="E2442" s="524" t="s">
        <v>1164</v>
      </c>
      <c r="F2442" s="524" t="s">
        <v>1170</v>
      </c>
      <c r="G2442" s="524" t="s">
        <v>757</v>
      </c>
      <c r="H2442" s="527">
        <v>2812612.19</v>
      </c>
      <c r="I2442" s="524" t="s">
        <v>1148</v>
      </c>
      <c r="J2442" s="524">
        <f>IF(cmf[[#This Row],[D/C]]="C",cmf[[#This Row],[Valor]],-1*cmf[[#This Row],[Valor]])</f>
        <v>2812612.19</v>
      </c>
      <c r="L2442" s="524" t="s">
        <v>1166</v>
      </c>
      <c r="M2442" s="524" t="s">
        <v>1167</v>
      </c>
      <c r="N2442" s="524" t="s">
        <v>1223</v>
      </c>
      <c r="O2442" s="524" t="s">
        <v>1224</v>
      </c>
      <c r="P2442" s="526">
        <v>46231</v>
      </c>
      <c r="S2442" s="527">
        <v>0</v>
      </c>
    </row>
    <row r="2443" spans="1:19" x14ac:dyDescent="0.2">
      <c r="A2443" s="524">
        <v>72144</v>
      </c>
      <c r="B2443" s="526">
        <v>46231</v>
      </c>
      <c r="C2443" s="524" t="s">
        <v>1148</v>
      </c>
      <c r="D2443" s="524" t="s">
        <v>1186</v>
      </c>
      <c r="E2443" s="524" t="s">
        <v>2661</v>
      </c>
      <c r="F2443" s="524" t="s">
        <v>1183</v>
      </c>
      <c r="G2443" s="524" t="s">
        <v>752</v>
      </c>
      <c r="H2443" s="527">
        <v>108.39</v>
      </c>
      <c r="I2443" s="524" t="s">
        <v>1174</v>
      </c>
      <c r="J2443" s="524">
        <f>IF(cmf[[#This Row],[D/C]]="C",cmf[[#This Row],[Valor]],-1*cmf[[#This Row],[Valor]])</f>
        <v>-108.39</v>
      </c>
      <c r="L2443" s="524" t="s">
        <v>1188</v>
      </c>
      <c r="M2443" s="524" t="s">
        <v>1189</v>
      </c>
      <c r="N2443" s="524" t="s">
        <v>1601</v>
      </c>
      <c r="O2443" s="524" t="s">
        <v>1602</v>
      </c>
      <c r="P2443" s="526">
        <v>46231</v>
      </c>
      <c r="S2443" s="527">
        <v>0</v>
      </c>
    </row>
    <row r="2444" spans="1:19" x14ac:dyDescent="0.2">
      <c r="A2444" s="524">
        <v>72186</v>
      </c>
      <c r="B2444" s="526">
        <v>46231</v>
      </c>
      <c r="C2444" s="524" t="s">
        <v>1148</v>
      </c>
      <c r="D2444" s="524" t="s">
        <v>1243</v>
      </c>
      <c r="E2444" s="524" t="s">
        <v>1266</v>
      </c>
      <c r="F2444" s="524" t="s">
        <v>1183</v>
      </c>
      <c r="G2444" s="524" t="s">
        <v>806</v>
      </c>
      <c r="H2444" s="527">
        <v>14711.42</v>
      </c>
      <c r="I2444" s="524" t="s">
        <v>1174</v>
      </c>
      <c r="J2444" s="524">
        <f>IF(cmf[[#This Row],[D/C]]="C",cmf[[#This Row],[Valor]],-1*cmf[[#This Row],[Valor]])</f>
        <v>-14711.42</v>
      </c>
      <c r="L2444" s="524" t="s">
        <v>1245</v>
      </c>
      <c r="M2444" s="524" t="s">
        <v>1246</v>
      </c>
      <c r="N2444" s="524" t="s">
        <v>1283</v>
      </c>
      <c r="O2444" s="524" t="s">
        <v>1284</v>
      </c>
      <c r="P2444" s="526">
        <v>46231</v>
      </c>
      <c r="S2444" s="527">
        <v>0</v>
      </c>
    </row>
    <row r="2445" spans="1:19" x14ac:dyDescent="0.2">
      <c r="A2445" s="524">
        <v>72206</v>
      </c>
      <c r="B2445" s="526">
        <v>46231</v>
      </c>
      <c r="C2445" s="524" t="s">
        <v>1148</v>
      </c>
      <c r="D2445" s="524" t="s">
        <v>1243</v>
      </c>
      <c r="E2445" s="524" t="s">
        <v>2662</v>
      </c>
      <c r="F2445" s="524" t="s">
        <v>1183</v>
      </c>
      <c r="G2445" s="524" t="s">
        <v>789</v>
      </c>
      <c r="H2445" s="527">
        <v>312.20999999999998</v>
      </c>
      <c r="I2445" s="524" t="s">
        <v>1174</v>
      </c>
      <c r="J2445" s="524">
        <f>IF(cmf[[#This Row],[D/C]]="C",cmf[[#This Row],[Valor]],-1*cmf[[#This Row],[Valor]])</f>
        <v>-312.20999999999998</v>
      </c>
      <c r="L2445" s="524" t="s">
        <v>1245</v>
      </c>
      <c r="M2445" s="524" t="s">
        <v>1246</v>
      </c>
      <c r="N2445" s="524" t="s">
        <v>1271</v>
      </c>
      <c r="O2445" s="524" t="s">
        <v>1272</v>
      </c>
      <c r="P2445" s="526">
        <v>46231</v>
      </c>
      <c r="S2445" s="527">
        <v>0</v>
      </c>
    </row>
    <row r="2446" spans="1:19" x14ac:dyDescent="0.2">
      <c r="A2446" s="524">
        <v>72216</v>
      </c>
      <c r="B2446" s="526">
        <v>46231</v>
      </c>
      <c r="C2446" s="524" t="s">
        <v>1148</v>
      </c>
      <c r="D2446" s="524" t="s">
        <v>1243</v>
      </c>
      <c r="E2446" s="524" t="s">
        <v>1254</v>
      </c>
      <c r="F2446" s="524" t="s">
        <v>1178</v>
      </c>
      <c r="G2446" s="524" t="s">
        <v>1179</v>
      </c>
      <c r="H2446" s="527">
        <v>10989.15</v>
      </c>
      <c r="I2446" s="524" t="s">
        <v>1148</v>
      </c>
      <c r="J2446" s="524">
        <f>IF(cmf[[#This Row],[D/C]]="C",cmf[[#This Row],[Valor]],-1*cmf[[#This Row],[Valor]])</f>
        <v>10989.15</v>
      </c>
      <c r="L2446" s="524" t="s">
        <v>1245</v>
      </c>
      <c r="M2446" s="524" t="s">
        <v>1246</v>
      </c>
      <c r="N2446" s="524" t="s">
        <v>1180</v>
      </c>
      <c r="O2446" s="524" t="s">
        <v>1181</v>
      </c>
      <c r="P2446" s="526">
        <v>46231</v>
      </c>
      <c r="S2446" s="527">
        <v>0</v>
      </c>
    </row>
    <row r="2447" spans="1:19" x14ac:dyDescent="0.2">
      <c r="A2447" s="524">
        <v>72243</v>
      </c>
      <c r="B2447" s="526">
        <v>46231</v>
      </c>
      <c r="C2447" s="524" t="s">
        <v>1148</v>
      </c>
      <c r="D2447" s="524" t="s">
        <v>1186</v>
      </c>
      <c r="E2447" s="524" t="s">
        <v>2663</v>
      </c>
      <c r="F2447" s="524" t="s">
        <v>1170</v>
      </c>
      <c r="G2447" s="524" t="s">
        <v>802</v>
      </c>
      <c r="H2447" s="527">
        <v>25304.3</v>
      </c>
      <c r="I2447" s="524" t="s">
        <v>1174</v>
      </c>
      <c r="J2447" s="524">
        <f>IF(cmf[[#This Row],[D/C]]="C",cmf[[#This Row],[Valor]],-1*cmf[[#This Row],[Valor]])</f>
        <v>-25304.3</v>
      </c>
      <c r="L2447" s="524" t="s">
        <v>1188</v>
      </c>
      <c r="M2447" s="524" t="s">
        <v>1189</v>
      </c>
      <c r="N2447" s="524" t="s">
        <v>1192</v>
      </c>
      <c r="O2447" s="524" t="s">
        <v>1193</v>
      </c>
      <c r="P2447" s="526">
        <v>46231</v>
      </c>
      <c r="S2447" s="527">
        <v>0</v>
      </c>
    </row>
    <row r="2448" spans="1:19" x14ac:dyDescent="0.2">
      <c r="A2448" s="524">
        <v>72257</v>
      </c>
      <c r="B2448" s="526">
        <v>46231</v>
      </c>
      <c r="C2448" s="524" t="s">
        <v>1148</v>
      </c>
      <c r="D2448" s="524" t="s">
        <v>1239</v>
      </c>
      <c r="E2448" s="524" t="s">
        <v>1251</v>
      </c>
      <c r="F2448" s="524" t="s">
        <v>1178</v>
      </c>
      <c r="G2448" s="524" t="s">
        <v>1179</v>
      </c>
      <c r="H2448" s="527">
        <v>20</v>
      </c>
      <c r="I2448" s="524" t="s">
        <v>1174</v>
      </c>
      <c r="J2448" s="524">
        <f>IF(cmf[[#This Row],[D/C]]="C",cmf[[#This Row],[Valor]],-1*cmf[[#This Row],[Valor]])</f>
        <v>-20</v>
      </c>
      <c r="L2448" s="524" t="s">
        <v>1241</v>
      </c>
      <c r="M2448" s="524" t="s">
        <v>1242</v>
      </c>
      <c r="N2448" s="524" t="s">
        <v>1180</v>
      </c>
      <c r="O2448" s="524" t="s">
        <v>1181</v>
      </c>
      <c r="P2448" s="526">
        <v>46231</v>
      </c>
      <c r="S2448" s="527">
        <v>0</v>
      </c>
    </row>
    <row r="2449" spans="1:19" x14ac:dyDescent="0.2">
      <c r="A2449" s="524">
        <v>72262</v>
      </c>
      <c r="B2449" s="526">
        <v>46231</v>
      </c>
      <c r="C2449" s="524" t="s">
        <v>1148</v>
      </c>
      <c r="D2449" s="524" t="s">
        <v>1239</v>
      </c>
      <c r="E2449" s="524" t="s">
        <v>2664</v>
      </c>
      <c r="F2449" s="524" t="s">
        <v>1178</v>
      </c>
      <c r="G2449" s="524" t="s">
        <v>1179</v>
      </c>
      <c r="H2449" s="527">
        <v>2269.9</v>
      </c>
      <c r="I2449" s="524" t="s">
        <v>1148</v>
      </c>
      <c r="J2449" s="524">
        <f>IF(cmf[[#This Row],[D/C]]="C",cmf[[#This Row],[Valor]],-1*cmf[[#This Row],[Valor]])</f>
        <v>2269.9</v>
      </c>
      <c r="L2449" s="524" t="s">
        <v>1264</v>
      </c>
      <c r="M2449" s="524" t="s">
        <v>1265</v>
      </c>
      <c r="N2449" s="524" t="s">
        <v>1180</v>
      </c>
      <c r="O2449" s="524" t="s">
        <v>1181</v>
      </c>
      <c r="P2449" s="526">
        <v>46231</v>
      </c>
      <c r="S2449" s="527">
        <v>0</v>
      </c>
    </row>
    <row r="2450" spans="1:19" x14ac:dyDescent="0.2">
      <c r="A2450" s="524">
        <v>72264</v>
      </c>
      <c r="B2450" s="526">
        <v>46231</v>
      </c>
      <c r="C2450" s="524" t="s">
        <v>1162</v>
      </c>
      <c r="D2450" s="524" t="s">
        <v>1235</v>
      </c>
      <c r="E2450" s="524" t="s">
        <v>1906</v>
      </c>
      <c r="F2450" s="524" t="s">
        <v>1170</v>
      </c>
      <c r="G2450" s="524" t="s">
        <v>799</v>
      </c>
      <c r="H2450" s="527">
        <v>1440</v>
      </c>
      <c r="I2450" s="524" t="s">
        <v>1174</v>
      </c>
      <c r="J2450" s="524">
        <f>IF(cmf[[#This Row],[D/C]]="C",cmf[[#This Row],[Valor]],-1*cmf[[#This Row],[Valor]])</f>
        <v>-1440</v>
      </c>
      <c r="L2450" s="524" t="s">
        <v>1237</v>
      </c>
      <c r="M2450" s="524" t="s">
        <v>1238</v>
      </c>
      <c r="N2450" s="524" t="s">
        <v>1171</v>
      </c>
      <c r="O2450" s="524" t="s">
        <v>1172</v>
      </c>
      <c r="P2450" s="526"/>
      <c r="S2450" s="527">
        <v>0</v>
      </c>
    </row>
    <row r="2451" spans="1:19" x14ac:dyDescent="0.2">
      <c r="A2451" s="524">
        <v>72520</v>
      </c>
      <c r="B2451" s="526">
        <v>46231</v>
      </c>
      <c r="C2451" s="524" t="s">
        <v>1162</v>
      </c>
      <c r="D2451" s="524" t="s">
        <v>1239</v>
      </c>
      <c r="E2451" s="524" t="s">
        <v>1833</v>
      </c>
      <c r="F2451" s="524" t="s">
        <v>1170</v>
      </c>
      <c r="G2451" s="524" t="s">
        <v>799</v>
      </c>
      <c r="H2451" s="527">
        <v>202429.88</v>
      </c>
      <c r="I2451" s="524" t="s">
        <v>1174</v>
      </c>
      <c r="J2451" s="524">
        <f>IF(cmf[[#This Row],[D/C]]="C",cmf[[#This Row],[Valor]],-1*cmf[[#This Row],[Valor]])</f>
        <v>-202429.88</v>
      </c>
      <c r="L2451" s="524" t="s">
        <v>1264</v>
      </c>
      <c r="M2451" s="524" t="s">
        <v>1265</v>
      </c>
      <c r="N2451" s="524" t="s">
        <v>1171</v>
      </c>
      <c r="O2451" s="524" t="s">
        <v>1172</v>
      </c>
      <c r="P2451" s="526"/>
      <c r="S2451" s="527">
        <v>0</v>
      </c>
    </row>
    <row r="2452" spans="1:19" x14ac:dyDescent="0.2">
      <c r="A2452" s="524">
        <v>72534</v>
      </c>
      <c r="B2452" s="526">
        <v>46231</v>
      </c>
      <c r="C2452" s="524" t="s">
        <v>1148</v>
      </c>
      <c r="D2452" s="524" t="s">
        <v>1186</v>
      </c>
      <c r="E2452" s="524" t="s">
        <v>2665</v>
      </c>
      <c r="F2452" s="524" t="s">
        <v>1170</v>
      </c>
      <c r="G2452" s="524" t="s">
        <v>799</v>
      </c>
      <c r="H2452" s="527">
        <v>202429.88</v>
      </c>
      <c r="I2452" s="524" t="s">
        <v>1174</v>
      </c>
      <c r="J2452" s="524">
        <f>IF(cmf[[#This Row],[D/C]]="C",cmf[[#This Row],[Valor]],-1*cmf[[#This Row],[Valor]])</f>
        <v>-202429.88</v>
      </c>
      <c r="L2452" s="524" t="s">
        <v>1188</v>
      </c>
      <c r="M2452" s="524" t="s">
        <v>1189</v>
      </c>
      <c r="N2452" s="524" t="s">
        <v>1171</v>
      </c>
      <c r="O2452" s="524" t="s">
        <v>1172</v>
      </c>
      <c r="P2452" s="526">
        <v>46231</v>
      </c>
      <c r="S2452" s="527">
        <v>0</v>
      </c>
    </row>
    <row r="2453" spans="1:19" x14ac:dyDescent="0.2">
      <c r="A2453" s="524">
        <v>72547</v>
      </c>
      <c r="B2453" s="526">
        <v>46231</v>
      </c>
      <c r="C2453" s="524" t="s">
        <v>1148</v>
      </c>
      <c r="D2453" s="524" t="s">
        <v>1186</v>
      </c>
      <c r="E2453" s="524" t="s">
        <v>2666</v>
      </c>
      <c r="F2453" s="524" t="s">
        <v>1170</v>
      </c>
      <c r="G2453" s="524" t="s">
        <v>757</v>
      </c>
      <c r="H2453" s="527">
        <v>62624.29</v>
      </c>
      <c r="I2453" s="524" t="s">
        <v>1174</v>
      </c>
      <c r="J2453" s="524">
        <f>IF(cmf[[#This Row],[D/C]]="C",cmf[[#This Row],[Valor]],-1*cmf[[#This Row],[Valor]])</f>
        <v>-62624.29</v>
      </c>
      <c r="L2453" s="524" t="s">
        <v>1188</v>
      </c>
      <c r="M2453" s="524" t="s">
        <v>1189</v>
      </c>
      <c r="N2453" s="524" t="s">
        <v>1223</v>
      </c>
      <c r="O2453" s="524" t="s">
        <v>1224</v>
      </c>
      <c r="P2453" s="526">
        <v>46231</v>
      </c>
      <c r="S2453" s="527">
        <v>0</v>
      </c>
    </row>
    <row r="2454" spans="1:19" x14ac:dyDescent="0.2">
      <c r="A2454" s="524">
        <v>70909</v>
      </c>
      <c r="B2454" s="526">
        <v>46232</v>
      </c>
      <c r="C2454" s="524" t="s">
        <v>1148</v>
      </c>
      <c r="D2454" s="524" t="s">
        <v>1163</v>
      </c>
      <c r="E2454" s="524" t="s">
        <v>1164</v>
      </c>
      <c r="F2454" s="524" t="s">
        <v>1170</v>
      </c>
      <c r="G2454" s="524" t="s">
        <v>798</v>
      </c>
      <c r="H2454" s="527">
        <v>4674.95</v>
      </c>
      <c r="I2454" s="524" t="s">
        <v>1148</v>
      </c>
      <c r="J2454" s="524">
        <f>IF(cmf[[#This Row],[D/C]]="C",cmf[[#This Row],[Valor]],-1*cmf[[#This Row],[Valor]])</f>
        <v>4674.95</v>
      </c>
      <c r="L2454" s="524" t="s">
        <v>1166</v>
      </c>
      <c r="M2454" s="524" t="s">
        <v>1167</v>
      </c>
      <c r="N2454" s="524" t="s">
        <v>1171</v>
      </c>
      <c r="O2454" s="524" t="s">
        <v>1172</v>
      </c>
      <c r="P2454" s="526">
        <v>46232</v>
      </c>
      <c r="S2454" s="527">
        <v>0</v>
      </c>
    </row>
    <row r="2455" spans="1:19" x14ac:dyDescent="0.2">
      <c r="A2455" s="524">
        <v>70910</v>
      </c>
      <c r="B2455" s="526">
        <v>46232</v>
      </c>
      <c r="C2455" s="524" t="s">
        <v>1148</v>
      </c>
      <c r="D2455" s="524" t="s">
        <v>1163</v>
      </c>
      <c r="E2455" s="524" t="s">
        <v>1173</v>
      </c>
      <c r="F2455" s="524" t="s">
        <v>1170</v>
      </c>
      <c r="G2455" s="524" t="s">
        <v>798</v>
      </c>
      <c r="H2455" s="527">
        <v>31.5</v>
      </c>
      <c r="I2455" s="524" t="s">
        <v>1174</v>
      </c>
      <c r="J2455" s="524">
        <f>IF(cmf[[#This Row],[D/C]]="C",cmf[[#This Row],[Valor]],-1*cmf[[#This Row],[Valor]])</f>
        <v>-31.5</v>
      </c>
      <c r="L2455" s="524" t="s">
        <v>1175</v>
      </c>
      <c r="M2455" s="524" t="s">
        <v>1176</v>
      </c>
      <c r="N2455" s="524" t="s">
        <v>1171</v>
      </c>
      <c r="O2455" s="524" t="s">
        <v>1172</v>
      </c>
      <c r="P2455" s="526">
        <v>46232</v>
      </c>
      <c r="S2455" s="527">
        <v>0</v>
      </c>
    </row>
    <row r="2456" spans="1:19" x14ac:dyDescent="0.2">
      <c r="A2456" s="524">
        <v>70924</v>
      </c>
      <c r="B2456" s="526">
        <v>46232</v>
      </c>
      <c r="C2456" s="524" t="s">
        <v>1162</v>
      </c>
      <c r="D2456" s="524" t="s">
        <v>1163</v>
      </c>
      <c r="E2456" s="524" t="s">
        <v>1164</v>
      </c>
      <c r="F2456" s="524" t="s">
        <v>1165</v>
      </c>
      <c r="G2456" s="524" t="s">
        <v>756</v>
      </c>
      <c r="H2456" s="527">
        <v>118542.35</v>
      </c>
      <c r="I2456" s="524" t="s">
        <v>1148</v>
      </c>
      <c r="J2456" s="524">
        <f>IF(cmf[[#This Row],[D/C]]="C",cmf[[#This Row],[Valor]],-1*cmf[[#This Row],[Valor]])</f>
        <v>118542.35</v>
      </c>
      <c r="L2456" s="524" t="s">
        <v>1166</v>
      </c>
      <c r="M2456" s="524" t="s">
        <v>1167</v>
      </c>
      <c r="N2456" s="524" t="s">
        <v>1168</v>
      </c>
      <c r="O2456" s="524" t="s">
        <v>1169</v>
      </c>
      <c r="P2456" s="526"/>
      <c r="S2456" s="527">
        <v>0</v>
      </c>
    </row>
    <row r="2457" spans="1:19" x14ac:dyDescent="0.2">
      <c r="A2457" s="524">
        <v>71171</v>
      </c>
      <c r="B2457" s="526">
        <v>46232</v>
      </c>
      <c r="C2457" s="524" t="s">
        <v>1148</v>
      </c>
      <c r="D2457" s="524" t="s">
        <v>1163</v>
      </c>
      <c r="E2457" s="524" t="s">
        <v>1164</v>
      </c>
      <c r="F2457" s="524" t="s">
        <v>1178</v>
      </c>
      <c r="G2457" s="524" t="s">
        <v>1179</v>
      </c>
      <c r="H2457" s="527">
        <v>897.67</v>
      </c>
      <c r="I2457" s="524" t="s">
        <v>1148</v>
      </c>
      <c r="J2457" s="524">
        <f>IF(cmf[[#This Row],[D/C]]="C",cmf[[#This Row],[Valor]],-1*cmf[[#This Row],[Valor]])</f>
        <v>897.67</v>
      </c>
      <c r="L2457" s="524" t="s">
        <v>1166</v>
      </c>
      <c r="M2457" s="524" t="s">
        <v>1167</v>
      </c>
      <c r="N2457" s="524" t="s">
        <v>1180</v>
      </c>
      <c r="O2457" s="524" t="s">
        <v>1181</v>
      </c>
      <c r="P2457" s="526">
        <v>46232</v>
      </c>
      <c r="S2457" s="527">
        <v>0</v>
      </c>
    </row>
    <row r="2458" spans="1:19" x14ac:dyDescent="0.2">
      <c r="A2458" s="524">
        <v>71173</v>
      </c>
      <c r="B2458" s="526">
        <v>46232</v>
      </c>
      <c r="C2458" s="524" t="s">
        <v>1162</v>
      </c>
      <c r="D2458" s="524" t="s">
        <v>1163</v>
      </c>
      <c r="E2458" s="524" t="s">
        <v>1164</v>
      </c>
      <c r="F2458" s="524" t="s">
        <v>1111</v>
      </c>
      <c r="G2458" s="524" t="s">
        <v>1110</v>
      </c>
      <c r="H2458" s="527">
        <v>4075.01</v>
      </c>
      <c r="I2458" s="524" t="s">
        <v>1148</v>
      </c>
      <c r="J2458" s="524">
        <f>IF(cmf[[#This Row],[D/C]]="C",cmf[[#This Row],[Valor]],-1*cmf[[#This Row],[Valor]])</f>
        <v>4075.01</v>
      </c>
      <c r="L2458" s="524" t="s">
        <v>1166</v>
      </c>
      <c r="M2458" s="524" t="s">
        <v>1167</v>
      </c>
      <c r="N2458" s="524" t="s">
        <v>1219</v>
      </c>
      <c r="O2458" s="524" t="s">
        <v>1220</v>
      </c>
      <c r="P2458" s="526"/>
      <c r="S2458" s="527">
        <v>0</v>
      </c>
    </row>
    <row r="2459" spans="1:19" x14ac:dyDescent="0.2">
      <c r="A2459" s="524">
        <v>71176</v>
      </c>
      <c r="B2459" s="526">
        <v>46232</v>
      </c>
      <c r="C2459" s="524" t="s">
        <v>1148</v>
      </c>
      <c r="D2459" s="524" t="s">
        <v>1186</v>
      </c>
      <c r="E2459" s="524" t="s">
        <v>2667</v>
      </c>
      <c r="F2459" s="524" t="s">
        <v>1183</v>
      </c>
      <c r="G2459" s="524" t="s">
        <v>758</v>
      </c>
      <c r="H2459" s="527">
        <v>800</v>
      </c>
      <c r="I2459" s="524" t="s">
        <v>1174</v>
      </c>
      <c r="J2459" s="524">
        <f>IF(cmf[[#This Row],[D/C]]="C",cmf[[#This Row],[Valor]],-1*cmf[[#This Row],[Valor]])</f>
        <v>-800</v>
      </c>
      <c r="L2459" s="524" t="s">
        <v>1188</v>
      </c>
      <c r="M2459" s="524" t="s">
        <v>1189</v>
      </c>
      <c r="N2459" s="524" t="s">
        <v>1223</v>
      </c>
      <c r="O2459" s="524" t="s">
        <v>1224</v>
      </c>
      <c r="P2459" s="526">
        <v>46232</v>
      </c>
      <c r="S2459" s="527">
        <v>0</v>
      </c>
    </row>
    <row r="2460" spans="1:19" x14ac:dyDescent="0.2">
      <c r="A2460" s="524">
        <v>71177</v>
      </c>
      <c r="B2460" s="526">
        <v>46232</v>
      </c>
      <c r="C2460" s="524" t="s">
        <v>1148</v>
      </c>
      <c r="D2460" s="524" t="s">
        <v>1186</v>
      </c>
      <c r="E2460" s="524" t="s">
        <v>2668</v>
      </c>
      <c r="F2460" s="524" t="s">
        <v>1183</v>
      </c>
      <c r="G2460" s="524" t="s">
        <v>803</v>
      </c>
      <c r="H2460" s="527">
        <v>10511.2</v>
      </c>
      <c r="I2460" s="524" t="s">
        <v>1174</v>
      </c>
      <c r="J2460" s="524">
        <f>IF(cmf[[#This Row],[D/C]]="C",cmf[[#This Row],[Valor]],-1*cmf[[#This Row],[Valor]])</f>
        <v>-10511.2</v>
      </c>
      <c r="L2460" s="524" t="s">
        <v>1188</v>
      </c>
      <c r="M2460" s="524" t="s">
        <v>1189</v>
      </c>
      <c r="N2460" s="524" t="s">
        <v>1192</v>
      </c>
      <c r="O2460" s="524" t="s">
        <v>1193</v>
      </c>
      <c r="P2460" s="526">
        <v>46232</v>
      </c>
      <c r="S2460" s="527">
        <v>0</v>
      </c>
    </row>
    <row r="2461" spans="1:19" x14ac:dyDescent="0.2">
      <c r="A2461" s="524">
        <v>71180</v>
      </c>
      <c r="B2461" s="526">
        <v>46232</v>
      </c>
      <c r="C2461" s="524" t="s">
        <v>1148</v>
      </c>
      <c r="D2461" s="524" t="s">
        <v>1186</v>
      </c>
      <c r="E2461" s="524" t="s">
        <v>2669</v>
      </c>
      <c r="F2461" s="524" t="s">
        <v>1183</v>
      </c>
      <c r="G2461" s="524" t="s">
        <v>745</v>
      </c>
      <c r="H2461" s="527">
        <v>1787.7</v>
      </c>
      <c r="I2461" s="524" t="s">
        <v>1174</v>
      </c>
      <c r="J2461" s="524">
        <f>IF(cmf[[#This Row],[D/C]]="C",cmf[[#This Row],[Valor]],-1*cmf[[#This Row],[Valor]])</f>
        <v>-1787.7</v>
      </c>
      <c r="L2461" s="524" t="s">
        <v>1188</v>
      </c>
      <c r="M2461" s="524" t="s">
        <v>1189</v>
      </c>
      <c r="N2461" s="524" t="s">
        <v>1292</v>
      </c>
      <c r="O2461" s="524" t="s">
        <v>1293</v>
      </c>
      <c r="P2461" s="526">
        <v>46232</v>
      </c>
      <c r="S2461" s="527">
        <v>0</v>
      </c>
    </row>
    <row r="2462" spans="1:19" x14ac:dyDescent="0.2">
      <c r="A2462" s="524">
        <v>71183</v>
      </c>
      <c r="B2462" s="526">
        <v>46232</v>
      </c>
      <c r="C2462" s="524" t="s">
        <v>1148</v>
      </c>
      <c r="D2462" s="524" t="s">
        <v>1186</v>
      </c>
      <c r="E2462" s="524" t="s">
        <v>2670</v>
      </c>
      <c r="F2462" s="524" t="s">
        <v>1183</v>
      </c>
      <c r="G2462" s="524" t="s">
        <v>766</v>
      </c>
      <c r="H2462" s="527">
        <v>1327.56</v>
      </c>
      <c r="I2462" s="524" t="s">
        <v>1174</v>
      </c>
      <c r="J2462" s="524">
        <f>IF(cmf[[#This Row],[D/C]]="C",cmf[[#This Row],[Valor]],-1*cmf[[#This Row],[Valor]])</f>
        <v>-1327.56</v>
      </c>
      <c r="L2462" s="524" t="s">
        <v>1188</v>
      </c>
      <c r="M2462" s="524" t="s">
        <v>1189</v>
      </c>
      <c r="N2462" s="524" t="s">
        <v>1200</v>
      </c>
      <c r="O2462" s="524" t="s">
        <v>1201</v>
      </c>
      <c r="P2462" s="526">
        <v>46232</v>
      </c>
      <c r="S2462" s="527">
        <v>0</v>
      </c>
    </row>
    <row r="2463" spans="1:19" x14ac:dyDescent="0.2">
      <c r="A2463" s="524">
        <v>71184</v>
      </c>
      <c r="B2463" s="526">
        <v>46232</v>
      </c>
      <c r="C2463" s="524" t="s">
        <v>1148</v>
      </c>
      <c r="D2463" s="524" t="s">
        <v>1186</v>
      </c>
      <c r="E2463" s="524" t="s">
        <v>2671</v>
      </c>
      <c r="F2463" s="524" t="s">
        <v>1183</v>
      </c>
      <c r="G2463" s="524" t="s">
        <v>742</v>
      </c>
      <c r="H2463" s="527">
        <v>250</v>
      </c>
      <c r="I2463" s="524" t="s">
        <v>1174</v>
      </c>
      <c r="J2463" s="524">
        <f>IF(cmf[[#This Row],[D/C]]="C",cmf[[#This Row],[Valor]],-1*cmf[[#This Row],[Valor]])</f>
        <v>-250</v>
      </c>
      <c r="L2463" s="524" t="s">
        <v>1188</v>
      </c>
      <c r="M2463" s="524" t="s">
        <v>1189</v>
      </c>
      <c r="N2463" s="524" t="s">
        <v>1215</v>
      </c>
      <c r="O2463" s="524" t="s">
        <v>1218</v>
      </c>
      <c r="P2463" s="526">
        <v>46232</v>
      </c>
      <c r="S2463" s="527">
        <v>0</v>
      </c>
    </row>
    <row r="2464" spans="1:19" x14ac:dyDescent="0.2">
      <c r="A2464" s="524">
        <v>71217</v>
      </c>
      <c r="B2464" s="526">
        <v>46232</v>
      </c>
      <c r="C2464" s="524" t="s">
        <v>1148</v>
      </c>
      <c r="D2464" s="524" t="s">
        <v>1226</v>
      </c>
      <c r="E2464" s="524" t="s">
        <v>2672</v>
      </c>
      <c r="F2464" s="524" t="s">
        <v>1170</v>
      </c>
      <c r="G2464" s="524" t="s">
        <v>1102</v>
      </c>
      <c r="H2464" s="527">
        <v>169.4</v>
      </c>
      <c r="I2464" s="524" t="s">
        <v>1148</v>
      </c>
      <c r="J2464" s="524">
        <f>IF(cmf[[#This Row],[D/C]]="C",cmf[[#This Row],[Valor]],-1*cmf[[#This Row],[Valor]])</f>
        <v>169.4</v>
      </c>
      <c r="L2464" s="524" t="s">
        <v>1230</v>
      </c>
      <c r="M2464" s="524" t="s">
        <v>1231</v>
      </c>
      <c r="N2464" s="524" t="s">
        <v>1192</v>
      </c>
      <c r="O2464" s="524" t="s">
        <v>1193</v>
      </c>
      <c r="P2464" s="526">
        <v>46232</v>
      </c>
      <c r="S2464" s="527">
        <v>0</v>
      </c>
    </row>
    <row r="2465" spans="1:19" x14ac:dyDescent="0.2">
      <c r="A2465" s="524">
        <v>71218</v>
      </c>
      <c r="B2465" s="526">
        <v>46232</v>
      </c>
      <c r="C2465" s="524" t="s">
        <v>1148</v>
      </c>
      <c r="D2465" s="524" t="s">
        <v>1226</v>
      </c>
      <c r="E2465" s="524" t="s">
        <v>2673</v>
      </c>
      <c r="F2465" s="524" t="s">
        <v>1170</v>
      </c>
      <c r="G2465" s="524" t="s">
        <v>1102</v>
      </c>
      <c r="H2465" s="527">
        <v>2823.13</v>
      </c>
      <c r="I2465" s="524" t="s">
        <v>1148</v>
      </c>
      <c r="J2465" s="524">
        <f>IF(cmf[[#This Row],[D/C]]="C",cmf[[#This Row],[Valor]],-1*cmf[[#This Row],[Valor]])</f>
        <v>2823.13</v>
      </c>
      <c r="L2465" s="524" t="s">
        <v>1230</v>
      </c>
      <c r="M2465" s="524" t="s">
        <v>1231</v>
      </c>
      <c r="N2465" s="524" t="s">
        <v>1192</v>
      </c>
      <c r="O2465" s="524" t="s">
        <v>1193</v>
      </c>
      <c r="P2465" s="526">
        <v>46232</v>
      </c>
      <c r="S2465" s="527">
        <v>0</v>
      </c>
    </row>
    <row r="2466" spans="1:19" x14ac:dyDescent="0.2">
      <c r="A2466" s="524">
        <v>71219</v>
      </c>
      <c r="B2466" s="526">
        <v>46232</v>
      </c>
      <c r="C2466" s="524" t="s">
        <v>1148</v>
      </c>
      <c r="D2466" s="524" t="s">
        <v>1226</v>
      </c>
      <c r="E2466" s="524" t="s">
        <v>2674</v>
      </c>
      <c r="F2466" s="524" t="s">
        <v>1170</v>
      </c>
      <c r="G2466" s="524" t="s">
        <v>1102</v>
      </c>
      <c r="H2466" s="527">
        <v>1059.56</v>
      </c>
      <c r="I2466" s="524" t="s">
        <v>1148</v>
      </c>
      <c r="J2466" s="524">
        <f>IF(cmf[[#This Row],[D/C]]="C",cmf[[#This Row],[Valor]],-1*cmf[[#This Row],[Valor]])</f>
        <v>1059.56</v>
      </c>
      <c r="L2466" s="524" t="s">
        <v>1230</v>
      </c>
      <c r="M2466" s="524" t="s">
        <v>1231</v>
      </c>
      <c r="N2466" s="524" t="s">
        <v>1192</v>
      </c>
      <c r="O2466" s="524" t="s">
        <v>1193</v>
      </c>
      <c r="P2466" s="526">
        <v>46232</v>
      </c>
      <c r="S2466" s="527">
        <v>0</v>
      </c>
    </row>
    <row r="2467" spans="1:19" x14ac:dyDescent="0.2">
      <c r="A2467" s="524">
        <v>71222</v>
      </c>
      <c r="B2467" s="526">
        <v>46232</v>
      </c>
      <c r="C2467" s="524" t="s">
        <v>1148</v>
      </c>
      <c r="D2467" s="524" t="s">
        <v>1226</v>
      </c>
      <c r="E2467" s="524" t="s">
        <v>2675</v>
      </c>
      <c r="F2467" s="524" t="s">
        <v>1183</v>
      </c>
      <c r="G2467" s="524" t="s">
        <v>742</v>
      </c>
      <c r="H2467" s="527">
        <v>10000</v>
      </c>
      <c r="I2467" s="524" t="s">
        <v>1148</v>
      </c>
      <c r="J2467" s="524">
        <f>IF(cmf[[#This Row],[D/C]]="C",cmf[[#This Row],[Valor]],-1*cmf[[#This Row],[Valor]])</f>
        <v>10000</v>
      </c>
      <c r="L2467" s="524" t="s">
        <v>1230</v>
      </c>
      <c r="M2467" s="524" t="s">
        <v>1231</v>
      </c>
      <c r="N2467" s="524" t="s">
        <v>1215</v>
      </c>
      <c r="O2467" s="524" t="s">
        <v>1218</v>
      </c>
      <c r="P2467" s="526">
        <v>46232</v>
      </c>
      <c r="S2467" s="527">
        <v>0</v>
      </c>
    </row>
    <row r="2468" spans="1:19" x14ac:dyDescent="0.2">
      <c r="A2468" s="524">
        <v>71223</v>
      </c>
      <c r="B2468" s="526">
        <v>46232</v>
      </c>
      <c r="C2468" s="524" t="s">
        <v>1148</v>
      </c>
      <c r="D2468" s="524" t="s">
        <v>1226</v>
      </c>
      <c r="E2468" s="524" t="s">
        <v>2676</v>
      </c>
      <c r="F2468" s="524" t="s">
        <v>1183</v>
      </c>
      <c r="G2468" s="524" t="s">
        <v>742</v>
      </c>
      <c r="H2468" s="527">
        <v>1100</v>
      </c>
      <c r="I2468" s="524" t="s">
        <v>1148</v>
      </c>
      <c r="J2468" s="524">
        <f>IF(cmf[[#This Row],[D/C]]="C",cmf[[#This Row],[Valor]],-1*cmf[[#This Row],[Valor]])</f>
        <v>1100</v>
      </c>
      <c r="L2468" s="524" t="s">
        <v>1230</v>
      </c>
      <c r="M2468" s="524" t="s">
        <v>1231</v>
      </c>
      <c r="N2468" s="524" t="s">
        <v>1215</v>
      </c>
      <c r="O2468" s="524" t="s">
        <v>1218</v>
      </c>
      <c r="P2468" s="526">
        <v>46232</v>
      </c>
      <c r="S2468" s="527">
        <v>0</v>
      </c>
    </row>
    <row r="2469" spans="1:19" x14ac:dyDescent="0.2">
      <c r="A2469" s="524">
        <v>71264</v>
      </c>
      <c r="B2469" s="526">
        <v>46232</v>
      </c>
      <c r="C2469" s="524" t="s">
        <v>1148</v>
      </c>
      <c r="D2469" s="524" t="s">
        <v>1186</v>
      </c>
      <c r="E2469" s="524" t="s">
        <v>2677</v>
      </c>
      <c r="F2469" s="524" t="s">
        <v>1183</v>
      </c>
      <c r="G2469" s="524" t="s">
        <v>763</v>
      </c>
      <c r="H2469" s="527">
        <v>4000</v>
      </c>
      <c r="I2469" s="524" t="s">
        <v>1174</v>
      </c>
      <c r="J2469" s="524">
        <f>IF(cmf[[#This Row],[D/C]]="C",cmf[[#This Row],[Valor]],-1*cmf[[#This Row],[Valor]])</f>
        <v>-4000</v>
      </c>
      <c r="L2469" s="524" t="s">
        <v>1188</v>
      </c>
      <c r="M2469" s="524" t="s">
        <v>1189</v>
      </c>
      <c r="N2469" s="524" t="s">
        <v>1180</v>
      </c>
      <c r="O2469" s="524" t="s">
        <v>1181</v>
      </c>
      <c r="P2469" s="526">
        <v>46232</v>
      </c>
      <c r="S2469" s="527">
        <v>0</v>
      </c>
    </row>
    <row r="2470" spans="1:19" x14ac:dyDescent="0.2">
      <c r="A2470" s="524">
        <v>71270</v>
      </c>
      <c r="B2470" s="526">
        <v>46232</v>
      </c>
      <c r="C2470" s="524" t="s">
        <v>1162</v>
      </c>
      <c r="D2470" s="524" t="s">
        <v>1163</v>
      </c>
      <c r="E2470" s="524" t="s">
        <v>1173</v>
      </c>
      <c r="F2470" s="524" t="s">
        <v>1183</v>
      </c>
      <c r="G2470" s="524" t="s">
        <v>796</v>
      </c>
      <c r="H2470" s="527">
        <v>13.5</v>
      </c>
      <c r="I2470" s="524" t="s">
        <v>1174</v>
      </c>
      <c r="J2470" s="524">
        <f>IF(cmf[[#This Row],[D/C]]="C",cmf[[#This Row],[Valor]],-1*cmf[[#This Row],[Valor]])</f>
        <v>-13.5</v>
      </c>
      <c r="L2470" s="524" t="s">
        <v>1175</v>
      </c>
      <c r="M2470" s="524" t="s">
        <v>1176</v>
      </c>
      <c r="N2470" s="524" t="s">
        <v>1184</v>
      </c>
      <c r="O2470" s="524" t="s">
        <v>1172</v>
      </c>
      <c r="P2470" s="526"/>
      <c r="S2470" s="527">
        <v>0</v>
      </c>
    </row>
    <row r="2471" spans="1:19" x14ac:dyDescent="0.2">
      <c r="A2471" s="524">
        <v>71283</v>
      </c>
      <c r="B2471" s="526">
        <v>46232</v>
      </c>
      <c r="C2471" s="524" t="s">
        <v>1148</v>
      </c>
      <c r="D2471" s="524" t="s">
        <v>1243</v>
      </c>
      <c r="E2471" s="524" t="s">
        <v>1266</v>
      </c>
      <c r="F2471" s="524" t="s">
        <v>1183</v>
      </c>
      <c r="G2471" s="524" t="s">
        <v>763</v>
      </c>
      <c r="H2471" s="527">
        <v>1000</v>
      </c>
      <c r="I2471" s="524" t="s">
        <v>1174</v>
      </c>
      <c r="J2471" s="524">
        <f>IF(cmf[[#This Row],[D/C]]="C",cmf[[#This Row],[Valor]],-1*cmf[[#This Row],[Valor]])</f>
        <v>-1000</v>
      </c>
      <c r="L2471" s="524" t="s">
        <v>1245</v>
      </c>
      <c r="M2471" s="524" t="s">
        <v>1246</v>
      </c>
      <c r="N2471" s="524" t="s">
        <v>1180</v>
      </c>
      <c r="O2471" s="524" t="s">
        <v>1181</v>
      </c>
      <c r="P2471" s="526">
        <v>46232</v>
      </c>
      <c r="S2471" s="527">
        <v>0</v>
      </c>
    </row>
    <row r="2472" spans="1:19" x14ac:dyDescent="0.2">
      <c r="A2472" s="524">
        <v>71299</v>
      </c>
      <c r="B2472" s="526">
        <v>46232</v>
      </c>
      <c r="C2472" s="524" t="s">
        <v>1148</v>
      </c>
      <c r="D2472" s="524" t="s">
        <v>1239</v>
      </c>
      <c r="E2472" s="524" t="s">
        <v>1255</v>
      </c>
      <c r="F2472" s="524" t="s">
        <v>1170</v>
      </c>
      <c r="G2472" s="524" t="s">
        <v>757</v>
      </c>
      <c r="H2472" s="527">
        <v>83.8</v>
      </c>
      <c r="I2472" s="524" t="s">
        <v>1174</v>
      </c>
      <c r="J2472" s="524">
        <f>IF(cmf[[#This Row],[D/C]]="C",cmf[[#This Row],[Valor]],-1*cmf[[#This Row],[Valor]])</f>
        <v>-83.8</v>
      </c>
      <c r="L2472" s="524" t="s">
        <v>1241</v>
      </c>
      <c r="M2472" s="524" t="s">
        <v>1242</v>
      </c>
      <c r="N2472" s="524" t="s">
        <v>1223</v>
      </c>
      <c r="O2472" s="524" t="s">
        <v>1224</v>
      </c>
      <c r="P2472" s="526">
        <v>46232</v>
      </c>
      <c r="S2472" s="527">
        <v>0</v>
      </c>
    </row>
    <row r="2473" spans="1:19" x14ac:dyDescent="0.2">
      <c r="A2473" s="524">
        <v>71344</v>
      </c>
      <c r="B2473" s="526">
        <v>46232</v>
      </c>
      <c r="C2473" s="524" t="s">
        <v>1148</v>
      </c>
      <c r="D2473" s="524" t="s">
        <v>1186</v>
      </c>
      <c r="E2473" s="524" t="s">
        <v>2678</v>
      </c>
      <c r="F2473" s="524" t="s">
        <v>1183</v>
      </c>
      <c r="G2473" s="524" t="s">
        <v>745</v>
      </c>
      <c r="H2473" s="527">
        <v>2000</v>
      </c>
      <c r="I2473" s="524" t="s">
        <v>1174</v>
      </c>
      <c r="J2473" s="524">
        <f>IF(cmf[[#This Row],[D/C]]="C",cmf[[#This Row],[Valor]],-1*cmf[[#This Row],[Valor]])</f>
        <v>-2000</v>
      </c>
      <c r="L2473" s="524" t="s">
        <v>1188</v>
      </c>
      <c r="M2473" s="524" t="s">
        <v>1189</v>
      </c>
      <c r="N2473" s="524" t="s">
        <v>1292</v>
      </c>
      <c r="O2473" s="524" t="s">
        <v>1293</v>
      </c>
      <c r="P2473" s="526">
        <v>46232</v>
      </c>
      <c r="S2473" s="527">
        <v>0</v>
      </c>
    </row>
    <row r="2474" spans="1:19" x14ac:dyDescent="0.2">
      <c r="A2474" s="524">
        <v>71359</v>
      </c>
      <c r="B2474" s="526">
        <v>46232</v>
      </c>
      <c r="C2474" s="524" t="s">
        <v>1148</v>
      </c>
      <c r="D2474" s="524" t="s">
        <v>1243</v>
      </c>
      <c r="E2474" s="524" t="s">
        <v>1244</v>
      </c>
      <c r="F2474" s="524" t="s">
        <v>1183</v>
      </c>
      <c r="G2474" s="524" t="s">
        <v>745</v>
      </c>
      <c r="H2474" s="527">
        <v>3787.69</v>
      </c>
      <c r="I2474" s="524" t="s">
        <v>1148</v>
      </c>
      <c r="J2474" s="524">
        <f>IF(cmf[[#This Row],[D/C]]="C",cmf[[#This Row],[Valor]],-1*cmf[[#This Row],[Valor]])</f>
        <v>3787.69</v>
      </c>
      <c r="L2474" s="524" t="s">
        <v>1245</v>
      </c>
      <c r="M2474" s="524" t="s">
        <v>1246</v>
      </c>
      <c r="N2474" s="524" t="s">
        <v>1292</v>
      </c>
      <c r="O2474" s="524" t="s">
        <v>1293</v>
      </c>
      <c r="P2474" s="526">
        <v>46232</v>
      </c>
      <c r="S2474" s="527">
        <v>0</v>
      </c>
    </row>
    <row r="2475" spans="1:19" x14ac:dyDescent="0.2">
      <c r="A2475" s="524">
        <v>71360</v>
      </c>
      <c r="B2475" s="526">
        <v>46232</v>
      </c>
      <c r="C2475" s="524" t="s">
        <v>1148</v>
      </c>
      <c r="D2475" s="524" t="s">
        <v>1243</v>
      </c>
      <c r="E2475" s="524" t="s">
        <v>1244</v>
      </c>
      <c r="F2475" s="524" t="s">
        <v>1183</v>
      </c>
      <c r="G2475" s="524" t="s">
        <v>745</v>
      </c>
      <c r="H2475" s="527">
        <v>0.01</v>
      </c>
      <c r="I2475" s="524" t="s">
        <v>1148</v>
      </c>
      <c r="J2475" s="524">
        <f>IF(cmf[[#This Row],[D/C]]="C",cmf[[#This Row],[Valor]],-1*cmf[[#This Row],[Valor]])</f>
        <v>0.01</v>
      </c>
      <c r="L2475" s="524" t="s">
        <v>1245</v>
      </c>
      <c r="M2475" s="524" t="s">
        <v>1246</v>
      </c>
      <c r="N2475" s="524" t="s">
        <v>1292</v>
      </c>
      <c r="O2475" s="524" t="s">
        <v>1293</v>
      </c>
      <c r="P2475" s="526">
        <v>46232</v>
      </c>
      <c r="S2475" s="527">
        <v>0</v>
      </c>
    </row>
    <row r="2476" spans="1:19" x14ac:dyDescent="0.2">
      <c r="A2476" s="524">
        <v>71370</v>
      </c>
      <c r="B2476" s="526">
        <v>46232</v>
      </c>
      <c r="C2476" s="524" t="s">
        <v>1162</v>
      </c>
      <c r="D2476" s="524" t="s">
        <v>1186</v>
      </c>
      <c r="E2476" s="524" t="s">
        <v>2679</v>
      </c>
      <c r="F2476" s="524" t="s">
        <v>1170</v>
      </c>
      <c r="G2476" s="524" t="s">
        <v>781</v>
      </c>
      <c r="H2476" s="527">
        <v>554</v>
      </c>
      <c r="I2476" s="524" t="s">
        <v>1174</v>
      </c>
      <c r="J2476" s="524">
        <f>IF(cmf[[#This Row],[D/C]]="C",cmf[[#This Row],[Valor]],-1*cmf[[#This Row],[Valor]])</f>
        <v>-554</v>
      </c>
      <c r="L2476" s="524" t="s">
        <v>1188</v>
      </c>
      <c r="M2476" s="524" t="s">
        <v>1189</v>
      </c>
      <c r="N2476" s="524" t="s">
        <v>1209</v>
      </c>
      <c r="O2476" s="524" t="s">
        <v>1210</v>
      </c>
      <c r="P2476" s="526"/>
      <c r="S2476" s="527">
        <v>0</v>
      </c>
    </row>
    <row r="2477" spans="1:19" x14ac:dyDescent="0.2">
      <c r="A2477" s="524">
        <v>71444</v>
      </c>
      <c r="B2477" s="526">
        <v>46232</v>
      </c>
      <c r="C2477" s="524" t="s">
        <v>1162</v>
      </c>
      <c r="D2477" s="524" t="s">
        <v>1205</v>
      </c>
      <c r="E2477" s="524" t="s">
        <v>1206</v>
      </c>
      <c r="F2477" s="524" t="s">
        <v>1170</v>
      </c>
      <c r="G2477" s="524" t="s">
        <v>781</v>
      </c>
      <c r="H2477" s="527">
        <v>800</v>
      </c>
      <c r="I2477" s="524" t="s">
        <v>1174</v>
      </c>
      <c r="J2477" s="524">
        <f>IF(cmf[[#This Row],[D/C]]="C",cmf[[#This Row],[Valor]],-1*cmf[[#This Row],[Valor]])</f>
        <v>-800</v>
      </c>
      <c r="L2477" s="524" t="s">
        <v>1207</v>
      </c>
      <c r="M2477" s="524" t="s">
        <v>1208</v>
      </c>
      <c r="N2477" s="524" t="s">
        <v>1209</v>
      </c>
      <c r="O2477" s="524" t="s">
        <v>1210</v>
      </c>
      <c r="P2477" s="526"/>
      <c r="S2477" s="527">
        <v>0</v>
      </c>
    </row>
    <row r="2478" spans="1:19" x14ac:dyDescent="0.2">
      <c r="A2478" s="524">
        <v>71445</v>
      </c>
      <c r="B2478" s="526">
        <v>46232</v>
      </c>
      <c r="C2478" s="524" t="s">
        <v>1162</v>
      </c>
      <c r="D2478" s="524" t="s">
        <v>1205</v>
      </c>
      <c r="E2478" s="524" t="s">
        <v>1211</v>
      </c>
      <c r="F2478" s="524" t="s">
        <v>1183</v>
      </c>
      <c r="G2478" s="524" t="s">
        <v>776</v>
      </c>
      <c r="H2478" s="527">
        <v>800</v>
      </c>
      <c r="I2478" s="524" t="s">
        <v>1148</v>
      </c>
      <c r="J2478" s="524">
        <f>IF(cmf[[#This Row],[D/C]]="C",cmf[[#This Row],[Valor]],-1*cmf[[#This Row],[Valor]])</f>
        <v>800</v>
      </c>
      <c r="L2478" s="524" t="s">
        <v>1207</v>
      </c>
      <c r="M2478" s="524" t="s">
        <v>1208</v>
      </c>
      <c r="N2478" s="524" t="s">
        <v>1212</v>
      </c>
      <c r="O2478" s="524" t="s">
        <v>1213</v>
      </c>
      <c r="P2478" s="526"/>
      <c r="S2478" s="527">
        <v>0</v>
      </c>
    </row>
    <row r="2479" spans="1:19" x14ac:dyDescent="0.2">
      <c r="A2479" s="524">
        <v>71446</v>
      </c>
      <c r="B2479" s="526">
        <v>46232</v>
      </c>
      <c r="C2479" s="524" t="s">
        <v>1148</v>
      </c>
      <c r="D2479" s="524" t="s">
        <v>1205</v>
      </c>
      <c r="E2479" s="524" t="s">
        <v>1337</v>
      </c>
      <c r="F2479" s="524" t="s">
        <v>1170</v>
      </c>
      <c r="G2479" s="524" t="s">
        <v>802</v>
      </c>
      <c r="H2479" s="527">
        <v>50000</v>
      </c>
      <c r="I2479" s="524" t="s">
        <v>1174</v>
      </c>
      <c r="J2479" s="524">
        <f>IF(cmf[[#This Row],[D/C]]="C",cmf[[#This Row],[Valor]],-1*cmf[[#This Row],[Valor]])</f>
        <v>-50000</v>
      </c>
      <c r="L2479" s="524" t="s">
        <v>1207</v>
      </c>
      <c r="M2479" s="524" t="s">
        <v>1208</v>
      </c>
      <c r="N2479" s="524" t="s">
        <v>1192</v>
      </c>
      <c r="O2479" s="524" t="s">
        <v>1193</v>
      </c>
      <c r="P2479" s="526">
        <v>46232</v>
      </c>
      <c r="S2479" s="527">
        <v>0</v>
      </c>
    </row>
    <row r="2480" spans="1:19" x14ac:dyDescent="0.2">
      <c r="A2480" s="524">
        <v>71447</v>
      </c>
      <c r="B2480" s="526">
        <v>46232</v>
      </c>
      <c r="C2480" s="524" t="s">
        <v>1148</v>
      </c>
      <c r="D2480" s="524" t="s">
        <v>1205</v>
      </c>
      <c r="E2480" s="524" t="s">
        <v>1342</v>
      </c>
      <c r="F2480" s="524" t="s">
        <v>1183</v>
      </c>
      <c r="G2480" s="524" t="s">
        <v>803</v>
      </c>
      <c r="H2480" s="527">
        <v>50000</v>
      </c>
      <c r="I2480" s="524" t="s">
        <v>1148</v>
      </c>
      <c r="J2480" s="524">
        <f>IF(cmf[[#This Row],[D/C]]="C",cmf[[#This Row],[Valor]],-1*cmf[[#This Row],[Valor]])</f>
        <v>50000</v>
      </c>
      <c r="L2480" s="524" t="s">
        <v>1207</v>
      </c>
      <c r="M2480" s="524" t="s">
        <v>1208</v>
      </c>
      <c r="N2480" s="524" t="s">
        <v>1192</v>
      </c>
      <c r="O2480" s="524" t="s">
        <v>1193</v>
      </c>
      <c r="P2480" s="526">
        <v>46232</v>
      </c>
      <c r="S2480" s="527">
        <v>0</v>
      </c>
    </row>
    <row r="2481" spans="1:19" x14ac:dyDescent="0.2">
      <c r="A2481" s="524">
        <v>71554</v>
      </c>
      <c r="B2481" s="526">
        <v>46232</v>
      </c>
      <c r="C2481" s="524" t="s">
        <v>1148</v>
      </c>
      <c r="D2481" s="524" t="s">
        <v>1243</v>
      </c>
      <c r="E2481" s="524" t="s">
        <v>1266</v>
      </c>
      <c r="F2481" s="524" t="s">
        <v>1183</v>
      </c>
      <c r="G2481" s="524" t="s">
        <v>803</v>
      </c>
      <c r="H2481" s="527">
        <v>39488.800000000003</v>
      </c>
      <c r="I2481" s="524" t="s">
        <v>1174</v>
      </c>
      <c r="J2481" s="524">
        <f>IF(cmf[[#This Row],[D/C]]="C",cmf[[#This Row],[Valor]],-1*cmf[[#This Row],[Valor]])</f>
        <v>-39488.800000000003</v>
      </c>
      <c r="L2481" s="524" t="s">
        <v>1245</v>
      </c>
      <c r="M2481" s="524" t="s">
        <v>1246</v>
      </c>
      <c r="N2481" s="524" t="s">
        <v>1192</v>
      </c>
      <c r="O2481" s="524" t="s">
        <v>1193</v>
      </c>
      <c r="P2481" s="526">
        <v>46232</v>
      </c>
      <c r="S2481" s="527">
        <v>0</v>
      </c>
    </row>
    <row r="2482" spans="1:19" x14ac:dyDescent="0.2">
      <c r="A2482" s="524">
        <v>71642</v>
      </c>
      <c r="B2482" s="526">
        <v>46232</v>
      </c>
      <c r="C2482" s="524" t="s">
        <v>1148</v>
      </c>
      <c r="D2482" s="524" t="s">
        <v>1239</v>
      </c>
      <c r="E2482" s="524" t="s">
        <v>1312</v>
      </c>
      <c r="F2482" s="524" t="s">
        <v>1170</v>
      </c>
      <c r="G2482" s="524" t="s">
        <v>740</v>
      </c>
      <c r="H2482" s="527">
        <v>5</v>
      </c>
      <c r="I2482" s="524" t="s">
        <v>1174</v>
      </c>
      <c r="J2482" s="524">
        <f>IF(cmf[[#This Row],[D/C]]="C",cmf[[#This Row],[Valor]],-1*cmf[[#This Row],[Valor]])</f>
        <v>-5</v>
      </c>
      <c r="L2482" s="524" t="s">
        <v>1241</v>
      </c>
      <c r="M2482" s="524" t="s">
        <v>1242</v>
      </c>
      <c r="N2482" s="524" t="s">
        <v>1215</v>
      </c>
      <c r="O2482" s="524" t="s">
        <v>1218</v>
      </c>
      <c r="P2482" s="526">
        <v>46232</v>
      </c>
      <c r="S2482" s="527">
        <v>0</v>
      </c>
    </row>
    <row r="2483" spans="1:19" x14ac:dyDescent="0.2">
      <c r="A2483" s="524">
        <v>71659</v>
      </c>
      <c r="B2483" s="526">
        <v>46232</v>
      </c>
      <c r="C2483" s="524" t="s">
        <v>1148</v>
      </c>
      <c r="D2483" s="524" t="s">
        <v>1186</v>
      </c>
      <c r="E2483" s="524" t="s">
        <v>2680</v>
      </c>
      <c r="F2483" s="524" t="s">
        <v>1183</v>
      </c>
      <c r="G2483" s="524" t="s">
        <v>742</v>
      </c>
      <c r="H2483" s="527">
        <v>2732.85</v>
      </c>
      <c r="I2483" s="524" t="s">
        <v>1174</v>
      </c>
      <c r="J2483" s="524">
        <f>IF(cmf[[#This Row],[D/C]]="C",cmf[[#This Row],[Valor]],-1*cmf[[#This Row],[Valor]])</f>
        <v>-2732.85</v>
      </c>
      <c r="L2483" s="524" t="s">
        <v>1188</v>
      </c>
      <c r="M2483" s="524" t="s">
        <v>1189</v>
      </c>
      <c r="N2483" s="524" t="s">
        <v>1215</v>
      </c>
      <c r="O2483" s="524" t="s">
        <v>1218</v>
      </c>
      <c r="P2483" s="526">
        <v>46232</v>
      </c>
      <c r="S2483" s="527">
        <v>0</v>
      </c>
    </row>
    <row r="2484" spans="1:19" x14ac:dyDescent="0.2">
      <c r="A2484" s="524">
        <v>71665</v>
      </c>
      <c r="B2484" s="526">
        <v>46232</v>
      </c>
      <c r="C2484" s="524" t="s">
        <v>1148</v>
      </c>
      <c r="D2484" s="524" t="s">
        <v>1243</v>
      </c>
      <c r="E2484" s="524" t="s">
        <v>1244</v>
      </c>
      <c r="F2484" s="524" t="s">
        <v>1183</v>
      </c>
      <c r="G2484" s="524" t="s">
        <v>766</v>
      </c>
      <c r="H2484" s="527">
        <v>1327.51</v>
      </c>
      <c r="I2484" s="524" t="s">
        <v>1148</v>
      </c>
      <c r="J2484" s="524">
        <f>IF(cmf[[#This Row],[D/C]]="C",cmf[[#This Row],[Valor]],-1*cmf[[#This Row],[Valor]])</f>
        <v>1327.51</v>
      </c>
      <c r="L2484" s="524" t="s">
        <v>1245</v>
      </c>
      <c r="M2484" s="524" t="s">
        <v>1246</v>
      </c>
      <c r="N2484" s="524" t="s">
        <v>1200</v>
      </c>
      <c r="O2484" s="524" t="s">
        <v>1201</v>
      </c>
      <c r="P2484" s="526">
        <v>46232</v>
      </c>
      <c r="S2484" s="527">
        <v>0</v>
      </c>
    </row>
    <row r="2485" spans="1:19" x14ac:dyDescent="0.2">
      <c r="A2485" s="524">
        <v>71666</v>
      </c>
      <c r="B2485" s="526">
        <v>46232</v>
      </c>
      <c r="C2485" s="524" t="s">
        <v>1148</v>
      </c>
      <c r="D2485" s="524" t="s">
        <v>1243</v>
      </c>
      <c r="E2485" s="524" t="s">
        <v>1244</v>
      </c>
      <c r="F2485" s="524" t="s">
        <v>1183</v>
      </c>
      <c r="G2485" s="524" t="s">
        <v>766</v>
      </c>
      <c r="H2485" s="527">
        <v>0.05</v>
      </c>
      <c r="I2485" s="524" t="s">
        <v>1148</v>
      </c>
      <c r="J2485" s="524">
        <f>IF(cmf[[#This Row],[D/C]]="C",cmf[[#This Row],[Valor]],-1*cmf[[#This Row],[Valor]])</f>
        <v>0.05</v>
      </c>
      <c r="L2485" s="524" t="s">
        <v>1245</v>
      </c>
      <c r="M2485" s="524" t="s">
        <v>1246</v>
      </c>
      <c r="N2485" s="524" t="s">
        <v>1200</v>
      </c>
      <c r="O2485" s="524" t="s">
        <v>1201</v>
      </c>
      <c r="P2485" s="526">
        <v>46232</v>
      </c>
      <c r="S2485" s="527">
        <v>0</v>
      </c>
    </row>
    <row r="2486" spans="1:19" x14ac:dyDescent="0.2">
      <c r="A2486" s="524">
        <v>71679</v>
      </c>
      <c r="B2486" s="526">
        <v>46232</v>
      </c>
      <c r="C2486" s="524" t="s">
        <v>1148</v>
      </c>
      <c r="D2486" s="524" t="s">
        <v>1239</v>
      </c>
      <c r="E2486" s="524" t="s">
        <v>2632</v>
      </c>
      <c r="F2486" s="524" t="s">
        <v>1170</v>
      </c>
      <c r="G2486" s="524" t="s">
        <v>765</v>
      </c>
      <c r="H2486" s="527">
        <v>0.4</v>
      </c>
      <c r="I2486" s="524" t="s">
        <v>1174</v>
      </c>
      <c r="J2486" s="524">
        <f>IF(cmf[[#This Row],[D/C]]="C",cmf[[#This Row],[Valor]],-1*cmf[[#This Row],[Valor]])</f>
        <v>-0.4</v>
      </c>
      <c r="L2486" s="524" t="s">
        <v>1241</v>
      </c>
      <c r="M2486" s="524" t="s">
        <v>1242</v>
      </c>
      <c r="N2486" s="524" t="s">
        <v>1200</v>
      </c>
      <c r="O2486" s="524" t="s">
        <v>1201</v>
      </c>
      <c r="P2486" s="526">
        <v>46232</v>
      </c>
      <c r="S2486" s="527">
        <v>0</v>
      </c>
    </row>
    <row r="2487" spans="1:19" x14ac:dyDescent="0.2">
      <c r="A2487" s="524">
        <v>71684</v>
      </c>
      <c r="B2487" s="526">
        <v>46232</v>
      </c>
      <c r="C2487" s="524" t="s">
        <v>1148</v>
      </c>
      <c r="D2487" s="524" t="s">
        <v>1239</v>
      </c>
      <c r="E2487" s="524" t="s">
        <v>1253</v>
      </c>
      <c r="F2487" s="524" t="s">
        <v>1170</v>
      </c>
      <c r="G2487" s="524" t="s">
        <v>799</v>
      </c>
      <c r="H2487" s="527">
        <v>4.2</v>
      </c>
      <c r="I2487" s="524" t="s">
        <v>1174</v>
      </c>
      <c r="J2487" s="524">
        <f>IF(cmf[[#This Row],[D/C]]="C",cmf[[#This Row],[Valor]],-1*cmf[[#This Row],[Valor]])</f>
        <v>-4.2</v>
      </c>
      <c r="L2487" s="524" t="s">
        <v>1241</v>
      </c>
      <c r="M2487" s="524" t="s">
        <v>1242</v>
      </c>
      <c r="N2487" s="524" t="s">
        <v>1171</v>
      </c>
      <c r="O2487" s="524" t="s">
        <v>1172</v>
      </c>
      <c r="P2487" s="526">
        <v>46232</v>
      </c>
      <c r="S2487" s="527">
        <v>0</v>
      </c>
    </row>
    <row r="2488" spans="1:19" x14ac:dyDescent="0.2">
      <c r="A2488" s="524">
        <v>71708</v>
      </c>
      <c r="B2488" s="526">
        <v>46232</v>
      </c>
      <c r="C2488" s="524" t="s">
        <v>1148</v>
      </c>
      <c r="D2488" s="524" t="s">
        <v>1239</v>
      </c>
      <c r="E2488" s="524" t="s">
        <v>1567</v>
      </c>
      <c r="F2488" s="524" t="s">
        <v>1170</v>
      </c>
      <c r="G2488" s="524" t="s">
        <v>802</v>
      </c>
      <c r="H2488" s="527">
        <v>13</v>
      </c>
      <c r="I2488" s="524" t="s">
        <v>1174</v>
      </c>
      <c r="J2488" s="524">
        <f>IF(cmf[[#This Row],[D/C]]="C",cmf[[#This Row],[Valor]],-1*cmf[[#This Row],[Valor]])</f>
        <v>-13</v>
      </c>
      <c r="L2488" s="524" t="s">
        <v>1241</v>
      </c>
      <c r="M2488" s="524" t="s">
        <v>1242</v>
      </c>
      <c r="N2488" s="524" t="s">
        <v>1192</v>
      </c>
      <c r="O2488" s="524" t="s">
        <v>1193</v>
      </c>
      <c r="P2488" s="526">
        <v>46232</v>
      </c>
      <c r="S2488" s="527">
        <v>0</v>
      </c>
    </row>
    <row r="2489" spans="1:19" x14ac:dyDescent="0.2">
      <c r="A2489" s="524">
        <v>71710</v>
      </c>
      <c r="B2489" s="526">
        <v>46232</v>
      </c>
      <c r="C2489" s="524" t="s">
        <v>1148</v>
      </c>
      <c r="D2489" s="524" t="s">
        <v>1239</v>
      </c>
      <c r="E2489" s="524" t="s">
        <v>1253</v>
      </c>
      <c r="F2489" s="524" t="s">
        <v>1170</v>
      </c>
      <c r="G2489" s="524" t="s">
        <v>802</v>
      </c>
      <c r="H2489" s="527">
        <v>1.4</v>
      </c>
      <c r="I2489" s="524" t="s">
        <v>1174</v>
      </c>
      <c r="J2489" s="524">
        <f>IF(cmf[[#This Row],[D/C]]="C",cmf[[#This Row],[Valor]],-1*cmf[[#This Row],[Valor]])</f>
        <v>-1.4</v>
      </c>
      <c r="L2489" s="524" t="s">
        <v>1241</v>
      </c>
      <c r="M2489" s="524" t="s">
        <v>1242</v>
      </c>
      <c r="N2489" s="524" t="s">
        <v>1192</v>
      </c>
      <c r="O2489" s="524" t="s">
        <v>1193</v>
      </c>
      <c r="P2489" s="526">
        <v>46232</v>
      </c>
      <c r="S2489" s="527">
        <v>0</v>
      </c>
    </row>
    <row r="2490" spans="1:19" x14ac:dyDescent="0.2">
      <c r="A2490" s="524">
        <v>71731</v>
      </c>
      <c r="B2490" s="526">
        <v>46232</v>
      </c>
      <c r="C2490" s="524" t="s">
        <v>1148</v>
      </c>
      <c r="D2490" s="524" t="s">
        <v>1239</v>
      </c>
      <c r="E2490" s="524" t="s">
        <v>1561</v>
      </c>
      <c r="F2490" s="524" t="s">
        <v>1170</v>
      </c>
      <c r="G2490" s="524" t="s">
        <v>798</v>
      </c>
      <c r="H2490" s="527">
        <v>97.9</v>
      </c>
      <c r="I2490" s="524" t="s">
        <v>1174</v>
      </c>
      <c r="J2490" s="524">
        <f>IF(cmf[[#This Row],[D/C]]="C",cmf[[#This Row],[Valor]],-1*cmf[[#This Row],[Valor]])</f>
        <v>-97.9</v>
      </c>
      <c r="L2490" s="524" t="s">
        <v>1241</v>
      </c>
      <c r="M2490" s="524" t="s">
        <v>1242</v>
      </c>
      <c r="N2490" s="524" t="s">
        <v>1171</v>
      </c>
      <c r="O2490" s="524" t="s">
        <v>1172</v>
      </c>
      <c r="P2490" s="526">
        <v>46232</v>
      </c>
      <c r="S2490" s="527">
        <v>0</v>
      </c>
    </row>
    <row r="2491" spans="1:19" x14ac:dyDescent="0.2">
      <c r="A2491" s="524">
        <v>71732</v>
      </c>
      <c r="B2491" s="526">
        <v>46232</v>
      </c>
      <c r="C2491" s="524" t="s">
        <v>1148</v>
      </c>
      <c r="D2491" s="524" t="s">
        <v>1239</v>
      </c>
      <c r="E2491" s="524" t="s">
        <v>1253</v>
      </c>
      <c r="F2491" s="524" t="s">
        <v>1170</v>
      </c>
      <c r="G2491" s="524" t="s">
        <v>798</v>
      </c>
      <c r="H2491" s="527">
        <v>0.4</v>
      </c>
      <c r="I2491" s="524" t="s">
        <v>1174</v>
      </c>
      <c r="J2491" s="524">
        <f>IF(cmf[[#This Row],[D/C]]="C",cmf[[#This Row],[Valor]],-1*cmf[[#This Row],[Valor]])</f>
        <v>-0.4</v>
      </c>
      <c r="L2491" s="524" t="s">
        <v>1241</v>
      </c>
      <c r="M2491" s="524" t="s">
        <v>1242</v>
      </c>
      <c r="N2491" s="524" t="s">
        <v>1171</v>
      </c>
      <c r="O2491" s="524" t="s">
        <v>1172</v>
      </c>
      <c r="P2491" s="526">
        <v>46232</v>
      </c>
      <c r="S2491" s="527">
        <v>0</v>
      </c>
    </row>
    <row r="2492" spans="1:19" x14ac:dyDescent="0.2">
      <c r="A2492" s="524">
        <v>71775</v>
      </c>
      <c r="B2492" s="526">
        <v>46232</v>
      </c>
      <c r="C2492" s="524" t="s">
        <v>1148</v>
      </c>
      <c r="D2492" s="524" t="s">
        <v>1239</v>
      </c>
      <c r="E2492" s="524" t="s">
        <v>2681</v>
      </c>
      <c r="F2492" s="524" t="s">
        <v>1170</v>
      </c>
      <c r="G2492" s="524" t="s">
        <v>1102</v>
      </c>
      <c r="H2492" s="527">
        <v>18.899999999999999</v>
      </c>
      <c r="I2492" s="524" t="s">
        <v>1174</v>
      </c>
      <c r="J2492" s="524">
        <f>IF(cmf[[#This Row],[D/C]]="C",cmf[[#This Row],[Valor]],-1*cmf[[#This Row],[Valor]])</f>
        <v>-18.899999999999999</v>
      </c>
      <c r="L2492" s="524" t="s">
        <v>1241</v>
      </c>
      <c r="M2492" s="524" t="s">
        <v>1242</v>
      </c>
      <c r="N2492" s="524" t="s">
        <v>1192</v>
      </c>
      <c r="O2492" s="524" t="s">
        <v>1193</v>
      </c>
      <c r="P2492" s="526">
        <v>46232</v>
      </c>
      <c r="S2492" s="527">
        <v>0</v>
      </c>
    </row>
    <row r="2493" spans="1:19" x14ac:dyDescent="0.2">
      <c r="A2493" s="524">
        <v>71777</v>
      </c>
      <c r="B2493" s="526">
        <v>46232</v>
      </c>
      <c r="C2493" s="524" t="s">
        <v>1148</v>
      </c>
      <c r="D2493" s="524" t="s">
        <v>1239</v>
      </c>
      <c r="E2493" s="524" t="s">
        <v>2681</v>
      </c>
      <c r="F2493" s="524" t="s">
        <v>1170</v>
      </c>
      <c r="G2493" s="524" t="s">
        <v>1102</v>
      </c>
      <c r="H2493" s="527">
        <v>1.2</v>
      </c>
      <c r="I2493" s="524" t="s">
        <v>1174</v>
      </c>
      <c r="J2493" s="524">
        <f>IF(cmf[[#This Row],[D/C]]="C",cmf[[#This Row],[Valor]],-1*cmf[[#This Row],[Valor]])</f>
        <v>-1.2</v>
      </c>
      <c r="L2493" s="524" t="s">
        <v>1241</v>
      </c>
      <c r="M2493" s="524" t="s">
        <v>1242</v>
      </c>
      <c r="N2493" s="524" t="s">
        <v>1192</v>
      </c>
      <c r="O2493" s="524" t="s">
        <v>1193</v>
      </c>
      <c r="P2493" s="526">
        <v>46232</v>
      </c>
      <c r="S2493" s="527">
        <v>0</v>
      </c>
    </row>
    <row r="2494" spans="1:19" x14ac:dyDescent="0.2">
      <c r="A2494" s="524">
        <v>71780</v>
      </c>
      <c r="B2494" s="526">
        <v>46232</v>
      </c>
      <c r="C2494" s="524" t="s">
        <v>1148</v>
      </c>
      <c r="D2494" s="524" t="s">
        <v>1243</v>
      </c>
      <c r="E2494" s="524" t="s">
        <v>1244</v>
      </c>
      <c r="F2494" s="524" t="s">
        <v>1183</v>
      </c>
      <c r="G2494" s="524" t="s">
        <v>758</v>
      </c>
      <c r="H2494" s="527">
        <v>799.99</v>
      </c>
      <c r="I2494" s="524" t="s">
        <v>1148</v>
      </c>
      <c r="J2494" s="524">
        <f>IF(cmf[[#This Row],[D/C]]="C",cmf[[#This Row],[Valor]],-1*cmf[[#This Row],[Valor]])</f>
        <v>799.99</v>
      </c>
      <c r="L2494" s="524" t="s">
        <v>1245</v>
      </c>
      <c r="M2494" s="524" t="s">
        <v>1246</v>
      </c>
      <c r="N2494" s="524" t="s">
        <v>1223</v>
      </c>
      <c r="O2494" s="524" t="s">
        <v>1224</v>
      </c>
      <c r="P2494" s="526">
        <v>46232</v>
      </c>
      <c r="S2494" s="527">
        <v>0</v>
      </c>
    </row>
    <row r="2495" spans="1:19" x14ac:dyDescent="0.2">
      <c r="A2495" s="524">
        <v>71783</v>
      </c>
      <c r="B2495" s="526">
        <v>46232</v>
      </c>
      <c r="C2495" s="524" t="s">
        <v>1148</v>
      </c>
      <c r="D2495" s="524" t="s">
        <v>1243</v>
      </c>
      <c r="E2495" s="524" t="s">
        <v>1244</v>
      </c>
      <c r="F2495" s="524" t="s">
        <v>1183</v>
      </c>
      <c r="G2495" s="524" t="s">
        <v>758</v>
      </c>
      <c r="H2495" s="527">
        <v>0.01</v>
      </c>
      <c r="I2495" s="524" t="s">
        <v>1148</v>
      </c>
      <c r="J2495" s="524">
        <f>IF(cmf[[#This Row],[D/C]]="C",cmf[[#This Row],[Valor]],-1*cmf[[#This Row],[Valor]])</f>
        <v>0.01</v>
      </c>
      <c r="L2495" s="524" t="s">
        <v>1245</v>
      </c>
      <c r="M2495" s="524" t="s">
        <v>1246</v>
      </c>
      <c r="N2495" s="524" t="s">
        <v>1223</v>
      </c>
      <c r="O2495" s="524" t="s">
        <v>1224</v>
      </c>
      <c r="P2495" s="526">
        <v>46232</v>
      </c>
      <c r="S2495" s="527">
        <v>0</v>
      </c>
    </row>
    <row r="2496" spans="1:19" x14ac:dyDescent="0.2">
      <c r="A2496" s="524">
        <v>71813</v>
      </c>
      <c r="B2496" s="526">
        <v>46232</v>
      </c>
      <c r="C2496" s="524" t="s">
        <v>1148</v>
      </c>
      <c r="D2496" s="524" t="s">
        <v>1243</v>
      </c>
      <c r="E2496" s="524" t="s">
        <v>1266</v>
      </c>
      <c r="F2496" s="524" t="s">
        <v>1183</v>
      </c>
      <c r="G2496" s="524" t="s">
        <v>742</v>
      </c>
      <c r="H2496" s="527">
        <v>18117.150000000001</v>
      </c>
      <c r="I2496" s="524" t="s">
        <v>1174</v>
      </c>
      <c r="J2496" s="524">
        <f>IF(cmf[[#This Row],[D/C]]="C",cmf[[#This Row],[Valor]],-1*cmf[[#This Row],[Valor]])</f>
        <v>-18117.150000000001</v>
      </c>
      <c r="L2496" s="524" t="s">
        <v>1245</v>
      </c>
      <c r="M2496" s="524" t="s">
        <v>1246</v>
      </c>
      <c r="N2496" s="524" t="s">
        <v>1215</v>
      </c>
      <c r="O2496" s="524" t="s">
        <v>1267</v>
      </c>
      <c r="P2496" s="526">
        <v>46232</v>
      </c>
      <c r="S2496" s="527">
        <v>0</v>
      </c>
    </row>
    <row r="2497" spans="1:19" x14ac:dyDescent="0.2">
      <c r="A2497" s="524">
        <v>71814</v>
      </c>
      <c r="B2497" s="526">
        <v>46232</v>
      </c>
      <c r="C2497" s="524" t="s">
        <v>1148</v>
      </c>
      <c r="D2497" s="524" t="s">
        <v>1239</v>
      </c>
      <c r="E2497" s="524" t="s">
        <v>2658</v>
      </c>
      <c r="F2497" s="524" t="s">
        <v>1183</v>
      </c>
      <c r="G2497" s="524" t="s">
        <v>742</v>
      </c>
      <c r="H2497" s="527">
        <v>15000</v>
      </c>
      <c r="I2497" s="524" t="s">
        <v>1148</v>
      </c>
      <c r="J2497" s="524">
        <f>IF(cmf[[#This Row],[D/C]]="C",cmf[[#This Row],[Valor]],-1*cmf[[#This Row],[Valor]])</f>
        <v>15000</v>
      </c>
      <c r="L2497" s="524" t="s">
        <v>1359</v>
      </c>
      <c r="M2497" s="524" t="s">
        <v>1360</v>
      </c>
      <c r="N2497" s="524" t="s">
        <v>1215</v>
      </c>
      <c r="O2497" s="524" t="s">
        <v>1218</v>
      </c>
      <c r="P2497" s="526">
        <v>46232</v>
      </c>
      <c r="S2497" s="527">
        <v>0</v>
      </c>
    </row>
    <row r="2498" spans="1:19" x14ac:dyDescent="0.2">
      <c r="A2498" s="524">
        <v>71823</v>
      </c>
      <c r="B2498" s="526">
        <v>46232</v>
      </c>
      <c r="C2498" s="524" t="s">
        <v>1148</v>
      </c>
      <c r="D2498" s="524" t="s">
        <v>1205</v>
      </c>
      <c r="E2498" s="524" t="s">
        <v>1336</v>
      </c>
      <c r="F2498" s="524" t="s">
        <v>1183</v>
      </c>
      <c r="G2498" s="524" t="s">
        <v>742</v>
      </c>
      <c r="H2498" s="527">
        <v>5000</v>
      </c>
      <c r="I2498" s="524" t="s">
        <v>1174</v>
      </c>
      <c r="J2498" s="524">
        <f>IF(cmf[[#This Row],[D/C]]="C",cmf[[#This Row],[Valor]],-1*cmf[[#This Row],[Valor]])</f>
        <v>-5000</v>
      </c>
      <c r="L2498" s="524" t="s">
        <v>1207</v>
      </c>
      <c r="M2498" s="524" t="s">
        <v>1208</v>
      </c>
      <c r="N2498" s="524" t="s">
        <v>1215</v>
      </c>
      <c r="O2498" s="524" t="s">
        <v>1218</v>
      </c>
      <c r="P2498" s="526">
        <v>46232</v>
      </c>
      <c r="S2498" s="527">
        <v>0</v>
      </c>
    </row>
    <row r="2499" spans="1:19" x14ac:dyDescent="0.2">
      <c r="A2499" s="524">
        <v>71824</v>
      </c>
      <c r="B2499" s="526">
        <v>46232</v>
      </c>
      <c r="C2499" s="524" t="s">
        <v>1148</v>
      </c>
      <c r="D2499" s="524" t="s">
        <v>1205</v>
      </c>
      <c r="E2499" s="524" t="s">
        <v>1217</v>
      </c>
      <c r="F2499" s="524" t="s">
        <v>1183</v>
      </c>
      <c r="G2499" s="524" t="s">
        <v>763</v>
      </c>
      <c r="H2499" s="527">
        <v>5000</v>
      </c>
      <c r="I2499" s="524" t="s">
        <v>1148</v>
      </c>
      <c r="J2499" s="524">
        <f>IF(cmf[[#This Row],[D/C]]="C",cmf[[#This Row],[Valor]],-1*cmf[[#This Row],[Valor]])</f>
        <v>5000</v>
      </c>
      <c r="L2499" s="524" t="s">
        <v>1207</v>
      </c>
      <c r="M2499" s="524" t="s">
        <v>1208</v>
      </c>
      <c r="N2499" s="524" t="s">
        <v>1180</v>
      </c>
      <c r="O2499" s="524" t="s">
        <v>1181</v>
      </c>
      <c r="P2499" s="526">
        <v>46232</v>
      </c>
      <c r="S2499" s="527">
        <v>0</v>
      </c>
    </row>
    <row r="2500" spans="1:19" x14ac:dyDescent="0.2">
      <c r="A2500" s="524">
        <v>72125</v>
      </c>
      <c r="B2500" s="526">
        <v>46232</v>
      </c>
      <c r="C2500" s="524" t="s">
        <v>1148</v>
      </c>
      <c r="D2500" s="524" t="s">
        <v>1239</v>
      </c>
      <c r="E2500" s="524" t="s">
        <v>1255</v>
      </c>
      <c r="F2500" s="524" t="s">
        <v>1170</v>
      </c>
      <c r="G2500" s="524" t="s">
        <v>749</v>
      </c>
      <c r="H2500" s="527">
        <v>0.6</v>
      </c>
      <c r="I2500" s="524" t="s">
        <v>1174</v>
      </c>
      <c r="J2500" s="524">
        <f>IF(cmf[[#This Row],[D/C]]="C",cmf[[#This Row],[Valor]],-1*cmf[[#This Row],[Valor]])</f>
        <v>-0.6</v>
      </c>
      <c r="L2500" s="524" t="s">
        <v>1241</v>
      </c>
      <c r="M2500" s="524" t="s">
        <v>1242</v>
      </c>
      <c r="N2500" s="524" t="s">
        <v>1256</v>
      </c>
      <c r="O2500" s="524" t="s">
        <v>1257</v>
      </c>
      <c r="P2500" s="526">
        <v>46232</v>
      </c>
      <c r="S2500" s="527">
        <v>0</v>
      </c>
    </row>
    <row r="2501" spans="1:19" x14ac:dyDescent="0.2">
      <c r="A2501" s="524">
        <v>72126</v>
      </c>
      <c r="B2501" s="526">
        <v>46232</v>
      </c>
      <c r="C2501" s="524" t="s">
        <v>1148</v>
      </c>
      <c r="D2501" s="524" t="s">
        <v>1239</v>
      </c>
      <c r="E2501" s="524" t="s">
        <v>1312</v>
      </c>
      <c r="F2501" s="524" t="s">
        <v>1170</v>
      </c>
      <c r="G2501" s="524" t="s">
        <v>749</v>
      </c>
      <c r="H2501" s="527">
        <v>20</v>
      </c>
      <c r="I2501" s="524" t="s">
        <v>1174</v>
      </c>
      <c r="J2501" s="524">
        <f>IF(cmf[[#This Row],[D/C]]="C",cmf[[#This Row],[Valor]],-1*cmf[[#This Row],[Valor]])</f>
        <v>-20</v>
      </c>
      <c r="L2501" s="524" t="s">
        <v>1241</v>
      </c>
      <c r="M2501" s="524" t="s">
        <v>1242</v>
      </c>
      <c r="N2501" s="524" t="s">
        <v>1256</v>
      </c>
      <c r="O2501" s="524" t="s">
        <v>1257</v>
      </c>
      <c r="P2501" s="526">
        <v>46232</v>
      </c>
      <c r="S2501" s="527">
        <v>0</v>
      </c>
    </row>
    <row r="2502" spans="1:19" x14ac:dyDescent="0.2">
      <c r="A2502" s="524">
        <v>72246</v>
      </c>
      <c r="B2502" s="526">
        <v>46232</v>
      </c>
      <c r="C2502" s="524" t="s">
        <v>1148</v>
      </c>
      <c r="D2502" s="524" t="s">
        <v>1239</v>
      </c>
      <c r="E2502" s="524" t="s">
        <v>2682</v>
      </c>
      <c r="F2502" s="524" t="s">
        <v>1170</v>
      </c>
      <c r="G2502" s="524" t="s">
        <v>798</v>
      </c>
      <c r="H2502" s="527">
        <v>11000</v>
      </c>
      <c r="I2502" s="524" t="s">
        <v>1148</v>
      </c>
      <c r="J2502" s="524">
        <f>IF(cmf[[#This Row],[D/C]]="C",cmf[[#This Row],[Valor]],-1*cmf[[#This Row],[Valor]])</f>
        <v>11000</v>
      </c>
      <c r="L2502" s="524" t="s">
        <v>2683</v>
      </c>
      <c r="M2502" s="524" t="s">
        <v>2684</v>
      </c>
      <c r="N2502" s="524" t="s">
        <v>1171</v>
      </c>
      <c r="O2502" s="524" t="s">
        <v>1172</v>
      </c>
      <c r="P2502" s="526">
        <v>46232</v>
      </c>
      <c r="R2502" s="524" t="s">
        <v>2685</v>
      </c>
      <c r="S2502" s="527">
        <v>0</v>
      </c>
    </row>
    <row r="2503" spans="1:19" x14ac:dyDescent="0.2">
      <c r="A2503" s="524">
        <v>72258</v>
      </c>
      <c r="B2503" s="526">
        <v>46232</v>
      </c>
      <c r="C2503" s="524" t="s">
        <v>1148</v>
      </c>
      <c r="D2503" s="524" t="s">
        <v>1239</v>
      </c>
      <c r="E2503" s="524" t="s">
        <v>1251</v>
      </c>
      <c r="F2503" s="524" t="s">
        <v>1178</v>
      </c>
      <c r="G2503" s="524" t="s">
        <v>1179</v>
      </c>
      <c r="H2503" s="527">
        <v>20</v>
      </c>
      <c r="I2503" s="524" t="s">
        <v>1174</v>
      </c>
      <c r="J2503" s="524">
        <f>IF(cmf[[#This Row],[D/C]]="C",cmf[[#This Row],[Valor]],-1*cmf[[#This Row],[Valor]])</f>
        <v>-20</v>
      </c>
      <c r="L2503" s="524" t="s">
        <v>1241</v>
      </c>
      <c r="M2503" s="524" t="s">
        <v>1242</v>
      </c>
      <c r="N2503" s="524" t="s">
        <v>1180</v>
      </c>
      <c r="O2503" s="524" t="s">
        <v>1181</v>
      </c>
      <c r="P2503" s="526">
        <v>46232</v>
      </c>
      <c r="S2503" s="527">
        <v>0</v>
      </c>
    </row>
    <row r="2504" spans="1:19" x14ac:dyDescent="0.2">
      <c r="A2504" s="524">
        <v>72263</v>
      </c>
      <c r="B2504" s="526">
        <v>46232</v>
      </c>
      <c r="C2504" s="524" t="s">
        <v>1148</v>
      </c>
      <c r="D2504" s="524" t="s">
        <v>1239</v>
      </c>
      <c r="E2504" s="524" t="s">
        <v>2664</v>
      </c>
      <c r="F2504" s="524" t="s">
        <v>1178</v>
      </c>
      <c r="G2504" s="524" t="s">
        <v>1179</v>
      </c>
      <c r="H2504" s="527">
        <v>897.67</v>
      </c>
      <c r="I2504" s="524" t="s">
        <v>1148</v>
      </c>
      <c r="J2504" s="524">
        <f>IF(cmf[[#This Row],[D/C]]="C",cmf[[#This Row],[Valor]],-1*cmf[[#This Row],[Valor]])</f>
        <v>897.67</v>
      </c>
      <c r="L2504" s="524" t="s">
        <v>1264</v>
      </c>
      <c r="M2504" s="524" t="s">
        <v>1265</v>
      </c>
      <c r="N2504" s="524" t="s">
        <v>1180</v>
      </c>
      <c r="O2504" s="524" t="s">
        <v>1181</v>
      </c>
      <c r="P2504" s="526">
        <v>46232</v>
      </c>
      <c r="S2504" s="527">
        <v>0</v>
      </c>
    </row>
    <row r="2505" spans="1:19" x14ac:dyDescent="0.2">
      <c r="A2505" s="524">
        <v>72278</v>
      </c>
      <c r="B2505" s="526">
        <v>46232</v>
      </c>
      <c r="C2505" s="524" t="s">
        <v>1162</v>
      </c>
      <c r="D2505" s="524" t="s">
        <v>1163</v>
      </c>
      <c r="E2505" s="524" t="s">
        <v>1164</v>
      </c>
      <c r="F2505" s="524" t="s">
        <v>1170</v>
      </c>
      <c r="G2505" s="524" t="s">
        <v>757</v>
      </c>
      <c r="H2505" s="527">
        <v>34043.519999999997</v>
      </c>
      <c r="I2505" s="524" t="s">
        <v>1148</v>
      </c>
      <c r="J2505" s="524">
        <f>IF(cmf[[#This Row],[D/C]]="C",cmf[[#This Row],[Valor]],-1*cmf[[#This Row],[Valor]])</f>
        <v>34043.519999999997</v>
      </c>
      <c r="L2505" s="524" t="s">
        <v>1166</v>
      </c>
      <c r="M2505" s="524" t="s">
        <v>1167</v>
      </c>
      <c r="N2505" s="524" t="s">
        <v>1223</v>
      </c>
      <c r="O2505" s="524" t="s">
        <v>1224</v>
      </c>
      <c r="P2505" s="526"/>
      <c r="S2505" s="527">
        <v>0</v>
      </c>
    </row>
    <row r="2506" spans="1:19" x14ac:dyDescent="0.2">
      <c r="A2506" s="524">
        <v>72280</v>
      </c>
      <c r="B2506" s="526">
        <v>46232</v>
      </c>
      <c r="C2506" s="524" t="s">
        <v>1162</v>
      </c>
      <c r="D2506" s="524" t="s">
        <v>1239</v>
      </c>
      <c r="E2506" s="524" t="s">
        <v>2686</v>
      </c>
      <c r="F2506" s="524" t="s">
        <v>1170</v>
      </c>
      <c r="G2506" s="524" t="s">
        <v>757</v>
      </c>
      <c r="H2506" s="527">
        <v>199.17</v>
      </c>
      <c r="I2506" s="524" t="s">
        <v>1148</v>
      </c>
      <c r="J2506" s="524">
        <f>IF(cmf[[#This Row],[D/C]]="C",cmf[[#This Row],[Valor]],-1*cmf[[#This Row],[Valor]])</f>
        <v>199.17</v>
      </c>
      <c r="L2506" s="524" t="s">
        <v>1264</v>
      </c>
      <c r="M2506" s="524" t="s">
        <v>1265</v>
      </c>
      <c r="N2506" s="524" t="s">
        <v>1223</v>
      </c>
      <c r="O2506" s="524" t="s">
        <v>1224</v>
      </c>
      <c r="P2506" s="526"/>
      <c r="S2506" s="527">
        <v>0</v>
      </c>
    </row>
    <row r="2507" spans="1:19" x14ac:dyDescent="0.2">
      <c r="A2507" s="524">
        <v>72545</v>
      </c>
      <c r="B2507" s="526">
        <v>46232</v>
      </c>
      <c r="C2507" s="524" t="s">
        <v>1148</v>
      </c>
      <c r="D2507" s="524" t="s">
        <v>1235</v>
      </c>
      <c r="E2507" s="524" t="s">
        <v>1581</v>
      </c>
      <c r="F2507" s="524" t="s">
        <v>1170</v>
      </c>
      <c r="G2507" s="524" t="s">
        <v>757</v>
      </c>
      <c r="H2507" s="527">
        <v>1200</v>
      </c>
      <c r="I2507" s="524" t="s">
        <v>1174</v>
      </c>
      <c r="J2507" s="524">
        <f>IF(cmf[[#This Row],[D/C]]="C",cmf[[#This Row],[Valor]],-1*cmf[[#This Row],[Valor]])</f>
        <v>-1200</v>
      </c>
      <c r="L2507" s="524" t="s">
        <v>1237</v>
      </c>
      <c r="M2507" s="524" t="s">
        <v>1238</v>
      </c>
      <c r="N2507" s="524" t="s">
        <v>1223</v>
      </c>
      <c r="O2507" s="524" t="s">
        <v>1224</v>
      </c>
      <c r="P2507" s="526">
        <v>46232</v>
      </c>
      <c r="S2507" s="527">
        <v>0</v>
      </c>
    </row>
    <row r="2508" spans="1:19" x14ac:dyDescent="0.2">
      <c r="A2508" s="524">
        <v>72548</v>
      </c>
      <c r="B2508" s="526">
        <v>46232</v>
      </c>
      <c r="C2508" s="524" t="s">
        <v>1148</v>
      </c>
      <c r="D2508" s="524" t="s">
        <v>1186</v>
      </c>
      <c r="E2508" s="524" t="s">
        <v>2687</v>
      </c>
      <c r="F2508" s="524" t="s">
        <v>1170</v>
      </c>
      <c r="G2508" s="524" t="s">
        <v>757</v>
      </c>
      <c r="H2508" s="527">
        <v>766.69</v>
      </c>
      <c r="I2508" s="524" t="s">
        <v>1174</v>
      </c>
      <c r="J2508" s="524">
        <f>IF(cmf[[#This Row],[D/C]]="C",cmf[[#This Row],[Valor]],-1*cmf[[#This Row],[Valor]])</f>
        <v>-766.69</v>
      </c>
      <c r="L2508" s="524" t="s">
        <v>1188</v>
      </c>
      <c r="M2508" s="524" t="s">
        <v>1189</v>
      </c>
      <c r="N2508" s="524" t="s">
        <v>1223</v>
      </c>
      <c r="O2508" s="524" t="s">
        <v>1224</v>
      </c>
      <c r="P2508" s="526">
        <v>46232</v>
      </c>
      <c r="S2508" s="527">
        <v>0</v>
      </c>
    </row>
    <row r="2509" spans="1:19" x14ac:dyDescent="0.2">
      <c r="A2509" s="524">
        <v>71174</v>
      </c>
      <c r="B2509" s="526">
        <v>46233</v>
      </c>
      <c r="C2509" s="524" t="s">
        <v>1162</v>
      </c>
      <c r="D2509" s="524" t="s">
        <v>1163</v>
      </c>
      <c r="E2509" s="524" t="s">
        <v>1164</v>
      </c>
      <c r="F2509" s="524" t="s">
        <v>1165</v>
      </c>
      <c r="G2509" s="524" t="s">
        <v>756</v>
      </c>
      <c r="H2509" s="527">
        <v>54460.9</v>
      </c>
      <c r="I2509" s="524" t="s">
        <v>1148</v>
      </c>
      <c r="J2509" s="524">
        <f>IF(cmf[[#This Row],[D/C]]="C",cmf[[#This Row],[Valor]],-1*cmf[[#This Row],[Valor]])</f>
        <v>54460.9</v>
      </c>
      <c r="L2509" s="524" t="s">
        <v>1166</v>
      </c>
      <c r="M2509" s="524" t="s">
        <v>1167</v>
      </c>
      <c r="N2509" s="524" t="s">
        <v>1168</v>
      </c>
      <c r="O2509" s="524" t="s">
        <v>1169</v>
      </c>
      <c r="P2509" s="526"/>
      <c r="S2509" s="527">
        <v>0</v>
      </c>
    </row>
    <row r="2510" spans="1:19" x14ac:dyDescent="0.2">
      <c r="A2510" s="524">
        <v>71267</v>
      </c>
      <c r="B2510" s="526">
        <v>46233</v>
      </c>
      <c r="C2510" s="524" t="s">
        <v>1162</v>
      </c>
      <c r="D2510" s="524" t="s">
        <v>1186</v>
      </c>
      <c r="E2510" s="524" t="s">
        <v>2688</v>
      </c>
      <c r="F2510" s="524" t="s">
        <v>1170</v>
      </c>
      <c r="G2510" s="524" t="s">
        <v>2689</v>
      </c>
      <c r="H2510" s="527">
        <v>38819.85</v>
      </c>
      <c r="I2510" s="524" t="s">
        <v>1174</v>
      </c>
      <c r="J2510" s="524">
        <f>IF(cmf[[#This Row],[D/C]]="C",cmf[[#This Row],[Valor]],-1*cmf[[#This Row],[Valor]])</f>
        <v>-38819.85</v>
      </c>
      <c r="L2510" s="524" t="s">
        <v>1188</v>
      </c>
      <c r="M2510" s="524" t="s">
        <v>1189</v>
      </c>
      <c r="N2510" s="524" t="s">
        <v>2690</v>
      </c>
      <c r="O2510" s="524" t="s">
        <v>2691</v>
      </c>
      <c r="P2510" s="526"/>
      <c r="S2510" s="527">
        <v>0</v>
      </c>
    </row>
    <row r="2511" spans="1:19" x14ac:dyDescent="0.2">
      <c r="A2511" s="524">
        <v>71268</v>
      </c>
      <c r="B2511" s="526">
        <v>46233</v>
      </c>
      <c r="C2511" s="524" t="s">
        <v>1162</v>
      </c>
      <c r="D2511" s="524" t="s">
        <v>1163</v>
      </c>
      <c r="E2511" s="524" t="s">
        <v>1164</v>
      </c>
      <c r="F2511" s="524" t="s">
        <v>1183</v>
      </c>
      <c r="G2511" s="524" t="s">
        <v>1276</v>
      </c>
      <c r="H2511" s="527">
        <v>1278.3800000000001</v>
      </c>
      <c r="I2511" s="524" t="s">
        <v>1148</v>
      </c>
      <c r="J2511" s="524">
        <f>IF(cmf[[#This Row],[D/C]]="C",cmf[[#This Row],[Valor]],-1*cmf[[#This Row],[Valor]])</f>
        <v>1278.3800000000001</v>
      </c>
      <c r="L2511" s="524" t="s">
        <v>1166</v>
      </c>
      <c r="M2511" s="524" t="s">
        <v>1167</v>
      </c>
      <c r="N2511" s="524" t="s">
        <v>1184</v>
      </c>
      <c r="O2511" s="524" t="s">
        <v>1201</v>
      </c>
      <c r="P2511" s="526"/>
      <c r="S2511" s="527">
        <v>0</v>
      </c>
    </row>
    <row r="2512" spans="1:19" x14ac:dyDescent="0.2">
      <c r="A2512" s="524">
        <v>71269</v>
      </c>
      <c r="B2512" s="526">
        <v>46233</v>
      </c>
      <c r="C2512" s="524" t="s">
        <v>1162</v>
      </c>
      <c r="D2512" s="524" t="s">
        <v>1163</v>
      </c>
      <c r="E2512" s="524" t="s">
        <v>1173</v>
      </c>
      <c r="F2512" s="524" t="s">
        <v>1183</v>
      </c>
      <c r="G2512" s="524" t="s">
        <v>1276</v>
      </c>
      <c r="H2512" s="527">
        <v>2.2999999999999998</v>
      </c>
      <c r="I2512" s="524" t="s">
        <v>1174</v>
      </c>
      <c r="J2512" s="524">
        <f>IF(cmf[[#This Row],[D/C]]="C",cmf[[#This Row],[Valor]],-1*cmf[[#This Row],[Valor]])</f>
        <v>-2.2999999999999998</v>
      </c>
      <c r="L2512" s="524" t="s">
        <v>1175</v>
      </c>
      <c r="M2512" s="524" t="s">
        <v>1176</v>
      </c>
      <c r="N2512" s="524" t="s">
        <v>1184</v>
      </c>
      <c r="O2512" s="524" t="s">
        <v>1201</v>
      </c>
      <c r="P2512" s="526"/>
      <c r="S2512" s="527">
        <v>0</v>
      </c>
    </row>
    <row r="2513" spans="1:19" x14ac:dyDescent="0.2">
      <c r="A2513" s="524">
        <v>71288</v>
      </c>
      <c r="B2513" s="526">
        <v>46233</v>
      </c>
      <c r="C2513" s="524" t="s">
        <v>1148</v>
      </c>
      <c r="D2513" s="524" t="s">
        <v>1186</v>
      </c>
      <c r="E2513" s="524" t="s">
        <v>2692</v>
      </c>
      <c r="F2513" s="524" t="s">
        <v>1183</v>
      </c>
      <c r="G2513" s="524" t="s">
        <v>763</v>
      </c>
      <c r="H2513" s="527">
        <v>165</v>
      </c>
      <c r="I2513" s="524" t="s">
        <v>1174</v>
      </c>
      <c r="J2513" s="524">
        <f>IF(cmf[[#This Row],[D/C]]="C",cmf[[#This Row],[Valor]],-1*cmf[[#This Row],[Valor]])</f>
        <v>-165</v>
      </c>
      <c r="L2513" s="524" t="s">
        <v>1188</v>
      </c>
      <c r="M2513" s="524" t="s">
        <v>1189</v>
      </c>
      <c r="N2513" s="524" t="s">
        <v>1180</v>
      </c>
      <c r="O2513" s="524" t="s">
        <v>1181</v>
      </c>
      <c r="P2513" s="526">
        <v>46233</v>
      </c>
      <c r="S2513" s="527">
        <v>0</v>
      </c>
    </row>
    <row r="2514" spans="1:19" x14ac:dyDescent="0.2">
      <c r="A2514" s="524">
        <v>71289</v>
      </c>
      <c r="B2514" s="526">
        <v>46233</v>
      </c>
      <c r="C2514" s="524" t="s">
        <v>1148</v>
      </c>
      <c r="D2514" s="524" t="s">
        <v>1186</v>
      </c>
      <c r="E2514" s="524" t="s">
        <v>2693</v>
      </c>
      <c r="F2514" s="524" t="s">
        <v>1183</v>
      </c>
      <c r="G2514" s="524" t="s">
        <v>763</v>
      </c>
      <c r="H2514" s="527">
        <v>34250</v>
      </c>
      <c r="I2514" s="524" t="s">
        <v>1174</v>
      </c>
      <c r="J2514" s="524">
        <f>IF(cmf[[#This Row],[D/C]]="C",cmf[[#This Row],[Valor]],-1*cmf[[#This Row],[Valor]])</f>
        <v>-34250</v>
      </c>
      <c r="L2514" s="524" t="s">
        <v>1188</v>
      </c>
      <c r="M2514" s="524" t="s">
        <v>1189</v>
      </c>
      <c r="N2514" s="524" t="s">
        <v>1180</v>
      </c>
      <c r="O2514" s="524" t="s">
        <v>1181</v>
      </c>
      <c r="P2514" s="526">
        <v>46233</v>
      </c>
      <c r="S2514" s="527">
        <v>0</v>
      </c>
    </row>
    <row r="2515" spans="1:19" x14ac:dyDescent="0.2">
      <c r="A2515" s="524">
        <v>71290</v>
      </c>
      <c r="B2515" s="526">
        <v>46233</v>
      </c>
      <c r="C2515" s="524" t="s">
        <v>1148</v>
      </c>
      <c r="D2515" s="524" t="s">
        <v>1186</v>
      </c>
      <c r="E2515" s="524" t="s">
        <v>2694</v>
      </c>
      <c r="F2515" s="524" t="s">
        <v>1183</v>
      </c>
      <c r="G2515" s="524" t="s">
        <v>763</v>
      </c>
      <c r="H2515" s="527">
        <v>1880.04</v>
      </c>
      <c r="I2515" s="524" t="s">
        <v>1174</v>
      </c>
      <c r="J2515" s="524">
        <f>IF(cmf[[#This Row],[D/C]]="C",cmf[[#This Row],[Valor]],-1*cmf[[#This Row],[Valor]])</f>
        <v>-1880.04</v>
      </c>
      <c r="L2515" s="524" t="s">
        <v>1188</v>
      </c>
      <c r="M2515" s="524" t="s">
        <v>1189</v>
      </c>
      <c r="N2515" s="524" t="s">
        <v>1180</v>
      </c>
      <c r="O2515" s="524" t="s">
        <v>1181</v>
      </c>
      <c r="P2515" s="526">
        <v>46233</v>
      </c>
      <c r="S2515" s="527">
        <v>0</v>
      </c>
    </row>
    <row r="2516" spans="1:19" x14ac:dyDescent="0.2">
      <c r="A2516" s="524">
        <v>71291</v>
      </c>
      <c r="B2516" s="526">
        <v>46233</v>
      </c>
      <c r="C2516" s="524" t="s">
        <v>1148</v>
      </c>
      <c r="D2516" s="524" t="s">
        <v>1186</v>
      </c>
      <c r="E2516" s="524" t="s">
        <v>2695</v>
      </c>
      <c r="F2516" s="524" t="s">
        <v>1183</v>
      </c>
      <c r="G2516" s="524" t="s">
        <v>763</v>
      </c>
      <c r="H2516" s="527">
        <v>10920.93</v>
      </c>
      <c r="I2516" s="524" t="s">
        <v>1174</v>
      </c>
      <c r="J2516" s="524">
        <f>IF(cmf[[#This Row],[D/C]]="C",cmf[[#This Row],[Valor]],-1*cmf[[#This Row],[Valor]])</f>
        <v>-10920.93</v>
      </c>
      <c r="L2516" s="524" t="s">
        <v>1188</v>
      </c>
      <c r="M2516" s="524" t="s">
        <v>1189</v>
      </c>
      <c r="N2516" s="524" t="s">
        <v>1180</v>
      </c>
      <c r="O2516" s="524" t="s">
        <v>1181</v>
      </c>
      <c r="P2516" s="526">
        <v>46233</v>
      </c>
      <c r="S2516" s="527">
        <v>0</v>
      </c>
    </row>
    <row r="2517" spans="1:19" x14ac:dyDescent="0.2">
      <c r="A2517" s="524">
        <v>71292</v>
      </c>
      <c r="B2517" s="526">
        <v>46233</v>
      </c>
      <c r="C2517" s="524" t="s">
        <v>1148</v>
      </c>
      <c r="D2517" s="524" t="s">
        <v>1186</v>
      </c>
      <c r="E2517" s="524" t="s">
        <v>2696</v>
      </c>
      <c r="F2517" s="524" t="s">
        <v>1183</v>
      </c>
      <c r="G2517" s="524" t="s">
        <v>763</v>
      </c>
      <c r="H2517" s="527">
        <v>1536.68</v>
      </c>
      <c r="I2517" s="524" t="s">
        <v>1174</v>
      </c>
      <c r="J2517" s="524">
        <f>IF(cmf[[#This Row],[D/C]]="C",cmf[[#This Row],[Valor]],-1*cmf[[#This Row],[Valor]])</f>
        <v>-1536.68</v>
      </c>
      <c r="L2517" s="524" t="s">
        <v>1188</v>
      </c>
      <c r="M2517" s="524" t="s">
        <v>1189</v>
      </c>
      <c r="N2517" s="524" t="s">
        <v>1180</v>
      </c>
      <c r="O2517" s="524" t="s">
        <v>1181</v>
      </c>
      <c r="P2517" s="526">
        <v>46233</v>
      </c>
      <c r="S2517" s="527">
        <v>0</v>
      </c>
    </row>
    <row r="2518" spans="1:19" x14ac:dyDescent="0.2">
      <c r="A2518" s="524">
        <v>71293</v>
      </c>
      <c r="B2518" s="526">
        <v>46233</v>
      </c>
      <c r="C2518" s="524" t="s">
        <v>1148</v>
      </c>
      <c r="D2518" s="524" t="s">
        <v>1186</v>
      </c>
      <c r="E2518" s="524" t="s">
        <v>2697</v>
      </c>
      <c r="F2518" s="524" t="s">
        <v>1183</v>
      </c>
      <c r="G2518" s="524" t="s">
        <v>763</v>
      </c>
      <c r="H2518" s="527">
        <v>2306</v>
      </c>
      <c r="I2518" s="524" t="s">
        <v>1174</v>
      </c>
      <c r="J2518" s="524">
        <f>IF(cmf[[#This Row],[D/C]]="C",cmf[[#This Row],[Valor]],-1*cmf[[#This Row],[Valor]])</f>
        <v>-2306</v>
      </c>
      <c r="L2518" s="524" t="s">
        <v>1188</v>
      </c>
      <c r="M2518" s="524" t="s">
        <v>1189</v>
      </c>
      <c r="N2518" s="524" t="s">
        <v>1180</v>
      </c>
      <c r="O2518" s="524" t="s">
        <v>1181</v>
      </c>
      <c r="P2518" s="526">
        <v>46233</v>
      </c>
      <c r="S2518" s="527">
        <v>0</v>
      </c>
    </row>
    <row r="2519" spans="1:19" x14ac:dyDescent="0.2">
      <c r="A2519" s="524">
        <v>71294</v>
      </c>
      <c r="B2519" s="526">
        <v>46233</v>
      </c>
      <c r="C2519" s="524" t="s">
        <v>1148</v>
      </c>
      <c r="D2519" s="524" t="s">
        <v>1186</v>
      </c>
      <c r="E2519" s="524" t="s">
        <v>2698</v>
      </c>
      <c r="F2519" s="524" t="s">
        <v>1183</v>
      </c>
      <c r="G2519" s="524" t="s">
        <v>745</v>
      </c>
      <c r="H2519" s="527">
        <v>1184.67</v>
      </c>
      <c r="I2519" s="524" t="s">
        <v>1174</v>
      </c>
      <c r="J2519" s="524">
        <f>IF(cmf[[#This Row],[D/C]]="C",cmf[[#This Row],[Valor]],-1*cmf[[#This Row],[Valor]])</f>
        <v>-1184.67</v>
      </c>
      <c r="L2519" s="524" t="s">
        <v>1188</v>
      </c>
      <c r="M2519" s="524" t="s">
        <v>1189</v>
      </c>
      <c r="N2519" s="524" t="s">
        <v>1292</v>
      </c>
      <c r="O2519" s="524" t="s">
        <v>1293</v>
      </c>
      <c r="P2519" s="526">
        <v>46233</v>
      </c>
      <c r="S2519" s="527">
        <v>0</v>
      </c>
    </row>
    <row r="2520" spans="1:19" x14ac:dyDescent="0.2">
      <c r="A2520" s="524">
        <v>71295</v>
      </c>
      <c r="B2520" s="526">
        <v>46233</v>
      </c>
      <c r="C2520" s="524" t="s">
        <v>1148</v>
      </c>
      <c r="D2520" s="524" t="s">
        <v>1186</v>
      </c>
      <c r="E2520" s="524" t="s">
        <v>2699</v>
      </c>
      <c r="F2520" s="524" t="s">
        <v>1183</v>
      </c>
      <c r="G2520" s="524" t="s">
        <v>745</v>
      </c>
      <c r="H2520" s="527">
        <v>1320</v>
      </c>
      <c r="I2520" s="524" t="s">
        <v>1174</v>
      </c>
      <c r="J2520" s="524">
        <f>IF(cmf[[#This Row],[D/C]]="C",cmf[[#This Row],[Valor]],-1*cmf[[#This Row],[Valor]])</f>
        <v>-1320</v>
      </c>
      <c r="L2520" s="524" t="s">
        <v>1188</v>
      </c>
      <c r="M2520" s="524" t="s">
        <v>1189</v>
      </c>
      <c r="N2520" s="524" t="s">
        <v>1292</v>
      </c>
      <c r="O2520" s="524" t="s">
        <v>1293</v>
      </c>
      <c r="P2520" s="526">
        <v>46233</v>
      </c>
      <c r="S2520" s="527">
        <v>0</v>
      </c>
    </row>
    <row r="2521" spans="1:19" x14ac:dyDescent="0.2">
      <c r="A2521" s="524">
        <v>71303</v>
      </c>
      <c r="B2521" s="526">
        <v>46233</v>
      </c>
      <c r="C2521" s="524" t="s">
        <v>1148</v>
      </c>
      <c r="D2521" s="524" t="s">
        <v>1239</v>
      </c>
      <c r="E2521" s="524" t="s">
        <v>1567</v>
      </c>
      <c r="F2521" s="524" t="s">
        <v>1170</v>
      </c>
      <c r="G2521" s="524" t="s">
        <v>757</v>
      </c>
      <c r="H2521" s="527">
        <v>13</v>
      </c>
      <c r="I2521" s="524" t="s">
        <v>1174</v>
      </c>
      <c r="J2521" s="524">
        <f>IF(cmf[[#This Row],[D/C]]="C",cmf[[#This Row],[Valor]],-1*cmf[[#This Row],[Valor]])</f>
        <v>-13</v>
      </c>
      <c r="L2521" s="524" t="s">
        <v>1241</v>
      </c>
      <c r="M2521" s="524" t="s">
        <v>1242</v>
      </c>
      <c r="N2521" s="524" t="s">
        <v>1223</v>
      </c>
      <c r="O2521" s="524" t="s">
        <v>1224</v>
      </c>
      <c r="P2521" s="526">
        <v>46233</v>
      </c>
      <c r="S2521" s="527">
        <v>0</v>
      </c>
    </row>
    <row r="2522" spans="1:19" x14ac:dyDescent="0.2">
      <c r="A2522" s="524">
        <v>71304</v>
      </c>
      <c r="B2522" s="526">
        <v>46233</v>
      </c>
      <c r="C2522" s="524" t="s">
        <v>1148</v>
      </c>
      <c r="D2522" s="524" t="s">
        <v>1239</v>
      </c>
      <c r="E2522" s="524" t="s">
        <v>1567</v>
      </c>
      <c r="F2522" s="524" t="s">
        <v>1170</v>
      </c>
      <c r="G2522" s="524" t="s">
        <v>757</v>
      </c>
      <c r="H2522" s="527">
        <v>13</v>
      </c>
      <c r="I2522" s="524" t="s">
        <v>1174</v>
      </c>
      <c r="J2522" s="524">
        <f>IF(cmf[[#This Row],[D/C]]="C",cmf[[#This Row],[Valor]],-1*cmf[[#This Row],[Valor]])</f>
        <v>-13</v>
      </c>
      <c r="L2522" s="524" t="s">
        <v>1241</v>
      </c>
      <c r="M2522" s="524" t="s">
        <v>1242</v>
      </c>
      <c r="N2522" s="524" t="s">
        <v>1223</v>
      </c>
      <c r="O2522" s="524" t="s">
        <v>1224</v>
      </c>
      <c r="P2522" s="526">
        <v>46233</v>
      </c>
      <c r="S2522" s="527">
        <v>0</v>
      </c>
    </row>
    <row r="2523" spans="1:19" x14ac:dyDescent="0.2">
      <c r="A2523" s="524">
        <v>71305</v>
      </c>
      <c r="B2523" s="526">
        <v>46233</v>
      </c>
      <c r="C2523" s="524" t="s">
        <v>1162</v>
      </c>
      <c r="D2523" s="524" t="s">
        <v>1186</v>
      </c>
      <c r="E2523" s="524" t="s">
        <v>2700</v>
      </c>
      <c r="F2523" s="524" t="s">
        <v>1170</v>
      </c>
      <c r="G2523" s="524" t="s">
        <v>781</v>
      </c>
      <c r="H2523" s="527">
        <v>219.04</v>
      </c>
      <c r="I2523" s="524" t="s">
        <v>1174</v>
      </c>
      <c r="J2523" s="524">
        <f>IF(cmf[[#This Row],[D/C]]="C",cmf[[#This Row],[Valor]],-1*cmf[[#This Row],[Valor]])</f>
        <v>-219.04</v>
      </c>
      <c r="L2523" s="524" t="s">
        <v>1188</v>
      </c>
      <c r="M2523" s="524" t="s">
        <v>1189</v>
      </c>
      <c r="N2523" s="524" t="s">
        <v>1209</v>
      </c>
      <c r="O2523" s="524" t="s">
        <v>1210</v>
      </c>
      <c r="P2523" s="526"/>
      <c r="S2523" s="527">
        <v>0</v>
      </c>
    </row>
    <row r="2524" spans="1:19" x14ac:dyDescent="0.2">
      <c r="A2524" s="524">
        <v>71306</v>
      </c>
      <c r="B2524" s="526">
        <v>46233</v>
      </c>
      <c r="C2524" s="524" t="s">
        <v>1162</v>
      </c>
      <c r="D2524" s="524" t="s">
        <v>1186</v>
      </c>
      <c r="E2524" s="524" t="s">
        <v>2701</v>
      </c>
      <c r="F2524" s="524" t="s">
        <v>1170</v>
      </c>
      <c r="G2524" s="524" t="s">
        <v>781</v>
      </c>
      <c r="H2524" s="527">
        <v>1666.67</v>
      </c>
      <c r="I2524" s="524" t="s">
        <v>1174</v>
      </c>
      <c r="J2524" s="524">
        <f>IF(cmf[[#This Row],[D/C]]="C",cmf[[#This Row],[Valor]],-1*cmf[[#This Row],[Valor]])</f>
        <v>-1666.67</v>
      </c>
      <c r="L2524" s="524" t="s">
        <v>1188</v>
      </c>
      <c r="M2524" s="524" t="s">
        <v>1189</v>
      </c>
      <c r="N2524" s="524" t="s">
        <v>1209</v>
      </c>
      <c r="O2524" s="524" t="s">
        <v>1210</v>
      </c>
      <c r="P2524" s="526"/>
      <c r="S2524" s="527">
        <v>0</v>
      </c>
    </row>
    <row r="2525" spans="1:19" x14ac:dyDescent="0.2">
      <c r="A2525" s="524">
        <v>71307</v>
      </c>
      <c r="B2525" s="526">
        <v>46233</v>
      </c>
      <c r="C2525" s="524" t="s">
        <v>1162</v>
      </c>
      <c r="D2525" s="524" t="s">
        <v>1186</v>
      </c>
      <c r="E2525" s="524" t="s">
        <v>2702</v>
      </c>
      <c r="F2525" s="524" t="s">
        <v>1170</v>
      </c>
      <c r="G2525" s="524" t="s">
        <v>781</v>
      </c>
      <c r="H2525" s="527">
        <v>3033.25</v>
      </c>
      <c r="I2525" s="524" t="s">
        <v>1174</v>
      </c>
      <c r="J2525" s="524">
        <f>IF(cmf[[#This Row],[D/C]]="C",cmf[[#This Row],[Valor]],-1*cmf[[#This Row],[Valor]])</f>
        <v>-3033.25</v>
      </c>
      <c r="L2525" s="524" t="s">
        <v>1188</v>
      </c>
      <c r="M2525" s="524" t="s">
        <v>1189</v>
      </c>
      <c r="N2525" s="524" t="s">
        <v>1209</v>
      </c>
      <c r="O2525" s="524" t="s">
        <v>1210</v>
      </c>
      <c r="P2525" s="526"/>
      <c r="S2525" s="527">
        <v>0</v>
      </c>
    </row>
    <row r="2526" spans="1:19" x14ac:dyDescent="0.2">
      <c r="A2526" s="524">
        <v>71308</v>
      </c>
      <c r="B2526" s="526">
        <v>46233</v>
      </c>
      <c r="C2526" s="524" t="s">
        <v>1148</v>
      </c>
      <c r="D2526" s="524" t="s">
        <v>1205</v>
      </c>
      <c r="E2526" s="524" t="s">
        <v>1537</v>
      </c>
      <c r="F2526" s="524" t="s">
        <v>1170</v>
      </c>
      <c r="G2526" s="524" t="s">
        <v>757</v>
      </c>
      <c r="H2526" s="527">
        <v>350000</v>
      </c>
      <c r="I2526" s="524" t="s">
        <v>1174</v>
      </c>
      <c r="J2526" s="524">
        <f>IF(cmf[[#This Row],[D/C]]="C",cmf[[#This Row],[Valor]],-1*cmf[[#This Row],[Valor]])</f>
        <v>-350000</v>
      </c>
      <c r="L2526" s="524" t="s">
        <v>1207</v>
      </c>
      <c r="M2526" s="524" t="s">
        <v>1208</v>
      </c>
      <c r="N2526" s="524" t="s">
        <v>1223</v>
      </c>
      <c r="O2526" s="524" t="s">
        <v>1224</v>
      </c>
      <c r="P2526" s="526">
        <v>46233</v>
      </c>
      <c r="S2526" s="527">
        <v>0</v>
      </c>
    </row>
    <row r="2527" spans="1:19" x14ac:dyDescent="0.2">
      <c r="A2527" s="524">
        <v>71309</v>
      </c>
      <c r="B2527" s="526">
        <v>46233</v>
      </c>
      <c r="C2527" s="524" t="s">
        <v>1148</v>
      </c>
      <c r="D2527" s="524" t="s">
        <v>1205</v>
      </c>
      <c r="E2527" s="524" t="s">
        <v>1234</v>
      </c>
      <c r="F2527" s="524" t="s">
        <v>1183</v>
      </c>
      <c r="G2527" s="524" t="s">
        <v>758</v>
      </c>
      <c r="H2527" s="527">
        <v>350000</v>
      </c>
      <c r="I2527" s="524" t="s">
        <v>1148</v>
      </c>
      <c r="J2527" s="524">
        <f>IF(cmf[[#This Row],[D/C]]="C",cmf[[#This Row],[Valor]],-1*cmf[[#This Row],[Valor]])</f>
        <v>350000</v>
      </c>
      <c r="L2527" s="524" t="s">
        <v>1207</v>
      </c>
      <c r="M2527" s="524" t="s">
        <v>1208</v>
      </c>
      <c r="N2527" s="524" t="s">
        <v>1223</v>
      </c>
      <c r="O2527" s="524" t="s">
        <v>1224</v>
      </c>
      <c r="P2527" s="526">
        <v>46233</v>
      </c>
      <c r="S2527" s="527">
        <v>0</v>
      </c>
    </row>
    <row r="2528" spans="1:19" x14ac:dyDescent="0.2">
      <c r="A2528" s="524">
        <v>71317</v>
      </c>
      <c r="B2528" s="526">
        <v>46233</v>
      </c>
      <c r="C2528" s="524" t="s">
        <v>1162</v>
      </c>
      <c r="D2528" s="524" t="s">
        <v>1205</v>
      </c>
      <c r="E2528" s="524" t="s">
        <v>1206</v>
      </c>
      <c r="F2528" s="524" t="s">
        <v>1170</v>
      </c>
      <c r="G2528" s="524" t="s">
        <v>775</v>
      </c>
      <c r="H2528" s="527">
        <v>14000</v>
      </c>
      <c r="I2528" s="524" t="s">
        <v>1174</v>
      </c>
      <c r="J2528" s="524">
        <f>IF(cmf[[#This Row],[D/C]]="C",cmf[[#This Row],[Valor]],-1*cmf[[#This Row],[Valor]])</f>
        <v>-14000</v>
      </c>
      <c r="L2528" s="524" t="s">
        <v>1207</v>
      </c>
      <c r="M2528" s="524" t="s">
        <v>1208</v>
      </c>
      <c r="N2528" s="524" t="s">
        <v>1212</v>
      </c>
      <c r="O2528" s="524" t="s">
        <v>1213</v>
      </c>
      <c r="P2528" s="526"/>
      <c r="S2528" s="527">
        <v>0</v>
      </c>
    </row>
    <row r="2529" spans="1:19" x14ac:dyDescent="0.2">
      <c r="A2529" s="524">
        <v>71318</v>
      </c>
      <c r="B2529" s="526">
        <v>46233</v>
      </c>
      <c r="C2529" s="524" t="s">
        <v>1162</v>
      </c>
      <c r="D2529" s="524" t="s">
        <v>1205</v>
      </c>
      <c r="E2529" s="524" t="s">
        <v>2703</v>
      </c>
      <c r="F2529" s="524" t="s">
        <v>1183</v>
      </c>
      <c r="G2529" s="524" t="s">
        <v>776</v>
      </c>
      <c r="H2529" s="527">
        <v>14000</v>
      </c>
      <c r="I2529" s="524" t="s">
        <v>1148</v>
      </c>
      <c r="J2529" s="524">
        <f>IF(cmf[[#This Row],[D/C]]="C",cmf[[#This Row],[Valor]],-1*cmf[[#This Row],[Valor]])</f>
        <v>14000</v>
      </c>
      <c r="L2529" s="524" t="s">
        <v>1207</v>
      </c>
      <c r="M2529" s="524" t="s">
        <v>1208</v>
      </c>
      <c r="N2529" s="524" t="s">
        <v>1212</v>
      </c>
      <c r="O2529" s="524" t="s">
        <v>1213</v>
      </c>
      <c r="P2529" s="526"/>
      <c r="S2529" s="527">
        <v>0</v>
      </c>
    </row>
    <row r="2530" spans="1:19" x14ac:dyDescent="0.2">
      <c r="A2530" s="524">
        <v>71322</v>
      </c>
      <c r="B2530" s="526">
        <v>46233</v>
      </c>
      <c r="C2530" s="524" t="s">
        <v>1162</v>
      </c>
      <c r="D2530" s="524" t="s">
        <v>1205</v>
      </c>
      <c r="E2530" s="524" t="s">
        <v>1206</v>
      </c>
      <c r="F2530" s="524" t="s">
        <v>1170</v>
      </c>
      <c r="G2530" s="524" t="s">
        <v>775</v>
      </c>
      <c r="H2530" s="527">
        <v>10000</v>
      </c>
      <c r="I2530" s="524" t="s">
        <v>1174</v>
      </c>
      <c r="J2530" s="524">
        <f>IF(cmf[[#This Row],[D/C]]="C",cmf[[#This Row],[Valor]],-1*cmf[[#This Row],[Valor]])</f>
        <v>-10000</v>
      </c>
      <c r="L2530" s="524" t="s">
        <v>1207</v>
      </c>
      <c r="M2530" s="524" t="s">
        <v>1208</v>
      </c>
      <c r="N2530" s="524" t="s">
        <v>1212</v>
      </c>
      <c r="O2530" s="524" t="s">
        <v>1213</v>
      </c>
      <c r="P2530" s="526"/>
      <c r="S2530" s="527">
        <v>0</v>
      </c>
    </row>
    <row r="2531" spans="1:19" x14ac:dyDescent="0.2">
      <c r="A2531" s="524">
        <v>71323</v>
      </c>
      <c r="B2531" s="526">
        <v>46233</v>
      </c>
      <c r="C2531" s="524" t="s">
        <v>1162</v>
      </c>
      <c r="D2531" s="524" t="s">
        <v>1205</v>
      </c>
      <c r="E2531" s="524" t="s">
        <v>2703</v>
      </c>
      <c r="F2531" s="524" t="s">
        <v>1183</v>
      </c>
      <c r="G2531" s="524" t="s">
        <v>776</v>
      </c>
      <c r="H2531" s="527">
        <v>10000</v>
      </c>
      <c r="I2531" s="524" t="s">
        <v>1148</v>
      </c>
      <c r="J2531" s="524">
        <f>IF(cmf[[#This Row],[D/C]]="C",cmf[[#This Row],[Valor]],-1*cmf[[#This Row],[Valor]])</f>
        <v>10000</v>
      </c>
      <c r="L2531" s="524" t="s">
        <v>1207</v>
      </c>
      <c r="M2531" s="524" t="s">
        <v>1208</v>
      </c>
      <c r="N2531" s="524" t="s">
        <v>1212</v>
      </c>
      <c r="O2531" s="524" t="s">
        <v>1213</v>
      </c>
      <c r="P2531" s="526"/>
      <c r="S2531" s="527">
        <v>0</v>
      </c>
    </row>
    <row r="2532" spans="1:19" x14ac:dyDescent="0.2">
      <c r="A2532" s="524">
        <v>71368</v>
      </c>
      <c r="B2532" s="526">
        <v>46233</v>
      </c>
      <c r="C2532" s="524" t="s">
        <v>1148</v>
      </c>
      <c r="D2532" s="524" t="s">
        <v>1186</v>
      </c>
      <c r="E2532" s="524" t="s">
        <v>2704</v>
      </c>
      <c r="F2532" s="524" t="s">
        <v>1178</v>
      </c>
      <c r="G2532" s="524" t="s">
        <v>1179</v>
      </c>
      <c r="H2532" s="527">
        <v>1455</v>
      </c>
      <c r="I2532" s="524" t="s">
        <v>1174</v>
      </c>
      <c r="J2532" s="524">
        <f>IF(cmf[[#This Row],[D/C]]="C",cmf[[#This Row],[Valor]],-1*cmf[[#This Row],[Valor]])</f>
        <v>-1455</v>
      </c>
      <c r="L2532" s="524" t="s">
        <v>1188</v>
      </c>
      <c r="M2532" s="524" t="s">
        <v>1189</v>
      </c>
      <c r="N2532" s="524" t="s">
        <v>1180</v>
      </c>
      <c r="O2532" s="524" t="s">
        <v>1181</v>
      </c>
      <c r="P2532" s="526">
        <v>46233</v>
      </c>
      <c r="S2532" s="527">
        <v>0</v>
      </c>
    </row>
    <row r="2533" spans="1:19" x14ac:dyDescent="0.2">
      <c r="A2533" s="524">
        <v>71369</v>
      </c>
      <c r="B2533" s="526">
        <v>46233</v>
      </c>
      <c r="C2533" s="524" t="s">
        <v>1148</v>
      </c>
      <c r="D2533" s="524" t="s">
        <v>1226</v>
      </c>
      <c r="E2533" s="524" t="s">
        <v>2705</v>
      </c>
      <c r="F2533" s="524" t="s">
        <v>1183</v>
      </c>
      <c r="G2533" s="524" t="s">
        <v>742</v>
      </c>
      <c r="H2533" s="527">
        <v>2690.35</v>
      </c>
      <c r="I2533" s="524" t="s">
        <v>1148</v>
      </c>
      <c r="J2533" s="524">
        <f>IF(cmf[[#This Row],[D/C]]="C",cmf[[#This Row],[Valor]],-1*cmf[[#This Row],[Valor]])</f>
        <v>2690.35</v>
      </c>
      <c r="L2533" s="524" t="s">
        <v>1230</v>
      </c>
      <c r="M2533" s="524" t="s">
        <v>1231</v>
      </c>
      <c r="N2533" s="524" t="s">
        <v>1215</v>
      </c>
      <c r="O2533" s="524" t="s">
        <v>1218</v>
      </c>
      <c r="P2533" s="526">
        <v>46233</v>
      </c>
      <c r="S2533" s="527">
        <v>0</v>
      </c>
    </row>
    <row r="2534" spans="1:19" x14ac:dyDescent="0.2">
      <c r="A2534" s="524">
        <v>71379</v>
      </c>
      <c r="B2534" s="526">
        <v>46233</v>
      </c>
      <c r="C2534" s="524" t="s">
        <v>1148</v>
      </c>
      <c r="D2534" s="524" t="s">
        <v>1186</v>
      </c>
      <c r="E2534" s="524" t="s">
        <v>2706</v>
      </c>
      <c r="F2534" s="524" t="s">
        <v>1183</v>
      </c>
      <c r="G2534" s="524" t="s">
        <v>745</v>
      </c>
      <c r="H2534" s="527">
        <v>52387.01</v>
      </c>
      <c r="I2534" s="524" t="s">
        <v>1174</v>
      </c>
      <c r="J2534" s="524">
        <f>IF(cmf[[#This Row],[D/C]]="C",cmf[[#This Row],[Valor]],-1*cmf[[#This Row],[Valor]])</f>
        <v>-52387.01</v>
      </c>
      <c r="L2534" s="524" t="s">
        <v>1188</v>
      </c>
      <c r="M2534" s="524" t="s">
        <v>1189</v>
      </c>
      <c r="N2534" s="524" t="s">
        <v>1292</v>
      </c>
      <c r="O2534" s="524" t="s">
        <v>1293</v>
      </c>
      <c r="P2534" s="526">
        <v>46233</v>
      </c>
      <c r="S2534" s="527">
        <v>0</v>
      </c>
    </row>
    <row r="2535" spans="1:19" x14ac:dyDescent="0.2">
      <c r="A2535" s="524">
        <v>71414</v>
      </c>
      <c r="B2535" s="526">
        <v>46233</v>
      </c>
      <c r="C2535" s="524" t="s">
        <v>1148</v>
      </c>
      <c r="D2535" s="524" t="s">
        <v>1163</v>
      </c>
      <c r="E2535" s="524" t="s">
        <v>1164</v>
      </c>
      <c r="F2535" s="524" t="s">
        <v>1183</v>
      </c>
      <c r="G2535" s="524" t="s">
        <v>806</v>
      </c>
      <c r="H2535" s="527">
        <v>10600</v>
      </c>
      <c r="I2535" s="524" t="s">
        <v>1148</v>
      </c>
      <c r="J2535" s="524">
        <f>IF(cmf[[#This Row],[D/C]]="C",cmf[[#This Row],[Valor]],-1*cmf[[#This Row],[Valor]])</f>
        <v>10600</v>
      </c>
      <c r="L2535" s="524" t="s">
        <v>1166</v>
      </c>
      <c r="M2535" s="524" t="s">
        <v>1167</v>
      </c>
      <c r="N2535" s="524" t="s">
        <v>1283</v>
      </c>
      <c r="O2535" s="524" t="s">
        <v>1284</v>
      </c>
      <c r="P2535" s="526">
        <v>46233</v>
      </c>
      <c r="S2535" s="527">
        <v>0</v>
      </c>
    </row>
    <row r="2536" spans="1:19" x14ac:dyDescent="0.2">
      <c r="A2536" s="524">
        <v>71415</v>
      </c>
      <c r="B2536" s="526">
        <v>46233</v>
      </c>
      <c r="C2536" s="524" t="s">
        <v>1148</v>
      </c>
      <c r="D2536" s="524" t="s">
        <v>1163</v>
      </c>
      <c r="E2536" s="524" t="s">
        <v>1173</v>
      </c>
      <c r="F2536" s="524" t="s">
        <v>1183</v>
      </c>
      <c r="G2536" s="524" t="s">
        <v>806</v>
      </c>
      <c r="H2536" s="527">
        <v>2.19</v>
      </c>
      <c r="I2536" s="524" t="s">
        <v>1174</v>
      </c>
      <c r="J2536" s="524">
        <f>IF(cmf[[#This Row],[D/C]]="C",cmf[[#This Row],[Valor]],-1*cmf[[#This Row],[Valor]])</f>
        <v>-2.19</v>
      </c>
      <c r="L2536" s="524" t="s">
        <v>1175</v>
      </c>
      <c r="M2536" s="524" t="s">
        <v>1176</v>
      </c>
      <c r="N2536" s="524" t="s">
        <v>1283</v>
      </c>
      <c r="O2536" s="524" t="s">
        <v>1284</v>
      </c>
      <c r="P2536" s="526">
        <v>46233</v>
      </c>
      <c r="S2536" s="527">
        <v>0</v>
      </c>
    </row>
    <row r="2537" spans="1:19" x14ac:dyDescent="0.2">
      <c r="A2537" s="524">
        <v>71418</v>
      </c>
      <c r="B2537" s="526">
        <v>46233</v>
      </c>
      <c r="C2537" s="524" t="s">
        <v>1148</v>
      </c>
      <c r="D2537" s="524" t="s">
        <v>1163</v>
      </c>
      <c r="E2537" s="524" t="s">
        <v>1173</v>
      </c>
      <c r="F2537" s="524" t="s">
        <v>1170</v>
      </c>
      <c r="G2537" s="524" t="s">
        <v>740</v>
      </c>
      <c r="H2537" s="527">
        <v>4.5</v>
      </c>
      <c r="I2537" s="524" t="s">
        <v>1174</v>
      </c>
      <c r="J2537" s="524">
        <f>IF(cmf[[#This Row],[D/C]]="C",cmf[[#This Row],[Valor]],-1*cmf[[#This Row],[Valor]])</f>
        <v>-4.5</v>
      </c>
      <c r="L2537" s="524" t="s">
        <v>1175</v>
      </c>
      <c r="M2537" s="524" t="s">
        <v>1176</v>
      </c>
      <c r="N2537" s="524" t="s">
        <v>1215</v>
      </c>
      <c r="O2537" s="524" t="s">
        <v>1218</v>
      </c>
      <c r="P2537" s="526">
        <v>46233</v>
      </c>
      <c r="S2537" s="527">
        <v>0</v>
      </c>
    </row>
    <row r="2538" spans="1:19" x14ac:dyDescent="0.2">
      <c r="A2538" s="524">
        <v>71419</v>
      </c>
      <c r="B2538" s="526">
        <v>46233</v>
      </c>
      <c r="C2538" s="524" t="s">
        <v>1148</v>
      </c>
      <c r="D2538" s="524" t="s">
        <v>1163</v>
      </c>
      <c r="E2538" s="524" t="s">
        <v>1173</v>
      </c>
      <c r="F2538" s="524" t="s">
        <v>1170</v>
      </c>
      <c r="G2538" s="524" t="s">
        <v>798</v>
      </c>
      <c r="H2538" s="527">
        <v>4.5</v>
      </c>
      <c r="I2538" s="524" t="s">
        <v>1174</v>
      </c>
      <c r="J2538" s="524">
        <f>IF(cmf[[#This Row],[D/C]]="C",cmf[[#This Row],[Valor]],-1*cmf[[#This Row],[Valor]])</f>
        <v>-4.5</v>
      </c>
      <c r="L2538" s="524" t="s">
        <v>1175</v>
      </c>
      <c r="M2538" s="524" t="s">
        <v>1176</v>
      </c>
      <c r="N2538" s="524" t="s">
        <v>1171</v>
      </c>
      <c r="O2538" s="524" t="s">
        <v>1172</v>
      </c>
      <c r="P2538" s="526">
        <v>46233</v>
      </c>
      <c r="S2538" s="527">
        <v>0</v>
      </c>
    </row>
    <row r="2539" spans="1:19" x14ac:dyDescent="0.2">
      <c r="A2539" s="524">
        <v>71423</v>
      </c>
      <c r="B2539" s="526">
        <v>46233</v>
      </c>
      <c r="C2539" s="524" t="s">
        <v>1148</v>
      </c>
      <c r="D2539" s="524" t="s">
        <v>1186</v>
      </c>
      <c r="E2539" s="524" t="s">
        <v>2707</v>
      </c>
      <c r="F2539" s="524" t="s">
        <v>1183</v>
      </c>
      <c r="G2539" s="524" t="s">
        <v>806</v>
      </c>
      <c r="H2539" s="527">
        <v>11494.74</v>
      </c>
      <c r="I2539" s="524" t="s">
        <v>1174</v>
      </c>
      <c r="J2539" s="524">
        <f>IF(cmf[[#This Row],[D/C]]="C",cmf[[#This Row],[Valor]],-1*cmf[[#This Row],[Valor]])</f>
        <v>-11494.74</v>
      </c>
      <c r="L2539" s="524" t="s">
        <v>1188</v>
      </c>
      <c r="M2539" s="524" t="s">
        <v>1189</v>
      </c>
      <c r="N2539" s="524" t="s">
        <v>1283</v>
      </c>
      <c r="O2539" s="524" t="s">
        <v>1284</v>
      </c>
      <c r="P2539" s="526">
        <v>46233</v>
      </c>
      <c r="S2539" s="527">
        <v>0</v>
      </c>
    </row>
    <row r="2540" spans="1:19" x14ac:dyDescent="0.2">
      <c r="A2540" s="524">
        <v>71424</v>
      </c>
      <c r="B2540" s="526">
        <v>46233</v>
      </c>
      <c r="C2540" s="524" t="s">
        <v>1148</v>
      </c>
      <c r="D2540" s="524" t="s">
        <v>1186</v>
      </c>
      <c r="E2540" s="524" t="s">
        <v>2708</v>
      </c>
      <c r="F2540" s="524" t="s">
        <v>1183</v>
      </c>
      <c r="G2540" s="524" t="s">
        <v>806</v>
      </c>
      <c r="H2540" s="527">
        <v>18000</v>
      </c>
      <c r="I2540" s="524" t="s">
        <v>1174</v>
      </c>
      <c r="J2540" s="524">
        <f>IF(cmf[[#This Row],[D/C]]="C",cmf[[#This Row],[Valor]],-1*cmf[[#This Row],[Valor]])</f>
        <v>-18000</v>
      </c>
      <c r="L2540" s="524" t="s">
        <v>1188</v>
      </c>
      <c r="M2540" s="524" t="s">
        <v>1189</v>
      </c>
      <c r="N2540" s="524" t="s">
        <v>1283</v>
      </c>
      <c r="O2540" s="524" t="s">
        <v>1284</v>
      </c>
      <c r="P2540" s="526">
        <v>46233</v>
      </c>
      <c r="S2540" s="527">
        <v>0</v>
      </c>
    </row>
    <row r="2541" spans="1:19" x14ac:dyDescent="0.2">
      <c r="A2541" s="524">
        <v>71425</v>
      </c>
      <c r="B2541" s="526">
        <v>46233</v>
      </c>
      <c r="C2541" s="524" t="s">
        <v>1162</v>
      </c>
      <c r="D2541" s="524" t="s">
        <v>1186</v>
      </c>
      <c r="E2541" s="524" t="s">
        <v>2709</v>
      </c>
      <c r="F2541" s="524" t="s">
        <v>1183</v>
      </c>
      <c r="G2541" s="524" t="s">
        <v>786</v>
      </c>
      <c r="H2541" s="527">
        <v>1581.01</v>
      </c>
      <c r="I2541" s="524" t="s">
        <v>1174</v>
      </c>
      <c r="J2541" s="524">
        <f>IF(cmf[[#This Row],[D/C]]="C",cmf[[#This Row],[Valor]],-1*cmf[[#This Row],[Valor]])</f>
        <v>-1581.01</v>
      </c>
      <c r="L2541" s="524" t="s">
        <v>1188</v>
      </c>
      <c r="M2541" s="524" t="s">
        <v>1189</v>
      </c>
      <c r="N2541" s="524" t="s">
        <v>2104</v>
      </c>
      <c r="O2541" s="524" t="s">
        <v>1751</v>
      </c>
      <c r="P2541" s="526"/>
      <c r="S2541" s="527">
        <v>0</v>
      </c>
    </row>
    <row r="2542" spans="1:19" x14ac:dyDescent="0.2">
      <c r="A2542" s="524">
        <v>71428</v>
      </c>
      <c r="B2542" s="526">
        <v>46233</v>
      </c>
      <c r="C2542" s="524" t="s">
        <v>1148</v>
      </c>
      <c r="D2542" s="524" t="s">
        <v>1186</v>
      </c>
      <c r="E2542" s="524" t="s">
        <v>2710</v>
      </c>
      <c r="F2542" s="524" t="s">
        <v>1183</v>
      </c>
      <c r="G2542" s="524" t="s">
        <v>800</v>
      </c>
      <c r="H2542" s="527">
        <v>1947</v>
      </c>
      <c r="I2542" s="524" t="s">
        <v>1174</v>
      </c>
      <c r="J2542" s="524">
        <f>IF(cmf[[#This Row],[D/C]]="C",cmf[[#This Row],[Valor]],-1*cmf[[#This Row],[Valor]])</f>
        <v>-1947</v>
      </c>
      <c r="L2542" s="524" t="s">
        <v>1188</v>
      </c>
      <c r="M2542" s="524" t="s">
        <v>1189</v>
      </c>
      <c r="N2542" s="524" t="s">
        <v>1171</v>
      </c>
      <c r="O2542" s="524" t="s">
        <v>1172</v>
      </c>
      <c r="P2542" s="526">
        <v>46233</v>
      </c>
      <c r="S2542" s="527">
        <v>0</v>
      </c>
    </row>
    <row r="2543" spans="1:19" x14ac:dyDescent="0.2">
      <c r="A2543" s="524">
        <v>71429</v>
      </c>
      <c r="B2543" s="526">
        <v>46233</v>
      </c>
      <c r="C2543" s="524" t="s">
        <v>1148</v>
      </c>
      <c r="D2543" s="524" t="s">
        <v>1186</v>
      </c>
      <c r="E2543" s="524" t="s">
        <v>2711</v>
      </c>
      <c r="F2543" s="524" t="s">
        <v>1183</v>
      </c>
      <c r="G2543" s="524" t="s">
        <v>800</v>
      </c>
      <c r="H2543" s="527">
        <v>429.75</v>
      </c>
      <c r="I2543" s="524" t="s">
        <v>1174</v>
      </c>
      <c r="J2543" s="524">
        <f>IF(cmf[[#This Row],[D/C]]="C",cmf[[#This Row],[Valor]],-1*cmf[[#This Row],[Valor]])</f>
        <v>-429.75</v>
      </c>
      <c r="L2543" s="524" t="s">
        <v>1188</v>
      </c>
      <c r="M2543" s="524" t="s">
        <v>1189</v>
      </c>
      <c r="N2543" s="524" t="s">
        <v>1171</v>
      </c>
      <c r="O2543" s="524" t="s">
        <v>1172</v>
      </c>
      <c r="P2543" s="526">
        <v>46233</v>
      </c>
      <c r="S2543" s="527">
        <v>0</v>
      </c>
    </row>
    <row r="2544" spans="1:19" x14ac:dyDescent="0.2">
      <c r="A2544" s="524">
        <v>71430</v>
      </c>
      <c r="B2544" s="526">
        <v>46233</v>
      </c>
      <c r="C2544" s="524" t="s">
        <v>1148</v>
      </c>
      <c r="D2544" s="524" t="s">
        <v>1186</v>
      </c>
      <c r="E2544" s="524" t="s">
        <v>2712</v>
      </c>
      <c r="F2544" s="524" t="s">
        <v>1183</v>
      </c>
      <c r="G2544" s="524" t="s">
        <v>800</v>
      </c>
      <c r="H2544" s="527">
        <v>664.76</v>
      </c>
      <c r="I2544" s="524" t="s">
        <v>1174</v>
      </c>
      <c r="J2544" s="524">
        <f>IF(cmf[[#This Row],[D/C]]="C",cmf[[#This Row],[Valor]],-1*cmf[[#This Row],[Valor]])</f>
        <v>-664.76</v>
      </c>
      <c r="L2544" s="524" t="s">
        <v>1188</v>
      </c>
      <c r="M2544" s="524" t="s">
        <v>1189</v>
      </c>
      <c r="N2544" s="524" t="s">
        <v>1171</v>
      </c>
      <c r="O2544" s="524" t="s">
        <v>1172</v>
      </c>
      <c r="P2544" s="526">
        <v>46233</v>
      </c>
      <c r="S2544" s="527">
        <v>0</v>
      </c>
    </row>
    <row r="2545" spans="1:19" x14ac:dyDescent="0.2">
      <c r="A2545" s="524">
        <v>71431</v>
      </c>
      <c r="B2545" s="526">
        <v>46233</v>
      </c>
      <c r="C2545" s="524" t="s">
        <v>1148</v>
      </c>
      <c r="D2545" s="524" t="s">
        <v>1186</v>
      </c>
      <c r="E2545" s="524" t="s">
        <v>2713</v>
      </c>
      <c r="F2545" s="524" t="s">
        <v>1183</v>
      </c>
      <c r="G2545" s="524" t="s">
        <v>800</v>
      </c>
      <c r="H2545" s="527">
        <v>3683.33</v>
      </c>
      <c r="I2545" s="524" t="s">
        <v>1174</v>
      </c>
      <c r="J2545" s="524">
        <f>IF(cmf[[#This Row],[D/C]]="C",cmf[[#This Row],[Valor]],-1*cmf[[#This Row],[Valor]])</f>
        <v>-3683.33</v>
      </c>
      <c r="L2545" s="524" t="s">
        <v>1188</v>
      </c>
      <c r="M2545" s="524" t="s">
        <v>1189</v>
      </c>
      <c r="N2545" s="524" t="s">
        <v>1171</v>
      </c>
      <c r="O2545" s="524" t="s">
        <v>1172</v>
      </c>
      <c r="P2545" s="526">
        <v>46233</v>
      </c>
      <c r="S2545" s="527">
        <v>0</v>
      </c>
    </row>
    <row r="2546" spans="1:19" x14ac:dyDescent="0.2">
      <c r="A2546" s="524">
        <v>71432</v>
      </c>
      <c r="B2546" s="526">
        <v>46233</v>
      </c>
      <c r="C2546" s="524" t="s">
        <v>1148</v>
      </c>
      <c r="D2546" s="524" t="s">
        <v>1186</v>
      </c>
      <c r="E2546" s="524" t="s">
        <v>2714</v>
      </c>
      <c r="F2546" s="524" t="s">
        <v>1183</v>
      </c>
      <c r="G2546" s="524" t="s">
        <v>800</v>
      </c>
      <c r="H2546" s="527">
        <v>350.1</v>
      </c>
      <c r="I2546" s="524" t="s">
        <v>1174</v>
      </c>
      <c r="J2546" s="524">
        <f>IF(cmf[[#This Row],[D/C]]="C",cmf[[#This Row],[Valor]],-1*cmf[[#This Row],[Valor]])</f>
        <v>-350.1</v>
      </c>
      <c r="L2546" s="524" t="s">
        <v>1188</v>
      </c>
      <c r="M2546" s="524" t="s">
        <v>1189</v>
      </c>
      <c r="N2546" s="524" t="s">
        <v>1171</v>
      </c>
      <c r="O2546" s="524" t="s">
        <v>1172</v>
      </c>
      <c r="P2546" s="526">
        <v>46233</v>
      </c>
      <c r="S2546" s="527">
        <v>0</v>
      </c>
    </row>
    <row r="2547" spans="1:19" x14ac:dyDescent="0.2">
      <c r="A2547" s="524">
        <v>71433</v>
      </c>
      <c r="B2547" s="526">
        <v>46233</v>
      </c>
      <c r="C2547" s="524" t="s">
        <v>1148</v>
      </c>
      <c r="D2547" s="524" t="s">
        <v>1186</v>
      </c>
      <c r="E2547" s="524" t="s">
        <v>2715</v>
      </c>
      <c r="F2547" s="524" t="s">
        <v>1183</v>
      </c>
      <c r="G2547" s="524" t="s">
        <v>800</v>
      </c>
      <c r="H2547" s="527">
        <v>1300</v>
      </c>
      <c r="I2547" s="524" t="s">
        <v>1174</v>
      </c>
      <c r="J2547" s="524">
        <f>IF(cmf[[#This Row],[D/C]]="C",cmf[[#This Row],[Valor]],-1*cmf[[#This Row],[Valor]])</f>
        <v>-1300</v>
      </c>
      <c r="L2547" s="524" t="s">
        <v>1188</v>
      </c>
      <c r="M2547" s="524" t="s">
        <v>1189</v>
      </c>
      <c r="N2547" s="524" t="s">
        <v>1171</v>
      </c>
      <c r="O2547" s="524" t="s">
        <v>1172</v>
      </c>
      <c r="P2547" s="526">
        <v>46233</v>
      </c>
      <c r="S2547" s="527">
        <v>0</v>
      </c>
    </row>
    <row r="2548" spans="1:19" x14ac:dyDescent="0.2">
      <c r="A2548" s="524">
        <v>71434</v>
      </c>
      <c r="B2548" s="526">
        <v>46233</v>
      </c>
      <c r="C2548" s="524" t="s">
        <v>1148</v>
      </c>
      <c r="D2548" s="524" t="s">
        <v>1186</v>
      </c>
      <c r="E2548" s="524" t="s">
        <v>2716</v>
      </c>
      <c r="F2548" s="524" t="s">
        <v>1183</v>
      </c>
      <c r="G2548" s="524" t="s">
        <v>800</v>
      </c>
      <c r="H2548" s="527">
        <v>10000</v>
      </c>
      <c r="I2548" s="524" t="s">
        <v>1174</v>
      </c>
      <c r="J2548" s="524">
        <f>IF(cmf[[#This Row],[D/C]]="C",cmf[[#This Row],[Valor]],-1*cmf[[#This Row],[Valor]])</f>
        <v>-10000</v>
      </c>
      <c r="L2548" s="524" t="s">
        <v>1188</v>
      </c>
      <c r="M2548" s="524" t="s">
        <v>1189</v>
      </c>
      <c r="N2548" s="524" t="s">
        <v>1171</v>
      </c>
      <c r="O2548" s="524" t="s">
        <v>1172</v>
      </c>
      <c r="P2548" s="526">
        <v>46233</v>
      </c>
      <c r="S2548" s="527">
        <v>0</v>
      </c>
    </row>
    <row r="2549" spans="1:19" x14ac:dyDescent="0.2">
      <c r="A2549" s="524">
        <v>71435</v>
      </c>
      <c r="B2549" s="526">
        <v>46233</v>
      </c>
      <c r="C2549" s="524" t="s">
        <v>1148</v>
      </c>
      <c r="D2549" s="524" t="s">
        <v>1186</v>
      </c>
      <c r="E2549" s="524" t="s">
        <v>2717</v>
      </c>
      <c r="F2549" s="524" t="s">
        <v>1183</v>
      </c>
      <c r="G2549" s="524" t="s">
        <v>800</v>
      </c>
      <c r="H2549" s="527">
        <v>100</v>
      </c>
      <c r="I2549" s="524" t="s">
        <v>1174</v>
      </c>
      <c r="J2549" s="524">
        <f>IF(cmf[[#This Row],[D/C]]="C",cmf[[#This Row],[Valor]],-1*cmf[[#This Row],[Valor]])</f>
        <v>-100</v>
      </c>
      <c r="L2549" s="524" t="s">
        <v>1188</v>
      </c>
      <c r="M2549" s="524" t="s">
        <v>1189</v>
      </c>
      <c r="N2549" s="524" t="s">
        <v>1171</v>
      </c>
      <c r="O2549" s="524" t="s">
        <v>1172</v>
      </c>
      <c r="P2549" s="526">
        <v>46233</v>
      </c>
      <c r="S2549" s="527">
        <v>0</v>
      </c>
    </row>
    <row r="2550" spans="1:19" x14ac:dyDescent="0.2">
      <c r="A2550" s="524">
        <v>71436</v>
      </c>
      <c r="B2550" s="526">
        <v>46233</v>
      </c>
      <c r="C2550" s="524" t="s">
        <v>1148</v>
      </c>
      <c r="D2550" s="524" t="s">
        <v>1186</v>
      </c>
      <c r="E2550" s="524" t="s">
        <v>2718</v>
      </c>
      <c r="F2550" s="524" t="s">
        <v>1183</v>
      </c>
      <c r="G2550" s="524" t="s">
        <v>800</v>
      </c>
      <c r="H2550" s="527">
        <v>600</v>
      </c>
      <c r="I2550" s="524" t="s">
        <v>1174</v>
      </c>
      <c r="J2550" s="524">
        <f>IF(cmf[[#This Row],[D/C]]="C",cmf[[#This Row],[Valor]],-1*cmf[[#This Row],[Valor]])</f>
        <v>-600</v>
      </c>
      <c r="L2550" s="524" t="s">
        <v>1188</v>
      </c>
      <c r="M2550" s="524" t="s">
        <v>1189</v>
      </c>
      <c r="N2550" s="524" t="s">
        <v>1171</v>
      </c>
      <c r="O2550" s="524" t="s">
        <v>1172</v>
      </c>
      <c r="P2550" s="526">
        <v>46233</v>
      </c>
      <c r="S2550" s="527">
        <v>0</v>
      </c>
    </row>
    <row r="2551" spans="1:19" x14ac:dyDescent="0.2">
      <c r="A2551" s="524">
        <v>71437</v>
      </c>
      <c r="B2551" s="526">
        <v>46233</v>
      </c>
      <c r="C2551" s="524" t="s">
        <v>1148</v>
      </c>
      <c r="D2551" s="524" t="s">
        <v>1186</v>
      </c>
      <c r="E2551" s="524" t="s">
        <v>2719</v>
      </c>
      <c r="F2551" s="524" t="s">
        <v>1183</v>
      </c>
      <c r="G2551" s="524" t="s">
        <v>800</v>
      </c>
      <c r="H2551" s="527">
        <v>50000</v>
      </c>
      <c r="I2551" s="524" t="s">
        <v>1174</v>
      </c>
      <c r="J2551" s="524">
        <f>IF(cmf[[#This Row],[D/C]]="C",cmf[[#This Row],[Valor]],-1*cmf[[#This Row],[Valor]])</f>
        <v>-50000</v>
      </c>
      <c r="L2551" s="524" t="s">
        <v>1188</v>
      </c>
      <c r="M2551" s="524" t="s">
        <v>1189</v>
      </c>
      <c r="N2551" s="524" t="s">
        <v>1171</v>
      </c>
      <c r="O2551" s="524" t="s">
        <v>1172</v>
      </c>
      <c r="P2551" s="526">
        <v>46233</v>
      </c>
      <c r="S2551" s="527">
        <v>0</v>
      </c>
    </row>
    <row r="2552" spans="1:19" x14ac:dyDescent="0.2">
      <c r="A2552" s="524">
        <v>71438</v>
      </c>
      <c r="B2552" s="526">
        <v>46233</v>
      </c>
      <c r="C2552" s="524" t="s">
        <v>1148</v>
      </c>
      <c r="D2552" s="524" t="s">
        <v>1186</v>
      </c>
      <c r="E2552" s="524" t="s">
        <v>2720</v>
      </c>
      <c r="F2552" s="524" t="s">
        <v>1183</v>
      </c>
      <c r="G2552" s="524" t="s">
        <v>800</v>
      </c>
      <c r="H2552" s="527">
        <v>14889.71</v>
      </c>
      <c r="I2552" s="524" t="s">
        <v>1174</v>
      </c>
      <c r="J2552" s="524">
        <f>IF(cmf[[#This Row],[D/C]]="C",cmf[[#This Row],[Valor]],-1*cmf[[#This Row],[Valor]])</f>
        <v>-14889.71</v>
      </c>
      <c r="L2552" s="524" t="s">
        <v>1188</v>
      </c>
      <c r="M2552" s="524" t="s">
        <v>1189</v>
      </c>
      <c r="N2552" s="524" t="s">
        <v>1171</v>
      </c>
      <c r="O2552" s="524" t="s">
        <v>1172</v>
      </c>
      <c r="P2552" s="526">
        <v>46233</v>
      </c>
      <c r="S2552" s="527">
        <v>0</v>
      </c>
    </row>
    <row r="2553" spans="1:19" x14ac:dyDescent="0.2">
      <c r="A2553" s="524">
        <v>71439</v>
      </c>
      <c r="B2553" s="526">
        <v>46233</v>
      </c>
      <c r="C2553" s="524" t="s">
        <v>1148</v>
      </c>
      <c r="D2553" s="524" t="s">
        <v>1186</v>
      </c>
      <c r="E2553" s="524" t="s">
        <v>2721</v>
      </c>
      <c r="F2553" s="524" t="s">
        <v>1183</v>
      </c>
      <c r="G2553" s="524" t="s">
        <v>800</v>
      </c>
      <c r="H2553" s="527">
        <v>18600.64</v>
      </c>
      <c r="I2553" s="524" t="s">
        <v>1174</v>
      </c>
      <c r="J2553" s="524">
        <f>IF(cmf[[#This Row],[D/C]]="C",cmf[[#This Row],[Valor]],-1*cmf[[#This Row],[Valor]])</f>
        <v>-18600.64</v>
      </c>
      <c r="L2553" s="524" t="s">
        <v>1188</v>
      </c>
      <c r="M2553" s="524" t="s">
        <v>1189</v>
      </c>
      <c r="N2553" s="524" t="s">
        <v>1171</v>
      </c>
      <c r="O2553" s="524" t="s">
        <v>1172</v>
      </c>
      <c r="P2553" s="526">
        <v>46233</v>
      </c>
      <c r="S2553" s="527">
        <v>0</v>
      </c>
    </row>
    <row r="2554" spans="1:19" x14ac:dyDescent="0.2">
      <c r="A2554" s="524">
        <v>71440</v>
      </c>
      <c r="B2554" s="526">
        <v>46233</v>
      </c>
      <c r="C2554" s="524" t="s">
        <v>1148</v>
      </c>
      <c r="D2554" s="524" t="s">
        <v>1186</v>
      </c>
      <c r="E2554" s="524" t="s">
        <v>2722</v>
      </c>
      <c r="F2554" s="524" t="s">
        <v>1183</v>
      </c>
      <c r="G2554" s="524" t="s">
        <v>800</v>
      </c>
      <c r="H2554" s="527">
        <v>9599.4</v>
      </c>
      <c r="I2554" s="524" t="s">
        <v>1174</v>
      </c>
      <c r="J2554" s="524">
        <f>IF(cmf[[#This Row],[D/C]]="C",cmf[[#This Row],[Valor]],-1*cmf[[#This Row],[Valor]])</f>
        <v>-9599.4</v>
      </c>
      <c r="L2554" s="524" t="s">
        <v>1188</v>
      </c>
      <c r="M2554" s="524" t="s">
        <v>1189</v>
      </c>
      <c r="N2554" s="524" t="s">
        <v>1171</v>
      </c>
      <c r="O2554" s="524" t="s">
        <v>1172</v>
      </c>
      <c r="P2554" s="526">
        <v>46233</v>
      </c>
      <c r="S2554" s="527">
        <v>0</v>
      </c>
    </row>
    <row r="2555" spans="1:19" x14ac:dyDescent="0.2">
      <c r="A2555" s="524">
        <v>71441</v>
      </c>
      <c r="B2555" s="526">
        <v>46233</v>
      </c>
      <c r="C2555" s="524" t="s">
        <v>1148</v>
      </c>
      <c r="D2555" s="524" t="s">
        <v>1186</v>
      </c>
      <c r="E2555" s="524" t="s">
        <v>2723</v>
      </c>
      <c r="F2555" s="524" t="s">
        <v>1183</v>
      </c>
      <c r="G2555" s="524" t="s">
        <v>800</v>
      </c>
      <c r="H2555" s="527">
        <v>2954.92</v>
      </c>
      <c r="I2555" s="524" t="s">
        <v>1174</v>
      </c>
      <c r="J2555" s="524">
        <f>IF(cmf[[#This Row],[D/C]]="C",cmf[[#This Row],[Valor]],-1*cmf[[#This Row],[Valor]])</f>
        <v>-2954.92</v>
      </c>
      <c r="L2555" s="524" t="s">
        <v>1188</v>
      </c>
      <c r="M2555" s="524" t="s">
        <v>1189</v>
      </c>
      <c r="N2555" s="524" t="s">
        <v>1171</v>
      </c>
      <c r="O2555" s="524" t="s">
        <v>1172</v>
      </c>
      <c r="P2555" s="526">
        <v>46233</v>
      </c>
      <c r="S2555" s="527">
        <v>0</v>
      </c>
    </row>
    <row r="2556" spans="1:19" x14ac:dyDescent="0.2">
      <c r="A2556" s="524">
        <v>71442</v>
      </c>
      <c r="B2556" s="526">
        <v>46233</v>
      </c>
      <c r="C2556" s="524" t="s">
        <v>1148</v>
      </c>
      <c r="D2556" s="524" t="s">
        <v>1186</v>
      </c>
      <c r="E2556" s="524" t="s">
        <v>2724</v>
      </c>
      <c r="F2556" s="524" t="s">
        <v>1183</v>
      </c>
      <c r="G2556" s="524" t="s">
        <v>800</v>
      </c>
      <c r="H2556" s="527">
        <v>303</v>
      </c>
      <c r="I2556" s="524" t="s">
        <v>1174</v>
      </c>
      <c r="J2556" s="524">
        <f>IF(cmf[[#This Row],[D/C]]="C",cmf[[#This Row],[Valor]],-1*cmf[[#This Row],[Valor]])</f>
        <v>-303</v>
      </c>
      <c r="L2556" s="524" t="s">
        <v>1188</v>
      </c>
      <c r="M2556" s="524" t="s">
        <v>1189</v>
      </c>
      <c r="N2556" s="524" t="s">
        <v>1171</v>
      </c>
      <c r="O2556" s="524" t="s">
        <v>1172</v>
      </c>
      <c r="P2556" s="526">
        <v>46233</v>
      </c>
      <c r="S2556" s="527">
        <v>0</v>
      </c>
    </row>
    <row r="2557" spans="1:19" x14ac:dyDescent="0.2">
      <c r="A2557" s="524">
        <v>71443</v>
      </c>
      <c r="B2557" s="526">
        <v>46233</v>
      </c>
      <c r="C2557" s="524" t="s">
        <v>1148</v>
      </c>
      <c r="D2557" s="524" t="s">
        <v>1186</v>
      </c>
      <c r="E2557" s="524" t="s">
        <v>2725</v>
      </c>
      <c r="F2557" s="524" t="s">
        <v>1183</v>
      </c>
      <c r="G2557" s="524" t="s">
        <v>800</v>
      </c>
      <c r="H2557" s="527">
        <v>2360</v>
      </c>
      <c r="I2557" s="524" t="s">
        <v>1174</v>
      </c>
      <c r="J2557" s="524">
        <f>IF(cmf[[#This Row],[D/C]]="C",cmf[[#This Row],[Valor]],-1*cmf[[#This Row],[Valor]])</f>
        <v>-2360</v>
      </c>
      <c r="L2557" s="524" t="s">
        <v>1188</v>
      </c>
      <c r="M2557" s="524" t="s">
        <v>1189</v>
      </c>
      <c r="N2557" s="524" t="s">
        <v>1171</v>
      </c>
      <c r="O2557" s="524" t="s">
        <v>1172</v>
      </c>
      <c r="P2557" s="526">
        <v>46233</v>
      </c>
      <c r="S2557" s="527">
        <v>0</v>
      </c>
    </row>
    <row r="2558" spans="1:19" x14ac:dyDescent="0.2">
      <c r="A2558" s="524">
        <v>71449</v>
      </c>
      <c r="B2558" s="526">
        <v>46233</v>
      </c>
      <c r="C2558" s="524" t="s">
        <v>1148</v>
      </c>
      <c r="D2558" s="524" t="s">
        <v>1186</v>
      </c>
      <c r="E2558" s="524" t="s">
        <v>2726</v>
      </c>
      <c r="F2558" s="524" t="s">
        <v>1183</v>
      </c>
      <c r="G2558" s="524" t="s">
        <v>803</v>
      </c>
      <c r="H2558" s="527">
        <v>244.54</v>
      </c>
      <c r="I2558" s="524" t="s">
        <v>1174</v>
      </c>
      <c r="J2558" s="524">
        <f>IF(cmf[[#This Row],[D/C]]="C",cmf[[#This Row],[Valor]],-1*cmf[[#This Row],[Valor]])</f>
        <v>-244.54</v>
      </c>
      <c r="L2558" s="524" t="s">
        <v>1188</v>
      </c>
      <c r="M2558" s="524" t="s">
        <v>1189</v>
      </c>
      <c r="N2558" s="524" t="s">
        <v>1192</v>
      </c>
      <c r="O2558" s="524" t="s">
        <v>1193</v>
      </c>
      <c r="P2558" s="526">
        <v>46233</v>
      </c>
      <c r="S2558" s="527">
        <v>0</v>
      </c>
    </row>
    <row r="2559" spans="1:19" x14ac:dyDescent="0.2">
      <c r="A2559" s="524">
        <v>71450</v>
      </c>
      <c r="B2559" s="526">
        <v>46233</v>
      </c>
      <c r="C2559" s="524" t="s">
        <v>1148</v>
      </c>
      <c r="D2559" s="524" t="s">
        <v>1186</v>
      </c>
      <c r="E2559" s="524" t="s">
        <v>2727</v>
      </c>
      <c r="F2559" s="524" t="s">
        <v>1183</v>
      </c>
      <c r="G2559" s="524" t="s">
        <v>803</v>
      </c>
      <c r="H2559" s="527">
        <v>5181.53</v>
      </c>
      <c r="I2559" s="524" t="s">
        <v>1174</v>
      </c>
      <c r="J2559" s="524">
        <f>IF(cmf[[#This Row],[D/C]]="C",cmf[[#This Row],[Valor]],-1*cmf[[#This Row],[Valor]])</f>
        <v>-5181.53</v>
      </c>
      <c r="L2559" s="524" t="s">
        <v>1188</v>
      </c>
      <c r="M2559" s="524" t="s">
        <v>1189</v>
      </c>
      <c r="N2559" s="524" t="s">
        <v>1192</v>
      </c>
      <c r="O2559" s="524" t="s">
        <v>1193</v>
      </c>
      <c r="P2559" s="526">
        <v>46233</v>
      </c>
      <c r="S2559" s="527">
        <v>0</v>
      </c>
    </row>
    <row r="2560" spans="1:19" x14ac:dyDescent="0.2">
      <c r="A2560" s="524">
        <v>71451</v>
      </c>
      <c r="B2560" s="526">
        <v>46233</v>
      </c>
      <c r="C2560" s="524" t="s">
        <v>1148</v>
      </c>
      <c r="D2560" s="524" t="s">
        <v>1186</v>
      </c>
      <c r="E2560" s="524" t="s">
        <v>2728</v>
      </c>
      <c r="F2560" s="524" t="s">
        <v>1183</v>
      </c>
      <c r="G2560" s="524" t="s">
        <v>803</v>
      </c>
      <c r="H2560" s="527">
        <v>3888</v>
      </c>
      <c r="I2560" s="524" t="s">
        <v>1174</v>
      </c>
      <c r="J2560" s="524">
        <f>IF(cmf[[#This Row],[D/C]]="C",cmf[[#This Row],[Valor]],-1*cmf[[#This Row],[Valor]])</f>
        <v>-3888</v>
      </c>
      <c r="L2560" s="524" t="s">
        <v>1188</v>
      </c>
      <c r="M2560" s="524" t="s">
        <v>1189</v>
      </c>
      <c r="N2560" s="524" t="s">
        <v>1192</v>
      </c>
      <c r="O2560" s="524" t="s">
        <v>1193</v>
      </c>
      <c r="P2560" s="526">
        <v>46233</v>
      </c>
      <c r="S2560" s="527">
        <v>0</v>
      </c>
    </row>
    <row r="2561" spans="1:19" x14ac:dyDescent="0.2">
      <c r="A2561" s="524">
        <v>71452</v>
      </c>
      <c r="B2561" s="526">
        <v>46233</v>
      </c>
      <c r="C2561" s="524" t="s">
        <v>1148</v>
      </c>
      <c r="D2561" s="524" t="s">
        <v>1186</v>
      </c>
      <c r="E2561" s="524" t="s">
        <v>2729</v>
      </c>
      <c r="F2561" s="524" t="s">
        <v>1183</v>
      </c>
      <c r="G2561" s="524" t="s">
        <v>803</v>
      </c>
      <c r="H2561" s="527">
        <v>3888</v>
      </c>
      <c r="I2561" s="524" t="s">
        <v>1174</v>
      </c>
      <c r="J2561" s="524">
        <f>IF(cmf[[#This Row],[D/C]]="C",cmf[[#This Row],[Valor]],-1*cmf[[#This Row],[Valor]])</f>
        <v>-3888</v>
      </c>
      <c r="L2561" s="524" t="s">
        <v>1188</v>
      </c>
      <c r="M2561" s="524" t="s">
        <v>1189</v>
      </c>
      <c r="N2561" s="524" t="s">
        <v>1192</v>
      </c>
      <c r="O2561" s="524" t="s">
        <v>1193</v>
      </c>
      <c r="P2561" s="526">
        <v>46233</v>
      </c>
      <c r="S2561" s="527">
        <v>0</v>
      </c>
    </row>
    <row r="2562" spans="1:19" x14ac:dyDescent="0.2">
      <c r="A2562" s="524">
        <v>71454</v>
      </c>
      <c r="B2562" s="526">
        <v>46233</v>
      </c>
      <c r="C2562" s="524" t="s">
        <v>1148</v>
      </c>
      <c r="D2562" s="524" t="s">
        <v>1186</v>
      </c>
      <c r="E2562" s="524" t="s">
        <v>2730</v>
      </c>
      <c r="F2562" s="524" t="s">
        <v>1183</v>
      </c>
      <c r="G2562" s="524" t="s">
        <v>803</v>
      </c>
      <c r="H2562" s="527">
        <v>540</v>
      </c>
      <c r="I2562" s="524" t="s">
        <v>1174</v>
      </c>
      <c r="J2562" s="524">
        <f>IF(cmf[[#This Row],[D/C]]="C",cmf[[#This Row],[Valor]],-1*cmf[[#This Row],[Valor]])</f>
        <v>-540</v>
      </c>
      <c r="L2562" s="524" t="s">
        <v>1188</v>
      </c>
      <c r="M2562" s="524" t="s">
        <v>1189</v>
      </c>
      <c r="N2562" s="524" t="s">
        <v>1192</v>
      </c>
      <c r="O2562" s="524" t="s">
        <v>1193</v>
      </c>
      <c r="P2562" s="526">
        <v>46233</v>
      </c>
      <c r="S2562" s="527">
        <v>0</v>
      </c>
    </row>
    <row r="2563" spans="1:19" x14ac:dyDescent="0.2">
      <c r="A2563" s="524">
        <v>71455</v>
      </c>
      <c r="B2563" s="526">
        <v>46233</v>
      </c>
      <c r="C2563" s="524" t="s">
        <v>1148</v>
      </c>
      <c r="D2563" s="524" t="s">
        <v>1186</v>
      </c>
      <c r="E2563" s="524" t="s">
        <v>2731</v>
      </c>
      <c r="F2563" s="524" t="s">
        <v>1183</v>
      </c>
      <c r="G2563" s="524" t="s">
        <v>803</v>
      </c>
      <c r="H2563" s="527">
        <v>6435</v>
      </c>
      <c r="I2563" s="524" t="s">
        <v>1174</v>
      </c>
      <c r="J2563" s="524">
        <f>IF(cmf[[#This Row],[D/C]]="C",cmf[[#This Row],[Valor]],-1*cmf[[#This Row],[Valor]])</f>
        <v>-6435</v>
      </c>
      <c r="L2563" s="524" t="s">
        <v>1188</v>
      </c>
      <c r="M2563" s="524" t="s">
        <v>1189</v>
      </c>
      <c r="N2563" s="524" t="s">
        <v>1192</v>
      </c>
      <c r="O2563" s="524" t="s">
        <v>1193</v>
      </c>
      <c r="P2563" s="526">
        <v>46233</v>
      </c>
      <c r="S2563" s="527">
        <v>0</v>
      </c>
    </row>
    <row r="2564" spans="1:19" x14ac:dyDescent="0.2">
      <c r="A2564" s="524">
        <v>71456</v>
      </c>
      <c r="B2564" s="526">
        <v>46233</v>
      </c>
      <c r="C2564" s="524" t="s">
        <v>1148</v>
      </c>
      <c r="D2564" s="524" t="s">
        <v>1186</v>
      </c>
      <c r="E2564" s="524" t="s">
        <v>2732</v>
      </c>
      <c r="F2564" s="524" t="s">
        <v>1183</v>
      </c>
      <c r="G2564" s="524" t="s">
        <v>803</v>
      </c>
      <c r="H2564" s="527">
        <v>14125</v>
      </c>
      <c r="I2564" s="524" t="s">
        <v>1174</v>
      </c>
      <c r="J2564" s="524">
        <f>IF(cmf[[#This Row],[D/C]]="C",cmf[[#This Row],[Valor]],-1*cmf[[#This Row],[Valor]])</f>
        <v>-14125</v>
      </c>
      <c r="L2564" s="524" t="s">
        <v>1188</v>
      </c>
      <c r="M2564" s="524" t="s">
        <v>1189</v>
      </c>
      <c r="N2564" s="524" t="s">
        <v>1192</v>
      </c>
      <c r="O2564" s="524" t="s">
        <v>1193</v>
      </c>
      <c r="P2564" s="526">
        <v>46233</v>
      </c>
      <c r="S2564" s="527">
        <v>0</v>
      </c>
    </row>
    <row r="2565" spans="1:19" x14ac:dyDescent="0.2">
      <c r="A2565" s="524">
        <v>71457</v>
      </c>
      <c r="B2565" s="526">
        <v>46233</v>
      </c>
      <c r="C2565" s="524" t="s">
        <v>1148</v>
      </c>
      <c r="D2565" s="524" t="s">
        <v>1186</v>
      </c>
      <c r="E2565" s="524" t="s">
        <v>2733</v>
      </c>
      <c r="F2565" s="524" t="s">
        <v>1183</v>
      </c>
      <c r="G2565" s="524" t="s">
        <v>803</v>
      </c>
      <c r="H2565" s="527">
        <v>99250</v>
      </c>
      <c r="I2565" s="524" t="s">
        <v>1174</v>
      </c>
      <c r="J2565" s="524">
        <f>IF(cmf[[#This Row],[D/C]]="C",cmf[[#This Row],[Valor]],-1*cmf[[#This Row],[Valor]])</f>
        <v>-99250</v>
      </c>
      <c r="L2565" s="524" t="s">
        <v>1188</v>
      </c>
      <c r="M2565" s="524" t="s">
        <v>1189</v>
      </c>
      <c r="N2565" s="524" t="s">
        <v>1192</v>
      </c>
      <c r="O2565" s="524" t="s">
        <v>1193</v>
      </c>
      <c r="P2565" s="526">
        <v>46233</v>
      </c>
      <c r="S2565" s="527">
        <v>0</v>
      </c>
    </row>
    <row r="2566" spans="1:19" x14ac:dyDescent="0.2">
      <c r="A2566" s="524">
        <v>71458</v>
      </c>
      <c r="B2566" s="526">
        <v>46233</v>
      </c>
      <c r="C2566" s="524" t="s">
        <v>1148</v>
      </c>
      <c r="D2566" s="524" t="s">
        <v>1186</v>
      </c>
      <c r="E2566" s="524" t="s">
        <v>2734</v>
      </c>
      <c r="F2566" s="524" t="s">
        <v>1183</v>
      </c>
      <c r="G2566" s="524" t="s">
        <v>803</v>
      </c>
      <c r="H2566" s="527">
        <v>9522.58</v>
      </c>
      <c r="I2566" s="524" t="s">
        <v>1174</v>
      </c>
      <c r="J2566" s="524">
        <f>IF(cmf[[#This Row],[D/C]]="C",cmf[[#This Row],[Valor]],-1*cmf[[#This Row],[Valor]])</f>
        <v>-9522.58</v>
      </c>
      <c r="L2566" s="524" t="s">
        <v>1188</v>
      </c>
      <c r="M2566" s="524" t="s">
        <v>1189</v>
      </c>
      <c r="N2566" s="524" t="s">
        <v>1192</v>
      </c>
      <c r="O2566" s="524" t="s">
        <v>1193</v>
      </c>
      <c r="P2566" s="526">
        <v>46233</v>
      </c>
      <c r="S2566" s="527">
        <v>0</v>
      </c>
    </row>
    <row r="2567" spans="1:19" x14ac:dyDescent="0.2">
      <c r="A2567" s="524">
        <v>71459</v>
      </c>
      <c r="B2567" s="526">
        <v>46233</v>
      </c>
      <c r="C2567" s="524" t="s">
        <v>1148</v>
      </c>
      <c r="D2567" s="524" t="s">
        <v>1186</v>
      </c>
      <c r="E2567" s="524" t="s">
        <v>2735</v>
      </c>
      <c r="F2567" s="524" t="s">
        <v>1183</v>
      </c>
      <c r="G2567" s="524" t="s">
        <v>803</v>
      </c>
      <c r="H2567" s="527">
        <v>3718.23</v>
      </c>
      <c r="I2567" s="524" t="s">
        <v>1174</v>
      </c>
      <c r="J2567" s="524">
        <f>IF(cmf[[#This Row],[D/C]]="C",cmf[[#This Row],[Valor]],-1*cmf[[#This Row],[Valor]])</f>
        <v>-3718.23</v>
      </c>
      <c r="L2567" s="524" t="s">
        <v>1188</v>
      </c>
      <c r="M2567" s="524" t="s">
        <v>1189</v>
      </c>
      <c r="N2567" s="524" t="s">
        <v>1192</v>
      </c>
      <c r="O2567" s="524" t="s">
        <v>1193</v>
      </c>
      <c r="P2567" s="526">
        <v>46233</v>
      </c>
      <c r="S2567" s="527">
        <v>0</v>
      </c>
    </row>
    <row r="2568" spans="1:19" x14ac:dyDescent="0.2">
      <c r="A2568" s="524">
        <v>71460</v>
      </c>
      <c r="B2568" s="526">
        <v>46233</v>
      </c>
      <c r="C2568" s="524" t="s">
        <v>1148</v>
      </c>
      <c r="D2568" s="524" t="s">
        <v>1186</v>
      </c>
      <c r="E2568" s="524" t="s">
        <v>2736</v>
      </c>
      <c r="F2568" s="524" t="s">
        <v>1183</v>
      </c>
      <c r="G2568" s="524" t="s">
        <v>803</v>
      </c>
      <c r="H2568" s="527">
        <v>4127.3999999999996</v>
      </c>
      <c r="I2568" s="524" t="s">
        <v>1174</v>
      </c>
      <c r="J2568" s="524">
        <f>IF(cmf[[#This Row],[D/C]]="C",cmf[[#This Row],[Valor]],-1*cmf[[#This Row],[Valor]])</f>
        <v>-4127.3999999999996</v>
      </c>
      <c r="L2568" s="524" t="s">
        <v>1188</v>
      </c>
      <c r="M2568" s="524" t="s">
        <v>1189</v>
      </c>
      <c r="N2568" s="524" t="s">
        <v>1192</v>
      </c>
      <c r="O2568" s="524" t="s">
        <v>1193</v>
      </c>
      <c r="P2568" s="526">
        <v>46233</v>
      </c>
      <c r="S2568" s="527">
        <v>0</v>
      </c>
    </row>
    <row r="2569" spans="1:19" x14ac:dyDescent="0.2">
      <c r="A2569" s="524">
        <v>71461</v>
      </c>
      <c r="B2569" s="526">
        <v>46233</v>
      </c>
      <c r="C2569" s="524" t="s">
        <v>1148</v>
      </c>
      <c r="D2569" s="524" t="s">
        <v>1186</v>
      </c>
      <c r="E2569" s="524" t="s">
        <v>2737</v>
      </c>
      <c r="F2569" s="524" t="s">
        <v>1183</v>
      </c>
      <c r="G2569" s="524" t="s">
        <v>803</v>
      </c>
      <c r="H2569" s="527">
        <v>218</v>
      </c>
      <c r="I2569" s="524" t="s">
        <v>1174</v>
      </c>
      <c r="J2569" s="524">
        <f>IF(cmf[[#This Row],[D/C]]="C",cmf[[#This Row],[Valor]],-1*cmf[[#This Row],[Valor]])</f>
        <v>-218</v>
      </c>
      <c r="L2569" s="524" t="s">
        <v>1188</v>
      </c>
      <c r="M2569" s="524" t="s">
        <v>1189</v>
      </c>
      <c r="N2569" s="524" t="s">
        <v>1192</v>
      </c>
      <c r="O2569" s="524" t="s">
        <v>1193</v>
      </c>
      <c r="P2569" s="526">
        <v>46233</v>
      </c>
      <c r="S2569" s="527">
        <v>0</v>
      </c>
    </row>
    <row r="2570" spans="1:19" x14ac:dyDescent="0.2">
      <c r="A2570" s="524">
        <v>71462</v>
      </c>
      <c r="B2570" s="526">
        <v>46233</v>
      </c>
      <c r="C2570" s="524" t="s">
        <v>1148</v>
      </c>
      <c r="D2570" s="524" t="s">
        <v>1186</v>
      </c>
      <c r="E2570" s="524" t="s">
        <v>2738</v>
      </c>
      <c r="F2570" s="524" t="s">
        <v>1183</v>
      </c>
      <c r="G2570" s="524" t="s">
        <v>803</v>
      </c>
      <c r="H2570" s="527">
        <v>4304</v>
      </c>
      <c r="I2570" s="524" t="s">
        <v>1174</v>
      </c>
      <c r="J2570" s="524">
        <f>IF(cmf[[#This Row],[D/C]]="C",cmf[[#This Row],[Valor]],-1*cmf[[#This Row],[Valor]])</f>
        <v>-4304</v>
      </c>
      <c r="L2570" s="524" t="s">
        <v>1188</v>
      </c>
      <c r="M2570" s="524" t="s">
        <v>1189</v>
      </c>
      <c r="N2570" s="524" t="s">
        <v>1192</v>
      </c>
      <c r="O2570" s="524" t="s">
        <v>1193</v>
      </c>
      <c r="P2570" s="526">
        <v>46233</v>
      </c>
      <c r="S2570" s="527">
        <v>0</v>
      </c>
    </row>
    <row r="2571" spans="1:19" x14ac:dyDescent="0.2">
      <c r="A2571" s="524">
        <v>71463</v>
      </c>
      <c r="B2571" s="526">
        <v>46233</v>
      </c>
      <c r="C2571" s="524" t="s">
        <v>1148</v>
      </c>
      <c r="D2571" s="524" t="s">
        <v>1186</v>
      </c>
      <c r="E2571" s="524" t="s">
        <v>2739</v>
      </c>
      <c r="F2571" s="524" t="s">
        <v>1183</v>
      </c>
      <c r="G2571" s="524" t="s">
        <v>803</v>
      </c>
      <c r="H2571" s="527">
        <v>53068.58</v>
      </c>
      <c r="I2571" s="524" t="s">
        <v>1174</v>
      </c>
      <c r="J2571" s="524">
        <f>IF(cmf[[#This Row],[D/C]]="C",cmf[[#This Row],[Valor]],-1*cmf[[#This Row],[Valor]])</f>
        <v>-53068.58</v>
      </c>
      <c r="L2571" s="524" t="s">
        <v>1188</v>
      </c>
      <c r="M2571" s="524" t="s">
        <v>1189</v>
      </c>
      <c r="N2571" s="524" t="s">
        <v>1192</v>
      </c>
      <c r="O2571" s="524" t="s">
        <v>1193</v>
      </c>
      <c r="P2571" s="526">
        <v>46233</v>
      </c>
      <c r="S2571" s="527">
        <v>0</v>
      </c>
    </row>
    <row r="2572" spans="1:19" x14ac:dyDescent="0.2">
      <c r="A2572" s="524">
        <v>71464</v>
      </c>
      <c r="B2572" s="526">
        <v>46233</v>
      </c>
      <c r="C2572" s="524" t="s">
        <v>1148</v>
      </c>
      <c r="D2572" s="524" t="s">
        <v>1186</v>
      </c>
      <c r="E2572" s="524" t="s">
        <v>2740</v>
      </c>
      <c r="F2572" s="524" t="s">
        <v>1183</v>
      </c>
      <c r="G2572" s="524" t="s">
        <v>803</v>
      </c>
      <c r="H2572" s="527">
        <v>5424.8</v>
      </c>
      <c r="I2572" s="524" t="s">
        <v>1174</v>
      </c>
      <c r="J2572" s="524">
        <f>IF(cmf[[#This Row],[D/C]]="C",cmf[[#This Row],[Valor]],-1*cmf[[#This Row],[Valor]])</f>
        <v>-5424.8</v>
      </c>
      <c r="L2572" s="524" t="s">
        <v>1188</v>
      </c>
      <c r="M2572" s="524" t="s">
        <v>1189</v>
      </c>
      <c r="N2572" s="524" t="s">
        <v>1192</v>
      </c>
      <c r="O2572" s="524" t="s">
        <v>1193</v>
      </c>
      <c r="P2572" s="526">
        <v>46233</v>
      </c>
      <c r="S2572" s="527">
        <v>0</v>
      </c>
    </row>
    <row r="2573" spans="1:19" x14ac:dyDescent="0.2">
      <c r="A2573" s="524">
        <v>71465</v>
      </c>
      <c r="B2573" s="526">
        <v>46233</v>
      </c>
      <c r="C2573" s="524" t="s">
        <v>1148</v>
      </c>
      <c r="D2573" s="524" t="s">
        <v>1186</v>
      </c>
      <c r="E2573" s="524" t="s">
        <v>2741</v>
      </c>
      <c r="F2573" s="524" t="s">
        <v>1183</v>
      </c>
      <c r="G2573" s="524" t="s">
        <v>766</v>
      </c>
      <c r="H2573" s="527">
        <v>9860</v>
      </c>
      <c r="I2573" s="524" t="s">
        <v>1174</v>
      </c>
      <c r="J2573" s="524">
        <f>IF(cmf[[#This Row],[D/C]]="C",cmf[[#This Row],[Valor]],-1*cmf[[#This Row],[Valor]])</f>
        <v>-9860</v>
      </c>
      <c r="L2573" s="524" t="s">
        <v>1188</v>
      </c>
      <c r="M2573" s="524" t="s">
        <v>1189</v>
      </c>
      <c r="N2573" s="524" t="s">
        <v>1200</v>
      </c>
      <c r="O2573" s="524" t="s">
        <v>1201</v>
      </c>
      <c r="P2573" s="526">
        <v>46233</v>
      </c>
      <c r="S2573" s="527">
        <v>0</v>
      </c>
    </row>
    <row r="2574" spans="1:19" x14ac:dyDescent="0.2">
      <c r="A2574" s="524">
        <v>71466</v>
      </c>
      <c r="B2574" s="526">
        <v>46233</v>
      </c>
      <c r="C2574" s="524" t="s">
        <v>1148</v>
      </c>
      <c r="D2574" s="524" t="s">
        <v>1186</v>
      </c>
      <c r="E2574" s="524" t="s">
        <v>2742</v>
      </c>
      <c r="F2574" s="524" t="s">
        <v>1183</v>
      </c>
      <c r="G2574" s="524" t="s">
        <v>766</v>
      </c>
      <c r="H2574" s="527">
        <v>9900</v>
      </c>
      <c r="I2574" s="524" t="s">
        <v>1174</v>
      </c>
      <c r="J2574" s="524">
        <f>IF(cmf[[#This Row],[D/C]]="C",cmf[[#This Row],[Valor]],-1*cmf[[#This Row],[Valor]])</f>
        <v>-9900</v>
      </c>
      <c r="L2574" s="524" t="s">
        <v>1188</v>
      </c>
      <c r="M2574" s="524" t="s">
        <v>1189</v>
      </c>
      <c r="N2574" s="524" t="s">
        <v>1200</v>
      </c>
      <c r="O2574" s="524" t="s">
        <v>1201</v>
      </c>
      <c r="P2574" s="526">
        <v>46233</v>
      </c>
      <c r="S2574" s="527">
        <v>0</v>
      </c>
    </row>
    <row r="2575" spans="1:19" x14ac:dyDescent="0.2">
      <c r="A2575" s="524">
        <v>71467</v>
      </c>
      <c r="B2575" s="526">
        <v>46233</v>
      </c>
      <c r="C2575" s="524" t="s">
        <v>1148</v>
      </c>
      <c r="D2575" s="524" t="s">
        <v>1186</v>
      </c>
      <c r="E2575" s="524" t="s">
        <v>2743</v>
      </c>
      <c r="F2575" s="524" t="s">
        <v>1183</v>
      </c>
      <c r="G2575" s="524" t="s">
        <v>766</v>
      </c>
      <c r="H2575" s="527">
        <v>514.89</v>
      </c>
      <c r="I2575" s="524" t="s">
        <v>1174</v>
      </c>
      <c r="J2575" s="524">
        <f>IF(cmf[[#This Row],[D/C]]="C",cmf[[#This Row],[Valor]],-1*cmf[[#This Row],[Valor]])</f>
        <v>-514.89</v>
      </c>
      <c r="L2575" s="524" t="s">
        <v>1188</v>
      </c>
      <c r="M2575" s="524" t="s">
        <v>1189</v>
      </c>
      <c r="N2575" s="524" t="s">
        <v>1200</v>
      </c>
      <c r="O2575" s="524" t="s">
        <v>1201</v>
      </c>
      <c r="P2575" s="526">
        <v>46233</v>
      </c>
      <c r="S2575" s="527">
        <v>0</v>
      </c>
    </row>
    <row r="2576" spans="1:19" x14ac:dyDescent="0.2">
      <c r="A2576" s="524">
        <v>71468</v>
      </c>
      <c r="B2576" s="526">
        <v>46233</v>
      </c>
      <c r="C2576" s="524" t="s">
        <v>1148</v>
      </c>
      <c r="D2576" s="524" t="s">
        <v>1186</v>
      </c>
      <c r="E2576" s="524" t="s">
        <v>2744</v>
      </c>
      <c r="F2576" s="524" t="s">
        <v>1183</v>
      </c>
      <c r="G2576" s="524" t="s">
        <v>766</v>
      </c>
      <c r="H2576" s="527">
        <v>200</v>
      </c>
      <c r="I2576" s="524" t="s">
        <v>1174</v>
      </c>
      <c r="J2576" s="524">
        <f>IF(cmf[[#This Row],[D/C]]="C",cmf[[#This Row],[Valor]],-1*cmf[[#This Row],[Valor]])</f>
        <v>-200</v>
      </c>
      <c r="L2576" s="524" t="s">
        <v>1188</v>
      </c>
      <c r="M2576" s="524" t="s">
        <v>1189</v>
      </c>
      <c r="N2576" s="524" t="s">
        <v>1200</v>
      </c>
      <c r="O2576" s="524" t="s">
        <v>1201</v>
      </c>
      <c r="P2576" s="526">
        <v>46233</v>
      </c>
      <c r="S2576" s="527">
        <v>0</v>
      </c>
    </row>
    <row r="2577" spans="1:19" x14ac:dyDescent="0.2">
      <c r="A2577" s="524">
        <v>71469</v>
      </c>
      <c r="B2577" s="526">
        <v>46233</v>
      </c>
      <c r="C2577" s="524" t="s">
        <v>1148</v>
      </c>
      <c r="D2577" s="524" t="s">
        <v>1186</v>
      </c>
      <c r="E2577" s="524" t="s">
        <v>2745</v>
      </c>
      <c r="F2577" s="524" t="s">
        <v>1183</v>
      </c>
      <c r="G2577" s="524" t="s">
        <v>766</v>
      </c>
      <c r="H2577" s="527">
        <v>10290</v>
      </c>
      <c r="I2577" s="524" t="s">
        <v>1174</v>
      </c>
      <c r="J2577" s="524">
        <f>IF(cmf[[#This Row],[D/C]]="C",cmf[[#This Row],[Valor]],-1*cmf[[#This Row],[Valor]])</f>
        <v>-10290</v>
      </c>
      <c r="L2577" s="524" t="s">
        <v>1188</v>
      </c>
      <c r="M2577" s="524" t="s">
        <v>1189</v>
      </c>
      <c r="N2577" s="524" t="s">
        <v>1200</v>
      </c>
      <c r="O2577" s="524" t="s">
        <v>1201</v>
      </c>
      <c r="P2577" s="526">
        <v>46233</v>
      </c>
      <c r="S2577" s="527">
        <v>0</v>
      </c>
    </row>
    <row r="2578" spans="1:19" x14ac:dyDescent="0.2">
      <c r="A2578" s="524">
        <v>71470</v>
      </c>
      <c r="B2578" s="526">
        <v>46233</v>
      </c>
      <c r="C2578" s="524" t="s">
        <v>1148</v>
      </c>
      <c r="D2578" s="524" t="s">
        <v>1186</v>
      </c>
      <c r="E2578" s="524" t="s">
        <v>2746</v>
      </c>
      <c r="F2578" s="524" t="s">
        <v>1183</v>
      </c>
      <c r="G2578" s="524" t="s">
        <v>766</v>
      </c>
      <c r="H2578" s="527">
        <v>5280</v>
      </c>
      <c r="I2578" s="524" t="s">
        <v>1174</v>
      </c>
      <c r="J2578" s="524">
        <f>IF(cmf[[#This Row],[D/C]]="C",cmf[[#This Row],[Valor]],-1*cmf[[#This Row],[Valor]])</f>
        <v>-5280</v>
      </c>
      <c r="L2578" s="524" t="s">
        <v>1188</v>
      </c>
      <c r="M2578" s="524" t="s">
        <v>1189</v>
      </c>
      <c r="N2578" s="524" t="s">
        <v>1200</v>
      </c>
      <c r="O2578" s="524" t="s">
        <v>1201</v>
      </c>
      <c r="P2578" s="526">
        <v>46233</v>
      </c>
      <c r="S2578" s="527">
        <v>0</v>
      </c>
    </row>
    <row r="2579" spans="1:19" x14ac:dyDescent="0.2">
      <c r="A2579" s="524">
        <v>71471</v>
      </c>
      <c r="B2579" s="526">
        <v>46233</v>
      </c>
      <c r="C2579" s="524" t="s">
        <v>1148</v>
      </c>
      <c r="D2579" s="524" t="s">
        <v>1186</v>
      </c>
      <c r="E2579" s="524" t="s">
        <v>2747</v>
      </c>
      <c r="F2579" s="524" t="s">
        <v>1183</v>
      </c>
      <c r="G2579" s="524" t="s">
        <v>766</v>
      </c>
      <c r="H2579" s="527">
        <v>1150</v>
      </c>
      <c r="I2579" s="524" t="s">
        <v>1174</v>
      </c>
      <c r="J2579" s="524">
        <f>IF(cmf[[#This Row],[D/C]]="C",cmf[[#This Row],[Valor]],-1*cmf[[#This Row],[Valor]])</f>
        <v>-1150</v>
      </c>
      <c r="L2579" s="524" t="s">
        <v>1188</v>
      </c>
      <c r="M2579" s="524" t="s">
        <v>1189</v>
      </c>
      <c r="N2579" s="524" t="s">
        <v>1200</v>
      </c>
      <c r="O2579" s="524" t="s">
        <v>1201</v>
      </c>
      <c r="P2579" s="526">
        <v>46233</v>
      </c>
      <c r="S2579" s="527">
        <v>0</v>
      </c>
    </row>
    <row r="2580" spans="1:19" x14ac:dyDescent="0.2">
      <c r="A2580" s="524">
        <v>71472</v>
      </c>
      <c r="B2580" s="526">
        <v>46233</v>
      </c>
      <c r="C2580" s="524" t="s">
        <v>1148</v>
      </c>
      <c r="D2580" s="524" t="s">
        <v>1205</v>
      </c>
      <c r="E2580" s="524" t="s">
        <v>1334</v>
      </c>
      <c r="F2580" s="524" t="s">
        <v>1170</v>
      </c>
      <c r="G2580" s="524" t="s">
        <v>768</v>
      </c>
      <c r="H2580" s="527">
        <v>100000</v>
      </c>
      <c r="I2580" s="524" t="s">
        <v>1174</v>
      </c>
      <c r="J2580" s="524">
        <f>IF(cmf[[#This Row],[D/C]]="C",cmf[[#This Row],[Valor]],-1*cmf[[#This Row],[Valor]])</f>
        <v>-100000</v>
      </c>
      <c r="L2580" s="524" t="s">
        <v>1207</v>
      </c>
      <c r="M2580" s="524" t="s">
        <v>1208</v>
      </c>
      <c r="N2580" s="524" t="s">
        <v>1219</v>
      </c>
      <c r="O2580" s="524" t="s">
        <v>1220</v>
      </c>
      <c r="P2580" s="526">
        <v>46233</v>
      </c>
      <c r="S2580" s="527">
        <v>0</v>
      </c>
    </row>
    <row r="2581" spans="1:19" x14ac:dyDescent="0.2">
      <c r="A2581" s="524">
        <v>71473</v>
      </c>
      <c r="B2581" s="526">
        <v>46233</v>
      </c>
      <c r="C2581" s="524" t="s">
        <v>1148</v>
      </c>
      <c r="D2581" s="524" t="s">
        <v>1205</v>
      </c>
      <c r="E2581" s="524" t="s">
        <v>1282</v>
      </c>
      <c r="F2581" s="524" t="s">
        <v>1183</v>
      </c>
      <c r="G2581" s="524" t="s">
        <v>769</v>
      </c>
      <c r="H2581" s="527">
        <v>100000</v>
      </c>
      <c r="I2581" s="524" t="s">
        <v>1148</v>
      </c>
      <c r="J2581" s="524">
        <f>IF(cmf[[#This Row],[D/C]]="C",cmf[[#This Row],[Valor]],-1*cmf[[#This Row],[Valor]])</f>
        <v>100000</v>
      </c>
      <c r="L2581" s="524" t="s">
        <v>1207</v>
      </c>
      <c r="M2581" s="524" t="s">
        <v>1208</v>
      </c>
      <c r="N2581" s="524" t="s">
        <v>1219</v>
      </c>
      <c r="O2581" s="524" t="s">
        <v>1220</v>
      </c>
      <c r="P2581" s="526">
        <v>46233</v>
      </c>
      <c r="S2581" s="527">
        <v>0</v>
      </c>
    </row>
    <row r="2582" spans="1:19" x14ac:dyDescent="0.2">
      <c r="A2582" s="524">
        <v>71474</v>
      </c>
      <c r="B2582" s="526">
        <v>46233</v>
      </c>
      <c r="C2582" s="524" t="s">
        <v>1148</v>
      </c>
      <c r="D2582" s="524" t="s">
        <v>1205</v>
      </c>
      <c r="E2582" s="524" t="s">
        <v>1537</v>
      </c>
      <c r="F2582" s="524" t="s">
        <v>1170</v>
      </c>
      <c r="G2582" s="524" t="s">
        <v>757</v>
      </c>
      <c r="H2582" s="527">
        <v>150000</v>
      </c>
      <c r="I2582" s="524" t="s">
        <v>1174</v>
      </c>
      <c r="J2582" s="524">
        <f>IF(cmf[[#This Row],[D/C]]="C",cmf[[#This Row],[Valor]],-1*cmf[[#This Row],[Valor]])</f>
        <v>-150000</v>
      </c>
      <c r="L2582" s="524" t="s">
        <v>1207</v>
      </c>
      <c r="M2582" s="524" t="s">
        <v>1208</v>
      </c>
      <c r="N2582" s="524" t="s">
        <v>1223</v>
      </c>
      <c r="O2582" s="524" t="s">
        <v>1224</v>
      </c>
      <c r="P2582" s="526">
        <v>46233</v>
      </c>
      <c r="S2582" s="527">
        <v>0</v>
      </c>
    </row>
    <row r="2583" spans="1:19" x14ac:dyDescent="0.2">
      <c r="A2583" s="524">
        <v>71475</v>
      </c>
      <c r="B2583" s="526">
        <v>46233</v>
      </c>
      <c r="C2583" s="524" t="s">
        <v>1148</v>
      </c>
      <c r="D2583" s="524" t="s">
        <v>1205</v>
      </c>
      <c r="E2583" s="524" t="s">
        <v>1234</v>
      </c>
      <c r="F2583" s="524" t="s">
        <v>1183</v>
      </c>
      <c r="G2583" s="524" t="s">
        <v>758</v>
      </c>
      <c r="H2583" s="527">
        <v>150000</v>
      </c>
      <c r="I2583" s="524" t="s">
        <v>1148</v>
      </c>
      <c r="J2583" s="524">
        <f>IF(cmf[[#This Row],[D/C]]="C",cmf[[#This Row],[Valor]],-1*cmf[[#This Row],[Valor]])</f>
        <v>150000</v>
      </c>
      <c r="L2583" s="524" t="s">
        <v>1207</v>
      </c>
      <c r="M2583" s="524" t="s">
        <v>1208</v>
      </c>
      <c r="N2583" s="524" t="s">
        <v>1223</v>
      </c>
      <c r="O2583" s="524" t="s">
        <v>1224</v>
      </c>
      <c r="P2583" s="526">
        <v>46233</v>
      </c>
      <c r="S2583" s="527">
        <v>0</v>
      </c>
    </row>
    <row r="2584" spans="1:19" x14ac:dyDescent="0.2">
      <c r="A2584" s="524">
        <v>71478</v>
      </c>
      <c r="B2584" s="526">
        <v>46233</v>
      </c>
      <c r="C2584" s="524" t="s">
        <v>1148</v>
      </c>
      <c r="D2584" s="524" t="s">
        <v>1205</v>
      </c>
      <c r="E2584" s="524" t="s">
        <v>1543</v>
      </c>
      <c r="F2584" s="524" t="s">
        <v>1183</v>
      </c>
      <c r="G2584" s="524" t="s">
        <v>742</v>
      </c>
      <c r="H2584" s="527">
        <v>220000</v>
      </c>
      <c r="I2584" s="524" t="s">
        <v>1174</v>
      </c>
      <c r="J2584" s="524">
        <f>IF(cmf[[#This Row],[D/C]]="C",cmf[[#This Row],[Valor]],-1*cmf[[#This Row],[Valor]])</f>
        <v>-220000</v>
      </c>
      <c r="L2584" s="524" t="s">
        <v>1207</v>
      </c>
      <c r="M2584" s="524" t="s">
        <v>1208</v>
      </c>
      <c r="N2584" s="524" t="s">
        <v>1215</v>
      </c>
      <c r="O2584" s="524" t="s">
        <v>1218</v>
      </c>
      <c r="P2584" s="526">
        <v>46233</v>
      </c>
      <c r="S2584" s="527">
        <v>0</v>
      </c>
    </row>
    <row r="2585" spans="1:19" x14ac:dyDescent="0.2">
      <c r="A2585" s="524">
        <v>71479</v>
      </c>
      <c r="B2585" s="526">
        <v>46233</v>
      </c>
      <c r="C2585" s="524" t="s">
        <v>1162</v>
      </c>
      <c r="D2585" s="524" t="s">
        <v>1205</v>
      </c>
      <c r="E2585" s="524" t="s">
        <v>1217</v>
      </c>
      <c r="F2585" s="524" t="s">
        <v>1170</v>
      </c>
      <c r="G2585" s="524" t="s">
        <v>781</v>
      </c>
      <c r="H2585" s="527">
        <v>220000</v>
      </c>
      <c r="I2585" s="524" t="s">
        <v>1148</v>
      </c>
      <c r="J2585" s="524">
        <f>IF(cmf[[#This Row],[D/C]]="C",cmf[[#This Row],[Valor]],-1*cmf[[#This Row],[Valor]])</f>
        <v>220000</v>
      </c>
      <c r="L2585" s="524" t="s">
        <v>1207</v>
      </c>
      <c r="M2585" s="524" t="s">
        <v>1208</v>
      </c>
      <c r="N2585" s="524" t="s">
        <v>1209</v>
      </c>
      <c r="O2585" s="524" t="s">
        <v>1210</v>
      </c>
      <c r="P2585" s="526"/>
      <c r="S2585" s="527">
        <v>0</v>
      </c>
    </row>
    <row r="2586" spans="1:19" x14ac:dyDescent="0.2">
      <c r="A2586" s="524">
        <v>71480</v>
      </c>
      <c r="B2586" s="526">
        <v>46233</v>
      </c>
      <c r="C2586" s="524" t="s">
        <v>1162</v>
      </c>
      <c r="D2586" s="524" t="s">
        <v>1205</v>
      </c>
      <c r="E2586" s="524" t="s">
        <v>1338</v>
      </c>
      <c r="F2586" s="524" t="s">
        <v>1170</v>
      </c>
      <c r="G2586" s="524" t="s">
        <v>781</v>
      </c>
      <c r="H2586" s="527">
        <v>40000</v>
      </c>
      <c r="I2586" s="524" t="s">
        <v>1174</v>
      </c>
      <c r="J2586" s="524">
        <f>IF(cmf[[#This Row],[D/C]]="C",cmf[[#This Row],[Valor]],-1*cmf[[#This Row],[Valor]])</f>
        <v>-40000</v>
      </c>
      <c r="L2586" s="524" t="s">
        <v>1207</v>
      </c>
      <c r="M2586" s="524" t="s">
        <v>1208</v>
      </c>
      <c r="N2586" s="524" t="s">
        <v>1209</v>
      </c>
      <c r="O2586" s="524" t="s">
        <v>1210</v>
      </c>
      <c r="P2586" s="526"/>
      <c r="S2586" s="527">
        <v>0</v>
      </c>
    </row>
    <row r="2587" spans="1:19" x14ac:dyDescent="0.2">
      <c r="A2587" s="524">
        <v>71481</v>
      </c>
      <c r="B2587" s="526">
        <v>46233</v>
      </c>
      <c r="C2587" s="524" t="s">
        <v>1162</v>
      </c>
      <c r="D2587" s="524" t="s">
        <v>1205</v>
      </c>
      <c r="E2587" s="524" t="s">
        <v>1211</v>
      </c>
      <c r="F2587" s="524" t="s">
        <v>1170</v>
      </c>
      <c r="G2587" s="524" t="s">
        <v>771</v>
      </c>
      <c r="H2587" s="527">
        <v>40000</v>
      </c>
      <c r="I2587" s="524" t="s">
        <v>1148</v>
      </c>
      <c r="J2587" s="524">
        <f>IF(cmf[[#This Row],[D/C]]="C",cmf[[#This Row],[Valor]],-1*cmf[[#This Row],[Valor]])</f>
        <v>40000</v>
      </c>
      <c r="L2587" s="524" t="s">
        <v>1207</v>
      </c>
      <c r="M2587" s="524" t="s">
        <v>1208</v>
      </c>
      <c r="N2587" s="524" t="s">
        <v>1249</v>
      </c>
      <c r="O2587" s="524" t="s">
        <v>1250</v>
      </c>
      <c r="P2587" s="526"/>
      <c r="S2587" s="527">
        <v>0</v>
      </c>
    </row>
    <row r="2588" spans="1:19" x14ac:dyDescent="0.2">
      <c r="A2588" s="524">
        <v>71482</v>
      </c>
      <c r="B2588" s="526">
        <v>46233</v>
      </c>
      <c r="C2588" s="524" t="s">
        <v>1162</v>
      </c>
      <c r="D2588" s="524" t="s">
        <v>1205</v>
      </c>
      <c r="E2588" s="524" t="s">
        <v>1206</v>
      </c>
      <c r="F2588" s="524" t="s">
        <v>1170</v>
      </c>
      <c r="G2588" s="524" t="s">
        <v>781</v>
      </c>
      <c r="H2588" s="527">
        <v>65000</v>
      </c>
      <c r="I2588" s="524" t="s">
        <v>1174</v>
      </c>
      <c r="J2588" s="524">
        <f>IF(cmf[[#This Row],[D/C]]="C",cmf[[#This Row],[Valor]],-1*cmf[[#This Row],[Valor]])</f>
        <v>-65000</v>
      </c>
      <c r="L2588" s="524" t="s">
        <v>1207</v>
      </c>
      <c r="M2588" s="524" t="s">
        <v>1208</v>
      </c>
      <c r="N2588" s="524" t="s">
        <v>1209</v>
      </c>
      <c r="O2588" s="524" t="s">
        <v>1210</v>
      </c>
      <c r="P2588" s="526"/>
      <c r="S2588" s="527">
        <v>0</v>
      </c>
    </row>
    <row r="2589" spans="1:19" x14ac:dyDescent="0.2">
      <c r="A2589" s="524">
        <v>71483</v>
      </c>
      <c r="B2589" s="526">
        <v>46233</v>
      </c>
      <c r="C2589" s="524" t="s">
        <v>1162</v>
      </c>
      <c r="D2589" s="524" t="s">
        <v>1205</v>
      </c>
      <c r="E2589" s="524" t="s">
        <v>1211</v>
      </c>
      <c r="F2589" s="524" t="s">
        <v>1170</v>
      </c>
      <c r="G2589" s="524" t="s">
        <v>775</v>
      </c>
      <c r="H2589" s="527">
        <v>65000</v>
      </c>
      <c r="I2589" s="524" t="s">
        <v>1148</v>
      </c>
      <c r="J2589" s="524">
        <f>IF(cmf[[#This Row],[D/C]]="C",cmf[[#This Row],[Valor]],-1*cmf[[#This Row],[Valor]])</f>
        <v>65000</v>
      </c>
      <c r="L2589" s="524" t="s">
        <v>1207</v>
      </c>
      <c r="M2589" s="524" t="s">
        <v>1208</v>
      </c>
      <c r="N2589" s="524" t="s">
        <v>1212</v>
      </c>
      <c r="O2589" s="524" t="s">
        <v>1213</v>
      </c>
      <c r="P2589" s="526"/>
      <c r="S2589" s="527">
        <v>0</v>
      </c>
    </row>
    <row r="2590" spans="1:19" x14ac:dyDescent="0.2">
      <c r="A2590" s="524">
        <v>71484</v>
      </c>
      <c r="B2590" s="526">
        <v>46233</v>
      </c>
      <c r="C2590" s="524" t="s">
        <v>1162</v>
      </c>
      <c r="D2590" s="524" t="s">
        <v>1205</v>
      </c>
      <c r="E2590" s="524" t="s">
        <v>2236</v>
      </c>
      <c r="F2590" s="524" t="s">
        <v>1170</v>
      </c>
      <c r="G2590" s="524" t="s">
        <v>781</v>
      </c>
      <c r="H2590" s="527">
        <v>90000</v>
      </c>
      <c r="I2590" s="524" t="s">
        <v>1174</v>
      </c>
      <c r="J2590" s="524">
        <f>IF(cmf[[#This Row],[D/C]]="C",cmf[[#This Row],[Valor]],-1*cmf[[#This Row],[Valor]])</f>
        <v>-90000</v>
      </c>
      <c r="L2590" s="524" t="s">
        <v>1207</v>
      </c>
      <c r="M2590" s="524" t="s">
        <v>1208</v>
      </c>
      <c r="N2590" s="524" t="s">
        <v>1209</v>
      </c>
      <c r="O2590" s="524" t="s">
        <v>1210</v>
      </c>
      <c r="P2590" s="526"/>
      <c r="S2590" s="527">
        <v>0</v>
      </c>
    </row>
    <row r="2591" spans="1:19" x14ac:dyDescent="0.2">
      <c r="A2591" s="524">
        <v>71485</v>
      </c>
      <c r="B2591" s="526">
        <v>46233</v>
      </c>
      <c r="C2591" s="524" t="s">
        <v>1162</v>
      </c>
      <c r="D2591" s="524" t="s">
        <v>1205</v>
      </c>
      <c r="E2591" s="524" t="s">
        <v>1211</v>
      </c>
      <c r="F2591" s="524" t="s">
        <v>1183</v>
      </c>
      <c r="G2591" s="524" t="s">
        <v>786</v>
      </c>
      <c r="H2591" s="527">
        <v>90000</v>
      </c>
      <c r="I2591" s="524" t="s">
        <v>1148</v>
      </c>
      <c r="J2591" s="524">
        <f>IF(cmf[[#This Row],[D/C]]="C",cmf[[#This Row],[Valor]],-1*cmf[[#This Row],[Valor]])</f>
        <v>90000</v>
      </c>
      <c r="L2591" s="524" t="s">
        <v>1207</v>
      </c>
      <c r="M2591" s="524" t="s">
        <v>1208</v>
      </c>
      <c r="N2591" s="524" t="s">
        <v>2104</v>
      </c>
      <c r="O2591" s="524" t="s">
        <v>1751</v>
      </c>
      <c r="P2591" s="526"/>
      <c r="S2591" s="527">
        <v>0</v>
      </c>
    </row>
    <row r="2592" spans="1:19" x14ac:dyDescent="0.2">
      <c r="A2592" s="524">
        <v>71486</v>
      </c>
      <c r="B2592" s="526">
        <v>46233</v>
      </c>
      <c r="C2592" s="524" t="s">
        <v>1162</v>
      </c>
      <c r="D2592" s="524" t="s">
        <v>1205</v>
      </c>
      <c r="E2592" s="524" t="s">
        <v>1339</v>
      </c>
      <c r="F2592" s="524" t="s">
        <v>1170</v>
      </c>
      <c r="G2592" s="524" t="s">
        <v>781</v>
      </c>
      <c r="H2592" s="527">
        <v>20000</v>
      </c>
      <c r="I2592" s="524" t="s">
        <v>1174</v>
      </c>
      <c r="J2592" s="524">
        <f>IF(cmf[[#This Row],[D/C]]="C",cmf[[#This Row],[Valor]],-1*cmf[[#This Row],[Valor]])</f>
        <v>-20000</v>
      </c>
      <c r="L2592" s="524" t="s">
        <v>1207</v>
      </c>
      <c r="M2592" s="524" t="s">
        <v>1208</v>
      </c>
      <c r="N2592" s="524" t="s">
        <v>1209</v>
      </c>
      <c r="O2592" s="524" t="s">
        <v>1210</v>
      </c>
      <c r="P2592" s="526"/>
      <c r="S2592" s="527">
        <v>0</v>
      </c>
    </row>
    <row r="2593" spans="1:19" x14ac:dyDescent="0.2">
      <c r="A2593" s="524">
        <v>71487</v>
      </c>
      <c r="B2593" s="526">
        <v>46233</v>
      </c>
      <c r="C2593" s="524" t="s">
        <v>1162</v>
      </c>
      <c r="D2593" s="524" t="s">
        <v>1205</v>
      </c>
      <c r="E2593" s="524" t="s">
        <v>1211</v>
      </c>
      <c r="F2593" s="524" t="s">
        <v>1170</v>
      </c>
      <c r="G2593" s="524" t="s">
        <v>794</v>
      </c>
      <c r="H2593" s="527">
        <v>20000</v>
      </c>
      <c r="I2593" s="524" t="s">
        <v>1148</v>
      </c>
      <c r="J2593" s="524">
        <f>IF(cmf[[#This Row],[D/C]]="C",cmf[[#This Row],[Valor]],-1*cmf[[#This Row],[Valor]])</f>
        <v>20000</v>
      </c>
      <c r="L2593" s="524" t="s">
        <v>1207</v>
      </c>
      <c r="M2593" s="524" t="s">
        <v>1208</v>
      </c>
      <c r="N2593" s="524" t="s">
        <v>1340</v>
      </c>
      <c r="O2593" s="524" t="s">
        <v>1341</v>
      </c>
      <c r="P2593" s="526"/>
      <c r="S2593" s="527">
        <v>0</v>
      </c>
    </row>
    <row r="2594" spans="1:19" x14ac:dyDescent="0.2">
      <c r="A2594" s="524">
        <v>71488</v>
      </c>
      <c r="B2594" s="526">
        <v>46233</v>
      </c>
      <c r="C2594" s="524" t="s">
        <v>1148</v>
      </c>
      <c r="D2594" s="524" t="s">
        <v>1205</v>
      </c>
      <c r="E2594" s="524" t="s">
        <v>1335</v>
      </c>
      <c r="F2594" s="524" t="s">
        <v>1183</v>
      </c>
      <c r="G2594" s="524" t="s">
        <v>742</v>
      </c>
      <c r="H2594" s="527">
        <v>140000</v>
      </c>
      <c r="I2594" s="524" t="s">
        <v>1174</v>
      </c>
      <c r="J2594" s="524">
        <f>IF(cmf[[#This Row],[D/C]]="C",cmf[[#This Row],[Valor]],-1*cmf[[#This Row],[Valor]])</f>
        <v>-140000</v>
      </c>
      <c r="L2594" s="524" t="s">
        <v>1207</v>
      </c>
      <c r="M2594" s="524" t="s">
        <v>1208</v>
      </c>
      <c r="N2594" s="524" t="s">
        <v>1215</v>
      </c>
      <c r="O2594" s="524" t="s">
        <v>1218</v>
      </c>
      <c r="P2594" s="526">
        <v>46233</v>
      </c>
      <c r="S2594" s="527">
        <v>0</v>
      </c>
    </row>
    <row r="2595" spans="1:19" x14ac:dyDescent="0.2">
      <c r="A2595" s="524">
        <v>71489</v>
      </c>
      <c r="B2595" s="526">
        <v>46233</v>
      </c>
      <c r="C2595" s="524" t="s">
        <v>1148</v>
      </c>
      <c r="D2595" s="524" t="s">
        <v>1205</v>
      </c>
      <c r="E2595" s="524" t="s">
        <v>1217</v>
      </c>
      <c r="F2595" s="524" t="s">
        <v>1183</v>
      </c>
      <c r="G2595" s="524" t="s">
        <v>800</v>
      </c>
      <c r="H2595" s="527">
        <v>140000</v>
      </c>
      <c r="I2595" s="524" t="s">
        <v>1148</v>
      </c>
      <c r="J2595" s="524">
        <f>IF(cmf[[#This Row],[D/C]]="C",cmf[[#This Row],[Valor]],-1*cmf[[#This Row],[Valor]])</f>
        <v>140000</v>
      </c>
      <c r="L2595" s="524" t="s">
        <v>1207</v>
      </c>
      <c r="M2595" s="524" t="s">
        <v>1208</v>
      </c>
      <c r="N2595" s="524" t="s">
        <v>1171</v>
      </c>
      <c r="O2595" s="524" t="s">
        <v>1172</v>
      </c>
      <c r="P2595" s="526">
        <v>46233</v>
      </c>
      <c r="S2595" s="527">
        <v>0</v>
      </c>
    </row>
    <row r="2596" spans="1:19" x14ac:dyDescent="0.2">
      <c r="A2596" s="524">
        <v>71490</v>
      </c>
      <c r="B2596" s="526">
        <v>46233</v>
      </c>
      <c r="C2596" s="524" t="s">
        <v>1148</v>
      </c>
      <c r="D2596" s="524" t="s">
        <v>1205</v>
      </c>
      <c r="E2596" s="524" t="s">
        <v>1536</v>
      </c>
      <c r="F2596" s="524" t="s">
        <v>1183</v>
      </c>
      <c r="G2596" s="524" t="s">
        <v>742</v>
      </c>
      <c r="H2596" s="527">
        <v>15000</v>
      </c>
      <c r="I2596" s="524" t="s">
        <v>1174</v>
      </c>
      <c r="J2596" s="524">
        <f>IF(cmf[[#This Row],[D/C]]="C",cmf[[#This Row],[Valor]],-1*cmf[[#This Row],[Valor]])</f>
        <v>-15000</v>
      </c>
      <c r="L2596" s="524" t="s">
        <v>1207</v>
      </c>
      <c r="M2596" s="524" t="s">
        <v>1208</v>
      </c>
      <c r="N2596" s="524" t="s">
        <v>1215</v>
      </c>
      <c r="O2596" s="524" t="s">
        <v>1218</v>
      </c>
      <c r="P2596" s="526">
        <v>46233</v>
      </c>
      <c r="S2596" s="527">
        <v>0</v>
      </c>
    </row>
    <row r="2597" spans="1:19" x14ac:dyDescent="0.2">
      <c r="A2597" s="524">
        <v>71491</v>
      </c>
      <c r="B2597" s="526">
        <v>46233</v>
      </c>
      <c r="C2597" s="524" t="s">
        <v>1148</v>
      </c>
      <c r="D2597" s="524" t="s">
        <v>1205</v>
      </c>
      <c r="E2597" s="524" t="s">
        <v>1217</v>
      </c>
      <c r="F2597" s="524" t="s">
        <v>1183</v>
      </c>
      <c r="G2597" s="524" t="s">
        <v>745</v>
      </c>
      <c r="H2597" s="527">
        <v>15000</v>
      </c>
      <c r="I2597" s="524" t="s">
        <v>1148</v>
      </c>
      <c r="J2597" s="524">
        <f>IF(cmf[[#This Row],[D/C]]="C",cmf[[#This Row],[Valor]],-1*cmf[[#This Row],[Valor]])</f>
        <v>15000</v>
      </c>
      <c r="L2597" s="524" t="s">
        <v>1207</v>
      </c>
      <c r="M2597" s="524" t="s">
        <v>1208</v>
      </c>
      <c r="N2597" s="524" t="s">
        <v>1292</v>
      </c>
      <c r="O2597" s="524" t="s">
        <v>1293</v>
      </c>
      <c r="P2597" s="526">
        <v>46233</v>
      </c>
      <c r="S2597" s="527">
        <v>0</v>
      </c>
    </row>
    <row r="2598" spans="1:19" x14ac:dyDescent="0.2">
      <c r="A2598" s="524">
        <v>71492</v>
      </c>
      <c r="B2598" s="526">
        <v>46233</v>
      </c>
      <c r="C2598" s="524" t="s">
        <v>1148</v>
      </c>
      <c r="D2598" s="524" t="s">
        <v>1205</v>
      </c>
      <c r="E2598" s="524" t="s">
        <v>1337</v>
      </c>
      <c r="F2598" s="524" t="s">
        <v>1183</v>
      </c>
      <c r="G2598" s="524" t="s">
        <v>742</v>
      </c>
      <c r="H2598" s="527">
        <v>200000</v>
      </c>
      <c r="I2598" s="524" t="s">
        <v>1174</v>
      </c>
      <c r="J2598" s="524">
        <f>IF(cmf[[#This Row],[D/C]]="C",cmf[[#This Row],[Valor]],-1*cmf[[#This Row],[Valor]])</f>
        <v>-200000</v>
      </c>
      <c r="L2598" s="524" t="s">
        <v>1207</v>
      </c>
      <c r="M2598" s="524" t="s">
        <v>1208</v>
      </c>
      <c r="N2598" s="524" t="s">
        <v>1215</v>
      </c>
      <c r="O2598" s="524" t="s">
        <v>1218</v>
      </c>
      <c r="P2598" s="526">
        <v>46233</v>
      </c>
      <c r="S2598" s="527">
        <v>0</v>
      </c>
    </row>
    <row r="2599" spans="1:19" x14ac:dyDescent="0.2">
      <c r="A2599" s="524">
        <v>71493</v>
      </c>
      <c r="B2599" s="526">
        <v>46233</v>
      </c>
      <c r="C2599" s="524" t="s">
        <v>1148</v>
      </c>
      <c r="D2599" s="524" t="s">
        <v>1205</v>
      </c>
      <c r="E2599" s="524" t="s">
        <v>1217</v>
      </c>
      <c r="F2599" s="524" t="s">
        <v>1183</v>
      </c>
      <c r="G2599" s="524" t="s">
        <v>803</v>
      </c>
      <c r="H2599" s="527">
        <v>200000</v>
      </c>
      <c r="I2599" s="524" t="s">
        <v>1148</v>
      </c>
      <c r="J2599" s="524">
        <f>IF(cmf[[#This Row],[D/C]]="C",cmf[[#This Row],[Valor]],-1*cmf[[#This Row],[Valor]])</f>
        <v>200000</v>
      </c>
      <c r="L2599" s="524" t="s">
        <v>1207</v>
      </c>
      <c r="M2599" s="524" t="s">
        <v>1208</v>
      </c>
      <c r="N2599" s="524" t="s">
        <v>1192</v>
      </c>
      <c r="O2599" s="524" t="s">
        <v>1193</v>
      </c>
      <c r="P2599" s="526">
        <v>46233</v>
      </c>
      <c r="S2599" s="527">
        <v>0</v>
      </c>
    </row>
    <row r="2600" spans="1:19" x14ac:dyDescent="0.2">
      <c r="A2600" s="524">
        <v>71494</v>
      </c>
      <c r="B2600" s="526">
        <v>46233</v>
      </c>
      <c r="C2600" s="524" t="s">
        <v>1148</v>
      </c>
      <c r="D2600" s="524" t="s">
        <v>1205</v>
      </c>
      <c r="E2600" s="524" t="s">
        <v>1541</v>
      </c>
      <c r="F2600" s="524" t="s">
        <v>1183</v>
      </c>
      <c r="G2600" s="524" t="s">
        <v>742</v>
      </c>
      <c r="H2600" s="527">
        <v>40000</v>
      </c>
      <c r="I2600" s="524" t="s">
        <v>1174</v>
      </c>
      <c r="J2600" s="524">
        <f>IF(cmf[[#This Row],[D/C]]="C",cmf[[#This Row],[Valor]],-1*cmf[[#This Row],[Valor]])</f>
        <v>-40000</v>
      </c>
      <c r="L2600" s="524" t="s">
        <v>1207</v>
      </c>
      <c r="M2600" s="524" t="s">
        <v>1208</v>
      </c>
      <c r="N2600" s="524" t="s">
        <v>1215</v>
      </c>
      <c r="O2600" s="524" t="s">
        <v>1218</v>
      </c>
      <c r="P2600" s="526">
        <v>46233</v>
      </c>
      <c r="S2600" s="527">
        <v>0</v>
      </c>
    </row>
    <row r="2601" spans="1:19" x14ac:dyDescent="0.2">
      <c r="A2601" s="524">
        <v>71495</v>
      </c>
      <c r="B2601" s="526">
        <v>46233</v>
      </c>
      <c r="C2601" s="524" t="s">
        <v>1148</v>
      </c>
      <c r="D2601" s="524" t="s">
        <v>1205</v>
      </c>
      <c r="E2601" s="524" t="s">
        <v>1217</v>
      </c>
      <c r="F2601" s="524" t="s">
        <v>1183</v>
      </c>
      <c r="G2601" s="524" t="s">
        <v>766</v>
      </c>
      <c r="H2601" s="527">
        <v>40000</v>
      </c>
      <c r="I2601" s="524" t="s">
        <v>1148</v>
      </c>
      <c r="J2601" s="524">
        <f>IF(cmf[[#This Row],[D/C]]="C",cmf[[#This Row],[Valor]],-1*cmf[[#This Row],[Valor]])</f>
        <v>40000</v>
      </c>
      <c r="L2601" s="524" t="s">
        <v>1207</v>
      </c>
      <c r="M2601" s="524" t="s">
        <v>1208</v>
      </c>
      <c r="N2601" s="524" t="s">
        <v>1200</v>
      </c>
      <c r="O2601" s="524" t="s">
        <v>1201</v>
      </c>
      <c r="P2601" s="526">
        <v>46233</v>
      </c>
      <c r="S2601" s="527">
        <v>0</v>
      </c>
    </row>
    <row r="2602" spans="1:19" x14ac:dyDescent="0.2">
      <c r="A2602" s="524">
        <v>71496</v>
      </c>
      <c r="B2602" s="526">
        <v>46233</v>
      </c>
      <c r="C2602" s="524" t="s">
        <v>1148</v>
      </c>
      <c r="D2602" s="524" t="s">
        <v>1205</v>
      </c>
      <c r="E2602" s="524" t="s">
        <v>2546</v>
      </c>
      <c r="F2602" s="524" t="s">
        <v>1183</v>
      </c>
      <c r="G2602" s="524" t="s">
        <v>742</v>
      </c>
      <c r="H2602" s="527">
        <v>5000</v>
      </c>
      <c r="I2602" s="524" t="s">
        <v>1174</v>
      </c>
      <c r="J2602" s="524">
        <f>IF(cmf[[#This Row],[D/C]]="C",cmf[[#This Row],[Valor]],-1*cmf[[#This Row],[Valor]])</f>
        <v>-5000</v>
      </c>
      <c r="L2602" s="524" t="s">
        <v>1207</v>
      </c>
      <c r="M2602" s="524" t="s">
        <v>1208</v>
      </c>
      <c r="N2602" s="524" t="s">
        <v>1215</v>
      </c>
      <c r="O2602" s="524" t="s">
        <v>1218</v>
      </c>
      <c r="P2602" s="526">
        <v>46233</v>
      </c>
      <c r="S2602" s="527">
        <v>0</v>
      </c>
    </row>
    <row r="2603" spans="1:19" x14ac:dyDescent="0.2">
      <c r="A2603" s="524">
        <v>71497</v>
      </c>
      <c r="B2603" s="526">
        <v>46233</v>
      </c>
      <c r="C2603" s="524" t="s">
        <v>1148</v>
      </c>
      <c r="D2603" s="524" t="s">
        <v>1205</v>
      </c>
      <c r="E2603" s="524" t="s">
        <v>1217</v>
      </c>
      <c r="F2603" s="524" t="s">
        <v>1183</v>
      </c>
      <c r="G2603" s="524" t="s">
        <v>752</v>
      </c>
      <c r="H2603" s="527">
        <v>5000</v>
      </c>
      <c r="I2603" s="524" t="s">
        <v>1148</v>
      </c>
      <c r="J2603" s="524">
        <f>IF(cmf[[#This Row],[D/C]]="C",cmf[[#This Row],[Valor]],-1*cmf[[#This Row],[Valor]])</f>
        <v>5000</v>
      </c>
      <c r="L2603" s="524" t="s">
        <v>1207</v>
      </c>
      <c r="M2603" s="524" t="s">
        <v>1208</v>
      </c>
      <c r="N2603" s="524" t="s">
        <v>1601</v>
      </c>
      <c r="O2603" s="524" t="s">
        <v>1602</v>
      </c>
      <c r="P2603" s="526">
        <v>46233</v>
      </c>
      <c r="S2603" s="527">
        <v>0</v>
      </c>
    </row>
    <row r="2604" spans="1:19" x14ac:dyDescent="0.2">
      <c r="A2604" s="524">
        <v>71498</v>
      </c>
      <c r="B2604" s="526">
        <v>46233</v>
      </c>
      <c r="C2604" s="524" t="s">
        <v>1162</v>
      </c>
      <c r="D2604" s="524" t="s">
        <v>1205</v>
      </c>
      <c r="E2604" s="524" t="s">
        <v>1206</v>
      </c>
      <c r="F2604" s="524" t="s">
        <v>1170</v>
      </c>
      <c r="G2604" s="524" t="s">
        <v>771</v>
      </c>
      <c r="H2604" s="527">
        <v>15000</v>
      </c>
      <c r="I2604" s="524" t="s">
        <v>1174</v>
      </c>
      <c r="J2604" s="524">
        <f>IF(cmf[[#This Row],[D/C]]="C",cmf[[#This Row],[Valor]],-1*cmf[[#This Row],[Valor]])</f>
        <v>-15000</v>
      </c>
      <c r="L2604" s="524" t="s">
        <v>1207</v>
      </c>
      <c r="M2604" s="524" t="s">
        <v>1208</v>
      </c>
      <c r="N2604" s="524" t="s">
        <v>1249</v>
      </c>
      <c r="O2604" s="524" t="s">
        <v>1250</v>
      </c>
      <c r="P2604" s="526"/>
      <c r="S2604" s="527">
        <v>0</v>
      </c>
    </row>
    <row r="2605" spans="1:19" x14ac:dyDescent="0.2">
      <c r="A2605" s="524">
        <v>71499</v>
      </c>
      <c r="B2605" s="526">
        <v>46233</v>
      </c>
      <c r="C2605" s="524" t="s">
        <v>1162</v>
      </c>
      <c r="D2605" s="524" t="s">
        <v>1205</v>
      </c>
      <c r="E2605" s="524" t="s">
        <v>2362</v>
      </c>
      <c r="F2605" s="524" t="s">
        <v>1170</v>
      </c>
      <c r="G2605" s="524" t="s">
        <v>775</v>
      </c>
      <c r="H2605" s="527">
        <v>15000</v>
      </c>
      <c r="I2605" s="524" t="s">
        <v>1148</v>
      </c>
      <c r="J2605" s="524">
        <f>IF(cmf[[#This Row],[D/C]]="C",cmf[[#This Row],[Valor]],-1*cmf[[#This Row],[Valor]])</f>
        <v>15000</v>
      </c>
      <c r="L2605" s="524" t="s">
        <v>1207</v>
      </c>
      <c r="M2605" s="524" t="s">
        <v>1208</v>
      </c>
      <c r="N2605" s="524" t="s">
        <v>1212</v>
      </c>
      <c r="O2605" s="524" t="s">
        <v>1213</v>
      </c>
      <c r="P2605" s="526"/>
      <c r="S2605" s="527">
        <v>0</v>
      </c>
    </row>
    <row r="2606" spans="1:19" x14ac:dyDescent="0.2">
      <c r="A2606" s="524">
        <v>71500</v>
      </c>
      <c r="B2606" s="526">
        <v>46233</v>
      </c>
      <c r="C2606" s="524" t="s">
        <v>1162</v>
      </c>
      <c r="D2606" s="524" t="s">
        <v>1205</v>
      </c>
      <c r="E2606" s="524" t="s">
        <v>2748</v>
      </c>
      <c r="F2606" s="524" t="s">
        <v>1170</v>
      </c>
      <c r="G2606" s="524" t="s">
        <v>781</v>
      </c>
      <c r="H2606" s="527">
        <v>2500</v>
      </c>
      <c r="I2606" s="524" t="s">
        <v>1174</v>
      </c>
      <c r="J2606" s="524">
        <f>IF(cmf[[#This Row],[D/C]]="C",cmf[[#This Row],[Valor]],-1*cmf[[#This Row],[Valor]])</f>
        <v>-2500</v>
      </c>
      <c r="L2606" s="524" t="s">
        <v>1207</v>
      </c>
      <c r="M2606" s="524" t="s">
        <v>1208</v>
      </c>
      <c r="N2606" s="524" t="s">
        <v>1209</v>
      </c>
      <c r="O2606" s="524" t="s">
        <v>1210</v>
      </c>
      <c r="P2606" s="526"/>
      <c r="S2606" s="527">
        <v>0</v>
      </c>
    </row>
    <row r="2607" spans="1:19" x14ac:dyDescent="0.2">
      <c r="A2607" s="524">
        <v>71501</v>
      </c>
      <c r="B2607" s="526">
        <v>46233</v>
      </c>
      <c r="C2607" s="524" t="s">
        <v>1162</v>
      </c>
      <c r="D2607" s="524" t="s">
        <v>1205</v>
      </c>
      <c r="E2607" s="524" t="s">
        <v>1211</v>
      </c>
      <c r="F2607" s="524" t="s">
        <v>1170</v>
      </c>
      <c r="G2607" s="524" t="s">
        <v>733</v>
      </c>
      <c r="H2607" s="527">
        <v>2500</v>
      </c>
      <c r="I2607" s="524" t="s">
        <v>1148</v>
      </c>
      <c r="J2607" s="524">
        <f>IF(cmf[[#This Row],[D/C]]="C",cmf[[#This Row],[Valor]],-1*cmf[[#This Row],[Valor]])</f>
        <v>2500</v>
      </c>
      <c r="L2607" s="524" t="s">
        <v>1207</v>
      </c>
      <c r="M2607" s="524" t="s">
        <v>1208</v>
      </c>
      <c r="N2607" s="524" t="s">
        <v>1735</v>
      </c>
      <c r="O2607" s="524" t="s">
        <v>1736</v>
      </c>
      <c r="P2607" s="526"/>
      <c r="S2607" s="527">
        <v>0</v>
      </c>
    </row>
    <row r="2608" spans="1:19" x14ac:dyDescent="0.2">
      <c r="A2608" s="524">
        <v>71511</v>
      </c>
      <c r="B2608" s="526">
        <v>46233</v>
      </c>
      <c r="C2608" s="524" t="s">
        <v>1148</v>
      </c>
      <c r="D2608" s="524" t="s">
        <v>1186</v>
      </c>
      <c r="E2608" s="524" t="s">
        <v>2749</v>
      </c>
      <c r="F2608" s="524" t="s">
        <v>1183</v>
      </c>
      <c r="G2608" s="524" t="s">
        <v>769</v>
      </c>
      <c r="H2608" s="527">
        <v>32.58</v>
      </c>
      <c r="I2608" s="524" t="s">
        <v>1174</v>
      </c>
      <c r="J2608" s="524">
        <f>IF(cmf[[#This Row],[D/C]]="C",cmf[[#This Row],[Valor]],-1*cmf[[#This Row],[Valor]])</f>
        <v>-32.58</v>
      </c>
      <c r="L2608" s="524" t="s">
        <v>1188</v>
      </c>
      <c r="M2608" s="524" t="s">
        <v>1189</v>
      </c>
      <c r="N2608" s="524" t="s">
        <v>1219</v>
      </c>
      <c r="O2608" s="524" t="s">
        <v>1220</v>
      </c>
      <c r="P2608" s="526">
        <v>46233</v>
      </c>
      <c r="S2608" s="527">
        <v>0</v>
      </c>
    </row>
    <row r="2609" spans="1:19" x14ac:dyDescent="0.2">
      <c r="A2609" s="524">
        <v>71512</v>
      </c>
      <c r="B2609" s="526">
        <v>46233</v>
      </c>
      <c r="C2609" s="524" t="s">
        <v>1148</v>
      </c>
      <c r="D2609" s="524" t="s">
        <v>1186</v>
      </c>
      <c r="E2609" s="524" t="s">
        <v>2750</v>
      </c>
      <c r="F2609" s="524" t="s">
        <v>1183</v>
      </c>
      <c r="G2609" s="524" t="s">
        <v>769</v>
      </c>
      <c r="H2609" s="527">
        <v>31.7</v>
      </c>
      <c r="I2609" s="524" t="s">
        <v>1174</v>
      </c>
      <c r="J2609" s="524">
        <f>IF(cmf[[#This Row],[D/C]]="C",cmf[[#This Row],[Valor]],-1*cmf[[#This Row],[Valor]])</f>
        <v>-31.7</v>
      </c>
      <c r="L2609" s="524" t="s">
        <v>1188</v>
      </c>
      <c r="M2609" s="524" t="s">
        <v>1189</v>
      </c>
      <c r="N2609" s="524" t="s">
        <v>1219</v>
      </c>
      <c r="O2609" s="524" t="s">
        <v>1220</v>
      </c>
      <c r="P2609" s="526">
        <v>46233</v>
      </c>
      <c r="S2609" s="527">
        <v>0</v>
      </c>
    </row>
    <row r="2610" spans="1:19" x14ac:dyDescent="0.2">
      <c r="A2610" s="524">
        <v>71513</v>
      </c>
      <c r="B2610" s="526">
        <v>46233</v>
      </c>
      <c r="C2610" s="524" t="s">
        <v>1148</v>
      </c>
      <c r="D2610" s="524" t="s">
        <v>1186</v>
      </c>
      <c r="E2610" s="524" t="s">
        <v>2751</v>
      </c>
      <c r="F2610" s="524" t="s">
        <v>1183</v>
      </c>
      <c r="G2610" s="524" t="s">
        <v>769</v>
      </c>
      <c r="H2610" s="527">
        <v>372</v>
      </c>
      <c r="I2610" s="524" t="s">
        <v>1174</v>
      </c>
      <c r="J2610" s="524">
        <f>IF(cmf[[#This Row],[D/C]]="C",cmf[[#This Row],[Valor]],-1*cmf[[#This Row],[Valor]])</f>
        <v>-372</v>
      </c>
      <c r="L2610" s="524" t="s">
        <v>1188</v>
      </c>
      <c r="M2610" s="524" t="s">
        <v>1189</v>
      </c>
      <c r="N2610" s="524" t="s">
        <v>1219</v>
      </c>
      <c r="O2610" s="524" t="s">
        <v>1220</v>
      </c>
      <c r="P2610" s="526">
        <v>46233</v>
      </c>
      <c r="S2610" s="527">
        <v>0</v>
      </c>
    </row>
    <row r="2611" spans="1:19" x14ac:dyDescent="0.2">
      <c r="A2611" s="524">
        <v>71514</v>
      </c>
      <c r="B2611" s="526">
        <v>46233</v>
      </c>
      <c r="C2611" s="524" t="s">
        <v>1148</v>
      </c>
      <c r="D2611" s="524" t="s">
        <v>1186</v>
      </c>
      <c r="E2611" s="524" t="s">
        <v>2752</v>
      </c>
      <c r="F2611" s="524" t="s">
        <v>1183</v>
      </c>
      <c r="G2611" s="524" t="s">
        <v>769</v>
      </c>
      <c r="H2611" s="527">
        <v>4076.07</v>
      </c>
      <c r="I2611" s="524" t="s">
        <v>1174</v>
      </c>
      <c r="J2611" s="524">
        <f>IF(cmf[[#This Row],[D/C]]="C",cmf[[#This Row],[Valor]],-1*cmf[[#This Row],[Valor]])</f>
        <v>-4076.07</v>
      </c>
      <c r="L2611" s="524" t="s">
        <v>1188</v>
      </c>
      <c r="M2611" s="524" t="s">
        <v>1189</v>
      </c>
      <c r="N2611" s="524" t="s">
        <v>1219</v>
      </c>
      <c r="O2611" s="524" t="s">
        <v>1220</v>
      </c>
      <c r="P2611" s="526">
        <v>46233</v>
      </c>
      <c r="S2611" s="527">
        <v>0</v>
      </c>
    </row>
    <row r="2612" spans="1:19" x14ac:dyDescent="0.2">
      <c r="A2612" s="524">
        <v>71515</v>
      </c>
      <c r="B2612" s="526">
        <v>46233</v>
      </c>
      <c r="C2612" s="524" t="s">
        <v>1148</v>
      </c>
      <c r="D2612" s="524" t="s">
        <v>1186</v>
      </c>
      <c r="E2612" s="524" t="s">
        <v>2753</v>
      </c>
      <c r="F2612" s="524" t="s">
        <v>1183</v>
      </c>
      <c r="G2612" s="524" t="s">
        <v>769</v>
      </c>
      <c r="H2612" s="527">
        <v>460</v>
      </c>
      <c r="I2612" s="524" t="s">
        <v>1174</v>
      </c>
      <c r="J2612" s="524">
        <f>IF(cmf[[#This Row],[D/C]]="C",cmf[[#This Row],[Valor]],-1*cmf[[#This Row],[Valor]])</f>
        <v>-460</v>
      </c>
      <c r="L2612" s="524" t="s">
        <v>1188</v>
      </c>
      <c r="M2612" s="524" t="s">
        <v>1189</v>
      </c>
      <c r="N2612" s="524" t="s">
        <v>1219</v>
      </c>
      <c r="O2612" s="524" t="s">
        <v>1220</v>
      </c>
      <c r="P2612" s="526">
        <v>46233</v>
      </c>
      <c r="S2612" s="527">
        <v>0</v>
      </c>
    </row>
    <row r="2613" spans="1:19" x14ac:dyDescent="0.2">
      <c r="A2613" s="524">
        <v>71516</v>
      </c>
      <c r="B2613" s="526">
        <v>46233</v>
      </c>
      <c r="C2613" s="524" t="s">
        <v>1148</v>
      </c>
      <c r="D2613" s="524" t="s">
        <v>1186</v>
      </c>
      <c r="E2613" s="524" t="s">
        <v>2754</v>
      </c>
      <c r="F2613" s="524" t="s">
        <v>1183</v>
      </c>
      <c r="G2613" s="524" t="s">
        <v>769</v>
      </c>
      <c r="H2613" s="527">
        <v>15871.45</v>
      </c>
      <c r="I2613" s="524" t="s">
        <v>1174</v>
      </c>
      <c r="J2613" s="524">
        <f>IF(cmf[[#This Row],[D/C]]="C",cmf[[#This Row],[Valor]],-1*cmf[[#This Row],[Valor]])</f>
        <v>-15871.45</v>
      </c>
      <c r="L2613" s="524" t="s">
        <v>1188</v>
      </c>
      <c r="M2613" s="524" t="s">
        <v>1189</v>
      </c>
      <c r="N2613" s="524" t="s">
        <v>1219</v>
      </c>
      <c r="O2613" s="524" t="s">
        <v>1220</v>
      </c>
      <c r="P2613" s="526">
        <v>46233</v>
      </c>
      <c r="S2613" s="527">
        <v>0</v>
      </c>
    </row>
    <row r="2614" spans="1:19" x14ac:dyDescent="0.2">
      <c r="A2614" s="524">
        <v>71518</v>
      </c>
      <c r="B2614" s="526">
        <v>46233</v>
      </c>
      <c r="C2614" s="524" t="s">
        <v>1148</v>
      </c>
      <c r="D2614" s="524" t="s">
        <v>1186</v>
      </c>
      <c r="E2614" s="524" t="s">
        <v>2755</v>
      </c>
      <c r="F2614" s="524" t="s">
        <v>1183</v>
      </c>
      <c r="G2614" s="524" t="s">
        <v>769</v>
      </c>
      <c r="H2614" s="527">
        <v>450</v>
      </c>
      <c r="I2614" s="524" t="s">
        <v>1174</v>
      </c>
      <c r="J2614" s="524">
        <f>IF(cmf[[#This Row],[D/C]]="C",cmf[[#This Row],[Valor]],-1*cmf[[#This Row],[Valor]])</f>
        <v>-450</v>
      </c>
      <c r="L2614" s="524" t="s">
        <v>1188</v>
      </c>
      <c r="M2614" s="524" t="s">
        <v>1189</v>
      </c>
      <c r="N2614" s="524" t="s">
        <v>1219</v>
      </c>
      <c r="O2614" s="524" t="s">
        <v>1220</v>
      </c>
      <c r="P2614" s="526">
        <v>46233</v>
      </c>
      <c r="S2614" s="527">
        <v>0</v>
      </c>
    </row>
    <row r="2615" spans="1:19" x14ac:dyDescent="0.2">
      <c r="A2615" s="524">
        <v>71519</v>
      </c>
      <c r="B2615" s="526">
        <v>46233</v>
      </c>
      <c r="C2615" s="524" t="s">
        <v>1148</v>
      </c>
      <c r="D2615" s="524" t="s">
        <v>1186</v>
      </c>
      <c r="E2615" s="524" t="s">
        <v>2756</v>
      </c>
      <c r="F2615" s="524" t="s">
        <v>1183</v>
      </c>
      <c r="G2615" s="524" t="s">
        <v>769</v>
      </c>
      <c r="H2615" s="527">
        <v>11838.85</v>
      </c>
      <c r="I2615" s="524" t="s">
        <v>1174</v>
      </c>
      <c r="J2615" s="524">
        <f>IF(cmf[[#This Row],[D/C]]="C",cmf[[#This Row],[Valor]],-1*cmf[[#This Row],[Valor]])</f>
        <v>-11838.85</v>
      </c>
      <c r="L2615" s="524" t="s">
        <v>1188</v>
      </c>
      <c r="M2615" s="524" t="s">
        <v>1189</v>
      </c>
      <c r="N2615" s="524" t="s">
        <v>1219</v>
      </c>
      <c r="O2615" s="524" t="s">
        <v>1220</v>
      </c>
      <c r="P2615" s="526">
        <v>46233</v>
      </c>
      <c r="S2615" s="527">
        <v>0</v>
      </c>
    </row>
    <row r="2616" spans="1:19" x14ac:dyDescent="0.2">
      <c r="A2616" s="524">
        <v>71521</v>
      </c>
      <c r="B2616" s="526">
        <v>46233</v>
      </c>
      <c r="C2616" s="524" t="s">
        <v>1148</v>
      </c>
      <c r="D2616" s="524" t="s">
        <v>1186</v>
      </c>
      <c r="E2616" s="524" t="s">
        <v>2757</v>
      </c>
      <c r="F2616" s="524" t="s">
        <v>1183</v>
      </c>
      <c r="G2616" s="524" t="s">
        <v>769</v>
      </c>
      <c r="H2616" s="527">
        <v>1899.1</v>
      </c>
      <c r="I2616" s="524" t="s">
        <v>1174</v>
      </c>
      <c r="J2616" s="524">
        <f>IF(cmf[[#This Row],[D/C]]="C",cmf[[#This Row],[Valor]],-1*cmf[[#This Row],[Valor]])</f>
        <v>-1899.1</v>
      </c>
      <c r="L2616" s="524" t="s">
        <v>1188</v>
      </c>
      <c r="M2616" s="524" t="s">
        <v>1189</v>
      </c>
      <c r="N2616" s="524" t="s">
        <v>1219</v>
      </c>
      <c r="O2616" s="524" t="s">
        <v>1220</v>
      </c>
      <c r="P2616" s="526">
        <v>46233</v>
      </c>
      <c r="S2616" s="527">
        <v>0</v>
      </c>
    </row>
    <row r="2617" spans="1:19" x14ac:dyDescent="0.2">
      <c r="A2617" s="524">
        <v>71522</v>
      </c>
      <c r="B2617" s="526">
        <v>46233</v>
      </c>
      <c r="C2617" s="524" t="s">
        <v>1148</v>
      </c>
      <c r="D2617" s="524" t="s">
        <v>1186</v>
      </c>
      <c r="E2617" s="524" t="s">
        <v>2758</v>
      </c>
      <c r="F2617" s="524" t="s">
        <v>1183</v>
      </c>
      <c r="G2617" s="524" t="s">
        <v>769</v>
      </c>
      <c r="H2617" s="527">
        <v>127.96</v>
      </c>
      <c r="I2617" s="524" t="s">
        <v>1174</v>
      </c>
      <c r="J2617" s="524">
        <f>IF(cmf[[#This Row],[D/C]]="C",cmf[[#This Row],[Valor]],-1*cmf[[#This Row],[Valor]])</f>
        <v>-127.96</v>
      </c>
      <c r="L2617" s="524" t="s">
        <v>1188</v>
      </c>
      <c r="M2617" s="524" t="s">
        <v>1189</v>
      </c>
      <c r="N2617" s="524" t="s">
        <v>1219</v>
      </c>
      <c r="O2617" s="524" t="s">
        <v>1220</v>
      </c>
      <c r="P2617" s="526">
        <v>46233</v>
      </c>
      <c r="S2617" s="527">
        <v>0</v>
      </c>
    </row>
    <row r="2618" spans="1:19" x14ac:dyDescent="0.2">
      <c r="A2618" s="524">
        <v>71523</v>
      </c>
      <c r="B2618" s="526">
        <v>46233</v>
      </c>
      <c r="C2618" s="524" t="s">
        <v>1148</v>
      </c>
      <c r="D2618" s="524" t="s">
        <v>1186</v>
      </c>
      <c r="E2618" s="524" t="s">
        <v>2759</v>
      </c>
      <c r="F2618" s="524" t="s">
        <v>1183</v>
      </c>
      <c r="G2618" s="524" t="s">
        <v>769</v>
      </c>
      <c r="H2618" s="527">
        <v>14500.04</v>
      </c>
      <c r="I2618" s="524" t="s">
        <v>1174</v>
      </c>
      <c r="J2618" s="524">
        <f>IF(cmf[[#This Row],[D/C]]="C",cmf[[#This Row],[Valor]],-1*cmf[[#This Row],[Valor]])</f>
        <v>-14500.04</v>
      </c>
      <c r="L2618" s="524" t="s">
        <v>1188</v>
      </c>
      <c r="M2618" s="524" t="s">
        <v>1189</v>
      </c>
      <c r="N2618" s="524" t="s">
        <v>1219</v>
      </c>
      <c r="O2618" s="524" t="s">
        <v>1220</v>
      </c>
      <c r="P2618" s="526">
        <v>46233</v>
      </c>
      <c r="S2618" s="527">
        <v>0</v>
      </c>
    </row>
    <row r="2619" spans="1:19" x14ac:dyDescent="0.2">
      <c r="A2619" s="524">
        <v>71524</v>
      </c>
      <c r="B2619" s="526">
        <v>46233</v>
      </c>
      <c r="C2619" s="524" t="s">
        <v>1148</v>
      </c>
      <c r="D2619" s="524" t="s">
        <v>1186</v>
      </c>
      <c r="E2619" s="524" t="s">
        <v>2760</v>
      </c>
      <c r="F2619" s="524" t="s">
        <v>1183</v>
      </c>
      <c r="G2619" s="524" t="s">
        <v>769</v>
      </c>
      <c r="H2619" s="527">
        <v>1676</v>
      </c>
      <c r="I2619" s="524" t="s">
        <v>1174</v>
      </c>
      <c r="J2619" s="524">
        <f>IF(cmf[[#This Row],[D/C]]="C",cmf[[#This Row],[Valor]],-1*cmf[[#This Row],[Valor]])</f>
        <v>-1676</v>
      </c>
      <c r="L2619" s="524" t="s">
        <v>1188</v>
      </c>
      <c r="M2619" s="524" t="s">
        <v>1189</v>
      </c>
      <c r="N2619" s="524" t="s">
        <v>1219</v>
      </c>
      <c r="O2619" s="524" t="s">
        <v>1220</v>
      </c>
      <c r="P2619" s="526">
        <v>46233</v>
      </c>
      <c r="S2619" s="527">
        <v>0</v>
      </c>
    </row>
    <row r="2620" spans="1:19" x14ac:dyDescent="0.2">
      <c r="A2620" s="524">
        <v>71525</v>
      </c>
      <c r="B2620" s="526">
        <v>46233</v>
      </c>
      <c r="C2620" s="524" t="s">
        <v>1148</v>
      </c>
      <c r="D2620" s="524" t="s">
        <v>1186</v>
      </c>
      <c r="E2620" s="524" t="s">
        <v>2761</v>
      </c>
      <c r="F2620" s="524" t="s">
        <v>1183</v>
      </c>
      <c r="G2620" s="524" t="s">
        <v>769</v>
      </c>
      <c r="H2620" s="527">
        <v>1550.94</v>
      </c>
      <c r="I2620" s="524" t="s">
        <v>1174</v>
      </c>
      <c r="J2620" s="524">
        <f>IF(cmf[[#This Row],[D/C]]="C",cmf[[#This Row],[Valor]],-1*cmf[[#This Row],[Valor]])</f>
        <v>-1550.94</v>
      </c>
      <c r="L2620" s="524" t="s">
        <v>1188</v>
      </c>
      <c r="M2620" s="524" t="s">
        <v>1189</v>
      </c>
      <c r="N2620" s="524" t="s">
        <v>1219</v>
      </c>
      <c r="O2620" s="524" t="s">
        <v>1220</v>
      </c>
      <c r="P2620" s="526">
        <v>46233</v>
      </c>
      <c r="S2620" s="527">
        <v>0</v>
      </c>
    </row>
    <row r="2621" spans="1:19" x14ac:dyDescent="0.2">
      <c r="A2621" s="524">
        <v>71530</v>
      </c>
      <c r="B2621" s="526">
        <v>46233</v>
      </c>
      <c r="C2621" s="524" t="s">
        <v>1148</v>
      </c>
      <c r="D2621" s="524" t="s">
        <v>1239</v>
      </c>
      <c r="E2621" s="524" t="s">
        <v>1567</v>
      </c>
      <c r="F2621" s="524" t="s">
        <v>1170</v>
      </c>
      <c r="G2621" s="524" t="s">
        <v>757</v>
      </c>
      <c r="H2621" s="527">
        <v>13</v>
      </c>
      <c r="I2621" s="524" t="s">
        <v>1174</v>
      </c>
      <c r="J2621" s="524">
        <f>IF(cmf[[#This Row],[D/C]]="C",cmf[[#This Row],[Valor]],-1*cmf[[#This Row],[Valor]])</f>
        <v>-13</v>
      </c>
      <c r="L2621" s="524" t="s">
        <v>1241</v>
      </c>
      <c r="M2621" s="524" t="s">
        <v>1242</v>
      </c>
      <c r="N2621" s="524" t="s">
        <v>1223</v>
      </c>
      <c r="O2621" s="524" t="s">
        <v>1224</v>
      </c>
      <c r="P2621" s="526">
        <v>46233</v>
      </c>
      <c r="S2621" s="527">
        <v>0</v>
      </c>
    </row>
    <row r="2622" spans="1:19" x14ac:dyDescent="0.2">
      <c r="A2622" s="524">
        <v>71531</v>
      </c>
      <c r="B2622" s="526">
        <v>46233</v>
      </c>
      <c r="C2622" s="524" t="s">
        <v>1148</v>
      </c>
      <c r="D2622" s="524" t="s">
        <v>1239</v>
      </c>
      <c r="E2622" s="524" t="s">
        <v>1255</v>
      </c>
      <c r="F2622" s="524" t="s">
        <v>1170</v>
      </c>
      <c r="G2622" s="524" t="s">
        <v>757</v>
      </c>
      <c r="H2622" s="527">
        <v>1.2</v>
      </c>
      <c r="I2622" s="524" t="s">
        <v>1174</v>
      </c>
      <c r="J2622" s="524">
        <f>IF(cmf[[#This Row],[D/C]]="C",cmf[[#This Row],[Valor]],-1*cmf[[#This Row],[Valor]])</f>
        <v>-1.2</v>
      </c>
      <c r="L2622" s="524" t="s">
        <v>1241</v>
      </c>
      <c r="M2622" s="524" t="s">
        <v>1242</v>
      </c>
      <c r="N2622" s="524" t="s">
        <v>1223</v>
      </c>
      <c r="O2622" s="524" t="s">
        <v>1224</v>
      </c>
      <c r="P2622" s="526">
        <v>46233</v>
      </c>
      <c r="S2622" s="527">
        <v>0</v>
      </c>
    </row>
    <row r="2623" spans="1:19" x14ac:dyDescent="0.2">
      <c r="A2623" s="524">
        <v>71536</v>
      </c>
      <c r="B2623" s="526">
        <v>46233</v>
      </c>
      <c r="C2623" s="524" t="s">
        <v>1148</v>
      </c>
      <c r="D2623" s="524" t="s">
        <v>1186</v>
      </c>
      <c r="E2623" s="524" t="s">
        <v>2762</v>
      </c>
      <c r="F2623" s="524" t="s">
        <v>1183</v>
      </c>
      <c r="G2623" s="524" t="s">
        <v>769</v>
      </c>
      <c r="H2623" s="527">
        <v>31.7</v>
      </c>
      <c r="I2623" s="524" t="s">
        <v>1174</v>
      </c>
      <c r="J2623" s="524">
        <f>IF(cmf[[#This Row],[D/C]]="C",cmf[[#This Row],[Valor]],-1*cmf[[#This Row],[Valor]])</f>
        <v>-31.7</v>
      </c>
      <c r="L2623" s="524" t="s">
        <v>1188</v>
      </c>
      <c r="M2623" s="524" t="s">
        <v>1189</v>
      </c>
      <c r="N2623" s="524" t="s">
        <v>1219</v>
      </c>
      <c r="O2623" s="524" t="s">
        <v>1220</v>
      </c>
      <c r="P2623" s="526">
        <v>46233</v>
      </c>
      <c r="S2623" s="527">
        <v>0</v>
      </c>
    </row>
    <row r="2624" spans="1:19" x14ac:dyDescent="0.2">
      <c r="A2624" s="524">
        <v>71537</v>
      </c>
      <c r="B2624" s="526">
        <v>46233</v>
      </c>
      <c r="C2624" s="524" t="s">
        <v>1148</v>
      </c>
      <c r="D2624" s="524" t="s">
        <v>1186</v>
      </c>
      <c r="E2624" s="524" t="s">
        <v>2763</v>
      </c>
      <c r="F2624" s="524" t="s">
        <v>1183</v>
      </c>
      <c r="G2624" s="524" t="s">
        <v>769</v>
      </c>
      <c r="H2624" s="527">
        <v>30.54</v>
      </c>
      <c r="I2624" s="524" t="s">
        <v>1174</v>
      </c>
      <c r="J2624" s="524">
        <f>IF(cmf[[#This Row],[D/C]]="C",cmf[[#This Row],[Valor]],-1*cmf[[#This Row],[Valor]])</f>
        <v>-30.54</v>
      </c>
      <c r="L2624" s="524" t="s">
        <v>1188</v>
      </c>
      <c r="M2624" s="524" t="s">
        <v>1189</v>
      </c>
      <c r="N2624" s="524" t="s">
        <v>1219</v>
      </c>
      <c r="O2624" s="524" t="s">
        <v>1220</v>
      </c>
      <c r="P2624" s="526">
        <v>46233</v>
      </c>
      <c r="S2624" s="527">
        <v>0</v>
      </c>
    </row>
    <row r="2625" spans="1:19" x14ac:dyDescent="0.2">
      <c r="A2625" s="524">
        <v>71544</v>
      </c>
      <c r="B2625" s="526">
        <v>46233</v>
      </c>
      <c r="C2625" s="524" t="s">
        <v>1148</v>
      </c>
      <c r="D2625" s="524" t="s">
        <v>1186</v>
      </c>
      <c r="E2625" s="524" t="s">
        <v>2764</v>
      </c>
      <c r="F2625" s="524" t="s">
        <v>1183</v>
      </c>
      <c r="G2625" s="524" t="s">
        <v>769</v>
      </c>
      <c r="H2625" s="527">
        <v>125.52</v>
      </c>
      <c r="I2625" s="524" t="s">
        <v>1174</v>
      </c>
      <c r="J2625" s="524">
        <f>IF(cmf[[#This Row],[D/C]]="C",cmf[[#This Row],[Valor]],-1*cmf[[#This Row],[Valor]])</f>
        <v>-125.52</v>
      </c>
      <c r="L2625" s="524" t="s">
        <v>1188</v>
      </c>
      <c r="M2625" s="524" t="s">
        <v>1189</v>
      </c>
      <c r="N2625" s="524" t="s">
        <v>1219</v>
      </c>
      <c r="O2625" s="524" t="s">
        <v>1220</v>
      </c>
      <c r="P2625" s="526">
        <v>46233</v>
      </c>
      <c r="S2625" s="527">
        <v>0</v>
      </c>
    </row>
    <row r="2626" spans="1:19" x14ac:dyDescent="0.2">
      <c r="A2626" s="524">
        <v>71546</v>
      </c>
      <c r="B2626" s="526">
        <v>46233</v>
      </c>
      <c r="C2626" s="524" t="s">
        <v>1148</v>
      </c>
      <c r="D2626" s="524" t="s">
        <v>1186</v>
      </c>
      <c r="E2626" s="524" t="s">
        <v>2765</v>
      </c>
      <c r="F2626" s="524" t="s">
        <v>1183</v>
      </c>
      <c r="G2626" s="524" t="s">
        <v>769</v>
      </c>
      <c r="H2626" s="527">
        <v>218</v>
      </c>
      <c r="I2626" s="524" t="s">
        <v>1174</v>
      </c>
      <c r="J2626" s="524">
        <f>IF(cmf[[#This Row],[D/C]]="C",cmf[[#This Row],[Valor]],-1*cmf[[#This Row],[Valor]])</f>
        <v>-218</v>
      </c>
      <c r="L2626" s="524" t="s">
        <v>1188</v>
      </c>
      <c r="M2626" s="524" t="s">
        <v>1189</v>
      </c>
      <c r="N2626" s="524" t="s">
        <v>1219</v>
      </c>
      <c r="O2626" s="524" t="s">
        <v>1220</v>
      </c>
      <c r="P2626" s="526">
        <v>46233</v>
      </c>
      <c r="S2626" s="527">
        <v>0</v>
      </c>
    </row>
    <row r="2627" spans="1:19" x14ac:dyDescent="0.2">
      <c r="A2627" s="524">
        <v>71555</v>
      </c>
      <c r="B2627" s="526">
        <v>46233</v>
      </c>
      <c r="C2627" s="524" t="s">
        <v>1148</v>
      </c>
      <c r="D2627" s="524" t="s">
        <v>1186</v>
      </c>
      <c r="E2627" s="524" t="s">
        <v>2766</v>
      </c>
      <c r="F2627" s="524" t="s">
        <v>1183</v>
      </c>
      <c r="G2627" s="524" t="s">
        <v>769</v>
      </c>
      <c r="H2627" s="527">
        <v>18530.43</v>
      </c>
      <c r="I2627" s="524" t="s">
        <v>1174</v>
      </c>
      <c r="J2627" s="524">
        <f>IF(cmf[[#This Row],[D/C]]="C",cmf[[#This Row],[Valor]],-1*cmf[[#This Row],[Valor]])</f>
        <v>-18530.43</v>
      </c>
      <c r="L2627" s="524" t="s">
        <v>1188</v>
      </c>
      <c r="M2627" s="524" t="s">
        <v>1189</v>
      </c>
      <c r="N2627" s="524" t="s">
        <v>1219</v>
      </c>
      <c r="O2627" s="524" t="s">
        <v>1220</v>
      </c>
      <c r="P2627" s="526">
        <v>46233</v>
      </c>
      <c r="S2627" s="527">
        <v>0</v>
      </c>
    </row>
    <row r="2628" spans="1:19" x14ac:dyDescent="0.2">
      <c r="A2628" s="524">
        <v>71556</v>
      </c>
      <c r="B2628" s="526">
        <v>46233</v>
      </c>
      <c r="C2628" s="524" t="s">
        <v>1148</v>
      </c>
      <c r="D2628" s="524" t="s">
        <v>1186</v>
      </c>
      <c r="E2628" s="524" t="s">
        <v>2767</v>
      </c>
      <c r="F2628" s="524" t="s">
        <v>1183</v>
      </c>
      <c r="G2628" s="524" t="s">
        <v>769</v>
      </c>
      <c r="H2628" s="527">
        <v>4509</v>
      </c>
      <c r="I2628" s="524" t="s">
        <v>1174</v>
      </c>
      <c r="J2628" s="524">
        <f>IF(cmf[[#This Row],[D/C]]="C",cmf[[#This Row],[Valor]],-1*cmf[[#This Row],[Valor]])</f>
        <v>-4509</v>
      </c>
      <c r="L2628" s="524" t="s">
        <v>1188</v>
      </c>
      <c r="M2628" s="524" t="s">
        <v>1189</v>
      </c>
      <c r="N2628" s="524" t="s">
        <v>1219</v>
      </c>
      <c r="O2628" s="524" t="s">
        <v>1220</v>
      </c>
      <c r="P2628" s="526">
        <v>46233</v>
      </c>
      <c r="S2628" s="527">
        <v>0</v>
      </c>
    </row>
    <row r="2629" spans="1:19" x14ac:dyDescent="0.2">
      <c r="A2629" s="524">
        <v>71557</v>
      </c>
      <c r="B2629" s="526">
        <v>46233</v>
      </c>
      <c r="C2629" s="524" t="s">
        <v>1148</v>
      </c>
      <c r="D2629" s="524" t="s">
        <v>1243</v>
      </c>
      <c r="E2629" s="524" t="s">
        <v>1266</v>
      </c>
      <c r="F2629" s="524" t="s">
        <v>1183</v>
      </c>
      <c r="G2629" s="524" t="s">
        <v>769</v>
      </c>
      <c r="H2629" s="527">
        <v>23385.86</v>
      </c>
      <c r="I2629" s="524" t="s">
        <v>1174</v>
      </c>
      <c r="J2629" s="524">
        <f>IF(cmf[[#This Row],[D/C]]="C",cmf[[#This Row],[Valor]],-1*cmf[[#This Row],[Valor]])</f>
        <v>-23385.86</v>
      </c>
      <c r="L2629" s="524" t="s">
        <v>1245</v>
      </c>
      <c r="M2629" s="524" t="s">
        <v>1246</v>
      </c>
      <c r="N2629" s="524" t="s">
        <v>1219</v>
      </c>
      <c r="O2629" s="524" t="s">
        <v>1220</v>
      </c>
      <c r="P2629" s="526">
        <v>46233</v>
      </c>
      <c r="S2629" s="527">
        <v>0</v>
      </c>
    </row>
    <row r="2630" spans="1:19" x14ac:dyDescent="0.2">
      <c r="A2630" s="524">
        <v>71558</v>
      </c>
      <c r="B2630" s="526">
        <v>46233</v>
      </c>
      <c r="C2630" s="524" t="s">
        <v>1148</v>
      </c>
      <c r="D2630" s="524" t="s">
        <v>1186</v>
      </c>
      <c r="E2630" s="524" t="s">
        <v>2768</v>
      </c>
      <c r="F2630" s="524" t="s">
        <v>1183</v>
      </c>
      <c r="G2630" s="524" t="s">
        <v>758</v>
      </c>
      <c r="H2630" s="527">
        <v>30000</v>
      </c>
      <c r="I2630" s="524" t="s">
        <v>1174</v>
      </c>
      <c r="J2630" s="524">
        <f>IF(cmf[[#This Row],[D/C]]="C",cmf[[#This Row],[Valor]],-1*cmf[[#This Row],[Valor]])</f>
        <v>-30000</v>
      </c>
      <c r="L2630" s="524" t="s">
        <v>1188</v>
      </c>
      <c r="M2630" s="524" t="s">
        <v>1189</v>
      </c>
      <c r="N2630" s="524" t="s">
        <v>1223</v>
      </c>
      <c r="O2630" s="524" t="s">
        <v>1224</v>
      </c>
      <c r="P2630" s="526">
        <v>46233</v>
      </c>
      <c r="S2630" s="527">
        <v>0</v>
      </c>
    </row>
    <row r="2631" spans="1:19" x14ac:dyDescent="0.2">
      <c r="A2631" s="524">
        <v>71559</v>
      </c>
      <c r="B2631" s="526">
        <v>46233</v>
      </c>
      <c r="C2631" s="524" t="s">
        <v>1148</v>
      </c>
      <c r="D2631" s="524" t="s">
        <v>1186</v>
      </c>
      <c r="E2631" s="524" t="s">
        <v>2769</v>
      </c>
      <c r="F2631" s="524" t="s">
        <v>1183</v>
      </c>
      <c r="G2631" s="524" t="s">
        <v>758</v>
      </c>
      <c r="H2631" s="527">
        <v>1360.82</v>
      </c>
      <c r="I2631" s="524" t="s">
        <v>1174</v>
      </c>
      <c r="J2631" s="524">
        <f>IF(cmf[[#This Row],[D/C]]="C",cmf[[#This Row],[Valor]],-1*cmf[[#This Row],[Valor]])</f>
        <v>-1360.82</v>
      </c>
      <c r="L2631" s="524" t="s">
        <v>1188</v>
      </c>
      <c r="M2631" s="524" t="s">
        <v>1189</v>
      </c>
      <c r="N2631" s="524" t="s">
        <v>1223</v>
      </c>
      <c r="O2631" s="524" t="s">
        <v>1224</v>
      </c>
      <c r="P2631" s="526">
        <v>46233</v>
      </c>
      <c r="S2631" s="527">
        <v>0</v>
      </c>
    </row>
    <row r="2632" spans="1:19" x14ac:dyDescent="0.2">
      <c r="A2632" s="524">
        <v>71560</v>
      </c>
      <c r="B2632" s="526">
        <v>46233</v>
      </c>
      <c r="C2632" s="524" t="s">
        <v>1148</v>
      </c>
      <c r="D2632" s="524" t="s">
        <v>1186</v>
      </c>
      <c r="E2632" s="524" t="s">
        <v>2770</v>
      </c>
      <c r="F2632" s="524" t="s">
        <v>1183</v>
      </c>
      <c r="G2632" s="524" t="s">
        <v>758</v>
      </c>
      <c r="H2632" s="527">
        <v>12735.61</v>
      </c>
      <c r="I2632" s="524" t="s">
        <v>1174</v>
      </c>
      <c r="J2632" s="524">
        <f>IF(cmf[[#This Row],[D/C]]="C",cmf[[#This Row],[Valor]],-1*cmf[[#This Row],[Valor]])</f>
        <v>-12735.61</v>
      </c>
      <c r="L2632" s="524" t="s">
        <v>1188</v>
      </c>
      <c r="M2632" s="524" t="s">
        <v>1189</v>
      </c>
      <c r="N2632" s="524" t="s">
        <v>1223</v>
      </c>
      <c r="O2632" s="524" t="s">
        <v>1224</v>
      </c>
      <c r="P2632" s="526">
        <v>46233</v>
      </c>
      <c r="S2632" s="527">
        <v>0</v>
      </c>
    </row>
    <row r="2633" spans="1:19" x14ac:dyDescent="0.2">
      <c r="A2633" s="524">
        <v>71561</v>
      </c>
      <c r="B2633" s="526">
        <v>46233</v>
      </c>
      <c r="C2633" s="524" t="s">
        <v>1148</v>
      </c>
      <c r="D2633" s="524" t="s">
        <v>1186</v>
      </c>
      <c r="E2633" s="524" t="s">
        <v>2771</v>
      </c>
      <c r="F2633" s="524" t="s">
        <v>1183</v>
      </c>
      <c r="G2633" s="524" t="s">
        <v>758</v>
      </c>
      <c r="H2633" s="527">
        <v>9560</v>
      </c>
      <c r="I2633" s="524" t="s">
        <v>1174</v>
      </c>
      <c r="J2633" s="524">
        <f>IF(cmf[[#This Row],[D/C]]="C",cmf[[#This Row],[Valor]],-1*cmf[[#This Row],[Valor]])</f>
        <v>-9560</v>
      </c>
      <c r="L2633" s="524" t="s">
        <v>1188</v>
      </c>
      <c r="M2633" s="524" t="s">
        <v>1189</v>
      </c>
      <c r="N2633" s="524" t="s">
        <v>1223</v>
      </c>
      <c r="O2633" s="524" t="s">
        <v>1224</v>
      </c>
      <c r="P2633" s="526">
        <v>46233</v>
      </c>
      <c r="S2633" s="527">
        <v>0</v>
      </c>
    </row>
    <row r="2634" spans="1:19" x14ac:dyDescent="0.2">
      <c r="A2634" s="524">
        <v>71562</v>
      </c>
      <c r="B2634" s="526">
        <v>46233</v>
      </c>
      <c r="C2634" s="524" t="s">
        <v>1148</v>
      </c>
      <c r="D2634" s="524" t="s">
        <v>1186</v>
      </c>
      <c r="E2634" s="524" t="s">
        <v>2772</v>
      </c>
      <c r="F2634" s="524" t="s">
        <v>1183</v>
      </c>
      <c r="G2634" s="524" t="s">
        <v>758</v>
      </c>
      <c r="H2634" s="527">
        <v>14400</v>
      </c>
      <c r="I2634" s="524" t="s">
        <v>1174</v>
      </c>
      <c r="J2634" s="524">
        <f>IF(cmf[[#This Row],[D/C]]="C",cmf[[#This Row],[Valor]],-1*cmf[[#This Row],[Valor]])</f>
        <v>-14400</v>
      </c>
      <c r="L2634" s="524" t="s">
        <v>1188</v>
      </c>
      <c r="M2634" s="524" t="s">
        <v>1189</v>
      </c>
      <c r="N2634" s="524" t="s">
        <v>1223</v>
      </c>
      <c r="O2634" s="524" t="s">
        <v>1224</v>
      </c>
      <c r="P2634" s="526">
        <v>46233</v>
      </c>
      <c r="S2634" s="527">
        <v>0</v>
      </c>
    </row>
    <row r="2635" spans="1:19" x14ac:dyDescent="0.2">
      <c r="A2635" s="524">
        <v>71563</v>
      </c>
      <c r="B2635" s="526">
        <v>46233</v>
      </c>
      <c r="C2635" s="524" t="s">
        <v>1148</v>
      </c>
      <c r="D2635" s="524" t="s">
        <v>1186</v>
      </c>
      <c r="E2635" s="524" t="s">
        <v>2773</v>
      </c>
      <c r="F2635" s="524" t="s">
        <v>1183</v>
      </c>
      <c r="G2635" s="524" t="s">
        <v>758</v>
      </c>
      <c r="H2635" s="527">
        <v>3200</v>
      </c>
      <c r="I2635" s="524" t="s">
        <v>1174</v>
      </c>
      <c r="J2635" s="524">
        <f>IF(cmf[[#This Row],[D/C]]="C",cmf[[#This Row],[Valor]],-1*cmf[[#This Row],[Valor]])</f>
        <v>-3200</v>
      </c>
      <c r="L2635" s="524" t="s">
        <v>1188</v>
      </c>
      <c r="M2635" s="524" t="s">
        <v>1189</v>
      </c>
      <c r="N2635" s="524" t="s">
        <v>1223</v>
      </c>
      <c r="O2635" s="524" t="s">
        <v>1224</v>
      </c>
      <c r="P2635" s="526">
        <v>46233</v>
      </c>
      <c r="S2635" s="527">
        <v>0</v>
      </c>
    </row>
    <row r="2636" spans="1:19" x14ac:dyDescent="0.2">
      <c r="A2636" s="524">
        <v>71564</v>
      </c>
      <c r="B2636" s="526">
        <v>46233</v>
      </c>
      <c r="C2636" s="524" t="s">
        <v>1148</v>
      </c>
      <c r="D2636" s="524" t="s">
        <v>1186</v>
      </c>
      <c r="E2636" s="524" t="s">
        <v>2774</v>
      </c>
      <c r="F2636" s="524" t="s">
        <v>1183</v>
      </c>
      <c r="G2636" s="524" t="s">
        <v>758</v>
      </c>
      <c r="H2636" s="527">
        <v>5000</v>
      </c>
      <c r="I2636" s="524" t="s">
        <v>1174</v>
      </c>
      <c r="J2636" s="524">
        <f>IF(cmf[[#This Row],[D/C]]="C",cmf[[#This Row],[Valor]],-1*cmf[[#This Row],[Valor]])</f>
        <v>-5000</v>
      </c>
      <c r="L2636" s="524" t="s">
        <v>1188</v>
      </c>
      <c r="M2636" s="524" t="s">
        <v>1189</v>
      </c>
      <c r="N2636" s="524" t="s">
        <v>1223</v>
      </c>
      <c r="O2636" s="524" t="s">
        <v>1224</v>
      </c>
      <c r="P2636" s="526">
        <v>46233</v>
      </c>
      <c r="S2636" s="527">
        <v>0</v>
      </c>
    </row>
    <row r="2637" spans="1:19" x14ac:dyDescent="0.2">
      <c r="A2637" s="524">
        <v>71567</v>
      </c>
      <c r="B2637" s="526">
        <v>46233</v>
      </c>
      <c r="C2637" s="524" t="s">
        <v>1148</v>
      </c>
      <c r="D2637" s="524" t="s">
        <v>1186</v>
      </c>
      <c r="E2637" s="524" t="s">
        <v>2775</v>
      </c>
      <c r="F2637" s="524" t="s">
        <v>1183</v>
      </c>
      <c r="G2637" s="524" t="s">
        <v>758</v>
      </c>
      <c r="H2637" s="527">
        <v>4300</v>
      </c>
      <c r="I2637" s="524" t="s">
        <v>1174</v>
      </c>
      <c r="J2637" s="524">
        <f>IF(cmf[[#This Row],[D/C]]="C",cmf[[#This Row],[Valor]],-1*cmf[[#This Row],[Valor]])</f>
        <v>-4300</v>
      </c>
      <c r="L2637" s="524" t="s">
        <v>1188</v>
      </c>
      <c r="M2637" s="524" t="s">
        <v>1189</v>
      </c>
      <c r="N2637" s="524" t="s">
        <v>1223</v>
      </c>
      <c r="O2637" s="524" t="s">
        <v>1224</v>
      </c>
      <c r="P2637" s="526">
        <v>46233</v>
      </c>
      <c r="S2637" s="527">
        <v>0</v>
      </c>
    </row>
    <row r="2638" spans="1:19" x14ac:dyDescent="0.2">
      <c r="A2638" s="524">
        <v>71568</v>
      </c>
      <c r="B2638" s="526">
        <v>46233</v>
      </c>
      <c r="C2638" s="524" t="s">
        <v>1148</v>
      </c>
      <c r="D2638" s="524" t="s">
        <v>1186</v>
      </c>
      <c r="E2638" s="524" t="s">
        <v>2776</v>
      </c>
      <c r="F2638" s="524" t="s">
        <v>1183</v>
      </c>
      <c r="G2638" s="524" t="s">
        <v>758</v>
      </c>
      <c r="H2638" s="527">
        <v>15996</v>
      </c>
      <c r="I2638" s="524" t="s">
        <v>1174</v>
      </c>
      <c r="J2638" s="524">
        <f>IF(cmf[[#This Row],[D/C]]="C",cmf[[#This Row],[Valor]],-1*cmf[[#This Row],[Valor]])</f>
        <v>-15996</v>
      </c>
      <c r="L2638" s="524" t="s">
        <v>1188</v>
      </c>
      <c r="M2638" s="524" t="s">
        <v>1189</v>
      </c>
      <c r="N2638" s="524" t="s">
        <v>1223</v>
      </c>
      <c r="O2638" s="524" t="s">
        <v>1224</v>
      </c>
      <c r="P2638" s="526">
        <v>46233</v>
      </c>
      <c r="S2638" s="527">
        <v>0</v>
      </c>
    </row>
    <row r="2639" spans="1:19" x14ac:dyDescent="0.2">
      <c r="A2639" s="524">
        <v>71569</v>
      </c>
      <c r="B2639" s="526">
        <v>46233</v>
      </c>
      <c r="C2639" s="524" t="s">
        <v>1148</v>
      </c>
      <c r="D2639" s="524" t="s">
        <v>1186</v>
      </c>
      <c r="E2639" s="524" t="s">
        <v>2777</v>
      </c>
      <c r="F2639" s="524" t="s">
        <v>1183</v>
      </c>
      <c r="G2639" s="524" t="s">
        <v>758</v>
      </c>
      <c r="H2639" s="527">
        <v>24690</v>
      </c>
      <c r="I2639" s="524" t="s">
        <v>1174</v>
      </c>
      <c r="J2639" s="524">
        <f>IF(cmf[[#This Row],[D/C]]="C",cmf[[#This Row],[Valor]],-1*cmf[[#This Row],[Valor]])</f>
        <v>-24690</v>
      </c>
      <c r="L2639" s="524" t="s">
        <v>1188</v>
      </c>
      <c r="M2639" s="524" t="s">
        <v>1189</v>
      </c>
      <c r="N2639" s="524" t="s">
        <v>1223</v>
      </c>
      <c r="O2639" s="524" t="s">
        <v>1224</v>
      </c>
      <c r="P2639" s="526">
        <v>46233</v>
      </c>
      <c r="S2639" s="527">
        <v>0</v>
      </c>
    </row>
    <row r="2640" spans="1:19" x14ac:dyDescent="0.2">
      <c r="A2640" s="524">
        <v>71570</v>
      </c>
      <c r="B2640" s="526">
        <v>46233</v>
      </c>
      <c r="C2640" s="524" t="s">
        <v>1148</v>
      </c>
      <c r="D2640" s="524" t="s">
        <v>1186</v>
      </c>
      <c r="E2640" s="524" t="s">
        <v>2778</v>
      </c>
      <c r="F2640" s="524" t="s">
        <v>1183</v>
      </c>
      <c r="G2640" s="524" t="s">
        <v>758</v>
      </c>
      <c r="H2640" s="527">
        <v>2000</v>
      </c>
      <c r="I2640" s="524" t="s">
        <v>1174</v>
      </c>
      <c r="J2640" s="524">
        <f>IF(cmf[[#This Row],[D/C]]="C",cmf[[#This Row],[Valor]],-1*cmf[[#This Row],[Valor]])</f>
        <v>-2000</v>
      </c>
      <c r="L2640" s="524" t="s">
        <v>1188</v>
      </c>
      <c r="M2640" s="524" t="s">
        <v>1189</v>
      </c>
      <c r="N2640" s="524" t="s">
        <v>1223</v>
      </c>
      <c r="O2640" s="524" t="s">
        <v>1224</v>
      </c>
      <c r="P2640" s="526">
        <v>46233</v>
      </c>
      <c r="S2640" s="527">
        <v>0</v>
      </c>
    </row>
    <row r="2641" spans="1:19" x14ac:dyDescent="0.2">
      <c r="A2641" s="524">
        <v>71571</v>
      </c>
      <c r="B2641" s="526">
        <v>46233</v>
      </c>
      <c r="C2641" s="524" t="s">
        <v>1148</v>
      </c>
      <c r="D2641" s="524" t="s">
        <v>1186</v>
      </c>
      <c r="E2641" s="524" t="s">
        <v>2779</v>
      </c>
      <c r="F2641" s="524" t="s">
        <v>1183</v>
      </c>
      <c r="G2641" s="524" t="s">
        <v>758</v>
      </c>
      <c r="H2641" s="527">
        <v>3485.6</v>
      </c>
      <c r="I2641" s="524" t="s">
        <v>1174</v>
      </c>
      <c r="J2641" s="524">
        <f>IF(cmf[[#This Row],[D/C]]="C",cmf[[#This Row],[Valor]],-1*cmf[[#This Row],[Valor]])</f>
        <v>-3485.6</v>
      </c>
      <c r="L2641" s="524" t="s">
        <v>1188</v>
      </c>
      <c r="M2641" s="524" t="s">
        <v>1189</v>
      </c>
      <c r="N2641" s="524" t="s">
        <v>1223</v>
      </c>
      <c r="O2641" s="524" t="s">
        <v>1224</v>
      </c>
      <c r="P2641" s="526">
        <v>46233</v>
      </c>
      <c r="S2641" s="527">
        <v>0</v>
      </c>
    </row>
    <row r="2642" spans="1:19" x14ac:dyDescent="0.2">
      <c r="A2642" s="524">
        <v>71580</v>
      </c>
      <c r="B2642" s="526">
        <v>46233</v>
      </c>
      <c r="C2642" s="524" t="s">
        <v>1148</v>
      </c>
      <c r="D2642" s="524" t="s">
        <v>1186</v>
      </c>
      <c r="E2642" s="524" t="s">
        <v>2780</v>
      </c>
      <c r="F2642" s="524" t="s">
        <v>1183</v>
      </c>
      <c r="G2642" s="524" t="s">
        <v>758</v>
      </c>
      <c r="H2642" s="527">
        <v>491.75</v>
      </c>
      <c r="I2642" s="524" t="s">
        <v>1174</v>
      </c>
      <c r="J2642" s="524">
        <f>IF(cmf[[#This Row],[D/C]]="C",cmf[[#This Row],[Valor]],-1*cmf[[#This Row],[Valor]])</f>
        <v>-491.75</v>
      </c>
      <c r="L2642" s="524" t="s">
        <v>1188</v>
      </c>
      <c r="M2642" s="524" t="s">
        <v>1189</v>
      </c>
      <c r="N2642" s="524" t="s">
        <v>1223</v>
      </c>
      <c r="O2642" s="524" t="s">
        <v>1224</v>
      </c>
      <c r="P2642" s="526">
        <v>46233</v>
      </c>
      <c r="S2642" s="527">
        <v>0</v>
      </c>
    </row>
    <row r="2643" spans="1:19" x14ac:dyDescent="0.2">
      <c r="A2643" s="524">
        <v>71581</v>
      </c>
      <c r="B2643" s="526">
        <v>46233</v>
      </c>
      <c r="C2643" s="524" t="s">
        <v>1148</v>
      </c>
      <c r="D2643" s="524" t="s">
        <v>1186</v>
      </c>
      <c r="E2643" s="524" t="s">
        <v>2781</v>
      </c>
      <c r="F2643" s="524" t="s">
        <v>1183</v>
      </c>
      <c r="G2643" s="524" t="s">
        <v>758</v>
      </c>
      <c r="H2643" s="527">
        <v>487.48</v>
      </c>
      <c r="I2643" s="524" t="s">
        <v>1174</v>
      </c>
      <c r="J2643" s="524">
        <f>IF(cmf[[#This Row],[D/C]]="C",cmf[[#This Row],[Valor]],-1*cmf[[#This Row],[Valor]])</f>
        <v>-487.48</v>
      </c>
      <c r="L2643" s="524" t="s">
        <v>1188</v>
      </c>
      <c r="M2643" s="524" t="s">
        <v>1189</v>
      </c>
      <c r="N2643" s="524" t="s">
        <v>1223</v>
      </c>
      <c r="O2643" s="524" t="s">
        <v>1224</v>
      </c>
      <c r="P2643" s="526">
        <v>46233</v>
      </c>
      <c r="S2643" s="527">
        <v>0</v>
      </c>
    </row>
    <row r="2644" spans="1:19" x14ac:dyDescent="0.2">
      <c r="A2644" s="524">
        <v>71582</v>
      </c>
      <c r="B2644" s="526">
        <v>46233</v>
      </c>
      <c r="C2644" s="524" t="s">
        <v>1148</v>
      </c>
      <c r="D2644" s="524" t="s">
        <v>1186</v>
      </c>
      <c r="E2644" s="524" t="s">
        <v>2782</v>
      </c>
      <c r="F2644" s="524" t="s">
        <v>1183</v>
      </c>
      <c r="G2644" s="524" t="s">
        <v>758</v>
      </c>
      <c r="H2644" s="527">
        <v>496.11</v>
      </c>
      <c r="I2644" s="524" t="s">
        <v>1174</v>
      </c>
      <c r="J2644" s="524">
        <f>IF(cmf[[#This Row],[D/C]]="C",cmf[[#This Row],[Valor]],-1*cmf[[#This Row],[Valor]])</f>
        <v>-496.11</v>
      </c>
      <c r="L2644" s="524" t="s">
        <v>1188</v>
      </c>
      <c r="M2644" s="524" t="s">
        <v>1189</v>
      </c>
      <c r="N2644" s="524" t="s">
        <v>1223</v>
      </c>
      <c r="O2644" s="524" t="s">
        <v>1224</v>
      </c>
      <c r="P2644" s="526">
        <v>46233</v>
      </c>
      <c r="S2644" s="527">
        <v>0</v>
      </c>
    </row>
    <row r="2645" spans="1:19" x14ac:dyDescent="0.2">
      <c r="A2645" s="524">
        <v>71583</v>
      </c>
      <c r="B2645" s="526">
        <v>46233</v>
      </c>
      <c r="C2645" s="524" t="s">
        <v>1148</v>
      </c>
      <c r="D2645" s="524" t="s">
        <v>1186</v>
      </c>
      <c r="E2645" s="524" t="s">
        <v>2783</v>
      </c>
      <c r="F2645" s="524" t="s">
        <v>1183</v>
      </c>
      <c r="G2645" s="524" t="s">
        <v>758</v>
      </c>
      <c r="H2645" s="527">
        <v>500.94</v>
      </c>
      <c r="I2645" s="524" t="s">
        <v>1174</v>
      </c>
      <c r="J2645" s="524">
        <f>IF(cmf[[#This Row],[D/C]]="C",cmf[[#This Row],[Valor]],-1*cmf[[#This Row],[Valor]])</f>
        <v>-500.94</v>
      </c>
      <c r="L2645" s="524" t="s">
        <v>1188</v>
      </c>
      <c r="M2645" s="524" t="s">
        <v>1189</v>
      </c>
      <c r="N2645" s="524" t="s">
        <v>1223</v>
      </c>
      <c r="O2645" s="524" t="s">
        <v>1224</v>
      </c>
      <c r="P2645" s="526">
        <v>46233</v>
      </c>
      <c r="S2645" s="527">
        <v>0</v>
      </c>
    </row>
    <row r="2646" spans="1:19" x14ac:dyDescent="0.2">
      <c r="A2646" s="524">
        <v>71584</v>
      </c>
      <c r="B2646" s="526">
        <v>46233</v>
      </c>
      <c r="C2646" s="524" t="s">
        <v>1148</v>
      </c>
      <c r="D2646" s="524" t="s">
        <v>1186</v>
      </c>
      <c r="E2646" s="524" t="s">
        <v>2784</v>
      </c>
      <c r="F2646" s="524" t="s">
        <v>1183</v>
      </c>
      <c r="G2646" s="524" t="s">
        <v>758</v>
      </c>
      <c r="H2646" s="527">
        <v>412.36</v>
      </c>
      <c r="I2646" s="524" t="s">
        <v>1174</v>
      </c>
      <c r="J2646" s="524">
        <f>IF(cmf[[#This Row],[D/C]]="C",cmf[[#This Row],[Valor]],-1*cmf[[#This Row],[Valor]])</f>
        <v>-412.36</v>
      </c>
      <c r="L2646" s="524" t="s">
        <v>1188</v>
      </c>
      <c r="M2646" s="524" t="s">
        <v>1189</v>
      </c>
      <c r="N2646" s="524" t="s">
        <v>1223</v>
      </c>
      <c r="O2646" s="524" t="s">
        <v>1224</v>
      </c>
      <c r="P2646" s="526">
        <v>46233</v>
      </c>
      <c r="S2646" s="527">
        <v>0</v>
      </c>
    </row>
    <row r="2647" spans="1:19" x14ac:dyDescent="0.2">
      <c r="A2647" s="524">
        <v>71585</v>
      </c>
      <c r="B2647" s="526">
        <v>46233</v>
      </c>
      <c r="C2647" s="524" t="s">
        <v>1148</v>
      </c>
      <c r="D2647" s="524" t="s">
        <v>1186</v>
      </c>
      <c r="E2647" s="524" t="s">
        <v>2785</v>
      </c>
      <c r="F2647" s="524" t="s">
        <v>1183</v>
      </c>
      <c r="G2647" s="524" t="s">
        <v>758</v>
      </c>
      <c r="H2647" s="527">
        <v>455.87</v>
      </c>
      <c r="I2647" s="524" t="s">
        <v>1174</v>
      </c>
      <c r="J2647" s="524">
        <f>IF(cmf[[#This Row],[D/C]]="C",cmf[[#This Row],[Valor]],-1*cmf[[#This Row],[Valor]])</f>
        <v>-455.87</v>
      </c>
      <c r="L2647" s="524" t="s">
        <v>1188</v>
      </c>
      <c r="M2647" s="524" t="s">
        <v>1189</v>
      </c>
      <c r="N2647" s="524" t="s">
        <v>1223</v>
      </c>
      <c r="O2647" s="524" t="s">
        <v>1224</v>
      </c>
      <c r="P2647" s="526">
        <v>46233</v>
      </c>
      <c r="S2647" s="527">
        <v>0</v>
      </c>
    </row>
    <row r="2648" spans="1:19" x14ac:dyDescent="0.2">
      <c r="A2648" s="524">
        <v>71586</v>
      </c>
      <c r="B2648" s="526">
        <v>46233</v>
      </c>
      <c r="C2648" s="524" t="s">
        <v>1148</v>
      </c>
      <c r="D2648" s="524" t="s">
        <v>1186</v>
      </c>
      <c r="E2648" s="524" t="s">
        <v>2786</v>
      </c>
      <c r="F2648" s="524" t="s">
        <v>1183</v>
      </c>
      <c r="G2648" s="524" t="s">
        <v>758</v>
      </c>
      <c r="H2648" s="527">
        <v>2214.58</v>
      </c>
      <c r="I2648" s="524" t="s">
        <v>1174</v>
      </c>
      <c r="J2648" s="524">
        <f>IF(cmf[[#This Row],[D/C]]="C",cmf[[#This Row],[Valor]],-1*cmf[[#This Row],[Valor]])</f>
        <v>-2214.58</v>
      </c>
      <c r="L2648" s="524" t="s">
        <v>1188</v>
      </c>
      <c r="M2648" s="524" t="s">
        <v>1189</v>
      </c>
      <c r="N2648" s="524" t="s">
        <v>1223</v>
      </c>
      <c r="O2648" s="524" t="s">
        <v>1224</v>
      </c>
      <c r="P2648" s="526">
        <v>46233</v>
      </c>
      <c r="S2648" s="527">
        <v>0</v>
      </c>
    </row>
    <row r="2649" spans="1:19" x14ac:dyDescent="0.2">
      <c r="A2649" s="524">
        <v>71587</v>
      </c>
      <c r="B2649" s="526">
        <v>46233</v>
      </c>
      <c r="C2649" s="524" t="s">
        <v>1148</v>
      </c>
      <c r="D2649" s="524" t="s">
        <v>1186</v>
      </c>
      <c r="E2649" s="524" t="s">
        <v>2787</v>
      </c>
      <c r="F2649" s="524" t="s">
        <v>1183</v>
      </c>
      <c r="G2649" s="524" t="s">
        <v>758</v>
      </c>
      <c r="H2649" s="527">
        <v>343.83</v>
      </c>
      <c r="I2649" s="524" t="s">
        <v>1174</v>
      </c>
      <c r="J2649" s="524">
        <f>IF(cmf[[#This Row],[D/C]]="C",cmf[[#This Row],[Valor]],-1*cmf[[#This Row],[Valor]])</f>
        <v>-343.83</v>
      </c>
      <c r="L2649" s="524" t="s">
        <v>1188</v>
      </c>
      <c r="M2649" s="524" t="s">
        <v>1189</v>
      </c>
      <c r="N2649" s="524" t="s">
        <v>1223</v>
      </c>
      <c r="O2649" s="524" t="s">
        <v>1224</v>
      </c>
      <c r="P2649" s="526">
        <v>46233</v>
      </c>
      <c r="S2649" s="527">
        <v>0</v>
      </c>
    </row>
    <row r="2650" spans="1:19" x14ac:dyDescent="0.2">
      <c r="A2650" s="524">
        <v>71588</v>
      </c>
      <c r="B2650" s="526">
        <v>46233</v>
      </c>
      <c r="C2650" s="524" t="s">
        <v>1148</v>
      </c>
      <c r="D2650" s="524" t="s">
        <v>1186</v>
      </c>
      <c r="E2650" s="524" t="s">
        <v>2788</v>
      </c>
      <c r="F2650" s="524" t="s">
        <v>1183</v>
      </c>
      <c r="G2650" s="524" t="s">
        <v>800</v>
      </c>
      <c r="H2650" s="527">
        <v>11800</v>
      </c>
      <c r="I2650" s="524" t="s">
        <v>1174</v>
      </c>
      <c r="J2650" s="524">
        <f>IF(cmf[[#This Row],[D/C]]="C",cmf[[#This Row],[Valor]],-1*cmf[[#This Row],[Valor]])</f>
        <v>-11800</v>
      </c>
      <c r="L2650" s="524" t="s">
        <v>1188</v>
      </c>
      <c r="M2650" s="524" t="s">
        <v>1189</v>
      </c>
      <c r="N2650" s="524" t="s">
        <v>1171</v>
      </c>
      <c r="O2650" s="524" t="s">
        <v>1172</v>
      </c>
      <c r="P2650" s="526">
        <v>46233</v>
      </c>
      <c r="S2650" s="527">
        <v>0</v>
      </c>
    </row>
    <row r="2651" spans="1:19" x14ac:dyDescent="0.2">
      <c r="A2651" s="524">
        <v>71589</v>
      </c>
      <c r="B2651" s="526">
        <v>46233</v>
      </c>
      <c r="C2651" s="524" t="s">
        <v>1148</v>
      </c>
      <c r="D2651" s="524" t="s">
        <v>1205</v>
      </c>
      <c r="E2651" s="524" t="s">
        <v>1536</v>
      </c>
      <c r="F2651" s="524" t="s">
        <v>1183</v>
      </c>
      <c r="G2651" s="524" t="s">
        <v>742</v>
      </c>
      <c r="H2651" s="527">
        <v>53000</v>
      </c>
      <c r="I2651" s="524" t="s">
        <v>1174</v>
      </c>
      <c r="J2651" s="524">
        <f>IF(cmf[[#This Row],[D/C]]="C",cmf[[#This Row],[Valor]],-1*cmf[[#This Row],[Valor]])</f>
        <v>-53000</v>
      </c>
      <c r="L2651" s="524" t="s">
        <v>1207</v>
      </c>
      <c r="M2651" s="524" t="s">
        <v>1208</v>
      </c>
      <c r="N2651" s="524" t="s">
        <v>1215</v>
      </c>
      <c r="O2651" s="524" t="s">
        <v>1218</v>
      </c>
      <c r="P2651" s="526">
        <v>46233</v>
      </c>
      <c r="S2651" s="527">
        <v>0</v>
      </c>
    </row>
    <row r="2652" spans="1:19" x14ac:dyDescent="0.2">
      <c r="A2652" s="524">
        <v>71590</v>
      </c>
      <c r="B2652" s="526">
        <v>46233</v>
      </c>
      <c r="C2652" s="524" t="s">
        <v>1148</v>
      </c>
      <c r="D2652" s="524" t="s">
        <v>1205</v>
      </c>
      <c r="E2652" s="524" t="s">
        <v>1217</v>
      </c>
      <c r="F2652" s="524" t="s">
        <v>1183</v>
      </c>
      <c r="G2652" s="524" t="s">
        <v>745</v>
      </c>
      <c r="H2652" s="527">
        <v>53000</v>
      </c>
      <c r="I2652" s="524" t="s">
        <v>1148</v>
      </c>
      <c r="J2652" s="524">
        <f>IF(cmf[[#This Row],[D/C]]="C",cmf[[#This Row],[Valor]],-1*cmf[[#This Row],[Valor]])</f>
        <v>53000</v>
      </c>
      <c r="L2652" s="524" t="s">
        <v>1207</v>
      </c>
      <c r="M2652" s="524" t="s">
        <v>1208</v>
      </c>
      <c r="N2652" s="524" t="s">
        <v>1292</v>
      </c>
      <c r="O2652" s="524" t="s">
        <v>1293</v>
      </c>
      <c r="P2652" s="526">
        <v>46233</v>
      </c>
      <c r="S2652" s="527">
        <v>0</v>
      </c>
    </row>
    <row r="2653" spans="1:19" x14ac:dyDescent="0.2">
      <c r="A2653" s="524">
        <v>71591</v>
      </c>
      <c r="B2653" s="526">
        <v>46233</v>
      </c>
      <c r="C2653" s="524" t="s">
        <v>1148</v>
      </c>
      <c r="D2653" s="524" t="s">
        <v>1186</v>
      </c>
      <c r="E2653" s="524" t="s">
        <v>2789</v>
      </c>
      <c r="F2653" s="524" t="s">
        <v>1183</v>
      </c>
      <c r="G2653" s="524" t="s">
        <v>758</v>
      </c>
      <c r="H2653" s="527">
        <v>7475.8</v>
      </c>
      <c r="I2653" s="524" t="s">
        <v>1174</v>
      </c>
      <c r="J2653" s="524">
        <f>IF(cmf[[#This Row],[D/C]]="C",cmf[[#This Row],[Valor]],-1*cmf[[#This Row],[Valor]])</f>
        <v>-7475.8</v>
      </c>
      <c r="L2653" s="524" t="s">
        <v>1188</v>
      </c>
      <c r="M2653" s="524" t="s">
        <v>1189</v>
      </c>
      <c r="N2653" s="524" t="s">
        <v>1223</v>
      </c>
      <c r="O2653" s="524" t="s">
        <v>1224</v>
      </c>
      <c r="P2653" s="526">
        <v>46233</v>
      </c>
      <c r="S2653" s="527">
        <v>0</v>
      </c>
    </row>
    <row r="2654" spans="1:19" x14ac:dyDescent="0.2">
      <c r="A2654" s="524">
        <v>71592</v>
      </c>
      <c r="B2654" s="526">
        <v>46233</v>
      </c>
      <c r="C2654" s="524" t="s">
        <v>1148</v>
      </c>
      <c r="D2654" s="524" t="s">
        <v>1186</v>
      </c>
      <c r="E2654" s="524" t="s">
        <v>2790</v>
      </c>
      <c r="F2654" s="524" t="s">
        <v>1183</v>
      </c>
      <c r="G2654" s="524" t="s">
        <v>758</v>
      </c>
      <c r="H2654" s="527">
        <v>5075.8</v>
      </c>
      <c r="I2654" s="524" t="s">
        <v>1174</v>
      </c>
      <c r="J2654" s="524">
        <f>IF(cmf[[#This Row],[D/C]]="C",cmf[[#This Row],[Valor]],-1*cmf[[#This Row],[Valor]])</f>
        <v>-5075.8</v>
      </c>
      <c r="L2654" s="524" t="s">
        <v>1188</v>
      </c>
      <c r="M2654" s="524" t="s">
        <v>1189</v>
      </c>
      <c r="N2654" s="524" t="s">
        <v>1223</v>
      </c>
      <c r="O2654" s="524" t="s">
        <v>1224</v>
      </c>
      <c r="P2654" s="526">
        <v>46233</v>
      </c>
      <c r="S2654" s="527">
        <v>0</v>
      </c>
    </row>
    <row r="2655" spans="1:19" x14ac:dyDescent="0.2">
      <c r="A2655" s="524">
        <v>71593</v>
      </c>
      <c r="B2655" s="526">
        <v>46233</v>
      </c>
      <c r="C2655" s="524" t="s">
        <v>1148</v>
      </c>
      <c r="D2655" s="524" t="s">
        <v>1186</v>
      </c>
      <c r="E2655" s="524" t="s">
        <v>2791</v>
      </c>
      <c r="F2655" s="524" t="s">
        <v>1183</v>
      </c>
      <c r="G2655" s="524" t="s">
        <v>758</v>
      </c>
      <c r="H2655" s="527">
        <v>5375.8</v>
      </c>
      <c r="I2655" s="524" t="s">
        <v>1174</v>
      </c>
      <c r="J2655" s="524">
        <f>IF(cmf[[#This Row],[D/C]]="C",cmf[[#This Row],[Valor]],-1*cmf[[#This Row],[Valor]])</f>
        <v>-5375.8</v>
      </c>
      <c r="L2655" s="524" t="s">
        <v>1188</v>
      </c>
      <c r="M2655" s="524" t="s">
        <v>1189</v>
      </c>
      <c r="N2655" s="524" t="s">
        <v>1223</v>
      </c>
      <c r="O2655" s="524" t="s">
        <v>1224</v>
      </c>
      <c r="P2655" s="526">
        <v>46233</v>
      </c>
      <c r="S2655" s="527">
        <v>0</v>
      </c>
    </row>
    <row r="2656" spans="1:19" x14ac:dyDescent="0.2">
      <c r="A2656" s="524">
        <v>71594</v>
      </c>
      <c r="B2656" s="526">
        <v>46233</v>
      </c>
      <c r="C2656" s="524" t="s">
        <v>1148</v>
      </c>
      <c r="D2656" s="524" t="s">
        <v>1186</v>
      </c>
      <c r="E2656" s="524" t="s">
        <v>2792</v>
      </c>
      <c r="F2656" s="524" t="s">
        <v>1183</v>
      </c>
      <c r="G2656" s="524" t="s">
        <v>758</v>
      </c>
      <c r="H2656" s="527">
        <v>7475.8</v>
      </c>
      <c r="I2656" s="524" t="s">
        <v>1174</v>
      </c>
      <c r="J2656" s="524">
        <f>IF(cmf[[#This Row],[D/C]]="C",cmf[[#This Row],[Valor]],-1*cmf[[#This Row],[Valor]])</f>
        <v>-7475.8</v>
      </c>
      <c r="L2656" s="524" t="s">
        <v>1188</v>
      </c>
      <c r="M2656" s="524" t="s">
        <v>1189</v>
      </c>
      <c r="N2656" s="524" t="s">
        <v>1223</v>
      </c>
      <c r="O2656" s="524" t="s">
        <v>1224</v>
      </c>
      <c r="P2656" s="526">
        <v>46233</v>
      </c>
      <c r="S2656" s="527">
        <v>0</v>
      </c>
    </row>
    <row r="2657" spans="1:19" x14ac:dyDescent="0.2">
      <c r="A2657" s="524">
        <v>71595</v>
      </c>
      <c r="B2657" s="526">
        <v>46233</v>
      </c>
      <c r="C2657" s="524" t="s">
        <v>1148</v>
      </c>
      <c r="D2657" s="524" t="s">
        <v>1186</v>
      </c>
      <c r="E2657" s="524" t="s">
        <v>2793</v>
      </c>
      <c r="F2657" s="524" t="s">
        <v>1183</v>
      </c>
      <c r="G2657" s="524" t="s">
        <v>758</v>
      </c>
      <c r="H2657" s="527">
        <v>5075.8</v>
      </c>
      <c r="I2657" s="524" t="s">
        <v>1174</v>
      </c>
      <c r="J2657" s="524">
        <f>IF(cmf[[#This Row],[D/C]]="C",cmf[[#This Row],[Valor]],-1*cmf[[#This Row],[Valor]])</f>
        <v>-5075.8</v>
      </c>
      <c r="L2657" s="524" t="s">
        <v>1188</v>
      </c>
      <c r="M2657" s="524" t="s">
        <v>1189</v>
      </c>
      <c r="N2657" s="524" t="s">
        <v>1223</v>
      </c>
      <c r="O2657" s="524" t="s">
        <v>1224</v>
      </c>
      <c r="P2657" s="526">
        <v>46233</v>
      </c>
      <c r="S2657" s="527">
        <v>0</v>
      </c>
    </row>
    <row r="2658" spans="1:19" x14ac:dyDescent="0.2">
      <c r="A2658" s="524">
        <v>71596</v>
      </c>
      <c r="B2658" s="526">
        <v>46233</v>
      </c>
      <c r="C2658" s="524" t="s">
        <v>1148</v>
      </c>
      <c r="D2658" s="524" t="s">
        <v>1186</v>
      </c>
      <c r="E2658" s="524" t="s">
        <v>2794</v>
      </c>
      <c r="F2658" s="524" t="s">
        <v>1183</v>
      </c>
      <c r="G2658" s="524" t="s">
        <v>758</v>
      </c>
      <c r="H2658" s="527">
        <v>10475.799999999999</v>
      </c>
      <c r="I2658" s="524" t="s">
        <v>1174</v>
      </c>
      <c r="J2658" s="524">
        <f>IF(cmf[[#This Row],[D/C]]="C",cmf[[#This Row],[Valor]],-1*cmf[[#This Row],[Valor]])</f>
        <v>-10475.799999999999</v>
      </c>
      <c r="L2658" s="524" t="s">
        <v>1188</v>
      </c>
      <c r="M2658" s="524" t="s">
        <v>1189</v>
      </c>
      <c r="N2658" s="524" t="s">
        <v>1223</v>
      </c>
      <c r="O2658" s="524" t="s">
        <v>1224</v>
      </c>
      <c r="P2658" s="526">
        <v>46233</v>
      </c>
      <c r="S2658" s="527">
        <v>0</v>
      </c>
    </row>
    <row r="2659" spans="1:19" x14ac:dyDescent="0.2">
      <c r="A2659" s="524">
        <v>71597</v>
      </c>
      <c r="B2659" s="526">
        <v>46233</v>
      </c>
      <c r="C2659" s="524" t="s">
        <v>1148</v>
      </c>
      <c r="D2659" s="524" t="s">
        <v>1186</v>
      </c>
      <c r="E2659" s="524" t="s">
        <v>2795</v>
      </c>
      <c r="F2659" s="524" t="s">
        <v>1183</v>
      </c>
      <c r="G2659" s="524" t="s">
        <v>758</v>
      </c>
      <c r="H2659" s="527">
        <v>7475.8</v>
      </c>
      <c r="I2659" s="524" t="s">
        <v>1174</v>
      </c>
      <c r="J2659" s="524">
        <f>IF(cmf[[#This Row],[D/C]]="C",cmf[[#This Row],[Valor]],-1*cmf[[#This Row],[Valor]])</f>
        <v>-7475.8</v>
      </c>
      <c r="L2659" s="524" t="s">
        <v>1188</v>
      </c>
      <c r="M2659" s="524" t="s">
        <v>1189</v>
      </c>
      <c r="N2659" s="524" t="s">
        <v>1223</v>
      </c>
      <c r="O2659" s="524" t="s">
        <v>1224</v>
      </c>
      <c r="P2659" s="526">
        <v>46233</v>
      </c>
      <c r="S2659" s="527">
        <v>0</v>
      </c>
    </row>
    <row r="2660" spans="1:19" x14ac:dyDescent="0.2">
      <c r="A2660" s="524">
        <v>71598</v>
      </c>
      <c r="B2660" s="526">
        <v>46233</v>
      </c>
      <c r="C2660" s="524" t="s">
        <v>1148</v>
      </c>
      <c r="D2660" s="524" t="s">
        <v>1186</v>
      </c>
      <c r="E2660" s="524" t="s">
        <v>2796</v>
      </c>
      <c r="F2660" s="524" t="s">
        <v>1183</v>
      </c>
      <c r="G2660" s="524" t="s">
        <v>758</v>
      </c>
      <c r="H2660" s="527">
        <v>7475.8</v>
      </c>
      <c r="I2660" s="524" t="s">
        <v>1174</v>
      </c>
      <c r="J2660" s="524">
        <f>IF(cmf[[#This Row],[D/C]]="C",cmf[[#This Row],[Valor]],-1*cmf[[#This Row],[Valor]])</f>
        <v>-7475.8</v>
      </c>
      <c r="L2660" s="524" t="s">
        <v>1188</v>
      </c>
      <c r="M2660" s="524" t="s">
        <v>1189</v>
      </c>
      <c r="N2660" s="524" t="s">
        <v>1223</v>
      </c>
      <c r="O2660" s="524" t="s">
        <v>1224</v>
      </c>
      <c r="P2660" s="526">
        <v>46233</v>
      </c>
      <c r="S2660" s="527">
        <v>0</v>
      </c>
    </row>
    <row r="2661" spans="1:19" x14ac:dyDescent="0.2">
      <c r="A2661" s="524">
        <v>71599</v>
      </c>
      <c r="B2661" s="526">
        <v>46233</v>
      </c>
      <c r="C2661" s="524" t="s">
        <v>1148</v>
      </c>
      <c r="D2661" s="524" t="s">
        <v>1186</v>
      </c>
      <c r="E2661" s="524" t="s">
        <v>2797</v>
      </c>
      <c r="F2661" s="524" t="s">
        <v>1183</v>
      </c>
      <c r="G2661" s="524" t="s">
        <v>758</v>
      </c>
      <c r="H2661" s="527">
        <v>7475.8</v>
      </c>
      <c r="I2661" s="524" t="s">
        <v>1174</v>
      </c>
      <c r="J2661" s="524">
        <f>IF(cmf[[#This Row],[D/C]]="C",cmf[[#This Row],[Valor]],-1*cmf[[#This Row],[Valor]])</f>
        <v>-7475.8</v>
      </c>
      <c r="L2661" s="524" t="s">
        <v>1188</v>
      </c>
      <c r="M2661" s="524" t="s">
        <v>1189</v>
      </c>
      <c r="N2661" s="524" t="s">
        <v>1223</v>
      </c>
      <c r="O2661" s="524" t="s">
        <v>1224</v>
      </c>
      <c r="P2661" s="526">
        <v>46233</v>
      </c>
      <c r="S2661" s="527">
        <v>0</v>
      </c>
    </row>
    <row r="2662" spans="1:19" x14ac:dyDescent="0.2">
      <c r="A2662" s="524">
        <v>71600</v>
      </c>
      <c r="B2662" s="526">
        <v>46233</v>
      </c>
      <c r="C2662" s="524" t="s">
        <v>1148</v>
      </c>
      <c r="D2662" s="524" t="s">
        <v>1186</v>
      </c>
      <c r="E2662" s="524" t="s">
        <v>2798</v>
      </c>
      <c r="F2662" s="524" t="s">
        <v>1183</v>
      </c>
      <c r="G2662" s="524" t="s">
        <v>758</v>
      </c>
      <c r="H2662" s="527">
        <v>7475.8</v>
      </c>
      <c r="I2662" s="524" t="s">
        <v>1174</v>
      </c>
      <c r="J2662" s="524">
        <f>IF(cmf[[#This Row],[D/C]]="C",cmf[[#This Row],[Valor]],-1*cmf[[#This Row],[Valor]])</f>
        <v>-7475.8</v>
      </c>
      <c r="L2662" s="524" t="s">
        <v>1188</v>
      </c>
      <c r="M2662" s="524" t="s">
        <v>1189</v>
      </c>
      <c r="N2662" s="524" t="s">
        <v>1223</v>
      </c>
      <c r="O2662" s="524" t="s">
        <v>1224</v>
      </c>
      <c r="P2662" s="526">
        <v>46233</v>
      </c>
      <c r="S2662" s="527">
        <v>0</v>
      </c>
    </row>
    <row r="2663" spans="1:19" x14ac:dyDescent="0.2">
      <c r="A2663" s="524">
        <v>71601</v>
      </c>
      <c r="B2663" s="526">
        <v>46233</v>
      </c>
      <c r="C2663" s="524" t="s">
        <v>1148</v>
      </c>
      <c r="D2663" s="524" t="s">
        <v>1186</v>
      </c>
      <c r="E2663" s="524" t="s">
        <v>2799</v>
      </c>
      <c r="F2663" s="524" t="s">
        <v>1183</v>
      </c>
      <c r="G2663" s="524" t="s">
        <v>758</v>
      </c>
      <c r="H2663" s="527">
        <v>7475.8</v>
      </c>
      <c r="I2663" s="524" t="s">
        <v>1174</v>
      </c>
      <c r="J2663" s="524">
        <f>IF(cmf[[#This Row],[D/C]]="C",cmf[[#This Row],[Valor]],-1*cmf[[#This Row],[Valor]])</f>
        <v>-7475.8</v>
      </c>
      <c r="L2663" s="524" t="s">
        <v>1188</v>
      </c>
      <c r="M2663" s="524" t="s">
        <v>1189</v>
      </c>
      <c r="N2663" s="524" t="s">
        <v>1223</v>
      </c>
      <c r="O2663" s="524" t="s">
        <v>1224</v>
      </c>
      <c r="P2663" s="526">
        <v>46233</v>
      </c>
      <c r="S2663" s="527">
        <v>0</v>
      </c>
    </row>
    <row r="2664" spans="1:19" x14ac:dyDescent="0.2">
      <c r="A2664" s="524">
        <v>71602</v>
      </c>
      <c r="B2664" s="526">
        <v>46233</v>
      </c>
      <c r="C2664" s="524" t="s">
        <v>1148</v>
      </c>
      <c r="D2664" s="524" t="s">
        <v>1186</v>
      </c>
      <c r="E2664" s="524" t="s">
        <v>2800</v>
      </c>
      <c r="F2664" s="524" t="s">
        <v>1183</v>
      </c>
      <c r="G2664" s="524" t="s">
        <v>758</v>
      </c>
      <c r="H2664" s="527">
        <v>5075.8</v>
      </c>
      <c r="I2664" s="524" t="s">
        <v>1174</v>
      </c>
      <c r="J2664" s="524">
        <f>IF(cmf[[#This Row],[D/C]]="C",cmf[[#This Row],[Valor]],-1*cmf[[#This Row],[Valor]])</f>
        <v>-5075.8</v>
      </c>
      <c r="L2664" s="524" t="s">
        <v>1188</v>
      </c>
      <c r="M2664" s="524" t="s">
        <v>1189</v>
      </c>
      <c r="N2664" s="524" t="s">
        <v>1223</v>
      </c>
      <c r="O2664" s="524" t="s">
        <v>1224</v>
      </c>
      <c r="P2664" s="526">
        <v>46233</v>
      </c>
      <c r="S2664" s="527">
        <v>0</v>
      </c>
    </row>
    <row r="2665" spans="1:19" x14ac:dyDescent="0.2">
      <c r="A2665" s="524">
        <v>71603</v>
      </c>
      <c r="B2665" s="526">
        <v>46233</v>
      </c>
      <c r="C2665" s="524" t="s">
        <v>1148</v>
      </c>
      <c r="D2665" s="524" t="s">
        <v>1186</v>
      </c>
      <c r="E2665" s="524" t="s">
        <v>2801</v>
      </c>
      <c r="F2665" s="524" t="s">
        <v>1183</v>
      </c>
      <c r="G2665" s="524" t="s">
        <v>758</v>
      </c>
      <c r="H2665" s="527">
        <v>7475.8</v>
      </c>
      <c r="I2665" s="524" t="s">
        <v>1174</v>
      </c>
      <c r="J2665" s="524">
        <f>IF(cmf[[#This Row],[D/C]]="C",cmf[[#This Row],[Valor]],-1*cmf[[#This Row],[Valor]])</f>
        <v>-7475.8</v>
      </c>
      <c r="L2665" s="524" t="s">
        <v>1188</v>
      </c>
      <c r="M2665" s="524" t="s">
        <v>1189</v>
      </c>
      <c r="N2665" s="524" t="s">
        <v>1223</v>
      </c>
      <c r="O2665" s="524" t="s">
        <v>1224</v>
      </c>
      <c r="P2665" s="526">
        <v>46233</v>
      </c>
      <c r="S2665" s="527">
        <v>0</v>
      </c>
    </row>
    <row r="2666" spans="1:19" x14ac:dyDescent="0.2">
      <c r="A2666" s="524">
        <v>71604</v>
      </c>
      <c r="B2666" s="526">
        <v>46233</v>
      </c>
      <c r="C2666" s="524" t="s">
        <v>1148</v>
      </c>
      <c r="D2666" s="524" t="s">
        <v>1186</v>
      </c>
      <c r="E2666" s="524" t="s">
        <v>2802</v>
      </c>
      <c r="F2666" s="524" t="s">
        <v>1183</v>
      </c>
      <c r="G2666" s="524" t="s">
        <v>758</v>
      </c>
      <c r="H2666" s="527">
        <v>10475.799999999999</v>
      </c>
      <c r="I2666" s="524" t="s">
        <v>1174</v>
      </c>
      <c r="J2666" s="524">
        <f>IF(cmf[[#This Row],[D/C]]="C",cmf[[#This Row],[Valor]],-1*cmf[[#This Row],[Valor]])</f>
        <v>-10475.799999999999</v>
      </c>
      <c r="L2666" s="524" t="s">
        <v>1188</v>
      </c>
      <c r="M2666" s="524" t="s">
        <v>1189</v>
      </c>
      <c r="N2666" s="524" t="s">
        <v>1223</v>
      </c>
      <c r="O2666" s="524" t="s">
        <v>1224</v>
      </c>
      <c r="P2666" s="526">
        <v>46233</v>
      </c>
      <c r="S2666" s="527">
        <v>0</v>
      </c>
    </row>
    <row r="2667" spans="1:19" x14ac:dyDescent="0.2">
      <c r="A2667" s="524">
        <v>71605</v>
      </c>
      <c r="B2667" s="526">
        <v>46233</v>
      </c>
      <c r="C2667" s="524" t="s">
        <v>1148</v>
      </c>
      <c r="D2667" s="524" t="s">
        <v>1186</v>
      </c>
      <c r="E2667" s="524" t="s">
        <v>2803</v>
      </c>
      <c r="F2667" s="524" t="s">
        <v>1183</v>
      </c>
      <c r="G2667" s="524" t="s">
        <v>758</v>
      </c>
      <c r="H2667" s="527">
        <v>5075.8</v>
      </c>
      <c r="I2667" s="524" t="s">
        <v>1174</v>
      </c>
      <c r="J2667" s="524">
        <f>IF(cmf[[#This Row],[D/C]]="C",cmf[[#This Row],[Valor]],-1*cmf[[#This Row],[Valor]])</f>
        <v>-5075.8</v>
      </c>
      <c r="L2667" s="524" t="s">
        <v>1188</v>
      </c>
      <c r="M2667" s="524" t="s">
        <v>1189</v>
      </c>
      <c r="N2667" s="524" t="s">
        <v>1223</v>
      </c>
      <c r="O2667" s="524" t="s">
        <v>1224</v>
      </c>
      <c r="P2667" s="526">
        <v>46233</v>
      </c>
      <c r="S2667" s="527">
        <v>0</v>
      </c>
    </row>
    <row r="2668" spans="1:19" x14ac:dyDescent="0.2">
      <c r="A2668" s="524">
        <v>71606</v>
      </c>
      <c r="B2668" s="526">
        <v>46233</v>
      </c>
      <c r="C2668" s="524" t="s">
        <v>1148</v>
      </c>
      <c r="D2668" s="524" t="s">
        <v>1186</v>
      </c>
      <c r="E2668" s="524" t="s">
        <v>2804</v>
      </c>
      <c r="F2668" s="524" t="s">
        <v>1183</v>
      </c>
      <c r="G2668" s="524" t="s">
        <v>758</v>
      </c>
      <c r="H2668" s="527">
        <v>10475.799999999999</v>
      </c>
      <c r="I2668" s="524" t="s">
        <v>1174</v>
      </c>
      <c r="J2668" s="524">
        <f>IF(cmf[[#This Row],[D/C]]="C",cmf[[#This Row],[Valor]],-1*cmf[[#This Row],[Valor]])</f>
        <v>-10475.799999999999</v>
      </c>
      <c r="L2668" s="524" t="s">
        <v>1188</v>
      </c>
      <c r="M2668" s="524" t="s">
        <v>1189</v>
      </c>
      <c r="N2668" s="524" t="s">
        <v>1223</v>
      </c>
      <c r="O2668" s="524" t="s">
        <v>1224</v>
      </c>
      <c r="P2668" s="526">
        <v>46233</v>
      </c>
      <c r="S2668" s="527">
        <v>0</v>
      </c>
    </row>
    <row r="2669" spans="1:19" x14ac:dyDescent="0.2">
      <c r="A2669" s="524">
        <v>71607</v>
      </c>
      <c r="B2669" s="526">
        <v>46233</v>
      </c>
      <c r="C2669" s="524" t="s">
        <v>1148</v>
      </c>
      <c r="D2669" s="524" t="s">
        <v>1186</v>
      </c>
      <c r="E2669" s="524" t="s">
        <v>2805</v>
      </c>
      <c r="F2669" s="524" t="s">
        <v>1183</v>
      </c>
      <c r="G2669" s="524" t="s">
        <v>758</v>
      </c>
      <c r="H2669" s="527">
        <v>7475.8</v>
      </c>
      <c r="I2669" s="524" t="s">
        <v>1174</v>
      </c>
      <c r="J2669" s="524">
        <f>IF(cmf[[#This Row],[D/C]]="C",cmf[[#This Row],[Valor]],-1*cmf[[#This Row],[Valor]])</f>
        <v>-7475.8</v>
      </c>
      <c r="L2669" s="524" t="s">
        <v>1188</v>
      </c>
      <c r="M2669" s="524" t="s">
        <v>1189</v>
      </c>
      <c r="N2669" s="524" t="s">
        <v>1223</v>
      </c>
      <c r="O2669" s="524" t="s">
        <v>1224</v>
      </c>
      <c r="P2669" s="526">
        <v>46233</v>
      </c>
      <c r="S2669" s="527">
        <v>0</v>
      </c>
    </row>
    <row r="2670" spans="1:19" x14ac:dyDescent="0.2">
      <c r="A2670" s="524">
        <v>71608</v>
      </c>
      <c r="B2670" s="526">
        <v>46233</v>
      </c>
      <c r="C2670" s="524" t="s">
        <v>1148</v>
      </c>
      <c r="D2670" s="524" t="s">
        <v>1186</v>
      </c>
      <c r="E2670" s="524" t="s">
        <v>2806</v>
      </c>
      <c r="F2670" s="524" t="s">
        <v>1183</v>
      </c>
      <c r="G2670" s="524" t="s">
        <v>758</v>
      </c>
      <c r="H2670" s="527">
        <v>5075.8</v>
      </c>
      <c r="I2670" s="524" t="s">
        <v>1174</v>
      </c>
      <c r="J2670" s="524">
        <f>IF(cmf[[#This Row],[D/C]]="C",cmf[[#This Row],[Valor]],-1*cmf[[#This Row],[Valor]])</f>
        <v>-5075.8</v>
      </c>
      <c r="L2670" s="524" t="s">
        <v>1188</v>
      </c>
      <c r="M2670" s="524" t="s">
        <v>1189</v>
      </c>
      <c r="N2670" s="524" t="s">
        <v>1223</v>
      </c>
      <c r="O2670" s="524" t="s">
        <v>1224</v>
      </c>
      <c r="P2670" s="526">
        <v>46233</v>
      </c>
      <c r="S2670" s="527">
        <v>0</v>
      </c>
    </row>
    <row r="2671" spans="1:19" x14ac:dyDescent="0.2">
      <c r="A2671" s="524">
        <v>71609</v>
      </c>
      <c r="B2671" s="526">
        <v>46233</v>
      </c>
      <c r="C2671" s="524" t="s">
        <v>1148</v>
      </c>
      <c r="D2671" s="524" t="s">
        <v>1186</v>
      </c>
      <c r="E2671" s="524" t="s">
        <v>2807</v>
      </c>
      <c r="F2671" s="524" t="s">
        <v>1183</v>
      </c>
      <c r="G2671" s="524" t="s">
        <v>758</v>
      </c>
      <c r="H2671" s="527">
        <v>7475.8</v>
      </c>
      <c r="I2671" s="524" t="s">
        <v>1174</v>
      </c>
      <c r="J2671" s="524">
        <f>IF(cmf[[#This Row],[D/C]]="C",cmf[[#This Row],[Valor]],-1*cmf[[#This Row],[Valor]])</f>
        <v>-7475.8</v>
      </c>
      <c r="L2671" s="524" t="s">
        <v>1188</v>
      </c>
      <c r="M2671" s="524" t="s">
        <v>1189</v>
      </c>
      <c r="N2671" s="524" t="s">
        <v>1223</v>
      </c>
      <c r="O2671" s="524" t="s">
        <v>1224</v>
      </c>
      <c r="P2671" s="526">
        <v>46233</v>
      </c>
      <c r="S2671" s="527">
        <v>0</v>
      </c>
    </row>
    <row r="2672" spans="1:19" x14ac:dyDescent="0.2">
      <c r="A2672" s="524">
        <v>71610</v>
      </c>
      <c r="B2672" s="526">
        <v>46233</v>
      </c>
      <c r="C2672" s="524" t="s">
        <v>1148</v>
      </c>
      <c r="D2672" s="524" t="s">
        <v>1186</v>
      </c>
      <c r="E2672" s="524" t="s">
        <v>2808</v>
      </c>
      <c r="F2672" s="524" t="s">
        <v>1183</v>
      </c>
      <c r="G2672" s="524" t="s">
        <v>758</v>
      </c>
      <c r="H2672" s="527">
        <v>8975.7999999999993</v>
      </c>
      <c r="I2672" s="524" t="s">
        <v>1174</v>
      </c>
      <c r="J2672" s="524">
        <f>IF(cmf[[#This Row],[D/C]]="C",cmf[[#This Row],[Valor]],-1*cmf[[#This Row],[Valor]])</f>
        <v>-8975.7999999999993</v>
      </c>
      <c r="L2672" s="524" t="s">
        <v>1188</v>
      </c>
      <c r="M2672" s="524" t="s">
        <v>1189</v>
      </c>
      <c r="N2672" s="524" t="s">
        <v>1223</v>
      </c>
      <c r="O2672" s="524" t="s">
        <v>1224</v>
      </c>
      <c r="P2672" s="526">
        <v>46233</v>
      </c>
      <c r="S2672" s="527">
        <v>0</v>
      </c>
    </row>
    <row r="2673" spans="1:19" x14ac:dyDescent="0.2">
      <c r="A2673" s="524">
        <v>71611</v>
      </c>
      <c r="B2673" s="526">
        <v>46233</v>
      </c>
      <c r="C2673" s="524" t="s">
        <v>1148</v>
      </c>
      <c r="D2673" s="524" t="s">
        <v>1186</v>
      </c>
      <c r="E2673" s="524" t="s">
        <v>2809</v>
      </c>
      <c r="F2673" s="524" t="s">
        <v>1183</v>
      </c>
      <c r="G2673" s="524" t="s">
        <v>758</v>
      </c>
      <c r="H2673" s="527">
        <v>7475.8</v>
      </c>
      <c r="I2673" s="524" t="s">
        <v>1174</v>
      </c>
      <c r="J2673" s="524">
        <f>IF(cmf[[#This Row],[D/C]]="C",cmf[[#This Row],[Valor]],-1*cmf[[#This Row],[Valor]])</f>
        <v>-7475.8</v>
      </c>
      <c r="L2673" s="524" t="s">
        <v>1188</v>
      </c>
      <c r="M2673" s="524" t="s">
        <v>1189</v>
      </c>
      <c r="N2673" s="524" t="s">
        <v>1223</v>
      </c>
      <c r="O2673" s="524" t="s">
        <v>1224</v>
      </c>
      <c r="P2673" s="526">
        <v>46233</v>
      </c>
      <c r="S2673" s="527">
        <v>0</v>
      </c>
    </row>
    <row r="2674" spans="1:19" x14ac:dyDescent="0.2">
      <c r="A2674" s="524">
        <v>71612</v>
      </c>
      <c r="B2674" s="526">
        <v>46233</v>
      </c>
      <c r="C2674" s="524" t="s">
        <v>1148</v>
      </c>
      <c r="D2674" s="524" t="s">
        <v>1186</v>
      </c>
      <c r="E2674" s="524" t="s">
        <v>2810</v>
      </c>
      <c r="F2674" s="524" t="s">
        <v>1183</v>
      </c>
      <c r="G2674" s="524" t="s">
        <v>758</v>
      </c>
      <c r="H2674" s="527">
        <v>5075.8</v>
      </c>
      <c r="I2674" s="524" t="s">
        <v>1174</v>
      </c>
      <c r="J2674" s="524">
        <f>IF(cmf[[#This Row],[D/C]]="C",cmf[[#This Row],[Valor]],-1*cmf[[#This Row],[Valor]])</f>
        <v>-5075.8</v>
      </c>
      <c r="L2674" s="524" t="s">
        <v>1188</v>
      </c>
      <c r="M2674" s="524" t="s">
        <v>1189</v>
      </c>
      <c r="N2674" s="524" t="s">
        <v>1223</v>
      </c>
      <c r="O2674" s="524" t="s">
        <v>1224</v>
      </c>
      <c r="P2674" s="526">
        <v>46233</v>
      </c>
      <c r="S2674" s="527">
        <v>0</v>
      </c>
    </row>
    <row r="2675" spans="1:19" x14ac:dyDescent="0.2">
      <c r="A2675" s="524">
        <v>71613</v>
      </c>
      <c r="B2675" s="526">
        <v>46233</v>
      </c>
      <c r="C2675" s="524" t="s">
        <v>1148</v>
      </c>
      <c r="D2675" s="524" t="s">
        <v>1186</v>
      </c>
      <c r="E2675" s="524" t="s">
        <v>2811</v>
      </c>
      <c r="F2675" s="524" t="s">
        <v>1183</v>
      </c>
      <c r="G2675" s="524" t="s">
        <v>758</v>
      </c>
      <c r="H2675" s="527">
        <v>5075.8</v>
      </c>
      <c r="I2675" s="524" t="s">
        <v>1174</v>
      </c>
      <c r="J2675" s="524">
        <f>IF(cmf[[#This Row],[D/C]]="C",cmf[[#This Row],[Valor]],-1*cmf[[#This Row],[Valor]])</f>
        <v>-5075.8</v>
      </c>
      <c r="L2675" s="524" t="s">
        <v>1188</v>
      </c>
      <c r="M2675" s="524" t="s">
        <v>1189</v>
      </c>
      <c r="N2675" s="524" t="s">
        <v>1223</v>
      </c>
      <c r="O2675" s="524" t="s">
        <v>1224</v>
      </c>
      <c r="P2675" s="526">
        <v>46233</v>
      </c>
      <c r="S2675" s="527">
        <v>0</v>
      </c>
    </row>
    <row r="2676" spans="1:19" x14ac:dyDescent="0.2">
      <c r="A2676" s="524">
        <v>71614</v>
      </c>
      <c r="B2676" s="526">
        <v>46233</v>
      </c>
      <c r="C2676" s="524" t="s">
        <v>1148</v>
      </c>
      <c r="D2676" s="524" t="s">
        <v>1186</v>
      </c>
      <c r="E2676" s="524" t="s">
        <v>2812</v>
      </c>
      <c r="F2676" s="524" t="s">
        <v>1183</v>
      </c>
      <c r="G2676" s="524" t="s">
        <v>758</v>
      </c>
      <c r="H2676" s="527">
        <v>5075.8</v>
      </c>
      <c r="I2676" s="524" t="s">
        <v>1174</v>
      </c>
      <c r="J2676" s="524">
        <f>IF(cmf[[#This Row],[D/C]]="C",cmf[[#This Row],[Valor]],-1*cmf[[#This Row],[Valor]])</f>
        <v>-5075.8</v>
      </c>
      <c r="L2676" s="524" t="s">
        <v>1188</v>
      </c>
      <c r="M2676" s="524" t="s">
        <v>1189</v>
      </c>
      <c r="N2676" s="524" t="s">
        <v>1223</v>
      </c>
      <c r="O2676" s="524" t="s">
        <v>1224</v>
      </c>
      <c r="P2676" s="526">
        <v>46233</v>
      </c>
      <c r="S2676" s="527">
        <v>0</v>
      </c>
    </row>
    <row r="2677" spans="1:19" x14ac:dyDescent="0.2">
      <c r="A2677" s="524">
        <v>71615</v>
      </c>
      <c r="B2677" s="526">
        <v>46233</v>
      </c>
      <c r="C2677" s="524" t="s">
        <v>1148</v>
      </c>
      <c r="D2677" s="524" t="s">
        <v>1186</v>
      </c>
      <c r="E2677" s="524" t="s">
        <v>2813</v>
      </c>
      <c r="F2677" s="524" t="s">
        <v>1183</v>
      </c>
      <c r="G2677" s="524" t="s">
        <v>758</v>
      </c>
      <c r="H2677" s="527">
        <v>5075.8</v>
      </c>
      <c r="I2677" s="524" t="s">
        <v>1174</v>
      </c>
      <c r="J2677" s="524">
        <f>IF(cmf[[#This Row],[D/C]]="C",cmf[[#This Row],[Valor]],-1*cmf[[#This Row],[Valor]])</f>
        <v>-5075.8</v>
      </c>
      <c r="L2677" s="524" t="s">
        <v>1188</v>
      </c>
      <c r="M2677" s="524" t="s">
        <v>1189</v>
      </c>
      <c r="N2677" s="524" t="s">
        <v>1223</v>
      </c>
      <c r="O2677" s="524" t="s">
        <v>1224</v>
      </c>
      <c r="P2677" s="526">
        <v>46233</v>
      </c>
      <c r="S2677" s="527">
        <v>0</v>
      </c>
    </row>
    <row r="2678" spans="1:19" x14ac:dyDescent="0.2">
      <c r="A2678" s="524">
        <v>71616</v>
      </c>
      <c r="B2678" s="526">
        <v>46233</v>
      </c>
      <c r="C2678" s="524" t="s">
        <v>1148</v>
      </c>
      <c r="D2678" s="524" t="s">
        <v>1186</v>
      </c>
      <c r="E2678" s="524" t="s">
        <v>2814</v>
      </c>
      <c r="F2678" s="524" t="s">
        <v>1183</v>
      </c>
      <c r="G2678" s="524" t="s">
        <v>758</v>
      </c>
      <c r="H2678" s="527">
        <v>5075.8</v>
      </c>
      <c r="I2678" s="524" t="s">
        <v>1174</v>
      </c>
      <c r="J2678" s="524">
        <f>IF(cmf[[#This Row],[D/C]]="C",cmf[[#This Row],[Valor]],-1*cmf[[#This Row],[Valor]])</f>
        <v>-5075.8</v>
      </c>
      <c r="L2678" s="524" t="s">
        <v>1188</v>
      </c>
      <c r="M2678" s="524" t="s">
        <v>1189</v>
      </c>
      <c r="N2678" s="524" t="s">
        <v>1223</v>
      </c>
      <c r="O2678" s="524" t="s">
        <v>1224</v>
      </c>
      <c r="P2678" s="526">
        <v>46233</v>
      </c>
      <c r="S2678" s="527">
        <v>0</v>
      </c>
    </row>
    <row r="2679" spans="1:19" x14ac:dyDescent="0.2">
      <c r="A2679" s="524">
        <v>71617</v>
      </c>
      <c r="B2679" s="526">
        <v>46233</v>
      </c>
      <c r="C2679" s="524" t="s">
        <v>1148</v>
      </c>
      <c r="D2679" s="524" t="s">
        <v>1186</v>
      </c>
      <c r="E2679" s="524" t="s">
        <v>2815</v>
      </c>
      <c r="F2679" s="524" t="s">
        <v>1183</v>
      </c>
      <c r="G2679" s="524" t="s">
        <v>758</v>
      </c>
      <c r="H2679" s="527">
        <v>7475.8</v>
      </c>
      <c r="I2679" s="524" t="s">
        <v>1174</v>
      </c>
      <c r="J2679" s="524">
        <f>IF(cmf[[#This Row],[D/C]]="C",cmf[[#This Row],[Valor]],-1*cmf[[#This Row],[Valor]])</f>
        <v>-7475.8</v>
      </c>
      <c r="L2679" s="524" t="s">
        <v>1188</v>
      </c>
      <c r="M2679" s="524" t="s">
        <v>1189</v>
      </c>
      <c r="N2679" s="524" t="s">
        <v>1223</v>
      </c>
      <c r="O2679" s="524" t="s">
        <v>1224</v>
      </c>
      <c r="P2679" s="526">
        <v>46233</v>
      </c>
      <c r="S2679" s="527">
        <v>0</v>
      </c>
    </row>
    <row r="2680" spans="1:19" x14ac:dyDescent="0.2">
      <c r="A2680" s="524">
        <v>71618</v>
      </c>
      <c r="B2680" s="526">
        <v>46233</v>
      </c>
      <c r="C2680" s="524" t="s">
        <v>1148</v>
      </c>
      <c r="D2680" s="524" t="s">
        <v>1186</v>
      </c>
      <c r="E2680" s="524" t="s">
        <v>2816</v>
      </c>
      <c r="F2680" s="524" t="s">
        <v>1183</v>
      </c>
      <c r="G2680" s="524" t="s">
        <v>758</v>
      </c>
      <c r="H2680" s="527">
        <v>7475.8</v>
      </c>
      <c r="I2680" s="524" t="s">
        <v>1174</v>
      </c>
      <c r="J2680" s="524">
        <f>IF(cmf[[#This Row],[D/C]]="C",cmf[[#This Row],[Valor]],-1*cmf[[#This Row],[Valor]])</f>
        <v>-7475.8</v>
      </c>
      <c r="L2680" s="524" t="s">
        <v>1188</v>
      </c>
      <c r="M2680" s="524" t="s">
        <v>1189</v>
      </c>
      <c r="N2680" s="524" t="s">
        <v>1223</v>
      </c>
      <c r="O2680" s="524" t="s">
        <v>1224</v>
      </c>
      <c r="P2680" s="526">
        <v>46233</v>
      </c>
      <c r="S2680" s="527">
        <v>0</v>
      </c>
    </row>
    <row r="2681" spans="1:19" x14ac:dyDescent="0.2">
      <c r="A2681" s="524">
        <v>71619</v>
      </c>
      <c r="B2681" s="526">
        <v>46233</v>
      </c>
      <c r="C2681" s="524" t="s">
        <v>1148</v>
      </c>
      <c r="D2681" s="524" t="s">
        <v>1186</v>
      </c>
      <c r="E2681" s="524" t="s">
        <v>2817</v>
      </c>
      <c r="F2681" s="524" t="s">
        <v>1183</v>
      </c>
      <c r="G2681" s="524" t="s">
        <v>758</v>
      </c>
      <c r="H2681" s="527">
        <v>5075.8</v>
      </c>
      <c r="I2681" s="524" t="s">
        <v>1174</v>
      </c>
      <c r="J2681" s="524">
        <f>IF(cmf[[#This Row],[D/C]]="C",cmf[[#This Row],[Valor]],-1*cmf[[#This Row],[Valor]])</f>
        <v>-5075.8</v>
      </c>
      <c r="L2681" s="524" t="s">
        <v>1188</v>
      </c>
      <c r="M2681" s="524" t="s">
        <v>1189</v>
      </c>
      <c r="N2681" s="524" t="s">
        <v>1223</v>
      </c>
      <c r="O2681" s="524" t="s">
        <v>1224</v>
      </c>
      <c r="P2681" s="526">
        <v>46233</v>
      </c>
      <c r="S2681" s="527">
        <v>0</v>
      </c>
    </row>
    <row r="2682" spans="1:19" x14ac:dyDescent="0.2">
      <c r="A2682" s="524">
        <v>71620</v>
      </c>
      <c r="B2682" s="526">
        <v>46233</v>
      </c>
      <c r="C2682" s="524" t="s">
        <v>1148</v>
      </c>
      <c r="D2682" s="524" t="s">
        <v>1186</v>
      </c>
      <c r="E2682" s="524" t="s">
        <v>2818</v>
      </c>
      <c r="F2682" s="524" t="s">
        <v>1183</v>
      </c>
      <c r="G2682" s="524" t="s">
        <v>758</v>
      </c>
      <c r="H2682" s="527">
        <v>7475.8</v>
      </c>
      <c r="I2682" s="524" t="s">
        <v>1174</v>
      </c>
      <c r="J2682" s="524">
        <f>IF(cmf[[#This Row],[D/C]]="C",cmf[[#This Row],[Valor]],-1*cmf[[#This Row],[Valor]])</f>
        <v>-7475.8</v>
      </c>
      <c r="L2682" s="524" t="s">
        <v>1188</v>
      </c>
      <c r="M2682" s="524" t="s">
        <v>1189</v>
      </c>
      <c r="N2682" s="524" t="s">
        <v>1223</v>
      </c>
      <c r="O2682" s="524" t="s">
        <v>1224</v>
      </c>
      <c r="P2682" s="526">
        <v>46233</v>
      </c>
      <c r="S2682" s="527">
        <v>0</v>
      </c>
    </row>
    <row r="2683" spans="1:19" x14ac:dyDescent="0.2">
      <c r="A2683" s="524">
        <v>71621</v>
      </c>
      <c r="B2683" s="526">
        <v>46233</v>
      </c>
      <c r="C2683" s="524" t="s">
        <v>1148</v>
      </c>
      <c r="D2683" s="524" t="s">
        <v>1186</v>
      </c>
      <c r="E2683" s="524" t="s">
        <v>2819</v>
      </c>
      <c r="F2683" s="524" t="s">
        <v>1183</v>
      </c>
      <c r="G2683" s="524" t="s">
        <v>758</v>
      </c>
      <c r="H2683" s="527">
        <v>10475.799999999999</v>
      </c>
      <c r="I2683" s="524" t="s">
        <v>1174</v>
      </c>
      <c r="J2683" s="524">
        <f>IF(cmf[[#This Row],[D/C]]="C",cmf[[#This Row],[Valor]],-1*cmf[[#This Row],[Valor]])</f>
        <v>-10475.799999999999</v>
      </c>
      <c r="L2683" s="524" t="s">
        <v>1188</v>
      </c>
      <c r="M2683" s="524" t="s">
        <v>1189</v>
      </c>
      <c r="N2683" s="524" t="s">
        <v>1223</v>
      </c>
      <c r="O2683" s="524" t="s">
        <v>1224</v>
      </c>
      <c r="P2683" s="526">
        <v>46233</v>
      </c>
      <c r="S2683" s="527">
        <v>0</v>
      </c>
    </row>
    <row r="2684" spans="1:19" x14ac:dyDescent="0.2">
      <c r="A2684" s="524">
        <v>71622</v>
      </c>
      <c r="B2684" s="526">
        <v>46233</v>
      </c>
      <c r="C2684" s="524" t="s">
        <v>1148</v>
      </c>
      <c r="D2684" s="524" t="s">
        <v>1186</v>
      </c>
      <c r="E2684" s="524" t="s">
        <v>2820</v>
      </c>
      <c r="F2684" s="524" t="s">
        <v>1183</v>
      </c>
      <c r="G2684" s="524" t="s">
        <v>758</v>
      </c>
      <c r="H2684" s="527">
        <v>7475.8</v>
      </c>
      <c r="I2684" s="524" t="s">
        <v>1174</v>
      </c>
      <c r="J2684" s="524">
        <f>IF(cmf[[#This Row],[D/C]]="C",cmf[[#This Row],[Valor]],-1*cmf[[#This Row],[Valor]])</f>
        <v>-7475.8</v>
      </c>
      <c r="L2684" s="524" t="s">
        <v>1188</v>
      </c>
      <c r="M2684" s="524" t="s">
        <v>1189</v>
      </c>
      <c r="N2684" s="524" t="s">
        <v>1223</v>
      </c>
      <c r="O2684" s="524" t="s">
        <v>1224</v>
      </c>
      <c r="P2684" s="526">
        <v>46233</v>
      </c>
      <c r="S2684" s="527">
        <v>0</v>
      </c>
    </row>
    <row r="2685" spans="1:19" x14ac:dyDescent="0.2">
      <c r="A2685" s="524">
        <v>71623</v>
      </c>
      <c r="B2685" s="526">
        <v>46233</v>
      </c>
      <c r="C2685" s="524" t="s">
        <v>1148</v>
      </c>
      <c r="D2685" s="524" t="s">
        <v>1186</v>
      </c>
      <c r="E2685" s="524" t="s">
        <v>2821</v>
      </c>
      <c r="F2685" s="524" t="s">
        <v>1183</v>
      </c>
      <c r="G2685" s="524" t="s">
        <v>758</v>
      </c>
      <c r="H2685" s="527">
        <v>7475.8</v>
      </c>
      <c r="I2685" s="524" t="s">
        <v>1174</v>
      </c>
      <c r="J2685" s="524">
        <f>IF(cmf[[#This Row],[D/C]]="C",cmf[[#This Row],[Valor]],-1*cmf[[#This Row],[Valor]])</f>
        <v>-7475.8</v>
      </c>
      <c r="L2685" s="524" t="s">
        <v>1188</v>
      </c>
      <c r="M2685" s="524" t="s">
        <v>1189</v>
      </c>
      <c r="N2685" s="524" t="s">
        <v>1223</v>
      </c>
      <c r="O2685" s="524" t="s">
        <v>1224</v>
      </c>
      <c r="P2685" s="526">
        <v>46233</v>
      </c>
      <c r="S2685" s="527">
        <v>0</v>
      </c>
    </row>
    <row r="2686" spans="1:19" x14ac:dyDescent="0.2">
      <c r="A2686" s="524">
        <v>71624</v>
      </c>
      <c r="B2686" s="526">
        <v>46233</v>
      </c>
      <c r="C2686" s="524" t="s">
        <v>1148</v>
      </c>
      <c r="D2686" s="524" t="s">
        <v>1186</v>
      </c>
      <c r="E2686" s="524" t="s">
        <v>2822</v>
      </c>
      <c r="F2686" s="524" t="s">
        <v>1183</v>
      </c>
      <c r="G2686" s="524" t="s">
        <v>758</v>
      </c>
      <c r="H2686" s="527">
        <v>5075.8</v>
      </c>
      <c r="I2686" s="524" t="s">
        <v>1174</v>
      </c>
      <c r="J2686" s="524">
        <f>IF(cmf[[#This Row],[D/C]]="C",cmf[[#This Row],[Valor]],-1*cmf[[#This Row],[Valor]])</f>
        <v>-5075.8</v>
      </c>
      <c r="L2686" s="524" t="s">
        <v>1188</v>
      </c>
      <c r="M2686" s="524" t="s">
        <v>1189</v>
      </c>
      <c r="N2686" s="524" t="s">
        <v>1223</v>
      </c>
      <c r="O2686" s="524" t="s">
        <v>1224</v>
      </c>
      <c r="P2686" s="526">
        <v>46233</v>
      </c>
      <c r="S2686" s="527">
        <v>0</v>
      </c>
    </row>
    <row r="2687" spans="1:19" x14ac:dyDescent="0.2">
      <c r="A2687" s="524">
        <v>71625</v>
      </c>
      <c r="B2687" s="526">
        <v>46233</v>
      </c>
      <c r="C2687" s="524" t="s">
        <v>1148</v>
      </c>
      <c r="D2687" s="524" t="s">
        <v>1186</v>
      </c>
      <c r="E2687" s="524" t="s">
        <v>2823</v>
      </c>
      <c r="F2687" s="524" t="s">
        <v>1183</v>
      </c>
      <c r="G2687" s="524" t="s">
        <v>758</v>
      </c>
      <c r="H2687" s="527">
        <v>7475.8</v>
      </c>
      <c r="I2687" s="524" t="s">
        <v>1174</v>
      </c>
      <c r="J2687" s="524">
        <f>IF(cmf[[#This Row],[D/C]]="C",cmf[[#This Row],[Valor]],-1*cmf[[#This Row],[Valor]])</f>
        <v>-7475.8</v>
      </c>
      <c r="L2687" s="524" t="s">
        <v>1188</v>
      </c>
      <c r="M2687" s="524" t="s">
        <v>1189</v>
      </c>
      <c r="N2687" s="524" t="s">
        <v>1223</v>
      </c>
      <c r="O2687" s="524" t="s">
        <v>1224</v>
      </c>
      <c r="P2687" s="526">
        <v>46233</v>
      </c>
      <c r="S2687" s="527">
        <v>0</v>
      </c>
    </row>
    <row r="2688" spans="1:19" x14ac:dyDescent="0.2">
      <c r="A2688" s="524">
        <v>71626</v>
      </c>
      <c r="B2688" s="526">
        <v>46233</v>
      </c>
      <c r="C2688" s="524" t="s">
        <v>1148</v>
      </c>
      <c r="D2688" s="524" t="s">
        <v>1186</v>
      </c>
      <c r="E2688" s="524" t="s">
        <v>2824</v>
      </c>
      <c r="F2688" s="524" t="s">
        <v>1183</v>
      </c>
      <c r="G2688" s="524" t="s">
        <v>758</v>
      </c>
      <c r="H2688" s="527">
        <v>5075.8</v>
      </c>
      <c r="I2688" s="524" t="s">
        <v>1174</v>
      </c>
      <c r="J2688" s="524">
        <f>IF(cmf[[#This Row],[D/C]]="C",cmf[[#This Row],[Valor]],-1*cmf[[#This Row],[Valor]])</f>
        <v>-5075.8</v>
      </c>
      <c r="L2688" s="524" t="s">
        <v>1188</v>
      </c>
      <c r="M2688" s="524" t="s">
        <v>1189</v>
      </c>
      <c r="N2688" s="524" t="s">
        <v>1223</v>
      </c>
      <c r="O2688" s="524" t="s">
        <v>1224</v>
      </c>
      <c r="P2688" s="526">
        <v>46233</v>
      </c>
      <c r="S2688" s="527">
        <v>0</v>
      </c>
    </row>
    <row r="2689" spans="1:19" x14ac:dyDescent="0.2">
      <c r="A2689" s="524">
        <v>71627</v>
      </c>
      <c r="B2689" s="526">
        <v>46233</v>
      </c>
      <c r="C2689" s="524" t="s">
        <v>1148</v>
      </c>
      <c r="D2689" s="524" t="s">
        <v>1186</v>
      </c>
      <c r="E2689" s="524" t="s">
        <v>2825</v>
      </c>
      <c r="F2689" s="524" t="s">
        <v>1183</v>
      </c>
      <c r="G2689" s="524" t="s">
        <v>758</v>
      </c>
      <c r="H2689" s="527">
        <v>5600</v>
      </c>
      <c r="I2689" s="524" t="s">
        <v>1174</v>
      </c>
      <c r="J2689" s="524">
        <f>IF(cmf[[#This Row],[D/C]]="C",cmf[[#This Row],[Valor]],-1*cmf[[#This Row],[Valor]])</f>
        <v>-5600</v>
      </c>
      <c r="L2689" s="524" t="s">
        <v>1188</v>
      </c>
      <c r="M2689" s="524" t="s">
        <v>1189</v>
      </c>
      <c r="N2689" s="524" t="s">
        <v>1223</v>
      </c>
      <c r="O2689" s="524" t="s">
        <v>1224</v>
      </c>
      <c r="P2689" s="526">
        <v>46233</v>
      </c>
      <c r="S2689" s="527">
        <v>0</v>
      </c>
    </row>
    <row r="2690" spans="1:19" x14ac:dyDescent="0.2">
      <c r="A2690" s="524">
        <v>71628</v>
      </c>
      <c r="B2690" s="526">
        <v>46233</v>
      </c>
      <c r="C2690" s="524" t="s">
        <v>1148</v>
      </c>
      <c r="D2690" s="524" t="s">
        <v>1186</v>
      </c>
      <c r="E2690" s="524" t="s">
        <v>2826</v>
      </c>
      <c r="F2690" s="524" t="s">
        <v>1183</v>
      </c>
      <c r="G2690" s="524" t="s">
        <v>758</v>
      </c>
      <c r="H2690" s="527">
        <v>10475.799999999999</v>
      </c>
      <c r="I2690" s="524" t="s">
        <v>1174</v>
      </c>
      <c r="J2690" s="524">
        <f>IF(cmf[[#This Row],[D/C]]="C",cmf[[#This Row],[Valor]],-1*cmf[[#This Row],[Valor]])</f>
        <v>-10475.799999999999</v>
      </c>
      <c r="L2690" s="524" t="s">
        <v>1188</v>
      </c>
      <c r="M2690" s="524" t="s">
        <v>1189</v>
      </c>
      <c r="N2690" s="524" t="s">
        <v>1223</v>
      </c>
      <c r="O2690" s="524" t="s">
        <v>1224</v>
      </c>
      <c r="P2690" s="526">
        <v>46233</v>
      </c>
      <c r="S2690" s="527">
        <v>0</v>
      </c>
    </row>
    <row r="2691" spans="1:19" x14ac:dyDescent="0.2">
      <c r="A2691" s="524">
        <v>71629</v>
      </c>
      <c r="B2691" s="526">
        <v>46233</v>
      </c>
      <c r="C2691" s="524" t="s">
        <v>1148</v>
      </c>
      <c r="D2691" s="524" t="s">
        <v>1186</v>
      </c>
      <c r="E2691" s="524" t="s">
        <v>2827</v>
      </c>
      <c r="F2691" s="524" t="s">
        <v>1183</v>
      </c>
      <c r="G2691" s="524" t="s">
        <v>758</v>
      </c>
      <c r="H2691" s="527">
        <v>5075.8</v>
      </c>
      <c r="I2691" s="524" t="s">
        <v>1174</v>
      </c>
      <c r="J2691" s="524">
        <f>IF(cmf[[#This Row],[D/C]]="C",cmf[[#This Row],[Valor]],-1*cmf[[#This Row],[Valor]])</f>
        <v>-5075.8</v>
      </c>
      <c r="L2691" s="524" t="s">
        <v>1188</v>
      </c>
      <c r="M2691" s="524" t="s">
        <v>1189</v>
      </c>
      <c r="N2691" s="524" t="s">
        <v>1223</v>
      </c>
      <c r="O2691" s="524" t="s">
        <v>1224</v>
      </c>
      <c r="P2691" s="526">
        <v>46233</v>
      </c>
      <c r="S2691" s="527">
        <v>0</v>
      </c>
    </row>
    <row r="2692" spans="1:19" x14ac:dyDescent="0.2">
      <c r="A2692" s="524">
        <v>71630</v>
      </c>
      <c r="B2692" s="526">
        <v>46233</v>
      </c>
      <c r="C2692" s="524" t="s">
        <v>1148</v>
      </c>
      <c r="D2692" s="524" t="s">
        <v>1186</v>
      </c>
      <c r="E2692" s="524" t="s">
        <v>2828</v>
      </c>
      <c r="F2692" s="524" t="s">
        <v>1183</v>
      </c>
      <c r="G2692" s="524" t="s">
        <v>758</v>
      </c>
      <c r="H2692" s="527">
        <v>5419.7</v>
      </c>
      <c r="I2692" s="524" t="s">
        <v>1174</v>
      </c>
      <c r="J2692" s="524">
        <f>IF(cmf[[#This Row],[D/C]]="C",cmf[[#This Row],[Valor]],-1*cmf[[#This Row],[Valor]])</f>
        <v>-5419.7</v>
      </c>
      <c r="L2692" s="524" t="s">
        <v>1188</v>
      </c>
      <c r="M2692" s="524" t="s">
        <v>1189</v>
      </c>
      <c r="N2692" s="524" t="s">
        <v>1223</v>
      </c>
      <c r="O2692" s="524" t="s">
        <v>1224</v>
      </c>
      <c r="P2692" s="526">
        <v>46233</v>
      </c>
      <c r="S2692" s="527">
        <v>0</v>
      </c>
    </row>
    <row r="2693" spans="1:19" x14ac:dyDescent="0.2">
      <c r="A2693" s="524">
        <v>71631</v>
      </c>
      <c r="B2693" s="526">
        <v>46233</v>
      </c>
      <c r="C2693" s="524" t="s">
        <v>1148</v>
      </c>
      <c r="D2693" s="524" t="s">
        <v>1186</v>
      </c>
      <c r="E2693" s="524" t="s">
        <v>2829</v>
      </c>
      <c r="F2693" s="524" t="s">
        <v>1183</v>
      </c>
      <c r="G2693" s="524" t="s">
        <v>758</v>
      </c>
      <c r="H2693" s="527">
        <v>7475.8</v>
      </c>
      <c r="I2693" s="524" t="s">
        <v>1174</v>
      </c>
      <c r="J2693" s="524">
        <f>IF(cmf[[#This Row],[D/C]]="C",cmf[[#This Row],[Valor]],-1*cmf[[#This Row],[Valor]])</f>
        <v>-7475.8</v>
      </c>
      <c r="L2693" s="524" t="s">
        <v>1188</v>
      </c>
      <c r="M2693" s="524" t="s">
        <v>1189</v>
      </c>
      <c r="N2693" s="524" t="s">
        <v>1223</v>
      </c>
      <c r="O2693" s="524" t="s">
        <v>1224</v>
      </c>
      <c r="P2693" s="526">
        <v>46233</v>
      </c>
      <c r="S2693" s="527">
        <v>0</v>
      </c>
    </row>
    <row r="2694" spans="1:19" x14ac:dyDescent="0.2">
      <c r="A2694" s="524">
        <v>71632</v>
      </c>
      <c r="B2694" s="526">
        <v>46233</v>
      </c>
      <c r="C2694" s="524" t="s">
        <v>1148</v>
      </c>
      <c r="D2694" s="524" t="s">
        <v>1186</v>
      </c>
      <c r="E2694" s="524" t="s">
        <v>2830</v>
      </c>
      <c r="F2694" s="524" t="s">
        <v>1183</v>
      </c>
      <c r="G2694" s="524" t="s">
        <v>758</v>
      </c>
      <c r="H2694" s="527">
        <v>7475.8</v>
      </c>
      <c r="I2694" s="524" t="s">
        <v>1174</v>
      </c>
      <c r="J2694" s="524">
        <f>IF(cmf[[#This Row],[D/C]]="C",cmf[[#This Row],[Valor]],-1*cmf[[#This Row],[Valor]])</f>
        <v>-7475.8</v>
      </c>
      <c r="L2694" s="524" t="s">
        <v>1188</v>
      </c>
      <c r="M2694" s="524" t="s">
        <v>1189</v>
      </c>
      <c r="N2694" s="524" t="s">
        <v>1223</v>
      </c>
      <c r="O2694" s="524" t="s">
        <v>1224</v>
      </c>
      <c r="P2694" s="526">
        <v>46233</v>
      </c>
      <c r="S2694" s="527">
        <v>0</v>
      </c>
    </row>
    <row r="2695" spans="1:19" x14ac:dyDescent="0.2">
      <c r="A2695" s="524">
        <v>71633</v>
      </c>
      <c r="B2695" s="526">
        <v>46233</v>
      </c>
      <c r="C2695" s="524" t="s">
        <v>1148</v>
      </c>
      <c r="D2695" s="524" t="s">
        <v>1186</v>
      </c>
      <c r="E2695" s="524" t="s">
        <v>2831</v>
      </c>
      <c r="F2695" s="524" t="s">
        <v>1170</v>
      </c>
      <c r="G2695" s="524" t="s">
        <v>757</v>
      </c>
      <c r="H2695" s="527">
        <v>5075.8</v>
      </c>
      <c r="I2695" s="524" t="s">
        <v>1174</v>
      </c>
      <c r="J2695" s="524">
        <f>IF(cmf[[#This Row],[D/C]]="C",cmf[[#This Row],[Valor]],-1*cmf[[#This Row],[Valor]])</f>
        <v>-5075.8</v>
      </c>
      <c r="L2695" s="524" t="s">
        <v>1188</v>
      </c>
      <c r="M2695" s="524" t="s">
        <v>1189</v>
      </c>
      <c r="N2695" s="524" t="s">
        <v>1223</v>
      </c>
      <c r="O2695" s="524" t="s">
        <v>1224</v>
      </c>
      <c r="P2695" s="526">
        <v>46233</v>
      </c>
      <c r="S2695" s="527">
        <v>0</v>
      </c>
    </row>
    <row r="2696" spans="1:19" x14ac:dyDescent="0.2">
      <c r="A2696" s="524">
        <v>71637</v>
      </c>
      <c r="B2696" s="526">
        <v>46233</v>
      </c>
      <c r="C2696" s="524" t="s">
        <v>1162</v>
      </c>
      <c r="D2696" s="524" t="s">
        <v>1186</v>
      </c>
      <c r="E2696" s="524" t="s">
        <v>2832</v>
      </c>
      <c r="F2696" s="524" t="s">
        <v>1576</v>
      </c>
      <c r="G2696" s="524" t="s">
        <v>1577</v>
      </c>
      <c r="H2696" s="527">
        <v>874.24</v>
      </c>
      <c r="I2696" s="524" t="s">
        <v>1174</v>
      </c>
      <c r="J2696" s="524">
        <f>IF(cmf[[#This Row],[D/C]]="C",cmf[[#This Row],[Valor]],-1*cmf[[#This Row],[Valor]])</f>
        <v>-874.24</v>
      </c>
      <c r="L2696" s="524" t="s">
        <v>1188</v>
      </c>
      <c r="M2696" s="524" t="s">
        <v>1189</v>
      </c>
      <c r="N2696" s="524" t="s">
        <v>1578</v>
      </c>
      <c r="O2696" s="524" t="s">
        <v>1579</v>
      </c>
      <c r="P2696" s="526"/>
      <c r="S2696" s="527">
        <v>0</v>
      </c>
    </row>
    <row r="2697" spans="1:19" x14ac:dyDescent="0.2">
      <c r="A2697" s="524">
        <v>71638</v>
      </c>
      <c r="B2697" s="526">
        <v>46233</v>
      </c>
      <c r="C2697" s="524" t="s">
        <v>1162</v>
      </c>
      <c r="D2697" s="524" t="s">
        <v>1186</v>
      </c>
      <c r="E2697" s="524" t="s">
        <v>2833</v>
      </c>
      <c r="F2697" s="524" t="s">
        <v>1576</v>
      </c>
      <c r="G2697" s="524" t="s">
        <v>1577</v>
      </c>
      <c r="H2697" s="527">
        <v>848.61</v>
      </c>
      <c r="I2697" s="524" t="s">
        <v>1174</v>
      </c>
      <c r="J2697" s="524">
        <f>IF(cmf[[#This Row],[D/C]]="C",cmf[[#This Row],[Valor]],-1*cmf[[#This Row],[Valor]])</f>
        <v>-848.61</v>
      </c>
      <c r="L2697" s="524" t="s">
        <v>1188</v>
      </c>
      <c r="M2697" s="524" t="s">
        <v>1189</v>
      </c>
      <c r="N2697" s="524" t="s">
        <v>1578</v>
      </c>
      <c r="O2697" s="524" t="s">
        <v>1579</v>
      </c>
      <c r="P2697" s="526"/>
      <c r="S2697" s="527">
        <v>0</v>
      </c>
    </row>
    <row r="2698" spans="1:19" x14ac:dyDescent="0.2">
      <c r="A2698" s="524">
        <v>71639</v>
      </c>
      <c r="B2698" s="526">
        <v>46233</v>
      </c>
      <c r="C2698" s="524" t="s">
        <v>1162</v>
      </c>
      <c r="D2698" s="524" t="s">
        <v>1186</v>
      </c>
      <c r="E2698" s="524" t="s">
        <v>2834</v>
      </c>
      <c r="F2698" s="524" t="s">
        <v>1576</v>
      </c>
      <c r="G2698" s="524" t="s">
        <v>1577</v>
      </c>
      <c r="H2698" s="527">
        <v>954.51</v>
      </c>
      <c r="I2698" s="524" t="s">
        <v>1174</v>
      </c>
      <c r="J2698" s="524">
        <f>IF(cmf[[#This Row],[D/C]]="C",cmf[[#This Row],[Valor]],-1*cmf[[#This Row],[Valor]])</f>
        <v>-954.51</v>
      </c>
      <c r="L2698" s="524" t="s">
        <v>1188</v>
      </c>
      <c r="M2698" s="524" t="s">
        <v>1189</v>
      </c>
      <c r="N2698" s="524" t="s">
        <v>1578</v>
      </c>
      <c r="O2698" s="524" t="s">
        <v>1579</v>
      </c>
      <c r="P2698" s="526"/>
      <c r="S2698" s="527">
        <v>0</v>
      </c>
    </row>
    <row r="2699" spans="1:19" x14ac:dyDescent="0.2">
      <c r="A2699" s="524">
        <v>71640</v>
      </c>
      <c r="B2699" s="526">
        <v>46233</v>
      </c>
      <c r="C2699" s="524" t="s">
        <v>1162</v>
      </c>
      <c r="D2699" s="524" t="s">
        <v>1186</v>
      </c>
      <c r="E2699" s="524" t="s">
        <v>2835</v>
      </c>
      <c r="F2699" s="524" t="s">
        <v>1576</v>
      </c>
      <c r="G2699" s="524" t="s">
        <v>1577</v>
      </c>
      <c r="H2699" s="527">
        <v>440.44</v>
      </c>
      <c r="I2699" s="524" t="s">
        <v>1174</v>
      </c>
      <c r="J2699" s="524">
        <f>IF(cmf[[#This Row],[D/C]]="C",cmf[[#This Row],[Valor]],-1*cmf[[#This Row],[Valor]])</f>
        <v>-440.44</v>
      </c>
      <c r="L2699" s="524" t="s">
        <v>1188</v>
      </c>
      <c r="M2699" s="524" t="s">
        <v>1189</v>
      </c>
      <c r="N2699" s="524" t="s">
        <v>1578</v>
      </c>
      <c r="O2699" s="524" t="s">
        <v>1579</v>
      </c>
      <c r="P2699" s="526"/>
      <c r="S2699" s="527">
        <v>0</v>
      </c>
    </row>
    <row r="2700" spans="1:19" x14ac:dyDescent="0.2">
      <c r="A2700" s="524">
        <v>71643</v>
      </c>
      <c r="B2700" s="526">
        <v>46233</v>
      </c>
      <c r="C2700" s="524" t="s">
        <v>1148</v>
      </c>
      <c r="D2700" s="524" t="s">
        <v>1186</v>
      </c>
      <c r="E2700" s="524" t="s">
        <v>2836</v>
      </c>
      <c r="F2700" s="524" t="s">
        <v>1183</v>
      </c>
      <c r="G2700" s="524" t="s">
        <v>750</v>
      </c>
      <c r="H2700" s="527">
        <v>1491.44</v>
      </c>
      <c r="I2700" s="524" t="s">
        <v>1174</v>
      </c>
      <c r="J2700" s="524">
        <f>IF(cmf[[#This Row],[D/C]]="C",cmf[[#This Row],[Valor]],-1*cmf[[#This Row],[Valor]])</f>
        <v>-1491.44</v>
      </c>
      <c r="L2700" s="524" t="s">
        <v>1188</v>
      </c>
      <c r="M2700" s="524" t="s">
        <v>1189</v>
      </c>
      <c r="N2700" s="524" t="s">
        <v>1256</v>
      </c>
      <c r="O2700" s="524" t="s">
        <v>1257</v>
      </c>
      <c r="P2700" s="526">
        <v>46233</v>
      </c>
      <c r="S2700" s="527">
        <v>0</v>
      </c>
    </row>
    <row r="2701" spans="1:19" x14ac:dyDescent="0.2">
      <c r="A2701" s="524">
        <v>71644</v>
      </c>
      <c r="B2701" s="526">
        <v>46233</v>
      </c>
      <c r="C2701" s="524" t="s">
        <v>1148</v>
      </c>
      <c r="D2701" s="524" t="s">
        <v>1186</v>
      </c>
      <c r="E2701" s="524" t="s">
        <v>2837</v>
      </c>
      <c r="F2701" s="524" t="s">
        <v>1183</v>
      </c>
      <c r="G2701" s="524" t="s">
        <v>750</v>
      </c>
      <c r="H2701" s="527">
        <v>430.34</v>
      </c>
      <c r="I2701" s="524" t="s">
        <v>1174</v>
      </c>
      <c r="J2701" s="524">
        <f>IF(cmf[[#This Row],[D/C]]="C",cmf[[#This Row],[Valor]],-1*cmf[[#This Row],[Valor]])</f>
        <v>-430.34</v>
      </c>
      <c r="L2701" s="524" t="s">
        <v>1188</v>
      </c>
      <c r="M2701" s="524" t="s">
        <v>1189</v>
      </c>
      <c r="N2701" s="524" t="s">
        <v>1256</v>
      </c>
      <c r="O2701" s="524" t="s">
        <v>1257</v>
      </c>
      <c r="P2701" s="526">
        <v>46233</v>
      </c>
      <c r="S2701" s="527">
        <v>0</v>
      </c>
    </row>
    <row r="2702" spans="1:19" x14ac:dyDescent="0.2">
      <c r="A2702" s="524">
        <v>71645</v>
      </c>
      <c r="B2702" s="526">
        <v>46233</v>
      </c>
      <c r="C2702" s="524" t="s">
        <v>1148</v>
      </c>
      <c r="D2702" s="524" t="s">
        <v>1186</v>
      </c>
      <c r="E2702" s="524" t="s">
        <v>2838</v>
      </c>
      <c r="F2702" s="524" t="s">
        <v>1183</v>
      </c>
      <c r="G2702" s="524" t="s">
        <v>742</v>
      </c>
      <c r="H2702" s="527">
        <v>766.87</v>
      </c>
      <c r="I2702" s="524" t="s">
        <v>1174</v>
      </c>
      <c r="J2702" s="524">
        <f>IF(cmf[[#This Row],[D/C]]="C",cmf[[#This Row],[Valor]],-1*cmf[[#This Row],[Valor]])</f>
        <v>-766.87</v>
      </c>
      <c r="L2702" s="524" t="s">
        <v>1188</v>
      </c>
      <c r="M2702" s="524" t="s">
        <v>1189</v>
      </c>
      <c r="N2702" s="524" t="s">
        <v>1215</v>
      </c>
      <c r="O2702" s="524" t="s">
        <v>1218</v>
      </c>
      <c r="P2702" s="526">
        <v>46233</v>
      </c>
      <c r="S2702" s="527">
        <v>0</v>
      </c>
    </row>
    <row r="2703" spans="1:19" x14ac:dyDescent="0.2">
      <c r="A2703" s="524">
        <v>71646</v>
      </c>
      <c r="B2703" s="526">
        <v>46233</v>
      </c>
      <c r="C2703" s="524" t="s">
        <v>1148</v>
      </c>
      <c r="D2703" s="524" t="s">
        <v>1186</v>
      </c>
      <c r="E2703" s="524" t="s">
        <v>2839</v>
      </c>
      <c r="F2703" s="524" t="s">
        <v>1183</v>
      </c>
      <c r="G2703" s="524" t="s">
        <v>742</v>
      </c>
      <c r="H2703" s="527">
        <v>429.64</v>
      </c>
      <c r="I2703" s="524" t="s">
        <v>1174</v>
      </c>
      <c r="J2703" s="524">
        <f>IF(cmf[[#This Row],[D/C]]="C",cmf[[#This Row],[Valor]],-1*cmf[[#This Row],[Valor]])</f>
        <v>-429.64</v>
      </c>
      <c r="L2703" s="524" t="s">
        <v>1188</v>
      </c>
      <c r="M2703" s="524" t="s">
        <v>1189</v>
      </c>
      <c r="N2703" s="524" t="s">
        <v>1215</v>
      </c>
      <c r="O2703" s="524" t="s">
        <v>1218</v>
      </c>
      <c r="P2703" s="526">
        <v>46233</v>
      </c>
      <c r="S2703" s="527">
        <v>0</v>
      </c>
    </row>
    <row r="2704" spans="1:19" x14ac:dyDescent="0.2">
      <c r="A2704" s="524">
        <v>71647</v>
      </c>
      <c r="B2704" s="526">
        <v>46233</v>
      </c>
      <c r="C2704" s="524" t="s">
        <v>1148</v>
      </c>
      <c r="D2704" s="524" t="s">
        <v>1186</v>
      </c>
      <c r="E2704" s="524" t="s">
        <v>2840</v>
      </c>
      <c r="F2704" s="524" t="s">
        <v>1183</v>
      </c>
      <c r="G2704" s="524" t="s">
        <v>742</v>
      </c>
      <c r="H2704" s="527">
        <v>1527.22</v>
      </c>
      <c r="I2704" s="524" t="s">
        <v>1174</v>
      </c>
      <c r="J2704" s="524">
        <f>IF(cmf[[#This Row],[D/C]]="C",cmf[[#This Row],[Valor]],-1*cmf[[#This Row],[Valor]])</f>
        <v>-1527.22</v>
      </c>
      <c r="L2704" s="524" t="s">
        <v>1188</v>
      </c>
      <c r="M2704" s="524" t="s">
        <v>1189</v>
      </c>
      <c r="N2704" s="524" t="s">
        <v>1215</v>
      </c>
      <c r="O2704" s="524" t="s">
        <v>1218</v>
      </c>
      <c r="P2704" s="526">
        <v>46233</v>
      </c>
      <c r="S2704" s="527">
        <v>0</v>
      </c>
    </row>
    <row r="2705" spans="1:19" x14ac:dyDescent="0.2">
      <c r="A2705" s="524">
        <v>71648</v>
      </c>
      <c r="B2705" s="526">
        <v>46233</v>
      </c>
      <c r="C2705" s="524" t="s">
        <v>1148</v>
      </c>
      <c r="D2705" s="524" t="s">
        <v>1186</v>
      </c>
      <c r="E2705" s="524" t="s">
        <v>2841</v>
      </c>
      <c r="F2705" s="524" t="s">
        <v>1183</v>
      </c>
      <c r="G2705" s="524" t="s">
        <v>742</v>
      </c>
      <c r="H2705" s="527">
        <v>3682.34</v>
      </c>
      <c r="I2705" s="524" t="s">
        <v>1174</v>
      </c>
      <c r="J2705" s="524">
        <f>IF(cmf[[#This Row],[D/C]]="C",cmf[[#This Row],[Valor]],-1*cmf[[#This Row],[Valor]])</f>
        <v>-3682.34</v>
      </c>
      <c r="L2705" s="524" t="s">
        <v>1188</v>
      </c>
      <c r="M2705" s="524" t="s">
        <v>1189</v>
      </c>
      <c r="N2705" s="524" t="s">
        <v>1215</v>
      </c>
      <c r="O2705" s="524" t="s">
        <v>1218</v>
      </c>
      <c r="P2705" s="526">
        <v>46233</v>
      </c>
      <c r="S2705" s="527">
        <v>0</v>
      </c>
    </row>
    <row r="2706" spans="1:19" x14ac:dyDescent="0.2">
      <c r="A2706" s="524">
        <v>71649</v>
      </c>
      <c r="B2706" s="526">
        <v>46233</v>
      </c>
      <c r="C2706" s="524" t="s">
        <v>1148</v>
      </c>
      <c r="D2706" s="524" t="s">
        <v>1186</v>
      </c>
      <c r="E2706" s="524" t="s">
        <v>2842</v>
      </c>
      <c r="F2706" s="524" t="s">
        <v>1183</v>
      </c>
      <c r="G2706" s="524" t="s">
        <v>742</v>
      </c>
      <c r="H2706" s="527">
        <v>2175.9499999999998</v>
      </c>
      <c r="I2706" s="524" t="s">
        <v>1174</v>
      </c>
      <c r="J2706" s="524">
        <f>IF(cmf[[#This Row],[D/C]]="C",cmf[[#This Row],[Valor]],-1*cmf[[#This Row],[Valor]])</f>
        <v>-2175.9499999999998</v>
      </c>
      <c r="L2706" s="524" t="s">
        <v>1188</v>
      </c>
      <c r="M2706" s="524" t="s">
        <v>1189</v>
      </c>
      <c r="N2706" s="524" t="s">
        <v>1215</v>
      </c>
      <c r="O2706" s="524" t="s">
        <v>1218</v>
      </c>
      <c r="P2706" s="526">
        <v>46233</v>
      </c>
      <c r="S2706" s="527">
        <v>0</v>
      </c>
    </row>
    <row r="2707" spans="1:19" x14ac:dyDescent="0.2">
      <c r="A2707" s="524">
        <v>71650</v>
      </c>
      <c r="B2707" s="526">
        <v>46233</v>
      </c>
      <c r="C2707" s="524" t="s">
        <v>1148</v>
      </c>
      <c r="D2707" s="524" t="s">
        <v>1186</v>
      </c>
      <c r="E2707" s="524" t="s">
        <v>2843</v>
      </c>
      <c r="F2707" s="524" t="s">
        <v>1183</v>
      </c>
      <c r="G2707" s="524" t="s">
        <v>742</v>
      </c>
      <c r="H2707" s="527">
        <v>15000</v>
      </c>
      <c r="I2707" s="524" t="s">
        <v>1174</v>
      </c>
      <c r="J2707" s="524">
        <f>IF(cmf[[#This Row],[D/C]]="C",cmf[[#This Row],[Valor]],-1*cmf[[#This Row],[Valor]])</f>
        <v>-15000</v>
      </c>
      <c r="L2707" s="524" t="s">
        <v>1188</v>
      </c>
      <c r="M2707" s="524" t="s">
        <v>1189</v>
      </c>
      <c r="N2707" s="524" t="s">
        <v>1215</v>
      </c>
      <c r="O2707" s="524" t="s">
        <v>1218</v>
      </c>
      <c r="P2707" s="526">
        <v>46233</v>
      </c>
      <c r="S2707" s="527">
        <v>0</v>
      </c>
    </row>
    <row r="2708" spans="1:19" x14ac:dyDescent="0.2">
      <c r="A2708" s="524">
        <v>71651</v>
      </c>
      <c r="B2708" s="526">
        <v>46233</v>
      </c>
      <c r="C2708" s="524" t="s">
        <v>1148</v>
      </c>
      <c r="D2708" s="524" t="s">
        <v>1186</v>
      </c>
      <c r="E2708" s="524" t="s">
        <v>2844</v>
      </c>
      <c r="F2708" s="524" t="s">
        <v>1183</v>
      </c>
      <c r="G2708" s="524" t="s">
        <v>742</v>
      </c>
      <c r="H2708" s="527">
        <v>460</v>
      </c>
      <c r="I2708" s="524" t="s">
        <v>1174</v>
      </c>
      <c r="J2708" s="524">
        <f>IF(cmf[[#This Row],[D/C]]="C",cmf[[#This Row],[Valor]],-1*cmf[[#This Row],[Valor]])</f>
        <v>-460</v>
      </c>
      <c r="L2708" s="524" t="s">
        <v>1188</v>
      </c>
      <c r="M2708" s="524" t="s">
        <v>1189</v>
      </c>
      <c r="N2708" s="524" t="s">
        <v>1215</v>
      </c>
      <c r="O2708" s="524" t="s">
        <v>1218</v>
      </c>
      <c r="P2708" s="526">
        <v>46233</v>
      </c>
      <c r="S2708" s="527">
        <v>0</v>
      </c>
    </row>
    <row r="2709" spans="1:19" x14ac:dyDescent="0.2">
      <c r="A2709" s="524">
        <v>71652</v>
      </c>
      <c r="B2709" s="526">
        <v>46233</v>
      </c>
      <c r="C2709" s="524" t="s">
        <v>1148</v>
      </c>
      <c r="D2709" s="524" t="s">
        <v>1186</v>
      </c>
      <c r="E2709" s="524" t="s">
        <v>2845</v>
      </c>
      <c r="F2709" s="524" t="s">
        <v>1183</v>
      </c>
      <c r="G2709" s="524" t="s">
        <v>742</v>
      </c>
      <c r="H2709" s="527">
        <v>1600</v>
      </c>
      <c r="I2709" s="524" t="s">
        <v>1174</v>
      </c>
      <c r="J2709" s="524">
        <f>IF(cmf[[#This Row],[D/C]]="C",cmf[[#This Row],[Valor]],-1*cmf[[#This Row],[Valor]])</f>
        <v>-1600</v>
      </c>
      <c r="L2709" s="524" t="s">
        <v>1188</v>
      </c>
      <c r="M2709" s="524" t="s">
        <v>1189</v>
      </c>
      <c r="N2709" s="524" t="s">
        <v>1215</v>
      </c>
      <c r="O2709" s="524" t="s">
        <v>1218</v>
      </c>
      <c r="P2709" s="526">
        <v>46233</v>
      </c>
      <c r="S2709" s="527">
        <v>0</v>
      </c>
    </row>
    <row r="2710" spans="1:19" x14ac:dyDescent="0.2">
      <c r="A2710" s="524">
        <v>71653</v>
      </c>
      <c r="B2710" s="526">
        <v>46233</v>
      </c>
      <c r="C2710" s="524" t="s">
        <v>1148</v>
      </c>
      <c r="D2710" s="524" t="s">
        <v>1186</v>
      </c>
      <c r="E2710" s="524" t="s">
        <v>2846</v>
      </c>
      <c r="F2710" s="524" t="s">
        <v>1183</v>
      </c>
      <c r="G2710" s="524" t="s">
        <v>742</v>
      </c>
      <c r="H2710" s="527">
        <v>530</v>
      </c>
      <c r="I2710" s="524" t="s">
        <v>1174</v>
      </c>
      <c r="J2710" s="524">
        <f>IF(cmf[[#This Row],[D/C]]="C",cmf[[#This Row],[Valor]],-1*cmf[[#This Row],[Valor]])</f>
        <v>-530</v>
      </c>
      <c r="L2710" s="524" t="s">
        <v>1188</v>
      </c>
      <c r="M2710" s="524" t="s">
        <v>1189</v>
      </c>
      <c r="N2710" s="524" t="s">
        <v>1215</v>
      </c>
      <c r="O2710" s="524" t="s">
        <v>1218</v>
      </c>
      <c r="P2710" s="526">
        <v>46233</v>
      </c>
      <c r="S2710" s="527">
        <v>0</v>
      </c>
    </row>
    <row r="2711" spans="1:19" x14ac:dyDescent="0.2">
      <c r="A2711" s="524">
        <v>71654</v>
      </c>
      <c r="B2711" s="526">
        <v>46233</v>
      </c>
      <c r="C2711" s="524" t="s">
        <v>1148</v>
      </c>
      <c r="D2711" s="524" t="s">
        <v>1186</v>
      </c>
      <c r="E2711" s="524" t="s">
        <v>2847</v>
      </c>
      <c r="F2711" s="524" t="s">
        <v>1183</v>
      </c>
      <c r="G2711" s="524" t="s">
        <v>742</v>
      </c>
      <c r="H2711" s="527">
        <v>30.77</v>
      </c>
      <c r="I2711" s="524" t="s">
        <v>1174</v>
      </c>
      <c r="J2711" s="524">
        <f>IF(cmf[[#This Row],[D/C]]="C",cmf[[#This Row],[Valor]],-1*cmf[[#This Row],[Valor]])</f>
        <v>-30.77</v>
      </c>
      <c r="L2711" s="524" t="s">
        <v>1188</v>
      </c>
      <c r="M2711" s="524" t="s">
        <v>1189</v>
      </c>
      <c r="N2711" s="524" t="s">
        <v>1215</v>
      </c>
      <c r="O2711" s="524" t="s">
        <v>1218</v>
      </c>
      <c r="P2711" s="526">
        <v>46233</v>
      </c>
      <c r="S2711" s="527">
        <v>0</v>
      </c>
    </row>
    <row r="2712" spans="1:19" x14ac:dyDescent="0.2">
      <c r="A2712" s="524">
        <v>71655</v>
      </c>
      <c r="B2712" s="526">
        <v>46233</v>
      </c>
      <c r="C2712" s="524" t="s">
        <v>1148</v>
      </c>
      <c r="D2712" s="524" t="s">
        <v>1186</v>
      </c>
      <c r="E2712" s="524" t="s">
        <v>2848</v>
      </c>
      <c r="F2712" s="524" t="s">
        <v>1183</v>
      </c>
      <c r="G2712" s="524" t="s">
        <v>742</v>
      </c>
      <c r="H2712" s="527">
        <v>2432.94</v>
      </c>
      <c r="I2712" s="524" t="s">
        <v>1174</v>
      </c>
      <c r="J2712" s="524">
        <f>IF(cmf[[#This Row],[D/C]]="C",cmf[[#This Row],[Valor]],-1*cmf[[#This Row],[Valor]])</f>
        <v>-2432.94</v>
      </c>
      <c r="L2712" s="524" t="s">
        <v>1188</v>
      </c>
      <c r="M2712" s="524" t="s">
        <v>1189</v>
      </c>
      <c r="N2712" s="524" t="s">
        <v>1215</v>
      </c>
      <c r="O2712" s="524" t="s">
        <v>1218</v>
      </c>
      <c r="P2712" s="526">
        <v>46233</v>
      </c>
      <c r="S2712" s="527">
        <v>0</v>
      </c>
    </row>
    <row r="2713" spans="1:19" x14ac:dyDescent="0.2">
      <c r="A2713" s="524">
        <v>71660</v>
      </c>
      <c r="B2713" s="526">
        <v>46233</v>
      </c>
      <c r="C2713" s="524" t="s">
        <v>1162</v>
      </c>
      <c r="D2713" s="524" t="s">
        <v>1186</v>
      </c>
      <c r="E2713" s="524" t="s">
        <v>2849</v>
      </c>
      <c r="F2713" s="524" t="s">
        <v>1170</v>
      </c>
      <c r="G2713" s="524" t="s">
        <v>733</v>
      </c>
      <c r="H2713" s="527">
        <v>244.54</v>
      </c>
      <c r="I2713" s="524" t="s">
        <v>1174</v>
      </c>
      <c r="J2713" s="524">
        <f>IF(cmf[[#This Row],[D/C]]="C",cmf[[#This Row],[Valor]],-1*cmf[[#This Row],[Valor]])</f>
        <v>-244.54</v>
      </c>
      <c r="L2713" s="524" t="s">
        <v>1188</v>
      </c>
      <c r="M2713" s="524" t="s">
        <v>1189</v>
      </c>
      <c r="N2713" s="524" t="s">
        <v>1735</v>
      </c>
      <c r="O2713" s="524" t="s">
        <v>1736</v>
      </c>
      <c r="P2713" s="526"/>
      <c r="S2713" s="527">
        <v>0</v>
      </c>
    </row>
    <row r="2714" spans="1:19" x14ac:dyDescent="0.2">
      <c r="A2714" s="524">
        <v>71661</v>
      </c>
      <c r="B2714" s="526">
        <v>46233</v>
      </c>
      <c r="C2714" s="524" t="s">
        <v>1162</v>
      </c>
      <c r="D2714" s="524" t="s">
        <v>1186</v>
      </c>
      <c r="E2714" s="524" t="s">
        <v>2850</v>
      </c>
      <c r="F2714" s="524" t="s">
        <v>1170</v>
      </c>
      <c r="G2714" s="524" t="s">
        <v>733</v>
      </c>
      <c r="H2714" s="527">
        <v>2026.09</v>
      </c>
      <c r="I2714" s="524" t="s">
        <v>1174</v>
      </c>
      <c r="J2714" s="524">
        <f>IF(cmf[[#This Row],[D/C]]="C",cmf[[#This Row],[Valor]],-1*cmf[[#This Row],[Valor]])</f>
        <v>-2026.09</v>
      </c>
      <c r="L2714" s="524" t="s">
        <v>1188</v>
      </c>
      <c r="M2714" s="524" t="s">
        <v>1189</v>
      </c>
      <c r="N2714" s="524" t="s">
        <v>1735</v>
      </c>
      <c r="O2714" s="524" t="s">
        <v>1736</v>
      </c>
      <c r="P2714" s="526"/>
      <c r="S2714" s="527">
        <v>0</v>
      </c>
    </row>
    <row r="2715" spans="1:19" x14ac:dyDescent="0.2">
      <c r="A2715" s="524">
        <v>71669</v>
      </c>
      <c r="B2715" s="526">
        <v>46233</v>
      </c>
      <c r="C2715" s="524" t="s">
        <v>1162</v>
      </c>
      <c r="D2715" s="524" t="s">
        <v>1186</v>
      </c>
      <c r="E2715" s="524" t="s">
        <v>2851</v>
      </c>
      <c r="F2715" s="524" t="s">
        <v>1170</v>
      </c>
      <c r="G2715" s="524" t="s">
        <v>794</v>
      </c>
      <c r="H2715" s="527">
        <v>3516.9</v>
      </c>
      <c r="I2715" s="524" t="s">
        <v>1174</v>
      </c>
      <c r="J2715" s="524">
        <f>IF(cmf[[#This Row],[D/C]]="C",cmf[[#This Row],[Valor]],-1*cmf[[#This Row],[Valor]])</f>
        <v>-3516.9</v>
      </c>
      <c r="L2715" s="524" t="s">
        <v>1188</v>
      </c>
      <c r="M2715" s="524" t="s">
        <v>1189</v>
      </c>
      <c r="N2715" s="524" t="s">
        <v>1340</v>
      </c>
      <c r="O2715" s="524" t="s">
        <v>1341</v>
      </c>
      <c r="P2715" s="526"/>
      <c r="S2715" s="527">
        <v>0</v>
      </c>
    </row>
    <row r="2716" spans="1:19" x14ac:dyDescent="0.2">
      <c r="A2716" s="524">
        <v>71671</v>
      </c>
      <c r="B2716" s="526">
        <v>46233</v>
      </c>
      <c r="C2716" s="524" t="s">
        <v>1148</v>
      </c>
      <c r="D2716" s="524" t="s">
        <v>1186</v>
      </c>
      <c r="E2716" s="524" t="s">
        <v>2852</v>
      </c>
      <c r="F2716" s="524" t="s">
        <v>1183</v>
      </c>
      <c r="G2716" s="524" t="s">
        <v>745</v>
      </c>
      <c r="H2716" s="527">
        <v>9769.92</v>
      </c>
      <c r="I2716" s="524" t="s">
        <v>1174</v>
      </c>
      <c r="J2716" s="524">
        <f>IF(cmf[[#This Row],[D/C]]="C",cmf[[#This Row],[Valor]],-1*cmf[[#This Row],[Valor]])</f>
        <v>-9769.92</v>
      </c>
      <c r="L2716" s="524" t="s">
        <v>1188</v>
      </c>
      <c r="M2716" s="524" t="s">
        <v>1189</v>
      </c>
      <c r="N2716" s="524" t="s">
        <v>1292</v>
      </c>
      <c r="O2716" s="524" t="s">
        <v>1293</v>
      </c>
      <c r="P2716" s="526">
        <v>46233</v>
      </c>
      <c r="S2716" s="527">
        <v>0</v>
      </c>
    </row>
    <row r="2717" spans="1:19" x14ac:dyDescent="0.2">
      <c r="A2717" s="524">
        <v>71681</v>
      </c>
      <c r="B2717" s="526">
        <v>46233</v>
      </c>
      <c r="C2717" s="524" t="s">
        <v>1148</v>
      </c>
      <c r="D2717" s="524" t="s">
        <v>1243</v>
      </c>
      <c r="E2717" s="524" t="s">
        <v>1266</v>
      </c>
      <c r="F2717" s="524" t="s">
        <v>1183</v>
      </c>
      <c r="G2717" s="524" t="s">
        <v>763</v>
      </c>
      <c r="H2717" s="527">
        <v>3941.35</v>
      </c>
      <c r="I2717" s="524" t="s">
        <v>1174</v>
      </c>
      <c r="J2717" s="524">
        <f>IF(cmf[[#This Row],[D/C]]="C",cmf[[#This Row],[Valor]],-1*cmf[[#This Row],[Valor]])</f>
        <v>-3941.35</v>
      </c>
      <c r="L2717" s="524" t="s">
        <v>1245</v>
      </c>
      <c r="M2717" s="524" t="s">
        <v>1246</v>
      </c>
      <c r="N2717" s="524" t="s">
        <v>1180</v>
      </c>
      <c r="O2717" s="524" t="s">
        <v>1181</v>
      </c>
      <c r="P2717" s="526">
        <v>46233</v>
      </c>
      <c r="S2717" s="527">
        <v>0</v>
      </c>
    </row>
    <row r="2718" spans="1:19" x14ac:dyDescent="0.2">
      <c r="A2718" s="524">
        <v>71709</v>
      </c>
      <c r="B2718" s="526">
        <v>46233</v>
      </c>
      <c r="C2718" s="524" t="s">
        <v>1148</v>
      </c>
      <c r="D2718" s="524" t="s">
        <v>1243</v>
      </c>
      <c r="E2718" s="524" t="s">
        <v>1266</v>
      </c>
      <c r="F2718" s="524" t="s">
        <v>1183</v>
      </c>
      <c r="G2718" s="524" t="s">
        <v>745</v>
      </c>
      <c r="H2718" s="527">
        <v>3338.4</v>
      </c>
      <c r="I2718" s="524" t="s">
        <v>1174</v>
      </c>
      <c r="J2718" s="524">
        <f>IF(cmf[[#This Row],[D/C]]="C",cmf[[#This Row],[Valor]],-1*cmf[[#This Row],[Valor]])</f>
        <v>-3338.4</v>
      </c>
      <c r="L2718" s="524" t="s">
        <v>1245</v>
      </c>
      <c r="M2718" s="524" t="s">
        <v>1246</v>
      </c>
      <c r="N2718" s="524" t="s">
        <v>1292</v>
      </c>
      <c r="O2718" s="524" t="s">
        <v>1293</v>
      </c>
      <c r="P2718" s="526">
        <v>46233</v>
      </c>
      <c r="S2718" s="527">
        <v>0</v>
      </c>
    </row>
    <row r="2719" spans="1:19" x14ac:dyDescent="0.2">
      <c r="A2719" s="524">
        <v>71717</v>
      </c>
      <c r="B2719" s="526">
        <v>46233</v>
      </c>
      <c r="C2719" s="524" t="s">
        <v>1148</v>
      </c>
      <c r="D2719" s="524" t="s">
        <v>1239</v>
      </c>
      <c r="E2719" s="524" t="s">
        <v>1253</v>
      </c>
      <c r="F2719" s="524" t="s">
        <v>1170</v>
      </c>
      <c r="G2719" s="524" t="s">
        <v>802</v>
      </c>
      <c r="H2719" s="527">
        <v>0.4</v>
      </c>
      <c r="I2719" s="524" t="s">
        <v>1174</v>
      </c>
      <c r="J2719" s="524">
        <f>IF(cmf[[#This Row],[D/C]]="C",cmf[[#This Row],[Valor]],-1*cmf[[#This Row],[Valor]])</f>
        <v>-0.4</v>
      </c>
      <c r="L2719" s="524" t="s">
        <v>1241</v>
      </c>
      <c r="M2719" s="524" t="s">
        <v>1242</v>
      </c>
      <c r="N2719" s="524" t="s">
        <v>1192</v>
      </c>
      <c r="O2719" s="524" t="s">
        <v>1193</v>
      </c>
      <c r="P2719" s="526">
        <v>46233</v>
      </c>
      <c r="S2719" s="527">
        <v>0</v>
      </c>
    </row>
    <row r="2720" spans="1:19" x14ac:dyDescent="0.2">
      <c r="A2720" s="524">
        <v>71734</v>
      </c>
      <c r="B2720" s="526">
        <v>46233</v>
      </c>
      <c r="C2720" s="524" t="s">
        <v>1148</v>
      </c>
      <c r="D2720" s="524" t="s">
        <v>1243</v>
      </c>
      <c r="E2720" s="524" t="s">
        <v>1244</v>
      </c>
      <c r="F2720" s="524" t="s">
        <v>1183</v>
      </c>
      <c r="G2720" s="524" t="s">
        <v>742</v>
      </c>
      <c r="H2720" s="527">
        <v>102062.92</v>
      </c>
      <c r="I2720" s="524" t="s">
        <v>1148</v>
      </c>
      <c r="J2720" s="524">
        <f>IF(cmf[[#This Row],[D/C]]="C",cmf[[#This Row],[Valor]],-1*cmf[[#This Row],[Valor]])</f>
        <v>102062.92</v>
      </c>
      <c r="L2720" s="524" t="s">
        <v>1245</v>
      </c>
      <c r="M2720" s="524" t="s">
        <v>1246</v>
      </c>
      <c r="N2720" s="524" t="s">
        <v>1215</v>
      </c>
      <c r="O2720" s="524" t="s">
        <v>1267</v>
      </c>
      <c r="P2720" s="526">
        <v>46233</v>
      </c>
      <c r="S2720" s="527">
        <v>0</v>
      </c>
    </row>
    <row r="2721" spans="1:19" x14ac:dyDescent="0.2">
      <c r="A2721" s="524">
        <v>71735</v>
      </c>
      <c r="B2721" s="526">
        <v>46233</v>
      </c>
      <c r="C2721" s="524" t="s">
        <v>1148</v>
      </c>
      <c r="D2721" s="524" t="s">
        <v>1243</v>
      </c>
      <c r="E2721" s="524" t="s">
        <v>1244</v>
      </c>
      <c r="F2721" s="524" t="s">
        <v>1183</v>
      </c>
      <c r="G2721" s="524" t="s">
        <v>742</v>
      </c>
      <c r="H2721" s="527">
        <v>0.26</v>
      </c>
      <c r="I2721" s="524" t="s">
        <v>1148</v>
      </c>
      <c r="J2721" s="524">
        <f>IF(cmf[[#This Row],[D/C]]="C",cmf[[#This Row],[Valor]],-1*cmf[[#This Row],[Valor]])</f>
        <v>0.26</v>
      </c>
      <c r="L2721" s="524" t="s">
        <v>1245</v>
      </c>
      <c r="M2721" s="524" t="s">
        <v>1246</v>
      </c>
      <c r="N2721" s="524" t="s">
        <v>1215</v>
      </c>
      <c r="O2721" s="524" t="s">
        <v>1267</v>
      </c>
      <c r="P2721" s="526">
        <v>46233</v>
      </c>
      <c r="S2721" s="527">
        <v>0</v>
      </c>
    </row>
    <row r="2722" spans="1:19" x14ac:dyDescent="0.2">
      <c r="A2722" s="524">
        <v>71740</v>
      </c>
      <c r="B2722" s="526">
        <v>46233</v>
      </c>
      <c r="C2722" s="524" t="s">
        <v>1148</v>
      </c>
      <c r="D2722" s="524" t="s">
        <v>1239</v>
      </c>
      <c r="E2722" s="524" t="s">
        <v>1253</v>
      </c>
      <c r="F2722" s="524" t="s">
        <v>1170</v>
      </c>
      <c r="G2722" s="524" t="s">
        <v>798</v>
      </c>
      <c r="H2722" s="527">
        <v>0.8</v>
      </c>
      <c r="I2722" s="524" t="s">
        <v>1174</v>
      </c>
      <c r="J2722" s="524">
        <f>IF(cmf[[#This Row],[D/C]]="C",cmf[[#This Row],[Valor]],-1*cmf[[#This Row],[Valor]])</f>
        <v>-0.8</v>
      </c>
      <c r="L2722" s="524" t="s">
        <v>1241</v>
      </c>
      <c r="M2722" s="524" t="s">
        <v>1242</v>
      </c>
      <c r="N2722" s="524" t="s">
        <v>1171</v>
      </c>
      <c r="O2722" s="524" t="s">
        <v>1172</v>
      </c>
      <c r="P2722" s="526">
        <v>46233</v>
      </c>
      <c r="S2722" s="527">
        <v>0</v>
      </c>
    </row>
    <row r="2723" spans="1:19" x14ac:dyDescent="0.2">
      <c r="A2723" s="524">
        <v>71763</v>
      </c>
      <c r="B2723" s="526">
        <v>46233</v>
      </c>
      <c r="C2723" s="524" t="s">
        <v>1148</v>
      </c>
      <c r="D2723" s="524" t="s">
        <v>1186</v>
      </c>
      <c r="E2723" s="524" t="s">
        <v>2853</v>
      </c>
      <c r="F2723" s="524" t="s">
        <v>1183</v>
      </c>
      <c r="G2723" s="524" t="s">
        <v>758</v>
      </c>
      <c r="H2723" s="527">
        <v>6000</v>
      </c>
      <c r="I2723" s="524" t="s">
        <v>1174</v>
      </c>
      <c r="J2723" s="524">
        <f>IF(cmf[[#This Row],[D/C]]="C",cmf[[#This Row],[Valor]],-1*cmf[[#This Row],[Valor]])</f>
        <v>-6000</v>
      </c>
      <c r="L2723" s="524" t="s">
        <v>1188</v>
      </c>
      <c r="M2723" s="524" t="s">
        <v>1189</v>
      </c>
      <c r="N2723" s="524" t="s">
        <v>1223</v>
      </c>
      <c r="O2723" s="524" t="s">
        <v>1224</v>
      </c>
      <c r="P2723" s="526">
        <v>46233</v>
      </c>
      <c r="S2723" s="527">
        <v>0</v>
      </c>
    </row>
    <row r="2724" spans="1:19" x14ac:dyDescent="0.2">
      <c r="A2724" s="524">
        <v>71781</v>
      </c>
      <c r="B2724" s="526">
        <v>46233</v>
      </c>
      <c r="C2724" s="524" t="s">
        <v>1148</v>
      </c>
      <c r="D2724" s="524" t="s">
        <v>1243</v>
      </c>
      <c r="E2724" s="524" t="s">
        <v>1266</v>
      </c>
      <c r="F2724" s="524" t="s">
        <v>1183</v>
      </c>
      <c r="G2724" s="524" t="s">
        <v>758</v>
      </c>
      <c r="H2724" s="527">
        <v>71017.350000000006</v>
      </c>
      <c r="I2724" s="524" t="s">
        <v>1174</v>
      </c>
      <c r="J2724" s="524">
        <f>IF(cmf[[#This Row],[D/C]]="C",cmf[[#This Row],[Valor]],-1*cmf[[#This Row],[Valor]])</f>
        <v>-71017.350000000006</v>
      </c>
      <c r="L2724" s="524" t="s">
        <v>1245</v>
      </c>
      <c r="M2724" s="524" t="s">
        <v>1246</v>
      </c>
      <c r="N2724" s="524" t="s">
        <v>1223</v>
      </c>
      <c r="O2724" s="524" t="s">
        <v>1224</v>
      </c>
      <c r="P2724" s="526">
        <v>46233</v>
      </c>
      <c r="S2724" s="527">
        <v>0</v>
      </c>
    </row>
    <row r="2725" spans="1:19" x14ac:dyDescent="0.2">
      <c r="A2725" s="524">
        <v>71815</v>
      </c>
      <c r="B2725" s="526">
        <v>46233</v>
      </c>
      <c r="C2725" s="524" t="s">
        <v>1148</v>
      </c>
      <c r="D2725" s="524" t="s">
        <v>1205</v>
      </c>
      <c r="E2725" s="524" t="s">
        <v>1574</v>
      </c>
      <c r="F2725" s="524" t="s">
        <v>1183</v>
      </c>
      <c r="G2725" s="524" t="s">
        <v>742</v>
      </c>
      <c r="H2725" s="527">
        <v>954.51</v>
      </c>
      <c r="I2725" s="524" t="s">
        <v>1174</v>
      </c>
      <c r="J2725" s="524">
        <f>IF(cmf[[#This Row],[D/C]]="C",cmf[[#This Row],[Valor]],-1*cmf[[#This Row],[Valor]])</f>
        <v>-954.51</v>
      </c>
      <c r="L2725" s="524" t="s">
        <v>1207</v>
      </c>
      <c r="M2725" s="524" t="s">
        <v>1208</v>
      </c>
      <c r="N2725" s="524" t="s">
        <v>1215</v>
      </c>
      <c r="O2725" s="524" t="s">
        <v>1218</v>
      </c>
      <c r="P2725" s="526">
        <v>46233</v>
      </c>
      <c r="S2725" s="527">
        <v>0</v>
      </c>
    </row>
    <row r="2726" spans="1:19" x14ac:dyDescent="0.2">
      <c r="A2726" s="524">
        <v>71816</v>
      </c>
      <c r="B2726" s="526">
        <v>46233</v>
      </c>
      <c r="C2726" s="524" t="s">
        <v>1162</v>
      </c>
      <c r="D2726" s="524" t="s">
        <v>1205</v>
      </c>
      <c r="E2726" s="524" t="s">
        <v>1217</v>
      </c>
      <c r="F2726" s="524" t="s">
        <v>1576</v>
      </c>
      <c r="G2726" s="524" t="s">
        <v>1577</v>
      </c>
      <c r="H2726" s="527">
        <v>954.51</v>
      </c>
      <c r="I2726" s="524" t="s">
        <v>1148</v>
      </c>
      <c r="J2726" s="524">
        <f>IF(cmf[[#This Row],[D/C]]="C",cmf[[#This Row],[Valor]],-1*cmf[[#This Row],[Valor]])</f>
        <v>954.51</v>
      </c>
      <c r="L2726" s="524" t="s">
        <v>1207</v>
      </c>
      <c r="M2726" s="524" t="s">
        <v>1208</v>
      </c>
      <c r="N2726" s="524" t="s">
        <v>1578</v>
      </c>
      <c r="O2726" s="524" t="s">
        <v>1579</v>
      </c>
      <c r="P2726" s="526"/>
      <c r="S2726" s="527">
        <v>0</v>
      </c>
    </row>
    <row r="2727" spans="1:19" x14ac:dyDescent="0.2">
      <c r="A2727" s="524">
        <v>71817</v>
      </c>
      <c r="B2727" s="526">
        <v>46233</v>
      </c>
      <c r="C2727" s="524" t="s">
        <v>1148</v>
      </c>
      <c r="D2727" s="524" t="s">
        <v>1205</v>
      </c>
      <c r="E2727" s="524" t="s">
        <v>1574</v>
      </c>
      <c r="F2727" s="524" t="s">
        <v>1183</v>
      </c>
      <c r="G2727" s="524" t="s">
        <v>742</v>
      </c>
      <c r="H2727" s="527">
        <v>874.24</v>
      </c>
      <c r="I2727" s="524" t="s">
        <v>1174</v>
      </c>
      <c r="J2727" s="524">
        <f>IF(cmf[[#This Row],[D/C]]="C",cmf[[#This Row],[Valor]],-1*cmf[[#This Row],[Valor]])</f>
        <v>-874.24</v>
      </c>
      <c r="L2727" s="524" t="s">
        <v>1207</v>
      </c>
      <c r="M2727" s="524" t="s">
        <v>1208</v>
      </c>
      <c r="N2727" s="524" t="s">
        <v>1215</v>
      </c>
      <c r="O2727" s="524" t="s">
        <v>1218</v>
      </c>
      <c r="P2727" s="526">
        <v>46233</v>
      </c>
      <c r="S2727" s="527">
        <v>0</v>
      </c>
    </row>
    <row r="2728" spans="1:19" x14ac:dyDescent="0.2">
      <c r="A2728" s="524">
        <v>71818</v>
      </c>
      <c r="B2728" s="526">
        <v>46233</v>
      </c>
      <c r="C2728" s="524" t="s">
        <v>1162</v>
      </c>
      <c r="D2728" s="524" t="s">
        <v>1205</v>
      </c>
      <c r="E2728" s="524" t="s">
        <v>1217</v>
      </c>
      <c r="F2728" s="524" t="s">
        <v>1576</v>
      </c>
      <c r="G2728" s="524" t="s">
        <v>1577</v>
      </c>
      <c r="H2728" s="527">
        <v>874.24</v>
      </c>
      <c r="I2728" s="524" t="s">
        <v>1148</v>
      </c>
      <c r="J2728" s="524">
        <f>IF(cmf[[#This Row],[D/C]]="C",cmf[[#This Row],[Valor]],-1*cmf[[#This Row],[Valor]])</f>
        <v>874.24</v>
      </c>
      <c r="L2728" s="524" t="s">
        <v>1207</v>
      </c>
      <c r="M2728" s="524" t="s">
        <v>1208</v>
      </c>
      <c r="N2728" s="524" t="s">
        <v>1578</v>
      </c>
      <c r="O2728" s="524" t="s">
        <v>1579</v>
      </c>
      <c r="P2728" s="526"/>
      <c r="S2728" s="527">
        <v>0</v>
      </c>
    </row>
    <row r="2729" spans="1:19" x14ac:dyDescent="0.2">
      <c r="A2729" s="524">
        <v>71819</v>
      </c>
      <c r="B2729" s="526">
        <v>46233</v>
      </c>
      <c r="C2729" s="524" t="s">
        <v>1148</v>
      </c>
      <c r="D2729" s="524" t="s">
        <v>1205</v>
      </c>
      <c r="E2729" s="524" t="s">
        <v>1574</v>
      </c>
      <c r="F2729" s="524" t="s">
        <v>1183</v>
      </c>
      <c r="G2729" s="524" t="s">
        <v>742</v>
      </c>
      <c r="H2729" s="527">
        <v>440.44</v>
      </c>
      <c r="I2729" s="524" t="s">
        <v>1174</v>
      </c>
      <c r="J2729" s="524">
        <f>IF(cmf[[#This Row],[D/C]]="C",cmf[[#This Row],[Valor]],-1*cmf[[#This Row],[Valor]])</f>
        <v>-440.44</v>
      </c>
      <c r="L2729" s="524" t="s">
        <v>1207</v>
      </c>
      <c r="M2729" s="524" t="s">
        <v>1208</v>
      </c>
      <c r="N2729" s="524" t="s">
        <v>1215</v>
      </c>
      <c r="O2729" s="524" t="s">
        <v>1218</v>
      </c>
      <c r="P2729" s="526">
        <v>46233</v>
      </c>
      <c r="S2729" s="527">
        <v>0</v>
      </c>
    </row>
    <row r="2730" spans="1:19" x14ac:dyDescent="0.2">
      <c r="A2730" s="524">
        <v>71820</v>
      </c>
      <c r="B2730" s="526">
        <v>46233</v>
      </c>
      <c r="C2730" s="524" t="s">
        <v>1162</v>
      </c>
      <c r="D2730" s="524" t="s">
        <v>1205</v>
      </c>
      <c r="E2730" s="524" t="s">
        <v>1217</v>
      </c>
      <c r="F2730" s="524" t="s">
        <v>1576</v>
      </c>
      <c r="G2730" s="524" t="s">
        <v>1577</v>
      </c>
      <c r="H2730" s="527">
        <v>440.44</v>
      </c>
      <c r="I2730" s="524" t="s">
        <v>1148</v>
      </c>
      <c r="J2730" s="524">
        <f>IF(cmf[[#This Row],[D/C]]="C",cmf[[#This Row],[Valor]],-1*cmf[[#This Row],[Valor]])</f>
        <v>440.44</v>
      </c>
      <c r="L2730" s="524" t="s">
        <v>1207</v>
      </c>
      <c r="M2730" s="524" t="s">
        <v>1208</v>
      </c>
      <c r="N2730" s="524" t="s">
        <v>1578</v>
      </c>
      <c r="O2730" s="524" t="s">
        <v>1579</v>
      </c>
      <c r="P2730" s="526"/>
      <c r="S2730" s="527">
        <v>0</v>
      </c>
    </row>
    <row r="2731" spans="1:19" x14ac:dyDescent="0.2">
      <c r="A2731" s="524">
        <v>71821</v>
      </c>
      <c r="B2731" s="526">
        <v>46233</v>
      </c>
      <c r="C2731" s="524" t="s">
        <v>1148</v>
      </c>
      <c r="D2731" s="524" t="s">
        <v>1205</v>
      </c>
      <c r="E2731" s="524" t="s">
        <v>1574</v>
      </c>
      <c r="F2731" s="524" t="s">
        <v>1183</v>
      </c>
      <c r="G2731" s="524" t="s">
        <v>742</v>
      </c>
      <c r="H2731" s="527">
        <v>848.61</v>
      </c>
      <c r="I2731" s="524" t="s">
        <v>1174</v>
      </c>
      <c r="J2731" s="524">
        <f>IF(cmf[[#This Row],[D/C]]="C",cmf[[#This Row],[Valor]],-1*cmf[[#This Row],[Valor]])</f>
        <v>-848.61</v>
      </c>
      <c r="L2731" s="524" t="s">
        <v>1207</v>
      </c>
      <c r="M2731" s="524" t="s">
        <v>1208</v>
      </c>
      <c r="N2731" s="524" t="s">
        <v>1215</v>
      </c>
      <c r="O2731" s="524" t="s">
        <v>1218</v>
      </c>
      <c r="P2731" s="526">
        <v>46233</v>
      </c>
      <c r="S2731" s="527">
        <v>0</v>
      </c>
    </row>
    <row r="2732" spans="1:19" x14ac:dyDescent="0.2">
      <c r="A2732" s="524">
        <v>71822</v>
      </c>
      <c r="B2732" s="526">
        <v>46233</v>
      </c>
      <c r="C2732" s="524" t="s">
        <v>1162</v>
      </c>
      <c r="D2732" s="524" t="s">
        <v>1205</v>
      </c>
      <c r="E2732" s="524" t="s">
        <v>1217</v>
      </c>
      <c r="F2732" s="524" t="s">
        <v>1576</v>
      </c>
      <c r="G2732" s="524" t="s">
        <v>1577</v>
      </c>
      <c r="H2732" s="527">
        <v>848.61</v>
      </c>
      <c r="I2732" s="524" t="s">
        <v>1148</v>
      </c>
      <c r="J2732" s="524">
        <f>IF(cmf[[#This Row],[D/C]]="C",cmf[[#This Row],[Valor]],-1*cmf[[#This Row],[Valor]])</f>
        <v>848.61</v>
      </c>
      <c r="L2732" s="524" t="s">
        <v>1207</v>
      </c>
      <c r="M2732" s="524" t="s">
        <v>1208</v>
      </c>
      <c r="N2732" s="524" t="s">
        <v>1578</v>
      </c>
      <c r="O2732" s="524" t="s">
        <v>1579</v>
      </c>
      <c r="P2732" s="526"/>
      <c r="S2732" s="527">
        <v>0</v>
      </c>
    </row>
    <row r="2733" spans="1:19" x14ac:dyDescent="0.2">
      <c r="A2733" s="524">
        <v>71825</v>
      </c>
      <c r="B2733" s="526">
        <v>46233</v>
      </c>
      <c r="C2733" s="524" t="s">
        <v>1148</v>
      </c>
      <c r="D2733" s="524" t="s">
        <v>1205</v>
      </c>
      <c r="E2733" s="524" t="s">
        <v>1214</v>
      </c>
      <c r="F2733" s="524" t="s">
        <v>1170</v>
      </c>
      <c r="G2733" s="524" t="s">
        <v>757</v>
      </c>
      <c r="H2733" s="527">
        <v>600000</v>
      </c>
      <c r="I2733" s="524" t="s">
        <v>1174</v>
      </c>
      <c r="J2733" s="524">
        <f>IF(cmf[[#This Row],[D/C]]="C",cmf[[#This Row],[Valor]],-1*cmf[[#This Row],[Valor]])</f>
        <v>-600000</v>
      </c>
      <c r="L2733" s="524" t="s">
        <v>1207</v>
      </c>
      <c r="M2733" s="524" t="s">
        <v>1208</v>
      </c>
      <c r="N2733" s="524" t="s">
        <v>1223</v>
      </c>
      <c r="O2733" s="524" t="s">
        <v>1224</v>
      </c>
      <c r="P2733" s="526">
        <v>46233</v>
      </c>
      <c r="S2733" s="527">
        <v>0</v>
      </c>
    </row>
    <row r="2734" spans="1:19" x14ac:dyDescent="0.2">
      <c r="A2734" s="524">
        <v>71826</v>
      </c>
      <c r="B2734" s="526">
        <v>46233</v>
      </c>
      <c r="C2734" s="524" t="s">
        <v>1148</v>
      </c>
      <c r="D2734" s="524" t="s">
        <v>1205</v>
      </c>
      <c r="E2734" s="524" t="s">
        <v>1234</v>
      </c>
      <c r="F2734" s="524" t="s">
        <v>1183</v>
      </c>
      <c r="G2734" s="524" t="s">
        <v>742</v>
      </c>
      <c r="H2734" s="527">
        <v>600000</v>
      </c>
      <c r="I2734" s="524" t="s">
        <v>1148</v>
      </c>
      <c r="J2734" s="524">
        <f>IF(cmf[[#This Row],[D/C]]="C",cmf[[#This Row],[Valor]],-1*cmf[[#This Row],[Valor]])</f>
        <v>600000</v>
      </c>
      <c r="L2734" s="524" t="s">
        <v>1207</v>
      </c>
      <c r="M2734" s="524" t="s">
        <v>1208</v>
      </c>
      <c r="N2734" s="524" t="s">
        <v>1215</v>
      </c>
      <c r="O2734" s="524" t="s">
        <v>1218</v>
      </c>
      <c r="P2734" s="526">
        <v>46233</v>
      </c>
      <c r="S2734" s="527">
        <v>0</v>
      </c>
    </row>
    <row r="2735" spans="1:19" x14ac:dyDescent="0.2">
      <c r="A2735" s="524">
        <v>71873</v>
      </c>
      <c r="B2735" s="526">
        <v>46233</v>
      </c>
      <c r="C2735" s="524" t="s">
        <v>1148</v>
      </c>
      <c r="D2735" s="524" t="s">
        <v>1243</v>
      </c>
      <c r="E2735" s="524" t="s">
        <v>1244</v>
      </c>
      <c r="F2735" s="524" t="s">
        <v>1183</v>
      </c>
      <c r="G2735" s="524" t="s">
        <v>750</v>
      </c>
      <c r="H2735" s="527">
        <v>1921.77</v>
      </c>
      <c r="I2735" s="524" t="s">
        <v>1148</v>
      </c>
      <c r="J2735" s="524">
        <f>IF(cmf[[#This Row],[D/C]]="C",cmf[[#This Row],[Valor]],-1*cmf[[#This Row],[Valor]])</f>
        <v>1921.77</v>
      </c>
      <c r="L2735" s="524" t="s">
        <v>1245</v>
      </c>
      <c r="M2735" s="524" t="s">
        <v>1246</v>
      </c>
      <c r="N2735" s="524" t="s">
        <v>1256</v>
      </c>
      <c r="O2735" s="524" t="s">
        <v>1257</v>
      </c>
      <c r="P2735" s="526">
        <v>46233</v>
      </c>
      <c r="S2735" s="527">
        <v>0</v>
      </c>
    </row>
    <row r="2736" spans="1:19" x14ac:dyDescent="0.2">
      <c r="A2736" s="524">
        <v>71874</v>
      </c>
      <c r="B2736" s="526">
        <v>46233</v>
      </c>
      <c r="C2736" s="524" t="s">
        <v>1148</v>
      </c>
      <c r="D2736" s="524" t="s">
        <v>1243</v>
      </c>
      <c r="E2736" s="524" t="s">
        <v>1244</v>
      </c>
      <c r="F2736" s="524" t="s">
        <v>1183</v>
      </c>
      <c r="G2736" s="524" t="s">
        <v>750</v>
      </c>
      <c r="H2736" s="527">
        <v>0.01</v>
      </c>
      <c r="I2736" s="524" t="s">
        <v>1148</v>
      </c>
      <c r="J2736" s="524">
        <f>IF(cmf[[#This Row],[D/C]]="C",cmf[[#This Row],[Valor]],-1*cmf[[#This Row],[Valor]])</f>
        <v>0.01</v>
      </c>
      <c r="L2736" s="524" t="s">
        <v>1245</v>
      </c>
      <c r="M2736" s="524" t="s">
        <v>1246</v>
      </c>
      <c r="N2736" s="524" t="s">
        <v>1256</v>
      </c>
      <c r="O2736" s="524" t="s">
        <v>1257</v>
      </c>
      <c r="P2736" s="526">
        <v>46233</v>
      </c>
      <c r="S2736" s="527">
        <v>0</v>
      </c>
    </row>
    <row r="2737" spans="1:19" x14ac:dyDescent="0.2">
      <c r="A2737" s="524">
        <v>71906</v>
      </c>
      <c r="B2737" s="526">
        <v>46233</v>
      </c>
      <c r="C2737" s="524" t="s">
        <v>1148</v>
      </c>
      <c r="D2737" s="524" t="s">
        <v>1239</v>
      </c>
      <c r="E2737" s="524" t="s">
        <v>1258</v>
      </c>
      <c r="F2737" s="524" t="s">
        <v>1170</v>
      </c>
      <c r="G2737" s="524" t="s">
        <v>1102</v>
      </c>
      <c r="H2737" s="527">
        <v>122.56</v>
      </c>
      <c r="I2737" s="524" t="s">
        <v>1174</v>
      </c>
      <c r="J2737" s="524">
        <f>IF(cmf[[#This Row],[D/C]]="C",cmf[[#This Row],[Valor]],-1*cmf[[#This Row],[Valor]])</f>
        <v>-122.56</v>
      </c>
      <c r="L2737" s="524" t="s">
        <v>1241</v>
      </c>
      <c r="M2737" s="524" t="s">
        <v>1242</v>
      </c>
      <c r="N2737" s="524" t="s">
        <v>1192</v>
      </c>
      <c r="O2737" s="524" t="s">
        <v>1193</v>
      </c>
      <c r="P2737" s="526">
        <v>46233</v>
      </c>
      <c r="S2737" s="527">
        <v>0</v>
      </c>
    </row>
    <row r="2738" spans="1:19" x14ac:dyDescent="0.2">
      <c r="A2738" s="524">
        <v>71907</v>
      </c>
      <c r="B2738" s="526">
        <v>46233</v>
      </c>
      <c r="C2738" s="524" t="s">
        <v>1148</v>
      </c>
      <c r="D2738" s="524" t="s">
        <v>1239</v>
      </c>
      <c r="E2738" s="524" t="s">
        <v>1258</v>
      </c>
      <c r="F2738" s="524" t="s">
        <v>1170</v>
      </c>
      <c r="G2738" s="524" t="s">
        <v>1102</v>
      </c>
      <c r="H2738" s="527">
        <v>6.3</v>
      </c>
      <c r="I2738" s="524" t="s">
        <v>1174</v>
      </c>
      <c r="J2738" s="524">
        <f>IF(cmf[[#This Row],[D/C]]="C",cmf[[#This Row],[Valor]],-1*cmf[[#This Row],[Valor]])</f>
        <v>-6.3</v>
      </c>
      <c r="L2738" s="524" t="s">
        <v>1241</v>
      </c>
      <c r="M2738" s="524" t="s">
        <v>1242</v>
      </c>
      <c r="N2738" s="524" t="s">
        <v>1192</v>
      </c>
      <c r="O2738" s="524" t="s">
        <v>1193</v>
      </c>
      <c r="P2738" s="526">
        <v>46233</v>
      </c>
      <c r="S2738" s="527">
        <v>0</v>
      </c>
    </row>
    <row r="2739" spans="1:19" x14ac:dyDescent="0.2">
      <c r="A2739" s="524">
        <v>71908</v>
      </c>
      <c r="B2739" s="526">
        <v>46233</v>
      </c>
      <c r="C2739" s="524" t="s">
        <v>1148</v>
      </c>
      <c r="D2739" s="524" t="s">
        <v>1239</v>
      </c>
      <c r="E2739" s="524" t="s">
        <v>1258</v>
      </c>
      <c r="F2739" s="524" t="s">
        <v>1170</v>
      </c>
      <c r="G2739" s="524" t="s">
        <v>1102</v>
      </c>
      <c r="H2739" s="527">
        <v>1.2</v>
      </c>
      <c r="I2739" s="524" t="s">
        <v>1174</v>
      </c>
      <c r="J2739" s="524">
        <f>IF(cmf[[#This Row],[D/C]]="C",cmf[[#This Row],[Valor]],-1*cmf[[#This Row],[Valor]])</f>
        <v>-1.2</v>
      </c>
      <c r="L2739" s="524" t="s">
        <v>1241</v>
      </c>
      <c r="M2739" s="524" t="s">
        <v>1242</v>
      </c>
      <c r="N2739" s="524" t="s">
        <v>1192</v>
      </c>
      <c r="O2739" s="524" t="s">
        <v>1193</v>
      </c>
      <c r="P2739" s="526">
        <v>46233</v>
      </c>
      <c r="S2739" s="527">
        <v>0</v>
      </c>
    </row>
    <row r="2740" spans="1:19" x14ac:dyDescent="0.2">
      <c r="A2740" s="524">
        <v>71917</v>
      </c>
      <c r="B2740" s="526">
        <v>46233</v>
      </c>
      <c r="C2740" s="524" t="s">
        <v>1162</v>
      </c>
      <c r="D2740" s="524" t="s">
        <v>1226</v>
      </c>
      <c r="E2740" s="524" t="s">
        <v>2854</v>
      </c>
      <c r="F2740" s="524" t="s">
        <v>1170</v>
      </c>
      <c r="G2740" s="524" t="s">
        <v>1102</v>
      </c>
      <c r="H2740" s="527">
        <v>122.56</v>
      </c>
      <c r="I2740" s="524" t="s">
        <v>1148</v>
      </c>
      <c r="J2740" s="524">
        <f>IF(cmf[[#This Row],[D/C]]="C",cmf[[#This Row],[Valor]],-1*cmf[[#This Row],[Valor]])</f>
        <v>122.56</v>
      </c>
      <c r="L2740" s="524" t="s">
        <v>1230</v>
      </c>
      <c r="M2740" s="524" t="s">
        <v>1231</v>
      </c>
      <c r="N2740" s="524" t="s">
        <v>1192</v>
      </c>
      <c r="O2740" s="524" t="s">
        <v>1193</v>
      </c>
      <c r="P2740" s="526"/>
      <c r="S2740" s="527">
        <v>0</v>
      </c>
    </row>
    <row r="2741" spans="1:19" x14ac:dyDescent="0.2">
      <c r="A2741" s="524">
        <v>72127</v>
      </c>
      <c r="B2741" s="526">
        <v>46233</v>
      </c>
      <c r="C2741" s="524" t="s">
        <v>1148</v>
      </c>
      <c r="D2741" s="524" t="s">
        <v>1239</v>
      </c>
      <c r="E2741" s="524" t="s">
        <v>1312</v>
      </c>
      <c r="F2741" s="524" t="s">
        <v>1170</v>
      </c>
      <c r="G2741" s="524" t="s">
        <v>749</v>
      </c>
      <c r="H2741" s="527">
        <v>10</v>
      </c>
      <c r="I2741" s="524" t="s">
        <v>1174</v>
      </c>
      <c r="J2741" s="524">
        <f>IF(cmf[[#This Row],[D/C]]="C",cmf[[#This Row],[Valor]],-1*cmf[[#This Row],[Valor]])</f>
        <v>-10</v>
      </c>
      <c r="L2741" s="524" t="s">
        <v>1241</v>
      </c>
      <c r="M2741" s="524" t="s">
        <v>1242</v>
      </c>
      <c r="N2741" s="524" t="s">
        <v>1256</v>
      </c>
      <c r="O2741" s="524" t="s">
        <v>1257</v>
      </c>
      <c r="P2741" s="526">
        <v>46233</v>
      </c>
      <c r="S2741" s="527">
        <v>0</v>
      </c>
    </row>
    <row r="2742" spans="1:19" x14ac:dyDescent="0.2">
      <c r="A2742" s="524">
        <v>72128</v>
      </c>
      <c r="B2742" s="526">
        <v>46233</v>
      </c>
      <c r="C2742" s="524" t="s">
        <v>1148</v>
      </c>
      <c r="D2742" s="524" t="s">
        <v>1239</v>
      </c>
      <c r="E2742" s="524" t="s">
        <v>1255</v>
      </c>
      <c r="F2742" s="524" t="s">
        <v>1170</v>
      </c>
      <c r="G2742" s="524" t="s">
        <v>749</v>
      </c>
      <c r="H2742" s="527">
        <v>0.2</v>
      </c>
      <c r="I2742" s="524" t="s">
        <v>1174</v>
      </c>
      <c r="J2742" s="524">
        <f>IF(cmf[[#This Row],[D/C]]="C",cmf[[#This Row],[Valor]],-1*cmf[[#This Row],[Valor]])</f>
        <v>-0.2</v>
      </c>
      <c r="L2742" s="524" t="s">
        <v>1241</v>
      </c>
      <c r="M2742" s="524" t="s">
        <v>1242</v>
      </c>
      <c r="N2742" s="524" t="s">
        <v>1256</v>
      </c>
      <c r="O2742" s="524" t="s">
        <v>1257</v>
      </c>
      <c r="P2742" s="526">
        <v>46233</v>
      </c>
      <c r="S2742" s="527">
        <v>0</v>
      </c>
    </row>
    <row r="2743" spans="1:19" x14ac:dyDescent="0.2">
      <c r="A2743" s="524">
        <v>72131</v>
      </c>
      <c r="B2743" s="526">
        <v>46233</v>
      </c>
      <c r="C2743" s="524" t="s">
        <v>1162</v>
      </c>
      <c r="D2743" s="524" t="s">
        <v>1226</v>
      </c>
      <c r="E2743" s="524" t="s">
        <v>2855</v>
      </c>
      <c r="F2743" s="524" t="s">
        <v>1328</v>
      </c>
      <c r="G2743" s="524" t="s">
        <v>1229</v>
      </c>
      <c r="H2743" s="527">
        <v>2466.85</v>
      </c>
      <c r="I2743" s="524" t="s">
        <v>1148</v>
      </c>
      <c r="J2743" s="524">
        <f>IF(cmf[[#This Row],[D/C]]="C",cmf[[#This Row],[Valor]],-1*cmf[[#This Row],[Valor]])</f>
        <v>2466.85</v>
      </c>
      <c r="L2743" s="524" t="s">
        <v>1230</v>
      </c>
      <c r="M2743" s="524" t="s">
        <v>1231</v>
      </c>
      <c r="N2743" s="524" t="s">
        <v>1171</v>
      </c>
      <c r="O2743" s="524" t="s">
        <v>1172</v>
      </c>
      <c r="P2743" s="526"/>
      <c r="S2743" s="527">
        <v>0</v>
      </c>
    </row>
    <row r="2744" spans="1:19" x14ac:dyDescent="0.2">
      <c r="A2744" s="524">
        <v>72133</v>
      </c>
      <c r="B2744" s="526">
        <v>46233</v>
      </c>
      <c r="C2744" s="524" t="s">
        <v>1162</v>
      </c>
      <c r="D2744" s="524" t="s">
        <v>1205</v>
      </c>
      <c r="E2744" s="524" t="s">
        <v>1329</v>
      </c>
      <c r="F2744" s="524" t="s">
        <v>1328</v>
      </c>
      <c r="G2744" s="524" t="s">
        <v>1229</v>
      </c>
      <c r="H2744" s="527">
        <v>2466.85</v>
      </c>
      <c r="I2744" s="524" t="s">
        <v>1174</v>
      </c>
      <c r="J2744" s="524">
        <f>IF(cmf[[#This Row],[D/C]]="C",cmf[[#This Row],[Valor]],-1*cmf[[#This Row],[Valor]])</f>
        <v>-2466.85</v>
      </c>
      <c r="L2744" s="524" t="s">
        <v>1207</v>
      </c>
      <c r="M2744" s="524" t="s">
        <v>1208</v>
      </c>
      <c r="N2744" s="524" t="s">
        <v>1171</v>
      </c>
      <c r="O2744" s="524" t="s">
        <v>1172</v>
      </c>
      <c r="P2744" s="526"/>
      <c r="S2744" s="527">
        <v>0</v>
      </c>
    </row>
    <row r="2745" spans="1:19" x14ac:dyDescent="0.2">
      <c r="A2745" s="524">
        <v>72134</v>
      </c>
      <c r="B2745" s="526">
        <v>46233</v>
      </c>
      <c r="C2745" s="524" t="s">
        <v>1162</v>
      </c>
      <c r="D2745" s="524" t="s">
        <v>1205</v>
      </c>
      <c r="E2745" s="524" t="s">
        <v>1330</v>
      </c>
      <c r="F2745" s="524" t="s">
        <v>1183</v>
      </c>
      <c r="G2745" s="524" t="s">
        <v>796</v>
      </c>
      <c r="H2745" s="527">
        <v>2466.85</v>
      </c>
      <c r="I2745" s="524" t="s">
        <v>1148</v>
      </c>
      <c r="J2745" s="524">
        <f>IF(cmf[[#This Row],[D/C]]="C",cmf[[#This Row],[Valor]],-1*cmf[[#This Row],[Valor]])</f>
        <v>2466.85</v>
      </c>
      <c r="L2745" s="524" t="s">
        <v>1207</v>
      </c>
      <c r="M2745" s="524" t="s">
        <v>1208</v>
      </c>
      <c r="N2745" s="524" t="s">
        <v>1184</v>
      </c>
      <c r="O2745" s="524" t="s">
        <v>1172</v>
      </c>
      <c r="P2745" s="526"/>
      <c r="S2745" s="527">
        <v>0</v>
      </c>
    </row>
    <row r="2746" spans="1:19" x14ac:dyDescent="0.2">
      <c r="A2746" s="524">
        <v>72145</v>
      </c>
      <c r="B2746" s="526">
        <v>46233</v>
      </c>
      <c r="C2746" s="524" t="s">
        <v>1148</v>
      </c>
      <c r="D2746" s="524" t="s">
        <v>1243</v>
      </c>
      <c r="E2746" s="524" t="s">
        <v>1266</v>
      </c>
      <c r="F2746" s="524" t="s">
        <v>1183</v>
      </c>
      <c r="G2746" s="524" t="s">
        <v>752</v>
      </c>
      <c r="H2746" s="527">
        <v>5000</v>
      </c>
      <c r="I2746" s="524" t="s">
        <v>1174</v>
      </c>
      <c r="J2746" s="524">
        <f>IF(cmf[[#This Row],[D/C]]="C",cmf[[#This Row],[Valor]],-1*cmf[[#This Row],[Valor]])</f>
        <v>-5000</v>
      </c>
      <c r="L2746" s="524" t="s">
        <v>1245</v>
      </c>
      <c r="M2746" s="524" t="s">
        <v>1246</v>
      </c>
      <c r="N2746" s="524" t="s">
        <v>1601</v>
      </c>
      <c r="O2746" s="524" t="s">
        <v>1602</v>
      </c>
      <c r="P2746" s="526">
        <v>46233</v>
      </c>
      <c r="S2746" s="527">
        <v>0</v>
      </c>
    </row>
    <row r="2747" spans="1:19" x14ac:dyDescent="0.2">
      <c r="A2747" s="524">
        <v>72163</v>
      </c>
      <c r="B2747" s="526">
        <v>46233</v>
      </c>
      <c r="C2747" s="524" t="s">
        <v>1148</v>
      </c>
      <c r="D2747" s="524" t="s">
        <v>1205</v>
      </c>
      <c r="E2747" s="524" t="s">
        <v>1336</v>
      </c>
      <c r="F2747" s="524" t="s">
        <v>1178</v>
      </c>
      <c r="G2747" s="524" t="s">
        <v>1179</v>
      </c>
      <c r="H2747" s="527">
        <v>55000</v>
      </c>
      <c r="I2747" s="524" t="s">
        <v>1174</v>
      </c>
      <c r="J2747" s="524">
        <f>IF(cmf[[#This Row],[D/C]]="C",cmf[[#This Row],[Valor]],-1*cmf[[#This Row],[Valor]])</f>
        <v>-55000</v>
      </c>
      <c r="L2747" s="524" t="s">
        <v>1207</v>
      </c>
      <c r="M2747" s="524" t="s">
        <v>1208</v>
      </c>
      <c r="N2747" s="524" t="s">
        <v>1180</v>
      </c>
      <c r="O2747" s="524" t="s">
        <v>1181</v>
      </c>
      <c r="P2747" s="526">
        <v>46233</v>
      </c>
      <c r="S2747" s="527">
        <v>0</v>
      </c>
    </row>
    <row r="2748" spans="1:19" x14ac:dyDescent="0.2">
      <c r="A2748" s="524">
        <v>72164</v>
      </c>
      <c r="B2748" s="526">
        <v>46233</v>
      </c>
      <c r="C2748" s="524" t="s">
        <v>1148</v>
      </c>
      <c r="D2748" s="524" t="s">
        <v>1205</v>
      </c>
      <c r="E2748" s="524" t="s">
        <v>1662</v>
      </c>
      <c r="F2748" s="524" t="s">
        <v>1183</v>
      </c>
      <c r="G2748" s="524" t="s">
        <v>763</v>
      </c>
      <c r="H2748" s="527">
        <v>55000</v>
      </c>
      <c r="I2748" s="524" t="s">
        <v>1148</v>
      </c>
      <c r="J2748" s="524">
        <f>IF(cmf[[#This Row],[D/C]]="C",cmf[[#This Row],[Valor]],-1*cmf[[#This Row],[Valor]])</f>
        <v>55000</v>
      </c>
      <c r="L2748" s="524" t="s">
        <v>1207</v>
      </c>
      <c r="M2748" s="524" t="s">
        <v>1208</v>
      </c>
      <c r="N2748" s="524" t="s">
        <v>1180</v>
      </c>
      <c r="O2748" s="524" t="s">
        <v>1181</v>
      </c>
      <c r="P2748" s="526">
        <v>46233</v>
      </c>
      <c r="S2748" s="527">
        <v>0</v>
      </c>
    </row>
    <row r="2749" spans="1:19" x14ac:dyDescent="0.2">
      <c r="A2749" s="524">
        <v>72173</v>
      </c>
      <c r="B2749" s="526">
        <v>46233</v>
      </c>
      <c r="C2749" s="524" t="s">
        <v>1148</v>
      </c>
      <c r="D2749" s="524" t="s">
        <v>1243</v>
      </c>
      <c r="E2749" s="524" t="s">
        <v>1266</v>
      </c>
      <c r="F2749" s="524" t="s">
        <v>1183</v>
      </c>
      <c r="G2749" s="524" t="s">
        <v>800</v>
      </c>
      <c r="H2749" s="527">
        <v>10417.39</v>
      </c>
      <c r="I2749" s="524" t="s">
        <v>1174</v>
      </c>
      <c r="J2749" s="524">
        <f>IF(cmf[[#This Row],[D/C]]="C",cmf[[#This Row],[Valor]],-1*cmf[[#This Row],[Valor]])</f>
        <v>-10417.39</v>
      </c>
      <c r="L2749" s="524" t="s">
        <v>1245</v>
      </c>
      <c r="M2749" s="524" t="s">
        <v>1246</v>
      </c>
      <c r="N2749" s="524" t="s">
        <v>1171</v>
      </c>
      <c r="O2749" s="524" t="s">
        <v>1172</v>
      </c>
      <c r="P2749" s="526">
        <v>46233</v>
      </c>
      <c r="S2749" s="527">
        <v>0</v>
      </c>
    </row>
    <row r="2750" spans="1:19" x14ac:dyDescent="0.2">
      <c r="A2750" s="524">
        <v>72179</v>
      </c>
      <c r="B2750" s="526">
        <v>46233</v>
      </c>
      <c r="C2750" s="524" t="s">
        <v>1148</v>
      </c>
      <c r="D2750" s="524" t="s">
        <v>1243</v>
      </c>
      <c r="E2750" s="524" t="s">
        <v>1244</v>
      </c>
      <c r="F2750" s="524" t="s">
        <v>1183</v>
      </c>
      <c r="G2750" s="524" t="s">
        <v>803</v>
      </c>
      <c r="H2750" s="527">
        <v>0.01</v>
      </c>
      <c r="I2750" s="524" t="s">
        <v>1148</v>
      </c>
      <c r="J2750" s="524">
        <f>IF(cmf[[#This Row],[D/C]]="C",cmf[[#This Row],[Valor]],-1*cmf[[#This Row],[Valor]])</f>
        <v>0.01</v>
      </c>
      <c r="L2750" s="524" t="s">
        <v>1245</v>
      </c>
      <c r="M2750" s="524" t="s">
        <v>1246</v>
      </c>
      <c r="N2750" s="524" t="s">
        <v>1192</v>
      </c>
      <c r="O2750" s="524" t="s">
        <v>1193</v>
      </c>
      <c r="P2750" s="526">
        <v>46233</v>
      </c>
      <c r="S2750" s="527">
        <v>0</v>
      </c>
    </row>
    <row r="2751" spans="1:19" x14ac:dyDescent="0.2">
      <c r="A2751" s="524">
        <v>72180</v>
      </c>
      <c r="B2751" s="526">
        <v>46233</v>
      </c>
      <c r="C2751" s="524" t="s">
        <v>1148</v>
      </c>
      <c r="D2751" s="524" t="s">
        <v>1243</v>
      </c>
      <c r="E2751" s="524" t="s">
        <v>1244</v>
      </c>
      <c r="F2751" s="524" t="s">
        <v>1183</v>
      </c>
      <c r="G2751" s="524" t="s">
        <v>803</v>
      </c>
      <c r="H2751" s="527">
        <v>18011.93</v>
      </c>
      <c r="I2751" s="524" t="s">
        <v>1148</v>
      </c>
      <c r="J2751" s="524">
        <f>IF(cmf[[#This Row],[D/C]]="C",cmf[[#This Row],[Valor]],-1*cmf[[#This Row],[Valor]])</f>
        <v>18011.93</v>
      </c>
      <c r="L2751" s="524" t="s">
        <v>1245</v>
      </c>
      <c r="M2751" s="524" t="s">
        <v>1246</v>
      </c>
      <c r="N2751" s="524" t="s">
        <v>1192</v>
      </c>
      <c r="O2751" s="524" t="s">
        <v>1193</v>
      </c>
      <c r="P2751" s="526">
        <v>46233</v>
      </c>
      <c r="S2751" s="527">
        <v>0</v>
      </c>
    </row>
    <row r="2752" spans="1:19" x14ac:dyDescent="0.2">
      <c r="A2752" s="524">
        <v>72185</v>
      </c>
      <c r="B2752" s="526">
        <v>46233</v>
      </c>
      <c r="C2752" s="524" t="s">
        <v>1148</v>
      </c>
      <c r="D2752" s="524" t="s">
        <v>1186</v>
      </c>
      <c r="E2752" s="524" t="s">
        <v>2856</v>
      </c>
      <c r="F2752" s="524" t="s">
        <v>1183</v>
      </c>
      <c r="G2752" s="524" t="s">
        <v>803</v>
      </c>
      <c r="H2752" s="527">
        <v>4076.28</v>
      </c>
      <c r="I2752" s="524" t="s">
        <v>1174</v>
      </c>
      <c r="J2752" s="524">
        <f>IF(cmf[[#This Row],[D/C]]="C",cmf[[#This Row],[Valor]],-1*cmf[[#This Row],[Valor]])</f>
        <v>-4076.28</v>
      </c>
      <c r="L2752" s="524" t="s">
        <v>1188</v>
      </c>
      <c r="M2752" s="524" t="s">
        <v>1189</v>
      </c>
      <c r="N2752" s="524" t="s">
        <v>1192</v>
      </c>
      <c r="O2752" s="524" t="s">
        <v>1193</v>
      </c>
      <c r="P2752" s="526">
        <v>46233</v>
      </c>
      <c r="S2752" s="527">
        <v>0</v>
      </c>
    </row>
    <row r="2753" spans="1:19" x14ac:dyDescent="0.2">
      <c r="A2753" s="524">
        <v>72187</v>
      </c>
      <c r="B2753" s="526">
        <v>46233</v>
      </c>
      <c r="C2753" s="524" t="s">
        <v>1148</v>
      </c>
      <c r="D2753" s="524" t="s">
        <v>1243</v>
      </c>
      <c r="E2753" s="524" t="s">
        <v>1244</v>
      </c>
      <c r="F2753" s="524" t="s">
        <v>1183</v>
      </c>
      <c r="G2753" s="524" t="s">
        <v>806</v>
      </c>
      <c r="H2753" s="527">
        <v>18896.18</v>
      </c>
      <c r="I2753" s="524" t="s">
        <v>1148</v>
      </c>
      <c r="J2753" s="524">
        <f>IF(cmf[[#This Row],[D/C]]="C",cmf[[#This Row],[Valor]],-1*cmf[[#This Row],[Valor]])</f>
        <v>18896.18</v>
      </c>
      <c r="L2753" s="524" t="s">
        <v>1245</v>
      </c>
      <c r="M2753" s="524" t="s">
        <v>1246</v>
      </c>
      <c r="N2753" s="524" t="s">
        <v>1283</v>
      </c>
      <c r="O2753" s="524" t="s">
        <v>1284</v>
      </c>
      <c r="P2753" s="526">
        <v>46233</v>
      </c>
      <c r="S2753" s="527">
        <v>0</v>
      </c>
    </row>
    <row r="2754" spans="1:19" x14ac:dyDescent="0.2">
      <c r="A2754" s="524">
        <v>72188</v>
      </c>
      <c r="B2754" s="526">
        <v>46233</v>
      </c>
      <c r="C2754" s="524" t="s">
        <v>1148</v>
      </c>
      <c r="D2754" s="524" t="s">
        <v>1243</v>
      </c>
      <c r="E2754" s="524" t="s">
        <v>1244</v>
      </c>
      <c r="F2754" s="524" t="s">
        <v>1183</v>
      </c>
      <c r="G2754" s="524" t="s">
        <v>806</v>
      </c>
      <c r="H2754" s="527">
        <v>0.75</v>
      </c>
      <c r="I2754" s="524" t="s">
        <v>1148</v>
      </c>
      <c r="J2754" s="524">
        <f>IF(cmf[[#This Row],[D/C]]="C",cmf[[#This Row],[Valor]],-1*cmf[[#This Row],[Valor]])</f>
        <v>0.75</v>
      </c>
      <c r="L2754" s="524" t="s">
        <v>1245</v>
      </c>
      <c r="M2754" s="524" t="s">
        <v>1246</v>
      </c>
      <c r="N2754" s="524" t="s">
        <v>1283</v>
      </c>
      <c r="O2754" s="524" t="s">
        <v>1284</v>
      </c>
      <c r="P2754" s="526">
        <v>46233</v>
      </c>
      <c r="S2754" s="527">
        <v>0</v>
      </c>
    </row>
    <row r="2755" spans="1:19" x14ac:dyDescent="0.2">
      <c r="A2755" s="524">
        <v>72199</v>
      </c>
      <c r="B2755" s="526">
        <v>46233</v>
      </c>
      <c r="C2755" s="524" t="s">
        <v>1148</v>
      </c>
      <c r="D2755" s="524" t="s">
        <v>1243</v>
      </c>
      <c r="E2755" s="524" t="s">
        <v>1266</v>
      </c>
      <c r="F2755" s="524" t="s">
        <v>1183</v>
      </c>
      <c r="G2755" s="524" t="s">
        <v>766</v>
      </c>
      <c r="H2755" s="527">
        <v>2805.11</v>
      </c>
      <c r="I2755" s="524" t="s">
        <v>1174</v>
      </c>
      <c r="J2755" s="524">
        <f>IF(cmf[[#This Row],[D/C]]="C",cmf[[#This Row],[Valor]],-1*cmf[[#This Row],[Valor]])</f>
        <v>-2805.11</v>
      </c>
      <c r="L2755" s="524" t="s">
        <v>1245</v>
      </c>
      <c r="M2755" s="524" t="s">
        <v>1246</v>
      </c>
      <c r="N2755" s="524" t="s">
        <v>1200</v>
      </c>
      <c r="O2755" s="524" t="s">
        <v>1201</v>
      </c>
      <c r="P2755" s="526">
        <v>46233</v>
      </c>
      <c r="S2755" s="527">
        <v>0</v>
      </c>
    </row>
    <row r="2756" spans="1:19" x14ac:dyDescent="0.2">
      <c r="A2756" s="524">
        <v>72217</v>
      </c>
      <c r="B2756" s="526">
        <v>46233</v>
      </c>
      <c r="C2756" s="524" t="s">
        <v>1148</v>
      </c>
      <c r="D2756" s="524" t="s">
        <v>1243</v>
      </c>
      <c r="E2756" s="524" t="s">
        <v>1254</v>
      </c>
      <c r="F2756" s="524" t="s">
        <v>1178</v>
      </c>
      <c r="G2756" s="524" t="s">
        <v>1179</v>
      </c>
      <c r="H2756" s="527">
        <v>55577.33</v>
      </c>
      <c r="I2756" s="524" t="s">
        <v>1148</v>
      </c>
      <c r="J2756" s="524">
        <f>IF(cmf[[#This Row],[D/C]]="C",cmf[[#This Row],[Valor]],-1*cmf[[#This Row],[Valor]])</f>
        <v>55577.33</v>
      </c>
      <c r="L2756" s="524" t="s">
        <v>1245</v>
      </c>
      <c r="M2756" s="524" t="s">
        <v>1246</v>
      </c>
      <c r="N2756" s="524" t="s">
        <v>1180</v>
      </c>
      <c r="O2756" s="524" t="s">
        <v>1181</v>
      </c>
      <c r="P2756" s="526">
        <v>46233</v>
      </c>
      <c r="S2756" s="527">
        <v>0</v>
      </c>
    </row>
    <row r="2757" spans="1:19" x14ac:dyDescent="0.2">
      <c r="A2757" s="524">
        <v>72247</v>
      </c>
      <c r="B2757" s="526">
        <v>46233</v>
      </c>
      <c r="C2757" s="524" t="s">
        <v>1162</v>
      </c>
      <c r="D2757" s="524" t="s">
        <v>1186</v>
      </c>
      <c r="E2757" s="524" t="s">
        <v>2857</v>
      </c>
      <c r="F2757" s="524" t="s">
        <v>1170</v>
      </c>
      <c r="G2757" s="524" t="s">
        <v>775</v>
      </c>
      <c r="H2757" s="527">
        <v>3668.29</v>
      </c>
      <c r="I2757" s="524" t="s">
        <v>1174</v>
      </c>
      <c r="J2757" s="524">
        <f>IF(cmf[[#This Row],[D/C]]="C",cmf[[#This Row],[Valor]],-1*cmf[[#This Row],[Valor]])</f>
        <v>-3668.29</v>
      </c>
      <c r="L2757" s="524" t="s">
        <v>1188</v>
      </c>
      <c r="M2757" s="524" t="s">
        <v>1189</v>
      </c>
      <c r="N2757" s="524" t="s">
        <v>1212</v>
      </c>
      <c r="O2757" s="524" t="s">
        <v>1213</v>
      </c>
      <c r="P2757" s="526"/>
      <c r="S2757" s="527">
        <v>0</v>
      </c>
    </row>
    <row r="2758" spans="1:19" x14ac:dyDescent="0.2">
      <c r="A2758" s="524">
        <v>72248</v>
      </c>
      <c r="B2758" s="526">
        <v>46233</v>
      </c>
      <c r="C2758" s="524" t="s">
        <v>1162</v>
      </c>
      <c r="D2758" s="524" t="s">
        <v>1186</v>
      </c>
      <c r="E2758" s="524" t="s">
        <v>2858</v>
      </c>
      <c r="F2758" s="524" t="s">
        <v>1170</v>
      </c>
      <c r="G2758" s="524" t="s">
        <v>775</v>
      </c>
      <c r="H2758" s="527">
        <v>6839.25</v>
      </c>
      <c r="I2758" s="524" t="s">
        <v>1174</v>
      </c>
      <c r="J2758" s="524">
        <f>IF(cmf[[#This Row],[D/C]]="C",cmf[[#This Row],[Valor]],-1*cmf[[#This Row],[Valor]])</f>
        <v>-6839.25</v>
      </c>
      <c r="L2758" s="524" t="s">
        <v>1188</v>
      </c>
      <c r="M2758" s="524" t="s">
        <v>1189</v>
      </c>
      <c r="N2758" s="524" t="s">
        <v>1212</v>
      </c>
      <c r="O2758" s="524" t="s">
        <v>1213</v>
      </c>
      <c r="P2758" s="526"/>
      <c r="S2758" s="527">
        <v>0</v>
      </c>
    </row>
    <row r="2759" spans="1:19" x14ac:dyDescent="0.2">
      <c r="A2759" s="524">
        <v>72249</v>
      </c>
      <c r="B2759" s="526">
        <v>46233</v>
      </c>
      <c r="C2759" s="524" t="s">
        <v>1162</v>
      </c>
      <c r="D2759" s="524" t="s">
        <v>1186</v>
      </c>
      <c r="E2759" s="524" t="s">
        <v>2859</v>
      </c>
      <c r="F2759" s="524" t="s">
        <v>1170</v>
      </c>
      <c r="G2759" s="524" t="s">
        <v>775</v>
      </c>
      <c r="H2759" s="527">
        <v>7793.12</v>
      </c>
      <c r="I2759" s="524" t="s">
        <v>1174</v>
      </c>
      <c r="J2759" s="524">
        <f>IF(cmf[[#This Row],[D/C]]="C",cmf[[#This Row],[Valor]],-1*cmf[[#This Row],[Valor]])</f>
        <v>-7793.12</v>
      </c>
      <c r="L2759" s="524" t="s">
        <v>1188</v>
      </c>
      <c r="M2759" s="524" t="s">
        <v>1189</v>
      </c>
      <c r="N2759" s="524" t="s">
        <v>1212</v>
      </c>
      <c r="O2759" s="524" t="s">
        <v>1213</v>
      </c>
      <c r="P2759" s="526"/>
      <c r="S2759" s="527">
        <v>0</v>
      </c>
    </row>
    <row r="2760" spans="1:19" x14ac:dyDescent="0.2">
      <c r="A2760" s="524">
        <v>72250</v>
      </c>
      <c r="B2760" s="526">
        <v>46233</v>
      </c>
      <c r="C2760" s="524" t="s">
        <v>1162</v>
      </c>
      <c r="D2760" s="524" t="s">
        <v>1186</v>
      </c>
      <c r="E2760" s="524" t="s">
        <v>2860</v>
      </c>
      <c r="F2760" s="524" t="s">
        <v>1183</v>
      </c>
      <c r="G2760" s="524" t="s">
        <v>776</v>
      </c>
      <c r="H2760" s="527">
        <v>10626.75</v>
      </c>
      <c r="I2760" s="524" t="s">
        <v>1174</v>
      </c>
      <c r="J2760" s="524">
        <f>IF(cmf[[#This Row],[D/C]]="C",cmf[[#This Row],[Valor]],-1*cmf[[#This Row],[Valor]])</f>
        <v>-10626.75</v>
      </c>
      <c r="L2760" s="524" t="s">
        <v>1188</v>
      </c>
      <c r="M2760" s="524" t="s">
        <v>1189</v>
      </c>
      <c r="N2760" s="524" t="s">
        <v>1212</v>
      </c>
      <c r="O2760" s="524" t="s">
        <v>1213</v>
      </c>
      <c r="P2760" s="526"/>
      <c r="S2760" s="527">
        <v>0</v>
      </c>
    </row>
    <row r="2761" spans="1:19" x14ac:dyDescent="0.2">
      <c r="A2761" s="524">
        <v>72251</v>
      </c>
      <c r="B2761" s="526">
        <v>46233</v>
      </c>
      <c r="C2761" s="524" t="s">
        <v>1162</v>
      </c>
      <c r="D2761" s="524" t="s">
        <v>1186</v>
      </c>
      <c r="E2761" s="524" t="s">
        <v>2861</v>
      </c>
      <c r="F2761" s="524" t="s">
        <v>1183</v>
      </c>
      <c r="G2761" s="524" t="s">
        <v>776</v>
      </c>
      <c r="H2761" s="527">
        <v>3372.51</v>
      </c>
      <c r="I2761" s="524" t="s">
        <v>1174</v>
      </c>
      <c r="J2761" s="524">
        <f>IF(cmf[[#This Row],[D/C]]="C",cmf[[#This Row],[Valor]],-1*cmf[[#This Row],[Valor]])</f>
        <v>-3372.51</v>
      </c>
      <c r="L2761" s="524" t="s">
        <v>1188</v>
      </c>
      <c r="M2761" s="524" t="s">
        <v>1189</v>
      </c>
      <c r="N2761" s="524" t="s">
        <v>1212</v>
      </c>
      <c r="O2761" s="524" t="s">
        <v>1213</v>
      </c>
      <c r="P2761" s="526"/>
      <c r="S2761" s="527">
        <v>0</v>
      </c>
    </row>
    <row r="2762" spans="1:19" x14ac:dyDescent="0.2">
      <c r="A2762" s="524">
        <v>72256</v>
      </c>
      <c r="B2762" s="526">
        <v>46233</v>
      </c>
      <c r="C2762" s="524" t="s">
        <v>1148</v>
      </c>
      <c r="D2762" s="524" t="s">
        <v>1163</v>
      </c>
      <c r="E2762" s="524" t="s">
        <v>1164</v>
      </c>
      <c r="F2762" s="524" t="s">
        <v>1170</v>
      </c>
      <c r="G2762" s="524" t="s">
        <v>768</v>
      </c>
      <c r="H2762" s="527">
        <v>1729990.36</v>
      </c>
      <c r="I2762" s="524" t="s">
        <v>1148</v>
      </c>
      <c r="J2762" s="524">
        <f>IF(cmf[[#This Row],[D/C]]="C",cmf[[#This Row],[Valor]],-1*cmf[[#This Row],[Valor]])</f>
        <v>1729990.36</v>
      </c>
      <c r="L2762" s="524" t="s">
        <v>1166</v>
      </c>
      <c r="M2762" s="524" t="s">
        <v>1167</v>
      </c>
      <c r="N2762" s="524" t="s">
        <v>1219</v>
      </c>
      <c r="O2762" s="524" t="s">
        <v>1220</v>
      </c>
      <c r="P2762" s="526">
        <v>46233</v>
      </c>
      <c r="S2762" s="527">
        <v>0</v>
      </c>
    </row>
    <row r="2763" spans="1:19" x14ac:dyDescent="0.2">
      <c r="A2763" s="524">
        <v>72272</v>
      </c>
      <c r="B2763" s="526">
        <v>46233</v>
      </c>
      <c r="C2763" s="524" t="s">
        <v>1162</v>
      </c>
      <c r="D2763" s="524" t="s">
        <v>1186</v>
      </c>
      <c r="E2763" s="524" t="s">
        <v>2862</v>
      </c>
      <c r="F2763" s="524" t="s">
        <v>2863</v>
      </c>
      <c r="G2763" s="524" t="s">
        <v>1229</v>
      </c>
      <c r="H2763" s="527">
        <v>5000</v>
      </c>
      <c r="I2763" s="524" t="s">
        <v>1174</v>
      </c>
      <c r="J2763" s="524">
        <f>IF(cmf[[#This Row],[D/C]]="C",cmf[[#This Row],[Valor]],-1*cmf[[#This Row],[Valor]])</f>
        <v>-5000</v>
      </c>
      <c r="L2763" s="524" t="s">
        <v>1188</v>
      </c>
      <c r="M2763" s="524" t="s">
        <v>1189</v>
      </c>
      <c r="N2763" s="524" t="s">
        <v>1249</v>
      </c>
      <c r="O2763" s="524" t="s">
        <v>1267</v>
      </c>
      <c r="P2763" s="526"/>
      <c r="S2763" s="527">
        <v>0</v>
      </c>
    </row>
    <row r="2764" spans="1:19" x14ac:dyDescent="0.2">
      <c r="A2764" s="524">
        <v>72273</v>
      </c>
      <c r="B2764" s="526">
        <v>46233</v>
      </c>
      <c r="C2764" s="524" t="s">
        <v>1162</v>
      </c>
      <c r="D2764" s="524" t="s">
        <v>1186</v>
      </c>
      <c r="E2764" s="524" t="s">
        <v>2864</v>
      </c>
      <c r="F2764" s="524" t="s">
        <v>2863</v>
      </c>
      <c r="G2764" s="524" t="s">
        <v>1229</v>
      </c>
      <c r="H2764" s="527">
        <v>1186.32</v>
      </c>
      <c r="I2764" s="524" t="s">
        <v>1174</v>
      </c>
      <c r="J2764" s="524">
        <f>IF(cmf[[#This Row],[D/C]]="C",cmf[[#This Row],[Valor]],-1*cmf[[#This Row],[Valor]])</f>
        <v>-1186.32</v>
      </c>
      <c r="L2764" s="524" t="s">
        <v>1188</v>
      </c>
      <c r="M2764" s="524" t="s">
        <v>1189</v>
      </c>
      <c r="N2764" s="524" t="s">
        <v>1249</v>
      </c>
      <c r="O2764" s="524" t="s">
        <v>1267</v>
      </c>
      <c r="P2764" s="526"/>
      <c r="S2764" s="527">
        <v>0</v>
      </c>
    </row>
    <row r="2765" spans="1:19" x14ac:dyDescent="0.2">
      <c r="A2765" s="524">
        <v>72274</v>
      </c>
      <c r="B2765" s="526">
        <v>46233</v>
      </c>
      <c r="C2765" s="524" t="s">
        <v>1162</v>
      </c>
      <c r="D2765" s="524" t="s">
        <v>1205</v>
      </c>
      <c r="E2765" s="524" t="s">
        <v>1338</v>
      </c>
      <c r="F2765" s="524" t="s">
        <v>1170</v>
      </c>
      <c r="G2765" s="524" t="s">
        <v>775</v>
      </c>
      <c r="H2765" s="527">
        <v>1186.32</v>
      </c>
      <c r="I2765" s="524" t="s">
        <v>1174</v>
      </c>
      <c r="J2765" s="524">
        <f>IF(cmf[[#This Row],[D/C]]="C",cmf[[#This Row],[Valor]],-1*cmf[[#This Row],[Valor]])</f>
        <v>-1186.32</v>
      </c>
      <c r="L2765" s="524" t="s">
        <v>1207</v>
      </c>
      <c r="M2765" s="524" t="s">
        <v>1208</v>
      </c>
      <c r="N2765" s="524" t="s">
        <v>1212</v>
      </c>
      <c r="O2765" s="524" t="s">
        <v>1213</v>
      </c>
      <c r="P2765" s="526"/>
      <c r="S2765" s="527">
        <v>0</v>
      </c>
    </row>
    <row r="2766" spans="1:19" x14ac:dyDescent="0.2">
      <c r="A2766" s="524">
        <v>72275</v>
      </c>
      <c r="B2766" s="526">
        <v>46233</v>
      </c>
      <c r="C2766" s="524" t="s">
        <v>1162</v>
      </c>
      <c r="D2766" s="524" t="s">
        <v>1205</v>
      </c>
      <c r="E2766" s="524" t="s">
        <v>2703</v>
      </c>
      <c r="F2766" s="524" t="s">
        <v>2863</v>
      </c>
      <c r="G2766" s="524" t="s">
        <v>1229</v>
      </c>
      <c r="H2766" s="527">
        <v>1186.32</v>
      </c>
      <c r="I2766" s="524" t="s">
        <v>1148</v>
      </c>
      <c r="J2766" s="524">
        <f>IF(cmf[[#This Row],[D/C]]="C",cmf[[#This Row],[Valor]],-1*cmf[[#This Row],[Valor]])</f>
        <v>1186.32</v>
      </c>
      <c r="L2766" s="524" t="s">
        <v>1207</v>
      </c>
      <c r="M2766" s="524" t="s">
        <v>1208</v>
      </c>
      <c r="N2766" s="524" t="s">
        <v>1249</v>
      </c>
      <c r="O2766" s="524" t="s">
        <v>1267</v>
      </c>
      <c r="P2766" s="526"/>
      <c r="S2766" s="527">
        <v>0</v>
      </c>
    </row>
    <row r="2767" spans="1:19" x14ac:dyDescent="0.2">
      <c r="A2767" s="524">
        <v>72276</v>
      </c>
      <c r="B2767" s="526">
        <v>46233</v>
      </c>
      <c r="C2767" s="524" t="s">
        <v>1162</v>
      </c>
      <c r="D2767" s="524" t="s">
        <v>1205</v>
      </c>
      <c r="E2767" s="524" t="s">
        <v>1338</v>
      </c>
      <c r="F2767" s="524" t="s">
        <v>1170</v>
      </c>
      <c r="G2767" s="524" t="s">
        <v>775</v>
      </c>
      <c r="H2767" s="527">
        <v>5000</v>
      </c>
      <c r="I2767" s="524" t="s">
        <v>1174</v>
      </c>
      <c r="J2767" s="524">
        <f>IF(cmf[[#This Row],[D/C]]="C",cmf[[#This Row],[Valor]],-1*cmf[[#This Row],[Valor]])</f>
        <v>-5000</v>
      </c>
      <c r="L2767" s="524" t="s">
        <v>1207</v>
      </c>
      <c r="M2767" s="524" t="s">
        <v>1208</v>
      </c>
      <c r="N2767" s="524" t="s">
        <v>1212</v>
      </c>
      <c r="O2767" s="524" t="s">
        <v>1213</v>
      </c>
      <c r="P2767" s="526"/>
      <c r="S2767" s="527">
        <v>0</v>
      </c>
    </row>
    <row r="2768" spans="1:19" x14ac:dyDescent="0.2">
      <c r="A2768" s="524">
        <v>72277</v>
      </c>
      <c r="B2768" s="526">
        <v>46233</v>
      </c>
      <c r="C2768" s="524" t="s">
        <v>1162</v>
      </c>
      <c r="D2768" s="524" t="s">
        <v>1205</v>
      </c>
      <c r="E2768" s="524" t="s">
        <v>2703</v>
      </c>
      <c r="F2768" s="524" t="s">
        <v>2863</v>
      </c>
      <c r="G2768" s="524" t="s">
        <v>1229</v>
      </c>
      <c r="H2768" s="527">
        <v>5000</v>
      </c>
      <c r="I2768" s="524" t="s">
        <v>1148</v>
      </c>
      <c r="J2768" s="524">
        <f>IF(cmf[[#This Row],[D/C]]="C",cmf[[#This Row],[Valor]],-1*cmf[[#This Row],[Valor]])</f>
        <v>5000</v>
      </c>
      <c r="L2768" s="524" t="s">
        <v>1207</v>
      </c>
      <c r="M2768" s="524" t="s">
        <v>1208</v>
      </c>
      <c r="N2768" s="524" t="s">
        <v>1249</v>
      </c>
      <c r="O2768" s="524" t="s">
        <v>1267</v>
      </c>
      <c r="P2768" s="526"/>
      <c r="S2768" s="527">
        <v>0</v>
      </c>
    </row>
    <row r="2769" spans="1:19" x14ac:dyDescent="0.2">
      <c r="A2769" s="524">
        <v>71271</v>
      </c>
      <c r="B2769" s="526">
        <v>46234</v>
      </c>
      <c r="C2769" s="524" t="s">
        <v>1162</v>
      </c>
      <c r="D2769" s="524" t="s">
        <v>1163</v>
      </c>
      <c r="E2769" s="524" t="s">
        <v>1164</v>
      </c>
      <c r="F2769" s="524" t="s">
        <v>1165</v>
      </c>
      <c r="G2769" s="524" t="s">
        <v>756</v>
      </c>
      <c r="H2769" s="527">
        <v>224.22</v>
      </c>
      <c r="I2769" s="524" t="s">
        <v>1148</v>
      </c>
      <c r="J2769" s="524">
        <f>IF(cmf[[#This Row],[D/C]]="C",cmf[[#This Row],[Valor]],-1*cmf[[#This Row],[Valor]])</f>
        <v>224.22</v>
      </c>
      <c r="L2769" s="524" t="s">
        <v>1166</v>
      </c>
      <c r="M2769" s="524" t="s">
        <v>1167</v>
      </c>
      <c r="N2769" s="524" t="s">
        <v>1168</v>
      </c>
      <c r="O2769" s="524" t="s">
        <v>1169</v>
      </c>
      <c r="P2769" s="526"/>
      <c r="S2769" s="527">
        <v>0</v>
      </c>
    </row>
    <row r="2770" spans="1:19" x14ac:dyDescent="0.2">
      <c r="A2770" s="524">
        <v>71416</v>
      </c>
      <c r="B2770" s="526">
        <v>46234</v>
      </c>
      <c r="C2770" s="524" t="s">
        <v>1148</v>
      </c>
      <c r="D2770" s="524" t="s">
        <v>1163</v>
      </c>
      <c r="E2770" s="524" t="s">
        <v>1164</v>
      </c>
      <c r="F2770" s="524" t="s">
        <v>1170</v>
      </c>
      <c r="G2770" s="524" t="s">
        <v>740</v>
      </c>
      <c r="H2770" s="527">
        <v>5706.84</v>
      </c>
      <c r="I2770" s="524" t="s">
        <v>1148</v>
      </c>
      <c r="J2770" s="524">
        <f>IF(cmf[[#This Row],[D/C]]="C",cmf[[#This Row],[Valor]],-1*cmf[[#This Row],[Valor]])</f>
        <v>5706.84</v>
      </c>
      <c r="L2770" s="524" t="s">
        <v>1166</v>
      </c>
      <c r="M2770" s="524" t="s">
        <v>1167</v>
      </c>
      <c r="N2770" s="524" t="s">
        <v>1215</v>
      </c>
      <c r="O2770" s="524" t="s">
        <v>1218</v>
      </c>
      <c r="P2770" s="526">
        <v>46234</v>
      </c>
      <c r="S2770" s="527">
        <v>0</v>
      </c>
    </row>
    <row r="2771" spans="1:19" x14ac:dyDescent="0.2">
      <c r="A2771" s="524">
        <v>71417</v>
      </c>
      <c r="B2771" s="526">
        <v>46234</v>
      </c>
      <c r="C2771" s="524" t="s">
        <v>1148</v>
      </c>
      <c r="D2771" s="524" t="s">
        <v>1163</v>
      </c>
      <c r="E2771" s="524" t="s">
        <v>1173</v>
      </c>
      <c r="F2771" s="524" t="s">
        <v>1170</v>
      </c>
      <c r="G2771" s="524" t="s">
        <v>740</v>
      </c>
      <c r="H2771" s="527">
        <v>12.6</v>
      </c>
      <c r="I2771" s="524" t="s">
        <v>1174</v>
      </c>
      <c r="J2771" s="524">
        <f>IF(cmf[[#This Row],[D/C]]="C",cmf[[#This Row],[Valor]],-1*cmf[[#This Row],[Valor]])</f>
        <v>-12.6</v>
      </c>
      <c r="L2771" s="524" t="s">
        <v>1175</v>
      </c>
      <c r="M2771" s="524" t="s">
        <v>1176</v>
      </c>
      <c r="N2771" s="524" t="s">
        <v>1215</v>
      </c>
      <c r="O2771" s="524" t="s">
        <v>1218</v>
      </c>
      <c r="P2771" s="526">
        <v>46234</v>
      </c>
      <c r="S2771" s="527">
        <v>0</v>
      </c>
    </row>
    <row r="2772" spans="1:19" x14ac:dyDescent="0.2">
      <c r="A2772" s="524">
        <v>71420</v>
      </c>
      <c r="B2772" s="526">
        <v>46234</v>
      </c>
      <c r="C2772" s="524" t="s">
        <v>1162</v>
      </c>
      <c r="D2772" s="524" t="s">
        <v>1163</v>
      </c>
      <c r="E2772" s="524" t="s">
        <v>1164</v>
      </c>
      <c r="F2772" s="524" t="s">
        <v>1183</v>
      </c>
      <c r="G2772" s="524" t="s">
        <v>796</v>
      </c>
      <c r="H2772" s="527">
        <v>1811.67</v>
      </c>
      <c r="I2772" s="524" t="s">
        <v>1148</v>
      </c>
      <c r="J2772" s="524">
        <f>IF(cmf[[#This Row],[D/C]]="C",cmf[[#This Row],[Valor]],-1*cmf[[#This Row],[Valor]])</f>
        <v>1811.67</v>
      </c>
      <c r="L2772" s="524" t="s">
        <v>1166</v>
      </c>
      <c r="M2772" s="524" t="s">
        <v>1167</v>
      </c>
      <c r="N2772" s="524" t="s">
        <v>1184</v>
      </c>
      <c r="O2772" s="524" t="s">
        <v>1172</v>
      </c>
      <c r="P2772" s="526"/>
      <c r="S2772" s="527">
        <v>0</v>
      </c>
    </row>
    <row r="2773" spans="1:19" x14ac:dyDescent="0.2">
      <c r="A2773" s="524">
        <v>71421</v>
      </c>
      <c r="B2773" s="526">
        <v>46234</v>
      </c>
      <c r="C2773" s="524" t="s">
        <v>1162</v>
      </c>
      <c r="D2773" s="524" t="s">
        <v>1163</v>
      </c>
      <c r="E2773" s="524" t="s">
        <v>1173</v>
      </c>
      <c r="F2773" s="524" t="s">
        <v>1183</v>
      </c>
      <c r="G2773" s="524" t="s">
        <v>796</v>
      </c>
      <c r="H2773" s="527">
        <v>2.2999999999999998</v>
      </c>
      <c r="I2773" s="524" t="s">
        <v>1174</v>
      </c>
      <c r="J2773" s="524">
        <f>IF(cmf[[#This Row],[D/C]]="C",cmf[[#This Row],[Valor]],-1*cmf[[#This Row],[Valor]])</f>
        <v>-2.2999999999999998</v>
      </c>
      <c r="L2773" s="524" t="s">
        <v>1175</v>
      </c>
      <c r="M2773" s="524" t="s">
        <v>1176</v>
      </c>
      <c r="N2773" s="524" t="s">
        <v>1184</v>
      </c>
      <c r="O2773" s="524" t="s">
        <v>1172</v>
      </c>
      <c r="P2773" s="526"/>
      <c r="S2773" s="527">
        <v>0</v>
      </c>
    </row>
    <row r="2774" spans="1:19" x14ac:dyDescent="0.2">
      <c r="A2774" s="524">
        <v>71422</v>
      </c>
      <c r="B2774" s="526">
        <v>46234</v>
      </c>
      <c r="C2774" s="524" t="s">
        <v>1162</v>
      </c>
      <c r="D2774" s="524" t="s">
        <v>1163</v>
      </c>
      <c r="E2774" s="524" t="s">
        <v>1164</v>
      </c>
      <c r="F2774" s="524" t="s">
        <v>1111</v>
      </c>
      <c r="G2774" s="524" t="s">
        <v>1110</v>
      </c>
      <c r="H2774" s="527">
        <v>3594.1</v>
      </c>
      <c r="I2774" s="524" t="s">
        <v>1148</v>
      </c>
      <c r="J2774" s="524">
        <f>IF(cmf[[#This Row],[D/C]]="C",cmf[[#This Row],[Valor]],-1*cmf[[#This Row],[Valor]])</f>
        <v>3594.1</v>
      </c>
      <c r="L2774" s="524" t="s">
        <v>1166</v>
      </c>
      <c r="M2774" s="524" t="s">
        <v>1167</v>
      </c>
      <c r="N2774" s="524" t="s">
        <v>1219</v>
      </c>
      <c r="O2774" s="524" t="s">
        <v>1220</v>
      </c>
      <c r="P2774" s="526"/>
      <c r="S2774" s="527">
        <v>0</v>
      </c>
    </row>
    <row r="2775" spans="1:19" x14ac:dyDescent="0.2">
      <c r="A2775" s="524">
        <v>71634</v>
      </c>
      <c r="B2775" s="526">
        <v>46234</v>
      </c>
      <c r="C2775" s="524" t="s">
        <v>1148</v>
      </c>
      <c r="D2775" s="524" t="s">
        <v>1186</v>
      </c>
      <c r="E2775" s="524" t="s">
        <v>2865</v>
      </c>
      <c r="F2775" s="524" t="s">
        <v>1183</v>
      </c>
      <c r="G2775" s="524" t="s">
        <v>766</v>
      </c>
      <c r="H2775" s="527">
        <v>6500</v>
      </c>
      <c r="I2775" s="524" t="s">
        <v>1174</v>
      </c>
      <c r="J2775" s="524">
        <f>IF(cmf[[#This Row],[D/C]]="C",cmf[[#This Row],[Valor]],-1*cmf[[#This Row],[Valor]])</f>
        <v>-6500</v>
      </c>
      <c r="L2775" s="524" t="s">
        <v>1188</v>
      </c>
      <c r="M2775" s="524" t="s">
        <v>1189</v>
      </c>
      <c r="N2775" s="524" t="s">
        <v>1200</v>
      </c>
      <c r="O2775" s="524" t="s">
        <v>1201</v>
      </c>
      <c r="P2775" s="526">
        <v>46234</v>
      </c>
      <c r="S2775" s="527">
        <v>0</v>
      </c>
    </row>
    <row r="2776" spans="1:19" x14ac:dyDescent="0.2">
      <c r="A2776" s="524">
        <v>71672</v>
      </c>
      <c r="B2776" s="526">
        <v>46234</v>
      </c>
      <c r="C2776" s="524" t="s">
        <v>1148</v>
      </c>
      <c r="D2776" s="524" t="s">
        <v>1186</v>
      </c>
      <c r="E2776" s="524" t="s">
        <v>2866</v>
      </c>
      <c r="F2776" s="524" t="s">
        <v>1183</v>
      </c>
      <c r="G2776" s="524" t="s">
        <v>806</v>
      </c>
      <c r="H2776" s="527">
        <v>300000</v>
      </c>
      <c r="I2776" s="524" t="s">
        <v>1174</v>
      </c>
      <c r="J2776" s="524">
        <f>IF(cmf[[#This Row],[D/C]]="C",cmf[[#This Row],[Valor]],-1*cmf[[#This Row],[Valor]])</f>
        <v>-300000</v>
      </c>
      <c r="L2776" s="524" t="s">
        <v>1188</v>
      </c>
      <c r="M2776" s="524" t="s">
        <v>1189</v>
      </c>
      <c r="N2776" s="524" t="s">
        <v>1283</v>
      </c>
      <c r="O2776" s="524" t="s">
        <v>1284</v>
      </c>
      <c r="P2776" s="526">
        <v>46234</v>
      </c>
      <c r="S2776" s="527">
        <v>0</v>
      </c>
    </row>
    <row r="2777" spans="1:19" x14ac:dyDescent="0.2">
      <c r="A2777" s="524">
        <v>71673</v>
      </c>
      <c r="B2777" s="526">
        <v>46234</v>
      </c>
      <c r="C2777" s="524" t="s">
        <v>1148</v>
      </c>
      <c r="D2777" s="524" t="s">
        <v>1226</v>
      </c>
      <c r="E2777" s="524" t="s">
        <v>2867</v>
      </c>
      <c r="F2777" s="524" t="s">
        <v>1170</v>
      </c>
      <c r="G2777" s="524" t="s">
        <v>765</v>
      </c>
      <c r="H2777" s="527">
        <v>8835</v>
      </c>
      <c r="I2777" s="524" t="s">
        <v>1148</v>
      </c>
      <c r="J2777" s="524">
        <f>IF(cmf[[#This Row],[D/C]]="C",cmf[[#This Row],[Valor]],-1*cmf[[#This Row],[Valor]])</f>
        <v>8835</v>
      </c>
      <c r="L2777" s="524" t="s">
        <v>1230</v>
      </c>
      <c r="M2777" s="524" t="s">
        <v>1231</v>
      </c>
      <c r="N2777" s="524" t="s">
        <v>1200</v>
      </c>
      <c r="O2777" s="524" t="s">
        <v>1201</v>
      </c>
      <c r="P2777" s="526">
        <v>46234</v>
      </c>
      <c r="S2777" s="527">
        <v>0</v>
      </c>
    </row>
    <row r="2778" spans="1:19" x14ac:dyDescent="0.2">
      <c r="A2778" s="524">
        <v>71674</v>
      </c>
      <c r="B2778" s="526">
        <v>46234</v>
      </c>
      <c r="C2778" s="524" t="s">
        <v>1148</v>
      </c>
      <c r="D2778" s="524" t="s">
        <v>1186</v>
      </c>
      <c r="E2778" s="524" t="s">
        <v>2868</v>
      </c>
      <c r="F2778" s="524" t="s">
        <v>1183</v>
      </c>
      <c r="G2778" s="524" t="s">
        <v>803</v>
      </c>
      <c r="H2778" s="527">
        <v>7079.08</v>
      </c>
      <c r="I2778" s="524" t="s">
        <v>1174</v>
      </c>
      <c r="J2778" s="524">
        <f>IF(cmf[[#This Row],[D/C]]="C",cmf[[#This Row],[Valor]],-1*cmf[[#This Row],[Valor]])</f>
        <v>-7079.08</v>
      </c>
      <c r="L2778" s="524" t="s">
        <v>1188</v>
      </c>
      <c r="M2778" s="524" t="s">
        <v>1189</v>
      </c>
      <c r="N2778" s="524" t="s">
        <v>1192</v>
      </c>
      <c r="O2778" s="524" t="s">
        <v>1193</v>
      </c>
      <c r="P2778" s="526">
        <v>46234</v>
      </c>
      <c r="S2778" s="527">
        <v>0</v>
      </c>
    </row>
    <row r="2779" spans="1:19" x14ac:dyDescent="0.2">
      <c r="A2779" s="524">
        <v>71675</v>
      </c>
      <c r="B2779" s="526">
        <v>46234</v>
      </c>
      <c r="C2779" s="524" t="s">
        <v>1148</v>
      </c>
      <c r="D2779" s="524" t="s">
        <v>1186</v>
      </c>
      <c r="E2779" s="524" t="s">
        <v>2869</v>
      </c>
      <c r="F2779" s="524" t="s">
        <v>1183</v>
      </c>
      <c r="G2779" s="524" t="s">
        <v>803</v>
      </c>
      <c r="H2779" s="527">
        <v>8584.0300000000007</v>
      </c>
      <c r="I2779" s="524" t="s">
        <v>1174</v>
      </c>
      <c r="J2779" s="524">
        <f>IF(cmf[[#This Row],[D/C]]="C",cmf[[#This Row],[Valor]],-1*cmf[[#This Row],[Valor]])</f>
        <v>-8584.0300000000007</v>
      </c>
      <c r="L2779" s="524" t="s">
        <v>1188</v>
      </c>
      <c r="M2779" s="524" t="s">
        <v>1189</v>
      </c>
      <c r="N2779" s="524" t="s">
        <v>1192</v>
      </c>
      <c r="O2779" s="524" t="s">
        <v>1193</v>
      </c>
      <c r="P2779" s="526">
        <v>46234</v>
      </c>
      <c r="S2779" s="527">
        <v>0</v>
      </c>
    </row>
    <row r="2780" spans="1:19" x14ac:dyDescent="0.2">
      <c r="A2780" s="524">
        <v>71680</v>
      </c>
      <c r="B2780" s="526">
        <v>46234</v>
      </c>
      <c r="C2780" s="524" t="s">
        <v>1148</v>
      </c>
      <c r="D2780" s="524" t="s">
        <v>1239</v>
      </c>
      <c r="E2780" s="524" t="s">
        <v>1561</v>
      </c>
      <c r="F2780" s="524" t="s">
        <v>1170</v>
      </c>
      <c r="G2780" s="524" t="s">
        <v>765</v>
      </c>
      <c r="H2780" s="527">
        <v>78.63</v>
      </c>
      <c r="I2780" s="524" t="s">
        <v>1174</v>
      </c>
      <c r="J2780" s="524">
        <f>IF(cmf[[#This Row],[D/C]]="C",cmf[[#This Row],[Valor]],-1*cmf[[#This Row],[Valor]])</f>
        <v>-78.63</v>
      </c>
      <c r="L2780" s="524" t="s">
        <v>1241</v>
      </c>
      <c r="M2780" s="524" t="s">
        <v>1242</v>
      </c>
      <c r="N2780" s="524" t="s">
        <v>1200</v>
      </c>
      <c r="O2780" s="524" t="s">
        <v>1201</v>
      </c>
      <c r="P2780" s="526">
        <v>46234</v>
      </c>
      <c r="S2780" s="527">
        <v>0</v>
      </c>
    </row>
    <row r="2781" spans="1:19" x14ac:dyDescent="0.2">
      <c r="A2781" s="524">
        <v>71685</v>
      </c>
      <c r="B2781" s="526">
        <v>46234</v>
      </c>
      <c r="C2781" s="524" t="s">
        <v>1148</v>
      </c>
      <c r="D2781" s="524" t="s">
        <v>1205</v>
      </c>
      <c r="E2781" s="524" t="s">
        <v>1214</v>
      </c>
      <c r="F2781" s="524" t="s">
        <v>1170</v>
      </c>
      <c r="G2781" s="524" t="s">
        <v>757</v>
      </c>
      <c r="H2781" s="527">
        <v>700000</v>
      </c>
      <c r="I2781" s="524" t="s">
        <v>1174</v>
      </c>
      <c r="J2781" s="524">
        <f>IF(cmf[[#This Row],[D/C]]="C",cmf[[#This Row],[Valor]],-1*cmf[[#This Row],[Valor]])</f>
        <v>-700000</v>
      </c>
      <c r="L2781" s="524" t="s">
        <v>1207</v>
      </c>
      <c r="M2781" s="524" t="s">
        <v>1208</v>
      </c>
      <c r="N2781" s="524" t="s">
        <v>1223</v>
      </c>
      <c r="O2781" s="524" t="s">
        <v>1224</v>
      </c>
      <c r="P2781" s="526">
        <v>46234</v>
      </c>
      <c r="S2781" s="527">
        <v>0</v>
      </c>
    </row>
    <row r="2782" spans="1:19" x14ac:dyDescent="0.2">
      <c r="A2782" s="524">
        <v>71686</v>
      </c>
      <c r="B2782" s="526">
        <v>46234</v>
      </c>
      <c r="C2782" s="524" t="s">
        <v>1148</v>
      </c>
      <c r="D2782" s="524" t="s">
        <v>1205</v>
      </c>
      <c r="E2782" s="524" t="s">
        <v>1234</v>
      </c>
      <c r="F2782" s="524" t="s">
        <v>1183</v>
      </c>
      <c r="G2782" s="524" t="s">
        <v>742</v>
      </c>
      <c r="H2782" s="527">
        <v>700000</v>
      </c>
      <c r="I2782" s="524" t="s">
        <v>1148</v>
      </c>
      <c r="J2782" s="524">
        <f>IF(cmf[[#This Row],[D/C]]="C",cmf[[#This Row],[Valor]],-1*cmf[[#This Row],[Valor]])</f>
        <v>700000</v>
      </c>
      <c r="L2782" s="524" t="s">
        <v>1207</v>
      </c>
      <c r="M2782" s="524" t="s">
        <v>1208</v>
      </c>
      <c r="N2782" s="524" t="s">
        <v>1215</v>
      </c>
      <c r="O2782" s="524" t="s">
        <v>1218</v>
      </c>
      <c r="P2782" s="526">
        <v>46234</v>
      </c>
      <c r="S2782" s="527">
        <v>0</v>
      </c>
    </row>
    <row r="2783" spans="1:19" x14ac:dyDescent="0.2">
      <c r="A2783" s="524">
        <v>71695</v>
      </c>
      <c r="B2783" s="526">
        <v>46234</v>
      </c>
      <c r="C2783" s="524" t="s">
        <v>1148</v>
      </c>
      <c r="D2783" s="524" t="s">
        <v>1186</v>
      </c>
      <c r="E2783" s="524" t="s">
        <v>2870</v>
      </c>
      <c r="F2783" s="524" t="s">
        <v>1183</v>
      </c>
      <c r="G2783" s="524" t="s">
        <v>769</v>
      </c>
      <c r="H2783" s="527">
        <v>31.7</v>
      </c>
      <c r="I2783" s="524" t="s">
        <v>1174</v>
      </c>
      <c r="J2783" s="524">
        <f>IF(cmf[[#This Row],[D/C]]="C",cmf[[#This Row],[Valor]],-1*cmf[[#This Row],[Valor]])</f>
        <v>-31.7</v>
      </c>
      <c r="L2783" s="524" t="s">
        <v>1188</v>
      </c>
      <c r="M2783" s="524" t="s">
        <v>1189</v>
      </c>
      <c r="N2783" s="524" t="s">
        <v>1219</v>
      </c>
      <c r="O2783" s="524" t="s">
        <v>1220</v>
      </c>
      <c r="P2783" s="526">
        <v>46234</v>
      </c>
      <c r="S2783" s="527">
        <v>0</v>
      </c>
    </row>
    <row r="2784" spans="1:19" x14ac:dyDescent="0.2">
      <c r="A2784" s="524">
        <v>71705</v>
      </c>
      <c r="B2784" s="526">
        <v>46234</v>
      </c>
      <c r="C2784" s="524" t="s">
        <v>1148</v>
      </c>
      <c r="D2784" s="524" t="s">
        <v>1186</v>
      </c>
      <c r="E2784" s="524" t="s">
        <v>2871</v>
      </c>
      <c r="F2784" s="524" t="s">
        <v>1183</v>
      </c>
      <c r="G2784" s="524" t="s">
        <v>745</v>
      </c>
      <c r="H2784" s="527">
        <v>11000</v>
      </c>
      <c r="I2784" s="524" t="s">
        <v>1174</v>
      </c>
      <c r="J2784" s="524">
        <f>IF(cmf[[#This Row],[D/C]]="C",cmf[[#This Row],[Valor]],-1*cmf[[#This Row],[Valor]])</f>
        <v>-11000</v>
      </c>
      <c r="L2784" s="524" t="s">
        <v>1188</v>
      </c>
      <c r="M2784" s="524" t="s">
        <v>1189</v>
      </c>
      <c r="N2784" s="524" t="s">
        <v>1292</v>
      </c>
      <c r="O2784" s="524" t="s">
        <v>1293</v>
      </c>
      <c r="P2784" s="526">
        <v>46234</v>
      </c>
      <c r="S2784" s="527">
        <v>0</v>
      </c>
    </row>
    <row r="2785" spans="1:19" x14ac:dyDescent="0.2">
      <c r="A2785" s="524">
        <v>71718</v>
      </c>
      <c r="B2785" s="526">
        <v>46234</v>
      </c>
      <c r="C2785" s="524" t="s">
        <v>1148</v>
      </c>
      <c r="D2785" s="524" t="s">
        <v>1186</v>
      </c>
      <c r="E2785" s="524" t="s">
        <v>2872</v>
      </c>
      <c r="F2785" s="524" t="s">
        <v>1183</v>
      </c>
      <c r="G2785" s="524" t="s">
        <v>806</v>
      </c>
      <c r="H2785" s="527">
        <v>25000</v>
      </c>
      <c r="I2785" s="524" t="s">
        <v>1174</v>
      </c>
      <c r="J2785" s="524">
        <f>IF(cmf[[#This Row],[D/C]]="C",cmf[[#This Row],[Valor]],-1*cmf[[#This Row],[Valor]])</f>
        <v>-25000</v>
      </c>
      <c r="L2785" s="524" t="s">
        <v>1188</v>
      </c>
      <c r="M2785" s="524" t="s">
        <v>1189</v>
      </c>
      <c r="N2785" s="524" t="s">
        <v>1283</v>
      </c>
      <c r="O2785" s="524" t="s">
        <v>1284</v>
      </c>
      <c r="P2785" s="526">
        <v>46234</v>
      </c>
      <c r="S2785" s="527">
        <v>0</v>
      </c>
    </row>
    <row r="2786" spans="1:19" x14ac:dyDescent="0.2">
      <c r="A2786" s="524">
        <v>71743</v>
      </c>
      <c r="B2786" s="526">
        <v>46234</v>
      </c>
      <c r="C2786" s="524" t="s">
        <v>1148</v>
      </c>
      <c r="D2786" s="524" t="s">
        <v>1205</v>
      </c>
      <c r="E2786" s="524" t="s">
        <v>1536</v>
      </c>
      <c r="F2786" s="524" t="s">
        <v>1183</v>
      </c>
      <c r="G2786" s="524" t="s">
        <v>742</v>
      </c>
      <c r="H2786" s="527">
        <v>10000</v>
      </c>
      <c r="I2786" s="524" t="s">
        <v>1174</v>
      </c>
      <c r="J2786" s="524">
        <f>IF(cmf[[#This Row],[D/C]]="C",cmf[[#This Row],[Valor]],-1*cmf[[#This Row],[Valor]])</f>
        <v>-10000</v>
      </c>
      <c r="L2786" s="524" t="s">
        <v>1207</v>
      </c>
      <c r="M2786" s="524" t="s">
        <v>1208</v>
      </c>
      <c r="N2786" s="524" t="s">
        <v>1215</v>
      </c>
      <c r="O2786" s="524" t="s">
        <v>1218</v>
      </c>
      <c r="P2786" s="526">
        <v>46234</v>
      </c>
      <c r="S2786" s="527">
        <v>0</v>
      </c>
    </row>
    <row r="2787" spans="1:19" x14ac:dyDescent="0.2">
      <c r="A2787" s="524">
        <v>71744</v>
      </c>
      <c r="B2787" s="526">
        <v>46234</v>
      </c>
      <c r="C2787" s="524" t="s">
        <v>1148</v>
      </c>
      <c r="D2787" s="524" t="s">
        <v>1205</v>
      </c>
      <c r="E2787" s="524" t="s">
        <v>1217</v>
      </c>
      <c r="F2787" s="524" t="s">
        <v>1183</v>
      </c>
      <c r="G2787" s="524" t="s">
        <v>745</v>
      </c>
      <c r="H2787" s="527">
        <v>10000</v>
      </c>
      <c r="I2787" s="524" t="s">
        <v>1148</v>
      </c>
      <c r="J2787" s="524">
        <f>IF(cmf[[#This Row],[D/C]]="C",cmf[[#This Row],[Valor]],-1*cmf[[#This Row],[Valor]])</f>
        <v>10000</v>
      </c>
      <c r="L2787" s="524" t="s">
        <v>1207</v>
      </c>
      <c r="M2787" s="524" t="s">
        <v>1208</v>
      </c>
      <c r="N2787" s="524" t="s">
        <v>1292</v>
      </c>
      <c r="O2787" s="524" t="s">
        <v>1293</v>
      </c>
      <c r="P2787" s="526">
        <v>46234</v>
      </c>
      <c r="S2787" s="527">
        <v>0</v>
      </c>
    </row>
    <row r="2788" spans="1:19" x14ac:dyDescent="0.2">
      <c r="A2788" s="524">
        <v>71746</v>
      </c>
      <c r="B2788" s="526">
        <v>46234</v>
      </c>
      <c r="C2788" s="524" t="s">
        <v>1148</v>
      </c>
      <c r="D2788" s="524" t="s">
        <v>1205</v>
      </c>
      <c r="E2788" s="524" t="s">
        <v>2873</v>
      </c>
      <c r="F2788" s="524" t="s">
        <v>1183</v>
      </c>
      <c r="G2788" s="524" t="s">
        <v>742</v>
      </c>
      <c r="H2788" s="527">
        <v>20000</v>
      </c>
      <c r="I2788" s="524" t="s">
        <v>1174</v>
      </c>
      <c r="J2788" s="524">
        <f>IF(cmf[[#This Row],[D/C]]="C",cmf[[#This Row],[Valor]],-1*cmf[[#This Row],[Valor]])</f>
        <v>-20000</v>
      </c>
      <c r="L2788" s="524" t="s">
        <v>1207</v>
      </c>
      <c r="M2788" s="524" t="s">
        <v>1208</v>
      </c>
      <c r="N2788" s="524" t="s">
        <v>1215</v>
      </c>
      <c r="O2788" s="524" t="s">
        <v>1218</v>
      </c>
      <c r="P2788" s="526">
        <v>46234</v>
      </c>
      <c r="S2788" s="527">
        <v>0</v>
      </c>
    </row>
    <row r="2789" spans="1:19" x14ac:dyDescent="0.2">
      <c r="A2789" s="524">
        <v>71747</v>
      </c>
      <c r="B2789" s="526">
        <v>46234</v>
      </c>
      <c r="C2789" s="524" t="s">
        <v>1148</v>
      </c>
      <c r="D2789" s="524" t="s">
        <v>1205</v>
      </c>
      <c r="E2789" s="524" t="s">
        <v>1217</v>
      </c>
      <c r="F2789" s="524" t="s">
        <v>1183</v>
      </c>
      <c r="G2789" s="524" t="s">
        <v>806</v>
      </c>
      <c r="H2789" s="527">
        <v>20000</v>
      </c>
      <c r="I2789" s="524" t="s">
        <v>1148</v>
      </c>
      <c r="J2789" s="524">
        <f>IF(cmf[[#This Row],[D/C]]="C",cmf[[#This Row],[Valor]],-1*cmf[[#This Row],[Valor]])</f>
        <v>20000</v>
      </c>
      <c r="L2789" s="524" t="s">
        <v>1207</v>
      </c>
      <c r="M2789" s="524" t="s">
        <v>1208</v>
      </c>
      <c r="N2789" s="524" t="s">
        <v>1283</v>
      </c>
      <c r="O2789" s="524" t="s">
        <v>1284</v>
      </c>
      <c r="P2789" s="526">
        <v>46234</v>
      </c>
      <c r="S2789" s="527">
        <v>0</v>
      </c>
    </row>
    <row r="2790" spans="1:19" x14ac:dyDescent="0.2">
      <c r="A2790" s="524">
        <v>71789</v>
      </c>
      <c r="B2790" s="526">
        <v>46234</v>
      </c>
      <c r="C2790" s="524" t="s">
        <v>1148</v>
      </c>
      <c r="D2790" s="524" t="s">
        <v>1239</v>
      </c>
      <c r="E2790" s="524" t="s">
        <v>2874</v>
      </c>
      <c r="F2790" s="524" t="s">
        <v>1170</v>
      </c>
      <c r="G2790" s="524" t="s">
        <v>1102</v>
      </c>
      <c r="H2790" s="527">
        <v>25</v>
      </c>
      <c r="I2790" s="524" t="s">
        <v>1174</v>
      </c>
      <c r="J2790" s="524">
        <f>IF(cmf[[#This Row],[D/C]]="C",cmf[[#This Row],[Valor]],-1*cmf[[#This Row],[Valor]])</f>
        <v>-25</v>
      </c>
      <c r="L2790" s="524" t="s">
        <v>1241</v>
      </c>
      <c r="M2790" s="524" t="s">
        <v>1242</v>
      </c>
      <c r="N2790" s="524" t="s">
        <v>1192</v>
      </c>
      <c r="O2790" s="524" t="s">
        <v>1193</v>
      </c>
      <c r="P2790" s="526">
        <v>46234</v>
      </c>
      <c r="S2790" s="527">
        <v>0</v>
      </c>
    </row>
    <row r="2791" spans="1:19" x14ac:dyDescent="0.2">
      <c r="A2791" s="524">
        <v>71792</v>
      </c>
      <c r="B2791" s="526">
        <v>46234</v>
      </c>
      <c r="C2791" s="524" t="s">
        <v>1148</v>
      </c>
      <c r="D2791" s="524" t="s">
        <v>1186</v>
      </c>
      <c r="E2791" s="524" t="s">
        <v>2875</v>
      </c>
      <c r="F2791" s="524" t="s">
        <v>1170</v>
      </c>
      <c r="G2791" s="524" t="s">
        <v>1102</v>
      </c>
      <c r="H2791" s="527">
        <v>217784.38</v>
      </c>
      <c r="I2791" s="524" t="s">
        <v>1174</v>
      </c>
      <c r="J2791" s="524">
        <f>IF(cmf[[#This Row],[D/C]]="C",cmf[[#This Row],[Valor]],-1*cmf[[#This Row],[Valor]])</f>
        <v>-217784.38</v>
      </c>
      <c r="L2791" s="524" t="s">
        <v>1188</v>
      </c>
      <c r="M2791" s="524" t="s">
        <v>1189</v>
      </c>
      <c r="N2791" s="524" t="s">
        <v>1192</v>
      </c>
      <c r="O2791" s="524" t="s">
        <v>1193</v>
      </c>
      <c r="P2791" s="526">
        <v>46234</v>
      </c>
      <c r="S2791" s="527">
        <v>0</v>
      </c>
    </row>
    <row r="2792" spans="1:19" x14ac:dyDescent="0.2">
      <c r="A2792" s="524">
        <v>71827</v>
      </c>
      <c r="B2792" s="526">
        <v>46234</v>
      </c>
      <c r="C2792" s="524" t="s">
        <v>1148</v>
      </c>
      <c r="D2792" s="524" t="s">
        <v>1186</v>
      </c>
      <c r="E2792" s="524" t="s">
        <v>2876</v>
      </c>
      <c r="F2792" s="524" t="s">
        <v>1183</v>
      </c>
      <c r="G2792" s="524" t="s">
        <v>742</v>
      </c>
      <c r="H2792" s="527">
        <v>6221.14</v>
      </c>
      <c r="I2792" s="524" t="s">
        <v>1174</v>
      </c>
      <c r="J2792" s="524">
        <f>IF(cmf[[#This Row],[D/C]]="C",cmf[[#This Row],[Valor]],-1*cmf[[#This Row],[Valor]])</f>
        <v>-6221.14</v>
      </c>
      <c r="L2792" s="524" t="s">
        <v>1188</v>
      </c>
      <c r="M2792" s="524" t="s">
        <v>1189</v>
      </c>
      <c r="N2792" s="524" t="s">
        <v>1215</v>
      </c>
      <c r="O2792" s="524" t="s">
        <v>1218</v>
      </c>
      <c r="P2792" s="526">
        <v>46234</v>
      </c>
      <c r="S2792" s="527">
        <v>0</v>
      </c>
    </row>
    <row r="2793" spans="1:19" x14ac:dyDescent="0.2">
      <c r="A2793" s="524">
        <v>71828</v>
      </c>
      <c r="B2793" s="526">
        <v>46234</v>
      </c>
      <c r="C2793" s="524" t="s">
        <v>1148</v>
      </c>
      <c r="D2793" s="524" t="s">
        <v>1243</v>
      </c>
      <c r="E2793" s="524" t="s">
        <v>1266</v>
      </c>
      <c r="F2793" s="524" t="s">
        <v>1183</v>
      </c>
      <c r="G2793" s="524" t="s">
        <v>742</v>
      </c>
      <c r="H2793" s="527">
        <v>663778.86</v>
      </c>
      <c r="I2793" s="524" t="s">
        <v>1174</v>
      </c>
      <c r="J2793" s="524">
        <f>IF(cmf[[#This Row],[D/C]]="C",cmf[[#This Row],[Valor]],-1*cmf[[#This Row],[Valor]])</f>
        <v>-663778.86</v>
      </c>
      <c r="L2793" s="524" t="s">
        <v>1245</v>
      </c>
      <c r="M2793" s="524" t="s">
        <v>1246</v>
      </c>
      <c r="N2793" s="524" t="s">
        <v>1215</v>
      </c>
      <c r="O2793" s="524" t="s">
        <v>1267</v>
      </c>
      <c r="P2793" s="526">
        <v>46234</v>
      </c>
      <c r="S2793" s="527">
        <v>0</v>
      </c>
    </row>
    <row r="2794" spans="1:19" x14ac:dyDescent="0.2">
      <c r="A2794" s="524">
        <v>71837</v>
      </c>
      <c r="B2794" s="526">
        <v>46234</v>
      </c>
      <c r="C2794" s="524" t="s">
        <v>1148</v>
      </c>
      <c r="D2794" s="524" t="s">
        <v>1186</v>
      </c>
      <c r="E2794" s="524" t="s">
        <v>2877</v>
      </c>
      <c r="F2794" s="524" t="s">
        <v>1183</v>
      </c>
      <c r="G2794" s="524" t="s">
        <v>758</v>
      </c>
      <c r="H2794" s="527">
        <v>1027.5999999999999</v>
      </c>
      <c r="I2794" s="524" t="s">
        <v>1174</v>
      </c>
      <c r="J2794" s="524">
        <f>IF(cmf[[#This Row],[D/C]]="C",cmf[[#This Row],[Valor]],-1*cmf[[#This Row],[Valor]])</f>
        <v>-1027.5999999999999</v>
      </c>
      <c r="L2794" s="524" t="s">
        <v>1188</v>
      </c>
      <c r="M2794" s="524" t="s">
        <v>1189</v>
      </c>
      <c r="N2794" s="524" t="s">
        <v>1223</v>
      </c>
      <c r="O2794" s="524" t="s">
        <v>1224</v>
      </c>
      <c r="P2794" s="526">
        <v>46234</v>
      </c>
      <c r="S2794" s="527">
        <v>0</v>
      </c>
    </row>
    <row r="2795" spans="1:19" x14ac:dyDescent="0.2">
      <c r="A2795" s="524">
        <v>71839</v>
      </c>
      <c r="B2795" s="526">
        <v>46234</v>
      </c>
      <c r="C2795" s="524" t="s">
        <v>1148</v>
      </c>
      <c r="D2795" s="524" t="s">
        <v>1186</v>
      </c>
      <c r="E2795" s="524" t="s">
        <v>2878</v>
      </c>
      <c r="F2795" s="524" t="s">
        <v>1183</v>
      </c>
      <c r="G2795" s="524" t="s">
        <v>769</v>
      </c>
      <c r="H2795" s="527">
        <v>3475.91</v>
      </c>
      <c r="I2795" s="524" t="s">
        <v>1174</v>
      </c>
      <c r="J2795" s="524">
        <f>IF(cmf[[#This Row],[D/C]]="C",cmf[[#This Row],[Valor]],-1*cmf[[#This Row],[Valor]])</f>
        <v>-3475.91</v>
      </c>
      <c r="L2795" s="524" t="s">
        <v>1188</v>
      </c>
      <c r="M2795" s="524" t="s">
        <v>1189</v>
      </c>
      <c r="N2795" s="524" t="s">
        <v>1219</v>
      </c>
      <c r="O2795" s="524" t="s">
        <v>1220</v>
      </c>
      <c r="P2795" s="526">
        <v>46234</v>
      </c>
      <c r="S2795" s="527">
        <v>0</v>
      </c>
    </row>
    <row r="2796" spans="1:19" x14ac:dyDescent="0.2">
      <c r="A2796" s="524">
        <v>71840</v>
      </c>
      <c r="B2796" s="526">
        <v>46234</v>
      </c>
      <c r="C2796" s="524" t="s">
        <v>1148</v>
      </c>
      <c r="D2796" s="524" t="s">
        <v>1186</v>
      </c>
      <c r="E2796" s="524" t="s">
        <v>2879</v>
      </c>
      <c r="F2796" s="524" t="s">
        <v>1183</v>
      </c>
      <c r="G2796" s="524" t="s">
        <v>769</v>
      </c>
      <c r="H2796" s="527">
        <v>7569.12</v>
      </c>
      <c r="I2796" s="524" t="s">
        <v>1174</v>
      </c>
      <c r="J2796" s="524">
        <f>IF(cmf[[#This Row],[D/C]]="C",cmf[[#This Row],[Valor]],-1*cmf[[#This Row],[Valor]])</f>
        <v>-7569.12</v>
      </c>
      <c r="L2796" s="524" t="s">
        <v>1188</v>
      </c>
      <c r="M2796" s="524" t="s">
        <v>1189</v>
      </c>
      <c r="N2796" s="524" t="s">
        <v>1219</v>
      </c>
      <c r="O2796" s="524" t="s">
        <v>1220</v>
      </c>
      <c r="P2796" s="526">
        <v>46234</v>
      </c>
      <c r="S2796" s="527">
        <v>0</v>
      </c>
    </row>
    <row r="2797" spans="1:19" x14ac:dyDescent="0.2">
      <c r="A2797" s="524">
        <v>71841</v>
      </c>
      <c r="B2797" s="526">
        <v>46234</v>
      </c>
      <c r="C2797" s="524" t="s">
        <v>1148</v>
      </c>
      <c r="D2797" s="524" t="s">
        <v>1186</v>
      </c>
      <c r="E2797" s="524" t="s">
        <v>2880</v>
      </c>
      <c r="F2797" s="524" t="s">
        <v>1183</v>
      </c>
      <c r="G2797" s="524" t="s">
        <v>763</v>
      </c>
      <c r="H2797" s="527">
        <v>3794.04</v>
      </c>
      <c r="I2797" s="524" t="s">
        <v>1174</v>
      </c>
      <c r="J2797" s="524">
        <f>IF(cmf[[#This Row],[D/C]]="C",cmf[[#This Row],[Valor]],-1*cmf[[#This Row],[Valor]])</f>
        <v>-3794.04</v>
      </c>
      <c r="L2797" s="524" t="s">
        <v>1188</v>
      </c>
      <c r="M2797" s="524" t="s">
        <v>1189</v>
      </c>
      <c r="N2797" s="524" t="s">
        <v>1180</v>
      </c>
      <c r="O2797" s="524" t="s">
        <v>1181</v>
      </c>
      <c r="P2797" s="526">
        <v>46234</v>
      </c>
      <c r="S2797" s="527">
        <v>0</v>
      </c>
    </row>
    <row r="2798" spans="1:19" x14ac:dyDescent="0.2">
      <c r="A2798" s="524">
        <v>71843</v>
      </c>
      <c r="B2798" s="526">
        <v>46234</v>
      </c>
      <c r="C2798" s="524" t="s">
        <v>1162</v>
      </c>
      <c r="D2798" s="524" t="s">
        <v>1186</v>
      </c>
      <c r="E2798" s="524" t="s">
        <v>2881</v>
      </c>
      <c r="F2798" s="524" t="s">
        <v>1183</v>
      </c>
      <c r="G2798" s="524" t="s">
        <v>786</v>
      </c>
      <c r="H2798" s="527">
        <v>1330.35</v>
      </c>
      <c r="I2798" s="524" t="s">
        <v>1174</v>
      </c>
      <c r="J2798" s="524">
        <f>IF(cmf[[#This Row],[D/C]]="C",cmf[[#This Row],[Valor]],-1*cmf[[#This Row],[Valor]])</f>
        <v>-1330.35</v>
      </c>
      <c r="L2798" s="524" t="s">
        <v>1188</v>
      </c>
      <c r="M2798" s="524" t="s">
        <v>1189</v>
      </c>
      <c r="N2798" s="524" t="s">
        <v>2104</v>
      </c>
      <c r="O2798" s="524" t="s">
        <v>1751</v>
      </c>
      <c r="P2798" s="526"/>
      <c r="S2798" s="527">
        <v>0</v>
      </c>
    </row>
    <row r="2799" spans="1:19" x14ac:dyDescent="0.2">
      <c r="A2799" s="524">
        <v>71844</v>
      </c>
      <c r="B2799" s="526">
        <v>46234</v>
      </c>
      <c r="C2799" s="524" t="s">
        <v>1148</v>
      </c>
      <c r="D2799" s="524" t="s">
        <v>1186</v>
      </c>
      <c r="E2799" s="524" t="s">
        <v>2882</v>
      </c>
      <c r="F2799" s="524" t="s">
        <v>1183</v>
      </c>
      <c r="G2799" s="524" t="s">
        <v>806</v>
      </c>
      <c r="H2799" s="527">
        <v>548.32000000000005</v>
      </c>
      <c r="I2799" s="524" t="s">
        <v>1174</v>
      </c>
      <c r="J2799" s="524">
        <f>IF(cmf[[#This Row],[D/C]]="C",cmf[[#This Row],[Valor]],-1*cmf[[#This Row],[Valor]])</f>
        <v>-548.32000000000005</v>
      </c>
      <c r="L2799" s="524" t="s">
        <v>1188</v>
      </c>
      <c r="M2799" s="524" t="s">
        <v>1189</v>
      </c>
      <c r="N2799" s="524" t="s">
        <v>1283</v>
      </c>
      <c r="O2799" s="524" t="s">
        <v>1284</v>
      </c>
      <c r="P2799" s="526">
        <v>46234</v>
      </c>
      <c r="S2799" s="527">
        <v>0</v>
      </c>
    </row>
    <row r="2800" spans="1:19" x14ac:dyDescent="0.2">
      <c r="A2800" s="524">
        <v>71845</v>
      </c>
      <c r="B2800" s="526">
        <v>46234</v>
      </c>
      <c r="C2800" s="524" t="s">
        <v>1148</v>
      </c>
      <c r="D2800" s="524" t="s">
        <v>1186</v>
      </c>
      <c r="E2800" s="524" t="s">
        <v>2883</v>
      </c>
      <c r="F2800" s="524" t="s">
        <v>1183</v>
      </c>
      <c r="G2800" s="524" t="s">
        <v>803</v>
      </c>
      <c r="H2800" s="527">
        <v>542.58000000000004</v>
      </c>
      <c r="I2800" s="524" t="s">
        <v>1174</v>
      </c>
      <c r="J2800" s="524">
        <f>IF(cmf[[#This Row],[D/C]]="C",cmf[[#This Row],[Valor]],-1*cmf[[#This Row],[Valor]])</f>
        <v>-542.58000000000004</v>
      </c>
      <c r="L2800" s="524" t="s">
        <v>1188</v>
      </c>
      <c r="M2800" s="524" t="s">
        <v>1189</v>
      </c>
      <c r="N2800" s="524" t="s">
        <v>1192</v>
      </c>
      <c r="O2800" s="524" t="s">
        <v>1193</v>
      </c>
      <c r="P2800" s="526">
        <v>46234</v>
      </c>
      <c r="S2800" s="527">
        <v>0</v>
      </c>
    </row>
    <row r="2801" spans="1:19" x14ac:dyDescent="0.2">
      <c r="A2801" s="524">
        <v>71846</v>
      </c>
      <c r="B2801" s="526">
        <v>46234</v>
      </c>
      <c r="C2801" s="524" t="s">
        <v>1148</v>
      </c>
      <c r="D2801" s="524" t="s">
        <v>1186</v>
      </c>
      <c r="E2801" s="524" t="s">
        <v>2884</v>
      </c>
      <c r="F2801" s="524" t="s">
        <v>1183</v>
      </c>
      <c r="G2801" s="524" t="s">
        <v>803</v>
      </c>
      <c r="H2801" s="527">
        <v>972.13</v>
      </c>
      <c r="I2801" s="524" t="s">
        <v>1174</v>
      </c>
      <c r="J2801" s="524">
        <f>IF(cmf[[#This Row],[D/C]]="C",cmf[[#This Row],[Valor]],-1*cmf[[#This Row],[Valor]])</f>
        <v>-972.13</v>
      </c>
      <c r="L2801" s="524" t="s">
        <v>1188</v>
      </c>
      <c r="M2801" s="524" t="s">
        <v>1189</v>
      </c>
      <c r="N2801" s="524" t="s">
        <v>1192</v>
      </c>
      <c r="O2801" s="524" t="s">
        <v>1193</v>
      </c>
      <c r="P2801" s="526">
        <v>46234</v>
      </c>
      <c r="S2801" s="527">
        <v>0</v>
      </c>
    </row>
    <row r="2802" spans="1:19" x14ac:dyDescent="0.2">
      <c r="A2802" s="524">
        <v>71848</v>
      </c>
      <c r="B2802" s="526">
        <v>46234</v>
      </c>
      <c r="C2802" s="524" t="s">
        <v>1148</v>
      </c>
      <c r="D2802" s="524" t="s">
        <v>1186</v>
      </c>
      <c r="E2802" s="524" t="s">
        <v>2885</v>
      </c>
      <c r="F2802" s="524" t="s">
        <v>1183</v>
      </c>
      <c r="G2802" s="524" t="s">
        <v>800</v>
      </c>
      <c r="H2802" s="527">
        <v>9756.68</v>
      </c>
      <c r="I2802" s="524" t="s">
        <v>1174</v>
      </c>
      <c r="J2802" s="524">
        <f>IF(cmf[[#This Row],[D/C]]="C",cmf[[#This Row],[Valor]],-1*cmf[[#This Row],[Valor]])</f>
        <v>-9756.68</v>
      </c>
      <c r="L2802" s="524" t="s">
        <v>1188</v>
      </c>
      <c r="M2802" s="524" t="s">
        <v>1189</v>
      </c>
      <c r="N2802" s="524" t="s">
        <v>1171</v>
      </c>
      <c r="O2802" s="524" t="s">
        <v>1172</v>
      </c>
      <c r="P2802" s="526">
        <v>46234</v>
      </c>
      <c r="S2802" s="527">
        <v>0</v>
      </c>
    </row>
    <row r="2803" spans="1:19" x14ac:dyDescent="0.2">
      <c r="A2803" s="524">
        <v>71849</v>
      </c>
      <c r="B2803" s="526">
        <v>46234</v>
      </c>
      <c r="C2803" s="524" t="s">
        <v>1148</v>
      </c>
      <c r="D2803" s="524" t="s">
        <v>1186</v>
      </c>
      <c r="E2803" s="524" t="s">
        <v>2886</v>
      </c>
      <c r="F2803" s="524" t="s">
        <v>1183</v>
      </c>
      <c r="G2803" s="524" t="s">
        <v>750</v>
      </c>
      <c r="H2803" s="527">
        <v>4075.98</v>
      </c>
      <c r="I2803" s="524" t="s">
        <v>1174</v>
      </c>
      <c r="J2803" s="524">
        <f>IF(cmf[[#This Row],[D/C]]="C",cmf[[#This Row],[Valor]],-1*cmf[[#This Row],[Valor]])</f>
        <v>-4075.98</v>
      </c>
      <c r="L2803" s="524" t="s">
        <v>1188</v>
      </c>
      <c r="M2803" s="524" t="s">
        <v>1189</v>
      </c>
      <c r="N2803" s="524" t="s">
        <v>1256</v>
      </c>
      <c r="O2803" s="524" t="s">
        <v>1257</v>
      </c>
      <c r="P2803" s="526">
        <v>46234</v>
      </c>
      <c r="S2803" s="527">
        <v>0</v>
      </c>
    </row>
    <row r="2804" spans="1:19" x14ac:dyDescent="0.2">
      <c r="A2804" s="524">
        <v>71880</v>
      </c>
      <c r="B2804" s="526">
        <v>46234</v>
      </c>
      <c r="C2804" s="524" t="s">
        <v>1162</v>
      </c>
      <c r="D2804" s="524" t="s">
        <v>1186</v>
      </c>
      <c r="E2804" s="524" t="s">
        <v>2887</v>
      </c>
      <c r="F2804" s="524" t="s">
        <v>1170</v>
      </c>
      <c r="G2804" s="524" t="s">
        <v>781</v>
      </c>
      <c r="H2804" s="527">
        <v>274</v>
      </c>
      <c r="I2804" s="524" t="s">
        <v>1174</v>
      </c>
      <c r="J2804" s="524">
        <f>IF(cmf[[#This Row],[D/C]]="C",cmf[[#This Row],[Valor]],-1*cmf[[#This Row],[Valor]])</f>
        <v>-274</v>
      </c>
      <c r="L2804" s="524" t="s">
        <v>1188</v>
      </c>
      <c r="M2804" s="524" t="s">
        <v>1189</v>
      </c>
      <c r="N2804" s="524" t="s">
        <v>1209</v>
      </c>
      <c r="O2804" s="524" t="s">
        <v>1210</v>
      </c>
      <c r="P2804" s="526"/>
      <c r="S2804" s="527">
        <v>0</v>
      </c>
    </row>
    <row r="2805" spans="1:19" x14ac:dyDescent="0.2">
      <c r="A2805" s="524">
        <v>71886</v>
      </c>
      <c r="B2805" s="526">
        <v>46234</v>
      </c>
      <c r="C2805" s="524" t="s">
        <v>1148</v>
      </c>
      <c r="D2805" s="524" t="s">
        <v>1186</v>
      </c>
      <c r="E2805" s="524" t="s">
        <v>2888</v>
      </c>
      <c r="F2805" s="524" t="s">
        <v>1183</v>
      </c>
      <c r="G2805" s="524" t="s">
        <v>752</v>
      </c>
      <c r="H2805" s="527">
        <v>601.82000000000005</v>
      </c>
      <c r="I2805" s="524" t="s">
        <v>1174</v>
      </c>
      <c r="J2805" s="524">
        <f>IF(cmf[[#This Row],[D/C]]="C",cmf[[#This Row],[Valor]],-1*cmf[[#This Row],[Valor]])</f>
        <v>-601.82000000000005</v>
      </c>
      <c r="L2805" s="524" t="s">
        <v>1188</v>
      </c>
      <c r="M2805" s="524" t="s">
        <v>1189</v>
      </c>
      <c r="N2805" s="524" t="s">
        <v>1601</v>
      </c>
      <c r="O2805" s="524" t="s">
        <v>1602</v>
      </c>
      <c r="P2805" s="526">
        <v>46234</v>
      </c>
      <c r="S2805" s="527">
        <v>0</v>
      </c>
    </row>
    <row r="2806" spans="1:19" x14ac:dyDescent="0.2">
      <c r="A2806" s="524">
        <v>71888</v>
      </c>
      <c r="B2806" s="526">
        <v>46234</v>
      </c>
      <c r="C2806" s="524" t="s">
        <v>1148</v>
      </c>
      <c r="D2806" s="524" t="s">
        <v>1186</v>
      </c>
      <c r="E2806" s="524" t="s">
        <v>2889</v>
      </c>
      <c r="F2806" s="524" t="s">
        <v>1183</v>
      </c>
      <c r="G2806" s="524" t="s">
        <v>745</v>
      </c>
      <c r="H2806" s="527">
        <v>640.58000000000004</v>
      </c>
      <c r="I2806" s="524" t="s">
        <v>1174</v>
      </c>
      <c r="J2806" s="524">
        <f>IF(cmf[[#This Row],[D/C]]="C",cmf[[#This Row],[Valor]],-1*cmf[[#This Row],[Valor]])</f>
        <v>-640.58000000000004</v>
      </c>
      <c r="L2806" s="524" t="s">
        <v>1188</v>
      </c>
      <c r="M2806" s="524" t="s">
        <v>1189</v>
      </c>
      <c r="N2806" s="524" t="s">
        <v>1292</v>
      </c>
      <c r="O2806" s="524" t="s">
        <v>1293</v>
      </c>
      <c r="P2806" s="526">
        <v>46234</v>
      </c>
      <c r="S2806" s="527">
        <v>0</v>
      </c>
    </row>
    <row r="2807" spans="1:19" x14ac:dyDescent="0.2">
      <c r="A2807" s="524">
        <v>71902</v>
      </c>
      <c r="B2807" s="526">
        <v>46234</v>
      </c>
      <c r="C2807" s="524" t="s">
        <v>1148</v>
      </c>
      <c r="D2807" s="524" t="s">
        <v>1243</v>
      </c>
      <c r="E2807" s="524" t="s">
        <v>1244</v>
      </c>
      <c r="F2807" s="524" t="s">
        <v>1183</v>
      </c>
      <c r="G2807" s="524" t="s">
        <v>750</v>
      </c>
      <c r="H2807" s="527">
        <v>4075.96</v>
      </c>
      <c r="I2807" s="524" t="s">
        <v>1148</v>
      </c>
      <c r="J2807" s="524">
        <f>IF(cmf[[#This Row],[D/C]]="C",cmf[[#This Row],[Valor]],-1*cmf[[#This Row],[Valor]])</f>
        <v>4075.96</v>
      </c>
      <c r="L2807" s="524" t="s">
        <v>1245</v>
      </c>
      <c r="M2807" s="524" t="s">
        <v>1246</v>
      </c>
      <c r="N2807" s="524" t="s">
        <v>1256</v>
      </c>
      <c r="O2807" s="524" t="s">
        <v>1257</v>
      </c>
      <c r="P2807" s="526">
        <v>46234</v>
      </c>
      <c r="S2807" s="527">
        <v>0</v>
      </c>
    </row>
    <row r="2808" spans="1:19" x14ac:dyDescent="0.2">
      <c r="A2808" s="524">
        <v>71903</v>
      </c>
      <c r="B2808" s="526">
        <v>46234</v>
      </c>
      <c r="C2808" s="524" t="s">
        <v>1148</v>
      </c>
      <c r="D2808" s="524" t="s">
        <v>1243</v>
      </c>
      <c r="E2808" s="524" t="s">
        <v>1244</v>
      </c>
      <c r="F2808" s="524" t="s">
        <v>1183</v>
      </c>
      <c r="G2808" s="524" t="s">
        <v>750</v>
      </c>
      <c r="H2808" s="527">
        <v>0.02</v>
      </c>
      <c r="I2808" s="524" t="s">
        <v>1148</v>
      </c>
      <c r="J2808" s="524">
        <f>IF(cmf[[#This Row],[D/C]]="C",cmf[[#This Row],[Valor]],-1*cmf[[#This Row],[Valor]])</f>
        <v>0.02</v>
      </c>
      <c r="L2808" s="524" t="s">
        <v>1245</v>
      </c>
      <c r="M2808" s="524" t="s">
        <v>1246</v>
      </c>
      <c r="N2808" s="524" t="s">
        <v>1256</v>
      </c>
      <c r="O2808" s="524" t="s">
        <v>1257</v>
      </c>
      <c r="P2808" s="526">
        <v>46234</v>
      </c>
      <c r="S2808" s="527">
        <v>0</v>
      </c>
    </row>
    <row r="2809" spans="1:19" x14ac:dyDescent="0.2">
      <c r="A2809" s="524">
        <v>71966</v>
      </c>
      <c r="B2809" s="526">
        <v>46234</v>
      </c>
      <c r="C2809" s="524" t="s">
        <v>1148</v>
      </c>
      <c r="D2809" s="524" t="s">
        <v>1186</v>
      </c>
      <c r="E2809" s="524" t="s">
        <v>2890</v>
      </c>
      <c r="F2809" s="524" t="s">
        <v>1183</v>
      </c>
      <c r="G2809" s="524" t="s">
        <v>766</v>
      </c>
      <c r="H2809" s="527">
        <v>539.91999999999996</v>
      </c>
      <c r="I2809" s="524" t="s">
        <v>1174</v>
      </c>
      <c r="J2809" s="524">
        <f>IF(cmf[[#This Row],[D/C]]="C",cmf[[#This Row],[Valor]],-1*cmf[[#This Row],[Valor]])</f>
        <v>-539.91999999999996</v>
      </c>
      <c r="L2809" s="524" t="s">
        <v>1188</v>
      </c>
      <c r="M2809" s="524" t="s">
        <v>1189</v>
      </c>
      <c r="N2809" s="524" t="s">
        <v>1200</v>
      </c>
      <c r="O2809" s="524" t="s">
        <v>1201</v>
      </c>
      <c r="P2809" s="526">
        <v>46234</v>
      </c>
      <c r="S2809" s="527">
        <v>0</v>
      </c>
    </row>
    <row r="2810" spans="1:19" x14ac:dyDescent="0.2">
      <c r="A2810" s="524">
        <v>72112</v>
      </c>
      <c r="B2810" s="526">
        <v>46234</v>
      </c>
      <c r="C2810" s="524" t="s">
        <v>1162</v>
      </c>
      <c r="D2810" s="524" t="s">
        <v>1226</v>
      </c>
      <c r="E2810" s="524" t="s">
        <v>2891</v>
      </c>
      <c r="F2810" s="524" t="s">
        <v>1170</v>
      </c>
      <c r="G2810" s="524" t="s">
        <v>771</v>
      </c>
      <c r="H2810" s="527">
        <v>1199.1600000000001</v>
      </c>
      <c r="I2810" s="524" t="s">
        <v>1148</v>
      </c>
      <c r="J2810" s="524">
        <f>IF(cmf[[#This Row],[D/C]]="C",cmf[[#This Row],[Valor]],-1*cmf[[#This Row],[Valor]])</f>
        <v>1199.1600000000001</v>
      </c>
      <c r="L2810" s="524" t="s">
        <v>1230</v>
      </c>
      <c r="M2810" s="524" t="s">
        <v>1231</v>
      </c>
      <c r="N2810" s="524" t="s">
        <v>1249</v>
      </c>
      <c r="O2810" s="524" t="s">
        <v>1250</v>
      </c>
      <c r="P2810" s="526"/>
      <c r="S2810" s="527">
        <v>0</v>
      </c>
    </row>
    <row r="2811" spans="1:19" x14ac:dyDescent="0.2">
      <c r="A2811" s="524">
        <v>72129</v>
      </c>
      <c r="B2811" s="526">
        <v>46234</v>
      </c>
      <c r="C2811" s="524" t="s">
        <v>1148</v>
      </c>
      <c r="D2811" s="524" t="s">
        <v>1239</v>
      </c>
      <c r="E2811" s="524" t="s">
        <v>1255</v>
      </c>
      <c r="F2811" s="524" t="s">
        <v>1170</v>
      </c>
      <c r="G2811" s="524" t="s">
        <v>749</v>
      </c>
      <c r="H2811" s="527">
        <v>0.2</v>
      </c>
      <c r="I2811" s="524" t="s">
        <v>1174</v>
      </c>
      <c r="J2811" s="524">
        <f>IF(cmf[[#This Row],[D/C]]="C",cmf[[#This Row],[Valor]],-1*cmf[[#This Row],[Valor]])</f>
        <v>-0.2</v>
      </c>
      <c r="L2811" s="524" t="s">
        <v>1241</v>
      </c>
      <c r="M2811" s="524" t="s">
        <v>1242</v>
      </c>
      <c r="N2811" s="524" t="s">
        <v>1256</v>
      </c>
      <c r="O2811" s="524" t="s">
        <v>1257</v>
      </c>
      <c r="P2811" s="526">
        <v>46234</v>
      </c>
      <c r="S2811" s="527">
        <v>0</v>
      </c>
    </row>
    <row r="2812" spans="1:19" x14ac:dyDescent="0.2">
      <c r="A2812" s="524">
        <v>72149</v>
      </c>
      <c r="B2812" s="526">
        <v>46234</v>
      </c>
      <c r="C2812" s="524" t="s">
        <v>1148</v>
      </c>
      <c r="D2812" s="524" t="s">
        <v>1243</v>
      </c>
      <c r="E2812" s="524" t="s">
        <v>1244</v>
      </c>
      <c r="F2812" s="524" t="s">
        <v>1183</v>
      </c>
      <c r="G2812" s="524" t="s">
        <v>752</v>
      </c>
      <c r="H2812" s="527">
        <v>601.61</v>
      </c>
      <c r="I2812" s="524" t="s">
        <v>1148</v>
      </c>
      <c r="J2812" s="524">
        <f>IF(cmf[[#This Row],[D/C]]="C",cmf[[#This Row],[Valor]],-1*cmf[[#This Row],[Valor]])</f>
        <v>601.61</v>
      </c>
      <c r="L2812" s="524" t="s">
        <v>1245</v>
      </c>
      <c r="M2812" s="524" t="s">
        <v>1246</v>
      </c>
      <c r="N2812" s="524" t="s">
        <v>1601</v>
      </c>
      <c r="O2812" s="524" t="s">
        <v>1602</v>
      </c>
      <c r="P2812" s="526">
        <v>46234</v>
      </c>
      <c r="S2812" s="527">
        <v>0</v>
      </c>
    </row>
    <row r="2813" spans="1:19" x14ac:dyDescent="0.2">
      <c r="A2813" s="524">
        <v>72150</v>
      </c>
      <c r="B2813" s="526">
        <v>46234</v>
      </c>
      <c r="C2813" s="524" t="s">
        <v>1148</v>
      </c>
      <c r="D2813" s="524" t="s">
        <v>1243</v>
      </c>
      <c r="E2813" s="524" t="s">
        <v>1244</v>
      </c>
      <c r="F2813" s="524" t="s">
        <v>1183</v>
      </c>
      <c r="G2813" s="524" t="s">
        <v>752</v>
      </c>
      <c r="H2813" s="527">
        <v>0.21</v>
      </c>
      <c r="I2813" s="524" t="s">
        <v>1148</v>
      </c>
      <c r="J2813" s="524">
        <f>IF(cmf[[#This Row],[D/C]]="C",cmf[[#This Row],[Valor]],-1*cmf[[#This Row],[Valor]])</f>
        <v>0.21</v>
      </c>
      <c r="L2813" s="524" t="s">
        <v>1245</v>
      </c>
      <c r="M2813" s="524" t="s">
        <v>1246</v>
      </c>
      <c r="N2813" s="524" t="s">
        <v>1601</v>
      </c>
      <c r="O2813" s="524" t="s">
        <v>1602</v>
      </c>
      <c r="P2813" s="526">
        <v>46234</v>
      </c>
      <c r="S2813" s="527">
        <v>0</v>
      </c>
    </row>
    <row r="2814" spans="1:19" x14ac:dyDescent="0.2">
      <c r="A2814" s="524">
        <v>72157</v>
      </c>
      <c r="B2814" s="526">
        <v>46234</v>
      </c>
      <c r="C2814" s="524" t="s">
        <v>1148</v>
      </c>
      <c r="D2814" s="524" t="s">
        <v>1243</v>
      </c>
      <c r="E2814" s="524" t="s">
        <v>1244</v>
      </c>
      <c r="F2814" s="524" t="s">
        <v>1183</v>
      </c>
      <c r="G2814" s="524" t="s">
        <v>745</v>
      </c>
      <c r="H2814" s="527">
        <v>1640.56</v>
      </c>
      <c r="I2814" s="524" t="s">
        <v>1148</v>
      </c>
      <c r="J2814" s="524">
        <f>IF(cmf[[#This Row],[D/C]]="C",cmf[[#This Row],[Valor]],-1*cmf[[#This Row],[Valor]])</f>
        <v>1640.56</v>
      </c>
      <c r="L2814" s="524" t="s">
        <v>1245</v>
      </c>
      <c r="M2814" s="524" t="s">
        <v>1246</v>
      </c>
      <c r="N2814" s="524" t="s">
        <v>1292</v>
      </c>
      <c r="O2814" s="524" t="s">
        <v>1293</v>
      </c>
      <c r="P2814" s="526">
        <v>46234</v>
      </c>
      <c r="S2814" s="527">
        <v>0</v>
      </c>
    </row>
    <row r="2815" spans="1:19" x14ac:dyDescent="0.2">
      <c r="A2815" s="524">
        <v>72158</v>
      </c>
      <c r="B2815" s="526">
        <v>46234</v>
      </c>
      <c r="C2815" s="524" t="s">
        <v>1148</v>
      </c>
      <c r="D2815" s="524" t="s">
        <v>1243</v>
      </c>
      <c r="E2815" s="524" t="s">
        <v>1244</v>
      </c>
      <c r="F2815" s="524" t="s">
        <v>1183</v>
      </c>
      <c r="G2815" s="524" t="s">
        <v>745</v>
      </c>
      <c r="H2815" s="527">
        <v>0.02</v>
      </c>
      <c r="I2815" s="524" t="s">
        <v>1148</v>
      </c>
      <c r="J2815" s="524">
        <f>IF(cmf[[#This Row],[D/C]]="C",cmf[[#This Row],[Valor]],-1*cmf[[#This Row],[Valor]])</f>
        <v>0.02</v>
      </c>
      <c r="L2815" s="524" t="s">
        <v>1245</v>
      </c>
      <c r="M2815" s="524" t="s">
        <v>1246</v>
      </c>
      <c r="N2815" s="524" t="s">
        <v>1292</v>
      </c>
      <c r="O2815" s="524" t="s">
        <v>1293</v>
      </c>
      <c r="P2815" s="526">
        <v>46234</v>
      </c>
      <c r="S2815" s="527">
        <v>0</v>
      </c>
    </row>
    <row r="2816" spans="1:19" x14ac:dyDescent="0.2">
      <c r="A2816" s="524">
        <v>72160</v>
      </c>
      <c r="B2816" s="526">
        <v>46234</v>
      </c>
      <c r="C2816" s="524" t="s">
        <v>1162</v>
      </c>
      <c r="D2816" s="524" t="s">
        <v>1163</v>
      </c>
      <c r="E2816" s="524" t="s">
        <v>1164</v>
      </c>
      <c r="F2816" s="524" t="s">
        <v>1170</v>
      </c>
      <c r="G2816" s="524" t="s">
        <v>799</v>
      </c>
      <c r="H2816" s="527">
        <v>1015736.55</v>
      </c>
      <c r="I2816" s="524" t="s">
        <v>1148</v>
      </c>
      <c r="J2816" s="524">
        <f>IF(cmf[[#This Row],[D/C]]="C",cmf[[#This Row],[Valor]],-1*cmf[[#This Row],[Valor]])</f>
        <v>1015736.55</v>
      </c>
      <c r="L2816" s="524" t="s">
        <v>1166</v>
      </c>
      <c r="M2816" s="524" t="s">
        <v>1167</v>
      </c>
      <c r="N2816" s="524" t="s">
        <v>1171</v>
      </c>
      <c r="O2816" s="524" t="s">
        <v>1172</v>
      </c>
      <c r="P2816" s="526"/>
      <c r="S2816" s="527">
        <v>0</v>
      </c>
    </row>
    <row r="2817" spans="1:19" x14ac:dyDescent="0.2">
      <c r="A2817" s="524">
        <v>72161</v>
      </c>
      <c r="B2817" s="526">
        <v>46234</v>
      </c>
      <c r="C2817" s="524" t="s">
        <v>1148</v>
      </c>
      <c r="D2817" s="524" t="s">
        <v>1243</v>
      </c>
      <c r="E2817" s="524" t="s">
        <v>1244</v>
      </c>
      <c r="F2817" s="524" t="s">
        <v>1183</v>
      </c>
      <c r="G2817" s="524" t="s">
        <v>763</v>
      </c>
      <c r="H2817" s="527">
        <v>3793.82</v>
      </c>
      <c r="I2817" s="524" t="s">
        <v>1148</v>
      </c>
      <c r="J2817" s="524">
        <f>IF(cmf[[#This Row],[D/C]]="C",cmf[[#This Row],[Valor]],-1*cmf[[#This Row],[Valor]])</f>
        <v>3793.82</v>
      </c>
      <c r="L2817" s="524" t="s">
        <v>1245</v>
      </c>
      <c r="M2817" s="524" t="s">
        <v>1246</v>
      </c>
      <c r="N2817" s="524" t="s">
        <v>1180</v>
      </c>
      <c r="O2817" s="524" t="s">
        <v>1181</v>
      </c>
      <c r="P2817" s="526">
        <v>46234</v>
      </c>
      <c r="S2817" s="527">
        <v>0</v>
      </c>
    </row>
    <row r="2818" spans="1:19" x14ac:dyDescent="0.2">
      <c r="A2818" s="524">
        <v>72162</v>
      </c>
      <c r="B2818" s="526">
        <v>46234</v>
      </c>
      <c r="C2818" s="524" t="s">
        <v>1148</v>
      </c>
      <c r="D2818" s="524" t="s">
        <v>1243</v>
      </c>
      <c r="E2818" s="524" t="s">
        <v>1244</v>
      </c>
      <c r="F2818" s="524" t="s">
        <v>1183</v>
      </c>
      <c r="G2818" s="524" t="s">
        <v>763</v>
      </c>
      <c r="H2818" s="527">
        <v>0.22</v>
      </c>
      <c r="I2818" s="524" t="s">
        <v>1148</v>
      </c>
      <c r="J2818" s="524">
        <f>IF(cmf[[#This Row],[D/C]]="C",cmf[[#This Row],[Valor]],-1*cmf[[#This Row],[Valor]])</f>
        <v>0.22</v>
      </c>
      <c r="L2818" s="524" t="s">
        <v>1245</v>
      </c>
      <c r="M2818" s="524" t="s">
        <v>1246</v>
      </c>
      <c r="N2818" s="524" t="s">
        <v>1180</v>
      </c>
      <c r="O2818" s="524" t="s">
        <v>1181</v>
      </c>
      <c r="P2818" s="526">
        <v>46234</v>
      </c>
      <c r="S2818" s="527">
        <v>0</v>
      </c>
    </row>
    <row r="2819" spans="1:19" x14ac:dyDescent="0.2">
      <c r="A2819" s="524">
        <v>72168</v>
      </c>
      <c r="B2819" s="526">
        <v>46234</v>
      </c>
      <c r="C2819" s="524" t="s">
        <v>1148</v>
      </c>
      <c r="D2819" s="524" t="s">
        <v>1243</v>
      </c>
      <c r="E2819" s="524" t="s">
        <v>1244</v>
      </c>
      <c r="F2819" s="524" t="s">
        <v>1183</v>
      </c>
      <c r="G2819" s="524" t="s">
        <v>758</v>
      </c>
      <c r="H2819" s="527">
        <v>3866.35</v>
      </c>
      <c r="I2819" s="524" t="s">
        <v>1148</v>
      </c>
      <c r="J2819" s="524">
        <f>IF(cmf[[#This Row],[D/C]]="C",cmf[[#This Row],[Valor]],-1*cmf[[#This Row],[Valor]])</f>
        <v>3866.35</v>
      </c>
      <c r="L2819" s="524" t="s">
        <v>1245</v>
      </c>
      <c r="M2819" s="524" t="s">
        <v>1246</v>
      </c>
      <c r="N2819" s="524" t="s">
        <v>1223</v>
      </c>
      <c r="O2819" s="524" t="s">
        <v>1224</v>
      </c>
      <c r="P2819" s="526">
        <v>46234</v>
      </c>
      <c r="S2819" s="527">
        <v>0</v>
      </c>
    </row>
    <row r="2820" spans="1:19" x14ac:dyDescent="0.2">
      <c r="A2820" s="524">
        <v>72169</v>
      </c>
      <c r="B2820" s="526">
        <v>46234</v>
      </c>
      <c r="C2820" s="524" t="s">
        <v>1148</v>
      </c>
      <c r="D2820" s="524" t="s">
        <v>1243</v>
      </c>
      <c r="E2820" s="524" t="s">
        <v>1244</v>
      </c>
      <c r="F2820" s="524" t="s">
        <v>1183</v>
      </c>
      <c r="G2820" s="524" t="s">
        <v>758</v>
      </c>
      <c r="H2820" s="527">
        <v>0.04</v>
      </c>
      <c r="I2820" s="524" t="s">
        <v>1148</v>
      </c>
      <c r="J2820" s="524">
        <f>IF(cmf[[#This Row],[D/C]]="C",cmf[[#This Row],[Valor]],-1*cmf[[#This Row],[Valor]])</f>
        <v>0.04</v>
      </c>
      <c r="L2820" s="524" t="s">
        <v>1245</v>
      </c>
      <c r="M2820" s="524" t="s">
        <v>1246</v>
      </c>
      <c r="N2820" s="524" t="s">
        <v>1223</v>
      </c>
      <c r="O2820" s="524" t="s">
        <v>1224</v>
      </c>
      <c r="P2820" s="526">
        <v>46234</v>
      </c>
      <c r="S2820" s="527">
        <v>0</v>
      </c>
    </row>
    <row r="2821" spans="1:19" x14ac:dyDescent="0.2">
      <c r="A2821" s="524">
        <v>72174</v>
      </c>
      <c r="B2821" s="526">
        <v>46234</v>
      </c>
      <c r="C2821" s="524" t="s">
        <v>1148</v>
      </c>
      <c r="D2821" s="524" t="s">
        <v>1243</v>
      </c>
      <c r="E2821" s="524" t="s">
        <v>1244</v>
      </c>
      <c r="F2821" s="524" t="s">
        <v>1183</v>
      </c>
      <c r="G2821" s="524" t="s">
        <v>800</v>
      </c>
      <c r="H2821" s="527">
        <v>9756.6299999999992</v>
      </c>
      <c r="I2821" s="524" t="s">
        <v>1148</v>
      </c>
      <c r="J2821" s="524">
        <f>IF(cmf[[#This Row],[D/C]]="C",cmf[[#This Row],[Valor]],-1*cmf[[#This Row],[Valor]])</f>
        <v>9756.6299999999992</v>
      </c>
      <c r="L2821" s="524" t="s">
        <v>1245</v>
      </c>
      <c r="M2821" s="524" t="s">
        <v>1246</v>
      </c>
      <c r="N2821" s="524" t="s">
        <v>1171</v>
      </c>
      <c r="O2821" s="524" t="s">
        <v>1172</v>
      </c>
      <c r="P2821" s="526">
        <v>46234</v>
      </c>
      <c r="S2821" s="527">
        <v>0</v>
      </c>
    </row>
    <row r="2822" spans="1:19" x14ac:dyDescent="0.2">
      <c r="A2822" s="524">
        <v>72175</v>
      </c>
      <c r="B2822" s="526">
        <v>46234</v>
      </c>
      <c r="C2822" s="524" t="s">
        <v>1148</v>
      </c>
      <c r="D2822" s="524" t="s">
        <v>1243</v>
      </c>
      <c r="E2822" s="524" t="s">
        <v>1244</v>
      </c>
      <c r="F2822" s="524" t="s">
        <v>1183</v>
      </c>
      <c r="G2822" s="524" t="s">
        <v>800</v>
      </c>
      <c r="H2822" s="527">
        <v>0.05</v>
      </c>
      <c r="I2822" s="524" t="s">
        <v>1148</v>
      </c>
      <c r="J2822" s="524">
        <f>IF(cmf[[#This Row],[D/C]]="C",cmf[[#This Row],[Valor]],-1*cmf[[#This Row],[Valor]])</f>
        <v>0.05</v>
      </c>
      <c r="L2822" s="524" t="s">
        <v>1245</v>
      </c>
      <c r="M2822" s="524" t="s">
        <v>1246</v>
      </c>
      <c r="N2822" s="524" t="s">
        <v>1171</v>
      </c>
      <c r="O2822" s="524" t="s">
        <v>1172</v>
      </c>
      <c r="P2822" s="526">
        <v>46234</v>
      </c>
      <c r="S2822" s="527">
        <v>0</v>
      </c>
    </row>
    <row r="2823" spans="1:19" x14ac:dyDescent="0.2">
      <c r="A2823" s="524">
        <v>72178</v>
      </c>
      <c r="B2823" s="526">
        <v>46234</v>
      </c>
      <c r="C2823" s="524" t="s">
        <v>1148</v>
      </c>
      <c r="D2823" s="524" t="s">
        <v>1186</v>
      </c>
      <c r="E2823" s="524" t="s">
        <v>2892</v>
      </c>
      <c r="F2823" s="524" t="s">
        <v>1183</v>
      </c>
      <c r="G2823" s="524" t="s">
        <v>758</v>
      </c>
      <c r="H2823" s="527">
        <v>2838.79</v>
      </c>
      <c r="I2823" s="524" t="s">
        <v>1174</v>
      </c>
      <c r="J2823" s="524">
        <f>IF(cmf[[#This Row],[D/C]]="C",cmf[[#This Row],[Valor]],-1*cmf[[#This Row],[Valor]])</f>
        <v>-2838.79</v>
      </c>
      <c r="L2823" s="524" t="s">
        <v>1188</v>
      </c>
      <c r="M2823" s="524" t="s">
        <v>1189</v>
      </c>
      <c r="N2823" s="524" t="s">
        <v>1223</v>
      </c>
      <c r="O2823" s="524" t="s">
        <v>1224</v>
      </c>
      <c r="P2823" s="526">
        <v>46234</v>
      </c>
      <c r="S2823" s="527">
        <v>0</v>
      </c>
    </row>
    <row r="2824" spans="1:19" x14ac:dyDescent="0.2">
      <c r="A2824" s="524">
        <v>72181</v>
      </c>
      <c r="B2824" s="526">
        <v>46234</v>
      </c>
      <c r="C2824" s="524" t="s">
        <v>1148</v>
      </c>
      <c r="D2824" s="524" t="s">
        <v>1243</v>
      </c>
      <c r="E2824" s="524" t="s">
        <v>1244</v>
      </c>
      <c r="F2824" s="524" t="s">
        <v>1183</v>
      </c>
      <c r="G2824" s="524" t="s">
        <v>803</v>
      </c>
      <c r="H2824" s="527">
        <v>17177.79</v>
      </c>
      <c r="I2824" s="524" t="s">
        <v>1148</v>
      </c>
      <c r="J2824" s="524">
        <f>IF(cmf[[#This Row],[D/C]]="C",cmf[[#This Row],[Valor]],-1*cmf[[#This Row],[Valor]])</f>
        <v>17177.79</v>
      </c>
      <c r="L2824" s="524" t="s">
        <v>1245</v>
      </c>
      <c r="M2824" s="524" t="s">
        <v>1246</v>
      </c>
      <c r="N2824" s="524" t="s">
        <v>1192</v>
      </c>
      <c r="O2824" s="524" t="s">
        <v>1193</v>
      </c>
      <c r="P2824" s="526">
        <v>46234</v>
      </c>
      <c r="S2824" s="527">
        <v>0</v>
      </c>
    </row>
    <row r="2825" spans="1:19" x14ac:dyDescent="0.2">
      <c r="A2825" s="524">
        <v>72182</v>
      </c>
      <c r="B2825" s="526">
        <v>46234</v>
      </c>
      <c r="C2825" s="524" t="s">
        <v>1148</v>
      </c>
      <c r="D2825" s="524" t="s">
        <v>1243</v>
      </c>
      <c r="E2825" s="524" t="s">
        <v>1244</v>
      </c>
      <c r="F2825" s="524" t="s">
        <v>1183</v>
      </c>
      <c r="G2825" s="524" t="s">
        <v>803</v>
      </c>
      <c r="H2825" s="527">
        <v>0.03</v>
      </c>
      <c r="I2825" s="524" t="s">
        <v>1148</v>
      </c>
      <c r="J2825" s="524">
        <f>IF(cmf[[#This Row],[D/C]]="C",cmf[[#This Row],[Valor]],-1*cmf[[#This Row],[Valor]])</f>
        <v>0.03</v>
      </c>
      <c r="L2825" s="524" t="s">
        <v>1245</v>
      </c>
      <c r="M2825" s="524" t="s">
        <v>1246</v>
      </c>
      <c r="N2825" s="524" t="s">
        <v>1192</v>
      </c>
      <c r="O2825" s="524" t="s">
        <v>1193</v>
      </c>
      <c r="P2825" s="526">
        <v>46234</v>
      </c>
      <c r="S2825" s="527">
        <v>0</v>
      </c>
    </row>
    <row r="2826" spans="1:19" x14ac:dyDescent="0.2">
      <c r="A2826" s="524">
        <v>72183</v>
      </c>
      <c r="B2826" s="526">
        <v>46234</v>
      </c>
      <c r="C2826" s="524" t="s">
        <v>1148</v>
      </c>
      <c r="D2826" s="524" t="s">
        <v>1243</v>
      </c>
      <c r="E2826" s="524" t="s">
        <v>1244</v>
      </c>
      <c r="F2826" s="524" t="s">
        <v>1183</v>
      </c>
      <c r="G2826" s="524" t="s">
        <v>769</v>
      </c>
      <c r="H2826" s="527">
        <v>11076.72</v>
      </c>
      <c r="I2826" s="524" t="s">
        <v>1148</v>
      </c>
      <c r="J2826" s="524">
        <f>IF(cmf[[#This Row],[D/C]]="C",cmf[[#This Row],[Valor]],-1*cmf[[#This Row],[Valor]])</f>
        <v>11076.72</v>
      </c>
      <c r="L2826" s="524" t="s">
        <v>1245</v>
      </c>
      <c r="M2826" s="524" t="s">
        <v>1246</v>
      </c>
      <c r="N2826" s="524" t="s">
        <v>1219</v>
      </c>
      <c r="O2826" s="524" t="s">
        <v>1220</v>
      </c>
      <c r="P2826" s="526">
        <v>46234</v>
      </c>
      <c r="S2826" s="527">
        <v>0</v>
      </c>
    </row>
    <row r="2827" spans="1:19" x14ac:dyDescent="0.2">
      <c r="A2827" s="524">
        <v>72184</v>
      </c>
      <c r="B2827" s="526">
        <v>46234</v>
      </c>
      <c r="C2827" s="524" t="s">
        <v>1148</v>
      </c>
      <c r="D2827" s="524" t="s">
        <v>1243</v>
      </c>
      <c r="E2827" s="524" t="s">
        <v>1244</v>
      </c>
      <c r="F2827" s="524" t="s">
        <v>1183</v>
      </c>
      <c r="G2827" s="524" t="s">
        <v>769</v>
      </c>
      <c r="H2827" s="527">
        <v>0.01</v>
      </c>
      <c r="I2827" s="524" t="s">
        <v>1148</v>
      </c>
      <c r="J2827" s="524">
        <f>IF(cmf[[#This Row],[D/C]]="C",cmf[[#This Row],[Valor]],-1*cmf[[#This Row],[Valor]])</f>
        <v>0.01</v>
      </c>
      <c r="L2827" s="524" t="s">
        <v>1245</v>
      </c>
      <c r="M2827" s="524" t="s">
        <v>1246</v>
      </c>
      <c r="N2827" s="524" t="s">
        <v>1219</v>
      </c>
      <c r="O2827" s="524" t="s">
        <v>1220</v>
      </c>
      <c r="P2827" s="526">
        <v>46234</v>
      </c>
      <c r="S2827" s="527">
        <v>0</v>
      </c>
    </row>
    <row r="2828" spans="1:19" x14ac:dyDescent="0.2">
      <c r="A2828" s="524">
        <v>72189</v>
      </c>
      <c r="B2828" s="526">
        <v>46234</v>
      </c>
      <c r="C2828" s="524" t="s">
        <v>1148</v>
      </c>
      <c r="D2828" s="524" t="s">
        <v>1243</v>
      </c>
      <c r="E2828" s="524" t="s">
        <v>1244</v>
      </c>
      <c r="F2828" s="524" t="s">
        <v>1183</v>
      </c>
      <c r="G2828" s="524" t="s">
        <v>806</v>
      </c>
      <c r="H2828" s="527">
        <v>316249.15000000002</v>
      </c>
      <c r="I2828" s="524" t="s">
        <v>1148</v>
      </c>
      <c r="J2828" s="524">
        <f>IF(cmf[[#This Row],[D/C]]="C",cmf[[#This Row],[Valor]],-1*cmf[[#This Row],[Valor]])</f>
        <v>316249.15000000002</v>
      </c>
      <c r="L2828" s="524" t="s">
        <v>1245</v>
      </c>
      <c r="M2828" s="524" t="s">
        <v>1246</v>
      </c>
      <c r="N2828" s="524" t="s">
        <v>1283</v>
      </c>
      <c r="O2828" s="524" t="s">
        <v>1284</v>
      </c>
      <c r="P2828" s="526">
        <v>46234</v>
      </c>
      <c r="S2828" s="527">
        <v>0</v>
      </c>
    </row>
    <row r="2829" spans="1:19" x14ac:dyDescent="0.2">
      <c r="A2829" s="524">
        <v>72190</v>
      </c>
      <c r="B2829" s="526">
        <v>46234</v>
      </c>
      <c r="C2829" s="524" t="s">
        <v>1148</v>
      </c>
      <c r="D2829" s="524" t="s">
        <v>1243</v>
      </c>
      <c r="E2829" s="524" t="s">
        <v>1244</v>
      </c>
      <c r="F2829" s="524" t="s">
        <v>1183</v>
      </c>
      <c r="G2829" s="524" t="s">
        <v>806</v>
      </c>
      <c r="H2829" s="527">
        <v>6.87</v>
      </c>
      <c r="I2829" s="524" t="s">
        <v>1148</v>
      </c>
      <c r="J2829" s="524">
        <f>IF(cmf[[#This Row],[D/C]]="C",cmf[[#This Row],[Valor]],-1*cmf[[#This Row],[Valor]])</f>
        <v>6.87</v>
      </c>
      <c r="L2829" s="524" t="s">
        <v>1245</v>
      </c>
      <c r="M2829" s="524" t="s">
        <v>1246</v>
      </c>
      <c r="N2829" s="524" t="s">
        <v>1283</v>
      </c>
      <c r="O2829" s="524" t="s">
        <v>1284</v>
      </c>
      <c r="P2829" s="526">
        <v>46234</v>
      </c>
      <c r="S2829" s="527">
        <v>0</v>
      </c>
    </row>
    <row r="2830" spans="1:19" x14ac:dyDescent="0.2">
      <c r="A2830" s="524">
        <v>72195</v>
      </c>
      <c r="B2830" s="526">
        <v>46234</v>
      </c>
      <c r="C2830" s="524" t="s">
        <v>1162</v>
      </c>
      <c r="D2830" s="524" t="s">
        <v>1186</v>
      </c>
      <c r="E2830" s="524" t="s">
        <v>2893</v>
      </c>
      <c r="F2830" s="524" t="s">
        <v>1183</v>
      </c>
      <c r="G2830" s="524" t="s">
        <v>786</v>
      </c>
      <c r="H2830" s="527">
        <v>6651.66</v>
      </c>
      <c r="I2830" s="524" t="s">
        <v>1174</v>
      </c>
      <c r="J2830" s="524">
        <f>IF(cmf[[#This Row],[D/C]]="C",cmf[[#This Row],[Valor]],-1*cmf[[#This Row],[Valor]])</f>
        <v>-6651.66</v>
      </c>
      <c r="L2830" s="524" t="s">
        <v>1188</v>
      </c>
      <c r="M2830" s="524" t="s">
        <v>1189</v>
      </c>
      <c r="N2830" s="524" t="s">
        <v>2104</v>
      </c>
      <c r="O2830" s="524" t="s">
        <v>1751</v>
      </c>
      <c r="P2830" s="526"/>
      <c r="S2830" s="527">
        <v>0</v>
      </c>
    </row>
    <row r="2831" spans="1:19" x14ac:dyDescent="0.2">
      <c r="A2831" s="524">
        <v>72200</v>
      </c>
      <c r="B2831" s="526">
        <v>46234</v>
      </c>
      <c r="C2831" s="524" t="s">
        <v>1148</v>
      </c>
      <c r="D2831" s="524" t="s">
        <v>1243</v>
      </c>
      <c r="E2831" s="524" t="s">
        <v>1244</v>
      </c>
      <c r="F2831" s="524" t="s">
        <v>1183</v>
      </c>
      <c r="G2831" s="524" t="s">
        <v>766</v>
      </c>
      <c r="H2831" s="527">
        <v>7039.73</v>
      </c>
      <c r="I2831" s="524" t="s">
        <v>1148</v>
      </c>
      <c r="J2831" s="524">
        <f>IF(cmf[[#This Row],[D/C]]="C",cmf[[#This Row],[Valor]],-1*cmf[[#This Row],[Valor]])</f>
        <v>7039.73</v>
      </c>
      <c r="L2831" s="524" t="s">
        <v>1245</v>
      </c>
      <c r="M2831" s="524" t="s">
        <v>1246</v>
      </c>
      <c r="N2831" s="524" t="s">
        <v>1200</v>
      </c>
      <c r="O2831" s="524" t="s">
        <v>1201</v>
      </c>
      <c r="P2831" s="526">
        <v>46234</v>
      </c>
      <c r="S2831" s="527">
        <v>0</v>
      </c>
    </row>
    <row r="2832" spans="1:19" x14ac:dyDescent="0.2">
      <c r="A2832" s="524">
        <v>72201</v>
      </c>
      <c r="B2832" s="526">
        <v>46234</v>
      </c>
      <c r="C2832" s="524" t="s">
        <v>1148</v>
      </c>
      <c r="D2832" s="524" t="s">
        <v>1243</v>
      </c>
      <c r="E2832" s="524" t="s">
        <v>1244</v>
      </c>
      <c r="F2832" s="524" t="s">
        <v>1183</v>
      </c>
      <c r="G2832" s="524" t="s">
        <v>766</v>
      </c>
      <c r="H2832" s="527">
        <v>0.19</v>
      </c>
      <c r="I2832" s="524" t="s">
        <v>1148</v>
      </c>
      <c r="J2832" s="524">
        <f>IF(cmf[[#This Row],[D/C]]="C",cmf[[#This Row],[Valor]],-1*cmf[[#This Row],[Valor]])</f>
        <v>0.19</v>
      </c>
      <c r="L2832" s="524" t="s">
        <v>1245</v>
      </c>
      <c r="M2832" s="524" t="s">
        <v>1246</v>
      </c>
      <c r="N2832" s="524" t="s">
        <v>1200</v>
      </c>
      <c r="O2832" s="524" t="s">
        <v>1201</v>
      </c>
      <c r="P2832" s="526">
        <v>46234</v>
      </c>
      <c r="S2832" s="527">
        <v>0</v>
      </c>
    </row>
    <row r="2833" spans="1:19" x14ac:dyDescent="0.2">
      <c r="A2833" s="524">
        <v>72218</v>
      </c>
      <c r="B2833" s="526">
        <v>46234</v>
      </c>
      <c r="C2833" s="524" t="s">
        <v>1148</v>
      </c>
      <c r="D2833" s="524" t="s">
        <v>1243</v>
      </c>
      <c r="E2833" s="524" t="s">
        <v>1254</v>
      </c>
      <c r="F2833" s="524" t="s">
        <v>1178</v>
      </c>
      <c r="G2833" s="524" t="s">
        <v>1179</v>
      </c>
      <c r="H2833" s="527">
        <v>3010</v>
      </c>
      <c r="I2833" s="524" t="s">
        <v>1148</v>
      </c>
      <c r="J2833" s="524">
        <f>IF(cmf[[#This Row],[D/C]]="C",cmf[[#This Row],[Valor]],-1*cmf[[#This Row],[Valor]])</f>
        <v>3010</v>
      </c>
      <c r="L2833" s="524" t="s">
        <v>1245</v>
      </c>
      <c r="M2833" s="524" t="s">
        <v>1246</v>
      </c>
      <c r="N2833" s="524" t="s">
        <v>1180</v>
      </c>
      <c r="O2833" s="524" t="s">
        <v>1181</v>
      </c>
      <c r="P2833" s="526">
        <v>46234</v>
      </c>
      <c r="S2833" s="527">
        <v>0</v>
      </c>
    </row>
    <row r="2834" spans="1:19" x14ac:dyDescent="0.2">
      <c r="A2834" s="524">
        <v>72241</v>
      </c>
      <c r="B2834" s="526">
        <v>46234</v>
      </c>
      <c r="C2834" s="524" t="s">
        <v>1148</v>
      </c>
      <c r="D2834" s="524" t="s">
        <v>1235</v>
      </c>
      <c r="E2834" s="524" t="s">
        <v>2894</v>
      </c>
      <c r="F2834" s="524" t="s">
        <v>1170</v>
      </c>
      <c r="G2834" s="524" t="s">
        <v>802</v>
      </c>
      <c r="H2834" s="527">
        <v>25458.97</v>
      </c>
      <c r="I2834" s="524" t="s">
        <v>1174</v>
      </c>
      <c r="J2834" s="524">
        <f>IF(cmf[[#This Row],[D/C]]="C",cmf[[#This Row],[Valor]],-1*cmf[[#This Row],[Valor]])</f>
        <v>-25458.97</v>
      </c>
      <c r="L2834" s="524" t="s">
        <v>1237</v>
      </c>
      <c r="M2834" s="524" t="s">
        <v>1238</v>
      </c>
      <c r="N2834" s="524" t="s">
        <v>1192</v>
      </c>
      <c r="O2834" s="524" t="s">
        <v>1193</v>
      </c>
      <c r="P2834" s="526">
        <v>46234</v>
      </c>
      <c r="S2834" s="527">
        <v>0</v>
      </c>
    </row>
    <row r="2835" spans="1:19" x14ac:dyDescent="0.2">
      <c r="A2835" s="524">
        <v>72252</v>
      </c>
      <c r="B2835" s="526">
        <v>46234</v>
      </c>
      <c r="C2835" s="524" t="s">
        <v>1148</v>
      </c>
      <c r="D2835" s="524" t="s">
        <v>1239</v>
      </c>
      <c r="E2835" s="524" t="s">
        <v>1253</v>
      </c>
      <c r="F2835" s="524" t="s">
        <v>1170</v>
      </c>
      <c r="G2835" s="524" t="s">
        <v>798</v>
      </c>
      <c r="H2835" s="527">
        <v>0.2</v>
      </c>
      <c r="I2835" s="524" t="s">
        <v>1174</v>
      </c>
      <c r="J2835" s="524">
        <f>IF(cmf[[#This Row],[D/C]]="C",cmf[[#This Row],[Valor]],-1*cmf[[#This Row],[Valor]])</f>
        <v>-0.2</v>
      </c>
      <c r="L2835" s="524" t="s">
        <v>1241</v>
      </c>
      <c r="M2835" s="524" t="s">
        <v>1242</v>
      </c>
      <c r="N2835" s="524" t="s">
        <v>1171</v>
      </c>
      <c r="O2835" s="524" t="s">
        <v>1172</v>
      </c>
      <c r="P2835" s="526">
        <v>46234</v>
      </c>
      <c r="S2835" s="527">
        <v>0</v>
      </c>
    </row>
    <row r="2836" spans="1:19" x14ac:dyDescent="0.2">
      <c r="A2836" s="524">
        <v>72255</v>
      </c>
      <c r="B2836" s="526">
        <v>46234</v>
      </c>
      <c r="C2836" s="524" t="s">
        <v>1148</v>
      </c>
      <c r="D2836" s="524" t="s">
        <v>1239</v>
      </c>
      <c r="E2836" s="524" t="s">
        <v>2895</v>
      </c>
      <c r="F2836" s="524" t="s">
        <v>1183</v>
      </c>
      <c r="G2836" s="524" t="s">
        <v>806</v>
      </c>
      <c r="H2836" s="527">
        <v>707.7</v>
      </c>
      <c r="I2836" s="524" t="s">
        <v>1174</v>
      </c>
      <c r="J2836" s="524">
        <f>IF(cmf[[#This Row],[D/C]]="C",cmf[[#This Row],[Valor]],-1*cmf[[#This Row],[Valor]])</f>
        <v>-707.7</v>
      </c>
      <c r="L2836" s="524" t="s">
        <v>1823</v>
      </c>
      <c r="M2836" s="524" t="s">
        <v>1824</v>
      </c>
      <c r="N2836" s="524" t="s">
        <v>1283</v>
      </c>
      <c r="O2836" s="524" t="s">
        <v>1284</v>
      </c>
      <c r="P2836" s="526">
        <v>46234</v>
      </c>
      <c r="S2836" s="527">
        <v>0</v>
      </c>
    </row>
    <row r="2837" spans="1:19" x14ac:dyDescent="0.2">
      <c r="A2837" s="524">
        <v>72259</v>
      </c>
      <c r="B2837" s="526">
        <v>46234</v>
      </c>
      <c r="C2837" s="524" t="s">
        <v>1148</v>
      </c>
      <c r="D2837" s="524" t="s">
        <v>1239</v>
      </c>
      <c r="E2837" s="524" t="s">
        <v>1251</v>
      </c>
      <c r="F2837" s="524" t="s">
        <v>1178</v>
      </c>
      <c r="G2837" s="524" t="s">
        <v>1179</v>
      </c>
      <c r="H2837" s="527">
        <v>5</v>
      </c>
      <c r="I2837" s="524" t="s">
        <v>1174</v>
      </c>
      <c r="J2837" s="524">
        <f>IF(cmf[[#This Row],[D/C]]="C",cmf[[#This Row],[Valor]],-1*cmf[[#This Row],[Valor]])</f>
        <v>-5</v>
      </c>
      <c r="L2837" s="524" t="s">
        <v>1241</v>
      </c>
      <c r="M2837" s="524" t="s">
        <v>1242</v>
      </c>
      <c r="N2837" s="524" t="s">
        <v>1180</v>
      </c>
      <c r="O2837" s="524" t="s">
        <v>1181</v>
      </c>
      <c r="P2837" s="526">
        <v>46234</v>
      </c>
      <c r="S2837" s="527">
        <v>0</v>
      </c>
    </row>
    <row r="2838" spans="1:19" x14ac:dyDescent="0.2">
      <c r="A2838" s="524">
        <v>72261</v>
      </c>
      <c r="B2838" s="526">
        <v>46234</v>
      </c>
      <c r="C2838" s="524" t="s">
        <v>1148</v>
      </c>
      <c r="D2838" s="524" t="s">
        <v>1239</v>
      </c>
      <c r="E2838" s="524" t="s">
        <v>2896</v>
      </c>
      <c r="F2838" s="524" t="s">
        <v>1178</v>
      </c>
      <c r="G2838" s="524" t="s">
        <v>1179</v>
      </c>
      <c r="H2838" s="527">
        <v>5</v>
      </c>
      <c r="I2838" s="524" t="s">
        <v>1174</v>
      </c>
      <c r="J2838" s="524">
        <f>IF(cmf[[#This Row],[D/C]]="C",cmf[[#This Row],[Valor]],-1*cmf[[#This Row],[Valor]])</f>
        <v>-5</v>
      </c>
      <c r="L2838" s="524" t="s">
        <v>1241</v>
      </c>
      <c r="M2838" s="524" t="s">
        <v>1242</v>
      </c>
      <c r="N2838" s="524" t="s">
        <v>1180</v>
      </c>
      <c r="O2838" s="524" t="s">
        <v>1181</v>
      </c>
      <c r="P2838" s="526">
        <v>46234</v>
      </c>
      <c r="S2838" s="527">
        <v>0</v>
      </c>
    </row>
    <row r="2839" spans="1:19" x14ac:dyDescent="0.2">
      <c r="A2839" s="524">
        <v>72265</v>
      </c>
      <c r="B2839" s="526">
        <v>46234</v>
      </c>
      <c r="C2839" s="524" t="s">
        <v>1148</v>
      </c>
      <c r="D2839" s="524" t="s">
        <v>1239</v>
      </c>
      <c r="E2839" s="524" t="s">
        <v>1567</v>
      </c>
      <c r="F2839" s="524" t="s">
        <v>1170</v>
      </c>
      <c r="G2839" s="524" t="s">
        <v>757</v>
      </c>
      <c r="H2839" s="527">
        <v>13</v>
      </c>
      <c r="I2839" s="524" t="s">
        <v>1174</v>
      </c>
      <c r="J2839" s="524">
        <f>IF(cmf[[#This Row],[D/C]]="C",cmf[[#This Row],[Valor]],-1*cmf[[#This Row],[Valor]])</f>
        <v>-13</v>
      </c>
      <c r="L2839" s="524" t="s">
        <v>1241</v>
      </c>
      <c r="M2839" s="524" t="s">
        <v>1242</v>
      </c>
      <c r="N2839" s="524" t="s">
        <v>1223</v>
      </c>
      <c r="O2839" s="524" t="s">
        <v>1224</v>
      </c>
      <c r="P2839" s="526">
        <v>46234</v>
      </c>
      <c r="S2839" s="527">
        <v>0</v>
      </c>
    </row>
    <row r="2840" spans="1:19" x14ac:dyDescent="0.2">
      <c r="A2840" s="524">
        <v>72266</v>
      </c>
      <c r="B2840" s="526">
        <v>46234</v>
      </c>
      <c r="C2840" s="524" t="s">
        <v>1148</v>
      </c>
      <c r="D2840" s="524" t="s">
        <v>1239</v>
      </c>
      <c r="E2840" s="524" t="s">
        <v>1255</v>
      </c>
      <c r="F2840" s="524" t="s">
        <v>1170</v>
      </c>
      <c r="G2840" s="524" t="s">
        <v>757</v>
      </c>
      <c r="H2840" s="527">
        <v>1.4</v>
      </c>
      <c r="I2840" s="524" t="s">
        <v>1174</v>
      </c>
      <c r="J2840" s="524">
        <f>IF(cmf[[#This Row],[D/C]]="C",cmf[[#This Row],[Valor]],-1*cmf[[#This Row],[Valor]])</f>
        <v>-1.4</v>
      </c>
      <c r="L2840" s="524" t="s">
        <v>1241</v>
      </c>
      <c r="M2840" s="524" t="s">
        <v>1242</v>
      </c>
      <c r="N2840" s="524" t="s">
        <v>1223</v>
      </c>
      <c r="O2840" s="524" t="s">
        <v>1224</v>
      </c>
      <c r="P2840" s="526">
        <v>46234</v>
      </c>
      <c r="S2840" s="527">
        <v>0</v>
      </c>
    </row>
    <row r="2841" spans="1:19" x14ac:dyDescent="0.2">
      <c r="A2841" s="524">
        <v>72279</v>
      </c>
      <c r="B2841" s="526">
        <v>46234</v>
      </c>
      <c r="C2841" s="524" t="s">
        <v>1162</v>
      </c>
      <c r="D2841" s="524" t="s">
        <v>1163</v>
      </c>
      <c r="E2841" s="524" t="s">
        <v>1164</v>
      </c>
      <c r="F2841" s="524" t="s">
        <v>1170</v>
      </c>
      <c r="G2841" s="524" t="s">
        <v>757</v>
      </c>
      <c r="H2841" s="527">
        <v>23922.36</v>
      </c>
      <c r="I2841" s="524" t="s">
        <v>1148</v>
      </c>
      <c r="J2841" s="524">
        <f>IF(cmf[[#This Row],[D/C]]="C",cmf[[#This Row],[Valor]],-1*cmf[[#This Row],[Valor]])</f>
        <v>23922.36</v>
      </c>
      <c r="L2841" s="524" t="s">
        <v>1166</v>
      </c>
      <c r="M2841" s="524" t="s">
        <v>1167</v>
      </c>
      <c r="N2841" s="524" t="s">
        <v>1223</v>
      </c>
      <c r="O2841" s="524" t="s">
        <v>1224</v>
      </c>
      <c r="P2841" s="526">
        <v>46234</v>
      </c>
      <c r="S2841" s="527">
        <v>0</v>
      </c>
    </row>
    <row r="2842" spans="1:19" x14ac:dyDescent="0.2">
      <c r="A2842" s="524">
        <v>72281</v>
      </c>
      <c r="B2842" s="526">
        <v>46234</v>
      </c>
      <c r="C2842" s="524" t="s">
        <v>1162</v>
      </c>
      <c r="D2842" s="524" t="s">
        <v>1239</v>
      </c>
      <c r="E2842" s="524" t="s">
        <v>2897</v>
      </c>
      <c r="F2842" s="524" t="s">
        <v>1170</v>
      </c>
      <c r="G2842" s="524" t="s">
        <v>757</v>
      </c>
      <c r="H2842" s="527">
        <v>141.88999999999999</v>
      </c>
      <c r="I2842" s="524" t="s">
        <v>1148</v>
      </c>
      <c r="J2842" s="524">
        <f>IF(cmf[[#This Row],[D/C]]="C",cmf[[#This Row],[Valor]],-1*cmf[[#This Row],[Valor]])</f>
        <v>141.88999999999999</v>
      </c>
      <c r="L2842" s="524" t="s">
        <v>1264</v>
      </c>
      <c r="M2842" s="524" t="s">
        <v>1265</v>
      </c>
      <c r="N2842" s="524" t="s">
        <v>1223</v>
      </c>
      <c r="O2842" s="524" t="s">
        <v>1224</v>
      </c>
      <c r="P2842" s="526"/>
      <c r="S2842" s="527">
        <v>0</v>
      </c>
    </row>
    <row r="2843" spans="1:19" x14ac:dyDescent="0.2">
      <c r="A2843" s="524">
        <v>72509</v>
      </c>
      <c r="B2843" s="526">
        <v>46234</v>
      </c>
      <c r="C2843" s="524" t="s">
        <v>1148</v>
      </c>
      <c r="D2843" s="524" t="s">
        <v>1239</v>
      </c>
      <c r="E2843" s="524" t="s">
        <v>2898</v>
      </c>
      <c r="F2843" s="524" t="s">
        <v>943</v>
      </c>
      <c r="G2843" s="524" t="s">
        <v>743</v>
      </c>
      <c r="H2843" s="527">
        <v>39.520000000000003</v>
      </c>
      <c r="I2843" s="524" t="s">
        <v>1148</v>
      </c>
      <c r="J2843" s="524">
        <f>IF(cmf[[#This Row],[D/C]]="C",cmf[[#This Row],[Valor]],-1*cmf[[#This Row],[Valor]])</f>
        <v>39.520000000000003</v>
      </c>
      <c r="L2843" s="524" t="s">
        <v>1264</v>
      </c>
      <c r="M2843" s="524" t="s">
        <v>1265</v>
      </c>
      <c r="N2843" s="524" t="s">
        <v>1215</v>
      </c>
      <c r="O2843" s="524" t="s">
        <v>1218</v>
      </c>
      <c r="P2843" s="526">
        <v>46234</v>
      </c>
      <c r="S2843" s="527">
        <v>0</v>
      </c>
    </row>
    <row r="2844" spans="1:19" x14ac:dyDescent="0.2">
      <c r="A2844" s="524">
        <v>72510</v>
      </c>
      <c r="B2844" s="526">
        <v>46234</v>
      </c>
      <c r="C2844" s="524" t="s">
        <v>1148</v>
      </c>
      <c r="D2844" s="524" t="s">
        <v>1239</v>
      </c>
      <c r="E2844" s="524" t="s">
        <v>2899</v>
      </c>
      <c r="F2844" s="524" t="s">
        <v>943</v>
      </c>
      <c r="G2844" s="524" t="s">
        <v>743</v>
      </c>
      <c r="H2844" s="527">
        <v>44.5</v>
      </c>
      <c r="I2844" s="524" t="s">
        <v>1174</v>
      </c>
      <c r="J2844" s="524">
        <f>IF(cmf[[#This Row],[D/C]]="C",cmf[[#This Row],[Valor]],-1*cmf[[#This Row],[Valor]])</f>
        <v>-44.5</v>
      </c>
      <c r="L2844" s="524" t="s">
        <v>1241</v>
      </c>
      <c r="M2844" s="524" t="s">
        <v>1242</v>
      </c>
      <c r="N2844" s="524" t="s">
        <v>1215</v>
      </c>
      <c r="O2844" s="524" t="s">
        <v>1218</v>
      </c>
      <c r="P2844" s="526">
        <v>46234</v>
      </c>
      <c r="S2844" s="527">
        <v>0</v>
      </c>
    </row>
    <row r="2845" spans="1:19" x14ac:dyDescent="0.2">
      <c r="A2845" s="524">
        <v>72611</v>
      </c>
      <c r="B2845" s="526">
        <v>46234</v>
      </c>
      <c r="C2845" s="524" t="s">
        <v>1162</v>
      </c>
      <c r="D2845" s="524" t="s">
        <v>1186</v>
      </c>
      <c r="E2845" s="524" t="s">
        <v>2900</v>
      </c>
      <c r="F2845" s="524" t="s">
        <v>1183</v>
      </c>
      <c r="G2845" s="524" t="s">
        <v>806</v>
      </c>
      <c r="H2845" s="527">
        <v>10000</v>
      </c>
      <c r="I2845" s="524" t="s">
        <v>1174</v>
      </c>
      <c r="J2845" s="524">
        <f>IF(cmf[[#This Row],[D/C]]="C",cmf[[#This Row],[Valor]],-1*cmf[[#This Row],[Valor]])</f>
        <v>-10000</v>
      </c>
      <c r="L2845" s="524" t="s">
        <v>1188</v>
      </c>
      <c r="M2845" s="524" t="s">
        <v>1189</v>
      </c>
      <c r="N2845" s="524" t="s">
        <v>1283</v>
      </c>
      <c r="O2845" s="524" t="s">
        <v>1284</v>
      </c>
      <c r="P2845" s="526"/>
      <c r="S2845" s="527">
        <v>0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AC10-ABE3-4899-BB7A-CD0AFD6CC909}">
  <dimension ref="A1:M45"/>
  <sheetViews>
    <sheetView showGridLines="0" zoomScale="80" zoomScaleNormal="80" workbookViewId="0">
      <selection activeCell="K28" sqref="K28"/>
    </sheetView>
  </sheetViews>
  <sheetFormatPr defaultRowHeight="15" x14ac:dyDescent="0.25"/>
  <cols>
    <col min="1" max="1" width="25.5703125" bestFit="1" customWidth="1"/>
    <col min="2" max="2" width="15.7109375" customWidth="1"/>
    <col min="3" max="3" width="12.85546875" bestFit="1" customWidth="1"/>
    <col min="4" max="4" width="16.7109375" customWidth="1"/>
    <col min="8" max="8" width="16.7109375" customWidth="1"/>
    <col min="9" max="9" width="18.7109375" customWidth="1"/>
    <col min="10" max="10" width="16.7109375" customWidth="1"/>
    <col min="11" max="11" width="18.7109375" customWidth="1"/>
    <col min="12" max="13" width="16.7109375" customWidth="1"/>
  </cols>
  <sheetData>
    <row r="1" spans="1:13" x14ac:dyDescent="0.25">
      <c r="A1" s="13"/>
      <c r="B1" s="13"/>
      <c r="C1" s="13"/>
      <c r="D1" s="450">
        <f>SUBTOTAL(9,fech[Despesas])</f>
        <v>0</v>
      </c>
      <c r="G1" s="13"/>
      <c r="H1" s="512">
        <f t="shared" ref="H1:J1" ca="1" si="0">SUM(H3:H33)</f>
        <v>0</v>
      </c>
      <c r="I1" s="512">
        <f t="shared" si="0"/>
        <v>0</v>
      </c>
      <c r="J1" s="512">
        <f t="shared" ca="1" si="0"/>
        <v>0</v>
      </c>
      <c r="K1" s="512">
        <f>SUM(K3:K33)</f>
        <v>0</v>
      </c>
      <c r="L1" s="512">
        <f ca="1">SUM(L3:L33)</f>
        <v>0</v>
      </c>
      <c r="M1" s="512">
        <f ca="1">SUM(M3:M33)</f>
        <v>0</v>
      </c>
    </row>
    <row r="2" spans="1:13" ht="30" x14ac:dyDescent="0.25">
      <c r="A2" t="s">
        <v>897</v>
      </c>
      <c r="B2" s="513" t="s">
        <v>1140</v>
      </c>
      <c r="C2" t="s">
        <v>898</v>
      </c>
      <c r="D2" t="s">
        <v>375</v>
      </c>
      <c r="H2" s="514" t="s">
        <v>852</v>
      </c>
      <c r="I2" s="515" t="s">
        <v>1141</v>
      </c>
      <c r="J2" s="515" t="s">
        <v>1142</v>
      </c>
      <c r="K2" s="516" t="s">
        <v>1143</v>
      </c>
      <c r="L2" s="516" t="s">
        <v>1144</v>
      </c>
      <c r="M2" s="135" t="s">
        <v>1145</v>
      </c>
    </row>
    <row r="3" spans="1:13" x14ac:dyDescent="0.25">
      <c r="A3" t="s">
        <v>494</v>
      </c>
      <c r="B3" t="s">
        <v>7</v>
      </c>
      <c r="C3" t="b">
        <v>1</v>
      </c>
      <c r="D3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3" s="517" cm="1">
        <f t="array" ref="G3">_xlfn._xlws.SORT(_xlfn.UNIQUE(tb_desp[empresa]))</f>
        <v>0</v>
      </c>
      <c r="H3" s="518">
        <f ca="1">SUMIFS(tb_rec_uni[2026-07-01], tb_rec_uni[empresa], $G3, tb_rec_uni[natureza], "parcela.cef.assinar")
+SUMIFS(tb_rec_uni[2026-07-01], tb_rec_uni[empresa], $G3, tb_rec_uni[natureza], "parcela.fin.total.ik")
+SUMIFS(tb_rec_uni[2026-07-01], tb_rec_uni[empresa], $G3, tb_rec_uni[natureza], "pro.soluto")
+SUMIFS(tb_rec_uni[2026-07-01], tb_rec_uni[empresa], $G3, tb_rec_uni[natureza], "repasse.cef.obra")
+SUMIFS(tb_rec_uni[2026-07-01], tb_rec_uni[empresa], $G3, tb_rec_uni[natureza], "repasse.cef.terreno")
+SUMIFS(tb_rec_uni[2026-07-01], tb_rec_uni[empresa], $G3, tb_rec_uni[natureza], "taxa.extra")</f>
        <v>0</v>
      </c>
      <c r="I3" s="518">
        <f>-SUMIFS(fech[Despesas],fech[Empresa (resultado)],$G3)</f>
        <v>0</v>
      </c>
      <c r="J3" s="518">
        <f ca="1">H3+I3</f>
        <v>0</v>
      </c>
      <c r="K3" s="449">
        <f>-SUMIFS(tb_desp[valor],
  tb_desp[empresa],$G3,
  tb_desp[data.pagamento],"&gt;="&amp;DATE(YEAR(inputs!$A$1),MONTH(inputs!$A$1),1),
  tb_desp[data.pagamento],"&lt;"&amp;EOMONTH(inputs!$A$1,0)+1
)</f>
        <v>0</v>
      </c>
      <c r="L3" s="449">
        <f ca="1">H3+K3</f>
        <v>0</v>
      </c>
      <c r="M3" s="449">
        <f t="shared" ref="M3:M33" ca="1" si="1">L3-J3</f>
        <v>0</v>
      </c>
    </row>
    <row r="4" spans="1:13" x14ac:dyDescent="0.25">
      <c r="A4" t="s">
        <v>888</v>
      </c>
      <c r="B4" s="155" t="s">
        <v>7</v>
      </c>
      <c r="C4" t="b">
        <v>0</v>
      </c>
      <c r="D4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4" s="449">
        <f ca="1">SUMIFS(tb_rec_uni[2026-07-01], tb_rec_uni[empresa], $G4, tb_rec_uni[natureza], "parcela.cef.assinar")
+SUMIFS(tb_rec_uni[2026-07-01], tb_rec_uni[empresa], $G4, tb_rec_uni[natureza], "parcela.fin.total.ik")
+SUMIFS(tb_rec_uni[2026-07-01], tb_rec_uni[empresa], $G4, tb_rec_uni[natureza], "pro.soluto")
+SUMIFS(tb_rec_uni[2026-07-01], tb_rec_uni[empresa], $G4, tb_rec_uni[natureza], "repasse.cef.obra")
+SUMIFS(tb_rec_uni[2026-07-01], tb_rec_uni[empresa], $G4, tb_rec_uni[natureza], "repasse.cef.terreno")
+SUMIFS(tb_rec_uni[2026-07-01], tb_rec_uni[empresa], $G4, tb_rec_uni[natureza], "taxa.extra")</f>
        <v>0</v>
      </c>
      <c r="I4" s="449">
        <f>-SUMIFS(fech[Despesas],fech[Empresa (resultado)],$G4)</f>
        <v>0</v>
      </c>
      <c r="J4" s="449">
        <f t="shared" ref="J4:J33" ca="1" si="2">H4+I4</f>
        <v>0</v>
      </c>
      <c r="K4" s="449">
        <f>-SUMIFS(tb_desp[valor],
  tb_desp[empresa],$G4,
  tb_desp[data.pagamento],"&gt;="&amp;DATE(YEAR(inputs!$A$1),MONTH(inputs!$A$1),1),
  tb_desp[data.pagamento],"&lt;"&amp;EOMONTH(inputs!$A$1,0)+1
)</f>
        <v>0</v>
      </c>
      <c r="L4" s="449">
        <f t="shared" ref="L4:L33" ca="1" si="3">H4+K4</f>
        <v>0</v>
      </c>
      <c r="M4" s="449">
        <f t="shared" ca="1" si="1"/>
        <v>0</v>
      </c>
    </row>
    <row r="5" spans="1:13" x14ac:dyDescent="0.25">
      <c r="A5" t="s">
        <v>889</v>
      </c>
      <c r="B5" s="155" t="s">
        <v>7</v>
      </c>
      <c r="C5" t="b">
        <v>0</v>
      </c>
      <c r="D5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5" s="449">
        <f ca="1">SUMIFS(tb_rec_uni[2026-07-01], tb_rec_uni[empresa], $G5, tb_rec_uni[natureza], "parcela.cef.assinar")
+SUMIFS(tb_rec_uni[2026-07-01], tb_rec_uni[empresa], $G5, tb_rec_uni[natureza], "parcela.fin.total.ik")
+SUMIFS(tb_rec_uni[2026-07-01], tb_rec_uni[empresa], $G5, tb_rec_uni[natureza], "pro.soluto")
+SUMIFS(tb_rec_uni[2026-07-01], tb_rec_uni[empresa], $G5, tb_rec_uni[natureza], "repasse.cef.obra")
+SUMIFS(tb_rec_uni[2026-07-01], tb_rec_uni[empresa], $G5, tb_rec_uni[natureza], "repasse.cef.terreno")
+SUMIFS(tb_rec_uni[2026-07-01], tb_rec_uni[empresa], $G5, tb_rec_uni[natureza], "taxa.extra")</f>
        <v>0</v>
      </c>
      <c r="I5" s="449">
        <f>-SUMIFS(fech[Despesas],fech[Empresa (resultado)],$G5)</f>
        <v>0</v>
      </c>
      <c r="J5" s="449">
        <f t="shared" ca="1" si="2"/>
        <v>0</v>
      </c>
      <c r="K5" s="449">
        <f>-SUMIFS(tb_desp[valor],
  tb_desp[empresa],$G5,
  tb_desp[data.pagamento],"&gt;="&amp;DATE(YEAR(inputs!$A$1),MONTH(inputs!$A$1),1),
  tb_desp[data.pagamento],"&lt;"&amp;EOMONTH(inputs!$A$1,0)+1
)</f>
        <v>0</v>
      </c>
      <c r="L5" s="449">
        <f t="shared" ca="1" si="3"/>
        <v>0</v>
      </c>
      <c r="M5" s="449">
        <f t="shared" ca="1" si="1"/>
        <v>0</v>
      </c>
    </row>
    <row r="6" spans="1:13" x14ac:dyDescent="0.25">
      <c r="A6" t="s">
        <v>706</v>
      </c>
      <c r="B6" s="155" t="s">
        <v>7</v>
      </c>
      <c r="C6" t="b">
        <v>0</v>
      </c>
      <c r="D6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6" s="449">
        <f ca="1">SUMIFS(tb_rec_uni[2026-07-01], tb_rec_uni[empresa], $G6, tb_rec_uni[natureza], "parcela.cef.assinar")
+SUMIFS(tb_rec_uni[2026-07-01], tb_rec_uni[empresa], $G6, tb_rec_uni[natureza], "parcela.fin.total.ik")
+SUMIFS(tb_rec_uni[2026-07-01], tb_rec_uni[empresa], $G6, tb_rec_uni[natureza], "pro.soluto")
+SUMIFS(tb_rec_uni[2026-07-01], tb_rec_uni[empresa], $G6, tb_rec_uni[natureza], "repasse.cef.obra")
+SUMIFS(tb_rec_uni[2026-07-01], tb_rec_uni[empresa], $G6, tb_rec_uni[natureza], "repasse.cef.terreno")
+SUMIFS(tb_rec_uni[2026-07-01], tb_rec_uni[empresa], $G6, tb_rec_uni[natureza], "taxa.extra")</f>
        <v>0</v>
      </c>
      <c r="I6" s="449">
        <f>-SUMIFS(fech[Despesas],fech[Empresa (resultado)],$G6)</f>
        <v>0</v>
      </c>
      <c r="J6" s="449">
        <f t="shared" ca="1" si="2"/>
        <v>0</v>
      </c>
      <c r="K6" s="449">
        <f>-SUMIFS(tb_desp[valor],
  tb_desp[empresa],$G6,
  tb_desp[data.pagamento],"&gt;="&amp;DATE(YEAR(inputs!$A$1),MONTH(inputs!$A$1),1),
  tb_desp[data.pagamento],"&lt;"&amp;EOMONTH(inputs!$A$1,0)+1
)</f>
        <v>0</v>
      </c>
      <c r="L6" s="449">
        <f t="shared" ca="1" si="3"/>
        <v>0</v>
      </c>
      <c r="M6" s="449">
        <f t="shared" ca="1" si="1"/>
        <v>0</v>
      </c>
    </row>
    <row r="7" spans="1:13" x14ac:dyDescent="0.25">
      <c r="A7" t="s">
        <v>571</v>
      </c>
      <c r="B7" t="s">
        <v>671</v>
      </c>
      <c r="C7" t="b">
        <v>0</v>
      </c>
      <c r="D7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7" s="449">
        <f ca="1">SUMIFS(tb_rec_uni[2026-07-01], tb_rec_uni[empresa], $G7, tb_rec_uni[natureza], "parcela.cef.assinar")
+SUMIFS(tb_rec_uni[2026-07-01], tb_rec_uni[empresa], $G7, tb_rec_uni[natureza], "parcela.fin.total.ik")
+SUMIFS(tb_rec_uni[2026-07-01], tb_rec_uni[empresa], $G7, tb_rec_uni[natureza], "pro.soluto")
+SUMIFS(tb_rec_uni[2026-07-01], tb_rec_uni[empresa], $G7, tb_rec_uni[natureza], "repasse.cef.obra")
+SUMIFS(tb_rec_uni[2026-07-01], tb_rec_uni[empresa], $G7, tb_rec_uni[natureza], "repasse.cef.terreno")
+SUMIFS(tb_rec_uni[2026-07-01], tb_rec_uni[empresa], $G7, tb_rec_uni[natureza], "taxa.extra")</f>
        <v>0</v>
      </c>
      <c r="I7" s="449">
        <f>-SUMIFS(fech[Despesas],fech[Empresa (resultado)],$G7)</f>
        <v>0</v>
      </c>
      <c r="J7" s="449">
        <f t="shared" ca="1" si="2"/>
        <v>0</v>
      </c>
      <c r="K7" s="449">
        <f>-SUMIFS(tb_desp[valor],
  tb_desp[empresa],$G7,
  tb_desp[data.pagamento],"&gt;="&amp;DATE(YEAR(inputs!$A$1),MONTH(inputs!$A$1),1),
  tb_desp[data.pagamento],"&lt;"&amp;EOMONTH(inputs!$A$1,0)+1
)</f>
        <v>0</v>
      </c>
      <c r="L7" s="449">
        <f t="shared" ca="1" si="3"/>
        <v>0</v>
      </c>
      <c r="M7" s="449">
        <f t="shared" ca="1" si="1"/>
        <v>0</v>
      </c>
    </row>
    <row r="8" spans="1:13" x14ac:dyDescent="0.25">
      <c r="A8" t="s">
        <v>573</v>
      </c>
      <c r="B8" t="s">
        <v>773</v>
      </c>
      <c r="C8" t="b">
        <v>0</v>
      </c>
      <c r="D8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8" s="449">
        <f ca="1">SUMIFS(tb_rec_uni[2026-07-01], tb_rec_uni[empresa], $G8, tb_rec_uni[natureza], "parcela.cef.assinar")
+SUMIFS(tb_rec_uni[2026-07-01], tb_rec_uni[empresa], $G8, tb_rec_uni[natureza], "parcela.fin.total.ik")
+SUMIFS(tb_rec_uni[2026-07-01], tb_rec_uni[empresa], $G8, tb_rec_uni[natureza], "pro.soluto")
+SUMIFS(tb_rec_uni[2026-07-01], tb_rec_uni[empresa], $G8, tb_rec_uni[natureza], "repasse.cef.obra")
+SUMIFS(tb_rec_uni[2026-07-01], tb_rec_uni[empresa], $G8, tb_rec_uni[natureza], "repasse.cef.terreno")
+SUMIFS(tb_rec_uni[2026-07-01], tb_rec_uni[empresa], $G8, tb_rec_uni[natureza], "taxa.extra")</f>
        <v>0</v>
      </c>
      <c r="I8" s="449">
        <f>-SUMIFS(fech[Despesas],fech[Empresa (resultado)],$G8)</f>
        <v>0</v>
      </c>
      <c r="J8" s="449">
        <f t="shared" ca="1" si="2"/>
        <v>0</v>
      </c>
      <c r="K8" s="449">
        <f>-SUMIFS(tb_desp[valor],
  tb_desp[empresa],$G8,
  tb_desp[data.pagamento],"&gt;="&amp;DATE(YEAR(inputs!$A$1),MONTH(inputs!$A$1),1),
  tb_desp[data.pagamento],"&lt;"&amp;EOMONTH(inputs!$A$1,0)+1
)</f>
        <v>0</v>
      </c>
      <c r="L8" s="449">
        <f t="shared" ca="1" si="3"/>
        <v>0</v>
      </c>
      <c r="M8" s="449">
        <f t="shared" ca="1" si="1"/>
        <v>0</v>
      </c>
    </row>
    <row r="9" spans="1:13" x14ac:dyDescent="0.25">
      <c r="A9" t="s">
        <v>890</v>
      </c>
      <c r="B9" t="s">
        <v>1023</v>
      </c>
      <c r="C9" t="b">
        <v>0</v>
      </c>
      <c r="D9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9" s="155"/>
      <c r="H9" s="519">
        <f ca="1">SUMIFS(tb_rec_uni[2026-07-01], tb_rec_uni[empresa], $G9, tb_rec_uni[natureza], "parcela.cef.assinar")
+SUMIFS(tb_rec_uni[2026-07-01], tb_rec_uni[empresa], $G9, tb_rec_uni[natureza], "parcela.fin.total.ik")
+SUMIFS(tb_rec_uni[2026-07-01], tb_rec_uni[empresa], $G9, tb_rec_uni[natureza], "pro.soluto")
+SUMIFS(tb_rec_uni[2026-07-01], tb_rec_uni[empresa], $G9, tb_rec_uni[natureza], "repasse.cef.obra")
+SUMIFS(tb_rec_uni[2026-07-01], tb_rec_uni[empresa], $G9, tb_rec_uni[natureza], "repasse.cef.terreno")
+SUMIFS(tb_rec_uni[2026-07-01], tb_rec_uni[empresa], $G9, tb_rec_uni[natureza], "taxa.extra")</f>
        <v>0</v>
      </c>
      <c r="I9" s="519">
        <f>-SUMIFS(fech[Despesas],fech[Empresa (resultado)],$G9)</f>
        <v>0</v>
      </c>
      <c r="J9" s="519">
        <f t="shared" ca="1" si="2"/>
        <v>0</v>
      </c>
      <c r="K9" s="519">
        <f>-SUMIFS(tb_desp[valor],
  tb_desp[empresa],$G9,
  tb_desp[data.pagamento],"&gt;="&amp;DATE(YEAR(inputs!$A$1),MONTH(inputs!$A$1),1),
  tb_desp[data.pagamento],"&lt;"&amp;EOMONTH(inputs!$A$1,0)+1
)</f>
        <v>0</v>
      </c>
      <c r="L9" s="519">
        <f t="shared" ca="1" si="3"/>
        <v>0</v>
      </c>
      <c r="M9" s="519">
        <f t="shared" ca="1" si="1"/>
        <v>0</v>
      </c>
    </row>
    <row r="10" spans="1:13" x14ac:dyDescent="0.25">
      <c r="A10" t="s">
        <v>659</v>
      </c>
      <c r="B10" t="s">
        <v>779</v>
      </c>
      <c r="C10" t="b">
        <v>0</v>
      </c>
      <c r="D10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0" s="449">
        <f ca="1">SUMIFS(tb_rec_uni[2026-07-01], tb_rec_uni[empresa], $G10, tb_rec_uni[natureza], "parcela.cef.assinar")
+SUMIFS(tb_rec_uni[2026-07-01], tb_rec_uni[empresa], $G10, tb_rec_uni[natureza], "parcela.fin.total.ik")
+SUMIFS(tb_rec_uni[2026-07-01], tb_rec_uni[empresa], $G10, tb_rec_uni[natureza], "pro.soluto")
+SUMIFS(tb_rec_uni[2026-07-01], tb_rec_uni[empresa], $G10, tb_rec_uni[natureza], "repasse.cef.obra")
+SUMIFS(tb_rec_uni[2026-07-01], tb_rec_uni[empresa], $G10, tb_rec_uni[natureza], "repasse.cef.terreno")
+SUMIFS(tb_rec_uni[2026-07-01], tb_rec_uni[empresa], $G10, tb_rec_uni[natureza], "taxa.extra")</f>
        <v>0</v>
      </c>
      <c r="I10" s="449">
        <f>-SUMIFS(fech[Despesas],fech[Empresa (resultado)],$G10)</f>
        <v>0</v>
      </c>
      <c r="J10" s="449">
        <f t="shared" ca="1" si="2"/>
        <v>0</v>
      </c>
      <c r="K10" s="449">
        <f>-SUMIFS(tb_desp[valor],
  tb_desp[empresa],$G10,
  tb_desp[data.pagamento],"&gt;="&amp;DATE(YEAR(inputs!$A$1),MONTH(inputs!$A$1),1),
  tb_desp[data.pagamento],"&lt;"&amp;EOMONTH(inputs!$A$1,0)+1
)</f>
        <v>0</v>
      </c>
      <c r="L10" s="449">
        <f t="shared" ca="1" si="3"/>
        <v>0</v>
      </c>
      <c r="M10" s="449">
        <f t="shared" ca="1" si="1"/>
        <v>0</v>
      </c>
    </row>
    <row r="11" spans="1:13" x14ac:dyDescent="0.25">
      <c r="A11" t="s">
        <v>891</v>
      </c>
      <c r="B11" s="155" t="s">
        <v>7</v>
      </c>
      <c r="C11" t="b">
        <v>0</v>
      </c>
      <c r="D11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1" s="449">
        <f ca="1">SUMIFS(tb_rec_uni[2026-07-01], tb_rec_uni[empresa], $G11, tb_rec_uni[natureza], "parcela.cef.assinar")
+SUMIFS(tb_rec_uni[2026-07-01], tb_rec_uni[empresa], $G11, tb_rec_uni[natureza], "parcela.fin.total.ik")
+SUMIFS(tb_rec_uni[2026-07-01], tb_rec_uni[empresa], $G11, tb_rec_uni[natureza], "pro.soluto")
+SUMIFS(tb_rec_uni[2026-07-01], tb_rec_uni[empresa], $G11, tb_rec_uni[natureza], "repasse.cef.obra")
+SUMIFS(tb_rec_uni[2026-07-01], tb_rec_uni[empresa], $G11, tb_rec_uni[natureza], "repasse.cef.terreno")
+SUMIFS(tb_rec_uni[2026-07-01], tb_rec_uni[empresa], $G11, tb_rec_uni[natureza], "taxa.extra")</f>
        <v>0</v>
      </c>
      <c r="I11" s="449">
        <f>-SUMIFS(fech[Despesas],fech[Empresa (resultado)],$G11)</f>
        <v>0</v>
      </c>
      <c r="J11" s="449">
        <f t="shared" ca="1" si="2"/>
        <v>0</v>
      </c>
      <c r="K11" s="449">
        <f>-SUMIFS(tb_desp[valor],
  tb_desp[empresa],$G11,
  tb_desp[data.pagamento],"&gt;="&amp;DATE(YEAR(inputs!$A$1),MONTH(inputs!$A$1),1),
  tb_desp[data.pagamento],"&lt;"&amp;EOMONTH(inputs!$A$1,0)+1
)</f>
        <v>0</v>
      </c>
      <c r="L11" s="449">
        <f t="shared" ca="1" si="3"/>
        <v>0</v>
      </c>
      <c r="M11" s="449">
        <f t="shared" ca="1" si="1"/>
        <v>0</v>
      </c>
    </row>
    <row r="12" spans="1:13" x14ac:dyDescent="0.25">
      <c r="A12" t="s">
        <v>1139</v>
      </c>
      <c r="B12" s="155" t="s">
        <v>7</v>
      </c>
      <c r="C12" t="b">
        <v>0</v>
      </c>
      <c r="D12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12" s="155"/>
      <c r="H12" s="519">
        <f ca="1">SUMIFS(tb_rec_uni[2026-07-01], tb_rec_uni[empresa], $G12, tb_rec_uni[natureza], "parcela.cef.assinar")
+SUMIFS(tb_rec_uni[2026-07-01], tb_rec_uni[empresa], $G12, tb_rec_uni[natureza], "parcela.fin.total.ik")
+SUMIFS(tb_rec_uni[2026-07-01], tb_rec_uni[empresa], $G12, tb_rec_uni[natureza], "pro.soluto")
+SUMIFS(tb_rec_uni[2026-07-01], tb_rec_uni[empresa], $G12, tb_rec_uni[natureza], "repasse.cef.obra")
+SUMIFS(tb_rec_uni[2026-07-01], tb_rec_uni[empresa], $G12, tb_rec_uni[natureza], "repasse.cef.terreno")
+SUMIFS(tb_rec_uni[2026-07-01], tb_rec_uni[empresa], $G12, tb_rec_uni[natureza], "taxa.extra")</f>
        <v>0</v>
      </c>
      <c r="I12" s="519">
        <f>-SUMIFS(fech[Despesas],fech[Empresa (resultado)],$G12)</f>
        <v>0</v>
      </c>
      <c r="J12" s="519">
        <f t="shared" ca="1" si="2"/>
        <v>0</v>
      </c>
      <c r="K12" s="519">
        <f>-SUMIFS(tb_desp[valor],
  tb_desp[empresa],$G12,
  tb_desp[data.pagamento],"&gt;="&amp;DATE(YEAR(inputs!$A$1),MONTH(inputs!$A$1),1),
  tb_desp[data.pagamento],"&lt;"&amp;EOMONTH(inputs!$A$1,0)+1
)</f>
        <v>0</v>
      </c>
      <c r="L12" s="519">
        <f t="shared" ca="1" si="3"/>
        <v>0</v>
      </c>
      <c r="M12" s="519">
        <f t="shared" ca="1" si="1"/>
        <v>0</v>
      </c>
    </row>
    <row r="13" spans="1:13" x14ac:dyDescent="0.25">
      <c r="A13" t="s">
        <v>1123</v>
      </c>
      <c r="B13" s="155" t="s">
        <v>7</v>
      </c>
      <c r="C13" t="b">
        <v>0</v>
      </c>
      <c r="D13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3" s="449">
        <f ca="1">SUMIFS(tb_rec_uni[2026-07-01], tb_rec_uni[empresa], $G13, tb_rec_uni[natureza], "parcela.cef.assinar")
+SUMIFS(tb_rec_uni[2026-07-01], tb_rec_uni[empresa], $G13, tb_rec_uni[natureza], "parcela.fin.total.ik")
+SUMIFS(tb_rec_uni[2026-07-01], tb_rec_uni[empresa], $G13, tb_rec_uni[natureza], "pro.soluto")
+SUMIFS(tb_rec_uni[2026-07-01], tb_rec_uni[empresa], $G13, tb_rec_uni[natureza], "repasse.cef.obra")
+SUMIFS(tb_rec_uni[2026-07-01], tb_rec_uni[empresa], $G13, tb_rec_uni[natureza], "repasse.cef.terreno")
+SUMIFS(tb_rec_uni[2026-07-01], tb_rec_uni[empresa], $G13, tb_rec_uni[natureza], "taxa.extra")</f>
        <v>0</v>
      </c>
      <c r="I13" s="449">
        <f>-SUMIFS(fech[Despesas],fech[Empresa (resultado)],$G13)</f>
        <v>0</v>
      </c>
      <c r="J13" s="449">
        <f t="shared" ca="1" si="2"/>
        <v>0</v>
      </c>
      <c r="K13" s="449">
        <f>-SUMIFS(tb_desp[valor],
  tb_desp[empresa],$G13,
  tb_desp[data.pagamento],"&gt;="&amp;DATE(YEAR(inputs!$A$1),MONTH(inputs!$A$1),1),
  tb_desp[data.pagamento],"&lt;"&amp;EOMONTH(inputs!$A$1,0)+1
)</f>
        <v>0</v>
      </c>
      <c r="L13" s="449">
        <f t="shared" ca="1" si="3"/>
        <v>0</v>
      </c>
      <c r="M13" s="449">
        <f t="shared" ca="1" si="1"/>
        <v>0</v>
      </c>
    </row>
    <row r="14" spans="1:13" x14ac:dyDescent="0.25">
      <c r="A14" t="s">
        <v>557</v>
      </c>
      <c r="B14" t="s">
        <v>670</v>
      </c>
      <c r="C14" t="b">
        <v>0</v>
      </c>
      <c r="D14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4" s="449">
        <f ca="1">SUMIFS(tb_rec_uni[2026-07-01], tb_rec_uni[empresa], $G14, tb_rec_uni[natureza], "parcela.cef.assinar")
+SUMIFS(tb_rec_uni[2026-07-01], tb_rec_uni[empresa], $G14, tb_rec_uni[natureza], "parcela.fin.total.ik")
+SUMIFS(tb_rec_uni[2026-07-01], tb_rec_uni[empresa], $G14, tb_rec_uni[natureza], "pro.soluto")
+SUMIFS(tb_rec_uni[2026-07-01], tb_rec_uni[empresa], $G14, tb_rec_uni[natureza], "repasse.cef.obra")
+SUMIFS(tb_rec_uni[2026-07-01], tb_rec_uni[empresa], $G14, tb_rec_uni[natureza], "repasse.cef.terreno")
+SUMIFS(tb_rec_uni[2026-07-01], tb_rec_uni[empresa], $G14, tb_rec_uni[natureza], "taxa.extra")</f>
        <v>0</v>
      </c>
      <c r="I14" s="449">
        <f>-SUMIFS(fech[Despesas],fech[Empresa (resultado)],$G14)</f>
        <v>0</v>
      </c>
      <c r="J14" s="449">
        <f t="shared" ca="1" si="2"/>
        <v>0</v>
      </c>
      <c r="K14" s="449">
        <f>-SUMIFS(tb_desp[valor],
  tb_desp[empresa],$G14,
  tb_desp[data.pagamento],"&gt;="&amp;DATE(YEAR(inputs!$A$1),MONTH(inputs!$A$1),1),
  tb_desp[data.pagamento],"&lt;"&amp;EOMONTH(inputs!$A$1,0)+1
)</f>
        <v>0</v>
      </c>
      <c r="L14" s="449">
        <f t="shared" ca="1" si="3"/>
        <v>0</v>
      </c>
      <c r="M14" s="449">
        <f t="shared" ca="1" si="1"/>
        <v>0</v>
      </c>
    </row>
    <row r="15" spans="1:13" x14ac:dyDescent="0.25">
      <c r="A15" t="s">
        <v>575</v>
      </c>
      <c r="B15" t="s">
        <v>481</v>
      </c>
      <c r="C15" t="b">
        <v>0</v>
      </c>
      <c r="D15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5" s="449">
        <f ca="1">SUMIFS(tb_rec_uni[2026-07-01], tb_rec_uni[empresa], $G15, tb_rec_uni[natureza], "parcela.cef.assinar")
+SUMIFS(tb_rec_uni[2026-07-01], tb_rec_uni[empresa], $G15, tb_rec_uni[natureza], "parcela.fin.total.ik")
+SUMIFS(tb_rec_uni[2026-07-01], tb_rec_uni[empresa], $G15, tb_rec_uni[natureza], "pro.soluto")
+SUMIFS(tb_rec_uni[2026-07-01], tb_rec_uni[empresa], $G15, tb_rec_uni[natureza], "repasse.cef.obra")
+SUMIFS(tb_rec_uni[2026-07-01], tb_rec_uni[empresa], $G15, tb_rec_uni[natureza], "repasse.cef.terreno")
+SUMIFS(tb_rec_uni[2026-07-01], tb_rec_uni[empresa], $G15, tb_rec_uni[natureza], "taxa.extra")</f>
        <v>0</v>
      </c>
      <c r="I15" s="449">
        <f>-SUMIFS(fech[Despesas],fech[Empresa (resultado)],$G15)</f>
        <v>0</v>
      </c>
      <c r="J15" s="449">
        <f t="shared" ca="1" si="2"/>
        <v>0</v>
      </c>
      <c r="K15" s="449">
        <f>-SUMIFS(tb_desp[valor],
  tb_desp[empresa],$G15,
  tb_desp[data.pagamento],"&gt;="&amp;DATE(YEAR(inputs!$A$1),MONTH(inputs!$A$1),1),
  tb_desp[data.pagamento],"&lt;"&amp;EOMONTH(inputs!$A$1,0)+1
)</f>
        <v>0</v>
      </c>
      <c r="L15" s="449">
        <f t="shared" ca="1" si="3"/>
        <v>0</v>
      </c>
      <c r="M15" s="449">
        <f t="shared" ca="1" si="1"/>
        <v>0</v>
      </c>
    </row>
    <row r="16" spans="1:13" x14ac:dyDescent="0.25">
      <c r="A16" t="s">
        <v>892</v>
      </c>
      <c r="B16" s="155" t="s">
        <v>7</v>
      </c>
      <c r="C16" t="b">
        <v>0</v>
      </c>
      <c r="D16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6" s="449">
        <f ca="1">SUMIFS(tb_rec_uni[2026-07-01], tb_rec_uni[empresa], $G16, tb_rec_uni[natureza], "parcela.cef.assinar")
+SUMIFS(tb_rec_uni[2026-07-01], tb_rec_uni[empresa], $G16, tb_rec_uni[natureza], "parcela.fin.total.ik")
+SUMIFS(tb_rec_uni[2026-07-01], tb_rec_uni[empresa], $G16, tb_rec_uni[natureza], "pro.soluto")
+SUMIFS(tb_rec_uni[2026-07-01], tb_rec_uni[empresa], $G16, tb_rec_uni[natureza], "repasse.cef.obra")
+SUMIFS(tb_rec_uni[2026-07-01], tb_rec_uni[empresa], $G16, tb_rec_uni[natureza], "repasse.cef.terreno")
+SUMIFS(tb_rec_uni[2026-07-01], tb_rec_uni[empresa], $G16, tb_rec_uni[natureza], "taxa.extra")</f>
        <v>0</v>
      </c>
      <c r="I16" s="449">
        <f>-SUMIFS(fech[Despesas],fech[Empresa (resultado)],$G16)</f>
        <v>0</v>
      </c>
      <c r="J16" s="449">
        <f t="shared" ca="1" si="2"/>
        <v>0</v>
      </c>
      <c r="K16" s="449">
        <f>-SUMIFS(tb_desp[valor],
  tb_desp[empresa],$G16,
  tb_desp[data.pagamento],"&gt;="&amp;DATE(YEAR(inputs!$A$1),MONTH(inputs!$A$1),1),
  tb_desp[data.pagamento],"&lt;"&amp;EOMONTH(inputs!$A$1,0)+1
)</f>
        <v>0</v>
      </c>
      <c r="L16" s="449">
        <f t="shared" ca="1" si="3"/>
        <v>0</v>
      </c>
      <c r="M16" s="449">
        <f t="shared" ca="1" si="1"/>
        <v>0</v>
      </c>
    </row>
    <row r="17" spans="1:13" x14ac:dyDescent="0.25">
      <c r="A17" t="s">
        <v>585</v>
      </c>
      <c r="B17" s="155" t="s">
        <v>7</v>
      </c>
      <c r="C17" t="b">
        <v>0</v>
      </c>
      <c r="D17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7" s="449">
        <f ca="1">SUMIFS(tb_rec_uni[2026-07-01], tb_rec_uni[empresa], $G17, tb_rec_uni[natureza], "parcela.cef.assinar")
+SUMIFS(tb_rec_uni[2026-07-01], tb_rec_uni[empresa], $G17, tb_rec_uni[natureza], "parcela.fin.total.ik")
+SUMIFS(tb_rec_uni[2026-07-01], tb_rec_uni[empresa], $G17, tb_rec_uni[natureza], "pro.soluto")
+SUMIFS(tb_rec_uni[2026-07-01], tb_rec_uni[empresa], $G17, tb_rec_uni[natureza], "repasse.cef.obra")
+SUMIFS(tb_rec_uni[2026-07-01], tb_rec_uni[empresa], $G17, tb_rec_uni[natureza], "repasse.cef.terreno")
+SUMIFS(tb_rec_uni[2026-07-01], tb_rec_uni[empresa], $G17, tb_rec_uni[natureza], "taxa.extra")</f>
        <v>0</v>
      </c>
      <c r="I17" s="449">
        <f>-SUMIFS(fech[Despesas],fech[Empresa (resultado)],$G17)</f>
        <v>0</v>
      </c>
      <c r="J17" s="449">
        <f t="shared" ca="1" si="2"/>
        <v>0</v>
      </c>
      <c r="K17" s="449">
        <f>-SUMIFS(tb_desp[valor],
  tb_desp[empresa],$G17,
  tb_desp[data.pagamento],"&gt;="&amp;DATE(YEAR(inputs!$A$1),MONTH(inputs!$A$1),1),
  tb_desp[data.pagamento],"&lt;"&amp;EOMONTH(inputs!$A$1,0)+1
)</f>
        <v>0</v>
      </c>
      <c r="L17" s="449">
        <f t="shared" ca="1" si="3"/>
        <v>0</v>
      </c>
      <c r="M17" s="449">
        <f t="shared" ca="1" si="1"/>
        <v>0</v>
      </c>
    </row>
    <row r="18" spans="1:13" x14ac:dyDescent="0.25">
      <c r="A18" t="s">
        <v>577</v>
      </c>
      <c r="B18" s="155" t="s">
        <v>7</v>
      </c>
      <c r="C18" t="b">
        <v>0</v>
      </c>
      <c r="D18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18" s="155"/>
      <c r="H18" s="519">
        <f ca="1">SUMIFS(tb_rec_uni[2026-07-01], tb_rec_uni[empresa], $G18, tb_rec_uni[natureza], "parcela.cef.assinar")
+SUMIFS(tb_rec_uni[2026-07-01], tb_rec_uni[empresa], $G18, tb_rec_uni[natureza], "parcela.fin.total.ik")
+SUMIFS(tb_rec_uni[2026-07-01], tb_rec_uni[empresa], $G18, tb_rec_uni[natureza], "pro.soluto")
+SUMIFS(tb_rec_uni[2026-07-01], tb_rec_uni[empresa], $G18, tb_rec_uni[natureza], "repasse.cef.obra")
+SUMIFS(tb_rec_uni[2026-07-01], tb_rec_uni[empresa], $G18, tb_rec_uni[natureza], "repasse.cef.terreno")
+SUMIFS(tb_rec_uni[2026-07-01], tb_rec_uni[empresa], $G18, tb_rec_uni[natureza], "taxa.extra")</f>
        <v>0</v>
      </c>
      <c r="I18" s="519">
        <f>-SUMIFS(fech[Despesas],fech[Empresa (resultado)],$G18)</f>
        <v>0</v>
      </c>
      <c r="J18" s="519">
        <f t="shared" ca="1" si="2"/>
        <v>0</v>
      </c>
      <c r="K18" s="519">
        <f>-SUMIFS(tb_desp[valor],
  tb_desp[empresa],$G18,
  tb_desp[data.pagamento],"&gt;="&amp;DATE(YEAR(inputs!$A$1),MONTH(inputs!$A$1),1),
  tb_desp[data.pagamento],"&lt;"&amp;EOMONTH(inputs!$A$1,0)+1
)</f>
        <v>0</v>
      </c>
      <c r="L18" s="519">
        <f t="shared" ca="1" si="3"/>
        <v>0</v>
      </c>
      <c r="M18" s="519">
        <f t="shared" ca="1" si="1"/>
        <v>0</v>
      </c>
    </row>
    <row r="19" spans="1:13" x14ac:dyDescent="0.25">
      <c r="A19" t="s">
        <v>569</v>
      </c>
      <c r="B19" s="155" t="s">
        <v>7</v>
      </c>
      <c r="C19" t="b">
        <v>0</v>
      </c>
      <c r="D19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19" s="449">
        <f ca="1">SUMIFS(tb_rec_uni[2026-07-01], tb_rec_uni[empresa], $G19, tb_rec_uni[natureza], "parcela.cef.assinar")
+SUMIFS(tb_rec_uni[2026-07-01], tb_rec_uni[empresa], $G19, tb_rec_uni[natureza], "parcela.fin.total.ik")
+SUMIFS(tb_rec_uni[2026-07-01], tb_rec_uni[empresa], $G19, tb_rec_uni[natureza], "pro.soluto")
+SUMIFS(tb_rec_uni[2026-07-01], tb_rec_uni[empresa], $G19, tb_rec_uni[natureza], "repasse.cef.obra")
+SUMIFS(tb_rec_uni[2026-07-01], tb_rec_uni[empresa], $G19, tb_rec_uni[natureza], "repasse.cef.terreno")
+SUMIFS(tb_rec_uni[2026-07-01], tb_rec_uni[empresa], $G19, tb_rec_uni[natureza], "taxa.extra")</f>
        <v>0</v>
      </c>
      <c r="I19" s="449">
        <f>-SUMIFS(fech[Despesas],fech[Empresa (resultado)],$G19)</f>
        <v>0</v>
      </c>
      <c r="J19" s="449">
        <f t="shared" ca="1" si="2"/>
        <v>0</v>
      </c>
      <c r="K19" s="449">
        <f>-SUMIFS(tb_desp[valor],
  tb_desp[empresa],$G19,
  tb_desp[data.pagamento],"&gt;="&amp;DATE(YEAR(inputs!$A$1),MONTH(inputs!$A$1),1),
  tb_desp[data.pagamento],"&lt;"&amp;EOMONTH(inputs!$A$1,0)+1
)</f>
        <v>0</v>
      </c>
      <c r="L19" s="449">
        <f t="shared" ca="1" si="3"/>
        <v>0</v>
      </c>
      <c r="M19" s="449">
        <f t="shared" ca="1" si="1"/>
        <v>0</v>
      </c>
    </row>
    <row r="20" spans="1:13" x14ac:dyDescent="0.25">
      <c r="A20" t="s">
        <v>581</v>
      </c>
      <c r="B20" s="155" t="s">
        <v>7</v>
      </c>
      <c r="C20" t="b">
        <v>0</v>
      </c>
      <c r="D20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0" s="449">
        <f ca="1">SUMIFS(tb_rec_uni[2026-07-01], tb_rec_uni[empresa], $G20, tb_rec_uni[natureza], "parcela.cef.assinar")
+SUMIFS(tb_rec_uni[2026-07-01], tb_rec_uni[empresa], $G20, tb_rec_uni[natureza], "parcela.fin.total.ik")
+SUMIFS(tb_rec_uni[2026-07-01], tb_rec_uni[empresa], $G20, tb_rec_uni[natureza], "pro.soluto")
+SUMIFS(tb_rec_uni[2026-07-01], tb_rec_uni[empresa], $G20, tb_rec_uni[natureza], "repasse.cef.obra")
+SUMIFS(tb_rec_uni[2026-07-01], tb_rec_uni[empresa], $G20, tb_rec_uni[natureza], "repasse.cef.terreno")
+SUMIFS(tb_rec_uni[2026-07-01], tb_rec_uni[empresa], $G20, tb_rec_uni[natureza], "taxa.extra")</f>
        <v>0</v>
      </c>
      <c r="I20" s="449">
        <f>-SUMIFS(fech[Despesas],fech[Empresa (resultado)],$G20)</f>
        <v>0</v>
      </c>
      <c r="J20" s="449">
        <f t="shared" ca="1" si="2"/>
        <v>0</v>
      </c>
      <c r="K20" s="449">
        <f>-SUMIFS(tb_desp[valor],
  tb_desp[empresa],$G20,
  tb_desp[data.pagamento],"&gt;="&amp;DATE(YEAR(inputs!$A$1),MONTH(inputs!$A$1),1),
  tb_desp[data.pagamento],"&lt;"&amp;EOMONTH(inputs!$A$1,0)+1
)</f>
        <v>0</v>
      </c>
      <c r="L20" s="449">
        <f t="shared" ca="1" si="3"/>
        <v>0</v>
      </c>
      <c r="M20" s="449">
        <f t="shared" ca="1" si="1"/>
        <v>0</v>
      </c>
    </row>
    <row r="21" spans="1:13" x14ac:dyDescent="0.25">
      <c r="A21" t="s">
        <v>653</v>
      </c>
      <c r="B21" t="s">
        <v>482</v>
      </c>
      <c r="C21" t="b">
        <v>0</v>
      </c>
      <c r="D21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1" s="449">
        <f ca="1">SUMIFS(tb_rec_uni[2026-07-01], tb_rec_uni[empresa], $G21, tb_rec_uni[natureza], "parcela.cef.assinar")
+SUMIFS(tb_rec_uni[2026-07-01], tb_rec_uni[empresa], $G21, tb_rec_uni[natureza], "parcela.fin.total.ik")
+SUMIFS(tb_rec_uni[2026-07-01], tb_rec_uni[empresa], $G21, tb_rec_uni[natureza], "pro.soluto")
+SUMIFS(tb_rec_uni[2026-07-01], tb_rec_uni[empresa], $G21, tb_rec_uni[natureza], "repasse.cef.obra")
+SUMIFS(tb_rec_uni[2026-07-01], tb_rec_uni[empresa], $G21, tb_rec_uni[natureza], "repasse.cef.terreno")
+SUMIFS(tb_rec_uni[2026-07-01], tb_rec_uni[empresa], $G21, tb_rec_uni[natureza], "taxa.extra")</f>
        <v>0</v>
      </c>
      <c r="I21" s="449">
        <f>-SUMIFS(fech[Despesas],fech[Empresa (resultado)],$G21)</f>
        <v>0</v>
      </c>
      <c r="J21" s="449">
        <f t="shared" ca="1" si="2"/>
        <v>0</v>
      </c>
      <c r="K21" s="449">
        <f>-SUMIFS(tb_desp[valor],
  tb_desp[empresa],$G21,
  tb_desp[data.pagamento],"&gt;="&amp;DATE(YEAR(inputs!$A$1),MONTH(inputs!$A$1),1),
  tb_desp[data.pagamento],"&lt;"&amp;EOMONTH(inputs!$A$1,0)+1
)</f>
        <v>0</v>
      </c>
      <c r="L21" s="449">
        <f t="shared" ca="1" si="3"/>
        <v>0</v>
      </c>
      <c r="M21" s="449">
        <f t="shared" ca="1" si="1"/>
        <v>0</v>
      </c>
    </row>
    <row r="22" spans="1:13" x14ac:dyDescent="0.25">
      <c r="A22" t="s">
        <v>574</v>
      </c>
      <c r="B22" t="s">
        <v>793</v>
      </c>
      <c r="C22" t="b">
        <v>0</v>
      </c>
      <c r="D22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22" s="155"/>
      <c r="H22" s="519">
        <f ca="1">SUMIFS(tb_rec_uni[2026-07-01], tb_rec_uni[empresa], $G22, tb_rec_uni[natureza], "parcela.cef.assinar")
+SUMIFS(tb_rec_uni[2026-07-01], tb_rec_uni[empresa], $G22, tb_rec_uni[natureza], "parcela.fin.total.ik")
+SUMIFS(tb_rec_uni[2026-07-01], tb_rec_uni[empresa], $G22, tb_rec_uni[natureza], "pro.soluto")
+SUMIFS(tb_rec_uni[2026-07-01], tb_rec_uni[empresa], $G22, tb_rec_uni[natureza], "repasse.cef.obra")
+SUMIFS(tb_rec_uni[2026-07-01], tb_rec_uni[empresa], $G22, tb_rec_uni[natureza], "repasse.cef.terreno")
+SUMIFS(tb_rec_uni[2026-07-01], tb_rec_uni[empresa], $G22, tb_rec_uni[natureza], "taxa.extra")</f>
        <v>0</v>
      </c>
      <c r="I22" s="519">
        <f>-SUMIFS(fech[Despesas],fech[Empresa (resultado)],$G22)</f>
        <v>0</v>
      </c>
      <c r="J22" s="519">
        <f t="shared" ca="1" si="2"/>
        <v>0</v>
      </c>
      <c r="K22" s="519">
        <f>-SUMIFS(tb_desp[valor],
  tb_desp[empresa],$G22,
  tb_desp[data.pagamento],"&gt;="&amp;DATE(YEAR(inputs!$A$1),MONTH(inputs!$A$1),1),
  tb_desp[data.pagamento],"&lt;"&amp;EOMONTH(inputs!$A$1,0)+1
)</f>
        <v>0</v>
      </c>
      <c r="L22" s="519">
        <f t="shared" ca="1" si="3"/>
        <v>0</v>
      </c>
      <c r="M22" s="519">
        <f t="shared" ca="1" si="1"/>
        <v>0</v>
      </c>
    </row>
    <row r="23" spans="1:13" x14ac:dyDescent="0.25">
      <c r="A23" t="s">
        <v>561</v>
      </c>
      <c r="B23" t="s">
        <v>479</v>
      </c>
      <c r="C23" t="b">
        <v>0</v>
      </c>
      <c r="D23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3" s="449">
        <f ca="1">SUMIFS(tb_rec_uni[2026-07-01], tb_rec_uni[empresa], $G23, tb_rec_uni[natureza], "parcela.cef.assinar")
+SUMIFS(tb_rec_uni[2026-07-01], tb_rec_uni[empresa], $G23, tb_rec_uni[natureza], "parcela.fin.total.ik")
+SUMIFS(tb_rec_uni[2026-07-01], tb_rec_uni[empresa], $G23, tb_rec_uni[natureza], "pro.soluto")
+SUMIFS(tb_rec_uni[2026-07-01], tb_rec_uni[empresa], $G23, tb_rec_uni[natureza], "repasse.cef.obra")
+SUMIFS(tb_rec_uni[2026-07-01], tb_rec_uni[empresa], $G23, tb_rec_uni[natureza], "repasse.cef.terreno")
+SUMIFS(tb_rec_uni[2026-07-01], tb_rec_uni[empresa], $G23, tb_rec_uni[natureza], "taxa.extra")</f>
        <v>0</v>
      </c>
      <c r="I23" s="449">
        <f>-SUMIFS(fech[Despesas],fech[Empresa (resultado)],$G23)</f>
        <v>0</v>
      </c>
      <c r="J23" s="449">
        <f t="shared" ca="1" si="2"/>
        <v>0</v>
      </c>
      <c r="K23" s="449">
        <f>-SUMIFS(tb_desp[valor],
  tb_desp[empresa],$G23,
  tb_desp[data.pagamento],"&gt;="&amp;DATE(YEAR(inputs!$A$1),MONTH(inputs!$A$1),1),
  tb_desp[data.pagamento],"&lt;"&amp;EOMONTH(inputs!$A$1,0)+1
)</f>
        <v>0</v>
      </c>
      <c r="L23" s="449">
        <f t="shared" ca="1" si="3"/>
        <v>0</v>
      </c>
      <c r="M23" s="449">
        <f t="shared" ca="1" si="1"/>
        <v>0</v>
      </c>
    </row>
    <row r="24" spans="1:13" x14ac:dyDescent="0.25">
      <c r="A24" t="s">
        <v>558</v>
      </c>
      <c r="B24" s="155" t="s">
        <v>7</v>
      </c>
      <c r="C24" t="b">
        <v>0</v>
      </c>
      <c r="D24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24" s="155"/>
      <c r="H24" s="519">
        <f ca="1">SUMIFS(tb_rec_uni[2026-07-01], tb_rec_uni[empresa], $G24, tb_rec_uni[natureza], "parcela.cef.assinar")
+SUMIFS(tb_rec_uni[2026-07-01], tb_rec_uni[empresa], $G24, tb_rec_uni[natureza], "parcela.fin.total.ik")
+SUMIFS(tb_rec_uni[2026-07-01], tb_rec_uni[empresa], $G24, tb_rec_uni[natureza], "pro.soluto")
+SUMIFS(tb_rec_uni[2026-07-01], tb_rec_uni[empresa], $G24, tb_rec_uni[natureza], "repasse.cef.obra")
+SUMIFS(tb_rec_uni[2026-07-01], tb_rec_uni[empresa], $G24, tb_rec_uni[natureza], "repasse.cef.terreno")
+SUMIFS(tb_rec_uni[2026-07-01], tb_rec_uni[empresa], $G24, tb_rec_uni[natureza], "taxa.extra")</f>
        <v>0</v>
      </c>
      <c r="I24" s="519">
        <f>-SUMIFS(fech[Despesas],fech[Empresa (resultado)],$G24)</f>
        <v>0</v>
      </c>
      <c r="J24" s="519">
        <f t="shared" ca="1" si="2"/>
        <v>0</v>
      </c>
      <c r="K24" s="519">
        <f>-SUMIFS(tb_desp[valor],
  tb_desp[empresa],$G24,
  tb_desp[data.pagamento],"&gt;="&amp;DATE(YEAR(inputs!$A$1),MONTH(inputs!$A$1),1),
  tb_desp[data.pagamento],"&lt;"&amp;EOMONTH(inputs!$A$1,0)+1
)</f>
        <v>0</v>
      </c>
      <c r="L24" s="519">
        <f t="shared" ca="1" si="3"/>
        <v>0</v>
      </c>
      <c r="M24" s="519">
        <f t="shared" ca="1" si="1"/>
        <v>0</v>
      </c>
    </row>
    <row r="25" spans="1:13" x14ac:dyDescent="0.25">
      <c r="A25" t="s">
        <v>556</v>
      </c>
      <c r="B25" t="s">
        <v>678</v>
      </c>
      <c r="C25" t="b">
        <v>0</v>
      </c>
      <c r="D25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5" s="449">
        <f ca="1">SUMIFS(tb_rec_uni[2026-07-01], tb_rec_uni[empresa], $G25, tb_rec_uni[natureza], "parcela.cef.assinar")
+SUMIFS(tb_rec_uni[2026-07-01], tb_rec_uni[empresa], $G25, tb_rec_uni[natureza], "parcela.fin.total.ik")
+SUMIFS(tb_rec_uni[2026-07-01], tb_rec_uni[empresa], $G25, tb_rec_uni[natureza], "pro.soluto")
+SUMIFS(tb_rec_uni[2026-07-01], tb_rec_uni[empresa], $G25, tb_rec_uni[natureza], "repasse.cef.obra")
+SUMIFS(tb_rec_uni[2026-07-01], tb_rec_uni[empresa], $G25, tb_rec_uni[natureza], "repasse.cef.terreno")
+SUMIFS(tb_rec_uni[2026-07-01], tb_rec_uni[empresa], $G25, tb_rec_uni[natureza], "taxa.extra")</f>
        <v>0</v>
      </c>
      <c r="I25" s="449">
        <f>-SUMIFS(fech[Despesas],fech[Empresa (resultado)],$G25)</f>
        <v>0</v>
      </c>
      <c r="J25" s="449">
        <f t="shared" ca="1" si="2"/>
        <v>0</v>
      </c>
      <c r="K25" s="449">
        <f>-SUMIFS(tb_desp[valor],
  tb_desp[empresa],$G25,
  tb_desp[data.pagamento],"&gt;="&amp;DATE(YEAR(inputs!$A$1),MONTH(inputs!$A$1),1),
  tb_desp[data.pagamento],"&lt;"&amp;EOMONTH(inputs!$A$1,0)+1
)</f>
        <v>0</v>
      </c>
      <c r="L25" s="449">
        <f t="shared" ca="1" si="3"/>
        <v>0</v>
      </c>
      <c r="M25" s="449">
        <f t="shared" ca="1" si="1"/>
        <v>0</v>
      </c>
    </row>
    <row r="26" spans="1:13" x14ac:dyDescent="0.25">
      <c r="A26" t="s">
        <v>893</v>
      </c>
      <c r="B26" s="155" t="s">
        <v>7</v>
      </c>
      <c r="C26" t="b">
        <v>0</v>
      </c>
      <c r="D26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6" s="449">
        <f ca="1">SUMIFS(tb_rec_uni[2026-07-01], tb_rec_uni[empresa], $G26, tb_rec_uni[natureza], "parcela.cef.assinar")
+SUMIFS(tb_rec_uni[2026-07-01], tb_rec_uni[empresa], $G26, tb_rec_uni[natureza], "parcela.fin.total.ik")
+SUMIFS(tb_rec_uni[2026-07-01], tb_rec_uni[empresa], $G26, tb_rec_uni[natureza], "pro.soluto")
+SUMIFS(tb_rec_uni[2026-07-01], tb_rec_uni[empresa], $G26, tb_rec_uni[natureza], "repasse.cef.obra")
+SUMIFS(tb_rec_uni[2026-07-01], tb_rec_uni[empresa], $G26, tb_rec_uni[natureza], "repasse.cef.terreno")
+SUMIFS(tb_rec_uni[2026-07-01], tb_rec_uni[empresa], $G26, tb_rec_uni[natureza], "taxa.extra")</f>
        <v>0</v>
      </c>
      <c r="I26" s="449">
        <f>-SUMIFS(fech[Despesas],fech[Empresa (resultado)],$G26)</f>
        <v>0</v>
      </c>
      <c r="J26" s="449">
        <f t="shared" ca="1" si="2"/>
        <v>0</v>
      </c>
      <c r="K26" s="449">
        <f>-SUMIFS(tb_desp[valor],
  tb_desp[empresa],$G26,
  tb_desp[data.pagamento],"&gt;="&amp;DATE(YEAR(inputs!$A$1),MONTH(inputs!$A$1),1),
  tb_desp[data.pagamento],"&lt;"&amp;EOMONTH(inputs!$A$1,0)+1
)</f>
        <v>0</v>
      </c>
      <c r="L26" s="449">
        <f t="shared" ca="1" si="3"/>
        <v>0</v>
      </c>
      <c r="M26" s="449">
        <f t="shared" ca="1" si="1"/>
        <v>0</v>
      </c>
    </row>
    <row r="27" spans="1:13" x14ac:dyDescent="0.25">
      <c r="A27" t="s">
        <v>894</v>
      </c>
      <c r="B27" s="155" t="s">
        <v>7</v>
      </c>
      <c r="C27" t="b">
        <v>0</v>
      </c>
      <c r="D27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7" s="449">
        <f ca="1">SUMIFS(tb_rec_uni[2026-07-01], tb_rec_uni[empresa], $G27, tb_rec_uni[natureza], "parcela.cef.assinar")
+SUMIFS(tb_rec_uni[2026-07-01], tb_rec_uni[empresa], $G27, tb_rec_uni[natureza], "parcela.fin.total.ik")
+SUMIFS(tb_rec_uni[2026-07-01], tb_rec_uni[empresa], $G27, tb_rec_uni[natureza], "pro.soluto")
+SUMIFS(tb_rec_uni[2026-07-01], tb_rec_uni[empresa], $G27, tb_rec_uni[natureza], "repasse.cef.obra")
+SUMIFS(tb_rec_uni[2026-07-01], tb_rec_uni[empresa], $G27, tb_rec_uni[natureza], "repasse.cef.terreno")
+SUMIFS(tb_rec_uni[2026-07-01], tb_rec_uni[empresa], $G27, tb_rec_uni[natureza], "taxa.extra")</f>
        <v>0</v>
      </c>
      <c r="I27" s="449">
        <f>-SUMIFS(fech[Despesas],fech[Empresa (resultado)],$G27)</f>
        <v>0</v>
      </c>
      <c r="J27" s="449">
        <f t="shared" ca="1" si="2"/>
        <v>0</v>
      </c>
      <c r="K27" s="449">
        <f>-SUMIFS(tb_desp[valor],
  tb_desp[empresa],$G27,
  tb_desp[data.pagamento],"&gt;="&amp;DATE(YEAR(inputs!$A$1),MONTH(inputs!$A$1),1),
  tb_desp[data.pagamento],"&lt;"&amp;EOMONTH(inputs!$A$1,0)+1
)</f>
        <v>0</v>
      </c>
      <c r="L27" s="449">
        <f t="shared" ca="1" si="3"/>
        <v>0</v>
      </c>
      <c r="M27" s="449">
        <f t="shared" ca="1" si="1"/>
        <v>0</v>
      </c>
    </row>
    <row r="28" spans="1:13" x14ac:dyDescent="0.25">
      <c r="A28" t="s">
        <v>576</v>
      </c>
      <c r="B28" s="155" t="s">
        <v>7</v>
      </c>
      <c r="C28" t="b">
        <v>0</v>
      </c>
      <c r="D28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8" s="449">
        <f ca="1">SUMIFS(tb_rec_uni[2026-07-01], tb_rec_uni[empresa], $G28, tb_rec_uni[natureza], "parcela.cef.assinar")
+SUMIFS(tb_rec_uni[2026-07-01], tb_rec_uni[empresa], $G28, tb_rec_uni[natureza], "parcela.fin.total.ik")
+SUMIFS(tb_rec_uni[2026-07-01], tb_rec_uni[empresa], $G28, tb_rec_uni[natureza], "pro.soluto")
+SUMIFS(tb_rec_uni[2026-07-01], tb_rec_uni[empresa], $G28, tb_rec_uni[natureza], "repasse.cef.obra")
+SUMIFS(tb_rec_uni[2026-07-01], tb_rec_uni[empresa], $G28, tb_rec_uni[natureza], "repasse.cef.terreno")
+SUMIFS(tb_rec_uni[2026-07-01], tb_rec_uni[empresa], $G28, tb_rec_uni[natureza], "taxa.extra")</f>
        <v>0</v>
      </c>
      <c r="I28" s="449">
        <f>-SUMIFS(fech[Despesas],fech[Empresa (resultado)],$G28)</f>
        <v>0</v>
      </c>
      <c r="J28" s="449">
        <f t="shared" ca="1" si="2"/>
        <v>0</v>
      </c>
      <c r="K28" s="449">
        <f>-SUMIFS(tb_desp[valor],
  tb_desp[empresa],$G28,
  tb_desp[data.pagamento],"&gt;="&amp;DATE(YEAR(inputs!$A$1),MONTH(inputs!$A$1),1),
  tb_desp[data.pagamento],"&lt;"&amp;EOMONTH(inputs!$A$1,0)+1
)</f>
        <v>0</v>
      </c>
      <c r="L28" s="449">
        <f t="shared" ca="1" si="3"/>
        <v>0</v>
      </c>
      <c r="M28" s="449">
        <f t="shared" ca="1" si="1"/>
        <v>0</v>
      </c>
    </row>
    <row r="29" spans="1:13" x14ac:dyDescent="0.25">
      <c r="A29" t="s">
        <v>541</v>
      </c>
      <c r="B29" t="s">
        <v>10</v>
      </c>
      <c r="C29" t="b">
        <v>1</v>
      </c>
      <c r="D29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H29" s="449">
        <f ca="1">SUMIFS(tb_rec_uni[2026-07-01], tb_rec_uni[empresa], $G29, tb_rec_uni[natureza], "parcela.cef.assinar")
+SUMIFS(tb_rec_uni[2026-07-01], tb_rec_uni[empresa], $G29, tb_rec_uni[natureza], "parcela.fin.total.ik")
+SUMIFS(tb_rec_uni[2026-07-01], tb_rec_uni[empresa], $G29, tb_rec_uni[natureza], "pro.soluto")
+SUMIFS(tb_rec_uni[2026-07-01], tb_rec_uni[empresa], $G29, tb_rec_uni[natureza], "repasse.cef.obra")
+SUMIFS(tb_rec_uni[2026-07-01], tb_rec_uni[empresa], $G29, tb_rec_uni[natureza], "repasse.cef.terreno")
+SUMIFS(tb_rec_uni[2026-07-01], tb_rec_uni[empresa], $G29, tb_rec_uni[natureza], "taxa.extra")</f>
        <v>0</v>
      </c>
      <c r="I29" s="449">
        <f>-SUMIFS(fech[Despesas],fech[Empresa (resultado)],$G29)</f>
        <v>0</v>
      </c>
      <c r="J29" s="449">
        <f t="shared" ca="1" si="2"/>
        <v>0</v>
      </c>
      <c r="K29" s="449">
        <f>-SUMIFS(tb_desp[valor],
  tb_desp[empresa],$G29,
  tb_desp[data.pagamento],"&gt;="&amp;DATE(YEAR(inputs!$A$1),MONTH(inputs!$A$1),1),
  tb_desp[data.pagamento],"&lt;"&amp;EOMONTH(inputs!$A$1,0)+1
)</f>
        <v>0</v>
      </c>
      <c r="L29" s="449">
        <f t="shared" ca="1" si="3"/>
        <v>0</v>
      </c>
      <c r="M29" s="449">
        <f t="shared" ca="1" si="1"/>
        <v>0</v>
      </c>
    </row>
    <row r="30" spans="1:13" x14ac:dyDescent="0.25">
      <c r="A30" t="s">
        <v>531</v>
      </c>
      <c r="B30" t="s">
        <v>12</v>
      </c>
      <c r="C30" t="b">
        <v>1</v>
      </c>
      <c r="D30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30" s="517"/>
      <c r="H30" s="518">
        <f ca="1">SUMIFS(tb_rec_uni[2026-07-01], tb_rec_uni[empresa], $G30, tb_rec_uni[natureza], "parcela.cef.assinar")
+SUMIFS(tb_rec_uni[2026-07-01], tb_rec_uni[empresa], $G30, tb_rec_uni[natureza], "parcela.fin.total.ik")
+SUMIFS(tb_rec_uni[2026-07-01], tb_rec_uni[empresa], $G30, tb_rec_uni[natureza], "pro.soluto")
+SUMIFS(tb_rec_uni[2026-07-01], tb_rec_uni[empresa], $G30, tb_rec_uni[natureza], "repasse.cef.obra")
+SUMIFS(tb_rec_uni[2026-07-01], tb_rec_uni[empresa], $G30, tb_rec_uni[natureza], "repasse.cef.terreno")
+SUMIFS(tb_rec_uni[2026-07-01], tb_rec_uni[empresa], $G30, tb_rec_uni[natureza], "taxa.extra")</f>
        <v>0</v>
      </c>
      <c r="I30" s="518">
        <f>-SUMIFS(fech[Despesas],fech[Empresa (resultado)],$G30)</f>
        <v>0</v>
      </c>
      <c r="J30" s="518">
        <f t="shared" ca="1" si="2"/>
        <v>0</v>
      </c>
      <c r="K30" s="449">
        <f>-SUMIFS(tb_desp[valor],
  tb_desp[empresa],$G30,
  tb_desp[data.pagamento],"&gt;="&amp;DATE(YEAR(inputs!$A$1),MONTH(inputs!$A$1),1),
  tb_desp[data.pagamento],"&lt;"&amp;EOMONTH(inputs!$A$1,0)+1
)</f>
        <v>0</v>
      </c>
      <c r="L30" s="449">
        <f t="shared" ca="1" si="3"/>
        <v>0</v>
      </c>
      <c r="M30" s="449">
        <f t="shared" ca="1" si="1"/>
        <v>0</v>
      </c>
    </row>
    <row r="31" spans="1:13" x14ac:dyDescent="0.25">
      <c r="A31" t="s">
        <v>533</v>
      </c>
      <c r="B31" t="s">
        <v>7</v>
      </c>
      <c r="C31" t="b">
        <v>1</v>
      </c>
      <c r="D31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31" s="155"/>
      <c r="H31" s="519">
        <f ca="1">SUMIFS(tb_rec_uni[2026-07-01], tb_rec_uni[empresa], $G31, tb_rec_uni[natureza], "parcela.cef.assinar")
+SUMIFS(tb_rec_uni[2026-07-01], tb_rec_uni[empresa], $G31, tb_rec_uni[natureza], "parcela.fin.total.ik")
+SUMIFS(tb_rec_uni[2026-07-01], tb_rec_uni[empresa], $G31, tb_rec_uni[natureza], "pro.soluto")
+SUMIFS(tb_rec_uni[2026-07-01], tb_rec_uni[empresa], $G31, tb_rec_uni[natureza], "repasse.cef.obra")
+SUMIFS(tb_rec_uni[2026-07-01], tb_rec_uni[empresa], $G31, tb_rec_uni[natureza], "repasse.cef.terreno")
+SUMIFS(tb_rec_uni[2026-07-01], tb_rec_uni[empresa], $G31, tb_rec_uni[natureza], "taxa.extra")</f>
        <v>0</v>
      </c>
      <c r="I31" s="519">
        <f>-SUMIFS(fech[Despesas],fech[Empresa (resultado)],$G31)</f>
        <v>0</v>
      </c>
      <c r="J31" s="519">
        <f t="shared" ca="1" si="2"/>
        <v>0</v>
      </c>
      <c r="K31" s="519">
        <f>-SUMIFS(tb_desp[valor],
  tb_desp[empresa],$G31,
  tb_desp[data.pagamento],"&gt;="&amp;DATE(YEAR(inputs!$A$1),MONTH(inputs!$A$1),1),
  tb_desp[data.pagamento],"&lt;"&amp;EOMONTH(inputs!$A$1,0)+1
)</f>
        <v>0</v>
      </c>
      <c r="L31" s="519">
        <f t="shared" ca="1" si="3"/>
        <v>0</v>
      </c>
      <c r="M31" s="519">
        <f t="shared" ca="1" si="1"/>
        <v>0</v>
      </c>
    </row>
    <row r="32" spans="1:13" x14ac:dyDescent="0.25">
      <c r="A32" t="s">
        <v>578</v>
      </c>
      <c r="B32" s="155" t="s">
        <v>7</v>
      </c>
      <c r="C32" t="b">
        <v>0</v>
      </c>
      <c r="D32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32" s="155"/>
      <c r="H32" s="519">
        <f ca="1">SUMIFS(tb_rec_uni[2026-07-01], tb_rec_uni[empresa], $G32, tb_rec_uni[natureza], "parcela.cef.assinar")
+SUMIFS(tb_rec_uni[2026-07-01], tb_rec_uni[empresa], $G32, tb_rec_uni[natureza], "parcela.fin.total.ik")
+SUMIFS(tb_rec_uni[2026-07-01], tb_rec_uni[empresa], $G32, tb_rec_uni[natureza], "pro.soluto")
+SUMIFS(tb_rec_uni[2026-07-01], tb_rec_uni[empresa], $G32, tb_rec_uni[natureza], "repasse.cef.obra")
+SUMIFS(tb_rec_uni[2026-07-01], tb_rec_uni[empresa], $G32, tb_rec_uni[natureza], "repasse.cef.terreno")
+SUMIFS(tb_rec_uni[2026-07-01], tb_rec_uni[empresa], $G32, tb_rec_uni[natureza], "taxa.extra")</f>
        <v>0</v>
      </c>
      <c r="I32" s="519">
        <f>-SUMIFS(fech[Despesas],fech[Empresa (resultado)],$G32)</f>
        <v>0</v>
      </c>
      <c r="J32" s="519">
        <f t="shared" ca="1" si="2"/>
        <v>0</v>
      </c>
      <c r="K32" s="519">
        <f>-SUMIFS(tb_desp[valor],
  tb_desp[empresa],$G32,
  tb_desp[data.pagamento],"&gt;="&amp;DATE(YEAR(inputs!$A$1),MONTH(inputs!$A$1),1),
  tb_desp[data.pagamento],"&lt;"&amp;EOMONTH(inputs!$A$1,0)+1
)</f>
        <v>0</v>
      </c>
      <c r="L32" s="519">
        <f t="shared" ca="1" si="3"/>
        <v>0</v>
      </c>
      <c r="M32" s="519">
        <f t="shared" ca="1" si="1"/>
        <v>0</v>
      </c>
    </row>
    <row r="33" spans="1:13" x14ac:dyDescent="0.25">
      <c r="A33" t="s">
        <v>546</v>
      </c>
      <c r="B33" t="s">
        <v>13</v>
      </c>
      <c r="C33" t="b">
        <v>1</v>
      </c>
      <c r="D33" s="131">
        <f>SUMIFS(
  tb_desp[valor],
  tb_desp[nucleo],fech[[#This Row],[Núcleo]],
  tb_desp[data.pagamento],"&gt;="&amp;DATE(YEAR(inputs!$A$1),MONTH(inputs!$A$1),1),
  tb_desp[data.pagamento],"&lt;"&amp;EOMONTH(inputs!$A$1,0)+1
)</f>
        <v>0</v>
      </c>
      <c r="G33" s="517"/>
      <c r="H33" s="518">
        <f ca="1">SUMIFS(tb_rec_uni[2026-07-01], tb_rec_uni[empresa], $G33, tb_rec_uni[natureza], "parcela.cef.assinar")
+SUMIFS(tb_rec_uni[2026-07-01], tb_rec_uni[empresa], $G33, tb_rec_uni[natureza], "parcela.fin.total.ik")
+SUMIFS(tb_rec_uni[2026-07-01], tb_rec_uni[empresa], $G33, tb_rec_uni[natureza], "pro.soluto")
+SUMIFS(tb_rec_uni[2026-07-01], tb_rec_uni[empresa], $G33, tb_rec_uni[natureza], "repasse.cef.obra")
+SUMIFS(tb_rec_uni[2026-07-01], tb_rec_uni[empresa], $G33, tb_rec_uni[natureza], "repasse.cef.terreno")
+SUMIFS(tb_rec_uni[2026-07-01], tb_rec_uni[empresa], $G33, tb_rec_uni[natureza], "taxa.extra")</f>
        <v>0</v>
      </c>
      <c r="I33" s="518">
        <f>-SUMIFS(fech[Despesas],fech[Empresa (resultado)],$G33)</f>
        <v>0</v>
      </c>
      <c r="J33" s="518">
        <f t="shared" ca="1" si="2"/>
        <v>0</v>
      </c>
      <c r="K33" s="449">
        <f>-SUMIFS(tb_desp[valor],
  tb_desp[empresa],$G33,
  tb_desp[data.pagamento],"&gt;="&amp;DATE(YEAR(inputs!$A$1),MONTH(inputs!$A$1),1),
  tb_desp[data.pagamento],"&lt;"&amp;EOMONTH(inputs!$A$1,0)+1
)</f>
        <v>0</v>
      </c>
      <c r="L33" s="449">
        <f t="shared" ca="1" si="3"/>
        <v>0</v>
      </c>
      <c r="M33" s="449">
        <f t="shared" ca="1" si="1"/>
        <v>0</v>
      </c>
    </row>
    <row r="34" spans="1:13" x14ac:dyDescent="0.25">
      <c r="A34" t="s">
        <v>579</v>
      </c>
      <c r="B34" s="155" t="s">
        <v>7</v>
      </c>
      <c r="C34" t="b">
        <v>0</v>
      </c>
      <c r="D34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35" spans="1:13" x14ac:dyDescent="0.25">
      <c r="A35" t="s">
        <v>535</v>
      </c>
      <c r="B35" t="s">
        <v>11</v>
      </c>
      <c r="C35" t="b">
        <v>1</v>
      </c>
      <c r="D35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36" spans="1:13" x14ac:dyDescent="0.25">
      <c r="A36" t="s">
        <v>562</v>
      </c>
      <c r="B36" t="s">
        <v>729</v>
      </c>
      <c r="C36" t="b">
        <v>0</v>
      </c>
      <c r="D36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37" spans="1:13" x14ac:dyDescent="0.25">
      <c r="A37" t="s">
        <v>544</v>
      </c>
      <c r="B37" t="s">
        <v>465</v>
      </c>
      <c r="C37" t="b">
        <v>1</v>
      </c>
      <c r="D37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38" spans="1:13" x14ac:dyDescent="0.25">
      <c r="A38" t="s">
        <v>537</v>
      </c>
      <c r="B38" t="s">
        <v>9</v>
      </c>
      <c r="C38" t="b">
        <v>1</v>
      </c>
      <c r="D38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39" spans="1:13" x14ac:dyDescent="0.25">
      <c r="A39" t="s">
        <v>580</v>
      </c>
      <c r="B39" t="s">
        <v>804</v>
      </c>
      <c r="C39" t="b">
        <v>0</v>
      </c>
      <c r="D39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0" spans="1:13" x14ac:dyDescent="0.25">
      <c r="A40" t="s">
        <v>922</v>
      </c>
      <c r="B40" t="s">
        <v>677</v>
      </c>
      <c r="C40" t="b">
        <v>0</v>
      </c>
      <c r="D40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1" spans="1:13" x14ac:dyDescent="0.25">
      <c r="A41" t="s">
        <v>704</v>
      </c>
      <c r="B41" t="s">
        <v>673</v>
      </c>
      <c r="C41" t="b">
        <v>1</v>
      </c>
      <c r="D41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2" spans="1:13" x14ac:dyDescent="0.25">
      <c r="A42" t="s">
        <v>539</v>
      </c>
      <c r="B42" t="s">
        <v>8</v>
      </c>
      <c r="C42" t="b">
        <v>1</v>
      </c>
      <c r="D42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3" spans="1:13" x14ac:dyDescent="0.25">
      <c r="A43" t="s">
        <v>895</v>
      </c>
      <c r="B43" t="s">
        <v>7</v>
      </c>
      <c r="C43" t="b">
        <v>0</v>
      </c>
      <c r="D43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4" spans="1:13" x14ac:dyDescent="0.25">
      <c r="A44" t="s">
        <v>896</v>
      </c>
      <c r="B44" s="155" t="s">
        <v>7</v>
      </c>
      <c r="C44" t="b">
        <v>0</v>
      </c>
      <c r="D44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  <row r="45" spans="1:13" x14ac:dyDescent="0.25">
      <c r="A45" t="s">
        <v>721</v>
      </c>
      <c r="B45" t="s">
        <v>1113</v>
      </c>
      <c r="C45" t="b">
        <v>0</v>
      </c>
      <c r="D45" s="131">
        <f>SUMIFS(
  tb_desp[valor],
  tb_desp[nucleo],fech[[#This Row],[Núcleo]],
  tb_desp[data.pagamento],"&gt;="&amp;DATE(YEAR(inputs!$A$1),MONTH(inputs!$A$1),1),
  tb_desp[data.pagamento],"&lt;"&amp;EOMONTH(inputs!$A$1,0)+1
)</f>
        <v>0</v>
      </c>
    </row>
  </sheetData>
  <conditionalFormatting sqref="H1:M1 H3:M33">
    <cfRule type="cellIs" dxfId="30" priority="1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D3:D45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0983-9F0B-4FD7-B3F2-2FD68A6BE8F3}">
  <sheetPr>
    <tabColor rgb="FFFF0000"/>
  </sheetPr>
  <dimension ref="A1:AG324"/>
  <sheetViews>
    <sheetView showGridLines="0" zoomScale="80" zoomScaleNormal="80" workbookViewId="0">
      <pane xSplit="2" ySplit="1" topLeftCell="P199" activePane="bottomRight" state="frozen"/>
      <selection pane="topRight" activeCell="C1" sqref="C1"/>
      <selection pane="bottomLeft" activeCell="A2" sqref="A2"/>
      <selection pane="bottomRight" activeCell="P211" sqref="P211"/>
    </sheetView>
  </sheetViews>
  <sheetFormatPr defaultRowHeight="15" outlineLevelRow="2" x14ac:dyDescent="0.25"/>
  <cols>
    <col min="1" max="1" width="18.7109375" customWidth="1"/>
    <col min="2" max="2" width="51.7109375" customWidth="1"/>
    <col min="3" max="3" width="9.7109375" customWidth="1"/>
    <col min="4" max="27" width="15.7109375" customWidth="1"/>
    <col min="28" max="28" width="3.7109375" customWidth="1"/>
    <col min="29" max="29" width="15.7109375" customWidth="1"/>
    <col min="30" max="30" width="3.7109375" customWidth="1"/>
    <col min="31" max="31" width="15.7109375" customWidth="1"/>
    <col min="32" max="32" width="3.7109375" customWidth="1"/>
    <col min="33" max="33" width="15.7109375" customWidth="1"/>
    <col min="34" max="34" width="3.7109375" customWidth="1"/>
  </cols>
  <sheetData>
    <row r="1" spans="1:33" x14ac:dyDescent="0.25">
      <c r="A1" s="170" t="s">
        <v>498</v>
      </c>
      <c r="B1" s="170" t="s">
        <v>499</v>
      </c>
      <c r="C1" s="170" t="s">
        <v>500</v>
      </c>
      <c r="D1" s="171">
        <v>45658</v>
      </c>
      <c r="E1" s="171">
        <v>45689</v>
      </c>
      <c r="F1" s="171">
        <v>45717</v>
      </c>
      <c r="G1" s="171">
        <v>45748</v>
      </c>
      <c r="H1" s="171">
        <v>45778</v>
      </c>
      <c r="I1" s="171">
        <v>45809</v>
      </c>
      <c r="J1" s="171">
        <v>45839</v>
      </c>
      <c r="K1" s="171">
        <v>45870</v>
      </c>
      <c r="L1" s="171">
        <v>45901</v>
      </c>
      <c r="M1" s="171">
        <v>45931</v>
      </c>
      <c r="N1" s="171">
        <v>45962</v>
      </c>
      <c r="O1" s="171">
        <v>45992</v>
      </c>
      <c r="P1" s="171">
        <v>46023</v>
      </c>
      <c r="Q1" s="171">
        <v>46054</v>
      </c>
      <c r="R1" s="171">
        <v>46082</v>
      </c>
      <c r="S1" s="171">
        <v>46113</v>
      </c>
      <c r="T1" s="171">
        <v>46143</v>
      </c>
      <c r="U1" s="171">
        <v>46174</v>
      </c>
      <c r="V1" s="171">
        <v>46204</v>
      </c>
      <c r="W1" s="171">
        <v>46235</v>
      </c>
      <c r="X1" s="171">
        <v>46266</v>
      </c>
      <c r="Y1" s="171">
        <v>46296</v>
      </c>
      <c r="Z1" s="171">
        <v>46327</v>
      </c>
      <c r="AA1" s="171">
        <v>46357</v>
      </c>
      <c r="AB1" s="271"/>
      <c r="AC1" s="280" t="s">
        <v>23</v>
      </c>
      <c r="AD1" s="271"/>
      <c r="AE1" s="280" t="s">
        <v>25</v>
      </c>
      <c r="AG1" s="155" t="s">
        <v>501</v>
      </c>
    </row>
    <row r="2" spans="1:33" x14ac:dyDescent="0.25">
      <c r="A2" s="172" t="s">
        <v>502</v>
      </c>
      <c r="B2" s="172" t="s">
        <v>503</v>
      </c>
      <c r="C2" s="173"/>
      <c r="D2" s="174">
        <f t="shared" ref="D2:AA2" ca="1" si="0">D$3+D$33</f>
        <v>66315.199999999997</v>
      </c>
      <c r="E2" s="174">
        <f t="shared" ca="1" si="0"/>
        <v>102314.88</v>
      </c>
      <c r="F2" s="174">
        <f t="shared" ca="1" si="0"/>
        <v>247260.96</v>
      </c>
      <c r="G2" s="174">
        <f t="shared" ca="1" si="0"/>
        <v>361891.51999999996</v>
      </c>
      <c r="H2" s="174">
        <f t="shared" ca="1" si="0"/>
        <v>806203.36</v>
      </c>
      <c r="I2" s="174">
        <f t="shared" ca="1" si="0"/>
        <v>770203.68</v>
      </c>
      <c r="J2" s="174">
        <f t="shared" ca="1" si="0"/>
        <v>1031675.04</v>
      </c>
      <c r="K2" s="174">
        <f t="shared" ca="1" si="0"/>
        <v>400733.28</v>
      </c>
      <c r="L2" s="174">
        <f t="shared" ca="1" si="0"/>
        <v>345786.39999999997</v>
      </c>
      <c r="M2" s="174">
        <f t="shared" ca="1" si="0"/>
        <v>622415.52</v>
      </c>
      <c r="N2" s="174">
        <f t="shared" ca="1" si="0"/>
        <v>378944</v>
      </c>
      <c r="O2" s="174">
        <f t="shared" ca="1" si="0"/>
        <v>324944.48000000004</v>
      </c>
      <c r="P2" s="174">
        <f t="shared" ca="1" si="0"/>
        <v>179998.4</v>
      </c>
      <c r="Q2" s="174">
        <f t="shared" ca="1" si="0"/>
        <v>272839.67999999999</v>
      </c>
      <c r="R2" s="174">
        <f t="shared" ca="1" si="0"/>
        <v>640415.36</v>
      </c>
      <c r="S2" s="174">
        <f t="shared" ca="1" si="0"/>
        <v>389364.96</v>
      </c>
      <c r="T2" s="174">
        <f t="shared" ca="1" si="0"/>
        <v>566521.28</v>
      </c>
      <c r="U2" s="174">
        <f t="shared" ca="1" si="0"/>
        <v>390312.32</v>
      </c>
      <c r="V2" s="174">
        <f t="shared" ca="1" si="0"/>
        <v>610099.84000000008</v>
      </c>
      <c r="W2" s="174">
        <f t="shared" ca="1" si="0"/>
        <v>238734.72</v>
      </c>
      <c r="X2" s="174">
        <f t="shared" ca="1" si="0"/>
        <v>0</v>
      </c>
      <c r="Y2" s="174">
        <f t="shared" ca="1" si="0"/>
        <v>0</v>
      </c>
      <c r="Z2" s="174">
        <f t="shared" ca="1" si="0"/>
        <v>0</v>
      </c>
      <c r="AA2" s="174">
        <f t="shared" ca="1" si="0"/>
        <v>0</v>
      </c>
      <c r="AC2" s="273">
        <f ca="1">SUM($D2:INDEX($D2:$AA2,1,MATCH(DATE(YEAR(inputs!$A$1),MONTH(inputs!$A$1),1),$D$1:$AA$1,0)))</f>
        <v>8746974.8800000027</v>
      </c>
      <c r="AE2" s="273">
        <f t="shared" ref="AE2:AE68" ca="1" si="1">SUM(D2:AA2)</f>
        <v>8746974.8800000027</v>
      </c>
      <c r="AG2" s="156" t="s">
        <v>504</v>
      </c>
    </row>
    <row r="3" spans="1:33" x14ac:dyDescent="0.25">
      <c r="A3" s="176" t="s">
        <v>505</v>
      </c>
      <c r="B3" s="176" t="s">
        <v>506</v>
      </c>
      <c r="C3" s="177"/>
      <c r="D3" s="178">
        <f t="shared" ref="D3:AA3" ca="1" si="2">SUM(D$4,D$11,D$25,D$23)</f>
        <v>66315.199999999997</v>
      </c>
      <c r="E3" s="178">
        <f t="shared" ca="1" si="2"/>
        <v>102314.88</v>
      </c>
      <c r="F3" s="178">
        <f t="shared" ca="1" si="2"/>
        <v>247260.96</v>
      </c>
      <c r="G3" s="178">
        <f t="shared" ca="1" si="2"/>
        <v>361891.51999999996</v>
      </c>
      <c r="H3" s="178">
        <f t="shared" ca="1" si="2"/>
        <v>806203.36</v>
      </c>
      <c r="I3" s="178">
        <f t="shared" ca="1" si="2"/>
        <v>770203.68</v>
      </c>
      <c r="J3" s="178">
        <f t="shared" ca="1" si="2"/>
        <v>1031675.04</v>
      </c>
      <c r="K3" s="178">
        <f t="shared" ca="1" si="2"/>
        <v>400733.28</v>
      </c>
      <c r="L3" s="178">
        <f t="shared" ca="1" si="2"/>
        <v>345786.39999999997</v>
      </c>
      <c r="M3" s="178">
        <f t="shared" ca="1" si="2"/>
        <v>622415.52</v>
      </c>
      <c r="N3" s="178">
        <f t="shared" ca="1" si="2"/>
        <v>378944</v>
      </c>
      <c r="O3" s="178">
        <f t="shared" ca="1" si="2"/>
        <v>324944.48000000004</v>
      </c>
      <c r="P3" s="178">
        <f t="shared" ca="1" si="2"/>
        <v>179998.4</v>
      </c>
      <c r="Q3" s="178">
        <f t="shared" ca="1" si="2"/>
        <v>272839.67999999999</v>
      </c>
      <c r="R3" s="178">
        <f t="shared" ca="1" si="2"/>
        <v>640415.36</v>
      </c>
      <c r="S3" s="178">
        <f t="shared" ca="1" si="2"/>
        <v>389364.96</v>
      </c>
      <c r="T3" s="178">
        <f t="shared" ca="1" si="2"/>
        <v>566521.28</v>
      </c>
      <c r="U3" s="178">
        <f t="shared" ca="1" si="2"/>
        <v>390312.32</v>
      </c>
      <c r="V3" s="178">
        <f t="shared" ca="1" si="2"/>
        <v>610099.84000000008</v>
      </c>
      <c r="W3" s="178">
        <f t="shared" ca="1" si="2"/>
        <v>238734.72</v>
      </c>
      <c r="X3" s="178">
        <f t="shared" ca="1" si="2"/>
        <v>0</v>
      </c>
      <c r="Y3" s="178">
        <f t="shared" ca="1" si="2"/>
        <v>0</v>
      </c>
      <c r="Z3" s="178">
        <f t="shared" ca="1" si="2"/>
        <v>0</v>
      </c>
      <c r="AA3" s="178">
        <f t="shared" ca="1" si="2"/>
        <v>0</v>
      </c>
      <c r="AC3" s="274">
        <f ca="1">SUM($D3:INDEX($D3:$AA3,1,MATCH(DATE(YEAR(inputs!$A$1),MONTH(inputs!$A$1),1),$D$1:$AA$1,0)))</f>
        <v>8746974.8800000027</v>
      </c>
      <c r="AE3" s="274">
        <f t="shared" ca="1" si="1"/>
        <v>8746974.8800000027</v>
      </c>
    </row>
    <row r="4" spans="1:33" outlineLevel="1" x14ac:dyDescent="0.25">
      <c r="A4" s="179" t="s">
        <v>507</v>
      </c>
      <c r="B4" s="179" t="s">
        <v>508</v>
      </c>
      <c r="C4" s="180" t="s">
        <v>474</v>
      </c>
      <c r="D4" s="181">
        <f t="shared" ref="D4:AA4" ca="1" si="3">SUM(D$5:D$10)</f>
        <v>0</v>
      </c>
      <c r="E4" s="181">
        <f t="shared" ca="1" si="3"/>
        <v>0</v>
      </c>
      <c r="F4" s="181">
        <f t="shared" ca="1" si="3"/>
        <v>0</v>
      </c>
      <c r="G4" s="181">
        <f t="shared" ca="1" si="3"/>
        <v>0</v>
      </c>
      <c r="H4" s="181">
        <f t="shared" ca="1" si="3"/>
        <v>0</v>
      </c>
      <c r="I4" s="181">
        <f t="shared" ca="1" si="3"/>
        <v>0</v>
      </c>
      <c r="J4" s="181">
        <f t="shared" ca="1" si="3"/>
        <v>0</v>
      </c>
      <c r="K4" s="181">
        <f t="shared" ca="1" si="3"/>
        <v>0</v>
      </c>
      <c r="L4" s="181">
        <f t="shared" ca="1" si="3"/>
        <v>0</v>
      </c>
      <c r="M4" s="181">
        <f t="shared" ca="1" si="3"/>
        <v>0</v>
      </c>
      <c r="N4" s="181">
        <f t="shared" ca="1" si="3"/>
        <v>0</v>
      </c>
      <c r="O4" s="181">
        <f t="shared" ca="1" si="3"/>
        <v>0</v>
      </c>
      <c r="P4" s="181">
        <f t="shared" ca="1" si="3"/>
        <v>0</v>
      </c>
      <c r="Q4" s="181">
        <f t="shared" ca="1" si="3"/>
        <v>0</v>
      </c>
      <c r="R4" s="181">
        <f t="shared" ca="1" si="3"/>
        <v>0</v>
      </c>
      <c r="S4" s="181">
        <f t="shared" ca="1" si="3"/>
        <v>0</v>
      </c>
      <c r="T4" s="181">
        <f t="shared" ca="1" si="3"/>
        <v>0</v>
      </c>
      <c r="U4" s="181">
        <f t="shared" ca="1" si="3"/>
        <v>0</v>
      </c>
      <c r="V4" s="181">
        <f t="shared" ca="1" si="3"/>
        <v>0</v>
      </c>
      <c r="W4" s="181">
        <f t="shared" ca="1" si="3"/>
        <v>0</v>
      </c>
      <c r="X4" s="181">
        <f t="shared" ca="1" si="3"/>
        <v>0</v>
      </c>
      <c r="Y4" s="181">
        <f t="shared" ca="1" si="3"/>
        <v>0</v>
      </c>
      <c r="Z4" s="181">
        <f t="shared" ca="1" si="3"/>
        <v>0</v>
      </c>
      <c r="AA4" s="181">
        <f t="shared" ca="1" si="3"/>
        <v>0</v>
      </c>
      <c r="AC4" s="275">
        <f ca="1">SUM($D4:INDEX($D4:$AA4,1,MATCH(DATE(YEAR(inputs!$A$1),MONTH(inputs!$A$1),1),$D$1:$AA$1,0)))</f>
        <v>0</v>
      </c>
      <c r="AE4" s="275">
        <f t="shared" ca="1" si="1"/>
        <v>0</v>
      </c>
    </row>
    <row r="5" spans="1:33" outlineLevel="2" x14ac:dyDescent="0.25">
      <c r="A5" s="182" t="s">
        <v>509</v>
      </c>
      <c r="B5" s="182" t="s">
        <v>12</v>
      </c>
      <c r="C5" s="135" t="s">
        <v>474</v>
      </c>
      <c r="D5" s="183">
        <f ca="1">SUMIFS(tb_rec_uni[2025-01-01],
INDIRECT("tb_rec_uni[natureza]"),"repasse.cef.obra",
INDIRECT("tb_rec_uni[empresa]"),$B5)+
SUMIFS(tb_rec_uni[2025-01-01],
INDIRECT("tb_rec_uni[natureza]"),"repasse.cef.terreno",
INDIRECT("tb_rec_uni[empresa]"),$B5)</f>
        <v>0</v>
      </c>
      <c r="E5" s="183">
        <f ca="1">SUMIFS(tb_rec_uni[2025-02-01],
INDIRECT("tb_rec_uni[natureza]"),"repasse.cef.obra",
INDIRECT("tb_rec_uni[empresa]"),$B5)+
SUMIFS(tb_rec_uni[2025-02-01],
INDIRECT("tb_rec_uni[natureza]"),"repasse.cef.terreno",
INDIRECT("tb_rec_uni[empresa]"),$B5)</f>
        <v>0</v>
      </c>
      <c r="F5" s="183">
        <f ca="1">SUMIFS(tb_rec_uni[2025-03-01],
INDIRECT("tb_rec_uni[natureza]"),"repasse.cef.obra",
INDIRECT("tb_rec_uni[empresa]"),$B5)+
SUMIFS(tb_rec_uni[2025-03-01],
INDIRECT("tb_rec_uni[natureza]"),"repasse.cef.terreno",
INDIRECT("tb_rec_uni[empresa]"),$B5)</f>
        <v>0</v>
      </c>
      <c r="G5" s="183">
        <f ca="1">SUMIFS(tb_rec_uni[2025-04-01],
INDIRECT("tb_rec_uni[natureza]"),"repasse.cef.obra",
INDIRECT("tb_rec_uni[empresa]"),$B5)+
SUMIFS(tb_rec_uni[2025-04-01],
INDIRECT("tb_rec_uni[natureza]"),"repasse.cef.terreno",
INDIRECT("tb_rec_uni[empresa]"),$B5)</f>
        <v>0</v>
      </c>
      <c r="H5" s="183">
        <f ca="1">SUMIFS(tb_rec_uni[2025-05-01],
INDIRECT("tb_rec_uni[natureza]"),"repasse.cef.obra",
INDIRECT("tb_rec_uni[empresa]"),$B5)+
SUMIFS(tb_rec_uni[2025-05-01],
INDIRECT("tb_rec_uni[natureza]"),"repasse.cef.terreno",
INDIRECT("tb_rec_uni[empresa]"),$B5)</f>
        <v>0</v>
      </c>
      <c r="I5" s="183">
        <f ca="1">SUMIFS(tb_rec_uni[2025-06-01],
INDIRECT("tb_rec_uni[natureza]"),"repasse.cef.obra",
INDIRECT("tb_rec_uni[empresa]"),$B5)+
SUMIFS(tb_rec_uni[2025-06-01],
INDIRECT("tb_rec_uni[natureza]"),"repasse.cef.terreno",
INDIRECT("tb_rec_uni[empresa]"),$B5)</f>
        <v>0</v>
      </c>
      <c r="J5" s="183">
        <f ca="1">SUMIFS(tb_rec_uni[2025-07-01],
INDIRECT("tb_rec_uni[natureza]"),"repasse.cef.obra",
INDIRECT("tb_rec_uni[empresa]"),$B5)+
SUMIFS(tb_rec_uni[2025-07-01],
INDIRECT("tb_rec_uni[natureza]"),"repasse.cef.terreno",
INDIRECT("tb_rec_uni[empresa]"),$B5)</f>
        <v>0</v>
      </c>
      <c r="K5" s="183">
        <f ca="1">SUMIFS(tb_rec_uni[2025-08-01],
INDIRECT("tb_rec_uni[natureza]"),"repasse.cef.obra",
INDIRECT("tb_rec_uni[empresa]"),$B5)+
SUMIFS(tb_rec_uni[2025-08-01],
INDIRECT("tb_rec_uni[natureza]"),"repasse.cef.terreno",
INDIRECT("tb_rec_uni[empresa]"),$B5)</f>
        <v>0</v>
      </c>
      <c r="L5" s="183">
        <f ca="1">SUMIFS(tb_rec_uni[2025-09-01],
INDIRECT("tb_rec_uni[natureza]"),"repasse.cef.obra",
INDIRECT("tb_rec_uni[empresa]"),$B5)+
SUMIFS(tb_rec_uni[2025-09-01],
INDIRECT("tb_rec_uni[natureza]"),"repasse.cef.terreno",
INDIRECT("tb_rec_uni[empresa]"),$B5)</f>
        <v>0</v>
      </c>
      <c r="M5" s="183">
        <f ca="1">SUMIFS(tb_rec_uni[2025-10-01],
INDIRECT("tb_rec_uni[natureza]"),"repasse.cef.obra",
INDIRECT("tb_rec_uni[empresa]"),$B5)+
SUMIFS(tb_rec_uni[2025-10-01],
INDIRECT("tb_rec_uni[natureza]"),"repasse.cef.terreno",
INDIRECT("tb_rec_uni[empresa]"),$B5)</f>
        <v>0</v>
      </c>
      <c r="N5" s="183">
        <f ca="1">SUMIFS(tb_rec_uni[2025-11-01],
INDIRECT("tb_rec_uni[natureza]"),"repasse.cef.obra",
INDIRECT("tb_rec_uni[empresa]"),$B5)+
SUMIFS(tb_rec_uni[2025-11-01],
INDIRECT("tb_rec_uni[natureza]"),"repasse.cef.terreno",
INDIRECT("tb_rec_uni[empresa]"),$B5)</f>
        <v>0</v>
      </c>
      <c r="O5" s="183">
        <f ca="1">SUMIFS(tb_rec_uni[2025-12-01],
INDIRECT("tb_rec_uni[natureza]"),"repasse.cef.obra",
INDIRECT("tb_rec_uni[empresa]"),$B5)+
SUMIFS(tb_rec_uni[2025-12-01],
INDIRECT("tb_rec_uni[natureza]"),"repasse.cef.terreno",
INDIRECT("tb_rec_uni[empresa]"),$B5)</f>
        <v>0</v>
      </c>
      <c r="P5" s="183">
        <f ca="1">SUMIFS(tb_rec_uni[2026-01-01],
INDIRECT("tb_rec_uni[natureza]"),"repasse.cef.obra",
INDIRECT("tb_rec_uni[empresa]"),$B5)+
SUMIFS(tb_rec_uni[2026-01-01],
INDIRECT("tb_rec_uni[natureza]"),"repasse.cef.terreno",
INDIRECT("tb_rec_uni[empresa]"),$B5)</f>
        <v>0</v>
      </c>
      <c r="Q5" s="183">
        <f ca="1">SUMIFS(tb_rec_uni[2026-02-01],
INDIRECT("tb_rec_uni[natureza]"),"repasse.cef.obra",
INDIRECT("tb_rec_uni[empresa]"),$B5)+
SUMIFS(tb_rec_uni[2026-02-01],
INDIRECT("tb_rec_uni[natureza]"),"repasse.cef.terreno",
INDIRECT("tb_rec_uni[empresa]"),$B5)</f>
        <v>0</v>
      </c>
      <c r="R5" s="183">
        <f ca="1">SUMIFS(tb_rec_uni[2026-03-01],
INDIRECT("tb_rec_uni[natureza]"),"repasse.cef.obra",
INDIRECT("tb_rec_uni[empresa]"),$B5)+
SUMIFS(tb_rec_uni[2026-03-01],
INDIRECT("tb_rec_uni[natureza]"),"repasse.cef.terreno",
INDIRECT("tb_rec_uni[empresa]"),$B5)</f>
        <v>0</v>
      </c>
      <c r="S5" s="183">
        <f ca="1">SUMIFS(tb_rec_uni[2026-04-01],
INDIRECT("tb_rec_uni[natureza]"),"repasse.cef.obra",
INDIRECT("tb_rec_uni[empresa]"),$B5)+
SUMIFS(tb_rec_uni[2026-04-01],
INDIRECT("tb_rec_uni[natureza]"),"repasse.cef.terreno",
INDIRECT("tb_rec_uni[empresa]"),$B5)</f>
        <v>0</v>
      </c>
      <c r="T5" s="183">
        <f ca="1">SUMIFS(tb_rec_uni[2026-05-01],
INDIRECT("tb_rec_uni[natureza]"),"repasse.cef.obra",
INDIRECT("tb_rec_uni[empresa]"),$B5)+
SUMIFS(tb_rec_uni[2026-05-01],
INDIRECT("tb_rec_uni[natureza]"),"repasse.cef.terreno",
INDIRECT("tb_rec_uni[empresa]"),$B5)</f>
        <v>0</v>
      </c>
      <c r="U5" s="183">
        <f ca="1">SUMIFS(tb_rec_uni[2026-06-01],
INDIRECT("tb_rec_uni[natureza]"),"repasse.cef.obra",
INDIRECT("tb_rec_uni[empresa]"),$B5)+
SUMIFS(tb_rec_uni[2026-06-01],
INDIRECT("tb_rec_uni[natureza]"),"repasse.cef.terreno",
INDIRECT("tb_rec_uni[empresa]"),$B5)</f>
        <v>0</v>
      </c>
      <c r="V5" s="183">
        <f ca="1">SUMIFS(tb_rec_uni[2026-07-01],
INDIRECT("tb_rec_uni[natureza]"),"repasse.cef.obra",
INDIRECT("tb_rec_uni[empresa]"),$B5)+
SUMIFS(tb_rec_uni[2026-07-01],
INDIRECT("tb_rec_uni[natureza]"),"repasse.cef.terreno",
INDIRECT("tb_rec_uni[empresa]"),$B5)</f>
        <v>0</v>
      </c>
      <c r="W5" s="183">
        <f ca="1">SUMIFS(tb_rec_uni[2026-08-01],
INDIRECT("tb_rec_uni[natureza]"),"repasse.cef.obra",
INDIRECT("tb_rec_uni[empresa]"),$B5)+
SUMIFS(tb_rec_uni[2026-08-01],
INDIRECT("tb_rec_uni[natureza]"),"repasse.cef.terreno",
INDIRECT("tb_rec_uni[empresa]"),$B5)</f>
        <v>0</v>
      </c>
      <c r="X5" s="183">
        <f ca="1">SUMIFS(tb_rec_uni[2026-09-01],
INDIRECT("tb_rec_uni[natureza]"),"repasse.cef.obra",
INDIRECT("tb_rec_uni[empresa]"),$B5)+
SUMIFS(tb_rec_uni[2026-09-01],
INDIRECT("tb_rec_uni[natureza]"),"repasse.cef.terreno",
INDIRECT("tb_rec_uni[empresa]"),$B5)</f>
        <v>0</v>
      </c>
      <c r="Y5" s="183">
        <f ca="1">SUMIFS(tb_rec_uni[2026-10-01],
INDIRECT("tb_rec_uni[natureza]"),"repasse.cef.obra",
INDIRECT("tb_rec_uni[empresa]"),$B5)+
SUMIFS(tb_rec_uni[2026-10-01],
INDIRECT("tb_rec_uni[natureza]"),"repasse.cef.terreno",
INDIRECT("tb_rec_uni[empresa]"),$B5)</f>
        <v>0</v>
      </c>
      <c r="Z5" s="183">
        <f ca="1">SUMIFS(tb_rec_uni[2026-11-01],
INDIRECT("tb_rec_uni[natureza]"),"repasse.cef.obra",
INDIRECT("tb_rec_uni[empresa]"),$B5)+
SUMIFS(tb_rec_uni[2026-11-01],
INDIRECT("tb_rec_uni[natureza]"),"repasse.cef.terreno",
INDIRECT("tb_rec_uni[empresa]"),$B5)</f>
        <v>0</v>
      </c>
      <c r="AA5" s="183">
        <f ca="1">SUMIFS(tb_rec_uni[2026-12-01],
INDIRECT("tb_rec_uni[natureza]"),"repasse.cef.obra",
INDIRECT("tb_rec_uni[empresa]"),$B5)+
SUMIFS(tb_rec_uni[2026-12-01],
INDIRECT("tb_rec_uni[natureza]"),"repasse.cef.terreno",
INDIRECT("tb_rec_uni[empresa]"),$B5)</f>
        <v>0</v>
      </c>
      <c r="AC5" s="175">
        <f ca="1">SUM($D5:INDEX($D5:$AA5,1,MATCH(DATE(YEAR(inputs!$A$1),MONTH(inputs!$A$1),1),$D$1:$AA$1,0)))</f>
        <v>0</v>
      </c>
      <c r="AE5" s="175">
        <f ca="1">SUM(D5:AA5)</f>
        <v>0</v>
      </c>
    </row>
    <row r="6" spans="1:33" outlineLevel="2" x14ac:dyDescent="0.25">
      <c r="A6" s="182" t="s">
        <v>510</v>
      </c>
      <c r="B6" s="182" t="s">
        <v>9</v>
      </c>
      <c r="C6" s="135" t="s">
        <v>474</v>
      </c>
      <c r="D6" s="183">
        <f ca="1">SUMIFS(tb_rec_uni[2025-01-01],
INDIRECT("tb_rec_uni[natureza]"),"repasse.cef.obra",
INDIRECT("tb_rec_uni[empresa]"),$B6)+
SUMIFS(tb_rec_uni[2025-01-01],
INDIRECT("tb_rec_uni[natureza]"),"repasse.cef.terreno",
INDIRECT("tb_rec_uni[empresa]"),$B6)</f>
        <v>0</v>
      </c>
      <c r="E6" s="183">
        <f ca="1">SUMIFS(tb_rec_uni[2025-02-01],
INDIRECT("tb_rec_uni[natureza]"),"repasse.cef.obra",
INDIRECT("tb_rec_uni[empresa]"),$B6)+
SUMIFS(tb_rec_uni[2025-02-01],
INDIRECT("tb_rec_uni[natureza]"),"repasse.cef.terreno",
INDIRECT("tb_rec_uni[empresa]"),$B6)</f>
        <v>0</v>
      </c>
      <c r="F6" s="183">
        <f ca="1">SUMIFS(tb_rec_uni[2025-03-01],
INDIRECT("tb_rec_uni[natureza]"),"repasse.cef.obra",
INDIRECT("tb_rec_uni[empresa]"),$B6)+
SUMIFS(tb_rec_uni[2025-03-01],
INDIRECT("tb_rec_uni[natureza]"),"repasse.cef.terreno",
INDIRECT("tb_rec_uni[empresa]"),$B6)</f>
        <v>0</v>
      </c>
      <c r="G6" s="183">
        <f ca="1">SUMIFS(tb_rec_uni[2025-04-01],
INDIRECT("tb_rec_uni[natureza]"),"repasse.cef.obra",
INDIRECT("tb_rec_uni[empresa]"),$B6)+
SUMIFS(tb_rec_uni[2025-04-01],
INDIRECT("tb_rec_uni[natureza]"),"repasse.cef.terreno",
INDIRECT("tb_rec_uni[empresa]"),$B6)</f>
        <v>0</v>
      </c>
      <c r="H6" s="183">
        <f ca="1">SUMIFS(tb_rec_uni[2025-05-01],
INDIRECT("tb_rec_uni[natureza]"),"repasse.cef.obra",
INDIRECT("tb_rec_uni[empresa]"),$B6)+
SUMIFS(tb_rec_uni[2025-05-01],
INDIRECT("tb_rec_uni[natureza]"),"repasse.cef.terreno",
INDIRECT("tb_rec_uni[empresa]"),$B6)</f>
        <v>0</v>
      </c>
      <c r="I6" s="183">
        <f ca="1">SUMIFS(tb_rec_uni[2025-06-01],
INDIRECT("tb_rec_uni[natureza]"),"repasse.cef.obra",
INDIRECT("tb_rec_uni[empresa]"),$B6)+
SUMIFS(tb_rec_uni[2025-06-01],
INDIRECT("tb_rec_uni[natureza]"),"repasse.cef.terreno",
INDIRECT("tb_rec_uni[empresa]"),$B6)</f>
        <v>0</v>
      </c>
      <c r="J6" s="183">
        <f ca="1">SUMIFS(tb_rec_uni[2025-07-01],
INDIRECT("tb_rec_uni[natureza]"),"repasse.cef.obra",
INDIRECT("tb_rec_uni[empresa]"),$B6)+
SUMIFS(tb_rec_uni[2025-07-01],
INDIRECT("tb_rec_uni[natureza]"),"repasse.cef.terreno",
INDIRECT("tb_rec_uni[empresa]"),$B6)</f>
        <v>0</v>
      </c>
      <c r="K6" s="183">
        <f ca="1">SUMIFS(tb_rec_uni[2025-08-01],
INDIRECT("tb_rec_uni[natureza]"),"repasse.cef.obra",
INDIRECT("tb_rec_uni[empresa]"),$B6)+
SUMIFS(tb_rec_uni[2025-08-01],
INDIRECT("tb_rec_uni[natureza]"),"repasse.cef.terreno",
INDIRECT("tb_rec_uni[empresa]"),$B6)</f>
        <v>0</v>
      </c>
      <c r="L6" s="183">
        <f ca="1">SUMIFS(tb_rec_uni[2025-09-01],
INDIRECT("tb_rec_uni[natureza]"),"repasse.cef.obra",
INDIRECT("tb_rec_uni[empresa]"),$B6)+
SUMIFS(tb_rec_uni[2025-09-01],
INDIRECT("tb_rec_uni[natureza]"),"repasse.cef.terreno",
INDIRECT("tb_rec_uni[empresa]"),$B6)</f>
        <v>0</v>
      </c>
      <c r="M6" s="183">
        <f ca="1">SUMIFS(tb_rec_uni[2025-10-01],
INDIRECT("tb_rec_uni[natureza]"),"repasse.cef.obra",
INDIRECT("tb_rec_uni[empresa]"),$B6)+
SUMIFS(tb_rec_uni[2025-10-01],
INDIRECT("tb_rec_uni[natureza]"),"repasse.cef.terreno",
INDIRECT("tb_rec_uni[empresa]"),$B6)</f>
        <v>0</v>
      </c>
      <c r="N6" s="183">
        <f ca="1">SUMIFS(tb_rec_uni[2025-11-01],
INDIRECT("tb_rec_uni[natureza]"),"repasse.cef.obra",
INDIRECT("tb_rec_uni[empresa]"),$B6)+
SUMIFS(tb_rec_uni[2025-11-01],
INDIRECT("tb_rec_uni[natureza]"),"repasse.cef.terreno",
INDIRECT("tb_rec_uni[empresa]"),$B6)</f>
        <v>0</v>
      </c>
      <c r="O6" s="183">
        <f ca="1">SUMIFS(tb_rec_uni[2025-12-01],
INDIRECT("tb_rec_uni[natureza]"),"repasse.cef.obra",
INDIRECT("tb_rec_uni[empresa]"),$B6)+
SUMIFS(tb_rec_uni[2025-12-01],
INDIRECT("tb_rec_uni[natureza]"),"repasse.cef.terreno",
INDIRECT("tb_rec_uni[empresa]"),$B6)</f>
        <v>0</v>
      </c>
      <c r="P6" s="183">
        <f ca="1">SUMIFS(tb_rec_uni[2026-01-01],
INDIRECT("tb_rec_uni[natureza]"),"repasse.cef.obra",
INDIRECT("tb_rec_uni[empresa]"),$B6)+
SUMIFS(tb_rec_uni[2026-01-01],
INDIRECT("tb_rec_uni[natureza]"),"repasse.cef.terreno",
INDIRECT("tb_rec_uni[empresa]"),$B6)</f>
        <v>0</v>
      </c>
      <c r="Q6" s="183">
        <f ca="1">SUMIFS(tb_rec_uni[2026-02-01],
INDIRECT("tb_rec_uni[natureza]"),"repasse.cef.obra",
INDIRECT("tb_rec_uni[empresa]"),$B6)+
SUMIFS(tb_rec_uni[2026-02-01],
INDIRECT("tb_rec_uni[natureza]"),"repasse.cef.terreno",
INDIRECT("tb_rec_uni[empresa]"),$B6)</f>
        <v>0</v>
      </c>
      <c r="R6" s="183">
        <f ca="1">SUMIFS(tb_rec_uni[2026-03-01],
INDIRECT("tb_rec_uni[natureza]"),"repasse.cef.obra",
INDIRECT("tb_rec_uni[empresa]"),$B6)+
SUMIFS(tb_rec_uni[2026-03-01],
INDIRECT("tb_rec_uni[natureza]"),"repasse.cef.terreno",
INDIRECT("tb_rec_uni[empresa]"),$B6)</f>
        <v>0</v>
      </c>
      <c r="S6" s="183">
        <f ca="1">SUMIFS(tb_rec_uni[2026-04-01],
INDIRECT("tb_rec_uni[natureza]"),"repasse.cef.obra",
INDIRECT("tb_rec_uni[empresa]"),$B6)+
SUMIFS(tb_rec_uni[2026-04-01],
INDIRECT("tb_rec_uni[natureza]"),"repasse.cef.terreno",
INDIRECT("tb_rec_uni[empresa]"),$B6)</f>
        <v>0</v>
      </c>
      <c r="T6" s="183">
        <f ca="1">SUMIFS(tb_rec_uni[2026-05-01],
INDIRECT("tb_rec_uni[natureza]"),"repasse.cef.obra",
INDIRECT("tb_rec_uni[empresa]"),$B6)+
SUMIFS(tb_rec_uni[2026-05-01],
INDIRECT("tb_rec_uni[natureza]"),"repasse.cef.terreno",
INDIRECT("tb_rec_uni[empresa]"),$B6)</f>
        <v>0</v>
      </c>
      <c r="U6" s="183">
        <f ca="1">SUMIFS(tb_rec_uni[2026-06-01],
INDIRECT("tb_rec_uni[natureza]"),"repasse.cef.obra",
INDIRECT("tb_rec_uni[empresa]"),$B6)+
SUMIFS(tb_rec_uni[2026-06-01],
INDIRECT("tb_rec_uni[natureza]"),"repasse.cef.terreno",
INDIRECT("tb_rec_uni[empresa]"),$B6)</f>
        <v>0</v>
      </c>
      <c r="V6" s="183">
        <f ca="1">SUMIFS(tb_rec_uni[2026-07-01],
INDIRECT("tb_rec_uni[natureza]"),"repasse.cef.obra",
INDIRECT("tb_rec_uni[empresa]"),$B6)+
SUMIFS(tb_rec_uni[2026-07-01],
INDIRECT("tb_rec_uni[natureza]"),"repasse.cef.terreno",
INDIRECT("tb_rec_uni[empresa]"),$B6)</f>
        <v>0</v>
      </c>
      <c r="W6" s="183">
        <f ca="1">SUMIFS(tb_rec_uni[2026-08-01],
INDIRECT("tb_rec_uni[natureza]"),"repasse.cef.obra",
INDIRECT("tb_rec_uni[empresa]"),$B6)+
SUMIFS(tb_rec_uni[2026-08-01],
INDIRECT("tb_rec_uni[natureza]"),"repasse.cef.terreno",
INDIRECT("tb_rec_uni[empresa]"),$B6)</f>
        <v>0</v>
      </c>
      <c r="X6" s="183">
        <f ca="1">SUMIFS(tb_rec_uni[2026-09-01],
INDIRECT("tb_rec_uni[natureza]"),"repasse.cef.obra",
INDIRECT("tb_rec_uni[empresa]"),$B6)+
SUMIFS(tb_rec_uni[2026-09-01],
INDIRECT("tb_rec_uni[natureza]"),"repasse.cef.terreno",
INDIRECT("tb_rec_uni[empresa]"),$B6)</f>
        <v>0</v>
      </c>
      <c r="Y6" s="183">
        <f ca="1">SUMIFS(tb_rec_uni[2026-10-01],
INDIRECT("tb_rec_uni[natureza]"),"repasse.cef.obra",
INDIRECT("tb_rec_uni[empresa]"),$B6)+
SUMIFS(tb_rec_uni[2026-10-01],
INDIRECT("tb_rec_uni[natureza]"),"repasse.cef.terreno",
INDIRECT("tb_rec_uni[empresa]"),$B6)</f>
        <v>0</v>
      </c>
      <c r="Z6" s="183">
        <f ca="1">SUMIFS(tb_rec_uni[2026-11-01],
INDIRECT("tb_rec_uni[natureza]"),"repasse.cef.obra",
INDIRECT("tb_rec_uni[empresa]"),$B6)+
SUMIFS(tb_rec_uni[2026-11-01],
INDIRECT("tb_rec_uni[natureza]"),"repasse.cef.terreno",
INDIRECT("tb_rec_uni[empresa]"),$B6)</f>
        <v>0</v>
      </c>
      <c r="AA6" s="183">
        <f ca="1">SUMIFS(tb_rec_uni[2026-12-01],
INDIRECT("tb_rec_uni[natureza]"),"repasse.cef.obra",
INDIRECT("tb_rec_uni[empresa]"),$B6)+
SUMIFS(tb_rec_uni[2026-12-01],
INDIRECT("tb_rec_uni[natureza]"),"repasse.cef.terreno",
INDIRECT("tb_rec_uni[empresa]"),$B6)</f>
        <v>0</v>
      </c>
      <c r="AC6" s="175">
        <f ca="1">SUM($D6:INDEX($D6:$AA6,1,MATCH(DATE(YEAR(inputs!$A$1),MONTH(inputs!$A$1),1),$D$1:$AA$1,0)))</f>
        <v>0</v>
      </c>
      <c r="AE6" s="175">
        <f t="shared" ca="1" si="1"/>
        <v>0</v>
      </c>
    </row>
    <row r="7" spans="1:33" outlineLevel="2" x14ac:dyDescent="0.25">
      <c r="A7" s="182" t="s">
        <v>511</v>
      </c>
      <c r="B7" s="182" t="s">
        <v>7</v>
      </c>
      <c r="C7" s="135" t="s">
        <v>474</v>
      </c>
      <c r="D7" s="183">
        <f ca="1">SUMIFS(tb_rec_uni[2025-01-01],
INDIRECT("tb_rec_uni[natureza]"),"repasse.cef.obra",
INDIRECT("tb_rec_uni[empresa]"),$B7)+
SUMIFS(tb_rec_uni[2025-01-01],
INDIRECT("tb_rec_uni[natureza]"),"repasse.cef.terreno",
INDIRECT("tb_rec_uni[empresa]"),$B7)</f>
        <v>0</v>
      </c>
      <c r="E7" s="183">
        <f ca="1">SUMIFS(tb_rec_uni[2025-02-01],
INDIRECT("tb_rec_uni[natureza]"),"repasse.cef.obra",
INDIRECT("tb_rec_uni[empresa]"),$B7)+
SUMIFS(tb_rec_uni[2025-02-01],
INDIRECT("tb_rec_uni[natureza]"),"repasse.cef.terreno",
INDIRECT("tb_rec_uni[empresa]"),$B7)</f>
        <v>0</v>
      </c>
      <c r="F7" s="183">
        <f ca="1">SUMIFS(tb_rec_uni[2025-03-01],
INDIRECT("tb_rec_uni[natureza]"),"repasse.cef.obra",
INDIRECT("tb_rec_uni[empresa]"),$B7)+
SUMIFS(tb_rec_uni[2025-03-01],
INDIRECT("tb_rec_uni[natureza]"),"repasse.cef.terreno",
INDIRECT("tb_rec_uni[empresa]"),$B7)</f>
        <v>0</v>
      </c>
      <c r="G7" s="183">
        <f ca="1">SUMIFS(tb_rec_uni[2025-04-01],
INDIRECT("tb_rec_uni[natureza]"),"repasse.cef.obra",
INDIRECT("tb_rec_uni[empresa]"),$B7)+
SUMIFS(tb_rec_uni[2025-04-01],
INDIRECT("tb_rec_uni[natureza]"),"repasse.cef.terreno",
INDIRECT("tb_rec_uni[empresa]"),$B7)</f>
        <v>0</v>
      </c>
      <c r="H7" s="183">
        <f ca="1">SUMIFS(tb_rec_uni[2025-05-01],
INDIRECT("tb_rec_uni[natureza]"),"repasse.cef.obra",
INDIRECT("tb_rec_uni[empresa]"),$B7)+
SUMIFS(tb_rec_uni[2025-05-01],
INDIRECT("tb_rec_uni[natureza]"),"repasse.cef.terreno",
INDIRECT("tb_rec_uni[empresa]"),$B7)</f>
        <v>0</v>
      </c>
      <c r="I7" s="183">
        <f ca="1">SUMIFS(tb_rec_uni[2025-06-01],
INDIRECT("tb_rec_uni[natureza]"),"repasse.cef.obra",
INDIRECT("tb_rec_uni[empresa]"),$B7)+
SUMIFS(tb_rec_uni[2025-06-01],
INDIRECT("tb_rec_uni[natureza]"),"repasse.cef.terreno",
INDIRECT("tb_rec_uni[empresa]"),$B7)</f>
        <v>0</v>
      </c>
      <c r="J7" s="183">
        <f ca="1">SUMIFS(tb_rec_uni[2025-07-01],
INDIRECT("tb_rec_uni[natureza]"),"repasse.cef.obra",
INDIRECT("tb_rec_uni[empresa]"),$B7)+
SUMIFS(tb_rec_uni[2025-07-01],
INDIRECT("tb_rec_uni[natureza]"),"repasse.cef.terreno",
INDIRECT("tb_rec_uni[empresa]"),$B7)</f>
        <v>0</v>
      </c>
      <c r="K7" s="183">
        <f ca="1">SUMIFS(tb_rec_uni[2025-08-01],
INDIRECT("tb_rec_uni[natureza]"),"repasse.cef.obra",
INDIRECT("tb_rec_uni[empresa]"),$B7)+
SUMIFS(tb_rec_uni[2025-08-01],
INDIRECT("tb_rec_uni[natureza]"),"repasse.cef.terreno",
INDIRECT("tb_rec_uni[empresa]"),$B7)</f>
        <v>0</v>
      </c>
      <c r="L7" s="183">
        <f ca="1">SUMIFS(tb_rec_uni[2025-09-01],
INDIRECT("tb_rec_uni[natureza]"),"repasse.cef.obra",
INDIRECT("tb_rec_uni[empresa]"),$B7)+
SUMIFS(tb_rec_uni[2025-09-01],
INDIRECT("tb_rec_uni[natureza]"),"repasse.cef.terreno",
INDIRECT("tb_rec_uni[empresa]"),$B7)</f>
        <v>0</v>
      </c>
      <c r="M7" s="183">
        <f ca="1">SUMIFS(tb_rec_uni[2025-10-01],
INDIRECT("tb_rec_uni[natureza]"),"repasse.cef.obra",
INDIRECT("tb_rec_uni[empresa]"),$B7)+
SUMIFS(tb_rec_uni[2025-10-01],
INDIRECT("tb_rec_uni[natureza]"),"repasse.cef.terreno",
INDIRECT("tb_rec_uni[empresa]"),$B7)</f>
        <v>0</v>
      </c>
      <c r="N7" s="183">
        <f ca="1">SUMIFS(tb_rec_uni[2025-11-01],
INDIRECT("tb_rec_uni[natureza]"),"repasse.cef.obra",
INDIRECT("tb_rec_uni[empresa]"),$B7)+
SUMIFS(tb_rec_uni[2025-11-01],
INDIRECT("tb_rec_uni[natureza]"),"repasse.cef.terreno",
INDIRECT("tb_rec_uni[empresa]"),$B7)</f>
        <v>0</v>
      </c>
      <c r="O7" s="183">
        <f ca="1">SUMIFS(tb_rec_uni[2025-12-01],
INDIRECT("tb_rec_uni[natureza]"),"repasse.cef.obra",
INDIRECT("tb_rec_uni[empresa]"),$B7)+
SUMIFS(tb_rec_uni[2025-12-01],
INDIRECT("tb_rec_uni[natureza]"),"repasse.cef.terreno",
INDIRECT("tb_rec_uni[empresa]"),$B7)</f>
        <v>0</v>
      </c>
      <c r="P7" s="183">
        <f ca="1">SUMIFS(tb_rec_uni[2026-01-01],
INDIRECT("tb_rec_uni[natureza]"),"repasse.cef.obra",
INDIRECT("tb_rec_uni[empresa]"),$B7)+
SUMIFS(tb_rec_uni[2026-01-01],
INDIRECT("tb_rec_uni[natureza]"),"repasse.cef.terreno",
INDIRECT("tb_rec_uni[empresa]"),$B7)</f>
        <v>0</v>
      </c>
      <c r="Q7" s="183">
        <f ca="1">SUMIFS(tb_rec_uni[2026-02-01],
INDIRECT("tb_rec_uni[natureza]"),"repasse.cef.obra",
INDIRECT("tb_rec_uni[empresa]"),$B7)+
SUMIFS(tb_rec_uni[2026-02-01],
INDIRECT("tb_rec_uni[natureza]"),"repasse.cef.terreno",
INDIRECT("tb_rec_uni[empresa]"),$B7)</f>
        <v>0</v>
      </c>
      <c r="R7" s="183">
        <f ca="1">SUMIFS(tb_rec_uni[2026-03-01],
INDIRECT("tb_rec_uni[natureza]"),"repasse.cef.obra",
INDIRECT("tb_rec_uni[empresa]"),$B7)+
SUMIFS(tb_rec_uni[2026-03-01],
INDIRECT("tb_rec_uni[natureza]"),"repasse.cef.terreno",
INDIRECT("tb_rec_uni[empresa]"),$B7)</f>
        <v>0</v>
      </c>
      <c r="S7" s="183">
        <f ca="1">SUMIFS(tb_rec_uni[2026-04-01],
INDIRECT("tb_rec_uni[natureza]"),"repasse.cef.obra",
INDIRECT("tb_rec_uni[empresa]"),$B7)+
SUMIFS(tb_rec_uni[2026-04-01],
INDIRECT("tb_rec_uni[natureza]"),"repasse.cef.terreno",
INDIRECT("tb_rec_uni[empresa]"),$B7)</f>
        <v>0</v>
      </c>
      <c r="T7" s="183">
        <f ca="1">SUMIFS(tb_rec_uni[2026-05-01],
INDIRECT("tb_rec_uni[natureza]"),"repasse.cef.obra",
INDIRECT("tb_rec_uni[empresa]"),$B7)+
SUMIFS(tb_rec_uni[2026-05-01],
INDIRECT("tb_rec_uni[natureza]"),"repasse.cef.terreno",
INDIRECT("tb_rec_uni[empresa]"),$B7)</f>
        <v>0</v>
      </c>
      <c r="U7" s="183">
        <f ca="1">SUMIFS(tb_rec_uni[2026-06-01],
INDIRECT("tb_rec_uni[natureza]"),"repasse.cef.obra",
INDIRECT("tb_rec_uni[empresa]"),$B7)+
SUMIFS(tb_rec_uni[2026-06-01],
INDIRECT("tb_rec_uni[natureza]"),"repasse.cef.terreno",
INDIRECT("tb_rec_uni[empresa]"),$B7)</f>
        <v>0</v>
      </c>
      <c r="V7" s="183">
        <f ca="1">SUMIFS(tb_rec_uni[2026-07-01],
INDIRECT("tb_rec_uni[natureza]"),"repasse.cef.obra",
INDIRECT("tb_rec_uni[empresa]"),$B7)+
SUMIFS(tb_rec_uni[2026-07-01],
INDIRECT("tb_rec_uni[natureza]"),"repasse.cef.terreno",
INDIRECT("tb_rec_uni[empresa]"),$B7)</f>
        <v>0</v>
      </c>
      <c r="W7" s="183">
        <f ca="1">SUMIFS(tb_rec_uni[2026-08-01],
INDIRECT("tb_rec_uni[natureza]"),"repasse.cef.obra",
INDIRECT("tb_rec_uni[empresa]"),$B7)+
SUMIFS(tb_rec_uni[2026-08-01],
INDIRECT("tb_rec_uni[natureza]"),"repasse.cef.terreno",
INDIRECT("tb_rec_uni[empresa]"),$B7)</f>
        <v>0</v>
      </c>
      <c r="X7" s="183">
        <f ca="1">SUMIFS(tb_rec_uni[2026-09-01],
INDIRECT("tb_rec_uni[natureza]"),"repasse.cef.obra",
INDIRECT("tb_rec_uni[empresa]"),$B7)+
SUMIFS(tb_rec_uni[2026-09-01],
INDIRECT("tb_rec_uni[natureza]"),"repasse.cef.terreno",
INDIRECT("tb_rec_uni[empresa]"),$B7)</f>
        <v>0</v>
      </c>
      <c r="Y7" s="183">
        <f ca="1">SUMIFS(tb_rec_uni[2026-10-01],
INDIRECT("tb_rec_uni[natureza]"),"repasse.cef.obra",
INDIRECT("tb_rec_uni[empresa]"),$B7)+
SUMIFS(tb_rec_uni[2026-10-01],
INDIRECT("tb_rec_uni[natureza]"),"repasse.cef.terreno",
INDIRECT("tb_rec_uni[empresa]"),$B7)</f>
        <v>0</v>
      </c>
      <c r="Z7" s="183">
        <f ca="1">SUMIFS(tb_rec_uni[2026-11-01],
INDIRECT("tb_rec_uni[natureza]"),"repasse.cef.obra",
INDIRECT("tb_rec_uni[empresa]"),$B7)+
SUMIFS(tb_rec_uni[2026-11-01],
INDIRECT("tb_rec_uni[natureza]"),"repasse.cef.terreno",
INDIRECT("tb_rec_uni[empresa]"),$B7)</f>
        <v>0</v>
      </c>
      <c r="AA7" s="183">
        <f ca="1">SUMIFS(tb_rec_uni[2026-12-01],
INDIRECT("tb_rec_uni[natureza]"),"repasse.cef.obra",
INDIRECT("tb_rec_uni[empresa]"),$B7)+
SUMIFS(tb_rec_uni[2026-12-01],
INDIRECT("tb_rec_uni[natureza]"),"repasse.cef.terreno",
INDIRECT("tb_rec_uni[empresa]"),$B7)</f>
        <v>0</v>
      </c>
      <c r="AC7" s="175">
        <f ca="1">SUM($D7:INDEX($D7:$AA7,1,MATCH(DATE(YEAR(inputs!$A$1),MONTH(inputs!$A$1),1),$D$1:$AA$1,0)))</f>
        <v>0</v>
      </c>
      <c r="AE7" s="175">
        <f t="shared" ca="1" si="1"/>
        <v>0</v>
      </c>
    </row>
    <row r="8" spans="1:33" outlineLevel="2" x14ac:dyDescent="0.25">
      <c r="A8" s="182" t="s">
        <v>665</v>
      </c>
      <c r="B8" s="182" t="s">
        <v>10</v>
      </c>
      <c r="C8" s="135" t="s">
        <v>474</v>
      </c>
      <c r="D8" s="183">
        <f ca="1">SUMIFS(tb_rec_uni[2025-01-01],
INDIRECT("tb_rec_uni[natureza]"),"repasse.cef.obra",
INDIRECT("tb_rec_uni[empresa]"),$B8)+
SUMIFS(tb_rec_uni[2025-01-01],
INDIRECT("tb_rec_uni[natureza]"),"repasse.cef.terreno",
INDIRECT("tb_rec_uni[empresa]"),$B8)</f>
        <v>0</v>
      </c>
      <c r="E8" s="183">
        <f ca="1">SUMIFS(tb_rec_uni[2025-02-01],
INDIRECT("tb_rec_uni[natureza]"),"repasse.cef.obra",
INDIRECT("tb_rec_uni[empresa]"),$B8)+
SUMIFS(tb_rec_uni[2025-02-01],
INDIRECT("tb_rec_uni[natureza]"),"repasse.cef.terreno",
INDIRECT("tb_rec_uni[empresa]"),$B8)</f>
        <v>0</v>
      </c>
      <c r="F8" s="183">
        <f ca="1">SUMIFS(tb_rec_uni[2025-03-01],
INDIRECT("tb_rec_uni[natureza]"),"repasse.cef.obra",
INDIRECT("tb_rec_uni[empresa]"),$B8)+
SUMIFS(tb_rec_uni[2025-03-01],
INDIRECT("tb_rec_uni[natureza]"),"repasse.cef.terreno",
INDIRECT("tb_rec_uni[empresa]"),$B8)</f>
        <v>0</v>
      </c>
      <c r="G8" s="183">
        <f ca="1">SUMIFS(tb_rec_uni[2025-04-01],
INDIRECT("tb_rec_uni[natureza]"),"repasse.cef.obra",
INDIRECT("tb_rec_uni[empresa]"),$B8)+
SUMIFS(tb_rec_uni[2025-04-01],
INDIRECT("tb_rec_uni[natureza]"),"repasse.cef.terreno",
INDIRECT("tb_rec_uni[empresa]"),$B8)</f>
        <v>0</v>
      </c>
      <c r="H8" s="183">
        <f ca="1">SUMIFS(tb_rec_uni[2025-05-01],
INDIRECT("tb_rec_uni[natureza]"),"repasse.cef.obra",
INDIRECT("tb_rec_uni[empresa]"),$B8)+
SUMIFS(tb_rec_uni[2025-05-01],
INDIRECT("tb_rec_uni[natureza]"),"repasse.cef.terreno",
INDIRECT("tb_rec_uni[empresa]"),$B8)</f>
        <v>0</v>
      </c>
      <c r="I8" s="183">
        <f ca="1">SUMIFS(tb_rec_uni[2025-06-01],
INDIRECT("tb_rec_uni[natureza]"),"repasse.cef.obra",
INDIRECT("tb_rec_uni[empresa]"),$B8)+
SUMIFS(tb_rec_uni[2025-06-01],
INDIRECT("tb_rec_uni[natureza]"),"repasse.cef.terreno",
INDIRECT("tb_rec_uni[empresa]"),$B8)</f>
        <v>0</v>
      </c>
      <c r="J8" s="183">
        <f ca="1">SUMIFS(tb_rec_uni[2025-07-01],
INDIRECT("tb_rec_uni[natureza]"),"repasse.cef.obra",
INDIRECT("tb_rec_uni[empresa]"),$B8)+
SUMIFS(tb_rec_uni[2025-07-01],
INDIRECT("tb_rec_uni[natureza]"),"repasse.cef.terreno",
INDIRECT("tb_rec_uni[empresa]"),$B8)</f>
        <v>0</v>
      </c>
      <c r="K8" s="183">
        <f ca="1">SUMIFS(tb_rec_uni[2025-08-01],
INDIRECT("tb_rec_uni[natureza]"),"repasse.cef.obra",
INDIRECT("tb_rec_uni[empresa]"),$B8)+
SUMIFS(tb_rec_uni[2025-08-01],
INDIRECT("tb_rec_uni[natureza]"),"repasse.cef.terreno",
INDIRECT("tb_rec_uni[empresa]"),$B8)</f>
        <v>0</v>
      </c>
      <c r="L8" s="183">
        <f ca="1">SUMIFS(tb_rec_uni[2025-09-01],
INDIRECT("tb_rec_uni[natureza]"),"repasse.cef.obra",
INDIRECT("tb_rec_uni[empresa]"),$B8)+
SUMIFS(tb_rec_uni[2025-09-01],
INDIRECT("tb_rec_uni[natureza]"),"repasse.cef.terreno",
INDIRECT("tb_rec_uni[empresa]"),$B8)</f>
        <v>0</v>
      </c>
      <c r="M8" s="183">
        <f ca="1">SUMIFS(tb_rec_uni[2025-10-01],
INDIRECT("tb_rec_uni[natureza]"),"repasse.cef.obra",
INDIRECT("tb_rec_uni[empresa]"),$B8)+
SUMIFS(tb_rec_uni[2025-10-01],
INDIRECT("tb_rec_uni[natureza]"),"repasse.cef.terreno",
INDIRECT("tb_rec_uni[empresa]"),$B8)</f>
        <v>0</v>
      </c>
      <c r="N8" s="183">
        <f ca="1">SUMIFS(tb_rec_uni[2025-11-01],
INDIRECT("tb_rec_uni[natureza]"),"repasse.cef.obra",
INDIRECT("tb_rec_uni[empresa]"),$B8)+
SUMIFS(tb_rec_uni[2025-11-01],
INDIRECT("tb_rec_uni[natureza]"),"repasse.cef.terreno",
INDIRECT("tb_rec_uni[empresa]"),$B8)</f>
        <v>0</v>
      </c>
      <c r="O8" s="183">
        <f ca="1">SUMIFS(tb_rec_uni[2025-12-01],
INDIRECT("tb_rec_uni[natureza]"),"repasse.cef.obra",
INDIRECT("tb_rec_uni[empresa]"),$B8)+
SUMIFS(tb_rec_uni[2025-12-01],
INDIRECT("tb_rec_uni[natureza]"),"repasse.cef.terreno",
INDIRECT("tb_rec_uni[empresa]"),$B8)</f>
        <v>0</v>
      </c>
      <c r="P8" s="183">
        <f ca="1">SUMIFS(tb_rec_uni[2026-01-01],
INDIRECT("tb_rec_uni[natureza]"),"repasse.cef.obra",
INDIRECT("tb_rec_uni[empresa]"),$B8)+
SUMIFS(tb_rec_uni[2026-01-01],
INDIRECT("tb_rec_uni[natureza]"),"repasse.cef.terreno",
INDIRECT("tb_rec_uni[empresa]"),$B8)</f>
        <v>0</v>
      </c>
      <c r="Q8" s="183">
        <f ca="1">SUMIFS(tb_rec_uni[2026-02-01],
INDIRECT("tb_rec_uni[natureza]"),"repasse.cef.obra",
INDIRECT("tb_rec_uni[empresa]"),$B8)+
SUMIFS(tb_rec_uni[2026-02-01],
INDIRECT("tb_rec_uni[natureza]"),"repasse.cef.terreno",
INDIRECT("tb_rec_uni[empresa]"),$B8)</f>
        <v>0</v>
      </c>
      <c r="R8" s="183">
        <f ca="1">SUMIFS(tb_rec_uni[2026-03-01],
INDIRECT("tb_rec_uni[natureza]"),"repasse.cef.obra",
INDIRECT("tb_rec_uni[empresa]"),$B8)+
SUMIFS(tb_rec_uni[2026-03-01],
INDIRECT("tb_rec_uni[natureza]"),"repasse.cef.terreno",
INDIRECT("tb_rec_uni[empresa]"),$B8)</f>
        <v>0</v>
      </c>
      <c r="S8" s="183">
        <f ca="1">SUMIFS(tb_rec_uni[2026-04-01],
INDIRECT("tb_rec_uni[natureza]"),"repasse.cef.obra",
INDIRECT("tb_rec_uni[empresa]"),$B8)+
SUMIFS(tb_rec_uni[2026-04-01],
INDIRECT("tb_rec_uni[natureza]"),"repasse.cef.terreno",
INDIRECT("tb_rec_uni[empresa]"),$B8)</f>
        <v>0</v>
      </c>
      <c r="T8" s="183">
        <f ca="1">SUMIFS(tb_rec_uni[2026-05-01],
INDIRECT("tb_rec_uni[natureza]"),"repasse.cef.obra",
INDIRECT("tb_rec_uni[empresa]"),$B8)+
SUMIFS(tb_rec_uni[2026-05-01],
INDIRECT("tb_rec_uni[natureza]"),"repasse.cef.terreno",
INDIRECT("tb_rec_uni[empresa]"),$B8)</f>
        <v>0</v>
      </c>
      <c r="U8" s="183">
        <f ca="1">SUMIFS(tb_rec_uni[2026-06-01],
INDIRECT("tb_rec_uni[natureza]"),"repasse.cef.obra",
INDIRECT("tb_rec_uni[empresa]"),$B8)+
SUMIFS(tb_rec_uni[2026-06-01],
INDIRECT("tb_rec_uni[natureza]"),"repasse.cef.terreno",
INDIRECT("tb_rec_uni[empresa]"),$B8)</f>
        <v>0</v>
      </c>
      <c r="V8" s="183">
        <f ca="1">SUMIFS(tb_rec_uni[2026-07-01],
INDIRECT("tb_rec_uni[natureza]"),"repasse.cef.obra",
INDIRECT("tb_rec_uni[empresa]"),$B8)+
SUMIFS(tb_rec_uni[2026-07-01],
INDIRECT("tb_rec_uni[natureza]"),"repasse.cef.terreno",
INDIRECT("tb_rec_uni[empresa]"),$B8)</f>
        <v>0</v>
      </c>
      <c r="W8" s="183">
        <f ca="1">SUMIFS(tb_rec_uni[2026-08-01],
INDIRECT("tb_rec_uni[natureza]"),"repasse.cef.obra",
INDIRECT("tb_rec_uni[empresa]"),$B8)+
SUMIFS(tb_rec_uni[2026-08-01],
INDIRECT("tb_rec_uni[natureza]"),"repasse.cef.terreno",
INDIRECT("tb_rec_uni[empresa]"),$B8)</f>
        <v>0</v>
      </c>
      <c r="X8" s="183">
        <f ca="1">SUMIFS(tb_rec_uni[2026-09-01],
INDIRECT("tb_rec_uni[natureza]"),"repasse.cef.obra",
INDIRECT("tb_rec_uni[empresa]"),$B8)+
SUMIFS(tb_rec_uni[2026-09-01],
INDIRECT("tb_rec_uni[natureza]"),"repasse.cef.terreno",
INDIRECT("tb_rec_uni[empresa]"),$B8)</f>
        <v>0</v>
      </c>
      <c r="Y8" s="183">
        <f ca="1">SUMIFS(tb_rec_uni[2026-10-01],
INDIRECT("tb_rec_uni[natureza]"),"repasse.cef.obra",
INDIRECT("tb_rec_uni[empresa]"),$B8)+
SUMIFS(tb_rec_uni[2026-10-01],
INDIRECT("tb_rec_uni[natureza]"),"repasse.cef.terreno",
INDIRECT("tb_rec_uni[empresa]"),$B8)</f>
        <v>0</v>
      </c>
      <c r="Z8" s="183">
        <f ca="1">SUMIFS(tb_rec_uni[2026-11-01],
INDIRECT("tb_rec_uni[natureza]"),"repasse.cef.obra",
INDIRECT("tb_rec_uni[empresa]"),$B8)+
SUMIFS(tb_rec_uni[2026-11-01],
INDIRECT("tb_rec_uni[natureza]"),"repasse.cef.terreno",
INDIRECT("tb_rec_uni[empresa]"),$B8)</f>
        <v>0</v>
      </c>
      <c r="AA8" s="183">
        <f ca="1">SUMIFS(tb_rec_uni[2026-12-01],
INDIRECT("tb_rec_uni[natureza]"),"repasse.cef.obra",
INDIRECT("tb_rec_uni[empresa]"),$B8)+
SUMIFS(tb_rec_uni[2026-12-01],
INDIRECT("tb_rec_uni[natureza]"),"repasse.cef.terreno",
INDIRECT("tb_rec_uni[empresa]"),$B8)</f>
        <v>0</v>
      </c>
      <c r="AC8" s="175">
        <f ca="1">SUM($D8:INDEX($D8:$AA8,1,MATCH(DATE(YEAR(inputs!$A$1),MONTH(inputs!$A$1),1),$D$1:$AA$1,0)))</f>
        <v>0</v>
      </c>
      <c r="AE8" s="175">
        <f t="shared" ca="1" si="1"/>
        <v>0</v>
      </c>
    </row>
    <row r="9" spans="1:33" outlineLevel="2" x14ac:dyDescent="0.25">
      <c r="A9" s="182" t="s">
        <v>512</v>
      </c>
      <c r="B9" s="182" t="s">
        <v>8</v>
      </c>
      <c r="C9" s="135" t="s">
        <v>474</v>
      </c>
      <c r="D9" s="183">
        <f ca="1">SUMIFS(tb_rec_uni[2025-01-01],
INDIRECT("tb_rec_uni[natureza]"),"repasse.cef.obra",
INDIRECT("tb_rec_uni[empresa]"),$B9)+
SUMIFS(tb_rec_uni[2025-01-01],
INDIRECT("tb_rec_uni[natureza]"),"repasse.cef.terreno",
INDIRECT("tb_rec_uni[empresa]"),$B9)</f>
        <v>0</v>
      </c>
      <c r="E9" s="183">
        <f ca="1">SUMIFS(tb_rec_uni[2025-02-01],
INDIRECT("tb_rec_uni[natureza]"),"repasse.cef.obra",
INDIRECT("tb_rec_uni[empresa]"),$B9)+
SUMIFS(tb_rec_uni[2025-02-01],
INDIRECT("tb_rec_uni[natureza]"),"repasse.cef.terreno",
INDIRECT("tb_rec_uni[empresa]"),$B9)</f>
        <v>0</v>
      </c>
      <c r="F9" s="183">
        <f ca="1">SUMIFS(tb_rec_uni[2025-03-01],
INDIRECT("tb_rec_uni[natureza]"),"repasse.cef.obra",
INDIRECT("tb_rec_uni[empresa]"),$B9)+
SUMIFS(tb_rec_uni[2025-03-01],
INDIRECT("tb_rec_uni[natureza]"),"repasse.cef.terreno",
INDIRECT("tb_rec_uni[empresa]"),$B9)</f>
        <v>0</v>
      </c>
      <c r="G9" s="183">
        <f ca="1">SUMIFS(tb_rec_uni[2025-04-01],
INDIRECT("tb_rec_uni[natureza]"),"repasse.cef.obra",
INDIRECT("tb_rec_uni[empresa]"),$B9)+
SUMIFS(tb_rec_uni[2025-04-01],
INDIRECT("tb_rec_uni[natureza]"),"repasse.cef.terreno",
INDIRECT("tb_rec_uni[empresa]"),$B9)</f>
        <v>0</v>
      </c>
      <c r="H9" s="183">
        <f ca="1">SUMIFS(tb_rec_uni[2025-05-01],
INDIRECT("tb_rec_uni[natureza]"),"repasse.cef.obra",
INDIRECT("tb_rec_uni[empresa]"),$B9)+
SUMIFS(tb_rec_uni[2025-05-01],
INDIRECT("tb_rec_uni[natureza]"),"repasse.cef.terreno",
INDIRECT("tb_rec_uni[empresa]"),$B9)</f>
        <v>0</v>
      </c>
      <c r="I9" s="183">
        <f ca="1">SUMIFS(tb_rec_uni[2025-06-01],
INDIRECT("tb_rec_uni[natureza]"),"repasse.cef.obra",
INDIRECT("tb_rec_uni[empresa]"),$B9)+
SUMIFS(tb_rec_uni[2025-06-01],
INDIRECT("tb_rec_uni[natureza]"),"repasse.cef.terreno",
INDIRECT("tb_rec_uni[empresa]"),$B9)</f>
        <v>0</v>
      </c>
      <c r="J9" s="183">
        <f ca="1">SUMIFS(tb_rec_uni[2025-07-01],
INDIRECT("tb_rec_uni[natureza]"),"repasse.cef.obra",
INDIRECT("tb_rec_uni[empresa]"),$B9)+
SUMIFS(tb_rec_uni[2025-07-01],
INDIRECT("tb_rec_uni[natureza]"),"repasse.cef.terreno",
INDIRECT("tb_rec_uni[empresa]"),$B9)</f>
        <v>0</v>
      </c>
      <c r="K9" s="183">
        <f ca="1">SUMIFS(tb_rec_uni[2025-08-01],
INDIRECT("tb_rec_uni[natureza]"),"repasse.cef.obra",
INDIRECT("tb_rec_uni[empresa]"),$B9)+
SUMIFS(tb_rec_uni[2025-08-01],
INDIRECT("tb_rec_uni[natureza]"),"repasse.cef.terreno",
INDIRECT("tb_rec_uni[empresa]"),$B9)</f>
        <v>0</v>
      </c>
      <c r="L9" s="183">
        <f ca="1">SUMIFS(tb_rec_uni[2025-09-01],
INDIRECT("tb_rec_uni[natureza]"),"repasse.cef.obra",
INDIRECT("tb_rec_uni[empresa]"),$B9)+
SUMIFS(tb_rec_uni[2025-09-01],
INDIRECT("tb_rec_uni[natureza]"),"repasse.cef.terreno",
INDIRECT("tb_rec_uni[empresa]"),$B9)</f>
        <v>0</v>
      </c>
      <c r="M9" s="183">
        <f ca="1">SUMIFS(tb_rec_uni[2025-10-01],
INDIRECT("tb_rec_uni[natureza]"),"repasse.cef.obra",
INDIRECT("tb_rec_uni[empresa]"),$B9)+
SUMIFS(tb_rec_uni[2025-10-01],
INDIRECT("tb_rec_uni[natureza]"),"repasse.cef.terreno",
INDIRECT("tb_rec_uni[empresa]"),$B9)</f>
        <v>0</v>
      </c>
      <c r="N9" s="183">
        <f ca="1">SUMIFS(tb_rec_uni[2025-11-01],
INDIRECT("tb_rec_uni[natureza]"),"repasse.cef.obra",
INDIRECT("tb_rec_uni[empresa]"),$B9)+
SUMIFS(tb_rec_uni[2025-11-01],
INDIRECT("tb_rec_uni[natureza]"),"repasse.cef.terreno",
INDIRECT("tb_rec_uni[empresa]"),$B9)</f>
        <v>0</v>
      </c>
      <c r="O9" s="183">
        <f ca="1">SUMIFS(tb_rec_uni[2025-12-01],
INDIRECT("tb_rec_uni[natureza]"),"repasse.cef.obra",
INDIRECT("tb_rec_uni[empresa]"),$B9)+
SUMIFS(tb_rec_uni[2025-12-01],
INDIRECT("tb_rec_uni[natureza]"),"repasse.cef.terreno",
INDIRECT("tb_rec_uni[empresa]"),$B9)</f>
        <v>0</v>
      </c>
      <c r="P9" s="183">
        <f ca="1">SUMIFS(tb_rec_uni[2026-01-01],
INDIRECT("tb_rec_uni[natureza]"),"repasse.cef.obra",
INDIRECT("tb_rec_uni[empresa]"),$B9)+
SUMIFS(tb_rec_uni[2026-01-01],
INDIRECT("tb_rec_uni[natureza]"),"repasse.cef.terreno",
INDIRECT("tb_rec_uni[empresa]"),$B9)</f>
        <v>0</v>
      </c>
      <c r="Q9" s="183">
        <f ca="1">SUMIFS(tb_rec_uni[2026-02-01],
INDIRECT("tb_rec_uni[natureza]"),"repasse.cef.obra",
INDIRECT("tb_rec_uni[empresa]"),$B9)+
SUMIFS(tb_rec_uni[2026-02-01],
INDIRECT("tb_rec_uni[natureza]"),"repasse.cef.terreno",
INDIRECT("tb_rec_uni[empresa]"),$B9)</f>
        <v>0</v>
      </c>
      <c r="R9" s="183">
        <f ca="1">SUMIFS(tb_rec_uni[2026-03-01],
INDIRECT("tb_rec_uni[natureza]"),"repasse.cef.obra",
INDIRECT("tb_rec_uni[empresa]"),$B9)+
SUMIFS(tb_rec_uni[2026-03-01],
INDIRECT("tb_rec_uni[natureza]"),"repasse.cef.terreno",
INDIRECT("tb_rec_uni[empresa]"),$B9)</f>
        <v>0</v>
      </c>
      <c r="S9" s="183">
        <f ca="1">SUMIFS(tb_rec_uni[2026-04-01],
INDIRECT("tb_rec_uni[natureza]"),"repasse.cef.obra",
INDIRECT("tb_rec_uni[empresa]"),$B9)+
SUMIFS(tb_rec_uni[2026-04-01],
INDIRECT("tb_rec_uni[natureza]"),"repasse.cef.terreno",
INDIRECT("tb_rec_uni[empresa]"),$B9)</f>
        <v>0</v>
      </c>
      <c r="T9" s="183">
        <f ca="1">SUMIFS(tb_rec_uni[2026-05-01],
INDIRECT("tb_rec_uni[natureza]"),"repasse.cef.obra",
INDIRECT("tb_rec_uni[empresa]"),$B9)+
SUMIFS(tb_rec_uni[2026-05-01],
INDIRECT("tb_rec_uni[natureza]"),"repasse.cef.terreno",
INDIRECT("tb_rec_uni[empresa]"),$B9)</f>
        <v>0</v>
      </c>
      <c r="U9" s="183">
        <f ca="1">SUMIFS(tb_rec_uni[2026-06-01],
INDIRECT("tb_rec_uni[natureza]"),"repasse.cef.obra",
INDIRECT("tb_rec_uni[empresa]"),$B9)+
SUMIFS(tb_rec_uni[2026-06-01],
INDIRECT("tb_rec_uni[natureza]"),"repasse.cef.terreno",
INDIRECT("tb_rec_uni[empresa]"),$B9)</f>
        <v>0</v>
      </c>
      <c r="V9" s="183">
        <f ca="1">SUMIFS(tb_rec_uni[2026-07-01],
INDIRECT("tb_rec_uni[natureza]"),"repasse.cef.obra",
INDIRECT("tb_rec_uni[empresa]"),$B9)+
SUMIFS(tb_rec_uni[2026-07-01],
INDIRECT("tb_rec_uni[natureza]"),"repasse.cef.terreno",
INDIRECT("tb_rec_uni[empresa]"),$B9)</f>
        <v>0</v>
      </c>
      <c r="W9" s="183">
        <f ca="1">SUMIFS(tb_rec_uni[2026-08-01],
INDIRECT("tb_rec_uni[natureza]"),"repasse.cef.obra",
INDIRECT("tb_rec_uni[empresa]"),$B9)+
SUMIFS(tb_rec_uni[2026-08-01],
INDIRECT("tb_rec_uni[natureza]"),"repasse.cef.terreno",
INDIRECT("tb_rec_uni[empresa]"),$B9)</f>
        <v>0</v>
      </c>
      <c r="X9" s="183">
        <f ca="1">SUMIFS(tb_rec_uni[2026-09-01],
INDIRECT("tb_rec_uni[natureza]"),"repasse.cef.obra",
INDIRECT("tb_rec_uni[empresa]"),$B9)+
SUMIFS(tb_rec_uni[2026-09-01],
INDIRECT("tb_rec_uni[natureza]"),"repasse.cef.terreno",
INDIRECT("tb_rec_uni[empresa]"),$B9)</f>
        <v>0</v>
      </c>
      <c r="Y9" s="183">
        <f ca="1">SUMIFS(tb_rec_uni[2026-10-01],
INDIRECT("tb_rec_uni[natureza]"),"repasse.cef.obra",
INDIRECT("tb_rec_uni[empresa]"),$B9)+
SUMIFS(tb_rec_uni[2026-10-01],
INDIRECT("tb_rec_uni[natureza]"),"repasse.cef.terreno",
INDIRECT("tb_rec_uni[empresa]"),$B9)</f>
        <v>0</v>
      </c>
      <c r="Z9" s="183">
        <f ca="1">SUMIFS(tb_rec_uni[2026-11-01],
INDIRECT("tb_rec_uni[natureza]"),"repasse.cef.obra",
INDIRECT("tb_rec_uni[empresa]"),$B9)+
SUMIFS(tb_rec_uni[2026-11-01],
INDIRECT("tb_rec_uni[natureza]"),"repasse.cef.terreno",
INDIRECT("tb_rec_uni[empresa]"),$B9)</f>
        <v>0</v>
      </c>
      <c r="AA9" s="183">
        <f ca="1">SUMIFS(tb_rec_uni[2026-12-01],
INDIRECT("tb_rec_uni[natureza]"),"repasse.cef.obra",
INDIRECT("tb_rec_uni[empresa]"),$B9)+
SUMIFS(tb_rec_uni[2026-12-01],
INDIRECT("tb_rec_uni[natureza]"),"repasse.cef.terreno",
INDIRECT("tb_rec_uni[empresa]"),$B9)</f>
        <v>0</v>
      </c>
      <c r="AC9" s="175">
        <f ca="1">SUM($D9:INDEX($D9:$AA9,1,MATCH(DATE(YEAR(inputs!$A$1),MONTH(inputs!$A$1),1),$D$1:$AA$1,0)))</f>
        <v>0</v>
      </c>
      <c r="AE9" s="175">
        <f t="shared" ref="AE9" ca="1" si="4">SUM(D9:AA9)</f>
        <v>0</v>
      </c>
    </row>
    <row r="10" spans="1:33" outlineLevel="2" x14ac:dyDescent="0.25">
      <c r="A10" s="182" t="s">
        <v>1121</v>
      </c>
      <c r="B10" s="182" t="s">
        <v>13</v>
      </c>
      <c r="C10" s="135" t="s">
        <v>474</v>
      </c>
      <c r="D10" s="183">
        <f ca="1">SUMIFS(tb_rec_uni[2025-01-01],
INDIRECT("tb_rec_uni[natureza]"),"repasse.cef.obra",
INDIRECT("tb_rec_uni[empresa]"),$B10)+
SUMIFS(tb_rec_uni[2025-01-01],
INDIRECT("tb_rec_uni[natureza]"),"repasse.cef.terreno",
INDIRECT("tb_rec_uni[empresa]"),$B10)</f>
        <v>0</v>
      </c>
      <c r="E10" s="183">
        <f ca="1">SUMIFS(tb_rec_uni[2025-02-01],
INDIRECT("tb_rec_uni[natureza]"),"repasse.cef.obra",
INDIRECT("tb_rec_uni[empresa]"),$B10)+
SUMIFS(tb_rec_uni[2025-02-01],
INDIRECT("tb_rec_uni[natureza]"),"repasse.cef.terreno",
INDIRECT("tb_rec_uni[empresa]"),$B10)</f>
        <v>0</v>
      </c>
      <c r="F10" s="183">
        <f ca="1">SUMIFS(tb_rec_uni[2025-03-01],
INDIRECT("tb_rec_uni[natureza]"),"repasse.cef.obra",
INDIRECT("tb_rec_uni[empresa]"),$B10)+
SUMIFS(tb_rec_uni[2025-03-01],
INDIRECT("tb_rec_uni[natureza]"),"repasse.cef.terreno",
INDIRECT("tb_rec_uni[empresa]"),$B10)</f>
        <v>0</v>
      </c>
      <c r="G10" s="183">
        <f ca="1">SUMIFS(tb_rec_uni[2025-04-01],
INDIRECT("tb_rec_uni[natureza]"),"repasse.cef.obra",
INDIRECT("tb_rec_uni[empresa]"),$B10)+
SUMIFS(tb_rec_uni[2025-04-01],
INDIRECT("tb_rec_uni[natureza]"),"repasse.cef.terreno",
INDIRECT("tb_rec_uni[empresa]"),$B10)</f>
        <v>0</v>
      </c>
      <c r="H10" s="183">
        <f ca="1">SUMIFS(tb_rec_uni[2025-05-01],
INDIRECT("tb_rec_uni[natureza]"),"repasse.cef.obra",
INDIRECT("tb_rec_uni[empresa]"),$B10)+
SUMIFS(tb_rec_uni[2025-05-01],
INDIRECT("tb_rec_uni[natureza]"),"repasse.cef.terreno",
INDIRECT("tb_rec_uni[empresa]"),$B10)</f>
        <v>0</v>
      </c>
      <c r="I10" s="183">
        <f ca="1">SUMIFS(tb_rec_uni[2025-06-01],
INDIRECT("tb_rec_uni[natureza]"),"repasse.cef.obra",
INDIRECT("tb_rec_uni[empresa]"),$B10)+
SUMIFS(tb_rec_uni[2025-06-01],
INDIRECT("tb_rec_uni[natureza]"),"repasse.cef.terreno",
INDIRECT("tb_rec_uni[empresa]"),$B10)</f>
        <v>0</v>
      </c>
      <c r="J10" s="183">
        <f ca="1">SUMIFS(tb_rec_uni[2025-07-01],
INDIRECT("tb_rec_uni[natureza]"),"repasse.cef.obra",
INDIRECT("tb_rec_uni[empresa]"),$B10)+
SUMIFS(tb_rec_uni[2025-07-01],
INDIRECT("tb_rec_uni[natureza]"),"repasse.cef.terreno",
INDIRECT("tb_rec_uni[empresa]"),$B10)</f>
        <v>0</v>
      </c>
      <c r="K10" s="183">
        <f ca="1">SUMIFS(tb_rec_uni[2025-08-01],
INDIRECT("tb_rec_uni[natureza]"),"repasse.cef.obra",
INDIRECT("tb_rec_uni[empresa]"),$B10)+
SUMIFS(tb_rec_uni[2025-08-01],
INDIRECT("tb_rec_uni[natureza]"),"repasse.cef.terreno",
INDIRECT("tb_rec_uni[empresa]"),$B10)</f>
        <v>0</v>
      </c>
      <c r="L10" s="183">
        <f ca="1">SUMIFS(tb_rec_uni[2025-09-01],
INDIRECT("tb_rec_uni[natureza]"),"repasse.cef.obra",
INDIRECT("tb_rec_uni[empresa]"),$B10)+
SUMIFS(tb_rec_uni[2025-09-01],
INDIRECT("tb_rec_uni[natureza]"),"repasse.cef.terreno",
INDIRECT("tb_rec_uni[empresa]"),$B10)</f>
        <v>0</v>
      </c>
      <c r="M10" s="183">
        <f ca="1">SUMIFS(tb_rec_uni[2025-10-01],
INDIRECT("tb_rec_uni[natureza]"),"repasse.cef.obra",
INDIRECT("tb_rec_uni[empresa]"),$B10)+
SUMIFS(tb_rec_uni[2025-10-01],
INDIRECT("tb_rec_uni[natureza]"),"repasse.cef.terreno",
INDIRECT("tb_rec_uni[empresa]"),$B10)</f>
        <v>0</v>
      </c>
      <c r="N10" s="183">
        <f ca="1">SUMIFS(tb_rec_uni[2025-11-01],
INDIRECT("tb_rec_uni[natureza]"),"repasse.cef.obra",
INDIRECT("tb_rec_uni[empresa]"),$B10)+
SUMIFS(tb_rec_uni[2025-11-01],
INDIRECT("tb_rec_uni[natureza]"),"repasse.cef.terreno",
INDIRECT("tb_rec_uni[empresa]"),$B10)</f>
        <v>0</v>
      </c>
      <c r="O10" s="183">
        <f ca="1">SUMIFS(tb_rec_uni[2025-12-01],
INDIRECT("tb_rec_uni[natureza]"),"repasse.cef.obra",
INDIRECT("tb_rec_uni[empresa]"),$B10)+
SUMIFS(tb_rec_uni[2025-12-01],
INDIRECT("tb_rec_uni[natureza]"),"repasse.cef.terreno",
INDIRECT("tb_rec_uni[empresa]"),$B10)</f>
        <v>0</v>
      </c>
      <c r="P10" s="183">
        <f ca="1">SUMIFS(tb_rec_uni[2026-01-01],
INDIRECT("tb_rec_uni[natureza]"),"repasse.cef.obra",
INDIRECT("tb_rec_uni[empresa]"),$B10)+
SUMIFS(tb_rec_uni[2026-01-01],
INDIRECT("tb_rec_uni[natureza]"),"repasse.cef.terreno",
INDIRECT("tb_rec_uni[empresa]"),$B10)</f>
        <v>0</v>
      </c>
      <c r="Q10" s="183">
        <f ca="1">SUMIFS(tb_rec_uni[2026-02-01],
INDIRECT("tb_rec_uni[natureza]"),"repasse.cef.obra",
INDIRECT("tb_rec_uni[empresa]"),$B10)+
SUMIFS(tb_rec_uni[2026-02-01],
INDIRECT("tb_rec_uni[natureza]"),"repasse.cef.terreno",
INDIRECT("tb_rec_uni[empresa]"),$B10)</f>
        <v>0</v>
      </c>
      <c r="R10" s="183">
        <f ca="1">SUMIFS(tb_rec_uni[2026-03-01],
INDIRECT("tb_rec_uni[natureza]"),"repasse.cef.obra",
INDIRECT("tb_rec_uni[empresa]"),$B10)+
SUMIFS(tb_rec_uni[2026-03-01],
INDIRECT("tb_rec_uni[natureza]"),"repasse.cef.terreno",
INDIRECT("tb_rec_uni[empresa]"),$B10)</f>
        <v>0</v>
      </c>
      <c r="S10" s="183">
        <f ca="1">SUMIFS(tb_rec_uni[2026-04-01],
INDIRECT("tb_rec_uni[natureza]"),"repasse.cef.obra",
INDIRECT("tb_rec_uni[empresa]"),$B10)+
SUMIFS(tb_rec_uni[2026-04-01],
INDIRECT("tb_rec_uni[natureza]"),"repasse.cef.terreno",
INDIRECT("tb_rec_uni[empresa]"),$B10)</f>
        <v>0</v>
      </c>
      <c r="T10" s="183">
        <f ca="1">SUMIFS(tb_rec_uni[2026-05-01],
INDIRECT("tb_rec_uni[natureza]"),"repasse.cef.obra",
INDIRECT("tb_rec_uni[empresa]"),$B10)+
SUMIFS(tb_rec_uni[2026-05-01],
INDIRECT("tb_rec_uni[natureza]"),"repasse.cef.terreno",
INDIRECT("tb_rec_uni[empresa]"),$B10)</f>
        <v>0</v>
      </c>
      <c r="U10" s="183">
        <f ca="1">SUMIFS(tb_rec_uni[2026-06-01],
INDIRECT("tb_rec_uni[natureza]"),"repasse.cef.obra",
INDIRECT("tb_rec_uni[empresa]"),$B10)+
SUMIFS(tb_rec_uni[2026-06-01],
INDIRECT("tb_rec_uni[natureza]"),"repasse.cef.terreno",
INDIRECT("tb_rec_uni[empresa]"),$B10)</f>
        <v>0</v>
      </c>
      <c r="V10" s="183">
        <f ca="1">SUMIFS(tb_rec_uni[2026-07-01],
INDIRECT("tb_rec_uni[natureza]"),"repasse.cef.obra",
INDIRECT("tb_rec_uni[empresa]"),$B10)+
SUMIFS(tb_rec_uni[2026-07-01],
INDIRECT("tb_rec_uni[natureza]"),"repasse.cef.terreno",
INDIRECT("tb_rec_uni[empresa]"),$B10)</f>
        <v>0</v>
      </c>
      <c r="W10" s="183">
        <f ca="1">SUMIFS(tb_rec_uni[2026-08-01],
INDIRECT("tb_rec_uni[natureza]"),"repasse.cef.obra",
INDIRECT("tb_rec_uni[empresa]"),$B10)+
SUMIFS(tb_rec_uni[2026-08-01],
INDIRECT("tb_rec_uni[natureza]"),"repasse.cef.terreno",
INDIRECT("tb_rec_uni[empresa]"),$B10)</f>
        <v>0</v>
      </c>
      <c r="X10" s="183">
        <f ca="1">SUMIFS(tb_rec_uni[2026-09-01],
INDIRECT("tb_rec_uni[natureza]"),"repasse.cef.obra",
INDIRECT("tb_rec_uni[empresa]"),$B10)+
SUMIFS(tb_rec_uni[2026-09-01],
INDIRECT("tb_rec_uni[natureza]"),"repasse.cef.terreno",
INDIRECT("tb_rec_uni[empresa]"),$B10)</f>
        <v>0</v>
      </c>
      <c r="Y10" s="183">
        <f ca="1">SUMIFS(tb_rec_uni[2026-10-01],
INDIRECT("tb_rec_uni[natureza]"),"repasse.cef.obra",
INDIRECT("tb_rec_uni[empresa]"),$B10)+
SUMIFS(tb_rec_uni[2026-10-01],
INDIRECT("tb_rec_uni[natureza]"),"repasse.cef.terreno",
INDIRECT("tb_rec_uni[empresa]"),$B10)</f>
        <v>0</v>
      </c>
      <c r="Z10" s="183">
        <f ca="1">SUMIFS(tb_rec_uni[2026-11-01],
INDIRECT("tb_rec_uni[natureza]"),"repasse.cef.obra",
INDIRECT("tb_rec_uni[empresa]"),$B10)+
SUMIFS(tb_rec_uni[2026-11-01],
INDIRECT("tb_rec_uni[natureza]"),"repasse.cef.terreno",
INDIRECT("tb_rec_uni[empresa]"),$B10)</f>
        <v>0</v>
      </c>
      <c r="AA10" s="183">
        <f ca="1">SUMIFS(tb_rec_uni[2026-12-01],
INDIRECT("tb_rec_uni[natureza]"),"repasse.cef.obra",
INDIRECT("tb_rec_uni[empresa]"),$B10)+
SUMIFS(tb_rec_uni[2026-12-01],
INDIRECT("tb_rec_uni[natureza]"),"repasse.cef.terreno",
INDIRECT("tb_rec_uni[empresa]"),$B10)</f>
        <v>0</v>
      </c>
      <c r="AC10" s="175">
        <f ca="1">SUM($D10:INDEX($D10:$AA10,1,MATCH(DATE(YEAR(inputs!$A$1),MONTH(inputs!$A$1),1),$D$1:$AA$1,0)))</f>
        <v>0</v>
      </c>
      <c r="AE10" s="175">
        <f t="shared" ca="1" si="1"/>
        <v>0</v>
      </c>
    </row>
    <row r="11" spans="1:33" outlineLevel="1" x14ac:dyDescent="0.25">
      <c r="A11" s="179" t="s">
        <v>513</v>
      </c>
      <c r="B11" s="179" t="s">
        <v>16</v>
      </c>
      <c r="C11" s="180" t="s">
        <v>514</v>
      </c>
      <c r="D11" s="181">
        <f t="shared" ref="D11:AA11" ca="1" si="5">SUM(D$12:D$22)</f>
        <v>0</v>
      </c>
      <c r="E11" s="181">
        <f t="shared" ca="1" si="5"/>
        <v>0</v>
      </c>
      <c r="F11" s="181">
        <f t="shared" ca="1" si="5"/>
        <v>0</v>
      </c>
      <c r="G11" s="181">
        <f t="shared" ca="1" si="5"/>
        <v>0</v>
      </c>
      <c r="H11" s="181">
        <f t="shared" ca="1" si="5"/>
        <v>0</v>
      </c>
      <c r="I11" s="181">
        <f t="shared" ca="1" si="5"/>
        <v>0</v>
      </c>
      <c r="J11" s="181">
        <f t="shared" ca="1" si="5"/>
        <v>0</v>
      </c>
      <c r="K11" s="181">
        <f t="shared" ca="1" si="5"/>
        <v>0</v>
      </c>
      <c r="L11" s="181">
        <f t="shared" ca="1" si="5"/>
        <v>0</v>
      </c>
      <c r="M11" s="181">
        <f t="shared" ca="1" si="5"/>
        <v>0</v>
      </c>
      <c r="N11" s="181">
        <f t="shared" ca="1" si="5"/>
        <v>0</v>
      </c>
      <c r="O11" s="181">
        <f t="shared" ca="1" si="5"/>
        <v>0</v>
      </c>
      <c r="P11" s="181">
        <f t="shared" ca="1" si="5"/>
        <v>0</v>
      </c>
      <c r="Q11" s="181">
        <f t="shared" ca="1" si="5"/>
        <v>0</v>
      </c>
      <c r="R11" s="181">
        <f t="shared" ca="1" si="5"/>
        <v>0</v>
      </c>
      <c r="S11" s="181">
        <f t="shared" ca="1" si="5"/>
        <v>0</v>
      </c>
      <c r="T11" s="181">
        <f t="shared" ca="1" si="5"/>
        <v>0</v>
      </c>
      <c r="U11" s="181">
        <f t="shared" ca="1" si="5"/>
        <v>0</v>
      </c>
      <c r="V11" s="181">
        <f t="shared" ca="1" si="5"/>
        <v>0</v>
      </c>
      <c r="W11" s="181">
        <f t="shared" ca="1" si="5"/>
        <v>0</v>
      </c>
      <c r="X11" s="181">
        <f t="shared" ca="1" si="5"/>
        <v>0</v>
      </c>
      <c r="Y11" s="181">
        <f t="shared" ca="1" si="5"/>
        <v>0</v>
      </c>
      <c r="Z11" s="181">
        <f t="shared" ca="1" si="5"/>
        <v>0</v>
      </c>
      <c r="AA11" s="181">
        <f t="shared" ca="1" si="5"/>
        <v>0</v>
      </c>
      <c r="AC11" s="275">
        <f ca="1">SUM($D11:INDEX($D11:$AA11,1,MATCH(DATE(YEAR(inputs!$A$1),MONTH(inputs!$A$1),1),$D$1:$AA$1,0)))</f>
        <v>0</v>
      </c>
      <c r="AE11" s="275">
        <f t="shared" ca="1" si="1"/>
        <v>0</v>
      </c>
    </row>
    <row r="12" spans="1:33" outlineLevel="2" x14ac:dyDescent="0.25">
      <c r="A12" s="182" t="s">
        <v>672</v>
      </c>
      <c r="B12" s="182" t="s">
        <v>673</v>
      </c>
      <c r="C12" s="135" t="s">
        <v>514</v>
      </c>
      <c r="D12" s="183">
        <f ca="1">SUMIFS(tb_rec_uni[2025-01-01],
INDIRECT("tb_rec_uni[natureza]"),"pro.soluto",
INDIRECT("tb_rec_uni[empresa]"),$B12)</f>
        <v>0</v>
      </c>
      <c r="E12" s="183">
        <f ca="1">SUMIFS(tb_rec_uni[2025-02-01],
INDIRECT("tb_rec_uni[natureza]"),"pro.soluto",
INDIRECT("tb_rec_uni[empresa]"),$B12)</f>
        <v>0</v>
      </c>
      <c r="F12" s="183">
        <f ca="1">SUMIFS(tb_rec_uni[2025-03-01],
INDIRECT("tb_rec_uni[natureza]"),"pro.soluto",
INDIRECT("tb_rec_uni[empresa]"),$B12)</f>
        <v>0</v>
      </c>
      <c r="G12" s="183">
        <f ca="1">SUMIFS(tb_rec_uni[2025-04-01],
INDIRECT("tb_rec_uni[natureza]"),"pro.soluto",
INDIRECT("tb_rec_uni[empresa]"),$B12)</f>
        <v>0</v>
      </c>
      <c r="H12" s="183">
        <f ca="1">SUMIFS(tb_rec_uni[2025-05-01],
INDIRECT("tb_rec_uni[natureza]"),"pro.soluto",
INDIRECT("tb_rec_uni[empresa]"),$B12)</f>
        <v>0</v>
      </c>
      <c r="I12" s="183">
        <f ca="1">SUMIFS(tb_rec_uni[2025-06-01],
INDIRECT("tb_rec_uni[natureza]"),"pro.soluto",
INDIRECT("tb_rec_uni[empresa]"),$B12)</f>
        <v>0</v>
      </c>
      <c r="J12" s="183">
        <f ca="1">SUMIFS(tb_rec_uni[2025-07-01],
INDIRECT("tb_rec_uni[natureza]"),"pro.soluto",
INDIRECT("tb_rec_uni[empresa]"),$B12)</f>
        <v>0</v>
      </c>
      <c r="K12" s="183">
        <f ca="1">SUMIFS(tb_rec_uni[2025-08-01],
INDIRECT("tb_rec_uni[natureza]"),"pro.soluto",
INDIRECT("tb_rec_uni[empresa]"),$B12)</f>
        <v>0</v>
      </c>
      <c r="L12" s="183">
        <f ca="1">SUMIFS(tb_rec_uni[2025-09-01],
INDIRECT("tb_rec_uni[natureza]"),"pro.soluto",
INDIRECT("tb_rec_uni[empresa]"),$B12)</f>
        <v>0</v>
      </c>
      <c r="M12" s="183">
        <f ca="1">SUMIFS(tb_rec_uni[2025-10-01],
INDIRECT("tb_rec_uni[natureza]"),"pro.soluto",
INDIRECT("tb_rec_uni[empresa]"),$B12)</f>
        <v>0</v>
      </c>
      <c r="N12" s="183">
        <f ca="1">SUMIFS(tb_rec_uni[2025-11-01],
INDIRECT("tb_rec_uni[natureza]"),"pro.soluto",
INDIRECT("tb_rec_uni[empresa]"),$B12)</f>
        <v>0</v>
      </c>
      <c r="O12" s="183">
        <f ca="1">SUMIFS(tb_rec_uni[2025-12-01],
INDIRECT("tb_rec_uni[natureza]"),"pro.soluto",
INDIRECT("tb_rec_uni[empresa]"),$B12)</f>
        <v>0</v>
      </c>
      <c r="P12" s="183">
        <f ca="1">SUMIFS(tb_rec_uni[2026-01-01],
INDIRECT("tb_rec_uni[natureza]"),"pro.soluto",
INDIRECT("tb_rec_uni[empresa]"),$B12)</f>
        <v>0</v>
      </c>
      <c r="Q12" s="183">
        <f ca="1">SUMIFS(tb_rec_uni[2026-02-01],
INDIRECT("tb_rec_uni[natureza]"),"pro.soluto",
INDIRECT("tb_rec_uni[empresa]"),$B12)</f>
        <v>0</v>
      </c>
      <c r="R12" s="183">
        <f ca="1">SUMIFS(tb_rec_uni[2026-03-01],
INDIRECT("tb_rec_uni[natureza]"),"pro.soluto",
INDIRECT("tb_rec_uni[empresa]"),$B12)</f>
        <v>0</v>
      </c>
      <c r="S12" s="183">
        <f ca="1">SUMIFS(tb_rec_uni[2026-04-01],
INDIRECT("tb_rec_uni[natureza]"),"pro.soluto",
INDIRECT("tb_rec_uni[empresa]"),$B12)</f>
        <v>0</v>
      </c>
      <c r="T12" s="183">
        <f ca="1">SUMIFS(tb_rec_uni[2026-05-01],
INDIRECT("tb_rec_uni[natureza]"),"pro.soluto",
INDIRECT("tb_rec_uni[empresa]"),$B12)</f>
        <v>0</v>
      </c>
      <c r="U12" s="183">
        <f ca="1">SUMIFS(tb_rec_uni[2026-06-01],
INDIRECT("tb_rec_uni[natureza]"),"pro.soluto",
INDIRECT("tb_rec_uni[empresa]"),$B12)</f>
        <v>0</v>
      </c>
      <c r="V12" s="183">
        <f ca="1">SUMIFS(tb_rec_uni[2026-07-01],
INDIRECT("tb_rec_uni[natureza]"),"pro.soluto",
INDIRECT("tb_rec_uni[empresa]"),$B12)</f>
        <v>0</v>
      </c>
      <c r="W12" s="183">
        <f ca="1">SUMIFS(tb_rec_uni[2026-08-01],
INDIRECT("tb_rec_uni[natureza]"),"pro.soluto",
INDIRECT("tb_rec_uni[empresa]"),$B12)</f>
        <v>0</v>
      </c>
      <c r="X12" s="183">
        <f ca="1">SUMIFS(tb_rec_uni[2026-09-01],
INDIRECT("tb_rec_uni[natureza]"),"pro.soluto",
INDIRECT("tb_rec_uni[empresa]"),$B12)</f>
        <v>0</v>
      </c>
      <c r="Y12" s="183">
        <f ca="1">SUMIFS(tb_rec_uni[2026-10-01],
INDIRECT("tb_rec_uni[natureza]"),"pro.soluto",
INDIRECT("tb_rec_uni[empresa]"),$B12)</f>
        <v>0</v>
      </c>
      <c r="Z12" s="183">
        <f ca="1">SUMIFS(tb_rec_uni[2026-11-01],
INDIRECT("tb_rec_uni[natureza]"),"pro.soluto",
INDIRECT("tb_rec_uni[empresa]"),$B12)</f>
        <v>0</v>
      </c>
      <c r="AA12" s="183">
        <f ca="1">SUMIFS(tb_rec_uni[2026-12-01],
INDIRECT("tb_rec_uni[natureza]"),"pro.soluto",
INDIRECT("tb_rec_uni[empresa]"),$B12)</f>
        <v>0</v>
      </c>
      <c r="AC12" s="175">
        <f ca="1">SUM($D12:INDEX($D12:$AA12,1,MATCH(DATE(YEAR(inputs!$A$1),MONTH(inputs!$A$1),1),$D$1:$AA$1,0)))</f>
        <v>0</v>
      </c>
      <c r="AE12" s="175">
        <f t="shared" ca="1" si="1"/>
        <v>0</v>
      </c>
    </row>
    <row r="13" spans="1:33" outlineLevel="2" x14ac:dyDescent="0.25">
      <c r="A13" s="182" t="s">
        <v>516</v>
      </c>
      <c r="B13" s="182" t="s">
        <v>13</v>
      </c>
      <c r="C13" s="135" t="s">
        <v>514</v>
      </c>
      <c r="D13" s="183">
        <f ca="1">SUMIFS(tb_rec_uni[2025-01-01],
INDIRECT("tb_rec_uni[natureza]"),"pro.soluto",
INDIRECT("tb_rec_uni[empresa]"),$B13)</f>
        <v>0</v>
      </c>
      <c r="E13" s="183">
        <f ca="1">SUMIFS(tb_rec_uni[2025-02-01],
INDIRECT("tb_rec_uni[natureza]"),"pro.soluto",
INDIRECT("tb_rec_uni[empresa]"),$B13)</f>
        <v>0</v>
      </c>
      <c r="F13" s="183">
        <f ca="1">SUMIFS(tb_rec_uni[2025-03-01],
INDIRECT("tb_rec_uni[natureza]"),"pro.soluto",
INDIRECT("tb_rec_uni[empresa]"),$B13)</f>
        <v>0</v>
      </c>
      <c r="G13" s="183">
        <f ca="1">SUMIFS(tb_rec_uni[2025-04-01],
INDIRECT("tb_rec_uni[natureza]"),"pro.soluto",
INDIRECT("tb_rec_uni[empresa]"),$B13)</f>
        <v>0</v>
      </c>
      <c r="H13" s="183">
        <f ca="1">SUMIFS(tb_rec_uni[2025-05-01],
INDIRECT("tb_rec_uni[natureza]"),"pro.soluto",
INDIRECT("tb_rec_uni[empresa]"),$B13)</f>
        <v>0</v>
      </c>
      <c r="I13" s="183">
        <f ca="1">SUMIFS(tb_rec_uni[2025-06-01],
INDIRECT("tb_rec_uni[natureza]"),"pro.soluto",
INDIRECT("tb_rec_uni[empresa]"),$B13)</f>
        <v>0</v>
      </c>
      <c r="J13" s="183">
        <f ca="1">SUMIFS(tb_rec_uni[2025-07-01],
INDIRECT("tb_rec_uni[natureza]"),"pro.soluto",
INDIRECT("tb_rec_uni[empresa]"),$B13)</f>
        <v>0</v>
      </c>
      <c r="K13" s="183">
        <f ca="1">SUMIFS(tb_rec_uni[2025-08-01],
INDIRECT("tb_rec_uni[natureza]"),"pro.soluto",
INDIRECT("tb_rec_uni[empresa]"),$B13)</f>
        <v>0</v>
      </c>
      <c r="L13" s="183">
        <f ca="1">SUMIFS(tb_rec_uni[2025-09-01],
INDIRECT("tb_rec_uni[natureza]"),"pro.soluto",
INDIRECT("tb_rec_uni[empresa]"),$B13)</f>
        <v>0</v>
      </c>
      <c r="M13" s="183">
        <f ca="1">SUMIFS(tb_rec_uni[2025-10-01],
INDIRECT("tb_rec_uni[natureza]"),"pro.soluto",
INDIRECT("tb_rec_uni[empresa]"),$B13)</f>
        <v>0</v>
      </c>
      <c r="N13" s="183">
        <f ca="1">SUMIFS(tb_rec_uni[2025-11-01],
INDIRECT("tb_rec_uni[natureza]"),"pro.soluto",
INDIRECT("tb_rec_uni[empresa]"),$B13)</f>
        <v>0</v>
      </c>
      <c r="O13" s="183">
        <f ca="1">SUMIFS(tb_rec_uni[2025-12-01],
INDIRECT("tb_rec_uni[natureza]"),"pro.soluto",
INDIRECT("tb_rec_uni[empresa]"),$B13)</f>
        <v>0</v>
      </c>
      <c r="P13" s="183">
        <f ca="1">SUMIFS(tb_rec_uni[2026-01-01],
INDIRECT("tb_rec_uni[natureza]"),"pro.soluto",
INDIRECT("tb_rec_uni[empresa]"),$B13)</f>
        <v>0</v>
      </c>
      <c r="Q13" s="183">
        <f ca="1">SUMIFS(tb_rec_uni[2026-02-01],
INDIRECT("tb_rec_uni[natureza]"),"pro.soluto",
INDIRECT("tb_rec_uni[empresa]"),$B13)</f>
        <v>0</v>
      </c>
      <c r="R13" s="183">
        <f ca="1">SUMIFS(tb_rec_uni[2026-03-01],
INDIRECT("tb_rec_uni[natureza]"),"pro.soluto",
INDIRECT("tb_rec_uni[empresa]"),$B13)</f>
        <v>0</v>
      </c>
      <c r="S13" s="183">
        <f ca="1">SUMIFS(tb_rec_uni[2026-04-01],
INDIRECT("tb_rec_uni[natureza]"),"pro.soluto",
INDIRECT("tb_rec_uni[empresa]"),$B13)</f>
        <v>0</v>
      </c>
      <c r="T13" s="183">
        <f ca="1">SUMIFS(tb_rec_uni[2026-05-01],
INDIRECT("tb_rec_uni[natureza]"),"pro.soluto",
INDIRECT("tb_rec_uni[empresa]"),$B13)</f>
        <v>0</v>
      </c>
      <c r="U13" s="183">
        <f ca="1">SUMIFS(tb_rec_uni[2026-06-01],
INDIRECT("tb_rec_uni[natureza]"),"pro.soluto",
INDIRECT("tb_rec_uni[empresa]"),$B13)</f>
        <v>0</v>
      </c>
      <c r="V13" s="183">
        <f ca="1">SUMIFS(tb_rec_uni[2026-07-01],
INDIRECT("tb_rec_uni[natureza]"),"pro.soluto",
INDIRECT("tb_rec_uni[empresa]"),$B13)</f>
        <v>0</v>
      </c>
      <c r="W13" s="183">
        <f ca="1">SUMIFS(tb_rec_uni[2026-08-01],
INDIRECT("tb_rec_uni[natureza]"),"pro.soluto",
INDIRECT("tb_rec_uni[empresa]"),$B13)</f>
        <v>0</v>
      </c>
      <c r="X13" s="183">
        <f ca="1">SUMIFS(tb_rec_uni[2026-09-01],
INDIRECT("tb_rec_uni[natureza]"),"pro.soluto",
INDIRECT("tb_rec_uni[empresa]"),$B13)</f>
        <v>0</v>
      </c>
      <c r="Y13" s="183">
        <f ca="1">SUMIFS(tb_rec_uni[2026-10-01],
INDIRECT("tb_rec_uni[natureza]"),"pro.soluto",
INDIRECT("tb_rec_uni[empresa]"),$B13)</f>
        <v>0</v>
      </c>
      <c r="Z13" s="183">
        <f ca="1">SUMIFS(tb_rec_uni[2026-11-01],
INDIRECT("tb_rec_uni[natureza]"),"pro.soluto",
INDIRECT("tb_rec_uni[empresa]"),$B13)</f>
        <v>0</v>
      </c>
      <c r="AA13" s="183">
        <f ca="1">SUMIFS(tb_rec_uni[2026-12-01],
INDIRECT("tb_rec_uni[natureza]"),"pro.soluto",
INDIRECT("tb_rec_uni[empresa]"),$B13)</f>
        <v>0</v>
      </c>
      <c r="AC13" s="175">
        <f ca="1">SUM($D13:INDEX($D13:$AA13,1,MATCH(DATE(YEAR(inputs!$A$1),MONTH(inputs!$A$1),1),$D$1:$AA$1,0)))</f>
        <v>0</v>
      </c>
      <c r="AE13" s="175">
        <f ca="1">SUM(D13:AA13)</f>
        <v>0</v>
      </c>
    </row>
    <row r="14" spans="1:33" outlineLevel="2" x14ac:dyDescent="0.25">
      <c r="A14" s="182" t="s">
        <v>515</v>
      </c>
      <c r="B14" s="182" t="s">
        <v>12</v>
      </c>
      <c r="C14" s="135" t="s">
        <v>514</v>
      </c>
      <c r="D14" s="183">
        <f ca="1">SUMIFS(tb_rec_uni[2025-01-01],
INDIRECT("tb_rec_uni[natureza]"),"pro.soluto",
INDIRECT("tb_rec_uni[empresa]"),$B14)</f>
        <v>0</v>
      </c>
      <c r="E14" s="183">
        <f ca="1">SUMIFS(tb_rec_uni[2025-02-01],
INDIRECT("tb_rec_uni[natureza]"),"pro.soluto",
INDIRECT("tb_rec_uni[empresa]"),$B14)</f>
        <v>0</v>
      </c>
      <c r="F14" s="183">
        <f ca="1">SUMIFS(tb_rec_uni[2025-03-01],
INDIRECT("tb_rec_uni[natureza]"),"pro.soluto",
INDIRECT("tb_rec_uni[empresa]"),$B14)</f>
        <v>0</v>
      </c>
      <c r="G14" s="183">
        <f ca="1">SUMIFS(tb_rec_uni[2025-04-01],
INDIRECT("tb_rec_uni[natureza]"),"pro.soluto",
INDIRECT("tb_rec_uni[empresa]"),$B14)</f>
        <v>0</v>
      </c>
      <c r="H14" s="183">
        <f ca="1">SUMIFS(tb_rec_uni[2025-05-01],
INDIRECT("tb_rec_uni[natureza]"),"pro.soluto",
INDIRECT("tb_rec_uni[empresa]"),$B14)</f>
        <v>0</v>
      </c>
      <c r="I14" s="183">
        <f ca="1">SUMIFS(tb_rec_uni[2025-06-01],
INDIRECT("tb_rec_uni[natureza]"),"pro.soluto",
INDIRECT("tb_rec_uni[empresa]"),$B14)</f>
        <v>0</v>
      </c>
      <c r="J14" s="183">
        <f ca="1">SUMIFS(tb_rec_uni[2025-07-01],
INDIRECT("tb_rec_uni[natureza]"),"pro.soluto",
INDIRECT("tb_rec_uni[empresa]"),$B14)</f>
        <v>0</v>
      </c>
      <c r="K14" s="183">
        <f ca="1">SUMIFS(tb_rec_uni[2025-08-01],
INDIRECT("tb_rec_uni[natureza]"),"pro.soluto",
INDIRECT("tb_rec_uni[empresa]"),$B14)</f>
        <v>0</v>
      </c>
      <c r="L14" s="183">
        <f ca="1">SUMIFS(tb_rec_uni[2025-09-01],
INDIRECT("tb_rec_uni[natureza]"),"pro.soluto",
INDIRECT("tb_rec_uni[empresa]"),$B14)</f>
        <v>0</v>
      </c>
      <c r="M14" s="183">
        <f ca="1">SUMIFS(tb_rec_uni[2025-10-01],
INDIRECT("tb_rec_uni[natureza]"),"pro.soluto",
INDIRECT("tb_rec_uni[empresa]"),$B14)</f>
        <v>0</v>
      </c>
      <c r="N14" s="183">
        <f ca="1">SUMIFS(tb_rec_uni[2025-11-01],
INDIRECT("tb_rec_uni[natureza]"),"pro.soluto",
INDIRECT("tb_rec_uni[empresa]"),$B14)</f>
        <v>0</v>
      </c>
      <c r="O14" s="183">
        <f ca="1">SUMIFS(tb_rec_uni[2025-12-01],
INDIRECT("tb_rec_uni[natureza]"),"pro.soluto",
INDIRECT("tb_rec_uni[empresa]"),$B14)</f>
        <v>0</v>
      </c>
      <c r="P14" s="183">
        <f ca="1">SUMIFS(tb_rec_uni[2026-01-01],
INDIRECT("tb_rec_uni[natureza]"),"pro.soluto",
INDIRECT("tb_rec_uni[empresa]"),$B14)</f>
        <v>0</v>
      </c>
      <c r="Q14" s="183">
        <f ca="1">SUMIFS(tb_rec_uni[2026-02-01],
INDIRECT("tb_rec_uni[natureza]"),"pro.soluto",
INDIRECT("tb_rec_uni[empresa]"),$B14)</f>
        <v>0</v>
      </c>
      <c r="R14" s="183">
        <f ca="1">SUMIFS(tb_rec_uni[2026-03-01],
INDIRECT("tb_rec_uni[natureza]"),"pro.soluto",
INDIRECT("tb_rec_uni[empresa]"),$B14)</f>
        <v>0</v>
      </c>
      <c r="S14" s="183">
        <f ca="1">SUMIFS(tb_rec_uni[2026-04-01],
INDIRECT("tb_rec_uni[natureza]"),"pro.soluto",
INDIRECT("tb_rec_uni[empresa]"),$B14)</f>
        <v>0</v>
      </c>
      <c r="T14" s="183">
        <f ca="1">SUMIFS(tb_rec_uni[2026-05-01],
INDIRECT("tb_rec_uni[natureza]"),"pro.soluto",
INDIRECT("tb_rec_uni[empresa]"),$B14)</f>
        <v>0</v>
      </c>
      <c r="U14" s="183">
        <f ca="1">SUMIFS(tb_rec_uni[2026-06-01],
INDIRECT("tb_rec_uni[natureza]"),"pro.soluto",
INDIRECT("tb_rec_uni[empresa]"),$B14)</f>
        <v>0</v>
      </c>
      <c r="V14" s="183">
        <f ca="1">SUMIFS(tb_rec_uni[2026-07-01],
INDIRECT("tb_rec_uni[natureza]"),"pro.soluto",
INDIRECT("tb_rec_uni[empresa]"),$B14)</f>
        <v>0</v>
      </c>
      <c r="W14" s="183">
        <f ca="1">SUMIFS(tb_rec_uni[2026-08-01],
INDIRECT("tb_rec_uni[natureza]"),"pro.soluto",
INDIRECT("tb_rec_uni[empresa]"),$B14)</f>
        <v>0</v>
      </c>
      <c r="X14" s="183">
        <f ca="1">SUMIFS(tb_rec_uni[2026-09-01],
INDIRECT("tb_rec_uni[natureza]"),"pro.soluto",
INDIRECT("tb_rec_uni[empresa]"),$B14)</f>
        <v>0</v>
      </c>
      <c r="Y14" s="183">
        <f ca="1">SUMIFS(tb_rec_uni[2026-10-01],
INDIRECT("tb_rec_uni[natureza]"),"pro.soluto",
INDIRECT("tb_rec_uni[empresa]"),$B14)</f>
        <v>0</v>
      </c>
      <c r="Z14" s="183">
        <f ca="1">SUMIFS(tb_rec_uni[2026-11-01],
INDIRECT("tb_rec_uni[natureza]"),"pro.soluto",
INDIRECT("tb_rec_uni[empresa]"),$B14)</f>
        <v>0</v>
      </c>
      <c r="AA14" s="183">
        <f ca="1">SUMIFS(tb_rec_uni[2026-12-01],
INDIRECT("tb_rec_uni[natureza]"),"pro.soluto",
INDIRECT("tb_rec_uni[empresa]"),$B14)</f>
        <v>0</v>
      </c>
      <c r="AC14" s="175">
        <f ca="1">SUM($D14:INDEX($D14:$AA14,1,MATCH(DATE(YEAR(inputs!$A$1),MONTH(inputs!$A$1),1),$D$1:$AA$1,0)))</f>
        <v>0</v>
      </c>
      <c r="AE14" s="175">
        <f t="shared" ca="1" si="1"/>
        <v>0</v>
      </c>
    </row>
    <row r="15" spans="1:33" outlineLevel="2" x14ac:dyDescent="0.25">
      <c r="A15" s="182" t="s">
        <v>517</v>
      </c>
      <c r="B15" s="182" t="s">
        <v>9</v>
      </c>
      <c r="C15" s="135" t="s">
        <v>514</v>
      </c>
      <c r="D15" s="183">
        <f ca="1">SUMIFS(tb_rec_uni[2025-01-01],
INDIRECT("tb_rec_uni[natureza]"),"pro.soluto",
INDIRECT("tb_rec_uni[empresa]"),$B15)</f>
        <v>0</v>
      </c>
      <c r="E15" s="183">
        <f ca="1">SUMIFS(tb_rec_uni[2025-02-01],
INDIRECT("tb_rec_uni[natureza]"),"pro.soluto",
INDIRECT("tb_rec_uni[empresa]"),$B15)</f>
        <v>0</v>
      </c>
      <c r="F15" s="183">
        <f ca="1">SUMIFS(tb_rec_uni[2025-03-01],
INDIRECT("tb_rec_uni[natureza]"),"pro.soluto",
INDIRECT("tb_rec_uni[empresa]"),$B15)</f>
        <v>0</v>
      </c>
      <c r="G15" s="183">
        <f ca="1">SUMIFS(tb_rec_uni[2025-04-01],
INDIRECT("tb_rec_uni[natureza]"),"pro.soluto",
INDIRECT("tb_rec_uni[empresa]"),$B15)</f>
        <v>0</v>
      </c>
      <c r="H15" s="183">
        <f ca="1">SUMIFS(tb_rec_uni[2025-05-01],
INDIRECT("tb_rec_uni[natureza]"),"pro.soluto",
INDIRECT("tb_rec_uni[empresa]"),$B15)</f>
        <v>0</v>
      </c>
      <c r="I15" s="183">
        <f ca="1">SUMIFS(tb_rec_uni[2025-06-01],
INDIRECT("tb_rec_uni[natureza]"),"pro.soluto",
INDIRECT("tb_rec_uni[empresa]"),$B15)</f>
        <v>0</v>
      </c>
      <c r="J15" s="183">
        <f ca="1">SUMIFS(tb_rec_uni[2025-07-01],
INDIRECT("tb_rec_uni[natureza]"),"pro.soluto",
INDIRECT("tb_rec_uni[empresa]"),$B15)</f>
        <v>0</v>
      </c>
      <c r="K15" s="183">
        <f ca="1">SUMIFS(tb_rec_uni[2025-08-01],
INDIRECT("tb_rec_uni[natureza]"),"pro.soluto",
INDIRECT("tb_rec_uni[empresa]"),$B15)</f>
        <v>0</v>
      </c>
      <c r="L15" s="183">
        <f ca="1">SUMIFS(tb_rec_uni[2025-09-01],
INDIRECT("tb_rec_uni[natureza]"),"pro.soluto",
INDIRECT("tb_rec_uni[empresa]"),$B15)</f>
        <v>0</v>
      </c>
      <c r="M15" s="183">
        <f ca="1">SUMIFS(tb_rec_uni[2025-10-01],
INDIRECT("tb_rec_uni[natureza]"),"pro.soluto",
INDIRECT("tb_rec_uni[empresa]"),$B15)</f>
        <v>0</v>
      </c>
      <c r="N15" s="183">
        <f ca="1">SUMIFS(tb_rec_uni[2025-11-01],
INDIRECT("tb_rec_uni[natureza]"),"pro.soluto",
INDIRECT("tb_rec_uni[empresa]"),$B15)</f>
        <v>0</v>
      </c>
      <c r="O15" s="183">
        <f ca="1">SUMIFS(tb_rec_uni[2025-12-01],
INDIRECT("tb_rec_uni[natureza]"),"pro.soluto",
INDIRECT("tb_rec_uni[empresa]"),$B15)</f>
        <v>0</v>
      </c>
      <c r="P15" s="183">
        <f ca="1">SUMIFS(tb_rec_uni[2026-01-01],
INDIRECT("tb_rec_uni[natureza]"),"pro.soluto",
INDIRECT("tb_rec_uni[empresa]"),$B15)</f>
        <v>0</v>
      </c>
      <c r="Q15" s="183">
        <f ca="1">SUMIFS(tb_rec_uni[2026-02-01],
INDIRECT("tb_rec_uni[natureza]"),"pro.soluto",
INDIRECT("tb_rec_uni[empresa]"),$B15)</f>
        <v>0</v>
      </c>
      <c r="R15" s="183">
        <f ca="1">SUMIFS(tb_rec_uni[2026-03-01],
INDIRECT("tb_rec_uni[natureza]"),"pro.soluto",
INDIRECT("tb_rec_uni[empresa]"),$B15)</f>
        <v>0</v>
      </c>
      <c r="S15" s="183">
        <f ca="1">SUMIFS(tb_rec_uni[2026-04-01],
INDIRECT("tb_rec_uni[natureza]"),"pro.soluto",
INDIRECT("tb_rec_uni[empresa]"),$B15)</f>
        <v>0</v>
      </c>
      <c r="T15" s="183">
        <f ca="1">SUMIFS(tb_rec_uni[2026-05-01],
INDIRECT("tb_rec_uni[natureza]"),"pro.soluto",
INDIRECT("tb_rec_uni[empresa]"),$B15)</f>
        <v>0</v>
      </c>
      <c r="U15" s="183">
        <f ca="1">SUMIFS(tb_rec_uni[2026-06-01],
INDIRECT("tb_rec_uni[natureza]"),"pro.soluto",
INDIRECT("tb_rec_uni[empresa]"),$B15)</f>
        <v>0</v>
      </c>
      <c r="V15" s="183">
        <f ca="1">SUMIFS(tb_rec_uni[2026-07-01],
INDIRECT("tb_rec_uni[natureza]"),"pro.soluto",
INDIRECT("tb_rec_uni[empresa]"),$B15)</f>
        <v>0</v>
      </c>
      <c r="W15" s="183">
        <f ca="1">SUMIFS(tb_rec_uni[2026-08-01],
INDIRECT("tb_rec_uni[natureza]"),"pro.soluto",
INDIRECT("tb_rec_uni[empresa]"),$B15)</f>
        <v>0</v>
      </c>
      <c r="X15" s="183">
        <f ca="1">SUMIFS(tb_rec_uni[2026-09-01],
INDIRECT("tb_rec_uni[natureza]"),"pro.soluto",
INDIRECT("tb_rec_uni[empresa]"),$B15)</f>
        <v>0</v>
      </c>
      <c r="Y15" s="183">
        <f ca="1">SUMIFS(tb_rec_uni[2026-10-01],
INDIRECT("tb_rec_uni[natureza]"),"pro.soluto",
INDIRECT("tb_rec_uni[empresa]"),$B15)</f>
        <v>0</v>
      </c>
      <c r="Z15" s="183">
        <f ca="1">SUMIFS(tb_rec_uni[2026-11-01],
INDIRECT("tb_rec_uni[natureza]"),"pro.soluto",
INDIRECT("tb_rec_uni[empresa]"),$B15)</f>
        <v>0</v>
      </c>
      <c r="AA15" s="183">
        <f ca="1">SUMIFS(tb_rec_uni[2026-12-01],
INDIRECT("tb_rec_uni[natureza]"),"pro.soluto",
INDIRECT("tb_rec_uni[empresa]"),$B15)</f>
        <v>0</v>
      </c>
      <c r="AC15" s="175">
        <f ca="1">SUM($D15:INDEX($D15:$AA15,1,MATCH(DATE(YEAR(inputs!$A$1),MONTH(inputs!$A$1),1),$D$1:$AA$1,0)))</f>
        <v>0</v>
      </c>
      <c r="AE15" s="175">
        <f t="shared" ca="1" si="1"/>
        <v>0</v>
      </c>
    </row>
    <row r="16" spans="1:33" outlineLevel="2" x14ac:dyDescent="0.25">
      <c r="A16" s="182" t="s">
        <v>518</v>
      </c>
      <c r="B16" s="182" t="s">
        <v>7</v>
      </c>
      <c r="C16" s="135" t="s">
        <v>514</v>
      </c>
      <c r="D16" s="183">
        <f ca="1">SUMIFS(tb_rec_uni[2025-01-01],
INDIRECT("tb_rec_uni[natureza]"),"pro.soluto",
INDIRECT("tb_rec_uni[empresa]"),$B16)</f>
        <v>0</v>
      </c>
      <c r="E16" s="183">
        <f ca="1">SUMIFS(tb_rec_uni[2025-02-01],
INDIRECT("tb_rec_uni[natureza]"),"pro.soluto",
INDIRECT("tb_rec_uni[empresa]"),$B16)</f>
        <v>0</v>
      </c>
      <c r="F16" s="183">
        <f ca="1">SUMIFS(tb_rec_uni[2025-03-01],
INDIRECT("tb_rec_uni[natureza]"),"pro.soluto",
INDIRECT("tb_rec_uni[empresa]"),$B16)</f>
        <v>0</v>
      </c>
      <c r="G16" s="183">
        <f ca="1">SUMIFS(tb_rec_uni[2025-04-01],
INDIRECT("tb_rec_uni[natureza]"),"pro.soluto",
INDIRECT("tb_rec_uni[empresa]"),$B16)</f>
        <v>0</v>
      </c>
      <c r="H16" s="183">
        <f ca="1">SUMIFS(tb_rec_uni[2025-05-01],
INDIRECT("tb_rec_uni[natureza]"),"pro.soluto",
INDIRECT("tb_rec_uni[empresa]"),$B16)</f>
        <v>0</v>
      </c>
      <c r="I16" s="183">
        <f ca="1">SUMIFS(tb_rec_uni[2025-06-01],
INDIRECT("tb_rec_uni[natureza]"),"pro.soluto",
INDIRECT("tb_rec_uni[empresa]"),$B16)</f>
        <v>0</v>
      </c>
      <c r="J16" s="183">
        <f ca="1">SUMIFS(tb_rec_uni[2025-07-01],
INDIRECT("tb_rec_uni[natureza]"),"pro.soluto",
INDIRECT("tb_rec_uni[empresa]"),$B16)</f>
        <v>0</v>
      </c>
      <c r="K16" s="183">
        <f ca="1">SUMIFS(tb_rec_uni[2025-08-01],
INDIRECT("tb_rec_uni[natureza]"),"pro.soluto",
INDIRECT("tb_rec_uni[empresa]"),$B16)</f>
        <v>0</v>
      </c>
      <c r="L16" s="183">
        <f ca="1">SUMIFS(tb_rec_uni[2025-09-01],
INDIRECT("tb_rec_uni[natureza]"),"pro.soluto",
INDIRECT("tb_rec_uni[empresa]"),$B16)</f>
        <v>0</v>
      </c>
      <c r="M16" s="183">
        <f ca="1">SUMIFS(tb_rec_uni[2025-10-01],
INDIRECT("tb_rec_uni[natureza]"),"pro.soluto",
INDIRECT("tb_rec_uni[empresa]"),$B16)</f>
        <v>0</v>
      </c>
      <c r="N16" s="183">
        <f ca="1">SUMIFS(tb_rec_uni[2025-11-01],
INDIRECT("tb_rec_uni[natureza]"),"pro.soluto",
INDIRECT("tb_rec_uni[empresa]"),$B16)</f>
        <v>0</v>
      </c>
      <c r="O16" s="183">
        <f ca="1">SUMIFS(tb_rec_uni[2025-12-01],
INDIRECT("tb_rec_uni[natureza]"),"pro.soluto",
INDIRECT("tb_rec_uni[empresa]"),$B16)</f>
        <v>0</v>
      </c>
      <c r="P16" s="183">
        <f ca="1">SUMIFS(tb_rec_uni[2026-01-01],
INDIRECT("tb_rec_uni[natureza]"),"pro.soluto",
INDIRECT("tb_rec_uni[empresa]"),$B16)</f>
        <v>0</v>
      </c>
      <c r="Q16" s="183">
        <f ca="1">SUMIFS(tb_rec_uni[2026-02-01],
INDIRECT("tb_rec_uni[natureza]"),"pro.soluto",
INDIRECT("tb_rec_uni[empresa]"),$B16)</f>
        <v>0</v>
      </c>
      <c r="R16" s="183">
        <f ca="1">SUMIFS(tb_rec_uni[2026-03-01],
INDIRECT("tb_rec_uni[natureza]"),"pro.soluto",
INDIRECT("tb_rec_uni[empresa]"),$B16)</f>
        <v>0</v>
      </c>
      <c r="S16" s="183">
        <f ca="1">SUMIFS(tb_rec_uni[2026-04-01],
INDIRECT("tb_rec_uni[natureza]"),"pro.soluto",
INDIRECT("tb_rec_uni[empresa]"),$B16)</f>
        <v>0</v>
      </c>
      <c r="T16" s="183">
        <f ca="1">SUMIFS(tb_rec_uni[2026-05-01],
INDIRECT("tb_rec_uni[natureza]"),"pro.soluto",
INDIRECT("tb_rec_uni[empresa]"),$B16)</f>
        <v>0</v>
      </c>
      <c r="U16" s="183">
        <f ca="1">SUMIFS(tb_rec_uni[2026-06-01],
INDIRECT("tb_rec_uni[natureza]"),"pro.soluto",
INDIRECT("tb_rec_uni[empresa]"),$B16)</f>
        <v>0</v>
      </c>
      <c r="V16" s="183">
        <f ca="1">SUMIFS(tb_rec_uni[2026-07-01],
INDIRECT("tb_rec_uni[natureza]"),"pro.soluto",
INDIRECT("tb_rec_uni[empresa]"),$B16)</f>
        <v>0</v>
      </c>
      <c r="W16" s="183">
        <f ca="1">SUMIFS(tb_rec_uni[2026-08-01],
INDIRECT("tb_rec_uni[natureza]"),"pro.soluto",
INDIRECT("tb_rec_uni[empresa]"),$B16)</f>
        <v>0</v>
      </c>
      <c r="X16" s="183">
        <f ca="1">SUMIFS(tb_rec_uni[2026-09-01],
INDIRECT("tb_rec_uni[natureza]"),"pro.soluto",
INDIRECT("tb_rec_uni[empresa]"),$B16)</f>
        <v>0</v>
      </c>
      <c r="Y16" s="183">
        <f ca="1">SUMIFS(tb_rec_uni[2026-10-01],
INDIRECT("tb_rec_uni[natureza]"),"pro.soluto",
INDIRECT("tb_rec_uni[empresa]"),$B16)</f>
        <v>0</v>
      </c>
      <c r="Z16" s="183">
        <f ca="1">SUMIFS(tb_rec_uni[2026-11-01],
INDIRECT("tb_rec_uni[natureza]"),"pro.soluto",
INDIRECT("tb_rec_uni[empresa]"),$B16)</f>
        <v>0</v>
      </c>
      <c r="AA16" s="183">
        <f ca="1">SUMIFS(tb_rec_uni[2026-12-01],
INDIRECT("tb_rec_uni[natureza]"),"pro.soluto",
INDIRECT("tb_rec_uni[empresa]"),$B16)</f>
        <v>0</v>
      </c>
      <c r="AC16" s="175">
        <f ca="1">SUM($D16:INDEX($D16:$AA16,1,MATCH(DATE(YEAR(inputs!$A$1),MONTH(inputs!$A$1),1),$D$1:$AA$1,0)))</f>
        <v>0</v>
      </c>
      <c r="AE16" s="175">
        <f t="shared" ca="1" si="1"/>
        <v>0</v>
      </c>
    </row>
    <row r="17" spans="1:31" outlineLevel="2" x14ac:dyDescent="0.25">
      <c r="A17" s="182" t="s">
        <v>519</v>
      </c>
      <c r="B17" s="182" t="s">
        <v>11</v>
      </c>
      <c r="C17" s="135" t="s">
        <v>514</v>
      </c>
      <c r="D17" s="183">
        <f ca="1">SUMIFS(tb_rec_uni[2025-01-01],
INDIRECT("tb_rec_uni[natureza]"),"pro.soluto",
INDIRECT("tb_rec_uni[empresa]"),$B17)</f>
        <v>0</v>
      </c>
      <c r="E17" s="183">
        <f ca="1">SUMIFS(tb_rec_uni[2025-02-01],
INDIRECT("tb_rec_uni[natureza]"),"pro.soluto",
INDIRECT("tb_rec_uni[empresa]"),$B17)</f>
        <v>0</v>
      </c>
      <c r="F17" s="183">
        <f ca="1">SUMIFS(tb_rec_uni[2025-03-01],
INDIRECT("tb_rec_uni[natureza]"),"pro.soluto",
INDIRECT("tb_rec_uni[empresa]"),$B17)</f>
        <v>0</v>
      </c>
      <c r="G17" s="183">
        <f ca="1">SUMIFS(tb_rec_uni[2025-04-01],
INDIRECT("tb_rec_uni[natureza]"),"pro.soluto",
INDIRECT("tb_rec_uni[empresa]"),$B17)</f>
        <v>0</v>
      </c>
      <c r="H17" s="183">
        <f ca="1">SUMIFS(tb_rec_uni[2025-05-01],
INDIRECT("tb_rec_uni[natureza]"),"pro.soluto",
INDIRECT("tb_rec_uni[empresa]"),$B17)</f>
        <v>0</v>
      </c>
      <c r="I17" s="183">
        <f ca="1">SUMIFS(tb_rec_uni[2025-06-01],
INDIRECT("tb_rec_uni[natureza]"),"pro.soluto",
INDIRECT("tb_rec_uni[empresa]"),$B17)</f>
        <v>0</v>
      </c>
      <c r="J17" s="183">
        <f ca="1">SUMIFS(tb_rec_uni[2025-07-01],
INDIRECT("tb_rec_uni[natureza]"),"pro.soluto",
INDIRECT("tb_rec_uni[empresa]"),$B17)</f>
        <v>0</v>
      </c>
      <c r="K17" s="183">
        <f ca="1">SUMIFS(tb_rec_uni[2025-08-01],
INDIRECT("tb_rec_uni[natureza]"),"pro.soluto",
INDIRECT("tb_rec_uni[empresa]"),$B17)</f>
        <v>0</v>
      </c>
      <c r="L17" s="183">
        <f ca="1">SUMIFS(tb_rec_uni[2025-09-01],
INDIRECT("tb_rec_uni[natureza]"),"pro.soluto",
INDIRECT("tb_rec_uni[empresa]"),$B17)</f>
        <v>0</v>
      </c>
      <c r="M17" s="183">
        <f ca="1">SUMIFS(tb_rec_uni[2025-10-01],
INDIRECT("tb_rec_uni[natureza]"),"pro.soluto",
INDIRECT("tb_rec_uni[empresa]"),$B17)</f>
        <v>0</v>
      </c>
      <c r="N17" s="183">
        <f ca="1">SUMIFS(tb_rec_uni[2025-11-01],
INDIRECT("tb_rec_uni[natureza]"),"pro.soluto",
INDIRECT("tb_rec_uni[empresa]"),$B17)</f>
        <v>0</v>
      </c>
      <c r="O17" s="183">
        <f ca="1">SUMIFS(tb_rec_uni[2025-12-01],
INDIRECT("tb_rec_uni[natureza]"),"pro.soluto",
INDIRECT("tb_rec_uni[empresa]"),$B17)</f>
        <v>0</v>
      </c>
      <c r="P17" s="183">
        <f ca="1">SUMIFS(tb_rec_uni[2026-01-01],
INDIRECT("tb_rec_uni[natureza]"),"pro.soluto",
INDIRECT("tb_rec_uni[empresa]"),$B17)</f>
        <v>0</v>
      </c>
      <c r="Q17" s="183">
        <f ca="1">SUMIFS(tb_rec_uni[2026-02-01],
INDIRECT("tb_rec_uni[natureza]"),"pro.soluto",
INDIRECT("tb_rec_uni[empresa]"),$B17)</f>
        <v>0</v>
      </c>
      <c r="R17" s="183">
        <f ca="1">SUMIFS(tb_rec_uni[2026-03-01],
INDIRECT("tb_rec_uni[natureza]"),"pro.soluto",
INDIRECT("tb_rec_uni[empresa]"),$B17)</f>
        <v>0</v>
      </c>
      <c r="S17" s="183">
        <f ca="1">SUMIFS(tb_rec_uni[2026-04-01],
INDIRECT("tb_rec_uni[natureza]"),"pro.soluto",
INDIRECT("tb_rec_uni[empresa]"),$B17)</f>
        <v>0</v>
      </c>
      <c r="T17" s="183">
        <f ca="1">SUMIFS(tb_rec_uni[2026-05-01],
INDIRECT("tb_rec_uni[natureza]"),"pro.soluto",
INDIRECT("tb_rec_uni[empresa]"),$B17)</f>
        <v>0</v>
      </c>
      <c r="U17" s="183">
        <f ca="1">SUMIFS(tb_rec_uni[2026-06-01],
INDIRECT("tb_rec_uni[natureza]"),"pro.soluto",
INDIRECT("tb_rec_uni[empresa]"),$B17)</f>
        <v>0</v>
      </c>
      <c r="V17" s="183">
        <f ca="1">SUMIFS(tb_rec_uni[2026-07-01],
INDIRECT("tb_rec_uni[natureza]"),"pro.soluto",
INDIRECT("tb_rec_uni[empresa]"),$B17)</f>
        <v>0</v>
      </c>
      <c r="W17" s="183">
        <f ca="1">SUMIFS(tb_rec_uni[2026-08-01],
INDIRECT("tb_rec_uni[natureza]"),"pro.soluto",
INDIRECT("tb_rec_uni[empresa]"),$B17)</f>
        <v>0</v>
      </c>
      <c r="X17" s="183">
        <f ca="1">SUMIFS(tb_rec_uni[2026-09-01],
INDIRECT("tb_rec_uni[natureza]"),"pro.soluto",
INDIRECT("tb_rec_uni[empresa]"),$B17)</f>
        <v>0</v>
      </c>
      <c r="Y17" s="183">
        <f ca="1">SUMIFS(tb_rec_uni[2026-10-01],
INDIRECT("tb_rec_uni[natureza]"),"pro.soluto",
INDIRECT("tb_rec_uni[empresa]"),$B17)</f>
        <v>0</v>
      </c>
      <c r="Z17" s="183">
        <f ca="1">SUMIFS(tb_rec_uni[2026-11-01],
INDIRECT("tb_rec_uni[natureza]"),"pro.soluto",
INDIRECT("tb_rec_uni[empresa]"),$B17)</f>
        <v>0</v>
      </c>
      <c r="AA17" s="183">
        <f ca="1">SUMIFS(tb_rec_uni[2026-12-01],
INDIRECT("tb_rec_uni[natureza]"),"pro.soluto",
INDIRECT("tb_rec_uni[empresa]"),$B17)</f>
        <v>0</v>
      </c>
      <c r="AC17" s="175">
        <f ca="1">SUM($D17:INDEX($D17:$AA17,1,MATCH(DATE(YEAR(inputs!$A$1),MONTH(inputs!$A$1),1),$D$1:$AA$1,0)))</f>
        <v>0</v>
      </c>
      <c r="AE17" s="175">
        <f t="shared" ca="1" si="1"/>
        <v>0</v>
      </c>
    </row>
    <row r="18" spans="1:31" outlineLevel="2" x14ac:dyDescent="0.25">
      <c r="A18" s="182" t="s">
        <v>521</v>
      </c>
      <c r="B18" s="182" t="s">
        <v>8</v>
      </c>
      <c r="C18" s="135" t="s">
        <v>514</v>
      </c>
      <c r="D18" s="183">
        <f ca="1">SUMIFS(tb_rec_uni[2025-01-01],
INDIRECT("tb_rec_uni[natureza]"),"pro.soluto",
INDIRECT("tb_rec_uni[empresa]"),$B18)</f>
        <v>0</v>
      </c>
      <c r="E18" s="183">
        <f ca="1">SUMIFS(tb_rec_uni[2025-02-01],
INDIRECT("tb_rec_uni[natureza]"),"pro.soluto",
INDIRECT("tb_rec_uni[empresa]"),$B18)</f>
        <v>0</v>
      </c>
      <c r="F18" s="183">
        <f ca="1">SUMIFS(tb_rec_uni[2025-03-01],
INDIRECT("tb_rec_uni[natureza]"),"pro.soluto",
INDIRECT("tb_rec_uni[empresa]"),$B18)</f>
        <v>0</v>
      </c>
      <c r="G18" s="183">
        <f ca="1">SUMIFS(tb_rec_uni[2025-04-01],
INDIRECT("tb_rec_uni[natureza]"),"pro.soluto",
INDIRECT("tb_rec_uni[empresa]"),$B18)</f>
        <v>0</v>
      </c>
      <c r="H18" s="183">
        <f ca="1">SUMIFS(tb_rec_uni[2025-05-01],
INDIRECT("tb_rec_uni[natureza]"),"pro.soluto",
INDIRECT("tb_rec_uni[empresa]"),$B18)</f>
        <v>0</v>
      </c>
      <c r="I18" s="183">
        <f ca="1">SUMIFS(tb_rec_uni[2025-06-01],
INDIRECT("tb_rec_uni[natureza]"),"pro.soluto",
INDIRECT("tb_rec_uni[empresa]"),$B18)</f>
        <v>0</v>
      </c>
      <c r="J18" s="183">
        <f ca="1">SUMIFS(tb_rec_uni[2025-07-01],
INDIRECT("tb_rec_uni[natureza]"),"pro.soluto",
INDIRECT("tb_rec_uni[empresa]"),$B18)</f>
        <v>0</v>
      </c>
      <c r="K18" s="183">
        <f ca="1">SUMIFS(tb_rec_uni[2025-08-01],
INDIRECT("tb_rec_uni[natureza]"),"pro.soluto",
INDIRECT("tb_rec_uni[empresa]"),$B18)</f>
        <v>0</v>
      </c>
      <c r="L18" s="183">
        <f ca="1">SUMIFS(tb_rec_uni[2025-09-01],
INDIRECT("tb_rec_uni[natureza]"),"pro.soluto",
INDIRECT("tb_rec_uni[empresa]"),$B18)</f>
        <v>0</v>
      </c>
      <c r="M18" s="183">
        <f ca="1">SUMIFS(tb_rec_uni[2025-10-01],
INDIRECT("tb_rec_uni[natureza]"),"pro.soluto",
INDIRECT("tb_rec_uni[empresa]"),$B18)</f>
        <v>0</v>
      </c>
      <c r="N18" s="183">
        <f ca="1">SUMIFS(tb_rec_uni[2025-11-01],
INDIRECT("tb_rec_uni[natureza]"),"pro.soluto",
INDIRECT("tb_rec_uni[empresa]"),$B18)</f>
        <v>0</v>
      </c>
      <c r="O18" s="183">
        <f ca="1">SUMIFS(tb_rec_uni[2025-12-01],
INDIRECT("tb_rec_uni[natureza]"),"pro.soluto",
INDIRECT("tb_rec_uni[empresa]"),$B18)</f>
        <v>0</v>
      </c>
      <c r="P18" s="183">
        <f ca="1">SUMIFS(tb_rec_uni[2026-01-01],
INDIRECT("tb_rec_uni[natureza]"),"pro.soluto",
INDIRECT("tb_rec_uni[empresa]"),$B18)</f>
        <v>0</v>
      </c>
      <c r="Q18" s="183">
        <f ca="1">SUMIFS(tb_rec_uni[2026-02-01],
INDIRECT("tb_rec_uni[natureza]"),"pro.soluto",
INDIRECT("tb_rec_uni[empresa]"),$B18)</f>
        <v>0</v>
      </c>
      <c r="R18" s="183">
        <f ca="1">SUMIFS(tb_rec_uni[2026-03-01],
INDIRECT("tb_rec_uni[natureza]"),"pro.soluto",
INDIRECT("tb_rec_uni[empresa]"),$B18)</f>
        <v>0</v>
      </c>
      <c r="S18" s="183">
        <f ca="1">SUMIFS(tb_rec_uni[2026-04-01],
INDIRECT("tb_rec_uni[natureza]"),"pro.soluto",
INDIRECT("tb_rec_uni[empresa]"),$B18)</f>
        <v>0</v>
      </c>
      <c r="T18" s="183">
        <f ca="1">SUMIFS(tb_rec_uni[2026-05-01],
INDIRECT("tb_rec_uni[natureza]"),"pro.soluto",
INDIRECT("tb_rec_uni[empresa]"),$B18)</f>
        <v>0</v>
      </c>
      <c r="U18" s="183">
        <f ca="1">SUMIFS(tb_rec_uni[2026-06-01],
INDIRECT("tb_rec_uni[natureza]"),"pro.soluto",
INDIRECT("tb_rec_uni[empresa]"),$B18)</f>
        <v>0</v>
      </c>
      <c r="V18" s="183">
        <f ca="1">SUMIFS(tb_rec_uni[2026-07-01],
INDIRECT("tb_rec_uni[natureza]"),"pro.soluto",
INDIRECT("tb_rec_uni[empresa]"),$B18)</f>
        <v>0</v>
      </c>
      <c r="W18" s="183">
        <f ca="1">SUMIFS(tb_rec_uni[2026-08-01],
INDIRECT("tb_rec_uni[natureza]"),"pro.soluto",
INDIRECT("tb_rec_uni[empresa]"),$B18)</f>
        <v>0</v>
      </c>
      <c r="X18" s="183">
        <f ca="1">SUMIFS(tb_rec_uni[2026-09-01],
INDIRECT("tb_rec_uni[natureza]"),"pro.soluto",
INDIRECT("tb_rec_uni[empresa]"),$B18)</f>
        <v>0</v>
      </c>
      <c r="Y18" s="183">
        <f ca="1">SUMIFS(tb_rec_uni[2026-10-01],
INDIRECT("tb_rec_uni[natureza]"),"pro.soluto",
INDIRECT("tb_rec_uni[empresa]"),$B18)</f>
        <v>0</v>
      </c>
      <c r="Z18" s="183">
        <f ca="1">SUMIFS(tb_rec_uni[2026-11-01],
INDIRECT("tb_rec_uni[natureza]"),"pro.soluto",
INDIRECT("tb_rec_uni[empresa]"),$B18)</f>
        <v>0</v>
      </c>
      <c r="AA18" s="183">
        <f ca="1">SUMIFS(tb_rec_uni[2026-12-01],
INDIRECT("tb_rec_uni[natureza]"),"pro.soluto",
INDIRECT("tb_rec_uni[empresa]"),$B18)</f>
        <v>0</v>
      </c>
      <c r="AC18" s="175">
        <f ca="1">SUM($D18:INDEX($D18:$AA18,1,MATCH(DATE(YEAR(inputs!$A$1),MONTH(inputs!$A$1),1),$D$1:$AA$1,0)))</f>
        <v>0</v>
      </c>
      <c r="AE18" s="175">
        <f ca="1">SUM(D18:AA18)</f>
        <v>0</v>
      </c>
    </row>
    <row r="19" spans="1:31" outlineLevel="2" x14ac:dyDescent="0.25">
      <c r="A19" s="182" t="s">
        <v>520</v>
      </c>
      <c r="B19" s="182" t="s">
        <v>10</v>
      </c>
      <c r="C19" s="135" t="s">
        <v>514</v>
      </c>
      <c r="D19" s="183">
        <f ca="1">SUMIFS(tb_rec_uni[2025-01-01],
INDIRECT("tb_rec_uni[natureza]"),"pro.soluto",
INDIRECT("tb_rec_uni[empresa]"),$B19)</f>
        <v>0</v>
      </c>
      <c r="E19" s="183">
        <f ca="1">SUMIFS(tb_rec_uni[2025-02-01],
INDIRECT("tb_rec_uni[natureza]"),"pro.soluto",
INDIRECT("tb_rec_uni[empresa]"),$B19)</f>
        <v>0</v>
      </c>
      <c r="F19" s="183">
        <f ca="1">SUMIFS(tb_rec_uni[2025-03-01],
INDIRECT("tb_rec_uni[natureza]"),"pro.soluto",
INDIRECT("tb_rec_uni[empresa]"),$B19)</f>
        <v>0</v>
      </c>
      <c r="G19" s="183">
        <f ca="1">SUMIFS(tb_rec_uni[2025-04-01],
INDIRECT("tb_rec_uni[natureza]"),"pro.soluto",
INDIRECT("tb_rec_uni[empresa]"),$B19)</f>
        <v>0</v>
      </c>
      <c r="H19" s="183">
        <f ca="1">SUMIFS(tb_rec_uni[2025-05-01],
INDIRECT("tb_rec_uni[natureza]"),"pro.soluto",
INDIRECT("tb_rec_uni[empresa]"),$B19)</f>
        <v>0</v>
      </c>
      <c r="I19" s="183">
        <f ca="1">SUMIFS(tb_rec_uni[2025-06-01],
INDIRECT("tb_rec_uni[natureza]"),"pro.soluto",
INDIRECT("tb_rec_uni[empresa]"),$B19)</f>
        <v>0</v>
      </c>
      <c r="J19" s="183">
        <f ca="1">SUMIFS(tb_rec_uni[2025-07-01],
INDIRECT("tb_rec_uni[natureza]"),"pro.soluto",
INDIRECT("tb_rec_uni[empresa]"),$B19)</f>
        <v>0</v>
      </c>
      <c r="K19" s="183">
        <f ca="1">SUMIFS(tb_rec_uni[2025-08-01],
INDIRECT("tb_rec_uni[natureza]"),"pro.soluto",
INDIRECT("tb_rec_uni[empresa]"),$B19)</f>
        <v>0</v>
      </c>
      <c r="L19" s="183">
        <f ca="1">SUMIFS(tb_rec_uni[2025-09-01],
INDIRECT("tb_rec_uni[natureza]"),"pro.soluto",
INDIRECT("tb_rec_uni[empresa]"),$B19)</f>
        <v>0</v>
      </c>
      <c r="M19" s="183">
        <f ca="1">SUMIFS(tb_rec_uni[2025-10-01],
INDIRECT("tb_rec_uni[natureza]"),"pro.soluto",
INDIRECT("tb_rec_uni[empresa]"),$B19)</f>
        <v>0</v>
      </c>
      <c r="N19" s="183">
        <f ca="1">SUMIFS(tb_rec_uni[2025-11-01],
INDIRECT("tb_rec_uni[natureza]"),"pro.soluto",
INDIRECT("tb_rec_uni[empresa]"),$B19)</f>
        <v>0</v>
      </c>
      <c r="O19" s="183">
        <f ca="1">SUMIFS(tb_rec_uni[2025-12-01],
INDIRECT("tb_rec_uni[natureza]"),"pro.soluto",
INDIRECT("tb_rec_uni[empresa]"),$B19)</f>
        <v>0</v>
      </c>
      <c r="P19" s="183">
        <f ca="1">SUMIFS(tb_rec_uni[2026-01-01],
INDIRECT("tb_rec_uni[natureza]"),"pro.soluto",
INDIRECT("tb_rec_uni[empresa]"),$B19)</f>
        <v>0</v>
      </c>
      <c r="Q19" s="183">
        <f ca="1">SUMIFS(tb_rec_uni[2026-02-01],
INDIRECT("tb_rec_uni[natureza]"),"pro.soluto",
INDIRECT("tb_rec_uni[empresa]"),$B19)</f>
        <v>0</v>
      </c>
      <c r="R19" s="183">
        <f ca="1">SUMIFS(tb_rec_uni[2026-03-01],
INDIRECT("tb_rec_uni[natureza]"),"pro.soluto",
INDIRECT("tb_rec_uni[empresa]"),$B19)</f>
        <v>0</v>
      </c>
      <c r="S19" s="183">
        <f ca="1">SUMIFS(tb_rec_uni[2026-04-01],
INDIRECT("tb_rec_uni[natureza]"),"pro.soluto",
INDIRECT("tb_rec_uni[empresa]"),$B19)</f>
        <v>0</v>
      </c>
      <c r="T19" s="183">
        <f ca="1">SUMIFS(tb_rec_uni[2026-05-01],
INDIRECT("tb_rec_uni[natureza]"),"pro.soluto",
INDIRECT("tb_rec_uni[empresa]"),$B19)</f>
        <v>0</v>
      </c>
      <c r="U19" s="183">
        <f ca="1">SUMIFS(tb_rec_uni[2026-06-01],
INDIRECT("tb_rec_uni[natureza]"),"pro.soluto",
INDIRECT("tb_rec_uni[empresa]"),$B19)</f>
        <v>0</v>
      </c>
      <c r="V19" s="183">
        <f ca="1">SUMIFS(tb_rec_uni[2026-07-01],
INDIRECT("tb_rec_uni[natureza]"),"pro.soluto",
INDIRECT("tb_rec_uni[empresa]"),$B19)</f>
        <v>0</v>
      </c>
      <c r="W19" s="183">
        <f ca="1">SUMIFS(tb_rec_uni[2026-08-01],
INDIRECT("tb_rec_uni[natureza]"),"pro.soluto",
INDIRECT("tb_rec_uni[empresa]"),$B19)</f>
        <v>0</v>
      </c>
      <c r="X19" s="183">
        <f ca="1">SUMIFS(tb_rec_uni[2026-09-01],
INDIRECT("tb_rec_uni[natureza]"),"pro.soluto",
INDIRECT("tb_rec_uni[empresa]"),$B19)</f>
        <v>0</v>
      </c>
      <c r="Y19" s="183">
        <f ca="1">SUMIFS(tb_rec_uni[2026-10-01],
INDIRECT("tb_rec_uni[natureza]"),"pro.soluto",
INDIRECT("tb_rec_uni[empresa]"),$B19)</f>
        <v>0</v>
      </c>
      <c r="Z19" s="183">
        <f ca="1">SUMIFS(tb_rec_uni[2026-11-01],
INDIRECT("tb_rec_uni[natureza]"),"pro.soluto",
INDIRECT("tb_rec_uni[empresa]"),$B19)</f>
        <v>0</v>
      </c>
      <c r="AA19" s="183">
        <f ca="1">SUMIFS(tb_rec_uni[2026-12-01],
INDIRECT("tb_rec_uni[natureza]"),"pro.soluto",
INDIRECT("tb_rec_uni[empresa]"),$B19)</f>
        <v>0</v>
      </c>
      <c r="AC19" s="175">
        <f ca="1">SUM($D19:INDEX($D19:$AA19,1,MATCH(DATE(YEAR(inputs!$A$1),MONTH(inputs!$A$1),1),$D$1:$AA$1,0)))</f>
        <v>0</v>
      </c>
      <c r="AE19" s="175">
        <f t="shared" ca="1" si="1"/>
        <v>0</v>
      </c>
    </row>
    <row r="20" spans="1:31" outlineLevel="2" x14ac:dyDescent="0.25">
      <c r="A20" s="182" t="s">
        <v>667</v>
      </c>
      <c r="B20" s="182" t="s">
        <v>465</v>
      </c>
      <c r="C20" s="135" t="s">
        <v>514</v>
      </c>
      <c r="D20" s="183">
        <f ca="1">SUMIFS(tb_rec_uni[2025-01-01],
INDIRECT("tb_rec_uni[natureza]"),"pro.soluto",
INDIRECT("tb_rec_uni[empresa]"),$B20)</f>
        <v>0</v>
      </c>
      <c r="E20" s="183">
        <f ca="1">SUMIFS(tb_rec_uni[2025-02-01],
INDIRECT("tb_rec_uni[natureza]"),"pro.soluto",
INDIRECT("tb_rec_uni[empresa]"),$B20)</f>
        <v>0</v>
      </c>
      <c r="F20" s="183">
        <f ca="1">SUMIFS(tb_rec_uni[2025-03-01],
INDIRECT("tb_rec_uni[natureza]"),"pro.soluto",
INDIRECT("tb_rec_uni[empresa]"),$B20)</f>
        <v>0</v>
      </c>
      <c r="G20" s="183">
        <f ca="1">SUMIFS(tb_rec_uni[2025-04-01],
INDIRECT("tb_rec_uni[natureza]"),"pro.soluto",
INDIRECT("tb_rec_uni[empresa]"),$B20)</f>
        <v>0</v>
      </c>
      <c r="H20" s="183">
        <f ca="1">SUMIFS(tb_rec_uni[2025-05-01],
INDIRECT("tb_rec_uni[natureza]"),"pro.soluto",
INDIRECT("tb_rec_uni[empresa]"),$B20)</f>
        <v>0</v>
      </c>
      <c r="I20" s="183">
        <f ca="1">SUMIFS(tb_rec_uni[2025-06-01],
INDIRECT("tb_rec_uni[natureza]"),"pro.soluto",
INDIRECT("tb_rec_uni[empresa]"),$B20)</f>
        <v>0</v>
      </c>
      <c r="J20" s="183">
        <f ca="1">SUMIFS(tb_rec_uni[2025-07-01],
INDIRECT("tb_rec_uni[natureza]"),"pro.soluto",
INDIRECT("tb_rec_uni[empresa]"),$B20)</f>
        <v>0</v>
      </c>
      <c r="K20" s="183">
        <f ca="1">SUMIFS(tb_rec_uni[2025-08-01],
INDIRECT("tb_rec_uni[natureza]"),"pro.soluto",
INDIRECT("tb_rec_uni[empresa]"),$B20)</f>
        <v>0</v>
      </c>
      <c r="L20" s="183">
        <f ca="1">SUMIFS(tb_rec_uni[2025-09-01],
INDIRECT("tb_rec_uni[natureza]"),"pro.soluto",
INDIRECT("tb_rec_uni[empresa]"),$B20)</f>
        <v>0</v>
      </c>
      <c r="M20" s="183">
        <f ca="1">SUMIFS(tb_rec_uni[2025-10-01],
INDIRECT("tb_rec_uni[natureza]"),"pro.soluto",
INDIRECT("tb_rec_uni[empresa]"),$B20)</f>
        <v>0</v>
      </c>
      <c r="N20" s="183">
        <f ca="1">SUMIFS(tb_rec_uni[2025-11-01],
INDIRECT("tb_rec_uni[natureza]"),"pro.soluto",
INDIRECT("tb_rec_uni[empresa]"),$B20)</f>
        <v>0</v>
      </c>
      <c r="O20" s="183">
        <f ca="1">SUMIFS(tb_rec_uni[2025-12-01],
INDIRECT("tb_rec_uni[natureza]"),"pro.soluto",
INDIRECT("tb_rec_uni[empresa]"),$B20)</f>
        <v>0</v>
      </c>
      <c r="P20" s="183">
        <f ca="1">SUMIFS(tb_rec_uni[2026-01-01],
INDIRECT("tb_rec_uni[natureza]"),"pro.soluto",
INDIRECT("tb_rec_uni[empresa]"),$B20)</f>
        <v>0</v>
      </c>
      <c r="Q20" s="183">
        <f ca="1">SUMIFS(tb_rec_uni[2026-02-01],
INDIRECT("tb_rec_uni[natureza]"),"pro.soluto",
INDIRECT("tb_rec_uni[empresa]"),$B20)</f>
        <v>0</v>
      </c>
      <c r="R20" s="183">
        <f ca="1">SUMIFS(tb_rec_uni[2026-03-01],
INDIRECT("tb_rec_uni[natureza]"),"pro.soluto",
INDIRECT("tb_rec_uni[empresa]"),$B20)</f>
        <v>0</v>
      </c>
      <c r="S20" s="183">
        <f ca="1">SUMIFS(tb_rec_uni[2026-04-01],
INDIRECT("tb_rec_uni[natureza]"),"pro.soluto",
INDIRECT("tb_rec_uni[empresa]"),$B20)</f>
        <v>0</v>
      </c>
      <c r="T20" s="183">
        <f ca="1">SUMIFS(tb_rec_uni[2026-05-01],
INDIRECT("tb_rec_uni[natureza]"),"pro.soluto",
INDIRECT("tb_rec_uni[empresa]"),$B20)</f>
        <v>0</v>
      </c>
      <c r="U20" s="183">
        <f ca="1">SUMIFS(tb_rec_uni[2026-06-01],
INDIRECT("tb_rec_uni[natureza]"),"pro.soluto",
INDIRECT("tb_rec_uni[empresa]"),$B20)</f>
        <v>0</v>
      </c>
      <c r="V20" s="183">
        <f ca="1">SUMIFS(tb_rec_uni[2026-07-01],
INDIRECT("tb_rec_uni[natureza]"),"pro.soluto",
INDIRECT("tb_rec_uni[empresa]"),$B20)</f>
        <v>0</v>
      </c>
      <c r="W20" s="183">
        <f ca="1">SUMIFS(tb_rec_uni[2026-08-01],
INDIRECT("tb_rec_uni[natureza]"),"pro.soluto",
INDIRECT("tb_rec_uni[empresa]"),$B20)</f>
        <v>0</v>
      </c>
      <c r="X20" s="183">
        <f ca="1">SUMIFS(tb_rec_uni[2026-09-01],
INDIRECT("tb_rec_uni[natureza]"),"pro.soluto",
INDIRECT("tb_rec_uni[empresa]"),$B20)</f>
        <v>0</v>
      </c>
      <c r="Y20" s="183">
        <f ca="1">SUMIFS(tb_rec_uni[2026-10-01],
INDIRECT("tb_rec_uni[natureza]"),"pro.soluto",
INDIRECT("tb_rec_uni[empresa]"),$B20)</f>
        <v>0</v>
      </c>
      <c r="Z20" s="183">
        <f ca="1">SUMIFS(tb_rec_uni[2026-11-01],
INDIRECT("tb_rec_uni[natureza]"),"pro.soluto",
INDIRECT("tb_rec_uni[empresa]"),$B20)</f>
        <v>0</v>
      </c>
      <c r="AA20" s="183">
        <f ca="1">SUMIFS(tb_rec_uni[2026-12-01],
INDIRECT("tb_rec_uni[natureza]"),"pro.soluto",
INDIRECT("tb_rec_uni[empresa]"),$B20)</f>
        <v>0</v>
      </c>
      <c r="AC20" s="175">
        <f ca="1">SUM($D20:INDEX($D20:$AA20,1,MATCH(DATE(YEAR(inputs!$A$1),MONTH(inputs!$A$1),1),$D$1:$AA$1,0)))</f>
        <v>0</v>
      </c>
      <c r="AE20" s="175">
        <f ca="1">SUM(D20:AA20)</f>
        <v>0</v>
      </c>
    </row>
    <row r="21" spans="1:31" outlineLevel="2" x14ac:dyDescent="0.25">
      <c r="A21" s="182" t="s">
        <v>668</v>
      </c>
      <c r="B21" s="182" t="s">
        <v>670</v>
      </c>
      <c r="C21" s="135" t="s">
        <v>514</v>
      </c>
      <c r="D21" s="183">
        <f ca="1">SUMIFS(tb_rec_uni[2025-01-01],
INDIRECT("tb_rec_uni[natureza]"),"pro.soluto",
INDIRECT("tb_rec_uni[empresa]"),$B21)</f>
        <v>0</v>
      </c>
      <c r="E21" s="183">
        <f ca="1">SUMIFS(tb_rec_uni[2025-02-01],
INDIRECT("tb_rec_uni[natureza]"),"pro.soluto",
INDIRECT("tb_rec_uni[empresa]"),$B21)</f>
        <v>0</v>
      </c>
      <c r="F21" s="183">
        <f ca="1">SUMIFS(tb_rec_uni[2025-03-01],
INDIRECT("tb_rec_uni[natureza]"),"pro.soluto",
INDIRECT("tb_rec_uni[empresa]"),$B21)</f>
        <v>0</v>
      </c>
      <c r="G21" s="183">
        <f ca="1">SUMIFS(tb_rec_uni[2025-04-01],
INDIRECT("tb_rec_uni[natureza]"),"pro.soluto",
INDIRECT("tb_rec_uni[empresa]"),$B21)</f>
        <v>0</v>
      </c>
      <c r="H21" s="183">
        <f ca="1">SUMIFS(tb_rec_uni[2025-05-01],
INDIRECT("tb_rec_uni[natureza]"),"pro.soluto",
INDIRECT("tb_rec_uni[empresa]"),$B21)</f>
        <v>0</v>
      </c>
      <c r="I21" s="183">
        <f ca="1">SUMIFS(tb_rec_uni[2025-06-01],
INDIRECT("tb_rec_uni[natureza]"),"pro.soluto",
INDIRECT("tb_rec_uni[empresa]"),$B21)</f>
        <v>0</v>
      </c>
      <c r="J21" s="183">
        <f ca="1">SUMIFS(tb_rec_uni[2025-07-01],
INDIRECT("tb_rec_uni[natureza]"),"pro.soluto",
INDIRECT("tb_rec_uni[empresa]"),$B21)</f>
        <v>0</v>
      </c>
      <c r="K21" s="183">
        <f ca="1">SUMIFS(tb_rec_uni[2025-08-01],
INDIRECT("tb_rec_uni[natureza]"),"pro.soluto",
INDIRECT("tb_rec_uni[empresa]"),$B21)</f>
        <v>0</v>
      </c>
      <c r="L21" s="183">
        <f ca="1">SUMIFS(tb_rec_uni[2025-09-01],
INDIRECT("tb_rec_uni[natureza]"),"pro.soluto",
INDIRECT("tb_rec_uni[empresa]"),$B21)</f>
        <v>0</v>
      </c>
      <c r="M21" s="183">
        <f ca="1">SUMIFS(tb_rec_uni[2025-10-01],
INDIRECT("tb_rec_uni[natureza]"),"pro.soluto",
INDIRECT("tb_rec_uni[empresa]"),$B21)</f>
        <v>0</v>
      </c>
      <c r="N21" s="183">
        <f ca="1">SUMIFS(tb_rec_uni[2025-11-01],
INDIRECT("tb_rec_uni[natureza]"),"pro.soluto",
INDIRECT("tb_rec_uni[empresa]"),$B21)</f>
        <v>0</v>
      </c>
      <c r="O21" s="183">
        <f ca="1">SUMIFS(tb_rec_uni[2025-12-01],
INDIRECT("tb_rec_uni[natureza]"),"pro.soluto",
INDIRECT("tb_rec_uni[empresa]"),$B21)</f>
        <v>0</v>
      </c>
      <c r="P21" s="183">
        <f ca="1">SUMIFS(tb_rec_uni[2026-01-01],
INDIRECT("tb_rec_uni[natureza]"),"pro.soluto",
INDIRECT("tb_rec_uni[empresa]"),$B21)</f>
        <v>0</v>
      </c>
      <c r="Q21" s="183">
        <f ca="1">SUMIFS(tb_rec_uni[2026-02-01],
INDIRECT("tb_rec_uni[natureza]"),"pro.soluto",
INDIRECT("tb_rec_uni[empresa]"),$B21)</f>
        <v>0</v>
      </c>
      <c r="R21" s="183">
        <f ca="1">SUMIFS(tb_rec_uni[2026-03-01],
INDIRECT("tb_rec_uni[natureza]"),"pro.soluto",
INDIRECT("tb_rec_uni[empresa]"),$B21)</f>
        <v>0</v>
      </c>
      <c r="S21" s="183">
        <f ca="1">SUMIFS(tb_rec_uni[2026-04-01],
INDIRECT("tb_rec_uni[natureza]"),"pro.soluto",
INDIRECT("tb_rec_uni[empresa]"),$B21)</f>
        <v>0</v>
      </c>
      <c r="T21" s="183">
        <f ca="1">SUMIFS(tb_rec_uni[2026-05-01],
INDIRECT("tb_rec_uni[natureza]"),"pro.soluto",
INDIRECT("tb_rec_uni[empresa]"),$B21)</f>
        <v>0</v>
      </c>
      <c r="U21" s="183">
        <f ca="1">SUMIFS(tb_rec_uni[2026-06-01],
INDIRECT("tb_rec_uni[natureza]"),"pro.soluto",
INDIRECT("tb_rec_uni[empresa]"),$B21)</f>
        <v>0</v>
      </c>
      <c r="V21" s="183">
        <f ca="1">SUMIFS(tb_rec_uni[2026-07-01],
INDIRECT("tb_rec_uni[natureza]"),"pro.soluto",
INDIRECT("tb_rec_uni[empresa]"),$B21)</f>
        <v>0</v>
      </c>
      <c r="W21" s="183">
        <f ca="1">SUMIFS(tb_rec_uni[2026-08-01],
INDIRECT("tb_rec_uni[natureza]"),"pro.soluto",
INDIRECT("tb_rec_uni[empresa]"),$B21)</f>
        <v>0</v>
      </c>
      <c r="X21" s="183">
        <f ca="1">SUMIFS(tb_rec_uni[2026-09-01],
INDIRECT("tb_rec_uni[natureza]"),"pro.soluto",
INDIRECT("tb_rec_uni[empresa]"),$B21)</f>
        <v>0</v>
      </c>
      <c r="Y21" s="183">
        <f ca="1">SUMIFS(tb_rec_uni[2026-10-01],
INDIRECT("tb_rec_uni[natureza]"),"pro.soluto",
INDIRECT("tb_rec_uni[empresa]"),$B21)</f>
        <v>0</v>
      </c>
      <c r="Z21" s="183">
        <f ca="1">SUMIFS(tb_rec_uni[2026-11-01],
INDIRECT("tb_rec_uni[natureza]"),"pro.soluto",
INDIRECT("tb_rec_uni[empresa]"),$B21)</f>
        <v>0</v>
      </c>
      <c r="AA21" s="183">
        <f ca="1">SUMIFS(tb_rec_uni[2026-12-01],
INDIRECT("tb_rec_uni[natureza]"),"pro.soluto",
INDIRECT("tb_rec_uni[empresa]"),$B21)</f>
        <v>0</v>
      </c>
      <c r="AC21" s="175">
        <f ca="1">SUM($D21:INDEX($D21:$AA21,1,MATCH(DATE(YEAR(inputs!$A$1),MONTH(inputs!$A$1),1),$D$1:$AA$1,0)))</f>
        <v>0</v>
      </c>
      <c r="AE21" s="175">
        <f t="shared" ca="1" si="1"/>
        <v>0</v>
      </c>
    </row>
    <row r="22" spans="1:31" outlineLevel="2" x14ac:dyDescent="0.25">
      <c r="A22" s="182" t="s">
        <v>669</v>
      </c>
      <c r="B22" s="182" t="s">
        <v>671</v>
      </c>
      <c r="C22" s="135" t="s">
        <v>514</v>
      </c>
      <c r="D22" s="183">
        <f ca="1">SUMIFS(tb_rec_uni[2025-01-01],
INDIRECT("tb_rec_uni[natureza]"),"pro.soluto",
INDIRECT("tb_rec_uni[empresa]"),$B22)</f>
        <v>0</v>
      </c>
      <c r="E22" s="183">
        <f ca="1">SUMIFS(tb_rec_uni[2025-02-01],
INDIRECT("tb_rec_uni[natureza]"),"pro.soluto",
INDIRECT("tb_rec_uni[empresa]"),$B22)</f>
        <v>0</v>
      </c>
      <c r="F22" s="183">
        <f ca="1">SUMIFS(tb_rec_uni[2025-03-01],
INDIRECT("tb_rec_uni[natureza]"),"pro.soluto",
INDIRECT("tb_rec_uni[empresa]"),$B22)</f>
        <v>0</v>
      </c>
      <c r="G22" s="183">
        <f ca="1">SUMIFS(tb_rec_uni[2025-04-01],
INDIRECT("tb_rec_uni[natureza]"),"pro.soluto",
INDIRECT("tb_rec_uni[empresa]"),$B22)</f>
        <v>0</v>
      </c>
      <c r="H22" s="183">
        <f ca="1">SUMIFS(tb_rec_uni[2025-05-01],
INDIRECT("tb_rec_uni[natureza]"),"pro.soluto",
INDIRECT("tb_rec_uni[empresa]"),$B22)</f>
        <v>0</v>
      </c>
      <c r="I22" s="183">
        <f ca="1">SUMIFS(tb_rec_uni[2025-06-01],
INDIRECT("tb_rec_uni[natureza]"),"pro.soluto",
INDIRECT("tb_rec_uni[empresa]"),$B22)</f>
        <v>0</v>
      </c>
      <c r="J22" s="183">
        <f ca="1">SUMIFS(tb_rec_uni[2025-07-01],
INDIRECT("tb_rec_uni[natureza]"),"pro.soluto",
INDIRECT("tb_rec_uni[empresa]"),$B22)</f>
        <v>0</v>
      </c>
      <c r="K22" s="183">
        <f ca="1">SUMIFS(tb_rec_uni[2025-08-01],
INDIRECT("tb_rec_uni[natureza]"),"pro.soluto",
INDIRECT("tb_rec_uni[empresa]"),$B22)</f>
        <v>0</v>
      </c>
      <c r="L22" s="183">
        <f ca="1">SUMIFS(tb_rec_uni[2025-09-01],
INDIRECT("tb_rec_uni[natureza]"),"pro.soluto",
INDIRECT("tb_rec_uni[empresa]"),$B22)</f>
        <v>0</v>
      </c>
      <c r="M22" s="183">
        <f ca="1">SUMIFS(tb_rec_uni[2025-10-01],
INDIRECT("tb_rec_uni[natureza]"),"pro.soluto",
INDIRECT("tb_rec_uni[empresa]"),$B22)</f>
        <v>0</v>
      </c>
      <c r="N22" s="183">
        <f ca="1">SUMIFS(tb_rec_uni[2025-11-01],
INDIRECT("tb_rec_uni[natureza]"),"pro.soluto",
INDIRECT("tb_rec_uni[empresa]"),$B22)</f>
        <v>0</v>
      </c>
      <c r="O22" s="183">
        <f ca="1">SUMIFS(tb_rec_uni[2025-12-01],
INDIRECT("tb_rec_uni[natureza]"),"pro.soluto",
INDIRECT("tb_rec_uni[empresa]"),$B22)</f>
        <v>0</v>
      </c>
      <c r="P22" s="183">
        <f ca="1">SUMIFS(tb_rec_uni[2026-01-01],
INDIRECT("tb_rec_uni[natureza]"),"pro.soluto",
INDIRECT("tb_rec_uni[empresa]"),$B22)</f>
        <v>0</v>
      </c>
      <c r="Q22" s="183">
        <f ca="1">SUMIFS(tb_rec_uni[2026-02-01],
INDIRECT("tb_rec_uni[natureza]"),"pro.soluto",
INDIRECT("tb_rec_uni[empresa]"),$B22)</f>
        <v>0</v>
      </c>
      <c r="R22" s="183">
        <f ca="1">SUMIFS(tb_rec_uni[2026-03-01],
INDIRECT("tb_rec_uni[natureza]"),"pro.soluto",
INDIRECT("tb_rec_uni[empresa]"),$B22)</f>
        <v>0</v>
      </c>
      <c r="S22" s="183">
        <f ca="1">SUMIFS(tb_rec_uni[2026-04-01],
INDIRECT("tb_rec_uni[natureza]"),"pro.soluto",
INDIRECT("tb_rec_uni[empresa]"),$B22)</f>
        <v>0</v>
      </c>
      <c r="T22" s="183">
        <f ca="1">SUMIFS(tb_rec_uni[2026-05-01],
INDIRECT("tb_rec_uni[natureza]"),"pro.soluto",
INDIRECT("tb_rec_uni[empresa]"),$B22)</f>
        <v>0</v>
      </c>
      <c r="U22" s="183">
        <f ca="1">SUMIFS(tb_rec_uni[2026-06-01],
INDIRECT("tb_rec_uni[natureza]"),"pro.soluto",
INDIRECT("tb_rec_uni[empresa]"),$B22)</f>
        <v>0</v>
      </c>
      <c r="V22" s="183">
        <f ca="1">SUMIFS(tb_rec_uni[2026-07-01],
INDIRECT("tb_rec_uni[natureza]"),"pro.soluto",
INDIRECT("tb_rec_uni[empresa]"),$B22)</f>
        <v>0</v>
      </c>
      <c r="W22" s="183">
        <f ca="1">SUMIFS(tb_rec_uni[2026-08-01],
INDIRECT("tb_rec_uni[natureza]"),"pro.soluto",
INDIRECT("tb_rec_uni[empresa]"),$B22)</f>
        <v>0</v>
      </c>
      <c r="X22" s="183">
        <f ca="1">SUMIFS(tb_rec_uni[2026-09-01],
INDIRECT("tb_rec_uni[natureza]"),"pro.soluto",
INDIRECT("tb_rec_uni[empresa]"),$B22)</f>
        <v>0</v>
      </c>
      <c r="Y22" s="183">
        <f ca="1">SUMIFS(tb_rec_uni[2026-10-01],
INDIRECT("tb_rec_uni[natureza]"),"pro.soluto",
INDIRECT("tb_rec_uni[empresa]"),$B22)</f>
        <v>0</v>
      </c>
      <c r="Z22" s="183">
        <f ca="1">SUMIFS(tb_rec_uni[2026-11-01],
INDIRECT("tb_rec_uni[natureza]"),"pro.soluto",
INDIRECT("tb_rec_uni[empresa]"),$B22)</f>
        <v>0</v>
      </c>
      <c r="AA22" s="183">
        <f ca="1">SUMIFS(tb_rec_uni[2026-12-01],
INDIRECT("tb_rec_uni[natureza]"),"pro.soluto",
INDIRECT("tb_rec_uni[empresa]"),$B22)</f>
        <v>0</v>
      </c>
      <c r="AC22" s="175">
        <f ca="1">SUM($D22:INDEX($D22:$AA22,1,MATCH(DATE(YEAR(inputs!$A$1),MONTH(inputs!$A$1),1),$D$1:$AA$1,0)))</f>
        <v>0</v>
      </c>
      <c r="AE22" s="175">
        <f t="shared" ca="1" si="1"/>
        <v>0</v>
      </c>
    </row>
    <row r="23" spans="1:31" outlineLevel="1" x14ac:dyDescent="0.25">
      <c r="A23" s="179" t="s">
        <v>522</v>
      </c>
      <c r="B23" s="184" t="s">
        <v>526</v>
      </c>
      <c r="C23" s="180" t="s">
        <v>22</v>
      </c>
      <c r="D23" s="181">
        <f t="shared" ref="D23:AA23" si="6">SUM(D$24)</f>
        <v>66315.199999999997</v>
      </c>
      <c r="E23" s="181">
        <f t="shared" si="6"/>
        <v>102314.88</v>
      </c>
      <c r="F23" s="181">
        <f t="shared" si="6"/>
        <v>247260.96</v>
      </c>
      <c r="G23" s="181">
        <f t="shared" si="6"/>
        <v>361891.51999999996</v>
      </c>
      <c r="H23" s="181">
        <f t="shared" si="6"/>
        <v>806203.36</v>
      </c>
      <c r="I23" s="181">
        <f t="shared" si="6"/>
        <v>770203.68</v>
      </c>
      <c r="J23" s="181">
        <f t="shared" si="6"/>
        <v>1031675.04</v>
      </c>
      <c r="K23" s="181">
        <f t="shared" si="6"/>
        <v>400733.28</v>
      </c>
      <c r="L23" s="181">
        <f t="shared" si="6"/>
        <v>345786.39999999997</v>
      </c>
      <c r="M23" s="181">
        <f t="shared" si="6"/>
        <v>622415.52</v>
      </c>
      <c r="N23" s="181">
        <f t="shared" si="6"/>
        <v>378944</v>
      </c>
      <c r="O23" s="181">
        <f t="shared" si="6"/>
        <v>324944.48000000004</v>
      </c>
      <c r="P23" s="181">
        <f t="shared" si="6"/>
        <v>179998.4</v>
      </c>
      <c r="Q23" s="181">
        <f t="shared" si="6"/>
        <v>272839.67999999999</v>
      </c>
      <c r="R23" s="181">
        <f t="shared" si="6"/>
        <v>640415.36</v>
      </c>
      <c r="S23" s="181">
        <f t="shared" si="6"/>
        <v>389364.96</v>
      </c>
      <c r="T23" s="181">
        <f t="shared" si="6"/>
        <v>566521.28</v>
      </c>
      <c r="U23" s="181">
        <f t="shared" si="6"/>
        <v>390312.32</v>
      </c>
      <c r="V23" s="181">
        <f t="shared" si="6"/>
        <v>610099.84000000008</v>
      </c>
      <c r="W23" s="181">
        <f t="shared" si="6"/>
        <v>238734.72</v>
      </c>
      <c r="X23" s="181">
        <f t="shared" si="6"/>
        <v>0</v>
      </c>
      <c r="Y23" s="181">
        <f t="shared" si="6"/>
        <v>0</v>
      </c>
      <c r="Z23" s="181">
        <f t="shared" si="6"/>
        <v>0</v>
      </c>
      <c r="AA23" s="181">
        <f t="shared" si="6"/>
        <v>0</v>
      </c>
      <c r="AC23" s="275">
        <f>SUM($D23:INDEX($D23:$AA23,1,MATCH(DATE(YEAR(inputs!$A$1),MONTH(inputs!$A$1),1),$D$1:$AA$1,0)))</f>
        <v>8746974.8800000027</v>
      </c>
      <c r="AE23" s="275">
        <f t="shared" si="1"/>
        <v>8746974.8800000027</v>
      </c>
    </row>
    <row r="24" spans="1:31" outlineLevel="2" x14ac:dyDescent="0.25">
      <c r="A24" s="182" t="s">
        <v>707</v>
      </c>
      <c r="B24" s="182" t="s">
        <v>11</v>
      </c>
      <c r="C24" s="135" t="s">
        <v>22</v>
      </c>
      <c r="D24" s="183" cm="1">
        <f t="array" ref="D24:W24">TRANSPOSE(_xlfn._xlws.FILTER(inputs!$BJ$51:$BJ$74,inputs!$BJ$51:$BJ$74&lt;&gt;""))</f>
        <v>66315.199999999997</v>
      </c>
      <c r="E24" s="183">
        <v>102314.88</v>
      </c>
      <c r="F24" s="183">
        <v>247260.96</v>
      </c>
      <c r="G24" s="183">
        <v>361891.51999999996</v>
      </c>
      <c r="H24" s="183">
        <v>806203.36</v>
      </c>
      <c r="I24" s="183">
        <v>770203.68</v>
      </c>
      <c r="J24" s="183">
        <v>1031675.04</v>
      </c>
      <c r="K24" s="183">
        <v>400733.28</v>
      </c>
      <c r="L24" s="183">
        <v>345786.39999999997</v>
      </c>
      <c r="M24" s="183">
        <v>622415.52</v>
      </c>
      <c r="N24" s="183">
        <v>378944</v>
      </c>
      <c r="O24" s="183">
        <v>324944.48000000004</v>
      </c>
      <c r="P24" s="183">
        <v>179998.4</v>
      </c>
      <c r="Q24" s="183">
        <v>272839.67999999999</v>
      </c>
      <c r="R24" s="183">
        <v>640415.36</v>
      </c>
      <c r="S24" s="183">
        <v>389364.96</v>
      </c>
      <c r="T24" s="183">
        <v>566521.28</v>
      </c>
      <c r="U24" s="183">
        <v>390312.32</v>
      </c>
      <c r="V24" s="183">
        <v>610099.84000000008</v>
      </c>
      <c r="W24" s="183">
        <v>238734.72</v>
      </c>
      <c r="X24" s="183"/>
      <c r="Y24" s="183"/>
      <c r="Z24" s="183"/>
      <c r="AA24" s="183"/>
      <c r="AC24" s="175">
        <f>SUM($D24:INDEX($D24:$AA24,1,MATCH(DATE(YEAR(inputs!$A$1),MONTH(inputs!$A$1),1),$D$1:$AA$1,0)))</f>
        <v>8746974.8800000027</v>
      </c>
      <c r="AE24" s="175">
        <f t="shared" si="1"/>
        <v>8746974.8800000027</v>
      </c>
    </row>
    <row r="25" spans="1:31" outlineLevel="1" x14ac:dyDescent="0.25">
      <c r="A25" s="179" t="s">
        <v>525</v>
      </c>
      <c r="B25" s="179" t="s">
        <v>523</v>
      </c>
      <c r="C25" s="180" t="s">
        <v>514</v>
      </c>
      <c r="D25" s="181">
        <f t="shared" ref="D25:AA25" ca="1" si="7">SUM(D$26:D$32)</f>
        <v>0</v>
      </c>
      <c r="E25" s="181">
        <f t="shared" ca="1" si="7"/>
        <v>0</v>
      </c>
      <c r="F25" s="181">
        <f t="shared" ca="1" si="7"/>
        <v>0</v>
      </c>
      <c r="G25" s="181">
        <f t="shared" ca="1" si="7"/>
        <v>0</v>
      </c>
      <c r="H25" s="181">
        <f t="shared" ca="1" si="7"/>
        <v>0</v>
      </c>
      <c r="I25" s="181">
        <f t="shared" ca="1" si="7"/>
        <v>0</v>
      </c>
      <c r="J25" s="181">
        <f t="shared" ca="1" si="7"/>
        <v>0</v>
      </c>
      <c r="K25" s="181">
        <f t="shared" ca="1" si="7"/>
        <v>0</v>
      </c>
      <c r="L25" s="181">
        <f t="shared" ca="1" si="7"/>
        <v>0</v>
      </c>
      <c r="M25" s="181">
        <f t="shared" ca="1" si="7"/>
        <v>0</v>
      </c>
      <c r="N25" s="181">
        <f t="shared" ca="1" si="7"/>
        <v>0</v>
      </c>
      <c r="O25" s="181">
        <f t="shared" ca="1" si="7"/>
        <v>0</v>
      </c>
      <c r="P25" s="181">
        <f t="shared" ca="1" si="7"/>
        <v>0</v>
      </c>
      <c r="Q25" s="181">
        <f t="shared" ca="1" si="7"/>
        <v>0</v>
      </c>
      <c r="R25" s="181">
        <f t="shared" ca="1" si="7"/>
        <v>0</v>
      </c>
      <c r="S25" s="181">
        <f t="shared" ca="1" si="7"/>
        <v>0</v>
      </c>
      <c r="T25" s="181">
        <f t="shared" ca="1" si="7"/>
        <v>0</v>
      </c>
      <c r="U25" s="181">
        <f t="shared" ca="1" si="7"/>
        <v>0</v>
      </c>
      <c r="V25" s="181">
        <f t="shared" ca="1" si="7"/>
        <v>0</v>
      </c>
      <c r="W25" s="181">
        <f t="shared" ca="1" si="7"/>
        <v>0</v>
      </c>
      <c r="X25" s="181">
        <f t="shared" ca="1" si="7"/>
        <v>0</v>
      </c>
      <c r="Y25" s="181">
        <f t="shared" ca="1" si="7"/>
        <v>0</v>
      </c>
      <c r="Z25" s="181">
        <f t="shared" ca="1" si="7"/>
        <v>0</v>
      </c>
      <c r="AA25" s="181">
        <f t="shared" ca="1" si="7"/>
        <v>0</v>
      </c>
      <c r="AC25" s="275">
        <f ca="1">SUM($D25:INDEX($D25:$AA25,1,MATCH(DATE(YEAR(inputs!$A$1),MONTH(inputs!$A$1),1),$D$1:$AA$1,0)))</f>
        <v>0</v>
      </c>
      <c r="AE25" s="275">
        <f t="shared" ca="1" si="1"/>
        <v>0</v>
      </c>
    </row>
    <row r="26" spans="1:31" outlineLevel="2" x14ac:dyDescent="0.25">
      <c r="A26" s="182" t="s">
        <v>708</v>
      </c>
      <c r="B26" s="182" t="s">
        <v>12</v>
      </c>
      <c r="C26" s="135" t="s">
        <v>524</v>
      </c>
      <c r="D26" s="183">
        <f ca="1">SUMIFS(tb_rec_uni[2025-01-01],
INDIRECT("tb_rec_uni[natureza]"),"taxa.extra",
INDIRECT("tb_rec_uni[empresa]"),$B26)</f>
        <v>0</v>
      </c>
      <c r="E26" s="183">
        <f ca="1">SUMIFS(tb_rec_uni[2025-02-01],
INDIRECT("tb_rec_uni[natureza]"),"taxa.extra",
INDIRECT("tb_rec_uni[empresa]"),$B26)</f>
        <v>0</v>
      </c>
      <c r="F26" s="183">
        <f ca="1">SUMIFS(tb_rec_uni[2025-03-01],
INDIRECT("tb_rec_uni[natureza]"),"taxa.extra",
INDIRECT("tb_rec_uni[empresa]"),$B26)</f>
        <v>0</v>
      </c>
      <c r="G26" s="183">
        <f ca="1">SUMIFS(tb_rec_uni[2025-04-01],
INDIRECT("tb_rec_uni[natureza]"),"taxa.extra",
INDIRECT("tb_rec_uni[empresa]"),$B26)</f>
        <v>0</v>
      </c>
      <c r="H26" s="183">
        <f ca="1">SUMIFS(tb_rec_uni[2025-05-01],
INDIRECT("tb_rec_uni[natureza]"),"taxa.extra",
INDIRECT("tb_rec_uni[empresa]"),$B26)</f>
        <v>0</v>
      </c>
      <c r="I26" s="183">
        <f ca="1">SUMIFS(tb_rec_uni[2025-06-01],
INDIRECT("tb_rec_uni[natureza]"),"taxa.extra",
INDIRECT("tb_rec_uni[empresa]"),$B26)</f>
        <v>0</v>
      </c>
      <c r="J26" s="183">
        <f ca="1">SUMIFS(tb_rec_uni[2025-07-01],
INDIRECT("tb_rec_uni[natureza]"),"taxa.extra",
INDIRECT("tb_rec_uni[empresa]"),$B26)</f>
        <v>0</v>
      </c>
      <c r="K26" s="183">
        <f ca="1">SUMIFS(tb_rec_uni[2025-08-01],
INDIRECT("tb_rec_uni[natureza]"),"taxa.extra",
INDIRECT("tb_rec_uni[empresa]"),$B26)</f>
        <v>0</v>
      </c>
      <c r="L26" s="183">
        <f ca="1">SUMIFS(tb_rec_uni[2025-09-01],
INDIRECT("tb_rec_uni[natureza]"),"taxa.extra",
INDIRECT("tb_rec_uni[empresa]"),$B26)</f>
        <v>0</v>
      </c>
      <c r="M26" s="183">
        <f ca="1">SUMIFS(tb_rec_uni[2025-10-01],
INDIRECT("tb_rec_uni[natureza]"),"taxa.extra",
INDIRECT("tb_rec_uni[empresa]"),$B26)</f>
        <v>0</v>
      </c>
      <c r="N26" s="183">
        <f ca="1">SUMIFS(tb_rec_uni[2025-11-01],
INDIRECT("tb_rec_uni[natureza]"),"taxa.extra",
INDIRECT("tb_rec_uni[empresa]"),$B26)</f>
        <v>0</v>
      </c>
      <c r="O26" s="183">
        <f ca="1">SUMIFS(tb_rec_uni[2025-12-01],
INDIRECT("tb_rec_uni[natureza]"),"taxa.extra",
INDIRECT("tb_rec_uni[empresa]"),$B26)</f>
        <v>0</v>
      </c>
      <c r="P26" s="183">
        <f ca="1">SUMIFS(tb_rec_uni[2026-01-01],
INDIRECT("tb_rec_uni[natureza]"),"taxa.extra",
INDIRECT("tb_rec_uni[empresa]"),$B26)</f>
        <v>0</v>
      </c>
      <c r="Q26" s="183">
        <f ca="1">SUMIFS(tb_rec_uni[2026-02-01],
INDIRECT("tb_rec_uni[natureza]"),"taxa.extra",
INDIRECT("tb_rec_uni[empresa]"),$B26)</f>
        <v>0</v>
      </c>
      <c r="R26" s="183">
        <f ca="1">SUMIFS(tb_rec_uni[2026-03-01],
INDIRECT("tb_rec_uni[natureza]"),"taxa.extra",
INDIRECT("tb_rec_uni[empresa]"),$B26)</f>
        <v>0</v>
      </c>
      <c r="S26" s="183">
        <f ca="1">SUMIFS(tb_rec_uni[2026-04-01],
INDIRECT("tb_rec_uni[natureza]"),"taxa.extra",
INDIRECT("tb_rec_uni[empresa]"),$B26)</f>
        <v>0</v>
      </c>
      <c r="T26" s="183">
        <f ca="1">SUMIFS(tb_rec_uni[2026-05-01],
INDIRECT("tb_rec_uni[natureza]"),"taxa.extra",
INDIRECT("tb_rec_uni[empresa]"),$B26)</f>
        <v>0</v>
      </c>
      <c r="U26" s="183">
        <f ca="1">SUMIFS(tb_rec_uni[2026-06-01],
INDIRECT("tb_rec_uni[natureza]"),"taxa.extra",
INDIRECT("tb_rec_uni[empresa]"),$B26)</f>
        <v>0</v>
      </c>
      <c r="V26" s="183">
        <f ca="1">SUMIFS(tb_rec_uni[2026-07-01],
INDIRECT("tb_rec_uni[natureza]"),"taxa.extra",
INDIRECT("tb_rec_uni[empresa]"),$B26)</f>
        <v>0</v>
      </c>
      <c r="W26" s="183">
        <f ca="1">SUMIFS(tb_rec_uni[2026-08-01],
INDIRECT("tb_rec_uni[natureza]"),"taxa.extra",
INDIRECT("tb_rec_uni[empresa]"),$B26)</f>
        <v>0</v>
      </c>
      <c r="X26" s="183">
        <f ca="1">SUMIFS(tb_rec_uni[2026-09-01],
INDIRECT("tb_rec_uni[natureza]"),"taxa.extra",
INDIRECT("tb_rec_uni[empresa]"),$B26)</f>
        <v>0</v>
      </c>
      <c r="Y26" s="183">
        <f ca="1">SUMIFS(tb_rec_uni[2026-10-01],
INDIRECT("tb_rec_uni[natureza]"),"taxa.extra",
INDIRECT("tb_rec_uni[empresa]"),$B26)</f>
        <v>0</v>
      </c>
      <c r="Z26" s="183">
        <f ca="1">SUMIFS(tb_rec_uni[2026-11-01],
INDIRECT("tb_rec_uni[natureza]"),"taxa.extra",
INDIRECT("tb_rec_uni[empresa]"),$B26)</f>
        <v>0</v>
      </c>
      <c r="AA26" s="183">
        <f ca="1">SUMIFS(tb_rec_uni[2026-12-01],
INDIRECT("tb_rec_uni[natureza]"),"taxa.extra",
INDIRECT("tb_rec_uni[empresa]"),$B26)</f>
        <v>0</v>
      </c>
      <c r="AC26" s="175">
        <f ca="1">SUM($D26:INDEX($D26:$AA26,1,MATCH(DATE(YEAR(inputs!$A$1),MONTH(inputs!$A$1),1),$D$1:$AA$1,0)))</f>
        <v>0</v>
      </c>
      <c r="AE26" s="175">
        <f t="shared" ca="1" si="1"/>
        <v>0</v>
      </c>
    </row>
    <row r="27" spans="1:31" outlineLevel="2" x14ac:dyDescent="0.25">
      <c r="A27" s="182" t="s">
        <v>709</v>
      </c>
      <c r="B27" s="182" t="s">
        <v>9</v>
      </c>
      <c r="C27" s="135" t="s">
        <v>524</v>
      </c>
      <c r="D27" s="183">
        <f ca="1">SUMIFS(tb_rec_uni[2025-01-01],
INDIRECT("tb_rec_uni[natureza]"),"taxa.extra",
INDIRECT("tb_rec_uni[empresa]"),$B27)</f>
        <v>0</v>
      </c>
      <c r="E27" s="183">
        <f ca="1">SUMIFS(tb_rec_uni[2025-02-01],
INDIRECT("tb_rec_uni[natureza]"),"taxa.extra",
INDIRECT("tb_rec_uni[empresa]"),$B27)</f>
        <v>0</v>
      </c>
      <c r="F27" s="183">
        <f ca="1">SUMIFS(tb_rec_uni[2025-03-01],
INDIRECT("tb_rec_uni[natureza]"),"taxa.extra",
INDIRECT("tb_rec_uni[empresa]"),$B27)</f>
        <v>0</v>
      </c>
      <c r="G27" s="183">
        <f ca="1">SUMIFS(tb_rec_uni[2025-04-01],
INDIRECT("tb_rec_uni[natureza]"),"taxa.extra",
INDIRECT("tb_rec_uni[empresa]"),$B27)</f>
        <v>0</v>
      </c>
      <c r="H27" s="183">
        <f ca="1">SUMIFS(tb_rec_uni[2025-05-01],
INDIRECT("tb_rec_uni[natureza]"),"taxa.extra",
INDIRECT("tb_rec_uni[empresa]"),$B27)</f>
        <v>0</v>
      </c>
      <c r="I27" s="183">
        <f ca="1">SUMIFS(tb_rec_uni[2025-06-01],
INDIRECT("tb_rec_uni[natureza]"),"taxa.extra",
INDIRECT("tb_rec_uni[empresa]"),$B27)</f>
        <v>0</v>
      </c>
      <c r="J27" s="183">
        <f ca="1">SUMIFS(tb_rec_uni[2025-07-01],
INDIRECT("tb_rec_uni[natureza]"),"taxa.extra",
INDIRECT("tb_rec_uni[empresa]"),$B27)</f>
        <v>0</v>
      </c>
      <c r="K27" s="183">
        <f ca="1">SUMIFS(tb_rec_uni[2025-08-01],
INDIRECT("tb_rec_uni[natureza]"),"taxa.extra",
INDIRECT("tb_rec_uni[empresa]"),$B27)</f>
        <v>0</v>
      </c>
      <c r="L27" s="183">
        <f ca="1">SUMIFS(tb_rec_uni[2025-09-01],
INDIRECT("tb_rec_uni[natureza]"),"taxa.extra",
INDIRECT("tb_rec_uni[empresa]"),$B27)</f>
        <v>0</v>
      </c>
      <c r="M27" s="183">
        <f ca="1">SUMIFS(tb_rec_uni[2025-10-01],
INDIRECT("tb_rec_uni[natureza]"),"taxa.extra",
INDIRECT("tb_rec_uni[empresa]"),$B27)</f>
        <v>0</v>
      </c>
      <c r="N27" s="183">
        <f ca="1">SUMIFS(tb_rec_uni[2025-11-01],
INDIRECT("tb_rec_uni[natureza]"),"taxa.extra",
INDIRECT("tb_rec_uni[empresa]"),$B27)</f>
        <v>0</v>
      </c>
      <c r="O27" s="183">
        <f ca="1">SUMIFS(tb_rec_uni[2025-12-01],
INDIRECT("tb_rec_uni[natureza]"),"taxa.extra",
INDIRECT("tb_rec_uni[empresa]"),$B27)</f>
        <v>0</v>
      </c>
      <c r="P27" s="183">
        <f ca="1">SUMIFS(tb_rec_uni[2026-01-01],
INDIRECT("tb_rec_uni[natureza]"),"taxa.extra",
INDIRECT("tb_rec_uni[empresa]"),$B27)</f>
        <v>0</v>
      </c>
      <c r="Q27" s="183">
        <f ca="1">SUMIFS(tb_rec_uni[2026-02-01],
INDIRECT("tb_rec_uni[natureza]"),"taxa.extra",
INDIRECT("tb_rec_uni[empresa]"),$B27)</f>
        <v>0</v>
      </c>
      <c r="R27" s="183">
        <f ca="1">SUMIFS(tb_rec_uni[2026-03-01],
INDIRECT("tb_rec_uni[natureza]"),"taxa.extra",
INDIRECT("tb_rec_uni[empresa]"),$B27)</f>
        <v>0</v>
      </c>
      <c r="S27" s="183">
        <f ca="1">SUMIFS(tb_rec_uni[2026-04-01],
INDIRECT("tb_rec_uni[natureza]"),"taxa.extra",
INDIRECT("tb_rec_uni[empresa]"),$B27)</f>
        <v>0</v>
      </c>
      <c r="T27" s="183">
        <f ca="1">SUMIFS(tb_rec_uni[2026-05-01],
INDIRECT("tb_rec_uni[natureza]"),"taxa.extra",
INDIRECT("tb_rec_uni[empresa]"),$B27)</f>
        <v>0</v>
      </c>
      <c r="U27" s="183">
        <f ca="1">SUMIFS(tb_rec_uni[2026-06-01],
INDIRECT("tb_rec_uni[natureza]"),"taxa.extra",
INDIRECT("tb_rec_uni[empresa]"),$B27)</f>
        <v>0</v>
      </c>
      <c r="V27" s="183">
        <f ca="1">SUMIFS(tb_rec_uni[2026-07-01],
INDIRECT("tb_rec_uni[natureza]"),"taxa.extra",
INDIRECT("tb_rec_uni[empresa]"),$B27)</f>
        <v>0</v>
      </c>
      <c r="W27" s="183">
        <f ca="1">SUMIFS(tb_rec_uni[2026-08-01],
INDIRECT("tb_rec_uni[natureza]"),"taxa.extra",
INDIRECT("tb_rec_uni[empresa]"),$B27)</f>
        <v>0</v>
      </c>
      <c r="X27" s="183">
        <f ca="1">SUMIFS(tb_rec_uni[2026-09-01],
INDIRECT("tb_rec_uni[natureza]"),"taxa.extra",
INDIRECT("tb_rec_uni[empresa]"),$B27)</f>
        <v>0</v>
      </c>
      <c r="Y27" s="183">
        <f ca="1">SUMIFS(tb_rec_uni[2026-10-01],
INDIRECT("tb_rec_uni[natureza]"),"taxa.extra",
INDIRECT("tb_rec_uni[empresa]"),$B27)</f>
        <v>0</v>
      </c>
      <c r="Z27" s="183">
        <f ca="1">SUMIFS(tb_rec_uni[2026-11-01],
INDIRECT("tb_rec_uni[natureza]"),"taxa.extra",
INDIRECT("tb_rec_uni[empresa]"),$B27)</f>
        <v>0</v>
      </c>
      <c r="AA27" s="183">
        <f ca="1">SUMIFS(tb_rec_uni[2026-12-01],
INDIRECT("tb_rec_uni[natureza]"),"taxa.extra",
INDIRECT("tb_rec_uni[empresa]"),$B27)</f>
        <v>0</v>
      </c>
      <c r="AC27" s="175">
        <f ca="1">SUM($D27:INDEX($D27:$AA27,1,MATCH(DATE(YEAR(inputs!$A$1),MONTH(inputs!$A$1),1),$D$1:$AA$1,0)))</f>
        <v>0</v>
      </c>
      <c r="AE27" s="175">
        <f t="shared" ca="1" si="1"/>
        <v>0</v>
      </c>
    </row>
    <row r="28" spans="1:31" outlineLevel="2" x14ac:dyDescent="0.25">
      <c r="A28" s="182" t="s">
        <v>710</v>
      </c>
      <c r="B28" s="182" t="s">
        <v>8</v>
      </c>
      <c r="C28" s="135" t="s">
        <v>524</v>
      </c>
      <c r="D28" s="183">
        <f ca="1">SUMIFS(tb_rec_uni[2025-01-01],
INDIRECT("tb_rec_uni[natureza]"),"taxa.extra",
INDIRECT("tb_rec_uni[empresa]"),$B28)</f>
        <v>0</v>
      </c>
      <c r="E28" s="183">
        <f ca="1">SUMIFS(tb_rec_uni[2025-02-01],
INDIRECT("tb_rec_uni[natureza]"),"taxa.extra",
INDIRECT("tb_rec_uni[empresa]"),$B28)</f>
        <v>0</v>
      </c>
      <c r="F28" s="183">
        <f ca="1">SUMIFS(tb_rec_uni[2025-03-01],
INDIRECT("tb_rec_uni[natureza]"),"taxa.extra",
INDIRECT("tb_rec_uni[empresa]"),$B28)</f>
        <v>0</v>
      </c>
      <c r="G28" s="183">
        <f ca="1">SUMIFS(tb_rec_uni[2025-04-01],
INDIRECT("tb_rec_uni[natureza]"),"taxa.extra",
INDIRECT("tb_rec_uni[empresa]"),$B28)</f>
        <v>0</v>
      </c>
      <c r="H28" s="183">
        <f ca="1">SUMIFS(tb_rec_uni[2025-05-01],
INDIRECT("tb_rec_uni[natureza]"),"taxa.extra",
INDIRECT("tb_rec_uni[empresa]"),$B28)</f>
        <v>0</v>
      </c>
      <c r="I28" s="183">
        <f ca="1">SUMIFS(tb_rec_uni[2025-06-01],
INDIRECT("tb_rec_uni[natureza]"),"taxa.extra",
INDIRECT("tb_rec_uni[empresa]"),$B28)</f>
        <v>0</v>
      </c>
      <c r="J28" s="183">
        <f ca="1">SUMIFS(tb_rec_uni[2025-07-01],
INDIRECT("tb_rec_uni[natureza]"),"taxa.extra",
INDIRECT("tb_rec_uni[empresa]"),$B28)</f>
        <v>0</v>
      </c>
      <c r="K28" s="183">
        <f ca="1">SUMIFS(tb_rec_uni[2025-08-01],
INDIRECT("tb_rec_uni[natureza]"),"taxa.extra",
INDIRECT("tb_rec_uni[empresa]"),$B28)</f>
        <v>0</v>
      </c>
      <c r="L28" s="183">
        <f ca="1">SUMIFS(tb_rec_uni[2025-09-01],
INDIRECT("tb_rec_uni[natureza]"),"taxa.extra",
INDIRECT("tb_rec_uni[empresa]"),$B28)</f>
        <v>0</v>
      </c>
      <c r="M28" s="183">
        <f ca="1">SUMIFS(tb_rec_uni[2025-10-01],
INDIRECT("tb_rec_uni[natureza]"),"taxa.extra",
INDIRECT("tb_rec_uni[empresa]"),$B28)</f>
        <v>0</v>
      </c>
      <c r="N28" s="183">
        <f ca="1">SUMIFS(tb_rec_uni[2025-11-01],
INDIRECT("tb_rec_uni[natureza]"),"taxa.extra",
INDIRECT("tb_rec_uni[empresa]"),$B28)</f>
        <v>0</v>
      </c>
      <c r="O28" s="183">
        <f ca="1">SUMIFS(tb_rec_uni[2025-12-01],
INDIRECT("tb_rec_uni[natureza]"),"taxa.extra",
INDIRECT("tb_rec_uni[empresa]"),$B28)</f>
        <v>0</v>
      </c>
      <c r="P28" s="183">
        <f ca="1">SUMIFS(tb_rec_uni[2026-01-01],
INDIRECT("tb_rec_uni[natureza]"),"taxa.extra",
INDIRECT("tb_rec_uni[empresa]"),$B28)</f>
        <v>0</v>
      </c>
      <c r="Q28" s="183">
        <f ca="1">SUMIFS(tb_rec_uni[2026-02-01],
INDIRECT("tb_rec_uni[natureza]"),"taxa.extra",
INDIRECT("tb_rec_uni[empresa]"),$B28)</f>
        <v>0</v>
      </c>
      <c r="R28" s="183">
        <f ca="1">SUMIFS(tb_rec_uni[2026-03-01],
INDIRECT("tb_rec_uni[natureza]"),"taxa.extra",
INDIRECT("tb_rec_uni[empresa]"),$B28)</f>
        <v>0</v>
      </c>
      <c r="S28" s="183">
        <f ca="1">SUMIFS(tb_rec_uni[2026-04-01],
INDIRECT("tb_rec_uni[natureza]"),"taxa.extra",
INDIRECT("tb_rec_uni[empresa]"),$B28)</f>
        <v>0</v>
      </c>
      <c r="T28" s="183">
        <f ca="1">SUMIFS(tb_rec_uni[2026-05-01],
INDIRECT("tb_rec_uni[natureza]"),"taxa.extra",
INDIRECT("tb_rec_uni[empresa]"),$B28)</f>
        <v>0</v>
      </c>
      <c r="U28" s="183">
        <f ca="1">SUMIFS(tb_rec_uni[2026-06-01],
INDIRECT("tb_rec_uni[natureza]"),"taxa.extra",
INDIRECT("tb_rec_uni[empresa]"),$B28)</f>
        <v>0</v>
      </c>
      <c r="V28" s="183">
        <f ca="1">SUMIFS(tb_rec_uni[2026-07-01],
INDIRECT("tb_rec_uni[natureza]"),"taxa.extra",
INDIRECT("tb_rec_uni[empresa]"),$B28)</f>
        <v>0</v>
      </c>
      <c r="W28" s="183">
        <f ca="1">SUMIFS(tb_rec_uni[2026-08-01],
INDIRECT("tb_rec_uni[natureza]"),"taxa.extra",
INDIRECT("tb_rec_uni[empresa]"),$B28)</f>
        <v>0</v>
      </c>
      <c r="X28" s="183">
        <f ca="1">SUMIFS(tb_rec_uni[2026-09-01],
INDIRECT("tb_rec_uni[natureza]"),"taxa.extra",
INDIRECT("tb_rec_uni[empresa]"),$B28)</f>
        <v>0</v>
      </c>
      <c r="Y28" s="183">
        <f ca="1">SUMIFS(tb_rec_uni[2026-10-01],
INDIRECT("tb_rec_uni[natureza]"),"taxa.extra",
INDIRECT("tb_rec_uni[empresa]"),$B28)</f>
        <v>0</v>
      </c>
      <c r="Z28" s="183">
        <f ca="1">SUMIFS(tb_rec_uni[2026-11-01],
INDIRECT("tb_rec_uni[natureza]"),"taxa.extra",
INDIRECT("tb_rec_uni[empresa]"),$B28)</f>
        <v>0</v>
      </c>
      <c r="AA28" s="183">
        <f ca="1">SUMIFS(tb_rec_uni[2026-12-01],
INDIRECT("tb_rec_uni[natureza]"),"taxa.extra",
INDIRECT("tb_rec_uni[empresa]"),$B28)</f>
        <v>0</v>
      </c>
      <c r="AC28" s="175">
        <f ca="1">SUM($D28:INDEX($D28:$AA28,1,MATCH(DATE(YEAR(inputs!$A$1),MONTH(inputs!$A$1),1),$D$1:$AA$1,0)))</f>
        <v>0</v>
      </c>
      <c r="AE28" s="175">
        <f t="shared" ca="1" si="1"/>
        <v>0</v>
      </c>
    </row>
    <row r="29" spans="1:31" outlineLevel="2" x14ac:dyDescent="0.25">
      <c r="A29" s="182" t="s">
        <v>711</v>
      </c>
      <c r="B29" s="182" t="s">
        <v>7</v>
      </c>
      <c r="C29" s="135" t="s">
        <v>524</v>
      </c>
      <c r="D29" s="183">
        <f ca="1">SUMIFS(tb_rec_uni[2025-01-01],
INDIRECT("tb_rec_uni[natureza]"),"taxa.extra",
INDIRECT("tb_rec_uni[empresa]"),$B29)</f>
        <v>0</v>
      </c>
      <c r="E29" s="183">
        <f ca="1">SUMIFS(tb_rec_uni[2025-02-01],
INDIRECT("tb_rec_uni[natureza]"),"taxa.extra",
INDIRECT("tb_rec_uni[empresa]"),$B29)</f>
        <v>0</v>
      </c>
      <c r="F29" s="183">
        <f ca="1">SUMIFS(tb_rec_uni[2025-03-01],
INDIRECT("tb_rec_uni[natureza]"),"taxa.extra",
INDIRECT("tb_rec_uni[empresa]"),$B29)</f>
        <v>0</v>
      </c>
      <c r="G29" s="183">
        <f ca="1">SUMIFS(tb_rec_uni[2025-04-01],
INDIRECT("tb_rec_uni[natureza]"),"taxa.extra",
INDIRECT("tb_rec_uni[empresa]"),$B29)</f>
        <v>0</v>
      </c>
      <c r="H29" s="183">
        <f ca="1">SUMIFS(tb_rec_uni[2025-05-01],
INDIRECT("tb_rec_uni[natureza]"),"taxa.extra",
INDIRECT("tb_rec_uni[empresa]"),$B29)</f>
        <v>0</v>
      </c>
      <c r="I29" s="183">
        <f ca="1">SUMIFS(tb_rec_uni[2025-06-01],
INDIRECT("tb_rec_uni[natureza]"),"taxa.extra",
INDIRECT("tb_rec_uni[empresa]"),$B29)</f>
        <v>0</v>
      </c>
      <c r="J29" s="183">
        <f ca="1">SUMIFS(tb_rec_uni[2025-07-01],
INDIRECT("tb_rec_uni[natureza]"),"taxa.extra",
INDIRECT("tb_rec_uni[empresa]"),$B29)</f>
        <v>0</v>
      </c>
      <c r="K29" s="183">
        <f ca="1">SUMIFS(tb_rec_uni[2025-08-01],
INDIRECT("tb_rec_uni[natureza]"),"taxa.extra",
INDIRECT("tb_rec_uni[empresa]"),$B29)</f>
        <v>0</v>
      </c>
      <c r="L29" s="183">
        <f ca="1">SUMIFS(tb_rec_uni[2025-09-01],
INDIRECT("tb_rec_uni[natureza]"),"taxa.extra",
INDIRECT("tb_rec_uni[empresa]"),$B29)</f>
        <v>0</v>
      </c>
      <c r="M29" s="183">
        <f ca="1">SUMIFS(tb_rec_uni[2025-10-01],
INDIRECT("tb_rec_uni[natureza]"),"taxa.extra",
INDIRECT("tb_rec_uni[empresa]"),$B29)</f>
        <v>0</v>
      </c>
      <c r="N29" s="183">
        <f ca="1">SUMIFS(tb_rec_uni[2025-11-01],
INDIRECT("tb_rec_uni[natureza]"),"taxa.extra",
INDIRECT("tb_rec_uni[empresa]"),$B29)</f>
        <v>0</v>
      </c>
      <c r="O29" s="183">
        <f ca="1">SUMIFS(tb_rec_uni[2025-12-01],
INDIRECT("tb_rec_uni[natureza]"),"taxa.extra",
INDIRECT("tb_rec_uni[empresa]"),$B29)</f>
        <v>0</v>
      </c>
      <c r="P29" s="183">
        <f ca="1">SUMIFS(tb_rec_uni[2026-01-01],
INDIRECT("tb_rec_uni[natureza]"),"taxa.extra",
INDIRECT("tb_rec_uni[empresa]"),$B29)</f>
        <v>0</v>
      </c>
      <c r="Q29" s="183">
        <f ca="1">SUMIFS(tb_rec_uni[2026-02-01],
INDIRECT("tb_rec_uni[natureza]"),"taxa.extra",
INDIRECT("tb_rec_uni[empresa]"),$B29)</f>
        <v>0</v>
      </c>
      <c r="R29" s="183">
        <f ca="1">SUMIFS(tb_rec_uni[2026-03-01],
INDIRECT("tb_rec_uni[natureza]"),"taxa.extra",
INDIRECT("tb_rec_uni[empresa]"),$B29)</f>
        <v>0</v>
      </c>
      <c r="S29" s="183">
        <f ca="1">SUMIFS(tb_rec_uni[2026-04-01],
INDIRECT("tb_rec_uni[natureza]"),"taxa.extra",
INDIRECT("tb_rec_uni[empresa]"),$B29)</f>
        <v>0</v>
      </c>
      <c r="T29" s="183">
        <f ca="1">SUMIFS(tb_rec_uni[2026-05-01],
INDIRECT("tb_rec_uni[natureza]"),"taxa.extra",
INDIRECT("tb_rec_uni[empresa]"),$B29)</f>
        <v>0</v>
      </c>
      <c r="U29" s="183">
        <f ca="1">SUMIFS(tb_rec_uni[2026-06-01],
INDIRECT("tb_rec_uni[natureza]"),"taxa.extra",
INDIRECT("tb_rec_uni[empresa]"),$B29)</f>
        <v>0</v>
      </c>
      <c r="V29" s="183">
        <f ca="1">SUMIFS(tb_rec_uni[2026-07-01],
INDIRECT("tb_rec_uni[natureza]"),"taxa.extra",
INDIRECT("tb_rec_uni[empresa]"),$B29)</f>
        <v>0</v>
      </c>
      <c r="W29" s="183">
        <f ca="1">SUMIFS(tb_rec_uni[2026-08-01],
INDIRECT("tb_rec_uni[natureza]"),"taxa.extra",
INDIRECT("tb_rec_uni[empresa]"),$B29)</f>
        <v>0</v>
      </c>
      <c r="X29" s="183">
        <f ca="1">SUMIFS(tb_rec_uni[2026-09-01],
INDIRECT("tb_rec_uni[natureza]"),"taxa.extra",
INDIRECT("tb_rec_uni[empresa]"),$B29)</f>
        <v>0</v>
      </c>
      <c r="Y29" s="183">
        <f ca="1">SUMIFS(tb_rec_uni[2026-10-01],
INDIRECT("tb_rec_uni[natureza]"),"taxa.extra",
INDIRECT("tb_rec_uni[empresa]"),$B29)</f>
        <v>0</v>
      </c>
      <c r="Z29" s="183">
        <f ca="1">SUMIFS(tb_rec_uni[2026-11-01],
INDIRECT("tb_rec_uni[natureza]"),"taxa.extra",
INDIRECT("tb_rec_uni[empresa]"),$B29)</f>
        <v>0</v>
      </c>
      <c r="AA29" s="183">
        <f ca="1">SUMIFS(tb_rec_uni[2026-12-01],
INDIRECT("tb_rec_uni[natureza]"),"taxa.extra",
INDIRECT("tb_rec_uni[empresa]"),$B29)</f>
        <v>0</v>
      </c>
      <c r="AC29" s="175">
        <f ca="1">SUM($D29:INDEX($D29:$AA29,1,MATCH(DATE(YEAR(inputs!$A$1),MONTH(inputs!$A$1),1),$D$1:$AA$1,0)))</f>
        <v>0</v>
      </c>
      <c r="AE29" s="175">
        <f t="shared" ca="1" si="1"/>
        <v>0</v>
      </c>
    </row>
    <row r="30" spans="1:31" outlineLevel="2" x14ac:dyDescent="0.25">
      <c r="A30" s="182" t="s">
        <v>712</v>
      </c>
      <c r="B30" s="182" t="s">
        <v>10</v>
      </c>
      <c r="C30" s="135" t="s">
        <v>524</v>
      </c>
      <c r="D30" s="183">
        <f ca="1">SUMIFS(tb_rec_uni[2025-01-01],
INDIRECT("tb_rec_uni[natureza]"),"taxa.extra",
INDIRECT("tb_rec_uni[empresa]"),$B30)</f>
        <v>0</v>
      </c>
      <c r="E30" s="183">
        <f ca="1">SUMIFS(tb_rec_uni[2025-02-01],
INDIRECT("tb_rec_uni[natureza]"),"taxa.extra",
INDIRECT("tb_rec_uni[empresa]"),$B30)</f>
        <v>0</v>
      </c>
      <c r="F30" s="183">
        <f ca="1">SUMIFS(tb_rec_uni[2025-03-01],
INDIRECT("tb_rec_uni[natureza]"),"taxa.extra",
INDIRECT("tb_rec_uni[empresa]"),$B30)</f>
        <v>0</v>
      </c>
      <c r="G30" s="183">
        <f ca="1">SUMIFS(tb_rec_uni[2025-04-01],
INDIRECT("tb_rec_uni[natureza]"),"taxa.extra",
INDIRECT("tb_rec_uni[empresa]"),$B30)</f>
        <v>0</v>
      </c>
      <c r="H30" s="183">
        <f ca="1">SUMIFS(tb_rec_uni[2025-05-01],
INDIRECT("tb_rec_uni[natureza]"),"taxa.extra",
INDIRECT("tb_rec_uni[empresa]"),$B30)</f>
        <v>0</v>
      </c>
      <c r="I30" s="183">
        <f ca="1">SUMIFS(tb_rec_uni[2025-06-01],
INDIRECT("tb_rec_uni[natureza]"),"taxa.extra",
INDIRECT("tb_rec_uni[empresa]"),$B30)</f>
        <v>0</v>
      </c>
      <c r="J30" s="183">
        <f ca="1">SUMIFS(tb_rec_uni[2025-07-01],
INDIRECT("tb_rec_uni[natureza]"),"taxa.extra",
INDIRECT("tb_rec_uni[empresa]"),$B30)</f>
        <v>0</v>
      </c>
      <c r="K30" s="183">
        <f ca="1">SUMIFS(tb_rec_uni[2025-08-01],
INDIRECT("tb_rec_uni[natureza]"),"taxa.extra",
INDIRECT("tb_rec_uni[empresa]"),$B30)</f>
        <v>0</v>
      </c>
      <c r="L30" s="183">
        <f ca="1">SUMIFS(tb_rec_uni[2025-09-01],
INDIRECT("tb_rec_uni[natureza]"),"taxa.extra",
INDIRECT("tb_rec_uni[empresa]"),$B30)</f>
        <v>0</v>
      </c>
      <c r="M30" s="183">
        <f ca="1">SUMIFS(tb_rec_uni[2025-10-01],
INDIRECT("tb_rec_uni[natureza]"),"taxa.extra",
INDIRECT("tb_rec_uni[empresa]"),$B30)</f>
        <v>0</v>
      </c>
      <c r="N30" s="183">
        <f ca="1">SUMIFS(tb_rec_uni[2025-11-01],
INDIRECT("tb_rec_uni[natureza]"),"taxa.extra",
INDIRECT("tb_rec_uni[empresa]"),$B30)</f>
        <v>0</v>
      </c>
      <c r="O30" s="183">
        <f ca="1">SUMIFS(tb_rec_uni[2025-12-01],
INDIRECT("tb_rec_uni[natureza]"),"taxa.extra",
INDIRECT("tb_rec_uni[empresa]"),$B30)</f>
        <v>0</v>
      </c>
      <c r="P30" s="183">
        <f ca="1">SUMIFS(tb_rec_uni[2026-01-01],
INDIRECT("tb_rec_uni[natureza]"),"taxa.extra",
INDIRECT("tb_rec_uni[empresa]"),$B30)</f>
        <v>0</v>
      </c>
      <c r="Q30" s="183">
        <f ca="1">SUMIFS(tb_rec_uni[2026-02-01],
INDIRECT("tb_rec_uni[natureza]"),"taxa.extra",
INDIRECT("tb_rec_uni[empresa]"),$B30)</f>
        <v>0</v>
      </c>
      <c r="R30" s="183">
        <f ca="1">SUMIFS(tb_rec_uni[2026-03-01],
INDIRECT("tb_rec_uni[natureza]"),"taxa.extra",
INDIRECT("tb_rec_uni[empresa]"),$B30)</f>
        <v>0</v>
      </c>
      <c r="S30" s="183">
        <f ca="1">SUMIFS(tb_rec_uni[2026-04-01],
INDIRECT("tb_rec_uni[natureza]"),"taxa.extra",
INDIRECT("tb_rec_uni[empresa]"),$B30)</f>
        <v>0</v>
      </c>
      <c r="T30" s="183">
        <f ca="1">SUMIFS(tb_rec_uni[2026-05-01],
INDIRECT("tb_rec_uni[natureza]"),"taxa.extra",
INDIRECT("tb_rec_uni[empresa]"),$B30)</f>
        <v>0</v>
      </c>
      <c r="U30" s="183">
        <f ca="1">SUMIFS(tb_rec_uni[2026-06-01],
INDIRECT("tb_rec_uni[natureza]"),"taxa.extra",
INDIRECT("tb_rec_uni[empresa]"),$B30)</f>
        <v>0</v>
      </c>
      <c r="V30" s="183">
        <f ca="1">SUMIFS(tb_rec_uni[2026-07-01],
INDIRECT("tb_rec_uni[natureza]"),"taxa.extra",
INDIRECT("tb_rec_uni[empresa]"),$B30)</f>
        <v>0</v>
      </c>
      <c r="W30" s="183">
        <f ca="1">SUMIFS(tb_rec_uni[2026-08-01],
INDIRECT("tb_rec_uni[natureza]"),"taxa.extra",
INDIRECT("tb_rec_uni[empresa]"),$B30)</f>
        <v>0</v>
      </c>
      <c r="X30" s="183">
        <f ca="1">SUMIFS(tb_rec_uni[2026-09-01],
INDIRECT("tb_rec_uni[natureza]"),"taxa.extra",
INDIRECT("tb_rec_uni[empresa]"),$B30)</f>
        <v>0</v>
      </c>
      <c r="Y30" s="183">
        <f ca="1">SUMIFS(tb_rec_uni[2026-10-01],
INDIRECT("tb_rec_uni[natureza]"),"taxa.extra",
INDIRECT("tb_rec_uni[empresa]"),$B30)</f>
        <v>0</v>
      </c>
      <c r="Z30" s="183">
        <f ca="1">SUMIFS(tb_rec_uni[2026-11-01],
INDIRECT("tb_rec_uni[natureza]"),"taxa.extra",
INDIRECT("tb_rec_uni[empresa]"),$B30)</f>
        <v>0</v>
      </c>
      <c r="AA30" s="183">
        <f ca="1">SUMIFS(tb_rec_uni[2026-12-01],
INDIRECT("tb_rec_uni[natureza]"),"taxa.extra",
INDIRECT("tb_rec_uni[empresa]"),$B30)</f>
        <v>0</v>
      </c>
      <c r="AC30" s="175">
        <f ca="1">SUM($D30:INDEX($D30:$AA30,1,MATCH(DATE(YEAR(inputs!$A$1),MONTH(inputs!$A$1),1),$D$1:$AA$1,0)))</f>
        <v>0</v>
      </c>
      <c r="AE30" s="175">
        <f t="shared" ca="1" si="1"/>
        <v>0</v>
      </c>
    </row>
    <row r="31" spans="1:31" outlineLevel="2" x14ac:dyDescent="0.25">
      <c r="A31" s="182" t="s">
        <v>713</v>
      </c>
      <c r="B31" s="182" t="s">
        <v>13</v>
      </c>
      <c r="C31" s="135" t="s">
        <v>524</v>
      </c>
      <c r="D31" s="183">
        <f ca="1">SUMIFS(tb_rec_uni[2025-01-01],
INDIRECT("tb_rec_uni[natureza]"),"taxa.extra",
INDIRECT("tb_rec_uni[empresa]"),$B31)</f>
        <v>0</v>
      </c>
      <c r="E31" s="183">
        <f ca="1">SUMIFS(tb_rec_uni[2025-02-01],
INDIRECT("tb_rec_uni[natureza]"),"taxa.extra",
INDIRECT("tb_rec_uni[empresa]"),$B31)</f>
        <v>0</v>
      </c>
      <c r="F31" s="183">
        <f ca="1">SUMIFS(tb_rec_uni[2025-03-01],
INDIRECT("tb_rec_uni[natureza]"),"taxa.extra",
INDIRECT("tb_rec_uni[empresa]"),$B31)</f>
        <v>0</v>
      </c>
      <c r="G31" s="183">
        <f ca="1">SUMIFS(tb_rec_uni[2025-04-01],
INDIRECT("tb_rec_uni[natureza]"),"taxa.extra",
INDIRECT("tb_rec_uni[empresa]"),$B31)</f>
        <v>0</v>
      </c>
      <c r="H31" s="183">
        <f ca="1">SUMIFS(tb_rec_uni[2025-05-01],
INDIRECT("tb_rec_uni[natureza]"),"taxa.extra",
INDIRECT("tb_rec_uni[empresa]"),$B31)</f>
        <v>0</v>
      </c>
      <c r="I31" s="183">
        <f ca="1">SUMIFS(tb_rec_uni[2025-06-01],
INDIRECT("tb_rec_uni[natureza]"),"taxa.extra",
INDIRECT("tb_rec_uni[empresa]"),$B31)</f>
        <v>0</v>
      </c>
      <c r="J31" s="183">
        <f ca="1">SUMIFS(tb_rec_uni[2025-07-01],
INDIRECT("tb_rec_uni[natureza]"),"taxa.extra",
INDIRECT("tb_rec_uni[empresa]"),$B31)</f>
        <v>0</v>
      </c>
      <c r="K31" s="183">
        <f ca="1">SUMIFS(tb_rec_uni[2025-08-01],
INDIRECT("tb_rec_uni[natureza]"),"taxa.extra",
INDIRECT("tb_rec_uni[empresa]"),$B31)</f>
        <v>0</v>
      </c>
      <c r="L31" s="183">
        <f ca="1">SUMIFS(tb_rec_uni[2025-09-01],
INDIRECT("tb_rec_uni[natureza]"),"taxa.extra",
INDIRECT("tb_rec_uni[empresa]"),$B31)</f>
        <v>0</v>
      </c>
      <c r="M31" s="183">
        <f ca="1">SUMIFS(tb_rec_uni[2025-10-01],
INDIRECT("tb_rec_uni[natureza]"),"taxa.extra",
INDIRECT("tb_rec_uni[empresa]"),$B31)</f>
        <v>0</v>
      </c>
      <c r="N31" s="183">
        <f ca="1">SUMIFS(tb_rec_uni[2025-11-01],
INDIRECT("tb_rec_uni[natureza]"),"taxa.extra",
INDIRECT("tb_rec_uni[empresa]"),$B31)</f>
        <v>0</v>
      </c>
      <c r="O31" s="183">
        <f ca="1">SUMIFS(tb_rec_uni[2025-12-01],
INDIRECT("tb_rec_uni[natureza]"),"taxa.extra",
INDIRECT("tb_rec_uni[empresa]"),$B31)</f>
        <v>0</v>
      </c>
      <c r="P31" s="183">
        <f ca="1">SUMIFS(tb_rec_uni[2026-01-01],
INDIRECT("tb_rec_uni[natureza]"),"taxa.extra",
INDIRECT("tb_rec_uni[empresa]"),$B31)</f>
        <v>0</v>
      </c>
      <c r="Q31" s="183">
        <f ca="1">SUMIFS(tb_rec_uni[2026-02-01],
INDIRECT("tb_rec_uni[natureza]"),"taxa.extra",
INDIRECT("tb_rec_uni[empresa]"),$B31)</f>
        <v>0</v>
      </c>
      <c r="R31" s="183">
        <f ca="1">SUMIFS(tb_rec_uni[2026-03-01],
INDIRECT("tb_rec_uni[natureza]"),"taxa.extra",
INDIRECT("tb_rec_uni[empresa]"),$B31)</f>
        <v>0</v>
      </c>
      <c r="S31" s="183">
        <f ca="1">SUMIFS(tb_rec_uni[2026-04-01],
INDIRECT("tb_rec_uni[natureza]"),"taxa.extra",
INDIRECT("tb_rec_uni[empresa]"),$B31)</f>
        <v>0</v>
      </c>
      <c r="T31" s="183">
        <f ca="1">SUMIFS(tb_rec_uni[2026-05-01],
INDIRECT("tb_rec_uni[natureza]"),"taxa.extra",
INDIRECT("tb_rec_uni[empresa]"),$B31)</f>
        <v>0</v>
      </c>
      <c r="U31" s="183">
        <f ca="1">SUMIFS(tb_rec_uni[2026-06-01],
INDIRECT("tb_rec_uni[natureza]"),"taxa.extra",
INDIRECT("tb_rec_uni[empresa]"),$B31)</f>
        <v>0</v>
      </c>
      <c r="V31" s="183">
        <f ca="1">SUMIFS(tb_rec_uni[2026-07-01],
INDIRECT("tb_rec_uni[natureza]"),"taxa.extra",
INDIRECT("tb_rec_uni[empresa]"),$B31)</f>
        <v>0</v>
      </c>
      <c r="W31" s="183">
        <f ca="1">SUMIFS(tb_rec_uni[2026-08-01],
INDIRECT("tb_rec_uni[natureza]"),"taxa.extra",
INDIRECT("tb_rec_uni[empresa]"),$B31)</f>
        <v>0</v>
      </c>
      <c r="X31" s="183">
        <f ca="1">SUMIFS(tb_rec_uni[2026-09-01],
INDIRECT("tb_rec_uni[natureza]"),"taxa.extra",
INDIRECT("tb_rec_uni[empresa]"),$B31)</f>
        <v>0</v>
      </c>
      <c r="Y31" s="183">
        <f ca="1">SUMIFS(tb_rec_uni[2026-10-01],
INDIRECT("tb_rec_uni[natureza]"),"taxa.extra",
INDIRECT("tb_rec_uni[empresa]"),$B31)</f>
        <v>0</v>
      </c>
      <c r="Z31" s="183">
        <f ca="1">SUMIFS(tb_rec_uni[2026-11-01],
INDIRECT("tb_rec_uni[natureza]"),"taxa.extra",
INDIRECT("tb_rec_uni[empresa]"),$B31)</f>
        <v>0</v>
      </c>
      <c r="AA31" s="183">
        <f ca="1">SUMIFS(tb_rec_uni[2026-12-01],
INDIRECT("tb_rec_uni[natureza]"),"taxa.extra",
INDIRECT("tb_rec_uni[empresa]"),$B31)</f>
        <v>0</v>
      </c>
      <c r="AC31" s="175">
        <f ca="1">SUM($D31:INDEX($D31:$AA31,1,MATCH(DATE(YEAR(inputs!$A$1),MONTH(inputs!$A$1),1),$D$1:$AA$1,0)))</f>
        <v>0</v>
      </c>
      <c r="AE31" s="175">
        <f t="shared" ca="1" si="1"/>
        <v>0</v>
      </c>
    </row>
    <row r="32" spans="1:31" outlineLevel="2" x14ac:dyDescent="0.25">
      <c r="A32" s="182" t="s">
        <v>714</v>
      </c>
      <c r="B32" s="182" t="s">
        <v>465</v>
      </c>
      <c r="C32" s="135" t="s">
        <v>524</v>
      </c>
      <c r="D32" s="183">
        <f ca="1">SUMIFS(tb_rec_uni[2025-01-01],
INDIRECT("tb_rec_uni[natureza]"),"taxa.extra",
INDIRECT("tb_rec_uni[empresa]"),$B32)</f>
        <v>0</v>
      </c>
      <c r="E32" s="183">
        <f ca="1">SUMIFS(tb_rec_uni[2025-02-01],
INDIRECT("tb_rec_uni[natureza]"),"taxa.extra",
INDIRECT("tb_rec_uni[empresa]"),$B32)</f>
        <v>0</v>
      </c>
      <c r="F32" s="183">
        <f ca="1">SUMIFS(tb_rec_uni[2025-03-01],
INDIRECT("tb_rec_uni[natureza]"),"taxa.extra",
INDIRECT("tb_rec_uni[empresa]"),$B32)</f>
        <v>0</v>
      </c>
      <c r="G32" s="183">
        <f ca="1">SUMIFS(tb_rec_uni[2025-04-01],
INDIRECT("tb_rec_uni[natureza]"),"taxa.extra",
INDIRECT("tb_rec_uni[empresa]"),$B32)</f>
        <v>0</v>
      </c>
      <c r="H32" s="183">
        <f ca="1">SUMIFS(tb_rec_uni[2025-05-01],
INDIRECT("tb_rec_uni[natureza]"),"taxa.extra",
INDIRECT("tb_rec_uni[empresa]"),$B32)</f>
        <v>0</v>
      </c>
      <c r="I32" s="183">
        <f ca="1">SUMIFS(tb_rec_uni[2025-06-01],
INDIRECT("tb_rec_uni[natureza]"),"taxa.extra",
INDIRECT("tb_rec_uni[empresa]"),$B32)</f>
        <v>0</v>
      </c>
      <c r="J32" s="183">
        <f ca="1">SUMIFS(tb_rec_uni[2025-07-01],
INDIRECT("tb_rec_uni[natureza]"),"taxa.extra",
INDIRECT("tb_rec_uni[empresa]"),$B32)</f>
        <v>0</v>
      </c>
      <c r="K32" s="183">
        <f ca="1">SUMIFS(tb_rec_uni[2025-08-01],
INDIRECT("tb_rec_uni[natureza]"),"taxa.extra",
INDIRECT("tb_rec_uni[empresa]"),$B32)</f>
        <v>0</v>
      </c>
      <c r="L32" s="183">
        <f ca="1">SUMIFS(tb_rec_uni[2025-09-01],
INDIRECT("tb_rec_uni[natureza]"),"taxa.extra",
INDIRECT("tb_rec_uni[empresa]"),$B32)</f>
        <v>0</v>
      </c>
      <c r="M32" s="183">
        <f ca="1">SUMIFS(tb_rec_uni[2025-10-01],
INDIRECT("tb_rec_uni[natureza]"),"taxa.extra",
INDIRECT("tb_rec_uni[empresa]"),$B32)</f>
        <v>0</v>
      </c>
      <c r="N32" s="183">
        <f ca="1">SUMIFS(tb_rec_uni[2025-11-01],
INDIRECT("tb_rec_uni[natureza]"),"taxa.extra",
INDIRECT("tb_rec_uni[empresa]"),$B32)</f>
        <v>0</v>
      </c>
      <c r="O32" s="183">
        <f ca="1">SUMIFS(tb_rec_uni[2025-12-01],
INDIRECT("tb_rec_uni[natureza]"),"taxa.extra",
INDIRECT("tb_rec_uni[empresa]"),$B32)</f>
        <v>0</v>
      </c>
      <c r="P32" s="183">
        <f ca="1">SUMIFS(tb_rec_uni[2026-01-01],
INDIRECT("tb_rec_uni[natureza]"),"taxa.extra",
INDIRECT("tb_rec_uni[empresa]"),$B32)</f>
        <v>0</v>
      </c>
      <c r="Q32" s="183">
        <f ca="1">SUMIFS(tb_rec_uni[2026-02-01],
INDIRECT("tb_rec_uni[natureza]"),"taxa.extra",
INDIRECT("tb_rec_uni[empresa]"),$B32)</f>
        <v>0</v>
      </c>
      <c r="R32" s="183">
        <f ca="1">SUMIFS(tb_rec_uni[2026-03-01],
INDIRECT("tb_rec_uni[natureza]"),"taxa.extra",
INDIRECT("tb_rec_uni[empresa]"),$B32)</f>
        <v>0</v>
      </c>
      <c r="S32" s="183">
        <f ca="1">SUMIFS(tb_rec_uni[2026-04-01],
INDIRECT("tb_rec_uni[natureza]"),"taxa.extra",
INDIRECT("tb_rec_uni[empresa]"),$B32)</f>
        <v>0</v>
      </c>
      <c r="T32" s="183">
        <f ca="1">SUMIFS(tb_rec_uni[2026-05-01],
INDIRECT("tb_rec_uni[natureza]"),"taxa.extra",
INDIRECT("tb_rec_uni[empresa]"),$B32)</f>
        <v>0</v>
      </c>
      <c r="U32" s="183">
        <f ca="1">SUMIFS(tb_rec_uni[2026-06-01],
INDIRECT("tb_rec_uni[natureza]"),"taxa.extra",
INDIRECT("tb_rec_uni[empresa]"),$B32)</f>
        <v>0</v>
      </c>
      <c r="V32" s="183">
        <f ca="1">SUMIFS(tb_rec_uni[2026-07-01],
INDIRECT("tb_rec_uni[natureza]"),"taxa.extra",
INDIRECT("tb_rec_uni[empresa]"),$B32)</f>
        <v>0</v>
      </c>
      <c r="W32" s="183">
        <f ca="1">SUMIFS(tb_rec_uni[2026-08-01],
INDIRECT("tb_rec_uni[natureza]"),"taxa.extra",
INDIRECT("tb_rec_uni[empresa]"),$B32)</f>
        <v>0</v>
      </c>
      <c r="X32" s="183">
        <f ca="1">SUMIFS(tb_rec_uni[2026-09-01],
INDIRECT("tb_rec_uni[natureza]"),"taxa.extra",
INDIRECT("tb_rec_uni[empresa]"),$B32)</f>
        <v>0</v>
      </c>
      <c r="Y32" s="183">
        <f ca="1">SUMIFS(tb_rec_uni[2026-10-01],
INDIRECT("tb_rec_uni[natureza]"),"taxa.extra",
INDIRECT("tb_rec_uni[empresa]"),$B32)</f>
        <v>0</v>
      </c>
      <c r="Z32" s="183">
        <f ca="1">SUMIFS(tb_rec_uni[2026-11-01],
INDIRECT("tb_rec_uni[natureza]"),"taxa.extra",
INDIRECT("tb_rec_uni[empresa]"),$B32)</f>
        <v>0</v>
      </c>
      <c r="AA32" s="183">
        <f ca="1">SUMIFS(tb_rec_uni[2026-12-01],
INDIRECT("tb_rec_uni[natureza]"),"taxa.extra",
INDIRECT("tb_rec_uni[empresa]"),$B32)</f>
        <v>0</v>
      </c>
      <c r="AC32" s="175">
        <f ca="1">SUM($D32:INDEX($D32:$AA32,1,MATCH(DATE(YEAR(inputs!$A$1),MONTH(inputs!$A$1),1),$D$1:$AA$1,0)))</f>
        <v>0</v>
      </c>
      <c r="AE32" s="175">
        <f t="shared" ca="1" si="1"/>
        <v>0</v>
      </c>
    </row>
    <row r="33" spans="1:31" x14ac:dyDescent="0.25">
      <c r="A33" s="185" t="s">
        <v>527</v>
      </c>
      <c r="B33" s="185" t="s">
        <v>528</v>
      </c>
      <c r="C33" s="186" t="s">
        <v>514</v>
      </c>
      <c r="D33" s="187">
        <f t="shared" ref="D33:AA33" ca="1" si="8">SUM(D$34,D$53,D$69,D$79,D$88,D$83,D$90,D$106,D$129,D$156,D$167,D$169,D$119,D$173)</f>
        <v>0</v>
      </c>
      <c r="E33" s="187">
        <f t="shared" ca="1" si="8"/>
        <v>0</v>
      </c>
      <c r="F33" s="187">
        <f t="shared" ca="1" si="8"/>
        <v>0</v>
      </c>
      <c r="G33" s="187">
        <f t="shared" ca="1" si="8"/>
        <v>0</v>
      </c>
      <c r="H33" s="187">
        <f t="shared" ca="1" si="8"/>
        <v>0</v>
      </c>
      <c r="I33" s="187">
        <f t="shared" ca="1" si="8"/>
        <v>0</v>
      </c>
      <c r="J33" s="187">
        <f t="shared" ca="1" si="8"/>
        <v>0</v>
      </c>
      <c r="K33" s="187">
        <f t="shared" ca="1" si="8"/>
        <v>0</v>
      </c>
      <c r="L33" s="187">
        <f t="shared" ca="1" si="8"/>
        <v>0</v>
      </c>
      <c r="M33" s="187">
        <f t="shared" ca="1" si="8"/>
        <v>0</v>
      </c>
      <c r="N33" s="187">
        <f t="shared" ca="1" si="8"/>
        <v>0</v>
      </c>
      <c r="O33" s="187">
        <f t="shared" ca="1" si="8"/>
        <v>0</v>
      </c>
      <c r="P33" s="187">
        <f t="shared" ca="1" si="8"/>
        <v>0</v>
      </c>
      <c r="Q33" s="187">
        <f t="shared" ca="1" si="8"/>
        <v>0</v>
      </c>
      <c r="R33" s="187">
        <f t="shared" ca="1" si="8"/>
        <v>0</v>
      </c>
      <c r="S33" s="187">
        <f t="shared" ca="1" si="8"/>
        <v>0</v>
      </c>
      <c r="T33" s="187">
        <f t="shared" ca="1" si="8"/>
        <v>0</v>
      </c>
      <c r="U33" s="187">
        <f t="shared" ca="1" si="8"/>
        <v>0</v>
      </c>
      <c r="V33" s="187">
        <f t="shared" ca="1" si="8"/>
        <v>0</v>
      </c>
      <c r="W33" s="187">
        <f t="shared" ca="1" si="8"/>
        <v>0</v>
      </c>
      <c r="X33" s="187">
        <f t="shared" ca="1" si="8"/>
        <v>0</v>
      </c>
      <c r="Y33" s="187">
        <f t="shared" ca="1" si="8"/>
        <v>0</v>
      </c>
      <c r="Z33" s="187">
        <f t="shared" ca="1" si="8"/>
        <v>0</v>
      </c>
      <c r="AA33" s="187">
        <f t="shared" ca="1" si="8"/>
        <v>0</v>
      </c>
      <c r="AC33" s="276">
        <f ca="1">SUM($D33:INDEX($D33:$AA33,1,MATCH(DATE(YEAR(inputs!$A$1),MONTH(inputs!$A$1),1),$D$1:$AA$1,0)))</f>
        <v>0</v>
      </c>
      <c r="AE33" s="276">
        <f t="shared" ca="1" si="1"/>
        <v>0</v>
      </c>
    </row>
    <row r="34" spans="1:31" outlineLevel="1" x14ac:dyDescent="0.25">
      <c r="A34" s="179" t="s">
        <v>529</v>
      </c>
      <c r="B34" s="413" t="s">
        <v>352</v>
      </c>
      <c r="C34" s="180" t="s">
        <v>514</v>
      </c>
      <c r="D34" s="181">
        <f t="shared" ref="D34:AA34" ca="1" si="9">SUM(D$35:D$52)</f>
        <v>0</v>
      </c>
      <c r="E34" s="181">
        <f t="shared" ca="1" si="9"/>
        <v>0</v>
      </c>
      <c r="F34" s="181">
        <f t="shared" ca="1" si="9"/>
        <v>0</v>
      </c>
      <c r="G34" s="181">
        <f t="shared" ca="1" si="9"/>
        <v>0</v>
      </c>
      <c r="H34" s="181">
        <f t="shared" ca="1" si="9"/>
        <v>0</v>
      </c>
      <c r="I34" s="181">
        <f t="shared" ca="1" si="9"/>
        <v>0</v>
      </c>
      <c r="J34" s="181">
        <f t="shared" ca="1" si="9"/>
        <v>0</v>
      </c>
      <c r="K34" s="181">
        <f t="shared" ca="1" si="9"/>
        <v>0</v>
      </c>
      <c r="L34" s="181">
        <f t="shared" ca="1" si="9"/>
        <v>0</v>
      </c>
      <c r="M34" s="181">
        <f t="shared" ca="1" si="9"/>
        <v>0</v>
      </c>
      <c r="N34" s="181">
        <f t="shared" ca="1" si="9"/>
        <v>0</v>
      </c>
      <c r="O34" s="181">
        <f t="shared" ca="1" si="9"/>
        <v>0</v>
      </c>
      <c r="P34" s="181">
        <f t="shared" ca="1" si="9"/>
        <v>0</v>
      </c>
      <c r="Q34" s="181">
        <f t="shared" ca="1" si="9"/>
        <v>0</v>
      </c>
      <c r="R34" s="181">
        <f t="shared" ca="1" si="9"/>
        <v>0</v>
      </c>
      <c r="S34" s="181">
        <f t="shared" ca="1" si="9"/>
        <v>0</v>
      </c>
      <c r="T34" s="181">
        <f t="shared" ca="1" si="9"/>
        <v>0</v>
      </c>
      <c r="U34" s="181">
        <f t="shared" ca="1" si="9"/>
        <v>0</v>
      </c>
      <c r="V34" s="181">
        <f t="shared" ca="1" si="9"/>
        <v>0</v>
      </c>
      <c r="W34" s="181">
        <f t="shared" ca="1" si="9"/>
        <v>0</v>
      </c>
      <c r="X34" s="181">
        <f t="shared" ca="1" si="9"/>
        <v>0</v>
      </c>
      <c r="Y34" s="181">
        <f t="shared" ca="1" si="9"/>
        <v>0</v>
      </c>
      <c r="Z34" s="181">
        <f t="shared" ca="1" si="9"/>
        <v>0</v>
      </c>
      <c r="AA34" s="181">
        <f t="shared" ca="1" si="9"/>
        <v>0</v>
      </c>
      <c r="AC34" s="275">
        <f ca="1">SUM($D34:INDEX($D34:$AA34,1,MATCH(DATE(YEAR(inputs!$A$1),MONTH(inputs!$A$1),1),$D$1:$AA$1,0)))</f>
        <v>0</v>
      </c>
      <c r="AE34" s="275">
        <f t="shared" ca="1" si="1"/>
        <v>0</v>
      </c>
    </row>
    <row r="35" spans="1:31" outlineLevel="2" x14ac:dyDescent="0.25">
      <c r="A35" s="182" t="s">
        <v>530</v>
      </c>
      <c r="B35" s="182" t="s">
        <v>531</v>
      </c>
      <c r="C35" s="135" t="s">
        <v>514</v>
      </c>
      <c r="D35" s="183">
        <f ca="1">-SUMIFS(
  desp.m.ik[valor],
  desp.m.ik[nucleo], $B35,
  desp.m.ik[centro.negocio], $B$34,
  desp.m.ik[mes], "&gt;="&amp;D$1,
  desp.m.ik[mes], "&lt;"&amp;EOMONTH(D$1,0)+1
)</f>
        <v>0</v>
      </c>
      <c r="E35" s="183">
        <f ca="1">-SUMIFS(
  desp.m.ik[valor],
  desp.m.ik[nucleo], $B35,
  desp.m.ik[centro.negocio], $B$34,
  desp.m.ik[mes], "&gt;="&amp;E$1,
  desp.m.ik[mes], "&lt;"&amp;EOMONTH(E$1,0)+1
)</f>
        <v>0</v>
      </c>
      <c r="F35" s="183">
        <f ca="1">-SUMIFS(
  desp.m.ik[valor],
  desp.m.ik[nucleo], $B35,
  desp.m.ik[centro.negocio], $B$34,
  desp.m.ik[mes], "&gt;="&amp;F$1,
  desp.m.ik[mes], "&lt;"&amp;EOMONTH(F$1,0)+1
)</f>
        <v>0</v>
      </c>
      <c r="G35" s="183">
        <f ca="1">-SUMIFS(
  desp.m.ik[valor],
  desp.m.ik[nucleo], $B35,
  desp.m.ik[centro.negocio], $B$34,
  desp.m.ik[mes], "&gt;="&amp;G$1,
  desp.m.ik[mes], "&lt;"&amp;EOMONTH(G$1,0)+1
)</f>
        <v>0</v>
      </c>
      <c r="H35" s="183">
        <f ca="1">-SUMIFS(
  desp.m.ik[valor],
  desp.m.ik[nucleo], $B35,
  desp.m.ik[centro.negocio], $B$34,
  desp.m.ik[mes], "&gt;="&amp;H$1,
  desp.m.ik[mes], "&lt;"&amp;EOMONTH(H$1,0)+1
)</f>
        <v>0</v>
      </c>
      <c r="I35" s="183">
        <f ca="1">-SUMIFS(
  desp.m.ik[valor],
  desp.m.ik[nucleo], $B35,
  desp.m.ik[centro.negocio], $B$34,
  desp.m.ik[mes], "&gt;="&amp;I$1,
  desp.m.ik[mes], "&lt;"&amp;EOMONTH(I$1,0)+1
)</f>
        <v>0</v>
      </c>
      <c r="J35" s="183">
        <f ca="1">-SUMIFS(
  desp.m.ik[valor],
  desp.m.ik[nucleo], $B35,
  desp.m.ik[centro.negocio], $B$34,
  desp.m.ik[mes], "&gt;="&amp;J$1,
  desp.m.ik[mes], "&lt;"&amp;EOMONTH(J$1,0)+1
)</f>
        <v>0</v>
      </c>
      <c r="K35" s="183">
        <f ca="1">-SUMIFS(
  desp.m.ik[valor],
  desp.m.ik[nucleo], $B35,
  desp.m.ik[centro.negocio], $B$34,
  desp.m.ik[mes], "&gt;="&amp;K$1,
  desp.m.ik[mes], "&lt;"&amp;EOMONTH(K$1,0)+1
)</f>
        <v>0</v>
      </c>
      <c r="L35" s="183">
        <f ca="1">-SUMIFS(
  desp.m.ik[valor],
  desp.m.ik[nucleo], $B35,
  desp.m.ik[centro.negocio], $B$34,
  desp.m.ik[mes], "&gt;="&amp;L$1,
  desp.m.ik[mes], "&lt;"&amp;EOMONTH(L$1,0)+1
)</f>
        <v>0</v>
      </c>
      <c r="M35" s="183">
        <f ca="1">-SUMIFS(
  desp.m.ik[valor],
  desp.m.ik[nucleo], $B35,
  desp.m.ik[centro.negocio], $B$34,
  desp.m.ik[mes], "&gt;="&amp;M$1,
  desp.m.ik[mes], "&lt;"&amp;EOMONTH(M$1,0)+1
)</f>
        <v>0</v>
      </c>
      <c r="N35" s="183">
        <f ca="1">-SUMIFS(
  desp.m.ik[valor],
  desp.m.ik[nucleo], $B35,
  desp.m.ik[centro.negocio], $B$34,
  desp.m.ik[mes], "&gt;="&amp;N$1,
  desp.m.ik[mes], "&lt;"&amp;EOMONTH(N$1,0)+1
)</f>
        <v>0</v>
      </c>
      <c r="O35" s="183">
        <f ca="1">-SUMIFS(
  desp.m.ik[valor],
  desp.m.ik[nucleo], $B35,
  desp.m.ik[centro.negocio], $B$34,
  desp.m.ik[mes], "&gt;="&amp;O$1,
  desp.m.ik[mes], "&lt;"&amp;EOMONTH(O$1,0)+1
)</f>
        <v>0</v>
      </c>
      <c r="P35" s="183">
        <f ca="1">-SUMIFS(
  desp.m.ik[valor],
  desp.m.ik[nucleo], $B35,
  desp.m.ik[centro.negocio], $B$34,
  desp.m.ik[mes], "&gt;="&amp;P$1,
  desp.m.ik[mes], "&lt;"&amp;EOMONTH(P$1,0)+1
)</f>
        <v>0</v>
      </c>
      <c r="Q35" s="183">
        <f ca="1">-SUMIFS(
  desp.m.ik[valor],
  desp.m.ik[nucleo], $B35,
  desp.m.ik[centro.negocio], $B$34,
  desp.m.ik[mes], "&gt;="&amp;Q$1,
  desp.m.ik[mes], "&lt;"&amp;EOMONTH(Q$1,0)+1
)</f>
        <v>0</v>
      </c>
      <c r="R35" s="183">
        <f ca="1">-SUMIFS(
  desp.m.ik[valor],
  desp.m.ik[nucleo], $B35,
  desp.m.ik[centro.negocio], $B$34,
  desp.m.ik[mes], "&gt;="&amp;R$1,
  desp.m.ik[mes], "&lt;"&amp;EOMONTH(R$1,0)+1
)</f>
        <v>0</v>
      </c>
      <c r="S35" s="183">
        <f ca="1">-SUMIFS(
  desp.m.ik[valor],
  desp.m.ik[nucleo], $B35,
  desp.m.ik[centro.negocio], $B$34,
  desp.m.ik[mes], "&gt;="&amp;S$1,
  desp.m.ik[mes], "&lt;"&amp;EOMONTH(S$1,0)+1
)</f>
        <v>0</v>
      </c>
      <c r="T35" s="183">
        <f ca="1">-SUMIFS(
  desp.m.ik[valor],
  desp.m.ik[nucleo], $B35,
  desp.m.ik[centro.negocio], $B$34,
  desp.m.ik[mes], "&gt;="&amp;T$1,
  desp.m.ik[mes], "&lt;"&amp;EOMONTH(T$1,0)+1
)</f>
        <v>0</v>
      </c>
      <c r="U35" s="183">
        <f ca="1">-SUMIFS(
  desp.m.ik[valor],
  desp.m.ik[nucleo], $B35,
  desp.m.ik[centro.negocio], $B$34,
  desp.m.ik[mes], "&gt;="&amp;U$1,
  desp.m.ik[mes], "&lt;"&amp;EOMONTH(U$1,0)+1
)</f>
        <v>0</v>
      </c>
      <c r="V35" s="183">
        <f ca="1">-SUMIFS(
  desp.m.ik[valor],
  desp.m.ik[nucleo], $B35,
  desp.m.ik[centro.negocio], $B$34,
  desp.m.ik[mes], "&gt;="&amp;V$1,
  desp.m.ik[mes], "&lt;"&amp;EOMONTH(V$1,0)+1
)</f>
        <v>0</v>
      </c>
      <c r="W35" s="183">
        <f ca="1">-SUMIFS(
  desp.m.ik[valor],
  desp.m.ik[nucleo], $B35,
  desp.m.ik[centro.negocio], $B$34,
  desp.m.ik[mes], "&gt;="&amp;W$1,
  desp.m.ik[mes], "&lt;"&amp;EOMONTH(W$1,0)+1
)</f>
        <v>0</v>
      </c>
      <c r="X35" s="183">
        <f ca="1">-SUMIFS(
  desp.m.ik[valor],
  desp.m.ik[nucleo], $B35,
  desp.m.ik[centro.negocio], $B$34,
  desp.m.ik[mes], "&gt;="&amp;X$1,
  desp.m.ik[mes], "&lt;"&amp;EOMONTH(X$1,0)+1
)</f>
        <v>0</v>
      </c>
      <c r="Y35" s="183">
        <f ca="1">-SUMIFS(
  desp.m.ik[valor],
  desp.m.ik[nucleo], $B35,
  desp.m.ik[centro.negocio], $B$34,
  desp.m.ik[mes], "&gt;="&amp;Y$1,
  desp.m.ik[mes], "&lt;"&amp;EOMONTH(Y$1,0)+1
)</f>
        <v>0</v>
      </c>
      <c r="Z35" s="183">
        <f ca="1">-SUMIFS(
  desp.m.ik[valor],
  desp.m.ik[nucleo], $B35,
  desp.m.ik[centro.negocio], $B$34,
  desp.m.ik[mes], "&gt;="&amp;Z$1,
  desp.m.ik[mes], "&lt;"&amp;EOMONTH(Z$1,0)+1
)</f>
        <v>0</v>
      </c>
      <c r="AA35" s="183">
        <f ca="1">-SUMIFS(
  desp.m.ik[valor],
  desp.m.ik[nucleo], $B35,
  desp.m.ik[centro.negocio], $B$34,
  desp.m.ik[mes], "&gt;="&amp;AA$1,
  desp.m.ik[mes], "&lt;"&amp;EOMONTH(AA$1,0)+1
)</f>
        <v>0</v>
      </c>
      <c r="AC35" s="175">
        <f ca="1">SUM($D35:INDEX($D35:$AA35,1,MATCH(DATE(YEAR(inputs!$A$1),MONTH(inputs!$A$1),1),$D$1:$AA$1,0)))</f>
        <v>0</v>
      </c>
      <c r="AE35" s="175">
        <f t="shared" ca="1" si="1"/>
        <v>0</v>
      </c>
    </row>
    <row r="36" spans="1:31" outlineLevel="2" x14ac:dyDescent="0.25">
      <c r="A36" s="182" t="s">
        <v>536</v>
      </c>
      <c r="B36" s="182" t="s">
        <v>537</v>
      </c>
      <c r="C36" s="135" t="s">
        <v>514</v>
      </c>
      <c r="D36" s="183">
        <f ca="1">-SUMIFS(
  desp.m.ik[valor],
  desp.m.ik[nucleo], $B36,
  desp.m.ik[centro.negocio], $B$34,
  desp.m.ik[mes], "&gt;="&amp;D$1,
  desp.m.ik[mes], "&lt;"&amp;EOMONTH(D$1,0)+1
)</f>
        <v>0</v>
      </c>
      <c r="E36" s="183">
        <f ca="1">-SUMIFS(
  desp.m.ik[valor],
  desp.m.ik[nucleo], $B36,
  desp.m.ik[centro.negocio], $B$34,
  desp.m.ik[mes], "&gt;="&amp;E$1,
  desp.m.ik[mes], "&lt;"&amp;EOMONTH(E$1,0)+1
)</f>
        <v>0</v>
      </c>
      <c r="F36" s="183">
        <f ca="1">-SUMIFS(
  desp.m.ik[valor],
  desp.m.ik[nucleo], $B36,
  desp.m.ik[centro.negocio], $B$34,
  desp.m.ik[mes], "&gt;="&amp;F$1,
  desp.m.ik[mes], "&lt;"&amp;EOMONTH(F$1,0)+1
)</f>
        <v>0</v>
      </c>
      <c r="G36" s="183">
        <f ca="1">-SUMIFS(
  desp.m.ik[valor],
  desp.m.ik[nucleo], $B36,
  desp.m.ik[centro.negocio], $B$34,
  desp.m.ik[mes], "&gt;="&amp;G$1,
  desp.m.ik[mes], "&lt;"&amp;EOMONTH(G$1,0)+1
)</f>
        <v>0</v>
      </c>
      <c r="H36" s="183">
        <f ca="1">-SUMIFS(
  desp.m.ik[valor],
  desp.m.ik[nucleo], $B36,
  desp.m.ik[centro.negocio], $B$34,
  desp.m.ik[mes], "&gt;="&amp;H$1,
  desp.m.ik[mes], "&lt;"&amp;EOMONTH(H$1,0)+1
)</f>
        <v>0</v>
      </c>
      <c r="I36" s="183">
        <f ca="1">-SUMIFS(
  desp.m.ik[valor],
  desp.m.ik[nucleo], $B36,
  desp.m.ik[centro.negocio], $B$34,
  desp.m.ik[mes], "&gt;="&amp;I$1,
  desp.m.ik[mes], "&lt;"&amp;EOMONTH(I$1,0)+1
)</f>
        <v>0</v>
      </c>
      <c r="J36" s="183">
        <f ca="1">-SUMIFS(
  desp.m.ik[valor],
  desp.m.ik[nucleo], $B36,
  desp.m.ik[centro.negocio], $B$34,
  desp.m.ik[mes], "&gt;="&amp;J$1,
  desp.m.ik[mes], "&lt;"&amp;EOMONTH(J$1,0)+1
)</f>
        <v>0</v>
      </c>
      <c r="K36" s="183">
        <f ca="1">-SUMIFS(
  desp.m.ik[valor],
  desp.m.ik[nucleo], $B36,
  desp.m.ik[centro.negocio], $B$34,
  desp.m.ik[mes], "&gt;="&amp;K$1,
  desp.m.ik[mes], "&lt;"&amp;EOMONTH(K$1,0)+1
)</f>
        <v>0</v>
      </c>
      <c r="L36" s="183">
        <f ca="1">-SUMIFS(
  desp.m.ik[valor],
  desp.m.ik[nucleo], $B36,
  desp.m.ik[centro.negocio], $B$34,
  desp.m.ik[mes], "&gt;="&amp;L$1,
  desp.m.ik[mes], "&lt;"&amp;EOMONTH(L$1,0)+1
)</f>
        <v>0</v>
      </c>
      <c r="M36" s="183">
        <f ca="1">-SUMIFS(
  desp.m.ik[valor],
  desp.m.ik[nucleo], $B36,
  desp.m.ik[centro.negocio], $B$34,
  desp.m.ik[mes], "&gt;="&amp;M$1,
  desp.m.ik[mes], "&lt;"&amp;EOMONTH(M$1,0)+1
)</f>
        <v>0</v>
      </c>
      <c r="N36" s="183">
        <f ca="1">-SUMIFS(
  desp.m.ik[valor],
  desp.m.ik[nucleo], $B36,
  desp.m.ik[centro.negocio], $B$34,
  desp.m.ik[mes], "&gt;="&amp;N$1,
  desp.m.ik[mes], "&lt;"&amp;EOMONTH(N$1,0)+1
)</f>
        <v>0</v>
      </c>
      <c r="O36" s="183">
        <f ca="1">-SUMIFS(
  desp.m.ik[valor],
  desp.m.ik[nucleo], $B36,
  desp.m.ik[centro.negocio], $B$34,
  desp.m.ik[mes], "&gt;="&amp;O$1,
  desp.m.ik[mes], "&lt;"&amp;EOMONTH(O$1,0)+1
)</f>
        <v>0</v>
      </c>
      <c r="P36" s="183">
        <f ca="1">-SUMIFS(
  desp.m.ik[valor],
  desp.m.ik[nucleo], $B36,
  desp.m.ik[centro.negocio], $B$34,
  desp.m.ik[mes], "&gt;="&amp;P$1,
  desp.m.ik[mes], "&lt;"&amp;EOMONTH(P$1,0)+1
)</f>
        <v>0</v>
      </c>
      <c r="Q36" s="183">
        <f ca="1">-SUMIFS(
  desp.m.ik[valor],
  desp.m.ik[nucleo], $B36,
  desp.m.ik[centro.negocio], $B$34,
  desp.m.ik[mes], "&gt;="&amp;Q$1,
  desp.m.ik[mes], "&lt;"&amp;EOMONTH(Q$1,0)+1
)</f>
        <v>0</v>
      </c>
      <c r="R36" s="183">
        <f ca="1">-SUMIFS(
  desp.m.ik[valor],
  desp.m.ik[nucleo], $B36,
  desp.m.ik[centro.negocio], $B$34,
  desp.m.ik[mes], "&gt;="&amp;R$1,
  desp.m.ik[mes], "&lt;"&amp;EOMONTH(R$1,0)+1
)</f>
        <v>0</v>
      </c>
      <c r="S36" s="183">
        <f ca="1">-SUMIFS(
  desp.m.ik[valor],
  desp.m.ik[nucleo], $B36,
  desp.m.ik[centro.negocio], $B$34,
  desp.m.ik[mes], "&gt;="&amp;S$1,
  desp.m.ik[mes], "&lt;"&amp;EOMONTH(S$1,0)+1
)</f>
        <v>0</v>
      </c>
      <c r="T36" s="183">
        <f ca="1">-SUMIFS(
  desp.m.ik[valor],
  desp.m.ik[nucleo], $B36,
  desp.m.ik[centro.negocio], $B$34,
  desp.m.ik[mes], "&gt;="&amp;T$1,
  desp.m.ik[mes], "&lt;"&amp;EOMONTH(T$1,0)+1
)</f>
        <v>0</v>
      </c>
      <c r="U36" s="183">
        <f ca="1">-SUMIFS(
  desp.m.ik[valor],
  desp.m.ik[nucleo], $B36,
  desp.m.ik[centro.negocio], $B$34,
  desp.m.ik[mes], "&gt;="&amp;U$1,
  desp.m.ik[mes], "&lt;"&amp;EOMONTH(U$1,0)+1
)</f>
        <v>0</v>
      </c>
      <c r="V36" s="183">
        <f ca="1">-SUMIFS(
  desp.m.ik[valor],
  desp.m.ik[nucleo], $B36,
  desp.m.ik[centro.negocio], $B$34,
  desp.m.ik[mes], "&gt;="&amp;V$1,
  desp.m.ik[mes], "&lt;"&amp;EOMONTH(V$1,0)+1
)</f>
        <v>0</v>
      </c>
      <c r="W36" s="183">
        <f ca="1">-SUMIFS(
  desp.m.ik[valor],
  desp.m.ik[nucleo], $B36,
  desp.m.ik[centro.negocio], $B$34,
  desp.m.ik[mes], "&gt;="&amp;W$1,
  desp.m.ik[mes], "&lt;"&amp;EOMONTH(W$1,0)+1
)</f>
        <v>0</v>
      </c>
      <c r="X36" s="183">
        <f ca="1">-SUMIFS(
  desp.m.ik[valor],
  desp.m.ik[nucleo], $B36,
  desp.m.ik[centro.negocio], $B$34,
  desp.m.ik[mes], "&gt;="&amp;X$1,
  desp.m.ik[mes], "&lt;"&amp;EOMONTH(X$1,0)+1
)</f>
        <v>0</v>
      </c>
      <c r="Y36" s="183">
        <f ca="1">-SUMIFS(
  desp.m.ik[valor],
  desp.m.ik[nucleo], $B36,
  desp.m.ik[centro.negocio], $B$34,
  desp.m.ik[mes], "&gt;="&amp;Y$1,
  desp.m.ik[mes], "&lt;"&amp;EOMONTH(Y$1,0)+1
)</f>
        <v>0</v>
      </c>
      <c r="Z36" s="183">
        <f ca="1">-SUMIFS(
  desp.m.ik[valor],
  desp.m.ik[nucleo], $B36,
  desp.m.ik[centro.negocio], $B$34,
  desp.m.ik[mes], "&gt;="&amp;Z$1,
  desp.m.ik[mes], "&lt;"&amp;EOMONTH(Z$1,0)+1
)</f>
        <v>0</v>
      </c>
      <c r="AA36" s="183">
        <f ca="1">-SUMIFS(
  desp.m.ik[valor],
  desp.m.ik[nucleo], $B36,
  desp.m.ik[centro.negocio], $B$34,
  desp.m.ik[mes], "&gt;="&amp;AA$1,
  desp.m.ik[mes], "&lt;"&amp;EOMONTH(AA$1,0)+1
)</f>
        <v>0</v>
      </c>
      <c r="AC36" s="175">
        <f ca="1">SUM($D36:INDEX($D36:$AA36,1,MATCH(DATE(YEAR(inputs!$A$1),MONTH(inputs!$A$1),1),$D$1:$AA$1,0)))</f>
        <v>0</v>
      </c>
      <c r="AE36" s="175">
        <f t="shared" ca="1" si="1"/>
        <v>0</v>
      </c>
    </row>
    <row r="37" spans="1:31" outlineLevel="2" x14ac:dyDescent="0.25">
      <c r="A37" s="182" t="s">
        <v>534</v>
      </c>
      <c r="B37" s="182" t="s">
        <v>535</v>
      </c>
      <c r="C37" s="135" t="s">
        <v>514</v>
      </c>
      <c r="D37" s="183">
        <f ca="1">-SUMIFS(
  desp.m.ik[valor],
  desp.m.ik[nucleo], $B37,
  desp.m.ik[centro.negocio], $B$34,
  desp.m.ik[mes], "&gt;="&amp;D$1,
  desp.m.ik[mes], "&lt;"&amp;EOMONTH(D$1,0)+1
)</f>
        <v>0</v>
      </c>
      <c r="E37" s="183">
        <f ca="1">-SUMIFS(
  desp.m.ik[valor],
  desp.m.ik[nucleo], $B37,
  desp.m.ik[centro.negocio], $B$34,
  desp.m.ik[mes], "&gt;="&amp;E$1,
  desp.m.ik[mes], "&lt;"&amp;EOMONTH(E$1,0)+1
)</f>
        <v>0</v>
      </c>
      <c r="F37" s="183">
        <f ca="1">-SUMIFS(
  desp.m.ik[valor],
  desp.m.ik[nucleo], $B37,
  desp.m.ik[centro.negocio], $B$34,
  desp.m.ik[mes], "&gt;="&amp;F$1,
  desp.m.ik[mes], "&lt;"&amp;EOMONTH(F$1,0)+1
)</f>
        <v>0</v>
      </c>
      <c r="G37" s="183">
        <f ca="1">-SUMIFS(
  desp.m.ik[valor],
  desp.m.ik[nucleo], $B37,
  desp.m.ik[centro.negocio], $B$34,
  desp.m.ik[mes], "&gt;="&amp;G$1,
  desp.m.ik[mes], "&lt;"&amp;EOMONTH(G$1,0)+1
)</f>
        <v>0</v>
      </c>
      <c r="H37" s="183">
        <f ca="1">-SUMIFS(
  desp.m.ik[valor],
  desp.m.ik[nucleo], $B37,
  desp.m.ik[centro.negocio], $B$34,
  desp.m.ik[mes], "&gt;="&amp;H$1,
  desp.m.ik[mes], "&lt;"&amp;EOMONTH(H$1,0)+1
)</f>
        <v>0</v>
      </c>
      <c r="I37" s="183">
        <f ca="1">-SUMIFS(
  desp.m.ik[valor],
  desp.m.ik[nucleo], $B37,
  desp.m.ik[centro.negocio], $B$34,
  desp.m.ik[mes], "&gt;="&amp;I$1,
  desp.m.ik[mes], "&lt;"&amp;EOMONTH(I$1,0)+1
)</f>
        <v>0</v>
      </c>
      <c r="J37" s="183">
        <f ca="1">-SUMIFS(
  desp.m.ik[valor],
  desp.m.ik[nucleo], $B37,
  desp.m.ik[centro.negocio], $B$34,
  desp.m.ik[mes], "&gt;="&amp;J$1,
  desp.m.ik[mes], "&lt;"&amp;EOMONTH(J$1,0)+1
)</f>
        <v>0</v>
      </c>
      <c r="K37" s="183">
        <f ca="1">-SUMIFS(
  desp.m.ik[valor],
  desp.m.ik[nucleo], $B37,
  desp.m.ik[centro.negocio], $B$34,
  desp.m.ik[mes], "&gt;="&amp;K$1,
  desp.m.ik[mes], "&lt;"&amp;EOMONTH(K$1,0)+1
)</f>
        <v>0</v>
      </c>
      <c r="L37" s="183">
        <f ca="1">-SUMIFS(
  desp.m.ik[valor],
  desp.m.ik[nucleo], $B37,
  desp.m.ik[centro.negocio], $B$34,
  desp.m.ik[mes], "&gt;="&amp;L$1,
  desp.m.ik[mes], "&lt;"&amp;EOMONTH(L$1,0)+1
)</f>
        <v>0</v>
      </c>
      <c r="M37" s="183">
        <f ca="1">-SUMIFS(
  desp.m.ik[valor],
  desp.m.ik[nucleo], $B37,
  desp.m.ik[centro.negocio], $B$34,
  desp.m.ik[mes], "&gt;="&amp;M$1,
  desp.m.ik[mes], "&lt;"&amp;EOMONTH(M$1,0)+1
)</f>
        <v>0</v>
      </c>
      <c r="N37" s="183">
        <f ca="1">-SUMIFS(
  desp.m.ik[valor],
  desp.m.ik[nucleo], $B37,
  desp.m.ik[centro.negocio], $B$34,
  desp.m.ik[mes], "&gt;="&amp;N$1,
  desp.m.ik[mes], "&lt;"&amp;EOMONTH(N$1,0)+1
)</f>
        <v>0</v>
      </c>
      <c r="O37" s="183">
        <f ca="1">-SUMIFS(
  desp.m.ik[valor],
  desp.m.ik[nucleo], $B37,
  desp.m.ik[centro.negocio], $B$34,
  desp.m.ik[mes], "&gt;="&amp;O$1,
  desp.m.ik[mes], "&lt;"&amp;EOMONTH(O$1,0)+1
)</f>
        <v>0</v>
      </c>
      <c r="P37" s="183">
        <f ca="1">-SUMIFS(
  desp.m.ik[valor],
  desp.m.ik[nucleo], $B37,
  desp.m.ik[centro.negocio], $B$34,
  desp.m.ik[mes], "&gt;="&amp;P$1,
  desp.m.ik[mes], "&lt;"&amp;EOMONTH(P$1,0)+1
)</f>
        <v>0</v>
      </c>
      <c r="Q37" s="183">
        <f ca="1">-SUMIFS(
  desp.m.ik[valor],
  desp.m.ik[nucleo], $B37,
  desp.m.ik[centro.negocio], $B$34,
  desp.m.ik[mes], "&gt;="&amp;Q$1,
  desp.m.ik[mes], "&lt;"&amp;EOMONTH(Q$1,0)+1
)</f>
        <v>0</v>
      </c>
      <c r="R37" s="183">
        <f ca="1">-SUMIFS(
  desp.m.ik[valor],
  desp.m.ik[nucleo], $B37,
  desp.m.ik[centro.negocio], $B$34,
  desp.m.ik[mes], "&gt;="&amp;R$1,
  desp.m.ik[mes], "&lt;"&amp;EOMONTH(R$1,0)+1
)</f>
        <v>0</v>
      </c>
      <c r="S37" s="183">
        <f ca="1">-SUMIFS(
  desp.m.ik[valor],
  desp.m.ik[nucleo], $B37,
  desp.m.ik[centro.negocio], $B$34,
  desp.m.ik[mes], "&gt;="&amp;S$1,
  desp.m.ik[mes], "&lt;"&amp;EOMONTH(S$1,0)+1
)</f>
        <v>0</v>
      </c>
      <c r="T37" s="183">
        <f ca="1">-SUMIFS(
  desp.m.ik[valor],
  desp.m.ik[nucleo], $B37,
  desp.m.ik[centro.negocio], $B$34,
  desp.m.ik[mes], "&gt;="&amp;T$1,
  desp.m.ik[mes], "&lt;"&amp;EOMONTH(T$1,0)+1
)</f>
        <v>0</v>
      </c>
      <c r="U37" s="183">
        <f ca="1">-SUMIFS(
  desp.m.ik[valor],
  desp.m.ik[nucleo], $B37,
  desp.m.ik[centro.negocio], $B$34,
  desp.m.ik[mes], "&gt;="&amp;U$1,
  desp.m.ik[mes], "&lt;"&amp;EOMONTH(U$1,0)+1
)</f>
        <v>0</v>
      </c>
      <c r="V37" s="183">
        <f ca="1">-SUMIFS(
  desp.m.ik[valor],
  desp.m.ik[nucleo], $B37,
  desp.m.ik[centro.negocio], $B$34,
  desp.m.ik[mes], "&gt;="&amp;V$1,
  desp.m.ik[mes], "&lt;"&amp;EOMONTH(V$1,0)+1
)</f>
        <v>0</v>
      </c>
      <c r="W37" s="183">
        <f ca="1">-SUMIFS(
  desp.m.ik[valor],
  desp.m.ik[nucleo], $B37,
  desp.m.ik[centro.negocio], $B$34,
  desp.m.ik[mes], "&gt;="&amp;W$1,
  desp.m.ik[mes], "&lt;"&amp;EOMONTH(W$1,0)+1
)</f>
        <v>0</v>
      </c>
      <c r="X37" s="183">
        <f ca="1">-SUMIFS(
  desp.m.ik[valor],
  desp.m.ik[nucleo], $B37,
  desp.m.ik[centro.negocio], $B$34,
  desp.m.ik[mes], "&gt;="&amp;X$1,
  desp.m.ik[mes], "&lt;"&amp;EOMONTH(X$1,0)+1
)</f>
        <v>0</v>
      </c>
      <c r="Y37" s="183">
        <f ca="1">-SUMIFS(
  desp.m.ik[valor],
  desp.m.ik[nucleo], $B37,
  desp.m.ik[centro.negocio], $B$34,
  desp.m.ik[mes], "&gt;="&amp;Y$1,
  desp.m.ik[mes], "&lt;"&amp;EOMONTH(Y$1,0)+1
)</f>
        <v>0</v>
      </c>
      <c r="Z37" s="183">
        <f ca="1">-SUMIFS(
  desp.m.ik[valor],
  desp.m.ik[nucleo], $B37,
  desp.m.ik[centro.negocio], $B$34,
  desp.m.ik[mes], "&gt;="&amp;Z$1,
  desp.m.ik[mes], "&lt;"&amp;EOMONTH(Z$1,0)+1
)</f>
        <v>0</v>
      </c>
      <c r="AA37" s="183">
        <f ca="1">-SUMIFS(
  desp.m.ik[valor],
  desp.m.ik[nucleo], $B37,
  desp.m.ik[centro.negocio], $B$34,
  desp.m.ik[mes], "&gt;="&amp;AA$1,
  desp.m.ik[mes], "&lt;"&amp;EOMONTH(AA$1,0)+1
)</f>
        <v>0</v>
      </c>
      <c r="AC37" s="175">
        <f ca="1">SUM($D37:INDEX($D37:$AA37,1,MATCH(DATE(YEAR(inputs!$A$1),MONTH(inputs!$A$1),1),$D$1:$AA$1,0)))</f>
        <v>0</v>
      </c>
      <c r="AE37" s="175">
        <f t="shared" ca="1" si="1"/>
        <v>0</v>
      </c>
    </row>
    <row r="38" spans="1:31" outlineLevel="2" x14ac:dyDescent="0.25">
      <c r="A38" s="182" t="s">
        <v>532</v>
      </c>
      <c r="B38" s="182" t="s">
        <v>533</v>
      </c>
      <c r="C38" s="135" t="s">
        <v>514</v>
      </c>
      <c r="D38" s="183">
        <f ca="1">-SUMIFS(
  desp.m.ik[valor],
  desp.m.ik[nucleo], $B38,
  desp.m.ik[centro.negocio], $B$34,
  desp.m.ik[mes], "&gt;="&amp;D$1,
  desp.m.ik[mes], "&lt;"&amp;EOMONTH(D$1,0)+1
)</f>
        <v>0</v>
      </c>
      <c r="E38" s="183">
        <f ca="1">-SUMIFS(
  desp.m.ik[valor],
  desp.m.ik[nucleo], $B38,
  desp.m.ik[centro.negocio], $B$34,
  desp.m.ik[mes], "&gt;="&amp;E$1,
  desp.m.ik[mes], "&lt;"&amp;EOMONTH(E$1,0)+1
)</f>
        <v>0</v>
      </c>
      <c r="F38" s="183">
        <f ca="1">-SUMIFS(
  desp.m.ik[valor],
  desp.m.ik[nucleo], $B38,
  desp.m.ik[centro.negocio], $B$34,
  desp.m.ik[mes], "&gt;="&amp;F$1,
  desp.m.ik[mes], "&lt;"&amp;EOMONTH(F$1,0)+1
)</f>
        <v>0</v>
      </c>
      <c r="G38" s="183">
        <f ca="1">-SUMIFS(
  desp.m.ik[valor],
  desp.m.ik[nucleo], $B38,
  desp.m.ik[centro.negocio], $B$34,
  desp.m.ik[mes], "&gt;="&amp;G$1,
  desp.m.ik[mes], "&lt;"&amp;EOMONTH(G$1,0)+1
)</f>
        <v>0</v>
      </c>
      <c r="H38" s="183">
        <f ca="1">-SUMIFS(
  desp.m.ik[valor],
  desp.m.ik[nucleo], $B38,
  desp.m.ik[centro.negocio], $B$34,
  desp.m.ik[mes], "&gt;="&amp;H$1,
  desp.m.ik[mes], "&lt;"&amp;EOMONTH(H$1,0)+1
)</f>
        <v>0</v>
      </c>
      <c r="I38" s="183">
        <f ca="1">-SUMIFS(
  desp.m.ik[valor],
  desp.m.ik[nucleo], $B38,
  desp.m.ik[centro.negocio], $B$34,
  desp.m.ik[mes], "&gt;="&amp;I$1,
  desp.m.ik[mes], "&lt;"&amp;EOMONTH(I$1,0)+1
)</f>
        <v>0</v>
      </c>
      <c r="J38" s="183">
        <f ca="1">-SUMIFS(
  desp.m.ik[valor],
  desp.m.ik[nucleo], $B38,
  desp.m.ik[centro.negocio], $B$34,
  desp.m.ik[mes], "&gt;="&amp;J$1,
  desp.m.ik[mes], "&lt;"&amp;EOMONTH(J$1,0)+1
)</f>
        <v>0</v>
      </c>
      <c r="K38" s="183">
        <f ca="1">-SUMIFS(
  desp.m.ik[valor],
  desp.m.ik[nucleo], $B38,
  desp.m.ik[centro.negocio], $B$34,
  desp.m.ik[mes], "&gt;="&amp;K$1,
  desp.m.ik[mes], "&lt;"&amp;EOMONTH(K$1,0)+1
)</f>
        <v>0</v>
      </c>
      <c r="L38" s="183">
        <f ca="1">-SUMIFS(
  desp.m.ik[valor],
  desp.m.ik[nucleo], $B38,
  desp.m.ik[centro.negocio], $B$34,
  desp.m.ik[mes], "&gt;="&amp;L$1,
  desp.m.ik[mes], "&lt;"&amp;EOMONTH(L$1,0)+1
)</f>
        <v>0</v>
      </c>
      <c r="M38" s="183">
        <f ca="1">-SUMIFS(
  desp.m.ik[valor],
  desp.m.ik[nucleo], $B38,
  desp.m.ik[centro.negocio], $B$34,
  desp.m.ik[mes], "&gt;="&amp;M$1,
  desp.m.ik[mes], "&lt;"&amp;EOMONTH(M$1,0)+1
)</f>
        <v>0</v>
      </c>
      <c r="N38" s="183">
        <f ca="1">-SUMIFS(
  desp.m.ik[valor],
  desp.m.ik[nucleo], $B38,
  desp.m.ik[centro.negocio], $B$34,
  desp.m.ik[mes], "&gt;="&amp;N$1,
  desp.m.ik[mes], "&lt;"&amp;EOMONTH(N$1,0)+1
)</f>
        <v>0</v>
      </c>
      <c r="O38" s="183">
        <f ca="1">-SUMIFS(
  desp.m.ik[valor],
  desp.m.ik[nucleo], $B38,
  desp.m.ik[centro.negocio], $B$34,
  desp.m.ik[mes], "&gt;="&amp;O$1,
  desp.m.ik[mes], "&lt;"&amp;EOMONTH(O$1,0)+1
)</f>
        <v>0</v>
      </c>
      <c r="P38" s="183">
        <f ca="1">-SUMIFS(
  desp.m.ik[valor],
  desp.m.ik[nucleo], $B38,
  desp.m.ik[centro.negocio], $B$34,
  desp.m.ik[mes], "&gt;="&amp;P$1,
  desp.m.ik[mes], "&lt;"&amp;EOMONTH(P$1,0)+1
)</f>
        <v>0</v>
      </c>
      <c r="Q38" s="183">
        <f ca="1">-SUMIFS(
  desp.m.ik[valor],
  desp.m.ik[nucleo], $B38,
  desp.m.ik[centro.negocio], $B$34,
  desp.m.ik[mes], "&gt;="&amp;Q$1,
  desp.m.ik[mes], "&lt;"&amp;EOMONTH(Q$1,0)+1
)</f>
        <v>0</v>
      </c>
      <c r="R38" s="183">
        <f ca="1">-SUMIFS(
  desp.m.ik[valor],
  desp.m.ik[nucleo], $B38,
  desp.m.ik[centro.negocio], $B$34,
  desp.m.ik[mes], "&gt;="&amp;R$1,
  desp.m.ik[mes], "&lt;"&amp;EOMONTH(R$1,0)+1
)</f>
        <v>0</v>
      </c>
      <c r="S38" s="183">
        <f ca="1">-SUMIFS(
  desp.m.ik[valor],
  desp.m.ik[nucleo], $B38,
  desp.m.ik[centro.negocio], $B$34,
  desp.m.ik[mes], "&gt;="&amp;S$1,
  desp.m.ik[mes], "&lt;"&amp;EOMONTH(S$1,0)+1
)</f>
        <v>0</v>
      </c>
      <c r="T38" s="183">
        <f ca="1">-SUMIFS(
  desp.m.ik[valor],
  desp.m.ik[nucleo], $B38,
  desp.m.ik[centro.negocio], $B$34,
  desp.m.ik[mes], "&gt;="&amp;T$1,
  desp.m.ik[mes], "&lt;"&amp;EOMONTH(T$1,0)+1
)</f>
        <v>0</v>
      </c>
      <c r="U38" s="183">
        <f ca="1">-SUMIFS(
  desp.m.ik[valor],
  desp.m.ik[nucleo], $B38,
  desp.m.ik[centro.negocio], $B$34,
  desp.m.ik[mes], "&gt;="&amp;U$1,
  desp.m.ik[mes], "&lt;"&amp;EOMONTH(U$1,0)+1
)</f>
        <v>0</v>
      </c>
      <c r="V38" s="183">
        <f ca="1">-SUMIFS(
  desp.m.ik[valor],
  desp.m.ik[nucleo], $B38,
  desp.m.ik[centro.negocio], $B$34,
  desp.m.ik[mes], "&gt;="&amp;V$1,
  desp.m.ik[mes], "&lt;"&amp;EOMONTH(V$1,0)+1
)</f>
        <v>0</v>
      </c>
      <c r="W38" s="183">
        <f ca="1">-SUMIFS(
  desp.m.ik[valor],
  desp.m.ik[nucleo], $B38,
  desp.m.ik[centro.negocio], $B$34,
  desp.m.ik[mes], "&gt;="&amp;W$1,
  desp.m.ik[mes], "&lt;"&amp;EOMONTH(W$1,0)+1
)</f>
        <v>0</v>
      </c>
      <c r="X38" s="183">
        <f ca="1">-SUMIFS(
  desp.m.ik[valor],
  desp.m.ik[nucleo], $B38,
  desp.m.ik[centro.negocio], $B$34,
  desp.m.ik[mes], "&gt;="&amp;X$1,
  desp.m.ik[mes], "&lt;"&amp;EOMONTH(X$1,0)+1
)</f>
        <v>0</v>
      </c>
      <c r="Y38" s="183">
        <f ca="1">-SUMIFS(
  desp.m.ik[valor],
  desp.m.ik[nucleo], $B38,
  desp.m.ik[centro.negocio], $B$34,
  desp.m.ik[mes], "&gt;="&amp;Y$1,
  desp.m.ik[mes], "&lt;"&amp;EOMONTH(Y$1,0)+1
)</f>
        <v>0</v>
      </c>
      <c r="Z38" s="183">
        <f ca="1">-SUMIFS(
  desp.m.ik[valor],
  desp.m.ik[nucleo], $B38,
  desp.m.ik[centro.negocio], $B$34,
  desp.m.ik[mes], "&gt;="&amp;Z$1,
  desp.m.ik[mes], "&lt;"&amp;EOMONTH(Z$1,0)+1
)</f>
        <v>0</v>
      </c>
      <c r="AA38" s="183">
        <f ca="1">-SUMIFS(
  desp.m.ik[valor],
  desp.m.ik[nucleo], $B38,
  desp.m.ik[centro.negocio], $B$34,
  desp.m.ik[mes], "&gt;="&amp;AA$1,
  desp.m.ik[mes], "&lt;"&amp;EOMONTH(AA$1,0)+1
)</f>
        <v>0</v>
      </c>
      <c r="AC38" s="175">
        <f ca="1">SUM($D38:INDEX($D38:$AA38,1,MATCH(DATE(YEAR(inputs!$A$1),MONTH(inputs!$A$1),1),$D$1:$AA$1,0)))</f>
        <v>0</v>
      </c>
      <c r="AE38" s="175">
        <f t="shared" ca="1" si="1"/>
        <v>0</v>
      </c>
    </row>
    <row r="39" spans="1:31" outlineLevel="2" x14ac:dyDescent="0.25">
      <c r="A39" s="182" t="s">
        <v>540</v>
      </c>
      <c r="B39" s="182" t="s">
        <v>541</v>
      </c>
      <c r="C39" s="135" t="s">
        <v>514</v>
      </c>
      <c r="D39" s="183">
        <f ca="1">-SUMIFS(
  desp.m.ik[valor],
  desp.m.ik[nucleo], $B39,
  desp.m.ik[centro.negocio], $B$34,
  desp.m.ik[mes], "&gt;="&amp;D$1,
  desp.m.ik[mes], "&lt;"&amp;EOMONTH(D$1,0)+1
)</f>
        <v>0</v>
      </c>
      <c r="E39" s="183">
        <f ca="1">-SUMIFS(
  desp.m.ik[valor],
  desp.m.ik[nucleo], $B39,
  desp.m.ik[centro.negocio], $B$34,
  desp.m.ik[mes], "&gt;="&amp;E$1,
  desp.m.ik[mes], "&lt;"&amp;EOMONTH(E$1,0)+1
)</f>
        <v>0</v>
      </c>
      <c r="F39" s="183">
        <f ca="1">-SUMIFS(
  desp.m.ik[valor],
  desp.m.ik[nucleo], $B39,
  desp.m.ik[centro.negocio], $B$34,
  desp.m.ik[mes], "&gt;="&amp;F$1,
  desp.m.ik[mes], "&lt;"&amp;EOMONTH(F$1,0)+1
)</f>
        <v>0</v>
      </c>
      <c r="G39" s="183">
        <f ca="1">-SUMIFS(
  desp.m.ik[valor],
  desp.m.ik[nucleo], $B39,
  desp.m.ik[centro.negocio], $B$34,
  desp.m.ik[mes], "&gt;="&amp;G$1,
  desp.m.ik[mes], "&lt;"&amp;EOMONTH(G$1,0)+1
)</f>
        <v>0</v>
      </c>
      <c r="H39" s="183">
        <f ca="1">-SUMIFS(
  desp.m.ik[valor],
  desp.m.ik[nucleo], $B39,
  desp.m.ik[centro.negocio], $B$34,
  desp.m.ik[mes], "&gt;="&amp;H$1,
  desp.m.ik[mes], "&lt;"&amp;EOMONTH(H$1,0)+1
)</f>
        <v>0</v>
      </c>
      <c r="I39" s="183">
        <f ca="1">-SUMIFS(
  desp.m.ik[valor],
  desp.m.ik[nucleo], $B39,
  desp.m.ik[centro.negocio], $B$34,
  desp.m.ik[mes], "&gt;="&amp;I$1,
  desp.m.ik[mes], "&lt;"&amp;EOMONTH(I$1,0)+1
)</f>
        <v>0</v>
      </c>
      <c r="J39" s="183">
        <f ca="1">-SUMIFS(
  desp.m.ik[valor],
  desp.m.ik[nucleo], $B39,
  desp.m.ik[centro.negocio], $B$34,
  desp.m.ik[mes], "&gt;="&amp;J$1,
  desp.m.ik[mes], "&lt;"&amp;EOMONTH(J$1,0)+1
)</f>
        <v>0</v>
      </c>
      <c r="K39" s="183">
        <f ca="1">-SUMIFS(
  desp.m.ik[valor],
  desp.m.ik[nucleo], $B39,
  desp.m.ik[centro.negocio], $B$34,
  desp.m.ik[mes], "&gt;="&amp;K$1,
  desp.m.ik[mes], "&lt;"&amp;EOMONTH(K$1,0)+1
)</f>
        <v>0</v>
      </c>
      <c r="L39" s="183">
        <f ca="1">-SUMIFS(
  desp.m.ik[valor],
  desp.m.ik[nucleo], $B39,
  desp.m.ik[centro.negocio], $B$34,
  desp.m.ik[mes], "&gt;="&amp;L$1,
  desp.m.ik[mes], "&lt;"&amp;EOMONTH(L$1,0)+1
)</f>
        <v>0</v>
      </c>
      <c r="M39" s="183">
        <f ca="1">-SUMIFS(
  desp.m.ik[valor],
  desp.m.ik[nucleo], $B39,
  desp.m.ik[centro.negocio], $B$34,
  desp.m.ik[mes], "&gt;="&amp;M$1,
  desp.m.ik[mes], "&lt;"&amp;EOMONTH(M$1,0)+1
)</f>
        <v>0</v>
      </c>
      <c r="N39" s="183">
        <f ca="1">-SUMIFS(
  desp.m.ik[valor],
  desp.m.ik[nucleo], $B39,
  desp.m.ik[centro.negocio], $B$34,
  desp.m.ik[mes], "&gt;="&amp;N$1,
  desp.m.ik[mes], "&lt;"&amp;EOMONTH(N$1,0)+1
)</f>
        <v>0</v>
      </c>
      <c r="O39" s="183">
        <f ca="1">-SUMIFS(
  desp.m.ik[valor],
  desp.m.ik[nucleo], $B39,
  desp.m.ik[centro.negocio], $B$34,
  desp.m.ik[mes], "&gt;="&amp;O$1,
  desp.m.ik[mes], "&lt;"&amp;EOMONTH(O$1,0)+1
)</f>
        <v>0</v>
      </c>
      <c r="P39" s="183">
        <f ca="1">-SUMIFS(
  desp.m.ik[valor],
  desp.m.ik[nucleo], $B39,
  desp.m.ik[centro.negocio], $B$34,
  desp.m.ik[mes], "&gt;="&amp;P$1,
  desp.m.ik[mes], "&lt;"&amp;EOMONTH(P$1,0)+1
)</f>
        <v>0</v>
      </c>
      <c r="Q39" s="183">
        <f ca="1">-SUMIFS(
  desp.m.ik[valor],
  desp.m.ik[nucleo], $B39,
  desp.m.ik[centro.negocio], $B$34,
  desp.m.ik[mes], "&gt;="&amp;Q$1,
  desp.m.ik[mes], "&lt;"&amp;EOMONTH(Q$1,0)+1
)</f>
        <v>0</v>
      </c>
      <c r="R39" s="183">
        <f ca="1">-SUMIFS(
  desp.m.ik[valor],
  desp.m.ik[nucleo], $B39,
  desp.m.ik[centro.negocio], $B$34,
  desp.m.ik[mes], "&gt;="&amp;R$1,
  desp.m.ik[mes], "&lt;"&amp;EOMONTH(R$1,0)+1
)</f>
        <v>0</v>
      </c>
      <c r="S39" s="183">
        <f ca="1">-SUMIFS(
  desp.m.ik[valor],
  desp.m.ik[nucleo], $B39,
  desp.m.ik[centro.negocio], $B$34,
  desp.m.ik[mes], "&gt;="&amp;S$1,
  desp.m.ik[mes], "&lt;"&amp;EOMONTH(S$1,0)+1
)</f>
        <v>0</v>
      </c>
      <c r="T39" s="183">
        <f ca="1">-SUMIFS(
  desp.m.ik[valor],
  desp.m.ik[nucleo], $B39,
  desp.m.ik[centro.negocio], $B$34,
  desp.m.ik[mes], "&gt;="&amp;T$1,
  desp.m.ik[mes], "&lt;"&amp;EOMONTH(T$1,0)+1
)</f>
        <v>0</v>
      </c>
      <c r="U39" s="183">
        <f ca="1">-SUMIFS(
  desp.m.ik[valor],
  desp.m.ik[nucleo], $B39,
  desp.m.ik[centro.negocio], $B$34,
  desp.m.ik[mes], "&gt;="&amp;U$1,
  desp.m.ik[mes], "&lt;"&amp;EOMONTH(U$1,0)+1
)</f>
        <v>0</v>
      </c>
      <c r="V39" s="183">
        <f ca="1">-SUMIFS(
  desp.m.ik[valor],
  desp.m.ik[nucleo], $B39,
  desp.m.ik[centro.negocio], $B$34,
  desp.m.ik[mes], "&gt;="&amp;V$1,
  desp.m.ik[mes], "&lt;"&amp;EOMONTH(V$1,0)+1
)</f>
        <v>0</v>
      </c>
      <c r="W39" s="183">
        <f ca="1">-SUMIFS(
  desp.m.ik[valor],
  desp.m.ik[nucleo], $B39,
  desp.m.ik[centro.negocio], $B$34,
  desp.m.ik[mes], "&gt;="&amp;W$1,
  desp.m.ik[mes], "&lt;"&amp;EOMONTH(W$1,0)+1
)</f>
        <v>0</v>
      </c>
      <c r="X39" s="183">
        <f ca="1">-SUMIFS(
  desp.m.ik[valor],
  desp.m.ik[nucleo], $B39,
  desp.m.ik[centro.negocio], $B$34,
  desp.m.ik[mes], "&gt;="&amp;X$1,
  desp.m.ik[mes], "&lt;"&amp;EOMONTH(X$1,0)+1
)</f>
        <v>0</v>
      </c>
      <c r="Y39" s="183">
        <f ca="1">-SUMIFS(
  desp.m.ik[valor],
  desp.m.ik[nucleo], $B39,
  desp.m.ik[centro.negocio], $B$34,
  desp.m.ik[mes], "&gt;="&amp;Y$1,
  desp.m.ik[mes], "&lt;"&amp;EOMONTH(Y$1,0)+1
)</f>
        <v>0</v>
      </c>
      <c r="Z39" s="183">
        <f ca="1">-SUMIFS(
  desp.m.ik[valor],
  desp.m.ik[nucleo], $B39,
  desp.m.ik[centro.negocio], $B$34,
  desp.m.ik[mes], "&gt;="&amp;Z$1,
  desp.m.ik[mes], "&lt;"&amp;EOMONTH(Z$1,0)+1
)</f>
        <v>0</v>
      </c>
      <c r="AA39" s="183">
        <f ca="1">-SUMIFS(
  desp.m.ik[valor],
  desp.m.ik[nucleo], $B39,
  desp.m.ik[centro.negocio], $B$34,
  desp.m.ik[mes], "&gt;="&amp;AA$1,
  desp.m.ik[mes], "&lt;"&amp;EOMONTH(AA$1,0)+1
)</f>
        <v>0</v>
      </c>
      <c r="AC39" s="175">
        <f ca="1">SUM($D39:INDEX($D39:$AA39,1,MATCH(DATE(YEAR(inputs!$A$1),MONTH(inputs!$A$1),1),$D$1:$AA$1,0)))</f>
        <v>0</v>
      </c>
      <c r="AE39" s="175">
        <f ca="1">SUM(D39:AA39)</f>
        <v>0</v>
      </c>
    </row>
    <row r="40" spans="1:31" outlineLevel="2" x14ac:dyDescent="0.25">
      <c r="A40" s="182" t="s">
        <v>538</v>
      </c>
      <c r="B40" s="182" t="s">
        <v>539</v>
      </c>
      <c r="C40" s="135" t="s">
        <v>514</v>
      </c>
      <c r="D40" s="183">
        <f ca="1">-SUMIFS(
  desp.m.ik[valor],
  desp.m.ik[nucleo], $B40,
  desp.m.ik[centro.negocio], $B$34,
  desp.m.ik[mes], "&gt;="&amp;D$1,
  desp.m.ik[mes], "&lt;"&amp;EOMONTH(D$1,0)+1
)</f>
        <v>0</v>
      </c>
      <c r="E40" s="183">
        <f ca="1">-SUMIFS(
  desp.m.ik[valor],
  desp.m.ik[nucleo], $B40,
  desp.m.ik[centro.negocio], $B$34,
  desp.m.ik[mes], "&gt;="&amp;E$1,
  desp.m.ik[mes], "&lt;"&amp;EOMONTH(E$1,0)+1
)</f>
        <v>0</v>
      </c>
      <c r="F40" s="183">
        <f ca="1">-SUMIFS(
  desp.m.ik[valor],
  desp.m.ik[nucleo], $B40,
  desp.m.ik[centro.negocio], $B$34,
  desp.m.ik[mes], "&gt;="&amp;F$1,
  desp.m.ik[mes], "&lt;"&amp;EOMONTH(F$1,0)+1
)</f>
        <v>0</v>
      </c>
      <c r="G40" s="183">
        <f ca="1">-SUMIFS(
  desp.m.ik[valor],
  desp.m.ik[nucleo], $B40,
  desp.m.ik[centro.negocio], $B$34,
  desp.m.ik[mes], "&gt;="&amp;G$1,
  desp.m.ik[mes], "&lt;"&amp;EOMONTH(G$1,0)+1
)</f>
        <v>0</v>
      </c>
      <c r="H40" s="183">
        <f ca="1">-SUMIFS(
  desp.m.ik[valor],
  desp.m.ik[nucleo], $B40,
  desp.m.ik[centro.negocio], $B$34,
  desp.m.ik[mes], "&gt;="&amp;H$1,
  desp.m.ik[mes], "&lt;"&amp;EOMONTH(H$1,0)+1
)</f>
        <v>0</v>
      </c>
      <c r="I40" s="183">
        <f ca="1">-SUMIFS(
  desp.m.ik[valor],
  desp.m.ik[nucleo], $B40,
  desp.m.ik[centro.negocio], $B$34,
  desp.m.ik[mes], "&gt;="&amp;I$1,
  desp.m.ik[mes], "&lt;"&amp;EOMONTH(I$1,0)+1
)</f>
        <v>0</v>
      </c>
      <c r="J40" s="183">
        <f ca="1">-SUMIFS(
  desp.m.ik[valor],
  desp.m.ik[nucleo], $B40,
  desp.m.ik[centro.negocio], $B$34,
  desp.m.ik[mes], "&gt;="&amp;J$1,
  desp.m.ik[mes], "&lt;"&amp;EOMONTH(J$1,0)+1
)</f>
        <v>0</v>
      </c>
      <c r="K40" s="183">
        <f ca="1">-SUMIFS(
  desp.m.ik[valor],
  desp.m.ik[nucleo], $B40,
  desp.m.ik[centro.negocio], $B$34,
  desp.m.ik[mes], "&gt;="&amp;K$1,
  desp.m.ik[mes], "&lt;"&amp;EOMONTH(K$1,0)+1
)</f>
        <v>0</v>
      </c>
      <c r="L40" s="183">
        <f ca="1">-SUMIFS(
  desp.m.ik[valor],
  desp.m.ik[nucleo], $B40,
  desp.m.ik[centro.negocio], $B$34,
  desp.m.ik[mes], "&gt;="&amp;L$1,
  desp.m.ik[mes], "&lt;"&amp;EOMONTH(L$1,0)+1
)</f>
        <v>0</v>
      </c>
      <c r="M40" s="183">
        <f ca="1">-SUMIFS(
  desp.m.ik[valor],
  desp.m.ik[nucleo], $B40,
  desp.m.ik[centro.negocio], $B$34,
  desp.m.ik[mes], "&gt;="&amp;M$1,
  desp.m.ik[mes], "&lt;"&amp;EOMONTH(M$1,0)+1
)</f>
        <v>0</v>
      </c>
      <c r="N40" s="183">
        <f ca="1">-SUMIFS(
  desp.m.ik[valor],
  desp.m.ik[nucleo], $B40,
  desp.m.ik[centro.negocio], $B$34,
  desp.m.ik[mes], "&gt;="&amp;N$1,
  desp.m.ik[mes], "&lt;"&amp;EOMONTH(N$1,0)+1
)</f>
        <v>0</v>
      </c>
      <c r="O40" s="183">
        <f ca="1">-SUMIFS(
  desp.m.ik[valor],
  desp.m.ik[nucleo], $B40,
  desp.m.ik[centro.negocio], $B$34,
  desp.m.ik[mes], "&gt;="&amp;O$1,
  desp.m.ik[mes], "&lt;"&amp;EOMONTH(O$1,0)+1
)</f>
        <v>0</v>
      </c>
      <c r="P40" s="183">
        <f ca="1">-SUMIFS(
  desp.m.ik[valor],
  desp.m.ik[nucleo], $B40,
  desp.m.ik[centro.negocio], $B$34,
  desp.m.ik[mes], "&gt;="&amp;P$1,
  desp.m.ik[mes], "&lt;"&amp;EOMONTH(P$1,0)+1
)</f>
        <v>0</v>
      </c>
      <c r="Q40" s="183">
        <f ca="1">-SUMIFS(
  desp.m.ik[valor],
  desp.m.ik[nucleo], $B40,
  desp.m.ik[centro.negocio], $B$34,
  desp.m.ik[mes], "&gt;="&amp;Q$1,
  desp.m.ik[mes], "&lt;"&amp;EOMONTH(Q$1,0)+1
)</f>
        <v>0</v>
      </c>
      <c r="R40" s="183">
        <f ca="1">-SUMIFS(
  desp.m.ik[valor],
  desp.m.ik[nucleo], $B40,
  desp.m.ik[centro.negocio], $B$34,
  desp.m.ik[mes], "&gt;="&amp;R$1,
  desp.m.ik[mes], "&lt;"&amp;EOMONTH(R$1,0)+1
)</f>
        <v>0</v>
      </c>
      <c r="S40" s="183">
        <f ca="1">-SUMIFS(
  desp.m.ik[valor],
  desp.m.ik[nucleo], $B40,
  desp.m.ik[centro.negocio], $B$34,
  desp.m.ik[mes], "&gt;="&amp;S$1,
  desp.m.ik[mes], "&lt;"&amp;EOMONTH(S$1,0)+1
)</f>
        <v>0</v>
      </c>
      <c r="T40" s="183">
        <f ca="1">-SUMIFS(
  desp.m.ik[valor],
  desp.m.ik[nucleo], $B40,
  desp.m.ik[centro.negocio], $B$34,
  desp.m.ik[mes], "&gt;="&amp;T$1,
  desp.m.ik[mes], "&lt;"&amp;EOMONTH(T$1,0)+1
)</f>
        <v>0</v>
      </c>
      <c r="U40" s="183">
        <f ca="1">-SUMIFS(
  desp.m.ik[valor],
  desp.m.ik[nucleo], $B40,
  desp.m.ik[centro.negocio], $B$34,
  desp.m.ik[mes], "&gt;="&amp;U$1,
  desp.m.ik[mes], "&lt;"&amp;EOMONTH(U$1,0)+1
)</f>
        <v>0</v>
      </c>
      <c r="V40" s="183">
        <f ca="1">-SUMIFS(
  desp.m.ik[valor],
  desp.m.ik[nucleo], $B40,
  desp.m.ik[centro.negocio], $B$34,
  desp.m.ik[mes], "&gt;="&amp;V$1,
  desp.m.ik[mes], "&lt;"&amp;EOMONTH(V$1,0)+1
)</f>
        <v>0</v>
      </c>
      <c r="W40" s="183">
        <f ca="1">-SUMIFS(
  desp.m.ik[valor],
  desp.m.ik[nucleo], $B40,
  desp.m.ik[centro.negocio], $B$34,
  desp.m.ik[mes], "&gt;="&amp;W$1,
  desp.m.ik[mes], "&lt;"&amp;EOMONTH(W$1,0)+1
)</f>
        <v>0</v>
      </c>
      <c r="X40" s="183">
        <f ca="1">-SUMIFS(
  desp.m.ik[valor],
  desp.m.ik[nucleo], $B40,
  desp.m.ik[centro.negocio], $B$34,
  desp.m.ik[mes], "&gt;="&amp;X$1,
  desp.m.ik[mes], "&lt;"&amp;EOMONTH(X$1,0)+1
)</f>
        <v>0</v>
      </c>
      <c r="Y40" s="183">
        <f ca="1">-SUMIFS(
  desp.m.ik[valor],
  desp.m.ik[nucleo], $B40,
  desp.m.ik[centro.negocio], $B$34,
  desp.m.ik[mes], "&gt;="&amp;Y$1,
  desp.m.ik[mes], "&lt;"&amp;EOMONTH(Y$1,0)+1
)</f>
        <v>0</v>
      </c>
      <c r="Z40" s="183">
        <f ca="1">-SUMIFS(
  desp.m.ik[valor],
  desp.m.ik[nucleo], $B40,
  desp.m.ik[centro.negocio], $B$34,
  desp.m.ik[mes], "&gt;="&amp;Z$1,
  desp.m.ik[mes], "&lt;"&amp;EOMONTH(Z$1,0)+1
)</f>
        <v>0</v>
      </c>
      <c r="AA40" s="183">
        <f ca="1">-SUMIFS(
  desp.m.ik[valor],
  desp.m.ik[nucleo], $B40,
  desp.m.ik[centro.negocio], $B$34,
  desp.m.ik[mes], "&gt;="&amp;AA$1,
  desp.m.ik[mes], "&lt;"&amp;EOMONTH(AA$1,0)+1
)</f>
        <v>0</v>
      </c>
      <c r="AC40" s="175">
        <f ca="1">SUM($D40:INDEX($D40:$AA40,1,MATCH(DATE(YEAR(inputs!$A$1),MONTH(inputs!$A$1),1),$D$1:$AA$1,0)))</f>
        <v>0</v>
      </c>
      <c r="AE40" s="175">
        <f t="shared" ca="1" si="1"/>
        <v>0</v>
      </c>
    </row>
    <row r="41" spans="1:31" outlineLevel="2" x14ac:dyDescent="0.25">
      <c r="A41" s="182" t="s">
        <v>545</v>
      </c>
      <c r="B41" s="182" t="s">
        <v>546</v>
      </c>
      <c r="C41" s="135" t="s">
        <v>514</v>
      </c>
      <c r="D41" s="183">
        <f ca="1">-SUMIFS(
  desp.m.ik[valor],
  desp.m.ik[nucleo], $B41,
  desp.m.ik[centro.negocio], $B$34,
  desp.m.ik[mes], "&gt;="&amp;D$1,
  desp.m.ik[mes], "&lt;"&amp;EOMONTH(D$1,0)+1
)</f>
        <v>0</v>
      </c>
      <c r="E41" s="183">
        <f ca="1">-SUMIFS(
  desp.m.ik[valor],
  desp.m.ik[nucleo], $B41,
  desp.m.ik[centro.negocio], $B$34,
  desp.m.ik[mes], "&gt;="&amp;E$1,
  desp.m.ik[mes], "&lt;"&amp;EOMONTH(E$1,0)+1
)</f>
        <v>0</v>
      </c>
      <c r="F41" s="183">
        <f ca="1">-SUMIFS(
  desp.m.ik[valor],
  desp.m.ik[nucleo], $B41,
  desp.m.ik[centro.negocio], $B$34,
  desp.m.ik[mes], "&gt;="&amp;F$1,
  desp.m.ik[mes], "&lt;"&amp;EOMONTH(F$1,0)+1
)</f>
        <v>0</v>
      </c>
      <c r="G41" s="183">
        <f ca="1">-SUMIFS(
  desp.m.ik[valor],
  desp.m.ik[nucleo], $B41,
  desp.m.ik[centro.negocio], $B$34,
  desp.m.ik[mes], "&gt;="&amp;G$1,
  desp.m.ik[mes], "&lt;"&amp;EOMONTH(G$1,0)+1
)</f>
        <v>0</v>
      </c>
      <c r="H41" s="183">
        <f ca="1">-SUMIFS(
  desp.m.ik[valor],
  desp.m.ik[nucleo], $B41,
  desp.m.ik[centro.negocio], $B$34,
  desp.m.ik[mes], "&gt;="&amp;H$1,
  desp.m.ik[mes], "&lt;"&amp;EOMONTH(H$1,0)+1
)</f>
        <v>0</v>
      </c>
      <c r="I41" s="183">
        <f ca="1">-SUMIFS(
  desp.m.ik[valor],
  desp.m.ik[nucleo], $B41,
  desp.m.ik[centro.negocio], $B$34,
  desp.m.ik[mes], "&gt;="&amp;I$1,
  desp.m.ik[mes], "&lt;"&amp;EOMONTH(I$1,0)+1
)</f>
        <v>0</v>
      </c>
      <c r="J41" s="183">
        <f ca="1">-SUMIFS(
  desp.m.ik[valor],
  desp.m.ik[nucleo], $B41,
  desp.m.ik[centro.negocio], $B$34,
  desp.m.ik[mes], "&gt;="&amp;J$1,
  desp.m.ik[mes], "&lt;"&amp;EOMONTH(J$1,0)+1
)</f>
        <v>0</v>
      </c>
      <c r="K41" s="183">
        <f ca="1">-SUMIFS(
  desp.m.ik[valor],
  desp.m.ik[nucleo], $B41,
  desp.m.ik[centro.negocio], $B$34,
  desp.m.ik[mes], "&gt;="&amp;K$1,
  desp.m.ik[mes], "&lt;"&amp;EOMONTH(K$1,0)+1
)</f>
        <v>0</v>
      </c>
      <c r="L41" s="183">
        <f ca="1">-SUMIFS(
  desp.m.ik[valor],
  desp.m.ik[nucleo], $B41,
  desp.m.ik[centro.negocio], $B$34,
  desp.m.ik[mes], "&gt;="&amp;L$1,
  desp.m.ik[mes], "&lt;"&amp;EOMONTH(L$1,0)+1
)</f>
        <v>0</v>
      </c>
      <c r="M41" s="183">
        <f ca="1">-SUMIFS(
  desp.m.ik[valor],
  desp.m.ik[nucleo], $B41,
  desp.m.ik[centro.negocio], $B$34,
  desp.m.ik[mes], "&gt;="&amp;M$1,
  desp.m.ik[mes], "&lt;"&amp;EOMONTH(M$1,0)+1
)</f>
        <v>0</v>
      </c>
      <c r="N41" s="183">
        <f ca="1">-SUMIFS(
  desp.m.ik[valor],
  desp.m.ik[nucleo], $B41,
  desp.m.ik[centro.negocio], $B$34,
  desp.m.ik[mes], "&gt;="&amp;N$1,
  desp.m.ik[mes], "&lt;"&amp;EOMONTH(N$1,0)+1
)</f>
        <v>0</v>
      </c>
      <c r="O41" s="183">
        <f ca="1">-SUMIFS(
  desp.m.ik[valor],
  desp.m.ik[nucleo], $B41,
  desp.m.ik[centro.negocio], $B$34,
  desp.m.ik[mes], "&gt;="&amp;O$1,
  desp.m.ik[mes], "&lt;"&amp;EOMONTH(O$1,0)+1
)</f>
        <v>0</v>
      </c>
      <c r="P41" s="183">
        <f ca="1">-SUMIFS(
  desp.m.ik[valor],
  desp.m.ik[nucleo], $B41,
  desp.m.ik[centro.negocio], $B$34,
  desp.m.ik[mes], "&gt;="&amp;P$1,
  desp.m.ik[mes], "&lt;"&amp;EOMONTH(P$1,0)+1
)</f>
        <v>0</v>
      </c>
      <c r="Q41" s="183">
        <f ca="1">-SUMIFS(
  desp.m.ik[valor],
  desp.m.ik[nucleo], $B41,
  desp.m.ik[centro.negocio], $B$34,
  desp.m.ik[mes], "&gt;="&amp;Q$1,
  desp.m.ik[mes], "&lt;"&amp;EOMONTH(Q$1,0)+1
)</f>
        <v>0</v>
      </c>
      <c r="R41" s="183">
        <f ca="1">-SUMIFS(
  desp.m.ik[valor],
  desp.m.ik[nucleo], $B41,
  desp.m.ik[centro.negocio], $B$34,
  desp.m.ik[mes], "&gt;="&amp;R$1,
  desp.m.ik[mes], "&lt;"&amp;EOMONTH(R$1,0)+1
)</f>
        <v>0</v>
      </c>
      <c r="S41" s="183">
        <f ca="1">-SUMIFS(
  desp.m.ik[valor],
  desp.m.ik[nucleo], $B41,
  desp.m.ik[centro.negocio], $B$34,
  desp.m.ik[mes], "&gt;="&amp;S$1,
  desp.m.ik[mes], "&lt;"&amp;EOMONTH(S$1,0)+1
)</f>
        <v>0</v>
      </c>
      <c r="T41" s="183">
        <f ca="1">-SUMIFS(
  desp.m.ik[valor],
  desp.m.ik[nucleo], $B41,
  desp.m.ik[centro.negocio], $B$34,
  desp.m.ik[mes], "&gt;="&amp;T$1,
  desp.m.ik[mes], "&lt;"&amp;EOMONTH(T$1,0)+1
)</f>
        <v>0</v>
      </c>
      <c r="U41" s="183">
        <f ca="1">-SUMIFS(
  desp.m.ik[valor],
  desp.m.ik[nucleo], $B41,
  desp.m.ik[centro.negocio], $B$34,
  desp.m.ik[mes], "&gt;="&amp;U$1,
  desp.m.ik[mes], "&lt;"&amp;EOMONTH(U$1,0)+1
)</f>
        <v>0</v>
      </c>
      <c r="V41" s="183">
        <f ca="1">-SUMIFS(
  desp.m.ik[valor],
  desp.m.ik[nucleo], $B41,
  desp.m.ik[centro.negocio], $B$34,
  desp.m.ik[mes], "&gt;="&amp;V$1,
  desp.m.ik[mes], "&lt;"&amp;EOMONTH(V$1,0)+1
)</f>
        <v>0</v>
      </c>
      <c r="W41" s="183">
        <f ca="1">-SUMIFS(
  desp.m.ik[valor],
  desp.m.ik[nucleo], $B41,
  desp.m.ik[centro.negocio], $B$34,
  desp.m.ik[mes], "&gt;="&amp;W$1,
  desp.m.ik[mes], "&lt;"&amp;EOMONTH(W$1,0)+1
)</f>
        <v>0</v>
      </c>
      <c r="X41" s="183">
        <f ca="1">-SUMIFS(
  desp.m.ik[valor],
  desp.m.ik[nucleo], $B41,
  desp.m.ik[centro.negocio], $B$34,
  desp.m.ik[mes], "&gt;="&amp;X$1,
  desp.m.ik[mes], "&lt;"&amp;EOMONTH(X$1,0)+1
)</f>
        <v>0</v>
      </c>
      <c r="Y41" s="183">
        <f ca="1">-SUMIFS(
  desp.m.ik[valor],
  desp.m.ik[nucleo], $B41,
  desp.m.ik[centro.negocio], $B$34,
  desp.m.ik[mes], "&gt;="&amp;Y$1,
  desp.m.ik[mes], "&lt;"&amp;EOMONTH(Y$1,0)+1
)</f>
        <v>0</v>
      </c>
      <c r="Z41" s="183">
        <f ca="1">-SUMIFS(
  desp.m.ik[valor],
  desp.m.ik[nucleo], $B41,
  desp.m.ik[centro.negocio], $B$34,
  desp.m.ik[mes], "&gt;="&amp;Z$1,
  desp.m.ik[mes], "&lt;"&amp;EOMONTH(Z$1,0)+1
)</f>
        <v>0</v>
      </c>
      <c r="AA41" s="183">
        <f ca="1">-SUMIFS(
  desp.m.ik[valor],
  desp.m.ik[nucleo], $B41,
  desp.m.ik[centro.negocio], $B$34,
  desp.m.ik[mes], "&gt;="&amp;AA$1,
  desp.m.ik[mes], "&lt;"&amp;EOMONTH(AA$1,0)+1
)</f>
        <v>0</v>
      </c>
      <c r="AC41" s="175">
        <f ca="1">SUM($D41:INDEX($D41:$AA41,1,MATCH(DATE(YEAR(inputs!$A$1),MONTH(inputs!$A$1),1),$D$1:$AA$1,0)))</f>
        <v>0</v>
      </c>
      <c r="AE41" s="175">
        <f ca="1">SUM(D41:AA41)</f>
        <v>0</v>
      </c>
    </row>
    <row r="42" spans="1:31" outlineLevel="2" x14ac:dyDescent="0.25">
      <c r="A42" s="182" t="s">
        <v>542</v>
      </c>
      <c r="B42" s="182" t="s">
        <v>922</v>
      </c>
      <c r="C42" s="135" t="s">
        <v>514</v>
      </c>
      <c r="D42" s="183">
        <f ca="1">-SUMIFS(
  desp.m.ik[valor],
  desp.m.ik[nucleo], $B42,
  desp.m.ik[centro.negocio], $B$34,
  desp.m.ik[mes], "&gt;="&amp;D$1,
  desp.m.ik[mes], "&lt;"&amp;EOMONTH(D$1,0)+1
)</f>
        <v>0</v>
      </c>
      <c r="E42" s="183">
        <f ca="1">-SUMIFS(
  desp.m.ik[valor],
  desp.m.ik[nucleo], $B42,
  desp.m.ik[centro.negocio], $B$34,
  desp.m.ik[mes], "&gt;="&amp;E$1,
  desp.m.ik[mes], "&lt;"&amp;EOMONTH(E$1,0)+1
)</f>
        <v>0</v>
      </c>
      <c r="F42" s="183">
        <f ca="1">-SUMIFS(
  desp.m.ik[valor],
  desp.m.ik[nucleo], $B42,
  desp.m.ik[centro.negocio], $B$34,
  desp.m.ik[mes], "&gt;="&amp;F$1,
  desp.m.ik[mes], "&lt;"&amp;EOMONTH(F$1,0)+1
)</f>
        <v>0</v>
      </c>
      <c r="G42" s="183">
        <f ca="1">-SUMIFS(
  desp.m.ik[valor],
  desp.m.ik[nucleo], $B42,
  desp.m.ik[centro.negocio], $B$34,
  desp.m.ik[mes], "&gt;="&amp;G$1,
  desp.m.ik[mes], "&lt;"&amp;EOMONTH(G$1,0)+1
)</f>
        <v>0</v>
      </c>
      <c r="H42" s="183">
        <f ca="1">-SUMIFS(
  desp.m.ik[valor],
  desp.m.ik[nucleo], $B42,
  desp.m.ik[centro.negocio], $B$34,
  desp.m.ik[mes], "&gt;="&amp;H$1,
  desp.m.ik[mes], "&lt;"&amp;EOMONTH(H$1,0)+1
)</f>
        <v>0</v>
      </c>
      <c r="I42" s="183">
        <f ca="1">-SUMIFS(
  desp.m.ik[valor],
  desp.m.ik[nucleo], $B42,
  desp.m.ik[centro.negocio], $B$34,
  desp.m.ik[mes], "&gt;="&amp;I$1,
  desp.m.ik[mes], "&lt;"&amp;EOMONTH(I$1,0)+1
)</f>
        <v>0</v>
      </c>
      <c r="J42" s="183">
        <f ca="1">-SUMIFS(
  desp.m.ik[valor],
  desp.m.ik[nucleo], $B42,
  desp.m.ik[centro.negocio], $B$34,
  desp.m.ik[mes], "&gt;="&amp;J$1,
  desp.m.ik[mes], "&lt;"&amp;EOMONTH(J$1,0)+1
)</f>
        <v>0</v>
      </c>
      <c r="K42" s="183">
        <f ca="1">-SUMIFS(
  desp.m.ik[valor],
  desp.m.ik[nucleo], $B42,
  desp.m.ik[centro.negocio], $B$34,
  desp.m.ik[mes], "&gt;="&amp;K$1,
  desp.m.ik[mes], "&lt;"&amp;EOMONTH(K$1,0)+1
)</f>
        <v>0</v>
      </c>
      <c r="L42" s="183">
        <f ca="1">-SUMIFS(
  desp.m.ik[valor],
  desp.m.ik[nucleo], $B42,
  desp.m.ik[centro.negocio], $B$34,
  desp.m.ik[mes], "&gt;="&amp;L$1,
  desp.m.ik[mes], "&lt;"&amp;EOMONTH(L$1,0)+1
)</f>
        <v>0</v>
      </c>
      <c r="M42" s="183">
        <f ca="1">-SUMIFS(
  desp.m.ik[valor],
  desp.m.ik[nucleo], $B42,
  desp.m.ik[centro.negocio], $B$34,
  desp.m.ik[mes], "&gt;="&amp;M$1,
  desp.m.ik[mes], "&lt;"&amp;EOMONTH(M$1,0)+1
)</f>
        <v>0</v>
      </c>
      <c r="N42" s="183">
        <f ca="1">-SUMIFS(
  desp.m.ik[valor],
  desp.m.ik[nucleo], $B42,
  desp.m.ik[centro.negocio], $B$34,
  desp.m.ik[mes], "&gt;="&amp;N$1,
  desp.m.ik[mes], "&lt;"&amp;EOMONTH(N$1,0)+1
)</f>
        <v>0</v>
      </c>
      <c r="O42" s="183">
        <f ca="1">-SUMIFS(
  desp.m.ik[valor],
  desp.m.ik[nucleo], $B42,
  desp.m.ik[centro.negocio], $B$34,
  desp.m.ik[mes], "&gt;="&amp;O$1,
  desp.m.ik[mes], "&lt;"&amp;EOMONTH(O$1,0)+1
)</f>
        <v>0</v>
      </c>
      <c r="P42" s="183">
        <f ca="1">-SUMIFS(
  desp.m.ik[valor],
  desp.m.ik[nucleo], $B42,
  desp.m.ik[centro.negocio], $B$34,
  desp.m.ik[mes], "&gt;="&amp;P$1,
  desp.m.ik[mes], "&lt;"&amp;EOMONTH(P$1,0)+1
)</f>
        <v>0</v>
      </c>
      <c r="Q42" s="183">
        <f ca="1">-SUMIFS(
  desp.m.ik[valor],
  desp.m.ik[nucleo], $B42,
  desp.m.ik[centro.negocio], $B$34,
  desp.m.ik[mes], "&gt;="&amp;Q$1,
  desp.m.ik[mes], "&lt;"&amp;EOMONTH(Q$1,0)+1
)</f>
        <v>0</v>
      </c>
      <c r="R42" s="183">
        <f ca="1">-SUMIFS(
  desp.m.ik[valor],
  desp.m.ik[nucleo], $B42,
  desp.m.ik[centro.negocio], $B$34,
  desp.m.ik[mes], "&gt;="&amp;R$1,
  desp.m.ik[mes], "&lt;"&amp;EOMONTH(R$1,0)+1
)</f>
        <v>0</v>
      </c>
      <c r="S42" s="183">
        <f ca="1">-SUMIFS(
  desp.m.ik[valor],
  desp.m.ik[nucleo], $B42,
  desp.m.ik[centro.negocio], $B$34,
  desp.m.ik[mes], "&gt;="&amp;S$1,
  desp.m.ik[mes], "&lt;"&amp;EOMONTH(S$1,0)+1
)</f>
        <v>0</v>
      </c>
      <c r="T42" s="183">
        <f ca="1">-SUMIFS(
  desp.m.ik[valor],
  desp.m.ik[nucleo], $B42,
  desp.m.ik[centro.negocio], $B$34,
  desp.m.ik[mes], "&gt;="&amp;T$1,
  desp.m.ik[mes], "&lt;"&amp;EOMONTH(T$1,0)+1
)</f>
        <v>0</v>
      </c>
      <c r="U42" s="183">
        <f ca="1">-SUMIFS(
  desp.m.ik[valor],
  desp.m.ik[nucleo], $B42,
  desp.m.ik[centro.negocio], $B$34,
  desp.m.ik[mes], "&gt;="&amp;U$1,
  desp.m.ik[mes], "&lt;"&amp;EOMONTH(U$1,0)+1
)</f>
        <v>0</v>
      </c>
      <c r="V42" s="183">
        <f ca="1">-SUMIFS(
  desp.m.ik[valor],
  desp.m.ik[nucleo], $B42,
  desp.m.ik[centro.negocio], $B$34,
  desp.m.ik[mes], "&gt;="&amp;V$1,
  desp.m.ik[mes], "&lt;"&amp;EOMONTH(V$1,0)+1
)</f>
        <v>0</v>
      </c>
      <c r="W42" s="183">
        <f ca="1">-SUMIFS(
  desp.m.ik[valor],
  desp.m.ik[nucleo], $B42,
  desp.m.ik[centro.negocio], $B$34,
  desp.m.ik[mes], "&gt;="&amp;W$1,
  desp.m.ik[mes], "&lt;"&amp;EOMONTH(W$1,0)+1
)</f>
        <v>0</v>
      </c>
      <c r="X42" s="183">
        <f ca="1">-SUMIFS(
  desp.m.ik[valor],
  desp.m.ik[nucleo], $B42,
  desp.m.ik[centro.negocio], $B$34,
  desp.m.ik[mes], "&gt;="&amp;X$1,
  desp.m.ik[mes], "&lt;"&amp;EOMONTH(X$1,0)+1
)</f>
        <v>0</v>
      </c>
      <c r="Y42" s="183">
        <f ca="1">-SUMIFS(
  desp.m.ik[valor],
  desp.m.ik[nucleo], $B42,
  desp.m.ik[centro.negocio], $B$34,
  desp.m.ik[mes], "&gt;="&amp;Y$1,
  desp.m.ik[mes], "&lt;"&amp;EOMONTH(Y$1,0)+1
)</f>
        <v>0</v>
      </c>
      <c r="Z42" s="183">
        <f ca="1">-SUMIFS(
  desp.m.ik[valor],
  desp.m.ik[nucleo], $B42,
  desp.m.ik[centro.negocio], $B$34,
  desp.m.ik[mes], "&gt;="&amp;Z$1,
  desp.m.ik[mes], "&lt;"&amp;EOMONTH(Z$1,0)+1
)</f>
        <v>0</v>
      </c>
      <c r="AA42" s="183">
        <f ca="1">-SUMIFS(
  desp.m.ik[valor],
  desp.m.ik[nucleo], $B42,
  desp.m.ik[centro.negocio], $B$34,
  desp.m.ik[mes], "&gt;="&amp;AA$1,
  desp.m.ik[mes], "&lt;"&amp;EOMONTH(AA$1,0)+1
)</f>
        <v>0</v>
      </c>
      <c r="AC42" s="175">
        <f ca="1">SUM($D42:INDEX($D42:$AA42,1,MATCH(DATE(YEAR(inputs!$A$1),MONTH(inputs!$A$1),1),$D$1:$AA$1,0)))</f>
        <v>0</v>
      </c>
      <c r="AE42" s="175">
        <f t="shared" ca="1" si="1"/>
        <v>0</v>
      </c>
    </row>
    <row r="43" spans="1:31" outlineLevel="2" x14ac:dyDescent="0.25">
      <c r="A43" s="182" t="s">
        <v>543</v>
      </c>
      <c r="B43" s="182" t="s">
        <v>544</v>
      </c>
      <c r="C43" s="135" t="s">
        <v>514</v>
      </c>
      <c r="D43" s="183">
        <f ca="1">-SUMIFS(
  desp.m.ik[valor],
  desp.m.ik[nucleo], $B43,
  desp.m.ik[centro.negocio], $B$34,
  desp.m.ik[mes], "&gt;="&amp;D$1,
  desp.m.ik[mes], "&lt;"&amp;EOMONTH(D$1,0)+1
)</f>
        <v>0</v>
      </c>
      <c r="E43" s="183">
        <f ca="1">-SUMIFS(
  desp.m.ik[valor],
  desp.m.ik[nucleo], $B43,
  desp.m.ik[centro.negocio], $B$34,
  desp.m.ik[mes], "&gt;="&amp;E$1,
  desp.m.ik[mes], "&lt;"&amp;EOMONTH(E$1,0)+1
)</f>
        <v>0</v>
      </c>
      <c r="F43" s="183">
        <f ca="1">-SUMIFS(
  desp.m.ik[valor],
  desp.m.ik[nucleo], $B43,
  desp.m.ik[centro.negocio], $B$34,
  desp.m.ik[mes], "&gt;="&amp;F$1,
  desp.m.ik[mes], "&lt;"&amp;EOMONTH(F$1,0)+1
)</f>
        <v>0</v>
      </c>
      <c r="G43" s="183">
        <f ca="1">-SUMIFS(
  desp.m.ik[valor],
  desp.m.ik[nucleo], $B43,
  desp.m.ik[centro.negocio], $B$34,
  desp.m.ik[mes], "&gt;="&amp;G$1,
  desp.m.ik[mes], "&lt;"&amp;EOMONTH(G$1,0)+1
)</f>
        <v>0</v>
      </c>
      <c r="H43" s="183">
        <f ca="1">-SUMIFS(
  desp.m.ik[valor],
  desp.m.ik[nucleo], $B43,
  desp.m.ik[centro.negocio], $B$34,
  desp.m.ik[mes], "&gt;="&amp;H$1,
  desp.m.ik[mes], "&lt;"&amp;EOMONTH(H$1,0)+1
)</f>
        <v>0</v>
      </c>
      <c r="I43" s="183">
        <f ca="1">-SUMIFS(
  desp.m.ik[valor],
  desp.m.ik[nucleo], $B43,
  desp.m.ik[centro.negocio], $B$34,
  desp.m.ik[mes], "&gt;="&amp;I$1,
  desp.m.ik[mes], "&lt;"&amp;EOMONTH(I$1,0)+1
)</f>
        <v>0</v>
      </c>
      <c r="J43" s="183">
        <f ca="1">-SUMIFS(
  desp.m.ik[valor],
  desp.m.ik[nucleo], $B43,
  desp.m.ik[centro.negocio], $B$34,
  desp.m.ik[mes], "&gt;="&amp;J$1,
  desp.m.ik[mes], "&lt;"&amp;EOMONTH(J$1,0)+1
)</f>
        <v>0</v>
      </c>
      <c r="K43" s="183">
        <f ca="1">-SUMIFS(
  desp.m.ik[valor],
  desp.m.ik[nucleo], $B43,
  desp.m.ik[centro.negocio], $B$34,
  desp.m.ik[mes], "&gt;="&amp;K$1,
  desp.m.ik[mes], "&lt;"&amp;EOMONTH(K$1,0)+1
)</f>
        <v>0</v>
      </c>
      <c r="L43" s="183">
        <f ca="1">-SUMIFS(
  desp.m.ik[valor],
  desp.m.ik[nucleo], $B43,
  desp.m.ik[centro.negocio], $B$34,
  desp.m.ik[mes], "&gt;="&amp;L$1,
  desp.m.ik[mes], "&lt;"&amp;EOMONTH(L$1,0)+1
)</f>
        <v>0</v>
      </c>
      <c r="M43" s="183">
        <f ca="1">-SUMIFS(
  desp.m.ik[valor],
  desp.m.ik[nucleo], $B43,
  desp.m.ik[centro.negocio], $B$34,
  desp.m.ik[mes], "&gt;="&amp;M$1,
  desp.m.ik[mes], "&lt;"&amp;EOMONTH(M$1,0)+1
)</f>
        <v>0</v>
      </c>
      <c r="N43" s="183">
        <f ca="1">-SUMIFS(
  desp.m.ik[valor],
  desp.m.ik[nucleo], $B43,
  desp.m.ik[centro.negocio], $B$34,
  desp.m.ik[mes], "&gt;="&amp;N$1,
  desp.m.ik[mes], "&lt;"&amp;EOMONTH(N$1,0)+1
)</f>
        <v>0</v>
      </c>
      <c r="O43" s="183">
        <f ca="1">-SUMIFS(
  desp.m.ik[valor],
  desp.m.ik[nucleo], $B43,
  desp.m.ik[centro.negocio], $B$34,
  desp.m.ik[mes], "&gt;="&amp;O$1,
  desp.m.ik[mes], "&lt;"&amp;EOMONTH(O$1,0)+1
)</f>
        <v>0</v>
      </c>
      <c r="P43" s="183">
        <f ca="1">-SUMIFS(
  desp.m.ik[valor],
  desp.m.ik[nucleo], $B43,
  desp.m.ik[centro.negocio], $B$34,
  desp.m.ik[mes], "&gt;="&amp;P$1,
  desp.m.ik[mes], "&lt;"&amp;EOMONTH(P$1,0)+1
)</f>
        <v>0</v>
      </c>
      <c r="Q43" s="183">
        <f ca="1">-SUMIFS(
  desp.m.ik[valor],
  desp.m.ik[nucleo], $B43,
  desp.m.ik[centro.negocio], $B$34,
  desp.m.ik[mes], "&gt;="&amp;Q$1,
  desp.m.ik[mes], "&lt;"&amp;EOMONTH(Q$1,0)+1
)</f>
        <v>0</v>
      </c>
      <c r="R43" s="183">
        <f ca="1">-SUMIFS(
  desp.m.ik[valor],
  desp.m.ik[nucleo], $B43,
  desp.m.ik[centro.negocio], $B$34,
  desp.m.ik[mes], "&gt;="&amp;R$1,
  desp.m.ik[mes], "&lt;"&amp;EOMONTH(R$1,0)+1
)</f>
        <v>0</v>
      </c>
      <c r="S43" s="183">
        <f ca="1">-SUMIFS(
  desp.m.ik[valor],
  desp.m.ik[nucleo], $B43,
  desp.m.ik[centro.negocio], $B$34,
  desp.m.ik[mes], "&gt;="&amp;S$1,
  desp.m.ik[mes], "&lt;"&amp;EOMONTH(S$1,0)+1
)</f>
        <v>0</v>
      </c>
      <c r="T43" s="183">
        <f ca="1">-SUMIFS(
  desp.m.ik[valor],
  desp.m.ik[nucleo], $B43,
  desp.m.ik[centro.negocio], $B$34,
  desp.m.ik[mes], "&gt;="&amp;T$1,
  desp.m.ik[mes], "&lt;"&amp;EOMONTH(T$1,0)+1
)</f>
        <v>0</v>
      </c>
      <c r="U43" s="183">
        <f ca="1">-SUMIFS(
  desp.m.ik[valor],
  desp.m.ik[nucleo], $B43,
  desp.m.ik[centro.negocio], $B$34,
  desp.m.ik[mes], "&gt;="&amp;U$1,
  desp.m.ik[mes], "&lt;"&amp;EOMONTH(U$1,0)+1
)</f>
        <v>0</v>
      </c>
      <c r="V43" s="183">
        <f ca="1">-SUMIFS(
  desp.m.ik[valor],
  desp.m.ik[nucleo], $B43,
  desp.m.ik[centro.negocio], $B$34,
  desp.m.ik[mes], "&gt;="&amp;V$1,
  desp.m.ik[mes], "&lt;"&amp;EOMONTH(V$1,0)+1
)</f>
        <v>0</v>
      </c>
      <c r="W43" s="183">
        <f ca="1">-SUMIFS(
  desp.m.ik[valor],
  desp.m.ik[nucleo], $B43,
  desp.m.ik[centro.negocio], $B$34,
  desp.m.ik[mes], "&gt;="&amp;W$1,
  desp.m.ik[mes], "&lt;"&amp;EOMONTH(W$1,0)+1
)</f>
        <v>0</v>
      </c>
      <c r="X43" s="183">
        <f ca="1">-SUMIFS(
  desp.m.ik[valor],
  desp.m.ik[nucleo], $B43,
  desp.m.ik[centro.negocio], $B$34,
  desp.m.ik[mes], "&gt;="&amp;X$1,
  desp.m.ik[mes], "&lt;"&amp;EOMONTH(X$1,0)+1
)</f>
        <v>0</v>
      </c>
      <c r="Y43" s="183">
        <f ca="1">-SUMIFS(
  desp.m.ik[valor],
  desp.m.ik[nucleo], $B43,
  desp.m.ik[centro.negocio], $B$34,
  desp.m.ik[mes], "&gt;="&amp;Y$1,
  desp.m.ik[mes], "&lt;"&amp;EOMONTH(Y$1,0)+1
)</f>
        <v>0</v>
      </c>
      <c r="Z43" s="183">
        <f ca="1">-SUMIFS(
  desp.m.ik[valor],
  desp.m.ik[nucleo], $B43,
  desp.m.ik[centro.negocio], $B$34,
  desp.m.ik[mes], "&gt;="&amp;Z$1,
  desp.m.ik[mes], "&lt;"&amp;EOMONTH(Z$1,0)+1
)</f>
        <v>0</v>
      </c>
      <c r="AA43" s="183">
        <f ca="1">-SUMIFS(
  desp.m.ik[valor],
  desp.m.ik[nucleo], $B43,
  desp.m.ik[centro.negocio], $B$34,
  desp.m.ik[mes], "&gt;="&amp;AA$1,
  desp.m.ik[mes], "&lt;"&amp;EOMONTH(AA$1,0)+1
)</f>
        <v>0</v>
      </c>
      <c r="AC43" s="175">
        <f ca="1">SUM($D43:INDEX($D43:$AA43,1,MATCH(DATE(YEAR(inputs!$A$1),MONTH(inputs!$A$1),1),$D$1:$AA$1,0)))</f>
        <v>0</v>
      </c>
      <c r="AE43" s="175">
        <f t="shared" ca="1" si="1"/>
        <v>0</v>
      </c>
    </row>
    <row r="44" spans="1:31" outlineLevel="2" x14ac:dyDescent="0.25">
      <c r="A44" s="182" t="s">
        <v>547</v>
      </c>
      <c r="B44" s="182" t="s">
        <v>704</v>
      </c>
      <c r="C44" s="135" t="s">
        <v>514</v>
      </c>
      <c r="D44" s="183">
        <f ca="1">-SUMIFS(
  desp.m.ik[valor],
  desp.m.ik[nucleo], $B44,
  desp.m.ik[centro.negocio], $B$34,
  desp.m.ik[mes], "&gt;="&amp;D$1,
  desp.m.ik[mes], "&lt;"&amp;EOMONTH(D$1,0)+1
)</f>
        <v>0</v>
      </c>
      <c r="E44" s="183">
        <f ca="1">-SUMIFS(
  desp.m.ik[valor],
  desp.m.ik[nucleo], $B44,
  desp.m.ik[centro.negocio], $B$34,
  desp.m.ik[mes], "&gt;="&amp;E$1,
  desp.m.ik[mes], "&lt;"&amp;EOMONTH(E$1,0)+1
)</f>
        <v>0</v>
      </c>
      <c r="F44" s="183">
        <f ca="1">-SUMIFS(
  desp.m.ik[valor],
  desp.m.ik[nucleo], $B44,
  desp.m.ik[centro.negocio], $B$34,
  desp.m.ik[mes], "&gt;="&amp;F$1,
  desp.m.ik[mes], "&lt;"&amp;EOMONTH(F$1,0)+1
)</f>
        <v>0</v>
      </c>
      <c r="G44" s="183">
        <f ca="1">-SUMIFS(
  desp.m.ik[valor],
  desp.m.ik[nucleo], $B44,
  desp.m.ik[centro.negocio], $B$34,
  desp.m.ik[mes], "&gt;="&amp;G$1,
  desp.m.ik[mes], "&lt;"&amp;EOMONTH(G$1,0)+1
)</f>
        <v>0</v>
      </c>
      <c r="H44" s="183">
        <f ca="1">-SUMIFS(
  desp.m.ik[valor],
  desp.m.ik[nucleo], $B44,
  desp.m.ik[centro.negocio], $B$34,
  desp.m.ik[mes], "&gt;="&amp;H$1,
  desp.m.ik[mes], "&lt;"&amp;EOMONTH(H$1,0)+1
)</f>
        <v>0</v>
      </c>
      <c r="I44" s="183">
        <f ca="1">-SUMIFS(
  desp.m.ik[valor],
  desp.m.ik[nucleo], $B44,
  desp.m.ik[centro.negocio], $B$34,
  desp.m.ik[mes], "&gt;="&amp;I$1,
  desp.m.ik[mes], "&lt;"&amp;EOMONTH(I$1,0)+1
)</f>
        <v>0</v>
      </c>
      <c r="J44" s="183">
        <f ca="1">-SUMIFS(
  desp.m.ik[valor],
  desp.m.ik[nucleo], $B44,
  desp.m.ik[centro.negocio], $B$34,
  desp.m.ik[mes], "&gt;="&amp;J$1,
  desp.m.ik[mes], "&lt;"&amp;EOMONTH(J$1,0)+1
)</f>
        <v>0</v>
      </c>
      <c r="K44" s="183">
        <f ca="1">-SUMIFS(
  desp.m.ik[valor],
  desp.m.ik[nucleo], $B44,
  desp.m.ik[centro.negocio], $B$34,
  desp.m.ik[mes], "&gt;="&amp;K$1,
  desp.m.ik[mes], "&lt;"&amp;EOMONTH(K$1,0)+1
)</f>
        <v>0</v>
      </c>
      <c r="L44" s="183">
        <f ca="1">-SUMIFS(
  desp.m.ik[valor],
  desp.m.ik[nucleo], $B44,
  desp.m.ik[centro.negocio], $B$34,
  desp.m.ik[mes], "&gt;="&amp;L$1,
  desp.m.ik[mes], "&lt;"&amp;EOMONTH(L$1,0)+1
)</f>
        <v>0</v>
      </c>
      <c r="M44" s="183">
        <f ca="1">-SUMIFS(
  desp.m.ik[valor],
  desp.m.ik[nucleo], $B44,
  desp.m.ik[centro.negocio], $B$34,
  desp.m.ik[mes], "&gt;="&amp;M$1,
  desp.m.ik[mes], "&lt;"&amp;EOMONTH(M$1,0)+1
)</f>
        <v>0</v>
      </c>
      <c r="N44" s="183">
        <f ca="1">-SUMIFS(
  desp.m.ik[valor],
  desp.m.ik[nucleo], $B44,
  desp.m.ik[centro.negocio], $B$34,
  desp.m.ik[mes], "&gt;="&amp;N$1,
  desp.m.ik[mes], "&lt;"&amp;EOMONTH(N$1,0)+1
)</f>
        <v>0</v>
      </c>
      <c r="O44" s="183">
        <f ca="1">-SUMIFS(
  desp.m.ik[valor],
  desp.m.ik[nucleo], $B44,
  desp.m.ik[centro.negocio], $B$34,
  desp.m.ik[mes], "&gt;="&amp;O$1,
  desp.m.ik[mes], "&lt;"&amp;EOMONTH(O$1,0)+1
)</f>
        <v>0</v>
      </c>
      <c r="P44" s="183">
        <f ca="1">-SUMIFS(
  desp.m.ik[valor],
  desp.m.ik[nucleo], $B44,
  desp.m.ik[centro.negocio], $B$34,
  desp.m.ik[mes], "&gt;="&amp;P$1,
  desp.m.ik[mes], "&lt;"&amp;EOMONTH(P$1,0)+1
)</f>
        <v>0</v>
      </c>
      <c r="Q44" s="183">
        <f ca="1">-SUMIFS(
  desp.m.ik[valor],
  desp.m.ik[nucleo], $B44,
  desp.m.ik[centro.negocio], $B$34,
  desp.m.ik[mes], "&gt;="&amp;Q$1,
  desp.m.ik[mes], "&lt;"&amp;EOMONTH(Q$1,0)+1
)</f>
        <v>0</v>
      </c>
      <c r="R44" s="183">
        <f ca="1">-SUMIFS(
  desp.m.ik[valor],
  desp.m.ik[nucleo], $B44,
  desp.m.ik[centro.negocio], $B$34,
  desp.m.ik[mes], "&gt;="&amp;R$1,
  desp.m.ik[mes], "&lt;"&amp;EOMONTH(R$1,0)+1
)</f>
        <v>0</v>
      </c>
      <c r="S44" s="183">
        <f ca="1">-SUMIFS(
  desp.m.ik[valor],
  desp.m.ik[nucleo], $B44,
  desp.m.ik[centro.negocio], $B$34,
  desp.m.ik[mes], "&gt;="&amp;S$1,
  desp.m.ik[mes], "&lt;"&amp;EOMONTH(S$1,0)+1
)</f>
        <v>0</v>
      </c>
      <c r="T44" s="183">
        <f ca="1">-SUMIFS(
  desp.m.ik[valor],
  desp.m.ik[nucleo], $B44,
  desp.m.ik[centro.negocio], $B$34,
  desp.m.ik[mes], "&gt;="&amp;T$1,
  desp.m.ik[mes], "&lt;"&amp;EOMONTH(T$1,0)+1
)</f>
        <v>0</v>
      </c>
      <c r="U44" s="183">
        <f ca="1">-SUMIFS(
  desp.m.ik[valor],
  desp.m.ik[nucleo], $B44,
  desp.m.ik[centro.negocio], $B$34,
  desp.m.ik[mes], "&gt;="&amp;U$1,
  desp.m.ik[mes], "&lt;"&amp;EOMONTH(U$1,0)+1
)</f>
        <v>0</v>
      </c>
      <c r="V44" s="183">
        <f ca="1">-SUMIFS(
  desp.m.ik[valor],
  desp.m.ik[nucleo], $B44,
  desp.m.ik[centro.negocio], $B$34,
  desp.m.ik[mes], "&gt;="&amp;V$1,
  desp.m.ik[mes], "&lt;"&amp;EOMONTH(V$1,0)+1
)</f>
        <v>0</v>
      </c>
      <c r="W44" s="183">
        <f ca="1">-SUMIFS(
  desp.m.ik[valor],
  desp.m.ik[nucleo], $B44,
  desp.m.ik[centro.negocio], $B$34,
  desp.m.ik[mes], "&gt;="&amp;W$1,
  desp.m.ik[mes], "&lt;"&amp;EOMONTH(W$1,0)+1
)</f>
        <v>0</v>
      </c>
      <c r="X44" s="183">
        <f ca="1">-SUMIFS(
  desp.m.ik[valor],
  desp.m.ik[nucleo], $B44,
  desp.m.ik[centro.negocio], $B$34,
  desp.m.ik[mes], "&gt;="&amp;X$1,
  desp.m.ik[mes], "&lt;"&amp;EOMONTH(X$1,0)+1
)</f>
        <v>0</v>
      </c>
      <c r="Y44" s="183">
        <f ca="1">-SUMIFS(
  desp.m.ik[valor],
  desp.m.ik[nucleo], $B44,
  desp.m.ik[centro.negocio], $B$34,
  desp.m.ik[mes], "&gt;="&amp;Y$1,
  desp.m.ik[mes], "&lt;"&amp;EOMONTH(Y$1,0)+1
)</f>
        <v>0</v>
      </c>
      <c r="Z44" s="183">
        <f ca="1">-SUMIFS(
  desp.m.ik[valor],
  desp.m.ik[nucleo], $B44,
  desp.m.ik[centro.negocio], $B$34,
  desp.m.ik[mes], "&gt;="&amp;Z$1,
  desp.m.ik[mes], "&lt;"&amp;EOMONTH(Z$1,0)+1
)</f>
        <v>0</v>
      </c>
      <c r="AA44" s="183">
        <f ca="1">-SUMIFS(
  desp.m.ik[valor],
  desp.m.ik[nucleo], $B44,
  desp.m.ik[centro.negocio], $B$34,
  desp.m.ik[mes], "&gt;="&amp;AA$1,
  desp.m.ik[mes], "&lt;"&amp;EOMONTH(AA$1,0)+1
)</f>
        <v>0</v>
      </c>
      <c r="AC44" s="175">
        <f ca="1">SUM($D44:INDEX($D44:$AA44,1,MATCH(DATE(YEAR(inputs!$A$1),MONTH(inputs!$A$1),1),$D$1:$AA$1,0)))</f>
        <v>0</v>
      </c>
      <c r="AE44" s="175">
        <f ca="1">SUM(D44:AA44)</f>
        <v>0</v>
      </c>
    </row>
    <row r="45" spans="1:31" outlineLevel="2" x14ac:dyDescent="0.25">
      <c r="A45" s="182" t="s">
        <v>920</v>
      </c>
      <c r="B45" s="182" t="s">
        <v>890</v>
      </c>
      <c r="C45" s="135" t="s">
        <v>514</v>
      </c>
      <c r="D45" s="183">
        <f ca="1">-SUMIFS(
  desp.m.ik[valor],
  desp.m.ik[nucleo], $B45,
  desp.m.ik[centro.negocio], $B$34,
  desp.m.ik[mes], "&gt;="&amp;D$1,
  desp.m.ik[mes], "&lt;"&amp;EOMONTH(D$1,0)+1
)</f>
        <v>0</v>
      </c>
      <c r="E45" s="183">
        <f ca="1">-SUMIFS(
  desp.m.ik[valor],
  desp.m.ik[nucleo], $B45,
  desp.m.ik[centro.negocio], $B$34,
  desp.m.ik[mes], "&gt;="&amp;E$1,
  desp.m.ik[mes], "&lt;"&amp;EOMONTH(E$1,0)+1
)</f>
        <v>0</v>
      </c>
      <c r="F45" s="183">
        <f ca="1">-SUMIFS(
  desp.m.ik[valor],
  desp.m.ik[nucleo], $B45,
  desp.m.ik[centro.negocio], $B$34,
  desp.m.ik[mes], "&gt;="&amp;F$1,
  desp.m.ik[mes], "&lt;"&amp;EOMONTH(F$1,0)+1
)</f>
        <v>0</v>
      </c>
      <c r="G45" s="183">
        <f ca="1">-SUMIFS(
  desp.m.ik[valor],
  desp.m.ik[nucleo], $B45,
  desp.m.ik[centro.negocio], $B$34,
  desp.m.ik[mes], "&gt;="&amp;G$1,
  desp.m.ik[mes], "&lt;"&amp;EOMONTH(G$1,0)+1
)</f>
        <v>0</v>
      </c>
      <c r="H45" s="183">
        <f ca="1">-SUMIFS(
  desp.m.ik[valor],
  desp.m.ik[nucleo], $B45,
  desp.m.ik[centro.negocio], $B$34,
  desp.m.ik[mes], "&gt;="&amp;H$1,
  desp.m.ik[mes], "&lt;"&amp;EOMONTH(H$1,0)+1
)</f>
        <v>0</v>
      </c>
      <c r="I45" s="183">
        <f ca="1">-SUMIFS(
  desp.m.ik[valor],
  desp.m.ik[nucleo], $B45,
  desp.m.ik[centro.negocio], $B$34,
  desp.m.ik[mes], "&gt;="&amp;I$1,
  desp.m.ik[mes], "&lt;"&amp;EOMONTH(I$1,0)+1
)</f>
        <v>0</v>
      </c>
      <c r="J45" s="183">
        <f ca="1">-SUMIFS(
  desp.m.ik[valor],
  desp.m.ik[nucleo], $B45,
  desp.m.ik[centro.negocio], $B$34,
  desp.m.ik[mes], "&gt;="&amp;J$1,
  desp.m.ik[mes], "&lt;"&amp;EOMONTH(J$1,0)+1
)</f>
        <v>0</v>
      </c>
      <c r="K45" s="183">
        <f ca="1">-SUMIFS(
  desp.m.ik[valor],
  desp.m.ik[nucleo], $B45,
  desp.m.ik[centro.negocio], $B$34,
  desp.m.ik[mes], "&gt;="&amp;K$1,
  desp.m.ik[mes], "&lt;"&amp;EOMONTH(K$1,0)+1
)</f>
        <v>0</v>
      </c>
      <c r="L45" s="183">
        <f ca="1">-SUMIFS(
  desp.m.ik[valor],
  desp.m.ik[nucleo], $B45,
  desp.m.ik[centro.negocio], $B$34,
  desp.m.ik[mes], "&gt;="&amp;L$1,
  desp.m.ik[mes], "&lt;"&amp;EOMONTH(L$1,0)+1
)</f>
        <v>0</v>
      </c>
      <c r="M45" s="183">
        <f ca="1">-SUMIFS(
  desp.m.ik[valor],
  desp.m.ik[nucleo], $B45,
  desp.m.ik[centro.negocio], $B$34,
  desp.m.ik[mes], "&gt;="&amp;M$1,
  desp.m.ik[mes], "&lt;"&amp;EOMONTH(M$1,0)+1
)</f>
        <v>0</v>
      </c>
      <c r="N45" s="183">
        <f ca="1">-SUMIFS(
  desp.m.ik[valor],
  desp.m.ik[nucleo], $B45,
  desp.m.ik[centro.negocio], $B$34,
  desp.m.ik[mes], "&gt;="&amp;N$1,
  desp.m.ik[mes], "&lt;"&amp;EOMONTH(N$1,0)+1
)</f>
        <v>0</v>
      </c>
      <c r="O45" s="183">
        <f ca="1">-SUMIFS(
  desp.m.ik[valor],
  desp.m.ik[nucleo], $B45,
  desp.m.ik[centro.negocio], $B$34,
  desp.m.ik[mes], "&gt;="&amp;O$1,
  desp.m.ik[mes], "&lt;"&amp;EOMONTH(O$1,0)+1
)</f>
        <v>0</v>
      </c>
      <c r="P45" s="183">
        <f ca="1">-SUMIFS(
  desp.m.ik[valor],
  desp.m.ik[nucleo], $B45,
  desp.m.ik[centro.negocio], $B$34,
  desp.m.ik[mes], "&gt;="&amp;P$1,
  desp.m.ik[mes], "&lt;"&amp;EOMONTH(P$1,0)+1
)</f>
        <v>0</v>
      </c>
      <c r="Q45" s="183">
        <f ca="1">-SUMIFS(
  desp.m.ik[valor],
  desp.m.ik[nucleo], $B45,
  desp.m.ik[centro.negocio], $B$34,
  desp.m.ik[mes], "&gt;="&amp;Q$1,
  desp.m.ik[mes], "&lt;"&amp;EOMONTH(Q$1,0)+1
)</f>
        <v>0</v>
      </c>
      <c r="R45" s="183">
        <f ca="1">-SUMIFS(
  desp.m.ik[valor],
  desp.m.ik[nucleo], $B45,
  desp.m.ik[centro.negocio], $B$34,
  desp.m.ik[mes], "&gt;="&amp;R$1,
  desp.m.ik[mes], "&lt;"&amp;EOMONTH(R$1,0)+1
)</f>
        <v>0</v>
      </c>
      <c r="S45" s="183">
        <f ca="1">-SUMIFS(
  desp.m.ik[valor],
  desp.m.ik[nucleo], $B45,
  desp.m.ik[centro.negocio], $B$34,
  desp.m.ik[mes], "&gt;="&amp;S$1,
  desp.m.ik[mes], "&lt;"&amp;EOMONTH(S$1,0)+1
)</f>
        <v>0</v>
      </c>
      <c r="T45" s="183">
        <f ca="1">-SUMIFS(
  desp.m.ik[valor],
  desp.m.ik[nucleo], $B45,
  desp.m.ik[centro.negocio], $B$34,
  desp.m.ik[mes], "&gt;="&amp;T$1,
  desp.m.ik[mes], "&lt;"&amp;EOMONTH(T$1,0)+1
)</f>
        <v>0</v>
      </c>
      <c r="U45" s="183">
        <f ca="1">-SUMIFS(
  desp.m.ik[valor],
  desp.m.ik[nucleo], $B45,
  desp.m.ik[centro.negocio], $B$34,
  desp.m.ik[mes], "&gt;="&amp;U$1,
  desp.m.ik[mes], "&lt;"&amp;EOMONTH(U$1,0)+1
)</f>
        <v>0</v>
      </c>
      <c r="V45" s="183">
        <f ca="1">-SUMIFS(
  desp.m.ik[valor],
  desp.m.ik[nucleo], $B45,
  desp.m.ik[centro.negocio], $B$34,
  desp.m.ik[mes], "&gt;="&amp;V$1,
  desp.m.ik[mes], "&lt;"&amp;EOMONTH(V$1,0)+1
)</f>
        <v>0</v>
      </c>
      <c r="W45" s="183">
        <f ca="1">-SUMIFS(
  desp.m.ik[valor],
  desp.m.ik[nucleo], $B45,
  desp.m.ik[centro.negocio], $B$34,
  desp.m.ik[mes], "&gt;="&amp;W$1,
  desp.m.ik[mes], "&lt;"&amp;EOMONTH(W$1,0)+1
)</f>
        <v>0</v>
      </c>
      <c r="X45" s="183">
        <f ca="1">-SUMIFS(
  desp.m.ik[valor],
  desp.m.ik[nucleo], $B45,
  desp.m.ik[centro.negocio], $B$34,
  desp.m.ik[mes], "&gt;="&amp;X$1,
  desp.m.ik[mes], "&lt;"&amp;EOMONTH(X$1,0)+1
)</f>
        <v>0</v>
      </c>
      <c r="Y45" s="183">
        <f ca="1">-SUMIFS(
  desp.m.ik[valor],
  desp.m.ik[nucleo], $B45,
  desp.m.ik[centro.negocio], $B$34,
  desp.m.ik[mes], "&gt;="&amp;Y$1,
  desp.m.ik[mes], "&lt;"&amp;EOMONTH(Y$1,0)+1
)</f>
        <v>0</v>
      </c>
      <c r="Z45" s="183">
        <f ca="1">-SUMIFS(
  desp.m.ik[valor],
  desp.m.ik[nucleo], $B45,
  desp.m.ik[centro.negocio], $B$34,
  desp.m.ik[mes], "&gt;="&amp;Z$1,
  desp.m.ik[mes], "&lt;"&amp;EOMONTH(Z$1,0)+1
)</f>
        <v>0</v>
      </c>
      <c r="AA45" s="183">
        <f ca="1">-SUMIFS(
  desp.m.ik[valor],
  desp.m.ik[nucleo], $B45,
  desp.m.ik[centro.negocio], $B$34,
  desp.m.ik[mes], "&gt;="&amp;AA$1,
  desp.m.ik[mes], "&lt;"&amp;EOMONTH(AA$1,0)+1
)</f>
        <v>0</v>
      </c>
      <c r="AC45" s="175">
        <f ca="1">SUM($D45:INDEX($D45:$AA45,1,MATCH(DATE(YEAR(inputs!$A$1),MONTH(inputs!$A$1),1),$D$1:$AA$1,0)))</f>
        <v>0</v>
      </c>
      <c r="AE45" s="175">
        <f ca="1">SUM(D45:AA45)</f>
        <v>0</v>
      </c>
    </row>
    <row r="46" spans="1:31" outlineLevel="2" x14ac:dyDescent="0.25">
      <c r="A46" s="193" t="s">
        <v>959</v>
      </c>
      <c r="B46" s="193" t="s">
        <v>367</v>
      </c>
      <c r="C46" s="135" t="s">
        <v>514</v>
      </c>
      <c r="D46" s="183">
        <f ca="1">-SUMIFS(
  desp.m.ik[valor],
  desp.m.ik[centro.negocio], $B46,
  desp.m.ik[mes], "&gt;="&amp;D$1,
  desp.m.ik[mes], "&lt;"&amp;EOMONTH(D$1,0)+1
)</f>
        <v>0</v>
      </c>
      <c r="E46" s="183">
        <f ca="1">-SUMIFS(
  desp.m.ik[valor],
  desp.m.ik[centro.negocio], $B46,
  desp.m.ik[mes], "&gt;="&amp;E$1,
  desp.m.ik[mes], "&lt;"&amp;EOMONTH(E$1,0)+1
)</f>
        <v>0</v>
      </c>
      <c r="F46" s="183">
        <f ca="1">-SUMIFS(
  desp.m.ik[valor],
  desp.m.ik[centro.negocio], $B46,
  desp.m.ik[mes], "&gt;="&amp;F$1,
  desp.m.ik[mes], "&lt;"&amp;EOMONTH(F$1,0)+1
)</f>
        <v>0</v>
      </c>
      <c r="G46" s="183">
        <f ca="1">-SUMIFS(
  desp.m.ik[valor],
  desp.m.ik[centro.negocio], $B46,
  desp.m.ik[mes], "&gt;="&amp;G$1,
  desp.m.ik[mes], "&lt;"&amp;EOMONTH(G$1,0)+1
)</f>
        <v>0</v>
      </c>
      <c r="H46" s="183">
        <f ca="1">-SUMIFS(
  desp.m.ik[valor],
  desp.m.ik[centro.negocio], $B46,
  desp.m.ik[mes], "&gt;="&amp;H$1,
  desp.m.ik[mes], "&lt;"&amp;EOMONTH(H$1,0)+1
)</f>
        <v>0</v>
      </c>
      <c r="I46" s="183">
        <f ca="1">-SUMIFS(
  desp.m.ik[valor],
  desp.m.ik[centro.negocio], $B46,
  desp.m.ik[mes], "&gt;="&amp;I$1,
  desp.m.ik[mes], "&lt;"&amp;EOMONTH(I$1,0)+1
)</f>
        <v>0</v>
      </c>
      <c r="J46" s="183">
        <f ca="1">-SUMIFS(
  desp.m.ik[valor],
  desp.m.ik[centro.negocio], $B46,
  desp.m.ik[mes], "&gt;="&amp;J$1,
  desp.m.ik[mes], "&lt;"&amp;EOMONTH(J$1,0)+1
)</f>
        <v>0</v>
      </c>
      <c r="K46" s="183">
        <f ca="1">-SUMIFS(
  desp.m.ik[valor],
  desp.m.ik[centro.negocio], $B46,
  desp.m.ik[mes], "&gt;="&amp;K$1,
  desp.m.ik[mes], "&lt;"&amp;EOMONTH(K$1,0)+1
)</f>
        <v>0</v>
      </c>
      <c r="L46" s="183">
        <f ca="1">-SUMIFS(
  desp.m.ik[valor],
  desp.m.ik[centro.negocio], $B46,
  desp.m.ik[mes], "&gt;="&amp;L$1,
  desp.m.ik[mes], "&lt;"&amp;EOMONTH(L$1,0)+1
)</f>
        <v>0</v>
      </c>
      <c r="M46" s="183">
        <f ca="1">-SUMIFS(
  desp.m.ik[valor],
  desp.m.ik[centro.negocio], $B46,
  desp.m.ik[mes], "&gt;="&amp;M$1,
  desp.m.ik[mes], "&lt;"&amp;EOMONTH(M$1,0)+1
)</f>
        <v>0</v>
      </c>
      <c r="N46" s="183">
        <f ca="1">-SUMIFS(
  desp.m.ik[valor],
  desp.m.ik[centro.negocio], $B46,
  desp.m.ik[mes], "&gt;="&amp;N$1,
  desp.m.ik[mes], "&lt;"&amp;EOMONTH(N$1,0)+1
)</f>
        <v>0</v>
      </c>
      <c r="O46" s="183">
        <f ca="1">-SUMIFS(
  desp.m.ik[valor],
  desp.m.ik[centro.negocio], $B46,
  desp.m.ik[mes], "&gt;="&amp;O$1,
  desp.m.ik[mes], "&lt;"&amp;EOMONTH(O$1,0)+1
)</f>
        <v>0</v>
      </c>
      <c r="P46" s="183">
        <f ca="1">-SUMIFS(
  desp.m.ik[valor],
  desp.m.ik[centro.negocio], $B46,
  desp.m.ik[mes], "&gt;="&amp;P$1,
  desp.m.ik[mes], "&lt;"&amp;EOMONTH(P$1,0)+1
)</f>
        <v>0</v>
      </c>
      <c r="Q46" s="183">
        <f ca="1">-SUMIFS(
  desp.m.ik[valor],
  desp.m.ik[centro.negocio], $B46,
  desp.m.ik[mes], "&gt;="&amp;Q$1,
  desp.m.ik[mes], "&lt;"&amp;EOMONTH(Q$1,0)+1
)</f>
        <v>0</v>
      </c>
      <c r="R46" s="183">
        <f ca="1">-SUMIFS(
  desp.m.ik[valor],
  desp.m.ik[centro.negocio], $B46,
  desp.m.ik[mes], "&gt;="&amp;R$1,
  desp.m.ik[mes], "&lt;"&amp;EOMONTH(R$1,0)+1
)</f>
        <v>0</v>
      </c>
      <c r="S46" s="183">
        <f ca="1">-SUMIFS(
  desp.m.ik[valor],
  desp.m.ik[centro.negocio], $B46,
  desp.m.ik[mes], "&gt;="&amp;S$1,
  desp.m.ik[mes], "&lt;"&amp;EOMONTH(S$1,0)+1
)</f>
        <v>0</v>
      </c>
      <c r="T46" s="183">
        <f ca="1">-SUMIFS(
  desp.m.ik[valor],
  desp.m.ik[centro.negocio], $B46,
  desp.m.ik[mes], "&gt;="&amp;T$1,
  desp.m.ik[mes], "&lt;"&amp;EOMONTH(T$1,0)+1
)</f>
        <v>0</v>
      </c>
      <c r="U46" s="183">
        <f ca="1">-SUMIFS(
  desp.m.ik[valor],
  desp.m.ik[centro.negocio], $B46,
  desp.m.ik[mes], "&gt;="&amp;U$1,
  desp.m.ik[mes], "&lt;"&amp;EOMONTH(U$1,0)+1
)</f>
        <v>0</v>
      </c>
      <c r="V46" s="183">
        <f ca="1">-SUMIFS(
  desp.m.ik[valor],
  desp.m.ik[centro.negocio], $B46,
  desp.m.ik[mes], "&gt;="&amp;V$1,
  desp.m.ik[mes], "&lt;"&amp;EOMONTH(V$1,0)+1
)</f>
        <v>0</v>
      </c>
      <c r="W46" s="183">
        <f ca="1">-SUMIFS(
  desp.m.ik[valor],
  desp.m.ik[centro.negocio], $B46,
  desp.m.ik[mes], "&gt;="&amp;W$1,
  desp.m.ik[mes], "&lt;"&amp;EOMONTH(W$1,0)+1
)</f>
        <v>0</v>
      </c>
      <c r="X46" s="183">
        <f ca="1">-SUMIFS(
  desp.m.ik[valor],
  desp.m.ik[centro.negocio], $B46,
  desp.m.ik[mes], "&gt;="&amp;X$1,
  desp.m.ik[mes], "&lt;"&amp;EOMONTH(X$1,0)+1
)</f>
        <v>0</v>
      </c>
      <c r="Y46" s="183">
        <f ca="1">-SUMIFS(
  desp.m.ik[valor],
  desp.m.ik[centro.negocio], $B46,
  desp.m.ik[mes], "&gt;="&amp;Y$1,
  desp.m.ik[mes], "&lt;"&amp;EOMONTH(Y$1,0)+1
)</f>
        <v>0</v>
      </c>
      <c r="Z46" s="183">
        <f ca="1">-SUMIFS(
  desp.m.ik[valor],
  desp.m.ik[centro.negocio], $B46,
  desp.m.ik[mes], "&gt;="&amp;Z$1,
  desp.m.ik[mes], "&lt;"&amp;EOMONTH(Z$1,0)+1
)</f>
        <v>0</v>
      </c>
      <c r="AA46" s="183">
        <f ca="1">-SUMIFS(
  desp.m.ik[valor],
  desp.m.ik[centro.negocio], $B46,
  desp.m.ik[mes], "&gt;="&amp;AA$1,
  desp.m.ik[mes], "&lt;"&amp;EOMONTH(AA$1,0)+1
)</f>
        <v>0</v>
      </c>
      <c r="AC46" s="175">
        <f ca="1">SUM($D46:INDEX($D46:$AA46,1,MATCH(DATE(YEAR(inputs!$A$1),MONTH(inputs!$A$1),1),$D$1:$AA$1,0)))</f>
        <v>0</v>
      </c>
      <c r="AE46" s="175">
        <f t="shared" ref="AE46" ca="1" si="10">SUM(D46:AA46)</f>
        <v>0</v>
      </c>
    </row>
    <row r="47" spans="1:31" outlineLevel="2" x14ac:dyDescent="0.25">
      <c r="A47" s="193" t="s">
        <v>959</v>
      </c>
      <c r="B47" s="193" t="s">
        <v>369</v>
      </c>
      <c r="C47" s="135" t="s">
        <v>514</v>
      </c>
      <c r="D47" s="183">
        <f ca="1">-SUMIFS(
  desp.m.ik[valor],
  desp.m.ik[centro.negocio], $B47,
  desp.m.ik[mes], "&gt;="&amp;D$1,
  desp.m.ik[mes], "&lt;"&amp;EOMONTH(D$1,0)+1
)</f>
        <v>0</v>
      </c>
      <c r="E47" s="183">
        <f ca="1">-SUMIFS(
  desp.m.ik[valor],
  desp.m.ik[centro.negocio], $B47,
  desp.m.ik[mes], "&gt;="&amp;E$1,
  desp.m.ik[mes], "&lt;"&amp;EOMONTH(E$1,0)+1
)</f>
        <v>0</v>
      </c>
      <c r="F47" s="183">
        <f ca="1">-SUMIFS(
  desp.m.ik[valor],
  desp.m.ik[centro.negocio], $B47,
  desp.m.ik[mes], "&gt;="&amp;F$1,
  desp.m.ik[mes], "&lt;"&amp;EOMONTH(F$1,0)+1
)</f>
        <v>0</v>
      </c>
      <c r="G47" s="183">
        <f ca="1">-SUMIFS(
  desp.m.ik[valor],
  desp.m.ik[centro.negocio], $B47,
  desp.m.ik[mes], "&gt;="&amp;G$1,
  desp.m.ik[mes], "&lt;"&amp;EOMONTH(G$1,0)+1
)</f>
        <v>0</v>
      </c>
      <c r="H47" s="183">
        <f ca="1">-SUMIFS(
  desp.m.ik[valor],
  desp.m.ik[centro.negocio], $B47,
  desp.m.ik[mes], "&gt;="&amp;H$1,
  desp.m.ik[mes], "&lt;"&amp;EOMONTH(H$1,0)+1
)</f>
        <v>0</v>
      </c>
      <c r="I47" s="183">
        <f ca="1">-SUMIFS(
  desp.m.ik[valor],
  desp.m.ik[centro.negocio], $B47,
  desp.m.ik[mes], "&gt;="&amp;I$1,
  desp.m.ik[mes], "&lt;"&amp;EOMONTH(I$1,0)+1
)</f>
        <v>0</v>
      </c>
      <c r="J47" s="183">
        <f ca="1">-SUMIFS(
  desp.m.ik[valor],
  desp.m.ik[centro.negocio], $B47,
  desp.m.ik[mes], "&gt;="&amp;J$1,
  desp.m.ik[mes], "&lt;"&amp;EOMONTH(J$1,0)+1
)</f>
        <v>0</v>
      </c>
      <c r="K47" s="183">
        <f ca="1">-SUMIFS(
  desp.m.ik[valor],
  desp.m.ik[centro.negocio], $B47,
  desp.m.ik[mes], "&gt;="&amp;K$1,
  desp.m.ik[mes], "&lt;"&amp;EOMONTH(K$1,0)+1
)</f>
        <v>0</v>
      </c>
      <c r="L47" s="183">
        <f ca="1">-SUMIFS(
  desp.m.ik[valor],
  desp.m.ik[centro.negocio], $B47,
  desp.m.ik[mes], "&gt;="&amp;L$1,
  desp.m.ik[mes], "&lt;"&amp;EOMONTH(L$1,0)+1
)</f>
        <v>0</v>
      </c>
      <c r="M47" s="183">
        <f ca="1">-SUMIFS(
  desp.m.ik[valor],
  desp.m.ik[centro.negocio], $B47,
  desp.m.ik[mes], "&gt;="&amp;M$1,
  desp.m.ik[mes], "&lt;"&amp;EOMONTH(M$1,0)+1
)</f>
        <v>0</v>
      </c>
      <c r="N47" s="183">
        <f ca="1">-SUMIFS(
  desp.m.ik[valor],
  desp.m.ik[centro.negocio], $B47,
  desp.m.ik[mes], "&gt;="&amp;N$1,
  desp.m.ik[mes], "&lt;"&amp;EOMONTH(N$1,0)+1
)</f>
        <v>0</v>
      </c>
      <c r="O47" s="183">
        <f ca="1">-SUMIFS(
  desp.m.ik[valor],
  desp.m.ik[centro.negocio], $B47,
  desp.m.ik[mes], "&gt;="&amp;O$1,
  desp.m.ik[mes], "&lt;"&amp;EOMONTH(O$1,0)+1
)</f>
        <v>0</v>
      </c>
      <c r="P47" s="183">
        <f ca="1">-SUMIFS(
  desp.m.ik[valor],
  desp.m.ik[centro.negocio], $B47,
  desp.m.ik[mes], "&gt;="&amp;P$1,
  desp.m.ik[mes], "&lt;"&amp;EOMONTH(P$1,0)+1
)</f>
        <v>0</v>
      </c>
      <c r="Q47" s="183">
        <f ca="1">-SUMIFS(
  desp.m.ik[valor],
  desp.m.ik[centro.negocio], $B47,
  desp.m.ik[mes], "&gt;="&amp;Q$1,
  desp.m.ik[mes], "&lt;"&amp;EOMONTH(Q$1,0)+1
)</f>
        <v>0</v>
      </c>
      <c r="R47" s="183">
        <f ca="1">-SUMIFS(
  desp.m.ik[valor],
  desp.m.ik[centro.negocio], $B47,
  desp.m.ik[mes], "&gt;="&amp;R$1,
  desp.m.ik[mes], "&lt;"&amp;EOMONTH(R$1,0)+1
)</f>
        <v>0</v>
      </c>
      <c r="S47" s="183">
        <f ca="1">-SUMIFS(
  desp.m.ik[valor],
  desp.m.ik[centro.negocio], $B47,
  desp.m.ik[mes], "&gt;="&amp;S$1,
  desp.m.ik[mes], "&lt;"&amp;EOMONTH(S$1,0)+1
)</f>
        <v>0</v>
      </c>
      <c r="T47" s="183">
        <f ca="1">-SUMIFS(
  desp.m.ik[valor],
  desp.m.ik[centro.negocio], $B47,
  desp.m.ik[mes], "&gt;="&amp;T$1,
  desp.m.ik[mes], "&lt;"&amp;EOMONTH(T$1,0)+1
)</f>
        <v>0</v>
      </c>
      <c r="U47" s="183">
        <f ca="1">-SUMIFS(
  desp.m.ik[valor],
  desp.m.ik[centro.negocio], $B47,
  desp.m.ik[mes], "&gt;="&amp;U$1,
  desp.m.ik[mes], "&lt;"&amp;EOMONTH(U$1,0)+1
)</f>
        <v>0</v>
      </c>
      <c r="V47" s="183">
        <f ca="1">-SUMIFS(
  desp.m.ik[valor],
  desp.m.ik[centro.negocio], $B47,
  desp.m.ik[mes], "&gt;="&amp;V$1,
  desp.m.ik[mes], "&lt;"&amp;EOMONTH(V$1,0)+1
)</f>
        <v>0</v>
      </c>
      <c r="W47" s="183">
        <f ca="1">-SUMIFS(
  desp.m.ik[valor],
  desp.m.ik[centro.negocio], $B47,
  desp.m.ik[mes], "&gt;="&amp;W$1,
  desp.m.ik[mes], "&lt;"&amp;EOMONTH(W$1,0)+1
)</f>
        <v>0</v>
      </c>
      <c r="X47" s="183">
        <f ca="1">-SUMIFS(
  desp.m.ik[valor],
  desp.m.ik[centro.negocio], $B47,
  desp.m.ik[mes], "&gt;="&amp;X$1,
  desp.m.ik[mes], "&lt;"&amp;EOMONTH(X$1,0)+1
)</f>
        <v>0</v>
      </c>
      <c r="Y47" s="183">
        <f ca="1">-SUMIFS(
  desp.m.ik[valor],
  desp.m.ik[centro.negocio], $B47,
  desp.m.ik[mes], "&gt;="&amp;Y$1,
  desp.m.ik[mes], "&lt;"&amp;EOMONTH(Y$1,0)+1
)</f>
        <v>0</v>
      </c>
      <c r="Z47" s="183">
        <f ca="1">-SUMIFS(
  desp.m.ik[valor],
  desp.m.ik[centro.negocio], $B47,
  desp.m.ik[mes], "&gt;="&amp;Z$1,
  desp.m.ik[mes], "&lt;"&amp;EOMONTH(Z$1,0)+1
)</f>
        <v>0</v>
      </c>
      <c r="AA47" s="183">
        <f ca="1">-SUMIFS(
  desp.m.ik[valor],
  desp.m.ik[centro.negocio], $B47,
  desp.m.ik[mes], "&gt;="&amp;AA$1,
  desp.m.ik[mes], "&lt;"&amp;EOMONTH(AA$1,0)+1
)</f>
        <v>0</v>
      </c>
      <c r="AC47" s="175">
        <f ca="1">SUM($D47:INDEX($D47:$AA47,1,MATCH(DATE(YEAR(inputs!$A$1),MONTH(inputs!$A$1),1),$D$1:$AA$1,0)))</f>
        <v>0</v>
      </c>
      <c r="AE47" s="175">
        <f t="shared" ref="AE47" ca="1" si="11">SUM(D47:AA47)</f>
        <v>0</v>
      </c>
    </row>
    <row r="48" spans="1:31" outlineLevel="2" x14ac:dyDescent="0.25">
      <c r="A48" s="193" t="s">
        <v>959</v>
      </c>
      <c r="B48" s="193" t="s">
        <v>370</v>
      </c>
      <c r="C48" s="135" t="s">
        <v>514</v>
      </c>
      <c r="D48" s="183">
        <f ca="1">-SUMIFS(
  desp.m.ik[valor],
  desp.m.ik[centro.negocio], $B48,
  desp.m.ik[mes], "&gt;="&amp;D$1,
  desp.m.ik[mes], "&lt;"&amp;EOMONTH(D$1,0)+1
)</f>
        <v>0</v>
      </c>
      <c r="E48" s="183">
        <f ca="1">-SUMIFS(
  desp.m.ik[valor],
  desp.m.ik[centro.negocio], $B48,
  desp.m.ik[mes], "&gt;="&amp;E$1,
  desp.m.ik[mes], "&lt;"&amp;EOMONTH(E$1,0)+1
)</f>
        <v>0</v>
      </c>
      <c r="F48" s="183">
        <f ca="1">-SUMIFS(
  desp.m.ik[valor],
  desp.m.ik[centro.negocio], $B48,
  desp.m.ik[mes], "&gt;="&amp;F$1,
  desp.m.ik[mes], "&lt;"&amp;EOMONTH(F$1,0)+1
)</f>
        <v>0</v>
      </c>
      <c r="G48" s="183">
        <f ca="1">-SUMIFS(
  desp.m.ik[valor],
  desp.m.ik[centro.negocio], $B48,
  desp.m.ik[mes], "&gt;="&amp;G$1,
  desp.m.ik[mes], "&lt;"&amp;EOMONTH(G$1,0)+1
)</f>
        <v>0</v>
      </c>
      <c r="H48" s="183">
        <f ca="1">-SUMIFS(
  desp.m.ik[valor],
  desp.m.ik[centro.negocio], $B48,
  desp.m.ik[mes], "&gt;="&amp;H$1,
  desp.m.ik[mes], "&lt;"&amp;EOMONTH(H$1,0)+1
)</f>
        <v>0</v>
      </c>
      <c r="I48" s="183">
        <f ca="1">-SUMIFS(
  desp.m.ik[valor],
  desp.m.ik[centro.negocio], $B48,
  desp.m.ik[mes], "&gt;="&amp;I$1,
  desp.m.ik[mes], "&lt;"&amp;EOMONTH(I$1,0)+1
)</f>
        <v>0</v>
      </c>
      <c r="J48" s="183">
        <f ca="1">-SUMIFS(
  desp.m.ik[valor],
  desp.m.ik[centro.negocio], $B48,
  desp.m.ik[mes], "&gt;="&amp;J$1,
  desp.m.ik[mes], "&lt;"&amp;EOMONTH(J$1,0)+1
)</f>
        <v>0</v>
      </c>
      <c r="K48" s="183">
        <f ca="1">-SUMIFS(
  desp.m.ik[valor],
  desp.m.ik[centro.negocio], $B48,
  desp.m.ik[mes], "&gt;="&amp;K$1,
  desp.m.ik[mes], "&lt;"&amp;EOMONTH(K$1,0)+1
)</f>
        <v>0</v>
      </c>
      <c r="L48" s="183">
        <f ca="1">-SUMIFS(
  desp.m.ik[valor],
  desp.m.ik[centro.negocio], $B48,
  desp.m.ik[mes], "&gt;="&amp;L$1,
  desp.m.ik[mes], "&lt;"&amp;EOMONTH(L$1,0)+1
)</f>
        <v>0</v>
      </c>
      <c r="M48" s="183">
        <f ca="1">-SUMIFS(
  desp.m.ik[valor],
  desp.m.ik[centro.negocio], $B48,
  desp.m.ik[mes], "&gt;="&amp;M$1,
  desp.m.ik[mes], "&lt;"&amp;EOMONTH(M$1,0)+1
)</f>
        <v>0</v>
      </c>
      <c r="N48" s="183">
        <f ca="1">-SUMIFS(
  desp.m.ik[valor],
  desp.m.ik[centro.negocio], $B48,
  desp.m.ik[mes], "&gt;="&amp;N$1,
  desp.m.ik[mes], "&lt;"&amp;EOMONTH(N$1,0)+1
)</f>
        <v>0</v>
      </c>
      <c r="O48" s="183">
        <f ca="1">-SUMIFS(
  desp.m.ik[valor],
  desp.m.ik[centro.negocio], $B48,
  desp.m.ik[mes], "&gt;="&amp;O$1,
  desp.m.ik[mes], "&lt;"&amp;EOMONTH(O$1,0)+1
)</f>
        <v>0</v>
      </c>
      <c r="P48" s="183">
        <f ca="1">-SUMIFS(
  desp.m.ik[valor],
  desp.m.ik[centro.negocio], $B48,
  desp.m.ik[mes], "&gt;="&amp;P$1,
  desp.m.ik[mes], "&lt;"&amp;EOMONTH(P$1,0)+1
)</f>
        <v>0</v>
      </c>
      <c r="Q48" s="183">
        <f ca="1">-SUMIFS(
  desp.m.ik[valor],
  desp.m.ik[centro.negocio], $B48,
  desp.m.ik[mes], "&gt;="&amp;Q$1,
  desp.m.ik[mes], "&lt;"&amp;EOMONTH(Q$1,0)+1
)</f>
        <v>0</v>
      </c>
      <c r="R48" s="183">
        <f ca="1">-SUMIFS(
  desp.m.ik[valor],
  desp.m.ik[centro.negocio], $B48,
  desp.m.ik[mes], "&gt;="&amp;R$1,
  desp.m.ik[mes], "&lt;"&amp;EOMONTH(R$1,0)+1
)</f>
        <v>0</v>
      </c>
      <c r="S48" s="183">
        <f ca="1">-SUMIFS(
  desp.m.ik[valor],
  desp.m.ik[centro.negocio], $B48,
  desp.m.ik[mes], "&gt;="&amp;S$1,
  desp.m.ik[mes], "&lt;"&amp;EOMONTH(S$1,0)+1
)</f>
        <v>0</v>
      </c>
      <c r="T48" s="183">
        <f ca="1">-SUMIFS(
  desp.m.ik[valor],
  desp.m.ik[centro.negocio], $B48,
  desp.m.ik[mes], "&gt;="&amp;T$1,
  desp.m.ik[mes], "&lt;"&amp;EOMONTH(T$1,0)+1
)</f>
        <v>0</v>
      </c>
      <c r="U48" s="183">
        <f ca="1">-SUMIFS(
  desp.m.ik[valor],
  desp.m.ik[centro.negocio], $B48,
  desp.m.ik[mes], "&gt;="&amp;U$1,
  desp.m.ik[mes], "&lt;"&amp;EOMONTH(U$1,0)+1
)</f>
        <v>0</v>
      </c>
      <c r="V48" s="183">
        <f ca="1">-SUMIFS(
  desp.m.ik[valor],
  desp.m.ik[centro.negocio], $B48,
  desp.m.ik[mes], "&gt;="&amp;V$1,
  desp.m.ik[mes], "&lt;"&amp;EOMONTH(V$1,0)+1
)</f>
        <v>0</v>
      </c>
      <c r="W48" s="183">
        <f ca="1">-SUMIFS(
  desp.m.ik[valor],
  desp.m.ik[centro.negocio], $B48,
  desp.m.ik[mes], "&gt;="&amp;W$1,
  desp.m.ik[mes], "&lt;"&amp;EOMONTH(W$1,0)+1
)</f>
        <v>0</v>
      </c>
      <c r="X48" s="183">
        <f ca="1">-SUMIFS(
  desp.m.ik[valor],
  desp.m.ik[centro.negocio], $B48,
  desp.m.ik[mes], "&gt;="&amp;X$1,
  desp.m.ik[mes], "&lt;"&amp;EOMONTH(X$1,0)+1
)</f>
        <v>0</v>
      </c>
      <c r="Y48" s="183">
        <f ca="1">-SUMIFS(
  desp.m.ik[valor],
  desp.m.ik[centro.negocio], $B48,
  desp.m.ik[mes], "&gt;="&amp;Y$1,
  desp.m.ik[mes], "&lt;"&amp;EOMONTH(Y$1,0)+1
)</f>
        <v>0</v>
      </c>
      <c r="Z48" s="183">
        <f ca="1">-SUMIFS(
  desp.m.ik[valor],
  desp.m.ik[centro.negocio], $B48,
  desp.m.ik[mes], "&gt;="&amp;Z$1,
  desp.m.ik[mes], "&lt;"&amp;EOMONTH(Z$1,0)+1
)</f>
        <v>0</v>
      </c>
      <c r="AA48" s="183">
        <f ca="1">-SUMIFS(
  desp.m.ik[valor],
  desp.m.ik[centro.negocio], $B48,
  desp.m.ik[mes], "&gt;="&amp;AA$1,
  desp.m.ik[mes], "&lt;"&amp;EOMONTH(AA$1,0)+1
)</f>
        <v>0</v>
      </c>
      <c r="AC48" s="175">
        <f ca="1">SUM($D48:INDEX($D48:$AA48,1,MATCH(DATE(YEAR(inputs!$A$1),MONTH(inputs!$A$1),1),$D$1:$AA$1,0)))</f>
        <v>0</v>
      </c>
      <c r="AE48" s="175">
        <f ca="1">SUM(D48:AA48)</f>
        <v>0</v>
      </c>
    </row>
    <row r="49" spans="1:31" outlineLevel="2" x14ac:dyDescent="0.25">
      <c r="A49" s="193" t="s">
        <v>959</v>
      </c>
      <c r="B49" s="193" t="s">
        <v>368</v>
      </c>
      <c r="C49" s="135" t="s">
        <v>514</v>
      </c>
      <c r="D49" s="183">
        <f ca="1">-SUMIFS(
  desp.m.ik[valor],
  desp.m.ik[centro.negocio], $B49,
  desp.m.ik[mes], "&gt;="&amp;D$1,
  desp.m.ik[mes], "&lt;"&amp;EOMONTH(D$1,0)+1
)</f>
        <v>0</v>
      </c>
      <c r="E49" s="183">
        <f ca="1">-SUMIFS(
  desp.m.ik[valor],
  desp.m.ik[centro.negocio], $B49,
  desp.m.ik[mes], "&gt;="&amp;E$1,
  desp.m.ik[mes], "&lt;"&amp;EOMONTH(E$1,0)+1
)</f>
        <v>0</v>
      </c>
      <c r="F49" s="183">
        <f ca="1">-SUMIFS(
  desp.m.ik[valor],
  desp.m.ik[centro.negocio], $B49,
  desp.m.ik[mes], "&gt;="&amp;F$1,
  desp.m.ik[mes], "&lt;"&amp;EOMONTH(F$1,0)+1
)</f>
        <v>0</v>
      </c>
      <c r="G49" s="183">
        <f ca="1">-SUMIFS(
  desp.m.ik[valor],
  desp.m.ik[centro.negocio], $B49,
  desp.m.ik[mes], "&gt;="&amp;G$1,
  desp.m.ik[mes], "&lt;"&amp;EOMONTH(G$1,0)+1
)</f>
        <v>0</v>
      </c>
      <c r="H49" s="183">
        <f ca="1">-SUMIFS(
  desp.m.ik[valor],
  desp.m.ik[centro.negocio], $B49,
  desp.m.ik[mes], "&gt;="&amp;H$1,
  desp.m.ik[mes], "&lt;"&amp;EOMONTH(H$1,0)+1
)</f>
        <v>0</v>
      </c>
      <c r="I49" s="183">
        <f ca="1">-SUMIFS(
  desp.m.ik[valor],
  desp.m.ik[centro.negocio], $B49,
  desp.m.ik[mes], "&gt;="&amp;I$1,
  desp.m.ik[mes], "&lt;"&amp;EOMONTH(I$1,0)+1
)</f>
        <v>0</v>
      </c>
      <c r="J49" s="183">
        <f ca="1">-SUMIFS(
  desp.m.ik[valor],
  desp.m.ik[centro.negocio], $B49,
  desp.m.ik[mes], "&gt;="&amp;J$1,
  desp.m.ik[mes], "&lt;"&amp;EOMONTH(J$1,0)+1
)</f>
        <v>0</v>
      </c>
      <c r="K49" s="183">
        <f ca="1">-SUMIFS(
  desp.m.ik[valor],
  desp.m.ik[centro.negocio], $B49,
  desp.m.ik[mes], "&gt;="&amp;K$1,
  desp.m.ik[mes], "&lt;"&amp;EOMONTH(K$1,0)+1
)</f>
        <v>0</v>
      </c>
      <c r="L49" s="183">
        <f ca="1">-SUMIFS(
  desp.m.ik[valor],
  desp.m.ik[centro.negocio], $B49,
  desp.m.ik[mes], "&gt;="&amp;L$1,
  desp.m.ik[mes], "&lt;"&amp;EOMONTH(L$1,0)+1
)</f>
        <v>0</v>
      </c>
      <c r="M49" s="183">
        <f ca="1">-SUMIFS(
  desp.m.ik[valor],
  desp.m.ik[centro.negocio], $B49,
  desp.m.ik[mes], "&gt;="&amp;M$1,
  desp.m.ik[mes], "&lt;"&amp;EOMONTH(M$1,0)+1
)</f>
        <v>0</v>
      </c>
      <c r="N49" s="183">
        <f ca="1">-SUMIFS(
  desp.m.ik[valor],
  desp.m.ik[centro.negocio], $B49,
  desp.m.ik[mes], "&gt;="&amp;N$1,
  desp.m.ik[mes], "&lt;"&amp;EOMONTH(N$1,0)+1
)</f>
        <v>0</v>
      </c>
      <c r="O49" s="183">
        <f ca="1">-SUMIFS(
  desp.m.ik[valor],
  desp.m.ik[centro.negocio], $B49,
  desp.m.ik[mes], "&gt;="&amp;O$1,
  desp.m.ik[mes], "&lt;"&amp;EOMONTH(O$1,0)+1
)</f>
        <v>0</v>
      </c>
      <c r="P49" s="183">
        <f ca="1">-SUMIFS(
  desp.m.ik[valor],
  desp.m.ik[centro.negocio], $B49,
  desp.m.ik[mes], "&gt;="&amp;P$1,
  desp.m.ik[mes], "&lt;"&amp;EOMONTH(P$1,0)+1
)</f>
        <v>0</v>
      </c>
      <c r="Q49" s="183">
        <f ca="1">-SUMIFS(
  desp.m.ik[valor],
  desp.m.ik[centro.negocio], $B49,
  desp.m.ik[mes], "&gt;="&amp;Q$1,
  desp.m.ik[mes], "&lt;"&amp;EOMONTH(Q$1,0)+1
)</f>
        <v>0</v>
      </c>
      <c r="R49" s="183">
        <f ca="1">-SUMIFS(
  desp.m.ik[valor],
  desp.m.ik[centro.negocio], $B49,
  desp.m.ik[mes], "&gt;="&amp;R$1,
  desp.m.ik[mes], "&lt;"&amp;EOMONTH(R$1,0)+1
)</f>
        <v>0</v>
      </c>
      <c r="S49" s="183">
        <f ca="1">-SUMIFS(
  desp.m.ik[valor],
  desp.m.ik[centro.negocio], $B49,
  desp.m.ik[mes], "&gt;="&amp;S$1,
  desp.m.ik[mes], "&lt;"&amp;EOMONTH(S$1,0)+1
)</f>
        <v>0</v>
      </c>
      <c r="T49" s="183">
        <f ca="1">-SUMIFS(
  desp.m.ik[valor],
  desp.m.ik[centro.negocio], $B49,
  desp.m.ik[mes], "&gt;="&amp;T$1,
  desp.m.ik[mes], "&lt;"&amp;EOMONTH(T$1,0)+1
)</f>
        <v>0</v>
      </c>
      <c r="U49" s="183">
        <f ca="1">-SUMIFS(
  desp.m.ik[valor],
  desp.m.ik[centro.negocio], $B49,
  desp.m.ik[mes], "&gt;="&amp;U$1,
  desp.m.ik[mes], "&lt;"&amp;EOMONTH(U$1,0)+1
)</f>
        <v>0</v>
      </c>
      <c r="V49" s="183">
        <f ca="1">-SUMIFS(
  desp.m.ik[valor],
  desp.m.ik[centro.negocio], $B49,
  desp.m.ik[mes], "&gt;="&amp;V$1,
  desp.m.ik[mes], "&lt;"&amp;EOMONTH(V$1,0)+1
)</f>
        <v>0</v>
      </c>
      <c r="W49" s="183">
        <f ca="1">-SUMIFS(
  desp.m.ik[valor],
  desp.m.ik[centro.negocio], $B49,
  desp.m.ik[mes], "&gt;="&amp;W$1,
  desp.m.ik[mes], "&lt;"&amp;EOMONTH(W$1,0)+1
)</f>
        <v>0</v>
      </c>
      <c r="X49" s="183">
        <f ca="1">-SUMIFS(
  desp.m.ik[valor],
  desp.m.ik[centro.negocio], $B49,
  desp.m.ik[mes], "&gt;="&amp;X$1,
  desp.m.ik[mes], "&lt;"&amp;EOMONTH(X$1,0)+1
)</f>
        <v>0</v>
      </c>
      <c r="Y49" s="183">
        <f ca="1">-SUMIFS(
  desp.m.ik[valor],
  desp.m.ik[centro.negocio], $B49,
  desp.m.ik[mes], "&gt;="&amp;Y$1,
  desp.m.ik[mes], "&lt;"&amp;EOMONTH(Y$1,0)+1
)</f>
        <v>0</v>
      </c>
      <c r="Z49" s="183">
        <f ca="1">-SUMIFS(
  desp.m.ik[valor],
  desp.m.ik[centro.negocio], $B49,
  desp.m.ik[mes], "&gt;="&amp;Z$1,
  desp.m.ik[mes], "&lt;"&amp;EOMONTH(Z$1,0)+1
)</f>
        <v>0</v>
      </c>
      <c r="AA49" s="183">
        <f ca="1">-SUMIFS(
  desp.m.ik[valor],
  desp.m.ik[centro.negocio], $B49,
  desp.m.ik[mes], "&gt;="&amp;AA$1,
  desp.m.ik[mes], "&lt;"&amp;EOMONTH(AA$1,0)+1
)</f>
        <v>0</v>
      </c>
      <c r="AC49" s="175">
        <f ca="1">SUM($D49:INDEX($D49:$AA49,1,MATCH(DATE(YEAR(inputs!$A$1),MONTH(inputs!$A$1),1),$D$1:$AA$1,0)))</f>
        <v>0</v>
      </c>
      <c r="AE49" s="175">
        <f t="shared" ref="AE49" ca="1" si="12">SUM(D49:AA49)</f>
        <v>0</v>
      </c>
    </row>
    <row r="50" spans="1:31" outlineLevel="2" x14ac:dyDescent="0.25">
      <c r="A50" s="193" t="s">
        <v>959</v>
      </c>
      <c r="B50" s="193" t="s">
        <v>725</v>
      </c>
      <c r="C50" s="135" t="s">
        <v>514</v>
      </c>
      <c r="D50" s="183">
        <f ca="1">-SUMIFS(
  desp.m.ik[valor],
  desp.m.ik[centro.negocio], $B50,
  desp.m.ik[mes], "&gt;="&amp;D$1,
  desp.m.ik[mes], "&lt;"&amp;EOMONTH(D$1,0)+1
)</f>
        <v>0</v>
      </c>
      <c r="E50" s="183">
        <f ca="1">-SUMIFS(
  desp.m.ik[valor],
  desp.m.ik[centro.negocio], $B50,
  desp.m.ik[mes], "&gt;="&amp;E$1,
  desp.m.ik[mes], "&lt;"&amp;EOMONTH(E$1,0)+1
)</f>
        <v>0</v>
      </c>
      <c r="F50" s="183">
        <f ca="1">-SUMIFS(
  desp.m.ik[valor],
  desp.m.ik[centro.negocio], $B50,
  desp.m.ik[mes], "&gt;="&amp;F$1,
  desp.m.ik[mes], "&lt;"&amp;EOMONTH(F$1,0)+1
)</f>
        <v>0</v>
      </c>
      <c r="G50" s="183">
        <f ca="1">-SUMIFS(
  desp.m.ik[valor],
  desp.m.ik[centro.negocio], $B50,
  desp.m.ik[mes], "&gt;="&amp;G$1,
  desp.m.ik[mes], "&lt;"&amp;EOMONTH(G$1,0)+1
)</f>
        <v>0</v>
      </c>
      <c r="H50" s="183">
        <f ca="1">-SUMIFS(
  desp.m.ik[valor],
  desp.m.ik[centro.negocio], $B50,
  desp.m.ik[mes], "&gt;="&amp;H$1,
  desp.m.ik[mes], "&lt;"&amp;EOMONTH(H$1,0)+1
)</f>
        <v>0</v>
      </c>
      <c r="I50" s="183">
        <f ca="1">-SUMIFS(
  desp.m.ik[valor],
  desp.m.ik[centro.negocio], $B50,
  desp.m.ik[mes], "&gt;="&amp;I$1,
  desp.m.ik[mes], "&lt;"&amp;EOMONTH(I$1,0)+1
)</f>
        <v>0</v>
      </c>
      <c r="J50" s="183">
        <f ca="1">-SUMIFS(
  desp.m.ik[valor],
  desp.m.ik[centro.negocio], $B50,
  desp.m.ik[mes], "&gt;="&amp;J$1,
  desp.m.ik[mes], "&lt;"&amp;EOMONTH(J$1,0)+1
)</f>
        <v>0</v>
      </c>
      <c r="K50" s="183">
        <f ca="1">-SUMIFS(
  desp.m.ik[valor],
  desp.m.ik[centro.negocio], $B50,
  desp.m.ik[mes], "&gt;="&amp;K$1,
  desp.m.ik[mes], "&lt;"&amp;EOMONTH(K$1,0)+1
)</f>
        <v>0</v>
      </c>
      <c r="L50" s="183">
        <f ca="1">-SUMIFS(
  desp.m.ik[valor],
  desp.m.ik[centro.negocio], $B50,
  desp.m.ik[mes], "&gt;="&amp;L$1,
  desp.m.ik[mes], "&lt;"&amp;EOMONTH(L$1,0)+1
)</f>
        <v>0</v>
      </c>
      <c r="M50" s="183">
        <f ca="1">-SUMIFS(
  desp.m.ik[valor],
  desp.m.ik[centro.negocio], $B50,
  desp.m.ik[mes], "&gt;="&amp;M$1,
  desp.m.ik[mes], "&lt;"&amp;EOMONTH(M$1,0)+1
)</f>
        <v>0</v>
      </c>
      <c r="N50" s="183">
        <f ca="1">-SUMIFS(
  desp.m.ik[valor],
  desp.m.ik[centro.negocio], $B50,
  desp.m.ik[mes], "&gt;="&amp;N$1,
  desp.m.ik[mes], "&lt;"&amp;EOMONTH(N$1,0)+1
)</f>
        <v>0</v>
      </c>
      <c r="O50" s="183">
        <f ca="1">-SUMIFS(
  desp.m.ik[valor],
  desp.m.ik[centro.negocio], $B50,
  desp.m.ik[mes], "&gt;="&amp;O$1,
  desp.m.ik[mes], "&lt;"&amp;EOMONTH(O$1,0)+1
)</f>
        <v>0</v>
      </c>
      <c r="P50" s="183">
        <f ca="1">-SUMIFS(
  desp.m.ik[valor],
  desp.m.ik[centro.negocio], $B50,
  desp.m.ik[mes], "&gt;="&amp;P$1,
  desp.m.ik[mes], "&lt;"&amp;EOMONTH(P$1,0)+1
)</f>
        <v>0</v>
      </c>
      <c r="Q50" s="183">
        <f ca="1">-SUMIFS(
  desp.m.ik[valor],
  desp.m.ik[centro.negocio], $B50,
  desp.m.ik[mes], "&gt;="&amp;Q$1,
  desp.m.ik[mes], "&lt;"&amp;EOMONTH(Q$1,0)+1
)</f>
        <v>0</v>
      </c>
      <c r="R50" s="183">
        <f ca="1">-SUMIFS(
  desp.m.ik[valor],
  desp.m.ik[centro.negocio], $B50,
  desp.m.ik[mes], "&gt;="&amp;R$1,
  desp.m.ik[mes], "&lt;"&amp;EOMONTH(R$1,0)+1
)</f>
        <v>0</v>
      </c>
      <c r="S50" s="183">
        <f ca="1">-SUMIFS(
  desp.m.ik[valor],
  desp.m.ik[centro.negocio], $B50,
  desp.m.ik[mes], "&gt;="&amp;S$1,
  desp.m.ik[mes], "&lt;"&amp;EOMONTH(S$1,0)+1
)</f>
        <v>0</v>
      </c>
      <c r="T50" s="183">
        <f ca="1">-SUMIFS(
  desp.m.ik[valor],
  desp.m.ik[centro.negocio], $B50,
  desp.m.ik[mes], "&gt;="&amp;T$1,
  desp.m.ik[mes], "&lt;"&amp;EOMONTH(T$1,0)+1
)</f>
        <v>0</v>
      </c>
      <c r="U50" s="183">
        <f ca="1">-SUMIFS(
  desp.m.ik[valor],
  desp.m.ik[centro.negocio], $B50,
  desp.m.ik[mes], "&gt;="&amp;U$1,
  desp.m.ik[mes], "&lt;"&amp;EOMONTH(U$1,0)+1
)</f>
        <v>0</v>
      </c>
      <c r="V50" s="183">
        <f ca="1">-SUMIFS(
  desp.m.ik[valor],
  desp.m.ik[centro.negocio], $B50,
  desp.m.ik[mes], "&gt;="&amp;V$1,
  desp.m.ik[mes], "&lt;"&amp;EOMONTH(V$1,0)+1
)</f>
        <v>0</v>
      </c>
      <c r="W50" s="183">
        <f ca="1">-SUMIFS(
  desp.m.ik[valor],
  desp.m.ik[centro.negocio], $B50,
  desp.m.ik[mes], "&gt;="&amp;W$1,
  desp.m.ik[mes], "&lt;"&amp;EOMONTH(W$1,0)+1
)</f>
        <v>0</v>
      </c>
      <c r="X50" s="183">
        <f ca="1">-SUMIFS(
  desp.m.ik[valor],
  desp.m.ik[centro.negocio], $B50,
  desp.m.ik[mes], "&gt;="&amp;X$1,
  desp.m.ik[mes], "&lt;"&amp;EOMONTH(X$1,0)+1
)</f>
        <v>0</v>
      </c>
      <c r="Y50" s="183">
        <f ca="1">-SUMIFS(
  desp.m.ik[valor],
  desp.m.ik[centro.negocio], $B50,
  desp.m.ik[mes], "&gt;="&amp;Y$1,
  desp.m.ik[mes], "&lt;"&amp;EOMONTH(Y$1,0)+1
)</f>
        <v>0</v>
      </c>
      <c r="Z50" s="183">
        <f ca="1">-SUMIFS(
  desp.m.ik[valor],
  desp.m.ik[centro.negocio], $B50,
  desp.m.ik[mes], "&gt;="&amp;Z$1,
  desp.m.ik[mes], "&lt;"&amp;EOMONTH(Z$1,0)+1
)</f>
        <v>0</v>
      </c>
      <c r="AA50" s="183">
        <f ca="1">-SUMIFS(
  desp.m.ik[valor],
  desp.m.ik[centro.negocio], $B50,
  desp.m.ik[mes], "&gt;="&amp;AA$1,
  desp.m.ik[mes], "&lt;"&amp;EOMONTH(AA$1,0)+1
)</f>
        <v>0</v>
      </c>
      <c r="AC50" s="175">
        <f ca="1">SUM($D50:INDEX($D50:$AA50,1,MATCH(DATE(YEAR(inputs!$A$1),MONTH(inputs!$A$1),1),$D$1:$AA$1,0)))</f>
        <v>0</v>
      </c>
      <c r="AE50" s="175">
        <f ca="1">SUM(D50:AA50)</f>
        <v>0</v>
      </c>
    </row>
    <row r="51" spans="1:31" outlineLevel="2" x14ac:dyDescent="0.25">
      <c r="A51" s="193" t="s">
        <v>959</v>
      </c>
      <c r="B51" s="193" t="s">
        <v>371</v>
      </c>
      <c r="C51" s="135" t="s">
        <v>514</v>
      </c>
      <c r="D51" s="183">
        <f ca="1">-SUMIFS(
  desp.m.ik[valor],
  desp.m.ik[centro.negocio], $B51,
  desp.m.ik[mes], "&gt;="&amp;D$1,
  desp.m.ik[mes], "&lt;"&amp;EOMONTH(D$1,0)+1
)</f>
        <v>0</v>
      </c>
      <c r="E51" s="183">
        <f ca="1">-SUMIFS(
  desp.m.ik[valor],
  desp.m.ik[centro.negocio], $B51,
  desp.m.ik[mes], "&gt;="&amp;E$1,
  desp.m.ik[mes], "&lt;"&amp;EOMONTH(E$1,0)+1
)</f>
        <v>0</v>
      </c>
      <c r="F51" s="183">
        <f ca="1">-SUMIFS(
  desp.m.ik[valor],
  desp.m.ik[centro.negocio], $B51,
  desp.m.ik[mes], "&gt;="&amp;F$1,
  desp.m.ik[mes], "&lt;"&amp;EOMONTH(F$1,0)+1
)</f>
        <v>0</v>
      </c>
      <c r="G51" s="183">
        <f ca="1">-SUMIFS(
  desp.m.ik[valor],
  desp.m.ik[centro.negocio], $B51,
  desp.m.ik[mes], "&gt;="&amp;G$1,
  desp.m.ik[mes], "&lt;"&amp;EOMONTH(G$1,0)+1
)</f>
        <v>0</v>
      </c>
      <c r="H51" s="183">
        <f ca="1">-SUMIFS(
  desp.m.ik[valor],
  desp.m.ik[centro.negocio], $B51,
  desp.m.ik[mes], "&gt;="&amp;H$1,
  desp.m.ik[mes], "&lt;"&amp;EOMONTH(H$1,0)+1
)</f>
        <v>0</v>
      </c>
      <c r="I51" s="183">
        <f ca="1">-SUMIFS(
  desp.m.ik[valor],
  desp.m.ik[centro.negocio], $B51,
  desp.m.ik[mes], "&gt;="&amp;I$1,
  desp.m.ik[mes], "&lt;"&amp;EOMONTH(I$1,0)+1
)</f>
        <v>0</v>
      </c>
      <c r="J51" s="183">
        <f ca="1">-SUMIFS(
  desp.m.ik[valor],
  desp.m.ik[centro.negocio], $B51,
  desp.m.ik[mes], "&gt;="&amp;J$1,
  desp.m.ik[mes], "&lt;"&amp;EOMONTH(J$1,0)+1
)</f>
        <v>0</v>
      </c>
      <c r="K51" s="183">
        <f ca="1">-SUMIFS(
  desp.m.ik[valor],
  desp.m.ik[centro.negocio], $B51,
  desp.m.ik[mes], "&gt;="&amp;K$1,
  desp.m.ik[mes], "&lt;"&amp;EOMONTH(K$1,0)+1
)</f>
        <v>0</v>
      </c>
      <c r="L51" s="183">
        <f ca="1">-SUMIFS(
  desp.m.ik[valor],
  desp.m.ik[centro.negocio], $B51,
  desp.m.ik[mes], "&gt;="&amp;L$1,
  desp.m.ik[mes], "&lt;"&amp;EOMONTH(L$1,0)+1
)</f>
        <v>0</v>
      </c>
      <c r="M51" s="183">
        <f ca="1">-SUMIFS(
  desp.m.ik[valor],
  desp.m.ik[centro.negocio], $B51,
  desp.m.ik[mes], "&gt;="&amp;M$1,
  desp.m.ik[mes], "&lt;"&amp;EOMONTH(M$1,0)+1
)</f>
        <v>0</v>
      </c>
      <c r="N51" s="183">
        <f ca="1">-SUMIFS(
  desp.m.ik[valor],
  desp.m.ik[centro.negocio], $B51,
  desp.m.ik[mes], "&gt;="&amp;N$1,
  desp.m.ik[mes], "&lt;"&amp;EOMONTH(N$1,0)+1
)</f>
        <v>0</v>
      </c>
      <c r="O51" s="183">
        <f ca="1">-SUMIFS(
  desp.m.ik[valor],
  desp.m.ik[centro.negocio], $B51,
  desp.m.ik[mes], "&gt;="&amp;O$1,
  desp.m.ik[mes], "&lt;"&amp;EOMONTH(O$1,0)+1
)</f>
        <v>0</v>
      </c>
      <c r="P51" s="183">
        <f ca="1">-SUMIFS(
  desp.m.ik[valor],
  desp.m.ik[centro.negocio], $B51,
  desp.m.ik[mes], "&gt;="&amp;P$1,
  desp.m.ik[mes], "&lt;"&amp;EOMONTH(P$1,0)+1
)</f>
        <v>0</v>
      </c>
      <c r="Q51" s="183">
        <f ca="1">-SUMIFS(
  desp.m.ik[valor],
  desp.m.ik[centro.negocio], $B51,
  desp.m.ik[mes], "&gt;="&amp;Q$1,
  desp.m.ik[mes], "&lt;"&amp;EOMONTH(Q$1,0)+1
)</f>
        <v>0</v>
      </c>
      <c r="R51" s="183">
        <f ca="1">-SUMIFS(
  desp.m.ik[valor],
  desp.m.ik[centro.negocio], $B51,
  desp.m.ik[mes], "&gt;="&amp;R$1,
  desp.m.ik[mes], "&lt;"&amp;EOMONTH(R$1,0)+1
)</f>
        <v>0</v>
      </c>
      <c r="S51" s="183">
        <f ca="1">-SUMIFS(
  desp.m.ik[valor],
  desp.m.ik[centro.negocio], $B51,
  desp.m.ik[mes], "&gt;="&amp;S$1,
  desp.m.ik[mes], "&lt;"&amp;EOMONTH(S$1,0)+1
)</f>
        <v>0</v>
      </c>
      <c r="T51" s="183">
        <f ca="1">-SUMIFS(
  desp.m.ik[valor],
  desp.m.ik[centro.negocio], $B51,
  desp.m.ik[mes], "&gt;="&amp;T$1,
  desp.m.ik[mes], "&lt;"&amp;EOMONTH(T$1,0)+1
)</f>
        <v>0</v>
      </c>
      <c r="U51" s="183">
        <f ca="1">-SUMIFS(
  desp.m.ik[valor],
  desp.m.ik[centro.negocio], $B51,
  desp.m.ik[mes], "&gt;="&amp;U$1,
  desp.m.ik[mes], "&lt;"&amp;EOMONTH(U$1,0)+1
)</f>
        <v>0</v>
      </c>
      <c r="V51" s="183">
        <f ca="1">-SUMIFS(
  desp.m.ik[valor],
  desp.m.ik[centro.negocio], $B51,
  desp.m.ik[mes], "&gt;="&amp;V$1,
  desp.m.ik[mes], "&lt;"&amp;EOMONTH(V$1,0)+1
)</f>
        <v>0</v>
      </c>
      <c r="W51" s="183">
        <f ca="1">-SUMIFS(
  desp.m.ik[valor],
  desp.m.ik[centro.negocio], $B51,
  desp.m.ik[mes], "&gt;="&amp;W$1,
  desp.m.ik[mes], "&lt;"&amp;EOMONTH(W$1,0)+1
)</f>
        <v>0</v>
      </c>
      <c r="X51" s="183">
        <f ca="1">-SUMIFS(
  desp.m.ik[valor],
  desp.m.ik[centro.negocio], $B51,
  desp.m.ik[mes], "&gt;="&amp;X$1,
  desp.m.ik[mes], "&lt;"&amp;EOMONTH(X$1,0)+1
)</f>
        <v>0</v>
      </c>
      <c r="Y51" s="183">
        <f ca="1">-SUMIFS(
  desp.m.ik[valor],
  desp.m.ik[centro.negocio], $B51,
  desp.m.ik[mes], "&gt;="&amp;Y$1,
  desp.m.ik[mes], "&lt;"&amp;EOMONTH(Y$1,0)+1
)</f>
        <v>0</v>
      </c>
      <c r="Z51" s="183">
        <f ca="1">-SUMIFS(
  desp.m.ik[valor],
  desp.m.ik[centro.negocio], $B51,
  desp.m.ik[mes], "&gt;="&amp;Z$1,
  desp.m.ik[mes], "&lt;"&amp;EOMONTH(Z$1,0)+1
)</f>
        <v>0</v>
      </c>
      <c r="AA51" s="183">
        <f ca="1">-SUMIFS(
  desp.m.ik[valor],
  desp.m.ik[centro.negocio], $B51,
  desp.m.ik[mes], "&gt;="&amp;AA$1,
  desp.m.ik[mes], "&lt;"&amp;EOMONTH(AA$1,0)+1
)</f>
        <v>0</v>
      </c>
      <c r="AC51" s="175">
        <f ca="1">SUM($D51:INDEX($D51:$AA51,1,MATCH(DATE(YEAR(inputs!$A$1),MONTH(inputs!$A$1),1),$D$1:$AA$1,0)))</f>
        <v>0</v>
      </c>
      <c r="AE51" s="175">
        <f t="shared" ref="AE51" ca="1" si="13">SUM(D51:AA51)</f>
        <v>0</v>
      </c>
    </row>
    <row r="52" spans="1:31" outlineLevel="2" x14ac:dyDescent="0.25">
      <c r="A52" s="193" t="s">
        <v>959</v>
      </c>
      <c r="B52" s="193" t="s">
        <v>1122</v>
      </c>
      <c r="C52" s="135" t="s">
        <v>514</v>
      </c>
      <c r="D52" s="183">
        <f ca="1">-SUMIFS(
  desp.m.ik[valor],
  desp.m.ik[centro.negocio], $B52,
  desp.m.ik[mes], "&gt;="&amp;D$1,
  desp.m.ik[mes], "&lt;"&amp;EOMONTH(D$1,0)+1
)</f>
        <v>0</v>
      </c>
      <c r="E52" s="183">
        <f ca="1">-SUMIFS(
  desp.m.ik[valor],
  desp.m.ik[centro.negocio], $B52,
  desp.m.ik[mes], "&gt;="&amp;E$1,
  desp.m.ik[mes], "&lt;"&amp;EOMONTH(E$1,0)+1
)</f>
        <v>0</v>
      </c>
      <c r="F52" s="183">
        <f ca="1">-SUMIFS(
  desp.m.ik[valor],
  desp.m.ik[centro.negocio], $B52,
  desp.m.ik[mes], "&gt;="&amp;F$1,
  desp.m.ik[mes], "&lt;"&amp;EOMONTH(F$1,0)+1
)</f>
        <v>0</v>
      </c>
      <c r="G52" s="183">
        <f ca="1">-SUMIFS(
  desp.m.ik[valor],
  desp.m.ik[centro.negocio], $B52,
  desp.m.ik[mes], "&gt;="&amp;G$1,
  desp.m.ik[mes], "&lt;"&amp;EOMONTH(G$1,0)+1
)</f>
        <v>0</v>
      </c>
      <c r="H52" s="183">
        <f ca="1">-SUMIFS(
  desp.m.ik[valor],
  desp.m.ik[centro.negocio], $B52,
  desp.m.ik[mes], "&gt;="&amp;H$1,
  desp.m.ik[mes], "&lt;"&amp;EOMONTH(H$1,0)+1
)</f>
        <v>0</v>
      </c>
      <c r="I52" s="183">
        <f ca="1">-SUMIFS(
  desp.m.ik[valor],
  desp.m.ik[centro.negocio], $B52,
  desp.m.ik[mes], "&gt;="&amp;I$1,
  desp.m.ik[mes], "&lt;"&amp;EOMONTH(I$1,0)+1
)</f>
        <v>0</v>
      </c>
      <c r="J52" s="183">
        <f ca="1">-SUMIFS(
  desp.m.ik[valor],
  desp.m.ik[centro.negocio], $B52,
  desp.m.ik[mes], "&gt;="&amp;J$1,
  desp.m.ik[mes], "&lt;"&amp;EOMONTH(J$1,0)+1
)</f>
        <v>0</v>
      </c>
      <c r="K52" s="183">
        <f ca="1">-SUMIFS(
  desp.m.ik[valor],
  desp.m.ik[centro.negocio], $B52,
  desp.m.ik[mes], "&gt;="&amp;K$1,
  desp.m.ik[mes], "&lt;"&amp;EOMONTH(K$1,0)+1
)</f>
        <v>0</v>
      </c>
      <c r="L52" s="183">
        <f ca="1">-SUMIFS(
  desp.m.ik[valor],
  desp.m.ik[centro.negocio], $B52,
  desp.m.ik[mes], "&gt;="&amp;L$1,
  desp.m.ik[mes], "&lt;"&amp;EOMONTH(L$1,0)+1
)</f>
        <v>0</v>
      </c>
      <c r="M52" s="183">
        <f ca="1">-SUMIFS(
  desp.m.ik[valor],
  desp.m.ik[centro.negocio], $B52,
  desp.m.ik[mes], "&gt;="&amp;M$1,
  desp.m.ik[mes], "&lt;"&amp;EOMONTH(M$1,0)+1
)</f>
        <v>0</v>
      </c>
      <c r="N52" s="183">
        <f ca="1">-SUMIFS(
  desp.m.ik[valor],
  desp.m.ik[centro.negocio], $B52,
  desp.m.ik[mes], "&gt;="&amp;N$1,
  desp.m.ik[mes], "&lt;"&amp;EOMONTH(N$1,0)+1
)</f>
        <v>0</v>
      </c>
      <c r="O52" s="183">
        <f ca="1">-SUMIFS(
  desp.m.ik[valor],
  desp.m.ik[centro.negocio], $B52,
  desp.m.ik[mes], "&gt;="&amp;O$1,
  desp.m.ik[mes], "&lt;"&amp;EOMONTH(O$1,0)+1
)</f>
        <v>0</v>
      </c>
      <c r="P52" s="183">
        <f ca="1">-SUMIFS(
  desp.m.ik[valor],
  desp.m.ik[centro.negocio], $B52,
  desp.m.ik[mes], "&gt;="&amp;P$1,
  desp.m.ik[mes], "&lt;"&amp;EOMONTH(P$1,0)+1
)</f>
        <v>0</v>
      </c>
      <c r="Q52" s="183">
        <f ca="1">-SUMIFS(
  desp.m.ik[valor],
  desp.m.ik[centro.negocio], $B52,
  desp.m.ik[mes], "&gt;="&amp;Q$1,
  desp.m.ik[mes], "&lt;"&amp;EOMONTH(Q$1,0)+1
)</f>
        <v>0</v>
      </c>
      <c r="R52" s="183">
        <f ca="1">-SUMIFS(
  desp.m.ik[valor],
  desp.m.ik[centro.negocio], $B52,
  desp.m.ik[mes], "&gt;="&amp;R$1,
  desp.m.ik[mes], "&lt;"&amp;EOMONTH(R$1,0)+1
)</f>
        <v>0</v>
      </c>
      <c r="S52" s="183">
        <f ca="1">-SUMIFS(
  desp.m.ik[valor],
  desp.m.ik[centro.negocio], $B52,
  desp.m.ik[mes], "&gt;="&amp;S$1,
  desp.m.ik[mes], "&lt;"&amp;EOMONTH(S$1,0)+1
)</f>
        <v>0</v>
      </c>
      <c r="T52" s="183">
        <f ca="1">-SUMIFS(
  desp.m.ik[valor],
  desp.m.ik[centro.negocio], $B52,
  desp.m.ik[mes], "&gt;="&amp;T$1,
  desp.m.ik[mes], "&lt;"&amp;EOMONTH(T$1,0)+1
)</f>
        <v>0</v>
      </c>
      <c r="U52" s="183">
        <f ca="1">-SUMIFS(
  desp.m.ik[valor],
  desp.m.ik[centro.negocio], $B52,
  desp.m.ik[mes], "&gt;="&amp;U$1,
  desp.m.ik[mes], "&lt;"&amp;EOMONTH(U$1,0)+1
)</f>
        <v>0</v>
      </c>
      <c r="V52" s="183">
        <f ca="1">-SUMIFS(
  desp.m.ik[valor],
  desp.m.ik[centro.negocio], $B52,
  desp.m.ik[mes], "&gt;="&amp;V$1,
  desp.m.ik[mes], "&lt;"&amp;EOMONTH(V$1,0)+1
)</f>
        <v>0</v>
      </c>
      <c r="W52" s="183">
        <f ca="1">-SUMIFS(
  desp.m.ik[valor],
  desp.m.ik[centro.negocio], $B52,
  desp.m.ik[mes], "&gt;="&amp;W$1,
  desp.m.ik[mes], "&lt;"&amp;EOMONTH(W$1,0)+1
)</f>
        <v>0</v>
      </c>
      <c r="X52" s="183">
        <f ca="1">-SUMIFS(
  desp.m.ik[valor],
  desp.m.ik[centro.negocio], $B52,
  desp.m.ik[mes], "&gt;="&amp;X$1,
  desp.m.ik[mes], "&lt;"&amp;EOMONTH(X$1,0)+1
)</f>
        <v>0</v>
      </c>
      <c r="Y52" s="183">
        <f ca="1">-SUMIFS(
  desp.m.ik[valor],
  desp.m.ik[centro.negocio], $B52,
  desp.m.ik[mes], "&gt;="&amp;Y$1,
  desp.m.ik[mes], "&lt;"&amp;EOMONTH(Y$1,0)+1
)</f>
        <v>0</v>
      </c>
      <c r="Z52" s="183">
        <f ca="1">-SUMIFS(
  desp.m.ik[valor],
  desp.m.ik[centro.negocio], $B52,
  desp.m.ik[mes], "&gt;="&amp;Z$1,
  desp.m.ik[mes], "&lt;"&amp;EOMONTH(Z$1,0)+1
)</f>
        <v>0</v>
      </c>
      <c r="AA52" s="183">
        <f ca="1">-SUMIFS(
  desp.m.ik[valor],
  desp.m.ik[centro.negocio], $B52,
  desp.m.ik[mes], "&gt;="&amp;AA$1,
  desp.m.ik[mes], "&lt;"&amp;EOMONTH(AA$1,0)+1
)</f>
        <v>0</v>
      </c>
      <c r="AC52" s="175">
        <f ca="1">SUM($D52:INDEX($D52:$AA52,1,MATCH(DATE(YEAR(inputs!$A$1),MONTH(inputs!$A$1),1),$D$1:$AA$1,0)))</f>
        <v>0</v>
      </c>
      <c r="AE52" s="175">
        <f t="shared" ref="AE52" ca="1" si="14">SUM(D52:AA52)</f>
        <v>0</v>
      </c>
    </row>
    <row r="53" spans="1:31" outlineLevel="1" x14ac:dyDescent="0.25">
      <c r="A53" s="179" t="s">
        <v>548</v>
      </c>
      <c r="B53" s="179" t="s">
        <v>350</v>
      </c>
      <c r="C53" s="180" t="s">
        <v>514</v>
      </c>
      <c r="D53" s="181">
        <f t="shared" ref="D53:AA53" ca="1" si="15">SUM(D$54:D$68)</f>
        <v>0</v>
      </c>
      <c r="E53" s="181">
        <f t="shared" ca="1" si="15"/>
        <v>0</v>
      </c>
      <c r="F53" s="181">
        <f t="shared" ca="1" si="15"/>
        <v>0</v>
      </c>
      <c r="G53" s="181">
        <f t="shared" ca="1" si="15"/>
        <v>0</v>
      </c>
      <c r="H53" s="181">
        <f t="shared" ca="1" si="15"/>
        <v>0</v>
      </c>
      <c r="I53" s="181">
        <f t="shared" ca="1" si="15"/>
        <v>0</v>
      </c>
      <c r="J53" s="181">
        <f t="shared" ca="1" si="15"/>
        <v>0</v>
      </c>
      <c r="K53" s="181">
        <f t="shared" ca="1" si="15"/>
        <v>0</v>
      </c>
      <c r="L53" s="181">
        <f t="shared" ca="1" si="15"/>
        <v>0</v>
      </c>
      <c r="M53" s="181">
        <f t="shared" ca="1" si="15"/>
        <v>0</v>
      </c>
      <c r="N53" s="181">
        <f t="shared" ca="1" si="15"/>
        <v>0</v>
      </c>
      <c r="O53" s="181">
        <f t="shared" ca="1" si="15"/>
        <v>0</v>
      </c>
      <c r="P53" s="181">
        <f t="shared" ca="1" si="15"/>
        <v>0</v>
      </c>
      <c r="Q53" s="181">
        <f t="shared" ca="1" si="15"/>
        <v>0</v>
      </c>
      <c r="R53" s="181">
        <f t="shared" ca="1" si="15"/>
        <v>0</v>
      </c>
      <c r="S53" s="181">
        <f t="shared" ca="1" si="15"/>
        <v>0</v>
      </c>
      <c r="T53" s="181">
        <f t="shared" ca="1" si="15"/>
        <v>0</v>
      </c>
      <c r="U53" s="181">
        <f t="shared" ca="1" si="15"/>
        <v>0</v>
      </c>
      <c r="V53" s="181">
        <f t="shared" ca="1" si="15"/>
        <v>0</v>
      </c>
      <c r="W53" s="181">
        <f t="shared" ca="1" si="15"/>
        <v>0</v>
      </c>
      <c r="X53" s="181">
        <f t="shared" ca="1" si="15"/>
        <v>0</v>
      </c>
      <c r="Y53" s="181">
        <f t="shared" ca="1" si="15"/>
        <v>0</v>
      </c>
      <c r="Z53" s="181">
        <f t="shared" ca="1" si="15"/>
        <v>0</v>
      </c>
      <c r="AA53" s="181">
        <f t="shared" ca="1" si="15"/>
        <v>0</v>
      </c>
      <c r="AC53" s="275">
        <f ca="1">SUM($D53:INDEX($D53:$AA53,1,MATCH(DATE(YEAR(inputs!$A$1),MONTH(inputs!$A$1),1),$D$1:$AA$1,0)))</f>
        <v>0</v>
      </c>
      <c r="AE53" s="275">
        <f t="shared" ca="1" si="1"/>
        <v>0</v>
      </c>
    </row>
    <row r="54" spans="1:31" outlineLevel="2" x14ac:dyDescent="0.25">
      <c r="A54" s="182" t="s">
        <v>549</v>
      </c>
      <c r="B54" s="182" t="s">
        <v>546</v>
      </c>
      <c r="C54" s="135" t="s">
        <v>514</v>
      </c>
      <c r="D54" s="183">
        <f ca="1">-SUMIFS(
  desp.m.ik[valor],
  desp.m.ik[nucleo], $B54,
  desp.m.ik[centro.negocio], $B$53,
  desp.m.ik[mes], "&gt;="&amp;D$1,
  desp.m.ik[mes], "&lt;"&amp;EOMONTH(D$1,0)+1,
  desp.m.ik[classe], "&lt;&gt;Financiamento"
)</f>
        <v>0</v>
      </c>
      <c r="E54" s="183">
        <f ca="1">-SUMIFS(
  desp.m.ik[valor],
  desp.m.ik[nucleo], $B54,
  desp.m.ik[centro.negocio], $B$53,
  desp.m.ik[mes], "&gt;="&amp;E$1,
  desp.m.ik[mes], "&lt;"&amp;EOMONTH(E$1,0)+1,
  desp.m.ik[classe], "&lt;&gt;Financiamento"
)</f>
        <v>0</v>
      </c>
      <c r="F54" s="183">
        <f ca="1">-SUMIFS(
  desp.m.ik[valor],
  desp.m.ik[nucleo], $B54,
  desp.m.ik[centro.negocio], $B$53,
  desp.m.ik[mes], "&gt;="&amp;F$1,
  desp.m.ik[mes], "&lt;"&amp;EOMONTH(F$1,0)+1,
  desp.m.ik[classe], "&lt;&gt;Financiamento"
)</f>
        <v>0</v>
      </c>
      <c r="G54" s="183">
        <f ca="1">-SUMIFS(
  desp.m.ik[valor],
  desp.m.ik[nucleo], $B54,
  desp.m.ik[centro.negocio], $B$53,
  desp.m.ik[mes], "&gt;="&amp;G$1,
  desp.m.ik[mes], "&lt;"&amp;EOMONTH(G$1,0)+1,
  desp.m.ik[classe], "&lt;&gt;Financiamento"
)</f>
        <v>0</v>
      </c>
      <c r="H54" s="183">
        <f ca="1">-SUMIFS(
  desp.m.ik[valor],
  desp.m.ik[nucleo], $B54,
  desp.m.ik[centro.negocio], $B$53,
  desp.m.ik[mes], "&gt;="&amp;H$1,
  desp.m.ik[mes], "&lt;"&amp;EOMONTH(H$1,0)+1,
  desp.m.ik[classe], "&lt;&gt;Financiamento"
)</f>
        <v>0</v>
      </c>
      <c r="I54" s="183">
        <f ca="1">-SUMIFS(
  desp.m.ik[valor],
  desp.m.ik[nucleo], $B54,
  desp.m.ik[centro.negocio], $B$53,
  desp.m.ik[mes], "&gt;="&amp;I$1,
  desp.m.ik[mes], "&lt;"&amp;EOMONTH(I$1,0)+1,
  desp.m.ik[classe], "&lt;&gt;Financiamento"
)</f>
        <v>0</v>
      </c>
      <c r="J54" s="183">
        <f ca="1">-SUMIFS(
  desp.m.ik[valor],
  desp.m.ik[nucleo], $B54,
  desp.m.ik[centro.negocio], $B$53,
  desp.m.ik[mes], "&gt;="&amp;J$1,
  desp.m.ik[mes], "&lt;"&amp;EOMONTH(J$1,0)+1,
  desp.m.ik[classe], "&lt;&gt;Financiamento"
)</f>
        <v>0</v>
      </c>
      <c r="K54" s="183">
        <f ca="1">-SUMIFS(
  desp.m.ik[valor],
  desp.m.ik[nucleo], $B54,
  desp.m.ik[centro.negocio], $B$53,
  desp.m.ik[mes], "&gt;="&amp;K$1,
  desp.m.ik[mes], "&lt;"&amp;EOMONTH(K$1,0)+1,
  desp.m.ik[classe], "&lt;&gt;Financiamento"
)</f>
        <v>0</v>
      </c>
      <c r="L54" s="183">
        <f ca="1">-SUMIFS(
  desp.m.ik[valor],
  desp.m.ik[nucleo], $B54,
  desp.m.ik[centro.negocio], $B$53,
  desp.m.ik[mes], "&gt;="&amp;L$1,
  desp.m.ik[mes], "&lt;"&amp;EOMONTH(L$1,0)+1,
  desp.m.ik[classe], "&lt;&gt;Financiamento"
)</f>
        <v>0</v>
      </c>
      <c r="M54" s="183">
        <f ca="1">-SUMIFS(
  desp.m.ik[valor],
  desp.m.ik[nucleo], $B54,
  desp.m.ik[centro.negocio], $B$53,
  desp.m.ik[mes], "&gt;="&amp;M$1,
  desp.m.ik[mes], "&lt;"&amp;EOMONTH(M$1,0)+1,
  desp.m.ik[classe], "&lt;&gt;Financiamento"
)</f>
        <v>0</v>
      </c>
      <c r="N54" s="183">
        <f ca="1">-SUMIFS(
  desp.m.ik[valor],
  desp.m.ik[nucleo], $B54,
  desp.m.ik[centro.negocio], $B$53,
  desp.m.ik[mes], "&gt;="&amp;N$1,
  desp.m.ik[mes], "&lt;"&amp;EOMONTH(N$1,0)+1,
  desp.m.ik[classe], "&lt;&gt;Financiamento"
)</f>
        <v>0</v>
      </c>
      <c r="O54" s="183">
        <f ca="1">-SUMIFS(
  desp.m.ik[valor],
  desp.m.ik[nucleo], $B54,
  desp.m.ik[centro.negocio], $B$53,
  desp.m.ik[mes], "&gt;="&amp;O$1,
  desp.m.ik[mes], "&lt;"&amp;EOMONTH(O$1,0)+1,
  desp.m.ik[classe], "&lt;&gt;Financiamento"
)</f>
        <v>0</v>
      </c>
      <c r="P54" s="183">
        <f ca="1">-SUMIFS(
  desp.m.ik[valor],
  desp.m.ik[nucleo], $B54,
  desp.m.ik[centro.negocio], $B$53,
  desp.m.ik[mes], "&gt;="&amp;P$1,
  desp.m.ik[mes], "&lt;"&amp;EOMONTH(P$1,0)+1,
  desp.m.ik[classe], "&lt;&gt;Financiamento"
)</f>
        <v>0</v>
      </c>
      <c r="Q54" s="183">
        <f ca="1">-SUMIFS(
  desp.m.ik[valor],
  desp.m.ik[nucleo], $B54,
  desp.m.ik[centro.negocio], $B$53,
  desp.m.ik[mes], "&gt;="&amp;Q$1,
  desp.m.ik[mes], "&lt;"&amp;EOMONTH(Q$1,0)+1,
  desp.m.ik[classe], "&lt;&gt;Financiamento"
)</f>
        <v>0</v>
      </c>
      <c r="R54" s="183">
        <f ca="1">-SUMIFS(
  desp.m.ik[valor],
  desp.m.ik[nucleo], $B54,
  desp.m.ik[centro.negocio], $B$53,
  desp.m.ik[mes], "&gt;="&amp;R$1,
  desp.m.ik[mes], "&lt;"&amp;EOMONTH(R$1,0)+1,
  desp.m.ik[classe], "&lt;&gt;Financiamento"
)</f>
        <v>0</v>
      </c>
      <c r="S54" s="183">
        <f ca="1">-SUMIFS(
  desp.m.ik[valor],
  desp.m.ik[nucleo], $B54,
  desp.m.ik[centro.negocio], $B$53,
  desp.m.ik[mes], "&gt;="&amp;S$1,
  desp.m.ik[mes], "&lt;"&amp;EOMONTH(S$1,0)+1,
  desp.m.ik[classe], "&lt;&gt;Financiamento"
)</f>
        <v>0</v>
      </c>
      <c r="T54" s="183">
        <f ca="1">-SUMIFS(
  desp.m.ik[valor],
  desp.m.ik[nucleo], $B54,
  desp.m.ik[centro.negocio], $B$53,
  desp.m.ik[mes], "&gt;="&amp;T$1,
  desp.m.ik[mes], "&lt;"&amp;EOMONTH(T$1,0)+1,
  desp.m.ik[classe], "&lt;&gt;Financiamento"
)</f>
        <v>0</v>
      </c>
      <c r="U54" s="183">
        <f ca="1">-SUMIFS(
  desp.m.ik[valor],
  desp.m.ik[nucleo], $B54,
  desp.m.ik[centro.negocio], $B$53,
  desp.m.ik[mes], "&gt;="&amp;U$1,
  desp.m.ik[mes], "&lt;"&amp;EOMONTH(U$1,0)+1,
  desp.m.ik[classe], "&lt;&gt;Financiamento"
)</f>
        <v>0</v>
      </c>
      <c r="V54" s="183">
        <f ca="1">-SUMIFS(
  desp.m.ik[valor],
  desp.m.ik[nucleo], $B54,
  desp.m.ik[centro.negocio], $B$53,
  desp.m.ik[mes], "&gt;="&amp;V$1,
  desp.m.ik[mes], "&lt;"&amp;EOMONTH(V$1,0)+1,
  desp.m.ik[classe], "&lt;&gt;Financiamento"
)</f>
        <v>0</v>
      </c>
      <c r="W54" s="183">
        <f ca="1">-SUMIFS(
  desp.m.ik[valor],
  desp.m.ik[nucleo], $B54,
  desp.m.ik[centro.negocio], $B$53,
  desp.m.ik[mes], "&gt;="&amp;W$1,
  desp.m.ik[mes], "&lt;"&amp;EOMONTH(W$1,0)+1,
  desp.m.ik[classe], "&lt;&gt;Financiamento"
)</f>
        <v>0</v>
      </c>
      <c r="X54" s="183">
        <f ca="1">-SUMIFS(
  desp.m.ik[valor],
  desp.m.ik[nucleo], $B54,
  desp.m.ik[centro.negocio], $B$53,
  desp.m.ik[mes], "&gt;="&amp;X$1,
  desp.m.ik[mes], "&lt;"&amp;EOMONTH(X$1,0)+1,
  desp.m.ik[classe], "&lt;&gt;Financiamento"
)</f>
        <v>0</v>
      </c>
      <c r="Y54" s="183">
        <f ca="1">-SUMIFS(
  desp.m.ik[valor],
  desp.m.ik[nucleo], $B54,
  desp.m.ik[centro.negocio], $B$53,
  desp.m.ik[mes], "&gt;="&amp;Y$1,
  desp.m.ik[mes], "&lt;"&amp;EOMONTH(Y$1,0)+1,
  desp.m.ik[classe], "&lt;&gt;Financiamento"
)</f>
        <v>0</v>
      </c>
      <c r="Z54" s="183">
        <f ca="1">-SUMIFS(
  desp.m.ik[valor],
  desp.m.ik[nucleo], $B54,
  desp.m.ik[centro.negocio], $B$53,
  desp.m.ik[mes], "&gt;="&amp;Z$1,
  desp.m.ik[mes], "&lt;"&amp;EOMONTH(Z$1,0)+1,
  desp.m.ik[classe], "&lt;&gt;Financiamento"
)</f>
        <v>0</v>
      </c>
      <c r="AA54" s="183">
        <f ca="1">-SUMIFS(
  desp.m.ik[valor],
  desp.m.ik[nucleo], $B54,
  desp.m.ik[centro.negocio], $B$53,
  desp.m.ik[mes], "&gt;="&amp;AA$1,
  desp.m.ik[mes], "&lt;"&amp;EOMONTH(AA$1,0)+1,
  desp.m.ik[classe], "&lt;&gt;Financiamento"
)</f>
        <v>0</v>
      </c>
      <c r="AC54" s="175">
        <f ca="1">SUM($D54:INDEX($D54:$AA54,1,MATCH(DATE(YEAR(inputs!$A$1),MONTH(inputs!$A$1),1),$D$1:$AA$1,0)))</f>
        <v>0</v>
      </c>
      <c r="AE54" s="175">
        <f ca="1">SUM(D54:AA54)</f>
        <v>0</v>
      </c>
    </row>
    <row r="55" spans="1:31" outlineLevel="2" x14ac:dyDescent="0.25">
      <c r="A55" s="182" t="s">
        <v>550</v>
      </c>
      <c r="B55" s="182" t="s">
        <v>541</v>
      </c>
      <c r="C55" s="135" t="s">
        <v>514</v>
      </c>
      <c r="D55" s="183">
        <f ca="1">-SUMIFS(
  desp.m.ik[valor],
  desp.m.ik[nucleo], $B55,
  desp.m.ik[centro.negocio], $B$53,
  desp.m.ik[mes], "&gt;="&amp;D$1,
  desp.m.ik[mes], "&lt;"&amp;EOMONTH(D$1,0)+1,
  desp.m.ik[classe], "&lt;&gt;Financiamento"
)</f>
        <v>0</v>
      </c>
      <c r="E55" s="183">
        <f ca="1">-SUMIFS(
  desp.m.ik[valor],
  desp.m.ik[nucleo], $B55,
  desp.m.ik[centro.negocio], $B$53,
  desp.m.ik[mes], "&gt;="&amp;E$1,
  desp.m.ik[mes], "&lt;"&amp;EOMONTH(E$1,0)+1,
  desp.m.ik[classe], "&lt;&gt;Financiamento"
)</f>
        <v>0</v>
      </c>
      <c r="F55" s="183">
        <f ca="1">-SUMIFS(
  desp.m.ik[valor],
  desp.m.ik[nucleo], $B55,
  desp.m.ik[centro.negocio], $B$53,
  desp.m.ik[mes], "&gt;="&amp;F$1,
  desp.m.ik[mes], "&lt;"&amp;EOMONTH(F$1,0)+1,
  desp.m.ik[classe], "&lt;&gt;Financiamento"
)</f>
        <v>0</v>
      </c>
      <c r="G55" s="183">
        <f ca="1">-SUMIFS(
  desp.m.ik[valor],
  desp.m.ik[nucleo], $B55,
  desp.m.ik[centro.negocio], $B$53,
  desp.m.ik[mes], "&gt;="&amp;G$1,
  desp.m.ik[mes], "&lt;"&amp;EOMONTH(G$1,0)+1,
  desp.m.ik[classe], "&lt;&gt;Financiamento"
)</f>
        <v>0</v>
      </c>
      <c r="H55" s="183">
        <f ca="1">-SUMIFS(
  desp.m.ik[valor],
  desp.m.ik[nucleo], $B55,
  desp.m.ik[centro.negocio], $B$53,
  desp.m.ik[mes], "&gt;="&amp;H$1,
  desp.m.ik[mes], "&lt;"&amp;EOMONTH(H$1,0)+1,
  desp.m.ik[classe], "&lt;&gt;Financiamento"
)</f>
        <v>0</v>
      </c>
      <c r="I55" s="183">
        <f ca="1">-SUMIFS(
  desp.m.ik[valor],
  desp.m.ik[nucleo], $B55,
  desp.m.ik[centro.negocio], $B$53,
  desp.m.ik[mes], "&gt;="&amp;I$1,
  desp.m.ik[mes], "&lt;"&amp;EOMONTH(I$1,0)+1,
  desp.m.ik[classe], "&lt;&gt;Financiamento"
)</f>
        <v>0</v>
      </c>
      <c r="J55" s="183">
        <f ca="1">-SUMIFS(
  desp.m.ik[valor],
  desp.m.ik[nucleo], $B55,
  desp.m.ik[centro.negocio], $B$53,
  desp.m.ik[mes], "&gt;="&amp;J$1,
  desp.m.ik[mes], "&lt;"&amp;EOMONTH(J$1,0)+1,
  desp.m.ik[classe], "&lt;&gt;Financiamento"
)</f>
        <v>0</v>
      </c>
      <c r="K55" s="183">
        <f ca="1">-SUMIFS(
  desp.m.ik[valor],
  desp.m.ik[nucleo], $B55,
  desp.m.ik[centro.negocio], $B$53,
  desp.m.ik[mes], "&gt;="&amp;K$1,
  desp.m.ik[mes], "&lt;"&amp;EOMONTH(K$1,0)+1,
  desp.m.ik[classe], "&lt;&gt;Financiamento"
)</f>
        <v>0</v>
      </c>
      <c r="L55" s="183">
        <f ca="1">-SUMIFS(
  desp.m.ik[valor],
  desp.m.ik[nucleo], $B55,
  desp.m.ik[centro.negocio], $B$53,
  desp.m.ik[mes], "&gt;="&amp;L$1,
  desp.m.ik[mes], "&lt;"&amp;EOMONTH(L$1,0)+1,
  desp.m.ik[classe], "&lt;&gt;Financiamento"
)</f>
        <v>0</v>
      </c>
      <c r="M55" s="183">
        <f ca="1">-SUMIFS(
  desp.m.ik[valor],
  desp.m.ik[nucleo], $B55,
  desp.m.ik[centro.negocio], $B$53,
  desp.m.ik[mes], "&gt;="&amp;M$1,
  desp.m.ik[mes], "&lt;"&amp;EOMONTH(M$1,0)+1,
  desp.m.ik[classe], "&lt;&gt;Financiamento"
)</f>
        <v>0</v>
      </c>
      <c r="N55" s="183">
        <f ca="1">-SUMIFS(
  desp.m.ik[valor],
  desp.m.ik[nucleo], $B55,
  desp.m.ik[centro.negocio], $B$53,
  desp.m.ik[mes], "&gt;="&amp;N$1,
  desp.m.ik[mes], "&lt;"&amp;EOMONTH(N$1,0)+1,
  desp.m.ik[classe], "&lt;&gt;Financiamento"
)</f>
        <v>0</v>
      </c>
      <c r="O55" s="183">
        <f ca="1">-SUMIFS(
  desp.m.ik[valor],
  desp.m.ik[nucleo], $B55,
  desp.m.ik[centro.negocio], $B$53,
  desp.m.ik[mes], "&gt;="&amp;O$1,
  desp.m.ik[mes], "&lt;"&amp;EOMONTH(O$1,0)+1,
  desp.m.ik[classe], "&lt;&gt;Financiamento"
)</f>
        <v>0</v>
      </c>
      <c r="P55" s="183">
        <f ca="1">-SUMIFS(
  desp.m.ik[valor],
  desp.m.ik[nucleo], $B55,
  desp.m.ik[centro.negocio], $B$53,
  desp.m.ik[mes], "&gt;="&amp;P$1,
  desp.m.ik[mes], "&lt;"&amp;EOMONTH(P$1,0)+1,
  desp.m.ik[classe], "&lt;&gt;Financiamento"
)</f>
        <v>0</v>
      </c>
      <c r="Q55" s="183">
        <f ca="1">-SUMIFS(
  desp.m.ik[valor],
  desp.m.ik[nucleo], $B55,
  desp.m.ik[centro.negocio], $B$53,
  desp.m.ik[mes], "&gt;="&amp;Q$1,
  desp.m.ik[mes], "&lt;"&amp;EOMONTH(Q$1,0)+1,
  desp.m.ik[classe], "&lt;&gt;Financiamento"
)</f>
        <v>0</v>
      </c>
      <c r="R55" s="183">
        <f ca="1">-SUMIFS(
  desp.m.ik[valor],
  desp.m.ik[nucleo], $B55,
  desp.m.ik[centro.negocio], $B$53,
  desp.m.ik[mes], "&gt;="&amp;R$1,
  desp.m.ik[mes], "&lt;"&amp;EOMONTH(R$1,0)+1,
  desp.m.ik[classe], "&lt;&gt;Financiamento"
)</f>
        <v>0</v>
      </c>
      <c r="S55" s="183">
        <f ca="1">-SUMIFS(
  desp.m.ik[valor],
  desp.m.ik[nucleo], $B55,
  desp.m.ik[centro.negocio], $B$53,
  desp.m.ik[mes], "&gt;="&amp;S$1,
  desp.m.ik[mes], "&lt;"&amp;EOMONTH(S$1,0)+1,
  desp.m.ik[classe], "&lt;&gt;Financiamento"
)</f>
        <v>0</v>
      </c>
      <c r="T55" s="183">
        <f ca="1">-SUMIFS(
  desp.m.ik[valor],
  desp.m.ik[nucleo], $B55,
  desp.m.ik[centro.negocio], $B$53,
  desp.m.ik[mes], "&gt;="&amp;T$1,
  desp.m.ik[mes], "&lt;"&amp;EOMONTH(T$1,0)+1,
  desp.m.ik[classe], "&lt;&gt;Financiamento"
)</f>
        <v>0</v>
      </c>
      <c r="U55" s="183">
        <f ca="1">-SUMIFS(
  desp.m.ik[valor],
  desp.m.ik[nucleo], $B55,
  desp.m.ik[centro.negocio], $B$53,
  desp.m.ik[mes], "&gt;="&amp;U$1,
  desp.m.ik[mes], "&lt;"&amp;EOMONTH(U$1,0)+1,
  desp.m.ik[classe], "&lt;&gt;Financiamento"
)</f>
        <v>0</v>
      </c>
      <c r="V55" s="183">
        <f ca="1">-SUMIFS(
  desp.m.ik[valor],
  desp.m.ik[nucleo], $B55,
  desp.m.ik[centro.negocio], $B$53,
  desp.m.ik[mes], "&gt;="&amp;V$1,
  desp.m.ik[mes], "&lt;"&amp;EOMONTH(V$1,0)+1,
  desp.m.ik[classe], "&lt;&gt;Financiamento"
)</f>
        <v>0</v>
      </c>
      <c r="W55" s="183">
        <f ca="1">-SUMIFS(
  desp.m.ik[valor],
  desp.m.ik[nucleo], $B55,
  desp.m.ik[centro.negocio], $B$53,
  desp.m.ik[mes], "&gt;="&amp;W$1,
  desp.m.ik[mes], "&lt;"&amp;EOMONTH(W$1,0)+1,
  desp.m.ik[classe], "&lt;&gt;Financiamento"
)</f>
        <v>0</v>
      </c>
      <c r="X55" s="183">
        <f ca="1">-SUMIFS(
  desp.m.ik[valor],
  desp.m.ik[nucleo], $B55,
  desp.m.ik[centro.negocio], $B$53,
  desp.m.ik[mes], "&gt;="&amp;X$1,
  desp.m.ik[mes], "&lt;"&amp;EOMONTH(X$1,0)+1,
  desp.m.ik[classe], "&lt;&gt;Financiamento"
)</f>
        <v>0</v>
      </c>
      <c r="Y55" s="183">
        <f ca="1">-SUMIFS(
  desp.m.ik[valor],
  desp.m.ik[nucleo], $B55,
  desp.m.ik[centro.negocio], $B$53,
  desp.m.ik[mes], "&gt;="&amp;Y$1,
  desp.m.ik[mes], "&lt;"&amp;EOMONTH(Y$1,0)+1,
  desp.m.ik[classe], "&lt;&gt;Financiamento"
)</f>
        <v>0</v>
      </c>
      <c r="Z55" s="183">
        <f ca="1">-SUMIFS(
  desp.m.ik[valor],
  desp.m.ik[nucleo], $B55,
  desp.m.ik[centro.negocio], $B$53,
  desp.m.ik[mes], "&gt;="&amp;Z$1,
  desp.m.ik[mes], "&lt;"&amp;EOMONTH(Z$1,0)+1,
  desp.m.ik[classe], "&lt;&gt;Financiamento"
)</f>
        <v>0</v>
      </c>
      <c r="AA55" s="183">
        <f ca="1">-SUMIFS(
  desp.m.ik[valor],
  desp.m.ik[nucleo], $B55,
  desp.m.ik[centro.negocio], $B$53,
  desp.m.ik[mes], "&gt;="&amp;AA$1,
  desp.m.ik[mes], "&lt;"&amp;EOMONTH(AA$1,0)+1,
  desp.m.ik[classe], "&lt;&gt;Financiamento"
)</f>
        <v>0</v>
      </c>
      <c r="AC55" s="175">
        <f ca="1">SUM($D55:INDEX($D55:$AA55,1,MATCH(DATE(YEAR(inputs!$A$1),MONTH(inputs!$A$1),1),$D$1:$AA$1,0)))</f>
        <v>0</v>
      </c>
      <c r="AE55" s="175">
        <f t="shared" ca="1" si="1"/>
        <v>0</v>
      </c>
    </row>
    <row r="56" spans="1:31" outlineLevel="2" x14ac:dyDescent="0.25">
      <c r="A56" s="182" t="s">
        <v>553</v>
      </c>
      <c r="B56" s="182" t="s">
        <v>531</v>
      </c>
      <c r="C56" s="135" t="s">
        <v>514</v>
      </c>
      <c r="D56" s="183">
        <f ca="1">-SUMIFS(
  desp.m.ik[valor],
  desp.m.ik[nucleo], $B56,
  desp.m.ik[centro.negocio], $B$53,
  desp.m.ik[mes], "&gt;="&amp;D$1,
  desp.m.ik[mes], "&lt;"&amp;EOMONTH(D$1,0)+1,
  desp.m.ik[classe], "&lt;&gt;Financiamento"
)</f>
        <v>0</v>
      </c>
      <c r="E56" s="183">
        <f ca="1">-SUMIFS(
  desp.m.ik[valor],
  desp.m.ik[nucleo], $B56,
  desp.m.ik[centro.negocio], $B$53,
  desp.m.ik[mes], "&gt;="&amp;E$1,
  desp.m.ik[mes], "&lt;"&amp;EOMONTH(E$1,0)+1,
  desp.m.ik[classe], "&lt;&gt;Financiamento"
)</f>
        <v>0</v>
      </c>
      <c r="F56" s="183">
        <f ca="1">-SUMIFS(
  desp.m.ik[valor],
  desp.m.ik[nucleo], $B56,
  desp.m.ik[centro.negocio], $B$53,
  desp.m.ik[mes], "&gt;="&amp;F$1,
  desp.m.ik[mes], "&lt;"&amp;EOMONTH(F$1,0)+1,
  desp.m.ik[classe], "&lt;&gt;Financiamento"
)</f>
        <v>0</v>
      </c>
      <c r="G56" s="183">
        <f ca="1">-SUMIFS(
  desp.m.ik[valor],
  desp.m.ik[nucleo], $B56,
  desp.m.ik[centro.negocio], $B$53,
  desp.m.ik[mes], "&gt;="&amp;G$1,
  desp.m.ik[mes], "&lt;"&amp;EOMONTH(G$1,0)+1,
  desp.m.ik[classe], "&lt;&gt;Financiamento"
)</f>
        <v>0</v>
      </c>
      <c r="H56" s="183">
        <f ca="1">-SUMIFS(
  desp.m.ik[valor],
  desp.m.ik[nucleo], $B56,
  desp.m.ik[centro.negocio], $B$53,
  desp.m.ik[mes], "&gt;="&amp;H$1,
  desp.m.ik[mes], "&lt;"&amp;EOMONTH(H$1,0)+1,
  desp.m.ik[classe], "&lt;&gt;Financiamento"
)</f>
        <v>0</v>
      </c>
      <c r="I56" s="183">
        <f ca="1">-SUMIFS(
  desp.m.ik[valor],
  desp.m.ik[nucleo], $B56,
  desp.m.ik[centro.negocio], $B$53,
  desp.m.ik[mes], "&gt;="&amp;I$1,
  desp.m.ik[mes], "&lt;"&amp;EOMONTH(I$1,0)+1,
  desp.m.ik[classe], "&lt;&gt;Financiamento"
)</f>
        <v>0</v>
      </c>
      <c r="J56" s="183">
        <f ca="1">-SUMIFS(
  desp.m.ik[valor],
  desp.m.ik[nucleo], $B56,
  desp.m.ik[centro.negocio], $B$53,
  desp.m.ik[mes], "&gt;="&amp;J$1,
  desp.m.ik[mes], "&lt;"&amp;EOMONTH(J$1,0)+1,
  desp.m.ik[classe], "&lt;&gt;Financiamento"
)</f>
        <v>0</v>
      </c>
      <c r="K56" s="183">
        <f ca="1">-SUMIFS(
  desp.m.ik[valor],
  desp.m.ik[nucleo], $B56,
  desp.m.ik[centro.negocio], $B$53,
  desp.m.ik[mes], "&gt;="&amp;K$1,
  desp.m.ik[mes], "&lt;"&amp;EOMONTH(K$1,0)+1,
  desp.m.ik[classe], "&lt;&gt;Financiamento"
)</f>
        <v>0</v>
      </c>
      <c r="L56" s="183">
        <f ca="1">-SUMIFS(
  desp.m.ik[valor],
  desp.m.ik[nucleo], $B56,
  desp.m.ik[centro.negocio], $B$53,
  desp.m.ik[mes], "&gt;="&amp;L$1,
  desp.m.ik[mes], "&lt;"&amp;EOMONTH(L$1,0)+1,
  desp.m.ik[classe], "&lt;&gt;Financiamento"
)</f>
        <v>0</v>
      </c>
      <c r="M56" s="183">
        <f ca="1">-SUMIFS(
  desp.m.ik[valor],
  desp.m.ik[nucleo], $B56,
  desp.m.ik[centro.negocio], $B$53,
  desp.m.ik[mes], "&gt;="&amp;M$1,
  desp.m.ik[mes], "&lt;"&amp;EOMONTH(M$1,0)+1,
  desp.m.ik[classe], "&lt;&gt;Financiamento"
)</f>
        <v>0</v>
      </c>
      <c r="N56" s="183">
        <f ca="1">-SUMIFS(
  desp.m.ik[valor],
  desp.m.ik[nucleo], $B56,
  desp.m.ik[centro.negocio], $B$53,
  desp.m.ik[mes], "&gt;="&amp;N$1,
  desp.m.ik[mes], "&lt;"&amp;EOMONTH(N$1,0)+1,
  desp.m.ik[classe], "&lt;&gt;Financiamento"
)</f>
        <v>0</v>
      </c>
      <c r="O56" s="183">
        <f ca="1">-SUMIFS(
  desp.m.ik[valor],
  desp.m.ik[nucleo], $B56,
  desp.m.ik[centro.negocio], $B$53,
  desp.m.ik[mes], "&gt;="&amp;O$1,
  desp.m.ik[mes], "&lt;"&amp;EOMONTH(O$1,0)+1,
  desp.m.ik[classe], "&lt;&gt;Financiamento"
)</f>
        <v>0</v>
      </c>
      <c r="P56" s="183">
        <f ca="1">-SUMIFS(
  desp.m.ik[valor],
  desp.m.ik[nucleo], $B56,
  desp.m.ik[centro.negocio], $B$53,
  desp.m.ik[mes], "&gt;="&amp;P$1,
  desp.m.ik[mes], "&lt;"&amp;EOMONTH(P$1,0)+1,
  desp.m.ik[classe], "&lt;&gt;Financiamento"
)</f>
        <v>0</v>
      </c>
      <c r="Q56" s="183">
        <f ca="1">-SUMIFS(
  desp.m.ik[valor],
  desp.m.ik[nucleo], $B56,
  desp.m.ik[centro.negocio], $B$53,
  desp.m.ik[mes], "&gt;="&amp;Q$1,
  desp.m.ik[mes], "&lt;"&amp;EOMONTH(Q$1,0)+1,
  desp.m.ik[classe], "&lt;&gt;Financiamento"
)</f>
        <v>0</v>
      </c>
      <c r="R56" s="183">
        <f ca="1">-SUMIFS(
  desp.m.ik[valor],
  desp.m.ik[nucleo], $B56,
  desp.m.ik[centro.negocio], $B$53,
  desp.m.ik[mes], "&gt;="&amp;R$1,
  desp.m.ik[mes], "&lt;"&amp;EOMONTH(R$1,0)+1,
  desp.m.ik[classe], "&lt;&gt;Financiamento"
)</f>
        <v>0</v>
      </c>
      <c r="S56" s="183">
        <f ca="1">-SUMIFS(
  desp.m.ik[valor],
  desp.m.ik[nucleo], $B56,
  desp.m.ik[centro.negocio], $B$53,
  desp.m.ik[mes], "&gt;="&amp;S$1,
  desp.m.ik[mes], "&lt;"&amp;EOMONTH(S$1,0)+1,
  desp.m.ik[classe], "&lt;&gt;Financiamento"
)</f>
        <v>0</v>
      </c>
      <c r="T56" s="183">
        <f ca="1">-SUMIFS(
  desp.m.ik[valor],
  desp.m.ik[nucleo], $B56,
  desp.m.ik[centro.negocio], $B$53,
  desp.m.ik[mes], "&gt;="&amp;T$1,
  desp.m.ik[mes], "&lt;"&amp;EOMONTH(T$1,0)+1,
  desp.m.ik[classe], "&lt;&gt;Financiamento"
)</f>
        <v>0</v>
      </c>
      <c r="U56" s="183">
        <f ca="1">-SUMIFS(
  desp.m.ik[valor],
  desp.m.ik[nucleo], $B56,
  desp.m.ik[centro.negocio], $B$53,
  desp.m.ik[mes], "&gt;="&amp;U$1,
  desp.m.ik[mes], "&lt;"&amp;EOMONTH(U$1,0)+1,
  desp.m.ik[classe], "&lt;&gt;Financiamento"
)</f>
        <v>0</v>
      </c>
      <c r="V56" s="183">
        <f ca="1">-SUMIFS(
  desp.m.ik[valor],
  desp.m.ik[nucleo], $B56,
  desp.m.ik[centro.negocio], $B$53,
  desp.m.ik[mes], "&gt;="&amp;V$1,
  desp.m.ik[mes], "&lt;"&amp;EOMONTH(V$1,0)+1,
  desp.m.ik[classe], "&lt;&gt;Financiamento"
)</f>
        <v>0</v>
      </c>
      <c r="W56" s="183">
        <f ca="1">-SUMIFS(
  desp.m.ik[valor],
  desp.m.ik[nucleo], $B56,
  desp.m.ik[centro.negocio], $B$53,
  desp.m.ik[mes], "&gt;="&amp;W$1,
  desp.m.ik[mes], "&lt;"&amp;EOMONTH(W$1,0)+1,
  desp.m.ik[classe], "&lt;&gt;Financiamento"
)</f>
        <v>0</v>
      </c>
      <c r="X56" s="183">
        <f ca="1">-SUMIFS(
  desp.m.ik[valor],
  desp.m.ik[nucleo], $B56,
  desp.m.ik[centro.negocio], $B$53,
  desp.m.ik[mes], "&gt;="&amp;X$1,
  desp.m.ik[mes], "&lt;"&amp;EOMONTH(X$1,0)+1,
  desp.m.ik[classe], "&lt;&gt;Financiamento"
)</f>
        <v>0</v>
      </c>
      <c r="Y56" s="183">
        <f ca="1">-SUMIFS(
  desp.m.ik[valor],
  desp.m.ik[nucleo], $B56,
  desp.m.ik[centro.negocio], $B$53,
  desp.m.ik[mes], "&gt;="&amp;Y$1,
  desp.m.ik[mes], "&lt;"&amp;EOMONTH(Y$1,0)+1,
  desp.m.ik[classe], "&lt;&gt;Financiamento"
)</f>
        <v>0</v>
      </c>
      <c r="Z56" s="183">
        <f ca="1">-SUMIFS(
  desp.m.ik[valor],
  desp.m.ik[nucleo], $B56,
  desp.m.ik[centro.negocio], $B$53,
  desp.m.ik[mes], "&gt;="&amp;Z$1,
  desp.m.ik[mes], "&lt;"&amp;EOMONTH(Z$1,0)+1,
  desp.m.ik[classe], "&lt;&gt;Financiamento"
)</f>
        <v>0</v>
      </c>
      <c r="AA56" s="183">
        <f ca="1">-SUMIFS(
  desp.m.ik[valor],
  desp.m.ik[nucleo], $B56,
  desp.m.ik[centro.negocio], $B$53,
  desp.m.ik[mes], "&gt;="&amp;AA$1,
  desp.m.ik[mes], "&lt;"&amp;EOMONTH(AA$1,0)+1,
  desp.m.ik[classe], "&lt;&gt;Financiamento"
)</f>
        <v>0</v>
      </c>
      <c r="AC56" s="175">
        <f ca="1">SUM($D56:INDEX($D56:$AA56,1,MATCH(DATE(YEAR(inputs!$A$1),MONTH(inputs!$A$1),1),$D$1:$AA$1,0)))</f>
        <v>0</v>
      </c>
      <c r="AE56" s="175">
        <f ca="1">SUM(D56:AA56)</f>
        <v>0</v>
      </c>
    </row>
    <row r="57" spans="1:31" outlineLevel="2" x14ac:dyDescent="0.25">
      <c r="A57" s="182" t="s">
        <v>552</v>
      </c>
      <c r="B57" s="182" t="s">
        <v>537</v>
      </c>
      <c r="C57" s="135" t="s">
        <v>514</v>
      </c>
      <c r="D57" s="183">
        <f ca="1">-SUMIFS(
  desp.m.ik[valor],
  desp.m.ik[nucleo], $B57,
  desp.m.ik[centro.negocio], $B$53,
  desp.m.ik[mes], "&gt;="&amp;D$1,
  desp.m.ik[mes], "&lt;"&amp;EOMONTH(D$1,0)+1,
  desp.m.ik[classe], "&lt;&gt;Financiamento"
)</f>
        <v>0</v>
      </c>
      <c r="E57" s="183">
        <f ca="1">-SUMIFS(
  desp.m.ik[valor],
  desp.m.ik[nucleo], $B57,
  desp.m.ik[centro.negocio], $B$53,
  desp.m.ik[mes], "&gt;="&amp;E$1,
  desp.m.ik[mes], "&lt;"&amp;EOMONTH(E$1,0)+1,
  desp.m.ik[classe], "&lt;&gt;Financiamento"
)</f>
        <v>0</v>
      </c>
      <c r="F57" s="183">
        <f ca="1">-SUMIFS(
  desp.m.ik[valor],
  desp.m.ik[nucleo], $B57,
  desp.m.ik[centro.negocio], $B$53,
  desp.m.ik[mes], "&gt;="&amp;F$1,
  desp.m.ik[mes], "&lt;"&amp;EOMONTH(F$1,0)+1,
  desp.m.ik[classe], "&lt;&gt;Financiamento"
)</f>
        <v>0</v>
      </c>
      <c r="G57" s="183">
        <f ca="1">-SUMIFS(
  desp.m.ik[valor],
  desp.m.ik[nucleo], $B57,
  desp.m.ik[centro.negocio], $B$53,
  desp.m.ik[mes], "&gt;="&amp;G$1,
  desp.m.ik[mes], "&lt;"&amp;EOMONTH(G$1,0)+1,
  desp.m.ik[classe], "&lt;&gt;Financiamento"
)</f>
        <v>0</v>
      </c>
      <c r="H57" s="183">
        <f ca="1">-SUMIFS(
  desp.m.ik[valor],
  desp.m.ik[nucleo], $B57,
  desp.m.ik[centro.negocio], $B$53,
  desp.m.ik[mes], "&gt;="&amp;H$1,
  desp.m.ik[mes], "&lt;"&amp;EOMONTH(H$1,0)+1,
  desp.m.ik[classe], "&lt;&gt;Financiamento"
)</f>
        <v>0</v>
      </c>
      <c r="I57" s="183">
        <f ca="1">-SUMIFS(
  desp.m.ik[valor],
  desp.m.ik[nucleo], $B57,
  desp.m.ik[centro.negocio], $B$53,
  desp.m.ik[mes], "&gt;="&amp;I$1,
  desp.m.ik[mes], "&lt;"&amp;EOMONTH(I$1,0)+1,
  desp.m.ik[classe], "&lt;&gt;Financiamento"
)</f>
        <v>0</v>
      </c>
      <c r="J57" s="183">
        <f ca="1">-SUMIFS(
  desp.m.ik[valor],
  desp.m.ik[nucleo], $B57,
  desp.m.ik[centro.negocio], $B$53,
  desp.m.ik[mes], "&gt;="&amp;J$1,
  desp.m.ik[mes], "&lt;"&amp;EOMONTH(J$1,0)+1,
  desp.m.ik[classe], "&lt;&gt;Financiamento"
)</f>
        <v>0</v>
      </c>
      <c r="K57" s="183">
        <f ca="1">-SUMIFS(
  desp.m.ik[valor],
  desp.m.ik[nucleo], $B57,
  desp.m.ik[centro.negocio], $B$53,
  desp.m.ik[mes], "&gt;="&amp;K$1,
  desp.m.ik[mes], "&lt;"&amp;EOMONTH(K$1,0)+1,
  desp.m.ik[classe], "&lt;&gt;Financiamento"
)</f>
        <v>0</v>
      </c>
      <c r="L57" s="183">
        <f ca="1">-SUMIFS(
  desp.m.ik[valor],
  desp.m.ik[nucleo], $B57,
  desp.m.ik[centro.negocio], $B$53,
  desp.m.ik[mes], "&gt;="&amp;L$1,
  desp.m.ik[mes], "&lt;"&amp;EOMONTH(L$1,0)+1,
  desp.m.ik[classe], "&lt;&gt;Financiamento"
)</f>
        <v>0</v>
      </c>
      <c r="M57" s="183">
        <f ca="1">-SUMIFS(
  desp.m.ik[valor],
  desp.m.ik[nucleo], $B57,
  desp.m.ik[centro.negocio], $B$53,
  desp.m.ik[mes], "&gt;="&amp;M$1,
  desp.m.ik[mes], "&lt;"&amp;EOMONTH(M$1,0)+1,
  desp.m.ik[classe], "&lt;&gt;Financiamento"
)</f>
        <v>0</v>
      </c>
      <c r="N57" s="183">
        <f ca="1">-SUMIFS(
  desp.m.ik[valor],
  desp.m.ik[nucleo], $B57,
  desp.m.ik[centro.negocio], $B$53,
  desp.m.ik[mes], "&gt;="&amp;N$1,
  desp.m.ik[mes], "&lt;"&amp;EOMONTH(N$1,0)+1,
  desp.m.ik[classe], "&lt;&gt;Financiamento"
)</f>
        <v>0</v>
      </c>
      <c r="O57" s="183">
        <f ca="1">-SUMIFS(
  desp.m.ik[valor],
  desp.m.ik[nucleo], $B57,
  desp.m.ik[centro.negocio], $B$53,
  desp.m.ik[mes], "&gt;="&amp;O$1,
  desp.m.ik[mes], "&lt;"&amp;EOMONTH(O$1,0)+1,
  desp.m.ik[classe], "&lt;&gt;Financiamento"
)</f>
        <v>0</v>
      </c>
      <c r="P57" s="183">
        <f ca="1">-SUMIFS(
  desp.m.ik[valor],
  desp.m.ik[nucleo], $B57,
  desp.m.ik[centro.negocio], $B$53,
  desp.m.ik[mes], "&gt;="&amp;P$1,
  desp.m.ik[mes], "&lt;"&amp;EOMONTH(P$1,0)+1,
  desp.m.ik[classe], "&lt;&gt;Financiamento"
)</f>
        <v>0</v>
      </c>
      <c r="Q57" s="183">
        <f ca="1">-SUMIFS(
  desp.m.ik[valor],
  desp.m.ik[nucleo], $B57,
  desp.m.ik[centro.negocio], $B$53,
  desp.m.ik[mes], "&gt;="&amp;Q$1,
  desp.m.ik[mes], "&lt;"&amp;EOMONTH(Q$1,0)+1,
  desp.m.ik[classe], "&lt;&gt;Financiamento"
)</f>
        <v>0</v>
      </c>
      <c r="R57" s="183">
        <f ca="1">-SUMIFS(
  desp.m.ik[valor],
  desp.m.ik[nucleo], $B57,
  desp.m.ik[centro.negocio], $B$53,
  desp.m.ik[mes], "&gt;="&amp;R$1,
  desp.m.ik[mes], "&lt;"&amp;EOMONTH(R$1,0)+1,
  desp.m.ik[classe], "&lt;&gt;Financiamento"
)</f>
        <v>0</v>
      </c>
      <c r="S57" s="183">
        <f ca="1">-SUMIFS(
  desp.m.ik[valor],
  desp.m.ik[nucleo], $B57,
  desp.m.ik[centro.negocio], $B$53,
  desp.m.ik[mes], "&gt;="&amp;S$1,
  desp.m.ik[mes], "&lt;"&amp;EOMONTH(S$1,0)+1,
  desp.m.ik[classe], "&lt;&gt;Financiamento"
)</f>
        <v>0</v>
      </c>
      <c r="T57" s="183">
        <f ca="1">-SUMIFS(
  desp.m.ik[valor],
  desp.m.ik[nucleo], $B57,
  desp.m.ik[centro.negocio], $B$53,
  desp.m.ik[mes], "&gt;="&amp;T$1,
  desp.m.ik[mes], "&lt;"&amp;EOMONTH(T$1,0)+1,
  desp.m.ik[classe], "&lt;&gt;Financiamento"
)</f>
        <v>0</v>
      </c>
      <c r="U57" s="183">
        <f ca="1">-SUMIFS(
  desp.m.ik[valor],
  desp.m.ik[nucleo], $B57,
  desp.m.ik[centro.negocio], $B$53,
  desp.m.ik[mes], "&gt;="&amp;U$1,
  desp.m.ik[mes], "&lt;"&amp;EOMONTH(U$1,0)+1,
  desp.m.ik[classe], "&lt;&gt;Financiamento"
)</f>
        <v>0</v>
      </c>
      <c r="V57" s="183">
        <f ca="1">-SUMIFS(
  desp.m.ik[valor],
  desp.m.ik[nucleo], $B57,
  desp.m.ik[centro.negocio], $B$53,
  desp.m.ik[mes], "&gt;="&amp;V$1,
  desp.m.ik[mes], "&lt;"&amp;EOMONTH(V$1,0)+1,
  desp.m.ik[classe], "&lt;&gt;Financiamento"
)</f>
        <v>0</v>
      </c>
      <c r="W57" s="183">
        <f ca="1">-SUMIFS(
  desp.m.ik[valor],
  desp.m.ik[nucleo], $B57,
  desp.m.ik[centro.negocio], $B$53,
  desp.m.ik[mes], "&gt;="&amp;W$1,
  desp.m.ik[mes], "&lt;"&amp;EOMONTH(W$1,0)+1,
  desp.m.ik[classe], "&lt;&gt;Financiamento"
)</f>
        <v>0</v>
      </c>
      <c r="X57" s="183">
        <f ca="1">-SUMIFS(
  desp.m.ik[valor],
  desp.m.ik[nucleo], $B57,
  desp.m.ik[centro.negocio], $B$53,
  desp.m.ik[mes], "&gt;="&amp;X$1,
  desp.m.ik[mes], "&lt;"&amp;EOMONTH(X$1,0)+1,
  desp.m.ik[classe], "&lt;&gt;Financiamento"
)</f>
        <v>0</v>
      </c>
      <c r="Y57" s="183">
        <f ca="1">-SUMIFS(
  desp.m.ik[valor],
  desp.m.ik[nucleo], $B57,
  desp.m.ik[centro.negocio], $B$53,
  desp.m.ik[mes], "&gt;="&amp;Y$1,
  desp.m.ik[mes], "&lt;"&amp;EOMONTH(Y$1,0)+1,
  desp.m.ik[classe], "&lt;&gt;Financiamento"
)</f>
        <v>0</v>
      </c>
      <c r="Z57" s="183">
        <f ca="1">-SUMIFS(
  desp.m.ik[valor],
  desp.m.ik[nucleo], $B57,
  desp.m.ik[centro.negocio], $B$53,
  desp.m.ik[mes], "&gt;="&amp;Z$1,
  desp.m.ik[mes], "&lt;"&amp;EOMONTH(Z$1,0)+1,
  desp.m.ik[classe], "&lt;&gt;Financiamento"
)</f>
        <v>0</v>
      </c>
      <c r="AA57" s="183">
        <f ca="1">-SUMIFS(
  desp.m.ik[valor],
  desp.m.ik[nucleo], $B57,
  desp.m.ik[centro.negocio], $B$53,
  desp.m.ik[mes], "&gt;="&amp;AA$1,
  desp.m.ik[mes], "&lt;"&amp;EOMONTH(AA$1,0)+1,
  desp.m.ik[classe], "&lt;&gt;Financiamento"
)</f>
        <v>0</v>
      </c>
      <c r="AC57" s="175">
        <f ca="1">SUM($D57:INDEX($D57:$AA57,1,MATCH(DATE(YEAR(inputs!$A$1),MONTH(inputs!$A$1),1),$D$1:$AA$1,0)))</f>
        <v>0</v>
      </c>
      <c r="AE57" s="175">
        <f ca="1">SUM(D57:AA57)</f>
        <v>0</v>
      </c>
    </row>
    <row r="58" spans="1:31" outlineLevel="2" x14ac:dyDescent="0.25">
      <c r="A58" s="182" t="s">
        <v>809</v>
      </c>
      <c r="B58" s="182" t="s">
        <v>704</v>
      </c>
      <c r="C58" s="135" t="s">
        <v>514</v>
      </c>
      <c r="D58" s="183">
        <f ca="1">-SUMIFS(
  desp.m.ik[valor],
  desp.m.ik[nucleo], $B58,
  desp.m.ik[centro.negocio], $B$53,
  desp.m.ik[mes], "&gt;="&amp;D$1,
  desp.m.ik[mes], "&lt;"&amp;EOMONTH(D$1,0)+1,
  desp.m.ik[classe], "&lt;&gt;Financiamento"
)</f>
        <v>0</v>
      </c>
      <c r="E58" s="183">
        <f ca="1">-SUMIFS(
  desp.m.ik[valor],
  desp.m.ik[nucleo], $B58,
  desp.m.ik[centro.negocio], $B$53,
  desp.m.ik[mes], "&gt;="&amp;E$1,
  desp.m.ik[mes], "&lt;"&amp;EOMONTH(E$1,0)+1,
  desp.m.ik[classe], "&lt;&gt;Financiamento"
)</f>
        <v>0</v>
      </c>
      <c r="F58" s="183">
        <f ca="1">-SUMIFS(
  desp.m.ik[valor],
  desp.m.ik[nucleo], $B58,
  desp.m.ik[centro.negocio], $B$53,
  desp.m.ik[mes], "&gt;="&amp;F$1,
  desp.m.ik[mes], "&lt;"&amp;EOMONTH(F$1,0)+1,
  desp.m.ik[classe], "&lt;&gt;Financiamento"
)</f>
        <v>0</v>
      </c>
      <c r="G58" s="183">
        <f ca="1">-SUMIFS(
  desp.m.ik[valor],
  desp.m.ik[nucleo], $B58,
  desp.m.ik[centro.negocio], $B$53,
  desp.m.ik[mes], "&gt;="&amp;G$1,
  desp.m.ik[mes], "&lt;"&amp;EOMONTH(G$1,0)+1,
  desp.m.ik[classe], "&lt;&gt;Financiamento"
)</f>
        <v>0</v>
      </c>
      <c r="H58" s="183">
        <f ca="1">-SUMIFS(
  desp.m.ik[valor],
  desp.m.ik[nucleo], $B58,
  desp.m.ik[centro.negocio], $B$53,
  desp.m.ik[mes], "&gt;="&amp;H$1,
  desp.m.ik[mes], "&lt;"&amp;EOMONTH(H$1,0)+1,
  desp.m.ik[classe], "&lt;&gt;Financiamento"
)</f>
        <v>0</v>
      </c>
      <c r="I58" s="183">
        <f ca="1">-SUMIFS(
  desp.m.ik[valor],
  desp.m.ik[nucleo], $B58,
  desp.m.ik[centro.negocio], $B$53,
  desp.m.ik[mes], "&gt;="&amp;I$1,
  desp.m.ik[mes], "&lt;"&amp;EOMONTH(I$1,0)+1,
  desp.m.ik[classe], "&lt;&gt;Financiamento"
)</f>
        <v>0</v>
      </c>
      <c r="J58" s="183">
        <f ca="1">-SUMIFS(
  desp.m.ik[valor],
  desp.m.ik[nucleo], $B58,
  desp.m.ik[centro.negocio], $B$53,
  desp.m.ik[mes], "&gt;="&amp;J$1,
  desp.m.ik[mes], "&lt;"&amp;EOMONTH(J$1,0)+1,
  desp.m.ik[classe], "&lt;&gt;Financiamento"
)</f>
        <v>0</v>
      </c>
      <c r="K58" s="183">
        <f ca="1">-SUMIFS(
  desp.m.ik[valor],
  desp.m.ik[nucleo], $B58,
  desp.m.ik[centro.negocio], $B$53,
  desp.m.ik[mes], "&gt;="&amp;K$1,
  desp.m.ik[mes], "&lt;"&amp;EOMONTH(K$1,0)+1,
  desp.m.ik[classe], "&lt;&gt;Financiamento"
)</f>
        <v>0</v>
      </c>
      <c r="L58" s="183">
        <f ca="1">-SUMIFS(
  desp.m.ik[valor],
  desp.m.ik[nucleo], $B58,
  desp.m.ik[centro.negocio], $B$53,
  desp.m.ik[mes], "&gt;="&amp;L$1,
  desp.m.ik[mes], "&lt;"&amp;EOMONTH(L$1,0)+1,
  desp.m.ik[classe], "&lt;&gt;Financiamento"
)</f>
        <v>0</v>
      </c>
      <c r="M58" s="183">
        <f ca="1">-SUMIFS(
  desp.m.ik[valor],
  desp.m.ik[nucleo], $B58,
  desp.m.ik[centro.negocio], $B$53,
  desp.m.ik[mes], "&gt;="&amp;M$1,
  desp.m.ik[mes], "&lt;"&amp;EOMONTH(M$1,0)+1,
  desp.m.ik[classe], "&lt;&gt;Financiamento"
)</f>
        <v>0</v>
      </c>
      <c r="N58" s="183">
        <f ca="1">-SUMIFS(
  desp.m.ik[valor],
  desp.m.ik[nucleo], $B58,
  desp.m.ik[centro.negocio], $B$53,
  desp.m.ik[mes], "&gt;="&amp;N$1,
  desp.m.ik[mes], "&lt;"&amp;EOMONTH(N$1,0)+1,
  desp.m.ik[classe], "&lt;&gt;Financiamento"
)</f>
        <v>0</v>
      </c>
      <c r="O58" s="183">
        <f ca="1">-SUMIFS(
  desp.m.ik[valor],
  desp.m.ik[nucleo], $B58,
  desp.m.ik[centro.negocio], $B$53,
  desp.m.ik[mes], "&gt;="&amp;O$1,
  desp.m.ik[mes], "&lt;"&amp;EOMONTH(O$1,0)+1,
  desp.m.ik[classe], "&lt;&gt;Financiamento"
)</f>
        <v>0</v>
      </c>
      <c r="P58" s="183">
        <f ca="1">-SUMIFS(
  desp.m.ik[valor],
  desp.m.ik[nucleo], $B58,
  desp.m.ik[centro.negocio], $B$53,
  desp.m.ik[mes], "&gt;="&amp;P$1,
  desp.m.ik[mes], "&lt;"&amp;EOMONTH(P$1,0)+1,
  desp.m.ik[classe], "&lt;&gt;Financiamento"
)</f>
        <v>0</v>
      </c>
      <c r="Q58" s="183">
        <f ca="1">-SUMIFS(
  desp.m.ik[valor],
  desp.m.ik[nucleo], $B58,
  desp.m.ik[centro.negocio], $B$53,
  desp.m.ik[mes], "&gt;="&amp;Q$1,
  desp.m.ik[mes], "&lt;"&amp;EOMONTH(Q$1,0)+1,
  desp.m.ik[classe], "&lt;&gt;Financiamento"
)</f>
        <v>0</v>
      </c>
      <c r="R58" s="183">
        <f ca="1">-SUMIFS(
  desp.m.ik[valor],
  desp.m.ik[nucleo], $B58,
  desp.m.ik[centro.negocio], $B$53,
  desp.m.ik[mes], "&gt;="&amp;R$1,
  desp.m.ik[mes], "&lt;"&amp;EOMONTH(R$1,0)+1,
  desp.m.ik[classe], "&lt;&gt;Financiamento"
)</f>
        <v>0</v>
      </c>
      <c r="S58" s="183">
        <f ca="1">-SUMIFS(
  desp.m.ik[valor],
  desp.m.ik[nucleo], $B58,
  desp.m.ik[centro.negocio], $B$53,
  desp.m.ik[mes], "&gt;="&amp;S$1,
  desp.m.ik[mes], "&lt;"&amp;EOMONTH(S$1,0)+1,
  desp.m.ik[classe], "&lt;&gt;Financiamento"
)</f>
        <v>0</v>
      </c>
      <c r="T58" s="183">
        <f ca="1">-SUMIFS(
  desp.m.ik[valor],
  desp.m.ik[nucleo], $B58,
  desp.m.ik[centro.negocio], $B$53,
  desp.m.ik[mes], "&gt;="&amp;T$1,
  desp.m.ik[mes], "&lt;"&amp;EOMONTH(T$1,0)+1,
  desp.m.ik[classe], "&lt;&gt;Financiamento"
)</f>
        <v>0</v>
      </c>
      <c r="U58" s="183">
        <f ca="1">-SUMIFS(
  desp.m.ik[valor],
  desp.m.ik[nucleo], $B58,
  desp.m.ik[centro.negocio], $B$53,
  desp.m.ik[mes], "&gt;="&amp;U$1,
  desp.m.ik[mes], "&lt;"&amp;EOMONTH(U$1,0)+1,
  desp.m.ik[classe], "&lt;&gt;Financiamento"
)</f>
        <v>0</v>
      </c>
      <c r="V58" s="183">
        <f ca="1">-SUMIFS(
  desp.m.ik[valor],
  desp.m.ik[nucleo], $B58,
  desp.m.ik[centro.negocio], $B$53,
  desp.m.ik[mes], "&gt;="&amp;V$1,
  desp.m.ik[mes], "&lt;"&amp;EOMONTH(V$1,0)+1,
  desp.m.ik[classe], "&lt;&gt;Financiamento"
)</f>
        <v>0</v>
      </c>
      <c r="W58" s="183">
        <f ca="1">-SUMIFS(
  desp.m.ik[valor],
  desp.m.ik[nucleo], $B58,
  desp.m.ik[centro.negocio], $B$53,
  desp.m.ik[mes], "&gt;="&amp;W$1,
  desp.m.ik[mes], "&lt;"&amp;EOMONTH(W$1,0)+1,
  desp.m.ik[classe], "&lt;&gt;Financiamento"
)</f>
        <v>0</v>
      </c>
      <c r="X58" s="183">
        <f ca="1">-SUMIFS(
  desp.m.ik[valor],
  desp.m.ik[nucleo], $B58,
  desp.m.ik[centro.negocio], $B$53,
  desp.m.ik[mes], "&gt;="&amp;X$1,
  desp.m.ik[mes], "&lt;"&amp;EOMONTH(X$1,0)+1,
  desp.m.ik[classe], "&lt;&gt;Financiamento"
)</f>
        <v>0</v>
      </c>
      <c r="Y58" s="183">
        <f ca="1">-SUMIFS(
  desp.m.ik[valor],
  desp.m.ik[nucleo], $B58,
  desp.m.ik[centro.negocio], $B$53,
  desp.m.ik[mes], "&gt;="&amp;Y$1,
  desp.m.ik[mes], "&lt;"&amp;EOMONTH(Y$1,0)+1,
  desp.m.ik[classe], "&lt;&gt;Financiamento"
)</f>
        <v>0</v>
      </c>
      <c r="Z58" s="183">
        <f ca="1">-SUMIFS(
  desp.m.ik[valor],
  desp.m.ik[nucleo], $B58,
  desp.m.ik[centro.negocio], $B$53,
  desp.m.ik[mes], "&gt;="&amp;Z$1,
  desp.m.ik[mes], "&lt;"&amp;EOMONTH(Z$1,0)+1,
  desp.m.ik[classe], "&lt;&gt;Financiamento"
)</f>
        <v>0</v>
      </c>
      <c r="AA58" s="183">
        <f ca="1">-SUMIFS(
  desp.m.ik[valor],
  desp.m.ik[nucleo], $B58,
  desp.m.ik[centro.negocio], $B$53,
  desp.m.ik[mes], "&gt;="&amp;AA$1,
  desp.m.ik[mes], "&lt;"&amp;EOMONTH(AA$1,0)+1,
  desp.m.ik[classe], "&lt;&gt;Financiamento"
)</f>
        <v>0</v>
      </c>
      <c r="AC58" s="175">
        <f ca="1">SUM($D58:INDEX($D58:$AA58,1,MATCH(DATE(YEAR(inputs!$A$1),MONTH(inputs!$A$1),1),$D$1:$AA$1,0)))</f>
        <v>0</v>
      </c>
      <c r="AE58" s="175">
        <f t="shared" ca="1" si="1"/>
        <v>0</v>
      </c>
    </row>
    <row r="59" spans="1:31" outlineLevel="2" x14ac:dyDescent="0.25">
      <c r="A59" s="182" t="s">
        <v>716</v>
      </c>
      <c r="B59" s="182" t="s">
        <v>533</v>
      </c>
      <c r="C59" s="135" t="s">
        <v>514</v>
      </c>
      <c r="D59" s="183">
        <f ca="1">-SUMIFS(
  desp.m.ik[valor],
  desp.m.ik[nucleo], $B59,
  desp.m.ik[centro.negocio], $B$53,
  desp.m.ik[mes], "&gt;="&amp;D$1,
  desp.m.ik[mes], "&lt;"&amp;EOMONTH(D$1,0)+1,
  desp.m.ik[classe], "&lt;&gt;Financiamento"
)</f>
        <v>0</v>
      </c>
      <c r="E59" s="183">
        <f ca="1">-SUMIFS(
  desp.m.ik[valor],
  desp.m.ik[nucleo], $B59,
  desp.m.ik[centro.negocio], $B$53,
  desp.m.ik[mes], "&gt;="&amp;E$1,
  desp.m.ik[mes], "&lt;"&amp;EOMONTH(E$1,0)+1,
  desp.m.ik[classe], "&lt;&gt;Financiamento"
)</f>
        <v>0</v>
      </c>
      <c r="F59" s="183">
        <f ca="1">-SUMIFS(
  desp.m.ik[valor],
  desp.m.ik[nucleo], $B59,
  desp.m.ik[centro.negocio], $B$53,
  desp.m.ik[mes], "&gt;="&amp;F$1,
  desp.m.ik[mes], "&lt;"&amp;EOMONTH(F$1,0)+1,
  desp.m.ik[classe], "&lt;&gt;Financiamento"
)</f>
        <v>0</v>
      </c>
      <c r="G59" s="183">
        <f ca="1">-SUMIFS(
  desp.m.ik[valor],
  desp.m.ik[nucleo], $B59,
  desp.m.ik[centro.negocio], $B$53,
  desp.m.ik[mes], "&gt;="&amp;G$1,
  desp.m.ik[mes], "&lt;"&amp;EOMONTH(G$1,0)+1,
  desp.m.ik[classe], "&lt;&gt;Financiamento"
)</f>
        <v>0</v>
      </c>
      <c r="H59" s="183">
        <f ca="1">-SUMIFS(
  desp.m.ik[valor],
  desp.m.ik[nucleo], $B59,
  desp.m.ik[centro.negocio], $B$53,
  desp.m.ik[mes], "&gt;="&amp;H$1,
  desp.m.ik[mes], "&lt;"&amp;EOMONTH(H$1,0)+1,
  desp.m.ik[classe], "&lt;&gt;Financiamento"
)</f>
        <v>0</v>
      </c>
      <c r="I59" s="183">
        <f ca="1">-SUMIFS(
  desp.m.ik[valor],
  desp.m.ik[nucleo], $B59,
  desp.m.ik[centro.negocio], $B$53,
  desp.m.ik[mes], "&gt;="&amp;I$1,
  desp.m.ik[mes], "&lt;"&amp;EOMONTH(I$1,0)+1,
  desp.m.ik[classe], "&lt;&gt;Financiamento"
)</f>
        <v>0</v>
      </c>
      <c r="J59" s="183">
        <f ca="1">-SUMIFS(
  desp.m.ik[valor],
  desp.m.ik[nucleo], $B59,
  desp.m.ik[centro.negocio], $B$53,
  desp.m.ik[mes], "&gt;="&amp;J$1,
  desp.m.ik[mes], "&lt;"&amp;EOMONTH(J$1,0)+1,
  desp.m.ik[classe], "&lt;&gt;Financiamento"
)</f>
        <v>0</v>
      </c>
      <c r="K59" s="183">
        <f ca="1">-SUMIFS(
  desp.m.ik[valor],
  desp.m.ik[nucleo], $B59,
  desp.m.ik[centro.negocio], $B$53,
  desp.m.ik[mes], "&gt;="&amp;K$1,
  desp.m.ik[mes], "&lt;"&amp;EOMONTH(K$1,0)+1,
  desp.m.ik[classe], "&lt;&gt;Financiamento"
)</f>
        <v>0</v>
      </c>
      <c r="L59" s="183">
        <f ca="1">-SUMIFS(
  desp.m.ik[valor],
  desp.m.ik[nucleo], $B59,
  desp.m.ik[centro.negocio], $B$53,
  desp.m.ik[mes], "&gt;="&amp;L$1,
  desp.m.ik[mes], "&lt;"&amp;EOMONTH(L$1,0)+1,
  desp.m.ik[classe], "&lt;&gt;Financiamento"
)</f>
        <v>0</v>
      </c>
      <c r="M59" s="183">
        <f ca="1">-SUMIFS(
  desp.m.ik[valor],
  desp.m.ik[nucleo], $B59,
  desp.m.ik[centro.negocio], $B$53,
  desp.m.ik[mes], "&gt;="&amp;M$1,
  desp.m.ik[mes], "&lt;"&amp;EOMONTH(M$1,0)+1,
  desp.m.ik[classe], "&lt;&gt;Financiamento"
)</f>
        <v>0</v>
      </c>
      <c r="N59" s="183">
        <f ca="1">-SUMIFS(
  desp.m.ik[valor],
  desp.m.ik[nucleo], $B59,
  desp.m.ik[centro.negocio], $B$53,
  desp.m.ik[mes], "&gt;="&amp;N$1,
  desp.m.ik[mes], "&lt;"&amp;EOMONTH(N$1,0)+1,
  desp.m.ik[classe], "&lt;&gt;Financiamento"
)</f>
        <v>0</v>
      </c>
      <c r="O59" s="183">
        <f ca="1">-SUMIFS(
  desp.m.ik[valor],
  desp.m.ik[nucleo], $B59,
  desp.m.ik[centro.negocio], $B$53,
  desp.m.ik[mes], "&gt;="&amp;O$1,
  desp.m.ik[mes], "&lt;"&amp;EOMONTH(O$1,0)+1,
  desp.m.ik[classe], "&lt;&gt;Financiamento"
)</f>
        <v>0</v>
      </c>
      <c r="P59" s="183">
        <f ca="1">-SUMIFS(
  desp.m.ik[valor],
  desp.m.ik[nucleo], $B59,
  desp.m.ik[centro.negocio], $B$53,
  desp.m.ik[mes], "&gt;="&amp;P$1,
  desp.m.ik[mes], "&lt;"&amp;EOMONTH(P$1,0)+1,
  desp.m.ik[classe], "&lt;&gt;Financiamento"
)</f>
        <v>0</v>
      </c>
      <c r="Q59" s="183">
        <f ca="1">-SUMIFS(
  desp.m.ik[valor],
  desp.m.ik[nucleo], $B59,
  desp.m.ik[centro.negocio], $B$53,
  desp.m.ik[mes], "&gt;="&amp;Q$1,
  desp.m.ik[mes], "&lt;"&amp;EOMONTH(Q$1,0)+1,
  desp.m.ik[classe], "&lt;&gt;Financiamento"
)</f>
        <v>0</v>
      </c>
      <c r="R59" s="183">
        <f ca="1">-SUMIFS(
  desp.m.ik[valor],
  desp.m.ik[nucleo], $B59,
  desp.m.ik[centro.negocio], $B$53,
  desp.m.ik[mes], "&gt;="&amp;R$1,
  desp.m.ik[mes], "&lt;"&amp;EOMONTH(R$1,0)+1,
  desp.m.ik[classe], "&lt;&gt;Financiamento"
)</f>
        <v>0</v>
      </c>
      <c r="S59" s="183">
        <f ca="1">-SUMIFS(
  desp.m.ik[valor],
  desp.m.ik[nucleo], $B59,
  desp.m.ik[centro.negocio], $B$53,
  desp.m.ik[mes], "&gt;="&amp;S$1,
  desp.m.ik[mes], "&lt;"&amp;EOMONTH(S$1,0)+1,
  desp.m.ik[classe], "&lt;&gt;Financiamento"
)</f>
        <v>0</v>
      </c>
      <c r="T59" s="183">
        <f ca="1">-SUMIFS(
  desp.m.ik[valor],
  desp.m.ik[nucleo], $B59,
  desp.m.ik[centro.negocio], $B$53,
  desp.m.ik[mes], "&gt;="&amp;T$1,
  desp.m.ik[mes], "&lt;"&amp;EOMONTH(T$1,0)+1,
  desp.m.ik[classe], "&lt;&gt;Financiamento"
)</f>
        <v>0</v>
      </c>
      <c r="U59" s="183">
        <f ca="1">-SUMIFS(
  desp.m.ik[valor],
  desp.m.ik[nucleo], $B59,
  desp.m.ik[centro.negocio], $B$53,
  desp.m.ik[mes], "&gt;="&amp;U$1,
  desp.m.ik[mes], "&lt;"&amp;EOMONTH(U$1,0)+1,
  desp.m.ik[classe], "&lt;&gt;Financiamento"
)</f>
        <v>0</v>
      </c>
      <c r="V59" s="183">
        <f ca="1">-SUMIFS(
  desp.m.ik[valor],
  desp.m.ik[nucleo], $B59,
  desp.m.ik[centro.negocio], $B$53,
  desp.m.ik[mes], "&gt;="&amp;V$1,
  desp.m.ik[mes], "&lt;"&amp;EOMONTH(V$1,0)+1,
  desp.m.ik[classe], "&lt;&gt;Financiamento"
)</f>
        <v>0</v>
      </c>
      <c r="W59" s="183">
        <f ca="1">-SUMIFS(
  desp.m.ik[valor],
  desp.m.ik[nucleo], $B59,
  desp.m.ik[centro.negocio], $B$53,
  desp.m.ik[mes], "&gt;="&amp;W$1,
  desp.m.ik[mes], "&lt;"&amp;EOMONTH(W$1,0)+1,
  desp.m.ik[classe], "&lt;&gt;Financiamento"
)</f>
        <v>0</v>
      </c>
      <c r="X59" s="183">
        <f ca="1">-SUMIFS(
  desp.m.ik[valor],
  desp.m.ik[nucleo], $B59,
  desp.m.ik[centro.negocio], $B$53,
  desp.m.ik[mes], "&gt;="&amp;X$1,
  desp.m.ik[mes], "&lt;"&amp;EOMONTH(X$1,0)+1,
  desp.m.ik[classe], "&lt;&gt;Financiamento"
)</f>
        <v>0</v>
      </c>
      <c r="Y59" s="183">
        <f ca="1">-SUMIFS(
  desp.m.ik[valor],
  desp.m.ik[nucleo], $B59,
  desp.m.ik[centro.negocio], $B$53,
  desp.m.ik[mes], "&gt;="&amp;Y$1,
  desp.m.ik[mes], "&lt;"&amp;EOMONTH(Y$1,0)+1,
  desp.m.ik[classe], "&lt;&gt;Financiamento"
)</f>
        <v>0</v>
      </c>
      <c r="Z59" s="183">
        <f ca="1">-SUMIFS(
  desp.m.ik[valor],
  desp.m.ik[nucleo], $B59,
  desp.m.ik[centro.negocio], $B$53,
  desp.m.ik[mes], "&gt;="&amp;Z$1,
  desp.m.ik[mes], "&lt;"&amp;EOMONTH(Z$1,0)+1,
  desp.m.ik[classe], "&lt;&gt;Financiamento"
)</f>
        <v>0</v>
      </c>
      <c r="AA59" s="183">
        <f ca="1">-SUMIFS(
  desp.m.ik[valor],
  desp.m.ik[nucleo], $B59,
  desp.m.ik[centro.negocio], $B$53,
  desp.m.ik[mes], "&gt;="&amp;AA$1,
  desp.m.ik[mes], "&lt;"&amp;EOMONTH(AA$1,0)+1,
  desp.m.ik[classe], "&lt;&gt;Financiamento"
)</f>
        <v>0</v>
      </c>
      <c r="AC59" s="175">
        <f ca="1">SUM($D59:INDEX($D59:$AA59,1,MATCH(DATE(YEAR(inputs!$A$1),MONTH(inputs!$A$1),1),$D$1:$AA$1,0)))</f>
        <v>0</v>
      </c>
      <c r="AE59" s="175">
        <f ca="1">SUM(D59:AA59)</f>
        <v>0</v>
      </c>
    </row>
    <row r="60" spans="1:31" outlineLevel="2" x14ac:dyDescent="0.25">
      <c r="A60" s="182" t="s">
        <v>719</v>
      </c>
      <c r="B60" s="182" t="s">
        <v>922</v>
      </c>
      <c r="C60" s="135" t="s">
        <v>514</v>
      </c>
      <c r="D60" s="183">
        <f ca="1">-SUMIFS(
  desp.m.ik[valor],
  desp.m.ik[nucleo], $B60,
  desp.m.ik[centro.negocio], $B$53,
  desp.m.ik[mes], "&gt;="&amp;D$1,
  desp.m.ik[mes], "&lt;"&amp;EOMONTH(D$1,0)+1,
  desp.m.ik[classe], "&lt;&gt;Financiamento"
)</f>
        <v>0</v>
      </c>
      <c r="E60" s="183">
        <f ca="1">-SUMIFS(
  desp.m.ik[valor],
  desp.m.ik[nucleo], $B60,
  desp.m.ik[centro.negocio], $B$53,
  desp.m.ik[mes], "&gt;="&amp;E$1,
  desp.m.ik[mes], "&lt;"&amp;EOMONTH(E$1,0)+1,
  desp.m.ik[classe], "&lt;&gt;Financiamento"
)</f>
        <v>0</v>
      </c>
      <c r="F60" s="183">
        <f ca="1">-SUMIFS(
  desp.m.ik[valor],
  desp.m.ik[nucleo], $B60,
  desp.m.ik[centro.negocio], $B$53,
  desp.m.ik[mes], "&gt;="&amp;F$1,
  desp.m.ik[mes], "&lt;"&amp;EOMONTH(F$1,0)+1,
  desp.m.ik[classe], "&lt;&gt;Financiamento"
)</f>
        <v>0</v>
      </c>
      <c r="G60" s="183">
        <f ca="1">-SUMIFS(
  desp.m.ik[valor],
  desp.m.ik[nucleo], $B60,
  desp.m.ik[centro.negocio], $B$53,
  desp.m.ik[mes], "&gt;="&amp;G$1,
  desp.m.ik[mes], "&lt;"&amp;EOMONTH(G$1,0)+1,
  desp.m.ik[classe], "&lt;&gt;Financiamento"
)</f>
        <v>0</v>
      </c>
      <c r="H60" s="183">
        <f ca="1">-SUMIFS(
  desp.m.ik[valor],
  desp.m.ik[nucleo], $B60,
  desp.m.ik[centro.negocio], $B$53,
  desp.m.ik[mes], "&gt;="&amp;H$1,
  desp.m.ik[mes], "&lt;"&amp;EOMONTH(H$1,0)+1,
  desp.m.ik[classe], "&lt;&gt;Financiamento"
)</f>
        <v>0</v>
      </c>
      <c r="I60" s="183">
        <f ca="1">-SUMIFS(
  desp.m.ik[valor],
  desp.m.ik[nucleo], $B60,
  desp.m.ik[centro.negocio], $B$53,
  desp.m.ik[mes], "&gt;="&amp;I$1,
  desp.m.ik[mes], "&lt;"&amp;EOMONTH(I$1,0)+1,
  desp.m.ik[classe], "&lt;&gt;Financiamento"
)</f>
        <v>0</v>
      </c>
      <c r="J60" s="183">
        <f ca="1">-SUMIFS(
  desp.m.ik[valor],
  desp.m.ik[nucleo], $B60,
  desp.m.ik[centro.negocio], $B$53,
  desp.m.ik[mes], "&gt;="&amp;J$1,
  desp.m.ik[mes], "&lt;"&amp;EOMONTH(J$1,0)+1,
  desp.m.ik[classe], "&lt;&gt;Financiamento"
)</f>
        <v>0</v>
      </c>
      <c r="K60" s="183">
        <f ca="1">-SUMIFS(
  desp.m.ik[valor],
  desp.m.ik[nucleo], $B60,
  desp.m.ik[centro.negocio], $B$53,
  desp.m.ik[mes], "&gt;="&amp;K$1,
  desp.m.ik[mes], "&lt;"&amp;EOMONTH(K$1,0)+1,
  desp.m.ik[classe], "&lt;&gt;Financiamento"
)</f>
        <v>0</v>
      </c>
      <c r="L60" s="183">
        <f ca="1">-SUMIFS(
  desp.m.ik[valor],
  desp.m.ik[nucleo], $B60,
  desp.m.ik[centro.negocio], $B$53,
  desp.m.ik[mes], "&gt;="&amp;L$1,
  desp.m.ik[mes], "&lt;"&amp;EOMONTH(L$1,0)+1,
  desp.m.ik[classe], "&lt;&gt;Financiamento"
)</f>
        <v>0</v>
      </c>
      <c r="M60" s="183">
        <f ca="1">-SUMIFS(
  desp.m.ik[valor],
  desp.m.ik[nucleo], $B60,
  desp.m.ik[centro.negocio], $B$53,
  desp.m.ik[mes], "&gt;="&amp;M$1,
  desp.m.ik[mes], "&lt;"&amp;EOMONTH(M$1,0)+1,
  desp.m.ik[classe], "&lt;&gt;Financiamento"
)</f>
        <v>0</v>
      </c>
      <c r="N60" s="183">
        <f ca="1">-SUMIFS(
  desp.m.ik[valor],
  desp.m.ik[nucleo], $B60,
  desp.m.ik[centro.negocio], $B$53,
  desp.m.ik[mes], "&gt;="&amp;N$1,
  desp.m.ik[mes], "&lt;"&amp;EOMONTH(N$1,0)+1,
  desp.m.ik[classe], "&lt;&gt;Financiamento"
)</f>
        <v>0</v>
      </c>
      <c r="O60" s="183">
        <f ca="1">-SUMIFS(
  desp.m.ik[valor],
  desp.m.ik[nucleo], $B60,
  desp.m.ik[centro.negocio], $B$53,
  desp.m.ik[mes], "&gt;="&amp;O$1,
  desp.m.ik[mes], "&lt;"&amp;EOMONTH(O$1,0)+1,
  desp.m.ik[classe], "&lt;&gt;Financiamento"
)</f>
        <v>0</v>
      </c>
      <c r="P60" s="183">
        <f ca="1">-SUMIFS(
  desp.m.ik[valor],
  desp.m.ik[nucleo], $B60,
  desp.m.ik[centro.negocio], $B$53,
  desp.m.ik[mes], "&gt;="&amp;P$1,
  desp.m.ik[mes], "&lt;"&amp;EOMONTH(P$1,0)+1,
  desp.m.ik[classe], "&lt;&gt;Financiamento"
)</f>
        <v>0</v>
      </c>
      <c r="Q60" s="183">
        <f ca="1">-SUMIFS(
  desp.m.ik[valor],
  desp.m.ik[nucleo], $B60,
  desp.m.ik[centro.negocio], $B$53,
  desp.m.ik[mes], "&gt;="&amp;Q$1,
  desp.m.ik[mes], "&lt;"&amp;EOMONTH(Q$1,0)+1,
  desp.m.ik[classe], "&lt;&gt;Financiamento"
)</f>
        <v>0</v>
      </c>
      <c r="R60" s="183">
        <f ca="1">-SUMIFS(
  desp.m.ik[valor],
  desp.m.ik[nucleo], $B60,
  desp.m.ik[centro.negocio], $B$53,
  desp.m.ik[mes], "&gt;="&amp;R$1,
  desp.m.ik[mes], "&lt;"&amp;EOMONTH(R$1,0)+1,
  desp.m.ik[classe], "&lt;&gt;Financiamento"
)</f>
        <v>0</v>
      </c>
      <c r="S60" s="183">
        <f ca="1">-SUMIFS(
  desp.m.ik[valor],
  desp.m.ik[nucleo], $B60,
  desp.m.ik[centro.negocio], $B$53,
  desp.m.ik[mes], "&gt;="&amp;S$1,
  desp.m.ik[mes], "&lt;"&amp;EOMONTH(S$1,0)+1,
  desp.m.ik[classe], "&lt;&gt;Financiamento"
)</f>
        <v>0</v>
      </c>
      <c r="T60" s="183">
        <f ca="1">-SUMIFS(
  desp.m.ik[valor],
  desp.m.ik[nucleo], $B60,
  desp.m.ik[centro.negocio], $B$53,
  desp.m.ik[mes], "&gt;="&amp;T$1,
  desp.m.ik[mes], "&lt;"&amp;EOMONTH(T$1,0)+1,
  desp.m.ik[classe], "&lt;&gt;Financiamento"
)</f>
        <v>0</v>
      </c>
      <c r="U60" s="183">
        <f ca="1">-SUMIFS(
  desp.m.ik[valor],
  desp.m.ik[nucleo], $B60,
  desp.m.ik[centro.negocio], $B$53,
  desp.m.ik[mes], "&gt;="&amp;U$1,
  desp.m.ik[mes], "&lt;"&amp;EOMONTH(U$1,0)+1,
  desp.m.ik[classe], "&lt;&gt;Financiamento"
)</f>
        <v>0</v>
      </c>
      <c r="V60" s="183">
        <f ca="1">-SUMIFS(
  desp.m.ik[valor],
  desp.m.ik[nucleo], $B60,
  desp.m.ik[centro.negocio], $B$53,
  desp.m.ik[mes], "&gt;="&amp;V$1,
  desp.m.ik[mes], "&lt;"&amp;EOMONTH(V$1,0)+1,
  desp.m.ik[classe], "&lt;&gt;Financiamento"
)</f>
        <v>0</v>
      </c>
      <c r="W60" s="183">
        <f ca="1">-SUMIFS(
  desp.m.ik[valor],
  desp.m.ik[nucleo], $B60,
  desp.m.ik[centro.negocio], $B$53,
  desp.m.ik[mes], "&gt;="&amp;W$1,
  desp.m.ik[mes], "&lt;"&amp;EOMONTH(W$1,0)+1,
  desp.m.ik[classe], "&lt;&gt;Financiamento"
)</f>
        <v>0</v>
      </c>
      <c r="X60" s="183">
        <f ca="1">-SUMIFS(
  desp.m.ik[valor],
  desp.m.ik[nucleo], $B60,
  desp.m.ik[centro.negocio], $B$53,
  desp.m.ik[mes], "&gt;="&amp;X$1,
  desp.m.ik[mes], "&lt;"&amp;EOMONTH(X$1,0)+1,
  desp.m.ik[classe], "&lt;&gt;Financiamento"
)</f>
        <v>0</v>
      </c>
      <c r="Y60" s="183">
        <f ca="1">-SUMIFS(
  desp.m.ik[valor],
  desp.m.ik[nucleo], $B60,
  desp.m.ik[centro.negocio], $B$53,
  desp.m.ik[mes], "&gt;="&amp;Y$1,
  desp.m.ik[mes], "&lt;"&amp;EOMONTH(Y$1,0)+1,
  desp.m.ik[classe], "&lt;&gt;Financiamento"
)</f>
        <v>0</v>
      </c>
      <c r="Z60" s="183">
        <f ca="1">-SUMIFS(
  desp.m.ik[valor],
  desp.m.ik[nucleo], $B60,
  desp.m.ik[centro.negocio], $B$53,
  desp.m.ik[mes], "&gt;="&amp;Z$1,
  desp.m.ik[mes], "&lt;"&amp;EOMONTH(Z$1,0)+1,
  desp.m.ik[classe], "&lt;&gt;Financiamento"
)</f>
        <v>0</v>
      </c>
      <c r="AA60" s="183">
        <f ca="1">-SUMIFS(
  desp.m.ik[valor],
  desp.m.ik[nucleo], $B60,
  desp.m.ik[centro.negocio], $B$53,
  desp.m.ik[mes], "&gt;="&amp;AA$1,
  desp.m.ik[mes], "&lt;"&amp;EOMONTH(AA$1,0)+1,
  desp.m.ik[classe], "&lt;&gt;Financiamento"
)</f>
        <v>0</v>
      </c>
      <c r="AC60" s="175">
        <f ca="1">SUM($D60:INDEX($D60:$AA60,1,MATCH(DATE(YEAR(inputs!$A$1),MONTH(inputs!$A$1),1),$D$1:$AA$1,0)))</f>
        <v>0</v>
      </c>
      <c r="AE60" s="175">
        <f ca="1">SUM(D60:AA60)</f>
        <v>0</v>
      </c>
    </row>
    <row r="61" spans="1:31" outlineLevel="2" x14ac:dyDescent="0.25">
      <c r="A61" s="182" t="s">
        <v>551</v>
      </c>
      <c r="B61" s="182" t="s">
        <v>544</v>
      </c>
      <c r="C61" s="135" t="s">
        <v>514</v>
      </c>
      <c r="D61" s="183">
        <f ca="1">-SUMIFS(
  desp.m.ik[valor],
  desp.m.ik[nucleo], $B61,
  desp.m.ik[centro.negocio], $B$53,
  desp.m.ik[mes], "&gt;="&amp;D$1,
  desp.m.ik[mes], "&lt;"&amp;EOMONTH(D$1,0)+1,
  desp.m.ik[classe], "&lt;&gt;Financiamento"
)</f>
        <v>0</v>
      </c>
      <c r="E61" s="183">
        <f ca="1">-SUMIFS(
  desp.m.ik[valor],
  desp.m.ik[nucleo], $B61,
  desp.m.ik[centro.negocio], $B$53,
  desp.m.ik[mes], "&gt;="&amp;E$1,
  desp.m.ik[mes], "&lt;"&amp;EOMONTH(E$1,0)+1,
  desp.m.ik[classe], "&lt;&gt;Financiamento"
)</f>
        <v>0</v>
      </c>
      <c r="F61" s="183">
        <f ca="1">-SUMIFS(
  desp.m.ik[valor],
  desp.m.ik[nucleo], $B61,
  desp.m.ik[centro.negocio], $B$53,
  desp.m.ik[mes], "&gt;="&amp;F$1,
  desp.m.ik[mes], "&lt;"&amp;EOMONTH(F$1,0)+1,
  desp.m.ik[classe], "&lt;&gt;Financiamento"
)</f>
        <v>0</v>
      </c>
      <c r="G61" s="183">
        <f ca="1">-SUMIFS(
  desp.m.ik[valor],
  desp.m.ik[nucleo], $B61,
  desp.m.ik[centro.negocio], $B$53,
  desp.m.ik[mes], "&gt;="&amp;G$1,
  desp.m.ik[mes], "&lt;"&amp;EOMONTH(G$1,0)+1,
  desp.m.ik[classe], "&lt;&gt;Financiamento"
)</f>
        <v>0</v>
      </c>
      <c r="H61" s="183">
        <f ca="1">-SUMIFS(
  desp.m.ik[valor],
  desp.m.ik[nucleo], $B61,
  desp.m.ik[centro.negocio], $B$53,
  desp.m.ik[mes], "&gt;="&amp;H$1,
  desp.m.ik[mes], "&lt;"&amp;EOMONTH(H$1,0)+1,
  desp.m.ik[classe], "&lt;&gt;Financiamento"
)</f>
        <v>0</v>
      </c>
      <c r="I61" s="183">
        <f ca="1">-SUMIFS(
  desp.m.ik[valor],
  desp.m.ik[nucleo], $B61,
  desp.m.ik[centro.negocio], $B$53,
  desp.m.ik[mes], "&gt;="&amp;I$1,
  desp.m.ik[mes], "&lt;"&amp;EOMONTH(I$1,0)+1,
  desp.m.ik[classe], "&lt;&gt;Financiamento"
)</f>
        <v>0</v>
      </c>
      <c r="J61" s="183">
        <f ca="1">-SUMIFS(
  desp.m.ik[valor],
  desp.m.ik[nucleo], $B61,
  desp.m.ik[centro.negocio], $B$53,
  desp.m.ik[mes], "&gt;="&amp;J$1,
  desp.m.ik[mes], "&lt;"&amp;EOMONTH(J$1,0)+1,
  desp.m.ik[classe], "&lt;&gt;Financiamento"
)</f>
        <v>0</v>
      </c>
      <c r="K61" s="183">
        <f ca="1">-SUMIFS(
  desp.m.ik[valor],
  desp.m.ik[nucleo], $B61,
  desp.m.ik[centro.negocio], $B$53,
  desp.m.ik[mes], "&gt;="&amp;K$1,
  desp.m.ik[mes], "&lt;"&amp;EOMONTH(K$1,0)+1,
  desp.m.ik[classe], "&lt;&gt;Financiamento"
)</f>
        <v>0</v>
      </c>
      <c r="L61" s="183">
        <f ca="1">-SUMIFS(
  desp.m.ik[valor],
  desp.m.ik[nucleo], $B61,
  desp.m.ik[centro.negocio], $B$53,
  desp.m.ik[mes], "&gt;="&amp;L$1,
  desp.m.ik[mes], "&lt;"&amp;EOMONTH(L$1,0)+1,
  desp.m.ik[classe], "&lt;&gt;Financiamento"
)</f>
        <v>0</v>
      </c>
      <c r="M61" s="183">
        <f ca="1">-SUMIFS(
  desp.m.ik[valor],
  desp.m.ik[nucleo], $B61,
  desp.m.ik[centro.negocio], $B$53,
  desp.m.ik[mes], "&gt;="&amp;M$1,
  desp.m.ik[mes], "&lt;"&amp;EOMONTH(M$1,0)+1,
  desp.m.ik[classe], "&lt;&gt;Financiamento"
)</f>
        <v>0</v>
      </c>
      <c r="N61" s="183">
        <f ca="1">-SUMIFS(
  desp.m.ik[valor],
  desp.m.ik[nucleo], $B61,
  desp.m.ik[centro.negocio], $B$53,
  desp.m.ik[mes], "&gt;="&amp;N$1,
  desp.m.ik[mes], "&lt;"&amp;EOMONTH(N$1,0)+1,
  desp.m.ik[classe], "&lt;&gt;Financiamento"
)</f>
        <v>0</v>
      </c>
      <c r="O61" s="183">
        <f ca="1">-SUMIFS(
  desp.m.ik[valor],
  desp.m.ik[nucleo], $B61,
  desp.m.ik[centro.negocio], $B$53,
  desp.m.ik[mes], "&gt;="&amp;O$1,
  desp.m.ik[mes], "&lt;"&amp;EOMONTH(O$1,0)+1,
  desp.m.ik[classe], "&lt;&gt;Financiamento"
)</f>
        <v>0</v>
      </c>
      <c r="P61" s="183">
        <f ca="1">-SUMIFS(
  desp.m.ik[valor],
  desp.m.ik[nucleo], $B61,
  desp.m.ik[centro.negocio], $B$53,
  desp.m.ik[mes], "&gt;="&amp;P$1,
  desp.m.ik[mes], "&lt;"&amp;EOMONTH(P$1,0)+1,
  desp.m.ik[classe], "&lt;&gt;Financiamento"
)</f>
        <v>0</v>
      </c>
      <c r="Q61" s="183">
        <f ca="1">-SUMIFS(
  desp.m.ik[valor],
  desp.m.ik[nucleo], $B61,
  desp.m.ik[centro.negocio], $B$53,
  desp.m.ik[mes], "&gt;="&amp;Q$1,
  desp.m.ik[mes], "&lt;"&amp;EOMONTH(Q$1,0)+1,
  desp.m.ik[classe], "&lt;&gt;Financiamento"
)</f>
        <v>0</v>
      </c>
      <c r="R61" s="183">
        <f ca="1">-SUMIFS(
  desp.m.ik[valor],
  desp.m.ik[nucleo], $B61,
  desp.m.ik[centro.negocio], $B$53,
  desp.m.ik[mes], "&gt;="&amp;R$1,
  desp.m.ik[mes], "&lt;"&amp;EOMONTH(R$1,0)+1,
  desp.m.ik[classe], "&lt;&gt;Financiamento"
)</f>
        <v>0</v>
      </c>
      <c r="S61" s="183">
        <f ca="1">-SUMIFS(
  desp.m.ik[valor],
  desp.m.ik[nucleo], $B61,
  desp.m.ik[centro.negocio], $B$53,
  desp.m.ik[mes], "&gt;="&amp;S$1,
  desp.m.ik[mes], "&lt;"&amp;EOMONTH(S$1,0)+1,
  desp.m.ik[classe], "&lt;&gt;Financiamento"
)</f>
        <v>0</v>
      </c>
      <c r="T61" s="183">
        <f ca="1">-SUMIFS(
  desp.m.ik[valor],
  desp.m.ik[nucleo], $B61,
  desp.m.ik[centro.negocio], $B$53,
  desp.m.ik[mes], "&gt;="&amp;T$1,
  desp.m.ik[mes], "&lt;"&amp;EOMONTH(T$1,0)+1,
  desp.m.ik[classe], "&lt;&gt;Financiamento"
)</f>
        <v>0</v>
      </c>
      <c r="U61" s="183">
        <f ca="1">-SUMIFS(
  desp.m.ik[valor],
  desp.m.ik[nucleo], $B61,
  desp.m.ik[centro.negocio], $B$53,
  desp.m.ik[mes], "&gt;="&amp;U$1,
  desp.m.ik[mes], "&lt;"&amp;EOMONTH(U$1,0)+1,
  desp.m.ik[classe], "&lt;&gt;Financiamento"
)</f>
        <v>0</v>
      </c>
      <c r="V61" s="183">
        <f ca="1">-SUMIFS(
  desp.m.ik[valor],
  desp.m.ik[nucleo], $B61,
  desp.m.ik[centro.negocio], $B$53,
  desp.m.ik[mes], "&gt;="&amp;V$1,
  desp.m.ik[mes], "&lt;"&amp;EOMONTH(V$1,0)+1,
  desp.m.ik[classe], "&lt;&gt;Financiamento"
)</f>
        <v>0</v>
      </c>
      <c r="W61" s="183">
        <f ca="1">-SUMIFS(
  desp.m.ik[valor],
  desp.m.ik[nucleo], $B61,
  desp.m.ik[centro.negocio], $B$53,
  desp.m.ik[mes], "&gt;="&amp;W$1,
  desp.m.ik[mes], "&lt;"&amp;EOMONTH(W$1,0)+1,
  desp.m.ik[classe], "&lt;&gt;Financiamento"
)</f>
        <v>0</v>
      </c>
      <c r="X61" s="183">
        <f ca="1">-SUMIFS(
  desp.m.ik[valor],
  desp.m.ik[nucleo], $B61,
  desp.m.ik[centro.negocio], $B$53,
  desp.m.ik[mes], "&gt;="&amp;X$1,
  desp.m.ik[mes], "&lt;"&amp;EOMONTH(X$1,0)+1,
  desp.m.ik[classe], "&lt;&gt;Financiamento"
)</f>
        <v>0</v>
      </c>
      <c r="Y61" s="183">
        <f ca="1">-SUMIFS(
  desp.m.ik[valor],
  desp.m.ik[nucleo], $B61,
  desp.m.ik[centro.negocio], $B$53,
  desp.m.ik[mes], "&gt;="&amp;Y$1,
  desp.m.ik[mes], "&lt;"&amp;EOMONTH(Y$1,0)+1,
  desp.m.ik[classe], "&lt;&gt;Financiamento"
)</f>
        <v>0</v>
      </c>
      <c r="Z61" s="183">
        <f ca="1">-SUMIFS(
  desp.m.ik[valor],
  desp.m.ik[nucleo], $B61,
  desp.m.ik[centro.negocio], $B$53,
  desp.m.ik[mes], "&gt;="&amp;Z$1,
  desp.m.ik[mes], "&lt;"&amp;EOMONTH(Z$1,0)+1,
  desp.m.ik[classe], "&lt;&gt;Financiamento"
)</f>
        <v>0</v>
      </c>
      <c r="AA61" s="183">
        <f ca="1">-SUMIFS(
  desp.m.ik[valor],
  desp.m.ik[nucleo], $B61,
  desp.m.ik[centro.negocio], $B$53,
  desp.m.ik[mes], "&gt;="&amp;AA$1,
  desp.m.ik[mes], "&lt;"&amp;EOMONTH(AA$1,0)+1,
  desp.m.ik[classe], "&lt;&gt;Financiamento"
)</f>
        <v>0</v>
      </c>
      <c r="AC61" s="175">
        <f ca="1">SUM($D61:INDEX($D61:$AA61,1,MATCH(DATE(YEAR(inputs!$A$1),MONTH(inputs!$A$1),1),$D$1:$AA$1,0)))</f>
        <v>0</v>
      </c>
      <c r="AE61" s="175">
        <f t="shared" ca="1" si="1"/>
        <v>0</v>
      </c>
    </row>
    <row r="62" spans="1:31" outlineLevel="2" x14ac:dyDescent="0.25">
      <c r="A62" s="182" t="s">
        <v>715</v>
      </c>
      <c r="B62" s="182" t="s">
        <v>556</v>
      </c>
      <c r="C62" s="135" t="s">
        <v>514</v>
      </c>
      <c r="D62" s="183">
        <f ca="1">-SUMIFS(
  desp.m.ik[valor],
  desp.m.ik[nucleo], $B62,
  desp.m.ik[centro.negocio], $B$53,
  desp.m.ik[mes], "&gt;="&amp;D$1,
  desp.m.ik[mes], "&lt;"&amp;EOMONTH(D$1,0)+1,
  desp.m.ik[classe], "&lt;&gt;Financiamento"
)</f>
        <v>0</v>
      </c>
      <c r="E62" s="183">
        <f ca="1">-SUMIFS(
  desp.m.ik[valor],
  desp.m.ik[nucleo], $B62,
  desp.m.ik[centro.negocio], $B$53,
  desp.m.ik[mes], "&gt;="&amp;E$1,
  desp.m.ik[mes], "&lt;"&amp;EOMONTH(E$1,0)+1,
  desp.m.ik[classe], "&lt;&gt;Financiamento"
)</f>
        <v>0</v>
      </c>
      <c r="F62" s="183">
        <f ca="1">-SUMIFS(
  desp.m.ik[valor],
  desp.m.ik[nucleo], $B62,
  desp.m.ik[centro.negocio], $B$53,
  desp.m.ik[mes], "&gt;="&amp;F$1,
  desp.m.ik[mes], "&lt;"&amp;EOMONTH(F$1,0)+1,
  desp.m.ik[classe], "&lt;&gt;Financiamento"
)</f>
        <v>0</v>
      </c>
      <c r="G62" s="183">
        <f ca="1">-SUMIFS(
  desp.m.ik[valor],
  desp.m.ik[nucleo], $B62,
  desp.m.ik[centro.negocio], $B$53,
  desp.m.ik[mes], "&gt;="&amp;G$1,
  desp.m.ik[mes], "&lt;"&amp;EOMONTH(G$1,0)+1,
  desp.m.ik[classe], "&lt;&gt;Financiamento"
)</f>
        <v>0</v>
      </c>
      <c r="H62" s="183">
        <f ca="1">-SUMIFS(
  desp.m.ik[valor],
  desp.m.ik[nucleo], $B62,
  desp.m.ik[centro.negocio], $B$53,
  desp.m.ik[mes], "&gt;="&amp;H$1,
  desp.m.ik[mes], "&lt;"&amp;EOMONTH(H$1,0)+1,
  desp.m.ik[classe], "&lt;&gt;Financiamento"
)</f>
        <v>0</v>
      </c>
      <c r="I62" s="183">
        <f ca="1">-SUMIFS(
  desp.m.ik[valor],
  desp.m.ik[nucleo], $B62,
  desp.m.ik[centro.negocio], $B$53,
  desp.m.ik[mes], "&gt;="&amp;I$1,
  desp.m.ik[mes], "&lt;"&amp;EOMONTH(I$1,0)+1,
  desp.m.ik[classe], "&lt;&gt;Financiamento"
)</f>
        <v>0</v>
      </c>
      <c r="J62" s="183">
        <f ca="1">-SUMIFS(
  desp.m.ik[valor],
  desp.m.ik[nucleo], $B62,
  desp.m.ik[centro.negocio], $B$53,
  desp.m.ik[mes], "&gt;="&amp;J$1,
  desp.m.ik[mes], "&lt;"&amp;EOMONTH(J$1,0)+1,
  desp.m.ik[classe], "&lt;&gt;Financiamento"
)</f>
        <v>0</v>
      </c>
      <c r="K62" s="183">
        <f ca="1">-SUMIFS(
  desp.m.ik[valor],
  desp.m.ik[nucleo], $B62,
  desp.m.ik[centro.negocio], $B$53,
  desp.m.ik[mes], "&gt;="&amp;K$1,
  desp.m.ik[mes], "&lt;"&amp;EOMONTH(K$1,0)+1,
  desp.m.ik[classe], "&lt;&gt;Financiamento"
)</f>
        <v>0</v>
      </c>
      <c r="L62" s="183">
        <f ca="1">-SUMIFS(
  desp.m.ik[valor],
  desp.m.ik[nucleo], $B62,
  desp.m.ik[centro.negocio], $B$53,
  desp.m.ik[mes], "&gt;="&amp;L$1,
  desp.m.ik[mes], "&lt;"&amp;EOMONTH(L$1,0)+1,
  desp.m.ik[classe], "&lt;&gt;Financiamento"
)</f>
        <v>0</v>
      </c>
      <c r="M62" s="183">
        <f ca="1">-SUMIFS(
  desp.m.ik[valor],
  desp.m.ik[nucleo], $B62,
  desp.m.ik[centro.negocio], $B$53,
  desp.m.ik[mes], "&gt;="&amp;M$1,
  desp.m.ik[mes], "&lt;"&amp;EOMONTH(M$1,0)+1,
  desp.m.ik[classe], "&lt;&gt;Financiamento"
)</f>
        <v>0</v>
      </c>
      <c r="N62" s="183">
        <f ca="1">-SUMIFS(
  desp.m.ik[valor],
  desp.m.ik[nucleo], $B62,
  desp.m.ik[centro.negocio], $B$53,
  desp.m.ik[mes], "&gt;="&amp;N$1,
  desp.m.ik[mes], "&lt;"&amp;EOMONTH(N$1,0)+1,
  desp.m.ik[classe], "&lt;&gt;Financiamento"
)</f>
        <v>0</v>
      </c>
      <c r="O62" s="183">
        <f ca="1">-SUMIFS(
  desp.m.ik[valor],
  desp.m.ik[nucleo], $B62,
  desp.m.ik[centro.negocio], $B$53,
  desp.m.ik[mes], "&gt;="&amp;O$1,
  desp.m.ik[mes], "&lt;"&amp;EOMONTH(O$1,0)+1,
  desp.m.ik[classe], "&lt;&gt;Financiamento"
)</f>
        <v>0</v>
      </c>
      <c r="P62" s="183">
        <f ca="1">-SUMIFS(
  desp.m.ik[valor],
  desp.m.ik[nucleo], $B62,
  desp.m.ik[centro.negocio], $B$53,
  desp.m.ik[mes], "&gt;="&amp;P$1,
  desp.m.ik[mes], "&lt;"&amp;EOMONTH(P$1,0)+1,
  desp.m.ik[classe], "&lt;&gt;Financiamento"
)</f>
        <v>0</v>
      </c>
      <c r="Q62" s="183">
        <f ca="1">-SUMIFS(
  desp.m.ik[valor],
  desp.m.ik[nucleo], $B62,
  desp.m.ik[centro.negocio], $B$53,
  desp.m.ik[mes], "&gt;="&amp;Q$1,
  desp.m.ik[mes], "&lt;"&amp;EOMONTH(Q$1,0)+1,
  desp.m.ik[classe], "&lt;&gt;Financiamento"
)</f>
        <v>0</v>
      </c>
      <c r="R62" s="183">
        <f ca="1">-SUMIFS(
  desp.m.ik[valor],
  desp.m.ik[nucleo], $B62,
  desp.m.ik[centro.negocio], $B$53,
  desp.m.ik[mes], "&gt;="&amp;R$1,
  desp.m.ik[mes], "&lt;"&amp;EOMONTH(R$1,0)+1,
  desp.m.ik[classe], "&lt;&gt;Financiamento"
)</f>
        <v>0</v>
      </c>
      <c r="S62" s="183">
        <f ca="1">-SUMIFS(
  desp.m.ik[valor],
  desp.m.ik[nucleo], $B62,
  desp.m.ik[centro.negocio], $B$53,
  desp.m.ik[mes], "&gt;="&amp;S$1,
  desp.m.ik[mes], "&lt;"&amp;EOMONTH(S$1,0)+1,
  desp.m.ik[classe], "&lt;&gt;Financiamento"
)</f>
        <v>0</v>
      </c>
      <c r="T62" s="183">
        <f ca="1">-SUMIFS(
  desp.m.ik[valor],
  desp.m.ik[nucleo], $B62,
  desp.m.ik[centro.negocio], $B$53,
  desp.m.ik[mes], "&gt;="&amp;T$1,
  desp.m.ik[mes], "&lt;"&amp;EOMONTH(T$1,0)+1,
  desp.m.ik[classe], "&lt;&gt;Financiamento"
)</f>
        <v>0</v>
      </c>
      <c r="U62" s="183">
        <f ca="1">-SUMIFS(
  desp.m.ik[valor],
  desp.m.ik[nucleo], $B62,
  desp.m.ik[centro.negocio], $B$53,
  desp.m.ik[mes], "&gt;="&amp;U$1,
  desp.m.ik[mes], "&lt;"&amp;EOMONTH(U$1,0)+1,
  desp.m.ik[classe], "&lt;&gt;Financiamento"
)</f>
        <v>0</v>
      </c>
      <c r="V62" s="183">
        <f ca="1">-SUMIFS(
  desp.m.ik[valor],
  desp.m.ik[nucleo], $B62,
  desp.m.ik[centro.negocio], $B$53,
  desp.m.ik[mes], "&gt;="&amp;V$1,
  desp.m.ik[mes], "&lt;"&amp;EOMONTH(V$1,0)+1,
  desp.m.ik[classe], "&lt;&gt;Financiamento"
)</f>
        <v>0</v>
      </c>
      <c r="W62" s="183">
        <f ca="1">-SUMIFS(
  desp.m.ik[valor],
  desp.m.ik[nucleo], $B62,
  desp.m.ik[centro.negocio], $B$53,
  desp.m.ik[mes], "&gt;="&amp;W$1,
  desp.m.ik[mes], "&lt;"&amp;EOMONTH(W$1,0)+1,
  desp.m.ik[classe], "&lt;&gt;Financiamento"
)</f>
        <v>0</v>
      </c>
      <c r="X62" s="183">
        <f ca="1">-SUMIFS(
  desp.m.ik[valor],
  desp.m.ik[nucleo], $B62,
  desp.m.ik[centro.negocio], $B$53,
  desp.m.ik[mes], "&gt;="&amp;X$1,
  desp.m.ik[mes], "&lt;"&amp;EOMONTH(X$1,0)+1,
  desp.m.ik[classe], "&lt;&gt;Financiamento"
)</f>
        <v>0</v>
      </c>
      <c r="Y62" s="183">
        <f ca="1">-SUMIFS(
  desp.m.ik[valor],
  desp.m.ik[nucleo], $B62,
  desp.m.ik[centro.negocio], $B$53,
  desp.m.ik[mes], "&gt;="&amp;Y$1,
  desp.m.ik[mes], "&lt;"&amp;EOMONTH(Y$1,0)+1,
  desp.m.ik[classe], "&lt;&gt;Financiamento"
)</f>
        <v>0</v>
      </c>
      <c r="Z62" s="183">
        <f ca="1">-SUMIFS(
  desp.m.ik[valor],
  desp.m.ik[nucleo], $B62,
  desp.m.ik[centro.negocio], $B$53,
  desp.m.ik[mes], "&gt;="&amp;Z$1,
  desp.m.ik[mes], "&lt;"&amp;EOMONTH(Z$1,0)+1,
  desp.m.ik[classe], "&lt;&gt;Financiamento"
)</f>
        <v>0</v>
      </c>
      <c r="AA62" s="183">
        <f ca="1">-SUMIFS(
  desp.m.ik[valor],
  desp.m.ik[nucleo], $B62,
  desp.m.ik[centro.negocio], $B$53,
  desp.m.ik[mes], "&gt;="&amp;AA$1,
  desp.m.ik[mes], "&lt;"&amp;EOMONTH(AA$1,0)+1,
  desp.m.ik[classe], "&lt;&gt;Financiamento"
)</f>
        <v>0</v>
      </c>
      <c r="AC62" s="175">
        <f ca="1">SUM($D62:INDEX($D62:$AA62,1,MATCH(DATE(YEAR(inputs!$A$1),MONTH(inputs!$A$1),1),$D$1:$AA$1,0)))</f>
        <v>0</v>
      </c>
      <c r="AE62" s="175">
        <f t="shared" ca="1" si="1"/>
        <v>0</v>
      </c>
    </row>
    <row r="63" spans="1:31" outlineLevel="2" x14ac:dyDescent="0.25">
      <c r="A63" s="182" t="s">
        <v>554</v>
      </c>
      <c r="B63" s="182" t="s">
        <v>539</v>
      </c>
      <c r="C63" s="135" t="s">
        <v>514</v>
      </c>
      <c r="D63" s="183">
        <f ca="1">-SUMIFS(
  desp.m.ik[valor],
  desp.m.ik[nucleo], $B63,
  desp.m.ik[centro.negocio], $B$53,
  desp.m.ik[mes], "&gt;="&amp;D$1,
  desp.m.ik[mes], "&lt;"&amp;EOMONTH(D$1,0)+1,
  desp.m.ik[classe], "&lt;&gt;Financiamento"
)</f>
        <v>0</v>
      </c>
      <c r="E63" s="183">
        <f ca="1">-SUMIFS(
  desp.m.ik[valor],
  desp.m.ik[nucleo], $B63,
  desp.m.ik[centro.negocio], $B$53,
  desp.m.ik[mes], "&gt;="&amp;E$1,
  desp.m.ik[mes], "&lt;"&amp;EOMONTH(E$1,0)+1,
  desp.m.ik[classe], "&lt;&gt;Financiamento"
)</f>
        <v>0</v>
      </c>
      <c r="F63" s="183">
        <f ca="1">-SUMIFS(
  desp.m.ik[valor],
  desp.m.ik[nucleo], $B63,
  desp.m.ik[centro.negocio], $B$53,
  desp.m.ik[mes], "&gt;="&amp;F$1,
  desp.m.ik[mes], "&lt;"&amp;EOMONTH(F$1,0)+1,
  desp.m.ik[classe], "&lt;&gt;Financiamento"
)</f>
        <v>0</v>
      </c>
      <c r="G63" s="183">
        <f ca="1">-SUMIFS(
  desp.m.ik[valor],
  desp.m.ik[nucleo], $B63,
  desp.m.ik[centro.negocio], $B$53,
  desp.m.ik[mes], "&gt;="&amp;G$1,
  desp.m.ik[mes], "&lt;"&amp;EOMONTH(G$1,0)+1,
  desp.m.ik[classe], "&lt;&gt;Financiamento"
)</f>
        <v>0</v>
      </c>
      <c r="H63" s="183">
        <f ca="1">-SUMIFS(
  desp.m.ik[valor],
  desp.m.ik[nucleo], $B63,
  desp.m.ik[centro.negocio], $B$53,
  desp.m.ik[mes], "&gt;="&amp;H$1,
  desp.m.ik[mes], "&lt;"&amp;EOMONTH(H$1,0)+1,
  desp.m.ik[classe], "&lt;&gt;Financiamento"
)</f>
        <v>0</v>
      </c>
      <c r="I63" s="183">
        <f ca="1">-SUMIFS(
  desp.m.ik[valor],
  desp.m.ik[nucleo], $B63,
  desp.m.ik[centro.negocio], $B$53,
  desp.m.ik[mes], "&gt;="&amp;I$1,
  desp.m.ik[mes], "&lt;"&amp;EOMONTH(I$1,0)+1,
  desp.m.ik[classe], "&lt;&gt;Financiamento"
)</f>
        <v>0</v>
      </c>
      <c r="J63" s="183">
        <f ca="1">-SUMIFS(
  desp.m.ik[valor],
  desp.m.ik[nucleo], $B63,
  desp.m.ik[centro.negocio], $B$53,
  desp.m.ik[mes], "&gt;="&amp;J$1,
  desp.m.ik[mes], "&lt;"&amp;EOMONTH(J$1,0)+1,
  desp.m.ik[classe], "&lt;&gt;Financiamento"
)</f>
        <v>0</v>
      </c>
      <c r="K63" s="183">
        <f ca="1">-SUMIFS(
  desp.m.ik[valor],
  desp.m.ik[nucleo], $B63,
  desp.m.ik[centro.negocio], $B$53,
  desp.m.ik[mes], "&gt;="&amp;K$1,
  desp.m.ik[mes], "&lt;"&amp;EOMONTH(K$1,0)+1,
  desp.m.ik[classe], "&lt;&gt;Financiamento"
)</f>
        <v>0</v>
      </c>
      <c r="L63" s="183">
        <f ca="1">-SUMIFS(
  desp.m.ik[valor],
  desp.m.ik[nucleo], $B63,
  desp.m.ik[centro.negocio], $B$53,
  desp.m.ik[mes], "&gt;="&amp;L$1,
  desp.m.ik[mes], "&lt;"&amp;EOMONTH(L$1,0)+1,
  desp.m.ik[classe], "&lt;&gt;Financiamento"
)</f>
        <v>0</v>
      </c>
      <c r="M63" s="183">
        <f ca="1">-SUMIFS(
  desp.m.ik[valor],
  desp.m.ik[nucleo], $B63,
  desp.m.ik[centro.negocio], $B$53,
  desp.m.ik[mes], "&gt;="&amp;M$1,
  desp.m.ik[mes], "&lt;"&amp;EOMONTH(M$1,0)+1,
  desp.m.ik[classe], "&lt;&gt;Financiamento"
)</f>
        <v>0</v>
      </c>
      <c r="N63" s="183">
        <f ca="1">-SUMIFS(
  desp.m.ik[valor],
  desp.m.ik[nucleo], $B63,
  desp.m.ik[centro.negocio], $B$53,
  desp.m.ik[mes], "&gt;="&amp;N$1,
  desp.m.ik[mes], "&lt;"&amp;EOMONTH(N$1,0)+1,
  desp.m.ik[classe], "&lt;&gt;Financiamento"
)</f>
        <v>0</v>
      </c>
      <c r="O63" s="183">
        <f ca="1">-SUMIFS(
  desp.m.ik[valor],
  desp.m.ik[nucleo], $B63,
  desp.m.ik[centro.negocio], $B$53,
  desp.m.ik[mes], "&gt;="&amp;O$1,
  desp.m.ik[mes], "&lt;"&amp;EOMONTH(O$1,0)+1,
  desp.m.ik[classe], "&lt;&gt;Financiamento"
)</f>
        <v>0</v>
      </c>
      <c r="P63" s="183">
        <f ca="1">-SUMIFS(
  desp.m.ik[valor],
  desp.m.ik[nucleo], $B63,
  desp.m.ik[centro.negocio], $B$53,
  desp.m.ik[mes], "&gt;="&amp;P$1,
  desp.m.ik[mes], "&lt;"&amp;EOMONTH(P$1,0)+1,
  desp.m.ik[classe], "&lt;&gt;Financiamento"
)</f>
        <v>0</v>
      </c>
      <c r="Q63" s="183">
        <f ca="1">-SUMIFS(
  desp.m.ik[valor],
  desp.m.ik[nucleo], $B63,
  desp.m.ik[centro.negocio], $B$53,
  desp.m.ik[mes], "&gt;="&amp;Q$1,
  desp.m.ik[mes], "&lt;"&amp;EOMONTH(Q$1,0)+1,
  desp.m.ik[classe], "&lt;&gt;Financiamento"
)</f>
        <v>0</v>
      </c>
      <c r="R63" s="183">
        <f ca="1">-SUMIFS(
  desp.m.ik[valor],
  desp.m.ik[nucleo], $B63,
  desp.m.ik[centro.negocio], $B$53,
  desp.m.ik[mes], "&gt;="&amp;R$1,
  desp.m.ik[mes], "&lt;"&amp;EOMONTH(R$1,0)+1,
  desp.m.ik[classe], "&lt;&gt;Financiamento"
)</f>
        <v>0</v>
      </c>
      <c r="S63" s="183">
        <f ca="1">-SUMIFS(
  desp.m.ik[valor],
  desp.m.ik[nucleo], $B63,
  desp.m.ik[centro.negocio], $B$53,
  desp.m.ik[mes], "&gt;="&amp;S$1,
  desp.m.ik[mes], "&lt;"&amp;EOMONTH(S$1,0)+1,
  desp.m.ik[classe], "&lt;&gt;Financiamento"
)</f>
        <v>0</v>
      </c>
      <c r="T63" s="183">
        <f ca="1">-SUMIFS(
  desp.m.ik[valor],
  desp.m.ik[nucleo], $B63,
  desp.m.ik[centro.negocio], $B$53,
  desp.m.ik[mes], "&gt;="&amp;T$1,
  desp.m.ik[mes], "&lt;"&amp;EOMONTH(T$1,0)+1,
  desp.m.ik[classe], "&lt;&gt;Financiamento"
)</f>
        <v>0</v>
      </c>
      <c r="U63" s="183">
        <f ca="1">-SUMIFS(
  desp.m.ik[valor],
  desp.m.ik[nucleo], $B63,
  desp.m.ik[centro.negocio], $B$53,
  desp.m.ik[mes], "&gt;="&amp;U$1,
  desp.m.ik[mes], "&lt;"&amp;EOMONTH(U$1,0)+1,
  desp.m.ik[classe], "&lt;&gt;Financiamento"
)</f>
        <v>0</v>
      </c>
      <c r="V63" s="183">
        <f ca="1">-SUMIFS(
  desp.m.ik[valor],
  desp.m.ik[nucleo], $B63,
  desp.m.ik[centro.negocio], $B$53,
  desp.m.ik[mes], "&gt;="&amp;V$1,
  desp.m.ik[mes], "&lt;"&amp;EOMONTH(V$1,0)+1,
  desp.m.ik[classe], "&lt;&gt;Financiamento"
)</f>
        <v>0</v>
      </c>
      <c r="W63" s="183">
        <f ca="1">-SUMIFS(
  desp.m.ik[valor],
  desp.m.ik[nucleo], $B63,
  desp.m.ik[centro.negocio], $B$53,
  desp.m.ik[mes], "&gt;="&amp;W$1,
  desp.m.ik[mes], "&lt;"&amp;EOMONTH(W$1,0)+1,
  desp.m.ik[classe], "&lt;&gt;Financiamento"
)</f>
        <v>0</v>
      </c>
      <c r="X63" s="183">
        <f ca="1">-SUMIFS(
  desp.m.ik[valor],
  desp.m.ik[nucleo], $B63,
  desp.m.ik[centro.negocio], $B$53,
  desp.m.ik[mes], "&gt;="&amp;X$1,
  desp.m.ik[mes], "&lt;"&amp;EOMONTH(X$1,0)+1,
  desp.m.ik[classe], "&lt;&gt;Financiamento"
)</f>
        <v>0</v>
      </c>
      <c r="Y63" s="183">
        <f ca="1">-SUMIFS(
  desp.m.ik[valor],
  desp.m.ik[nucleo], $B63,
  desp.m.ik[centro.negocio], $B$53,
  desp.m.ik[mes], "&gt;="&amp;Y$1,
  desp.m.ik[mes], "&lt;"&amp;EOMONTH(Y$1,0)+1,
  desp.m.ik[classe], "&lt;&gt;Financiamento"
)</f>
        <v>0</v>
      </c>
      <c r="Z63" s="183">
        <f ca="1">-SUMIFS(
  desp.m.ik[valor],
  desp.m.ik[nucleo], $B63,
  desp.m.ik[centro.negocio], $B$53,
  desp.m.ik[mes], "&gt;="&amp;Z$1,
  desp.m.ik[mes], "&lt;"&amp;EOMONTH(Z$1,0)+1,
  desp.m.ik[classe], "&lt;&gt;Financiamento"
)</f>
        <v>0</v>
      </c>
      <c r="AA63" s="183">
        <f ca="1">-SUMIFS(
  desp.m.ik[valor],
  desp.m.ik[nucleo], $B63,
  desp.m.ik[centro.negocio], $B$53,
  desp.m.ik[mes], "&gt;="&amp;AA$1,
  desp.m.ik[mes], "&lt;"&amp;EOMONTH(AA$1,0)+1,
  desp.m.ik[classe], "&lt;&gt;Financiamento"
)</f>
        <v>0</v>
      </c>
      <c r="AC63" s="175">
        <f ca="1">SUM($D63:INDEX($D63:$AA63,1,MATCH(DATE(YEAR(inputs!$A$1),MONTH(inputs!$A$1),1),$D$1:$AA$1,0)))</f>
        <v>0</v>
      </c>
      <c r="AE63" s="175">
        <f t="shared" ca="1" si="1"/>
        <v>0</v>
      </c>
    </row>
    <row r="64" spans="1:31" outlineLevel="2" x14ac:dyDescent="0.25">
      <c r="A64" s="182" t="s">
        <v>921</v>
      </c>
      <c r="B64" s="182" t="s">
        <v>890</v>
      </c>
      <c r="C64" s="135" t="s">
        <v>514</v>
      </c>
      <c r="D64" s="183">
        <f ca="1">-SUMIFS(
  desp.m.ik[valor],
  desp.m.ik[nucleo], $B64,
  desp.m.ik[centro.negocio], $B$53,
  desp.m.ik[mes], "&gt;="&amp;D$1,
  desp.m.ik[mes], "&lt;"&amp;EOMONTH(D$1,0)+1,
  desp.m.ik[classe], "&lt;&gt;Financiamento"
)</f>
        <v>0</v>
      </c>
      <c r="E64" s="183">
        <f ca="1">-SUMIFS(
  desp.m.ik[valor],
  desp.m.ik[nucleo], $B64,
  desp.m.ik[centro.negocio], $B$53,
  desp.m.ik[mes], "&gt;="&amp;E$1,
  desp.m.ik[mes], "&lt;"&amp;EOMONTH(E$1,0)+1,
  desp.m.ik[classe], "&lt;&gt;Financiamento"
)</f>
        <v>0</v>
      </c>
      <c r="F64" s="183">
        <f ca="1">-SUMIFS(
  desp.m.ik[valor],
  desp.m.ik[nucleo], $B64,
  desp.m.ik[centro.negocio], $B$53,
  desp.m.ik[mes], "&gt;="&amp;F$1,
  desp.m.ik[mes], "&lt;"&amp;EOMONTH(F$1,0)+1,
  desp.m.ik[classe], "&lt;&gt;Financiamento"
)</f>
        <v>0</v>
      </c>
      <c r="G64" s="183">
        <f ca="1">-SUMIFS(
  desp.m.ik[valor],
  desp.m.ik[nucleo], $B64,
  desp.m.ik[centro.negocio], $B$53,
  desp.m.ik[mes], "&gt;="&amp;G$1,
  desp.m.ik[mes], "&lt;"&amp;EOMONTH(G$1,0)+1,
  desp.m.ik[classe], "&lt;&gt;Financiamento"
)</f>
        <v>0</v>
      </c>
      <c r="H64" s="183">
        <f ca="1">-SUMIFS(
  desp.m.ik[valor],
  desp.m.ik[nucleo], $B64,
  desp.m.ik[centro.negocio], $B$53,
  desp.m.ik[mes], "&gt;="&amp;H$1,
  desp.m.ik[mes], "&lt;"&amp;EOMONTH(H$1,0)+1,
  desp.m.ik[classe], "&lt;&gt;Financiamento"
)</f>
        <v>0</v>
      </c>
      <c r="I64" s="183">
        <f ca="1">-SUMIFS(
  desp.m.ik[valor],
  desp.m.ik[nucleo], $B64,
  desp.m.ik[centro.negocio], $B$53,
  desp.m.ik[mes], "&gt;="&amp;I$1,
  desp.m.ik[mes], "&lt;"&amp;EOMONTH(I$1,0)+1,
  desp.m.ik[classe], "&lt;&gt;Financiamento"
)</f>
        <v>0</v>
      </c>
      <c r="J64" s="183">
        <f ca="1">-SUMIFS(
  desp.m.ik[valor],
  desp.m.ik[nucleo], $B64,
  desp.m.ik[centro.negocio], $B$53,
  desp.m.ik[mes], "&gt;="&amp;J$1,
  desp.m.ik[mes], "&lt;"&amp;EOMONTH(J$1,0)+1,
  desp.m.ik[classe], "&lt;&gt;Financiamento"
)</f>
        <v>0</v>
      </c>
      <c r="K64" s="183">
        <f ca="1">-SUMIFS(
  desp.m.ik[valor],
  desp.m.ik[nucleo], $B64,
  desp.m.ik[centro.negocio], $B$53,
  desp.m.ik[mes], "&gt;="&amp;K$1,
  desp.m.ik[mes], "&lt;"&amp;EOMONTH(K$1,0)+1,
  desp.m.ik[classe], "&lt;&gt;Financiamento"
)</f>
        <v>0</v>
      </c>
      <c r="L64" s="183">
        <f ca="1">-SUMIFS(
  desp.m.ik[valor],
  desp.m.ik[nucleo], $B64,
  desp.m.ik[centro.negocio], $B$53,
  desp.m.ik[mes], "&gt;="&amp;L$1,
  desp.m.ik[mes], "&lt;"&amp;EOMONTH(L$1,0)+1,
  desp.m.ik[classe], "&lt;&gt;Financiamento"
)</f>
        <v>0</v>
      </c>
      <c r="M64" s="183">
        <f ca="1">-SUMIFS(
  desp.m.ik[valor],
  desp.m.ik[nucleo], $B64,
  desp.m.ik[centro.negocio], $B$53,
  desp.m.ik[mes], "&gt;="&amp;M$1,
  desp.m.ik[mes], "&lt;"&amp;EOMONTH(M$1,0)+1,
  desp.m.ik[classe], "&lt;&gt;Financiamento"
)</f>
        <v>0</v>
      </c>
      <c r="N64" s="183">
        <f ca="1">-SUMIFS(
  desp.m.ik[valor],
  desp.m.ik[nucleo], $B64,
  desp.m.ik[centro.negocio], $B$53,
  desp.m.ik[mes], "&gt;="&amp;N$1,
  desp.m.ik[mes], "&lt;"&amp;EOMONTH(N$1,0)+1,
  desp.m.ik[classe], "&lt;&gt;Financiamento"
)</f>
        <v>0</v>
      </c>
      <c r="O64" s="183">
        <f ca="1">-SUMIFS(
  desp.m.ik[valor],
  desp.m.ik[nucleo], $B64,
  desp.m.ik[centro.negocio], $B$53,
  desp.m.ik[mes], "&gt;="&amp;O$1,
  desp.m.ik[mes], "&lt;"&amp;EOMONTH(O$1,0)+1,
  desp.m.ik[classe], "&lt;&gt;Financiamento"
)</f>
        <v>0</v>
      </c>
      <c r="P64" s="183">
        <f ca="1">-SUMIFS(
  desp.m.ik[valor],
  desp.m.ik[nucleo], $B64,
  desp.m.ik[centro.negocio], $B$53,
  desp.m.ik[mes], "&gt;="&amp;P$1,
  desp.m.ik[mes], "&lt;"&amp;EOMONTH(P$1,0)+1,
  desp.m.ik[classe], "&lt;&gt;Financiamento"
)</f>
        <v>0</v>
      </c>
      <c r="Q64" s="183">
        <f ca="1">-SUMIFS(
  desp.m.ik[valor],
  desp.m.ik[nucleo], $B64,
  desp.m.ik[centro.negocio], $B$53,
  desp.m.ik[mes], "&gt;="&amp;Q$1,
  desp.m.ik[mes], "&lt;"&amp;EOMONTH(Q$1,0)+1,
  desp.m.ik[classe], "&lt;&gt;Financiamento"
)</f>
        <v>0</v>
      </c>
      <c r="R64" s="183">
        <f ca="1">-SUMIFS(
  desp.m.ik[valor],
  desp.m.ik[nucleo], $B64,
  desp.m.ik[centro.negocio], $B$53,
  desp.m.ik[mes], "&gt;="&amp;R$1,
  desp.m.ik[mes], "&lt;"&amp;EOMONTH(R$1,0)+1,
  desp.m.ik[classe], "&lt;&gt;Financiamento"
)</f>
        <v>0</v>
      </c>
      <c r="S64" s="183">
        <f ca="1">-SUMIFS(
  desp.m.ik[valor],
  desp.m.ik[nucleo], $B64,
  desp.m.ik[centro.negocio], $B$53,
  desp.m.ik[mes], "&gt;="&amp;S$1,
  desp.m.ik[mes], "&lt;"&amp;EOMONTH(S$1,0)+1,
  desp.m.ik[classe], "&lt;&gt;Financiamento"
)</f>
        <v>0</v>
      </c>
      <c r="T64" s="183">
        <f ca="1">-SUMIFS(
  desp.m.ik[valor],
  desp.m.ik[nucleo], $B64,
  desp.m.ik[centro.negocio], $B$53,
  desp.m.ik[mes], "&gt;="&amp;T$1,
  desp.m.ik[mes], "&lt;"&amp;EOMONTH(T$1,0)+1,
  desp.m.ik[classe], "&lt;&gt;Financiamento"
)</f>
        <v>0</v>
      </c>
      <c r="U64" s="183">
        <f ca="1">-SUMIFS(
  desp.m.ik[valor],
  desp.m.ik[nucleo], $B64,
  desp.m.ik[centro.negocio], $B$53,
  desp.m.ik[mes], "&gt;="&amp;U$1,
  desp.m.ik[mes], "&lt;"&amp;EOMONTH(U$1,0)+1,
  desp.m.ik[classe], "&lt;&gt;Financiamento"
)</f>
        <v>0</v>
      </c>
      <c r="V64" s="183">
        <f ca="1">-SUMIFS(
  desp.m.ik[valor],
  desp.m.ik[nucleo], $B64,
  desp.m.ik[centro.negocio], $B$53,
  desp.m.ik[mes], "&gt;="&amp;V$1,
  desp.m.ik[mes], "&lt;"&amp;EOMONTH(V$1,0)+1,
  desp.m.ik[classe], "&lt;&gt;Financiamento"
)</f>
        <v>0</v>
      </c>
      <c r="W64" s="183">
        <f ca="1">-SUMIFS(
  desp.m.ik[valor],
  desp.m.ik[nucleo], $B64,
  desp.m.ik[centro.negocio], $B$53,
  desp.m.ik[mes], "&gt;="&amp;W$1,
  desp.m.ik[mes], "&lt;"&amp;EOMONTH(W$1,0)+1,
  desp.m.ik[classe], "&lt;&gt;Financiamento"
)</f>
        <v>0</v>
      </c>
      <c r="X64" s="183">
        <f ca="1">-SUMIFS(
  desp.m.ik[valor],
  desp.m.ik[nucleo], $B64,
  desp.m.ik[centro.negocio], $B$53,
  desp.m.ik[mes], "&gt;="&amp;X$1,
  desp.m.ik[mes], "&lt;"&amp;EOMONTH(X$1,0)+1,
  desp.m.ik[classe], "&lt;&gt;Financiamento"
)</f>
        <v>0</v>
      </c>
      <c r="Y64" s="183">
        <f ca="1">-SUMIFS(
  desp.m.ik[valor],
  desp.m.ik[nucleo], $B64,
  desp.m.ik[centro.negocio], $B$53,
  desp.m.ik[mes], "&gt;="&amp;Y$1,
  desp.m.ik[mes], "&lt;"&amp;EOMONTH(Y$1,0)+1,
  desp.m.ik[classe], "&lt;&gt;Financiamento"
)</f>
        <v>0</v>
      </c>
      <c r="Z64" s="183">
        <f ca="1">-SUMIFS(
  desp.m.ik[valor],
  desp.m.ik[nucleo], $B64,
  desp.m.ik[centro.negocio], $B$53,
  desp.m.ik[mes], "&gt;="&amp;Z$1,
  desp.m.ik[mes], "&lt;"&amp;EOMONTH(Z$1,0)+1,
  desp.m.ik[classe], "&lt;&gt;Financiamento"
)</f>
        <v>0</v>
      </c>
      <c r="AA64" s="183">
        <f ca="1">-SUMIFS(
  desp.m.ik[valor],
  desp.m.ik[nucleo], $B64,
  desp.m.ik[centro.negocio], $B$53,
  desp.m.ik[mes], "&gt;="&amp;AA$1,
  desp.m.ik[mes], "&lt;"&amp;EOMONTH(AA$1,0)+1,
  desp.m.ik[classe], "&lt;&gt;Financiamento"
)</f>
        <v>0</v>
      </c>
      <c r="AC64" s="175">
        <f ca="1">SUM($D64:INDEX($D64:$AA64,1,MATCH(DATE(YEAR(inputs!$A$1),MONTH(inputs!$A$1),1),$D$1:$AA$1,0)))</f>
        <v>0</v>
      </c>
      <c r="AE64" s="175">
        <f ca="1">SUM(D64:AA64)</f>
        <v>0</v>
      </c>
    </row>
    <row r="65" spans="1:31" outlineLevel="2" x14ac:dyDescent="0.25">
      <c r="A65" s="182" t="s">
        <v>718</v>
      </c>
      <c r="B65" s="182" t="s">
        <v>558</v>
      </c>
      <c r="C65" s="135" t="s">
        <v>514</v>
      </c>
      <c r="D65" s="183">
        <f ca="1">-SUMIFS(
  desp.m.ik[valor],
  desp.m.ik[nucleo], $B65,
  desp.m.ik[centro.negocio], $B$53,
  desp.m.ik[mes], "&gt;="&amp;D$1,
  desp.m.ik[mes], "&lt;"&amp;EOMONTH(D$1,0)+1,
  desp.m.ik[classe], "&lt;&gt;Financiamento"
)</f>
        <v>0</v>
      </c>
      <c r="E65" s="183">
        <f ca="1">-SUMIFS(
  desp.m.ik[valor],
  desp.m.ik[nucleo], $B65,
  desp.m.ik[centro.negocio], $B$53,
  desp.m.ik[mes], "&gt;="&amp;E$1,
  desp.m.ik[mes], "&lt;"&amp;EOMONTH(E$1,0)+1,
  desp.m.ik[classe], "&lt;&gt;Financiamento"
)</f>
        <v>0</v>
      </c>
      <c r="F65" s="183">
        <f ca="1">-SUMIFS(
  desp.m.ik[valor],
  desp.m.ik[nucleo], $B65,
  desp.m.ik[centro.negocio], $B$53,
  desp.m.ik[mes], "&gt;="&amp;F$1,
  desp.m.ik[mes], "&lt;"&amp;EOMONTH(F$1,0)+1,
  desp.m.ik[classe], "&lt;&gt;Financiamento"
)</f>
        <v>0</v>
      </c>
      <c r="G65" s="183">
        <f ca="1">-SUMIFS(
  desp.m.ik[valor],
  desp.m.ik[nucleo], $B65,
  desp.m.ik[centro.negocio], $B$53,
  desp.m.ik[mes], "&gt;="&amp;G$1,
  desp.m.ik[mes], "&lt;"&amp;EOMONTH(G$1,0)+1,
  desp.m.ik[classe], "&lt;&gt;Financiamento"
)</f>
        <v>0</v>
      </c>
      <c r="H65" s="183">
        <f ca="1">-SUMIFS(
  desp.m.ik[valor],
  desp.m.ik[nucleo], $B65,
  desp.m.ik[centro.negocio], $B$53,
  desp.m.ik[mes], "&gt;="&amp;H$1,
  desp.m.ik[mes], "&lt;"&amp;EOMONTH(H$1,0)+1,
  desp.m.ik[classe], "&lt;&gt;Financiamento"
)</f>
        <v>0</v>
      </c>
      <c r="I65" s="183">
        <f ca="1">-SUMIFS(
  desp.m.ik[valor],
  desp.m.ik[nucleo], $B65,
  desp.m.ik[centro.negocio], $B$53,
  desp.m.ik[mes], "&gt;="&amp;I$1,
  desp.m.ik[mes], "&lt;"&amp;EOMONTH(I$1,0)+1,
  desp.m.ik[classe], "&lt;&gt;Financiamento"
)</f>
        <v>0</v>
      </c>
      <c r="J65" s="183">
        <f ca="1">-SUMIFS(
  desp.m.ik[valor],
  desp.m.ik[nucleo], $B65,
  desp.m.ik[centro.negocio], $B$53,
  desp.m.ik[mes], "&gt;="&amp;J$1,
  desp.m.ik[mes], "&lt;"&amp;EOMONTH(J$1,0)+1,
  desp.m.ik[classe], "&lt;&gt;Financiamento"
)</f>
        <v>0</v>
      </c>
      <c r="K65" s="183">
        <f ca="1">-SUMIFS(
  desp.m.ik[valor],
  desp.m.ik[nucleo], $B65,
  desp.m.ik[centro.negocio], $B$53,
  desp.m.ik[mes], "&gt;="&amp;K$1,
  desp.m.ik[mes], "&lt;"&amp;EOMONTH(K$1,0)+1,
  desp.m.ik[classe], "&lt;&gt;Financiamento"
)</f>
        <v>0</v>
      </c>
      <c r="L65" s="183">
        <f ca="1">-SUMIFS(
  desp.m.ik[valor],
  desp.m.ik[nucleo], $B65,
  desp.m.ik[centro.negocio], $B$53,
  desp.m.ik[mes], "&gt;="&amp;L$1,
  desp.m.ik[mes], "&lt;"&amp;EOMONTH(L$1,0)+1,
  desp.m.ik[classe], "&lt;&gt;Financiamento"
)</f>
        <v>0</v>
      </c>
      <c r="M65" s="183">
        <f ca="1">-SUMIFS(
  desp.m.ik[valor],
  desp.m.ik[nucleo], $B65,
  desp.m.ik[centro.negocio], $B$53,
  desp.m.ik[mes], "&gt;="&amp;M$1,
  desp.m.ik[mes], "&lt;"&amp;EOMONTH(M$1,0)+1,
  desp.m.ik[classe], "&lt;&gt;Financiamento"
)</f>
        <v>0</v>
      </c>
      <c r="N65" s="183">
        <f ca="1">-SUMIFS(
  desp.m.ik[valor],
  desp.m.ik[nucleo], $B65,
  desp.m.ik[centro.negocio], $B$53,
  desp.m.ik[mes], "&gt;="&amp;N$1,
  desp.m.ik[mes], "&lt;"&amp;EOMONTH(N$1,0)+1,
  desp.m.ik[classe], "&lt;&gt;Financiamento"
)</f>
        <v>0</v>
      </c>
      <c r="O65" s="183">
        <f ca="1">-SUMIFS(
  desp.m.ik[valor],
  desp.m.ik[nucleo], $B65,
  desp.m.ik[centro.negocio], $B$53,
  desp.m.ik[mes], "&gt;="&amp;O$1,
  desp.m.ik[mes], "&lt;"&amp;EOMONTH(O$1,0)+1,
  desp.m.ik[classe], "&lt;&gt;Financiamento"
)</f>
        <v>0</v>
      </c>
      <c r="P65" s="183">
        <f ca="1">-SUMIFS(
  desp.m.ik[valor],
  desp.m.ik[nucleo], $B65,
  desp.m.ik[centro.negocio], $B$53,
  desp.m.ik[mes], "&gt;="&amp;P$1,
  desp.m.ik[mes], "&lt;"&amp;EOMONTH(P$1,0)+1,
  desp.m.ik[classe], "&lt;&gt;Financiamento"
)</f>
        <v>0</v>
      </c>
      <c r="Q65" s="183">
        <f ca="1">-SUMIFS(
  desp.m.ik[valor],
  desp.m.ik[nucleo], $B65,
  desp.m.ik[centro.negocio], $B$53,
  desp.m.ik[mes], "&gt;="&amp;Q$1,
  desp.m.ik[mes], "&lt;"&amp;EOMONTH(Q$1,0)+1,
  desp.m.ik[classe], "&lt;&gt;Financiamento"
)</f>
        <v>0</v>
      </c>
      <c r="R65" s="183">
        <f ca="1">-SUMIFS(
  desp.m.ik[valor],
  desp.m.ik[nucleo], $B65,
  desp.m.ik[centro.negocio], $B$53,
  desp.m.ik[mes], "&gt;="&amp;R$1,
  desp.m.ik[mes], "&lt;"&amp;EOMONTH(R$1,0)+1,
  desp.m.ik[classe], "&lt;&gt;Financiamento"
)</f>
        <v>0</v>
      </c>
      <c r="S65" s="183">
        <f ca="1">-SUMIFS(
  desp.m.ik[valor],
  desp.m.ik[nucleo], $B65,
  desp.m.ik[centro.negocio], $B$53,
  desp.m.ik[mes], "&gt;="&amp;S$1,
  desp.m.ik[mes], "&lt;"&amp;EOMONTH(S$1,0)+1,
  desp.m.ik[classe], "&lt;&gt;Financiamento"
)</f>
        <v>0</v>
      </c>
      <c r="T65" s="183">
        <f ca="1">-SUMIFS(
  desp.m.ik[valor],
  desp.m.ik[nucleo], $B65,
  desp.m.ik[centro.negocio], $B$53,
  desp.m.ik[mes], "&gt;="&amp;T$1,
  desp.m.ik[mes], "&lt;"&amp;EOMONTH(T$1,0)+1,
  desp.m.ik[classe], "&lt;&gt;Financiamento"
)</f>
        <v>0</v>
      </c>
      <c r="U65" s="183">
        <f ca="1">-SUMIFS(
  desp.m.ik[valor],
  desp.m.ik[nucleo], $B65,
  desp.m.ik[centro.negocio], $B$53,
  desp.m.ik[mes], "&gt;="&amp;U$1,
  desp.m.ik[mes], "&lt;"&amp;EOMONTH(U$1,0)+1,
  desp.m.ik[classe], "&lt;&gt;Financiamento"
)</f>
        <v>0</v>
      </c>
      <c r="V65" s="183">
        <f ca="1">-SUMIFS(
  desp.m.ik[valor],
  desp.m.ik[nucleo], $B65,
  desp.m.ik[centro.negocio], $B$53,
  desp.m.ik[mes], "&gt;="&amp;V$1,
  desp.m.ik[mes], "&lt;"&amp;EOMONTH(V$1,0)+1,
  desp.m.ik[classe], "&lt;&gt;Financiamento"
)</f>
        <v>0</v>
      </c>
      <c r="W65" s="183">
        <f ca="1">-SUMIFS(
  desp.m.ik[valor],
  desp.m.ik[nucleo], $B65,
  desp.m.ik[centro.negocio], $B$53,
  desp.m.ik[mes], "&gt;="&amp;W$1,
  desp.m.ik[mes], "&lt;"&amp;EOMONTH(W$1,0)+1,
  desp.m.ik[classe], "&lt;&gt;Financiamento"
)</f>
        <v>0</v>
      </c>
      <c r="X65" s="183">
        <f ca="1">-SUMIFS(
  desp.m.ik[valor],
  desp.m.ik[nucleo], $B65,
  desp.m.ik[centro.negocio], $B$53,
  desp.m.ik[mes], "&gt;="&amp;X$1,
  desp.m.ik[mes], "&lt;"&amp;EOMONTH(X$1,0)+1,
  desp.m.ik[classe], "&lt;&gt;Financiamento"
)</f>
        <v>0</v>
      </c>
      <c r="Y65" s="183">
        <f ca="1">-SUMIFS(
  desp.m.ik[valor],
  desp.m.ik[nucleo], $B65,
  desp.m.ik[centro.negocio], $B$53,
  desp.m.ik[mes], "&gt;="&amp;Y$1,
  desp.m.ik[mes], "&lt;"&amp;EOMONTH(Y$1,0)+1,
  desp.m.ik[classe], "&lt;&gt;Financiamento"
)</f>
        <v>0</v>
      </c>
      <c r="Z65" s="183">
        <f ca="1">-SUMIFS(
  desp.m.ik[valor],
  desp.m.ik[nucleo], $B65,
  desp.m.ik[centro.negocio], $B$53,
  desp.m.ik[mes], "&gt;="&amp;Z$1,
  desp.m.ik[mes], "&lt;"&amp;EOMONTH(Z$1,0)+1,
  desp.m.ik[classe], "&lt;&gt;Financiamento"
)</f>
        <v>0</v>
      </c>
      <c r="AA65" s="183">
        <f ca="1">-SUMIFS(
  desp.m.ik[valor],
  desp.m.ik[nucleo], $B65,
  desp.m.ik[centro.negocio], $B$53,
  desp.m.ik[mes], "&gt;="&amp;AA$1,
  desp.m.ik[mes], "&lt;"&amp;EOMONTH(AA$1,0)+1,
  desp.m.ik[classe], "&lt;&gt;Financiamento"
)</f>
        <v>0</v>
      </c>
      <c r="AC65" s="175">
        <f ca="1">SUM($D65:INDEX($D65:$AA65,1,MATCH(DATE(YEAR(inputs!$A$1),MONTH(inputs!$A$1),1),$D$1:$AA$1,0)))</f>
        <v>0</v>
      </c>
      <c r="AE65" s="175">
        <f ca="1">SUM(D65:AA65)</f>
        <v>0</v>
      </c>
    </row>
    <row r="66" spans="1:31" outlineLevel="2" x14ac:dyDescent="0.25">
      <c r="A66" s="182" t="s">
        <v>555</v>
      </c>
      <c r="B66" s="182" t="s">
        <v>535</v>
      </c>
      <c r="C66" s="135" t="s">
        <v>514</v>
      </c>
      <c r="D66" s="183">
        <f ca="1">-SUMIFS(
  desp.m.ik[valor],
  desp.m.ik[nucleo], $B66,
  desp.m.ik[centro.negocio], $B$53,
  desp.m.ik[mes], "&gt;="&amp;D$1,
  desp.m.ik[mes], "&lt;"&amp;EOMONTH(D$1,0)+1,
  desp.m.ik[classe], "&lt;&gt;Financiamento"
)</f>
        <v>0</v>
      </c>
      <c r="E66" s="183">
        <f ca="1">-SUMIFS(
  desp.m.ik[valor],
  desp.m.ik[nucleo], $B66,
  desp.m.ik[centro.negocio], $B$53,
  desp.m.ik[mes], "&gt;="&amp;E$1,
  desp.m.ik[mes], "&lt;"&amp;EOMONTH(E$1,0)+1,
  desp.m.ik[classe], "&lt;&gt;Financiamento"
)</f>
        <v>0</v>
      </c>
      <c r="F66" s="183">
        <f ca="1">-SUMIFS(
  desp.m.ik[valor],
  desp.m.ik[nucleo], $B66,
  desp.m.ik[centro.negocio], $B$53,
  desp.m.ik[mes], "&gt;="&amp;F$1,
  desp.m.ik[mes], "&lt;"&amp;EOMONTH(F$1,0)+1,
  desp.m.ik[classe], "&lt;&gt;Financiamento"
)</f>
        <v>0</v>
      </c>
      <c r="G66" s="183">
        <f ca="1">-SUMIFS(
  desp.m.ik[valor],
  desp.m.ik[nucleo], $B66,
  desp.m.ik[centro.negocio], $B$53,
  desp.m.ik[mes], "&gt;="&amp;G$1,
  desp.m.ik[mes], "&lt;"&amp;EOMONTH(G$1,0)+1,
  desp.m.ik[classe], "&lt;&gt;Financiamento"
)</f>
        <v>0</v>
      </c>
      <c r="H66" s="183">
        <f ca="1">-SUMIFS(
  desp.m.ik[valor],
  desp.m.ik[nucleo], $B66,
  desp.m.ik[centro.negocio], $B$53,
  desp.m.ik[mes], "&gt;="&amp;H$1,
  desp.m.ik[mes], "&lt;"&amp;EOMONTH(H$1,0)+1,
  desp.m.ik[classe], "&lt;&gt;Financiamento"
)</f>
        <v>0</v>
      </c>
      <c r="I66" s="183">
        <f ca="1">-SUMIFS(
  desp.m.ik[valor],
  desp.m.ik[nucleo], $B66,
  desp.m.ik[centro.negocio], $B$53,
  desp.m.ik[mes], "&gt;="&amp;I$1,
  desp.m.ik[mes], "&lt;"&amp;EOMONTH(I$1,0)+1,
  desp.m.ik[classe], "&lt;&gt;Financiamento"
)</f>
        <v>0</v>
      </c>
      <c r="J66" s="183">
        <f ca="1">-SUMIFS(
  desp.m.ik[valor],
  desp.m.ik[nucleo], $B66,
  desp.m.ik[centro.negocio], $B$53,
  desp.m.ik[mes], "&gt;="&amp;J$1,
  desp.m.ik[mes], "&lt;"&amp;EOMONTH(J$1,0)+1,
  desp.m.ik[classe], "&lt;&gt;Financiamento"
)</f>
        <v>0</v>
      </c>
      <c r="K66" s="183">
        <f ca="1">-SUMIFS(
  desp.m.ik[valor],
  desp.m.ik[nucleo], $B66,
  desp.m.ik[centro.negocio], $B$53,
  desp.m.ik[mes], "&gt;="&amp;K$1,
  desp.m.ik[mes], "&lt;"&amp;EOMONTH(K$1,0)+1,
  desp.m.ik[classe], "&lt;&gt;Financiamento"
)</f>
        <v>0</v>
      </c>
      <c r="L66" s="183">
        <f ca="1">-SUMIFS(
  desp.m.ik[valor],
  desp.m.ik[nucleo], $B66,
  desp.m.ik[centro.negocio], $B$53,
  desp.m.ik[mes], "&gt;="&amp;L$1,
  desp.m.ik[mes], "&lt;"&amp;EOMONTH(L$1,0)+1,
  desp.m.ik[classe], "&lt;&gt;Financiamento"
)</f>
        <v>0</v>
      </c>
      <c r="M66" s="183">
        <f ca="1">-SUMIFS(
  desp.m.ik[valor],
  desp.m.ik[nucleo], $B66,
  desp.m.ik[centro.negocio], $B$53,
  desp.m.ik[mes], "&gt;="&amp;M$1,
  desp.m.ik[mes], "&lt;"&amp;EOMONTH(M$1,0)+1,
  desp.m.ik[classe], "&lt;&gt;Financiamento"
)</f>
        <v>0</v>
      </c>
      <c r="N66" s="183">
        <f ca="1">-SUMIFS(
  desp.m.ik[valor],
  desp.m.ik[nucleo], $B66,
  desp.m.ik[centro.negocio], $B$53,
  desp.m.ik[mes], "&gt;="&amp;N$1,
  desp.m.ik[mes], "&lt;"&amp;EOMONTH(N$1,0)+1,
  desp.m.ik[classe], "&lt;&gt;Financiamento"
)</f>
        <v>0</v>
      </c>
      <c r="O66" s="183">
        <f ca="1">-SUMIFS(
  desp.m.ik[valor],
  desp.m.ik[nucleo], $B66,
  desp.m.ik[centro.negocio], $B$53,
  desp.m.ik[mes], "&gt;="&amp;O$1,
  desp.m.ik[mes], "&lt;"&amp;EOMONTH(O$1,0)+1,
  desp.m.ik[classe], "&lt;&gt;Financiamento"
)</f>
        <v>0</v>
      </c>
      <c r="P66" s="183">
        <f ca="1">-SUMIFS(
  desp.m.ik[valor],
  desp.m.ik[nucleo], $B66,
  desp.m.ik[centro.negocio], $B$53,
  desp.m.ik[mes], "&gt;="&amp;P$1,
  desp.m.ik[mes], "&lt;"&amp;EOMONTH(P$1,0)+1,
  desp.m.ik[classe], "&lt;&gt;Financiamento"
)</f>
        <v>0</v>
      </c>
      <c r="Q66" s="183">
        <f ca="1">-SUMIFS(
  desp.m.ik[valor],
  desp.m.ik[nucleo], $B66,
  desp.m.ik[centro.negocio], $B$53,
  desp.m.ik[mes], "&gt;="&amp;Q$1,
  desp.m.ik[mes], "&lt;"&amp;EOMONTH(Q$1,0)+1,
  desp.m.ik[classe], "&lt;&gt;Financiamento"
)</f>
        <v>0</v>
      </c>
      <c r="R66" s="183">
        <f ca="1">-SUMIFS(
  desp.m.ik[valor],
  desp.m.ik[nucleo], $B66,
  desp.m.ik[centro.negocio], $B$53,
  desp.m.ik[mes], "&gt;="&amp;R$1,
  desp.m.ik[mes], "&lt;"&amp;EOMONTH(R$1,0)+1,
  desp.m.ik[classe], "&lt;&gt;Financiamento"
)</f>
        <v>0</v>
      </c>
      <c r="S66" s="183">
        <f ca="1">-SUMIFS(
  desp.m.ik[valor],
  desp.m.ik[nucleo], $B66,
  desp.m.ik[centro.negocio], $B$53,
  desp.m.ik[mes], "&gt;="&amp;S$1,
  desp.m.ik[mes], "&lt;"&amp;EOMONTH(S$1,0)+1,
  desp.m.ik[classe], "&lt;&gt;Financiamento"
)</f>
        <v>0</v>
      </c>
      <c r="T66" s="183">
        <f ca="1">-SUMIFS(
  desp.m.ik[valor],
  desp.m.ik[nucleo], $B66,
  desp.m.ik[centro.negocio], $B$53,
  desp.m.ik[mes], "&gt;="&amp;T$1,
  desp.m.ik[mes], "&lt;"&amp;EOMONTH(T$1,0)+1,
  desp.m.ik[classe], "&lt;&gt;Financiamento"
)</f>
        <v>0</v>
      </c>
      <c r="U66" s="183">
        <f ca="1">-SUMIFS(
  desp.m.ik[valor],
  desp.m.ik[nucleo], $B66,
  desp.m.ik[centro.negocio], $B$53,
  desp.m.ik[mes], "&gt;="&amp;U$1,
  desp.m.ik[mes], "&lt;"&amp;EOMONTH(U$1,0)+1,
  desp.m.ik[classe], "&lt;&gt;Financiamento"
)</f>
        <v>0</v>
      </c>
      <c r="V66" s="183">
        <f ca="1">-SUMIFS(
  desp.m.ik[valor],
  desp.m.ik[nucleo], $B66,
  desp.m.ik[centro.negocio], $B$53,
  desp.m.ik[mes], "&gt;="&amp;V$1,
  desp.m.ik[mes], "&lt;"&amp;EOMONTH(V$1,0)+1,
  desp.m.ik[classe], "&lt;&gt;Financiamento"
)</f>
        <v>0</v>
      </c>
      <c r="W66" s="183">
        <f ca="1">-SUMIFS(
  desp.m.ik[valor],
  desp.m.ik[nucleo], $B66,
  desp.m.ik[centro.negocio], $B$53,
  desp.m.ik[mes], "&gt;="&amp;W$1,
  desp.m.ik[mes], "&lt;"&amp;EOMONTH(W$1,0)+1,
  desp.m.ik[classe], "&lt;&gt;Financiamento"
)</f>
        <v>0</v>
      </c>
      <c r="X66" s="183">
        <f ca="1">-SUMIFS(
  desp.m.ik[valor],
  desp.m.ik[nucleo], $B66,
  desp.m.ik[centro.negocio], $B$53,
  desp.m.ik[mes], "&gt;="&amp;X$1,
  desp.m.ik[mes], "&lt;"&amp;EOMONTH(X$1,0)+1,
  desp.m.ik[classe], "&lt;&gt;Financiamento"
)</f>
        <v>0</v>
      </c>
      <c r="Y66" s="183">
        <f ca="1">-SUMIFS(
  desp.m.ik[valor],
  desp.m.ik[nucleo], $B66,
  desp.m.ik[centro.negocio], $B$53,
  desp.m.ik[mes], "&gt;="&amp;Y$1,
  desp.m.ik[mes], "&lt;"&amp;EOMONTH(Y$1,0)+1,
  desp.m.ik[classe], "&lt;&gt;Financiamento"
)</f>
        <v>0</v>
      </c>
      <c r="Z66" s="183">
        <f ca="1">-SUMIFS(
  desp.m.ik[valor],
  desp.m.ik[nucleo], $B66,
  desp.m.ik[centro.negocio], $B$53,
  desp.m.ik[mes], "&gt;="&amp;Z$1,
  desp.m.ik[mes], "&lt;"&amp;EOMONTH(Z$1,0)+1,
  desp.m.ik[classe], "&lt;&gt;Financiamento"
)</f>
        <v>0</v>
      </c>
      <c r="AA66" s="183">
        <f ca="1">-SUMIFS(
  desp.m.ik[valor],
  desp.m.ik[nucleo], $B66,
  desp.m.ik[centro.negocio], $B$53,
  desp.m.ik[mes], "&gt;="&amp;AA$1,
  desp.m.ik[mes], "&lt;"&amp;EOMONTH(AA$1,0)+1,
  desp.m.ik[classe], "&lt;&gt;Financiamento"
)</f>
        <v>0</v>
      </c>
      <c r="AC66" s="175">
        <f ca="1">SUM($D66:INDEX($D66:$AA66,1,MATCH(DATE(YEAR(inputs!$A$1),MONTH(inputs!$A$1),1),$D$1:$AA$1,0)))</f>
        <v>0</v>
      </c>
      <c r="AE66" s="175">
        <f t="shared" ca="1" si="1"/>
        <v>0</v>
      </c>
    </row>
    <row r="67" spans="1:31" outlineLevel="2" x14ac:dyDescent="0.25">
      <c r="A67" s="182" t="s">
        <v>717</v>
      </c>
      <c r="B67" s="182" t="s">
        <v>557</v>
      </c>
      <c r="C67" s="135" t="s">
        <v>514</v>
      </c>
      <c r="D67" s="183">
        <f ca="1">-SUMIFS(
  desp.m.ik[valor],
  desp.m.ik[nucleo], $B67,
  desp.m.ik[centro.negocio], $B$53,
  desp.m.ik[mes], "&gt;="&amp;D$1,
  desp.m.ik[mes], "&lt;"&amp;EOMONTH(D$1,0)+1,
  desp.m.ik[classe], "&lt;&gt;Financiamento"
)</f>
        <v>0</v>
      </c>
      <c r="E67" s="183">
        <f ca="1">-SUMIFS(
  desp.m.ik[valor],
  desp.m.ik[nucleo], $B67,
  desp.m.ik[centro.negocio], $B$53,
  desp.m.ik[mes], "&gt;="&amp;E$1,
  desp.m.ik[mes], "&lt;"&amp;EOMONTH(E$1,0)+1,
  desp.m.ik[classe], "&lt;&gt;Financiamento"
)</f>
        <v>0</v>
      </c>
      <c r="F67" s="183">
        <f ca="1">-SUMIFS(
  desp.m.ik[valor],
  desp.m.ik[nucleo], $B67,
  desp.m.ik[centro.negocio], $B$53,
  desp.m.ik[mes], "&gt;="&amp;F$1,
  desp.m.ik[mes], "&lt;"&amp;EOMONTH(F$1,0)+1,
  desp.m.ik[classe], "&lt;&gt;Financiamento"
)</f>
        <v>0</v>
      </c>
      <c r="G67" s="183">
        <f ca="1">-SUMIFS(
  desp.m.ik[valor],
  desp.m.ik[nucleo], $B67,
  desp.m.ik[centro.negocio], $B$53,
  desp.m.ik[mes], "&gt;="&amp;G$1,
  desp.m.ik[mes], "&lt;"&amp;EOMONTH(G$1,0)+1,
  desp.m.ik[classe], "&lt;&gt;Financiamento"
)</f>
        <v>0</v>
      </c>
      <c r="H67" s="183">
        <f ca="1">-SUMIFS(
  desp.m.ik[valor],
  desp.m.ik[nucleo], $B67,
  desp.m.ik[centro.negocio], $B$53,
  desp.m.ik[mes], "&gt;="&amp;H$1,
  desp.m.ik[mes], "&lt;"&amp;EOMONTH(H$1,0)+1,
  desp.m.ik[classe], "&lt;&gt;Financiamento"
)</f>
        <v>0</v>
      </c>
      <c r="I67" s="183">
        <f ca="1">-SUMIFS(
  desp.m.ik[valor],
  desp.m.ik[nucleo], $B67,
  desp.m.ik[centro.negocio], $B$53,
  desp.m.ik[mes], "&gt;="&amp;I$1,
  desp.m.ik[mes], "&lt;"&amp;EOMONTH(I$1,0)+1,
  desp.m.ik[classe], "&lt;&gt;Financiamento"
)</f>
        <v>0</v>
      </c>
      <c r="J67" s="183">
        <f ca="1">-SUMIFS(
  desp.m.ik[valor],
  desp.m.ik[nucleo], $B67,
  desp.m.ik[centro.negocio], $B$53,
  desp.m.ik[mes], "&gt;="&amp;J$1,
  desp.m.ik[mes], "&lt;"&amp;EOMONTH(J$1,0)+1,
  desp.m.ik[classe], "&lt;&gt;Financiamento"
)</f>
        <v>0</v>
      </c>
      <c r="K67" s="183">
        <f ca="1">-SUMIFS(
  desp.m.ik[valor],
  desp.m.ik[nucleo], $B67,
  desp.m.ik[centro.negocio], $B$53,
  desp.m.ik[mes], "&gt;="&amp;K$1,
  desp.m.ik[mes], "&lt;"&amp;EOMONTH(K$1,0)+1,
  desp.m.ik[classe], "&lt;&gt;Financiamento"
)</f>
        <v>0</v>
      </c>
      <c r="L67" s="183">
        <f ca="1">-SUMIFS(
  desp.m.ik[valor],
  desp.m.ik[nucleo], $B67,
  desp.m.ik[centro.negocio], $B$53,
  desp.m.ik[mes], "&gt;="&amp;L$1,
  desp.m.ik[mes], "&lt;"&amp;EOMONTH(L$1,0)+1,
  desp.m.ik[classe], "&lt;&gt;Financiamento"
)</f>
        <v>0</v>
      </c>
      <c r="M67" s="183">
        <f ca="1">-SUMIFS(
  desp.m.ik[valor],
  desp.m.ik[nucleo], $B67,
  desp.m.ik[centro.negocio], $B$53,
  desp.m.ik[mes], "&gt;="&amp;M$1,
  desp.m.ik[mes], "&lt;"&amp;EOMONTH(M$1,0)+1,
  desp.m.ik[classe], "&lt;&gt;Financiamento"
)</f>
        <v>0</v>
      </c>
      <c r="N67" s="183">
        <f ca="1">-SUMIFS(
  desp.m.ik[valor],
  desp.m.ik[nucleo], $B67,
  desp.m.ik[centro.negocio], $B$53,
  desp.m.ik[mes], "&gt;="&amp;N$1,
  desp.m.ik[mes], "&lt;"&amp;EOMONTH(N$1,0)+1,
  desp.m.ik[classe], "&lt;&gt;Financiamento"
)</f>
        <v>0</v>
      </c>
      <c r="O67" s="183">
        <f ca="1">-SUMIFS(
  desp.m.ik[valor],
  desp.m.ik[nucleo], $B67,
  desp.m.ik[centro.negocio], $B$53,
  desp.m.ik[mes], "&gt;="&amp;O$1,
  desp.m.ik[mes], "&lt;"&amp;EOMONTH(O$1,0)+1,
  desp.m.ik[classe], "&lt;&gt;Financiamento"
)</f>
        <v>0</v>
      </c>
      <c r="P67" s="183">
        <f ca="1">-SUMIFS(
  desp.m.ik[valor],
  desp.m.ik[nucleo], $B67,
  desp.m.ik[centro.negocio], $B$53,
  desp.m.ik[mes], "&gt;="&amp;P$1,
  desp.m.ik[mes], "&lt;"&amp;EOMONTH(P$1,0)+1,
  desp.m.ik[classe], "&lt;&gt;Financiamento"
)</f>
        <v>0</v>
      </c>
      <c r="Q67" s="183">
        <f ca="1">-SUMIFS(
  desp.m.ik[valor],
  desp.m.ik[nucleo], $B67,
  desp.m.ik[centro.negocio], $B$53,
  desp.m.ik[mes], "&gt;="&amp;Q$1,
  desp.m.ik[mes], "&lt;"&amp;EOMONTH(Q$1,0)+1,
  desp.m.ik[classe], "&lt;&gt;Financiamento"
)</f>
        <v>0</v>
      </c>
      <c r="R67" s="183">
        <f ca="1">-SUMIFS(
  desp.m.ik[valor],
  desp.m.ik[nucleo], $B67,
  desp.m.ik[centro.negocio], $B$53,
  desp.m.ik[mes], "&gt;="&amp;R$1,
  desp.m.ik[mes], "&lt;"&amp;EOMONTH(R$1,0)+1,
  desp.m.ik[classe], "&lt;&gt;Financiamento"
)</f>
        <v>0</v>
      </c>
      <c r="S67" s="183">
        <f ca="1">-SUMIFS(
  desp.m.ik[valor],
  desp.m.ik[nucleo], $B67,
  desp.m.ik[centro.negocio], $B$53,
  desp.m.ik[mes], "&gt;="&amp;S$1,
  desp.m.ik[mes], "&lt;"&amp;EOMONTH(S$1,0)+1,
  desp.m.ik[classe], "&lt;&gt;Financiamento"
)</f>
        <v>0</v>
      </c>
      <c r="T67" s="183">
        <f ca="1">-SUMIFS(
  desp.m.ik[valor],
  desp.m.ik[nucleo], $B67,
  desp.m.ik[centro.negocio], $B$53,
  desp.m.ik[mes], "&gt;="&amp;T$1,
  desp.m.ik[mes], "&lt;"&amp;EOMONTH(T$1,0)+1,
  desp.m.ik[classe], "&lt;&gt;Financiamento"
)</f>
        <v>0</v>
      </c>
      <c r="U67" s="183">
        <f ca="1">-SUMIFS(
  desp.m.ik[valor],
  desp.m.ik[nucleo], $B67,
  desp.m.ik[centro.negocio], $B$53,
  desp.m.ik[mes], "&gt;="&amp;U$1,
  desp.m.ik[mes], "&lt;"&amp;EOMONTH(U$1,0)+1,
  desp.m.ik[classe], "&lt;&gt;Financiamento"
)</f>
        <v>0</v>
      </c>
      <c r="V67" s="183">
        <f ca="1">-SUMIFS(
  desp.m.ik[valor],
  desp.m.ik[nucleo], $B67,
  desp.m.ik[centro.negocio], $B$53,
  desp.m.ik[mes], "&gt;="&amp;V$1,
  desp.m.ik[mes], "&lt;"&amp;EOMONTH(V$1,0)+1,
  desp.m.ik[classe], "&lt;&gt;Financiamento"
)</f>
        <v>0</v>
      </c>
      <c r="W67" s="183">
        <f ca="1">-SUMIFS(
  desp.m.ik[valor],
  desp.m.ik[nucleo], $B67,
  desp.m.ik[centro.negocio], $B$53,
  desp.m.ik[mes], "&gt;="&amp;W$1,
  desp.m.ik[mes], "&lt;"&amp;EOMONTH(W$1,0)+1,
  desp.m.ik[classe], "&lt;&gt;Financiamento"
)</f>
        <v>0</v>
      </c>
      <c r="X67" s="183">
        <f ca="1">-SUMIFS(
  desp.m.ik[valor],
  desp.m.ik[nucleo], $B67,
  desp.m.ik[centro.negocio], $B$53,
  desp.m.ik[mes], "&gt;="&amp;X$1,
  desp.m.ik[mes], "&lt;"&amp;EOMONTH(X$1,0)+1,
  desp.m.ik[classe], "&lt;&gt;Financiamento"
)</f>
        <v>0</v>
      </c>
      <c r="Y67" s="183">
        <f ca="1">-SUMIFS(
  desp.m.ik[valor],
  desp.m.ik[nucleo], $B67,
  desp.m.ik[centro.negocio], $B$53,
  desp.m.ik[mes], "&gt;="&amp;Y$1,
  desp.m.ik[mes], "&lt;"&amp;EOMONTH(Y$1,0)+1,
  desp.m.ik[classe], "&lt;&gt;Financiamento"
)</f>
        <v>0</v>
      </c>
      <c r="Z67" s="183">
        <f ca="1">-SUMIFS(
  desp.m.ik[valor],
  desp.m.ik[nucleo], $B67,
  desp.m.ik[centro.negocio], $B$53,
  desp.m.ik[mes], "&gt;="&amp;Z$1,
  desp.m.ik[mes], "&lt;"&amp;EOMONTH(Z$1,0)+1,
  desp.m.ik[classe], "&lt;&gt;Financiamento"
)</f>
        <v>0</v>
      </c>
      <c r="AA67" s="183">
        <f ca="1">-SUMIFS(
  desp.m.ik[valor],
  desp.m.ik[nucleo], $B67,
  desp.m.ik[centro.negocio], $B$53,
  desp.m.ik[mes], "&gt;="&amp;AA$1,
  desp.m.ik[mes], "&lt;"&amp;EOMONTH(AA$1,0)+1,
  desp.m.ik[classe], "&lt;&gt;Financiamento"
)</f>
        <v>0</v>
      </c>
      <c r="AC67" s="175">
        <f ca="1">SUM($D67:INDEX($D67:$AA67,1,MATCH(DATE(YEAR(inputs!$A$1),MONTH(inputs!$A$1),1),$D$1:$AA$1,0)))</f>
        <v>0</v>
      </c>
      <c r="AE67" s="175">
        <f t="shared" ca="1" si="1"/>
        <v>0</v>
      </c>
    </row>
    <row r="68" spans="1:31" outlineLevel="2" x14ac:dyDescent="0.25">
      <c r="A68" s="182" t="s">
        <v>813</v>
      </c>
      <c r="B68" s="182" t="s">
        <v>562</v>
      </c>
      <c r="C68" s="135" t="s">
        <v>514</v>
      </c>
      <c r="D68" s="183">
        <f ca="1">-SUMIFS(
  desp.m.ik[valor],
  desp.m.ik[nucleo], $B68,
  desp.m.ik[centro.negocio], $B$53,
  desp.m.ik[mes], "&gt;="&amp;D$1,
  desp.m.ik[mes], "&lt;"&amp;EOMONTH(D$1,0)+1,
  desp.m.ik[classe], "&lt;&gt;Financiamento"
)</f>
        <v>0</v>
      </c>
      <c r="E68" s="183">
        <f ca="1">-SUMIFS(
  desp.m.ik[valor],
  desp.m.ik[nucleo], $B68,
  desp.m.ik[centro.negocio], $B$53,
  desp.m.ik[mes], "&gt;="&amp;E$1,
  desp.m.ik[mes], "&lt;"&amp;EOMONTH(E$1,0)+1,
  desp.m.ik[classe], "&lt;&gt;Financiamento"
)</f>
        <v>0</v>
      </c>
      <c r="F68" s="183">
        <f ca="1">-SUMIFS(
  desp.m.ik[valor],
  desp.m.ik[nucleo], $B68,
  desp.m.ik[centro.negocio], $B$53,
  desp.m.ik[mes], "&gt;="&amp;F$1,
  desp.m.ik[mes], "&lt;"&amp;EOMONTH(F$1,0)+1,
  desp.m.ik[classe], "&lt;&gt;Financiamento"
)</f>
        <v>0</v>
      </c>
      <c r="G68" s="183">
        <f ca="1">-SUMIFS(
  desp.m.ik[valor],
  desp.m.ik[nucleo], $B68,
  desp.m.ik[centro.negocio], $B$53,
  desp.m.ik[mes], "&gt;="&amp;G$1,
  desp.m.ik[mes], "&lt;"&amp;EOMONTH(G$1,0)+1,
  desp.m.ik[classe], "&lt;&gt;Financiamento"
)</f>
        <v>0</v>
      </c>
      <c r="H68" s="183">
        <f ca="1">-SUMIFS(
  desp.m.ik[valor],
  desp.m.ik[nucleo], $B68,
  desp.m.ik[centro.negocio], $B$53,
  desp.m.ik[mes], "&gt;="&amp;H$1,
  desp.m.ik[mes], "&lt;"&amp;EOMONTH(H$1,0)+1,
  desp.m.ik[classe], "&lt;&gt;Financiamento"
)</f>
        <v>0</v>
      </c>
      <c r="I68" s="183">
        <f ca="1">-SUMIFS(
  desp.m.ik[valor],
  desp.m.ik[nucleo], $B68,
  desp.m.ik[centro.negocio], $B$53,
  desp.m.ik[mes], "&gt;="&amp;I$1,
  desp.m.ik[mes], "&lt;"&amp;EOMONTH(I$1,0)+1,
  desp.m.ik[classe], "&lt;&gt;Financiamento"
)</f>
        <v>0</v>
      </c>
      <c r="J68" s="183">
        <f ca="1">-SUMIFS(
  desp.m.ik[valor],
  desp.m.ik[nucleo], $B68,
  desp.m.ik[centro.negocio], $B$53,
  desp.m.ik[mes], "&gt;="&amp;J$1,
  desp.m.ik[mes], "&lt;"&amp;EOMONTH(J$1,0)+1,
  desp.m.ik[classe], "&lt;&gt;Financiamento"
)</f>
        <v>0</v>
      </c>
      <c r="K68" s="183">
        <f ca="1">-SUMIFS(
  desp.m.ik[valor],
  desp.m.ik[nucleo], $B68,
  desp.m.ik[centro.negocio], $B$53,
  desp.m.ik[mes], "&gt;="&amp;K$1,
  desp.m.ik[mes], "&lt;"&amp;EOMONTH(K$1,0)+1,
  desp.m.ik[classe], "&lt;&gt;Financiamento"
)</f>
        <v>0</v>
      </c>
      <c r="L68" s="183">
        <f ca="1">-SUMIFS(
  desp.m.ik[valor],
  desp.m.ik[nucleo], $B68,
  desp.m.ik[centro.negocio], $B$53,
  desp.m.ik[mes], "&gt;="&amp;L$1,
  desp.m.ik[mes], "&lt;"&amp;EOMONTH(L$1,0)+1,
  desp.m.ik[classe], "&lt;&gt;Financiamento"
)</f>
        <v>0</v>
      </c>
      <c r="M68" s="183">
        <f ca="1">-SUMIFS(
  desp.m.ik[valor],
  desp.m.ik[nucleo], $B68,
  desp.m.ik[centro.negocio], $B$53,
  desp.m.ik[mes], "&gt;="&amp;M$1,
  desp.m.ik[mes], "&lt;"&amp;EOMONTH(M$1,0)+1,
  desp.m.ik[classe], "&lt;&gt;Financiamento"
)</f>
        <v>0</v>
      </c>
      <c r="N68" s="183">
        <f ca="1">-SUMIFS(
  desp.m.ik[valor],
  desp.m.ik[nucleo], $B68,
  desp.m.ik[centro.negocio], $B$53,
  desp.m.ik[mes], "&gt;="&amp;N$1,
  desp.m.ik[mes], "&lt;"&amp;EOMONTH(N$1,0)+1,
  desp.m.ik[classe], "&lt;&gt;Financiamento"
)</f>
        <v>0</v>
      </c>
      <c r="O68" s="183">
        <f ca="1">-SUMIFS(
  desp.m.ik[valor],
  desp.m.ik[nucleo], $B68,
  desp.m.ik[centro.negocio], $B$53,
  desp.m.ik[mes], "&gt;="&amp;O$1,
  desp.m.ik[mes], "&lt;"&amp;EOMONTH(O$1,0)+1,
  desp.m.ik[classe], "&lt;&gt;Financiamento"
)</f>
        <v>0</v>
      </c>
      <c r="P68" s="183">
        <f ca="1">-SUMIFS(
  desp.m.ik[valor],
  desp.m.ik[nucleo], $B68,
  desp.m.ik[centro.negocio], $B$53,
  desp.m.ik[mes], "&gt;="&amp;P$1,
  desp.m.ik[mes], "&lt;"&amp;EOMONTH(P$1,0)+1,
  desp.m.ik[classe], "&lt;&gt;Financiamento"
)</f>
        <v>0</v>
      </c>
      <c r="Q68" s="183">
        <f ca="1">-SUMIFS(
  desp.m.ik[valor],
  desp.m.ik[nucleo], $B68,
  desp.m.ik[centro.negocio], $B$53,
  desp.m.ik[mes], "&gt;="&amp;Q$1,
  desp.m.ik[mes], "&lt;"&amp;EOMONTH(Q$1,0)+1,
  desp.m.ik[classe], "&lt;&gt;Financiamento"
)</f>
        <v>0</v>
      </c>
      <c r="R68" s="183">
        <f ca="1">-SUMIFS(
  desp.m.ik[valor],
  desp.m.ik[nucleo], $B68,
  desp.m.ik[centro.negocio], $B$53,
  desp.m.ik[mes], "&gt;="&amp;R$1,
  desp.m.ik[mes], "&lt;"&amp;EOMONTH(R$1,0)+1,
  desp.m.ik[classe], "&lt;&gt;Financiamento"
)</f>
        <v>0</v>
      </c>
      <c r="S68" s="183">
        <f ca="1">-SUMIFS(
  desp.m.ik[valor],
  desp.m.ik[nucleo], $B68,
  desp.m.ik[centro.negocio], $B$53,
  desp.m.ik[mes], "&gt;="&amp;S$1,
  desp.m.ik[mes], "&lt;"&amp;EOMONTH(S$1,0)+1,
  desp.m.ik[classe], "&lt;&gt;Financiamento"
)</f>
        <v>0</v>
      </c>
      <c r="T68" s="183">
        <f ca="1">-SUMIFS(
  desp.m.ik[valor],
  desp.m.ik[nucleo], $B68,
  desp.m.ik[centro.negocio], $B$53,
  desp.m.ik[mes], "&gt;="&amp;T$1,
  desp.m.ik[mes], "&lt;"&amp;EOMONTH(T$1,0)+1,
  desp.m.ik[classe], "&lt;&gt;Financiamento"
)</f>
        <v>0</v>
      </c>
      <c r="U68" s="183">
        <f ca="1">-SUMIFS(
  desp.m.ik[valor],
  desp.m.ik[nucleo], $B68,
  desp.m.ik[centro.negocio], $B$53,
  desp.m.ik[mes], "&gt;="&amp;U$1,
  desp.m.ik[mes], "&lt;"&amp;EOMONTH(U$1,0)+1,
  desp.m.ik[classe], "&lt;&gt;Financiamento"
)</f>
        <v>0</v>
      </c>
      <c r="V68" s="183">
        <f ca="1">-SUMIFS(
  desp.m.ik[valor],
  desp.m.ik[nucleo], $B68,
  desp.m.ik[centro.negocio], $B$53,
  desp.m.ik[mes], "&gt;="&amp;V$1,
  desp.m.ik[mes], "&lt;"&amp;EOMONTH(V$1,0)+1,
  desp.m.ik[classe], "&lt;&gt;Financiamento"
)</f>
        <v>0</v>
      </c>
      <c r="W68" s="183">
        <f ca="1">-SUMIFS(
  desp.m.ik[valor],
  desp.m.ik[nucleo], $B68,
  desp.m.ik[centro.negocio], $B$53,
  desp.m.ik[mes], "&gt;="&amp;W$1,
  desp.m.ik[mes], "&lt;"&amp;EOMONTH(W$1,0)+1,
  desp.m.ik[classe], "&lt;&gt;Financiamento"
)</f>
        <v>0</v>
      </c>
      <c r="X68" s="183">
        <f ca="1">-SUMIFS(
  desp.m.ik[valor],
  desp.m.ik[nucleo], $B68,
  desp.m.ik[centro.negocio], $B$53,
  desp.m.ik[mes], "&gt;="&amp;X$1,
  desp.m.ik[mes], "&lt;"&amp;EOMONTH(X$1,0)+1,
  desp.m.ik[classe], "&lt;&gt;Financiamento"
)</f>
        <v>0</v>
      </c>
      <c r="Y68" s="183">
        <f ca="1">-SUMIFS(
  desp.m.ik[valor],
  desp.m.ik[nucleo], $B68,
  desp.m.ik[centro.negocio], $B$53,
  desp.m.ik[mes], "&gt;="&amp;Y$1,
  desp.m.ik[mes], "&lt;"&amp;EOMONTH(Y$1,0)+1,
  desp.m.ik[classe], "&lt;&gt;Financiamento"
)</f>
        <v>0</v>
      </c>
      <c r="Z68" s="183">
        <f ca="1">-SUMIFS(
  desp.m.ik[valor],
  desp.m.ik[nucleo], $B68,
  desp.m.ik[centro.negocio], $B$53,
  desp.m.ik[mes], "&gt;="&amp;Z$1,
  desp.m.ik[mes], "&lt;"&amp;EOMONTH(Z$1,0)+1,
  desp.m.ik[classe], "&lt;&gt;Financiamento"
)</f>
        <v>0</v>
      </c>
      <c r="AA68" s="183">
        <f ca="1">-SUMIFS(
  desp.m.ik[valor],
  desp.m.ik[nucleo], $B68,
  desp.m.ik[centro.negocio], $B$53,
  desp.m.ik[mes], "&gt;="&amp;AA$1,
  desp.m.ik[mes], "&lt;"&amp;EOMONTH(AA$1,0)+1,
  desp.m.ik[classe], "&lt;&gt;Financiamento"
)</f>
        <v>0</v>
      </c>
      <c r="AC68" s="175">
        <f ca="1">SUM($D68:INDEX($D68:$AA68,1,MATCH(DATE(YEAR(inputs!$A$1),MONTH(inputs!$A$1),1),$D$1:$AA$1,0)))</f>
        <v>0</v>
      </c>
      <c r="AE68" s="175">
        <f t="shared" ca="1" si="1"/>
        <v>0</v>
      </c>
    </row>
    <row r="69" spans="1:31" outlineLevel="1" x14ac:dyDescent="0.25">
      <c r="A69" s="179" t="s">
        <v>1003</v>
      </c>
      <c r="B69" s="179" t="s">
        <v>391</v>
      </c>
      <c r="C69" s="180" t="s">
        <v>514</v>
      </c>
      <c r="D69" s="181">
        <f t="shared" ref="D69:AA69" ca="1" si="16">SUM(D$70:D$78)</f>
        <v>0</v>
      </c>
      <c r="E69" s="181">
        <f t="shared" ca="1" si="16"/>
        <v>0</v>
      </c>
      <c r="F69" s="181">
        <f t="shared" ca="1" si="16"/>
        <v>0</v>
      </c>
      <c r="G69" s="181">
        <f t="shared" ca="1" si="16"/>
        <v>0</v>
      </c>
      <c r="H69" s="181">
        <f t="shared" ca="1" si="16"/>
        <v>0</v>
      </c>
      <c r="I69" s="181">
        <f t="shared" ca="1" si="16"/>
        <v>0</v>
      </c>
      <c r="J69" s="181">
        <f t="shared" ca="1" si="16"/>
        <v>0</v>
      </c>
      <c r="K69" s="181">
        <f t="shared" ca="1" si="16"/>
        <v>0</v>
      </c>
      <c r="L69" s="181">
        <f t="shared" ca="1" si="16"/>
        <v>0</v>
      </c>
      <c r="M69" s="181">
        <f t="shared" ca="1" si="16"/>
        <v>0</v>
      </c>
      <c r="N69" s="181">
        <f t="shared" ca="1" si="16"/>
        <v>0</v>
      </c>
      <c r="O69" s="181">
        <f t="shared" ca="1" si="16"/>
        <v>0</v>
      </c>
      <c r="P69" s="181">
        <f t="shared" ca="1" si="16"/>
        <v>0</v>
      </c>
      <c r="Q69" s="181">
        <f t="shared" ca="1" si="16"/>
        <v>0</v>
      </c>
      <c r="R69" s="181">
        <f t="shared" ca="1" si="16"/>
        <v>0</v>
      </c>
      <c r="S69" s="181">
        <f t="shared" ca="1" si="16"/>
        <v>0</v>
      </c>
      <c r="T69" s="181">
        <f t="shared" ca="1" si="16"/>
        <v>0</v>
      </c>
      <c r="U69" s="181">
        <f t="shared" ca="1" si="16"/>
        <v>0</v>
      </c>
      <c r="V69" s="181">
        <f t="shared" ca="1" si="16"/>
        <v>0</v>
      </c>
      <c r="W69" s="181">
        <f t="shared" ca="1" si="16"/>
        <v>0</v>
      </c>
      <c r="X69" s="181">
        <f t="shared" ca="1" si="16"/>
        <v>0</v>
      </c>
      <c r="Y69" s="181">
        <f t="shared" ca="1" si="16"/>
        <v>0</v>
      </c>
      <c r="Z69" s="181">
        <f t="shared" ca="1" si="16"/>
        <v>0</v>
      </c>
      <c r="AA69" s="181">
        <f t="shared" ca="1" si="16"/>
        <v>0</v>
      </c>
      <c r="AC69" s="275">
        <f ca="1">SUM($D69:INDEX($D69:$AA69,1,MATCH(DATE(YEAR(inputs!$A$1),MONTH(inputs!$A$1),1),$D$1:$AA$1,0)))</f>
        <v>0</v>
      </c>
      <c r="AE69" s="275">
        <f t="shared" ref="AE69:AE77" ca="1" si="17">SUM(D69:AA69)</f>
        <v>0</v>
      </c>
    </row>
    <row r="70" spans="1:31" outlineLevel="2" x14ac:dyDescent="0.25">
      <c r="A70" s="182" t="s">
        <v>1126</v>
      </c>
      <c r="B70" s="182" t="s">
        <v>546</v>
      </c>
      <c r="C70" s="135" t="s">
        <v>514</v>
      </c>
      <c r="D70" s="183">
        <f ca="1">-SUMIFS(
  desp.m.ik[valor],
  desp.m.ik[nucleo], $B70,
  desp.m.ik[centro.negocio], $B$69,
  desp.m.ik[mes], "&gt;="&amp;D$1,
  desp.m.ik[mes], "&lt;"&amp;EOMONTH(D$1,0)+1
)</f>
        <v>0</v>
      </c>
      <c r="E70" s="183">
        <f ca="1">-SUMIFS(
  desp.m.ik[valor],
  desp.m.ik[nucleo], $B70,
  desp.m.ik[centro.negocio], $B$69,
  desp.m.ik[mes], "&gt;="&amp;E$1,
  desp.m.ik[mes], "&lt;"&amp;EOMONTH(E$1,0)+1
)</f>
        <v>0</v>
      </c>
      <c r="F70" s="183">
        <f ca="1">-SUMIFS(
  desp.m.ik[valor],
  desp.m.ik[nucleo], $B70,
  desp.m.ik[centro.negocio], $B$69,
  desp.m.ik[mes], "&gt;="&amp;F$1,
  desp.m.ik[mes], "&lt;"&amp;EOMONTH(F$1,0)+1
)</f>
        <v>0</v>
      </c>
      <c r="G70" s="183">
        <f ca="1">-SUMIFS(
  desp.m.ik[valor],
  desp.m.ik[nucleo], $B70,
  desp.m.ik[centro.negocio], $B$69,
  desp.m.ik[mes], "&gt;="&amp;G$1,
  desp.m.ik[mes], "&lt;"&amp;EOMONTH(G$1,0)+1
)</f>
        <v>0</v>
      </c>
      <c r="H70" s="183">
        <f ca="1">-SUMIFS(
  desp.m.ik[valor],
  desp.m.ik[nucleo], $B70,
  desp.m.ik[centro.negocio], $B$69,
  desp.m.ik[mes], "&gt;="&amp;H$1,
  desp.m.ik[mes], "&lt;"&amp;EOMONTH(H$1,0)+1
)</f>
        <v>0</v>
      </c>
      <c r="I70" s="183">
        <f ca="1">-SUMIFS(
  desp.m.ik[valor],
  desp.m.ik[nucleo], $B70,
  desp.m.ik[centro.negocio], $B$69,
  desp.m.ik[mes], "&gt;="&amp;I$1,
  desp.m.ik[mes], "&lt;"&amp;EOMONTH(I$1,0)+1
)</f>
        <v>0</v>
      </c>
      <c r="J70" s="183">
        <f ca="1">-SUMIFS(
  desp.m.ik[valor],
  desp.m.ik[nucleo], $B70,
  desp.m.ik[centro.negocio], $B$69,
  desp.m.ik[mes], "&gt;="&amp;J$1,
  desp.m.ik[mes], "&lt;"&amp;EOMONTH(J$1,0)+1
)</f>
        <v>0</v>
      </c>
      <c r="K70" s="183">
        <f ca="1">-SUMIFS(
  desp.m.ik[valor],
  desp.m.ik[nucleo], $B70,
  desp.m.ik[centro.negocio], $B$69,
  desp.m.ik[mes], "&gt;="&amp;K$1,
  desp.m.ik[mes], "&lt;"&amp;EOMONTH(K$1,0)+1
)</f>
        <v>0</v>
      </c>
      <c r="L70" s="183">
        <f ca="1">-SUMIFS(
  desp.m.ik[valor],
  desp.m.ik[nucleo], $B70,
  desp.m.ik[centro.negocio], $B$69,
  desp.m.ik[mes], "&gt;="&amp;L$1,
  desp.m.ik[mes], "&lt;"&amp;EOMONTH(L$1,0)+1
)</f>
        <v>0</v>
      </c>
      <c r="M70" s="183">
        <f ca="1">-SUMIFS(
  desp.m.ik[valor],
  desp.m.ik[nucleo], $B70,
  desp.m.ik[centro.negocio], $B$69,
  desp.m.ik[mes], "&gt;="&amp;M$1,
  desp.m.ik[mes], "&lt;"&amp;EOMONTH(M$1,0)+1
)</f>
        <v>0</v>
      </c>
      <c r="N70" s="183">
        <f ca="1">-SUMIFS(
  desp.m.ik[valor],
  desp.m.ik[nucleo], $B70,
  desp.m.ik[centro.negocio], $B$69,
  desp.m.ik[mes], "&gt;="&amp;N$1,
  desp.m.ik[mes], "&lt;"&amp;EOMONTH(N$1,0)+1
)</f>
        <v>0</v>
      </c>
      <c r="O70" s="183">
        <f ca="1">-SUMIFS(
  desp.m.ik[valor],
  desp.m.ik[nucleo], $B70,
  desp.m.ik[centro.negocio], $B$69,
  desp.m.ik[mes], "&gt;="&amp;O$1,
  desp.m.ik[mes], "&lt;"&amp;EOMONTH(O$1,0)+1
)</f>
        <v>0</v>
      </c>
      <c r="P70" s="183">
        <f ca="1">-SUMIFS(
  desp.m.ik[valor],
  desp.m.ik[nucleo], $B70,
  desp.m.ik[centro.negocio], $B$69,
  desp.m.ik[mes], "&gt;="&amp;P$1,
  desp.m.ik[mes], "&lt;"&amp;EOMONTH(P$1,0)+1
)</f>
        <v>0</v>
      </c>
      <c r="Q70" s="183">
        <f ca="1">-SUMIFS(
  desp.m.ik[valor],
  desp.m.ik[nucleo], $B70,
  desp.m.ik[centro.negocio], $B$69,
  desp.m.ik[mes], "&gt;="&amp;Q$1,
  desp.m.ik[mes], "&lt;"&amp;EOMONTH(Q$1,0)+1
)</f>
        <v>0</v>
      </c>
      <c r="R70" s="183">
        <f ca="1">-SUMIFS(
  desp.m.ik[valor],
  desp.m.ik[nucleo], $B70,
  desp.m.ik[centro.negocio], $B$69,
  desp.m.ik[mes], "&gt;="&amp;R$1,
  desp.m.ik[mes], "&lt;"&amp;EOMONTH(R$1,0)+1
)</f>
        <v>0</v>
      </c>
      <c r="S70" s="183">
        <f ca="1">-SUMIFS(
  desp.m.ik[valor],
  desp.m.ik[nucleo], $B70,
  desp.m.ik[centro.negocio], $B$69,
  desp.m.ik[mes], "&gt;="&amp;S$1,
  desp.m.ik[mes], "&lt;"&amp;EOMONTH(S$1,0)+1
)</f>
        <v>0</v>
      </c>
      <c r="T70" s="183">
        <f ca="1">-SUMIFS(
  desp.m.ik[valor],
  desp.m.ik[nucleo], $B70,
  desp.m.ik[centro.negocio], $B$69,
  desp.m.ik[mes], "&gt;="&amp;T$1,
  desp.m.ik[mes], "&lt;"&amp;EOMONTH(T$1,0)+1
)</f>
        <v>0</v>
      </c>
      <c r="U70" s="183">
        <f ca="1">-SUMIFS(
  desp.m.ik[valor],
  desp.m.ik[nucleo], $B70,
  desp.m.ik[centro.negocio], $B$69,
  desp.m.ik[mes], "&gt;="&amp;U$1,
  desp.m.ik[mes], "&lt;"&amp;EOMONTH(U$1,0)+1
)</f>
        <v>0</v>
      </c>
      <c r="V70" s="183">
        <f ca="1">-SUMIFS(
  desp.m.ik[valor],
  desp.m.ik[nucleo], $B70,
  desp.m.ik[centro.negocio], $B$69,
  desp.m.ik[mes], "&gt;="&amp;V$1,
  desp.m.ik[mes], "&lt;"&amp;EOMONTH(V$1,0)+1
)</f>
        <v>0</v>
      </c>
      <c r="W70" s="183">
        <f ca="1">-SUMIFS(
  desp.m.ik[valor],
  desp.m.ik[nucleo], $B70,
  desp.m.ik[centro.negocio], $B$69,
  desp.m.ik[mes], "&gt;="&amp;W$1,
  desp.m.ik[mes], "&lt;"&amp;EOMONTH(W$1,0)+1
)</f>
        <v>0</v>
      </c>
      <c r="X70" s="183">
        <f ca="1">-SUMIFS(
  desp.m.ik[valor],
  desp.m.ik[nucleo], $B70,
  desp.m.ik[centro.negocio], $B$69,
  desp.m.ik[mes], "&gt;="&amp;X$1,
  desp.m.ik[mes], "&lt;"&amp;EOMONTH(X$1,0)+1
)</f>
        <v>0</v>
      </c>
      <c r="Y70" s="183">
        <f ca="1">-SUMIFS(
  desp.m.ik[valor],
  desp.m.ik[nucleo], $B70,
  desp.m.ik[centro.negocio], $B$69,
  desp.m.ik[mes], "&gt;="&amp;Y$1,
  desp.m.ik[mes], "&lt;"&amp;EOMONTH(Y$1,0)+1
)</f>
        <v>0</v>
      </c>
      <c r="Z70" s="183">
        <f ca="1">-SUMIFS(
  desp.m.ik[valor],
  desp.m.ik[nucleo], $B70,
  desp.m.ik[centro.negocio], $B$69,
  desp.m.ik[mes], "&gt;="&amp;Z$1,
  desp.m.ik[mes], "&lt;"&amp;EOMONTH(Z$1,0)+1
)</f>
        <v>0</v>
      </c>
      <c r="AA70" s="183">
        <f ca="1">-SUMIFS(
  desp.m.ik[valor],
  desp.m.ik[nucleo], $B70,
  desp.m.ik[centro.negocio], $B$69,
  desp.m.ik[mes], "&gt;="&amp;AA$1,
  desp.m.ik[mes], "&lt;"&amp;EOMONTH(AA$1,0)+1
)</f>
        <v>0</v>
      </c>
      <c r="AC70" s="175">
        <f ca="1">SUM($D70:INDEX($D70:$AA70,1,MATCH(DATE(YEAR(inputs!$A$1),MONTH(inputs!$A$1),1),$D$1:$AA$1,0)))</f>
        <v>0</v>
      </c>
      <c r="AE70" s="175">
        <f t="shared" ca="1" si="17"/>
        <v>0</v>
      </c>
    </row>
    <row r="71" spans="1:31" outlineLevel="2" x14ac:dyDescent="0.25">
      <c r="A71" s="182" t="s">
        <v>1127</v>
      </c>
      <c r="B71" s="182" t="s">
        <v>544</v>
      </c>
      <c r="C71" s="135" t="s">
        <v>514</v>
      </c>
      <c r="D71" s="183">
        <f ca="1">-SUMIFS(
  desp.m.ik[valor],
  desp.m.ik[nucleo], $B71,
  desp.m.ik[centro.negocio], $B$69,
  desp.m.ik[mes], "&gt;="&amp;D$1,
  desp.m.ik[mes], "&lt;"&amp;EOMONTH(D$1,0)+1
)</f>
        <v>0</v>
      </c>
      <c r="E71" s="183">
        <f ca="1">-SUMIFS(
  desp.m.ik[valor],
  desp.m.ik[nucleo], $B71,
  desp.m.ik[centro.negocio], $B$69,
  desp.m.ik[mes], "&gt;="&amp;E$1,
  desp.m.ik[mes], "&lt;"&amp;EOMONTH(E$1,0)+1
)</f>
        <v>0</v>
      </c>
      <c r="F71" s="183">
        <f ca="1">-SUMIFS(
  desp.m.ik[valor],
  desp.m.ik[nucleo], $B71,
  desp.m.ik[centro.negocio], $B$69,
  desp.m.ik[mes], "&gt;="&amp;F$1,
  desp.m.ik[mes], "&lt;"&amp;EOMONTH(F$1,0)+1
)</f>
        <v>0</v>
      </c>
      <c r="G71" s="183">
        <f ca="1">-SUMIFS(
  desp.m.ik[valor],
  desp.m.ik[nucleo], $B71,
  desp.m.ik[centro.negocio], $B$69,
  desp.m.ik[mes], "&gt;="&amp;G$1,
  desp.m.ik[mes], "&lt;"&amp;EOMONTH(G$1,0)+1
)</f>
        <v>0</v>
      </c>
      <c r="H71" s="183">
        <f ca="1">-SUMIFS(
  desp.m.ik[valor],
  desp.m.ik[nucleo], $B71,
  desp.m.ik[centro.negocio], $B$69,
  desp.m.ik[mes], "&gt;="&amp;H$1,
  desp.m.ik[mes], "&lt;"&amp;EOMONTH(H$1,0)+1
)</f>
        <v>0</v>
      </c>
      <c r="I71" s="183">
        <f ca="1">-SUMIFS(
  desp.m.ik[valor],
  desp.m.ik[nucleo], $B71,
  desp.m.ik[centro.negocio], $B$69,
  desp.m.ik[mes], "&gt;="&amp;I$1,
  desp.m.ik[mes], "&lt;"&amp;EOMONTH(I$1,0)+1
)</f>
        <v>0</v>
      </c>
      <c r="J71" s="183">
        <f ca="1">-SUMIFS(
  desp.m.ik[valor],
  desp.m.ik[nucleo], $B71,
  desp.m.ik[centro.negocio], $B$69,
  desp.m.ik[mes], "&gt;="&amp;J$1,
  desp.m.ik[mes], "&lt;"&amp;EOMONTH(J$1,0)+1
)</f>
        <v>0</v>
      </c>
      <c r="K71" s="183">
        <f ca="1">-SUMIFS(
  desp.m.ik[valor],
  desp.m.ik[nucleo], $B71,
  desp.m.ik[centro.negocio], $B$69,
  desp.m.ik[mes], "&gt;="&amp;K$1,
  desp.m.ik[mes], "&lt;"&amp;EOMONTH(K$1,0)+1
)</f>
        <v>0</v>
      </c>
      <c r="L71" s="183">
        <f ca="1">-SUMIFS(
  desp.m.ik[valor],
  desp.m.ik[nucleo], $B71,
  desp.m.ik[centro.negocio], $B$69,
  desp.m.ik[mes], "&gt;="&amp;L$1,
  desp.m.ik[mes], "&lt;"&amp;EOMONTH(L$1,0)+1
)</f>
        <v>0</v>
      </c>
      <c r="M71" s="183">
        <f ca="1">-SUMIFS(
  desp.m.ik[valor],
  desp.m.ik[nucleo], $B71,
  desp.m.ik[centro.negocio], $B$69,
  desp.m.ik[mes], "&gt;="&amp;M$1,
  desp.m.ik[mes], "&lt;"&amp;EOMONTH(M$1,0)+1
)</f>
        <v>0</v>
      </c>
      <c r="N71" s="183">
        <f ca="1">-SUMIFS(
  desp.m.ik[valor],
  desp.m.ik[nucleo], $B71,
  desp.m.ik[centro.negocio], $B$69,
  desp.m.ik[mes], "&gt;="&amp;N$1,
  desp.m.ik[mes], "&lt;"&amp;EOMONTH(N$1,0)+1
)</f>
        <v>0</v>
      </c>
      <c r="O71" s="183">
        <f ca="1">-SUMIFS(
  desp.m.ik[valor],
  desp.m.ik[nucleo], $B71,
  desp.m.ik[centro.negocio], $B$69,
  desp.m.ik[mes], "&gt;="&amp;O$1,
  desp.m.ik[mes], "&lt;"&amp;EOMONTH(O$1,0)+1
)</f>
        <v>0</v>
      </c>
      <c r="P71" s="183">
        <f ca="1">-SUMIFS(
  desp.m.ik[valor],
  desp.m.ik[nucleo], $B71,
  desp.m.ik[centro.negocio], $B$69,
  desp.m.ik[mes], "&gt;="&amp;P$1,
  desp.m.ik[mes], "&lt;"&amp;EOMONTH(P$1,0)+1
)</f>
        <v>0</v>
      </c>
      <c r="Q71" s="183">
        <f ca="1">-SUMIFS(
  desp.m.ik[valor],
  desp.m.ik[nucleo], $B71,
  desp.m.ik[centro.negocio], $B$69,
  desp.m.ik[mes], "&gt;="&amp;Q$1,
  desp.m.ik[mes], "&lt;"&amp;EOMONTH(Q$1,0)+1
)</f>
        <v>0</v>
      </c>
      <c r="R71" s="183">
        <f ca="1">-SUMIFS(
  desp.m.ik[valor],
  desp.m.ik[nucleo], $B71,
  desp.m.ik[centro.negocio], $B$69,
  desp.m.ik[mes], "&gt;="&amp;R$1,
  desp.m.ik[mes], "&lt;"&amp;EOMONTH(R$1,0)+1
)</f>
        <v>0</v>
      </c>
      <c r="S71" s="183">
        <f ca="1">-SUMIFS(
  desp.m.ik[valor],
  desp.m.ik[nucleo], $B71,
  desp.m.ik[centro.negocio], $B$69,
  desp.m.ik[mes], "&gt;="&amp;S$1,
  desp.m.ik[mes], "&lt;"&amp;EOMONTH(S$1,0)+1
)</f>
        <v>0</v>
      </c>
      <c r="T71" s="183">
        <f ca="1">-SUMIFS(
  desp.m.ik[valor],
  desp.m.ik[nucleo], $B71,
  desp.m.ik[centro.negocio], $B$69,
  desp.m.ik[mes], "&gt;="&amp;T$1,
  desp.m.ik[mes], "&lt;"&amp;EOMONTH(T$1,0)+1
)</f>
        <v>0</v>
      </c>
      <c r="U71" s="183">
        <f ca="1">-SUMIFS(
  desp.m.ik[valor],
  desp.m.ik[nucleo], $B71,
  desp.m.ik[centro.negocio], $B$69,
  desp.m.ik[mes], "&gt;="&amp;U$1,
  desp.m.ik[mes], "&lt;"&amp;EOMONTH(U$1,0)+1
)</f>
        <v>0</v>
      </c>
      <c r="V71" s="183">
        <f ca="1">-SUMIFS(
  desp.m.ik[valor],
  desp.m.ik[nucleo], $B71,
  desp.m.ik[centro.negocio], $B$69,
  desp.m.ik[mes], "&gt;="&amp;V$1,
  desp.m.ik[mes], "&lt;"&amp;EOMONTH(V$1,0)+1
)</f>
        <v>0</v>
      </c>
      <c r="W71" s="183">
        <f ca="1">-SUMIFS(
  desp.m.ik[valor],
  desp.m.ik[nucleo], $B71,
  desp.m.ik[centro.negocio], $B$69,
  desp.m.ik[mes], "&gt;="&amp;W$1,
  desp.m.ik[mes], "&lt;"&amp;EOMONTH(W$1,0)+1
)</f>
        <v>0</v>
      </c>
      <c r="X71" s="183">
        <f ca="1">-SUMIFS(
  desp.m.ik[valor],
  desp.m.ik[nucleo], $B71,
  desp.m.ik[centro.negocio], $B$69,
  desp.m.ik[mes], "&gt;="&amp;X$1,
  desp.m.ik[mes], "&lt;"&amp;EOMONTH(X$1,0)+1
)</f>
        <v>0</v>
      </c>
      <c r="Y71" s="183">
        <f ca="1">-SUMIFS(
  desp.m.ik[valor],
  desp.m.ik[nucleo], $B71,
  desp.m.ik[centro.negocio], $B$69,
  desp.m.ik[mes], "&gt;="&amp;Y$1,
  desp.m.ik[mes], "&lt;"&amp;EOMONTH(Y$1,0)+1
)</f>
        <v>0</v>
      </c>
      <c r="Z71" s="183">
        <f ca="1">-SUMIFS(
  desp.m.ik[valor],
  desp.m.ik[nucleo], $B71,
  desp.m.ik[centro.negocio], $B$69,
  desp.m.ik[mes], "&gt;="&amp;Z$1,
  desp.m.ik[mes], "&lt;"&amp;EOMONTH(Z$1,0)+1
)</f>
        <v>0</v>
      </c>
      <c r="AA71" s="183">
        <f ca="1">-SUMIFS(
  desp.m.ik[valor],
  desp.m.ik[nucleo], $B71,
  desp.m.ik[centro.negocio], $B$69,
  desp.m.ik[mes], "&gt;="&amp;AA$1,
  desp.m.ik[mes], "&lt;"&amp;EOMONTH(AA$1,0)+1
)</f>
        <v>0</v>
      </c>
      <c r="AC71" s="175">
        <f ca="1">SUM($D71:INDEX($D71:$AA71,1,MATCH(DATE(YEAR(inputs!$A$1),MONTH(inputs!$A$1),1),$D$1:$AA$1,0)))</f>
        <v>0</v>
      </c>
      <c r="AE71" s="175">
        <f t="shared" ca="1" si="17"/>
        <v>0</v>
      </c>
    </row>
    <row r="72" spans="1:31" outlineLevel="2" x14ac:dyDescent="0.25">
      <c r="A72" s="182" t="s">
        <v>1128</v>
      </c>
      <c r="B72" s="182" t="s">
        <v>541</v>
      </c>
      <c r="C72" s="135" t="s">
        <v>514</v>
      </c>
      <c r="D72" s="183">
        <f ca="1">-SUMIFS(
  desp.m.ik[valor],
  desp.m.ik[nucleo], $B72,
  desp.m.ik[centro.negocio], $B$69,
  desp.m.ik[mes], "&gt;="&amp;D$1,
  desp.m.ik[mes], "&lt;"&amp;EOMONTH(D$1,0)+1
)</f>
        <v>0</v>
      </c>
      <c r="E72" s="183">
        <f ca="1">-SUMIFS(
  desp.m.ik[valor],
  desp.m.ik[nucleo], $B72,
  desp.m.ik[centro.negocio], $B$69,
  desp.m.ik[mes], "&gt;="&amp;E$1,
  desp.m.ik[mes], "&lt;"&amp;EOMONTH(E$1,0)+1
)</f>
        <v>0</v>
      </c>
      <c r="F72" s="183">
        <f ca="1">-SUMIFS(
  desp.m.ik[valor],
  desp.m.ik[nucleo], $B72,
  desp.m.ik[centro.negocio], $B$69,
  desp.m.ik[mes], "&gt;="&amp;F$1,
  desp.m.ik[mes], "&lt;"&amp;EOMONTH(F$1,0)+1
)</f>
        <v>0</v>
      </c>
      <c r="G72" s="183">
        <f ca="1">-SUMIFS(
  desp.m.ik[valor],
  desp.m.ik[nucleo], $B72,
  desp.m.ik[centro.negocio], $B$69,
  desp.m.ik[mes], "&gt;="&amp;G$1,
  desp.m.ik[mes], "&lt;"&amp;EOMONTH(G$1,0)+1
)</f>
        <v>0</v>
      </c>
      <c r="H72" s="183">
        <f ca="1">-SUMIFS(
  desp.m.ik[valor],
  desp.m.ik[nucleo], $B72,
  desp.m.ik[centro.negocio], $B$69,
  desp.m.ik[mes], "&gt;="&amp;H$1,
  desp.m.ik[mes], "&lt;"&amp;EOMONTH(H$1,0)+1
)</f>
        <v>0</v>
      </c>
      <c r="I72" s="183">
        <f ca="1">-SUMIFS(
  desp.m.ik[valor],
  desp.m.ik[nucleo], $B72,
  desp.m.ik[centro.negocio], $B$69,
  desp.m.ik[mes], "&gt;="&amp;I$1,
  desp.m.ik[mes], "&lt;"&amp;EOMONTH(I$1,0)+1
)</f>
        <v>0</v>
      </c>
      <c r="J72" s="183">
        <f ca="1">-SUMIFS(
  desp.m.ik[valor],
  desp.m.ik[nucleo], $B72,
  desp.m.ik[centro.negocio], $B$69,
  desp.m.ik[mes], "&gt;="&amp;J$1,
  desp.m.ik[mes], "&lt;"&amp;EOMONTH(J$1,0)+1
)</f>
        <v>0</v>
      </c>
      <c r="K72" s="183">
        <f ca="1">-SUMIFS(
  desp.m.ik[valor],
  desp.m.ik[nucleo], $B72,
  desp.m.ik[centro.negocio], $B$69,
  desp.m.ik[mes], "&gt;="&amp;K$1,
  desp.m.ik[mes], "&lt;"&amp;EOMONTH(K$1,0)+1
)</f>
        <v>0</v>
      </c>
      <c r="L72" s="183">
        <f ca="1">-SUMIFS(
  desp.m.ik[valor],
  desp.m.ik[nucleo], $B72,
  desp.m.ik[centro.negocio], $B$69,
  desp.m.ik[mes], "&gt;="&amp;L$1,
  desp.m.ik[mes], "&lt;"&amp;EOMONTH(L$1,0)+1
)</f>
        <v>0</v>
      </c>
      <c r="M72" s="183">
        <f ca="1">-SUMIFS(
  desp.m.ik[valor],
  desp.m.ik[nucleo], $B72,
  desp.m.ik[centro.negocio], $B$69,
  desp.m.ik[mes], "&gt;="&amp;M$1,
  desp.m.ik[mes], "&lt;"&amp;EOMONTH(M$1,0)+1
)</f>
        <v>0</v>
      </c>
      <c r="N72" s="183">
        <f ca="1">-SUMIFS(
  desp.m.ik[valor],
  desp.m.ik[nucleo], $B72,
  desp.m.ik[centro.negocio], $B$69,
  desp.m.ik[mes], "&gt;="&amp;N$1,
  desp.m.ik[mes], "&lt;"&amp;EOMONTH(N$1,0)+1
)</f>
        <v>0</v>
      </c>
      <c r="O72" s="183">
        <f ca="1">-SUMIFS(
  desp.m.ik[valor],
  desp.m.ik[nucleo], $B72,
  desp.m.ik[centro.negocio], $B$69,
  desp.m.ik[mes], "&gt;="&amp;O$1,
  desp.m.ik[mes], "&lt;"&amp;EOMONTH(O$1,0)+1
)</f>
        <v>0</v>
      </c>
      <c r="P72" s="183">
        <f ca="1">-SUMIFS(
  desp.m.ik[valor],
  desp.m.ik[nucleo], $B72,
  desp.m.ik[centro.negocio], $B$69,
  desp.m.ik[mes], "&gt;="&amp;P$1,
  desp.m.ik[mes], "&lt;"&amp;EOMONTH(P$1,0)+1
)</f>
        <v>0</v>
      </c>
      <c r="Q72" s="183">
        <f ca="1">-SUMIFS(
  desp.m.ik[valor],
  desp.m.ik[nucleo], $B72,
  desp.m.ik[centro.negocio], $B$69,
  desp.m.ik[mes], "&gt;="&amp;Q$1,
  desp.m.ik[mes], "&lt;"&amp;EOMONTH(Q$1,0)+1
)</f>
        <v>0</v>
      </c>
      <c r="R72" s="183">
        <f ca="1">-SUMIFS(
  desp.m.ik[valor],
  desp.m.ik[nucleo], $B72,
  desp.m.ik[centro.negocio], $B$69,
  desp.m.ik[mes], "&gt;="&amp;R$1,
  desp.m.ik[mes], "&lt;"&amp;EOMONTH(R$1,0)+1
)</f>
        <v>0</v>
      </c>
      <c r="S72" s="183">
        <f ca="1">-SUMIFS(
  desp.m.ik[valor],
  desp.m.ik[nucleo], $B72,
  desp.m.ik[centro.negocio], $B$69,
  desp.m.ik[mes], "&gt;="&amp;S$1,
  desp.m.ik[mes], "&lt;"&amp;EOMONTH(S$1,0)+1
)</f>
        <v>0</v>
      </c>
      <c r="T72" s="183">
        <f ca="1">-SUMIFS(
  desp.m.ik[valor],
  desp.m.ik[nucleo], $B72,
  desp.m.ik[centro.negocio], $B$69,
  desp.m.ik[mes], "&gt;="&amp;T$1,
  desp.m.ik[mes], "&lt;"&amp;EOMONTH(T$1,0)+1
)</f>
        <v>0</v>
      </c>
      <c r="U72" s="183">
        <f ca="1">-SUMIFS(
  desp.m.ik[valor],
  desp.m.ik[nucleo], $B72,
  desp.m.ik[centro.negocio], $B$69,
  desp.m.ik[mes], "&gt;="&amp;U$1,
  desp.m.ik[mes], "&lt;"&amp;EOMONTH(U$1,0)+1
)</f>
        <v>0</v>
      </c>
      <c r="V72" s="183">
        <f ca="1">-SUMIFS(
  desp.m.ik[valor],
  desp.m.ik[nucleo], $B72,
  desp.m.ik[centro.negocio], $B$69,
  desp.m.ik[mes], "&gt;="&amp;V$1,
  desp.m.ik[mes], "&lt;"&amp;EOMONTH(V$1,0)+1
)</f>
        <v>0</v>
      </c>
      <c r="W72" s="183">
        <f ca="1">-SUMIFS(
  desp.m.ik[valor],
  desp.m.ik[nucleo], $B72,
  desp.m.ik[centro.negocio], $B$69,
  desp.m.ik[mes], "&gt;="&amp;W$1,
  desp.m.ik[mes], "&lt;"&amp;EOMONTH(W$1,0)+1
)</f>
        <v>0</v>
      </c>
      <c r="X72" s="183">
        <f ca="1">-SUMIFS(
  desp.m.ik[valor],
  desp.m.ik[nucleo], $B72,
  desp.m.ik[centro.negocio], $B$69,
  desp.m.ik[mes], "&gt;="&amp;X$1,
  desp.m.ik[mes], "&lt;"&amp;EOMONTH(X$1,0)+1
)</f>
        <v>0</v>
      </c>
      <c r="Y72" s="183">
        <f ca="1">-SUMIFS(
  desp.m.ik[valor],
  desp.m.ik[nucleo], $B72,
  desp.m.ik[centro.negocio], $B$69,
  desp.m.ik[mes], "&gt;="&amp;Y$1,
  desp.m.ik[mes], "&lt;"&amp;EOMONTH(Y$1,0)+1
)</f>
        <v>0</v>
      </c>
      <c r="Z72" s="183">
        <f ca="1">-SUMIFS(
  desp.m.ik[valor],
  desp.m.ik[nucleo], $B72,
  desp.m.ik[centro.negocio], $B$69,
  desp.m.ik[mes], "&gt;="&amp;Z$1,
  desp.m.ik[mes], "&lt;"&amp;EOMONTH(Z$1,0)+1
)</f>
        <v>0</v>
      </c>
      <c r="AA72" s="183">
        <f ca="1">-SUMIFS(
  desp.m.ik[valor],
  desp.m.ik[nucleo], $B72,
  desp.m.ik[centro.negocio], $B$69,
  desp.m.ik[mes], "&gt;="&amp;AA$1,
  desp.m.ik[mes], "&lt;"&amp;EOMONTH(AA$1,0)+1
)</f>
        <v>0</v>
      </c>
      <c r="AC72" s="175">
        <f ca="1">SUM($D72:INDEX($D72:$AA72,1,MATCH(DATE(YEAR(inputs!$A$1),MONTH(inputs!$A$1),1),$D$1:$AA$1,0)))</f>
        <v>0</v>
      </c>
      <c r="AE72" s="175">
        <f t="shared" ca="1" si="17"/>
        <v>0</v>
      </c>
    </row>
    <row r="73" spans="1:31" outlineLevel="2" x14ac:dyDescent="0.25">
      <c r="A73" s="182" t="s">
        <v>1129</v>
      </c>
      <c r="B73" s="182" t="s">
        <v>537</v>
      </c>
      <c r="C73" s="135" t="s">
        <v>514</v>
      </c>
      <c r="D73" s="183">
        <f ca="1">-SUMIFS(
  desp.m.ik[valor],
  desp.m.ik[nucleo], $B73,
  desp.m.ik[centro.negocio], $B$69,
  desp.m.ik[mes], "&gt;="&amp;D$1,
  desp.m.ik[mes], "&lt;"&amp;EOMONTH(D$1,0)+1
)</f>
        <v>0</v>
      </c>
      <c r="E73" s="183">
        <f ca="1">-SUMIFS(
  desp.m.ik[valor],
  desp.m.ik[nucleo], $B73,
  desp.m.ik[centro.negocio], $B$69,
  desp.m.ik[mes], "&gt;="&amp;E$1,
  desp.m.ik[mes], "&lt;"&amp;EOMONTH(E$1,0)+1
)</f>
        <v>0</v>
      </c>
      <c r="F73" s="183">
        <f ca="1">-SUMIFS(
  desp.m.ik[valor],
  desp.m.ik[nucleo], $B73,
  desp.m.ik[centro.negocio], $B$69,
  desp.m.ik[mes], "&gt;="&amp;F$1,
  desp.m.ik[mes], "&lt;"&amp;EOMONTH(F$1,0)+1
)</f>
        <v>0</v>
      </c>
      <c r="G73" s="183">
        <f ca="1">-SUMIFS(
  desp.m.ik[valor],
  desp.m.ik[nucleo], $B73,
  desp.m.ik[centro.negocio], $B$69,
  desp.m.ik[mes], "&gt;="&amp;G$1,
  desp.m.ik[mes], "&lt;"&amp;EOMONTH(G$1,0)+1
)</f>
        <v>0</v>
      </c>
      <c r="H73" s="183">
        <f ca="1">-SUMIFS(
  desp.m.ik[valor],
  desp.m.ik[nucleo], $B73,
  desp.m.ik[centro.negocio], $B$69,
  desp.m.ik[mes], "&gt;="&amp;H$1,
  desp.m.ik[mes], "&lt;"&amp;EOMONTH(H$1,0)+1
)</f>
        <v>0</v>
      </c>
      <c r="I73" s="183">
        <f ca="1">-SUMIFS(
  desp.m.ik[valor],
  desp.m.ik[nucleo], $B73,
  desp.m.ik[centro.negocio], $B$69,
  desp.m.ik[mes], "&gt;="&amp;I$1,
  desp.m.ik[mes], "&lt;"&amp;EOMONTH(I$1,0)+1
)</f>
        <v>0</v>
      </c>
      <c r="J73" s="183">
        <f ca="1">-SUMIFS(
  desp.m.ik[valor],
  desp.m.ik[nucleo], $B73,
  desp.m.ik[centro.negocio], $B$69,
  desp.m.ik[mes], "&gt;="&amp;J$1,
  desp.m.ik[mes], "&lt;"&amp;EOMONTH(J$1,0)+1
)</f>
        <v>0</v>
      </c>
      <c r="K73" s="183">
        <f ca="1">-SUMIFS(
  desp.m.ik[valor],
  desp.m.ik[nucleo], $B73,
  desp.m.ik[centro.negocio], $B$69,
  desp.m.ik[mes], "&gt;="&amp;K$1,
  desp.m.ik[mes], "&lt;"&amp;EOMONTH(K$1,0)+1
)</f>
        <v>0</v>
      </c>
      <c r="L73" s="183">
        <f ca="1">-SUMIFS(
  desp.m.ik[valor],
  desp.m.ik[nucleo], $B73,
  desp.m.ik[centro.negocio], $B$69,
  desp.m.ik[mes], "&gt;="&amp;L$1,
  desp.m.ik[mes], "&lt;"&amp;EOMONTH(L$1,0)+1
)</f>
        <v>0</v>
      </c>
      <c r="M73" s="183">
        <f ca="1">-SUMIFS(
  desp.m.ik[valor],
  desp.m.ik[nucleo], $B73,
  desp.m.ik[centro.negocio], $B$69,
  desp.m.ik[mes], "&gt;="&amp;M$1,
  desp.m.ik[mes], "&lt;"&amp;EOMONTH(M$1,0)+1
)</f>
        <v>0</v>
      </c>
      <c r="N73" s="183">
        <f ca="1">-SUMIFS(
  desp.m.ik[valor],
  desp.m.ik[nucleo], $B73,
  desp.m.ik[centro.negocio], $B$69,
  desp.m.ik[mes], "&gt;="&amp;N$1,
  desp.m.ik[mes], "&lt;"&amp;EOMONTH(N$1,0)+1
)</f>
        <v>0</v>
      </c>
      <c r="O73" s="183">
        <f ca="1">-SUMIFS(
  desp.m.ik[valor],
  desp.m.ik[nucleo], $B73,
  desp.m.ik[centro.negocio], $B$69,
  desp.m.ik[mes], "&gt;="&amp;O$1,
  desp.m.ik[mes], "&lt;"&amp;EOMONTH(O$1,0)+1
)</f>
        <v>0</v>
      </c>
      <c r="P73" s="183">
        <f ca="1">-SUMIFS(
  desp.m.ik[valor],
  desp.m.ik[nucleo], $B73,
  desp.m.ik[centro.negocio], $B$69,
  desp.m.ik[mes], "&gt;="&amp;P$1,
  desp.m.ik[mes], "&lt;"&amp;EOMONTH(P$1,0)+1
)</f>
        <v>0</v>
      </c>
      <c r="Q73" s="183">
        <f ca="1">-SUMIFS(
  desp.m.ik[valor],
  desp.m.ik[nucleo], $B73,
  desp.m.ik[centro.negocio], $B$69,
  desp.m.ik[mes], "&gt;="&amp;Q$1,
  desp.m.ik[mes], "&lt;"&amp;EOMONTH(Q$1,0)+1
)</f>
        <v>0</v>
      </c>
      <c r="R73" s="183">
        <f ca="1">-SUMIFS(
  desp.m.ik[valor],
  desp.m.ik[nucleo], $B73,
  desp.m.ik[centro.negocio], $B$69,
  desp.m.ik[mes], "&gt;="&amp;R$1,
  desp.m.ik[mes], "&lt;"&amp;EOMONTH(R$1,0)+1
)</f>
        <v>0</v>
      </c>
      <c r="S73" s="183">
        <f ca="1">-SUMIFS(
  desp.m.ik[valor],
  desp.m.ik[nucleo], $B73,
  desp.m.ik[centro.negocio], $B$69,
  desp.m.ik[mes], "&gt;="&amp;S$1,
  desp.m.ik[mes], "&lt;"&amp;EOMONTH(S$1,0)+1
)</f>
        <v>0</v>
      </c>
      <c r="T73" s="183">
        <f ca="1">-SUMIFS(
  desp.m.ik[valor],
  desp.m.ik[nucleo], $B73,
  desp.m.ik[centro.negocio], $B$69,
  desp.m.ik[mes], "&gt;="&amp;T$1,
  desp.m.ik[mes], "&lt;"&amp;EOMONTH(T$1,0)+1
)</f>
        <v>0</v>
      </c>
      <c r="U73" s="183">
        <f ca="1">-SUMIFS(
  desp.m.ik[valor],
  desp.m.ik[nucleo], $B73,
  desp.m.ik[centro.negocio], $B$69,
  desp.m.ik[mes], "&gt;="&amp;U$1,
  desp.m.ik[mes], "&lt;"&amp;EOMONTH(U$1,0)+1
)</f>
        <v>0</v>
      </c>
      <c r="V73" s="183">
        <f ca="1">-SUMIFS(
  desp.m.ik[valor],
  desp.m.ik[nucleo], $B73,
  desp.m.ik[centro.negocio], $B$69,
  desp.m.ik[mes], "&gt;="&amp;V$1,
  desp.m.ik[mes], "&lt;"&amp;EOMONTH(V$1,0)+1
)</f>
        <v>0</v>
      </c>
      <c r="W73" s="183">
        <f ca="1">-SUMIFS(
  desp.m.ik[valor],
  desp.m.ik[nucleo], $B73,
  desp.m.ik[centro.negocio], $B$69,
  desp.m.ik[mes], "&gt;="&amp;W$1,
  desp.m.ik[mes], "&lt;"&amp;EOMONTH(W$1,0)+1
)</f>
        <v>0</v>
      </c>
      <c r="X73" s="183">
        <f ca="1">-SUMIFS(
  desp.m.ik[valor],
  desp.m.ik[nucleo], $B73,
  desp.m.ik[centro.negocio], $B$69,
  desp.m.ik[mes], "&gt;="&amp;X$1,
  desp.m.ik[mes], "&lt;"&amp;EOMONTH(X$1,0)+1
)</f>
        <v>0</v>
      </c>
      <c r="Y73" s="183">
        <f ca="1">-SUMIFS(
  desp.m.ik[valor],
  desp.m.ik[nucleo], $B73,
  desp.m.ik[centro.negocio], $B$69,
  desp.m.ik[mes], "&gt;="&amp;Y$1,
  desp.m.ik[mes], "&lt;"&amp;EOMONTH(Y$1,0)+1
)</f>
        <v>0</v>
      </c>
      <c r="Z73" s="183">
        <f ca="1">-SUMIFS(
  desp.m.ik[valor],
  desp.m.ik[nucleo], $B73,
  desp.m.ik[centro.negocio], $B$69,
  desp.m.ik[mes], "&gt;="&amp;Z$1,
  desp.m.ik[mes], "&lt;"&amp;EOMONTH(Z$1,0)+1
)</f>
        <v>0</v>
      </c>
      <c r="AA73" s="183">
        <f ca="1">-SUMIFS(
  desp.m.ik[valor],
  desp.m.ik[nucleo], $B73,
  desp.m.ik[centro.negocio], $B$69,
  desp.m.ik[mes], "&gt;="&amp;AA$1,
  desp.m.ik[mes], "&lt;"&amp;EOMONTH(AA$1,0)+1
)</f>
        <v>0</v>
      </c>
      <c r="AC73" s="175">
        <f ca="1">SUM($D73:INDEX($D73:$AA73,1,MATCH(DATE(YEAR(inputs!$A$1),MONTH(inputs!$A$1),1),$D$1:$AA$1,0)))</f>
        <v>0</v>
      </c>
      <c r="AE73" s="175">
        <f t="shared" ca="1" si="17"/>
        <v>0</v>
      </c>
    </row>
    <row r="74" spans="1:31" outlineLevel="2" x14ac:dyDescent="0.25">
      <c r="A74" s="182" t="s">
        <v>1130</v>
      </c>
      <c r="B74" s="182" t="s">
        <v>922</v>
      </c>
      <c r="C74" s="135" t="s">
        <v>514</v>
      </c>
      <c r="D74" s="183">
        <f ca="1">-SUMIFS(
  desp.m.ik[valor],
  desp.m.ik[nucleo], $B74,
  desp.m.ik[centro.negocio], $B$69,
  desp.m.ik[mes], "&gt;="&amp;D$1,
  desp.m.ik[mes], "&lt;"&amp;EOMONTH(D$1,0)+1
)</f>
        <v>0</v>
      </c>
      <c r="E74" s="183">
        <f ca="1">-SUMIFS(
  desp.m.ik[valor],
  desp.m.ik[nucleo], $B74,
  desp.m.ik[centro.negocio], $B$69,
  desp.m.ik[mes], "&gt;="&amp;E$1,
  desp.m.ik[mes], "&lt;"&amp;EOMONTH(E$1,0)+1
)</f>
        <v>0</v>
      </c>
      <c r="F74" s="183">
        <f ca="1">-SUMIFS(
  desp.m.ik[valor],
  desp.m.ik[nucleo], $B74,
  desp.m.ik[centro.negocio], $B$69,
  desp.m.ik[mes], "&gt;="&amp;F$1,
  desp.m.ik[mes], "&lt;"&amp;EOMONTH(F$1,0)+1
)</f>
        <v>0</v>
      </c>
      <c r="G74" s="183">
        <f ca="1">-SUMIFS(
  desp.m.ik[valor],
  desp.m.ik[nucleo], $B74,
  desp.m.ik[centro.negocio], $B$69,
  desp.m.ik[mes], "&gt;="&amp;G$1,
  desp.m.ik[mes], "&lt;"&amp;EOMONTH(G$1,0)+1
)</f>
        <v>0</v>
      </c>
      <c r="H74" s="183">
        <f ca="1">-SUMIFS(
  desp.m.ik[valor],
  desp.m.ik[nucleo], $B74,
  desp.m.ik[centro.negocio], $B$69,
  desp.m.ik[mes], "&gt;="&amp;H$1,
  desp.m.ik[mes], "&lt;"&amp;EOMONTH(H$1,0)+1
)</f>
        <v>0</v>
      </c>
      <c r="I74" s="183">
        <f ca="1">-SUMIFS(
  desp.m.ik[valor],
  desp.m.ik[nucleo], $B74,
  desp.m.ik[centro.negocio], $B$69,
  desp.m.ik[mes], "&gt;="&amp;I$1,
  desp.m.ik[mes], "&lt;"&amp;EOMONTH(I$1,0)+1
)</f>
        <v>0</v>
      </c>
      <c r="J74" s="183">
        <f ca="1">-SUMIFS(
  desp.m.ik[valor],
  desp.m.ik[nucleo], $B74,
  desp.m.ik[centro.negocio], $B$69,
  desp.m.ik[mes], "&gt;="&amp;J$1,
  desp.m.ik[mes], "&lt;"&amp;EOMONTH(J$1,0)+1
)</f>
        <v>0</v>
      </c>
      <c r="K74" s="183">
        <f ca="1">-SUMIFS(
  desp.m.ik[valor],
  desp.m.ik[nucleo], $B74,
  desp.m.ik[centro.negocio], $B$69,
  desp.m.ik[mes], "&gt;="&amp;K$1,
  desp.m.ik[mes], "&lt;"&amp;EOMONTH(K$1,0)+1
)</f>
        <v>0</v>
      </c>
      <c r="L74" s="183">
        <f ca="1">-SUMIFS(
  desp.m.ik[valor],
  desp.m.ik[nucleo], $B74,
  desp.m.ik[centro.negocio], $B$69,
  desp.m.ik[mes], "&gt;="&amp;L$1,
  desp.m.ik[mes], "&lt;"&amp;EOMONTH(L$1,0)+1
)</f>
        <v>0</v>
      </c>
      <c r="M74" s="183">
        <f ca="1">-SUMIFS(
  desp.m.ik[valor],
  desp.m.ik[nucleo], $B74,
  desp.m.ik[centro.negocio], $B$69,
  desp.m.ik[mes], "&gt;="&amp;M$1,
  desp.m.ik[mes], "&lt;"&amp;EOMONTH(M$1,0)+1
)</f>
        <v>0</v>
      </c>
      <c r="N74" s="183">
        <f ca="1">-SUMIFS(
  desp.m.ik[valor],
  desp.m.ik[nucleo], $B74,
  desp.m.ik[centro.negocio], $B$69,
  desp.m.ik[mes], "&gt;="&amp;N$1,
  desp.m.ik[mes], "&lt;"&amp;EOMONTH(N$1,0)+1
)</f>
        <v>0</v>
      </c>
      <c r="O74" s="183">
        <f ca="1">-SUMIFS(
  desp.m.ik[valor],
  desp.m.ik[nucleo], $B74,
  desp.m.ik[centro.negocio], $B$69,
  desp.m.ik[mes], "&gt;="&amp;O$1,
  desp.m.ik[mes], "&lt;"&amp;EOMONTH(O$1,0)+1
)</f>
        <v>0</v>
      </c>
      <c r="P74" s="183">
        <f ca="1">-SUMIFS(
  desp.m.ik[valor],
  desp.m.ik[nucleo], $B74,
  desp.m.ik[centro.negocio], $B$69,
  desp.m.ik[mes], "&gt;="&amp;P$1,
  desp.m.ik[mes], "&lt;"&amp;EOMONTH(P$1,0)+1
)</f>
        <v>0</v>
      </c>
      <c r="Q74" s="183">
        <f ca="1">-SUMIFS(
  desp.m.ik[valor],
  desp.m.ik[nucleo], $B74,
  desp.m.ik[centro.negocio], $B$69,
  desp.m.ik[mes], "&gt;="&amp;Q$1,
  desp.m.ik[mes], "&lt;"&amp;EOMONTH(Q$1,0)+1
)</f>
        <v>0</v>
      </c>
      <c r="R74" s="183">
        <f ca="1">-SUMIFS(
  desp.m.ik[valor],
  desp.m.ik[nucleo], $B74,
  desp.m.ik[centro.negocio], $B$69,
  desp.m.ik[mes], "&gt;="&amp;R$1,
  desp.m.ik[mes], "&lt;"&amp;EOMONTH(R$1,0)+1
)</f>
        <v>0</v>
      </c>
      <c r="S74" s="183">
        <f ca="1">-SUMIFS(
  desp.m.ik[valor],
  desp.m.ik[nucleo], $B74,
  desp.m.ik[centro.negocio], $B$69,
  desp.m.ik[mes], "&gt;="&amp;S$1,
  desp.m.ik[mes], "&lt;"&amp;EOMONTH(S$1,0)+1
)</f>
        <v>0</v>
      </c>
      <c r="T74" s="183">
        <f ca="1">-SUMIFS(
  desp.m.ik[valor],
  desp.m.ik[nucleo], $B74,
  desp.m.ik[centro.negocio], $B$69,
  desp.m.ik[mes], "&gt;="&amp;T$1,
  desp.m.ik[mes], "&lt;"&amp;EOMONTH(T$1,0)+1
)</f>
        <v>0</v>
      </c>
      <c r="U74" s="183">
        <f ca="1">-SUMIFS(
  desp.m.ik[valor],
  desp.m.ik[nucleo], $B74,
  desp.m.ik[centro.negocio], $B$69,
  desp.m.ik[mes], "&gt;="&amp;U$1,
  desp.m.ik[mes], "&lt;"&amp;EOMONTH(U$1,0)+1
)</f>
        <v>0</v>
      </c>
      <c r="V74" s="183">
        <f ca="1">-SUMIFS(
  desp.m.ik[valor],
  desp.m.ik[nucleo], $B74,
  desp.m.ik[centro.negocio], $B$69,
  desp.m.ik[mes], "&gt;="&amp;V$1,
  desp.m.ik[mes], "&lt;"&amp;EOMONTH(V$1,0)+1
)</f>
        <v>0</v>
      </c>
      <c r="W74" s="183">
        <f ca="1">-SUMIFS(
  desp.m.ik[valor],
  desp.m.ik[nucleo], $B74,
  desp.m.ik[centro.negocio], $B$69,
  desp.m.ik[mes], "&gt;="&amp;W$1,
  desp.m.ik[mes], "&lt;"&amp;EOMONTH(W$1,0)+1
)</f>
        <v>0</v>
      </c>
      <c r="X74" s="183">
        <f ca="1">-SUMIFS(
  desp.m.ik[valor],
  desp.m.ik[nucleo], $B74,
  desp.m.ik[centro.negocio], $B$69,
  desp.m.ik[mes], "&gt;="&amp;X$1,
  desp.m.ik[mes], "&lt;"&amp;EOMONTH(X$1,0)+1
)</f>
        <v>0</v>
      </c>
      <c r="Y74" s="183">
        <f ca="1">-SUMIFS(
  desp.m.ik[valor],
  desp.m.ik[nucleo], $B74,
  desp.m.ik[centro.negocio], $B$69,
  desp.m.ik[mes], "&gt;="&amp;Y$1,
  desp.m.ik[mes], "&lt;"&amp;EOMONTH(Y$1,0)+1
)</f>
        <v>0</v>
      </c>
      <c r="Z74" s="183">
        <f ca="1">-SUMIFS(
  desp.m.ik[valor],
  desp.m.ik[nucleo], $B74,
  desp.m.ik[centro.negocio], $B$69,
  desp.m.ik[mes], "&gt;="&amp;Z$1,
  desp.m.ik[mes], "&lt;"&amp;EOMONTH(Z$1,0)+1
)</f>
        <v>0</v>
      </c>
      <c r="AA74" s="183">
        <f ca="1">-SUMIFS(
  desp.m.ik[valor],
  desp.m.ik[nucleo], $B74,
  desp.m.ik[centro.negocio], $B$69,
  desp.m.ik[mes], "&gt;="&amp;AA$1,
  desp.m.ik[mes], "&lt;"&amp;EOMONTH(AA$1,0)+1
)</f>
        <v>0</v>
      </c>
      <c r="AC74" s="175">
        <f ca="1">SUM($D74:INDEX($D74:$AA74,1,MATCH(DATE(YEAR(inputs!$A$1),MONTH(inputs!$A$1),1),$D$1:$AA$1,0)))</f>
        <v>0</v>
      </c>
      <c r="AE74" s="175">
        <f t="shared" ca="1" si="17"/>
        <v>0</v>
      </c>
    </row>
    <row r="75" spans="1:31" outlineLevel="2" x14ac:dyDescent="0.25">
      <c r="A75" s="182" t="s">
        <v>1131</v>
      </c>
      <c r="B75" s="182" t="s">
        <v>531</v>
      </c>
      <c r="C75" s="135" t="s">
        <v>514</v>
      </c>
      <c r="D75" s="183">
        <f ca="1">-SUMIFS(
  desp.m.ik[valor],
  desp.m.ik[nucleo], $B75,
  desp.m.ik[centro.negocio], $B$69,
  desp.m.ik[mes], "&gt;="&amp;D$1,
  desp.m.ik[mes], "&lt;"&amp;EOMONTH(D$1,0)+1
)</f>
        <v>0</v>
      </c>
      <c r="E75" s="183">
        <f ca="1">-SUMIFS(
  desp.m.ik[valor],
  desp.m.ik[nucleo], $B75,
  desp.m.ik[centro.negocio], $B$69,
  desp.m.ik[mes], "&gt;="&amp;E$1,
  desp.m.ik[mes], "&lt;"&amp;EOMONTH(E$1,0)+1
)</f>
        <v>0</v>
      </c>
      <c r="F75" s="183">
        <f ca="1">-SUMIFS(
  desp.m.ik[valor],
  desp.m.ik[nucleo], $B75,
  desp.m.ik[centro.negocio], $B$69,
  desp.m.ik[mes], "&gt;="&amp;F$1,
  desp.m.ik[mes], "&lt;"&amp;EOMONTH(F$1,0)+1
)</f>
        <v>0</v>
      </c>
      <c r="G75" s="183">
        <f ca="1">-SUMIFS(
  desp.m.ik[valor],
  desp.m.ik[nucleo], $B75,
  desp.m.ik[centro.negocio], $B$69,
  desp.m.ik[mes], "&gt;="&amp;G$1,
  desp.m.ik[mes], "&lt;"&amp;EOMONTH(G$1,0)+1
)</f>
        <v>0</v>
      </c>
      <c r="H75" s="183">
        <f ca="1">-SUMIFS(
  desp.m.ik[valor],
  desp.m.ik[nucleo], $B75,
  desp.m.ik[centro.negocio], $B$69,
  desp.m.ik[mes], "&gt;="&amp;H$1,
  desp.m.ik[mes], "&lt;"&amp;EOMONTH(H$1,0)+1
)</f>
        <v>0</v>
      </c>
      <c r="I75" s="183">
        <f ca="1">-SUMIFS(
  desp.m.ik[valor],
  desp.m.ik[nucleo], $B75,
  desp.m.ik[centro.negocio], $B$69,
  desp.m.ik[mes], "&gt;="&amp;I$1,
  desp.m.ik[mes], "&lt;"&amp;EOMONTH(I$1,0)+1
)</f>
        <v>0</v>
      </c>
      <c r="J75" s="183">
        <f ca="1">-SUMIFS(
  desp.m.ik[valor],
  desp.m.ik[nucleo], $B75,
  desp.m.ik[centro.negocio], $B$69,
  desp.m.ik[mes], "&gt;="&amp;J$1,
  desp.m.ik[mes], "&lt;"&amp;EOMONTH(J$1,0)+1
)</f>
        <v>0</v>
      </c>
      <c r="K75" s="183">
        <f ca="1">-SUMIFS(
  desp.m.ik[valor],
  desp.m.ik[nucleo], $B75,
  desp.m.ik[centro.negocio], $B$69,
  desp.m.ik[mes], "&gt;="&amp;K$1,
  desp.m.ik[mes], "&lt;"&amp;EOMONTH(K$1,0)+1
)</f>
        <v>0</v>
      </c>
      <c r="L75" s="183">
        <f ca="1">-SUMIFS(
  desp.m.ik[valor],
  desp.m.ik[nucleo], $B75,
  desp.m.ik[centro.negocio], $B$69,
  desp.m.ik[mes], "&gt;="&amp;L$1,
  desp.m.ik[mes], "&lt;"&amp;EOMONTH(L$1,0)+1
)</f>
        <v>0</v>
      </c>
      <c r="M75" s="183">
        <f ca="1">-SUMIFS(
  desp.m.ik[valor],
  desp.m.ik[nucleo], $B75,
  desp.m.ik[centro.negocio], $B$69,
  desp.m.ik[mes], "&gt;="&amp;M$1,
  desp.m.ik[mes], "&lt;"&amp;EOMONTH(M$1,0)+1
)</f>
        <v>0</v>
      </c>
      <c r="N75" s="183">
        <f ca="1">-SUMIFS(
  desp.m.ik[valor],
  desp.m.ik[nucleo], $B75,
  desp.m.ik[centro.negocio], $B$69,
  desp.m.ik[mes], "&gt;="&amp;N$1,
  desp.m.ik[mes], "&lt;"&amp;EOMONTH(N$1,0)+1
)</f>
        <v>0</v>
      </c>
      <c r="O75" s="183">
        <f ca="1">-SUMIFS(
  desp.m.ik[valor],
  desp.m.ik[nucleo], $B75,
  desp.m.ik[centro.negocio], $B$69,
  desp.m.ik[mes], "&gt;="&amp;O$1,
  desp.m.ik[mes], "&lt;"&amp;EOMONTH(O$1,0)+1
)</f>
        <v>0</v>
      </c>
      <c r="P75" s="183">
        <f ca="1">-SUMIFS(
  desp.m.ik[valor],
  desp.m.ik[nucleo], $B75,
  desp.m.ik[centro.negocio], $B$69,
  desp.m.ik[mes], "&gt;="&amp;P$1,
  desp.m.ik[mes], "&lt;"&amp;EOMONTH(P$1,0)+1
)</f>
        <v>0</v>
      </c>
      <c r="Q75" s="183">
        <f ca="1">-SUMIFS(
  desp.m.ik[valor],
  desp.m.ik[nucleo], $B75,
  desp.m.ik[centro.negocio], $B$69,
  desp.m.ik[mes], "&gt;="&amp;Q$1,
  desp.m.ik[mes], "&lt;"&amp;EOMONTH(Q$1,0)+1
)</f>
        <v>0</v>
      </c>
      <c r="R75" s="183">
        <f ca="1">-SUMIFS(
  desp.m.ik[valor],
  desp.m.ik[nucleo], $B75,
  desp.m.ik[centro.negocio], $B$69,
  desp.m.ik[mes], "&gt;="&amp;R$1,
  desp.m.ik[mes], "&lt;"&amp;EOMONTH(R$1,0)+1
)</f>
        <v>0</v>
      </c>
      <c r="S75" s="183">
        <f ca="1">-SUMIFS(
  desp.m.ik[valor],
  desp.m.ik[nucleo], $B75,
  desp.m.ik[centro.negocio], $B$69,
  desp.m.ik[mes], "&gt;="&amp;S$1,
  desp.m.ik[mes], "&lt;"&amp;EOMONTH(S$1,0)+1
)</f>
        <v>0</v>
      </c>
      <c r="T75" s="183">
        <f ca="1">-SUMIFS(
  desp.m.ik[valor],
  desp.m.ik[nucleo], $B75,
  desp.m.ik[centro.negocio], $B$69,
  desp.m.ik[mes], "&gt;="&amp;T$1,
  desp.m.ik[mes], "&lt;"&amp;EOMONTH(T$1,0)+1
)</f>
        <v>0</v>
      </c>
      <c r="U75" s="183">
        <f ca="1">-SUMIFS(
  desp.m.ik[valor],
  desp.m.ik[nucleo], $B75,
  desp.m.ik[centro.negocio], $B$69,
  desp.m.ik[mes], "&gt;="&amp;U$1,
  desp.m.ik[mes], "&lt;"&amp;EOMONTH(U$1,0)+1
)</f>
        <v>0</v>
      </c>
      <c r="V75" s="183">
        <f ca="1">-SUMIFS(
  desp.m.ik[valor],
  desp.m.ik[nucleo], $B75,
  desp.m.ik[centro.negocio], $B$69,
  desp.m.ik[mes], "&gt;="&amp;V$1,
  desp.m.ik[mes], "&lt;"&amp;EOMONTH(V$1,0)+1
)</f>
        <v>0</v>
      </c>
      <c r="W75" s="183">
        <f ca="1">-SUMIFS(
  desp.m.ik[valor],
  desp.m.ik[nucleo], $B75,
  desp.m.ik[centro.negocio], $B$69,
  desp.m.ik[mes], "&gt;="&amp;W$1,
  desp.m.ik[mes], "&lt;"&amp;EOMONTH(W$1,0)+1
)</f>
        <v>0</v>
      </c>
      <c r="X75" s="183">
        <f ca="1">-SUMIFS(
  desp.m.ik[valor],
  desp.m.ik[nucleo], $B75,
  desp.m.ik[centro.negocio], $B$69,
  desp.m.ik[mes], "&gt;="&amp;X$1,
  desp.m.ik[mes], "&lt;"&amp;EOMONTH(X$1,0)+1
)</f>
        <v>0</v>
      </c>
      <c r="Y75" s="183">
        <f ca="1">-SUMIFS(
  desp.m.ik[valor],
  desp.m.ik[nucleo], $B75,
  desp.m.ik[centro.negocio], $B$69,
  desp.m.ik[mes], "&gt;="&amp;Y$1,
  desp.m.ik[mes], "&lt;"&amp;EOMONTH(Y$1,0)+1
)</f>
        <v>0</v>
      </c>
      <c r="Z75" s="183">
        <f ca="1">-SUMIFS(
  desp.m.ik[valor],
  desp.m.ik[nucleo], $B75,
  desp.m.ik[centro.negocio], $B$69,
  desp.m.ik[mes], "&gt;="&amp;Z$1,
  desp.m.ik[mes], "&lt;"&amp;EOMONTH(Z$1,0)+1
)</f>
        <v>0</v>
      </c>
      <c r="AA75" s="183">
        <f ca="1">-SUMIFS(
  desp.m.ik[valor],
  desp.m.ik[nucleo], $B75,
  desp.m.ik[centro.negocio], $B$69,
  desp.m.ik[mes], "&gt;="&amp;AA$1,
  desp.m.ik[mes], "&lt;"&amp;EOMONTH(AA$1,0)+1
)</f>
        <v>0</v>
      </c>
      <c r="AC75" s="175">
        <f ca="1">SUM($D75:INDEX($D75:$AA75,1,MATCH(DATE(YEAR(inputs!$A$1),MONTH(inputs!$A$1),1),$D$1:$AA$1,0)))</f>
        <v>0</v>
      </c>
      <c r="AE75" s="175">
        <f t="shared" ca="1" si="17"/>
        <v>0</v>
      </c>
    </row>
    <row r="76" spans="1:31" outlineLevel="2" x14ac:dyDescent="0.25">
      <c r="A76" s="182" t="s">
        <v>1132</v>
      </c>
      <c r="B76" s="182" t="s">
        <v>539</v>
      </c>
      <c r="C76" s="135" t="s">
        <v>514</v>
      </c>
      <c r="D76" s="183">
        <f ca="1">-SUMIFS(
  desp.m.ik[valor],
  desp.m.ik[nucleo], $B76,
  desp.m.ik[centro.negocio], $B$69,
  desp.m.ik[mes], "&gt;="&amp;D$1,
  desp.m.ik[mes], "&lt;"&amp;EOMONTH(D$1,0)+1
)</f>
        <v>0</v>
      </c>
      <c r="E76" s="183">
        <f ca="1">-SUMIFS(
  desp.m.ik[valor],
  desp.m.ik[nucleo], $B76,
  desp.m.ik[centro.negocio], $B$69,
  desp.m.ik[mes], "&gt;="&amp;E$1,
  desp.m.ik[mes], "&lt;"&amp;EOMONTH(E$1,0)+1
)</f>
        <v>0</v>
      </c>
      <c r="F76" s="183">
        <f ca="1">-SUMIFS(
  desp.m.ik[valor],
  desp.m.ik[nucleo], $B76,
  desp.m.ik[centro.negocio], $B$69,
  desp.m.ik[mes], "&gt;="&amp;F$1,
  desp.m.ik[mes], "&lt;"&amp;EOMONTH(F$1,0)+1
)</f>
        <v>0</v>
      </c>
      <c r="G76" s="183">
        <f ca="1">-SUMIFS(
  desp.m.ik[valor],
  desp.m.ik[nucleo], $B76,
  desp.m.ik[centro.negocio], $B$69,
  desp.m.ik[mes], "&gt;="&amp;G$1,
  desp.m.ik[mes], "&lt;"&amp;EOMONTH(G$1,0)+1
)</f>
        <v>0</v>
      </c>
      <c r="H76" s="183">
        <f ca="1">-SUMIFS(
  desp.m.ik[valor],
  desp.m.ik[nucleo], $B76,
  desp.m.ik[centro.negocio], $B$69,
  desp.m.ik[mes], "&gt;="&amp;H$1,
  desp.m.ik[mes], "&lt;"&amp;EOMONTH(H$1,0)+1
)</f>
        <v>0</v>
      </c>
      <c r="I76" s="183">
        <f ca="1">-SUMIFS(
  desp.m.ik[valor],
  desp.m.ik[nucleo], $B76,
  desp.m.ik[centro.negocio], $B$69,
  desp.m.ik[mes], "&gt;="&amp;I$1,
  desp.m.ik[mes], "&lt;"&amp;EOMONTH(I$1,0)+1
)</f>
        <v>0</v>
      </c>
      <c r="J76" s="183">
        <f ca="1">-SUMIFS(
  desp.m.ik[valor],
  desp.m.ik[nucleo], $B76,
  desp.m.ik[centro.negocio], $B$69,
  desp.m.ik[mes], "&gt;="&amp;J$1,
  desp.m.ik[mes], "&lt;"&amp;EOMONTH(J$1,0)+1
)</f>
        <v>0</v>
      </c>
      <c r="K76" s="183">
        <f ca="1">-SUMIFS(
  desp.m.ik[valor],
  desp.m.ik[nucleo], $B76,
  desp.m.ik[centro.negocio], $B$69,
  desp.m.ik[mes], "&gt;="&amp;K$1,
  desp.m.ik[mes], "&lt;"&amp;EOMONTH(K$1,0)+1
)</f>
        <v>0</v>
      </c>
      <c r="L76" s="183">
        <f ca="1">-SUMIFS(
  desp.m.ik[valor],
  desp.m.ik[nucleo], $B76,
  desp.m.ik[centro.negocio], $B$69,
  desp.m.ik[mes], "&gt;="&amp;L$1,
  desp.m.ik[mes], "&lt;"&amp;EOMONTH(L$1,0)+1
)</f>
        <v>0</v>
      </c>
      <c r="M76" s="183">
        <f ca="1">-SUMIFS(
  desp.m.ik[valor],
  desp.m.ik[nucleo], $B76,
  desp.m.ik[centro.negocio], $B$69,
  desp.m.ik[mes], "&gt;="&amp;M$1,
  desp.m.ik[mes], "&lt;"&amp;EOMONTH(M$1,0)+1
)</f>
        <v>0</v>
      </c>
      <c r="N76" s="183">
        <f ca="1">-SUMIFS(
  desp.m.ik[valor],
  desp.m.ik[nucleo], $B76,
  desp.m.ik[centro.negocio], $B$69,
  desp.m.ik[mes], "&gt;="&amp;N$1,
  desp.m.ik[mes], "&lt;"&amp;EOMONTH(N$1,0)+1
)</f>
        <v>0</v>
      </c>
      <c r="O76" s="183">
        <f ca="1">-SUMIFS(
  desp.m.ik[valor],
  desp.m.ik[nucleo], $B76,
  desp.m.ik[centro.negocio], $B$69,
  desp.m.ik[mes], "&gt;="&amp;O$1,
  desp.m.ik[mes], "&lt;"&amp;EOMONTH(O$1,0)+1
)</f>
        <v>0</v>
      </c>
      <c r="P76" s="183">
        <f ca="1">-SUMIFS(
  desp.m.ik[valor],
  desp.m.ik[nucleo], $B76,
  desp.m.ik[centro.negocio], $B$69,
  desp.m.ik[mes], "&gt;="&amp;P$1,
  desp.m.ik[mes], "&lt;"&amp;EOMONTH(P$1,0)+1
)</f>
        <v>0</v>
      </c>
      <c r="Q76" s="183">
        <f ca="1">-SUMIFS(
  desp.m.ik[valor],
  desp.m.ik[nucleo], $B76,
  desp.m.ik[centro.negocio], $B$69,
  desp.m.ik[mes], "&gt;="&amp;Q$1,
  desp.m.ik[mes], "&lt;"&amp;EOMONTH(Q$1,0)+1
)</f>
        <v>0</v>
      </c>
      <c r="R76" s="183">
        <f ca="1">-SUMIFS(
  desp.m.ik[valor],
  desp.m.ik[nucleo], $B76,
  desp.m.ik[centro.negocio], $B$69,
  desp.m.ik[mes], "&gt;="&amp;R$1,
  desp.m.ik[mes], "&lt;"&amp;EOMONTH(R$1,0)+1
)</f>
        <v>0</v>
      </c>
      <c r="S76" s="183">
        <f ca="1">-SUMIFS(
  desp.m.ik[valor],
  desp.m.ik[nucleo], $B76,
  desp.m.ik[centro.negocio], $B$69,
  desp.m.ik[mes], "&gt;="&amp;S$1,
  desp.m.ik[mes], "&lt;"&amp;EOMONTH(S$1,0)+1
)</f>
        <v>0</v>
      </c>
      <c r="T76" s="183">
        <f ca="1">-SUMIFS(
  desp.m.ik[valor],
  desp.m.ik[nucleo], $B76,
  desp.m.ik[centro.negocio], $B$69,
  desp.m.ik[mes], "&gt;="&amp;T$1,
  desp.m.ik[mes], "&lt;"&amp;EOMONTH(T$1,0)+1
)</f>
        <v>0</v>
      </c>
      <c r="U76" s="183">
        <f ca="1">-SUMIFS(
  desp.m.ik[valor],
  desp.m.ik[nucleo], $B76,
  desp.m.ik[centro.negocio], $B$69,
  desp.m.ik[mes], "&gt;="&amp;U$1,
  desp.m.ik[mes], "&lt;"&amp;EOMONTH(U$1,0)+1
)</f>
        <v>0</v>
      </c>
      <c r="V76" s="183">
        <f ca="1">-SUMIFS(
  desp.m.ik[valor],
  desp.m.ik[nucleo], $B76,
  desp.m.ik[centro.negocio], $B$69,
  desp.m.ik[mes], "&gt;="&amp;V$1,
  desp.m.ik[mes], "&lt;"&amp;EOMONTH(V$1,0)+1
)</f>
        <v>0</v>
      </c>
      <c r="W76" s="183">
        <f ca="1">-SUMIFS(
  desp.m.ik[valor],
  desp.m.ik[nucleo], $B76,
  desp.m.ik[centro.negocio], $B$69,
  desp.m.ik[mes], "&gt;="&amp;W$1,
  desp.m.ik[mes], "&lt;"&amp;EOMONTH(W$1,0)+1
)</f>
        <v>0</v>
      </c>
      <c r="X76" s="183">
        <f ca="1">-SUMIFS(
  desp.m.ik[valor],
  desp.m.ik[nucleo], $B76,
  desp.m.ik[centro.negocio], $B$69,
  desp.m.ik[mes], "&gt;="&amp;X$1,
  desp.m.ik[mes], "&lt;"&amp;EOMONTH(X$1,0)+1
)</f>
        <v>0</v>
      </c>
      <c r="Y76" s="183">
        <f ca="1">-SUMIFS(
  desp.m.ik[valor],
  desp.m.ik[nucleo], $B76,
  desp.m.ik[centro.negocio], $B$69,
  desp.m.ik[mes], "&gt;="&amp;Y$1,
  desp.m.ik[mes], "&lt;"&amp;EOMONTH(Y$1,0)+1
)</f>
        <v>0</v>
      </c>
      <c r="Z76" s="183">
        <f ca="1">-SUMIFS(
  desp.m.ik[valor],
  desp.m.ik[nucleo], $B76,
  desp.m.ik[centro.negocio], $B$69,
  desp.m.ik[mes], "&gt;="&amp;Z$1,
  desp.m.ik[mes], "&lt;"&amp;EOMONTH(Z$1,0)+1
)</f>
        <v>0</v>
      </c>
      <c r="AA76" s="183">
        <f ca="1">-SUMIFS(
  desp.m.ik[valor],
  desp.m.ik[nucleo], $B76,
  desp.m.ik[centro.negocio], $B$69,
  desp.m.ik[mes], "&gt;="&amp;AA$1,
  desp.m.ik[mes], "&lt;"&amp;EOMONTH(AA$1,0)+1
)</f>
        <v>0</v>
      </c>
      <c r="AC76" s="175">
        <f ca="1">SUM($D76:INDEX($D76:$AA76,1,MATCH(DATE(YEAR(inputs!$A$1),MONTH(inputs!$A$1),1),$D$1:$AA$1,0)))</f>
        <v>0</v>
      </c>
      <c r="AE76" s="175">
        <f t="shared" ca="1" si="17"/>
        <v>0</v>
      </c>
    </row>
    <row r="77" spans="1:31" outlineLevel="2" x14ac:dyDescent="0.25">
      <c r="A77" s="182" t="s">
        <v>1133</v>
      </c>
      <c r="B77" s="182" t="s">
        <v>535</v>
      </c>
      <c r="C77" s="135" t="s">
        <v>514</v>
      </c>
      <c r="D77" s="183">
        <f ca="1">-SUMIFS(
  desp.m.ik[valor],
  desp.m.ik[nucleo], $B77,
  desp.m.ik[centro.negocio], $B$69,
  desp.m.ik[mes], "&gt;="&amp;D$1,
  desp.m.ik[mes], "&lt;"&amp;EOMONTH(D$1,0)+1
)</f>
        <v>0</v>
      </c>
      <c r="E77" s="183">
        <f ca="1">-SUMIFS(
  desp.m.ik[valor],
  desp.m.ik[nucleo], $B77,
  desp.m.ik[centro.negocio], $B$69,
  desp.m.ik[mes], "&gt;="&amp;E$1,
  desp.m.ik[mes], "&lt;"&amp;EOMONTH(E$1,0)+1
)</f>
        <v>0</v>
      </c>
      <c r="F77" s="183">
        <f ca="1">-SUMIFS(
  desp.m.ik[valor],
  desp.m.ik[nucleo], $B77,
  desp.m.ik[centro.negocio], $B$69,
  desp.m.ik[mes], "&gt;="&amp;F$1,
  desp.m.ik[mes], "&lt;"&amp;EOMONTH(F$1,0)+1
)</f>
        <v>0</v>
      </c>
      <c r="G77" s="183">
        <f ca="1">-SUMIFS(
  desp.m.ik[valor],
  desp.m.ik[nucleo], $B77,
  desp.m.ik[centro.negocio], $B$69,
  desp.m.ik[mes], "&gt;="&amp;G$1,
  desp.m.ik[mes], "&lt;"&amp;EOMONTH(G$1,0)+1
)</f>
        <v>0</v>
      </c>
      <c r="H77" s="183">
        <f ca="1">-SUMIFS(
  desp.m.ik[valor],
  desp.m.ik[nucleo], $B77,
  desp.m.ik[centro.negocio], $B$69,
  desp.m.ik[mes], "&gt;="&amp;H$1,
  desp.m.ik[mes], "&lt;"&amp;EOMONTH(H$1,0)+1
)</f>
        <v>0</v>
      </c>
      <c r="I77" s="183">
        <f ca="1">-SUMIFS(
  desp.m.ik[valor],
  desp.m.ik[nucleo], $B77,
  desp.m.ik[centro.negocio], $B$69,
  desp.m.ik[mes], "&gt;="&amp;I$1,
  desp.m.ik[mes], "&lt;"&amp;EOMONTH(I$1,0)+1
)</f>
        <v>0</v>
      </c>
      <c r="J77" s="183">
        <f ca="1">-SUMIFS(
  desp.m.ik[valor],
  desp.m.ik[nucleo], $B77,
  desp.m.ik[centro.negocio], $B$69,
  desp.m.ik[mes], "&gt;="&amp;J$1,
  desp.m.ik[mes], "&lt;"&amp;EOMONTH(J$1,0)+1
)</f>
        <v>0</v>
      </c>
      <c r="K77" s="183">
        <f ca="1">-SUMIFS(
  desp.m.ik[valor],
  desp.m.ik[nucleo], $B77,
  desp.m.ik[centro.negocio], $B$69,
  desp.m.ik[mes], "&gt;="&amp;K$1,
  desp.m.ik[mes], "&lt;"&amp;EOMONTH(K$1,0)+1
)</f>
        <v>0</v>
      </c>
      <c r="L77" s="183">
        <f ca="1">-SUMIFS(
  desp.m.ik[valor],
  desp.m.ik[nucleo], $B77,
  desp.m.ik[centro.negocio], $B$69,
  desp.m.ik[mes], "&gt;="&amp;L$1,
  desp.m.ik[mes], "&lt;"&amp;EOMONTH(L$1,0)+1
)</f>
        <v>0</v>
      </c>
      <c r="M77" s="183">
        <f ca="1">-SUMIFS(
  desp.m.ik[valor],
  desp.m.ik[nucleo], $B77,
  desp.m.ik[centro.negocio], $B$69,
  desp.m.ik[mes], "&gt;="&amp;M$1,
  desp.m.ik[mes], "&lt;"&amp;EOMONTH(M$1,0)+1
)</f>
        <v>0</v>
      </c>
      <c r="N77" s="183">
        <f ca="1">-SUMIFS(
  desp.m.ik[valor],
  desp.m.ik[nucleo], $B77,
  desp.m.ik[centro.negocio], $B$69,
  desp.m.ik[mes], "&gt;="&amp;N$1,
  desp.m.ik[mes], "&lt;"&amp;EOMONTH(N$1,0)+1
)</f>
        <v>0</v>
      </c>
      <c r="O77" s="183">
        <f ca="1">-SUMIFS(
  desp.m.ik[valor],
  desp.m.ik[nucleo], $B77,
  desp.m.ik[centro.negocio], $B$69,
  desp.m.ik[mes], "&gt;="&amp;O$1,
  desp.m.ik[mes], "&lt;"&amp;EOMONTH(O$1,0)+1
)</f>
        <v>0</v>
      </c>
      <c r="P77" s="183">
        <f ca="1">-SUMIFS(
  desp.m.ik[valor],
  desp.m.ik[nucleo], $B77,
  desp.m.ik[centro.negocio], $B$69,
  desp.m.ik[mes], "&gt;="&amp;P$1,
  desp.m.ik[mes], "&lt;"&amp;EOMONTH(P$1,0)+1
)</f>
        <v>0</v>
      </c>
      <c r="Q77" s="183">
        <f ca="1">-SUMIFS(
  desp.m.ik[valor],
  desp.m.ik[nucleo], $B77,
  desp.m.ik[centro.negocio], $B$69,
  desp.m.ik[mes], "&gt;="&amp;Q$1,
  desp.m.ik[mes], "&lt;"&amp;EOMONTH(Q$1,0)+1
)</f>
        <v>0</v>
      </c>
      <c r="R77" s="183">
        <f ca="1">-SUMIFS(
  desp.m.ik[valor],
  desp.m.ik[nucleo], $B77,
  desp.m.ik[centro.negocio], $B$69,
  desp.m.ik[mes], "&gt;="&amp;R$1,
  desp.m.ik[mes], "&lt;"&amp;EOMONTH(R$1,0)+1
)</f>
        <v>0</v>
      </c>
      <c r="S77" s="183">
        <f ca="1">-SUMIFS(
  desp.m.ik[valor],
  desp.m.ik[nucleo], $B77,
  desp.m.ik[centro.negocio], $B$69,
  desp.m.ik[mes], "&gt;="&amp;S$1,
  desp.m.ik[mes], "&lt;"&amp;EOMONTH(S$1,0)+1
)</f>
        <v>0</v>
      </c>
      <c r="T77" s="183">
        <f ca="1">-SUMIFS(
  desp.m.ik[valor],
  desp.m.ik[nucleo], $B77,
  desp.m.ik[centro.negocio], $B$69,
  desp.m.ik[mes], "&gt;="&amp;T$1,
  desp.m.ik[mes], "&lt;"&amp;EOMONTH(T$1,0)+1
)</f>
        <v>0</v>
      </c>
      <c r="U77" s="183">
        <f ca="1">-SUMIFS(
  desp.m.ik[valor],
  desp.m.ik[nucleo], $B77,
  desp.m.ik[centro.negocio], $B$69,
  desp.m.ik[mes], "&gt;="&amp;U$1,
  desp.m.ik[mes], "&lt;"&amp;EOMONTH(U$1,0)+1
)</f>
        <v>0</v>
      </c>
      <c r="V77" s="183">
        <f ca="1">-SUMIFS(
  desp.m.ik[valor],
  desp.m.ik[nucleo], $B77,
  desp.m.ik[centro.negocio], $B$69,
  desp.m.ik[mes], "&gt;="&amp;V$1,
  desp.m.ik[mes], "&lt;"&amp;EOMONTH(V$1,0)+1
)</f>
        <v>0</v>
      </c>
      <c r="W77" s="183">
        <f ca="1">-SUMIFS(
  desp.m.ik[valor],
  desp.m.ik[nucleo], $B77,
  desp.m.ik[centro.negocio], $B$69,
  desp.m.ik[mes], "&gt;="&amp;W$1,
  desp.m.ik[mes], "&lt;"&amp;EOMONTH(W$1,0)+1
)</f>
        <v>0</v>
      </c>
      <c r="X77" s="183">
        <f ca="1">-SUMIFS(
  desp.m.ik[valor],
  desp.m.ik[nucleo], $B77,
  desp.m.ik[centro.negocio], $B$69,
  desp.m.ik[mes], "&gt;="&amp;X$1,
  desp.m.ik[mes], "&lt;"&amp;EOMONTH(X$1,0)+1
)</f>
        <v>0</v>
      </c>
      <c r="Y77" s="183">
        <f ca="1">-SUMIFS(
  desp.m.ik[valor],
  desp.m.ik[nucleo], $B77,
  desp.m.ik[centro.negocio], $B$69,
  desp.m.ik[mes], "&gt;="&amp;Y$1,
  desp.m.ik[mes], "&lt;"&amp;EOMONTH(Y$1,0)+1
)</f>
        <v>0</v>
      </c>
      <c r="Z77" s="183">
        <f ca="1">-SUMIFS(
  desp.m.ik[valor],
  desp.m.ik[nucleo], $B77,
  desp.m.ik[centro.negocio], $B$69,
  desp.m.ik[mes], "&gt;="&amp;Z$1,
  desp.m.ik[mes], "&lt;"&amp;EOMONTH(Z$1,0)+1
)</f>
        <v>0</v>
      </c>
      <c r="AA77" s="183">
        <f ca="1">-SUMIFS(
  desp.m.ik[valor],
  desp.m.ik[nucleo], $B77,
  desp.m.ik[centro.negocio], $B$69,
  desp.m.ik[mes], "&gt;="&amp;AA$1,
  desp.m.ik[mes], "&lt;"&amp;EOMONTH(AA$1,0)+1
)</f>
        <v>0</v>
      </c>
      <c r="AC77" s="175">
        <f ca="1">SUM($D77:INDEX($D77:$AA77,1,MATCH(DATE(YEAR(inputs!$A$1),MONTH(inputs!$A$1),1),$D$1:$AA$1,0)))</f>
        <v>0</v>
      </c>
      <c r="AE77" s="175">
        <f t="shared" ca="1" si="17"/>
        <v>0</v>
      </c>
    </row>
    <row r="78" spans="1:31" outlineLevel="2" x14ac:dyDescent="0.25">
      <c r="A78" s="182" t="s">
        <v>1134</v>
      </c>
      <c r="B78" s="182" t="s">
        <v>556</v>
      </c>
      <c r="C78" s="135" t="s">
        <v>514</v>
      </c>
      <c r="D78" s="183">
        <f ca="1">-SUMIFS(
  desp.m.ik[valor],
  desp.m.ik[nucleo], $B78,
  desp.m.ik[centro.negocio], $B$69,
  desp.m.ik[mes], "&gt;="&amp;D$1,
  desp.m.ik[mes], "&lt;"&amp;EOMONTH(D$1,0)+1
)</f>
        <v>0</v>
      </c>
      <c r="E78" s="183">
        <f ca="1">-SUMIFS(
  desp.m.ik[valor],
  desp.m.ik[nucleo], $B78,
  desp.m.ik[centro.negocio], $B$69,
  desp.m.ik[mes], "&gt;="&amp;E$1,
  desp.m.ik[mes], "&lt;"&amp;EOMONTH(E$1,0)+1
)</f>
        <v>0</v>
      </c>
      <c r="F78" s="183">
        <f ca="1">-SUMIFS(
  desp.m.ik[valor],
  desp.m.ik[nucleo], $B78,
  desp.m.ik[centro.negocio], $B$69,
  desp.m.ik[mes], "&gt;="&amp;F$1,
  desp.m.ik[mes], "&lt;"&amp;EOMONTH(F$1,0)+1
)</f>
        <v>0</v>
      </c>
      <c r="G78" s="183">
        <f ca="1">-SUMIFS(
  desp.m.ik[valor],
  desp.m.ik[nucleo], $B78,
  desp.m.ik[centro.negocio], $B$69,
  desp.m.ik[mes], "&gt;="&amp;G$1,
  desp.m.ik[mes], "&lt;"&amp;EOMONTH(G$1,0)+1
)</f>
        <v>0</v>
      </c>
      <c r="H78" s="183">
        <f ca="1">-SUMIFS(
  desp.m.ik[valor],
  desp.m.ik[nucleo], $B78,
  desp.m.ik[centro.negocio], $B$69,
  desp.m.ik[mes], "&gt;="&amp;H$1,
  desp.m.ik[mes], "&lt;"&amp;EOMONTH(H$1,0)+1
)</f>
        <v>0</v>
      </c>
      <c r="I78" s="183">
        <f ca="1">-SUMIFS(
  desp.m.ik[valor],
  desp.m.ik[nucleo], $B78,
  desp.m.ik[centro.negocio], $B$69,
  desp.m.ik[mes], "&gt;="&amp;I$1,
  desp.m.ik[mes], "&lt;"&amp;EOMONTH(I$1,0)+1
)</f>
        <v>0</v>
      </c>
      <c r="J78" s="183">
        <f ca="1">-SUMIFS(
  desp.m.ik[valor],
  desp.m.ik[nucleo], $B78,
  desp.m.ik[centro.negocio], $B$69,
  desp.m.ik[mes], "&gt;="&amp;J$1,
  desp.m.ik[mes], "&lt;"&amp;EOMONTH(J$1,0)+1
)</f>
        <v>0</v>
      </c>
      <c r="K78" s="183">
        <f ca="1">-SUMIFS(
  desp.m.ik[valor],
  desp.m.ik[nucleo], $B78,
  desp.m.ik[centro.negocio], $B$69,
  desp.m.ik[mes], "&gt;="&amp;K$1,
  desp.m.ik[mes], "&lt;"&amp;EOMONTH(K$1,0)+1
)</f>
        <v>0</v>
      </c>
      <c r="L78" s="183">
        <f ca="1">-SUMIFS(
  desp.m.ik[valor],
  desp.m.ik[nucleo], $B78,
  desp.m.ik[centro.negocio], $B$69,
  desp.m.ik[mes], "&gt;="&amp;L$1,
  desp.m.ik[mes], "&lt;"&amp;EOMONTH(L$1,0)+1
)</f>
        <v>0</v>
      </c>
      <c r="M78" s="183">
        <f ca="1">-SUMIFS(
  desp.m.ik[valor],
  desp.m.ik[nucleo], $B78,
  desp.m.ik[centro.negocio], $B$69,
  desp.m.ik[mes], "&gt;="&amp;M$1,
  desp.m.ik[mes], "&lt;"&amp;EOMONTH(M$1,0)+1
)</f>
        <v>0</v>
      </c>
      <c r="N78" s="183">
        <f ca="1">-SUMIFS(
  desp.m.ik[valor],
  desp.m.ik[nucleo], $B78,
  desp.m.ik[centro.negocio], $B$69,
  desp.m.ik[mes], "&gt;="&amp;N$1,
  desp.m.ik[mes], "&lt;"&amp;EOMONTH(N$1,0)+1
)</f>
        <v>0</v>
      </c>
      <c r="O78" s="183">
        <f ca="1">-SUMIFS(
  desp.m.ik[valor],
  desp.m.ik[nucleo], $B78,
  desp.m.ik[centro.negocio], $B$69,
  desp.m.ik[mes], "&gt;="&amp;O$1,
  desp.m.ik[mes], "&lt;"&amp;EOMONTH(O$1,0)+1
)</f>
        <v>0</v>
      </c>
      <c r="P78" s="183">
        <f ca="1">-SUMIFS(
  desp.m.ik[valor],
  desp.m.ik[nucleo], $B78,
  desp.m.ik[centro.negocio], $B$69,
  desp.m.ik[mes], "&gt;="&amp;P$1,
  desp.m.ik[mes], "&lt;"&amp;EOMONTH(P$1,0)+1
)</f>
        <v>0</v>
      </c>
      <c r="Q78" s="183">
        <f ca="1">-SUMIFS(
  desp.m.ik[valor],
  desp.m.ik[nucleo], $B78,
  desp.m.ik[centro.negocio], $B$69,
  desp.m.ik[mes], "&gt;="&amp;Q$1,
  desp.m.ik[mes], "&lt;"&amp;EOMONTH(Q$1,0)+1
)</f>
        <v>0</v>
      </c>
      <c r="R78" s="183">
        <f ca="1">-SUMIFS(
  desp.m.ik[valor],
  desp.m.ik[nucleo], $B78,
  desp.m.ik[centro.negocio], $B$69,
  desp.m.ik[mes], "&gt;="&amp;R$1,
  desp.m.ik[mes], "&lt;"&amp;EOMONTH(R$1,0)+1
)</f>
        <v>0</v>
      </c>
      <c r="S78" s="183">
        <f ca="1">-SUMIFS(
  desp.m.ik[valor],
  desp.m.ik[nucleo], $B78,
  desp.m.ik[centro.negocio], $B$69,
  desp.m.ik[mes], "&gt;="&amp;S$1,
  desp.m.ik[mes], "&lt;"&amp;EOMONTH(S$1,0)+1
)</f>
        <v>0</v>
      </c>
      <c r="T78" s="183">
        <f ca="1">-SUMIFS(
  desp.m.ik[valor],
  desp.m.ik[nucleo], $B78,
  desp.m.ik[centro.negocio], $B$69,
  desp.m.ik[mes], "&gt;="&amp;T$1,
  desp.m.ik[mes], "&lt;"&amp;EOMONTH(T$1,0)+1
)</f>
        <v>0</v>
      </c>
      <c r="U78" s="183">
        <f ca="1">-SUMIFS(
  desp.m.ik[valor],
  desp.m.ik[nucleo], $B78,
  desp.m.ik[centro.negocio], $B$69,
  desp.m.ik[mes], "&gt;="&amp;U$1,
  desp.m.ik[mes], "&lt;"&amp;EOMONTH(U$1,0)+1
)</f>
        <v>0</v>
      </c>
      <c r="V78" s="183">
        <f ca="1">-SUMIFS(
  desp.m.ik[valor],
  desp.m.ik[nucleo], $B78,
  desp.m.ik[centro.negocio], $B$69,
  desp.m.ik[mes], "&gt;="&amp;V$1,
  desp.m.ik[mes], "&lt;"&amp;EOMONTH(V$1,0)+1
)</f>
        <v>0</v>
      </c>
      <c r="W78" s="183">
        <f ca="1">-SUMIFS(
  desp.m.ik[valor],
  desp.m.ik[nucleo], $B78,
  desp.m.ik[centro.negocio], $B$69,
  desp.m.ik[mes], "&gt;="&amp;W$1,
  desp.m.ik[mes], "&lt;"&amp;EOMONTH(W$1,0)+1
)</f>
        <v>0</v>
      </c>
      <c r="X78" s="183">
        <f ca="1">-SUMIFS(
  desp.m.ik[valor],
  desp.m.ik[nucleo], $B78,
  desp.m.ik[centro.negocio], $B$69,
  desp.m.ik[mes], "&gt;="&amp;X$1,
  desp.m.ik[mes], "&lt;"&amp;EOMONTH(X$1,0)+1
)</f>
        <v>0</v>
      </c>
      <c r="Y78" s="183">
        <f ca="1">-SUMIFS(
  desp.m.ik[valor],
  desp.m.ik[nucleo], $B78,
  desp.m.ik[centro.negocio], $B$69,
  desp.m.ik[mes], "&gt;="&amp;Y$1,
  desp.m.ik[mes], "&lt;"&amp;EOMONTH(Y$1,0)+1
)</f>
        <v>0</v>
      </c>
      <c r="Z78" s="183">
        <f ca="1">-SUMIFS(
  desp.m.ik[valor],
  desp.m.ik[nucleo], $B78,
  desp.m.ik[centro.negocio], $B$69,
  desp.m.ik[mes], "&gt;="&amp;Z$1,
  desp.m.ik[mes], "&lt;"&amp;EOMONTH(Z$1,0)+1
)</f>
        <v>0</v>
      </c>
      <c r="AA78" s="183">
        <f ca="1">-SUMIFS(
  desp.m.ik[valor],
  desp.m.ik[nucleo], $B78,
  desp.m.ik[centro.negocio], $B$69,
  desp.m.ik[mes], "&gt;="&amp;AA$1,
  desp.m.ik[mes], "&lt;"&amp;EOMONTH(AA$1,0)+1
)</f>
        <v>0</v>
      </c>
      <c r="AC78" s="175">
        <f ca="1">SUM($D78:INDEX($D78:$AA78,1,MATCH(DATE(YEAR(inputs!$A$1),MONTH(inputs!$A$1),1),$D$1:$AA$1,0)))</f>
        <v>0</v>
      </c>
      <c r="AE78" s="175">
        <f t="shared" ref="AE78" ca="1" si="18">SUM(D78:AA78)</f>
        <v>0</v>
      </c>
    </row>
    <row r="79" spans="1:31" outlineLevel="1" x14ac:dyDescent="0.25">
      <c r="A79" s="179" t="s">
        <v>559</v>
      </c>
      <c r="B79" s="179" t="s">
        <v>373</v>
      </c>
      <c r="C79" s="180" t="s">
        <v>514</v>
      </c>
      <c r="D79" s="181">
        <f t="shared" ref="D79:AA79" ca="1" si="19">SUM(D$80:D$82)</f>
        <v>0</v>
      </c>
      <c r="E79" s="181">
        <f t="shared" ca="1" si="19"/>
        <v>0</v>
      </c>
      <c r="F79" s="181">
        <f t="shared" ca="1" si="19"/>
        <v>0</v>
      </c>
      <c r="G79" s="181">
        <f t="shared" ca="1" si="19"/>
        <v>0</v>
      </c>
      <c r="H79" s="181">
        <f t="shared" ca="1" si="19"/>
        <v>0</v>
      </c>
      <c r="I79" s="181">
        <f t="shared" ca="1" si="19"/>
        <v>0</v>
      </c>
      <c r="J79" s="181">
        <f t="shared" ca="1" si="19"/>
        <v>0</v>
      </c>
      <c r="K79" s="181">
        <f t="shared" ca="1" si="19"/>
        <v>0</v>
      </c>
      <c r="L79" s="181">
        <f t="shared" ca="1" si="19"/>
        <v>0</v>
      </c>
      <c r="M79" s="181">
        <f t="shared" ca="1" si="19"/>
        <v>0</v>
      </c>
      <c r="N79" s="181">
        <f t="shared" ca="1" si="19"/>
        <v>0</v>
      </c>
      <c r="O79" s="181">
        <f t="shared" ca="1" si="19"/>
        <v>0</v>
      </c>
      <c r="P79" s="181">
        <f t="shared" ca="1" si="19"/>
        <v>0</v>
      </c>
      <c r="Q79" s="181">
        <f t="shared" ca="1" si="19"/>
        <v>0</v>
      </c>
      <c r="R79" s="181">
        <f t="shared" ca="1" si="19"/>
        <v>0</v>
      </c>
      <c r="S79" s="181">
        <f t="shared" ca="1" si="19"/>
        <v>0</v>
      </c>
      <c r="T79" s="181">
        <f t="shared" ca="1" si="19"/>
        <v>0</v>
      </c>
      <c r="U79" s="181">
        <f t="shared" ca="1" si="19"/>
        <v>0</v>
      </c>
      <c r="V79" s="181">
        <f t="shared" ca="1" si="19"/>
        <v>0</v>
      </c>
      <c r="W79" s="181">
        <f t="shared" ca="1" si="19"/>
        <v>0</v>
      </c>
      <c r="X79" s="181">
        <f t="shared" ca="1" si="19"/>
        <v>0</v>
      </c>
      <c r="Y79" s="181">
        <f t="shared" ca="1" si="19"/>
        <v>0</v>
      </c>
      <c r="Z79" s="181">
        <f t="shared" ca="1" si="19"/>
        <v>0</v>
      </c>
      <c r="AA79" s="181">
        <f t="shared" ca="1" si="19"/>
        <v>0</v>
      </c>
      <c r="AC79" s="275">
        <f ca="1">SUM($D79:INDEX($D79:$AA79,1,MATCH(DATE(YEAR(inputs!$A$1),MONTH(inputs!$A$1),1),$D$1:$AA$1,0)))</f>
        <v>0</v>
      </c>
      <c r="AE79" s="275">
        <f t="shared" ref="AE79:AE87" ca="1" si="20">SUM(D79:AA79)</f>
        <v>0</v>
      </c>
    </row>
    <row r="80" spans="1:31" outlineLevel="2" x14ac:dyDescent="0.25">
      <c r="A80" s="182" t="s">
        <v>1135</v>
      </c>
      <c r="B80" s="182" t="s">
        <v>494</v>
      </c>
      <c r="C80" s="135" t="s">
        <v>514</v>
      </c>
      <c r="D80" s="183">
        <f ca="1">-SUMIFS(
  desp.m.ik[valor],
  desp.m.ik[nucleo], $B80,
  desp.m.ik[centro.negocio], $B$79,
  desp.m.ik[mes], "&gt;="&amp;D$1,
  desp.m.ik[mes], "&lt;"&amp;EOMONTH(D$1,0)+1
)</f>
        <v>0</v>
      </c>
      <c r="E80" s="183">
        <f ca="1">-SUMIFS(
  desp.m.ik[valor],
  desp.m.ik[nucleo], $B80,
  desp.m.ik[centro.negocio], $B$79,
  desp.m.ik[mes], "&gt;="&amp;E$1,
  desp.m.ik[mes], "&lt;"&amp;EOMONTH(E$1,0)+1
)</f>
        <v>0</v>
      </c>
      <c r="F80" s="183">
        <f ca="1">-SUMIFS(
  desp.m.ik[valor],
  desp.m.ik[nucleo], $B80,
  desp.m.ik[centro.negocio], $B$79,
  desp.m.ik[mes], "&gt;="&amp;F$1,
  desp.m.ik[mes], "&lt;"&amp;EOMONTH(F$1,0)+1
)</f>
        <v>0</v>
      </c>
      <c r="G80" s="183">
        <f ca="1">-SUMIFS(
  desp.m.ik[valor],
  desp.m.ik[nucleo], $B80,
  desp.m.ik[centro.negocio], $B$79,
  desp.m.ik[mes], "&gt;="&amp;G$1,
  desp.m.ik[mes], "&lt;"&amp;EOMONTH(G$1,0)+1
)</f>
        <v>0</v>
      </c>
      <c r="H80" s="183">
        <f ca="1">-SUMIFS(
  desp.m.ik[valor],
  desp.m.ik[nucleo], $B80,
  desp.m.ik[centro.negocio], $B$79,
  desp.m.ik[mes], "&gt;="&amp;H$1,
  desp.m.ik[mes], "&lt;"&amp;EOMONTH(H$1,0)+1
)</f>
        <v>0</v>
      </c>
      <c r="I80" s="183">
        <f ca="1">-SUMIFS(
  desp.m.ik[valor],
  desp.m.ik[nucleo], $B80,
  desp.m.ik[centro.negocio], $B$79,
  desp.m.ik[mes], "&gt;="&amp;I$1,
  desp.m.ik[mes], "&lt;"&amp;EOMONTH(I$1,0)+1
)</f>
        <v>0</v>
      </c>
      <c r="J80" s="183">
        <f ca="1">-SUMIFS(
  desp.m.ik[valor],
  desp.m.ik[nucleo], $B80,
  desp.m.ik[centro.negocio], $B$79,
  desp.m.ik[mes], "&gt;="&amp;J$1,
  desp.m.ik[mes], "&lt;"&amp;EOMONTH(J$1,0)+1
)</f>
        <v>0</v>
      </c>
      <c r="K80" s="183">
        <f ca="1">-SUMIFS(
  desp.m.ik[valor],
  desp.m.ik[nucleo], $B80,
  desp.m.ik[centro.negocio], $B$79,
  desp.m.ik[mes], "&gt;="&amp;K$1,
  desp.m.ik[mes], "&lt;"&amp;EOMONTH(K$1,0)+1
)</f>
        <v>0</v>
      </c>
      <c r="L80" s="183">
        <f ca="1">-SUMIFS(
  desp.m.ik[valor],
  desp.m.ik[nucleo], $B80,
  desp.m.ik[centro.negocio], $B$79,
  desp.m.ik[mes], "&gt;="&amp;L$1,
  desp.m.ik[mes], "&lt;"&amp;EOMONTH(L$1,0)+1
)</f>
        <v>0</v>
      </c>
      <c r="M80" s="183">
        <f ca="1">-SUMIFS(
  desp.m.ik[valor],
  desp.m.ik[nucleo], $B80,
  desp.m.ik[centro.negocio], $B$79,
  desp.m.ik[mes], "&gt;="&amp;M$1,
  desp.m.ik[mes], "&lt;"&amp;EOMONTH(M$1,0)+1
)</f>
        <v>0</v>
      </c>
      <c r="N80" s="183">
        <f ca="1">-SUMIFS(
  desp.m.ik[valor],
  desp.m.ik[nucleo], $B80,
  desp.m.ik[centro.negocio], $B$79,
  desp.m.ik[mes], "&gt;="&amp;N$1,
  desp.m.ik[mes], "&lt;"&amp;EOMONTH(N$1,0)+1
)</f>
        <v>0</v>
      </c>
      <c r="O80" s="183">
        <f ca="1">-SUMIFS(
  desp.m.ik[valor],
  desp.m.ik[nucleo], $B80,
  desp.m.ik[centro.negocio], $B$79,
  desp.m.ik[mes], "&gt;="&amp;O$1,
  desp.m.ik[mes], "&lt;"&amp;EOMONTH(O$1,0)+1
)</f>
        <v>0</v>
      </c>
      <c r="P80" s="183">
        <f ca="1">-SUMIFS(
  desp.m.ik[valor],
  desp.m.ik[nucleo], $B80,
  desp.m.ik[centro.negocio], $B$79,
  desp.m.ik[mes], "&gt;="&amp;P$1,
  desp.m.ik[mes], "&lt;"&amp;EOMONTH(P$1,0)+1
)</f>
        <v>0</v>
      </c>
      <c r="Q80" s="183">
        <f ca="1">-SUMIFS(
  desp.m.ik[valor],
  desp.m.ik[nucleo], $B80,
  desp.m.ik[centro.negocio], $B$79,
  desp.m.ik[mes], "&gt;="&amp;Q$1,
  desp.m.ik[mes], "&lt;"&amp;EOMONTH(Q$1,0)+1
)</f>
        <v>0</v>
      </c>
      <c r="R80" s="183">
        <f ca="1">-SUMIFS(
  desp.m.ik[valor],
  desp.m.ik[nucleo], $B80,
  desp.m.ik[centro.negocio], $B$79,
  desp.m.ik[mes], "&gt;="&amp;R$1,
  desp.m.ik[mes], "&lt;"&amp;EOMONTH(R$1,0)+1
)</f>
        <v>0</v>
      </c>
      <c r="S80" s="183">
        <f ca="1">-SUMIFS(
  desp.m.ik[valor],
  desp.m.ik[nucleo], $B80,
  desp.m.ik[centro.negocio], $B$79,
  desp.m.ik[mes], "&gt;="&amp;S$1,
  desp.m.ik[mes], "&lt;"&amp;EOMONTH(S$1,0)+1
)</f>
        <v>0</v>
      </c>
      <c r="T80" s="183">
        <f ca="1">-SUMIFS(
  desp.m.ik[valor],
  desp.m.ik[nucleo], $B80,
  desp.m.ik[centro.negocio], $B$79,
  desp.m.ik[mes], "&gt;="&amp;T$1,
  desp.m.ik[mes], "&lt;"&amp;EOMONTH(T$1,0)+1
)</f>
        <v>0</v>
      </c>
      <c r="U80" s="183">
        <f ca="1">-SUMIFS(
  desp.m.ik[valor],
  desp.m.ik[nucleo], $B80,
  desp.m.ik[centro.negocio], $B$79,
  desp.m.ik[mes], "&gt;="&amp;U$1,
  desp.m.ik[mes], "&lt;"&amp;EOMONTH(U$1,0)+1
)</f>
        <v>0</v>
      </c>
      <c r="V80" s="183">
        <f ca="1">-SUMIFS(
  desp.m.ik[valor],
  desp.m.ik[nucleo], $B80,
  desp.m.ik[centro.negocio], $B$79,
  desp.m.ik[mes], "&gt;="&amp;V$1,
  desp.m.ik[mes], "&lt;"&amp;EOMONTH(V$1,0)+1
)</f>
        <v>0</v>
      </c>
      <c r="W80" s="183">
        <f ca="1">-SUMIFS(
  desp.m.ik[valor],
  desp.m.ik[nucleo], $B80,
  desp.m.ik[centro.negocio], $B$79,
  desp.m.ik[mes], "&gt;="&amp;W$1,
  desp.m.ik[mes], "&lt;"&amp;EOMONTH(W$1,0)+1
)</f>
        <v>0</v>
      </c>
      <c r="X80" s="183">
        <f ca="1">-SUMIFS(
  desp.m.ik[valor],
  desp.m.ik[nucleo], $B80,
  desp.m.ik[centro.negocio], $B$79,
  desp.m.ik[mes], "&gt;="&amp;X$1,
  desp.m.ik[mes], "&lt;"&amp;EOMONTH(X$1,0)+1
)</f>
        <v>0</v>
      </c>
      <c r="Y80" s="183">
        <f ca="1">-SUMIFS(
  desp.m.ik[valor],
  desp.m.ik[nucleo], $B80,
  desp.m.ik[centro.negocio], $B$79,
  desp.m.ik[mes], "&gt;="&amp;Y$1,
  desp.m.ik[mes], "&lt;"&amp;EOMONTH(Y$1,0)+1
)</f>
        <v>0</v>
      </c>
      <c r="Z80" s="183">
        <f ca="1">-SUMIFS(
  desp.m.ik[valor],
  desp.m.ik[nucleo], $B80,
  desp.m.ik[centro.negocio], $B$79,
  desp.m.ik[mes], "&gt;="&amp;Z$1,
  desp.m.ik[mes], "&lt;"&amp;EOMONTH(Z$1,0)+1
)</f>
        <v>0</v>
      </c>
      <c r="AA80" s="183">
        <f ca="1">-SUMIFS(
  desp.m.ik[valor],
  desp.m.ik[nucleo], $B80,
  desp.m.ik[centro.negocio], $B$79,
  desp.m.ik[mes], "&gt;="&amp;AA$1,
  desp.m.ik[mes], "&lt;"&amp;EOMONTH(AA$1,0)+1
)</f>
        <v>0</v>
      </c>
      <c r="AC80" s="175">
        <f ca="1">SUM($D80:INDEX($D80:$AA80,1,MATCH(DATE(YEAR(inputs!$A$1),MONTH(inputs!$A$1),1),$D$1:$AA$1,0)))</f>
        <v>0</v>
      </c>
      <c r="AE80" s="175">
        <f t="shared" ca="1" si="20"/>
        <v>0</v>
      </c>
    </row>
    <row r="81" spans="1:31" outlineLevel="2" x14ac:dyDescent="0.25">
      <c r="A81" s="182" t="s">
        <v>1136</v>
      </c>
      <c r="B81" s="182" t="s">
        <v>561</v>
      </c>
      <c r="C81" s="135" t="s">
        <v>514</v>
      </c>
      <c r="D81" s="183">
        <f ca="1">-SUMIFS(
  desp.m.ik[valor],
  desp.m.ik[nucleo], $B81,
  desp.m.ik[centro.negocio], $B$79,
  desp.m.ik[mes], "&gt;="&amp;D$1,
  desp.m.ik[mes], "&lt;"&amp;EOMONTH(D$1,0)+1
)</f>
        <v>0</v>
      </c>
      <c r="E81" s="183">
        <f ca="1">-SUMIFS(
  desp.m.ik[valor],
  desp.m.ik[nucleo], $B81,
  desp.m.ik[centro.negocio], $B$79,
  desp.m.ik[mes], "&gt;="&amp;E$1,
  desp.m.ik[mes], "&lt;"&amp;EOMONTH(E$1,0)+1
)</f>
        <v>0</v>
      </c>
      <c r="F81" s="183">
        <f ca="1">-SUMIFS(
  desp.m.ik[valor],
  desp.m.ik[nucleo], $B81,
  desp.m.ik[centro.negocio], $B$79,
  desp.m.ik[mes], "&gt;="&amp;F$1,
  desp.m.ik[mes], "&lt;"&amp;EOMONTH(F$1,0)+1
)</f>
        <v>0</v>
      </c>
      <c r="G81" s="183">
        <f ca="1">-SUMIFS(
  desp.m.ik[valor],
  desp.m.ik[nucleo], $B81,
  desp.m.ik[centro.negocio], $B$79,
  desp.m.ik[mes], "&gt;="&amp;G$1,
  desp.m.ik[mes], "&lt;"&amp;EOMONTH(G$1,0)+1
)</f>
        <v>0</v>
      </c>
      <c r="H81" s="183">
        <f ca="1">-SUMIFS(
  desp.m.ik[valor],
  desp.m.ik[nucleo], $B81,
  desp.m.ik[centro.negocio], $B$79,
  desp.m.ik[mes], "&gt;="&amp;H$1,
  desp.m.ik[mes], "&lt;"&amp;EOMONTH(H$1,0)+1
)</f>
        <v>0</v>
      </c>
      <c r="I81" s="183">
        <f ca="1">-SUMIFS(
  desp.m.ik[valor],
  desp.m.ik[nucleo], $B81,
  desp.m.ik[centro.negocio], $B$79,
  desp.m.ik[mes], "&gt;="&amp;I$1,
  desp.m.ik[mes], "&lt;"&amp;EOMONTH(I$1,0)+1
)</f>
        <v>0</v>
      </c>
      <c r="J81" s="183">
        <f ca="1">-SUMIFS(
  desp.m.ik[valor],
  desp.m.ik[nucleo], $B81,
  desp.m.ik[centro.negocio], $B$79,
  desp.m.ik[mes], "&gt;="&amp;J$1,
  desp.m.ik[mes], "&lt;"&amp;EOMONTH(J$1,0)+1
)</f>
        <v>0</v>
      </c>
      <c r="K81" s="183">
        <f ca="1">-SUMIFS(
  desp.m.ik[valor],
  desp.m.ik[nucleo], $B81,
  desp.m.ik[centro.negocio], $B$79,
  desp.m.ik[mes], "&gt;="&amp;K$1,
  desp.m.ik[mes], "&lt;"&amp;EOMONTH(K$1,0)+1
)</f>
        <v>0</v>
      </c>
      <c r="L81" s="183">
        <f ca="1">-SUMIFS(
  desp.m.ik[valor],
  desp.m.ik[nucleo], $B81,
  desp.m.ik[centro.negocio], $B$79,
  desp.m.ik[mes], "&gt;="&amp;L$1,
  desp.m.ik[mes], "&lt;"&amp;EOMONTH(L$1,0)+1
)</f>
        <v>0</v>
      </c>
      <c r="M81" s="183">
        <f ca="1">-SUMIFS(
  desp.m.ik[valor],
  desp.m.ik[nucleo], $B81,
  desp.m.ik[centro.negocio], $B$79,
  desp.m.ik[mes], "&gt;="&amp;M$1,
  desp.m.ik[mes], "&lt;"&amp;EOMONTH(M$1,0)+1
)</f>
        <v>0</v>
      </c>
      <c r="N81" s="183">
        <f ca="1">-SUMIFS(
  desp.m.ik[valor],
  desp.m.ik[nucleo], $B81,
  desp.m.ik[centro.negocio], $B$79,
  desp.m.ik[mes], "&gt;="&amp;N$1,
  desp.m.ik[mes], "&lt;"&amp;EOMONTH(N$1,0)+1
)</f>
        <v>0</v>
      </c>
      <c r="O81" s="183">
        <f ca="1">-SUMIFS(
  desp.m.ik[valor],
  desp.m.ik[nucleo], $B81,
  desp.m.ik[centro.negocio], $B$79,
  desp.m.ik[mes], "&gt;="&amp;O$1,
  desp.m.ik[mes], "&lt;"&amp;EOMONTH(O$1,0)+1
)</f>
        <v>0</v>
      </c>
      <c r="P81" s="183">
        <f ca="1">-SUMIFS(
  desp.m.ik[valor],
  desp.m.ik[nucleo], $B81,
  desp.m.ik[centro.negocio], $B$79,
  desp.m.ik[mes], "&gt;="&amp;P$1,
  desp.m.ik[mes], "&lt;"&amp;EOMONTH(P$1,0)+1
)</f>
        <v>0</v>
      </c>
      <c r="Q81" s="183">
        <f ca="1">-SUMIFS(
  desp.m.ik[valor],
  desp.m.ik[nucleo], $B81,
  desp.m.ik[centro.negocio], $B$79,
  desp.m.ik[mes], "&gt;="&amp;Q$1,
  desp.m.ik[mes], "&lt;"&amp;EOMONTH(Q$1,0)+1
)</f>
        <v>0</v>
      </c>
      <c r="R81" s="183">
        <f ca="1">-SUMIFS(
  desp.m.ik[valor],
  desp.m.ik[nucleo], $B81,
  desp.m.ik[centro.negocio], $B$79,
  desp.m.ik[mes], "&gt;="&amp;R$1,
  desp.m.ik[mes], "&lt;"&amp;EOMONTH(R$1,0)+1
)</f>
        <v>0</v>
      </c>
      <c r="S81" s="183">
        <f ca="1">-SUMIFS(
  desp.m.ik[valor],
  desp.m.ik[nucleo], $B81,
  desp.m.ik[centro.negocio], $B$79,
  desp.m.ik[mes], "&gt;="&amp;S$1,
  desp.m.ik[mes], "&lt;"&amp;EOMONTH(S$1,0)+1
)</f>
        <v>0</v>
      </c>
      <c r="T81" s="183">
        <f ca="1">-SUMIFS(
  desp.m.ik[valor],
  desp.m.ik[nucleo], $B81,
  desp.m.ik[centro.negocio], $B$79,
  desp.m.ik[mes], "&gt;="&amp;T$1,
  desp.m.ik[mes], "&lt;"&amp;EOMONTH(T$1,0)+1
)</f>
        <v>0</v>
      </c>
      <c r="U81" s="183">
        <f ca="1">-SUMIFS(
  desp.m.ik[valor],
  desp.m.ik[nucleo], $B81,
  desp.m.ik[centro.negocio], $B$79,
  desp.m.ik[mes], "&gt;="&amp;U$1,
  desp.m.ik[mes], "&lt;"&amp;EOMONTH(U$1,0)+1
)</f>
        <v>0</v>
      </c>
      <c r="V81" s="183">
        <f ca="1">-SUMIFS(
  desp.m.ik[valor],
  desp.m.ik[nucleo], $B81,
  desp.m.ik[centro.negocio], $B$79,
  desp.m.ik[mes], "&gt;="&amp;V$1,
  desp.m.ik[mes], "&lt;"&amp;EOMONTH(V$1,0)+1
)</f>
        <v>0</v>
      </c>
      <c r="W81" s="183">
        <f ca="1">-SUMIFS(
  desp.m.ik[valor],
  desp.m.ik[nucleo], $B81,
  desp.m.ik[centro.negocio], $B$79,
  desp.m.ik[mes], "&gt;="&amp;W$1,
  desp.m.ik[mes], "&lt;"&amp;EOMONTH(W$1,0)+1
)</f>
        <v>0</v>
      </c>
      <c r="X81" s="183">
        <f ca="1">-SUMIFS(
  desp.m.ik[valor],
  desp.m.ik[nucleo], $B81,
  desp.m.ik[centro.negocio], $B$79,
  desp.m.ik[mes], "&gt;="&amp;X$1,
  desp.m.ik[mes], "&lt;"&amp;EOMONTH(X$1,0)+1
)</f>
        <v>0</v>
      </c>
      <c r="Y81" s="183">
        <f ca="1">-SUMIFS(
  desp.m.ik[valor],
  desp.m.ik[nucleo], $B81,
  desp.m.ik[centro.negocio], $B$79,
  desp.m.ik[mes], "&gt;="&amp;Y$1,
  desp.m.ik[mes], "&lt;"&amp;EOMONTH(Y$1,0)+1
)</f>
        <v>0</v>
      </c>
      <c r="Z81" s="183">
        <f ca="1">-SUMIFS(
  desp.m.ik[valor],
  desp.m.ik[nucleo], $B81,
  desp.m.ik[centro.negocio], $B$79,
  desp.m.ik[mes], "&gt;="&amp;Z$1,
  desp.m.ik[mes], "&lt;"&amp;EOMONTH(Z$1,0)+1
)</f>
        <v>0</v>
      </c>
      <c r="AA81" s="183">
        <f ca="1">-SUMIFS(
  desp.m.ik[valor],
  desp.m.ik[nucleo], $B81,
  desp.m.ik[centro.negocio], $B$79,
  desp.m.ik[mes], "&gt;="&amp;AA$1,
  desp.m.ik[mes], "&lt;"&amp;EOMONTH(AA$1,0)+1
)</f>
        <v>0</v>
      </c>
      <c r="AC81" s="175">
        <f ca="1">SUM($D81:INDEX($D81:$AA81,1,MATCH(DATE(YEAR(inputs!$A$1),MONTH(inputs!$A$1),1),$D$1:$AA$1,0)))</f>
        <v>0</v>
      </c>
      <c r="AE81" s="175">
        <f t="shared" ca="1" si="20"/>
        <v>0</v>
      </c>
    </row>
    <row r="82" spans="1:31" outlineLevel="2" x14ac:dyDescent="0.25">
      <c r="A82" s="182" t="s">
        <v>1137</v>
      </c>
      <c r="B82" s="182" t="s">
        <v>562</v>
      </c>
      <c r="C82" s="135" t="s">
        <v>514</v>
      </c>
      <c r="D82" s="183">
        <f ca="1">-SUMIFS(
  desp.m.ik[valor],
  desp.m.ik[nucleo], $B82,
  desp.m.ik[centro.negocio], $B$79,
  desp.m.ik[mes], "&gt;="&amp;D$1,
  desp.m.ik[mes], "&lt;"&amp;EOMONTH(D$1,0)+1
)</f>
        <v>0</v>
      </c>
      <c r="E82" s="183">
        <f ca="1">-SUMIFS(
  desp.m.ik[valor],
  desp.m.ik[nucleo], $B82,
  desp.m.ik[centro.negocio], $B$79,
  desp.m.ik[mes], "&gt;="&amp;E$1,
  desp.m.ik[mes], "&lt;"&amp;EOMONTH(E$1,0)+1
)</f>
        <v>0</v>
      </c>
      <c r="F82" s="183">
        <f ca="1">-SUMIFS(
  desp.m.ik[valor],
  desp.m.ik[nucleo], $B82,
  desp.m.ik[centro.negocio], $B$79,
  desp.m.ik[mes], "&gt;="&amp;F$1,
  desp.m.ik[mes], "&lt;"&amp;EOMONTH(F$1,0)+1
)</f>
        <v>0</v>
      </c>
      <c r="G82" s="183">
        <f ca="1">-SUMIFS(
  desp.m.ik[valor],
  desp.m.ik[nucleo], $B82,
  desp.m.ik[centro.negocio], $B$79,
  desp.m.ik[mes], "&gt;="&amp;G$1,
  desp.m.ik[mes], "&lt;"&amp;EOMONTH(G$1,0)+1
)</f>
        <v>0</v>
      </c>
      <c r="H82" s="183">
        <f ca="1">-SUMIFS(
  desp.m.ik[valor],
  desp.m.ik[nucleo], $B82,
  desp.m.ik[centro.negocio], $B$79,
  desp.m.ik[mes], "&gt;="&amp;H$1,
  desp.m.ik[mes], "&lt;"&amp;EOMONTH(H$1,0)+1
)</f>
        <v>0</v>
      </c>
      <c r="I82" s="183">
        <f ca="1">-SUMIFS(
  desp.m.ik[valor],
  desp.m.ik[nucleo], $B82,
  desp.m.ik[centro.negocio], $B$79,
  desp.m.ik[mes], "&gt;="&amp;I$1,
  desp.m.ik[mes], "&lt;"&amp;EOMONTH(I$1,0)+1
)</f>
        <v>0</v>
      </c>
      <c r="J82" s="183">
        <f ca="1">-SUMIFS(
  desp.m.ik[valor],
  desp.m.ik[nucleo], $B82,
  desp.m.ik[centro.negocio], $B$79,
  desp.m.ik[mes], "&gt;="&amp;J$1,
  desp.m.ik[mes], "&lt;"&amp;EOMONTH(J$1,0)+1
)</f>
        <v>0</v>
      </c>
      <c r="K82" s="183">
        <f ca="1">-SUMIFS(
  desp.m.ik[valor],
  desp.m.ik[nucleo], $B82,
  desp.m.ik[centro.negocio], $B$79,
  desp.m.ik[mes], "&gt;="&amp;K$1,
  desp.m.ik[mes], "&lt;"&amp;EOMONTH(K$1,0)+1
)</f>
        <v>0</v>
      </c>
      <c r="L82" s="183">
        <f ca="1">-SUMIFS(
  desp.m.ik[valor],
  desp.m.ik[nucleo], $B82,
  desp.m.ik[centro.negocio], $B$79,
  desp.m.ik[mes], "&gt;="&amp;L$1,
  desp.m.ik[mes], "&lt;"&amp;EOMONTH(L$1,0)+1
)</f>
        <v>0</v>
      </c>
      <c r="M82" s="183">
        <f ca="1">-SUMIFS(
  desp.m.ik[valor],
  desp.m.ik[nucleo], $B82,
  desp.m.ik[centro.negocio], $B$79,
  desp.m.ik[mes], "&gt;="&amp;M$1,
  desp.m.ik[mes], "&lt;"&amp;EOMONTH(M$1,0)+1
)</f>
        <v>0</v>
      </c>
      <c r="N82" s="183">
        <f ca="1">-SUMIFS(
  desp.m.ik[valor],
  desp.m.ik[nucleo], $B82,
  desp.m.ik[centro.negocio], $B$79,
  desp.m.ik[mes], "&gt;="&amp;N$1,
  desp.m.ik[mes], "&lt;"&amp;EOMONTH(N$1,0)+1
)</f>
        <v>0</v>
      </c>
      <c r="O82" s="183">
        <f ca="1">-SUMIFS(
  desp.m.ik[valor],
  desp.m.ik[nucleo], $B82,
  desp.m.ik[centro.negocio], $B$79,
  desp.m.ik[mes], "&gt;="&amp;O$1,
  desp.m.ik[mes], "&lt;"&amp;EOMONTH(O$1,0)+1
)</f>
        <v>0</v>
      </c>
      <c r="P82" s="183">
        <f ca="1">-SUMIFS(
  desp.m.ik[valor],
  desp.m.ik[nucleo], $B82,
  desp.m.ik[centro.negocio], $B$79,
  desp.m.ik[mes], "&gt;="&amp;P$1,
  desp.m.ik[mes], "&lt;"&amp;EOMONTH(P$1,0)+1
)</f>
        <v>0</v>
      </c>
      <c r="Q82" s="183">
        <f ca="1">-SUMIFS(
  desp.m.ik[valor],
  desp.m.ik[nucleo], $B82,
  desp.m.ik[centro.negocio], $B$79,
  desp.m.ik[mes], "&gt;="&amp;Q$1,
  desp.m.ik[mes], "&lt;"&amp;EOMONTH(Q$1,0)+1
)</f>
        <v>0</v>
      </c>
      <c r="R82" s="183">
        <f ca="1">-SUMIFS(
  desp.m.ik[valor],
  desp.m.ik[nucleo], $B82,
  desp.m.ik[centro.negocio], $B$79,
  desp.m.ik[mes], "&gt;="&amp;R$1,
  desp.m.ik[mes], "&lt;"&amp;EOMONTH(R$1,0)+1
)</f>
        <v>0</v>
      </c>
      <c r="S82" s="183">
        <f ca="1">-SUMIFS(
  desp.m.ik[valor],
  desp.m.ik[nucleo], $B82,
  desp.m.ik[centro.negocio], $B$79,
  desp.m.ik[mes], "&gt;="&amp;S$1,
  desp.m.ik[mes], "&lt;"&amp;EOMONTH(S$1,0)+1
)</f>
        <v>0</v>
      </c>
      <c r="T82" s="183">
        <f ca="1">-SUMIFS(
  desp.m.ik[valor],
  desp.m.ik[nucleo], $B82,
  desp.m.ik[centro.negocio], $B$79,
  desp.m.ik[mes], "&gt;="&amp;T$1,
  desp.m.ik[mes], "&lt;"&amp;EOMONTH(T$1,0)+1
)</f>
        <v>0</v>
      </c>
      <c r="U82" s="183">
        <f ca="1">-SUMIFS(
  desp.m.ik[valor],
  desp.m.ik[nucleo], $B82,
  desp.m.ik[centro.negocio], $B$79,
  desp.m.ik[mes], "&gt;="&amp;U$1,
  desp.m.ik[mes], "&lt;"&amp;EOMONTH(U$1,0)+1
)</f>
        <v>0</v>
      </c>
      <c r="V82" s="183">
        <f ca="1">-SUMIFS(
  desp.m.ik[valor],
  desp.m.ik[nucleo], $B82,
  desp.m.ik[centro.negocio], $B$79,
  desp.m.ik[mes], "&gt;="&amp;V$1,
  desp.m.ik[mes], "&lt;"&amp;EOMONTH(V$1,0)+1
)</f>
        <v>0</v>
      </c>
      <c r="W82" s="183">
        <f ca="1">-SUMIFS(
  desp.m.ik[valor],
  desp.m.ik[nucleo], $B82,
  desp.m.ik[centro.negocio], $B$79,
  desp.m.ik[mes], "&gt;="&amp;W$1,
  desp.m.ik[mes], "&lt;"&amp;EOMONTH(W$1,0)+1
)</f>
        <v>0</v>
      </c>
      <c r="X82" s="183">
        <f ca="1">-SUMIFS(
  desp.m.ik[valor],
  desp.m.ik[nucleo], $B82,
  desp.m.ik[centro.negocio], $B$79,
  desp.m.ik[mes], "&gt;="&amp;X$1,
  desp.m.ik[mes], "&lt;"&amp;EOMONTH(X$1,0)+1
)</f>
        <v>0</v>
      </c>
      <c r="Y82" s="183">
        <f ca="1">-SUMIFS(
  desp.m.ik[valor],
  desp.m.ik[nucleo], $B82,
  desp.m.ik[centro.negocio], $B$79,
  desp.m.ik[mes], "&gt;="&amp;Y$1,
  desp.m.ik[mes], "&lt;"&amp;EOMONTH(Y$1,0)+1
)</f>
        <v>0</v>
      </c>
      <c r="Z82" s="183">
        <f ca="1">-SUMIFS(
  desp.m.ik[valor],
  desp.m.ik[nucleo], $B82,
  desp.m.ik[centro.negocio], $B$79,
  desp.m.ik[mes], "&gt;="&amp;Z$1,
  desp.m.ik[mes], "&lt;"&amp;EOMONTH(Z$1,0)+1
)</f>
        <v>0</v>
      </c>
      <c r="AA82" s="183">
        <f ca="1">-SUMIFS(
  desp.m.ik[valor],
  desp.m.ik[nucleo], $B82,
  desp.m.ik[centro.negocio], $B$79,
  desp.m.ik[mes], "&gt;="&amp;AA$1,
  desp.m.ik[mes], "&lt;"&amp;EOMONTH(AA$1,0)+1
)</f>
        <v>0</v>
      </c>
      <c r="AC82" s="175">
        <f ca="1">SUM($D82:INDEX($D82:$AA82,1,MATCH(DATE(YEAR(inputs!$A$1),MONTH(inputs!$A$1),1),$D$1:$AA$1,0)))</f>
        <v>0</v>
      </c>
      <c r="AE82" s="175">
        <f t="shared" ca="1" si="20"/>
        <v>0</v>
      </c>
    </row>
    <row r="83" spans="1:31" outlineLevel="1" x14ac:dyDescent="0.25">
      <c r="A83" s="179" t="s">
        <v>560</v>
      </c>
      <c r="B83" s="179" t="s">
        <v>374</v>
      </c>
      <c r="C83" s="180" t="s">
        <v>514</v>
      </c>
      <c r="D83" s="181">
        <f t="shared" ref="D83:AA83" ca="1" si="21">SUM(D$84:D$87)</f>
        <v>0</v>
      </c>
      <c r="E83" s="181">
        <f t="shared" ca="1" si="21"/>
        <v>0</v>
      </c>
      <c r="F83" s="181">
        <f t="shared" ca="1" si="21"/>
        <v>0</v>
      </c>
      <c r="G83" s="181">
        <f t="shared" ca="1" si="21"/>
        <v>0</v>
      </c>
      <c r="H83" s="181">
        <f t="shared" ca="1" si="21"/>
        <v>0</v>
      </c>
      <c r="I83" s="181">
        <f t="shared" ca="1" si="21"/>
        <v>0</v>
      </c>
      <c r="J83" s="181">
        <f t="shared" ca="1" si="21"/>
        <v>0</v>
      </c>
      <c r="K83" s="181">
        <f t="shared" ca="1" si="21"/>
        <v>0</v>
      </c>
      <c r="L83" s="181">
        <f t="shared" ca="1" si="21"/>
        <v>0</v>
      </c>
      <c r="M83" s="181">
        <f t="shared" ca="1" si="21"/>
        <v>0</v>
      </c>
      <c r="N83" s="181">
        <f t="shared" ca="1" si="21"/>
        <v>0</v>
      </c>
      <c r="O83" s="181">
        <f t="shared" ca="1" si="21"/>
        <v>0</v>
      </c>
      <c r="P83" s="181">
        <f t="shared" ca="1" si="21"/>
        <v>0</v>
      </c>
      <c r="Q83" s="181">
        <f t="shared" ca="1" si="21"/>
        <v>0</v>
      </c>
      <c r="R83" s="181">
        <f t="shared" ca="1" si="21"/>
        <v>0</v>
      </c>
      <c r="S83" s="181">
        <f t="shared" ca="1" si="21"/>
        <v>0</v>
      </c>
      <c r="T83" s="181">
        <f t="shared" ca="1" si="21"/>
        <v>0</v>
      </c>
      <c r="U83" s="181">
        <f t="shared" ca="1" si="21"/>
        <v>0</v>
      </c>
      <c r="V83" s="181">
        <f t="shared" ca="1" si="21"/>
        <v>0</v>
      </c>
      <c r="W83" s="181">
        <f t="shared" ca="1" si="21"/>
        <v>0</v>
      </c>
      <c r="X83" s="181">
        <f t="shared" ca="1" si="21"/>
        <v>0</v>
      </c>
      <c r="Y83" s="181">
        <f t="shared" ca="1" si="21"/>
        <v>0</v>
      </c>
      <c r="Z83" s="181">
        <f t="shared" ca="1" si="21"/>
        <v>0</v>
      </c>
      <c r="AA83" s="181">
        <f t="shared" ca="1" si="21"/>
        <v>0</v>
      </c>
      <c r="AC83" s="275">
        <f ca="1">SUM($D83:INDEX($D83:$AA83,1,MATCH(DATE(YEAR(inputs!$A$1),MONTH(inputs!$A$1),1),$D$1:$AA$1,0)))</f>
        <v>0</v>
      </c>
      <c r="AE83" s="275">
        <f t="shared" ca="1" si="20"/>
        <v>0</v>
      </c>
    </row>
    <row r="84" spans="1:31" outlineLevel="2" x14ac:dyDescent="0.25">
      <c r="A84" s="182" t="s">
        <v>1004</v>
      </c>
      <c r="B84" s="182" t="s">
        <v>537</v>
      </c>
      <c r="C84" s="135" t="s">
        <v>514</v>
      </c>
      <c r="D84" s="183">
        <f ca="1">-SUMIFS(
  desp.m.ik[valor],
  desp.m.ik[nucleo], $B84,
  desp.m.ik[centro.negocio], $B$83,
  desp.m.ik[mes], "&gt;="&amp;D$1,
  desp.m.ik[mes], "&lt;"&amp;EOMONTH(D$1,0)+1
)</f>
        <v>0</v>
      </c>
      <c r="E84" s="183">
        <f ca="1">-SUMIFS(
  desp.m.ik[valor],
  desp.m.ik[nucleo], $B84,
  desp.m.ik[centro.negocio], $B$83,
  desp.m.ik[mes], "&gt;="&amp;E$1,
  desp.m.ik[mes], "&lt;"&amp;EOMONTH(E$1,0)+1
)</f>
        <v>0</v>
      </c>
      <c r="F84" s="183">
        <f ca="1">-SUMIFS(
  desp.m.ik[valor],
  desp.m.ik[nucleo], $B84,
  desp.m.ik[centro.negocio], $B$83,
  desp.m.ik[mes], "&gt;="&amp;F$1,
  desp.m.ik[mes], "&lt;"&amp;EOMONTH(F$1,0)+1
)</f>
        <v>0</v>
      </c>
      <c r="G84" s="183">
        <f ca="1">-SUMIFS(
  desp.m.ik[valor],
  desp.m.ik[nucleo], $B84,
  desp.m.ik[centro.negocio], $B$83,
  desp.m.ik[mes], "&gt;="&amp;G$1,
  desp.m.ik[mes], "&lt;"&amp;EOMONTH(G$1,0)+1
)</f>
        <v>0</v>
      </c>
      <c r="H84" s="183">
        <f ca="1">-SUMIFS(
  desp.m.ik[valor],
  desp.m.ik[nucleo], $B84,
  desp.m.ik[centro.negocio], $B$83,
  desp.m.ik[mes], "&gt;="&amp;H$1,
  desp.m.ik[mes], "&lt;"&amp;EOMONTH(H$1,0)+1
)</f>
        <v>0</v>
      </c>
      <c r="I84" s="183">
        <f ca="1">-SUMIFS(
  desp.m.ik[valor],
  desp.m.ik[nucleo], $B84,
  desp.m.ik[centro.negocio], $B$83,
  desp.m.ik[mes], "&gt;="&amp;I$1,
  desp.m.ik[mes], "&lt;"&amp;EOMONTH(I$1,0)+1
)</f>
        <v>0</v>
      </c>
      <c r="J84" s="183">
        <f ca="1">-SUMIFS(
  desp.m.ik[valor],
  desp.m.ik[nucleo], $B84,
  desp.m.ik[centro.negocio], $B$83,
  desp.m.ik[mes], "&gt;="&amp;J$1,
  desp.m.ik[mes], "&lt;"&amp;EOMONTH(J$1,0)+1
)</f>
        <v>0</v>
      </c>
      <c r="K84" s="183">
        <f ca="1">-SUMIFS(
  desp.m.ik[valor],
  desp.m.ik[nucleo], $B84,
  desp.m.ik[centro.negocio], $B$83,
  desp.m.ik[mes], "&gt;="&amp;K$1,
  desp.m.ik[mes], "&lt;"&amp;EOMONTH(K$1,0)+1
)</f>
        <v>0</v>
      </c>
      <c r="L84" s="183">
        <f ca="1">-SUMIFS(
  desp.m.ik[valor],
  desp.m.ik[nucleo], $B84,
  desp.m.ik[centro.negocio], $B$83,
  desp.m.ik[mes], "&gt;="&amp;L$1,
  desp.m.ik[mes], "&lt;"&amp;EOMONTH(L$1,0)+1
)</f>
        <v>0</v>
      </c>
      <c r="M84" s="183">
        <f ca="1">-SUMIFS(
  desp.m.ik[valor],
  desp.m.ik[nucleo], $B84,
  desp.m.ik[centro.negocio], $B$83,
  desp.m.ik[mes], "&gt;="&amp;M$1,
  desp.m.ik[mes], "&lt;"&amp;EOMONTH(M$1,0)+1
)</f>
        <v>0</v>
      </c>
      <c r="N84" s="183">
        <f ca="1">-SUMIFS(
  desp.m.ik[valor],
  desp.m.ik[nucleo], $B84,
  desp.m.ik[centro.negocio], $B$83,
  desp.m.ik[mes], "&gt;="&amp;N$1,
  desp.m.ik[mes], "&lt;"&amp;EOMONTH(N$1,0)+1
)</f>
        <v>0</v>
      </c>
      <c r="O84" s="183">
        <f ca="1">-SUMIFS(
  desp.m.ik[valor],
  desp.m.ik[nucleo], $B84,
  desp.m.ik[centro.negocio], $B$83,
  desp.m.ik[mes], "&gt;="&amp;O$1,
  desp.m.ik[mes], "&lt;"&amp;EOMONTH(O$1,0)+1
)</f>
        <v>0</v>
      </c>
      <c r="P84" s="183">
        <f ca="1">-SUMIFS(
  desp.m.ik[valor],
  desp.m.ik[nucleo], $B84,
  desp.m.ik[centro.negocio], $B$83,
  desp.m.ik[mes], "&gt;="&amp;P$1,
  desp.m.ik[mes], "&lt;"&amp;EOMONTH(P$1,0)+1
)</f>
        <v>0</v>
      </c>
      <c r="Q84" s="183">
        <f ca="1">-SUMIFS(
  desp.m.ik[valor],
  desp.m.ik[nucleo], $B84,
  desp.m.ik[centro.negocio], $B$83,
  desp.m.ik[mes], "&gt;="&amp;Q$1,
  desp.m.ik[mes], "&lt;"&amp;EOMONTH(Q$1,0)+1
)</f>
        <v>0</v>
      </c>
      <c r="R84" s="183">
        <f ca="1">-SUMIFS(
  desp.m.ik[valor],
  desp.m.ik[nucleo], $B84,
  desp.m.ik[centro.negocio], $B$83,
  desp.m.ik[mes], "&gt;="&amp;R$1,
  desp.m.ik[mes], "&lt;"&amp;EOMONTH(R$1,0)+1
)</f>
        <v>0</v>
      </c>
      <c r="S84" s="183">
        <f ca="1">-SUMIFS(
  desp.m.ik[valor],
  desp.m.ik[nucleo], $B84,
  desp.m.ik[centro.negocio], $B$83,
  desp.m.ik[mes], "&gt;="&amp;S$1,
  desp.m.ik[mes], "&lt;"&amp;EOMONTH(S$1,0)+1
)</f>
        <v>0</v>
      </c>
      <c r="T84" s="183">
        <f ca="1">-SUMIFS(
  desp.m.ik[valor],
  desp.m.ik[nucleo], $B84,
  desp.m.ik[centro.negocio], $B$83,
  desp.m.ik[mes], "&gt;="&amp;T$1,
  desp.m.ik[mes], "&lt;"&amp;EOMONTH(T$1,0)+1
)</f>
        <v>0</v>
      </c>
      <c r="U84" s="183">
        <f ca="1">-SUMIFS(
  desp.m.ik[valor],
  desp.m.ik[nucleo], $B84,
  desp.m.ik[centro.negocio], $B$83,
  desp.m.ik[mes], "&gt;="&amp;U$1,
  desp.m.ik[mes], "&lt;"&amp;EOMONTH(U$1,0)+1
)</f>
        <v>0</v>
      </c>
      <c r="V84" s="183">
        <f ca="1">-SUMIFS(
  desp.m.ik[valor],
  desp.m.ik[nucleo], $B84,
  desp.m.ik[centro.negocio], $B$83,
  desp.m.ik[mes], "&gt;="&amp;V$1,
  desp.m.ik[mes], "&lt;"&amp;EOMONTH(V$1,0)+1
)</f>
        <v>0</v>
      </c>
      <c r="W84" s="183">
        <f ca="1">-SUMIFS(
  desp.m.ik[valor],
  desp.m.ik[nucleo], $B84,
  desp.m.ik[centro.negocio], $B$83,
  desp.m.ik[mes], "&gt;="&amp;W$1,
  desp.m.ik[mes], "&lt;"&amp;EOMONTH(W$1,0)+1
)</f>
        <v>0</v>
      </c>
      <c r="X84" s="183">
        <f ca="1">-SUMIFS(
  desp.m.ik[valor],
  desp.m.ik[nucleo], $B84,
  desp.m.ik[centro.negocio], $B$83,
  desp.m.ik[mes], "&gt;="&amp;X$1,
  desp.m.ik[mes], "&lt;"&amp;EOMONTH(X$1,0)+1
)</f>
        <v>0</v>
      </c>
      <c r="Y84" s="183">
        <f ca="1">-SUMIFS(
  desp.m.ik[valor],
  desp.m.ik[nucleo], $B84,
  desp.m.ik[centro.negocio], $B$83,
  desp.m.ik[mes], "&gt;="&amp;Y$1,
  desp.m.ik[mes], "&lt;"&amp;EOMONTH(Y$1,0)+1
)</f>
        <v>0</v>
      </c>
      <c r="Z84" s="183">
        <f ca="1">-SUMIFS(
  desp.m.ik[valor],
  desp.m.ik[nucleo], $B84,
  desp.m.ik[centro.negocio], $B$83,
  desp.m.ik[mes], "&gt;="&amp;Z$1,
  desp.m.ik[mes], "&lt;"&amp;EOMONTH(Z$1,0)+1
)</f>
        <v>0</v>
      </c>
      <c r="AA84" s="183">
        <f ca="1">-SUMIFS(
  desp.m.ik[valor],
  desp.m.ik[nucleo], $B84,
  desp.m.ik[centro.negocio], $B$83,
  desp.m.ik[mes], "&gt;="&amp;AA$1,
  desp.m.ik[mes], "&lt;"&amp;EOMONTH(AA$1,0)+1
)</f>
        <v>0</v>
      </c>
      <c r="AC84" s="175">
        <f ca="1">SUM($D84:INDEX($D84:$AA84,1,MATCH(DATE(YEAR(inputs!$A$1),MONTH(inputs!$A$1),1),$D$1:$AA$1,0)))</f>
        <v>0</v>
      </c>
      <c r="AE84" s="175">
        <f t="shared" ca="1" si="20"/>
        <v>0</v>
      </c>
    </row>
    <row r="85" spans="1:31" outlineLevel="2" x14ac:dyDescent="0.25">
      <c r="A85" s="182" t="s">
        <v>1005</v>
      </c>
      <c r="B85" s="182" t="s">
        <v>541</v>
      </c>
      <c r="C85" s="135" t="s">
        <v>514</v>
      </c>
      <c r="D85" s="183">
        <f ca="1">-SUMIFS(
  desp.m.ik[valor],
  desp.m.ik[nucleo], $B85,
  desp.m.ik[centro.negocio], $B$83,
  desp.m.ik[mes], "&gt;="&amp;D$1,
  desp.m.ik[mes], "&lt;"&amp;EOMONTH(D$1,0)+1
)</f>
        <v>0</v>
      </c>
      <c r="E85" s="183">
        <f ca="1">-SUMIFS(
  desp.m.ik[valor],
  desp.m.ik[nucleo], $B85,
  desp.m.ik[centro.negocio], $B$83,
  desp.m.ik[mes], "&gt;="&amp;E$1,
  desp.m.ik[mes], "&lt;"&amp;EOMONTH(E$1,0)+1
)</f>
        <v>0</v>
      </c>
      <c r="F85" s="183">
        <f ca="1">-SUMIFS(
  desp.m.ik[valor],
  desp.m.ik[nucleo], $B85,
  desp.m.ik[centro.negocio], $B$83,
  desp.m.ik[mes], "&gt;="&amp;F$1,
  desp.m.ik[mes], "&lt;"&amp;EOMONTH(F$1,0)+1
)</f>
        <v>0</v>
      </c>
      <c r="G85" s="183">
        <f ca="1">-SUMIFS(
  desp.m.ik[valor],
  desp.m.ik[nucleo], $B85,
  desp.m.ik[centro.negocio], $B$83,
  desp.m.ik[mes], "&gt;="&amp;G$1,
  desp.m.ik[mes], "&lt;"&amp;EOMONTH(G$1,0)+1
)</f>
        <v>0</v>
      </c>
      <c r="H85" s="183">
        <f ca="1">-SUMIFS(
  desp.m.ik[valor],
  desp.m.ik[nucleo], $B85,
  desp.m.ik[centro.negocio], $B$83,
  desp.m.ik[mes], "&gt;="&amp;H$1,
  desp.m.ik[mes], "&lt;"&amp;EOMONTH(H$1,0)+1
)</f>
        <v>0</v>
      </c>
      <c r="I85" s="183">
        <f ca="1">-SUMIFS(
  desp.m.ik[valor],
  desp.m.ik[nucleo], $B85,
  desp.m.ik[centro.negocio], $B$83,
  desp.m.ik[mes], "&gt;="&amp;I$1,
  desp.m.ik[mes], "&lt;"&amp;EOMONTH(I$1,0)+1
)</f>
        <v>0</v>
      </c>
      <c r="J85" s="183">
        <f ca="1">-SUMIFS(
  desp.m.ik[valor],
  desp.m.ik[nucleo], $B85,
  desp.m.ik[centro.negocio], $B$83,
  desp.m.ik[mes], "&gt;="&amp;J$1,
  desp.m.ik[mes], "&lt;"&amp;EOMONTH(J$1,0)+1
)</f>
        <v>0</v>
      </c>
      <c r="K85" s="183">
        <f ca="1">-SUMIFS(
  desp.m.ik[valor],
  desp.m.ik[nucleo], $B85,
  desp.m.ik[centro.negocio], $B$83,
  desp.m.ik[mes], "&gt;="&amp;K$1,
  desp.m.ik[mes], "&lt;"&amp;EOMONTH(K$1,0)+1
)</f>
        <v>0</v>
      </c>
      <c r="L85" s="183">
        <f ca="1">-SUMIFS(
  desp.m.ik[valor],
  desp.m.ik[nucleo], $B85,
  desp.m.ik[centro.negocio], $B$83,
  desp.m.ik[mes], "&gt;="&amp;L$1,
  desp.m.ik[mes], "&lt;"&amp;EOMONTH(L$1,0)+1
)</f>
        <v>0</v>
      </c>
      <c r="M85" s="183">
        <f ca="1">-SUMIFS(
  desp.m.ik[valor],
  desp.m.ik[nucleo], $B85,
  desp.m.ik[centro.negocio], $B$83,
  desp.m.ik[mes], "&gt;="&amp;M$1,
  desp.m.ik[mes], "&lt;"&amp;EOMONTH(M$1,0)+1
)</f>
        <v>0</v>
      </c>
      <c r="N85" s="183">
        <f ca="1">-SUMIFS(
  desp.m.ik[valor],
  desp.m.ik[nucleo], $B85,
  desp.m.ik[centro.negocio], $B$83,
  desp.m.ik[mes], "&gt;="&amp;N$1,
  desp.m.ik[mes], "&lt;"&amp;EOMONTH(N$1,0)+1
)</f>
        <v>0</v>
      </c>
      <c r="O85" s="183">
        <f ca="1">-SUMIFS(
  desp.m.ik[valor],
  desp.m.ik[nucleo], $B85,
  desp.m.ik[centro.negocio], $B$83,
  desp.m.ik[mes], "&gt;="&amp;O$1,
  desp.m.ik[mes], "&lt;"&amp;EOMONTH(O$1,0)+1
)</f>
        <v>0</v>
      </c>
      <c r="P85" s="183">
        <f ca="1">-SUMIFS(
  desp.m.ik[valor],
  desp.m.ik[nucleo], $B85,
  desp.m.ik[centro.negocio], $B$83,
  desp.m.ik[mes], "&gt;="&amp;P$1,
  desp.m.ik[mes], "&lt;"&amp;EOMONTH(P$1,0)+1
)</f>
        <v>0</v>
      </c>
      <c r="Q85" s="183">
        <f ca="1">-SUMIFS(
  desp.m.ik[valor],
  desp.m.ik[nucleo], $B85,
  desp.m.ik[centro.negocio], $B$83,
  desp.m.ik[mes], "&gt;="&amp;Q$1,
  desp.m.ik[mes], "&lt;"&amp;EOMONTH(Q$1,0)+1
)</f>
        <v>0</v>
      </c>
      <c r="R85" s="183">
        <f ca="1">-SUMIFS(
  desp.m.ik[valor],
  desp.m.ik[nucleo], $B85,
  desp.m.ik[centro.negocio], $B$83,
  desp.m.ik[mes], "&gt;="&amp;R$1,
  desp.m.ik[mes], "&lt;"&amp;EOMONTH(R$1,0)+1
)</f>
        <v>0</v>
      </c>
      <c r="S85" s="183">
        <f ca="1">-SUMIFS(
  desp.m.ik[valor],
  desp.m.ik[nucleo], $B85,
  desp.m.ik[centro.negocio], $B$83,
  desp.m.ik[mes], "&gt;="&amp;S$1,
  desp.m.ik[mes], "&lt;"&amp;EOMONTH(S$1,0)+1
)</f>
        <v>0</v>
      </c>
      <c r="T85" s="183">
        <f ca="1">-SUMIFS(
  desp.m.ik[valor],
  desp.m.ik[nucleo], $B85,
  desp.m.ik[centro.negocio], $B$83,
  desp.m.ik[mes], "&gt;="&amp;T$1,
  desp.m.ik[mes], "&lt;"&amp;EOMONTH(T$1,0)+1
)</f>
        <v>0</v>
      </c>
      <c r="U85" s="183">
        <f ca="1">-SUMIFS(
  desp.m.ik[valor],
  desp.m.ik[nucleo], $B85,
  desp.m.ik[centro.negocio], $B$83,
  desp.m.ik[mes], "&gt;="&amp;U$1,
  desp.m.ik[mes], "&lt;"&amp;EOMONTH(U$1,0)+1
)</f>
        <v>0</v>
      </c>
      <c r="V85" s="183">
        <f ca="1">-SUMIFS(
  desp.m.ik[valor],
  desp.m.ik[nucleo], $B85,
  desp.m.ik[centro.negocio], $B$83,
  desp.m.ik[mes], "&gt;="&amp;V$1,
  desp.m.ik[mes], "&lt;"&amp;EOMONTH(V$1,0)+1
)</f>
        <v>0</v>
      </c>
      <c r="W85" s="183">
        <f ca="1">-SUMIFS(
  desp.m.ik[valor],
  desp.m.ik[nucleo], $B85,
  desp.m.ik[centro.negocio], $B$83,
  desp.m.ik[mes], "&gt;="&amp;W$1,
  desp.m.ik[mes], "&lt;"&amp;EOMONTH(W$1,0)+1
)</f>
        <v>0</v>
      </c>
      <c r="X85" s="183">
        <f ca="1">-SUMIFS(
  desp.m.ik[valor],
  desp.m.ik[nucleo], $B85,
  desp.m.ik[centro.negocio], $B$83,
  desp.m.ik[mes], "&gt;="&amp;X$1,
  desp.m.ik[mes], "&lt;"&amp;EOMONTH(X$1,0)+1
)</f>
        <v>0</v>
      </c>
      <c r="Y85" s="183">
        <f ca="1">-SUMIFS(
  desp.m.ik[valor],
  desp.m.ik[nucleo], $B85,
  desp.m.ik[centro.negocio], $B$83,
  desp.m.ik[mes], "&gt;="&amp;Y$1,
  desp.m.ik[mes], "&lt;"&amp;EOMONTH(Y$1,0)+1
)</f>
        <v>0</v>
      </c>
      <c r="Z85" s="183">
        <f ca="1">-SUMIFS(
  desp.m.ik[valor],
  desp.m.ik[nucleo], $B85,
  desp.m.ik[centro.negocio], $B$83,
  desp.m.ik[mes], "&gt;="&amp;Z$1,
  desp.m.ik[mes], "&lt;"&amp;EOMONTH(Z$1,0)+1
)</f>
        <v>0</v>
      </c>
      <c r="AA85" s="183">
        <f ca="1">-SUMIFS(
  desp.m.ik[valor],
  desp.m.ik[nucleo], $B85,
  desp.m.ik[centro.negocio], $B$83,
  desp.m.ik[mes], "&gt;="&amp;AA$1,
  desp.m.ik[mes], "&lt;"&amp;EOMONTH(AA$1,0)+1
)</f>
        <v>0</v>
      </c>
      <c r="AC85" s="175">
        <f ca="1">SUM($D85:INDEX($D85:$AA85,1,MATCH(DATE(YEAR(inputs!$A$1),MONTH(inputs!$A$1),1),$D$1:$AA$1,0)))</f>
        <v>0</v>
      </c>
      <c r="AE85" s="175">
        <f t="shared" ca="1" si="20"/>
        <v>0</v>
      </c>
    </row>
    <row r="86" spans="1:31" outlineLevel="2" x14ac:dyDescent="0.25">
      <c r="A86" s="182" t="s">
        <v>1006</v>
      </c>
      <c r="B86" s="182" t="s">
        <v>533</v>
      </c>
      <c r="C86" s="135" t="s">
        <v>514</v>
      </c>
      <c r="D86" s="183">
        <f ca="1">-SUMIFS(
  desp.m.ik[valor],
  desp.m.ik[nucleo], $B86,
  desp.m.ik[centro.negocio], $B$83,
  desp.m.ik[mes], "&gt;="&amp;D$1,
  desp.m.ik[mes], "&lt;"&amp;EOMONTH(D$1,0)+1
)</f>
        <v>0</v>
      </c>
      <c r="E86" s="183">
        <f ca="1">-SUMIFS(
  desp.m.ik[valor],
  desp.m.ik[nucleo], $B86,
  desp.m.ik[centro.negocio], $B$83,
  desp.m.ik[mes], "&gt;="&amp;E$1,
  desp.m.ik[mes], "&lt;"&amp;EOMONTH(E$1,0)+1
)</f>
        <v>0</v>
      </c>
      <c r="F86" s="183">
        <f ca="1">-SUMIFS(
  desp.m.ik[valor],
  desp.m.ik[nucleo], $B86,
  desp.m.ik[centro.negocio], $B$83,
  desp.m.ik[mes], "&gt;="&amp;F$1,
  desp.m.ik[mes], "&lt;"&amp;EOMONTH(F$1,0)+1
)</f>
        <v>0</v>
      </c>
      <c r="G86" s="183">
        <f ca="1">-SUMIFS(
  desp.m.ik[valor],
  desp.m.ik[nucleo], $B86,
  desp.m.ik[centro.negocio], $B$83,
  desp.m.ik[mes], "&gt;="&amp;G$1,
  desp.m.ik[mes], "&lt;"&amp;EOMONTH(G$1,0)+1
)</f>
        <v>0</v>
      </c>
      <c r="H86" s="183">
        <f ca="1">-SUMIFS(
  desp.m.ik[valor],
  desp.m.ik[nucleo], $B86,
  desp.m.ik[centro.negocio], $B$83,
  desp.m.ik[mes], "&gt;="&amp;H$1,
  desp.m.ik[mes], "&lt;"&amp;EOMONTH(H$1,0)+1
)</f>
        <v>0</v>
      </c>
      <c r="I86" s="183">
        <f ca="1">-SUMIFS(
  desp.m.ik[valor],
  desp.m.ik[nucleo], $B86,
  desp.m.ik[centro.negocio], $B$83,
  desp.m.ik[mes], "&gt;="&amp;I$1,
  desp.m.ik[mes], "&lt;"&amp;EOMONTH(I$1,0)+1
)</f>
        <v>0</v>
      </c>
      <c r="J86" s="183">
        <f ca="1">-SUMIFS(
  desp.m.ik[valor],
  desp.m.ik[nucleo], $B86,
  desp.m.ik[centro.negocio], $B$83,
  desp.m.ik[mes], "&gt;="&amp;J$1,
  desp.m.ik[mes], "&lt;"&amp;EOMONTH(J$1,0)+1
)</f>
        <v>0</v>
      </c>
      <c r="K86" s="183">
        <f ca="1">-SUMIFS(
  desp.m.ik[valor],
  desp.m.ik[nucleo], $B86,
  desp.m.ik[centro.negocio], $B$83,
  desp.m.ik[mes], "&gt;="&amp;K$1,
  desp.m.ik[mes], "&lt;"&amp;EOMONTH(K$1,0)+1
)</f>
        <v>0</v>
      </c>
      <c r="L86" s="183">
        <f ca="1">-SUMIFS(
  desp.m.ik[valor],
  desp.m.ik[nucleo], $B86,
  desp.m.ik[centro.negocio], $B$83,
  desp.m.ik[mes], "&gt;="&amp;L$1,
  desp.m.ik[mes], "&lt;"&amp;EOMONTH(L$1,0)+1
)</f>
        <v>0</v>
      </c>
      <c r="M86" s="183">
        <f ca="1">-SUMIFS(
  desp.m.ik[valor],
  desp.m.ik[nucleo], $B86,
  desp.m.ik[centro.negocio], $B$83,
  desp.m.ik[mes], "&gt;="&amp;M$1,
  desp.m.ik[mes], "&lt;"&amp;EOMONTH(M$1,0)+1
)</f>
        <v>0</v>
      </c>
      <c r="N86" s="183">
        <f ca="1">-SUMIFS(
  desp.m.ik[valor],
  desp.m.ik[nucleo], $B86,
  desp.m.ik[centro.negocio], $B$83,
  desp.m.ik[mes], "&gt;="&amp;N$1,
  desp.m.ik[mes], "&lt;"&amp;EOMONTH(N$1,0)+1
)</f>
        <v>0</v>
      </c>
      <c r="O86" s="183">
        <f ca="1">-SUMIFS(
  desp.m.ik[valor],
  desp.m.ik[nucleo], $B86,
  desp.m.ik[centro.negocio], $B$83,
  desp.m.ik[mes], "&gt;="&amp;O$1,
  desp.m.ik[mes], "&lt;"&amp;EOMONTH(O$1,0)+1
)</f>
        <v>0</v>
      </c>
      <c r="P86" s="183">
        <f ca="1">-SUMIFS(
  desp.m.ik[valor],
  desp.m.ik[nucleo], $B86,
  desp.m.ik[centro.negocio], $B$83,
  desp.m.ik[mes], "&gt;="&amp;P$1,
  desp.m.ik[mes], "&lt;"&amp;EOMONTH(P$1,0)+1
)</f>
        <v>0</v>
      </c>
      <c r="Q86" s="183">
        <f ca="1">-SUMIFS(
  desp.m.ik[valor],
  desp.m.ik[nucleo], $B86,
  desp.m.ik[centro.negocio], $B$83,
  desp.m.ik[mes], "&gt;="&amp;Q$1,
  desp.m.ik[mes], "&lt;"&amp;EOMONTH(Q$1,0)+1
)</f>
        <v>0</v>
      </c>
      <c r="R86" s="183">
        <f ca="1">-SUMIFS(
  desp.m.ik[valor],
  desp.m.ik[nucleo], $B86,
  desp.m.ik[centro.negocio], $B$83,
  desp.m.ik[mes], "&gt;="&amp;R$1,
  desp.m.ik[mes], "&lt;"&amp;EOMONTH(R$1,0)+1
)</f>
        <v>0</v>
      </c>
      <c r="S86" s="183">
        <f ca="1">-SUMIFS(
  desp.m.ik[valor],
  desp.m.ik[nucleo], $B86,
  desp.m.ik[centro.negocio], $B$83,
  desp.m.ik[mes], "&gt;="&amp;S$1,
  desp.m.ik[mes], "&lt;"&amp;EOMONTH(S$1,0)+1
)</f>
        <v>0</v>
      </c>
      <c r="T86" s="183">
        <f ca="1">-SUMIFS(
  desp.m.ik[valor],
  desp.m.ik[nucleo], $B86,
  desp.m.ik[centro.negocio], $B$83,
  desp.m.ik[mes], "&gt;="&amp;T$1,
  desp.m.ik[mes], "&lt;"&amp;EOMONTH(T$1,0)+1
)</f>
        <v>0</v>
      </c>
      <c r="U86" s="183">
        <f ca="1">-SUMIFS(
  desp.m.ik[valor],
  desp.m.ik[nucleo], $B86,
  desp.m.ik[centro.negocio], $B$83,
  desp.m.ik[mes], "&gt;="&amp;U$1,
  desp.m.ik[mes], "&lt;"&amp;EOMONTH(U$1,0)+1
)</f>
        <v>0</v>
      </c>
      <c r="V86" s="183">
        <f ca="1">-SUMIFS(
  desp.m.ik[valor],
  desp.m.ik[nucleo], $B86,
  desp.m.ik[centro.negocio], $B$83,
  desp.m.ik[mes], "&gt;="&amp;V$1,
  desp.m.ik[mes], "&lt;"&amp;EOMONTH(V$1,0)+1
)</f>
        <v>0</v>
      </c>
      <c r="W86" s="183">
        <f ca="1">-SUMIFS(
  desp.m.ik[valor],
  desp.m.ik[nucleo], $B86,
  desp.m.ik[centro.negocio], $B$83,
  desp.m.ik[mes], "&gt;="&amp;W$1,
  desp.m.ik[mes], "&lt;"&amp;EOMONTH(W$1,0)+1
)</f>
        <v>0</v>
      </c>
      <c r="X86" s="183">
        <f ca="1">-SUMIFS(
  desp.m.ik[valor],
  desp.m.ik[nucleo], $B86,
  desp.m.ik[centro.negocio], $B$83,
  desp.m.ik[mes], "&gt;="&amp;X$1,
  desp.m.ik[mes], "&lt;"&amp;EOMONTH(X$1,0)+1
)</f>
        <v>0</v>
      </c>
      <c r="Y86" s="183">
        <f ca="1">-SUMIFS(
  desp.m.ik[valor],
  desp.m.ik[nucleo], $B86,
  desp.m.ik[centro.negocio], $B$83,
  desp.m.ik[mes], "&gt;="&amp;Y$1,
  desp.m.ik[mes], "&lt;"&amp;EOMONTH(Y$1,0)+1
)</f>
        <v>0</v>
      </c>
      <c r="Z86" s="183">
        <f ca="1">-SUMIFS(
  desp.m.ik[valor],
  desp.m.ik[nucleo], $B86,
  desp.m.ik[centro.negocio], $B$83,
  desp.m.ik[mes], "&gt;="&amp;Z$1,
  desp.m.ik[mes], "&lt;"&amp;EOMONTH(Z$1,0)+1
)</f>
        <v>0</v>
      </c>
      <c r="AA86" s="183">
        <f ca="1">-SUMIFS(
  desp.m.ik[valor],
  desp.m.ik[nucleo], $B86,
  desp.m.ik[centro.negocio], $B$83,
  desp.m.ik[mes], "&gt;="&amp;AA$1,
  desp.m.ik[mes], "&lt;"&amp;EOMONTH(AA$1,0)+1
)</f>
        <v>0</v>
      </c>
      <c r="AC86" s="175">
        <f ca="1">SUM($D86:INDEX($D86:$AA86,1,MATCH(DATE(YEAR(inputs!$A$1),MONTH(inputs!$A$1),1),$D$1:$AA$1,0)))</f>
        <v>0</v>
      </c>
      <c r="AE86" s="175">
        <f t="shared" ca="1" si="20"/>
        <v>0</v>
      </c>
    </row>
    <row r="87" spans="1:31" outlineLevel="2" x14ac:dyDescent="0.25">
      <c r="A87" s="182" t="s">
        <v>1007</v>
      </c>
      <c r="B87" s="182" t="s">
        <v>539</v>
      </c>
      <c r="C87" s="135" t="s">
        <v>514</v>
      </c>
      <c r="D87" s="183">
        <f ca="1">-SUMIFS(
  desp.m.ik[valor],
  desp.m.ik[nucleo], $B87,
  desp.m.ik[centro.negocio], $B$83,
  desp.m.ik[mes], "&gt;="&amp;D$1,
  desp.m.ik[mes], "&lt;"&amp;EOMONTH(D$1,0)+1
)</f>
        <v>0</v>
      </c>
      <c r="E87" s="183">
        <f ca="1">-SUMIFS(
  desp.m.ik[valor],
  desp.m.ik[nucleo], $B87,
  desp.m.ik[centro.negocio], $B$83,
  desp.m.ik[mes], "&gt;="&amp;E$1,
  desp.m.ik[mes], "&lt;"&amp;EOMONTH(E$1,0)+1
)</f>
        <v>0</v>
      </c>
      <c r="F87" s="183">
        <f ca="1">-SUMIFS(
  desp.m.ik[valor],
  desp.m.ik[nucleo], $B87,
  desp.m.ik[centro.negocio], $B$83,
  desp.m.ik[mes], "&gt;="&amp;F$1,
  desp.m.ik[mes], "&lt;"&amp;EOMONTH(F$1,0)+1
)</f>
        <v>0</v>
      </c>
      <c r="G87" s="183">
        <f ca="1">-SUMIFS(
  desp.m.ik[valor],
  desp.m.ik[nucleo], $B87,
  desp.m.ik[centro.negocio], $B$83,
  desp.m.ik[mes], "&gt;="&amp;G$1,
  desp.m.ik[mes], "&lt;"&amp;EOMONTH(G$1,0)+1
)</f>
        <v>0</v>
      </c>
      <c r="H87" s="183">
        <f ca="1">-SUMIFS(
  desp.m.ik[valor],
  desp.m.ik[nucleo], $B87,
  desp.m.ik[centro.negocio], $B$83,
  desp.m.ik[mes], "&gt;="&amp;H$1,
  desp.m.ik[mes], "&lt;"&amp;EOMONTH(H$1,0)+1
)</f>
        <v>0</v>
      </c>
      <c r="I87" s="183">
        <f ca="1">-SUMIFS(
  desp.m.ik[valor],
  desp.m.ik[nucleo], $B87,
  desp.m.ik[centro.negocio], $B$83,
  desp.m.ik[mes], "&gt;="&amp;I$1,
  desp.m.ik[mes], "&lt;"&amp;EOMONTH(I$1,0)+1
)</f>
        <v>0</v>
      </c>
      <c r="J87" s="183">
        <f ca="1">-SUMIFS(
  desp.m.ik[valor],
  desp.m.ik[nucleo], $B87,
  desp.m.ik[centro.negocio], $B$83,
  desp.m.ik[mes], "&gt;="&amp;J$1,
  desp.m.ik[mes], "&lt;"&amp;EOMONTH(J$1,0)+1
)</f>
        <v>0</v>
      </c>
      <c r="K87" s="183">
        <f ca="1">-SUMIFS(
  desp.m.ik[valor],
  desp.m.ik[nucleo], $B87,
  desp.m.ik[centro.negocio], $B$83,
  desp.m.ik[mes], "&gt;="&amp;K$1,
  desp.m.ik[mes], "&lt;"&amp;EOMONTH(K$1,0)+1
)</f>
        <v>0</v>
      </c>
      <c r="L87" s="183">
        <f ca="1">-SUMIFS(
  desp.m.ik[valor],
  desp.m.ik[nucleo], $B87,
  desp.m.ik[centro.negocio], $B$83,
  desp.m.ik[mes], "&gt;="&amp;L$1,
  desp.m.ik[mes], "&lt;"&amp;EOMONTH(L$1,0)+1
)</f>
        <v>0</v>
      </c>
      <c r="M87" s="183">
        <f ca="1">-SUMIFS(
  desp.m.ik[valor],
  desp.m.ik[nucleo], $B87,
  desp.m.ik[centro.negocio], $B$83,
  desp.m.ik[mes], "&gt;="&amp;M$1,
  desp.m.ik[mes], "&lt;"&amp;EOMONTH(M$1,0)+1
)</f>
        <v>0</v>
      </c>
      <c r="N87" s="183">
        <f ca="1">-SUMIFS(
  desp.m.ik[valor],
  desp.m.ik[nucleo], $B87,
  desp.m.ik[centro.negocio], $B$83,
  desp.m.ik[mes], "&gt;="&amp;N$1,
  desp.m.ik[mes], "&lt;"&amp;EOMONTH(N$1,0)+1
)</f>
        <v>0</v>
      </c>
      <c r="O87" s="183">
        <f ca="1">-SUMIFS(
  desp.m.ik[valor],
  desp.m.ik[nucleo], $B87,
  desp.m.ik[centro.negocio], $B$83,
  desp.m.ik[mes], "&gt;="&amp;O$1,
  desp.m.ik[mes], "&lt;"&amp;EOMONTH(O$1,0)+1
)</f>
        <v>0</v>
      </c>
      <c r="P87" s="183">
        <f ca="1">-SUMIFS(
  desp.m.ik[valor],
  desp.m.ik[nucleo], $B87,
  desp.m.ik[centro.negocio], $B$83,
  desp.m.ik[mes], "&gt;="&amp;P$1,
  desp.m.ik[mes], "&lt;"&amp;EOMONTH(P$1,0)+1
)</f>
        <v>0</v>
      </c>
      <c r="Q87" s="183">
        <f ca="1">-SUMIFS(
  desp.m.ik[valor],
  desp.m.ik[nucleo], $B87,
  desp.m.ik[centro.negocio], $B$83,
  desp.m.ik[mes], "&gt;="&amp;Q$1,
  desp.m.ik[mes], "&lt;"&amp;EOMONTH(Q$1,0)+1
)</f>
        <v>0</v>
      </c>
      <c r="R87" s="183">
        <f ca="1">-SUMIFS(
  desp.m.ik[valor],
  desp.m.ik[nucleo], $B87,
  desp.m.ik[centro.negocio], $B$83,
  desp.m.ik[mes], "&gt;="&amp;R$1,
  desp.m.ik[mes], "&lt;"&amp;EOMONTH(R$1,0)+1
)</f>
        <v>0</v>
      </c>
      <c r="S87" s="183">
        <f ca="1">-SUMIFS(
  desp.m.ik[valor],
  desp.m.ik[nucleo], $B87,
  desp.m.ik[centro.negocio], $B$83,
  desp.m.ik[mes], "&gt;="&amp;S$1,
  desp.m.ik[mes], "&lt;"&amp;EOMONTH(S$1,0)+1
)</f>
        <v>0</v>
      </c>
      <c r="T87" s="183">
        <f ca="1">-SUMIFS(
  desp.m.ik[valor],
  desp.m.ik[nucleo], $B87,
  desp.m.ik[centro.negocio], $B$83,
  desp.m.ik[mes], "&gt;="&amp;T$1,
  desp.m.ik[mes], "&lt;"&amp;EOMONTH(T$1,0)+1
)</f>
        <v>0</v>
      </c>
      <c r="U87" s="183">
        <f ca="1">-SUMIFS(
  desp.m.ik[valor],
  desp.m.ik[nucleo], $B87,
  desp.m.ik[centro.negocio], $B$83,
  desp.m.ik[mes], "&gt;="&amp;U$1,
  desp.m.ik[mes], "&lt;"&amp;EOMONTH(U$1,0)+1
)</f>
        <v>0</v>
      </c>
      <c r="V87" s="183">
        <f ca="1">-SUMIFS(
  desp.m.ik[valor],
  desp.m.ik[nucleo], $B87,
  desp.m.ik[centro.negocio], $B$83,
  desp.m.ik[mes], "&gt;="&amp;V$1,
  desp.m.ik[mes], "&lt;"&amp;EOMONTH(V$1,0)+1
)</f>
        <v>0</v>
      </c>
      <c r="W87" s="183">
        <f ca="1">-SUMIFS(
  desp.m.ik[valor],
  desp.m.ik[nucleo], $B87,
  desp.m.ik[centro.negocio], $B$83,
  desp.m.ik[mes], "&gt;="&amp;W$1,
  desp.m.ik[mes], "&lt;"&amp;EOMONTH(W$1,0)+1
)</f>
        <v>0</v>
      </c>
      <c r="X87" s="183">
        <f ca="1">-SUMIFS(
  desp.m.ik[valor],
  desp.m.ik[nucleo], $B87,
  desp.m.ik[centro.negocio], $B$83,
  desp.m.ik[mes], "&gt;="&amp;X$1,
  desp.m.ik[mes], "&lt;"&amp;EOMONTH(X$1,0)+1
)</f>
        <v>0</v>
      </c>
      <c r="Y87" s="183">
        <f ca="1">-SUMIFS(
  desp.m.ik[valor],
  desp.m.ik[nucleo], $B87,
  desp.m.ik[centro.negocio], $B$83,
  desp.m.ik[mes], "&gt;="&amp;Y$1,
  desp.m.ik[mes], "&lt;"&amp;EOMONTH(Y$1,0)+1
)</f>
        <v>0</v>
      </c>
      <c r="Z87" s="183">
        <f ca="1">-SUMIFS(
  desp.m.ik[valor],
  desp.m.ik[nucleo], $B87,
  desp.m.ik[centro.negocio], $B$83,
  desp.m.ik[mes], "&gt;="&amp;Z$1,
  desp.m.ik[mes], "&lt;"&amp;EOMONTH(Z$1,0)+1
)</f>
        <v>0</v>
      </c>
      <c r="AA87" s="183">
        <f ca="1">-SUMIFS(
  desp.m.ik[valor],
  desp.m.ik[nucleo], $B87,
  desp.m.ik[centro.negocio], $B$83,
  desp.m.ik[mes], "&gt;="&amp;AA$1,
  desp.m.ik[mes], "&lt;"&amp;EOMONTH(AA$1,0)+1
)</f>
        <v>0</v>
      </c>
      <c r="AC87" s="175">
        <f ca="1">SUM($D87:INDEX($D87:$AA87,1,MATCH(DATE(YEAR(inputs!$A$1),MONTH(inputs!$A$1),1),$D$1:$AA$1,0)))</f>
        <v>0</v>
      </c>
      <c r="AE87" s="175">
        <f t="shared" ca="1" si="20"/>
        <v>0</v>
      </c>
    </row>
    <row r="88" spans="1:31" outlineLevel="1" x14ac:dyDescent="0.25">
      <c r="A88" s="179" t="s">
        <v>563</v>
      </c>
      <c r="B88" s="179" t="s">
        <v>337</v>
      </c>
      <c r="C88" s="180" t="s">
        <v>514</v>
      </c>
      <c r="D88" s="181">
        <f t="shared" ref="D88:AA88" ca="1" si="22">SUM(D$89)</f>
        <v>0</v>
      </c>
      <c r="E88" s="181">
        <f t="shared" ca="1" si="22"/>
        <v>0</v>
      </c>
      <c r="F88" s="181">
        <f t="shared" ca="1" si="22"/>
        <v>0</v>
      </c>
      <c r="G88" s="181">
        <f t="shared" ca="1" si="22"/>
        <v>0</v>
      </c>
      <c r="H88" s="181">
        <f t="shared" ca="1" si="22"/>
        <v>0</v>
      </c>
      <c r="I88" s="181">
        <f t="shared" ca="1" si="22"/>
        <v>0</v>
      </c>
      <c r="J88" s="181">
        <f t="shared" ca="1" si="22"/>
        <v>0</v>
      </c>
      <c r="K88" s="181">
        <f t="shared" ca="1" si="22"/>
        <v>0</v>
      </c>
      <c r="L88" s="181">
        <f t="shared" ca="1" si="22"/>
        <v>0</v>
      </c>
      <c r="M88" s="181">
        <f t="shared" ca="1" si="22"/>
        <v>0</v>
      </c>
      <c r="N88" s="181">
        <f t="shared" ca="1" si="22"/>
        <v>0</v>
      </c>
      <c r="O88" s="181">
        <f t="shared" ca="1" si="22"/>
        <v>0</v>
      </c>
      <c r="P88" s="181">
        <f t="shared" ca="1" si="22"/>
        <v>0</v>
      </c>
      <c r="Q88" s="181">
        <f t="shared" ca="1" si="22"/>
        <v>0</v>
      </c>
      <c r="R88" s="181">
        <f t="shared" ca="1" si="22"/>
        <v>0</v>
      </c>
      <c r="S88" s="181">
        <f t="shared" ca="1" si="22"/>
        <v>0</v>
      </c>
      <c r="T88" s="181">
        <f t="shared" ca="1" si="22"/>
        <v>0</v>
      </c>
      <c r="U88" s="181">
        <f t="shared" ca="1" si="22"/>
        <v>0</v>
      </c>
      <c r="V88" s="181">
        <f t="shared" ca="1" si="22"/>
        <v>0</v>
      </c>
      <c r="W88" s="181">
        <f t="shared" ca="1" si="22"/>
        <v>0</v>
      </c>
      <c r="X88" s="181">
        <f t="shared" ca="1" si="22"/>
        <v>0</v>
      </c>
      <c r="Y88" s="181">
        <f t="shared" ca="1" si="22"/>
        <v>0</v>
      </c>
      <c r="Z88" s="181">
        <f t="shared" ca="1" si="22"/>
        <v>0</v>
      </c>
      <c r="AA88" s="181">
        <f t="shared" ca="1" si="22"/>
        <v>0</v>
      </c>
      <c r="AC88" s="275">
        <f ca="1">SUM($D88:INDEX($D88:$AA88,1,MATCH(DATE(YEAR(inputs!$A$1),MONTH(inputs!$A$1),1),$D$1:$AA$1,0)))</f>
        <v>0</v>
      </c>
      <c r="AE88" s="275">
        <f t="shared" ref="AE88:AE142" ca="1" si="23">SUM(D88:AA88)</f>
        <v>0</v>
      </c>
    </row>
    <row r="89" spans="1:31" outlineLevel="2" x14ac:dyDescent="0.25">
      <c r="A89" s="182" t="s">
        <v>960</v>
      </c>
      <c r="B89" s="182" t="s">
        <v>494</v>
      </c>
      <c r="C89" s="135" t="s">
        <v>514</v>
      </c>
      <c r="D89" s="183">
        <f ca="1">-SUMIFS(
  desp.m.ik[valor],
  desp.m.ik[nucleo], $B89,
  desp.m.ik[centro.negocio], $B$88,
  desp.m.ik[mes], "&gt;="&amp;D$1,
  desp.m.ik[mes], "&lt;"&amp;EOMONTH(D$1,0)+1
)</f>
        <v>0</v>
      </c>
      <c r="E89" s="183">
        <f ca="1">-SUMIFS(
  desp.m.ik[valor],
  desp.m.ik[nucleo], $B89,
  desp.m.ik[centro.negocio], $B$88,
  desp.m.ik[mes], "&gt;="&amp;E$1,
  desp.m.ik[mes], "&lt;"&amp;EOMONTH(E$1,0)+1
)</f>
        <v>0</v>
      </c>
      <c r="F89" s="183">
        <f ca="1">-SUMIFS(
  desp.m.ik[valor],
  desp.m.ik[nucleo], $B89,
  desp.m.ik[centro.negocio], $B$88,
  desp.m.ik[mes], "&gt;="&amp;F$1,
  desp.m.ik[mes], "&lt;"&amp;EOMONTH(F$1,0)+1
)</f>
        <v>0</v>
      </c>
      <c r="G89" s="183">
        <f ca="1">-SUMIFS(
  desp.m.ik[valor],
  desp.m.ik[nucleo], $B89,
  desp.m.ik[centro.negocio], $B$88,
  desp.m.ik[mes], "&gt;="&amp;G$1,
  desp.m.ik[mes], "&lt;"&amp;EOMONTH(G$1,0)+1
)</f>
        <v>0</v>
      </c>
      <c r="H89" s="183">
        <f ca="1">-SUMIFS(
  desp.m.ik[valor],
  desp.m.ik[nucleo], $B89,
  desp.m.ik[centro.negocio], $B$88,
  desp.m.ik[mes], "&gt;="&amp;H$1,
  desp.m.ik[mes], "&lt;"&amp;EOMONTH(H$1,0)+1
)</f>
        <v>0</v>
      </c>
      <c r="I89" s="183">
        <f ca="1">-SUMIFS(
  desp.m.ik[valor],
  desp.m.ik[nucleo], $B89,
  desp.m.ik[centro.negocio], $B$88,
  desp.m.ik[mes], "&gt;="&amp;I$1,
  desp.m.ik[mes], "&lt;"&amp;EOMONTH(I$1,0)+1
)</f>
        <v>0</v>
      </c>
      <c r="J89" s="183">
        <f ca="1">-SUMIFS(
  desp.m.ik[valor],
  desp.m.ik[nucleo], $B89,
  desp.m.ik[centro.negocio], $B$88,
  desp.m.ik[mes], "&gt;="&amp;J$1,
  desp.m.ik[mes], "&lt;"&amp;EOMONTH(J$1,0)+1
)</f>
        <v>0</v>
      </c>
      <c r="K89" s="183">
        <f ca="1">-SUMIFS(
  desp.m.ik[valor],
  desp.m.ik[nucleo], $B89,
  desp.m.ik[centro.negocio], $B$88,
  desp.m.ik[mes], "&gt;="&amp;K$1,
  desp.m.ik[mes], "&lt;"&amp;EOMONTH(K$1,0)+1
)</f>
        <v>0</v>
      </c>
      <c r="L89" s="183">
        <f ca="1">-SUMIFS(
  desp.m.ik[valor],
  desp.m.ik[nucleo], $B89,
  desp.m.ik[centro.negocio], $B$88,
  desp.m.ik[mes], "&gt;="&amp;L$1,
  desp.m.ik[mes], "&lt;"&amp;EOMONTH(L$1,0)+1
)</f>
        <v>0</v>
      </c>
      <c r="M89" s="183">
        <f ca="1">-SUMIFS(
  desp.m.ik[valor],
  desp.m.ik[nucleo], $B89,
  desp.m.ik[centro.negocio], $B$88,
  desp.m.ik[mes], "&gt;="&amp;M$1,
  desp.m.ik[mes], "&lt;"&amp;EOMONTH(M$1,0)+1
)</f>
        <v>0</v>
      </c>
      <c r="N89" s="183">
        <f ca="1">-SUMIFS(
  desp.m.ik[valor],
  desp.m.ik[nucleo], $B89,
  desp.m.ik[centro.negocio], $B$88,
  desp.m.ik[mes], "&gt;="&amp;N$1,
  desp.m.ik[mes], "&lt;"&amp;EOMONTH(N$1,0)+1
)</f>
        <v>0</v>
      </c>
      <c r="O89" s="183">
        <f ca="1">-SUMIFS(
  desp.m.ik[valor],
  desp.m.ik[nucleo], $B89,
  desp.m.ik[centro.negocio], $B$88,
  desp.m.ik[mes], "&gt;="&amp;O$1,
  desp.m.ik[mes], "&lt;"&amp;EOMONTH(O$1,0)+1
)</f>
        <v>0</v>
      </c>
      <c r="P89" s="183">
        <f ca="1">-SUMIFS(
  desp.m.ik[valor],
  desp.m.ik[nucleo], $B89,
  desp.m.ik[centro.negocio], $B$88,
  desp.m.ik[mes], "&gt;="&amp;P$1,
  desp.m.ik[mes], "&lt;"&amp;EOMONTH(P$1,0)+1
)</f>
        <v>0</v>
      </c>
      <c r="Q89" s="183">
        <f ca="1">-SUMIFS(
  desp.m.ik[valor],
  desp.m.ik[nucleo], $B89,
  desp.m.ik[centro.negocio], $B$88,
  desp.m.ik[mes], "&gt;="&amp;Q$1,
  desp.m.ik[mes], "&lt;"&amp;EOMONTH(Q$1,0)+1
)</f>
        <v>0</v>
      </c>
      <c r="R89" s="183">
        <f ca="1">-SUMIFS(
  desp.m.ik[valor],
  desp.m.ik[nucleo], $B89,
  desp.m.ik[centro.negocio], $B$88,
  desp.m.ik[mes], "&gt;="&amp;R$1,
  desp.m.ik[mes], "&lt;"&amp;EOMONTH(R$1,0)+1
)</f>
        <v>0</v>
      </c>
      <c r="S89" s="183">
        <f ca="1">-SUMIFS(
  desp.m.ik[valor],
  desp.m.ik[nucleo], $B89,
  desp.m.ik[centro.negocio], $B$88,
  desp.m.ik[mes], "&gt;="&amp;S$1,
  desp.m.ik[mes], "&lt;"&amp;EOMONTH(S$1,0)+1
)</f>
        <v>0</v>
      </c>
      <c r="T89" s="183">
        <f ca="1">-SUMIFS(
  desp.m.ik[valor],
  desp.m.ik[nucleo], $B89,
  desp.m.ik[centro.negocio], $B$88,
  desp.m.ik[mes], "&gt;="&amp;T$1,
  desp.m.ik[mes], "&lt;"&amp;EOMONTH(T$1,0)+1
)</f>
        <v>0</v>
      </c>
      <c r="U89" s="183">
        <f ca="1">-SUMIFS(
  desp.m.ik[valor],
  desp.m.ik[nucleo], $B89,
  desp.m.ik[centro.negocio], $B$88,
  desp.m.ik[mes], "&gt;="&amp;U$1,
  desp.m.ik[mes], "&lt;"&amp;EOMONTH(U$1,0)+1
)</f>
        <v>0</v>
      </c>
      <c r="V89" s="183">
        <f ca="1">-SUMIFS(
  desp.m.ik[valor],
  desp.m.ik[nucleo], $B89,
  desp.m.ik[centro.negocio], $B$88,
  desp.m.ik[mes], "&gt;="&amp;V$1,
  desp.m.ik[mes], "&lt;"&amp;EOMONTH(V$1,0)+1
)</f>
        <v>0</v>
      </c>
      <c r="W89" s="183">
        <f ca="1">-SUMIFS(
  desp.m.ik[valor],
  desp.m.ik[nucleo], $B89,
  desp.m.ik[centro.negocio], $B$88,
  desp.m.ik[mes], "&gt;="&amp;W$1,
  desp.m.ik[mes], "&lt;"&amp;EOMONTH(W$1,0)+1
)</f>
        <v>0</v>
      </c>
      <c r="X89" s="183">
        <f ca="1">-SUMIFS(
  desp.m.ik[valor],
  desp.m.ik[nucleo], $B89,
  desp.m.ik[centro.negocio], $B$88,
  desp.m.ik[mes], "&gt;="&amp;X$1,
  desp.m.ik[mes], "&lt;"&amp;EOMONTH(X$1,0)+1
)</f>
        <v>0</v>
      </c>
      <c r="Y89" s="183">
        <f ca="1">-SUMIFS(
  desp.m.ik[valor],
  desp.m.ik[nucleo], $B89,
  desp.m.ik[centro.negocio], $B$88,
  desp.m.ik[mes], "&gt;="&amp;Y$1,
  desp.m.ik[mes], "&lt;"&amp;EOMONTH(Y$1,0)+1
)</f>
        <v>0</v>
      </c>
      <c r="Z89" s="183">
        <f ca="1">-SUMIFS(
  desp.m.ik[valor],
  desp.m.ik[nucleo], $B89,
  desp.m.ik[centro.negocio], $B$88,
  desp.m.ik[mes], "&gt;="&amp;Z$1,
  desp.m.ik[mes], "&lt;"&amp;EOMONTH(Z$1,0)+1
)</f>
        <v>0</v>
      </c>
      <c r="AA89" s="183">
        <f ca="1">-SUMIFS(
  desp.m.ik[valor],
  desp.m.ik[nucleo], $B89,
  desp.m.ik[centro.negocio], $B$88,
  desp.m.ik[mes], "&gt;="&amp;AA$1,
  desp.m.ik[mes], "&lt;"&amp;EOMONTH(AA$1,0)+1
)</f>
        <v>0</v>
      </c>
      <c r="AC89" s="175">
        <f ca="1">SUM($D89:INDEX($D89:$AA89,1,MATCH(DATE(YEAR(inputs!$A$1),MONTH(inputs!$A$1),1),$D$1:$AA$1,0)))</f>
        <v>0</v>
      </c>
      <c r="AE89" s="175">
        <f t="shared" ca="1" si="23"/>
        <v>0</v>
      </c>
    </row>
    <row r="90" spans="1:31" outlineLevel="1" x14ac:dyDescent="0.25">
      <c r="A90" s="179" t="s">
        <v>564</v>
      </c>
      <c r="B90" s="179" t="s">
        <v>383</v>
      </c>
      <c r="C90" s="180" t="s">
        <v>514</v>
      </c>
      <c r="D90" s="181">
        <f t="shared" ref="D90:AA90" ca="1" si="24">SUM(D$91:D$105)</f>
        <v>0</v>
      </c>
      <c r="E90" s="181">
        <f t="shared" ca="1" si="24"/>
        <v>0</v>
      </c>
      <c r="F90" s="181">
        <f t="shared" ca="1" si="24"/>
        <v>0</v>
      </c>
      <c r="G90" s="181">
        <f t="shared" ca="1" si="24"/>
        <v>0</v>
      </c>
      <c r="H90" s="181">
        <f t="shared" ca="1" si="24"/>
        <v>0</v>
      </c>
      <c r="I90" s="181">
        <f t="shared" ca="1" si="24"/>
        <v>0</v>
      </c>
      <c r="J90" s="181">
        <f t="shared" ca="1" si="24"/>
        <v>0</v>
      </c>
      <c r="K90" s="181">
        <f t="shared" ca="1" si="24"/>
        <v>0</v>
      </c>
      <c r="L90" s="181">
        <f t="shared" ca="1" si="24"/>
        <v>0</v>
      </c>
      <c r="M90" s="181">
        <f t="shared" ca="1" si="24"/>
        <v>0</v>
      </c>
      <c r="N90" s="181">
        <f t="shared" ca="1" si="24"/>
        <v>0</v>
      </c>
      <c r="O90" s="181">
        <f t="shared" ca="1" si="24"/>
        <v>0</v>
      </c>
      <c r="P90" s="181">
        <f t="shared" ca="1" si="24"/>
        <v>0</v>
      </c>
      <c r="Q90" s="181">
        <f t="shared" ca="1" si="24"/>
        <v>0</v>
      </c>
      <c r="R90" s="181">
        <f t="shared" ca="1" si="24"/>
        <v>0</v>
      </c>
      <c r="S90" s="181">
        <f t="shared" ca="1" si="24"/>
        <v>0</v>
      </c>
      <c r="T90" s="181">
        <f t="shared" ca="1" si="24"/>
        <v>0</v>
      </c>
      <c r="U90" s="181">
        <f t="shared" ca="1" si="24"/>
        <v>0</v>
      </c>
      <c r="V90" s="181">
        <f t="shared" ca="1" si="24"/>
        <v>0</v>
      </c>
      <c r="W90" s="181">
        <f t="shared" ca="1" si="24"/>
        <v>0</v>
      </c>
      <c r="X90" s="181">
        <f t="shared" ca="1" si="24"/>
        <v>0</v>
      </c>
      <c r="Y90" s="181">
        <f t="shared" ca="1" si="24"/>
        <v>0</v>
      </c>
      <c r="Z90" s="181">
        <f t="shared" ca="1" si="24"/>
        <v>0</v>
      </c>
      <c r="AA90" s="181">
        <f t="shared" ca="1" si="24"/>
        <v>0</v>
      </c>
      <c r="AC90" s="275">
        <f ca="1">SUM($D90:INDEX($D90:$AA90,1,MATCH(DATE(YEAR(inputs!$A$1),MONTH(inputs!$A$1),1),$D$1:$AA$1,0)))</f>
        <v>0</v>
      </c>
      <c r="AE90" s="275">
        <f t="shared" ca="1" si="23"/>
        <v>0</v>
      </c>
    </row>
    <row r="91" spans="1:31" outlineLevel="2" x14ac:dyDescent="0.25">
      <c r="A91" s="182" t="s">
        <v>1009</v>
      </c>
      <c r="B91" s="182" t="s">
        <v>704</v>
      </c>
      <c r="C91" s="135" t="s">
        <v>514</v>
      </c>
      <c r="D91" s="183">
        <f ca="1">-SUMIFS(
  desp.m.ik[valor],
  desp.m.ik[nucleo], $B91,
  desp.m.ik[centro.negocio], $B$90,
  desp.m.ik[mes], "&gt;="&amp;D$1,
  desp.m.ik[mes], "&lt;"&amp;EOMONTH(D$1,0)+1
)</f>
        <v>0</v>
      </c>
      <c r="E91" s="183">
        <f ca="1">-SUMIFS(
  desp.m.ik[valor],
  desp.m.ik[nucleo], $B91,
  desp.m.ik[centro.negocio], $B$90,
  desp.m.ik[mes], "&gt;="&amp;E$1,
  desp.m.ik[mes], "&lt;"&amp;EOMONTH(E$1,0)+1
)</f>
        <v>0</v>
      </c>
      <c r="F91" s="183">
        <f ca="1">-SUMIFS(
  desp.m.ik[valor],
  desp.m.ik[nucleo], $B91,
  desp.m.ik[centro.negocio], $B$90,
  desp.m.ik[mes], "&gt;="&amp;F$1,
  desp.m.ik[mes], "&lt;"&amp;EOMONTH(F$1,0)+1
)</f>
        <v>0</v>
      </c>
      <c r="G91" s="183">
        <f ca="1">-SUMIFS(
  desp.m.ik[valor],
  desp.m.ik[nucleo], $B91,
  desp.m.ik[centro.negocio], $B$90,
  desp.m.ik[mes], "&gt;="&amp;G$1,
  desp.m.ik[mes], "&lt;"&amp;EOMONTH(G$1,0)+1
)</f>
        <v>0</v>
      </c>
      <c r="H91" s="183">
        <f ca="1">-SUMIFS(
  desp.m.ik[valor],
  desp.m.ik[nucleo], $B91,
  desp.m.ik[centro.negocio], $B$90,
  desp.m.ik[mes], "&gt;="&amp;H$1,
  desp.m.ik[mes], "&lt;"&amp;EOMONTH(H$1,0)+1
)</f>
        <v>0</v>
      </c>
      <c r="I91" s="183">
        <f ca="1">-SUMIFS(
  desp.m.ik[valor],
  desp.m.ik[nucleo], $B91,
  desp.m.ik[centro.negocio], $B$90,
  desp.m.ik[mes], "&gt;="&amp;I$1,
  desp.m.ik[mes], "&lt;"&amp;EOMONTH(I$1,0)+1
)</f>
        <v>0</v>
      </c>
      <c r="J91" s="183">
        <f ca="1">-SUMIFS(
  desp.m.ik[valor],
  desp.m.ik[nucleo], $B91,
  desp.m.ik[centro.negocio], $B$90,
  desp.m.ik[mes], "&gt;="&amp;J$1,
  desp.m.ik[mes], "&lt;"&amp;EOMONTH(J$1,0)+1
)</f>
        <v>0</v>
      </c>
      <c r="K91" s="183">
        <f ca="1">-SUMIFS(
  desp.m.ik[valor],
  desp.m.ik[nucleo], $B91,
  desp.m.ik[centro.negocio], $B$90,
  desp.m.ik[mes], "&gt;="&amp;K$1,
  desp.m.ik[mes], "&lt;"&amp;EOMONTH(K$1,0)+1
)</f>
        <v>0</v>
      </c>
      <c r="L91" s="183">
        <f ca="1">-SUMIFS(
  desp.m.ik[valor],
  desp.m.ik[nucleo], $B91,
  desp.m.ik[centro.negocio], $B$90,
  desp.m.ik[mes], "&gt;="&amp;L$1,
  desp.m.ik[mes], "&lt;"&amp;EOMONTH(L$1,0)+1
)</f>
        <v>0</v>
      </c>
      <c r="M91" s="183">
        <f ca="1">-SUMIFS(
  desp.m.ik[valor],
  desp.m.ik[nucleo], $B91,
  desp.m.ik[centro.negocio], $B$90,
  desp.m.ik[mes], "&gt;="&amp;M$1,
  desp.m.ik[mes], "&lt;"&amp;EOMONTH(M$1,0)+1
)</f>
        <v>0</v>
      </c>
      <c r="N91" s="183">
        <f ca="1">-SUMIFS(
  desp.m.ik[valor],
  desp.m.ik[nucleo], $B91,
  desp.m.ik[centro.negocio], $B$90,
  desp.m.ik[mes], "&gt;="&amp;N$1,
  desp.m.ik[mes], "&lt;"&amp;EOMONTH(N$1,0)+1
)</f>
        <v>0</v>
      </c>
      <c r="O91" s="183">
        <f ca="1">-SUMIFS(
  desp.m.ik[valor],
  desp.m.ik[nucleo], $B91,
  desp.m.ik[centro.negocio], $B$90,
  desp.m.ik[mes], "&gt;="&amp;O$1,
  desp.m.ik[mes], "&lt;"&amp;EOMONTH(O$1,0)+1
)</f>
        <v>0</v>
      </c>
      <c r="P91" s="183">
        <f ca="1">-SUMIFS(
  desp.m.ik[valor],
  desp.m.ik[nucleo], $B91,
  desp.m.ik[centro.negocio], $B$90,
  desp.m.ik[mes], "&gt;="&amp;P$1,
  desp.m.ik[mes], "&lt;"&amp;EOMONTH(P$1,0)+1
)</f>
        <v>0</v>
      </c>
      <c r="Q91" s="183">
        <f ca="1">-SUMIFS(
  desp.m.ik[valor],
  desp.m.ik[nucleo], $B91,
  desp.m.ik[centro.negocio], $B$90,
  desp.m.ik[mes], "&gt;="&amp;Q$1,
  desp.m.ik[mes], "&lt;"&amp;EOMONTH(Q$1,0)+1
)</f>
        <v>0</v>
      </c>
      <c r="R91" s="183">
        <f ca="1">-SUMIFS(
  desp.m.ik[valor],
  desp.m.ik[nucleo], $B91,
  desp.m.ik[centro.negocio], $B$90,
  desp.m.ik[mes], "&gt;="&amp;R$1,
  desp.m.ik[mes], "&lt;"&amp;EOMONTH(R$1,0)+1
)</f>
        <v>0</v>
      </c>
      <c r="S91" s="183">
        <f ca="1">-SUMIFS(
  desp.m.ik[valor],
  desp.m.ik[nucleo], $B91,
  desp.m.ik[centro.negocio], $B$90,
  desp.m.ik[mes], "&gt;="&amp;S$1,
  desp.m.ik[mes], "&lt;"&amp;EOMONTH(S$1,0)+1
)</f>
        <v>0</v>
      </c>
      <c r="T91" s="183">
        <f ca="1">-SUMIFS(
  desp.m.ik[valor],
  desp.m.ik[nucleo], $B91,
  desp.m.ik[centro.negocio], $B$90,
  desp.m.ik[mes], "&gt;="&amp;T$1,
  desp.m.ik[mes], "&lt;"&amp;EOMONTH(T$1,0)+1
)</f>
        <v>0</v>
      </c>
      <c r="U91" s="183">
        <f ca="1">-SUMIFS(
  desp.m.ik[valor],
  desp.m.ik[nucleo], $B91,
  desp.m.ik[centro.negocio], $B$90,
  desp.m.ik[mes], "&gt;="&amp;U$1,
  desp.m.ik[mes], "&lt;"&amp;EOMONTH(U$1,0)+1
)</f>
        <v>0</v>
      </c>
      <c r="V91" s="183">
        <f ca="1">-SUMIFS(
  desp.m.ik[valor],
  desp.m.ik[nucleo], $B91,
  desp.m.ik[centro.negocio], $B$90,
  desp.m.ik[mes], "&gt;="&amp;V$1,
  desp.m.ik[mes], "&lt;"&amp;EOMONTH(V$1,0)+1
)</f>
        <v>0</v>
      </c>
      <c r="W91" s="183">
        <f ca="1">-SUMIFS(
  desp.m.ik[valor],
  desp.m.ik[nucleo], $B91,
  desp.m.ik[centro.negocio], $B$90,
  desp.m.ik[mes], "&gt;="&amp;W$1,
  desp.m.ik[mes], "&lt;"&amp;EOMONTH(W$1,0)+1
)</f>
        <v>0</v>
      </c>
      <c r="X91" s="183">
        <f ca="1">-SUMIFS(
  desp.m.ik[valor],
  desp.m.ik[nucleo], $B91,
  desp.m.ik[centro.negocio], $B$90,
  desp.m.ik[mes], "&gt;="&amp;X$1,
  desp.m.ik[mes], "&lt;"&amp;EOMONTH(X$1,0)+1
)</f>
        <v>0</v>
      </c>
      <c r="Y91" s="183">
        <f ca="1">-SUMIFS(
  desp.m.ik[valor],
  desp.m.ik[nucleo], $B91,
  desp.m.ik[centro.negocio], $B$90,
  desp.m.ik[mes], "&gt;="&amp;Y$1,
  desp.m.ik[mes], "&lt;"&amp;EOMONTH(Y$1,0)+1
)</f>
        <v>0</v>
      </c>
      <c r="Z91" s="183">
        <f ca="1">-SUMIFS(
  desp.m.ik[valor],
  desp.m.ik[nucleo], $B91,
  desp.m.ik[centro.negocio], $B$90,
  desp.m.ik[mes], "&gt;="&amp;Z$1,
  desp.m.ik[mes], "&lt;"&amp;EOMONTH(Z$1,0)+1
)</f>
        <v>0</v>
      </c>
      <c r="AA91" s="183">
        <f ca="1">-SUMIFS(
  desp.m.ik[valor],
  desp.m.ik[nucleo], $B91,
  desp.m.ik[centro.negocio], $B$90,
  desp.m.ik[mes], "&gt;="&amp;AA$1,
  desp.m.ik[mes], "&lt;"&amp;EOMONTH(AA$1,0)+1
)</f>
        <v>0</v>
      </c>
      <c r="AC91" s="175">
        <f ca="1">SUM($D91:INDEX($D91:$AA91,1,MATCH(DATE(YEAR(inputs!$A$1),MONTH(inputs!$A$1),1),$D$1:$AA$1,0)))</f>
        <v>0</v>
      </c>
      <c r="AE91" s="175">
        <f ca="1">SUM(D91:AA91)</f>
        <v>0</v>
      </c>
    </row>
    <row r="92" spans="1:31" outlineLevel="2" x14ac:dyDescent="0.25">
      <c r="A92" s="182" t="s">
        <v>1008</v>
      </c>
      <c r="B92" s="182" t="s">
        <v>546</v>
      </c>
      <c r="C92" s="135" t="s">
        <v>514</v>
      </c>
      <c r="D92" s="183">
        <f ca="1">-SUMIFS(
  desp.m.ik[valor],
  desp.m.ik[nucleo], $B92,
  desp.m.ik[centro.negocio], $B$90,
  desp.m.ik[mes], "&gt;="&amp;D$1,
  desp.m.ik[mes], "&lt;"&amp;EOMONTH(D$1,0)+1
)</f>
        <v>0</v>
      </c>
      <c r="E92" s="183">
        <f ca="1">-SUMIFS(
  desp.m.ik[valor],
  desp.m.ik[nucleo], $B92,
  desp.m.ik[centro.negocio], $B$90,
  desp.m.ik[mes], "&gt;="&amp;E$1,
  desp.m.ik[mes], "&lt;"&amp;EOMONTH(E$1,0)+1
)</f>
        <v>0</v>
      </c>
      <c r="F92" s="183">
        <f ca="1">-SUMIFS(
  desp.m.ik[valor],
  desp.m.ik[nucleo], $B92,
  desp.m.ik[centro.negocio], $B$90,
  desp.m.ik[mes], "&gt;="&amp;F$1,
  desp.m.ik[mes], "&lt;"&amp;EOMONTH(F$1,0)+1
)</f>
        <v>0</v>
      </c>
      <c r="G92" s="183">
        <f ca="1">-SUMIFS(
  desp.m.ik[valor],
  desp.m.ik[nucleo], $B92,
  desp.m.ik[centro.negocio], $B$90,
  desp.m.ik[mes], "&gt;="&amp;G$1,
  desp.m.ik[mes], "&lt;"&amp;EOMONTH(G$1,0)+1
)</f>
        <v>0</v>
      </c>
      <c r="H92" s="183">
        <f ca="1">-SUMIFS(
  desp.m.ik[valor],
  desp.m.ik[nucleo], $B92,
  desp.m.ik[centro.negocio], $B$90,
  desp.m.ik[mes], "&gt;="&amp;H$1,
  desp.m.ik[mes], "&lt;"&amp;EOMONTH(H$1,0)+1
)</f>
        <v>0</v>
      </c>
      <c r="I92" s="183">
        <f ca="1">-SUMIFS(
  desp.m.ik[valor],
  desp.m.ik[nucleo], $B92,
  desp.m.ik[centro.negocio], $B$90,
  desp.m.ik[mes], "&gt;="&amp;I$1,
  desp.m.ik[mes], "&lt;"&amp;EOMONTH(I$1,0)+1
)</f>
        <v>0</v>
      </c>
      <c r="J92" s="183">
        <f ca="1">-SUMIFS(
  desp.m.ik[valor],
  desp.m.ik[nucleo], $B92,
  desp.m.ik[centro.negocio], $B$90,
  desp.m.ik[mes], "&gt;="&amp;J$1,
  desp.m.ik[mes], "&lt;"&amp;EOMONTH(J$1,0)+1
)</f>
        <v>0</v>
      </c>
      <c r="K92" s="183">
        <f ca="1">-SUMIFS(
  desp.m.ik[valor],
  desp.m.ik[nucleo], $B92,
  desp.m.ik[centro.negocio], $B$90,
  desp.m.ik[mes], "&gt;="&amp;K$1,
  desp.m.ik[mes], "&lt;"&amp;EOMONTH(K$1,0)+1
)</f>
        <v>0</v>
      </c>
      <c r="L92" s="183">
        <f ca="1">-SUMIFS(
  desp.m.ik[valor],
  desp.m.ik[nucleo], $B92,
  desp.m.ik[centro.negocio], $B$90,
  desp.m.ik[mes], "&gt;="&amp;L$1,
  desp.m.ik[mes], "&lt;"&amp;EOMONTH(L$1,0)+1
)</f>
        <v>0</v>
      </c>
      <c r="M92" s="183">
        <f ca="1">-SUMIFS(
  desp.m.ik[valor],
  desp.m.ik[nucleo], $B92,
  desp.m.ik[centro.negocio], $B$90,
  desp.m.ik[mes], "&gt;="&amp;M$1,
  desp.m.ik[mes], "&lt;"&amp;EOMONTH(M$1,0)+1
)</f>
        <v>0</v>
      </c>
      <c r="N92" s="183">
        <f ca="1">-SUMIFS(
  desp.m.ik[valor],
  desp.m.ik[nucleo], $B92,
  desp.m.ik[centro.negocio], $B$90,
  desp.m.ik[mes], "&gt;="&amp;N$1,
  desp.m.ik[mes], "&lt;"&amp;EOMONTH(N$1,0)+1
)</f>
        <v>0</v>
      </c>
      <c r="O92" s="183">
        <f ca="1">-SUMIFS(
  desp.m.ik[valor],
  desp.m.ik[nucleo], $B92,
  desp.m.ik[centro.negocio], $B$90,
  desp.m.ik[mes], "&gt;="&amp;O$1,
  desp.m.ik[mes], "&lt;"&amp;EOMONTH(O$1,0)+1
)</f>
        <v>0</v>
      </c>
      <c r="P92" s="183">
        <f ca="1">-SUMIFS(
  desp.m.ik[valor],
  desp.m.ik[nucleo], $B92,
  desp.m.ik[centro.negocio], $B$90,
  desp.m.ik[mes], "&gt;="&amp;P$1,
  desp.m.ik[mes], "&lt;"&amp;EOMONTH(P$1,0)+1
)</f>
        <v>0</v>
      </c>
      <c r="Q92" s="183">
        <f ca="1">-SUMIFS(
  desp.m.ik[valor],
  desp.m.ik[nucleo], $B92,
  desp.m.ik[centro.negocio], $B$90,
  desp.m.ik[mes], "&gt;="&amp;Q$1,
  desp.m.ik[mes], "&lt;"&amp;EOMONTH(Q$1,0)+1
)</f>
        <v>0</v>
      </c>
      <c r="R92" s="183">
        <f ca="1">-SUMIFS(
  desp.m.ik[valor],
  desp.m.ik[nucleo], $B92,
  desp.m.ik[centro.negocio], $B$90,
  desp.m.ik[mes], "&gt;="&amp;R$1,
  desp.m.ik[mes], "&lt;"&amp;EOMONTH(R$1,0)+1
)</f>
        <v>0</v>
      </c>
      <c r="S92" s="183">
        <f ca="1">-SUMIFS(
  desp.m.ik[valor],
  desp.m.ik[nucleo], $B92,
  desp.m.ik[centro.negocio], $B$90,
  desp.m.ik[mes], "&gt;="&amp;S$1,
  desp.m.ik[mes], "&lt;"&amp;EOMONTH(S$1,0)+1
)</f>
        <v>0</v>
      </c>
      <c r="T92" s="183">
        <f ca="1">-SUMIFS(
  desp.m.ik[valor],
  desp.m.ik[nucleo], $B92,
  desp.m.ik[centro.negocio], $B$90,
  desp.m.ik[mes], "&gt;="&amp;T$1,
  desp.m.ik[mes], "&lt;"&amp;EOMONTH(T$1,0)+1
)</f>
        <v>0</v>
      </c>
      <c r="U92" s="183">
        <f ca="1">-SUMIFS(
  desp.m.ik[valor],
  desp.m.ik[nucleo], $B92,
  desp.m.ik[centro.negocio], $B$90,
  desp.m.ik[mes], "&gt;="&amp;U$1,
  desp.m.ik[mes], "&lt;"&amp;EOMONTH(U$1,0)+1
)</f>
        <v>0</v>
      </c>
      <c r="V92" s="183">
        <f ca="1">-SUMIFS(
  desp.m.ik[valor],
  desp.m.ik[nucleo], $B92,
  desp.m.ik[centro.negocio], $B$90,
  desp.m.ik[mes], "&gt;="&amp;V$1,
  desp.m.ik[mes], "&lt;"&amp;EOMONTH(V$1,0)+1
)</f>
        <v>0</v>
      </c>
      <c r="W92" s="183">
        <f ca="1">-SUMIFS(
  desp.m.ik[valor],
  desp.m.ik[nucleo], $B92,
  desp.m.ik[centro.negocio], $B$90,
  desp.m.ik[mes], "&gt;="&amp;W$1,
  desp.m.ik[mes], "&lt;"&amp;EOMONTH(W$1,0)+1
)</f>
        <v>0</v>
      </c>
      <c r="X92" s="183">
        <f ca="1">-SUMIFS(
  desp.m.ik[valor],
  desp.m.ik[nucleo], $B92,
  desp.m.ik[centro.negocio], $B$90,
  desp.m.ik[mes], "&gt;="&amp;X$1,
  desp.m.ik[mes], "&lt;"&amp;EOMONTH(X$1,0)+1
)</f>
        <v>0</v>
      </c>
      <c r="Y92" s="183">
        <f ca="1">-SUMIFS(
  desp.m.ik[valor],
  desp.m.ik[nucleo], $B92,
  desp.m.ik[centro.negocio], $B$90,
  desp.m.ik[mes], "&gt;="&amp;Y$1,
  desp.m.ik[mes], "&lt;"&amp;EOMONTH(Y$1,0)+1
)</f>
        <v>0</v>
      </c>
      <c r="Z92" s="183">
        <f ca="1">-SUMIFS(
  desp.m.ik[valor],
  desp.m.ik[nucleo], $B92,
  desp.m.ik[centro.negocio], $B$90,
  desp.m.ik[mes], "&gt;="&amp;Z$1,
  desp.m.ik[mes], "&lt;"&amp;EOMONTH(Z$1,0)+1
)</f>
        <v>0</v>
      </c>
      <c r="AA92" s="183">
        <f ca="1">-SUMIFS(
  desp.m.ik[valor],
  desp.m.ik[nucleo], $B92,
  desp.m.ik[centro.negocio], $B$90,
  desp.m.ik[mes], "&gt;="&amp;AA$1,
  desp.m.ik[mes], "&lt;"&amp;EOMONTH(AA$1,0)+1
)</f>
        <v>0</v>
      </c>
      <c r="AC92" s="175">
        <f ca="1">SUM($D92:INDEX($D92:$AA92,1,MATCH(DATE(YEAR(inputs!$A$1),MONTH(inputs!$A$1),1),$D$1:$AA$1,0)))</f>
        <v>0</v>
      </c>
      <c r="AE92" s="175">
        <f t="shared" ca="1" si="23"/>
        <v>0</v>
      </c>
    </row>
    <row r="93" spans="1:31" outlineLevel="2" x14ac:dyDescent="0.25">
      <c r="A93" s="182" t="s">
        <v>1010</v>
      </c>
      <c r="B93" s="182" t="s">
        <v>922</v>
      </c>
      <c r="C93" s="135" t="s">
        <v>514</v>
      </c>
      <c r="D93" s="183">
        <f ca="1">-SUMIFS(
  desp.m.ik[valor],
  desp.m.ik[nucleo], $B93,
  desp.m.ik[centro.negocio], $B$90,
  desp.m.ik[mes], "&gt;="&amp;D$1,
  desp.m.ik[mes], "&lt;"&amp;EOMONTH(D$1,0)+1
)</f>
        <v>0</v>
      </c>
      <c r="E93" s="183">
        <f ca="1">-SUMIFS(
  desp.m.ik[valor],
  desp.m.ik[nucleo], $B93,
  desp.m.ik[centro.negocio], $B$90,
  desp.m.ik[mes], "&gt;="&amp;E$1,
  desp.m.ik[mes], "&lt;"&amp;EOMONTH(E$1,0)+1
)</f>
        <v>0</v>
      </c>
      <c r="F93" s="183">
        <f ca="1">-SUMIFS(
  desp.m.ik[valor],
  desp.m.ik[nucleo], $B93,
  desp.m.ik[centro.negocio], $B$90,
  desp.m.ik[mes], "&gt;="&amp;F$1,
  desp.m.ik[mes], "&lt;"&amp;EOMONTH(F$1,0)+1
)</f>
        <v>0</v>
      </c>
      <c r="G93" s="183">
        <f ca="1">-SUMIFS(
  desp.m.ik[valor],
  desp.m.ik[nucleo], $B93,
  desp.m.ik[centro.negocio], $B$90,
  desp.m.ik[mes], "&gt;="&amp;G$1,
  desp.m.ik[mes], "&lt;"&amp;EOMONTH(G$1,0)+1
)</f>
        <v>0</v>
      </c>
      <c r="H93" s="183">
        <f ca="1">-SUMIFS(
  desp.m.ik[valor],
  desp.m.ik[nucleo], $B93,
  desp.m.ik[centro.negocio], $B$90,
  desp.m.ik[mes], "&gt;="&amp;H$1,
  desp.m.ik[mes], "&lt;"&amp;EOMONTH(H$1,0)+1
)</f>
        <v>0</v>
      </c>
      <c r="I93" s="183">
        <f ca="1">-SUMIFS(
  desp.m.ik[valor],
  desp.m.ik[nucleo], $B93,
  desp.m.ik[centro.negocio], $B$90,
  desp.m.ik[mes], "&gt;="&amp;I$1,
  desp.m.ik[mes], "&lt;"&amp;EOMONTH(I$1,0)+1
)</f>
        <v>0</v>
      </c>
      <c r="J93" s="183">
        <f ca="1">-SUMIFS(
  desp.m.ik[valor],
  desp.m.ik[nucleo], $B93,
  desp.m.ik[centro.negocio], $B$90,
  desp.m.ik[mes], "&gt;="&amp;J$1,
  desp.m.ik[mes], "&lt;"&amp;EOMONTH(J$1,0)+1
)</f>
        <v>0</v>
      </c>
      <c r="K93" s="183">
        <f ca="1">-SUMIFS(
  desp.m.ik[valor],
  desp.m.ik[nucleo], $B93,
  desp.m.ik[centro.negocio], $B$90,
  desp.m.ik[mes], "&gt;="&amp;K$1,
  desp.m.ik[mes], "&lt;"&amp;EOMONTH(K$1,0)+1
)</f>
        <v>0</v>
      </c>
      <c r="L93" s="183">
        <f ca="1">-SUMIFS(
  desp.m.ik[valor],
  desp.m.ik[nucleo], $B93,
  desp.m.ik[centro.negocio], $B$90,
  desp.m.ik[mes], "&gt;="&amp;L$1,
  desp.m.ik[mes], "&lt;"&amp;EOMONTH(L$1,0)+1
)</f>
        <v>0</v>
      </c>
      <c r="M93" s="183">
        <f ca="1">-SUMIFS(
  desp.m.ik[valor],
  desp.m.ik[nucleo], $B93,
  desp.m.ik[centro.negocio], $B$90,
  desp.m.ik[mes], "&gt;="&amp;M$1,
  desp.m.ik[mes], "&lt;"&amp;EOMONTH(M$1,0)+1
)</f>
        <v>0</v>
      </c>
      <c r="N93" s="183">
        <f ca="1">-SUMIFS(
  desp.m.ik[valor],
  desp.m.ik[nucleo], $B93,
  desp.m.ik[centro.negocio], $B$90,
  desp.m.ik[mes], "&gt;="&amp;N$1,
  desp.m.ik[mes], "&lt;"&amp;EOMONTH(N$1,0)+1
)</f>
        <v>0</v>
      </c>
      <c r="O93" s="183">
        <f ca="1">-SUMIFS(
  desp.m.ik[valor],
  desp.m.ik[nucleo], $B93,
  desp.m.ik[centro.negocio], $B$90,
  desp.m.ik[mes], "&gt;="&amp;O$1,
  desp.m.ik[mes], "&lt;"&amp;EOMONTH(O$1,0)+1
)</f>
        <v>0</v>
      </c>
      <c r="P93" s="183">
        <f ca="1">-SUMIFS(
  desp.m.ik[valor],
  desp.m.ik[nucleo], $B93,
  desp.m.ik[centro.negocio], $B$90,
  desp.m.ik[mes], "&gt;="&amp;P$1,
  desp.m.ik[mes], "&lt;"&amp;EOMONTH(P$1,0)+1
)</f>
        <v>0</v>
      </c>
      <c r="Q93" s="183">
        <f ca="1">-SUMIFS(
  desp.m.ik[valor],
  desp.m.ik[nucleo], $B93,
  desp.m.ik[centro.negocio], $B$90,
  desp.m.ik[mes], "&gt;="&amp;Q$1,
  desp.m.ik[mes], "&lt;"&amp;EOMONTH(Q$1,0)+1
)</f>
        <v>0</v>
      </c>
      <c r="R93" s="183">
        <f ca="1">-SUMIFS(
  desp.m.ik[valor],
  desp.m.ik[nucleo], $B93,
  desp.m.ik[centro.negocio], $B$90,
  desp.m.ik[mes], "&gt;="&amp;R$1,
  desp.m.ik[mes], "&lt;"&amp;EOMONTH(R$1,0)+1
)</f>
        <v>0</v>
      </c>
      <c r="S93" s="183">
        <f ca="1">-SUMIFS(
  desp.m.ik[valor],
  desp.m.ik[nucleo], $B93,
  desp.m.ik[centro.negocio], $B$90,
  desp.m.ik[mes], "&gt;="&amp;S$1,
  desp.m.ik[mes], "&lt;"&amp;EOMONTH(S$1,0)+1
)</f>
        <v>0</v>
      </c>
      <c r="T93" s="183">
        <f ca="1">-SUMIFS(
  desp.m.ik[valor],
  desp.m.ik[nucleo], $B93,
  desp.m.ik[centro.negocio], $B$90,
  desp.m.ik[mes], "&gt;="&amp;T$1,
  desp.m.ik[mes], "&lt;"&amp;EOMONTH(T$1,0)+1
)</f>
        <v>0</v>
      </c>
      <c r="U93" s="183">
        <f ca="1">-SUMIFS(
  desp.m.ik[valor],
  desp.m.ik[nucleo], $B93,
  desp.m.ik[centro.negocio], $B$90,
  desp.m.ik[mes], "&gt;="&amp;U$1,
  desp.m.ik[mes], "&lt;"&amp;EOMONTH(U$1,0)+1
)</f>
        <v>0</v>
      </c>
      <c r="V93" s="183">
        <f ca="1">-SUMIFS(
  desp.m.ik[valor],
  desp.m.ik[nucleo], $B93,
  desp.m.ik[centro.negocio], $B$90,
  desp.m.ik[mes], "&gt;="&amp;V$1,
  desp.m.ik[mes], "&lt;"&amp;EOMONTH(V$1,0)+1
)</f>
        <v>0</v>
      </c>
      <c r="W93" s="183">
        <f ca="1">-SUMIFS(
  desp.m.ik[valor],
  desp.m.ik[nucleo], $B93,
  desp.m.ik[centro.negocio], $B$90,
  desp.m.ik[mes], "&gt;="&amp;W$1,
  desp.m.ik[mes], "&lt;"&amp;EOMONTH(W$1,0)+1
)</f>
        <v>0</v>
      </c>
      <c r="X93" s="183">
        <f ca="1">-SUMIFS(
  desp.m.ik[valor],
  desp.m.ik[nucleo], $B93,
  desp.m.ik[centro.negocio], $B$90,
  desp.m.ik[mes], "&gt;="&amp;X$1,
  desp.m.ik[mes], "&lt;"&amp;EOMONTH(X$1,0)+1
)</f>
        <v>0</v>
      </c>
      <c r="Y93" s="183">
        <f ca="1">-SUMIFS(
  desp.m.ik[valor],
  desp.m.ik[nucleo], $B93,
  desp.m.ik[centro.negocio], $B$90,
  desp.m.ik[mes], "&gt;="&amp;Y$1,
  desp.m.ik[mes], "&lt;"&amp;EOMONTH(Y$1,0)+1
)</f>
        <v>0</v>
      </c>
      <c r="Z93" s="183">
        <f ca="1">-SUMIFS(
  desp.m.ik[valor],
  desp.m.ik[nucleo], $B93,
  desp.m.ik[centro.negocio], $B$90,
  desp.m.ik[mes], "&gt;="&amp;Z$1,
  desp.m.ik[mes], "&lt;"&amp;EOMONTH(Z$1,0)+1
)</f>
        <v>0</v>
      </c>
      <c r="AA93" s="183">
        <f ca="1">-SUMIFS(
  desp.m.ik[valor],
  desp.m.ik[nucleo], $B93,
  desp.m.ik[centro.negocio], $B$90,
  desp.m.ik[mes], "&gt;="&amp;AA$1,
  desp.m.ik[mes], "&lt;"&amp;EOMONTH(AA$1,0)+1
)</f>
        <v>0</v>
      </c>
      <c r="AC93" s="175">
        <f ca="1">SUM($D93:INDEX($D93:$AA93,1,MATCH(DATE(YEAR(inputs!$A$1),MONTH(inputs!$A$1),1),$D$1:$AA$1,0)))</f>
        <v>0</v>
      </c>
      <c r="AE93" s="175">
        <f ca="1">SUM(D93:AA93)</f>
        <v>0</v>
      </c>
    </row>
    <row r="94" spans="1:31" outlineLevel="2" x14ac:dyDescent="0.25">
      <c r="A94" s="182" t="s">
        <v>1011</v>
      </c>
      <c r="B94" s="182" t="s">
        <v>544</v>
      </c>
      <c r="C94" s="135" t="s">
        <v>514</v>
      </c>
      <c r="D94" s="183">
        <f ca="1">-SUMIFS(
  desp.m.ik[valor],
  desp.m.ik[nucleo], $B94,
  desp.m.ik[centro.negocio], $B$90,
  desp.m.ik[mes], "&gt;="&amp;D$1,
  desp.m.ik[mes], "&lt;"&amp;EOMONTH(D$1,0)+1
)</f>
        <v>0</v>
      </c>
      <c r="E94" s="183">
        <f ca="1">-SUMIFS(
  desp.m.ik[valor],
  desp.m.ik[nucleo], $B94,
  desp.m.ik[centro.negocio], $B$90,
  desp.m.ik[mes], "&gt;="&amp;E$1,
  desp.m.ik[mes], "&lt;"&amp;EOMONTH(E$1,0)+1
)</f>
        <v>0</v>
      </c>
      <c r="F94" s="183">
        <f ca="1">-SUMIFS(
  desp.m.ik[valor],
  desp.m.ik[nucleo], $B94,
  desp.m.ik[centro.negocio], $B$90,
  desp.m.ik[mes], "&gt;="&amp;F$1,
  desp.m.ik[mes], "&lt;"&amp;EOMONTH(F$1,0)+1
)</f>
        <v>0</v>
      </c>
      <c r="G94" s="183">
        <f ca="1">-SUMIFS(
  desp.m.ik[valor],
  desp.m.ik[nucleo], $B94,
  desp.m.ik[centro.negocio], $B$90,
  desp.m.ik[mes], "&gt;="&amp;G$1,
  desp.m.ik[mes], "&lt;"&amp;EOMONTH(G$1,0)+1
)</f>
        <v>0</v>
      </c>
      <c r="H94" s="183">
        <f ca="1">-SUMIFS(
  desp.m.ik[valor],
  desp.m.ik[nucleo], $B94,
  desp.m.ik[centro.negocio], $B$90,
  desp.m.ik[mes], "&gt;="&amp;H$1,
  desp.m.ik[mes], "&lt;"&amp;EOMONTH(H$1,0)+1
)</f>
        <v>0</v>
      </c>
      <c r="I94" s="183">
        <f ca="1">-SUMIFS(
  desp.m.ik[valor],
  desp.m.ik[nucleo], $B94,
  desp.m.ik[centro.negocio], $B$90,
  desp.m.ik[mes], "&gt;="&amp;I$1,
  desp.m.ik[mes], "&lt;"&amp;EOMONTH(I$1,0)+1
)</f>
        <v>0</v>
      </c>
      <c r="J94" s="183">
        <f ca="1">-SUMIFS(
  desp.m.ik[valor],
  desp.m.ik[nucleo], $B94,
  desp.m.ik[centro.negocio], $B$90,
  desp.m.ik[mes], "&gt;="&amp;J$1,
  desp.m.ik[mes], "&lt;"&amp;EOMONTH(J$1,0)+1
)</f>
        <v>0</v>
      </c>
      <c r="K94" s="183">
        <f ca="1">-SUMIFS(
  desp.m.ik[valor],
  desp.m.ik[nucleo], $B94,
  desp.m.ik[centro.negocio], $B$90,
  desp.m.ik[mes], "&gt;="&amp;K$1,
  desp.m.ik[mes], "&lt;"&amp;EOMONTH(K$1,0)+1
)</f>
        <v>0</v>
      </c>
      <c r="L94" s="183">
        <f ca="1">-SUMIFS(
  desp.m.ik[valor],
  desp.m.ik[nucleo], $B94,
  desp.m.ik[centro.negocio], $B$90,
  desp.m.ik[mes], "&gt;="&amp;L$1,
  desp.m.ik[mes], "&lt;"&amp;EOMONTH(L$1,0)+1
)</f>
        <v>0</v>
      </c>
      <c r="M94" s="183">
        <f ca="1">-SUMIFS(
  desp.m.ik[valor],
  desp.m.ik[nucleo], $B94,
  desp.m.ik[centro.negocio], $B$90,
  desp.m.ik[mes], "&gt;="&amp;M$1,
  desp.m.ik[mes], "&lt;"&amp;EOMONTH(M$1,0)+1
)</f>
        <v>0</v>
      </c>
      <c r="N94" s="183">
        <f ca="1">-SUMIFS(
  desp.m.ik[valor],
  desp.m.ik[nucleo], $B94,
  desp.m.ik[centro.negocio], $B$90,
  desp.m.ik[mes], "&gt;="&amp;N$1,
  desp.m.ik[mes], "&lt;"&amp;EOMONTH(N$1,0)+1
)</f>
        <v>0</v>
      </c>
      <c r="O94" s="183">
        <f ca="1">-SUMIFS(
  desp.m.ik[valor],
  desp.m.ik[nucleo], $B94,
  desp.m.ik[centro.negocio], $B$90,
  desp.m.ik[mes], "&gt;="&amp;O$1,
  desp.m.ik[mes], "&lt;"&amp;EOMONTH(O$1,0)+1
)</f>
        <v>0</v>
      </c>
      <c r="P94" s="183">
        <f ca="1">-SUMIFS(
  desp.m.ik[valor],
  desp.m.ik[nucleo], $B94,
  desp.m.ik[centro.negocio], $B$90,
  desp.m.ik[mes], "&gt;="&amp;P$1,
  desp.m.ik[mes], "&lt;"&amp;EOMONTH(P$1,0)+1
)</f>
        <v>0</v>
      </c>
      <c r="Q94" s="183">
        <f ca="1">-SUMIFS(
  desp.m.ik[valor],
  desp.m.ik[nucleo], $B94,
  desp.m.ik[centro.negocio], $B$90,
  desp.m.ik[mes], "&gt;="&amp;Q$1,
  desp.m.ik[mes], "&lt;"&amp;EOMONTH(Q$1,0)+1
)</f>
        <v>0</v>
      </c>
      <c r="R94" s="183">
        <f ca="1">-SUMIFS(
  desp.m.ik[valor],
  desp.m.ik[nucleo], $B94,
  desp.m.ik[centro.negocio], $B$90,
  desp.m.ik[mes], "&gt;="&amp;R$1,
  desp.m.ik[mes], "&lt;"&amp;EOMONTH(R$1,0)+1
)</f>
        <v>0</v>
      </c>
      <c r="S94" s="183">
        <f ca="1">-SUMIFS(
  desp.m.ik[valor],
  desp.m.ik[nucleo], $B94,
  desp.m.ik[centro.negocio], $B$90,
  desp.m.ik[mes], "&gt;="&amp;S$1,
  desp.m.ik[mes], "&lt;"&amp;EOMONTH(S$1,0)+1
)</f>
        <v>0</v>
      </c>
      <c r="T94" s="183">
        <f ca="1">-SUMIFS(
  desp.m.ik[valor],
  desp.m.ik[nucleo], $B94,
  desp.m.ik[centro.negocio], $B$90,
  desp.m.ik[mes], "&gt;="&amp;T$1,
  desp.m.ik[mes], "&lt;"&amp;EOMONTH(T$1,0)+1
)</f>
        <v>0</v>
      </c>
      <c r="U94" s="183">
        <f ca="1">-SUMIFS(
  desp.m.ik[valor],
  desp.m.ik[nucleo], $B94,
  desp.m.ik[centro.negocio], $B$90,
  desp.m.ik[mes], "&gt;="&amp;U$1,
  desp.m.ik[mes], "&lt;"&amp;EOMONTH(U$1,0)+1
)</f>
        <v>0</v>
      </c>
      <c r="V94" s="183">
        <f ca="1">-SUMIFS(
  desp.m.ik[valor],
  desp.m.ik[nucleo], $B94,
  desp.m.ik[centro.negocio], $B$90,
  desp.m.ik[mes], "&gt;="&amp;V$1,
  desp.m.ik[mes], "&lt;"&amp;EOMONTH(V$1,0)+1
)</f>
        <v>0</v>
      </c>
      <c r="W94" s="183">
        <f ca="1">-SUMIFS(
  desp.m.ik[valor],
  desp.m.ik[nucleo], $B94,
  desp.m.ik[centro.negocio], $B$90,
  desp.m.ik[mes], "&gt;="&amp;W$1,
  desp.m.ik[mes], "&lt;"&amp;EOMONTH(W$1,0)+1
)</f>
        <v>0</v>
      </c>
      <c r="X94" s="183">
        <f ca="1">-SUMIFS(
  desp.m.ik[valor],
  desp.m.ik[nucleo], $B94,
  desp.m.ik[centro.negocio], $B$90,
  desp.m.ik[mes], "&gt;="&amp;X$1,
  desp.m.ik[mes], "&lt;"&amp;EOMONTH(X$1,0)+1
)</f>
        <v>0</v>
      </c>
      <c r="Y94" s="183">
        <f ca="1">-SUMIFS(
  desp.m.ik[valor],
  desp.m.ik[nucleo], $B94,
  desp.m.ik[centro.negocio], $B$90,
  desp.m.ik[mes], "&gt;="&amp;Y$1,
  desp.m.ik[mes], "&lt;"&amp;EOMONTH(Y$1,0)+1
)</f>
        <v>0</v>
      </c>
      <c r="Z94" s="183">
        <f ca="1">-SUMIFS(
  desp.m.ik[valor],
  desp.m.ik[nucleo], $B94,
  desp.m.ik[centro.negocio], $B$90,
  desp.m.ik[mes], "&gt;="&amp;Z$1,
  desp.m.ik[mes], "&lt;"&amp;EOMONTH(Z$1,0)+1
)</f>
        <v>0</v>
      </c>
      <c r="AA94" s="183">
        <f ca="1">-SUMIFS(
  desp.m.ik[valor],
  desp.m.ik[nucleo], $B94,
  desp.m.ik[centro.negocio], $B$90,
  desp.m.ik[mes], "&gt;="&amp;AA$1,
  desp.m.ik[mes], "&lt;"&amp;EOMONTH(AA$1,0)+1
)</f>
        <v>0</v>
      </c>
      <c r="AC94" s="175">
        <f ca="1">SUM($D94:INDEX($D94:$AA94,1,MATCH(DATE(YEAR(inputs!$A$1),MONTH(inputs!$A$1),1),$D$1:$AA$1,0)))</f>
        <v>0</v>
      </c>
      <c r="AE94" s="175">
        <f ca="1">SUM(D94:AA94)</f>
        <v>0</v>
      </c>
    </row>
    <row r="95" spans="1:31" outlineLevel="2" x14ac:dyDescent="0.25">
      <c r="A95" s="182" t="s">
        <v>964</v>
      </c>
      <c r="B95" s="182" t="s">
        <v>539</v>
      </c>
      <c r="C95" s="135" t="s">
        <v>514</v>
      </c>
      <c r="D95" s="183">
        <f ca="1">-SUMIFS(
  desp.m.ik[valor],
  desp.m.ik[nucleo], $B95,
  desp.m.ik[centro.negocio], $B$90,
  desp.m.ik[mes], "&gt;="&amp;D$1,
  desp.m.ik[mes], "&lt;"&amp;EOMONTH(D$1,0)+1
)</f>
        <v>0</v>
      </c>
      <c r="E95" s="183">
        <f ca="1">-SUMIFS(
  desp.m.ik[valor],
  desp.m.ik[nucleo], $B95,
  desp.m.ik[centro.negocio], $B$90,
  desp.m.ik[mes], "&gt;="&amp;E$1,
  desp.m.ik[mes], "&lt;"&amp;EOMONTH(E$1,0)+1
)</f>
        <v>0</v>
      </c>
      <c r="F95" s="183">
        <f ca="1">-SUMIFS(
  desp.m.ik[valor],
  desp.m.ik[nucleo], $B95,
  desp.m.ik[centro.negocio], $B$90,
  desp.m.ik[mes], "&gt;="&amp;F$1,
  desp.m.ik[mes], "&lt;"&amp;EOMONTH(F$1,0)+1
)</f>
        <v>0</v>
      </c>
      <c r="G95" s="183">
        <f ca="1">-SUMIFS(
  desp.m.ik[valor],
  desp.m.ik[nucleo], $B95,
  desp.m.ik[centro.negocio], $B$90,
  desp.m.ik[mes], "&gt;="&amp;G$1,
  desp.m.ik[mes], "&lt;"&amp;EOMONTH(G$1,0)+1
)</f>
        <v>0</v>
      </c>
      <c r="H95" s="183">
        <f ca="1">-SUMIFS(
  desp.m.ik[valor],
  desp.m.ik[nucleo], $B95,
  desp.m.ik[centro.negocio], $B$90,
  desp.m.ik[mes], "&gt;="&amp;H$1,
  desp.m.ik[mes], "&lt;"&amp;EOMONTH(H$1,0)+1
)</f>
        <v>0</v>
      </c>
      <c r="I95" s="183">
        <f ca="1">-SUMIFS(
  desp.m.ik[valor],
  desp.m.ik[nucleo], $B95,
  desp.m.ik[centro.negocio], $B$90,
  desp.m.ik[mes], "&gt;="&amp;I$1,
  desp.m.ik[mes], "&lt;"&amp;EOMONTH(I$1,0)+1
)</f>
        <v>0</v>
      </c>
      <c r="J95" s="183">
        <f ca="1">-SUMIFS(
  desp.m.ik[valor],
  desp.m.ik[nucleo], $B95,
  desp.m.ik[centro.negocio], $B$90,
  desp.m.ik[mes], "&gt;="&amp;J$1,
  desp.m.ik[mes], "&lt;"&amp;EOMONTH(J$1,0)+1
)</f>
        <v>0</v>
      </c>
      <c r="K95" s="183">
        <f ca="1">-SUMIFS(
  desp.m.ik[valor],
  desp.m.ik[nucleo], $B95,
  desp.m.ik[centro.negocio], $B$90,
  desp.m.ik[mes], "&gt;="&amp;K$1,
  desp.m.ik[mes], "&lt;"&amp;EOMONTH(K$1,0)+1
)</f>
        <v>0</v>
      </c>
      <c r="L95" s="183">
        <f ca="1">-SUMIFS(
  desp.m.ik[valor],
  desp.m.ik[nucleo], $B95,
  desp.m.ik[centro.negocio], $B$90,
  desp.m.ik[mes], "&gt;="&amp;L$1,
  desp.m.ik[mes], "&lt;"&amp;EOMONTH(L$1,0)+1
)</f>
        <v>0</v>
      </c>
      <c r="M95" s="183">
        <f ca="1">-SUMIFS(
  desp.m.ik[valor],
  desp.m.ik[nucleo], $B95,
  desp.m.ik[centro.negocio], $B$90,
  desp.m.ik[mes], "&gt;="&amp;M$1,
  desp.m.ik[mes], "&lt;"&amp;EOMONTH(M$1,0)+1
)</f>
        <v>0</v>
      </c>
      <c r="N95" s="183">
        <f ca="1">-SUMIFS(
  desp.m.ik[valor],
  desp.m.ik[nucleo], $B95,
  desp.m.ik[centro.negocio], $B$90,
  desp.m.ik[mes], "&gt;="&amp;N$1,
  desp.m.ik[mes], "&lt;"&amp;EOMONTH(N$1,0)+1
)</f>
        <v>0</v>
      </c>
      <c r="O95" s="183">
        <f ca="1">-SUMIFS(
  desp.m.ik[valor],
  desp.m.ik[nucleo], $B95,
  desp.m.ik[centro.negocio], $B$90,
  desp.m.ik[mes], "&gt;="&amp;O$1,
  desp.m.ik[mes], "&lt;"&amp;EOMONTH(O$1,0)+1
)</f>
        <v>0</v>
      </c>
      <c r="P95" s="183">
        <f ca="1">-SUMIFS(
  desp.m.ik[valor],
  desp.m.ik[nucleo], $B95,
  desp.m.ik[centro.negocio], $B$90,
  desp.m.ik[mes], "&gt;="&amp;P$1,
  desp.m.ik[mes], "&lt;"&amp;EOMONTH(P$1,0)+1
)</f>
        <v>0</v>
      </c>
      <c r="Q95" s="183">
        <f ca="1">-SUMIFS(
  desp.m.ik[valor],
  desp.m.ik[nucleo], $B95,
  desp.m.ik[centro.negocio], $B$90,
  desp.m.ik[mes], "&gt;="&amp;Q$1,
  desp.m.ik[mes], "&lt;"&amp;EOMONTH(Q$1,0)+1
)</f>
        <v>0</v>
      </c>
      <c r="R95" s="183">
        <f ca="1">-SUMIFS(
  desp.m.ik[valor],
  desp.m.ik[nucleo], $B95,
  desp.m.ik[centro.negocio], $B$90,
  desp.m.ik[mes], "&gt;="&amp;R$1,
  desp.m.ik[mes], "&lt;"&amp;EOMONTH(R$1,0)+1
)</f>
        <v>0</v>
      </c>
      <c r="S95" s="183">
        <f ca="1">-SUMIFS(
  desp.m.ik[valor],
  desp.m.ik[nucleo], $B95,
  desp.m.ik[centro.negocio], $B$90,
  desp.m.ik[mes], "&gt;="&amp;S$1,
  desp.m.ik[mes], "&lt;"&amp;EOMONTH(S$1,0)+1
)</f>
        <v>0</v>
      </c>
      <c r="T95" s="183">
        <f ca="1">-SUMIFS(
  desp.m.ik[valor],
  desp.m.ik[nucleo], $B95,
  desp.m.ik[centro.negocio], $B$90,
  desp.m.ik[mes], "&gt;="&amp;T$1,
  desp.m.ik[mes], "&lt;"&amp;EOMONTH(T$1,0)+1
)</f>
        <v>0</v>
      </c>
      <c r="U95" s="183">
        <f ca="1">-SUMIFS(
  desp.m.ik[valor],
  desp.m.ik[nucleo], $B95,
  desp.m.ik[centro.negocio], $B$90,
  desp.m.ik[mes], "&gt;="&amp;U$1,
  desp.m.ik[mes], "&lt;"&amp;EOMONTH(U$1,0)+1
)</f>
        <v>0</v>
      </c>
      <c r="V95" s="183">
        <f ca="1">-SUMIFS(
  desp.m.ik[valor],
  desp.m.ik[nucleo], $B95,
  desp.m.ik[centro.negocio], $B$90,
  desp.m.ik[mes], "&gt;="&amp;V$1,
  desp.m.ik[mes], "&lt;"&amp;EOMONTH(V$1,0)+1
)</f>
        <v>0</v>
      </c>
      <c r="W95" s="183">
        <f ca="1">-SUMIFS(
  desp.m.ik[valor],
  desp.m.ik[nucleo], $B95,
  desp.m.ik[centro.negocio], $B$90,
  desp.m.ik[mes], "&gt;="&amp;W$1,
  desp.m.ik[mes], "&lt;"&amp;EOMONTH(W$1,0)+1
)</f>
        <v>0</v>
      </c>
      <c r="X95" s="183">
        <f ca="1">-SUMIFS(
  desp.m.ik[valor],
  desp.m.ik[nucleo], $B95,
  desp.m.ik[centro.negocio], $B$90,
  desp.m.ik[mes], "&gt;="&amp;X$1,
  desp.m.ik[mes], "&lt;"&amp;EOMONTH(X$1,0)+1
)</f>
        <v>0</v>
      </c>
      <c r="Y95" s="183">
        <f ca="1">-SUMIFS(
  desp.m.ik[valor],
  desp.m.ik[nucleo], $B95,
  desp.m.ik[centro.negocio], $B$90,
  desp.m.ik[mes], "&gt;="&amp;Y$1,
  desp.m.ik[mes], "&lt;"&amp;EOMONTH(Y$1,0)+1
)</f>
        <v>0</v>
      </c>
      <c r="Z95" s="183">
        <f ca="1">-SUMIFS(
  desp.m.ik[valor],
  desp.m.ik[nucleo], $B95,
  desp.m.ik[centro.negocio], $B$90,
  desp.m.ik[mes], "&gt;="&amp;Z$1,
  desp.m.ik[mes], "&lt;"&amp;EOMONTH(Z$1,0)+1
)</f>
        <v>0</v>
      </c>
      <c r="AA95" s="183">
        <f ca="1">-SUMIFS(
  desp.m.ik[valor],
  desp.m.ik[nucleo], $B95,
  desp.m.ik[centro.negocio], $B$90,
  desp.m.ik[mes], "&gt;="&amp;AA$1,
  desp.m.ik[mes], "&lt;"&amp;EOMONTH(AA$1,0)+1
)</f>
        <v>0</v>
      </c>
      <c r="AC95" s="175">
        <f ca="1">SUM($D95:INDEX($D95:$AA95,1,MATCH(DATE(YEAR(inputs!$A$1),MONTH(inputs!$A$1),1),$D$1:$AA$1,0)))</f>
        <v>0</v>
      </c>
      <c r="AE95" s="175">
        <f t="shared" ca="1" si="23"/>
        <v>0</v>
      </c>
    </row>
    <row r="96" spans="1:31" outlineLevel="2" x14ac:dyDescent="0.25">
      <c r="A96" s="182" t="s">
        <v>963</v>
      </c>
      <c r="B96" s="182" t="s">
        <v>533</v>
      </c>
      <c r="C96" s="135" t="s">
        <v>514</v>
      </c>
      <c r="D96" s="183">
        <f ca="1">-SUMIFS(
  desp.m.ik[valor],
  desp.m.ik[nucleo], $B96,
  desp.m.ik[centro.negocio], $B$90,
  desp.m.ik[mes], "&gt;="&amp;D$1,
  desp.m.ik[mes], "&lt;"&amp;EOMONTH(D$1,0)+1
)</f>
        <v>0</v>
      </c>
      <c r="E96" s="183">
        <f ca="1">-SUMIFS(
  desp.m.ik[valor],
  desp.m.ik[nucleo], $B96,
  desp.m.ik[centro.negocio], $B$90,
  desp.m.ik[mes], "&gt;="&amp;E$1,
  desp.m.ik[mes], "&lt;"&amp;EOMONTH(E$1,0)+1
)</f>
        <v>0</v>
      </c>
      <c r="F96" s="183">
        <f ca="1">-SUMIFS(
  desp.m.ik[valor],
  desp.m.ik[nucleo], $B96,
  desp.m.ik[centro.negocio], $B$90,
  desp.m.ik[mes], "&gt;="&amp;F$1,
  desp.m.ik[mes], "&lt;"&amp;EOMONTH(F$1,0)+1
)</f>
        <v>0</v>
      </c>
      <c r="G96" s="183">
        <f ca="1">-SUMIFS(
  desp.m.ik[valor],
  desp.m.ik[nucleo], $B96,
  desp.m.ik[centro.negocio], $B$90,
  desp.m.ik[mes], "&gt;="&amp;G$1,
  desp.m.ik[mes], "&lt;"&amp;EOMONTH(G$1,0)+1
)</f>
        <v>0</v>
      </c>
      <c r="H96" s="183">
        <f ca="1">-SUMIFS(
  desp.m.ik[valor],
  desp.m.ik[nucleo], $B96,
  desp.m.ik[centro.negocio], $B$90,
  desp.m.ik[mes], "&gt;="&amp;H$1,
  desp.m.ik[mes], "&lt;"&amp;EOMONTH(H$1,0)+1
)</f>
        <v>0</v>
      </c>
      <c r="I96" s="183">
        <f ca="1">-SUMIFS(
  desp.m.ik[valor],
  desp.m.ik[nucleo], $B96,
  desp.m.ik[centro.negocio], $B$90,
  desp.m.ik[mes], "&gt;="&amp;I$1,
  desp.m.ik[mes], "&lt;"&amp;EOMONTH(I$1,0)+1
)</f>
        <v>0</v>
      </c>
      <c r="J96" s="183">
        <f ca="1">-SUMIFS(
  desp.m.ik[valor],
  desp.m.ik[nucleo], $B96,
  desp.m.ik[centro.negocio], $B$90,
  desp.m.ik[mes], "&gt;="&amp;J$1,
  desp.m.ik[mes], "&lt;"&amp;EOMONTH(J$1,0)+1
)</f>
        <v>0</v>
      </c>
      <c r="K96" s="183">
        <f ca="1">-SUMIFS(
  desp.m.ik[valor],
  desp.m.ik[nucleo], $B96,
  desp.m.ik[centro.negocio], $B$90,
  desp.m.ik[mes], "&gt;="&amp;K$1,
  desp.m.ik[mes], "&lt;"&amp;EOMONTH(K$1,0)+1
)</f>
        <v>0</v>
      </c>
      <c r="L96" s="183">
        <f ca="1">-SUMIFS(
  desp.m.ik[valor],
  desp.m.ik[nucleo], $B96,
  desp.m.ik[centro.negocio], $B$90,
  desp.m.ik[mes], "&gt;="&amp;L$1,
  desp.m.ik[mes], "&lt;"&amp;EOMONTH(L$1,0)+1
)</f>
        <v>0</v>
      </c>
      <c r="M96" s="183">
        <f ca="1">-SUMIFS(
  desp.m.ik[valor],
  desp.m.ik[nucleo], $B96,
  desp.m.ik[centro.negocio], $B$90,
  desp.m.ik[mes], "&gt;="&amp;M$1,
  desp.m.ik[mes], "&lt;"&amp;EOMONTH(M$1,0)+1
)</f>
        <v>0</v>
      </c>
      <c r="N96" s="183">
        <f ca="1">-SUMIFS(
  desp.m.ik[valor],
  desp.m.ik[nucleo], $B96,
  desp.m.ik[centro.negocio], $B$90,
  desp.m.ik[mes], "&gt;="&amp;N$1,
  desp.m.ik[mes], "&lt;"&amp;EOMONTH(N$1,0)+1
)</f>
        <v>0</v>
      </c>
      <c r="O96" s="183">
        <f ca="1">-SUMIFS(
  desp.m.ik[valor],
  desp.m.ik[nucleo], $B96,
  desp.m.ik[centro.negocio], $B$90,
  desp.m.ik[mes], "&gt;="&amp;O$1,
  desp.m.ik[mes], "&lt;"&amp;EOMONTH(O$1,0)+1
)</f>
        <v>0</v>
      </c>
      <c r="P96" s="183">
        <f ca="1">-SUMIFS(
  desp.m.ik[valor],
  desp.m.ik[nucleo], $B96,
  desp.m.ik[centro.negocio], $B$90,
  desp.m.ik[mes], "&gt;="&amp;P$1,
  desp.m.ik[mes], "&lt;"&amp;EOMONTH(P$1,0)+1
)</f>
        <v>0</v>
      </c>
      <c r="Q96" s="183">
        <f ca="1">-SUMIFS(
  desp.m.ik[valor],
  desp.m.ik[nucleo], $B96,
  desp.m.ik[centro.negocio], $B$90,
  desp.m.ik[mes], "&gt;="&amp;Q$1,
  desp.m.ik[mes], "&lt;"&amp;EOMONTH(Q$1,0)+1
)</f>
        <v>0</v>
      </c>
      <c r="R96" s="183">
        <f ca="1">-SUMIFS(
  desp.m.ik[valor],
  desp.m.ik[nucleo], $B96,
  desp.m.ik[centro.negocio], $B$90,
  desp.m.ik[mes], "&gt;="&amp;R$1,
  desp.m.ik[mes], "&lt;"&amp;EOMONTH(R$1,0)+1
)</f>
        <v>0</v>
      </c>
      <c r="S96" s="183">
        <f ca="1">-SUMIFS(
  desp.m.ik[valor],
  desp.m.ik[nucleo], $B96,
  desp.m.ik[centro.negocio], $B$90,
  desp.m.ik[mes], "&gt;="&amp;S$1,
  desp.m.ik[mes], "&lt;"&amp;EOMONTH(S$1,0)+1
)</f>
        <v>0</v>
      </c>
      <c r="T96" s="183">
        <f ca="1">-SUMIFS(
  desp.m.ik[valor],
  desp.m.ik[nucleo], $B96,
  desp.m.ik[centro.negocio], $B$90,
  desp.m.ik[mes], "&gt;="&amp;T$1,
  desp.m.ik[mes], "&lt;"&amp;EOMONTH(T$1,0)+1
)</f>
        <v>0</v>
      </c>
      <c r="U96" s="183">
        <f ca="1">-SUMIFS(
  desp.m.ik[valor],
  desp.m.ik[nucleo], $B96,
  desp.m.ik[centro.negocio], $B$90,
  desp.m.ik[mes], "&gt;="&amp;U$1,
  desp.m.ik[mes], "&lt;"&amp;EOMONTH(U$1,0)+1
)</f>
        <v>0</v>
      </c>
      <c r="V96" s="183">
        <f ca="1">-SUMIFS(
  desp.m.ik[valor],
  desp.m.ik[nucleo], $B96,
  desp.m.ik[centro.negocio], $B$90,
  desp.m.ik[mes], "&gt;="&amp;V$1,
  desp.m.ik[mes], "&lt;"&amp;EOMONTH(V$1,0)+1
)</f>
        <v>0</v>
      </c>
      <c r="W96" s="183">
        <f ca="1">-SUMIFS(
  desp.m.ik[valor],
  desp.m.ik[nucleo], $B96,
  desp.m.ik[centro.negocio], $B$90,
  desp.m.ik[mes], "&gt;="&amp;W$1,
  desp.m.ik[mes], "&lt;"&amp;EOMONTH(W$1,0)+1
)</f>
        <v>0</v>
      </c>
      <c r="X96" s="183">
        <f ca="1">-SUMIFS(
  desp.m.ik[valor],
  desp.m.ik[nucleo], $B96,
  desp.m.ik[centro.negocio], $B$90,
  desp.m.ik[mes], "&gt;="&amp;X$1,
  desp.m.ik[mes], "&lt;"&amp;EOMONTH(X$1,0)+1
)</f>
        <v>0</v>
      </c>
      <c r="Y96" s="183">
        <f ca="1">-SUMIFS(
  desp.m.ik[valor],
  desp.m.ik[nucleo], $B96,
  desp.m.ik[centro.negocio], $B$90,
  desp.m.ik[mes], "&gt;="&amp;Y$1,
  desp.m.ik[mes], "&lt;"&amp;EOMONTH(Y$1,0)+1
)</f>
        <v>0</v>
      </c>
      <c r="Z96" s="183">
        <f ca="1">-SUMIFS(
  desp.m.ik[valor],
  desp.m.ik[nucleo], $B96,
  desp.m.ik[centro.negocio], $B$90,
  desp.m.ik[mes], "&gt;="&amp;Z$1,
  desp.m.ik[mes], "&lt;"&amp;EOMONTH(Z$1,0)+1
)</f>
        <v>0</v>
      </c>
      <c r="AA96" s="183">
        <f ca="1">-SUMIFS(
  desp.m.ik[valor],
  desp.m.ik[nucleo], $B96,
  desp.m.ik[centro.negocio], $B$90,
  desp.m.ik[mes], "&gt;="&amp;AA$1,
  desp.m.ik[mes], "&lt;"&amp;EOMONTH(AA$1,0)+1
)</f>
        <v>0</v>
      </c>
      <c r="AC96" s="175">
        <f ca="1">SUM($D96:INDEX($D96:$AA96,1,MATCH(DATE(YEAR(inputs!$A$1),MONTH(inputs!$A$1),1),$D$1:$AA$1,0)))</f>
        <v>0</v>
      </c>
      <c r="AE96" s="175">
        <f ca="1">SUM(D96:AA96)</f>
        <v>0</v>
      </c>
    </row>
    <row r="97" spans="1:31" outlineLevel="2" x14ac:dyDescent="0.25">
      <c r="A97" s="182" t="s">
        <v>1025</v>
      </c>
      <c r="B97" s="182" t="s">
        <v>578</v>
      </c>
      <c r="C97" s="135" t="s">
        <v>514</v>
      </c>
      <c r="D97" s="183">
        <f ca="1">-SUMIFS(
  desp.m.ik[valor],
  desp.m.ik[nucleo], $B97,
  desp.m.ik[centro.negocio], $B$90,
  desp.m.ik[mes], "&gt;="&amp;D$1,
  desp.m.ik[mes], "&lt;"&amp;EOMONTH(D$1,0)+1
)</f>
        <v>0</v>
      </c>
      <c r="E97" s="183">
        <f ca="1">-SUMIFS(
  desp.m.ik[valor],
  desp.m.ik[nucleo], $B97,
  desp.m.ik[centro.negocio], $B$90,
  desp.m.ik[mes], "&gt;="&amp;E$1,
  desp.m.ik[mes], "&lt;"&amp;EOMONTH(E$1,0)+1
)</f>
        <v>0</v>
      </c>
      <c r="F97" s="183">
        <f ca="1">-SUMIFS(
  desp.m.ik[valor],
  desp.m.ik[nucleo], $B97,
  desp.m.ik[centro.negocio], $B$90,
  desp.m.ik[mes], "&gt;="&amp;F$1,
  desp.m.ik[mes], "&lt;"&amp;EOMONTH(F$1,0)+1
)</f>
        <v>0</v>
      </c>
      <c r="G97" s="183">
        <f ca="1">-SUMIFS(
  desp.m.ik[valor],
  desp.m.ik[nucleo], $B97,
  desp.m.ik[centro.negocio], $B$90,
  desp.m.ik[mes], "&gt;="&amp;G$1,
  desp.m.ik[mes], "&lt;"&amp;EOMONTH(G$1,0)+1
)</f>
        <v>0</v>
      </c>
      <c r="H97" s="183">
        <f ca="1">-SUMIFS(
  desp.m.ik[valor],
  desp.m.ik[nucleo], $B97,
  desp.m.ik[centro.negocio], $B$90,
  desp.m.ik[mes], "&gt;="&amp;H$1,
  desp.m.ik[mes], "&lt;"&amp;EOMONTH(H$1,0)+1
)</f>
        <v>0</v>
      </c>
      <c r="I97" s="183">
        <f ca="1">-SUMIFS(
  desp.m.ik[valor],
  desp.m.ik[nucleo], $B97,
  desp.m.ik[centro.negocio], $B$90,
  desp.m.ik[mes], "&gt;="&amp;I$1,
  desp.m.ik[mes], "&lt;"&amp;EOMONTH(I$1,0)+1
)</f>
        <v>0</v>
      </c>
      <c r="J97" s="183">
        <f ca="1">-SUMIFS(
  desp.m.ik[valor],
  desp.m.ik[nucleo], $B97,
  desp.m.ik[centro.negocio], $B$90,
  desp.m.ik[mes], "&gt;="&amp;J$1,
  desp.m.ik[mes], "&lt;"&amp;EOMONTH(J$1,0)+1
)</f>
        <v>0</v>
      </c>
      <c r="K97" s="183">
        <f ca="1">-SUMIFS(
  desp.m.ik[valor],
  desp.m.ik[nucleo], $B97,
  desp.m.ik[centro.negocio], $B$90,
  desp.m.ik[mes], "&gt;="&amp;K$1,
  desp.m.ik[mes], "&lt;"&amp;EOMONTH(K$1,0)+1
)</f>
        <v>0</v>
      </c>
      <c r="L97" s="183">
        <f ca="1">-SUMIFS(
  desp.m.ik[valor],
  desp.m.ik[nucleo], $B97,
  desp.m.ik[centro.negocio], $B$90,
  desp.m.ik[mes], "&gt;="&amp;L$1,
  desp.m.ik[mes], "&lt;"&amp;EOMONTH(L$1,0)+1
)</f>
        <v>0</v>
      </c>
      <c r="M97" s="183">
        <f ca="1">-SUMIFS(
  desp.m.ik[valor],
  desp.m.ik[nucleo], $B97,
  desp.m.ik[centro.negocio], $B$90,
  desp.m.ik[mes], "&gt;="&amp;M$1,
  desp.m.ik[mes], "&lt;"&amp;EOMONTH(M$1,0)+1
)</f>
        <v>0</v>
      </c>
      <c r="N97" s="183">
        <f ca="1">-SUMIFS(
  desp.m.ik[valor],
  desp.m.ik[nucleo], $B97,
  desp.m.ik[centro.negocio], $B$90,
  desp.m.ik[mes], "&gt;="&amp;N$1,
  desp.m.ik[mes], "&lt;"&amp;EOMONTH(N$1,0)+1
)</f>
        <v>0</v>
      </c>
      <c r="O97" s="183">
        <f ca="1">-SUMIFS(
  desp.m.ik[valor],
  desp.m.ik[nucleo], $B97,
  desp.m.ik[centro.negocio], $B$90,
  desp.m.ik[mes], "&gt;="&amp;O$1,
  desp.m.ik[mes], "&lt;"&amp;EOMONTH(O$1,0)+1
)</f>
        <v>0</v>
      </c>
      <c r="P97" s="183">
        <f ca="1">-SUMIFS(
  desp.m.ik[valor],
  desp.m.ik[nucleo], $B97,
  desp.m.ik[centro.negocio], $B$90,
  desp.m.ik[mes], "&gt;="&amp;P$1,
  desp.m.ik[mes], "&lt;"&amp;EOMONTH(P$1,0)+1
)</f>
        <v>0</v>
      </c>
      <c r="Q97" s="183">
        <f ca="1">-SUMIFS(
  desp.m.ik[valor],
  desp.m.ik[nucleo], $B97,
  desp.m.ik[centro.negocio], $B$90,
  desp.m.ik[mes], "&gt;="&amp;Q$1,
  desp.m.ik[mes], "&lt;"&amp;EOMONTH(Q$1,0)+1
)</f>
        <v>0</v>
      </c>
      <c r="R97" s="183">
        <f ca="1">-SUMIFS(
  desp.m.ik[valor],
  desp.m.ik[nucleo], $B97,
  desp.m.ik[centro.negocio], $B$90,
  desp.m.ik[mes], "&gt;="&amp;R$1,
  desp.m.ik[mes], "&lt;"&amp;EOMONTH(R$1,0)+1
)</f>
        <v>0</v>
      </c>
      <c r="S97" s="183">
        <f ca="1">-SUMIFS(
  desp.m.ik[valor],
  desp.m.ik[nucleo], $B97,
  desp.m.ik[centro.negocio], $B$90,
  desp.m.ik[mes], "&gt;="&amp;S$1,
  desp.m.ik[mes], "&lt;"&amp;EOMONTH(S$1,0)+1
)</f>
        <v>0</v>
      </c>
      <c r="T97" s="183">
        <f ca="1">-SUMIFS(
  desp.m.ik[valor],
  desp.m.ik[nucleo], $B97,
  desp.m.ik[centro.negocio], $B$90,
  desp.m.ik[mes], "&gt;="&amp;T$1,
  desp.m.ik[mes], "&lt;"&amp;EOMONTH(T$1,0)+1
)</f>
        <v>0</v>
      </c>
      <c r="U97" s="183">
        <f ca="1">-SUMIFS(
  desp.m.ik[valor],
  desp.m.ik[nucleo], $B97,
  desp.m.ik[centro.negocio], $B$90,
  desp.m.ik[mes], "&gt;="&amp;U$1,
  desp.m.ik[mes], "&lt;"&amp;EOMONTH(U$1,0)+1
)</f>
        <v>0</v>
      </c>
      <c r="V97" s="183">
        <f ca="1">-SUMIFS(
  desp.m.ik[valor],
  desp.m.ik[nucleo], $B97,
  desp.m.ik[centro.negocio], $B$90,
  desp.m.ik[mes], "&gt;="&amp;V$1,
  desp.m.ik[mes], "&lt;"&amp;EOMONTH(V$1,0)+1
)</f>
        <v>0</v>
      </c>
      <c r="W97" s="183">
        <f ca="1">-SUMIFS(
  desp.m.ik[valor],
  desp.m.ik[nucleo], $B97,
  desp.m.ik[centro.negocio], $B$90,
  desp.m.ik[mes], "&gt;="&amp;W$1,
  desp.m.ik[mes], "&lt;"&amp;EOMONTH(W$1,0)+1
)</f>
        <v>0</v>
      </c>
      <c r="X97" s="183">
        <f ca="1">-SUMIFS(
  desp.m.ik[valor],
  desp.m.ik[nucleo], $B97,
  desp.m.ik[centro.negocio], $B$90,
  desp.m.ik[mes], "&gt;="&amp;X$1,
  desp.m.ik[mes], "&lt;"&amp;EOMONTH(X$1,0)+1
)</f>
        <v>0</v>
      </c>
      <c r="Y97" s="183">
        <f ca="1">-SUMIFS(
  desp.m.ik[valor],
  desp.m.ik[nucleo], $B97,
  desp.m.ik[centro.negocio], $B$90,
  desp.m.ik[mes], "&gt;="&amp;Y$1,
  desp.m.ik[mes], "&lt;"&amp;EOMONTH(Y$1,0)+1
)</f>
        <v>0</v>
      </c>
      <c r="Z97" s="183">
        <f ca="1">-SUMIFS(
  desp.m.ik[valor],
  desp.m.ik[nucleo], $B97,
  desp.m.ik[centro.negocio], $B$90,
  desp.m.ik[mes], "&gt;="&amp;Z$1,
  desp.m.ik[mes], "&lt;"&amp;EOMONTH(Z$1,0)+1
)</f>
        <v>0</v>
      </c>
      <c r="AA97" s="183">
        <f ca="1">-SUMIFS(
  desp.m.ik[valor],
  desp.m.ik[nucleo], $B97,
  desp.m.ik[centro.negocio], $B$90,
  desp.m.ik[mes], "&gt;="&amp;AA$1,
  desp.m.ik[mes], "&lt;"&amp;EOMONTH(AA$1,0)+1
)</f>
        <v>0</v>
      </c>
      <c r="AC97" s="175">
        <f ca="1">SUM($D97:INDEX($D97:$AA97,1,MATCH(DATE(YEAR(inputs!$A$1),MONTH(inputs!$A$1),1),$D$1:$AA$1,0)))</f>
        <v>0</v>
      </c>
      <c r="AE97" s="175">
        <f t="shared" ref="AE97" ca="1" si="25">SUM(D97:AA97)</f>
        <v>0</v>
      </c>
    </row>
    <row r="98" spans="1:31" outlineLevel="2" x14ac:dyDescent="0.25">
      <c r="A98" s="182" t="s">
        <v>962</v>
      </c>
      <c r="B98" s="182" t="s">
        <v>541</v>
      </c>
      <c r="C98" s="135" t="s">
        <v>514</v>
      </c>
      <c r="D98" s="183">
        <f ca="1">-SUMIFS(
  desp.m.ik[valor],
  desp.m.ik[nucleo], $B98,
  desp.m.ik[centro.negocio], $B$90,
  desp.m.ik[mes], "&gt;="&amp;D$1,
  desp.m.ik[mes], "&lt;"&amp;EOMONTH(D$1,0)+1
)</f>
        <v>0</v>
      </c>
      <c r="E98" s="183">
        <f ca="1">-SUMIFS(
  desp.m.ik[valor],
  desp.m.ik[nucleo], $B98,
  desp.m.ik[centro.negocio], $B$90,
  desp.m.ik[mes], "&gt;="&amp;E$1,
  desp.m.ik[mes], "&lt;"&amp;EOMONTH(E$1,0)+1
)</f>
        <v>0</v>
      </c>
      <c r="F98" s="183">
        <f ca="1">-SUMIFS(
  desp.m.ik[valor],
  desp.m.ik[nucleo], $B98,
  desp.m.ik[centro.negocio], $B$90,
  desp.m.ik[mes], "&gt;="&amp;F$1,
  desp.m.ik[mes], "&lt;"&amp;EOMONTH(F$1,0)+1
)</f>
        <v>0</v>
      </c>
      <c r="G98" s="183">
        <f ca="1">-SUMIFS(
  desp.m.ik[valor],
  desp.m.ik[nucleo], $B98,
  desp.m.ik[centro.negocio], $B$90,
  desp.m.ik[mes], "&gt;="&amp;G$1,
  desp.m.ik[mes], "&lt;"&amp;EOMONTH(G$1,0)+1
)</f>
        <v>0</v>
      </c>
      <c r="H98" s="183">
        <f ca="1">-SUMIFS(
  desp.m.ik[valor],
  desp.m.ik[nucleo], $B98,
  desp.m.ik[centro.negocio], $B$90,
  desp.m.ik[mes], "&gt;="&amp;H$1,
  desp.m.ik[mes], "&lt;"&amp;EOMONTH(H$1,0)+1
)</f>
        <v>0</v>
      </c>
      <c r="I98" s="183">
        <f ca="1">-SUMIFS(
  desp.m.ik[valor],
  desp.m.ik[nucleo], $B98,
  desp.m.ik[centro.negocio], $B$90,
  desp.m.ik[mes], "&gt;="&amp;I$1,
  desp.m.ik[mes], "&lt;"&amp;EOMONTH(I$1,0)+1
)</f>
        <v>0</v>
      </c>
      <c r="J98" s="183">
        <f ca="1">-SUMIFS(
  desp.m.ik[valor],
  desp.m.ik[nucleo], $B98,
  desp.m.ik[centro.negocio], $B$90,
  desp.m.ik[mes], "&gt;="&amp;J$1,
  desp.m.ik[mes], "&lt;"&amp;EOMONTH(J$1,0)+1
)</f>
        <v>0</v>
      </c>
      <c r="K98" s="183">
        <f ca="1">-SUMIFS(
  desp.m.ik[valor],
  desp.m.ik[nucleo], $B98,
  desp.m.ik[centro.negocio], $B$90,
  desp.m.ik[mes], "&gt;="&amp;K$1,
  desp.m.ik[mes], "&lt;"&amp;EOMONTH(K$1,0)+1
)</f>
        <v>0</v>
      </c>
      <c r="L98" s="183">
        <f ca="1">-SUMIFS(
  desp.m.ik[valor],
  desp.m.ik[nucleo], $B98,
  desp.m.ik[centro.negocio], $B$90,
  desp.m.ik[mes], "&gt;="&amp;L$1,
  desp.m.ik[mes], "&lt;"&amp;EOMONTH(L$1,0)+1
)</f>
        <v>0</v>
      </c>
      <c r="M98" s="183">
        <f ca="1">-SUMIFS(
  desp.m.ik[valor],
  desp.m.ik[nucleo], $B98,
  desp.m.ik[centro.negocio], $B$90,
  desp.m.ik[mes], "&gt;="&amp;M$1,
  desp.m.ik[mes], "&lt;"&amp;EOMONTH(M$1,0)+1
)</f>
        <v>0</v>
      </c>
      <c r="N98" s="183">
        <f ca="1">-SUMIFS(
  desp.m.ik[valor],
  desp.m.ik[nucleo], $B98,
  desp.m.ik[centro.negocio], $B$90,
  desp.m.ik[mes], "&gt;="&amp;N$1,
  desp.m.ik[mes], "&lt;"&amp;EOMONTH(N$1,0)+1
)</f>
        <v>0</v>
      </c>
      <c r="O98" s="183">
        <f ca="1">-SUMIFS(
  desp.m.ik[valor],
  desp.m.ik[nucleo], $B98,
  desp.m.ik[centro.negocio], $B$90,
  desp.m.ik[mes], "&gt;="&amp;O$1,
  desp.m.ik[mes], "&lt;"&amp;EOMONTH(O$1,0)+1
)</f>
        <v>0</v>
      </c>
      <c r="P98" s="183">
        <f ca="1">-SUMIFS(
  desp.m.ik[valor],
  desp.m.ik[nucleo], $B98,
  desp.m.ik[centro.negocio], $B$90,
  desp.m.ik[mes], "&gt;="&amp;P$1,
  desp.m.ik[mes], "&lt;"&amp;EOMONTH(P$1,0)+1
)</f>
        <v>0</v>
      </c>
      <c r="Q98" s="183">
        <f ca="1">-SUMIFS(
  desp.m.ik[valor],
  desp.m.ik[nucleo], $B98,
  desp.m.ik[centro.negocio], $B$90,
  desp.m.ik[mes], "&gt;="&amp;Q$1,
  desp.m.ik[mes], "&lt;"&amp;EOMONTH(Q$1,0)+1
)</f>
        <v>0</v>
      </c>
      <c r="R98" s="183">
        <f ca="1">-SUMIFS(
  desp.m.ik[valor],
  desp.m.ik[nucleo], $B98,
  desp.m.ik[centro.negocio], $B$90,
  desp.m.ik[mes], "&gt;="&amp;R$1,
  desp.m.ik[mes], "&lt;"&amp;EOMONTH(R$1,0)+1
)</f>
        <v>0</v>
      </c>
      <c r="S98" s="183">
        <f ca="1">-SUMIFS(
  desp.m.ik[valor],
  desp.m.ik[nucleo], $B98,
  desp.m.ik[centro.negocio], $B$90,
  desp.m.ik[mes], "&gt;="&amp;S$1,
  desp.m.ik[mes], "&lt;"&amp;EOMONTH(S$1,0)+1
)</f>
        <v>0</v>
      </c>
      <c r="T98" s="183">
        <f ca="1">-SUMIFS(
  desp.m.ik[valor],
  desp.m.ik[nucleo], $B98,
  desp.m.ik[centro.negocio], $B$90,
  desp.m.ik[mes], "&gt;="&amp;T$1,
  desp.m.ik[mes], "&lt;"&amp;EOMONTH(T$1,0)+1
)</f>
        <v>0</v>
      </c>
      <c r="U98" s="183">
        <f ca="1">-SUMIFS(
  desp.m.ik[valor],
  desp.m.ik[nucleo], $B98,
  desp.m.ik[centro.negocio], $B$90,
  desp.m.ik[mes], "&gt;="&amp;U$1,
  desp.m.ik[mes], "&lt;"&amp;EOMONTH(U$1,0)+1
)</f>
        <v>0</v>
      </c>
      <c r="V98" s="183">
        <f ca="1">-SUMIFS(
  desp.m.ik[valor],
  desp.m.ik[nucleo], $B98,
  desp.m.ik[centro.negocio], $B$90,
  desp.m.ik[mes], "&gt;="&amp;V$1,
  desp.m.ik[mes], "&lt;"&amp;EOMONTH(V$1,0)+1
)</f>
        <v>0</v>
      </c>
      <c r="W98" s="183">
        <f ca="1">-SUMIFS(
  desp.m.ik[valor],
  desp.m.ik[nucleo], $B98,
  desp.m.ik[centro.negocio], $B$90,
  desp.m.ik[mes], "&gt;="&amp;W$1,
  desp.m.ik[mes], "&lt;"&amp;EOMONTH(W$1,0)+1
)</f>
        <v>0</v>
      </c>
      <c r="X98" s="183">
        <f ca="1">-SUMIFS(
  desp.m.ik[valor],
  desp.m.ik[nucleo], $B98,
  desp.m.ik[centro.negocio], $B$90,
  desp.m.ik[mes], "&gt;="&amp;X$1,
  desp.m.ik[mes], "&lt;"&amp;EOMONTH(X$1,0)+1
)</f>
        <v>0</v>
      </c>
      <c r="Y98" s="183">
        <f ca="1">-SUMIFS(
  desp.m.ik[valor],
  desp.m.ik[nucleo], $B98,
  desp.m.ik[centro.negocio], $B$90,
  desp.m.ik[mes], "&gt;="&amp;Y$1,
  desp.m.ik[mes], "&lt;"&amp;EOMONTH(Y$1,0)+1
)</f>
        <v>0</v>
      </c>
      <c r="Z98" s="183">
        <f ca="1">-SUMIFS(
  desp.m.ik[valor],
  desp.m.ik[nucleo], $B98,
  desp.m.ik[centro.negocio], $B$90,
  desp.m.ik[mes], "&gt;="&amp;Z$1,
  desp.m.ik[mes], "&lt;"&amp;EOMONTH(Z$1,0)+1
)</f>
        <v>0</v>
      </c>
      <c r="AA98" s="183">
        <f ca="1">-SUMIFS(
  desp.m.ik[valor],
  desp.m.ik[nucleo], $B98,
  desp.m.ik[centro.negocio], $B$90,
  desp.m.ik[mes], "&gt;="&amp;AA$1,
  desp.m.ik[mes], "&lt;"&amp;EOMONTH(AA$1,0)+1
)</f>
        <v>0</v>
      </c>
      <c r="AC98" s="175">
        <f ca="1">SUM($D98:INDEX($D98:$AA98,1,MATCH(DATE(YEAR(inputs!$A$1),MONTH(inputs!$A$1),1),$D$1:$AA$1,0)))</f>
        <v>0</v>
      </c>
      <c r="AE98" s="175">
        <f t="shared" ca="1" si="23"/>
        <v>0</v>
      </c>
    </row>
    <row r="99" spans="1:31" outlineLevel="2" x14ac:dyDescent="0.25">
      <c r="A99" s="182" t="s">
        <v>1012</v>
      </c>
      <c r="B99" s="182" t="s">
        <v>531</v>
      </c>
      <c r="C99" s="135" t="s">
        <v>514</v>
      </c>
      <c r="D99" s="183">
        <f ca="1">-SUMIFS(
  desp.m.ik[valor],
  desp.m.ik[nucleo], $B99,
  desp.m.ik[centro.negocio], $B$90,
  desp.m.ik[mes], "&gt;="&amp;D$1,
  desp.m.ik[mes], "&lt;"&amp;EOMONTH(D$1,0)+1
)</f>
        <v>0</v>
      </c>
      <c r="E99" s="183">
        <f ca="1">-SUMIFS(
  desp.m.ik[valor],
  desp.m.ik[nucleo], $B99,
  desp.m.ik[centro.negocio], $B$90,
  desp.m.ik[mes], "&gt;="&amp;E$1,
  desp.m.ik[mes], "&lt;"&amp;EOMONTH(E$1,0)+1
)</f>
        <v>0</v>
      </c>
      <c r="F99" s="183">
        <f ca="1">-SUMIFS(
  desp.m.ik[valor],
  desp.m.ik[nucleo], $B99,
  desp.m.ik[centro.negocio], $B$90,
  desp.m.ik[mes], "&gt;="&amp;F$1,
  desp.m.ik[mes], "&lt;"&amp;EOMONTH(F$1,0)+1
)</f>
        <v>0</v>
      </c>
      <c r="G99" s="183">
        <f ca="1">-SUMIFS(
  desp.m.ik[valor],
  desp.m.ik[nucleo], $B99,
  desp.m.ik[centro.negocio], $B$90,
  desp.m.ik[mes], "&gt;="&amp;G$1,
  desp.m.ik[mes], "&lt;"&amp;EOMONTH(G$1,0)+1
)</f>
        <v>0</v>
      </c>
      <c r="H99" s="183">
        <f ca="1">-SUMIFS(
  desp.m.ik[valor],
  desp.m.ik[nucleo], $B99,
  desp.m.ik[centro.negocio], $B$90,
  desp.m.ik[mes], "&gt;="&amp;H$1,
  desp.m.ik[mes], "&lt;"&amp;EOMONTH(H$1,0)+1
)</f>
        <v>0</v>
      </c>
      <c r="I99" s="183">
        <f ca="1">-SUMIFS(
  desp.m.ik[valor],
  desp.m.ik[nucleo], $B99,
  desp.m.ik[centro.negocio], $B$90,
  desp.m.ik[mes], "&gt;="&amp;I$1,
  desp.m.ik[mes], "&lt;"&amp;EOMONTH(I$1,0)+1
)</f>
        <v>0</v>
      </c>
      <c r="J99" s="183">
        <f ca="1">-SUMIFS(
  desp.m.ik[valor],
  desp.m.ik[nucleo], $B99,
  desp.m.ik[centro.negocio], $B$90,
  desp.m.ik[mes], "&gt;="&amp;J$1,
  desp.m.ik[mes], "&lt;"&amp;EOMONTH(J$1,0)+1
)</f>
        <v>0</v>
      </c>
      <c r="K99" s="183">
        <f ca="1">-SUMIFS(
  desp.m.ik[valor],
  desp.m.ik[nucleo], $B99,
  desp.m.ik[centro.negocio], $B$90,
  desp.m.ik[mes], "&gt;="&amp;K$1,
  desp.m.ik[mes], "&lt;"&amp;EOMONTH(K$1,0)+1
)</f>
        <v>0</v>
      </c>
      <c r="L99" s="183">
        <f ca="1">-SUMIFS(
  desp.m.ik[valor],
  desp.m.ik[nucleo], $B99,
  desp.m.ik[centro.negocio], $B$90,
  desp.m.ik[mes], "&gt;="&amp;L$1,
  desp.m.ik[mes], "&lt;"&amp;EOMONTH(L$1,0)+1
)</f>
        <v>0</v>
      </c>
      <c r="M99" s="183">
        <f ca="1">-SUMIFS(
  desp.m.ik[valor],
  desp.m.ik[nucleo], $B99,
  desp.m.ik[centro.negocio], $B$90,
  desp.m.ik[mes], "&gt;="&amp;M$1,
  desp.m.ik[mes], "&lt;"&amp;EOMONTH(M$1,0)+1
)</f>
        <v>0</v>
      </c>
      <c r="N99" s="183">
        <f ca="1">-SUMIFS(
  desp.m.ik[valor],
  desp.m.ik[nucleo], $B99,
  desp.m.ik[centro.negocio], $B$90,
  desp.m.ik[mes], "&gt;="&amp;N$1,
  desp.m.ik[mes], "&lt;"&amp;EOMONTH(N$1,0)+1
)</f>
        <v>0</v>
      </c>
      <c r="O99" s="183">
        <f ca="1">-SUMIFS(
  desp.m.ik[valor],
  desp.m.ik[nucleo], $B99,
  desp.m.ik[centro.negocio], $B$90,
  desp.m.ik[mes], "&gt;="&amp;O$1,
  desp.m.ik[mes], "&lt;"&amp;EOMONTH(O$1,0)+1
)</f>
        <v>0</v>
      </c>
      <c r="P99" s="183">
        <f ca="1">-SUMIFS(
  desp.m.ik[valor],
  desp.m.ik[nucleo], $B99,
  desp.m.ik[centro.negocio], $B$90,
  desp.m.ik[mes], "&gt;="&amp;P$1,
  desp.m.ik[mes], "&lt;"&amp;EOMONTH(P$1,0)+1
)</f>
        <v>0</v>
      </c>
      <c r="Q99" s="183">
        <f ca="1">-SUMIFS(
  desp.m.ik[valor],
  desp.m.ik[nucleo], $B99,
  desp.m.ik[centro.negocio], $B$90,
  desp.m.ik[mes], "&gt;="&amp;Q$1,
  desp.m.ik[mes], "&lt;"&amp;EOMONTH(Q$1,0)+1
)</f>
        <v>0</v>
      </c>
      <c r="R99" s="183">
        <f ca="1">-SUMIFS(
  desp.m.ik[valor],
  desp.m.ik[nucleo], $B99,
  desp.m.ik[centro.negocio], $B$90,
  desp.m.ik[mes], "&gt;="&amp;R$1,
  desp.m.ik[mes], "&lt;"&amp;EOMONTH(R$1,0)+1
)</f>
        <v>0</v>
      </c>
      <c r="S99" s="183">
        <f ca="1">-SUMIFS(
  desp.m.ik[valor],
  desp.m.ik[nucleo], $B99,
  desp.m.ik[centro.negocio], $B$90,
  desp.m.ik[mes], "&gt;="&amp;S$1,
  desp.m.ik[mes], "&lt;"&amp;EOMONTH(S$1,0)+1
)</f>
        <v>0</v>
      </c>
      <c r="T99" s="183">
        <f ca="1">-SUMIFS(
  desp.m.ik[valor],
  desp.m.ik[nucleo], $B99,
  desp.m.ik[centro.negocio], $B$90,
  desp.m.ik[mes], "&gt;="&amp;T$1,
  desp.m.ik[mes], "&lt;"&amp;EOMONTH(T$1,0)+1
)</f>
        <v>0</v>
      </c>
      <c r="U99" s="183">
        <f ca="1">-SUMIFS(
  desp.m.ik[valor],
  desp.m.ik[nucleo], $B99,
  desp.m.ik[centro.negocio], $B$90,
  desp.m.ik[mes], "&gt;="&amp;U$1,
  desp.m.ik[mes], "&lt;"&amp;EOMONTH(U$1,0)+1
)</f>
        <v>0</v>
      </c>
      <c r="V99" s="183">
        <f ca="1">-SUMIFS(
  desp.m.ik[valor],
  desp.m.ik[nucleo], $B99,
  desp.m.ik[centro.negocio], $B$90,
  desp.m.ik[mes], "&gt;="&amp;V$1,
  desp.m.ik[mes], "&lt;"&amp;EOMONTH(V$1,0)+1
)</f>
        <v>0</v>
      </c>
      <c r="W99" s="183">
        <f ca="1">-SUMIFS(
  desp.m.ik[valor],
  desp.m.ik[nucleo], $B99,
  desp.m.ik[centro.negocio], $B$90,
  desp.m.ik[mes], "&gt;="&amp;W$1,
  desp.m.ik[mes], "&lt;"&amp;EOMONTH(W$1,0)+1
)</f>
        <v>0</v>
      </c>
      <c r="X99" s="183">
        <f ca="1">-SUMIFS(
  desp.m.ik[valor],
  desp.m.ik[nucleo], $B99,
  desp.m.ik[centro.negocio], $B$90,
  desp.m.ik[mes], "&gt;="&amp;X$1,
  desp.m.ik[mes], "&lt;"&amp;EOMONTH(X$1,0)+1
)</f>
        <v>0</v>
      </c>
      <c r="Y99" s="183">
        <f ca="1">-SUMIFS(
  desp.m.ik[valor],
  desp.m.ik[nucleo], $B99,
  desp.m.ik[centro.negocio], $B$90,
  desp.m.ik[mes], "&gt;="&amp;Y$1,
  desp.m.ik[mes], "&lt;"&amp;EOMONTH(Y$1,0)+1
)</f>
        <v>0</v>
      </c>
      <c r="Z99" s="183">
        <f ca="1">-SUMIFS(
  desp.m.ik[valor],
  desp.m.ik[nucleo], $B99,
  desp.m.ik[centro.negocio], $B$90,
  desp.m.ik[mes], "&gt;="&amp;Z$1,
  desp.m.ik[mes], "&lt;"&amp;EOMONTH(Z$1,0)+1
)</f>
        <v>0</v>
      </c>
      <c r="AA99" s="183">
        <f ca="1">-SUMIFS(
  desp.m.ik[valor],
  desp.m.ik[nucleo], $B99,
  desp.m.ik[centro.negocio], $B$90,
  desp.m.ik[mes], "&gt;="&amp;AA$1,
  desp.m.ik[mes], "&lt;"&amp;EOMONTH(AA$1,0)+1
)</f>
        <v>0</v>
      </c>
      <c r="AC99" s="175">
        <f ca="1">SUM($D99:INDEX($D99:$AA99,1,MATCH(DATE(YEAR(inputs!$A$1),MONTH(inputs!$A$1),1),$D$1:$AA$1,0)))</f>
        <v>0</v>
      </c>
      <c r="AE99" s="175">
        <f t="shared" ca="1" si="23"/>
        <v>0</v>
      </c>
    </row>
    <row r="100" spans="1:31" outlineLevel="2" x14ac:dyDescent="0.25">
      <c r="A100" s="182" t="s">
        <v>1013</v>
      </c>
      <c r="B100" s="182" t="s">
        <v>556</v>
      </c>
      <c r="C100" s="135" t="s">
        <v>514</v>
      </c>
      <c r="D100" s="183">
        <f ca="1">-SUMIFS(
  desp.m.ik[valor],
  desp.m.ik[nucleo], $B100,
  desp.m.ik[centro.negocio], $B$90,
  desp.m.ik[mes], "&gt;="&amp;D$1,
  desp.m.ik[mes], "&lt;"&amp;EOMONTH(D$1,0)+1
)</f>
        <v>0</v>
      </c>
      <c r="E100" s="183">
        <f ca="1">-SUMIFS(
  desp.m.ik[valor],
  desp.m.ik[nucleo], $B100,
  desp.m.ik[centro.negocio], $B$90,
  desp.m.ik[mes], "&gt;="&amp;E$1,
  desp.m.ik[mes], "&lt;"&amp;EOMONTH(E$1,0)+1
)</f>
        <v>0</v>
      </c>
      <c r="F100" s="183">
        <f ca="1">-SUMIFS(
  desp.m.ik[valor],
  desp.m.ik[nucleo], $B100,
  desp.m.ik[centro.negocio], $B$90,
  desp.m.ik[mes], "&gt;="&amp;F$1,
  desp.m.ik[mes], "&lt;"&amp;EOMONTH(F$1,0)+1
)</f>
        <v>0</v>
      </c>
      <c r="G100" s="183">
        <f ca="1">-SUMIFS(
  desp.m.ik[valor],
  desp.m.ik[nucleo], $B100,
  desp.m.ik[centro.negocio], $B$90,
  desp.m.ik[mes], "&gt;="&amp;G$1,
  desp.m.ik[mes], "&lt;"&amp;EOMONTH(G$1,0)+1
)</f>
        <v>0</v>
      </c>
      <c r="H100" s="183">
        <f ca="1">-SUMIFS(
  desp.m.ik[valor],
  desp.m.ik[nucleo], $B100,
  desp.m.ik[centro.negocio], $B$90,
  desp.m.ik[mes], "&gt;="&amp;H$1,
  desp.m.ik[mes], "&lt;"&amp;EOMONTH(H$1,0)+1
)</f>
        <v>0</v>
      </c>
      <c r="I100" s="183">
        <f ca="1">-SUMIFS(
  desp.m.ik[valor],
  desp.m.ik[nucleo], $B100,
  desp.m.ik[centro.negocio], $B$90,
  desp.m.ik[mes], "&gt;="&amp;I$1,
  desp.m.ik[mes], "&lt;"&amp;EOMONTH(I$1,0)+1
)</f>
        <v>0</v>
      </c>
      <c r="J100" s="183">
        <f ca="1">-SUMIFS(
  desp.m.ik[valor],
  desp.m.ik[nucleo], $B100,
  desp.m.ik[centro.negocio], $B$90,
  desp.m.ik[mes], "&gt;="&amp;J$1,
  desp.m.ik[mes], "&lt;"&amp;EOMONTH(J$1,0)+1
)</f>
        <v>0</v>
      </c>
      <c r="K100" s="183">
        <f ca="1">-SUMIFS(
  desp.m.ik[valor],
  desp.m.ik[nucleo], $B100,
  desp.m.ik[centro.negocio], $B$90,
  desp.m.ik[mes], "&gt;="&amp;K$1,
  desp.m.ik[mes], "&lt;"&amp;EOMONTH(K$1,0)+1
)</f>
        <v>0</v>
      </c>
      <c r="L100" s="183">
        <f ca="1">-SUMIFS(
  desp.m.ik[valor],
  desp.m.ik[nucleo], $B100,
  desp.m.ik[centro.negocio], $B$90,
  desp.m.ik[mes], "&gt;="&amp;L$1,
  desp.m.ik[mes], "&lt;"&amp;EOMONTH(L$1,0)+1
)</f>
        <v>0</v>
      </c>
      <c r="M100" s="183">
        <f ca="1">-SUMIFS(
  desp.m.ik[valor],
  desp.m.ik[nucleo], $B100,
  desp.m.ik[centro.negocio], $B$90,
  desp.m.ik[mes], "&gt;="&amp;M$1,
  desp.m.ik[mes], "&lt;"&amp;EOMONTH(M$1,0)+1
)</f>
        <v>0</v>
      </c>
      <c r="N100" s="183">
        <f ca="1">-SUMIFS(
  desp.m.ik[valor],
  desp.m.ik[nucleo], $B100,
  desp.m.ik[centro.negocio], $B$90,
  desp.m.ik[mes], "&gt;="&amp;N$1,
  desp.m.ik[mes], "&lt;"&amp;EOMONTH(N$1,0)+1
)</f>
        <v>0</v>
      </c>
      <c r="O100" s="183">
        <f ca="1">-SUMIFS(
  desp.m.ik[valor],
  desp.m.ik[nucleo], $B100,
  desp.m.ik[centro.negocio], $B$90,
  desp.m.ik[mes], "&gt;="&amp;O$1,
  desp.m.ik[mes], "&lt;"&amp;EOMONTH(O$1,0)+1
)</f>
        <v>0</v>
      </c>
      <c r="P100" s="183">
        <f ca="1">-SUMIFS(
  desp.m.ik[valor],
  desp.m.ik[nucleo], $B100,
  desp.m.ik[centro.negocio], $B$90,
  desp.m.ik[mes], "&gt;="&amp;P$1,
  desp.m.ik[mes], "&lt;"&amp;EOMONTH(P$1,0)+1
)</f>
        <v>0</v>
      </c>
      <c r="Q100" s="183">
        <f ca="1">-SUMIFS(
  desp.m.ik[valor],
  desp.m.ik[nucleo], $B100,
  desp.m.ik[centro.negocio], $B$90,
  desp.m.ik[mes], "&gt;="&amp;Q$1,
  desp.m.ik[mes], "&lt;"&amp;EOMONTH(Q$1,0)+1
)</f>
        <v>0</v>
      </c>
      <c r="R100" s="183">
        <f ca="1">-SUMIFS(
  desp.m.ik[valor],
  desp.m.ik[nucleo], $B100,
  desp.m.ik[centro.negocio], $B$90,
  desp.m.ik[mes], "&gt;="&amp;R$1,
  desp.m.ik[mes], "&lt;"&amp;EOMONTH(R$1,0)+1
)</f>
        <v>0</v>
      </c>
      <c r="S100" s="183">
        <f ca="1">-SUMIFS(
  desp.m.ik[valor],
  desp.m.ik[nucleo], $B100,
  desp.m.ik[centro.negocio], $B$90,
  desp.m.ik[mes], "&gt;="&amp;S$1,
  desp.m.ik[mes], "&lt;"&amp;EOMONTH(S$1,0)+1
)</f>
        <v>0</v>
      </c>
      <c r="T100" s="183">
        <f ca="1">-SUMIFS(
  desp.m.ik[valor],
  desp.m.ik[nucleo], $B100,
  desp.m.ik[centro.negocio], $B$90,
  desp.m.ik[mes], "&gt;="&amp;T$1,
  desp.m.ik[mes], "&lt;"&amp;EOMONTH(T$1,0)+1
)</f>
        <v>0</v>
      </c>
      <c r="U100" s="183">
        <f ca="1">-SUMIFS(
  desp.m.ik[valor],
  desp.m.ik[nucleo], $B100,
  desp.m.ik[centro.negocio], $B$90,
  desp.m.ik[mes], "&gt;="&amp;U$1,
  desp.m.ik[mes], "&lt;"&amp;EOMONTH(U$1,0)+1
)</f>
        <v>0</v>
      </c>
      <c r="V100" s="183">
        <f ca="1">-SUMIFS(
  desp.m.ik[valor],
  desp.m.ik[nucleo], $B100,
  desp.m.ik[centro.negocio], $B$90,
  desp.m.ik[mes], "&gt;="&amp;V$1,
  desp.m.ik[mes], "&lt;"&amp;EOMONTH(V$1,0)+1
)</f>
        <v>0</v>
      </c>
      <c r="W100" s="183">
        <f ca="1">-SUMIFS(
  desp.m.ik[valor],
  desp.m.ik[nucleo], $B100,
  desp.m.ik[centro.negocio], $B$90,
  desp.m.ik[mes], "&gt;="&amp;W$1,
  desp.m.ik[mes], "&lt;"&amp;EOMONTH(W$1,0)+1
)</f>
        <v>0</v>
      </c>
      <c r="X100" s="183">
        <f ca="1">-SUMIFS(
  desp.m.ik[valor],
  desp.m.ik[nucleo], $B100,
  desp.m.ik[centro.negocio], $B$90,
  desp.m.ik[mes], "&gt;="&amp;X$1,
  desp.m.ik[mes], "&lt;"&amp;EOMONTH(X$1,0)+1
)</f>
        <v>0</v>
      </c>
      <c r="Y100" s="183">
        <f ca="1">-SUMIFS(
  desp.m.ik[valor],
  desp.m.ik[nucleo], $B100,
  desp.m.ik[centro.negocio], $B$90,
  desp.m.ik[mes], "&gt;="&amp;Y$1,
  desp.m.ik[mes], "&lt;"&amp;EOMONTH(Y$1,0)+1
)</f>
        <v>0</v>
      </c>
      <c r="Z100" s="183">
        <f ca="1">-SUMIFS(
  desp.m.ik[valor],
  desp.m.ik[nucleo], $B100,
  desp.m.ik[centro.negocio], $B$90,
  desp.m.ik[mes], "&gt;="&amp;Z$1,
  desp.m.ik[mes], "&lt;"&amp;EOMONTH(Z$1,0)+1
)</f>
        <v>0</v>
      </c>
      <c r="AA100" s="183">
        <f ca="1">-SUMIFS(
  desp.m.ik[valor],
  desp.m.ik[nucleo], $B100,
  desp.m.ik[centro.negocio], $B$90,
  desp.m.ik[mes], "&gt;="&amp;AA$1,
  desp.m.ik[mes], "&lt;"&amp;EOMONTH(AA$1,0)+1
)</f>
        <v>0</v>
      </c>
      <c r="AC100" s="175">
        <f ca="1">SUM($D100:INDEX($D100:$AA100,1,MATCH(DATE(YEAR(inputs!$A$1),MONTH(inputs!$A$1),1),$D$1:$AA$1,0)))</f>
        <v>0</v>
      </c>
      <c r="AE100" s="175">
        <f t="shared" ca="1" si="23"/>
        <v>0</v>
      </c>
    </row>
    <row r="101" spans="1:31" outlineLevel="2" x14ac:dyDescent="0.25">
      <c r="A101" s="182" t="s">
        <v>961</v>
      </c>
      <c r="B101" s="182" t="s">
        <v>537</v>
      </c>
      <c r="C101" s="135" t="s">
        <v>514</v>
      </c>
      <c r="D101" s="183">
        <f ca="1">-SUMIFS(
  desp.m.ik[valor],
  desp.m.ik[nucleo], $B101,
  desp.m.ik[centro.negocio], $B$90,
  desp.m.ik[mes], "&gt;="&amp;D$1,
  desp.m.ik[mes], "&lt;"&amp;EOMONTH(D$1,0)+1
)</f>
        <v>0</v>
      </c>
      <c r="E101" s="183">
        <f ca="1">-SUMIFS(
  desp.m.ik[valor],
  desp.m.ik[nucleo], $B101,
  desp.m.ik[centro.negocio], $B$90,
  desp.m.ik[mes], "&gt;="&amp;E$1,
  desp.m.ik[mes], "&lt;"&amp;EOMONTH(E$1,0)+1
)</f>
        <v>0</v>
      </c>
      <c r="F101" s="183">
        <f ca="1">-SUMIFS(
  desp.m.ik[valor],
  desp.m.ik[nucleo], $B101,
  desp.m.ik[centro.negocio], $B$90,
  desp.m.ik[mes], "&gt;="&amp;F$1,
  desp.m.ik[mes], "&lt;"&amp;EOMONTH(F$1,0)+1
)</f>
        <v>0</v>
      </c>
      <c r="G101" s="183">
        <f ca="1">-SUMIFS(
  desp.m.ik[valor],
  desp.m.ik[nucleo], $B101,
  desp.m.ik[centro.negocio], $B$90,
  desp.m.ik[mes], "&gt;="&amp;G$1,
  desp.m.ik[mes], "&lt;"&amp;EOMONTH(G$1,0)+1
)</f>
        <v>0</v>
      </c>
      <c r="H101" s="183">
        <f ca="1">-SUMIFS(
  desp.m.ik[valor],
  desp.m.ik[nucleo], $B101,
  desp.m.ik[centro.negocio], $B$90,
  desp.m.ik[mes], "&gt;="&amp;H$1,
  desp.m.ik[mes], "&lt;"&amp;EOMONTH(H$1,0)+1
)</f>
        <v>0</v>
      </c>
      <c r="I101" s="183">
        <f ca="1">-SUMIFS(
  desp.m.ik[valor],
  desp.m.ik[nucleo], $B101,
  desp.m.ik[centro.negocio], $B$90,
  desp.m.ik[mes], "&gt;="&amp;I$1,
  desp.m.ik[mes], "&lt;"&amp;EOMONTH(I$1,0)+1
)</f>
        <v>0</v>
      </c>
      <c r="J101" s="183">
        <f ca="1">-SUMIFS(
  desp.m.ik[valor],
  desp.m.ik[nucleo], $B101,
  desp.m.ik[centro.negocio], $B$90,
  desp.m.ik[mes], "&gt;="&amp;J$1,
  desp.m.ik[mes], "&lt;"&amp;EOMONTH(J$1,0)+1
)</f>
        <v>0</v>
      </c>
      <c r="K101" s="183">
        <f ca="1">-SUMIFS(
  desp.m.ik[valor],
  desp.m.ik[nucleo], $B101,
  desp.m.ik[centro.negocio], $B$90,
  desp.m.ik[mes], "&gt;="&amp;K$1,
  desp.m.ik[mes], "&lt;"&amp;EOMONTH(K$1,0)+1
)</f>
        <v>0</v>
      </c>
      <c r="L101" s="183">
        <f ca="1">-SUMIFS(
  desp.m.ik[valor],
  desp.m.ik[nucleo], $B101,
  desp.m.ik[centro.negocio], $B$90,
  desp.m.ik[mes], "&gt;="&amp;L$1,
  desp.m.ik[mes], "&lt;"&amp;EOMONTH(L$1,0)+1
)</f>
        <v>0</v>
      </c>
      <c r="M101" s="183">
        <f ca="1">-SUMIFS(
  desp.m.ik[valor],
  desp.m.ik[nucleo], $B101,
  desp.m.ik[centro.negocio], $B$90,
  desp.m.ik[mes], "&gt;="&amp;M$1,
  desp.m.ik[mes], "&lt;"&amp;EOMONTH(M$1,0)+1
)</f>
        <v>0</v>
      </c>
      <c r="N101" s="183">
        <f ca="1">-SUMIFS(
  desp.m.ik[valor],
  desp.m.ik[nucleo], $B101,
  desp.m.ik[centro.negocio], $B$90,
  desp.m.ik[mes], "&gt;="&amp;N$1,
  desp.m.ik[mes], "&lt;"&amp;EOMONTH(N$1,0)+1
)</f>
        <v>0</v>
      </c>
      <c r="O101" s="183">
        <f ca="1">-SUMIFS(
  desp.m.ik[valor],
  desp.m.ik[nucleo], $B101,
  desp.m.ik[centro.negocio], $B$90,
  desp.m.ik[mes], "&gt;="&amp;O$1,
  desp.m.ik[mes], "&lt;"&amp;EOMONTH(O$1,0)+1
)</f>
        <v>0</v>
      </c>
      <c r="P101" s="183">
        <f ca="1">-SUMIFS(
  desp.m.ik[valor],
  desp.m.ik[nucleo], $B101,
  desp.m.ik[centro.negocio], $B$90,
  desp.m.ik[mes], "&gt;="&amp;P$1,
  desp.m.ik[mes], "&lt;"&amp;EOMONTH(P$1,0)+1
)</f>
        <v>0</v>
      </c>
      <c r="Q101" s="183">
        <f ca="1">-SUMIFS(
  desp.m.ik[valor],
  desp.m.ik[nucleo], $B101,
  desp.m.ik[centro.negocio], $B$90,
  desp.m.ik[mes], "&gt;="&amp;Q$1,
  desp.m.ik[mes], "&lt;"&amp;EOMONTH(Q$1,0)+1
)</f>
        <v>0</v>
      </c>
      <c r="R101" s="183">
        <f ca="1">-SUMIFS(
  desp.m.ik[valor],
  desp.m.ik[nucleo], $B101,
  desp.m.ik[centro.negocio], $B$90,
  desp.m.ik[mes], "&gt;="&amp;R$1,
  desp.m.ik[mes], "&lt;"&amp;EOMONTH(R$1,0)+1
)</f>
        <v>0</v>
      </c>
      <c r="S101" s="183">
        <f ca="1">-SUMIFS(
  desp.m.ik[valor],
  desp.m.ik[nucleo], $B101,
  desp.m.ik[centro.negocio], $B$90,
  desp.m.ik[mes], "&gt;="&amp;S$1,
  desp.m.ik[mes], "&lt;"&amp;EOMONTH(S$1,0)+1
)</f>
        <v>0</v>
      </c>
      <c r="T101" s="183">
        <f ca="1">-SUMIFS(
  desp.m.ik[valor],
  desp.m.ik[nucleo], $B101,
  desp.m.ik[centro.negocio], $B$90,
  desp.m.ik[mes], "&gt;="&amp;T$1,
  desp.m.ik[mes], "&lt;"&amp;EOMONTH(T$1,0)+1
)</f>
        <v>0</v>
      </c>
      <c r="U101" s="183">
        <f ca="1">-SUMIFS(
  desp.m.ik[valor],
  desp.m.ik[nucleo], $B101,
  desp.m.ik[centro.negocio], $B$90,
  desp.m.ik[mes], "&gt;="&amp;U$1,
  desp.m.ik[mes], "&lt;"&amp;EOMONTH(U$1,0)+1
)</f>
        <v>0</v>
      </c>
      <c r="V101" s="183">
        <f ca="1">-SUMIFS(
  desp.m.ik[valor],
  desp.m.ik[nucleo], $B101,
  desp.m.ik[centro.negocio], $B$90,
  desp.m.ik[mes], "&gt;="&amp;V$1,
  desp.m.ik[mes], "&lt;"&amp;EOMONTH(V$1,0)+1
)</f>
        <v>0</v>
      </c>
      <c r="W101" s="183">
        <f ca="1">-SUMIFS(
  desp.m.ik[valor],
  desp.m.ik[nucleo], $B101,
  desp.m.ik[centro.negocio], $B$90,
  desp.m.ik[mes], "&gt;="&amp;W$1,
  desp.m.ik[mes], "&lt;"&amp;EOMONTH(W$1,0)+1
)</f>
        <v>0</v>
      </c>
      <c r="X101" s="183">
        <f ca="1">-SUMIFS(
  desp.m.ik[valor],
  desp.m.ik[nucleo], $B101,
  desp.m.ik[centro.negocio], $B$90,
  desp.m.ik[mes], "&gt;="&amp;X$1,
  desp.m.ik[mes], "&lt;"&amp;EOMONTH(X$1,0)+1
)</f>
        <v>0</v>
      </c>
      <c r="Y101" s="183">
        <f ca="1">-SUMIFS(
  desp.m.ik[valor],
  desp.m.ik[nucleo], $B101,
  desp.m.ik[centro.negocio], $B$90,
  desp.m.ik[mes], "&gt;="&amp;Y$1,
  desp.m.ik[mes], "&lt;"&amp;EOMONTH(Y$1,0)+1
)</f>
        <v>0</v>
      </c>
      <c r="Z101" s="183">
        <f ca="1">-SUMIFS(
  desp.m.ik[valor],
  desp.m.ik[nucleo], $B101,
  desp.m.ik[centro.negocio], $B$90,
  desp.m.ik[mes], "&gt;="&amp;Z$1,
  desp.m.ik[mes], "&lt;"&amp;EOMONTH(Z$1,0)+1
)</f>
        <v>0</v>
      </c>
      <c r="AA101" s="183">
        <f ca="1">-SUMIFS(
  desp.m.ik[valor],
  desp.m.ik[nucleo], $B101,
  desp.m.ik[centro.negocio], $B$90,
  desp.m.ik[mes], "&gt;="&amp;AA$1,
  desp.m.ik[mes], "&lt;"&amp;EOMONTH(AA$1,0)+1
)</f>
        <v>0</v>
      </c>
      <c r="AC101" s="175">
        <f ca="1">SUM($D101:INDEX($D101:$AA101,1,MATCH(DATE(YEAR(inputs!$A$1),MONTH(inputs!$A$1),1),$D$1:$AA$1,0)))</f>
        <v>0</v>
      </c>
      <c r="AE101" s="175">
        <f t="shared" ca="1" si="23"/>
        <v>0</v>
      </c>
    </row>
    <row r="102" spans="1:31" outlineLevel="2" x14ac:dyDescent="0.25">
      <c r="A102" s="182" t="s">
        <v>1014</v>
      </c>
      <c r="B102" s="182" t="s">
        <v>580</v>
      </c>
      <c r="C102" s="135" t="s">
        <v>514</v>
      </c>
      <c r="D102" s="183">
        <f ca="1">-SUMIFS(
  desp.m.ik[valor],
  desp.m.ik[nucleo], $B102,
  desp.m.ik[centro.negocio], $B$90,
  desp.m.ik[mes], "&gt;="&amp;D$1,
  desp.m.ik[mes], "&lt;"&amp;EOMONTH(D$1,0)+1
)</f>
        <v>0</v>
      </c>
      <c r="E102" s="183">
        <f ca="1">-SUMIFS(
  desp.m.ik[valor],
  desp.m.ik[nucleo], $B102,
  desp.m.ik[centro.negocio], $B$90,
  desp.m.ik[mes], "&gt;="&amp;E$1,
  desp.m.ik[mes], "&lt;"&amp;EOMONTH(E$1,0)+1
)</f>
        <v>0</v>
      </c>
      <c r="F102" s="183">
        <f ca="1">-SUMIFS(
  desp.m.ik[valor],
  desp.m.ik[nucleo], $B102,
  desp.m.ik[centro.negocio], $B$90,
  desp.m.ik[mes], "&gt;="&amp;F$1,
  desp.m.ik[mes], "&lt;"&amp;EOMONTH(F$1,0)+1
)</f>
        <v>0</v>
      </c>
      <c r="G102" s="183">
        <f ca="1">-SUMIFS(
  desp.m.ik[valor],
  desp.m.ik[nucleo], $B102,
  desp.m.ik[centro.negocio], $B$90,
  desp.m.ik[mes], "&gt;="&amp;G$1,
  desp.m.ik[mes], "&lt;"&amp;EOMONTH(G$1,0)+1
)</f>
        <v>0</v>
      </c>
      <c r="H102" s="183">
        <f ca="1">-SUMIFS(
  desp.m.ik[valor],
  desp.m.ik[nucleo], $B102,
  desp.m.ik[centro.negocio], $B$90,
  desp.m.ik[mes], "&gt;="&amp;H$1,
  desp.m.ik[mes], "&lt;"&amp;EOMONTH(H$1,0)+1
)</f>
        <v>0</v>
      </c>
      <c r="I102" s="183">
        <f ca="1">-SUMIFS(
  desp.m.ik[valor],
  desp.m.ik[nucleo], $B102,
  desp.m.ik[centro.negocio], $B$90,
  desp.m.ik[mes], "&gt;="&amp;I$1,
  desp.m.ik[mes], "&lt;"&amp;EOMONTH(I$1,0)+1
)</f>
        <v>0</v>
      </c>
      <c r="J102" s="183">
        <f ca="1">-SUMIFS(
  desp.m.ik[valor],
  desp.m.ik[nucleo], $B102,
  desp.m.ik[centro.negocio], $B$90,
  desp.m.ik[mes], "&gt;="&amp;J$1,
  desp.m.ik[mes], "&lt;"&amp;EOMONTH(J$1,0)+1
)</f>
        <v>0</v>
      </c>
      <c r="K102" s="183">
        <f ca="1">-SUMIFS(
  desp.m.ik[valor],
  desp.m.ik[nucleo], $B102,
  desp.m.ik[centro.negocio], $B$90,
  desp.m.ik[mes], "&gt;="&amp;K$1,
  desp.m.ik[mes], "&lt;"&amp;EOMONTH(K$1,0)+1
)</f>
        <v>0</v>
      </c>
      <c r="L102" s="183">
        <f ca="1">-SUMIFS(
  desp.m.ik[valor],
  desp.m.ik[nucleo], $B102,
  desp.m.ik[centro.negocio], $B$90,
  desp.m.ik[mes], "&gt;="&amp;L$1,
  desp.m.ik[mes], "&lt;"&amp;EOMONTH(L$1,0)+1
)</f>
        <v>0</v>
      </c>
      <c r="M102" s="183">
        <f ca="1">-SUMIFS(
  desp.m.ik[valor],
  desp.m.ik[nucleo], $B102,
  desp.m.ik[centro.negocio], $B$90,
  desp.m.ik[mes], "&gt;="&amp;M$1,
  desp.m.ik[mes], "&lt;"&amp;EOMONTH(M$1,0)+1
)</f>
        <v>0</v>
      </c>
      <c r="N102" s="183">
        <f ca="1">-SUMIFS(
  desp.m.ik[valor],
  desp.m.ik[nucleo], $B102,
  desp.m.ik[centro.negocio], $B$90,
  desp.m.ik[mes], "&gt;="&amp;N$1,
  desp.m.ik[mes], "&lt;"&amp;EOMONTH(N$1,0)+1
)</f>
        <v>0</v>
      </c>
      <c r="O102" s="183">
        <f ca="1">-SUMIFS(
  desp.m.ik[valor],
  desp.m.ik[nucleo], $B102,
  desp.m.ik[centro.negocio], $B$90,
  desp.m.ik[mes], "&gt;="&amp;O$1,
  desp.m.ik[mes], "&lt;"&amp;EOMONTH(O$1,0)+1
)</f>
        <v>0</v>
      </c>
      <c r="P102" s="183">
        <f ca="1">-SUMIFS(
  desp.m.ik[valor],
  desp.m.ik[nucleo], $B102,
  desp.m.ik[centro.negocio], $B$90,
  desp.m.ik[mes], "&gt;="&amp;P$1,
  desp.m.ik[mes], "&lt;"&amp;EOMONTH(P$1,0)+1
)</f>
        <v>0</v>
      </c>
      <c r="Q102" s="183">
        <f ca="1">-SUMIFS(
  desp.m.ik[valor],
  desp.m.ik[nucleo], $B102,
  desp.m.ik[centro.negocio], $B$90,
  desp.m.ik[mes], "&gt;="&amp;Q$1,
  desp.m.ik[mes], "&lt;"&amp;EOMONTH(Q$1,0)+1
)</f>
        <v>0</v>
      </c>
      <c r="R102" s="183">
        <f ca="1">-SUMIFS(
  desp.m.ik[valor],
  desp.m.ik[nucleo], $B102,
  desp.m.ik[centro.negocio], $B$90,
  desp.m.ik[mes], "&gt;="&amp;R$1,
  desp.m.ik[mes], "&lt;"&amp;EOMONTH(R$1,0)+1
)</f>
        <v>0</v>
      </c>
      <c r="S102" s="183">
        <f ca="1">-SUMIFS(
  desp.m.ik[valor],
  desp.m.ik[nucleo], $B102,
  desp.m.ik[centro.negocio], $B$90,
  desp.m.ik[mes], "&gt;="&amp;S$1,
  desp.m.ik[mes], "&lt;"&amp;EOMONTH(S$1,0)+1
)</f>
        <v>0</v>
      </c>
      <c r="T102" s="183">
        <f ca="1">-SUMIFS(
  desp.m.ik[valor],
  desp.m.ik[nucleo], $B102,
  desp.m.ik[centro.negocio], $B$90,
  desp.m.ik[mes], "&gt;="&amp;T$1,
  desp.m.ik[mes], "&lt;"&amp;EOMONTH(T$1,0)+1
)</f>
        <v>0</v>
      </c>
      <c r="U102" s="183">
        <f ca="1">-SUMIFS(
  desp.m.ik[valor],
  desp.m.ik[nucleo], $B102,
  desp.m.ik[centro.negocio], $B$90,
  desp.m.ik[mes], "&gt;="&amp;U$1,
  desp.m.ik[mes], "&lt;"&amp;EOMONTH(U$1,0)+1
)</f>
        <v>0</v>
      </c>
      <c r="V102" s="183">
        <f ca="1">-SUMIFS(
  desp.m.ik[valor],
  desp.m.ik[nucleo], $B102,
  desp.m.ik[centro.negocio], $B$90,
  desp.m.ik[mes], "&gt;="&amp;V$1,
  desp.m.ik[mes], "&lt;"&amp;EOMONTH(V$1,0)+1
)</f>
        <v>0</v>
      </c>
      <c r="W102" s="183">
        <f ca="1">-SUMIFS(
  desp.m.ik[valor],
  desp.m.ik[nucleo], $B102,
  desp.m.ik[centro.negocio], $B$90,
  desp.m.ik[mes], "&gt;="&amp;W$1,
  desp.m.ik[mes], "&lt;"&amp;EOMONTH(W$1,0)+1
)</f>
        <v>0</v>
      </c>
      <c r="X102" s="183">
        <f ca="1">-SUMIFS(
  desp.m.ik[valor],
  desp.m.ik[nucleo], $B102,
  desp.m.ik[centro.negocio], $B$90,
  desp.m.ik[mes], "&gt;="&amp;X$1,
  desp.m.ik[mes], "&lt;"&amp;EOMONTH(X$1,0)+1
)</f>
        <v>0</v>
      </c>
      <c r="Y102" s="183">
        <f ca="1">-SUMIFS(
  desp.m.ik[valor],
  desp.m.ik[nucleo], $B102,
  desp.m.ik[centro.negocio], $B$90,
  desp.m.ik[mes], "&gt;="&amp;Y$1,
  desp.m.ik[mes], "&lt;"&amp;EOMONTH(Y$1,0)+1
)</f>
        <v>0</v>
      </c>
      <c r="Z102" s="183">
        <f ca="1">-SUMIFS(
  desp.m.ik[valor],
  desp.m.ik[nucleo], $B102,
  desp.m.ik[centro.negocio], $B$90,
  desp.m.ik[mes], "&gt;="&amp;Z$1,
  desp.m.ik[mes], "&lt;"&amp;EOMONTH(Z$1,0)+1
)</f>
        <v>0</v>
      </c>
      <c r="AA102" s="183">
        <f ca="1">-SUMIFS(
  desp.m.ik[valor],
  desp.m.ik[nucleo], $B102,
  desp.m.ik[centro.negocio], $B$90,
  desp.m.ik[mes], "&gt;="&amp;AA$1,
  desp.m.ik[mes], "&lt;"&amp;EOMONTH(AA$1,0)+1
)</f>
        <v>0</v>
      </c>
      <c r="AC102" s="175">
        <f ca="1">SUM($D102:INDEX($D102:$AA102,1,MATCH(DATE(YEAR(inputs!$A$1),MONTH(inputs!$A$1),1),$D$1:$AA$1,0)))</f>
        <v>0</v>
      </c>
      <c r="AE102" s="175">
        <f t="shared" ca="1" si="23"/>
        <v>0</v>
      </c>
    </row>
    <row r="103" spans="1:31" outlineLevel="2" x14ac:dyDescent="0.25">
      <c r="A103" s="182" t="s">
        <v>1015</v>
      </c>
      <c r="B103" s="182" t="s">
        <v>706</v>
      </c>
      <c r="C103" s="135" t="s">
        <v>514</v>
      </c>
      <c r="D103" s="183">
        <f ca="1">-SUMIFS(
  desp.m.ik[valor],
  desp.m.ik[nucleo], $B103,
  desp.m.ik[centro.negocio], $B$90,
  desp.m.ik[mes], "&gt;="&amp;D$1,
  desp.m.ik[mes], "&lt;"&amp;EOMONTH(D$1,0)+1
)</f>
        <v>0</v>
      </c>
      <c r="E103" s="183">
        <f ca="1">-SUMIFS(
  desp.m.ik[valor],
  desp.m.ik[nucleo], $B103,
  desp.m.ik[centro.negocio], $B$90,
  desp.m.ik[mes], "&gt;="&amp;E$1,
  desp.m.ik[mes], "&lt;"&amp;EOMONTH(E$1,0)+1
)</f>
        <v>0</v>
      </c>
      <c r="F103" s="183">
        <f ca="1">-SUMIFS(
  desp.m.ik[valor],
  desp.m.ik[nucleo], $B103,
  desp.m.ik[centro.negocio], $B$90,
  desp.m.ik[mes], "&gt;="&amp;F$1,
  desp.m.ik[mes], "&lt;"&amp;EOMONTH(F$1,0)+1
)</f>
        <v>0</v>
      </c>
      <c r="G103" s="183">
        <f ca="1">-SUMIFS(
  desp.m.ik[valor],
  desp.m.ik[nucleo], $B103,
  desp.m.ik[centro.negocio], $B$90,
  desp.m.ik[mes], "&gt;="&amp;G$1,
  desp.m.ik[mes], "&lt;"&amp;EOMONTH(G$1,0)+1
)</f>
        <v>0</v>
      </c>
      <c r="H103" s="183">
        <f ca="1">-SUMIFS(
  desp.m.ik[valor],
  desp.m.ik[nucleo], $B103,
  desp.m.ik[centro.negocio], $B$90,
  desp.m.ik[mes], "&gt;="&amp;H$1,
  desp.m.ik[mes], "&lt;"&amp;EOMONTH(H$1,0)+1
)</f>
        <v>0</v>
      </c>
      <c r="I103" s="183">
        <f ca="1">-SUMIFS(
  desp.m.ik[valor],
  desp.m.ik[nucleo], $B103,
  desp.m.ik[centro.negocio], $B$90,
  desp.m.ik[mes], "&gt;="&amp;I$1,
  desp.m.ik[mes], "&lt;"&amp;EOMONTH(I$1,0)+1
)</f>
        <v>0</v>
      </c>
      <c r="J103" s="183">
        <f ca="1">-SUMIFS(
  desp.m.ik[valor],
  desp.m.ik[nucleo], $B103,
  desp.m.ik[centro.negocio], $B$90,
  desp.m.ik[mes], "&gt;="&amp;J$1,
  desp.m.ik[mes], "&lt;"&amp;EOMONTH(J$1,0)+1
)</f>
        <v>0</v>
      </c>
      <c r="K103" s="183">
        <f ca="1">-SUMIFS(
  desp.m.ik[valor],
  desp.m.ik[nucleo], $B103,
  desp.m.ik[centro.negocio], $B$90,
  desp.m.ik[mes], "&gt;="&amp;K$1,
  desp.m.ik[mes], "&lt;"&amp;EOMONTH(K$1,0)+1
)</f>
        <v>0</v>
      </c>
      <c r="L103" s="183">
        <f ca="1">-SUMIFS(
  desp.m.ik[valor],
  desp.m.ik[nucleo], $B103,
  desp.m.ik[centro.negocio], $B$90,
  desp.m.ik[mes], "&gt;="&amp;L$1,
  desp.m.ik[mes], "&lt;"&amp;EOMONTH(L$1,0)+1
)</f>
        <v>0</v>
      </c>
      <c r="M103" s="183">
        <f ca="1">-SUMIFS(
  desp.m.ik[valor],
  desp.m.ik[nucleo], $B103,
  desp.m.ik[centro.negocio], $B$90,
  desp.m.ik[mes], "&gt;="&amp;M$1,
  desp.m.ik[mes], "&lt;"&amp;EOMONTH(M$1,0)+1
)</f>
        <v>0</v>
      </c>
      <c r="N103" s="183">
        <f ca="1">-SUMIFS(
  desp.m.ik[valor],
  desp.m.ik[nucleo], $B103,
  desp.m.ik[centro.negocio], $B$90,
  desp.m.ik[mes], "&gt;="&amp;N$1,
  desp.m.ik[mes], "&lt;"&amp;EOMONTH(N$1,0)+1
)</f>
        <v>0</v>
      </c>
      <c r="O103" s="183">
        <f ca="1">-SUMIFS(
  desp.m.ik[valor],
  desp.m.ik[nucleo], $B103,
  desp.m.ik[centro.negocio], $B$90,
  desp.m.ik[mes], "&gt;="&amp;O$1,
  desp.m.ik[mes], "&lt;"&amp;EOMONTH(O$1,0)+1
)</f>
        <v>0</v>
      </c>
      <c r="P103" s="183">
        <f ca="1">-SUMIFS(
  desp.m.ik[valor],
  desp.m.ik[nucleo], $B103,
  desp.m.ik[centro.negocio], $B$90,
  desp.m.ik[mes], "&gt;="&amp;P$1,
  desp.m.ik[mes], "&lt;"&amp;EOMONTH(P$1,0)+1
)</f>
        <v>0</v>
      </c>
      <c r="Q103" s="183">
        <f ca="1">-SUMIFS(
  desp.m.ik[valor],
  desp.m.ik[nucleo], $B103,
  desp.m.ik[centro.negocio], $B$90,
  desp.m.ik[mes], "&gt;="&amp;Q$1,
  desp.m.ik[mes], "&lt;"&amp;EOMONTH(Q$1,0)+1
)</f>
        <v>0</v>
      </c>
      <c r="R103" s="183">
        <f ca="1">-SUMIFS(
  desp.m.ik[valor],
  desp.m.ik[nucleo], $B103,
  desp.m.ik[centro.negocio], $B$90,
  desp.m.ik[mes], "&gt;="&amp;R$1,
  desp.m.ik[mes], "&lt;"&amp;EOMONTH(R$1,0)+1
)</f>
        <v>0</v>
      </c>
      <c r="S103" s="183">
        <f ca="1">-SUMIFS(
  desp.m.ik[valor],
  desp.m.ik[nucleo], $B103,
  desp.m.ik[centro.negocio], $B$90,
  desp.m.ik[mes], "&gt;="&amp;S$1,
  desp.m.ik[mes], "&lt;"&amp;EOMONTH(S$1,0)+1
)</f>
        <v>0</v>
      </c>
      <c r="T103" s="183">
        <f ca="1">-SUMIFS(
  desp.m.ik[valor],
  desp.m.ik[nucleo], $B103,
  desp.m.ik[centro.negocio], $B$90,
  desp.m.ik[mes], "&gt;="&amp;T$1,
  desp.m.ik[mes], "&lt;"&amp;EOMONTH(T$1,0)+1
)</f>
        <v>0</v>
      </c>
      <c r="U103" s="183">
        <f ca="1">-SUMIFS(
  desp.m.ik[valor],
  desp.m.ik[nucleo], $B103,
  desp.m.ik[centro.negocio], $B$90,
  desp.m.ik[mes], "&gt;="&amp;U$1,
  desp.m.ik[mes], "&lt;"&amp;EOMONTH(U$1,0)+1
)</f>
        <v>0</v>
      </c>
      <c r="V103" s="183">
        <f ca="1">-SUMIFS(
  desp.m.ik[valor],
  desp.m.ik[nucleo], $B103,
  desp.m.ik[centro.negocio], $B$90,
  desp.m.ik[mes], "&gt;="&amp;V$1,
  desp.m.ik[mes], "&lt;"&amp;EOMONTH(V$1,0)+1
)</f>
        <v>0</v>
      </c>
      <c r="W103" s="183">
        <f ca="1">-SUMIFS(
  desp.m.ik[valor],
  desp.m.ik[nucleo], $B103,
  desp.m.ik[centro.negocio], $B$90,
  desp.m.ik[mes], "&gt;="&amp;W$1,
  desp.m.ik[mes], "&lt;"&amp;EOMONTH(W$1,0)+1
)</f>
        <v>0</v>
      </c>
      <c r="X103" s="183">
        <f ca="1">-SUMIFS(
  desp.m.ik[valor],
  desp.m.ik[nucleo], $B103,
  desp.m.ik[centro.negocio], $B$90,
  desp.m.ik[mes], "&gt;="&amp;X$1,
  desp.m.ik[mes], "&lt;"&amp;EOMONTH(X$1,0)+1
)</f>
        <v>0</v>
      </c>
      <c r="Y103" s="183">
        <f ca="1">-SUMIFS(
  desp.m.ik[valor],
  desp.m.ik[nucleo], $B103,
  desp.m.ik[centro.negocio], $B$90,
  desp.m.ik[mes], "&gt;="&amp;Y$1,
  desp.m.ik[mes], "&lt;"&amp;EOMONTH(Y$1,0)+1
)</f>
        <v>0</v>
      </c>
      <c r="Z103" s="183">
        <f ca="1">-SUMIFS(
  desp.m.ik[valor],
  desp.m.ik[nucleo], $B103,
  desp.m.ik[centro.negocio], $B$90,
  desp.m.ik[mes], "&gt;="&amp;Z$1,
  desp.m.ik[mes], "&lt;"&amp;EOMONTH(Z$1,0)+1
)</f>
        <v>0</v>
      </c>
      <c r="AA103" s="183">
        <f ca="1">-SUMIFS(
  desp.m.ik[valor],
  desp.m.ik[nucleo], $B103,
  desp.m.ik[centro.negocio], $B$90,
  desp.m.ik[mes], "&gt;="&amp;AA$1,
  desp.m.ik[mes], "&lt;"&amp;EOMONTH(AA$1,0)+1
)</f>
        <v>0</v>
      </c>
      <c r="AC103" s="175">
        <f ca="1">SUM($D103:INDEX($D103:$AA103,1,MATCH(DATE(YEAR(inputs!$A$1),MONTH(inputs!$A$1),1),$D$1:$AA$1,0)))</f>
        <v>0</v>
      </c>
      <c r="AE103" s="175">
        <f t="shared" ca="1" si="23"/>
        <v>0</v>
      </c>
    </row>
    <row r="104" spans="1:31" outlineLevel="2" x14ac:dyDescent="0.25">
      <c r="A104" s="182" t="s">
        <v>1016</v>
      </c>
      <c r="B104" s="182" t="s">
        <v>535</v>
      </c>
      <c r="C104" s="135" t="s">
        <v>514</v>
      </c>
      <c r="D104" s="183">
        <f ca="1">-SUMIFS(
  desp.m.ik[valor],
  desp.m.ik[nucleo], $B104,
  desp.m.ik[centro.negocio], $B$90,
  desp.m.ik[mes], "&gt;="&amp;D$1,
  desp.m.ik[mes], "&lt;"&amp;EOMONTH(D$1,0)+1
)</f>
        <v>0</v>
      </c>
      <c r="E104" s="183">
        <f ca="1">-SUMIFS(
  desp.m.ik[valor],
  desp.m.ik[nucleo], $B104,
  desp.m.ik[centro.negocio], $B$90,
  desp.m.ik[mes], "&gt;="&amp;E$1,
  desp.m.ik[mes], "&lt;"&amp;EOMONTH(E$1,0)+1
)</f>
        <v>0</v>
      </c>
      <c r="F104" s="183">
        <f ca="1">-SUMIFS(
  desp.m.ik[valor],
  desp.m.ik[nucleo], $B104,
  desp.m.ik[centro.negocio], $B$90,
  desp.m.ik[mes], "&gt;="&amp;F$1,
  desp.m.ik[mes], "&lt;"&amp;EOMONTH(F$1,0)+1
)</f>
        <v>0</v>
      </c>
      <c r="G104" s="183">
        <f ca="1">-SUMIFS(
  desp.m.ik[valor],
  desp.m.ik[nucleo], $B104,
  desp.m.ik[centro.negocio], $B$90,
  desp.m.ik[mes], "&gt;="&amp;G$1,
  desp.m.ik[mes], "&lt;"&amp;EOMONTH(G$1,0)+1
)</f>
        <v>0</v>
      </c>
      <c r="H104" s="183">
        <f ca="1">-SUMIFS(
  desp.m.ik[valor],
  desp.m.ik[nucleo], $B104,
  desp.m.ik[centro.negocio], $B$90,
  desp.m.ik[mes], "&gt;="&amp;H$1,
  desp.m.ik[mes], "&lt;"&amp;EOMONTH(H$1,0)+1
)</f>
        <v>0</v>
      </c>
      <c r="I104" s="183">
        <f ca="1">-SUMIFS(
  desp.m.ik[valor],
  desp.m.ik[nucleo], $B104,
  desp.m.ik[centro.negocio], $B$90,
  desp.m.ik[mes], "&gt;="&amp;I$1,
  desp.m.ik[mes], "&lt;"&amp;EOMONTH(I$1,0)+1
)</f>
        <v>0</v>
      </c>
      <c r="J104" s="183">
        <f ca="1">-SUMIFS(
  desp.m.ik[valor],
  desp.m.ik[nucleo], $B104,
  desp.m.ik[centro.negocio], $B$90,
  desp.m.ik[mes], "&gt;="&amp;J$1,
  desp.m.ik[mes], "&lt;"&amp;EOMONTH(J$1,0)+1
)</f>
        <v>0</v>
      </c>
      <c r="K104" s="183">
        <f ca="1">-SUMIFS(
  desp.m.ik[valor],
  desp.m.ik[nucleo], $B104,
  desp.m.ik[centro.negocio], $B$90,
  desp.m.ik[mes], "&gt;="&amp;K$1,
  desp.m.ik[mes], "&lt;"&amp;EOMONTH(K$1,0)+1
)</f>
        <v>0</v>
      </c>
      <c r="L104" s="183">
        <f ca="1">-SUMIFS(
  desp.m.ik[valor],
  desp.m.ik[nucleo], $B104,
  desp.m.ik[centro.negocio], $B$90,
  desp.m.ik[mes], "&gt;="&amp;L$1,
  desp.m.ik[mes], "&lt;"&amp;EOMONTH(L$1,0)+1
)</f>
        <v>0</v>
      </c>
      <c r="M104" s="183">
        <f ca="1">-SUMIFS(
  desp.m.ik[valor],
  desp.m.ik[nucleo], $B104,
  desp.m.ik[centro.negocio], $B$90,
  desp.m.ik[mes], "&gt;="&amp;M$1,
  desp.m.ik[mes], "&lt;"&amp;EOMONTH(M$1,0)+1
)</f>
        <v>0</v>
      </c>
      <c r="N104" s="183">
        <f ca="1">-SUMIFS(
  desp.m.ik[valor],
  desp.m.ik[nucleo], $B104,
  desp.m.ik[centro.negocio], $B$90,
  desp.m.ik[mes], "&gt;="&amp;N$1,
  desp.m.ik[mes], "&lt;"&amp;EOMONTH(N$1,0)+1
)</f>
        <v>0</v>
      </c>
      <c r="O104" s="183">
        <f ca="1">-SUMIFS(
  desp.m.ik[valor],
  desp.m.ik[nucleo], $B104,
  desp.m.ik[centro.negocio], $B$90,
  desp.m.ik[mes], "&gt;="&amp;O$1,
  desp.m.ik[mes], "&lt;"&amp;EOMONTH(O$1,0)+1
)</f>
        <v>0</v>
      </c>
      <c r="P104" s="183">
        <f ca="1">-SUMIFS(
  desp.m.ik[valor],
  desp.m.ik[nucleo], $B104,
  desp.m.ik[centro.negocio], $B$90,
  desp.m.ik[mes], "&gt;="&amp;P$1,
  desp.m.ik[mes], "&lt;"&amp;EOMONTH(P$1,0)+1
)</f>
        <v>0</v>
      </c>
      <c r="Q104" s="183">
        <f ca="1">-SUMIFS(
  desp.m.ik[valor],
  desp.m.ik[nucleo], $B104,
  desp.m.ik[centro.negocio], $B$90,
  desp.m.ik[mes], "&gt;="&amp;Q$1,
  desp.m.ik[mes], "&lt;"&amp;EOMONTH(Q$1,0)+1
)</f>
        <v>0</v>
      </c>
      <c r="R104" s="183">
        <f ca="1">-SUMIFS(
  desp.m.ik[valor],
  desp.m.ik[nucleo], $B104,
  desp.m.ik[centro.negocio], $B$90,
  desp.m.ik[mes], "&gt;="&amp;R$1,
  desp.m.ik[mes], "&lt;"&amp;EOMONTH(R$1,0)+1
)</f>
        <v>0</v>
      </c>
      <c r="S104" s="183">
        <f ca="1">-SUMIFS(
  desp.m.ik[valor],
  desp.m.ik[nucleo], $B104,
  desp.m.ik[centro.negocio], $B$90,
  desp.m.ik[mes], "&gt;="&amp;S$1,
  desp.m.ik[mes], "&lt;"&amp;EOMONTH(S$1,0)+1
)</f>
        <v>0</v>
      </c>
      <c r="T104" s="183">
        <f ca="1">-SUMIFS(
  desp.m.ik[valor],
  desp.m.ik[nucleo], $B104,
  desp.m.ik[centro.negocio], $B$90,
  desp.m.ik[mes], "&gt;="&amp;T$1,
  desp.m.ik[mes], "&lt;"&amp;EOMONTH(T$1,0)+1
)</f>
        <v>0</v>
      </c>
      <c r="U104" s="183">
        <f ca="1">-SUMIFS(
  desp.m.ik[valor],
  desp.m.ik[nucleo], $B104,
  desp.m.ik[centro.negocio], $B$90,
  desp.m.ik[mes], "&gt;="&amp;U$1,
  desp.m.ik[mes], "&lt;"&amp;EOMONTH(U$1,0)+1
)</f>
        <v>0</v>
      </c>
      <c r="V104" s="183">
        <f ca="1">-SUMIFS(
  desp.m.ik[valor],
  desp.m.ik[nucleo], $B104,
  desp.m.ik[centro.negocio], $B$90,
  desp.m.ik[mes], "&gt;="&amp;V$1,
  desp.m.ik[mes], "&lt;"&amp;EOMONTH(V$1,0)+1
)</f>
        <v>0</v>
      </c>
      <c r="W104" s="183">
        <f ca="1">-SUMIFS(
  desp.m.ik[valor],
  desp.m.ik[nucleo], $B104,
  desp.m.ik[centro.negocio], $B$90,
  desp.m.ik[mes], "&gt;="&amp;W$1,
  desp.m.ik[mes], "&lt;"&amp;EOMONTH(W$1,0)+1
)</f>
        <v>0</v>
      </c>
      <c r="X104" s="183">
        <f ca="1">-SUMIFS(
  desp.m.ik[valor],
  desp.m.ik[nucleo], $B104,
  desp.m.ik[centro.negocio], $B$90,
  desp.m.ik[mes], "&gt;="&amp;X$1,
  desp.m.ik[mes], "&lt;"&amp;EOMONTH(X$1,0)+1
)</f>
        <v>0</v>
      </c>
      <c r="Y104" s="183">
        <f ca="1">-SUMIFS(
  desp.m.ik[valor],
  desp.m.ik[nucleo], $B104,
  desp.m.ik[centro.negocio], $B$90,
  desp.m.ik[mes], "&gt;="&amp;Y$1,
  desp.m.ik[mes], "&lt;"&amp;EOMONTH(Y$1,0)+1
)</f>
        <v>0</v>
      </c>
      <c r="Z104" s="183">
        <f ca="1">-SUMIFS(
  desp.m.ik[valor],
  desp.m.ik[nucleo], $B104,
  desp.m.ik[centro.negocio], $B$90,
  desp.m.ik[mes], "&gt;="&amp;Z$1,
  desp.m.ik[mes], "&lt;"&amp;EOMONTH(Z$1,0)+1
)</f>
        <v>0</v>
      </c>
      <c r="AA104" s="183">
        <f ca="1">-SUMIFS(
  desp.m.ik[valor],
  desp.m.ik[nucleo], $B104,
  desp.m.ik[centro.negocio], $B$90,
  desp.m.ik[mes], "&gt;="&amp;AA$1,
  desp.m.ik[mes], "&lt;"&amp;EOMONTH(AA$1,0)+1
)</f>
        <v>0</v>
      </c>
      <c r="AC104" s="175">
        <f ca="1">SUM($D104:INDEX($D104:$AA104,1,MATCH(DATE(YEAR(inputs!$A$1),MONTH(inputs!$A$1),1),$D$1:$AA$1,0)))</f>
        <v>0</v>
      </c>
      <c r="AE104" s="175">
        <f t="shared" ca="1" si="23"/>
        <v>0</v>
      </c>
    </row>
    <row r="105" spans="1:31" outlineLevel="2" x14ac:dyDescent="0.25">
      <c r="A105" s="182" t="s">
        <v>1015</v>
      </c>
      <c r="B105" s="182" t="s">
        <v>581</v>
      </c>
      <c r="C105" s="135" t="s">
        <v>514</v>
      </c>
      <c r="D105" s="183">
        <f ca="1">-SUMIFS(
  desp.m.ik[valor],
  desp.m.ik[nucleo], $B105,
  desp.m.ik[centro.negocio], $B$90,
  desp.m.ik[mes], "&gt;="&amp;D$1,
  desp.m.ik[mes], "&lt;"&amp;EOMONTH(D$1,0)+1
)</f>
        <v>0</v>
      </c>
      <c r="E105" s="183">
        <f ca="1">-SUMIFS(
  desp.m.ik[valor],
  desp.m.ik[nucleo], $B105,
  desp.m.ik[centro.negocio], $B$90,
  desp.m.ik[mes], "&gt;="&amp;E$1,
  desp.m.ik[mes], "&lt;"&amp;EOMONTH(E$1,0)+1
)</f>
        <v>0</v>
      </c>
      <c r="F105" s="183">
        <f ca="1">-SUMIFS(
  desp.m.ik[valor],
  desp.m.ik[nucleo], $B105,
  desp.m.ik[centro.negocio], $B$90,
  desp.m.ik[mes], "&gt;="&amp;F$1,
  desp.m.ik[mes], "&lt;"&amp;EOMONTH(F$1,0)+1
)</f>
        <v>0</v>
      </c>
      <c r="G105" s="183">
        <f ca="1">-SUMIFS(
  desp.m.ik[valor],
  desp.m.ik[nucleo], $B105,
  desp.m.ik[centro.negocio], $B$90,
  desp.m.ik[mes], "&gt;="&amp;G$1,
  desp.m.ik[mes], "&lt;"&amp;EOMONTH(G$1,0)+1
)</f>
        <v>0</v>
      </c>
      <c r="H105" s="183">
        <f ca="1">-SUMIFS(
  desp.m.ik[valor],
  desp.m.ik[nucleo], $B105,
  desp.m.ik[centro.negocio], $B$90,
  desp.m.ik[mes], "&gt;="&amp;H$1,
  desp.m.ik[mes], "&lt;"&amp;EOMONTH(H$1,0)+1
)</f>
        <v>0</v>
      </c>
      <c r="I105" s="183">
        <f ca="1">-SUMIFS(
  desp.m.ik[valor],
  desp.m.ik[nucleo], $B105,
  desp.m.ik[centro.negocio], $B$90,
  desp.m.ik[mes], "&gt;="&amp;I$1,
  desp.m.ik[mes], "&lt;"&amp;EOMONTH(I$1,0)+1
)</f>
        <v>0</v>
      </c>
      <c r="J105" s="183">
        <f ca="1">-SUMIFS(
  desp.m.ik[valor],
  desp.m.ik[nucleo], $B105,
  desp.m.ik[centro.negocio], $B$90,
  desp.m.ik[mes], "&gt;="&amp;J$1,
  desp.m.ik[mes], "&lt;"&amp;EOMONTH(J$1,0)+1
)</f>
        <v>0</v>
      </c>
      <c r="K105" s="183">
        <f ca="1">-SUMIFS(
  desp.m.ik[valor],
  desp.m.ik[nucleo], $B105,
  desp.m.ik[centro.negocio], $B$90,
  desp.m.ik[mes], "&gt;="&amp;K$1,
  desp.m.ik[mes], "&lt;"&amp;EOMONTH(K$1,0)+1
)</f>
        <v>0</v>
      </c>
      <c r="L105" s="183">
        <f ca="1">-SUMIFS(
  desp.m.ik[valor],
  desp.m.ik[nucleo], $B105,
  desp.m.ik[centro.negocio], $B$90,
  desp.m.ik[mes], "&gt;="&amp;L$1,
  desp.m.ik[mes], "&lt;"&amp;EOMONTH(L$1,0)+1
)</f>
        <v>0</v>
      </c>
      <c r="M105" s="183">
        <f ca="1">-SUMIFS(
  desp.m.ik[valor],
  desp.m.ik[nucleo], $B105,
  desp.m.ik[centro.negocio], $B$90,
  desp.m.ik[mes], "&gt;="&amp;M$1,
  desp.m.ik[mes], "&lt;"&amp;EOMONTH(M$1,0)+1
)</f>
        <v>0</v>
      </c>
      <c r="N105" s="183">
        <f ca="1">-SUMIFS(
  desp.m.ik[valor],
  desp.m.ik[nucleo], $B105,
  desp.m.ik[centro.negocio], $B$90,
  desp.m.ik[mes], "&gt;="&amp;N$1,
  desp.m.ik[mes], "&lt;"&amp;EOMONTH(N$1,0)+1
)</f>
        <v>0</v>
      </c>
      <c r="O105" s="183">
        <f ca="1">-SUMIFS(
  desp.m.ik[valor],
  desp.m.ik[nucleo], $B105,
  desp.m.ik[centro.negocio], $B$90,
  desp.m.ik[mes], "&gt;="&amp;O$1,
  desp.m.ik[mes], "&lt;"&amp;EOMONTH(O$1,0)+1
)</f>
        <v>0</v>
      </c>
      <c r="P105" s="183">
        <f ca="1">-SUMIFS(
  desp.m.ik[valor],
  desp.m.ik[nucleo], $B105,
  desp.m.ik[centro.negocio], $B$90,
  desp.m.ik[mes], "&gt;="&amp;P$1,
  desp.m.ik[mes], "&lt;"&amp;EOMONTH(P$1,0)+1
)</f>
        <v>0</v>
      </c>
      <c r="Q105" s="183">
        <f ca="1">-SUMIFS(
  desp.m.ik[valor],
  desp.m.ik[nucleo], $B105,
  desp.m.ik[centro.negocio], $B$90,
  desp.m.ik[mes], "&gt;="&amp;Q$1,
  desp.m.ik[mes], "&lt;"&amp;EOMONTH(Q$1,0)+1
)</f>
        <v>0</v>
      </c>
      <c r="R105" s="183">
        <f ca="1">-SUMIFS(
  desp.m.ik[valor],
  desp.m.ik[nucleo], $B105,
  desp.m.ik[centro.negocio], $B$90,
  desp.m.ik[mes], "&gt;="&amp;R$1,
  desp.m.ik[mes], "&lt;"&amp;EOMONTH(R$1,0)+1
)</f>
        <v>0</v>
      </c>
      <c r="S105" s="183">
        <f ca="1">-SUMIFS(
  desp.m.ik[valor],
  desp.m.ik[nucleo], $B105,
  desp.m.ik[centro.negocio], $B$90,
  desp.m.ik[mes], "&gt;="&amp;S$1,
  desp.m.ik[mes], "&lt;"&amp;EOMONTH(S$1,0)+1
)</f>
        <v>0</v>
      </c>
      <c r="T105" s="183">
        <f ca="1">-SUMIFS(
  desp.m.ik[valor],
  desp.m.ik[nucleo], $B105,
  desp.m.ik[centro.negocio], $B$90,
  desp.m.ik[mes], "&gt;="&amp;T$1,
  desp.m.ik[mes], "&lt;"&amp;EOMONTH(T$1,0)+1
)</f>
        <v>0</v>
      </c>
      <c r="U105" s="183">
        <f ca="1">-SUMIFS(
  desp.m.ik[valor],
  desp.m.ik[nucleo], $B105,
  desp.m.ik[centro.negocio], $B$90,
  desp.m.ik[mes], "&gt;="&amp;U$1,
  desp.m.ik[mes], "&lt;"&amp;EOMONTH(U$1,0)+1
)</f>
        <v>0</v>
      </c>
      <c r="V105" s="183">
        <f ca="1">-SUMIFS(
  desp.m.ik[valor],
  desp.m.ik[nucleo], $B105,
  desp.m.ik[centro.negocio], $B$90,
  desp.m.ik[mes], "&gt;="&amp;V$1,
  desp.m.ik[mes], "&lt;"&amp;EOMONTH(V$1,0)+1
)</f>
        <v>0</v>
      </c>
      <c r="W105" s="183">
        <f ca="1">-SUMIFS(
  desp.m.ik[valor],
  desp.m.ik[nucleo], $B105,
  desp.m.ik[centro.negocio], $B$90,
  desp.m.ik[mes], "&gt;="&amp;W$1,
  desp.m.ik[mes], "&lt;"&amp;EOMONTH(W$1,0)+1
)</f>
        <v>0</v>
      </c>
      <c r="X105" s="183">
        <f ca="1">-SUMIFS(
  desp.m.ik[valor],
  desp.m.ik[nucleo], $B105,
  desp.m.ik[centro.negocio], $B$90,
  desp.m.ik[mes], "&gt;="&amp;X$1,
  desp.m.ik[mes], "&lt;"&amp;EOMONTH(X$1,0)+1
)</f>
        <v>0</v>
      </c>
      <c r="Y105" s="183">
        <f ca="1">-SUMIFS(
  desp.m.ik[valor],
  desp.m.ik[nucleo], $B105,
  desp.m.ik[centro.negocio], $B$90,
  desp.m.ik[mes], "&gt;="&amp;Y$1,
  desp.m.ik[mes], "&lt;"&amp;EOMONTH(Y$1,0)+1
)</f>
        <v>0</v>
      </c>
      <c r="Z105" s="183">
        <f ca="1">-SUMIFS(
  desp.m.ik[valor],
  desp.m.ik[nucleo], $B105,
  desp.m.ik[centro.negocio], $B$90,
  desp.m.ik[mes], "&gt;="&amp;Z$1,
  desp.m.ik[mes], "&lt;"&amp;EOMONTH(Z$1,0)+1
)</f>
        <v>0</v>
      </c>
      <c r="AA105" s="183">
        <f ca="1">-SUMIFS(
  desp.m.ik[valor],
  desp.m.ik[nucleo], $B105,
  desp.m.ik[centro.negocio], $B$90,
  desp.m.ik[mes], "&gt;="&amp;AA$1,
  desp.m.ik[mes], "&lt;"&amp;EOMONTH(AA$1,0)+1
)</f>
        <v>0</v>
      </c>
      <c r="AC105" s="175">
        <f ca="1">SUM($D105:INDEX($D105:$AA105,1,MATCH(DATE(YEAR(inputs!$A$1),MONTH(inputs!$A$1),1),$D$1:$AA$1,0)))</f>
        <v>0</v>
      </c>
      <c r="AE105" s="175">
        <f t="shared" ca="1" si="23"/>
        <v>0</v>
      </c>
    </row>
    <row r="106" spans="1:31" outlineLevel="1" x14ac:dyDescent="0.25">
      <c r="A106" s="179" t="s">
        <v>565</v>
      </c>
      <c r="B106" s="179" t="s">
        <v>386</v>
      </c>
      <c r="C106" s="180" t="s">
        <v>514</v>
      </c>
      <c r="D106" s="181">
        <f t="shared" ref="D106:AA106" ca="1" si="26">SUM(D$107:D$118)</f>
        <v>0</v>
      </c>
      <c r="E106" s="181">
        <f t="shared" ca="1" si="26"/>
        <v>0</v>
      </c>
      <c r="F106" s="181">
        <f t="shared" ca="1" si="26"/>
        <v>0</v>
      </c>
      <c r="G106" s="181">
        <f t="shared" ca="1" si="26"/>
        <v>0</v>
      </c>
      <c r="H106" s="181">
        <f t="shared" ca="1" si="26"/>
        <v>0</v>
      </c>
      <c r="I106" s="181">
        <f t="shared" ca="1" si="26"/>
        <v>0</v>
      </c>
      <c r="J106" s="181">
        <f t="shared" ca="1" si="26"/>
        <v>0</v>
      </c>
      <c r="K106" s="181">
        <f t="shared" ca="1" si="26"/>
        <v>0</v>
      </c>
      <c r="L106" s="181">
        <f t="shared" ca="1" si="26"/>
        <v>0</v>
      </c>
      <c r="M106" s="181">
        <f t="shared" ca="1" si="26"/>
        <v>0</v>
      </c>
      <c r="N106" s="181">
        <f t="shared" ca="1" si="26"/>
        <v>0</v>
      </c>
      <c r="O106" s="181">
        <f t="shared" ca="1" si="26"/>
        <v>0</v>
      </c>
      <c r="P106" s="181">
        <f t="shared" ca="1" si="26"/>
        <v>0</v>
      </c>
      <c r="Q106" s="181">
        <f t="shared" ca="1" si="26"/>
        <v>0</v>
      </c>
      <c r="R106" s="181">
        <f t="shared" ca="1" si="26"/>
        <v>0</v>
      </c>
      <c r="S106" s="181">
        <f t="shared" ca="1" si="26"/>
        <v>0</v>
      </c>
      <c r="T106" s="181">
        <f t="shared" ca="1" si="26"/>
        <v>0</v>
      </c>
      <c r="U106" s="181">
        <f t="shared" ca="1" si="26"/>
        <v>0</v>
      </c>
      <c r="V106" s="181">
        <f t="shared" ca="1" si="26"/>
        <v>0</v>
      </c>
      <c r="W106" s="181">
        <f t="shared" ca="1" si="26"/>
        <v>0</v>
      </c>
      <c r="X106" s="181">
        <f t="shared" ca="1" si="26"/>
        <v>0</v>
      </c>
      <c r="Y106" s="181">
        <f t="shared" ca="1" si="26"/>
        <v>0</v>
      </c>
      <c r="Z106" s="181">
        <f t="shared" ca="1" si="26"/>
        <v>0</v>
      </c>
      <c r="AA106" s="181">
        <f t="shared" ca="1" si="26"/>
        <v>0</v>
      </c>
      <c r="AC106" s="275">
        <f ca="1">SUM($D106:INDEX($D106:$AA106,1,MATCH(DATE(YEAR(inputs!$A$1),MONTH(inputs!$A$1),1),$D$1:$AA$1,0)))</f>
        <v>0</v>
      </c>
      <c r="AE106" s="275">
        <f t="shared" ca="1" si="23"/>
        <v>0</v>
      </c>
    </row>
    <row r="107" spans="1:31" outlineLevel="2" x14ac:dyDescent="0.25">
      <c r="A107" s="182" t="s">
        <v>965</v>
      </c>
      <c r="B107" s="182" t="s">
        <v>546</v>
      </c>
      <c r="C107" s="135" t="s">
        <v>514</v>
      </c>
      <c r="D107" s="183">
        <f ca="1">-SUMIFS(
  desp.m.ik[valor],
  desp.m.ik[nucleo], $B107,
  desp.m.ik[centro.negocio], $B$106,
  desp.m.ik[mes], "&gt;="&amp;D$1,
  desp.m.ik[mes], "&lt;"&amp;EOMONTH(D$1,0)+1
)</f>
        <v>0</v>
      </c>
      <c r="E107" s="183">
        <f ca="1">-SUMIFS(
  desp.m.ik[valor],
  desp.m.ik[nucleo], $B107,
  desp.m.ik[centro.negocio], $B$106,
  desp.m.ik[mes], "&gt;="&amp;E$1,
  desp.m.ik[mes], "&lt;"&amp;EOMONTH(E$1,0)+1
)</f>
        <v>0</v>
      </c>
      <c r="F107" s="183">
        <f ca="1">-SUMIFS(
  desp.m.ik[valor],
  desp.m.ik[nucleo], $B107,
  desp.m.ik[centro.negocio], $B$106,
  desp.m.ik[mes], "&gt;="&amp;F$1,
  desp.m.ik[mes], "&lt;"&amp;EOMONTH(F$1,0)+1
)</f>
        <v>0</v>
      </c>
      <c r="G107" s="183">
        <f ca="1">-SUMIFS(
  desp.m.ik[valor],
  desp.m.ik[nucleo], $B107,
  desp.m.ik[centro.negocio], $B$106,
  desp.m.ik[mes], "&gt;="&amp;G$1,
  desp.m.ik[mes], "&lt;"&amp;EOMONTH(G$1,0)+1
)</f>
        <v>0</v>
      </c>
      <c r="H107" s="183">
        <f ca="1">-SUMIFS(
  desp.m.ik[valor],
  desp.m.ik[nucleo], $B107,
  desp.m.ik[centro.negocio], $B$106,
  desp.m.ik[mes], "&gt;="&amp;H$1,
  desp.m.ik[mes], "&lt;"&amp;EOMONTH(H$1,0)+1
)</f>
        <v>0</v>
      </c>
      <c r="I107" s="183">
        <f ca="1">-SUMIFS(
  desp.m.ik[valor],
  desp.m.ik[nucleo], $B107,
  desp.m.ik[centro.negocio], $B$106,
  desp.m.ik[mes], "&gt;="&amp;I$1,
  desp.m.ik[mes], "&lt;"&amp;EOMONTH(I$1,0)+1
)</f>
        <v>0</v>
      </c>
      <c r="J107" s="183">
        <f ca="1">-SUMIFS(
  desp.m.ik[valor],
  desp.m.ik[nucleo], $B107,
  desp.m.ik[centro.negocio], $B$106,
  desp.m.ik[mes], "&gt;="&amp;J$1,
  desp.m.ik[mes], "&lt;"&amp;EOMONTH(J$1,0)+1
)</f>
        <v>0</v>
      </c>
      <c r="K107" s="183">
        <f ca="1">-SUMIFS(
  desp.m.ik[valor],
  desp.m.ik[nucleo], $B107,
  desp.m.ik[centro.negocio], $B$106,
  desp.m.ik[mes], "&gt;="&amp;K$1,
  desp.m.ik[mes], "&lt;"&amp;EOMONTH(K$1,0)+1
)</f>
        <v>0</v>
      </c>
      <c r="L107" s="183">
        <f ca="1">-SUMIFS(
  desp.m.ik[valor],
  desp.m.ik[nucleo], $B107,
  desp.m.ik[centro.negocio], $B$106,
  desp.m.ik[mes], "&gt;="&amp;L$1,
  desp.m.ik[mes], "&lt;"&amp;EOMONTH(L$1,0)+1
)</f>
        <v>0</v>
      </c>
      <c r="M107" s="183">
        <f ca="1">-SUMIFS(
  desp.m.ik[valor],
  desp.m.ik[nucleo], $B107,
  desp.m.ik[centro.negocio], $B$106,
  desp.m.ik[mes], "&gt;="&amp;M$1,
  desp.m.ik[mes], "&lt;"&amp;EOMONTH(M$1,0)+1
)</f>
        <v>0</v>
      </c>
      <c r="N107" s="183">
        <f ca="1">-SUMIFS(
  desp.m.ik[valor],
  desp.m.ik[nucleo], $B107,
  desp.m.ik[centro.negocio], $B$106,
  desp.m.ik[mes], "&gt;="&amp;N$1,
  desp.m.ik[mes], "&lt;"&amp;EOMONTH(N$1,0)+1
)</f>
        <v>0</v>
      </c>
      <c r="O107" s="183">
        <f ca="1">-SUMIFS(
  desp.m.ik[valor],
  desp.m.ik[nucleo], $B107,
  desp.m.ik[centro.negocio], $B$106,
  desp.m.ik[mes], "&gt;="&amp;O$1,
  desp.m.ik[mes], "&lt;"&amp;EOMONTH(O$1,0)+1
)</f>
        <v>0</v>
      </c>
      <c r="P107" s="183">
        <f ca="1">-SUMIFS(
  desp.m.ik[valor],
  desp.m.ik[nucleo], $B107,
  desp.m.ik[centro.negocio], $B$106,
  desp.m.ik[mes], "&gt;="&amp;P$1,
  desp.m.ik[mes], "&lt;"&amp;EOMONTH(P$1,0)+1
)</f>
        <v>0</v>
      </c>
      <c r="Q107" s="183">
        <f ca="1">-SUMIFS(
  desp.m.ik[valor],
  desp.m.ik[nucleo], $B107,
  desp.m.ik[centro.negocio], $B$106,
  desp.m.ik[mes], "&gt;="&amp;Q$1,
  desp.m.ik[mes], "&lt;"&amp;EOMONTH(Q$1,0)+1
)</f>
        <v>0</v>
      </c>
      <c r="R107" s="183">
        <f ca="1">-SUMIFS(
  desp.m.ik[valor],
  desp.m.ik[nucleo], $B107,
  desp.m.ik[centro.negocio], $B$106,
  desp.m.ik[mes], "&gt;="&amp;R$1,
  desp.m.ik[mes], "&lt;"&amp;EOMONTH(R$1,0)+1
)</f>
        <v>0</v>
      </c>
      <c r="S107" s="183">
        <f ca="1">-SUMIFS(
  desp.m.ik[valor],
  desp.m.ik[nucleo], $B107,
  desp.m.ik[centro.negocio], $B$106,
  desp.m.ik[mes], "&gt;="&amp;S$1,
  desp.m.ik[mes], "&lt;"&amp;EOMONTH(S$1,0)+1
)</f>
        <v>0</v>
      </c>
      <c r="T107" s="183">
        <f ca="1">-SUMIFS(
  desp.m.ik[valor],
  desp.m.ik[nucleo], $B107,
  desp.m.ik[centro.negocio], $B$106,
  desp.m.ik[mes], "&gt;="&amp;T$1,
  desp.m.ik[mes], "&lt;"&amp;EOMONTH(T$1,0)+1
)</f>
        <v>0</v>
      </c>
      <c r="U107" s="183">
        <f ca="1">-SUMIFS(
  desp.m.ik[valor],
  desp.m.ik[nucleo], $B107,
  desp.m.ik[centro.negocio], $B$106,
  desp.m.ik[mes], "&gt;="&amp;U$1,
  desp.m.ik[mes], "&lt;"&amp;EOMONTH(U$1,0)+1
)</f>
        <v>0</v>
      </c>
      <c r="V107" s="183">
        <f ca="1">-SUMIFS(
  desp.m.ik[valor],
  desp.m.ik[nucleo], $B107,
  desp.m.ik[centro.negocio], $B$106,
  desp.m.ik[mes], "&gt;="&amp;V$1,
  desp.m.ik[mes], "&lt;"&amp;EOMONTH(V$1,0)+1
)</f>
        <v>0</v>
      </c>
      <c r="W107" s="183">
        <f ca="1">-SUMIFS(
  desp.m.ik[valor],
  desp.m.ik[nucleo], $B107,
  desp.m.ik[centro.negocio], $B$106,
  desp.m.ik[mes], "&gt;="&amp;W$1,
  desp.m.ik[mes], "&lt;"&amp;EOMONTH(W$1,0)+1
)</f>
        <v>0</v>
      </c>
      <c r="X107" s="183">
        <f ca="1">-SUMIFS(
  desp.m.ik[valor],
  desp.m.ik[nucleo], $B107,
  desp.m.ik[centro.negocio], $B$106,
  desp.m.ik[mes], "&gt;="&amp;X$1,
  desp.m.ik[mes], "&lt;"&amp;EOMONTH(X$1,0)+1
)</f>
        <v>0</v>
      </c>
      <c r="Y107" s="183">
        <f ca="1">-SUMIFS(
  desp.m.ik[valor],
  desp.m.ik[nucleo], $B107,
  desp.m.ik[centro.negocio], $B$106,
  desp.m.ik[mes], "&gt;="&amp;Y$1,
  desp.m.ik[mes], "&lt;"&amp;EOMONTH(Y$1,0)+1
)</f>
        <v>0</v>
      </c>
      <c r="Z107" s="183">
        <f ca="1">-SUMIFS(
  desp.m.ik[valor],
  desp.m.ik[nucleo], $B107,
  desp.m.ik[centro.negocio], $B$106,
  desp.m.ik[mes], "&gt;="&amp;Z$1,
  desp.m.ik[mes], "&lt;"&amp;EOMONTH(Z$1,0)+1
)</f>
        <v>0</v>
      </c>
      <c r="AA107" s="183">
        <f ca="1">-SUMIFS(
  desp.m.ik[valor],
  desp.m.ik[nucleo], $B107,
  desp.m.ik[centro.negocio], $B$106,
  desp.m.ik[mes], "&gt;="&amp;AA$1,
  desp.m.ik[mes], "&lt;"&amp;EOMONTH(AA$1,0)+1
)</f>
        <v>0</v>
      </c>
      <c r="AC107" s="175">
        <f ca="1">SUM($D107:INDEX($D107:$AA107,1,MATCH(DATE(YEAR(inputs!$A$1),MONTH(inputs!$A$1),1),$D$1:$AA$1,0)))</f>
        <v>0</v>
      </c>
      <c r="AE107" s="175">
        <f t="shared" ca="1" si="23"/>
        <v>0</v>
      </c>
    </row>
    <row r="108" spans="1:31" outlineLevel="2" x14ac:dyDescent="0.25">
      <c r="A108" s="182" t="s">
        <v>970</v>
      </c>
      <c r="B108" s="182" t="s">
        <v>541</v>
      </c>
      <c r="C108" s="135" t="s">
        <v>514</v>
      </c>
      <c r="D108" s="183">
        <f ca="1">-SUMIFS(
  desp.m.ik[valor],
  desp.m.ik[nucleo], $B108,
  desp.m.ik[centro.negocio], $B$106,
  desp.m.ik[mes], "&gt;="&amp;D$1,
  desp.m.ik[mes], "&lt;"&amp;EOMONTH(D$1,0)+1
)</f>
        <v>0</v>
      </c>
      <c r="E108" s="183">
        <f ca="1">-SUMIFS(
  desp.m.ik[valor],
  desp.m.ik[nucleo], $B108,
  desp.m.ik[centro.negocio], $B$106,
  desp.m.ik[mes], "&gt;="&amp;E$1,
  desp.m.ik[mes], "&lt;"&amp;EOMONTH(E$1,0)+1
)</f>
        <v>0</v>
      </c>
      <c r="F108" s="183">
        <f ca="1">-SUMIFS(
  desp.m.ik[valor],
  desp.m.ik[nucleo], $B108,
  desp.m.ik[centro.negocio], $B$106,
  desp.m.ik[mes], "&gt;="&amp;F$1,
  desp.m.ik[mes], "&lt;"&amp;EOMONTH(F$1,0)+1
)</f>
        <v>0</v>
      </c>
      <c r="G108" s="183">
        <f ca="1">-SUMIFS(
  desp.m.ik[valor],
  desp.m.ik[nucleo], $B108,
  desp.m.ik[centro.negocio], $B$106,
  desp.m.ik[mes], "&gt;="&amp;G$1,
  desp.m.ik[mes], "&lt;"&amp;EOMONTH(G$1,0)+1
)</f>
        <v>0</v>
      </c>
      <c r="H108" s="183">
        <f ca="1">-SUMIFS(
  desp.m.ik[valor],
  desp.m.ik[nucleo], $B108,
  desp.m.ik[centro.negocio], $B$106,
  desp.m.ik[mes], "&gt;="&amp;H$1,
  desp.m.ik[mes], "&lt;"&amp;EOMONTH(H$1,0)+1
)</f>
        <v>0</v>
      </c>
      <c r="I108" s="183">
        <f ca="1">-SUMIFS(
  desp.m.ik[valor],
  desp.m.ik[nucleo], $B108,
  desp.m.ik[centro.negocio], $B$106,
  desp.m.ik[mes], "&gt;="&amp;I$1,
  desp.m.ik[mes], "&lt;"&amp;EOMONTH(I$1,0)+1
)</f>
        <v>0</v>
      </c>
      <c r="J108" s="183">
        <f ca="1">-SUMIFS(
  desp.m.ik[valor],
  desp.m.ik[nucleo], $B108,
  desp.m.ik[centro.negocio], $B$106,
  desp.m.ik[mes], "&gt;="&amp;J$1,
  desp.m.ik[mes], "&lt;"&amp;EOMONTH(J$1,0)+1
)</f>
        <v>0</v>
      </c>
      <c r="K108" s="183">
        <f ca="1">-SUMIFS(
  desp.m.ik[valor],
  desp.m.ik[nucleo], $B108,
  desp.m.ik[centro.negocio], $B$106,
  desp.m.ik[mes], "&gt;="&amp;K$1,
  desp.m.ik[mes], "&lt;"&amp;EOMONTH(K$1,0)+1
)</f>
        <v>0</v>
      </c>
      <c r="L108" s="183">
        <f ca="1">-SUMIFS(
  desp.m.ik[valor],
  desp.m.ik[nucleo], $B108,
  desp.m.ik[centro.negocio], $B$106,
  desp.m.ik[mes], "&gt;="&amp;L$1,
  desp.m.ik[mes], "&lt;"&amp;EOMONTH(L$1,0)+1
)</f>
        <v>0</v>
      </c>
      <c r="M108" s="183">
        <f ca="1">-SUMIFS(
  desp.m.ik[valor],
  desp.m.ik[nucleo], $B108,
  desp.m.ik[centro.negocio], $B$106,
  desp.m.ik[mes], "&gt;="&amp;M$1,
  desp.m.ik[mes], "&lt;"&amp;EOMONTH(M$1,0)+1
)</f>
        <v>0</v>
      </c>
      <c r="N108" s="183">
        <f ca="1">-SUMIFS(
  desp.m.ik[valor],
  desp.m.ik[nucleo], $B108,
  desp.m.ik[centro.negocio], $B$106,
  desp.m.ik[mes], "&gt;="&amp;N$1,
  desp.m.ik[mes], "&lt;"&amp;EOMONTH(N$1,0)+1
)</f>
        <v>0</v>
      </c>
      <c r="O108" s="183">
        <f ca="1">-SUMIFS(
  desp.m.ik[valor],
  desp.m.ik[nucleo], $B108,
  desp.m.ik[centro.negocio], $B$106,
  desp.m.ik[mes], "&gt;="&amp;O$1,
  desp.m.ik[mes], "&lt;"&amp;EOMONTH(O$1,0)+1
)</f>
        <v>0</v>
      </c>
      <c r="P108" s="183">
        <f ca="1">-SUMIFS(
  desp.m.ik[valor],
  desp.m.ik[nucleo], $B108,
  desp.m.ik[centro.negocio], $B$106,
  desp.m.ik[mes], "&gt;="&amp;P$1,
  desp.m.ik[mes], "&lt;"&amp;EOMONTH(P$1,0)+1
)</f>
        <v>0</v>
      </c>
      <c r="Q108" s="183">
        <f ca="1">-SUMIFS(
  desp.m.ik[valor],
  desp.m.ik[nucleo], $B108,
  desp.m.ik[centro.negocio], $B$106,
  desp.m.ik[mes], "&gt;="&amp;Q$1,
  desp.m.ik[mes], "&lt;"&amp;EOMONTH(Q$1,0)+1
)</f>
        <v>0</v>
      </c>
      <c r="R108" s="183">
        <f ca="1">-SUMIFS(
  desp.m.ik[valor],
  desp.m.ik[nucleo], $B108,
  desp.m.ik[centro.negocio], $B$106,
  desp.m.ik[mes], "&gt;="&amp;R$1,
  desp.m.ik[mes], "&lt;"&amp;EOMONTH(R$1,0)+1
)</f>
        <v>0</v>
      </c>
      <c r="S108" s="183">
        <f ca="1">-SUMIFS(
  desp.m.ik[valor],
  desp.m.ik[nucleo], $B108,
  desp.m.ik[centro.negocio], $B$106,
  desp.m.ik[mes], "&gt;="&amp;S$1,
  desp.m.ik[mes], "&lt;"&amp;EOMONTH(S$1,0)+1
)</f>
        <v>0</v>
      </c>
      <c r="T108" s="183">
        <f ca="1">-SUMIFS(
  desp.m.ik[valor],
  desp.m.ik[nucleo], $B108,
  desp.m.ik[centro.negocio], $B$106,
  desp.m.ik[mes], "&gt;="&amp;T$1,
  desp.m.ik[mes], "&lt;"&amp;EOMONTH(T$1,0)+1
)</f>
        <v>0</v>
      </c>
      <c r="U108" s="183">
        <f ca="1">-SUMIFS(
  desp.m.ik[valor],
  desp.m.ik[nucleo], $B108,
  desp.m.ik[centro.negocio], $B$106,
  desp.m.ik[mes], "&gt;="&amp;U$1,
  desp.m.ik[mes], "&lt;"&amp;EOMONTH(U$1,0)+1
)</f>
        <v>0</v>
      </c>
      <c r="V108" s="183">
        <f ca="1">-SUMIFS(
  desp.m.ik[valor],
  desp.m.ik[nucleo], $B108,
  desp.m.ik[centro.negocio], $B$106,
  desp.m.ik[mes], "&gt;="&amp;V$1,
  desp.m.ik[mes], "&lt;"&amp;EOMONTH(V$1,0)+1
)</f>
        <v>0</v>
      </c>
      <c r="W108" s="183">
        <f ca="1">-SUMIFS(
  desp.m.ik[valor],
  desp.m.ik[nucleo], $B108,
  desp.m.ik[centro.negocio], $B$106,
  desp.m.ik[mes], "&gt;="&amp;W$1,
  desp.m.ik[mes], "&lt;"&amp;EOMONTH(W$1,0)+1
)</f>
        <v>0</v>
      </c>
      <c r="X108" s="183">
        <f ca="1">-SUMIFS(
  desp.m.ik[valor],
  desp.m.ik[nucleo], $B108,
  desp.m.ik[centro.negocio], $B$106,
  desp.m.ik[mes], "&gt;="&amp;X$1,
  desp.m.ik[mes], "&lt;"&amp;EOMONTH(X$1,0)+1
)</f>
        <v>0</v>
      </c>
      <c r="Y108" s="183">
        <f ca="1">-SUMIFS(
  desp.m.ik[valor],
  desp.m.ik[nucleo], $B108,
  desp.m.ik[centro.negocio], $B$106,
  desp.m.ik[mes], "&gt;="&amp;Y$1,
  desp.m.ik[mes], "&lt;"&amp;EOMONTH(Y$1,0)+1
)</f>
        <v>0</v>
      </c>
      <c r="Z108" s="183">
        <f ca="1">-SUMIFS(
  desp.m.ik[valor],
  desp.m.ik[nucleo], $B108,
  desp.m.ik[centro.negocio], $B$106,
  desp.m.ik[mes], "&gt;="&amp;Z$1,
  desp.m.ik[mes], "&lt;"&amp;EOMONTH(Z$1,0)+1
)</f>
        <v>0</v>
      </c>
      <c r="AA108" s="183">
        <f ca="1">-SUMIFS(
  desp.m.ik[valor],
  desp.m.ik[nucleo], $B108,
  desp.m.ik[centro.negocio], $B$106,
  desp.m.ik[mes], "&gt;="&amp;AA$1,
  desp.m.ik[mes], "&lt;"&amp;EOMONTH(AA$1,0)+1
)</f>
        <v>0</v>
      </c>
      <c r="AC108" s="175">
        <f ca="1">SUM($D108:INDEX($D108:$AA108,1,MATCH(DATE(YEAR(inputs!$A$1),MONTH(inputs!$A$1),1),$D$1:$AA$1,0)))</f>
        <v>0</v>
      </c>
      <c r="AE108" s="175">
        <f t="shared" ca="1" si="23"/>
        <v>0</v>
      </c>
    </row>
    <row r="109" spans="1:31" outlineLevel="2" x14ac:dyDescent="0.25">
      <c r="A109" s="182" t="s">
        <v>969</v>
      </c>
      <c r="B109" s="182" t="s">
        <v>544</v>
      </c>
      <c r="C109" s="135" t="s">
        <v>514</v>
      </c>
      <c r="D109" s="183">
        <f ca="1">-SUMIFS(
  desp.m.ik[valor],
  desp.m.ik[nucleo], $B109,
  desp.m.ik[centro.negocio], $B$106,
  desp.m.ik[mes], "&gt;="&amp;D$1,
  desp.m.ik[mes], "&lt;"&amp;EOMONTH(D$1,0)+1
)</f>
        <v>0</v>
      </c>
      <c r="E109" s="183">
        <f ca="1">-SUMIFS(
  desp.m.ik[valor],
  desp.m.ik[nucleo], $B109,
  desp.m.ik[centro.negocio], $B$106,
  desp.m.ik[mes], "&gt;="&amp;E$1,
  desp.m.ik[mes], "&lt;"&amp;EOMONTH(E$1,0)+1
)</f>
        <v>0</v>
      </c>
      <c r="F109" s="183">
        <f ca="1">-SUMIFS(
  desp.m.ik[valor],
  desp.m.ik[nucleo], $B109,
  desp.m.ik[centro.negocio], $B$106,
  desp.m.ik[mes], "&gt;="&amp;F$1,
  desp.m.ik[mes], "&lt;"&amp;EOMONTH(F$1,0)+1
)</f>
        <v>0</v>
      </c>
      <c r="G109" s="183">
        <f ca="1">-SUMIFS(
  desp.m.ik[valor],
  desp.m.ik[nucleo], $B109,
  desp.m.ik[centro.negocio], $B$106,
  desp.m.ik[mes], "&gt;="&amp;G$1,
  desp.m.ik[mes], "&lt;"&amp;EOMONTH(G$1,0)+1
)</f>
        <v>0</v>
      </c>
      <c r="H109" s="183">
        <f ca="1">-SUMIFS(
  desp.m.ik[valor],
  desp.m.ik[nucleo], $B109,
  desp.m.ik[centro.negocio], $B$106,
  desp.m.ik[mes], "&gt;="&amp;H$1,
  desp.m.ik[mes], "&lt;"&amp;EOMONTH(H$1,0)+1
)</f>
        <v>0</v>
      </c>
      <c r="I109" s="183">
        <f ca="1">-SUMIFS(
  desp.m.ik[valor],
  desp.m.ik[nucleo], $B109,
  desp.m.ik[centro.negocio], $B$106,
  desp.m.ik[mes], "&gt;="&amp;I$1,
  desp.m.ik[mes], "&lt;"&amp;EOMONTH(I$1,0)+1
)</f>
        <v>0</v>
      </c>
      <c r="J109" s="183">
        <f ca="1">-SUMIFS(
  desp.m.ik[valor],
  desp.m.ik[nucleo], $B109,
  desp.m.ik[centro.negocio], $B$106,
  desp.m.ik[mes], "&gt;="&amp;J$1,
  desp.m.ik[mes], "&lt;"&amp;EOMONTH(J$1,0)+1
)</f>
        <v>0</v>
      </c>
      <c r="K109" s="183">
        <f ca="1">-SUMIFS(
  desp.m.ik[valor],
  desp.m.ik[nucleo], $B109,
  desp.m.ik[centro.negocio], $B$106,
  desp.m.ik[mes], "&gt;="&amp;K$1,
  desp.m.ik[mes], "&lt;"&amp;EOMONTH(K$1,0)+1
)</f>
        <v>0</v>
      </c>
      <c r="L109" s="183">
        <f ca="1">-SUMIFS(
  desp.m.ik[valor],
  desp.m.ik[nucleo], $B109,
  desp.m.ik[centro.negocio], $B$106,
  desp.m.ik[mes], "&gt;="&amp;L$1,
  desp.m.ik[mes], "&lt;"&amp;EOMONTH(L$1,0)+1
)</f>
        <v>0</v>
      </c>
      <c r="M109" s="183">
        <f ca="1">-SUMIFS(
  desp.m.ik[valor],
  desp.m.ik[nucleo], $B109,
  desp.m.ik[centro.negocio], $B$106,
  desp.m.ik[mes], "&gt;="&amp;M$1,
  desp.m.ik[mes], "&lt;"&amp;EOMONTH(M$1,0)+1
)</f>
        <v>0</v>
      </c>
      <c r="N109" s="183">
        <f ca="1">-SUMIFS(
  desp.m.ik[valor],
  desp.m.ik[nucleo], $B109,
  desp.m.ik[centro.negocio], $B$106,
  desp.m.ik[mes], "&gt;="&amp;N$1,
  desp.m.ik[mes], "&lt;"&amp;EOMONTH(N$1,0)+1
)</f>
        <v>0</v>
      </c>
      <c r="O109" s="183">
        <f ca="1">-SUMIFS(
  desp.m.ik[valor],
  desp.m.ik[nucleo], $B109,
  desp.m.ik[centro.negocio], $B$106,
  desp.m.ik[mes], "&gt;="&amp;O$1,
  desp.m.ik[mes], "&lt;"&amp;EOMONTH(O$1,0)+1
)</f>
        <v>0</v>
      </c>
      <c r="P109" s="183">
        <f ca="1">-SUMIFS(
  desp.m.ik[valor],
  desp.m.ik[nucleo], $B109,
  desp.m.ik[centro.negocio], $B$106,
  desp.m.ik[mes], "&gt;="&amp;P$1,
  desp.m.ik[mes], "&lt;"&amp;EOMONTH(P$1,0)+1
)</f>
        <v>0</v>
      </c>
      <c r="Q109" s="183">
        <f ca="1">-SUMIFS(
  desp.m.ik[valor],
  desp.m.ik[nucleo], $B109,
  desp.m.ik[centro.negocio], $B$106,
  desp.m.ik[mes], "&gt;="&amp;Q$1,
  desp.m.ik[mes], "&lt;"&amp;EOMONTH(Q$1,0)+1
)</f>
        <v>0</v>
      </c>
      <c r="R109" s="183">
        <f ca="1">-SUMIFS(
  desp.m.ik[valor],
  desp.m.ik[nucleo], $B109,
  desp.m.ik[centro.negocio], $B$106,
  desp.m.ik[mes], "&gt;="&amp;R$1,
  desp.m.ik[mes], "&lt;"&amp;EOMONTH(R$1,0)+1
)</f>
        <v>0</v>
      </c>
      <c r="S109" s="183">
        <f ca="1">-SUMIFS(
  desp.m.ik[valor],
  desp.m.ik[nucleo], $B109,
  desp.m.ik[centro.negocio], $B$106,
  desp.m.ik[mes], "&gt;="&amp;S$1,
  desp.m.ik[mes], "&lt;"&amp;EOMONTH(S$1,0)+1
)</f>
        <v>0</v>
      </c>
      <c r="T109" s="183">
        <f ca="1">-SUMIFS(
  desp.m.ik[valor],
  desp.m.ik[nucleo], $B109,
  desp.m.ik[centro.negocio], $B$106,
  desp.m.ik[mes], "&gt;="&amp;T$1,
  desp.m.ik[mes], "&lt;"&amp;EOMONTH(T$1,0)+1
)</f>
        <v>0</v>
      </c>
      <c r="U109" s="183">
        <f ca="1">-SUMIFS(
  desp.m.ik[valor],
  desp.m.ik[nucleo], $B109,
  desp.m.ik[centro.negocio], $B$106,
  desp.m.ik[mes], "&gt;="&amp;U$1,
  desp.m.ik[mes], "&lt;"&amp;EOMONTH(U$1,0)+1
)</f>
        <v>0</v>
      </c>
      <c r="V109" s="183">
        <f ca="1">-SUMIFS(
  desp.m.ik[valor],
  desp.m.ik[nucleo], $B109,
  desp.m.ik[centro.negocio], $B$106,
  desp.m.ik[mes], "&gt;="&amp;V$1,
  desp.m.ik[mes], "&lt;"&amp;EOMONTH(V$1,0)+1
)</f>
        <v>0</v>
      </c>
      <c r="W109" s="183">
        <f ca="1">-SUMIFS(
  desp.m.ik[valor],
  desp.m.ik[nucleo], $B109,
  desp.m.ik[centro.negocio], $B$106,
  desp.m.ik[mes], "&gt;="&amp;W$1,
  desp.m.ik[mes], "&lt;"&amp;EOMONTH(W$1,0)+1
)</f>
        <v>0</v>
      </c>
      <c r="X109" s="183">
        <f ca="1">-SUMIFS(
  desp.m.ik[valor],
  desp.m.ik[nucleo], $B109,
  desp.m.ik[centro.negocio], $B$106,
  desp.m.ik[mes], "&gt;="&amp;X$1,
  desp.m.ik[mes], "&lt;"&amp;EOMONTH(X$1,0)+1
)</f>
        <v>0</v>
      </c>
      <c r="Y109" s="183">
        <f ca="1">-SUMIFS(
  desp.m.ik[valor],
  desp.m.ik[nucleo], $B109,
  desp.m.ik[centro.negocio], $B$106,
  desp.m.ik[mes], "&gt;="&amp;Y$1,
  desp.m.ik[mes], "&lt;"&amp;EOMONTH(Y$1,0)+1
)</f>
        <v>0</v>
      </c>
      <c r="Z109" s="183">
        <f ca="1">-SUMIFS(
  desp.m.ik[valor],
  desp.m.ik[nucleo], $B109,
  desp.m.ik[centro.negocio], $B$106,
  desp.m.ik[mes], "&gt;="&amp;Z$1,
  desp.m.ik[mes], "&lt;"&amp;EOMONTH(Z$1,0)+1
)</f>
        <v>0</v>
      </c>
      <c r="AA109" s="183">
        <f ca="1">-SUMIFS(
  desp.m.ik[valor],
  desp.m.ik[nucleo], $B109,
  desp.m.ik[centro.negocio], $B$106,
  desp.m.ik[mes], "&gt;="&amp;AA$1,
  desp.m.ik[mes], "&lt;"&amp;EOMONTH(AA$1,0)+1
)</f>
        <v>0</v>
      </c>
      <c r="AC109" s="175">
        <f ca="1">SUM($D109:INDEX($D109:$AA109,1,MATCH(DATE(YEAR(inputs!$A$1),MONTH(inputs!$A$1),1),$D$1:$AA$1,0)))</f>
        <v>0</v>
      </c>
      <c r="AE109" s="175">
        <f t="shared" ca="1" si="23"/>
        <v>0</v>
      </c>
    </row>
    <row r="110" spans="1:31" outlineLevel="2" x14ac:dyDescent="0.25">
      <c r="A110" s="182" t="s">
        <v>968</v>
      </c>
      <c r="B110" s="182" t="s">
        <v>922</v>
      </c>
      <c r="C110" s="135" t="s">
        <v>514</v>
      </c>
      <c r="D110" s="183">
        <f ca="1">-SUMIFS(
  desp.m.ik[valor],
  desp.m.ik[nucleo], $B110,
  desp.m.ik[centro.negocio], $B$106,
  desp.m.ik[mes], "&gt;="&amp;D$1,
  desp.m.ik[mes], "&lt;"&amp;EOMONTH(D$1,0)+1
)</f>
        <v>0</v>
      </c>
      <c r="E110" s="183">
        <f ca="1">-SUMIFS(
  desp.m.ik[valor],
  desp.m.ik[nucleo], $B110,
  desp.m.ik[centro.negocio], $B$106,
  desp.m.ik[mes], "&gt;="&amp;E$1,
  desp.m.ik[mes], "&lt;"&amp;EOMONTH(E$1,0)+1
)</f>
        <v>0</v>
      </c>
      <c r="F110" s="183">
        <f ca="1">-SUMIFS(
  desp.m.ik[valor],
  desp.m.ik[nucleo], $B110,
  desp.m.ik[centro.negocio], $B$106,
  desp.m.ik[mes], "&gt;="&amp;F$1,
  desp.m.ik[mes], "&lt;"&amp;EOMONTH(F$1,0)+1
)</f>
        <v>0</v>
      </c>
      <c r="G110" s="183">
        <f ca="1">-SUMIFS(
  desp.m.ik[valor],
  desp.m.ik[nucleo], $B110,
  desp.m.ik[centro.negocio], $B$106,
  desp.m.ik[mes], "&gt;="&amp;G$1,
  desp.m.ik[mes], "&lt;"&amp;EOMONTH(G$1,0)+1
)</f>
        <v>0</v>
      </c>
      <c r="H110" s="183">
        <f ca="1">-SUMIFS(
  desp.m.ik[valor],
  desp.m.ik[nucleo], $B110,
  desp.m.ik[centro.negocio], $B$106,
  desp.m.ik[mes], "&gt;="&amp;H$1,
  desp.m.ik[mes], "&lt;"&amp;EOMONTH(H$1,0)+1
)</f>
        <v>0</v>
      </c>
      <c r="I110" s="183">
        <f ca="1">-SUMIFS(
  desp.m.ik[valor],
  desp.m.ik[nucleo], $B110,
  desp.m.ik[centro.negocio], $B$106,
  desp.m.ik[mes], "&gt;="&amp;I$1,
  desp.m.ik[mes], "&lt;"&amp;EOMONTH(I$1,0)+1
)</f>
        <v>0</v>
      </c>
      <c r="J110" s="183">
        <f ca="1">-SUMIFS(
  desp.m.ik[valor],
  desp.m.ik[nucleo], $B110,
  desp.m.ik[centro.negocio], $B$106,
  desp.m.ik[mes], "&gt;="&amp;J$1,
  desp.m.ik[mes], "&lt;"&amp;EOMONTH(J$1,0)+1
)</f>
        <v>0</v>
      </c>
      <c r="K110" s="183">
        <f ca="1">-SUMIFS(
  desp.m.ik[valor],
  desp.m.ik[nucleo], $B110,
  desp.m.ik[centro.negocio], $B$106,
  desp.m.ik[mes], "&gt;="&amp;K$1,
  desp.m.ik[mes], "&lt;"&amp;EOMONTH(K$1,0)+1
)</f>
        <v>0</v>
      </c>
      <c r="L110" s="183">
        <f ca="1">-SUMIFS(
  desp.m.ik[valor],
  desp.m.ik[nucleo], $B110,
  desp.m.ik[centro.negocio], $B$106,
  desp.m.ik[mes], "&gt;="&amp;L$1,
  desp.m.ik[mes], "&lt;"&amp;EOMONTH(L$1,0)+1
)</f>
        <v>0</v>
      </c>
      <c r="M110" s="183">
        <f ca="1">-SUMIFS(
  desp.m.ik[valor],
  desp.m.ik[nucleo], $B110,
  desp.m.ik[centro.negocio], $B$106,
  desp.m.ik[mes], "&gt;="&amp;M$1,
  desp.m.ik[mes], "&lt;"&amp;EOMONTH(M$1,0)+1
)</f>
        <v>0</v>
      </c>
      <c r="N110" s="183">
        <f ca="1">-SUMIFS(
  desp.m.ik[valor],
  desp.m.ik[nucleo], $B110,
  desp.m.ik[centro.negocio], $B$106,
  desp.m.ik[mes], "&gt;="&amp;N$1,
  desp.m.ik[mes], "&lt;"&amp;EOMONTH(N$1,0)+1
)</f>
        <v>0</v>
      </c>
      <c r="O110" s="183">
        <f ca="1">-SUMIFS(
  desp.m.ik[valor],
  desp.m.ik[nucleo], $B110,
  desp.m.ik[centro.negocio], $B$106,
  desp.m.ik[mes], "&gt;="&amp;O$1,
  desp.m.ik[mes], "&lt;"&amp;EOMONTH(O$1,0)+1
)</f>
        <v>0</v>
      </c>
      <c r="P110" s="183">
        <f ca="1">-SUMIFS(
  desp.m.ik[valor],
  desp.m.ik[nucleo], $B110,
  desp.m.ik[centro.negocio], $B$106,
  desp.m.ik[mes], "&gt;="&amp;P$1,
  desp.m.ik[mes], "&lt;"&amp;EOMONTH(P$1,0)+1
)</f>
        <v>0</v>
      </c>
      <c r="Q110" s="183">
        <f ca="1">-SUMIFS(
  desp.m.ik[valor],
  desp.m.ik[nucleo], $B110,
  desp.m.ik[centro.negocio], $B$106,
  desp.m.ik[mes], "&gt;="&amp;Q$1,
  desp.m.ik[mes], "&lt;"&amp;EOMONTH(Q$1,0)+1
)</f>
        <v>0</v>
      </c>
      <c r="R110" s="183">
        <f ca="1">-SUMIFS(
  desp.m.ik[valor],
  desp.m.ik[nucleo], $B110,
  desp.m.ik[centro.negocio], $B$106,
  desp.m.ik[mes], "&gt;="&amp;R$1,
  desp.m.ik[mes], "&lt;"&amp;EOMONTH(R$1,0)+1
)</f>
        <v>0</v>
      </c>
      <c r="S110" s="183">
        <f ca="1">-SUMIFS(
  desp.m.ik[valor],
  desp.m.ik[nucleo], $B110,
  desp.m.ik[centro.negocio], $B$106,
  desp.m.ik[mes], "&gt;="&amp;S$1,
  desp.m.ik[mes], "&lt;"&amp;EOMONTH(S$1,0)+1
)</f>
        <v>0</v>
      </c>
      <c r="T110" s="183">
        <f ca="1">-SUMIFS(
  desp.m.ik[valor],
  desp.m.ik[nucleo], $B110,
  desp.m.ik[centro.negocio], $B$106,
  desp.m.ik[mes], "&gt;="&amp;T$1,
  desp.m.ik[mes], "&lt;"&amp;EOMONTH(T$1,0)+1
)</f>
        <v>0</v>
      </c>
      <c r="U110" s="183">
        <f ca="1">-SUMIFS(
  desp.m.ik[valor],
  desp.m.ik[nucleo], $B110,
  desp.m.ik[centro.negocio], $B$106,
  desp.m.ik[mes], "&gt;="&amp;U$1,
  desp.m.ik[mes], "&lt;"&amp;EOMONTH(U$1,0)+1
)</f>
        <v>0</v>
      </c>
      <c r="V110" s="183">
        <f ca="1">-SUMIFS(
  desp.m.ik[valor],
  desp.m.ik[nucleo], $B110,
  desp.m.ik[centro.negocio], $B$106,
  desp.m.ik[mes], "&gt;="&amp;V$1,
  desp.m.ik[mes], "&lt;"&amp;EOMONTH(V$1,0)+1
)</f>
        <v>0</v>
      </c>
      <c r="W110" s="183">
        <f ca="1">-SUMIFS(
  desp.m.ik[valor],
  desp.m.ik[nucleo], $B110,
  desp.m.ik[centro.negocio], $B$106,
  desp.m.ik[mes], "&gt;="&amp;W$1,
  desp.m.ik[mes], "&lt;"&amp;EOMONTH(W$1,0)+1
)</f>
        <v>0</v>
      </c>
      <c r="X110" s="183">
        <f ca="1">-SUMIFS(
  desp.m.ik[valor],
  desp.m.ik[nucleo], $B110,
  desp.m.ik[centro.negocio], $B$106,
  desp.m.ik[mes], "&gt;="&amp;X$1,
  desp.m.ik[mes], "&lt;"&amp;EOMONTH(X$1,0)+1
)</f>
        <v>0</v>
      </c>
      <c r="Y110" s="183">
        <f ca="1">-SUMIFS(
  desp.m.ik[valor],
  desp.m.ik[nucleo], $B110,
  desp.m.ik[centro.negocio], $B$106,
  desp.m.ik[mes], "&gt;="&amp;Y$1,
  desp.m.ik[mes], "&lt;"&amp;EOMONTH(Y$1,0)+1
)</f>
        <v>0</v>
      </c>
      <c r="Z110" s="183">
        <f ca="1">-SUMIFS(
  desp.m.ik[valor],
  desp.m.ik[nucleo], $B110,
  desp.m.ik[centro.negocio], $B$106,
  desp.m.ik[mes], "&gt;="&amp;Z$1,
  desp.m.ik[mes], "&lt;"&amp;EOMONTH(Z$1,0)+1
)</f>
        <v>0</v>
      </c>
      <c r="AA110" s="183">
        <f ca="1">-SUMIFS(
  desp.m.ik[valor],
  desp.m.ik[nucleo], $B110,
  desp.m.ik[centro.negocio], $B$106,
  desp.m.ik[mes], "&gt;="&amp;AA$1,
  desp.m.ik[mes], "&lt;"&amp;EOMONTH(AA$1,0)+1
)</f>
        <v>0</v>
      </c>
      <c r="AC110" s="175">
        <f ca="1">SUM($D110:INDEX($D110:$AA110,1,MATCH(DATE(YEAR(inputs!$A$1),MONTH(inputs!$A$1),1),$D$1:$AA$1,0)))</f>
        <v>0</v>
      </c>
      <c r="AE110" s="175">
        <f ca="1">SUM(D110:AA110)</f>
        <v>0</v>
      </c>
    </row>
    <row r="111" spans="1:31" outlineLevel="2" x14ac:dyDescent="0.25">
      <c r="A111" s="182" t="s">
        <v>1017</v>
      </c>
      <c r="B111" s="182" t="s">
        <v>494</v>
      </c>
      <c r="C111" s="135" t="s">
        <v>514</v>
      </c>
      <c r="D111" s="183">
        <f ca="1">-SUMIFS(
  desp.m.ik[valor],
  desp.m.ik[nucleo], $B111,
  desp.m.ik[centro.negocio], $B$106,
  desp.m.ik[mes], "&gt;="&amp;D$1,
  desp.m.ik[mes], "&lt;"&amp;EOMONTH(D$1,0)+1
)</f>
        <v>0</v>
      </c>
      <c r="E111" s="183">
        <f ca="1">-SUMIFS(
  desp.m.ik[valor],
  desp.m.ik[nucleo], $B111,
  desp.m.ik[centro.negocio], $B$106,
  desp.m.ik[mes], "&gt;="&amp;E$1,
  desp.m.ik[mes], "&lt;"&amp;EOMONTH(E$1,0)+1
)</f>
        <v>0</v>
      </c>
      <c r="F111" s="183">
        <f ca="1">-SUMIFS(
  desp.m.ik[valor],
  desp.m.ik[nucleo], $B111,
  desp.m.ik[centro.negocio], $B$106,
  desp.m.ik[mes], "&gt;="&amp;F$1,
  desp.m.ik[mes], "&lt;"&amp;EOMONTH(F$1,0)+1
)</f>
        <v>0</v>
      </c>
      <c r="G111" s="183">
        <f ca="1">-SUMIFS(
  desp.m.ik[valor],
  desp.m.ik[nucleo], $B111,
  desp.m.ik[centro.negocio], $B$106,
  desp.m.ik[mes], "&gt;="&amp;G$1,
  desp.m.ik[mes], "&lt;"&amp;EOMONTH(G$1,0)+1
)</f>
        <v>0</v>
      </c>
      <c r="H111" s="183">
        <f ca="1">-SUMIFS(
  desp.m.ik[valor],
  desp.m.ik[nucleo], $B111,
  desp.m.ik[centro.negocio], $B$106,
  desp.m.ik[mes], "&gt;="&amp;H$1,
  desp.m.ik[mes], "&lt;"&amp;EOMONTH(H$1,0)+1
)</f>
        <v>0</v>
      </c>
      <c r="I111" s="183">
        <f ca="1">-SUMIFS(
  desp.m.ik[valor],
  desp.m.ik[nucleo], $B111,
  desp.m.ik[centro.negocio], $B$106,
  desp.m.ik[mes], "&gt;="&amp;I$1,
  desp.m.ik[mes], "&lt;"&amp;EOMONTH(I$1,0)+1
)</f>
        <v>0</v>
      </c>
      <c r="J111" s="183">
        <f ca="1">-SUMIFS(
  desp.m.ik[valor],
  desp.m.ik[nucleo], $B111,
  desp.m.ik[centro.negocio], $B$106,
  desp.m.ik[mes], "&gt;="&amp;J$1,
  desp.m.ik[mes], "&lt;"&amp;EOMONTH(J$1,0)+1
)</f>
        <v>0</v>
      </c>
      <c r="K111" s="183">
        <f ca="1">-SUMIFS(
  desp.m.ik[valor],
  desp.m.ik[nucleo], $B111,
  desp.m.ik[centro.negocio], $B$106,
  desp.m.ik[mes], "&gt;="&amp;K$1,
  desp.m.ik[mes], "&lt;"&amp;EOMONTH(K$1,0)+1
)</f>
        <v>0</v>
      </c>
      <c r="L111" s="183">
        <f ca="1">-SUMIFS(
  desp.m.ik[valor],
  desp.m.ik[nucleo], $B111,
  desp.m.ik[centro.negocio], $B$106,
  desp.m.ik[mes], "&gt;="&amp;L$1,
  desp.m.ik[mes], "&lt;"&amp;EOMONTH(L$1,0)+1
)</f>
        <v>0</v>
      </c>
      <c r="M111" s="183">
        <f ca="1">-SUMIFS(
  desp.m.ik[valor],
  desp.m.ik[nucleo], $B111,
  desp.m.ik[centro.negocio], $B$106,
  desp.m.ik[mes], "&gt;="&amp;M$1,
  desp.m.ik[mes], "&lt;"&amp;EOMONTH(M$1,0)+1
)</f>
        <v>0</v>
      </c>
      <c r="N111" s="183">
        <f ca="1">-SUMIFS(
  desp.m.ik[valor],
  desp.m.ik[nucleo], $B111,
  desp.m.ik[centro.negocio], $B$106,
  desp.m.ik[mes], "&gt;="&amp;N$1,
  desp.m.ik[mes], "&lt;"&amp;EOMONTH(N$1,0)+1
)</f>
        <v>0</v>
      </c>
      <c r="O111" s="183">
        <f ca="1">-SUMIFS(
  desp.m.ik[valor],
  desp.m.ik[nucleo], $B111,
  desp.m.ik[centro.negocio], $B$106,
  desp.m.ik[mes], "&gt;="&amp;O$1,
  desp.m.ik[mes], "&lt;"&amp;EOMONTH(O$1,0)+1
)</f>
        <v>0</v>
      </c>
      <c r="P111" s="183">
        <f ca="1">-SUMIFS(
  desp.m.ik[valor],
  desp.m.ik[nucleo], $B111,
  desp.m.ik[centro.negocio], $B$106,
  desp.m.ik[mes], "&gt;="&amp;P$1,
  desp.m.ik[mes], "&lt;"&amp;EOMONTH(P$1,0)+1
)</f>
        <v>0</v>
      </c>
      <c r="Q111" s="183">
        <f ca="1">-SUMIFS(
  desp.m.ik[valor],
  desp.m.ik[nucleo], $B111,
  desp.m.ik[centro.negocio], $B$106,
  desp.m.ik[mes], "&gt;="&amp;Q$1,
  desp.m.ik[mes], "&lt;"&amp;EOMONTH(Q$1,0)+1
)</f>
        <v>0</v>
      </c>
      <c r="R111" s="183">
        <f ca="1">-SUMIFS(
  desp.m.ik[valor],
  desp.m.ik[nucleo], $B111,
  desp.m.ik[centro.negocio], $B$106,
  desp.m.ik[mes], "&gt;="&amp;R$1,
  desp.m.ik[mes], "&lt;"&amp;EOMONTH(R$1,0)+1
)</f>
        <v>0</v>
      </c>
      <c r="S111" s="183">
        <f ca="1">-SUMIFS(
  desp.m.ik[valor],
  desp.m.ik[nucleo], $B111,
  desp.m.ik[centro.negocio], $B$106,
  desp.m.ik[mes], "&gt;="&amp;S$1,
  desp.m.ik[mes], "&lt;"&amp;EOMONTH(S$1,0)+1
)</f>
        <v>0</v>
      </c>
      <c r="T111" s="183">
        <f ca="1">-SUMIFS(
  desp.m.ik[valor],
  desp.m.ik[nucleo], $B111,
  desp.m.ik[centro.negocio], $B$106,
  desp.m.ik[mes], "&gt;="&amp;T$1,
  desp.m.ik[mes], "&lt;"&amp;EOMONTH(T$1,0)+1
)</f>
        <v>0</v>
      </c>
      <c r="U111" s="183">
        <f ca="1">-SUMIFS(
  desp.m.ik[valor],
  desp.m.ik[nucleo], $B111,
  desp.m.ik[centro.negocio], $B$106,
  desp.m.ik[mes], "&gt;="&amp;U$1,
  desp.m.ik[mes], "&lt;"&amp;EOMONTH(U$1,0)+1
)</f>
        <v>0</v>
      </c>
      <c r="V111" s="183">
        <f ca="1">-SUMIFS(
  desp.m.ik[valor],
  desp.m.ik[nucleo], $B111,
  desp.m.ik[centro.negocio], $B$106,
  desp.m.ik[mes], "&gt;="&amp;V$1,
  desp.m.ik[mes], "&lt;"&amp;EOMONTH(V$1,0)+1
)</f>
        <v>0</v>
      </c>
      <c r="W111" s="183">
        <f ca="1">-SUMIFS(
  desp.m.ik[valor],
  desp.m.ik[nucleo], $B111,
  desp.m.ik[centro.negocio], $B$106,
  desp.m.ik[mes], "&gt;="&amp;W$1,
  desp.m.ik[mes], "&lt;"&amp;EOMONTH(W$1,0)+1
)</f>
        <v>0</v>
      </c>
      <c r="X111" s="183">
        <f ca="1">-SUMIFS(
  desp.m.ik[valor],
  desp.m.ik[nucleo], $B111,
  desp.m.ik[centro.negocio], $B$106,
  desp.m.ik[mes], "&gt;="&amp;X$1,
  desp.m.ik[mes], "&lt;"&amp;EOMONTH(X$1,0)+1
)</f>
        <v>0</v>
      </c>
      <c r="Y111" s="183">
        <f ca="1">-SUMIFS(
  desp.m.ik[valor],
  desp.m.ik[nucleo], $B111,
  desp.m.ik[centro.negocio], $B$106,
  desp.m.ik[mes], "&gt;="&amp;Y$1,
  desp.m.ik[mes], "&lt;"&amp;EOMONTH(Y$1,0)+1
)</f>
        <v>0</v>
      </c>
      <c r="Z111" s="183">
        <f ca="1">-SUMIFS(
  desp.m.ik[valor],
  desp.m.ik[nucleo], $B111,
  desp.m.ik[centro.negocio], $B$106,
  desp.m.ik[mes], "&gt;="&amp;Z$1,
  desp.m.ik[mes], "&lt;"&amp;EOMONTH(Z$1,0)+1
)</f>
        <v>0</v>
      </c>
      <c r="AA111" s="183">
        <f ca="1">-SUMIFS(
  desp.m.ik[valor],
  desp.m.ik[nucleo], $B111,
  desp.m.ik[centro.negocio], $B$106,
  desp.m.ik[mes], "&gt;="&amp;AA$1,
  desp.m.ik[mes], "&lt;"&amp;EOMONTH(AA$1,0)+1
)</f>
        <v>0</v>
      </c>
      <c r="AC111" s="175">
        <f ca="1">SUM($D111:INDEX($D111:$AA111,1,MATCH(DATE(YEAR(inputs!$A$1),MONTH(inputs!$A$1),1),$D$1:$AA$1,0)))</f>
        <v>0</v>
      </c>
      <c r="AE111" s="175">
        <f ca="1">SUM(D111:AA111)</f>
        <v>0</v>
      </c>
    </row>
    <row r="112" spans="1:31" outlineLevel="2" x14ac:dyDescent="0.25">
      <c r="A112" s="182" t="s">
        <v>972</v>
      </c>
      <c r="B112" s="182" t="s">
        <v>537</v>
      </c>
      <c r="C112" s="135" t="s">
        <v>514</v>
      </c>
      <c r="D112" s="183">
        <f ca="1">-SUMIFS(
  desp.m.ik[valor],
  desp.m.ik[nucleo], $B112,
  desp.m.ik[centro.negocio], $B$106,
  desp.m.ik[mes], "&gt;="&amp;D$1,
  desp.m.ik[mes], "&lt;"&amp;EOMONTH(D$1,0)+1
)</f>
        <v>0</v>
      </c>
      <c r="E112" s="183">
        <f ca="1">-SUMIFS(
  desp.m.ik[valor],
  desp.m.ik[nucleo], $B112,
  desp.m.ik[centro.negocio], $B$106,
  desp.m.ik[mes], "&gt;="&amp;E$1,
  desp.m.ik[mes], "&lt;"&amp;EOMONTH(E$1,0)+1
)</f>
        <v>0</v>
      </c>
      <c r="F112" s="183">
        <f ca="1">-SUMIFS(
  desp.m.ik[valor],
  desp.m.ik[nucleo], $B112,
  desp.m.ik[centro.negocio], $B$106,
  desp.m.ik[mes], "&gt;="&amp;F$1,
  desp.m.ik[mes], "&lt;"&amp;EOMONTH(F$1,0)+1
)</f>
        <v>0</v>
      </c>
      <c r="G112" s="183">
        <f ca="1">-SUMIFS(
  desp.m.ik[valor],
  desp.m.ik[nucleo], $B112,
  desp.m.ik[centro.negocio], $B$106,
  desp.m.ik[mes], "&gt;="&amp;G$1,
  desp.m.ik[mes], "&lt;"&amp;EOMONTH(G$1,0)+1
)</f>
        <v>0</v>
      </c>
      <c r="H112" s="183">
        <f ca="1">-SUMIFS(
  desp.m.ik[valor],
  desp.m.ik[nucleo], $B112,
  desp.m.ik[centro.negocio], $B$106,
  desp.m.ik[mes], "&gt;="&amp;H$1,
  desp.m.ik[mes], "&lt;"&amp;EOMONTH(H$1,0)+1
)</f>
        <v>0</v>
      </c>
      <c r="I112" s="183">
        <f ca="1">-SUMIFS(
  desp.m.ik[valor],
  desp.m.ik[nucleo], $B112,
  desp.m.ik[centro.negocio], $B$106,
  desp.m.ik[mes], "&gt;="&amp;I$1,
  desp.m.ik[mes], "&lt;"&amp;EOMONTH(I$1,0)+1
)</f>
        <v>0</v>
      </c>
      <c r="J112" s="183">
        <f ca="1">-SUMIFS(
  desp.m.ik[valor],
  desp.m.ik[nucleo], $B112,
  desp.m.ik[centro.negocio], $B$106,
  desp.m.ik[mes], "&gt;="&amp;J$1,
  desp.m.ik[mes], "&lt;"&amp;EOMONTH(J$1,0)+1
)</f>
        <v>0</v>
      </c>
      <c r="K112" s="183">
        <f ca="1">-SUMIFS(
  desp.m.ik[valor],
  desp.m.ik[nucleo], $B112,
  desp.m.ik[centro.negocio], $B$106,
  desp.m.ik[mes], "&gt;="&amp;K$1,
  desp.m.ik[mes], "&lt;"&amp;EOMONTH(K$1,0)+1
)</f>
        <v>0</v>
      </c>
      <c r="L112" s="183">
        <f ca="1">-SUMIFS(
  desp.m.ik[valor],
  desp.m.ik[nucleo], $B112,
  desp.m.ik[centro.negocio], $B$106,
  desp.m.ik[mes], "&gt;="&amp;L$1,
  desp.m.ik[mes], "&lt;"&amp;EOMONTH(L$1,0)+1
)</f>
        <v>0</v>
      </c>
      <c r="M112" s="183">
        <f ca="1">-SUMIFS(
  desp.m.ik[valor],
  desp.m.ik[nucleo], $B112,
  desp.m.ik[centro.negocio], $B$106,
  desp.m.ik[mes], "&gt;="&amp;M$1,
  desp.m.ik[mes], "&lt;"&amp;EOMONTH(M$1,0)+1
)</f>
        <v>0</v>
      </c>
      <c r="N112" s="183">
        <f ca="1">-SUMIFS(
  desp.m.ik[valor],
  desp.m.ik[nucleo], $B112,
  desp.m.ik[centro.negocio], $B$106,
  desp.m.ik[mes], "&gt;="&amp;N$1,
  desp.m.ik[mes], "&lt;"&amp;EOMONTH(N$1,0)+1
)</f>
        <v>0</v>
      </c>
      <c r="O112" s="183">
        <f ca="1">-SUMIFS(
  desp.m.ik[valor],
  desp.m.ik[nucleo], $B112,
  desp.m.ik[centro.negocio], $B$106,
  desp.m.ik[mes], "&gt;="&amp;O$1,
  desp.m.ik[mes], "&lt;"&amp;EOMONTH(O$1,0)+1
)</f>
        <v>0</v>
      </c>
      <c r="P112" s="183">
        <f ca="1">-SUMIFS(
  desp.m.ik[valor],
  desp.m.ik[nucleo], $B112,
  desp.m.ik[centro.negocio], $B$106,
  desp.m.ik[mes], "&gt;="&amp;P$1,
  desp.m.ik[mes], "&lt;"&amp;EOMONTH(P$1,0)+1
)</f>
        <v>0</v>
      </c>
      <c r="Q112" s="183">
        <f ca="1">-SUMIFS(
  desp.m.ik[valor],
  desp.m.ik[nucleo], $B112,
  desp.m.ik[centro.negocio], $B$106,
  desp.m.ik[mes], "&gt;="&amp;Q$1,
  desp.m.ik[mes], "&lt;"&amp;EOMONTH(Q$1,0)+1
)</f>
        <v>0</v>
      </c>
      <c r="R112" s="183">
        <f ca="1">-SUMIFS(
  desp.m.ik[valor],
  desp.m.ik[nucleo], $B112,
  desp.m.ik[centro.negocio], $B$106,
  desp.m.ik[mes], "&gt;="&amp;R$1,
  desp.m.ik[mes], "&lt;"&amp;EOMONTH(R$1,0)+1
)</f>
        <v>0</v>
      </c>
      <c r="S112" s="183">
        <f ca="1">-SUMIFS(
  desp.m.ik[valor],
  desp.m.ik[nucleo], $B112,
  desp.m.ik[centro.negocio], $B$106,
  desp.m.ik[mes], "&gt;="&amp;S$1,
  desp.m.ik[mes], "&lt;"&amp;EOMONTH(S$1,0)+1
)</f>
        <v>0</v>
      </c>
      <c r="T112" s="183">
        <f ca="1">-SUMIFS(
  desp.m.ik[valor],
  desp.m.ik[nucleo], $B112,
  desp.m.ik[centro.negocio], $B$106,
  desp.m.ik[mes], "&gt;="&amp;T$1,
  desp.m.ik[mes], "&lt;"&amp;EOMONTH(T$1,0)+1
)</f>
        <v>0</v>
      </c>
      <c r="U112" s="183">
        <f ca="1">-SUMIFS(
  desp.m.ik[valor],
  desp.m.ik[nucleo], $B112,
  desp.m.ik[centro.negocio], $B$106,
  desp.m.ik[mes], "&gt;="&amp;U$1,
  desp.m.ik[mes], "&lt;"&amp;EOMONTH(U$1,0)+1
)</f>
        <v>0</v>
      </c>
      <c r="V112" s="183">
        <f ca="1">-SUMIFS(
  desp.m.ik[valor],
  desp.m.ik[nucleo], $B112,
  desp.m.ik[centro.negocio], $B$106,
  desp.m.ik[mes], "&gt;="&amp;V$1,
  desp.m.ik[mes], "&lt;"&amp;EOMONTH(V$1,0)+1
)</f>
        <v>0</v>
      </c>
      <c r="W112" s="183">
        <f ca="1">-SUMIFS(
  desp.m.ik[valor],
  desp.m.ik[nucleo], $B112,
  desp.m.ik[centro.negocio], $B$106,
  desp.m.ik[mes], "&gt;="&amp;W$1,
  desp.m.ik[mes], "&lt;"&amp;EOMONTH(W$1,0)+1
)</f>
        <v>0</v>
      </c>
      <c r="X112" s="183">
        <f ca="1">-SUMIFS(
  desp.m.ik[valor],
  desp.m.ik[nucleo], $B112,
  desp.m.ik[centro.negocio], $B$106,
  desp.m.ik[mes], "&gt;="&amp;X$1,
  desp.m.ik[mes], "&lt;"&amp;EOMONTH(X$1,0)+1
)</f>
        <v>0</v>
      </c>
      <c r="Y112" s="183">
        <f ca="1">-SUMIFS(
  desp.m.ik[valor],
  desp.m.ik[nucleo], $B112,
  desp.m.ik[centro.negocio], $B$106,
  desp.m.ik[mes], "&gt;="&amp;Y$1,
  desp.m.ik[mes], "&lt;"&amp;EOMONTH(Y$1,0)+1
)</f>
        <v>0</v>
      </c>
      <c r="Z112" s="183">
        <f ca="1">-SUMIFS(
  desp.m.ik[valor],
  desp.m.ik[nucleo], $B112,
  desp.m.ik[centro.negocio], $B$106,
  desp.m.ik[mes], "&gt;="&amp;Z$1,
  desp.m.ik[mes], "&lt;"&amp;EOMONTH(Z$1,0)+1
)</f>
        <v>0</v>
      </c>
      <c r="AA112" s="183">
        <f ca="1">-SUMIFS(
  desp.m.ik[valor],
  desp.m.ik[nucleo], $B112,
  desp.m.ik[centro.negocio], $B$106,
  desp.m.ik[mes], "&gt;="&amp;AA$1,
  desp.m.ik[mes], "&lt;"&amp;EOMONTH(AA$1,0)+1
)</f>
        <v>0</v>
      </c>
      <c r="AC112" s="175">
        <f ca="1">SUM($D112:INDEX($D112:$AA112,1,MATCH(DATE(YEAR(inputs!$A$1),MONTH(inputs!$A$1),1),$D$1:$AA$1,0)))</f>
        <v>0</v>
      </c>
      <c r="AE112" s="175">
        <f t="shared" ca="1" si="23"/>
        <v>0</v>
      </c>
    </row>
    <row r="113" spans="1:31" outlineLevel="2" x14ac:dyDescent="0.25">
      <c r="A113" s="182" t="s">
        <v>966</v>
      </c>
      <c r="B113" s="182" t="s">
        <v>704</v>
      </c>
      <c r="C113" s="135" t="s">
        <v>514</v>
      </c>
      <c r="D113" s="183">
        <f ca="1">-SUMIFS(
  desp.m.ik[valor],
  desp.m.ik[nucleo], $B113,
  desp.m.ik[centro.negocio], $B$106,
  desp.m.ik[mes], "&gt;="&amp;D$1,
  desp.m.ik[mes], "&lt;"&amp;EOMONTH(D$1,0)+1
)</f>
        <v>0</v>
      </c>
      <c r="E113" s="183">
        <f ca="1">-SUMIFS(
  desp.m.ik[valor],
  desp.m.ik[nucleo], $B113,
  desp.m.ik[centro.negocio], $B$106,
  desp.m.ik[mes], "&gt;="&amp;E$1,
  desp.m.ik[mes], "&lt;"&amp;EOMONTH(E$1,0)+1
)</f>
        <v>0</v>
      </c>
      <c r="F113" s="183">
        <f ca="1">-SUMIFS(
  desp.m.ik[valor],
  desp.m.ik[nucleo], $B113,
  desp.m.ik[centro.negocio], $B$106,
  desp.m.ik[mes], "&gt;="&amp;F$1,
  desp.m.ik[mes], "&lt;"&amp;EOMONTH(F$1,0)+1
)</f>
        <v>0</v>
      </c>
      <c r="G113" s="183">
        <f ca="1">-SUMIFS(
  desp.m.ik[valor],
  desp.m.ik[nucleo], $B113,
  desp.m.ik[centro.negocio], $B$106,
  desp.m.ik[mes], "&gt;="&amp;G$1,
  desp.m.ik[mes], "&lt;"&amp;EOMONTH(G$1,0)+1
)</f>
        <v>0</v>
      </c>
      <c r="H113" s="183">
        <f ca="1">-SUMIFS(
  desp.m.ik[valor],
  desp.m.ik[nucleo], $B113,
  desp.m.ik[centro.negocio], $B$106,
  desp.m.ik[mes], "&gt;="&amp;H$1,
  desp.m.ik[mes], "&lt;"&amp;EOMONTH(H$1,0)+1
)</f>
        <v>0</v>
      </c>
      <c r="I113" s="183">
        <f ca="1">-SUMIFS(
  desp.m.ik[valor],
  desp.m.ik[nucleo], $B113,
  desp.m.ik[centro.negocio], $B$106,
  desp.m.ik[mes], "&gt;="&amp;I$1,
  desp.m.ik[mes], "&lt;"&amp;EOMONTH(I$1,0)+1
)</f>
        <v>0</v>
      </c>
      <c r="J113" s="183">
        <f ca="1">-SUMIFS(
  desp.m.ik[valor],
  desp.m.ik[nucleo], $B113,
  desp.m.ik[centro.negocio], $B$106,
  desp.m.ik[mes], "&gt;="&amp;J$1,
  desp.m.ik[mes], "&lt;"&amp;EOMONTH(J$1,0)+1
)</f>
        <v>0</v>
      </c>
      <c r="K113" s="183">
        <f ca="1">-SUMIFS(
  desp.m.ik[valor],
  desp.m.ik[nucleo], $B113,
  desp.m.ik[centro.negocio], $B$106,
  desp.m.ik[mes], "&gt;="&amp;K$1,
  desp.m.ik[mes], "&lt;"&amp;EOMONTH(K$1,0)+1
)</f>
        <v>0</v>
      </c>
      <c r="L113" s="183">
        <f ca="1">-SUMIFS(
  desp.m.ik[valor],
  desp.m.ik[nucleo], $B113,
  desp.m.ik[centro.negocio], $B$106,
  desp.m.ik[mes], "&gt;="&amp;L$1,
  desp.m.ik[mes], "&lt;"&amp;EOMONTH(L$1,0)+1
)</f>
        <v>0</v>
      </c>
      <c r="M113" s="183">
        <f ca="1">-SUMIFS(
  desp.m.ik[valor],
  desp.m.ik[nucleo], $B113,
  desp.m.ik[centro.negocio], $B$106,
  desp.m.ik[mes], "&gt;="&amp;M$1,
  desp.m.ik[mes], "&lt;"&amp;EOMONTH(M$1,0)+1
)</f>
        <v>0</v>
      </c>
      <c r="N113" s="183">
        <f ca="1">-SUMIFS(
  desp.m.ik[valor],
  desp.m.ik[nucleo], $B113,
  desp.m.ik[centro.negocio], $B$106,
  desp.m.ik[mes], "&gt;="&amp;N$1,
  desp.m.ik[mes], "&lt;"&amp;EOMONTH(N$1,0)+1
)</f>
        <v>0</v>
      </c>
      <c r="O113" s="183">
        <f ca="1">-SUMIFS(
  desp.m.ik[valor],
  desp.m.ik[nucleo], $B113,
  desp.m.ik[centro.negocio], $B$106,
  desp.m.ik[mes], "&gt;="&amp;O$1,
  desp.m.ik[mes], "&lt;"&amp;EOMONTH(O$1,0)+1
)</f>
        <v>0</v>
      </c>
      <c r="P113" s="183">
        <f ca="1">-SUMIFS(
  desp.m.ik[valor],
  desp.m.ik[nucleo], $B113,
  desp.m.ik[centro.negocio], $B$106,
  desp.m.ik[mes], "&gt;="&amp;P$1,
  desp.m.ik[mes], "&lt;"&amp;EOMONTH(P$1,0)+1
)</f>
        <v>0</v>
      </c>
      <c r="Q113" s="183">
        <f ca="1">-SUMIFS(
  desp.m.ik[valor],
  desp.m.ik[nucleo], $B113,
  desp.m.ik[centro.negocio], $B$106,
  desp.m.ik[mes], "&gt;="&amp;Q$1,
  desp.m.ik[mes], "&lt;"&amp;EOMONTH(Q$1,0)+1
)</f>
        <v>0</v>
      </c>
      <c r="R113" s="183">
        <f ca="1">-SUMIFS(
  desp.m.ik[valor],
  desp.m.ik[nucleo], $B113,
  desp.m.ik[centro.negocio], $B$106,
  desp.m.ik[mes], "&gt;="&amp;R$1,
  desp.m.ik[mes], "&lt;"&amp;EOMONTH(R$1,0)+1
)</f>
        <v>0</v>
      </c>
      <c r="S113" s="183">
        <f ca="1">-SUMIFS(
  desp.m.ik[valor],
  desp.m.ik[nucleo], $B113,
  desp.m.ik[centro.negocio], $B$106,
  desp.m.ik[mes], "&gt;="&amp;S$1,
  desp.m.ik[mes], "&lt;"&amp;EOMONTH(S$1,0)+1
)</f>
        <v>0</v>
      </c>
      <c r="T113" s="183">
        <f ca="1">-SUMIFS(
  desp.m.ik[valor],
  desp.m.ik[nucleo], $B113,
  desp.m.ik[centro.negocio], $B$106,
  desp.m.ik[mes], "&gt;="&amp;T$1,
  desp.m.ik[mes], "&lt;"&amp;EOMONTH(T$1,0)+1
)</f>
        <v>0</v>
      </c>
      <c r="U113" s="183">
        <f ca="1">-SUMIFS(
  desp.m.ik[valor],
  desp.m.ik[nucleo], $B113,
  desp.m.ik[centro.negocio], $B$106,
  desp.m.ik[mes], "&gt;="&amp;U$1,
  desp.m.ik[mes], "&lt;"&amp;EOMONTH(U$1,0)+1
)</f>
        <v>0</v>
      </c>
      <c r="V113" s="183">
        <f ca="1">-SUMIFS(
  desp.m.ik[valor],
  desp.m.ik[nucleo], $B113,
  desp.m.ik[centro.negocio], $B$106,
  desp.m.ik[mes], "&gt;="&amp;V$1,
  desp.m.ik[mes], "&lt;"&amp;EOMONTH(V$1,0)+1
)</f>
        <v>0</v>
      </c>
      <c r="W113" s="183">
        <f ca="1">-SUMIFS(
  desp.m.ik[valor],
  desp.m.ik[nucleo], $B113,
  desp.m.ik[centro.negocio], $B$106,
  desp.m.ik[mes], "&gt;="&amp;W$1,
  desp.m.ik[mes], "&lt;"&amp;EOMONTH(W$1,0)+1
)</f>
        <v>0</v>
      </c>
      <c r="X113" s="183">
        <f ca="1">-SUMIFS(
  desp.m.ik[valor],
  desp.m.ik[nucleo], $B113,
  desp.m.ik[centro.negocio], $B$106,
  desp.m.ik[mes], "&gt;="&amp;X$1,
  desp.m.ik[mes], "&lt;"&amp;EOMONTH(X$1,0)+1
)</f>
        <v>0</v>
      </c>
      <c r="Y113" s="183">
        <f ca="1">-SUMIFS(
  desp.m.ik[valor],
  desp.m.ik[nucleo], $B113,
  desp.m.ik[centro.negocio], $B$106,
  desp.m.ik[mes], "&gt;="&amp;Y$1,
  desp.m.ik[mes], "&lt;"&amp;EOMONTH(Y$1,0)+1
)</f>
        <v>0</v>
      </c>
      <c r="Z113" s="183">
        <f ca="1">-SUMIFS(
  desp.m.ik[valor],
  desp.m.ik[nucleo], $B113,
  desp.m.ik[centro.negocio], $B$106,
  desp.m.ik[mes], "&gt;="&amp;Z$1,
  desp.m.ik[mes], "&lt;"&amp;EOMONTH(Z$1,0)+1
)</f>
        <v>0</v>
      </c>
      <c r="AA113" s="183">
        <f ca="1">-SUMIFS(
  desp.m.ik[valor],
  desp.m.ik[nucleo], $B113,
  desp.m.ik[centro.negocio], $B$106,
  desp.m.ik[mes], "&gt;="&amp;AA$1,
  desp.m.ik[mes], "&lt;"&amp;EOMONTH(AA$1,0)+1
)</f>
        <v>0</v>
      </c>
      <c r="AC113" s="175">
        <f ca="1">SUM($D113:INDEX($D113:$AA113,1,MATCH(DATE(YEAR(inputs!$A$1),MONTH(inputs!$A$1),1),$D$1:$AA$1,0)))</f>
        <v>0</v>
      </c>
      <c r="AE113" s="175">
        <f ca="1">SUM(D113:AA113)</f>
        <v>0</v>
      </c>
    </row>
    <row r="114" spans="1:31" outlineLevel="2" x14ac:dyDescent="0.25">
      <c r="A114" s="182" t="s">
        <v>971</v>
      </c>
      <c r="B114" s="182" t="s">
        <v>531</v>
      </c>
      <c r="C114" s="135" t="s">
        <v>514</v>
      </c>
      <c r="D114" s="183">
        <f ca="1">-SUMIFS(
  desp.m.ik[valor],
  desp.m.ik[nucleo], $B114,
  desp.m.ik[centro.negocio], $B$106,
  desp.m.ik[mes], "&gt;="&amp;D$1,
  desp.m.ik[mes], "&lt;"&amp;EOMONTH(D$1,0)+1
)</f>
        <v>0</v>
      </c>
      <c r="E114" s="183">
        <f ca="1">-SUMIFS(
  desp.m.ik[valor],
  desp.m.ik[nucleo], $B114,
  desp.m.ik[centro.negocio], $B$106,
  desp.m.ik[mes], "&gt;="&amp;E$1,
  desp.m.ik[mes], "&lt;"&amp;EOMONTH(E$1,0)+1
)</f>
        <v>0</v>
      </c>
      <c r="F114" s="183">
        <f ca="1">-SUMIFS(
  desp.m.ik[valor],
  desp.m.ik[nucleo], $B114,
  desp.m.ik[centro.negocio], $B$106,
  desp.m.ik[mes], "&gt;="&amp;F$1,
  desp.m.ik[mes], "&lt;"&amp;EOMONTH(F$1,0)+1
)</f>
        <v>0</v>
      </c>
      <c r="G114" s="183">
        <f ca="1">-SUMIFS(
  desp.m.ik[valor],
  desp.m.ik[nucleo], $B114,
  desp.m.ik[centro.negocio], $B$106,
  desp.m.ik[mes], "&gt;="&amp;G$1,
  desp.m.ik[mes], "&lt;"&amp;EOMONTH(G$1,0)+1
)</f>
        <v>0</v>
      </c>
      <c r="H114" s="183">
        <f ca="1">-SUMIFS(
  desp.m.ik[valor],
  desp.m.ik[nucleo], $B114,
  desp.m.ik[centro.negocio], $B$106,
  desp.m.ik[mes], "&gt;="&amp;H$1,
  desp.m.ik[mes], "&lt;"&amp;EOMONTH(H$1,0)+1
)</f>
        <v>0</v>
      </c>
      <c r="I114" s="183">
        <f ca="1">-SUMIFS(
  desp.m.ik[valor],
  desp.m.ik[nucleo], $B114,
  desp.m.ik[centro.negocio], $B$106,
  desp.m.ik[mes], "&gt;="&amp;I$1,
  desp.m.ik[mes], "&lt;"&amp;EOMONTH(I$1,0)+1
)</f>
        <v>0</v>
      </c>
      <c r="J114" s="183">
        <f ca="1">-SUMIFS(
  desp.m.ik[valor],
  desp.m.ik[nucleo], $B114,
  desp.m.ik[centro.negocio], $B$106,
  desp.m.ik[mes], "&gt;="&amp;J$1,
  desp.m.ik[mes], "&lt;"&amp;EOMONTH(J$1,0)+1
)</f>
        <v>0</v>
      </c>
      <c r="K114" s="183">
        <f ca="1">-SUMIFS(
  desp.m.ik[valor],
  desp.m.ik[nucleo], $B114,
  desp.m.ik[centro.negocio], $B$106,
  desp.m.ik[mes], "&gt;="&amp;K$1,
  desp.m.ik[mes], "&lt;"&amp;EOMONTH(K$1,0)+1
)</f>
        <v>0</v>
      </c>
      <c r="L114" s="183">
        <f ca="1">-SUMIFS(
  desp.m.ik[valor],
  desp.m.ik[nucleo], $B114,
  desp.m.ik[centro.negocio], $B$106,
  desp.m.ik[mes], "&gt;="&amp;L$1,
  desp.m.ik[mes], "&lt;"&amp;EOMONTH(L$1,0)+1
)</f>
        <v>0</v>
      </c>
      <c r="M114" s="183">
        <f ca="1">-SUMIFS(
  desp.m.ik[valor],
  desp.m.ik[nucleo], $B114,
  desp.m.ik[centro.negocio], $B$106,
  desp.m.ik[mes], "&gt;="&amp;M$1,
  desp.m.ik[mes], "&lt;"&amp;EOMONTH(M$1,0)+1
)</f>
        <v>0</v>
      </c>
      <c r="N114" s="183">
        <f ca="1">-SUMIFS(
  desp.m.ik[valor],
  desp.m.ik[nucleo], $B114,
  desp.m.ik[centro.negocio], $B$106,
  desp.m.ik[mes], "&gt;="&amp;N$1,
  desp.m.ik[mes], "&lt;"&amp;EOMONTH(N$1,0)+1
)</f>
        <v>0</v>
      </c>
      <c r="O114" s="183">
        <f ca="1">-SUMIFS(
  desp.m.ik[valor],
  desp.m.ik[nucleo], $B114,
  desp.m.ik[centro.negocio], $B$106,
  desp.m.ik[mes], "&gt;="&amp;O$1,
  desp.m.ik[mes], "&lt;"&amp;EOMONTH(O$1,0)+1
)</f>
        <v>0</v>
      </c>
      <c r="P114" s="183">
        <f ca="1">-SUMIFS(
  desp.m.ik[valor],
  desp.m.ik[nucleo], $B114,
  desp.m.ik[centro.negocio], $B$106,
  desp.m.ik[mes], "&gt;="&amp;P$1,
  desp.m.ik[mes], "&lt;"&amp;EOMONTH(P$1,0)+1
)</f>
        <v>0</v>
      </c>
      <c r="Q114" s="183">
        <f ca="1">-SUMIFS(
  desp.m.ik[valor],
  desp.m.ik[nucleo], $B114,
  desp.m.ik[centro.negocio], $B$106,
  desp.m.ik[mes], "&gt;="&amp;Q$1,
  desp.m.ik[mes], "&lt;"&amp;EOMONTH(Q$1,0)+1
)</f>
        <v>0</v>
      </c>
      <c r="R114" s="183">
        <f ca="1">-SUMIFS(
  desp.m.ik[valor],
  desp.m.ik[nucleo], $B114,
  desp.m.ik[centro.negocio], $B$106,
  desp.m.ik[mes], "&gt;="&amp;R$1,
  desp.m.ik[mes], "&lt;"&amp;EOMONTH(R$1,0)+1
)</f>
        <v>0</v>
      </c>
      <c r="S114" s="183">
        <f ca="1">-SUMIFS(
  desp.m.ik[valor],
  desp.m.ik[nucleo], $B114,
  desp.m.ik[centro.negocio], $B$106,
  desp.m.ik[mes], "&gt;="&amp;S$1,
  desp.m.ik[mes], "&lt;"&amp;EOMONTH(S$1,0)+1
)</f>
        <v>0</v>
      </c>
      <c r="T114" s="183">
        <f ca="1">-SUMIFS(
  desp.m.ik[valor],
  desp.m.ik[nucleo], $B114,
  desp.m.ik[centro.negocio], $B$106,
  desp.m.ik[mes], "&gt;="&amp;T$1,
  desp.m.ik[mes], "&lt;"&amp;EOMONTH(T$1,0)+1
)</f>
        <v>0</v>
      </c>
      <c r="U114" s="183">
        <f ca="1">-SUMIFS(
  desp.m.ik[valor],
  desp.m.ik[nucleo], $B114,
  desp.m.ik[centro.negocio], $B$106,
  desp.m.ik[mes], "&gt;="&amp;U$1,
  desp.m.ik[mes], "&lt;"&amp;EOMONTH(U$1,0)+1
)</f>
        <v>0</v>
      </c>
      <c r="V114" s="183">
        <f ca="1">-SUMIFS(
  desp.m.ik[valor],
  desp.m.ik[nucleo], $B114,
  desp.m.ik[centro.negocio], $B$106,
  desp.m.ik[mes], "&gt;="&amp;V$1,
  desp.m.ik[mes], "&lt;"&amp;EOMONTH(V$1,0)+1
)</f>
        <v>0</v>
      </c>
      <c r="W114" s="183">
        <f ca="1">-SUMIFS(
  desp.m.ik[valor],
  desp.m.ik[nucleo], $B114,
  desp.m.ik[centro.negocio], $B$106,
  desp.m.ik[mes], "&gt;="&amp;W$1,
  desp.m.ik[mes], "&lt;"&amp;EOMONTH(W$1,0)+1
)</f>
        <v>0</v>
      </c>
      <c r="X114" s="183">
        <f ca="1">-SUMIFS(
  desp.m.ik[valor],
  desp.m.ik[nucleo], $B114,
  desp.m.ik[centro.negocio], $B$106,
  desp.m.ik[mes], "&gt;="&amp;X$1,
  desp.m.ik[mes], "&lt;"&amp;EOMONTH(X$1,0)+1
)</f>
        <v>0</v>
      </c>
      <c r="Y114" s="183">
        <f ca="1">-SUMIFS(
  desp.m.ik[valor],
  desp.m.ik[nucleo], $B114,
  desp.m.ik[centro.negocio], $B$106,
  desp.m.ik[mes], "&gt;="&amp;Y$1,
  desp.m.ik[mes], "&lt;"&amp;EOMONTH(Y$1,0)+1
)</f>
        <v>0</v>
      </c>
      <c r="Z114" s="183">
        <f ca="1">-SUMIFS(
  desp.m.ik[valor],
  desp.m.ik[nucleo], $B114,
  desp.m.ik[centro.negocio], $B$106,
  desp.m.ik[mes], "&gt;="&amp;Z$1,
  desp.m.ik[mes], "&lt;"&amp;EOMONTH(Z$1,0)+1
)</f>
        <v>0</v>
      </c>
      <c r="AA114" s="183">
        <f ca="1">-SUMIFS(
  desp.m.ik[valor],
  desp.m.ik[nucleo], $B114,
  desp.m.ik[centro.negocio], $B$106,
  desp.m.ik[mes], "&gt;="&amp;AA$1,
  desp.m.ik[mes], "&lt;"&amp;EOMONTH(AA$1,0)+1
)</f>
        <v>0</v>
      </c>
      <c r="AC114" s="175">
        <f ca="1">SUM($D114:INDEX($D114:$AA114,1,MATCH(DATE(YEAR(inputs!$A$1),MONTH(inputs!$A$1),1),$D$1:$AA$1,0)))</f>
        <v>0</v>
      </c>
      <c r="AE114" s="175">
        <f t="shared" ca="1" si="23"/>
        <v>0</v>
      </c>
    </row>
    <row r="115" spans="1:31" outlineLevel="2" x14ac:dyDescent="0.25">
      <c r="A115" s="182" t="s">
        <v>974</v>
      </c>
      <c r="B115" s="182" t="s">
        <v>535</v>
      </c>
      <c r="C115" s="135" t="s">
        <v>514</v>
      </c>
      <c r="D115" s="183">
        <f ca="1">-SUMIFS(
  desp.m.ik[valor],
  desp.m.ik[nucleo], $B115,
  desp.m.ik[centro.negocio], $B$106,
  desp.m.ik[mes], "&gt;="&amp;D$1,
  desp.m.ik[mes], "&lt;"&amp;EOMONTH(D$1,0)+1
)</f>
        <v>0</v>
      </c>
      <c r="E115" s="183">
        <f ca="1">-SUMIFS(
  desp.m.ik[valor],
  desp.m.ik[nucleo], $B115,
  desp.m.ik[centro.negocio], $B$106,
  desp.m.ik[mes], "&gt;="&amp;E$1,
  desp.m.ik[mes], "&lt;"&amp;EOMONTH(E$1,0)+1
)</f>
        <v>0</v>
      </c>
      <c r="F115" s="183">
        <f ca="1">-SUMIFS(
  desp.m.ik[valor],
  desp.m.ik[nucleo], $B115,
  desp.m.ik[centro.negocio], $B$106,
  desp.m.ik[mes], "&gt;="&amp;F$1,
  desp.m.ik[mes], "&lt;"&amp;EOMONTH(F$1,0)+1
)</f>
        <v>0</v>
      </c>
      <c r="G115" s="183">
        <f ca="1">-SUMIFS(
  desp.m.ik[valor],
  desp.m.ik[nucleo], $B115,
  desp.m.ik[centro.negocio], $B$106,
  desp.m.ik[mes], "&gt;="&amp;G$1,
  desp.m.ik[mes], "&lt;"&amp;EOMONTH(G$1,0)+1
)</f>
        <v>0</v>
      </c>
      <c r="H115" s="183">
        <f ca="1">-SUMIFS(
  desp.m.ik[valor],
  desp.m.ik[nucleo], $B115,
  desp.m.ik[centro.negocio], $B$106,
  desp.m.ik[mes], "&gt;="&amp;H$1,
  desp.m.ik[mes], "&lt;"&amp;EOMONTH(H$1,0)+1
)</f>
        <v>0</v>
      </c>
      <c r="I115" s="183">
        <f ca="1">-SUMIFS(
  desp.m.ik[valor],
  desp.m.ik[nucleo], $B115,
  desp.m.ik[centro.negocio], $B$106,
  desp.m.ik[mes], "&gt;="&amp;I$1,
  desp.m.ik[mes], "&lt;"&amp;EOMONTH(I$1,0)+1
)</f>
        <v>0</v>
      </c>
      <c r="J115" s="183">
        <f ca="1">-SUMIFS(
  desp.m.ik[valor],
  desp.m.ik[nucleo], $B115,
  desp.m.ik[centro.negocio], $B$106,
  desp.m.ik[mes], "&gt;="&amp;J$1,
  desp.m.ik[mes], "&lt;"&amp;EOMONTH(J$1,0)+1
)</f>
        <v>0</v>
      </c>
      <c r="K115" s="183">
        <f ca="1">-SUMIFS(
  desp.m.ik[valor],
  desp.m.ik[nucleo], $B115,
  desp.m.ik[centro.negocio], $B$106,
  desp.m.ik[mes], "&gt;="&amp;K$1,
  desp.m.ik[mes], "&lt;"&amp;EOMONTH(K$1,0)+1
)</f>
        <v>0</v>
      </c>
      <c r="L115" s="183">
        <f ca="1">-SUMIFS(
  desp.m.ik[valor],
  desp.m.ik[nucleo], $B115,
  desp.m.ik[centro.negocio], $B$106,
  desp.m.ik[mes], "&gt;="&amp;L$1,
  desp.m.ik[mes], "&lt;"&amp;EOMONTH(L$1,0)+1
)</f>
        <v>0</v>
      </c>
      <c r="M115" s="183">
        <f ca="1">-SUMIFS(
  desp.m.ik[valor],
  desp.m.ik[nucleo], $B115,
  desp.m.ik[centro.negocio], $B$106,
  desp.m.ik[mes], "&gt;="&amp;M$1,
  desp.m.ik[mes], "&lt;"&amp;EOMONTH(M$1,0)+1
)</f>
        <v>0</v>
      </c>
      <c r="N115" s="183">
        <f ca="1">-SUMIFS(
  desp.m.ik[valor],
  desp.m.ik[nucleo], $B115,
  desp.m.ik[centro.negocio], $B$106,
  desp.m.ik[mes], "&gt;="&amp;N$1,
  desp.m.ik[mes], "&lt;"&amp;EOMONTH(N$1,0)+1
)</f>
        <v>0</v>
      </c>
      <c r="O115" s="183">
        <f ca="1">-SUMIFS(
  desp.m.ik[valor],
  desp.m.ik[nucleo], $B115,
  desp.m.ik[centro.negocio], $B$106,
  desp.m.ik[mes], "&gt;="&amp;O$1,
  desp.m.ik[mes], "&lt;"&amp;EOMONTH(O$1,0)+1
)</f>
        <v>0</v>
      </c>
      <c r="P115" s="183">
        <f ca="1">-SUMIFS(
  desp.m.ik[valor],
  desp.m.ik[nucleo], $B115,
  desp.m.ik[centro.negocio], $B$106,
  desp.m.ik[mes], "&gt;="&amp;P$1,
  desp.m.ik[mes], "&lt;"&amp;EOMONTH(P$1,0)+1
)</f>
        <v>0</v>
      </c>
      <c r="Q115" s="183">
        <f ca="1">-SUMIFS(
  desp.m.ik[valor],
  desp.m.ik[nucleo], $B115,
  desp.m.ik[centro.negocio], $B$106,
  desp.m.ik[mes], "&gt;="&amp;Q$1,
  desp.m.ik[mes], "&lt;"&amp;EOMONTH(Q$1,0)+1
)</f>
        <v>0</v>
      </c>
      <c r="R115" s="183">
        <f ca="1">-SUMIFS(
  desp.m.ik[valor],
  desp.m.ik[nucleo], $B115,
  desp.m.ik[centro.negocio], $B$106,
  desp.m.ik[mes], "&gt;="&amp;R$1,
  desp.m.ik[mes], "&lt;"&amp;EOMONTH(R$1,0)+1
)</f>
        <v>0</v>
      </c>
      <c r="S115" s="183">
        <f ca="1">-SUMIFS(
  desp.m.ik[valor],
  desp.m.ik[nucleo], $B115,
  desp.m.ik[centro.negocio], $B$106,
  desp.m.ik[mes], "&gt;="&amp;S$1,
  desp.m.ik[mes], "&lt;"&amp;EOMONTH(S$1,0)+1
)</f>
        <v>0</v>
      </c>
      <c r="T115" s="183">
        <f ca="1">-SUMIFS(
  desp.m.ik[valor],
  desp.m.ik[nucleo], $B115,
  desp.m.ik[centro.negocio], $B$106,
  desp.m.ik[mes], "&gt;="&amp;T$1,
  desp.m.ik[mes], "&lt;"&amp;EOMONTH(T$1,0)+1
)</f>
        <v>0</v>
      </c>
      <c r="U115" s="183">
        <f ca="1">-SUMIFS(
  desp.m.ik[valor],
  desp.m.ik[nucleo], $B115,
  desp.m.ik[centro.negocio], $B$106,
  desp.m.ik[mes], "&gt;="&amp;U$1,
  desp.m.ik[mes], "&lt;"&amp;EOMONTH(U$1,0)+1
)</f>
        <v>0</v>
      </c>
      <c r="V115" s="183">
        <f ca="1">-SUMIFS(
  desp.m.ik[valor],
  desp.m.ik[nucleo], $B115,
  desp.m.ik[centro.negocio], $B$106,
  desp.m.ik[mes], "&gt;="&amp;V$1,
  desp.m.ik[mes], "&lt;"&amp;EOMONTH(V$1,0)+1
)</f>
        <v>0</v>
      </c>
      <c r="W115" s="183">
        <f ca="1">-SUMIFS(
  desp.m.ik[valor],
  desp.m.ik[nucleo], $B115,
  desp.m.ik[centro.negocio], $B$106,
  desp.m.ik[mes], "&gt;="&amp;W$1,
  desp.m.ik[mes], "&lt;"&amp;EOMONTH(W$1,0)+1
)</f>
        <v>0</v>
      </c>
      <c r="X115" s="183">
        <f ca="1">-SUMIFS(
  desp.m.ik[valor],
  desp.m.ik[nucleo], $B115,
  desp.m.ik[centro.negocio], $B$106,
  desp.m.ik[mes], "&gt;="&amp;X$1,
  desp.m.ik[mes], "&lt;"&amp;EOMONTH(X$1,0)+1
)</f>
        <v>0</v>
      </c>
      <c r="Y115" s="183">
        <f ca="1">-SUMIFS(
  desp.m.ik[valor],
  desp.m.ik[nucleo], $B115,
  desp.m.ik[centro.negocio], $B$106,
  desp.m.ik[mes], "&gt;="&amp;Y$1,
  desp.m.ik[mes], "&lt;"&amp;EOMONTH(Y$1,0)+1
)</f>
        <v>0</v>
      </c>
      <c r="Z115" s="183">
        <f ca="1">-SUMIFS(
  desp.m.ik[valor],
  desp.m.ik[nucleo], $B115,
  desp.m.ik[centro.negocio], $B$106,
  desp.m.ik[mes], "&gt;="&amp;Z$1,
  desp.m.ik[mes], "&lt;"&amp;EOMONTH(Z$1,0)+1
)</f>
        <v>0</v>
      </c>
      <c r="AA115" s="183">
        <f ca="1">-SUMIFS(
  desp.m.ik[valor],
  desp.m.ik[nucleo], $B115,
  desp.m.ik[centro.negocio], $B$106,
  desp.m.ik[mes], "&gt;="&amp;AA$1,
  desp.m.ik[mes], "&lt;"&amp;EOMONTH(AA$1,0)+1
)</f>
        <v>0</v>
      </c>
      <c r="AC115" s="175">
        <f ca="1">SUM($D115:INDEX($D115:$AA115,1,MATCH(DATE(YEAR(inputs!$A$1),MONTH(inputs!$A$1),1),$D$1:$AA$1,0)))</f>
        <v>0</v>
      </c>
      <c r="AE115" s="175">
        <f t="shared" ca="1" si="23"/>
        <v>0</v>
      </c>
    </row>
    <row r="116" spans="1:31" outlineLevel="2" x14ac:dyDescent="0.25">
      <c r="A116" s="182" t="s">
        <v>720</v>
      </c>
      <c r="B116" s="182" t="s">
        <v>533</v>
      </c>
      <c r="C116" s="135" t="s">
        <v>514</v>
      </c>
      <c r="D116" s="183">
        <f ca="1">-SUMIFS(
  desp.m.ik[valor],
  desp.m.ik[nucleo], $B116,
  desp.m.ik[centro.negocio], $B$106,
  desp.m.ik[mes], "&gt;="&amp;D$1,
  desp.m.ik[mes], "&lt;"&amp;EOMONTH(D$1,0)+1
)</f>
        <v>0</v>
      </c>
      <c r="E116" s="183">
        <f ca="1">-SUMIFS(
  desp.m.ik[valor],
  desp.m.ik[nucleo], $B116,
  desp.m.ik[centro.negocio], $B$106,
  desp.m.ik[mes], "&gt;="&amp;E$1,
  desp.m.ik[mes], "&lt;"&amp;EOMONTH(E$1,0)+1
)</f>
        <v>0</v>
      </c>
      <c r="F116" s="183">
        <f ca="1">-SUMIFS(
  desp.m.ik[valor],
  desp.m.ik[nucleo], $B116,
  desp.m.ik[centro.negocio], $B$106,
  desp.m.ik[mes], "&gt;="&amp;F$1,
  desp.m.ik[mes], "&lt;"&amp;EOMONTH(F$1,0)+1
)</f>
        <v>0</v>
      </c>
      <c r="G116" s="183">
        <f ca="1">-SUMIFS(
  desp.m.ik[valor],
  desp.m.ik[nucleo], $B116,
  desp.m.ik[centro.negocio], $B$106,
  desp.m.ik[mes], "&gt;="&amp;G$1,
  desp.m.ik[mes], "&lt;"&amp;EOMONTH(G$1,0)+1
)</f>
        <v>0</v>
      </c>
      <c r="H116" s="183">
        <f ca="1">-SUMIFS(
  desp.m.ik[valor],
  desp.m.ik[nucleo], $B116,
  desp.m.ik[centro.negocio], $B$106,
  desp.m.ik[mes], "&gt;="&amp;H$1,
  desp.m.ik[mes], "&lt;"&amp;EOMONTH(H$1,0)+1
)</f>
        <v>0</v>
      </c>
      <c r="I116" s="183">
        <f ca="1">-SUMIFS(
  desp.m.ik[valor],
  desp.m.ik[nucleo], $B116,
  desp.m.ik[centro.negocio], $B$106,
  desp.m.ik[mes], "&gt;="&amp;I$1,
  desp.m.ik[mes], "&lt;"&amp;EOMONTH(I$1,0)+1
)</f>
        <v>0</v>
      </c>
      <c r="J116" s="183">
        <f ca="1">-SUMIFS(
  desp.m.ik[valor],
  desp.m.ik[nucleo], $B116,
  desp.m.ik[centro.negocio], $B$106,
  desp.m.ik[mes], "&gt;="&amp;J$1,
  desp.m.ik[mes], "&lt;"&amp;EOMONTH(J$1,0)+1
)</f>
        <v>0</v>
      </c>
      <c r="K116" s="183">
        <f ca="1">-SUMIFS(
  desp.m.ik[valor],
  desp.m.ik[nucleo], $B116,
  desp.m.ik[centro.negocio], $B$106,
  desp.m.ik[mes], "&gt;="&amp;K$1,
  desp.m.ik[mes], "&lt;"&amp;EOMONTH(K$1,0)+1
)</f>
        <v>0</v>
      </c>
      <c r="L116" s="183">
        <f ca="1">-SUMIFS(
  desp.m.ik[valor],
  desp.m.ik[nucleo], $B116,
  desp.m.ik[centro.negocio], $B$106,
  desp.m.ik[mes], "&gt;="&amp;L$1,
  desp.m.ik[mes], "&lt;"&amp;EOMONTH(L$1,0)+1
)</f>
        <v>0</v>
      </c>
      <c r="M116" s="183">
        <f ca="1">-SUMIFS(
  desp.m.ik[valor],
  desp.m.ik[nucleo], $B116,
  desp.m.ik[centro.negocio], $B$106,
  desp.m.ik[mes], "&gt;="&amp;M$1,
  desp.m.ik[mes], "&lt;"&amp;EOMONTH(M$1,0)+1
)</f>
        <v>0</v>
      </c>
      <c r="N116" s="183">
        <f ca="1">-SUMIFS(
  desp.m.ik[valor],
  desp.m.ik[nucleo], $B116,
  desp.m.ik[centro.negocio], $B$106,
  desp.m.ik[mes], "&gt;="&amp;N$1,
  desp.m.ik[mes], "&lt;"&amp;EOMONTH(N$1,0)+1
)</f>
        <v>0</v>
      </c>
      <c r="O116" s="183">
        <f ca="1">-SUMIFS(
  desp.m.ik[valor],
  desp.m.ik[nucleo], $B116,
  desp.m.ik[centro.negocio], $B$106,
  desp.m.ik[mes], "&gt;="&amp;O$1,
  desp.m.ik[mes], "&lt;"&amp;EOMONTH(O$1,0)+1
)</f>
        <v>0</v>
      </c>
      <c r="P116" s="183">
        <f ca="1">-SUMIFS(
  desp.m.ik[valor],
  desp.m.ik[nucleo], $B116,
  desp.m.ik[centro.negocio], $B$106,
  desp.m.ik[mes], "&gt;="&amp;P$1,
  desp.m.ik[mes], "&lt;"&amp;EOMONTH(P$1,0)+1
)</f>
        <v>0</v>
      </c>
      <c r="Q116" s="183">
        <f ca="1">-SUMIFS(
  desp.m.ik[valor],
  desp.m.ik[nucleo], $B116,
  desp.m.ik[centro.negocio], $B$106,
  desp.m.ik[mes], "&gt;="&amp;Q$1,
  desp.m.ik[mes], "&lt;"&amp;EOMONTH(Q$1,0)+1
)</f>
        <v>0</v>
      </c>
      <c r="R116" s="183">
        <f ca="1">-SUMIFS(
  desp.m.ik[valor],
  desp.m.ik[nucleo], $B116,
  desp.m.ik[centro.negocio], $B$106,
  desp.m.ik[mes], "&gt;="&amp;R$1,
  desp.m.ik[mes], "&lt;"&amp;EOMONTH(R$1,0)+1
)</f>
        <v>0</v>
      </c>
      <c r="S116" s="183">
        <f ca="1">-SUMIFS(
  desp.m.ik[valor],
  desp.m.ik[nucleo], $B116,
  desp.m.ik[centro.negocio], $B$106,
  desp.m.ik[mes], "&gt;="&amp;S$1,
  desp.m.ik[mes], "&lt;"&amp;EOMONTH(S$1,0)+1
)</f>
        <v>0</v>
      </c>
      <c r="T116" s="183">
        <f ca="1">-SUMIFS(
  desp.m.ik[valor],
  desp.m.ik[nucleo], $B116,
  desp.m.ik[centro.negocio], $B$106,
  desp.m.ik[mes], "&gt;="&amp;T$1,
  desp.m.ik[mes], "&lt;"&amp;EOMONTH(T$1,0)+1
)</f>
        <v>0</v>
      </c>
      <c r="U116" s="183">
        <f ca="1">-SUMIFS(
  desp.m.ik[valor],
  desp.m.ik[nucleo], $B116,
  desp.m.ik[centro.negocio], $B$106,
  desp.m.ik[mes], "&gt;="&amp;U$1,
  desp.m.ik[mes], "&lt;"&amp;EOMONTH(U$1,0)+1
)</f>
        <v>0</v>
      </c>
      <c r="V116" s="183">
        <f ca="1">-SUMIFS(
  desp.m.ik[valor],
  desp.m.ik[nucleo], $B116,
  desp.m.ik[centro.negocio], $B$106,
  desp.m.ik[mes], "&gt;="&amp;V$1,
  desp.m.ik[mes], "&lt;"&amp;EOMONTH(V$1,0)+1
)</f>
        <v>0</v>
      </c>
      <c r="W116" s="183">
        <f ca="1">-SUMIFS(
  desp.m.ik[valor],
  desp.m.ik[nucleo], $B116,
  desp.m.ik[centro.negocio], $B$106,
  desp.m.ik[mes], "&gt;="&amp;W$1,
  desp.m.ik[mes], "&lt;"&amp;EOMONTH(W$1,0)+1
)</f>
        <v>0</v>
      </c>
      <c r="X116" s="183">
        <f ca="1">-SUMIFS(
  desp.m.ik[valor],
  desp.m.ik[nucleo], $B116,
  desp.m.ik[centro.negocio], $B$106,
  desp.m.ik[mes], "&gt;="&amp;X$1,
  desp.m.ik[mes], "&lt;"&amp;EOMONTH(X$1,0)+1
)</f>
        <v>0</v>
      </c>
      <c r="Y116" s="183">
        <f ca="1">-SUMIFS(
  desp.m.ik[valor],
  desp.m.ik[nucleo], $B116,
  desp.m.ik[centro.negocio], $B$106,
  desp.m.ik[mes], "&gt;="&amp;Y$1,
  desp.m.ik[mes], "&lt;"&amp;EOMONTH(Y$1,0)+1
)</f>
        <v>0</v>
      </c>
      <c r="Z116" s="183">
        <f ca="1">-SUMIFS(
  desp.m.ik[valor],
  desp.m.ik[nucleo], $B116,
  desp.m.ik[centro.negocio], $B$106,
  desp.m.ik[mes], "&gt;="&amp;Z$1,
  desp.m.ik[mes], "&lt;"&amp;EOMONTH(Z$1,0)+1
)</f>
        <v>0</v>
      </c>
      <c r="AA116" s="183">
        <f ca="1">-SUMIFS(
  desp.m.ik[valor],
  desp.m.ik[nucleo], $B116,
  desp.m.ik[centro.negocio], $B$106,
  desp.m.ik[mes], "&gt;="&amp;AA$1,
  desp.m.ik[mes], "&lt;"&amp;EOMONTH(AA$1,0)+1
)</f>
        <v>0</v>
      </c>
      <c r="AC116" s="175">
        <f ca="1">SUM($D116:INDEX($D116:$AA116,1,MATCH(DATE(YEAR(inputs!$A$1),MONTH(inputs!$A$1),1),$D$1:$AA$1,0)))</f>
        <v>0</v>
      </c>
      <c r="AE116" s="175">
        <f ca="1">SUM(D116:AA116)</f>
        <v>0</v>
      </c>
    </row>
    <row r="117" spans="1:31" outlineLevel="2" x14ac:dyDescent="0.25">
      <c r="A117" s="182" t="s">
        <v>967</v>
      </c>
      <c r="B117" s="182" t="s">
        <v>539</v>
      </c>
      <c r="C117" s="135" t="s">
        <v>514</v>
      </c>
      <c r="D117" s="183">
        <f ca="1">-SUMIFS(
  desp.m.ik[valor],
  desp.m.ik[nucleo], $B117,
  desp.m.ik[centro.negocio], $B$106,
  desp.m.ik[mes], "&gt;="&amp;D$1,
  desp.m.ik[mes], "&lt;"&amp;EOMONTH(D$1,0)+1
)</f>
        <v>0</v>
      </c>
      <c r="E117" s="183">
        <f ca="1">-SUMIFS(
  desp.m.ik[valor],
  desp.m.ik[nucleo], $B117,
  desp.m.ik[centro.negocio], $B$106,
  desp.m.ik[mes], "&gt;="&amp;E$1,
  desp.m.ik[mes], "&lt;"&amp;EOMONTH(E$1,0)+1
)</f>
        <v>0</v>
      </c>
      <c r="F117" s="183">
        <f ca="1">-SUMIFS(
  desp.m.ik[valor],
  desp.m.ik[nucleo], $B117,
  desp.m.ik[centro.negocio], $B$106,
  desp.m.ik[mes], "&gt;="&amp;F$1,
  desp.m.ik[mes], "&lt;"&amp;EOMONTH(F$1,0)+1
)</f>
        <v>0</v>
      </c>
      <c r="G117" s="183">
        <f ca="1">-SUMIFS(
  desp.m.ik[valor],
  desp.m.ik[nucleo], $B117,
  desp.m.ik[centro.negocio], $B$106,
  desp.m.ik[mes], "&gt;="&amp;G$1,
  desp.m.ik[mes], "&lt;"&amp;EOMONTH(G$1,0)+1
)</f>
        <v>0</v>
      </c>
      <c r="H117" s="183">
        <f ca="1">-SUMIFS(
  desp.m.ik[valor],
  desp.m.ik[nucleo], $B117,
  desp.m.ik[centro.negocio], $B$106,
  desp.m.ik[mes], "&gt;="&amp;H$1,
  desp.m.ik[mes], "&lt;"&amp;EOMONTH(H$1,0)+1
)</f>
        <v>0</v>
      </c>
      <c r="I117" s="183">
        <f ca="1">-SUMIFS(
  desp.m.ik[valor],
  desp.m.ik[nucleo], $B117,
  desp.m.ik[centro.negocio], $B$106,
  desp.m.ik[mes], "&gt;="&amp;I$1,
  desp.m.ik[mes], "&lt;"&amp;EOMONTH(I$1,0)+1
)</f>
        <v>0</v>
      </c>
      <c r="J117" s="183">
        <f ca="1">-SUMIFS(
  desp.m.ik[valor],
  desp.m.ik[nucleo], $B117,
  desp.m.ik[centro.negocio], $B$106,
  desp.m.ik[mes], "&gt;="&amp;J$1,
  desp.m.ik[mes], "&lt;"&amp;EOMONTH(J$1,0)+1
)</f>
        <v>0</v>
      </c>
      <c r="K117" s="183">
        <f ca="1">-SUMIFS(
  desp.m.ik[valor],
  desp.m.ik[nucleo], $B117,
  desp.m.ik[centro.negocio], $B$106,
  desp.m.ik[mes], "&gt;="&amp;K$1,
  desp.m.ik[mes], "&lt;"&amp;EOMONTH(K$1,0)+1
)</f>
        <v>0</v>
      </c>
      <c r="L117" s="183">
        <f ca="1">-SUMIFS(
  desp.m.ik[valor],
  desp.m.ik[nucleo], $B117,
  desp.m.ik[centro.negocio], $B$106,
  desp.m.ik[mes], "&gt;="&amp;L$1,
  desp.m.ik[mes], "&lt;"&amp;EOMONTH(L$1,0)+1
)</f>
        <v>0</v>
      </c>
      <c r="M117" s="183">
        <f ca="1">-SUMIFS(
  desp.m.ik[valor],
  desp.m.ik[nucleo], $B117,
  desp.m.ik[centro.negocio], $B$106,
  desp.m.ik[mes], "&gt;="&amp;M$1,
  desp.m.ik[mes], "&lt;"&amp;EOMONTH(M$1,0)+1
)</f>
        <v>0</v>
      </c>
      <c r="N117" s="183">
        <f ca="1">-SUMIFS(
  desp.m.ik[valor],
  desp.m.ik[nucleo], $B117,
  desp.m.ik[centro.negocio], $B$106,
  desp.m.ik[mes], "&gt;="&amp;N$1,
  desp.m.ik[mes], "&lt;"&amp;EOMONTH(N$1,0)+1
)</f>
        <v>0</v>
      </c>
      <c r="O117" s="183">
        <f ca="1">-SUMIFS(
  desp.m.ik[valor],
  desp.m.ik[nucleo], $B117,
  desp.m.ik[centro.negocio], $B$106,
  desp.m.ik[mes], "&gt;="&amp;O$1,
  desp.m.ik[mes], "&lt;"&amp;EOMONTH(O$1,0)+1
)</f>
        <v>0</v>
      </c>
      <c r="P117" s="183">
        <f ca="1">-SUMIFS(
  desp.m.ik[valor],
  desp.m.ik[nucleo], $B117,
  desp.m.ik[centro.negocio], $B$106,
  desp.m.ik[mes], "&gt;="&amp;P$1,
  desp.m.ik[mes], "&lt;"&amp;EOMONTH(P$1,0)+1
)</f>
        <v>0</v>
      </c>
      <c r="Q117" s="183">
        <f ca="1">-SUMIFS(
  desp.m.ik[valor],
  desp.m.ik[nucleo], $B117,
  desp.m.ik[centro.negocio], $B$106,
  desp.m.ik[mes], "&gt;="&amp;Q$1,
  desp.m.ik[mes], "&lt;"&amp;EOMONTH(Q$1,0)+1
)</f>
        <v>0</v>
      </c>
      <c r="R117" s="183">
        <f ca="1">-SUMIFS(
  desp.m.ik[valor],
  desp.m.ik[nucleo], $B117,
  desp.m.ik[centro.negocio], $B$106,
  desp.m.ik[mes], "&gt;="&amp;R$1,
  desp.m.ik[mes], "&lt;"&amp;EOMONTH(R$1,0)+1
)</f>
        <v>0</v>
      </c>
      <c r="S117" s="183">
        <f ca="1">-SUMIFS(
  desp.m.ik[valor],
  desp.m.ik[nucleo], $B117,
  desp.m.ik[centro.negocio], $B$106,
  desp.m.ik[mes], "&gt;="&amp;S$1,
  desp.m.ik[mes], "&lt;"&amp;EOMONTH(S$1,0)+1
)</f>
        <v>0</v>
      </c>
      <c r="T117" s="183">
        <f ca="1">-SUMIFS(
  desp.m.ik[valor],
  desp.m.ik[nucleo], $B117,
  desp.m.ik[centro.negocio], $B$106,
  desp.m.ik[mes], "&gt;="&amp;T$1,
  desp.m.ik[mes], "&lt;"&amp;EOMONTH(T$1,0)+1
)</f>
        <v>0</v>
      </c>
      <c r="U117" s="183">
        <f ca="1">-SUMIFS(
  desp.m.ik[valor],
  desp.m.ik[nucleo], $B117,
  desp.m.ik[centro.negocio], $B$106,
  desp.m.ik[mes], "&gt;="&amp;U$1,
  desp.m.ik[mes], "&lt;"&amp;EOMONTH(U$1,0)+1
)</f>
        <v>0</v>
      </c>
      <c r="V117" s="183">
        <f ca="1">-SUMIFS(
  desp.m.ik[valor],
  desp.m.ik[nucleo], $B117,
  desp.m.ik[centro.negocio], $B$106,
  desp.m.ik[mes], "&gt;="&amp;V$1,
  desp.m.ik[mes], "&lt;"&amp;EOMONTH(V$1,0)+1
)</f>
        <v>0</v>
      </c>
      <c r="W117" s="183">
        <f ca="1">-SUMIFS(
  desp.m.ik[valor],
  desp.m.ik[nucleo], $B117,
  desp.m.ik[centro.negocio], $B$106,
  desp.m.ik[mes], "&gt;="&amp;W$1,
  desp.m.ik[mes], "&lt;"&amp;EOMONTH(W$1,0)+1
)</f>
        <v>0</v>
      </c>
      <c r="X117" s="183">
        <f ca="1">-SUMIFS(
  desp.m.ik[valor],
  desp.m.ik[nucleo], $B117,
  desp.m.ik[centro.negocio], $B$106,
  desp.m.ik[mes], "&gt;="&amp;X$1,
  desp.m.ik[mes], "&lt;"&amp;EOMONTH(X$1,0)+1
)</f>
        <v>0</v>
      </c>
      <c r="Y117" s="183">
        <f ca="1">-SUMIFS(
  desp.m.ik[valor],
  desp.m.ik[nucleo], $B117,
  desp.m.ik[centro.negocio], $B$106,
  desp.m.ik[mes], "&gt;="&amp;Y$1,
  desp.m.ik[mes], "&lt;"&amp;EOMONTH(Y$1,0)+1
)</f>
        <v>0</v>
      </c>
      <c r="Z117" s="183">
        <f ca="1">-SUMIFS(
  desp.m.ik[valor],
  desp.m.ik[nucleo], $B117,
  desp.m.ik[centro.negocio], $B$106,
  desp.m.ik[mes], "&gt;="&amp;Z$1,
  desp.m.ik[mes], "&lt;"&amp;EOMONTH(Z$1,0)+1
)</f>
        <v>0</v>
      </c>
      <c r="AA117" s="183">
        <f ca="1">-SUMIFS(
  desp.m.ik[valor],
  desp.m.ik[nucleo], $B117,
  desp.m.ik[centro.negocio], $B$106,
  desp.m.ik[mes], "&gt;="&amp;AA$1,
  desp.m.ik[mes], "&lt;"&amp;EOMONTH(AA$1,0)+1
)</f>
        <v>0</v>
      </c>
      <c r="AC117" s="175">
        <f ca="1">SUM($D117:INDEX($D117:$AA117,1,MATCH(DATE(YEAR(inputs!$A$1),MONTH(inputs!$A$1),1),$D$1:$AA$1,0)))</f>
        <v>0</v>
      </c>
      <c r="AE117" s="175">
        <f t="shared" ca="1" si="23"/>
        <v>0</v>
      </c>
    </row>
    <row r="118" spans="1:31" outlineLevel="2" x14ac:dyDescent="0.25">
      <c r="A118" s="182" t="s">
        <v>973</v>
      </c>
      <c r="B118" s="182" t="s">
        <v>569</v>
      </c>
      <c r="C118" s="135" t="s">
        <v>514</v>
      </c>
      <c r="D118" s="183">
        <f ca="1">-SUMIFS(
  desp.m.ik[valor],
  desp.m.ik[nucleo], $B118,
  desp.m.ik[centro.negocio], $B$106,
  desp.m.ik[mes], "&gt;="&amp;D$1,
  desp.m.ik[mes], "&lt;"&amp;EOMONTH(D$1,0)+1
)</f>
        <v>0</v>
      </c>
      <c r="E118" s="183">
        <f ca="1">-SUMIFS(
  desp.m.ik[valor],
  desp.m.ik[nucleo], $B118,
  desp.m.ik[centro.negocio], $B$106,
  desp.m.ik[mes], "&gt;="&amp;E$1,
  desp.m.ik[mes], "&lt;"&amp;EOMONTH(E$1,0)+1
)</f>
        <v>0</v>
      </c>
      <c r="F118" s="183">
        <f ca="1">-SUMIFS(
  desp.m.ik[valor],
  desp.m.ik[nucleo], $B118,
  desp.m.ik[centro.negocio], $B$106,
  desp.m.ik[mes], "&gt;="&amp;F$1,
  desp.m.ik[mes], "&lt;"&amp;EOMONTH(F$1,0)+1
)</f>
        <v>0</v>
      </c>
      <c r="G118" s="183">
        <f ca="1">-SUMIFS(
  desp.m.ik[valor],
  desp.m.ik[nucleo], $B118,
  desp.m.ik[centro.negocio], $B$106,
  desp.m.ik[mes], "&gt;="&amp;G$1,
  desp.m.ik[mes], "&lt;"&amp;EOMONTH(G$1,0)+1
)</f>
        <v>0</v>
      </c>
      <c r="H118" s="183">
        <f ca="1">-SUMIFS(
  desp.m.ik[valor],
  desp.m.ik[nucleo], $B118,
  desp.m.ik[centro.negocio], $B$106,
  desp.m.ik[mes], "&gt;="&amp;H$1,
  desp.m.ik[mes], "&lt;"&amp;EOMONTH(H$1,0)+1
)</f>
        <v>0</v>
      </c>
      <c r="I118" s="183">
        <f ca="1">-SUMIFS(
  desp.m.ik[valor],
  desp.m.ik[nucleo], $B118,
  desp.m.ik[centro.negocio], $B$106,
  desp.m.ik[mes], "&gt;="&amp;I$1,
  desp.m.ik[mes], "&lt;"&amp;EOMONTH(I$1,0)+1
)</f>
        <v>0</v>
      </c>
      <c r="J118" s="183">
        <f ca="1">-SUMIFS(
  desp.m.ik[valor],
  desp.m.ik[nucleo], $B118,
  desp.m.ik[centro.negocio], $B$106,
  desp.m.ik[mes], "&gt;="&amp;J$1,
  desp.m.ik[mes], "&lt;"&amp;EOMONTH(J$1,0)+1
)</f>
        <v>0</v>
      </c>
      <c r="K118" s="183">
        <f ca="1">-SUMIFS(
  desp.m.ik[valor],
  desp.m.ik[nucleo], $B118,
  desp.m.ik[centro.negocio], $B$106,
  desp.m.ik[mes], "&gt;="&amp;K$1,
  desp.m.ik[mes], "&lt;"&amp;EOMONTH(K$1,0)+1
)</f>
        <v>0</v>
      </c>
      <c r="L118" s="183">
        <f ca="1">-SUMIFS(
  desp.m.ik[valor],
  desp.m.ik[nucleo], $B118,
  desp.m.ik[centro.negocio], $B$106,
  desp.m.ik[mes], "&gt;="&amp;L$1,
  desp.m.ik[mes], "&lt;"&amp;EOMONTH(L$1,0)+1
)</f>
        <v>0</v>
      </c>
      <c r="M118" s="183">
        <f ca="1">-SUMIFS(
  desp.m.ik[valor],
  desp.m.ik[nucleo], $B118,
  desp.m.ik[centro.negocio], $B$106,
  desp.m.ik[mes], "&gt;="&amp;M$1,
  desp.m.ik[mes], "&lt;"&amp;EOMONTH(M$1,0)+1
)</f>
        <v>0</v>
      </c>
      <c r="N118" s="183">
        <f ca="1">-SUMIFS(
  desp.m.ik[valor],
  desp.m.ik[nucleo], $B118,
  desp.m.ik[centro.negocio], $B$106,
  desp.m.ik[mes], "&gt;="&amp;N$1,
  desp.m.ik[mes], "&lt;"&amp;EOMONTH(N$1,0)+1
)</f>
        <v>0</v>
      </c>
      <c r="O118" s="183">
        <f ca="1">-SUMIFS(
  desp.m.ik[valor],
  desp.m.ik[nucleo], $B118,
  desp.m.ik[centro.negocio], $B$106,
  desp.m.ik[mes], "&gt;="&amp;O$1,
  desp.m.ik[mes], "&lt;"&amp;EOMONTH(O$1,0)+1
)</f>
        <v>0</v>
      </c>
      <c r="P118" s="183">
        <f ca="1">-SUMIFS(
  desp.m.ik[valor],
  desp.m.ik[nucleo], $B118,
  desp.m.ik[centro.negocio], $B$106,
  desp.m.ik[mes], "&gt;="&amp;P$1,
  desp.m.ik[mes], "&lt;"&amp;EOMONTH(P$1,0)+1
)</f>
        <v>0</v>
      </c>
      <c r="Q118" s="183">
        <f ca="1">-SUMIFS(
  desp.m.ik[valor],
  desp.m.ik[nucleo], $B118,
  desp.m.ik[centro.negocio], $B$106,
  desp.m.ik[mes], "&gt;="&amp;Q$1,
  desp.m.ik[mes], "&lt;"&amp;EOMONTH(Q$1,0)+1
)</f>
        <v>0</v>
      </c>
      <c r="R118" s="183">
        <f ca="1">-SUMIFS(
  desp.m.ik[valor],
  desp.m.ik[nucleo], $B118,
  desp.m.ik[centro.negocio], $B$106,
  desp.m.ik[mes], "&gt;="&amp;R$1,
  desp.m.ik[mes], "&lt;"&amp;EOMONTH(R$1,0)+1
)</f>
        <v>0</v>
      </c>
      <c r="S118" s="183">
        <f ca="1">-SUMIFS(
  desp.m.ik[valor],
  desp.m.ik[nucleo], $B118,
  desp.m.ik[centro.negocio], $B$106,
  desp.m.ik[mes], "&gt;="&amp;S$1,
  desp.m.ik[mes], "&lt;"&amp;EOMONTH(S$1,0)+1
)</f>
        <v>0</v>
      </c>
      <c r="T118" s="183">
        <f ca="1">-SUMIFS(
  desp.m.ik[valor],
  desp.m.ik[nucleo], $B118,
  desp.m.ik[centro.negocio], $B$106,
  desp.m.ik[mes], "&gt;="&amp;T$1,
  desp.m.ik[mes], "&lt;"&amp;EOMONTH(T$1,0)+1
)</f>
        <v>0</v>
      </c>
      <c r="U118" s="183">
        <f ca="1">-SUMIFS(
  desp.m.ik[valor],
  desp.m.ik[nucleo], $B118,
  desp.m.ik[centro.negocio], $B$106,
  desp.m.ik[mes], "&gt;="&amp;U$1,
  desp.m.ik[mes], "&lt;"&amp;EOMONTH(U$1,0)+1
)</f>
        <v>0</v>
      </c>
      <c r="V118" s="183">
        <f ca="1">-SUMIFS(
  desp.m.ik[valor],
  desp.m.ik[nucleo], $B118,
  desp.m.ik[centro.negocio], $B$106,
  desp.m.ik[mes], "&gt;="&amp;V$1,
  desp.m.ik[mes], "&lt;"&amp;EOMONTH(V$1,0)+1
)</f>
        <v>0</v>
      </c>
      <c r="W118" s="183">
        <f ca="1">-SUMIFS(
  desp.m.ik[valor],
  desp.m.ik[nucleo], $B118,
  desp.m.ik[centro.negocio], $B$106,
  desp.m.ik[mes], "&gt;="&amp;W$1,
  desp.m.ik[mes], "&lt;"&amp;EOMONTH(W$1,0)+1
)</f>
        <v>0</v>
      </c>
      <c r="X118" s="183">
        <f ca="1">-SUMIFS(
  desp.m.ik[valor],
  desp.m.ik[nucleo], $B118,
  desp.m.ik[centro.negocio], $B$106,
  desp.m.ik[mes], "&gt;="&amp;X$1,
  desp.m.ik[mes], "&lt;"&amp;EOMONTH(X$1,0)+1
)</f>
        <v>0</v>
      </c>
      <c r="Y118" s="183">
        <f ca="1">-SUMIFS(
  desp.m.ik[valor],
  desp.m.ik[nucleo], $B118,
  desp.m.ik[centro.negocio], $B$106,
  desp.m.ik[mes], "&gt;="&amp;Y$1,
  desp.m.ik[mes], "&lt;"&amp;EOMONTH(Y$1,0)+1
)</f>
        <v>0</v>
      </c>
      <c r="Z118" s="183">
        <f ca="1">-SUMIFS(
  desp.m.ik[valor],
  desp.m.ik[nucleo], $B118,
  desp.m.ik[centro.negocio], $B$106,
  desp.m.ik[mes], "&gt;="&amp;Z$1,
  desp.m.ik[mes], "&lt;"&amp;EOMONTH(Z$1,0)+1
)</f>
        <v>0</v>
      </c>
      <c r="AA118" s="183">
        <f ca="1">-SUMIFS(
  desp.m.ik[valor],
  desp.m.ik[nucleo], $B118,
  desp.m.ik[centro.negocio], $B$106,
  desp.m.ik[mes], "&gt;="&amp;AA$1,
  desp.m.ik[mes], "&lt;"&amp;EOMONTH(AA$1,0)+1
)</f>
        <v>0</v>
      </c>
      <c r="AC118" s="175">
        <f ca="1">SUM($D118:INDEX($D118:$AA118,1,MATCH(DATE(YEAR(inputs!$A$1),MONTH(inputs!$A$1),1),$D$1:$AA$1,0)))</f>
        <v>0</v>
      </c>
      <c r="AE118" s="175">
        <f t="shared" ca="1" si="23"/>
        <v>0</v>
      </c>
    </row>
    <row r="119" spans="1:31" outlineLevel="1" x14ac:dyDescent="0.25">
      <c r="A119" s="179" t="s">
        <v>566</v>
      </c>
      <c r="B119" s="413" t="s">
        <v>939</v>
      </c>
      <c r="C119" s="180" t="s">
        <v>514</v>
      </c>
      <c r="D119" s="181">
        <f ca="1">SUM(D$120:D$128)</f>
        <v>0</v>
      </c>
      <c r="E119" s="181">
        <f t="shared" ref="E119:AA119" ca="1" si="27">SUM(E$120:E$128)</f>
        <v>0</v>
      </c>
      <c r="F119" s="181">
        <f t="shared" ca="1" si="27"/>
        <v>0</v>
      </c>
      <c r="G119" s="181">
        <f t="shared" ca="1" si="27"/>
        <v>0</v>
      </c>
      <c r="H119" s="181">
        <f t="shared" ca="1" si="27"/>
        <v>0</v>
      </c>
      <c r="I119" s="181">
        <f t="shared" ca="1" si="27"/>
        <v>0</v>
      </c>
      <c r="J119" s="181">
        <f t="shared" ca="1" si="27"/>
        <v>0</v>
      </c>
      <c r="K119" s="181">
        <f t="shared" ca="1" si="27"/>
        <v>0</v>
      </c>
      <c r="L119" s="181">
        <f t="shared" ca="1" si="27"/>
        <v>0</v>
      </c>
      <c r="M119" s="181">
        <f t="shared" ca="1" si="27"/>
        <v>0</v>
      </c>
      <c r="N119" s="181">
        <f t="shared" ca="1" si="27"/>
        <v>0</v>
      </c>
      <c r="O119" s="181">
        <f t="shared" ca="1" si="27"/>
        <v>0</v>
      </c>
      <c r="P119" s="181">
        <f t="shared" ca="1" si="27"/>
        <v>0</v>
      </c>
      <c r="Q119" s="181">
        <f t="shared" ca="1" si="27"/>
        <v>0</v>
      </c>
      <c r="R119" s="181">
        <f t="shared" ca="1" si="27"/>
        <v>0</v>
      </c>
      <c r="S119" s="181">
        <f t="shared" ca="1" si="27"/>
        <v>0</v>
      </c>
      <c r="T119" s="181">
        <f t="shared" ca="1" si="27"/>
        <v>0</v>
      </c>
      <c r="U119" s="181">
        <f t="shared" ca="1" si="27"/>
        <v>0</v>
      </c>
      <c r="V119" s="181">
        <f t="shared" ca="1" si="27"/>
        <v>0</v>
      </c>
      <c r="W119" s="181">
        <f t="shared" ca="1" si="27"/>
        <v>0</v>
      </c>
      <c r="X119" s="181">
        <f t="shared" ca="1" si="27"/>
        <v>0</v>
      </c>
      <c r="Y119" s="181">
        <f t="shared" ca="1" si="27"/>
        <v>0</v>
      </c>
      <c r="Z119" s="181">
        <f t="shared" ca="1" si="27"/>
        <v>0</v>
      </c>
      <c r="AA119" s="181">
        <f t="shared" ca="1" si="27"/>
        <v>0</v>
      </c>
      <c r="AC119" s="275">
        <f ca="1">SUM($D119:INDEX($D119:$AA119,1,MATCH(DATE(YEAR(inputs!$A$1),MONTH(inputs!$A$1),1),$D$1:$AA$1,0)))</f>
        <v>0</v>
      </c>
      <c r="AE119" s="275">
        <f t="shared" ref="AE119:AE123" ca="1" si="28">SUM(D119:AA119)</f>
        <v>0</v>
      </c>
    </row>
    <row r="120" spans="1:31" outlineLevel="2" x14ac:dyDescent="0.25">
      <c r="A120" s="182" t="s">
        <v>975</v>
      </c>
      <c r="B120" s="193" t="s">
        <v>723</v>
      </c>
      <c r="C120" s="135" t="s">
        <v>514</v>
      </c>
      <c r="D120" s="183">
        <f ca="1">-SUMIFS(
  desp.m.ik[valor],
  desp.m.ik[centro.negocio], $B120,
  desp.m.ik[mes], "&gt;="&amp;D$1,
  desp.m.ik[mes], "&lt;"&amp;EOMONTH(D$1,0)+1
)</f>
        <v>0</v>
      </c>
      <c r="E120" s="183">
        <f ca="1">-SUMIFS(
  desp.m.ik[valor],
  desp.m.ik[centro.negocio], $B120,
  desp.m.ik[mes], "&gt;="&amp;E$1,
  desp.m.ik[mes], "&lt;"&amp;EOMONTH(E$1,0)+1
)</f>
        <v>0</v>
      </c>
      <c r="F120" s="183">
        <f ca="1">-SUMIFS(
  desp.m.ik[valor],
  desp.m.ik[centro.negocio], $B120,
  desp.m.ik[mes], "&gt;="&amp;F$1,
  desp.m.ik[mes], "&lt;"&amp;EOMONTH(F$1,0)+1
)</f>
        <v>0</v>
      </c>
      <c r="G120" s="183">
        <f ca="1">-SUMIFS(
  desp.m.ik[valor],
  desp.m.ik[centro.negocio], $B120,
  desp.m.ik[mes], "&gt;="&amp;G$1,
  desp.m.ik[mes], "&lt;"&amp;EOMONTH(G$1,0)+1
)</f>
        <v>0</v>
      </c>
      <c r="H120" s="183">
        <f ca="1">-SUMIFS(
  desp.m.ik[valor],
  desp.m.ik[centro.negocio], $B120,
  desp.m.ik[mes], "&gt;="&amp;H$1,
  desp.m.ik[mes], "&lt;"&amp;EOMONTH(H$1,0)+1
)</f>
        <v>0</v>
      </c>
      <c r="I120" s="183">
        <f ca="1">-SUMIFS(
  desp.m.ik[valor],
  desp.m.ik[centro.negocio], $B120,
  desp.m.ik[mes], "&gt;="&amp;I$1,
  desp.m.ik[mes], "&lt;"&amp;EOMONTH(I$1,0)+1
)</f>
        <v>0</v>
      </c>
      <c r="J120" s="183">
        <f ca="1">-SUMIFS(
  desp.m.ik[valor],
  desp.m.ik[centro.negocio], $B120,
  desp.m.ik[mes], "&gt;="&amp;J$1,
  desp.m.ik[mes], "&lt;"&amp;EOMONTH(J$1,0)+1
)</f>
        <v>0</v>
      </c>
      <c r="K120" s="183">
        <f ca="1">-SUMIFS(
  desp.m.ik[valor],
  desp.m.ik[centro.negocio], $B120,
  desp.m.ik[mes], "&gt;="&amp;K$1,
  desp.m.ik[mes], "&lt;"&amp;EOMONTH(K$1,0)+1
)</f>
        <v>0</v>
      </c>
      <c r="L120" s="183">
        <f ca="1">-SUMIFS(
  desp.m.ik[valor],
  desp.m.ik[centro.negocio], $B120,
  desp.m.ik[mes], "&gt;="&amp;L$1,
  desp.m.ik[mes], "&lt;"&amp;EOMONTH(L$1,0)+1
)</f>
        <v>0</v>
      </c>
      <c r="M120" s="183">
        <f ca="1">-SUMIFS(
  desp.m.ik[valor],
  desp.m.ik[centro.negocio], $B120,
  desp.m.ik[mes], "&gt;="&amp;M$1,
  desp.m.ik[mes], "&lt;"&amp;EOMONTH(M$1,0)+1
)</f>
        <v>0</v>
      </c>
      <c r="N120" s="183">
        <f ca="1">-SUMIFS(
  desp.m.ik[valor],
  desp.m.ik[centro.negocio], $B120,
  desp.m.ik[mes], "&gt;="&amp;N$1,
  desp.m.ik[mes], "&lt;"&amp;EOMONTH(N$1,0)+1
)</f>
        <v>0</v>
      </c>
      <c r="O120" s="183">
        <f ca="1">-SUMIFS(
  desp.m.ik[valor],
  desp.m.ik[centro.negocio], $B120,
  desp.m.ik[mes], "&gt;="&amp;O$1,
  desp.m.ik[mes], "&lt;"&amp;EOMONTH(O$1,0)+1
)</f>
        <v>0</v>
      </c>
      <c r="P120" s="183">
        <f ca="1">-SUMIFS(
  desp.m.ik[valor],
  desp.m.ik[centro.negocio], $B120,
  desp.m.ik[mes], "&gt;="&amp;P$1,
  desp.m.ik[mes], "&lt;"&amp;EOMONTH(P$1,0)+1
)</f>
        <v>0</v>
      </c>
      <c r="Q120" s="183">
        <f ca="1">-SUMIFS(
  desp.m.ik[valor],
  desp.m.ik[centro.negocio], $B120,
  desp.m.ik[mes], "&gt;="&amp;Q$1,
  desp.m.ik[mes], "&lt;"&amp;EOMONTH(Q$1,0)+1
)</f>
        <v>0</v>
      </c>
      <c r="R120" s="183">
        <f ca="1">-SUMIFS(
  desp.m.ik[valor],
  desp.m.ik[centro.negocio], $B120,
  desp.m.ik[mes], "&gt;="&amp;R$1,
  desp.m.ik[mes], "&lt;"&amp;EOMONTH(R$1,0)+1
)</f>
        <v>0</v>
      </c>
      <c r="S120" s="183">
        <f ca="1">-SUMIFS(
  desp.m.ik[valor],
  desp.m.ik[centro.negocio], $B120,
  desp.m.ik[mes], "&gt;="&amp;S$1,
  desp.m.ik[mes], "&lt;"&amp;EOMONTH(S$1,0)+1
)</f>
        <v>0</v>
      </c>
      <c r="T120" s="183">
        <f ca="1">-SUMIFS(
  desp.m.ik[valor],
  desp.m.ik[centro.negocio], $B120,
  desp.m.ik[mes], "&gt;="&amp;T$1,
  desp.m.ik[mes], "&lt;"&amp;EOMONTH(T$1,0)+1
)</f>
        <v>0</v>
      </c>
      <c r="U120" s="183">
        <f ca="1">-SUMIFS(
  desp.m.ik[valor],
  desp.m.ik[centro.negocio], $B120,
  desp.m.ik[mes], "&gt;="&amp;U$1,
  desp.m.ik[mes], "&lt;"&amp;EOMONTH(U$1,0)+1
)</f>
        <v>0</v>
      </c>
      <c r="V120" s="183">
        <f ca="1">-SUMIFS(
  desp.m.ik[valor],
  desp.m.ik[centro.negocio], $B120,
  desp.m.ik[mes], "&gt;="&amp;V$1,
  desp.m.ik[mes], "&lt;"&amp;EOMONTH(V$1,0)+1
)</f>
        <v>0</v>
      </c>
      <c r="W120" s="183">
        <f ca="1">-SUMIFS(
  desp.m.ik[valor],
  desp.m.ik[centro.negocio], $B120,
  desp.m.ik[mes], "&gt;="&amp;W$1,
  desp.m.ik[mes], "&lt;"&amp;EOMONTH(W$1,0)+1
)</f>
        <v>0</v>
      </c>
      <c r="X120" s="183">
        <f ca="1">-SUMIFS(
  desp.m.ik[valor],
  desp.m.ik[centro.negocio], $B120,
  desp.m.ik[mes], "&gt;="&amp;X$1,
  desp.m.ik[mes], "&lt;"&amp;EOMONTH(X$1,0)+1
)</f>
        <v>0</v>
      </c>
      <c r="Y120" s="183">
        <f ca="1">-SUMIFS(
  desp.m.ik[valor],
  desp.m.ik[centro.negocio], $B120,
  desp.m.ik[mes], "&gt;="&amp;Y$1,
  desp.m.ik[mes], "&lt;"&amp;EOMONTH(Y$1,0)+1
)</f>
        <v>0</v>
      </c>
      <c r="Z120" s="183">
        <f ca="1">-SUMIFS(
  desp.m.ik[valor],
  desp.m.ik[centro.negocio], $B120,
  desp.m.ik[mes], "&gt;="&amp;Z$1,
  desp.m.ik[mes], "&lt;"&amp;EOMONTH(Z$1,0)+1
)</f>
        <v>0</v>
      </c>
      <c r="AA120" s="183">
        <f ca="1">-SUMIFS(
  desp.m.ik[valor],
  desp.m.ik[centro.negocio], $B120,
  desp.m.ik[mes], "&gt;="&amp;AA$1,
  desp.m.ik[mes], "&lt;"&amp;EOMONTH(AA$1,0)+1
)</f>
        <v>0</v>
      </c>
      <c r="AC120" s="175">
        <f ca="1">SUM($D120:INDEX($D120:$AA120,1,MATCH(DATE(YEAR(inputs!$A$1),MONTH(inputs!$A$1),1),$D$1:$AA$1,0)))</f>
        <v>0</v>
      </c>
      <c r="AE120" s="175">
        <f ca="1">SUM(D120:AA120)</f>
        <v>0</v>
      </c>
    </row>
    <row r="121" spans="1:31" outlineLevel="2" x14ac:dyDescent="0.25">
      <c r="A121" s="182" t="s">
        <v>975</v>
      </c>
      <c r="B121" s="193" t="s">
        <v>378</v>
      </c>
      <c r="C121" s="135" t="s">
        <v>514</v>
      </c>
      <c r="D121" s="183">
        <f ca="1">-SUMIFS(
  desp.m.ik[valor],
  desp.m.ik[centro.negocio], $B121,
  desp.m.ik[mes], "&gt;="&amp;D$1,
  desp.m.ik[mes], "&lt;"&amp;EOMONTH(D$1,0)+1
)</f>
        <v>0</v>
      </c>
      <c r="E121" s="183">
        <f ca="1">-SUMIFS(
  desp.m.ik[valor],
  desp.m.ik[centro.negocio], $B121,
  desp.m.ik[mes], "&gt;="&amp;E$1,
  desp.m.ik[mes], "&lt;"&amp;EOMONTH(E$1,0)+1
)</f>
        <v>0</v>
      </c>
      <c r="F121" s="183">
        <f ca="1">-SUMIFS(
  desp.m.ik[valor],
  desp.m.ik[centro.negocio], $B121,
  desp.m.ik[mes], "&gt;="&amp;F$1,
  desp.m.ik[mes], "&lt;"&amp;EOMONTH(F$1,0)+1
)</f>
        <v>0</v>
      </c>
      <c r="G121" s="183">
        <f ca="1">-SUMIFS(
  desp.m.ik[valor],
  desp.m.ik[centro.negocio], $B121,
  desp.m.ik[mes], "&gt;="&amp;G$1,
  desp.m.ik[mes], "&lt;"&amp;EOMONTH(G$1,0)+1
)</f>
        <v>0</v>
      </c>
      <c r="H121" s="183">
        <f ca="1">-SUMIFS(
  desp.m.ik[valor],
  desp.m.ik[centro.negocio], $B121,
  desp.m.ik[mes], "&gt;="&amp;H$1,
  desp.m.ik[mes], "&lt;"&amp;EOMONTH(H$1,0)+1
)</f>
        <v>0</v>
      </c>
      <c r="I121" s="183">
        <f ca="1">-SUMIFS(
  desp.m.ik[valor],
  desp.m.ik[centro.negocio], $B121,
  desp.m.ik[mes], "&gt;="&amp;I$1,
  desp.m.ik[mes], "&lt;"&amp;EOMONTH(I$1,0)+1
)</f>
        <v>0</v>
      </c>
      <c r="J121" s="183">
        <f ca="1">-SUMIFS(
  desp.m.ik[valor],
  desp.m.ik[centro.negocio], $B121,
  desp.m.ik[mes], "&gt;="&amp;J$1,
  desp.m.ik[mes], "&lt;"&amp;EOMONTH(J$1,0)+1
)</f>
        <v>0</v>
      </c>
      <c r="K121" s="183">
        <f ca="1">-SUMIFS(
  desp.m.ik[valor],
  desp.m.ik[centro.negocio], $B121,
  desp.m.ik[mes], "&gt;="&amp;K$1,
  desp.m.ik[mes], "&lt;"&amp;EOMONTH(K$1,0)+1
)</f>
        <v>0</v>
      </c>
      <c r="L121" s="183">
        <f ca="1">-SUMIFS(
  desp.m.ik[valor],
  desp.m.ik[centro.negocio], $B121,
  desp.m.ik[mes], "&gt;="&amp;L$1,
  desp.m.ik[mes], "&lt;"&amp;EOMONTH(L$1,0)+1
)</f>
        <v>0</v>
      </c>
      <c r="M121" s="183">
        <f ca="1">-SUMIFS(
  desp.m.ik[valor],
  desp.m.ik[centro.negocio], $B121,
  desp.m.ik[mes], "&gt;="&amp;M$1,
  desp.m.ik[mes], "&lt;"&amp;EOMONTH(M$1,0)+1
)</f>
        <v>0</v>
      </c>
      <c r="N121" s="183">
        <f ca="1">-SUMIFS(
  desp.m.ik[valor],
  desp.m.ik[centro.negocio], $B121,
  desp.m.ik[mes], "&gt;="&amp;N$1,
  desp.m.ik[mes], "&lt;"&amp;EOMONTH(N$1,0)+1
)</f>
        <v>0</v>
      </c>
      <c r="O121" s="183">
        <f ca="1">-SUMIFS(
  desp.m.ik[valor],
  desp.m.ik[centro.negocio], $B121,
  desp.m.ik[mes], "&gt;="&amp;O$1,
  desp.m.ik[mes], "&lt;"&amp;EOMONTH(O$1,0)+1
)</f>
        <v>0</v>
      </c>
      <c r="P121" s="183">
        <f ca="1">-SUMIFS(
  desp.m.ik[valor],
  desp.m.ik[centro.negocio], $B121,
  desp.m.ik[mes], "&gt;="&amp;P$1,
  desp.m.ik[mes], "&lt;"&amp;EOMONTH(P$1,0)+1
)</f>
        <v>0</v>
      </c>
      <c r="Q121" s="183">
        <f ca="1">-SUMIFS(
  desp.m.ik[valor],
  desp.m.ik[centro.negocio], $B121,
  desp.m.ik[mes], "&gt;="&amp;Q$1,
  desp.m.ik[mes], "&lt;"&amp;EOMONTH(Q$1,0)+1
)</f>
        <v>0</v>
      </c>
      <c r="R121" s="183">
        <f ca="1">-SUMIFS(
  desp.m.ik[valor],
  desp.m.ik[centro.negocio], $B121,
  desp.m.ik[mes], "&gt;="&amp;R$1,
  desp.m.ik[mes], "&lt;"&amp;EOMONTH(R$1,0)+1
)</f>
        <v>0</v>
      </c>
      <c r="S121" s="183">
        <f ca="1">-SUMIFS(
  desp.m.ik[valor],
  desp.m.ik[centro.negocio], $B121,
  desp.m.ik[mes], "&gt;="&amp;S$1,
  desp.m.ik[mes], "&lt;"&amp;EOMONTH(S$1,0)+1
)</f>
        <v>0</v>
      </c>
      <c r="T121" s="183">
        <f ca="1">-SUMIFS(
  desp.m.ik[valor],
  desp.m.ik[centro.negocio], $B121,
  desp.m.ik[mes], "&gt;="&amp;T$1,
  desp.m.ik[mes], "&lt;"&amp;EOMONTH(T$1,0)+1
)</f>
        <v>0</v>
      </c>
      <c r="U121" s="183">
        <f ca="1">-SUMIFS(
  desp.m.ik[valor],
  desp.m.ik[centro.negocio], $B121,
  desp.m.ik[mes], "&gt;="&amp;U$1,
  desp.m.ik[mes], "&lt;"&amp;EOMONTH(U$1,0)+1
)</f>
        <v>0</v>
      </c>
      <c r="V121" s="183">
        <f ca="1">-SUMIFS(
  desp.m.ik[valor],
  desp.m.ik[centro.negocio], $B121,
  desp.m.ik[mes], "&gt;="&amp;V$1,
  desp.m.ik[mes], "&lt;"&amp;EOMONTH(V$1,0)+1
)</f>
        <v>0</v>
      </c>
      <c r="W121" s="183">
        <f ca="1">-SUMIFS(
  desp.m.ik[valor],
  desp.m.ik[centro.negocio], $B121,
  desp.m.ik[mes], "&gt;="&amp;W$1,
  desp.m.ik[mes], "&lt;"&amp;EOMONTH(W$1,0)+1
)</f>
        <v>0</v>
      </c>
      <c r="X121" s="183">
        <f ca="1">-SUMIFS(
  desp.m.ik[valor],
  desp.m.ik[centro.negocio], $B121,
  desp.m.ik[mes], "&gt;="&amp;X$1,
  desp.m.ik[mes], "&lt;"&amp;EOMONTH(X$1,0)+1
)</f>
        <v>0</v>
      </c>
      <c r="Y121" s="183">
        <f ca="1">-SUMIFS(
  desp.m.ik[valor],
  desp.m.ik[centro.negocio], $B121,
  desp.m.ik[mes], "&gt;="&amp;Y$1,
  desp.m.ik[mes], "&lt;"&amp;EOMONTH(Y$1,0)+1
)</f>
        <v>0</v>
      </c>
      <c r="Z121" s="183">
        <f ca="1">-SUMIFS(
  desp.m.ik[valor],
  desp.m.ik[centro.negocio], $B121,
  desp.m.ik[mes], "&gt;="&amp;Z$1,
  desp.m.ik[mes], "&lt;"&amp;EOMONTH(Z$1,0)+1
)</f>
        <v>0</v>
      </c>
      <c r="AA121" s="183">
        <f ca="1">-SUMIFS(
  desp.m.ik[valor],
  desp.m.ik[centro.negocio], $B121,
  desp.m.ik[mes], "&gt;="&amp;AA$1,
  desp.m.ik[mes], "&lt;"&amp;EOMONTH(AA$1,0)+1
)</f>
        <v>0</v>
      </c>
      <c r="AC121" s="175">
        <f ca="1">SUM($D121:INDEX($D121:$AA121,1,MATCH(DATE(YEAR(inputs!$A$1),MONTH(inputs!$A$1),1),$D$1:$AA$1,0)))</f>
        <v>0</v>
      </c>
      <c r="AE121" s="175">
        <f t="shared" ca="1" si="28"/>
        <v>0</v>
      </c>
    </row>
    <row r="122" spans="1:31" outlineLevel="2" x14ac:dyDescent="0.25">
      <c r="A122" s="182" t="s">
        <v>975</v>
      </c>
      <c r="B122" s="193" t="s">
        <v>726</v>
      </c>
      <c r="C122" s="135" t="s">
        <v>514</v>
      </c>
      <c r="D122" s="183">
        <f ca="1">-SUMIFS(
  desp.m.ik[valor],
  desp.m.ik[centro.negocio], $B122,
  desp.m.ik[mes], "&gt;="&amp;D$1,
  desp.m.ik[mes], "&lt;"&amp;EOMONTH(D$1,0)+1
)</f>
        <v>0</v>
      </c>
      <c r="E122" s="183">
        <f ca="1">-SUMIFS(
  desp.m.ik[valor],
  desp.m.ik[centro.negocio], $B122,
  desp.m.ik[mes], "&gt;="&amp;E$1,
  desp.m.ik[mes], "&lt;"&amp;EOMONTH(E$1,0)+1
)</f>
        <v>0</v>
      </c>
      <c r="F122" s="183">
        <f ca="1">-SUMIFS(
  desp.m.ik[valor],
  desp.m.ik[centro.negocio], $B122,
  desp.m.ik[mes], "&gt;="&amp;F$1,
  desp.m.ik[mes], "&lt;"&amp;EOMONTH(F$1,0)+1
)</f>
        <v>0</v>
      </c>
      <c r="G122" s="183">
        <f ca="1">-SUMIFS(
  desp.m.ik[valor],
  desp.m.ik[centro.negocio], $B122,
  desp.m.ik[mes], "&gt;="&amp;G$1,
  desp.m.ik[mes], "&lt;"&amp;EOMONTH(G$1,0)+1
)</f>
        <v>0</v>
      </c>
      <c r="H122" s="183">
        <f ca="1">-SUMIFS(
  desp.m.ik[valor],
  desp.m.ik[centro.negocio], $B122,
  desp.m.ik[mes], "&gt;="&amp;H$1,
  desp.m.ik[mes], "&lt;"&amp;EOMONTH(H$1,0)+1
)</f>
        <v>0</v>
      </c>
      <c r="I122" s="183">
        <f ca="1">-SUMIFS(
  desp.m.ik[valor],
  desp.m.ik[centro.negocio], $B122,
  desp.m.ik[mes], "&gt;="&amp;I$1,
  desp.m.ik[mes], "&lt;"&amp;EOMONTH(I$1,0)+1
)</f>
        <v>0</v>
      </c>
      <c r="J122" s="183">
        <f ca="1">-SUMIFS(
  desp.m.ik[valor],
  desp.m.ik[centro.negocio], $B122,
  desp.m.ik[mes], "&gt;="&amp;J$1,
  desp.m.ik[mes], "&lt;"&amp;EOMONTH(J$1,0)+1
)</f>
        <v>0</v>
      </c>
      <c r="K122" s="183">
        <f ca="1">-SUMIFS(
  desp.m.ik[valor],
  desp.m.ik[centro.negocio], $B122,
  desp.m.ik[mes], "&gt;="&amp;K$1,
  desp.m.ik[mes], "&lt;"&amp;EOMONTH(K$1,0)+1
)</f>
        <v>0</v>
      </c>
      <c r="L122" s="183">
        <f ca="1">-SUMIFS(
  desp.m.ik[valor],
  desp.m.ik[centro.negocio], $B122,
  desp.m.ik[mes], "&gt;="&amp;L$1,
  desp.m.ik[mes], "&lt;"&amp;EOMONTH(L$1,0)+1
)</f>
        <v>0</v>
      </c>
      <c r="M122" s="183">
        <f ca="1">-SUMIFS(
  desp.m.ik[valor],
  desp.m.ik[centro.negocio], $B122,
  desp.m.ik[mes], "&gt;="&amp;M$1,
  desp.m.ik[mes], "&lt;"&amp;EOMONTH(M$1,0)+1
)</f>
        <v>0</v>
      </c>
      <c r="N122" s="183">
        <f ca="1">-SUMIFS(
  desp.m.ik[valor],
  desp.m.ik[centro.negocio], $B122,
  desp.m.ik[mes], "&gt;="&amp;N$1,
  desp.m.ik[mes], "&lt;"&amp;EOMONTH(N$1,0)+1
)</f>
        <v>0</v>
      </c>
      <c r="O122" s="183">
        <f ca="1">-SUMIFS(
  desp.m.ik[valor],
  desp.m.ik[centro.negocio], $B122,
  desp.m.ik[mes], "&gt;="&amp;O$1,
  desp.m.ik[mes], "&lt;"&amp;EOMONTH(O$1,0)+1
)</f>
        <v>0</v>
      </c>
      <c r="P122" s="183">
        <f ca="1">-SUMIFS(
  desp.m.ik[valor],
  desp.m.ik[centro.negocio], $B122,
  desp.m.ik[mes], "&gt;="&amp;P$1,
  desp.m.ik[mes], "&lt;"&amp;EOMONTH(P$1,0)+1
)</f>
        <v>0</v>
      </c>
      <c r="Q122" s="183">
        <f ca="1">-SUMIFS(
  desp.m.ik[valor],
  desp.m.ik[centro.negocio], $B122,
  desp.m.ik[mes], "&gt;="&amp;Q$1,
  desp.m.ik[mes], "&lt;"&amp;EOMONTH(Q$1,0)+1
)</f>
        <v>0</v>
      </c>
      <c r="R122" s="183">
        <f ca="1">-SUMIFS(
  desp.m.ik[valor],
  desp.m.ik[centro.negocio], $B122,
  desp.m.ik[mes], "&gt;="&amp;R$1,
  desp.m.ik[mes], "&lt;"&amp;EOMONTH(R$1,0)+1
)</f>
        <v>0</v>
      </c>
      <c r="S122" s="183">
        <f ca="1">-SUMIFS(
  desp.m.ik[valor],
  desp.m.ik[centro.negocio], $B122,
  desp.m.ik[mes], "&gt;="&amp;S$1,
  desp.m.ik[mes], "&lt;"&amp;EOMONTH(S$1,0)+1
)</f>
        <v>0</v>
      </c>
      <c r="T122" s="183">
        <f ca="1">-SUMIFS(
  desp.m.ik[valor],
  desp.m.ik[centro.negocio], $B122,
  desp.m.ik[mes], "&gt;="&amp;T$1,
  desp.m.ik[mes], "&lt;"&amp;EOMONTH(T$1,0)+1
)</f>
        <v>0</v>
      </c>
      <c r="U122" s="183">
        <f ca="1">-SUMIFS(
  desp.m.ik[valor],
  desp.m.ik[centro.negocio], $B122,
  desp.m.ik[mes], "&gt;="&amp;U$1,
  desp.m.ik[mes], "&lt;"&amp;EOMONTH(U$1,0)+1
)</f>
        <v>0</v>
      </c>
      <c r="V122" s="183">
        <f ca="1">-SUMIFS(
  desp.m.ik[valor],
  desp.m.ik[centro.negocio], $B122,
  desp.m.ik[mes], "&gt;="&amp;V$1,
  desp.m.ik[mes], "&lt;"&amp;EOMONTH(V$1,0)+1
)</f>
        <v>0</v>
      </c>
      <c r="W122" s="183">
        <f ca="1">-SUMIFS(
  desp.m.ik[valor],
  desp.m.ik[centro.negocio], $B122,
  desp.m.ik[mes], "&gt;="&amp;W$1,
  desp.m.ik[mes], "&lt;"&amp;EOMONTH(W$1,0)+1
)</f>
        <v>0</v>
      </c>
      <c r="X122" s="183">
        <f ca="1">-SUMIFS(
  desp.m.ik[valor],
  desp.m.ik[centro.negocio], $B122,
  desp.m.ik[mes], "&gt;="&amp;X$1,
  desp.m.ik[mes], "&lt;"&amp;EOMONTH(X$1,0)+1
)</f>
        <v>0</v>
      </c>
      <c r="Y122" s="183">
        <f ca="1">-SUMIFS(
  desp.m.ik[valor],
  desp.m.ik[centro.negocio], $B122,
  desp.m.ik[mes], "&gt;="&amp;Y$1,
  desp.m.ik[mes], "&lt;"&amp;EOMONTH(Y$1,0)+1
)</f>
        <v>0</v>
      </c>
      <c r="Z122" s="183">
        <f ca="1">-SUMIFS(
  desp.m.ik[valor],
  desp.m.ik[centro.negocio], $B122,
  desp.m.ik[mes], "&gt;="&amp;Z$1,
  desp.m.ik[mes], "&lt;"&amp;EOMONTH(Z$1,0)+1
)</f>
        <v>0</v>
      </c>
      <c r="AA122" s="183">
        <f ca="1">-SUMIFS(
  desp.m.ik[valor],
  desp.m.ik[centro.negocio], $B122,
  desp.m.ik[mes], "&gt;="&amp;AA$1,
  desp.m.ik[mes], "&lt;"&amp;EOMONTH(AA$1,0)+1
)</f>
        <v>0</v>
      </c>
      <c r="AC122" s="175">
        <f ca="1">SUM($D122:INDEX($D122:$AA122,1,MATCH(DATE(YEAR(inputs!$A$1),MONTH(inputs!$A$1),1),$D$1:$AA$1,0)))</f>
        <v>0</v>
      </c>
      <c r="AE122" s="175">
        <f t="shared" ca="1" si="28"/>
        <v>0</v>
      </c>
    </row>
    <row r="123" spans="1:31" outlineLevel="2" x14ac:dyDescent="0.25">
      <c r="A123" s="182" t="s">
        <v>975</v>
      </c>
      <c r="B123" s="193" t="s">
        <v>882</v>
      </c>
      <c r="C123" s="135" t="s">
        <v>514</v>
      </c>
      <c r="D123" s="183">
        <f ca="1">-SUMIFS(
  desp.m.ik[valor],
  desp.m.ik[centro.negocio], $B123,
  desp.m.ik[mes], "&gt;="&amp;D$1,
  desp.m.ik[mes], "&lt;"&amp;EOMONTH(D$1,0)+1
)</f>
        <v>0</v>
      </c>
      <c r="E123" s="183">
        <f ca="1">-SUMIFS(
  desp.m.ik[valor],
  desp.m.ik[centro.negocio], $B123,
  desp.m.ik[mes], "&gt;="&amp;E$1,
  desp.m.ik[mes], "&lt;"&amp;EOMONTH(E$1,0)+1
)</f>
        <v>0</v>
      </c>
      <c r="F123" s="183">
        <f ca="1">-SUMIFS(
  desp.m.ik[valor],
  desp.m.ik[centro.negocio], $B123,
  desp.m.ik[mes], "&gt;="&amp;F$1,
  desp.m.ik[mes], "&lt;"&amp;EOMONTH(F$1,0)+1
)</f>
        <v>0</v>
      </c>
      <c r="G123" s="183">
        <f ca="1">-SUMIFS(
  desp.m.ik[valor],
  desp.m.ik[centro.negocio], $B123,
  desp.m.ik[mes], "&gt;="&amp;G$1,
  desp.m.ik[mes], "&lt;"&amp;EOMONTH(G$1,0)+1
)</f>
        <v>0</v>
      </c>
      <c r="H123" s="183">
        <f ca="1">-SUMIFS(
  desp.m.ik[valor],
  desp.m.ik[centro.negocio], $B123,
  desp.m.ik[mes], "&gt;="&amp;H$1,
  desp.m.ik[mes], "&lt;"&amp;EOMONTH(H$1,0)+1
)</f>
        <v>0</v>
      </c>
      <c r="I123" s="183">
        <f ca="1">-SUMIFS(
  desp.m.ik[valor],
  desp.m.ik[centro.negocio], $B123,
  desp.m.ik[mes], "&gt;="&amp;I$1,
  desp.m.ik[mes], "&lt;"&amp;EOMONTH(I$1,0)+1
)</f>
        <v>0</v>
      </c>
      <c r="J123" s="183">
        <f ca="1">-SUMIFS(
  desp.m.ik[valor],
  desp.m.ik[centro.negocio], $B123,
  desp.m.ik[mes], "&gt;="&amp;J$1,
  desp.m.ik[mes], "&lt;"&amp;EOMONTH(J$1,0)+1
)</f>
        <v>0</v>
      </c>
      <c r="K123" s="183">
        <f ca="1">-SUMIFS(
  desp.m.ik[valor],
  desp.m.ik[centro.negocio], $B123,
  desp.m.ik[mes], "&gt;="&amp;K$1,
  desp.m.ik[mes], "&lt;"&amp;EOMONTH(K$1,0)+1
)</f>
        <v>0</v>
      </c>
      <c r="L123" s="183">
        <f ca="1">-SUMIFS(
  desp.m.ik[valor],
  desp.m.ik[centro.negocio], $B123,
  desp.m.ik[mes], "&gt;="&amp;L$1,
  desp.m.ik[mes], "&lt;"&amp;EOMONTH(L$1,0)+1
)</f>
        <v>0</v>
      </c>
      <c r="M123" s="183">
        <f ca="1">-SUMIFS(
  desp.m.ik[valor],
  desp.m.ik[centro.negocio], $B123,
  desp.m.ik[mes], "&gt;="&amp;M$1,
  desp.m.ik[mes], "&lt;"&amp;EOMONTH(M$1,0)+1
)</f>
        <v>0</v>
      </c>
      <c r="N123" s="183">
        <f ca="1">-SUMIFS(
  desp.m.ik[valor],
  desp.m.ik[centro.negocio], $B123,
  desp.m.ik[mes], "&gt;="&amp;N$1,
  desp.m.ik[mes], "&lt;"&amp;EOMONTH(N$1,0)+1
)</f>
        <v>0</v>
      </c>
      <c r="O123" s="183">
        <f ca="1">-SUMIFS(
  desp.m.ik[valor],
  desp.m.ik[centro.negocio], $B123,
  desp.m.ik[mes], "&gt;="&amp;O$1,
  desp.m.ik[mes], "&lt;"&amp;EOMONTH(O$1,0)+1
)</f>
        <v>0</v>
      </c>
      <c r="P123" s="183">
        <f ca="1">-SUMIFS(
  desp.m.ik[valor],
  desp.m.ik[centro.negocio], $B123,
  desp.m.ik[mes], "&gt;="&amp;P$1,
  desp.m.ik[mes], "&lt;"&amp;EOMONTH(P$1,0)+1
)</f>
        <v>0</v>
      </c>
      <c r="Q123" s="183">
        <f ca="1">-SUMIFS(
  desp.m.ik[valor],
  desp.m.ik[centro.negocio], $B123,
  desp.m.ik[mes], "&gt;="&amp;Q$1,
  desp.m.ik[mes], "&lt;"&amp;EOMONTH(Q$1,0)+1
)</f>
        <v>0</v>
      </c>
      <c r="R123" s="183">
        <f ca="1">-SUMIFS(
  desp.m.ik[valor],
  desp.m.ik[centro.negocio], $B123,
  desp.m.ik[mes], "&gt;="&amp;R$1,
  desp.m.ik[mes], "&lt;"&amp;EOMONTH(R$1,0)+1
)</f>
        <v>0</v>
      </c>
      <c r="S123" s="183">
        <f ca="1">-SUMIFS(
  desp.m.ik[valor],
  desp.m.ik[centro.negocio], $B123,
  desp.m.ik[mes], "&gt;="&amp;S$1,
  desp.m.ik[mes], "&lt;"&amp;EOMONTH(S$1,0)+1
)</f>
        <v>0</v>
      </c>
      <c r="T123" s="183">
        <f ca="1">-SUMIFS(
  desp.m.ik[valor],
  desp.m.ik[centro.negocio], $B123,
  desp.m.ik[mes], "&gt;="&amp;T$1,
  desp.m.ik[mes], "&lt;"&amp;EOMONTH(T$1,0)+1
)</f>
        <v>0</v>
      </c>
      <c r="U123" s="183">
        <f ca="1">-SUMIFS(
  desp.m.ik[valor],
  desp.m.ik[centro.negocio], $B123,
  desp.m.ik[mes], "&gt;="&amp;U$1,
  desp.m.ik[mes], "&lt;"&amp;EOMONTH(U$1,0)+1
)</f>
        <v>0</v>
      </c>
      <c r="V123" s="183">
        <f ca="1">-SUMIFS(
  desp.m.ik[valor],
  desp.m.ik[centro.negocio], $B123,
  desp.m.ik[mes], "&gt;="&amp;V$1,
  desp.m.ik[mes], "&lt;"&amp;EOMONTH(V$1,0)+1
)</f>
        <v>0</v>
      </c>
      <c r="W123" s="183">
        <f ca="1">-SUMIFS(
  desp.m.ik[valor],
  desp.m.ik[centro.negocio], $B123,
  desp.m.ik[mes], "&gt;="&amp;W$1,
  desp.m.ik[mes], "&lt;"&amp;EOMONTH(W$1,0)+1
)</f>
        <v>0</v>
      </c>
      <c r="X123" s="183">
        <f ca="1">-SUMIFS(
  desp.m.ik[valor],
  desp.m.ik[centro.negocio], $B123,
  desp.m.ik[mes], "&gt;="&amp;X$1,
  desp.m.ik[mes], "&lt;"&amp;EOMONTH(X$1,0)+1
)</f>
        <v>0</v>
      </c>
      <c r="Y123" s="183">
        <f ca="1">-SUMIFS(
  desp.m.ik[valor],
  desp.m.ik[centro.negocio], $B123,
  desp.m.ik[mes], "&gt;="&amp;Y$1,
  desp.m.ik[mes], "&lt;"&amp;EOMONTH(Y$1,0)+1
)</f>
        <v>0</v>
      </c>
      <c r="Z123" s="183">
        <f ca="1">-SUMIFS(
  desp.m.ik[valor],
  desp.m.ik[centro.negocio], $B123,
  desp.m.ik[mes], "&gt;="&amp;Z$1,
  desp.m.ik[mes], "&lt;"&amp;EOMONTH(Z$1,0)+1
)</f>
        <v>0</v>
      </c>
      <c r="AA123" s="183">
        <f ca="1">-SUMIFS(
  desp.m.ik[valor],
  desp.m.ik[centro.negocio], $B123,
  desp.m.ik[mes], "&gt;="&amp;AA$1,
  desp.m.ik[mes], "&lt;"&amp;EOMONTH(AA$1,0)+1
)</f>
        <v>0</v>
      </c>
      <c r="AC123" s="175">
        <f ca="1">SUM($D123:INDEX($D123:$AA123,1,MATCH(DATE(YEAR(inputs!$A$1),MONTH(inputs!$A$1),1),$D$1:$AA$1,0)))</f>
        <v>0</v>
      </c>
      <c r="AE123" s="175">
        <f t="shared" ca="1" si="28"/>
        <v>0</v>
      </c>
    </row>
    <row r="124" spans="1:31" outlineLevel="2" x14ac:dyDescent="0.25">
      <c r="A124" s="182" t="s">
        <v>975</v>
      </c>
      <c r="B124" s="193" t="s">
        <v>881</v>
      </c>
      <c r="C124" s="135" t="s">
        <v>514</v>
      </c>
      <c r="D124" s="183">
        <f ca="1">-SUMIFS(
  desp.m.ik[valor],
  desp.m.ik[centro.negocio], $B124,
  desp.m.ik[mes], "&gt;="&amp;D$1,
  desp.m.ik[mes], "&lt;"&amp;EOMONTH(D$1,0)+1
)</f>
        <v>0</v>
      </c>
      <c r="E124" s="183">
        <f ca="1">-SUMIFS(
  desp.m.ik[valor],
  desp.m.ik[centro.negocio], $B124,
  desp.m.ik[mes], "&gt;="&amp;E$1,
  desp.m.ik[mes], "&lt;"&amp;EOMONTH(E$1,0)+1
)</f>
        <v>0</v>
      </c>
      <c r="F124" s="183">
        <f ca="1">-SUMIFS(
  desp.m.ik[valor],
  desp.m.ik[centro.negocio], $B124,
  desp.m.ik[mes], "&gt;="&amp;F$1,
  desp.m.ik[mes], "&lt;"&amp;EOMONTH(F$1,0)+1
)</f>
        <v>0</v>
      </c>
      <c r="G124" s="183">
        <f ca="1">-SUMIFS(
  desp.m.ik[valor],
  desp.m.ik[centro.negocio], $B124,
  desp.m.ik[mes], "&gt;="&amp;G$1,
  desp.m.ik[mes], "&lt;"&amp;EOMONTH(G$1,0)+1
)</f>
        <v>0</v>
      </c>
      <c r="H124" s="183">
        <f ca="1">-SUMIFS(
  desp.m.ik[valor],
  desp.m.ik[centro.negocio], $B124,
  desp.m.ik[mes], "&gt;="&amp;H$1,
  desp.m.ik[mes], "&lt;"&amp;EOMONTH(H$1,0)+1
)</f>
        <v>0</v>
      </c>
      <c r="I124" s="183">
        <f ca="1">-SUMIFS(
  desp.m.ik[valor],
  desp.m.ik[centro.negocio], $B124,
  desp.m.ik[mes], "&gt;="&amp;I$1,
  desp.m.ik[mes], "&lt;"&amp;EOMONTH(I$1,0)+1
)</f>
        <v>0</v>
      </c>
      <c r="J124" s="183">
        <f ca="1">-SUMIFS(
  desp.m.ik[valor],
  desp.m.ik[centro.negocio], $B124,
  desp.m.ik[mes], "&gt;="&amp;J$1,
  desp.m.ik[mes], "&lt;"&amp;EOMONTH(J$1,0)+1
)</f>
        <v>0</v>
      </c>
      <c r="K124" s="183">
        <f ca="1">-SUMIFS(
  desp.m.ik[valor],
  desp.m.ik[centro.negocio], $B124,
  desp.m.ik[mes], "&gt;="&amp;K$1,
  desp.m.ik[mes], "&lt;"&amp;EOMONTH(K$1,0)+1
)</f>
        <v>0</v>
      </c>
      <c r="L124" s="183">
        <f ca="1">-SUMIFS(
  desp.m.ik[valor],
  desp.m.ik[centro.negocio], $B124,
  desp.m.ik[mes], "&gt;="&amp;L$1,
  desp.m.ik[mes], "&lt;"&amp;EOMONTH(L$1,0)+1
)</f>
        <v>0</v>
      </c>
      <c r="M124" s="183">
        <f ca="1">-SUMIFS(
  desp.m.ik[valor],
  desp.m.ik[centro.negocio], $B124,
  desp.m.ik[mes], "&gt;="&amp;M$1,
  desp.m.ik[mes], "&lt;"&amp;EOMONTH(M$1,0)+1
)</f>
        <v>0</v>
      </c>
      <c r="N124" s="183">
        <f ca="1">-SUMIFS(
  desp.m.ik[valor],
  desp.m.ik[centro.negocio], $B124,
  desp.m.ik[mes], "&gt;="&amp;N$1,
  desp.m.ik[mes], "&lt;"&amp;EOMONTH(N$1,0)+1
)</f>
        <v>0</v>
      </c>
      <c r="O124" s="183">
        <f ca="1">-SUMIFS(
  desp.m.ik[valor],
  desp.m.ik[centro.negocio], $B124,
  desp.m.ik[mes], "&gt;="&amp;O$1,
  desp.m.ik[mes], "&lt;"&amp;EOMONTH(O$1,0)+1
)</f>
        <v>0</v>
      </c>
      <c r="P124" s="183">
        <f ca="1">-SUMIFS(
  desp.m.ik[valor],
  desp.m.ik[centro.negocio], $B124,
  desp.m.ik[mes], "&gt;="&amp;P$1,
  desp.m.ik[mes], "&lt;"&amp;EOMONTH(P$1,0)+1
)</f>
        <v>0</v>
      </c>
      <c r="Q124" s="183">
        <f ca="1">-SUMIFS(
  desp.m.ik[valor],
  desp.m.ik[centro.negocio], $B124,
  desp.m.ik[mes], "&gt;="&amp;Q$1,
  desp.m.ik[mes], "&lt;"&amp;EOMONTH(Q$1,0)+1
)</f>
        <v>0</v>
      </c>
      <c r="R124" s="183">
        <f ca="1">-SUMIFS(
  desp.m.ik[valor],
  desp.m.ik[centro.negocio], $B124,
  desp.m.ik[mes], "&gt;="&amp;R$1,
  desp.m.ik[mes], "&lt;"&amp;EOMONTH(R$1,0)+1
)</f>
        <v>0</v>
      </c>
      <c r="S124" s="183">
        <f ca="1">-SUMIFS(
  desp.m.ik[valor],
  desp.m.ik[centro.negocio], $B124,
  desp.m.ik[mes], "&gt;="&amp;S$1,
  desp.m.ik[mes], "&lt;"&amp;EOMONTH(S$1,0)+1
)</f>
        <v>0</v>
      </c>
      <c r="T124" s="183">
        <f ca="1">-SUMIFS(
  desp.m.ik[valor],
  desp.m.ik[centro.negocio], $B124,
  desp.m.ik[mes], "&gt;="&amp;T$1,
  desp.m.ik[mes], "&lt;"&amp;EOMONTH(T$1,0)+1
)</f>
        <v>0</v>
      </c>
      <c r="U124" s="183">
        <f ca="1">-SUMIFS(
  desp.m.ik[valor],
  desp.m.ik[centro.negocio], $B124,
  desp.m.ik[mes], "&gt;="&amp;U$1,
  desp.m.ik[mes], "&lt;"&amp;EOMONTH(U$1,0)+1
)</f>
        <v>0</v>
      </c>
      <c r="V124" s="183">
        <f ca="1">-SUMIFS(
  desp.m.ik[valor],
  desp.m.ik[centro.negocio], $B124,
  desp.m.ik[mes], "&gt;="&amp;V$1,
  desp.m.ik[mes], "&lt;"&amp;EOMONTH(V$1,0)+1
)</f>
        <v>0</v>
      </c>
      <c r="W124" s="183">
        <f ca="1">-SUMIFS(
  desp.m.ik[valor],
  desp.m.ik[centro.negocio], $B124,
  desp.m.ik[mes], "&gt;="&amp;W$1,
  desp.m.ik[mes], "&lt;"&amp;EOMONTH(W$1,0)+1
)</f>
        <v>0</v>
      </c>
      <c r="X124" s="183">
        <f ca="1">-SUMIFS(
  desp.m.ik[valor],
  desp.m.ik[centro.negocio], $B124,
  desp.m.ik[mes], "&gt;="&amp;X$1,
  desp.m.ik[mes], "&lt;"&amp;EOMONTH(X$1,0)+1
)</f>
        <v>0</v>
      </c>
      <c r="Y124" s="183">
        <f ca="1">-SUMIFS(
  desp.m.ik[valor],
  desp.m.ik[centro.negocio], $B124,
  desp.m.ik[mes], "&gt;="&amp;Y$1,
  desp.m.ik[mes], "&lt;"&amp;EOMONTH(Y$1,0)+1
)</f>
        <v>0</v>
      </c>
      <c r="Z124" s="183">
        <f ca="1">-SUMIFS(
  desp.m.ik[valor],
  desp.m.ik[centro.negocio], $B124,
  desp.m.ik[mes], "&gt;="&amp;Z$1,
  desp.m.ik[mes], "&lt;"&amp;EOMONTH(Z$1,0)+1
)</f>
        <v>0</v>
      </c>
      <c r="AA124" s="183">
        <f ca="1">-SUMIFS(
  desp.m.ik[valor],
  desp.m.ik[centro.negocio], $B124,
  desp.m.ik[mes], "&gt;="&amp;AA$1,
  desp.m.ik[mes], "&lt;"&amp;EOMONTH(AA$1,0)+1
)</f>
        <v>0</v>
      </c>
      <c r="AC124" s="175">
        <f ca="1">SUM($D124:INDEX($D124:$AA124,1,MATCH(DATE(YEAR(inputs!$A$1),MONTH(inputs!$A$1),1),$D$1:$AA$1,0)))</f>
        <v>0</v>
      </c>
      <c r="AE124" s="175">
        <f t="shared" ref="AE124:AE128" ca="1" si="29">SUM(D124:AA124)</f>
        <v>0</v>
      </c>
    </row>
    <row r="125" spans="1:31" outlineLevel="2" x14ac:dyDescent="0.25">
      <c r="A125" s="182" t="s">
        <v>975</v>
      </c>
      <c r="B125" s="193" t="s">
        <v>883</v>
      </c>
      <c r="C125" s="135" t="s">
        <v>514</v>
      </c>
      <c r="D125" s="183">
        <f ca="1">-SUMIFS(
  desp.m.ik[valor],
  desp.m.ik[centro.negocio], $B125,
  desp.m.ik[mes], "&gt;="&amp;D$1,
  desp.m.ik[mes], "&lt;"&amp;EOMONTH(D$1,0)+1
)</f>
        <v>0</v>
      </c>
      <c r="E125" s="183">
        <f ca="1">-SUMIFS(
  desp.m.ik[valor],
  desp.m.ik[centro.negocio], $B125,
  desp.m.ik[mes], "&gt;="&amp;E$1,
  desp.m.ik[mes], "&lt;"&amp;EOMONTH(E$1,0)+1
)</f>
        <v>0</v>
      </c>
      <c r="F125" s="183">
        <f ca="1">-SUMIFS(
  desp.m.ik[valor],
  desp.m.ik[centro.negocio], $B125,
  desp.m.ik[mes], "&gt;="&amp;F$1,
  desp.m.ik[mes], "&lt;"&amp;EOMONTH(F$1,0)+1
)</f>
        <v>0</v>
      </c>
      <c r="G125" s="183">
        <f ca="1">-SUMIFS(
  desp.m.ik[valor],
  desp.m.ik[centro.negocio], $B125,
  desp.m.ik[mes], "&gt;="&amp;G$1,
  desp.m.ik[mes], "&lt;"&amp;EOMONTH(G$1,0)+1
)</f>
        <v>0</v>
      </c>
      <c r="H125" s="183">
        <f ca="1">-SUMIFS(
  desp.m.ik[valor],
  desp.m.ik[centro.negocio], $B125,
  desp.m.ik[mes], "&gt;="&amp;H$1,
  desp.m.ik[mes], "&lt;"&amp;EOMONTH(H$1,0)+1
)</f>
        <v>0</v>
      </c>
      <c r="I125" s="183">
        <f ca="1">-SUMIFS(
  desp.m.ik[valor],
  desp.m.ik[centro.negocio], $B125,
  desp.m.ik[mes], "&gt;="&amp;I$1,
  desp.m.ik[mes], "&lt;"&amp;EOMONTH(I$1,0)+1
)</f>
        <v>0</v>
      </c>
      <c r="J125" s="183">
        <f ca="1">-SUMIFS(
  desp.m.ik[valor],
  desp.m.ik[centro.negocio], $B125,
  desp.m.ik[mes], "&gt;="&amp;J$1,
  desp.m.ik[mes], "&lt;"&amp;EOMONTH(J$1,0)+1
)</f>
        <v>0</v>
      </c>
      <c r="K125" s="183">
        <f ca="1">-SUMIFS(
  desp.m.ik[valor],
  desp.m.ik[centro.negocio], $B125,
  desp.m.ik[mes], "&gt;="&amp;K$1,
  desp.m.ik[mes], "&lt;"&amp;EOMONTH(K$1,0)+1
)</f>
        <v>0</v>
      </c>
      <c r="L125" s="183">
        <f ca="1">-SUMIFS(
  desp.m.ik[valor],
  desp.m.ik[centro.negocio], $B125,
  desp.m.ik[mes], "&gt;="&amp;L$1,
  desp.m.ik[mes], "&lt;"&amp;EOMONTH(L$1,0)+1
)</f>
        <v>0</v>
      </c>
      <c r="M125" s="183">
        <f ca="1">-SUMIFS(
  desp.m.ik[valor],
  desp.m.ik[centro.negocio], $B125,
  desp.m.ik[mes], "&gt;="&amp;M$1,
  desp.m.ik[mes], "&lt;"&amp;EOMONTH(M$1,0)+1
)</f>
        <v>0</v>
      </c>
      <c r="N125" s="183">
        <f ca="1">-SUMIFS(
  desp.m.ik[valor],
  desp.m.ik[centro.negocio], $B125,
  desp.m.ik[mes], "&gt;="&amp;N$1,
  desp.m.ik[mes], "&lt;"&amp;EOMONTH(N$1,0)+1
)</f>
        <v>0</v>
      </c>
      <c r="O125" s="183">
        <f ca="1">-SUMIFS(
  desp.m.ik[valor],
  desp.m.ik[centro.negocio], $B125,
  desp.m.ik[mes], "&gt;="&amp;O$1,
  desp.m.ik[mes], "&lt;"&amp;EOMONTH(O$1,0)+1
)</f>
        <v>0</v>
      </c>
      <c r="P125" s="183">
        <f ca="1">-SUMIFS(
  desp.m.ik[valor],
  desp.m.ik[centro.negocio], $B125,
  desp.m.ik[mes], "&gt;="&amp;P$1,
  desp.m.ik[mes], "&lt;"&amp;EOMONTH(P$1,0)+1
)</f>
        <v>0</v>
      </c>
      <c r="Q125" s="183">
        <f ca="1">-SUMIFS(
  desp.m.ik[valor],
  desp.m.ik[centro.negocio], $B125,
  desp.m.ik[mes], "&gt;="&amp;Q$1,
  desp.m.ik[mes], "&lt;"&amp;EOMONTH(Q$1,0)+1
)</f>
        <v>0</v>
      </c>
      <c r="R125" s="183">
        <f ca="1">-SUMIFS(
  desp.m.ik[valor],
  desp.m.ik[centro.negocio], $B125,
  desp.m.ik[mes], "&gt;="&amp;R$1,
  desp.m.ik[mes], "&lt;"&amp;EOMONTH(R$1,0)+1
)</f>
        <v>0</v>
      </c>
      <c r="S125" s="183">
        <f ca="1">-SUMIFS(
  desp.m.ik[valor],
  desp.m.ik[centro.negocio], $B125,
  desp.m.ik[mes], "&gt;="&amp;S$1,
  desp.m.ik[mes], "&lt;"&amp;EOMONTH(S$1,0)+1
)</f>
        <v>0</v>
      </c>
      <c r="T125" s="183">
        <f ca="1">-SUMIFS(
  desp.m.ik[valor],
  desp.m.ik[centro.negocio], $B125,
  desp.m.ik[mes], "&gt;="&amp;T$1,
  desp.m.ik[mes], "&lt;"&amp;EOMONTH(T$1,0)+1
)</f>
        <v>0</v>
      </c>
      <c r="U125" s="183">
        <f ca="1">-SUMIFS(
  desp.m.ik[valor],
  desp.m.ik[centro.negocio], $B125,
  desp.m.ik[mes], "&gt;="&amp;U$1,
  desp.m.ik[mes], "&lt;"&amp;EOMONTH(U$1,0)+1
)</f>
        <v>0</v>
      </c>
      <c r="V125" s="183">
        <f ca="1">-SUMIFS(
  desp.m.ik[valor],
  desp.m.ik[centro.negocio], $B125,
  desp.m.ik[mes], "&gt;="&amp;V$1,
  desp.m.ik[mes], "&lt;"&amp;EOMONTH(V$1,0)+1
)</f>
        <v>0</v>
      </c>
      <c r="W125" s="183">
        <f ca="1">-SUMIFS(
  desp.m.ik[valor],
  desp.m.ik[centro.negocio], $B125,
  desp.m.ik[mes], "&gt;="&amp;W$1,
  desp.m.ik[mes], "&lt;"&amp;EOMONTH(W$1,0)+1
)</f>
        <v>0</v>
      </c>
      <c r="X125" s="183">
        <f ca="1">-SUMIFS(
  desp.m.ik[valor],
  desp.m.ik[centro.negocio], $B125,
  desp.m.ik[mes], "&gt;="&amp;X$1,
  desp.m.ik[mes], "&lt;"&amp;EOMONTH(X$1,0)+1
)</f>
        <v>0</v>
      </c>
      <c r="Y125" s="183">
        <f ca="1">-SUMIFS(
  desp.m.ik[valor],
  desp.m.ik[centro.negocio], $B125,
  desp.m.ik[mes], "&gt;="&amp;Y$1,
  desp.m.ik[mes], "&lt;"&amp;EOMONTH(Y$1,0)+1
)</f>
        <v>0</v>
      </c>
      <c r="Z125" s="183">
        <f ca="1">-SUMIFS(
  desp.m.ik[valor],
  desp.m.ik[centro.negocio], $B125,
  desp.m.ik[mes], "&gt;="&amp;Z$1,
  desp.m.ik[mes], "&lt;"&amp;EOMONTH(Z$1,0)+1
)</f>
        <v>0</v>
      </c>
      <c r="AA125" s="183">
        <f ca="1">-SUMIFS(
  desp.m.ik[valor],
  desp.m.ik[centro.negocio], $B125,
  desp.m.ik[mes], "&gt;="&amp;AA$1,
  desp.m.ik[mes], "&lt;"&amp;EOMONTH(AA$1,0)+1
)</f>
        <v>0</v>
      </c>
      <c r="AC125" s="175">
        <f ca="1">SUM($D125:INDEX($D125:$AA125,1,MATCH(DATE(YEAR(inputs!$A$1),MONTH(inputs!$A$1),1),$D$1:$AA$1,0)))</f>
        <v>0</v>
      </c>
      <c r="AE125" s="175">
        <f t="shared" ca="1" si="29"/>
        <v>0</v>
      </c>
    </row>
    <row r="126" spans="1:31" outlineLevel="2" x14ac:dyDescent="0.25">
      <c r="A126" s="182" t="s">
        <v>975</v>
      </c>
      <c r="B126" s="193" t="s">
        <v>885</v>
      </c>
      <c r="C126" s="135" t="s">
        <v>514</v>
      </c>
      <c r="D126" s="183">
        <f ca="1">-SUMIFS(
  desp.m.ik[valor],
  desp.m.ik[centro.negocio], $B126,
  desp.m.ik[mes], "&gt;="&amp;D$1,
  desp.m.ik[mes], "&lt;"&amp;EOMONTH(D$1,0)+1
)</f>
        <v>0</v>
      </c>
      <c r="E126" s="183">
        <f ca="1">-SUMIFS(
  desp.m.ik[valor],
  desp.m.ik[centro.negocio], $B126,
  desp.m.ik[mes], "&gt;="&amp;E$1,
  desp.m.ik[mes], "&lt;"&amp;EOMONTH(E$1,0)+1
)</f>
        <v>0</v>
      </c>
      <c r="F126" s="183">
        <f ca="1">-SUMIFS(
  desp.m.ik[valor],
  desp.m.ik[centro.negocio], $B126,
  desp.m.ik[mes], "&gt;="&amp;F$1,
  desp.m.ik[mes], "&lt;"&amp;EOMONTH(F$1,0)+1
)</f>
        <v>0</v>
      </c>
      <c r="G126" s="183">
        <f ca="1">-SUMIFS(
  desp.m.ik[valor],
  desp.m.ik[centro.negocio], $B126,
  desp.m.ik[mes], "&gt;="&amp;G$1,
  desp.m.ik[mes], "&lt;"&amp;EOMONTH(G$1,0)+1
)</f>
        <v>0</v>
      </c>
      <c r="H126" s="183">
        <f ca="1">-SUMIFS(
  desp.m.ik[valor],
  desp.m.ik[centro.negocio], $B126,
  desp.m.ik[mes], "&gt;="&amp;H$1,
  desp.m.ik[mes], "&lt;"&amp;EOMONTH(H$1,0)+1
)</f>
        <v>0</v>
      </c>
      <c r="I126" s="183">
        <f ca="1">-SUMIFS(
  desp.m.ik[valor],
  desp.m.ik[centro.negocio], $B126,
  desp.m.ik[mes], "&gt;="&amp;I$1,
  desp.m.ik[mes], "&lt;"&amp;EOMONTH(I$1,0)+1
)</f>
        <v>0</v>
      </c>
      <c r="J126" s="183">
        <f ca="1">-SUMIFS(
  desp.m.ik[valor],
  desp.m.ik[centro.negocio], $B126,
  desp.m.ik[mes], "&gt;="&amp;J$1,
  desp.m.ik[mes], "&lt;"&amp;EOMONTH(J$1,0)+1
)</f>
        <v>0</v>
      </c>
      <c r="K126" s="183">
        <f ca="1">-SUMIFS(
  desp.m.ik[valor],
  desp.m.ik[centro.negocio], $B126,
  desp.m.ik[mes], "&gt;="&amp;K$1,
  desp.m.ik[mes], "&lt;"&amp;EOMONTH(K$1,0)+1
)</f>
        <v>0</v>
      </c>
      <c r="L126" s="183">
        <f ca="1">-SUMIFS(
  desp.m.ik[valor],
  desp.m.ik[centro.negocio], $B126,
  desp.m.ik[mes], "&gt;="&amp;L$1,
  desp.m.ik[mes], "&lt;"&amp;EOMONTH(L$1,0)+1
)</f>
        <v>0</v>
      </c>
      <c r="M126" s="183">
        <f ca="1">-SUMIFS(
  desp.m.ik[valor],
  desp.m.ik[centro.negocio], $B126,
  desp.m.ik[mes], "&gt;="&amp;M$1,
  desp.m.ik[mes], "&lt;"&amp;EOMONTH(M$1,0)+1
)</f>
        <v>0</v>
      </c>
      <c r="N126" s="183">
        <f ca="1">-SUMIFS(
  desp.m.ik[valor],
  desp.m.ik[centro.negocio], $B126,
  desp.m.ik[mes], "&gt;="&amp;N$1,
  desp.m.ik[mes], "&lt;"&amp;EOMONTH(N$1,0)+1
)</f>
        <v>0</v>
      </c>
      <c r="O126" s="183">
        <f ca="1">-SUMIFS(
  desp.m.ik[valor],
  desp.m.ik[centro.negocio], $B126,
  desp.m.ik[mes], "&gt;="&amp;O$1,
  desp.m.ik[mes], "&lt;"&amp;EOMONTH(O$1,0)+1
)</f>
        <v>0</v>
      </c>
      <c r="P126" s="183">
        <f ca="1">-SUMIFS(
  desp.m.ik[valor],
  desp.m.ik[centro.negocio], $B126,
  desp.m.ik[mes], "&gt;="&amp;P$1,
  desp.m.ik[mes], "&lt;"&amp;EOMONTH(P$1,0)+1
)</f>
        <v>0</v>
      </c>
      <c r="Q126" s="183">
        <f ca="1">-SUMIFS(
  desp.m.ik[valor],
  desp.m.ik[centro.negocio], $B126,
  desp.m.ik[mes], "&gt;="&amp;Q$1,
  desp.m.ik[mes], "&lt;"&amp;EOMONTH(Q$1,0)+1
)</f>
        <v>0</v>
      </c>
      <c r="R126" s="183">
        <f ca="1">-SUMIFS(
  desp.m.ik[valor],
  desp.m.ik[centro.negocio], $B126,
  desp.m.ik[mes], "&gt;="&amp;R$1,
  desp.m.ik[mes], "&lt;"&amp;EOMONTH(R$1,0)+1
)</f>
        <v>0</v>
      </c>
      <c r="S126" s="183">
        <f ca="1">-SUMIFS(
  desp.m.ik[valor],
  desp.m.ik[centro.negocio], $B126,
  desp.m.ik[mes], "&gt;="&amp;S$1,
  desp.m.ik[mes], "&lt;"&amp;EOMONTH(S$1,0)+1
)</f>
        <v>0</v>
      </c>
      <c r="T126" s="183">
        <f ca="1">-SUMIFS(
  desp.m.ik[valor],
  desp.m.ik[centro.negocio], $B126,
  desp.m.ik[mes], "&gt;="&amp;T$1,
  desp.m.ik[mes], "&lt;"&amp;EOMONTH(T$1,0)+1
)</f>
        <v>0</v>
      </c>
      <c r="U126" s="183">
        <f ca="1">-SUMIFS(
  desp.m.ik[valor],
  desp.m.ik[centro.negocio], $B126,
  desp.m.ik[mes], "&gt;="&amp;U$1,
  desp.m.ik[mes], "&lt;"&amp;EOMONTH(U$1,0)+1
)</f>
        <v>0</v>
      </c>
      <c r="V126" s="183">
        <f ca="1">-SUMIFS(
  desp.m.ik[valor],
  desp.m.ik[centro.negocio], $B126,
  desp.m.ik[mes], "&gt;="&amp;V$1,
  desp.m.ik[mes], "&lt;"&amp;EOMONTH(V$1,0)+1
)</f>
        <v>0</v>
      </c>
      <c r="W126" s="183">
        <f ca="1">-SUMIFS(
  desp.m.ik[valor],
  desp.m.ik[centro.negocio], $B126,
  desp.m.ik[mes], "&gt;="&amp;W$1,
  desp.m.ik[mes], "&lt;"&amp;EOMONTH(W$1,0)+1
)</f>
        <v>0</v>
      </c>
      <c r="X126" s="183">
        <f ca="1">-SUMIFS(
  desp.m.ik[valor],
  desp.m.ik[centro.negocio], $B126,
  desp.m.ik[mes], "&gt;="&amp;X$1,
  desp.m.ik[mes], "&lt;"&amp;EOMONTH(X$1,0)+1
)</f>
        <v>0</v>
      </c>
      <c r="Y126" s="183">
        <f ca="1">-SUMIFS(
  desp.m.ik[valor],
  desp.m.ik[centro.negocio], $B126,
  desp.m.ik[mes], "&gt;="&amp;Y$1,
  desp.m.ik[mes], "&lt;"&amp;EOMONTH(Y$1,0)+1
)</f>
        <v>0</v>
      </c>
      <c r="Z126" s="183">
        <f ca="1">-SUMIFS(
  desp.m.ik[valor],
  desp.m.ik[centro.negocio], $B126,
  desp.m.ik[mes], "&gt;="&amp;Z$1,
  desp.m.ik[mes], "&lt;"&amp;EOMONTH(Z$1,0)+1
)</f>
        <v>0</v>
      </c>
      <c r="AA126" s="183">
        <f ca="1">-SUMIFS(
  desp.m.ik[valor],
  desp.m.ik[centro.negocio], $B126,
  desp.m.ik[mes], "&gt;="&amp;AA$1,
  desp.m.ik[mes], "&lt;"&amp;EOMONTH(AA$1,0)+1
)</f>
        <v>0</v>
      </c>
      <c r="AC126" s="175">
        <f ca="1">SUM($D126:INDEX($D126:$AA126,1,MATCH(DATE(YEAR(inputs!$A$1),MONTH(inputs!$A$1),1),$D$1:$AA$1,0)))</f>
        <v>0</v>
      </c>
      <c r="AE126" s="175">
        <f t="shared" ref="AE126" ca="1" si="30">SUM(D126:AA126)</f>
        <v>0</v>
      </c>
    </row>
    <row r="127" spans="1:31" outlineLevel="2" x14ac:dyDescent="0.25">
      <c r="A127" s="182" t="s">
        <v>975</v>
      </c>
      <c r="B127" s="193" t="s">
        <v>884</v>
      </c>
      <c r="C127" s="135" t="s">
        <v>514</v>
      </c>
      <c r="D127" s="183">
        <f ca="1">-SUMIFS(
  desp.m.ik[valor],
  desp.m.ik[centro.negocio], $B127,
  desp.m.ik[mes], "&gt;="&amp;D$1,
  desp.m.ik[mes], "&lt;"&amp;EOMONTH(D$1,0)+1
)</f>
        <v>0</v>
      </c>
      <c r="E127" s="183">
        <f ca="1">-SUMIFS(
  desp.m.ik[valor],
  desp.m.ik[centro.negocio], $B127,
  desp.m.ik[mes], "&gt;="&amp;E$1,
  desp.m.ik[mes], "&lt;"&amp;EOMONTH(E$1,0)+1
)</f>
        <v>0</v>
      </c>
      <c r="F127" s="183">
        <f ca="1">-SUMIFS(
  desp.m.ik[valor],
  desp.m.ik[centro.negocio], $B127,
  desp.m.ik[mes], "&gt;="&amp;F$1,
  desp.m.ik[mes], "&lt;"&amp;EOMONTH(F$1,0)+1
)</f>
        <v>0</v>
      </c>
      <c r="G127" s="183">
        <f ca="1">-SUMIFS(
  desp.m.ik[valor],
  desp.m.ik[centro.negocio], $B127,
  desp.m.ik[mes], "&gt;="&amp;G$1,
  desp.m.ik[mes], "&lt;"&amp;EOMONTH(G$1,0)+1
)</f>
        <v>0</v>
      </c>
      <c r="H127" s="183">
        <f ca="1">-SUMIFS(
  desp.m.ik[valor],
  desp.m.ik[centro.negocio], $B127,
  desp.m.ik[mes], "&gt;="&amp;H$1,
  desp.m.ik[mes], "&lt;"&amp;EOMONTH(H$1,0)+1
)</f>
        <v>0</v>
      </c>
      <c r="I127" s="183">
        <f ca="1">-SUMIFS(
  desp.m.ik[valor],
  desp.m.ik[centro.negocio], $B127,
  desp.m.ik[mes], "&gt;="&amp;I$1,
  desp.m.ik[mes], "&lt;"&amp;EOMONTH(I$1,0)+1
)</f>
        <v>0</v>
      </c>
      <c r="J127" s="183">
        <f ca="1">-SUMIFS(
  desp.m.ik[valor],
  desp.m.ik[centro.negocio], $B127,
  desp.m.ik[mes], "&gt;="&amp;J$1,
  desp.m.ik[mes], "&lt;"&amp;EOMONTH(J$1,0)+1
)</f>
        <v>0</v>
      </c>
      <c r="K127" s="183">
        <f ca="1">-SUMIFS(
  desp.m.ik[valor],
  desp.m.ik[centro.negocio], $B127,
  desp.m.ik[mes], "&gt;="&amp;K$1,
  desp.m.ik[mes], "&lt;"&amp;EOMONTH(K$1,0)+1
)</f>
        <v>0</v>
      </c>
      <c r="L127" s="183">
        <f ca="1">-SUMIFS(
  desp.m.ik[valor],
  desp.m.ik[centro.negocio], $B127,
  desp.m.ik[mes], "&gt;="&amp;L$1,
  desp.m.ik[mes], "&lt;"&amp;EOMONTH(L$1,0)+1
)</f>
        <v>0</v>
      </c>
      <c r="M127" s="183">
        <f ca="1">-SUMIFS(
  desp.m.ik[valor],
  desp.m.ik[centro.negocio], $B127,
  desp.m.ik[mes], "&gt;="&amp;M$1,
  desp.m.ik[mes], "&lt;"&amp;EOMONTH(M$1,0)+1
)</f>
        <v>0</v>
      </c>
      <c r="N127" s="183">
        <f ca="1">-SUMIFS(
  desp.m.ik[valor],
  desp.m.ik[centro.negocio], $B127,
  desp.m.ik[mes], "&gt;="&amp;N$1,
  desp.m.ik[mes], "&lt;"&amp;EOMONTH(N$1,0)+1
)</f>
        <v>0</v>
      </c>
      <c r="O127" s="183">
        <f ca="1">-SUMIFS(
  desp.m.ik[valor],
  desp.m.ik[centro.negocio], $B127,
  desp.m.ik[mes], "&gt;="&amp;O$1,
  desp.m.ik[mes], "&lt;"&amp;EOMONTH(O$1,0)+1
)</f>
        <v>0</v>
      </c>
      <c r="P127" s="183">
        <f ca="1">-SUMIFS(
  desp.m.ik[valor],
  desp.m.ik[centro.negocio], $B127,
  desp.m.ik[mes], "&gt;="&amp;P$1,
  desp.m.ik[mes], "&lt;"&amp;EOMONTH(P$1,0)+1
)</f>
        <v>0</v>
      </c>
      <c r="Q127" s="183">
        <f ca="1">-SUMIFS(
  desp.m.ik[valor],
  desp.m.ik[centro.negocio], $B127,
  desp.m.ik[mes], "&gt;="&amp;Q$1,
  desp.m.ik[mes], "&lt;"&amp;EOMONTH(Q$1,0)+1
)</f>
        <v>0</v>
      </c>
      <c r="R127" s="183">
        <f ca="1">-SUMIFS(
  desp.m.ik[valor],
  desp.m.ik[centro.negocio], $B127,
  desp.m.ik[mes], "&gt;="&amp;R$1,
  desp.m.ik[mes], "&lt;"&amp;EOMONTH(R$1,0)+1
)</f>
        <v>0</v>
      </c>
      <c r="S127" s="183">
        <f ca="1">-SUMIFS(
  desp.m.ik[valor],
  desp.m.ik[centro.negocio], $B127,
  desp.m.ik[mes], "&gt;="&amp;S$1,
  desp.m.ik[mes], "&lt;"&amp;EOMONTH(S$1,0)+1
)</f>
        <v>0</v>
      </c>
      <c r="T127" s="183">
        <f ca="1">-SUMIFS(
  desp.m.ik[valor],
  desp.m.ik[centro.negocio], $B127,
  desp.m.ik[mes], "&gt;="&amp;T$1,
  desp.m.ik[mes], "&lt;"&amp;EOMONTH(T$1,0)+1
)</f>
        <v>0</v>
      </c>
      <c r="U127" s="183">
        <f ca="1">-SUMIFS(
  desp.m.ik[valor],
  desp.m.ik[centro.negocio], $B127,
  desp.m.ik[mes], "&gt;="&amp;U$1,
  desp.m.ik[mes], "&lt;"&amp;EOMONTH(U$1,0)+1
)</f>
        <v>0</v>
      </c>
      <c r="V127" s="183">
        <f ca="1">-SUMIFS(
  desp.m.ik[valor],
  desp.m.ik[centro.negocio], $B127,
  desp.m.ik[mes], "&gt;="&amp;V$1,
  desp.m.ik[mes], "&lt;"&amp;EOMONTH(V$1,0)+1
)</f>
        <v>0</v>
      </c>
      <c r="W127" s="183">
        <f ca="1">-SUMIFS(
  desp.m.ik[valor],
  desp.m.ik[centro.negocio], $B127,
  desp.m.ik[mes], "&gt;="&amp;W$1,
  desp.m.ik[mes], "&lt;"&amp;EOMONTH(W$1,0)+1
)</f>
        <v>0</v>
      </c>
      <c r="X127" s="183">
        <f ca="1">-SUMIFS(
  desp.m.ik[valor],
  desp.m.ik[centro.negocio], $B127,
  desp.m.ik[mes], "&gt;="&amp;X$1,
  desp.m.ik[mes], "&lt;"&amp;EOMONTH(X$1,0)+1
)</f>
        <v>0</v>
      </c>
      <c r="Y127" s="183">
        <f ca="1">-SUMIFS(
  desp.m.ik[valor],
  desp.m.ik[centro.negocio], $B127,
  desp.m.ik[mes], "&gt;="&amp;Y$1,
  desp.m.ik[mes], "&lt;"&amp;EOMONTH(Y$1,0)+1
)</f>
        <v>0</v>
      </c>
      <c r="Z127" s="183">
        <f ca="1">-SUMIFS(
  desp.m.ik[valor],
  desp.m.ik[centro.negocio], $B127,
  desp.m.ik[mes], "&gt;="&amp;Z$1,
  desp.m.ik[mes], "&lt;"&amp;EOMONTH(Z$1,0)+1
)</f>
        <v>0</v>
      </c>
      <c r="AA127" s="183">
        <f ca="1">-SUMIFS(
  desp.m.ik[valor],
  desp.m.ik[centro.negocio], $B127,
  desp.m.ik[mes], "&gt;="&amp;AA$1,
  desp.m.ik[mes], "&lt;"&amp;EOMONTH(AA$1,0)+1
)</f>
        <v>0</v>
      </c>
      <c r="AC127" s="175">
        <f ca="1">SUM($D127:INDEX($D127:$AA127,1,MATCH(DATE(YEAR(inputs!$A$1),MONTH(inputs!$A$1),1),$D$1:$AA$1,0)))</f>
        <v>0</v>
      </c>
      <c r="AE127" s="175">
        <f t="shared" ca="1" si="29"/>
        <v>0</v>
      </c>
    </row>
    <row r="128" spans="1:31" outlineLevel="2" x14ac:dyDescent="0.25">
      <c r="A128" s="182" t="s">
        <v>975</v>
      </c>
      <c r="B128" s="193" t="s">
        <v>727</v>
      </c>
      <c r="C128" s="135" t="s">
        <v>514</v>
      </c>
      <c r="D128" s="183">
        <f ca="1">-SUMIFS(
  desp.m.ik[valor],
  desp.m.ik[centro.negocio], $B128,
  desp.m.ik[mes], "&gt;="&amp;D$1,
  desp.m.ik[mes], "&lt;"&amp;EOMONTH(D$1,0)+1
)</f>
        <v>0</v>
      </c>
      <c r="E128" s="183">
        <f ca="1">-SUMIFS(
  desp.m.ik[valor],
  desp.m.ik[centro.negocio], $B128,
  desp.m.ik[mes], "&gt;="&amp;E$1,
  desp.m.ik[mes], "&lt;"&amp;EOMONTH(E$1,0)+1
)</f>
        <v>0</v>
      </c>
      <c r="F128" s="183">
        <f ca="1">-SUMIFS(
  desp.m.ik[valor],
  desp.m.ik[centro.negocio], $B128,
  desp.m.ik[mes], "&gt;="&amp;F$1,
  desp.m.ik[mes], "&lt;"&amp;EOMONTH(F$1,0)+1
)</f>
        <v>0</v>
      </c>
      <c r="G128" s="183">
        <f ca="1">-SUMIFS(
  desp.m.ik[valor],
  desp.m.ik[centro.negocio], $B128,
  desp.m.ik[mes], "&gt;="&amp;G$1,
  desp.m.ik[mes], "&lt;"&amp;EOMONTH(G$1,0)+1
)</f>
        <v>0</v>
      </c>
      <c r="H128" s="183">
        <f ca="1">-SUMIFS(
  desp.m.ik[valor],
  desp.m.ik[centro.negocio], $B128,
  desp.m.ik[mes], "&gt;="&amp;H$1,
  desp.m.ik[mes], "&lt;"&amp;EOMONTH(H$1,0)+1
)</f>
        <v>0</v>
      </c>
      <c r="I128" s="183">
        <f ca="1">-SUMIFS(
  desp.m.ik[valor],
  desp.m.ik[centro.negocio], $B128,
  desp.m.ik[mes], "&gt;="&amp;I$1,
  desp.m.ik[mes], "&lt;"&amp;EOMONTH(I$1,0)+1
)</f>
        <v>0</v>
      </c>
      <c r="J128" s="183">
        <f ca="1">-SUMIFS(
  desp.m.ik[valor],
  desp.m.ik[centro.negocio], $B128,
  desp.m.ik[mes], "&gt;="&amp;J$1,
  desp.m.ik[mes], "&lt;"&amp;EOMONTH(J$1,0)+1
)</f>
        <v>0</v>
      </c>
      <c r="K128" s="183">
        <f ca="1">-SUMIFS(
  desp.m.ik[valor],
  desp.m.ik[centro.negocio], $B128,
  desp.m.ik[mes], "&gt;="&amp;K$1,
  desp.m.ik[mes], "&lt;"&amp;EOMONTH(K$1,0)+1
)</f>
        <v>0</v>
      </c>
      <c r="L128" s="183">
        <f ca="1">-SUMIFS(
  desp.m.ik[valor],
  desp.m.ik[centro.negocio], $B128,
  desp.m.ik[mes], "&gt;="&amp;L$1,
  desp.m.ik[mes], "&lt;"&amp;EOMONTH(L$1,0)+1
)</f>
        <v>0</v>
      </c>
      <c r="M128" s="183">
        <f ca="1">-SUMIFS(
  desp.m.ik[valor],
  desp.m.ik[centro.negocio], $B128,
  desp.m.ik[mes], "&gt;="&amp;M$1,
  desp.m.ik[mes], "&lt;"&amp;EOMONTH(M$1,0)+1
)</f>
        <v>0</v>
      </c>
      <c r="N128" s="183">
        <f ca="1">-SUMIFS(
  desp.m.ik[valor],
  desp.m.ik[centro.negocio], $B128,
  desp.m.ik[mes], "&gt;="&amp;N$1,
  desp.m.ik[mes], "&lt;"&amp;EOMONTH(N$1,0)+1
)</f>
        <v>0</v>
      </c>
      <c r="O128" s="183">
        <f ca="1">-SUMIFS(
  desp.m.ik[valor],
  desp.m.ik[centro.negocio], $B128,
  desp.m.ik[mes], "&gt;="&amp;O$1,
  desp.m.ik[mes], "&lt;"&amp;EOMONTH(O$1,0)+1
)</f>
        <v>0</v>
      </c>
      <c r="P128" s="183">
        <f ca="1">-SUMIFS(
  desp.m.ik[valor],
  desp.m.ik[centro.negocio], $B128,
  desp.m.ik[mes], "&gt;="&amp;P$1,
  desp.m.ik[mes], "&lt;"&amp;EOMONTH(P$1,0)+1
)</f>
        <v>0</v>
      </c>
      <c r="Q128" s="183">
        <f ca="1">-SUMIFS(
  desp.m.ik[valor],
  desp.m.ik[centro.negocio], $B128,
  desp.m.ik[mes], "&gt;="&amp;Q$1,
  desp.m.ik[mes], "&lt;"&amp;EOMONTH(Q$1,0)+1
)</f>
        <v>0</v>
      </c>
      <c r="R128" s="183">
        <f ca="1">-SUMIFS(
  desp.m.ik[valor],
  desp.m.ik[centro.negocio], $B128,
  desp.m.ik[mes], "&gt;="&amp;R$1,
  desp.m.ik[mes], "&lt;"&amp;EOMONTH(R$1,0)+1
)</f>
        <v>0</v>
      </c>
      <c r="S128" s="183">
        <f ca="1">-SUMIFS(
  desp.m.ik[valor],
  desp.m.ik[centro.negocio], $B128,
  desp.m.ik[mes], "&gt;="&amp;S$1,
  desp.m.ik[mes], "&lt;"&amp;EOMONTH(S$1,0)+1
)</f>
        <v>0</v>
      </c>
      <c r="T128" s="183">
        <f ca="1">-SUMIFS(
  desp.m.ik[valor],
  desp.m.ik[centro.negocio], $B128,
  desp.m.ik[mes], "&gt;="&amp;T$1,
  desp.m.ik[mes], "&lt;"&amp;EOMONTH(T$1,0)+1
)</f>
        <v>0</v>
      </c>
      <c r="U128" s="183">
        <f ca="1">-SUMIFS(
  desp.m.ik[valor],
  desp.m.ik[centro.negocio], $B128,
  desp.m.ik[mes], "&gt;="&amp;U$1,
  desp.m.ik[mes], "&lt;"&amp;EOMONTH(U$1,0)+1
)</f>
        <v>0</v>
      </c>
      <c r="V128" s="183">
        <f ca="1">-SUMIFS(
  desp.m.ik[valor],
  desp.m.ik[centro.negocio], $B128,
  desp.m.ik[mes], "&gt;="&amp;V$1,
  desp.m.ik[mes], "&lt;"&amp;EOMONTH(V$1,0)+1
)</f>
        <v>0</v>
      </c>
      <c r="W128" s="183">
        <f ca="1">-SUMIFS(
  desp.m.ik[valor],
  desp.m.ik[centro.negocio], $B128,
  desp.m.ik[mes], "&gt;="&amp;W$1,
  desp.m.ik[mes], "&lt;"&amp;EOMONTH(W$1,0)+1
)</f>
        <v>0</v>
      </c>
      <c r="X128" s="183">
        <f ca="1">-SUMIFS(
  desp.m.ik[valor],
  desp.m.ik[centro.negocio], $B128,
  desp.m.ik[mes], "&gt;="&amp;X$1,
  desp.m.ik[mes], "&lt;"&amp;EOMONTH(X$1,0)+1
)</f>
        <v>0</v>
      </c>
      <c r="Y128" s="183">
        <f ca="1">-SUMIFS(
  desp.m.ik[valor],
  desp.m.ik[centro.negocio], $B128,
  desp.m.ik[mes], "&gt;="&amp;Y$1,
  desp.m.ik[mes], "&lt;"&amp;EOMONTH(Y$1,0)+1
)</f>
        <v>0</v>
      </c>
      <c r="Z128" s="183">
        <f ca="1">-SUMIFS(
  desp.m.ik[valor],
  desp.m.ik[centro.negocio], $B128,
  desp.m.ik[mes], "&gt;="&amp;Z$1,
  desp.m.ik[mes], "&lt;"&amp;EOMONTH(Z$1,0)+1
)</f>
        <v>0</v>
      </c>
      <c r="AA128" s="183">
        <f ca="1">-SUMIFS(
  desp.m.ik[valor],
  desp.m.ik[centro.negocio], $B128,
  desp.m.ik[mes], "&gt;="&amp;AA$1,
  desp.m.ik[mes], "&lt;"&amp;EOMONTH(AA$1,0)+1
)</f>
        <v>0</v>
      </c>
      <c r="AC128" s="175">
        <f ca="1">SUM($D128:INDEX($D128:$AA128,1,MATCH(DATE(YEAR(inputs!$A$1),MONTH(inputs!$A$1),1),$D$1:$AA$1,0)))</f>
        <v>0</v>
      </c>
      <c r="AE128" s="175">
        <f t="shared" ca="1" si="29"/>
        <v>0</v>
      </c>
    </row>
    <row r="129" spans="1:31" outlineLevel="1" x14ac:dyDescent="0.25">
      <c r="A129" s="179" t="s">
        <v>567</v>
      </c>
      <c r="B129" s="179" t="s">
        <v>340</v>
      </c>
      <c r="C129" s="180" t="s">
        <v>514</v>
      </c>
      <c r="D129" s="181">
        <f t="shared" ref="D129:AA129" ca="1" si="31">SUM(D$130:D$155)</f>
        <v>0</v>
      </c>
      <c r="E129" s="181">
        <f t="shared" ca="1" si="31"/>
        <v>0</v>
      </c>
      <c r="F129" s="181">
        <f t="shared" ca="1" si="31"/>
        <v>0</v>
      </c>
      <c r="G129" s="181">
        <f t="shared" ca="1" si="31"/>
        <v>0</v>
      </c>
      <c r="H129" s="181">
        <f t="shared" ca="1" si="31"/>
        <v>0</v>
      </c>
      <c r="I129" s="181">
        <f t="shared" ca="1" si="31"/>
        <v>0</v>
      </c>
      <c r="J129" s="181">
        <f t="shared" ca="1" si="31"/>
        <v>0</v>
      </c>
      <c r="K129" s="181">
        <f t="shared" ca="1" si="31"/>
        <v>0</v>
      </c>
      <c r="L129" s="181">
        <f t="shared" ca="1" si="31"/>
        <v>0</v>
      </c>
      <c r="M129" s="181">
        <f t="shared" ca="1" si="31"/>
        <v>0</v>
      </c>
      <c r="N129" s="181">
        <f t="shared" ca="1" si="31"/>
        <v>0</v>
      </c>
      <c r="O129" s="181">
        <f t="shared" ca="1" si="31"/>
        <v>0</v>
      </c>
      <c r="P129" s="181">
        <f t="shared" ca="1" si="31"/>
        <v>0</v>
      </c>
      <c r="Q129" s="181">
        <f t="shared" ca="1" si="31"/>
        <v>0</v>
      </c>
      <c r="R129" s="181">
        <f t="shared" ca="1" si="31"/>
        <v>0</v>
      </c>
      <c r="S129" s="181">
        <f t="shared" ca="1" si="31"/>
        <v>0</v>
      </c>
      <c r="T129" s="181">
        <f t="shared" ca="1" si="31"/>
        <v>0</v>
      </c>
      <c r="U129" s="181">
        <f t="shared" ca="1" si="31"/>
        <v>0</v>
      </c>
      <c r="V129" s="181">
        <f t="shared" ca="1" si="31"/>
        <v>0</v>
      </c>
      <c r="W129" s="181">
        <f t="shared" ca="1" si="31"/>
        <v>0</v>
      </c>
      <c r="X129" s="181">
        <f t="shared" ca="1" si="31"/>
        <v>0</v>
      </c>
      <c r="Y129" s="181">
        <f t="shared" ca="1" si="31"/>
        <v>0</v>
      </c>
      <c r="Z129" s="181">
        <f t="shared" ca="1" si="31"/>
        <v>0</v>
      </c>
      <c r="AA129" s="181">
        <f t="shared" ca="1" si="31"/>
        <v>0</v>
      </c>
      <c r="AC129" s="275">
        <f ca="1">SUM($D129:INDEX($D129:$AA129,1,MATCH(DATE(YEAR(inputs!$A$1),MONTH(inputs!$A$1),1),$D$1:$AA$1,0)))</f>
        <v>0</v>
      </c>
      <c r="AE129" s="275">
        <f t="shared" ca="1" si="23"/>
        <v>0</v>
      </c>
    </row>
    <row r="130" spans="1:31" outlineLevel="2" x14ac:dyDescent="0.25">
      <c r="A130" s="182" t="s">
        <v>976</v>
      </c>
      <c r="B130" s="182" t="s">
        <v>531</v>
      </c>
      <c r="C130" s="135" t="s">
        <v>514</v>
      </c>
      <c r="D130" s="183">
        <f ca="1">-SUMIFS(
  desp.m.ik[valor],
  desp.m.ik[nucleo], $B130,
  desp.m.ik[centro.negocio], $B$129,
  desp.m.ik[mes], "&gt;="&amp;D$1,
  desp.m.ik[mes], "&lt;"&amp;EOMONTH(D$1,0)+1
)</f>
        <v>0</v>
      </c>
      <c r="E130" s="183">
        <f ca="1">-SUMIFS(
  desp.m.ik[valor],
  desp.m.ik[nucleo], $B130,
  desp.m.ik[centro.negocio], $B$129,
  desp.m.ik[mes], "&gt;="&amp;E$1,
  desp.m.ik[mes], "&lt;"&amp;EOMONTH(E$1,0)+1
)</f>
        <v>0</v>
      </c>
      <c r="F130" s="183">
        <f ca="1">-SUMIFS(
  desp.m.ik[valor],
  desp.m.ik[nucleo], $B130,
  desp.m.ik[centro.negocio], $B$129,
  desp.m.ik[mes], "&gt;="&amp;F$1,
  desp.m.ik[mes], "&lt;"&amp;EOMONTH(F$1,0)+1
)</f>
        <v>0</v>
      </c>
      <c r="G130" s="183">
        <f ca="1">-SUMIFS(
  desp.m.ik[valor],
  desp.m.ik[nucleo], $B130,
  desp.m.ik[centro.negocio], $B$129,
  desp.m.ik[mes], "&gt;="&amp;G$1,
  desp.m.ik[mes], "&lt;"&amp;EOMONTH(G$1,0)+1
)</f>
        <v>0</v>
      </c>
      <c r="H130" s="183">
        <f ca="1">-SUMIFS(
  desp.m.ik[valor],
  desp.m.ik[nucleo], $B130,
  desp.m.ik[centro.negocio], $B$129,
  desp.m.ik[mes], "&gt;="&amp;H$1,
  desp.m.ik[mes], "&lt;"&amp;EOMONTH(H$1,0)+1
)</f>
        <v>0</v>
      </c>
      <c r="I130" s="183">
        <f ca="1">-SUMIFS(
  desp.m.ik[valor],
  desp.m.ik[nucleo], $B130,
  desp.m.ik[centro.negocio], $B$129,
  desp.m.ik[mes], "&gt;="&amp;I$1,
  desp.m.ik[mes], "&lt;"&amp;EOMONTH(I$1,0)+1
)</f>
        <v>0</v>
      </c>
      <c r="J130" s="183">
        <f ca="1">-SUMIFS(
  desp.m.ik[valor],
  desp.m.ik[nucleo], $B130,
  desp.m.ik[centro.negocio], $B$129,
  desp.m.ik[mes], "&gt;="&amp;J$1,
  desp.m.ik[mes], "&lt;"&amp;EOMONTH(J$1,0)+1
)</f>
        <v>0</v>
      </c>
      <c r="K130" s="183">
        <f ca="1">-SUMIFS(
  desp.m.ik[valor],
  desp.m.ik[nucleo], $B130,
  desp.m.ik[centro.negocio], $B$129,
  desp.m.ik[mes], "&gt;="&amp;K$1,
  desp.m.ik[mes], "&lt;"&amp;EOMONTH(K$1,0)+1
)</f>
        <v>0</v>
      </c>
      <c r="L130" s="183">
        <f ca="1">-SUMIFS(
  desp.m.ik[valor],
  desp.m.ik[nucleo], $B130,
  desp.m.ik[centro.negocio], $B$129,
  desp.m.ik[mes], "&gt;="&amp;L$1,
  desp.m.ik[mes], "&lt;"&amp;EOMONTH(L$1,0)+1
)</f>
        <v>0</v>
      </c>
      <c r="M130" s="183">
        <f ca="1">-SUMIFS(
  desp.m.ik[valor],
  desp.m.ik[nucleo], $B130,
  desp.m.ik[centro.negocio], $B$129,
  desp.m.ik[mes], "&gt;="&amp;M$1,
  desp.m.ik[mes], "&lt;"&amp;EOMONTH(M$1,0)+1
)</f>
        <v>0</v>
      </c>
      <c r="N130" s="183">
        <f ca="1">-SUMIFS(
  desp.m.ik[valor],
  desp.m.ik[nucleo], $B130,
  desp.m.ik[centro.negocio], $B$129,
  desp.m.ik[mes], "&gt;="&amp;N$1,
  desp.m.ik[mes], "&lt;"&amp;EOMONTH(N$1,0)+1
)</f>
        <v>0</v>
      </c>
      <c r="O130" s="183">
        <f ca="1">-SUMIFS(
  desp.m.ik[valor],
  desp.m.ik[nucleo], $B130,
  desp.m.ik[centro.negocio], $B$129,
  desp.m.ik[mes], "&gt;="&amp;O$1,
  desp.m.ik[mes], "&lt;"&amp;EOMONTH(O$1,0)+1
)</f>
        <v>0</v>
      </c>
      <c r="P130" s="183">
        <f ca="1">-SUMIFS(
  desp.m.ik[valor],
  desp.m.ik[nucleo], $B130,
  desp.m.ik[centro.negocio], $B$129,
  desp.m.ik[mes], "&gt;="&amp;P$1,
  desp.m.ik[mes], "&lt;"&amp;EOMONTH(P$1,0)+1
)</f>
        <v>0</v>
      </c>
      <c r="Q130" s="183">
        <f ca="1">-SUMIFS(
  desp.m.ik[valor],
  desp.m.ik[nucleo], $B130,
  desp.m.ik[centro.negocio], $B$129,
  desp.m.ik[mes], "&gt;="&amp;Q$1,
  desp.m.ik[mes], "&lt;"&amp;EOMONTH(Q$1,0)+1
)</f>
        <v>0</v>
      </c>
      <c r="R130" s="183">
        <f ca="1">-SUMIFS(
  desp.m.ik[valor],
  desp.m.ik[nucleo], $B130,
  desp.m.ik[centro.negocio], $B$129,
  desp.m.ik[mes], "&gt;="&amp;R$1,
  desp.m.ik[mes], "&lt;"&amp;EOMONTH(R$1,0)+1
)</f>
        <v>0</v>
      </c>
      <c r="S130" s="183">
        <f ca="1">-SUMIFS(
  desp.m.ik[valor],
  desp.m.ik[nucleo], $B130,
  desp.m.ik[centro.negocio], $B$129,
  desp.m.ik[mes], "&gt;="&amp;S$1,
  desp.m.ik[mes], "&lt;"&amp;EOMONTH(S$1,0)+1
)</f>
        <v>0</v>
      </c>
      <c r="T130" s="183">
        <f ca="1">-SUMIFS(
  desp.m.ik[valor],
  desp.m.ik[nucleo], $B130,
  desp.m.ik[centro.negocio], $B$129,
  desp.m.ik[mes], "&gt;="&amp;T$1,
  desp.m.ik[mes], "&lt;"&amp;EOMONTH(T$1,0)+1
)</f>
        <v>0</v>
      </c>
      <c r="U130" s="183">
        <f ca="1">-SUMIFS(
  desp.m.ik[valor],
  desp.m.ik[nucleo], $B130,
  desp.m.ik[centro.negocio], $B$129,
  desp.m.ik[mes], "&gt;="&amp;U$1,
  desp.m.ik[mes], "&lt;"&amp;EOMONTH(U$1,0)+1
)</f>
        <v>0</v>
      </c>
      <c r="V130" s="183">
        <f ca="1">-SUMIFS(
  desp.m.ik[valor],
  desp.m.ik[nucleo], $B130,
  desp.m.ik[centro.negocio], $B$129,
  desp.m.ik[mes], "&gt;="&amp;V$1,
  desp.m.ik[mes], "&lt;"&amp;EOMONTH(V$1,0)+1
)</f>
        <v>0</v>
      </c>
      <c r="W130" s="183">
        <f ca="1">-SUMIFS(
  desp.m.ik[valor],
  desp.m.ik[nucleo], $B130,
  desp.m.ik[centro.negocio], $B$129,
  desp.m.ik[mes], "&gt;="&amp;W$1,
  desp.m.ik[mes], "&lt;"&amp;EOMONTH(W$1,0)+1
)</f>
        <v>0</v>
      </c>
      <c r="X130" s="183">
        <f ca="1">-SUMIFS(
  desp.m.ik[valor],
  desp.m.ik[nucleo], $B130,
  desp.m.ik[centro.negocio], $B$129,
  desp.m.ik[mes], "&gt;="&amp;X$1,
  desp.m.ik[mes], "&lt;"&amp;EOMONTH(X$1,0)+1
)</f>
        <v>0</v>
      </c>
      <c r="Y130" s="183">
        <f ca="1">-SUMIFS(
  desp.m.ik[valor],
  desp.m.ik[nucleo], $B130,
  desp.m.ik[centro.negocio], $B$129,
  desp.m.ik[mes], "&gt;="&amp;Y$1,
  desp.m.ik[mes], "&lt;"&amp;EOMONTH(Y$1,0)+1
)</f>
        <v>0</v>
      </c>
      <c r="Z130" s="183">
        <f ca="1">-SUMIFS(
  desp.m.ik[valor],
  desp.m.ik[nucleo], $B130,
  desp.m.ik[centro.negocio], $B$129,
  desp.m.ik[mes], "&gt;="&amp;Z$1,
  desp.m.ik[mes], "&lt;"&amp;EOMONTH(Z$1,0)+1
)</f>
        <v>0</v>
      </c>
      <c r="AA130" s="183">
        <f ca="1">-SUMIFS(
  desp.m.ik[valor],
  desp.m.ik[nucleo], $B130,
  desp.m.ik[centro.negocio], $B$129,
  desp.m.ik[mes], "&gt;="&amp;AA$1,
  desp.m.ik[mes], "&lt;"&amp;EOMONTH(AA$1,0)+1
)</f>
        <v>0</v>
      </c>
      <c r="AC130" s="175">
        <f ca="1">SUM($D130:INDEX($D130:$AA130,1,MATCH(DATE(YEAR(inputs!$A$1),MONTH(inputs!$A$1),1),$D$1:$AA$1,0)))</f>
        <v>0</v>
      </c>
      <c r="AE130" s="175">
        <f t="shared" ca="1" si="23"/>
        <v>0</v>
      </c>
    </row>
    <row r="131" spans="1:31" outlineLevel="2" x14ac:dyDescent="0.25">
      <c r="A131" s="182" t="s">
        <v>977</v>
      </c>
      <c r="B131" s="182" t="s">
        <v>546</v>
      </c>
      <c r="C131" s="135" t="s">
        <v>514</v>
      </c>
      <c r="D131" s="183">
        <f ca="1">-SUMIFS(
  desp.m.ik[valor],
  desp.m.ik[nucleo], $B131,
  desp.m.ik[centro.negocio], $B$129,
  desp.m.ik[mes], "&gt;="&amp;D$1,
  desp.m.ik[mes], "&lt;"&amp;EOMONTH(D$1,0)+1
)</f>
        <v>0</v>
      </c>
      <c r="E131" s="183">
        <f ca="1">-SUMIFS(
  desp.m.ik[valor],
  desp.m.ik[nucleo], $B131,
  desp.m.ik[centro.negocio], $B$129,
  desp.m.ik[mes], "&gt;="&amp;E$1,
  desp.m.ik[mes], "&lt;"&amp;EOMONTH(E$1,0)+1
)</f>
        <v>0</v>
      </c>
      <c r="F131" s="183">
        <f ca="1">-SUMIFS(
  desp.m.ik[valor],
  desp.m.ik[nucleo], $B131,
  desp.m.ik[centro.negocio], $B$129,
  desp.m.ik[mes], "&gt;="&amp;F$1,
  desp.m.ik[mes], "&lt;"&amp;EOMONTH(F$1,0)+1
)</f>
        <v>0</v>
      </c>
      <c r="G131" s="183">
        <f ca="1">-SUMIFS(
  desp.m.ik[valor],
  desp.m.ik[nucleo], $B131,
  desp.m.ik[centro.negocio], $B$129,
  desp.m.ik[mes], "&gt;="&amp;G$1,
  desp.m.ik[mes], "&lt;"&amp;EOMONTH(G$1,0)+1
)</f>
        <v>0</v>
      </c>
      <c r="H131" s="183">
        <f ca="1">-SUMIFS(
  desp.m.ik[valor],
  desp.m.ik[nucleo], $B131,
  desp.m.ik[centro.negocio], $B$129,
  desp.m.ik[mes], "&gt;="&amp;H$1,
  desp.m.ik[mes], "&lt;"&amp;EOMONTH(H$1,0)+1
)</f>
        <v>0</v>
      </c>
      <c r="I131" s="183">
        <f ca="1">-SUMIFS(
  desp.m.ik[valor],
  desp.m.ik[nucleo], $B131,
  desp.m.ik[centro.negocio], $B$129,
  desp.m.ik[mes], "&gt;="&amp;I$1,
  desp.m.ik[mes], "&lt;"&amp;EOMONTH(I$1,0)+1
)</f>
        <v>0</v>
      </c>
      <c r="J131" s="183">
        <f ca="1">-SUMIFS(
  desp.m.ik[valor],
  desp.m.ik[nucleo], $B131,
  desp.m.ik[centro.negocio], $B$129,
  desp.m.ik[mes], "&gt;="&amp;J$1,
  desp.m.ik[mes], "&lt;"&amp;EOMONTH(J$1,0)+1
)</f>
        <v>0</v>
      </c>
      <c r="K131" s="183">
        <f ca="1">-SUMIFS(
  desp.m.ik[valor],
  desp.m.ik[nucleo], $B131,
  desp.m.ik[centro.negocio], $B$129,
  desp.m.ik[mes], "&gt;="&amp;K$1,
  desp.m.ik[mes], "&lt;"&amp;EOMONTH(K$1,0)+1
)</f>
        <v>0</v>
      </c>
      <c r="L131" s="183">
        <f ca="1">-SUMIFS(
  desp.m.ik[valor],
  desp.m.ik[nucleo], $B131,
  desp.m.ik[centro.negocio], $B$129,
  desp.m.ik[mes], "&gt;="&amp;L$1,
  desp.m.ik[mes], "&lt;"&amp;EOMONTH(L$1,0)+1
)</f>
        <v>0</v>
      </c>
      <c r="M131" s="183">
        <f ca="1">-SUMIFS(
  desp.m.ik[valor],
  desp.m.ik[nucleo], $B131,
  desp.m.ik[centro.negocio], $B$129,
  desp.m.ik[mes], "&gt;="&amp;M$1,
  desp.m.ik[mes], "&lt;"&amp;EOMONTH(M$1,0)+1
)</f>
        <v>0</v>
      </c>
      <c r="N131" s="183">
        <f ca="1">-SUMIFS(
  desp.m.ik[valor],
  desp.m.ik[nucleo], $B131,
  desp.m.ik[centro.negocio], $B$129,
  desp.m.ik[mes], "&gt;="&amp;N$1,
  desp.m.ik[mes], "&lt;"&amp;EOMONTH(N$1,0)+1
)</f>
        <v>0</v>
      </c>
      <c r="O131" s="183">
        <f ca="1">-SUMIFS(
  desp.m.ik[valor],
  desp.m.ik[nucleo], $B131,
  desp.m.ik[centro.negocio], $B$129,
  desp.m.ik[mes], "&gt;="&amp;O$1,
  desp.m.ik[mes], "&lt;"&amp;EOMONTH(O$1,0)+1
)</f>
        <v>0</v>
      </c>
      <c r="P131" s="183">
        <f ca="1">-SUMIFS(
  desp.m.ik[valor],
  desp.m.ik[nucleo], $B131,
  desp.m.ik[centro.negocio], $B$129,
  desp.m.ik[mes], "&gt;="&amp;P$1,
  desp.m.ik[mes], "&lt;"&amp;EOMONTH(P$1,0)+1
)</f>
        <v>0</v>
      </c>
      <c r="Q131" s="183">
        <f ca="1">-SUMIFS(
  desp.m.ik[valor],
  desp.m.ik[nucleo], $B131,
  desp.m.ik[centro.negocio], $B$129,
  desp.m.ik[mes], "&gt;="&amp;Q$1,
  desp.m.ik[mes], "&lt;"&amp;EOMONTH(Q$1,0)+1
)</f>
        <v>0</v>
      </c>
      <c r="R131" s="183">
        <f ca="1">-SUMIFS(
  desp.m.ik[valor],
  desp.m.ik[nucleo], $B131,
  desp.m.ik[centro.negocio], $B$129,
  desp.m.ik[mes], "&gt;="&amp;R$1,
  desp.m.ik[mes], "&lt;"&amp;EOMONTH(R$1,0)+1
)</f>
        <v>0</v>
      </c>
      <c r="S131" s="183">
        <f ca="1">-SUMIFS(
  desp.m.ik[valor],
  desp.m.ik[nucleo], $B131,
  desp.m.ik[centro.negocio], $B$129,
  desp.m.ik[mes], "&gt;="&amp;S$1,
  desp.m.ik[mes], "&lt;"&amp;EOMONTH(S$1,0)+1
)</f>
        <v>0</v>
      </c>
      <c r="T131" s="183">
        <f ca="1">-SUMIFS(
  desp.m.ik[valor],
  desp.m.ik[nucleo], $B131,
  desp.m.ik[centro.negocio], $B$129,
  desp.m.ik[mes], "&gt;="&amp;T$1,
  desp.m.ik[mes], "&lt;"&amp;EOMONTH(T$1,0)+1
)</f>
        <v>0</v>
      </c>
      <c r="U131" s="183">
        <f ca="1">-SUMIFS(
  desp.m.ik[valor],
  desp.m.ik[nucleo], $B131,
  desp.m.ik[centro.negocio], $B$129,
  desp.m.ik[mes], "&gt;="&amp;U$1,
  desp.m.ik[mes], "&lt;"&amp;EOMONTH(U$1,0)+1
)</f>
        <v>0</v>
      </c>
      <c r="V131" s="183">
        <f ca="1">-SUMIFS(
  desp.m.ik[valor],
  desp.m.ik[nucleo], $B131,
  desp.m.ik[centro.negocio], $B$129,
  desp.m.ik[mes], "&gt;="&amp;V$1,
  desp.m.ik[mes], "&lt;"&amp;EOMONTH(V$1,0)+1
)</f>
        <v>0</v>
      </c>
      <c r="W131" s="183">
        <f ca="1">-SUMIFS(
  desp.m.ik[valor],
  desp.m.ik[nucleo], $B131,
  desp.m.ik[centro.negocio], $B$129,
  desp.m.ik[mes], "&gt;="&amp;W$1,
  desp.m.ik[mes], "&lt;"&amp;EOMONTH(W$1,0)+1
)</f>
        <v>0</v>
      </c>
      <c r="X131" s="183">
        <f ca="1">-SUMIFS(
  desp.m.ik[valor],
  desp.m.ik[nucleo], $B131,
  desp.m.ik[centro.negocio], $B$129,
  desp.m.ik[mes], "&gt;="&amp;X$1,
  desp.m.ik[mes], "&lt;"&amp;EOMONTH(X$1,0)+1
)</f>
        <v>0</v>
      </c>
      <c r="Y131" s="183">
        <f ca="1">-SUMIFS(
  desp.m.ik[valor],
  desp.m.ik[nucleo], $B131,
  desp.m.ik[centro.negocio], $B$129,
  desp.m.ik[mes], "&gt;="&amp;Y$1,
  desp.m.ik[mes], "&lt;"&amp;EOMONTH(Y$1,0)+1
)</f>
        <v>0</v>
      </c>
      <c r="Z131" s="183">
        <f ca="1">-SUMIFS(
  desp.m.ik[valor],
  desp.m.ik[nucleo], $B131,
  desp.m.ik[centro.negocio], $B$129,
  desp.m.ik[mes], "&gt;="&amp;Z$1,
  desp.m.ik[mes], "&lt;"&amp;EOMONTH(Z$1,0)+1
)</f>
        <v>0</v>
      </c>
      <c r="AA131" s="183">
        <f ca="1">-SUMIFS(
  desp.m.ik[valor],
  desp.m.ik[nucleo], $B131,
  desp.m.ik[centro.negocio], $B$129,
  desp.m.ik[mes], "&gt;="&amp;AA$1,
  desp.m.ik[mes], "&lt;"&amp;EOMONTH(AA$1,0)+1
)</f>
        <v>0</v>
      </c>
      <c r="AC131" s="175">
        <f ca="1">SUM($D131:INDEX($D131:$AA131,1,MATCH(DATE(YEAR(inputs!$A$1),MONTH(inputs!$A$1),1),$D$1:$AA$1,0)))</f>
        <v>0</v>
      </c>
      <c r="AE131" s="175">
        <f t="shared" ca="1" si="23"/>
        <v>0</v>
      </c>
    </row>
    <row r="132" spans="1:31" outlineLevel="2" x14ac:dyDescent="0.25">
      <c r="A132" s="182" t="s">
        <v>978</v>
      </c>
      <c r="B132" s="182" t="s">
        <v>539</v>
      </c>
      <c r="C132" s="135" t="s">
        <v>514</v>
      </c>
      <c r="D132" s="183">
        <f ca="1">-SUMIFS(
  desp.m.ik[valor],
  desp.m.ik[nucleo], $B132,
  desp.m.ik[centro.negocio], $B$129,
  desp.m.ik[mes], "&gt;="&amp;D$1,
  desp.m.ik[mes], "&lt;"&amp;EOMONTH(D$1,0)+1
)</f>
        <v>0</v>
      </c>
      <c r="E132" s="183">
        <f ca="1">-SUMIFS(
  desp.m.ik[valor],
  desp.m.ik[nucleo], $B132,
  desp.m.ik[centro.negocio], $B$129,
  desp.m.ik[mes], "&gt;="&amp;E$1,
  desp.m.ik[mes], "&lt;"&amp;EOMONTH(E$1,0)+1
)</f>
        <v>0</v>
      </c>
      <c r="F132" s="183">
        <f ca="1">-SUMIFS(
  desp.m.ik[valor],
  desp.m.ik[nucleo], $B132,
  desp.m.ik[centro.negocio], $B$129,
  desp.m.ik[mes], "&gt;="&amp;F$1,
  desp.m.ik[mes], "&lt;"&amp;EOMONTH(F$1,0)+1
)</f>
        <v>0</v>
      </c>
      <c r="G132" s="183">
        <f ca="1">-SUMIFS(
  desp.m.ik[valor],
  desp.m.ik[nucleo], $B132,
  desp.m.ik[centro.negocio], $B$129,
  desp.m.ik[mes], "&gt;="&amp;G$1,
  desp.m.ik[mes], "&lt;"&amp;EOMONTH(G$1,0)+1
)</f>
        <v>0</v>
      </c>
      <c r="H132" s="183">
        <f ca="1">-SUMIFS(
  desp.m.ik[valor],
  desp.m.ik[nucleo], $B132,
  desp.m.ik[centro.negocio], $B$129,
  desp.m.ik[mes], "&gt;="&amp;H$1,
  desp.m.ik[mes], "&lt;"&amp;EOMONTH(H$1,0)+1
)</f>
        <v>0</v>
      </c>
      <c r="I132" s="183">
        <f ca="1">-SUMIFS(
  desp.m.ik[valor],
  desp.m.ik[nucleo], $B132,
  desp.m.ik[centro.negocio], $B$129,
  desp.m.ik[mes], "&gt;="&amp;I$1,
  desp.m.ik[mes], "&lt;"&amp;EOMONTH(I$1,0)+1
)</f>
        <v>0</v>
      </c>
      <c r="J132" s="183">
        <f ca="1">-SUMIFS(
  desp.m.ik[valor],
  desp.m.ik[nucleo], $B132,
  desp.m.ik[centro.negocio], $B$129,
  desp.m.ik[mes], "&gt;="&amp;J$1,
  desp.m.ik[mes], "&lt;"&amp;EOMONTH(J$1,0)+1
)</f>
        <v>0</v>
      </c>
      <c r="K132" s="183">
        <f ca="1">-SUMIFS(
  desp.m.ik[valor],
  desp.m.ik[nucleo], $B132,
  desp.m.ik[centro.negocio], $B$129,
  desp.m.ik[mes], "&gt;="&amp;K$1,
  desp.m.ik[mes], "&lt;"&amp;EOMONTH(K$1,0)+1
)</f>
        <v>0</v>
      </c>
      <c r="L132" s="183">
        <f ca="1">-SUMIFS(
  desp.m.ik[valor],
  desp.m.ik[nucleo], $B132,
  desp.m.ik[centro.negocio], $B$129,
  desp.m.ik[mes], "&gt;="&amp;L$1,
  desp.m.ik[mes], "&lt;"&amp;EOMONTH(L$1,0)+1
)</f>
        <v>0</v>
      </c>
      <c r="M132" s="183">
        <f ca="1">-SUMIFS(
  desp.m.ik[valor],
  desp.m.ik[nucleo], $B132,
  desp.m.ik[centro.negocio], $B$129,
  desp.m.ik[mes], "&gt;="&amp;M$1,
  desp.m.ik[mes], "&lt;"&amp;EOMONTH(M$1,0)+1
)</f>
        <v>0</v>
      </c>
      <c r="N132" s="183">
        <f ca="1">-SUMIFS(
  desp.m.ik[valor],
  desp.m.ik[nucleo], $B132,
  desp.m.ik[centro.negocio], $B$129,
  desp.m.ik[mes], "&gt;="&amp;N$1,
  desp.m.ik[mes], "&lt;"&amp;EOMONTH(N$1,0)+1
)</f>
        <v>0</v>
      </c>
      <c r="O132" s="183">
        <f ca="1">-SUMIFS(
  desp.m.ik[valor],
  desp.m.ik[nucleo], $B132,
  desp.m.ik[centro.negocio], $B$129,
  desp.m.ik[mes], "&gt;="&amp;O$1,
  desp.m.ik[mes], "&lt;"&amp;EOMONTH(O$1,0)+1
)</f>
        <v>0</v>
      </c>
      <c r="P132" s="183">
        <f ca="1">-SUMIFS(
  desp.m.ik[valor],
  desp.m.ik[nucleo], $B132,
  desp.m.ik[centro.negocio], $B$129,
  desp.m.ik[mes], "&gt;="&amp;P$1,
  desp.m.ik[mes], "&lt;"&amp;EOMONTH(P$1,0)+1
)</f>
        <v>0</v>
      </c>
      <c r="Q132" s="183">
        <f ca="1">-SUMIFS(
  desp.m.ik[valor],
  desp.m.ik[nucleo], $B132,
  desp.m.ik[centro.negocio], $B$129,
  desp.m.ik[mes], "&gt;="&amp;Q$1,
  desp.m.ik[mes], "&lt;"&amp;EOMONTH(Q$1,0)+1
)</f>
        <v>0</v>
      </c>
      <c r="R132" s="183">
        <f ca="1">-SUMIFS(
  desp.m.ik[valor],
  desp.m.ik[nucleo], $B132,
  desp.m.ik[centro.negocio], $B$129,
  desp.m.ik[mes], "&gt;="&amp;R$1,
  desp.m.ik[mes], "&lt;"&amp;EOMONTH(R$1,0)+1
)</f>
        <v>0</v>
      </c>
      <c r="S132" s="183">
        <f ca="1">-SUMIFS(
  desp.m.ik[valor],
  desp.m.ik[nucleo], $B132,
  desp.m.ik[centro.negocio], $B$129,
  desp.m.ik[mes], "&gt;="&amp;S$1,
  desp.m.ik[mes], "&lt;"&amp;EOMONTH(S$1,0)+1
)</f>
        <v>0</v>
      </c>
      <c r="T132" s="183">
        <f ca="1">-SUMIFS(
  desp.m.ik[valor],
  desp.m.ik[nucleo], $B132,
  desp.m.ik[centro.negocio], $B$129,
  desp.m.ik[mes], "&gt;="&amp;T$1,
  desp.m.ik[mes], "&lt;"&amp;EOMONTH(T$1,0)+1
)</f>
        <v>0</v>
      </c>
      <c r="U132" s="183">
        <f ca="1">-SUMIFS(
  desp.m.ik[valor],
  desp.m.ik[nucleo], $B132,
  desp.m.ik[centro.negocio], $B$129,
  desp.m.ik[mes], "&gt;="&amp;U$1,
  desp.m.ik[mes], "&lt;"&amp;EOMONTH(U$1,0)+1
)</f>
        <v>0</v>
      </c>
      <c r="V132" s="183">
        <f ca="1">-SUMIFS(
  desp.m.ik[valor],
  desp.m.ik[nucleo], $B132,
  desp.m.ik[centro.negocio], $B$129,
  desp.m.ik[mes], "&gt;="&amp;V$1,
  desp.m.ik[mes], "&lt;"&amp;EOMONTH(V$1,0)+1
)</f>
        <v>0</v>
      </c>
      <c r="W132" s="183">
        <f ca="1">-SUMIFS(
  desp.m.ik[valor],
  desp.m.ik[nucleo], $B132,
  desp.m.ik[centro.negocio], $B$129,
  desp.m.ik[mes], "&gt;="&amp;W$1,
  desp.m.ik[mes], "&lt;"&amp;EOMONTH(W$1,0)+1
)</f>
        <v>0</v>
      </c>
      <c r="X132" s="183">
        <f ca="1">-SUMIFS(
  desp.m.ik[valor],
  desp.m.ik[nucleo], $B132,
  desp.m.ik[centro.negocio], $B$129,
  desp.m.ik[mes], "&gt;="&amp;X$1,
  desp.m.ik[mes], "&lt;"&amp;EOMONTH(X$1,0)+1
)</f>
        <v>0</v>
      </c>
      <c r="Y132" s="183">
        <f ca="1">-SUMIFS(
  desp.m.ik[valor],
  desp.m.ik[nucleo], $B132,
  desp.m.ik[centro.negocio], $B$129,
  desp.m.ik[mes], "&gt;="&amp;Y$1,
  desp.m.ik[mes], "&lt;"&amp;EOMONTH(Y$1,0)+1
)</f>
        <v>0</v>
      </c>
      <c r="Z132" s="183">
        <f ca="1">-SUMIFS(
  desp.m.ik[valor],
  desp.m.ik[nucleo], $B132,
  desp.m.ik[centro.negocio], $B$129,
  desp.m.ik[mes], "&gt;="&amp;Z$1,
  desp.m.ik[mes], "&lt;"&amp;EOMONTH(Z$1,0)+1
)</f>
        <v>0</v>
      </c>
      <c r="AA132" s="183">
        <f ca="1">-SUMIFS(
  desp.m.ik[valor],
  desp.m.ik[nucleo], $B132,
  desp.m.ik[centro.negocio], $B$129,
  desp.m.ik[mes], "&gt;="&amp;AA$1,
  desp.m.ik[mes], "&lt;"&amp;EOMONTH(AA$1,0)+1
)</f>
        <v>0</v>
      </c>
      <c r="AC132" s="175">
        <f ca="1">SUM($D132:INDEX($D132:$AA132,1,MATCH(DATE(YEAR(inputs!$A$1),MONTH(inputs!$A$1),1),$D$1:$AA$1,0)))</f>
        <v>0</v>
      </c>
      <c r="AE132" s="175">
        <f t="shared" ca="1" si="23"/>
        <v>0</v>
      </c>
    </row>
    <row r="133" spans="1:31" outlineLevel="2" x14ac:dyDescent="0.25">
      <c r="A133" s="182" t="s">
        <v>568</v>
      </c>
      <c r="B133" s="182" t="s">
        <v>537</v>
      </c>
      <c r="C133" s="135" t="s">
        <v>514</v>
      </c>
      <c r="D133" s="183">
        <f ca="1">-SUMIFS(
  desp.m.ik[valor],
  desp.m.ik[nucleo], $B133,
  desp.m.ik[centro.negocio], $B$129,
  desp.m.ik[mes], "&gt;="&amp;D$1,
  desp.m.ik[mes], "&lt;"&amp;EOMONTH(D$1,0)+1
)</f>
        <v>0</v>
      </c>
      <c r="E133" s="183">
        <f ca="1">-SUMIFS(
  desp.m.ik[valor],
  desp.m.ik[nucleo], $B133,
  desp.m.ik[centro.negocio], $B$129,
  desp.m.ik[mes], "&gt;="&amp;E$1,
  desp.m.ik[mes], "&lt;"&amp;EOMONTH(E$1,0)+1
)</f>
        <v>0</v>
      </c>
      <c r="F133" s="183">
        <f ca="1">-SUMIFS(
  desp.m.ik[valor],
  desp.m.ik[nucleo], $B133,
  desp.m.ik[centro.negocio], $B$129,
  desp.m.ik[mes], "&gt;="&amp;F$1,
  desp.m.ik[mes], "&lt;"&amp;EOMONTH(F$1,0)+1
)</f>
        <v>0</v>
      </c>
      <c r="G133" s="183">
        <f ca="1">-SUMIFS(
  desp.m.ik[valor],
  desp.m.ik[nucleo], $B133,
  desp.m.ik[centro.negocio], $B$129,
  desp.m.ik[mes], "&gt;="&amp;G$1,
  desp.m.ik[mes], "&lt;"&amp;EOMONTH(G$1,0)+1
)</f>
        <v>0</v>
      </c>
      <c r="H133" s="183">
        <f ca="1">-SUMIFS(
  desp.m.ik[valor],
  desp.m.ik[nucleo], $B133,
  desp.m.ik[centro.negocio], $B$129,
  desp.m.ik[mes], "&gt;="&amp;H$1,
  desp.m.ik[mes], "&lt;"&amp;EOMONTH(H$1,0)+1
)</f>
        <v>0</v>
      </c>
      <c r="I133" s="183">
        <f ca="1">-SUMIFS(
  desp.m.ik[valor],
  desp.m.ik[nucleo], $B133,
  desp.m.ik[centro.negocio], $B$129,
  desp.m.ik[mes], "&gt;="&amp;I$1,
  desp.m.ik[mes], "&lt;"&amp;EOMONTH(I$1,0)+1
)</f>
        <v>0</v>
      </c>
      <c r="J133" s="183">
        <f ca="1">-SUMIFS(
  desp.m.ik[valor],
  desp.m.ik[nucleo], $B133,
  desp.m.ik[centro.negocio], $B$129,
  desp.m.ik[mes], "&gt;="&amp;J$1,
  desp.m.ik[mes], "&lt;"&amp;EOMONTH(J$1,0)+1
)</f>
        <v>0</v>
      </c>
      <c r="K133" s="183">
        <f ca="1">-SUMIFS(
  desp.m.ik[valor],
  desp.m.ik[nucleo], $B133,
  desp.m.ik[centro.negocio], $B$129,
  desp.m.ik[mes], "&gt;="&amp;K$1,
  desp.m.ik[mes], "&lt;"&amp;EOMONTH(K$1,0)+1
)</f>
        <v>0</v>
      </c>
      <c r="L133" s="183">
        <f ca="1">-SUMIFS(
  desp.m.ik[valor],
  desp.m.ik[nucleo], $B133,
  desp.m.ik[centro.negocio], $B$129,
  desp.m.ik[mes], "&gt;="&amp;L$1,
  desp.m.ik[mes], "&lt;"&amp;EOMONTH(L$1,0)+1
)</f>
        <v>0</v>
      </c>
      <c r="M133" s="183">
        <f ca="1">-SUMIFS(
  desp.m.ik[valor],
  desp.m.ik[nucleo], $B133,
  desp.m.ik[centro.negocio], $B$129,
  desp.m.ik[mes], "&gt;="&amp;M$1,
  desp.m.ik[mes], "&lt;"&amp;EOMONTH(M$1,0)+1
)</f>
        <v>0</v>
      </c>
      <c r="N133" s="183">
        <f ca="1">-SUMIFS(
  desp.m.ik[valor],
  desp.m.ik[nucleo], $B133,
  desp.m.ik[centro.negocio], $B$129,
  desp.m.ik[mes], "&gt;="&amp;N$1,
  desp.m.ik[mes], "&lt;"&amp;EOMONTH(N$1,0)+1
)</f>
        <v>0</v>
      </c>
      <c r="O133" s="183">
        <f ca="1">-SUMIFS(
  desp.m.ik[valor],
  desp.m.ik[nucleo], $B133,
  desp.m.ik[centro.negocio], $B$129,
  desp.m.ik[mes], "&gt;="&amp;O$1,
  desp.m.ik[mes], "&lt;"&amp;EOMONTH(O$1,0)+1
)</f>
        <v>0</v>
      </c>
      <c r="P133" s="183">
        <f ca="1">-SUMIFS(
  desp.m.ik[valor],
  desp.m.ik[nucleo], $B133,
  desp.m.ik[centro.negocio], $B$129,
  desp.m.ik[mes], "&gt;="&amp;P$1,
  desp.m.ik[mes], "&lt;"&amp;EOMONTH(P$1,0)+1
)</f>
        <v>0</v>
      </c>
      <c r="Q133" s="183">
        <f ca="1">-SUMIFS(
  desp.m.ik[valor],
  desp.m.ik[nucleo], $B133,
  desp.m.ik[centro.negocio], $B$129,
  desp.m.ik[mes], "&gt;="&amp;Q$1,
  desp.m.ik[mes], "&lt;"&amp;EOMONTH(Q$1,0)+1
)</f>
        <v>0</v>
      </c>
      <c r="R133" s="183">
        <f ca="1">-SUMIFS(
  desp.m.ik[valor],
  desp.m.ik[nucleo], $B133,
  desp.m.ik[centro.negocio], $B$129,
  desp.m.ik[mes], "&gt;="&amp;R$1,
  desp.m.ik[mes], "&lt;"&amp;EOMONTH(R$1,0)+1
)</f>
        <v>0</v>
      </c>
      <c r="S133" s="183">
        <f ca="1">-SUMIFS(
  desp.m.ik[valor],
  desp.m.ik[nucleo], $B133,
  desp.m.ik[centro.negocio], $B$129,
  desp.m.ik[mes], "&gt;="&amp;S$1,
  desp.m.ik[mes], "&lt;"&amp;EOMONTH(S$1,0)+1
)</f>
        <v>0</v>
      </c>
      <c r="T133" s="183">
        <f ca="1">-SUMIFS(
  desp.m.ik[valor],
  desp.m.ik[nucleo], $B133,
  desp.m.ik[centro.negocio], $B$129,
  desp.m.ik[mes], "&gt;="&amp;T$1,
  desp.m.ik[mes], "&lt;"&amp;EOMONTH(T$1,0)+1
)</f>
        <v>0</v>
      </c>
      <c r="U133" s="183">
        <f ca="1">-SUMIFS(
  desp.m.ik[valor],
  desp.m.ik[nucleo], $B133,
  desp.m.ik[centro.negocio], $B$129,
  desp.m.ik[mes], "&gt;="&amp;U$1,
  desp.m.ik[mes], "&lt;"&amp;EOMONTH(U$1,0)+1
)</f>
        <v>0</v>
      </c>
      <c r="V133" s="183">
        <f ca="1">-SUMIFS(
  desp.m.ik[valor],
  desp.m.ik[nucleo], $B133,
  desp.m.ik[centro.negocio], $B$129,
  desp.m.ik[mes], "&gt;="&amp;V$1,
  desp.m.ik[mes], "&lt;"&amp;EOMONTH(V$1,0)+1
)</f>
        <v>0</v>
      </c>
      <c r="W133" s="183">
        <f ca="1">-SUMIFS(
  desp.m.ik[valor],
  desp.m.ik[nucleo], $B133,
  desp.m.ik[centro.negocio], $B$129,
  desp.m.ik[mes], "&gt;="&amp;W$1,
  desp.m.ik[mes], "&lt;"&amp;EOMONTH(W$1,0)+1
)</f>
        <v>0</v>
      </c>
      <c r="X133" s="183">
        <f ca="1">-SUMIFS(
  desp.m.ik[valor],
  desp.m.ik[nucleo], $B133,
  desp.m.ik[centro.negocio], $B$129,
  desp.m.ik[mes], "&gt;="&amp;X$1,
  desp.m.ik[mes], "&lt;"&amp;EOMONTH(X$1,0)+1
)</f>
        <v>0</v>
      </c>
      <c r="Y133" s="183">
        <f ca="1">-SUMIFS(
  desp.m.ik[valor],
  desp.m.ik[nucleo], $B133,
  desp.m.ik[centro.negocio], $B$129,
  desp.m.ik[mes], "&gt;="&amp;Y$1,
  desp.m.ik[mes], "&lt;"&amp;EOMONTH(Y$1,0)+1
)</f>
        <v>0</v>
      </c>
      <c r="Z133" s="183">
        <f ca="1">-SUMIFS(
  desp.m.ik[valor],
  desp.m.ik[nucleo], $B133,
  desp.m.ik[centro.negocio], $B$129,
  desp.m.ik[mes], "&gt;="&amp;Z$1,
  desp.m.ik[mes], "&lt;"&amp;EOMONTH(Z$1,0)+1
)</f>
        <v>0</v>
      </c>
      <c r="AA133" s="183">
        <f ca="1">-SUMIFS(
  desp.m.ik[valor],
  desp.m.ik[nucleo], $B133,
  desp.m.ik[centro.negocio], $B$129,
  desp.m.ik[mes], "&gt;="&amp;AA$1,
  desp.m.ik[mes], "&lt;"&amp;EOMONTH(AA$1,0)+1
)</f>
        <v>0</v>
      </c>
      <c r="AC133" s="175">
        <f ca="1">SUM($D133:INDEX($D133:$AA133,1,MATCH(DATE(YEAR(inputs!$A$1),MONTH(inputs!$A$1),1),$D$1:$AA$1,0)))</f>
        <v>0</v>
      </c>
      <c r="AE133" s="175">
        <f ca="1">SUM(D133:AA133)</f>
        <v>0</v>
      </c>
    </row>
    <row r="134" spans="1:31" outlineLevel="2" x14ac:dyDescent="0.25">
      <c r="A134" s="182" t="s">
        <v>979</v>
      </c>
      <c r="B134" s="182" t="s">
        <v>541</v>
      </c>
      <c r="C134" s="135" t="s">
        <v>514</v>
      </c>
      <c r="D134" s="183">
        <f ca="1">-SUMIFS(
  desp.m.ik[valor],
  desp.m.ik[nucleo], $B134,
  desp.m.ik[centro.negocio], $B$129,
  desp.m.ik[mes], "&gt;="&amp;D$1,
  desp.m.ik[mes], "&lt;"&amp;EOMONTH(D$1,0)+1
)</f>
        <v>0</v>
      </c>
      <c r="E134" s="183">
        <f ca="1">-SUMIFS(
  desp.m.ik[valor],
  desp.m.ik[nucleo], $B134,
  desp.m.ik[centro.negocio], $B$129,
  desp.m.ik[mes], "&gt;="&amp;E$1,
  desp.m.ik[mes], "&lt;"&amp;EOMONTH(E$1,0)+1
)</f>
        <v>0</v>
      </c>
      <c r="F134" s="183">
        <f ca="1">-SUMIFS(
  desp.m.ik[valor],
  desp.m.ik[nucleo], $B134,
  desp.m.ik[centro.negocio], $B$129,
  desp.m.ik[mes], "&gt;="&amp;F$1,
  desp.m.ik[mes], "&lt;"&amp;EOMONTH(F$1,0)+1
)</f>
        <v>0</v>
      </c>
      <c r="G134" s="183">
        <f ca="1">-SUMIFS(
  desp.m.ik[valor],
  desp.m.ik[nucleo], $B134,
  desp.m.ik[centro.negocio], $B$129,
  desp.m.ik[mes], "&gt;="&amp;G$1,
  desp.m.ik[mes], "&lt;"&amp;EOMONTH(G$1,0)+1
)</f>
        <v>0</v>
      </c>
      <c r="H134" s="183">
        <f ca="1">-SUMIFS(
  desp.m.ik[valor],
  desp.m.ik[nucleo], $B134,
  desp.m.ik[centro.negocio], $B$129,
  desp.m.ik[mes], "&gt;="&amp;H$1,
  desp.m.ik[mes], "&lt;"&amp;EOMONTH(H$1,0)+1
)</f>
        <v>0</v>
      </c>
      <c r="I134" s="183">
        <f ca="1">-SUMIFS(
  desp.m.ik[valor],
  desp.m.ik[nucleo], $B134,
  desp.m.ik[centro.negocio], $B$129,
  desp.m.ik[mes], "&gt;="&amp;I$1,
  desp.m.ik[mes], "&lt;"&amp;EOMONTH(I$1,0)+1
)</f>
        <v>0</v>
      </c>
      <c r="J134" s="183">
        <f ca="1">-SUMIFS(
  desp.m.ik[valor],
  desp.m.ik[nucleo], $B134,
  desp.m.ik[centro.negocio], $B$129,
  desp.m.ik[mes], "&gt;="&amp;J$1,
  desp.m.ik[mes], "&lt;"&amp;EOMONTH(J$1,0)+1
)</f>
        <v>0</v>
      </c>
      <c r="K134" s="183">
        <f ca="1">-SUMIFS(
  desp.m.ik[valor],
  desp.m.ik[nucleo], $B134,
  desp.m.ik[centro.negocio], $B$129,
  desp.m.ik[mes], "&gt;="&amp;K$1,
  desp.m.ik[mes], "&lt;"&amp;EOMONTH(K$1,0)+1
)</f>
        <v>0</v>
      </c>
      <c r="L134" s="183">
        <f ca="1">-SUMIFS(
  desp.m.ik[valor],
  desp.m.ik[nucleo], $B134,
  desp.m.ik[centro.negocio], $B$129,
  desp.m.ik[mes], "&gt;="&amp;L$1,
  desp.m.ik[mes], "&lt;"&amp;EOMONTH(L$1,0)+1
)</f>
        <v>0</v>
      </c>
      <c r="M134" s="183">
        <f ca="1">-SUMIFS(
  desp.m.ik[valor],
  desp.m.ik[nucleo], $B134,
  desp.m.ik[centro.negocio], $B$129,
  desp.m.ik[mes], "&gt;="&amp;M$1,
  desp.m.ik[mes], "&lt;"&amp;EOMONTH(M$1,0)+1
)</f>
        <v>0</v>
      </c>
      <c r="N134" s="183">
        <f ca="1">-SUMIFS(
  desp.m.ik[valor],
  desp.m.ik[nucleo], $B134,
  desp.m.ik[centro.negocio], $B$129,
  desp.m.ik[mes], "&gt;="&amp;N$1,
  desp.m.ik[mes], "&lt;"&amp;EOMONTH(N$1,0)+1
)</f>
        <v>0</v>
      </c>
      <c r="O134" s="183">
        <f ca="1">-SUMIFS(
  desp.m.ik[valor],
  desp.m.ik[nucleo], $B134,
  desp.m.ik[centro.negocio], $B$129,
  desp.m.ik[mes], "&gt;="&amp;O$1,
  desp.m.ik[mes], "&lt;"&amp;EOMONTH(O$1,0)+1
)</f>
        <v>0</v>
      </c>
      <c r="P134" s="183">
        <f ca="1">-SUMIFS(
  desp.m.ik[valor],
  desp.m.ik[nucleo], $B134,
  desp.m.ik[centro.negocio], $B$129,
  desp.m.ik[mes], "&gt;="&amp;P$1,
  desp.m.ik[mes], "&lt;"&amp;EOMONTH(P$1,0)+1
)</f>
        <v>0</v>
      </c>
      <c r="Q134" s="183">
        <f ca="1">-SUMIFS(
  desp.m.ik[valor],
  desp.m.ik[nucleo], $B134,
  desp.m.ik[centro.negocio], $B$129,
  desp.m.ik[mes], "&gt;="&amp;Q$1,
  desp.m.ik[mes], "&lt;"&amp;EOMONTH(Q$1,0)+1
)</f>
        <v>0</v>
      </c>
      <c r="R134" s="183">
        <f ca="1">-SUMIFS(
  desp.m.ik[valor],
  desp.m.ik[nucleo], $B134,
  desp.m.ik[centro.negocio], $B$129,
  desp.m.ik[mes], "&gt;="&amp;R$1,
  desp.m.ik[mes], "&lt;"&amp;EOMONTH(R$1,0)+1
)</f>
        <v>0</v>
      </c>
      <c r="S134" s="183">
        <f ca="1">-SUMIFS(
  desp.m.ik[valor],
  desp.m.ik[nucleo], $B134,
  desp.m.ik[centro.negocio], $B$129,
  desp.m.ik[mes], "&gt;="&amp;S$1,
  desp.m.ik[mes], "&lt;"&amp;EOMONTH(S$1,0)+1
)</f>
        <v>0</v>
      </c>
      <c r="T134" s="183">
        <f ca="1">-SUMIFS(
  desp.m.ik[valor],
  desp.m.ik[nucleo], $B134,
  desp.m.ik[centro.negocio], $B$129,
  desp.m.ik[mes], "&gt;="&amp;T$1,
  desp.m.ik[mes], "&lt;"&amp;EOMONTH(T$1,0)+1
)</f>
        <v>0</v>
      </c>
      <c r="U134" s="183">
        <f ca="1">-SUMIFS(
  desp.m.ik[valor],
  desp.m.ik[nucleo], $B134,
  desp.m.ik[centro.negocio], $B$129,
  desp.m.ik[mes], "&gt;="&amp;U$1,
  desp.m.ik[mes], "&lt;"&amp;EOMONTH(U$1,0)+1
)</f>
        <v>0</v>
      </c>
      <c r="V134" s="183">
        <f ca="1">-SUMIFS(
  desp.m.ik[valor],
  desp.m.ik[nucleo], $B134,
  desp.m.ik[centro.negocio], $B$129,
  desp.m.ik[mes], "&gt;="&amp;V$1,
  desp.m.ik[mes], "&lt;"&amp;EOMONTH(V$1,0)+1
)</f>
        <v>0</v>
      </c>
      <c r="W134" s="183">
        <f ca="1">-SUMIFS(
  desp.m.ik[valor],
  desp.m.ik[nucleo], $B134,
  desp.m.ik[centro.negocio], $B$129,
  desp.m.ik[mes], "&gt;="&amp;W$1,
  desp.m.ik[mes], "&lt;"&amp;EOMONTH(W$1,0)+1
)</f>
        <v>0</v>
      </c>
      <c r="X134" s="183">
        <f ca="1">-SUMIFS(
  desp.m.ik[valor],
  desp.m.ik[nucleo], $B134,
  desp.m.ik[centro.negocio], $B$129,
  desp.m.ik[mes], "&gt;="&amp;X$1,
  desp.m.ik[mes], "&lt;"&amp;EOMONTH(X$1,0)+1
)</f>
        <v>0</v>
      </c>
      <c r="Y134" s="183">
        <f ca="1">-SUMIFS(
  desp.m.ik[valor],
  desp.m.ik[nucleo], $B134,
  desp.m.ik[centro.negocio], $B$129,
  desp.m.ik[mes], "&gt;="&amp;Y$1,
  desp.m.ik[mes], "&lt;"&amp;EOMONTH(Y$1,0)+1
)</f>
        <v>0</v>
      </c>
      <c r="Z134" s="183">
        <f ca="1">-SUMIFS(
  desp.m.ik[valor],
  desp.m.ik[nucleo], $B134,
  desp.m.ik[centro.negocio], $B$129,
  desp.m.ik[mes], "&gt;="&amp;Z$1,
  desp.m.ik[mes], "&lt;"&amp;EOMONTH(Z$1,0)+1
)</f>
        <v>0</v>
      </c>
      <c r="AA134" s="183">
        <f ca="1">-SUMIFS(
  desp.m.ik[valor],
  desp.m.ik[nucleo], $B134,
  desp.m.ik[centro.negocio], $B$129,
  desp.m.ik[mes], "&gt;="&amp;AA$1,
  desp.m.ik[mes], "&lt;"&amp;EOMONTH(AA$1,0)+1
)</f>
        <v>0</v>
      </c>
      <c r="AC134" s="175">
        <f ca="1">SUM($D134:INDEX($D134:$AA134,1,MATCH(DATE(YEAR(inputs!$A$1),MONTH(inputs!$A$1),1),$D$1:$AA$1,0)))</f>
        <v>0</v>
      </c>
      <c r="AE134" s="175">
        <f t="shared" ca="1" si="23"/>
        <v>0</v>
      </c>
    </row>
    <row r="135" spans="1:31" outlineLevel="2" x14ac:dyDescent="0.25">
      <c r="A135" s="182" t="s">
        <v>980</v>
      </c>
      <c r="B135" s="182" t="s">
        <v>704</v>
      </c>
      <c r="C135" s="135" t="s">
        <v>514</v>
      </c>
      <c r="D135" s="183">
        <f ca="1">-SUMIFS(
  desp.m.ik[valor],
  desp.m.ik[nucleo], $B135,
  desp.m.ik[centro.negocio], $B$129,
  desp.m.ik[mes], "&gt;="&amp;D$1,
  desp.m.ik[mes], "&lt;"&amp;EOMONTH(D$1,0)+1
)</f>
        <v>0</v>
      </c>
      <c r="E135" s="183">
        <f ca="1">-SUMIFS(
  desp.m.ik[valor],
  desp.m.ik[nucleo], $B135,
  desp.m.ik[centro.negocio], $B$129,
  desp.m.ik[mes], "&gt;="&amp;E$1,
  desp.m.ik[mes], "&lt;"&amp;EOMONTH(E$1,0)+1
)</f>
        <v>0</v>
      </c>
      <c r="F135" s="183">
        <f ca="1">-SUMIFS(
  desp.m.ik[valor],
  desp.m.ik[nucleo], $B135,
  desp.m.ik[centro.negocio], $B$129,
  desp.m.ik[mes], "&gt;="&amp;F$1,
  desp.m.ik[mes], "&lt;"&amp;EOMONTH(F$1,0)+1
)</f>
        <v>0</v>
      </c>
      <c r="G135" s="183">
        <f ca="1">-SUMIFS(
  desp.m.ik[valor],
  desp.m.ik[nucleo], $B135,
  desp.m.ik[centro.negocio], $B$129,
  desp.m.ik[mes], "&gt;="&amp;G$1,
  desp.m.ik[mes], "&lt;"&amp;EOMONTH(G$1,0)+1
)</f>
        <v>0</v>
      </c>
      <c r="H135" s="183">
        <f ca="1">-SUMIFS(
  desp.m.ik[valor],
  desp.m.ik[nucleo], $B135,
  desp.m.ik[centro.negocio], $B$129,
  desp.m.ik[mes], "&gt;="&amp;H$1,
  desp.m.ik[mes], "&lt;"&amp;EOMONTH(H$1,0)+1
)</f>
        <v>0</v>
      </c>
      <c r="I135" s="183">
        <f ca="1">-SUMIFS(
  desp.m.ik[valor],
  desp.m.ik[nucleo], $B135,
  desp.m.ik[centro.negocio], $B$129,
  desp.m.ik[mes], "&gt;="&amp;I$1,
  desp.m.ik[mes], "&lt;"&amp;EOMONTH(I$1,0)+1
)</f>
        <v>0</v>
      </c>
      <c r="J135" s="183">
        <f ca="1">-SUMIFS(
  desp.m.ik[valor],
  desp.m.ik[nucleo], $B135,
  desp.m.ik[centro.negocio], $B$129,
  desp.m.ik[mes], "&gt;="&amp;J$1,
  desp.m.ik[mes], "&lt;"&amp;EOMONTH(J$1,0)+1
)</f>
        <v>0</v>
      </c>
      <c r="K135" s="183">
        <f ca="1">-SUMIFS(
  desp.m.ik[valor],
  desp.m.ik[nucleo], $B135,
  desp.m.ik[centro.negocio], $B$129,
  desp.m.ik[mes], "&gt;="&amp;K$1,
  desp.m.ik[mes], "&lt;"&amp;EOMONTH(K$1,0)+1
)</f>
        <v>0</v>
      </c>
      <c r="L135" s="183">
        <f ca="1">-SUMIFS(
  desp.m.ik[valor],
  desp.m.ik[nucleo], $B135,
  desp.m.ik[centro.negocio], $B$129,
  desp.m.ik[mes], "&gt;="&amp;L$1,
  desp.m.ik[mes], "&lt;"&amp;EOMONTH(L$1,0)+1
)</f>
        <v>0</v>
      </c>
      <c r="M135" s="183">
        <f ca="1">-SUMIFS(
  desp.m.ik[valor],
  desp.m.ik[nucleo], $B135,
  desp.m.ik[centro.negocio], $B$129,
  desp.m.ik[mes], "&gt;="&amp;M$1,
  desp.m.ik[mes], "&lt;"&amp;EOMONTH(M$1,0)+1
)</f>
        <v>0</v>
      </c>
      <c r="N135" s="183">
        <f ca="1">-SUMIFS(
  desp.m.ik[valor],
  desp.m.ik[nucleo], $B135,
  desp.m.ik[centro.negocio], $B$129,
  desp.m.ik[mes], "&gt;="&amp;N$1,
  desp.m.ik[mes], "&lt;"&amp;EOMONTH(N$1,0)+1
)</f>
        <v>0</v>
      </c>
      <c r="O135" s="183">
        <f ca="1">-SUMIFS(
  desp.m.ik[valor],
  desp.m.ik[nucleo], $B135,
  desp.m.ik[centro.negocio], $B$129,
  desp.m.ik[mes], "&gt;="&amp;O$1,
  desp.m.ik[mes], "&lt;"&amp;EOMONTH(O$1,0)+1
)</f>
        <v>0</v>
      </c>
      <c r="P135" s="183">
        <f ca="1">-SUMIFS(
  desp.m.ik[valor],
  desp.m.ik[nucleo], $B135,
  desp.m.ik[centro.negocio], $B$129,
  desp.m.ik[mes], "&gt;="&amp;P$1,
  desp.m.ik[mes], "&lt;"&amp;EOMONTH(P$1,0)+1
)</f>
        <v>0</v>
      </c>
      <c r="Q135" s="183">
        <f ca="1">-SUMIFS(
  desp.m.ik[valor],
  desp.m.ik[nucleo], $B135,
  desp.m.ik[centro.negocio], $B$129,
  desp.m.ik[mes], "&gt;="&amp;Q$1,
  desp.m.ik[mes], "&lt;"&amp;EOMONTH(Q$1,0)+1
)</f>
        <v>0</v>
      </c>
      <c r="R135" s="183">
        <f ca="1">-SUMIFS(
  desp.m.ik[valor],
  desp.m.ik[nucleo], $B135,
  desp.m.ik[centro.negocio], $B$129,
  desp.m.ik[mes], "&gt;="&amp;R$1,
  desp.m.ik[mes], "&lt;"&amp;EOMONTH(R$1,0)+1
)</f>
        <v>0</v>
      </c>
      <c r="S135" s="183">
        <f ca="1">-SUMIFS(
  desp.m.ik[valor],
  desp.m.ik[nucleo], $B135,
  desp.m.ik[centro.negocio], $B$129,
  desp.m.ik[mes], "&gt;="&amp;S$1,
  desp.m.ik[mes], "&lt;"&amp;EOMONTH(S$1,0)+1
)</f>
        <v>0</v>
      </c>
      <c r="T135" s="183">
        <f ca="1">-SUMIFS(
  desp.m.ik[valor],
  desp.m.ik[nucleo], $B135,
  desp.m.ik[centro.negocio], $B$129,
  desp.m.ik[mes], "&gt;="&amp;T$1,
  desp.m.ik[mes], "&lt;"&amp;EOMONTH(T$1,0)+1
)</f>
        <v>0</v>
      </c>
      <c r="U135" s="183">
        <f ca="1">-SUMIFS(
  desp.m.ik[valor],
  desp.m.ik[nucleo], $B135,
  desp.m.ik[centro.negocio], $B$129,
  desp.m.ik[mes], "&gt;="&amp;U$1,
  desp.m.ik[mes], "&lt;"&amp;EOMONTH(U$1,0)+1
)</f>
        <v>0</v>
      </c>
      <c r="V135" s="183">
        <f ca="1">-SUMIFS(
  desp.m.ik[valor],
  desp.m.ik[nucleo], $B135,
  desp.m.ik[centro.negocio], $B$129,
  desp.m.ik[mes], "&gt;="&amp;V$1,
  desp.m.ik[mes], "&lt;"&amp;EOMONTH(V$1,0)+1
)</f>
        <v>0</v>
      </c>
      <c r="W135" s="183">
        <f ca="1">-SUMIFS(
  desp.m.ik[valor],
  desp.m.ik[nucleo], $B135,
  desp.m.ik[centro.negocio], $B$129,
  desp.m.ik[mes], "&gt;="&amp;W$1,
  desp.m.ik[mes], "&lt;"&amp;EOMONTH(W$1,0)+1
)</f>
        <v>0</v>
      </c>
      <c r="X135" s="183">
        <f ca="1">-SUMIFS(
  desp.m.ik[valor],
  desp.m.ik[nucleo], $B135,
  desp.m.ik[centro.negocio], $B$129,
  desp.m.ik[mes], "&gt;="&amp;X$1,
  desp.m.ik[mes], "&lt;"&amp;EOMONTH(X$1,0)+1
)</f>
        <v>0</v>
      </c>
      <c r="Y135" s="183">
        <f ca="1">-SUMIFS(
  desp.m.ik[valor],
  desp.m.ik[nucleo], $B135,
  desp.m.ik[centro.negocio], $B$129,
  desp.m.ik[mes], "&gt;="&amp;Y$1,
  desp.m.ik[mes], "&lt;"&amp;EOMONTH(Y$1,0)+1
)</f>
        <v>0</v>
      </c>
      <c r="Z135" s="183">
        <f ca="1">-SUMIFS(
  desp.m.ik[valor],
  desp.m.ik[nucleo], $B135,
  desp.m.ik[centro.negocio], $B$129,
  desp.m.ik[mes], "&gt;="&amp;Z$1,
  desp.m.ik[mes], "&lt;"&amp;EOMONTH(Z$1,0)+1
)</f>
        <v>0</v>
      </c>
      <c r="AA135" s="183">
        <f ca="1">-SUMIFS(
  desp.m.ik[valor],
  desp.m.ik[nucleo], $B135,
  desp.m.ik[centro.negocio], $B$129,
  desp.m.ik[mes], "&gt;="&amp;AA$1,
  desp.m.ik[mes], "&lt;"&amp;EOMONTH(AA$1,0)+1
)</f>
        <v>0</v>
      </c>
      <c r="AC135" s="175">
        <f ca="1">SUM($D135:INDEX($D135:$AA135,1,MATCH(DATE(YEAR(inputs!$A$1),MONTH(inputs!$A$1),1),$D$1:$AA$1,0)))</f>
        <v>0</v>
      </c>
      <c r="AE135" s="175">
        <f t="shared" ca="1" si="23"/>
        <v>0</v>
      </c>
    </row>
    <row r="136" spans="1:31" outlineLevel="2" x14ac:dyDescent="0.25">
      <c r="A136" s="182" t="s">
        <v>981</v>
      </c>
      <c r="B136" s="182" t="s">
        <v>535</v>
      </c>
      <c r="C136" s="135" t="s">
        <v>514</v>
      </c>
      <c r="D136" s="183">
        <f ca="1">-SUMIFS(
  desp.m.ik[valor],
  desp.m.ik[nucleo], $B136,
  desp.m.ik[centro.negocio], $B$129,
  desp.m.ik[mes], "&gt;="&amp;D$1,
  desp.m.ik[mes], "&lt;"&amp;EOMONTH(D$1,0)+1
)</f>
        <v>0</v>
      </c>
      <c r="E136" s="183">
        <f ca="1">-SUMIFS(
  desp.m.ik[valor],
  desp.m.ik[nucleo], $B136,
  desp.m.ik[centro.negocio], $B$129,
  desp.m.ik[mes], "&gt;="&amp;E$1,
  desp.m.ik[mes], "&lt;"&amp;EOMONTH(E$1,0)+1
)</f>
        <v>0</v>
      </c>
      <c r="F136" s="183">
        <f ca="1">-SUMIFS(
  desp.m.ik[valor],
  desp.m.ik[nucleo], $B136,
  desp.m.ik[centro.negocio], $B$129,
  desp.m.ik[mes], "&gt;="&amp;F$1,
  desp.m.ik[mes], "&lt;"&amp;EOMONTH(F$1,0)+1
)</f>
        <v>0</v>
      </c>
      <c r="G136" s="183">
        <f ca="1">-SUMIFS(
  desp.m.ik[valor],
  desp.m.ik[nucleo], $B136,
  desp.m.ik[centro.negocio], $B$129,
  desp.m.ik[mes], "&gt;="&amp;G$1,
  desp.m.ik[mes], "&lt;"&amp;EOMONTH(G$1,0)+1
)</f>
        <v>0</v>
      </c>
      <c r="H136" s="183">
        <f ca="1">-SUMIFS(
  desp.m.ik[valor],
  desp.m.ik[nucleo], $B136,
  desp.m.ik[centro.negocio], $B$129,
  desp.m.ik[mes], "&gt;="&amp;H$1,
  desp.m.ik[mes], "&lt;"&amp;EOMONTH(H$1,0)+1
)</f>
        <v>0</v>
      </c>
      <c r="I136" s="183">
        <f ca="1">-SUMIFS(
  desp.m.ik[valor],
  desp.m.ik[nucleo], $B136,
  desp.m.ik[centro.negocio], $B$129,
  desp.m.ik[mes], "&gt;="&amp;I$1,
  desp.m.ik[mes], "&lt;"&amp;EOMONTH(I$1,0)+1
)</f>
        <v>0</v>
      </c>
      <c r="J136" s="183">
        <f ca="1">-SUMIFS(
  desp.m.ik[valor],
  desp.m.ik[nucleo], $B136,
  desp.m.ik[centro.negocio], $B$129,
  desp.m.ik[mes], "&gt;="&amp;J$1,
  desp.m.ik[mes], "&lt;"&amp;EOMONTH(J$1,0)+1
)</f>
        <v>0</v>
      </c>
      <c r="K136" s="183">
        <f ca="1">-SUMIFS(
  desp.m.ik[valor],
  desp.m.ik[nucleo], $B136,
  desp.m.ik[centro.negocio], $B$129,
  desp.m.ik[mes], "&gt;="&amp;K$1,
  desp.m.ik[mes], "&lt;"&amp;EOMONTH(K$1,0)+1
)</f>
        <v>0</v>
      </c>
      <c r="L136" s="183">
        <f ca="1">-SUMIFS(
  desp.m.ik[valor],
  desp.m.ik[nucleo], $B136,
  desp.m.ik[centro.negocio], $B$129,
  desp.m.ik[mes], "&gt;="&amp;L$1,
  desp.m.ik[mes], "&lt;"&amp;EOMONTH(L$1,0)+1
)</f>
        <v>0</v>
      </c>
      <c r="M136" s="183">
        <f ca="1">-SUMIFS(
  desp.m.ik[valor],
  desp.m.ik[nucleo], $B136,
  desp.m.ik[centro.negocio], $B$129,
  desp.m.ik[mes], "&gt;="&amp;M$1,
  desp.m.ik[mes], "&lt;"&amp;EOMONTH(M$1,0)+1
)</f>
        <v>0</v>
      </c>
      <c r="N136" s="183">
        <f ca="1">-SUMIFS(
  desp.m.ik[valor],
  desp.m.ik[nucleo], $B136,
  desp.m.ik[centro.negocio], $B$129,
  desp.m.ik[mes], "&gt;="&amp;N$1,
  desp.m.ik[mes], "&lt;"&amp;EOMONTH(N$1,0)+1
)</f>
        <v>0</v>
      </c>
      <c r="O136" s="183">
        <f ca="1">-SUMIFS(
  desp.m.ik[valor],
  desp.m.ik[nucleo], $B136,
  desp.m.ik[centro.negocio], $B$129,
  desp.m.ik[mes], "&gt;="&amp;O$1,
  desp.m.ik[mes], "&lt;"&amp;EOMONTH(O$1,0)+1
)</f>
        <v>0</v>
      </c>
      <c r="P136" s="183">
        <f ca="1">-SUMIFS(
  desp.m.ik[valor],
  desp.m.ik[nucleo], $B136,
  desp.m.ik[centro.negocio], $B$129,
  desp.m.ik[mes], "&gt;="&amp;P$1,
  desp.m.ik[mes], "&lt;"&amp;EOMONTH(P$1,0)+1
)</f>
        <v>0</v>
      </c>
      <c r="Q136" s="183">
        <f ca="1">-SUMIFS(
  desp.m.ik[valor],
  desp.m.ik[nucleo], $B136,
  desp.m.ik[centro.negocio], $B$129,
  desp.m.ik[mes], "&gt;="&amp;Q$1,
  desp.m.ik[mes], "&lt;"&amp;EOMONTH(Q$1,0)+1
)</f>
        <v>0</v>
      </c>
      <c r="R136" s="183">
        <f ca="1">-SUMIFS(
  desp.m.ik[valor],
  desp.m.ik[nucleo], $B136,
  desp.m.ik[centro.negocio], $B$129,
  desp.m.ik[mes], "&gt;="&amp;R$1,
  desp.m.ik[mes], "&lt;"&amp;EOMONTH(R$1,0)+1
)</f>
        <v>0</v>
      </c>
      <c r="S136" s="183">
        <f ca="1">-SUMIFS(
  desp.m.ik[valor],
  desp.m.ik[nucleo], $B136,
  desp.m.ik[centro.negocio], $B$129,
  desp.m.ik[mes], "&gt;="&amp;S$1,
  desp.m.ik[mes], "&lt;"&amp;EOMONTH(S$1,0)+1
)</f>
        <v>0</v>
      </c>
      <c r="T136" s="183">
        <f ca="1">-SUMIFS(
  desp.m.ik[valor],
  desp.m.ik[nucleo], $B136,
  desp.m.ik[centro.negocio], $B$129,
  desp.m.ik[mes], "&gt;="&amp;T$1,
  desp.m.ik[mes], "&lt;"&amp;EOMONTH(T$1,0)+1
)</f>
        <v>0</v>
      </c>
      <c r="U136" s="183">
        <f ca="1">-SUMIFS(
  desp.m.ik[valor],
  desp.m.ik[nucleo], $B136,
  desp.m.ik[centro.negocio], $B$129,
  desp.m.ik[mes], "&gt;="&amp;U$1,
  desp.m.ik[mes], "&lt;"&amp;EOMONTH(U$1,0)+1
)</f>
        <v>0</v>
      </c>
      <c r="V136" s="183">
        <f ca="1">-SUMIFS(
  desp.m.ik[valor],
  desp.m.ik[nucleo], $B136,
  desp.m.ik[centro.negocio], $B$129,
  desp.m.ik[mes], "&gt;="&amp;V$1,
  desp.m.ik[mes], "&lt;"&amp;EOMONTH(V$1,0)+1
)</f>
        <v>0</v>
      </c>
      <c r="W136" s="183">
        <f ca="1">-SUMIFS(
  desp.m.ik[valor],
  desp.m.ik[nucleo], $B136,
  desp.m.ik[centro.negocio], $B$129,
  desp.m.ik[mes], "&gt;="&amp;W$1,
  desp.m.ik[mes], "&lt;"&amp;EOMONTH(W$1,0)+1
)</f>
        <v>0</v>
      </c>
      <c r="X136" s="183">
        <f ca="1">-SUMIFS(
  desp.m.ik[valor],
  desp.m.ik[nucleo], $B136,
  desp.m.ik[centro.negocio], $B$129,
  desp.m.ik[mes], "&gt;="&amp;X$1,
  desp.m.ik[mes], "&lt;"&amp;EOMONTH(X$1,0)+1
)</f>
        <v>0</v>
      </c>
      <c r="Y136" s="183">
        <f ca="1">-SUMIFS(
  desp.m.ik[valor],
  desp.m.ik[nucleo], $B136,
  desp.m.ik[centro.negocio], $B$129,
  desp.m.ik[mes], "&gt;="&amp;Y$1,
  desp.m.ik[mes], "&lt;"&amp;EOMONTH(Y$1,0)+1
)</f>
        <v>0</v>
      </c>
      <c r="Z136" s="183">
        <f ca="1">-SUMIFS(
  desp.m.ik[valor],
  desp.m.ik[nucleo], $B136,
  desp.m.ik[centro.negocio], $B$129,
  desp.m.ik[mes], "&gt;="&amp;Z$1,
  desp.m.ik[mes], "&lt;"&amp;EOMONTH(Z$1,0)+1
)</f>
        <v>0</v>
      </c>
      <c r="AA136" s="183">
        <f ca="1">-SUMIFS(
  desp.m.ik[valor],
  desp.m.ik[nucleo], $B136,
  desp.m.ik[centro.negocio], $B$129,
  desp.m.ik[mes], "&gt;="&amp;AA$1,
  desp.m.ik[mes], "&lt;"&amp;EOMONTH(AA$1,0)+1
)</f>
        <v>0</v>
      </c>
      <c r="AC136" s="175">
        <f ca="1">SUM($D136:INDEX($D136:$AA136,1,MATCH(DATE(YEAR(inputs!$A$1),MONTH(inputs!$A$1),1),$D$1:$AA$1,0)))</f>
        <v>0</v>
      </c>
      <c r="AE136" s="175">
        <f t="shared" ca="1" si="23"/>
        <v>0</v>
      </c>
    </row>
    <row r="137" spans="1:31" outlineLevel="2" x14ac:dyDescent="0.25">
      <c r="A137" s="182" t="s">
        <v>982</v>
      </c>
      <c r="B137" s="182" t="s">
        <v>544</v>
      </c>
      <c r="C137" s="135" t="s">
        <v>514</v>
      </c>
      <c r="D137" s="183">
        <f ca="1">-SUMIFS(
  desp.m.ik[valor],
  desp.m.ik[nucleo], $B137,
  desp.m.ik[centro.negocio], $B$129,
  desp.m.ik[mes], "&gt;="&amp;D$1,
  desp.m.ik[mes], "&lt;"&amp;EOMONTH(D$1,0)+1
)</f>
        <v>0</v>
      </c>
      <c r="E137" s="183">
        <f ca="1">-SUMIFS(
  desp.m.ik[valor],
  desp.m.ik[nucleo], $B137,
  desp.m.ik[centro.negocio], $B$129,
  desp.m.ik[mes], "&gt;="&amp;E$1,
  desp.m.ik[mes], "&lt;"&amp;EOMONTH(E$1,0)+1
)</f>
        <v>0</v>
      </c>
      <c r="F137" s="183">
        <f ca="1">-SUMIFS(
  desp.m.ik[valor],
  desp.m.ik[nucleo], $B137,
  desp.m.ik[centro.negocio], $B$129,
  desp.m.ik[mes], "&gt;="&amp;F$1,
  desp.m.ik[mes], "&lt;"&amp;EOMONTH(F$1,0)+1
)</f>
        <v>0</v>
      </c>
      <c r="G137" s="183">
        <f ca="1">-SUMIFS(
  desp.m.ik[valor],
  desp.m.ik[nucleo], $B137,
  desp.m.ik[centro.negocio], $B$129,
  desp.m.ik[mes], "&gt;="&amp;G$1,
  desp.m.ik[mes], "&lt;"&amp;EOMONTH(G$1,0)+1
)</f>
        <v>0</v>
      </c>
      <c r="H137" s="183">
        <f ca="1">-SUMIFS(
  desp.m.ik[valor],
  desp.m.ik[nucleo], $B137,
  desp.m.ik[centro.negocio], $B$129,
  desp.m.ik[mes], "&gt;="&amp;H$1,
  desp.m.ik[mes], "&lt;"&amp;EOMONTH(H$1,0)+1
)</f>
        <v>0</v>
      </c>
      <c r="I137" s="183">
        <f ca="1">-SUMIFS(
  desp.m.ik[valor],
  desp.m.ik[nucleo], $B137,
  desp.m.ik[centro.negocio], $B$129,
  desp.m.ik[mes], "&gt;="&amp;I$1,
  desp.m.ik[mes], "&lt;"&amp;EOMONTH(I$1,0)+1
)</f>
        <v>0</v>
      </c>
      <c r="J137" s="183">
        <f ca="1">-SUMIFS(
  desp.m.ik[valor],
  desp.m.ik[nucleo], $B137,
  desp.m.ik[centro.negocio], $B$129,
  desp.m.ik[mes], "&gt;="&amp;J$1,
  desp.m.ik[mes], "&lt;"&amp;EOMONTH(J$1,0)+1
)</f>
        <v>0</v>
      </c>
      <c r="K137" s="183">
        <f ca="1">-SUMIFS(
  desp.m.ik[valor],
  desp.m.ik[nucleo], $B137,
  desp.m.ik[centro.negocio], $B$129,
  desp.m.ik[mes], "&gt;="&amp;K$1,
  desp.m.ik[mes], "&lt;"&amp;EOMONTH(K$1,0)+1
)</f>
        <v>0</v>
      </c>
      <c r="L137" s="183">
        <f ca="1">-SUMIFS(
  desp.m.ik[valor],
  desp.m.ik[nucleo], $B137,
  desp.m.ik[centro.negocio], $B$129,
  desp.m.ik[mes], "&gt;="&amp;L$1,
  desp.m.ik[mes], "&lt;"&amp;EOMONTH(L$1,0)+1
)</f>
        <v>0</v>
      </c>
      <c r="M137" s="183">
        <f ca="1">-SUMIFS(
  desp.m.ik[valor],
  desp.m.ik[nucleo], $B137,
  desp.m.ik[centro.negocio], $B$129,
  desp.m.ik[mes], "&gt;="&amp;M$1,
  desp.m.ik[mes], "&lt;"&amp;EOMONTH(M$1,0)+1
)</f>
        <v>0</v>
      </c>
      <c r="N137" s="183">
        <f ca="1">-SUMIFS(
  desp.m.ik[valor],
  desp.m.ik[nucleo], $B137,
  desp.m.ik[centro.negocio], $B$129,
  desp.m.ik[mes], "&gt;="&amp;N$1,
  desp.m.ik[mes], "&lt;"&amp;EOMONTH(N$1,0)+1
)</f>
        <v>0</v>
      </c>
      <c r="O137" s="183">
        <f ca="1">-SUMIFS(
  desp.m.ik[valor],
  desp.m.ik[nucleo], $B137,
  desp.m.ik[centro.negocio], $B$129,
  desp.m.ik[mes], "&gt;="&amp;O$1,
  desp.m.ik[mes], "&lt;"&amp;EOMONTH(O$1,0)+1
)</f>
        <v>0</v>
      </c>
      <c r="P137" s="183">
        <f ca="1">-SUMIFS(
  desp.m.ik[valor],
  desp.m.ik[nucleo], $B137,
  desp.m.ik[centro.negocio], $B$129,
  desp.m.ik[mes], "&gt;="&amp;P$1,
  desp.m.ik[mes], "&lt;"&amp;EOMONTH(P$1,0)+1
)</f>
        <v>0</v>
      </c>
      <c r="Q137" s="183">
        <f ca="1">-SUMIFS(
  desp.m.ik[valor],
  desp.m.ik[nucleo], $B137,
  desp.m.ik[centro.negocio], $B$129,
  desp.m.ik[mes], "&gt;="&amp;Q$1,
  desp.m.ik[mes], "&lt;"&amp;EOMONTH(Q$1,0)+1
)</f>
        <v>0</v>
      </c>
      <c r="R137" s="183">
        <f ca="1">-SUMIFS(
  desp.m.ik[valor],
  desp.m.ik[nucleo], $B137,
  desp.m.ik[centro.negocio], $B$129,
  desp.m.ik[mes], "&gt;="&amp;R$1,
  desp.m.ik[mes], "&lt;"&amp;EOMONTH(R$1,0)+1
)</f>
        <v>0</v>
      </c>
      <c r="S137" s="183">
        <f ca="1">-SUMIFS(
  desp.m.ik[valor],
  desp.m.ik[nucleo], $B137,
  desp.m.ik[centro.negocio], $B$129,
  desp.m.ik[mes], "&gt;="&amp;S$1,
  desp.m.ik[mes], "&lt;"&amp;EOMONTH(S$1,0)+1
)</f>
        <v>0</v>
      </c>
      <c r="T137" s="183">
        <f ca="1">-SUMIFS(
  desp.m.ik[valor],
  desp.m.ik[nucleo], $B137,
  desp.m.ik[centro.negocio], $B$129,
  desp.m.ik[mes], "&gt;="&amp;T$1,
  desp.m.ik[mes], "&lt;"&amp;EOMONTH(T$1,0)+1
)</f>
        <v>0</v>
      </c>
      <c r="U137" s="183">
        <f ca="1">-SUMIFS(
  desp.m.ik[valor],
  desp.m.ik[nucleo], $B137,
  desp.m.ik[centro.negocio], $B$129,
  desp.m.ik[mes], "&gt;="&amp;U$1,
  desp.m.ik[mes], "&lt;"&amp;EOMONTH(U$1,0)+1
)</f>
        <v>0</v>
      </c>
      <c r="V137" s="183">
        <f ca="1">-SUMIFS(
  desp.m.ik[valor],
  desp.m.ik[nucleo], $B137,
  desp.m.ik[centro.negocio], $B$129,
  desp.m.ik[mes], "&gt;="&amp;V$1,
  desp.m.ik[mes], "&lt;"&amp;EOMONTH(V$1,0)+1
)</f>
        <v>0</v>
      </c>
      <c r="W137" s="183">
        <f ca="1">-SUMIFS(
  desp.m.ik[valor],
  desp.m.ik[nucleo], $B137,
  desp.m.ik[centro.negocio], $B$129,
  desp.m.ik[mes], "&gt;="&amp;W$1,
  desp.m.ik[mes], "&lt;"&amp;EOMONTH(W$1,0)+1
)</f>
        <v>0</v>
      </c>
      <c r="X137" s="183">
        <f ca="1">-SUMIFS(
  desp.m.ik[valor],
  desp.m.ik[nucleo], $B137,
  desp.m.ik[centro.negocio], $B$129,
  desp.m.ik[mes], "&gt;="&amp;X$1,
  desp.m.ik[mes], "&lt;"&amp;EOMONTH(X$1,0)+1
)</f>
        <v>0</v>
      </c>
      <c r="Y137" s="183">
        <f ca="1">-SUMIFS(
  desp.m.ik[valor],
  desp.m.ik[nucleo], $B137,
  desp.m.ik[centro.negocio], $B$129,
  desp.m.ik[mes], "&gt;="&amp;Y$1,
  desp.m.ik[mes], "&lt;"&amp;EOMONTH(Y$1,0)+1
)</f>
        <v>0</v>
      </c>
      <c r="Z137" s="183">
        <f ca="1">-SUMIFS(
  desp.m.ik[valor],
  desp.m.ik[nucleo], $B137,
  desp.m.ik[centro.negocio], $B$129,
  desp.m.ik[mes], "&gt;="&amp;Z$1,
  desp.m.ik[mes], "&lt;"&amp;EOMONTH(Z$1,0)+1
)</f>
        <v>0</v>
      </c>
      <c r="AA137" s="183">
        <f ca="1">-SUMIFS(
  desp.m.ik[valor],
  desp.m.ik[nucleo], $B137,
  desp.m.ik[centro.negocio], $B$129,
  desp.m.ik[mes], "&gt;="&amp;AA$1,
  desp.m.ik[mes], "&lt;"&amp;EOMONTH(AA$1,0)+1
)</f>
        <v>0</v>
      </c>
      <c r="AC137" s="175">
        <f ca="1">SUM($D137:INDEX($D137:$AA137,1,MATCH(DATE(YEAR(inputs!$A$1),MONTH(inputs!$A$1),1),$D$1:$AA$1,0)))</f>
        <v>0</v>
      </c>
      <c r="AE137" s="175">
        <f t="shared" ca="1" si="23"/>
        <v>0</v>
      </c>
    </row>
    <row r="138" spans="1:31" outlineLevel="2" x14ac:dyDescent="0.25">
      <c r="A138" s="182" t="s">
        <v>984</v>
      </c>
      <c r="B138" s="182" t="s">
        <v>557</v>
      </c>
      <c r="C138" s="135" t="s">
        <v>514</v>
      </c>
      <c r="D138" s="183">
        <f ca="1">-SUMIFS(
  desp.m.ik[valor],
  desp.m.ik[nucleo], $B138,
  desp.m.ik[centro.negocio], $B$129,
  desp.m.ik[mes], "&gt;="&amp;D$1,
  desp.m.ik[mes], "&lt;"&amp;EOMONTH(D$1,0)+1
)</f>
        <v>0</v>
      </c>
      <c r="E138" s="183">
        <f ca="1">-SUMIFS(
  desp.m.ik[valor],
  desp.m.ik[nucleo], $B138,
  desp.m.ik[centro.negocio], $B$129,
  desp.m.ik[mes], "&gt;="&amp;E$1,
  desp.m.ik[mes], "&lt;"&amp;EOMONTH(E$1,0)+1
)</f>
        <v>0</v>
      </c>
      <c r="F138" s="183">
        <f ca="1">-SUMIFS(
  desp.m.ik[valor],
  desp.m.ik[nucleo], $B138,
  desp.m.ik[centro.negocio], $B$129,
  desp.m.ik[mes], "&gt;="&amp;F$1,
  desp.m.ik[mes], "&lt;"&amp;EOMONTH(F$1,0)+1
)</f>
        <v>0</v>
      </c>
      <c r="G138" s="183">
        <f ca="1">-SUMIFS(
  desp.m.ik[valor],
  desp.m.ik[nucleo], $B138,
  desp.m.ik[centro.negocio], $B$129,
  desp.m.ik[mes], "&gt;="&amp;G$1,
  desp.m.ik[mes], "&lt;"&amp;EOMONTH(G$1,0)+1
)</f>
        <v>0</v>
      </c>
      <c r="H138" s="183">
        <f ca="1">-SUMIFS(
  desp.m.ik[valor],
  desp.m.ik[nucleo], $B138,
  desp.m.ik[centro.negocio], $B$129,
  desp.m.ik[mes], "&gt;="&amp;H$1,
  desp.m.ik[mes], "&lt;"&amp;EOMONTH(H$1,0)+1
)</f>
        <v>0</v>
      </c>
      <c r="I138" s="183">
        <f ca="1">-SUMIFS(
  desp.m.ik[valor],
  desp.m.ik[nucleo], $B138,
  desp.m.ik[centro.negocio], $B$129,
  desp.m.ik[mes], "&gt;="&amp;I$1,
  desp.m.ik[mes], "&lt;"&amp;EOMONTH(I$1,0)+1
)</f>
        <v>0</v>
      </c>
      <c r="J138" s="183">
        <f ca="1">-SUMIFS(
  desp.m.ik[valor],
  desp.m.ik[nucleo], $B138,
  desp.m.ik[centro.negocio], $B$129,
  desp.m.ik[mes], "&gt;="&amp;J$1,
  desp.m.ik[mes], "&lt;"&amp;EOMONTH(J$1,0)+1
)</f>
        <v>0</v>
      </c>
      <c r="K138" s="183">
        <f ca="1">-SUMIFS(
  desp.m.ik[valor],
  desp.m.ik[nucleo], $B138,
  desp.m.ik[centro.negocio], $B$129,
  desp.m.ik[mes], "&gt;="&amp;K$1,
  desp.m.ik[mes], "&lt;"&amp;EOMONTH(K$1,0)+1
)</f>
        <v>0</v>
      </c>
      <c r="L138" s="183">
        <f ca="1">-SUMIFS(
  desp.m.ik[valor],
  desp.m.ik[nucleo], $B138,
  desp.m.ik[centro.negocio], $B$129,
  desp.m.ik[mes], "&gt;="&amp;L$1,
  desp.m.ik[mes], "&lt;"&amp;EOMONTH(L$1,0)+1
)</f>
        <v>0</v>
      </c>
      <c r="M138" s="183">
        <f ca="1">-SUMIFS(
  desp.m.ik[valor],
  desp.m.ik[nucleo], $B138,
  desp.m.ik[centro.negocio], $B$129,
  desp.m.ik[mes], "&gt;="&amp;M$1,
  desp.m.ik[mes], "&lt;"&amp;EOMONTH(M$1,0)+1
)</f>
        <v>0</v>
      </c>
      <c r="N138" s="183">
        <f ca="1">-SUMIFS(
  desp.m.ik[valor],
  desp.m.ik[nucleo], $B138,
  desp.m.ik[centro.negocio], $B$129,
  desp.m.ik[mes], "&gt;="&amp;N$1,
  desp.m.ik[mes], "&lt;"&amp;EOMONTH(N$1,0)+1
)</f>
        <v>0</v>
      </c>
      <c r="O138" s="183">
        <f ca="1">-SUMIFS(
  desp.m.ik[valor],
  desp.m.ik[nucleo], $B138,
  desp.m.ik[centro.negocio], $B$129,
  desp.m.ik[mes], "&gt;="&amp;O$1,
  desp.m.ik[mes], "&lt;"&amp;EOMONTH(O$1,0)+1
)</f>
        <v>0</v>
      </c>
      <c r="P138" s="183">
        <f ca="1">-SUMIFS(
  desp.m.ik[valor],
  desp.m.ik[nucleo], $B138,
  desp.m.ik[centro.negocio], $B$129,
  desp.m.ik[mes], "&gt;="&amp;P$1,
  desp.m.ik[mes], "&lt;"&amp;EOMONTH(P$1,0)+1
)</f>
        <v>0</v>
      </c>
      <c r="Q138" s="183">
        <f ca="1">-SUMIFS(
  desp.m.ik[valor],
  desp.m.ik[nucleo], $B138,
  desp.m.ik[centro.negocio], $B$129,
  desp.m.ik[mes], "&gt;="&amp;Q$1,
  desp.m.ik[mes], "&lt;"&amp;EOMONTH(Q$1,0)+1
)</f>
        <v>0</v>
      </c>
      <c r="R138" s="183">
        <f ca="1">-SUMIFS(
  desp.m.ik[valor],
  desp.m.ik[nucleo], $B138,
  desp.m.ik[centro.negocio], $B$129,
  desp.m.ik[mes], "&gt;="&amp;R$1,
  desp.m.ik[mes], "&lt;"&amp;EOMONTH(R$1,0)+1
)</f>
        <v>0</v>
      </c>
      <c r="S138" s="183">
        <f ca="1">-SUMIFS(
  desp.m.ik[valor],
  desp.m.ik[nucleo], $B138,
  desp.m.ik[centro.negocio], $B$129,
  desp.m.ik[mes], "&gt;="&amp;S$1,
  desp.m.ik[mes], "&lt;"&amp;EOMONTH(S$1,0)+1
)</f>
        <v>0</v>
      </c>
      <c r="T138" s="183">
        <f ca="1">-SUMIFS(
  desp.m.ik[valor],
  desp.m.ik[nucleo], $B138,
  desp.m.ik[centro.negocio], $B$129,
  desp.m.ik[mes], "&gt;="&amp;T$1,
  desp.m.ik[mes], "&lt;"&amp;EOMONTH(T$1,0)+1
)</f>
        <v>0</v>
      </c>
      <c r="U138" s="183">
        <f ca="1">-SUMIFS(
  desp.m.ik[valor],
  desp.m.ik[nucleo], $B138,
  desp.m.ik[centro.negocio], $B$129,
  desp.m.ik[mes], "&gt;="&amp;U$1,
  desp.m.ik[mes], "&lt;"&amp;EOMONTH(U$1,0)+1
)</f>
        <v>0</v>
      </c>
      <c r="V138" s="183">
        <f ca="1">-SUMIFS(
  desp.m.ik[valor],
  desp.m.ik[nucleo], $B138,
  desp.m.ik[centro.negocio], $B$129,
  desp.m.ik[mes], "&gt;="&amp;V$1,
  desp.m.ik[mes], "&lt;"&amp;EOMONTH(V$1,0)+1
)</f>
        <v>0</v>
      </c>
      <c r="W138" s="183">
        <f ca="1">-SUMIFS(
  desp.m.ik[valor],
  desp.m.ik[nucleo], $B138,
  desp.m.ik[centro.negocio], $B$129,
  desp.m.ik[mes], "&gt;="&amp;W$1,
  desp.m.ik[mes], "&lt;"&amp;EOMONTH(W$1,0)+1
)</f>
        <v>0</v>
      </c>
      <c r="X138" s="183">
        <f ca="1">-SUMIFS(
  desp.m.ik[valor],
  desp.m.ik[nucleo], $B138,
  desp.m.ik[centro.negocio], $B$129,
  desp.m.ik[mes], "&gt;="&amp;X$1,
  desp.m.ik[mes], "&lt;"&amp;EOMONTH(X$1,0)+1
)</f>
        <v>0</v>
      </c>
      <c r="Y138" s="183">
        <f ca="1">-SUMIFS(
  desp.m.ik[valor],
  desp.m.ik[nucleo], $B138,
  desp.m.ik[centro.negocio], $B$129,
  desp.m.ik[mes], "&gt;="&amp;Y$1,
  desp.m.ik[mes], "&lt;"&amp;EOMONTH(Y$1,0)+1
)</f>
        <v>0</v>
      </c>
      <c r="Z138" s="183">
        <f ca="1">-SUMIFS(
  desp.m.ik[valor],
  desp.m.ik[nucleo], $B138,
  desp.m.ik[centro.negocio], $B$129,
  desp.m.ik[mes], "&gt;="&amp;Z$1,
  desp.m.ik[mes], "&lt;"&amp;EOMONTH(Z$1,0)+1
)</f>
        <v>0</v>
      </c>
      <c r="AA138" s="183">
        <f ca="1">-SUMIFS(
  desp.m.ik[valor],
  desp.m.ik[nucleo], $B138,
  desp.m.ik[centro.negocio], $B$129,
  desp.m.ik[mes], "&gt;="&amp;AA$1,
  desp.m.ik[mes], "&lt;"&amp;EOMONTH(AA$1,0)+1
)</f>
        <v>0</v>
      </c>
      <c r="AC138" s="175">
        <f ca="1">SUM($D138:INDEX($D138:$AA138,1,MATCH(DATE(YEAR(inputs!$A$1),MONTH(inputs!$A$1),1),$D$1:$AA$1,0)))</f>
        <v>0</v>
      </c>
      <c r="AE138" s="175">
        <f ca="1">SUM(D138:AA138)</f>
        <v>0</v>
      </c>
    </row>
    <row r="139" spans="1:31" outlineLevel="2" x14ac:dyDescent="0.25">
      <c r="A139" s="182" t="s">
        <v>988</v>
      </c>
      <c r="B139" s="182" t="s">
        <v>573</v>
      </c>
      <c r="C139" s="135" t="s">
        <v>514</v>
      </c>
      <c r="D139" s="183">
        <f ca="1">-SUMIFS(
  desp.m.ik[valor],
  desp.m.ik[nucleo], $B139,
  desp.m.ik[centro.negocio], $B$129,
  desp.m.ik[mes], "&gt;="&amp;D$1,
  desp.m.ik[mes], "&lt;"&amp;EOMONTH(D$1,0)+1
)</f>
        <v>0</v>
      </c>
      <c r="E139" s="183">
        <f ca="1">-SUMIFS(
  desp.m.ik[valor],
  desp.m.ik[nucleo], $B139,
  desp.m.ik[centro.negocio], $B$129,
  desp.m.ik[mes], "&gt;="&amp;E$1,
  desp.m.ik[mes], "&lt;"&amp;EOMONTH(E$1,0)+1
)</f>
        <v>0</v>
      </c>
      <c r="F139" s="183">
        <f ca="1">-SUMIFS(
  desp.m.ik[valor],
  desp.m.ik[nucleo], $B139,
  desp.m.ik[centro.negocio], $B$129,
  desp.m.ik[mes], "&gt;="&amp;F$1,
  desp.m.ik[mes], "&lt;"&amp;EOMONTH(F$1,0)+1
)</f>
        <v>0</v>
      </c>
      <c r="G139" s="183">
        <f ca="1">-SUMIFS(
  desp.m.ik[valor],
  desp.m.ik[nucleo], $B139,
  desp.m.ik[centro.negocio], $B$129,
  desp.m.ik[mes], "&gt;="&amp;G$1,
  desp.m.ik[mes], "&lt;"&amp;EOMONTH(G$1,0)+1
)</f>
        <v>0</v>
      </c>
      <c r="H139" s="183">
        <f ca="1">-SUMIFS(
  desp.m.ik[valor],
  desp.m.ik[nucleo], $B139,
  desp.m.ik[centro.negocio], $B$129,
  desp.m.ik[mes], "&gt;="&amp;H$1,
  desp.m.ik[mes], "&lt;"&amp;EOMONTH(H$1,0)+1
)</f>
        <v>0</v>
      </c>
      <c r="I139" s="183">
        <f ca="1">-SUMIFS(
  desp.m.ik[valor],
  desp.m.ik[nucleo], $B139,
  desp.m.ik[centro.negocio], $B$129,
  desp.m.ik[mes], "&gt;="&amp;I$1,
  desp.m.ik[mes], "&lt;"&amp;EOMONTH(I$1,0)+1
)</f>
        <v>0</v>
      </c>
      <c r="J139" s="183">
        <f ca="1">-SUMIFS(
  desp.m.ik[valor],
  desp.m.ik[nucleo], $B139,
  desp.m.ik[centro.negocio], $B$129,
  desp.m.ik[mes], "&gt;="&amp;J$1,
  desp.m.ik[mes], "&lt;"&amp;EOMONTH(J$1,0)+1
)</f>
        <v>0</v>
      </c>
      <c r="K139" s="183">
        <f ca="1">-SUMIFS(
  desp.m.ik[valor],
  desp.m.ik[nucleo], $B139,
  desp.m.ik[centro.negocio], $B$129,
  desp.m.ik[mes], "&gt;="&amp;K$1,
  desp.m.ik[mes], "&lt;"&amp;EOMONTH(K$1,0)+1
)</f>
        <v>0</v>
      </c>
      <c r="L139" s="183">
        <f ca="1">-SUMIFS(
  desp.m.ik[valor],
  desp.m.ik[nucleo], $B139,
  desp.m.ik[centro.negocio], $B$129,
  desp.m.ik[mes], "&gt;="&amp;L$1,
  desp.m.ik[mes], "&lt;"&amp;EOMONTH(L$1,0)+1
)</f>
        <v>0</v>
      </c>
      <c r="M139" s="183">
        <f ca="1">-SUMIFS(
  desp.m.ik[valor],
  desp.m.ik[nucleo], $B139,
  desp.m.ik[centro.negocio], $B$129,
  desp.m.ik[mes], "&gt;="&amp;M$1,
  desp.m.ik[mes], "&lt;"&amp;EOMONTH(M$1,0)+1
)</f>
        <v>0</v>
      </c>
      <c r="N139" s="183">
        <f ca="1">-SUMIFS(
  desp.m.ik[valor],
  desp.m.ik[nucleo], $B139,
  desp.m.ik[centro.negocio], $B$129,
  desp.m.ik[mes], "&gt;="&amp;N$1,
  desp.m.ik[mes], "&lt;"&amp;EOMONTH(N$1,0)+1
)</f>
        <v>0</v>
      </c>
      <c r="O139" s="183">
        <f ca="1">-SUMIFS(
  desp.m.ik[valor],
  desp.m.ik[nucleo], $B139,
  desp.m.ik[centro.negocio], $B$129,
  desp.m.ik[mes], "&gt;="&amp;O$1,
  desp.m.ik[mes], "&lt;"&amp;EOMONTH(O$1,0)+1
)</f>
        <v>0</v>
      </c>
      <c r="P139" s="183">
        <f ca="1">-SUMIFS(
  desp.m.ik[valor],
  desp.m.ik[nucleo], $B139,
  desp.m.ik[centro.negocio], $B$129,
  desp.m.ik[mes], "&gt;="&amp;P$1,
  desp.m.ik[mes], "&lt;"&amp;EOMONTH(P$1,0)+1
)</f>
        <v>0</v>
      </c>
      <c r="Q139" s="183">
        <f ca="1">-SUMIFS(
  desp.m.ik[valor],
  desp.m.ik[nucleo], $B139,
  desp.m.ik[centro.negocio], $B$129,
  desp.m.ik[mes], "&gt;="&amp;Q$1,
  desp.m.ik[mes], "&lt;"&amp;EOMONTH(Q$1,0)+1
)</f>
        <v>0</v>
      </c>
      <c r="R139" s="183">
        <f ca="1">-SUMIFS(
  desp.m.ik[valor],
  desp.m.ik[nucleo], $B139,
  desp.m.ik[centro.negocio], $B$129,
  desp.m.ik[mes], "&gt;="&amp;R$1,
  desp.m.ik[mes], "&lt;"&amp;EOMONTH(R$1,0)+1
)</f>
        <v>0</v>
      </c>
      <c r="S139" s="183">
        <f ca="1">-SUMIFS(
  desp.m.ik[valor],
  desp.m.ik[nucleo], $B139,
  desp.m.ik[centro.negocio], $B$129,
  desp.m.ik[mes], "&gt;="&amp;S$1,
  desp.m.ik[mes], "&lt;"&amp;EOMONTH(S$1,0)+1
)</f>
        <v>0</v>
      </c>
      <c r="T139" s="183">
        <f ca="1">-SUMIFS(
  desp.m.ik[valor],
  desp.m.ik[nucleo], $B139,
  desp.m.ik[centro.negocio], $B$129,
  desp.m.ik[mes], "&gt;="&amp;T$1,
  desp.m.ik[mes], "&lt;"&amp;EOMONTH(T$1,0)+1
)</f>
        <v>0</v>
      </c>
      <c r="U139" s="183">
        <f ca="1">-SUMIFS(
  desp.m.ik[valor],
  desp.m.ik[nucleo], $B139,
  desp.m.ik[centro.negocio], $B$129,
  desp.m.ik[mes], "&gt;="&amp;U$1,
  desp.m.ik[mes], "&lt;"&amp;EOMONTH(U$1,0)+1
)</f>
        <v>0</v>
      </c>
      <c r="V139" s="183">
        <f ca="1">-SUMIFS(
  desp.m.ik[valor],
  desp.m.ik[nucleo], $B139,
  desp.m.ik[centro.negocio], $B$129,
  desp.m.ik[mes], "&gt;="&amp;V$1,
  desp.m.ik[mes], "&lt;"&amp;EOMONTH(V$1,0)+1
)</f>
        <v>0</v>
      </c>
      <c r="W139" s="183">
        <f ca="1">-SUMIFS(
  desp.m.ik[valor],
  desp.m.ik[nucleo], $B139,
  desp.m.ik[centro.negocio], $B$129,
  desp.m.ik[mes], "&gt;="&amp;W$1,
  desp.m.ik[mes], "&lt;"&amp;EOMONTH(W$1,0)+1
)</f>
        <v>0</v>
      </c>
      <c r="X139" s="183">
        <f ca="1">-SUMIFS(
  desp.m.ik[valor],
  desp.m.ik[nucleo], $B139,
  desp.m.ik[centro.negocio], $B$129,
  desp.m.ik[mes], "&gt;="&amp;X$1,
  desp.m.ik[mes], "&lt;"&amp;EOMONTH(X$1,0)+1
)</f>
        <v>0</v>
      </c>
      <c r="Y139" s="183">
        <f ca="1">-SUMIFS(
  desp.m.ik[valor],
  desp.m.ik[nucleo], $B139,
  desp.m.ik[centro.negocio], $B$129,
  desp.m.ik[mes], "&gt;="&amp;Y$1,
  desp.m.ik[mes], "&lt;"&amp;EOMONTH(Y$1,0)+1
)</f>
        <v>0</v>
      </c>
      <c r="Z139" s="183">
        <f ca="1">-SUMIFS(
  desp.m.ik[valor],
  desp.m.ik[nucleo], $B139,
  desp.m.ik[centro.negocio], $B$129,
  desp.m.ik[mes], "&gt;="&amp;Z$1,
  desp.m.ik[mes], "&lt;"&amp;EOMONTH(Z$1,0)+1
)</f>
        <v>0</v>
      </c>
      <c r="AA139" s="183">
        <f ca="1">-SUMIFS(
  desp.m.ik[valor],
  desp.m.ik[nucleo], $B139,
  desp.m.ik[centro.negocio], $B$129,
  desp.m.ik[mes], "&gt;="&amp;AA$1,
  desp.m.ik[mes], "&lt;"&amp;EOMONTH(AA$1,0)+1
)</f>
        <v>0</v>
      </c>
      <c r="AC139" s="175">
        <f ca="1">SUM($D139:INDEX($D139:$AA139,1,MATCH(DATE(YEAR(inputs!$A$1),MONTH(inputs!$A$1),1),$D$1:$AA$1,0)))</f>
        <v>0</v>
      </c>
      <c r="AE139" s="175">
        <f ca="1">SUM(D139:AA139)</f>
        <v>0</v>
      </c>
    </row>
    <row r="140" spans="1:31" outlineLevel="2" x14ac:dyDescent="0.25">
      <c r="A140" s="182" t="s">
        <v>983</v>
      </c>
      <c r="B140" s="182" t="s">
        <v>533</v>
      </c>
      <c r="C140" s="135" t="s">
        <v>514</v>
      </c>
      <c r="D140" s="183">
        <f ca="1">-SUMIFS(
  desp.m.ik[valor],
  desp.m.ik[nucleo], $B140,
  desp.m.ik[centro.negocio], $B$129,
  desp.m.ik[mes], "&gt;="&amp;D$1,
  desp.m.ik[mes], "&lt;"&amp;EOMONTH(D$1,0)+1
)</f>
        <v>0</v>
      </c>
      <c r="E140" s="183">
        <f ca="1">-SUMIFS(
  desp.m.ik[valor],
  desp.m.ik[nucleo], $B140,
  desp.m.ik[centro.negocio], $B$129,
  desp.m.ik[mes], "&gt;="&amp;E$1,
  desp.m.ik[mes], "&lt;"&amp;EOMONTH(E$1,0)+1
)</f>
        <v>0</v>
      </c>
      <c r="F140" s="183">
        <f ca="1">-SUMIFS(
  desp.m.ik[valor],
  desp.m.ik[nucleo], $B140,
  desp.m.ik[centro.negocio], $B$129,
  desp.m.ik[mes], "&gt;="&amp;F$1,
  desp.m.ik[mes], "&lt;"&amp;EOMONTH(F$1,0)+1
)</f>
        <v>0</v>
      </c>
      <c r="G140" s="183">
        <f ca="1">-SUMIFS(
  desp.m.ik[valor],
  desp.m.ik[nucleo], $B140,
  desp.m.ik[centro.negocio], $B$129,
  desp.m.ik[mes], "&gt;="&amp;G$1,
  desp.m.ik[mes], "&lt;"&amp;EOMONTH(G$1,0)+1
)</f>
        <v>0</v>
      </c>
      <c r="H140" s="183">
        <f ca="1">-SUMIFS(
  desp.m.ik[valor],
  desp.m.ik[nucleo], $B140,
  desp.m.ik[centro.negocio], $B$129,
  desp.m.ik[mes], "&gt;="&amp;H$1,
  desp.m.ik[mes], "&lt;"&amp;EOMONTH(H$1,0)+1
)</f>
        <v>0</v>
      </c>
      <c r="I140" s="183">
        <f ca="1">-SUMIFS(
  desp.m.ik[valor],
  desp.m.ik[nucleo], $B140,
  desp.m.ik[centro.negocio], $B$129,
  desp.m.ik[mes], "&gt;="&amp;I$1,
  desp.m.ik[mes], "&lt;"&amp;EOMONTH(I$1,0)+1
)</f>
        <v>0</v>
      </c>
      <c r="J140" s="183">
        <f ca="1">-SUMIFS(
  desp.m.ik[valor],
  desp.m.ik[nucleo], $B140,
  desp.m.ik[centro.negocio], $B$129,
  desp.m.ik[mes], "&gt;="&amp;J$1,
  desp.m.ik[mes], "&lt;"&amp;EOMONTH(J$1,0)+1
)</f>
        <v>0</v>
      </c>
      <c r="K140" s="183">
        <f ca="1">-SUMIFS(
  desp.m.ik[valor],
  desp.m.ik[nucleo], $B140,
  desp.m.ik[centro.negocio], $B$129,
  desp.m.ik[mes], "&gt;="&amp;K$1,
  desp.m.ik[mes], "&lt;"&amp;EOMONTH(K$1,0)+1
)</f>
        <v>0</v>
      </c>
      <c r="L140" s="183">
        <f ca="1">-SUMIFS(
  desp.m.ik[valor],
  desp.m.ik[nucleo], $B140,
  desp.m.ik[centro.negocio], $B$129,
  desp.m.ik[mes], "&gt;="&amp;L$1,
  desp.m.ik[mes], "&lt;"&amp;EOMONTH(L$1,0)+1
)</f>
        <v>0</v>
      </c>
      <c r="M140" s="183">
        <f ca="1">-SUMIFS(
  desp.m.ik[valor],
  desp.m.ik[nucleo], $B140,
  desp.m.ik[centro.negocio], $B$129,
  desp.m.ik[mes], "&gt;="&amp;M$1,
  desp.m.ik[mes], "&lt;"&amp;EOMONTH(M$1,0)+1
)</f>
        <v>0</v>
      </c>
      <c r="N140" s="183">
        <f ca="1">-SUMIFS(
  desp.m.ik[valor],
  desp.m.ik[nucleo], $B140,
  desp.m.ik[centro.negocio], $B$129,
  desp.m.ik[mes], "&gt;="&amp;N$1,
  desp.m.ik[mes], "&lt;"&amp;EOMONTH(N$1,0)+1
)</f>
        <v>0</v>
      </c>
      <c r="O140" s="183">
        <f ca="1">-SUMIFS(
  desp.m.ik[valor],
  desp.m.ik[nucleo], $B140,
  desp.m.ik[centro.negocio], $B$129,
  desp.m.ik[mes], "&gt;="&amp;O$1,
  desp.m.ik[mes], "&lt;"&amp;EOMONTH(O$1,0)+1
)</f>
        <v>0</v>
      </c>
      <c r="P140" s="183">
        <f ca="1">-SUMIFS(
  desp.m.ik[valor],
  desp.m.ik[nucleo], $B140,
  desp.m.ik[centro.negocio], $B$129,
  desp.m.ik[mes], "&gt;="&amp;P$1,
  desp.m.ik[mes], "&lt;"&amp;EOMONTH(P$1,0)+1
)</f>
        <v>0</v>
      </c>
      <c r="Q140" s="183">
        <f ca="1">-SUMIFS(
  desp.m.ik[valor],
  desp.m.ik[nucleo], $B140,
  desp.m.ik[centro.negocio], $B$129,
  desp.m.ik[mes], "&gt;="&amp;Q$1,
  desp.m.ik[mes], "&lt;"&amp;EOMONTH(Q$1,0)+1
)</f>
        <v>0</v>
      </c>
      <c r="R140" s="183">
        <f ca="1">-SUMIFS(
  desp.m.ik[valor],
  desp.m.ik[nucleo], $B140,
  desp.m.ik[centro.negocio], $B$129,
  desp.m.ik[mes], "&gt;="&amp;R$1,
  desp.m.ik[mes], "&lt;"&amp;EOMONTH(R$1,0)+1
)</f>
        <v>0</v>
      </c>
      <c r="S140" s="183">
        <f ca="1">-SUMIFS(
  desp.m.ik[valor],
  desp.m.ik[nucleo], $B140,
  desp.m.ik[centro.negocio], $B$129,
  desp.m.ik[mes], "&gt;="&amp;S$1,
  desp.m.ik[mes], "&lt;"&amp;EOMONTH(S$1,0)+1
)</f>
        <v>0</v>
      </c>
      <c r="T140" s="183">
        <f ca="1">-SUMIFS(
  desp.m.ik[valor],
  desp.m.ik[nucleo], $B140,
  desp.m.ik[centro.negocio], $B$129,
  desp.m.ik[mes], "&gt;="&amp;T$1,
  desp.m.ik[mes], "&lt;"&amp;EOMONTH(T$1,0)+1
)</f>
        <v>0</v>
      </c>
      <c r="U140" s="183">
        <f ca="1">-SUMIFS(
  desp.m.ik[valor],
  desp.m.ik[nucleo], $B140,
  desp.m.ik[centro.negocio], $B$129,
  desp.m.ik[mes], "&gt;="&amp;U$1,
  desp.m.ik[mes], "&lt;"&amp;EOMONTH(U$1,0)+1
)</f>
        <v>0</v>
      </c>
      <c r="V140" s="183">
        <f ca="1">-SUMIFS(
  desp.m.ik[valor],
  desp.m.ik[nucleo], $B140,
  desp.m.ik[centro.negocio], $B$129,
  desp.m.ik[mes], "&gt;="&amp;V$1,
  desp.m.ik[mes], "&lt;"&amp;EOMONTH(V$1,0)+1
)</f>
        <v>0</v>
      </c>
      <c r="W140" s="183">
        <f ca="1">-SUMIFS(
  desp.m.ik[valor],
  desp.m.ik[nucleo], $B140,
  desp.m.ik[centro.negocio], $B$129,
  desp.m.ik[mes], "&gt;="&amp;W$1,
  desp.m.ik[mes], "&lt;"&amp;EOMONTH(W$1,0)+1
)</f>
        <v>0</v>
      </c>
      <c r="X140" s="183">
        <f ca="1">-SUMIFS(
  desp.m.ik[valor],
  desp.m.ik[nucleo], $B140,
  desp.m.ik[centro.negocio], $B$129,
  desp.m.ik[mes], "&gt;="&amp;X$1,
  desp.m.ik[mes], "&lt;"&amp;EOMONTH(X$1,0)+1
)</f>
        <v>0</v>
      </c>
      <c r="Y140" s="183">
        <f ca="1">-SUMIFS(
  desp.m.ik[valor],
  desp.m.ik[nucleo], $B140,
  desp.m.ik[centro.negocio], $B$129,
  desp.m.ik[mes], "&gt;="&amp;Y$1,
  desp.m.ik[mes], "&lt;"&amp;EOMONTH(Y$1,0)+1
)</f>
        <v>0</v>
      </c>
      <c r="Z140" s="183">
        <f ca="1">-SUMIFS(
  desp.m.ik[valor],
  desp.m.ik[nucleo], $B140,
  desp.m.ik[centro.negocio], $B$129,
  desp.m.ik[mes], "&gt;="&amp;Z$1,
  desp.m.ik[mes], "&lt;"&amp;EOMONTH(Z$1,0)+1
)</f>
        <v>0</v>
      </c>
      <c r="AA140" s="183">
        <f ca="1">-SUMIFS(
  desp.m.ik[valor],
  desp.m.ik[nucleo], $B140,
  desp.m.ik[centro.negocio], $B$129,
  desp.m.ik[mes], "&gt;="&amp;AA$1,
  desp.m.ik[mes], "&lt;"&amp;EOMONTH(AA$1,0)+1
)</f>
        <v>0</v>
      </c>
      <c r="AC140" s="175">
        <f ca="1">SUM($D140:INDEX($D140:$AA140,1,MATCH(DATE(YEAR(inputs!$A$1),MONTH(inputs!$A$1),1),$D$1:$AA$1,0)))</f>
        <v>0</v>
      </c>
      <c r="AE140" s="175">
        <f t="shared" ca="1" si="23"/>
        <v>0</v>
      </c>
    </row>
    <row r="141" spans="1:31" outlineLevel="2" x14ac:dyDescent="0.25">
      <c r="A141" s="182" t="s">
        <v>986</v>
      </c>
      <c r="B141" s="182" t="s">
        <v>561</v>
      </c>
      <c r="C141" s="135" t="s">
        <v>514</v>
      </c>
      <c r="D141" s="183">
        <f ca="1">-SUMIFS(
  desp.m.ik[valor],
  desp.m.ik[nucleo], $B141,
  desp.m.ik[centro.negocio], $B$129,
  desp.m.ik[mes], "&gt;="&amp;D$1,
  desp.m.ik[mes], "&lt;"&amp;EOMONTH(D$1,0)+1
)</f>
        <v>0</v>
      </c>
      <c r="E141" s="183">
        <f ca="1">-SUMIFS(
  desp.m.ik[valor],
  desp.m.ik[nucleo], $B141,
  desp.m.ik[centro.negocio], $B$129,
  desp.m.ik[mes], "&gt;="&amp;E$1,
  desp.m.ik[mes], "&lt;"&amp;EOMONTH(E$1,0)+1
)</f>
        <v>0</v>
      </c>
      <c r="F141" s="183">
        <f ca="1">-SUMIFS(
  desp.m.ik[valor],
  desp.m.ik[nucleo], $B141,
  desp.m.ik[centro.negocio], $B$129,
  desp.m.ik[mes], "&gt;="&amp;F$1,
  desp.m.ik[mes], "&lt;"&amp;EOMONTH(F$1,0)+1
)</f>
        <v>0</v>
      </c>
      <c r="G141" s="183">
        <f ca="1">-SUMIFS(
  desp.m.ik[valor],
  desp.m.ik[nucleo], $B141,
  desp.m.ik[centro.negocio], $B$129,
  desp.m.ik[mes], "&gt;="&amp;G$1,
  desp.m.ik[mes], "&lt;"&amp;EOMONTH(G$1,0)+1
)</f>
        <v>0</v>
      </c>
      <c r="H141" s="183">
        <f ca="1">-SUMIFS(
  desp.m.ik[valor],
  desp.m.ik[nucleo], $B141,
  desp.m.ik[centro.negocio], $B$129,
  desp.m.ik[mes], "&gt;="&amp;H$1,
  desp.m.ik[mes], "&lt;"&amp;EOMONTH(H$1,0)+1
)</f>
        <v>0</v>
      </c>
      <c r="I141" s="183">
        <f ca="1">-SUMIFS(
  desp.m.ik[valor],
  desp.m.ik[nucleo], $B141,
  desp.m.ik[centro.negocio], $B$129,
  desp.m.ik[mes], "&gt;="&amp;I$1,
  desp.m.ik[mes], "&lt;"&amp;EOMONTH(I$1,0)+1
)</f>
        <v>0</v>
      </c>
      <c r="J141" s="183">
        <f ca="1">-SUMIFS(
  desp.m.ik[valor],
  desp.m.ik[nucleo], $B141,
  desp.m.ik[centro.negocio], $B$129,
  desp.m.ik[mes], "&gt;="&amp;J$1,
  desp.m.ik[mes], "&lt;"&amp;EOMONTH(J$1,0)+1
)</f>
        <v>0</v>
      </c>
      <c r="K141" s="183">
        <f ca="1">-SUMIFS(
  desp.m.ik[valor],
  desp.m.ik[nucleo], $B141,
  desp.m.ik[centro.negocio], $B$129,
  desp.m.ik[mes], "&gt;="&amp;K$1,
  desp.m.ik[mes], "&lt;"&amp;EOMONTH(K$1,0)+1
)</f>
        <v>0</v>
      </c>
      <c r="L141" s="183">
        <f ca="1">-SUMIFS(
  desp.m.ik[valor],
  desp.m.ik[nucleo], $B141,
  desp.m.ik[centro.negocio], $B$129,
  desp.m.ik[mes], "&gt;="&amp;L$1,
  desp.m.ik[mes], "&lt;"&amp;EOMONTH(L$1,0)+1
)</f>
        <v>0</v>
      </c>
      <c r="M141" s="183">
        <f ca="1">-SUMIFS(
  desp.m.ik[valor],
  desp.m.ik[nucleo], $B141,
  desp.m.ik[centro.negocio], $B$129,
  desp.m.ik[mes], "&gt;="&amp;M$1,
  desp.m.ik[mes], "&lt;"&amp;EOMONTH(M$1,0)+1
)</f>
        <v>0</v>
      </c>
      <c r="N141" s="183">
        <f ca="1">-SUMIFS(
  desp.m.ik[valor],
  desp.m.ik[nucleo], $B141,
  desp.m.ik[centro.negocio], $B$129,
  desp.m.ik[mes], "&gt;="&amp;N$1,
  desp.m.ik[mes], "&lt;"&amp;EOMONTH(N$1,0)+1
)</f>
        <v>0</v>
      </c>
      <c r="O141" s="183">
        <f ca="1">-SUMIFS(
  desp.m.ik[valor],
  desp.m.ik[nucleo], $B141,
  desp.m.ik[centro.negocio], $B$129,
  desp.m.ik[mes], "&gt;="&amp;O$1,
  desp.m.ik[mes], "&lt;"&amp;EOMONTH(O$1,0)+1
)</f>
        <v>0</v>
      </c>
      <c r="P141" s="183">
        <f ca="1">-SUMIFS(
  desp.m.ik[valor],
  desp.m.ik[nucleo], $B141,
  desp.m.ik[centro.negocio], $B$129,
  desp.m.ik[mes], "&gt;="&amp;P$1,
  desp.m.ik[mes], "&lt;"&amp;EOMONTH(P$1,0)+1
)</f>
        <v>0</v>
      </c>
      <c r="Q141" s="183">
        <f ca="1">-SUMIFS(
  desp.m.ik[valor],
  desp.m.ik[nucleo], $B141,
  desp.m.ik[centro.negocio], $B$129,
  desp.m.ik[mes], "&gt;="&amp;Q$1,
  desp.m.ik[mes], "&lt;"&amp;EOMONTH(Q$1,0)+1
)</f>
        <v>0</v>
      </c>
      <c r="R141" s="183">
        <f ca="1">-SUMIFS(
  desp.m.ik[valor],
  desp.m.ik[nucleo], $B141,
  desp.m.ik[centro.negocio], $B$129,
  desp.m.ik[mes], "&gt;="&amp;R$1,
  desp.m.ik[mes], "&lt;"&amp;EOMONTH(R$1,0)+1
)</f>
        <v>0</v>
      </c>
      <c r="S141" s="183">
        <f ca="1">-SUMIFS(
  desp.m.ik[valor],
  desp.m.ik[nucleo], $B141,
  desp.m.ik[centro.negocio], $B$129,
  desp.m.ik[mes], "&gt;="&amp;S$1,
  desp.m.ik[mes], "&lt;"&amp;EOMONTH(S$1,0)+1
)</f>
        <v>0</v>
      </c>
      <c r="T141" s="183">
        <f ca="1">-SUMIFS(
  desp.m.ik[valor],
  desp.m.ik[nucleo], $B141,
  desp.m.ik[centro.negocio], $B$129,
  desp.m.ik[mes], "&gt;="&amp;T$1,
  desp.m.ik[mes], "&lt;"&amp;EOMONTH(T$1,0)+1
)</f>
        <v>0</v>
      </c>
      <c r="U141" s="183">
        <f ca="1">-SUMIFS(
  desp.m.ik[valor],
  desp.m.ik[nucleo], $B141,
  desp.m.ik[centro.negocio], $B$129,
  desp.m.ik[mes], "&gt;="&amp;U$1,
  desp.m.ik[mes], "&lt;"&amp;EOMONTH(U$1,0)+1
)</f>
        <v>0</v>
      </c>
      <c r="V141" s="183">
        <f ca="1">-SUMIFS(
  desp.m.ik[valor],
  desp.m.ik[nucleo], $B141,
  desp.m.ik[centro.negocio], $B$129,
  desp.m.ik[mes], "&gt;="&amp;V$1,
  desp.m.ik[mes], "&lt;"&amp;EOMONTH(V$1,0)+1
)</f>
        <v>0</v>
      </c>
      <c r="W141" s="183">
        <f ca="1">-SUMIFS(
  desp.m.ik[valor],
  desp.m.ik[nucleo], $B141,
  desp.m.ik[centro.negocio], $B$129,
  desp.m.ik[mes], "&gt;="&amp;W$1,
  desp.m.ik[mes], "&lt;"&amp;EOMONTH(W$1,0)+1
)</f>
        <v>0</v>
      </c>
      <c r="X141" s="183">
        <f ca="1">-SUMIFS(
  desp.m.ik[valor],
  desp.m.ik[nucleo], $B141,
  desp.m.ik[centro.negocio], $B$129,
  desp.m.ik[mes], "&gt;="&amp;X$1,
  desp.m.ik[mes], "&lt;"&amp;EOMONTH(X$1,0)+1
)</f>
        <v>0</v>
      </c>
      <c r="Y141" s="183">
        <f ca="1">-SUMIFS(
  desp.m.ik[valor],
  desp.m.ik[nucleo], $B141,
  desp.m.ik[centro.negocio], $B$129,
  desp.m.ik[mes], "&gt;="&amp;Y$1,
  desp.m.ik[mes], "&lt;"&amp;EOMONTH(Y$1,0)+1
)</f>
        <v>0</v>
      </c>
      <c r="Z141" s="183">
        <f ca="1">-SUMIFS(
  desp.m.ik[valor],
  desp.m.ik[nucleo], $B141,
  desp.m.ik[centro.negocio], $B$129,
  desp.m.ik[mes], "&gt;="&amp;Z$1,
  desp.m.ik[mes], "&lt;"&amp;EOMONTH(Z$1,0)+1
)</f>
        <v>0</v>
      </c>
      <c r="AA141" s="183">
        <f ca="1">-SUMIFS(
  desp.m.ik[valor],
  desp.m.ik[nucleo], $B141,
  desp.m.ik[centro.negocio], $B$129,
  desp.m.ik[mes], "&gt;="&amp;AA$1,
  desp.m.ik[mes], "&lt;"&amp;EOMONTH(AA$1,0)+1
)</f>
        <v>0</v>
      </c>
      <c r="AC141" s="175">
        <f ca="1">SUM($D141:INDEX($D141:$AA141,1,MATCH(DATE(YEAR(inputs!$A$1),MONTH(inputs!$A$1),1),$D$1:$AA$1,0)))</f>
        <v>0</v>
      </c>
      <c r="AE141" s="175">
        <f ca="1">SUM(D141:AA141)</f>
        <v>0</v>
      </c>
    </row>
    <row r="142" spans="1:31" outlineLevel="2" x14ac:dyDescent="0.25">
      <c r="A142" s="182" t="s">
        <v>985</v>
      </c>
      <c r="B142" s="182" t="s">
        <v>571</v>
      </c>
      <c r="C142" s="135" t="s">
        <v>514</v>
      </c>
      <c r="D142" s="183">
        <f ca="1">-SUMIFS(
  desp.m.ik[valor],
  desp.m.ik[nucleo], $B142,
  desp.m.ik[centro.negocio], $B$129,
  desp.m.ik[mes], "&gt;="&amp;D$1,
  desp.m.ik[mes], "&lt;"&amp;EOMONTH(D$1,0)+1
)</f>
        <v>0</v>
      </c>
      <c r="E142" s="183">
        <f ca="1">-SUMIFS(
  desp.m.ik[valor],
  desp.m.ik[nucleo], $B142,
  desp.m.ik[centro.negocio], $B$129,
  desp.m.ik[mes], "&gt;="&amp;E$1,
  desp.m.ik[mes], "&lt;"&amp;EOMONTH(E$1,0)+1
)</f>
        <v>0</v>
      </c>
      <c r="F142" s="183">
        <f ca="1">-SUMIFS(
  desp.m.ik[valor],
  desp.m.ik[nucleo], $B142,
  desp.m.ik[centro.negocio], $B$129,
  desp.m.ik[mes], "&gt;="&amp;F$1,
  desp.m.ik[mes], "&lt;"&amp;EOMONTH(F$1,0)+1
)</f>
        <v>0</v>
      </c>
      <c r="G142" s="183">
        <f ca="1">-SUMIFS(
  desp.m.ik[valor],
  desp.m.ik[nucleo], $B142,
  desp.m.ik[centro.negocio], $B$129,
  desp.m.ik[mes], "&gt;="&amp;G$1,
  desp.m.ik[mes], "&lt;"&amp;EOMONTH(G$1,0)+1
)</f>
        <v>0</v>
      </c>
      <c r="H142" s="183">
        <f ca="1">-SUMIFS(
  desp.m.ik[valor],
  desp.m.ik[nucleo], $B142,
  desp.m.ik[centro.negocio], $B$129,
  desp.m.ik[mes], "&gt;="&amp;H$1,
  desp.m.ik[mes], "&lt;"&amp;EOMONTH(H$1,0)+1
)</f>
        <v>0</v>
      </c>
      <c r="I142" s="183">
        <f ca="1">-SUMIFS(
  desp.m.ik[valor],
  desp.m.ik[nucleo], $B142,
  desp.m.ik[centro.negocio], $B$129,
  desp.m.ik[mes], "&gt;="&amp;I$1,
  desp.m.ik[mes], "&lt;"&amp;EOMONTH(I$1,0)+1
)</f>
        <v>0</v>
      </c>
      <c r="J142" s="183">
        <f ca="1">-SUMIFS(
  desp.m.ik[valor],
  desp.m.ik[nucleo], $B142,
  desp.m.ik[centro.negocio], $B$129,
  desp.m.ik[mes], "&gt;="&amp;J$1,
  desp.m.ik[mes], "&lt;"&amp;EOMONTH(J$1,0)+1
)</f>
        <v>0</v>
      </c>
      <c r="K142" s="183">
        <f ca="1">-SUMIFS(
  desp.m.ik[valor],
  desp.m.ik[nucleo], $B142,
  desp.m.ik[centro.negocio], $B$129,
  desp.m.ik[mes], "&gt;="&amp;K$1,
  desp.m.ik[mes], "&lt;"&amp;EOMONTH(K$1,0)+1
)</f>
        <v>0</v>
      </c>
      <c r="L142" s="183">
        <f ca="1">-SUMIFS(
  desp.m.ik[valor],
  desp.m.ik[nucleo], $B142,
  desp.m.ik[centro.negocio], $B$129,
  desp.m.ik[mes], "&gt;="&amp;L$1,
  desp.m.ik[mes], "&lt;"&amp;EOMONTH(L$1,0)+1
)</f>
        <v>0</v>
      </c>
      <c r="M142" s="183">
        <f ca="1">-SUMIFS(
  desp.m.ik[valor],
  desp.m.ik[nucleo], $B142,
  desp.m.ik[centro.negocio], $B$129,
  desp.m.ik[mes], "&gt;="&amp;M$1,
  desp.m.ik[mes], "&lt;"&amp;EOMONTH(M$1,0)+1
)</f>
        <v>0</v>
      </c>
      <c r="N142" s="183">
        <f ca="1">-SUMIFS(
  desp.m.ik[valor],
  desp.m.ik[nucleo], $B142,
  desp.m.ik[centro.negocio], $B$129,
  desp.m.ik[mes], "&gt;="&amp;N$1,
  desp.m.ik[mes], "&lt;"&amp;EOMONTH(N$1,0)+1
)</f>
        <v>0</v>
      </c>
      <c r="O142" s="183">
        <f ca="1">-SUMIFS(
  desp.m.ik[valor],
  desp.m.ik[nucleo], $B142,
  desp.m.ik[centro.negocio], $B$129,
  desp.m.ik[mes], "&gt;="&amp;O$1,
  desp.m.ik[mes], "&lt;"&amp;EOMONTH(O$1,0)+1
)</f>
        <v>0</v>
      </c>
      <c r="P142" s="183">
        <f ca="1">-SUMIFS(
  desp.m.ik[valor],
  desp.m.ik[nucleo], $B142,
  desp.m.ik[centro.negocio], $B$129,
  desp.m.ik[mes], "&gt;="&amp;P$1,
  desp.m.ik[mes], "&lt;"&amp;EOMONTH(P$1,0)+1
)</f>
        <v>0</v>
      </c>
      <c r="Q142" s="183">
        <f ca="1">-SUMIFS(
  desp.m.ik[valor],
  desp.m.ik[nucleo], $B142,
  desp.m.ik[centro.negocio], $B$129,
  desp.m.ik[mes], "&gt;="&amp;Q$1,
  desp.m.ik[mes], "&lt;"&amp;EOMONTH(Q$1,0)+1
)</f>
        <v>0</v>
      </c>
      <c r="R142" s="183">
        <f ca="1">-SUMIFS(
  desp.m.ik[valor],
  desp.m.ik[nucleo], $B142,
  desp.m.ik[centro.negocio], $B$129,
  desp.m.ik[mes], "&gt;="&amp;R$1,
  desp.m.ik[mes], "&lt;"&amp;EOMONTH(R$1,0)+1
)</f>
        <v>0</v>
      </c>
      <c r="S142" s="183">
        <f ca="1">-SUMIFS(
  desp.m.ik[valor],
  desp.m.ik[nucleo], $B142,
  desp.m.ik[centro.negocio], $B$129,
  desp.m.ik[mes], "&gt;="&amp;S$1,
  desp.m.ik[mes], "&lt;"&amp;EOMONTH(S$1,0)+1
)</f>
        <v>0</v>
      </c>
      <c r="T142" s="183">
        <f ca="1">-SUMIFS(
  desp.m.ik[valor],
  desp.m.ik[nucleo], $B142,
  desp.m.ik[centro.negocio], $B$129,
  desp.m.ik[mes], "&gt;="&amp;T$1,
  desp.m.ik[mes], "&lt;"&amp;EOMONTH(T$1,0)+1
)</f>
        <v>0</v>
      </c>
      <c r="U142" s="183">
        <f ca="1">-SUMIFS(
  desp.m.ik[valor],
  desp.m.ik[nucleo], $B142,
  desp.m.ik[centro.negocio], $B$129,
  desp.m.ik[mes], "&gt;="&amp;U$1,
  desp.m.ik[mes], "&lt;"&amp;EOMONTH(U$1,0)+1
)</f>
        <v>0</v>
      </c>
      <c r="V142" s="183">
        <f ca="1">-SUMIFS(
  desp.m.ik[valor],
  desp.m.ik[nucleo], $B142,
  desp.m.ik[centro.negocio], $B$129,
  desp.m.ik[mes], "&gt;="&amp;V$1,
  desp.m.ik[mes], "&lt;"&amp;EOMONTH(V$1,0)+1
)</f>
        <v>0</v>
      </c>
      <c r="W142" s="183">
        <f ca="1">-SUMIFS(
  desp.m.ik[valor],
  desp.m.ik[nucleo], $B142,
  desp.m.ik[centro.negocio], $B$129,
  desp.m.ik[mes], "&gt;="&amp;W$1,
  desp.m.ik[mes], "&lt;"&amp;EOMONTH(W$1,0)+1
)</f>
        <v>0</v>
      </c>
      <c r="X142" s="183">
        <f ca="1">-SUMIFS(
  desp.m.ik[valor],
  desp.m.ik[nucleo], $B142,
  desp.m.ik[centro.negocio], $B$129,
  desp.m.ik[mes], "&gt;="&amp;X$1,
  desp.m.ik[mes], "&lt;"&amp;EOMONTH(X$1,0)+1
)</f>
        <v>0</v>
      </c>
      <c r="Y142" s="183">
        <f ca="1">-SUMIFS(
  desp.m.ik[valor],
  desp.m.ik[nucleo], $B142,
  desp.m.ik[centro.negocio], $B$129,
  desp.m.ik[mes], "&gt;="&amp;Y$1,
  desp.m.ik[mes], "&lt;"&amp;EOMONTH(Y$1,0)+1
)</f>
        <v>0</v>
      </c>
      <c r="Z142" s="183">
        <f ca="1">-SUMIFS(
  desp.m.ik[valor],
  desp.m.ik[nucleo], $B142,
  desp.m.ik[centro.negocio], $B$129,
  desp.m.ik[mes], "&gt;="&amp;Z$1,
  desp.m.ik[mes], "&lt;"&amp;EOMONTH(Z$1,0)+1
)</f>
        <v>0</v>
      </c>
      <c r="AA142" s="183">
        <f ca="1">-SUMIFS(
  desp.m.ik[valor],
  desp.m.ik[nucleo], $B142,
  desp.m.ik[centro.negocio], $B$129,
  desp.m.ik[mes], "&gt;="&amp;AA$1,
  desp.m.ik[mes], "&lt;"&amp;EOMONTH(AA$1,0)+1
)</f>
        <v>0</v>
      </c>
      <c r="AC142" s="175">
        <f ca="1">SUM($D142:INDEX($D142:$AA142,1,MATCH(DATE(YEAR(inputs!$A$1),MONTH(inputs!$A$1),1),$D$1:$AA$1,0)))</f>
        <v>0</v>
      </c>
      <c r="AE142" s="175">
        <f t="shared" ca="1" si="23"/>
        <v>0</v>
      </c>
    </row>
    <row r="143" spans="1:31" outlineLevel="2" x14ac:dyDescent="0.25">
      <c r="A143" s="182" t="s">
        <v>987</v>
      </c>
      <c r="B143" s="182" t="s">
        <v>562</v>
      </c>
      <c r="C143" s="135" t="s">
        <v>514</v>
      </c>
      <c r="D143" s="183">
        <f ca="1">-SUMIFS(
  desp.m.ik[valor],
  desp.m.ik[nucleo], $B143,
  desp.m.ik[centro.negocio], $B$129,
  desp.m.ik[mes], "&gt;="&amp;D$1,
  desp.m.ik[mes], "&lt;"&amp;EOMONTH(D$1,0)+1
)</f>
        <v>0</v>
      </c>
      <c r="E143" s="183">
        <f ca="1">-SUMIFS(
  desp.m.ik[valor],
  desp.m.ik[nucleo], $B143,
  desp.m.ik[centro.negocio], $B$129,
  desp.m.ik[mes], "&gt;="&amp;E$1,
  desp.m.ik[mes], "&lt;"&amp;EOMONTH(E$1,0)+1
)</f>
        <v>0</v>
      </c>
      <c r="F143" s="183">
        <f ca="1">-SUMIFS(
  desp.m.ik[valor],
  desp.m.ik[nucleo], $B143,
  desp.m.ik[centro.negocio], $B$129,
  desp.m.ik[mes], "&gt;="&amp;F$1,
  desp.m.ik[mes], "&lt;"&amp;EOMONTH(F$1,0)+1
)</f>
        <v>0</v>
      </c>
      <c r="G143" s="183">
        <f ca="1">-SUMIFS(
  desp.m.ik[valor],
  desp.m.ik[nucleo], $B143,
  desp.m.ik[centro.negocio], $B$129,
  desp.m.ik[mes], "&gt;="&amp;G$1,
  desp.m.ik[mes], "&lt;"&amp;EOMONTH(G$1,0)+1
)</f>
        <v>0</v>
      </c>
      <c r="H143" s="183">
        <f ca="1">-SUMIFS(
  desp.m.ik[valor],
  desp.m.ik[nucleo], $B143,
  desp.m.ik[centro.negocio], $B$129,
  desp.m.ik[mes], "&gt;="&amp;H$1,
  desp.m.ik[mes], "&lt;"&amp;EOMONTH(H$1,0)+1
)</f>
        <v>0</v>
      </c>
      <c r="I143" s="183">
        <f ca="1">-SUMIFS(
  desp.m.ik[valor],
  desp.m.ik[nucleo], $B143,
  desp.m.ik[centro.negocio], $B$129,
  desp.m.ik[mes], "&gt;="&amp;I$1,
  desp.m.ik[mes], "&lt;"&amp;EOMONTH(I$1,0)+1
)</f>
        <v>0</v>
      </c>
      <c r="J143" s="183">
        <f ca="1">-SUMIFS(
  desp.m.ik[valor],
  desp.m.ik[nucleo], $B143,
  desp.m.ik[centro.negocio], $B$129,
  desp.m.ik[mes], "&gt;="&amp;J$1,
  desp.m.ik[mes], "&lt;"&amp;EOMONTH(J$1,0)+1
)</f>
        <v>0</v>
      </c>
      <c r="K143" s="183">
        <f ca="1">-SUMIFS(
  desp.m.ik[valor],
  desp.m.ik[nucleo], $B143,
  desp.m.ik[centro.negocio], $B$129,
  desp.m.ik[mes], "&gt;="&amp;K$1,
  desp.m.ik[mes], "&lt;"&amp;EOMONTH(K$1,0)+1
)</f>
        <v>0</v>
      </c>
      <c r="L143" s="183">
        <f ca="1">-SUMIFS(
  desp.m.ik[valor],
  desp.m.ik[nucleo], $B143,
  desp.m.ik[centro.negocio], $B$129,
  desp.m.ik[mes], "&gt;="&amp;L$1,
  desp.m.ik[mes], "&lt;"&amp;EOMONTH(L$1,0)+1
)</f>
        <v>0</v>
      </c>
      <c r="M143" s="183">
        <f ca="1">-SUMIFS(
  desp.m.ik[valor],
  desp.m.ik[nucleo], $B143,
  desp.m.ik[centro.negocio], $B$129,
  desp.m.ik[mes], "&gt;="&amp;M$1,
  desp.m.ik[mes], "&lt;"&amp;EOMONTH(M$1,0)+1
)</f>
        <v>0</v>
      </c>
      <c r="N143" s="183">
        <f ca="1">-SUMIFS(
  desp.m.ik[valor],
  desp.m.ik[nucleo], $B143,
  desp.m.ik[centro.negocio], $B$129,
  desp.m.ik[mes], "&gt;="&amp;N$1,
  desp.m.ik[mes], "&lt;"&amp;EOMONTH(N$1,0)+1
)</f>
        <v>0</v>
      </c>
      <c r="O143" s="183">
        <f ca="1">-SUMIFS(
  desp.m.ik[valor],
  desp.m.ik[nucleo], $B143,
  desp.m.ik[centro.negocio], $B$129,
  desp.m.ik[mes], "&gt;="&amp;O$1,
  desp.m.ik[mes], "&lt;"&amp;EOMONTH(O$1,0)+1
)</f>
        <v>0</v>
      </c>
      <c r="P143" s="183">
        <f ca="1">-SUMIFS(
  desp.m.ik[valor],
  desp.m.ik[nucleo], $B143,
  desp.m.ik[centro.negocio], $B$129,
  desp.m.ik[mes], "&gt;="&amp;P$1,
  desp.m.ik[mes], "&lt;"&amp;EOMONTH(P$1,0)+1
)</f>
        <v>0</v>
      </c>
      <c r="Q143" s="183">
        <f ca="1">-SUMIFS(
  desp.m.ik[valor],
  desp.m.ik[nucleo], $B143,
  desp.m.ik[centro.negocio], $B$129,
  desp.m.ik[mes], "&gt;="&amp;Q$1,
  desp.m.ik[mes], "&lt;"&amp;EOMONTH(Q$1,0)+1
)</f>
        <v>0</v>
      </c>
      <c r="R143" s="183">
        <f ca="1">-SUMIFS(
  desp.m.ik[valor],
  desp.m.ik[nucleo], $B143,
  desp.m.ik[centro.negocio], $B$129,
  desp.m.ik[mes], "&gt;="&amp;R$1,
  desp.m.ik[mes], "&lt;"&amp;EOMONTH(R$1,0)+1
)</f>
        <v>0</v>
      </c>
      <c r="S143" s="183">
        <f ca="1">-SUMIFS(
  desp.m.ik[valor],
  desp.m.ik[nucleo], $B143,
  desp.m.ik[centro.negocio], $B$129,
  desp.m.ik[mes], "&gt;="&amp;S$1,
  desp.m.ik[mes], "&lt;"&amp;EOMONTH(S$1,0)+1
)</f>
        <v>0</v>
      </c>
      <c r="T143" s="183">
        <f ca="1">-SUMIFS(
  desp.m.ik[valor],
  desp.m.ik[nucleo], $B143,
  desp.m.ik[centro.negocio], $B$129,
  desp.m.ik[mes], "&gt;="&amp;T$1,
  desp.m.ik[mes], "&lt;"&amp;EOMONTH(T$1,0)+1
)</f>
        <v>0</v>
      </c>
      <c r="U143" s="183">
        <f ca="1">-SUMIFS(
  desp.m.ik[valor],
  desp.m.ik[nucleo], $B143,
  desp.m.ik[centro.negocio], $B$129,
  desp.m.ik[mes], "&gt;="&amp;U$1,
  desp.m.ik[mes], "&lt;"&amp;EOMONTH(U$1,0)+1
)</f>
        <v>0</v>
      </c>
      <c r="V143" s="183">
        <f ca="1">-SUMIFS(
  desp.m.ik[valor],
  desp.m.ik[nucleo], $B143,
  desp.m.ik[centro.negocio], $B$129,
  desp.m.ik[mes], "&gt;="&amp;V$1,
  desp.m.ik[mes], "&lt;"&amp;EOMONTH(V$1,0)+1
)</f>
        <v>0</v>
      </c>
      <c r="W143" s="183">
        <f ca="1">-SUMIFS(
  desp.m.ik[valor],
  desp.m.ik[nucleo], $B143,
  desp.m.ik[centro.negocio], $B$129,
  desp.m.ik[mes], "&gt;="&amp;W$1,
  desp.m.ik[mes], "&lt;"&amp;EOMONTH(W$1,0)+1
)</f>
        <v>0</v>
      </c>
      <c r="X143" s="183">
        <f ca="1">-SUMIFS(
  desp.m.ik[valor],
  desp.m.ik[nucleo], $B143,
  desp.m.ik[centro.negocio], $B$129,
  desp.m.ik[mes], "&gt;="&amp;X$1,
  desp.m.ik[mes], "&lt;"&amp;EOMONTH(X$1,0)+1
)</f>
        <v>0</v>
      </c>
      <c r="Y143" s="183">
        <f ca="1">-SUMIFS(
  desp.m.ik[valor],
  desp.m.ik[nucleo], $B143,
  desp.m.ik[centro.negocio], $B$129,
  desp.m.ik[mes], "&gt;="&amp;Y$1,
  desp.m.ik[mes], "&lt;"&amp;EOMONTH(Y$1,0)+1
)</f>
        <v>0</v>
      </c>
      <c r="Z143" s="183">
        <f ca="1">-SUMIFS(
  desp.m.ik[valor],
  desp.m.ik[nucleo], $B143,
  desp.m.ik[centro.negocio], $B$129,
  desp.m.ik[mes], "&gt;="&amp;Z$1,
  desp.m.ik[mes], "&lt;"&amp;EOMONTH(Z$1,0)+1
)</f>
        <v>0</v>
      </c>
      <c r="AA143" s="183">
        <f ca="1">-SUMIFS(
  desp.m.ik[valor],
  desp.m.ik[nucleo], $B143,
  desp.m.ik[centro.negocio], $B$129,
  desp.m.ik[mes], "&gt;="&amp;AA$1,
  desp.m.ik[mes], "&lt;"&amp;EOMONTH(AA$1,0)+1
)</f>
        <v>0</v>
      </c>
      <c r="AC143" s="175">
        <f ca="1">SUM($D143:INDEX($D143:$AA143,1,MATCH(DATE(YEAR(inputs!$A$1),MONTH(inputs!$A$1),1),$D$1:$AA$1,0)))</f>
        <v>0</v>
      </c>
      <c r="AE143" s="175">
        <f t="shared" ref="AE143:AE196" ca="1" si="32">SUM(D143:AA143)</f>
        <v>0</v>
      </c>
    </row>
    <row r="144" spans="1:31" outlineLevel="2" x14ac:dyDescent="0.25">
      <c r="A144" s="182" t="s">
        <v>990</v>
      </c>
      <c r="B144" s="182" t="s">
        <v>574</v>
      </c>
      <c r="C144" s="135" t="s">
        <v>514</v>
      </c>
      <c r="D144" s="183">
        <f ca="1">-SUMIFS(
  desp.m.ik[valor],
  desp.m.ik[nucleo], $B144,
  desp.m.ik[centro.negocio], $B$129,
  desp.m.ik[mes], "&gt;="&amp;D$1,
  desp.m.ik[mes], "&lt;"&amp;EOMONTH(D$1,0)+1
)</f>
        <v>0</v>
      </c>
      <c r="E144" s="183">
        <f ca="1">-SUMIFS(
  desp.m.ik[valor],
  desp.m.ik[nucleo], $B144,
  desp.m.ik[centro.negocio], $B$129,
  desp.m.ik[mes], "&gt;="&amp;E$1,
  desp.m.ik[mes], "&lt;"&amp;EOMONTH(E$1,0)+1
)</f>
        <v>0</v>
      </c>
      <c r="F144" s="183">
        <f ca="1">-SUMIFS(
  desp.m.ik[valor],
  desp.m.ik[nucleo], $B144,
  desp.m.ik[centro.negocio], $B$129,
  desp.m.ik[mes], "&gt;="&amp;F$1,
  desp.m.ik[mes], "&lt;"&amp;EOMONTH(F$1,0)+1
)</f>
        <v>0</v>
      </c>
      <c r="G144" s="183">
        <f ca="1">-SUMIFS(
  desp.m.ik[valor],
  desp.m.ik[nucleo], $B144,
  desp.m.ik[centro.negocio], $B$129,
  desp.m.ik[mes], "&gt;="&amp;G$1,
  desp.m.ik[mes], "&lt;"&amp;EOMONTH(G$1,0)+1
)</f>
        <v>0</v>
      </c>
      <c r="H144" s="183">
        <f ca="1">-SUMIFS(
  desp.m.ik[valor],
  desp.m.ik[nucleo], $B144,
  desp.m.ik[centro.negocio], $B$129,
  desp.m.ik[mes], "&gt;="&amp;H$1,
  desp.m.ik[mes], "&lt;"&amp;EOMONTH(H$1,0)+1
)</f>
        <v>0</v>
      </c>
      <c r="I144" s="183">
        <f ca="1">-SUMIFS(
  desp.m.ik[valor],
  desp.m.ik[nucleo], $B144,
  desp.m.ik[centro.negocio], $B$129,
  desp.m.ik[mes], "&gt;="&amp;I$1,
  desp.m.ik[mes], "&lt;"&amp;EOMONTH(I$1,0)+1
)</f>
        <v>0</v>
      </c>
      <c r="J144" s="183">
        <f ca="1">-SUMIFS(
  desp.m.ik[valor],
  desp.m.ik[nucleo], $B144,
  desp.m.ik[centro.negocio], $B$129,
  desp.m.ik[mes], "&gt;="&amp;J$1,
  desp.m.ik[mes], "&lt;"&amp;EOMONTH(J$1,0)+1
)</f>
        <v>0</v>
      </c>
      <c r="K144" s="183">
        <f ca="1">-SUMIFS(
  desp.m.ik[valor],
  desp.m.ik[nucleo], $B144,
  desp.m.ik[centro.negocio], $B$129,
  desp.m.ik[mes], "&gt;="&amp;K$1,
  desp.m.ik[mes], "&lt;"&amp;EOMONTH(K$1,0)+1
)</f>
        <v>0</v>
      </c>
      <c r="L144" s="183">
        <f ca="1">-SUMIFS(
  desp.m.ik[valor],
  desp.m.ik[nucleo], $B144,
  desp.m.ik[centro.negocio], $B$129,
  desp.m.ik[mes], "&gt;="&amp;L$1,
  desp.m.ik[mes], "&lt;"&amp;EOMONTH(L$1,0)+1
)</f>
        <v>0</v>
      </c>
      <c r="M144" s="183">
        <f ca="1">-SUMIFS(
  desp.m.ik[valor],
  desp.m.ik[nucleo], $B144,
  desp.m.ik[centro.negocio], $B$129,
  desp.m.ik[mes], "&gt;="&amp;M$1,
  desp.m.ik[mes], "&lt;"&amp;EOMONTH(M$1,0)+1
)</f>
        <v>0</v>
      </c>
      <c r="N144" s="183">
        <f ca="1">-SUMIFS(
  desp.m.ik[valor],
  desp.m.ik[nucleo], $B144,
  desp.m.ik[centro.negocio], $B$129,
  desp.m.ik[mes], "&gt;="&amp;N$1,
  desp.m.ik[mes], "&lt;"&amp;EOMONTH(N$1,0)+1
)</f>
        <v>0</v>
      </c>
      <c r="O144" s="183">
        <f ca="1">-SUMIFS(
  desp.m.ik[valor],
  desp.m.ik[nucleo], $B144,
  desp.m.ik[centro.negocio], $B$129,
  desp.m.ik[mes], "&gt;="&amp;O$1,
  desp.m.ik[mes], "&lt;"&amp;EOMONTH(O$1,0)+1
)</f>
        <v>0</v>
      </c>
      <c r="P144" s="183">
        <f ca="1">-SUMIFS(
  desp.m.ik[valor],
  desp.m.ik[nucleo], $B144,
  desp.m.ik[centro.negocio], $B$129,
  desp.m.ik[mes], "&gt;="&amp;P$1,
  desp.m.ik[mes], "&lt;"&amp;EOMONTH(P$1,0)+1
)</f>
        <v>0</v>
      </c>
      <c r="Q144" s="183">
        <f ca="1">-SUMIFS(
  desp.m.ik[valor],
  desp.m.ik[nucleo], $B144,
  desp.m.ik[centro.negocio], $B$129,
  desp.m.ik[mes], "&gt;="&amp;Q$1,
  desp.m.ik[mes], "&lt;"&amp;EOMONTH(Q$1,0)+1
)</f>
        <v>0</v>
      </c>
      <c r="R144" s="183">
        <f ca="1">-SUMIFS(
  desp.m.ik[valor],
  desp.m.ik[nucleo], $B144,
  desp.m.ik[centro.negocio], $B$129,
  desp.m.ik[mes], "&gt;="&amp;R$1,
  desp.m.ik[mes], "&lt;"&amp;EOMONTH(R$1,0)+1
)</f>
        <v>0</v>
      </c>
      <c r="S144" s="183">
        <f ca="1">-SUMIFS(
  desp.m.ik[valor],
  desp.m.ik[nucleo], $B144,
  desp.m.ik[centro.negocio], $B$129,
  desp.m.ik[mes], "&gt;="&amp;S$1,
  desp.m.ik[mes], "&lt;"&amp;EOMONTH(S$1,0)+1
)</f>
        <v>0</v>
      </c>
      <c r="T144" s="183">
        <f ca="1">-SUMIFS(
  desp.m.ik[valor],
  desp.m.ik[nucleo], $B144,
  desp.m.ik[centro.negocio], $B$129,
  desp.m.ik[mes], "&gt;="&amp;T$1,
  desp.m.ik[mes], "&lt;"&amp;EOMONTH(T$1,0)+1
)</f>
        <v>0</v>
      </c>
      <c r="U144" s="183">
        <f ca="1">-SUMIFS(
  desp.m.ik[valor],
  desp.m.ik[nucleo], $B144,
  desp.m.ik[centro.negocio], $B$129,
  desp.m.ik[mes], "&gt;="&amp;U$1,
  desp.m.ik[mes], "&lt;"&amp;EOMONTH(U$1,0)+1
)</f>
        <v>0</v>
      </c>
      <c r="V144" s="183">
        <f ca="1">-SUMIFS(
  desp.m.ik[valor],
  desp.m.ik[nucleo], $B144,
  desp.m.ik[centro.negocio], $B$129,
  desp.m.ik[mes], "&gt;="&amp;V$1,
  desp.m.ik[mes], "&lt;"&amp;EOMONTH(V$1,0)+1
)</f>
        <v>0</v>
      </c>
      <c r="W144" s="183">
        <f ca="1">-SUMIFS(
  desp.m.ik[valor],
  desp.m.ik[nucleo], $B144,
  desp.m.ik[centro.negocio], $B$129,
  desp.m.ik[mes], "&gt;="&amp;W$1,
  desp.m.ik[mes], "&lt;"&amp;EOMONTH(W$1,0)+1
)</f>
        <v>0</v>
      </c>
      <c r="X144" s="183">
        <f ca="1">-SUMIFS(
  desp.m.ik[valor],
  desp.m.ik[nucleo], $B144,
  desp.m.ik[centro.negocio], $B$129,
  desp.m.ik[mes], "&gt;="&amp;X$1,
  desp.m.ik[mes], "&lt;"&amp;EOMONTH(X$1,0)+1
)</f>
        <v>0</v>
      </c>
      <c r="Y144" s="183">
        <f ca="1">-SUMIFS(
  desp.m.ik[valor],
  desp.m.ik[nucleo], $B144,
  desp.m.ik[centro.negocio], $B$129,
  desp.m.ik[mes], "&gt;="&amp;Y$1,
  desp.m.ik[mes], "&lt;"&amp;EOMONTH(Y$1,0)+1
)</f>
        <v>0</v>
      </c>
      <c r="Z144" s="183">
        <f ca="1">-SUMIFS(
  desp.m.ik[valor],
  desp.m.ik[nucleo], $B144,
  desp.m.ik[centro.negocio], $B$129,
  desp.m.ik[mes], "&gt;="&amp;Z$1,
  desp.m.ik[mes], "&lt;"&amp;EOMONTH(Z$1,0)+1
)</f>
        <v>0</v>
      </c>
      <c r="AA144" s="183">
        <f ca="1">-SUMIFS(
  desp.m.ik[valor],
  desp.m.ik[nucleo], $B144,
  desp.m.ik[centro.negocio], $B$129,
  desp.m.ik[mes], "&gt;="&amp;AA$1,
  desp.m.ik[mes], "&lt;"&amp;EOMONTH(AA$1,0)+1
)</f>
        <v>0</v>
      </c>
      <c r="AC144" s="175">
        <f ca="1">SUM($D144:INDEX($D144:$AA144,1,MATCH(DATE(YEAR(inputs!$A$1),MONTH(inputs!$A$1),1),$D$1:$AA$1,0)))</f>
        <v>0</v>
      </c>
      <c r="AE144" s="175">
        <f t="shared" ca="1" si="32"/>
        <v>0</v>
      </c>
    </row>
    <row r="145" spans="1:31" outlineLevel="2" x14ac:dyDescent="0.25">
      <c r="A145" s="182" t="s">
        <v>991</v>
      </c>
      <c r="B145" s="182" t="s">
        <v>575</v>
      </c>
      <c r="C145" s="135" t="s">
        <v>514</v>
      </c>
      <c r="D145" s="183">
        <f ca="1">-SUMIFS(
  desp.m.ik[valor],
  desp.m.ik[nucleo], $B145,
  desp.m.ik[centro.negocio], $B$129,
  desp.m.ik[mes], "&gt;="&amp;D$1,
  desp.m.ik[mes], "&lt;"&amp;EOMONTH(D$1,0)+1
)</f>
        <v>0</v>
      </c>
      <c r="E145" s="183">
        <f ca="1">-SUMIFS(
  desp.m.ik[valor],
  desp.m.ik[nucleo], $B145,
  desp.m.ik[centro.negocio], $B$129,
  desp.m.ik[mes], "&gt;="&amp;E$1,
  desp.m.ik[mes], "&lt;"&amp;EOMONTH(E$1,0)+1
)</f>
        <v>0</v>
      </c>
      <c r="F145" s="183">
        <f ca="1">-SUMIFS(
  desp.m.ik[valor],
  desp.m.ik[nucleo], $B145,
  desp.m.ik[centro.negocio], $B$129,
  desp.m.ik[mes], "&gt;="&amp;F$1,
  desp.m.ik[mes], "&lt;"&amp;EOMONTH(F$1,0)+1
)</f>
        <v>0</v>
      </c>
      <c r="G145" s="183">
        <f ca="1">-SUMIFS(
  desp.m.ik[valor],
  desp.m.ik[nucleo], $B145,
  desp.m.ik[centro.negocio], $B$129,
  desp.m.ik[mes], "&gt;="&amp;G$1,
  desp.m.ik[mes], "&lt;"&amp;EOMONTH(G$1,0)+1
)</f>
        <v>0</v>
      </c>
      <c r="H145" s="183">
        <f ca="1">-SUMIFS(
  desp.m.ik[valor],
  desp.m.ik[nucleo], $B145,
  desp.m.ik[centro.negocio], $B$129,
  desp.m.ik[mes], "&gt;="&amp;H$1,
  desp.m.ik[mes], "&lt;"&amp;EOMONTH(H$1,0)+1
)</f>
        <v>0</v>
      </c>
      <c r="I145" s="183">
        <f ca="1">-SUMIFS(
  desp.m.ik[valor],
  desp.m.ik[nucleo], $B145,
  desp.m.ik[centro.negocio], $B$129,
  desp.m.ik[mes], "&gt;="&amp;I$1,
  desp.m.ik[mes], "&lt;"&amp;EOMONTH(I$1,0)+1
)</f>
        <v>0</v>
      </c>
      <c r="J145" s="183">
        <f ca="1">-SUMIFS(
  desp.m.ik[valor],
  desp.m.ik[nucleo], $B145,
  desp.m.ik[centro.negocio], $B$129,
  desp.m.ik[mes], "&gt;="&amp;J$1,
  desp.m.ik[mes], "&lt;"&amp;EOMONTH(J$1,0)+1
)</f>
        <v>0</v>
      </c>
      <c r="K145" s="183">
        <f ca="1">-SUMIFS(
  desp.m.ik[valor],
  desp.m.ik[nucleo], $B145,
  desp.m.ik[centro.negocio], $B$129,
  desp.m.ik[mes], "&gt;="&amp;K$1,
  desp.m.ik[mes], "&lt;"&amp;EOMONTH(K$1,0)+1
)</f>
        <v>0</v>
      </c>
      <c r="L145" s="183">
        <f ca="1">-SUMIFS(
  desp.m.ik[valor],
  desp.m.ik[nucleo], $B145,
  desp.m.ik[centro.negocio], $B$129,
  desp.m.ik[mes], "&gt;="&amp;L$1,
  desp.m.ik[mes], "&lt;"&amp;EOMONTH(L$1,0)+1
)</f>
        <v>0</v>
      </c>
      <c r="M145" s="183">
        <f ca="1">-SUMIFS(
  desp.m.ik[valor],
  desp.m.ik[nucleo], $B145,
  desp.m.ik[centro.negocio], $B$129,
  desp.m.ik[mes], "&gt;="&amp;M$1,
  desp.m.ik[mes], "&lt;"&amp;EOMONTH(M$1,0)+1
)</f>
        <v>0</v>
      </c>
      <c r="N145" s="183">
        <f ca="1">-SUMIFS(
  desp.m.ik[valor],
  desp.m.ik[nucleo], $B145,
  desp.m.ik[centro.negocio], $B$129,
  desp.m.ik[mes], "&gt;="&amp;N$1,
  desp.m.ik[mes], "&lt;"&amp;EOMONTH(N$1,0)+1
)</f>
        <v>0</v>
      </c>
      <c r="O145" s="183">
        <f ca="1">-SUMIFS(
  desp.m.ik[valor],
  desp.m.ik[nucleo], $B145,
  desp.m.ik[centro.negocio], $B$129,
  desp.m.ik[mes], "&gt;="&amp;O$1,
  desp.m.ik[mes], "&lt;"&amp;EOMONTH(O$1,0)+1
)</f>
        <v>0</v>
      </c>
      <c r="P145" s="183">
        <f ca="1">-SUMIFS(
  desp.m.ik[valor],
  desp.m.ik[nucleo], $B145,
  desp.m.ik[centro.negocio], $B$129,
  desp.m.ik[mes], "&gt;="&amp;P$1,
  desp.m.ik[mes], "&lt;"&amp;EOMONTH(P$1,0)+1
)</f>
        <v>0</v>
      </c>
      <c r="Q145" s="183">
        <f ca="1">-SUMIFS(
  desp.m.ik[valor],
  desp.m.ik[nucleo], $B145,
  desp.m.ik[centro.negocio], $B$129,
  desp.m.ik[mes], "&gt;="&amp;Q$1,
  desp.m.ik[mes], "&lt;"&amp;EOMONTH(Q$1,0)+1
)</f>
        <v>0</v>
      </c>
      <c r="R145" s="183">
        <f ca="1">-SUMIFS(
  desp.m.ik[valor],
  desp.m.ik[nucleo], $B145,
  desp.m.ik[centro.negocio], $B$129,
  desp.m.ik[mes], "&gt;="&amp;R$1,
  desp.m.ik[mes], "&lt;"&amp;EOMONTH(R$1,0)+1
)</f>
        <v>0</v>
      </c>
      <c r="S145" s="183">
        <f ca="1">-SUMIFS(
  desp.m.ik[valor],
  desp.m.ik[nucleo], $B145,
  desp.m.ik[centro.negocio], $B$129,
  desp.m.ik[mes], "&gt;="&amp;S$1,
  desp.m.ik[mes], "&lt;"&amp;EOMONTH(S$1,0)+1
)</f>
        <v>0</v>
      </c>
      <c r="T145" s="183">
        <f ca="1">-SUMIFS(
  desp.m.ik[valor],
  desp.m.ik[nucleo], $B145,
  desp.m.ik[centro.negocio], $B$129,
  desp.m.ik[mes], "&gt;="&amp;T$1,
  desp.m.ik[mes], "&lt;"&amp;EOMONTH(T$1,0)+1
)</f>
        <v>0</v>
      </c>
      <c r="U145" s="183">
        <f ca="1">-SUMIFS(
  desp.m.ik[valor],
  desp.m.ik[nucleo], $B145,
  desp.m.ik[centro.negocio], $B$129,
  desp.m.ik[mes], "&gt;="&amp;U$1,
  desp.m.ik[mes], "&lt;"&amp;EOMONTH(U$1,0)+1
)</f>
        <v>0</v>
      </c>
      <c r="V145" s="183">
        <f ca="1">-SUMIFS(
  desp.m.ik[valor],
  desp.m.ik[nucleo], $B145,
  desp.m.ik[centro.negocio], $B$129,
  desp.m.ik[mes], "&gt;="&amp;V$1,
  desp.m.ik[mes], "&lt;"&amp;EOMONTH(V$1,0)+1
)</f>
        <v>0</v>
      </c>
      <c r="W145" s="183">
        <f ca="1">-SUMIFS(
  desp.m.ik[valor],
  desp.m.ik[nucleo], $B145,
  desp.m.ik[centro.negocio], $B$129,
  desp.m.ik[mes], "&gt;="&amp;W$1,
  desp.m.ik[mes], "&lt;"&amp;EOMONTH(W$1,0)+1
)</f>
        <v>0</v>
      </c>
      <c r="X145" s="183">
        <f ca="1">-SUMIFS(
  desp.m.ik[valor],
  desp.m.ik[nucleo], $B145,
  desp.m.ik[centro.negocio], $B$129,
  desp.m.ik[mes], "&gt;="&amp;X$1,
  desp.m.ik[mes], "&lt;"&amp;EOMONTH(X$1,0)+1
)</f>
        <v>0</v>
      </c>
      <c r="Y145" s="183">
        <f ca="1">-SUMIFS(
  desp.m.ik[valor],
  desp.m.ik[nucleo], $B145,
  desp.m.ik[centro.negocio], $B$129,
  desp.m.ik[mes], "&gt;="&amp;Y$1,
  desp.m.ik[mes], "&lt;"&amp;EOMONTH(Y$1,0)+1
)</f>
        <v>0</v>
      </c>
      <c r="Z145" s="183">
        <f ca="1">-SUMIFS(
  desp.m.ik[valor],
  desp.m.ik[nucleo], $B145,
  desp.m.ik[centro.negocio], $B$129,
  desp.m.ik[mes], "&gt;="&amp;Z$1,
  desp.m.ik[mes], "&lt;"&amp;EOMONTH(Z$1,0)+1
)</f>
        <v>0</v>
      </c>
      <c r="AA145" s="183">
        <f ca="1">-SUMIFS(
  desp.m.ik[valor],
  desp.m.ik[nucleo], $B145,
  desp.m.ik[centro.negocio], $B$129,
  desp.m.ik[mes], "&gt;="&amp;AA$1,
  desp.m.ik[mes], "&lt;"&amp;EOMONTH(AA$1,0)+1
)</f>
        <v>0</v>
      </c>
      <c r="AC145" s="175">
        <f ca="1">SUM($D145:INDEX($D145:$AA145,1,MATCH(DATE(YEAR(inputs!$A$1),MONTH(inputs!$A$1),1),$D$1:$AA$1,0)))</f>
        <v>0</v>
      </c>
      <c r="AE145" s="175">
        <f t="shared" ca="1" si="32"/>
        <v>0</v>
      </c>
    </row>
    <row r="146" spans="1:31" outlineLevel="2" x14ac:dyDescent="0.25">
      <c r="A146" s="182" t="s">
        <v>989</v>
      </c>
      <c r="B146" s="182" t="s">
        <v>922</v>
      </c>
      <c r="C146" s="135" t="s">
        <v>514</v>
      </c>
      <c r="D146" s="183">
        <f ca="1">-SUMIFS(
  desp.m.ik[valor],
  desp.m.ik[nucleo], $B146,
  desp.m.ik[centro.negocio], $B$129,
  desp.m.ik[mes], "&gt;="&amp;D$1,
  desp.m.ik[mes], "&lt;"&amp;EOMONTH(D$1,0)+1
)</f>
        <v>0</v>
      </c>
      <c r="E146" s="183">
        <f ca="1">-SUMIFS(
  desp.m.ik[valor],
  desp.m.ik[nucleo], $B146,
  desp.m.ik[centro.negocio], $B$129,
  desp.m.ik[mes], "&gt;="&amp;E$1,
  desp.m.ik[mes], "&lt;"&amp;EOMONTH(E$1,0)+1
)</f>
        <v>0</v>
      </c>
      <c r="F146" s="183">
        <f ca="1">-SUMIFS(
  desp.m.ik[valor],
  desp.m.ik[nucleo], $B146,
  desp.m.ik[centro.negocio], $B$129,
  desp.m.ik[mes], "&gt;="&amp;F$1,
  desp.m.ik[mes], "&lt;"&amp;EOMONTH(F$1,0)+1
)</f>
        <v>0</v>
      </c>
      <c r="G146" s="183">
        <f ca="1">-SUMIFS(
  desp.m.ik[valor],
  desp.m.ik[nucleo], $B146,
  desp.m.ik[centro.negocio], $B$129,
  desp.m.ik[mes], "&gt;="&amp;G$1,
  desp.m.ik[mes], "&lt;"&amp;EOMONTH(G$1,0)+1
)</f>
        <v>0</v>
      </c>
      <c r="H146" s="183">
        <f ca="1">-SUMIFS(
  desp.m.ik[valor],
  desp.m.ik[nucleo], $B146,
  desp.m.ik[centro.negocio], $B$129,
  desp.m.ik[mes], "&gt;="&amp;H$1,
  desp.m.ik[mes], "&lt;"&amp;EOMONTH(H$1,0)+1
)</f>
        <v>0</v>
      </c>
      <c r="I146" s="183">
        <f ca="1">-SUMIFS(
  desp.m.ik[valor],
  desp.m.ik[nucleo], $B146,
  desp.m.ik[centro.negocio], $B$129,
  desp.m.ik[mes], "&gt;="&amp;I$1,
  desp.m.ik[mes], "&lt;"&amp;EOMONTH(I$1,0)+1
)</f>
        <v>0</v>
      </c>
      <c r="J146" s="183">
        <f ca="1">-SUMIFS(
  desp.m.ik[valor],
  desp.m.ik[nucleo], $B146,
  desp.m.ik[centro.negocio], $B$129,
  desp.m.ik[mes], "&gt;="&amp;J$1,
  desp.m.ik[mes], "&lt;"&amp;EOMONTH(J$1,0)+1
)</f>
        <v>0</v>
      </c>
      <c r="K146" s="183">
        <f ca="1">-SUMIFS(
  desp.m.ik[valor],
  desp.m.ik[nucleo], $B146,
  desp.m.ik[centro.negocio], $B$129,
  desp.m.ik[mes], "&gt;="&amp;K$1,
  desp.m.ik[mes], "&lt;"&amp;EOMONTH(K$1,0)+1
)</f>
        <v>0</v>
      </c>
      <c r="L146" s="183">
        <f ca="1">-SUMIFS(
  desp.m.ik[valor],
  desp.m.ik[nucleo], $B146,
  desp.m.ik[centro.negocio], $B$129,
  desp.m.ik[mes], "&gt;="&amp;L$1,
  desp.m.ik[mes], "&lt;"&amp;EOMONTH(L$1,0)+1
)</f>
        <v>0</v>
      </c>
      <c r="M146" s="183">
        <f ca="1">-SUMIFS(
  desp.m.ik[valor],
  desp.m.ik[nucleo], $B146,
  desp.m.ik[centro.negocio], $B$129,
  desp.m.ik[mes], "&gt;="&amp;M$1,
  desp.m.ik[mes], "&lt;"&amp;EOMONTH(M$1,0)+1
)</f>
        <v>0</v>
      </c>
      <c r="N146" s="183">
        <f ca="1">-SUMIFS(
  desp.m.ik[valor],
  desp.m.ik[nucleo], $B146,
  desp.m.ik[centro.negocio], $B$129,
  desp.m.ik[mes], "&gt;="&amp;N$1,
  desp.m.ik[mes], "&lt;"&amp;EOMONTH(N$1,0)+1
)</f>
        <v>0</v>
      </c>
      <c r="O146" s="183">
        <f ca="1">-SUMIFS(
  desp.m.ik[valor],
  desp.m.ik[nucleo], $B146,
  desp.m.ik[centro.negocio], $B$129,
  desp.m.ik[mes], "&gt;="&amp;O$1,
  desp.m.ik[mes], "&lt;"&amp;EOMONTH(O$1,0)+1
)</f>
        <v>0</v>
      </c>
      <c r="P146" s="183">
        <f ca="1">-SUMIFS(
  desp.m.ik[valor],
  desp.m.ik[nucleo], $B146,
  desp.m.ik[centro.negocio], $B$129,
  desp.m.ik[mes], "&gt;="&amp;P$1,
  desp.m.ik[mes], "&lt;"&amp;EOMONTH(P$1,0)+1
)</f>
        <v>0</v>
      </c>
      <c r="Q146" s="183">
        <f ca="1">-SUMIFS(
  desp.m.ik[valor],
  desp.m.ik[nucleo], $B146,
  desp.m.ik[centro.negocio], $B$129,
  desp.m.ik[mes], "&gt;="&amp;Q$1,
  desp.m.ik[mes], "&lt;"&amp;EOMONTH(Q$1,0)+1
)</f>
        <v>0</v>
      </c>
      <c r="R146" s="183">
        <f ca="1">-SUMIFS(
  desp.m.ik[valor],
  desp.m.ik[nucleo], $B146,
  desp.m.ik[centro.negocio], $B$129,
  desp.m.ik[mes], "&gt;="&amp;R$1,
  desp.m.ik[mes], "&lt;"&amp;EOMONTH(R$1,0)+1
)</f>
        <v>0</v>
      </c>
      <c r="S146" s="183">
        <f ca="1">-SUMIFS(
  desp.m.ik[valor],
  desp.m.ik[nucleo], $B146,
  desp.m.ik[centro.negocio], $B$129,
  desp.m.ik[mes], "&gt;="&amp;S$1,
  desp.m.ik[mes], "&lt;"&amp;EOMONTH(S$1,0)+1
)</f>
        <v>0</v>
      </c>
      <c r="T146" s="183">
        <f ca="1">-SUMIFS(
  desp.m.ik[valor],
  desp.m.ik[nucleo], $B146,
  desp.m.ik[centro.negocio], $B$129,
  desp.m.ik[mes], "&gt;="&amp;T$1,
  desp.m.ik[mes], "&lt;"&amp;EOMONTH(T$1,0)+1
)</f>
        <v>0</v>
      </c>
      <c r="U146" s="183">
        <f ca="1">-SUMIFS(
  desp.m.ik[valor],
  desp.m.ik[nucleo], $B146,
  desp.m.ik[centro.negocio], $B$129,
  desp.m.ik[mes], "&gt;="&amp;U$1,
  desp.m.ik[mes], "&lt;"&amp;EOMONTH(U$1,0)+1
)</f>
        <v>0</v>
      </c>
      <c r="V146" s="183">
        <f ca="1">-SUMIFS(
  desp.m.ik[valor],
  desp.m.ik[nucleo], $B146,
  desp.m.ik[centro.negocio], $B$129,
  desp.m.ik[mes], "&gt;="&amp;V$1,
  desp.m.ik[mes], "&lt;"&amp;EOMONTH(V$1,0)+1
)</f>
        <v>0</v>
      </c>
      <c r="W146" s="183">
        <f ca="1">-SUMIFS(
  desp.m.ik[valor],
  desp.m.ik[nucleo], $B146,
  desp.m.ik[centro.negocio], $B$129,
  desp.m.ik[mes], "&gt;="&amp;W$1,
  desp.m.ik[mes], "&lt;"&amp;EOMONTH(W$1,0)+1
)</f>
        <v>0</v>
      </c>
      <c r="X146" s="183">
        <f ca="1">-SUMIFS(
  desp.m.ik[valor],
  desp.m.ik[nucleo], $B146,
  desp.m.ik[centro.negocio], $B$129,
  desp.m.ik[mes], "&gt;="&amp;X$1,
  desp.m.ik[mes], "&lt;"&amp;EOMONTH(X$1,0)+1
)</f>
        <v>0</v>
      </c>
      <c r="Y146" s="183">
        <f ca="1">-SUMIFS(
  desp.m.ik[valor],
  desp.m.ik[nucleo], $B146,
  desp.m.ik[centro.negocio], $B$129,
  desp.m.ik[mes], "&gt;="&amp;Y$1,
  desp.m.ik[mes], "&lt;"&amp;EOMONTH(Y$1,0)+1
)</f>
        <v>0</v>
      </c>
      <c r="Z146" s="183">
        <f ca="1">-SUMIFS(
  desp.m.ik[valor],
  desp.m.ik[nucleo], $B146,
  desp.m.ik[centro.negocio], $B$129,
  desp.m.ik[mes], "&gt;="&amp;Z$1,
  desp.m.ik[mes], "&lt;"&amp;EOMONTH(Z$1,0)+1
)</f>
        <v>0</v>
      </c>
      <c r="AA146" s="183">
        <f ca="1">-SUMIFS(
  desp.m.ik[valor],
  desp.m.ik[nucleo], $B146,
  desp.m.ik[centro.negocio], $B$129,
  desp.m.ik[mes], "&gt;="&amp;AA$1,
  desp.m.ik[mes], "&lt;"&amp;EOMONTH(AA$1,0)+1
)</f>
        <v>0</v>
      </c>
      <c r="AC146" s="175">
        <f ca="1">SUM($D146:INDEX($D146:$AA146,1,MATCH(DATE(YEAR(inputs!$A$1),MONTH(inputs!$A$1),1),$D$1:$AA$1,0)))</f>
        <v>0</v>
      </c>
      <c r="AE146" s="175">
        <f ca="1">SUM(D146:AA146)</f>
        <v>0</v>
      </c>
    </row>
    <row r="147" spans="1:31" outlineLevel="2" x14ac:dyDescent="0.25">
      <c r="A147" s="182" t="s">
        <v>992</v>
      </c>
      <c r="B147" s="182" t="s">
        <v>556</v>
      </c>
      <c r="C147" s="135" t="s">
        <v>514</v>
      </c>
      <c r="D147" s="183">
        <f ca="1">-SUMIFS(
  desp.m.ik[valor],
  desp.m.ik[nucleo], $B147,
  desp.m.ik[centro.negocio], $B$129,
  desp.m.ik[mes], "&gt;="&amp;D$1,
  desp.m.ik[mes], "&lt;"&amp;EOMONTH(D$1,0)+1
)</f>
        <v>0</v>
      </c>
      <c r="E147" s="183">
        <f ca="1">-SUMIFS(
  desp.m.ik[valor],
  desp.m.ik[nucleo], $B147,
  desp.m.ik[centro.negocio], $B$129,
  desp.m.ik[mes], "&gt;="&amp;E$1,
  desp.m.ik[mes], "&lt;"&amp;EOMONTH(E$1,0)+1
)</f>
        <v>0</v>
      </c>
      <c r="F147" s="183">
        <f ca="1">-SUMIFS(
  desp.m.ik[valor],
  desp.m.ik[nucleo], $B147,
  desp.m.ik[centro.negocio], $B$129,
  desp.m.ik[mes], "&gt;="&amp;F$1,
  desp.m.ik[mes], "&lt;"&amp;EOMONTH(F$1,0)+1
)</f>
        <v>0</v>
      </c>
      <c r="G147" s="183">
        <f ca="1">-SUMIFS(
  desp.m.ik[valor],
  desp.m.ik[nucleo], $B147,
  desp.m.ik[centro.negocio], $B$129,
  desp.m.ik[mes], "&gt;="&amp;G$1,
  desp.m.ik[mes], "&lt;"&amp;EOMONTH(G$1,0)+1
)</f>
        <v>0</v>
      </c>
      <c r="H147" s="183">
        <f ca="1">-SUMIFS(
  desp.m.ik[valor],
  desp.m.ik[nucleo], $B147,
  desp.m.ik[centro.negocio], $B$129,
  desp.m.ik[mes], "&gt;="&amp;H$1,
  desp.m.ik[mes], "&lt;"&amp;EOMONTH(H$1,0)+1
)</f>
        <v>0</v>
      </c>
      <c r="I147" s="183">
        <f ca="1">-SUMIFS(
  desp.m.ik[valor],
  desp.m.ik[nucleo], $B147,
  desp.m.ik[centro.negocio], $B$129,
  desp.m.ik[mes], "&gt;="&amp;I$1,
  desp.m.ik[mes], "&lt;"&amp;EOMONTH(I$1,0)+1
)</f>
        <v>0</v>
      </c>
      <c r="J147" s="183">
        <f ca="1">-SUMIFS(
  desp.m.ik[valor],
  desp.m.ik[nucleo], $B147,
  desp.m.ik[centro.negocio], $B$129,
  desp.m.ik[mes], "&gt;="&amp;J$1,
  desp.m.ik[mes], "&lt;"&amp;EOMONTH(J$1,0)+1
)</f>
        <v>0</v>
      </c>
      <c r="K147" s="183">
        <f ca="1">-SUMIFS(
  desp.m.ik[valor],
  desp.m.ik[nucleo], $B147,
  desp.m.ik[centro.negocio], $B$129,
  desp.m.ik[mes], "&gt;="&amp;K$1,
  desp.m.ik[mes], "&lt;"&amp;EOMONTH(K$1,0)+1
)</f>
        <v>0</v>
      </c>
      <c r="L147" s="183">
        <f ca="1">-SUMIFS(
  desp.m.ik[valor],
  desp.m.ik[nucleo], $B147,
  desp.m.ik[centro.negocio], $B$129,
  desp.m.ik[mes], "&gt;="&amp;L$1,
  desp.m.ik[mes], "&lt;"&amp;EOMONTH(L$1,0)+1
)</f>
        <v>0</v>
      </c>
      <c r="M147" s="183">
        <f ca="1">-SUMIFS(
  desp.m.ik[valor],
  desp.m.ik[nucleo], $B147,
  desp.m.ik[centro.negocio], $B$129,
  desp.m.ik[mes], "&gt;="&amp;M$1,
  desp.m.ik[mes], "&lt;"&amp;EOMONTH(M$1,0)+1
)</f>
        <v>0</v>
      </c>
      <c r="N147" s="183">
        <f ca="1">-SUMIFS(
  desp.m.ik[valor],
  desp.m.ik[nucleo], $B147,
  desp.m.ik[centro.negocio], $B$129,
  desp.m.ik[mes], "&gt;="&amp;N$1,
  desp.m.ik[mes], "&lt;"&amp;EOMONTH(N$1,0)+1
)</f>
        <v>0</v>
      </c>
      <c r="O147" s="183">
        <f ca="1">-SUMIFS(
  desp.m.ik[valor],
  desp.m.ik[nucleo], $B147,
  desp.m.ik[centro.negocio], $B$129,
  desp.m.ik[mes], "&gt;="&amp;O$1,
  desp.m.ik[mes], "&lt;"&amp;EOMONTH(O$1,0)+1
)</f>
        <v>0</v>
      </c>
      <c r="P147" s="183">
        <f ca="1">-SUMIFS(
  desp.m.ik[valor],
  desp.m.ik[nucleo], $B147,
  desp.m.ik[centro.negocio], $B$129,
  desp.m.ik[mes], "&gt;="&amp;P$1,
  desp.m.ik[mes], "&lt;"&amp;EOMONTH(P$1,0)+1
)</f>
        <v>0</v>
      </c>
      <c r="Q147" s="183">
        <f ca="1">-SUMIFS(
  desp.m.ik[valor],
  desp.m.ik[nucleo], $B147,
  desp.m.ik[centro.negocio], $B$129,
  desp.m.ik[mes], "&gt;="&amp;Q$1,
  desp.m.ik[mes], "&lt;"&amp;EOMONTH(Q$1,0)+1
)</f>
        <v>0</v>
      </c>
      <c r="R147" s="183">
        <f ca="1">-SUMIFS(
  desp.m.ik[valor],
  desp.m.ik[nucleo], $B147,
  desp.m.ik[centro.negocio], $B$129,
  desp.m.ik[mes], "&gt;="&amp;R$1,
  desp.m.ik[mes], "&lt;"&amp;EOMONTH(R$1,0)+1
)</f>
        <v>0</v>
      </c>
      <c r="S147" s="183">
        <f ca="1">-SUMIFS(
  desp.m.ik[valor],
  desp.m.ik[nucleo], $B147,
  desp.m.ik[centro.negocio], $B$129,
  desp.m.ik[mes], "&gt;="&amp;S$1,
  desp.m.ik[mes], "&lt;"&amp;EOMONTH(S$1,0)+1
)</f>
        <v>0</v>
      </c>
      <c r="T147" s="183">
        <f ca="1">-SUMIFS(
  desp.m.ik[valor],
  desp.m.ik[nucleo], $B147,
  desp.m.ik[centro.negocio], $B$129,
  desp.m.ik[mes], "&gt;="&amp;T$1,
  desp.m.ik[mes], "&lt;"&amp;EOMONTH(T$1,0)+1
)</f>
        <v>0</v>
      </c>
      <c r="U147" s="183">
        <f ca="1">-SUMIFS(
  desp.m.ik[valor],
  desp.m.ik[nucleo], $B147,
  desp.m.ik[centro.negocio], $B$129,
  desp.m.ik[mes], "&gt;="&amp;U$1,
  desp.m.ik[mes], "&lt;"&amp;EOMONTH(U$1,0)+1
)</f>
        <v>0</v>
      </c>
      <c r="V147" s="183">
        <f ca="1">-SUMIFS(
  desp.m.ik[valor],
  desp.m.ik[nucleo], $B147,
  desp.m.ik[centro.negocio], $B$129,
  desp.m.ik[mes], "&gt;="&amp;V$1,
  desp.m.ik[mes], "&lt;"&amp;EOMONTH(V$1,0)+1
)</f>
        <v>0</v>
      </c>
      <c r="W147" s="183">
        <f ca="1">-SUMIFS(
  desp.m.ik[valor],
  desp.m.ik[nucleo], $B147,
  desp.m.ik[centro.negocio], $B$129,
  desp.m.ik[mes], "&gt;="&amp;W$1,
  desp.m.ik[mes], "&lt;"&amp;EOMONTH(W$1,0)+1
)</f>
        <v>0</v>
      </c>
      <c r="X147" s="183">
        <f ca="1">-SUMIFS(
  desp.m.ik[valor],
  desp.m.ik[nucleo], $B147,
  desp.m.ik[centro.negocio], $B$129,
  desp.m.ik[mes], "&gt;="&amp;X$1,
  desp.m.ik[mes], "&lt;"&amp;EOMONTH(X$1,0)+1
)</f>
        <v>0</v>
      </c>
      <c r="Y147" s="183">
        <f ca="1">-SUMIFS(
  desp.m.ik[valor],
  desp.m.ik[nucleo], $B147,
  desp.m.ik[centro.negocio], $B$129,
  desp.m.ik[mes], "&gt;="&amp;Y$1,
  desp.m.ik[mes], "&lt;"&amp;EOMONTH(Y$1,0)+1
)</f>
        <v>0</v>
      </c>
      <c r="Z147" s="183">
        <f ca="1">-SUMIFS(
  desp.m.ik[valor],
  desp.m.ik[nucleo], $B147,
  desp.m.ik[centro.negocio], $B$129,
  desp.m.ik[mes], "&gt;="&amp;Z$1,
  desp.m.ik[mes], "&lt;"&amp;EOMONTH(Z$1,0)+1
)</f>
        <v>0</v>
      </c>
      <c r="AA147" s="183">
        <f ca="1">-SUMIFS(
  desp.m.ik[valor],
  desp.m.ik[nucleo], $B147,
  desp.m.ik[centro.negocio], $B$129,
  desp.m.ik[mes], "&gt;="&amp;AA$1,
  desp.m.ik[mes], "&lt;"&amp;EOMONTH(AA$1,0)+1
)</f>
        <v>0</v>
      </c>
      <c r="AC147" s="175">
        <f ca="1">SUM($D147:INDEX($D147:$AA147,1,MATCH(DATE(YEAR(inputs!$A$1),MONTH(inputs!$A$1),1),$D$1:$AA$1,0)))</f>
        <v>0</v>
      </c>
      <c r="AE147" s="175">
        <f t="shared" ca="1" si="32"/>
        <v>0</v>
      </c>
    </row>
    <row r="148" spans="1:31" outlineLevel="2" x14ac:dyDescent="0.25">
      <c r="A148" s="182" t="s">
        <v>993</v>
      </c>
      <c r="B148" s="182" t="s">
        <v>706</v>
      </c>
      <c r="C148" s="135" t="s">
        <v>514</v>
      </c>
      <c r="D148" s="183">
        <f ca="1">-SUMIFS(
  desp.m.ik[valor],
  desp.m.ik[nucleo], $B148,
  desp.m.ik[centro.negocio], $B$129,
  desp.m.ik[mes], "&gt;="&amp;D$1,
  desp.m.ik[mes], "&lt;"&amp;EOMONTH(D$1,0)+1
)</f>
        <v>0</v>
      </c>
      <c r="E148" s="183">
        <f ca="1">-SUMIFS(
  desp.m.ik[valor],
  desp.m.ik[nucleo], $B148,
  desp.m.ik[centro.negocio], $B$129,
  desp.m.ik[mes], "&gt;="&amp;E$1,
  desp.m.ik[mes], "&lt;"&amp;EOMONTH(E$1,0)+1
)</f>
        <v>0</v>
      </c>
      <c r="F148" s="183">
        <f ca="1">-SUMIFS(
  desp.m.ik[valor],
  desp.m.ik[nucleo], $B148,
  desp.m.ik[centro.negocio], $B$129,
  desp.m.ik[mes], "&gt;="&amp;F$1,
  desp.m.ik[mes], "&lt;"&amp;EOMONTH(F$1,0)+1
)</f>
        <v>0</v>
      </c>
      <c r="G148" s="183">
        <f ca="1">-SUMIFS(
  desp.m.ik[valor],
  desp.m.ik[nucleo], $B148,
  desp.m.ik[centro.negocio], $B$129,
  desp.m.ik[mes], "&gt;="&amp;G$1,
  desp.m.ik[mes], "&lt;"&amp;EOMONTH(G$1,0)+1
)</f>
        <v>0</v>
      </c>
      <c r="H148" s="183">
        <f ca="1">-SUMIFS(
  desp.m.ik[valor],
  desp.m.ik[nucleo], $B148,
  desp.m.ik[centro.negocio], $B$129,
  desp.m.ik[mes], "&gt;="&amp;H$1,
  desp.m.ik[mes], "&lt;"&amp;EOMONTH(H$1,0)+1
)</f>
        <v>0</v>
      </c>
      <c r="I148" s="183">
        <f ca="1">-SUMIFS(
  desp.m.ik[valor],
  desp.m.ik[nucleo], $B148,
  desp.m.ik[centro.negocio], $B$129,
  desp.m.ik[mes], "&gt;="&amp;I$1,
  desp.m.ik[mes], "&lt;"&amp;EOMONTH(I$1,0)+1
)</f>
        <v>0</v>
      </c>
      <c r="J148" s="183">
        <f ca="1">-SUMIFS(
  desp.m.ik[valor],
  desp.m.ik[nucleo], $B148,
  desp.m.ik[centro.negocio], $B$129,
  desp.m.ik[mes], "&gt;="&amp;J$1,
  desp.m.ik[mes], "&lt;"&amp;EOMONTH(J$1,0)+1
)</f>
        <v>0</v>
      </c>
      <c r="K148" s="183">
        <f ca="1">-SUMIFS(
  desp.m.ik[valor],
  desp.m.ik[nucleo], $B148,
  desp.m.ik[centro.negocio], $B$129,
  desp.m.ik[mes], "&gt;="&amp;K$1,
  desp.m.ik[mes], "&lt;"&amp;EOMONTH(K$1,0)+1
)</f>
        <v>0</v>
      </c>
      <c r="L148" s="183">
        <f ca="1">-SUMIFS(
  desp.m.ik[valor],
  desp.m.ik[nucleo], $B148,
  desp.m.ik[centro.negocio], $B$129,
  desp.m.ik[mes], "&gt;="&amp;L$1,
  desp.m.ik[mes], "&lt;"&amp;EOMONTH(L$1,0)+1
)</f>
        <v>0</v>
      </c>
      <c r="M148" s="183">
        <f ca="1">-SUMIFS(
  desp.m.ik[valor],
  desp.m.ik[nucleo], $B148,
  desp.m.ik[centro.negocio], $B$129,
  desp.m.ik[mes], "&gt;="&amp;M$1,
  desp.m.ik[mes], "&lt;"&amp;EOMONTH(M$1,0)+1
)</f>
        <v>0</v>
      </c>
      <c r="N148" s="183">
        <f ca="1">-SUMIFS(
  desp.m.ik[valor],
  desp.m.ik[nucleo], $B148,
  desp.m.ik[centro.negocio], $B$129,
  desp.m.ik[mes], "&gt;="&amp;N$1,
  desp.m.ik[mes], "&lt;"&amp;EOMONTH(N$1,0)+1
)</f>
        <v>0</v>
      </c>
      <c r="O148" s="183">
        <f ca="1">-SUMIFS(
  desp.m.ik[valor],
  desp.m.ik[nucleo], $B148,
  desp.m.ik[centro.negocio], $B$129,
  desp.m.ik[mes], "&gt;="&amp;O$1,
  desp.m.ik[mes], "&lt;"&amp;EOMONTH(O$1,0)+1
)</f>
        <v>0</v>
      </c>
      <c r="P148" s="183">
        <f ca="1">-SUMIFS(
  desp.m.ik[valor],
  desp.m.ik[nucleo], $B148,
  desp.m.ik[centro.negocio], $B$129,
  desp.m.ik[mes], "&gt;="&amp;P$1,
  desp.m.ik[mes], "&lt;"&amp;EOMONTH(P$1,0)+1
)</f>
        <v>0</v>
      </c>
      <c r="Q148" s="183">
        <f ca="1">-SUMIFS(
  desp.m.ik[valor],
  desp.m.ik[nucleo], $B148,
  desp.m.ik[centro.negocio], $B$129,
  desp.m.ik[mes], "&gt;="&amp;Q$1,
  desp.m.ik[mes], "&lt;"&amp;EOMONTH(Q$1,0)+1
)</f>
        <v>0</v>
      </c>
      <c r="R148" s="183">
        <f ca="1">-SUMIFS(
  desp.m.ik[valor],
  desp.m.ik[nucleo], $B148,
  desp.m.ik[centro.negocio], $B$129,
  desp.m.ik[mes], "&gt;="&amp;R$1,
  desp.m.ik[mes], "&lt;"&amp;EOMONTH(R$1,0)+1
)</f>
        <v>0</v>
      </c>
      <c r="S148" s="183">
        <f ca="1">-SUMIFS(
  desp.m.ik[valor],
  desp.m.ik[nucleo], $B148,
  desp.m.ik[centro.negocio], $B$129,
  desp.m.ik[mes], "&gt;="&amp;S$1,
  desp.m.ik[mes], "&lt;"&amp;EOMONTH(S$1,0)+1
)</f>
        <v>0</v>
      </c>
      <c r="T148" s="183">
        <f ca="1">-SUMIFS(
  desp.m.ik[valor],
  desp.m.ik[nucleo], $B148,
  desp.m.ik[centro.negocio], $B$129,
  desp.m.ik[mes], "&gt;="&amp;T$1,
  desp.m.ik[mes], "&lt;"&amp;EOMONTH(T$1,0)+1
)</f>
        <v>0</v>
      </c>
      <c r="U148" s="183">
        <f ca="1">-SUMIFS(
  desp.m.ik[valor],
  desp.m.ik[nucleo], $B148,
  desp.m.ik[centro.negocio], $B$129,
  desp.m.ik[mes], "&gt;="&amp;U$1,
  desp.m.ik[mes], "&lt;"&amp;EOMONTH(U$1,0)+1
)</f>
        <v>0</v>
      </c>
      <c r="V148" s="183">
        <f ca="1">-SUMIFS(
  desp.m.ik[valor],
  desp.m.ik[nucleo], $B148,
  desp.m.ik[centro.negocio], $B$129,
  desp.m.ik[mes], "&gt;="&amp;V$1,
  desp.m.ik[mes], "&lt;"&amp;EOMONTH(V$1,0)+1
)</f>
        <v>0</v>
      </c>
      <c r="W148" s="183">
        <f ca="1">-SUMIFS(
  desp.m.ik[valor],
  desp.m.ik[nucleo], $B148,
  desp.m.ik[centro.negocio], $B$129,
  desp.m.ik[mes], "&gt;="&amp;W$1,
  desp.m.ik[mes], "&lt;"&amp;EOMONTH(W$1,0)+1
)</f>
        <v>0</v>
      </c>
      <c r="X148" s="183">
        <f ca="1">-SUMIFS(
  desp.m.ik[valor],
  desp.m.ik[nucleo], $B148,
  desp.m.ik[centro.negocio], $B$129,
  desp.m.ik[mes], "&gt;="&amp;X$1,
  desp.m.ik[mes], "&lt;"&amp;EOMONTH(X$1,0)+1
)</f>
        <v>0</v>
      </c>
      <c r="Y148" s="183">
        <f ca="1">-SUMIFS(
  desp.m.ik[valor],
  desp.m.ik[nucleo], $B148,
  desp.m.ik[centro.negocio], $B$129,
  desp.m.ik[mes], "&gt;="&amp;Y$1,
  desp.m.ik[mes], "&lt;"&amp;EOMONTH(Y$1,0)+1
)</f>
        <v>0</v>
      </c>
      <c r="Z148" s="183">
        <f ca="1">-SUMIFS(
  desp.m.ik[valor],
  desp.m.ik[nucleo], $B148,
  desp.m.ik[centro.negocio], $B$129,
  desp.m.ik[mes], "&gt;="&amp;Z$1,
  desp.m.ik[mes], "&lt;"&amp;EOMONTH(Z$1,0)+1
)</f>
        <v>0</v>
      </c>
      <c r="AA148" s="183">
        <f ca="1">-SUMIFS(
  desp.m.ik[valor],
  desp.m.ik[nucleo], $B148,
  desp.m.ik[centro.negocio], $B$129,
  desp.m.ik[mes], "&gt;="&amp;AA$1,
  desp.m.ik[mes], "&lt;"&amp;EOMONTH(AA$1,0)+1
)</f>
        <v>0</v>
      </c>
      <c r="AC148" s="175">
        <f ca="1">SUM($D148:INDEX($D148:$AA148,1,MATCH(DATE(YEAR(inputs!$A$1),MONTH(inputs!$A$1),1),$D$1:$AA$1,0)))</f>
        <v>0</v>
      </c>
      <c r="AE148" s="175">
        <f t="shared" ca="1" si="32"/>
        <v>0</v>
      </c>
    </row>
    <row r="149" spans="1:31" outlineLevel="2" x14ac:dyDescent="0.25">
      <c r="A149" s="182" t="s">
        <v>993</v>
      </c>
      <c r="B149" s="182" t="s">
        <v>577</v>
      </c>
      <c r="C149" s="135" t="s">
        <v>514</v>
      </c>
      <c r="D149" s="183">
        <f ca="1">-SUMIFS(
  desp.m.ik[valor],
  desp.m.ik[nucleo], $B149,
  desp.m.ik[centro.negocio], $B$129,
  desp.m.ik[mes], "&gt;="&amp;D$1,
  desp.m.ik[mes], "&lt;"&amp;EOMONTH(D$1,0)+1
)</f>
        <v>0</v>
      </c>
      <c r="E149" s="183">
        <f ca="1">-SUMIFS(
  desp.m.ik[valor],
  desp.m.ik[nucleo], $B149,
  desp.m.ik[centro.negocio], $B$129,
  desp.m.ik[mes], "&gt;="&amp;E$1,
  desp.m.ik[mes], "&lt;"&amp;EOMONTH(E$1,0)+1
)</f>
        <v>0</v>
      </c>
      <c r="F149" s="183">
        <f ca="1">-SUMIFS(
  desp.m.ik[valor],
  desp.m.ik[nucleo], $B149,
  desp.m.ik[centro.negocio], $B$129,
  desp.m.ik[mes], "&gt;="&amp;F$1,
  desp.m.ik[mes], "&lt;"&amp;EOMONTH(F$1,0)+1
)</f>
        <v>0</v>
      </c>
      <c r="G149" s="183">
        <f ca="1">-SUMIFS(
  desp.m.ik[valor],
  desp.m.ik[nucleo], $B149,
  desp.m.ik[centro.negocio], $B$129,
  desp.m.ik[mes], "&gt;="&amp;G$1,
  desp.m.ik[mes], "&lt;"&amp;EOMONTH(G$1,0)+1
)</f>
        <v>0</v>
      </c>
      <c r="H149" s="183">
        <f ca="1">-SUMIFS(
  desp.m.ik[valor],
  desp.m.ik[nucleo], $B149,
  desp.m.ik[centro.negocio], $B$129,
  desp.m.ik[mes], "&gt;="&amp;H$1,
  desp.m.ik[mes], "&lt;"&amp;EOMONTH(H$1,0)+1
)</f>
        <v>0</v>
      </c>
      <c r="I149" s="183">
        <f ca="1">-SUMIFS(
  desp.m.ik[valor],
  desp.m.ik[nucleo], $B149,
  desp.m.ik[centro.negocio], $B$129,
  desp.m.ik[mes], "&gt;="&amp;I$1,
  desp.m.ik[mes], "&lt;"&amp;EOMONTH(I$1,0)+1
)</f>
        <v>0</v>
      </c>
      <c r="J149" s="183">
        <f ca="1">-SUMIFS(
  desp.m.ik[valor],
  desp.m.ik[nucleo], $B149,
  desp.m.ik[centro.negocio], $B$129,
  desp.m.ik[mes], "&gt;="&amp;J$1,
  desp.m.ik[mes], "&lt;"&amp;EOMONTH(J$1,0)+1
)</f>
        <v>0</v>
      </c>
      <c r="K149" s="183">
        <f ca="1">-SUMIFS(
  desp.m.ik[valor],
  desp.m.ik[nucleo], $B149,
  desp.m.ik[centro.negocio], $B$129,
  desp.m.ik[mes], "&gt;="&amp;K$1,
  desp.m.ik[mes], "&lt;"&amp;EOMONTH(K$1,0)+1
)</f>
        <v>0</v>
      </c>
      <c r="L149" s="183">
        <f ca="1">-SUMIFS(
  desp.m.ik[valor],
  desp.m.ik[nucleo], $B149,
  desp.m.ik[centro.negocio], $B$129,
  desp.m.ik[mes], "&gt;="&amp;L$1,
  desp.m.ik[mes], "&lt;"&amp;EOMONTH(L$1,0)+1
)</f>
        <v>0</v>
      </c>
      <c r="M149" s="183">
        <f ca="1">-SUMIFS(
  desp.m.ik[valor],
  desp.m.ik[nucleo], $B149,
  desp.m.ik[centro.negocio], $B$129,
  desp.m.ik[mes], "&gt;="&amp;M$1,
  desp.m.ik[mes], "&lt;"&amp;EOMONTH(M$1,0)+1
)</f>
        <v>0</v>
      </c>
      <c r="N149" s="183">
        <f ca="1">-SUMIFS(
  desp.m.ik[valor],
  desp.m.ik[nucleo], $B149,
  desp.m.ik[centro.negocio], $B$129,
  desp.m.ik[mes], "&gt;="&amp;N$1,
  desp.m.ik[mes], "&lt;"&amp;EOMONTH(N$1,0)+1
)</f>
        <v>0</v>
      </c>
      <c r="O149" s="183">
        <f ca="1">-SUMIFS(
  desp.m.ik[valor],
  desp.m.ik[nucleo], $B149,
  desp.m.ik[centro.negocio], $B$129,
  desp.m.ik[mes], "&gt;="&amp;O$1,
  desp.m.ik[mes], "&lt;"&amp;EOMONTH(O$1,0)+1
)</f>
        <v>0</v>
      </c>
      <c r="P149" s="183">
        <f ca="1">-SUMIFS(
  desp.m.ik[valor],
  desp.m.ik[nucleo], $B149,
  desp.m.ik[centro.negocio], $B$129,
  desp.m.ik[mes], "&gt;="&amp;P$1,
  desp.m.ik[mes], "&lt;"&amp;EOMONTH(P$1,0)+1
)</f>
        <v>0</v>
      </c>
      <c r="Q149" s="183">
        <f ca="1">-SUMIFS(
  desp.m.ik[valor],
  desp.m.ik[nucleo], $B149,
  desp.m.ik[centro.negocio], $B$129,
  desp.m.ik[mes], "&gt;="&amp;Q$1,
  desp.m.ik[mes], "&lt;"&amp;EOMONTH(Q$1,0)+1
)</f>
        <v>0</v>
      </c>
      <c r="R149" s="183">
        <f ca="1">-SUMIFS(
  desp.m.ik[valor],
  desp.m.ik[nucleo], $B149,
  desp.m.ik[centro.negocio], $B$129,
  desp.m.ik[mes], "&gt;="&amp;R$1,
  desp.m.ik[mes], "&lt;"&amp;EOMONTH(R$1,0)+1
)</f>
        <v>0</v>
      </c>
      <c r="S149" s="183">
        <f ca="1">-SUMIFS(
  desp.m.ik[valor],
  desp.m.ik[nucleo], $B149,
  desp.m.ik[centro.negocio], $B$129,
  desp.m.ik[mes], "&gt;="&amp;S$1,
  desp.m.ik[mes], "&lt;"&amp;EOMONTH(S$1,0)+1
)</f>
        <v>0</v>
      </c>
      <c r="T149" s="183">
        <f ca="1">-SUMIFS(
  desp.m.ik[valor],
  desp.m.ik[nucleo], $B149,
  desp.m.ik[centro.negocio], $B$129,
  desp.m.ik[mes], "&gt;="&amp;T$1,
  desp.m.ik[mes], "&lt;"&amp;EOMONTH(T$1,0)+1
)</f>
        <v>0</v>
      </c>
      <c r="U149" s="183">
        <f ca="1">-SUMIFS(
  desp.m.ik[valor],
  desp.m.ik[nucleo], $B149,
  desp.m.ik[centro.negocio], $B$129,
  desp.m.ik[mes], "&gt;="&amp;U$1,
  desp.m.ik[mes], "&lt;"&amp;EOMONTH(U$1,0)+1
)</f>
        <v>0</v>
      </c>
      <c r="V149" s="183">
        <f ca="1">-SUMIFS(
  desp.m.ik[valor],
  desp.m.ik[nucleo], $B149,
  desp.m.ik[centro.negocio], $B$129,
  desp.m.ik[mes], "&gt;="&amp;V$1,
  desp.m.ik[mes], "&lt;"&amp;EOMONTH(V$1,0)+1
)</f>
        <v>0</v>
      </c>
      <c r="W149" s="183">
        <f ca="1">-SUMIFS(
  desp.m.ik[valor],
  desp.m.ik[nucleo], $B149,
  desp.m.ik[centro.negocio], $B$129,
  desp.m.ik[mes], "&gt;="&amp;W$1,
  desp.m.ik[mes], "&lt;"&amp;EOMONTH(W$1,0)+1
)</f>
        <v>0</v>
      </c>
      <c r="X149" s="183">
        <f ca="1">-SUMIFS(
  desp.m.ik[valor],
  desp.m.ik[nucleo], $B149,
  desp.m.ik[centro.negocio], $B$129,
  desp.m.ik[mes], "&gt;="&amp;X$1,
  desp.m.ik[mes], "&lt;"&amp;EOMONTH(X$1,0)+1
)</f>
        <v>0</v>
      </c>
      <c r="Y149" s="183">
        <f ca="1">-SUMIFS(
  desp.m.ik[valor],
  desp.m.ik[nucleo], $B149,
  desp.m.ik[centro.negocio], $B$129,
  desp.m.ik[mes], "&gt;="&amp;Y$1,
  desp.m.ik[mes], "&lt;"&amp;EOMONTH(Y$1,0)+1
)</f>
        <v>0</v>
      </c>
      <c r="Z149" s="183">
        <f ca="1">-SUMIFS(
  desp.m.ik[valor],
  desp.m.ik[nucleo], $B149,
  desp.m.ik[centro.negocio], $B$129,
  desp.m.ik[mes], "&gt;="&amp;Z$1,
  desp.m.ik[mes], "&lt;"&amp;EOMONTH(Z$1,0)+1
)</f>
        <v>0</v>
      </c>
      <c r="AA149" s="183">
        <f ca="1">-SUMIFS(
  desp.m.ik[valor],
  desp.m.ik[nucleo], $B149,
  desp.m.ik[centro.negocio], $B$129,
  desp.m.ik[mes], "&gt;="&amp;AA$1,
  desp.m.ik[mes], "&lt;"&amp;EOMONTH(AA$1,0)+1
)</f>
        <v>0</v>
      </c>
      <c r="AC149" s="175">
        <f ca="1">SUM($D149:INDEX($D149:$AA149,1,MATCH(DATE(YEAR(inputs!$A$1),MONTH(inputs!$A$1),1),$D$1:$AA$1,0)))</f>
        <v>0</v>
      </c>
      <c r="AE149" s="175">
        <f ca="1">SUM(D149:AA149)</f>
        <v>0</v>
      </c>
    </row>
    <row r="150" spans="1:31" outlineLevel="2" x14ac:dyDescent="0.25">
      <c r="A150" s="182" t="s">
        <v>994</v>
      </c>
      <c r="B150" s="182" t="s">
        <v>576</v>
      </c>
      <c r="C150" s="135" t="s">
        <v>514</v>
      </c>
      <c r="D150" s="183">
        <f ca="1">-SUMIFS(
  desp.m.ik[valor],
  desp.m.ik[nucleo], $B150,
  desp.m.ik[centro.negocio], $B$129,
  desp.m.ik[mes], "&gt;="&amp;D$1,
  desp.m.ik[mes], "&lt;"&amp;EOMONTH(D$1,0)+1
)</f>
        <v>0</v>
      </c>
      <c r="E150" s="183">
        <f ca="1">-SUMIFS(
  desp.m.ik[valor],
  desp.m.ik[nucleo], $B150,
  desp.m.ik[centro.negocio], $B$129,
  desp.m.ik[mes], "&gt;="&amp;E$1,
  desp.m.ik[mes], "&lt;"&amp;EOMONTH(E$1,0)+1
)</f>
        <v>0</v>
      </c>
      <c r="F150" s="183">
        <f ca="1">-SUMIFS(
  desp.m.ik[valor],
  desp.m.ik[nucleo], $B150,
  desp.m.ik[centro.negocio], $B$129,
  desp.m.ik[mes], "&gt;="&amp;F$1,
  desp.m.ik[mes], "&lt;"&amp;EOMONTH(F$1,0)+1
)</f>
        <v>0</v>
      </c>
      <c r="G150" s="183">
        <f ca="1">-SUMIFS(
  desp.m.ik[valor],
  desp.m.ik[nucleo], $B150,
  desp.m.ik[centro.negocio], $B$129,
  desp.m.ik[mes], "&gt;="&amp;G$1,
  desp.m.ik[mes], "&lt;"&amp;EOMONTH(G$1,0)+1
)</f>
        <v>0</v>
      </c>
      <c r="H150" s="183">
        <f ca="1">-SUMIFS(
  desp.m.ik[valor],
  desp.m.ik[nucleo], $B150,
  desp.m.ik[centro.negocio], $B$129,
  desp.m.ik[mes], "&gt;="&amp;H$1,
  desp.m.ik[mes], "&lt;"&amp;EOMONTH(H$1,0)+1
)</f>
        <v>0</v>
      </c>
      <c r="I150" s="183">
        <f ca="1">-SUMIFS(
  desp.m.ik[valor],
  desp.m.ik[nucleo], $B150,
  desp.m.ik[centro.negocio], $B$129,
  desp.m.ik[mes], "&gt;="&amp;I$1,
  desp.m.ik[mes], "&lt;"&amp;EOMONTH(I$1,0)+1
)</f>
        <v>0</v>
      </c>
      <c r="J150" s="183">
        <f ca="1">-SUMIFS(
  desp.m.ik[valor],
  desp.m.ik[nucleo], $B150,
  desp.m.ik[centro.negocio], $B$129,
  desp.m.ik[mes], "&gt;="&amp;J$1,
  desp.m.ik[mes], "&lt;"&amp;EOMONTH(J$1,0)+1
)</f>
        <v>0</v>
      </c>
      <c r="K150" s="183">
        <f ca="1">-SUMIFS(
  desp.m.ik[valor],
  desp.m.ik[nucleo], $B150,
  desp.m.ik[centro.negocio], $B$129,
  desp.m.ik[mes], "&gt;="&amp;K$1,
  desp.m.ik[mes], "&lt;"&amp;EOMONTH(K$1,0)+1
)</f>
        <v>0</v>
      </c>
      <c r="L150" s="183">
        <f ca="1">-SUMIFS(
  desp.m.ik[valor],
  desp.m.ik[nucleo], $B150,
  desp.m.ik[centro.negocio], $B$129,
  desp.m.ik[mes], "&gt;="&amp;L$1,
  desp.m.ik[mes], "&lt;"&amp;EOMONTH(L$1,0)+1
)</f>
        <v>0</v>
      </c>
      <c r="M150" s="183">
        <f ca="1">-SUMIFS(
  desp.m.ik[valor],
  desp.m.ik[nucleo], $B150,
  desp.m.ik[centro.negocio], $B$129,
  desp.m.ik[mes], "&gt;="&amp;M$1,
  desp.m.ik[mes], "&lt;"&amp;EOMONTH(M$1,0)+1
)</f>
        <v>0</v>
      </c>
      <c r="N150" s="183">
        <f ca="1">-SUMIFS(
  desp.m.ik[valor],
  desp.m.ik[nucleo], $B150,
  desp.m.ik[centro.negocio], $B$129,
  desp.m.ik[mes], "&gt;="&amp;N$1,
  desp.m.ik[mes], "&lt;"&amp;EOMONTH(N$1,0)+1
)</f>
        <v>0</v>
      </c>
      <c r="O150" s="183">
        <f ca="1">-SUMIFS(
  desp.m.ik[valor],
  desp.m.ik[nucleo], $B150,
  desp.m.ik[centro.negocio], $B$129,
  desp.m.ik[mes], "&gt;="&amp;O$1,
  desp.m.ik[mes], "&lt;"&amp;EOMONTH(O$1,0)+1
)</f>
        <v>0</v>
      </c>
      <c r="P150" s="183">
        <f ca="1">-SUMIFS(
  desp.m.ik[valor],
  desp.m.ik[nucleo], $B150,
  desp.m.ik[centro.negocio], $B$129,
  desp.m.ik[mes], "&gt;="&amp;P$1,
  desp.m.ik[mes], "&lt;"&amp;EOMONTH(P$1,0)+1
)</f>
        <v>0</v>
      </c>
      <c r="Q150" s="183">
        <f ca="1">-SUMIFS(
  desp.m.ik[valor],
  desp.m.ik[nucleo], $B150,
  desp.m.ik[centro.negocio], $B$129,
  desp.m.ik[mes], "&gt;="&amp;Q$1,
  desp.m.ik[mes], "&lt;"&amp;EOMONTH(Q$1,0)+1
)</f>
        <v>0</v>
      </c>
      <c r="R150" s="183">
        <f ca="1">-SUMIFS(
  desp.m.ik[valor],
  desp.m.ik[nucleo], $B150,
  desp.m.ik[centro.negocio], $B$129,
  desp.m.ik[mes], "&gt;="&amp;R$1,
  desp.m.ik[mes], "&lt;"&amp;EOMONTH(R$1,0)+1
)</f>
        <v>0</v>
      </c>
      <c r="S150" s="183">
        <f ca="1">-SUMIFS(
  desp.m.ik[valor],
  desp.m.ik[nucleo], $B150,
  desp.m.ik[centro.negocio], $B$129,
  desp.m.ik[mes], "&gt;="&amp;S$1,
  desp.m.ik[mes], "&lt;"&amp;EOMONTH(S$1,0)+1
)</f>
        <v>0</v>
      </c>
      <c r="T150" s="183">
        <f ca="1">-SUMIFS(
  desp.m.ik[valor],
  desp.m.ik[nucleo], $B150,
  desp.m.ik[centro.negocio], $B$129,
  desp.m.ik[mes], "&gt;="&amp;T$1,
  desp.m.ik[mes], "&lt;"&amp;EOMONTH(T$1,0)+1
)</f>
        <v>0</v>
      </c>
      <c r="U150" s="183">
        <f ca="1">-SUMIFS(
  desp.m.ik[valor],
  desp.m.ik[nucleo], $B150,
  desp.m.ik[centro.negocio], $B$129,
  desp.m.ik[mes], "&gt;="&amp;U$1,
  desp.m.ik[mes], "&lt;"&amp;EOMONTH(U$1,0)+1
)</f>
        <v>0</v>
      </c>
      <c r="V150" s="183">
        <f ca="1">-SUMIFS(
  desp.m.ik[valor],
  desp.m.ik[nucleo], $B150,
  desp.m.ik[centro.negocio], $B$129,
  desp.m.ik[mes], "&gt;="&amp;V$1,
  desp.m.ik[mes], "&lt;"&amp;EOMONTH(V$1,0)+1
)</f>
        <v>0</v>
      </c>
      <c r="W150" s="183">
        <f ca="1">-SUMIFS(
  desp.m.ik[valor],
  desp.m.ik[nucleo], $B150,
  desp.m.ik[centro.negocio], $B$129,
  desp.m.ik[mes], "&gt;="&amp;W$1,
  desp.m.ik[mes], "&lt;"&amp;EOMONTH(W$1,0)+1
)</f>
        <v>0</v>
      </c>
      <c r="X150" s="183">
        <f ca="1">-SUMIFS(
  desp.m.ik[valor],
  desp.m.ik[nucleo], $B150,
  desp.m.ik[centro.negocio], $B$129,
  desp.m.ik[mes], "&gt;="&amp;X$1,
  desp.m.ik[mes], "&lt;"&amp;EOMONTH(X$1,0)+1
)</f>
        <v>0</v>
      </c>
      <c r="Y150" s="183">
        <f ca="1">-SUMIFS(
  desp.m.ik[valor],
  desp.m.ik[nucleo], $B150,
  desp.m.ik[centro.negocio], $B$129,
  desp.m.ik[mes], "&gt;="&amp;Y$1,
  desp.m.ik[mes], "&lt;"&amp;EOMONTH(Y$1,0)+1
)</f>
        <v>0</v>
      </c>
      <c r="Z150" s="183">
        <f ca="1">-SUMIFS(
  desp.m.ik[valor],
  desp.m.ik[nucleo], $B150,
  desp.m.ik[centro.negocio], $B$129,
  desp.m.ik[mes], "&gt;="&amp;Z$1,
  desp.m.ik[mes], "&lt;"&amp;EOMONTH(Z$1,0)+1
)</f>
        <v>0</v>
      </c>
      <c r="AA150" s="183">
        <f ca="1">-SUMIFS(
  desp.m.ik[valor],
  desp.m.ik[nucleo], $B150,
  desp.m.ik[centro.negocio], $B$129,
  desp.m.ik[mes], "&gt;="&amp;AA$1,
  desp.m.ik[mes], "&lt;"&amp;EOMONTH(AA$1,0)+1
)</f>
        <v>0</v>
      </c>
      <c r="AC150" s="175">
        <f ca="1">SUM($D150:INDEX($D150:$AA150,1,MATCH(DATE(YEAR(inputs!$A$1),MONTH(inputs!$A$1),1),$D$1:$AA$1,0)))</f>
        <v>0</v>
      </c>
      <c r="AE150" s="175">
        <f t="shared" ca="1" si="32"/>
        <v>0</v>
      </c>
    </row>
    <row r="151" spans="1:31" outlineLevel="2" x14ac:dyDescent="0.25">
      <c r="A151" s="182" t="s">
        <v>995</v>
      </c>
      <c r="B151" s="182" t="s">
        <v>580</v>
      </c>
      <c r="C151" s="135" t="s">
        <v>514</v>
      </c>
      <c r="D151" s="183">
        <f ca="1">-SUMIFS(
  desp.m.ik[valor],
  desp.m.ik[nucleo], $B151,
  desp.m.ik[centro.negocio], $B$129,
  desp.m.ik[mes], "&gt;="&amp;D$1,
  desp.m.ik[mes], "&lt;"&amp;EOMONTH(D$1,0)+1
)</f>
        <v>0</v>
      </c>
      <c r="E151" s="183">
        <f ca="1">-SUMIFS(
  desp.m.ik[valor],
  desp.m.ik[nucleo], $B151,
  desp.m.ik[centro.negocio], $B$129,
  desp.m.ik[mes], "&gt;="&amp;E$1,
  desp.m.ik[mes], "&lt;"&amp;EOMONTH(E$1,0)+1
)</f>
        <v>0</v>
      </c>
      <c r="F151" s="183">
        <f ca="1">-SUMIFS(
  desp.m.ik[valor],
  desp.m.ik[nucleo], $B151,
  desp.m.ik[centro.negocio], $B$129,
  desp.m.ik[mes], "&gt;="&amp;F$1,
  desp.m.ik[mes], "&lt;"&amp;EOMONTH(F$1,0)+1
)</f>
        <v>0</v>
      </c>
      <c r="G151" s="183">
        <f ca="1">-SUMIFS(
  desp.m.ik[valor],
  desp.m.ik[nucleo], $B151,
  desp.m.ik[centro.negocio], $B$129,
  desp.m.ik[mes], "&gt;="&amp;G$1,
  desp.m.ik[mes], "&lt;"&amp;EOMONTH(G$1,0)+1
)</f>
        <v>0</v>
      </c>
      <c r="H151" s="183">
        <f ca="1">-SUMIFS(
  desp.m.ik[valor],
  desp.m.ik[nucleo], $B151,
  desp.m.ik[centro.negocio], $B$129,
  desp.m.ik[mes], "&gt;="&amp;H$1,
  desp.m.ik[mes], "&lt;"&amp;EOMONTH(H$1,0)+1
)</f>
        <v>0</v>
      </c>
      <c r="I151" s="183">
        <f ca="1">-SUMIFS(
  desp.m.ik[valor],
  desp.m.ik[nucleo], $B151,
  desp.m.ik[centro.negocio], $B$129,
  desp.m.ik[mes], "&gt;="&amp;I$1,
  desp.m.ik[mes], "&lt;"&amp;EOMONTH(I$1,0)+1
)</f>
        <v>0</v>
      </c>
      <c r="J151" s="183">
        <f ca="1">-SUMIFS(
  desp.m.ik[valor],
  desp.m.ik[nucleo], $B151,
  desp.m.ik[centro.negocio], $B$129,
  desp.m.ik[mes], "&gt;="&amp;J$1,
  desp.m.ik[mes], "&lt;"&amp;EOMONTH(J$1,0)+1
)</f>
        <v>0</v>
      </c>
      <c r="K151" s="183">
        <f ca="1">-SUMIFS(
  desp.m.ik[valor],
  desp.m.ik[nucleo], $B151,
  desp.m.ik[centro.negocio], $B$129,
  desp.m.ik[mes], "&gt;="&amp;K$1,
  desp.m.ik[mes], "&lt;"&amp;EOMONTH(K$1,0)+1
)</f>
        <v>0</v>
      </c>
      <c r="L151" s="183">
        <f ca="1">-SUMIFS(
  desp.m.ik[valor],
  desp.m.ik[nucleo], $B151,
  desp.m.ik[centro.negocio], $B$129,
  desp.m.ik[mes], "&gt;="&amp;L$1,
  desp.m.ik[mes], "&lt;"&amp;EOMONTH(L$1,0)+1
)</f>
        <v>0</v>
      </c>
      <c r="M151" s="183">
        <f ca="1">-SUMIFS(
  desp.m.ik[valor],
  desp.m.ik[nucleo], $B151,
  desp.m.ik[centro.negocio], $B$129,
  desp.m.ik[mes], "&gt;="&amp;M$1,
  desp.m.ik[mes], "&lt;"&amp;EOMONTH(M$1,0)+1
)</f>
        <v>0</v>
      </c>
      <c r="N151" s="183">
        <f ca="1">-SUMIFS(
  desp.m.ik[valor],
  desp.m.ik[nucleo], $B151,
  desp.m.ik[centro.negocio], $B$129,
  desp.m.ik[mes], "&gt;="&amp;N$1,
  desp.m.ik[mes], "&lt;"&amp;EOMONTH(N$1,0)+1
)</f>
        <v>0</v>
      </c>
      <c r="O151" s="183">
        <f ca="1">-SUMIFS(
  desp.m.ik[valor],
  desp.m.ik[nucleo], $B151,
  desp.m.ik[centro.negocio], $B$129,
  desp.m.ik[mes], "&gt;="&amp;O$1,
  desp.m.ik[mes], "&lt;"&amp;EOMONTH(O$1,0)+1
)</f>
        <v>0</v>
      </c>
      <c r="P151" s="183">
        <f ca="1">-SUMIFS(
  desp.m.ik[valor],
  desp.m.ik[nucleo], $B151,
  desp.m.ik[centro.negocio], $B$129,
  desp.m.ik[mes], "&gt;="&amp;P$1,
  desp.m.ik[mes], "&lt;"&amp;EOMONTH(P$1,0)+1
)</f>
        <v>0</v>
      </c>
      <c r="Q151" s="183">
        <f ca="1">-SUMIFS(
  desp.m.ik[valor],
  desp.m.ik[nucleo], $B151,
  desp.m.ik[centro.negocio], $B$129,
  desp.m.ik[mes], "&gt;="&amp;Q$1,
  desp.m.ik[mes], "&lt;"&amp;EOMONTH(Q$1,0)+1
)</f>
        <v>0</v>
      </c>
      <c r="R151" s="183">
        <f ca="1">-SUMIFS(
  desp.m.ik[valor],
  desp.m.ik[nucleo], $B151,
  desp.m.ik[centro.negocio], $B$129,
  desp.m.ik[mes], "&gt;="&amp;R$1,
  desp.m.ik[mes], "&lt;"&amp;EOMONTH(R$1,0)+1
)</f>
        <v>0</v>
      </c>
      <c r="S151" s="183">
        <f ca="1">-SUMIFS(
  desp.m.ik[valor],
  desp.m.ik[nucleo], $B151,
  desp.m.ik[centro.negocio], $B$129,
  desp.m.ik[mes], "&gt;="&amp;S$1,
  desp.m.ik[mes], "&lt;"&amp;EOMONTH(S$1,0)+1
)</f>
        <v>0</v>
      </c>
      <c r="T151" s="183">
        <f ca="1">-SUMIFS(
  desp.m.ik[valor],
  desp.m.ik[nucleo], $B151,
  desp.m.ik[centro.negocio], $B$129,
  desp.m.ik[mes], "&gt;="&amp;T$1,
  desp.m.ik[mes], "&lt;"&amp;EOMONTH(T$1,0)+1
)</f>
        <v>0</v>
      </c>
      <c r="U151" s="183">
        <f ca="1">-SUMIFS(
  desp.m.ik[valor],
  desp.m.ik[nucleo], $B151,
  desp.m.ik[centro.negocio], $B$129,
  desp.m.ik[mes], "&gt;="&amp;U$1,
  desp.m.ik[mes], "&lt;"&amp;EOMONTH(U$1,0)+1
)</f>
        <v>0</v>
      </c>
      <c r="V151" s="183">
        <f ca="1">-SUMIFS(
  desp.m.ik[valor],
  desp.m.ik[nucleo], $B151,
  desp.m.ik[centro.negocio], $B$129,
  desp.m.ik[mes], "&gt;="&amp;V$1,
  desp.m.ik[mes], "&lt;"&amp;EOMONTH(V$1,0)+1
)</f>
        <v>0</v>
      </c>
      <c r="W151" s="183">
        <f ca="1">-SUMIFS(
  desp.m.ik[valor],
  desp.m.ik[nucleo], $B151,
  desp.m.ik[centro.negocio], $B$129,
  desp.m.ik[mes], "&gt;="&amp;W$1,
  desp.m.ik[mes], "&lt;"&amp;EOMONTH(W$1,0)+1
)</f>
        <v>0</v>
      </c>
      <c r="X151" s="183">
        <f ca="1">-SUMIFS(
  desp.m.ik[valor],
  desp.m.ik[nucleo], $B151,
  desp.m.ik[centro.negocio], $B$129,
  desp.m.ik[mes], "&gt;="&amp;X$1,
  desp.m.ik[mes], "&lt;"&amp;EOMONTH(X$1,0)+1
)</f>
        <v>0</v>
      </c>
      <c r="Y151" s="183">
        <f ca="1">-SUMIFS(
  desp.m.ik[valor],
  desp.m.ik[nucleo], $B151,
  desp.m.ik[centro.negocio], $B$129,
  desp.m.ik[mes], "&gt;="&amp;Y$1,
  desp.m.ik[mes], "&lt;"&amp;EOMONTH(Y$1,0)+1
)</f>
        <v>0</v>
      </c>
      <c r="Z151" s="183">
        <f ca="1">-SUMIFS(
  desp.m.ik[valor],
  desp.m.ik[nucleo], $B151,
  desp.m.ik[centro.negocio], $B$129,
  desp.m.ik[mes], "&gt;="&amp;Z$1,
  desp.m.ik[mes], "&lt;"&amp;EOMONTH(Z$1,0)+1
)</f>
        <v>0</v>
      </c>
      <c r="AA151" s="183">
        <f ca="1">-SUMIFS(
  desp.m.ik[valor],
  desp.m.ik[nucleo], $B151,
  desp.m.ik[centro.negocio], $B$129,
  desp.m.ik[mes], "&gt;="&amp;AA$1,
  desp.m.ik[mes], "&lt;"&amp;EOMONTH(AA$1,0)+1
)</f>
        <v>0</v>
      </c>
      <c r="AC151" s="175">
        <f ca="1">SUM($D151:INDEX($D151:$AA151,1,MATCH(DATE(YEAR(inputs!$A$1),MONTH(inputs!$A$1),1),$D$1:$AA$1,0)))</f>
        <v>0</v>
      </c>
      <c r="AE151" s="175">
        <f t="shared" ca="1" si="32"/>
        <v>0</v>
      </c>
    </row>
    <row r="152" spans="1:31" outlineLevel="2" x14ac:dyDescent="0.25">
      <c r="A152" s="182" t="s">
        <v>996</v>
      </c>
      <c r="B152" s="182" t="s">
        <v>578</v>
      </c>
      <c r="C152" s="135" t="s">
        <v>514</v>
      </c>
      <c r="D152" s="183">
        <f ca="1">-SUMIFS(
  desp.m.ik[valor],
  desp.m.ik[nucleo], $B152,
  desp.m.ik[centro.negocio], $B$129,
  desp.m.ik[mes], "&gt;="&amp;D$1,
  desp.m.ik[mes], "&lt;"&amp;EOMONTH(D$1,0)+1
)</f>
        <v>0</v>
      </c>
      <c r="E152" s="183">
        <f ca="1">-SUMIFS(
  desp.m.ik[valor],
  desp.m.ik[nucleo], $B152,
  desp.m.ik[centro.negocio], $B$129,
  desp.m.ik[mes], "&gt;="&amp;E$1,
  desp.m.ik[mes], "&lt;"&amp;EOMONTH(E$1,0)+1
)</f>
        <v>0</v>
      </c>
      <c r="F152" s="183">
        <f ca="1">-SUMIFS(
  desp.m.ik[valor],
  desp.m.ik[nucleo], $B152,
  desp.m.ik[centro.negocio], $B$129,
  desp.m.ik[mes], "&gt;="&amp;F$1,
  desp.m.ik[mes], "&lt;"&amp;EOMONTH(F$1,0)+1
)</f>
        <v>0</v>
      </c>
      <c r="G152" s="183">
        <f ca="1">-SUMIFS(
  desp.m.ik[valor],
  desp.m.ik[nucleo], $B152,
  desp.m.ik[centro.negocio], $B$129,
  desp.m.ik[mes], "&gt;="&amp;G$1,
  desp.m.ik[mes], "&lt;"&amp;EOMONTH(G$1,0)+1
)</f>
        <v>0</v>
      </c>
      <c r="H152" s="183">
        <f ca="1">-SUMIFS(
  desp.m.ik[valor],
  desp.m.ik[nucleo], $B152,
  desp.m.ik[centro.negocio], $B$129,
  desp.m.ik[mes], "&gt;="&amp;H$1,
  desp.m.ik[mes], "&lt;"&amp;EOMONTH(H$1,0)+1
)</f>
        <v>0</v>
      </c>
      <c r="I152" s="183">
        <f ca="1">-SUMIFS(
  desp.m.ik[valor],
  desp.m.ik[nucleo], $B152,
  desp.m.ik[centro.negocio], $B$129,
  desp.m.ik[mes], "&gt;="&amp;I$1,
  desp.m.ik[mes], "&lt;"&amp;EOMONTH(I$1,0)+1
)</f>
        <v>0</v>
      </c>
      <c r="J152" s="183">
        <f ca="1">-SUMIFS(
  desp.m.ik[valor],
  desp.m.ik[nucleo], $B152,
  desp.m.ik[centro.negocio], $B$129,
  desp.m.ik[mes], "&gt;="&amp;J$1,
  desp.m.ik[mes], "&lt;"&amp;EOMONTH(J$1,0)+1
)</f>
        <v>0</v>
      </c>
      <c r="K152" s="183">
        <f ca="1">-SUMIFS(
  desp.m.ik[valor],
  desp.m.ik[nucleo], $B152,
  desp.m.ik[centro.negocio], $B$129,
  desp.m.ik[mes], "&gt;="&amp;K$1,
  desp.m.ik[mes], "&lt;"&amp;EOMONTH(K$1,0)+1
)</f>
        <v>0</v>
      </c>
      <c r="L152" s="183">
        <f ca="1">-SUMIFS(
  desp.m.ik[valor],
  desp.m.ik[nucleo], $B152,
  desp.m.ik[centro.negocio], $B$129,
  desp.m.ik[mes], "&gt;="&amp;L$1,
  desp.m.ik[mes], "&lt;"&amp;EOMONTH(L$1,0)+1
)</f>
        <v>0</v>
      </c>
      <c r="M152" s="183">
        <f ca="1">-SUMIFS(
  desp.m.ik[valor],
  desp.m.ik[nucleo], $B152,
  desp.m.ik[centro.negocio], $B$129,
  desp.m.ik[mes], "&gt;="&amp;M$1,
  desp.m.ik[mes], "&lt;"&amp;EOMONTH(M$1,0)+1
)</f>
        <v>0</v>
      </c>
      <c r="N152" s="183">
        <f ca="1">-SUMIFS(
  desp.m.ik[valor],
  desp.m.ik[nucleo], $B152,
  desp.m.ik[centro.negocio], $B$129,
  desp.m.ik[mes], "&gt;="&amp;N$1,
  desp.m.ik[mes], "&lt;"&amp;EOMONTH(N$1,0)+1
)</f>
        <v>0</v>
      </c>
      <c r="O152" s="183">
        <f ca="1">-SUMIFS(
  desp.m.ik[valor],
  desp.m.ik[nucleo], $B152,
  desp.m.ik[centro.negocio], $B$129,
  desp.m.ik[mes], "&gt;="&amp;O$1,
  desp.m.ik[mes], "&lt;"&amp;EOMONTH(O$1,0)+1
)</f>
        <v>0</v>
      </c>
      <c r="P152" s="183">
        <f ca="1">-SUMIFS(
  desp.m.ik[valor],
  desp.m.ik[nucleo], $B152,
  desp.m.ik[centro.negocio], $B$129,
  desp.m.ik[mes], "&gt;="&amp;P$1,
  desp.m.ik[mes], "&lt;"&amp;EOMONTH(P$1,0)+1
)</f>
        <v>0</v>
      </c>
      <c r="Q152" s="183">
        <f ca="1">-SUMIFS(
  desp.m.ik[valor],
  desp.m.ik[nucleo], $B152,
  desp.m.ik[centro.negocio], $B$129,
  desp.m.ik[mes], "&gt;="&amp;Q$1,
  desp.m.ik[mes], "&lt;"&amp;EOMONTH(Q$1,0)+1
)</f>
        <v>0</v>
      </c>
      <c r="R152" s="183">
        <f ca="1">-SUMIFS(
  desp.m.ik[valor],
  desp.m.ik[nucleo], $B152,
  desp.m.ik[centro.negocio], $B$129,
  desp.m.ik[mes], "&gt;="&amp;R$1,
  desp.m.ik[mes], "&lt;"&amp;EOMONTH(R$1,0)+1
)</f>
        <v>0</v>
      </c>
      <c r="S152" s="183">
        <f ca="1">-SUMIFS(
  desp.m.ik[valor],
  desp.m.ik[nucleo], $B152,
  desp.m.ik[centro.negocio], $B$129,
  desp.m.ik[mes], "&gt;="&amp;S$1,
  desp.m.ik[mes], "&lt;"&amp;EOMONTH(S$1,0)+1
)</f>
        <v>0</v>
      </c>
      <c r="T152" s="183">
        <f ca="1">-SUMIFS(
  desp.m.ik[valor],
  desp.m.ik[nucleo], $B152,
  desp.m.ik[centro.negocio], $B$129,
  desp.m.ik[mes], "&gt;="&amp;T$1,
  desp.m.ik[mes], "&lt;"&amp;EOMONTH(T$1,0)+1
)</f>
        <v>0</v>
      </c>
      <c r="U152" s="183">
        <f ca="1">-SUMIFS(
  desp.m.ik[valor],
  desp.m.ik[nucleo], $B152,
  desp.m.ik[centro.negocio], $B$129,
  desp.m.ik[mes], "&gt;="&amp;U$1,
  desp.m.ik[mes], "&lt;"&amp;EOMONTH(U$1,0)+1
)</f>
        <v>0</v>
      </c>
      <c r="V152" s="183">
        <f ca="1">-SUMIFS(
  desp.m.ik[valor],
  desp.m.ik[nucleo], $B152,
  desp.m.ik[centro.negocio], $B$129,
  desp.m.ik[mes], "&gt;="&amp;V$1,
  desp.m.ik[mes], "&lt;"&amp;EOMONTH(V$1,0)+1
)</f>
        <v>0</v>
      </c>
      <c r="W152" s="183">
        <f ca="1">-SUMIFS(
  desp.m.ik[valor],
  desp.m.ik[nucleo], $B152,
  desp.m.ik[centro.negocio], $B$129,
  desp.m.ik[mes], "&gt;="&amp;W$1,
  desp.m.ik[mes], "&lt;"&amp;EOMONTH(W$1,0)+1
)</f>
        <v>0</v>
      </c>
      <c r="X152" s="183">
        <f ca="1">-SUMIFS(
  desp.m.ik[valor],
  desp.m.ik[nucleo], $B152,
  desp.m.ik[centro.negocio], $B$129,
  desp.m.ik[mes], "&gt;="&amp;X$1,
  desp.m.ik[mes], "&lt;"&amp;EOMONTH(X$1,0)+1
)</f>
        <v>0</v>
      </c>
      <c r="Y152" s="183">
        <f ca="1">-SUMIFS(
  desp.m.ik[valor],
  desp.m.ik[nucleo], $B152,
  desp.m.ik[centro.negocio], $B$129,
  desp.m.ik[mes], "&gt;="&amp;Y$1,
  desp.m.ik[mes], "&lt;"&amp;EOMONTH(Y$1,0)+1
)</f>
        <v>0</v>
      </c>
      <c r="Z152" s="183">
        <f ca="1">-SUMIFS(
  desp.m.ik[valor],
  desp.m.ik[nucleo], $B152,
  desp.m.ik[centro.negocio], $B$129,
  desp.m.ik[mes], "&gt;="&amp;Z$1,
  desp.m.ik[mes], "&lt;"&amp;EOMONTH(Z$1,0)+1
)</f>
        <v>0</v>
      </c>
      <c r="AA152" s="183">
        <f ca="1">-SUMIFS(
  desp.m.ik[valor],
  desp.m.ik[nucleo], $B152,
  desp.m.ik[centro.negocio], $B$129,
  desp.m.ik[mes], "&gt;="&amp;AA$1,
  desp.m.ik[mes], "&lt;"&amp;EOMONTH(AA$1,0)+1
)</f>
        <v>0</v>
      </c>
      <c r="AC152" s="175">
        <f ca="1">SUM($D152:INDEX($D152:$AA152,1,MATCH(DATE(YEAR(inputs!$A$1),MONTH(inputs!$A$1),1),$D$1:$AA$1,0)))</f>
        <v>0</v>
      </c>
      <c r="AE152" s="175">
        <f t="shared" ca="1" si="32"/>
        <v>0</v>
      </c>
    </row>
    <row r="153" spans="1:31" outlineLevel="2" x14ac:dyDescent="0.25">
      <c r="A153" s="182" t="s">
        <v>997</v>
      </c>
      <c r="B153" s="182" t="s">
        <v>579</v>
      </c>
      <c r="C153" s="135" t="s">
        <v>514</v>
      </c>
      <c r="D153" s="183">
        <f ca="1">-SUMIFS(
  desp.m.ik[valor],
  desp.m.ik[nucleo], $B153,
  desp.m.ik[centro.negocio], $B$129,
  desp.m.ik[mes], "&gt;="&amp;D$1,
  desp.m.ik[mes], "&lt;"&amp;EOMONTH(D$1,0)+1
)</f>
        <v>0</v>
      </c>
      <c r="E153" s="183">
        <f ca="1">-SUMIFS(
  desp.m.ik[valor],
  desp.m.ik[nucleo], $B153,
  desp.m.ik[centro.negocio], $B$129,
  desp.m.ik[mes], "&gt;="&amp;E$1,
  desp.m.ik[mes], "&lt;"&amp;EOMONTH(E$1,0)+1
)</f>
        <v>0</v>
      </c>
      <c r="F153" s="183">
        <f ca="1">-SUMIFS(
  desp.m.ik[valor],
  desp.m.ik[nucleo], $B153,
  desp.m.ik[centro.negocio], $B$129,
  desp.m.ik[mes], "&gt;="&amp;F$1,
  desp.m.ik[mes], "&lt;"&amp;EOMONTH(F$1,0)+1
)</f>
        <v>0</v>
      </c>
      <c r="G153" s="183">
        <f ca="1">-SUMIFS(
  desp.m.ik[valor],
  desp.m.ik[nucleo], $B153,
  desp.m.ik[centro.negocio], $B$129,
  desp.m.ik[mes], "&gt;="&amp;G$1,
  desp.m.ik[mes], "&lt;"&amp;EOMONTH(G$1,0)+1
)</f>
        <v>0</v>
      </c>
      <c r="H153" s="183">
        <f ca="1">-SUMIFS(
  desp.m.ik[valor],
  desp.m.ik[nucleo], $B153,
  desp.m.ik[centro.negocio], $B$129,
  desp.m.ik[mes], "&gt;="&amp;H$1,
  desp.m.ik[mes], "&lt;"&amp;EOMONTH(H$1,0)+1
)</f>
        <v>0</v>
      </c>
      <c r="I153" s="183">
        <f ca="1">-SUMIFS(
  desp.m.ik[valor],
  desp.m.ik[nucleo], $B153,
  desp.m.ik[centro.negocio], $B$129,
  desp.m.ik[mes], "&gt;="&amp;I$1,
  desp.m.ik[mes], "&lt;"&amp;EOMONTH(I$1,0)+1
)</f>
        <v>0</v>
      </c>
      <c r="J153" s="183">
        <f ca="1">-SUMIFS(
  desp.m.ik[valor],
  desp.m.ik[nucleo], $B153,
  desp.m.ik[centro.negocio], $B$129,
  desp.m.ik[mes], "&gt;="&amp;J$1,
  desp.m.ik[mes], "&lt;"&amp;EOMONTH(J$1,0)+1
)</f>
        <v>0</v>
      </c>
      <c r="K153" s="183">
        <f ca="1">-SUMIFS(
  desp.m.ik[valor],
  desp.m.ik[nucleo], $B153,
  desp.m.ik[centro.negocio], $B$129,
  desp.m.ik[mes], "&gt;="&amp;K$1,
  desp.m.ik[mes], "&lt;"&amp;EOMONTH(K$1,0)+1
)</f>
        <v>0</v>
      </c>
      <c r="L153" s="183">
        <f ca="1">-SUMIFS(
  desp.m.ik[valor],
  desp.m.ik[nucleo], $B153,
  desp.m.ik[centro.negocio], $B$129,
  desp.m.ik[mes], "&gt;="&amp;L$1,
  desp.m.ik[mes], "&lt;"&amp;EOMONTH(L$1,0)+1
)</f>
        <v>0</v>
      </c>
      <c r="M153" s="183">
        <f ca="1">-SUMIFS(
  desp.m.ik[valor],
  desp.m.ik[nucleo], $B153,
  desp.m.ik[centro.negocio], $B$129,
  desp.m.ik[mes], "&gt;="&amp;M$1,
  desp.m.ik[mes], "&lt;"&amp;EOMONTH(M$1,0)+1
)</f>
        <v>0</v>
      </c>
      <c r="N153" s="183">
        <f ca="1">-SUMIFS(
  desp.m.ik[valor],
  desp.m.ik[nucleo], $B153,
  desp.m.ik[centro.negocio], $B$129,
  desp.m.ik[mes], "&gt;="&amp;N$1,
  desp.m.ik[mes], "&lt;"&amp;EOMONTH(N$1,0)+1
)</f>
        <v>0</v>
      </c>
      <c r="O153" s="183">
        <f ca="1">-SUMIFS(
  desp.m.ik[valor],
  desp.m.ik[nucleo], $B153,
  desp.m.ik[centro.negocio], $B$129,
  desp.m.ik[mes], "&gt;="&amp;O$1,
  desp.m.ik[mes], "&lt;"&amp;EOMONTH(O$1,0)+1
)</f>
        <v>0</v>
      </c>
      <c r="P153" s="183">
        <f ca="1">-SUMIFS(
  desp.m.ik[valor],
  desp.m.ik[nucleo], $B153,
  desp.m.ik[centro.negocio], $B$129,
  desp.m.ik[mes], "&gt;="&amp;P$1,
  desp.m.ik[mes], "&lt;"&amp;EOMONTH(P$1,0)+1
)</f>
        <v>0</v>
      </c>
      <c r="Q153" s="183">
        <f ca="1">-SUMIFS(
  desp.m.ik[valor],
  desp.m.ik[nucleo], $B153,
  desp.m.ik[centro.negocio], $B$129,
  desp.m.ik[mes], "&gt;="&amp;Q$1,
  desp.m.ik[mes], "&lt;"&amp;EOMONTH(Q$1,0)+1
)</f>
        <v>0</v>
      </c>
      <c r="R153" s="183">
        <f ca="1">-SUMIFS(
  desp.m.ik[valor],
  desp.m.ik[nucleo], $B153,
  desp.m.ik[centro.negocio], $B$129,
  desp.m.ik[mes], "&gt;="&amp;R$1,
  desp.m.ik[mes], "&lt;"&amp;EOMONTH(R$1,0)+1
)</f>
        <v>0</v>
      </c>
      <c r="S153" s="183">
        <f ca="1">-SUMIFS(
  desp.m.ik[valor],
  desp.m.ik[nucleo], $B153,
  desp.m.ik[centro.negocio], $B$129,
  desp.m.ik[mes], "&gt;="&amp;S$1,
  desp.m.ik[mes], "&lt;"&amp;EOMONTH(S$1,0)+1
)</f>
        <v>0</v>
      </c>
      <c r="T153" s="183">
        <f ca="1">-SUMIFS(
  desp.m.ik[valor],
  desp.m.ik[nucleo], $B153,
  desp.m.ik[centro.negocio], $B$129,
  desp.m.ik[mes], "&gt;="&amp;T$1,
  desp.m.ik[mes], "&lt;"&amp;EOMONTH(T$1,0)+1
)</f>
        <v>0</v>
      </c>
      <c r="U153" s="183">
        <f ca="1">-SUMIFS(
  desp.m.ik[valor],
  desp.m.ik[nucleo], $B153,
  desp.m.ik[centro.negocio], $B$129,
  desp.m.ik[mes], "&gt;="&amp;U$1,
  desp.m.ik[mes], "&lt;"&amp;EOMONTH(U$1,0)+1
)</f>
        <v>0</v>
      </c>
      <c r="V153" s="183">
        <f ca="1">-SUMIFS(
  desp.m.ik[valor],
  desp.m.ik[nucleo], $B153,
  desp.m.ik[centro.negocio], $B$129,
  desp.m.ik[mes], "&gt;="&amp;V$1,
  desp.m.ik[mes], "&lt;"&amp;EOMONTH(V$1,0)+1
)</f>
        <v>0</v>
      </c>
      <c r="W153" s="183">
        <f ca="1">-SUMIFS(
  desp.m.ik[valor],
  desp.m.ik[nucleo], $B153,
  desp.m.ik[centro.negocio], $B$129,
  desp.m.ik[mes], "&gt;="&amp;W$1,
  desp.m.ik[mes], "&lt;"&amp;EOMONTH(W$1,0)+1
)</f>
        <v>0</v>
      </c>
      <c r="X153" s="183">
        <f ca="1">-SUMIFS(
  desp.m.ik[valor],
  desp.m.ik[nucleo], $B153,
  desp.m.ik[centro.negocio], $B$129,
  desp.m.ik[mes], "&gt;="&amp;X$1,
  desp.m.ik[mes], "&lt;"&amp;EOMONTH(X$1,0)+1
)</f>
        <v>0</v>
      </c>
      <c r="Y153" s="183">
        <f ca="1">-SUMIFS(
  desp.m.ik[valor],
  desp.m.ik[nucleo], $B153,
  desp.m.ik[centro.negocio], $B$129,
  desp.m.ik[mes], "&gt;="&amp;Y$1,
  desp.m.ik[mes], "&lt;"&amp;EOMONTH(Y$1,0)+1
)</f>
        <v>0</v>
      </c>
      <c r="Z153" s="183">
        <f ca="1">-SUMIFS(
  desp.m.ik[valor],
  desp.m.ik[nucleo], $B153,
  desp.m.ik[centro.negocio], $B$129,
  desp.m.ik[mes], "&gt;="&amp;Z$1,
  desp.m.ik[mes], "&lt;"&amp;EOMONTH(Z$1,0)+1
)</f>
        <v>0</v>
      </c>
      <c r="AA153" s="183">
        <f ca="1">-SUMIFS(
  desp.m.ik[valor],
  desp.m.ik[nucleo], $B153,
  desp.m.ik[centro.negocio], $B$129,
  desp.m.ik[mes], "&gt;="&amp;AA$1,
  desp.m.ik[mes], "&lt;"&amp;EOMONTH(AA$1,0)+1
)</f>
        <v>0</v>
      </c>
      <c r="AC153" s="175">
        <f ca="1">SUM($D153:INDEX($D153:$AA153,1,MATCH(DATE(YEAR(inputs!$A$1),MONTH(inputs!$A$1),1),$D$1:$AA$1,0)))</f>
        <v>0</v>
      </c>
      <c r="AE153" s="175">
        <f t="shared" ca="1" si="32"/>
        <v>0</v>
      </c>
    </row>
    <row r="154" spans="1:31" outlineLevel="2" x14ac:dyDescent="0.25">
      <c r="A154" s="182" t="s">
        <v>993</v>
      </c>
      <c r="B154" s="182" t="s">
        <v>569</v>
      </c>
      <c r="C154" s="135" t="s">
        <v>514</v>
      </c>
      <c r="D154" s="183">
        <f ca="1">-SUMIFS(
  desp.m.ik[valor],
  desp.m.ik[nucleo], $B154,
  desp.m.ik[centro.negocio], $B$129,
  desp.m.ik[mes], "&gt;="&amp;D$1,
  desp.m.ik[mes], "&lt;"&amp;EOMONTH(D$1,0)+1
)</f>
        <v>0</v>
      </c>
      <c r="E154" s="183">
        <f ca="1">-SUMIFS(
  desp.m.ik[valor],
  desp.m.ik[nucleo], $B154,
  desp.m.ik[centro.negocio], $B$129,
  desp.m.ik[mes], "&gt;="&amp;E$1,
  desp.m.ik[mes], "&lt;"&amp;EOMONTH(E$1,0)+1
)</f>
        <v>0</v>
      </c>
      <c r="F154" s="183">
        <f ca="1">-SUMIFS(
  desp.m.ik[valor],
  desp.m.ik[nucleo], $B154,
  desp.m.ik[centro.negocio], $B$129,
  desp.m.ik[mes], "&gt;="&amp;F$1,
  desp.m.ik[mes], "&lt;"&amp;EOMONTH(F$1,0)+1
)</f>
        <v>0</v>
      </c>
      <c r="G154" s="183">
        <f ca="1">-SUMIFS(
  desp.m.ik[valor],
  desp.m.ik[nucleo], $B154,
  desp.m.ik[centro.negocio], $B$129,
  desp.m.ik[mes], "&gt;="&amp;G$1,
  desp.m.ik[mes], "&lt;"&amp;EOMONTH(G$1,0)+1
)</f>
        <v>0</v>
      </c>
      <c r="H154" s="183">
        <f ca="1">-SUMIFS(
  desp.m.ik[valor],
  desp.m.ik[nucleo], $B154,
  desp.m.ik[centro.negocio], $B$129,
  desp.m.ik[mes], "&gt;="&amp;H$1,
  desp.m.ik[mes], "&lt;"&amp;EOMONTH(H$1,0)+1
)</f>
        <v>0</v>
      </c>
      <c r="I154" s="183">
        <f ca="1">-SUMIFS(
  desp.m.ik[valor],
  desp.m.ik[nucleo], $B154,
  desp.m.ik[centro.negocio], $B$129,
  desp.m.ik[mes], "&gt;="&amp;I$1,
  desp.m.ik[mes], "&lt;"&amp;EOMONTH(I$1,0)+1
)</f>
        <v>0</v>
      </c>
      <c r="J154" s="183">
        <f ca="1">-SUMIFS(
  desp.m.ik[valor],
  desp.m.ik[nucleo], $B154,
  desp.m.ik[centro.negocio], $B$129,
  desp.m.ik[mes], "&gt;="&amp;J$1,
  desp.m.ik[mes], "&lt;"&amp;EOMONTH(J$1,0)+1
)</f>
        <v>0</v>
      </c>
      <c r="K154" s="183">
        <f ca="1">-SUMIFS(
  desp.m.ik[valor],
  desp.m.ik[nucleo], $B154,
  desp.m.ik[centro.negocio], $B$129,
  desp.m.ik[mes], "&gt;="&amp;K$1,
  desp.m.ik[mes], "&lt;"&amp;EOMONTH(K$1,0)+1
)</f>
        <v>0</v>
      </c>
      <c r="L154" s="183">
        <f ca="1">-SUMIFS(
  desp.m.ik[valor],
  desp.m.ik[nucleo], $B154,
  desp.m.ik[centro.negocio], $B$129,
  desp.m.ik[mes], "&gt;="&amp;L$1,
  desp.m.ik[mes], "&lt;"&amp;EOMONTH(L$1,0)+1
)</f>
        <v>0</v>
      </c>
      <c r="M154" s="183">
        <f ca="1">-SUMIFS(
  desp.m.ik[valor],
  desp.m.ik[nucleo], $B154,
  desp.m.ik[centro.negocio], $B$129,
  desp.m.ik[mes], "&gt;="&amp;M$1,
  desp.m.ik[mes], "&lt;"&amp;EOMONTH(M$1,0)+1
)</f>
        <v>0</v>
      </c>
      <c r="N154" s="183">
        <f ca="1">-SUMIFS(
  desp.m.ik[valor],
  desp.m.ik[nucleo], $B154,
  desp.m.ik[centro.negocio], $B$129,
  desp.m.ik[mes], "&gt;="&amp;N$1,
  desp.m.ik[mes], "&lt;"&amp;EOMONTH(N$1,0)+1
)</f>
        <v>0</v>
      </c>
      <c r="O154" s="183">
        <f ca="1">-SUMIFS(
  desp.m.ik[valor],
  desp.m.ik[nucleo], $B154,
  desp.m.ik[centro.negocio], $B$129,
  desp.m.ik[mes], "&gt;="&amp;O$1,
  desp.m.ik[mes], "&lt;"&amp;EOMONTH(O$1,0)+1
)</f>
        <v>0</v>
      </c>
      <c r="P154" s="183">
        <f ca="1">-SUMIFS(
  desp.m.ik[valor],
  desp.m.ik[nucleo], $B154,
  desp.m.ik[centro.negocio], $B$129,
  desp.m.ik[mes], "&gt;="&amp;P$1,
  desp.m.ik[mes], "&lt;"&amp;EOMONTH(P$1,0)+1
)</f>
        <v>0</v>
      </c>
      <c r="Q154" s="183">
        <f ca="1">-SUMIFS(
  desp.m.ik[valor],
  desp.m.ik[nucleo], $B154,
  desp.m.ik[centro.negocio], $B$129,
  desp.m.ik[mes], "&gt;="&amp;Q$1,
  desp.m.ik[mes], "&lt;"&amp;EOMONTH(Q$1,0)+1
)</f>
        <v>0</v>
      </c>
      <c r="R154" s="183">
        <f ca="1">-SUMIFS(
  desp.m.ik[valor],
  desp.m.ik[nucleo], $B154,
  desp.m.ik[centro.negocio], $B$129,
  desp.m.ik[mes], "&gt;="&amp;R$1,
  desp.m.ik[mes], "&lt;"&amp;EOMONTH(R$1,0)+1
)</f>
        <v>0</v>
      </c>
      <c r="S154" s="183">
        <f ca="1">-SUMIFS(
  desp.m.ik[valor],
  desp.m.ik[nucleo], $B154,
  desp.m.ik[centro.negocio], $B$129,
  desp.m.ik[mes], "&gt;="&amp;S$1,
  desp.m.ik[mes], "&lt;"&amp;EOMONTH(S$1,0)+1
)</f>
        <v>0</v>
      </c>
      <c r="T154" s="183">
        <f ca="1">-SUMIFS(
  desp.m.ik[valor],
  desp.m.ik[nucleo], $B154,
  desp.m.ik[centro.negocio], $B$129,
  desp.m.ik[mes], "&gt;="&amp;T$1,
  desp.m.ik[mes], "&lt;"&amp;EOMONTH(T$1,0)+1
)</f>
        <v>0</v>
      </c>
      <c r="U154" s="183">
        <f ca="1">-SUMIFS(
  desp.m.ik[valor],
  desp.m.ik[nucleo], $B154,
  desp.m.ik[centro.negocio], $B$129,
  desp.m.ik[mes], "&gt;="&amp;U$1,
  desp.m.ik[mes], "&lt;"&amp;EOMONTH(U$1,0)+1
)</f>
        <v>0</v>
      </c>
      <c r="V154" s="183">
        <f ca="1">-SUMIFS(
  desp.m.ik[valor],
  desp.m.ik[nucleo], $B154,
  desp.m.ik[centro.negocio], $B$129,
  desp.m.ik[mes], "&gt;="&amp;V$1,
  desp.m.ik[mes], "&lt;"&amp;EOMONTH(V$1,0)+1
)</f>
        <v>0</v>
      </c>
      <c r="W154" s="183">
        <f ca="1">-SUMIFS(
  desp.m.ik[valor],
  desp.m.ik[nucleo], $B154,
  desp.m.ik[centro.negocio], $B$129,
  desp.m.ik[mes], "&gt;="&amp;W$1,
  desp.m.ik[mes], "&lt;"&amp;EOMONTH(W$1,0)+1
)</f>
        <v>0</v>
      </c>
      <c r="X154" s="183">
        <f ca="1">-SUMIFS(
  desp.m.ik[valor],
  desp.m.ik[nucleo], $B154,
  desp.m.ik[centro.negocio], $B$129,
  desp.m.ik[mes], "&gt;="&amp;X$1,
  desp.m.ik[mes], "&lt;"&amp;EOMONTH(X$1,0)+1
)</f>
        <v>0</v>
      </c>
      <c r="Y154" s="183">
        <f ca="1">-SUMIFS(
  desp.m.ik[valor],
  desp.m.ik[nucleo], $B154,
  desp.m.ik[centro.negocio], $B$129,
  desp.m.ik[mes], "&gt;="&amp;Y$1,
  desp.m.ik[mes], "&lt;"&amp;EOMONTH(Y$1,0)+1
)</f>
        <v>0</v>
      </c>
      <c r="Z154" s="183">
        <f ca="1">-SUMIFS(
  desp.m.ik[valor],
  desp.m.ik[nucleo], $B154,
  desp.m.ik[centro.negocio], $B$129,
  desp.m.ik[mes], "&gt;="&amp;Z$1,
  desp.m.ik[mes], "&lt;"&amp;EOMONTH(Z$1,0)+1
)</f>
        <v>0</v>
      </c>
      <c r="AA154" s="183">
        <f ca="1">-SUMIFS(
  desp.m.ik[valor],
  desp.m.ik[nucleo], $B154,
  desp.m.ik[centro.negocio], $B$129,
  desp.m.ik[mes], "&gt;="&amp;AA$1,
  desp.m.ik[mes], "&lt;"&amp;EOMONTH(AA$1,0)+1
)</f>
        <v>0</v>
      </c>
      <c r="AC154" s="175">
        <f ca="1">SUM($D154:INDEX($D154:$AA154,1,MATCH(DATE(YEAR(inputs!$A$1),MONTH(inputs!$A$1),1),$D$1:$AA$1,0)))</f>
        <v>0</v>
      </c>
      <c r="AE154" s="175">
        <f ca="1">SUM(D154:AA154)</f>
        <v>0</v>
      </c>
    </row>
    <row r="155" spans="1:31" outlineLevel="2" x14ac:dyDescent="0.25">
      <c r="A155" s="182" t="s">
        <v>993</v>
      </c>
      <c r="B155" s="182" t="s">
        <v>581</v>
      </c>
      <c r="C155" s="135" t="s">
        <v>514</v>
      </c>
      <c r="D155" s="183">
        <f ca="1">-SUMIFS(
  desp.m.ik[valor],
  desp.m.ik[nucleo], $B155,
  desp.m.ik[centro.negocio], $B$129,
  desp.m.ik[mes], "&gt;="&amp;D$1,
  desp.m.ik[mes], "&lt;"&amp;EOMONTH(D$1,0)+1
)</f>
        <v>0</v>
      </c>
      <c r="E155" s="183">
        <f ca="1">-SUMIFS(
  desp.m.ik[valor],
  desp.m.ik[nucleo], $B155,
  desp.m.ik[centro.negocio], $B$129,
  desp.m.ik[mes], "&gt;="&amp;E$1,
  desp.m.ik[mes], "&lt;"&amp;EOMONTH(E$1,0)+1
)</f>
        <v>0</v>
      </c>
      <c r="F155" s="183">
        <f ca="1">-SUMIFS(
  desp.m.ik[valor],
  desp.m.ik[nucleo], $B155,
  desp.m.ik[centro.negocio], $B$129,
  desp.m.ik[mes], "&gt;="&amp;F$1,
  desp.m.ik[mes], "&lt;"&amp;EOMONTH(F$1,0)+1
)</f>
        <v>0</v>
      </c>
      <c r="G155" s="183">
        <f ca="1">-SUMIFS(
  desp.m.ik[valor],
  desp.m.ik[nucleo], $B155,
  desp.m.ik[centro.negocio], $B$129,
  desp.m.ik[mes], "&gt;="&amp;G$1,
  desp.m.ik[mes], "&lt;"&amp;EOMONTH(G$1,0)+1
)</f>
        <v>0</v>
      </c>
      <c r="H155" s="183">
        <f ca="1">-SUMIFS(
  desp.m.ik[valor],
  desp.m.ik[nucleo], $B155,
  desp.m.ik[centro.negocio], $B$129,
  desp.m.ik[mes], "&gt;="&amp;H$1,
  desp.m.ik[mes], "&lt;"&amp;EOMONTH(H$1,0)+1
)</f>
        <v>0</v>
      </c>
      <c r="I155" s="183">
        <f ca="1">-SUMIFS(
  desp.m.ik[valor],
  desp.m.ik[nucleo], $B155,
  desp.m.ik[centro.negocio], $B$129,
  desp.m.ik[mes], "&gt;="&amp;I$1,
  desp.m.ik[mes], "&lt;"&amp;EOMONTH(I$1,0)+1
)</f>
        <v>0</v>
      </c>
      <c r="J155" s="183">
        <f ca="1">-SUMIFS(
  desp.m.ik[valor],
  desp.m.ik[nucleo], $B155,
  desp.m.ik[centro.negocio], $B$129,
  desp.m.ik[mes], "&gt;="&amp;J$1,
  desp.m.ik[mes], "&lt;"&amp;EOMONTH(J$1,0)+1
)</f>
        <v>0</v>
      </c>
      <c r="K155" s="183">
        <f ca="1">-SUMIFS(
  desp.m.ik[valor],
  desp.m.ik[nucleo], $B155,
  desp.m.ik[centro.negocio], $B$129,
  desp.m.ik[mes], "&gt;="&amp;K$1,
  desp.m.ik[mes], "&lt;"&amp;EOMONTH(K$1,0)+1
)</f>
        <v>0</v>
      </c>
      <c r="L155" s="183">
        <f ca="1">-SUMIFS(
  desp.m.ik[valor],
  desp.m.ik[nucleo], $B155,
  desp.m.ik[centro.negocio], $B$129,
  desp.m.ik[mes], "&gt;="&amp;L$1,
  desp.m.ik[mes], "&lt;"&amp;EOMONTH(L$1,0)+1
)</f>
        <v>0</v>
      </c>
      <c r="M155" s="183">
        <f ca="1">-SUMIFS(
  desp.m.ik[valor],
  desp.m.ik[nucleo], $B155,
  desp.m.ik[centro.negocio], $B$129,
  desp.m.ik[mes], "&gt;="&amp;M$1,
  desp.m.ik[mes], "&lt;"&amp;EOMONTH(M$1,0)+1
)</f>
        <v>0</v>
      </c>
      <c r="N155" s="183">
        <f ca="1">-SUMIFS(
  desp.m.ik[valor],
  desp.m.ik[nucleo], $B155,
  desp.m.ik[centro.negocio], $B$129,
  desp.m.ik[mes], "&gt;="&amp;N$1,
  desp.m.ik[mes], "&lt;"&amp;EOMONTH(N$1,0)+1
)</f>
        <v>0</v>
      </c>
      <c r="O155" s="183">
        <f ca="1">-SUMIFS(
  desp.m.ik[valor],
  desp.m.ik[nucleo], $B155,
  desp.m.ik[centro.negocio], $B$129,
  desp.m.ik[mes], "&gt;="&amp;O$1,
  desp.m.ik[mes], "&lt;"&amp;EOMONTH(O$1,0)+1
)</f>
        <v>0</v>
      </c>
      <c r="P155" s="183">
        <f ca="1">-SUMIFS(
  desp.m.ik[valor],
  desp.m.ik[nucleo], $B155,
  desp.m.ik[centro.negocio], $B$129,
  desp.m.ik[mes], "&gt;="&amp;P$1,
  desp.m.ik[mes], "&lt;"&amp;EOMONTH(P$1,0)+1
)</f>
        <v>0</v>
      </c>
      <c r="Q155" s="183">
        <f ca="1">-SUMIFS(
  desp.m.ik[valor],
  desp.m.ik[nucleo], $B155,
  desp.m.ik[centro.negocio], $B$129,
  desp.m.ik[mes], "&gt;="&amp;Q$1,
  desp.m.ik[mes], "&lt;"&amp;EOMONTH(Q$1,0)+1
)</f>
        <v>0</v>
      </c>
      <c r="R155" s="183">
        <f ca="1">-SUMIFS(
  desp.m.ik[valor],
  desp.m.ik[nucleo], $B155,
  desp.m.ik[centro.negocio], $B$129,
  desp.m.ik[mes], "&gt;="&amp;R$1,
  desp.m.ik[mes], "&lt;"&amp;EOMONTH(R$1,0)+1
)</f>
        <v>0</v>
      </c>
      <c r="S155" s="183">
        <f ca="1">-SUMIFS(
  desp.m.ik[valor],
  desp.m.ik[nucleo], $B155,
  desp.m.ik[centro.negocio], $B$129,
  desp.m.ik[mes], "&gt;="&amp;S$1,
  desp.m.ik[mes], "&lt;"&amp;EOMONTH(S$1,0)+1
)</f>
        <v>0</v>
      </c>
      <c r="T155" s="183">
        <f ca="1">-SUMIFS(
  desp.m.ik[valor],
  desp.m.ik[nucleo], $B155,
  desp.m.ik[centro.negocio], $B$129,
  desp.m.ik[mes], "&gt;="&amp;T$1,
  desp.m.ik[mes], "&lt;"&amp;EOMONTH(T$1,0)+1
)</f>
        <v>0</v>
      </c>
      <c r="U155" s="183">
        <f ca="1">-SUMIFS(
  desp.m.ik[valor],
  desp.m.ik[nucleo], $B155,
  desp.m.ik[centro.negocio], $B$129,
  desp.m.ik[mes], "&gt;="&amp;U$1,
  desp.m.ik[mes], "&lt;"&amp;EOMONTH(U$1,0)+1
)</f>
        <v>0</v>
      </c>
      <c r="V155" s="183">
        <f ca="1">-SUMIFS(
  desp.m.ik[valor],
  desp.m.ik[nucleo], $B155,
  desp.m.ik[centro.negocio], $B$129,
  desp.m.ik[mes], "&gt;="&amp;V$1,
  desp.m.ik[mes], "&lt;"&amp;EOMONTH(V$1,0)+1
)</f>
        <v>0</v>
      </c>
      <c r="W155" s="183">
        <f ca="1">-SUMIFS(
  desp.m.ik[valor],
  desp.m.ik[nucleo], $B155,
  desp.m.ik[centro.negocio], $B$129,
  desp.m.ik[mes], "&gt;="&amp;W$1,
  desp.m.ik[mes], "&lt;"&amp;EOMONTH(W$1,0)+1
)</f>
        <v>0</v>
      </c>
      <c r="X155" s="183">
        <f ca="1">-SUMIFS(
  desp.m.ik[valor],
  desp.m.ik[nucleo], $B155,
  desp.m.ik[centro.negocio], $B$129,
  desp.m.ik[mes], "&gt;="&amp;X$1,
  desp.m.ik[mes], "&lt;"&amp;EOMONTH(X$1,0)+1
)</f>
        <v>0</v>
      </c>
      <c r="Y155" s="183">
        <f ca="1">-SUMIFS(
  desp.m.ik[valor],
  desp.m.ik[nucleo], $B155,
  desp.m.ik[centro.negocio], $B$129,
  desp.m.ik[mes], "&gt;="&amp;Y$1,
  desp.m.ik[mes], "&lt;"&amp;EOMONTH(Y$1,0)+1
)</f>
        <v>0</v>
      </c>
      <c r="Z155" s="183">
        <f ca="1">-SUMIFS(
  desp.m.ik[valor],
  desp.m.ik[nucleo], $B155,
  desp.m.ik[centro.negocio], $B$129,
  desp.m.ik[mes], "&gt;="&amp;Z$1,
  desp.m.ik[mes], "&lt;"&amp;EOMONTH(Z$1,0)+1
)</f>
        <v>0</v>
      </c>
      <c r="AA155" s="183">
        <f ca="1">-SUMIFS(
  desp.m.ik[valor],
  desp.m.ik[nucleo], $B155,
  desp.m.ik[centro.negocio], $B$129,
  desp.m.ik[mes], "&gt;="&amp;AA$1,
  desp.m.ik[mes], "&lt;"&amp;EOMONTH(AA$1,0)+1
)</f>
        <v>0</v>
      </c>
      <c r="AC155" s="175">
        <f ca="1">SUM($D155:INDEX($D155:$AA155,1,MATCH(DATE(YEAR(inputs!$A$1),MONTH(inputs!$A$1),1),$D$1:$AA$1,0)))</f>
        <v>0</v>
      </c>
      <c r="AE155" s="175">
        <f t="shared" ca="1" si="32"/>
        <v>0</v>
      </c>
    </row>
    <row r="156" spans="1:31" outlineLevel="1" x14ac:dyDescent="0.25">
      <c r="A156" s="179" t="s">
        <v>570</v>
      </c>
      <c r="B156" s="179" t="s">
        <v>396</v>
      </c>
      <c r="C156" s="180" t="s">
        <v>514</v>
      </c>
      <c r="D156" s="181">
        <f t="shared" ref="D156:AA156" ca="1" si="33">SUM(D$157:D$166)</f>
        <v>0</v>
      </c>
      <c r="E156" s="181">
        <f t="shared" ca="1" si="33"/>
        <v>0</v>
      </c>
      <c r="F156" s="181">
        <f t="shared" ca="1" si="33"/>
        <v>0</v>
      </c>
      <c r="G156" s="181">
        <f t="shared" ca="1" si="33"/>
        <v>0</v>
      </c>
      <c r="H156" s="181">
        <f t="shared" ca="1" si="33"/>
        <v>0</v>
      </c>
      <c r="I156" s="181">
        <f t="shared" ca="1" si="33"/>
        <v>0</v>
      </c>
      <c r="J156" s="181">
        <f t="shared" ca="1" si="33"/>
        <v>0</v>
      </c>
      <c r="K156" s="181">
        <f t="shared" ca="1" si="33"/>
        <v>0</v>
      </c>
      <c r="L156" s="181">
        <f t="shared" ca="1" si="33"/>
        <v>0</v>
      </c>
      <c r="M156" s="181">
        <f t="shared" ca="1" si="33"/>
        <v>0</v>
      </c>
      <c r="N156" s="181">
        <f t="shared" ca="1" si="33"/>
        <v>0</v>
      </c>
      <c r="O156" s="181">
        <f t="shared" ca="1" si="33"/>
        <v>0</v>
      </c>
      <c r="P156" s="181">
        <f t="shared" ca="1" si="33"/>
        <v>0</v>
      </c>
      <c r="Q156" s="181">
        <f t="shared" ca="1" si="33"/>
        <v>0</v>
      </c>
      <c r="R156" s="181">
        <f t="shared" ca="1" si="33"/>
        <v>0</v>
      </c>
      <c r="S156" s="181">
        <f t="shared" ca="1" si="33"/>
        <v>0</v>
      </c>
      <c r="T156" s="181">
        <f t="shared" ca="1" si="33"/>
        <v>0</v>
      </c>
      <c r="U156" s="181">
        <f t="shared" ca="1" si="33"/>
        <v>0</v>
      </c>
      <c r="V156" s="181">
        <f t="shared" ca="1" si="33"/>
        <v>0</v>
      </c>
      <c r="W156" s="181">
        <f t="shared" ca="1" si="33"/>
        <v>0</v>
      </c>
      <c r="X156" s="181">
        <f t="shared" ca="1" si="33"/>
        <v>0</v>
      </c>
      <c r="Y156" s="181">
        <f t="shared" ca="1" si="33"/>
        <v>0</v>
      </c>
      <c r="Z156" s="181">
        <f t="shared" ca="1" si="33"/>
        <v>0</v>
      </c>
      <c r="AA156" s="181">
        <f t="shared" ca="1" si="33"/>
        <v>0</v>
      </c>
      <c r="AC156" s="275">
        <f ca="1">SUM($D156:INDEX($D156:$AA156,1,MATCH(DATE(YEAR(inputs!$A$1),MONTH(inputs!$A$1),1),$D$1:$AA$1,0)))</f>
        <v>0</v>
      </c>
      <c r="AE156" s="275">
        <f t="shared" ca="1" si="32"/>
        <v>0</v>
      </c>
    </row>
    <row r="157" spans="1:31" outlineLevel="2" x14ac:dyDescent="0.25">
      <c r="A157" s="182" t="s">
        <v>841</v>
      </c>
      <c r="B157" s="182" t="s">
        <v>541</v>
      </c>
      <c r="C157" s="135" t="s">
        <v>514</v>
      </c>
      <c r="D157" s="183">
        <f ca="1">-SUMIFS(
  desp.m.ik[valor],
  desp.m.ik[nucleo], $B157,
  desp.m.ik[centro.negocio], $B$156,
  desp.m.ik[mes], "&gt;="&amp;D$1,
  desp.m.ik[mes], "&lt;"&amp;EOMONTH(D$1,0)+1
)</f>
        <v>0</v>
      </c>
      <c r="E157" s="183">
        <f ca="1">-SUMIFS(
  desp.m.ik[valor],
  desp.m.ik[nucleo], $B157,
  desp.m.ik[centro.negocio], $B$156,
  desp.m.ik[mes], "&gt;="&amp;E$1,
  desp.m.ik[mes], "&lt;"&amp;EOMONTH(E$1,0)+1
)</f>
        <v>0</v>
      </c>
      <c r="F157" s="183">
        <f ca="1">-SUMIFS(
  desp.m.ik[valor],
  desp.m.ik[nucleo], $B157,
  desp.m.ik[centro.negocio], $B$156,
  desp.m.ik[mes], "&gt;="&amp;F$1,
  desp.m.ik[mes], "&lt;"&amp;EOMONTH(F$1,0)+1
)</f>
        <v>0</v>
      </c>
      <c r="G157" s="183">
        <f ca="1">-SUMIFS(
  desp.m.ik[valor],
  desp.m.ik[nucleo], $B157,
  desp.m.ik[centro.negocio], $B$156,
  desp.m.ik[mes], "&gt;="&amp;G$1,
  desp.m.ik[mes], "&lt;"&amp;EOMONTH(G$1,0)+1
)</f>
        <v>0</v>
      </c>
      <c r="H157" s="183">
        <f ca="1">-SUMIFS(
  desp.m.ik[valor],
  desp.m.ik[nucleo], $B157,
  desp.m.ik[centro.negocio], $B$156,
  desp.m.ik[mes], "&gt;="&amp;H$1,
  desp.m.ik[mes], "&lt;"&amp;EOMONTH(H$1,0)+1
)</f>
        <v>0</v>
      </c>
      <c r="I157" s="183">
        <f ca="1">-SUMIFS(
  desp.m.ik[valor],
  desp.m.ik[nucleo], $B157,
  desp.m.ik[centro.negocio], $B$156,
  desp.m.ik[mes], "&gt;="&amp;I$1,
  desp.m.ik[mes], "&lt;"&amp;EOMONTH(I$1,0)+1
)</f>
        <v>0</v>
      </c>
      <c r="J157" s="183">
        <f ca="1">-SUMIFS(
  desp.m.ik[valor],
  desp.m.ik[nucleo], $B157,
  desp.m.ik[centro.negocio], $B$156,
  desp.m.ik[mes], "&gt;="&amp;J$1,
  desp.m.ik[mes], "&lt;"&amp;EOMONTH(J$1,0)+1
)</f>
        <v>0</v>
      </c>
      <c r="K157" s="183">
        <f ca="1">-SUMIFS(
  desp.m.ik[valor],
  desp.m.ik[nucleo], $B157,
  desp.m.ik[centro.negocio], $B$156,
  desp.m.ik[mes], "&gt;="&amp;K$1,
  desp.m.ik[mes], "&lt;"&amp;EOMONTH(K$1,0)+1
)</f>
        <v>0</v>
      </c>
      <c r="L157" s="183">
        <f ca="1">-SUMIFS(
  desp.m.ik[valor],
  desp.m.ik[nucleo], $B157,
  desp.m.ik[centro.negocio], $B$156,
  desp.m.ik[mes], "&gt;="&amp;L$1,
  desp.m.ik[mes], "&lt;"&amp;EOMONTH(L$1,0)+1
)</f>
        <v>0</v>
      </c>
      <c r="M157" s="183">
        <f ca="1">-SUMIFS(
  desp.m.ik[valor],
  desp.m.ik[nucleo], $B157,
  desp.m.ik[centro.negocio], $B$156,
  desp.m.ik[mes], "&gt;="&amp;M$1,
  desp.m.ik[mes], "&lt;"&amp;EOMONTH(M$1,0)+1
)</f>
        <v>0</v>
      </c>
      <c r="N157" s="183">
        <f ca="1">-SUMIFS(
  desp.m.ik[valor],
  desp.m.ik[nucleo], $B157,
  desp.m.ik[centro.negocio], $B$156,
  desp.m.ik[mes], "&gt;="&amp;N$1,
  desp.m.ik[mes], "&lt;"&amp;EOMONTH(N$1,0)+1
)</f>
        <v>0</v>
      </c>
      <c r="O157" s="183">
        <f ca="1">-SUMIFS(
  desp.m.ik[valor],
  desp.m.ik[nucleo], $B157,
  desp.m.ik[centro.negocio], $B$156,
  desp.m.ik[mes], "&gt;="&amp;O$1,
  desp.m.ik[mes], "&lt;"&amp;EOMONTH(O$1,0)+1
)</f>
        <v>0</v>
      </c>
      <c r="P157" s="183">
        <f ca="1">-SUMIFS(
  desp.m.ik[valor],
  desp.m.ik[nucleo], $B157,
  desp.m.ik[centro.negocio], $B$156,
  desp.m.ik[mes], "&gt;="&amp;P$1,
  desp.m.ik[mes], "&lt;"&amp;EOMONTH(P$1,0)+1
)</f>
        <v>0</v>
      </c>
      <c r="Q157" s="183">
        <f ca="1">-SUMIFS(
  desp.m.ik[valor],
  desp.m.ik[nucleo], $B157,
  desp.m.ik[centro.negocio], $B$156,
  desp.m.ik[mes], "&gt;="&amp;Q$1,
  desp.m.ik[mes], "&lt;"&amp;EOMONTH(Q$1,0)+1
)</f>
        <v>0</v>
      </c>
      <c r="R157" s="183">
        <f ca="1">-SUMIFS(
  desp.m.ik[valor],
  desp.m.ik[nucleo], $B157,
  desp.m.ik[centro.negocio], $B$156,
  desp.m.ik[mes], "&gt;="&amp;R$1,
  desp.m.ik[mes], "&lt;"&amp;EOMONTH(R$1,0)+1
)</f>
        <v>0</v>
      </c>
      <c r="S157" s="183">
        <f ca="1">-SUMIFS(
  desp.m.ik[valor],
  desp.m.ik[nucleo], $B157,
  desp.m.ik[centro.negocio], $B$156,
  desp.m.ik[mes], "&gt;="&amp;S$1,
  desp.m.ik[mes], "&lt;"&amp;EOMONTH(S$1,0)+1
)</f>
        <v>0</v>
      </c>
      <c r="T157" s="183">
        <f ca="1">-SUMIFS(
  desp.m.ik[valor],
  desp.m.ik[nucleo], $B157,
  desp.m.ik[centro.negocio], $B$156,
  desp.m.ik[mes], "&gt;="&amp;T$1,
  desp.m.ik[mes], "&lt;"&amp;EOMONTH(T$1,0)+1
)</f>
        <v>0</v>
      </c>
      <c r="U157" s="183">
        <f ca="1">-SUMIFS(
  desp.m.ik[valor],
  desp.m.ik[nucleo], $B157,
  desp.m.ik[centro.negocio], $B$156,
  desp.m.ik[mes], "&gt;="&amp;U$1,
  desp.m.ik[mes], "&lt;"&amp;EOMONTH(U$1,0)+1
)</f>
        <v>0</v>
      </c>
      <c r="V157" s="183">
        <f ca="1">-SUMIFS(
  desp.m.ik[valor],
  desp.m.ik[nucleo], $B157,
  desp.m.ik[centro.negocio], $B$156,
  desp.m.ik[mes], "&gt;="&amp;V$1,
  desp.m.ik[mes], "&lt;"&amp;EOMONTH(V$1,0)+1
)</f>
        <v>0</v>
      </c>
      <c r="W157" s="183">
        <f ca="1">-SUMIFS(
  desp.m.ik[valor],
  desp.m.ik[nucleo], $B157,
  desp.m.ik[centro.negocio], $B$156,
  desp.m.ik[mes], "&gt;="&amp;W$1,
  desp.m.ik[mes], "&lt;"&amp;EOMONTH(W$1,0)+1
)</f>
        <v>0</v>
      </c>
      <c r="X157" s="183">
        <f ca="1">-SUMIFS(
  desp.m.ik[valor],
  desp.m.ik[nucleo], $B157,
  desp.m.ik[centro.negocio], $B$156,
  desp.m.ik[mes], "&gt;="&amp;X$1,
  desp.m.ik[mes], "&lt;"&amp;EOMONTH(X$1,0)+1
)</f>
        <v>0</v>
      </c>
      <c r="Y157" s="183">
        <f ca="1">-SUMIFS(
  desp.m.ik[valor],
  desp.m.ik[nucleo], $B157,
  desp.m.ik[centro.negocio], $B$156,
  desp.m.ik[mes], "&gt;="&amp;Y$1,
  desp.m.ik[mes], "&lt;"&amp;EOMONTH(Y$1,0)+1
)</f>
        <v>0</v>
      </c>
      <c r="Z157" s="183">
        <f ca="1">-SUMIFS(
  desp.m.ik[valor],
  desp.m.ik[nucleo], $B157,
  desp.m.ik[centro.negocio], $B$156,
  desp.m.ik[mes], "&gt;="&amp;Z$1,
  desp.m.ik[mes], "&lt;"&amp;EOMONTH(Z$1,0)+1
)</f>
        <v>0</v>
      </c>
      <c r="AA157" s="183">
        <f ca="1">-SUMIFS(
  desp.m.ik[valor],
  desp.m.ik[nucleo], $B157,
  desp.m.ik[centro.negocio], $B$156,
  desp.m.ik[mes], "&gt;="&amp;AA$1,
  desp.m.ik[mes], "&lt;"&amp;EOMONTH(AA$1,0)+1
)</f>
        <v>0</v>
      </c>
      <c r="AC157" s="175">
        <f ca="1">SUM($D157:INDEX($D157:$AA157,1,MATCH(DATE(YEAR(inputs!$A$1),MONTH(inputs!$A$1),1),$D$1:$AA$1,0)))</f>
        <v>0</v>
      </c>
      <c r="AE157" s="175">
        <f t="shared" ca="1" si="32"/>
        <v>0</v>
      </c>
    </row>
    <row r="158" spans="1:31" outlineLevel="2" x14ac:dyDescent="0.25">
      <c r="A158" s="182" t="s">
        <v>843</v>
      </c>
      <c r="B158" s="182" t="s">
        <v>922</v>
      </c>
      <c r="C158" s="135" t="s">
        <v>514</v>
      </c>
      <c r="D158" s="183">
        <f ca="1">-SUMIFS(
  desp.m.ik[valor],
  desp.m.ik[nucleo], $B158,
  desp.m.ik[centro.negocio], $B$156,
  desp.m.ik[mes], "&gt;="&amp;D$1,
  desp.m.ik[mes], "&lt;"&amp;EOMONTH(D$1,0)+1
)</f>
        <v>0</v>
      </c>
      <c r="E158" s="183">
        <f ca="1">-SUMIFS(
  desp.m.ik[valor],
  desp.m.ik[nucleo], $B158,
  desp.m.ik[centro.negocio], $B$156,
  desp.m.ik[mes], "&gt;="&amp;E$1,
  desp.m.ik[mes], "&lt;"&amp;EOMONTH(E$1,0)+1
)</f>
        <v>0</v>
      </c>
      <c r="F158" s="183">
        <f ca="1">-SUMIFS(
  desp.m.ik[valor],
  desp.m.ik[nucleo], $B158,
  desp.m.ik[centro.negocio], $B$156,
  desp.m.ik[mes], "&gt;="&amp;F$1,
  desp.m.ik[mes], "&lt;"&amp;EOMONTH(F$1,0)+1
)</f>
        <v>0</v>
      </c>
      <c r="G158" s="183">
        <f ca="1">-SUMIFS(
  desp.m.ik[valor],
  desp.m.ik[nucleo], $B158,
  desp.m.ik[centro.negocio], $B$156,
  desp.m.ik[mes], "&gt;="&amp;G$1,
  desp.m.ik[mes], "&lt;"&amp;EOMONTH(G$1,0)+1
)</f>
        <v>0</v>
      </c>
      <c r="H158" s="183">
        <f ca="1">-SUMIFS(
  desp.m.ik[valor],
  desp.m.ik[nucleo], $B158,
  desp.m.ik[centro.negocio], $B$156,
  desp.m.ik[mes], "&gt;="&amp;H$1,
  desp.m.ik[mes], "&lt;"&amp;EOMONTH(H$1,0)+1
)</f>
        <v>0</v>
      </c>
      <c r="I158" s="183">
        <f ca="1">-SUMIFS(
  desp.m.ik[valor],
  desp.m.ik[nucleo], $B158,
  desp.m.ik[centro.negocio], $B$156,
  desp.m.ik[mes], "&gt;="&amp;I$1,
  desp.m.ik[mes], "&lt;"&amp;EOMONTH(I$1,0)+1
)</f>
        <v>0</v>
      </c>
      <c r="J158" s="183">
        <f ca="1">-SUMIFS(
  desp.m.ik[valor],
  desp.m.ik[nucleo], $B158,
  desp.m.ik[centro.negocio], $B$156,
  desp.m.ik[mes], "&gt;="&amp;J$1,
  desp.m.ik[mes], "&lt;"&amp;EOMONTH(J$1,0)+1
)</f>
        <v>0</v>
      </c>
      <c r="K158" s="183">
        <f ca="1">-SUMIFS(
  desp.m.ik[valor],
  desp.m.ik[nucleo], $B158,
  desp.m.ik[centro.negocio], $B$156,
  desp.m.ik[mes], "&gt;="&amp;K$1,
  desp.m.ik[mes], "&lt;"&amp;EOMONTH(K$1,0)+1
)</f>
        <v>0</v>
      </c>
      <c r="L158" s="183">
        <f ca="1">-SUMIFS(
  desp.m.ik[valor],
  desp.m.ik[nucleo], $B158,
  desp.m.ik[centro.negocio], $B$156,
  desp.m.ik[mes], "&gt;="&amp;L$1,
  desp.m.ik[mes], "&lt;"&amp;EOMONTH(L$1,0)+1
)</f>
        <v>0</v>
      </c>
      <c r="M158" s="183">
        <f ca="1">-SUMIFS(
  desp.m.ik[valor],
  desp.m.ik[nucleo], $B158,
  desp.m.ik[centro.negocio], $B$156,
  desp.m.ik[mes], "&gt;="&amp;M$1,
  desp.m.ik[mes], "&lt;"&amp;EOMONTH(M$1,0)+1
)</f>
        <v>0</v>
      </c>
      <c r="N158" s="183">
        <f ca="1">-SUMIFS(
  desp.m.ik[valor],
  desp.m.ik[nucleo], $B158,
  desp.m.ik[centro.negocio], $B$156,
  desp.m.ik[mes], "&gt;="&amp;N$1,
  desp.m.ik[mes], "&lt;"&amp;EOMONTH(N$1,0)+1
)</f>
        <v>0</v>
      </c>
      <c r="O158" s="183">
        <f ca="1">-SUMIFS(
  desp.m.ik[valor],
  desp.m.ik[nucleo], $B158,
  desp.m.ik[centro.negocio], $B$156,
  desp.m.ik[mes], "&gt;="&amp;O$1,
  desp.m.ik[mes], "&lt;"&amp;EOMONTH(O$1,0)+1
)</f>
        <v>0</v>
      </c>
      <c r="P158" s="183">
        <f ca="1">-SUMIFS(
  desp.m.ik[valor],
  desp.m.ik[nucleo], $B158,
  desp.m.ik[centro.negocio], $B$156,
  desp.m.ik[mes], "&gt;="&amp;P$1,
  desp.m.ik[mes], "&lt;"&amp;EOMONTH(P$1,0)+1
)</f>
        <v>0</v>
      </c>
      <c r="Q158" s="183">
        <f ca="1">-SUMIFS(
  desp.m.ik[valor],
  desp.m.ik[nucleo], $B158,
  desp.m.ik[centro.negocio], $B$156,
  desp.m.ik[mes], "&gt;="&amp;Q$1,
  desp.m.ik[mes], "&lt;"&amp;EOMONTH(Q$1,0)+1
)</f>
        <v>0</v>
      </c>
      <c r="R158" s="183">
        <f ca="1">-SUMIFS(
  desp.m.ik[valor],
  desp.m.ik[nucleo], $B158,
  desp.m.ik[centro.negocio], $B$156,
  desp.m.ik[mes], "&gt;="&amp;R$1,
  desp.m.ik[mes], "&lt;"&amp;EOMONTH(R$1,0)+1
)</f>
        <v>0</v>
      </c>
      <c r="S158" s="183">
        <f ca="1">-SUMIFS(
  desp.m.ik[valor],
  desp.m.ik[nucleo], $B158,
  desp.m.ik[centro.negocio], $B$156,
  desp.m.ik[mes], "&gt;="&amp;S$1,
  desp.m.ik[mes], "&lt;"&amp;EOMONTH(S$1,0)+1
)</f>
        <v>0</v>
      </c>
      <c r="T158" s="183">
        <f ca="1">-SUMIFS(
  desp.m.ik[valor],
  desp.m.ik[nucleo], $B158,
  desp.m.ik[centro.negocio], $B$156,
  desp.m.ik[mes], "&gt;="&amp;T$1,
  desp.m.ik[mes], "&lt;"&amp;EOMONTH(T$1,0)+1
)</f>
        <v>0</v>
      </c>
      <c r="U158" s="183">
        <f ca="1">-SUMIFS(
  desp.m.ik[valor],
  desp.m.ik[nucleo], $B158,
  desp.m.ik[centro.negocio], $B$156,
  desp.m.ik[mes], "&gt;="&amp;U$1,
  desp.m.ik[mes], "&lt;"&amp;EOMONTH(U$1,0)+1
)</f>
        <v>0</v>
      </c>
      <c r="V158" s="183">
        <f ca="1">-SUMIFS(
  desp.m.ik[valor],
  desp.m.ik[nucleo], $B158,
  desp.m.ik[centro.negocio], $B$156,
  desp.m.ik[mes], "&gt;="&amp;V$1,
  desp.m.ik[mes], "&lt;"&amp;EOMONTH(V$1,0)+1
)</f>
        <v>0</v>
      </c>
      <c r="W158" s="183">
        <f ca="1">-SUMIFS(
  desp.m.ik[valor],
  desp.m.ik[nucleo], $B158,
  desp.m.ik[centro.negocio], $B$156,
  desp.m.ik[mes], "&gt;="&amp;W$1,
  desp.m.ik[mes], "&lt;"&amp;EOMONTH(W$1,0)+1
)</f>
        <v>0</v>
      </c>
      <c r="X158" s="183">
        <f ca="1">-SUMIFS(
  desp.m.ik[valor],
  desp.m.ik[nucleo], $B158,
  desp.m.ik[centro.negocio], $B$156,
  desp.m.ik[mes], "&gt;="&amp;X$1,
  desp.m.ik[mes], "&lt;"&amp;EOMONTH(X$1,0)+1
)</f>
        <v>0</v>
      </c>
      <c r="Y158" s="183">
        <f ca="1">-SUMIFS(
  desp.m.ik[valor],
  desp.m.ik[nucleo], $B158,
  desp.m.ik[centro.negocio], $B$156,
  desp.m.ik[mes], "&gt;="&amp;Y$1,
  desp.m.ik[mes], "&lt;"&amp;EOMONTH(Y$1,0)+1
)</f>
        <v>0</v>
      </c>
      <c r="Z158" s="183">
        <f ca="1">-SUMIFS(
  desp.m.ik[valor],
  desp.m.ik[nucleo], $B158,
  desp.m.ik[centro.negocio], $B$156,
  desp.m.ik[mes], "&gt;="&amp;Z$1,
  desp.m.ik[mes], "&lt;"&amp;EOMONTH(Z$1,0)+1
)</f>
        <v>0</v>
      </c>
      <c r="AA158" s="183">
        <f ca="1">-SUMIFS(
  desp.m.ik[valor],
  desp.m.ik[nucleo], $B158,
  desp.m.ik[centro.negocio], $B$156,
  desp.m.ik[mes], "&gt;="&amp;AA$1,
  desp.m.ik[mes], "&lt;"&amp;EOMONTH(AA$1,0)+1
)</f>
        <v>0</v>
      </c>
      <c r="AC158" s="175">
        <f ca="1">SUM($D158:INDEX($D158:$AA158,1,MATCH(DATE(YEAR(inputs!$A$1),MONTH(inputs!$A$1),1),$D$1:$AA$1,0)))</f>
        <v>0</v>
      </c>
      <c r="AE158" s="175">
        <f t="shared" ca="1" si="32"/>
        <v>0</v>
      </c>
    </row>
    <row r="159" spans="1:31" outlineLevel="2" x14ac:dyDescent="0.25">
      <c r="A159" s="182" t="s">
        <v>846</v>
      </c>
      <c r="B159" s="182" t="s">
        <v>704</v>
      </c>
      <c r="C159" s="135" t="s">
        <v>514</v>
      </c>
      <c r="D159" s="183">
        <f ca="1">-SUMIFS(
  desp.m.ik[valor],
  desp.m.ik[nucleo], $B159,
  desp.m.ik[centro.negocio], $B$156,
  desp.m.ik[mes], "&gt;="&amp;D$1,
  desp.m.ik[mes], "&lt;"&amp;EOMONTH(D$1,0)+1
)</f>
        <v>0</v>
      </c>
      <c r="E159" s="183">
        <f ca="1">-SUMIFS(
  desp.m.ik[valor],
  desp.m.ik[nucleo], $B159,
  desp.m.ik[centro.negocio], $B$156,
  desp.m.ik[mes], "&gt;="&amp;E$1,
  desp.m.ik[mes], "&lt;"&amp;EOMONTH(E$1,0)+1
)</f>
        <v>0</v>
      </c>
      <c r="F159" s="183">
        <f ca="1">-SUMIFS(
  desp.m.ik[valor],
  desp.m.ik[nucleo], $B159,
  desp.m.ik[centro.negocio], $B$156,
  desp.m.ik[mes], "&gt;="&amp;F$1,
  desp.m.ik[mes], "&lt;"&amp;EOMONTH(F$1,0)+1
)</f>
        <v>0</v>
      </c>
      <c r="G159" s="183">
        <f ca="1">-SUMIFS(
  desp.m.ik[valor],
  desp.m.ik[nucleo], $B159,
  desp.m.ik[centro.negocio], $B$156,
  desp.m.ik[mes], "&gt;="&amp;G$1,
  desp.m.ik[mes], "&lt;"&amp;EOMONTH(G$1,0)+1
)</f>
        <v>0</v>
      </c>
      <c r="H159" s="183">
        <f ca="1">-SUMIFS(
  desp.m.ik[valor],
  desp.m.ik[nucleo], $B159,
  desp.m.ik[centro.negocio], $B$156,
  desp.m.ik[mes], "&gt;="&amp;H$1,
  desp.m.ik[mes], "&lt;"&amp;EOMONTH(H$1,0)+1
)</f>
        <v>0</v>
      </c>
      <c r="I159" s="183">
        <f ca="1">-SUMIFS(
  desp.m.ik[valor],
  desp.m.ik[nucleo], $B159,
  desp.m.ik[centro.negocio], $B$156,
  desp.m.ik[mes], "&gt;="&amp;I$1,
  desp.m.ik[mes], "&lt;"&amp;EOMONTH(I$1,0)+1
)</f>
        <v>0</v>
      </c>
      <c r="J159" s="183">
        <f ca="1">-SUMIFS(
  desp.m.ik[valor],
  desp.m.ik[nucleo], $B159,
  desp.m.ik[centro.negocio], $B$156,
  desp.m.ik[mes], "&gt;="&amp;J$1,
  desp.m.ik[mes], "&lt;"&amp;EOMONTH(J$1,0)+1
)</f>
        <v>0</v>
      </c>
      <c r="K159" s="183">
        <f ca="1">-SUMIFS(
  desp.m.ik[valor],
  desp.m.ik[nucleo], $B159,
  desp.m.ik[centro.negocio], $B$156,
  desp.m.ik[mes], "&gt;="&amp;K$1,
  desp.m.ik[mes], "&lt;"&amp;EOMONTH(K$1,0)+1
)</f>
        <v>0</v>
      </c>
      <c r="L159" s="183">
        <f ca="1">-SUMIFS(
  desp.m.ik[valor],
  desp.m.ik[nucleo], $B159,
  desp.m.ik[centro.negocio], $B$156,
  desp.m.ik[mes], "&gt;="&amp;L$1,
  desp.m.ik[mes], "&lt;"&amp;EOMONTH(L$1,0)+1
)</f>
        <v>0</v>
      </c>
      <c r="M159" s="183">
        <f ca="1">-SUMIFS(
  desp.m.ik[valor],
  desp.m.ik[nucleo], $B159,
  desp.m.ik[centro.negocio], $B$156,
  desp.m.ik[mes], "&gt;="&amp;M$1,
  desp.m.ik[mes], "&lt;"&amp;EOMONTH(M$1,0)+1
)</f>
        <v>0</v>
      </c>
      <c r="N159" s="183">
        <f ca="1">-SUMIFS(
  desp.m.ik[valor],
  desp.m.ik[nucleo], $B159,
  desp.m.ik[centro.negocio], $B$156,
  desp.m.ik[mes], "&gt;="&amp;N$1,
  desp.m.ik[mes], "&lt;"&amp;EOMONTH(N$1,0)+1
)</f>
        <v>0</v>
      </c>
      <c r="O159" s="183">
        <f ca="1">-SUMIFS(
  desp.m.ik[valor],
  desp.m.ik[nucleo], $B159,
  desp.m.ik[centro.negocio], $B$156,
  desp.m.ik[mes], "&gt;="&amp;O$1,
  desp.m.ik[mes], "&lt;"&amp;EOMONTH(O$1,0)+1
)</f>
        <v>0</v>
      </c>
      <c r="P159" s="183">
        <f ca="1">-SUMIFS(
  desp.m.ik[valor],
  desp.m.ik[nucleo], $B159,
  desp.m.ik[centro.negocio], $B$156,
  desp.m.ik[mes], "&gt;="&amp;P$1,
  desp.m.ik[mes], "&lt;"&amp;EOMONTH(P$1,0)+1
)</f>
        <v>0</v>
      </c>
      <c r="Q159" s="183">
        <f ca="1">-SUMIFS(
  desp.m.ik[valor],
  desp.m.ik[nucleo], $B159,
  desp.m.ik[centro.negocio], $B$156,
  desp.m.ik[mes], "&gt;="&amp;Q$1,
  desp.m.ik[mes], "&lt;"&amp;EOMONTH(Q$1,0)+1
)</f>
        <v>0</v>
      </c>
      <c r="R159" s="183">
        <f ca="1">-SUMIFS(
  desp.m.ik[valor],
  desp.m.ik[nucleo], $B159,
  desp.m.ik[centro.negocio], $B$156,
  desp.m.ik[mes], "&gt;="&amp;R$1,
  desp.m.ik[mes], "&lt;"&amp;EOMONTH(R$1,0)+1
)</f>
        <v>0</v>
      </c>
      <c r="S159" s="183">
        <f ca="1">-SUMIFS(
  desp.m.ik[valor],
  desp.m.ik[nucleo], $B159,
  desp.m.ik[centro.negocio], $B$156,
  desp.m.ik[mes], "&gt;="&amp;S$1,
  desp.m.ik[mes], "&lt;"&amp;EOMONTH(S$1,0)+1
)</f>
        <v>0</v>
      </c>
      <c r="T159" s="183">
        <f ca="1">-SUMIFS(
  desp.m.ik[valor],
  desp.m.ik[nucleo], $B159,
  desp.m.ik[centro.negocio], $B$156,
  desp.m.ik[mes], "&gt;="&amp;T$1,
  desp.m.ik[mes], "&lt;"&amp;EOMONTH(T$1,0)+1
)</f>
        <v>0</v>
      </c>
      <c r="U159" s="183">
        <f ca="1">-SUMIFS(
  desp.m.ik[valor],
  desp.m.ik[nucleo], $B159,
  desp.m.ik[centro.negocio], $B$156,
  desp.m.ik[mes], "&gt;="&amp;U$1,
  desp.m.ik[mes], "&lt;"&amp;EOMONTH(U$1,0)+1
)</f>
        <v>0</v>
      </c>
      <c r="V159" s="183">
        <f ca="1">-SUMIFS(
  desp.m.ik[valor],
  desp.m.ik[nucleo], $B159,
  desp.m.ik[centro.negocio], $B$156,
  desp.m.ik[mes], "&gt;="&amp;V$1,
  desp.m.ik[mes], "&lt;"&amp;EOMONTH(V$1,0)+1
)</f>
        <v>0</v>
      </c>
      <c r="W159" s="183">
        <f ca="1">-SUMIFS(
  desp.m.ik[valor],
  desp.m.ik[nucleo], $B159,
  desp.m.ik[centro.negocio], $B$156,
  desp.m.ik[mes], "&gt;="&amp;W$1,
  desp.m.ik[mes], "&lt;"&amp;EOMONTH(W$1,0)+1
)</f>
        <v>0</v>
      </c>
      <c r="X159" s="183">
        <f ca="1">-SUMIFS(
  desp.m.ik[valor],
  desp.m.ik[nucleo], $B159,
  desp.m.ik[centro.negocio], $B$156,
  desp.m.ik[mes], "&gt;="&amp;X$1,
  desp.m.ik[mes], "&lt;"&amp;EOMONTH(X$1,0)+1
)</f>
        <v>0</v>
      </c>
      <c r="Y159" s="183">
        <f ca="1">-SUMIFS(
  desp.m.ik[valor],
  desp.m.ik[nucleo], $B159,
  desp.m.ik[centro.negocio], $B$156,
  desp.m.ik[mes], "&gt;="&amp;Y$1,
  desp.m.ik[mes], "&lt;"&amp;EOMONTH(Y$1,0)+1
)</f>
        <v>0</v>
      </c>
      <c r="Z159" s="183">
        <f ca="1">-SUMIFS(
  desp.m.ik[valor],
  desp.m.ik[nucleo], $B159,
  desp.m.ik[centro.negocio], $B$156,
  desp.m.ik[mes], "&gt;="&amp;Z$1,
  desp.m.ik[mes], "&lt;"&amp;EOMONTH(Z$1,0)+1
)</f>
        <v>0</v>
      </c>
      <c r="AA159" s="183">
        <f ca="1">-SUMIFS(
  desp.m.ik[valor],
  desp.m.ik[nucleo], $B159,
  desp.m.ik[centro.negocio], $B$156,
  desp.m.ik[mes], "&gt;="&amp;AA$1,
  desp.m.ik[mes], "&lt;"&amp;EOMONTH(AA$1,0)+1
)</f>
        <v>0</v>
      </c>
      <c r="AC159" s="175">
        <f ca="1">SUM($D159:INDEX($D159:$AA159,1,MATCH(DATE(YEAR(inputs!$A$1),MONTH(inputs!$A$1),1),$D$1:$AA$1,0)))</f>
        <v>0</v>
      </c>
      <c r="AE159" s="175">
        <f ca="1">SUM(D159:AA159)</f>
        <v>0</v>
      </c>
    </row>
    <row r="160" spans="1:31" outlineLevel="2" x14ac:dyDescent="0.25">
      <c r="A160" s="182" t="s">
        <v>572</v>
      </c>
      <c r="B160" s="182" t="s">
        <v>537</v>
      </c>
      <c r="C160" s="135" t="s">
        <v>514</v>
      </c>
      <c r="D160" s="183">
        <f ca="1">-SUMIFS(
  desp.m.ik[valor],
  desp.m.ik[nucleo], $B160,
  desp.m.ik[centro.negocio], $B$156,
  desp.m.ik[mes], "&gt;="&amp;D$1,
  desp.m.ik[mes], "&lt;"&amp;EOMONTH(D$1,0)+1
)</f>
        <v>0</v>
      </c>
      <c r="E160" s="183">
        <f ca="1">-SUMIFS(
  desp.m.ik[valor],
  desp.m.ik[nucleo], $B160,
  desp.m.ik[centro.negocio], $B$156,
  desp.m.ik[mes], "&gt;="&amp;E$1,
  desp.m.ik[mes], "&lt;"&amp;EOMONTH(E$1,0)+1
)</f>
        <v>0</v>
      </c>
      <c r="F160" s="183">
        <f ca="1">-SUMIFS(
  desp.m.ik[valor],
  desp.m.ik[nucleo], $B160,
  desp.m.ik[centro.negocio], $B$156,
  desp.m.ik[mes], "&gt;="&amp;F$1,
  desp.m.ik[mes], "&lt;"&amp;EOMONTH(F$1,0)+1
)</f>
        <v>0</v>
      </c>
      <c r="G160" s="183">
        <f ca="1">-SUMIFS(
  desp.m.ik[valor],
  desp.m.ik[nucleo], $B160,
  desp.m.ik[centro.negocio], $B$156,
  desp.m.ik[mes], "&gt;="&amp;G$1,
  desp.m.ik[mes], "&lt;"&amp;EOMONTH(G$1,0)+1
)</f>
        <v>0</v>
      </c>
      <c r="H160" s="183">
        <f ca="1">-SUMIFS(
  desp.m.ik[valor],
  desp.m.ik[nucleo], $B160,
  desp.m.ik[centro.negocio], $B$156,
  desp.m.ik[mes], "&gt;="&amp;H$1,
  desp.m.ik[mes], "&lt;"&amp;EOMONTH(H$1,0)+1
)</f>
        <v>0</v>
      </c>
      <c r="I160" s="183">
        <f ca="1">-SUMIFS(
  desp.m.ik[valor],
  desp.m.ik[nucleo], $B160,
  desp.m.ik[centro.negocio], $B$156,
  desp.m.ik[mes], "&gt;="&amp;I$1,
  desp.m.ik[mes], "&lt;"&amp;EOMONTH(I$1,0)+1
)</f>
        <v>0</v>
      </c>
      <c r="J160" s="183">
        <f ca="1">-SUMIFS(
  desp.m.ik[valor],
  desp.m.ik[nucleo], $B160,
  desp.m.ik[centro.negocio], $B$156,
  desp.m.ik[mes], "&gt;="&amp;J$1,
  desp.m.ik[mes], "&lt;"&amp;EOMONTH(J$1,0)+1
)</f>
        <v>0</v>
      </c>
      <c r="K160" s="183">
        <f ca="1">-SUMIFS(
  desp.m.ik[valor],
  desp.m.ik[nucleo], $B160,
  desp.m.ik[centro.negocio], $B$156,
  desp.m.ik[mes], "&gt;="&amp;K$1,
  desp.m.ik[mes], "&lt;"&amp;EOMONTH(K$1,0)+1
)</f>
        <v>0</v>
      </c>
      <c r="L160" s="183">
        <f ca="1">-SUMIFS(
  desp.m.ik[valor],
  desp.m.ik[nucleo], $B160,
  desp.m.ik[centro.negocio], $B$156,
  desp.m.ik[mes], "&gt;="&amp;L$1,
  desp.m.ik[mes], "&lt;"&amp;EOMONTH(L$1,0)+1
)</f>
        <v>0</v>
      </c>
      <c r="M160" s="183">
        <f ca="1">-SUMIFS(
  desp.m.ik[valor],
  desp.m.ik[nucleo], $B160,
  desp.m.ik[centro.negocio], $B$156,
  desp.m.ik[mes], "&gt;="&amp;M$1,
  desp.m.ik[mes], "&lt;"&amp;EOMONTH(M$1,0)+1
)</f>
        <v>0</v>
      </c>
      <c r="N160" s="183">
        <f ca="1">-SUMIFS(
  desp.m.ik[valor],
  desp.m.ik[nucleo], $B160,
  desp.m.ik[centro.negocio], $B$156,
  desp.m.ik[mes], "&gt;="&amp;N$1,
  desp.m.ik[mes], "&lt;"&amp;EOMONTH(N$1,0)+1
)</f>
        <v>0</v>
      </c>
      <c r="O160" s="183">
        <f ca="1">-SUMIFS(
  desp.m.ik[valor],
  desp.m.ik[nucleo], $B160,
  desp.m.ik[centro.negocio], $B$156,
  desp.m.ik[mes], "&gt;="&amp;O$1,
  desp.m.ik[mes], "&lt;"&amp;EOMONTH(O$1,0)+1
)</f>
        <v>0</v>
      </c>
      <c r="P160" s="183">
        <f ca="1">-SUMIFS(
  desp.m.ik[valor],
  desp.m.ik[nucleo], $B160,
  desp.m.ik[centro.negocio], $B$156,
  desp.m.ik[mes], "&gt;="&amp;P$1,
  desp.m.ik[mes], "&lt;"&amp;EOMONTH(P$1,0)+1
)</f>
        <v>0</v>
      </c>
      <c r="Q160" s="183">
        <f ca="1">-SUMIFS(
  desp.m.ik[valor],
  desp.m.ik[nucleo], $B160,
  desp.m.ik[centro.negocio], $B$156,
  desp.m.ik[mes], "&gt;="&amp;Q$1,
  desp.m.ik[mes], "&lt;"&amp;EOMONTH(Q$1,0)+1
)</f>
        <v>0</v>
      </c>
      <c r="R160" s="183">
        <f ca="1">-SUMIFS(
  desp.m.ik[valor],
  desp.m.ik[nucleo], $B160,
  desp.m.ik[centro.negocio], $B$156,
  desp.m.ik[mes], "&gt;="&amp;R$1,
  desp.m.ik[mes], "&lt;"&amp;EOMONTH(R$1,0)+1
)</f>
        <v>0</v>
      </c>
      <c r="S160" s="183">
        <f ca="1">-SUMIFS(
  desp.m.ik[valor],
  desp.m.ik[nucleo], $B160,
  desp.m.ik[centro.negocio], $B$156,
  desp.m.ik[mes], "&gt;="&amp;S$1,
  desp.m.ik[mes], "&lt;"&amp;EOMONTH(S$1,0)+1
)</f>
        <v>0</v>
      </c>
      <c r="T160" s="183">
        <f ca="1">-SUMIFS(
  desp.m.ik[valor],
  desp.m.ik[nucleo], $B160,
  desp.m.ik[centro.negocio], $B$156,
  desp.m.ik[mes], "&gt;="&amp;T$1,
  desp.m.ik[mes], "&lt;"&amp;EOMONTH(T$1,0)+1
)</f>
        <v>0</v>
      </c>
      <c r="U160" s="183">
        <f ca="1">-SUMIFS(
  desp.m.ik[valor],
  desp.m.ik[nucleo], $B160,
  desp.m.ik[centro.negocio], $B$156,
  desp.m.ik[mes], "&gt;="&amp;U$1,
  desp.m.ik[mes], "&lt;"&amp;EOMONTH(U$1,0)+1
)</f>
        <v>0</v>
      </c>
      <c r="V160" s="183">
        <f ca="1">-SUMIFS(
  desp.m.ik[valor],
  desp.m.ik[nucleo], $B160,
  desp.m.ik[centro.negocio], $B$156,
  desp.m.ik[mes], "&gt;="&amp;V$1,
  desp.m.ik[mes], "&lt;"&amp;EOMONTH(V$1,0)+1
)</f>
        <v>0</v>
      </c>
      <c r="W160" s="183">
        <f ca="1">-SUMIFS(
  desp.m.ik[valor],
  desp.m.ik[nucleo], $B160,
  desp.m.ik[centro.negocio], $B$156,
  desp.m.ik[mes], "&gt;="&amp;W$1,
  desp.m.ik[mes], "&lt;"&amp;EOMONTH(W$1,0)+1
)</f>
        <v>0</v>
      </c>
      <c r="X160" s="183">
        <f ca="1">-SUMIFS(
  desp.m.ik[valor],
  desp.m.ik[nucleo], $B160,
  desp.m.ik[centro.negocio], $B$156,
  desp.m.ik[mes], "&gt;="&amp;X$1,
  desp.m.ik[mes], "&lt;"&amp;EOMONTH(X$1,0)+1
)</f>
        <v>0</v>
      </c>
      <c r="Y160" s="183">
        <f ca="1">-SUMIFS(
  desp.m.ik[valor],
  desp.m.ik[nucleo], $B160,
  desp.m.ik[centro.negocio], $B$156,
  desp.m.ik[mes], "&gt;="&amp;Y$1,
  desp.m.ik[mes], "&lt;"&amp;EOMONTH(Y$1,0)+1
)</f>
        <v>0</v>
      </c>
      <c r="Z160" s="183">
        <f ca="1">-SUMIFS(
  desp.m.ik[valor],
  desp.m.ik[nucleo], $B160,
  desp.m.ik[centro.negocio], $B$156,
  desp.m.ik[mes], "&gt;="&amp;Z$1,
  desp.m.ik[mes], "&lt;"&amp;EOMONTH(Z$1,0)+1
)</f>
        <v>0</v>
      </c>
      <c r="AA160" s="183">
        <f ca="1">-SUMIFS(
  desp.m.ik[valor],
  desp.m.ik[nucleo], $B160,
  desp.m.ik[centro.negocio], $B$156,
  desp.m.ik[mes], "&gt;="&amp;AA$1,
  desp.m.ik[mes], "&lt;"&amp;EOMONTH(AA$1,0)+1
)</f>
        <v>0</v>
      </c>
      <c r="AC160" s="175">
        <f ca="1">SUM($D160:INDEX($D160:$AA160,1,MATCH(DATE(YEAR(inputs!$A$1),MONTH(inputs!$A$1),1),$D$1:$AA$1,0)))</f>
        <v>0</v>
      </c>
      <c r="AE160" s="175">
        <f ca="1">SUM(D160:AA160)</f>
        <v>0</v>
      </c>
    </row>
    <row r="161" spans="1:31" outlineLevel="2" x14ac:dyDescent="0.25">
      <c r="A161" s="182" t="s">
        <v>840</v>
      </c>
      <c r="B161" s="182" t="s">
        <v>546</v>
      </c>
      <c r="C161" s="135" t="s">
        <v>514</v>
      </c>
      <c r="D161" s="183">
        <f ca="1">-SUMIFS(
  desp.m.ik[valor],
  desp.m.ik[nucleo], $B161,
  desp.m.ik[centro.negocio], $B$156,
  desp.m.ik[mes], "&gt;="&amp;D$1,
  desp.m.ik[mes], "&lt;"&amp;EOMONTH(D$1,0)+1
)</f>
        <v>0</v>
      </c>
      <c r="E161" s="183">
        <f ca="1">-SUMIFS(
  desp.m.ik[valor],
  desp.m.ik[nucleo], $B161,
  desp.m.ik[centro.negocio], $B$156,
  desp.m.ik[mes], "&gt;="&amp;E$1,
  desp.m.ik[mes], "&lt;"&amp;EOMONTH(E$1,0)+1
)</f>
        <v>0</v>
      </c>
      <c r="F161" s="183">
        <f ca="1">-SUMIFS(
  desp.m.ik[valor],
  desp.m.ik[nucleo], $B161,
  desp.m.ik[centro.negocio], $B$156,
  desp.m.ik[mes], "&gt;="&amp;F$1,
  desp.m.ik[mes], "&lt;"&amp;EOMONTH(F$1,0)+1
)</f>
        <v>0</v>
      </c>
      <c r="G161" s="183">
        <f ca="1">-SUMIFS(
  desp.m.ik[valor],
  desp.m.ik[nucleo], $B161,
  desp.m.ik[centro.negocio], $B$156,
  desp.m.ik[mes], "&gt;="&amp;G$1,
  desp.m.ik[mes], "&lt;"&amp;EOMONTH(G$1,0)+1
)</f>
        <v>0</v>
      </c>
      <c r="H161" s="183">
        <f ca="1">-SUMIFS(
  desp.m.ik[valor],
  desp.m.ik[nucleo], $B161,
  desp.m.ik[centro.negocio], $B$156,
  desp.m.ik[mes], "&gt;="&amp;H$1,
  desp.m.ik[mes], "&lt;"&amp;EOMONTH(H$1,0)+1
)</f>
        <v>0</v>
      </c>
      <c r="I161" s="183">
        <f ca="1">-SUMIFS(
  desp.m.ik[valor],
  desp.m.ik[nucleo], $B161,
  desp.m.ik[centro.negocio], $B$156,
  desp.m.ik[mes], "&gt;="&amp;I$1,
  desp.m.ik[mes], "&lt;"&amp;EOMONTH(I$1,0)+1
)</f>
        <v>0</v>
      </c>
      <c r="J161" s="183">
        <f ca="1">-SUMIFS(
  desp.m.ik[valor],
  desp.m.ik[nucleo], $B161,
  desp.m.ik[centro.negocio], $B$156,
  desp.m.ik[mes], "&gt;="&amp;J$1,
  desp.m.ik[mes], "&lt;"&amp;EOMONTH(J$1,0)+1
)</f>
        <v>0</v>
      </c>
      <c r="K161" s="183">
        <f ca="1">-SUMIFS(
  desp.m.ik[valor],
  desp.m.ik[nucleo], $B161,
  desp.m.ik[centro.negocio], $B$156,
  desp.m.ik[mes], "&gt;="&amp;K$1,
  desp.m.ik[mes], "&lt;"&amp;EOMONTH(K$1,0)+1
)</f>
        <v>0</v>
      </c>
      <c r="L161" s="183">
        <f ca="1">-SUMIFS(
  desp.m.ik[valor],
  desp.m.ik[nucleo], $B161,
  desp.m.ik[centro.negocio], $B$156,
  desp.m.ik[mes], "&gt;="&amp;L$1,
  desp.m.ik[mes], "&lt;"&amp;EOMONTH(L$1,0)+1
)</f>
        <v>0</v>
      </c>
      <c r="M161" s="183">
        <f ca="1">-SUMIFS(
  desp.m.ik[valor],
  desp.m.ik[nucleo], $B161,
  desp.m.ik[centro.negocio], $B$156,
  desp.m.ik[mes], "&gt;="&amp;M$1,
  desp.m.ik[mes], "&lt;"&amp;EOMONTH(M$1,0)+1
)</f>
        <v>0</v>
      </c>
      <c r="N161" s="183">
        <f ca="1">-SUMIFS(
  desp.m.ik[valor],
  desp.m.ik[nucleo], $B161,
  desp.m.ik[centro.negocio], $B$156,
  desp.m.ik[mes], "&gt;="&amp;N$1,
  desp.m.ik[mes], "&lt;"&amp;EOMONTH(N$1,0)+1
)</f>
        <v>0</v>
      </c>
      <c r="O161" s="183">
        <f ca="1">-SUMIFS(
  desp.m.ik[valor],
  desp.m.ik[nucleo], $B161,
  desp.m.ik[centro.negocio], $B$156,
  desp.m.ik[mes], "&gt;="&amp;O$1,
  desp.m.ik[mes], "&lt;"&amp;EOMONTH(O$1,0)+1
)</f>
        <v>0</v>
      </c>
      <c r="P161" s="183">
        <f ca="1">-SUMIFS(
  desp.m.ik[valor],
  desp.m.ik[nucleo], $B161,
  desp.m.ik[centro.negocio], $B$156,
  desp.m.ik[mes], "&gt;="&amp;P$1,
  desp.m.ik[mes], "&lt;"&amp;EOMONTH(P$1,0)+1
)</f>
        <v>0</v>
      </c>
      <c r="Q161" s="183">
        <f ca="1">-SUMIFS(
  desp.m.ik[valor],
  desp.m.ik[nucleo], $B161,
  desp.m.ik[centro.negocio], $B$156,
  desp.m.ik[mes], "&gt;="&amp;Q$1,
  desp.m.ik[mes], "&lt;"&amp;EOMONTH(Q$1,0)+1
)</f>
        <v>0</v>
      </c>
      <c r="R161" s="183">
        <f ca="1">-SUMIFS(
  desp.m.ik[valor],
  desp.m.ik[nucleo], $B161,
  desp.m.ik[centro.negocio], $B$156,
  desp.m.ik[mes], "&gt;="&amp;R$1,
  desp.m.ik[mes], "&lt;"&amp;EOMONTH(R$1,0)+1
)</f>
        <v>0</v>
      </c>
      <c r="S161" s="183">
        <f ca="1">-SUMIFS(
  desp.m.ik[valor],
  desp.m.ik[nucleo], $B161,
  desp.m.ik[centro.negocio], $B$156,
  desp.m.ik[mes], "&gt;="&amp;S$1,
  desp.m.ik[mes], "&lt;"&amp;EOMONTH(S$1,0)+1
)</f>
        <v>0</v>
      </c>
      <c r="T161" s="183">
        <f ca="1">-SUMIFS(
  desp.m.ik[valor],
  desp.m.ik[nucleo], $B161,
  desp.m.ik[centro.negocio], $B$156,
  desp.m.ik[mes], "&gt;="&amp;T$1,
  desp.m.ik[mes], "&lt;"&amp;EOMONTH(T$1,0)+1
)</f>
        <v>0</v>
      </c>
      <c r="U161" s="183">
        <f ca="1">-SUMIFS(
  desp.m.ik[valor],
  desp.m.ik[nucleo], $B161,
  desp.m.ik[centro.negocio], $B$156,
  desp.m.ik[mes], "&gt;="&amp;U$1,
  desp.m.ik[mes], "&lt;"&amp;EOMONTH(U$1,0)+1
)</f>
        <v>0</v>
      </c>
      <c r="V161" s="183">
        <f ca="1">-SUMIFS(
  desp.m.ik[valor],
  desp.m.ik[nucleo], $B161,
  desp.m.ik[centro.negocio], $B$156,
  desp.m.ik[mes], "&gt;="&amp;V$1,
  desp.m.ik[mes], "&lt;"&amp;EOMONTH(V$1,0)+1
)</f>
        <v>0</v>
      </c>
      <c r="W161" s="183">
        <f ca="1">-SUMIFS(
  desp.m.ik[valor],
  desp.m.ik[nucleo], $B161,
  desp.m.ik[centro.negocio], $B$156,
  desp.m.ik[mes], "&gt;="&amp;W$1,
  desp.m.ik[mes], "&lt;"&amp;EOMONTH(W$1,0)+1
)</f>
        <v>0</v>
      </c>
      <c r="X161" s="183">
        <f ca="1">-SUMIFS(
  desp.m.ik[valor],
  desp.m.ik[nucleo], $B161,
  desp.m.ik[centro.negocio], $B$156,
  desp.m.ik[mes], "&gt;="&amp;X$1,
  desp.m.ik[mes], "&lt;"&amp;EOMONTH(X$1,0)+1
)</f>
        <v>0</v>
      </c>
      <c r="Y161" s="183">
        <f ca="1">-SUMIFS(
  desp.m.ik[valor],
  desp.m.ik[nucleo], $B161,
  desp.m.ik[centro.negocio], $B$156,
  desp.m.ik[mes], "&gt;="&amp;Y$1,
  desp.m.ik[mes], "&lt;"&amp;EOMONTH(Y$1,0)+1
)</f>
        <v>0</v>
      </c>
      <c r="Z161" s="183">
        <f ca="1">-SUMIFS(
  desp.m.ik[valor],
  desp.m.ik[nucleo], $B161,
  desp.m.ik[centro.negocio], $B$156,
  desp.m.ik[mes], "&gt;="&amp;Z$1,
  desp.m.ik[mes], "&lt;"&amp;EOMONTH(Z$1,0)+1
)</f>
        <v>0</v>
      </c>
      <c r="AA161" s="183">
        <f ca="1">-SUMIFS(
  desp.m.ik[valor],
  desp.m.ik[nucleo], $B161,
  desp.m.ik[centro.negocio], $B$156,
  desp.m.ik[mes], "&gt;="&amp;AA$1,
  desp.m.ik[mes], "&lt;"&amp;EOMONTH(AA$1,0)+1
)</f>
        <v>0</v>
      </c>
      <c r="AC161" s="175">
        <f ca="1">SUM($D161:INDEX($D161:$AA161,1,MATCH(DATE(YEAR(inputs!$A$1),MONTH(inputs!$A$1),1),$D$1:$AA$1,0)))</f>
        <v>0</v>
      </c>
      <c r="AE161" s="175">
        <f t="shared" ca="1" si="32"/>
        <v>0</v>
      </c>
    </row>
    <row r="162" spans="1:31" outlineLevel="2" x14ac:dyDescent="0.25">
      <c r="A162" s="182" t="s">
        <v>842</v>
      </c>
      <c r="B162" s="182" t="s">
        <v>544</v>
      </c>
      <c r="C162" s="135" t="s">
        <v>514</v>
      </c>
      <c r="D162" s="183">
        <f ca="1">-SUMIFS(
  desp.m.ik[valor],
  desp.m.ik[nucleo], $B162,
  desp.m.ik[centro.negocio], $B$156,
  desp.m.ik[mes], "&gt;="&amp;D$1,
  desp.m.ik[mes], "&lt;"&amp;EOMONTH(D$1,0)+1
)</f>
        <v>0</v>
      </c>
      <c r="E162" s="183">
        <f ca="1">-SUMIFS(
  desp.m.ik[valor],
  desp.m.ik[nucleo], $B162,
  desp.m.ik[centro.negocio], $B$156,
  desp.m.ik[mes], "&gt;="&amp;E$1,
  desp.m.ik[mes], "&lt;"&amp;EOMONTH(E$1,0)+1
)</f>
        <v>0</v>
      </c>
      <c r="F162" s="183">
        <f ca="1">-SUMIFS(
  desp.m.ik[valor],
  desp.m.ik[nucleo], $B162,
  desp.m.ik[centro.negocio], $B$156,
  desp.m.ik[mes], "&gt;="&amp;F$1,
  desp.m.ik[mes], "&lt;"&amp;EOMONTH(F$1,0)+1
)</f>
        <v>0</v>
      </c>
      <c r="G162" s="183">
        <f ca="1">-SUMIFS(
  desp.m.ik[valor],
  desp.m.ik[nucleo], $B162,
  desp.m.ik[centro.negocio], $B$156,
  desp.m.ik[mes], "&gt;="&amp;G$1,
  desp.m.ik[mes], "&lt;"&amp;EOMONTH(G$1,0)+1
)</f>
        <v>0</v>
      </c>
      <c r="H162" s="183">
        <f ca="1">-SUMIFS(
  desp.m.ik[valor],
  desp.m.ik[nucleo], $B162,
  desp.m.ik[centro.negocio], $B$156,
  desp.m.ik[mes], "&gt;="&amp;H$1,
  desp.m.ik[mes], "&lt;"&amp;EOMONTH(H$1,0)+1
)</f>
        <v>0</v>
      </c>
      <c r="I162" s="183">
        <f ca="1">-SUMIFS(
  desp.m.ik[valor],
  desp.m.ik[nucleo], $B162,
  desp.m.ik[centro.negocio], $B$156,
  desp.m.ik[mes], "&gt;="&amp;I$1,
  desp.m.ik[mes], "&lt;"&amp;EOMONTH(I$1,0)+1
)</f>
        <v>0</v>
      </c>
      <c r="J162" s="183">
        <f ca="1">-SUMIFS(
  desp.m.ik[valor],
  desp.m.ik[nucleo], $B162,
  desp.m.ik[centro.negocio], $B$156,
  desp.m.ik[mes], "&gt;="&amp;J$1,
  desp.m.ik[mes], "&lt;"&amp;EOMONTH(J$1,0)+1
)</f>
        <v>0</v>
      </c>
      <c r="K162" s="183">
        <f ca="1">-SUMIFS(
  desp.m.ik[valor],
  desp.m.ik[nucleo], $B162,
  desp.m.ik[centro.negocio], $B$156,
  desp.m.ik[mes], "&gt;="&amp;K$1,
  desp.m.ik[mes], "&lt;"&amp;EOMONTH(K$1,0)+1
)</f>
        <v>0</v>
      </c>
      <c r="L162" s="183">
        <f ca="1">-SUMIFS(
  desp.m.ik[valor],
  desp.m.ik[nucleo], $B162,
  desp.m.ik[centro.negocio], $B$156,
  desp.m.ik[mes], "&gt;="&amp;L$1,
  desp.m.ik[mes], "&lt;"&amp;EOMONTH(L$1,0)+1
)</f>
        <v>0</v>
      </c>
      <c r="M162" s="183">
        <f ca="1">-SUMIFS(
  desp.m.ik[valor],
  desp.m.ik[nucleo], $B162,
  desp.m.ik[centro.negocio], $B$156,
  desp.m.ik[mes], "&gt;="&amp;M$1,
  desp.m.ik[mes], "&lt;"&amp;EOMONTH(M$1,0)+1
)</f>
        <v>0</v>
      </c>
      <c r="N162" s="183">
        <f ca="1">-SUMIFS(
  desp.m.ik[valor],
  desp.m.ik[nucleo], $B162,
  desp.m.ik[centro.negocio], $B$156,
  desp.m.ik[mes], "&gt;="&amp;N$1,
  desp.m.ik[mes], "&lt;"&amp;EOMONTH(N$1,0)+1
)</f>
        <v>0</v>
      </c>
      <c r="O162" s="183">
        <f ca="1">-SUMIFS(
  desp.m.ik[valor],
  desp.m.ik[nucleo], $B162,
  desp.m.ik[centro.negocio], $B$156,
  desp.m.ik[mes], "&gt;="&amp;O$1,
  desp.m.ik[mes], "&lt;"&amp;EOMONTH(O$1,0)+1
)</f>
        <v>0</v>
      </c>
      <c r="P162" s="183">
        <f ca="1">-SUMIFS(
  desp.m.ik[valor],
  desp.m.ik[nucleo], $B162,
  desp.m.ik[centro.negocio], $B$156,
  desp.m.ik[mes], "&gt;="&amp;P$1,
  desp.m.ik[mes], "&lt;"&amp;EOMONTH(P$1,0)+1
)</f>
        <v>0</v>
      </c>
      <c r="Q162" s="183">
        <f ca="1">-SUMIFS(
  desp.m.ik[valor],
  desp.m.ik[nucleo], $B162,
  desp.m.ik[centro.negocio], $B$156,
  desp.m.ik[mes], "&gt;="&amp;Q$1,
  desp.m.ik[mes], "&lt;"&amp;EOMONTH(Q$1,0)+1
)</f>
        <v>0</v>
      </c>
      <c r="R162" s="183">
        <f ca="1">-SUMIFS(
  desp.m.ik[valor],
  desp.m.ik[nucleo], $B162,
  desp.m.ik[centro.negocio], $B$156,
  desp.m.ik[mes], "&gt;="&amp;R$1,
  desp.m.ik[mes], "&lt;"&amp;EOMONTH(R$1,0)+1
)</f>
        <v>0</v>
      </c>
      <c r="S162" s="183">
        <f ca="1">-SUMIFS(
  desp.m.ik[valor],
  desp.m.ik[nucleo], $B162,
  desp.m.ik[centro.negocio], $B$156,
  desp.m.ik[mes], "&gt;="&amp;S$1,
  desp.m.ik[mes], "&lt;"&amp;EOMONTH(S$1,0)+1
)</f>
        <v>0</v>
      </c>
      <c r="T162" s="183">
        <f ca="1">-SUMIFS(
  desp.m.ik[valor],
  desp.m.ik[nucleo], $B162,
  desp.m.ik[centro.negocio], $B$156,
  desp.m.ik[mes], "&gt;="&amp;T$1,
  desp.m.ik[mes], "&lt;"&amp;EOMONTH(T$1,0)+1
)</f>
        <v>0</v>
      </c>
      <c r="U162" s="183">
        <f ca="1">-SUMIFS(
  desp.m.ik[valor],
  desp.m.ik[nucleo], $B162,
  desp.m.ik[centro.negocio], $B$156,
  desp.m.ik[mes], "&gt;="&amp;U$1,
  desp.m.ik[mes], "&lt;"&amp;EOMONTH(U$1,0)+1
)</f>
        <v>0</v>
      </c>
      <c r="V162" s="183">
        <f ca="1">-SUMIFS(
  desp.m.ik[valor],
  desp.m.ik[nucleo], $B162,
  desp.m.ik[centro.negocio], $B$156,
  desp.m.ik[mes], "&gt;="&amp;V$1,
  desp.m.ik[mes], "&lt;"&amp;EOMONTH(V$1,0)+1
)</f>
        <v>0</v>
      </c>
      <c r="W162" s="183">
        <f ca="1">-SUMIFS(
  desp.m.ik[valor],
  desp.m.ik[nucleo], $B162,
  desp.m.ik[centro.negocio], $B$156,
  desp.m.ik[mes], "&gt;="&amp;W$1,
  desp.m.ik[mes], "&lt;"&amp;EOMONTH(W$1,0)+1
)</f>
        <v>0</v>
      </c>
      <c r="X162" s="183">
        <f ca="1">-SUMIFS(
  desp.m.ik[valor],
  desp.m.ik[nucleo], $B162,
  desp.m.ik[centro.negocio], $B$156,
  desp.m.ik[mes], "&gt;="&amp;X$1,
  desp.m.ik[mes], "&lt;"&amp;EOMONTH(X$1,0)+1
)</f>
        <v>0</v>
      </c>
      <c r="Y162" s="183">
        <f ca="1">-SUMIFS(
  desp.m.ik[valor],
  desp.m.ik[nucleo], $B162,
  desp.m.ik[centro.negocio], $B$156,
  desp.m.ik[mes], "&gt;="&amp;Y$1,
  desp.m.ik[mes], "&lt;"&amp;EOMONTH(Y$1,0)+1
)</f>
        <v>0</v>
      </c>
      <c r="Z162" s="183">
        <f ca="1">-SUMIFS(
  desp.m.ik[valor],
  desp.m.ik[nucleo], $B162,
  desp.m.ik[centro.negocio], $B$156,
  desp.m.ik[mes], "&gt;="&amp;Z$1,
  desp.m.ik[mes], "&lt;"&amp;EOMONTH(Z$1,0)+1
)</f>
        <v>0</v>
      </c>
      <c r="AA162" s="183">
        <f ca="1">-SUMIFS(
  desp.m.ik[valor],
  desp.m.ik[nucleo], $B162,
  desp.m.ik[centro.negocio], $B$156,
  desp.m.ik[mes], "&gt;="&amp;AA$1,
  desp.m.ik[mes], "&lt;"&amp;EOMONTH(AA$1,0)+1
)</f>
        <v>0</v>
      </c>
      <c r="AC162" s="175">
        <f ca="1">SUM($D162:INDEX($D162:$AA162,1,MATCH(DATE(YEAR(inputs!$A$1),MONTH(inputs!$A$1),1),$D$1:$AA$1,0)))</f>
        <v>0</v>
      </c>
      <c r="AE162" s="175">
        <f ca="1">SUM(D162:AA162)</f>
        <v>0</v>
      </c>
    </row>
    <row r="163" spans="1:31" outlineLevel="2" x14ac:dyDescent="0.25">
      <c r="A163" s="182" t="s">
        <v>847</v>
      </c>
      <c r="B163" s="182" t="s">
        <v>556</v>
      </c>
      <c r="C163" s="135" t="s">
        <v>514</v>
      </c>
      <c r="D163" s="183">
        <f ca="1">-SUMIFS(
  desp.m.ik[valor],
  desp.m.ik[nucleo], $B163,
  desp.m.ik[centro.negocio], $B$156,
  desp.m.ik[mes], "&gt;="&amp;D$1,
  desp.m.ik[mes], "&lt;"&amp;EOMONTH(D$1,0)+1
)</f>
        <v>0</v>
      </c>
      <c r="E163" s="183">
        <f ca="1">-SUMIFS(
  desp.m.ik[valor],
  desp.m.ik[nucleo], $B163,
  desp.m.ik[centro.negocio], $B$156,
  desp.m.ik[mes], "&gt;="&amp;E$1,
  desp.m.ik[mes], "&lt;"&amp;EOMONTH(E$1,0)+1
)</f>
        <v>0</v>
      </c>
      <c r="F163" s="183">
        <f ca="1">-SUMIFS(
  desp.m.ik[valor],
  desp.m.ik[nucleo], $B163,
  desp.m.ik[centro.negocio], $B$156,
  desp.m.ik[mes], "&gt;="&amp;F$1,
  desp.m.ik[mes], "&lt;"&amp;EOMONTH(F$1,0)+1
)</f>
        <v>0</v>
      </c>
      <c r="G163" s="183">
        <f ca="1">-SUMIFS(
  desp.m.ik[valor],
  desp.m.ik[nucleo], $B163,
  desp.m.ik[centro.negocio], $B$156,
  desp.m.ik[mes], "&gt;="&amp;G$1,
  desp.m.ik[mes], "&lt;"&amp;EOMONTH(G$1,0)+1
)</f>
        <v>0</v>
      </c>
      <c r="H163" s="183">
        <f ca="1">-SUMIFS(
  desp.m.ik[valor],
  desp.m.ik[nucleo], $B163,
  desp.m.ik[centro.negocio], $B$156,
  desp.m.ik[mes], "&gt;="&amp;H$1,
  desp.m.ik[mes], "&lt;"&amp;EOMONTH(H$1,0)+1
)</f>
        <v>0</v>
      </c>
      <c r="I163" s="183">
        <f ca="1">-SUMIFS(
  desp.m.ik[valor],
  desp.m.ik[nucleo], $B163,
  desp.m.ik[centro.negocio], $B$156,
  desp.m.ik[mes], "&gt;="&amp;I$1,
  desp.m.ik[mes], "&lt;"&amp;EOMONTH(I$1,0)+1
)</f>
        <v>0</v>
      </c>
      <c r="J163" s="183">
        <f ca="1">-SUMIFS(
  desp.m.ik[valor],
  desp.m.ik[nucleo], $B163,
  desp.m.ik[centro.negocio], $B$156,
  desp.m.ik[mes], "&gt;="&amp;J$1,
  desp.m.ik[mes], "&lt;"&amp;EOMONTH(J$1,0)+1
)</f>
        <v>0</v>
      </c>
      <c r="K163" s="183">
        <f ca="1">-SUMIFS(
  desp.m.ik[valor],
  desp.m.ik[nucleo], $B163,
  desp.m.ik[centro.negocio], $B$156,
  desp.m.ik[mes], "&gt;="&amp;K$1,
  desp.m.ik[mes], "&lt;"&amp;EOMONTH(K$1,0)+1
)</f>
        <v>0</v>
      </c>
      <c r="L163" s="183">
        <f ca="1">-SUMIFS(
  desp.m.ik[valor],
  desp.m.ik[nucleo], $B163,
  desp.m.ik[centro.negocio], $B$156,
  desp.m.ik[mes], "&gt;="&amp;L$1,
  desp.m.ik[mes], "&lt;"&amp;EOMONTH(L$1,0)+1
)</f>
        <v>0</v>
      </c>
      <c r="M163" s="183">
        <f ca="1">-SUMIFS(
  desp.m.ik[valor],
  desp.m.ik[nucleo], $B163,
  desp.m.ik[centro.negocio], $B$156,
  desp.m.ik[mes], "&gt;="&amp;M$1,
  desp.m.ik[mes], "&lt;"&amp;EOMONTH(M$1,0)+1
)</f>
        <v>0</v>
      </c>
      <c r="N163" s="183">
        <f ca="1">-SUMIFS(
  desp.m.ik[valor],
  desp.m.ik[nucleo], $B163,
  desp.m.ik[centro.negocio], $B$156,
  desp.m.ik[mes], "&gt;="&amp;N$1,
  desp.m.ik[mes], "&lt;"&amp;EOMONTH(N$1,0)+1
)</f>
        <v>0</v>
      </c>
      <c r="O163" s="183">
        <f ca="1">-SUMIFS(
  desp.m.ik[valor],
  desp.m.ik[nucleo], $B163,
  desp.m.ik[centro.negocio], $B$156,
  desp.m.ik[mes], "&gt;="&amp;O$1,
  desp.m.ik[mes], "&lt;"&amp;EOMONTH(O$1,0)+1
)</f>
        <v>0</v>
      </c>
      <c r="P163" s="183">
        <f ca="1">-SUMIFS(
  desp.m.ik[valor],
  desp.m.ik[nucleo], $B163,
  desp.m.ik[centro.negocio], $B$156,
  desp.m.ik[mes], "&gt;="&amp;P$1,
  desp.m.ik[mes], "&lt;"&amp;EOMONTH(P$1,0)+1
)</f>
        <v>0</v>
      </c>
      <c r="Q163" s="183">
        <f ca="1">-SUMIFS(
  desp.m.ik[valor],
  desp.m.ik[nucleo], $B163,
  desp.m.ik[centro.negocio], $B$156,
  desp.m.ik[mes], "&gt;="&amp;Q$1,
  desp.m.ik[mes], "&lt;"&amp;EOMONTH(Q$1,0)+1
)</f>
        <v>0</v>
      </c>
      <c r="R163" s="183">
        <f ca="1">-SUMIFS(
  desp.m.ik[valor],
  desp.m.ik[nucleo], $B163,
  desp.m.ik[centro.negocio], $B$156,
  desp.m.ik[mes], "&gt;="&amp;R$1,
  desp.m.ik[mes], "&lt;"&amp;EOMONTH(R$1,0)+1
)</f>
        <v>0</v>
      </c>
      <c r="S163" s="183">
        <f ca="1">-SUMIFS(
  desp.m.ik[valor],
  desp.m.ik[nucleo], $B163,
  desp.m.ik[centro.negocio], $B$156,
  desp.m.ik[mes], "&gt;="&amp;S$1,
  desp.m.ik[mes], "&lt;"&amp;EOMONTH(S$1,0)+1
)</f>
        <v>0</v>
      </c>
      <c r="T163" s="183">
        <f ca="1">-SUMIFS(
  desp.m.ik[valor],
  desp.m.ik[nucleo], $B163,
  desp.m.ik[centro.negocio], $B$156,
  desp.m.ik[mes], "&gt;="&amp;T$1,
  desp.m.ik[mes], "&lt;"&amp;EOMONTH(T$1,0)+1
)</f>
        <v>0</v>
      </c>
      <c r="U163" s="183">
        <f ca="1">-SUMIFS(
  desp.m.ik[valor],
  desp.m.ik[nucleo], $B163,
  desp.m.ik[centro.negocio], $B$156,
  desp.m.ik[mes], "&gt;="&amp;U$1,
  desp.m.ik[mes], "&lt;"&amp;EOMONTH(U$1,0)+1
)</f>
        <v>0</v>
      </c>
      <c r="V163" s="183">
        <f ca="1">-SUMIFS(
  desp.m.ik[valor],
  desp.m.ik[nucleo], $B163,
  desp.m.ik[centro.negocio], $B$156,
  desp.m.ik[mes], "&gt;="&amp;V$1,
  desp.m.ik[mes], "&lt;"&amp;EOMONTH(V$1,0)+1
)</f>
        <v>0</v>
      </c>
      <c r="W163" s="183">
        <f ca="1">-SUMIFS(
  desp.m.ik[valor],
  desp.m.ik[nucleo], $B163,
  desp.m.ik[centro.negocio], $B$156,
  desp.m.ik[mes], "&gt;="&amp;W$1,
  desp.m.ik[mes], "&lt;"&amp;EOMONTH(W$1,0)+1
)</f>
        <v>0</v>
      </c>
      <c r="X163" s="183">
        <f ca="1">-SUMIFS(
  desp.m.ik[valor],
  desp.m.ik[nucleo], $B163,
  desp.m.ik[centro.negocio], $B$156,
  desp.m.ik[mes], "&gt;="&amp;X$1,
  desp.m.ik[mes], "&lt;"&amp;EOMONTH(X$1,0)+1
)</f>
        <v>0</v>
      </c>
      <c r="Y163" s="183">
        <f ca="1">-SUMIFS(
  desp.m.ik[valor],
  desp.m.ik[nucleo], $B163,
  desp.m.ik[centro.negocio], $B$156,
  desp.m.ik[mes], "&gt;="&amp;Y$1,
  desp.m.ik[mes], "&lt;"&amp;EOMONTH(Y$1,0)+1
)</f>
        <v>0</v>
      </c>
      <c r="Z163" s="183">
        <f ca="1">-SUMIFS(
  desp.m.ik[valor],
  desp.m.ik[nucleo], $B163,
  desp.m.ik[centro.negocio], $B$156,
  desp.m.ik[mes], "&gt;="&amp;Z$1,
  desp.m.ik[mes], "&lt;"&amp;EOMONTH(Z$1,0)+1
)</f>
        <v>0</v>
      </c>
      <c r="AA163" s="183">
        <f ca="1">-SUMIFS(
  desp.m.ik[valor],
  desp.m.ik[nucleo], $B163,
  desp.m.ik[centro.negocio], $B$156,
  desp.m.ik[mes], "&gt;="&amp;AA$1,
  desp.m.ik[mes], "&lt;"&amp;EOMONTH(AA$1,0)+1
)</f>
        <v>0</v>
      </c>
      <c r="AC163" s="175">
        <f ca="1">SUM($D163:INDEX($D163:$AA163,1,MATCH(DATE(YEAR(inputs!$A$1),MONTH(inputs!$A$1),1),$D$1:$AA$1,0)))</f>
        <v>0</v>
      </c>
      <c r="AE163" s="175">
        <f ca="1">SUM(D163:AA163)</f>
        <v>0</v>
      </c>
    </row>
    <row r="164" spans="1:31" outlineLevel="2" x14ac:dyDescent="0.25">
      <c r="A164" s="182" t="s">
        <v>844</v>
      </c>
      <c r="B164" s="182" t="s">
        <v>531</v>
      </c>
      <c r="C164" s="135" t="s">
        <v>514</v>
      </c>
      <c r="D164" s="183">
        <f ca="1">-SUMIFS(
  desp.m.ik[valor],
  desp.m.ik[nucleo], $B164,
  desp.m.ik[centro.negocio], $B$156,
  desp.m.ik[mes], "&gt;="&amp;D$1,
  desp.m.ik[mes], "&lt;"&amp;EOMONTH(D$1,0)+1
)</f>
        <v>0</v>
      </c>
      <c r="E164" s="183">
        <f ca="1">-SUMIFS(
  desp.m.ik[valor],
  desp.m.ik[nucleo], $B164,
  desp.m.ik[centro.negocio], $B$156,
  desp.m.ik[mes], "&gt;="&amp;E$1,
  desp.m.ik[mes], "&lt;"&amp;EOMONTH(E$1,0)+1
)</f>
        <v>0</v>
      </c>
      <c r="F164" s="183">
        <f ca="1">-SUMIFS(
  desp.m.ik[valor],
  desp.m.ik[nucleo], $B164,
  desp.m.ik[centro.negocio], $B$156,
  desp.m.ik[mes], "&gt;="&amp;F$1,
  desp.m.ik[mes], "&lt;"&amp;EOMONTH(F$1,0)+1
)</f>
        <v>0</v>
      </c>
      <c r="G164" s="183">
        <f ca="1">-SUMIFS(
  desp.m.ik[valor],
  desp.m.ik[nucleo], $B164,
  desp.m.ik[centro.negocio], $B$156,
  desp.m.ik[mes], "&gt;="&amp;G$1,
  desp.m.ik[mes], "&lt;"&amp;EOMONTH(G$1,0)+1
)</f>
        <v>0</v>
      </c>
      <c r="H164" s="183">
        <f ca="1">-SUMIFS(
  desp.m.ik[valor],
  desp.m.ik[nucleo], $B164,
  desp.m.ik[centro.negocio], $B$156,
  desp.m.ik[mes], "&gt;="&amp;H$1,
  desp.m.ik[mes], "&lt;"&amp;EOMONTH(H$1,0)+1
)</f>
        <v>0</v>
      </c>
      <c r="I164" s="183">
        <f ca="1">-SUMIFS(
  desp.m.ik[valor],
  desp.m.ik[nucleo], $B164,
  desp.m.ik[centro.negocio], $B$156,
  desp.m.ik[mes], "&gt;="&amp;I$1,
  desp.m.ik[mes], "&lt;"&amp;EOMONTH(I$1,0)+1
)</f>
        <v>0</v>
      </c>
      <c r="J164" s="183">
        <f ca="1">-SUMIFS(
  desp.m.ik[valor],
  desp.m.ik[nucleo], $B164,
  desp.m.ik[centro.negocio], $B$156,
  desp.m.ik[mes], "&gt;="&amp;J$1,
  desp.m.ik[mes], "&lt;"&amp;EOMONTH(J$1,0)+1
)</f>
        <v>0</v>
      </c>
      <c r="K164" s="183">
        <f ca="1">-SUMIFS(
  desp.m.ik[valor],
  desp.m.ik[nucleo], $B164,
  desp.m.ik[centro.negocio], $B$156,
  desp.m.ik[mes], "&gt;="&amp;K$1,
  desp.m.ik[mes], "&lt;"&amp;EOMONTH(K$1,0)+1
)</f>
        <v>0</v>
      </c>
      <c r="L164" s="183">
        <f ca="1">-SUMIFS(
  desp.m.ik[valor],
  desp.m.ik[nucleo], $B164,
  desp.m.ik[centro.negocio], $B$156,
  desp.m.ik[mes], "&gt;="&amp;L$1,
  desp.m.ik[mes], "&lt;"&amp;EOMONTH(L$1,0)+1
)</f>
        <v>0</v>
      </c>
      <c r="M164" s="183">
        <f ca="1">-SUMIFS(
  desp.m.ik[valor],
  desp.m.ik[nucleo], $B164,
  desp.m.ik[centro.negocio], $B$156,
  desp.m.ik[mes], "&gt;="&amp;M$1,
  desp.m.ik[mes], "&lt;"&amp;EOMONTH(M$1,0)+1
)</f>
        <v>0</v>
      </c>
      <c r="N164" s="183">
        <f ca="1">-SUMIFS(
  desp.m.ik[valor],
  desp.m.ik[nucleo], $B164,
  desp.m.ik[centro.negocio], $B$156,
  desp.m.ik[mes], "&gt;="&amp;N$1,
  desp.m.ik[mes], "&lt;"&amp;EOMONTH(N$1,0)+1
)</f>
        <v>0</v>
      </c>
      <c r="O164" s="183">
        <f ca="1">-SUMIFS(
  desp.m.ik[valor],
  desp.m.ik[nucleo], $B164,
  desp.m.ik[centro.negocio], $B$156,
  desp.m.ik[mes], "&gt;="&amp;O$1,
  desp.m.ik[mes], "&lt;"&amp;EOMONTH(O$1,0)+1
)</f>
        <v>0</v>
      </c>
      <c r="P164" s="183">
        <f ca="1">-SUMIFS(
  desp.m.ik[valor],
  desp.m.ik[nucleo], $B164,
  desp.m.ik[centro.negocio], $B$156,
  desp.m.ik[mes], "&gt;="&amp;P$1,
  desp.m.ik[mes], "&lt;"&amp;EOMONTH(P$1,0)+1
)</f>
        <v>0</v>
      </c>
      <c r="Q164" s="183">
        <f ca="1">-SUMIFS(
  desp.m.ik[valor],
  desp.m.ik[nucleo], $B164,
  desp.m.ik[centro.negocio], $B$156,
  desp.m.ik[mes], "&gt;="&amp;Q$1,
  desp.m.ik[mes], "&lt;"&amp;EOMONTH(Q$1,0)+1
)</f>
        <v>0</v>
      </c>
      <c r="R164" s="183">
        <f ca="1">-SUMIFS(
  desp.m.ik[valor],
  desp.m.ik[nucleo], $B164,
  desp.m.ik[centro.negocio], $B$156,
  desp.m.ik[mes], "&gt;="&amp;R$1,
  desp.m.ik[mes], "&lt;"&amp;EOMONTH(R$1,0)+1
)</f>
        <v>0</v>
      </c>
      <c r="S164" s="183">
        <f ca="1">-SUMIFS(
  desp.m.ik[valor],
  desp.m.ik[nucleo], $B164,
  desp.m.ik[centro.negocio], $B$156,
  desp.m.ik[mes], "&gt;="&amp;S$1,
  desp.m.ik[mes], "&lt;"&amp;EOMONTH(S$1,0)+1
)</f>
        <v>0</v>
      </c>
      <c r="T164" s="183">
        <f ca="1">-SUMIFS(
  desp.m.ik[valor],
  desp.m.ik[nucleo], $B164,
  desp.m.ik[centro.negocio], $B$156,
  desp.m.ik[mes], "&gt;="&amp;T$1,
  desp.m.ik[mes], "&lt;"&amp;EOMONTH(T$1,0)+1
)</f>
        <v>0</v>
      </c>
      <c r="U164" s="183">
        <f ca="1">-SUMIFS(
  desp.m.ik[valor],
  desp.m.ik[nucleo], $B164,
  desp.m.ik[centro.negocio], $B$156,
  desp.m.ik[mes], "&gt;="&amp;U$1,
  desp.m.ik[mes], "&lt;"&amp;EOMONTH(U$1,0)+1
)</f>
        <v>0</v>
      </c>
      <c r="V164" s="183">
        <f ca="1">-SUMIFS(
  desp.m.ik[valor],
  desp.m.ik[nucleo], $B164,
  desp.m.ik[centro.negocio], $B$156,
  desp.m.ik[mes], "&gt;="&amp;V$1,
  desp.m.ik[mes], "&lt;"&amp;EOMONTH(V$1,0)+1
)</f>
        <v>0</v>
      </c>
      <c r="W164" s="183">
        <f ca="1">-SUMIFS(
  desp.m.ik[valor],
  desp.m.ik[nucleo], $B164,
  desp.m.ik[centro.negocio], $B$156,
  desp.m.ik[mes], "&gt;="&amp;W$1,
  desp.m.ik[mes], "&lt;"&amp;EOMONTH(W$1,0)+1
)</f>
        <v>0</v>
      </c>
      <c r="X164" s="183">
        <f ca="1">-SUMIFS(
  desp.m.ik[valor],
  desp.m.ik[nucleo], $B164,
  desp.m.ik[centro.negocio], $B$156,
  desp.m.ik[mes], "&gt;="&amp;X$1,
  desp.m.ik[mes], "&lt;"&amp;EOMONTH(X$1,0)+1
)</f>
        <v>0</v>
      </c>
      <c r="Y164" s="183">
        <f ca="1">-SUMIFS(
  desp.m.ik[valor],
  desp.m.ik[nucleo], $B164,
  desp.m.ik[centro.negocio], $B$156,
  desp.m.ik[mes], "&gt;="&amp;Y$1,
  desp.m.ik[mes], "&lt;"&amp;EOMONTH(Y$1,0)+1
)</f>
        <v>0</v>
      </c>
      <c r="Z164" s="183">
        <f ca="1">-SUMIFS(
  desp.m.ik[valor],
  desp.m.ik[nucleo], $B164,
  desp.m.ik[centro.negocio], $B$156,
  desp.m.ik[mes], "&gt;="&amp;Z$1,
  desp.m.ik[mes], "&lt;"&amp;EOMONTH(Z$1,0)+1
)</f>
        <v>0</v>
      </c>
      <c r="AA164" s="183">
        <f ca="1">-SUMIFS(
  desp.m.ik[valor],
  desp.m.ik[nucleo], $B164,
  desp.m.ik[centro.negocio], $B$156,
  desp.m.ik[mes], "&gt;="&amp;AA$1,
  desp.m.ik[mes], "&lt;"&amp;EOMONTH(AA$1,0)+1
)</f>
        <v>0</v>
      </c>
      <c r="AC164" s="175">
        <f ca="1">SUM($D164:INDEX($D164:$AA164,1,MATCH(DATE(YEAR(inputs!$A$1),MONTH(inputs!$A$1),1),$D$1:$AA$1,0)))</f>
        <v>0</v>
      </c>
      <c r="AE164" s="175">
        <f t="shared" ca="1" si="32"/>
        <v>0</v>
      </c>
    </row>
    <row r="165" spans="1:31" outlineLevel="2" x14ac:dyDescent="0.25">
      <c r="A165" s="182" t="s">
        <v>998</v>
      </c>
      <c r="B165" s="182" t="s">
        <v>578</v>
      </c>
      <c r="C165" s="135" t="s">
        <v>514</v>
      </c>
      <c r="D165" s="183">
        <f ca="1">-SUMIFS(
  desp.m.ik[valor],
  desp.m.ik[nucleo], $B165,
  desp.m.ik[centro.negocio], $B$156,
  desp.m.ik[mes], "&gt;="&amp;D$1,
  desp.m.ik[mes], "&lt;"&amp;EOMONTH(D$1,0)+1
)</f>
        <v>0</v>
      </c>
      <c r="E165" s="183">
        <f ca="1">-SUMIFS(
  desp.m.ik[valor],
  desp.m.ik[nucleo], $B165,
  desp.m.ik[centro.negocio], $B$156,
  desp.m.ik[mes], "&gt;="&amp;E$1,
  desp.m.ik[mes], "&lt;"&amp;EOMONTH(E$1,0)+1
)</f>
        <v>0</v>
      </c>
      <c r="F165" s="183">
        <f ca="1">-SUMIFS(
  desp.m.ik[valor],
  desp.m.ik[nucleo], $B165,
  desp.m.ik[centro.negocio], $B$156,
  desp.m.ik[mes], "&gt;="&amp;F$1,
  desp.m.ik[mes], "&lt;"&amp;EOMONTH(F$1,0)+1
)</f>
        <v>0</v>
      </c>
      <c r="G165" s="183">
        <f ca="1">-SUMIFS(
  desp.m.ik[valor],
  desp.m.ik[nucleo], $B165,
  desp.m.ik[centro.negocio], $B$156,
  desp.m.ik[mes], "&gt;="&amp;G$1,
  desp.m.ik[mes], "&lt;"&amp;EOMONTH(G$1,0)+1
)</f>
        <v>0</v>
      </c>
      <c r="H165" s="183">
        <f ca="1">-SUMIFS(
  desp.m.ik[valor],
  desp.m.ik[nucleo], $B165,
  desp.m.ik[centro.negocio], $B$156,
  desp.m.ik[mes], "&gt;="&amp;H$1,
  desp.m.ik[mes], "&lt;"&amp;EOMONTH(H$1,0)+1
)</f>
        <v>0</v>
      </c>
      <c r="I165" s="183">
        <f ca="1">-SUMIFS(
  desp.m.ik[valor],
  desp.m.ik[nucleo], $B165,
  desp.m.ik[centro.negocio], $B$156,
  desp.m.ik[mes], "&gt;="&amp;I$1,
  desp.m.ik[mes], "&lt;"&amp;EOMONTH(I$1,0)+1
)</f>
        <v>0</v>
      </c>
      <c r="J165" s="183">
        <f ca="1">-SUMIFS(
  desp.m.ik[valor],
  desp.m.ik[nucleo], $B165,
  desp.m.ik[centro.negocio], $B$156,
  desp.m.ik[mes], "&gt;="&amp;J$1,
  desp.m.ik[mes], "&lt;"&amp;EOMONTH(J$1,0)+1
)</f>
        <v>0</v>
      </c>
      <c r="K165" s="183">
        <f ca="1">-SUMIFS(
  desp.m.ik[valor],
  desp.m.ik[nucleo], $B165,
  desp.m.ik[centro.negocio], $B$156,
  desp.m.ik[mes], "&gt;="&amp;K$1,
  desp.m.ik[mes], "&lt;"&amp;EOMONTH(K$1,0)+1
)</f>
        <v>0</v>
      </c>
      <c r="L165" s="183">
        <f ca="1">-SUMIFS(
  desp.m.ik[valor],
  desp.m.ik[nucleo], $B165,
  desp.m.ik[centro.negocio], $B$156,
  desp.m.ik[mes], "&gt;="&amp;L$1,
  desp.m.ik[mes], "&lt;"&amp;EOMONTH(L$1,0)+1
)</f>
        <v>0</v>
      </c>
      <c r="M165" s="183">
        <f ca="1">-SUMIFS(
  desp.m.ik[valor],
  desp.m.ik[nucleo], $B165,
  desp.m.ik[centro.negocio], $B$156,
  desp.m.ik[mes], "&gt;="&amp;M$1,
  desp.m.ik[mes], "&lt;"&amp;EOMONTH(M$1,0)+1
)</f>
        <v>0</v>
      </c>
      <c r="N165" s="183">
        <f ca="1">-SUMIFS(
  desp.m.ik[valor],
  desp.m.ik[nucleo], $B165,
  desp.m.ik[centro.negocio], $B$156,
  desp.m.ik[mes], "&gt;="&amp;N$1,
  desp.m.ik[mes], "&lt;"&amp;EOMONTH(N$1,0)+1
)</f>
        <v>0</v>
      </c>
      <c r="O165" s="183">
        <f ca="1">-SUMIFS(
  desp.m.ik[valor],
  desp.m.ik[nucleo], $B165,
  desp.m.ik[centro.negocio], $B$156,
  desp.m.ik[mes], "&gt;="&amp;O$1,
  desp.m.ik[mes], "&lt;"&amp;EOMONTH(O$1,0)+1
)</f>
        <v>0</v>
      </c>
      <c r="P165" s="183">
        <f ca="1">-SUMIFS(
  desp.m.ik[valor],
  desp.m.ik[nucleo], $B165,
  desp.m.ik[centro.negocio], $B$156,
  desp.m.ik[mes], "&gt;="&amp;P$1,
  desp.m.ik[mes], "&lt;"&amp;EOMONTH(P$1,0)+1
)</f>
        <v>0</v>
      </c>
      <c r="Q165" s="183">
        <f ca="1">-SUMIFS(
  desp.m.ik[valor],
  desp.m.ik[nucleo], $B165,
  desp.m.ik[centro.negocio], $B$156,
  desp.m.ik[mes], "&gt;="&amp;Q$1,
  desp.m.ik[mes], "&lt;"&amp;EOMONTH(Q$1,0)+1
)</f>
        <v>0</v>
      </c>
      <c r="R165" s="183">
        <f ca="1">-SUMIFS(
  desp.m.ik[valor],
  desp.m.ik[nucleo], $B165,
  desp.m.ik[centro.negocio], $B$156,
  desp.m.ik[mes], "&gt;="&amp;R$1,
  desp.m.ik[mes], "&lt;"&amp;EOMONTH(R$1,0)+1
)</f>
        <v>0</v>
      </c>
      <c r="S165" s="183">
        <f ca="1">-SUMIFS(
  desp.m.ik[valor],
  desp.m.ik[nucleo], $B165,
  desp.m.ik[centro.negocio], $B$156,
  desp.m.ik[mes], "&gt;="&amp;S$1,
  desp.m.ik[mes], "&lt;"&amp;EOMONTH(S$1,0)+1
)</f>
        <v>0</v>
      </c>
      <c r="T165" s="183">
        <f ca="1">-SUMIFS(
  desp.m.ik[valor],
  desp.m.ik[nucleo], $B165,
  desp.m.ik[centro.negocio], $B$156,
  desp.m.ik[mes], "&gt;="&amp;T$1,
  desp.m.ik[mes], "&lt;"&amp;EOMONTH(T$1,0)+1
)</f>
        <v>0</v>
      </c>
      <c r="U165" s="183">
        <f ca="1">-SUMIFS(
  desp.m.ik[valor],
  desp.m.ik[nucleo], $B165,
  desp.m.ik[centro.negocio], $B$156,
  desp.m.ik[mes], "&gt;="&amp;U$1,
  desp.m.ik[mes], "&lt;"&amp;EOMONTH(U$1,0)+1
)</f>
        <v>0</v>
      </c>
      <c r="V165" s="183">
        <f ca="1">-SUMIFS(
  desp.m.ik[valor],
  desp.m.ik[nucleo], $B165,
  desp.m.ik[centro.negocio], $B$156,
  desp.m.ik[mes], "&gt;="&amp;V$1,
  desp.m.ik[mes], "&lt;"&amp;EOMONTH(V$1,0)+1
)</f>
        <v>0</v>
      </c>
      <c r="W165" s="183">
        <f ca="1">-SUMIFS(
  desp.m.ik[valor],
  desp.m.ik[nucleo], $B165,
  desp.m.ik[centro.negocio], $B$156,
  desp.m.ik[mes], "&gt;="&amp;W$1,
  desp.m.ik[mes], "&lt;"&amp;EOMONTH(W$1,0)+1
)</f>
        <v>0</v>
      </c>
      <c r="X165" s="183">
        <f ca="1">-SUMIFS(
  desp.m.ik[valor],
  desp.m.ik[nucleo], $B165,
  desp.m.ik[centro.negocio], $B$156,
  desp.m.ik[mes], "&gt;="&amp;X$1,
  desp.m.ik[mes], "&lt;"&amp;EOMONTH(X$1,0)+1
)</f>
        <v>0</v>
      </c>
      <c r="Y165" s="183">
        <f ca="1">-SUMIFS(
  desp.m.ik[valor],
  desp.m.ik[nucleo], $B165,
  desp.m.ik[centro.negocio], $B$156,
  desp.m.ik[mes], "&gt;="&amp;Y$1,
  desp.m.ik[mes], "&lt;"&amp;EOMONTH(Y$1,0)+1
)</f>
        <v>0</v>
      </c>
      <c r="Z165" s="183">
        <f ca="1">-SUMIFS(
  desp.m.ik[valor],
  desp.m.ik[nucleo], $B165,
  desp.m.ik[centro.negocio], $B$156,
  desp.m.ik[mes], "&gt;="&amp;Z$1,
  desp.m.ik[mes], "&lt;"&amp;EOMONTH(Z$1,0)+1
)</f>
        <v>0</v>
      </c>
      <c r="AA165" s="183">
        <f ca="1">-SUMIFS(
  desp.m.ik[valor],
  desp.m.ik[nucleo], $B165,
  desp.m.ik[centro.negocio], $B$156,
  desp.m.ik[mes], "&gt;="&amp;AA$1,
  desp.m.ik[mes], "&lt;"&amp;EOMONTH(AA$1,0)+1
)</f>
        <v>0</v>
      </c>
      <c r="AC165" s="175">
        <f ca="1">SUM($D165:INDEX($D165:$AA165,1,MATCH(DATE(YEAR(inputs!$A$1),MONTH(inputs!$A$1),1),$D$1:$AA$1,0)))</f>
        <v>0</v>
      </c>
      <c r="AE165" s="175">
        <f t="shared" ca="1" si="32"/>
        <v>0</v>
      </c>
    </row>
    <row r="166" spans="1:31" outlineLevel="2" x14ac:dyDescent="0.25">
      <c r="A166" s="182" t="s">
        <v>845</v>
      </c>
      <c r="B166" s="182" t="s">
        <v>535</v>
      </c>
      <c r="C166" s="135" t="s">
        <v>514</v>
      </c>
      <c r="D166" s="183">
        <f ca="1">-SUMIFS(
  desp.m.ik[valor],
  desp.m.ik[nucleo], $B166,
  desp.m.ik[centro.negocio], $B$156,
  desp.m.ik[mes], "&gt;="&amp;D$1,
  desp.m.ik[mes], "&lt;"&amp;EOMONTH(D$1,0)+1
)</f>
        <v>0</v>
      </c>
      <c r="E166" s="183">
        <f ca="1">-SUMIFS(
  desp.m.ik[valor],
  desp.m.ik[nucleo], $B166,
  desp.m.ik[centro.negocio], $B$156,
  desp.m.ik[mes], "&gt;="&amp;E$1,
  desp.m.ik[mes], "&lt;"&amp;EOMONTH(E$1,0)+1
)</f>
        <v>0</v>
      </c>
      <c r="F166" s="183">
        <f ca="1">-SUMIFS(
  desp.m.ik[valor],
  desp.m.ik[nucleo], $B166,
  desp.m.ik[centro.negocio], $B$156,
  desp.m.ik[mes], "&gt;="&amp;F$1,
  desp.m.ik[mes], "&lt;"&amp;EOMONTH(F$1,0)+1
)</f>
        <v>0</v>
      </c>
      <c r="G166" s="183">
        <f ca="1">-SUMIFS(
  desp.m.ik[valor],
  desp.m.ik[nucleo], $B166,
  desp.m.ik[centro.negocio], $B$156,
  desp.m.ik[mes], "&gt;="&amp;G$1,
  desp.m.ik[mes], "&lt;"&amp;EOMONTH(G$1,0)+1
)</f>
        <v>0</v>
      </c>
      <c r="H166" s="183">
        <f ca="1">-SUMIFS(
  desp.m.ik[valor],
  desp.m.ik[nucleo], $B166,
  desp.m.ik[centro.negocio], $B$156,
  desp.m.ik[mes], "&gt;="&amp;H$1,
  desp.m.ik[mes], "&lt;"&amp;EOMONTH(H$1,0)+1
)</f>
        <v>0</v>
      </c>
      <c r="I166" s="183">
        <f ca="1">-SUMIFS(
  desp.m.ik[valor],
  desp.m.ik[nucleo], $B166,
  desp.m.ik[centro.negocio], $B$156,
  desp.m.ik[mes], "&gt;="&amp;I$1,
  desp.m.ik[mes], "&lt;"&amp;EOMONTH(I$1,0)+1
)</f>
        <v>0</v>
      </c>
      <c r="J166" s="183">
        <f ca="1">-SUMIFS(
  desp.m.ik[valor],
  desp.m.ik[nucleo], $B166,
  desp.m.ik[centro.negocio], $B$156,
  desp.m.ik[mes], "&gt;="&amp;J$1,
  desp.m.ik[mes], "&lt;"&amp;EOMONTH(J$1,0)+1
)</f>
        <v>0</v>
      </c>
      <c r="K166" s="183">
        <f ca="1">-SUMIFS(
  desp.m.ik[valor],
  desp.m.ik[nucleo], $B166,
  desp.m.ik[centro.negocio], $B$156,
  desp.m.ik[mes], "&gt;="&amp;K$1,
  desp.m.ik[mes], "&lt;"&amp;EOMONTH(K$1,0)+1
)</f>
        <v>0</v>
      </c>
      <c r="L166" s="183">
        <f ca="1">-SUMIFS(
  desp.m.ik[valor],
  desp.m.ik[nucleo], $B166,
  desp.m.ik[centro.negocio], $B$156,
  desp.m.ik[mes], "&gt;="&amp;L$1,
  desp.m.ik[mes], "&lt;"&amp;EOMONTH(L$1,0)+1
)</f>
        <v>0</v>
      </c>
      <c r="M166" s="183">
        <f ca="1">-SUMIFS(
  desp.m.ik[valor],
  desp.m.ik[nucleo], $B166,
  desp.m.ik[centro.negocio], $B$156,
  desp.m.ik[mes], "&gt;="&amp;M$1,
  desp.m.ik[mes], "&lt;"&amp;EOMONTH(M$1,0)+1
)</f>
        <v>0</v>
      </c>
      <c r="N166" s="183">
        <f ca="1">-SUMIFS(
  desp.m.ik[valor],
  desp.m.ik[nucleo], $B166,
  desp.m.ik[centro.negocio], $B$156,
  desp.m.ik[mes], "&gt;="&amp;N$1,
  desp.m.ik[mes], "&lt;"&amp;EOMONTH(N$1,0)+1
)</f>
        <v>0</v>
      </c>
      <c r="O166" s="183">
        <f ca="1">-SUMIFS(
  desp.m.ik[valor],
  desp.m.ik[nucleo], $B166,
  desp.m.ik[centro.negocio], $B$156,
  desp.m.ik[mes], "&gt;="&amp;O$1,
  desp.m.ik[mes], "&lt;"&amp;EOMONTH(O$1,0)+1
)</f>
        <v>0</v>
      </c>
      <c r="P166" s="183">
        <f ca="1">-SUMIFS(
  desp.m.ik[valor],
  desp.m.ik[nucleo], $B166,
  desp.m.ik[centro.negocio], $B$156,
  desp.m.ik[mes], "&gt;="&amp;P$1,
  desp.m.ik[mes], "&lt;"&amp;EOMONTH(P$1,0)+1
)</f>
        <v>0</v>
      </c>
      <c r="Q166" s="183">
        <f ca="1">-SUMIFS(
  desp.m.ik[valor],
  desp.m.ik[nucleo], $B166,
  desp.m.ik[centro.negocio], $B$156,
  desp.m.ik[mes], "&gt;="&amp;Q$1,
  desp.m.ik[mes], "&lt;"&amp;EOMONTH(Q$1,0)+1
)</f>
        <v>0</v>
      </c>
      <c r="R166" s="183">
        <f ca="1">-SUMIFS(
  desp.m.ik[valor],
  desp.m.ik[nucleo], $B166,
  desp.m.ik[centro.negocio], $B$156,
  desp.m.ik[mes], "&gt;="&amp;R$1,
  desp.m.ik[mes], "&lt;"&amp;EOMONTH(R$1,0)+1
)</f>
        <v>0</v>
      </c>
      <c r="S166" s="183">
        <f ca="1">-SUMIFS(
  desp.m.ik[valor],
  desp.m.ik[nucleo], $B166,
  desp.m.ik[centro.negocio], $B$156,
  desp.m.ik[mes], "&gt;="&amp;S$1,
  desp.m.ik[mes], "&lt;"&amp;EOMONTH(S$1,0)+1
)</f>
        <v>0</v>
      </c>
      <c r="T166" s="183">
        <f ca="1">-SUMIFS(
  desp.m.ik[valor],
  desp.m.ik[nucleo], $B166,
  desp.m.ik[centro.negocio], $B$156,
  desp.m.ik[mes], "&gt;="&amp;T$1,
  desp.m.ik[mes], "&lt;"&amp;EOMONTH(T$1,0)+1
)</f>
        <v>0</v>
      </c>
      <c r="U166" s="183">
        <f ca="1">-SUMIFS(
  desp.m.ik[valor],
  desp.m.ik[nucleo], $B166,
  desp.m.ik[centro.negocio], $B$156,
  desp.m.ik[mes], "&gt;="&amp;U$1,
  desp.m.ik[mes], "&lt;"&amp;EOMONTH(U$1,0)+1
)</f>
        <v>0</v>
      </c>
      <c r="V166" s="183">
        <f ca="1">-SUMIFS(
  desp.m.ik[valor],
  desp.m.ik[nucleo], $B166,
  desp.m.ik[centro.negocio], $B$156,
  desp.m.ik[mes], "&gt;="&amp;V$1,
  desp.m.ik[mes], "&lt;"&amp;EOMONTH(V$1,0)+1
)</f>
        <v>0</v>
      </c>
      <c r="W166" s="183">
        <f ca="1">-SUMIFS(
  desp.m.ik[valor],
  desp.m.ik[nucleo], $B166,
  desp.m.ik[centro.negocio], $B$156,
  desp.m.ik[mes], "&gt;="&amp;W$1,
  desp.m.ik[mes], "&lt;"&amp;EOMONTH(W$1,0)+1
)</f>
        <v>0</v>
      </c>
      <c r="X166" s="183">
        <f ca="1">-SUMIFS(
  desp.m.ik[valor],
  desp.m.ik[nucleo], $B166,
  desp.m.ik[centro.negocio], $B$156,
  desp.m.ik[mes], "&gt;="&amp;X$1,
  desp.m.ik[mes], "&lt;"&amp;EOMONTH(X$1,0)+1
)</f>
        <v>0</v>
      </c>
      <c r="Y166" s="183">
        <f ca="1">-SUMIFS(
  desp.m.ik[valor],
  desp.m.ik[nucleo], $B166,
  desp.m.ik[centro.negocio], $B$156,
  desp.m.ik[mes], "&gt;="&amp;Y$1,
  desp.m.ik[mes], "&lt;"&amp;EOMONTH(Y$1,0)+1
)</f>
        <v>0</v>
      </c>
      <c r="Z166" s="183">
        <f ca="1">-SUMIFS(
  desp.m.ik[valor],
  desp.m.ik[nucleo], $B166,
  desp.m.ik[centro.negocio], $B$156,
  desp.m.ik[mes], "&gt;="&amp;Z$1,
  desp.m.ik[mes], "&lt;"&amp;EOMONTH(Z$1,0)+1
)</f>
        <v>0</v>
      </c>
      <c r="AA166" s="183">
        <f ca="1">-SUMIFS(
  desp.m.ik[valor],
  desp.m.ik[nucleo], $B166,
  desp.m.ik[centro.negocio], $B$156,
  desp.m.ik[mes], "&gt;="&amp;AA$1,
  desp.m.ik[mes], "&lt;"&amp;EOMONTH(AA$1,0)+1
)</f>
        <v>0</v>
      </c>
      <c r="AC166" s="175">
        <f ca="1">SUM($D166:INDEX($D166:$AA166,1,MATCH(DATE(YEAR(inputs!$A$1),MONTH(inputs!$A$1),1),$D$1:$AA$1,0)))</f>
        <v>0</v>
      </c>
      <c r="AE166" s="175">
        <f t="shared" ca="1" si="32"/>
        <v>0</v>
      </c>
    </row>
    <row r="167" spans="1:31" outlineLevel="1" x14ac:dyDescent="0.25">
      <c r="A167" s="179" t="s">
        <v>582</v>
      </c>
      <c r="B167" s="179" t="s">
        <v>355</v>
      </c>
      <c r="C167" s="180" t="s">
        <v>514</v>
      </c>
      <c r="D167" s="181">
        <f t="shared" ref="D167:AA167" ca="1" si="34">SUM(D$168)</f>
        <v>0</v>
      </c>
      <c r="E167" s="181">
        <f t="shared" ca="1" si="34"/>
        <v>0</v>
      </c>
      <c r="F167" s="181">
        <f t="shared" ca="1" si="34"/>
        <v>0</v>
      </c>
      <c r="G167" s="181">
        <f t="shared" ca="1" si="34"/>
        <v>0</v>
      </c>
      <c r="H167" s="181">
        <f t="shared" ca="1" si="34"/>
        <v>0</v>
      </c>
      <c r="I167" s="181">
        <f t="shared" ca="1" si="34"/>
        <v>0</v>
      </c>
      <c r="J167" s="181">
        <f t="shared" ca="1" si="34"/>
        <v>0</v>
      </c>
      <c r="K167" s="181">
        <f t="shared" ca="1" si="34"/>
        <v>0</v>
      </c>
      <c r="L167" s="181">
        <f t="shared" ca="1" si="34"/>
        <v>0</v>
      </c>
      <c r="M167" s="181">
        <f t="shared" ca="1" si="34"/>
        <v>0</v>
      </c>
      <c r="N167" s="181">
        <f t="shared" ca="1" si="34"/>
        <v>0</v>
      </c>
      <c r="O167" s="181">
        <f t="shared" ca="1" si="34"/>
        <v>0</v>
      </c>
      <c r="P167" s="181">
        <f t="shared" ca="1" si="34"/>
        <v>0</v>
      </c>
      <c r="Q167" s="181">
        <f t="shared" ca="1" si="34"/>
        <v>0</v>
      </c>
      <c r="R167" s="181">
        <f t="shared" ca="1" si="34"/>
        <v>0</v>
      </c>
      <c r="S167" s="181">
        <f t="shared" ca="1" si="34"/>
        <v>0</v>
      </c>
      <c r="T167" s="181">
        <f t="shared" ca="1" si="34"/>
        <v>0</v>
      </c>
      <c r="U167" s="181">
        <f t="shared" ca="1" si="34"/>
        <v>0</v>
      </c>
      <c r="V167" s="181">
        <f t="shared" ca="1" si="34"/>
        <v>0</v>
      </c>
      <c r="W167" s="181">
        <f t="shared" ca="1" si="34"/>
        <v>0</v>
      </c>
      <c r="X167" s="181">
        <f t="shared" ca="1" si="34"/>
        <v>0</v>
      </c>
      <c r="Y167" s="181">
        <f t="shared" ca="1" si="34"/>
        <v>0</v>
      </c>
      <c r="Z167" s="181">
        <f t="shared" ca="1" si="34"/>
        <v>0</v>
      </c>
      <c r="AA167" s="181">
        <f t="shared" ca="1" si="34"/>
        <v>0</v>
      </c>
      <c r="AC167" s="275">
        <f ca="1">SUM($D167:INDEX($D167:$AA167,1,MATCH(DATE(YEAR(inputs!$A$1),MONTH(inputs!$A$1),1),$D$1:$AA$1,0)))</f>
        <v>0</v>
      </c>
      <c r="AE167" s="275">
        <f t="shared" ca="1" si="32"/>
        <v>0</v>
      </c>
    </row>
    <row r="168" spans="1:31" outlineLevel="2" x14ac:dyDescent="0.25">
      <c r="A168" s="182" t="s">
        <v>583</v>
      </c>
      <c r="B168" s="182" t="s">
        <v>585</v>
      </c>
      <c r="C168" s="135" t="s">
        <v>514</v>
      </c>
      <c r="D168" s="183">
        <f ca="1">-SUMIFS(
  desp.m.ik[valor],
  desp.m.ik[nucleo], $B168,
  desp.m.ik[centro.negocio], $B$167,
  desp.m.ik[mes], "&gt;="&amp;D$1,
  desp.m.ik[mes], "&lt;"&amp;EOMONTH(D$1,0)+1
)</f>
        <v>0</v>
      </c>
      <c r="E168" s="183">
        <f ca="1">-SUMIFS(
  desp.m.ik[valor],
  desp.m.ik[nucleo], $B168,
  desp.m.ik[centro.negocio], $B$167,
  desp.m.ik[mes], "&gt;="&amp;E$1,
  desp.m.ik[mes], "&lt;"&amp;EOMONTH(E$1,0)+1
)</f>
        <v>0</v>
      </c>
      <c r="F168" s="183">
        <f ca="1">-SUMIFS(
  desp.m.ik[valor],
  desp.m.ik[nucleo], $B168,
  desp.m.ik[centro.negocio], $B$167,
  desp.m.ik[mes], "&gt;="&amp;F$1,
  desp.m.ik[mes], "&lt;"&amp;EOMONTH(F$1,0)+1
)</f>
        <v>0</v>
      </c>
      <c r="G168" s="183">
        <f ca="1">-SUMIFS(
  desp.m.ik[valor],
  desp.m.ik[nucleo], $B168,
  desp.m.ik[centro.negocio], $B$167,
  desp.m.ik[mes], "&gt;="&amp;G$1,
  desp.m.ik[mes], "&lt;"&amp;EOMONTH(G$1,0)+1
)</f>
        <v>0</v>
      </c>
      <c r="H168" s="183">
        <f ca="1">-SUMIFS(
  desp.m.ik[valor],
  desp.m.ik[nucleo], $B168,
  desp.m.ik[centro.negocio], $B$167,
  desp.m.ik[mes], "&gt;="&amp;H$1,
  desp.m.ik[mes], "&lt;"&amp;EOMONTH(H$1,0)+1
)</f>
        <v>0</v>
      </c>
      <c r="I168" s="183">
        <f ca="1">-SUMIFS(
  desp.m.ik[valor],
  desp.m.ik[nucleo], $B168,
  desp.m.ik[centro.negocio], $B$167,
  desp.m.ik[mes], "&gt;="&amp;I$1,
  desp.m.ik[mes], "&lt;"&amp;EOMONTH(I$1,0)+1
)</f>
        <v>0</v>
      </c>
      <c r="J168" s="183">
        <f ca="1">-SUMIFS(
  desp.m.ik[valor],
  desp.m.ik[nucleo], $B168,
  desp.m.ik[centro.negocio], $B$167,
  desp.m.ik[mes], "&gt;="&amp;J$1,
  desp.m.ik[mes], "&lt;"&amp;EOMONTH(J$1,0)+1
)</f>
        <v>0</v>
      </c>
      <c r="K168" s="183">
        <f ca="1">-SUMIFS(
  desp.m.ik[valor],
  desp.m.ik[nucleo], $B168,
  desp.m.ik[centro.negocio], $B$167,
  desp.m.ik[mes], "&gt;="&amp;K$1,
  desp.m.ik[mes], "&lt;"&amp;EOMONTH(K$1,0)+1
)</f>
        <v>0</v>
      </c>
      <c r="L168" s="183">
        <f ca="1">-SUMIFS(
  desp.m.ik[valor],
  desp.m.ik[nucleo], $B168,
  desp.m.ik[centro.negocio], $B$167,
  desp.m.ik[mes], "&gt;="&amp;L$1,
  desp.m.ik[mes], "&lt;"&amp;EOMONTH(L$1,0)+1
)</f>
        <v>0</v>
      </c>
      <c r="M168" s="183">
        <f ca="1">-SUMIFS(
  desp.m.ik[valor],
  desp.m.ik[nucleo], $B168,
  desp.m.ik[centro.negocio], $B$167,
  desp.m.ik[mes], "&gt;="&amp;M$1,
  desp.m.ik[mes], "&lt;"&amp;EOMONTH(M$1,0)+1
)</f>
        <v>0</v>
      </c>
      <c r="N168" s="183">
        <f ca="1">-SUMIFS(
  desp.m.ik[valor],
  desp.m.ik[nucleo], $B168,
  desp.m.ik[centro.negocio], $B$167,
  desp.m.ik[mes], "&gt;="&amp;N$1,
  desp.m.ik[mes], "&lt;"&amp;EOMONTH(N$1,0)+1
)</f>
        <v>0</v>
      </c>
      <c r="O168" s="183">
        <f ca="1">-SUMIFS(
  desp.m.ik[valor],
  desp.m.ik[nucleo], $B168,
  desp.m.ik[centro.negocio], $B$167,
  desp.m.ik[mes], "&gt;="&amp;O$1,
  desp.m.ik[mes], "&lt;"&amp;EOMONTH(O$1,0)+1
)</f>
        <v>0</v>
      </c>
      <c r="P168" s="183">
        <f ca="1">-SUMIFS(
  desp.m.ik[valor],
  desp.m.ik[nucleo], $B168,
  desp.m.ik[centro.negocio], $B$167,
  desp.m.ik[mes], "&gt;="&amp;P$1,
  desp.m.ik[mes], "&lt;"&amp;EOMONTH(P$1,0)+1
)</f>
        <v>0</v>
      </c>
      <c r="Q168" s="183">
        <f ca="1">-SUMIFS(
  desp.m.ik[valor],
  desp.m.ik[nucleo], $B168,
  desp.m.ik[centro.negocio], $B$167,
  desp.m.ik[mes], "&gt;="&amp;Q$1,
  desp.m.ik[mes], "&lt;"&amp;EOMONTH(Q$1,0)+1
)</f>
        <v>0</v>
      </c>
      <c r="R168" s="183">
        <f ca="1">-SUMIFS(
  desp.m.ik[valor],
  desp.m.ik[nucleo], $B168,
  desp.m.ik[centro.negocio], $B$167,
  desp.m.ik[mes], "&gt;="&amp;R$1,
  desp.m.ik[mes], "&lt;"&amp;EOMONTH(R$1,0)+1
)</f>
        <v>0</v>
      </c>
      <c r="S168" s="183">
        <f ca="1">-SUMIFS(
  desp.m.ik[valor],
  desp.m.ik[nucleo], $B168,
  desp.m.ik[centro.negocio], $B$167,
  desp.m.ik[mes], "&gt;="&amp;S$1,
  desp.m.ik[mes], "&lt;"&amp;EOMONTH(S$1,0)+1
)</f>
        <v>0</v>
      </c>
      <c r="T168" s="183">
        <f ca="1">-SUMIFS(
  desp.m.ik[valor],
  desp.m.ik[nucleo], $B168,
  desp.m.ik[centro.negocio], $B$167,
  desp.m.ik[mes], "&gt;="&amp;T$1,
  desp.m.ik[mes], "&lt;"&amp;EOMONTH(T$1,0)+1
)</f>
        <v>0</v>
      </c>
      <c r="U168" s="183">
        <f ca="1">-SUMIFS(
  desp.m.ik[valor],
  desp.m.ik[nucleo], $B168,
  desp.m.ik[centro.negocio], $B$167,
  desp.m.ik[mes], "&gt;="&amp;U$1,
  desp.m.ik[mes], "&lt;"&amp;EOMONTH(U$1,0)+1
)</f>
        <v>0</v>
      </c>
      <c r="V168" s="183">
        <f ca="1">-SUMIFS(
  desp.m.ik[valor],
  desp.m.ik[nucleo], $B168,
  desp.m.ik[centro.negocio], $B$167,
  desp.m.ik[mes], "&gt;="&amp;V$1,
  desp.m.ik[mes], "&lt;"&amp;EOMONTH(V$1,0)+1
)</f>
        <v>0</v>
      </c>
      <c r="W168" s="183">
        <f ca="1">-SUMIFS(
  desp.m.ik[valor],
  desp.m.ik[nucleo], $B168,
  desp.m.ik[centro.negocio], $B$167,
  desp.m.ik[mes], "&gt;="&amp;W$1,
  desp.m.ik[mes], "&lt;"&amp;EOMONTH(W$1,0)+1
)</f>
        <v>0</v>
      </c>
      <c r="X168" s="183">
        <f ca="1">-SUMIFS(
  desp.m.ik[valor],
  desp.m.ik[nucleo], $B168,
  desp.m.ik[centro.negocio], $B$167,
  desp.m.ik[mes], "&gt;="&amp;X$1,
  desp.m.ik[mes], "&lt;"&amp;EOMONTH(X$1,0)+1
)</f>
        <v>0</v>
      </c>
      <c r="Y168" s="183">
        <f ca="1">-SUMIFS(
  desp.m.ik[valor],
  desp.m.ik[nucleo], $B168,
  desp.m.ik[centro.negocio], $B$167,
  desp.m.ik[mes], "&gt;="&amp;Y$1,
  desp.m.ik[mes], "&lt;"&amp;EOMONTH(Y$1,0)+1
)</f>
        <v>0</v>
      </c>
      <c r="Z168" s="183">
        <f ca="1">-SUMIFS(
  desp.m.ik[valor],
  desp.m.ik[nucleo], $B168,
  desp.m.ik[centro.negocio], $B$167,
  desp.m.ik[mes], "&gt;="&amp;Z$1,
  desp.m.ik[mes], "&lt;"&amp;EOMONTH(Z$1,0)+1
)</f>
        <v>0</v>
      </c>
      <c r="AA168" s="183">
        <f ca="1">-SUMIFS(
  desp.m.ik[valor],
  desp.m.ik[nucleo], $B168,
  desp.m.ik[centro.negocio], $B$167,
  desp.m.ik[mes], "&gt;="&amp;AA$1,
  desp.m.ik[mes], "&lt;"&amp;EOMONTH(AA$1,0)+1
)</f>
        <v>0</v>
      </c>
      <c r="AC168" s="175">
        <f ca="1">SUM($D168:INDEX($D168:$AA168,1,MATCH(DATE(YEAR(inputs!$A$1),MONTH(inputs!$A$1),1),$D$1:$AA$1,0)))</f>
        <v>0</v>
      </c>
      <c r="AE168" s="175">
        <f t="shared" ca="1" si="32"/>
        <v>0</v>
      </c>
    </row>
    <row r="169" spans="1:31" outlineLevel="1" x14ac:dyDescent="0.25">
      <c r="A169" s="179" t="s">
        <v>584</v>
      </c>
      <c r="B169" s="179" t="s">
        <v>365</v>
      </c>
      <c r="C169" s="180" t="s">
        <v>514</v>
      </c>
      <c r="D169" s="181">
        <f ca="1">SUM(D$170:D$172)</f>
        <v>0</v>
      </c>
      <c r="E169" s="181">
        <f t="shared" ref="E169:AA169" ca="1" si="35">SUM(E$170:E$172)</f>
        <v>0</v>
      </c>
      <c r="F169" s="181">
        <f t="shared" ca="1" si="35"/>
        <v>0</v>
      </c>
      <c r="G169" s="181">
        <f t="shared" ca="1" si="35"/>
        <v>0</v>
      </c>
      <c r="H169" s="181">
        <f t="shared" ca="1" si="35"/>
        <v>0</v>
      </c>
      <c r="I169" s="181">
        <f t="shared" ca="1" si="35"/>
        <v>0</v>
      </c>
      <c r="J169" s="181">
        <f t="shared" ca="1" si="35"/>
        <v>0</v>
      </c>
      <c r="K169" s="181">
        <f t="shared" ca="1" si="35"/>
        <v>0</v>
      </c>
      <c r="L169" s="181">
        <f t="shared" ca="1" si="35"/>
        <v>0</v>
      </c>
      <c r="M169" s="181">
        <f t="shared" ca="1" si="35"/>
        <v>0</v>
      </c>
      <c r="N169" s="181">
        <f t="shared" ca="1" si="35"/>
        <v>0</v>
      </c>
      <c r="O169" s="181">
        <f t="shared" ca="1" si="35"/>
        <v>0</v>
      </c>
      <c r="P169" s="181">
        <f t="shared" ca="1" si="35"/>
        <v>0</v>
      </c>
      <c r="Q169" s="181">
        <f t="shared" ca="1" si="35"/>
        <v>0</v>
      </c>
      <c r="R169" s="181">
        <f t="shared" ca="1" si="35"/>
        <v>0</v>
      </c>
      <c r="S169" s="181">
        <f t="shared" ca="1" si="35"/>
        <v>0</v>
      </c>
      <c r="T169" s="181">
        <f t="shared" ca="1" si="35"/>
        <v>0</v>
      </c>
      <c r="U169" s="181">
        <f t="shared" ca="1" si="35"/>
        <v>0</v>
      </c>
      <c r="V169" s="181">
        <f t="shared" ca="1" si="35"/>
        <v>0</v>
      </c>
      <c r="W169" s="181">
        <f t="shared" ca="1" si="35"/>
        <v>0</v>
      </c>
      <c r="X169" s="181">
        <f t="shared" ca="1" si="35"/>
        <v>0</v>
      </c>
      <c r="Y169" s="181">
        <f t="shared" ca="1" si="35"/>
        <v>0</v>
      </c>
      <c r="Z169" s="181">
        <f t="shared" ca="1" si="35"/>
        <v>0</v>
      </c>
      <c r="AA169" s="181">
        <f t="shared" ca="1" si="35"/>
        <v>0</v>
      </c>
      <c r="AC169" s="275">
        <f ca="1">SUM($D169:INDEX($D169:$AA169,1,MATCH(DATE(YEAR(inputs!$A$1),MONTH(inputs!$A$1),1),$D$1:$AA$1,0)))</f>
        <v>0</v>
      </c>
      <c r="AE169" s="275">
        <f t="shared" ca="1" si="32"/>
        <v>0</v>
      </c>
    </row>
    <row r="170" spans="1:31" outlineLevel="2" x14ac:dyDescent="0.25">
      <c r="A170" s="182" t="s">
        <v>879</v>
      </c>
      <c r="B170" s="182" t="s">
        <v>574</v>
      </c>
      <c r="C170" s="135" t="s">
        <v>514</v>
      </c>
      <c r="D170" s="183">
        <f ca="1">-SUMIFS(
  desp.m.ik[valor],
  desp.m.ik[nucleo], $B170,
  desp.m.ik[centro.negocio], $B$169,
  desp.m.ik[mes], "&gt;="&amp;D$1,
  desp.m.ik[mes], "&lt;"&amp;EOMONTH(D$1,0)+1
)</f>
        <v>0</v>
      </c>
      <c r="E170" s="183">
        <f ca="1">-SUMIFS(
  desp.m.ik[valor],
  desp.m.ik[nucleo], $B170,
  desp.m.ik[centro.negocio], $B$169,
  desp.m.ik[mes], "&gt;="&amp;E$1,
  desp.m.ik[mes], "&lt;"&amp;EOMONTH(E$1,0)+1
)</f>
        <v>0</v>
      </c>
      <c r="F170" s="183">
        <f ca="1">-SUMIFS(
  desp.m.ik[valor],
  desp.m.ik[nucleo], $B170,
  desp.m.ik[centro.negocio], $B$169,
  desp.m.ik[mes], "&gt;="&amp;F$1,
  desp.m.ik[mes], "&lt;"&amp;EOMONTH(F$1,0)+1
)</f>
        <v>0</v>
      </c>
      <c r="G170" s="183">
        <f ca="1">-SUMIFS(
  desp.m.ik[valor],
  desp.m.ik[nucleo], $B170,
  desp.m.ik[centro.negocio], $B$169,
  desp.m.ik[mes], "&gt;="&amp;G$1,
  desp.m.ik[mes], "&lt;"&amp;EOMONTH(G$1,0)+1
)</f>
        <v>0</v>
      </c>
      <c r="H170" s="183">
        <f ca="1">-SUMIFS(
  desp.m.ik[valor],
  desp.m.ik[nucleo], $B170,
  desp.m.ik[centro.negocio], $B$169,
  desp.m.ik[mes], "&gt;="&amp;H$1,
  desp.m.ik[mes], "&lt;"&amp;EOMONTH(H$1,0)+1
)</f>
        <v>0</v>
      </c>
      <c r="I170" s="183">
        <f ca="1">-SUMIFS(
  desp.m.ik[valor],
  desp.m.ik[nucleo], $B170,
  desp.m.ik[centro.negocio], $B$169,
  desp.m.ik[mes], "&gt;="&amp;I$1,
  desp.m.ik[mes], "&lt;"&amp;EOMONTH(I$1,0)+1
)</f>
        <v>0</v>
      </c>
      <c r="J170" s="183">
        <f ca="1">-SUMIFS(
  desp.m.ik[valor],
  desp.m.ik[nucleo], $B170,
  desp.m.ik[centro.negocio], $B$169,
  desp.m.ik[mes], "&gt;="&amp;J$1,
  desp.m.ik[mes], "&lt;"&amp;EOMONTH(J$1,0)+1
)</f>
        <v>0</v>
      </c>
      <c r="K170" s="183">
        <f ca="1">-SUMIFS(
  desp.m.ik[valor],
  desp.m.ik[nucleo], $B170,
  desp.m.ik[centro.negocio], $B$169,
  desp.m.ik[mes], "&gt;="&amp;K$1,
  desp.m.ik[mes], "&lt;"&amp;EOMONTH(K$1,0)+1
)</f>
        <v>0</v>
      </c>
      <c r="L170" s="183">
        <f ca="1">-SUMIFS(
  desp.m.ik[valor],
  desp.m.ik[nucleo], $B170,
  desp.m.ik[centro.negocio], $B$169,
  desp.m.ik[mes], "&gt;="&amp;L$1,
  desp.m.ik[mes], "&lt;"&amp;EOMONTH(L$1,0)+1
)</f>
        <v>0</v>
      </c>
      <c r="M170" s="183">
        <f ca="1">-SUMIFS(
  desp.m.ik[valor],
  desp.m.ik[nucleo], $B170,
  desp.m.ik[centro.negocio], $B$169,
  desp.m.ik[mes], "&gt;="&amp;M$1,
  desp.m.ik[mes], "&lt;"&amp;EOMONTH(M$1,0)+1
)</f>
        <v>0</v>
      </c>
      <c r="N170" s="183">
        <f ca="1">-SUMIFS(
  desp.m.ik[valor],
  desp.m.ik[nucleo], $B170,
  desp.m.ik[centro.negocio], $B$169,
  desp.m.ik[mes], "&gt;="&amp;N$1,
  desp.m.ik[mes], "&lt;"&amp;EOMONTH(N$1,0)+1
)</f>
        <v>0</v>
      </c>
      <c r="O170" s="183">
        <f ca="1">-SUMIFS(
  desp.m.ik[valor],
  desp.m.ik[nucleo], $B170,
  desp.m.ik[centro.negocio], $B$169,
  desp.m.ik[mes], "&gt;="&amp;O$1,
  desp.m.ik[mes], "&lt;"&amp;EOMONTH(O$1,0)+1
)</f>
        <v>0</v>
      </c>
      <c r="P170" s="183">
        <f ca="1">-SUMIFS(
  desp.m.ik[valor],
  desp.m.ik[nucleo], $B170,
  desp.m.ik[centro.negocio], $B$169,
  desp.m.ik[mes], "&gt;="&amp;P$1,
  desp.m.ik[mes], "&lt;"&amp;EOMONTH(P$1,0)+1
)</f>
        <v>0</v>
      </c>
      <c r="Q170" s="183">
        <f ca="1">-SUMIFS(
  desp.m.ik[valor],
  desp.m.ik[nucleo], $B170,
  desp.m.ik[centro.negocio], $B$169,
  desp.m.ik[mes], "&gt;="&amp;Q$1,
  desp.m.ik[mes], "&lt;"&amp;EOMONTH(Q$1,0)+1
)</f>
        <v>0</v>
      </c>
      <c r="R170" s="183">
        <f ca="1">-SUMIFS(
  desp.m.ik[valor],
  desp.m.ik[nucleo], $B170,
  desp.m.ik[centro.negocio], $B$169,
  desp.m.ik[mes], "&gt;="&amp;R$1,
  desp.m.ik[mes], "&lt;"&amp;EOMONTH(R$1,0)+1
)</f>
        <v>0</v>
      </c>
      <c r="S170" s="183">
        <f ca="1">-SUMIFS(
  desp.m.ik[valor],
  desp.m.ik[nucleo], $B170,
  desp.m.ik[centro.negocio], $B$169,
  desp.m.ik[mes], "&gt;="&amp;S$1,
  desp.m.ik[mes], "&lt;"&amp;EOMONTH(S$1,0)+1
)</f>
        <v>0</v>
      </c>
      <c r="T170" s="183">
        <f ca="1">-SUMIFS(
  desp.m.ik[valor],
  desp.m.ik[nucleo], $B170,
  desp.m.ik[centro.negocio], $B$169,
  desp.m.ik[mes], "&gt;="&amp;T$1,
  desp.m.ik[mes], "&lt;"&amp;EOMONTH(T$1,0)+1
)</f>
        <v>0</v>
      </c>
      <c r="U170" s="183">
        <f ca="1">-SUMIFS(
  desp.m.ik[valor],
  desp.m.ik[nucleo], $B170,
  desp.m.ik[centro.negocio], $B$169,
  desp.m.ik[mes], "&gt;="&amp;U$1,
  desp.m.ik[mes], "&lt;"&amp;EOMONTH(U$1,0)+1
)</f>
        <v>0</v>
      </c>
      <c r="V170" s="183">
        <f ca="1">-SUMIFS(
  desp.m.ik[valor],
  desp.m.ik[nucleo], $B170,
  desp.m.ik[centro.negocio], $B$169,
  desp.m.ik[mes], "&gt;="&amp;V$1,
  desp.m.ik[mes], "&lt;"&amp;EOMONTH(V$1,0)+1
)</f>
        <v>0</v>
      </c>
      <c r="W170" s="183">
        <f ca="1">-SUMIFS(
  desp.m.ik[valor],
  desp.m.ik[nucleo], $B170,
  desp.m.ik[centro.negocio], $B$169,
  desp.m.ik[mes], "&gt;="&amp;W$1,
  desp.m.ik[mes], "&lt;"&amp;EOMONTH(W$1,0)+1
)</f>
        <v>0</v>
      </c>
      <c r="X170" s="183">
        <f ca="1">-SUMIFS(
  desp.m.ik[valor],
  desp.m.ik[nucleo], $B170,
  desp.m.ik[centro.negocio], $B$169,
  desp.m.ik[mes], "&gt;="&amp;X$1,
  desp.m.ik[mes], "&lt;"&amp;EOMONTH(X$1,0)+1
)</f>
        <v>0</v>
      </c>
      <c r="Y170" s="183">
        <f ca="1">-SUMIFS(
  desp.m.ik[valor],
  desp.m.ik[nucleo], $B170,
  desp.m.ik[centro.negocio], $B$169,
  desp.m.ik[mes], "&gt;="&amp;Y$1,
  desp.m.ik[mes], "&lt;"&amp;EOMONTH(Y$1,0)+1
)</f>
        <v>0</v>
      </c>
      <c r="Z170" s="183">
        <f ca="1">-SUMIFS(
  desp.m.ik[valor],
  desp.m.ik[nucleo], $B170,
  desp.m.ik[centro.negocio], $B$169,
  desp.m.ik[mes], "&gt;="&amp;Z$1,
  desp.m.ik[mes], "&lt;"&amp;EOMONTH(Z$1,0)+1
)</f>
        <v>0</v>
      </c>
      <c r="AA170" s="183">
        <f ca="1">-SUMIFS(
  desp.m.ik[valor],
  desp.m.ik[nucleo], $B170,
  desp.m.ik[centro.negocio], $B$169,
  desp.m.ik[mes], "&gt;="&amp;AA$1,
  desp.m.ik[mes], "&lt;"&amp;EOMONTH(AA$1,0)+1
)</f>
        <v>0</v>
      </c>
      <c r="AC170" s="175">
        <f ca="1">SUM($D170:INDEX($D170:$AA170,1,MATCH(DATE(YEAR(inputs!$A$1),MONTH(inputs!$A$1),1),$D$1:$AA$1,0)))</f>
        <v>0</v>
      </c>
      <c r="AE170" s="175">
        <f t="shared" ca="1" si="32"/>
        <v>0</v>
      </c>
    </row>
    <row r="171" spans="1:31" outlineLevel="2" x14ac:dyDescent="0.25">
      <c r="A171" s="182" t="s">
        <v>880</v>
      </c>
      <c r="B171" s="182" t="s">
        <v>573</v>
      </c>
      <c r="C171" s="135" t="s">
        <v>514</v>
      </c>
      <c r="D171" s="183">
        <f ca="1">-SUMIFS(
  desp.m.ik[valor],
  desp.m.ik[nucleo], $B171,
  desp.m.ik[centro.negocio], $B$169,
  desp.m.ik[mes], "&gt;="&amp;D$1,
  desp.m.ik[mes], "&lt;"&amp;EOMONTH(D$1,0)+1
)</f>
        <v>0</v>
      </c>
      <c r="E171" s="183">
        <f ca="1">-SUMIFS(
  desp.m.ik[valor],
  desp.m.ik[nucleo], $B171,
  desp.m.ik[centro.negocio], $B$169,
  desp.m.ik[mes], "&gt;="&amp;E$1,
  desp.m.ik[mes], "&lt;"&amp;EOMONTH(E$1,0)+1
)</f>
        <v>0</v>
      </c>
      <c r="F171" s="183">
        <f ca="1">-SUMIFS(
  desp.m.ik[valor],
  desp.m.ik[nucleo], $B171,
  desp.m.ik[centro.negocio], $B$169,
  desp.m.ik[mes], "&gt;="&amp;F$1,
  desp.m.ik[mes], "&lt;"&amp;EOMONTH(F$1,0)+1
)</f>
        <v>0</v>
      </c>
      <c r="G171" s="183">
        <f ca="1">-SUMIFS(
  desp.m.ik[valor],
  desp.m.ik[nucleo], $B171,
  desp.m.ik[centro.negocio], $B$169,
  desp.m.ik[mes], "&gt;="&amp;G$1,
  desp.m.ik[mes], "&lt;"&amp;EOMONTH(G$1,0)+1
)</f>
        <v>0</v>
      </c>
      <c r="H171" s="183">
        <f ca="1">-SUMIFS(
  desp.m.ik[valor],
  desp.m.ik[nucleo], $B171,
  desp.m.ik[centro.negocio], $B$169,
  desp.m.ik[mes], "&gt;="&amp;H$1,
  desp.m.ik[mes], "&lt;"&amp;EOMONTH(H$1,0)+1
)</f>
        <v>0</v>
      </c>
      <c r="I171" s="183">
        <f ca="1">-SUMIFS(
  desp.m.ik[valor],
  desp.m.ik[nucleo], $B171,
  desp.m.ik[centro.negocio], $B$169,
  desp.m.ik[mes], "&gt;="&amp;I$1,
  desp.m.ik[mes], "&lt;"&amp;EOMONTH(I$1,0)+1
)</f>
        <v>0</v>
      </c>
      <c r="J171" s="183">
        <f ca="1">-SUMIFS(
  desp.m.ik[valor],
  desp.m.ik[nucleo], $B171,
  desp.m.ik[centro.negocio], $B$169,
  desp.m.ik[mes], "&gt;="&amp;J$1,
  desp.m.ik[mes], "&lt;"&amp;EOMONTH(J$1,0)+1
)</f>
        <v>0</v>
      </c>
      <c r="K171" s="183">
        <f ca="1">-SUMIFS(
  desp.m.ik[valor],
  desp.m.ik[nucleo], $B171,
  desp.m.ik[centro.negocio], $B$169,
  desp.m.ik[mes], "&gt;="&amp;K$1,
  desp.m.ik[mes], "&lt;"&amp;EOMONTH(K$1,0)+1
)</f>
        <v>0</v>
      </c>
      <c r="L171" s="183">
        <f ca="1">-SUMIFS(
  desp.m.ik[valor],
  desp.m.ik[nucleo], $B171,
  desp.m.ik[centro.negocio], $B$169,
  desp.m.ik[mes], "&gt;="&amp;L$1,
  desp.m.ik[mes], "&lt;"&amp;EOMONTH(L$1,0)+1
)</f>
        <v>0</v>
      </c>
      <c r="M171" s="183">
        <f ca="1">-SUMIFS(
  desp.m.ik[valor],
  desp.m.ik[nucleo], $B171,
  desp.m.ik[centro.negocio], $B$169,
  desp.m.ik[mes], "&gt;="&amp;M$1,
  desp.m.ik[mes], "&lt;"&amp;EOMONTH(M$1,0)+1
)</f>
        <v>0</v>
      </c>
      <c r="N171" s="183">
        <f ca="1">-SUMIFS(
  desp.m.ik[valor],
  desp.m.ik[nucleo], $B171,
  desp.m.ik[centro.negocio], $B$169,
  desp.m.ik[mes], "&gt;="&amp;N$1,
  desp.m.ik[mes], "&lt;"&amp;EOMONTH(N$1,0)+1
)</f>
        <v>0</v>
      </c>
      <c r="O171" s="183">
        <f ca="1">-SUMIFS(
  desp.m.ik[valor],
  desp.m.ik[nucleo], $B171,
  desp.m.ik[centro.negocio], $B$169,
  desp.m.ik[mes], "&gt;="&amp;O$1,
  desp.m.ik[mes], "&lt;"&amp;EOMONTH(O$1,0)+1
)</f>
        <v>0</v>
      </c>
      <c r="P171" s="183">
        <f ca="1">-SUMIFS(
  desp.m.ik[valor],
  desp.m.ik[nucleo], $B171,
  desp.m.ik[centro.negocio], $B$169,
  desp.m.ik[mes], "&gt;="&amp;P$1,
  desp.m.ik[mes], "&lt;"&amp;EOMONTH(P$1,0)+1
)</f>
        <v>0</v>
      </c>
      <c r="Q171" s="183">
        <f ca="1">-SUMIFS(
  desp.m.ik[valor],
  desp.m.ik[nucleo], $B171,
  desp.m.ik[centro.negocio], $B$169,
  desp.m.ik[mes], "&gt;="&amp;Q$1,
  desp.m.ik[mes], "&lt;"&amp;EOMONTH(Q$1,0)+1
)</f>
        <v>0</v>
      </c>
      <c r="R171" s="183">
        <f ca="1">-SUMIFS(
  desp.m.ik[valor],
  desp.m.ik[nucleo], $B171,
  desp.m.ik[centro.negocio], $B$169,
  desp.m.ik[mes], "&gt;="&amp;R$1,
  desp.m.ik[mes], "&lt;"&amp;EOMONTH(R$1,0)+1
)</f>
        <v>0</v>
      </c>
      <c r="S171" s="183">
        <f ca="1">-SUMIFS(
  desp.m.ik[valor],
  desp.m.ik[nucleo], $B171,
  desp.m.ik[centro.negocio], $B$169,
  desp.m.ik[mes], "&gt;="&amp;S$1,
  desp.m.ik[mes], "&lt;"&amp;EOMONTH(S$1,0)+1
)</f>
        <v>0</v>
      </c>
      <c r="T171" s="183">
        <f ca="1">-SUMIFS(
  desp.m.ik[valor],
  desp.m.ik[nucleo], $B171,
  desp.m.ik[centro.negocio], $B$169,
  desp.m.ik[mes], "&gt;="&amp;T$1,
  desp.m.ik[mes], "&lt;"&amp;EOMONTH(T$1,0)+1
)</f>
        <v>0</v>
      </c>
      <c r="U171" s="183">
        <f ca="1">-SUMIFS(
  desp.m.ik[valor],
  desp.m.ik[nucleo], $B171,
  desp.m.ik[centro.negocio], $B$169,
  desp.m.ik[mes], "&gt;="&amp;U$1,
  desp.m.ik[mes], "&lt;"&amp;EOMONTH(U$1,0)+1
)</f>
        <v>0</v>
      </c>
      <c r="V171" s="183">
        <f ca="1">-SUMIFS(
  desp.m.ik[valor],
  desp.m.ik[nucleo], $B171,
  desp.m.ik[centro.negocio], $B$169,
  desp.m.ik[mes], "&gt;="&amp;V$1,
  desp.m.ik[mes], "&lt;"&amp;EOMONTH(V$1,0)+1
)</f>
        <v>0</v>
      </c>
      <c r="W171" s="183">
        <f ca="1">-SUMIFS(
  desp.m.ik[valor],
  desp.m.ik[nucleo], $B171,
  desp.m.ik[centro.negocio], $B$169,
  desp.m.ik[mes], "&gt;="&amp;W$1,
  desp.m.ik[mes], "&lt;"&amp;EOMONTH(W$1,0)+1
)</f>
        <v>0</v>
      </c>
      <c r="X171" s="183">
        <f ca="1">-SUMIFS(
  desp.m.ik[valor],
  desp.m.ik[nucleo], $B171,
  desp.m.ik[centro.negocio], $B$169,
  desp.m.ik[mes], "&gt;="&amp;X$1,
  desp.m.ik[mes], "&lt;"&amp;EOMONTH(X$1,0)+1
)</f>
        <v>0</v>
      </c>
      <c r="Y171" s="183">
        <f ca="1">-SUMIFS(
  desp.m.ik[valor],
  desp.m.ik[nucleo], $B171,
  desp.m.ik[centro.negocio], $B$169,
  desp.m.ik[mes], "&gt;="&amp;Y$1,
  desp.m.ik[mes], "&lt;"&amp;EOMONTH(Y$1,0)+1
)</f>
        <v>0</v>
      </c>
      <c r="Z171" s="183">
        <f ca="1">-SUMIFS(
  desp.m.ik[valor],
  desp.m.ik[nucleo], $B171,
  desp.m.ik[centro.negocio], $B$169,
  desp.m.ik[mes], "&gt;="&amp;Z$1,
  desp.m.ik[mes], "&lt;"&amp;EOMONTH(Z$1,0)+1
)</f>
        <v>0</v>
      </c>
      <c r="AA171" s="183">
        <f ca="1">-SUMIFS(
  desp.m.ik[valor],
  desp.m.ik[nucleo], $B171,
  desp.m.ik[centro.negocio], $B$169,
  desp.m.ik[mes], "&gt;="&amp;AA$1,
  desp.m.ik[mes], "&lt;"&amp;EOMONTH(AA$1,0)+1
)</f>
        <v>0</v>
      </c>
      <c r="AC171" s="175">
        <f ca="1">SUM($D171:INDEX($D171:$AA171,1,MATCH(DATE(YEAR(inputs!$A$1),MONTH(inputs!$A$1),1),$D$1:$AA$1,0)))</f>
        <v>0</v>
      </c>
      <c r="AE171" s="175">
        <f t="shared" ca="1" si="32"/>
        <v>0</v>
      </c>
    </row>
    <row r="172" spans="1:31" outlineLevel="2" x14ac:dyDescent="0.25">
      <c r="A172" s="182" t="s">
        <v>879</v>
      </c>
      <c r="B172" s="182" t="s">
        <v>571</v>
      </c>
      <c r="C172" s="135" t="s">
        <v>514</v>
      </c>
      <c r="D172" s="183">
        <f ca="1">-SUMIFS(
  desp.m.ik[valor],
  desp.m.ik[nucleo], $B172,
  desp.m.ik[centro.negocio], $B$169,
  desp.m.ik[mes], "&gt;="&amp;D$1,
  desp.m.ik[mes], "&lt;"&amp;EOMONTH(D$1,0)+1
)</f>
        <v>0</v>
      </c>
      <c r="E172" s="183">
        <f ca="1">-SUMIFS(
  desp.m.ik[valor],
  desp.m.ik[nucleo], $B172,
  desp.m.ik[centro.negocio], $B$169,
  desp.m.ik[mes], "&gt;="&amp;E$1,
  desp.m.ik[mes], "&lt;"&amp;EOMONTH(E$1,0)+1
)</f>
        <v>0</v>
      </c>
      <c r="F172" s="183">
        <f ca="1">-SUMIFS(
  desp.m.ik[valor],
  desp.m.ik[nucleo], $B172,
  desp.m.ik[centro.negocio], $B$169,
  desp.m.ik[mes], "&gt;="&amp;F$1,
  desp.m.ik[mes], "&lt;"&amp;EOMONTH(F$1,0)+1
)</f>
        <v>0</v>
      </c>
      <c r="G172" s="183">
        <f ca="1">-SUMIFS(
  desp.m.ik[valor],
  desp.m.ik[nucleo], $B172,
  desp.m.ik[centro.negocio], $B$169,
  desp.m.ik[mes], "&gt;="&amp;G$1,
  desp.m.ik[mes], "&lt;"&amp;EOMONTH(G$1,0)+1
)</f>
        <v>0</v>
      </c>
      <c r="H172" s="183">
        <f ca="1">-SUMIFS(
  desp.m.ik[valor],
  desp.m.ik[nucleo], $B172,
  desp.m.ik[centro.negocio], $B$169,
  desp.m.ik[mes], "&gt;="&amp;H$1,
  desp.m.ik[mes], "&lt;"&amp;EOMONTH(H$1,0)+1
)</f>
        <v>0</v>
      </c>
      <c r="I172" s="183">
        <f ca="1">-SUMIFS(
  desp.m.ik[valor],
  desp.m.ik[nucleo], $B172,
  desp.m.ik[centro.negocio], $B$169,
  desp.m.ik[mes], "&gt;="&amp;I$1,
  desp.m.ik[mes], "&lt;"&amp;EOMONTH(I$1,0)+1
)</f>
        <v>0</v>
      </c>
      <c r="J172" s="183">
        <f ca="1">-SUMIFS(
  desp.m.ik[valor],
  desp.m.ik[nucleo], $B172,
  desp.m.ik[centro.negocio], $B$169,
  desp.m.ik[mes], "&gt;="&amp;J$1,
  desp.m.ik[mes], "&lt;"&amp;EOMONTH(J$1,0)+1
)</f>
        <v>0</v>
      </c>
      <c r="K172" s="183">
        <f ca="1">-SUMIFS(
  desp.m.ik[valor],
  desp.m.ik[nucleo], $B172,
  desp.m.ik[centro.negocio], $B$169,
  desp.m.ik[mes], "&gt;="&amp;K$1,
  desp.m.ik[mes], "&lt;"&amp;EOMONTH(K$1,0)+1
)</f>
        <v>0</v>
      </c>
      <c r="L172" s="183">
        <f ca="1">-SUMIFS(
  desp.m.ik[valor],
  desp.m.ik[nucleo], $B172,
  desp.m.ik[centro.negocio], $B$169,
  desp.m.ik[mes], "&gt;="&amp;L$1,
  desp.m.ik[mes], "&lt;"&amp;EOMONTH(L$1,0)+1
)</f>
        <v>0</v>
      </c>
      <c r="M172" s="183">
        <f ca="1">-SUMIFS(
  desp.m.ik[valor],
  desp.m.ik[nucleo], $B172,
  desp.m.ik[centro.negocio], $B$169,
  desp.m.ik[mes], "&gt;="&amp;M$1,
  desp.m.ik[mes], "&lt;"&amp;EOMONTH(M$1,0)+1
)</f>
        <v>0</v>
      </c>
      <c r="N172" s="183">
        <f ca="1">-SUMIFS(
  desp.m.ik[valor],
  desp.m.ik[nucleo], $B172,
  desp.m.ik[centro.negocio], $B$169,
  desp.m.ik[mes], "&gt;="&amp;N$1,
  desp.m.ik[mes], "&lt;"&amp;EOMONTH(N$1,0)+1
)</f>
        <v>0</v>
      </c>
      <c r="O172" s="183">
        <f ca="1">-SUMIFS(
  desp.m.ik[valor],
  desp.m.ik[nucleo], $B172,
  desp.m.ik[centro.negocio], $B$169,
  desp.m.ik[mes], "&gt;="&amp;O$1,
  desp.m.ik[mes], "&lt;"&amp;EOMONTH(O$1,0)+1
)</f>
        <v>0</v>
      </c>
      <c r="P172" s="183">
        <f ca="1">-SUMIFS(
  desp.m.ik[valor],
  desp.m.ik[nucleo], $B172,
  desp.m.ik[centro.negocio], $B$169,
  desp.m.ik[mes], "&gt;="&amp;P$1,
  desp.m.ik[mes], "&lt;"&amp;EOMONTH(P$1,0)+1
)</f>
        <v>0</v>
      </c>
      <c r="Q172" s="183">
        <f ca="1">-SUMIFS(
  desp.m.ik[valor],
  desp.m.ik[nucleo], $B172,
  desp.m.ik[centro.negocio], $B$169,
  desp.m.ik[mes], "&gt;="&amp;Q$1,
  desp.m.ik[mes], "&lt;"&amp;EOMONTH(Q$1,0)+1
)</f>
        <v>0</v>
      </c>
      <c r="R172" s="183">
        <f ca="1">-SUMIFS(
  desp.m.ik[valor],
  desp.m.ik[nucleo], $B172,
  desp.m.ik[centro.negocio], $B$169,
  desp.m.ik[mes], "&gt;="&amp;R$1,
  desp.m.ik[mes], "&lt;"&amp;EOMONTH(R$1,0)+1
)</f>
        <v>0</v>
      </c>
      <c r="S172" s="183">
        <f ca="1">-SUMIFS(
  desp.m.ik[valor],
  desp.m.ik[nucleo], $B172,
  desp.m.ik[centro.negocio], $B$169,
  desp.m.ik[mes], "&gt;="&amp;S$1,
  desp.m.ik[mes], "&lt;"&amp;EOMONTH(S$1,0)+1
)</f>
        <v>0</v>
      </c>
      <c r="T172" s="183">
        <f ca="1">-SUMIFS(
  desp.m.ik[valor],
  desp.m.ik[nucleo], $B172,
  desp.m.ik[centro.negocio], $B$169,
  desp.m.ik[mes], "&gt;="&amp;T$1,
  desp.m.ik[mes], "&lt;"&amp;EOMONTH(T$1,0)+1
)</f>
        <v>0</v>
      </c>
      <c r="U172" s="183">
        <f ca="1">-SUMIFS(
  desp.m.ik[valor],
  desp.m.ik[nucleo], $B172,
  desp.m.ik[centro.negocio], $B$169,
  desp.m.ik[mes], "&gt;="&amp;U$1,
  desp.m.ik[mes], "&lt;"&amp;EOMONTH(U$1,0)+1
)</f>
        <v>0</v>
      </c>
      <c r="V172" s="183">
        <f ca="1">-SUMIFS(
  desp.m.ik[valor],
  desp.m.ik[nucleo], $B172,
  desp.m.ik[centro.negocio], $B$169,
  desp.m.ik[mes], "&gt;="&amp;V$1,
  desp.m.ik[mes], "&lt;"&amp;EOMONTH(V$1,0)+1
)</f>
        <v>0</v>
      </c>
      <c r="W172" s="183">
        <f ca="1">-SUMIFS(
  desp.m.ik[valor],
  desp.m.ik[nucleo], $B172,
  desp.m.ik[centro.negocio], $B$169,
  desp.m.ik[mes], "&gt;="&amp;W$1,
  desp.m.ik[mes], "&lt;"&amp;EOMONTH(W$1,0)+1
)</f>
        <v>0</v>
      </c>
      <c r="X172" s="183">
        <f ca="1">-SUMIFS(
  desp.m.ik[valor],
  desp.m.ik[nucleo], $B172,
  desp.m.ik[centro.negocio], $B$169,
  desp.m.ik[mes], "&gt;="&amp;X$1,
  desp.m.ik[mes], "&lt;"&amp;EOMONTH(X$1,0)+1
)</f>
        <v>0</v>
      </c>
      <c r="Y172" s="183">
        <f ca="1">-SUMIFS(
  desp.m.ik[valor],
  desp.m.ik[nucleo], $B172,
  desp.m.ik[centro.negocio], $B$169,
  desp.m.ik[mes], "&gt;="&amp;Y$1,
  desp.m.ik[mes], "&lt;"&amp;EOMONTH(Y$1,0)+1
)</f>
        <v>0</v>
      </c>
      <c r="Z172" s="183">
        <f ca="1">-SUMIFS(
  desp.m.ik[valor],
  desp.m.ik[nucleo], $B172,
  desp.m.ik[centro.negocio], $B$169,
  desp.m.ik[mes], "&gt;="&amp;Z$1,
  desp.m.ik[mes], "&lt;"&amp;EOMONTH(Z$1,0)+1
)</f>
        <v>0</v>
      </c>
      <c r="AA172" s="183">
        <f ca="1">-SUMIFS(
  desp.m.ik[valor],
  desp.m.ik[nucleo], $B172,
  desp.m.ik[centro.negocio], $B$169,
  desp.m.ik[mes], "&gt;="&amp;AA$1,
  desp.m.ik[mes], "&lt;"&amp;EOMONTH(AA$1,0)+1
)</f>
        <v>0</v>
      </c>
      <c r="AC172" s="175">
        <f ca="1">SUM($D172:INDEX($D172:$AA172,1,MATCH(DATE(YEAR(inputs!$A$1),MONTH(inputs!$A$1),1),$D$1:$AA$1,0)))</f>
        <v>0</v>
      </c>
      <c r="AE172" s="175">
        <f t="shared" ca="1" si="32"/>
        <v>0</v>
      </c>
    </row>
    <row r="173" spans="1:31" outlineLevel="1" x14ac:dyDescent="0.25">
      <c r="A173" s="179" t="s">
        <v>940</v>
      </c>
      <c r="B173" s="179" t="s">
        <v>691</v>
      </c>
      <c r="C173" s="180" t="s">
        <v>514</v>
      </c>
      <c r="D173" s="181" cm="1">
        <f t="array" aca="1" ref="D173" ca="1">-SUMPRODUCT(
  desp.m.ik[valor] *
  (desp.m.ik[mes] &gt;= D$1) *
  (desp.m.ik[mes] &lt; EOMONTH(D$1,0)+1) *
  --ISNA(MATCH(desp.m.ik[centro.negocio], {"NF - Mão de Obra";"Operações Financeiras/juros";"Operações Financeiras - Geral";"Operações Financeira";"Terreno"}, 0))
)
-SUM(D$34,D$53,D$69,D$79,D$88,D$83,D$90,D$106,D$129,D$156,D$167,D$169,D$119)
-D$254</f>
        <v>0</v>
      </c>
      <c r="E173" s="181" cm="1">
        <f t="array" aca="1" ref="E173" ca="1">-SUMPRODUCT(
  desp.m.ik[valor] *
  (desp.m.ik[mes] &gt;= E$1) *
  (desp.m.ik[mes] &lt; EOMONTH(E$1,0)+1) *
  --ISNA(MATCH(desp.m.ik[centro.negocio], {"NF - Mão de Obra";"Operações Financeiras/juros";"Operações Financeiras - Geral";"Operações Financeira";"Terreno"}, 0))
)
-SUM(E$34,E$53,E$69,E$79,E$88,E$83,E$90,E$106,E$129,E$156,E$167,E$169,E$119)
-E$254</f>
        <v>0</v>
      </c>
      <c r="F173" s="181" cm="1">
        <f t="array" aca="1" ref="F173" ca="1">-SUMPRODUCT(
  desp.m.ik[valor] *
  (desp.m.ik[mes] &gt;= F$1) *
  (desp.m.ik[mes] &lt; EOMONTH(F$1,0)+1) *
  --ISNA(MATCH(desp.m.ik[centro.negocio], {"NF - Mão de Obra";"Operações Financeiras/juros";"Operações Financeiras - Geral";"Operações Financeira";"Terreno"}, 0))
)
-SUM(F$34,F$53,F$69,F$79,F$88,F$83,F$90,F$106,F$129,F$156,F$167,F$169,F$119)
-F$254</f>
        <v>0</v>
      </c>
      <c r="G173" s="181" cm="1">
        <f t="array" aca="1" ref="G173" ca="1">-SUMPRODUCT(
  desp.m.ik[valor] *
  (desp.m.ik[mes] &gt;= G$1) *
  (desp.m.ik[mes] &lt; EOMONTH(G$1,0)+1) *
  --ISNA(MATCH(desp.m.ik[centro.negocio], {"NF - Mão de Obra";"Operações Financeiras/juros";"Operações Financeiras - Geral";"Operações Financeira";"Terreno"}, 0))
)
-SUM(G$34,G$53,G$69,G$79,G$88,G$83,G$90,G$106,G$129,G$156,G$167,G$169,G$119)
-G$254</f>
        <v>0</v>
      </c>
      <c r="H173" s="181" cm="1">
        <f t="array" aca="1" ref="H173" ca="1">-SUMPRODUCT(
  desp.m.ik[valor] *
  (desp.m.ik[mes] &gt;= H$1) *
  (desp.m.ik[mes] &lt; EOMONTH(H$1,0)+1) *
  --ISNA(MATCH(desp.m.ik[centro.negocio], {"NF - Mão de Obra";"Operações Financeiras/juros";"Operações Financeiras - Geral";"Operações Financeira";"Terreno"}, 0))
)
-SUM(H$34,H$53,H$69,H$79,H$88,H$83,H$90,H$106,H$129,H$156,H$167,H$169,H$119)
-H$254</f>
        <v>0</v>
      </c>
      <c r="I173" s="181" cm="1">
        <f t="array" aca="1" ref="I173" ca="1">-SUMPRODUCT(
  desp.m.ik[valor] *
  (desp.m.ik[mes] &gt;= I$1) *
  (desp.m.ik[mes] &lt; EOMONTH(I$1,0)+1) *
  --ISNA(MATCH(desp.m.ik[centro.negocio], {"NF - Mão de Obra";"Operações Financeiras/juros";"Operações Financeiras - Geral";"Operações Financeira";"Terreno"}, 0))
)
-SUM(I$34,I$53,I$69,I$79,I$88,I$83,I$90,I$106,I$129,I$156,I$167,I$169,I$119)
-I$254</f>
        <v>0</v>
      </c>
      <c r="J173" s="181" cm="1">
        <f t="array" aca="1" ref="J173" ca="1">-SUMPRODUCT(
  desp.m.ik[valor] *
  (desp.m.ik[mes] &gt;= J$1) *
  (desp.m.ik[mes] &lt; EOMONTH(J$1,0)+1) *
  --ISNA(MATCH(desp.m.ik[centro.negocio], {"NF - Mão de Obra";"Operações Financeiras/juros";"Operações Financeiras - Geral";"Operações Financeira";"Terreno"}, 0))
)
-SUM(J$34,J$53,J$69,J$79,J$88,J$83,J$90,J$106,J$129,J$156,J$167,J$169,J$119)
-J$254</f>
        <v>0</v>
      </c>
      <c r="K173" s="181" cm="1">
        <f t="array" aca="1" ref="K173" ca="1">-SUMPRODUCT(
  desp.m.ik[valor] *
  (desp.m.ik[mes] &gt;= K$1) *
  (desp.m.ik[mes] &lt; EOMONTH(K$1,0)+1) *
  --ISNA(MATCH(desp.m.ik[centro.negocio], {"NF - Mão de Obra";"Operações Financeiras/juros";"Operações Financeiras - Geral";"Operações Financeira";"Terreno"}, 0))
)
-SUM(K$34,K$53,K$69,K$79,K$88,K$83,K$90,K$106,K$129,K$156,K$167,K$169,K$119)
-K$254</f>
        <v>0</v>
      </c>
      <c r="L173" s="181" cm="1">
        <f t="array" aca="1" ref="L173" ca="1">-SUMPRODUCT(
  desp.m.ik[valor] *
  (desp.m.ik[mes] &gt;= L$1) *
  (desp.m.ik[mes] &lt; EOMONTH(L$1,0)+1) *
  --ISNA(MATCH(desp.m.ik[centro.negocio], {"NF - Mão de Obra";"Operações Financeiras/juros";"Operações Financeiras - Geral";"Operações Financeira";"Terreno"}, 0))
)
-SUM(L$34,L$53,L$69,L$79,L$88,L$83,L$90,L$106,L$129,L$156,L$167,L$169,L$119)
-L$254</f>
        <v>0</v>
      </c>
      <c r="M173" s="181" cm="1">
        <f t="array" aca="1" ref="M173" ca="1">-SUMPRODUCT(
  desp.m.ik[valor] *
  (desp.m.ik[mes] &gt;= M$1) *
  (desp.m.ik[mes] &lt; EOMONTH(M$1,0)+1) *
  --ISNA(MATCH(desp.m.ik[centro.negocio], {"NF - Mão de Obra";"Operações Financeiras/juros";"Operações Financeiras - Geral";"Operações Financeira";"Terreno"}, 0))
)
-SUM(M$34,M$53,M$69,M$79,M$88,M$83,M$90,M$106,M$129,M$156,M$167,M$169,M$119)
-M$254</f>
        <v>0</v>
      </c>
      <c r="N173" s="181" cm="1">
        <f t="array" aca="1" ref="N173" ca="1">-SUMPRODUCT(
  desp.m.ik[valor] *
  (desp.m.ik[mes] &gt;= N$1) *
  (desp.m.ik[mes] &lt; EOMONTH(N$1,0)+1) *
  --ISNA(MATCH(desp.m.ik[centro.negocio], {"NF - Mão de Obra";"Operações Financeiras/juros";"Operações Financeiras - Geral";"Operações Financeira";"Terreno"}, 0))
)
-SUM(N$34,N$53,N$69,N$79,N$88,N$83,N$90,N$106,N$129,N$156,N$167,N$169,N$119)
-N$254</f>
        <v>0</v>
      </c>
      <c r="O173" s="181" cm="1">
        <f t="array" aca="1" ref="O173" ca="1">-SUMPRODUCT(
  desp.m.ik[valor] *
  (desp.m.ik[mes] &gt;= O$1) *
  (desp.m.ik[mes] &lt; EOMONTH(O$1,0)+1) *
  --ISNA(MATCH(desp.m.ik[centro.negocio], {"NF - Mão de Obra";"Operações Financeiras/juros";"Operações Financeiras - Geral";"Operações Financeira";"Terreno"}, 0))
)
-SUM(O$34,O$53,O$69,O$79,O$88,O$83,O$90,O$106,O$129,O$156,O$167,O$169,O$119)
-O$254</f>
        <v>0</v>
      </c>
      <c r="P173" s="181" cm="1">
        <f t="array" aca="1" ref="P173" ca="1">-SUMPRODUCT(
  desp.m.ik[valor] *
  (desp.m.ik[mes] &gt;= P$1) *
  (desp.m.ik[mes] &lt; EOMONTH(P$1,0)+1) *
  --ISNA(MATCH(desp.m.ik[centro.negocio], {"NF - Mão de Obra";"Operações Financeiras/juros";"Operações Financeiras - Geral";"Operações Financeira";"Terreno"}, 0))
)
-SUM(P$34,P$53,P$69,P$79,P$88,P$83,P$90,P$106,P$129,P$156,P$167,P$169,P$119)
-P$254</f>
        <v>0</v>
      </c>
      <c r="Q173" s="181" cm="1">
        <f t="array" aca="1" ref="Q173" ca="1">-SUMPRODUCT(
  desp.m.ik[valor] *
  (desp.m.ik[mes] &gt;= Q$1) *
  (desp.m.ik[mes] &lt; EOMONTH(Q$1,0)+1) *
  --ISNA(MATCH(desp.m.ik[centro.negocio], {"NF - Mão de Obra";"Operações Financeiras/juros";"Operações Financeiras - Geral";"Operações Financeira";"Terreno"}, 0))
)
-SUM(Q$34,Q$53,Q$69,Q$79,Q$88,Q$83,Q$90,Q$106,Q$129,Q$156,Q$167,Q$169,Q$119)
-Q$254</f>
        <v>0</v>
      </c>
      <c r="R173" s="181" cm="1">
        <f t="array" aca="1" ref="R173" ca="1">-SUMPRODUCT(
  desp.m.ik[valor] *
  (desp.m.ik[mes] &gt;= R$1) *
  (desp.m.ik[mes] &lt; EOMONTH(R$1,0)+1) *
  --ISNA(MATCH(desp.m.ik[centro.negocio], {"NF - Mão de Obra";"Operações Financeiras/juros";"Operações Financeiras - Geral";"Operações Financeira";"Terreno"}, 0))
)
-SUM(R$34,R$53,R$69,R$79,R$88,R$83,R$90,R$106,R$129,R$156,R$167,R$169,R$119)
-R$254</f>
        <v>0</v>
      </c>
      <c r="S173" s="181" cm="1">
        <f t="array" aca="1" ref="S173" ca="1">-SUMPRODUCT(
  desp.m.ik[valor] *
  (desp.m.ik[mes] &gt;= S$1) *
  (desp.m.ik[mes] &lt; EOMONTH(S$1,0)+1) *
  --ISNA(MATCH(desp.m.ik[centro.negocio], {"NF - Mão de Obra";"Operações Financeiras/juros";"Operações Financeiras - Geral";"Operações Financeira";"Terreno"}, 0))
)
-SUM(S$34,S$53,S$69,S$79,S$88,S$83,S$90,S$106,S$129,S$156,S$167,S$169,S$119)
-S$254</f>
        <v>0</v>
      </c>
      <c r="T173" s="181" cm="1">
        <f t="array" aca="1" ref="T173" ca="1">-SUMPRODUCT(
  desp.m.ik[valor] *
  (desp.m.ik[mes] &gt;= T$1) *
  (desp.m.ik[mes] &lt; EOMONTH(T$1,0)+1) *
  --ISNA(MATCH(desp.m.ik[centro.negocio], {"NF - Mão de Obra";"Operações Financeiras/juros";"Operações Financeiras - Geral";"Operações Financeira";"Terreno"}, 0))
)
-SUM(T$34,T$53,T$69,T$79,T$88,T$83,T$90,T$106,T$129,T$156,T$167,T$169,T$119)
-T$254</f>
        <v>0</v>
      </c>
      <c r="U173" s="181" cm="1">
        <f t="array" aca="1" ref="U173" ca="1">-SUMPRODUCT(
  desp.m.ik[valor] *
  (desp.m.ik[mes] &gt;= U$1) *
  (desp.m.ik[mes] &lt; EOMONTH(U$1,0)+1) *
  --ISNA(MATCH(desp.m.ik[centro.negocio], {"NF - Mão de Obra";"Operações Financeiras/juros";"Operações Financeiras - Geral";"Operações Financeira";"Terreno"}, 0))
)
-SUM(U$34,U$53,U$69,U$79,U$88,U$83,U$90,U$106,U$129,U$156,U$167,U$169,U$119)
-U$254</f>
        <v>0</v>
      </c>
      <c r="V173" s="181" cm="1">
        <f t="array" aca="1" ref="V173" ca="1">-SUMPRODUCT(
  desp.m.ik[valor] *
  (desp.m.ik[mes] &gt;= V$1) *
  (desp.m.ik[mes] &lt; EOMONTH(V$1,0)+1) *
  --ISNA(MATCH(desp.m.ik[centro.negocio], {"NF - Mão de Obra";"Operações Financeiras/juros";"Operações Financeiras - Geral";"Operações Financeira";"Terreno"}, 0))
)
-SUM(V$34,V$53,V$69,V$79,V$88,V$83,V$90,V$106,V$129,V$156,V$167,V$169,V$119)
-V$254</f>
        <v>0</v>
      </c>
      <c r="W173" s="181" cm="1">
        <f t="array" aca="1" ref="W173" ca="1">-SUMPRODUCT(
  desp.m.ik[valor] *
  (desp.m.ik[mes] &gt;= W$1) *
  (desp.m.ik[mes] &lt; EOMONTH(W$1,0)+1) *
  --ISNA(MATCH(desp.m.ik[centro.negocio], {"NF - Mão de Obra";"Operações Financeiras/juros";"Operações Financeiras - Geral";"Operações Financeira";"Terreno"}, 0))
)
-SUM(W$34,W$53,W$69,W$79,W$88,W$83,W$90,W$106,W$129,W$156,W$167,W$169,W$119)
-W$254</f>
        <v>0</v>
      </c>
      <c r="X173" s="181" cm="1">
        <f t="array" aca="1" ref="X173" ca="1">-SUMPRODUCT(
  desp.m.ik[valor] *
  (desp.m.ik[mes] &gt;= X$1) *
  (desp.m.ik[mes] &lt; EOMONTH(X$1,0)+1) *
  --ISNA(MATCH(desp.m.ik[centro.negocio], {"NF - Mão de Obra";"Operações Financeiras/juros";"Operações Financeiras - Geral";"Operações Financeira";"Terreno"}, 0))
)
-SUM(X$34,X$53,X$69,X$79,X$88,X$83,X$90,X$106,X$129,X$156,X$167,X$169,X$119)
-X$254</f>
        <v>0</v>
      </c>
      <c r="Y173" s="181" cm="1">
        <f t="array" aca="1" ref="Y173" ca="1">-SUMPRODUCT(
  desp.m.ik[valor] *
  (desp.m.ik[mes] &gt;= Y$1) *
  (desp.m.ik[mes] &lt; EOMONTH(Y$1,0)+1) *
  --ISNA(MATCH(desp.m.ik[centro.negocio], {"NF - Mão de Obra";"Operações Financeiras/juros";"Operações Financeiras - Geral";"Operações Financeira";"Terreno"}, 0))
)
-SUM(Y$34,Y$53,Y$69,Y$79,Y$88,Y$83,Y$90,Y$106,Y$129,Y$156,Y$167,Y$169,Y$119)
-Y$254</f>
        <v>0</v>
      </c>
      <c r="Z173" s="181" cm="1">
        <f t="array" aca="1" ref="Z173" ca="1">-SUMPRODUCT(
  desp.m.ik[valor] *
  (desp.m.ik[mes] &gt;= Z$1) *
  (desp.m.ik[mes] &lt; EOMONTH(Z$1,0)+1) *
  --ISNA(MATCH(desp.m.ik[centro.negocio], {"NF - Mão de Obra";"Operações Financeiras/juros";"Operações Financeiras - Geral";"Operações Financeira";"Terreno"}, 0))
)
-SUM(Z$34,Z$53,Z$69,Z$79,Z$88,Z$83,Z$90,Z$106,Z$129,Z$156,Z$167,Z$169,Z$119)
-Z$254</f>
        <v>0</v>
      </c>
      <c r="AA173" s="181" cm="1">
        <f t="array" aca="1" ref="AA173" ca="1">-SUMPRODUCT(
  desp.m.ik[valor] *
  (desp.m.ik[mes] &gt;= AA$1) *
  (desp.m.ik[mes] &lt; EOMONTH(AA$1,0)+1) *
  --ISNA(MATCH(desp.m.ik[centro.negocio], {"NF - Mão de Obra";"Operações Financeiras/juros";"Operações Financeiras - Geral";"Operações Financeira";"Terreno"}, 0))
)
-SUM(AA$34,AA$53,AA$69,AA$79,AA$88,AA$83,AA$90,AA$106,AA$129,AA$156,AA$167,AA$169,AA$119)
-AA$254</f>
        <v>0</v>
      </c>
      <c r="AC173" s="275">
        <f ca="1">SUM($D173:INDEX($D173:$AA173,1,MATCH(DATE(YEAR(inputs!$A$1),MONTH(inputs!$A$1),1),$D$1:$AA$1,0)))</f>
        <v>0</v>
      </c>
      <c r="AE173" s="275">
        <f t="shared" ca="1" si="32"/>
        <v>0</v>
      </c>
    </row>
    <row r="174" spans="1:31" x14ac:dyDescent="0.25">
      <c r="A174" s="172" t="s">
        <v>586</v>
      </c>
      <c r="B174" s="172" t="s">
        <v>587</v>
      </c>
      <c r="C174" s="173"/>
      <c r="D174" s="188">
        <f t="shared" ref="D174:AA174" ca="1" si="36">D$175+D$178</f>
        <v>0</v>
      </c>
      <c r="E174" s="188">
        <f t="shared" ca="1" si="36"/>
        <v>0</v>
      </c>
      <c r="F174" s="188">
        <f t="shared" ca="1" si="36"/>
        <v>0</v>
      </c>
      <c r="G174" s="188">
        <f t="shared" ca="1" si="36"/>
        <v>0</v>
      </c>
      <c r="H174" s="188">
        <f t="shared" ca="1" si="36"/>
        <v>0</v>
      </c>
      <c r="I174" s="188">
        <f t="shared" ca="1" si="36"/>
        <v>0</v>
      </c>
      <c r="J174" s="188">
        <f t="shared" ca="1" si="36"/>
        <v>0</v>
      </c>
      <c r="K174" s="188">
        <f t="shared" ca="1" si="36"/>
        <v>0</v>
      </c>
      <c r="L174" s="188">
        <f t="shared" ca="1" si="36"/>
        <v>0</v>
      </c>
      <c r="M174" s="188">
        <f t="shared" ca="1" si="36"/>
        <v>0</v>
      </c>
      <c r="N174" s="188">
        <f t="shared" ca="1" si="36"/>
        <v>0</v>
      </c>
      <c r="O174" s="188">
        <f t="shared" ca="1" si="36"/>
        <v>0</v>
      </c>
      <c r="P174" s="188">
        <f t="shared" ca="1" si="36"/>
        <v>0</v>
      </c>
      <c r="Q174" s="188">
        <f t="shared" ca="1" si="36"/>
        <v>0</v>
      </c>
      <c r="R174" s="188">
        <f t="shared" ca="1" si="36"/>
        <v>0</v>
      </c>
      <c r="S174" s="188">
        <f t="shared" ca="1" si="36"/>
        <v>0</v>
      </c>
      <c r="T174" s="188">
        <f t="shared" ca="1" si="36"/>
        <v>0</v>
      </c>
      <c r="U174" s="188">
        <f t="shared" ca="1" si="36"/>
        <v>0</v>
      </c>
      <c r="V174" s="188">
        <f t="shared" ca="1" si="36"/>
        <v>0</v>
      </c>
      <c r="W174" s="188">
        <f t="shared" ca="1" si="36"/>
        <v>0</v>
      </c>
      <c r="X174" s="188">
        <f t="shared" ca="1" si="36"/>
        <v>0</v>
      </c>
      <c r="Y174" s="188">
        <f t="shared" ca="1" si="36"/>
        <v>0</v>
      </c>
      <c r="Z174" s="188">
        <f t="shared" ca="1" si="36"/>
        <v>0</v>
      </c>
      <c r="AA174" s="188">
        <f t="shared" ca="1" si="36"/>
        <v>0</v>
      </c>
      <c r="AC174" s="277">
        <f ca="1">SUM($D174:INDEX($D174:$AA174,1,MATCH(DATE(YEAR(inputs!$A$1),MONTH(inputs!$A$1),1),$D$1:$AA$1,0)))</f>
        <v>0</v>
      </c>
      <c r="AE174" s="277">
        <f t="shared" ca="1" si="32"/>
        <v>0</v>
      </c>
    </row>
    <row r="175" spans="1:31" x14ac:dyDescent="0.25">
      <c r="A175" s="176" t="s">
        <v>588</v>
      </c>
      <c r="B175" s="176" t="s">
        <v>589</v>
      </c>
      <c r="C175" s="177"/>
      <c r="D175" s="178">
        <f>SUM(D$176,D$177)</f>
        <v>0</v>
      </c>
      <c r="E175" s="178">
        <f t="shared" ref="E175:AA175" si="37">SUM(E$176,E$177)</f>
        <v>0</v>
      </c>
      <c r="F175" s="178">
        <f t="shared" si="37"/>
        <v>0</v>
      </c>
      <c r="G175" s="178">
        <f t="shared" si="37"/>
        <v>0</v>
      </c>
      <c r="H175" s="178">
        <f t="shared" si="37"/>
        <v>0</v>
      </c>
      <c r="I175" s="178">
        <f t="shared" si="37"/>
        <v>0</v>
      </c>
      <c r="J175" s="178">
        <f t="shared" si="37"/>
        <v>0</v>
      </c>
      <c r="K175" s="178">
        <f t="shared" si="37"/>
        <v>0</v>
      </c>
      <c r="L175" s="178">
        <f t="shared" si="37"/>
        <v>0</v>
      </c>
      <c r="M175" s="178">
        <f t="shared" si="37"/>
        <v>0</v>
      </c>
      <c r="N175" s="178">
        <f t="shared" si="37"/>
        <v>0</v>
      </c>
      <c r="O175" s="178">
        <f t="shared" si="37"/>
        <v>0</v>
      </c>
      <c r="P175" s="178">
        <f t="shared" si="37"/>
        <v>0</v>
      </c>
      <c r="Q175" s="178">
        <f t="shared" si="37"/>
        <v>0</v>
      </c>
      <c r="R175" s="178">
        <f t="shared" si="37"/>
        <v>0</v>
      </c>
      <c r="S175" s="178">
        <f t="shared" si="37"/>
        <v>0</v>
      </c>
      <c r="T175" s="178">
        <f t="shared" si="37"/>
        <v>0</v>
      </c>
      <c r="U175" s="178">
        <f t="shared" si="37"/>
        <v>0</v>
      </c>
      <c r="V175" s="178">
        <f t="shared" si="37"/>
        <v>0</v>
      </c>
      <c r="W175" s="178">
        <f t="shared" si="37"/>
        <v>0</v>
      </c>
      <c r="X175" s="178">
        <f t="shared" si="37"/>
        <v>0</v>
      </c>
      <c r="Y175" s="178">
        <f t="shared" si="37"/>
        <v>0</v>
      </c>
      <c r="Z175" s="178">
        <f t="shared" si="37"/>
        <v>0</v>
      </c>
      <c r="AA175" s="178">
        <f t="shared" si="37"/>
        <v>0</v>
      </c>
      <c r="AC175" s="274">
        <f>SUM($D175:INDEX($D175:$AA175,1,MATCH(DATE(YEAR(inputs!$A$1),MONTH(inputs!$A$1),1),$D$1:$AA$1,0)))</f>
        <v>0</v>
      </c>
      <c r="AE175" s="274">
        <f t="shared" si="32"/>
        <v>0</v>
      </c>
    </row>
    <row r="176" spans="1:31" outlineLevel="1" collapsed="1" x14ac:dyDescent="0.25">
      <c r="A176" s="179" t="s">
        <v>590</v>
      </c>
      <c r="B176" s="189" t="s">
        <v>591</v>
      </c>
      <c r="C176" s="135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C176" s="175">
        <f>SUM($D176:INDEX($D176:$AA176,1,MATCH(DATE(YEAR(inputs!$A$1),MONTH(inputs!$A$1),1),$D$1:$AA$1,0)))</f>
        <v>0</v>
      </c>
      <c r="AE176" s="175">
        <f t="shared" si="32"/>
        <v>0</v>
      </c>
    </row>
    <row r="177" spans="1:31" outlineLevel="1" x14ac:dyDescent="0.25">
      <c r="A177" s="179" t="s">
        <v>592</v>
      </c>
      <c r="B177" s="189" t="s">
        <v>593</v>
      </c>
      <c r="C177" s="135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C177" s="175">
        <f>SUM($D177:INDEX($D177:$AA177,1,MATCH(DATE(YEAR(inputs!$A$1),MONTH(inputs!$A$1),1),$D$1:$AA$1,0)))</f>
        <v>0</v>
      </c>
      <c r="AE177" s="175">
        <f t="shared" si="32"/>
        <v>0</v>
      </c>
    </row>
    <row r="178" spans="1:31" x14ac:dyDescent="0.25">
      <c r="A178" s="185" t="s">
        <v>594</v>
      </c>
      <c r="B178" s="185" t="s">
        <v>595</v>
      </c>
      <c r="C178" s="190"/>
      <c r="D178" s="191">
        <f t="shared" ref="D178:AA178" ca="1" si="38">SUM(D$179,D$198,D$199)</f>
        <v>0</v>
      </c>
      <c r="E178" s="191">
        <f t="shared" ca="1" si="38"/>
        <v>0</v>
      </c>
      <c r="F178" s="191">
        <f t="shared" ca="1" si="38"/>
        <v>0</v>
      </c>
      <c r="G178" s="191">
        <f t="shared" ca="1" si="38"/>
        <v>0</v>
      </c>
      <c r="H178" s="191">
        <f t="shared" ca="1" si="38"/>
        <v>0</v>
      </c>
      <c r="I178" s="191">
        <f t="shared" ca="1" si="38"/>
        <v>0</v>
      </c>
      <c r="J178" s="191">
        <f t="shared" ca="1" si="38"/>
        <v>0</v>
      </c>
      <c r="K178" s="191">
        <f t="shared" ca="1" si="38"/>
        <v>0</v>
      </c>
      <c r="L178" s="191">
        <f t="shared" ca="1" si="38"/>
        <v>0</v>
      </c>
      <c r="M178" s="191">
        <f t="shared" ca="1" si="38"/>
        <v>0</v>
      </c>
      <c r="N178" s="191">
        <f t="shared" ca="1" si="38"/>
        <v>0</v>
      </c>
      <c r="O178" s="191">
        <f t="shared" ca="1" si="38"/>
        <v>0</v>
      </c>
      <c r="P178" s="191">
        <f t="shared" ca="1" si="38"/>
        <v>0</v>
      </c>
      <c r="Q178" s="191">
        <f t="shared" ca="1" si="38"/>
        <v>0</v>
      </c>
      <c r="R178" s="191">
        <f t="shared" ca="1" si="38"/>
        <v>0</v>
      </c>
      <c r="S178" s="191">
        <f t="shared" ca="1" si="38"/>
        <v>0</v>
      </c>
      <c r="T178" s="191">
        <f t="shared" ca="1" si="38"/>
        <v>0</v>
      </c>
      <c r="U178" s="191">
        <f t="shared" ca="1" si="38"/>
        <v>0</v>
      </c>
      <c r="V178" s="191">
        <f t="shared" ca="1" si="38"/>
        <v>0</v>
      </c>
      <c r="W178" s="191">
        <f t="shared" ca="1" si="38"/>
        <v>0</v>
      </c>
      <c r="X178" s="191">
        <f t="shared" ca="1" si="38"/>
        <v>0</v>
      </c>
      <c r="Y178" s="191">
        <f t="shared" ca="1" si="38"/>
        <v>0</v>
      </c>
      <c r="Z178" s="191">
        <f t="shared" ca="1" si="38"/>
        <v>0</v>
      </c>
      <c r="AA178" s="191">
        <f t="shared" ca="1" si="38"/>
        <v>0</v>
      </c>
      <c r="AC178" s="278">
        <f ca="1">SUM($D178:INDEX($D178:$AA178,1,MATCH(DATE(YEAR(inputs!$A$1),MONTH(inputs!$A$1),1),$D$1:$AA$1,0)))</f>
        <v>0</v>
      </c>
      <c r="AE178" s="278">
        <f t="shared" ca="1" si="32"/>
        <v>0</v>
      </c>
    </row>
    <row r="179" spans="1:31" outlineLevel="1" x14ac:dyDescent="0.25">
      <c r="A179" s="179" t="s">
        <v>596</v>
      </c>
      <c r="B179" s="179" t="s">
        <v>400</v>
      </c>
      <c r="C179" s="180" t="s">
        <v>514</v>
      </c>
      <c r="D179" s="181">
        <f t="shared" ref="D179:AA179" ca="1" si="39">SUM(D$180:D$197)</f>
        <v>0</v>
      </c>
      <c r="E179" s="181">
        <f t="shared" ca="1" si="39"/>
        <v>0</v>
      </c>
      <c r="F179" s="181">
        <f t="shared" ca="1" si="39"/>
        <v>0</v>
      </c>
      <c r="G179" s="181">
        <f t="shared" ca="1" si="39"/>
        <v>0</v>
      </c>
      <c r="H179" s="181">
        <f t="shared" ca="1" si="39"/>
        <v>0</v>
      </c>
      <c r="I179" s="181">
        <f t="shared" ca="1" si="39"/>
        <v>0</v>
      </c>
      <c r="J179" s="181">
        <f t="shared" ca="1" si="39"/>
        <v>0</v>
      </c>
      <c r="K179" s="181">
        <f t="shared" ca="1" si="39"/>
        <v>0</v>
      </c>
      <c r="L179" s="181">
        <f t="shared" ca="1" si="39"/>
        <v>0</v>
      </c>
      <c r="M179" s="181">
        <f t="shared" ca="1" si="39"/>
        <v>0</v>
      </c>
      <c r="N179" s="181">
        <f t="shared" ca="1" si="39"/>
        <v>0</v>
      </c>
      <c r="O179" s="181">
        <f t="shared" ca="1" si="39"/>
        <v>0</v>
      </c>
      <c r="P179" s="181">
        <f t="shared" ca="1" si="39"/>
        <v>0</v>
      </c>
      <c r="Q179" s="181">
        <f t="shared" ca="1" si="39"/>
        <v>0</v>
      </c>
      <c r="R179" s="181">
        <f t="shared" ca="1" si="39"/>
        <v>0</v>
      </c>
      <c r="S179" s="181">
        <f t="shared" ca="1" si="39"/>
        <v>0</v>
      </c>
      <c r="T179" s="181">
        <f t="shared" ca="1" si="39"/>
        <v>0</v>
      </c>
      <c r="U179" s="181">
        <f t="shared" ca="1" si="39"/>
        <v>0</v>
      </c>
      <c r="V179" s="181">
        <f t="shared" ca="1" si="39"/>
        <v>0</v>
      </c>
      <c r="W179" s="181">
        <f t="shared" ca="1" si="39"/>
        <v>0</v>
      </c>
      <c r="X179" s="181">
        <f t="shared" ca="1" si="39"/>
        <v>0</v>
      </c>
      <c r="Y179" s="181">
        <f t="shared" ca="1" si="39"/>
        <v>0</v>
      </c>
      <c r="Z179" s="181">
        <f t="shared" ca="1" si="39"/>
        <v>0</v>
      </c>
      <c r="AA179" s="181">
        <f t="shared" ca="1" si="39"/>
        <v>0</v>
      </c>
      <c r="AC179" s="275">
        <f ca="1">SUM($D179:INDEX($D179:$AA179,1,MATCH(DATE(YEAR(inputs!$A$1),MONTH(inputs!$A$1),1),$D$1:$AA$1,0)))</f>
        <v>0</v>
      </c>
      <c r="AE179" s="275">
        <f t="shared" ca="1" si="32"/>
        <v>0</v>
      </c>
    </row>
    <row r="180" spans="1:31" outlineLevel="2" x14ac:dyDescent="0.25">
      <c r="A180" s="182" t="s">
        <v>599</v>
      </c>
      <c r="B180" s="182" t="s">
        <v>922</v>
      </c>
      <c r="C180" s="135" t="s">
        <v>514</v>
      </c>
      <c r="D180" s="183">
        <f ca="1">-SUMIFS(
  desp.m.ik[valor],
  desp.m.ik[nucleo], $B180,
  desp.m.ik[centro.negocio], $B$179,
  desp.m.ik[mes], "&gt;="&amp;D$1,
  desp.m.ik[mes], "&lt;"&amp;EOMONTH(D$1,0)+1
)</f>
        <v>0</v>
      </c>
      <c r="E180" s="183">
        <f ca="1">-SUMIFS(
  desp.m.ik[valor],
  desp.m.ik[nucleo], $B180,
  desp.m.ik[centro.negocio], $B$179,
  desp.m.ik[mes], "&gt;="&amp;E$1,
  desp.m.ik[mes], "&lt;"&amp;EOMONTH(E$1,0)+1
)</f>
        <v>0</v>
      </c>
      <c r="F180" s="183">
        <f ca="1">-SUMIFS(
  desp.m.ik[valor],
  desp.m.ik[nucleo], $B180,
  desp.m.ik[centro.negocio], $B$179,
  desp.m.ik[mes], "&gt;="&amp;F$1,
  desp.m.ik[mes], "&lt;"&amp;EOMONTH(F$1,0)+1
)</f>
        <v>0</v>
      </c>
      <c r="G180" s="183">
        <f ca="1">-SUMIFS(
  desp.m.ik[valor],
  desp.m.ik[nucleo], $B180,
  desp.m.ik[centro.negocio], $B$179,
  desp.m.ik[mes], "&gt;="&amp;G$1,
  desp.m.ik[mes], "&lt;"&amp;EOMONTH(G$1,0)+1
)</f>
        <v>0</v>
      </c>
      <c r="H180" s="183">
        <f ca="1">-SUMIFS(
  desp.m.ik[valor],
  desp.m.ik[nucleo], $B180,
  desp.m.ik[centro.negocio], $B$179,
  desp.m.ik[mes], "&gt;="&amp;H$1,
  desp.m.ik[mes], "&lt;"&amp;EOMONTH(H$1,0)+1
)</f>
        <v>0</v>
      </c>
      <c r="I180" s="183">
        <f ca="1">-SUMIFS(
  desp.m.ik[valor],
  desp.m.ik[nucleo], $B180,
  desp.m.ik[centro.negocio], $B$179,
  desp.m.ik[mes], "&gt;="&amp;I$1,
  desp.m.ik[mes], "&lt;"&amp;EOMONTH(I$1,0)+1
)</f>
        <v>0</v>
      </c>
      <c r="J180" s="183">
        <f ca="1">-SUMIFS(
  desp.m.ik[valor],
  desp.m.ik[nucleo], $B180,
  desp.m.ik[centro.negocio], $B$179,
  desp.m.ik[mes], "&gt;="&amp;J$1,
  desp.m.ik[mes], "&lt;"&amp;EOMONTH(J$1,0)+1
)</f>
        <v>0</v>
      </c>
      <c r="K180" s="183">
        <f ca="1">-SUMIFS(
  desp.m.ik[valor],
  desp.m.ik[nucleo], $B180,
  desp.m.ik[centro.negocio], $B$179,
  desp.m.ik[mes], "&gt;="&amp;K$1,
  desp.m.ik[mes], "&lt;"&amp;EOMONTH(K$1,0)+1
)</f>
        <v>0</v>
      </c>
      <c r="L180" s="183">
        <f ca="1">-SUMIFS(
  desp.m.ik[valor],
  desp.m.ik[nucleo], $B180,
  desp.m.ik[centro.negocio], $B$179,
  desp.m.ik[mes], "&gt;="&amp;L$1,
  desp.m.ik[mes], "&lt;"&amp;EOMONTH(L$1,0)+1
)</f>
        <v>0</v>
      </c>
      <c r="M180" s="183">
        <f ca="1">-SUMIFS(
  desp.m.ik[valor],
  desp.m.ik[nucleo], $B180,
  desp.m.ik[centro.negocio], $B$179,
  desp.m.ik[mes], "&gt;="&amp;M$1,
  desp.m.ik[mes], "&lt;"&amp;EOMONTH(M$1,0)+1
)</f>
        <v>0</v>
      </c>
      <c r="N180" s="183">
        <f ca="1">-SUMIFS(
  desp.m.ik[valor],
  desp.m.ik[nucleo], $B180,
  desp.m.ik[centro.negocio], $B$179,
  desp.m.ik[mes], "&gt;="&amp;N$1,
  desp.m.ik[mes], "&lt;"&amp;EOMONTH(N$1,0)+1
)</f>
        <v>0</v>
      </c>
      <c r="O180" s="183">
        <f ca="1">-SUMIFS(
  desp.m.ik[valor],
  desp.m.ik[nucleo], $B180,
  desp.m.ik[centro.negocio], $B$179,
  desp.m.ik[mes], "&gt;="&amp;O$1,
  desp.m.ik[mes], "&lt;"&amp;EOMONTH(O$1,0)+1
)</f>
        <v>0</v>
      </c>
      <c r="P180" s="183">
        <f ca="1">-SUMIFS(
  desp.m.ik[valor],
  desp.m.ik[nucleo], $B180,
  desp.m.ik[centro.negocio], $B$179,
  desp.m.ik[mes], "&gt;="&amp;P$1,
  desp.m.ik[mes], "&lt;"&amp;EOMONTH(P$1,0)+1
)</f>
        <v>0</v>
      </c>
      <c r="Q180" s="183">
        <f ca="1">-SUMIFS(
  desp.m.ik[valor],
  desp.m.ik[nucleo], $B180,
  desp.m.ik[centro.negocio], $B$179,
  desp.m.ik[mes], "&gt;="&amp;Q$1,
  desp.m.ik[mes], "&lt;"&amp;EOMONTH(Q$1,0)+1
)</f>
        <v>0</v>
      </c>
      <c r="R180" s="183">
        <f ca="1">-SUMIFS(
  desp.m.ik[valor],
  desp.m.ik[nucleo], $B180,
  desp.m.ik[centro.negocio], $B$179,
  desp.m.ik[mes], "&gt;="&amp;R$1,
  desp.m.ik[mes], "&lt;"&amp;EOMONTH(R$1,0)+1
)</f>
        <v>0</v>
      </c>
      <c r="S180" s="183">
        <f ca="1">-SUMIFS(
  desp.m.ik[valor],
  desp.m.ik[nucleo], $B180,
  desp.m.ik[centro.negocio], $B$179,
  desp.m.ik[mes], "&gt;="&amp;S$1,
  desp.m.ik[mes], "&lt;"&amp;EOMONTH(S$1,0)+1
)</f>
        <v>0</v>
      </c>
      <c r="T180" s="183">
        <f ca="1">-SUMIFS(
  desp.m.ik[valor],
  desp.m.ik[nucleo], $B180,
  desp.m.ik[centro.negocio], $B$179,
  desp.m.ik[mes], "&gt;="&amp;T$1,
  desp.m.ik[mes], "&lt;"&amp;EOMONTH(T$1,0)+1
)</f>
        <v>0</v>
      </c>
      <c r="U180" s="183">
        <f ca="1">-SUMIFS(
  desp.m.ik[valor],
  desp.m.ik[nucleo], $B180,
  desp.m.ik[centro.negocio], $B$179,
  desp.m.ik[mes], "&gt;="&amp;U$1,
  desp.m.ik[mes], "&lt;"&amp;EOMONTH(U$1,0)+1
)</f>
        <v>0</v>
      </c>
      <c r="V180" s="183">
        <f ca="1">-SUMIFS(
  desp.m.ik[valor],
  desp.m.ik[nucleo], $B180,
  desp.m.ik[centro.negocio], $B$179,
  desp.m.ik[mes], "&gt;="&amp;V$1,
  desp.m.ik[mes], "&lt;"&amp;EOMONTH(V$1,0)+1
)</f>
        <v>0</v>
      </c>
      <c r="W180" s="183">
        <f ca="1">-SUMIFS(
  desp.m.ik[valor],
  desp.m.ik[nucleo], $B180,
  desp.m.ik[centro.negocio], $B$179,
  desp.m.ik[mes], "&gt;="&amp;W$1,
  desp.m.ik[mes], "&lt;"&amp;EOMONTH(W$1,0)+1
)</f>
        <v>0</v>
      </c>
      <c r="X180" s="183">
        <f ca="1">-SUMIFS(
  desp.m.ik[valor],
  desp.m.ik[nucleo], $B180,
  desp.m.ik[centro.negocio], $B$179,
  desp.m.ik[mes], "&gt;="&amp;X$1,
  desp.m.ik[mes], "&lt;"&amp;EOMONTH(X$1,0)+1
)</f>
        <v>0</v>
      </c>
      <c r="Y180" s="183">
        <f ca="1">-SUMIFS(
  desp.m.ik[valor],
  desp.m.ik[nucleo], $B180,
  desp.m.ik[centro.negocio], $B$179,
  desp.m.ik[mes], "&gt;="&amp;Y$1,
  desp.m.ik[mes], "&lt;"&amp;EOMONTH(Y$1,0)+1
)</f>
        <v>0</v>
      </c>
      <c r="Z180" s="183">
        <f ca="1">-SUMIFS(
  desp.m.ik[valor],
  desp.m.ik[nucleo], $B180,
  desp.m.ik[centro.negocio], $B$179,
  desp.m.ik[mes], "&gt;="&amp;Z$1,
  desp.m.ik[mes], "&lt;"&amp;EOMONTH(Z$1,0)+1
)</f>
        <v>0</v>
      </c>
      <c r="AA180" s="183">
        <f ca="1">-SUMIFS(
  desp.m.ik[valor],
  desp.m.ik[nucleo], $B180,
  desp.m.ik[centro.negocio], $B$179,
  desp.m.ik[mes], "&gt;="&amp;AA$1,
  desp.m.ik[mes], "&lt;"&amp;EOMONTH(AA$1,0)+1
)</f>
        <v>0</v>
      </c>
      <c r="AC180" s="175">
        <f ca="1">SUM($D180:INDEX($D180:$AA180,1,MATCH(DATE(YEAR(inputs!$A$1),MONTH(inputs!$A$1),1),$D$1:$AA$1,0)))</f>
        <v>0</v>
      </c>
      <c r="AE180" s="175">
        <f t="shared" ca="1" si="32"/>
        <v>0</v>
      </c>
    </row>
    <row r="181" spans="1:31" outlineLevel="2" x14ac:dyDescent="0.25">
      <c r="A181" s="182" t="s">
        <v>598</v>
      </c>
      <c r="B181" s="182" t="s">
        <v>556</v>
      </c>
      <c r="C181" s="135" t="s">
        <v>514</v>
      </c>
      <c r="D181" s="183">
        <f ca="1">-SUMIFS(
  desp.m.ik[valor],
  desp.m.ik[nucleo], $B181,
  desp.m.ik[centro.negocio], $B$179,
  desp.m.ik[mes], "&gt;="&amp;D$1,
  desp.m.ik[mes], "&lt;"&amp;EOMONTH(D$1,0)+1
)</f>
        <v>0</v>
      </c>
      <c r="E181" s="183">
        <f ca="1">-SUMIFS(
  desp.m.ik[valor],
  desp.m.ik[nucleo], $B181,
  desp.m.ik[centro.negocio], $B$179,
  desp.m.ik[mes], "&gt;="&amp;E$1,
  desp.m.ik[mes], "&lt;"&amp;EOMONTH(E$1,0)+1
)</f>
        <v>0</v>
      </c>
      <c r="F181" s="183">
        <f ca="1">-SUMIFS(
  desp.m.ik[valor],
  desp.m.ik[nucleo], $B181,
  desp.m.ik[centro.negocio], $B$179,
  desp.m.ik[mes], "&gt;="&amp;F$1,
  desp.m.ik[mes], "&lt;"&amp;EOMONTH(F$1,0)+1
)</f>
        <v>0</v>
      </c>
      <c r="G181" s="183">
        <f ca="1">-SUMIFS(
  desp.m.ik[valor],
  desp.m.ik[nucleo], $B181,
  desp.m.ik[centro.negocio], $B$179,
  desp.m.ik[mes], "&gt;="&amp;G$1,
  desp.m.ik[mes], "&lt;"&amp;EOMONTH(G$1,0)+1
)</f>
        <v>0</v>
      </c>
      <c r="H181" s="183">
        <f ca="1">-SUMIFS(
  desp.m.ik[valor],
  desp.m.ik[nucleo], $B181,
  desp.m.ik[centro.negocio], $B$179,
  desp.m.ik[mes], "&gt;="&amp;H$1,
  desp.m.ik[mes], "&lt;"&amp;EOMONTH(H$1,0)+1
)</f>
        <v>0</v>
      </c>
      <c r="I181" s="183">
        <f ca="1">-SUMIFS(
  desp.m.ik[valor],
  desp.m.ik[nucleo], $B181,
  desp.m.ik[centro.negocio], $B$179,
  desp.m.ik[mes], "&gt;="&amp;I$1,
  desp.m.ik[mes], "&lt;"&amp;EOMONTH(I$1,0)+1
)</f>
        <v>0</v>
      </c>
      <c r="J181" s="183">
        <f ca="1">-SUMIFS(
  desp.m.ik[valor],
  desp.m.ik[nucleo], $B181,
  desp.m.ik[centro.negocio], $B$179,
  desp.m.ik[mes], "&gt;="&amp;J$1,
  desp.m.ik[mes], "&lt;"&amp;EOMONTH(J$1,0)+1
)</f>
        <v>0</v>
      </c>
      <c r="K181" s="183">
        <f ca="1">-SUMIFS(
  desp.m.ik[valor],
  desp.m.ik[nucleo], $B181,
  desp.m.ik[centro.negocio], $B$179,
  desp.m.ik[mes], "&gt;="&amp;K$1,
  desp.m.ik[mes], "&lt;"&amp;EOMONTH(K$1,0)+1
)</f>
        <v>0</v>
      </c>
      <c r="L181" s="183">
        <f ca="1">-SUMIFS(
  desp.m.ik[valor],
  desp.m.ik[nucleo], $B181,
  desp.m.ik[centro.negocio], $B$179,
  desp.m.ik[mes], "&gt;="&amp;L$1,
  desp.m.ik[mes], "&lt;"&amp;EOMONTH(L$1,0)+1
)</f>
        <v>0</v>
      </c>
      <c r="M181" s="183">
        <f ca="1">-SUMIFS(
  desp.m.ik[valor],
  desp.m.ik[nucleo], $B181,
  desp.m.ik[centro.negocio], $B$179,
  desp.m.ik[mes], "&gt;="&amp;M$1,
  desp.m.ik[mes], "&lt;"&amp;EOMONTH(M$1,0)+1
)</f>
        <v>0</v>
      </c>
      <c r="N181" s="183">
        <f ca="1">-SUMIFS(
  desp.m.ik[valor],
  desp.m.ik[nucleo], $B181,
  desp.m.ik[centro.negocio], $B$179,
  desp.m.ik[mes], "&gt;="&amp;N$1,
  desp.m.ik[mes], "&lt;"&amp;EOMONTH(N$1,0)+1
)</f>
        <v>0</v>
      </c>
      <c r="O181" s="183">
        <f ca="1">-SUMIFS(
  desp.m.ik[valor],
  desp.m.ik[nucleo], $B181,
  desp.m.ik[centro.negocio], $B$179,
  desp.m.ik[mes], "&gt;="&amp;O$1,
  desp.m.ik[mes], "&lt;"&amp;EOMONTH(O$1,0)+1
)</f>
        <v>0</v>
      </c>
      <c r="P181" s="183">
        <f ca="1">-SUMIFS(
  desp.m.ik[valor],
  desp.m.ik[nucleo], $B181,
  desp.m.ik[centro.negocio], $B$179,
  desp.m.ik[mes], "&gt;="&amp;P$1,
  desp.m.ik[mes], "&lt;"&amp;EOMONTH(P$1,0)+1
)</f>
        <v>0</v>
      </c>
      <c r="Q181" s="183">
        <f ca="1">-SUMIFS(
  desp.m.ik[valor],
  desp.m.ik[nucleo], $B181,
  desp.m.ik[centro.negocio], $B$179,
  desp.m.ik[mes], "&gt;="&amp;Q$1,
  desp.m.ik[mes], "&lt;"&amp;EOMONTH(Q$1,0)+1
)</f>
        <v>0</v>
      </c>
      <c r="R181" s="183">
        <f ca="1">-SUMIFS(
  desp.m.ik[valor],
  desp.m.ik[nucleo], $B181,
  desp.m.ik[centro.negocio], $B$179,
  desp.m.ik[mes], "&gt;="&amp;R$1,
  desp.m.ik[mes], "&lt;"&amp;EOMONTH(R$1,0)+1
)</f>
        <v>0</v>
      </c>
      <c r="S181" s="183">
        <f ca="1">-SUMIFS(
  desp.m.ik[valor],
  desp.m.ik[nucleo], $B181,
  desp.m.ik[centro.negocio], $B$179,
  desp.m.ik[mes], "&gt;="&amp;S$1,
  desp.m.ik[mes], "&lt;"&amp;EOMONTH(S$1,0)+1
)</f>
        <v>0</v>
      </c>
      <c r="T181" s="183">
        <f ca="1">-SUMIFS(
  desp.m.ik[valor],
  desp.m.ik[nucleo], $B181,
  desp.m.ik[centro.negocio], $B$179,
  desp.m.ik[mes], "&gt;="&amp;T$1,
  desp.m.ik[mes], "&lt;"&amp;EOMONTH(T$1,0)+1
)</f>
        <v>0</v>
      </c>
      <c r="U181" s="183">
        <f ca="1">-SUMIFS(
  desp.m.ik[valor],
  desp.m.ik[nucleo], $B181,
  desp.m.ik[centro.negocio], $B$179,
  desp.m.ik[mes], "&gt;="&amp;U$1,
  desp.m.ik[mes], "&lt;"&amp;EOMONTH(U$1,0)+1
)</f>
        <v>0</v>
      </c>
      <c r="V181" s="183">
        <f ca="1">-SUMIFS(
  desp.m.ik[valor],
  desp.m.ik[nucleo], $B181,
  desp.m.ik[centro.negocio], $B$179,
  desp.m.ik[mes], "&gt;="&amp;V$1,
  desp.m.ik[mes], "&lt;"&amp;EOMONTH(V$1,0)+1
)</f>
        <v>0</v>
      </c>
      <c r="W181" s="183">
        <f ca="1">-SUMIFS(
  desp.m.ik[valor],
  desp.m.ik[nucleo], $B181,
  desp.m.ik[centro.negocio], $B$179,
  desp.m.ik[mes], "&gt;="&amp;W$1,
  desp.m.ik[mes], "&lt;"&amp;EOMONTH(W$1,0)+1
)</f>
        <v>0</v>
      </c>
      <c r="X181" s="183">
        <f ca="1">-SUMIFS(
  desp.m.ik[valor],
  desp.m.ik[nucleo], $B181,
  desp.m.ik[centro.negocio], $B$179,
  desp.m.ik[mes], "&gt;="&amp;X$1,
  desp.m.ik[mes], "&lt;"&amp;EOMONTH(X$1,0)+1
)</f>
        <v>0</v>
      </c>
      <c r="Y181" s="183">
        <f ca="1">-SUMIFS(
  desp.m.ik[valor],
  desp.m.ik[nucleo], $B181,
  desp.m.ik[centro.negocio], $B$179,
  desp.m.ik[mes], "&gt;="&amp;Y$1,
  desp.m.ik[mes], "&lt;"&amp;EOMONTH(Y$1,0)+1
)</f>
        <v>0</v>
      </c>
      <c r="Z181" s="183">
        <f ca="1">-SUMIFS(
  desp.m.ik[valor],
  desp.m.ik[nucleo], $B181,
  desp.m.ik[centro.negocio], $B$179,
  desp.m.ik[mes], "&gt;="&amp;Z$1,
  desp.m.ik[mes], "&lt;"&amp;EOMONTH(Z$1,0)+1
)</f>
        <v>0</v>
      </c>
      <c r="AA181" s="183">
        <f ca="1">-SUMIFS(
  desp.m.ik[valor],
  desp.m.ik[nucleo], $B181,
  desp.m.ik[centro.negocio], $B$179,
  desp.m.ik[mes], "&gt;="&amp;AA$1,
  desp.m.ik[mes], "&lt;"&amp;EOMONTH(AA$1,0)+1
)</f>
        <v>0</v>
      </c>
      <c r="AC181" s="175">
        <f ca="1">SUM($D181:INDEX($D181:$AA181,1,MATCH(DATE(YEAR(inputs!$A$1),MONTH(inputs!$A$1),1),$D$1:$AA$1,0)))</f>
        <v>0</v>
      </c>
      <c r="AE181" s="175">
        <f t="shared" ca="1" si="32"/>
        <v>0</v>
      </c>
    </row>
    <row r="182" spans="1:31" outlineLevel="2" x14ac:dyDescent="0.25">
      <c r="A182" s="182" t="s">
        <v>600</v>
      </c>
      <c r="B182" s="182" t="s">
        <v>546</v>
      </c>
      <c r="C182" s="135" t="s">
        <v>514</v>
      </c>
      <c r="D182" s="183">
        <f ca="1">-SUMIFS(
  desp.m.ik[valor],
  desp.m.ik[nucleo], $B182,
  desp.m.ik[centro.negocio], $B$179,
  desp.m.ik[mes], "&gt;="&amp;D$1,
  desp.m.ik[mes], "&lt;"&amp;EOMONTH(D$1,0)+1
)</f>
        <v>0</v>
      </c>
      <c r="E182" s="183">
        <f ca="1">-SUMIFS(
  desp.m.ik[valor],
  desp.m.ik[nucleo], $B182,
  desp.m.ik[centro.negocio], $B$179,
  desp.m.ik[mes], "&gt;="&amp;E$1,
  desp.m.ik[mes], "&lt;"&amp;EOMONTH(E$1,0)+1
)</f>
        <v>0</v>
      </c>
      <c r="F182" s="183">
        <f ca="1">-SUMIFS(
  desp.m.ik[valor],
  desp.m.ik[nucleo], $B182,
  desp.m.ik[centro.negocio], $B$179,
  desp.m.ik[mes], "&gt;="&amp;F$1,
  desp.m.ik[mes], "&lt;"&amp;EOMONTH(F$1,0)+1
)</f>
        <v>0</v>
      </c>
      <c r="G182" s="183">
        <f ca="1">-SUMIFS(
  desp.m.ik[valor],
  desp.m.ik[nucleo], $B182,
  desp.m.ik[centro.negocio], $B$179,
  desp.m.ik[mes], "&gt;="&amp;G$1,
  desp.m.ik[mes], "&lt;"&amp;EOMONTH(G$1,0)+1
)</f>
        <v>0</v>
      </c>
      <c r="H182" s="183">
        <f ca="1">-SUMIFS(
  desp.m.ik[valor],
  desp.m.ik[nucleo], $B182,
  desp.m.ik[centro.negocio], $B$179,
  desp.m.ik[mes], "&gt;="&amp;H$1,
  desp.m.ik[mes], "&lt;"&amp;EOMONTH(H$1,0)+1
)</f>
        <v>0</v>
      </c>
      <c r="I182" s="183">
        <f ca="1">-SUMIFS(
  desp.m.ik[valor],
  desp.m.ik[nucleo], $B182,
  desp.m.ik[centro.negocio], $B$179,
  desp.m.ik[mes], "&gt;="&amp;I$1,
  desp.m.ik[mes], "&lt;"&amp;EOMONTH(I$1,0)+1
)</f>
        <v>0</v>
      </c>
      <c r="J182" s="183">
        <f ca="1">-SUMIFS(
  desp.m.ik[valor],
  desp.m.ik[nucleo], $B182,
  desp.m.ik[centro.negocio], $B$179,
  desp.m.ik[mes], "&gt;="&amp;J$1,
  desp.m.ik[mes], "&lt;"&amp;EOMONTH(J$1,0)+1
)</f>
        <v>0</v>
      </c>
      <c r="K182" s="183">
        <f ca="1">-SUMIFS(
  desp.m.ik[valor],
  desp.m.ik[nucleo], $B182,
  desp.m.ik[centro.negocio], $B$179,
  desp.m.ik[mes], "&gt;="&amp;K$1,
  desp.m.ik[mes], "&lt;"&amp;EOMONTH(K$1,0)+1
)</f>
        <v>0</v>
      </c>
      <c r="L182" s="183">
        <f ca="1">-SUMIFS(
  desp.m.ik[valor],
  desp.m.ik[nucleo], $B182,
  desp.m.ik[centro.negocio], $B$179,
  desp.m.ik[mes], "&gt;="&amp;L$1,
  desp.m.ik[mes], "&lt;"&amp;EOMONTH(L$1,0)+1
)</f>
        <v>0</v>
      </c>
      <c r="M182" s="183">
        <f ca="1">-SUMIFS(
  desp.m.ik[valor],
  desp.m.ik[nucleo], $B182,
  desp.m.ik[centro.negocio], $B$179,
  desp.m.ik[mes], "&gt;="&amp;M$1,
  desp.m.ik[mes], "&lt;"&amp;EOMONTH(M$1,0)+1
)</f>
        <v>0</v>
      </c>
      <c r="N182" s="183">
        <f ca="1">-SUMIFS(
  desp.m.ik[valor],
  desp.m.ik[nucleo], $B182,
  desp.m.ik[centro.negocio], $B$179,
  desp.m.ik[mes], "&gt;="&amp;N$1,
  desp.m.ik[mes], "&lt;"&amp;EOMONTH(N$1,0)+1
)</f>
        <v>0</v>
      </c>
      <c r="O182" s="183">
        <f ca="1">-SUMIFS(
  desp.m.ik[valor],
  desp.m.ik[nucleo], $B182,
  desp.m.ik[centro.negocio], $B$179,
  desp.m.ik[mes], "&gt;="&amp;O$1,
  desp.m.ik[mes], "&lt;"&amp;EOMONTH(O$1,0)+1
)</f>
        <v>0</v>
      </c>
      <c r="P182" s="183">
        <f ca="1">-SUMIFS(
  desp.m.ik[valor],
  desp.m.ik[nucleo], $B182,
  desp.m.ik[centro.negocio], $B$179,
  desp.m.ik[mes], "&gt;="&amp;P$1,
  desp.m.ik[mes], "&lt;"&amp;EOMONTH(P$1,0)+1
)</f>
        <v>0</v>
      </c>
      <c r="Q182" s="183">
        <f ca="1">-SUMIFS(
  desp.m.ik[valor],
  desp.m.ik[nucleo], $B182,
  desp.m.ik[centro.negocio], $B$179,
  desp.m.ik[mes], "&gt;="&amp;Q$1,
  desp.m.ik[mes], "&lt;"&amp;EOMONTH(Q$1,0)+1
)</f>
        <v>0</v>
      </c>
      <c r="R182" s="183">
        <f ca="1">-SUMIFS(
  desp.m.ik[valor],
  desp.m.ik[nucleo], $B182,
  desp.m.ik[centro.negocio], $B$179,
  desp.m.ik[mes], "&gt;="&amp;R$1,
  desp.m.ik[mes], "&lt;"&amp;EOMONTH(R$1,0)+1
)</f>
        <v>0</v>
      </c>
      <c r="S182" s="183">
        <f ca="1">-SUMIFS(
  desp.m.ik[valor],
  desp.m.ik[nucleo], $B182,
  desp.m.ik[centro.negocio], $B$179,
  desp.m.ik[mes], "&gt;="&amp;S$1,
  desp.m.ik[mes], "&lt;"&amp;EOMONTH(S$1,0)+1
)</f>
        <v>0</v>
      </c>
      <c r="T182" s="183">
        <f ca="1">-SUMIFS(
  desp.m.ik[valor],
  desp.m.ik[nucleo], $B182,
  desp.m.ik[centro.negocio], $B$179,
  desp.m.ik[mes], "&gt;="&amp;T$1,
  desp.m.ik[mes], "&lt;"&amp;EOMONTH(T$1,0)+1
)</f>
        <v>0</v>
      </c>
      <c r="U182" s="183">
        <f ca="1">-SUMIFS(
  desp.m.ik[valor],
  desp.m.ik[nucleo], $B182,
  desp.m.ik[centro.negocio], $B$179,
  desp.m.ik[mes], "&gt;="&amp;U$1,
  desp.m.ik[mes], "&lt;"&amp;EOMONTH(U$1,0)+1
)</f>
        <v>0</v>
      </c>
      <c r="V182" s="183">
        <f ca="1">-SUMIFS(
  desp.m.ik[valor],
  desp.m.ik[nucleo], $B182,
  desp.m.ik[centro.negocio], $B$179,
  desp.m.ik[mes], "&gt;="&amp;V$1,
  desp.m.ik[mes], "&lt;"&amp;EOMONTH(V$1,0)+1
)</f>
        <v>0</v>
      </c>
      <c r="W182" s="183">
        <f ca="1">-SUMIFS(
  desp.m.ik[valor],
  desp.m.ik[nucleo], $B182,
  desp.m.ik[centro.negocio], $B$179,
  desp.m.ik[mes], "&gt;="&amp;W$1,
  desp.m.ik[mes], "&lt;"&amp;EOMONTH(W$1,0)+1
)</f>
        <v>0</v>
      </c>
      <c r="X182" s="183">
        <f ca="1">-SUMIFS(
  desp.m.ik[valor],
  desp.m.ik[nucleo], $B182,
  desp.m.ik[centro.negocio], $B$179,
  desp.m.ik[mes], "&gt;="&amp;X$1,
  desp.m.ik[mes], "&lt;"&amp;EOMONTH(X$1,0)+1
)</f>
        <v>0</v>
      </c>
      <c r="Y182" s="183">
        <f ca="1">-SUMIFS(
  desp.m.ik[valor],
  desp.m.ik[nucleo], $B182,
  desp.m.ik[centro.negocio], $B$179,
  desp.m.ik[mes], "&gt;="&amp;Y$1,
  desp.m.ik[mes], "&lt;"&amp;EOMONTH(Y$1,0)+1
)</f>
        <v>0</v>
      </c>
      <c r="Z182" s="183">
        <f ca="1">-SUMIFS(
  desp.m.ik[valor],
  desp.m.ik[nucleo], $B182,
  desp.m.ik[centro.negocio], $B$179,
  desp.m.ik[mes], "&gt;="&amp;Z$1,
  desp.m.ik[mes], "&lt;"&amp;EOMONTH(Z$1,0)+1
)</f>
        <v>0</v>
      </c>
      <c r="AA182" s="183">
        <f ca="1">-SUMIFS(
  desp.m.ik[valor],
  desp.m.ik[nucleo], $B182,
  desp.m.ik[centro.negocio], $B$179,
  desp.m.ik[mes], "&gt;="&amp;AA$1,
  desp.m.ik[mes], "&lt;"&amp;EOMONTH(AA$1,0)+1
)</f>
        <v>0</v>
      </c>
      <c r="AC182" s="175">
        <f ca="1">SUM($D182:INDEX($D182:$AA182,1,MATCH(DATE(YEAR(inputs!$A$1),MONTH(inputs!$A$1),1),$D$1:$AA$1,0)))</f>
        <v>0</v>
      </c>
      <c r="AE182" s="175">
        <f t="shared" ca="1" si="32"/>
        <v>0</v>
      </c>
    </row>
    <row r="183" spans="1:31" outlineLevel="2" x14ac:dyDescent="0.25">
      <c r="A183" s="182" t="s">
        <v>597</v>
      </c>
      <c r="B183" s="182" t="s">
        <v>544</v>
      </c>
      <c r="C183" s="135" t="s">
        <v>514</v>
      </c>
      <c r="D183" s="183">
        <f ca="1">-SUMIFS(
  desp.m.ik[valor],
  desp.m.ik[nucleo], $B183,
  desp.m.ik[centro.negocio], $B$179,
  desp.m.ik[mes], "&gt;="&amp;D$1,
  desp.m.ik[mes], "&lt;"&amp;EOMONTH(D$1,0)+1
)</f>
        <v>0</v>
      </c>
      <c r="E183" s="183">
        <f ca="1">-SUMIFS(
  desp.m.ik[valor],
  desp.m.ik[nucleo], $B183,
  desp.m.ik[centro.negocio], $B$179,
  desp.m.ik[mes], "&gt;="&amp;E$1,
  desp.m.ik[mes], "&lt;"&amp;EOMONTH(E$1,0)+1
)</f>
        <v>0</v>
      </c>
      <c r="F183" s="183">
        <f ca="1">-SUMIFS(
  desp.m.ik[valor],
  desp.m.ik[nucleo], $B183,
  desp.m.ik[centro.negocio], $B$179,
  desp.m.ik[mes], "&gt;="&amp;F$1,
  desp.m.ik[mes], "&lt;"&amp;EOMONTH(F$1,0)+1
)</f>
        <v>0</v>
      </c>
      <c r="G183" s="183">
        <f ca="1">-SUMIFS(
  desp.m.ik[valor],
  desp.m.ik[nucleo], $B183,
  desp.m.ik[centro.negocio], $B$179,
  desp.m.ik[mes], "&gt;="&amp;G$1,
  desp.m.ik[mes], "&lt;"&amp;EOMONTH(G$1,0)+1
)</f>
        <v>0</v>
      </c>
      <c r="H183" s="183">
        <f ca="1">-SUMIFS(
  desp.m.ik[valor],
  desp.m.ik[nucleo], $B183,
  desp.m.ik[centro.negocio], $B$179,
  desp.m.ik[mes], "&gt;="&amp;H$1,
  desp.m.ik[mes], "&lt;"&amp;EOMONTH(H$1,0)+1
)</f>
        <v>0</v>
      </c>
      <c r="I183" s="183">
        <f ca="1">-SUMIFS(
  desp.m.ik[valor],
  desp.m.ik[nucleo], $B183,
  desp.m.ik[centro.negocio], $B$179,
  desp.m.ik[mes], "&gt;="&amp;I$1,
  desp.m.ik[mes], "&lt;"&amp;EOMONTH(I$1,0)+1
)</f>
        <v>0</v>
      </c>
      <c r="J183" s="183">
        <f ca="1">-SUMIFS(
  desp.m.ik[valor],
  desp.m.ik[nucleo], $B183,
  desp.m.ik[centro.negocio], $B$179,
  desp.m.ik[mes], "&gt;="&amp;J$1,
  desp.m.ik[mes], "&lt;"&amp;EOMONTH(J$1,0)+1
)</f>
        <v>0</v>
      </c>
      <c r="K183" s="183">
        <f ca="1">-SUMIFS(
  desp.m.ik[valor],
  desp.m.ik[nucleo], $B183,
  desp.m.ik[centro.negocio], $B$179,
  desp.m.ik[mes], "&gt;="&amp;K$1,
  desp.m.ik[mes], "&lt;"&amp;EOMONTH(K$1,0)+1
)</f>
        <v>0</v>
      </c>
      <c r="L183" s="183">
        <f ca="1">-SUMIFS(
  desp.m.ik[valor],
  desp.m.ik[nucleo], $B183,
  desp.m.ik[centro.negocio], $B$179,
  desp.m.ik[mes], "&gt;="&amp;L$1,
  desp.m.ik[mes], "&lt;"&amp;EOMONTH(L$1,0)+1
)</f>
        <v>0</v>
      </c>
      <c r="M183" s="183">
        <f ca="1">-SUMIFS(
  desp.m.ik[valor],
  desp.m.ik[nucleo], $B183,
  desp.m.ik[centro.negocio], $B$179,
  desp.m.ik[mes], "&gt;="&amp;M$1,
  desp.m.ik[mes], "&lt;"&amp;EOMONTH(M$1,0)+1
)</f>
        <v>0</v>
      </c>
      <c r="N183" s="183">
        <f ca="1">-SUMIFS(
  desp.m.ik[valor],
  desp.m.ik[nucleo], $B183,
  desp.m.ik[centro.negocio], $B$179,
  desp.m.ik[mes], "&gt;="&amp;N$1,
  desp.m.ik[mes], "&lt;"&amp;EOMONTH(N$1,0)+1
)</f>
        <v>0</v>
      </c>
      <c r="O183" s="183">
        <f ca="1">-SUMIFS(
  desp.m.ik[valor],
  desp.m.ik[nucleo], $B183,
  desp.m.ik[centro.negocio], $B$179,
  desp.m.ik[mes], "&gt;="&amp;O$1,
  desp.m.ik[mes], "&lt;"&amp;EOMONTH(O$1,0)+1
)</f>
        <v>0</v>
      </c>
      <c r="P183" s="183">
        <f ca="1">-SUMIFS(
  desp.m.ik[valor],
  desp.m.ik[nucleo], $B183,
  desp.m.ik[centro.negocio], $B$179,
  desp.m.ik[mes], "&gt;="&amp;P$1,
  desp.m.ik[mes], "&lt;"&amp;EOMONTH(P$1,0)+1
)</f>
        <v>0</v>
      </c>
      <c r="Q183" s="183">
        <f ca="1">-SUMIFS(
  desp.m.ik[valor],
  desp.m.ik[nucleo], $B183,
  desp.m.ik[centro.negocio], $B$179,
  desp.m.ik[mes], "&gt;="&amp;Q$1,
  desp.m.ik[mes], "&lt;"&amp;EOMONTH(Q$1,0)+1
)</f>
        <v>0</v>
      </c>
      <c r="R183" s="183">
        <f ca="1">-SUMIFS(
  desp.m.ik[valor],
  desp.m.ik[nucleo], $B183,
  desp.m.ik[centro.negocio], $B$179,
  desp.m.ik[mes], "&gt;="&amp;R$1,
  desp.m.ik[mes], "&lt;"&amp;EOMONTH(R$1,0)+1
)</f>
        <v>0</v>
      </c>
      <c r="S183" s="183">
        <f ca="1">-SUMIFS(
  desp.m.ik[valor],
  desp.m.ik[nucleo], $B183,
  desp.m.ik[centro.negocio], $B$179,
  desp.m.ik[mes], "&gt;="&amp;S$1,
  desp.m.ik[mes], "&lt;"&amp;EOMONTH(S$1,0)+1
)</f>
        <v>0</v>
      </c>
      <c r="T183" s="183">
        <f ca="1">-SUMIFS(
  desp.m.ik[valor],
  desp.m.ik[nucleo], $B183,
  desp.m.ik[centro.negocio], $B$179,
  desp.m.ik[mes], "&gt;="&amp;T$1,
  desp.m.ik[mes], "&lt;"&amp;EOMONTH(T$1,0)+1
)</f>
        <v>0</v>
      </c>
      <c r="U183" s="183">
        <f ca="1">-SUMIFS(
  desp.m.ik[valor],
  desp.m.ik[nucleo], $B183,
  desp.m.ik[centro.negocio], $B$179,
  desp.m.ik[mes], "&gt;="&amp;U$1,
  desp.m.ik[mes], "&lt;"&amp;EOMONTH(U$1,0)+1
)</f>
        <v>0</v>
      </c>
      <c r="V183" s="183">
        <f ca="1">-SUMIFS(
  desp.m.ik[valor],
  desp.m.ik[nucleo], $B183,
  desp.m.ik[centro.negocio], $B$179,
  desp.m.ik[mes], "&gt;="&amp;V$1,
  desp.m.ik[mes], "&lt;"&amp;EOMONTH(V$1,0)+1
)</f>
        <v>0</v>
      </c>
      <c r="W183" s="183">
        <f ca="1">-SUMIFS(
  desp.m.ik[valor],
  desp.m.ik[nucleo], $B183,
  desp.m.ik[centro.negocio], $B$179,
  desp.m.ik[mes], "&gt;="&amp;W$1,
  desp.m.ik[mes], "&lt;"&amp;EOMONTH(W$1,0)+1
)</f>
        <v>0</v>
      </c>
      <c r="X183" s="183">
        <f ca="1">-SUMIFS(
  desp.m.ik[valor],
  desp.m.ik[nucleo], $B183,
  desp.m.ik[centro.negocio], $B$179,
  desp.m.ik[mes], "&gt;="&amp;X$1,
  desp.m.ik[mes], "&lt;"&amp;EOMONTH(X$1,0)+1
)</f>
        <v>0</v>
      </c>
      <c r="Y183" s="183">
        <f ca="1">-SUMIFS(
  desp.m.ik[valor],
  desp.m.ik[nucleo], $B183,
  desp.m.ik[centro.negocio], $B$179,
  desp.m.ik[mes], "&gt;="&amp;Y$1,
  desp.m.ik[mes], "&lt;"&amp;EOMONTH(Y$1,0)+1
)</f>
        <v>0</v>
      </c>
      <c r="Z183" s="183">
        <f ca="1">-SUMIFS(
  desp.m.ik[valor],
  desp.m.ik[nucleo], $B183,
  desp.m.ik[centro.negocio], $B$179,
  desp.m.ik[mes], "&gt;="&amp;Z$1,
  desp.m.ik[mes], "&lt;"&amp;EOMONTH(Z$1,0)+1
)</f>
        <v>0</v>
      </c>
      <c r="AA183" s="183">
        <f ca="1">-SUMIFS(
  desp.m.ik[valor],
  desp.m.ik[nucleo], $B183,
  desp.m.ik[centro.negocio], $B$179,
  desp.m.ik[mes], "&gt;="&amp;AA$1,
  desp.m.ik[mes], "&lt;"&amp;EOMONTH(AA$1,0)+1
)</f>
        <v>0</v>
      </c>
      <c r="AC183" s="175">
        <f ca="1">SUM($D183:INDEX($D183:$AA183,1,MATCH(DATE(YEAR(inputs!$A$1),MONTH(inputs!$A$1),1),$D$1:$AA$1,0)))</f>
        <v>0</v>
      </c>
      <c r="AE183" s="175">
        <f t="shared" ca="1" si="32"/>
        <v>0</v>
      </c>
    </row>
    <row r="184" spans="1:31" outlineLevel="2" x14ac:dyDescent="0.25">
      <c r="A184" s="182" t="s">
        <v>607</v>
      </c>
      <c r="B184" s="182" t="s">
        <v>704</v>
      </c>
      <c r="C184" s="135" t="s">
        <v>514</v>
      </c>
      <c r="D184" s="183">
        <f ca="1">-SUMIFS(
  desp.m.ik[valor],
  desp.m.ik[nucleo], $B184,
  desp.m.ik[centro.negocio], $B$179,
  desp.m.ik[mes], "&gt;="&amp;D$1,
  desp.m.ik[mes], "&lt;"&amp;EOMONTH(D$1,0)+1
)</f>
        <v>0</v>
      </c>
      <c r="E184" s="183">
        <f ca="1">-SUMIFS(
  desp.m.ik[valor],
  desp.m.ik[nucleo], $B184,
  desp.m.ik[centro.negocio], $B$179,
  desp.m.ik[mes], "&gt;="&amp;E$1,
  desp.m.ik[mes], "&lt;"&amp;EOMONTH(E$1,0)+1
)</f>
        <v>0</v>
      </c>
      <c r="F184" s="183">
        <f ca="1">-SUMIFS(
  desp.m.ik[valor],
  desp.m.ik[nucleo], $B184,
  desp.m.ik[centro.negocio], $B$179,
  desp.m.ik[mes], "&gt;="&amp;F$1,
  desp.m.ik[mes], "&lt;"&amp;EOMONTH(F$1,0)+1
)</f>
        <v>0</v>
      </c>
      <c r="G184" s="183">
        <f ca="1">-SUMIFS(
  desp.m.ik[valor],
  desp.m.ik[nucleo], $B184,
  desp.m.ik[centro.negocio], $B$179,
  desp.m.ik[mes], "&gt;="&amp;G$1,
  desp.m.ik[mes], "&lt;"&amp;EOMONTH(G$1,0)+1
)</f>
        <v>0</v>
      </c>
      <c r="H184" s="183">
        <f ca="1">-SUMIFS(
  desp.m.ik[valor],
  desp.m.ik[nucleo], $B184,
  desp.m.ik[centro.negocio], $B$179,
  desp.m.ik[mes], "&gt;="&amp;H$1,
  desp.m.ik[mes], "&lt;"&amp;EOMONTH(H$1,0)+1
)</f>
        <v>0</v>
      </c>
      <c r="I184" s="183">
        <f ca="1">-SUMIFS(
  desp.m.ik[valor],
  desp.m.ik[nucleo], $B184,
  desp.m.ik[centro.negocio], $B$179,
  desp.m.ik[mes], "&gt;="&amp;I$1,
  desp.m.ik[mes], "&lt;"&amp;EOMONTH(I$1,0)+1
)</f>
        <v>0</v>
      </c>
      <c r="J184" s="183">
        <f ca="1">-SUMIFS(
  desp.m.ik[valor],
  desp.m.ik[nucleo], $B184,
  desp.m.ik[centro.negocio], $B$179,
  desp.m.ik[mes], "&gt;="&amp;J$1,
  desp.m.ik[mes], "&lt;"&amp;EOMONTH(J$1,0)+1
)</f>
        <v>0</v>
      </c>
      <c r="K184" s="183">
        <f ca="1">-SUMIFS(
  desp.m.ik[valor],
  desp.m.ik[nucleo], $B184,
  desp.m.ik[centro.negocio], $B$179,
  desp.m.ik[mes], "&gt;="&amp;K$1,
  desp.m.ik[mes], "&lt;"&amp;EOMONTH(K$1,0)+1
)</f>
        <v>0</v>
      </c>
      <c r="L184" s="183">
        <f ca="1">-SUMIFS(
  desp.m.ik[valor],
  desp.m.ik[nucleo], $B184,
  desp.m.ik[centro.negocio], $B$179,
  desp.m.ik[mes], "&gt;="&amp;L$1,
  desp.m.ik[mes], "&lt;"&amp;EOMONTH(L$1,0)+1
)</f>
        <v>0</v>
      </c>
      <c r="M184" s="183">
        <f ca="1">-SUMIFS(
  desp.m.ik[valor],
  desp.m.ik[nucleo], $B184,
  desp.m.ik[centro.negocio], $B$179,
  desp.m.ik[mes], "&gt;="&amp;M$1,
  desp.m.ik[mes], "&lt;"&amp;EOMONTH(M$1,0)+1
)</f>
        <v>0</v>
      </c>
      <c r="N184" s="183">
        <f ca="1">-SUMIFS(
  desp.m.ik[valor],
  desp.m.ik[nucleo], $B184,
  desp.m.ik[centro.negocio], $B$179,
  desp.m.ik[mes], "&gt;="&amp;N$1,
  desp.m.ik[mes], "&lt;"&amp;EOMONTH(N$1,0)+1
)</f>
        <v>0</v>
      </c>
      <c r="O184" s="183">
        <f ca="1">-SUMIFS(
  desp.m.ik[valor],
  desp.m.ik[nucleo], $B184,
  desp.m.ik[centro.negocio], $B$179,
  desp.m.ik[mes], "&gt;="&amp;O$1,
  desp.m.ik[mes], "&lt;"&amp;EOMONTH(O$1,0)+1
)</f>
        <v>0</v>
      </c>
      <c r="P184" s="183">
        <f ca="1">-SUMIFS(
  desp.m.ik[valor],
  desp.m.ik[nucleo], $B184,
  desp.m.ik[centro.negocio], $B$179,
  desp.m.ik[mes], "&gt;="&amp;P$1,
  desp.m.ik[mes], "&lt;"&amp;EOMONTH(P$1,0)+1
)</f>
        <v>0</v>
      </c>
      <c r="Q184" s="183">
        <f ca="1">-SUMIFS(
  desp.m.ik[valor],
  desp.m.ik[nucleo], $B184,
  desp.m.ik[centro.negocio], $B$179,
  desp.m.ik[mes], "&gt;="&amp;Q$1,
  desp.m.ik[mes], "&lt;"&amp;EOMONTH(Q$1,0)+1
)</f>
        <v>0</v>
      </c>
      <c r="R184" s="183">
        <f ca="1">-SUMIFS(
  desp.m.ik[valor],
  desp.m.ik[nucleo], $B184,
  desp.m.ik[centro.negocio], $B$179,
  desp.m.ik[mes], "&gt;="&amp;R$1,
  desp.m.ik[mes], "&lt;"&amp;EOMONTH(R$1,0)+1
)</f>
        <v>0</v>
      </c>
      <c r="S184" s="183">
        <f ca="1">-SUMIFS(
  desp.m.ik[valor],
  desp.m.ik[nucleo], $B184,
  desp.m.ik[centro.negocio], $B$179,
  desp.m.ik[mes], "&gt;="&amp;S$1,
  desp.m.ik[mes], "&lt;"&amp;EOMONTH(S$1,0)+1
)</f>
        <v>0</v>
      </c>
      <c r="T184" s="183">
        <f ca="1">-SUMIFS(
  desp.m.ik[valor],
  desp.m.ik[nucleo], $B184,
  desp.m.ik[centro.negocio], $B$179,
  desp.m.ik[mes], "&gt;="&amp;T$1,
  desp.m.ik[mes], "&lt;"&amp;EOMONTH(T$1,0)+1
)</f>
        <v>0</v>
      </c>
      <c r="U184" s="183">
        <f ca="1">-SUMIFS(
  desp.m.ik[valor],
  desp.m.ik[nucleo], $B184,
  desp.m.ik[centro.negocio], $B$179,
  desp.m.ik[mes], "&gt;="&amp;U$1,
  desp.m.ik[mes], "&lt;"&amp;EOMONTH(U$1,0)+1
)</f>
        <v>0</v>
      </c>
      <c r="V184" s="183">
        <f ca="1">-SUMIFS(
  desp.m.ik[valor],
  desp.m.ik[nucleo], $B184,
  desp.m.ik[centro.negocio], $B$179,
  desp.m.ik[mes], "&gt;="&amp;V$1,
  desp.m.ik[mes], "&lt;"&amp;EOMONTH(V$1,0)+1
)</f>
        <v>0</v>
      </c>
      <c r="W184" s="183">
        <f ca="1">-SUMIFS(
  desp.m.ik[valor],
  desp.m.ik[nucleo], $B184,
  desp.m.ik[centro.negocio], $B$179,
  desp.m.ik[mes], "&gt;="&amp;W$1,
  desp.m.ik[mes], "&lt;"&amp;EOMONTH(W$1,0)+1
)</f>
        <v>0</v>
      </c>
      <c r="X184" s="183">
        <f ca="1">-SUMIFS(
  desp.m.ik[valor],
  desp.m.ik[nucleo], $B184,
  desp.m.ik[centro.negocio], $B$179,
  desp.m.ik[mes], "&gt;="&amp;X$1,
  desp.m.ik[mes], "&lt;"&amp;EOMONTH(X$1,0)+1
)</f>
        <v>0</v>
      </c>
      <c r="Y184" s="183">
        <f ca="1">-SUMIFS(
  desp.m.ik[valor],
  desp.m.ik[nucleo], $B184,
  desp.m.ik[centro.negocio], $B$179,
  desp.m.ik[mes], "&gt;="&amp;Y$1,
  desp.m.ik[mes], "&lt;"&amp;EOMONTH(Y$1,0)+1
)</f>
        <v>0</v>
      </c>
      <c r="Z184" s="183">
        <f ca="1">-SUMIFS(
  desp.m.ik[valor],
  desp.m.ik[nucleo], $B184,
  desp.m.ik[centro.negocio], $B$179,
  desp.m.ik[mes], "&gt;="&amp;Z$1,
  desp.m.ik[mes], "&lt;"&amp;EOMONTH(Z$1,0)+1
)</f>
        <v>0</v>
      </c>
      <c r="AA184" s="183">
        <f ca="1">-SUMIFS(
  desp.m.ik[valor],
  desp.m.ik[nucleo], $B184,
  desp.m.ik[centro.negocio], $B$179,
  desp.m.ik[mes], "&gt;="&amp;AA$1,
  desp.m.ik[mes], "&lt;"&amp;EOMONTH(AA$1,0)+1
)</f>
        <v>0</v>
      </c>
      <c r="AC184" s="175">
        <f ca="1">SUM($D184:INDEX($D184:$AA184,1,MATCH(DATE(YEAR(inputs!$A$1),MONTH(inputs!$A$1),1),$D$1:$AA$1,0)))</f>
        <v>0</v>
      </c>
      <c r="AE184" s="175">
        <f ca="1">SUM(D184:AA184)</f>
        <v>0</v>
      </c>
    </row>
    <row r="185" spans="1:31" outlineLevel="2" x14ac:dyDescent="0.25">
      <c r="A185" s="182" t="s">
        <v>601</v>
      </c>
      <c r="B185" s="182" t="s">
        <v>531</v>
      </c>
      <c r="C185" s="135" t="s">
        <v>514</v>
      </c>
      <c r="D185" s="183">
        <f ca="1">-SUMIFS(
  desp.m.ik[valor],
  desp.m.ik[nucleo], $B185,
  desp.m.ik[centro.negocio], $B$179,
  desp.m.ik[mes], "&gt;="&amp;D$1,
  desp.m.ik[mes], "&lt;"&amp;EOMONTH(D$1,0)+1
)</f>
        <v>0</v>
      </c>
      <c r="E185" s="183">
        <f ca="1">-SUMIFS(
  desp.m.ik[valor],
  desp.m.ik[nucleo], $B185,
  desp.m.ik[centro.negocio], $B$179,
  desp.m.ik[mes], "&gt;="&amp;E$1,
  desp.m.ik[mes], "&lt;"&amp;EOMONTH(E$1,0)+1
)</f>
        <v>0</v>
      </c>
      <c r="F185" s="183">
        <f ca="1">-SUMIFS(
  desp.m.ik[valor],
  desp.m.ik[nucleo], $B185,
  desp.m.ik[centro.negocio], $B$179,
  desp.m.ik[mes], "&gt;="&amp;F$1,
  desp.m.ik[mes], "&lt;"&amp;EOMONTH(F$1,0)+1
)</f>
        <v>0</v>
      </c>
      <c r="G185" s="183">
        <f ca="1">-SUMIFS(
  desp.m.ik[valor],
  desp.m.ik[nucleo], $B185,
  desp.m.ik[centro.negocio], $B$179,
  desp.m.ik[mes], "&gt;="&amp;G$1,
  desp.m.ik[mes], "&lt;"&amp;EOMONTH(G$1,0)+1
)</f>
        <v>0</v>
      </c>
      <c r="H185" s="183">
        <f ca="1">-SUMIFS(
  desp.m.ik[valor],
  desp.m.ik[nucleo], $B185,
  desp.m.ik[centro.negocio], $B$179,
  desp.m.ik[mes], "&gt;="&amp;H$1,
  desp.m.ik[mes], "&lt;"&amp;EOMONTH(H$1,0)+1
)</f>
        <v>0</v>
      </c>
      <c r="I185" s="183">
        <f ca="1">-SUMIFS(
  desp.m.ik[valor],
  desp.m.ik[nucleo], $B185,
  desp.m.ik[centro.negocio], $B$179,
  desp.m.ik[mes], "&gt;="&amp;I$1,
  desp.m.ik[mes], "&lt;"&amp;EOMONTH(I$1,0)+1
)</f>
        <v>0</v>
      </c>
      <c r="J185" s="183">
        <f ca="1">-SUMIFS(
  desp.m.ik[valor],
  desp.m.ik[nucleo], $B185,
  desp.m.ik[centro.negocio], $B$179,
  desp.m.ik[mes], "&gt;="&amp;J$1,
  desp.m.ik[mes], "&lt;"&amp;EOMONTH(J$1,0)+1
)</f>
        <v>0</v>
      </c>
      <c r="K185" s="183">
        <f ca="1">-SUMIFS(
  desp.m.ik[valor],
  desp.m.ik[nucleo], $B185,
  desp.m.ik[centro.negocio], $B$179,
  desp.m.ik[mes], "&gt;="&amp;K$1,
  desp.m.ik[mes], "&lt;"&amp;EOMONTH(K$1,0)+1
)</f>
        <v>0</v>
      </c>
      <c r="L185" s="183">
        <f ca="1">-SUMIFS(
  desp.m.ik[valor],
  desp.m.ik[nucleo], $B185,
  desp.m.ik[centro.negocio], $B$179,
  desp.m.ik[mes], "&gt;="&amp;L$1,
  desp.m.ik[mes], "&lt;"&amp;EOMONTH(L$1,0)+1
)</f>
        <v>0</v>
      </c>
      <c r="M185" s="183">
        <f ca="1">-SUMIFS(
  desp.m.ik[valor],
  desp.m.ik[nucleo], $B185,
  desp.m.ik[centro.negocio], $B$179,
  desp.m.ik[mes], "&gt;="&amp;M$1,
  desp.m.ik[mes], "&lt;"&amp;EOMONTH(M$1,0)+1
)</f>
        <v>0</v>
      </c>
      <c r="N185" s="183">
        <f ca="1">-SUMIFS(
  desp.m.ik[valor],
  desp.m.ik[nucleo], $B185,
  desp.m.ik[centro.negocio], $B$179,
  desp.m.ik[mes], "&gt;="&amp;N$1,
  desp.m.ik[mes], "&lt;"&amp;EOMONTH(N$1,0)+1
)</f>
        <v>0</v>
      </c>
      <c r="O185" s="183">
        <f ca="1">-SUMIFS(
  desp.m.ik[valor],
  desp.m.ik[nucleo], $B185,
  desp.m.ik[centro.negocio], $B$179,
  desp.m.ik[mes], "&gt;="&amp;O$1,
  desp.m.ik[mes], "&lt;"&amp;EOMONTH(O$1,0)+1
)</f>
        <v>0</v>
      </c>
      <c r="P185" s="183">
        <f ca="1">-SUMIFS(
  desp.m.ik[valor],
  desp.m.ik[nucleo], $B185,
  desp.m.ik[centro.negocio], $B$179,
  desp.m.ik[mes], "&gt;="&amp;P$1,
  desp.m.ik[mes], "&lt;"&amp;EOMONTH(P$1,0)+1
)</f>
        <v>0</v>
      </c>
      <c r="Q185" s="183">
        <f ca="1">-SUMIFS(
  desp.m.ik[valor],
  desp.m.ik[nucleo], $B185,
  desp.m.ik[centro.negocio], $B$179,
  desp.m.ik[mes], "&gt;="&amp;Q$1,
  desp.m.ik[mes], "&lt;"&amp;EOMONTH(Q$1,0)+1
)</f>
        <v>0</v>
      </c>
      <c r="R185" s="183">
        <f ca="1">-SUMIFS(
  desp.m.ik[valor],
  desp.m.ik[nucleo], $B185,
  desp.m.ik[centro.negocio], $B$179,
  desp.m.ik[mes], "&gt;="&amp;R$1,
  desp.m.ik[mes], "&lt;"&amp;EOMONTH(R$1,0)+1
)</f>
        <v>0</v>
      </c>
      <c r="S185" s="183">
        <f ca="1">-SUMIFS(
  desp.m.ik[valor],
  desp.m.ik[nucleo], $B185,
  desp.m.ik[centro.negocio], $B$179,
  desp.m.ik[mes], "&gt;="&amp;S$1,
  desp.m.ik[mes], "&lt;"&amp;EOMONTH(S$1,0)+1
)</f>
        <v>0</v>
      </c>
      <c r="T185" s="183">
        <f ca="1">-SUMIFS(
  desp.m.ik[valor],
  desp.m.ik[nucleo], $B185,
  desp.m.ik[centro.negocio], $B$179,
  desp.m.ik[mes], "&gt;="&amp;T$1,
  desp.m.ik[mes], "&lt;"&amp;EOMONTH(T$1,0)+1
)</f>
        <v>0</v>
      </c>
      <c r="U185" s="183">
        <f ca="1">-SUMIFS(
  desp.m.ik[valor],
  desp.m.ik[nucleo], $B185,
  desp.m.ik[centro.negocio], $B$179,
  desp.m.ik[mes], "&gt;="&amp;U$1,
  desp.m.ik[mes], "&lt;"&amp;EOMONTH(U$1,0)+1
)</f>
        <v>0</v>
      </c>
      <c r="V185" s="183">
        <f ca="1">-SUMIFS(
  desp.m.ik[valor],
  desp.m.ik[nucleo], $B185,
  desp.m.ik[centro.negocio], $B$179,
  desp.m.ik[mes], "&gt;="&amp;V$1,
  desp.m.ik[mes], "&lt;"&amp;EOMONTH(V$1,0)+1
)</f>
        <v>0</v>
      </c>
      <c r="W185" s="183">
        <f ca="1">-SUMIFS(
  desp.m.ik[valor],
  desp.m.ik[nucleo], $B185,
  desp.m.ik[centro.negocio], $B$179,
  desp.m.ik[mes], "&gt;="&amp;W$1,
  desp.m.ik[mes], "&lt;"&amp;EOMONTH(W$1,0)+1
)</f>
        <v>0</v>
      </c>
      <c r="X185" s="183">
        <f ca="1">-SUMIFS(
  desp.m.ik[valor],
  desp.m.ik[nucleo], $B185,
  desp.m.ik[centro.negocio], $B$179,
  desp.m.ik[mes], "&gt;="&amp;X$1,
  desp.m.ik[mes], "&lt;"&amp;EOMONTH(X$1,0)+1
)</f>
        <v>0</v>
      </c>
      <c r="Y185" s="183">
        <f ca="1">-SUMIFS(
  desp.m.ik[valor],
  desp.m.ik[nucleo], $B185,
  desp.m.ik[centro.negocio], $B$179,
  desp.m.ik[mes], "&gt;="&amp;Y$1,
  desp.m.ik[mes], "&lt;"&amp;EOMONTH(Y$1,0)+1
)</f>
        <v>0</v>
      </c>
      <c r="Z185" s="183">
        <f ca="1">-SUMIFS(
  desp.m.ik[valor],
  desp.m.ik[nucleo], $B185,
  desp.m.ik[centro.negocio], $B$179,
  desp.m.ik[mes], "&gt;="&amp;Z$1,
  desp.m.ik[mes], "&lt;"&amp;EOMONTH(Z$1,0)+1
)</f>
        <v>0</v>
      </c>
      <c r="AA185" s="183">
        <f ca="1">-SUMIFS(
  desp.m.ik[valor],
  desp.m.ik[nucleo], $B185,
  desp.m.ik[centro.negocio], $B$179,
  desp.m.ik[mes], "&gt;="&amp;AA$1,
  desp.m.ik[mes], "&lt;"&amp;EOMONTH(AA$1,0)+1
)</f>
        <v>0</v>
      </c>
      <c r="AC185" s="175">
        <f ca="1">SUM($D185:INDEX($D185:$AA185,1,MATCH(DATE(YEAR(inputs!$A$1),MONTH(inputs!$A$1),1),$D$1:$AA$1,0)))</f>
        <v>0</v>
      </c>
      <c r="AE185" s="175">
        <f t="shared" ca="1" si="32"/>
        <v>0</v>
      </c>
    </row>
    <row r="186" spans="1:31" outlineLevel="2" x14ac:dyDescent="0.25">
      <c r="A186" s="182" t="s">
        <v>602</v>
      </c>
      <c r="B186" s="182" t="s">
        <v>533</v>
      </c>
      <c r="C186" s="135" t="s">
        <v>514</v>
      </c>
      <c r="D186" s="183">
        <f ca="1">-SUMIFS(
  desp.m.ik[valor],
  desp.m.ik[nucleo], $B186,
  desp.m.ik[centro.negocio], $B$179,
  desp.m.ik[mes], "&gt;="&amp;D$1,
  desp.m.ik[mes], "&lt;"&amp;EOMONTH(D$1,0)+1
)</f>
        <v>0</v>
      </c>
      <c r="E186" s="183">
        <f ca="1">-SUMIFS(
  desp.m.ik[valor],
  desp.m.ik[nucleo], $B186,
  desp.m.ik[centro.negocio], $B$179,
  desp.m.ik[mes], "&gt;="&amp;E$1,
  desp.m.ik[mes], "&lt;"&amp;EOMONTH(E$1,0)+1
)</f>
        <v>0</v>
      </c>
      <c r="F186" s="183">
        <f ca="1">-SUMIFS(
  desp.m.ik[valor],
  desp.m.ik[nucleo], $B186,
  desp.m.ik[centro.negocio], $B$179,
  desp.m.ik[mes], "&gt;="&amp;F$1,
  desp.m.ik[mes], "&lt;"&amp;EOMONTH(F$1,0)+1
)</f>
        <v>0</v>
      </c>
      <c r="G186" s="183">
        <f ca="1">-SUMIFS(
  desp.m.ik[valor],
  desp.m.ik[nucleo], $B186,
  desp.m.ik[centro.negocio], $B$179,
  desp.m.ik[mes], "&gt;="&amp;G$1,
  desp.m.ik[mes], "&lt;"&amp;EOMONTH(G$1,0)+1
)</f>
        <v>0</v>
      </c>
      <c r="H186" s="183">
        <f ca="1">-SUMIFS(
  desp.m.ik[valor],
  desp.m.ik[nucleo], $B186,
  desp.m.ik[centro.negocio], $B$179,
  desp.m.ik[mes], "&gt;="&amp;H$1,
  desp.m.ik[mes], "&lt;"&amp;EOMONTH(H$1,0)+1
)</f>
        <v>0</v>
      </c>
      <c r="I186" s="183">
        <f ca="1">-SUMIFS(
  desp.m.ik[valor],
  desp.m.ik[nucleo], $B186,
  desp.m.ik[centro.negocio], $B$179,
  desp.m.ik[mes], "&gt;="&amp;I$1,
  desp.m.ik[mes], "&lt;"&amp;EOMONTH(I$1,0)+1
)</f>
        <v>0</v>
      </c>
      <c r="J186" s="183">
        <f ca="1">-SUMIFS(
  desp.m.ik[valor],
  desp.m.ik[nucleo], $B186,
  desp.m.ik[centro.negocio], $B$179,
  desp.m.ik[mes], "&gt;="&amp;J$1,
  desp.m.ik[mes], "&lt;"&amp;EOMONTH(J$1,0)+1
)</f>
        <v>0</v>
      </c>
      <c r="K186" s="183">
        <f ca="1">-SUMIFS(
  desp.m.ik[valor],
  desp.m.ik[nucleo], $B186,
  desp.m.ik[centro.negocio], $B$179,
  desp.m.ik[mes], "&gt;="&amp;K$1,
  desp.m.ik[mes], "&lt;"&amp;EOMONTH(K$1,0)+1
)</f>
        <v>0</v>
      </c>
      <c r="L186" s="183">
        <f ca="1">-SUMIFS(
  desp.m.ik[valor],
  desp.m.ik[nucleo], $B186,
  desp.m.ik[centro.negocio], $B$179,
  desp.m.ik[mes], "&gt;="&amp;L$1,
  desp.m.ik[mes], "&lt;"&amp;EOMONTH(L$1,0)+1
)</f>
        <v>0</v>
      </c>
      <c r="M186" s="183">
        <f ca="1">-SUMIFS(
  desp.m.ik[valor],
  desp.m.ik[nucleo], $B186,
  desp.m.ik[centro.negocio], $B$179,
  desp.m.ik[mes], "&gt;="&amp;M$1,
  desp.m.ik[mes], "&lt;"&amp;EOMONTH(M$1,0)+1
)</f>
        <v>0</v>
      </c>
      <c r="N186" s="183">
        <f ca="1">-SUMIFS(
  desp.m.ik[valor],
  desp.m.ik[nucleo], $B186,
  desp.m.ik[centro.negocio], $B$179,
  desp.m.ik[mes], "&gt;="&amp;N$1,
  desp.m.ik[mes], "&lt;"&amp;EOMONTH(N$1,0)+1
)</f>
        <v>0</v>
      </c>
      <c r="O186" s="183">
        <f ca="1">-SUMIFS(
  desp.m.ik[valor],
  desp.m.ik[nucleo], $B186,
  desp.m.ik[centro.negocio], $B$179,
  desp.m.ik[mes], "&gt;="&amp;O$1,
  desp.m.ik[mes], "&lt;"&amp;EOMONTH(O$1,0)+1
)</f>
        <v>0</v>
      </c>
      <c r="P186" s="183">
        <f ca="1">-SUMIFS(
  desp.m.ik[valor],
  desp.m.ik[nucleo], $B186,
  desp.m.ik[centro.negocio], $B$179,
  desp.m.ik[mes], "&gt;="&amp;P$1,
  desp.m.ik[mes], "&lt;"&amp;EOMONTH(P$1,0)+1
)</f>
        <v>0</v>
      </c>
      <c r="Q186" s="183">
        <f ca="1">-SUMIFS(
  desp.m.ik[valor],
  desp.m.ik[nucleo], $B186,
  desp.m.ik[centro.negocio], $B$179,
  desp.m.ik[mes], "&gt;="&amp;Q$1,
  desp.m.ik[mes], "&lt;"&amp;EOMONTH(Q$1,0)+1
)</f>
        <v>0</v>
      </c>
      <c r="R186" s="183">
        <f ca="1">-SUMIFS(
  desp.m.ik[valor],
  desp.m.ik[nucleo], $B186,
  desp.m.ik[centro.negocio], $B$179,
  desp.m.ik[mes], "&gt;="&amp;R$1,
  desp.m.ik[mes], "&lt;"&amp;EOMONTH(R$1,0)+1
)</f>
        <v>0</v>
      </c>
      <c r="S186" s="183">
        <f ca="1">-SUMIFS(
  desp.m.ik[valor],
  desp.m.ik[nucleo], $B186,
  desp.m.ik[centro.negocio], $B$179,
  desp.m.ik[mes], "&gt;="&amp;S$1,
  desp.m.ik[mes], "&lt;"&amp;EOMONTH(S$1,0)+1
)</f>
        <v>0</v>
      </c>
      <c r="T186" s="183">
        <f ca="1">-SUMIFS(
  desp.m.ik[valor],
  desp.m.ik[nucleo], $B186,
  desp.m.ik[centro.negocio], $B$179,
  desp.m.ik[mes], "&gt;="&amp;T$1,
  desp.m.ik[mes], "&lt;"&amp;EOMONTH(T$1,0)+1
)</f>
        <v>0</v>
      </c>
      <c r="U186" s="183">
        <f ca="1">-SUMIFS(
  desp.m.ik[valor],
  desp.m.ik[nucleo], $B186,
  desp.m.ik[centro.negocio], $B$179,
  desp.m.ik[mes], "&gt;="&amp;U$1,
  desp.m.ik[mes], "&lt;"&amp;EOMONTH(U$1,0)+1
)</f>
        <v>0</v>
      </c>
      <c r="V186" s="183">
        <f ca="1">-SUMIFS(
  desp.m.ik[valor],
  desp.m.ik[nucleo], $B186,
  desp.m.ik[centro.negocio], $B$179,
  desp.m.ik[mes], "&gt;="&amp;V$1,
  desp.m.ik[mes], "&lt;"&amp;EOMONTH(V$1,0)+1
)</f>
        <v>0</v>
      </c>
      <c r="W186" s="183">
        <f ca="1">-SUMIFS(
  desp.m.ik[valor],
  desp.m.ik[nucleo], $B186,
  desp.m.ik[centro.negocio], $B$179,
  desp.m.ik[mes], "&gt;="&amp;W$1,
  desp.m.ik[mes], "&lt;"&amp;EOMONTH(W$1,0)+1
)</f>
        <v>0</v>
      </c>
      <c r="X186" s="183">
        <f ca="1">-SUMIFS(
  desp.m.ik[valor],
  desp.m.ik[nucleo], $B186,
  desp.m.ik[centro.negocio], $B$179,
  desp.m.ik[mes], "&gt;="&amp;X$1,
  desp.m.ik[mes], "&lt;"&amp;EOMONTH(X$1,0)+1
)</f>
        <v>0</v>
      </c>
      <c r="Y186" s="183">
        <f ca="1">-SUMIFS(
  desp.m.ik[valor],
  desp.m.ik[nucleo], $B186,
  desp.m.ik[centro.negocio], $B$179,
  desp.m.ik[mes], "&gt;="&amp;Y$1,
  desp.m.ik[mes], "&lt;"&amp;EOMONTH(Y$1,0)+1
)</f>
        <v>0</v>
      </c>
      <c r="Z186" s="183">
        <f ca="1">-SUMIFS(
  desp.m.ik[valor],
  desp.m.ik[nucleo], $B186,
  desp.m.ik[centro.negocio], $B$179,
  desp.m.ik[mes], "&gt;="&amp;Z$1,
  desp.m.ik[mes], "&lt;"&amp;EOMONTH(Z$1,0)+1
)</f>
        <v>0</v>
      </c>
      <c r="AA186" s="183">
        <f ca="1">-SUMIFS(
  desp.m.ik[valor],
  desp.m.ik[nucleo], $B186,
  desp.m.ik[centro.negocio], $B$179,
  desp.m.ik[mes], "&gt;="&amp;AA$1,
  desp.m.ik[mes], "&lt;"&amp;EOMONTH(AA$1,0)+1
)</f>
        <v>0</v>
      </c>
      <c r="AC186" s="175">
        <f ca="1">SUM($D186:INDEX($D186:$AA186,1,MATCH(DATE(YEAR(inputs!$A$1),MONTH(inputs!$A$1),1),$D$1:$AA$1,0)))</f>
        <v>0</v>
      </c>
      <c r="AE186" s="175">
        <f t="shared" ca="1" si="32"/>
        <v>0</v>
      </c>
    </row>
    <row r="187" spans="1:31" outlineLevel="2" x14ac:dyDescent="0.25">
      <c r="A187" s="182" t="s">
        <v>603</v>
      </c>
      <c r="B187" s="182" t="s">
        <v>578</v>
      </c>
      <c r="C187" s="135" t="s">
        <v>514</v>
      </c>
      <c r="D187" s="183">
        <f ca="1">-SUMIFS(
  desp.m.ik[valor],
  desp.m.ik[nucleo], $B187,
  desp.m.ik[centro.negocio], $B$179,
  desp.m.ik[mes], "&gt;="&amp;D$1,
  desp.m.ik[mes], "&lt;"&amp;EOMONTH(D$1,0)+1
)</f>
        <v>0</v>
      </c>
      <c r="E187" s="183">
        <f ca="1">-SUMIFS(
  desp.m.ik[valor],
  desp.m.ik[nucleo], $B187,
  desp.m.ik[centro.negocio], $B$179,
  desp.m.ik[mes], "&gt;="&amp;E$1,
  desp.m.ik[mes], "&lt;"&amp;EOMONTH(E$1,0)+1
)</f>
        <v>0</v>
      </c>
      <c r="F187" s="183">
        <f ca="1">-SUMIFS(
  desp.m.ik[valor],
  desp.m.ik[nucleo], $B187,
  desp.m.ik[centro.negocio], $B$179,
  desp.m.ik[mes], "&gt;="&amp;F$1,
  desp.m.ik[mes], "&lt;"&amp;EOMONTH(F$1,0)+1
)</f>
        <v>0</v>
      </c>
      <c r="G187" s="183">
        <f ca="1">-SUMIFS(
  desp.m.ik[valor],
  desp.m.ik[nucleo], $B187,
  desp.m.ik[centro.negocio], $B$179,
  desp.m.ik[mes], "&gt;="&amp;G$1,
  desp.m.ik[mes], "&lt;"&amp;EOMONTH(G$1,0)+1
)</f>
        <v>0</v>
      </c>
      <c r="H187" s="183">
        <f ca="1">-SUMIFS(
  desp.m.ik[valor],
  desp.m.ik[nucleo], $B187,
  desp.m.ik[centro.negocio], $B$179,
  desp.m.ik[mes], "&gt;="&amp;H$1,
  desp.m.ik[mes], "&lt;"&amp;EOMONTH(H$1,0)+1
)</f>
        <v>0</v>
      </c>
      <c r="I187" s="183">
        <f ca="1">-SUMIFS(
  desp.m.ik[valor],
  desp.m.ik[nucleo], $B187,
  desp.m.ik[centro.negocio], $B$179,
  desp.m.ik[mes], "&gt;="&amp;I$1,
  desp.m.ik[mes], "&lt;"&amp;EOMONTH(I$1,0)+1
)</f>
        <v>0</v>
      </c>
      <c r="J187" s="183">
        <f ca="1">-SUMIFS(
  desp.m.ik[valor],
  desp.m.ik[nucleo], $B187,
  desp.m.ik[centro.negocio], $B$179,
  desp.m.ik[mes], "&gt;="&amp;J$1,
  desp.m.ik[mes], "&lt;"&amp;EOMONTH(J$1,0)+1
)</f>
        <v>0</v>
      </c>
      <c r="K187" s="183">
        <f ca="1">-SUMIFS(
  desp.m.ik[valor],
  desp.m.ik[nucleo], $B187,
  desp.m.ik[centro.negocio], $B$179,
  desp.m.ik[mes], "&gt;="&amp;K$1,
  desp.m.ik[mes], "&lt;"&amp;EOMONTH(K$1,0)+1
)</f>
        <v>0</v>
      </c>
      <c r="L187" s="183">
        <f ca="1">-SUMIFS(
  desp.m.ik[valor],
  desp.m.ik[nucleo], $B187,
  desp.m.ik[centro.negocio], $B$179,
  desp.m.ik[mes], "&gt;="&amp;L$1,
  desp.m.ik[mes], "&lt;"&amp;EOMONTH(L$1,0)+1
)</f>
        <v>0</v>
      </c>
      <c r="M187" s="183">
        <f ca="1">-SUMIFS(
  desp.m.ik[valor],
  desp.m.ik[nucleo], $B187,
  desp.m.ik[centro.negocio], $B$179,
  desp.m.ik[mes], "&gt;="&amp;M$1,
  desp.m.ik[mes], "&lt;"&amp;EOMONTH(M$1,0)+1
)</f>
        <v>0</v>
      </c>
      <c r="N187" s="183">
        <f ca="1">-SUMIFS(
  desp.m.ik[valor],
  desp.m.ik[nucleo], $B187,
  desp.m.ik[centro.negocio], $B$179,
  desp.m.ik[mes], "&gt;="&amp;N$1,
  desp.m.ik[mes], "&lt;"&amp;EOMONTH(N$1,0)+1
)</f>
        <v>0</v>
      </c>
      <c r="O187" s="183">
        <f ca="1">-SUMIFS(
  desp.m.ik[valor],
  desp.m.ik[nucleo], $B187,
  desp.m.ik[centro.negocio], $B$179,
  desp.m.ik[mes], "&gt;="&amp;O$1,
  desp.m.ik[mes], "&lt;"&amp;EOMONTH(O$1,0)+1
)</f>
        <v>0</v>
      </c>
      <c r="P187" s="183">
        <f ca="1">-SUMIFS(
  desp.m.ik[valor],
  desp.m.ik[nucleo], $B187,
  desp.m.ik[centro.negocio], $B$179,
  desp.m.ik[mes], "&gt;="&amp;P$1,
  desp.m.ik[mes], "&lt;"&amp;EOMONTH(P$1,0)+1
)</f>
        <v>0</v>
      </c>
      <c r="Q187" s="183">
        <f ca="1">-SUMIFS(
  desp.m.ik[valor],
  desp.m.ik[nucleo], $B187,
  desp.m.ik[centro.negocio], $B$179,
  desp.m.ik[mes], "&gt;="&amp;Q$1,
  desp.m.ik[mes], "&lt;"&amp;EOMONTH(Q$1,0)+1
)</f>
        <v>0</v>
      </c>
      <c r="R187" s="183">
        <f ca="1">-SUMIFS(
  desp.m.ik[valor],
  desp.m.ik[nucleo], $B187,
  desp.m.ik[centro.negocio], $B$179,
  desp.m.ik[mes], "&gt;="&amp;R$1,
  desp.m.ik[mes], "&lt;"&amp;EOMONTH(R$1,0)+1
)</f>
        <v>0</v>
      </c>
      <c r="S187" s="183">
        <f ca="1">-SUMIFS(
  desp.m.ik[valor],
  desp.m.ik[nucleo], $B187,
  desp.m.ik[centro.negocio], $B$179,
  desp.m.ik[mes], "&gt;="&amp;S$1,
  desp.m.ik[mes], "&lt;"&amp;EOMONTH(S$1,0)+1
)</f>
        <v>0</v>
      </c>
      <c r="T187" s="183">
        <f ca="1">-SUMIFS(
  desp.m.ik[valor],
  desp.m.ik[nucleo], $B187,
  desp.m.ik[centro.negocio], $B$179,
  desp.m.ik[mes], "&gt;="&amp;T$1,
  desp.m.ik[mes], "&lt;"&amp;EOMONTH(T$1,0)+1
)</f>
        <v>0</v>
      </c>
      <c r="U187" s="183">
        <f ca="1">-SUMIFS(
  desp.m.ik[valor],
  desp.m.ik[nucleo], $B187,
  desp.m.ik[centro.negocio], $B$179,
  desp.m.ik[mes], "&gt;="&amp;U$1,
  desp.m.ik[mes], "&lt;"&amp;EOMONTH(U$1,0)+1
)</f>
        <v>0</v>
      </c>
      <c r="V187" s="183">
        <f ca="1">-SUMIFS(
  desp.m.ik[valor],
  desp.m.ik[nucleo], $B187,
  desp.m.ik[centro.negocio], $B$179,
  desp.m.ik[mes], "&gt;="&amp;V$1,
  desp.m.ik[mes], "&lt;"&amp;EOMONTH(V$1,0)+1
)</f>
        <v>0</v>
      </c>
      <c r="W187" s="183">
        <f ca="1">-SUMIFS(
  desp.m.ik[valor],
  desp.m.ik[nucleo], $B187,
  desp.m.ik[centro.negocio], $B$179,
  desp.m.ik[mes], "&gt;="&amp;W$1,
  desp.m.ik[mes], "&lt;"&amp;EOMONTH(W$1,0)+1
)</f>
        <v>0</v>
      </c>
      <c r="X187" s="183">
        <f ca="1">-SUMIFS(
  desp.m.ik[valor],
  desp.m.ik[nucleo], $B187,
  desp.m.ik[centro.negocio], $B$179,
  desp.m.ik[mes], "&gt;="&amp;X$1,
  desp.m.ik[mes], "&lt;"&amp;EOMONTH(X$1,0)+1
)</f>
        <v>0</v>
      </c>
      <c r="Y187" s="183">
        <f ca="1">-SUMIFS(
  desp.m.ik[valor],
  desp.m.ik[nucleo], $B187,
  desp.m.ik[centro.negocio], $B$179,
  desp.m.ik[mes], "&gt;="&amp;Y$1,
  desp.m.ik[mes], "&lt;"&amp;EOMONTH(Y$1,0)+1
)</f>
        <v>0</v>
      </c>
      <c r="Z187" s="183">
        <f ca="1">-SUMIFS(
  desp.m.ik[valor],
  desp.m.ik[nucleo], $B187,
  desp.m.ik[centro.negocio], $B$179,
  desp.m.ik[mes], "&gt;="&amp;Z$1,
  desp.m.ik[mes], "&lt;"&amp;EOMONTH(Z$1,0)+1
)</f>
        <v>0</v>
      </c>
      <c r="AA187" s="183">
        <f ca="1">-SUMIFS(
  desp.m.ik[valor],
  desp.m.ik[nucleo], $B187,
  desp.m.ik[centro.negocio], $B$179,
  desp.m.ik[mes], "&gt;="&amp;AA$1,
  desp.m.ik[mes], "&lt;"&amp;EOMONTH(AA$1,0)+1
)</f>
        <v>0</v>
      </c>
      <c r="AC187" s="175">
        <f ca="1">SUM($D187:INDEX($D187:$AA187,1,MATCH(DATE(YEAR(inputs!$A$1),MONTH(inputs!$A$1),1),$D$1:$AA$1,0)))</f>
        <v>0</v>
      </c>
      <c r="AE187" s="175">
        <f t="shared" ca="1" si="32"/>
        <v>0</v>
      </c>
    </row>
    <row r="188" spans="1:31" outlineLevel="2" x14ac:dyDescent="0.25">
      <c r="A188" s="182" t="s">
        <v>605</v>
      </c>
      <c r="B188" s="182" t="s">
        <v>541</v>
      </c>
      <c r="C188" s="135" t="s">
        <v>514</v>
      </c>
      <c r="D188" s="183">
        <f ca="1">-SUMIFS(
  desp.m.ik[valor],
  desp.m.ik[nucleo], $B188,
  desp.m.ik[centro.negocio], $B$179,
  desp.m.ik[mes], "&gt;="&amp;D$1,
  desp.m.ik[mes], "&lt;"&amp;EOMONTH(D$1,0)+1
)</f>
        <v>0</v>
      </c>
      <c r="E188" s="183">
        <f ca="1">-SUMIFS(
  desp.m.ik[valor],
  desp.m.ik[nucleo], $B188,
  desp.m.ik[centro.negocio], $B$179,
  desp.m.ik[mes], "&gt;="&amp;E$1,
  desp.m.ik[mes], "&lt;"&amp;EOMONTH(E$1,0)+1
)</f>
        <v>0</v>
      </c>
      <c r="F188" s="183">
        <f ca="1">-SUMIFS(
  desp.m.ik[valor],
  desp.m.ik[nucleo], $B188,
  desp.m.ik[centro.negocio], $B$179,
  desp.m.ik[mes], "&gt;="&amp;F$1,
  desp.m.ik[mes], "&lt;"&amp;EOMONTH(F$1,0)+1
)</f>
        <v>0</v>
      </c>
      <c r="G188" s="183">
        <f ca="1">-SUMIFS(
  desp.m.ik[valor],
  desp.m.ik[nucleo], $B188,
  desp.m.ik[centro.negocio], $B$179,
  desp.m.ik[mes], "&gt;="&amp;G$1,
  desp.m.ik[mes], "&lt;"&amp;EOMONTH(G$1,0)+1
)</f>
        <v>0</v>
      </c>
      <c r="H188" s="183">
        <f ca="1">-SUMIFS(
  desp.m.ik[valor],
  desp.m.ik[nucleo], $B188,
  desp.m.ik[centro.negocio], $B$179,
  desp.m.ik[mes], "&gt;="&amp;H$1,
  desp.m.ik[mes], "&lt;"&amp;EOMONTH(H$1,0)+1
)</f>
        <v>0</v>
      </c>
      <c r="I188" s="183">
        <f ca="1">-SUMIFS(
  desp.m.ik[valor],
  desp.m.ik[nucleo], $B188,
  desp.m.ik[centro.negocio], $B$179,
  desp.m.ik[mes], "&gt;="&amp;I$1,
  desp.m.ik[mes], "&lt;"&amp;EOMONTH(I$1,0)+1
)</f>
        <v>0</v>
      </c>
      <c r="J188" s="183">
        <f ca="1">-SUMIFS(
  desp.m.ik[valor],
  desp.m.ik[nucleo], $B188,
  desp.m.ik[centro.negocio], $B$179,
  desp.m.ik[mes], "&gt;="&amp;J$1,
  desp.m.ik[mes], "&lt;"&amp;EOMONTH(J$1,0)+1
)</f>
        <v>0</v>
      </c>
      <c r="K188" s="183">
        <f ca="1">-SUMIFS(
  desp.m.ik[valor],
  desp.m.ik[nucleo], $B188,
  desp.m.ik[centro.negocio], $B$179,
  desp.m.ik[mes], "&gt;="&amp;K$1,
  desp.m.ik[mes], "&lt;"&amp;EOMONTH(K$1,0)+1
)</f>
        <v>0</v>
      </c>
      <c r="L188" s="183">
        <f ca="1">-SUMIFS(
  desp.m.ik[valor],
  desp.m.ik[nucleo], $B188,
  desp.m.ik[centro.negocio], $B$179,
  desp.m.ik[mes], "&gt;="&amp;L$1,
  desp.m.ik[mes], "&lt;"&amp;EOMONTH(L$1,0)+1
)</f>
        <v>0</v>
      </c>
      <c r="M188" s="183">
        <f ca="1">-SUMIFS(
  desp.m.ik[valor],
  desp.m.ik[nucleo], $B188,
  desp.m.ik[centro.negocio], $B$179,
  desp.m.ik[mes], "&gt;="&amp;M$1,
  desp.m.ik[mes], "&lt;"&amp;EOMONTH(M$1,0)+1
)</f>
        <v>0</v>
      </c>
      <c r="N188" s="183">
        <f ca="1">-SUMIFS(
  desp.m.ik[valor],
  desp.m.ik[nucleo], $B188,
  desp.m.ik[centro.negocio], $B$179,
  desp.m.ik[mes], "&gt;="&amp;N$1,
  desp.m.ik[mes], "&lt;"&amp;EOMONTH(N$1,0)+1
)</f>
        <v>0</v>
      </c>
      <c r="O188" s="183">
        <f ca="1">-SUMIFS(
  desp.m.ik[valor],
  desp.m.ik[nucleo], $B188,
  desp.m.ik[centro.negocio], $B$179,
  desp.m.ik[mes], "&gt;="&amp;O$1,
  desp.m.ik[mes], "&lt;"&amp;EOMONTH(O$1,0)+1
)</f>
        <v>0</v>
      </c>
      <c r="P188" s="183">
        <f ca="1">-SUMIFS(
  desp.m.ik[valor],
  desp.m.ik[nucleo], $B188,
  desp.m.ik[centro.negocio], $B$179,
  desp.m.ik[mes], "&gt;="&amp;P$1,
  desp.m.ik[mes], "&lt;"&amp;EOMONTH(P$1,0)+1
)</f>
        <v>0</v>
      </c>
      <c r="Q188" s="183">
        <f ca="1">-SUMIFS(
  desp.m.ik[valor],
  desp.m.ik[nucleo], $B188,
  desp.m.ik[centro.negocio], $B$179,
  desp.m.ik[mes], "&gt;="&amp;Q$1,
  desp.m.ik[mes], "&lt;"&amp;EOMONTH(Q$1,0)+1
)</f>
        <v>0</v>
      </c>
      <c r="R188" s="183">
        <f ca="1">-SUMIFS(
  desp.m.ik[valor],
  desp.m.ik[nucleo], $B188,
  desp.m.ik[centro.negocio], $B$179,
  desp.m.ik[mes], "&gt;="&amp;R$1,
  desp.m.ik[mes], "&lt;"&amp;EOMONTH(R$1,0)+1
)</f>
        <v>0</v>
      </c>
      <c r="S188" s="183">
        <f ca="1">-SUMIFS(
  desp.m.ik[valor],
  desp.m.ik[nucleo], $B188,
  desp.m.ik[centro.negocio], $B$179,
  desp.m.ik[mes], "&gt;="&amp;S$1,
  desp.m.ik[mes], "&lt;"&amp;EOMONTH(S$1,0)+1
)</f>
        <v>0</v>
      </c>
      <c r="T188" s="183">
        <f ca="1">-SUMIFS(
  desp.m.ik[valor],
  desp.m.ik[nucleo], $B188,
  desp.m.ik[centro.negocio], $B$179,
  desp.m.ik[mes], "&gt;="&amp;T$1,
  desp.m.ik[mes], "&lt;"&amp;EOMONTH(T$1,0)+1
)</f>
        <v>0</v>
      </c>
      <c r="U188" s="183">
        <f ca="1">-SUMIFS(
  desp.m.ik[valor],
  desp.m.ik[nucleo], $B188,
  desp.m.ik[centro.negocio], $B$179,
  desp.m.ik[mes], "&gt;="&amp;U$1,
  desp.m.ik[mes], "&lt;"&amp;EOMONTH(U$1,0)+1
)</f>
        <v>0</v>
      </c>
      <c r="V188" s="183">
        <f ca="1">-SUMIFS(
  desp.m.ik[valor],
  desp.m.ik[nucleo], $B188,
  desp.m.ik[centro.negocio], $B$179,
  desp.m.ik[mes], "&gt;="&amp;V$1,
  desp.m.ik[mes], "&lt;"&amp;EOMONTH(V$1,0)+1
)</f>
        <v>0</v>
      </c>
      <c r="W188" s="183">
        <f ca="1">-SUMIFS(
  desp.m.ik[valor],
  desp.m.ik[nucleo], $B188,
  desp.m.ik[centro.negocio], $B$179,
  desp.m.ik[mes], "&gt;="&amp;W$1,
  desp.m.ik[mes], "&lt;"&amp;EOMONTH(W$1,0)+1
)</f>
        <v>0</v>
      </c>
      <c r="X188" s="183">
        <f ca="1">-SUMIFS(
  desp.m.ik[valor],
  desp.m.ik[nucleo], $B188,
  desp.m.ik[centro.negocio], $B$179,
  desp.m.ik[mes], "&gt;="&amp;X$1,
  desp.m.ik[mes], "&lt;"&amp;EOMONTH(X$1,0)+1
)</f>
        <v>0</v>
      </c>
      <c r="Y188" s="183">
        <f ca="1">-SUMIFS(
  desp.m.ik[valor],
  desp.m.ik[nucleo], $B188,
  desp.m.ik[centro.negocio], $B$179,
  desp.m.ik[mes], "&gt;="&amp;Y$1,
  desp.m.ik[mes], "&lt;"&amp;EOMONTH(Y$1,0)+1
)</f>
        <v>0</v>
      </c>
      <c r="Z188" s="183">
        <f ca="1">-SUMIFS(
  desp.m.ik[valor],
  desp.m.ik[nucleo], $B188,
  desp.m.ik[centro.negocio], $B$179,
  desp.m.ik[mes], "&gt;="&amp;Z$1,
  desp.m.ik[mes], "&lt;"&amp;EOMONTH(Z$1,0)+1
)</f>
        <v>0</v>
      </c>
      <c r="AA188" s="183">
        <f ca="1">-SUMIFS(
  desp.m.ik[valor],
  desp.m.ik[nucleo], $B188,
  desp.m.ik[centro.negocio], $B$179,
  desp.m.ik[mes], "&gt;="&amp;AA$1,
  desp.m.ik[mes], "&lt;"&amp;EOMONTH(AA$1,0)+1
)</f>
        <v>0</v>
      </c>
      <c r="AC188" s="175">
        <f ca="1">SUM($D188:INDEX($D188:$AA188,1,MATCH(DATE(YEAR(inputs!$A$1),MONTH(inputs!$A$1),1),$D$1:$AA$1,0)))</f>
        <v>0</v>
      </c>
      <c r="AE188" s="175">
        <f t="shared" ca="1" si="32"/>
        <v>0</v>
      </c>
    </row>
    <row r="189" spans="1:31" outlineLevel="2" x14ac:dyDescent="0.25">
      <c r="A189" s="182" t="s">
        <v>604</v>
      </c>
      <c r="B189" s="182" t="s">
        <v>537</v>
      </c>
      <c r="C189" s="135" t="s">
        <v>514</v>
      </c>
      <c r="D189" s="183">
        <f ca="1">-SUMIFS(
  desp.m.ik[valor],
  desp.m.ik[nucleo], $B189,
  desp.m.ik[centro.negocio], $B$179,
  desp.m.ik[mes], "&gt;="&amp;D$1,
  desp.m.ik[mes], "&lt;"&amp;EOMONTH(D$1,0)+1
)</f>
        <v>0</v>
      </c>
      <c r="E189" s="183">
        <f ca="1">-SUMIFS(
  desp.m.ik[valor],
  desp.m.ik[nucleo], $B189,
  desp.m.ik[centro.negocio], $B$179,
  desp.m.ik[mes], "&gt;="&amp;E$1,
  desp.m.ik[mes], "&lt;"&amp;EOMONTH(E$1,0)+1
)</f>
        <v>0</v>
      </c>
      <c r="F189" s="183">
        <f ca="1">-SUMIFS(
  desp.m.ik[valor],
  desp.m.ik[nucleo], $B189,
  desp.m.ik[centro.negocio], $B$179,
  desp.m.ik[mes], "&gt;="&amp;F$1,
  desp.m.ik[mes], "&lt;"&amp;EOMONTH(F$1,0)+1
)</f>
        <v>0</v>
      </c>
      <c r="G189" s="183">
        <f ca="1">-SUMIFS(
  desp.m.ik[valor],
  desp.m.ik[nucleo], $B189,
  desp.m.ik[centro.negocio], $B$179,
  desp.m.ik[mes], "&gt;="&amp;G$1,
  desp.m.ik[mes], "&lt;"&amp;EOMONTH(G$1,0)+1
)</f>
        <v>0</v>
      </c>
      <c r="H189" s="183">
        <f ca="1">-SUMIFS(
  desp.m.ik[valor],
  desp.m.ik[nucleo], $B189,
  desp.m.ik[centro.negocio], $B$179,
  desp.m.ik[mes], "&gt;="&amp;H$1,
  desp.m.ik[mes], "&lt;"&amp;EOMONTH(H$1,0)+1
)</f>
        <v>0</v>
      </c>
      <c r="I189" s="183">
        <f ca="1">-SUMIFS(
  desp.m.ik[valor],
  desp.m.ik[nucleo], $B189,
  desp.m.ik[centro.negocio], $B$179,
  desp.m.ik[mes], "&gt;="&amp;I$1,
  desp.m.ik[mes], "&lt;"&amp;EOMONTH(I$1,0)+1
)</f>
        <v>0</v>
      </c>
      <c r="J189" s="183">
        <f ca="1">-SUMIFS(
  desp.m.ik[valor],
  desp.m.ik[nucleo], $B189,
  desp.m.ik[centro.negocio], $B$179,
  desp.m.ik[mes], "&gt;="&amp;J$1,
  desp.m.ik[mes], "&lt;"&amp;EOMONTH(J$1,0)+1
)</f>
        <v>0</v>
      </c>
      <c r="K189" s="183">
        <f ca="1">-SUMIFS(
  desp.m.ik[valor],
  desp.m.ik[nucleo], $B189,
  desp.m.ik[centro.negocio], $B$179,
  desp.m.ik[mes], "&gt;="&amp;K$1,
  desp.m.ik[mes], "&lt;"&amp;EOMONTH(K$1,0)+1
)</f>
        <v>0</v>
      </c>
      <c r="L189" s="183">
        <f ca="1">-SUMIFS(
  desp.m.ik[valor],
  desp.m.ik[nucleo], $B189,
  desp.m.ik[centro.negocio], $B$179,
  desp.m.ik[mes], "&gt;="&amp;L$1,
  desp.m.ik[mes], "&lt;"&amp;EOMONTH(L$1,0)+1
)</f>
        <v>0</v>
      </c>
      <c r="M189" s="183">
        <f ca="1">-SUMIFS(
  desp.m.ik[valor],
  desp.m.ik[nucleo], $B189,
  desp.m.ik[centro.negocio], $B$179,
  desp.m.ik[mes], "&gt;="&amp;M$1,
  desp.m.ik[mes], "&lt;"&amp;EOMONTH(M$1,0)+1
)</f>
        <v>0</v>
      </c>
      <c r="N189" s="183">
        <f ca="1">-SUMIFS(
  desp.m.ik[valor],
  desp.m.ik[nucleo], $B189,
  desp.m.ik[centro.negocio], $B$179,
  desp.m.ik[mes], "&gt;="&amp;N$1,
  desp.m.ik[mes], "&lt;"&amp;EOMONTH(N$1,0)+1
)</f>
        <v>0</v>
      </c>
      <c r="O189" s="183">
        <f ca="1">-SUMIFS(
  desp.m.ik[valor],
  desp.m.ik[nucleo], $B189,
  desp.m.ik[centro.negocio], $B$179,
  desp.m.ik[mes], "&gt;="&amp;O$1,
  desp.m.ik[mes], "&lt;"&amp;EOMONTH(O$1,0)+1
)</f>
        <v>0</v>
      </c>
      <c r="P189" s="183">
        <f ca="1">-SUMIFS(
  desp.m.ik[valor],
  desp.m.ik[nucleo], $B189,
  desp.m.ik[centro.negocio], $B$179,
  desp.m.ik[mes], "&gt;="&amp;P$1,
  desp.m.ik[mes], "&lt;"&amp;EOMONTH(P$1,0)+1
)</f>
        <v>0</v>
      </c>
      <c r="Q189" s="183">
        <f ca="1">-SUMIFS(
  desp.m.ik[valor],
  desp.m.ik[nucleo], $B189,
  desp.m.ik[centro.negocio], $B$179,
  desp.m.ik[mes], "&gt;="&amp;Q$1,
  desp.m.ik[mes], "&lt;"&amp;EOMONTH(Q$1,0)+1
)</f>
        <v>0</v>
      </c>
      <c r="R189" s="183">
        <f ca="1">-SUMIFS(
  desp.m.ik[valor],
  desp.m.ik[nucleo], $B189,
  desp.m.ik[centro.negocio], $B$179,
  desp.m.ik[mes], "&gt;="&amp;R$1,
  desp.m.ik[mes], "&lt;"&amp;EOMONTH(R$1,0)+1
)</f>
        <v>0</v>
      </c>
      <c r="S189" s="183">
        <f ca="1">-SUMIFS(
  desp.m.ik[valor],
  desp.m.ik[nucleo], $B189,
  desp.m.ik[centro.negocio], $B$179,
  desp.m.ik[mes], "&gt;="&amp;S$1,
  desp.m.ik[mes], "&lt;"&amp;EOMONTH(S$1,0)+1
)</f>
        <v>0</v>
      </c>
      <c r="T189" s="183">
        <f ca="1">-SUMIFS(
  desp.m.ik[valor],
  desp.m.ik[nucleo], $B189,
  desp.m.ik[centro.negocio], $B$179,
  desp.m.ik[mes], "&gt;="&amp;T$1,
  desp.m.ik[mes], "&lt;"&amp;EOMONTH(T$1,0)+1
)</f>
        <v>0</v>
      </c>
      <c r="U189" s="183">
        <f ca="1">-SUMIFS(
  desp.m.ik[valor],
  desp.m.ik[nucleo], $B189,
  desp.m.ik[centro.negocio], $B$179,
  desp.m.ik[mes], "&gt;="&amp;U$1,
  desp.m.ik[mes], "&lt;"&amp;EOMONTH(U$1,0)+1
)</f>
        <v>0</v>
      </c>
      <c r="V189" s="183">
        <f ca="1">-SUMIFS(
  desp.m.ik[valor],
  desp.m.ik[nucleo], $B189,
  desp.m.ik[centro.negocio], $B$179,
  desp.m.ik[mes], "&gt;="&amp;V$1,
  desp.m.ik[mes], "&lt;"&amp;EOMONTH(V$1,0)+1
)</f>
        <v>0</v>
      </c>
      <c r="W189" s="183">
        <f ca="1">-SUMIFS(
  desp.m.ik[valor],
  desp.m.ik[nucleo], $B189,
  desp.m.ik[centro.negocio], $B$179,
  desp.m.ik[mes], "&gt;="&amp;W$1,
  desp.m.ik[mes], "&lt;"&amp;EOMONTH(W$1,0)+1
)</f>
        <v>0</v>
      </c>
      <c r="X189" s="183">
        <f ca="1">-SUMIFS(
  desp.m.ik[valor],
  desp.m.ik[nucleo], $B189,
  desp.m.ik[centro.negocio], $B$179,
  desp.m.ik[mes], "&gt;="&amp;X$1,
  desp.m.ik[mes], "&lt;"&amp;EOMONTH(X$1,0)+1
)</f>
        <v>0</v>
      </c>
      <c r="Y189" s="183">
        <f ca="1">-SUMIFS(
  desp.m.ik[valor],
  desp.m.ik[nucleo], $B189,
  desp.m.ik[centro.negocio], $B$179,
  desp.m.ik[mes], "&gt;="&amp;Y$1,
  desp.m.ik[mes], "&lt;"&amp;EOMONTH(Y$1,0)+1
)</f>
        <v>0</v>
      </c>
      <c r="Z189" s="183">
        <f ca="1">-SUMIFS(
  desp.m.ik[valor],
  desp.m.ik[nucleo], $B189,
  desp.m.ik[centro.negocio], $B$179,
  desp.m.ik[mes], "&gt;="&amp;Z$1,
  desp.m.ik[mes], "&lt;"&amp;EOMONTH(Z$1,0)+1
)</f>
        <v>0</v>
      </c>
      <c r="AA189" s="183">
        <f ca="1">-SUMIFS(
  desp.m.ik[valor],
  desp.m.ik[nucleo], $B189,
  desp.m.ik[centro.negocio], $B$179,
  desp.m.ik[mes], "&gt;="&amp;AA$1,
  desp.m.ik[mes], "&lt;"&amp;EOMONTH(AA$1,0)+1
)</f>
        <v>0</v>
      </c>
      <c r="AC189" s="175">
        <f ca="1">SUM($D189:INDEX($D189:$AA189,1,MATCH(DATE(YEAR(inputs!$A$1),MONTH(inputs!$A$1),1),$D$1:$AA$1,0)))</f>
        <v>0</v>
      </c>
      <c r="AE189" s="175">
        <f t="shared" ca="1" si="32"/>
        <v>0</v>
      </c>
    </row>
    <row r="190" spans="1:31" outlineLevel="2" x14ac:dyDescent="0.25">
      <c r="A190" s="182" t="s">
        <v>606</v>
      </c>
      <c r="B190" s="182" t="s">
        <v>577</v>
      </c>
      <c r="C190" s="135" t="s">
        <v>514</v>
      </c>
      <c r="D190" s="183">
        <f ca="1">-SUMIFS(
  desp.m.ik[valor],
  desp.m.ik[nucleo], $B190,
  desp.m.ik[centro.negocio], $B$179,
  desp.m.ik[mes], "&gt;="&amp;D$1,
  desp.m.ik[mes], "&lt;"&amp;EOMONTH(D$1,0)+1
)</f>
        <v>0</v>
      </c>
      <c r="E190" s="183">
        <f ca="1">-SUMIFS(
  desp.m.ik[valor],
  desp.m.ik[nucleo], $B190,
  desp.m.ik[centro.negocio], $B$179,
  desp.m.ik[mes], "&gt;="&amp;E$1,
  desp.m.ik[mes], "&lt;"&amp;EOMONTH(E$1,0)+1
)</f>
        <v>0</v>
      </c>
      <c r="F190" s="183">
        <f ca="1">-SUMIFS(
  desp.m.ik[valor],
  desp.m.ik[nucleo], $B190,
  desp.m.ik[centro.negocio], $B$179,
  desp.m.ik[mes], "&gt;="&amp;F$1,
  desp.m.ik[mes], "&lt;"&amp;EOMONTH(F$1,0)+1
)</f>
        <v>0</v>
      </c>
      <c r="G190" s="183">
        <f ca="1">-SUMIFS(
  desp.m.ik[valor],
  desp.m.ik[nucleo], $B190,
  desp.m.ik[centro.negocio], $B$179,
  desp.m.ik[mes], "&gt;="&amp;G$1,
  desp.m.ik[mes], "&lt;"&amp;EOMONTH(G$1,0)+1
)</f>
        <v>0</v>
      </c>
      <c r="H190" s="183">
        <f ca="1">-SUMIFS(
  desp.m.ik[valor],
  desp.m.ik[nucleo], $B190,
  desp.m.ik[centro.negocio], $B$179,
  desp.m.ik[mes], "&gt;="&amp;H$1,
  desp.m.ik[mes], "&lt;"&amp;EOMONTH(H$1,0)+1
)</f>
        <v>0</v>
      </c>
      <c r="I190" s="183">
        <f ca="1">-SUMIFS(
  desp.m.ik[valor],
  desp.m.ik[nucleo], $B190,
  desp.m.ik[centro.negocio], $B$179,
  desp.m.ik[mes], "&gt;="&amp;I$1,
  desp.m.ik[mes], "&lt;"&amp;EOMONTH(I$1,0)+1
)</f>
        <v>0</v>
      </c>
      <c r="J190" s="183">
        <f ca="1">-SUMIFS(
  desp.m.ik[valor],
  desp.m.ik[nucleo], $B190,
  desp.m.ik[centro.negocio], $B$179,
  desp.m.ik[mes], "&gt;="&amp;J$1,
  desp.m.ik[mes], "&lt;"&amp;EOMONTH(J$1,0)+1
)</f>
        <v>0</v>
      </c>
      <c r="K190" s="183">
        <f ca="1">-SUMIFS(
  desp.m.ik[valor],
  desp.m.ik[nucleo], $B190,
  desp.m.ik[centro.negocio], $B$179,
  desp.m.ik[mes], "&gt;="&amp;K$1,
  desp.m.ik[mes], "&lt;"&amp;EOMONTH(K$1,0)+1
)</f>
        <v>0</v>
      </c>
      <c r="L190" s="183">
        <f ca="1">-SUMIFS(
  desp.m.ik[valor],
  desp.m.ik[nucleo], $B190,
  desp.m.ik[centro.negocio], $B$179,
  desp.m.ik[mes], "&gt;="&amp;L$1,
  desp.m.ik[mes], "&lt;"&amp;EOMONTH(L$1,0)+1
)</f>
        <v>0</v>
      </c>
      <c r="M190" s="183">
        <f ca="1">-SUMIFS(
  desp.m.ik[valor],
  desp.m.ik[nucleo], $B190,
  desp.m.ik[centro.negocio], $B$179,
  desp.m.ik[mes], "&gt;="&amp;M$1,
  desp.m.ik[mes], "&lt;"&amp;EOMONTH(M$1,0)+1
)</f>
        <v>0</v>
      </c>
      <c r="N190" s="183">
        <f ca="1">-SUMIFS(
  desp.m.ik[valor],
  desp.m.ik[nucleo], $B190,
  desp.m.ik[centro.negocio], $B$179,
  desp.m.ik[mes], "&gt;="&amp;N$1,
  desp.m.ik[mes], "&lt;"&amp;EOMONTH(N$1,0)+1
)</f>
        <v>0</v>
      </c>
      <c r="O190" s="183">
        <f ca="1">-SUMIFS(
  desp.m.ik[valor],
  desp.m.ik[nucleo], $B190,
  desp.m.ik[centro.negocio], $B$179,
  desp.m.ik[mes], "&gt;="&amp;O$1,
  desp.m.ik[mes], "&lt;"&amp;EOMONTH(O$1,0)+1
)</f>
        <v>0</v>
      </c>
      <c r="P190" s="183">
        <f ca="1">-SUMIFS(
  desp.m.ik[valor],
  desp.m.ik[nucleo], $B190,
  desp.m.ik[centro.negocio], $B$179,
  desp.m.ik[mes], "&gt;="&amp;P$1,
  desp.m.ik[mes], "&lt;"&amp;EOMONTH(P$1,0)+1
)</f>
        <v>0</v>
      </c>
      <c r="Q190" s="183">
        <f ca="1">-SUMIFS(
  desp.m.ik[valor],
  desp.m.ik[nucleo], $B190,
  desp.m.ik[centro.negocio], $B$179,
  desp.m.ik[mes], "&gt;="&amp;Q$1,
  desp.m.ik[mes], "&lt;"&amp;EOMONTH(Q$1,0)+1
)</f>
        <v>0</v>
      </c>
      <c r="R190" s="183">
        <f ca="1">-SUMIFS(
  desp.m.ik[valor],
  desp.m.ik[nucleo], $B190,
  desp.m.ik[centro.negocio], $B$179,
  desp.m.ik[mes], "&gt;="&amp;R$1,
  desp.m.ik[mes], "&lt;"&amp;EOMONTH(R$1,0)+1
)</f>
        <v>0</v>
      </c>
      <c r="S190" s="183">
        <f ca="1">-SUMIFS(
  desp.m.ik[valor],
  desp.m.ik[nucleo], $B190,
  desp.m.ik[centro.negocio], $B$179,
  desp.m.ik[mes], "&gt;="&amp;S$1,
  desp.m.ik[mes], "&lt;"&amp;EOMONTH(S$1,0)+1
)</f>
        <v>0</v>
      </c>
      <c r="T190" s="183">
        <f ca="1">-SUMIFS(
  desp.m.ik[valor],
  desp.m.ik[nucleo], $B190,
  desp.m.ik[centro.negocio], $B$179,
  desp.m.ik[mes], "&gt;="&amp;T$1,
  desp.m.ik[mes], "&lt;"&amp;EOMONTH(T$1,0)+1
)</f>
        <v>0</v>
      </c>
      <c r="U190" s="183">
        <f ca="1">-SUMIFS(
  desp.m.ik[valor],
  desp.m.ik[nucleo], $B190,
  desp.m.ik[centro.negocio], $B$179,
  desp.m.ik[mes], "&gt;="&amp;U$1,
  desp.m.ik[mes], "&lt;"&amp;EOMONTH(U$1,0)+1
)</f>
        <v>0</v>
      </c>
      <c r="V190" s="183">
        <f ca="1">-SUMIFS(
  desp.m.ik[valor],
  desp.m.ik[nucleo], $B190,
  desp.m.ik[centro.negocio], $B$179,
  desp.m.ik[mes], "&gt;="&amp;V$1,
  desp.m.ik[mes], "&lt;"&amp;EOMONTH(V$1,0)+1
)</f>
        <v>0</v>
      </c>
      <c r="W190" s="183">
        <f ca="1">-SUMIFS(
  desp.m.ik[valor],
  desp.m.ik[nucleo], $B190,
  desp.m.ik[centro.negocio], $B$179,
  desp.m.ik[mes], "&gt;="&amp;W$1,
  desp.m.ik[mes], "&lt;"&amp;EOMONTH(W$1,0)+1
)</f>
        <v>0</v>
      </c>
      <c r="X190" s="183">
        <f ca="1">-SUMIFS(
  desp.m.ik[valor],
  desp.m.ik[nucleo], $B190,
  desp.m.ik[centro.negocio], $B$179,
  desp.m.ik[mes], "&gt;="&amp;X$1,
  desp.m.ik[mes], "&lt;"&amp;EOMONTH(X$1,0)+1
)</f>
        <v>0</v>
      </c>
      <c r="Y190" s="183">
        <f ca="1">-SUMIFS(
  desp.m.ik[valor],
  desp.m.ik[nucleo], $B190,
  desp.m.ik[centro.negocio], $B$179,
  desp.m.ik[mes], "&gt;="&amp;Y$1,
  desp.m.ik[mes], "&lt;"&amp;EOMONTH(Y$1,0)+1
)</f>
        <v>0</v>
      </c>
      <c r="Z190" s="183">
        <f ca="1">-SUMIFS(
  desp.m.ik[valor],
  desp.m.ik[nucleo], $B190,
  desp.m.ik[centro.negocio], $B$179,
  desp.m.ik[mes], "&gt;="&amp;Z$1,
  desp.m.ik[mes], "&lt;"&amp;EOMONTH(Z$1,0)+1
)</f>
        <v>0</v>
      </c>
      <c r="AA190" s="183">
        <f ca="1">-SUMIFS(
  desp.m.ik[valor],
  desp.m.ik[nucleo], $B190,
  desp.m.ik[centro.negocio], $B$179,
  desp.m.ik[mes], "&gt;="&amp;AA$1,
  desp.m.ik[mes], "&lt;"&amp;EOMONTH(AA$1,0)+1
)</f>
        <v>0</v>
      </c>
      <c r="AC190" s="175">
        <f ca="1">SUM($D190:INDEX($D190:$AA190,1,MATCH(DATE(YEAR(inputs!$A$1),MONTH(inputs!$A$1),1),$D$1:$AA$1,0)))</f>
        <v>0</v>
      </c>
      <c r="AE190" s="175">
        <f t="shared" ca="1" si="32"/>
        <v>0</v>
      </c>
    </row>
    <row r="191" spans="1:31" outlineLevel="2" x14ac:dyDescent="0.25">
      <c r="A191" s="182" t="s">
        <v>609</v>
      </c>
      <c r="B191" s="182" t="s">
        <v>535</v>
      </c>
      <c r="C191" s="135" t="s">
        <v>514</v>
      </c>
      <c r="D191" s="183">
        <f ca="1">-SUMIFS(
  desp.m.ik[valor],
  desp.m.ik[nucleo], $B191,
  desp.m.ik[centro.negocio], $B$179,
  desp.m.ik[mes], "&gt;="&amp;D$1,
  desp.m.ik[mes], "&lt;"&amp;EOMONTH(D$1,0)+1
)</f>
        <v>0</v>
      </c>
      <c r="E191" s="183">
        <f ca="1">-SUMIFS(
  desp.m.ik[valor],
  desp.m.ik[nucleo], $B191,
  desp.m.ik[centro.negocio], $B$179,
  desp.m.ik[mes], "&gt;="&amp;E$1,
  desp.m.ik[mes], "&lt;"&amp;EOMONTH(E$1,0)+1
)</f>
        <v>0</v>
      </c>
      <c r="F191" s="183">
        <f ca="1">-SUMIFS(
  desp.m.ik[valor],
  desp.m.ik[nucleo], $B191,
  desp.m.ik[centro.negocio], $B$179,
  desp.m.ik[mes], "&gt;="&amp;F$1,
  desp.m.ik[mes], "&lt;"&amp;EOMONTH(F$1,0)+1
)</f>
        <v>0</v>
      </c>
      <c r="G191" s="183">
        <f ca="1">-SUMIFS(
  desp.m.ik[valor],
  desp.m.ik[nucleo], $B191,
  desp.m.ik[centro.negocio], $B$179,
  desp.m.ik[mes], "&gt;="&amp;G$1,
  desp.m.ik[mes], "&lt;"&amp;EOMONTH(G$1,0)+1
)</f>
        <v>0</v>
      </c>
      <c r="H191" s="183">
        <f ca="1">-SUMIFS(
  desp.m.ik[valor],
  desp.m.ik[nucleo], $B191,
  desp.m.ik[centro.negocio], $B$179,
  desp.m.ik[mes], "&gt;="&amp;H$1,
  desp.m.ik[mes], "&lt;"&amp;EOMONTH(H$1,0)+1
)</f>
        <v>0</v>
      </c>
      <c r="I191" s="183">
        <f ca="1">-SUMIFS(
  desp.m.ik[valor],
  desp.m.ik[nucleo], $B191,
  desp.m.ik[centro.negocio], $B$179,
  desp.m.ik[mes], "&gt;="&amp;I$1,
  desp.m.ik[mes], "&lt;"&amp;EOMONTH(I$1,0)+1
)</f>
        <v>0</v>
      </c>
      <c r="J191" s="183">
        <f ca="1">-SUMIFS(
  desp.m.ik[valor],
  desp.m.ik[nucleo], $B191,
  desp.m.ik[centro.negocio], $B$179,
  desp.m.ik[mes], "&gt;="&amp;J$1,
  desp.m.ik[mes], "&lt;"&amp;EOMONTH(J$1,0)+1
)</f>
        <v>0</v>
      </c>
      <c r="K191" s="183">
        <f ca="1">-SUMIFS(
  desp.m.ik[valor],
  desp.m.ik[nucleo], $B191,
  desp.m.ik[centro.negocio], $B$179,
  desp.m.ik[mes], "&gt;="&amp;K$1,
  desp.m.ik[mes], "&lt;"&amp;EOMONTH(K$1,0)+1
)</f>
        <v>0</v>
      </c>
      <c r="L191" s="183">
        <f ca="1">-SUMIFS(
  desp.m.ik[valor],
  desp.m.ik[nucleo], $B191,
  desp.m.ik[centro.negocio], $B$179,
  desp.m.ik[mes], "&gt;="&amp;L$1,
  desp.m.ik[mes], "&lt;"&amp;EOMONTH(L$1,0)+1
)</f>
        <v>0</v>
      </c>
      <c r="M191" s="183">
        <f ca="1">-SUMIFS(
  desp.m.ik[valor],
  desp.m.ik[nucleo], $B191,
  desp.m.ik[centro.negocio], $B$179,
  desp.m.ik[mes], "&gt;="&amp;M$1,
  desp.m.ik[mes], "&lt;"&amp;EOMONTH(M$1,0)+1
)</f>
        <v>0</v>
      </c>
      <c r="N191" s="183">
        <f ca="1">-SUMIFS(
  desp.m.ik[valor],
  desp.m.ik[nucleo], $B191,
  desp.m.ik[centro.negocio], $B$179,
  desp.m.ik[mes], "&gt;="&amp;N$1,
  desp.m.ik[mes], "&lt;"&amp;EOMONTH(N$1,0)+1
)</f>
        <v>0</v>
      </c>
      <c r="O191" s="183">
        <f ca="1">-SUMIFS(
  desp.m.ik[valor],
  desp.m.ik[nucleo], $B191,
  desp.m.ik[centro.negocio], $B$179,
  desp.m.ik[mes], "&gt;="&amp;O$1,
  desp.m.ik[mes], "&lt;"&amp;EOMONTH(O$1,0)+1
)</f>
        <v>0</v>
      </c>
      <c r="P191" s="183">
        <f ca="1">-SUMIFS(
  desp.m.ik[valor],
  desp.m.ik[nucleo], $B191,
  desp.m.ik[centro.negocio], $B$179,
  desp.m.ik[mes], "&gt;="&amp;P$1,
  desp.m.ik[mes], "&lt;"&amp;EOMONTH(P$1,0)+1
)</f>
        <v>0</v>
      </c>
      <c r="Q191" s="183">
        <f ca="1">-SUMIFS(
  desp.m.ik[valor],
  desp.m.ik[nucleo], $B191,
  desp.m.ik[centro.negocio], $B$179,
  desp.m.ik[mes], "&gt;="&amp;Q$1,
  desp.m.ik[mes], "&lt;"&amp;EOMONTH(Q$1,0)+1
)</f>
        <v>0</v>
      </c>
      <c r="R191" s="183">
        <f ca="1">-SUMIFS(
  desp.m.ik[valor],
  desp.m.ik[nucleo], $B191,
  desp.m.ik[centro.negocio], $B$179,
  desp.m.ik[mes], "&gt;="&amp;R$1,
  desp.m.ik[mes], "&lt;"&amp;EOMONTH(R$1,0)+1
)</f>
        <v>0</v>
      </c>
      <c r="S191" s="183">
        <f ca="1">-SUMIFS(
  desp.m.ik[valor],
  desp.m.ik[nucleo], $B191,
  desp.m.ik[centro.negocio], $B$179,
  desp.m.ik[mes], "&gt;="&amp;S$1,
  desp.m.ik[mes], "&lt;"&amp;EOMONTH(S$1,0)+1
)</f>
        <v>0</v>
      </c>
      <c r="T191" s="183">
        <f ca="1">-SUMIFS(
  desp.m.ik[valor],
  desp.m.ik[nucleo], $B191,
  desp.m.ik[centro.negocio], $B$179,
  desp.m.ik[mes], "&gt;="&amp;T$1,
  desp.m.ik[mes], "&lt;"&amp;EOMONTH(T$1,0)+1
)</f>
        <v>0</v>
      </c>
      <c r="U191" s="183">
        <f ca="1">-SUMIFS(
  desp.m.ik[valor],
  desp.m.ik[nucleo], $B191,
  desp.m.ik[centro.negocio], $B$179,
  desp.m.ik[mes], "&gt;="&amp;U$1,
  desp.m.ik[mes], "&lt;"&amp;EOMONTH(U$1,0)+1
)</f>
        <v>0</v>
      </c>
      <c r="V191" s="183">
        <f ca="1">-SUMIFS(
  desp.m.ik[valor],
  desp.m.ik[nucleo], $B191,
  desp.m.ik[centro.negocio], $B$179,
  desp.m.ik[mes], "&gt;="&amp;V$1,
  desp.m.ik[mes], "&lt;"&amp;EOMONTH(V$1,0)+1
)</f>
        <v>0</v>
      </c>
      <c r="W191" s="183">
        <f ca="1">-SUMIFS(
  desp.m.ik[valor],
  desp.m.ik[nucleo], $B191,
  desp.m.ik[centro.negocio], $B$179,
  desp.m.ik[mes], "&gt;="&amp;W$1,
  desp.m.ik[mes], "&lt;"&amp;EOMONTH(W$1,0)+1
)</f>
        <v>0</v>
      </c>
      <c r="X191" s="183">
        <f ca="1">-SUMIFS(
  desp.m.ik[valor],
  desp.m.ik[nucleo], $B191,
  desp.m.ik[centro.negocio], $B$179,
  desp.m.ik[mes], "&gt;="&amp;X$1,
  desp.m.ik[mes], "&lt;"&amp;EOMONTH(X$1,0)+1
)</f>
        <v>0</v>
      </c>
      <c r="Y191" s="183">
        <f ca="1">-SUMIFS(
  desp.m.ik[valor],
  desp.m.ik[nucleo], $B191,
  desp.m.ik[centro.negocio], $B$179,
  desp.m.ik[mes], "&gt;="&amp;Y$1,
  desp.m.ik[mes], "&lt;"&amp;EOMONTH(Y$1,0)+1
)</f>
        <v>0</v>
      </c>
      <c r="Z191" s="183">
        <f ca="1">-SUMIFS(
  desp.m.ik[valor],
  desp.m.ik[nucleo], $B191,
  desp.m.ik[centro.negocio], $B$179,
  desp.m.ik[mes], "&gt;="&amp;Z$1,
  desp.m.ik[mes], "&lt;"&amp;EOMONTH(Z$1,0)+1
)</f>
        <v>0</v>
      </c>
      <c r="AA191" s="183">
        <f ca="1">-SUMIFS(
  desp.m.ik[valor],
  desp.m.ik[nucleo], $B191,
  desp.m.ik[centro.negocio], $B$179,
  desp.m.ik[mes], "&gt;="&amp;AA$1,
  desp.m.ik[mes], "&lt;"&amp;EOMONTH(AA$1,0)+1
)</f>
        <v>0</v>
      </c>
      <c r="AC191" s="175">
        <f ca="1">SUM($D191:INDEX($D191:$AA191,1,MATCH(DATE(YEAR(inputs!$A$1),MONTH(inputs!$A$1),1),$D$1:$AA$1,0)))</f>
        <v>0</v>
      </c>
      <c r="AE191" s="175">
        <f t="shared" ca="1" si="32"/>
        <v>0</v>
      </c>
    </row>
    <row r="192" spans="1:31" outlineLevel="2" x14ac:dyDescent="0.25">
      <c r="A192" s="182" t="s">
        <v>608</v>
      </c>
      <c r="B192" s="182" t="s">
        <v>539</v>
      </c>
      <c r="C192" s="135" t="s">
        <v>514</v>
      </c>
      <c r="D192" s="183">
        <f ca="1">-SUMIFS(
  desp.m.ik[valor],
  desp.m.ik[nucleo], $B192,
  desp.m.ik[centro.negocio], $B$179,
  desp.m.ik[mes], "&gt;="&amp;D$1,
  desp.m.ik[mes], "&lt;"&amp;EOMONTH(D$1,0)+1
)</f>
        <v>0</v>
      </c>
      <c r="E192" s="183">
        <f ca="1">-SUMIFS(
  desp.m.ik[valor],
  desp.m.ik[nucleo], $B192,
  desp.m.ik[centro.negocio], $B$179,
  desp.m.ik[mes], "&gt;="&amp;E$1,
  desp.m.ik[mes], "&lt;"&amp;EOMONTH(E$1,0)+1
)</f>
        <v>0</v>
      </c>
      <c r="F192" s="183">
        <f ca="1">-SUMIFS(
  desp.m.ik[valor],
  desp.m.ik[nucleo], $B192,
  desp.m.ik[centro.negocio], $B$179,
  desp.m.ik[mes], "&gt;="&amp;F$1,
  desp.m.ik[mes], "&lt;"&amp;EOMONTH(F$1,0)+1
)</f>
        <v>0</v>
      </c>
      <c r="G192" s="183">
        <f ca="1">-SUMIFS(
  desp.m.ik[valor],
  desp.m.ik[nucleo], $B192,
  desp.m.ik[centro.negocio], $B$179,
  desp.m.ik[mes], "&gt;="&amp;G$1,
  desp.m.ik[mes], "&lt;"&amp;EOMONTH(G$1,0)+1
)</f>
        <v>0</v>
      </c>
      <c r="H192" s="183">
        <f ca="1">-SUMIFS(
  desp.m.ik[valor],
  desp.m.ik[nucleo], $B192,
  desp.m.ik[centro.negocio], $B$179,
  desp.m.ik[mes], "&gt;="&amp;H$1,
  desp.m.ik[mes], "&lt;"&amp;EOMONTH(H$1,0)+1
)</f>
        <v>0</v>
      </c>
      <c r="I192" s="183">
        <f ca="1">-SUMIFS(
  desp.m.ik[valor],
  desp.m.ik[nucleo], $B192,
  desp.m.ik[centro.negocio], $B$179,
  desp.m.ik[mes], "&gt;="&amp;I$1,
  desp.m.ik[mes], "&lt;"&amp;EOMONTH(I$1,0)+1
)</f>
        <v>0</v>
      </c>
      <c r="J192" s="183">
        <f ca="1">-SUMIFS(
  desp.m.ik[valor],
  desp.m.ik[nucleo], $B192,
  desp.m.ik[centro.negocio], $B$179,
  desp.m.ik[mes], "&gt;="&amp;J$1,
  desp.m.ik[mes], "&lt;"&amp;EOMONTH(J$1,0)+1
)</f>
        <v>0</v>
      </c>
      <c r="K192" s="183">
        <f ca="1">-SUMIFS(
  desp.m.ik[valor],
  desp.m.ik[nucleo], $B192,
  desp.m.ik[centro.negocio], $B$179,
  desp.m.ik[mes], "&gt;="&amp;K$1,
  desp.m.ik[mes], "&lt;"&amp;EOMONTH(K$1,0)+1
)</f>
        <v>0</v>
      </c>
      <c r="L192" s="183">
        <f ca="1">-SUMIFS(
  desp.m.ik[valor],
  desp.m.ik[nucleo], $B192,
  desp.m.ik[centro.negocio], $B$179,
  desp.m.ik[mes], "&gt;="&amp;L$1,
  desp.m.ik[mes], "&lt;"&amp;EOMONTH(L$1,0)+1
)</f>
        <v>0</v>
      </c>
      <c r="M192" s="183">
        <f ca="1">-SUMIFS(
  desp.m.ik[valor],
  desp.m.ik[nucleo], $B192,
  desp.m.ik[centro.negocio], $B$179,
  desp.m.ik[mes], "&gt;="&amp;M$1,
  desp.m.ik[mes], "&lt;"&amp;EOMONTH(M$1,0)+1
)</f>
        <v>0</v>
      </c>
      <c r="N192" s="183">
        <f ca="1">-SUMIFS(
  desp.m.ik[valor],
  desp.m.ik[nucleo], $B192,
  desp.m.ik[centro.negocio], $B$179,
  desp.m.ik[mes], "&gt;="&amp;N$1,
  desp.m.ik[mes], "&lt;"&amp;EOMONTH(N$1,0)+1
)</f>
        <v>0</v>
      </c>
      <c r="O192" s="183">
        <f ca="1">-SUMIFS(
  desp.m.ik[valor],
  desp.m.ik[nucleo], $B192,
  desp.m.ik[centro.negocio], $B$179,
  desp.m.ik[mes], "&gt;="&amp;O$1,
  desp.m.ik[mes], "&lt;"&amp;EOMONTH(O$1,0)+1
)</f>
        <v>0</v>
      </c>
      <c r="P192" s="183">
        <f ca="1">-SUMIFS(
  desp.m.ik[valor],
  desp.m.ik[nucleo], $B192,
  desp.m.ik[centro.negocio], $B$179,
  desp.m.ik[mes], "&gt;="&amp;P$1,
  desp.m.ik[mes], "&lt;"&amp;EOMONTH(P$1,0)+1
)</f>
        <v>0</v>
      </c>
      <c r="Q192" s="183">
        <f ca="1">-SUMIFS(
  desp.m.ik[valor],
  desp.m.ik[nucleo], $B192,
  desp.m.ik[centro.negocio], $B$179,
  desp.m.ik[mes], "&gt;="&amp;Q$1,
  desp.m.ik[mes], "&lt;"&amp;EOMONTH(Q$1,0)+1
)</f>
        <v>0</v>
      </c>
      <c r="R192" s="183">
        <f ca="1">-SUMIFS(
  desp.m.ik[valor],
  desp.m.ik[nucleo], $B192,
  desp.m.ik[centro.negocio], $B$179,
  desp.m.ik[mes], "&gt;="&amp;R$1,
  desp.m.ik[mes], "&lt;"&amp;EOMONTH(R$1,0)+1
)</f>
        <v>0</v>
      </c>
      <c r="S192" s="183">
        <f ca="1">-SUMIFS(
  desp.m.ik[valor],
  desp.m.ik[nucleo], $B192,
  desp.m.ik[centro.negocio], $B$179,
  desp.m.ik[mes], "&gt;="&amp;S$1,
  desp.m.ik[mes], "&lt;"&amp;EOMONTH(S$1,0)+1
)</f>
        <v>0</v>
      </c>
      <c r="T192" s="183">
        <f ca="1">-SUMIFS(
  desp.m.ik[valor],
  desp.m.ik[nucleo], $B192,
  desp.m.ik[centro.negocio], $B$179,
  desp.m.ik[mes], "&gt;="&amp;T$1,
  desp.m.ik[mes], "&lt;"&amp;EOMONTH(T$1,0)+1
)</f>
        <v>0</v>
      </c>
      <c r="U192" s="183">
        <f ca="1">-SUMIFS(
  desp.m.ik[valor],
  desp.m.ik[nucleo], $B192,
  desp.m.ik[centro.negocio], $B$179,
  desp.m.ik[mes], "&gt;="&amp;U$1,
  desp.m.ik[mes], "&lt;"&amp;EOMONTH(U$1,0)+1
)</f>
        <v>0</v>
      </c>
      <c r="V192" s="183">
        <f ca="1">-SUMIFS(
  desp.m.ik[valor],
  desp.m.ik[nucleo], $B192,
  desp.m.ik[centro.negocio], $B$179,
  desp.m.ik[mes], "&gt;="&amp;V$1,
  desp.m.ik[mes], "&lt;"&amp;EOMONTH(V$1,0)+1
)</f>
        <v>0</v>
      </c>
      <c r="W192" s="183">
        <f ca="1">-SUMIFS(
  desp.m.ik[valor],
  desp.m.ik[nucleo], $B192,
  desp.m.ik[centro.negocio], $B$179,
  desp.m.ik[mes], "&gt;="&amp;W$1,
  desp.m.ik[mes], "&lt;"&amp;EOMONTH(W$1,0)+1
)</f>
        <v>0</v>
      </c>
      <c r="X192" s="183">
        <f ca="1">-SUMIFS(
  desp.m.ik[valor],
  desp.m.ik[nucleo], $B192,
  desp.m.ik[centro.negocio], $B$179,
  desp.m.ik[mes], "&gt;="&amp;X$1,
  desp.m.ik[mes], "&lt;"&amp;EOMONTH(X$1,0)+1
)</f>
        <v>0</v>
      </c>
      <c r="Y192" s="183">
        <f ca="1">-SUMIFS(
  desp.m.ik[valor],
  desp.m.ik[nucleo], $B192,
  desp.m.ik[centro.negocio], $B$179,
  desp.m.ik[mes], "&gt;="&amp;Y$1,
  desp.m.ik[mes], "&lt;"&amp;EOMONTH(Y$1,0)+1
)</f>
        <v>0</v>
      </c>
      <c r="Z192" s="183">
        <f ca="1">-SUMIFS(
  desp.m.ik[valor],
  desp.m.ik[nucleo], $B192,
  desp.m.ik[centro.negocio], $B$179,
  desp.m.ik[mes], "&gt;="&amp;Z$1,
  desp.m.ik[mes], "&lt;"&amp;EOMONTH(Z$1,0)+1
)</f>
        <v>0</v>
      </c>
      <c r="AA192" s="183">
        <f ca="1">-SUMIFS(
  desp.m.ik[valor],
  desp.m.ik[nucleo], $B192,
  desp.m.ik[centro.negocio], $B$179,
  desp.m.ik[mes], "&gt;="&amp;AA$1,
  desp.m.ik[mes], "&lt;"&amp;EOMONTH(AA$1,0)+1
)</f>
        <v>0</v>
      </c>
      <c r="AC192" s="175">
        <f ca="1">SUM($D192:INDEX($D192:$AA192,1,MATCH(DATE(YEAR(inputs!$A$1),MONTH(inputs!$A$1),1),$D$1:$AA$1,0)))</f>
        <v>0</v>
      </c>
      <c r="AE192" s="175">
        <f t="shared" ca="1" si="32"/>
        <v>0</v>
      </c>
    </row>
    <row r="193" spans="1:31" outlineLevel="2" x14ac:dyDescent="0.25">
      <c r="A193" s="182" t="s">
        <v>606</v>
      </c>
      <c r="B193" s="182" t="s">
        <v>581</v>
      </c>
      <c r="C193" s="135" t="s">
        <v>514</v>
      </c>
      <c r="D193" s="183">
        <f ca="1">-SUMIFS(
  desp.m.ik[valor],
  desp.m.ik[nucleo], $B193,
  desp.m.ik[centro.negocio], $B$179,
  desp.m.ik[mes], "&gt;="&amp;D$1,
  desp.m.ik[mes], "&lt;"&amp;EOMONTH(D$1,0)+1
)</f>
        <v>0</v>
      </c>
      <c r="E193" s="183">
        <f ca="1">-SUMIFS(
  desp.m.ik[valor],
  desp.m.ik[nucleo], $B193,
  desp.m.ik[centro.negocio], $B$179,
  desp.m.ik[mes], "&gt;="&amp;E$1,
  desp.m.ik[mes], "&lt;"&amp;EOMONTH(E$1,0)+1
)</f>
        <v>0</v>
      </c>
      <c r="F193" s="183">
        <f ca="1">-SUMIFS(
  desp.m.ik[valor],
  desp.m.ik[nucleo], $B193,
  desp.m.ik[centro.negocio], $B$179,
  desp.m.ik[mes], "&gt;="&amp;F$1,
  desp.m.ik[mes], "&lt;"&amp;EOMONTH(F$1,0)+1
)</f>
        <v>0</v>
      </c>
      <c r="G193" s="183">
        <f ca="1">-SUMIFS(
  desp.m.ik[valor],
  desp.m.ik[nucleo], $B193,
  desp.m.ik[centro.negocio], $B$179,
  desp.m.ik[mes], "&gt;="&amp;G$1,
  desp.m.ik[mes], "&lt;"&amp;EOMONTH(G$1,0)+1
)</f>
        <v>0</v>
      </c>
      <c r="H193" s="183">
        <f ca="1">-SUMIFS(
  desp.m.ik[valor],
  desp.m.ik[nucleo], $B193,
  desp.m.ik[centro.negocio], $B$179,
  desp.m.ik[mes], "&gt;="&amp;H$1,
  desp.m.ik[mes], "&lt;"&amp;EOMONTH(H$1,0)+1
)</f>
        <v>0</v>
      </c>
      <c r="I193" s="183">
        <f ca="1">-SUMIFS(
  desp.m.ik[valor],
  desp.m.ik[nucleo], $B193,
  desp.m.ik[centro.negocio], $B$179,
  desp.m.ik[mes], "&gt;="&amp;I$1,
  desp.m.ik[mes], "&lt;"&amp;EOMONTH(I$1,0)+1
)</f>
        <v>0</v>
      </c>
      <c r="J193" s="183">
        <f ca="1">-SUMIFS(
  desp.m.ik[valor],
  desp.m.ik[nucleo], $B193,
  desp.m.ik[centro.negocio], $B$179,
  desp.m.ik[mes], "&gt;="&amp;J$1,
  desp.m.ik[mes], "&lt;"&amp;EOMONTH(J$1,0)+1
)</f>
        <v>0</v>
      </c>
      <c r="K193" s="183">
        <f ca="1">-SUMIFS(
  desp.m.ik[valor],
  desp.m.ik[nucleo], $B193,
  desp.m.ik[centro.negocio], $B$179,
  desp.m.ik[mes], "&gt;="&amp;K$1,
  desp.m.ik[mes], "&lt;"&amp;EOMONTH(K$1,0)+1
)</f>
        <v>0</v>
      </c>
      <c r="L193" s="183">
        <f ca="1">-SUMIFS(
  desp.m.ik[valor],
  desp.m.ik[nucleo], $B193,
  desp.m.ik[centro.negocio], $B$179,
  desp.m.ik[mes], "&gt;="&amp;L$1,
  desp.m.ik[mes], "&lt;"&amp;EOMONTH(L$1,0)+1
)</f>
        <v>0</v>
      </c>
      <c r="M193" s="183">
        <f ca="1">-SUMIFS(
  desp.m.ik[valor],
  desp.m.ik[nucleo], $B193,
  desp.m.ik[centro.negocio], $B$179,
  desp.m.ik[mes], "&gt;="&amp;M$1,
  desp.m.ik[mes], "&lt;"&amp;EOMONTH(M$1,0)+1
)</f>
        <v>0</v>
      </c>
      <c r="N193" s="183">
        <f ca="1">-SUMIFS(
  desp.m.ik[valor],
  desp.m.ik[nucleo], $B193,
  desp.m.ik[centro.negocio], $B$179,
  desp.m.ik[mes], "&gt;="&amp;N$1,
  desp.m.ik[mes], "&lt;"&amp;EOMONTH(N$1,0)+1
)</f>
        <v>0</v>
      </c>
      <c r="O193" s="183">
        <f ca="1">-SUMIFS(
  desp.m.ik[valor],
  desp.m.ik[nucleo], $B193,
  desp.m.ik[centro.negocio], $B$179,
  desp.m.ik[mes], "&gt;="&amp;O$1,
  desp.m.ik[mes], "&lt;"&amp;EOMONTH(O$1,0)+1
)</f>
        <v>0</v>
      </c>
      <c r="P193" s="183">
        <f ca="1">-SUMIFS(
  desp.m.ik[valor],
  desp.m.ik[nucleo], $B193,
  desp.m.ik[centro.negocio], $B$179,
  desp.m.ik[mes], "&gt;="&amp;P$1,
  desp.m.ik[mes], "&lt;"&amp;EOMONTH(P$1,0)+1
)</f>
        <v>0</v>
      </c>
      <c r="Q193" s="183">
        <f ca="1">-SUMIFS(
  desp.m.ik[valor],
  desp.m.ik[nucleo], $B193,
  desp.m.ik[centro.negocio], $B$179,
  desp.m.ik[mes], "&gt;="&amp;Q$1,
  desp.m.ik[mes], "&lt;"&amp;EOMONTH(Q$1,0)+1
)</f>
        <v>0</v>
      </c>
      <c r="R193" s="183">
        <f ca="1">-SUMIFS(
  desp.m.ik[valor],
  desp.m.ik[nucleo], $B193,
  desp.m.ik[centro.negocio], $B$179,
  desp.m.ik[mes], "&gt;="&amp;R$1,
  desp.m.ik[mes], "&lt;"&amp;EOMONTH(R$1,0)+1
)</f>
        <v>0</v>
      </c>
      <c r="S193" s="183">
        <f ca="1">-SUMIFS(
  desp.m.ik[valor],
  desp.m.ik[nucleo], $B193,
  desp.m.ik[centro.negocio], $B$179,
  desp.m.ik[mes], "&gt;="&amp;S$1,
  desp.m.ik[mes], "&lt;"&amp;EOMONTH(S$1,0)+1
)</f>
        <v>0</v>
      </c>
      <c r="T193" s="183">
        <f ca="1">-SUMIFS(
  desp.m.ik[valor],
  desp.m.ik[nucleo], $B193,
  desp.m.ik[centro.negocio], $B$179,
  desp.m.ik[mes], "&gt;="&amp;T$1,
  desp.m.ik[mes], "&lt;"&amp;EOMONTH(T$1,0)+1
)</f>
        <v>0</v>
      </c>
      <c r="U193" s="183">
        <f ca="1">-SUMIFS(
  desp.m.ik[valor],
  desp.m.ik[nucleo], $B193,
  desp.m.ik[centro.negocio], $B$179,
  desp.m.ik[mes], "&gt;="&amp;U$1,
  desp.m.ik[mes], "&lt;"&amp;EOMONTH(U$1,0)+1
)</f>
        <v>0</v>
      </c>
      <c r="V193" s="183">
        <f ca="1">-SUMIFS(
  desp.m.ik[valor],
  desp.m.ik[nucleo], $B193,
  desp.m.ik[centro.negocio], $B$179,
  desp.m.ik[mes], "&gt;="&amp;V$1,
  desp.m.ik[mes], "&lt;"&amp;EOMONTH(V$1,0)+1
)</f>
        <v>0</v>
      </c>
      <c r="W193" s="183">
        <f ca="1">-SUMIFS(
  desp.m.ik[valor],
  desp.m.ik[nucleo], $B193,
  desp.m.ik[centro.negocio], $B$179,
  desp.m.ik[mes], "&gt;="&amp;W$1,
  desp.m.ik[mes], "&lt;"&amp;EOMONTH(W$1,0)+1
)</f>
        <v>0</v>
      </c>
      <c r="X193" s="183">
        <f ca="1">-SUMIFS(
  desp.m.ik[valor],
  desp.m.ik[nucleo], $B193,
  desp.m.ik[centro.negocio], $B$179,
  desp.m.ik[mes], "&gt;="&amp;X$1,
  desp.m.ik[mes], "&lt;"&amp;EOMONTH(X$1,0)+1
)</f>
        <v>0</v>
      </c>
      <c r="Y193" s="183">
        <f ca="1">-SUMIFS(
  desp.m.ik[valor],
  desp.m.ik[nucleo], $B193,
  desp.m.ik[centro.negocio], $B$179,
  desp.m.ik[mes], "&gt;="&amp;Y$1,
  desp.m.ik[mes], "&lt;"&amp;EOMONTH(Y$1,0)+1
)</f>
        <v>0</v>
      </c>
      <c r="Z193" s="183">
        <f ca="1">-SUMIFS(
  desp.m.ik[valor],
  desp.m.ik[nucleo], $B193,
  desp.m.ik[centro.negocio], $B$179,
  desp.m.ik[mes], "&gt;="&amp;Z$1,
  desp.m.ik[mes], "&lt;"&amp;EOMONTH(Z$1,0)+1
)</f>
        <v>0</v>
      </c>
      <c r="AA193" s="183">
        <f ca="1">-SUMIFS(
  desp.m.ik[valor],
  desp.m.ik[nucleo], $B193,
  desp.m.ik[centro.negocio], $B$179,
  desp.m.ik[mes], "&gt;="&amp;AA$1,
  desp.m.ik[mes], "&lt;"&amp;EOMONTH(AA$1,0)+1
)</f>
        <v>0</v>
      </c>
      <c r="AC193" s="175">
        <f ca="1">SUM($D193:INDEX($D193:$AA193,1,MATCH(DATE(YEAR(inputs!$A$1),MONTH(inputs!$A$1),1),$D$1:$AA$1,0)))</f>
        <v>0</v>
      </c>
      <c r="AE193" s="175">
        <f t="shared" ca="1" si="32"/>
        <v>0</v>
      </c>
    </row>
    <row r="194" spans="1:31" outlineLevel="2" x14ac:dyDescent="0.25">
      <c r="A194" s="182" t="s">
        <v>611</v>
      </c>
      <c r="B194" s="182" t="s">
        <v>580</v>
      </c>
      <c r="C194" s="135" t="s">
        <v>514</v>
      </c>
      <c r="D194" s="183">
        <f ca="1">-SUMIFS(
  desp.m.ik[valor],
  desp.m.ik[nucleo], $B194,
  desp.m.ik[centro.negocio], $B$179,
  desp.m.ik[mes], "&gt;="&amp;D$1,
  desp.m.ik[mes], "&lt;"&amp;EOMONTH(D$1,0)+1
)</f>
        <v>0</v>
      </c>
      <c r="E194" s="183">
        <f ca="1">-SUMIFS(
  desp.m.ik[valor],
  desp.m.ik[nucleo], $B194,
  desp.m.ik[centro.negocio], $B$179,
  desp.m.ik[mes], "&gt;="&amp;E$1,
  desp.m.ik[mes], "&lt;"&amp;EOMONTH(E$1,0)+1
)</f>
        <v>0</v>
      </c>
      <c r="F194" s="183">
        <f ca="1">-SUMIFS(
  desp.m.ik[valor],
  desp.m.ik[nucleo], $B194,
  desp.m.ik[centro.negocio], $B$179,
  desp.m.ik[mes], "&gt;="&amp;F$1,
  desp.m.ik[mes], "&lt;"&amp;EOMONTH(F$1,0)+1
)</f>
        <v>0</v>
      </c>
      <c r="G194" s="183">
        <f ca="1">-SUMIFS(
  desp.m.ik[valor],
  desp.m.ik[nucleo], $B194,
  desp.m.ik[centro.negocio], $B$179,
  desp.m.ik[mes], "&gt;="&amp;G$1,
  desp.m.ik[mes], "&lt;"&amp;EOMONTH(G$1,0)+1
)</f>
        <v>0</v>
      </c>
      <c r="H194" s="183">
        <f ca="1">-SUMIFS(
  desp.m.ik[valor],
  desp.m.ik[nucleo], $B194,
  desp.m.ik[centro.negocio], $B$179,
  desp.m.ik[mes], "&gt;="&amp;H$1,
  desp.m.ik[mes], "&lt;"&amp;EOMONTH(H$1,0)+1
)</f>
        <v>0</v>
      </c>
      <c r="I194" s="183">
        <f ca="1">-SUMIFS(
  desp.m.ik[valor],
  desp.m.ik[nucleo], $B194,
  desp.m.ik[centro.negocio], $B$179,
  desp.m.ik[mes], "&gt;="&amp;I$1,
  desp.m.ik[mes], "&lt;"&amp;EOMONTH(I$1,0)+1
)</f>
        <v>0</v>
      </c>
      <c r="J194" s="183">
        <f ca="1">-SUMIFS(
  desp.m.ik[valor],
  desp.m.ik[nucleo], $B194,
  desp.m.ik[centro.negocio], $B$179,
  desp.m.ik[mes], "&gt;="&amp;J$1,
  desp.m.ik[mes], "&lt;"&amp;EOMONTH(J$1,0)+1
)</f>
        <v>0</v>
      </c>
      <c r="K194" s="183">
        <f ca="1">-SUMIFS(
  desp.m.ik[valor],
  desp.m.ik[nucleo], $B194,
  desp.m.ik[centro.negocio], $B$179,
  desp.m.ik[mes], "&gt;="&amp;K$1,
  desp.m.ik[mes], "&lt;"&amp;EOMONTH(K$1,0)+1
)</f>
        <v>0</v>
      </c>
      <c r="L194" s="183">
        <f ca="1">-SUMIFS(
  desp.m.ik[valor],
  desp.m.ik[nucleo], $B194,
  desp.m.ik[centro.negocio], $B$179,
  desp.m.ik[mes], "&gt;="&amp;L$1,
  desp.m.ik[mes], "&lt;"&amp;EOMONTH(L$1,0)+1
)</f>
        <v>0</v>
      </c>
      <c r="M194" s="183">
        <f ca="1">-SUMIFS(
  desp.m.ik[valor],
  desp.m.ik[nucleo], $B194,
  desp.m.ik[centro.negocio], $B$179,
  desp.m.ik[mes], "&gt;="&amp;M$1,
  desp.m.ik[mes], "&lt;"&amp;EOMONTH(M$1,0)+1
)</f>
        <v>0</v>
      </c>
      <c r="N194" s="183">
        <f ca="1">-SUMIFS(
  desp.m.ik[valor],
  desp.m.ik[nucleo], $B194,
  desp.m.ik[centro.negocio], $B$179,
  desp.m.ik[mes], "&gt;="&amp;N$1,
  desp.m.ik[mes], "&lt;"&amp;EOMONTH(N$1,0)+1
)</f>
        <v>0</v>
      </c>
      <c r="O194" s="183">
        <f ca="1">-SUMIFS(
  desp.m.ik[valor],
  desp.m.ik[nucleo], $B194,
  desp.m.ik[centro.negocio], $B$179,
  desp.m.ik[mes], "&gt;="&amp;O$1,
  desp.m.ik[mes], "&lt;"&amp;EOMONTH(O$1,0)+1
)</f>
        <v>0</v>
      </c>
      <c r="P194" s="183">
        <f ca="1">-SUMIFS(
  desp.m.ik[valor],
  desp.m.ik[nucleo], $B194,
  desp.m.ik[centro.negocio], $B$179,
  desp.m.ik[mes], "&gt;="&amp;P$1,
  desp.m.ik[mes], "&lt;"&amp;EOMONTH(P$1,0)+1
)</f>
        <v>0</v>
      </c>
      <c r="Q194" s="183">
        <f ca="1">-SUMIFS(
  desp.m.ik[valor],
  desp.m.ik[nucleo], $B194,
  desp.m.ik[centro.negocio], $B$179,
  desp.m.ik[mes], "&gt;="&amp;Q$1,
  desp.m.ik[mes], "&lt;"&amp;EOMONTH(Q$1,0)+1
)</f>
        <v>0</v>
      </c>
      <c r="R194" s="183">
        <f ca="1">-SUMIFS(
  desp.m.ik[valor],
  desp.m.ik[nucleo], $B194,
  desp.m.ik[centro.negocio], $B$179,
  desp.m.ik[mes], "&gt;="&amp;R$1,
  desp.m.ik[mes], "&lt;"&amp;EOMONTH(R$1,0)+1
)</f>
        <v>0</v>
      </c>
      <c r="S194" s="183">
        <f ca="1">-SUMIFS(
  desp.m.ik[valor],
  desp.m.ik[nucleo], $B194,
  desp.m.ik[centro.negocio], $B$179,
  desp.m.ik[mes], "&gt;="&amp;S$1,
  desp.m.ik[mes], "&lt;"&amp;EOMONTH(S$1,0)+1
)</f>
        <v>0</v>
      </c>
      <c r="T194" s="183">
        <f ca="1">-SUMIFS(
  desp.m.ik[valor],
  desp.m.ik[nucleo], $B194,
  desp.m.ik[centro.negocio], $B$179,
  desp.m.ik[mes], "&gt;="&amp;T$1,
  desp.m.ik[mes], "&lt;"&amp;EOMONTH(T$1,0)+1
)</f>
        <v>0</v>
      </c>
      <c r="U194" s="183">
        <f ca="1">-SUMIFS(
  desp.m.ik[valor],
  desp.m.ik[nucleo], $B194,
  desp.m.ik[centro.negocio], $B$179,
  desp.m.ik[mes], "&gt;="&amp;U$1,
  desp.m.ik[mes], "&lt;"&amp;EOMONTH(U$1,0)+1
)</f>
        <v>0</v>
      </c>
      <c r="V194" s="183">
        <f ca="1">-SUMIFS(
  desp.m.ik[valor],
  desp.m.ik[nucleo], $B194,
  desp.m.ik[centro.negocio], $B$179,
  desp.m.ik[mes], "&gt;="&amp;V$1,
  desp.m.ik[mes], "&lt;"&amp;EOMONTH(V$1,0)+1
)</f>
        <v>0</v>
      </c>
      <c r="W194" s="183">
        <f ca="1">-SUMIFS(
  desp.m.ik[valor],
  desp.m.ik[nucleo], $B194,
  desp.m.ik[centro.negocio], $B$179,
  desp.m.ik[mes], "&gt;="&amp;W$1,
  desp.m.ik[mes], "&lt;"&amp;EOMONTH(W$1,0)+1
)</f>
        <v>0</v>
      </c>
      <c r="X194" s="183">
        <f ca="1">-SUMIFS(
  desp.m.ik[valor],
  desp.m.ik[nucleo], $B194,
  desp.m.ik[centro.negocio], $B$179,
  desp.m.ik[mes], "&gt;="&amp;X$1,
  desp.m.ik[mes], "&lt;"&amp;EOMONTH(X$1,0)+1
)</f>
        <v>0</v>
      </c>
      <c r="Y194" s="183">
        <f ca="1">-SUMIFS(
  desp.m.ik[valor],
  desp.m.ik[nucleo], $B194,
  desp.m.ik[centro.negocio], $B$179,
  desp.m.ik[mes], "&gt;="&amp;Y$1,
  desp.m.ik[mes], "&lt;"&amp;EOMONTH(Y$1,0)+1
)</f>
        <v>0</v>
      </c>
      <c r="Z194" s="183">
        <f ca="1">-SUMIFS(
  desp.m.ik[valor],
  desp.m.ik[nucleo], $B194,
  desp.m.ik[centro.negocio], $B$179,
  desp.m.ik[mes], "&gt;="&amp;Z$1,
  desp.m.ik[mes], "&lt;"&amp;EOMONTH(Z$1,0)+1
)</f>
        <v>0</v>
      </c>
      <c r="AA194" s="183">
        <f ca="1">-SUMIFS(
  desp.m.ik[valor],
  desp.m.ik[nucleo], $B194,
  desp.m.ik[centro.negocio], $B$179,
  desp.m.ik[mes], "&gt;="&amp;AA$1,
  desp.m.ik[mes], "&lt;"&amp;EOMONTH(AA$1,0)+1
)</f>
        <v>0</v>
      </c>
      <c r="AC194" s="175">
        <f ca="1">SUM($D194:INDEX($D194:$AA194,1,MATCH(DATE(YEAR(inputs!$A$1),MONTH(inputs!$A$1),1),$D$1:$AA$1,0)))</f>
        <v>0</v>
      </c>
      <c r="AE194" s="175">
        <f t="shared" ca="1" si="32"/>
        <v>0</v>
      </c>
    </row>
    <row r="195" spans="1:31" outlineLevel="2" x14ac:dyDescent="0.25">
      <c r="A195" s="182" t="s">
        <v>606</v>
      </c>
      <c r="B195" s="182" t="s">
        <v>706</v>
      </c>
      <c r="C195" s="135" t="s">
        <v>514</v>
      </c>
      <c r="D195" s="183">
        <f ca="1">-SUMIFS(
  desp.m.ik[valor],
  desp.m.ik[nucleo], $B195,
  desp.m.ik[centro.negocio], $B$179,
  desp.m.ik[mes], "&gt;="&amp;D$1,
  desp.m.ik[mes], "&lt;"&amp;EOMONTH(D$1,0)+1
)</f>
        <v>0</v>
      </c>
      <c r="E195" s="183">
        <f ca="1">-SUMIFS(
  desp.m.ik[valor],
  desp.m.ik[nucleo], $B195,
  desp.m.ik[centro.negocio], $B$179,
  desp.m.ik[mes], "&gt;="&amp;E$1,
  desp.m.ik[mes], "&lt;"&amp;EOMONTH(E$1,0)+1
)</f>
        <v>0</v>
      </c>
      <c r="F195" s="183">
        <f ca="1">-SUMIFS(
  desp.m.ik[valor],
  desp.m.ik[nucleo], $B195,
  desp.m.ik[centro.negocio], $B$179,
  desp.m.ik[mes], "&gt;="&amp;F$1,
  desp.m.ik[mes], "&lt;"&amp;EOMONTH(F$1,0)+1
)</f>
        <v>0</v>
      </c>
      <c r="G195" s="183">
        <f ca="1">-SUMIFS(
  desp.m.ik[valor],
  desp.m.ik[nucleo], $B195,
  desp.m.ik[centro.negocio], $B$179,
  desp.m.ik[mes], "&gt;="&amp;G$1,
  desp.m.ik[mes], "&lt;"&amp;EOMONTH(G$1,0)+1
)</f>
        <v>0</v>
      </c>
      <c r="H195" s="183">
        <f ca="1">-SUMIFS(
  desp.m.ik[valor],
  desp.m.ik[nucleo], $B195,
  desp.m.ik[centro.negocio], $B$179,
  desp.m.ik[mes], "&gt;="&amp;H$1,
  desp.m.ik[mes], "&lt;"&amp;EOMONTH(H$1,0)+1
)</f>
        <v>0</v>
      </c>
      <c r="I195" s="183">
        <f ca="1">-SUMIFS(
  desp.m.ik[valor],
  desp.m.ik[nucleo], $B195,
  desp.m.ik[centro.negocio], $B$179,
  desp.m.ik[mes], "&gt;="&amp;I$1,
  desp.m.ik[mes], "&lt;"&amp;EOMONTH(I$1,0)+1
)</f>
        <v>0</v>
      </c>
      <c r="J195" s="183">
        <f ca="1">-SUMIFS(
  desp.m.ik[valor],
  desp.m.ik[nucleo], $B195,
  desp.m.ik[centro.negocio], $B$179,
  desp.m.ik[mes], "&gt;="&amp;J$1,
  desp.m.ik[mes], "&lt;"&amp;EOMONTH(J$1,0)+1
)</f>
        <v>0</v>
      </c>
      <c r="K195" s="183">
        <f ca="1">-SUMIFS(
  desp.m.ik[valor],
  desp.m.ik[nucleo], $B195,
  desp.m.ik[centro.negocio], $B$179,
  desp.m.ik[mes], "&gt;="&amp;K$1,
  desp.m.ik[mes], "&lt;"&amp;EOMONTH(K$1,0)+1
)</f>
        <v>0</v>
      </c>
      <c r="L195" s="183">
        <f ca="1">-SUMIFS(
  desp.m.ik[valor],
  desp.m.ik[nucleo], $B195,
  desp.m.ik[centro.negocio], $B$179,
  desp.m.ik[mes], "&gt;="&amp;L$1,
  desp.m.ik[mes], "&lt;"&amp;EOMONTH(L$1,0)+1
)</f>
        <v>0</v>
      </c>
      <c r="M195" s="183">
        <f ca="1">-SUMIFS(
  desp.m.ik[valor],
  desp.m.ik[nucleo], $B195,
  desp.m.ik[centro.negocio], $B$179,
  desp.m.ik[mes], "&gt;="&amp;M$1,
  desp.m.ik[mes], "&lt;"&amp;EOMONTH(M$1,0)+1
)</f>
        <v>0</v>
      </c>
      <c r="N195" s="183">
        <f ca="1">-SUMIFS(
  desp.m.ik[valor],
  desp.m.ik[nucleo], $B195,
  desp.m.ik[centro.negocio], $B$179,
  desp.m.ik[mes], "&gt;="&amp;N$1,
  desp.m.ik[mes], "&lt;"&amp;EOMONTH(N$1,0)+1
)</f>
        <v>0</v>
      </c>
      <c r="O195" s="183">
        <f ca="1">-SUMIFS(
  desp.m.ik[valor],
  desp.m.ik[nucleo], $B195,
  desp.m.ik[centro.negocio], $B$179,
  desp.m.ik[mes], "&gt;="&amp;O$1,
  desp.m.ik[mes], "&lt;"&amp;EOMONTH(O$1,0)+1
)</f>
        <v>0</v>
      </c>
      <c r="P195" s="183">
        <f ca="1">-SUMIFS(
  desp.m.ik[valor],
  desp.m.ik[nucleo], $B195,
  desp.m.ik[centro.negocio], $B$179,
  desp.m.ik[mes], "&gt;="&amp;P$1,
  desp.m.ik[mes], "&lt;"&amp;EOMONTH(P$1,0)+1
)</f>
        <v>0</v>
      </c>
      <c r="Q195" s="183">
        <f ca="1">-SUMIFS(
  desp.m.ik[valor],
  desp.m.ik[nucleo], $B195,
  desp.m.ik[centro.negocio], $B$179,
  desp.m.ik[mes], "&gt;="&amp;Q$1,
  desp.m.ik[mes], "&lt;"&amp;EOMONTH(Q$1,0)+1
)</f>
        <v>0</v>
      </c>
      <c r="R195" s="183">
        <f ca="1">-SUMIFS(
  desp.m.ik[valor],
  desp.m.ik[nucleo], $B195,
  desp.m.ik[centro.negocio], $B$179,
  desp.m.ik[mes], "&gt;="&amp;R$1,
  desp.m.ik[mes], "&lt;"&amp;EOMONTH(R$1,0)+1
)</f>
        <v>0</v>
      </c>
      <c r="S195" s="183">
        <f ca="1">-SUMIFS(
  desp.m.ik[valor],
  desp.m.ik[nucleo], $B195,
  desp.m.ik[centro.negocio], $B$179,
  desp.m.ik[mes], "&gt;="&amp;S$1,
  desp.m.ik[mes], "&lt;"&amp;EOMONTH(S$1,0)+1
)</f>
        <v>0</v>
      </c>
      <c r="T195" s="183">
        <f ca="1">-SUMIFS(
  desp.m.ik[valor],
  desp.m.ik[nucleo], $B195,
  desp.m.ik[centro.negocio], $B$179,
  desp.m.ik[mes], "&gt;="&amp;T$1,
  desp.m.ik[mes], "&lt;"&amp;EOMONTH(T$1,0)+1
)</f>
        <v>0</v>
      </c>
      <c r="U195" s="183">
        <f ca="1">-SUMIFS(
  desp.m.ik[valor],
  desp.m.ik[nucleo], $B195,
  desp.m.ik[centro.negocio], $B$179,
  desp.m.ik[mes], "&gt;="&amp;U$1,
  desp.m.ik[mes], "&lt;"&amp;EOMONTH(U$1,0)+1
)</f>
        <v>0</v>
      </c>
      <c r="V195" s="183">
        <f ca="1">-SUMIFS(
  desp.m.ik[valor],
  desp.m.ik[nucleo], $B195,
  desp.m.ik[centro.negocio], $B$179,
  desp.m.ik[mes], "&gt;="&amp;V$1,
  desp.m.ik[mes], "&lt;"&amp;EOMONTH(V$1,0)+1
)</f>
        <v>0</v>
      </c>
      <c r="W195" s="183">
        <f ca="1">-SUMIFS(
  desp.m.ik[valor],
  desp.m.ik[nucleo], $B195,
  desp.m.ik[centro.negocio], $B$179,
  desp.m.ik[mes], "&gt;="&amp;W$1,
  desp.m.ik[mes], "&lt;"&amp;EOMONTH(W$1,0)+1
)</f>
        <v>0</v>
      </c>
      <c r="X195" s="183">
        <f ca="1">-SUMIFS(
  desp.m.ik[valor],
  desp.m.ik[nucleo], $B195,
  desp.m.ik[centro.negocio], $B$179,
  desp.m.ik[mes], "&gt;="&amp;X$1,
  desp.m.ik[mes], "&lt;"&amp;EOMONTH(X$1,0)+1
)</f>
        <v>0</v>
      </c>
      <c r="Y195" s="183">
        <f ca="1">-SUMIFS(
  desp.m.ik[valor],
  desp.m.ik[nucleo], $B195,
  desp.m.ik[centro.negocio], $B$179,
  desp.m.ik[mes], "&gt;="&amp;Y$1,
  desp.m.ik[mes], "&lt;"&amp;EOMONTH(Y$1,0)+1
)</f>
        <v>0</v>
      </c>
      <c r="Z195" s="183">
        <f ca="1">-SUMIFS(
  desp.m.ik[valor],
  desp.m.ik[nucleo], $B195,
  desp.m.ik[centro.negocio], $B$179,
  desp.m.ik[mes], "&gt;="&amp;Z$1,
  desp.m.ik[mes], "&lt;"&amp;EOMONTH(Z$1,0)+1
)</f>
        <v>0</v>
      </c>
      <c r="AA195" s="183">
        <f ca="1">-SUMIFS(
  desp.m.ik[valor],
  desp.m.ik[nucleo], $B195,
  desp.m.ik[centro.negocio], $B$179,
  desp.m.ik[mes], "&gt;="&amp;AA$1,
  desp.m.ik[mes], "&lt;"&amp;EOMONTH(AA$1,0)+1
)</f>
        <v>0</v>
      </c>
      <c r="AC195" s="175">
        <f ca="1">SUM($D195:INDEX($D195:$AA195,1,MATCH(DATE(YEAR(inputs!$A$1),MONTH(inputs!$A$1),1),$D$1:$AA$1,0)))</f>
        <v>0</v>
      </c>
      <c r="AE195" s="175">
        <f ca="1">SUM(D195:AA195)</f>
        <v>0</v>
      </c>
    </row>
    <row r="196" spans="1:31" outlineLevel="2" x14ac:dyDescent="0.25">
      <c r="A196" s="182" t="s">
        <v>610</v>
      </c>
      <c r="B196" s="182" t="s">
        <v>557</v>
      </c>
      <c r="C196" s="135" t="s">
        <v>514</v>
      </c>
      <c r="D196" s="183">
        <f ca="1">-SUMIFS(
  desp.m.ik[valor],
  desp.m.ik[nucleo], $B196,
  desp.m.ik[centro.negocio], $B$179,
  desp.m.ik[mes], "&gt;="&amp;D$1,
  desp.m.ik[mes], "&lt;"&amp;EOMONTH(D$1,0)+1
)</f>
        <v>0</v>
      </c>
      <c r="E196" s="183">
        <f ca="1">-SUMIFS(
  desp.m.ik[valor],
  desp.m.ik[nucleo], $B196,
  desp.m.ik[centro.negocio], $B$179,
  desp.m.ik[mes], "&gt;="&amp;E$1,
  desp.m.ik[mes], "&lt;"&amp;EOMONTH(E$1,0)+1
)</f>
        <v>0</v>
      </c>
      <c r="F196" s="183">
        <f ca="1">-SUMIFS(
  desp.m.ik[valor],
  desp.m.ik[nucleo], $B196,
  desp.m.ik[centro.negocio], $B$179,
  desp.m.ik[mes], "&gt;="&amp;F$1,
  desp.m.ik[mes], "&lt;"&amp;EOMONTH(F$1,0)+1
)</f>
        <v>0</v>
      </c>
      <c r="G196" s="183">
        <f ca="1">-SUMIFS(
  desp.m.ik[valor],
  desp.m.ik[nucleo], $B196,
  desp.m.ik[centro.negocio], $B$179,
  desp.m.ik[mes], "&gt;="&amp;G$1,
  desp.m.ik[mes], "&lt;"&amp;EOMONTH(G$1,0)+1
)</f>
        <v>0</v>
      </c>
      <c r="H196" s="183">
        <f ca="1">-SUMIFS(
  desp.m.ik[valor],
  desp.m.ik[nucleo], $B196,
  desp.m.ik[centro.negocio], $B$179,
  desp.m.ik[mes], "&gt;="&amp;H$1,
  desp.m.ik[mes], "&lt;"&amp;EOMONTH(H$1,0)+1
)</f>
        <v>0</v>
      </c>
      <c r="I196" s="183">
        <f ca="1">-SUMIFS(
  desp.m.ik[valor],
  desp.m.ik[nucleo], $B196,
  desp.m.ik[centro.negocio], $B$179,
  desp.m.ik[mes], "&gt;="&amp;I$1,
  desp.m.ik[mes], "&lt;"&amp;EOMONTH(I$1,0)+1
)</f>
        <v>0</v>
      </c>
      <c r="J196" s="183">
        <f ca="1">-SUMIFS(
  desp.m.ik[valor],
  desp.m.ik[nucleo], $B196,
  desp.m.ik[centro.negocio], $B$179,
  desp.m.ik[mes], "&gt;="&amp;J$1,
  desp.m.ik[mes], "&lt;"&amp;EOMONTH(J$1,0)+1
)</f>
        <v>0</v>
      </c>
      <c r="K196" s="183">
        <f ca="1">-SUMIFS(
  desp.m.ik[valor],
  desp.m.ik[nucleo], $B196,
  desp.m.ik[centro.negocio], $B$179,
  desp.m.ik[mes], "&gt;="&amp;K$1,
  desp.m.ik[mes], "&lt;"&amp;EOMONTH(K$1,0)+1
)</f>
        <v>0</v>
      </c>
      <c r="L196" s="183">
        <f ca="1">-SUMIFS(
  desp.m.ik[valor],
  desp.m.ik[nucleo], $B196,
  desp.m.ik[centro.negocio], $B$179,
  desp.m.ik[mes], "&gt;="&amp;L$1,
  desp.m.ik[mes], "&lt;"&amp;EOMONTH(L$1,0)+1
)</f>
        <v>0</v>
      </c>
      <c r="M196" s="183">
        <f ca="1">-SUMIFS(
  desp.m.ik[valor],
  desp.m.ik[nucleo], $B196,
  desp.m.ik[centro.negocio], $B$179,
  desp.m.ik[mes], "&gt;="&amp;M$1,
  desp.m.ik[mes], "&lt;"&amp;EOMONTH(M$1,0)+1
)</f>
        <v>0</v>
      </c>
      <c r="N196" s="183">
        <f ca="1">-SUMIFS(
  desp.m.ik[valor],
  desp.m.ik[nucleo], $B196,
  desp.m.ik[centro.negocio], $B$179,
  desp.m.ik[mes], "&gt;="&amp;N$1,
  desp.m.ik[mes], "&lt;"&amp;EOMONTH(N$1,0)+1
)</f>
        <v>0</v>
      </c>
      <c r="O196" s="183">
        <f ca="1">-SUMIFS(
  desp.m.ik[valor],
  desp.m.ik[nucleo], $B196,
  desp.m.ik[centro.negocio], $B$179,
  desp.m.ik[mes], "&gt;="&amp;O$1,
  desp.m.ik[mes], "&lt;"&amp;EOMONTH(O$1,0)+1
)</f>
        <v>0</v>
      </c>
      <c r="P196" s="183">
        <f ca="1">-SUMIFS(
  desp.m.ik[valor],
  desp.m.ik[nucleo], $B196,
  desp.m.ik[centro.negocio], $B$179,
  desp.m.ik[mes], "&gt;="&amp;P$1,
  desp.m.ik[mes], "&lt;"&amp;EOMONTH(P$1,0)+1
)</f>
        <v>0</v>
      </c>
      <c r="Q196" s="183">
        <f ca="1">-SUMIFS(
  desp.m.ik[valor],
  desp.m.ik[nucleo], $B196,
  desp.m.ik[centro.negocio], $B$179,
  desp.m.ik[mes], "&gt;="&amp;Q$1,
  desp.m.ik[mes], "&lt;"&amp;EOMONTH(Q$1,0)+1
)</f>
        <v>0</v>
      </c>
      <c r="R196" s="183">
        <f ca="1">-SUMIFS(
  desp.m.ik[valor],
  desp.m.ik[nucleo], $B196,
  desp.m.ik[centro.negocio], $B$179,
  desp.m.ik[mes], "&gt;="&amp;R$1,
  desp.m.ik[mes], "&lt;"&amp;EOMONTH(R$1,0)+1
)</f>
        <v>0</v>
      </c>
      <c r="S196" s="183">
        <f ca="1">-SUMIFS(
  desp.m.ik[valor],
  desp.m.ik[nucleo], $B196,
  desp.m.ik[centro.negocio], $B$179,
  desp.m.ik[mes], "&gt;="&amp;S$1,
  desp.m.ik[mes], "&lt;"&amp;EOMONTH(S$1,0)+1
)</f>
        <v>0</v>
      </c>
      <c r="T196" s="183">
        <f ca="1">-SUMIFS(
  desp.m.ik[valor],
  desp.m.ik[nucleo], $B196,
  desp.m.ik[centro.negocio], $B$179,
  desp.m.ik[mes], "&gt;="&amp;T$1,
  desp.m.ik[mes], "&lt;"&amp;EOMONTH(T$1,0)+1
)</f>
        <v>0</v>
      </c>
      <c r="U196" s="183">
        <f ca="1">-SUMIFS(
  desp.m.ik[valor],
  desp.m.ik[nucleo], $B196,
  desp.m.ik[centro.negocio], $B$179,
  desp.m.ik[mes], "&gt;="&amp;U$1,
  desp.m.ik[mes], "&lt;"&amp;EOMONTH(U$1,0)+1
)</f>
        <v>0</v>
      </c>
      <c r="V196" s="183">
        <f ca="1">-SUMIFS(
  desp.m.ik[valor],
  desp.m.ik[nucleo], $B196,
  desp.m.ik[centro.negocio], $B$179,
  desp.m.ik[mes], "&gt;="&amp;V$1,
  desp.m.ik[mes], "&lt;"&amp;EOMONTH(V$1,0)+1
)</f>
        <v>0</v>
      </c>
      <c r="W196" s="183">
        <f ca="1">-SUMIFS(
  desp.m.ik[valor],
  desp.m.ik[nucleo], $B196,
  desp.m.ik[centro.negocio], $B$179,
  desp.m.ik[mes], "&gt;="&amp;W$1,
  desp.m.ik[mes], "&lt;"&amp;EOMONTH(W$1,0)+1
)</f>
        <v>0</v>
      </c>
      <c r="X196" s="183">
        <f ca="1">-SUMIFS(
  desp.m.ik[valor],
  desp.m.ik[nucleo], $B196,
  desp.m.ik[centro.negocio], $B$179,
  desp.m.ik[mes], "&gt;="&amp;X$1,
  desp.m.ik[mes], "&lt;"&amp;EOMONTH(X$1,0)+1
)</f>
        <v>0</v>
      </c>
      <c r="Y196" s="183">
        <f ca="1">-SUMIFS(
  desp.m.ik[valor],
  desp.m.ik[nucleo], $B196,
  desp.m.ik[centro.negocio], $B$179,
  desp.m.ik[mes], "&gt;="&amp;Y$1,
  desp.m.ik[mes], "&lt;"&amp;EOMONTH(Y$1,0)+1
)</f>
        <v>0</v>
      </c>
      <c r="Z196" s="183">
        <f ca="1">-SUMIFS(
  desp.m.ik[valor],
  desp.m.ik[nucleo], $B196,
  desp.m.ik[centro.negocio], $B$179,
  desp.m.ik[mes], "&gt;="&amp;Z$1,
  desp.m.ik[mes], "&lt;"&amp;EOMONTH(Z$1,0)+1
)</f>
        <v>0</v>
      </c>
      <c r="AA196" s="183">
        <f ca="1">-SUMIFS(
  desp.m.ik[valor],
  desp.m.ik[nucleo], $B196,
  desp.m.ik[centro.negocio], $B$179,
  desp.m.ik[mes], "&gt;="&amp;AA$1,
  desp.m.ik[mes], "&lt;"&amp;EOMONTH(AA$1,0)+1
)</f>
        <v>0</v>
      </c>
      <c r="AC196" s="175">
        <f ca="1">SUM($D196:INDEX($D196:$AA196,1,MATCH(DATE(YEAR(inputs!$A$1),MONTH(inputs!$A$1),1),$D$1:$AA$1,0)))</f>
        <v>0</v>
      </c>
      <c r="AE196" s="175">
        <f t="shared" ca="1" si="32"/>
        <v>0</v>
      </c>
    </row>
    <row r="197" spans="1:31" outlineLevel="2" x14ac:dyDescent="0.25">
      <c r="A197" s="182" t="s">
        <v>606</v>
      </c>
      <c r="B197" s="182" t="s">
        <v>569</v>
      </c>
      <c r="C197" s="135" t="s">
        <v>514</v>
      </c>
      <c r="D197" s="183">
        <f ca="1">-SUMIFS(
  desp.m.ik[valor],
  desp.m.ik[nucleo], $B197,
  desp.m.ik[centro.negocio], $B$179,
  desp.m.ik[mes], "&gt;="&amp;D$1,
  desp.m.ik[mes], "&lt;"&amp;EOMONTH(D$1,0)+1
)</f>
        <v>0</v>
      </c>
      <c r="E197" s="183">
        <f ca="1">-SUMIFS(
  desp.m.ik[valor],
  desp.m.ik[nucleo], $B197,
  desp.m.ik[centro.negocio], $B$179,
  desp.m.ik[mes], "&gt;="&amp;E$1,
  desp.m.ik[mes], "&lt;"&amp;EOMONTH(E$1,0)+1
)</f>
        <v>0</v>
      </c>
      <c r="F197" s="183">
        <f ca="1">-SUMIFS(
  desp.m.ik[valor],
  desp.m.ik[nucleo], $B197,
  desp.m.ik[centro.negocio], $B$179,
  desp.m.ik[mes], "&gt;="&amp;F$1,
  desp.m.ik[mes], "&lt;"&amp;EOMONTH(F$1,0)+1
)</f>
        <v>0</v>
      </c>
      <c r="G197" s="183">
        <f ca="1">-SUMIFS(
  desp.m.ik[valor],
  desp.m.ik[nucleo], $B197,
  desp.m.ik[centro.negocio], $B$179,
  desp.m.ik[mes], "&gt;="&amp;G$1,
  desp.m.ik[mes], "&lt;"&amp;EOMONTH(G$1,0)+1
)</f>
        <v>0</v>
      </c>
      <c r="H197" s="183">
        <f ca="1">-SUMIFS(
  desp.m.ik[valor],
  desp.m.ik[nucleo], $B197,
  desp.m.ik[centro.negocio], $B$179,
  desp.m.ik[mes], "&gt;="&amp;H$1,
  desp.m.ik[mes], "&lt;"&amp;EOMONTH(H$1,0)+1
)</f>
        <v>0</v>
      </c>
      <c r="I197" s="183">
        <f ca="1">-SUMIFS(
  desp.m.ik[valor],
  desp.m.ik[nucleo], $B197,
  desp.m.ik[centro.negocio], $B$179,
  desp.m.ik[mes], "&gt;="&amp;I$1,
  desp.m.ik[mes], "&lt;"&amp;EOMONTH(I$1,0)+1
)</f>
        <v>0</v>
      </c>
      <c r="J197" s="183">
        <f ca="1">-SUMIFS(
  desp.m.ik[valor],
  desp.m.ik[nucleo], $B197,
  desp.m.ik[centro.negocio], $B$179,
  desp.m.ik[mes], "&gt;="&amp;J$1,
  desp.m.ik[mes], "&lt;"&amp;EOMONTH(J$1,0)+1
)</f>
        <v>0</v>
      </c>
      <c r="K197" s="183">
        <f ca="1">-SUMIFS(
  desp.m.ik[valor],
  desp.m.ik[nucleo], $B197,
  desp.m.ik[centro.negocio], $B$179,
  desp.m.ik[mes], "&gt;="&amp;K$1,
  desp.m.ik[mes], "&lt;"&amp;EOMONTH(K$1,0)+1
)</f>
        <v>0</v>
      </c>
      <c r="L197" s="183">
        <f ca="1">-SUMIFS(
  desp.m.ik[valor],
  desp.m.ik[nucleo], $B197,
  desp.m.ik[centro.negocio], $B$179,
  desp.m.ik[mes], "&gt;="&amp;L$1,
  desp.m.ik[mes], "&lt;"&amp;EOMONTH(L$1,0)+1
)</f>
        <v>0</v>
      </c>
      <c r="M197" s="183">
        <f ca="1">-SUMIFS(
  desp.m.ik[valor],
  desp.m.ik[nucleo], $B197,
  desp.m.ik[centro.negocio], $B$179,
  desp.m.ik[mes], "&gt;="&amp;M$1,
  desp.m.ik[mes], "&lt;"&amp;EOMONTH(M$1,0)+1
)</f>
        <v>0</v>
      </c>
      <c r="N197" s="183">
        <f ca="1">-SUMIFS(
  desp.m.ik[valor],
  desp.m.ik[nucleo], $B197,
  desp.m.ik[centro.negocio], $B$179,
  desp.m.ik[mes], "&gt;="&amp;N$1,
  desp.m.ik[mes], "&lt;"&amp;EOMONTH(N$1,0)+1
)</f>
        <v>0</v>
      </c>
      <c r="O197" s="183">
        <f ca="1">-SUMIFS(
  desp.m.ik[valor],
  desp.m.ik[nucleo], $B197,
  desp.m.ik[centro.negocio], $B$179,
  desp.m.ik[mes], "&gt;="&amp;O$1,
  desp.m.ik[mes], "&lt;"&amp;EOMONTH(O$1,0)+1
)</f>
        <v>0</v>
      </c>
      <c r="P197" s="183">
        <f ca="1">-SUMIFS(
  desp.m.ik[valor],
  desp.m.ik[nucleo], $B197,
  desp.m.ik[centro.negocio], $B$179,
  desp.m.ik[mes], "&gt;="&amp;P$1,
  desp.m.ik[mes], "&lt;"&amp;EOMONTH(P$1,0)+1
)</f>
        <v>0</v>
      </c>
      <c r="Q197" s="183">
        <f ca="1">-SUMIFS(
  desp.m.ik[valor],
  desp.m.ik[nucleo], $B197,
  desp.m.ik[centro.negocio], $B$179,
  desp.m.ik[mes], "&gt;="&amp;Q$1,
  desp.m.ik[mes], "&lt;"&amp;EOMONTH(Q$1,0)+1
)</f>
        <v>0</v>
      </c>
      <c r="R197" s="183">
        <f ca="1">-SUMIFS(
  desp.m.ik[valor],
  desp.m.ik[nucleo], $B197,
  desp.m.ik[centro.negocio], $B$179,
  desp.m.ik[mes], "&gt;="&amp;R$1,
  desp.m.ik[mes], "&lt;"&amp;EOMONTH(R$1,0)+1
)</f>
        <v>0</v>
      </c>
      <c r="S197" s="183">
        <f ca="1">-SUMIFS(
  desp.m.ik[valor],
  desp.m.ik[nucleo], $B197,
  desp.m.ik[centro.negocio], $B$179,
  desp.m.ik[mes], "&gt;="&amp;S$1,
  desp.m.ik[mes], "&lt;"&amp;EOMONTH(S$1,0)+1
)</f>
        <v>0</v>
      </c>
      <c r="T197" s="183">
        <f ca="1">-SUMIFS(
  desp.m.ik[valor],
  desp.m.ik[nucleo], $B197,
  desp.m.ik[centro.negocio], $B$179,
  desp.m.ik[mes], "&gt;="&amp;T$1,
  desp.m.ik[mes], "&lt;"&amp;EOMONTH(T$1,0)+1
)</f>
        <v>0</v>
      </c>
      <c r="U197" s="183">
        <f ca="1">-SUMIFS(
  desp.m.ik[valor],
  desp.m.ik[nucleo], $B197,
  desp.m.ik[centro.negocio], $B$179,
  desp.m.ik[mes], "&gt;="&amp;U$1,
  desp.m.ik[mes], "&lt;"&amp;EOMONTH(U$1,0)+1
)</f>
        <v>0</v>
      </c>
      <c r="V197" s="183">
        <f ca="1">-SUMIFS(
  desp.m.ik[valor],
  desp.m.ik[nucleo], $B197,
  desp.m.ik[centro.negocio], $B$179,
  desp.m.ik[mes], "&gt;="&amp;V$1,
  desp.m.ik[mes], "&lt;"&amp;EOMONTH(V$1,0)+1
)</f>
        <v>0</v>
      </c>
      <c r="W197" s="183">
        <f ca="1">-SUMIFS(
  desp.m.ik[valor],
  desp.m.ik[nucleo], $B197,
  desp.m.ik[centro.negocio], $B$179,
  desp.m.ik[mes], "&gt;="&amp;W$1,
  desp.m.ik[mes], "&lt;"&amp;EOMONTH(W$1,0)+1
)</f>
        <v>0</v>
      </c>
      <c r="X197" s="183">
        <f ca="1">-SUMIFS(
  desp.m.ik[valor],
  desp.m.ik[nucleo], $B197,
  desp.m.ik[centro.negocio], $B$179,
  desp.m.ik[mes], "&gt;="&amp;X$1,
  desp.m.ik[mes], "&lt;"&amp;EOMONTH(X$1,0)+1
)</f>
        <v>0</v>
      </c>
      <c r="Y197" s="183">
        <f ca="1">-SUMIFS(
  desp.m.ik[valor],
  desp.m.ik[nucleo], $B197,
  desp.m.ik[centro.negocio], $B$179,
  desp.m.ik[mes], "&gt;="&amp;Y$1,
  desp.m.ik[mes], "&lt;"&amp;EOMONTH(Y$1,0)+1
)</f>
        <v>0</v>
      </c>
      <c r="Z197" s="183">
        <f ca="1">-SUMIFS(
  desp.m.ik[valor],
  desp.m.ik[nucleo], $B197,
  desp.m.ik[centro.negocio], $B$179,
  desp.m.ik[mes], "&gt;="&amp;Z$1,
  desp.m.ik[mes], "&lt;"&amp;EOMONTH(Z$1,0)+1
)</f>
        <v>0</v>
      </c>
      <c r="AA197" s="183">
        <f ca="1">-SUMIFS(
  desp.m.ik[valor],
  desp.m.ik[nucleo], $B197,
  desp.m.ik[centro.negocio], $B$179,
  desp.m.ik[mes], "&gt;="&amp;AA$1,
  desp.m.ik[mes], "&lt;"&amp;EOMONTH(AA$1,0)+1
)</f>
        <v>0</v>
      </c>
      <c r="AC197" s="175">
        <f ca="1">SUM($D197:INDEX($D197:$AA197,1,MATCH(DATE(YEAR(inputs!$A$1),MONTH(inputs!$A$1),1),$D$1:$AA$1,0)))</f>
        <v>0</v>
      </c>
      <c r="AE197" s="175">
        <f t="shared" ref="AE197:AE267" ca="1" si="40">SUM(D197:AA197)</f>
        <v>0</v>
      </c>
    </row>
    <row r="198" spans="1:31" outlineLevel="1" x14ac:dyDescent="0.25">
      <c r="A198" s="192" t="s">
        <v>612</v>
      </c>
      <c r="B198" s="189" t="s">
        <v>613</v>
      </c>
      <c r="C198" s="135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C198" s="175">
        <f>SUM($D198:INDEX($D198:$AA198,1,MATCH(DATE(YEAR(inputs!$A$1),MONTH(inputs!$A$1),1),$D$1:$AA$1,0)))</f>
        <v>0</v>
      </c>
      <c r="AE198" s="175">
        <f t="shared" si="40"/>
        <v>0</v>
      </c>
    </row>
    <row r="199" spans="1:31" outlineLevel="1" x14ac:dyDescent="0.25">
      <c r="A199" s="192" t="s">
        <v>614</v>
      </c>
      <c r="B199" s="189" t="s">
        <v>615</v>
      </c>
      <c r="C199" s="135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C199" s="175">
        <f>SUM($D199:INDEX($D199:$AA199,1,MATCH(DATE(YEAR(inputs!$A$1),MONTH(inputs!$A$1),1),$D$1:$AA$1,0)))</f>
        <v>0</v>
      </c>
      <c r="AE199" s="175">
        <f t="shared" si="40"/>
        <v>0</v>
      </c>
    </row>
    <row r="200" spans="1:31" x14ac:dyDescent="0.25">
      <c r="A200" s="172" t="s">
        <v>616</v>
      </c>
      <c r="B200" s="172" t="s">
        <v>617</v>
      </c>
      <c r="C200" s="173"/>
      <c r="D200" s="174">
        <f t="shared" ref="D200:AA200" ca="1" si="41">D$201+D$226</f>
        <v>1301708.8500000001</v>
      </c>
      <c r="E200" s="174">
        <f t="shared" ca="1" si="41"/>
        <v>0</v>
      </c>
      <c r="F200" s="174">
        <f t="shared" ca="1" si="41"/>
        <v>621715.06000000006</v>
      </c>
      <c r="G200" s="174">
        <f t="shared" ca="1" si="41"/>
        <v>2880120.66</v>
      </c>
      <c r="H200" s="174">
        <f t="shared" ca="1" si="41"/>
        <v>-4574829.6099999985</v>
      </c>
      <c r="I200" s="174">
        <f t="shared" ca="1" si="41"/>
        <v>2693304.8</v>
      </c>
      <c r="J200" s="174">
        <f t="shared" ca="1" si="41"/>
        <v>-1135314.7800000003</v>
      </c>
      <c r="K200" s="174">
        <f t="shared" ca="1" si="41"/>
        <v>13459049.359999999</v>
      </c>
      <c r="L200" s="174">
        <f t="shared" ca="1" si="41"/>
        <v>1226397.81</v>
      </c>
      <c r="M200" s="174">
        <f t="shared" ca="1" si="41"/>
        <v>3497137.5199999996</v>
      </c>
      <c r="N200" s="174">
        <f t="shared" ca="1" si="41"/>
        <v>-3397342.11</v>
      </c>
      <c r="O200" s="174">
        <f t="shared" ca="1" si="41"/>
        <v>471701.2</v>
      </c>
      <c r="P200" s="174">
        <f t="shared" ca="1" si="41"/>
        <v>1138483.6300000001</v>
      </c>
      <c r="Q200" s="174">
        <f t="shared" ca="1" si="41"/>
        <v>3697790.27</v>
      </c>
      <c r="R200" s="174">
        <f t="shared" ca="1" si="41"/>
        <v>2245616.4500000002</v>
      </c>
      <c r="S200" s="174">
        <f t="shared" ca="1" si="41"/>
        <v>902872.02</v>
      </c>
      <c r="T200" s="174">
        <f t="shared" ca="1" si="41"/>
        <v>6832317.2400000002</v>
      </c>
      <c r="U200" s="174">
        <f t="shared" ca="1" si="41"/>
        <v>1365955.58</v>
      </c>
      <c r="V200" s="174">
        <f t="shared" ca="1" si="41"/>
        <v>2413325.8199999998</v>
      </c>
      <c r="W200" s="174">
        <f t="shared" ca="1" si="41"/>
        <v>982083.85</v>
      </c>
      <c r="X200" s="174">
        <f t="shared" ca="1" si="41"/>
        <v>0</v>
      </c>
      <c r="Y200" s="174">
        <f t="shared" ca="1" si="41"/>
        <v>0</v>
      </c>
      <c r="Z200" s="174">
        <f t="shared" ca="1" si="41"/>
        <v>0</v>
      </c>
      <c r="AA200" s="174">
        <f t="shared" ca="1" si="41"/>
        <v>0</v>
      </c>
      <c r="AC200" s="273">
        <f ca="1">SUM($D200:INDEX($D200:$AA200,1,MATCH(DATE(YEAR(inputs!$A$1),MONTH(inputs!$A$1),1),$D$1:$AA$1,0)))</f>
        <v>36622093.619999997</v>
      </c>
      <c r="AE200" s="273">
        <f t="shared" ca="1" si="40"/>
        <v>36622093.619999997</v>
      </c>
    </row>
    <row r="201" spans="1:31" x14ac:dyDescent="0.25">
      <c r="A201" s="176" t="s">
        <v>618</v>
      </c>
      <c r="B201" s="176" t="s">
        <v>619</v>
      </c>
      <c r="C201" s="177"/>
      <c r="D201" s="178">
        <f t="shared" ref="D201:AA201" si="42">SUM(D$202,D$225)</f>
        <v>1301708.8500000001</v>
      </c>
      <c r="E201" s="178">
        <f t="shared" si="42"/>
        <v>0</v>
      </c>
      <c r="F201" s="178">
        <f t="shared" si="42"/>
        <v>621715.06000000006</v>
      </c>
      <c r="G201" s="178">
        <f t="shared" si="42"/>
        <v>3408120.66</v>
      </c>
      <c r="H201" s="178">
        <f t="shared" si="42"/>
        <v>6070665.4500000002</v>
      </c>
      <c r="I201" s="178">
        <f t="shared" si="42"/>
        <v>2693304.8</v>
      </c>
      <c r="J201" s="178">
        <f t="shared" si="42"/>
        <v>1715270.17</v>
      </c>
      <c r="K201" s="178">
        <f t="shared" si="42"/>
        <v>13459049.359999999</v>
      </c>
      <c r="L201" s="178">
        <f t="shared" si="42"/>
        <v>1226397.81</v>
      </c>
      <c r="M201" s="178">
        <f t="shared" si="42"/>
        <v>6497137.5199999996</v>
      </c>
      <c r="N201" s="178">
        <f t="shared" si="42"/>
        <v>809114.0199999999</v>
      </c>
      <c r="O201" s="178">
        <f t="shared" si="42"/>
        <v>471701.2</v>
      </c>
      <c r="P201" s="178">
        <f t="shared" si="42"/>
        <v>1138483.6300000001</v>
      </c>
      <c r="Q201" s="178">
        <f t="shared" si="42"/>
        <v>3697790.27</v>
      </c>
      <c r="R201" s="178">
        <f t="shared" si="42"/>
        <v>2245616.4500000002</v>
      </c>
      <c r="S201" s="178">
        <f t="shared" si="42"/>
        <v>902872.02</v>
      </c>
      <c r="T201" s="178">
        <f t="shared" si="42"/>
        <v>6832317.2400000002</v>
      </c>
      <c r="U201" s="178">
        <f t="shared" si="42"/>
        <v>1365955.58</v>
      </c>
      <c r="V201" s="178">
        <f t="shared" si="42"/>
        <v>2413325.8199999998</v>
      </c>
      <c r="W201" s="178">
        <f t="shared" si="42"/>
        <v>982083.85</v>
      </c>
      <c r="X201" s="178">
        <f t="shared" si="42"/>
        <v>0</v>
      </c>
      <c r="Y201" s="178">
        <f t="shared" si="42"/>
        <v>0</v>
      </c>
      <c r="Z201" s="178">
        <f t="shared" si="42"/>
        <v>0</v>
      </c>
      <c r="AA201" s="178">
        <f t="shared" si="42"/>
        <v>0</v>
      </c>
      <c r="AC201" s="274">
        <f>SUM($D201:INDEX($D201:$AA201,1,MATCH(DATE(YEAR(inputs!$A$1),MONTH(inputs!$A$1),1),$D$1:$AA$1,0)))</f>
        <v>57852629.76000002</v>
      </c>
      <c r="AE201" s="274">
        <f t="shared" si="40"/>
        <v>57852629.76000002</v>
      </c>
    </row>
    <row r="202" spans="1:31" outlineLevel="1" x14ac:dyDescent="0.25">
      <c r="A202" s="179" t="s">
        <v>620</v>
      </c>
      <c r="B202" s="179" t="s">
        <v>621</v>
      </c>
      <c r="C202" s="180" t="s">
        <v>622</v>
      </c>
      <c r="D202" s="181">
        <f t="shared" ref="D202:AA202" si="43">SUM(D$203,D$210)</f>
        <v>1301708.8500000001</v>
      </c>
      <c r="E202" s="181">
        <f t="shared" si="43"/>
        <v>0</v>
      </c>
      <c r="F202" s="181">
        <f t="shared" si="43"/>
        <v>621715.06000000006</v>
      </c>
      <c r="G202" s="181">
        <f t="shared" si="43"/>
        <v>3408120.66</v>
      </c>
      <c r="H202" s="181">
        <f t="shared" si="43"/>
        <v>6070665.4500000002</v>
      </c>
      <c r="I202" s="181">
        <f t="shared" si="43"/>
        <v>2693304.8</v>
      </c>
      <c r="J202" s="181">
        <f t="shared" si="43"/>
        <v>1715270.17</v>
      </c>
      <c r="K202" s="181">
        <f t="shared" si="43"/>
        <v>13459049.359999999</v>
      </c>
      <c r="L202" s="181">
        <f t="shared" si="43"/>
        <v>1226397.81</v>
      </c>
      <c r="M202" s="181">
        <f t="shared" si="43"/>
        <v>6497137.5199999996</v>
      </c>
      <c r="N202" s="181">
        <f t="shared" si="43"/>
        <v>809114.0199999999</v>
      </c>
      <c r="O202" s="181">
        <f t="shared" si="43"/>
        <v>471701.2</v>
      </c>
      <c r="P202" s="181">
        <f t="shared" si="43"/>
        <v>1138483.6300000001</v>
      </c>
      <c r="Q202" s="181">
        <f t="shared" si="43"/>
        <v>3697790.27</v>
      </c>
      <c r="R202" s="181">
        <f t="shared" si="43"/>
        <v>2245616.4500000002</v>
      </c>
      <c r="S202" s="181">
        <f t="shared" si="43"/>
        <v>902872.02</v>
      </c>
      <c r="T202" s="181">
        <f t="shared" si="43"/>
        <v>6832317.2400000002</v>
      </c>
      <c r="U202" s="181">
        <f t="shared" si="43"/>
        <v>1365955.58</v>
      </c>
      <c r="V202" s="181">
        <f t="shared" si="43"/>
        <v>2413325.8199999998</v>
      </c>
      <c r="W202" s="181">
        <f t="shared" si="43"/>
        <v>982083.85</v>
      </c>
      <c r="X202" s="181">
        <f t="shared" si="43"/>
        <v>0</v>
      </c>
      <c r="Y202" s="181">
        <f t="shared" si="43"/>
        <v>0</v>
      </c>
      <c r="Z202" s="181">
        <f t="shared" si="43"/>
        <v>0</v>
      </c>
      <c r="AA202" s="181">
        <f t="shared" si="43"/>
        <v>0</v>
      </c>
      <c r="AC202" s="275">
        <f>SUM($D202:INDEX($D202:$AA202,1,MATCH(DATE(YEAR(inputs!$A$1),MONTH(inputs!$A$1),1),$D$1:$AA$1,0)))</f>
        <v>57852629.76000002</v>
      </c>
      <c r="AE202" s="275">
        <f t="shared" si="40"/>
        <v>57852629.76000002</v>
      </c>
    </row>
    <row r="203" spans="1:31" outlineLevel="1" x14ac:dyDescent="0.25">
      <c r="A203" s="193" t="s">
        <v>623</v>
      </c>
      <c r="B203" s="193" t="s">
        <v>624</v>
      </c>
      <c r="C203" s="180" t="s">
        <v>474</v>
      </c>
      <c r="D203" s="181">
        <f t="shared" ref="D203:AA203" si="44">SUM(D$204:D$209)</f>
        <v>489068.85</v>
      </c>
      <c r="E203" s="181">
        <f t="shared" si="44"/>
        <v>0</v>
      </c>
      <c r="F203" s="181">
        <f t="shared" si="44"/>
        <v>621715.06000000006</v>
      </c>
      <c r="G203" s="181">
        <f t="shared" si="44"/>
        <v>497086.75</v>
      </c>
      <c r="H203" s="181">
        <f t="shared" si="44"/>
        <v>134752.4</v>
      </c>
      <c r="I203" s="181">
        <f t="shared" si="44"/>
        <v>289304.8</v>
      </c>
      <c r="J203" s="181">
        <f t="shared" si="44"/>
        <v>1169364.17</v>
      </c>
      <c r="K203" s="181">
        <f t="shared" si="44"/>
        <v>1447049.36</v>
      </c>
      <c r="L203" s="181">
        <f t="shared" si="44"/>
        <v>726397.81</v>
      </c>
      <c r="M203" s="181">
        <f t="shared" si="44"/>
        <v>746758.73</v>
      </c>
      <c r="N203" s="181">
        <f t="shared" si="44"/>
        <v>809114.0199999999</v>
      </c>
      <c r="O203" s="181">
        <f t="shared" si="44"/>
        <v>471701.2</v>
      </c>
      <c r="P203" s="181">
        <f t="shared" si="44"/>
        <v>1138483.6300000001</v>
      </c>
      <c r="Q203" s="181">
        <f t="shared" si="44"/>
        <v>697790.27</v>
      </c>
      <c r="R203" s="181">
        <f t="shared" si="44"/>
        <v>2245616.4500000002</v>
      </c>
      <c r="S203" s="181">
        <f t="shared" si="44"/>
        <v>902872.02</v>
      </c>
      <c r="T203" s="181">
        <f t="shared" si="44"/>
        <v>1832317.24</v>
      </c>
      <c r="U203" s="181">
        <f t="shared" si="44"/>
        <v>1365955.58</v>
      </c>
      <c r="V203" s="181">
        <f t="shared" si="44"/>
        <v>2413325.8199999998</v>
      </c>
      <c r="W203" s="181">
        <f t="shared" si="44"/>
        <v>982083.85</v>
      </c>
      <c r="X203" s="181">
        <f t="shared" si="44"/>
        <v>0</v>
      </c>
      <c r="Y203" s="181">
        <f t="shared" si="44"/>
        <v>0</v>
      </c>
      <c r="Z203" s="181">
        <f t="shared" si="44"/>
        <v>0</v>
      </c>
      <c r="AA203" s="181">
        <f t="shared" si="44"/>
        <v>0</v>
      </c>
      <c r="AC203" s="275">
        <f>SUM($D203:INDEX($D203:$AA203,1,MATCH(DATE(YEAR(inputs!$A$1),MONTH(inputs!$A$1),1),$D$1:$AA$1,0)))</f>
        <v>18980758.010000002</v>
      </c>
      <c r="AE203" s="275">
        <f t="shared" si="40"/>
        <v>18980758.010000002</v>
      </c>
    </row>
    <row r="204" spans="1:31" outlineLevel="2" collapsed="1" x14ac:dyDescent="0.25">
      <c r="A204" s="194" t="s">
        <v>628</v>
      </c>
      <c r="B204" s="194" t="s">
        <v>12</v>
      </c>
      <c r="C204" s="135" t="s">
        <v>474</v>
      </c>
      <c r="D204" s="183" cm="1">
        <f t="array" ref="D204:W204">TRANSPOSE(_xlfn._xlws.FILTER(inputs!$CF$51:$CF$123,inputs!$CF$51:$CF$123&lt;&gt;""))</f>
        <v>0</v>
      </c>
      <c r="E204" s="183">
        <v>0</v>
      </c>
      <c r="F204" s="183">
        <v>236708.67</v>
      </c>
      <c r="G204" s="183">
        <v>273233.02</v>
      </c>
      <c r="H204" s="183">
        <v>0</v>
      </c>
      <c r="I204" s="183">
        <v>0</v>
      </c>
      <c r="J204" s="183">
        <v>504350.63</v>
      </c>
      <c r="K204" s="183">
        <v>249520.85</v>
      </c>
      <c r="L204" s="183">
        <v>315799.90000000002</v>
      </c>
      <c r="M204" s="183">
        <v>165252.20000000001</v>
      </c>
      <c r="N204" s="183">
        <v>200573.37</v>
      </c>
      <c r="O204" s="183">
        <v>0</v>
      </c>
      <c r="P204" s="183">
        <v>311984.76</v>
      </c>
      <c r="Q204" s="183">
        <v>378029.53</v>
      </c>
      <c r="R204" s="183">
        <v>472296.31</v>
      </c>
      <c r="S204" s="183">
        <v>437711.45</v>
      </c>
      <c r="T204" s="183">
        <v>478515.22</v>
      </c>
      <c r="U204" s="183">
        <v>364294.47</v>
      </c>
      <c r="V204" s="183">
        <v>849729.75</v>
      </c>
      <c r="W204" s="183">
        <v>0</v>
      </c>
      <c r="X204" s="183"/>
      <c r="Y204" s="183"/>
      <c r="Z204" s="183"/>
      <c r="AA204" s="183"/>
      <c r="AC204" s="175">
        <f>SUM($D204:INDEX($D204:$AA204,1,MATCH(DATE(YEAR(inputs!$A$1),MONTH(inputs!$A$1),1),$D$1:$AA$1,0)))</f>
        <v>5238000.1300000008</v>
      </c>
      <c r="AE204" s="175">
        <f t="shared" si="40"/>
        <v>5238000.1300000008</v>
      </c>
    </row>
    <row r="205" spans="1:31" outlineLevel="2" collapsed="1" x14ac:dyDescent="0.25">
      <c r="A205" s="194" t="s">
        <v>664</v>
      </c>
      <c r="B205" s="194" t="s">
        <v>10</v>
      </c>
      <c r="C205" s="135" t="s">
        <v>474</v>
      </c>
      <c r="D205" s="183" cm="1">
        <f t="array" ref="D205:W205">TRANSPOSE(_xlfn._xlws.FILTER(inputs!$AZ$51:$AZ$123,inputs!$AZ$51:$AZ$123&lt;&gt;""))</f>
        <v>0</v>
      </c>
      <c r="E205" s="183">
        <v>0</v>
      </c>
      <c r="F205" s="183">
        <v>0</v>
      </c>
      <c r="G205" s="183">
        <v>0</v>
      </c>
      <c r="H205" s="183">
        <v>0</v>
      </c>
      <c r="I205" s="183">
        <v>0</v>
      </c>
      <c r="J205" s="183">
        <v>0</v>
      </c>
      <c r="K205" s="183">
        <v>0</v>
      </c>
      <c r="L205" s="183">
        <v>0</v>
      </c>
      <c r="M205" s="183">
        <v>0</v>
      </c>
      <c r="N205" s="183">
        <v>0</v>
      </c>
      <c r="O205" s="183">
        <v>0</v>
      </c>
      <c r="P205" s="183">
        <v>513271.28</v>
      </c>
      <c r="Q205" s="183">
        <v>272968.38</v>
      </c>
      <c r="R205" s="183">
        <v>1245070.1599999999</v>
      </c>
      <c r="S205" s="183">
        <v>465160.57</v>
      </c>
      <c r="T205" s="183">
        <v>919179.34</v>
      </c>
      <c r="U205" s="183">
        <v>793792.24</v>
      </c>
      <c r="V205" s="183">
        <v>0</v>
      </c>
      <c r="W205" s="183">
        <v>401137.2</v>
      </c>
      <c r="X205" s="183"/>
      <c r="Y205" s="183"/>
      <c r="Z205" s="183"/>
      <c r="AA205" s="183"/>
      <c r="AC205" s="175">
        <f>SUM($D205:INDEX($D205:$AA205,1,MATCH(DATE(YEAR(inputs!$A$1),MONTH(inputs!$A$1),1),$D$1:$AA$1,0)))</f>
        <v>4610579.17</v>
      </c>
      <c r="AE205" s="175">
        <f>SUM(D205:AA205)</f>
        <v>4610579.17</v>
      </c>
    </row>
    <row r="206" spans="1:31" outlineLevel="2" x14ac:dyDescent="0.25">
      <c r="A206" s="194" t="s">
        <v>627</v>
      </c>
      <c r="B206" s="194" t="s">
        <v>9</v>
      </c>
      <c r="C206" s="135" t="s">
        <v>474</v>
      </c>
      <c r="D206" s="183" cm="1">
        <f t="array" ref="D206:W206">TRANSPOSE(_xlfn._xlws.FILTER(inputs!$AN$51:$AN$123,inputs!$AN$51:$AN$123&lt;&gt;""))</f>
        <v>0</v>
      </c>
      <c r="E206" s="183">
        <v>0</v>
      </c>
      <c r="F206" s="183">
        <v>0</v>
      </c>
      <c r="G206" s="183">
        <v>0</v>
      </c>
      <c r="H206" s="183">
        <v>0</v>
      </c>
      <c r="I206" s="183">
        <v>0</v>
      </c>
      <c r="J206" s="183">
        <v>493410.63</v>
      </c>
      <c r="K206" s="183">
        <v>831222.47</v>
      </c>
      <c r="L206" s="183">
        <v>229516.7</v>
      </c>
      <c r="M206" s="183">
        <v>314892.83</v>
      </c>
      <c r="N206" s="183">
        <v>378061.31</v>
      </c>
      <c r="O206" s="183">
        <v>0</v>
      </c>
      <c r="P206" s="183">
        <v>313227.59000000003</v>
      </c>
      <c r="Q206" s="183">
        <v>0</v>
      </c>
      <c r="R206" s="183">
        <v>528249.98</v>
      </c>
      <c r="S206" s="183">
        <v>0</v>
      </c>
      <c r="T206" s="183">
        <v>434622.68</v>
      </c>
      <c r="U206" s="183">
        <v>0</v>
      </c>
      <c r="V206" s="183">
        <v>68844.36</v>
      </c>
      <c r="W206" s="183">
        <v>148525</v>
      </c>
      <c r="X206" s="183"/>
      <c r="Y206" s="183"/>
      <c r="Z206" s="183"/>
      <c r="AA206" s="183"/>
      <c r="AC206" s="175">
        <f>SUM($D206:INDEX($D206:$AA206,1,MATCH(DATE(YEAR(inputs!$A$1),MONTH(inputs!$A$1),1),$D$1:$AA$1,0)))</f>
        <v>3740573.55</v>
      </c>
      <c r="AE206" s="175">
        <f t="shared" si="40"/>
        <v>3740573.55</v>
      </c>
    </row>
    <row r="207" spans="1:31" outlineLevel="2" x14ac:dyDescent="0.25">
      <c r="A207" s="194" t="s">
        <v>625</v>
      </c>
      <c r="B207" s="194" t="s">
        <v>7</v>
      </c>
      <c r="C207" s="135" t="s">
        <v>474</v>
      </c>
      <c r="D207" s="183" cm="1">
        <f t="array" ref="D207:W207">TRANSPOSE(_xlfn._xlws.FILTER(inputs!$F$51:$F$123,inputs!$F$51:$F$123&lt;&gt;""))</f>
        <v>489068.85</v>
      </c>
      <c r="E207" s="183">
        <v>0</v>
      </c>
      <c r="F207" s="183">
        <v>385006.39</v>
      </c>
      <c r="G207" s="183">
        <v>223853.73</v>
      </c>
      <c r="H207" s="183">
        <v>134752.4</v>
      </c>
      <c r="I207" s="183">
        <v>289304.8</v>
      </c>
      <c r="J207" s="183">
        <v>171602.91</v>
      </c>
      <c r="K207" s="183">
        <v>366306.04</v>
      </c>
      <c r="L207" s="183">
        <v>181081.21</v>
      </c>
      <c r="M207" s="183">
        <v>266613.7</v>
      </c>
      <c r="N207" s="183">
        <v>230479.34</v>
      </c>
      <c r="O207" s="183">
        <v>471701.2</v>
      </c>
      <c r="P207" s="183">
        <v>0</v>
      </c>
      <c r="Q207" s="183">
        <v>46792.36</v>
      </c>
      <c r="R207" s="183">
        <v>0</v>
      </c>
      <c r="S207" s="183">
        <v>0</v>
      </c>
      <c r="T207" s="183">
        <v>0</v>
      </c>
      <c r="U207" s="183">
        <v>207868.87</v>
      </c>
      <c r="V207" s="183">
        <v>0</v>
      </c>
      <c r="W207" s="183">
        <v>0</v>
      </c>
      <c r="X207" s="183"/>
      <c r="Y207" s="183"/>
      <c r="Z207" s="183"/>
      <c r="AA207" s="183"/>
      <c r="AC207" s="175">
        <f>SUM($D207:INDEX($D207:$AA207,1,MATCH(DATE(YEAR(inputs!$A$1),MONTH(inputs!$A$1),1),$D$1:$AA$1,0)))</f>
        <v>3464431.8000000003</v>
      </c>
      <c r="AE207" s="175">
        <f>SUM(D207:AA207)</f>
        <v>3464431.8000000003</v>
      </c>
    </row>
    <row r="208" spans="1:31" outlineLevel="2" x14ac:dyDescent="0.25">
      <c r="A208" s="194" t="s">
        <v>1061</v>
      </c>
      <c r="B208" s="194" t="s">
        <v>13</v>
      </c>
      <c r="C208" s="135" t="s">
        <v>474</v>
      </c>
      <c r="D208" s="183" cm="1">
        <f t="array" ref="D208:W208">TRANSPOSE(_xlfn._xlws.FILTER(inputs!$CR$51:$CR$123,inputs!$CR$51:$CR$123&lt;&gt;""))</f>
        <v>0</v>
      </c>
      <c r="E208" s="183">
        <v>0</v>
      </c>
      <c r="F208" s="183">
        <v>0</v>
      </c>
      <c r="G208" s="183">
        <v>0</v>
      </c>
      <c r="H208" s="183">
        <v>0</v>
      </c>
      <c r="I208" s="183">
        <v>0</v>
      </c>
      <c r="J208" s="183">
        <v>0</v>
      </c>
      <c r="K208" s="183">
        <v>0</v>
      </c>
      <c r="L208" s="183">
        <v>0</v>
      </c>
      <c r="M208" s="183">
        <v>0</v>
      </c>
      <c r="N208" s="183">
        <v>0</v>
      </c>
      <c r="O208" s="183">
        <v>0</v>
      </c>
      <c r="P208" s="183">
        <v>0</v>
      </c>
      <c r="Q208" s="183">
        <v>0</v>
      </c>
      <c r="R208" s="183">
        <v>0</v>
      </c>
      <c r="S208" s="183">
        <v>0</v>
      </c>
      <c r="T208" s="183">
        <v>0</v>
      </c>
      <c r="U208" s="183">
        <v>0</v>
      </c>
      <c r="V208" s="183">
        <v>1494751.71</v>
      </c>
      <c r="W208" s="183">
        <v>432421.65</v>
      </c>
      <c r="X208" s="183"/>
      <c r="Y208" s="183"/>
      <c r="Z208" s="183"/>
      <c r="AA208" s="183"/>
      <c r="AC208" s="175">
        <f>SUM($D208:INDEX($D208:$AA208,1,MATCH(DATE(YEAR(inputs!$A$1),MONTH(inputs!$A$1),1),$D$1:$AA$1,0)))</f>
        <v>1927173.3599999999</v>
      </c>
      <c r="AE208" s="175">
        <f>SUM(D208:AA208)</f>
        <v>1927173.3599999999</v>
      </c>
    </row>
    <row r="209" spans="1:31" outlineLevel="2" x14ac:dyDescent="0.25">
      <c r="A209" s="194" t="s">
        <v>626</v>
      </c>
      <c r="B209" s="194" t="s">
        <v>8</v>
      </c>
      <c r="C209" s="135" t="s">
        <v>474</v>
      </c>
      <c r="D209" s="183" cm="1">
        <f t="array" ref="D209:W209">TRANSPOSE(_xlfn._xlws.FILTER(inputs!$R$51:$R$123,inputs!$R$51:$R$123&lt;&gt;""))</f>
        <v>0</v>
      </c>
      <c r="E209" s="183">
        <v>0</v>
      </c>
      <c r="F209" s="183">
        <v>0</v>
      </c>
      <c r="G209" s="183">
        <v>0</v>
      </c>
      <c r="H209" s="183">
        <v>0</v>
      </c>
      <c r="I209" s="183">
        <v>0</v>
      </c>
      <c r="J209" s="183">
        <v>0</v>
      </c>
      <c r="K209" s="183">
        <v>0</v>
      </c>
      <c r="L209" s="183">
        <v>0</v>
      </c>
      <c r="M209" s="183">
        <v>0</v>
      </c>
      <c r="N209" s="183">
        <v>0</v>
      </c>
      <c r="O209" s="183">
        <v>0</v>
      </c>
      <c r="P209" s="183">
        <v>0</v>
      </c>
      <c r="Q209" s="183">
        <v>0</v>
      </c>
      <c r="R209" s="183">
        <v>0</v>
      </c>
      <c r="S209" s="183">
        <v>0</v>
      </c>
      <c r="T209" s="183">
        <v>0</v>
      </c>
      <c r="U209" s="183">
        <v>0</v>
      </c>
      <c r="V209" s="183">
        <v>0</v>
      </c>
      <c r="W209" s="183">
        <v>0</v>
      </c>
      <c r="X209" s="183"/>
      <c r="Y209" s="183"/>
      <c r="Z209" s="183"/>
      <c r="AA209" s="183"/>
      <c r="AC209" s="175">
        <f>SUM($D209:INDEX($D209:$AA209,1,MATCH(DATE(YEAR(inputs!$A$1),MONTH(inputs!$A$1),1),$D$1:$AA$1,0)))</f>
        <v>0</v>
      </c>
      <c r="AE209" s="175">
        <f t="shared" si="40"/>
        <v>0</v>
      </c>
    </row>
    <row r="210" spans="1:31" outlineLevel="1" x14ac:dyDescent="0.25">
      <c r="A210" s="193" t="s">
        <v>629</v>
      </c>
      <c r="B210" s="193" t="s">
        <v>344</v>
      </c>
      <c r="C210" s="180" t="s">
        <v>630</v>
      </c>
      <c r="D210" s="181">
        <f t="shared" ref="D210:AA210" si="45">SUM(D$211:D$224)</f>
        <v>812640</v>
      </c>
      <c r="E210" s="181">
        <f t="shared" si="45"/>
        <v>0</v>
      </c>
      <c r="F210" s="181">
        <f t="shared" si="45"/>
        <v>0</v>
      </c>
      <c r="G210" s="181">
        <f t="shared" si="45"/>
        <v>2911033.91</v>
      </c>
      <c r="H210" s="181">
        <f t="shared" si="45"/>
        <v>5935913.0499999998</v>
      </c>
      <c r="I210" s="181">
        <f t="shared" si="45"/>
        <v>2404000</v>
      </c>
      <c r="J210" s="181">
        <f t="shared" si="45"/>
        <v>545906</v>
      </c>
      <c r="K210" s="181">
        <f t="shared" si="45"/>
        <v>12012000</v>
      </c>
      <c r="L210" s="181">
        <f t="shared" si="45"/>
        <v>500000</v>
      </c>
      <c r="M210" s="181">
        <f t="shared" si="45"/>
        <v>5750378.79</v>
      </c>
      <c r="N210" s="181">
        <f t="shared" si="45"/>
        <v>0</v>
      </c>
      <c r="O210" s="181">
        <f t="shared" si="45"/>
        <v>0</v>
      </c>
      <c r="P210" s="181">
        <f t="shared" si="45"/>
        <v>0</v>
      </c>
      <c r="Q210" s="181">
        <f t="shared" si="45"/>
        <v>3000000</v>
      </c>
      <c r="R210" s="181">
        <f t="shared" si="45"/>
        <v>0</v>
      </c>
      <c r="S210" s="181">
        <f t="shared" si="45"/>
        <v>0</v>
      </c>
      <c r="T210" s="181">
        <f t="shared" si="45"/>
        <v>5000000</v>
      </c>
      <c r="U210" s="181">
        <f t="shared" si="45"/>
        <v>0</v>
      </c>
      <c r="V210" s="181">
        <f t="shared" si="45"/>
        <v>0</v>
      </c>
      <c r="W210" s="181">
        <f t="shared" si="45"/>
        <v>0</v>
      </c>
      <c r="X210" s="181">
        <f t="shared" si="45"/>
        <v>0</v>
      </c>
      <c r="Y210" s="181">
        <f t="shared" si="45"/>
        <v>0</v>
      </c>
      <c r="Z210" s="181">
        <f t="shared" si="45"/>
        <v>0</v>
      </c>
      <c r="AA210" s="181">
        <f t="shared" si="45"/>
        <v>0</v>
      </c>
      <c r="AC210" s="275">
        <f>SUM($D210:INDEX($D210:$AA210,1,MATCH(DATE(YEAR(inputs!$A$1),MONTH(inputs!$A$1),1),$D$1:$AA$1,0)))</f>
        <v>38871871.75</v>
      </c>
      <c r="AE210" s="275">
        <f t="shared" si="40"/>
        <v>38871871.75</v>
      </c>
    </row>
    <row r="211" spans="1:31" outlineLevel="2" x14ac:dyDescent="0.25">
      <c r="A211" s="194" t="s">
        <v>631</v>
      </c>
      <c r="B211" s="194" t="s">
        <v>836</v>
      </c>
      <c r="C211" s="135" t="s">
        <v>630</v>
      </c>
      <c r="D211" s="183" cm="1">
        <f t="array" ref="D211">SUMPRODUCT(
  fin[jan/25] *
  (fin[Id]=$B211)
)</f>
        <v>0</v>
      </c>
      <c r="E211" s="183" cm="1">
        <f t="array" ref="E211">SUMPRODUCT(
  fin[fev/25] *
  (fin[Id]=$B211)
)</f>
        <v>0</v>
      </c>
      <c r="F211" s="183" cm="1">
        <f t="array" ref="F211">SUMPRODUCT(
  fin[mar/25] *
  (fin[Id]=$B211)
)</f>
        <v>0</v>
      </c>
      <c r="G211" s="183" cm="1">
        <f t="array" ref="G211">SUMPRODUCT(
  fin[abr/25] *
  (fin[Id]=$B211)
)</f>
        <v>0</v>
      </c>
      <c r="H211" s="183" cm="1">
        <f t="array" ref="H211">SUMPRODUCT(
  fin[mai/25] *
  (fin[Id]=$B211)
)</f>
        <v>3185913.05</v>
      </c>
      <c r="I211" s="183" cm="1">
        <f t="array" ref="I211">SUMPRODUCT(
  fin[jun/25] *
  (fin[Id]=$B211)
)</f>
        <v>1604000</v>
      </c>
      <c r="J211" s="183" cm="1">
        <f t="array" ref="J211">SUMPRODUCT(
  fin[jul/25] *
  (fin[Id]=$B211)
)</f>
        <v>0</v>
      </c>
      <c r="K211" s="183" cm="1">
        <f t="array" ref="K211">SUMPRODUCT(
  fin[ago/25] *
  (fin[Id]=$B211)
)</f>
        <v>0</v>
      </c>
      <c r="L211" s="183" cm="1">
        <f t="array" ref="L211">SUMPRODUCT(
  fin[set/25] *
  (fin[Id]=$B211)
)</f>
        <v>0</v>
      </c>
      <c r="M211" s="183" cm="1">
        <f t="array" ref="M211">SUMPRODUCT(
  fin[out/25] *
  (fin[Id]=$B211)
)</f>
        <v>5750378.79</v>
      </c>
      <c r="N211" s="183" cm="1">
        <f t="array" ref="N211">SUMPRODUCT(
  fin[nov/25] *
  (fin[Id]=$B211)
)</f>
        <v>0</v>
      </c>
      <c r="O211" s="183" cm="1">
        <f t="array" ref="O211">SUMPRODUCT(
  fin[dez/25] *
  (fin[Id]=$B211)
)</f>
        <v>0</v>
      </c>
      <c r="P211" s="183" cm="1">
        <f t="array" ref="P211">SUMPRODUCT(
  fin[jan/26] *
  (fin[Id]=$B211)
)</f>
        <v>0</v>
      </c>
      <c r="Q211" s="183" cm="1">
        <f t="array" ref="Q211">SUMPRODUCT(
  fin[fev/26] *
  (fin[Id]=$B211)
)</f>
        <v>0</v>
      </c>
      <c r="R211" s="183" cm="1">
        <f t="array" ref="R211">SUMPRODUCT(
  fin[mar/26] *
  (fin[Id]=$B211)
)</f>
        <v>0</v>
      </c>
      <c r="S211" s="183" cm="1">
        <f t="array" ref="S211">SUMPRODUCT(
  fin[abr/26] *
  (fin[Id]=$B211)
)</f>
        <v>0</v>
      </c>
      <c r="T211" s="183" cm="1">
        <f t="array" ref="T211">SUMPRODUCT(
  fin[mai/26] *
  (fin[Id]=$B211)
)</f>
        <v>0</v>
      </c>
      <c r="U211" s="183" cm="1">
        <f t="array" ref="U211">SUMPRODUCT(
  fin[jun/26] *
  (fin[Id]=$B211)
)</f>
        <v>0</v>
      </c>
      <c r="V211" s="183" cm="1">
        <f t="array" ref="V211">SUMPRODUCT(
  fin[jul/26] *
  (fin[Id]=$B211)
)</f>
        <v>0</v>
      </c>
      <c r="W211" s="183" cm="1">
        <f t="array" ref="W211">SUMPRODUCT(
  fin[ago/26] *
  (fin[Id]=$B211)
)</f>
        <v>0</v>
      </c>
      <c r="X211" s="183" cm="1">
        <f t="array" ref="X211">SUMPRODUCT(
  fin[set/26] *
  (fin[Id]=$B211)
)</f>
        <v>0</v>
      </c>
      <c r="Y211" s="183" cm="1">
        <f t="array" ref="Y211">SUMPRODUCT(
  fin[out/26] *
  (fin[Id]=$B211)
)</f>
        <v>0</v>
      </c>
      <c r="Z211" s="183" cm="1">
        <f t="array" ref="Z211">SUMPRODUCT(
  fin[nov/26] *
  (fin[Id]=$B211)
)</f>
        <v>0</v>
      </c>
      <c r="AA211" s="183" cm="1">
        <f t="array" ref="AA211">SUMPRODUCT(
  fin[dez/26] *
  (fin[Id]=$B211)
)</f>
        <v>0</v>
      </c>
      <c r="AC211" s="175">
        <f>SUM($D211:INDEX($D211:$AA211,1,MATCH(DATE(YEAR(inputs!$A$1),MONTH(inputs!$A$1),1),$D$1:$AA$1,0)))</f>
        <v>10540291.84</v>
      </c>
      <c r="AE211" s="175">
        <f t="shared" si="40"/>
        <v>10540291.84</v>
      </c>
    </row>
    <row r="212" spans="1:31" outlineLevel="2" x14ac:dyDescent="0.25">
      <c r="A212" s="194" t="s">
        <v>631</v>
      </c>
      <c r="B212" s="194" t="s">
        <v>632</v>
      </c>
      <c r="C212" s="135" t="s">
        <v>630</v>
      </c>
      <c r="D212" s="183" cm="1">
        <f t="array" ref="D212">SUMPRODUCT(
  fin[jan/25] *
  (fin[Id]=$B212)
)</f>
        <v>0</v>
      </c>
      <c r="E212" s="183" cm="1">
        <f t="array" ref="E212">SUMPRODUCT(
  fin[fev/25] *
  (fin[Id]=$B212)
)</f>
        <v>0</v>
      </c>
      <c r="F212" s="183" cm="1">
        <f t="array" ref="F212">SUMPRODUCT(
  fin[mar/25] *
  (fin[Id]=$B212)
)</f>
        <v>0</v>
      </c>
      <c r="G212" s="183" cm="1">
        <f t="array" ref="G212">SUMPRODUCT(
  fin[abr/25] *
  (fin[Id]=$B212)
)</f>
        <v>0</v>
      </c>
      <c r="H212" s="183" cm="1">
        <f t="array" ref="H212">SUMPRODUCT(
  fin[mai/25] *
  (fin[Id]=$B212)
)</f>
        <v>0</v>
      </c>
      <c r="I212" s="183" cm="1">
        <f t="array" ref="I212">SUMPRODUCT(
  fin[jun/25] *
  (fin[Id]=$B212)
)</f>
        <v>0</v>
      </c>
      <c r="J212" s="183" cm="1">
        <f t="array" ref="J212">SUMPRODUCT(
  fin[jul/25] *
  (fin[Id]=$B212)
)</f>
        <v>0</v>
      </c>
      <c r="K212" s="183" cm="1">
        <f t="array" ref="K212">SUMPRODUCT(
  fin[ago/25] *
  (fin[Id]=$B212)
)</f>
        <v>6000000</v>
      </c>
      <c r="L212" s="183" cm="1">
        <f t="array" ref="L212">SUMPRODUCT(
  fin[set/25] *
  (fin[Id]=$B212)
)</f>
        <v>0</v>
      </c>
      <c r="M212" s="183" cm="1">
        <f t="array" ref="M212">SUMPRODUCT(
  fin[out/25] *
  (fin[Id]=$B212)
)</f>
        <v>0</v>
      </c>
      <c r="N212" s="183" cm="1">
        <f t="array" ref="N212">SUMPRODUCT(
  fin[nov/25] *
  (fin[Id]=$B212)
)</f>
        <v>0</v>
      </c>
      <c r="O212" s="183" cm="1">
        <f t="array" ref="O212">SUMPRODUCT(
  fin[dez/25] *
  (fin[Id]=$B212)
)</f>
        <v>0</v>
      </c>
      <c r="P212" s="183" cm="1">
        <f t="array" ref="P212">SUMPRODUCT(
  fin[jan/26] *
  (fin[Id]=$B212)
)</f>
        <v>0</v>
      </c>
      <c r="Q212" s="183" cm="1">
        <f t="array" ref="Q212">SUMPRODUCT(
  fin[fev/26] *
  (fin[Id]=$B212)
)</f>
        <v>0</v>
      </c>
      <c r="R212" s="183" cm="1">
        <f t="array" ref="R212">SUMPRODUCT(
  fin[mar/26] *
  (fin[Id]=$B212)
)</f>
        <v>0</v>
      </c>
      <c r="S212" s="183" cm="1">
        <f t="array" ref="S212">SUMPRODUCT(
  fin[abr/26] *
  (fin[Id]=$B212)
)</f>
        <v>0</v>
      </c>
      <c r="T212" s="183" cm="1">
        <f t="array" ref="T212">SUMPRODUCT(
  fin[mai/26] *
  (fin[Id]=$B212)
)</f>
        <v>0</v>
      </c>
      <c r="U212" s="183" cm="1">
        <f t="array" ref="U212">SUMPRODUCT(
  fin[jun/26] *
  (fin[Id]=$B212)
)</f>
        <v>0</v>
      </c>
      <c r="V212" s="183" cm="1">
        <f t="array" ref="V212">SUMPRODUCT(
  fin[jul/26] *
  (fin[Id]=$B212)
)</f>
        <v>0</v>
      </c>
      <c r="W212" s="183" cm="1">
        <f t="array" ref="W212">SUMPRODUCT(
  fin[ago/26] *
  (fin[Id]=$B212)
)</f>
        <v>0</v>
      </c>
      <c r="X212" s="183" cm="1">
        <f t="array" ref="X212">SUMPRODUCT(
  fin[set/26] *
  (fin[Id]=$B212)
)</f>
        <v>0</v>
      </c>
      <c r="Y212" s="183" cm="1">
        <f t="array" ref="Y212">SUMPRODUCT(
  fin[out/26] *
  (fin[Id]=$B212)
)</f>
        <v>0</v>
      </c>
      <c r="Z212" s="183" cm="1">
        <f t="array" ref="Z212">SUMPRODUCT(
  fin[nov/26] *
  (fin[Id]=$B212)
)</f>
        <v>0</v>
      </c>
      <c r="AA212" s="183" cm="1">
        <f t="array" ref="AA212">SUMPRODUCT(
  fin[dez/26] *
  (fin[Id]=$B212)
)</f>
        <v>0</v>
      </c>
      <c r="AC212" s="175">
        <f>SUM($D212:INDEX($D212:$AA212,1,MATCH(DATE(YEAR(inputs!$A$1),MONTH(inputs!$A$1),1),$D$1:$AA$1,0)))</f>
        <v>6000000</v>
      </c>
      <c r="AE212" s="175">
        <f t="shared" si="40"/>
        <v>6000000</v>
      </c>
    </row>
    <row r="213" spans="1:31" outlineLevel="2" x14ac:dyDescent="0.25">
      <c r="A213" s="194" t="s">
        <v>631</v>
      </c>
      <c r="B213" s="194" t="s">
        <v>724</v>
      </c>
      <c r="C213" s="135" t="s">
        <v>630</v>
      </c>
      <c r="D213" s="183" cm="1">
        <f t="array" ref="D213">SUMPRODUCT(
  fin[jan/25] *
  (fin[Id]=$B213)
)</f>
        <v>0</v>
      </c>
      <c r="E213" s="183" cm="1">
        <f t="array" ref="E213">SUMPRODUCT(
  fin[fev/25] *
  (fin[Id]=$B213)
)</f>
        <v>0</v>
      </c>
      <c r="F213" s="183" cm="1">
        <f t="array" ref="F213">SUMPRODUCT(
  fin[mar/25] *
  (fin[Id]=$B213)
)</f>
        <v>0</v>
      </c>
      <c r="G213" s="183" cm="1">
        <f t="array" ref="G213">SUMPRODUCT(
  fin[abr/25] *
  (fin[Id]=$B213)
)</f>
        <v>0</v>
      </c>
      <c r="H213" s="183" cm="1">
        <f t="array" ref="H213">SUMPRODUCT(
  fin[mai/25] *
  (fin[Id]=$B213)
)</f>
        <v>0</v>
      </c>
      <c r="I213" s="183" cm="1">
        <f t="array" ref="I213">SUMPRODUCT(
  fin[jun/25] *
  (fin[Id]=$B213)
)</f>
        <v>0</v>
      </c>
      <c r="J213" s="183" cm="1">
        <f t="array" ref="J213">SUMPRODUCT(
  fin[jul/25] *
  (fin[Id]=$B213)
)</f>
        <v>0</v>
      </c>
      <c r="K213" s="183" cm="1">
        <f t="array" ref="K213">SUMPRODUCT(
  fin[ago/25] *
  (fin[Id]=$B213)
)</f>
        <v>5000000</v>
      </c>
      <c r="L213" s="183" cm="1">
        <f t="array" ref="L213">SUMPRODUCT(
  fin[set/25] *
  (fin[Id]=$B213)
)</f>
        <v>0</v>
      </c>
      <c r="M213" s="183" cm="1">
        <f t="array" ref="M213">SUMPRODUCT(
  fin[out/25] *
  (fin[Id]=$B213)
)</f>
        <v>0</v>
      </c>
      <c r="N213" s="183" cm="1">
        <f t="array" ref="N213">SUMPRODUCT(
  fin[nov/25] *
  (fin[Id]=$B213)
)</f>
        <v>0</v>
      </c>
      <c r="O213" s="183" cm="1">
        <f t="array" ref="O213">SUMPRODUCT(
  fin[dez/25] *
  (fin[Id]=$B213)
)</f>
        <v>0</v>
      </c>
      <c r="P213" s="183" cm="1">
        <f t="array" ref="P213">SUMPRODUCT(
  fin[jan/26] *
  (fin[Id]=$B213)
)</f>
        <v>0</v>
      </c>
      <c r="Q213" s="183" cm="1">
        <f t="array" ref="Q213">SUMPRODUCT(
  fin[fev/26] *
  (fin[Id]=$B213)
)</f>
        <v>0</v>
      </c>
      <c r="R213" s="183" cm="1">
        <f t="array" ref="R213">SUMPRODUCT(
  fin[mar/26] *
  (fin[Id]=$B213)
)</f>
        <v>0</v>
      </c>
      <c r="S213" s="183" cm="1">
        <f t="array" ref="S213">SUMPRODUCT(
  fin[abr/26] *
  (fin[Id]=$B213)
)</f>
        <v>0</v>
      </c>
      <c r="T213" s="183" cm="1">
        <f t="array" ref="T213">SUMPRODUCT(
  fin[mai/26] *
  (fin[Id]=$B213)
)</f>
        <v>0</v>
      </c>
      <c r="U213" s="183" cm="1">
        <f t="array" ref="U213">SUMPRODUCT(
  fin[jun/26] *
  (fin[Id]=$B213)
)</f>
        <v>0</v>
      </c>
      <c r="V213" s="183" cm="1">
        <f t="array" ref="V213">SUMPRODUCT(
  fin[jul/26] *
  (fin[Id]=$B213)
)</f>
        <v>0</v>
      </c>
      <c r="W213" s="183" cm="1">
        <f t="array" ref="W213">SUMPRODUCT(
  fin[ago/26] *
  (fin[Id]=$B213)
)</f>
        <v>0</v>
      </c>
      <c r="X213" s="183" cm="1">
        <f t="array" ref="X213">SUMPRODUCT(
  fin[set/26] *
  (fin[Id]=$B213)
)</f>
        <v>0</v>
      </c>
      <c r="Y213" s="183" cm="1">
        <f t="array" ref="Y213">SUMPRODUCT(
  fin[out/26] *
  (fin[Id]=$B213)
)</f>
        <v>0</v>
      </c>
      <c r="Z213" s="183" cm="1">
        <f t="array" ref="Z213">SUMPRODUCT(
  fin[nov/26] *
  (fin[Id]=$B213)
)</f>
        <v>0</v>
      </c>
      <c r="AA213" s="183" cm="1">
        <f t="array" ref="AA213">SUMPRODUCT(
  fin[dez/26] *
  (fin[Id]=$B213)
)</f>
        <v>0</v>
      </c>
      <c r="AC213" s="175">
        <f>SUM($D213:INDEX($D213:$AA213,1,MATCH(DATE(YEAR(inputs!$A$1),MONTH(inputs!$A$1),1),$D$1:$AA$1,0)))</f>
        <v>5000000</v>
      </c>
      <c r="AE213" s="175">
        <f t="shared" si="40"/>
        <v>5000000</v>
      </c>
    </row>
    <row r="214" spans="1:31" outlineLevel="2" x14ac:dyDescent="0.25">
      <c r="A214" s="194" t="s">
        <v>631</v>
      </c>
      <c r="B214" s="194" t="s">
        <v>910</v>
      </c>
      <c r="C214" s="135" t="s">
        <v>630</v>
      </c>
      <c r="D214" s="183" cm="1">
        <f t="array" ref="D214">SUMPRODUCT(
  fin[jan/25] *
  (fin[Id]=$B214)
)</f>
        <v>0</v>
      </c>
      <c r="E214" s="183" cm="1">
        <f t="array" ref="E214">SUMPRODUCT(
  fin[fev/25] *
  (fin[Id]=$B214)
)</f>
        <v>0</v>
      </c>
      <c r="F214" s="183" cm="1">
        <f t="array" ref="F214">SUMPRODUCT(
  fin[mar/25] *
  (fin[Id]=$B214)
)</f>
        <v>0</v>
      </c>
      <c r="G214" s="183" cm="1">
        <f t="array" ref="G214">SUMPRODUCT(
  fin[abr/25] *
  (fin[Id]=$B214)
)</f>
        <v>0</v>
      </c>
      <c r="H214" s="183" cm="1">
        <f t="array" ref="H214">SUMPRODUCT(
  fin[mai/25] *
  (fin[Id]=$B214)
)</f>
        <v>0</v>
      </c>
      <c r="I214" s="183" cm="1">
        <f t="array" ref="I214">SUMPRODUCT(
  fin[jun/25] *
  (fin[Id]=$B214)
)</f>
        <v>0</v>
      </c>
      <c r="J214" s="183" cm="1">
        <f t="array" ref="J214">SUMPRODUCT(
  fin[jul/25] *
  (fin[Id]=$B214)
)</f>
        <v>0</v>
      </c>
      <c r="K214" s="183" cm="1">
        <f t="array" ref="K214">SUMPRODUCT(
  fin[ago/25] *
  (fin[Id]=$B214)
)</f>
        <v>0</v>
      </c>
      <c r="L214" s="183" cm="1">
        <f t="array" ref="L214">SUMPRODUCT(
  fin[set/25] *
  (fin[Id]=$B214)
)</f>
        <v>0</v>
      </c>
      <c r="M214" s="183" cm="1">
        <f t="array" ref="M214">SUMPRODUCT(
  fin[out/25] *
  (fin[Id]=$B214)
)</f>
        <v>0</v>
      </c>
      <c r="N214" s="183" cm="1">
        <f t="array" ref="N214">SUMPRODUCT(
  fin[nov/25] *
  (fin[Id]=$B214)
)</f>
        <v>0</v>
      </c>
      <c r="O214" s="183" cm="1">
        <f t="array" ref="O214">SUMPRODUCT(
  fin[dez/25] *
  (fin[Id]=$B214)
)</f>
        <v>0</v>
      </c>
      <c r="P214" s="183" cm="1">
        <f t="array" ref="P214">SUMPRODUCT(
  fin[jan/26] *
  (fin[Id]=$B214)
)</f>
        <v>0</v>
      </c>
      <c r="Q214" s="183" cm="1">
        <f t="array" ref="Q214">SUMPRODUCT(
  fin[fev/26] *
  (fin[Id]=$B214)
)</f>
        <v>0</v>
      </c>
      <c r="R214" s="183" cm="1">
        <f t="array" ref="R214">SUMPRODUCT(
  fin[mar/26] *
  (fin[Id]=$B214)
)</f>
        <v>0</v>
      </c>
      <c r="S214" s="183" cm="1">
        <f t="array" ref="S214">SUMPRODUCT(
  fin[abr/26] *
  (fin[Id]=$B214)
)</f>
        <v>0</v>
      </c>
      <c r="T214" s="183" cm="1">
        <f t="array" ref="T214">SUMPRODUCT(
  fin[mai/26] *
  (fin[Id]=$B214)
)</f>
        <v>5000000</v>
      </c>
      <c r="U214" s="183" cm="1">
        <f t="array" ref="U214">SUMPRODUCT(
  fin[jun/26] *
  (fin[Id]=$B214)
)</f>
        <v>0</v>
      </c>
      <c r="V214" s="183" cm="1">
        <f t="array" ref="V214">SUMPRODUCT(
  fin[jul/26] *
  (fin[Id]=$B214)
)</f>
        <v>0</v>
      </c>
      <c r="W214" s="183" cm="1">
        <f t="array" ref="W214">SUMPRODUCT(
  fin[ago/26] *
  (fin[Id]=$B214)
)</f>
        <v>0</v>
      </c>
      <c r="X214" s="183" cm="1">
        <f t="array" ref="X214">SUMPRODUCT(
  fin[set/26] *
  (fin[Id]=$B214)
)</f>
        <v>0</v>
      </c>
      <c r="Y214" s="183" cm="1">
        <f t="array" ref="Y214">SUMPRODUCT(
  fin[out/26] *
  (fin[Id]=$B214)
)</f>
        <v>0</v>
      </c>
      <c r="Z214" s="183" cm="1">
        <f t="array" ref="Z214">SUMPRODUCT(
  fin[nov/26] *
  (fin[Id]=$B214)
)</f>
        <v>0</v>
      </c>
      <c r="AA214" s="183" cm="1">
        <f t="array" ref="AA214">SUMPRODUCT(
  fin[dez/26] *
  (fin[Id]=$B214)
)</f>
        <v>0</v>
      </c>
      <c r="AC214" s="175">
        <f>SUM($D214:INDEX($D214:$AA214,1,MATCH(DATE(YEAR(inputs!$A$1),MONTH(inputs!$A$1),1),$D$1:$AA$1,0)))</f>
        <v>5000000</v>
      </c>
      <c r="AE214" s="175">
        <f t="shared" si="40"/>
        <v>5000000</v>
      </c>
    </row>
    <row r="215" spans="1:31" outlineLevel="2" x14ac:dyDescent="0.25">
      <c r="A215" s="194" t="s">
        <v>631</v>
      </c>
      <c r="B215" s="194" t="s">
        <v>700</v>
      </c>
      <c r="C215" s="135" t="s">
        <v>630</v>
      </c>
      <c r="D215" s="183" cm="1">
        <f t="array" ref="D215">SUMPRODUCT(
  fin[jan/25] *
  (fin[Id]=$B215)
)</f>
        <v>0</v>
      </c>
      <c r="E215" s="183" cm="1">
        <f t="array" ref="E215">SUMPRODUCT(
  fin[fev/25] *
  (fin[Id]=$B215)
)</f>
        <v>0</v>
      </c>
      <c r="F215" s="183" cm="1">
        <f t="array" ref="F215">SUMPRODUCT(
  fin[mar/25] *
  (fin[Id]=$B215)
)</f>
        <v>0</v>
      </c>
      <c r="G215" s="183" cm="1">
        <f t="array" ref="G215">SUMPRODUCT(
  fin[abr/25] *
  (fin[Id]=$B215)
)</f>
        <v>0</v>
      </c>
      <c r="H215" s="183" cm="1">
        <f t="array" ref="H215">SUMPRODUCT(
  fin[mai/25] *
  (fin[Id]=$B215)
)</f>
        <v>0</v>
      </c>
      <c r="I215" s="183" cm="1">
        <f t="array" ref="I215">SUMPRODUCT(
  fin[jun/25] *
  (fin[Id]=$B215)
)</f>
        <v>0</v>
      </c>
      <c r="J215" s="183" cm="1">
        <f t="array" ref="J215">SUMPRODUCT(
  fin[jul/25] *
  (fin[Id]=$B215)
)</f>
        <v>0</v>
      </c>
      <c r="K215" s="183" cm="1">
        <f t="array" ref="K215">SUMPRODUCT(
  fin[ago/25] *
  (fin[Id]=$B215)
)</f>
        <v>0</v>
      </c>
      <c r="L215" s="183" cm="1">
        <f t="array" ref="L215">SUMPRODUCT(
  fin[set/25] *
  (fin[Id]=$B215)
)</f>
        <v>0</v>
      </c>
      <c r="M215" s="183" cm="1">
        <f t="array" ref="M215">SUMPRODUCT(
  fin[out/25] *
  (fin[Id]=$B215)
)</f>
        <v>0</v>
      </c>
      <c r="N215" s="183" cm="1">
        <f t="array" ref="N215">SUMPRODUCT(
  fin[nov/25] *
  (fin[Id]=$B215)
)</f>
        <v>0</v>
      </c>
      <c r="O215" s="183" cm="1">
        <f t="array" ref="O215">SUMPRODUCT(
  fin[dez/25] *
  (fin[Id]=$B215)
)</f>
        <v>0</v>
      </c>
      <c r="P215" s="183" cm="1">
        <f t="array" ref="P215">SUMPRODUCT(
  fin[jan/26] *
  (fin[Id]=$B215)
)</f>
        <v>0</v>
      </c>
      <c r="Q215" s="183" cm="1">
        <f t="array" ref="Q215">SUMPRODUCT(
  fin[fev/26] *
  (fin[Id]=$B215)
)</f>
        <v>3000000</v>
      </c>
      <c r="R215" s="183" cm="1">
        <f t="array" ref="R215">SUMPRODUCT(
  fin[mar/26] *
  (fin[Id]=$B215)
)</f>
        <v>0</v>
      </c>
      <c r="S215" s="183" cm="1">
        <f t="array" ref="S215">SUMPRODUCT(
  fin[abr/26] *
  (fin[Id]=$B215)
)</f>
        <v>0</v>
      </c>
      <c r="T215" s="183" cm="1">
        <f t="array" ref="T215">SUMPRODUCT(
  fin[mai/26] *
  (fin[Id]=$B215)
)</f>
        <v>0</v>
      </c>
      <c r="U215" s="183" cm="1">
        <f t="array" ref="U215">SUMPRODUCT(
  fin[jun/26] *
  (fin[Id]=$B215)
)</f>
        <v>0</v>
      </c>
      <c r="V215" s="183" cm="1">
        <f t="array" ref="V215">SUMPRODUCT(
  fin[jul/26] *
  (fin[Id]=$B215)
)</f>
        <v>0</v>
      </c>
      <c r="W215" s="183" cm="1">
        <f t="array" ref="W215">SUMPRODUCT(
  fin[ago/26] *
  (fin[Id]=$B215)
)</f>
        <v>0</v>
      </c>
      <c r="X215" s="183" cm="1">
        <f t="array" ref="X215">SUMPRODUCT(
  fin[set/26] *
  (fin[Id]=$B215)
)</f>
        <v>0</v>
      </c>
      <c r="Y215" s="183" cm="1">
        <f t="array" ref="Y215">SUMPRODUCT(
  fin[out/26] *
  (fin[Id]=$B215)
)</f>
        <v>0</v>
      </c>
      <c r="Z215" s="183" cm="1">
        <f t="array" ref="Z215">SUMPRODUCT(
  fin[nov/26] *
  (fin[Id]=$B215)
)</f>
        <v>0</v>
      </c>
      <c r="AA215" s="183" cm="1">
        <f t="array" ref="AA215">SUMPRODUCT(
  fin[dez/26] *
  (fin[Id]=$B215)
)</f>
        <v>0</v>
      </c>
      <c r="AC215" s="175">
        <f>SUM($D215:INDEX($D215:$AA215,1,MATCH(DATE(YEAR(inputs!$A$1),MONTH(inputs!$A$1),1),$D$1:$AA$1,0)))</f>
        <v>3000000</v>
      </c>
      <c r="AE215" s="175">
        <f t="shared" si="40"/>
        <v>3000000</v>
      </c>
    </row>
    <row r="216" spans="1:31" outlineLevel="2" x14ac:dyDescent="0.25">
      <c r="A216" s="194" t="s">
        <v>631</v>
      </c>
      <c r="B216" s="194" t="s">
        <v>633</v>
      </c>
      <c r="C216" s="135" t="s">
        <v>630</v>
      </c>
      <c r="D216" s="183" cm="1">
        <f t="array" ref="D216">SUMPRODUCT(
  fin[jan/25] *
  (fin[Id]=$B216)
)</f>
        <v>0</v>
      </c>
      <c r="E216" s="183" cm="1">
        <f t="array" ref="E216">SUMPRODUCT(
  fin[fev/25] *
  (fin[Id]=$B216)
)</f>
        <v>0</v>
      </c>
      <c r="F216" s="183" cm="1">
        <f t="array" ref="F216">SUMPRODUCT(
  fin[mar/25] *
  (fin[Id]=$B216)
)</f>
        <v>0</v>
      </c>
      <c r="G216" s="183" cm="1">
        <f t="array" ref="G216">SUMPRODUCT(
  fin[abr/25] *
  (fin[Id]=$B216)
)</f>
        <v>2911033.91</v>
      </c>
      <c r="H216" s="183" cm="1">
        <f t="array" ref="H216">SUMPRODUCT(
  fin[mai/25] *
  (fin[Id]=$B216)
)</f>
        <v>0</v>
      </c>
      <c r="I216" s="183" cm="1">
        <f t="array" ref="I216">SUMPRODUCT(
  fin[jun/25] *
  (fin[Id]=$B216)
)</f>
        <v>0</v>
      </c>
      <c r="J216" s="183" cm="1">
        <f t="array" ref="J216">SUMPRODUCT(
  fin[jul/25] *
  (fin[Id]=$B216)
)</f>
        <v>0</v>
      </c>
      <c r="K216" s="183" cm="1">
        <f t="array" ref="K216">SUMPRODUCT(
  fin[ago/25] *
  (fin[Id]=$B216)
)</f>
        <v>0</v>
      </c>
      <c r="L216" s="183" cm="1">
        <f t="array" ref="L216">SUMPRODUCT(
  fin[set/25] *
  (fin[Id]=$B216)
)</f>
        <v>0</v>
      </c>
      <c r="M216" s="183" cm="1">
        <f t="array" ref="M216">SUMPRODUCT(
  fin[out/25] *
  (fin[Id]=$B216)
)</f>
        <v>0</v>
      </c>
      <c r="N216" s="183" cm="1">
        <f t="array" ref="N216">SUMPRODUCT(
  fin[nov/25] *
  (fin[Id]=$B216)
)</f>
        <v>0</v>
      </c>
      <c r="O216" s="183" cm="1">
        <f t="array" ref="O216">SUMPRODUCT(
  fin[dez/25] *
  (fin[Id]=$B216)
)</f>
        <v>0</v>
      </c>
      <c r="P216" s="183" cm="1">
        <f t="array" ref="P216">SUMPRODUCT(
  fin[jan/26] *
  (fin[Id]=$B216)
)</f>
        <v>0</v>
      </c>
      <c r="Q216" s="183" cm="1">
        <f t="array" ref="Q216">SUMPRODUCT(
  fin[fev/26] *
  (fin[Id]=$B216)
)</f>
        <v>0</v>
      </c>
      <c r="R216" s="183" cm="1">
        <f t="array" ref="R216">SUMPRODUCT(
  fin[mar/26] *
  (fin[Id]=$B216)
)</f>
        <v>0</v>
      </c>
      <c r="S216" s="183" cm="1">
        <f t="array" ref="S216">SUMPRODUCT(
  fin[abr/26] *
  (fin[Id]=$B216)
)</f>
        <v>0</v>
      </c>
      <c r="T216" s="183" cm="1">
        <f t="array" ref="T216">SUMPRODUCT(
  fin[mai/26] *
  (fin[Id]=$B216)
)</f>
        <v>0</v>
      </c>
      <c r="U216" s="183" cm="1">
        <f t="array" ref="U216">SUMPRODUCT(
  fin[jun/26] *
  (fin[Id]=$B216)
)</f>
        <v>0</v>
      </c>
      <c r="V216" s="183" cm="1">
        <f t="array" ref="V216">SUMPRODUCT(
  fin[jul/26] *
  (fin[Id]=$B216)
)</f>
        <v>0</v>
      </c>
      <c r="W216" s="183" cm="1">
        <f t="array" ref="W216">SUMPRODUCT(
  fin[ago/26] *
  (fin[Id]=$B216)
)</f>
        <v>0</v>
      </c>
      <c r="X216" s="183" cm="1">
        <f t="array" ref="X216">SUMPRODUCT(
  fin[set/26] *
  (fin[Id]=$B216)
)</f>
        <v>0</v>
      </c>
      <c r="Y216" s="183" cm="1">
        <f t="array" ref="Y216">SUMPRODUCT(
  fin[out/26] *
  (fin[Id]=$B216)
)</f>
        <v>0</v>
      </c>
      <c r="Z216" s="183" cm="1">
        <f t="array" ref="Z216">SUMPRODUCT(
  fin[nov/26] *
  (fin[Id]=$B216)
)</f>
        <v>0</v>
      </c>
      <c r="AA216" s="183" cm="1">
        <f t="array" ref="AA216">SUMPRODUCT(
  fin[dez/26] *
  (fin[Id]=$B216)
)</f>
        <v>0</v>
      </c>
      <c r="AC216" s="175">
        <f>SUM($D216:INDEX($D216:$AA216,1,MATCH(DATE(YEAR(inputs!$A$1),MONTH(inputs!$A$1),1),$D$1:$AA$1,0)))</f>
        <v>2911033.91</v>
      </c>
      <c r="AE216" s="175">
        <f t="shared" si="40"/>
        <v>2911033.91</v>
      </c>
    </row>
    <row r="217" spans="1:31" outlineLevel="2" x14ac:dyDescent="0.25">
      <c r="A217" s="194" t="s">
        <v>631</v>
      </c>
      <c r="B217" s="194" t="s">
        <v>837</v>
      </c>
      <c r="C217" s="135" t="s">
        <v>630</v>
      </c>
      <c r="D217" s="183" cm="1">
        <f t="array" ref="D217">SUMPRODUCT(
  fin[jan/25] *
  (fin[Id]=$B217)
)</f>
        <v>0</v>
      </c>
      <c r="E217" s="183" cm="1">
        <f t="array" ref="E217">SUMPRODUCT(
  fin[fev/25] *
  (fin[Id]=$B217)
)</f>
        <v>0</v>
      </c>
      <c r="F217" s="183" cm="1">
        <f t="array" ref="F217">SUMPRODUCT(
  fin[mar/25] *
  (fin[Id]=$B217)
)</f>
        <v>0</v>
      </c>
      <c r="G217" s="183" cm="1">
        <f t="array" ref="G217">SUMPRODUCT(
  fin[abr/25] *
  (fin[Id]=$B217)
)</f>
        <v>0</v>
      </c>
      <c r="H217" s="183" cm="1">
        <f t="array" ref="H217">SUMPRODUCT(
  fin[mai/25] *
  (fin[Id]=$B217)
)</f>
        <v>2750000</v>
      </c>
      <c r="I217" s="183" cm="1">
        <f t="array" ref="I217">SUMPRODUCT(
  fin[jun/25] *
  (fin[Id]=$B217)
)</f>
        <v>0</v>
      </c>
      <c r="J217" s="183" cm="1">
        <f t="array" ref="J217">SUMPRODUCT(
  fin[jul/25] *
  (fin[Id]=$B217)
)</f>
        <v>0</v>
      </c>
      <c r="K217" s="183" cm="1">
        <f t="array" ref="K217">SUMPRODUCT(
  fin[ago/25] *
  (fin[Id]=$B217)
)</f>
        <v>0</v>
      </c>
      <c r="L217" s="183" cm="1">
        <f t="array" ref="L217">SUMPRODUCT(
  fin[set/25] *
  (fin[Id]=$B217)
)</f>
        <v>0</v>
      </c>
      <c r="M217" s="183" cm="1">
        <f t="array" ref="M217">SUMPRODUCT(
  fin[out/25] *
  (fin[Id]=$B217)
)</f>
        <v>0</v>
      </c>
      <c r="N217" s="183" cm="1">
        <f t="array" ref="N217">SUMPRODUCT(
  fin[nov/25] *
  (fin[Id]=$B217)
)</f>
        <v>0</v>
      </c>
      <c r="O217" s="183" cm="1">
        <f t="array" ref="O217">SUMPRODUCT(
  fin[dez/25] *
  (fin[Id]=$B217)
)</f>
        <v>0</v>
      </c>
      <c r="P217" s="183" cm="1">
        <f t="array" ref="P217">SUMPRODUCT(
  fin[jan/26] *
  (fin[Id]=$B217)
)</f>
        <v>0</v>
      </c>
      <c r="Q217" s="183" cm="1">
        <f t="array" ref="Q217">SUMPRODUCT(
  fin[fev/26] *
  (fin[Id]=$B217)
)</f>
        <v>0</v>
      </c>
      <c r="R217" s="183" cm="1">
        <f t="array" ref="R217">SUMPRODUCT(
  fin[mar/26] *
  (fin[Id]=$B217)
)</f>
        <v>0</v>
      </c>
      <c r="S217" s="183" cm="1">
        <f t="array" ref="S217">SUMPRODUCT(
  fin[abr/26] *
  (fin[Id]=$B217)
)</f>
        <v>0</v>
      </c>
      <c r="T217" s="183" cm="1">
        <f t="array" ref="T217">SUMPRODUCT(
  fin[mai/26] *
  (fin[Id]=$B217)
)</f>
        <v>0</v>
      </c>
      <c r="U217" s="183" cm="1">
        <f t="array" ref="U217">SUMPRODUCT(
  fin[jun/26] *
  (fin[Id]=$B217)
)</f>
        <v>0</v>
      </c>
      <c r="V217" s="183" cm="1">
        <f t="array" ref="V217">SUMPRODUCT(
  fin[jul/26] *
  (fin[Id]=$B217)
)</f>
        <v>0</v>
      </c>
      <c r="W217" s="183" cm="1">
        <f t="array" ref="W217">SUMPRODUCT(
  fin[ago/26] *
  (fin[Id]=$B217)
)</f>
        <v>0</v>
      </c>
      <c r="X217" s="183" cm="1">
        <f t="array" ref="X217">SUMPRODUCT(
  fin[set/26] *
  (fin[Id]=$B217)
)</f>
        <v>0</v>
      </c>
      <c r="Y217" s="183" cm="1">
        <f t="array" ref="Y217">SUMPRODUCT(
  fin[out/26] *
  (fin[Id]=$B217)
)</f>
        <v>0</v>
      </c>
      <c r="Z217" s="183" cm="1">
        <f t="array" ref="Z217">SUMPRODUCT(
  fin[nov/26] *
  (fin[Id]=$B217)
)</f>
        <v>0</v>
      </c>
      <c r="AA217" s="183" cm="1">
        <f t="array" ref="AA217">SUMPRODUCT(
  fin[dez/26] *
  (fin[Id]=$B217)
)</f>
        <v>0</v>
      </c>
      <c r="AC217" s="175">
        <f>SUM($D217:INDEX($D217:$AA217,1,MATCH(DATE(YEAR(inputs!$A$1),MONTH(inputs!$A$1),1),$D$1:$AA$1,0)))</f>
        <v>2750000</v>
      </c>
      <c r="AE217" s="175">
        <f t="shared" si="40"/>
        <v>2750000</v>
      </c>
    </row>
    <row r="218" spans="1:31" outlineLevel="2" x14ac:dyDescent="0.25">
      <c r="A218" s="194" t="s">
        <v>631</v>
      </c>
      <c r="B218" s="194" t="s">
        <v>838</v>
      </c>
      <c r="C218" s="135" t="s">
        <v>630</v>
      </c>
      <c r="D218" s="183" cm="1">
        <f t="array" ref="D218">SUMPRODUCT(
  fin[jan/25] *
  (fin[Id]=$B218)
)</f>
        <v>812640</v>
      </c>
      <c r="E218" s="183" cm="1">
        <f t="array" ref="E218">SUMPRODUCT(
  fin[fev/25] *
  (fin[Id]=$B218)
)</f>
        <v>0</v>
      </c>
      <c r="F218" s="183" cm="1">
        <f t="array" ref="F218">SUMPRODUCT(
  fin[mar/25] *
  (fin[Id]=$B218)
)</f>
        <v>0</v>
      </c>
      <c r="G218" s="183" cm="1">
        <f t="array" ref="G218">SUMPRODUCT(
  fin[abr/25] *
  (fin[Id]=$B218)
)</f>
        <v>0</v>
      </c>
      <c r="H218" s="183" cm="1">
        <f t="array" ref="H218">SUMPRODUCT(
  fin[mai/25] *
  (fin[Id]=$B218)
)</f>
        <v>0</v>
      </c>
      <c r="I218" s="183" cm="1">
        <f t="array" ref="I218">SUMPRODUCT(
  fin[jun/25] *
  (fin[Id]=$B218)
)</f>
        <v>0</v>
      </c>
      <c r="J218" s="183" cm="1">
        <f t="array" ref="J218">SUMPRODUCT(
  fin[jul/25] *
  (fin[Id]=$B218)
)</f>
        <v>0</v>
      </c>
      <c r="K218" s="183" cm="1">
        <f t="array" ref="K218">SUMPRODUCT(
  fin[ago/25] *
  (fin[Id]=$B218)
)</f>
        <v>0</v>
      </c>
      <c r="L218" s="183" cm="1">
        <f t="array" ref="L218">SUMPRODUCT(
  fin[set/25] *
  (fin[Id]=$B218)
)</f>
        <v>0</v>
      </c>
      <c r="M218" s="183" cm="1">
        <f t="array" ref="M218">SUMPRODUCT(
  fin[out/25] *
  (fin[Id]=$B218)
)</f>
        <v>0</v>
      </c>
      <c r="N218" s="183" cm="1">
        <f t="array" ref="N218">SUMPRODUCT(
  fin[nov/25] *
  (fin[Id]=$B218)
)</f>
        <v>0</v>
      </c>
      <c r="O218" s="183" cm="1">
        <f t="array" ref="O218">SUMPRODUCT(
  fin[dez/25] *
  (fin[Id]=$B218)
)</f>
        <v>0</v>
      </c>
      <c r="P218" s="183" cm="1">
        <f t="array" ref="P218">SUMPRODUCT(
  fin[jan/26] *
  (fin[Id]=$B218)
)</f>
        <v>0</v>
      </c>
      <c r="Q218" s="183" cm="1">
        <f t="array" ref="Q218">SUMPRODUCT(
  fin[fev/26] *
  (fin[Id]=$B218)
)</f>
        <v>0</v>
      </c>
      <c r="R218" s="183" cm="1">
        <f t="array" ref="R218">SUMPRODUCT(
  fin[mar/26] *
  (fin[Id]=$B218)
)</f>
        <v>0</v>
      </c>
      <c r="S218" s="183" cm="1">
        <f t="array" ref="S218">SUMPRODUCT(
  fin[abr/26] *
  (fin[Id]=$B218)
)</f>
        <v>0</v>
      </c>
      <c r="T218" s="183" cm="1">
        <f t="array" ref="T218">SUMPRODUCT(
  fin[mai/26] *
  (fin[Id]=$B218)
)</f>
        <v>0</v>
      </c>
      <c r="U218" s="183" cm="1">
        <f t="array" ref="U218">SUMPRODUCT(
  fin[jun/26] *
  (fin[Id]=$B218)
)</f>
        <v>0</v>
      </c>
      <c r="V218" s="183" cm="1">
        <f t="array" ref="V218">SUMPRODUCT(
  fin[jul/26] *
  (fin[Id]=$B218)
)</f>
        <v>0</v>
      </c>
      <c r="W218" s="183" cm="1">
        <f t="array" ref="W218">SUMPRODUCT(
  fin[ago/26] *
  (fin[Id]=$B218)
)</f>
        <v>0</v>
      </c>
      <c r="X218" s="183" cm="1">
        <f t="array" ref="X218">SUMPRODUCT(
  fin[set/26] *
  (fin[Id]=$B218)
)</f>
        <v>0</v>
      </c>
      <c r="Y218" s="183" cm="1">
        <f t="array" ref="Y218">SUMPRODUCT(
  fin[out/26] *
  (fin[Id]=$B218)
)</f>
        <v>0</v>
      </c>
      <c r="Z218" s="183" cm="1">
        <f t="array" ref="Z218">SUMPRODUCT(
  fin[nov/26] *
  (fin[Id]=$B218)
)</f>
        <v>0</v>
      </c>
      <c r="AA218" s="183" cm="1">
        <f t="array" ref="AA218">SUMPRODUCT(
  fin[dez/26] *
  (fin[Id]=$B218)
)</f>
        <v>0</v>
      </c>
      <c r="AC218" s="175">
        <f>SUM($D218:INDEX($D218:$AA218,1,MATCH(DATE(YEAR(inputs!$A$1),MONTH(inputs!$A$1),1),$D$1:$AA$1,0)))</f>
        <v>812640</v>
      </c>
      <c r="AE218" s="175">
        <f t="shared" si="40"/>
        <v>812640</v>
      </c>
    </row>
    <row r="219" spans="1:31" outlineLevel="2" x14ac:dyDescent="0.25">
      <c r="A219" s="194" t="s">
        <v>631</v>
      </c>
      <c r="B219" s="194" t="s">
        <v>634</v>
      </c>
      <c r="C219" s="135" t="s">
        <v>630</v>
      </c>
      <c r="D219" s="183" cm="1">
        <f t="array" ref="D219">SUMPRODUCT(
  fin[jan/25] *
  (fin[Id]=$B219)
)</f>
        <v>0</v>
      </c>
      <c r="E219" s="183" cm="1">
        <f t="array" ref="E219">SUMPRODUCT(
  fin[fev/25] *
  (fin[Id]=$B219)
)</f>
        <v>0</v>
      </c>
      <c r="F219" s="183" cm="1">
        <f t="array" ref="F219">SUMPRODUCT(
  fin[mar/25] *
  (fin[Id]=$B219)
)</f>
        <v>0</v>
      </c>
      <c r="G219" s="183" cm="1">
        <f t="array" ref="G219">SUMPRODUCT(
  fin[abr/25] *
  (fin[Id]=$B219)
)</f>
        <v>0</v>
      </c>
      <c r="H219" s="183" cm="1">
        <f t="array" ref="H219">SUMPRODUCT(
  fin[mai/25] *
  (fin[Id]=$B219)
)</f>
        <v>0</v>
      </c>
      <c r="I219" s="183" cm="1">
        <f t="array" ref="I219">SUMPRODUCT(
  fin[jun/25] *
  (fin[Id]=$B219)
)</f>
        <v>0</v>
      </c>
      <c r="J219" s="183" cm="1">
        <f t="array" ref="J219">SUMPRODUCT(
  fin[jul/25] *
  (fin[Id]=$B219)
)</f>
        <v>0</v>
      </c>
      <c r="K219" s="183" cm="1">
        <f t="array" ref="K219">SUMPRODUCT(
  fin[ago/25] *
  (fin[Id]=$B219)
)</f>
        <v>612000</v>
      </c>
      <c r="L219" s="183" cm="1">
        <f t="array" ref="L219">SUMPRODUCT(
  fin[set/25] *
  (fin[Id]=$B219)
)</f>
        <v>0</v>
      </c>
      <c r="M219" s="183" cm="1">
        <f t="array" ref="M219">SUMPRODUCT(
  fin[out/25] *
  (fin[Id]=$B219)
)</f>
        <v>0</v>
      </c>
      <c r="N219" s="183" cm="1">
        <f t="array" ref="N219">SUMPRODUCT(
  fin[nov/25] *
  (fin[Id]=$B219)
)</f>
        <v>0</v>
      </c>
      <c r="O219" s="183" cm="1">
        <f t="array" ref="O219">SUMPRODUCT(
  fin[dez/25] *
  (fin[Id]=$B219)
)</f>
        <v>0</v>
      </c>
      <c r="P219" s="183" cm="1">
        <f t="array" ref="P219">SUMPRODUCT(
  fin[jan/26] *
  (fin[Id]=$B219)
)</f>
        <v>0</v>
      </c>
      <c r="Q219" s="183" cm="1">
        <f t="array" ref="Q219">SUMPRODUCT(
  fin[fev/26] *
  (fin[Id]=$B219)
)</f>
        <v>0</v>
      </c>
      <c r="R219" s="183" cm="1">
        <f t="array" ref="R219">SUMPRODUCT(
  fin[mar/26] *
  (fin[Id]=$B219)
)</f>
        <v>0</v>
      </c>
      <c r="S219" s="183" cm="1">
        <f t="array" ref="S219">SUMPRODUCT(
  fin[abr/26] *
  (fin[Id]=$B219)
)</f>
        <v>0</v>
      </c>
      <c r="T219" s="183" cm="1">
        <f t="array" ref="T219">SUMPRODUCT(
  fin[mai/26] *
  (fin[Id]=$B219)
)</f>
        <v>0</v>
      </c>
      <c r="U219" s="183" cm="1">
        <f t="array" ref="U219">SUMPRODUCT(
  fin[jun/26] *
  (fin[Id]=$B219)
)</f>
        <v>0</v>
      </c>
      <c r="V219" s="183" cm="1">
        <f t="array" ref="V219">SUMPRODUCT(
  fin[jul/26] *
  (fin[Id]=$B219)
)</f>
        <v>0</v>
      </c>
      <c r="W219" s="183" cm="1">
        <f t="array" ref="W219">SUMPRODUCT(
  fin[ago/26] *
  (fin[Id]=$B219)
)</f>
        <v>0</v>
      </c>
      <c r="X219" s="183" cm="1">
        <f t="array" ref="X219">SUMPRODUCT(
  fin[set/26] *
  (fin[Id]=$B219)
)</f>
        <v>0</v>
      </c>
      <c r="Y219" s="183" cm="1">
        <f t="array" ref="Y219">SUMPRODUCT(
  fin[out/26] *
  (fin[Id]=$B219)
)</f>
        <v>0</v>
      </c>
      <c r="Z219" s="183" cm="1">
        <f t="array" ref="Z219">SUMPRODUCT(
  fin[nov/26] *
  (fin[Id]=$B219)
)</f>
        <v>0</v>
      </c>
      <c r="AA219" s="183" cm="1">
        <f t="array" ref="AA219">SUMPRODUCT(
  fin[dez/26] *
  (fin[Id]=$B219)
)</f>
        <v>0</v>
      </c>
      <c r="AC219" s="175">
        <f>SUM($D219:INDEX($D219:$AA219,1,MATCH(DATE(YEAR(inputs!$A$1),MONTH(inputs!$A$1),1),$D$1:$AA$1,0)))</f>
        <v>612000</v>
      </c>
      <c r="AE219" s="175">
        <f t="shared" si="40"/>
        <v>612000</v>
      </c>
    </row>
    <row r="220" spans="1:31" outlineLevel="2" x14ac:dyDescent="0.25">
      <c r="A220" s="194" t="s">
        <v>631</v>
      </c>
      <c r="B220" s="194" t="s">
        <v>635</v>
      </c>
      <c r="C220" s="135" t="s">
        <v>630</v>
      </c>
      <c r="D220" s="183" cm="1">
        <f t="array" ref="D220">SUMPRODUCT(
  fin[jan/25] *
  (fin[Id]=$B220)
)</f>
        <v>0</v>
      </c>
      <c r="E220" s="183" cm="1">
        <f t="array" ref="E220">SUMPRODUCT(
  fin[fev/25] *
  (fin[Id]=$B220)
)</f>
        <v>0</v>
      </c>
      <c r="F220" s="183" cm="1">
        <f t="array" ref="F220">SUMPRODUCT(
  fin[mar/25] *
  (fin[Id]=$B220)
)</f>
        <v>0</v>
      </c>
      <c r="G220" s="183" cm="1">
        <f t="array" ref="G220">SUMPRODUCT(
  fin[abr/25] *
  (fin[Id]=$B220)
)</f>
        <v>0</v>
      </c>
      <c r="H220" s="183" cm="1">
        <f t="array" ref="H220">SUMPRODUCT(
  fin[mai/25] *
  (fin[Id]=$B220)
)</f>
        <v>0</v>
      </c>
      <c r="I220" s="183" cm="1">
        <f t="array" ref="I220">SUMPRODUCT(
  fin[jun/25] *
  (fin[Id]=$B220)
)</f>
        <v>0</v>
      </c>
      <c r="J220" s="183" cm="1">
        <f t="array" ref="J220">SUMPRODUCT(
  fin[jul/25] *
  (fin[Id]=$B220)
)</f>
        <v>545906</v>
      </c>
      <c r="K220" s="183" cm="1">
        <f t="array" ref="K220">SUMPRODUCT(
  fin[ago/25] *
  (fin[Id]=$B220)
)</f>
        <v>0</v>
      </c>
      <c r="L220" s="183" cm="1">
        <f t="array" ref="L220">SUMPRODUCT(
  fin[set/25] *
  (fin[Id]=$B220)
)</f>
        <v>0</v>
      </c>
      <c r="M220" s="183" cm="1">
        <f t="array" ref="M220">SUMPRODUCT(
  fin[out/25] *
  (fin[Id]=$B220)
)</f>
        <v>0</v>
      </c>
      <c r="N220" s="183" cm="1">
        <f t="array" ref="N220">SUMPRODUCT(
  fin[nov/25] *
  (fin[Id]=$B220)
)</f>
        <v>0</v>
      </c>
      <c r="O220" s="183" cm="1">
        <f t="array" ref="O220">SUMPRODUCT(
  fin[dez/25] *
  (fin[Id]=$B220)
)</f>
        <v>0</v>
      </c>
      <c r="P220" s="183" cm="1">
        <f t="array" ref="P220">SUMPRODUCT(
  fin[jan/26] *
  (fin[Id]=$B220)
)</f>
        <v>0</v>
      </c>
      <c r="Q220" s="183" cm="1">
        <f t="array" ref="Q220">SUMPRODUCT(
  fin[fev/26] *
  (fin[Id]=$B220)
)</f>
        <v>0</v>
      </c>
      <c r="R220" s="183" cm="1">
        <f t="array" ref="R220">SUMPRODUCT(
  fin[mar/26] *
  (fin[Id]=$B220)
)</f>
        <v>0</v>
      </c>
      <c r="S220" s="183" cm="1">
        <f t="array" ref="S220">SUMPRODUCT(
  fin[abr/26] *
  (fin[Id]=$B220)
)</f>
        <v>0</v>
      </c>
      <c r="T220" s="183" cm="1">
        <f t="array" ref="T220">SUMPRODUCT(
  fin[mai/26] *
  (fin[Id]=$B220)
)</f>
        <v>0</v>
      </c>
      <c r="U220" s="183" cm="1">
        <f t="array" ref="U220">SUMPRODUCT(
  fin[jun/26] *
  (fin[Id]=$B220)
)</f>
        <v>0</v>
      </c>
      <c r="V220" s="183" cm="1">
        <f t="array" ref="V220">SUMPRODUCT(
  fin[jul/26] *
  (fin[Id]=$B220)
)</f>
        <v>0</v>
      </c>
      <c r="W220" s="183" cm="1">
        <f t="array" ref="W220">SUMPRODUCT(
  fin[ago/26] *
  (fin[Id]=$B220)
)</f>
        <v>0</v>
      </c>
      <c r="X220" s="183" cm="1">
        <f t="array" ref="X220">SUMPRODUCT(
  fin[set/26] *
  (fin[Id]=$B220)
)</f>
        <v>0</v>
      </c>
      <c r="Y220" s="183" cm="1">
        <f t="array" ref="Y220">SUMPRODUCT(
  fin[out/26] *
  (fin[Id]=$B220)
)</f>
        <v>0</v>
      </c>
      <c r="Z220" s="183" cm="1">
        <f t="array" ref="Z220">SUMPRODUCT(
  fin[nov/26] *
  (fin[Id]=$B220)
)</f>
        <v>0</v>
      </c>
      <c r="AA220" s="183" cm="1">
        <f t="array" ref="AA220">SUMPRODUCT(
  fin[dez/26] *
  (fin[Id]=$B220)
)</f>
        <v>0</v>
      </c>
      <c r="AC220" s="175">
        <f>SUM($D220:INDEX($D220:$AA220,1,MATCH(DATE(YEAR(inputs!$A$1),MONTH(inputs!$A$1),1),$D$1:$AA$1,0)))</f>
        <v>545906</v>
      </c>
      <c r="AE220" s="175">
        <f t="shared" si="40"/>
        <v>545906</v>
      </c>
    </row>
    <row r="221" spans="1:31" outlineLevel="2" x14ac:dyDescent="0.25">
      <c r="A221" s="194" t="s">
        <v>631</v>
      </c>
      <c r="B221" s="194" t="s">
        <v>636</v>
      </c>
      <c r="C221" s="135" t="s">
        <v>630</v>
      </c>
      <c r="D221" s="183" cm="1">
        <f t="array" ref="D221">SUMPRODUCT(
  fin[jan/25] *
  (fin[Id]=$B221)
)</f>
        <v>0</v>
      </c>
      <c r="E221" s="183" cm="1">
        <f t="array" ref="E221">SUMPRODUCT(
  fin[fev/25] *
  (fin[Id]=$B221)
)</f>
        <v>0</v>
      </c>
      <c r="F221" s="183" cm="1">
        <f t="array" ref="F221">SUMPRODUCT(
  fin[mar/25] *
  (fin[Id]=$B221)
)</f>
        <v>0</v>
      </c>
      <c r="G221" s="183" cm="1">
        <f t="array" ref="G221">SUMPRODUCT(
  fin[abr/25] *
  (fin[Id]=$B221)
)</f>
        <v>0</v>
      </c>
      <c r="H221" s="183" cm="1">
        <f t="array" ref="H221">SUMPRODUCT(
  fin[mai/25] *
  (fin[Id]=$B221)
)</f>
        <v>0</v>
      </c>
      <c r="I221" s="183" cm="1">
        <f t="array" ref="I221">SUMPRODUCT(
  fin[jun/25] *
  (fin[Id]=$B221)
)</f>
        <v>500000</v>
      </c>
      <c r="J221" s="183" cm="1">
        <f t="array" ref="J221">SUMPRODUCT(
  fin[jul/25] *
  (fin[Id]=$B221)
)</f>
        <v>0</v>
      </c>
      <c r="K221" s="183" cm="1">
        <f t="array" ref="K221">SUMPRODUCT(
  fin[ago/25] *
  (fin[Id]=$B221)
)</f>
        <v>0</v>
      </c>
      <c r="L221" s="183" cm="1">
        <f t="array" ref="L221">SUMPRODUCT(
  fin[set/25] *
  (fin[Id]=$B221)
)</f>
        <v>0</v>
      </c>
      <c r="M221" s="183" cm="1">
        <f t="array" ref="M221">SUMPRODUCT(
  fin[out/25] *
  (fin[Id]=$B221)
)</f>
        <v>0</v>
      </c>
      <c r="N221" s="183" cm="1">
        <f t="array" ref="N221">SUMPRODUCT(
  fin[nov/25] *
  (fin[Id]=$B221)
)</f>
        <v>0</v>
      </c>
      <c r="O221" s="183" cm="1">
        <f t="array" ref="O221">SUMPRODUCT(
  fin[dez/25] *
  (fin[Id]=$B221)
)</f>
        <v>0</v>
      </c>
      <c r="P221" s="183" cm="1">
        <f t="array" ref="P221">SUMPRODUCT(
  fin[jan/26] *
  (fin[Id]=$B221)
)</f>
        <v>0</v>
      </c>
      <c r="Q221" s="183" cm="1">
        <f t="array" ref="Q221">SUMPRODUCT(
  fin[fev/26] *
  (fin[Id]=$B221)
)</f>
        <v>0</v>
      </c>
      <c r="R221" s="183" cm="1">
        <f t="array" ref="R221">SUMPRODUCT(
  fin[mar/26] *
  (fin[Id]=$B221)
)</f>
        <v>0</v>
      </c>
      <c r="S221" s="183" cm="1">
        <f t="array" ref="S221">SUMPRODUCT(
  fin[abr/26] *
  (fin[Id]=$B221)
)</f>
        <v>0</v>
      </c>
      <c r="T221" s="183" cm="1">
        <f t="array" ref="T221">SUMPRODUCT(
  fin[mai/26] *
  (fin[Id]=$B221)
)</f>
        <v>0</v>
      </c>
      <c r="U221" s="183" cm="1">
        <f t="array" ref="U221">SUMPRODUCT(
  fin[jun/26] *
  (fin[Id]=$B221)
)</f>
        <v>0</v>
      </c>
      <c r="V221" s="183" cm="1">
        <f t="array" ref="V221">SUMPRODUCT(
  fin[jul/26] *
  (fin[Id]=$B221)
)</f>
        <v>0</v>
      </c>
      <c r="W221" s="183" cm="1">
        <f t="array" ref="W221">SUMPRODUCT(
  fin[ago/26] *
  (fin[Id]=$B221)
)</f>
        <v>0</v>
      </c>
      <c r="X221" s="183" cm="1">
        <f t="array" ref="X221">SUMPRODUCT(
  fin[set/26] *
  (fin[Id]=$B221)
)</f>
        <v>0</v>
      </c>
      <c r="Y221" s="183" cm="1">
        <f t="array" ref="Y221">SUMPRODUCT(
  fin[out/26] *
  (fin[Id]=$B221)
)</f>
        <v>0</v>
      </c>
      <c r="Z221" s="183" cm="1">
        <f t="array" ref="Z221">SUMPRODUCT(
  fin[nov/26] *
  (fin[Id]=$B221)
)</f>
        <v>0</v>
      </c>
      <c r="AA221" s="183" cm="1">
        <f t="array" ref="AA221">SUMPRODUCT(
  fin[dez/26] *
  (fin[Id]=$B221)
)</f>
        <v>0</v>
      </c>
      <c r="AC221" s="175">
        <f>SUM($D221:INDEX($D221:$AA221,1,MATCH(DATE(YEAR(inputs!$A$1),MONTH(inputs!$A$1),1),$D$1:$AA$1,0)))</f>
        <v>500000</v>
      </c>
      <c r="AE221" s="175">
        <f t="shared" si="40"/>
        <v>500000</v>
      </c>
    </row>
    <row r="222" spans="1:31" outlineLevel="2" x14ac:dyDescent="0.25">
      <c r="A222" s="194" t="s">
        <v>631</v>
      </c>
      <c r="B222" s="194" t="s">
        <v>637</v>
      </c>
      <c r="C222" s="135" t="s">
        <v>630</v>
      </c>
      <c r="D222" s="183" cm="1">
        <f t="array" ref="D222">SUMPRODUCT(
  fin[jan/25] *
  (fin[Id]=$B222)
)</f>
        <v>0</v>
      </c>
      <c r="E222" s="183" cm="1">
        <f t="array" ref="E222">SUMPRODUCT(
  fin[fev/25] *
  (fin[Id]=$B222)
)</f>
        <v>0</v>
      </c>
      <c r="F222" s="183" cm="1">
        <f t="array" ref="F222">SUMPRODUCT(
  fin[mar/25] *
  (fin[Id]=$B222)
)</f>
        <v>0</v>
      </c>
      <c r="G222" s="183" cm="1">
        <f t="array" ref="G222">SUMPRODUCT(
  fin[abr/25] *
  (fin[Id]=$B222)
)</f>
        <v>0</v>
      </c>
      <c r="H222" s="183" cm="1">
        <f t="array" ref="H222">SUMPRODUCT(
  fin[mai/25] *
  (fin[Id]=$B222)
)</f>
        <v>0</v>
      </c>
      <c r="I222" s="183" cm="1">
        <f t="array" ref="I222">SUMPRODUCT(
  fin[jun/25] *
  (fin[Id]=$B222)
)</f>
        <v>0</v>
      </c>
      <c r="J222" s="183" cm="1">
        <f t="array" ref="J222">SUMPRODUCT(
  fin[jul/25] *
  (fin[Id]=$B222)
)</f>
        <v>0</v>
      </c>
      <c r="K222" s="183" cm="1">
        <f t="array" ref="K222">SUMPRODUCT(
  fin[ago/25] *
  (fin[Id]=$B222)
)</f>
        <v>0</v>
      </c>
      <c r="L222" s="183" cm="1">
        <f t="array" ref="L222">SUMPRODUCT(
  fin[set/25] *
  (fin[Id]=$B222)
)</f>
        <v>500000</v>
      </c>
      <c r="M222" s="183" cm="1">
        <f t="array" ref="M222">SUMPRODUCT(
  fin[out/25] *
  (fin[Id]=$B222)
)</f>
        <v>0</v>
      </c>
      <c r="N222" s="183" cm="1">
        <f t="array" ref="N222">SUMPRODUCT(
  fin[nov/25] *
  (fin[Id]=$B222)
)</f>
        <v>0</v>
      </c>
      <c r="O222" s="183" cm="1">
        <f t="array" ref="O222">SUMPRODUCT(
  fin[dez/25] *
  (fin[Id]=$B222)
)</f>
        <v>0</v>
      </c>
      <c r="P222" s="183" cm="1">
        <f t="array" ref="P222">SUMPRODUCT(
  fin[jan/26] *
  (fin[Id]=$B222)
)</f>
        <v>0</v>
      </c>
      <c r="Q222" s="183" cm="1">
        <f t="array" ref="Q222">SUMPRODUCT(
  fin[fev/26] *
  (fin[Id]=$B222)
)</f>
        <v>0</v>
      </c>
      <c r="R222" s="183" cm="1">
        <f t="array" ref="R222">SUMPRODUCT(
  fin[mar/26] *
  (fin[Id]=$B222)
)</f>
        <v>0</v>
      </c>
      <c r="S222" s="183" cm="1">
        <f t="array" ref="S222">SUMPRODUCT(
  fin[abr/26] *
  (fin[Id]=$B222)
)</f>
        <v>0</v>
      </c>
      <c r="T222" s="183" cm="1">
        <f t="array" ref="T222">SUMPRODUCT(
  fin[mai/26] *
  (fin[Id]=$B222)
)</f>
        <v>0</v>
      </c>
      <c r="U222" s="183" cm="1">
        <f t="array" ref="U222">SUMPRODUCT(
  fin[jun/26] *
  (fin[Id]=$B222)
)</f>
        <v>0</v>
      </c>
      <c r="V222" s="183" cm="1">
        <f t="array" ref="V222">SUMPRODUCT(
  fin[jul/26] *
  (fin[Id]=$B222)
)</f>
        <v>0</v>
      </c>
      <c r="W222" s="183" cm="1">
        <f t="array" ref="W222">SUMPRODUCT(
  fin[ago/26] *
  (fin[Id]=$B222)
)</f>
        <v>0</v>
      </c>
      <c r="X222" s="183" cm="1">
        <f t="array" ref="X222">SUMPRODUCT(
  fin[set/26] *
  (fin[Id]=$B222)
)</f>
        <v>0</v>
      </c>
      <c r="Y222" s="183" cm="1">
        <f t="array" ref="Y222">SUMPRODUCT(
  fin[out/26] *
  (fin[Id]=$B222)
)</f>
        <v>0</v>
      </c>
      <c r="Z222" s="183" cm="1">
        <f t="array" ref="Z222">SUMPRODUCT(
  fin[nov/26] *
  (fin[Id]=$B222)
)</f>
        <v>0</v>
      </c>
      <c r="AA222" s="183" cm="1">
        <f t="array" ref="AA222">SUMPRODUCT(
  fin[dez/26] *
  (fin[Id]=$B222)
)</f>
        <v>0</v>
      </c>
      <c r="AC222" s="175">
        <f>SUM($D222:INDEX($D222:$AA222,1,MATCH(DATE(YEAR(inputs!$A$1),MONTH(inputs!$A$1),1),$D$1:$AA$1,0)))</f>
        <v>500000</v>
      </c>
      <c r="AE222" s="175">
        <f t="shared" si="40"/>
        <v>500000</v>
      </c>
    </row>
    <row r="223" spans="1:31" outlineLevel="2" x14ac:dyDescent="0.25">
      <c r="A223" s="194" t="s">
        <v>631</v>
      </c>
      <c r="B223" s="194" t="s">
        <v>638</v>
      </c>
      <c r="C223" s="135" t="s">
        <v>630</v>
      </c>
      <c r="D223" s="183" cm="1">
        <f t="array" ref="D223">SUMPRODUCT(
  fin[jan/25] *
  (fin[Id]=$B223)
)</f>
        <v>0</v>
      </c>
      <c r="E223" s="183" cm="1">
        <f t="array" ref="E223">SUMPRODUCT(
  fin[fev/25] *
  (fin[Id]=$B223)
)</f>
        <v>0</v>
      </c>
      <c r="F223" s="183" cm="1">
        <f t="array" ref="F223">SUMPRODUCT(
  fin[mar/25] *
  (fin[Id]=$B223)
)</f>
        <v>0</v>
      </c>
      <c r="G223" s="183" cm="1">
        <f t="array" ref="G223">SUMPRODUCT(
  fin[abr/25] *
  (fin[Id]=$B223)
)</f>
        <v>0</v>
      </c>
      <c r="H223" s="183" cm="1">
        <f t="array" ref="H223">SUMPRODUCT(
  fin[mai/25] *
  (fin[Id]=$B223)
)</f>
        <v>0</v>
      </c>
      <c r="I223" s="183" cm="1">
        <f t="array" ref="I223">SUMPRODUCT(
  fin[jun/25] *
  (fin[Id]=$B223)
)</f>
        <v>0</v>
      </c>
      <c r="J223" s="183" cm="1">
        <f t="array" ref="J223">SUMPRODUCT(
  fin[jul/25] *
  (fin[Id]=$B223)
)</f>
        <v>0</v>
      </c>
      <c r="K223" s="183" cm="1">
        <f t="array" ref="K223">SUMPRODUCT(
  fin[ago/25] *
  (fin[Id]=$B223)
)</f>
        <v>400000</v>
      </c>
      <c r="L223" s="183" cm="1">
        <f t="array" ref="L223">SUMPRODUCT(
  fin[set/25] *
  (fin[Id]=$B223)
)</f>
        <v>0</v>
      </c>
      <c r="M223" s="183" cm="1">
        <f t="array" ref="M223">SUMPRODUCT(
  fin[out/25] *
  (fin[Id]=$B223)
)</f>
        <v>0</v>
      </c>
      <c r="N223" s="183" cm="1">
        <f t="array" ref="N223">SUMPRODUCT(
  fin[nov/25] *
  (fin[Id]=$B223)
)</f>
        <v>0</v>
      </c>
      <c r="O223" s="183" cm="1">
        <f t="array" ref="O223">SUMPRODUCT(
  fin[dez/25] *
  (fin[Id]=$B223)
)</f>
        <v>0</v>
      </c>
      <c r="P223" s="183" cm="1">
        <f t="array" ref="P223">SUMPRODUCT(
  fin[jan/26] *
  (fin[Id]=$B223)
)</f>
        <v>0</v>
      </c>
      <c r="Q223" s="183" cm="1">
        <f t="array" ref="Q223">SUMPRODUCT(
  fin[fev/26] *
  (fin[Id]=$B223)
)</f>
        <v>0</v>
      </c>
      <c r="R223" s="183" cm="1">
        <f t="array" ref="R223">SUMPRODUCT(
  fin[mar/26] *
  (fin[Id]=$B223)
)</f>
        <v>0</v>
      </c>
      <c r="S223" s="183" cm="1">
        <f t="array" ref="S223">SUMPRODUCT(
  fin[abr/26] *
  (fin[Id]=$B223)
)</f>
        <v>0</v>
      </c>
      <c r="T223" s="183" cm="1">
        <f t="array" ref="T223">SUMPRODUCT(
  fin[mai/26] *
  (fin[Id]=$B223)
)</f>
        <v>0</v>
      </c>
      <c r="U223" s="183" cm="1">
        <f t="array" ref="U223">SUMPRODUCT(
  fin[jun/26] *
  (fin[Id]=$B223)
)</f>
        <v>0</v>
      </c>
      <c r="V223" s="183" cm="1">
        <f t="array" ref="V223">SUMPRODUCT(
  fin[jul/26] *
  (fin[Id]=$B223)
)</f>
        <v>0</v>
      </c>
      <c r="W223" s="183" cm="1">
        <f t="array" ref="W223">SUMPRODUCT(
  fin[ago/26] *
  (fin[Id]=$B223)
)</f>
        <v>0</v>
      </c>
      <c r="X223" s="183" cm="1">
        <f t="array" ref="X223">SUMPRODUCT(
  fin[set/26] *
  (fin[Id]=$B223)
)</f>
        <v>0</v>
      </c>
      <c r="Y223" s="183" cm="1">
        <f t="array" ref="Y223">SUMPRODUCT(
  fin[out/26] *
  (fin[Id]=$B223)
)</f>
        <v>0</v>
      </c>
      <c r="Z223" s="183" cm="1">
        <f t="array" ref="Z223">SUMPRODUCT(
  fin[nov/26] *
  (fin[Id]=$B223)
)</f>
        <v>0</v>
      </c>
      <c r="AA223" s="183" cm="1">
        <f t="array" ref="AA223">SUMPRODUCT(
  fin[dez/26] *
  (fin[Id]=$B223)
)</f>
        <v>0</v>
      </c>
      <c r="AC223" s="175">
        <f>SUM($D223:INDEX($D223:$AA223,1,MATCH(DATE(YEAR(inputs!$A$1),MONTH(inputs!$A$1),1),$D$1:$AA$1,0)))</f>
        <v>400000</v>
      </c>
      <c r="AE223" s="175">
        <f t="shared" si="40"/>
        <v>400000</v>
      </c>
    </row>
    <row r="224" spans="1:31" outlineLevel="2" x14ac:dyDescent="0.25">
      <c r="A224" s="194" t="s">
        <v>631</v>
      </c>
      <c r="B224" s="194" t="s">
        <v>839</v>
      </c>
      <c r="C224" s="135" t="s">
        <v>630</v>
      </c>
      <c r="D224" s="183" cm="1">
        <f t="array" ref="D224">SUMPRODUCT(
  fin[jan/25] *
  (fin[Id]=$B224)
)</f>
        <v>0</v>
      </c>
      <c r="E224" s="183" cm="1">
        <f t="array" ref="E224">SUMPRODUCT(
  fin[fev/25] *
  (fin[Id]=$B224)
)</f>
        <v>0</v>
      </c>
      <c r="F224" s="183" cm="1">
        <f t="array" ref="F224">SUMPRODUCT(
  fin[mar/25] *
  (fin[Id]=$B224)
)</f>
        <v>0</v>
      </c>
      <c r="G224" s="183" cm="1">
        <f t="array" ref="G224">SUMPRODUCT(
  fin[abr/25] *
  (fin[Id]=$B224)
)</f>
        <v>0</v>
      </c>
      <c r="H224" s="183" cm="1">
        <f t="array" ref="H224">SUMPRODUCT(
  fin[mai/25] *
  (fin[Id]=$B224)
)</f>
        <v>0</v>
      </c>
      <c r="I224" s="183" cm="1">
        <f t="array" ref="I224">SUMPRODUCT(
  fin[jun/25] *
  (fin[Id]=$B224)
)</f>
        <v>300000</v>
      </c>
      <c r="J224" s="183" cm="1">
        <f t="array" ref="J224">SUMPRODUCT(
  fin[jul/25] *
  (fin[Id]=$B224)
)</f>
        <v>0</v>
      </c>
      <c r="K224" s="183" cm="1">
        <f t="array" ref="K224">SUMPRODUCT(
  fin[ago/25] *
  (fin[Id]=$B224)
)</f>
        <v>0</v>
      </c>
      <c r="L224" s="183" cm="1">
        <f t="array" ref="L224">SUMPRODUCT(
  fin[set/25] *
  (fin[Id]=$B224)
)</f>
        <v>0</v>
      </c>
      <c r="M224" s="183" cm="1">
        <f t="array" ref="M224">SUMPRODUCT(
  fin[out/25] *
  (fin[Id]=$B224)
)</f>
        <v>0</v>
      </c>
      <c r="N224" s="183" cm="1">
        <f t="array" ref="N224">SUMPRODUCT(
  fin[nov/25] *
  (fin[Id]=$B224)
)</f>
        <v>0</v>
      </c>
      <c r="O224" s="183" cm="1">
        <f t="array" ref="O224">SUMPRODUCT(
  fin[dez/25] *
  (fin[Id]=$B224)
)</f>
        <v>0</v>
      </c>
      <c r="P224" s="183" cm="1">
        <f t="array" ref="P224">SUMPRODUCT(
  fin[jan/26] *
  (fin[Id]=$B224)
)</f>
        <v>0</v>
      </c>
      <c r="Q224" s="183" cm="1">
        <f t="array" ref="Q224">SUMPRODUCT(
  fin[fev/26] *
  (fin[Id]=$B224)
)</f>
        <v>0</v>
      </c>
      <c r="R224" s="183" cm="1">
        <f t="array" ref="R224">SUMPRODUCT(
  fin[mar/26] *
  (fin[Id]=$B224)
)</f>
        <v>0</v>
      </c>
      <c r="S224" s="183" cm="1">
        <f t="array" ref="S224">SUMPRODUCT(
  fin[abr/26] *
  (fin[Id]=$B224)
)</f>
        <v>0</v>
      </c>
      <c r="T224" s="183" cm="1">
        <f t="array" ref="T224">SUMPRODUCT(
  fin[mai/26] *
  (fin[Id]=$B224)
)</f>
        <v>0</v>
      </c>
      <c r="U224" s="183" cm="1">
        <f t="array" ref="U224">SUMPRODUCT(
  fin[jun/26] *
  (fin[Id]=$B224)
)</f>
        <v>0</v>
      </c>
      <c r="V224" s="183" cm="1">
        <f t="array" ref="V224">SUMPRODUCT(
  fin[jul/26] *
  (fin[Id]=$B224)
)</f>
        <v>0</v>
      </c>
      <c r="W224" s="183" cm="1">
        <f t="array" ref="W224">SUMPRODUCT(
  fin[ago/26] *
  (fin[Id]=$B224)
)</f>
        <v>0</v>
      </c>
      <c r="X224" s="183" cm="1">
        <f t="array" ref="X224">SUMPRODUCT(
  fin[set/26] *
  (fin[Id]=$B224)
)</f>
        <v>0</v>
      </c>
      <c r="Y224" s="183" cm="1">
        <f t="array" ref="Y224">SUMPRODUCT(
  fin[out/26] *
  (fin[Id]=$B224)
)</f>
        <v>0</v>
      </c>
      <c r="Z224" s="183" cm="1">
        <f t="array" ref="Z224">SUMPRODUCT(
  fin[nov/26] *
  (fin[Id]=$B224)
)</f>
        <v>0</v>
      </c>
      <c r="AA224" s="183" cm="1">
        <f t="array" ref="AA224">SUMPRODUCT(
  fin[dez/26] *
  (fin[Id]=$B224)
)</f>
        <v>0</v>
      </c>
      <c r="AC224" s="175">
        <f>SUM($D224:INDEX($D224:$AA224,1,MATCH(DATE(YEAR(inputs!$A$1),MONTH(inputs!$A$1),1),$D$1:$AA$1,0)))</f>
        <v>300000</v>
      </c>
      <c r="AE224" s="175">
        <f t="shared" si="40"/>
        <v>300000</v>
      </c>
    </row>
    <row r="225" spans="1:31" outlineLevel="1" x14ac:dyDescent="0.25">
      <c r="A225" s="179" t="s">
        <v>639</v>
      </c>
      <c r="B225" s="189" t="s">
        <v>640</v>
      </c>
      <c r="C225" s="180" t="s">
        <v>514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C225" s="275">
        <f>SUM($D225:INDEX($D225:$AA225,1,MATCH(DATE(YEAR(inputs!$A$1),MONTH(inputs!$A$1),1),$D$1:$AA$1,0)))</f>
        <v>0</v>
      </c>
      <c r="AE225" s="275">
        <f t="shared" si="40"/>
        <v>0</v>
      </c>
    </row>
    <row r="226" spans="1:31" x14ac:dyDescent="0.25">
      <c r="A226" s="185" t="s">
        <v>641</v>
      </c>
      <c r="B226" s="185" t="s">
        <v>642</v>
      </c>
      <c r="C226" s="190"/>
      <c r="D226" s="191">
        <f t="shared" ref="D226:AA226" ca="1" si="46">SUM(D$227,D$254,D$261)</f>
        <v>0</v>
      </c>
      <c r="E226" s="191">
        <f t="shared" ca="1" si="46"/>
        <v>0</v>
      </c>
      <c r="F226" s="191">
        <f t="shared" ca="1" si="46"/>
        <v>0</v>
      </c>
      <c r="G226" s="191">
        <f t="shared" ca="1" si="46"/>
        <v>-528000</v>
      </c>
      <c r="H226" s="191">
        <f t="shared" ca="1" si="46"/>
        <v>-10645495.059999999</v>
      </c>
      <c r="I226" s="191">
        <f t="shared" ca="1" si="46"/>
        <v>0</v>
      </c>
      <c r="J226" s="191">
        <f t="shared" ca="1" si="46"/>
        <v>-2850584.95</v>
      </c>
      <c r="K226" s="191">
        <f t="shared" ca="1" si="46"/>
        <v>0</v>
      </c>
      <c r="L226" s="191">
        <f t="shared" ca="1" si="46"/>
        <v>0</v>
      </c>
      <c r="M226" s="191">
        <f t="shared" ca="1" si="46"/>
        <v>-3000000</v>
      </c>
      <c r="N226" s="191">
        <f t="shared" ca="1" si="46"/>
        <v>-4206456.13</v>
      </c>
      <c r="O226" s="191">
        <f t="shared" ca="1" si="46"/>
        <v>0</v>
      </c>
      <c r="P226" s="191">
        <f t="shared" ca="1" si="46"/>
        <v>0</v>
      </c>
      <c r="Q226" s="191">
        <f t="shared" ca="1" si="46"/>
        <v>0</v>
      </c>
      <c r="R226" s="191">
        <f t="shared" ca="1" si="46"/>
        <v>0</v>
      </c>
      <c r="S226" s="191">
        <f t="shared" ca="1" si="46"/>
        <v>0</v>
      </c>
      <c r="T226" s="191">
        <f t="shared" ca="1" si="46"/>
        <v>0</v>
      </c>
      <c r="U226" s="191">
        <f t="shared" ca="1" si="46"/>
        <v>0</v>
      </c>
      <c r="V226" s="191">
        <f t="shared" ca="1" si="46"/>
        <v>0</v>
      </c>
      <c r="W226" s="191">
        <f t="shared" ca="1" si="46"/>
        <v>0</v>
      </c>
      <c r="X226" s="191">
        <f t="shared" ca="1" si="46"/>
        <v>0</v>
      </c>
      <c r="Y226" s="191">
        <f t="shared" ca="1" si="46"/>
        <v>0</v>
      </c>
      <c r="Z226" s="191">
        <f t="shared" ca="1" si="46"/>
        <v>0</v>
      </c>
      <c r="AA226" s="191">
        <f t="shared" ca="1" si="46"/>
        <v>0</v>
      </c>
      <c r="AC226" s="278">
        <f ca="1">SUM($D226:INDEX($D226:$AA226,1,MATCH(DATE(YEAR(inputs!$A$1),MONTH(inputs!$A$1),1),$D$1:$AA$1,0)))</f>
        <v>-21230536.139999997</v>
      </c>
      <c r="AE226" s="278">
        <f t="shared" ca="1" si="40"/>
        <v>-21230536.139999997</v>
      </c>
    </row>
    <row r="227" spans="1:31" outlineLevel="1" x14ac:dyDescent="0.25">
      <c r="A227" s="179" t="s">
        <v>643</v>
      </c>
      <c r="B227" s="184" t="s">
        <v>389</v>
      </c>
      <c r="C227" s="180" t="s">
        <v>514</v>
      </c>
      <c r="D227" s="181">
        <f t="shared" ref="D227:AA227" ca="1" si="47">SUM(D$228:D$253)</f>
        <v>0</v>
      </c>
      <c r="E227" s="181">
        <f t="shared" ca="1" si="47"/>
        <v>0</v>
      </c>
      <c r="F227" s="181">
        <f t="shared" ca="1" si="47"/>
        <v>0</v>
      </c>
      <c r="G227" s="181">
        <f t="shared" ca="1" si="47"/>
        <v>-528000</v>
      </c>
      <c r="H227" s="181">
        <f t="shared" ca="1" si="47"/>
        <v>-10645495.059999999</v>
      </c>
      <c r="I227" s="181">
        <f t="shared" ca="1" si="47"/>
        <v>0</v>
      </c>
      <c r="J227" s="181">
        <f t="shared" ca="1" si="47"/>
        <v>-2850584.95</v>
      </c>
      <c r="K227" s="181">
        <f t="shared" ca="1" si="47"/>
        <v>0</v>
      </c>
      <c r="L227" s="181">
        <f t="shared" ca="1" si="47"/>
        <v>0</v>
      </c>
      <c r="M227" s="181">
        <f t="shared" ca="1" si="47"/>
        <v>-3000000</v>
      </c>
      <c r="N227" s="181">
        <f t="shared" ca="1" si="47"/>
        <v>-4206456.13</v>
      </c>
      <c r="O227" s="181">
        <f t="shared" ca="1" si="47"/>
        <v>0</v>
      </c>
      <c r="P227" s="181">
        <f t="shared" ca="1" si="47"/>
        <v>0</v>
      </c>
      <c r="Q227" s="181">
        <f t="shared" ca="1" si="47"/>
        <v>0</v>
      </c>
      <c r="R227" s="181">
        <f t="shared" ca="1" si="47"/>
        <v>0</v>
      </c>
      <c r="S227" s="181">
        <f t="shared" ca="1" si="47"/>
        <v>0</v>
      </c>
      <c r="T227" s="181">
        <f t="shared" ca="1" si="47"/>
        <v>0</v>
      </c>
      <c r="U227" s="181">
        <f t="shared" ca="1" si="47"/>
        <v>0</v>
      </c>
      <c r="V227" s="181">
        <f t="shared" ca="1" si="47"/>
        <v>0</v>
      </c>
      <c r="W227" s="181">
        <f t="shared" ca="1" si="47"/>
        <v>0</v>
      </c>
      <c r="X227" s="181">
        <f t="shared" ca="1" si="47"/>
        <v>0</v>
      </c>
      <c r="Y227" s="181">
        <f t="shared" ca="1" si="47"/>
        <v>0</v>
      </c>
      <c r="Z227" s="181">
        <f t="shared" ca="1" si="47"/>
        <v>0</v>
      </c>
      <c r="AA227" s="181">
        <f t="shared" ca="1" si="47"/>
        <v>0</v>
      </c>
      <c r="AC227" s="275">
        <f ca="1">SUM($D227:INDEX($D227:$AA227,1,MATCH(DATE(YEAR(inputs!$A$1),MONTH(inputs!$A$1),1),$D$1:$AA$1,0)))</f>
        <v>-21230536.139999997</v>
      </c>
      <c r="AE227" s="275">
        <f t="shared" ca="1" si="40"/>
        <v>-21230536.139999997</v>
      </c>
    </row>
    <row r="228" spans="1:31" outlineLevel="2" x14ac:dyDescent="0.25">
      <c r="A228" s="182" t="s">
        <v>647</v>
      </c>
      <c r="B228" s="182" t="s">
        <v>494</v>
      </c>
      <c r="C228" s="135" t="s">
        <v>514</v>
      </c>
      <c r="D228" s="183">
        <f ca="1">-SUMIFS(
  desp.m.ik[valor],
  desp.m.ik[nucleo], $B228,
  desp.m.ik[centro.negocio], $B$227,
  desp.m.ik[mes], "&gt;="&amp;D$1,
  desp.m.ik[mes], "&lt;"&amp;EOMONTH(D$1,0)+1
)</f>
        <v>0</v>
      </c>
      <c r="E228" s="183">
        <f ca="1">-SUMIFS(
  desp.m.ik[valor],
  desp.m.ik[nucleo], $B228,
  desp.m.ik[centro.negocio], $B$227,
  desp.m.ik[mes], "&gt;="&amp;E$1,
  desp.m.ik[mes], "&lt;"&amp;EOMONTH(E$1,0)+1
)</f>
        <v>0</v>
      </c>
      <c r="F228" s="183">
        <f ca="1">-SUMIFS(
  desp.m.ik[valor],
  desp.m.ik[nucleo], $B228,
  desp.m.ik[centro.negocio], $B$227,
  desp.m.ik[mes], "&gt;="&amp;F$1,
  desp.m.ik[mes], "&lt;"&amp;EOMONTH(F$1,0)+1
)</f>
        <v>0</v>
      </c>
      <c r="G228" s="183">
        <f ca="1">-SUMIFS(
  desp.m.ik[valor],
  desp.m.ik[nucleo], $B228,
  desp.m.ik[centro.negocio], $B$227,
  desp.m.ik[mes], "&gt;="&amp;G$1,
  desp.m.ik[mes], "&lt;"&amp;EOMONTH(G$1,0)+1
)</f>
        <v>0</v>
      </c>
      <c r="H228" s="183">
        <f ca="1">-SUMIFS(
  desp.m.ik[valor],
  desp.m.ik[nucleo], $B228,
  desp.m.ik[centro.negocio], $B$227,
  desp.m.ik[mes], "&gt;="&amp;H$1,
  desp.m.ik[mes], "&lt;"&amp;EOMONTH(H$1,0)+1
)</f>
        <v>0</v>
      </c>
      <c r="I228" s="183">
        <f ca="1">-SUMIFS(
  desp.m.ik[valor],
  desp.m.ik[nucleo], $B228,
  desp.m.ik[centro.negocio], $B$227,
  desp.m.ik[mes], "&gt;="&amp;I$1,
  desp.m.ik[mes], "&lt;"&amp;EOMONTH(I$1,0)+1
)</f>
        <v>0</v>
      </c>
      <c r="J228" s="183">
        <f ca="1">-SUMIFS(
  desp.m.ik[valor],
  desp.m.ik[nucleo], $B228,
  desp.m.ik[centro.negocio], $B$227,
  desp.m.ik[mes], "&gt;="&amp;J$1,
  desp.m.ik[mes], "&lt;"&amp;EOMONTH(J$1,0)+1
)</f>
        <v>0</v>
      </c>
      <c r="K228" s="183">
        <f ca="1">-SUMIFS(
  desp.m.ik[valor],
  desp.m.ik[nucleo], $B228,
  desp.m.ik[centro.negocio], $B$227,
  desp.m.ik[mes], "&gt;="&amp;K$1,
  desp.m.ik[mes], "&lt;"&amp;EOMONTH(K$1,0)+1
)</f>
        <v>0</v>
      </c>
      <c r="L228" s="183">
        <f ca="1">-SUMIFS(
  desp.m.ik[valor],
  desp.m.ik[nucleo], $B228,
  desp.m.ik[centro.negocio], $B$227,
  desp.m.ik[mes], "&gt;="&amp;L$1,
  desp.m.ik[mes], "&lt;"&amp;EOMONTH(L$1,0)+1
)</f>
        <v>0</v>
      </c>
      <c r="M228" s="292">
        <f ca="1">-SUMIFS(
  desp.m.ik[valor],
  desp.m.ik[nucleo], $B228,
  desp.m.ik[centro.negocio], $B$227,
  desp.m.ik[mes], "&gt;="&amp;M$1,
  desp.m.ik[mes], "&lt;"&amp;EOMONTH(M$1,0)+1
)-3000000</f>
        <v>-3000000</v>
      </c>
      <c r="N228" s="292">
        <f ca="1">-SUMIFS(
  desp.m.ik[valor],
  desp.m.ik[nucleo], $B228,
  desp.m.ik[centro.negocio], $B$227,
  desp.m.ik[mes], "&gt;="&amp;N$1,
  desp.m.ik[mes], "&lt;"&amp;EOMONTH(N$1,0)+1
)-4206456.13</f>
        <v>-4206456.13</v>
      </c>
      <c r="O228" s="183">
        <f ca="1">-SUMIFS(
  desp.m.ik[valor],
  desp.m.ik[nucleo], $B228,
  desp.m.ik[centro.negocio], $B$227,
  desp.m.ik[mes], "&gt;="&amp;O$1,
  desp.m.ik[mes], "&lt;"&amp;EOMONTH(O$1,0)+1
)</f>
        <v>0</v>
      </c>
      <c r="P228" s="183">
        <f ca="1">-SUMIFS(
  desp.m.ik[valor],
  desp.m.ik[nucleo], $B228,
  desp.m.ik[centro.negocio], $B$227,
  desp.m.ik[mes], "&gt;="&amp;P$1,
  desp.m.ik[mes], "&lt;"&amp;EOMONTH(P$1,0)+1
)</f>
        <v>0</v>
      </c>
      <c r="Q228" s="183">
        <f ca="1">-SUMIFS(
  desp.m.ik[valor],
  desp.m.ik[nucleo], $B228,
  desp.m.ik[centro.negocio], $B$227,
  desp.m.ik[mes], "&gt;="&amp;Q$1,
  desp.m.ik[mes], "&lt;"&amp;EOMONTH(Q$1,0)+1
)</f>
        <v>0</v>
      </c>
      <c r="R228" s="183">
        <f ca="1">-SUMIFS(
  desp.m.ik[valor],
  desp.m.ik[nucleo], $B228,
  desp.m.ik[centro.negocio], $B$227,
  desp.m.ik[mes], "&gt;="&amp;R$1,
  desp.m.ik[mes], "&lt;"&amp;EOMONTH(R$1,0)+1
)</f>
        <v>0</v>
      </c>
      <c r="S228" s="183">
        <f ca="1">-SUMIFS(
  desp.m.ik[valor],
  desp.m.ik[nucleo], $B228,
  desp.m.ik[centro.negocio], $B$227,
  desp.m.ik[mes], "&gt;="&amp;S$1,
  desp.m.ik[mes], "&lt;"&amp;EOMONTH(S$1,0)+1
)</f>
        <v>0</v>
      </c>
      <c r="T228" s="183">
        <f ca="1">-SUMIFS(
  desp.m.ik[valor],
  desp.m.ik[nucleo], $B228,
  desp.m.ik[centro.negocio], $B$227,
  desp.m.ik[mes], "&gt;="&amp;T$1,
  desp.m.ik[mes], "&lt;"&amp;EOMONTH(T$1,0)+1
)</f>
        <v>0</v>
      </c>
      <c r="U228" s="183">
        <f ca="1">-SUMIFS(
  desp.m.ik[valor],
  desp.m.ik[nucleo], $B228,
  desp.m.ik[centro.negocio], $B$227,
  desp.m.ik[mes], "&gt;="&amp;U$1,
  desp.m.ik[mes], "&lt;"&amp;EOMONTH(U$1,0)+1
)</f>
        <v>0</v>
      </c>
      <c r="V228" s="183">
        <f ca="1">-SUMIFS(
  desp.m.ik[valor],
  desp.m.ik[nucleo], $B228,
  desp.m.ik[centro.negocio], $B$227,
  desp.m.ik[mes], "&gt;="&amp;V$1,
  desp.m.ik[mes], "&lt;"&amp;EOMONTH(V$1,0)+1
)</f>
        <v>0</v>
      </c>
      <c r="W228" s="183">
        <f ca="1">-SUMIFS(
  desp.m.ik[valor],
  desp.m.ik[nucleo], $B228,
  desp.m.ik[centro.negocio], $B$227,
  desp.m.ik[mes], "&gt;="&amp;W$1,
  desp.m.ik[mes], "&lt;"&amp;EOMONTH(W$1,0)+1
)</f>
        <v>0</v>
      </c>
      <c r="X228" s="183">
        <f ca="1">-SUMIFS(
  desp.m.ik[valor],
  desp.m.ik[nucleo], $B228,
  desp.m.ik[centro.negocio], $B$227,
  desp.m.ik[mes], "&gt;="&amp;X$1,
  desp.m.ik[mes], "&lt;"&amp;EOMONTH(X$1,0)+1
)</f>
        <v>0</v>
      </c>
      <c r="Y228" s="183">
        <f ca="1">-SUMIFS(
  desp.m.ik[valor],
  desp.m.ik[nucleo], $B228,
  desp.m.ik[centro.negocio], $B$227,
  desp.m.ik[mes], "&gt;="&amp;Y$1,
  desp.m.ik[mes], "&lt;"&amp;EOMONTH(Y$1,0)+1
)</f>
        <v>0</v>
      </c>
      <c r="Z228" s="183">
        <f ca="1">-SUMIFS(
  desp.m.ik[valor],
  desp.m.ik[nucleo], $B228,
  desp.m.ik[centro.negocio], $B$227,
  desp.m.ik[mes], "&gt;="&amp;Z$1,
  desp.m.ik[mes], "&lt;"&amp;EOMONTH(Z$1,0)+1
)</f>
        <v>0</v>
      </c>
      <c r="AA228" s="183">
        <f ca="1">-SUMIFS(
  desp.m.ik[valor],
  desp.m.ik[nucleo], $B228,
  desp.m.ik[centro.negocio], $B$227,
  desp.m.ik[mes], "&gt;="&amp;AA$1,
  desp.m.ik[mes], "&lt;"&amp;EOMONTH(AA$1,0)+1
)</f>
        <v>0</v>
      </c>
      <c r="AC228" s="175">
        <f ca="1">SUM($D228:INDEX($D228:$AA228,1,MATCH(DATE(YEAR(inputs!$A$1),MONTH(inputs!$A$1),1),$D$1:$AA$1,0)))</f>
        <v>-7206456.1299999999</v>
      </c>
      <c r="AE228" s="175">
        <f t="shared" ca="1" si="40"/>
        <v>-7206456.1299999999</v>
      </c>
    </row>
    <row r="229" spans="1:31" outlineLevel="2" x14ac:dyDescent="0.25">
      <c r="A229" s="182" t="s">
        <v>644</v>
      </c>
      <c r="B229" s="182" t="s">
        <v>541</v>
      </c>
      <c r="C229" s="135" t="s">
        <v>514</v>
      </c>
      <c r="D229" s="183">
        <f ca="1">-SUMIFS(
  desp.m.ik[valor],
  desp.m.ik[nucleo], $B229,
  desp.m.ik[centro.negocio], $B$227,
  desp.m.ik[mes], "&gt;="&amp;D$1,
  desp.m.ik[mes], "&lt;"&amp;EOMONTH(D$1,0)+1
)</f>
        <v>0</v>
      </c>
      <c r="E229" s="183">
        <f ca="1">-SUMIFS(
  desp.m.ik[valor],
  desp.m.ik[nucleo], $B229,
  desp.m.ik[centro.negocio], $B$227,
  desp.m.ik[mes], "&gt;="&amp;E$1,
  desp.m.ik[mes], "&lt;"&amp;EOMONTH(E$1,0)+1
)</f>
        <v>0</v>
      </c>
      <c r="F229" s="183">
        <f ca="1">-SUMIFS(
  desp.m.ik[valor],
  desp.m.ik[nucleo], $B229,
  desp.m.ik[centro.negocio], $B$227,
  desp.m.ik[mes], "&gt;="&amp;F$1,
  desp.m.ik[mes], "&lt;"&amp;EOMONTH(F$1,0)+1
)</f>
        <v>0</v>
      </c>
      <c r="G229" s="183">
        <f ca="1">-SUMIFS(
  desp.m.ik[valor],
  desp.m.ik[nucleo], $B229,
  desp.m.ik[centro.negocio], $B$227,
  desp.m.ik[mes], "&gt;="&amp;G$1,
  desp.m.ik[mes], "&lt;"&amp;EOMONTH(G$1,0)+1
)</f>
        <v>0</v>
      </c>
      <c r="H229" s="183">
        <f ca="1">-SUMIFS(
  desp.m.ik[valor],
  desp.m.ik[nucleo], $B229,
  desp.m.ik[centro.negocio], $B$227,
  desp.m.ik[mes], "&gt;="&amp;H$1,
  desp.m.ik[mes], "&lt;"&amp;EOMONTH(H$1,0)+1
)</f>
        <v>0</v>
      </c>
      <c r="I229" s="183">
        <f ca="1">-SUMIFS(
  desp.m.ik[valor],
  desp.m.ik[nucleo], $B229,
  desp.m.ik[centro.negocio], $B$227,
  desp.m.ik[mes], "&gt;="&amp;I$1,
  desp.m.ik[mes], "&lt;"&amp;EOMONTH(I$1,0)+1
)</f>
        <v>0</v>
      </c>
      <c r="J229" s="183">
        <f ca="1">-SUMIFS(
  desp.m.ik[valor],
  desp.m.ik[nucleo], $B229,
  desp.m.ik[centro.negocio], $B$227,
  desp.m.ik[mes], "&gt;="&amp;J$1,
  desp.m.ik[mes], "&lt;"&amp;EOMONTH(J$1,0)+1
)</f>
        <v>0</v>
      </c>
      <c r="K229" s="183">
        <f ca="1">-SUMIFS(
  desp.m.ik[valor],
  desp.m.ik[nucleo], $B229,
  desp.m.ik[centro.negocio], $B$227,
  desp.m.ik[mes], "&gt;="&amp;K$1,
  desp.m.ik[mes], "&lt;"&amp;EOMONTH(K$1,0)+1
)</f>
        <v>0</v>
      </c>
      <c r="L229" s="183">
        <f ca="1">-SUMIFS(
  desp.m.ik[valor],
  desp.m.ik[nucleo], $B229,
  desp.m.ik[centro.negocio], $B$227,
  desp.m.ik[mes], "&gt;="&amp;L$1,
  desp.m.ik[mes], "&lt;"&amp;EOMONTH(L$1,0)+1
)</f>
        <v>0</v>
      </c>
      <c r="M229" s="183">
        <f ca="1">-SUMIFS(
  desp.m.ik[valor],
  desp.m.ik[nucleo], $B229,
  desp.m.ik[centro.negocio], $B$227,
  desp.m.ik[mes], "&gt;="&amp;M$1,
  desp.m.ik[mes], "&lt;"&amp;EOMONTH(M$1,0)+1
)</f>
        <v>0</v>
      </c>
      <c r="N229" s="183">
        <f ca="1">-SUMIFS(
  desp.m.ik[valor],
  desp.m.ik[nucleo], $B229,
  desp.m.ik[centro.negocio], $B$227,
  desp.m.ik[mes], "&gt;="&amp;N$1,
  desp.m.ik[mes], "&lt;"&amp;EOMONTH(N$1,0)+1
)</f>
        <v>0</v>
      </c>
      <c r="O229" s="183">
        <f ca="1">-SUMIFS(
  desp.m.ik[valor],
  desp.m.ik[nucleo], $B229,
  desp.m.ik[centro.negocio], $B$227,
  desp.m.ik[mes], "&gt;="&amp;O$1,
  desp.m.ik[mes], "&lt;"&amp;EOMONTH(O$1,0)+1
)</f>
        <v>0</v>
      </c>
      <c r="P229" s="183">
        <f ca="1">-SUMIFS(
  desp.m.ik[valor],
  desp.m.ik[nucleo], $B229,
  desp.m.ik[centro.negocio], $B$227,
  desp.m.ik[mes], "&gt;="&amp;P$1,
  desp.m.ik[mes], "&lt;"&amp;EOMONTH(P$1,0)+1
)</f>
        <v>0</v>
      </c>
      <c r="Q229" s="183">
        <f ca="1">-SUMIFS(
  desp.m.ik[valor],
  desp.m.ik[nucleo], $B229,
  desp.m.ik[centro.negocio], $B$227,
  desp.m.ik[mes], "&gt;="&amp;Q$1,
  desp.m.ik[mes], "&lt;"&amp;EOMONTH(Q$1,0)+1
)</f>
        <v>0</v>
      </c>
      <c r="R229" s="183">
        <f ca="1">-SUMIFS(
  desp.m.ik[valor],
  desp.m.ik[nucleo], $B229,
  desp.m.ik[centro.negocio], $B$227,
  desp.m.ik[mes], "&gt;="&amp;R$1,
  desp.m.ik[mes], "&lt;"&amp;EOMONTH(R$1,0)+1
)</f>
        <v>0</v>
      </c>
      <c r="S229" s="183">
        <f ca="1">-SUMIFS(
  desp.m.ik[valor],
  desp.m.ik[nucleo], $B229,
  desp.m.ik[centro.negocio], $B$227,
  desp.m.ik[mes], "&gt;="&amp;S$1,
  desp.m.ik[mes], "&lt;"&amp;EOMONTH(S$1,0)+1
)</f>
        <v>0</v>
      </c>
      <c r="T229" s="183">
        <f ca="1">-SUMIFS(
  desp.m.ik[valor],
  desp.m.ik[nucleo], $B229,
  desp.m.ik[centro.negocio], $B$227,
  desp.m.ik[mes], "&gt;="&amp;T$1,
  desp.m.ik[mes], "&lt;"&amp;EOMONTH(T$1,0)+1
)</f>
        <v>0</v>
      </c>
      <c r="U229" s="183">
        <f ca="1">-SUMIFS(
  desp.m.ik[valor],
  desp.m.ik[nucleo], $B229,
  desp.m.ik[centro.negocio], $B$227,
  desp.m.ik[mes], "&gt;="&amp;U$1,
  desp.m.ik[mes], "&lt;"&amp;EOMONTH(U$1,0)+1
)</f>
        <v>0</v>
      </c>
      <c r="V229" s="183">
        <f ca="1">-SUMIFS(
  desp.m.ik[valor],
  desp.m.ik[nucleo], $B229,
  desp.m.ik[centro.negocio], $B$227,
  desp.m.ik[mes], "&gt;="&amp;V$1,
  desp.m.ik[mes], "&lt;"&amp;EOMONTH(V$1,0)+1
)</f>
        <v>0</v>
      </c>
      <c r="W229" s="183">
        <f ca="1">-SUMIFS(
  desp.m.ik[valor],
  desp.m.ik[nucleo], $B229,
  desp.m.ik[centro.negocio], $B$227,
  desp.m.ik[mes], "&gt;="&amp;W$1,
  desp.m.ik[mes], "&lt;"&amp;EOMONTH(W$1,0)+1
)</f>
        <v>0</v>
      </c>
      <c r="X229" s="183">
        <f ca="1">-SUMIFS(
  desp.m.ik[valor],
  desp.m.ik[nucleo], $B229,
  desp.m.ik[centro.negocio], $B$227,
  desp.m.ik[mes], "&gt;="&amp;X$1,
  desp.m.ik[mes], "&lt;"&amp;EOMONTH(X$1,0)+1
)</f>
        <v>0</v>
      </c>
      <c r="Y229" s="183">
        <f ca="1">-SUMIFS(
  desp.m.ik[valor],
  desp.m.ik[nucleo], $B229,
  desp.m.ik[centro.negocio], $B$227,
  desp.m.ik[mes], "&gt;="&amp;Y$1,
  desp.m.ik[mes], "&lt;"&amp;EOMONTH(Y$1,0)+1
)</f>
        <v>0</v>
      </c>
      <c r="Z229" s="183">
        <f ca="1">-SUMIFS(
  desp.m.ik[valor],
  desp.m.ik[nucleo], $B229,
  desp.m.ik[centro.negocio], $B$227,
  desp.m.ik[mes], "&gt;="&amp;Z$1,
  desp.m.ik[mes], "&lt;"&amp;EOMONTH(Z$1,0)+1
)</f>
        <v>0</v>
      </c>
      <c r="AA229" s="183">
        <f ca="1">-SUMIFS(
  desp.m.ik[valor],
  desp.m.ik[nucleo], $B229,
  desp.m.ik[centro.negocio], $B$227,
  desp.m.ik[mes], "&gt;="&amp;AA$1,
  desp.m.ik[mes], "&lt;"&amp;EOMONTH(AA$1,0)+1
)</f>
        <v>0</v>
      </c>
      <c r="AC229" s="175">
        <f ca="1">SUM($D229:INDEX($D229:$AA229,1,MATCH(DATE(YEAR(inputs!$A$1),MONTH(inputs!$A$1),1),$D$1:$AA$1,0)))</f>
        <v>0</v>
      </c>
      <c r="AE229" s="175">
        <f t="shared" ca="1" si="40"/>
        <v>0</v>
      </c>
    </row>
    <row r="230" spans="1:31" outlineLevel="2" x14ac:dyDescent="0.25">
      <c r="A230" s="182" t="s">
        <v>655</v>
      </c>
      <c r="B230" s="182" t="s">
        <v>922</v>
      </c>
      <c r="C230" s="135" t="s">
        <v>514</v>
      </c>
      <c r="D230" s="183">
        <f ca="1">-SUMIFS(
  desp.m.ik[valor],
  desp.m.ik[nucleo], $B230,
  desp.m.ik[centro.negocio], $B$227,
  desp.m.ik[mes], "&gt;="&amp;D$1,
  desp.m.ik[mes], "&lt;"&amp;EOMONTH(D$1,0)+1
)</f>
        <v>0</v>
      </c>
      <c r="E230" s="183">
        <f ca="1">-SUMIFS(
  desp.m.ik[valor],
  desp.m.ik[nucleo], $B230,
  desp.m.ik[centro.negocio], $B$227,
  desp.m.ik[mes], "&gt;="&amp;E$1,
  desp.m.ik[mes], "&lt;"&amp;EOMONTH(E$1,0)+1
)</f>
        <v>0</v>
      </c>
      <c r="F230" s="183">
        <f ca="1">-SUMIFS(
  desp.m.ik[valor],
  desp.m.ik[nucleo], $B230,
  desp.m.ik[centro.negocio], $B$227,
  desp.m.ik[mes], "&gt;="&amp;F$1,
  desp.m.ik[mes], "&lt;"&amp;EOMONTH(F$1,0)+1
)</f>
        <v>0</v>
      </c>
      <c r="G230" s="183">
        <f ca="1">-SUMIFS(
  desp.m.ik[valor],
  desp.m.ik[nucleo], $B230,
  desp.m.ik[centro.negocio], $B$227,
  desp.m.ik[mes], "&gt;="&amp;G$1,
  desp.m.ik[mes], "&lt;"&amp;EOMONTH(G$1,0)+1
)</f>
        <v>0</v>
      </c>
      <c r="H230" s="292">
        <f ca="1">-SUMIFS(
  desp.m.ik[valor],
  desp.m.ik[nucleo], $B230,
  desp.m.ik[centro.negocio], $B$227,
  desp.m.ik[mes], "&gt;="&amp;H$1,
  desp.m.ik[mes], "&lt;"&amp;EOMONTH(H$1,0)+1
)-5405358.06</f>
        <v>-5405358.0599999996</v>
      </c>
      <c r="I230" s="183">
        <f ca="1">-SUMIFS(
  desp.m.ik[valor],
  desp.m.ik[nucleo], $B230,
  desp.m.ik[centro.negocio], $B$227,
  desp.m.ik[mes], "&gt;="&amp;I$1,
  desp.m.ik[mes], "&lt;"&amp;EOMONTH(I$1,0)+1
)</f>
        <v>0</v>
      </c>
      <c r="J230" s="292">
        <f ca="1">-SUMIFS(
  desp.m.ik[valor],
  desp.m.ik[nucleo], $B230,
  desp.m.ik[centro.negocio], $B$227,
  desp.m.ik[mes], "&gt;="&amp;J$1,
  desp.m.ik[mes], "&lt;"&amp;EOMONTH(J$1,0)+1
)-994999.95</f>
        <v>-994999.95</v>
      </c>
      <c r="K230" s="183">
        <f ca="1">-SUMIFS(
  desp.m.ik[valor],
  desp.m.ik[nucleo], $B230,
  desp.m.ik[centro.negocio], $B$227,
  desp.m.ik[mes], "&gt;="&amp;K$1,
  desp.m.ik[mes], "&lt;"&amp;EOMONTH(K$1,0)+1
)</f>
        <v>0</v>
      </c>
      <c r="L230" s="183">
        <f ca="1">-SUMIFS(
  desp.m.ik[valor],
  desp.m.ik[nucleo], $B230,
  desp.m.ik[centro.negocio], $B$227,
  desp.m.ik[mes], "&gt;="&amp;L$1,
  desp.m.ik[mes], "&lt;"&amp;EOMONTH(L$1,0)+1
)</f>
        <v>0</v>
      </c>
      <c r="M230" s="183">
        <f ca="1">-SUMIFS(
  desp.m.ik[valor],
  desp.m.ik[nucleo], $B230,
  desp.m.ik[centro.negocio], $B$227,
  desp.m.ik[mes], "&gt;="&amp;M$1,
  desp.m.ik[mes], "&lt;"&amp;EOMONTH(M$1,0)+1
)</f>
        <v>0</v>
      </c>
      <c r="N230" s="183">
        <f ca="1">-SUMIFS(
  desp.m.ik[valor],
  desp.m.ik[nucleo], $B230,
  desp.m.ik[centro.negocio], $B$227,
  desp.m.ik[mes], "&gt;="&amp;N$1,
  desp.m.ik[mes], "&lt;"&amp;EOMONTH(N$1,0)+1
)</f>
        <v>0</v>
      </c>
      <c r="O230" s="183">
        <f ca="1">-SUMIFS(
  desp.m.ik[valor],
  desp.m.ik[nucleo], $B230,
  desp.m.ik[centro.negocio], $B$227,
  desp.m.ik[mes], "&gt;="&amp;O$1,
  desp.m.ik[mes], "&lt;"&amp;EOMONTH(O$1,0)+1
)</f>
        <v>0</v>
      </c>
      <c r="P230" s="183">
        <f ca="1">-SUMIFS(
  desp.m.ik[valor],
  desp.m.ik[nucleo], $B230,
  desp.m.ik[centro.negocio], $B$227,
  desp.m.ik[mes], "&gt;="&amp;P$1,
  desp.m.ik[mes], "&lt;"&amp;EOMONTH(P$1,0)+1
)</f>
        <v>0</v>
      </c>
      <c r="Q230" s="183">
        <f ca="1">-SUMIFS(
  desp.m.ik[valor],
  desp.m.ik[nucleo], $B230,
  desp.m.ik[centro.negocio], $B$227,
  desp.m.ik[mes], "&gt;="&amp;Q$1,
  desp.m.ik[mes], "&lt;"&amp;EOMONTH(Q$1,0)+1
)</f>
        <v>0</v>
      </c>
      <c r="R230" s="183">
        <f ca="1">-SUMIFS(
  desp.m.ik[valor],
  desp.m.ik[nucleo], $B230,
  desp.m.ik[centro.negocio], $B$227,
  desp.m.ik[mes], "&gt;="&amp;R$1,
  desp.m.ik[mes], "&lt;"&amp;EOMONTH(R$1,0)+1
)</f>
        <v>0</v>
      </c>
      <c r="S230" s="183">
        <f ca="1">-SUMIFS(
  desp.m.ik[valor],
  desp.m.ik[nucleo], $B230,
  desp.m.ik[centro.negocio], $B$227,
  desp.m.ik[mes], "&gt;="&amp;S$1,
  desp.m.ik[mes], "&lt;"&amp;EOMONTH(S$1,0)+1
)</f>
        <v>0</v>
      </c>
      <c r="T230" s="183">
        <f ca="1">-SUMIFS(
  desp.m.ik[valor],
  desp.m.ik[nucleo], $B230,
  desp.m.ik[centro.negocio], $B$227,
  desp.m.ik[mes], "&gt;="&amp;T$1,
  desp.m.ik[mes], "&lt;"&amp;EOMONTH(T$1,0)+1
)</f>
        <v>0</v>
      </c>
      <c r="U230" s="183">
        <f ca="1">-SUMIFS(
  desp.m.ik[valor],
  desp.m.ik[nucleo], $B230,
  desp.m.ik[centro.negocio], $B$227,
  desp.m.ik[mes], "&gt;="&amp;U$1,
  desp.m.ik[mes], "&lt;"&amp;EOMONTH(U$1,0)+1
)</f>
        <v>0</v>
      </c>
      <c r="V230" s="183">
        <f ca="1">-SUMIFS(
  desp.m.ik[valor],
  desp.m.ik[nucleo], $B230,
  desp.m.ik[centro.negocio], $B$227,
  desp.m.ik[mes], "&gt;="&amp;V$1,
  desp.m.ik[mes], "&lt;"&amp;EOMONTH(V$1,0)+1
)</f>
        <v>0</v>
      </c>
      <c r="W230" s="183">
        <f ca="1">-SUMIFS(
  desp.m.ik[valor],
  desp.m.ik[nucleo], $B230,
  desp.m.ik[centro.negocio], $B$227,
  desp.m.ik[mes], "&gt;="&amp;W$1,
  desp.m.ik[mes], "&lt;"&amp;EOMONTH(W$1,0)+1
)</f>
        <v>0</v>
      </c>
      <c r="X230" s="183">
        <f ca="1">-SUMIFS(
  desp.m.ik[valor],
  desp.m.ik[nucleo], $B230,
  desp.m.ik[centro.negocio], $B$227,
  desp.m.ik[mes], "&gt;="&amp;X$1,
  desp.m.ik[mes], "&lt;"&amp;EOMONTH(X$1,0)+1
)</f>
        <v>0</v>
      </c>
      <c r="Y230" s="183">
        <f ca="1">-SUMIFS(
  desp.m.ik[valor],
  desp.m.ik[nucleo], $B230,
  desp.m.ik[centro.negocio], $B$227,
  desp.m.ik[mes], "&gt;="&amp;Y$1,
  desp.m.ik[mes], "&lt;"&amp;EOMONTH(Y$1,0)+1
)</f>
        <v>0</v>
      </c>
      <c r="Z230" s="183">
        <f ca="1">-SUMIFS(
  desp.m.ik[valor],
  desp.m.ik[nucleo], $B230,
  desp.m.ik[centro.negocio], $B$227,
  desp.m.ik[mes], "&gt;="&amp;Z$1,
  desp.m.ik[mes], "&lt;"&amp;EOMONTH(Z$1,0)+1
)</f>
        <v>0</v>
      </c>
      <c r="AA230" s="183">
        <f ca="1">-SUMIFS(
  desp.m.ik[valor],
  desp.m.ik[nucleo], $B230,
  desp.m.ik[centro.negocio], $B$227,
  desp.m.ik[mes], "&gt;="&amp;AA$1,
  desp.m.ik[mes], "&lt;"&amp;EOMONTH(AA$1,0)+1
)</f>
        <v>0</v>
      </c>
      <c r="AC230" s="175">
        <f ca="1">SUM($D230:INDEX($D230:$AA230,1,MATCH(DATE(YEAR(inputs!$A$1),MONTH(inputs!$A$1),1),$D$1:$AA$1,0)))</f>
        <v>-6400358.0099999998</v>
      </c>
      <c r="AE230" s="175">
        <f t="shared" ca="1" si="40"/>
        <v>-6400358.0099999998</v>
      </c>
    </row>
    <row r="231" spans="1:31" outlineLevel="2" x14ac:dyDescent="0.25">
      <c r="A231" s="182" t="s">
        <v>656</v>
      </c>
      <c r="B231" s="182" t="s">
        <v>556</v>
      </c>
      <c r="C231" s="135" t="s">
        <v>514</v>
      </c>
      <c r="D231" s="183">
        <f ca="1">-SUMIFS(
  desp.m.ik[valor],
  desp.m.ik[nucleo], $B231,
  desp.m.ik[centro.negocio], $B$227,
  desp.m.ik[mes], "&gt;="&amp;D$1,
  desp.m.ik[mes], "&lt;"&amp;EOMONTH(D$1,0)+1
)</f>
        <v>0</v>
      </c>
      <c r="E231" s="183">
        <f ca="1">-SUMIFS(
  desp.m.ik[valor],
  desp.m.ik[nucleo], $B231,
  desp.m.ik[centro.negocio], $B$227,
  desp.m.ik[mes], "&gt;="&amp;E$1,
  desp.m.ik[mes], "&lt;"&amp;EOMONTH(E$1,0)+1
)</f>
        <v>0</v>
      </c>
      <c r="F231" s="183">
        <f ca="1">-SUMIFS(
  desp.m.ik[valor],
  desp.m.ik[nucleo], $B231,
  desp.m.ik[centro.negocio], $B$227,
  desp.m.ik[mes], "&gt;="&amp;F$1,
  desp.m.ik[mes], "&lt;"&amp;EOMONTH(F$1,0)+1
)</f>
        <v>0</v>
      </c>
      <c r="G231" s="183">
        <f ca="1">-SUMIFS(
  desp.m.ik[valor],
  desp.m.ik[nucleo], $B231,
  desp.m.ik[centro.negocio], $B$227,
  desp.m.ik[mes], "&gt;="&amp;G$1,
  desp.m.ik[mes], "&lt;"&amp;EOMONTH(G$1,0)+1
)</f>
        <v>0</v>
      </c>
      <c r="H231" s="292">
        <f ca="1">-SUMIFS(
  desp.m.ik[valor],
  desp.m.ik[nucleo], $B231,
  desp.m.ik[centro.negocio], $B$227,
  desp.m.ik[mes], "&gt;="&amp;H$1,
  desp.m.ik[mes], "&lt;"&amp;EOMONTH(H$1,0)+1
)-4295585</f>
        <v>-4295585</v>
      </c>
      <c r="I231" s="183">
        <f ca="1">-SUMIFS(
  desp.m.ik[valor],
  desp.m.ik[nucleo], $B231,
  desp.m.ik[centro.negocio], $B$227,
  desp.m.ik[mes], "&gt;="&amp;I$1,
  desp.m.ik[mes], "&lt;"&amp;EOMONTH(I$1,0)+1
)</f>
        <v>0</v>
      </c>
      <c r="J231" s="292">
        <f ca="1">-SUMIFS(
  desp.m.ik[valor],
  desp.m.ik[nucleo], $B231,
  desp.m.ik[centro.negocio], $B$227,
  desp.m.ik[mes], "&gt;="&amp;J$1,
  desp.m.ik[mes], "&lt;"&amp;EOMONTH(J$1,0)+1
)-1855585</f>
        <v>-1855585</v>
      </c>
      <c r="K231" s="183">
        <f ca="1">-SUMIFS(
  desp.m.ik[valor],
  desp.m.ik[nucleo], $B231,
  desp.m.ik[centro.negocio], $B$227,
  desp.m.ik[mes], "&gt;="&amp;K$1,
  desp.m.ik[mes], "&lt;"&amp;EOMONTH(K$1,0)+1
)</f>
        <v>0</v>
      </c>
      <c r="L231" s="183">
        <f ca="1">-SUMIFS(
  desp.m.ik[valor],
  desp.m.ik[nucleo], $B231,
  desp.m.ik[centro.negocio], $B$227,
  desp.m.ik[mes], "&gt;="&amp;L$1,
  desp.m.ik[mes], "&lt;"&amp;EOMONTH(L$1,0)+1
)</f>
        <v>0</v>
      </c>
      <c r="M231" s="183">
        <f ca="1">-SUMIFS(
  desp.m.ik[valor],
  desp.m.ik[nucleo], $B231,
  desp.m.ik[centro.negocio], $B$227,
  desp.m.ik[mes], "&gt;="&amp;M$1,
  desp.m.ik[mes], "&lt;"&amp;EOMONTH(M$1,0)+1
)</f>
        <v>0</v>
      </c>
      <c r="N231" s="183">
        <f ca="1">-SUMIFS(
  desp.m.ik[valor],
  desp.m.ik[nucleo], $B231,
  desp.m.ik[centro.negocio], $B$227,
  desp.m.ik[mes], "&gt;="&amp;N$1,
  desp.m.ik[mes], "&lt;"&amp;EOMONTH(N$1,0)+1
)</f>
        <v>0</v>
      </c>
      <c r="O231" s="183">
        <f ca="1">-SUMIFS(
  desp.m.ik[valor],
  desp.m.ik[nucleo], $B231,
  desp.m.ik[centro.negocio], $B$227,
  desp.m.ik[mes], "&gt;="&amp;O$1,
  desp.m.ik[mes], "&lt;"&amp;EOMONTH(O$1,0)+1
)</f>
        <v>0</v>
      </c>
      <c r="P231" s="183">
        <f ca="1">-SUMIFS(
  desp.m.ik[valor],
  desp.m.ik[nucleo], $B231,
  desp.m.ik[centro.negocio], $B$227,
  desp.m.ik[mes], "&gt;="&amp;P$1,
  desp.m.ik[mes], "&lt;"&amp;EOMONTH(P$1,0)+1
)</f>
        <v>0</v>
      </c>
      <c r="Q231" s="183">
        <f ca="1">-SUMIFS(
  desp.m.ik[valor],
  desp.m.ik[nucleo], $B231,
  desp.m.ik[centro.negocio], $B$227,
  desp.m.ik[mes], "&gt;="&amp;Q$1,
  desp.m.ik[mes], "&lt;"&amp;EOMONTH(Q$1,0)+1
)</f>
        <v>0</v>
      </c>
      <c r="R231" s="183">
        <f ca="1">-SUMIFS(
  desp.m.ik[valor],
  desp.m.ik[nucleo], $B231,
  desp.m.ik[centro.negocio], $B$227,
  desp.m.ik[mes], "&gt;="&amp;R$1,
  desp.m.ik[mes], "&lt;"&amp;EOMONTH(R$1,0)+1
)</f>
        <v>0</v>
      </c>
      <c r="S231" s="183">
        <f ca="1">-SUMIFS(
  desp.m.ik[valor],
  desp.m.ik[nucleo], $B231,
  desp.m.ik[centro.negocio], $B$227,
  desp.m.ik[mes], "&gt;="&amp;S$1,
  desp.m.ik[mes], "&lt;"&amp;EOMONTH(S$1,0)+1
)</f>
        <v>0</v>
      </c>
      <c r="T231" s="183">
        <f ca="1">-SUMIFS(
  desp.m.ik[valor],
  desp.m.ik[nucleo], $B231,
  desp.m.ik[centro.negocio], $B$227,
  desp.m.ik[mes], "&gt;="&amp;T$1,
  desp.m.ik[mes], "&lt;"&amp;EOMONTH(T$1,0)+1
)</f>
        <v>0</v>
      </c>
      <c r="U231" s="183">
        <f ca="1">-SUMIFS(
  desp.m.ik[valor],
  desp.m.ik[nucleo], $B231,
  desp.m.ik[centro.negocio], $B$227,
  desp.m.ik[mes], "&gt;="&amp;U$1,
  desp.m.ik[mes], "&lt;"&amp;EOMONTH(U$1,0)+1
)</f>
        <v>0</v>
      </c>
      <c r="V231" s="183">
        <f ca="1">-SUMIFS(
  desp.m.ik[valor],
  desp.m.ik[nucleo], $B231,
  desp.m.ik[centro.negocio], $B$227,
  desp.m.ik[mes], "&gt;="&amp;V$1,
  desp.m.ik[mes], "&lt;"&amp;EOMONTH(V$1,0)+1
)</f>
        <v>0</v>
      </c>
      <c r="W231" s="183">
        <f ca="1">-SUMIFS(
  desp.m.ik[valor],
  desp.m.ik[nucleo], $B231,
  desp.m.ik[centro.negocio], $B$227,
  desp.m.ik[mes], "&gt;="&amp;W$1,
  desp.m.ik[mes], "&lt;"&amp;EOMONTH(W$1,0)+1
)</f>
        <v>0</v>
      </c>
      <c r="X231" s="183">
        <f ca="1">-SUMIFS(
  desp.m.ik[valor],
  desp.m.ik[nucleo], $B231,
  desp.m.ik[centro.negocio], $B$227,
  desp.m.ik[mes], "&gt;="&amp;X$1,
  desp.m.ik[mes], "&lt;"&amp;EOMONTH(X$1,0)+1
)</f>
        <v>0</v>
      </c>
      <c r="Y231" s="183">
        <f ca="1">-SUMIFS(
  desp.m.ik[valor],
  desp.m.ik[nucleo], $B231,
  desp.m.ik[centro.negocio], $B$227,
  desp.m.ik[mes], "&gt;="&amp;Y$1,
  desp.m.ik[mes], "&lt;"&amp;EOMONTH(Y$1,0)+1
)</f>
        <v>0</v>
      </c>
      <c r="Z231" s="183">
        <f ca="1">-SUMIFS(
  desp.m.ik[valor],
  desp.m.ik[nucleo], $B231,
  desp.m.ik[centro.negocio], $B$227,
  desp.m.ik[mes], "&gt;="&amp;Z$1,
  desp.m.ik[mes], "&lt;"&amp;EOMONTH(Z$1,0)+1
)</f>
        <v>0</v>
      </c>
      <c r="AA231" s="183">
        <f ca="1">-SUMIFS(
  desp.m.ik[valor],
  desp.m.ik[nucleo], $B231,
  desp.m.ik[centro.negocio], $B$227,
  desp.m.ik[mes], "&gt;="&amp;AA$1,
  desp.m.ik[mes], "&lt;"&amp;EOMONTH(AA$1,0)+1
)</f>
        <v>0</v>
      </c>
      <c r="AC231" s="175">
        <f ca="1">SUM($D231:INDEX($D231:$AA231,1,MATCH(DATE(YEAR(inputs!$A$1),MONTH(inputs!$A$1),1),$D$1:$AA$1,0)))</f>
        <v>-6151170</v>
      </c>
      <c r="AE231" s="175">
        <f t="shared" ca="1" si="40"/>
        <v>-6151170</v>
      </c>
    </row>
    <row r="232" spans="1:31" outlineLevel="2" x14ac:dyDescent="0.25">
      <c r="A232" s="182" t="s">
        <v>646</v>
      </c>
      <c r="B232" s="182" t="s">
        <v>546</v>
      </c>
      <c r="C232" s="135" t="s">
        <v>514</v>
      </c>
      <c r="D232" s="183">
        <f ca="1">-SUMIFS(
  desp.m.ik[valor],
  desp.m.ik[nucleo], $B232,
  desp.m.ik[centro.negocio], $B$227,
  desp.m.ik[mes], "&gt;="&amp;D$1,
  desp.m.ik[mes], "&lt;"&amp;EOMONTH(D$1,0)+1
)</f>
        <v>0</v>
      </c>
      <c r="E232" s="183">
        <f ca="1">-SUMIFS(
  desp.m.ik[valor],
  desp.m.ik[nucleo], $B232,
  desp.m.ik[centro.negocio], $B$227,
  desp.m.ik[mes], "&gt;="&amp;E$1,
  desp.m.ik[mes], "&lt;"&amp;EOMONTH(E$1,0)+1
)</f>
        <v>0</v>
      </c>
      <c r="F232" s="183">
        <f ca="1">-SUMIFS(
  desp.m.ik[valor],
  desp.m.ik[nucleo], $B232,
  desp.m.ik[centro.negocio], $B$227,
  desp.m.ik[mes], "&gt;="&amp;F$1,
  desp.m.ik[mes], "&lt;"&amp;EOMONTH(F$1,0)+1
)</f>
        <v>0</v>
      </c>
      <c r="G232" s="183">
        <f ca="1">-SUMIFS(
  desp.m.ik[valor],
  desp.m.ik[nucleo], $B232,
  desp.m.ik[centro.negocio], $B$227,
  desp.m.ik[mes], "&gt;="&amp;G$1,
  desp.m.ik[mes], "&lt;"&amp;EOMONTH(G$1,0)+1
)</f>
        <v>0</v>
      </c>
      <c r="H232" s="292">
        <f ca="1">-SUMIFS(
  desp.m.ik[valor],
  desp.m.ik[nucleo], $B232,
  desp.m.ik[centro.negocio], $B$227,
  desp.m.ik[mes], "&gt;="&amp;H$1,
  desp.m.ik[mes], "&lt;"&amp;EOMONTH(H$1,0)+1
)-944552</f>
        <v>-944552</v>
      </c>
      <c r="I232" s="183">
        <f ca="1">-SUMIFS(
  desp.m.ik[valor],
  desp.m.ik[nucleo], $B232,
  desp.m.ik[centro.negocio], $B$227,
  desp.m.ik[mes], "&gt;="&amp;I$1,
  desp.m.ik[mes], "&lt;"&amp;EOMONTH(I$1,0)+1
)</f>
        <v>0</v>
      </c>
      <c r="J232" s="183">
        <f ca="1">-SUMIFS(
  desp.m.ik[valor],
  desp.m.ik[nucleo], $B232,
  desp.m.ik[centro.negocio], $B$227,
  desp.m.ik[mes], "&gt;="&amp;J$1,
  desp.m.ik[mes], "&lt;"&amp;EOMONTH(J$1,0)+1
)</f>
        <v>0</v>
      </c>
      <c r="K232" s="183">
        <f ca="1">-SUMIFS(
  desp.m.ik[valor],
  desp.m.ik[nucleo], $B232,
  desp.m.ik[centro.negocio], $B$227,
  desp.m.ik[mes], "&gt;="&amp;K$1,
  desp.m.ik[mes], "&lt;"&amp;EOMONTH(K$1,0)+1
)</f>
        <v>0</v>
      </c>
      <c r="L232" s="183">
        <f ca="1">-SUMIFS(
  desp.m.ik[valor],
  desp.m.ik[nucleo], $B232,
  desp.m.ik[centro.negocio], $B$227,
  desp.m.ik[mes], "&gt;="&amp;L$1,
  desp.m.ik[mes], "&lt;"&amp;EOMONTH(L$1,0)+1
)</f>
        <v>0</v>
      </c>
      <c r="M232" s="183">
        <f ca="1">-SUMIFS(
  desp.m.ik[valor],
  desp.m.ik[nucleo], $B232,
  desp.m.ik[centro.negocio], $B$227,
  desp.m.ik[mes], "&gt;="&amp;M$1,
  desp.m.ik[mes], "&lt;"&amp;EOMONTH(M$1,0)+1
)</f>
        <v>0</v>
      </c>
      <c r="N232" s="183">
        <f ca="1">-SUMIFS(
  desp.m.ik[valor],
  desp.m.ik[nucleo], $B232,
  desp.m.ik[centro.negocio], $B$227,
  desp.m.ik[mes], "&gt;="&amp;N$1,
  desp.m.ik[mes], "&lt;"&amp;EOMONTH(N$1,0)+1
)</f>
        <v>0</v>
      </c>
      <c r="O232" s="183">
        <f ca="1">-SUMIFS(
  desp.m.ik[valor],
  desp.m.ik[nucleo], $B232,
  desp.m.ik[centro.negocio], $B$227,
  desp.m.ik[mes], "&gt;="&amp;O$1,
  desp.m.ik[mes], "&lt;"&amp;EOMONTH(O$1,0)+1
)</f>
        <v>0</v>
      </c>
      <c r="P232" s="183">
        <f ca="1">-SUMIFS(
  desp.m.ik[valor],
  desp.m.ik[nucleo], $B232,
  desp.m.ik[centro.negocio], $B$227,
  desp.m.ik[mes], "&gt;="&amp;P$1,
  desp.m.ik[mes], "&lt;"&amp;EOMONTH(P$1,0)+1
)</f>
        <v>0</v>
      </c>
      <c r="Q232" s="183">
        <f ca="1">-SUMIFS(
  desp.m.ik[valor],
  desp.m.ik[nucleo], $B232,
  desp.m.ik[centro.negocio], $B$227,
  desp.m.ik[mes], "&gt;="&amp;Q$1,
  desp.m.ik[mes], "&lt;"&amp;EOMONTH(Q$1,0)+1
)</f>
        <v>0</v>
      </c>
      <c r="R232" s="183">
        <f ca="1">-SUMIFS(
  desp.m.ik[valor],
  desp.m.ik[nucleo], $B232,
  desp.m.ik[centro.negocio], $B$227,
  desp.m.ik[mes], "&gt;="&amp;R$1,
  desp.m.ik[mes], "&lt;"&amp;EOMONTH(R$1,0)+1
)</f>
        <v>0</v>
      </c>
      <c r="S232" s="183">
        <f ca="1">-SUMIFS(
  desp.m.ik[valor],
  desp.m.ik[nucleo], $B232,
  desp.m.ik[centro.negocio], $B$227,
  desp.m.ik[mes], "&gt;="&amp;S$1,
  desp.m.ik[mes], "&lt;"&amp;EOMONTH(S$1,0)+1
)</f>
        <v>0</v>
      </c>
      <c r="T232" s="183">
        <f ca="1">-SUMIFS(
  desp.m.ik[valor],
  desp.m.ik[nucleo], $B232,
  desp.m.ik[centro.negocio], $B$227,
  desp.m.ik[mes], "&gt;="&amp;T$1,
  desp.m.ik[mes], "&lt;"&amp;EOMONTH(T$1,0)+1
)</f>
        <v>0</v>
      </c>
      <c r="U232" s="183">
        <f ca="1">-SUMIFS(
  desp.m.ik[valor],
  desp.m.ik[nucleo], $B232,
  desp.m.ik[centro.negocio], $B$227,
  desp.m.ik[mes], "&gt;="&amp;U$1,
  desp.m.ik[mes], "&lt;"&amp;EOMONTH(U$1,0)+1
)</f>
        <v>0</v>
      </c>
      <c r="V232" s="183">
        <f ca="1">-SUMIFS(
  desp.m.ik[valor],
  desp.m.ik[nucleo], $B232,
  desp.m.ik[centro.negocio], $B$227,
  desp.m.ik[mes], "&gt;="&amp;V$1,
  desp.m.ik[mes], "&lt;"&amp;EOMONTH(V$1,0)+1
)</f>
        <v>0</v>
      </c>
      <c r="W232" s="183">
        <f ca="1">-SUMIFS(
  desp.m.ik[valor],
  desp.m.ik[nucleo], $B232,
  desp.m.ik[centro.negocio], $B$227,
  desp.m.ik[mes], "&gt;="&amp;W$1,
  desp.m.ik[mes], "&lt;"&amp;EOMONTH(W$1,0)+1
)</f>
        <v>0</v>
      </c>
      <c r="X232" s="183">
        <f ca="1">-SUMIFS(
  desp.m.ik[valor],
  desp.m.ik[nucleo], $B232,
  desp.m.ik[centro.negocio], $B$227,
  desp.m.ik[mes], "&gt;="&amp;X$1,
  desp.m.ik[mes], "&lt;"&amp;EOMONTH(X$1,0)+1
)</f>
        <v>0</v>
      </c>
      <c r="Y232" s="183">
        <f ca="1">-SUMIFS(
  desp.m.ik[valor],
  desp.m.ik[nucleo], $B232,
  desp.m.ik[centro.negocio], $B$227,
  desp.m.ik[mes], "&gt;="&amp;Y$1,
  desp.m.ik[mes], "&lt;"&amp;EOMONTH(Y$1,0)+1
)</f>
        <v>0</v>
      </c>
      <c r="Z232" s="183">
        <f ca="1">-SUMIFS(
  desp.m.ik[valor],
  desp.m.ik[nucleo], $B232,
  desp.m.ik[centro.negocio], $B$227,
  desp.m.ik[mes], "&gt;="&amp;Z$1,
  desp.m.ik[mes], "&lt;"&amp;EOMONTH(Z$1,0)+1
)</f>
        <v>0</v>
      </c>
      <c r="AA232" s="183">
        <f ca="1">-SUMIFS(
  desp.m.ik[valor],
  desp.m.ik[nucleo], $B232,
  desp.m.ik[centro.negocio], $B$227,
  desp.m.ik[mes], "&gt;="&amp;AA$1,
  desp.m.ik[mes], "&lt;"&amp;EOMONTH(AA$1,0)+1
)</f>
        <v>0</v>
      </c>
      <c r="AC232" s="175">
        <f ca="1">SUM($D232:INDEX($D232:$AA232,1,MATCH(DATE(YEAR(inputs!$A$1),MONTH(inputs!$A$1),1),$D$1:$AA$1,0)))</f>
        <v>-944552</v>
      </c>
      <c r="AE232" s="175">
        <f ca="1">SUM(D232:AA232)</f>
        <v>-944552</v>
      </c>
    </row>
    <row r="233" spans="1:31" outlineLevel="2" x14ac:dyDescent="0.25">
      <c r="A233" s="182" t="s">
        <v>645</v>
      </c>
      <c r="B233" s="182" t="s">
        <v>531</v>
      </c>
      <c r="C233" s="135" t="s">
        <v>514</v>
      </c>
      <c r="D233" s="183">
        <f ca="1">-SUMIFS(
  desp.m.ik[valor],
  desp.m.ik[nucleo], $B233,
  desp.m.ik[centro.negocio], $B$227,
  desp.m.ik[mes], "&gt;="&amp;D$1,
  desp.m.ik[mes], "&lt;"&amp;EOMONTH(D$1,0)+1
)</f>
        <v>0</v>
      </c>
      <c r="E233" s="183">
        <f ca="1">-SUMIFS(
  desp.m.ik[valor],
  desp.m.ik[nucleo], $B233,
  desp.m.ik[centro.negocio], $B$227,
  desp.m.ik[mes], "&gt;="&amp;E$1,
  desp.m.ik[mes], "&lt;"&amp;EOMONTH(E$1,0)+1
)</f>
        <v>0</v>
      </c>
      <c r="F233" s="183">
        <f ca="1">-SUMIFS(
  desp.m.ik[valor],
  desp.m.ik[nucleo], $B233,
  desp.m.ik[centro.negocio], $B$227,
  desp.m.ik[mes], "&gt;="&amp;F$1,
  desp.m.ik[mes], "&lt;"&amp;EOMONTH(F$1,0)+1
)</f>
        <v>0</v>
      </c>
      <c r="G233" s="183">
        <f ca="1">-SUMIFS(
  desp.m.ik[valor],
  desp.m.ik[nucleo], $B233,
  desp.m.ik[centro.negocio], $B$227,
  desp.m.ik[mes], "&gt;="&amp;G$1,
  desp.m.ik[mes], "&lt;"&amp;EOMONTH(G$1,0)+1
)</f>
        <v>0</v>
      </c>
      <c r="H233" s="183">
        <f ca="1">-SUMIFS(
  desp.m.ik[valor],
  desp.m.ik[nucleo], $B233,
  desp.m.ik[centro.negocio], $B$227,
  desp.m.ik[mes], "&gt;="&amp;H$1,
  desp.m.ik[mes], "&lt;"&amp;EOMONTH(H$1,0)+1
)</f>
        <v>0</v>
      </c>
      <c r="I233" s="183">
        <f ca="1">-SUMIFS(
  desp.m.ik[valor],
  desp.m.ik[nucleo], $B233,
  desp.m.ik[centro.negocio], $B$227,
  desp.m.ik[mes], "&gt;="&amp;I$1,
  desp.m.ik[mes], "&lt;"&amp;EOMONTH(I$1,0)+1
)</f>
        <v>0</v>
      </c>
      <c r="J233" s="183">
        <f ca="1">-SUMIFS(
  desp.m.ik[valor],
  desp.m.ik[nucleo], $B233,
  desp.m.ik[centro.negocio], $B$227,
  desp.m.ik[mes], "&gt;="&amp;J$1,
  desp.m.ik[mes], "&lt;"&amp;EOMONTH(J$1,0)+1
)</f>
        <v>0</v>
      </c>
      <c r="K233" s="183">
        <f ca="1">-SUMIFS(
  desp.m.ik[valor],
  desp.m.ik[nucleo], $B233,
  desp.m.ik[centro.negocio], $B$227,
  desp.m.ik[mes], "&gt;="&amp;K$1,
  desp.m.ik[mes], "&lt;"&amp;EOMONTH(K$1,0)+1
)</f>
        <v>0</v>
      </c>
      <c r="L233" s="183">
        <f ca="1">-SUMIFS(
  desp.m.ik[valor],
  desp.m.ik[nucleo], $B233,
  desp.m.ik[centro.negocio], $B$227,
  desp.m.ik[mes], "&gt;="&amp;L$1,
  desp.m.ik[mes], "&lt;"&amp;EOMONTH(L$1,0)+1
)</f>
        <v>0</v>
      </c>
      <c r="M233" s="183">
        <f ca="1">-SUMIFS(
  desp.m.ik[valor],
  desp.m.ik[nucleo], $B233,
  desp.m.ik[centro.negocio], $B$227,
  desp.m.ik[mes], "&gt;="&amp;M$1,
  desp.m.ik[mes], "&lt;"&amp;EOMONTH(M$1,0)+1
)</f>
        <v>0</v>
      </c>
      <c r="N233" s="183">
        <f ca="1">-SUMIFS(
  desp.m.ik[valor],
  desp.m.ik[nucleo], $B233,
  desp.m.ik[centro.negocio], $B$227,
  desp.m.ik[mes], "&gt;="&amp;N$1,
  desp.m.ik[mes], "&lt;"&amp;EOMONTH(N$1,0)+1
)</f>
        <v>0</v>
      </c>
      <c r="O233" s="183">
        <f ca="1">-SUMIFS(
  desp.m.ik[valor],
  desp.m.ik[nucleo], $B233,
  desp.m.ik[centro.negocio], $B$227,
  desp.m.ik[mes], "&gt;="&amp;O$1,
  desp.m.ik[mes], "&lt;"&amp;EOMONTH(O$1,0)+1
)</f>
        <v>0</v>
      </c>
      <c r="P233" s="183">
        <f ca="1">-SUMIFS(
  desp.m.ik[valor],
  desp.m.ik[nucleo], $B233,
  desp.m.ik[centro.negocio], $B$227,
  desp.m.ik[mes], "&gt;="&amp;P$1,
  desp.m.ik[mes], "&lt;"&amp;EOMONTH(P$1,0)+1
)</f>
        <v>0</v>
      </c>
      <c r="Q233" s="183">
        <f ca="1">-SUMIFS(
  desp.m.ik[valor],
  desp.m.ik[nucleo], $B233,
  desp.m.ik[centro.negocio], $B$227,
  desp.m.ik[mes], "&gt;="&amp;Q$1,
  desp.m.ik[mes], "&lt;"&amp;EOMONTH(Q$1,0)+1
)</f>
        <v>0</v>
      </c>
      <c r="R233" s="183">
        <f ca="1">-SUMIFS(
  desp.m.ik[valor],
  desp.m.ik[nucleo], $B233,
  desp.m.ik[centro.negocio], $B$227,
  desp.m.ik[mes], "&gt;="&amp;R$1,
  desp.m.ik[mes], "&lt;"&amp;EOMONTH(R$1,0)+1
)</f>
        <v>0</v>
      </c>
      <c r="S233" s="183">
        <f ca="1">-SUMIFS(
  desp.m.ik[valor],
  desp.m.ik[nucleo], $B233,
  desp.m.ik[centro.negocio], $B$227,
  desp.m.ik[mes], "&gt;="&amp;S$1,
  desp.m.ik[mes], "&lt;"&amp;EOMONTH(S$1,0)+1
)</f>
        <v>0</v>
      </c>
      <c r="T233" s="183">
        <f ca="1">-SUMIFS(
  desp.m.ik[valor],
  desp.m.ik[nucleo], $B233,
  desp.m.ik[centro.negocio], $B$227,
  desp.m.ik[mes], "&gt;="&amp;T$1,
  desp.m.ik[mes], "&lt;"&amp;EOMONTH(T$1,0)+1
)</f>
        <v>0</v>
      </c>
      <c r="U233" s="183">
        <f ca="1">-SUMIFS(
  desp.m.ik[valor],
  desp.m.ik[nucleo], $B233,
  desp.m.ik[centro.negocio], $B$227,
  desp.m.ik[mes], "&gt;="&amp;U$1,
  desp.m.ik[mes], "&lt;"&amp;EOMONTH(U$1,0)+1
)</f>
        <v>0</v>
      </c>
      <c r="V233" s="183">
        <f ca="1">-SUMIFS(
  desp.m.ik[valor],
  desp.m.ik[nucleo], $B233,
  desp.m.ik[centro.negocio], $B$227,
  desp.m.ik[mes], "&gt;="&amp;V$1,
  desp.m.ik[mes], "&lt;"&amp;EOMONTH(V$1,0)+1
)</f>
        <v>0</v>
      </c>
      <c r="W233" s="183">
        <f ca="1">-SUMIFS(
  desp.m.ik[valor],
  desp.m.ik[nucleo], $B233,
  desp.m.ik[centro.negocio], $B$227,
  desp.m.ik[mes], "&gt;="&amp;W$1,
  desp.m.ik[mes], "&lt;"&amp;EOMONTH(W$1,0)+1
)</f>
        <v>0</v>
      </c>
      <c r="X233" s="183">
        <f ca="1">-SUMIFS(
  desp.m.ik[valor],
  desp.m.ik[nucleo], $B233,
  desp.m.ik[centro.negocio], $B$227,
  desp.m.ik[mes], "&gt;="&amp;X$1,
  desp.m.ik[mes], "&lt;"&amp;EOMONTH(X$1,0)+1
)</f>
        <v>0</v>
      </c>
      <c r="Y233" s="183">
        <f ca="1">-SUMIFS(
  desp.m.ik[valor],
  desp.m.ik[nucleo], $B233,
  desp.m.ik[centro.negocio], $B$227,
  desp.m.ik[mes], "&gt;="&amp;Y$1,
  desp.m.ik[mes], "&lt;"&amp;EOMONTH(Y$1,0)+1
)</f>
        <v>0</v>
      </c>
      <c r="Z233" s="183">
        <f ca="1">-SUMIFS(
  desp.m.ik[valor],
  desp.m.ik[nucleo], $B233,
  desp.m.ik[centro.negocio], $B$227,
  desp.m.ik[mes], "&gt;="&amp;Z$1,
  desp.m.ik[mes], "&lt;"&amp;EOMONTH(Z$1,0)+1
)</f>
        <v>0</v>
      </c>
      <c r="AA233" s="183">
        <f ca="1">-SUMIFS(
  desp.m.ik[valor],
  desp.m.ik[nucleo], $B233,
  desp.m.ik[centro.negocio], $B$227,
  desp.m.ik[mes], "&gt;="&amp;AA$1,
  desp.m.ik[mes], "&lt;"&amp;EOMONTH(AA$1,0)+1
)</f>
        <v>0</v>
      </c>
      <c r="AC233" s="175">
        <f ca="1">SUM($D233:INDEX($D233:$AA233,1,MATCH(DATE(YEAR(inputs!$A$1),MONTH(inputs!$A$1),1),$D$1:$AA$1,0)))</f>
        <v>0</v>
      </c>
      <c r="AE233" s="175">
        <f t="shared" ca="1" si="40"/>
        <v>0</v>
      </c>
    </row>
    <row r="234" spans="1:31" outlineLevel="2" x14ac:dyDescent="0.25">
      <c r="A234" s="182" t="s">
        <v>654</v>
      </c>
      <c r="B234" s="182" t="s">
        <v>544</v>
      </c>
      <c r="C234" s="135" t="s">
        <v>514</v>
      </c>
      <c r="D234" s="183">
        <f ca="1">-SUMIFS(
  desp.m.ik[valor],
  desp.m.ik[nucleo], $B234,
  desp.m.ik[centro.negocio], $B$227,
  desp.m.ik[mes], "&gt;="&amp;D$1,
  desp.m.ik[mes], "&lt;"&amp;EOMONTH(D$1,0)+1
)</f>
        <v>0</v>
      </c>
      <c r="E234" s="183">
        <f ca="1">-SUMIFS(
  desp.m.ik[valor],
  desp.m.ik[nucleo], $B234,
  desp.m.ik[centro.negocio], $B$227,
  desp.m.ik[mes], "&gt;="&amp;E$1,
  desp.m.ik[mes], "&lt;"&amp;EOMONTH(E$1,0)+1
)</f>
        <v>0</v>
      </c>
      <c r="F234" s="183">
        <f ca="1">-SUMIFS(
  desp.m.ik[valor],
  desp.m.ik[nucleo], $B234,
  desp.m.ik[centro.negocio], $B$227,
  desp.m.ik[mes], "&gt;="&amp;F$1,
  desp.m.ik[mes], "&lt;"&amp;EOMONTH(F$1,0)+1
)</f>
        <v>0</v>
      </c>
      <c r="G234" s="292">
        <f ca="1">-SUMIFS(
  desp.m.ik[valor],
  desp.m.ik[nucleo], $B234,
  desp.m.ik[centro.negocio], $B$227,
  desp.m.ik[mes], "&gt;="&amp;G$1,
  desp.m.ik[mes], "&lt;"&amp;EOMONTH(G$1,0)+1
)-528000</f>
        <v>-528000</v>
      </c>
      <c r="H234" s="183">
        <f ca="1">-SUMIFS(
  desp.m.ik[valor],
  desp.m.ik[nucleo], $B234,
  desp.m.ik[centro.negocio], $B$227,
  desp.m.ik[mes], "&gt;="&amp;H$1,
  desp.m.ik[mes], "&lt;"&amp;EOMONTH(H$1,0)+1
)</f>
        <v>0</v>
      </c>
      <c r="I234" s="183">
        <f ca="1">-SUMIFS(
  desp.m.ik[valor],
  desp.m.ik[nucleo], $B234,
  desp.m.ik[centro.negocio], $B$227,
  desp.m.ik[mes], "&gt;="&amp;I$1,
  desp.m.ik[mes], "&lt;"&amp;EOMONTH(I$1,0)+1
)</f>
        <v>0</v>
      </c>
      <c r="J234" s="183">
        <f ca="1">-SUMIFS(
  desp.m.ik[valor],
  desp.m.ik[nucleo], $B234,
  desp.m.ik[centro.negocio], $B$227,
  desp.m.ik[mes], "&gt;="&amp;J$1,
  desp.m.ik[mes], "&lt;"&amp;EOMONTH(J$1,0)+1
)</f>
        <v>0</v>
      </c>
      <c r="K234" s="183">
        <f ca="1">-SUMIFS(
  desp.m.ik[valor],
  desp.m.ik[nucleo], $B234,
  desp.m.ik[centro.negocio], $B$227,
  desp.m.ik[mes], "&gt;="&amp;K$1,
  desp.m.ik[mes], "&lt;"&amp;EOMONTH(K$1,0)+1
)</f>
        <v>0</v>
      </c>
      <c r="L234" s="183">
        <f ca="1">-SUMIFS(
  desp.m.ik[valor],
  desp.m.ik[nucleo], $B234,
  desp.m.ik[centro.negocio], $B$227,
  desp.m.ik[mes], "&gt;="&amp;L$1,
  desp.m.ik[mes], "&lt;"&amp;EOMONTH(L$1,0)+1
)</f>
        <v>0</v>
      </c>
      <c r="M234" s="183">
        <f ca="1">-SUMIFS(
  desp.m.ik[valor],
  desp.m.ik[nucleo], $B234,
  desp.m.ik[centro.negocio], $B$227,
  desp.m.ik[mes], "&gt;="&amp;M$1,
  desp.m.ik[mes], "&lt;"&amp;EOMONTH(M$1,0)+1
)</f>
        <v>0</v>
      </c>
      <c r="N234" s="183">
        <f ca="1">-SUMIFS(
  desp.m.ik[valor],
  desp.m.ik[nucleo], $B234,
  desp.m.ik[centro.negocio], $B$227,
  desp.m.ik[mes], "&gt;="&amp;N$1,
  desp.m.ik[mes], "&lt;"&amp;EOMONTH(N$1,0)+1
)</f>
        <v>0</v>
      </c>
      <c r="O234" s="183">
        <f ca="1">-SUMIFS(
  desp.m.ik[valor],
  desp.m.ik[nucleo], $B234,
  desp.m.ik[centro.negocio], $B$227,
  desp.m.ik[mes], "&gt;="&amp;O$1,
  desp.m.ik[mes], "&lt;"&amp;EOMONTH(O$1,0)+1
)</f>
        <v>0</v>
      </c>
      <c r="P234" s="183">
        <f ca="1">-SUMIFS(
  desp.m.ik[valor],
  desp.m.ik[nucleo], $B234,
  desp.m.ik[centro.negocio], $B$227,
  desp.m.ik[mes], "&gt;="&amp;P$1,
  desp.m.ik[mes], "&lt;"&amp;EOMONTH(P$1,0)+1
)</f>
        <v>0</v>
      </c>
      <c r="Q234" s="183">
        <f ca="1">-SUMIFS(
  desp.m.ik[valor],
  desp.m.ik[nucleo], $B234,
  desp.m.ik[centro.negocio], $B$227,
  desp.m.ik[mes], "&gt;="&amp;Q$1,
  desp.m.ik[mes], "&lt;"&amp;EOMONTH(Q$1,0)+1
)</f>
        <v>0</v>
      </c>
      <c r="R234" s="183">
        <f ca="1">-SUMIFS(
  desp.m.ik[valor],
  desp.m.ik[nucleo], $B234,
  desp.m.ik[centro.negocio], $B$227,
  desp.m.ik[mes], "&gt;="&amp;R$1,
  desp.m.ik[mes], "&lt;"&amp;EOMONTH(R$1,0)+1
)</f>
        <v>0</v>
      </c>
      <c r="S234" s="183">
        <f ca="1">-SUMIFS(
  desp.m.ik[valor],
  desp.m.ik[nucleo], $B234,
  desp.m.ik[centro.negocio], $B$227,
  desp.m.ik[mes], "&gt;="&amp;S$1,
  desp.m.ik[mes], "&lt;"&amp;EOMONTH(S$1,0)+1
)</f>
        <v>0</v>
      </c>
      <c r="T234" s="183">
        <f ca="1">-SUMIFS(
  desp.m.ik[valor],
  desp.m.ik[nucleo], $B234,
  desp.m.ik[centro.negocio], $B$227,
  desp.m.ik[mes], "&gt;="&amp;T$1,
  desp.m.ik[mes], "&lt;"&amp;EOMONTH(T$1,0)+1
)</f>
        <v>0</v>
      </c>
      <c r="U234" s="183">
        <f ca="1">-SUMIFS(
  desp.m.ik[valor],
  desp.m.ik[nucleo], $B234,
  desp.m.ik[centro.negocio], $B$227,
  desp.m.ik[mes], "&gt;="&amp;U$1,
  desp.m.ik[mes], "&lt;"&amp;EOMONTH(U$1,0)+1
)</f>
        <v>0</v>
      </c>
      <c r="V234" s="183">
        <f ca="1">-SUMIFS(
  desp.m.ik[valor],
  desp.m.ik[nucleo], $B234,
  desp.m.ik[centro.negocio], $B$227,
  desp.m.ik[mes], "&gt;="&amp;V$1,
  desp.m.ik[mes], "&lt;"&amp;EOMONTH(V$1,0)+1
)</f>
        <v>0</v>
      </c>
      <c r="W234" s="183">
        <f ca="1">-SUMIFS(
  desp.m.ik[valor],
  desp.m.ik[nucleo], $B234,
  desp.m.ik[centro.negocio], $B$227,
  desp.m.ik[mes], "&gt;="&amp;W$1,
  desp.m.ik[mes], "&lt;"&amp;EOMONTH(W$1,0)+1
)</f>
        <v>0</v>
      </c>
      <c r="X234" s="183">
        <f ca="1">-SUMIFS(
  desp.m.ik[valor],
  desp.m.ik[nucleo], $B234,
  desp.m.ik[centro.negocio], $B$227,
  desp.m.ik[mes], "&gt;="&amp;X$1,
  desp.m.ik[mes], "&lt;"&amp;EOMONTH(X$1,0)+1
)</f>
        <v>0</v>
      </c>
      <c r="Y234" s="183">
        <f ca="1">-SUMIFS(
  desp.m.ik[valor],
  desp.m.ik[nucleo], $B234,
  desp.m.ik[centro.negocio], $B$227,
  desp.m.ik[mes], "&gt;="&amp;Y$1,
  desp.m.ik[mes], "&lt;"&amp;EOMONTH(Y$1,0)+1
)</f>
        <v>0</v>
      </c>
      <c r="Z234" s="183">
        <f ca="1">-SUMIFS(
  desp.m.ik[valor],
  desp.m.ik[nucleo], $B234,
  desp.m.ik[centro.negocio], $B$227,
  desp.m.ik[mes], "&gt;="&amp;Z$1,
  desp.m.ik[mes], "&lt;"&amp;EOMONTH(Z$1,0)+1
)</f>
        <v>0</v>
      </c>
      <c r="AA234" s="183">
        <f ca="1">-SUMIFS(
  desp.m.ik[valor],
  desp.m.ik[nucleo], $B234,
  desp.m.ik[centro.negocio], $B$227,
  desp.m.ik[mes], "&gt;="&amp;AA$1,
  desp.m.ik[mes], "&lt;"&amp;EOMONTH(AA$1,0)+1
)</f>
        <v>0</v>
      </c>
      <c r="AC234" s="175">
        <f ca="1">SUM($D234:INDEX($D234:$AA234,1,MATCH(DATE(YEAR(inputs!$A$1),MONTH(inputs!$A$1),1),$D$1:$AA$1,0)))</f>
        <v>-528000</v>
      </c>
      <c r="AE234" s="175">
        <f ca="1">SUM(D234:AA234)</f>
        <v>-528000</v>
      </c>
    </row>
    <row r="235" spans="1:31" outlineLevel="2" x14ac:dyDescent="0.25">
      <c r="A235" s="182" t="s">
        <v>648</v>
      </c>
      <c r="B235" s="182" t="s">
        <v>533</v>
      </c>
      <c r="C235" s="135" t="s">
        <v>514</v>
      </c>
      <c r="D235" s="183">
        <f ca="1">-SUMIFS(
  desp.m.ik[valor],
  desp.m.ik[nucleo], $B235,
  desp.m.ik[centro.negocio], $B$227,
  desp.m.ik[mes], "&gt;="&amp;D$1,
  desp.m.ik[mes], "&lt;"&amp;EOMONTH(D$1,0)+1
)</f>
        <v>0</v>
      </c>
      <c r="E235" s="183">
        <f ca="1">-SUMIFS(
  desp.m.ik[valor],
  desp.m.ik[nucleo], $B235,
  desp.m.ik[centro.negocio], $B$227,
  desp.m.ik[mes], "&gt;="&amp;E$1,
  desp.m.ik[mes], "&lt;"&amp;EOMONTH(E$1,0)+1
)</f>
        <v>0</v>
      </c>
      <c r="F235" s="183">
        <f ca="1">-SUMIFS(
  desp.m.ik[valor],
  desp.m.ik[nucleo], $B235,
  desp.m.ik[centro.negocio], $B$227,
  desp.m.ik[mes], "&gt;="&amp;F$1,
  desp.m.ik[mes], "&lt;"&amp;EOMONTH(F$1,0)+1
)</f>
        <v>0</v>
      </c>
      <c r="G235" s="183">
        <f ca="1">-SUMIFS(
  desp.m.ik[valor],
  desp.m.ik[nucleo], $B235,
  desp.m.ik[centro.negocio], $B$227,
  desp.m.ik[mes], "&gt;="&amp;G$1,
  desp.m.ik[mes], "&lt;"&amp;EOMONTH(G$1,0)+1
)</f>
        <v>0</v>
      </c>
      <c r="H235" s="183">
        <f ca="1">-SUMIFS(
  desp.m.ik[valor],
  desp.m.ik[nucleo], $B235,
  desp.m.ik[centro.negocio], $B$227,
  desp.m.ik[mes], "&gt;="&amp;H$1,
  desp.m.ik[mes], "&lt;"&amp;EOMONTH(H$1,0)+1
)</f>
        <v>0</v>
      </c>
      <c r="I235" s="183">
        <f ca="1">-SUMIFS(
  desp.m.ik[valor],
  desp.m.ik[nucleo], $B235,
  desp.m.ik[centro.negocio], $B$227,
  desp.m.ik[mes], "&gt;="&amp;I$1,
  desp.m.ik[mes], "&lt;"&amp;EOMONTH(I$1,0)+1
)</f>
        <v>0</v>
      </c>
      <c r="J235" s="183">
        <f ca="1">-SUMIFS(
  desp.m.ik[valor],
  desp.m.ik[nucleo], $B235,
  desp.m.ik[centro.negocio], $B$227,
  desp.m.ik[mes], "&gt;="&amp;J$1,
  desp.m.ik[mes], "&lt;"&amp;EOMONTH(J$1,0)+1
)</f>
        <v>0</v>
      </c>
      <c r="K235" s="183">
        <f ca="1">-SUMIFS(
  desp.m.ik[valor],
  desp.m.ik[nucleo], $B235,
  desp.m.ik[centro.negocio], $B$227,
  desp.m.ik[mes], "&gt;="&amp;K$1,
  desp.m.ik[mes], "&lt;"&amp;EOMONTH(K$1,0)+1
)</f>
        <v>0</v>
      </c>
      <c r="L235" s="183">
        <f ca="1">-SUMIFS(
  desp.m.ik[valor],
  desp.m.ik[nucleo], $B235,
  desp.m.ik[centro.negocio], $B$227,
  desp.m.ik[mes], "&gt;="&amp;L$1,
  desp.m.ik[mes], "&lt;"&amp;EOMONTH(L$1,0)+1
)</f>
        <v>0</v>
      </c>
      <c r="M235" s="183">
        <f ca="1">-SUMIFS(
  desp.m.ik[valor],
  desp.m.ik[nucleo], $B235,
  desp.m.ik[centro.negocio], $B$227,
  desp.m.ik[mes], "&gt;="&amp;M$1,
  desp.m.ik[mes], "&lt;"&amp;EOMONTH(M$1,0)+1
)</f>
        <v>0</v>
      </c>
      <c r="N235" s="183">
        <f ca="1">-SUMIFS(
  desp.m.ik[valor],
  desp.m.ik[nucleo], $B235,
  desp.m.ik[centro.negocio], $B$227,
  desp.m.ik[mes], "&gt;="&amp;N$1,
  desp.m.ik[mes], "&lt;"&amp;EOMONTH(N$1,0)+1
)</f>
        <v>0</v>
      </c>
      <c r="O235" s="183">
        <f ca="1">-SUMIFS(
  desp.m.ik[valor],
  desp.m.ik[nucleo], $B235,
  desp.m.ik[centro.negocio], $B$227,
  desp.m.ik[mes], "&gt;="&amp;O$1,
  desp.m.ik[mes], "&lt;"&amp;EOMONTH(O$1,0)+1
)</f>
        <v>0</v>
      </c>
      <c r="P235" s="183">
        <f ca="1">-SUMIFS(
  desp.m.ik[valor],
  desp.m.ik[nucleo], $B235,
  desp.m.ik[centro.negocio], $B$227,
  desp.m.ik[mes], "&gt;="&amp;P$1,
  desp.m.ik[mes], "&lt;"&amp;EOMONTH(P$1,0)+1
)</f>
        <v>0</v>
      </c>
      <c r="Q235" s="183">
        <f ca="1">-SUMIFS(
  desp.m.ik[valor],
  desp.m.ik[nucleo], $B235,
  desp.m.ik[centro.negocio], $B$227,
  desp.m.ik[mes], "&gt;="&amp;Q$1,
  desp.m.ik[mes], "&lt;"&amp;EOMONTH(Q$1,0)+1
)</f>
        <v>0</v>
      </c>
      <c r="R235" s="183">
        <f ca="1">-SUMIFS(
  desp.m.ik[valor],
  desp.m.ik[nucleo], $B235,
  desp.m.ik[centro.negocio], $B$227,
  desp.m.ik[mes], "&gt;="&amp;R$1,
  desp.m.ik[mes], "&lt;"&amp;EOMONTH(R$1,0)+1
)</f>
        <v>0</v>
      </c>
      <c r="S235" s="183">
        <f ca="1">-SUMIFS(
  desp.m.ik[valor],
  desp.m.ik[nucleo], $B235,
  desp.m.ik[centro.negocio], $B$227,
  desp.m.ik[mes], "&gt;="&amp;S$1,
  desp.m.ik[mes], "&lt;"&amp;EOMONTH(S$1,0)+1
)</f>
        <v>0</v>
      </c>
      <c r="T235" s="183">
        <f ca="1">-SUMIFS(
  desp.m.ik[valor],
  desp.m.ik[nucleo], $B235,
  desp.m.ik[centro.negocio], $B$227,
  desp.m.ik[mes], "&gt;="&amp;T$1,
  desp.m.ik[mes], "&lt;"&amp;EOMONTH(T$1,0)+1
)</f>
        <v>0</v>
      </c>
      <c r="U235" s="183">
        <f ca="1">-SUMIFS(
  desp.m.ik[valor],
  desp.m.ik[nucleo], $B235,
  desp.m.ik[centro.negocio], $B$227,
  desp.m.ik[mes], "&gt;="&amp;U$1,
  desp.m.ik[mes], "&lt;"&amp;EOMONTH(U$1,0)+1
)</f>
        <v>0</v>
      </c>
      <c r="V235" s="183">
        <f ca="1">-SUMIFS(
  desp.m.ik[valor],
  desp.m.ik[nucleo], $B235,
  desp.m.ik[centro.negocio], $B$227,
  desp.m.ik[mes], "&gt;="&amp;V$1,
  desp.m.ik[mes], "&lt;"&amp;EOMONTH(V$1,0)+1
)</f>
        <v>0</v>
      </c>
      <c r="W235" s="183">
        <f ca="1">-SUMIFS(
  desp.m.ik[valor],
  desp.m.ik[nucleo], $B235,
  desp.m.ik[centro.negocio], $B$227,
  desp.m.ik[mes], "&gt;="&amp;W$1,
  desp.m.ik[mes], "&lt;"&amp;EOMONTH(W$1,0)+1
)</f>
        <v>0</v>
      </c>
      <c r="X235" s="183">
        <f ca="1">-SUMIFS(
  desp.m.ik[valor],
  desp.m.ik[nucleo], $B235,
  desp.m.ik[centro.negocio], $B$227,
  desp.m.ik[mes], "&gt;="&amp;X$1,
  desp.m.ik[mes], "&lt;"&amp;EOMONTH(X$1,0)+1
)</f>
        <v>0</v>
      </c>
      <c r="Y235" s="183">
        <f ca="1">-SUMIFS(
  desp.m.ik[valor],
  desp.m.ik[nucleo], $B235,
  desp.m.ik[centro.negocio], $B$227,
  desp.m.ik[mes], "&gt;="&amp;Y$1,
  desp.m.ik[mes], "&lt;"&amp;EOMONTH(Y$1,0)+1
)</f>
        <v>0</v>
      </c>
      <c r="Z235" s="183">
        <f ca="1">-SUMIFS(
  desp.m.ik[valor],
  desp.m.ik[nucleo], $B235,
  desp.m.ik[centro.negocio], $B$227,
  desp.m.ik[mes], "&gt;="&amp;Z$1,
  desp.m.ik[mes], "&lt;"&amp;EOMONTH(Z$1,0)+1
)</f>
        <v>0</v>
      </c>
      <c r="AA235" s="183">
        <f ca="1">-SUMIFS(
  desp.m.ik[valor],
  desp.m.ik[nucleo], $B235,
  desp.m.ik[centro.negocio], $B$227,
  desp.m.ik[mes], "&gt;="&amp;AA$1,
  desp.m.ik[mes], "&lt;"&amp;EOMONTH(AA$1,0)+1
)</f>
        <v>0</v>
      </c>
      <c r="AC235" s="175">
        <f ca="1">SUM($D235:INDEX($D235:$AA235,1,MATCH(DATE(YEAR(inputs!$A$1),MONTH(inputs!$A$1),1),$D$1:$AA$1,0)))</f>
        <v>0</v>
      </c>
      <c r="AE235" s="175">
        <f t="shared" ca="1" si="40"/>
        <v>0</v>
      </c>
    </row>
    <row r="236" spans="1:31" outlineLevel="2" x14ac:dyDescent="0.25">
      <c r="A236" s="182" t="s">
        <v>649</v>
      </c>
      <c r="B236" s="182" t="s">
        <v>561</v>
      </c>
      <c r="C236" s="135" t="s">
        <v>514</v>
      </c>
      <c r="D236" s="183">
        <f ca="1">-SUMIFS(
  desp.m.ik[valor],
  desp.m.ik[nucleo], $B236,
  desp.m.ik[centro.negocio], $B$227,
  desp.m.ik[mes], "&gt;="&amp;D$1,
  desp.m.ik[mes], "&lt;"&amp;EOMONTH(D$1,0)+1
)</f>
        <v>0</v>
      </c>
      <c r="E236" s="183">
        <f ca="1">-SUMIFS(
  desp.m.ik[valor],
  desp.m.ik[nucleo], $B236,
  desp.m.ik[centro.negocio], $B$227,
  desp.m.ik[mes], "&gt;="&amp;E$1,
  desp.m.ik[mes], "&lt;"&amp;EOMONTH(E$1,0)+1
)</f>
        <v>0</v>
      </c>
      <c r="F236" s="183">
        <f ca="1">-SUMIFS(
  desp.m.ik[valor],
  desp.m.ik[nucleo], $B236,
  desp.m.ik[centro.negocio], $B$227,
  desp.m.ik[mes], "&gt;="&amp;F$1,
  desp.m.ik[mes], "&lt;"&amp;EOMONTH(F$1,0)+1
)</f>
        <v>0</v>
      </c>
      <c r="G236" s="183">
        <f ca="1">-SUMIFS(
  desp.m.ik[valor],
  desp.m.ik[nucleo], $B236,
  desp.m.ik[centro.negocio], $B$227,
  desp.m.ik[mes], "&gt;="&amp;G$1,
  desp.m.ik[mes], "&lt;"&amp;EOMONTH(G$1,0)+1
)</f>
        <v>0</v>
      </c>
      <c r="H236" s="183">
        <f ca="1">-SUMIFS(
  desp.m.ik[valor],
  desp.m.ik[nucleo], $B236,
  desp.m.ik[centro.negocio], $B$227,
  desp.m.ik[mes], "&gt;="&amp;H$1,
  desp.m.ik[mes], "&lt;"&amp;EOMONTH(H$1,0)+1
)</f>
        <v>0</v>
      </c>
      <c r="I236" s="183">
        <f ca="1">-SUMIFS(
  desp.m.ik[valor],
  desp.m.ik[nucleo], $B236,
  desp.m.ik[centro.negocio], $B$227,
  desp.m.ik[mes], "&gt;="&amp;I$1,
  desp.m.ik[mes], "&lt;"&amp;EOMONTH(I$1,0)+1
)</f>
        <v>0</v>
      </c>
      <c r="J236" s="183">
        <f ca="1">-SUMIFS(
  desp.m.ik[valor],
  desp.m.ik[nucleo], $B236,
  desp.m.ik[centro.negocio], $B$227,
  desp.m.ik[mes], "&gt;="&amp;J$1,
  desp.m.ik[mes], "&lt;"&amp;EOMONTH(J$1,0)+1
)</f>
        <v>0</v>
      </c>
      <c r="K236" s="183">
        <f ca="1">-SUMIFS(
  desp.m.ik[valor],
  desp.m.ik[nucleo], $B236,
  desp.m.ik[centro.negocio], $B$227,
  desp.m.ik[mes], "&gt;="&amp;K$1,
  desp.m.ik[mes], "&lt;"&amp;EOMONTH(K$1,0)+1
)</f>
        <v>0</v>
      </c>
      <c r="L236" s="183">
        <f ca="1">-SUMIFS(
  desp.m.ik[valor],
  desp.m.ik[nucleo], $B236,
  desp.m.ik[centro.negocio], $B$227,
  desp.m.ik[mes], "&gt;="&amp;L$1,
  desp.m.ik[mes], "&lt;"&amp;EOMONTH(L$1,0)+1
)</f>
        <v>0</v>
      </c>
      <c r="M236" s="183">
        <f ca="1">-SUMIFS(
  desp.m.ik[valor],
  desp.m.ik[nucleo], $B236,
  desp.m.ik[centro.negocio], $B$227,
  desp.m.ik[mes], "&gt;="&amp;M$1,
  desp.m.ik[mes], "&lt;"&amp;EOMONTH(M$1,0)+1
)</f>
        <v>0</v>
      </c>
      <c r="N236" s="183">
        <f ca="1">-SUMIFS(
  desp.m.ik[valor],
  desp.m.ik[nucleo], $B236,
  desp.m.ik[centro.negocio], $B$227,
  desp.m.ik[mes], "&gt;="&amp;N$1,
  desp.m.ik[mes], "&lt;"&amp;EOMONTH(N$1,0)+1
)</f>
        <v>0</v>
      </c>
      <c r="O236" s="183">
        <f ca="1">-SUMIFS(
  desp.m.ik[valor],
  desp.m.ik[nucleo], $B236,
  desp.m.ik[centro.negocio], $B$227,
  desp.m.ik[mes], "&gt;="&amp;O$1,
  desp.m.ik[mes], "&lt;"&amp;EOMONTH(O$1,0)+1
)</f>
        <v>0</v>
      </c>
      <c r="P236" s="183">
        <f ca="1">-SUMIFS(
  desp.m.ik[valor],
  desp.m.ik[nucleo], $B236,
  desp.m.ik[centro.negocio], $B$227,
  desp.m.ik[mes], "&gt;="&amp;P$1,
  desp.m.ik[mes], "&lt;"&amp;EOMONTH(P$1,0)+1
)</f>
        <v>0</v>
      </c>
      <c r="Q236" s="183">
        <f ca="1">-SUMIFS(
  desp.m.ik[valor],
  desp.m.ik[nucleo], $B236,
  desp.m.ik[centro.negocio], $B$227,
  desp.m.ik[mes], "&gt;="&amp;Q$1,
  desp.m.ik[mes], "&lt;"&amp;EOMONTH(Q$1,0)+1
)</f>
        <v>0</v>
      </c>
      <c r="R236" s="183">
        <f ca="1">-SUMIFS(
  desp.m.ik[valor],
  desp.m.ik[nucleo], $B236,
  desp.m.ik[centro.negocio], $B$227,
  desp.m.ik[mes], "&gt;="&amp;R$1,
  desp.m.ik[mes], "&lt;"&amp;EOMONTH(R$1,0)+1
)</f>
        <v>0</v>
      </c>
      <c r="S236" s="183">
        <f ca="1">-SUMIFS(
  desp.m.ik[valor],
  desp.m.ik[nucleo], $B236,
  desp.m.ik[centro.negocio], $B$227,
  desp.m.ik[mes], "&gt;="&amp;S$1,
  desp.m.ik[mes], "&lt;"&amp;EOMONTH(S$1,0)+1
)</f>
        <v>0</v>
      </c>
      <c r="T236" s="183">
        <f ca="1">-SUMIFS(
  desp.m.ik[valor],
  desp.m.ik[nucleo], $B236,
  desp.m.ik[centro.negocio], $B$227,
  desp.m.ik[mes], "&gt;="&amp;T$1,
  desp.m.ik[mes], "&lt;"&amp;EOMONTH(T$1,0)+1
)</f>
        <v>0</v>
      </c>
      <c r="U236" s="183">
        <f ca="1">-SUMIFS(
  desp.m.ik[valor],
  desp.m.ik[nucleo], $B236,
  desp.m.ik[centro.negocio], $B$227,
  desp.m.ik[mes], "&gt;="&amp;U$1,
  desp.m.ik[mes], "&lt;"&amp;EOMONTH(U$1,0)+1
)</f>
        <v>0</v>
      </c>
      <c r="V236" s="183">
        <f ca="1">-SUMIFS(
  desp.m.ik[valor],
  desp.m.ik[nucleo], $B236,
  desp.m.ik[centro.negocio], $B$227,
  desp.m.ik[mes], "&gt;="&amp;V$1,
  desp.m.ik[mes], "&lt;"&amp;EOMONTH(V$1,0)+1
)</f>
        <v>0</v>
      </c>
      <c r="W236" s="183">
        <f ca="1">-SUMIFS(
  desp.m.ik[valor],
  desp.m.ik[nucleo], $B236,
  desp.m.ik[centro.negocio], $B$227,
  desp.m.ik[mes], "&gt;="&amp;W$1,
  desp.m.ik[mes], "&lt;"&amp;EOMONTH(W$1,0)+1
)</f>
        <v>0</v>
      </c>
      <c r="X236" s="183">
        <f ca="1">-SUMIFS(
  desp.m.ik[valor],
  desp.m.ik[nucleo], $B236,
  desp.m.ik[centro.negocio], $B$227,
  desp.m.ik[mes], "&gt;="&amp;X$1,
  desp.m.ik[mes], "&lt;"&amp;EOMONTH(X$1,0)+1
)</f>
        <v>0</v>
      </c>
      <c r="Y236" s="183">
        <f ca="1">-SUMIFS(
  desp.m.ik[valor],
  desp.m.ik[nucleo], $B236,
  desp.m.ik[centro.negocio], $B$227,
  desp.m.ik[mes], "&gt;="&amp;Y$1,
  desp.m.ik[mes], "&lt;"&amp;EOMONTH(Y$1,0)+1
)</f>
        <v>0</v>
      </c>
      <c r="Z236" s="183">
        <f ca="1">-SUMIFS(
  desp.m.ik[valor],
  desp.m.ik[nucleo], $B236,
  desp.m.ik[centro.negocio], $B$227,
  desp.m.ik[mes], "&gt;="&amp;Z$1,
  desp.m.ik[mes], "&lt;"&amp;EOMONTH(Z$1,0)+1
)</f>
        <v>0</v>
      </c>
      <c r="AA236" s="183">
        <f ca="1">-SUMIFS(
  desp.m.ik[valor],
  desp.m.ik[nucleo], $B236,
  desp.m.ik[centro.negocio], $B$227,
  desp.m.ik[mes], "&gt;="&amp;AA$1,
  desp.m.ik[mes], "&lt;"&amp;EOMONTH(AA$1,0)+1
)</f>
        <v>0</v>
      </c>
      <c r="AC236" s="175">
        <f ca="1">SUM($D236:INDEX($D236:$AA236,1,MATCH(DATE(YEAR(inputs!$A$1),MONTH(inputs!$A$1),1),$D$1:$AA$1,0)))</f>
        <v>0</v>
      </c>
      <c r="AE236" s="175">
        <f t="shared" ca="1" si="40"/>
        <v>0</v>
      </c>
    </row>
    <row r="237" spans="1:31" outlineLevel="2" x14ac:dyDescent="0.25">
      <c r="A237" s="182" t="s">
        <v>650</v>
      </c>
      <c r="B237" s="182" t="s">
        <v>537</v>
      </c>
      <c r="C237" s="135" t="s">
        <v>514</v>
      </c>
      <c r="D237" s="183">
        <f ca="1">-SUMIFS(
  desp.m.ik[valor],
  desp.m.ik[nucleo], $B237,
  desp.m.ik[centro.negocio], $B$227,
  desp.m.ik[mes], "&gt;="&amp;D$1,
  desp.m.ik[mes], "&lt;"&amp;EOMONTH(D$1,0)+1
)</f>
        <v>0</v>
      </c>
      <c r="E237" s="183">
        <f ca="1">-SUMIFS(
  desp.m.ik[valor],
  desp.m.ik[nucleo], $B237,
  desp.m.ik[centro.negocio], $B$227,
  desp.m.ik[mes], "&gt;="&amp;E$1,
  desp.m.ik[mes], "&lt;"&amp;EOMONTH(E$1,0)+1
)</f>
        <v>0</v>
      </c>
      <c r="F237" s="183">
        <f ca="1">-SUMIFS(
  desp.m.ik[valor],
  desp.m.ik[nucleo], $B237,
  desp.m.ik[centro.negocio], $B$227,
  desp.m.ik[mes], "&gt;="&amp;F$1,
  desp.m.ik[mes], "&lt;"&amp;EOMONTH(F$1,0)+1
)</f>
        <v>0</v>
      </c>
      <c r="G237" s="183">
        <f ca="1">-SUMIFS(
  desp.m.ik[valor],
  desp.m.ik[nucleo], $B237,
  desp.m.ik[centro.negocio], $B$227,
  desp.m.ik[mes], "&gt;="&amp;G$1,
  desp.m.ik[mes], "&lt;"&amp;EOMONTH(G$1,0)+1
)</f>
        <v>0</v>
      </c>
      <c r="H237" s="183">
        <f ca="1">-SUMIFS(
  desp.m.ik[valor],
  desp.m.ik[nucleo], $B237,
  desp.m.ik[centro.negocio], $B$227,
  desp.m.ik[mes], "&gt;="&amp;H$1,
  desp.m.ik[mes], "&lt;"&amp;EOMONTH(H$1,0)+1
)</f>
        <v>0</v>
      </c>
      <c r="I237" s="183">
        <f ca="1">-SUMIFS(
  desp.m.ik[valor],
  desp.m.ik[nucleo], $B237,
  desp.m.ik[centro.negocio], $B$227,
  desp.m.ik[mes], "&gt;="&amp;I$1,
  desp.m.ik[mes], "&lt;"&amp;EOMONTH(I$1,0)+1
)</f>
        <v>0</v>
      </c>
      <c r="J237" s="183">
        <f ca="1">-SUMIFS(
  desp.m.ik[valor],
  desp.m.ik[nucleo], $B237,
  desp.m.ik[centro.negocio], $B$227,
  desp.m.ik[mes], "&gt;="&amp;J$1,
  desp.m.ik[mes], "&lt;"&amp;EOMONTH(J$1,0)+1
)</f>
        <v>0</v>
      </c>
      <c r="K237" s="183">
        <f ca="1">-SUMIFS(
  desp.m.ik[valor],
  desp.m.ik[nucleo], $B237,
  desp.m.ik[centro.negocio], $B$227,
  desp.m.ik[mes], "&gt;="&amp;K$1,
  desp.m.ik[mes], "&lt;"&amp;EOMONTH(K$1,0)+1
)</f>
        <v>0</v>
      </c>
      <c r="L237" s="183">
        <f ca="1">-SUMIFS(
  desp.m.ik[valor],
  desp.m.ik[nucleo], $B237,
  desp.m.ik[centro.negocio], $B$227,
  desp.m.ik[mes], "&gt;="&amp;L$1,
  desp.m.ik[mes], "&lt;"&amp;EOMONTH(L$1,0)+1
)</f>
        <v>0</v>
      </c>
      <c r="M237" s="183">
        <f ca="1">-SUMIFS(
  desp.m.ik[valor],
  desp.m.ik[nucleo], $B237,
  desp.m.ik[centro.negocio], $B$227,
  desp.m.ik[mes], "&gt;="&amp;M$1,
  desp.m.ik[mes], "&lt;"&amp;EOMONTH(M$1,0)+1
)</f>
        <v>0</v>
      </c>
      <c r="N237" s="183">
        <f ca="1">-SUMIFS(
  desp.m.ik[valor],
  desp.m.ik[nucleo], $B237,
  desp.m.ik[centro.negocio], $B$227,
  desp.m.ik[mes], "&gt;="&amp;N$1,
  desp.m.ik[mes], "&lt;"&amp;EOMONTH(N$1,0)+1
)</f>
        <v>0</v>
      </c>
      <c r="O237" s="183">
        <f ca="1">-SUMIFS(
  desp.m.ik[valor],
  desp.m.ik[nucleo], $B237,
  desp.m.ik[centro.negocio], $B$227,
  desp.m.ik[mes], "&gt;="&amp;O$1,
  desp.m.ik[mes], "&lt;"&amp;EOMONTH(O$1,0)+1
)</f>
        <v>0</v>
      </c>
      <c r="P237" s="183">
        <f ca="1">-SUMIFS(
  desp.m.ik[valor],
  desp.m.ik[nucleo], $B237,
  desp.m.ik[centro.negocio], $B$227,
  desp.m.ik[mes], "&gt;="&amp;P$1,
  desp.m.ik[mes], "&lt;"&amp;EOMONTH(P$1,0)+1
)</f>
        <v>0</v>
      </c>
      <c r="Q237" s="183">
        <f ca="1">-SUMIFS(
  desp.m.ik[valor],
  desp.m.ik[nucleo], $B237,
  desp.m.ik[centro.negocio], $B$227,
  desp.m.ik[mes], "&gt;="&amp;Q$1,
  desp.m.ik[mes], "&lt;"&amp;EOMONTH(Q$1,0)+1
)</f>
        <v>0</v>
      </c>
      <c r="R237" s="183">
        <f ca="1">-SUMIFS(
  desp.m.ik[valor],
  desp.m.ik[nucleo], $B237,
  desp.m.ik[centro.negocio], $B$227,
  desp.m.ik[mes], "&gt;="&amp;R$1,
  desp.m.ik[mes], "&lt;"&amp;EOMONTH(R$1,0)+1
)</f>
        <v>0</v>
      </c>
      <c r="S237" s="183">
        <f ca="1">-SUMIFS(
  desp.m.ik[valor],
  desp.m.ik[nucleo], $B237,
  desp.m.ik[centro.negocio], $B$227,
  desp.m.ik[mes], "&gt;="&amp;S$1,
  desp.m.ik[mes], "&lt;"&amp;EOMONTH(S$1,0)+1
)</f>
        <v>0</v>
      </c>
      <c r="T237" s="183">
        <f ca="1">-SUMIFS(
  desp.m.ik[valor],
  desp.m.ik[nucleo], $B237,
  desp.m.ik[centro.negocio], $B$227,
  desp.m.ik[mes], "&gt;="&amp;T$1,
  desp.m.ik[mes], "&lt;"&amp;EOMONTH(T$1,0)+1
)</f>
        <v>0</v>
      </c>
      <c r="U237" s="183">
        <f ca="1">-SUMIFS(
  desp.m.ik[valor],
  desp.m.ik[nucleo], $B237,
  desp.m.ik[centro.negocio], $B$227,
  desp.m.ik[mes], "&gt;="&amp;U$1,
  desp.m.ik[mes], "&lt;"&amp;EOMONTH(U$1,0)+1
)</f>
        <v>0</v>
      </c>
      <c r="V237" s="183">
        <f ca="1">-SUMIFS(
  desp.m.ik[valor],
  desp.m.ik[nucleo], $B237,
  desp.m.ik[centro.negocio], $B$227,
  desp.m.ik[mes], "&gt;="&amp;V$1,
  desp.m.ik[mes], "&lt;"&amp;EOMONTH(V$1,0)+1
)</f>
        <v>0</v>
      </c>
      <c r="W237" s="183">
        <f ca="1">-SUMIFS(
  desp.m.ik[valor],
  desp.m.ik[nucleo], $B237,
  desp.m.ik[centro.negocio], $B$227,
  desp.m.ik[mes], "&gt;="&amp;W$1,
  desp.m.ik[mes], "&lt;"&amp;EOMONTH(W$1,0)+1
)</f>
        <v>0</v>
      </c>
      <c r="X237" s="183">
        <f ca="1">-SUMIFS(
  desp.m.ik[valor],
  desp.m.ik[nucleo], $B237,
  desp.m.ik[centro.negocio], $B$227,
  desp.m.ik[mes], "&gt;="&amp;X$1,
  desp.m.ik[mes], "&lt;"&amp;EOMONTH(X$1,0)+1
)</f>
        <v>0</v>
      </c>
      <c r="Y237" s="183">
        <f ca="1">-SUMIFS(
  desp.m.ik[valor],
  desp.m.ik[nucleo], $B237,
  desp.m.ik[centro.negocio], $B$227,
  desp.m.ik[mes], "&gt;="&amp;Y$1,
  desp.m.ik[mes], "&lt;"&amp;EOMONTH(Y$1,0)+1
)</f>
        <v>0</v>
      </c>
      <c r="Z237" s="183">
        <f ca="1">-SUMIFS(
  desp.m.ik[valor],
  desp.m.ik[nucleo], $B237,
  desp.m.ik[centro.negocio], $B$227,
  desp.m.ik[mes], "&gt;="&amp;Z$1,
  desp.m.ik[mes], "&lt;"&amp;EOMONTH(Z$1,0)+1
)</f>
        <v>0</v>
      </c>
      <c r="AA237" s="183">
        <f ca="1">-SUMIFS(
  desp.m.ik[valor],
  desp.m.ik[nucleo], $B237,
  desp.m.ik[centro.negocio], $B$227,
  desp.m.ik[mes], "&gt;="&amp;AA$1,
  desp.m.ik[mes], "&lt;"&amp;EOMONTH(AA$1,0)+1
)</f>
        <v>0</v>
      </c>
      <c r="AC237" s="175">
        <f ca="1">SUM($D237:INDEX($D237:$AA237,1,MATCH(DATE(YEAR(inputs!$A$1),MONTH(inputs!$A$1),1),$D$1:$AA$1,0)))</f>
        <v>0</v>
      </c>
      <c r="AE237" s="175">
        <f ca="1">SUM(D237:AA237)</f>
        <v>0</v>
      </c>
    </row>
    <row r="238" spans="1:31" outlineLevel="2" x14ac:dyDescent="0.25">
      <c r="A238" s="182" t="s">
        <v>651</v>
      </c>
      <c r="B238" s="182" t="s">
        <v>575</v>
      </c>
      <c r="C238" s="135" t="s">
        <v>514</v>
      </c>
      <c r="D238" s="183">
        <f ca="1">-SUMIFS(
  desp.m.ik[valor],
  desp.m.ik[nucleo], $B238,
  desp.m.ik[centro.negocio], $B$227,
  desp.m.ik[mes], "&gt;="&amp;D$1,
  desp.m.ik[mes], "&lt;"&amp;EOMONTH(D$1,0)+1
)</f>
        <v>0</v>
      </c>
      <c r="E238" s="183">
        <f ca="1">-SUMIFS(
  desp.m.ik[valor],
  desp.m.ik[nucleo], $B238,
  desp.m.ik[centro.negocio], $B$227,
  desp.m.ik[mes], "&gt;="&amp;E$1,
  desp.m.ik[mes], "&lt;"&amp;EOMONTH(E$1,0)+1
)</f>
        <v>0</v>
      </c>
      <c r="F238" s="183">
        <f ca="1">-SUMIFS(
  desp.m.ik[valor],
  desp.m.ik[nucleo], $B238,
  desp.m.ik[centro.negocio], $B$227,
  desp.m.ik[mes], "&gt;="&amp;F$1,
  desp.m.ik[mes], "&lt;"&amp;EOMONTH(F$1,0)+1
)</f>
        <v>0</v>
      </c>
      <c r="G238" s="183">
        <f ca="1">-SUMIFS(
  desp.m.ik[valor],
  desp.m.ik[nucleo], $B238,
  desp.m.ik[centro.negocio], $B$227,
  desp.m.ik[mes], "&gt;="&amp;G$1,
  desp.m.ik[mes], "&lt;"&amp;EOMONTH(G$1,0)+1
)</f>
        <v>0</v>
      </c>
      <c r="H238" s="183">
        <f ca="1">-SUMIFS(
  desp.m.ik[valor],
  desp.m.ik[nucleo], $B238,
  desp.m.ik[centro.negocio], $B$227,
  desp.m.ik[mes], "&gt;="&amp;H$1,
  desp.m.ik[mes], "&lt;"&amp;EOMONTH(H$1,0)+1
)</f>
        <v>0</v>
      </c>
      <c r="I238" s="183">
        <f ca="1">-SUMIFS(
  desp.m.ik[valor],
  desp.m.ik[nucleo], $B238,
  desp.m.ik[centro.negocio], $B$227,
  desp.m.ik[mes], "&gt;="&amp;I$1,
  desp.m.ik[mes], "&lt;"&amp;EOMONTH(I$1,0)+1
)</f>
        <v>0</v>
      </c>
      <c r="J238" s="183">
        <f ca="1">-SUMIFS(
  desp.m.ik[valor],
  desp.m.ik[nucleo], $B238,
  desp.m.ik[centro.negocio], $B$227,
  desp.m.ik[mes], "&gt;="&amp;J$1,
  desp.m.ik[mes], "&lt;"&amp;EOMONTH(J$1,0)+1
)</f>
        <v>0</v>
      </c>
      <c r="K238" s="183">
        <f ca="1">-SUMIFS(
  desp.m.ik[valor],
  desp.m.ik[nucleo], $B238,
  desp.m.ik[centro.negocio], $B$227,
  desp.m.ik[mes], "&gt;="&amp;K$1,
  desp.m.ik[mes], "&lt;"&amp;EOMONTH(K$1,0)+1
)</f>
        <v>0</v>
      </c>
      <c r="L238" s="183">
        <f ca="1">-SUMIFS(
  desp.m.ik[valor],
  desp.m.ik[nucleo], $B238,
  desp.m.ik[centro.negocio], $B$227,
  desp.m.ik[mes], "&gt;="&amp;L$1,
  desp.m.ik[mes], "&lt;"&amp;EOMONTH(L$1,0)+1
)</f>
        <v>0</v>
      </c>
      <c r="M238" s="183">
        <f ca="1">-SUMIFS(
  desp.m.ik[valor],
  desp.m.ik[nucleo], $B238,
  desp.m.ik[centro.negocio], $B$227,
  desp.m.ik[mes], "&gt;="&amp;M$1,
  desp.m.ik[mes], "&lt;"&amp;EOMONTH(M$1,0)+1
)</f>
        <v>0</v>
      </c>
      <c r="N238" s="183">
        <f ca="1">-SUMIFS(
  desp.m.ik[valor],
  desp.m.ik[nucleo], $B238,
  desp.m.ik[centro.negocio], $B$227,
  desp.m.ik[mes], "&gt;="&amp;N$1,
  desp.m.ik[mes], "&lt;"&amp;EOMONTH(N$1,0)+1
)</f>
        <v>0</v>
      </c>
      <c r="O238" s="183">
        <f ca="1">-SUMIFS(
  desp.m.ik[valor],
  desp.m.ik[nucleo], $B238,
  desp.m.ik[centro.negocio], $B$227,
  desp.m.ik[mes], "&gt;="&amp;O$1,
  desp.m.ik[mes], "&lt;"&amp;EOMONTH(O$1,0)+1
)</f>
        <v>0</v>
      </c>
      <c r="P238" s="183">
        <f ca="1">-SUMIFS(
  desp.m.ik[valor],
  desp.m.ik[nucleo], $B238,
  desp.m.ik[centro.negocio], $B$227,
  desp.m.ik[mes], "&gt;="&amp;P$1,
  desp.m.ik[mes], "&lt;"&amp;EOMONTH(P$1,0)+1
)</f>
        <v>0</v>
      </c>
      <c r="Q238" s="183">
        <f ca="1">-SUMIFS(
  desp.m.ik[valor],
  desp.m.ik[nucleo], $B238,
  desp.m.ik[centro.negocio], $B$227,
  desp.m.ik[mes], "&gt;="&amp;Q$1,
  desp.m.ik[mes], "&lt;"&amp;EOMONTH(Q$1,0)+1
)</f>
        <v>0</v>
      </c>
      <c r="R238" s="183">
        <f ca="1">-SUMIFS(
  desp.m.ik[valor],
  desp.m.ik[nucleo], $B238,
  desp.m.ik[centro.negocio], $B$227,
  desp.m.ik[mes], "&gt;="&amp;R$1,
  desp.m.ik[mes], "&lt;"&amp;EOMONTH(R$1,0)+1
)</f>
        <v>0</v>
      </c>
      <c r="S238" s="183">
        <f ca="1">-SUMIFS(
  desp.m.ik[valor],
  desp.m.ik[nucleo], $B238,
  desp.m.ik[centro.negocio], $B$227,
  desp.m.ik[mes], "&gt;="&amp;S$1,
  desp.m.ik[mes], "&lt;"&amp;EOMONTH(S$1,0)+1
)</f>
        <v>0</v>
      </c>
      <c r="T238" s="183">
        <f ca="1">-SUMIFS(
  desp.m.ik[valor],
  desp.m.ik[nucleo], $B238,
  desp.m.ik[centro.negocio], $B$227,
  desp.m.ik[mes], "&gt;="&amp;T$1,
  desp.m.ik[mes], "&lt;"&amp;EOMONTH(T$1,0)+1
)</f>
        <v>0</v>
      </c>
      <c r="U238" s="183">
        <f ca="1">-SUMIFS(
  desp.m.ik[valor],
  desp.m.ik[nucleo], $B238,
  desp.m.ik[centro.negocio], $B$227,
  desp.m.ik[mes], "&gt;="&amp;U$1,
  desp.m.ik[mes], "&lt;"&amp;EOMONTH(U$1,0)+1
)</f>
        <v>0</v>
      </c>
      <c r="V238" s="183">
        <f ca="1">-SUMIFS(
  desp.m.ik[valor],
  desp.m.ik[nucleo], $B238,
  desp.m.ik[centro.negocio], $B$227,
  desp.m.ik[mes], "&gt;="&amp;V$1,
  desp.m.ik[mes], "&lt;"&amp;EOMONTH(V$1,0)+1
)</f>
        <v>0</v>
      </c>
      <c r="W238" s="183">
        <f ca="1">-SUMIFS(
  desp.m.ik[valor],
  desp.m.ik[nucleo], $B238,
  desp.m.ik[centro.negocio], $B$227,
  desp.m.ik[mes], "&gt;="&amp;W$1,
  desp.m.ik[mes], "&lt;"&amp;EOMONTH(W$1,0)+1
)</f>
        <v>0</v>
      </c>
      <c r="X238" s="183">
        <f ca="1">-SUMIFS(
  desp.m.ik[valor],
  desp.m.ik[nucleo], $B238,
  desp.m.ik[centro.negocio], $B$227,
  desp.m.ik[mes], "&gt;="&amp;X$1,
  desp.m.ik[mes], "&lt;"&amp;EOMONTH(X$1,0)+1
)</f>
        <v>0</v>
      </c>
      <c r="Y238" s="183">
        <f ca="1">-SUMIFS(
  desp.m.ik[valor],
  desp.m.ik[nucleo], $B238,
  desp.m.ik[centro.negocio], $B$227,
  desp.m.ik[mes], "&gt;="&amp;Y$1,
  desp.m.ik[mes], "&lt;"&amp;EOMONTH(Y$1,0)+1
)</f>
        <v>0</v>
      </c>
      <c r="Z238" s="183">
        <f ca="1">-SUMIFS(
  desp.m.ik[valor],
  desp.m.ik[nucleo], $B238,
  desp.m.ik[centro.negocio], $B$227,
  desp.m.ik[mes], "&gt;="&amp;Z$1,
  desp.m.ik[mes], "&lt;"&amp;EOMONTH(Z$1,0)+1
)</f>
        <v>0</v>
      </c>
      <c r="AA238" s="183">
        <f ca="1">-SUMIFS(
  desp.m.ik[valor],
  desp.m.ik[nucleo], $B238,
  desp.m.ik[centro.negocio], $B$227,
  desp.m.ik[mes], "&gt;="&amp;AA$1,
  desp.m.ik[mes], "&lt;"&amp;EOMONTH(AA$1,0)+1
)</f>
        <v>0</v>
      </c>
      <c r="AC238" s="175">
        <f ca="1">SUM($D238:INDEX($D238:$AA238,1,MATCH(DATE(YEAR(inputs!$A$1),MONTH(inputs!$A$1),1),$D$1:$AA$1,0)))</f>
        <v>0</v>
      </c>
      <c r="AE238" s="175">
        <f t="shared" ca="1" si="40"/>
        <v>0</v>
      </c>
    </row>
    <row r="239" spans="1:31" outlineLevel="2" x14ac:dyDescent="0.25">
      <c r="A239" s="182" t="s">
        <v>652</v>
      </c>
      <c r="B239" s="182" t="s">
        <v>653</v>
      </c>
      <c r="C239" s="135" t="s">
        <v>514</v>
      </c>
      <c r="D239" s="183">
        <f ca="1">-SUMIFS(
  desp.m.ik[valor],
  desp.m.ik[nucleo], $B239,
  desp.m.ik[centro.negocio], $B$227,
  desp.m.ik[mes], "&gt;="&amp;D$1,
  desp.m.ik[mes], "&lt;"&amp;EOMONTH(D$1,0)+1
)</f>
        <v>0</v>
      </c>
      <c r="E239" s="183">
        <f ca="1">-SUMIFS(
  desp.m.ik[valor],
  desp.m.ik[nucleo], $B239,
  desp.m.ik[centro.negocio], $B$227,
  desp.m.ik[mes], "&gt;="&amp;E$1,
  desp.m.ik[mes], "&lt;"&amp;EOMONTH(E$1,0)+1
)</f>
        <v>0</v>
      </c>
      <c r="F239" s="183">
        <f ca="1">-SUMIFS(
  desp.m.ik[valor],
  desp.m.ik[nucleo], $B239,
  desp.m.ik[centro.negocio], $B$227,
  desp.m.ik[mes], "&gt;="&amp;F$1,
  desp.m.ik[mes], "&lt;"&amp;EOMONTH(F$1,0)+1
)</f>
        <v>0</v>
      </c>
      <c r="G239" s="183">
        <f ca="1">-SUMIFS(
  desp.m.ik[valor],
  desp.m.ik[nucleo], $B239,
  desp.m.ik[centro.negocio], $B$227,
  desp.m.ik[mes], "&gt;="&amp;G$1,
  desp.m.ik[mes], "&lt;"&amp;EOMONTH(G$1,0)+1
)</f>
        <v>0</v>
      </c>
      <c r="H239" s="183">
        <f ca="1">-SUMIFS(
  desp.m.ik[valor],
  desp.m.ik[nucleo], $B239,
  desp.m.ik[centro.negocio], $B$227,
  desp.m.ik[mes], "&gt;="&amp;H$1,
  desp.m.ik[mes], "&lt;"&amp;EOMONTH(H$1,0)+1
)</f>
        <v>0</v>
      </c>
      <c r="I239" s="183">
        <f ca="1">-SUMIFS(
  desp.m.ik[valor],
  desp.m.ik[nucleo], $B239,
  desp.m.ik[centro.negocio], $B$227,
  desp.m.ik[mes], "&gt;="&amp;I$1,
  desp.m.ik[mes], "&lt;"&amp;EOMONTH(I$1,0)+1
)</f>
        <v>0</v>
      </c>
      <c r="J239" s="183">
        <f ca="1">-SUMIFS(
  desp.m.ik[valor],
  desp.m.ik[nucleo], $B239,
  desp.m.ik[centro.negocio], $B$227,
  desp.m.ik[mes], "&gt;="&amp;J$1,
  desp.m.ik[mes], "&lt;"&amp;EOMONTH(J$1,0)+1
)</f>
        <v>0</v>
      </c>
      <c r="K239" s="183">
        <f ca="1">-SUMIFS(
  desp.m.ik[valor],
  desp.m.ik[nucleo], $B239,
  desp.m.ik[centro.negocio], $B$227,
  desp.m.ik[mes], "&gt;="&amp;K$1,
  desp.m.ik[mes], "&lt;"&amp;EOMONTH(K$1,0)+1
)</f>
        <v>0</v>
      </c>
      <c r="L239" s="183">
        <f ca="1">-SUMIFS(
  desp.m.ik[valor],
  desp.m.ik[nucleo], $B239,
  desp.m.ik[centro.negocio], $B$227,
  desp.m.ik[mes], "&gt;="&amp;L$1,
  desp.m.ik[mes], "&lt;"&amp;EOMONTH(L$1,0)+1
)</f>
        <v>0</v>
      </c>
      <c r="M239" s="183">
        <f ca="1">-SUMIFS(
  desp.m.ik[valor],
  desp.m.ik[nucleo], $B239,
  desp.m.ik[centro.negocio], $B$227,
  desp.m.ik[mes], "&gt;="&amp;M$1,
  desp.m.ik[mes], "&lt;"&amp;EOMONTH(M$1,0)+1
)</f>
        <v>0</v>
      </c>
      <c r="N239" s="183">
        <f ca="1">-SUMIFS(
  desp.m.ik[valor],
  desp.m.ik[nucleo], $B239,
  desp.m.ik[centro.negocio], $B$227,
  desp.m.ik[mes], "&gt;="&amp;N$1,
  desp.m.ik[mes], "&lt;"&amp;EOMONTH(N$1,0)+1
)</f>
        <v>0</v>
      </c>
      <c r="O239" s="183">
        <f ca="1">-SUMIFS(
  desp.m.ik[valor],
  desp.m.ik[nucleo], $B239,
  desp.m.ik[centro.negocio], $B$227,
  desp.m.ik[mes], "&gt;="&amp;O$1,
  desp.m.ik[mes], "&lt;"&amp;EOMONTH(O$1,0)+1
)</f>
        <v>0</v>
      </c>
      <c r="P239" s="183">
        <f ca="1">-SUMIFS(
  desp.m.ik[valor],
  desp.m.ik[nucleo], $B239,
  desp.m.ik[centro.negocio], $B$227,
  desp.m.ik[mes], "&gt;="&amp;P$1,
  desp.m.ik[mes], "&lt;"&amp;EOMONTH(P$1,0)+1
)</f>
        <v>0</v>
      </c>
      <c r="Q239" s="183">
        <f ca="1">-SUMIFS(
  desp.m.ik[valor],
  desp.m.ik[nucleo], $B239,
  desp.m.ik[centro.negocio], $B$227,
  desp.m.ik[mes], "&gt;="&amp;Q$1,
  desp.m.ik[mes], "&lt;"&amp;EOMONTH(Q$1,0)+1
)</f>
        <v>0</v>
      </c>
      <c r="R239" s="183">
        <f ca="1">-SUMIFS(
  desp.m.ik[valor],
  desp.m.ik[nucleo], $B239,
  desp.m.ik[centro.negocio], $B$227,
  desp.m.ik[mes], "&gt;="&amp;R$1,
  desp.m.ik[mes], "&lt;"&amp;EOMONTH(R$1,0)+1
)</f>
        <v>0</v>
      </c>
      <c r="S239" s="183">
        <f ca="1">-SUMIFS(
  desp.m.ik[valor],
  desp.m.ik[nucleo], $B239,
  desp.m.ik[centro.negocio], $B$227,
  desp.m.ik[mes], "&gt;="&amp;S$1,
  desp.m.ik[mes], "&lt;"&amp;EOMONTH(S$1,0)+1
)</f>
        <v>0</v>
      </c>
      <c r="T239" s="183">
        <f ca="1">-SUMIFS(
  desp.m.ik[valor],
  desp.m.ik[nucleo], $B239,
  desp.m.ik[centro.negocio], $B$227,
  desp.m.ik[mes], "&gt;="&amp;T$1,
  desp.m.ik[mes], "&lt;"&amp;EOMONTH(T$1,0)+1
)</f>
        <v>0</v>
      </c>
      <c r="U239" s="183">
        <f ca="1">-SUMIFS(
  desp.m.ik[valor],
  desp.m.ik[nucleo], $B239,
  desp.m.ik[centro.negocio], $B$227,
  desp.m.ik[mes], "&gt;="&amp;U$1,
  desp.m.ik[mes], "&lt;"&amp;EOMONTH(U$1,0)+1
)</f>
        <v>0</v>
      </c>
      <c r="V239" s="183">
        <f ca="1">-SUMIFS(
  desp.m.ik[valor],
  desp.m.ik[nucleo], $B239,
  desp.m.ik[centro.negocio], $B$227,
  desp.m.ik[mes], "&gt;="&amp;V$1,
  desp.m.ik[mes], "&lt;"&amp;EOMONTH(V$1,0)+1
)</f>
        <v>0</v>
      </c>
      <c r="W239" s="183">
        <f ca="1">-SUMIFS(
  desp.m.ik[valor],
  desp.m.ik[nucleo], $B239,
  desp.m.ik[centro.negocio], $B$227,
  desp.m.ik[mes], "&gt;="&amp;W$1,
  desp.m.ik[mes], "&lt;"&amp;EOMONTH(W$1,0)+1
)</f>
        <v>0</v>
      </c>
      <c r="X239" s="183">
        <f ca="1">-SUMIFS(
  desp.m.ik[valor],
  desp.m.ik[nucleo], $B239,
  desp.m.ik[centro.negocio], $B$227,
  desp.m.ik[mes], "&gt;="&amp;X$1,
  desp.m.ik[mes], "&lt;"&amp;EOMONTH(X$1,0)+1
)</f>
        <v>0</v>
      </c>
      <c r="Y239" s="183">
        <f ca="1">-SUMIFS(
  desp.m.ik[valor],
  desp.m.ik[nucleo], $B239,
  desp.m.ik[centro.negocio], $B$227,
  desp.m.ik[mes], "&gt;="&amp;Y$1,
  desp.m.ik[mes], "&lt;"&amp;EOMONTH(Y$1,0)+1
)</f>
        <v>0</v>
      </c>
      <c r="Z239" s="183">
        <f ca="1">-SUMIFS(
  desp.m.ik[valor],
  desp.m.ik[nucleo], $B239,
  desp.m.ik[centro.negocio], $B$227,
  desp.m.ik[mes], "&gt;="&amp;Z$1,
  desp.m.ik[mes], "&lt;"&amp;EOMONTH(Z$1,0)+1
)</f>
        <v>0</v>
      </c>
      <c r="AA239" s="183">
        <f ca="1">-SUMIFS(
  desp.m.ik[valor],
  desp.m.ik[nucleo], $B239,
  desp.m.ik[centro.negocio], $B$227,
  desp.m.ik[mes], "&gt;="&amp;AA$1,
  desp.m.ik[mes], "&lt;"&amp;EOMONTH(AA$1,0)+1
)</f>
        <v>0</v>
      </c>
      <c r="AC239" s="175">
        <f ca="1">SUM($D239:INDEX($D239:$AA239,1,MATCH(DATE(YEAR(inputs!$A$1),MONTH(inputs!$A$1),1),$D$1:$AA$1,0)))</f>
        <v>0</v>
      </c>
      <c r="AE239" s="175">
        <f t="shared" ca="1" si="40"/>
        <v>0</v>
      </c>
    </row>
    <row r="240" spans="1:31" outlineLevel="2" x14ac:dyDescent="0.25">
      <c r="A240" s="182" t="s">
        <v>657</v>
      </c>
      <c r="B240" s="182" t="s">
        <v>539</v>
      </c>
      <c r="C240" s="135" t="s">
        <v>514</v>
      </c>
      <c r="D240" s="183">
        <f ca="1">-SUMIFS(
  desp.m.ik[valor],
  desp.m.ik[nucleo], $B240,
  desp.m.ik[centro.negocio], $B$227,
  desp.m.ik[mes], "&gt;="&amp;D$1,
  desp.m.ik[mes], "&lt;"&amp;EOMONTH(D$1,0)+1
)</f>
        <v>0</v>
      </c>
      <c r="E240" s="183">
        <f ca="1">-SUMIFS(
  desp.m.ik[valor],
  desp.m.ik[nucleo], $B240,
  desp.m.ik[centro.negocio], $B$227,
  desp.m.ik[mes], "&gt;="&amp;E$1,
  desp.m.ik[mes], "&lt;"&amp;EOMONTH(E$1,0)+1
)</f>
        <v>0</v>
      </c>
      <c r="F240" s="183">
        <f ca="1">-SUMIFS(
  desp.m.ik[valor],
  desp.m.ik[nucleo], $B240,
  desp.m.ik[centro.negocio], $B$227,
  desp.m.ik[mes], "&gt;="&amp;F$1,
  desp.m.ik[mes], "&lt;"&amp;EOMONTH(F$1,0)+1
)</f>
        <v>0</v>
      </c>
      <c r="G240" s="183">
        <f ca="1">-SUMIFS(
  desp.m.ik[valor],
  desp.m.ik[nucleo], $B240,
  desp.m.ik[centro.negocio], $B$227,
  desp.m.ik[mes], "&gt;="&amp;G$1,
  desp.m.ik[mes], "&lt;"&amp;EOMONTH(G$1,0)+1
)</f>
        <v>0</v>
      </c>
      <c r="H240" s="183">
        <f ca="1">-SUMIFS(
  desp.m.ik[valor],
  desp.m.ik[nucleo], $B240,
  desp.m.ik[centro.negocio], $B$227,
  desp.m.ik[mes], "&gt;="&amp;H$1,
  desp.m.ik[mes], "&lt;"&amp;EOMONTH(H$1,0)+1
)</f>
        <v>0</v>
      </c>
      <c r="I240" s="183">
        <f ca="1">-SUMIFS(
  desp.m.ik[valor],
  desp.m.ik[nucleo], $B240,
  desp.m.ik[centro.negocio], $B$227,
  desp.m.ik[mes], "&gt;="&amp;I$1,
  desp.m.ik[mes], "&lt;"&amp;EOMONTH(I$1,0)+1
)</f>
        <v>0</v>
      </c>
      <c r="J240" s="183">
        <f ca="1">-SUMIFS(
  desp.m.ik[valor],
  desp.m.ik[nucleo], $B240,
  desp.m.ik[centro.negocio], $B$227,
  desp.m.ik[mes], "&gt;="&amp;J$1,
  desp.m.ik[mes], "&lt;"&amp;EOMONTH(J$1,0)+1
)</f>
        <v>0</v>
      </c>
      <c r="K240" s="183">
        <f ca="1">-SUMIFS(
  desp.m.ik[valor],
  desp.m.ik[nucleo], $B240,
  desp.m.ik[centro.negocio], $B$227,
  desp.m.ik[mes], "&gt;="&amp;K$1,
  desp.m.ik[mes], "&lt;"&amp;EOMONTH(K$1,0)+1
)</f>
        <v>0</v>
      </c>
      <c r="L240" s="183">
        <f ca="1">-SUMIFS(
  desp.m.ik[valor],
  desp.m.ik[nucleo], $B240,
  desp.m.ik[centro.negocio], $B$227,
  desp.m.ik[mes], "&gt;="&amp;L$1,
  desp.m.ik[mes], "&lt;"&amp;EOMONTH(L$1,0)+1
)</f>
        <v>0</v>
      </c>
      <c r="M240" s="183">
        <f ca="1">-SUMIFS(
  desp.m.ik[valor],
  desp.m.ik[nucleo], $B240,
  desp.m.ik[centro.negocio], $B$227,
  desp.m.ik[mes], "&gt;="&amp;M$1,
  desp.m.ik[mes], "&lt;"&amp;EOMONTH(M$1,0)+1
)</f>
        <v>0</v>
      </c>
      <c r="N240" s="183">
        <f ca="1">-SUMIFS(
  desp.m.ik[valor],
  desp.m.ik[nucleo], $B240,
  desp.m.ik[centro.negocio], $B$227,
  desp.m.ik[mes], "&gt;="&amp;N$1,
  desp.m.ik[mes], "&lt;"&amp;EOMONTH(N$1,0)+1
)</f>
        <v>0</v>
      </c>
      <c r="O240" s="183">
        <f ca="1">-SUMIFS(
  desp.m.ik[valor],
  desp.m.ik[nucleo], $B240,
  desp.m.ik[centro.negocio], $B$227,
  desp.m.ik[mes], "&gt;="&amp;O$1,
  desp.m.ik[mes], "&lt;"&amp;EOMONTH(O$1,0)+1
)</f>
        <v>0</v>
      </c>
      <c r="P240" s="183">
        <f ca="1">-SUMIFS(
  desp.m.ik[valor],
  desp.m.ik[nucleo], $B240,
  desp.m.ik[centro.negocio], $B$227,
  desp.m.ik[mes], "&gt;="&amp;P$1,
  desp.m.ik[mes], "&lt;"&amp;EOMONTH(P$1,0)+1
)</f>
        <v>0</v>
      </c>
      <c r="Q240" s="183">
        <f ca="1">-SUMIFS(
  desp.m.ik[valor],
  desp.m.ik[nucleo], $B240,
  desp.m.ik[centro.negocio], $B$227,
  desp.m.ik[mes], "&gt;="&amp;Q$1,
  desp.m.ik[mes], "&lt;"&amp;EOMONTH(Q$1,0)+1
)</f>
        <v>0</v>
      </c>
      <c r="R240" s="183">
        <f ca="1">-SUMIFS(
  desp.m.ik[valor],
  desp.m.ik[nucleo], $B240,
  desp.m.ik[centro.negocio], $B$227,
  desp.m.ik[mes], "&gt;="&amp;R$1,
  desp.m.ik[mes], "&lt;"&amp;EOMONTH(R$1,0)+1
)</f>
        <v>0</v>
      </c>
      <c r="S240" s="183">
        <f ca="1">-SUMIFS(
  desp.m.ik[valor],
  desp.m.ik[nucleo], $B240,
  desp.m.ik[centro.negocio], $B$227,
  desp.m.ik[mes], "&gt;="&amp;S$1,
  desp.m.ik[mes], "&lt;"&amp;EOMONTH(S$1,0)+1
)</f>
        <v>0</v>
      </c>
      <c r="T240" s="183">
        <f ca="1">-SUMIFS(
  desp.m.ik[valor],
  desp.m.ik[nucleo], $B240,
  desp.m.ik[centro.negocio], $B$227,
  desp.m.ik[mes], "&gt;="&amp;T$1,
  desp.m.ik[mes], "&lt;"&amp;EOMONTH(T$1,0)+1
)</f>
        <v>0</v>
      </c>
      <c r="U240" s="183">
        <f ca="1">-SUMIFS(
  desp.m.ik[valor],
  desp.m.ik[nucleo], $B240,
  desp.m.ik[centro.negocio], $B$227,
  desp.m.ik[mes], "&gt;="&amp;U$1,
  desp.m.ik[mes], "&lt;"&amp;EOMONTH(U$1,0)+1
)</f>
        <v>0</v>
      </c>
      <c r="V240" s="183">
        <f ca="1">-SUMIFS(
  desp.m.ik[valor],
  desp.m.ik[nucleo], $B240,
  desp.m.ik[centro.negocio], $B$227,
  desp.m.ik[mes], "&gt;="&amp;V$1,
  desp.m.ik[mes], "&lt;"&amp;EOMONTH(V$1,0)+1
)</f>
        <v>0</v>
      </c>
      <c r="W240" s="183">
        <f ca="1">-SUMIFS(
  desp.m.ik[valor],
  desp.m.ik[nucleo], $B240,
  desp.m.ik[centro.negocio], $B$227,
  desp.m.ik[mes], "&gt;="&amp;W$1,
  desp.m.ik[mes], "&lt;"&amp;EOMONTH(W$1,0)+1
)</f>
        <v>0</v>
      </c>
      <c r="X240" s="183">
        <f ca="1">-SUMIFS(
  desp.m.ik[valor],
  desp.m.ik[nucleo], $B240,
  desp.m.ik[centro.negocio], $B$227,
  desp.m.ik[mes], "&gt;="&amp;X$1,
  desp.m.ik[mes], "&lt;"&amp;EOMONTH(X$1,0)+1
)</f>
        <v>0</v>
      </c>
      <c r="Y240" s="183">
        <f ca="1">-SUMIFS(
  desp.m.ik[valor],
  desp.m.ik[nucleo], $B240,
  desp.m.ik[centro.negocio], $B$227,
  desp.m.ik[mes], "&gt;="&amp;Y$1,
  desp.m.ik[mes], "&lt;"&amp;EOMONTH(Y$1,0)+1
)</f>
        <v>0</v>
      </c>
      <c r="Z240" s="183">
        <f ca="1">-SUMIFS(
  desp.m.ik[valor],
  desp.m.ik[nucleo], $B240,
  desp.m.ik[centro.negocio], $B$227,
  desp.m.ik[mes], "&gt;="&amp;Z$1,
  desp.m.ik[mes], "&lt;"&amp;EOMONTH(Z$1,0)+1
)</f>
        <v>0</v>
      </c>
      <c r="AA240" s="183">
        <f ca="1">-SUMIFS(
  desp.m.ik[valor],
  desp.m.ik[nucleo], $B240,
  desp.m.ik[centro.negocio], $B$227,
  desp.m.ik[mes], "&gt;="&amp;AA$1,
  desp.m.ik[mes], "&lt;"&amp;EOMONTH(AA$1,0)+1
)</f>
        <v>0</v>
      </c>
      <c r="AC240" s="175">
        <f ca="1">SUM($D240:INDEX($D240:$AA240,1,MATCH(DATE(YEAR(inputs!$A$1),MONTH(inputs!$A$1),1),$D$1:$AA$1,0)))</f>
        <v>0</v>
      </c>
      <c r="AE240" s="175">
        <f t="shared" ca="1" si="40"/>
        <v>0</v>
      </c>
    </row>
    <row r="241" spans="1:31" outlineLevel="2" x14ac:dyDescent="0.25">
      <c r="A241" s="182" t="s">
        <v>705</v>
      </c>
      <c r="B241" s="182" t="s">
        <v>1123</v>
      </c>
      <c r="C241" s="135" t="s">
        <v>514</v>
      </c>
      <c r="D241" s="183">
        <f ca="1">-SUMIFS(
  desp.m.ik[valor],
  desp.m.ik[nucleo], $B241,
  desp.m.ik[centro.negocio], $B$227,
  desp.m.ik[mes], "&gt;="&amp;D$1,
  desp.m.ik[mes], "&lt;"&amp;EOMONTH(D$1,0)+1
)</f>
        <v>0</v>
      </c>
      <c r="E241" s="183">
        <f ca="1">-SUMIFS(
  desp.m.ik[valor],
  desp.m.ik[nucleo], $B241,
  desp.m.ik[centro.negocio], $B$227,
  desp.m.ik[mes], "&gt;="&amp;E$1,
  desp.m.ik[mes], "&lt;"&amp;EOMONTH(E$1,0)+1
)</f>
        <v>0</v>
      </c>
      <c r="F241" s="183">
        <f ca="1">-SUMIFS(
  desp.m.ik[valor],
  desp.m.ik[nucleo], $B241,
  desp.m.ik[centro.negocio], $B$227,
  desp.m.ik[mes], "&gt;="&amp;F$1,
  desp.m.ik[mes], "&lt;"&amp;EOMONTH(F$1,0)+1
)</f>
        <v>0</v>
      </c>
      <c r="G241" s="183">
        <f ca="1">-SUMIFS(
  desp.m.ik[valor],
  desp.m.ik[nucleo], $B241,
  desp.m.ik[centro.negocio], $B$227,
  desp.m.ik[mes], "&gt;="&amp;G$1,
  desp.m.ik[mes], "&lt;"&amp;EOMONTH(G$1,0)+1
)</f>
        <v>0</v>
      </c>
      <c r="H241" s="183">
        <f ca="1">-SUMIFS(
  desp.m.ik[valor],
  desp.m.ik[nucleo], $B241,
  desp.m.ik[centro.negocio], $B$227,
  desp.m.ik[mes], "&gt;="&amp;H$1,
  desp.m.ik[mes], "&lt;"&amp;EOMONTH(H$1,0)+1
)</f>
        <v>0</v>
      </c>
      <c r="I241" s="183">
        <f ca="1">-SUMIFS(
  desp.m.ik[valor],
  desp.m.ik[nucleo], $B241,
  desp.m.ik[centro.negocio], $B$227,
  desp.m.ik[mes], "&gt;="&amp;I$1,
  desp.m.ik[mes], "&lt;"&amp;EOMONTH(I$1,0)+1
)</f>
        <v>0</v>
      </c>
      <c r="J241" s="183">
        <f ca="1">-SUMIFS(
  desp.m.ik[valor],
  desp.m.ik[nucleo], $B241,
  desp.m.ik[centro.negocio], $B$227,
  desp.m.ik[mes], "&gt;="&amp;J$1,
  desp.m.ik[mes], "&lt;"&amp;EOMONTH(J$1,0)+1
)</f>
        <v>0</v>
      </c>
      <c r="K241" s="183">
        <f ca="1">-SUMIFS(
  desp.m.ik[valor],
  desp.m.ik[nucleo], $B241,
  desp.m.ik[centro.negocio], $B$227,
  desp.m.ik[mes], "&gt;="&amp;K$1,
  desp.m.ik[mes], "&lt;"&amp;EOMONTH(K$1,0)+1
)</f>
        <v>0</v>
      </c>
      <c r="L241" s="183">
        <f ca="1">-SUMIFS(
  desp.m.ik[valor],
  desp.m.ik[nucleo], $B241,
  desp.m.ik[centro.negocio], $B$227,
  desp.m.ik[mes], "&gt;="&amp;L$1,
  desp.m.ik[mes], "&lt;"&amp;EOMONTH(L$1,0)+1
)</f>
        <v>0</v>
      </c>
      <c r="M241" s="183">
        <f ca="1">-SUMIFS(
  desp.m.ik[valor],
  desp.m.ik[nucleo], $B241,
  desp.m.ik[centro.negocio], $B$227,
  desp.m.ik[mes], "&gt;="&amp;M$1,
  desp.m.ik[mes], "&lt;"&amp;EOMONTH(M$1,0)+1
)</f>
        <v>0</v>
      </c>
      <c r="N241" s="183">
        <f ca="1">-SUMIFS(
  desp.m.ik[valor],
  desp.m.ik[nucleo], $B241,
  desp.m.ik[centro.negocio], $B$227,
  desp.m.ik[mes], "&gt;="&amp;N$1,
  desp.m.ik[mes], "&lt;"&amp;EOMONTH(N$1,0)+1
)</f>
        <v>0</v>
      </c>
      <c r="O241" s="183">
        <f ca="1">-SUMIFS(
  desp.m.ik[valor],
  desp.m.ik[nucleo], $B241,
  desp.m.ik[centro.negocio], $B$227,
  desp.m.ik[mes], "&gt;="&amp;O$1,
  desp.m.ik[mes], "&lt;"&amp;EOMONTH(O$1,0)+1
)</f>
        <v>0</v>
      </c>
      <c r="P241" s="183">
        <f ca="1">-SUMIFS(
  desp.m.ik[valor],
  desp.m.ik[nucleo], $B241,
  desp.m.ik[centro.negocio], $B$227,
  desp.m.ik[mes], "&gt;="&amp;P$1,
  desp.m.ik[mes], "&lt;"&amp;EOMONTH(P$1,0)+1
)</f>
        <v>0</v>
      </c>
      <c r="Q241" s="183">
        <f ca="1">-SUMIFS(
  desp.m.ik[valor],
  desp.m.ik[nucleo], $B241,
  desp.m.ik[centro.negocio], $B$227,
  desp.m.ik[mes], "&gt;="&amp;Q$1,
  desp.m.ik[mes], "&lt;"&amp;EOMONTH(Q$1,0)+1
)</f>
        <v>0</v>
      </c>
      <c r="R241" s="183">
        <f ca="1">-SUMIFS(
  desp.m.ik[valor],
  desp.m.ik[nucleo], $B241,
  desp.m.ik[centro.negocio], $B$227,
  desp.m.ik[mes], "&gt;="&amp;R$1,
  desp.m.ik[mes], "&lt;"&amp;EOMONTH(R$1,0)+1
)</f>
        <v>0</v>
      </c>
      <c r="S241" s="183">
        <f ca="1">-SUMIFS(
  desp.m.ik[valor],
  desp.m.ik[nucleo], $B241,
  desp.m.ik[centro.negocio], $B$227,
  desp.m.ik[mes], "&gt;="&amp;S$1,
  desp.m.ik[mes], "&lt;"&amp;EOMONTH(S$1,0)+1
)</f>
        <v>0</v>
      </c>
      <c r="T241" s="183">
        <f ca="1">-SUMIFS(
  desp.m.ik[valor],
  desp.m.ik[nucleo], $B241,
  desp.m.ik[centro.negocio], $B$227,
  desp.m.ik[mes], "&gt;="&amp;T$1,
  desp.m.ik[mes], "&lt;"&amp;EOMONTH(T$1,0)+1
)</f>
        <v>0</v>
      </c>
      <c r="U241" s="183">
        <f ca="1">-SUMIFS(
  desp.m.ik[valor],
  desp.m.ik[nucleo], $B241,
  desp.m.ik[centro.negocio], $B$227,
  desp.m.ik[mes], "&gt;="&amp;U$1,
  desp.m.ik[mes], "&lt;"&amp;EOMONTH(U$1,0)+1
)</f>
        <v>0</v>
      </c>
      <c r="V241" s="183">
        <f ca="1">-SUMIFS(
  desp.m.ik[valor],
  desp.m.ik[nucleo], $B241,
  desp.m.ik[centro.negocio], $B$227,
  desp.m.ik[mes], "&gt;="&amp;V$1,
  desp.m.ik[mes], "&lt;"&amp;EOMONTH(V$1,0)+1
)</f>
        <v>0</v>
      </c>
      <c r="W241" s="183">
        <f ca="1">-SUMIFS(
  desp.m.ik[valor],
  desp.m.ik[nucleo], $B241,
  desp.m.ik[centro.negocio], $B$227,
  desp.m.ik[mes], "&gt;="&amp;W$1,
  desp.m.ik[mes], "&lt;"&amp;EOMONTH(W$1,0)+1
)</f>
        <v>0</v>
      </c>
      <c r="X241" s="183">
        <f ca="1">-SUMIFS(
  desp.m.ik[valor],
  desp.m.ik[nucleo], $B241,
  desp.m.ik[centro.negocio], $B$227,
  desp.m.ik[mes], "&gt;="&amp;X$1,
  desp.m.ik[mes], "&lt;"&amp;EOMONTH(X$1,0)+1
)</f>
        <v>0</v>
      </c>
      <c r="Y241" s="183">
        <f ca="1">-SUMIFS(
  desp.m.ik[valor],
  desp.m.ik[nucleo], $B241,
  desp.m.ik[centro.negocio], $B$227,
  desp.m.ik[mes], "&gt;="&amp;Y$1,
  desp.m.ik[mes], "&lt;"&amp;EOMONTH(Y$1,0)+1
)</f>
        <v>0</v>
      </c>
      <c r="Z241" s="183">
        <f ca="1">-SUMIFS(
  desp.m.ik[valor],
  desp.m.ik[nucleo], $B241,
  desp.m.ik[centro.negocio], $B$227,
  desp.m.ik[mes], "&gt;="&amp;Z$1,
  desp.m.ik[mes], "&lt;"&amp;EOMONTH(Z$1,0)+1
)</f>
        <v>0</v>
      </c>
      <c r="AA241" s="183">
        <f ca="1">-SUMIFS(
  desp.m.ik[valor],
  desp.m.ik[nucleo], $B241,
  desp.m.ik[centro.negocio], $B$227,
  desp.m.ik[mes], "&gt;="&amp;AA$1,
  desp.m.ik[mes], "&lt;"&amp;EOMONTH(AA$1,0)+1
)</f>
        <v>0</v>
      </c>
      <c r="AC241" s="175">
        <f ca="1">SUM($D241:INDEX($D241:$AA241,1,MATCH(DATE(YEAR(inputs!$A$1),MONTH(inputs!$A$1),1),$D$1:$AA$1,0)))</f>
        <v>0</v>
      </c>
      <c r="AE241" s="175">
        <f ca="1">SUM(D241:AA241)</f>
        <v>0</v>
      </c>
    </row>
    <row r="242" spans="1:31" outlineLevel="2" x14ac:dyDescent="0.25">
      <c r="A242" s="182" t="s">
        <v>814</v>
      </c>
      <c r="B242" s="182" t="s">
        <v>535</v>
      </c>
      <c r="C242" s="135" t="s">
        <v>514</v>
      </c>
      <c r="D242" s="183">
        <f ca="1">-SUMIFS(
  desp.m.ik[valor],
  desp.m.ik[nucleo], $B242,
  desp.m.ik[centro.negocio], $B$227,
  desp.m.ik[mes], "&gt;="&amp;D$1,
  desp.m.ik[mes], "&lt;"&amp;EOMONTH(D$1,0)+1
)</f>
        <v>0</v>
      </c>
      <c r="E242" s="183">
        <f ca="1">-SUMIFS(
  desp.m.ik[valor],
  desp.m.ik[nucleo], $B242,
  desp.m.ik[centro.negocio], $B$227,
  desp.m.ik[mes], "&gt;="&amp;E$1,
  desp.m.ik[mes], "&lt;"&amp;EOMONTH(E$1,0)+1
)</f>
        <v>0</v>
      </c>
      <c r="F242" s="183">
        <f ca="1">-SUMIFS(
  desp.m.ik[valor],
  desp.m.ik[nucleo], $B242,
  desp.m.ik[centro.negocio], $B$227,
  desp.m.ik[mes], "&gt;="&amp;F$1,
  desp.m.ik[mes], "&lt;"&amp;EOMONTH(F$1,0)+1
)</f>
        <v>0</v>
      </c>
      <c r="G242" s="183">
        <f ca="1">-SUMIFS(
  desp.m.ik[valor],
  desp.m.ik[nucleo], $B242,
  desp.m.ik[centro.negocio], $B$227,
  desp.m.ik[mes], "&gt;="&amp;G$1,
  desp.m.ik[mes], "&lt;"&amp;EOMONTH(G$1,0)+1
)</f>
        <v>0</v>
      </c>
      <c r="H242" s="183">
        <f ca="1">-SUMIFS(
  desp.m.ik[valor],
  desp.m.ik[nucleo], $B242,
  desp.m.ik[centro.negocio], $B$227,
  desp.m.ik[mes], "&gt;="&amp;H$1,
  desp.m.ik[mes], "&lt;"&amp;EOMONTH(H$1,0)+1
)</f>
        <v>0</v>
      </c>
      <c r="I242" s="183">
        <f ca="1">-SUMIFS(
  desp.m.ik[valor],
  desp.m.ik[nucleo], $B242,
  desp.m.ik[centro.negocio], $B$227,
  desp.m.ik[mes], "&gt;="&amp;I$1,
  desp.m.ik[mes], "&lt;"&amp;EOMONTH(I$1,0)+1
)</f>
        <v>0</v>
      </c>
      <c r="J242" s="183">
        <f ca="1">-SUMIFS(
  desp.m.ik[valor],
  desp.m.ik[nucleo], $B242,
  desp.m.ik[centro.negocio], $B$227,
  desp.m.ik[mes], "&gt;="&amp;J$1,
  desp.m.ik[mes], "&lt;"&amp;EOMONTH(J$1,0)+1
)</f>
        <v>0</v>
      </c>
      <c r="K242" s="183">
        <f ca="1">-SUMIFS(
  desp.m.ik[valor],
  desp.m.ik[nucleo], $B242,
  desp.m.ik[centro.negocio], $B$227,
  desp.m.ik[mes], "&gt;="&amp;K$1,
  desp.m.ik[mes], "&lt;"&amp;EOMONTH(K$1,0)+1
)</f>
        <v>0</v>
      </c>
      <c r="L242" s="183">
        <f ca="1">-SUMIFS(
  desp.m.ik[valor],
  desp.m.ik[nucleo], $B242,
  desp.m.ik[centro.negocio], $B$227,
  desp.m.ik[mes], "&gt;="&amp;L$1,
  desp.m.ik[mes], "&lt;"&amp;EOMONTH(L$1,0)+1
)</f>
        <v>0</v>
      </c>
      <c r="M242" s="183">
        <f ca="1">-SUMIFS(
  desp.m.ik[valor],
  desp.m.ik[nucleo], $B242,
  desp.m.ik[centro.negocio], $B$227,
  desp.m.ik[mes], "&gt;="&amp;M$1,
  desp.m.ik[mes], "&lt;"&amp;EOMONTH(M$1,0)+1
)</f>
        <v>0</v>
      </c>
      <c r="N242" s="183">
        <f ca="1">-SUMIFS(
  desp.m.ik[valor],
  desp.m.ik[nucleo], $B242,
  desp.m.ik[centro.negocio], $B$227,
  desp.m.ik[mes], "&gt;="&amp;N$1,
  desp.m.ik[mes], "&lt;"&amp;EOMONTH(N$1,0)+1
)</f>
        <v>0</v>
      </c>
      <c r="O242" s="183">
        <f ca="1">-SUMIFS(
  desp.m.ik[valor],
  desp.m.ik[nucleo], $B242,
  desp.m.ik[centro.negocio], $B$227,
  desp.m.ik[mes], "&gt;="&amp;O$1,
  desp.m.ik[mes], "&lt;"&amp;EOMONTH(O$1,0)+1
)</f>
        <v>0</v>
      </c>
      <c r="P242" s="183">
        <f ca="1">-SUMIFS(
  desp.m.ik[valor],
  desp.m.ik[nucleo], $B242,
  desp.m.ik[centro.negocio], $B$227,
  desp.m.ik[mes], "&gt;="&amp;P$1,
  desp.m.ik[mes], "&lt;"&amp;EOMONTH(P$1,0)+1
)</f>
        <v>0</v>
      </c>
      <c r="Q242" s="183">
        <f ca="1">-SUMIFS(
  desp.m.ik[valor],
  desp.m.ik[nucleo], $B242,
  desp.m.ik[centro.negocio], $B$227,
  desp.m.ik[mes], "&gt;="&amp;Q$1,
  desp.m.ik[mes], "&lt;"&amp;EOMONTH(Q$1,0)+1
)</f>
        <v>0</v>
      </c>
      <c r="R242" s="183">
        <f ca="1">-SUMIFS(
  desp.m.ik[valor],
  desp.m.ik[nucleo], $B242,
  desp.m.ik[centro.negocio], $B$227,
  desp.m.ik[mes], "&gt;="&amp;R$1,
  desp.m.ik[mes], "&lt;"&amp;EOMONTH(R$1,0)+1
)</f>
        <v>0</v>
      </c>
      <c r="S242" s="183">
        <f ca="1">-SUMIFS(
  desp.m.ik[valor],
  desp.m.ik[nucleo], $B242,
  desp.m.ik[centro.negocio], $B$227,
  desp.m.ik[mes], "&gt;="&amp;S$1,
  desp.m.ik[mes], "&lt;"&amp;EOMONTH(S$1,0)+1
)</f>
        <v>0</v>
      </c>
      <c r="T242" s="183">
        <f ca="1">-SUMIFS(
  desp.m.ik[valor],
  desp.m.ik[nucleo], $B242,
  desp.m.ik[centro.negocio], $B$227,
  desp.m.ik[mes], "&gt;="&amp;T$1,
  desp.m.ik[mes], "&lt;"&amp;EOMONTH(T$1,0)+1
)</f>
        <v>0</v>
      </c>
      <c r="U242" s="183">
        <f ca="1">-SUMIFS(
  desp.m.ik[valor],
  desp.m.ik[nucleo], $B242,
  desp.m.ik[centro.negocio], $B$227,
  desp.m.ik[mes], "&gt;="&amp;U$1,
  desp.m.ik[mes], "&lt;"&amp;EOMONTH(U$1,0)+1
)</f>
        <v>0</v>
      </c>
      <c r="V242" s="183">
        <f ca="1">-SUMIFS(
  desp.m.ik[valor],
  desp.m.ik[nucleo], $B242,
  desp.m.ik[centro.negocio], $B$227,
  desp.m.ik[mes], "&gt;="&amp;V$1,
  desp.m.ik[mes], "&lt;"&amp;EOMONTH(V$1,0)+1
)</f>
        <v>0</v>
      </c>
      <c r="W242" s="183">
        <f ca="1">-SUMIFS(
  desp.m.ik[valor],
  desp.m.ik[nucleo], $B242,
  desp.m.ik[centro.negocio], $B$227,
  desp.m.ik[mes], "&gt;="&amp;W$1,
  desp.m.ik[mes], "&lt;"&amp;EOMONTH(W$1,0)+1
)</f>
        <v>0</v>
      </c>
      <c r="X242" s="183">
        <f ca="1">-SUMIFS(
  desp.m.ik[valor],
  desp.m.ik[nucleo], $B242,
  desp.m.ik[centro.negocio], $B$227,
  desp.m.ik[mes], "&gt;="&amp;X$1,
  desp.m.ik[mes], "&lt;"&amp;EOMONTH(X$1,0)+1
)</f>
        <v>0</v>
      </c>
      <c r="Y242" s="183">
        <f ca="1">-SUMIFS(
  desp.m.ik[valor],
  desp.m.ik[nucleo], $B242,
  desp.m.ik[centro.negocio], $B$227,
  desp.m.ik[mes], "&gt;="&amp;Y$1,
  desp.m.ik[mes], "&lt;"&amp;EOMONTH(Y$1,0)+1
)</f>
        <v>0</v>
      </c>
      <c r="Z242" s="183">
        <f ca="1">-SUMIFS(
  desp.m.ik[valor],
  desp.m.ik[nucleo], $B242,
  desp.m.ik[centro.negocio], $B$227,
  desp.m.ik[mes], "&gt;="&amp;Z$1,
  desp.m.ik[mes], "&lt;"&amp;EOMONTH(Z$1,0)+1
)</f>
        <v>0</v>
      </c>
      <c r="AA242" s="183">
        <f ca="1">-SUMIFS(
  desp.m.ik[valor],
  desp.m.ik[nucleo], $B242,
  desp.m.ik[centro.negocio], $B$227,
  desp.m.ik[mes], "&gt;="&amp;AA$1,
  desp.m.ik[mes], "&lt;"&amp;EOMONTH(AA$1,0)+1
)</f>
        <v>0</v>
      </c>
      <c r="AC242" s="175">
        <f ca="1">SUM($D242:INDEX($D242:$AA242,1,MATCH(DATE(YEAR(inputs!$A$1),MONTH(inputs!$A$1),1),$D$1:$AA$1,0)))</f>
        <v>0</v>
      </c>
      <c r="AE242" s="175">
        <f t="shared" ca="1" si="40"/>
        <v>0</v>
      </c>
    </row>
    <row r="243" spans="1:31" outlineLevel="2" x14ac:dyDescent="0.25">
      <c r="A243" s="182" t="s">
        <v>815</v>
      </c>
      <c r="B243" s="182" t="s">
        <v>573</v>
      </c>
      <c r="C243" s="135" t="s">
        <v>514</v>
      </c>
      <c r="D243" s="183">
        <f ca="1">-SUMIFS(
  desp.m.ik[valor],
  desp.m.ik[nucleo], $B243,
  desp.m.ik[centro.negocio], $B$227,
  desp.m.ik[mes], "&gt;="&amp;D$1,
  desp.m.ik[mes], "&lt;"&amp;EOMONTH(D$1,0)+1
)</f>
        <v>0</v>
      </c>
      <c r="E243" s="183">
        <f ca="1">-SUMIFS(
  desp.m.ik[valor],
  desp.m.ik[nucleo], $B243,
  desp.m.ik[centro.negocio], $B$227,
  desp.m.ik[mes], "&gt;="&amp;E$1,
  desp.m.ik[mes], "&lt;"&amp;EOMONTH(E$1,0)+1
)</f>
        <v>0</v>
      </c>
      <c r="F243" s="183">
        <f ca="1">-SUMIFS(
  desp.m.ik[valor],
  desp.m.ik[nucleo], $B243,
  desp.m.ik[centro.negocio], $B$227,
  desp.m.ik[mes], "&gt;="&amp;F$1,
  desp.m.ik[mes], "&lt;"&amp;EOMONTH(F$1,0)+1
)</f>
        <v>0</v>
      </c>
      <c r="G243" s="183">
        <f ca="1">-SUMIFS(
  desp.m.ik[valor],
  desp.m.ik[nucleo], $B243,
  desp.m.ik[centro.negocio], $B$227,
  desp.m.ik[mes], "&gt;="&amp;G$1,
  desp.m.ik[mes], "&lt;"&amp;EOMONTH(G$1,0)+1
)</f>
        <v>0</v>
      </c>
      <c r="H243" s="183">
        <f ca="1">-SUMIFS(
  desp.m.ik[valor],
  desp.m.ik[nucleo], $B243,
  desp.m.ik[centro.negocio], $B$227,
  desp.m.ik[mes], "&gt;="&amp;H$1,
  desp.m.ik[mes], "&lt;"&amp;EOMONTH(H$1,0)+1
)</f>
        <v>0</v>
      </c>
      <c r="I243" s="183">
        <f ca="1">-SUMIFS(
  desp.m.ik[valor],
  desp.m.ik[nucleo], $B243,
  desp.m.ik[centro.negocio], $B$227,
  desp.m.ik[mes], "&gt;="&amp;I$1,
  desp.m.ik[mes], "&lt;"&amp;EOMONTH(I$1,0)+1
)</f>
        <v>0</v>
      </c>
      <c r="J243" s="183">
        <f ca="1">-SUMIFS(
  desp.m.ik[valor],
  desp.m.ik[nucleo], $B243,
  desp.m.ik[centro.negocio], $B$227,
  desp.m.ik[mes], "&gt;="&amp;J$1,
  desp.m.ik[mes], "&lt;"&amp;EOMONTH(J$1,0)+1
)</f>
        <v>0</v>
      </c>
      <c r="K243" s="183">
        <f ca="1">-SUMIFS(
  desp.m.ik[valor],
  desp.m.ik[nucleo], $B243,
  desp.m.ik[centro.negocio], $B$227,
  desp.m.ik[mes], "&gt;="&amp;K$1,
  desp.m.ik[mes], "&lt;"&amp;EOMONTH(K$1,0)+1
)</f>
        <v>0</v>
      </c>
      <c r="L243" s="183">
        <f ca="1">-SUMIFS(
  desp.m.ik[valor],
  desp.m.ik[nucleo], $B243,
  desp.m.ik[centro.negocio], $B$227,
  desp.m.ik[mes], "&gt;="&amp;L$1,
  desp.m.ik[mes], "&lt;"&amp;EOMONTH(L$1,0)+1
)</f>
        <v>0</v>
      </c>
      <c r="M243" s="183">
        <f ca="1">-SUMIFS(
  desp.m.ik[valor],
  desp.m.ik[nucleo], $B243,
  desp.m.ik[centro.negocio], $B$227,
  desp.m.ik[mes], "&gt;="&amp;M$1,
  desp.m.ik[mes], "&lt;"&amp;EOMONTH(M$1,0)+1
)</f>
        <v>0</v>
      </c>
      <c r="N243" s="183">
        <f ca="1">-SUMIFS(
  desp.m.ik[valor],
  desp.m.ik[nucleo], $B243,
  desp.m.ik[centro.negocio], $B$227,
  desp.m.ik[mes], "&gt;="&amp;N$1,
  desp.m.ik[mes], "&lt;"&amp;EOMONTH(N$1,0)+1
)</f>
        <v>0</v>
      </c>
      <c r="O243" s="183">
        <f ca="1">-SUMIFS(
  desp.m.ik[valor],
  desp.m.ik[nucleo], $B243,
  desp.m.ik[centro.negocio], $B$227,
  desp.m.ik[mes], "&gt;="&amp;O$1,
  desp.m.ik[mes], "&lt;"&amp;EOMONTH(O$1,0)+1
)</f>
        <v>0</v>
      </c>
      <c r="P243" s="183">
        <f ca="1">-SUMIFS(
  desp.m.ik[valor],
  desp.m.ik[nucleo], $B243,
  desp.m.ik[centro.negocio], $B$227,
  desp.m.ik[mes], "&gt;="&amp;P$1,
  desp.m.ik[mes], "&lt;"&amp;EOMONTH(P$1,0)+1
)</f>
        <v>0</v>
      </c>
      <c r="Q243" s="183">
        <f ca="1">-SUMIFS(
  desp.m.ik[valor],
  desp.m.ik[nucleo], $B243,
  desp.m.ik[centro.negocio], $B$227,
  desp.m.ik[mes], "&gt;="&amp;Q$1,
  desp.m.ik[mes], "&lt;"&amp;EOMONTH(Q$1,0)+1
)</f>
        <v>0</v>
      </c>
      <c r="R243" s="183">
        <f ca="1">-SUMIFS(
  desp.m.ik[valor],
  desp.m.ik[nucleo], $B243,
  desp.m.ik[centro.negocio], $B$227,
  desp.m.ik[mes], "&gt;="&amp;R$1,
  desp.m.ik[mes], "&lt;"&amp;EOMONTH(R$1,0)+1
)</f>
        <v>0</v>
      </c>
      <c r="S243" s="183">
        <f ca="1">-SUMIFS(
  desp.m.ik[valor],
  desp.m.ik[nucleo], $B243,
  desp.m.ik[centro.negocio], $B$227,
  desp.m.ik[mes], "&gt;="&amp;S$1,
  desp.m.ik[mes], "&lt;"&amp;EOMONTH(S$1,0)+1
)</f>
        <v>0</v>
      </c>
      <c r="T243" s="183">
        <f ca="1">-SUMIFS(
  desp.m.ik[valor],
  desp.m.ik[nucleo], $B243,
  desp.m.ik[centro.negocio], $B$227,
  desp.m.ik[mes], "&gt;="&amp;T$1,
  desp.m.ik[mes], "&lt;"&amp;EOMONTH(T$1,0)+1
)</f>
        <v>0</v>
      </c>
      <c r="U243" s="183">
        <f ca="1">-SUMIFS(
  desp.m.ik[valor],
  desp.m.ik[nucleo], $B243,
  desp.m.ik[centro.negocio], $B$227,
  desp.m.ik[mes], "&gt;="&amp;U$1,
  desp.m.ik[mes], "&lt;"&amp;EOMONTH(U$1,0)+1
)</f>
        <v>0</v>
      </c>
      <c r="V243" s="183">
        <f ca="1">-SUMIFS(
  desp.m.ik[valor],
  desp.m.ik[nucleo], $B243,
  desp.m.ik[centro.negocio], $B$227,
  desp.m.ik[mes], "&gt;="&amp;V$1,
  desp.m.ik[mes], "&lt;"&amp;EOMONTH(V$1,0)+1
)</f>
        <v>0</v>
      </c>
      <c r="W243" s="183">
        <f ca="1">-SUMIFS(
  desp.m.ik[valor],
  desp.m.ik[nucleo], $B243,
  desp.m.ik[centro.negocio], $B$227,
  desp.m.ik[mes], "&gt;="&amp;W$1,
  desp.m.ik[mes], "&lt;"&amp;EOMONTH(W$1,0)+1
)</f>
        <v>0</v>
      </c>
      <c r="X243" s="183">
        <f ca="1">-SUMIFS(
  desp.m.ik[valor],
  desp.m.ik[nucleo], $B243,
  desp.m.ik[centro.negocio], $B$227,
  desp.m.ik[mes], "&gt;="&amp;X$1,
  desp.m.ik[mes], "&lt;"&amp;EOMONTH(X$1,0)+1
)</f>
        <v>0</v>
      </c>
      <c r="Y243" s="183">
        <f ca="1">-SUMIFS(
  desp.m.ik[valor],
  desp.m.ik[nucleo], $B243,
  desp.m.ik[centro.negocio], $B$227,
  desp.m.ik[mes], "&gt;="&amp;Y$1,
  desp.m.ik[mes], "&lt;"&amp;EOMONTH(Y$1,0)+1
)</f>
        <v>0</v>
      </c>
      <c r="Z243" s="183">
        <f ca="1">-SUMIFS(
  desp.m.ik[valor],
  desp.m.ik[nucleo], $B243,
  desp.m.ik[centro.negocio], $B$227,
  desp.m.ik[mes], "&gt;="&amp;Z$1,
  desp.m.ik[mes], "&lt;"&amp;EOMONTH(Z$1,0)+1
)</f>
        <v>0</v>
      </c>
      <c r="AA243" s="183">
        <f ca="1">-SUMIFS(
  desp.m.ik[valor],
  desp.m.ik[nucleo], $B243,
  desp.m.ik[centro.negocio], $B$227,
  desp.m.ik[mes], "&gt;="&amp;AA$1,
  desp.m.ik[mes], "&lt;"&amp;EOMONTH(AA$1,0)+1
)</f>
        <v>0</v>
      </c>
      <c r="AC243" s="175">
        <f ca="1">SUM($D243:INDEX($D243:$AA243,1,MATCH(DATE(YEAR(inputs!$A$1),MONTH(inputs!$A$1),1),$D$1:$AA$1,0)))</f>
        <v>0</v>
      </c>
      <c r="AE243" s="175">
        <f t="shared" ca="1" si="40"/>
        <v>0</v>
      </c>
    </row>
    <row r="244" spans="1:31" outlineLevel="2" x14ac:dyDescent="0.25">
      <c r="A244" s="182" t="s">
        <v>705</v>
      </c>
      <c r="B244" s="182" t="s">
        <v>557</v>
      </c>
      <c r="C244" s="135" t="s">
        <v>514</v>
      </c>
      <c r="D244" s="183">
        <f ca="1">-SUMIFS(
  desp.m.ik[valor],
  desp.m.ik[nucleo], $B244,
  desp.m.ik[centro.negocio], $B$227,
  desp.m.ik[mes], "&gt;="&amp;D$1,
  desp.m.ik[mes], "&lt;"&amp;EOMONTH(D$1,0)+1
)</f>
        <v>0</v>
      </c>
      <c r="E244" s="183">
        <f ca="1">-SUMIFS(
  desp.m.ik[valor],
  desp.m.ik[nucleo], $B244,
  desp.m.ik[centro.negocio], $B$227,
  desp.m.ik[mes], "&gt;="&amp;E$1,
  desp.m.ik[mes], "&lt;"&amp;EOMONTH(E$1,0)+1
)</f>
        <v>0</v>
      </c>
      <c r="F244" s="183">
        <f ca="1">-SUMIFS(
  desp.m.ik[valor],
  desp.m.ik[nucleo], $B244,
  desp.m.ik[centro.negocio], $B$227,
  desp.m.ik[mes], "&gt;="&amp;F$1,
  desp.m.ik[mes], "&lt;"&amp;EOMONTH(F$1,0)+1
)</f>
        <v>0</v>
      </c>
      <c r="G244" s="183">
        <f ca="1">-SUMIFS(
  desp.m.ik[valor],
  desp.m.ik[nucleo], $B244,
  desp.m.ik[centro.negocio], $B$227,
  desp.m.ik[mes], "&gt;="&amp;G$1,
  desp.m.ik[mes], "&lt;"&amp;EOMONTH(G$1,0)+1
)</f>
        <v>0</v>
      </c>
      <c r="H244" s="183">
        <f ca="1">-SUMIFS(
  desp.m.ik[valor],
  desp.m.ik[nucleo], $B244,
  desp.m.ik[centro.negocio], $B$227,
  desp.m.ik[mes], "&gt;="&amp;H$1,
  desp.m.ik[mes], "&lt;"&amp;EOMONTH(H$1,0)+1
)</f>
        <v>0</v>
      </c>
      <c r="I244" s="183">
        <f ca="1">-SUMIFS(
  desp.m.ik[valor],
  desp.m.ik[nucleo], $B244,
  desp.m.ik[centro.negocio], $B$227,
  desp.m.ik[mes], "&gt;="&amp;I$1,
  desp.m.ik[mes], "&lt;"&amp;EOMONTH(I$1,0)+1
)</f>
        <v>0</v>
      </c>
      <c r="J244" s="183">
        <f ca="1">-SUMIFS(
  desp.m.ik[valor],
  desp.m.ik[nucleo], $B244,
  desp.m.ik[centro.negocio], $B$227,
  desp.m.ik[mes], "&gt;="&amp;J$1,
  desp.m.ik[mes], "&lt;"&amp;EOMONTH(J$1,0)+1
)</f>
        <v>0</v>
      </c>
      <c r="K244" s="183">
        <f ca="1">-SUMIFS(
  desp.m.ik[valor],
  desp.m.ik[nucleo], $B244,
  desp.m.ik[centro.negocio], $B$227,
  desp.m.ik[mes], "&gt;="&amp;K$1,
  desp.m.ik[mes], "&lt;"&amp;EOMONTH(K$1,0)+1
)</f>
        <v>0</v>
      </c>
      <c r="L244" s="183">
        <f ca="1">-SUMIFS(
  desp.m.ik[valor],
  desp.m.ik[nucleo], $B244,
  desp.m.ik[centro.negocio], $B$227,
  desp.m.ik[mes], "&gt;="&amp;L$1,
  desp.m.ik[mes], "&lt;"&amp;EOMONTH(L$1,0)+1
)</f>
        <v>0</v>
      </c>
      <c r="M244" s="183">
        <f ca="1">-SUMIFS(
  desp.m.ik[valor],
  desp.m.ik[nucleo], $B244,
  desp.m.ik[centro.negocio], $B$227,
  desp.m.ik[mes], "&gt;="&amp;M$1,
  desp.m.ik[mes], "&lt;"&amp;EOMONTH(M$1,0)+1
)</f>
        <v>0</v>
      </c>
      <c r="N244" s="183">
        <f ca="1">-SUMIFS(
  desp.m.ik[valor],
  desp.m.ik[nucleo], $B244,
  desp.m.ik[centro.negocio], $B$227,
  desp.m.ik[mes], "&gt;="&amp;N$1,
  desp.m.ik[mes], "&lt;"&amp;EOMONTH(N$1,0)+1
)</f>
        <v>0</v>
      </c>
      <c r="O244" s="183">
        <f ca="1">-SUMIFS(
  desp.m.ik[valor],
  desp.m.ik[nucleo], $B244,
  desp.m.ik[centro.negocio], $B$227,
  desp.m.ik[mes], "&gt;="&amp;O$1,
  desp.m.ik[mes], "&lt;"&amp;EOMONTH(O$1,0)+1
)</f>
        <v>0</v>
      </c>
      <c r="P244" s="183">
        <f ca="1">-SUMIFS(
  desp.m.ik[valor],
  desp.m.ik[nucleo], $B244,
  desp.m.ik[centro.negocio], $B$227,
  desp.m.ik[mes], "&gt;="&amp;P$1,
  desp.m.ik[mes], "&lt;"&amp;EOMONTH(P$1,0)+1
)</f>
        <v>0</v>
      </c>
      <c r="Q244" s="183">
        <f ca="1">-SUMIFS(
  desp.m.ik[valor],
  desp.m.ik[nucleo], $B244,
  desp.m.ik[centro.negocio], $B$227,
  desp.m.ik[mes], "&gt;="&amp;Q$1,
  desp.m.ik[mes], "&lt;"&amp;EOMONTH(Q$1,0)+1
)</f>
        <v>0</v>
      </c>
      <c r="R244" s="183">
        <f ca="1">-SUMIFS(
  desp.m.ik[valor],
  desp.m.ik[nucleo], $B244,
  desp.m.ik[centro.negocio], $B$227,
  desp.m.ik[mes], "&gt;="&amp;R$1,
  desp.m.ik[mes], "&lt;"&amp;EOMONTH(R$1,0)+1
)</f>
        <v>0</v>
      </c>
      <c r="S244" s="183">
        <f ca="1">-SUMIFS(
  desp.m.ik[valor],
  desp.m.ik[nucleo], $B244,
  desp.m.ik[centro.negocio], $B$227,
  desp.m.ik[mes], "&gt;="&amp;S$1,
  desp.m.ik[mes], "&lt;"&amp;EOMONTH(S$1,0)+1
)</f>
        <v>0</v>
      </c>
      <c r="T244" s="183">
        <f ca="1">-SUMIFS(
  desp.m.ik[valor],
  desp.m.ik[nucleo], $B244,
  desp.m.ik[centro.negocio], $B$227,
  desp.m.ik[mes], "&gt;="&amp;T$1,
  desp.m.ik[mes], "&lt;"&amp;EOMONTH(T$1,0)+1
)</f>
        <v>0</v>
      </c>
      <c r="U244" s="183">
        <f ca="1">-SUMIFS(
  desp.m.ik[valor],
  desp.m.ik[nucleo], $B244,
  desp.m.ik[centro.negocio], $B$227,
  desp.m.ik[mes], "&gt;="&amp;U$1,
  desp.m.ik[mes], "&lt;"&amp;EOMONTH(U$1,0)+1
)</f>
        <v>0</v>
      </c>
      <c r="V244" s="183">
        <f ca="1">-SUMIFS(
  desp.m.ik[valor],
  desp.m.ik[nucleo], $B244,
  desp.m.ik[centro.negocio], $B$227,
  desp.m.ik[mes], "&gt;="&amp;V$1,
  desp.m.ik[mes], "&lt;"&amp;EOMONTH(V$1,0)+1
)</f>
        <v>0</v>
      </c>
      <c r="W244" s="183">
        <f ca="1">-SUMIFS(
  desp.m.ik[valor],
  desp.m.ik[nucleo], $B244,
  desp.m.ik[centro.negocio], $B$227,
  desp.m.ik[mes], "&gt;="&amp;W$1,
  desp.m.ik[mes], "&lt;"&amp;EOMONTH(W$1,0)+1
)</f>
        <v>0</v>
      </c>
      <c r="X244" s="183">
        <f ca="1">-SUMIFS(
  desp.m.ik[valor],
  desp.m.ik[nucleo], $B244,
  desp.m.ik[centro.negocio], $B$227,
  desp.m.ik[mes], "&gt;="&amp;X$1,
  desp.m.ik[mes], "&lt;"&amp;EOMONTH(X$1,0)+1
)</f>
        <v>0</v>
      </c>
      <c r="Y244" s="183">
        <f ca="1">-SUMIFS(
  desp.m.ik[valor],
  desp.m.ik[nucleo], $B244,
  desp.m.ik[centro.negocio], $B$227,
  desp.m.ik[mes], "&gt;="&amp;Y$1,
  desp.m.ik[mes], "&lt;"&amp;EOMONTH(Y$1,0)+1
)</f>
        <v>0</v>
      </c>
      <c r="Z244" s="183">
        <f ca="1">-SUMIFS(
  desp.m.ik[valor],
  desp.m.ik[nucleo], $B244,
  desp.m.ik[centro.negocio], $B$227,
  desp.m.ik[mes], "&gt;="&amp;Z$1,
  desp.m.ik[mes], "&lt;"&amp;EOMONTH(Z$1,0)+1
)</f>
        <v>0</v>
      </c>
      <c r="AA244" s="183">
        <f ca="1">-SUMIFS(
  desp.m.ik[valor],
  desp.m.ik[nucleo], $B244,
  desp.m.ik[centro.negocio], $B$227,
  desp.m.ik[mes], "&gt;="&amp;AA$1,
  desp.m.ik[mes], "&lt;"&amp;EOMONTH(AA$1,0)+1
)</f>
        <v>0</v>
      </c>
      <c r="AC244" s="175">
        <f ca="1">SUM($D244:INDEX($D244:$AA244,1,MATCH(DATE(YEAR(inputs!$A$1),MONTH(inputs!$A$1),1),$D$1:$AA$1,0)))</f>
        <v>0</v>
      </c>
      <c r="AE244" s="175">
        <f t="shared" ca="1" si="40"/>
        <v>0</v>
      </c>
    </row>
    <row r="245" spans="1:31" outlineLevel="2" x14ac:dyDescent="0.25">
      <c r="A245" s="182" t="s">
        <v>705</v>
      </c>
      <c r="B245" s="182" t="s">
        <v>574</v>
      </c>
      <c r="C245" s="135" t="s">
        <v>514</v>
      </c>
      <c r="D245" s="183">
        <f ca="1">-SUMIFS(
  desp.m.ik[valor],
  desp.m.ik[nucleo], $B245,
  desp.m.ik[centro.negocio], $B$227,
  desp.m.ik[mes], "&gt;="&amp;D$1,
  desp.m.ik[mes], "&lt;"&amp;EOMONTH(D$1,0)+1
)</f>
        <v>0</v>
      </c>
      <c r="E245" s="183">
        <f ca="1">-SUMIFS(
  desp.m.ik[valor],
  desp.m.ik[nucleo], $B245,
  desp.m.ik[centro.negocio], $B$227,
  desp.m.ik[mes], "&gt;="&amp;E$1,
  desp.m.ik[mes], "&lt;"&amp;EOMONTH(E$1,0)+1
)</f>
        <v>0</v>
      </c>
      <c r="F245" s="183">
        <f ca="1">-SUMIFS(
  desp.m.ik[valor],
  desp.m.ik[nucleo], $B245,
  desp.m.ik[centro.negocio], $B$227,
  desp.m.ik[mes], "&gt;="&amp;F$1,
  desp.m.ik[mes], "&lt;"&amp;EOMONTH(F$1,0)+1
)</f>
        <v>0</v>
      </c>
      <c r="G245" s="183">
        <f ca="1">-SUMIFS(
  desp.m.ik[valor],
  desp.m.ik[nucleo], $B245,
  desp.m.ik[centro.negocio], $B$227,
  desp.m.ik[mes], "&gt;="&amp;G$1,
  desp.m.ik[mes], "&lt;"&amp;EOMONTH(G$1,0)+1
)</f>
        <v>0</v>
      </c>
      <c r="H245" s="183">
        <f ca="1">-SUMIFS(
  desp.m.ik[valor],
  desp.m.ik[nucleo], $B245,
  desp.m.ik[centro.negocio], $B$227,
  desp.m.ik[mes], "&gt;="&amp;H$1,
  desp.m.ik[mes], "&lt;"&amp;EOMONTH(H$1,0)+1
)</f>
        <v>0</v>
      </c>
      <c r="I245" s="183">
        <f ca="1">-SUMIFS(
  desp.m.ik[valor],
  desp.m.ik[nucleo], $B245,
  desp.m.ik[centro.negocio], $B$227,
  desp.m.ik[mes], "&gt;="&amp;I$1,
  desp.m.ik[mes], "&lt;"&amp;EOMONTH(I$1,0)+1
)</f>
        <v>0</v>
      </c>
      <c r="J245" s="183">
        <f ca="1">-SUMIFS(
  desp.m.ik[valor],
  desp.m.ik[nucleo], $B245,
  desp.m.ik[centro.negocio], $B$227,
  desp.m.ik[mes], "&gt;="&amp;J$1,
  desp.m.ik[mes], "&lt;"&amp;EOMONTH(J$1,0)+1
)</f>
        <v>0</v>
      </c>
      <c r="K245" s="183">
        <f ca="1">-SUMIFS(
  desp.m.ik[valor],
  desp.m.ik[nucleo], $B245,
  desp.m.ik[centro.negocio], $B$227,
  desp.m.ik[mes], "&gt;="&amp;K$1,
  desp.m.ik[mes], "&lt;"&amp;EOMONTH(K$1,0)+1
)</f>
        <v>0</v>
      </c>
      <c r="L245" s="183">
        <f ca="1">-SUMIFS(
  desp.m.ik[valor],
  desp.m.ik[nucleo], $B245,
  desp.m.ik[centro.negocio], $B$227,
  desp.m.ik[mes], "&gt;="&amp;L$1,
  desp.m.ik[mes], "&lt;"&amp;EOMONTH(L$1,0)+1
)</f>
        <v>0</v>
      </c>
      <c r="M245" s="183">
        <f ca="1">-SUMIFS(
  desp.m.ik[valor],
  desp.m.ik[nucleo], $B245,
  desp.m.ik[centro.negocio], $B$227,
  desp.m.ik[mes], "&gt;="&amp;M$1,
  desp.m.ik[mes], "&lt;"&amp;EOMONTH(M$1,0)+1
)</f>
        <v>0</v>
      </c>
      <c r="N245" s="183">
        <f ca="1">-SUMIFS(
  desp.m.ik[valor],
  desp.m.ik[nucleo], $B245,
  desp.m.ik[centro.negocio], $B$227,
  desp.m.ik[mes], "&gt;="&amp;N$1,
  desp.m.ik[mes], "&lt;"&amp;EOMONTH(N$1,0)+1
)</f>
        <v>0</v>
      </c>
      <c r="O245" s="183">
        <f ca="1">-SUMIFS(
  desp.m.ik[valor],
  desp.m.ik[nucleo], $B245,
  desp.m.ik[centro.negocio], $B$227,
  desp.m.ik[mes], "&gt;="&amp;O$1,
  desp.m.ik[mes], "&lt;"&amp;EOMONTH(O$1,0)+1
)</f>
        <v>0</v>
      </c>
      <c r="P245" s="183">
        <f ca="1">-SUMIFS(
  desp.m.ik[valor],
  desp.m.ik[nucleo], $B245,
  desp.m.ik[centro.negocio], $B$227,
  desp.m.ik[mes], "&gt;="&amp;P$1,
  desp.m.ik[mes], "&lt;"&amp;EOMONTH(P$1,0)+1
)</f>
        <v>0</v>
      </c>
      <c r="Q245" s="183">
        <f ca="1">-SUMIFS(
  desp.m.ik[valor],
  desp.m.ik[nucleo], $B245,
  desp.m.ik[centro.negocio], $B$227,
  desp.m.ik[mes], "&gt;="&amp;Q$1,
  desp.m.ik[mes], "&lt;"&amp;EOMONTH(Q$1,0)+1
)</f>
        <v>0</v>
      </c>
      <c r="R245" s="183">
        <f ca="1">-SUMIFS(
  desp.m.ik[valor],
  desp.m.ik[nucleo], $B245,
  desp.m.ik[centro.negocio], $B$227,
  desp.m.ik[mes], "&gt;="&amp;R$1,
  desp.m.ik[mes], "&lt;"&amp;EOMONTH(R$1,0)+1
)</f>
        <v>0</v>
      </c>
      <c r="S245" s="183">
        <f ca="1">-SUMIFS(
  desp.m.ik[valor],
  desp.m.ik[nucleo], $B245,
  desp.m.ik[centro.negocio], $B$227,
  desp.m.ik[mes], "&gt;="&amp;S$1,
  desp.m.ik[mes], "&lt;"&amp;EOMONTH(S$1,0)+1
)</f>
        <v>0</v>
      </c>
      <c r="T245" s="183">
        <f ca="1">-SUMIFS(
  desp.m.ik[valor],
  desp.m.ik[nucleo], $B245,
  desp.m.ik[centro.negocio], $B$227,
  desp.m.ik[mes], "&gt;="&amp;T$1,
  desp.m.ik[mes], "&lt;"&amp;EOMONTH(T$1,0)+1
)</f>
        <v>0</v>
      </c>
      <c r="U245" s="183">
        <f ca="1">-SUMIFS(
  desp.m.ik[valor],
  desp.m.ik[nucleo], $B245,
  desp.m.ik[centro.negocio], $B$227,
  desp.m.ik[mes], "&gt;="&amp;U$1,
  desp.m.ik[mes], "&lt;"&amp;EOMONTH(U$1,0)+1
)</f>
        <v>0</v>
      </c>
      <c r="V245" s="183">
        <f ca="1">-SUMIFS(
  desp.m.ik[valor],
  desp.m.ik[nucleo], $B245,
  desp.m.ik[centro.negocio], $B$227,
  desp.m.ik[mes], "&gt;="&amp;V$1,
  desp.m.ik[mes], "&lt;"&amp;EOMONTH(V$1,0)+1
)</f>
        <v>0</v>
      </c>
      <c r="W245" s="183">
        <f ca="1">-SUMIFS(
  desp.m.ik[valor],
  desp.m.ik[nucleo], $B245,
  desp.m.ik[centro.negocio], $B$227,
  desp.m.ik[mes], "&gt;="&amp;W$1,
  desp.m.ik[mes], "&lt;"&amp;EOMONTH(W$1,0)+1
)</f>
        <v>0</v>
      </c>
      <c r="X245" s="183">
        <f ca="1">-SUMIFS(
  desp.m.ik[valor],
  desp.m.ik[nucleo], $B245,
  desp.m.ik[centro.negocio], $B$227,
  desp.m.ik[mes], "&gt;="&amp;X$1,
  desp.m.ik[mes], "&lt;"&amp;EOMONTH(X$1,0)+1
)</f>
        <v>0</v>
      </c>
      <c r="Y245" s="183">
        <f ca="1">-SUMIFS(
  desp.m.ik[valor],
  desp.m.ik[nucleo], $B245,
  desp.m.ik[centro.negocio], $B$227,
  desp.m.ik[mes], "&gt;="&amp;Y$1,
  desp.m.ik[mes], "&lt;"&amp;EOMONTH(Y$1,0)+1
)</f>
        <v>0</v>
      </c>
      <c r="Z245" s="183">
        <f ca="1">-SUMIFS(
  desp.m.ik[valor],
  desp.m.ik[nucleo], $B245,
  desp.m.ik[centro.negocio], $B$227,
  desp.m.ik[mes], "&gt;="&amp;Z$1,
  desp.m.ik[mes], "&lt;"&amp;EOMONTH(Z$1,0)+1
)</f>
        <v>0</v>
      </c>
      <c r="AA245" s="183">
        <f ca="1">-SUMIFS(
  desp.m.ik[valor],
  desp.m.ik[nucleo], $B245,
  desp.m.ik[centro.negocio], $B$227,
  desp.m.ik[mes], "&gt;="&amp;AA$1,
  desp.m.ik[mes], "&lt;"&amp;EOMONTH(AA$1,0)+1
)</f>
        <v>0</v>
      </c>
      <c r="AC245" s="175">
        <f ca="1">SUM($D245:INDEX($D245:$AA245,1,MATCH(DATE(YEAR(inputs!$A$1),MONTH(inputs!$A$1),1),$D$1:$AA$1,0)))</f>
        <v>0</v>
      </c>
      <c r="AE245" s="175">
        <f t="shared" ca="1" si="40"/>
        <v>0</v>
      </c>
    </row>
    <row r="246" spans="1:31" outlineLevel="2" x14ac:dyDescent="0.25">
      <c r="A246" s="182" t="s">
        <v>816</v>
      </c>
      <c r="B246" s="182" t="s">
        <v>571</v>
      </c>
      <c r="C246" s="135" t="s">
        <v>514</v>
      </c>
      <c r="D246" s="183">
        <f ca="1">-SUMIFS(
  desp.m.ik[valor],
  desp.m.ik[nucleo], $B246,
  desp.m.ik[centro.negocio], $B$227,
  desp.m.ik[mes], "&gt;="&amp;D$1,
  desp.m.ik[mes], "&lt;"&amp;EOMONTH(D$1,0)+1
)</f>
        <v>0</v>
      </c>
      <c r="E246" s="183">
        <f ca="1">-SUMIFS(
  desp.m.ik[valor],
  desp.m.ik[nucleo], $B246,
  desp.m.ik[centro.negocio], $B$227,
  desp.m.ik[mes], "&gt;="&amp;E$1,
  desp.m.ik[mes], "&lt;"&amp;EOMONTH(E$1,0)+1
)</f>
        <v>0</v>
      </c>
      <c r="F246" s="183">
        <f ca="1">-SUMIFS(
  desp.m.ik[valor],
  desp.m.ik[nucleo], $B246,
  desp.m.ik[centro.negocio], $B$227,
  desp.m.ik[mes], "&gt;="&amp;F$1,
  desp.m.ik[mes], "&lt;"&amp;EOMONTH(F$1,0)+1
)</f>
        <v>0</v>
      </c>
      <c r="G246" s="183">
        <f ca="1">-SUMIFS(
  desp.m.ik[valor],
  desp.m.ik[nucleo], $B246,
  desp.m.ik[centro.negocio], $B$227,
  desp.m.ik[mes], "&gt;="&amp;G$1,
  desp.m.ik[mes], "&lt;"&amp;EOMONTH(G$1,0)+1
)</f>
        <v>0</v>
      </c>
      <c r="H246" s="183">
        <f ca="1">-SUMIFS(
  desp.m.ik[valor],
  desp.m.ik[nucleo], $B246,
  desp.m.ik[centro.negocio], $B$227,
  desp.m.ik[mes], "&gt;="&amp;H$1,
  desp.m.ik[mes], "&lt;"&amp;EOMONTH(H$1,0)+1
)</f>
        <v>0</v>
      </c>
      <c r="I246" s="183">
        <f ca="1">-SUMIFS(
  desp.m.ik[valor],
  desp.m.ik[nucleo], $B246,
  desp.m.ik[centro.negocio], $B$227,
  desp.m.ik[mes], "&gt;="&amp;I$1,
  desp.m.ik[mes], "&lt;"&amp;EOMONTH(I$1,0)+1
)</f>
        <v>0</v>
      </c>
      <c r="J246" s="183">
        <f ca="1">-SUMIFS(
  desp.m.ik[valor],
  desp.m.ik[nucleo], $B246,
  desp.m.ik[centro.negocio], $B$227,
  desp.m.ik[mes], "&gt;="&amp;J$1,
  desp.m.ik[mes], "&lt;"&amp;EOMONTH(J$1,0)+1
)</f>
        <v>0</v>
      </c>
      <c r="K246" s="183">
        <f ca="1">-SUMIFS(
  desp.m.ik[valor],
  desp.m.ik[nucleo], $B246,
  desp.m.ik[centro.negocio], $B$227,
  desp.m.ik[mes], "&gt;="&amp;K$1,
  desp.m.ik[mes], "&lt;"&amp;EOMONTH(K$1,0)+1
)</f>
        <v>0</v>
      </c>
      <c r="L246" s="183">
        <f ca="1">-SUMIFS(
  desp.m.ik[valor],
  desp.m.ik[nucleo], $B246,
  desp.m.ik[centro.negocio], $B$227,
  desp.m.ik[mes], "&gt;="&amp;L$1,
  desp.m.ik[mes], "&lt;"&amp;EOMONTH(L$1,0)+1
)</f>
        <v>0</v>
      </c>
      <c r="M246" s="183">
        <f ca="1">-SUMIFS(
  desp.m.ik[valor],
  desp.m.ik[nucleo], $B246,
  desp.m.ik[centro.negocio], $B$227,
  desp.m.ik[mes], "&gt;="&amp;M$1,
  desp.m.ik[mes], "&lt;"&amp;EOMONTH(M$1,0)+1
)</f>
        <v>0</v>
      </c>
      <c r="N246" s="183">
        <f ca="1">-SUMIFS(
  desp.m.ik[valor],
  desp.m.ik[nucleo], $B246,
  desp.m.ik[centro.negocio], $B$227,
  desp.m.ik[mes], "&gt;="&amp;N$1,
  desp.m.ik[mes], "&lt;"&amp;EOMONTH(N$1,0)+1
)</f>
        <v>0</v>
      </c>
      <c r="O246" s="183">
        <f ca="1">-SUMIFS(
  desp.m.ik[valor],
  desp.m.ik[nucleo], $B246,
  desp.m.ik[centro.negocio], $B$227,
  desp.m.ik[mes], "&gt;="&amp;O$1,
  desp.m.ik[mes], "&lt;"&amp;EOMONTH(O$1,0)+1
)</f>
        <v>0</v>
      </c>
      <c r="P246" s="183">
        <f ca="1">-SUMIFS(
  desp.m.ik[valor],
  desp.m.ik[nucleo], $B246,
  desp.m.ik[centro.negocio], $B$227,
  desp.m.ik[mes], "&gt;="&amp;P$1,
  desp.m.ik[mes], "&lt;"&amp;EOMONTH(P$1,0)+1
)</f>
        <v>0</v>
      </c>
      <c r="Q246" s="183">
        <f ca="1">-SUMIFS(
  desp.m.ik[valor],
  desp.m.ik[nucleo], $B246,
  desp.m.ik[centro.negocio], $B$227,
  desp.m.ik[mes], "&gt;="&amp;Q$1,
  desp.m.ik[mes], "&lt;"&amp;EOMONTH(Q$1,0)+1
)</f>
        <v>0</v>
      </c>
      <c r="R246" s="183">
        <f ca="1">-SUMIFS(
  desp.m.ik[valor],
  desp.m.ik[nucleo], $B246,
  desp.m.ik[centro.negocio], $B$227,
  desp.m.ik[mes], "&gt;="&amp;R$1,
  desp.m.ik[mes], "&lt;"&amp;EOMONTH(R$1,0)+1
)</f>
        <v>0</v>
      </c>
      <c r="S246" s="183">
        <f ca="1">-SUMIFS(
  desp.m.ik[valor],
  desp.m.ik[nucleo], $B246,
  desp.m.ik[centro.negocio], $B$227,
  desp.m.ik[mes], "&gt;="&amp;S$1,
  desp.m.ik[mes], "&lt;"&amp;EOMONTH(S$1,0)+1
)</f>
        <v>0</v>
      </c>
      <c r="T246" s="183">
        <f ca="1">-SUMIFS(
  desp.m.ik[valor],
  desp.m.ik[nucleo], $B246,
  desp.m.ik[centro.negocio], $B$227,
  desp.m.ik[mes], "&gt;="&amp;T$1,
  desp.m.ik[mes], "&lt;"&amp;EOMONTH(T$1,0)+1
)</f>
        <v>0</v>
      </c>
      <c r="U246" s="183">
        <f ca="1">-SUMIFS(
  desp.m.ik[valor],
  desp.m.ik[nucleo], $B246,
  desp.m.ik[centro.negocio], $B$227,
  desp.m.ik[mes], "&gt;="&amp;U$1,
  desp.m.ik[mes], "&lt;"&amp;EOMONTH(U$1,0)+1
)</f>
        <v>0</v>
      </c>
      <c r="V246" s="183">
        <f ca="1">-SUMIFS(
  desp.m.ik[valor],
  desp.m.ik[nucleo], $B246,
  desp.m.ik[centro.negocio], $B$227,
  desp.m.ik[mes], "&gt;="&amp;V$1,
  desp.m.ik[mes], "&lt;"&amp;EOMONTH(V$1,0)+1
)</f>
        <v>0</v>
      </c>
      <c r="W246" s="183">
        <f ca="1">-SUMIFS(
  desp.m.ik[valor],
  desp.m.ik[nucleo], $B246,
  desp.m.ik[centro.negocio], $B$227,
  desp.m.ik[mes], "&gt;="&amp;W$1,
  desp.m.ik[mes], "&lt;"&amp;EOMONTH(W$1,0)+1
)</f>
        <v>0</v>
      </c>
      <c r="X246" s="183">
        <f ca="1">-SUMIFS(
  desp.m.ik[valor],
  desp.m.ik[nucleo], $B246,
  desp.m.ik[centro.negocio], $B$227,
  desp.m.ik[mes], "&gt;="&amp;X$1,
  desp.m.ik[mes], "&lt;"&amp;EOMONTH(X$1,0)+1
)</f>
        <v>0</v>
      </c>
      <c r="Y246" s="183">
        <f ca="1">-SUMIFS(
  desp.m.ik[valor],
  desp.m.ik[nucleo], $B246,
  desp.m.ik[centro.negocio], $B$227,
  desp.m.ik[mes], "&gt;="&amp;Y$1,
  desp.m.ik[mes], "&lt;"&amp;EOMONTH(Y$1,0)+1
)</f>
        <v>0</v>
      </c>
      <c r="Z246" s="183">
        <f ca="1">-SUMIFS(
  desp.m.ik[valor],
  desp.m.ik[nucleo], $B246,
  desp.m.ik[centro.negocio], $B$227,
  desp.m.ik[mes], "&gt;="&amp;Z$1,
  desp.m.ik[mes], "&lt;"&amp;EOMONTH(Z$1,0)+1
)</f>
        <v>0</v>
      </c>
      <c r="AA246" s="183">
        <f ca="1">-SUMIFS(
  desp.m.ik[valor],
  desp.m.ik[nucleo], $B246,
  desp.m.ik[centro.negocio], $B$227,
  desp.m.ik[mes], "&gt;="&amp;AA$1,
  desp.m.ik[mes], "&lt;"&amp;EOMONTH(AA$1,0)+1
)</f>
        <v>0</v>
      </c>
      <c r="AC246" s="175">
        <f ca="1">SUM($D246:INDEX($D246:$AA246,1,MATCH(DATE(YEAR(inputs!$A$1),MONTH(inputs!$A$1),1),$D$1:$AA$1,0)))</f>
        <v>0</v>
      </c>
      <c r="AE246" s="175">
        <f t="shared" ca="1" si="40"/>
        <v>0</v>
      </c>
    </row>
    <row r="247" spans="1:31" outlineLevel="2" x14ac:dyDescent="0.25">
      <c r="A247" s="182" t="s">
        <v>1124</v>
      </c>
      <c r="B247" s="182" t="s">
        <v>721</v>
      </c>
      <c r="C247" s="135" t="s">
        <v>514</v>
      </c>
      <c r="D247" s="183">
        <f ca="1">-SUMIFS(
  desp.m.ik[valor],
  desp.m.ik[nucleo], $B247,
  desp.m.ik[centro.negocio], $B$227,
  desp.m.ik[mes], "&gt;="&amp;D$1,
  desp.m.ik[mes], "&lt;"&amp;EOMONTH(D$1,0)+1
)</f>
        <v>0</v>
      </c>
      <c r="E247" s="183">
        <f ca="1">-SUMIFS(
  desp.m.ik[valor],
  desp.m.ik[nucleo], $B247,
  desp.m.ik[centro.negocio], $B$227,
  desp.m.ik[mes], "&gt;="&amp;E$1,
  desp.m.ik[mes], "&lt;"&amp;EOMONTH(E$1,0)+1
)</f>
        <v>0</v>
      </c>
      <c r="F247" s="183">
        <f ca="1">-SUMIFS(
  desp.m.ik[valor],
  desp.m.ik[nucleo], $B247,
  desp.m.ik[centro.negocio], $B$227,
  desp.m.ik[mes], "&gt;="&amp;F$1,
  desp.m.ik[mes], "&lt;"&amp;EOMONTH(F$1,0)+1
)</f>
        <v>0</v>
      </c>
      <c r="G247" s="183">
        <f ca="1">-SUMIFS(
  desp.m.ik[valor],
  desp.m.ik[nucleo], $B247,
  desp.m.ik[centro.negocio], $B$227,
  desp.m.ik[mes], "&gt;="&amp;G$1,
  desp.m.ik[mes], "&lt;"&amp;EOMONTH(G$1,0)+1
)</f>
        <v>0</v>
      </c>
      <c r="H247" s="183">
        <f ca="1">-SUMIFS(
  desp.m.ik[valor],
  desp.m.ik[nucleo], $B247,
  desp.m.ik[centro.negocio], $B$227,
  desp.m.ik[mes], "&gt;="&amp;H$1,
  desp.m.ik[mes], "&lt;"&amp;EOMONTH(H$1,0)+1
)</f>
        <v>0</v>
      </c>
      <c r="I247" s="183">
        <f ca="1">-SUMIFS(
  desp.m.ik[valor],
  desp.m.ik[nucleo], $B247,
  desp.m.ik[centro.negocio], $B$227,
  desp.m.ik[mes], "&gt;="&amp;I$1,
  desp.m.ik[mes], "&lt;"&amp;EOMONTH(I$1,0)+1
)</f>
        <v>0</v>
      </c>
      <c r="J247" s="183">
        <f ca="1">-SUMIFS(
  desp.m.ik[valor],
  desp.m.ik[nucleo], $B247,
  desp.m.ik[centro.negocio], $B$227,
  desp.m.ik[mes], "&gt;="&amp;J$1,
  desp.m.ik[mes], "&lt;"&amp;EOMONTH(J$1,0)+1
)</f>
        <v>0</v>
      </c>
      <c r="K247" s="183">
        <f ca="1">-SUMIFS(
  desp.m.ik[valor],
  desp.m.ik[nucleo], $B247,
  desp.m.ik[centro.negocio], $B$227,
  desp.m.ik[mes], "&gt;="&amp;K$1,
  desp.m.ik[mes], "&lt;"&amp;EOMONTH(K$1,0)+1
)</f>
        <v>0</v>
      </c>
      <c r="L247" s="183">
        <f ca="1">-SUMIFS(
  desp.m.ik[valor],
  desp.m.ik[nucleo], $B247,
  desp.m.ik[centro.negocio], $B$227,
  desp.m.ik[mes], "&gt;="&amp;L$1,
  desp.m.ik[mes], "&lt;"&amp;EOMONTH(L$1,0)+1
)</f>
        <v>0</v>
      </c>
      <c r="M247" s="183">
        <f ca="1">-SUMIFS(
  desp.m.ik[valor],
  desp.m.ik[nucleo], $B247,
  desp.m.ik[centro.negocio], $B$227,
  desp.m.ik[mes], "&gt;="&amp;M$1,
  desp.m.ik[mes], "&lt;"&amp;EOMONTH(M$1,0)+1
)</f>
        <v>0</v>
      </c>
      <c r="N247" s="183">
        <f ca="1">-SUMIFS(
  desp.m.ik[valor],
  desp.m.ik[nucleo], $B247,
  desp.m.ik[centro.negocio], $B$227,
  desp.m.ik[mes], "&gt;="&amp;N$1,
  desp.m.ik[mes], "&lt;"&amp;EOMONTH(N$1,0)+1
)</f>
        <v>0</v>
      </c>
      <c r="O247" s="183">
        <f ca="1">-SUMIFS(
  desp.m.ik[valor],
  desp.m.ik[nucleo], $B247,
  desp.m.ik[centro.negocio], $B$227,
  desp.m.ik[mes], "&gt;="&amp;O$1,
  desp.m.ik[mes], "&lt;"&amp;EOMONTH(O$1,0)+1
)</f>
        <v>0</v>
      </c>
      <c r="P247" s="183">
        <f ca="1">-SUMIFS(
  desp.m.ik[valor],
  desp.m.ik[nucleo], $B247,
  desp.m.ik[centro.negocio], $B$227,
  desp.m.ik[mes], "&gt;="&amp;P$1,
  desp.m.ik[mes], "&lt;"&amp;EOMONTH(P$1,0)+1
)</f>
        <v>0</v>
      </c>
      <c r="Q247" s="183">
        <f ca="1">-SUMIFS(
  desp.m.ik[valor],
  desp.m.ik[nucleo], $B247,
  desp.m.ik[centro.negocio], $B$227,
  desp.m.ik[mes], "&gt;="&amp;Q$1,
  desp.m.ik[mes], "&lt;"&amp;EOMONTH(Q$1,0)+1
)</f>
        <v>0</v>
      </c>
      <c r="R247" s="183">
        <f ca="1">-SUMIFS(
  desp.m.ik[valor],
  desp.m.ik[nucleo], $B247,
  desp.m.ik[centro.negocio], $B$227,
  desp.m.ik[mes], "&gt;="&amp;R$1,
  desp.m.ik[mes], "&lt;"&amp;EOMONTH(R$1,0)+1
)</f>
        <v>0</v>
      </c>
      <c r="S247" s="183">
        <f ca="1">-SUMIFS(
  desp.m.ik[valor],
  desp.m.ik[nucleo], $B247,
  desp.m.ik[centro.negocio], $B$227,
  desp.m.ik[mes], "&gt;="&amp;S$1,
  desp.m.ik[mes], "&lt;"&amp;EOMONTH(S$1,0)+1
)</f>
        <v>0</v>
      </c>
      <c r="T247" s="183">
        <f ca="1">-SUMIFS(
  desp.m.ik[valor],
  desp.m.ik[nucleo], $B247,
  desp.m.ik[centro.negocio], $B$227,
  desp.m.ik[mes], "&gt;="&amp;T$1,
  desp.m.ik[mes], "&lt;"&amp;EOMONTH(T$1,0)+1
)</f>
        <v>0</v>
      </c>
      <c r="U247" s="183">
        <f ca="1">-SUMIFS(
  desp.m.ik[valor],
  desp.m.ik[nucleo], $B247,
  desp.m.ik[centro.negocio], $B$227,
  desp.m.ik[mes], "&gt;="&amp;U$1,
  desp.m.ik[mes], "&lt;"&amp;EOMONTH(U$1,0)+1
)</f>
        <v>0</v>
      </c>
      <c r="V247" s="183">
        <f ca="1">-SUMIFS(
  desp.m.ik[valor],
  desp.m.ik[nucleo], $B247,
  desp.m.ik[centro.negocio], $B$227,
  desp.m.ik[mes], "&gt;="&amp;V$1,
  desp.m.ik[mes], "&lt;"&amp;EOMONTH(V$1,0)+1
)</f>
        <v>0</v>
      </c>
      <c r="W247" s="183">
        <f ca="1">-SUMIFS(
  desp.m.ik[valor],
  desp.m.ik[nucleo], $B247,
  desp.m.ik[centro.negocio], $B$227,
  desp.m.ik[mes], "&gt;="&amp;W$1,
  desp.m.ik[mes], "&lt;"&amp;EOMONTH(W$1,0)+1
)</f>
        <v>0</v>
      </c>
      <c r="X247" s="183">
        <f ca="1">-SUMIFS(
  desp.m.ik[valor],
  desp.m.ik[nucleo], $B247,
  desp.m.ik[centro.negocio], $B$227,
  desp.m.ik[mes], "&gt;="&amp;X$1,
  desp.m.ik[mes], "&lt;"&amp;EOMONTH(X$1,0)+1
)</f>
        <v>0</v>
      </c>
      <c r="Y247" s="183">
        <f ca="1">-SUMIFS(
  desp.m.ik[valor],
  desp.m.ik[nucleo], $B247,
  desp.m.ik[centro.negocio], $B$227,
  desp.m.ik[mes], "&gt;="&amp;Y$1,
  desp.m.ik[mes], "&lt;"&amp;EOMONTH(Y$1,0)+1
)</f>
        <v>0</v>
      </c>
      <c r="Z247" s="183">
        <f ca="1">-SUMIFS(
  desp.m.ik[valor],
  desp.m.ik[nucleo], $B247,
  desp.m.ik[centro.negocio], $B$227,
  desp.m.ik[mes], "&gt;="&amp;Z$1,
  desp.m.ik[mes], "&lt;"&amp;EOMONTH(Z$1,0)+1
)</f>
        <v>0</v>
      </c>
      <c r="AA247" s="183">
        <f ca="1">-SUMIFS(
  desp.m.ik[valor],
  desp.m.ik[nucleo], $B247,
  desp.m.ik[centro.negocio], $B$227,
  desp.m.ik[mes], "&gt;="&amp;AA$1,
  desp.m.ik[mes], "&lt;"&amp;EOMONTH(AA$1,0)+1
)</f>
        <v>0</v>
      </c>
      <c r="AC247" s="175">
        <f ca="1">SUM($D247:INDEX($D247:$AA247,1,MATCH(DATE(YEAR(inputs!$A$1),MONTH(inputs!$A$1),1),$D$1:$AA$1,0)))</f>
        <v>0</v>
      </c>
      <c r="AE247" s="175">
        <f ca="1">SUM(D247:AA247)</f>
        <v>0</v>
      </c>
    </row>
    <row r="248" spans="1:31" outlineLevel="2" x14ac:dyDescent="0.25">
      <c r="A248" s="182" t="s">
        <v>818</v>
      </c>
      <c r="B248" s="182" t="s">
        <v>580</v>
      </c>
      <c r="C248" s="135" t="s">
        <v>514</v>
      </c>
      <c r="D248" s="183">
        <f ca="1">-SUMIFS(
  desp.m.ik[valor],
  desp.m.ik[nucleo], $B248,
  desp.m.ik[centro.negocio], $B$227,
  desp.m.ik[mes], "&gt;="&amp;D$1,
  desp.m.ik[mes], "&lt;"&amp;EOMONTH(D$1,0)+1
)</f>
        <v>0</v>
      </c>
      <c r="E248" s="183">
        <f ca="1">-SUMIFS(
  desp.m.ik[valor],
  desp.m.ik[nucleo], $B248,
  desp.m.ik[centro.negocio], $B$227,
  desp.m.ik[mes], "&gt;="&amp;E$1,
  desp.m.ik[mes], "&lt;"&amp;EOMONTH(E$1,0)+1
)</f>
        <v>0</v>
      </c>
      <c r="F248" s="183">
        <f ca="1">-SUMIFS(
  desp.m.ik[valor],
  desp.m.ik[nucleo], $B248,
  desp.m.ik[centro.negocio], $B$227,
  desp.m.ik[mes], "&gt;="&amp;F$1,
  desp.m.ik[mes], "&lt;"&amp;EOMONTH(F$1,0)+1
)</f>
        <v>0</v>
      </c>
      <c r="G248" s="183">
        <f ca="1">-SUMIFS(
  desp.m.ik[valor],
  desp.m.ik[nucleo], $B248,
  desp.m.ik[centro.negocio], $B$227,
  desp.m.ik[mes], "&gt;="&amp;G$1,
  desp.m.ik[mes], "&lt;"&amp;EOMONTH(G$1,0)+1
)</f>
        <v>0</v>
      </c>
      <c r="H248" s="183">
        <f ca="1">-SUMIFS(
  desp.m.ik[valor],
  desp.m.ik[nucleo], $B248,
  desp.m.ik[centro.negocio], $B$227,
  desp.m.ik[mes], "&gt;="&amp;H$1,
  desp.m.ik[mes], "&lt;"&amp;EOMONTH(H$1,0)+1
)</f>
        <v>0</v>
      </c>
      <c r="I248" s="183">
        <f ca="1">-SUMIFS(
  desp.m.ik[valor],
  desp.m.ik[nucleo], $B248,
  desp.m.ik[centro.negocio], $B$227,
  desp.m.ik[mes], "&gt;="&amp;I$1,
  desp.m.ik[mes], "&lt;"&amp;EOMONTH(I$1,0)+1
)</f>
        <v>0</v>
      </c>
      <c r="J248" s="183">
        <f ca="1">-SUMIFS(
  desp.m.ik[valor],
  desp.m.ik[nucleo], $B248,
  desp.m.ik[centro.negocio], $B$227,
  desp.m.ik[mes], "&gt;="&amp;J$1,
  desp.m.ik[mes], "&lt;"&amp;EOMONTH(J$1,0)+1
)</f>
        <v>0</v>
      </c>
      <c r="K248" s="183">
        <f ca="1">-SUMIFS(
  desp.m.ik[valor],
  desp.m.ik[nucleo], $B248,
  desp.m.ik[centro.negocio], $B$227,
  desp.m.ik[mes], "&gt;="&amp;K$1,
  desp.m.ik[mes], "&lt;"&amp;EOMONTH(K$1,0)+1
)</f>
        <v>0</v>
      </c>
      <c r="L248" s="183">
        <f ca="1">-SUMIFS(
  desp.m.ik[valor],
  desp.m.ik[nucleo], $B248,
  desp.m.ik[centro.negocio], $B$227,
  desp.m.ik[mes], "&gt;="&amp;L$1,
  desp.m.ik[mes], "&lt;"&amp;EOMONTH(L$1,0)+1
)</f>
        <v>0</v>
      </c>
      <c r="M248" s="183">
        <f ca="1">-SUMIFS(
  desp.m.ik[valor],
  desp.m.ik[nucleo], $B248,
  desp.m.ik[centro.negocio], $B$227,
  desp.m.ik[mes], "&gt;="&amp;M$1,
  desp.m.ik[mes], "&lt;"&amp;EOMONTH(M$1,0)+1
)</f>
        <v>0</v>
      </c>
      <c r="N248" s="183">
        <f ca="1">-SUMIFS(
  desp.m.ik[valor],
  desp.m.ik[nucleo], $B248,
  desp.m.ik[centro.negocio], $B$227,
  desp.m.ik[mes], "&gt;="&amp;N$1,
  desp.m.ik[mes], "&lt;"&amp;EOMONTH(N$1,0)+1
)</f>
        <v>0</v>
      </c>
      <c r="O248" s="183">
        <f ca="1">-SUMIFS(
  desp.m.ik[valor],
  desp.m.ik[nucleo], $B248,
  desp.m.ik[centro.negocio], $B$227,
  desp.m.ik[mes], "&gt;="&amp;O$1,
  desp.m.ik[mes], "&lt;"&amp;EOMONTH(O$1,0)+1
)</f>
        <v>0</v>
      </c>
      <c r="P248" s="183">
        <f ca="1">-SUMIFS(
  desp.m.ik[valor],
  desp.m.ik[nucleo], $B248,
  desp.m.ik[centro.negocio], $B$227,
  desp.m.ik[mes], "&gt;="&amp;P$1,
  desp.m.ik[mes], "&lt;"&amp;EOMONTH(P$1,0)+1
)</f>
        <v>0</v>
      </c>
      <c r="Q248" s="183">
        <f ca="1">-SUMIFS(
  desp.m.ik[valor],
  desp.m.ik[nucleo], $B248,
  desp.m.ik[centro.negocio], $B$227,
  desp.m.ik[mes], "&gt;="&amp;Q$1,
  desp.m.ik[mes], "&lt;"&amp;EOMONTH(Q$1,0)+1
)</f>
        <v>0</v>
      </c>
      <c r="R248" s="183">
        <f ca="1">-SUMIFS(
  desp.m.ik[valor],
  desp.m.ik[nucleo], $B248,
  desp.m.ik[centro.negocio], $B$227,
  desp.m.ik[mes], "&gt;="&amp;R$1,
  desp.m.ik[mes], "&lt;"&amp;EOMONTH(R$1,0)+1
)</f>
        <v>0</v>
      </c>
      <c r="S248" s="183">
        <f ca="1">-SUMIFS(
  desp.m.ik[valor],
  desp.m.ik[nucleo], $B248,
  desp.m.ik[centro.negocio], $B$227,
  desp.m.ik[mes], "&gt;="&amp;S$1,
  desp.m.ik[mes], "&lt;"&amp;EOMONTH(S$1,0)+1
)</f>
        <v>0</v>
      </c>
      <c r="T248" s="183">
        <f ca="1">-SUMIFS(
  desp.m.ik[valor],
  desp.m.ik[nucleo], $B248,
  desp.m.ik[centro.negocio], $B$227,
  desp.m.ik[mes], "&gt;="&amp;T$1,
  desp.m.ik[mes], "&lt;"&amp;EOMONTH(T$1,0)+1
)</f>
        <v>0</v>
      </c>
      <c r="U248" s="183">
        <f ca="1">-SUMIFS(
  desp.m.ik[valor],
  desp.m.ik[nucleo], $B248,
  desp.m.ik[centro.negocio], $B$227,
  desp.m.ik[mes], "&gt;="&amp;U$1,
  desp.m.ik[mes], "&lt;"&amp;EOMONTH(U$1,0)+1
)</f>
        <v>0</v>
      </c>
      <c r="V248" s="183">
        <f ca="1">-SUMIFS(
  desp.m.ik[valor],
  desp.m.ik[nucleo], $B248,
  desp.m.ik[centro.negocio], $B$227,
  desp.m.ik[mes], "&gt;="&amp;V$1,
  desp.m.ik[mes], "&lt;"&amp;EOMONTH(V$1,0)+1
)</f>
        <v>0</v>
      </c>
      <c r="W248" s="183">
        <f ca="1">-SUMIFS(
  desp.m.ik[valor],
  desp.m.ik[nucleo], $B248,
  desp.m.ik[centro.negocio], $B$227,
  desp.m.ik[mes], "&gt;="&amp;W$1,
  desp.m.ik[mes], "&lt;"&amp;EOMONTH(W$1,0)+1
)</f>
        <v>0</v>
      </c>
      <c r="X248" s="183">
        <f ca="1">-SUMIFS(
  desp.m.ik[valor],
  desp.m.ik[nucleo], $B248,
  desp.m.ik[centro.negocio], $B$227,
  desp.m.ik[mes], "&gt;="&amp;X$1,
  desp.m.ik[mes], "&lt;"&amp;EOMONTH(X$1,0)+1
)</f>
        <v>0</v>
      </c>
      <c r="Y248" s="183">
        <f ca="1">-SUMIFS(
  desp.m.ik[valor],
  desp.m.ik[nucleo], $B248,
  desp.m.ik[centro.negocio], $B$227,
  desp.m.ik[mes], "&gt;="&amp;Y$1,
  desp.m.ik[mes], "&lt;"&amp;EOMONTH(Y$1,0)+1
)</f>
        <v>0</v>
      </c>
      <c r="Z248" s="183">
        <f ca="1">-SUMIFS(
  desp.m.ik[valor],
  desp.m.ik[nucleo], $B248,
  desp.m.ik[centro.negocio], $B$227,
  desp.m.ik[mes], "&gt;="&amp;Z$1,
  desp.m.ik[mes], "&lt;"&amp;EOMONTH(Z$1,0)+1
)</f>
        <v>0</v>
      </c>
      <c r="AA248" s="183">
        <f ca="1">-SUMIFS(
  desp.m.ik[valor],
  desp.m.ik[nucleo], $B248,
  desp.m.ik[centro.negocio], $B$227,
  desp.m.ik[mes], "&gt;="&amp;AA$1,
  desp.m.ik[mes], "&lt;"&amp;EOMONTH(AA$1,0)+1
)</f>
        <v>0</v>
      </c>
      <c r="AC248" s="175">
        <f ca="1">SUM($D248:INDEX($D248:$AA248,1,MATCH(DATE(YEAR(inputs!$A$1),MONTH(inputs!$A$1),1),$D$1:$AA$1,0)))</f>
        <v>0</v>
      </c>
      <c r="AE248" s="175">
        <f t="shared" ca="1" si="40"/>
        <v>0</v>
      </c>
    </row>
    <row r="249" spans="1:31" outlineLevel="2" x14ac:dyDescent="0.25">
      <c r="A249" s="182" t="s">
        <v>658</v>
      </c>
      <c r="B249" s="182" t="s">
        <v>659</v>
      </c>
      <c r="C249" s="135" t="s">
        <v>514</v>
      </c>
      <c r="D249" s="183">
        <f ca="1">-SUMIFS(
  desp.m.ik[valor],
  desp.m.ik[nucleo], $B249,
  desp.m.ik[centro.negocio], $B$227,
  desp.m.ik[mes], "&gt;="&amp;D$1,
  desp.m.ik[mes], "&lt;"&amp;EOMONTH(D$1,0)+1
)</f>
        <v>0</v>
      </c>
      <c r="E249" s="183">
        <f ca="1">-SUMIFS(
  desp.m.ik[valor],
  desp.m.ik[nucleo], $B249,
  desp.m.ik[centro.negocio], $B$227,
  desp.m.ik[mes], "&gt;="&amp;E$1,
  desp.m.ik[mes], "&lt;"&amp;EOMONTH(E$1,0)+1
)</f>
        <v>0</v>
      </c>
      <c r="F249" s="183">
        <f ca="1">-SUMIFS(
  desp.m.ik[valor],
  desp.m.ik[nucleo], $B249,
  desp.m.ik[centro.negocio], $B$227,
  desp.m.ik[mes], "&gt;="&amp;F$1,
  desp.m.ik[mes], "&lt;"&amp;EOMONTH(F$1,0)+1
)</f>
        <v>0</v>
      </c>
      <c r="G249" s="183">
        <f ca="1">-SUMIFS(
  desp.m.ik[valor],
  desp.m.ik[nucleo], $B249,
  desp.m.ik[centro.negocio], $B$227,
  desp.m.ik[mes], "&gt;="&amp;G$1,
  desp.m.ik[mes], "&lt;"&amp;EOMONTH(G$1,0)+1
)</f>
        <v>0</v>
      </c>
      <c r="H249" s="183">
        <f ca="1">-SUMIFS(
  desp.m.ik[valor],
  desp.m.ik[nucleo], $B249,
  desp.m.ik[centro.negocio], $B$227,
  desp.m.ik[mes], "&gt;="&amp;H$1,
  desp.m.ik[mes], "&lt;"&amp;EOMONTH(H$1,0)+1
)</f>
        <v>0</v>
      </c>
      <c r="I249" s="183">
        <f ca="1">-SUMIFS(
  desp.m.ik[valor],
  desp.m.ik[nucleo], $B249,
  desp.m.ik[centro.negocio], $B$227,
  desp.m.ik[mes], "&gt;="&amp;I$1,
  desp.m.ik[mes], "&lt;"&amp;EOMONTH(I$1,0)+1
)</f>
        <v>0</v>
      </c>
      <c r="J249" s="183">
        <f ca="1">-SUMIFS(
  desp.m.ik[valor],
  desp.m.ik[nucleo], $B249,
  desp.m.ik[centro.negocio], $B$227,
  desp.m.ik[mes], "&gt;="&amp;J$1,
  desp.m.ik[mes], "&lt;"&amp;EOMONTH(J$1,0)+1
)</f>
        <v>0</v>
      </c>
      <c r="K249" s="183">
        <f ca="1">-SUMIFS(
  desp.m.ik[valor],
  desp.m.ik[nucleo], $B249,
  desp.m.ik[centro.negocio], $B$227,
  desp.m.ik[mes], "&gt;="&amp;K$1,
  desp.m.ik[mes], "&lt;"&amp;EOMONTH(K$1,0)+1
)</f>
        <v>0</v>
      </c>
      <c r="L249" s="183">
        <f ca="1">-SUMIFS(
  desp.m.ik[valor],
  desp.m.ik[nucleo], $B249,
  desp.m.ik[centro.negocio], $B$227,
  desp.m.ik[mes], "&gt;="&amp;L$1,
  desp.m.ik[mes], "&lt;"&amp;EOMONTH(L$1,0)+1
)</f>
        <v>0</v>
      </c>
      <c r="M249" s="183">
        <f ca="1">-SUMIFS(
  desp.m.ik[valor],
  desp.m.ik[nucleo], $B249,
  desp.m.ik[centro.negocio], $B$227,
  desp.m.ik[mes], "&gt;="&amp;M$1,
  desp.m.ik[mes], "&lt;"&amp;EOMONTH(M$1,0)+1
)</f>
        <v>0</v>
      </c>
      <c r="N249" s="183">
        <f ca="1">-SUMIFS(
  desp.m.ik[valor],
  desp.m.ik[nucleo], $B249,
  desp.m.ik[centro.negocio], $B$227,
  desp.m.ik[mes], "&gt;="&amp;N$1,
  desp.m.ik[mes], "&lt;"&amp;EOMONTH(N$1,0)+1
)</f>
        <v>0</v>
      </c>
      <c r="O249" s="183">
        <f ca="1">-SUMIFS(
  desp.m.ik[valor],
  desp.m.ik[nucleo], $B249,
  desp.m.ik[centro.negocio], $B$227,
  desp.m.ik[mes], "&gt;="&amp;O$1,
  desp.m.ik[mes], "&lt;"&amp;EOMONTH(O$1,0)+1
)</f>
        <v>0</v>
      </c>
      <c r="P249" s="183">
        <f ca="1">-SUMIFS(
  desp.m.ik[valor],
  desp.m.ik[nucleo], $B249,
  desp.m.ik[centro.negocio], $B$227,
  desp.m.ik[mes], "&gt;="&amp;P$1,
  desp.m.ik[mes], "&lt;"&amp;EOMONTH(P$1,0)+1
)</f>
        <v>0</v>
      </c>
      <c r="Q249" s="183">
        <f ca="1">-SUMIFS(
  desp.m.ik[valor],
  desp.m.ik[nucleo], $B249,
  desp.m.ik[centro.negocio], $B$227,
  desp.m.ik[mes], "&gt;="&amp;Q$1,
  desp.m.ik[mes], "&lt;"&amp;EOMONTH(Q$1,0)+1
)</f>
        <v>0</v>
      </c>
      <c r="R249" s="183">
        <f ca="1">-SUMIFS(
  desp.m.ik[valor],
  desp.m.ik[nucleo], $B249,
  desp.m.ik[centro.negocio], $B$227,
  desp.m.ik[mes], "&gt;="&amp;R$1,
  desp.m.ik[mes], "&lt;"&amp;EOMONTH(R$1,0)+1
)</f>
        <v>0</v>
      </c>
      <c r="S249" s="183">
        <f ca="1">-SUMIFS(
  desp.m.ik[valor],
  desp.m.ik[nucleo], $B249,
  desp.m.ik[centro.negocio], $B$227,
  desp.m.ik[mes], "&gt;="&amp;S$1,
  desp.m.ik[mes], "&lt;"&amp;EOMONTH(S$1,0)+1
)</f>
        <v>0</v>
      </c>
      <c r="T249" s="183">
        <f ca="1">-SUMIFS(
  desp.m.ik[valor],
  desp.m.ik[nucleo], $B249,
  desp.m.ik[centro.negocio], $B$227,
  desp.m.ik[mes], "&gt;="&amp;T$1,
  desp.m.ik[mes], "&lt;"&amp;EOMONTH(T$1,0)+1
)</f>
        <v>0</v>
      </c>
      <c r="U249" s="183">
        <f ca="1">-SUMIFS(
  desp.m.ik[valor],
  desp.m.ik[nucleo], $B249,
  desp.m.ik[centro.negocio], $B$227,
  desp.m.ik[mes], "&gt;="&amp;U$1,
  desp.m.ik[mes], "&lt;"&amp;EOMONTH(U$1,0)+1
)</f>
        <v>0</v>
      </c>
      <c r="V249" s="183">
        <f ca="1">-SUMIFS(
  desp.m.ik[valor],
  desp.m.ik[nucleo], $B249,
  desp.m.ik[centro.negocio], $B$227,
  desp.m.ik[mes], "&gt;="&amp;V$1,
  desp.m.ik[mes], "&lt;"&amp;EOMONTH(V$1,0)+1
)</f>
        <v>0</v>
      </c>
      <c r="W249" s="183">
        <f ca="1">-SUMIFS(
  desp.m.ik[valor],
  desp.m.ik[nucleo], $B249,
  desp.m.ik[centro.negocio], $B$227,
  desp.m.ik[mes], "&gt;="&amp;W$1,
  desp.m.ik[mes], "&lt;"&amp;EOMONTH(W$1,0)+1
)</f>
        <v>0</v>
      </c>
      <c r="X249" s="183">
        <f ca="1">-SUMIFS(
  desp.m.ik[valor],
  desp.m.ik[nucleo], $B249,
  desp.m.ik[centro.negocio], $B$227,
  desp.m.ik[mes], "&gt;="&amp;X$1,
  desp.m.ik[mes], "&lt;"&amp;EOMONTH(X$1,0)+1
)</f>
        <v>0</v>
      </c>
      <c r="Y249" s="183">
        <f ca="1">-SUMIFS(
  desp.m.ik[valor],
  desp.m.ik[nucleo], $B249,
  desp.m.ik[centro.negocio], $B$227,
  desp.m.ik[mes], "&gt;="&amp;Y$1,
  desp.m.ik[mes], "&lt;"&amp;EOMONTH(Y$1,0)+1
)</f>
        <v>0</v>
      </c>
      <c r="Z249" s="183">
        <f ca="1">-SUMIFS(
  desp.m.ik[valor],
  desp.m.ik[nucleo], $B249,
  desp.m.ik[centro.negocio], $B$227,
  desp.m.ik[mes], "&gt;="&amp;Z$1,
  desp.m.ik[mes], "&lt;"&amp;EOMONTH(Z$1,0)+1
)</f>
        <v>0</v>
      </c>
      <c r="AA249" s="183">
        <f ca="1">-SUMIFS(
  desp.m.ik[valor],
  desp.m.ik[nucleo], $B249,
  desp.m.ik[centro.negocio], $B$227,
  desp.m.ik[mes], "&gt;="&amp;AA$1,
  desp.m.ik[mes], "&lt;"&amp;EOMONTH(AA$1,0)+1
)</f>
        <v>0</v>
      </c>
      <c r="AC249" s="175">
        <f ca="1">SUM($D249:INDEX($D249:$AA249,1,MATCH(DATE(YEAR(inputs!$A$1),MONTH(inputs!$A$1),1),$D$1:$AA$1,0)))</f>
        <v>0</v>
      </c>
      <c r="AE249" s="175">
        <f ca="1">SUM(D249:AA249)</f>
        <v>0</v>
      </c>
    </row>
    <row r="250" spans="1:31" outlineLevel="2" x14ac:dyDescent="0.25">
      <c r="A250" s="182" t="s">
        <v>705</v>
      </c>
      <c r="B250" s="182" t="s">
        <v>569</v>
      </c>
      <c r="C250" s="135" t="s">
        <v>514</v>
      </c>
      <c r="D250" s="183">
        <f ca="1">-SUMIFS(
  desp.m.ik[valor],
  desp.m.ik[nucleo], $B250,
  desp.m.ik[centro.negocio], $B$227,
  desp.m.ik[mes], "&gt;="&amp;D$1,
  desp.m.ik[mes], "&lt;"&amp;EOMONTH(D$1,0)+1
)</f>
        <v>0</v>
      </c>
      <c r="E250" s="183">
        <f ca="1">-SUMIFS(
  desp.m.ik[valor],
  desp.m.ik[nucleo], $B250,
  desp.m.ik[centro.negocio], $B$227,
  desp.m.ik[mes], "&gt;="&amp;E$1,
  desp.m.ik[mes], "&lt;"&amp;EOMONTH(E$1,0)+1
)</f>
        <v>0</v>
      </c>
      <c r="F250" s="183">
        <f ca="1">-SUMIFS(
  desp.m.ik[valor],
  desp.m.ik[nucleo], $B250,
  desp.m.ik[centro.negocio], $B$227,
  desp.m.ik[mes], "&gt;="&amp;F$1,
  desp.m.ik[mes], "&lt;"&amp;EOMONTH(F$1,0)+1
)</f>
        <v>0</v>
      </c>
      <c r="G250" s="183">
        <f ca="1">-SUMIFS(
  desp.m.ik[valor],
  desp.m.ik[nucleo], $B250,
  desp.m.ik[centro.negocio], $B$227,
  desp.m.ik[mes], "&gt;="&amp;G$1,
  desp.m.ik[mes], "&lt;"&amp;EOMONTH(G$1,0)+1
)</f>
        <v>0</v>
      </c>
      <c r="H250" s="183">
        <f ca="1">-SUMIFS(
  desp.m.ik[valor],
  desp.m.ik[nucleo], $B250,
  desp.m.ik[centro.negocio], $B$227,
  desp.m.ik[mes], "&gt;="&amp;H$1,
  desp.m.ik[mes], "&lt;"&amp;EOMONTH(H$1,0)+1
)</f>
        <v>0</v>
      </c>
      <c r="I250" s="183">
        <f ca="1">-SUMIFS(
  desp.m.ik[valor],
  desp.m.ik[nucleo], $B250,
  desp.m.ik[centro.negocio], $B$227,
  desp.m.ik[mes], "&gt;="&amp;I$1,
  desp.m.ik[mes], "&lt;"&amp;EOMONTH(I$1,0)+1
)</f>
        <v>0</v>
      </c>
      <c r="J250" s="183">
        <f ca="1">-SUMIFS(
  desp.m.ik[valor],
  desp.m.ik[nucleo], $B250,
  desp.m.ik[centro.negocio], $B$227,
  desp.m.ik[mes], "&gt;="&amp;J$1,
  desp.m.ik[mes], "&lt;"&amp;EOMONTH(J$1,0)+1
)</f>
        <v>0</v>
      </c>
      <c r="K250" s="183">
        <f ca="1">-SUMIFS(
  desp.m.ik[valor],
  desp.m.ik[nucleo], $B250,
  desp.m.ik[centro.negocio], $B$227,
  desp.m.ik[mes], "&gt;="&amp;K$1,
  desp.m.ik[mes], "&lt;"&amp;EOMONTH(K$1,0)+1
)</f>
        <v>0</v>
      </c>
      <c r="L250" s="183">
        <f ca="1">-SUMIFS(
  desp.m.ik[valor],
  desp.m.ik[nucleo], $B250,
  desp.m.ik[centro.negocio], $B$227,
  desp.m.ik[mes], "&gt;="&amp;L$1,
  desp.m.ik[mes], "&lt;"&amp;EOMONTH(L$1,0)+1
)</f>
        <v>0</v>
      </c>
      <c r="M250" s="183">
        <f ca="1">-SUMIFS(
  desp.m.ik[valor],
  desp.m.ik[nucleo], $B250,
  desp.m.ik[centro.negocio], $B$227,
  desp.m.ik[mes], "&gt;="&amp;M$1,
  desp.m.ik[mes], "&lt;"&amp;EOMONTH(M$1,0)+1
)</f>
        <v>0</v>
      </c>
      <c r="N250" s="183">
        <f ca="1">-SUMIFS(
  desp.m.ik[valor],
  desp.m.ik[nucleo], $B250,
  desp.m.ik[centro.negocio], $B$227,
  desp.m.ik[mes], "&gt;="&amp;N$1,
  desp.m.ik[mes], "&lt;"&amp;EOMONTH(N$1,0)+1
)</f>
        <v>0</v>
      </c>
      <c r="O250" s="183">
        <f ca="1">-SUMIFS(
  desp.m.ik[valor],
  desp.m.ik[nucleo], $B250,
  desp.m.ik[centro.negocio], $B$227,
  desp.m.ik[mes], "&gt;="&amp;O$1,
  desp.m.ik[mes], "&lt;"&amp;EOMONTH(O$1,0)+1
)</f>
        <v>0</v>
      </c>
      <c r="P250" s="183">
        <f ca="1">-SUMIFS(
  desp.m.ik[valor],
  desp.m.ik[nucleo], $B250,
  desp.m.ik[centro.negocio], $B$227,
  desp.m.ik[mes], "&gt;="&amp;P$1,
  desp.m.ik[mes], "&lt;"&amp;EOMONTH(P$1,0)+1
)</f>
        <v>0</v>
      </c>
      <c r="Q250" s="183">
        <f ca="1">-SUMIFS(
  desp.m.ik[valor],
  desp.m.ik[nucleo], $B250,
  desp.m.ik[centro.negocio], $B$227,
  desp.m.ik[mes], "&gt;="&amp;Q$1,
  desp.m.ik[mes], "&lt;"&amp;EOMONTH(Q$1,0)+1
)</f>
        <v>0</v>
      </c>
      <c r="R250" s="183">
        <f ca="1">-SUMIFS(
  desp.m.ik[valor],
  desp.m.ik[nucleo], $B250,
  desp.m.ik[centro.negocio], $B$227,
  desp.m.ik[mes], "&gt;="&amp;R$1,
  desp.m.ik[mes], "&lt;"&amp;EOMONTH(R$1,0)+1
)</f>
        <v>0</v>
      </c>
      <c r="S250" s="183">
        <f ca="1">-SUMIFS(
  desp.m.ik[valor],
  desp.m.ik[nucleo], $B250,
  desp.m.ik[centro.negocio], $B$227,
  desp.m.ik[mes], "&gt;="&amp;S$1,
  desp.m.ik[mes], "&lt;"&amp;EOMONTH(S$1,0)+1
)</f>
        <v>0</v>
      </c>
      <c r="T250" s="183">
        <f ca="1">-SUMIFS(
  desp.m.ik[valor],
  desp.m.ik[nucleo], $B250,
  desp.m.ik[centro.negocio], $B$227,
  desp.m.ik[mes], "&gt;="&amp;T$1,
  desp.m.ik[mes], "&lt;"&amp;EOMONTH(T$1,0)+1
)</f>
        <v>0</v>
      </c>
      <c r="U250" s="183">
        <f ca="1">-SUMIFS(
  desp.m.ik[valor],
  desp.m.ik[nucleo], $B250,
  desp.m.ik[centro.negocio], $B$227,
  desp.m.ik[mes], "&gt;="&amp;U$1,
  desp.m.ik[mes], "&lt;"&amp;EOMONTH(U$1,0)+1
)</f>
        <v>0</v>
      </c>
      <c r="V250" s="183">
        <f ca="1">-SUMIFS(
  desp.m.ik[valor],
  desp.m.ik[nucleo], $B250,
  desp.m.ik[centro.negocio], $B$227,
  desp.m.ik[mes], "&gt;="&amp;V$1,
  desp.m.ik[mes], "&lt;"&amp;EOMONTH(V$1,0)+1
)</f>
        <v>0</v>
      </c>
      <c r="W250" s="183">
        <f ca="1">-SUMIFS(
  desp.m.ik[valor],
  desp.m.ik[nucleo], $B250,
  desp.m.ik[centro.negocio], $B$227,
  desp.m.ik[mes], "&gt;="&amp;W$1,
  desp.m.ik[mes], "&lt;"&amp;EOMONTH(W$1,0)+1
)</f>
        <v>0</v>
      </c>
      <c r="X250" s="183">
        <f ca="1">-SUMIFS(
  desp.m.ik[valor],
  desp.m.ik[nucleo], $B250,
  desp.m.ik[centro.negocio], $B$227,
  desp.m.ik[mes], "&gt;="&amp;X$1,
  desp.m.ik[mes], "&lt;"&amp;EOMONTH(X$1,0)+1
)</f>
        <v>0</v>
      </c>
      <c r="Y250" s="183">
        <f ca="1">-SUMIFS(
  desp.m.ik[valor],
  desp.m.ik[nucleo], $B250,
  desp.m.ik[centro.negocio], $B$227,
  desp.m.ik[mes], "&gt;="&amp;Y$1,
  desp.m.ik[mes], "&lt;"&amp;EOMONTH(Y$1,0)+1
)</f>
        <v>0</v>
      </c>
      <c r="Z250" s="183">
        <f ca="1">-SUMIFS(
  desp.m.ik[valor],
  desp.m.ik[nucleo], $B250,
  desp.m.ik[centro.negocio], $B$227,
  desp.m.ik[mes], "&gt;="&amp;Z$1,
  desp.m.ik[mes], "&lt;"&amp;EOMONTH(Z$1,0)+1
)</f>
        <v>0</v>
      </c>
      <c r="AA250" s="183">
        <f ca="1">-SUMIFS(
  desp.m.ik[valor],
  desp.m.ik[nucleo], $B250,
  desp.m.ik[centro.negocio], $B$227,
  desp.m.ik[mes], "&gt;="&amp;AA$1,
  desp.m.ik[mes], "&lt;"&amp;EOMONTH(AA$1,0)+1
)</f>
        <v>0</v>
      </c>
      <c r="AC250" s="175">
        <f ca="1">SUM($D250:INDEX($D250:$AA250,1,MATCH(DATE(YEAR(inputs!$A$1),MONTH(inputs!$A$1),1),$D$1:$AA$1,0)))</f>
        <v>0</v>
      </c>
      <c r="AE250" s="175">
        <f ca="1">SUM(D250:AA250)</f>
        <v>0</v>
      </c>
    </row>
    <row r="251" spans="1:31" outlineLevel="2" x14ac:dyDescent="0.25">
      <c r="A251" s="182" t="s">
        <v>660</v>
      </c>
      <c r="B251" s="182" t="s">
        <v>704</v>
      </c>
      <c r="C251" s="135" t="s">
        <v>514</v>
      </c>
      <c r="D251" s="183">
        <f ca="1">-SUMIFS(
  desp.m.ik[valor],
  desp.m.ik[nucleo], $B251,
  desp.m.ik[centro.negocio], $B$227,
  desp.m.ik[mes], "&gt;="&amp;D$1,
  desp.m.ik[mes], "&lt;"&amp;EOMONTH(D$1,0)+1
)</f>
        <v>0</v>
      </c>
      <c r="E251" s="183">
        <f ca="1">-SUMIFS(
  desp.m.ik[valor],
  desp.m.ik[nucleo], $B251,
  desp.m.ik[centro.negocio], $B$227,
  desp.m.ik[mes], "&gt;="&amp;E$1,
  desp.m.ik[mes], "&lt;"&amp;EOMONTH(E$1,0)+1
)</f>
        <v>0</v>
      </c>
      <c r="F251" s="183">
        <f ca="1">-SUMIFS(
  desp.m.ik[valor],
  desp.m.ik[nucleo], $B251,
  desp.m.ik[centro.negocio], $B$227,
  desp.m.ik[mes], "&gt;="&amp;F$1,
  desp.m.ik[mes], "&lt;"&amp;EOMONTH(F$1,0)+1
)</f>
        <v>0</v>
      </c>
      <c r="G251" s="183">
        <f ca="1">-SUMIFS(
  desp.m.ik[valor],
  desp.m.ik[nucleo], $B251,
  desp.m.ik[centro.negocio], $B$227,
  desp.m.ik[mes], "&gt;="&amp;G$1,
  desp.m.ik[mes], "&lt;"&amp;EOMONTH(G$1,0)+1
)</f>
        <v>0</v>
      </c>
      <c r="H251" s="183">
        <f ca="1">-SUMIFS(
  desp.m.ik[valor],
  desp.m.ik[nucleo], $B251,
  desp.m.ik[centro.negocio], $B$227,
  desp.m.ik[mes], "&gt;="&amp;H$1,
  desp.m.ik[mes], "&lt;"&amp;EOMONTH(H$1,0)+1
)</f>
        <v>0</v>
      </c>
      <c r="I251" s="183">
        <f ca="1">-SUMIFS(
  desp.m.ik[valor],
  desp.m.ik[nucleo], $B251,
  desp.m.ik[centro.negocio], $B$227,
  desp.m.ik[mes], "&gt;="&amp;I$1,
  desp.m.ik[mes], "&lt;"&amp;EOMONTH(I$1,0)+1
)</f>
        <v>0</v>
      </c>
      <c r="J251" s="183">
        <f ca="1">-SUMIFS(
  desp.m.ik[valor],
  desp.m.ik[nucleo], $B251,
  desp.m.ik[centro.negocio], $B$227,
  desp.m.ik[mes], "&gt;="&amp;J$1,
  desp.m.ik[mes], "&lt;"&amp;EOMONTH(J$1,0)+1
)</f>
        <v>0</v>
      </c>
      <c r="K251" s="183">
        <f ca="1">-SUMIFS(
  desp.m.ik[valor],
  desp.m.ik[nucleo], $B251,
  desp.m.ik[centro.negocio], $B$227,
  desp.m.ik[mes], "&gt;="&amp;K$1,
  desp.m.ik[mes], "&lt;"&amp;EOMONTH(K$1,0)+1
)</f>
        <v>0</v>
      </c>
      <c r="L251" s="183">
        <f ca="1">-SUMIFS(
  desp.m.ik[valor],
  desp.m.ik[nucleo], $B251,
  desp.m.ik[centro.negocio], $B$227,
  desp.m.ik[mes], "&gt;="&amp;L$1,
  desp.m.ik[mes], "&lt;"&amp;EOMONTH(L$1,0)+1
)</f>
        <v>0</v>
      </c>
      <c r="M251" s="183">
        <f ca="1">-SUMIFS(
  desp.m.ik[valor],
  desp.m.ik[nucleo], $B251,
  desp.m.ik[centro.negocio], $B$227,
  desp.m.ik[mes], "&gt;="&amp;M$1,
  desp.m.ik[mes], "&lt;"&amp;EOMONTH(M$1,0)+1
)</f>
        <v>0</v>
      </c>
      <c r="N251" s="183">
        <f ca="1">-SUMIFS(
  desp.m.ik[valor],
  desp.m.ik[nucleo], $B251,
  desp.m.ik[centro.negocio], $B$227,
  desp.m.ik[mes], "&gt;="&amp;N$1,
  desp.m.ik[mes], "&lt;"&amp;EOMONTH(N$1,0)+1
)</f>
        <v>0</v>
      </c>
      <c r="O251" s="183">
        <f ca="1">-SUMIFS(
  desp.m.ik[valor],
  desp.m.ik[nucleo], $B251,
  desp.m.ik[centro.negocio], $B$227,
  desp.m.ik[mes], "&gt;="&amp;O$1,
  desp.m.ik[mes], "&lt;"&amp;EOMONTH(O$1,0)+1
)</f>
        <v>0</v>
      </c>
      <c r="P251" s="183">
        <f ca="1">-SUMIFS(
  desp.m.ik[valor],
  desp.m.ik[nucleo], $B251,
  desp.m.ik[centro.negocio], $B$227,
  desp.m.ik[mes], "&gt;="&amp;P$1,
  desp.m.ik[mes], "&lt;"&amp;EOMONTH(P$1,0)+1
)</f>
        <v>0</v>
      </c>
      <c r="Q251" s="183">
        <f ca="1">-SUMIFS(
  desp.m.ik[valor],
  desp.m.ik[nucleo], $B251,
  desp.m.ik[centro.negocio], $B$227,
  desp.m.ik[mes], "&gt;="&amp;Q$1,
  desp.m.ik[mes], "&lt;"&amp;EOMONTH(Q$1,0)+1
)</f>
        <v>0</v>
      </c>
      <c r="R251" s="183">
        <f ca="1">-SUMIFS(
  desp.m.ik[valor],
  desp.m.ik[nucleo], $B251,
  desp.m.ik[centro.negocio], $B$227,
  desp.m.ik[mes], "&gt;="&amp;R$1,
  desp.m.ik[mes], "&lt;"&amp;EOMONTH(R$1,0)+1
)</f>
        <v>0</v>
      </c>
      <c r="S251" s="183">
        <f ca="1">-SUMIFS(
  desp.m.ik[valor],
  desp.m.ik[nucleo], $B251,
  desp.m.ik[centro.negocio], $B$227,
  desp.m.ik[mes], "&gt;="&amp;S$1,
  desp.m.ik[mes], "&lt;"&amp;EOMONTH(S$1,0)+1
)</f>
        <v>0</v>
      </c>
      <c r="T251" s="183">
        <f ca="1">-SUMIFS(
  desp.m.ik[valor],
  desp.m.ik[nucleo], $B251,
  desp.m.ik[centro.negocio], $B$227,
  desp.m.ik[mes], "&gt;="&amp;T$1,
  desp.m.ik[mes], "&lt;"&amp;EOMONTH(T$1,0)+1
)</f>
        <v>0</v>
      </c>
      <c r="U251" s="183">
        <f ca="1">-SUMIFS(
  desp.m.ik[valor],
  desp.m.ik[nucleo], $B251,
  desp.m.ik[centro.negocio], $B$227,
  desp.m.ik[mes], "&gt;="&amp;U$1,
  desp.m.ik[mes], "&lt;"&amp;EOMONTH(U$1,0)+1
)</f>
        <v>0</v>
      </c>
      <c r="V251" s="183">
        <f ca="1">-SUMIFS(
  desp.m.ik[valor],
  desp.m.ik[nucleo], $B251,
  desp.m.ik[centro.negocio], $B$227,
  desp.m.ik[mes], "&gt;="&amp;V$1,
  desp.m.ik[mes], "&lt;"&amp;EOMONTH(V$1,0)+1
)</f>
        <v>0</v>
      </c>
      <c r="W251" s="183">
        <f ca="1">-SUMIFS(
  desp.m.ik[valor],
  desp.m.ik[nucleo], $B251,
  desp.m.ik[centro.negocio], $B$227,
  desp.m.ik[mes], "&gt;="&amp;W$1,
  desp.m.ik[mes], "&lt;"&amp;EOMONTH(W$1,0)+1
)</f>
        <v>0</v>
      </c>
      <c r="X251" s="183">
        <f ca="1">-SUMIFS(
  desp.m.ik[valor],
  desp.m.ik[nucleo], $B251,
  desp.m.ik[centro.negocio], $B$227,
  desp.m.ik[mes], "&gt;="&amp;X$1,
  desp.m.ik[mes], "&lt;"&amp;EOMONTH(X$1,0)+1
)</f>
        <v>0</v>
      </c>
      <c r="Y251" s="183">
        <f ca="1">-SUMIFS(
  desp.m.ik[valor],
  desp.m.ik[nucleo], $B251,
  desp.m.ik[centro.negocio], $B$227,
  desp.m.ik[mes], "&gt;="&amp;Y$1,
  desp.m.ik[mes], "&lt;"&amp;EOMONTH(Y$1,0)+1
)</f>
        <v>0</v>
      </c>
      <c r="Z251" s="183">
        <f ca="1">-SUMIFS(
  desp.m.ik[valor],
  desp.m.ik[nucleo], $B251,
  desp.m.ik[centro.negocio], $B$227,
  desp.m.ik[mes], "&gt;="&amp;Z$1,
  desp.m.ik[mes], "&lt;"&amp;EOMONTH(Z$1,0)+1
)</f>
        <v>0</v>
      </c>
      <c r="AA251" s="183">
        <f ca="1">-SUMIFS(
  desp.m.ik[valor],
  desp.m.ik[nucleo], $B251,
  desp.m.ik[centro.negocio], $B$227,
  desp.m.ik[mes], "&gt;="&amp;AA$1,
  desp.m.ik[mes], "&lt;"&amp;EOMONTH(AA$1,0)+1
)</f>
        <v>0</v>
      </c>
      <c r="AC251" s="175">
        <f ca="1">SUM($D251:INDEX($D251:$AA251,1,MATCH(DATE(YEAR(inputs!$A$1),MONTH(inputs!$A$1),1),$D$1:$AA$1,0)))</f>
        <v>0</v>
      </c>
      <c r="AE251" s="175">
        <f ca="1">SUM(D251:AA251)</f>
        <v>0</v>
      </c>
    </row>
    <row r="252" spans="1:31" outlineLevel="2" x14ac:dyDescent="0.25">
      <c r="A252" s="182" t="s">
        <v>819</v>
      </c>
      <c r="B252" s="182" t="s">
        <v>578</v>
      </c>
      <c r="C252" s="135" t="s">
        <v>514</v>
      </c>
      <c r="D252" s="183">
        <f ca="1">-SUMIFS(
  desp.m.ik[valor],
  desp.m.ik[nucleo], $B252,
  desp.m.ik[centro.negocio], $B$227,
  desp.m.ik[mes], "&gt;="&amp;D$1,
  desp.m.ik[mes], "&lt;"&amp;EOMONTH(D$1,0)+1
)</f>
        <v>0</v>
      </c>
      <c r="E252" s="183">
        <f ca="1">-SUMIFS(
  desp.m.ik[valor],
  desp.m.ik[nucleo], $B252,
  desp.m.ik[centro.negocio], $B$227,
  desp.m.ik[mes], "&gt;="&amp;E$1,
  desp.m.ik[mes], "&lt;"&amp;EOMONTH(E$1,0)+1
)</f>
        <v>0</v>
      </c>
      <c r="F252" s="183">
        <f ca="1">-SUMIFS(
  desp.m.ik[valor],
  desp.m.ik[nucleo], $B252,
  desp.m.ik[centro.negocio], $B$227,
  desp.m.ik[mes], "&gt;="&amp;F$1,
  desp.m.ik[mes], "&lt;"&amp;EOMONTH(F$1,0)+1
)</f>
        <v>0</v>
      </c>
      <c r="G252" s="183">
        <f ca="1">-SUMIFS(
  desp.m.ik[valor],
  desp.m.ik[nucleo], $B252,
  desp.m.ik[centro.negocio], $B$227,
  desp.m.ik[mes], "&gt;="&amp;G$1,
  desp.m.ik[mes], "&lt;"&amp;EOMONTH(G$1,0)+1
)</f>
        <v>0</v>
      </c>
      <c r="H252" s="183">
        <f ca="1">-SUMIFS(
  desp.m.ik[valor],
  desp.m.ik[nucleo], $B252,
  desp.m.ik[centro.negocio], $B$227,
  desp.m.ik[mes], "&gt;="&amp;H$1,
  desp.m.ik[mes], "&lt;"&amp;EOMONTH(H$1,0)+1
)</f>
        <v>0</v>
      </c>
      <c r="I252" s="183">
        <f ca="1">-SUMIFS(
  desp.m.ik[valor],
  desp.m.ik[nucleo], $B252,
  desp.m.ik[centro.negocio], $B$227,
  desp.m.ik[mes], "&gt;="&amp;I$1,
  desp.m.ik[mes], "&lt;"&amp;EOMONTH(I$1,0)+1
)</f>
        <v>0</v>
      </c>
      <c r="J252" s="183">
        <f ca="1">-SUMIFS(
  desp.m.ik[valor],
  desp.m.ik[nucleo], $B252,
  desp.m.ik[centro.negocio], $B$227,
  desp.m.ik[mes], "&gt;="&amp;J$1,
  desp.m.ik[mes], "&lt;"&amp;EOMONTH(J$1,0)+1
)</f>
        <v>0</v>
      </c>
      <c r="K252" s="183">
        <f ca="1">-SUMIFS(
  desp.m.ik[valor],
  desp.m.ik[nucleo], $B252,
  desp.m.ik[centro.negocio], $B$227,
  desp.m.ik[mes], "&gt;="&amp;K$1,
  desp.m.ik[mes], "&lt;"&amp;EOMONTH(K$1,0)+1
)</f>
        <v>0</v>
      </c>
      <c r="L252" s="183">
        <f ca="1">-SUMIFS(
  desp.m.ik[valor],
  desp.m.ik[nucleo], $B252,
  desp.m.ik[centro.negocio], $B$227,
  desp.m.ik[mes], "&gt;="&amp;L$1,
  desp.m.ik[mes], "&lt;"&amp;EOMONTH(L$1,0)+1
)</f>
        <v>0</v>
      </c>
      <c r="M252" s="183">
        <f ca="1">-SUMIFS(
  desp.m.ik[valor],
  desp.m.ik[nucleo], $B252,
  desp.m.ik[centro.negocio], $B$227,
  desp.m.ik[mes], "&gt;="&amp;M$1,
  desp.m.ik[mes], "&lt;"&amp;EOMONTH(M$1,0)+1
)</f>
        <v>0</v>
      </c>
      <c r="N252" s="183">
        <f ca="1">-SUMIFS(
  desp.m.ik[valor],
  desp.m.ik[nucleo], $B252,
  desp.m.ik[centro.negocio], $B$227,
  desp.m.ik[mes], "&gt;="&amp;N$1,
  desp.m.ik[mes], "&lt;"&amp;EOMONTH(N$1,0)+1
)</f>
        <v>0</v>
      </c>
      <c r="O252" s="183">
        <f ca="1">-SUMIFS(
  desp.m.ik[valor],
  desp.m.ik[nucleo], $B252,
  desp.m.ik[centro.negocio], $B$227,
  desp.m.ik[mes], "&gt;="&amp;O$1,
  desp.m.ik[mes], "&lt;"&amp;EOMONTH(O$1,0)+1
)</f>
        <v>0</v>
      </c>
      <c r="P252" s="183">
        <f ca="1">-SUMIFS(
  desp.m.ik[valor],
  desp.m.ik[nucleo], $B252,
  desp.m.ik[centro.negocio], $B$227,
  desp.m.ik[mes], "&gt;="&amp;P$1,
  desp.m.ik[mes], "&lt;"&amp;EOMONTH(P$1,0)+1
)</f>
        <v>0</v>
      </c>
      <c r="Q252" s="183">
        <f ca="1">-SUMIFS(
  desp.m.ik[valor],
  desp.m.ik[nucleo], $B252,
  desp.m.ik[centro.negocio], $B$227,
  desp.m.ik[mes], "&gt;="&amp;Q$1,
  desp.m.ik[mes], "&lt;"&amp;EOMONTH(Q$1,0)+1
)</f>
        <v>0</v>
      </c>
      <c r="R252" s="183">
        <f ca="1">-SUMIFS(
  desp.m.ik[valor],
  desp.m.ik[nucleo], $B252,
  desp.m.ik[centro.negocio], $B$227,
  desp.m.ik[mes], "&gt;="&amp;R$1,
  desp.m.ik[mes], "&lt;"&amp;EOMONTH(R$1,0)+1
)</f>
        <v>0</v>
      </c>
      <c r="S252" s="183">
        <f ca="1">-SUMIFS(
  desp.m.ik[valor],
  desp.m.ik[nucleo], $B252,
  desp.m.ik[centro.negocio], $B$227,
  desp.m.ik[mes], "&gt;="&amp;S$1,
  desp.m.ik[mes], "&lt;"&amp;EOMONTH(S$1,0)+1
)</f>
        <v>0</v>
      </c>
      <c r="T252" s="183">
        <f ca="1">-SUMIFS(
  desp.m.ik[valor],
  desp.m.ik[nucleo], $B252,
  desp.m.ik[centro.negocio], $B$227,
  desp.m.ik[mes], "&gt;="&amp;T$1,
  desp.m.ik[mes], "&lt;"&amp;EOMONTH(T$1,0)+1
)</f>
        <v>0</v>
      </c>
      <c r="U252" s="183">
        <f ca="1">-SUMIFS(
  desp.m.ik[valor],
  desp.m.ik[nucleo], $B252,
  desp.m.ik[centro.negocio], $B$227,
  desp.m.ik[mes], "&gt;="&amp;U$1,
  desp.m.ik[mes], "&lt;"&amp;EOMONTH(U$1,0)+1
)</f>
        <v>0</v>
      </c>
      <c r="V252" s="183">
        <f ca="1">-SUMIFS(
  desp.m.ik[valor],
  desp.m.ik[nucleo], $B252,
  desp.m.ik[centro.negocio], $B$227,
  desp.m.ik[mes], "&gt;="&amp;V$1,
  desp.m.ik[mes], "&lt;"&amp;EOMONTH(V$1,0)+1
)</f>
        <v>0</v>
      </c>
      <c r="W252" s="183">
        <f ca="1">-SUMIFS(
  desp.m.ik[valor],
  desp.m.ik[nucleo], $B252,
  desp.m.ik[centro.negocio], $B$227,
  desp.m.ik[mes], "&gt;="&amp;W$1,
  desp.m.ik[mes], "&lt;"&amp;EOMONTH(W$1,0)+1
)</f>
        <v>0</v>
      </c>
      <c r="X252" s="183">
        <f ca="1">-SUMIFS(
  desp.m.ik[valor],
  desp.m.ik[nucleo], $B252,
  desp.m.ik[centro.negocio], $B$227,
  desp.m.ik[mes], "&gt;="&amp;X$1,
  desp.m.ik[mes], "&lt;"&amp;EOMONTH(X$1,0)+1
)</f>
        <v>0</v>
      </c>
      <c r="Y252" s="183">
        <f ca="1">-SUMIFS(
  desp.m.ik[valor],
  desp.m.ik[nucleo], $B252,
  desp.m.ik[centro.negocio], $B$227,
  desp.m.ik[mes], "&gt;="&amp;Y$1,
  desp.m.ik[mes], "&lt;"&amp;EOMONTH(Y$1,0)+1
)</f>
        <v>0</v>
      </c>
      <c r="Z252" s="183">
        <f ca="1">-SUMIFS(
  desp.m.ik[valor],
  desp.m.ik[nucleo], $B252,
  desp.m.ik[centro.negocio], $B$227,
  desp.m.ik[mes], "&gt;="&amp;Z$1,
  desp.m.ik[mes], "&lt;"&amp;EOMONTH(Z$1,0)+1
)</f>
        <v>0</v>
      </c>
      <c r="AA252" s="183">
        <f ca="1">-SUMIFS(
  desp.m.ik[valor],
  desp.m.ik[nucleo], $B252,
  desp.m.ik[centro.negocio], $B$227,
  desp.m.ik[mes], "&gt;="&amp;AA$1,
  desp.m.ik[mes], "&lt;"&amp;EOMONTH(AA$1,0)+1
)</f>
        <v>0</v>
      </c>
      <c r="AC252" s="175">
        <f ca="1">SUM($D252:INDEX($D252:$AA252,1,MATCH(DATE(YEAR(inputs!$A$1),MONTH(inputs!$A$1),1),$D$1:$AA$1,0)))</f>
        <v>0</v>
      </c>
      <c r="AE252" s="175">
        <f t="shared" ca="1" si="40"/>
        <v>0</v>
      </c>
    </row>
    <row r="253" spans="1:31" outlineLevel="2" x14ac:dyDescent="0.25">
      <c r="A253" s="182" t="s">
        <v>817</v>
      </c>
      <c r="B253" s="182" t="s">
        <v>562</v>
      </c>
      <c r="C253" s="135" t="s">
        <v>514</v>
      </c>
      <c r="D253" s="183">
        <f ca="1">-SUMIFS(
  desp.m.ik[valor],
  desp.m.ik[nucleo], $B253,
  desp.m.ik[centro.negocio], $B$227,
  desp.m.ik[mes], "&gt;="&amp;D$1,
  desp.m.ik[mes], "&lt;"&amp;EOMONTH(D$1,0)+1
)</f>
        <v>0</v>
      </c>
      <c r="E253" s="183">
        <f ca="1">-SUMIFS(
  desp.m.ik[valor],
  desp.m.ik[nucleo], $B253,
  desp.m.ik[centro.negocio], $B$227,
  desp.m.ik[mes], "&gt;="&amp;E$1,
  desp.m.ik[mes], "&lt;"&amp;EOMONTH(E$1,0)+1
)</f>
        <v>0</v>
      </c>
      <c r="F253" s="183">
        <f ca="1">-SUMIFS(
  desp.m.ik[valor],
  desp.m.ik[nucleo], $B253,
  desp.m.ik[centro.negocio], $B$227,
  desp.m.ik[mes], "&gt;="&amp;F$1,
  desp.m.ik[mes], "&lt;"&amp;EOMONTH(F$1,0)+1
)</f>
        <v>0</v>
      </c>
      <c r="G253" s="183">
        <f ca="1">-SUMIFS(
  desp.m.ik[valor],
  desp.m.ik[nucleo], $B253,
  desp.m.ik[centro.negocio], $B$227,
  desp.m.ik[mes], "&gt;="&amp;G$1,
  desp.m.ik[mes], "&lt;"&amp;EOMONTH(G$1,0)+1
)</f>
        <v>0</v>
      </c>
      <c r="H253" s="183">
        <f ca="1">-SUMIFS(
  desp.m.ik[valor],
  desp.m.ik[nucleo], $B253,
  desp.m.ik[centro.negocio], $B$227,
  desp.m.ik[mes], "&gt;="&amp;H$1,
  desp.m.ik[mes], "&lt;"&amp;EOMONTH(H$1,0)+1
)</f>
        <v>0</v>
      </c>
      <c r="I253" s="183">
        <f ca="1">-SUMIFS(
  desp.m.ik[valor],
  desp.m.ik[nucleo], $B253,
  desp.m.ik[centro.negocio], $B$227,
  desp.m.ik[mes], "&gt;="&amp;I$1,
  desp.m.ik[mes], "&lt;"&amp;EOMONTH(I$1,0)+1
)</f>
        <v>0</v>
      </c>
      <c r="J253" s="183">
        <f ca="1">-SUMIFS(
  desp.m.ik[valor],
  desp.m.ik[nucleo], $B253,
  desp.m.ik[centro.negocio], $B$227,
  desp.m.ik[mes], "&gt;="&amp;J$1,
  desp.m.ik[mes], "&lt;"&amp;EOMONTH(J$1,0)+1
)</f>
        <v>0</v>
      </c>
      <c r="K253" s="183">
        <f ca="1">-SUMIFS(
  desp.m.ik[valor],
  desp.m.ik[nucleo], $B253,
  desp.m.ik[centro.negocio], $B$227,
  desp.m.ik[mes], "&gt;="&amp;K$1,
  desp.m.ik[mes], "&lt;"&amp;EOMONTH(K$1,0)+1
)</f>
        <v>0</v>
      </c>
      <c r="L253" s="183">
        <f ca="1">-SUMIFS(
  desp.m.ik[valor],
  desp.m.ik[nucleo], $B253,
  desp.m.ik[centro.negocio], $B$227,
  desp.m.ik[mes], "&gt;="&amp;L$1,
  desp.m.ik[mes], "&lt;"&amp;EOMONTH(L$1,0)+1
)</f>
        <v>0</v>
      </c>
      <c r="M253" s="183">
        <f ca="1">-SUMIFS(
  desp.m.ik[valor],
  desp.m.ik[nucleo], $B253,
  desp.m.ik[centro.negocio], $B$227,
  desp.m.ik[mes], "&gt;="&amp;M$1,
  desp.m.ik[mes], "&lt;"&amp;EOMONTH(M$1,0)+1
)</f>
        <v>0</v>
      </c>
      <c r="N253" s="183">
        <f ca="1">-SUMIFS(
  desp.m.ik[valor],
  desp.m.ik[nucleo], $B253,
  desp.m.ik[centro.negocio], $B$227,
  desp.m.ik[mes], "&gt;="&amp;N$1,
  desp.m.ik[mes], "&lt;"&amp;EOMONTH(N$1,0)+1
)</f>
        <v>0</v>
      </c>
      <c r="O253" s="183">
        <f ca="1">-SUMIFS(
  desp.m.ik[valor],
  desp.m.ik[nucleo], $B253,
  desp.m.ik[centro.negocio], $B$227,
  desp.m.ik[mes], "&gt;="&amp;O$1,
  desp.m.ik[mes], "&lt;"&amp;EOMONTH(O$1,0)+1
)</f>
        <v>0</v>
      </c>
      <c r="P253" s="183">
        <f ca="1">-SUMIFS(
  desp.m.ik[valor],
  desp.m.ik[nucleo], $B253,
  desp.m.ik[centro.negocio], $B$227,
  desp.m.ik[mes], "&gt;="&amp;P$1,
  desp.m.ik[mes], "&lt;"&amp;EOMONTH(P$1,0)+1
)</f>
        <v>0</v>
      </c>
      <c r="Q253" s="183">
        <f ca="1">-SUMIFS(
  desp.m.ik[valor],
  desp.m.ik[nucleo], $B253,
  desp.m.ik[centro.negocio], $B$227,
  desp.m.ik[mes], "&gt;="&amp;Q$1,
  desp.m.ik[mes], "&lt;"&amp;EOMONTH(Q$1,0)+1
)</f>
        <v>0</v>
      </c>
      <c r="R253" s="183">
        <f ca="1">-SUMIFS(
  desp.m.ik[valor],
  desp.m.ik[nucleo], $B253,
  desp.m.ik[centro.negocio], $B$227,
  desp.m.ik[mes], "&gt;="&amp;R$1,
  desp.m.ik[mes], "&lt;"&amp;EOMONTH(R$1,0)+1
)</f>
        <v>0</v>
      </c>
      <c r="S253" s="183">
        <f ca="1">-SUMIFS(
  desp.m.ik[valor],
  desp.m.ik[nucleo], $B253,
  desp.m.ik[centro.negocio], $B$227,
  desp.m.ik[mes], "&gt;="&amp;S$1,
  desp.m.ik[mes], "&lt;"&amp;EOMONTH(S$1,0)+1
)</f>
        <v>0</v>
      </c>
      <c r="T253" s="183">
        <f ca="1">-SUMIFS(
  desp.m.ik[valor],
  desp.m.ik[nucleo], $B253,
  desp.m.ik[centro.negocio], $B$227,
  desp.m.ik[mes], "&gt;="&amp;T$1,
  desp.m.ik[mes], "&lt;"&amp;EOMONTH(T$1,0)+1
)</f>
        <v>0</v>
      </c>
      <c r="U253" s="183">
        <f ca="1">-SUMIFS(
  desp.m.ik[valor],
  desp.m.ik[nucleo], $B253,
  desp.m.ik[centro.negocio], $B$227,
  desp.m.ik[mes], "&gt;="&amp;U$1,
  desp.m.ik[mes], "&lt;"&amp;EOMONTH(U$1,0)+1
)</f>
        <v>0</v>
      </c>
      <c r="V253" s="183">
        <f ca="1">-SUMIFS(
  desp.m.ik[valor],
  desp.m.ik[nucleo], $B253,
  desp.m.ik[centro.negocio], $B$227,
  desp.m.ik[mes], "&gt;="&amp;V$1,
  desp.m.ik[mes], "&lt;"&amp;EOMONTH(V$1,0)+1
)</f>
        <v>0</v>
      </c>
      <c r="W253" s="183">
        <f ca="1">-SUMIFS(
  desp.m.ik[valor],
  desp.m.ik[nucleo], $B253,
  desp.m.ik[centro.negocio], $B$227,
  desp.m.ik[mes], "&gt;="&amp;W$1,
  desp.m.ik[mes], "&lt;"&amp;EOMONTH(W$1,0)+1
)</f>
        <v>0</v>
      </c>
      <c r="X253" s="183">
        <f ca="1">-SUMIFS(
  desp.m.ik[valor],
  desp.m.ik[nucleo], $B253,
  desp.m.ik[centro.negocio], $B$227,
  desp.m.ik[mes], "&gt;="&amp;X$1,
  desp.m.ik[mes], "&lt;"&amp;EOMONTH(X$1,0)+1
)</f>
        <v>0</v>
      </c>
      <c r="Y253" s="183">
        <f ca="1">-SUMIFS(
  desp.m.ik[valor],
  desp.m.ik[nucleo], $B253,
  desp.m.ik[centro.negocio], $B$227,
  desp.m.ik[mes], "&gt;="&amp;Y$1,
  desp.m.ik[mes], "&lt;"&amp;EOMONTH(Y$1,0)+1
)</f>
        <v>0</v>
      </c>
      <c r="Z253" s="183">
        <f ca="1">-SUMIFS(
  desp.m.ik[valor],
  desp.m.ik[nucleo], $B253,
  desp.m.ik[centro.negocio], $B$227,
  desp.m.ik[mes], "&gt;="&amp;Z$1,
  desp.m.ik[mes], "&lt;"&amp;EOMONTH(Z$1,0)+1
)</f>
        <v>0</v>
      </c>
      <c r="AA253" s="183">
        <f ca="1">-SUMIFS(
  desp.m.ik[valor],
  desp.m.ik[nucleo], $B253,
  desp.m.ik[centro.negocio], $B$227,
  desp.m.ik[mes], "&gt;="&amp;AA$1,
  desp.m.ik[mes], "&lt;"&amp;EOMONTH(AA$1,0)+1
)</f>
        <v>0</v>
      </c>
      <c r="AC253" s="175">
        <f ca="1">SUM($D253:INDEX($D253:$AA253,1,MATCH(DATE(YEAR(inputs!$A$1),MONTH(inputs!$A$1),1),$D$1:$AA$1,0)))</f>
        <v>0</v>
      </c>
      <c r="AE253" s="175">
        <f t="shared" ref="AE253" ca="1" si="48">SUM(D253:AA253)</f>
        <v>0</v>
      </c>
    </row>
    <row r="254" spans="1:31" outlineLevel="1" x14ac:dyDescent="0.25">
      <c r="A254" s="179" t="s">
        <v>878</v>
      </c>
      <c r="B254" s="179" t="s">
        <v>937</v>
      </c>
      <c r="C254" s="180" t="s">
        <v>514</v>
      </c>
      <c r="D254" s="181">
        <f t="shared" ref="D254:AA254" ca="1" si="49">SUM(D$255:D$260)</f>
        <v>0</v>
      </c>
      <c r="E254" s="181">
        <f t="shared" ca="1" si="49"/>
        <v>0</v>
      </c>
      <c r="F254" s="181">
        <f t="shared" ca="1" si="49"/>
        <v>0</v>
      </c>
      <c r="G254" s="181">
        <f t="shared" ca="1" si="49"/>
        <v>0</v>
      </c>
      <c r="H254" s="181">
        <f t="shared" ca="1" si="49"/>
        <v>0</v>
      </c>
      <c r="I254" s="181">
        <f t="shared" ca="1" si="49"/>
        <v>0</v>
      </c>
      <c r="J254" s="181">
        <f t="shared" ca="1" si="49"/>
        <v>0</v>
      </c>
      <c r="K254" s="181">
        <f t="shared" ca="1" si="49"/>
        <v>0</v>
      </c>
      <c r="L254" s="181">
        <f t="shared" ca="1" si="49"/>
        <v>0</v>
      </c>
      <c r="M254" s="181">
        <f t="shared" ca="1" si="49"/>
        <v>0</v>
      </c>
      <c r="N254" s="181">
        <f t="shared" ca="1" si="49"/>
        <v>0</v>
      </c>
      <c r="O254" s="181">
        <f t="shared" ca="1" si="49"/>
        <v>0</v>
      </c>
      <c r="P254" s="181">
        <f t="shared" ca="1" si="49"/>
        <v>0</v>
      </c>
      <c r="Q254" s="181">
        <f t="shared" ca="1" si="49"/>
        <v>0</v>
      </c>
      <c r="R254" s="181">
        <f t="shared" ca="1" si="49"/>
        <v>0</v>
      </c>
      <c r="S254" s="181">
        <f t="shared" ca="1" si="49"/>
        <v>0</v>
      </c>
      <c r="T254" s="181">
        <f t="shared" ca="1" si="49"/>
        <v>0</v>
      </c>
      <c r="U254" s="181">
        <f t="shared" ca="1" si="49"/>
        <v>0</v>
      </c>
      <c r="V254" s="181">
        <f t="shared" ca="1" si="49"/>
        <v>0</v>
      </c>
      <c r="W254" s="181">
        <f t="shared" ca="1" si="49"/>
        <v>0</v>
      </c>
      <c r="X254" s="181">
        <f t="shared" ca="1" si="49"/>
        <v>0</v>
      </c>
      <c r="Y254" s="181">
        <f t="shared" ca="1" si="49"/>
        <v>0</v>
      </c>
      <c r="Z254" s="181">
        <f t="shared" ca="1" si="49"/>
        <v>0</v>
      </c>
      <c r="AA254" s="181">
        <f t="shared" ca="1" si="49"/>
        <v>0</v>
      </c>
      <c r="AC254" s="275">
        <f ca="1">SUM($D254:INDEX($D254:$AA254,1,MATCH(DATE(YEAR(inputs!$A$1),MONTH(inputs!$A$1),1),$D$1:$AA$1,0)))</f>
        <v>0</v>
      </c>
      <c r="AE254" s="275">
        <f t="shared" ca="1" si="40"/>
        <v>0</v>
      </c>
    </row>
    <row r="255" spans="1:31" outlineLevel="2" x14ac:dyDescent="0.25">
      <c r="A255" s="182" t="s">
        <v>1056</v>
      </c>
      <c r="B255" s="182" t="s">
        <v>537</v>
      </c>
      <c r="C255" s="135" t="s">
        <v>514</v>
      </c>
      <c r="D255" s="183">
        <f ca="1">-SUMIFS(
  desp.m.ik[valor],
  desp.m.ik[nucleo], $B255,
  desp.m.ik[centro.negocio], "Comissão/vendas",
  desp.m.ik[mes], "&gt;="&amp;D$1,
  desp.m.ik[mes], "&lt;"&amp;EOMONTH(D$1,0)+1,
  desp.m.ik[classe], "Financiamento"
)</f>
        <v>0</v>
      </c>
      <c r="E255" s="183">
        <f ca="1">-SUMIFS(
  desp.m.ik[valor],
  desp.m.ik[nucleo], $B255,
  desp.m.ik[centro.negocio], "Comissão/vendas",
  desp.m.ik[mes], "&gt;="&amp;E$1,
  desp.m.ik[mes], "&lt;"&amp;EOMONTH(E$1,0)+1,
  desp.m.ik[classe], "Financiamento"
)</f>
        <v>0</v>
      </c>
      <c r="F255" s="183">
        <f ca="1">-SUMIFS(
  desp.m.ik[valor],
  desp.m.ik[nucleo], $B255,
  desp.m.ik[centro.negocio], "Comissão/vendas",
  desp.m.ik[mes], "&gt;="&amp;F$1,
  desp.m.ik[mes], "&lt;"&amp;EOMONTH(F$1,0)+1,
  desp.m.ik[classe], "Financiamento"
)</f>
        <v>0</v>
      </c>
      <c r="G255" s="183">
        <f ca="1">-SUMIFS(
  desp.m.ik[valor],
  desp.m.ik[nucleo], $B255,
  desp.m.ik[centro.negocio], "Comissão/vendas",
  desp.m.ik[mes], "&gt;="&amp;G$1,
  desp.m.ik[mes], "&lt;"&amp;EOMONTH(G$1,0)+1,
  desp.m.ik[classe], "Financiamento"
)</f>
        <v>0</v>
      </c>
      <c r="H255" s="183">
        <f ca="1">-SUMIFS(
  desp.m.ik[valor],
  desp.m.ik[nucleo], $B255,
  desp.m.ik[centro.negocio], "Comissão/vendas",
  desp.m.ik[mes], "&gt;="&amp;H$1,
  desp.m.ik[mes], "&lt;"&amp;EOMONTH(H$1,0)+1,
  desp.m.ik[classe], "Financiamento"
)</f>
        <v>0</v>
      </c>
      <c r="I255" s="183">
        <f ca="1">-SUMIFS(
  desp.m.ik[valor],
  desp.m.ik[nucleo], $B255,
  desp.m.ik[centro.negocio], "Comissão/vendas",
  desp.m.ik[mes], "&gt;="&amp;I$1,
  desp.m.ik[mes], "&lt;"&amp;EOMONTH(I$1,0)+1,
  desp.m.ik[classe], "Financiamento"
)</f>
        <v>0</v>
      </c>
      <c r="J255" s="183">
        <f ca="1">-SUMIFS(
  desp.m.ik[valor],
  desp.m.ik[nucleo], $B255,
  desp.m.ik[centro.negocio], "Comissão/vendas",
  desp.m.ik[mes], "&gt;="&amp;J$1,
  desp.m.ik[mes], "&lt;"&amp;EOMONTH(J$1,0)+1,
  desp.m.ik[classe], "Financiamento"
)</f>
        <v>0</v>
      </c>
      <c r="K255" s="183">
        <f ca="1">-SUMIFS(
  desp.m.ik[valor],
  desp.m.ik[nucleo], $B255,
  desp.m.ik[centro.negocio], "Comissão/vendas",
  desp.m.ik[mes], "&gt;="&amp;K$1,
  desp.m.ik[mes], "&lt;"&amp;EOMONTH(K$1,0)+1,
  desp.m.ik[classe], "Financiamento"
)</f>
        <v>0</v>
      </c>
      <c r="L255" s="183">
        <f ca="1">-SUMIFS(
  desp.m.ik[valor],
  desp.m.ik[nucleo], $B255,
  desp.m.ik[centro.negocio], "Comissão/vendas",
  desp.m.ik[mes], "&gt;="&amp;L$1,
  desp.m.ik[mes], "&lt;"&amp;EOMONTH(L$1,0)+1,
  desp.m.ik[classe], "Financiamento"
)</f>
        <v>0</v>
      </c>
      <c r="M255" s="183">
        <f ca="1">-SUMIFS(
  desp.m.ik[valor],
  desp.m.ik[nucleo], $B255,
  desp.m.ik[centro.negocio], "Comissão/vendas",
  desp.m.ik[mes], "&gt;="&amp;M$1,
  desp.m.ik[mes], "&lt;"&amp;EOMONTH(M$1,0)+1,
  desp.m.ik[classe], "Financiamento"
)</f>
        <v>0</v>
      </c>
      <c r="N255" s="183">
        <f ca="1">-SUMIFS(
  desp.m.ik[valor],
  desp.m.ik[nucleo], $B255,
  desp.m.ik[centro.negocio], "Comissão/vendas",
  desp.m.ik[mes], "&gt;="&amp;N$1,
  desp.m.ik[mes], "&lt;"&amp;EOMONTH(N$1,0)+1,
  desp.m.ik[classe], "Financiamento"
)</f>
        <v>0</v>
      </c>
      <c r="O255" s="183">
        <f ca="1">-SUMIFS(
  desp.m.ik[valor],
  desp.m.ik[nucleo], $B255,
  desp.m.ik[centro.negocio], "Comissão/vendas",
  desp.m.ik[mes], "&gt;="&amp;O$1,
  desp.m.ik[mes], "&lt;"&amp;EOMONTH(O$1,0)+1,
  desp.m.ik[classe], "Financiamento"
)</f>
        <v>0</v>
      </c>
      <c r="P255" s="183">
        <f ca="1">-SUMIFS(
  desp.m.ik[valor],
  desp.m.ik[nucleo], $B255,
  desp.m.ik[centro.negocio], "Comissão/vendas",
  desp.m.ik[mes], "&gt;="&amp;P$1,
  desp.m.ik[mes], "&lt;"&amp;EOMONTH(P$1,0)+1,
  desp.m.ik[classe], "Financiamento"
)</f>
        <v>0</v>
      </c>
      <c r="Q255" s="183">
        <f ca="1">-SUMIFS(
  desp.m.ik[valor],
  desp.m.ik[nucleo], $B255,
  desp.m.ik[centro.negocio], "Comissão/vendas",
  desp.m.ik[mes], "&gt;="&amp;Q$1,
  desp.m.ik[mes], "&lt;"&amp;EOMONTH(Q$1,0)+1,
  desp.m.ik[classe], "Financiamento"
)</f>
        <v>0</v>
      </c>
      <c r="R255" s="183">
        <f ca="1">-SUMIFS(
  desp.m.ik[valor],
  desp.m.ik[nucleo], $B255,
  desp.m.ik[centro.negocio], "Comissão/vendas",
  desp.m.ik[mes], "&gt;="&amp;R$1,
  desp.m.ik[mes], "&lt;"&amp;EOMONTH(R$1,0)+1,
  desp.m.ik[classe], "Financiamento"
)</f>
        <v>0</v>
      </c>
      <c r="S255" s="183">
        <f ca="1">-SUMIFS(
  desp.m.ik[valor],
  desp.m.ik[nucleo], $B255,
  desp.m.ik[centro.negocio], "Comissão/vendas",
  desp.m.ik[mes], "&gt;="&amp;S$1,
  desp.m.ik[mes], "&lt;"&amp;EOMONTH(S$1,0)+1,
  desp.m.ik[classe], "Financiamento"
)</f>
        <v>0</v>
      </c>
      <c r="T255" s="183">
        <f ca="1">-SUMIFS(
  desp.m.ik[valor],
  desp.m.ik[nucleo], $B255,
  desp.m.ik[centro.negocio], "Comissão/vendas",
  desp.m.ik[mes], "&gt;="&amp;T$1,
  desp.m.ik[mes], "&lt;"&amp;EOMONTH(T$1,0)+1,
  desp.m.ik[classe], "Financiamento"
)</f>
        <v>0</v>
      </c>
      <c r="U255" s="183">
        <f ca="1">-SUMIFS(
  desp.m.ik[valor],
  desp.m.ik[nucleo], $B255,
  desp.m.ik[centro.negocio], "Comissão/vendas",
  desp.m.ik[mes], "&gt;="&amp;U$1,
  desp.m.ik[mes], "&lt;"&amp;EOMONTH(U$1,0)+1,
  desp.m.ik[classe], "Financiamento"
)</f>
        <v>0</v>
      </c>
      <c r="V255" s="183">
        <f ca="1">-SUMIFS(
  desp.m.ik[valor],
  desp.m.ik[nucleo], $B255,
  desp.m.ik[centro.negocio], "Comissão/vendas",
  desp.m.ik[mes], "&gt;="&amp;V$1,
  desp.m.ik[mes], "&lt;"&amp;EOMONTH(V$1,0)+1,
  desp.m.ik[classe], "Financiamento"
)</f>
        <v>0</v>
      </c>
      <c r="W255" s="183">
        <f ca="1">-SUMIFS(
  desp.m.ik[valor],
  desp.m.ik[nucleo], $B255,
  desp.m.ik[centro.negocio], "Comissão/vendas",
  desp.m.ik[mes], "&gt;="&amp;W$1,
  desp.m.ik[mes], "&lt;"&amp;EOMONTH(W$1,0)+1,
  desp.m.ik[classe], "Financiamento"
)</f>
        <v>0</v>
      </c>
      <c r="X255" s="183">
        <f ca="1">-SUMIFS(
  desp.m.ik[valor],
  desp.m.ik[nucleo], $B255,
  desp.m.ik[centro.negocio], "Comissão/vendas",
  desp.m.ik[mes], "&gt;="&amp;X$1,
  desp.m.ik[mes], "&lt;"&amp;EOMONTH(X$1,0)+1,
  desp.m.ik[classe], "Financiamento"
)</f>
        <v>0</v>
      </c>
      <c r="Y255" s="183">
        <f ca="1">-SUMIFS(
  desp.m.ik[valor],
  desp.m.ik[nucleo], $B255,
  desp.m.ik[centro.negocio], "Comissão/vendas",
  desp.m.ik[mes], "&gt;="&amp;Y$1,
  desp.m.ik[mes], "&lt;"&amp;EOMONTH(Y$1,0)+1,
  desp.m.ik[classe], "Financiamento"
)</f>
        <v>0</v>
      </c>
      <c r="Z255" s="183">
        <f ca="1">-SUMIFS(
  desp.m.ik[valor],
  desp.m.ik[nucleo], $B255,
  desp.m.ik[centro.negocio], "Comissão/vendas",
  desp.m.ik[mes], "&gt;="&amp;Z$1,
  desp.m.ik[mes], "&lt;"&amp;EOMONTH(Z$1,0)+1,
  desp.m.ik[classe], "Financiamento"
)</f>
        <v>0</v>
      </c>
      <c r="AA255" s="183">
        <f ca="1">-SUMIFS(
  desp.m.ik[valor],
  desp.m.ik[nucleo], $B255,
  desp.m.ik[centro.negocio], "Comissão/vendas",
  desp.m.ik[mes], "&gt;="&amp;AA$1,
  desp.m.ik[mes], "&lt;"&amp;EOMONTH(AA$1,0)+1,
  desp.m.ik[classe], "Financiamento"
)</f>
        <v>0</v>
      </c>
      <c r="AC255" s="175">
        <f ca="1">SUM($D255:INDEX($D255:$AA255,1,MATCH(DATE(YEAR(inputs!$A$1),MONTH(inputs!$A$1),1),$D$1:$AA$1,0)))</f>
        <v>0</v>
      </c>
      <c r="AE255" s="175">
        <f ca="1">SUM(D255:AA255)</f>
        <v>0</v>
      </c>
    </row>
    <row r="256" spans="1:31" outlineLevel="2" x14ac:dyDescent="0.25">
      <c r="A256" s="182" t="s">
        <v>1057</v>
      </c>
      <c r="B256" s="182" t="s">
        <v>531</v>
      </c>
      <c r="C256" s="135" t="s">
        <v>514</v>
      </c>
      <c r="D256" s="183">
        <f ca="1">-SUMIFS(
  desp.m.ik[valor],
  desp.m.ik[nucleo], $B256,
  desp.m.ik[centro.negocio], "Comissão/vendas",
  desp.m.ik[mes], "&gt;="&amp;D$1,
  desp.m.ik[mes], "&lt;"&amp;EOMONTH(D$1,0)+1,
  desp.m.ik[classe], "Financiamento"
)</f>
        <v>0</v>
      </c>
      <c r="E256" s="183">
        <f ca="1">-SUMIFS(
  desp.m.ik[valor],
  desp.m.ik[nucleo], $B256,
  desp.m.ik[centro.negocio], "Comissão/vendas",
  desp.m.ik[mes], "&gt;="&amp;E$1,
  desp.m.ik[mes], "&lt;"&amp;EOMONTH(E$1,0)+1,
  desp.m.ik[classe], "Financiamento"
)</f>
        <v>0</v>
      </c>
      <c r="F256" s="183">
        <f ca="1">-SUMIFS(
  desp.m.ik[valor],
  desp.m.ik[nucleo], $B256,
  desp.m.ik[centro.negocio], "Comissão/vendas",
  desp.m.ik[mes], "&gt;="&amp;F$1,
  desp.m.ik[mes], "&lt;"&amp;EOMONTH(F$1,0)+1,
  desp.m.ik[classe], "Financiamento"
)</f>
        <v>0</v>
      </c>
      <c r="G256" s="183">
        <f ca="1">-SUMIFS(
  desp.m.ik[valor],
  desp.m.ik[nucleo], $B256,
  desp.m.ik[centro.negocio], "Comissão/vendas",
  desp.m.ik[mes], "&gt;="&amp;G$1,
  desp.m.ik[mes], "&lt;"&amp;EOMONTH(G$1,0)+1,
  desp.m.ik[classe], "Financiamento"
)</f>
        <v>0</v>
      </c>
      <c r="H256" s="183">
        <f ca="1">-SUMIFS(
  desp.m.ik[valor],
  desp.m.ik[nucleo], $B256,
  desp.m.ik[centro.negocio], "Comissão/vendas",
  desp.m.ik[mes], "&gt;="&amp;H$1,
  desp.m.ik[mes], "&lt;"&amp;EOMONTH(H$1,0)+1,
  desp.m.ik[classe], "Financiamento"
)</f>
        <v>0</v>
      </c>
      <c r="I256" s="183">
        <f ca="1">-SUMIFS(
  desp.m.ik[valor],
  desp.m.ik[nucleo], $B256,
  desp.m.ik[centro.negocio], "Comissão/vendas",
  desp.m.ik[mes], "&gt;="&amp;I$1,
  desp.m.ik[mes], "&lt;"&amp;EOMONTH(I$1,0)+1,
  desp.m.ik[classe], "Financiamento"
)</f>
        <v>0</v>
      </c>
      <c r="J256" s="183">
        <f ca="1">-SUMIFS(
  desp.m.ik[valor],
  desp.m.ik[nucleo], $B256,
  desp.m.ik[centro.negocio], "Comissão/vendas",
  desp.m.ik[mes], "&gt;="&amp;J$1,
  desp.m.ik[mes], "&lt;"&amp;EOMONTH(J$1,0)+1,
  desp.m.ik[classe], "Financiamento"
)</f>
        <v>0</v>
      </c>
      <c r="K256" s="183">
        <f ca="1">-SUMIFS(
  desp.m.ik[valor],
  desp.m.ik[nucleo], $B256,
  desp.m.ik[centro.negocio], "Comissão/vendas",
  desp.m.ik[mes], "&gt;="&amp;K$1,
  desp.m.ik[mes], "&lt;"&amp;EOMONTH(K$1,0)+1,
  desp.m.ik[classe], "Financiamento"
)</f>
        <v>0</v>
      </c>
      <c r="L256" s="183">
        <f ca="1">-SUMIFS(
  desp.m.ik[valor],
  desp.m.ik[nucleo], $B256,
  desp.m.ik[centro.negocio], "Comissão/vendas",
  desp.m.ik[mes], "&gt;="&amp;L$1,
  desp.m.ik[mes], "&lt;"&amp;EOMONTH(L$1,0)+1,
  desp.m.ik[classe], "Financiamento"
)</f>
        <v>0</v>
      </c>
      <c r="M256" s="183">
        <f ca="1">-SUMIFS(
  desp.m.ik[valor],
  desp.m.ik[nucleo], $B256,
  desp.m.ik[centro.negocio], "Comissão/vendas",
  desp.m.ik[mes], "&gt;="&amp;M$1,
  desp.m.ik[mes], "&lt;"&amp;EOMONTH(M$1,0)+1,
  desp.m.ik[classe], "Financiamento"
)</f>
        <v>0</v>
      </c>
      <c r="N256" s="183">
        <f ca="1">-SUMIFS(
  desp.m.ik[valor],
  desp.m.ik[nucleo], $B256,
  desp.m.ik[centro.negocio], "Comissão/vendas",
  desp.m.ik[mes], "&gt;="&amp;N$1,
  desp.m.ik[mes], "&lt;"&amp;EOMONTH(N$1,0)+1,
  desp.m.ik[classe], "Financiamento"
)</f>
        <v>0</v>
      </c>
      <c r="O256" s="183">
        <f ca="1">-SUMIFS(
  desp.m.ik[valor],
  desp.m.ik[nucleo], $B256,
  desp.m.ik[centro.negocio], "Comissão/vendas",
  desp.m.ik[mes], "&gt;="&amp;O$1,
  desp.m.ik[mes], "&lt;"&amp;EOMONTH(O$1,0)+1,
  desp.m.ik[classe], "Financiamento"
)</f>
        <v>0</v>
      </c>
      <c r="P256" s="183">
        <f ca="1">-SUMIFS(
  desp.m.ik[valor],
  desp.m.ik[nucleo], $B256,
  desp.m.ik[centro.negocio], "Comissão/vendas",
  desp.m.ik[mes], "&gt;="&amp;P$1,
  desp.m.ik[mes], "&lt;"&amp;EOMONTH(P$1,0)+1,
  desp.m.ik[classe], "Financiamento"
)</f>
        <v>0</v>
      </c>
      <c r="Q256" s="183">
        <f ca="1">-SUMIFS(
  desp.m.ik[valor],
  desp.m.ik[nucleo], $B256,
  desp.m.ik[centro.negocio], "Comissão/vendas",
  desp.m.ik[mes], "&gt;="&amp;Q$1,
  desp.m.ik[mes], "&lt;"&amp;EOMONTH(Q$1,0)+1,
  desp.m.ik[classe], "Financiamento"
)</f>
        <v>0</v>
      </c>
      <c r="R256" s="183">
        <f ca="1">-SUMIFS(
  desp.m.ik[valor],
  desp.m.ik[nucleo], $B256,
  desp.m.ik[centro.negocio], "Comissão/vendas",
  desp.m.ik[mes], "&gt;="&amp;R$1,
  desp.m.ik[mes], "&lt;"&amp;EOMONTH(R$1,0)+1,
  desp.m.ik[classe], "Financiamento"
)</f>
        <v>0</v>
      </c>
      <c r="S256" s="183">
        <f ca="1">-SUMIFS(
  desp.m.ik[valor],
  desp.m.ik[nucleo], $B256,
  desp.m.ik[centro.negocio], "Comissão/vendas",
  desp.m.ik[mes], "&gt;="&amp;S$1,
  desp.m.ik[mes], "&lt;"&amp;EOMONTH(S$1,0)+1,
  desp.m.ik[classe], "Financiamento"
)</f>
        <v>0</v>
      </c>
      <c r="T256" s="183">
        <f ca="1">-SUMIFS(
  desp.m.ik[valor],
  desp.m.ik[nucleo], $B256,
  desp.m.ik[centro.negocio], "Comissão/vendas",
  desp.m.ik[mes], "&gt;="&amp;T$1,
  desp.m.ik[mes], "&lt;"&amp;EOMONTH(T$1,0)+1,
  desp.m.ik[classe], "Financiamento"
)</f>
        <v>0</v>
      </c>
      <c r="U256" s="183">
        <f ca="1">-SUMIFS(
  desp.m.ik[valor],
  desp.m.ik[nucleo], $B256,
  desp.m.ik[centro.negocio], "Comissão/vendas",
  desp.m.ik[mes], "&gt;="&amp;U$1,
  desp.m.ik[mes], "&lt;"&amp;EOMONTH(U$1,0)+1,
  desp.m.ik[classe], "Financiamento"
)</f>
        <v>0</v>
      </c>
      <c r="V256" s="183">
        <f ca="1">-SUMIFS(
  desp.m.ik[valor],
  desp.m.ik[nucleo], $B256,
  desp.m.ik[centro.negocio], "Comissão/vendas",
  desp.m.ik[mes], "&gt;="&amp;V$1,
  desp.m.ik[mes], "&lt;"&amp;EOMONTH(V$1,0)+1,
  desp.m.ik[classe], "Financiamento"
)</f>
        <v>0</v>
      </c>
      <c r="W256" s="183">
        <f ca="1">-SUMIFS(
  desp.m.ik[valor],
  desp.m.ik[nucleo], $B256,
  desp.m.ik[centro.negocio], "Comissão/vendas",
  desp.m.ik[mes], "&gt;="&amp;W$1,
  desp.m.ik[mes], "&lt;"&amp;EOMONTH(W$1,0)+1,
  desp.m.ik[classe], "Financiamento"
)</f>
        <v>0</v>
      </c>
      <c r="X256" s="183">
        <f ca="1">-SUMIFS(
  desp.m.ik[valor],
  desp.m.ik[nucleo], $B256,
  desp.m.ik[centro.negocio], "Comissão/vendas",
  desp.m.ik[mes], "&gt;="&amp;X$1,
  desp.m.ik[mes], "&lt;"&amp;EOMONTH(X$1,0)+1,
  desp.m.ik[classe], "Financiamento"
)</f>
        <v>0</v>
      </c>
      <c r="Y256" s="183">
        <f ca="1">-SUMIFS(
  desp.m.ik[valor],
  desp.m.ik[nucleo], $B256,
  desp.m.ik[centro.negocio], "Comissão/vendas",
  desp.m.ik[mes], "&gt;="&amp;Y$1,
  desp.m.ik[mes], "&lt;"&amp;EOMONTH(Y$1,0)+1,
  desp.m.ik[classe], "Financiamento"
)</f>
        <v>0</v>
      </c>
      <c r="Z256" s="183">
        <f ca="1">-SUMIFS(
  desp.m.ik[valor],
  desp.m.ik[nucleo], $B256,
  desp.m.ik[centro.negocio], "Comissão/vendas",
  desp.m.ik[mes], "&gt;="&amp;Z$1,
  desp.m.ik[mes], "&lt;"&amp;EOMONTH(Z$1,0)+1,
  desp.m.ik[classe], "Financiamento"
)</f>
        <v>0</v>
      </c>
      <c r="AA256" s="183">
        <f ca="1">-SUMIFS(
  desp.m.ik[valor],
  desp.m.ik[nucleo], $B256,
  desp.m.ik[centro.negocio], "Comissão/vendas",
  desp.m.ik[mes], "&gt;="&amp;AA$1,
  desp.m.ik[mes], "&lt;"&amp;EOMONTH(AA$1,0)+1,
  desp.m.ik[classe], "Financiamento"
)</f>
        <v>0</v>
      </c>
      <c r="AC256" s="175">
        <f ca="1">SUM($D256:INDEX($D256:$AA256,1,MATCH(DATE(YEAR(inputs!$A$1),MONTH(inputs!$A$1),1),$D$1:$AA$1,0)))</f>
        <v>0</v>
      </c>
      <c r="AE256" s="175">
        <f t="shared" ca="1" si="40"/>
        <v>0</v>
      </c>
    </row>
    <row r="257" spans="1:31" outlineLevel="2" x14ac:dyDescent="0.25">
      <c r="A257" s="182" t="s">
        <v>1058</v>
      </c>
      <c r="B257" s="182" t="s">
        <v>541</v>
      </c>
      <c r="C257" s="135" t="s">
        <v>514</v>
      </c>
      <c r="D257" s="183">
        <f ca="1">-SUMIFS(
  desp.m.ik[valor],
  desp.m.ik[nucleo], $B257,
  desp.m.ik[centro.negocio], "Comissão/vendas",
  desp.m.ik[mes], "&gt;="&amp;D$1,
  desp.m.ik[mes], "&lt;"&amp;EOMONTH(D$1,0)+1,
  desp.m.ik[classe], "Financiamento"
)</f>
        <v>0</v>
      </c>
      <c r="E257" s="183">
        <f ca="1">-SUMIFS(
  desp.m.ik[valor],
  desp.m.ik[nucleo], $B257,
  desp.m.ik[centro.negocio], "Comissão/vendas",
  desp.m.ik[mes], "&gt;="&amp;E$1,
  desp.m.ik[mes], "&lt;"&amp;EOMONTH(E$1,0)+1,
  desp.m.ik[classe], "Financiamento"
)</f>
        <v>0</v>
      </c>
      <c r="F257" s="183">
        <f ca="1">-SUMIFS(
  desp.m.ik[valor],
  desp.m.ik[nucleo], $B257,
  desp.m.ik[centro.negocio], "Comissão/vendas",
  desp.m.ik[mes], "&gt;="&amp;F$1,
  desp.m.ik[mes], "&lt;"&amp;EOMONTH(F$1,0)+1,
  desp.m.ik[classe], "Financiamento"
)</f>
        <v>0</v>
      </c>
      <c r="G257" s="183">
        <f ca="1">-SUMIFS(
  desp.m.ik[valor],
  desp.m.ik[nucleo], $B257,
  desp.m.ik[centro.negocio], "Comissão/vendas",
  desp.m.ik[mes], "&gt;="&amp;G$1,
  desp.m.ik[mes], "&lt;"&amp;EOMONTH(G$1,0)+1,
  desp.m.ik[classe], "Financiamento"
)</f>
        <v>0</v>
      </c>
      <c r="H257" s="183">
        <f ca="1">-SUMIFS(
  desp.m.ik[valor],
  desp.m.ik[nucleo], $B257,
  desp.m.ik[centro.negocio], "Comissão/vendas",
  desp.m.ik[mes], "&gt;="&amp;H$1,
  desp.m.ik[mes], "&lt;"&amp;EOMONTH(H$1,0)+1,
  desp.m.ik[classe], "Financiamento"
)</f>
        <v>0</v>
      </c>
      <c r="I257" s="183">
        <f ca="1">-SUMIFS(
  desp.m.ik[valor],
  desp.m.ik[nucleo], $B257,
  desp.m.ik[centro.negocio], "Comissão/vendas",
  desp.m.ik[mes], "&gt;="&amp;I$1,
  desp.m.ik[mes], "&lt;"&amp;EOMONTH(I$1,0)+1,
  desp.m.ik[classe], "Financiamento"
)</f>
        <v>0</v>
      </c>
      <c r="J257" s="183">
        <f ca="1">-SUMIFS(
  desp.m.ik[valor],
  desp.m.ik[nucleo], $B257,
  desp.m.ik[centro.negocio], "Comissão/vendas",
  desp.m.ik[mes], "&gt;="&amp;J$1,
  desp.m.ik[mes], "&lt;"&amp;EOMONTH(J$1,0)+1,
  desp.m.ik[classe], "Financiamento"
)</f>
        <v>0</v>
      </c>
      <c r="K257" s="183">
        <f ca="1">-SUMIFS(
  desp.m.ik[valor],
  desp.m.ik[nucleo], $B257,
  desp.m.ik[centro.negocio], "Comissão/vendas",
  desp.m.ik[mes], "&gt;="&amp;K$1,
  desp.m.ik[mes], "&lt;"&amp;EOMONTH(K$1,0)+1,
  desp.m.ik[classe], "Financiamento"
)</f>
        <v>0</v>
      </c>
      <c r="L257" s="183">
        <f ca="1">-SUMIFS(
  desp.m.ik[valor],
  desp.m.ik[nucleo], $B257,
  desp.m.ik[centro.negocio], "Comissão/vendas",
  desp.m.ik[mes], "&gt;="&amp;L$1,
  desp.m.ik[mes], "&lt;"&amp;EOMONTH(L$1,0)+1,
  desp.m.ik[classe], "Financiamento"
)</f>
        <v>0</v>
      </c>
      <c r="M257" s="183">
        <f ca="1">-SUMIFS(
  desp.m.ik[valor],
  desp.m.ik[nucleo], $B257,
  desp.m.ik[centro.negocio], "Comissão/vendas",
  desp.m.ik[mes], "&gt;="&amp;M$1,
  desp.m.ik[mes], "&lt;"&amp;EOMONTH(M$1,0)+1,
  desp.m.ik[classe], "Financiamento"
)</f>
        <v>0</v>
      </c>
      <c r="N257" s="183">
        <f ca="1">-SUMIFS(
  desp.m.ik[valor],
  desp.m.ik[nucleo], $B257,
  desp.m.ik[centro.negocio], "Comissão/vendas",
  desp.m.ik[mes], "&gt;="&amp;N$1,
  desp.m.ik[mes], "&lt;"&amp;EOMONTH(N$1,0)+1,
  desp.m.ik[classe], "Financiamento"
)</f>
        <v>0</v>
      </c>
      <c r="O257" s="183">
        <f ca="1">-SUMIFS(
  desp.m.ik[valor],
  desp.m.ik[nucleo], $B257,
  desp.m.ik[centro.negocio], "Comissão/vendas",
  desp.m.ik[mes], "&gt;="&amp;O$1,
  desp.m.ik[mes], "&lt;"&amp;EOMONTH(O$1,0)+1,
  desp.m.ik[classe], "Financiamento"
)</f>
        <v>0</v>
      </c>
      <c r="P257" s="183">
        <f ca="1">-SUMIFS(
  desp.m.ik[valor],
  desp.m.ik[nucleo], $B257,
  desp.m.ik[centro.negocio], "Comissão/vendas",
  desp.m.ik[mes], "&gt;="&amp;P$1,
  desp.m.ik[mes], "&lt;"&amp;EOMONTH(P$1,0)+1,
  desp.m.ik[classe], "Financiamento"
)</f>
        <v>0</v>
      </c>
      <c r="Q257" s="183">
        <f ca="1">-SUMIFS(
  desp.m.ik[valor],
  desp.m.ik[nucleo], $B257,
  desp.m.ik[centro.negocio], "Comissão/vendas",
  desp.m.ik[mes], "&gt;="&amp;Q$1,
  desp.m.ik[mes], "&lt;"&amp;EOMONTH(Q$1,0)+1,
  desp.m.ik[classe], "Financiamento"
)</f>
        <v>0</v>
      </c>
      <c r="R257" s="183">
        <f ca="1">-SUMIFS(
  desp.m.ik[valor],
  desp.m.ik[nucleo], $B257,
  desp.m.ik[centro.negocio], "Comissão/vendas",
  desp.m.ik[mes], "&gt;="&amp;R$1,
  desp.m.ik[mes], "&lt;"&amp;EOMONTH(R$1,0)+1,
  desp.m.ik[classe], "Financiamento"
)</f>
        <v>0</v>
      </c>
      <c r="S257" s="183">
        <f ca="1">-SUMIFS(
  desp.m.ik[valor],
  desp.m.ik[nucleo], $B257,
  desp.m.ik[centro.negocio], "Comissão/vendas",
  desp.m.ik[mes], "&gt;="&amp;S$1,
  desp.m.ik[mes], "&lt;"&amp;EOMONTH(S$1,0)+1,
  desp.m.ik[classe], "Financiamento"
)</f>
        <v>0</v>
      </c>
      <c r="T257" s="183">
        <f ca="1">-SUMIFS(
  desp.m.ik[valor],
  desp.m.ik[nucleo], $B257,
  desp.m.ik[centro.negocio], "Comissão/vendas",
  desp.m.ik[mes], "&gt;="&amp;T$1,
  desp.m.ik[mes], "&lt;"&amp;EOMONTH(T$1,0)+1,
  desp.m.ik[classe], "Financiamento"
)</f>
        <v>0</v>
      </c>
      <c r="U257" s="183">
        <f ca="1">-SUMIFS(
  desp.m.ik[valor],
  desp.m.ik[nucleo], $B257,
  desp.m.ik[centro.negocio], "Comissão/vendas",
  desp.m.ik[mes], "&gt;="&amp;U$1,
  desp.m.ik[mes], "&lt;"&amp;EOMONTH(U$1,0)+1,
  desp.m.ik[classe], "Financiamento"
)</f>
        <v>0</v>
      </c>
      <c r="V257" s="183">
        <f ca="1">-SUMIFS(
  desp.m.ik[valor],
  desp.m.ik[nucleo], $B257,
  desp.m.ik[centro.negocio], "Comissão/vendas",
  desp.m.ik[mes], "&gt;="&amp;V$1,
  desp.m.ik[mes], "&lt;"&amp;EOMONTH(V$1,0)+1,
  desp.m.ik[classe], "Financiamento"
)</f>
        <v>0</v>
      </c>
      <c r="W257" s="183">
        <f ca="1">-SUMIFS(
  desp.m.ik[valor],
  desp.m.ik[nucleo], $B257,
  desp.m.ik[centro.negocio], "Comissão/vendas",
  desp.m.ik[mes], "&gt;="&amp;W$1,
  desp.m.ik[mes], "&lt;"&amp;EOMONTH(W$1,0)+1,
  desp.m.ik[classe], "Financiamento"
)</f>
        <v>0</v>
      </c>
      <c r="X257" s="183">
        <f ca="1">-SUMIFS(
  desp.m.ik[valor],
  desp.m.ik[nucleo], $B257,
  desp.m.ik[centro.negocio], "Comissão/vendas",
  desp.m.ik[mes], "&gt;="&amp;X$1,
  desp.m.ik[mes], "&lt;"&amp;EOMONTH(X$1,0)+1,
  desp.m.ik[classe], "Financiamento"
)</f>
        <v>0</v>
      </c>
      <c r="Y257" s="183">
        <f ca="1">-SUMIFS(
  desp.m.ik[valor],
  desp.m.ik[nucleo], $B257,
  desp.m.ik[centro.negocio], "Comissão/vendas",
  desp.m.ik[mes], "&gt;="&amp;Y$1,
  desp.m.ik[mes], "&lt;"&amp;EOMONTH(Y$1,0)+1,
  desp.m.ik[classe], "Financiamento"
)</f>
        <v>0</v>
      </c>
      <c r="Z257" s="183">
        <f ca="1">-SUMIFS(
  desp.m.ik[valor],
  desp.m.ik[nucleo], $B257,
  desp.m.ik[centro.negocio], "Comissão/vendas",
  desp.m.ik[mes], "&gt;="&amp;Z$1,
  desp.m.ik[mes], "&lt;"&amp;EOMONTH(Z$1,0)+1,
  desp.m.ik[classe], "Financiamento"
)</f>
        <v>0</v>
      </c>
      <c r="AA257" s="183">
        <f ca="1">-SUMIFS(
  desp.m.ik[valor],
  desp.m.ik[nucleo], $B257,
  desp.m.ik[centro.negocio], "Comissão/vendas",
  desp.m.ik[mes], "&gt;="&amp;AA$1,
  desp.m.ik[mes], "&lt;"&amp;EOMONTH(AA$1,0)+1,
  desp.m.ik[classe], "Financiamento"
)</f>
        <v>0</v>
      </c>
      <c r="AC257" s="175">
        <f ca="1">SUM($D257:INDEX($D257:$AA257,1,MATCH(DATE(YEAR(inputs!$A$1),MONTH(inputs!$A$1),1),$D$1:$AA$1,0)))</f>
        <v>0</v>
      </c>
      <c r="AE257" s="175">
        <f t="shared" ref="AE257" ca="1" si="50">SUM(D257:AA257)</f>
        <v>0</v>
      </c>
    </row>
    <row r="258" spans="1:31" outlineLevel="2" x14ac:dyDescent="0.25">
      <c r="A258" s="182" t="s">
        <v>1125</v>
      </c>
      <c r="B258" s="182" t="s">
        <v>546</v>
      </c>
      <c r="C258" s="135" t="s">
        <v>514</v>
      </c>
      <c r="D258" s="183">
        <f ca="1">-SUMIFS(
  desp.m.ik[valor],
  desp.m.ik[nucleo], $B258,
  desp.m.ik[centro.negocio], "Comissão/vendas",
  desp.m.ik[mes], "&gt;="&amp;D$1,
  desp.m.ik[mes], "&lt;"&amp;EOMONTH(D$1,0)+1,
  desp.m.ik[classe], "Financiamento"
)</f>
        <v>0</v>
      </c>
      <c r="E258" s="183">
        <f ca="1">-SUMIFS(
  desp.m.ik[valor],
  desp.m.ik[nucleo], $B258,
  desp.m.ik[centro.negocio], "Comissão/vendas",
  desp.m.ik[mes], "&gt;="&amp;E$1,
  desp.m.ik[mes], "&lt;"&amp;EOMONTH(E$1,0)+1,
  desp.m.ik[classe], "Financiamento"
)</f>
        <v>0</v>
      </c>
      <c r="F258" s="183">
        <f ca="1">-SUMIFS(
  desp.m.ik[valor],
  desp.m.ik[nucleo], $B258,
  desp.m.ik[centro.negocio], "Comissão/vendas",
  desp.m.ik[mes], "&gt;="&amp;F$1,
  desp.m.ik[mes], "&lt;"&amp;EOMONTH(F$1,0)+1,
  desp.m.ik[classe], "Financiamento"
)</f>
        <v>0</v>
      </c>
      <c r="G258" s="183">
        <f ca="1">-SUMIFS(
  desp.m.ik[valor],
  desp.m.ik[nucleo], $B258,
  desp.m.ik[centro.negocio], "Comissão/vendas",
  desp.m.ik[mes], "&gt;="&amp;G$1,
  desp.m.ik[mes], "&lt;"&amp;EOMONTH(G$1,0)+1,
  desp.m.ik[classe], "Financiamento"
)</f>
        <v>0</v>
      </c>
      <c r="H258" s="183">
        <f ca="1">-SUMIFS(
  desp.m.ik[valor],
  desp.m.ik[nucleo], $B258,
  desp.m.ik[centro.negocio], "Comissão/vendas",
  desp.m.ik[mes], "&gt;="&amp;H$1,
  desp.m.ik[mes], "&lt;"&amp;EOMONTH(H$1,0)+1,
  desp.m.ik[classe], "Financiamento"
)</f>
        <v>0</v>
      </c>
      <c r="I258" s="183">
        <f ca="1">-SUMIFS(
  desp.m.ik[valor],
  desp.m.ik[nucleo], $B258,
  desp.m.ik[centro.negocio], "Comissão/vendas",
  desp.m.ik[mes], "&gt;="&amp;I$1,
  desp.m.ik[mes], "&lt;"&amp;EOMONTH(I$1,0)+1,
  desp.m.ik[classe], "Financiamento"
)</f>
        <v>0</v>
      </c>
      <c r="J258" s="183">
        <f ca="1">-SUMIFS(
  desp.m.ik[valor],
  desp.m.ik[nucleo], $B258,
  desp.m.ik[centro.negocio], "Comissão/vendas",
  desp.m.ik[mes], "&gt;="&amp;J$1,
  desp.m.ik[mes], "&lt;"&amp;EOMONTH(J$1,0)+1,
  desp.m.ik[classe], "Financiamento"
)</f>
        <v>0</v>
      </c>
      <c r="K258" s="183">
        <f ca="1">-SUMIFS(
  desp.m.ik[valor],
  desp.m.ik[nucleo], $B258,
  desp.m.ik[centro.negocio], "Comissão/vendas",
  desp.m.ik[mes], "&gt;="&amp;K$1,
  desp.m.ik[mes], "&lt;"&amp;EOMONTH(K$1,0)+1,
  desp.m.ik[classe], "Financiamento"
)</f>
        <v>0</v>
      </c>
      <c r="L258" s="183">
        <f ca="1">-SUMIFS(
  desp.m.ik[valor],
  desp.m.ik[nucleo], $B258,
  desp.m.ik[centro.negocio], "Comissão/vendas",
  desp.m.ik[mes], "&gt;="&amp;L$1,
  desp.m.ik[mes], "&lt;"&amp;EOMONTH(L$1,0)+1,
  desp.m.ik[classe], "Financiamento"
)</f>
        <v>0</v>
      </c>
      <c r="M258" s="183">
        <f ca="1">-SUMIFS(
  desp.m.ik[valor],
  desp.m.ik[nucleo], $B258,
  desp.m.ik[centro.negocio], "Comissão/vendas",
  desp.m.ik[mes], "&gt;="&amp;M$1,
  desp.m.ik[mes], "&lt;"&amp;EOMONTH(M$1,0)+1,
  desp.m.ik[classe], "Financiamento"
)</f>
        <v>0</v>
      </c>
      <c r="N258" s="183">
        <f ca="1">-SUMIFS(
  desp.m.ik[valor],
  desp.m.ik[nucleo], $B258,
  desp.m.ik[centro.negocio], "Comissão/vendas",
  desp.m.ik[mes], "&gt;="&amp;N$1,
  desp.m.ik[mes], "&lt;"&amp;EOMONTH(N$1,0)+1,
  desp.m.ik[classe], "Financiamento"
)</f>
        <v>0</v>
      </c>
      <c r="O258" s="183">
        <f ca="1">-SUMIFS(
  desp.m.ik[valor],
  desp.m.ik[nucleo], $B258,
  desp.m.ik[centro.negocio], "Comissão/vendas",
  desp.m.ik[mes], "&gt;="&amp;O$1,
  desp.m.ik[mes], "&lt;"&amp;EOMONTH(O$1,0)+1,
  desp.m.ik[classe], "Financiamento"
)</f>
        <v>0</v>
      </c>
      <c r="P258" s="183">
        <f ca="1">-SUMIFS(
  desp.m.ik[valor],
  desp.m.ik[nucleo], $B258,
  desp.m.ik[centro.negocio], "Comissão/vendas",
  desp.m.ik[mes], "&gt;="&amp;P$1,
  desp.m.ik[mes], "&lt;"&amp;EOMONTH(P$1,0)+1,
  desp.m.ik[classe], "Financiamento"
)</f>
        <v>0</v>
      </c>
      <c r="Q258" s="183">
        <f ca="1">-SUMIFS(
  desp.m.ik[valor],
  desp.m.ik[nucleo], $B258,
  desp.m.ik[centro.negocio], "Comissão/vendas",
  desp.m.ik[mes], "&gt;="&amp;Q$1,
  desp.m.ik[mes], "&lt;"&amp;EOMONTH(Q$1,0)+1,
  desp.m.ik[classe], "Financiamento"
)</f>
        <v>0</v>
      </c>
      <c r="R258" s="183">
        <f ca="1">-SUMIFS(
  desp.m.ik[valor],
  desp.m.ik[nucleo], $B258,
  desp.m.ik[centro.negocio], "Comissão/vendas",
  desp.m.ik[mes], "&gt;="&amp;R$1,
  desp.m.ik[mes], "&lt;"&amp;EOMONTH(R$1,0)+1,
  desp.m.ik[classe], "Financiamento"
)</f>
        <v>0</v>
      </c>
      <c r="S258" s="183">
        <f ca="1">-SUMIFS(
  desp.m.ik[valor],
  desp.m.ik[nucleo], $B258,
  desp.m.ik[centro.negocio], "Comissão/vendas",
  desp.m.ik[mes], "&gt;="&amp;S$1,
  desp.m.ik[mes], "&lt;"&amp;EOMONTH(S$1,0)+1,
  desp.m.ik[classe], "Financiamento"
)</f>
        <v>0</v>
      </c>
      <c r="T258" s="183">
        <f ca="1">-SUMIFS(
  desp.m.ik[valor],
  desp.m.ik[nucleo], $B258,
  desp.m.ik[centro.negocio], "Comissão/vendas",
  desp.m.ik[mes], "&gt;="&amp;T$1,
  desp.m.ik[mes], "&lt;"&amp;EOMONTH(T$1,0)+1,
  desp.m.ik[classe], "Financiamento"
)</f>
        <v>0</v>
      </c>
      <c r="U258" s="183">
        <f ca="1">-SUMIFS(
  desp.m.ik[valor],
  desp.m.ik[nucleo], $B258,
  desp.m.ik[centro.negocio], "Comissão/vendas",
  desp.m.ik[mes], "&gt;="&amp;U$1,
  desp.m.ik[mes], "&lt;"&amp;EOMONTH(U$1,0)+1,
  desp.m.ik[classe], "Financiamento"
)</f>
        <v>0</v>
      </c>
      <c r="V258" s="183">
        <f ca="1">-SUMIFS(
  desp.m.ik[valor],
  desp.m.ik[nucleo], $B258,
  desp.m.ik[centro.negocio], "Comissão/vendas",
  desp.m.ik[mes], "&gt;="&amp;V$1,
  desp.m.ik[mes], "&lt;"&amp;EOMONTH(V$1,0)+1,
  desp.m.ik[classe], "Financiamento"
)</f>
        <v>0</v>
      </c>
      <c r="W258" s="183">
        <f ca="1">-SUMIFS(
  desp.m.ik[valor],
  desp.m.ik[nucleo], $B258,
  desp.m.ik[centro.negocio], "Comissão/vendas",
  desp.m.ik[mes], "&gt;="&amp;W$1,
  desp.m.ik[mes], "&lt;"&amp;EOMONTH(W$1,0)+1,
  desp.m.ik[classe], "Financiamento"
)</f>
        <v>0</v>
      </c>
      <c r="X258" s="183">
        <f ca="1">-SUMIFS(
  desp.m.ik[valor],
  desp.m.ik[nucleo], $B258,
  desp.m.ik[centro.negocio], "Comissão/vendas",
  desp.m.ik[mes], "&gt;="&amp;X$1,
  desp.m.ik[mes], "&lt;"&amp;EOMONTH(X$1,0)+1,
  desp.m.ik[classe], "Financiamento"
)</f>
        <v>0</v>
      </c>
      <c r="Y258" s="183">
        <f ca="1">-SUMIFS(
  desp.m.ik[valor],
  desp.m.ik[nucleo], $B258,
  desp.m.ik[centro.negocio], "Comissão/vendas",
  desp.m.ik[mes], "&gt;="&amp;Y$1,
  desp.m.ik[mes], "&lt;"&amp;EOMONTH(Y$1,0)+1,
  desp.m.ik[classe], "Financiamento"
)</f>
        <v>0</v>
      </c>
      <c r="Z258" s="183">
        <f ca="1">-SUMIFS(
  desp.m.ik[valor],
  desp.m.ik[nucleo], $B258,
  desp.m.ik[centro.negocio], "Comissão/vendas",
  desp.m.ik[mes], "&gt;="&amp;Z$1,
  desp.m.ik[mes], "&lt;"&amp;EOMONTH(Z$1,0)+1,
  desp.m.ik[classe], "Financiamento"
)</f>
        <v>0</v>
      </c>
      <c r="AA258" s="183">
        <f ca="1">-SUMIFS(
  desp.m.ik[valor],
  desp.m.ik[nucleo], $B258,
  desp.m.ik[centro.negocio], "Comissão/vendas",
  desp.m.ik[mes], "&gt;="&amp;AA$1,
  desp.m.ik[mes], "&lt;"&amp;EOMONTH(AA$1,0)+1,
  desp.m.ik[classe], "Financiamento"
)</f>
        <v>0</v>
      </c>
      <c r="AC258" s="175">
        <f ca="1">SUM($D258:INDEX($D258:$AA258,1,MATCH(DATE(YEAR(inputs!$A$1),MONTH(inputs!$A$1),1),$D$1:$AA$1,0)))</f>
        <v>0</v>
      </c>
      <c r="AE258" s="175">
        <f ca="1">SUM(D258:AA258)</f>
        <v>0</v>
      </c>
    </row>
    <row r="259" spans="1:31" outlineLevel="2" x14ac:dyDescent="0.25">
      <c r="A259" s="182" t="s">
        <v>1059</v>
      </c>
      <c r="B259" s="182" t="s">
        <v>533</v>
      </c>
      <c r="C259" s="135" t="s">
        <v>514</v>
      </c>
      <c r="D259" s="183">
        <f ca="1">-SUMIFS(
  desp.m.ik[valor],
  desp.m.ik[nucleo], $B259,
  desp.m.ik[centro.negocio], "Comissão/vendas",
  desp.m.ik[mes], "&gt;="&amp;D$1,
  desp.m.ik[mes], "&lt;"&amp;EOMONTH(D$1,0)+1,
  desp.m.ik[classe], "Financiamento"
)</f>
        <v>0</v>
      </c>
      <c r="E259" s="183">
        <f ca="1">-SUMIFS(
  desp.m.ik[valor],
  desp.m.ik[nucleo], $B259,
  desp.m.ik[centro.negocio], "Comissão/vendas",
  desp.m.ik[mes], "&gt;="&amp;E$1,
  desp.m.ik[mes], "&lt;"&amp;EOMONTH(E$1,0)+1,
  desp.m.ik[classe], "Financiamento"
)</f>
        <v>0</v>
      </c>
      <c r="F259" s="183">
        <f ca="1">-SUMIFS(
  desp.m.ik[valor],
  desp.m.ik[nucleo], $B259,
  desp.m.ik[centro.negocio], "Comissão/vendas",
  desp.m.ik[mes], "&gt;="&amp;F$1,
  desp.m.ik[mes], "&lt;"&amp;EOMONTH(F$1,0)+1,
  desp.m.ik[classe], "Financiamento"
)</f>
        <v>0</v>
      </c>
      <c r="G259" s="183">
        <f ca="1">-SUMIFS(
  desp.m.ik[valor],
  desp.m.ik[nucleo], $B259,
  desp.m.ik[centro.negocio], "Comissão/vendas",
  desp.m.ik[mes], "&gt;="&amp;G$1,
  desp.m.ik[mes], "&lt;"&amp;EOMONTH(G$1,0)+1,
  desp.m.ik[classe], "Financiamento"
)</f>
        <v>0</v>
      </c>
      <c r="H259" s="183">
        <f ca="1">-SUMIFS(
  desp.m.ik[valor],
  desp.m.ik[nucleo], $B259,
  desp.m.ik[centro.negocio], "Comissão/vendas",
  desp.m.ik[mes], "&gt;="&amp;H$1,
  desp.m.ik[mes], "&lt;"&amp;EOMONTH(H$1,0)+1,
  desp.m.ik[classe], "Financiamento"
)</f>
        <v>0</v>
      </c>
      <c r="I259" s="183">
        <f ca="1">-SUMIFS(
  desp.m.ik[valor],
  desp.m.ik[nucleo], $B259,
  desp.m.ik[centro.negocio], "Comissão/vendas",
  desp.m.ik[mes], "&gt;="&amp;I$1,
  desp.m.ik[mes], "&lt;"&amp;EOMONTH(I$1,0)+1,
  desp.m.ik[classe], "Financiamento"
)</f>
        <v>0</v>
      </c>
      <c r="J259" s="183">
        <f ca="1">-SUMIFS(
  desp.m.ik[valor],
  desp.m.ik[nucleo], $B259,
  desp.m.ik[centro.negocio], "Comissão/vendas",
  desp.m.ik[mes], "&gt;="&amp;J$1,
  desp.m.ik[mes], "&lt;"&amp;EOMONTH(J$1,0)+1,
  desp.m.ik[classe], "Financiamento"
)</f>
        <v>0</v>
      </c>
      <c r="K259" s="183">
        <f ca="1">-SUMIFS(
  desp.m.ik[valor],
  desp.m.ik[nucleo], $B259,
  desp.m.ik[centro.negocio], "Comissão/vendas",
  desp.m.ik[mes], "&gt;="&amp;K$1,
  desp.m.ik[mes], "&lt;"&amp;EOMONTH(K$1,0)+1,
  desp.m.ik[classe], "Financiamento"
)</f>
        <v>0</v>
      </c>
      <c r="L259" s="183">
        <f ca="1">-SUMIFS(
  desp.m.ik[valor],
  desp.m.ik[nucleo], $B259,
  desp.m.ik[centro.negocio], "Comissão/vendas",
  desp.m.ik[mes], "&gt;="&amp;L$1,
  desp.m.ik[mes], "&lt;"&amp;EOMONTH(L$1,0)+1,
  desp.m.ik[classe], "Financiamento"
)</f>
        <v>0</v>
      </c>
      <c r="M259" s="183">
        <f ca="1">-SUMIFS(
  desp.m.ik[valor],
  desp.m.ik[nucleo], $B259,
  desp.m.ik[centro.negocio], "Comissão/vendas",
  desp.m.ik[mes], "&gt;="&amp;M$1,
  desp.m.ik[mes], "&lt;"&amp;EOMONTH(M$1,0)+1,
  desp.m.ik[classe], "Financiamento"
)</f>
        <v>0</v>
      </c>
      <c r="N259" s="183">
        <f ca="1">-SUMIFS(
  desp.m.ik[valor],
  desp.m.ik[nucleo], $B259,
  desp.m.ik[centro.negocio], "Comissão/vendas",
  desp.m.ik[mes], "&gt;="&amp;N$1,
  desp.m.ik[mes], "&lt;"&amp;EOMONTH(N$1,0)+1,
  desp.m.ik[classe], "Financiamento"
)</f>
        <v>0</v>
      </c>
      <c r="O259" s="183">
        <f ca="1">-SUMIFS(
  desp.m.ik[valor],
  desp.m.ik[nucleo], $B259,
  desp.m.ik[centro.negocio], "Comissão/vendas",
  desp.m.ik[mes], "&gt;="&amp;O$1,
  desp.m.ik[mes], "&lt;"&amp;EOMONTH(O$1,0)+1,
  desp.m.ik[classe], "Financiamento"
)</f>
        <v>0</v>
      </c>
      <c r="P259" s="183">
        <f ca="1">-SUMIFS(
  desp.m.ik[valor],
  desp.m.ik[nucleo], $B259,
  desp.m.ik[centro.negocio], "Comissão/vendas",
  desp.m.ik[mes], "&gt;="&amp;P$1,
  desp.m.ik[mes], "&lt;"&amp;EOMONTH(P$1,0)+1,
  desp.m.ik[classe], "Financiamento"
)</f>
        <v>0</v>
      </c>
      <c r="Q259" s="183">
        <f ca="1">-SUMIFS(
  desp.m.ik[valor],
  desp.m.ik[nucleo], $B259,
  desp.m.ik[centro.negocio], "Comissão/vendas",
  desp.m.ik[mes], "&gt;="&amp;Q$1,
  desp.m.ik[mes], "&lt;"&amp;EOMONTH(Q$1,0)+1,
  desp.m.ik[classe], "Financiamento"
)</f>
        <v>0</v>
      </c>
      <c r="R259" s="183">
        <f ca="1">-SUMIFS(
  desp.m.ik[valor],
  desp.m.ik[nucleo], $B259,
  desp.m.ik[centro.negocio], "Comissão/vendas",
  desp.m.ik[mes], "&gt;="&amp;R$1,
  desp.m.ik[mes], "&lt;"&amp;EOMONTH(R$1,0)+1,
  desp.m.ik[classe], "Financiamento"
)</f>
        <v>0</v>
      </c>
      <c r="S259" s="183">
        <f ca="1">-SUMIFS(
  desp.m.ik[valor],
  desp.m.ik[nucleo], $B259,
  desp.m.ik[centro.negocio], "Comissão/vendas",
  desp.m.ik[mes], "&gt;="&amp;S$1,
  desp.m.ik[mes], "&lt;"&amp;EOMONTH(S$1,0)+1,
  desp.m.ik[classe], "Financiamento"
)</f>
        <v>0</v>
      </c>
      <c r="T259" s="183">
        <f ca="1">-SUMIFS(
  desp.m.ik[valor],
  desp.m.ik[nucleo], $B259,
  desp.m.ik[centro.negocio], "Comissão/vendas",
  desp.m.ik[mes], "&gt;="&amp;T$1,
  desp.m.ik[mes], "&lt;"&amp;EOMONTH(T$1,0)+1,
  desp.m.ik[classe], "Financiamento"
)</f>
        <v>0</v>
      </c>
      <c r="U259" s="183">
        <f ca="1">-SUMIFS(
  desp.m.ik[valor],
  desp.m.ik[nucleo], $B259,
  desp.m.ik[centro.negocio], "Comissão/vendas",
  desp.m.ik[mes], "&gt;="&amp;U$1,
  desp.m.ik[mes], "&lt;"&amp;EOMONTH(U$1,0)+1,
  desp.m.ik[classe], "Financiamento"
)</f>
        <v>0</v>
      </c>
      <c r="V259" s="183">
        <f ca="1">-SUMIFS(
  desp.m.ik[valor],
  desp.m.ik[nucleo], $B259,
  desp.m.ik[centro.negocio], "Comissão/vendas",
  desp.m.ik[mes], "&gt;="&amp;V$1,
  desp.m.ik[mes], "&lt;"&amp;EOMONTH(V$1,0)+1,
  desp.m.ik[classe], "Financiamento"
)</f>
        <v>0</v>
      </c>
      <c r="W259" s="183">
        <f ca="1">-SUMIFS(
  desp.m.ik[valor],
  desp.m.ik[nucleo], $B259,
  desp.m.ik[centro.negocio], "Comissão/vendas",
  desp.m.ik[mes], "&gt;="&amp;W$1,
  desp.m.ik[mes], "&lt;"&amp;EOMONTH(W$1,0)+1,
  desp.m.ik[classe], "Financiamento"
)</f>
        <v>0</v>
      </c>
      <c r="X259" s="183">
        <f ca="1">-SUMIFS(
  desp.m.ik[valor],
  desp.m.ik[nucleo], $B259,
  desp.m.ik[centro.negocio], "Comissão/vendas",
  desp.m.ik[mes], "&gt;="&amp;X$1,
  desp.m.ik[mes], "&lt;"&amp;EOMONTH(X$1,0)+1,
  desp.m.ik[classe], "Financiamento"
)</f>
        <v>0</v>
      </c>
      <c r="Y259" s="183">
        <f ca="1">-SUMIFS(
  desp.m.ik[valor],
  desp.m.ik[nucleo], $B259,
  desp.m.ik[centro.negocio], "Comissão/vendas",
  desp.m.ik[mes], "&gt;="&amp;Y$1,
  desp.m.ik[mes], "&lt;"&amp;EOMONTH(Y$1,0)+1,
  desp.m.ik[classe], "Financiamento"
)</f>
        <v>0</v>
      </c>
      <c r="Z259" s="183">
        <f ca="1">-SUMIFS(
  desp.m.ik[valor],
  desp.m.ik[nucleo], $B259,
  desp.m.ik[centro.negocio], "Comissão/vendas",
  desp.m.ik[mes], "&gt;="&amp;Z$1,
  desp.m.ik[mes], "&lt;"&amp;EOMONTH(Z$1,0)+1,
  desp.m.ik[classe], "Financiamento"
)</f>
        <v>0</v>
      </c>
      <c r="AA259" s="183">
        <f ca="1">-SUMIFS(
  desp.m.ik[valor],
  desp.m.ik[nucleo], $B259,
  desp.m.ik[centro.negocio], "Comissão/vendas",
  desp.m.ik[mes], "&gt;="&amp;AA$1,
  desp.m.ik[mes], "&lt;"&amp;EOMONTH(AA$1,0)+1,
  desp.m.ik[classe], "Financiamento"
)</f>
        <v>0</v>
      </c>
      <c r="AC259" s="175">
        <f ca="1">SUM($D259:INDEX($D259:$AA259,1,MATCH(DATE(YEAR(inputs!$A$1),MONTH(inputs!$A$1),1),$D$1:$AA$1,0)))</f>
        <v>0</v>
      </c>
      <c r="AE259" s="175">
        <f ca="1">SUM(D259:AA259)</f>
        <v>0</v>
      </c>
    </row>
    <row r="260" spans="1:31" outlineLevel="2" x14ac:dyDescent="0.25">
      <c r="A260" s="182" t="s">
        <v>1060</v>
      </c>
      <c r="B260" s="182" t="s">
        <v>539</v>
      </c>
      <c r="C260" s="135" t="s">
        <v>514</v>
      </c>
      <c r="D260" s="183">
        <f ca="1">-SUMIFS(
  desp.m.ik[valor],
  desp.m.ik[nucleo], $B260,
  desp.m.ik[centro.negocio], "Comissão/vendas",
  desp.m.ik[mes], "&gt;="&amp;D$1,
  desp.m.ik[mes], "&lt;"&amp;EOMONTH(D$1,0)+1,
  desp.m.ik[classe], "Financiamento"
)</f>
        <v>0</v>
      </c>
      <c r="E260" s="183">
        <f ca="1">-SUMIFS(
  desp.m.ik[valor],
  desp.m.ik[nucleo], $B260,
  desp.m.ik[centro.negocio], "Comissão/vendas",
  desp.m.ik[mes], "&gt;="&amp;E$1,
  desp.m.ik[mes], "&lt;"&amp;EOMONTH(E$1,0)+1,
  desp.m.ik[classe], "Financiamento"
)</f>
        <v>0</v>
      </c>
      <c r="F260" s="183">
        <f ca="1">-SUMIFS(
  desp.m.ik[valor],
  desp.m.ik[nucleo], $B260,
  desp.m.ik[centro.negocio], "Comissão/vendas",
  desp.m.ik[mes], "&gt;="&amp;F$1,
  desp.m.ik[mes], "&lt;"&amp;EOMONTH(F$1,0)+1,
  desp.m.ik[classe], "Financiamento"
)</f>
        <v>0</v>
      </c>
      <c r="G260" s="183">
        <f ca="1">-SUMIFS(
  desp.m.ik[valor],
  desp.m.ik[nucleo], $B260,
  desp.m.ik[centro.negocio], "Comissão/vendas",
  desp.m.ik[mes], "&gt;="&amp;G$1,
  desp.m.ik[mes], "&lt;"&amp;EOMONTH(G$1,0)+1,
  desp.m.ik[classe], "Financiamento"
)</f>
        <v>0</v>
      </c>
      <c r="H260" s="183">
        <f ca="1">-SUMIFS(
  desp.m.ik[valor],
  desp.m.ik[nucleo], $B260,
  desp.m.ik[centro.negocio], "Comissão/vendas",
  desp.m.ik[mes], "&gt;="&amp;H$1,
  desp.m.ik[mes], "&lt;"&amp;EOMONTH(H$1,0)+1,
  desp.m.ik[classe], "Financiamento"
)</f>
        <v>0</v>
      </c>
      <c r="I260" s="183">
        <f ca="1">-SUMIFS(
  desp.m.ik[valor],
  desp.m.ik[nucleo], $B260,
  desp.m.ik[centro.negocio], "Comissão/vendas",
  desp.m.ik[mes], "&gt;="&amp;I$1,
  desp.m.ik[mes], "&lt;"&amp;EOMONTH(I$1,0)+1,
  desp.m.ik[classe], "Financiamento"
)</f>
        <v>0</v>
      </c>
      <c r="J260" s="183">
        <f ca="1">-SUMIFS(
  desp.m.ik[valor],
  desp.m.ik[nucleo], $B260,
  desp.m.ik[centro.negocio], "Comissão/vendas",
  desp.m.ik[mes], "&gt;="&amp;J$1,
  desp.m.ik[mes], "&lt;"&amp;EOMONTH(J$1,0)+1,
  desp.m.ik[classe], "Financiamento"
)</f>
        <v>0</v>
      </c>
      <c r="K260" s="183">
        <f ca="1">-SUMIFS(
  desp.m.ik[valor],
  desp.m.ik[nucleo], $B260,
  desp.m.ik[centro.negocio], "Comissão/vendas",
  desp.m.ik[mes], "&gt;="&amp;K$1,
  desp.m.ik[mes], "&lt;"&amp;EOMONTH(K$1,0)+1,
  desp.m.ik[classe], "Financiamento"
)</f>
        <v>0</v>
      </c>
      <c r="L260" s="183">
        <f ca="1">-SUMIFS(
  desp.m.ik[valor],
  desp.m.ik[nucleo], $B260,
  desp.m.ik[centro.negocio], "Comissão/vendas",
  desp.m.ik[mes], "&gt;="&amp;L$1,
  desp.m.ik[mes], "&lt;"&amp;EOMONTH(L$1,0)+1,
  desp.m.ik[classe], "Financiamento"
)</f>
        <v>0</v>
      </c>
      <c r="M260" s="183">
        <f ca="1">-SUMIFS(
  desp.m.ik[valor],
  desp.m.ik[nucleo], $B260,
  desp.m.ik[centro.negocio], "Comissão/vendas",
  desp.m.ik[mes], "&gt;="&amp;M$1,
  desp.m.ik[mes], "&lt;"&amp;EOMONTH(M$1,0)+1,
  desp.m.ik[classe], "Financiamento"
)</f>
        <v>0</v>
      </c>
      <c r="N260" s="183">
        <f ca="1">-SUMIFS(
  desp.m.ik[valor],
  desp.m.ik[nucleo], $B260,
  desp.m.ik[centro.negocio], "Comissão/vendas",
  desp.m.ik[mes], "&gt;="&amp;N$1,
  desp.m.ik[mes], "&lt;"&amp;EOMONTH(N$1,0)+1,
  desp.m.ik[classe], "Financiamento"
)</f>
        <v>0</v>
      </c>
      <c r="O260" s="183">
        <f ca="1">-SUMIFS(
  desp.m.ik[valor],
  desp.m.ik[nucleo], $B260,
  desp.m.ik[centro.negocio], "Comissão/vendas",
  desp.m.ik[mes], "&gt;="&amp;O$1,
  desp.m.ik[mes], "&lt;"&amp;EOMONTH(O$1,0)+1,
  desp.m.ik[classe], "Financiamento"
)</f>
        <v>0</v>
      </c>
      <c r="P260" s="183">
        <f ca="1">-SUMIFS(
  desp.m.ik[valor],
  desp.m.ik[nucleo], $B260,
  desp.m.ik[centro.negocio], "Comissão/vendas",
  desp.m.ik[mes], "&gt;="&amp;P$1,
  desp.m.ik[mes], "&lt;"&amp;EOMONTH(P$1,0)+1,
  desp.m.ik[classe], "Financiamento"
)</f>
        <v>0</v>
      </c>
      <c r="Q260" s="183">
        <f ca="1">-SUMIFS(
  desp.m.ik[valor],
  desp.m.ik[nucleo], $B260,
  desp.m.ik[centro.negocio], "Comissão/vendas",
  desp.m.ik[mes], "&gt;="&amp;Q$1,
  desp.m.ik[mes], "&lt;"&amp;EOMONTH(Q$1,0)+1,
  desp.m.ik[classe], "Financiamento"
)</f>
        <v>0</v>
      </c>
      <c r="R260" s="183">
        <f ca="1">-SUMIFS(
  desp.m.ik[valor],
  desp.m.ik[nucleo], $B260,
  desp.m.ik[centro.negocio], "Comissão/vendas",
  desp.m.ik[mes], "&gt;="&amp;R$1,
  desp.m.ik[mes], "&lt;"&amp;EOMONTH(R$1,0)+1,
  desp.m.ik[classe], "Financiamento"
)</f>
        <v>0</v>
      </c>
      <c r="S260" s="183">
        <f ca="1">-SUMIFS(
  desp.m.ik[valor],
  desp.m.ik[nucleo], $B260,
  desp.m.ik[centro.negocio], "Comissão/vendas",
  desp.m.ik[mes], "&gt;="&amp;S$1,
  desp.m.ik[mes], "&lt;"&amp;EOMONTH(S$1,0)+1,
  desp.m.ik[classe], "Financiamento"
)</f>
        <v>0</v>
      </c>
      <c r="T260" s="183">
        <f ca="1">-SUMIFS(
  desp.m.ik[valor],
  desp.m.ik[nucleo], $B260,
  desp.m.ik[centro.negocio], "Comissão/vendas",
  desp.m.ik[mes], "&gt;="&amp;T$1,
  desp.m.ik[mes], "&lt;"&amp;EOMONTH(T$1,0)+1,
  desp.m.ik[classe], "Financiamento"
)</f>
        <v>0</v>
      </c>
      <c r="U260" s="183">
        <f ca="1">-SUMIFS(
  desp.m.ik[valor],
  desp.m.ik[nucleo], $B260,
  desp.m.ik[centro.negocio], "Comissão/vendas",
  desp.m.ik[mes], "&gt;="&amp;U$1,
  desp.m.ik[mes], "&lt;"&amp;EOMONTH(U$1,0)+1,
  desp.m.ik[classe], "Financiamento"
)</f>
        <v>0</v>
      </c>
      <c r="V260" s="183">
        <f ca="1">-SUMIFS(
  desp.m.ik[valor],
  desp.m.ik[nucleo], $B260,
  desp.m.ik[centro.negocio], "Comissão/vendas",
  desp.m.ik[mes], "&gt;="&amp;V$1,
  desp.m.ik[mes], "&lt;"&amp;EOMONTH(V$1,0)+1,
  desp.m.ik[classe], "Financiamento"
)</f>
        <v>0</v>
      </c>
      <c r="W260" s="183">
        <f ca="1">-SUMIFS(
  desp.m.ik[valor],
  desp.m.ik[nucleo], $B260,
  desp.m.ik[centro.negocio], "Comissão/vendas",
  desp.m.ik[mes], "&gt;="&amp;W$1,
  desp.m.ik[mes], "&lt;"&amp;EOMONTH(W$1,0)+1,
  desp.m.ik[classe], "Financiamento"
)</f>
        <v>0</v>
      </c>
      <c r="X260" s="183">
        <f ca="1">-SUMIFS(
  desp.m.ik[valor],
  desp.m.ik[nucleo], $B260,
  desp.m.ik[centro.negocio], "Comissão/vendas",
  desp.m.ik[mes], "&gt;="&amp;X$1,
  desp.m.ik[mes], "&lt;"&amp;EOMONTH(X$1,0)+1,
  desp.m.ik[classe], "Financiamento"
)</f>
        <v>0</v>
      </c>
      <c r="Y260" s="183">
        <f ca="1">-SUMIFS(
  desp.m.ik[valor],
  desp.m.ik[nucleo], $B260,
  desp.m.ik[centro.negocio], "Comissão/vendas",
  desp.m.ik[mes], "&gt;="&amp;Y$1,
  desp.m.ik[mes], "&lt;"&amp;EOMONTH(Y$1,0)+1,
  desp.m.ik[classe], "Financiamento"
)</f>
        <v>0</v>
      </c>
      <c r="Z260" s="183">
        <f ca="1">-SUMIFS(
  desp.m.ik[valor],
  desp.m.ik[nucleo], $B260,
  desp.m.ik[centro.negocio], "Comissão/vendas",
  desp.m.ik[mes], "&gt;="&amp;Z$1,
  desp.m.ik[mes], "&lt;"&amp;EOMONTH(Z$1,0)+1,
  desp.m.ik[classe], "Financiamento"
)</f>
        <v>0</v>
      </c>
      <c r="AA260" s="183">
        <f ca="1">-SUMIFS(
  desp.m.ik[valor],
  desp.m.ik[nucleo], $B260,
  desp.m.ik[centro.negocio], "Comissão/vendas",
  desp.m.ik[mes], "&gt;="&amp;AA$1,
  desp.m.ik[mes], "&lt;"&amp;EOMONTH(AA$1,0)+1,
  desp.m.ik[classe], "Financiamento"
)</f>
        <v>0</v>
      </c>
      <c r="AC260" s="175">
        <f ca="1">SUM($D260:INDEX($D260:$AA260,1,MATCH(DATE(YEAR(inputs!$A$1),MONTH(inputs!$A$1),1),$D$1:$AA$1,0)))</f>
        <v>0</v>
      </c>
      <c r="AE260" s="175">
        <f t="shared" ref="AE260" ca="1" si="51">SUM(D260:AA260)</f>
        <v>0</v>
      </c>
    </row>
    <row r="261" spans="1:31" outlineLevel="1" x14ac:dyDescent="0.25">
      <c r="A261" s="179" t="s">
        <v>661</v>
      </c>
      <c r="B261" s="189" t="s">
        <v>938</v>
      </c>
      <c r="C261" s="135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AC261" s="275">
        <f>SUM($D261:INDEX($D261:$AA261,1,MATCH(DATE(YEAR(inputs!$A$1),MONTH(inputs!$A$1),1),$D$1:$AA$1,0)))</f>
        <v>0</v>
      </c>
      <c r="AE261" s="275">
        <f t="shared" si="40"/>
        <v>0</v>
      </c>
    </row>
    <row r="262" spans="1:31" x14ac:dyDescent="0.25">
      <c r="A262" s="231" t="s">
        <v>811</v>
      </c>
      <c r="B262" s="231" t="s">
        <v>810</v>
      </c>
      <c r="C262" s="232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>
        <f>SUM(P263:P288)</f>
        <v>-1536281.89</v>
      </c>
      <c r="Q262" s="174">
        <f t="shared" ref="Q262:AA262" si="52">SUM(Q263:Q288)</f>
        <v>-213883.84999999986</v>
      </c>
      <c r="R262" s="174">
        <f t="shared" ref="R262:Z262" si="53">SUM(R263:R288)</f>
        <v>1600675.63</v>
      </c>
      <c r="S262" s="174">
        <f t="shared" si="53"/>
        <v>-2621684.9099999997</v>
      </c>
      <c r="T262" s="174">
        <f t="shared" si="53"/>
        <v>5687394.8899999997</v>
      </c>
      <c r="U262" s="174">
        <f t="shared" si="53"/>
        <v>-3487445.07</v>
      </c>
      <c r="V262" s="174">
        <f t="shared" si="53"/>
        <v>4617374.4899999993</v>
      </c>
      <c r="W262" s="174">
        <f t="shared" si="53"/>
        <v>-5064638.6900000004</v>
      </c>
      <c r="X262" s="174">
        <f t="shared" si="53"/>
        <v>-2037488.25</v>
      </c>
      <c r="Y262" s="174">
        <f t="shared" si="53"/>
        <v>0</v>
      </c>
      <c r="Z262" s="174">
        <f t="shared" si="53"/>
        <v>0</v>
      </c>
      <c r="AA262" s="174">
        <f t="shared" si="52"/>
        <v>0</v>
      </c>
      <c r="AC262" s="273">
        <f>SUM($D262:INDEX($D262:$AA262,1,MATCH(DATE(YEAR(inputs!$A$1),MONTH(inputs!$A$1),1),$D$1:$AA$1,0)))</f>
        <v>-1018489.4000000008</v>
      </c>
      <c r="AE262" s="273">
        <f t="shared" si="40"/>
        <v>-3055977.6500000008</v>
      </c>
    </row>
    <row r="263" spans="1:31" outlineLevel="1" x14ac:dyDescent="0.25">
      <c r="A263" s="301" t="str">
        <f>"4."&amp;B263&amp;"."</f>
        <v>4.AMP.</v>
      </c>
      <c r="B263" t="s">
        <v>7</v>
      </c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>
        <f>SUMIFS(
  tb_caixa[Saldo],
  tb_caixa[Empresa], $B290,
  tb_caixa[Dia], "&gt;="&amp;EDATE(P$1,1),
  tb_caixa[Dia], "&lt;"&amp;EOMONTH(P$1,1)+1
)
-P290</f>
        <v>-926220.36</v>
      </c>
      <c r="Q263" s="183">
        <f>SUMIFS(
  tb_caixa[Saldo],
  tb_caixa[Empresa], $B290,
  tb_caixa[Dia], "&gt;="&amp;EDATE(Q$1,1),
  tb_caixa[Dia], "&lt;"&amp;EOMONTH(Q$1,1)+1
)
-Q290</f>
        <v>419714.63000000006</v>
      </c>
      <c r="R263" s="183">
        <f>SUMIFS(
  tb_caixa[Saldo],
  tb_caixa[Empresa], $B290,
  tb_caixa[Dia], "&gt;="&amp;EDATE(R$1,1),
  tb_caixa[Dia], "&lt;"&amp;EOMONTH(R$1,1)+1
)
-R290</f>
        <v>-447829.06000000006</v>
      </c>
      <c r="S263" s="183">
        <f>SUMIFS(
  tb_caixa[Saldo],
  tb_caixa[Empresa], $B290,
  tb_caixa[Dia], "&gt;="&amp;EDATE(S$1,1),
  tb_caixa[Dia], "&lt;"&amp;EOMONTH(S$1,1)+1
)
-S290</f>
        <v>-185155.1</v>
      </c>
      <c r="T263" s="183">
        <f>SUMIFS(
  tb_caixa[Saldo],
  tb_caixa[Empresa], $B290,
  tb_caixa[Dia], "&gt;="&amp;EDATE(T$1,1),
  tb_caixa[Dia], "&lt;"&amp;EOMONTH(T$1,1)+1
)
-T290</f>
        <v>322583.05</v>
      </c>
      <c r="U263" s="183">
        <f>SUMIFS(
  tb_caixa[Saldo],
  tb_caixa[Empresa], $B290,
  tb_caixa[Dia], "&gt;="&amp;EDATE(U$1,1),
  tb_caixa[Dia], "&lt;"&amp;EOMONTH(U$1,1)+1
)
-U290</f>
        <v>738963.87000000011</v>
      </c>
      <c r="V263" s="183">
        <f>SUMIFS(
  tb_caixa[Saldo],
  tb_caixa[Empresa], $B290,
  tb_caixa[Dia], "&gt;="&amp;EDATE(V$1,1),
  tb_caixa[Dia], "&lt;"&amp;EOMONTH(V$1,1)+1
)
-V290</f>
        <v>206747.70999999985</v>
      </c>
      <c r="W263" s="183">
        <f>SUMIFS(
  tb_caixa[Saldo],
  tb_caixa[Empresa], $B290,
  tb_caixa[Dia], "&gt;="&amp;EDATE(W$1,1),
  tb_caixa[Dia], "&lt;"&amp;EOMONTH(W$1,1)+1
)
-W290</f>
        <v>-1100433.45</v>
      </c>
      <c r="X263" s="183">
        <f>SUMIFS(
  tb_caixa[Saldo],
  tb_caixa[Empresa], $B290,
  tb_caixa[Dia], "&gt;="&amp;EDATE(X$1,1),
  tb_caixa[Dia], "&lt;"&amp;EOMONTH(X$1,1)+1
)
-X290</f>
        <v>-44512.930000000008</v>
      </c>
      <c r="Y263" s="183">
        <f>SUMIFS(
  tb_caixa[Saldo],
  tb_caixa[Empresa], $B290,
  tb_caixa[Dia], "&gt;="&amp;EDATE(Y$1,1),
  tb_caixa[Dia], "&lt;"&amp;EOMONTH(Y$1,1)+1
)
-Y290</f>
        <v>0</v>
      </c>
      <c r="Z263" s="183">
        <f>SUMIFS(
  tb_caixa[Saldo],
  tb_caixa[Empresa], $B290,
  tb_caixa[Dia], "&gt;="&amp;EDATE(Z$1,1),
  tb_caixa[Dia], "&lt;"&amp;EOMONTH(Z$1,1)+1
)
-Z290</f>
        <v>0</v>
      </c>
      <c r="AA263" s="183">
        <f>SUMIFS(
  tb_caixa[Saldo],
  tb_caixa[Empresa], $B290,
  tb_caixa[Dia], "&gt;="&amp;EDATE(AA$1,1),
  tb_caixa[Dia], "&lt;"&amp;EOMONTH(AA$1,1)+1
)
-AA290</f>
        <v>0</v>
      </c>
      <c r="AC263" s="175">
        <f>SUM($D263:INDEX($D263:$AA263,1,MATCH(DATE(YEAR(inputs!$A$1),MONTH(inputs!$A$1),1),$D$1:$AA$1,0)))</f>
        <v>-971628.71000000008</v>
      </c>
      <c r="AE263" s="175">
        <f t="shared" si="40"/>
        <v>-1016141.6400000001</v>
      </c>
    </row>
    <row r="264" spans="1:31" outlineLevel="1" x14ac:dyDescent="0.25">
      <c r="A264" s="302" t="str">
        <f t="shared" ref="A264:A288" si="54">"4."&amp;B264&amp;"."</f>
        <v>4.AVR.</v>
      </c>
      <c r="B264" t="s">
        <v>670</v>
      </c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>
        <f>SUMIFS(
  tb_caixa[Saldo],
  tb_caixa[Empresa], $B291,
  tb_caixa[Dia], "&gt;="&amp;EDATE(P$1,1),
  tb_caixa[Dia], "&lt;"&amp;EOMONTH(P$1,1)+1
)
-P291</f>
        <v>-1492.9400000000005</v>
      </c>
      <c r="Q264" s="183">
        <f>SUMIFS(
  tb_caixa[Saldo],
  tb_caixa[Empresa], $B291,
  tb_caixa[Dia], "&gt;="&amp;EDATE(Q$1,1),
  tb_caixa[Dia], "&lt;"&amp;EOMONTH(Q$1,1)+1
)
-Q291</f>
        <v>-4636.58</v>
      </c>
      <c r="R264" s="183">
        <f>SUMIFS(
  tb_caixa[Saldo],
  tb_caixa[Empresa], $B291,
  tb_caixa[Dia], "&gt;="&amp;EDATE(R$1,1),
  tb_caixa[Dia], "&lt;"&amp;EOMONTH(R$1,1)+1
)
-R291</f>
        <v>74.87</v>
      </c>
      <c r="S264" s="183">
        <f>SUMIFS(
  tb_caixa[Saldo],
  tb_caixa[Empresa], $B291,
  tb_caixa[Dia], "&gt;="&amp;EDATE(S$1,1),
  tb_caixa[Dia], "&lt;"&amp;EOMONTH(S$1,1)+1
)
-S291</f>
        <v>469.03</v>
      </c>
      <c r="T264" s="183">
        <f>SUMIFS(
  tb_caixa[Saldo],
  tb_caixa[Empresa], $B291,
  tb_caixa[Dia], "&gt;="&amp;EDATE(T$1,1),
  tb_caixa[Dia], "&lt;"&amp;EOMONTH(T$1,1)+1
)
-T291</f>
        <v>-101.73999999999995</v>
      </c>
      <c r="U264" s="183">
        <f>SUMIFS(
  tb_caixa[Saldo],
  tb_caixa[Empresa], $B291,
  tb_caixa[Dia], "&gt;="&amp;EDATE(U$1,1),
  tb_caixa[Dia], "&lt;"&amp;EOMONTH(U$1,1)+1
)
-U291</f>
        <v>-442.16</v>
      </c>
      <c r="V264" s="183">
        <f>SUMIFS(
  tb_caixa[Saldo],
  tb_caixa[Empresa], $B291,
  tb_caixa[Dia], "&gt;="&amp;EDATE(V$1,1),
  tb_caixa[Dia], "&lt;"&amp;EOMONTH(V$1,1)+1
)
-V291</f>
        <v>0</v>
      </c>
      <c r="W264" s="183">
        <f>SUMIFS(
  tb_caixa[Saldo],
  tb_caixa[Empresa], $B291,
  tb_caixa[Dia], "&gt;="&amp;EDATE(W$1,1),
  tb_caixa[Dia], "&lt;"&amp;EOMONTH(W$1,1)+1
)
-W291</f>
        <v>899.26</v>
      </c>
      <c r="X264" s="183">
        <f>SUMIFS(
  tb_caixa[Saldo],
  tb_caixa[Empresa], $B291,
  tb_caixa[Dia], "&gt;="&amp;EDATE(X$1,1),
  tb_caixa[Dia], "&lt;"&amp;EOMONTH(X$1,1)+1
)
-X291</f>
        <v>-899.26</v>
      </c>
      <c r="Y264" s="183">
        <f>SUMIFS(
  tb_caixa[Saldo],
  tb_caixa[Empresa], $B291,
  tb_caixa[Dia], "&gt;="&amp;EDATE(Y$1,1),
  tb_caixa[Dia], "&lt;"&amp;EOMONTH(Y$1,1)+1
)
-Y291</f>
        <v>0</v>
      </c>
      <c r="Z264" s="183">
        <f>SUMIFS(
  tb_caixa[Saldo],
  tb_caixa[Empresa], $B291,
  tb_caixa[Dia], "&gt;="&amp;EDATE(Z$1,1),
  tb_caixa[Dia], "&lt;"&amp;EOMONTH(Z$1,1)+1
)
-Z291</f>
        <v>0</v>
      </c>
      <c r="AA264" s="183">
        <f>SUMIFS(
  tb_caixa[Saldo],
  tb_caixa[Empresa], $B291,
  tb_caixa[Dia], "&gt;="&amp;EDATE(AA$1,1),
  tb_caixa[Dia], "&lt;"&amp;EOMONTH(AA$1,1)+1
)
-AA291</f>
        <v>0</v>
      </c>
      <c r="AC264" s="175">
        <f>SUM($D264:INDEX($D264:$AA264,1,MATCH(DATE(YEAR(inputs!$A$1),MONTH(inputs!$A$1),1),$D$1:$AA$1,0)))</f>
        <v>-5230.26</v>
      </c>
      <c r="AE264" s="175">
        <f t="shared" si="40"/>
        <v>-6129.52</v>
      </c>
    </row>
    <row r="265" spans="1:31" outlineLevel="1" x14ac:dyDescent="0.25">
      <c r="A265" s="302" t="str">
        <f t="shared" si="54"/>
        <v>4.AVS.</v>
      </c>
      <c r="B265" t="s">
        <v>8</v>
      </c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>
        <f>SUMIFS(
  tb_caixa[Saldo],
  tb_caixa[Empresa], $B292,
  tb_caixa[Dia], "&gt;="&amp;EDATE(P$1,1),
  tb_caixa[Dia], "&lt;"&amp;EOMONTH(P$1,1)+1
)
-P292</f>
        <v>-21454.30000000001</v>
      </c>
      <c r="Q265" s="183">
        <f>SUMIFS(
  tb_caixa[Saldo],
  tb_caixa[Empresa], $B292,
  tb_caixa[Dia], "&gt;="&amp;EDATE(Q$1,1),
  tb_caixa[Dia], "&lt;"&amp;EOMONTH(Q$1,1)+1
)
-Q292</f>
        <v>55114.700000000012</v>
      </c>
      <c r="R265" s="183">
        <f>SUMIFS(
  tb_caixa[Saldo],
  tb_caixa[Empresa], $B292,
  tb_caixa[Dia], "&gt;="&amp;EDATE(R$1,1),
  tb_caixa[Dia], "&lt;"&amp;EOMONTH(R$1,1)+1
)
-R292</f>
        <v>21098.239999999994</v>
      </c>
      <c r="S265" s="183">
        <f>SUMIFS(
  tb_caixa[Saldo],
  tb_caixa[Empresa], $B292,
  tb_caixa[Dia], "&gt;="&amp;EDATE(S$1,1),
  tb_caixa[Dia], "&lt;"&amp;EOMONTH(S$1,1)+1
)
-S292</f>
        <v>-83855.320000000007</v>
      </c>
      <c r="T265" s="183">
        <f>SUMIFS(
  tb_caixa[Saldo],
  tb_caixa[Empresa], $B292,
  tb_caixa[Dia], "&gt;="&amp;EDATE(T$1,1),
  tb_caixa[Dia], "&lt;"&amp;EOMONTH(T$1,1)+1
)
-T292</f>
        <v>125291.87</v>
      </c>
      <c r="U265" s="183">
        <f>SUMIFS(
  tb_caixa[Saldo],
  tb_caixa[Empresa], $B292,
  tb_caixa[Dia], "&gt;="&amp;EDATE(U$1,1),
  tb_caixa[Dia], "&lt;"&amp;EOMONTH(U$1,1)+1
)
-U292</f>
        <v>-4765.4000000000015</v>
      </c>
      <c r="V265" s="183">
        <f>SUMIFS(
  tb_caixa[Saldo],
  tb_caixa[Empresa], $B292,
  tb_caixa[Dia], "&gt;="&amp;EDATE(V$1,1),
  tb_caixa[Dia], "&lt;"&amp;EOMONTH(V$1,1)+1
)
-V292</f>
        <v>25312.53</v>
      </c>
      <c r="W265" s="183">
        <f>SUMIFS(
  tb_caixa[Saldo],
  tb_caixa[Empresa], $B292,
  tb_caixa[Dia], "&gt;="&amp;EDATE(W$1,1),
  tb_caixa[Dia], "&lt;"&amp;EOMONTH(W$1,1)+1
)
-W292</f>
        <v>-70396.75</v>
      </c>
      <c r="X265" s="183">
        <f>SUMIFS(
  tb_caixa[Saldo],
  tb_caixa[Empresa], $B292,
  tb_caixa[Dia], "&gt;="&amp;EDATE(X$1,1),
  tb_caixa[Dia], "&lt;"&amp;EOMONTH(X$1,1)+1
)
-X292</f>
        <v>-13357.119999999999</v>
      </c>
      <c r="Y265" s="183">
        <f>SUMIFS(
  tb_caixa[Saldo],
  tb_caixa[Empresa], $B292,
  tb_caixa[Dia], "&gt;="&amp;EDATE(Y$1,1),
  tb_caixa[Dia], "&lt;"&amp;EOMONTH(Y$1,1)+1
)
-Y292</f>
        <v>0</v>
      </c>
      <c r="Z265" s="183">
        <f>SUMIFS(
  tb_caixa[Saldo],
  tb_caixa[Empresa], $B292,
  tb_caixa[Dia], "&gt;="&amp;EDATE(Z$1,1),
  tb_caixa[Dia], "&lt;"&amp;EOMONTH(Z$1,1)+1
)
-Z292</f>
        <v>0</v>
      </c>
      <c r="AA265" s="183">
        <f>SUMIFS(
  tb_caixa[Saldo],
  tb_caixa[Empresa], $B292,
  tb_caixa[Dia], "&gt;="&amp;EDATE(AA$1,1),
  tb_caixa[Dia], "&lt;"&amp;EOMONTH(AA$1,1)+1
)
-AA292</f>
        <v>0</v>
      </c>
      <c r="AC265" s="175">
        <f>SUM($D265:INDEX($D265:$AA265,1,MATCH(DATE(YEAR(inputs!$A$1),MONTH(inputs!$A$1),1),$D$1:$AA$1,0)))</f>
        <v>46345.569999999978</v>
      </c>
      <c r="AE265" s="175">
        <f t="shared" si="40"/>
        <v>32988.449999999983</v>
      </c>
    </row>
    <row r="266" spans="1:31" outlineLevel="1" x14ac:dyDescent="0.25">
      <c r="A266" s="302" t="str">
        <f t="shared" si="54"/>
        <v>4.BUT.</v>
      </c>
      <c r="B266" t="s">
        <v>671</v>
      </c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>
        <f>SUMIFS(
  tb_caixa[Saldo],
  tb_caixa[Empresa], $B293,
  tb_caixa[Dia], "&gt;="&amp;EDATE(P$1,1),
  tb_caixa[Dia], "&lt;"&amp;EOMONTH(P$1,1)+1
)
-P293</f>
        <v>17777.459999999992</v>
      </c>
      <c r="Q266" s="183">
        <f>SUMIFS(
  tb_caixa[Saldo],
  tb_caixa[Empresa], $B293,
  tb_caixa[Dia], "&gt;="&amp;EDATE(Q$1,1),
  tb_caixa[Dia], "&lt;"&amp;EOMONTH(Q$1,1)+1
)
-Q293</f>
        <v>-2848.3999999999942</v>
      </c>
      <c r="R266" s="183">
        <f>SUMIFS(
  tb_caixa[Saldo],
  tb_caixa[Empresa], $B293,
  tb_caixa[Dia], "&gt;="&amp;EDATE(R$1,1),
  tb_caixa[Dia], "&lt;"&amp;EOMONTH(R$1,1)+1
)
-R293</f>
        <v>1756.6399999999994</v>
      </c>
      <c r="S266" s="183">
        <f>SUMIFS(
  tb_caixa[Saldo],
  tb_caixa[Empresa], $B293,
  tb_caixa[Dia], "&gt;="&amp;EDATE(S$1,1),
  tb_caixa[Dia], "&lt;"&amp;EOMONTH(S$1,1)+1
)
-S293</f>
        <v>-18650.209999999992</v>
      </c>
      <c r="T266" s="183">
        <f>SUMIFS(
  tb_caixa[Saldo],
  tb_caixa[Empresa], $B293,
  tb_caixa[Dia], "&gt;="&amp;EDATE(T$1,1),
  tb_caixa[Dia], "&lt;"&amp;EOMONTH(T$1,1)+1
)
-T293</f>
        <v>120896.10999999999</v>
      </c>
      <c r="U266" s="183">
        <f>SUMIFS(
  tb_caixa[Saldo],
  tb_caixa[Empresa], $B293,
  tb_caixa[Dia], "&gt;="&amp;EDATE(U$1,1),
  tb_caixa[Dia], "&lt;"&amp;EOMONTH(U$1,1)+1
)
-U293</f>
        <v>-6692.1299999999992</v>
      </c>
      <c r="V266" s="183">
        <f>SUMIFS(
  tb_caixa[Saldo],
  tb_caixa[Empresa], $B293,
  tb_caixa[Dia], "&gt;="&amp;EDATE(V$1,1),
  tb_caixa[Dia], "&lt;"&amp;EOMONTH(V$1,1)+1
)
-V293</f>
        <v>11213.359999999999</v>
      </c>
      <c r="W266" s="183">
        <f>SUMIFS(
  tb_caixa[Saldo],
  tb_caixa[Empresa], $B293,
  tb_caixa[Dia], "&gt;="&amp;EDATE(W$1,1),
  tb_caixa[Dia], "&lt;"&amp;EOMONTH(W$1,1)+1
)
-W293</f>
        <v>-1237.92</v>
      </c>
      <c r="X266" s="183">
        <f>SUMIFS(
  tb_caixa[Saldo],
  tb_caixa[Empresa], $B293,
  tb_caixa[Dia], "&gt;="&amp;EDATE(X$1,1),
  tb_caixa[Dia], "&lt;"&amp;EOMONTH(X$1,1)+1
)
-X293</f>
        <v>-9387.6299999999992</v>
      </c>
      <c r="Y266" s="183">
        <f>SUMIFS(
  tb_caixa[Saldo],
  tb_caixa[Empresa], $B293,
  tb_caixa[Dia], "&gt;="&amp;EDATE(Y$1,1),
  tb_caixa[Dia], "&lt;"&amp;EOMONTH(Y$1,1)+1
)
-Y293</f>
        <v>0</v>
      </c>
      <c r="Z266" s="183">
        <f>SUMIFS(
  tb_caixa[Saldo],
  tb_caixa[Empresa], $B293,
  tb_caixa[Dia], "&gt;="&amp;EDATE(Z$1,1),
  tb_caixa[Dia], "&lt;"&amp;EOMONTH(Z$1,1)+1
)
-Z293</f>
        <v>0</v>
      </c>
      <c r="AA266" s="183">
        <f>SUMIFS(
  tb_caixa[Saldo],
  tb_caixa[Empresa], $B293,
  tb_caixa[Dia], "&gt;="&amp;EDATE(AA$1,1),
  tb_caixa[Dia], "&lt;"&amp;EOMONTH(AA$1,1)+1
)
-AA293</f>
        <v>0</v>
      </c>
      <c r="AC266" s="175">
        <f>SUM($D266:INDEX($D266:$AA266,1,MATCH(DATE(YEAR(inputs!$A$1),MONTH(inputs!$A$1),1),$D$1:$AA$1,0)))</f>
        <v>122214.90999999999</v>
      </c>
      <c r="AE266" s="175">
        <f t="shared" si="40"/>
        <v>112827.27999999998</v>
      </c>
    </row>
    <row r="267" spans="1:31" outlineLevel="1" x14ac:dyDescent="0.25">
      <c r="A267" s="302" t="str">
        <f t="shared" si="54"/>
        <v>4.CBL.</v>
      </c>
      <c r="B267" t="s">
        <v>673</v>
      </c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>
        <f>SUMIFS(
  tb_caixa[Saldo],
  tb_caixa[Empresa], $B294,
  tb_caixa[Dia], "&gt;="&amp;EDATE(P$1,1),
  tb_caixa[Dia], "&lt;"&amp;EOMONTH(P$1,1)+1
)
-P294</f>
        <v>335305.28000000003</v>
      </c>
      <c r="Q267" s="183">
        <f>SUMIFS(
  tb_caixa[Saldo],
  tb_caixa[Empresa], $B294,
  tb_caixa[Dia], "&gt;="&amp;EDATE(Q$1,1),
  tb_caixa[Dia], "&lt;"&amp;EOMONTH(Q$1,1)+1
)
-Q294</f>
        <v>-414868.16000000003</v>
      </c>
      <c r="R267" s="183">
        <f>SUMIFS(
  tb_caixa[Saldo],
  tb_caixa[Empresa], $B294,
  tb_caixa[Dia], "&gt;="&amp;EDATE(R$1,1),
  tb_caixa[Dia], "&lt;"&amp;EOMONTH(R$1,1)+1
)
-R294</f>
        <v>9879.7400000000016</v>
      </c>
      <c r="S267" s="183">
        <f>SUMIFS(
  tb_caixa[Saldo],
  tb_caixa[Empresa], $B294,
  tb_caixa[Dia], "&gt;="&amp;EDATE(S$1,1),
  tb_caixa[Dia], "&lt;"&amp;EOMONTH(S$1,1)+1
)
-S294</f>
        <v>86484.1</v>
      </c>
      <c r="T267" s="183">
        <f>SUMIFS(
  tb_caixa[Saldo],
  tb_caixa[Empresa], $B294,
  tb_caixa[Dia], "&gt;="&amp;EDATE(T$1,1),
  tb_caixa[Dia], "&lt;"&amp;EOMONTH(T$1,1)+1
)
-T294</f>
        <v>1926931.8699999999</v>
      </c>
      <c r="U267" s="183">
        <f>SUMIFS(
  tb_caixa[Saldo],
  tb_caixa[Empresa], $B294,
  tb_caixa[Dia], "&gt;="&amp;EDATE(U$1,1),
  tb_caixa[Dia], "&lt;"&amp;EOMONTH(U$1,1)+1
)
-U294</f>
        <v>-1944735.8699999999</v>
      </c>
      <c r="V267" s="183">
        <f>SUMIFS(
  tb_caixa[Saldo],
  tb_caixa[Empresa], $B294,
  tb_caixa[Dia], "&gt;="&amp;EDATE(V$1,1),
  tb_caixa[Dia], "&lt;"&amp;EOMONTH(V$1,1)+1
)
-V294</f>
        <v>-4923.0800000000017</v>
      </c>
      <c r="W267" s="183">
        <f>SUMIFS(
  tb_caixa[Saldo],
  tb_caixa[Empresa], $B294,
  tb_caixa[Dia], "&gt;="&amp;EDATE(W$1,1),
  tb_caixa[Dia], "&lt;"&amp;EOMONTH(W$1,1)+1
)
-W294</f>
        <v>44561.740000000005</v>
      </c>
      <c r="X267" s="183">
        <f>SUMIFS(
  tb_caixa[Saldo],
  tb_caixa[Empresa], $B294,
  tb_caixa[Dia], "&gt;="&amp;EDATE(X$1,1),
  tb_caixa[Dia], "&lt;"&amp;EOMONTH(X$1,1)+1
)
-X294</f>
        <v>-127863.48000000001</v>
      </c>
      <c r="Y267" s="183">
        <f>SUMIFS(
  tb_caixa[Saldo],
  tb_caixa[Empresa], $B294,
  tb_caixa[Dia], "&gt;="&amp;EDATE(Y$1,1),
  tb_caixa[Dia], "&lt;"&amp;EOMONTH(Y$1,1)+1
)
-Y294</f>
        <v>0</v>
      </c>
      <c r="Z267" s="183">
        <f>SUMIFS(
  tb_caixa[Saldo],
  tb_caixa[Empresa], $B294,
  tb_caixa[Dia], "&gt;="&amp;EDATE(Z$1,1),
  tb_caixa[Dia], "&lt;"&amp;EOMONTH(Z$1,1)+1
)
-Z294</f>
        <v>0</v>
      </c>
      <c r="AA267" s="183">
        <f>SUMIFS(
  tb_caixa[Saldo],
  tb_caixa[Empresa], $B294,
  tb_caixa[Dia], "&gt;="&amp;EDATE(AA$1,1),
  tb_caixa[Dia], "&lt;"&amp;EOMONTH(AA$1,1)+1
)
-AA294</f>
        <v>0</v>
      </c>
      <c r="AC267" s="175">
        <f>SUM($D267:INDEX($D267:$AA267,1,MATCH(DATE(YEAR(inputs!$A$1),MONTH(inputs!$A$1),1),$D$1:$AA$1,0)))</f>
        <v>38635.619999999966</v>
      </c>
      <c r="AE267" s="175">
        <f t="shared" si="40"/>
        <v>-89227.860000000044</v>
      </c>
    </row>
    <row r="268" spans="1:31" outlineLevel="1" x14ac:dyDescent="0.25">
      <c r="A268" s="302" t="str">
        <f t="shared" si="54"/>
        <v>4.CHR.</v>
      </c>
      <c r="B268" t="s">
        <v>777</v>
      </c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>
        <f>SUMIFS(
  tb_caixa[Saldo],
  tb_caixa[Empresa], $B295,
  tb_caixa[Dia], "&gt;="&amp;EDATE(P$1,1),
  tb_caixa[Dia], "&lt;"&amp;EOMONTH(P$1,1)+1
)
-P295</f>
        <v>0</v>
      </c>
      <c r="Q268" s="183">
        <f>SUMIFS(
  tb_caixa[Saldo],
  tb_caixa[Empresa], $B295,
  tb_caixa[Dia], "&gt;="&amp;EDATE(Q$1,1),
  tb_caixa[Dia], "&lt;"&amp;EOMONTH(Q$1,1)+1
)
-Q295</f>
        <v>0</v>
      </c>
      <c r="R268" s="183">
        <f>SUMIFS(
  tb_caixa[Saldo],
  tb_caixa[Empresa], $B295,
  tb_caixa[Dia], "&gt;="&amp;EDATE(R$1,1),
  tb_caixa[Dia], "&lt;"&amp;EOMONTH(R$1,1)+1
)
-R295</f>
        <v>0</v>
      </c>
      <c r="S268" s="183">
        <f>SUMIFS(
  tb_caixa[Saldo],
  tb_caixa[Empresa], $B295,
  tb_caixa[Dia], "&gt;="&amp;EDATE(S$1,1),
  tb_caixa[Dia], "&lt;"&amp;EOMONTH(S$1,1)+1
)
-S295</f>
        <v>0</v>
      </c>
      <c r="T268" s="183">
        <f>SUMIFS(
  tb_caixa[Saldo],
  tb_caixa[Empresa], $B295,
  tb_caixa[Dia], "&gt;="&amp;EDATE(T$1,1),
  tb_caixa[Dia], "&lt;"&amp;EOMONTH(T$1,1)+1
)
-T295</f>
        <v>0</v>
      </c>
      <c r="U268" s="183">
        <f>SUMIFS(
  tb_caixa[Saldo],
  tb_caixa[Empresa], $B295,
  tb_caixa[Dia], "&gt;="&amp;EDATE(U$1,1),
  tb_caixa[Dia], "&lt;"&amp;EOMONTH(U$1,1)+1
)
-U295</f>
        <v>0</v>
      </c>
      <c r="V268" s="183">
        <f>SUMIFS(
  tb_caixa[Saldo],
  tb_caixa[Empresa], $B295,
  tb_caixa[Dia], "&gt;="&amp;EDATE(V$1,1),
  tb_caixa[Dia], "&lt;"&amp;EOMONTH(V$1,1)+1
)
-V295</f>
        <v>0</v>
      </c>
      <c r="W268" s="183">
        <f>SUMIFS(
  tb_caixa[Saldo],
  tb_caixa[Empresa], $B295,
  tb_caixa[Dia], "&gt;="&amp;EDATE(W$1,1),
  tb_caixa[Dia], "&lt;"&amp;EOMONTH(W$1,1)+1
)
-W295</f>
        <v>0</v>
      </c>
      <c r="X268" s="183">
        <f>SUMIFS(
  tb_caixa[Saldo],
  tb_caixa[Empresa], $B295,
  tb_caixa[Dia], "&gt;="&amp;EDATE(X$1,1),
  tb_caixa[Dia], "&lt;"&amp;EOMONTH(X$1,1)+1
)
-X295</f>
        <v>0</v>
      </c>
      <c r="Y268" s="183">
        <f>SUMIFS(
  tb_caixa[Saldo],
  tb_caixa[Empresa], $B295,
  tb_caixa[Dia], "&gt;="&amp;EDATE(Y$1,1),
  tb_caixa[Dia], "&lt;"&amp;EOMONTH(Y$1,1)+1
)
-Y295</f>
        <v>0</v>
      </c>
      <c r="Z268" s="183">
        <f>SUMIFS(
  tb_caixa[Saldo],
  tb_caixa[Empresa], $B295,
  tb_caixa[Dia], "&gt;="&amp;EDATE(Z$1,1),
  tb_caixa[Dia], "&lt;"&amp;EOMONTH(Z$1,1)+1
)
-Z295</f>
        <v>0</v>
      </c>
      <c r="AA268" s="183">
        <f>SUMIFS(
  tb_caixa[Saldo],
  tb_caixa[Empresa], $B295,
  tb_caixa[Dia], "&gt;="&amp;EDATE(AA$1,1),
  tb_caixa[Dia], "&lt;"&amp;EOMONTH(AA$1,1)+1
)
-AA295</f>
        <v>0</v>
      </c>
      <c r="AC268" s="175">
        <f>SUM($D268:INDEX($D268:$AA268,1,MATCH(DATE(YEAR(inputs!$A$1),MONTH(inputs!$A$1),1),$D$1:$AA$1,0)))</f>
        <v>0</v>
      </c>
      <c r="AE268" s="175">
        <f t="shared" ref="AE268:AE288" si="55">SUM(D268:AA268)</f>
        <v>0</v>
      </c>
    </row>
    <row r="269" spans="1:31" outlineLevel="1" x14ac:dyDescent="0.25">
      <c r="A269" s="302" t="str">
        <f t="shared" si="54"/>
        <v>4.CPE.</v>
      </c>
      <c r="B269" t="s">
        <v>773</v>
      </c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>
        <f>SUMIFS(
  tb_caixa[Saldo],
  tb_caixa[Empresa], $B296,
  tb_caixa[Dia], "&gt;="&amp;EDATE(P$1,1),
  tb_caixa[Dia], "&lt;"&amp;EOMONTH(P$1,1)+1
)
-P296</f>
        <v>5382.4500000000007</v>
      </c>
      <c r="Q269" s="183">
        <f>SUMIFS(
  tb_caixa[Saldo],
  tb_caixa[Empresa], $B296,
  tb_caixa[Dia], "&gt;="&amp;EDATE(Q$1,1),
  tb_caixa[Dia], "&lt;"&amp;EOMONTH(Q$1,1)+1
)
-Q296</f>
        <v>3119.6799999999994</v>
      </c>
      <c r="R269" s="183">
        <f>SUMIFS(
  tb_caixa[Saldo],
  tb_caixa[Empresa], $B296,
  tb_caixa[Dia], "&gt;="&amp;EDATE(R$1,1),
  tb_caixa[Dia], "&lt;"&amp;EOMONTH(R$1,1)+1
)
-R296</f>
        <v>-5541.9299999999994</v>
      </c>
      <c r="S269" s="183">
        <f>SUMIFS(
  tb_caixa[Saldo],
  tb_caixa[Empresa], $B296,
  tb_caixa[Dia], "&gt;="&amp;EDATE(S$1,1),
  tb_caixa[Dia], "&lt;"&amp;EOMONTH(S$1,1)+1
)
-S296</f>
        <v>3712.6900000000005</v>
      </c>
      <c r="T269" s="183">
        <f>SUMIFS(
  tb_caixa[Saldo],
  tb_caixa[Empresa], $B296,
  tb_caixa[Dia], "&gt;="&amp;EDATE(T$1,1),
  tb_caixa[Dia], "&lt;"&amp;EOMONTH(T$1,1)+1
)
-T296</f>
        <v>1242.7599999999993</v>
      </c>
      <c r="U269" s="183">
        <f>SUMIFS(
  tb_caixa[Saldo],
  tb_caixa[Empresa], $B296,
  tb_caixa[Dia], "&gt;="&amp;EDATE(U$1,1),
  tb_caixa[Dia], "&lt;"&amp;EOMONTH(U$1,1)+1
)
-U296</f>
        <v>-7823.55</v>
      </c>
      <c r="V269" s="183">
        <f>SUMIFS(
  tb_caixa[Saldo],
  tb_caixa[Empresa], $B296,
  tb_caixa[Dia], "&gt;="&amp;EDATE(V$1,1),
  tb_caixa[Dia], "&lt;"&amp;EOMONTH(V$1,1)+1
)
-V296</f>
        <v>8463.4199999999983</v>
      </c>
      <c r="W269" s="183">
        <f>SUMIFS(
  tb_caixa[Saldo],
  tb_caixa[Empresa], $B296,
  tb_caixa[Dia], "&gt;="&amp;EDATE(W$1,1),
  tb_caixa[Dia], "&lt;"&amp;EOMONTH(W$1,1)+1
)
-W296</f>
        <v>7912.880000000001</v>
      </c>
      <c r="X269" s="183">
        <f>SUMIFS(
  tb_caixa[Saldo],
  tb_caixa[Empresa], $B296,
  tb_caixa[Dia], "&gt;="&amp;EDATE(X$1,1),
  tb_caixa[Dia], "&lt;"&amp;EOMONTH(X$1,1)+1
)
-X296</f>
        <v>-17821.34</v>
      </c>
      <c r="Y269" s="183">
        <f>SUMIFS(
  tb_caixa[Saldo],
  tb_caixa[Empresa], $B296,
  tb_caixa[Dia], "&gt;="&amp;EDATE(Y$1,1),
  tb_caixa[Dia], "&lt;"&amp;EOMONTH(Y$1,1)+1
)
-Y296</f>
        <v>0</v>
      </c>
      <c r="Z269" s="183">
        <f>SUMIFS(
  tb_caixa[Saldo],
  tb_caixa[Empresa], $B296,
  tb_caixa[Dia], "&gt;="&amp;EDATE(Z$1,1),
  tb_caixa[Dia], "&lt;"&amp;EOMONTH(Z$1,1)+1
)
-Z296</f>
        <v>0</v>
      </c>
      <c r="AA269" s="183">
        <f>SUMIFS(
  tb_caixa[Saldo],
  tb_caixa[Empresa], $B296,
  tb_caixa[Dia], "&gt;="&amp;EDATE(AA$1,1),
  tb_caixa[Dia], "&lt;"&amp;EOMONTH(AA$1,1)+1
)
-AA296</f>
        <v>0</v>
      </c>
      <c r="AC269" s="175">
        <f>SUM($D269:INDEX($D269:$AA269,1,MATCH(DATE(YEAR(inputs!$A$1),MONTH(inputs!$A$1),1),$D$1:$AA$1,0)))</f>
        <v>16468.400000000001</v>
      </c>
      <c r="AE269" s="175">
        <f t="shared" si="55"/>
        <v>-1352.9399999999987</v>
      </c>
    </row>
    <row r="270" spans="1:31" outlineLevel="1" x14ac:dyDescent="0.25">
      <c r="A270" s="302" t="str">
        <f t="shared" si="54"/>
        <v>4.CXG.</v>
      </c>
      <c r="B270" t="s">
        <v>1023</v>
      </c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>
        <f>SUMIFS(
  tb_caixa[Saldo],
  tb_caixa[Empresa], $B297,
  tb_caixa[Dia], "&gt;="&amp;EDATE(P$1,1),
  tb_caixa[Dia], "&lt;"&amp;EOMONTH(P$1,1)+1
)
-P297</f>
        <v>0</v>
      </c>
      <c r="Q270" s="183">
        <f>SUMIFS(
  tb_caixa[Saldo],
  tb_caixa[Empresa], $B297,
  tb_caixa[Dia], "&gt;="&amp;EDATE(Q$1,1),
  tb_caixa[Dia], "&lt;"&amp;EOMONTH(Q$1,1)+1
)
-Q297</f>
        <v>0</v>
      </c>
      <c r="R270" s="183">
        <f>SUMIFS(
  tb_caixa[Saldo],
  tb_caixa[Empresa], $B297,
  tb_caixa[Dia], "&gt;="&amp;EDATE(R$1,1),
  tb_caixa[Dia], "&lt;"&amp;EOMONTH(R$1,1)+1
)
-R297</f>
        <v>0</v>
      </c>
      <c r="S270" s="183">
        <f>SUMIFS(
  tb_caixa[Saldo],
  tb_caixa[Empresa], $B297,
  tb_caixa[Dia], "&gt;="&amp;EDATE(S$1,1),
  tb_caixa[Dia], "&lt;"&amp;EOMONTH(S$1,1)+1
)
-S297</f>
        <v>2751</v>
      </c>
      <c r="T270" s="183">
        <f>SUMIFS(
  tb_caixa[Saldo],
  tb_caixa[Empresa], $B297,
  tb_caixa[Dia], "&gt;="&amp;EDATE(T$1,1),
  tb_caixa[Dia], "&lt;"&amp;EOMONTH(T$1,1)+1
)
-T297</f>
        <v>-487</v>
      </c>
      <c r="U270" s="183">
        <f>SUMIFS(
  tb_caixa[Saldo],
  tb_caixa[Empresa], $B297,
  tb_caixa[Dia], "&gt;="&amp;EDATE(U$1,1),
  tb_caixa[Dia], "&lt;"&amp;EOMONTH(U$1,1)+1
)
-U297</f>
        <v>-174</v>
      </c>
      <c r="V270" s="183">
        <f>SUMIFS(
  tb_caixa[Saldo],
  tb_caixa[Empresa], $B297,
  tb_caixa[Dia], "&gt;="&amp;EDATE(V$1,1),
  tb_caixa[Dia], "&lt;"&amp;EOMONTH(V$1,1)+1
)
-V297</f>
        <v>1168.4000000000001</v>
      </c>
      <c r="W270" s="183">
        <f>SUMIFS(
  tb_caixa[Saldo],
  tb_caixa[Empresa], $B297,
  tb_caixa[Dia], "&gt;="&amp;EDATE(W$1,1),
  tb_caixa[Dia], "&lt;"&amp;EOMONTH(W$1,1)+1
)
-W297</f>
        <v>169</v>
      </c>
      <c r="X270" s="183">
        <f>SUMIFS(
  tb_caixa[Saldo],
  tb_caixa[Empresa], $B297,
  tb_caixa[Dia], "&gt;="&amp;EDATE(X$1,1),
  tb_caixa[Dia], "&lt;"&amp;EOMONTH(X$1,1)+1
)
-X297</f>
        <v>-3427.4</v>
      </c>
      <c r="Y270" s="183">
        <f>SUMIFS(
  tb_caixa[Saldo],
  tb_caixa[Empresa], $B297,
  tb_caixa[Dia], "&gt;="&amp;EDATE(Y$1,1),
  tb_caixa[Dia], "&lt;"&amp;EOMONTH(Y$1,1)+1
)
-Y297</f>
        <v>0</v>
      </c>
      <c r="Z270" s="183">
        <f>SUMIFS(
  tb_caixa[Saldo],
  tb_caixa[Empresa], $B297,
  tb_caixa[Dia], "&gt;="&amp;EDATE(Z$1,1),
  tb_caixa[Dia], "&lt;"&amp;EOMONTH(Z$1,1)+1
)
-Z297</f>
        <v>0</v>
      </c>
      <c r="AA270" s="183">
        <f>SUMIFS(
  tb_caixa[Saldo],
  tb_caixa[Empresa], $B297,
  tb_caixa[Dia], "&gt;="&amp;EDATE(AA$1,1),
  tb_caixa[Dia], "&lt;"&amp;EOMONTH(AA$1,1)+1
)
-AA297</f>
        <v>0</v>
      </c>
      <c r="AC270" s="175">
        <f>SUM($D270:INDEX($D270:$AA270,1,MATCH(DATE(YEAR(inputs!$A$1),MONTH(inputs!$A$1),1),$D$1:$AA$1,0)))</f>
        <v>3427.4</v>
      </c>
      <c r="AE270" s="175">
        <f t="shared" si="55"/>
        <v>0</v>
      </c>
    </row>
    <row r="271" spans="1:31" outlineLevel="1" x14ac:dyDescent="0.25">
      <c r="A271" s="302" t="str">
        <f t="shared" si="54"/>
        <v>4.DPF.</v>
      </c>
      <c r="B271" t="s">
        <v>779</v>
      </c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>
        <f>SUMIFS(
  tb_caixa[Saldo],
  tb_caixa[Empresa], $B298,
  tb_caixa[Dia], "&gt;="&amp;EDATE(P$1,1),
  tb_caixa[Dia], "&lt;"&amp;EOMONTH(P$1,1)+1
)
-P298</f>
        <v>-28183.739999999998</v>
      </c>
      <c r="Q271" s="183">
        <f>SUMIFS(
  tb_caixa[Saldo],
  tb_caixa[Empresa], $B298,
  tb_caixa[Dia], "&gt;="&amp;EDATE(Q$1,1),
  tb_caixa[Dia], "&lt;"&amp;EOMONTH(Q$1,1)+1
)
-Q298</f>
        <v>6237.5500000000011</v>
      </c>
      <c r="R271" s="183">
        <f>SUMIFS(
  tb_caixa[Saldo],
  tb_caixa[Empresa], $B298,
  tb_caixa[Dia], "&gt;="&amp;EDATE(R$1,1),
  tb_caixa[Dia], "&lt;"&amp;EOMONTH(R$1,1)+1
)
-R298</f>
        <v>1351.95</v>
      </c>
      <c r="S271" s="183">
        <f>SUMIFS(
  tb_caixa[Saldo],
  tb_caixa[Empresa], $B298,
  tb_caixa[Dia], "&gt;="&amp;EDATE(S$1,1),
  tb_caixa[Dia], "&lt;"&amp;EOMONTH(S$1,1)+1
)
-S298</f>
        <v>-1403.3799999999999</v>
      </c>
      <c r="T271" s="183">
        <f>SUMIFS(
  tb_caixa[Saldo],
  tb_caixa[Empresa], $B298,
  tb_caixa[Dia], "&gt;="&amp;EDATE(T$1,1),
  tb_caixa[Dia], "&lt;"&amp;EOMONTH(T$1,1)+1
)
-T298</f>
        <v>6651.24</v>
      </c>
      <c r="U271" s="183">
        <f>SUMIFS(
  tb_caixa[Saldo],
  tb_caixa[Empresa], $B298,
  tb_caixa[Dia], "&gt;="&amp;EDATE(U$1,1),
  tb_caixa[Dia], "&lt;"&amp;EOMONTH(U$1,1)+1
)
-U298</f>
        <v>13609.1</v>
      </c>
      <c r="V271" s="183">
        <f>SUMIFS(
  tb_caixa[Saldo],
  tb_caixa[Empresa], $B298,
  tb_caixa[Dia], "&gt;="&amp;EDATE(V$1,1),
  tb_caixa[Dia], "&lt;"&amp;EOMONTH(V$1,1)+1
)
-V298</f>
        <v>-21136.73</v>
      </c>
      <c r="W271" s="183">
        <f>SUMIFS(
  tb_caixa[Saldo],
  tb_caixa[Empresa], $B298,
  tb_caixa[Dia], "&gt;="&amp;EDATE(W$1,1),
  tb_caixa[Dia], "&lt;"&amp;EOMONTH(W$1,1)+1
)
-W298</f>
        <v>7903.29</v>
      </c>
      <c r="X271" s="183">
        <f>SUMIFS(
  tb_caixa[Saldo],
  tb_caixa[Empresa], $B298,
  tb_caixa[Dia], "&gt;="&amp;EDATE(X$1,1),
  tb_caixa[Dia], "&lt;"&amp;EOMONTH(X$1,1)+1
)
-X298</f>
        <v>-4121.74</v>
      </c>
      <c r="Y271" s="183">
        <f>SUMIFS(
  tb_caixa[Saldo],
  tb_caixa[Empresa], $B298,
  tb_caixa[Dia], "&gt;="&amp;EDATE(Y$1,1),
  tb_caixa[Dia], "&lt;"&amp;EOMONTH(Y$1,1)+1
)
-Y298</f>
        <v>0</v>
      </c>
      <c r="Z271" s="183">
        <f>SUMIFS(
  tb_caixa[Saldo],
  tb_caixa[Empresa], $B298,
  tb_caixa[Dia], "&gt;="&amp;EDATE(Z$1,1),
  tb_caixa[Dia], "&lt;"&amp;EOMONTH(Z$1,1)+1
)
-Z298</f>
        <v>0</v>
      </c>
      <c r="AA271" s="183">
        <f>SUMIFS(
  tb_caixa[Saldo],
  tb_caixa[Empresa], $B298,
  tb_caixa[Dia], "&gt;="&amp;EDATE(AA$1,1),
  tb_caixa[Dia], "&lt;"&amp;EOMONTH(AA$1,1)+1
)
-AA298</f>
        <v>0</v>
      </c>
      <c r="AC271" s="175">
        <f>SUM($D271:INDEX($D271:$AA271,1,MATCH(DATE(YEAR(inputs!$A$1),MONTH(inputs!$A$1),1),$D$1:$AA$1,0)))</f>
        <v>-14970.719999999994</v>
      </c>
      <c r="AE271" s="175">
        <f t="shared" si="55"/>
        <v>-19092.459999999992</v>
      </c>
    </row>
    <row r="272" spans="1:31" outlineLevel="1" x14ac:dyDescent="0.25">
      <c r="A272" s="302" t="str">
        <f t="shared" si="54"/>
        <v>4.ENC.</v>
      </c>
      <c r="B272" t="s">
        <v>479</v>
      </c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>
        <f>SUMIFS(
  tb_caixa[Saldo],
  tb_caixa[Empresa], $B299,
  tb_caixa[Dia], "&gt;="&amp;EDATE(P$1,1),
  tb_caixa[Dia], "&lt;"&amp;EOMONTH(P$1,1)+1
)
-P299</f>
        <v>-64463.87</v>
      </c>
      <c r="Q272" s="183">
        <f>SUMIFS(
  tb_caixa[Saldo],
  tb_caixa[Empresa], $B299,
  tb_caixa[Dia], "&gt;="&amp;EDATE(Q$1,1),
  tb_caixa[Dia], "&lt;"&amp;EOMONTH(Q$1,1)+1
)
-Q299</f>
        <v>-97368.82</v>
      </c>
      <c r="R272" s="183">
        <f>SUMIFS(
  tb_caixa[Saldo],
  tb_caixa[Empresa], $B299,
  tb_caixa[Dia], "&gt;="&amp;EDATE(R$1,1),
  tb_caixa[Dia], "&lt;"&amp;EOMONTH(R$1,1)+1
)
-R299</f>
        <v>-7726.429999999993</v>
      </c>
      <c r="S272" s="183">
        <f>SUMIFS(
  tb_caixa[Saldo],
  tb_caixa[Empresa], $B299,
  tb_caixa[Dia], "&gt;="&amp;EDATE(S$1,1),
  tb_caixa[Dia], "&lt;"&amp;EOMONTH(S$1,1)+1
)
-S299</f>
        <v>-10054.220000000016</v>
      </c>
      <c r="T272" s="183">
        <f>SUMIFS(
  tb_caixa[Saldo],
  tb_caixa[Empresa], $B299,
  tb_caixa[Dia], "&gt;="&amp;EDATE(T$1,1),
  tb_caixa[Dia], "&lt;"&amp;EOMONTH(T$1,1)+1
)
-T299</f>
        <v>134552.97</v>
      </c>
      <c r="U272" s="183">
        <f>SUMIFS(
  tb_caixa[Saldo],
  tb_caixa[Empresa], $B299,
  tb_caixa[Dia], "&gt;="&amp;EDATE(U$1,1),
  tb_caixa[Dia], "&lt;"&amp;EOMONTH(U$1,1)+1
)
-U299</f>
        <v>454</v>
      </c>
      <c r="V272" s="183">
        <f>SUMIFS(
  tb_caixa[Saldo],
  tb_caixa[Empresa], $B299,
  tb_caixa[Dia], "&gt;="&amp;EDATE(V$1,1),
  tb_caixa[Dia], "&lt;"&amp;EOMONTH(V$1,1)+1
)
-V299</f>
        <v>223.47999999999956</v>
      </c>
      <c r="W272" s="183">
        <f>SUMIFS(
  tb_caixa[Saldo],
  tb_caixa[Empresa], $B299,
  tb_caixa[Dia], "&gt;="&amp;EDATE(W$1,1),
  tb_caixa[Dia], "&lt;"&amp;EOMONTH(W$1,1)+1
)
-W299</f>
        <v>-23614.549999999996</v>
      </c>
      <c r="X272" s="183">
        <f>SUMIFS(
  tb_caixa[Saldo],
  tb_caixa[Empresa], $B299,
  tb_caixa[Dia], "&gt;="&amp;EDATE(X$1,1),
  tb_caixa[Dia], "&lt;"&amp;EOMONTH(X$1,1)+1
)
-X299</f>
        <v>18600.559999999998</v>
      </c>
      <c r="Y272" s="183">
        <f>SUMIFS(
  tb_caixa[Saldo],
  tb_caixa[Empresa], $B299,
  tb_caixa[Dia], "&gt;="&amp;EDATE(Y$1,1),
  tb_caixa[Dia], "&lt;"&amp;EOMONTH(Y$1,1)+1
)
-Y299</f>
        <v>0</v>
      </c>
      <c r="Z272" s="183">
        <f>SUMIFS(
  tb_caixa[Saldo],
  tb_caixa[Empresa], $B299,
  tb_caixa[Dia], "&gt;="&amp;EDATE(Z$1,1),
  tb_caixa[Dia], "&lt;"&amp;EOMONTH(Z$1,1)+1
)
-Z299</f>
        <v>0</v>
      </c>
      <c r="AA272" s="183">
        <f>SUMIFS(
  tb_caixa[Saldo],
  tb_caixa[Empresa], $B299,
  tb_caixa[Dia], "&gt;="&amp;EDATE(AA$1,1),
  tb_caixa[Dia], "&lt;"&amp;EOMONTH(AA$1,1)+1
)
-AA299</f>
        <v>0</v>
      </c>
      <c r="AC272" s="175">
        <f>SUM($D272:INDEX($D272:$AA272,1,MATCH(DATE(YEAR(inputs!$A$1),MONTH(inputs!$A$1),1),$D$1:$AA$1,0)))</f>
        <v>-67997.440000000031</v>
      </c>
      <c r="AE272" s="175">
        <f t="shared" si="55"/>
        <v>-49396.880000000034</v>
      </c>
    </row>
    <row r="273" spans="1:31" outlineLevel="1" x14ac:dyDescent="0.25">
      <c r="A273" s="302" t="str">
        <f t="shared" si="54"/>
        <v>4.GRA.</v>
      </c>
      <c r="B273" t="s">
        <v>9</v>
      </c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>
        <f>SUMIFS(
  tb_caixa[Saldo],
  tb_caixa[Empresa], $B300,
  tb_caixa[Dia], "&gt;="&amp;EDATE(P$1,1),
  tb_caixa[Dia], "&lt;"&amp;EOMONTH(P$1,1)+1
)
-P300</f>
        <v>662055.41</v>
      </c>
      <c r="Q273" s="183">
        <f>SUMIFS(
  tb_caixa[Saldo],
  tb_caixa[Empresa], $B300,
  tb_caixa[Dia], "&gt;="&amp;EDATE(Q$1,1),
  tb_caixa[Dia], "&lt;"&amp;EOMONTH(Q$1,1)+1
)
-Q300</f>
        <v>-2300.5899999999674</v>
      </c>
      <c r="R273" s="183">
        <f>SUMIFS(
  tb_caixa[Saldo],
  tb_caixa[Empresa], $B300,
  tb_caixa[Dia], "&gt;="&amp;EDATE(R$1,1),
  tb_caixa[Dia], "&lt;"&amp;EOMONTH(R$1,1)+1
)
-R300</f>
        <v>-572679.64000000013</v>
      </c>
      <c r="S273" s="183">
        <f>SUMIFS(
  tb_caixa[Saldo],
  tb_caixa[Empresa], $B300,
  tb_caixa[Dia], "&gt;="&amp;EDATE(S$1,1),
  tb_caixa[Dia], "&lt;"&amp;EOMONTH(S$1,1)+1
)
-S300</f>
        <v>278644.45</v>
      </c>
      <c r="T273" s="183">
        <f>SUMIFS(
  tb_caixa[Saldo],
  tb_caixa[Empresa], $B300,
  tb_caixa[Dia], "&gt;="&amp;EDATE(T$1,1),
  tb_caixa[Dia], "&lt;"&amp;EOMONTH(T$1,1)+1
)
-T300</f>
        <v>1451511.85</v>
      </c>
      <c r="U273" s="183">
        <f>SUMIFS(
  tb_caixa[Saldo],
  tb_caixa[Empresa], $B300,
  tb_caixa[Dia], "&gt;="&amp;EDATE(U$1,1),
  tb_caixa[Dia], "&lt;"&amp;EOMONTH(U$1,1)+1
)
-U300</f>
        <v>-2057714.58</v>
      </c>
      <c r="V273" s="183">
        <f>SUMIFS(
  tb_caixa[Saldo],
  tb_caixa[Empresa], $B300,
  tb_caixa[Dia], "&gt;="&amp;EDATE(V$1,1),
  tb_caixa[Dia], "&lt;"&amp;EOMONTH(V$1,1)+1
)
-V300</f>
        <v>1132042.9600000002</v>
      </c>
      <c r="W273" s="183">
        <f>SUMIFS(
  tb_caixa[Saldo],
  tb_caixa[Empresa], $B300,
  tb_caixa[Dia], "&gt;="&amp;EDATE(W$1,1),
  tb_caixa[Dia], "&lt;"&amp;EOMONTH(W$1,1)+1
)
-W300</f>
        <v>-1096112.31</v>
      </c>
      <c r="X273" s="183">
        <f>SUMIFS(
  tb_caixa[Saldo],
  tb_caixa[Empresa], $B300,
  tb_caixa[Dia], "&gt;="&amp;EDATE(X$1,1),
  tb_caixa[Dia], "&lt;"&amp;EOMONTH(X$1,1)+1
)
-X300</f>
        <v>-66884.06</v>
      </c>
      <c r="Y273" s="183">
        <f>SUMIFS(
  tb_caixa[Saldo],
  tb_caixa[Empresa], $B300,
  tb_caixa[Dia], "&gt;="&amp;EDATE(Y$1,1),
  tb_caixa[Dia], "&lt;"&amp;EOMONTH(Y$1,1)+1
)
-Y300</f>
        <v>0</v>
      </c>
      <c r="Z273" s="183">
        <f>SUMIFS(
  tb_caixa[Saldo],
  tb_caixa[Empresa], $B300,
  tb_caixa[Dia], "&gt;="&amp;EDATE(Z$1,1),
  tb_caixa[Dia], "&lt;"&amp;EOMONTH(Z$1,1)+1
)
-Z300</f>
        <v>0</v>
      </c>
      <c r="AA273" s="183">
        <f>SUMIFS(
  tb_caixa[Saldo],
  tb_caixa[Empresa], $B300,
  tb_caixa[Dia], "&gt;="&amp;EDATE(AA$1,1),
  tb_caixa[Dia], "&lt;"&amp;EOMONTH(AA$1,1)+1
)
-AA300</f>
        <v>0</v>
      </c>
      <c r="AC273" s="175">
        <f>SUM($D273:INDEX($D273:$AA273,1,MATCH(DATE(YEAR(inputs!$A$1),MONTH(inputs!$A$1),1),$D$1:$AA$1,0)))</f>
        <v>-204552.44999999995</v>
      </c>
      <c r="AE273" s="175">
        <f t="shared" si="55"/>
        <v>-271436.50999999995</v>
      </c>
    </row>
    <row r="274" spans="1:31" outlineLevel="1" x14ac:dyDescent="0.25">
      <c r="A274" s="302" t="str">
        <f t="shared" si="54"/>
        <v>4.INC.</v>
      </c>
      <c r="B274" t="s">
        <v>481</v>
      </c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>
        <f>SUMIFS(
  tb_caixa[Saldo],
  tb_caixa[Empresa], $B301,
  tb_caixa[Dia], "&gt;="&amp;EDATE(P$1,1),
  tb_caixa[Dia], "&lt;"&amp;EOMONTH(P$1,1)+1
)
-P301</f>
        <v>553.13999999999942</v>
      </c>
      <c r="Q274" s="183">
        <f>SUMIFS(
  tb_caixa[Saldo],
  tb_caixa[Empresa], $B301,
  tb_caixa[Dia], "&gt;="&amp;EDATE(Q$1,1),
  tb_caixa[Dia], "&lt;"&amp;EOMONTH(Q$1,1)+1
)
-Q301</f>
        <v>32298.13</v>
      </c>
      <c r="R274" s="183">
        <f>SUMIFS(
  tb_caixa[Saldo],
  tb_caixa[Empresa], $B301,
  tb_caixa[Dia], "&gt;="&amp;EDATE(R$1,1),
  tb_caixa[Dia], "&lt;"&amp;EOMONTH(R$1,1)+1
)
-R301</f>
        <v>-21768.91</v>
      </c>
      <c r="S274" s="183">
        <f>SUMIFS(
  tb_caixa[Saldo],
  tb_caixa[Empresa], $B301,
  tb_caixa[Dia], "&gt;="&amp;EDATE(S$1,1),
  tb_caixa[Dia], "&lt;"&amp;EOMONTH(S$1,1)+1
)
-S301</f>
        <v>-874.31999999999971</v>
      </c>
      <c r="T274" s="183">
        <f>SUMIFS(
  tb_caixa[Saldo],
  tb_caixa[Empresa], $B301,
  tb_caixa[Dia], "&gt;="&amp;EDATE(T$1,1),
  tb_caixa[Dia], "&lt;"&amp;EOMONTH(T$1,1)+1
)
-T301</f>
        <v>-7116.6600000000035</v>
      </c>
      <c r="U274" s="183">
        <f>SUMIFS(
  tb_caixa[Saldo],
  tb_caixa[Empresa], $B301,
  tb_caixa[Dia], "&gt;="&amp;EDATE(U$1,1),
  tb_caixa[Dia], "&lt;"&amp;EOMONTH(U$1,1)+1
)
-U301</f>
        <v>19109</v>
      </c>
      <c r="V274" s="183">
        <f>SUMIFS(
  tb_caixa[Saldo],
  tb_caixa[Empresa], $B301,
  tb_caixa[Dia], "&gt;="&amp;EDATE(V$1,1),
  tb_caixa[Dia], "&lt;"&amp;EOMONTH(V$1,1)+1
)
-V301</f>
        <v>17890.280000000002</v>
      </c>
      <c r="W274" s="183">
        <f>SUMIFS(
  tb_caixa[Saldo],
  tb_caixa[Empresa], $B301,
  tb_caixa[Dia], "&gt;="&amp;EDATE(W$1,1),
  tb_caixa[Dia], "&lt;"&amp;EOMONTH(W$1,1)+1
)
-W301</f>
        <v>631502.52</v>
      </c>
      <c r="X274" s="183">
        <f>SUMIFS(
  tb_caixa[Saldo],
  tb_caixa[Empresa], $B301,
  tb_caixa[Dia], "&gt;="&amp;EDATE(X$1,1),
  tb_caixa[Dia], "&lt;"&amp;EOMONTH(X$1,1)+1
)
-X301</f>
        <v>-632814.68000000005</v>
      </c>
      <c r="Y274" s="183">
        <f>SUMIFS(
  tb_caixa[Saldo],
  tb_caixa[Empresa], $B301,
  tb_caixa[Dia], "&gt;="&amp;EDATE(Y$1,1),
  tb_caixa[Dia], "&lt;"&amp;EOMONTH(Y$1,1)+1
)
-Y301</f>
        <v>0</v>
      </c>
      <c r="Z274" s="183">
        <f>SUMIFS(
  tb_caixa[Saldo],
  tb_caixa[Empresa], $B301,
  tb_caixa[Dia], "&gt;="&amp;EDATE(Z$1,1),
  tb_caixa[Dia], "&lt;"&amp;EOMONTH(Z$1,1)+1
)
-Z301</f>
        <v>0</v>
      </c>
      <c r="AA274" s="183">
        <f>SUMIFS(
  tb_caixa[Saldo],
  tb_caixa[Empresa], $B301,
  tb_caixa[Dia], "&gt;="&amp;EDATE(AA$1,1),
  tb_caixa[Dia], "&lt;"&amp;EOMONTH(AA$1,1)+1
)
-AA301</f>
        <v>0</v>
      </c>
      <c r="AC274" s="175">
        <f>SUM($D274:INDEX($D274:$AA274,1,MATCH(DATE(YEAR(inputs!$A$1),MONTH(inputs!$A$1),1),$D$1:$AA$1,0)))</f>
        <v>671593.18</v>
      </c>
      <c r="AE274" s="175">
        <f t="shared" si="55"/>
        <v>38778.5</v>
      </c>
    </row>
    <row r="275" spans="1:31" outlineLevel="1" x14ac:dyDescent="0.25">
      <c r="A275" s="302" t="str">
        <f t="shared" si="54"/>
        <v>4.JRP.</v>
      </c>
      <c r="B275" t="s">
        <v>677</v>
      </c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>
        <f>SUMIFS(
  tb_caixa[Saldo],
  tb_caixa[Empresa], $B302,
  tb_caixa[Dia], "&gt;="&amp;EDATE(P$1,1),
  tb_caixa[Dia], "&lt;"&amp;EOMONTH(P$1,1)+1
)
-P302</f>
        <v>-138.00000000000003</v>
      </c>
      <c r="Q275" s="183">
        <f>SUMIFS(
  tb_caixa[Saldo],
  tb_caixa[Empresa], $B302,
  tb_caixa[Dia], "&gt;="&amp;EDATE(Q$1,1),
  tb_caixa[Dia], "&lt;"&amp;EOMONTH(Q$1,1)+1
)
-Q302</f>
        <v>421.69999999999993</v>
      </c>
      <c r="R275" s="183">
        <f>SUMIFS(
  tb_caixa[Saldo],
  tb_caixa[Empresa], $B302,
  tb_caixa[Dia], "&gt;="&amp;EDATE(R$1,1),
  tb_caixa[Dia], "&lt;"&amp;EOMONTH(R$1,1)+1
)
-R302</f>
        <v>-148.22999999999996</v>
      </c>
      <c r="S275" s="183">
        <f>SUMIFS(
  tb_caixa[Saldo],
  tb_caixa[Empresa], $B302,
  tb_caixa[Dia], "&gt;="&amp;EDATE(S$1,1),
  tb_caixa[Dia], "&lt;"&amp;EOMONTH(S$1,1)+1
)
-S302</f>
        <v>251.32</v>
      </c>
      <c r="T275" s="183">
        <f>SUMIFS(
  tb_caixa[Saldo],
  tb_caixa[Empresa], $B302,
  tb_caixa[Dia], "&gt;="&amp;EDATE(T$1,1),
  tb_caixa[Dia], "&lt;"&amp;EOMONTH(T$1,1)+1
)
-T302</f>
        <v>2886.88</v>
      </c>
      <c r="U275" s="183">
        <f>SUMIFS(
  tb_caixa[Saldo],
  tb_caixa[Empresa], $B302,
  tb_caixa[Dia], "&gt;="&amp;EDATE(U$1,1),
  tb_caixa[Dia], "&lt;"&amp;EOMONTH(U$1,1)+1
)
-U302</f>
        <v>66097.19</v>
      </c>
      <c r="V275" s="183">
        <f>SUMIFS(
  tb_caixa[Saldo],
  tb_caixa[Empresa], $B302,
  tb_caixa[Dia], "&gt;="&amp;EDATE(V$1,1),
  tb_caixa[Dia], "&lt;"&amp;EOMONTH(V$1,1)+1
)
-V302</f>
        <v>-67106.97</v>
      </c>
      <c r="W275" s="183">
        <f>SUMIFS(
  tb_caixa[Saldo],
  tb_caixa[Empresa], $B302,
  tb_caixa[Dia], "&gt;="&amp;EDATE(W$1,1),
  tb_caixa[Dia], "&lt;"&amp;EOMONTH(W$1,1)+1
)
-W302</f>
        <v>114370.62</v>
      </c>
      <c r="X275" s="183">
        <f>SUMIFS(
  tb_caixa[Saldo],
  tb_caixa[Empresa], $B302,
  tb_caixa[Dia], "&gt;="&amp;EDATE(X$1,1),
  tb_caixa[Dia], "&lt;"&amp;EOMONTH(X$1,1)+1
)
-X302</f>
        <v>-116976.73</v>
      </c>
      <c r="Y275" s="183">
        <f>SUMIFS(
  tb_caixa[Saldo],
  tb_caixa[Empresa], $B302,
  tb_caixa[Dia], "&gt;="&amp;EDATE(Y$1,1),
  tb_caixa[Dia], "&lt;"&amp;EOMONTH(Y$1,1)+1
)
-Y302</f>
        <v>0</v>
      </c>
      <c r="Z275" s="183">
        <f>SUMIFS(
  tb_caixa[Saldo],
  tb_caixa[Empresa], $B302,
  tb_caixa[Dia], "&gt;="&amp;EDATE(Z$1,1),
  tb_caixa[Dia], "&lt;"&amp;EOMONTH(Z$1,1)+1
)
-Z302</f>
        <v>0</v>
      </c>
      <c r="AA275" s="183">
        <f>SUMIFS(
  tb_caixa[Saldo],
  tb_caixa[Empresa], $B302,
  tb_caixa[Dia], "&gt;="&amp;EDATE(AA$1,1),
  tb_caixa[Dia], "&lt;"&amp;EOMONTH(AA$1,1)+1
)
-AA302</f>
        <v>0</v>
      </c>
      <c r="AC275" s="175">
        <f>SUM($D275:INDEX($D275:$AA275,1,MATCH(DATE(YEAR(inputs!$A$1),MONTH(inputs!$A$1),1),$D$1:$AA$1,0)))</f>
        <v>116634.51</v>
      </c>
      <c r="AE275" s="175">
        <f t="shared" si="55"/>
        <v>-342.22000000000116</v>
      </c>
    </row>
    <row r="276" spans="1:31" outlineLevel="1" x14ac:dyDescent="0.25">
      <c r="A276" s="302" t="str">
        <f t="shared" si="54"/>
        <v>4.JSP.</v>
      </c>
      <c r="B276" t="s">
        <v>753</v>
      </c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>
        <f>SUMIFS(
  tb_caixa[Saldo],
  tb_caixa[Empresa], $B303,
  tb_caixa[Dia], "&gt;="&amp;EDATE(P$1,1),
  tb_caixa[Dia], "&lt;"&amp;EOMONTH(P$1,1)+1
)
-P303</f>
        <v>-143.36000000000001</v>
      </c>
      <c r="Q276" s="183">
        <f>SUMIFS(
  tb_caixa[Saldo],
  tb_caixa[Empresa], $B303,
  tb_caixa[Dia], "&gt;="&amp;EDATE(Q$1,1),
  tb_caixa[Dia], "&lt;"&amp;EOMONTH(Q$1,1)+1
)
-Q303</f>
        <v>-41.8</v>
      </c>
      <c r="R276" s="183">
        <f>SUMIFS(
  tb_caixa[Saldo],
  tb_caixa[Empresa], $B303,
  tb_caixa[Dia], "&gt;="&amp;EDATE(R$1,1),
  tb_caixa[Dia], "&lt;"&amp;EOMONTH(R$1,1)+1
)
-R303</f>
        <v>0</v>
      </c>
      <c r="S276" s="183">
        <f>SUMIFS(
  tb_caixa[Saldo],
  tb_caixa[Empresa], $B303,
  tb_caixa[Dia], "&gt;="&amp;EDATE(S$1,1),
  tb_caixa[Dia], "&lt;"&amp;EOMONTH(S$1,1)+1
)
-S303</f>
        <v>0</v>
      </c>
      <c r="T276" s="183">
        <f>SUMIFS(
  tb_caixa[Saldo],
  tb_caixa[Empresa], $B303,
  tb_caixa[Dia], "&gt;="&amp;EDATE(T$1,1),
  tb_caixa[Dia], "&lt;"&amp;EOMONTH(T$1,1)+1
)
-T303</f>
        <v>0</v>
      </c>
      <c r="U276" s="183">
        <f>SUMIFS(
  tb_caixa[Saldo],
  tb_caixa[Empresa], $B303,
  tb_caixa[Dia], "&gt;="&amp;EDATE(U$1,1),
  tb_caixa[Dia], "&lt;"&amp;EOMONTH(U$1,1)+1
)
-U303</f>
        <v>19496.11</v>
      </c>
      <c r="V276" s="183">
        <f>SUMIFS(
  tb_caixa[Saldo],
  tb_caixa[Empresa], $B303,
  tb_caixa[Dia], "&gt;="&amp;EDATE(V$1,1),
  tb_caixa[Dia], "&lt;"&amp;EOMONTH(V$1,1)+1
)
-V303</f>
        <v>-165.27999999999884</v>
      </c>
      <c r="W276" s="183">
        <f>SUMIFS(
  tb_caixa[Saldo],
  tb_caixa[Empresa], $B303,
  tb_caixa[Dia], "&gt;="&amp;EDATE(W$1,1),
  tb_caixa[Dia], "&lt;"&amp;EOMONTH(W$1,1)+1
)
-W303</f>
        <v>-16266.2</v>
      </c>
      <c r="X276" s="183">
        <f>SUMIFS(
  tb_caixa[Saldo],
  tb_caixa[Empresa], $B303,
  tb_caixa[Dia], "&gt;="&amp;EDATE(X$1,1),
  tb_caixa[Dia], "&lt;"&amp;EOMONTH(X$1,1)+1
)
-X303</f>
        <v>-3064.63</v>
      </c>
      <c r="Y276" s="183">
        <f>SUMIFS(
  tb_caixa[Saldo],
  tb_caixa[Empresa], $B303,
  tb_caixa[Dia], "&gt;="&amp;EDATE(Y$1,1),
  tb_caixa[Dia], "&lt;"&amp;EOMONTH(Y$1,1)+1
)
-Y303</f>
        <v>0</v>
      </c>
      <c r="Z276" s="183">
        <f>SUMIFS(
  tb_caixa[Saldo],
  tb_caixa[Empresa], $B303,
  tb_caixa[Dia], "&gt;="&amp;EDATE(Z$1,1),
  tb_caixa[Dia], "&lt;"&amp;EOMONTH(Z$1,1)+1
)
-Z303</f>
        <v>0</v>
      </c>
      <c r="AA276" s="183">
        <f>SUMIFS(
  tb_caixa[Saldo],
  tb_caixa[Empresa], $B303,
  tb_caixa[Dia], "&gt;="&amp;EDATE(AA$1,1),
  tb_caixa[Dia], "&lt;"&amp;EOMONTH(AA$1,1)+1
)
-AA303</f>
        <v>0</v>
      </c>
      <c r="AC276" s="175">
        <f>SUM($D276:INDEX($D276:$AA276,1,MATCH(DATE(YEAR(inputs!$A$1),MONTH(inputs!$A$1),1),$D$1:$AA$1,0)))</f>
        <v>2879.4700000000012</v>
      </c>
      <c r="AE276" s="175">
        <f t="shared" si="55"/>
        <v>-185.15999999999894</v>
      </c>
    </row>
    <row r="277" spans="1:31" outlineLevel="1" x14ac:dyDescent="0.25">
      <c r="A277" s="302" t="str">
        <f t="shared" si="54"/>
        <v>4.LCG.</v>
      </c>
      <c r="B277" t="s">
        <v>482</v>
      </c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>
        <f>SUMIFS(
  tb_caixa[Saldo],
  tb_caixa[Empresa], $B304,
  tb_caixa[Dia], "&gt;="&amp;EDATE(P$1,1),
  tb_caixa[Dia], "&lt;"&amp;EOMONTH(P$1,1)+1
)
-P304</f>
        <v>-26018.950000000004</v>
      </c>
      <c r="Q277" s="183">
        <f>SUMIFS(
  tb_caixa[Saldo],
  tb_caixa[Empresa], $B304,
  tb_caixa[Dia], "&gt;="&amp;EDATE(Q$1,1),
  tb_caixa[Dia], "&lt;"&amp;EOMONTH(Q$1,1)+1
)
-Q304</f>
        <v>-1009.3499999999995</v>
      </c>
      <c r="R277" s="183">
        <f>SUMIFS(
  tb_caixa[Saldo],
  tb_caixa[Empresa], $B304,
  tb_caixa[Dia], "&gt;="&amp;EDATE(R$1,1),
  tb_caixa[Dia], "&lt;"&amp;EOMONTH(R$1,1)+1
)
-R304</f>
        <v>-651.46</v>
      </c>
      <c r="S277" s="183">
        <f>SUMIFS(
  tb_caixa[Saldo],
  tb_caixa[Empresa], $B304,
  tb_caixa[Dia], "&gt;="&amp;EDATE(S$1,1),
  tb_caixa[Dia], "&lt;"&amp;EOMONTH(S$1,1)+1
)
-S304</f>
        <v>-2511.1900000000005</v>
      </c>
      <c r="T277" s="183">
        <f>SUMIFS(
  tb_caixa[Saldo],
  tb_caixa[Empresa], $B304,
  tb_caixa[Dia], "&gt;="&amp;EDATE(T$1,1),
  tb_caixa[Dia], "&lt;"&amp;EOMONTH(T$1,1)+1
)
-T304</f>
        <v>-8233.7699999999986</v>
      </c>
      <c r="U277" s="183">
        <f>SUMIFS(
  tb_caixa[Saldo],
  tb_caixa[Empresa], $B304,
  tb_caixa[Dia], "&gt;="&amp;EDATE(U$1,1),
  tb_caixa[Dia], "&lt;"&amp;EOMONTH(U$1,1)+1
)
-U304</f>
        <v>15557.72</v>
      </c>
      <c r="V277" s="183">
        <f>SUMIFS(
  tb_caixa[Saldo],
  tb_caixa[Empresa], $B304,
  tb_caixa[Dia], "&gt;="&amp;EDATE(V$1,1),
  tb_caixa[Dia], "&lt;"&amp;EOMONTH(V$1,1)+1
)
-V304</f>
        <v>-3036.6000000000004</v>
      </c>
      <c r="W277" s="183">
        <f>SUMIFS(
  tb_caixa[Saldo],
  tb_caixa[Empresa], $B304,
  tb_caixa[Dia], "&gt;="&amp;EDATE(W$1,1),
  tb_caixa[Dia], "&lt;"&amp;EOMONTH(W$1,1)+1
)
-W304</f>
        <v>0</v>
      </c>
      <c r="X277" s="183">
        <f>SUMIFS(
  tb_caixa[Saldo],
  tb_caixa[Empresa], $B304,
  tb_caixa[Dia], "&gt;="&amp;EDATE(X$1,1),
  tb_caixa[Dia], "&lt;"&amp;EOMONTH(X$1,1)+1
)
-X304</f>
        <v>0</v>
      </c>
      <c r="Y277" s="183">
        <f>SUMIFS(
  tb_caixa[Saldo],
  tb_caixa[Empresa], $B304,
  tb_caixa[Dia], "&gt;="&amp;EDATE(Y$1,1),
  tb_caixa[Dia], "&lt;"&amp;EOMONTH(Y$1,1)+1
)
-Y304</f>
        <v>0</v>
      </c>
      <c r="Z277" s="183">
        <f>SUMIFS(
  tb_caixa[Saldo],
  tb_caixa[Empresa], $B304,
  tb_caixa[Dia], "&gt;="&amp;EDATE(Z$1,1),
  tb_caixa[Dia], "&lt;"&amp;EOMONTH(Z$1,1)+1
)
-Z304</f>
        <v>0</v>
      </c>
      <c r="AA277" s="183">
        <f>SUMIFS(
  tb_caixa[Saldo],
  tb_caixa[Empresa], $B304,
  tb_caixa[Dia], "&gt;="&amp;EDATE(AA$1,1),
  tb_caixa[Dia], "&lt;"&amp;EOMONTH(AA$1,1)+1
)
-AA304</f>
        <v>0</v>
      </c>
      <c r="AC277" s="175">
        <f>SUM($D277:INDEX($D277:$AA277,1,MATCH(DATE(YEAR(inputs!$A$1),MONTH(inputs!$A$1),1),$D$1:$AA$1,0)))</f>
        <v>-25903.599999999999</v>
      </c>
      <c r="AE277" s="175">
        <f t="shared" si="55"/>
        <v>-25903.599999999999</v>
      </c>
    </row>
    <row r="278" spans="1:31" outlineLevel="1" x14ac:dyDescent="0.25">
      <c r="A278" s="302" t="str">
        <f t="shared" si="54"/>
        <v>4.LUC.</v>
      </c>
      <c r="B278" t="s">
        <v>10</v>
      </c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>
        <f>SUMIFS(
  tb_caixa[Saldo],
  tb_caixa[Empresa], $B305,
  tb_caixa[Dia], "&gt;="&amp;EDATE(P$1,1),
  tb_caixa[Dia], "&lt;"&amp;EOMONTH(P$1,1)+1
)
-P305</f>
        <v>63337.72</v>
      </c>
      <c r="Q278" s="183">
        <f>SUMIFS(
  tb_caixa[Saldo],
  tb_caixa[Empresa], $B305,
  tb_caixa[Dia], "&gt;="&amp;EDATE(Q$1,1),
  tb_caixa[Dia], "&lt;"&amp;EOMONTH(Q$1,1)+1
)
-Q305</f>
        <v>-124607.23999999999</v>
      </c>
      <c r="R278" s="183">
        <f>SUMIFS(
  tb_caixa[Saldo],
  tb_caixa[Empresa], $B305,
  tb_caixa[Dia], "&gt;="&amp;EDATE(R$1,1),
  tb_caixa[Dia], "&lt;"&amp;EOMONTH(R$1,1)+1
)
-R305</f>
        <v>3312.0999999999995</v>
      </c>
      <c r="S278" s="183">
        <f>SUMIFS(
  tb_caixa[Saldo],
  tb_caixa[Empresa], $B305,
  tb_caixa[Dia], "&gt;="&amp;EDATE(S$1,1),
  tb_caixa[Dia], "&lt;"&amp;EOMONTH(S$1,1)+1
)
-S305</f>
        <v>-11280.66</v>
      </c>
      <c r="T278" s="183">
        <f>SUMIFS(
  tb_caixa[Saldo],
  tb_caixa[Empresa], $B305,
  tb_caixa[Dia], "&gt;="&amp;EDATE(T$1,1),
  tb_caixa[Dia], "&lt;"&amp;EOMONTH(T$1,1)+1
)
-T305</f>
        <v>29461.620000000003</v>
      </c>
      <c r="U278" s="183">
        <f>SUMIFS(
  tb_caixa[Saldo],
  tb_caixa[Empresa], $B305,
  tb_caixa[Dia], "&gt;="&amp;EDATE(U$1,1),
  tb_caixa[Dia], "&lt;"&amp;EOMONTH(U$1,1)+1
)
-U305</f>
        <v>186595.62999999998</v>
      </c>
      <c r="V278" s="183">
        <f>SUMIFS(
  tb_caixa[Saldo],
  tb_caixa[Empresa], $B305,
  tb_caixa[Dia], "&gt;="&amp;EDATE(V$1,1),
  tb_caixa[Dia], "&lt;"&amp;EOMONTH(V$1,1)+1
)
-V305</f>
        <v>-6799.8499999999767</v>
      </c>
      <c r="W278" s="183">
        <f>SUMIFS(
  tb_caixa[Saldo],
  tb_caixa[Empresa], $B305,
  tb_caixa[Dia], "&gt;="&amp;EDATE(W$1,1),
  tb_caixa[Dia], "&lt;"&amp;EOMONTH(W$1,1)+1
)
-W305</f>
        <v>-68888.760000000009</v>
      </c>
      <c r="X278" s="183">
        <f>SUMIFS(
  tb_caixa[Saldo],
  tb_caixa[Empresa], $B305,
  tb_caixa[Dia], "&gt;="&amp;EDATE(X$1,1),
  tb_caixa[Dia], "&lt;"&amp;EOMONTH(X$1,1)+1
)
-X305</f>
        <v>-140026.29999999999</v>
      </c>
      <c r="Y278" s="183">
        <f>SUMIFS(
  tb_caixa[Saldo],
  tb_caixa[Empresa], $B305,
  tb_caixa[Dia], "&gt;="&amp;EDATE(Y$1,1),
  tb_caixa[Dia], "&lt;"&amp;EOMONTH(Y$1,1)+1
)
-Y305</f>
        <v>0</v>
      </c>
      <c r="Z278" s="183">
        <f>SUMIFS(
  tb_caixa[Saldo],
  tb_caixa[Empresa], $B305,
  tb_caixa[Dia], "&gt;="&amp;EDATE(Z$1,1),
  tb_caixa[Dia], "&lt;"&amp;EOMONTH(Z$1,1)+1
)
-Z305</f>
        <v>0</v>
      </c>
      <c r="AA278" s="183">
        <f>SUMIFS(
  tb_caixa[Saldo],
  tb_caixa[Empresa], $B305,
  tb_caixa[Dia], "&gt;="&amp;EDATE(AA$1,1),
  tb_caixa[Dia], "&lt;"&amp;EOMONTH(AA$1,1)+1
)
-AA305</f>
        <v>0</v>
      </c>
      <c r="AC278" s="175">
        <f>SUM($D278:INDEX($D278:$AA278,1,MATCH(DATE(YEAR(inputs!$A$1),MONTH(inputs!$A$1),1),$D$1:$AA$1,0)))</f>
        <v>71130.559999999998</v>
      </c>
      <c r="AE278" s="175">
        <f t="shared" si="55"/>
        <v>-68895.739999999991</v>
      </c>
    </row>
    <row r="279" spans="1:31" outlineLevel="1" x14ac:dyDescent="0.25">
      <c r="A279" s="302" t="str">
        <f t="shared" si="54"/>
        <v>4.LUG.</v>
      </c>
      <c r="B279" t="s">
        <v>793</v>
      </c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>
        <f>SUMIFS(
  tb_caixa[Saldo],
  tb_caixa[Empresa], $B306,
  tb_caixa[Dia], "&gt;="&amp;EDATE(P$1,1),
  tb_caixa[Dia], "&lt;"&amp;EOMONTH(P$1,1)+1
)
-P306</f>
        <v>293.73</v>
      </c>
      <c r="Q279" s="183">
        <f>SUMIFS(
  tb_caixa[Saldo],
  tb_caixa[Empresa], $B306,
  tb_caixa[Dia], "&gt;="&amp;EDATE(Q$1,1),
  tb_caixa[Dia], "&lt;"&amp;EOMONTH(Q$1,1)+1
)
-Q306</f>
        <v>673.21</v>
      </c>
      <c r="R279" s="183">
        <f>SUMIFS(
  tb_caixa[Saldo],
  tb_caixa[Empresa], $B306,
  tb_caixa[Dia], "&gt;="&amp;EDATE(R$1,1),
  tb_caixa[Dia], "&lt;"&amp;EOMONTH(R$1,1)+1
)
-R306</f>
        <v>-1507.88</v>
      </c>
      <c r="S279" s="183">
        <f>SUMIFS(
  tb_caixa[Saldo],
  tb_caixa[Empresa], $B306,
  tb_caixa[Dia], "&gt;="&amp;EDATE(S$1,1),
  tb_caixa[Dia], "&lt;"&amp;EOMONTH(S$1,1)+1
)
-S306</f>
        <v>229.76</v>
      </c>
      <c r="T279" s="183">
        <f>SUMIFS(
  tb_caixa[Saldo],
  tb_caixa[Empresa], $B306,
  tb_caixa[Dia], "&gt;="&amp;EDATE(T$1,1),
  tb_caixa[Dia], "&lt;"&amp;EOMONTH(T$1,1)+1
)
-T306</f>
        <v>532.26</v>
      </c>
      <c r="U279" s="183">
        <f>SUMIFS(
  tb_caixa[Saldo],
  tb_caixa[Empresa], $B306,
  tb_caixa[Dia], "&gt;="&amp;EDATE(U$1,1),
  tb_caixa[Dia], "&lt;"&amp;EOMONTH(U$1,1)+1
)
-U306</f>
        <v>2231.29</v>
      </c>
      <c r="V279" s="183">
        <f>SUMIFS(
  tb_caixa[Saldo],
  tb_caixa[Empresa], $B306,
  tb_caixa[Dia], "&gt;="&amp;EDATE(V$1,1),
  tb_caixa[Dia], "&lt;"&amp;EOMONTH(V$1,1)+1
)
-V306</f>
        <v>9081.15</v>
      </c>
      <c r="W279" s="183">
        <f>SUMIFS(
  tb_caixa[Saldo],
  tb_caixa[Empresa], $B306,
  tb_caixa[Dia], "&gt;="&amp;EDATE(W$1,1),
  tb_caixa[Dia], "&lt;"&amp;EOMONTH(W$1,1)+1
)
-W306</f>
        <v>-3403.58</v>
      </c>
      <c r="X279" s="183">
        <f>SUMIFS(
  tb_caixa[Saldo],
  tb_caixa[Empresa], $B306,
  tb_caixa[Dia], "&gt;="&amp;EDATE(X$1,1),
  tb_caixa[Dia], "&lt;"&amp;EOMONTH(X$1,1)+1
)
-X306</f>
        <v>-8897.24</v>
      </c>
      <c r="Y279" s="183">
        <f>SUMIFS(
  tb_caixa[Saldo],
  tb_caixa[Empresa], $B306,
  tb_caixa[Dia], "&gt;="&amp;EDATE(Y$1,1),
  tb_caixa[Dia], "&lt;"&amp;EOMONTH(Y$1,1)+1
)
-Y306</f>
        <v>0</v>
      </c>
      <c r="Z279" s="183">
        <f>SUMIFS(
  tb_caixa[Saldo],
  tb_caixa[Empresa], $B306,
  tb_caixa[Dia], "&gt;="&amp;EDATE(Z$1,1),
  tb_caixa[Dia], "&lt;"&amp;EOMONTH(Z$1,1)+1
)
-Z306</f>
        <v>0</v>
      </c>
      <c r="AA279" s="183">
        <f>SUMIFS(
  tb_caixa[Saldo],
  tb_caixa[Empresa], $B306,
  tb_caixa[Dia], "&gt;="&amp;EDATE(AA$1,1),
  tb_caixa[Dia], "&lt;"&amp;EOMONTH(AA$1,1)+1
)
-AA306</f>
        <v>0</v>
      </c>
      <c r="AC279" s="175">
        <f>SUM($D279:INDEX($D279:$AA279,1,MATCH(DATE(YEAR(inputs!$A$1),MONTH(inputs!$A$1),1),$D$1:$AA$1,0)))</f>
        <v>8129.9400000000005</v>
      </c>
      <c r="AE279" s="175">
        <f t="shared" si="55"/>
        <v>-767.29999999999927</v>
      </c>
    </row>
    <row r="280" spans="1:31" outlineLevel="1" x14ac:dyDescent="0.25">
      <c r="A280" s="302" t="str">
        <f t="shared" si="54"/>
        <v>4.POM.</v>
      </c>
      <c r="B280" t="s">
        <v>11</v>
      </c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>
        <f>SUMIFS(
  tb_caixa[Saldo],
  tb_caixa[Empresa], $B307,
  tb_caixa[Dia], "&gt;="&amp;EDATE(P$1,1),
  tb_caixa[Dia], "&lt;"&amp;EOMONTH(P$1,1)+1
)
-P307</f>
        <v>41.930000000000064</v>
      </c>
      <c r="Q280" s="183">
        <f>SUMIFS(
  tb_caixa[Saldo],
  tb_caixa[Empresa], $B307,
  tb_caixa[Dia], "&gt;="&amp;EDATE(Q$1,1),
  tb_caixa[Dia], "&lt;"&amp;EOMONTH(Q$1,1)+1
)
-Q307</f>
        <v>68255.06</v>
      </c>
      <c r="R280" s="183">
        <f>SUMIFS(
  tb_caixa[Saldo],
  tb_caixa[Empresa], $B307,
  tb_caixa[Dia], "&gt;="&amp;EDATE(R$1,1),
  tb_caixa[Dia], "&lt;"&amp;EOMONTH(R$1,1)+1
)
-R307</f>
        <v>133420.24999999997</v>
      </c>
      <c r="S280" s="183">
        <f>SUMIFS(
  tb_caixa[Saldo],
  tb_caixa[Empresa], $B307,
  tb_caixa[Dia], "&gt;="&amp;EDATE(S$1,1),
  tb_caixa[Dia], "&lt;"&amp;EOMONTH(S$1,1)+1
)
-S307</f>
        <v>-194101.82999999996</v>
      </c>
      <c r="T280" s="183">
        <f>SUMIFS(
  tb_caixa[Saldo],
  tb_caixa[Empresa], $B307,
  tb_caixa[Dia], "&gt;="&amp;EDATE(T$1,1),
  tb_caixa[Dia], "&lt;"&amp;EOMONTH(T$1,1)+1
)
-T307</f>
        <v>887425.2</v>
      </c>
      <c r="U280" s="183">
        <f>SUMIFS(
  tb_caixa[Saldo],
  tb_caixa[Empresa], $B307,
  tb_caixa[Dia], "&gt;="&amp;EDATE(U$1,1),
  tb_caixa[Dia], "&lt;"&amp;EOMONTH(U$1,1)+1
)
-U307</f>
        <v>-597445.57999999996</v>
      </c>
      <c r="V280" s="183">
        <f>SUMIFS(
  tb_caixa[Saldo],
  tb_caixa[Empresa], $B307,
  tb_caixa[Dia], "&gt;="&amp;EDATE(V$1,1),
  tb_caixa[Dia], "&lt;"&amp;EOMONTH(V$1,1)+1
)
-V307</f>
        <v>98661.88</v>
      </c>
      <c r="W280" s="183">
        <f>SUMIFS(
  tb_caixa[Saldo],
  tb_caixa[Empresa], $B307,
  tb_caixa[Dia], "&gt;="&amp;EDATE(W$1,1),
  tb_caixa[Dia], "&lt;"&amp;EOMONTH(W$1,1)+1
)
-W307</f>
        <v>60969.589999999967</v>
      </c>
      <c r="X280" s="183">
        <f>SUMIFS(
  tb_caixa[Saldo],
  tb_caixa[Empresa], $B307,
  tb_caixa[Dia], "&gt;="&amp;EDATE(X$1,1),
  tb_caixa[Dia], "&lt;"&amp;EOMONTH(X$1,1)+1
)
-X307</f>
        <v>-458042.94999999995</v>
      </c>
      <c r="Y280" s="183">
        <f>SUMIFS(
  tb_caixa[Saldo],
  tb_caixa[Empresa], $B307,
  tb_caixa[Dia], "&gt;="&amp;EDATE(Y$1,1),
  tb_caixa[Dia], "&lt;"&amp;EOMONTH(Y$1,1)+1
)
-Y307</f>
        <v>0</v>
      </c>
      <c r="Z280" s="183">
        <f>SUMIFS(
  tb_caixa[Saldo],
  tb_caixa[Empresa], $B307,
  tb_caixa[Dia], "&gt;="&amp;EDATE(Z$1,1),
  tb_caixa[Dia], "&lt;"&amp;EOMONTH(Z$1,1)+1
)
-Z307</f>
        <v>0</v>
      </c>
      <c r="AA280" s="183">
        <f>SUMIFS(
  tb_caixa[Saldo],
  tb_caixa[Empresa], $B307,
  tb_caixa[Dia], "&gt;="&amp;EDATE(AA$1,1),
  tb_caixa[Dia], "&lt;"&amp;EOMONTH(AA$1,1)+1
)
-AA307</f>
        <v>0</v>
      </c>
      <c r="AC280" s="175">
        <f>SUM($D280:INDEX($D280:$AA280,1,MATCH(DATE(YEAR(inputs!$A$1),MONTH(inputs!$A$1),1),$D$1:$AA$1,0)))</f>
        <v>457226.5</v>
      </c>
      <c r="AE280" s="175">
        <f t="shared" si="55"/>
        <v>-816.44999999995343</v>
      </c>
    </row>
    <row r="281" spans="1:31" outlineLevel="1" x14ac:dyDescent="0.25">
      <c r="A281" s="302" t="str">
        <f t="shared" si="54"/>
        <v>4.SAU.</v>
      </c>
      <c r="B281" t="s">
        <v>465</v>
      </c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>
        <f>SUMIFS(
  tb_caixa[Saldo],
  tb_caixa[Empresa], $B308,
  tb_caixa[Dia], "&gt;="&amp;EDATE(P$1,1),
  tb_caixa[Dia], "&lt;"&amp;EOMONTH(P$1,1)+1
)
-P308</f>
        <v>-147643.87</v>
      </c>
      <c r="Q281" s="183">
        <f>SUMIFS(
  tb_caixa[Saldo],
  tb_caixa[Empresa], $B308,
  tb_caixa[Dia], "&gt;="&amp;EDATE(Q$1,1),
  tb_caixa[Dia], "&lt;"&amp;EOMONTH(Q$1,1)+1
)
-Q308</f>
        <v>-43668.22</v>
      </c>
      <c r="R281" s="183">
        <f>SUMIFS(
  tb_caixa[Saldo],
  tb_caixa[Empresa], $B308,
  tb_caixa[Dia], "&gt;="&amp;EDATE(R$1,1),
  tb_caixa[Dia], "&lt;"&amp;EOMONTH(R$1,1)+1
)
-R308</f>
        <v>6764.3499999999995</v>
      </c>
      <c r="S281" s="183">
        <f>SUMIFS(
  tb_caixa[Saldo],
  tb_caixa[Empresa], $B308,
  tb_caixa[Dia], "&gt;="&amp;EDATE(S$1,1),
  tb_caixa[Dia], "&lt;"&amp;EOMONTH(S$1,1)+1
)
-S308</f>
        <v>-7222.6699999999992</v>
      </c>
      <c r="T281" s="183">
        <f>SUMIFS(
  tb_caixa[Saldo],
  tb_caixa[Empresa], $B308,
  tb_caixa[Dia], "&gt;="&amp;EDATE(T$1,1),
  tb_caixa[Dia], "&lt;"&amp;EOMONTH(T$1,1)+1
)
-T308</f>
        <v>208512.48</v>
      </c>
      <c r="U281" s="183">
        <f>SUMIFS(
  tb_caixa[Saldo],
  tb_caixa[Empresa], $B308,
  tb_caixa[Dia], "&gt;="&amp;EDATE(U$1,1),
  tb_caixa[Dia], "&lt;"&amp;EOMONTH(U$1,1)+1
)
-U308</f>
        <v>175869.34000000003</v>
      </c>
      <c r="V281" s="183">
        <f>SUMIFS(
  tb_caixa[Saldo],
  tb_caixa[Empresa], $B308,
  tb_caixa[Dia], "&gt;="&amp;EDATE(V$1,1),
  tb_caixa[Dia], "&lt;"&amp;EOMONTH(V$1,1)+1
)
-V308</f>
        <v>-280690.27</v>
      </c>
      <c r="W281" s="183">
        <f>SUMIFS(
  tb_caixa[Saldo],
  tb_caixa[Empresa], $B308,
  tb_caixa[Dia], "&gt;="&amp;EDATE(W$1,1),
  tb_caixa[Dia], "&lt;"&amp;EOMONTH(W$1,1)+1
)
-W308</f>
        <v>-84407.670000000013</v>
      </c>
      <c r="X281" s="183">
        <f>SUMIFS(
  tb_caixa[Saldo],
  tb_caixa[Empresa], $B308,
  tb_caixa[Dia], "&gt;="&amp;EDATE(X$1,1),
  tb_caixa[Dia], "&lt;"&amp;EOMONTH(X$1,1)+1
)
-X308</f>
        <v>-21334.84</v>
      </c>
      <c r="Y281" s="183">
        <f>SUMIFS(
  tb_caixa[Saldo],
  tb_caixa[Empresa], $B308,
  tb_caixa[Dia], "&gt;="&amp;EDATE(Y$1,1),
  tb_caixa[Dia], "&lt;"&amp;EOMONTH(Y$1,1)+1
)
-Y308</f>
        <v>0</v>
      </c>
      <c r="Z281" s="183">
        <f>SUMIFS(
  tb_caixa[Saldo],
  tb_caixa[Empresa], $B308,
  tb_caixa[Dia], "&gt;="&amp;EDATE(Z$1,1),
  tb_caixa[Dia], "&lt;"&amp;EOMONTH(Z$1,1)+1
)
-Z308</f>
        <v>0</v>
      </c>
      <c r="AA281" s="183">
        <f>SUMIFS(
  tb_caixa[Saldo],
  tb_caixa[Empresa], $B308,
  tb_caixa[Dia], "&gt;="&amp;EDATE(AA$1,1),
  tb_caixa[Dia], "&lt;"&amp;EOMONTH(AA$1,1)+1
)
-AA308</f>
        <v>0</v>
      </c>
      <c r="AC281" s="175">
        <f>SUM($D281:INDEX($D281:$AA281,1,MATCH(DATE(YEAR(inputs!$A$1),MONTH(inputs!$A$1),1),$D$1:$AA$1,0)))</f>
        <v>-172486.53</v>
      </c>
      <c r="AE281" s="175">
        <f t="shared" si="55"/>
        <v>-193821.37</v>
      </c>
    </row>
    <row r="282" spans="1:31" outlineLevel="1" x14ac:dyDescent="0.25">
      <c r="A282" s="302" t="str">
        <f t="shared" si="54"/>
        <v>4.SBB.</v>
      </c>
      <c r="B282" t="s">
        <v>678</v>
      </c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>
        <f>SUMIFS(
  tb_caixa[Saldo],
  tb_caixa[Empresa], $B309,
  tb_caixa[Dia], "&gt;="&amp;EDATE(P$1,1),
  tb_caixa[Dia], "&lt;"&amp;EOMONTH(P$1,1)+1
)
-P309</f>
        <v>-5005.28</v>
      </c>
      <c r="Q282" s="183">
        <f>SUMIFS(
  tb_caixa[Saldo],
  tb_caixa[Empresa], $B309,
  tb_caixa[Dia], "&gt;="&amp;EDATE(Q$1,1),
  tb_caixa[Dia], "&lt;"&amp;EOMONTH(Q$1,1)+1
)
-Q309</f>
        <v>-101.18</v>
      </c>
      <c r="R282" s="183">
        <f>SUMIFS(
  tb_caixa[Saldo],
  tb_caixa[Empresa], $B309,
  tb_caixa[Dia], "&gt;="&amp;EDATE(R$1,1),
  tb_caixa[Dia], "&lt;"&amp;EOMONTH(R$1,1)+1
)
-R309</f>
        <v>998.81</v>
      </c>
      <c r="S282" s="183">
        <f>SUMIFS(
  tb_caixa[Saldo],
  tb_caixa[Empresa], $B309,
  tb_caixa[Dia], "&gt;="&amp;EDATE(S$1,1),
  tb_caixa[Dia], "&lt;"&amp;EOMONTH(S$1,1)+1
)
-S309</f>
        <v>-987.06999999999994</v>
      </c>
      <c r="T282" s="183">
        <f>SUMIFS(
  tb_caixa[Saldo],
  tb_caixa[Empresa], $B309,
  tb_caixa[Dia], "&gt;="&amp;EDATE(T$1,1),
  tb_caixa[Dia], "&lt;"&amp;EOMONTH(T$1,1)+1
)
-T309</f>
        <v>1187.9100000000001</v>
      </c>
      <c r="U282" s="183">
        <f>SUMIFS(
  tb_caixa[Saldo],
  tb_caixa[Empresa], $B309,
  tb_caixa[Dia], "&gt;="&amp;EDATE(U$1,1),
  tb_caixa[Dia], "&lt;"&amp;EOMONTH(U$1,1)+1
)
-U309</f>
        <v>7063.0599999999995</v>
      </c>
      <c r="V282" s="183">
        <f>SUMIFS(
  tb_caixa[Saldo],
  tb_caixa[Empresa], $B309,
  tb_caixa[Dia], "&gt;="&amp;EDATE(V$1,1),
  tb_caixa[Dia], "&lt;"&amp;EOMONTH(V$1,1)+1
)
-V309</f>
        <v>107.07999999999993</v>
      </c>
      <c r="W282" s="183">
        <f>SUMIFS(
  tb_caixa[Saldo],
  tb_caixa[Empresa], $B309,
  tb_caixa[Dia], "&gt;="&amp;EDATE(W$1,1),
  tb_caixa[Dia], "&lt;"&amp;EOMONTH(W$1,1)+1
)
-W309</f>
        <v>10138.1</v>
      </c>
      <c r="X282" s="183">
        <f>SUMIFS(
  tb_caixa[Saldo],
  tb_caixa[Empresa], $B309,
  tb_caixa[Dia], "&gt;="&amp;EDATE(X$1,1),
  tb_caixa[Dia], "&lt;"&amp;EOMONTH(X$1,1)+1
)
-X309</f>
        <v>-18755.18</v>
      </c>
      <c r="Y282" s="183">
        <f>SUMIFS(
  tb_caixa[Saldo],
  tb_caixa[Empresa], $B309,
  tb_caixa[Dia], "&gt;="&amp;EDATE(Y$1,1),
  tb_caixa[Dia], "&lt;"&amp;EOMONTH(Y$1,1)+1
)
-Y309</f>
        <v>0</v>
      </c>
      <c r="Z282" s="183">
        <f>SUMIFS(
  tb_caixa[Saldo],
  tb_caixa[Empresa], $B309,
  tb_caixa[Dia], "&gt;="&amp;EDATE(Z$1,1),
  tb_caixa[Dia], "&lt;"&amp;EOMONTH(Z$1,1)+1
)
-Z309</f>
        <v>0</v>
      </c>
      <c r="AA282" s="183">
        <f>SUMIFS(
  tb_caixa[Saldo],
  tb_caixa[Empresa], $B309,
  tb_caixa[Dia], "&gt;="&amp;EDATE(AA$1,1),
  tb_caixa[Dia], "&lt;"&amp;EOMONTH(AA$1,1)+1
)
-AA309</f>
        <v>0</v>
      </c>
      <c r="AC282" s="175">
        <f>SUM($D282:INDEX($D282:$AA282,1,MATCH(DATE(YEAR(inputs!$A$1),MONTH(inputs!$A$1),1),$D$1:$AA$1,0)))</f>
        <v>13401.43</v>
      </c>
      <c r="AE282" s="175">
        <f t="shared" si="55"/>
        <v>-5353.75</v>
      </c>
    </row>
    <row r="283" spans="1:31" outlineLevel="1" x14ac:dyDescent="0.25">
      <c r="A283" s="302" t="str">
        <f t="shared" si="54"/>
        <v>4.SN2.</v>
      </c>
      <c r="B283" t="s">
        <v>12</v>
      </c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>
        <f>SUMIFS(
  tb_caixa[Saldo],
  tb_caixa[Empresa], $B310,
  tb_caixa[Dia], "&gt;="&amp;EDATE(P$1,1),
  tb_caixa[Dia], "&lt;"&amp;EOMONTH(P$1,1)+1
)
-P310</f>
        <v>-1384097.96</v>
      </c>
      <c r="Q283" s="183">
        <f>SUMIFS(
  tb_caixa[Saldo],
  tb_caixa[Empresa], $B310,
  tb_caixa[Dia], "&gt;="&amp;EDATE(Q$1,1),
  tb_caixa[Dia], "&lt;"&amp;EOMONTH(Q$1,1)+1
)
-Q310</f>
        <v>-68473.510000000009</v>
      </c>
      <c r="R283" s="183">
        <f>SUMIFS(
  tb_caixa[Saldo],
  tb_caixa[Empresa], $B310,
  tb_caixa[Dia], "&gt;="&amp;EDATE(R$1,1),
  tb_caixa[Dia], "&lt;"&amp;EOMONTH(R$1,1)+1
)
-R310</f>
        <v>1480032.7599999998</v>
      </c>
      <c r="S283" s="183">
        <f>SUMIFS(
  tb_caixa[Saldo],
  tb_caixa[Empresa], $B310,
  tb_caixa[Dia], "&gt;="&amp;EDATE(S$1,1),
  tb_caixa[Dia], "&lt;"&amp;EOMONTH(S$1,1)+1
)
-S310</f>
        <v>-1488953.21</v>
      </c>
      <c r="T283" s="183">
        <f>SUMIFS(
  tb_caixa[Saldo],
  tb_caixa[Empresa], $B310,
  tb_caixa[Dia], "&gt;="&amp;EDATE(T$1,1),
  tb_caixa[Dia], "&lt;"&amp;EOMONTH(T$1,1)+1
)
-T310</f>
        <v>22256.510000000002</v>
      </c>
      <c r="U283" s="183">
        <f>SUMIFS(
  tb_caixa[Saldo],
  tb_caixa[Empresa], $B310,
  tb_caixa[Dia], "&gt;="&amp;EDATE(U$1,1),
  tb_caixa[Dia], "&lt;"&amp;EOMONTH(U$1,1)+1
)
-U310</f>
        <v>54733.51</v>
      </c>
      <c r="V283" s="183">
        <f>SUMIFS(
  tb_caixa[Saldo],
  tb_caixa[Empresa], $B310,
  tb_caixa[Dia], "&gt;="&amp;EDATE(V$1,1),
  tb_caixa[Dia], "&lt;"&amp;EOMONTH(V$1,1)+1
)
-V310</f>
        <v>2269810.85</v>
      </c>
      <c r="W283" s="183">
        <f>SUMIFS(
  tb_caixa[Saldo],
  tb_caixa[Empresa], $B310,
  tb_caixa[Dia], "&gt;="&amp;EDATE(W$1,1),
  tb_caixa[Dia], "&lt;"&amp;EOMONTH(W$1,1)+1
)
-W310</f>
        <v>-2291160.94</v>
      </c>
      <c r="X283" s="183">
        <f>SUMIFS(
  tb_caixa[Saldo],
  tb_caixa[Empresa], $B310,
  tb_caixa[Dia], "&gt;="&amp;EDATE(X$1,1),
  tb_caixa[Dia], "&lt;"&amp;EOMONTH(X$1,1)+1
)
-X310</f>
        <v>-49192.1</v>
      </c>
      <c r="Y283" s="183">
        <f>SUMIFS(
  tb_caixa[Saldo],
  tb_caixa[Empresa], $B310,
  tb_caixa[Dia], "&gt;="&amp;EDATE(Y$1,1),
  tb_caixa[Dia], "&lt;"&amp;EOMONTH(Y$1,1)+1
)
-Y310</f>
        <v>0</v>
      </c>
      <c r="Z283" s="183">
        <f>SUMIFS(
  tb_caixa[Saldo],
  tb_caixa[Empresa], $B310,
  tb_caixa[Dia], "&gt;="&amp;EDATE(Z$1,1),
  tb_caixa[Dia], "&lt;"&amp;EOMONTH(Z$1,1)+1
)
-Z310</f>
        <v>0</v>
      </c>
      <c r="AA283" s="183">
        <f>SUMIFS(
  tb_caixa[Saldo],
  tb_caixa[Empresa], $B310,
  tb_caixa[Dia], "&gt;="&amp;EDATE(AA$1,1),
  tb_caixa[Dia], "&lt;"&amp;EOMONTH(AA$1,1)+1
)
-AA310</f>
        <v>0</v>
      </c>
      <c r="AC283" s="175">
        <f>SUM($D283:INDEX($D283:$AA283,1,MATCH(DATE(YEAR(inputs!$A$1),MONTH(inputs!$A$1),1),$D$1:$AA$1,0)))</f>
        <v>-1405851.99</v>
      </c>
      <c r="AE283" s="175">
        <f t="shared" si="55"/>
        <v>-1455044.09</v>
      </c>
    </row>
    <row r="284" spans="1:31" outlineLevel="1" x14ac:dyDescent="0.25">
      <c r="A284" s="302" t="str">
        <f t="shared" si="54"/>
        <v>4.SN4.</v>
      </c>
      <c r="B284" t="s">
        <v>13</v>
      </c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>
        <f>SUMIFS(
  tb_caixa[Saldo],
  tb_caixa[Empresa], $B311,
  tb_caixa[Dia], "&gt;="&amp;EDATE(P$1,1),
  tb_caixa[Dia], "&lt;"&amp;EOMONTH(P$1,1)+1
)
-P311</f>
        <v>3086.91</v>
      </c>
      <c r="Q284" s="183">
        <f>SUMIFS(
  tb_caixa[Saldo],
  tb_caixa[Empresa], $B311,
  tb_caixa[Dia], "&gt;="&amp;EDATE(Q$1,1),
  tb_caixa[Dia], "&lt;"&amp;EOMONTH(Q$1,1)+1
)
-Q311</f>
        <v>-5188.6200000000008</v>
      </c>
      <c r="R284" s="183">
        <f>SUMIFS(
  tb_caixa[Saldo],
  tb_caixa[Empresa], $B311,
  tb_caixa[Dia], "&gt;="&amp;EDATE(R$1,1),
  tb_caixa[Dia], "&lt;"&amp;EOMONTH(R$1,1)+1
)
-R311</f>
        <v>1001841.42</v>
      </c>
      <c r="S284" s="183">
        <f>SUMIFS(
  tb_caixa[Saldo],
  tb_caixa[Empresa], $B311,
  tb_caixa[Dia], "&gt;="&amp;EDATE(S$1,1),
  tb_caixa[Dia], "&lt;"&amp;EOMONTH(S$1,1)+1
)
-S311</f>
        <v>-1004689.5900000001</v>
      </c>
      <c r="T284" s="183">
        <f>SUMIFS(
  tb_caixa[Saldo],
  tb_caixa[Empresa], $B311,
  tb_caixa[Dia], "&gt;="&amp;EDATE(T$1,1),
  tb_caixa[Dia], "&lt;"&amp;EOMONTH(T$1,1)+1
)
-T311</f>
        <v>438733.03</v>
      </c>
      <c r="U284" s="183">
        <f>SUMIFS(
  tb_caixa[Saldo],
  tb_caixa[Empresa], $B311,
  tb_caixa[Dia], "&gt;="&amp;EDATE(U$1,1),
  tb_caixa[Dia], "&lt;"&amp;EOMONTH(U$1,1)+1
)
-U311</f>
        <v>-250229.28</v>
      </c>
      <c r="V284" s="183">
        <f>SUMIFS(
  tb_caixa[Saldo],
  tb_caixa[Empresa], $B311,
  tb_caixa[Dia], "&gt;="&amp;EDATE(V$1,1),
  tb_caixa[Dia], "&lt;"&amp;EOMONTH(V$1,1)+1
)
-V311</f>
        <v>1197944.49</v>
      </c>
      <c r="W284" s="183">
        <f>SUMIFS(
  tb_caixa[Saldo],
  tb_caixa[Empresa], $B311,
  tb_caixa[Dia], "&gt;="&amp;EDATE(W$1,1),
  tb_caixa[Dia], "&lt;"&amp;EOMONTH(W$1,1)+1
)
-W311</f>
        <v>-1208864.6099999999</v>
      </c>
      <c r="X284" s="183">
        <f>SUMIFS(
  tb_caixa[Saldo],
  tb_caixa[Empresa], $B311,
  tb_caixa[Dia], "&gt;="&amp;EDATE(X$1,1),
  tb_caixa[Dia], "&lt;"&amp;EOMONTH(X$1,1)+1
)
-X311</f>
        <v>-179329.6</v>
      </c>
      <c r="Y284" s="183">
        <f>SUMIFS(
  tb_caixa[Saldo],
  tb_caixa[Empresa], $B311,
  tb_caixa[Dia], "&gt;="&amp;EDATE(Y$1,1),
  tb_caixa[Dia], "&lt;"&amp;EOMONTH(Y$1,1)+1
)
-Y311</f>
        <v>0</v>
      </c>
      <c r="Z284" s="183">
        <f>SUMIFS(
  tb_caixa[Saldo],
  tb_caixa[Empresa], $B311,
  tb_caixa[Dia], "&gt;="&amp;EDATE(Z$1,1),
  tb_caixa[Dia], "&lt;"&amp;EOMONTH(Z$1,1)+1
)
-Z311</f>
        <v>0</v>
      </c>
      <c r="AA284" s="183">
        <f>SUMIFS(
  tb_caixa[Saldo],
  tb_caixa[Empresa], $B311,
  tb_caixa[Dia], "&gt;="&amp;EDATE(AA$1,1),
  tb_caixa[Dia], "&lt;"&amp;EOMONTH(AA$1,1)+1
)
-AA311</f>
        <v>0</v>
      </c>
      <c r="AC284" s="175">
        <f>SUM($D284:INDEX($D284:$AA284,1,MATCH(DATE(YEAR(inputs!$A$1),MONTH(inputs!$A$1),1),$D$1:$AA$1,0)))</f>
        <v>172633.75000000023</v>
      </c>
      <c r="AE284" s="175">
        <f t="shared" si="55"/>
        <v>-6695.849999999773</v>
      </c>
    </row>
    <row r="285" spans="1:31" outlineLevel="1" x14ac:dyDescent="0.25">
      <c r="A285" s="302" t="str">
        <f t="shared" si="54"/>
        <v>4.SOC.</v>
      </c>
      <c r="B285" t="s">
        <v>804</v>
      </c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>
        <f>SUMIFS(
  tb_caixa[Saldo],
  tb_caixa[Empresa], $B312,
  tb_caixa[Dia], "&gt;="&amp;EDATE(P$1,1),
  tb_caixa[Dia], "&lt;"&amp;EOMONTH(P$1,1)+1
)
-P312</f>
        <v>-155.43</v>
      </c>
      <c r="Q285" s="183">
        <f>SUMIFS(
  tb_caixa[Saldo],
  tb_caixa[Empresa], $B312,
  tb_caixa[Dia], "&gt;="&amp;EDATE(Q$1,1),
  tb_caixa[Dia], "&lt;"&amp;EOMONTH(Q$1,1)+1
)
-Q312</f>
        <v>-63.05</v>
      </c>
      <c r="R285" s="183">
        <f>SUMIFS(
  tb_caixa[Saldo],
  tb_caixa[Empresa], $B312,
  tb_caixa[Dia], "&gt;="&amp;EDATE(R$1,1),
  tb_caixa[Dia], "&lt;"&amp;EOMONTH(R$1,1)+1
)
-R312</f>
        <v>1865.08</v>
      </c>
      <c r="S285" s="183">
        <f>SUMIFS(
  tb_caixa[Saldo],
  tb_caixa[Empresa], $B312,
  tb_caixa[Dia], "&gt;="&amp;EDATE(S$1,1),
  tb_caixa[Dia], "&lt;"&amp;EOMONTH(S$1,1)+1
)
-S312</f>
        <v>-916.18999999999994</v>
      </c>
      <c r="T285" s="183">
        <f>SUMIFS(
  tb_caixa[Saldo],
  tb_caixa[Empresa], $B312,
  tb_caixa[Dia], "&gt;="&amp;EDATE(T$1,1),
  tb_caixa[Dia], "&lt;"&amp;EOMONTH(T$1,1)+1
)
-T312</f>
        <v>-630.23</v>
      </c>
      <c r="U285" s="183">
        <f>SUMIFS(
  tb_caixa[Saldo],
  tb_caixa[Empresa], $B312,
  tb_caixa[Dia], "&gt;="&amp;EDATE(U$1,1),
  tb_caixa[Dia], "&lt;"&amp;EOMONTH(U$1,1)+1
)
-U312</f>
        <v>18372.849999999999</v>
      </c>
      <c r="V285" s="183">
        <f>SUMIFS(
  tb_caixa[Saldo],
  tb_caixa[Empresa], $B312,
  tb_caixa[Dia], "&gt;="&amp;EDATE(V$1,1),
  tb_caixa[Dia], "&lt;"&amp;EOMONTH(V$1,1)+1
)
-V312</f>
        <v>-1626.9599999999991</v>
      </c>
      <c r="W285" s="183">
        <f>SUMIFS(
  tb_caixa[Saldo],
  tb_caixa[Empresa], $B312,
  tb_caixa[Dia], "&gt;="&amp;EDATE(W$1,1),
  tb_caixa[Dia], "&lt;"&amp;EOMONTH(W$1,1)+1
)
-W312</f>
        <v>-1625.17</v>
      </c>
      <c r="X285" s="183">
        <f>SUMIFS(
  tb_caixa[Saldo],
  tb_caixa[Empresa], $B312,
  tb_caixa[Dia], "&gt;="&amp;EDATE(X$1,1),
  tb_caixa[Dia], "&lt;"&amp;EOMONTH(X$1,1)+1
)
-X312</f>
        <v>-15439.38</v>
      </c>
      <c r="Y285" s="183">
        <f>SUMIFS(
  tb_caixa[Saldo],
  tb_caixa[Empresa], $B312,
  tb_caixa[Dia], "&gt;="&amp;EDATE(Y$1,1),
  tb_caixa[Dia], "&lt;"&amp;EOMONTH(Y$1,1)+1
)
-Y312</f>
        <v>0</v>
      </c>
      <c r="Z285" s="183">
        <f>SUMIFS(
  tb_caixa[Saldo],
  tb_caixa[Empresa], $B312,
  tb_caixa[Dia], "&gt;="&amp;EDATE(Z$1,1),
  tb_caixa[Dia], "&lt;"&amp;EOMONTH(Z$1,1)+1
)
-Z312</f>
        <v>0</v>
      </c>
      <c r="AA285" s="183">
        <f>SUMIFS(
  tb_caixa[Saldo],
  tb_caixa[Empresa], $B312,
  tb_caixa[Dia], "&gt;="&amp;EDATE(AA$1,1),
  tb_caixa[Dia], "&lt;"&amp;EOMONTH(AA$1,1)+1
)
-AA312</f>
        <v>0</v>
      </c>
      <c r="AC285" s="175">
        <f>SUM($D285:INDEX($D285:$AA285,1,MATCH(DATE(YEAR(inputs!$A$1),MONTH(inputs!$A$1),1),$D$1:$AA$1,0)))</f>
        <v>15220.9</v>
      </c>
      <c r="AE285" s="175">
        <f t="shared" si="55"/>
        <v>-218.47999999999956</v>
      </c>
    </row>
    <row r="286" spans="1:31" outlineLevel="1" x14ac:dyDescent="0.25">
      <c r="A286" s="302" t="str">
        <f t="shared" ref="A286" si="56">"4."&amp;B286&amp;"."</f>
        <v>4.USL.</v>
      </c>
      <c r="B286" t="s">
        <v>729</v>
      </c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>
        <f>SUMIFS(
  tb_caixa[Saldo],
  tb_caixa[Empresa], $B313,
  tb_caixa[Dia], "&gt;="&amp;EDATE(P$1,1),
  tb_caixa[Dia], "&lt;"&amp;EOMONTH(P$1,1)+1
)
-P313</f>
        <v>-33734.229999999996</v>
      </c>
      <c r="Q286" s="183">
        <f>SUMIFS(
  tb_caixa[Saldo],
  tb_caixa[Empresa], $B313,
  tb_caixa[Dia], "&gt;="&amp;EDATE(Q$1,1),
  tb_caixa[Dia], "&lt;"&amp;EOMONTH(Q$1,1)+1
)
-Q313</f>
        <v>5955.3899999999994</v>
      </c>
      <c r="R286" s="183">
        <f>SUMIFS(
  tb_caixa[Saldo],
  tb_caixa[Empresa], $B313,
  tb_caixa[Dia], "&gt;="&amp;EDATE(R$1,1),
  tb_caixa[Dia], "&lt;"&amp;EOMONTH(R$1,1)+1
)
-R313</f>
        <v>-8347.86</v>
      </c>
      <c r="S286" s="183">
        <f>SUMIFS(
  tb_caixa[Saldo],
  tb_caixa[Empresa], $B313,
  tb_caixa[Dia], "&gt;="&amp;EDATE(S$1,1),
  tb_caixa[Dia], "&lt;"&amp;EOMONTH(S$1,1)+1
)
-S313</f>
        <v>21823.64</v>
      </c>
      <c r="T286" s="183">
        <f>SUMIFS(
  tb_caixa[Saldo],
  tb_caixa[Empresa], $B313,
  tb_caixa[Dia], "&gt;="&amp;EDATE(T$1,1),
  tb_caixa[Dia], "&lt;"&amp;EOMONTH(T$1,1)+1
)
-T313</f>
        <v>22475.410000000003</v>
      </c>
      <c r="U286" s="183">
        <f>SUMIFS(
  tb_caixa[Saldo],
  tb_caixa[Empresa], $B313,
  tb_caixa[Dia], "&gt;="&amp;EDATE(U$1,1),
  tb_caixa[Dia], "&lt;"&amp;EOMONTH(U$1,1)+1
)
-U313</f>
        <v>23787.22</v>
      </c>
      <c r="V286" s="183">
        <f>SUMIFS(
  tb_caixa[Saldo],
  tb_caixa[Empresa], $B313,
  tb_caixa[Dia], "&gt;="&amp;EDATE(V$1,1),
  tb_caixa[Dia], "&lt;"&amp;EOMONTH(V$1,1)+1
)
-V313</f>
        <v>24977.839999999997</v>
      </c>
      <c r="W286" s="183">
        <f>SUMIFS(
  tb_caixa[Saldo],
  tb_caixa[Empresa], $B313,
  tb_caixa[Dia], "&gt;="&amp;EDATE(W$1,1),
  tb_caixa[Dia], "&lt;"&amp;EOMONTH(W$1,1)+1
)
-W313</f>
        <v>23346.22</v>
      </c>
      <c r="X286" s="183">
        <f>SUMIFS(
  tb_caixa[Saldo],
  tb_caixa[Empresa], $B313,
  tb_caixa[Dia], "&gt;="&amp;EDATE(X$1,1),
  tb_caixa[Dia], "&lt;"&amp;EOMONTH(X$1,1)+1
)
-X313</f>
        <v>-123940.22</v>
      </c>
      <c r="Y286" s="183">
        <f>SUMIFS(
  tb_caixa[Saldo],
  tb_caixa[Empresa], $B313,
  tb_caixa[Dia], "&gt;="&amp;EDATE(Y$1,1),
  tb_caixa[Dia], "&lt;"&amp;EOMONTH(Y$1,1)+1
)
-Y313</f>
        <v>0</v>
      </c>
      <c r="Z286" s="183">
        <f>SUMIFS(
  tb_caixa[Saldo],
  tb_caixa[Empresa], $B313,
  tb_caixa[Dia], "&gt;="&amp;EDATE(Z$1,1),
  tb_caixa[Dia], "&lt;"&amp;EOMONTH(Z$1,1)+1
)
-Z313</f>
        <v>0</v>
      </c>
      <c r="AA286" s="183">
        <f>SUMIFS(
  tb_caixa[Saldo],
  tb_caixa[Empresa], $B313,
  tb_caixa[Dia], "&gt;="&amp;EDATE(AA$1,1),
  tb_caixa[Dia], "&lt;"&amp;EOMONTH(AA$1,1)+1
)
-AA313</f>
        <v>0</v>
      </c>
      <c r="AC286" s="175">
        <f>SUM($D286:INDEX($D286:$AA286,1,MATCH(DATE(YEAR(inputs!$A$1),MONTH(inputs!$A$1),1),$D$1:$AA$1,0)))</f>
        <v>80283.63</v>
      </c>
      <c r="AE286" s="175">
        <f t="shared" ref="AE286" si="57">SUM(D286:AA286)</f>
        <v>-43656.59</v>
      </c>
    </row>
    <row r="287" spans="1:31" outlineLevel="1" x14ac:dyDescent="0.25">
      <c r="A287" s="302" t="str">
        <f t="shared" si="54"/>
        <v>4.VII.</v>
      </c>
      <c r="B287" t="s">
        <v>1032</v>
      </c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>
        <f>SUMIFS(
  tb_caixa[Saldo],
  tb_caixa[Empresa], $B314,
  tb_caixa[Dia], "&gt;="&amp;EDATE(P$1,1),
  tb_caixa[Dia], "&lt;"&amp;EOMONTH(P$1,1)+1
)
-P314</f>
        <v>0</v>
      </c>
      <c r="Q287" s="183">
        <f>SUMIFS(
  tb_caixa[Saldo],
  tb_caixa[Empresa], $B314,
  tb_caixa[Dia], "&gt;="&amp;EDATE(Q$1,1),
  tb_caixa[Dia], "&lt;"&amp;EOMONTH(Q$1,1)+1
)
-Q314</f>
        <v>0</v>
      </c>
      <c r="R287" s="183">
        <f>SUMIFS(
  tb_caixa[Saldo],
  tb_caixa[Empresa], $B314,
  tb_caixa[Dia], "&gt;="&amp;EDATE(R$1,1),
  tb_caixa[Dia], "&lt;"&amp;EOMONTH(R$1,1)+1
)
-R314</f>
        <v>0</v>
      </c>
      <c r="S287" s="183">
        <f>SUMIFS(
  tb_caixa[Saldo],
  tb_caixa[Empresa], $B314,
  tb_caixa[Dia], "&gt;="&amp;EDATE(S$1,1),
  tb_caixa[Dia], "&lt;"&amp;EOMONTH(S$1,1)+1
)
-S314</f>
        <v>0</v>
      </c>
      <c r="T287" s="183">
        <f>SUMIFS(
  tb_caixa[Saldo],
  tb_caixa[Empresa], $B314,
  tb_caixa[Dia], "&gt;="&amp;EDATE(T$1,1),
  tb_caixa[Dia], "&lt;"&amp;EOMONTH(T$1,1)+1
)
-T314</f>
        <v>0</v>
      </c>
      <c r="U287" s="183">
        <f>SUMIFS(
  tb_caixa[Saldo],
  tb_caixa[Empresa], $B314,
  tb_caixa[Dia], "&gt;="&amp;EDATE(U$1,1),
  tb_caixa[Dia], "&lt;"&amp;EOMONTH(U$1,1)+1
)
-U314</f>
        <v>0</v>
      </c>
      <c r="V287" s="183">
        <f>SUMIFS(
  tb_caixa[Saldo],
  tb_caixa[Empresa], $B314,
  tb_caixa[Dia], "&gt;="&amp;EDATE(V$1,1),
  tb_caixa[Dia], "&lt;"&amp;EOMONTH(V$1,1)+1
)
-V314</f>
        <v>0</v>
      </c>
      <c r="W287" s="183">
        <f>SUMIFS(
  tb_caixa[Saldo],
  tb_caixa[Empresa], $B314,
  tb_caixa[Dia], "&gt;="&amp;EDATE(W$1,1),
  tb_caixa[Dia], "&lt;"&amp;EOMONTH(W$1,1)+1
)
-W314</f>
        <v>0</v>
      </c>
      <c r="X287" s="183">
        <f>SUMIFS(
  tb_caixa[Saldo],
  tb_caixa[Empresa], $B314,
  tb_caixa[Dia], "&gt;="&amp;EDATE(X$1,1),
  tb_caixa[Dia], "&lt;"&amp;EOMONTH(X$1,1)+1
)
-X314</f>
        <v>0</v>
      </c>
      <c r="Y287" s="183">
        <f>SUMIFS(
  tb_caixa[Saldo],
  tb_caixa[Empresa], $B314,
  tb_caixa[Dia], "&gt;="&amp;EDATE(Y$1,1),
  tb_caixa[Dia], "&lt;"&amp;EOMONTH(Y$1,1)+1
)
-Y314</f>
        <v>0</v>
      </c>
      <c r="Z287" s="183">
        <f>SUMIFS(
  tb_caixa[Saldo],
  tb_caixa[Empresa], $B314,
  tb_caixa[Dia], "&gt;="&amp;EDATE(Z$1,1),
  tb_caixa[Dia], "&lt;"&amp;EOMONTH(Z$1,1)+1
)
-Z314</f>
        <v>0</v>
      </c>
      <c r="AA287" s="183">
        <f>SUMIFS(
  tb_caixa[Saldo],
  tb_caixa[Empresa], $B314,
  tb_caixa[Dia], "&gt;="&amp;EDATE(AA$1,1),
  tb_caixa[Dia], "&lt;"&amp;EOMONTH(AA$1,1)+1
)
-AA314</f>
        <v>0</v>
      </c>
      <c r="AC287" s="175">
        <f>SUM($D287:INDEX($D287:$AA287,1,MATCH(DATE(YEAR(inputs!$A$1),MONTH(inputs!$A$1),1),$D$1:$AA$1,0)))</f>
        <v>0</v>
      </c>
      <c r="AE287" s="175">
        <f t="shared" si="55"/>
        <v>0</v>
      </c>
    </row>
    <row r="288" spans="1:31" ht="15.75" outlineLevel="1" thickBot="1" x14ac:dyDescent="0.3">
      <c r="A288" s="302" t="str">
        <f t="shared" si="54"/>
        <v>4.VRT.</v>
      </c>
      <c r="B288" t="s">
        <v>956</v>
      </c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>
        <f>SUMIFS(
  tb_caixa[Saldo],
  tb_caixa[Empresa], $B315,
  tb_caixa[Dia], "&gt;="&amp;EDATE(P$1,1),
  tb_caixa[Dia], "&lt;"&amp;EOMONTH(P$1,1)+1
)
-P315</f>
        <v>14636.37</v>
      </c>
      <c r="Q288" s="183">
        <f>SUMIFS(
  tb_caixa[Saldo],
  tb_caixa[Empresa], $B315,
  tb_caixa[Dia], "&gt;="&amp;EDATE(Q$1,1),
  tb_caixa[Dia], "&lt;"&amp;EOMONTH(Q$1,1)+1
)
-Q315</f>
        <v>-40498.379999999997</v>
      </c>
      <c r="R288" s="183">
        <f>SUMIFS(
  tb_caixa[Saldo],
  tb_caixa[Empresa], $B315,
  tb_caixa[Dia], "&gt;="&amp;EDATE(R$1,1),
  tb_caixa[Dia], "&lt;"&amp;EOMONTH(R$1,1)+1
)
-R315</f>
        <v>4480.82</v>
      </c>
      <c r="S288" s="183">
        <f>SUMIFS(
  tb_caixa[Saldo],
  tb_caixa[Empresa], $B315,
  tb_caixa[Dia], "&gt;="&amp;EDATE(S$1,1),
  tb_caixa[Dia], "&lt;"&amp;EOMONTH(S$1,1)+1
)
-S315</f>
        <v>-5395.9400000000023</v>
      </c>
      <c r="T288" s="183">
        <f>SUMIFS(
  tb_caixa[Saldo],
  tb_caixa[Empresa], $B315,
  tb_caixa[Dia], "&gt;="&amp;EDATE(T$1,1),
  tb_caixa[Dia], "&lt;"&amp;EOMONTH(T$1,1)+1
)
-T315</f>
        <v>831.27000000000407</v>
      </c>
      <c r="U288" s="183">
        <f>SUMIFS(
  tb_caixa[Saldo],
  tb_caixa[Empresa], $B315,
  tb_caixa[Dia], "&gt;="&amp;EDATE(U$1,1),
  tb_caixa[Dia], "&lt;"&amp;EOMONTH(U$1,1)+1
)
-U315</f>
        <v>40637.589999999997</v>
      </c>
      <c r="V288" s="183">
        <f>SUMIFS(
  tb_caixa[Saldo],
  tb_caixa[Empresa], $B315,
  tb_caixa[Dia], "&gt;="&amp;EDATE(V$1,1),
  tb_caixa[Dia], "&lt;"&amp;EOMONTH(V$1,1)+1
)
-V315</f>
        <v>-785.2</v>
      </c>
      <c r="W288" s="183">
        <f>SUMIFS(
  tb_caixa[Saldo],
  tb_caixa[Empresa], $B315,
  tb_caixa[Dia], "&gt;="&amp;EDATE(W$1,1),
  tb_caixa[Dia], "&lt;"&amp;EOMONTH(W$1,1)+1
)
-W315</f>
        <v>0</v>
      </c>
      <c r="X288" s="183">
        <f>SUMIFS(
  tb_caixa[Saldo],
  tb_caixa[Empresa], $B315,
  tb_caixa[Dia], "&gt;="&amp;EDATE(X$1,1),
  tb_caixa[Dia], "&lt;"&amp;EOMONTH(X$1,1)+1
)
-X315</f>
        <v>0</v>
      </c>
      <c r="Y288" s="183">
        <f>SUMIFS(
  tb_caixa[Saldo],
  tb_caixa[Empresa], $B315,
  tb_caixa[Dia], "&gt;="&amp;EDATE(Y$1,1),
  tb_caixa[Dia], "&lt;"&amp;EOMONTH(Y$1,1)+1
)
-Y315</f>
        <v>0</v>
      </c>
      <c r="Z288" s="183">
        <f>SUMIFS(
  tb_caixa[Saldo],
  tb_caixa[Empresa], $B315,
  tb_caixa[Dia], "&gt;="&amp;EDATE(Z$1,1),
  tb_caixa[Dia], "&lt;"&amp;EOMONTH(Z$1,1)+1
)
-Z315</f>
        <v>0</v>
      </c>
      <c r="AA288" s="183">
        <f>SUMIFS(
  tb_caixa[Saldo],
  tb_caixa[Empresa], $B315,
  tb_caixa[Dia], "&gt;="&amp;EDATE(AA$1,1),
  tb_caixa[Dia], "&lt;"&amp;EOMONTH(AA$1,1)+1
)
-AA315</f>
        <v>0</v>
      </c>
      <c r="AC288" s="295">
        <f>SUM($D288:INDEX($D288:$AA288,1,MATCH(DATE(YEAR(inputs!$A$1),MONTH(inputs!$A$1),1),$D$1:$AA$1,0)))</f>
        <v>13906.530000000002</v>
      </c>
      <c r="AE288" s="295">
        <f t="shared" si="55"/>
        <v>13906.530000000002</v>
      </c>
    </row>
    <row r="289" spans="1:27" outlineLevel="1" x14ac:dyDescent="0.25">
      <c r="A289" s="300" t="s">
        <v>812</v>
      </c>
      <c r="B289" s="296" t="s">
        <v>663</v>
      </c>
      <c r="C289" s="294"/>
      <c r="D289" s="297"/>
      <c r="E289" s="297"/>
      <c r="F289" s="297"/>
      <c r="G289" s="297"/>
      <c r="H289" s="297"/>
      <c r="I289" s="297"/>
      <c r="J289" s="297"/>
      <c r="K289" s="297"/>
      <c r="L289" s="297"/>
      <c r="M289" s="297"/>
      <c r="N289" s="297"/>
      <c r="O289" s="297"/>
      <c r="P289" s="297">
        <f t="shared" ref="P289:AA289" si="58">SUM(P290:P315)</f>
        <v>3055977.65</v>
      </c>
      <c r="Q289" s="297">
        <f t="shared" si="58"/>
        <v>1519695.7599999998</v>
      </c>
      <c r="R289" s="297">
        <f t="shared" si="58"/>
        <v>1305811.9099999999</v>
      </c>
      <c r="S289" s="297">
        <f t="shared" si="58"/>
        <v>2906487.54</v>
      </c>
      <c r="T289" s="297">
        <f t="shared" si="58"/>
        <v>284802.62999999989</v>
      </c>
      <c r="U289" s="297">
        <f t="shared" si="58"/>
        <v>5972197.5200000005</v>
      </c>
      <c r="V289" s="297">
        <f t="shared" si="58"/>
        <v>2484752.4500000002</v>
      </c>
      <c r="W289" s="297">
        <f t="shared" si="58"/>
        <v>7102126.9399999995</v>
      </c>
      <c r="X289" s="297">
        <f t="shared" si="58"/>
        <v>2037488.25</v>
      </c>
      <c r="Y289" s="297">
        <f t="shared" si="58"/>
        <v>0</v>
      </c>
      <c r="Z289" s="297">
        <f t="shared" si="58"/>
        <v>0</v>
      </c>
      <c r="AA289" s="297">
        <f t="shared" si="58"/>
        <v>0</v>
      </c>
    </row>
    <row r="290" spans="1:27" outlineLevel="2" x14ac:dyDescent="0.25">
      <c r="A290" s="303" t="str">
        <f>"4.1."&amp;B290&amp;"."</f>
        <v>4.1.AMP.</v>
      </c>
      <c r="B290" s="298" t="s">
        <v>7</v>
      </c>
      <c r="C290" s="298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>
        <f>SUMIFS(
  tb_caixa[Saldo],
  tb_caixa[Empresa], $B290,
  tb_caixa[Dia], "&gt;="&amp;P$1,
  tb_caixa[Dia], "&lt;"&amp;EOMONTH(P$1,0)+1
)</f>
        <v>1016141.64</v>
      </c>
      <c r="Q290" s="299">
        <f>SUMIFS(
  tb_caixa[Saldo],
  tb_caixa[Empresa], $B290,
  tb_caixa[Dia], "&gt;="&amp;Q$1,
  tb_caixa[Dia], "&lt;"&amp;EOMONTH(Q$1,0)+1
)</f>
        <v>89921.279999999984</v>
      </c>
      <c r="R290" s="299">
        <f>SUMIFS(
  tb_caixa[Saldo],
  tb_caixa[Empresa], $B290,
  tb_caixa[Dia], "&gt;="&amp;R$1,
  tb_caixa[Dia], "&lt;"&amp;EOMONTH(R$1,0)+1
)</f>
        <v>509635.91000000003</v>
      </c>
      <c r="S290" s="299">
        <f>SUMIFS(
  tb_caixa[Saldo],
  tb_caixa[Empresa], $B290,
  tb_caixa[Dia], "&gt;="&amp;S$1,
  tb_caixa[Dia], "&lt;"&amp;EOMONTH(S$1,0)+1
)</f>
        <v>61806.85</v>
      </c>
      <c r="T290" s="299">
        <f>SUMIFS(
  tb_caixa[Saldo],
  tb_caixa[Empresa], $B290,
  tb_caixa[Dia], "&gt;="&amp;T$1,
  tb_caixa[Dia], "&lt;"&amp;EOMONTH(T$1,0)+1
)</f>
        <v>-123348.25000000001</v>
      </c>
      <c r="U290" s="299">
        <f>SUMIFS(
  tb_caixa[Saldo],
  tb_caixa[Empresa], $B290,
  tb_caixa[Dia], "&gt;="&amp;U$1,
  tb_caixa[Dia], "&lt;"&amp;EOMONTH(U$1,0)+1
)</f>
        <v>199234.8</v>
      </c>
      <c r="V290" s="299">
        <f>SUMIFS(
  tb_caixa[Saldo],
  tb_caixa[Empresa], $B290,
  tb_caixa[Dia], "&gt;="&amp;V$1,
  tb_caixa[Dia], "&lt;"&amp;EOMONTH(V$1,0)+1
)</f>
        <v>938198.67</v>
      </c>
      <c r="W290" s="299">
        <f>SUMIFS(
  tb_caixa[Saldo],
  tb_caixa[Empresa], $B290,
  tb_caixa[Dia], "&gt;="&amp;W$1,
  tb_caixa[Dia], "&lt;"&amp;EOMONTH(W$1,0)+1
)</f>
        <v>1144946.3799999999</v>
      </c>
      <c r="X290" s="299">
        <f>SUMIFS(
  tb_caixa[Saldo],
  tb_caixa[Empresa], $B290,
  tb_caixa[Dia], "&gt;="&amp;X$1,
  tb_caixa[Dia], "&lt;"&amp;EOMONTH(X$1,0)+1
)</f>
        <v>44512.930000000008</v>
      </c>
      <c r="Y290" s="299">
        <f>SUMIFS(
  tb_caixa[Saldo],
  tb_caixa[Empresa], $B290,
  tb_caixa[Dia], "&gt;="&amp;Y$1,
  tb_caixa[Dia], "&lt;"&amp;EOMONTH(Y$1,0)+1
)</f>
        <v>0</v>
      </c>
      <c r="Z290" s="299">
        <f>SUMIFS(
  tb_caixa[Saldo],
  tb_caixa[Empresa], $B290,
  tb_caixa[Dia], "&gt;="&amp;Z$1,
  tb_caixa[Dia], "&lt;"&amp;EOMONTH(Z$1,0)+1
)</f>
        <v>0</v>
      </c>
      <c r="AA290" s="299">
        <f>SUMIFS(
  tb_caixa[Saldo],
  tb_caixa[Empresa], $B290,
  tb_caixa[Dia], "&gt;="&amp;AA$1,
  tb_caixa[Dia], "&lt;"&amp;EOMONTH(AA$1,0)+1
)</f>
        <v>0</v>
      </c>
    </row>
    <row r="291" spans="1:27" outlineLevel="2" x14ac:dyDescent="0.25">
      <c r="A291" s="303" t="str">
        <f t="shared" ref="A291:A315" si="59">"4.1."&amp;B291&amp;"."</f>
        <v>4.1.AVR.</v>
      </c>
      <c r="B291" s="298" t="s">
        <v>670</v>
      </c>
      <c r="C291" s="298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>
        <f>SUMIFS(
  tb_caixa[Saldo],
  tb_caixa[Empresa], $B291,
  tb_caixa[Dia], "&gt;="&amp;P$1,
  tb_caixa[Dia], "&lt;"&amp;EOMONTH(P$1,0)+1
)</f>
        <v>6129.52</v>
      </c>
      <c r="Q291" s="299">
        <f>SUMIFS(
  tb_caixa[Saldo],
  tb_caixa[Empresa], $B291,
  tb_caixa[Dia], "&gt;="&amp;Q$1,
  tb_caixa[Dia], "&lt;"&amp;EOMONTH(Q$1,0)+1
)</f>
        <v>4636.58</v>
      </c>
      <c r="R291" s="299">
        <f>SUMIFS(
  tb_caixa[Saldo],
  tb_caixa[Empresa], $B291,
  tb_caixa[Dia], "&gt;="&amp;R$1,
  tb_caixa[Dia], "&lt;"&amp;EOMONTH(R$1,0)+1
)</f>
        <v>0</v>
      </c>
      <c r="S291" s="299">
        <f>SUMIFS(
  tb_caixa[Saldo],
  tb_caixa[Empresa], $B291,
  tb_caixa[Dia], "&gt;="&amp;S$1,
  tb_caixa[Dia], "&lt;"&amp;EOMONTH(S$1,0)+1
)</f>
        <v>74.87</v>
      </c>
      <c r="T291" s="299">
        <f>SUMIFS(
  tb_caixa[Saldo],
  tb_caixa[Empresa], $B291,
  tb_caixa[Dia], "&gt;="&amp;T$1,
  tb_caixa[Dia], "&lt;"&amp;EOMONTH(T$1,0)+1
)</f>
        <v>543.9</v>
      </c>
      <c r="U291" s="299">
        <f>SUMIFS(
  tb_caixa[Saldo],
  tb_caixa[Empresa], $B291,
  tb_caixa[Dia], "&gt;="&amp;U$1,
  tb_caixa[Dia], "&lt;"&amp;EOMONTH(U$1,0)+1
)</f>
        <v>442.16</v>
      </c>
      <c r="V291" s="299">
        <f>SUMIFS(
  tb_caixa[Saldo],
  tb_caixa[Empresa], $B291,
  tb_caixa[Dia], "&gt;="&amp;V$1,
  tb_caixa[Dia], "&lt;"&amp;EOMONTH(V$1,0)+1
)</f>
        <v>0</v>
      </c>
      <c r="W291" s="299">
        <f>SUMIFS(
  tb_caixa[Saldo],
  tb_caixa[Empresa], $B291,
  tb_caixa[Dia], "&gt;="&amp;W$1,
  tb_caixa[Dia], "&lt;"&amp;EOMONTH(W$1,0)+1
)</f>
        <v>0</v>
      </c>
      <c r="X291" s="299">
        <f>SUMIFS(
  tb_caixa[Saldo],
  tb_caixa[Empresa], $B291,
  tb_caixa[Dia], "&gt;="&amp;X$1,
  tb_caixa[Dia], "&lt;"&amp;EOMONTH(X$1,0)+1
)</f>
        <v>899.26</v>
      </c>
      <c r="Y291" s="299">
        <f>SUMIFS(
  tb_caixa[Saldo],
  tb_caixa[Empresa], $B291,
  tb_caixa[Dia], "&gt;="&amp;Y$1,
  tb_caixa[Dia], "&lt;"&amp;EOMONTH(Y$1,0)+1
)</f>
        <v>0</v>
      </c>
      <c r="Z291" s="299">
        <f>SUMIFS(
  tb_caixa[Saldo],
  tb_caixa[Empresa], $B291,
  tb_caixa[Dia], "&gt;="&amp;Z$1,
  tb_caixa[Dia], "&lt;"&amp;EOMONTH(Z$1,0)+1
)</f>
        <v>0</v>
      </c>
      <c r="AA291" s="299">
        <f>SUMIFS(
  tb_caixa[Saldo],
  tb_caixa[Empresa], $B291,
  tb_caixa[Dia], "&gt;="&amp;AA$1,
  tb_caixa[Dia], "&lt;"&amp;EOMONTH(AA$1,0)+1
)</f>
        <v>0</v>
      </c>
    </row>
    <row r="292" spans="1:27" outlineLevel="2" x14ac:dyDescent="0.25">
      <c r="A292" s="303" t="str">
        <f t="shared" si="59"/>
        <v>4.1.AVS.</v>
      </c>
      <c r="B292" s="298" t="s">
        <v>8</v>
      </c>
      <c r="C292" s="298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>
        <f>SUMIFS(
  tb_caixa[Saldo],
  tb_caixa[Empresa], $B292,
  tb_caixa[Dia], "&gt;="&amp;P$1,
  tb_caixa[Dia], "&lt;"&amp;EOMONTH(P$1,0)+1
)</f>
        <v>-32988.449999999997</v>
      </c>
      <c r="Q292" s="299">
        <f>SUMIFS(
  tb_caixa[Saldo],
  tb_caixa[Empresa], $B292,
  tb_caixa[Dia], "&gt;="&amp;Q$1,
  tb_caixa[Dia], "&lt;"&amp;EOMONTH(Q$1,0)+1
)</f>
        <v>-54442.750000000007</v>
      </c>
      <c r="R292" s="299">
        <f>SUMIFS(
  tb_caixa[Saldo],
  tb_caixa[Empresa], $B292,
  tb_caixa[Dia], "&gt;="&amp;R$1,
  tb_caixa[Dia], "&lt;"&amp;EOMONTH(R$1,0)+1
)</f>
        <v>671.95000000000437</v>
      </c>
      <c r="S292" s="299">
        <f>SUMIFS(
  tb_caixa[Saldo],
  tb_caixa[Empresa], $B292,
  tb_caixa[Dia], "&gt;="&amp;S$1,
  tb_caixa[Dia], "&lt;"&amp;EOMONTH(S$1,0)+1
)</f>
        <v>21770.19</v>
      </c>
      <c r="T292" s="299">
        <f>SUMIFS(
  tb_caixa[Saldo],
  tb_caixa[Empresa], $B292,
  tb_caixa[Dia], "&gt;="&amp;T$1,
  tb_caixa[Dia], "&lt;"&amp;EOMONTH(T$1,0)+1
)</f>
        <v>-62085.130000000005</v>
      </c>
      <c r="U292" s="299">
        <f>SUMIFS(
  tb_caixa[Saldo],
  tb_caixa[Empresa], $B292,
  tb_caixa[Dia], "&gt;="&amp;U$1,
  tb_caixa[Dia], "&lt;"&amp;EOMONTH(U$1,0)+1
)</f>
        <v>63206.74</v>
      </c>
      <c r="V292" s="299">
        <f>SUMIFS(
  tb_caixa[Saldo],
  tb_caixa[Empresa], $B292,
  tb_caixa[Dia], "&gt;="&amp;V$1,
  tb_caixa[Dia], "&lt;"&amp;EOMONTH(V$1,0)+1
)</f>
        <v>58441.34</v>
      </c>
      <c r="W292" s="299">
        <f>SUMIFS(
  tb_caixa[Saldo],
  tb_caixa[Empresa], $B292,
  tb_caixa[Dia], "&gt;="&amp;W$1,
  tb_caixa[Dia], "&lt;"&amp;EOMONTH(W$1,0)+1
)</f>
        <v>83753.87</v>
      </c>
      <c r="X292" s="299">
        <f>SUMIFS(
  tb_caixa[Saldo],
  tb_caixa[Empresa], $B292,
  tb_caixa[Dia], "&gt;="&amp;X$1,
  tb_caixa[Dia], "&lt;"&amp;EOMONTH(X$1,0)+1
)</f>
        <v>13357.119999999999</v>
      </c>
      <c r="Y292" s="299">
        <f>SUMIFS(
  tb_caixa[Saldo],
  tb_caixa[Empresa], $B292,
  tb_caixa[Dia], "&gt;="&amp;Y$1,
  tb_caixa[Dia], "&lt;"&amp;EOMONTH(Y$1,0)+1
)</f>
        <v>0</v>
      </c>
      <c r="Z292" s="299">
        <f>SUMIFS(
  tb_caixa[Saldo],
  tb_caixa[Empresa], $B292,
  tb_caixa[Dia], "&gt;="&amp;Z$1,
  tb_caixa[Dia], "&lt;"&amp;EOMONTH(Z$1,0)+1
)</f>
        <v>0</v>
      </c>
      <c r="AA292" s="299">
        <f>SUMIFS(
  tb_caixa[Saldo],
  tb_caixa[Empresa], $B292,
  tb_caixa[Dia], "&gt;="&amp;AA$1,
  tb_caixa[Dia], "&lt;"&amp;EOMONTH(AA$1,0)+1
)</f>
        <v>0</v>
      </c>
    </row>
    <row r="293" spans="1:27" outlineLevel="2" x14ac:dyDescent="0.25">
      <c r="A293" s="303" t="str">
        <f t="shared" si="59"/>
        <v>4.1.BUT.</v>
      </c>
      <c r="B293" s="298" t="s">
        <v>671</v>
      </c>
      <c r="C293" s="298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>
        <f>SUMIFS(
  tb_caixa[Saldo],
  tb_caixa[Empresa], $B293,
  tb_caixa[Dia], "&gt;="&amp;P$1,
  tb_caixa[Dia], "&lt;"&amp;EOMONTH(P$1,0)+1
)</f>
        <v>-112827.28</v>
      </c>
      <c r="Q293" s="299">
        <f>SUMIFS(
  tb_caixa[Saldo],
  tb_caixa[Empresa], $B293,
  tb_caixa[Dia], "&gt;="&amp;Q$1,
  tb_caixa[Dia], "&lt;"&amp;EOMONTH(Q$1,0)+1
)</f>
        <v>-95049.82</v>
      </c>
      <c r="R293" s="299">
        <f>SUMIFS(
  tb_caixa[Saldo],
  tb_caixa[Empresa], $B293,
  tb_caixa[Dia], "&gt;="&amp;R$1,
  tb_caixa[Dia], "&lt;"&amp;EOMONTH(R$1,0)+1
)</f>
        <v>-97898.22</v>
      </c>
      <c r="S293" s="299">
        <f>SUMIFS(
  tb_caixa[Saldo],
  tb_caixa[Empresa], $B293,
  tb_caixa[Dia], "&gt;="&amp;S$1,
  tb_caixa[Dia], "&lt;"&amp;EOMONTH(S$1,0)+1
)</f>
        <v>-96141.58</v>
      </c>
      <c r="T293" s="299">
        <f>SUMIFS(
  tb_caixa[Saldo],
  tb_caixa[Empresa], $B293,
  tb_caixa[Dia], "&gt;="&amp;T$1,
  tb_caixa[Dia], "&lt;"&amp;EOMONTH(T$1,0)+1
)</f>
        <v>-114791.79</v>
      </c>
      <c r="U293" s="299">
        <f>SUMIFS(
  tb_caixa[Saldo],
  tb_caixa[Empresa], $B293,
  tb_caixa[Dia], "&gt;="&amp;U$1,
  tb_caixa[Dia], "&lt;"&amp;EOMONTH(U$1,0)+1
)</f>
        <v>6104.32</v>
      </c>
      <c r="V293" s="299">
        <f>SUMIFS(
  tb_caixa[Saldo],
  tb_caixa[Empresa], $B293,
  tb_caixa[Dia], "&gt;="&amp;V$1,
  tb_caixa[Dia], "&lt;"&amp;EOMONTH(V$1,0)+1
)</f>
        <v>-587.80999999999995</v>
      </c>
      <c r="W293" s="299">
        <f>SUMIFS(
  tb_caixa[Saldo],
  tb_caixa[Empresa], $B293,
  tb_caixa[Dia], "&gt;="&amp;W$1,
  tb_caixa[Dia], "&lt;"&amp;EOMONTH(W$1,0)+1
)</f>
        <v>10625.55</v>
      </c>
      <c r="X293" s="299">
        <f>SUMIFS(
  tb_caixa[Saldo],
  tb_caixa[Empresa], $B293,
  tb_caixa[Dia], "&gt;="&amp;X$1,
  tb_caixa[Dia], "&lt;"&amp;EOMONTH(X$1,0)+1
)</f>
        <v>9387.6299999999992</v>
      </c>
      <c r="Y293" s="299">
        <f>SUMIFS(
  tb_caixa[Saldo],
  tb_caixa[Empresa], $B293,
  tb_caixa[Dia], "&gt;="&amp;Y$1,
  tb_caixa[Dia], "&lt;"&amp;EOMONTH(Y$1,0)+1
)</f>
        <v>0</v>
      </c>
      <c r="Z293" s="299">
        <f>SUMIFS(
  tb_caixa[Saldo],
  tb_caixa[Empresa], $B293,
  tb_caixa[Dia], "&gt;="&amp;Z$1,
  tb_caixa[Dia], "&lt;"&amp;EOMONTH(Z$1,0)+1
)</f>
        <v>0</v>
      </c>
      <c r="AA293" s="299">
        <f>SUMIFS(
  tb_caixa[Saldo],
  tb_caixa[Empresa], $B293,
  tb_caixa[Dia], "&gt;="&amp;AA$1,
  tb_caixa[Dia], "&lt;"&amp;EOMONTH(AA$1,0)+1
)</f>
        <v>0</v>
      </c>
    </row>
    <row r="294" spans="1:27" outlineLevel="2" x14ac:dyDescent="0.25">
      <c r="A294" s="303" t="str">
        <f t="shared" si="59"/>
        <v>4.1.CBL.</v>
      </c>
      <c r="B294" s="298" t="s">
        <v>673</v>
      </c>
      <c r="C294" s="298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>
        <f>SUMIFS(
  tb_caixa[Saldo],
  tb_caixa[Empresa], $B294,
  tb_caixa[Dia], "&gt;="&amp;P$1,
  tb_caixa[Dia], "&lt;"&amp;EOMONTH(P$1,0)+1
)</f>
        <v>89227.86</v>
      </c>
      <c r="Q294" s="299">
        <f>SUMIFS(
  tb_caixa[Saldo],
  tb_caixa[Empresa], $B294,
  tb_caixa[Dia], "&gt;="&amp;Q$1,
  tb_caixa[Dia], "&lt;"&amp;EOMONTH(Q$1,0)+1
)</f>
        <v>424533.14</v>
      </c>
      <c r="R294" s="299">
        <f>SUMIFS(
  tb_caixa[Saldo],
  tb_caixa[Empresa], $B294,
  tb_caixa[Dia], "&gt;="&amp;R$1,
  tb_caixa[Dia], "&lt;"&amp;EOMONTH(R$1,0)+1
)</f>
        <v>9664.98</v>
      </c>
      <c r="S294" s="299">
        <f>SUMIFS(
  tb_caixa[Saldo],
  tb_caixa[Empresa], $B294,
  tb_caixa[Dia], "&gt;="&amp;S$1,
  tb_caixa[Dia], "&lt;"&amp;EOMONTH(S$1,0)+1
)</f>
        <v>19544.72</v>
      </c>
      <c r="T294" s="299">
        <f>SUMIFS(
  tb_caixa[Saldo],
  tb_caixa[Empresa], $B294,
  tb_caixa[Dia], "&gt;="&amp;T$1,
  tb_caixa[Dia], "&lt;"&amp;EOMONTH(T$1,0)+1
)</f>
        <v>106028.82</v>
      </c>
      <c r="U294" s="299">
        <f>SUMIFS(
  tb_caixa[Saldo],
  tb_caixa[Empresa], $B294,
  tb_caixa[Dia], "&gt;="&amp;U$1,
  tb_caixa[Dia], "&lt;"&amp;EOMONTH(U$1,0)+1
)</f>
        <v>2032960.69</v>
      </c>
      <c r="V294" s="299">
        <f>SUMIFS(
  tb_caixa[Saldo],
  tb_caixa[Empresa], $B294,
  tb_caixa[Dia], "&gt;="&amp;V$1,
  tb_caixa[Dia], "&lt;"&amp;EOMONTH(V$1,0)+1
)</f>
        <v>88224.82</v>
      </c>
      <c r="W294" s="299">
        <f>SUMIFS(
  tb_caixa[Saldo],
  tb_caixa[Empresa], $B294,
  tb_caixa[Dia], "&gt;="&amp;W$1,
  tb_caixa[Dia], "&lt;"&amp;EOMONTH(W$1,0)+1
)</f>
        <v>83301.740000000005</v>
      </c>
      <c r="X294" s="299">
        <f>SUMIFS(
  tb_caixa[Saldo],
  tb_caixa[Empresa], $B294,
  tb_caixa[Dia], "&gt;="&amp;X$1,
  tb_caixa[Dia], "&lt;"&amp;EOMONTH(X$1,0)+1
)</f>
        <v>127863.48000000001</v>
      </c>
      <c r="Y294" s="299">
        <f>SUMIFS(
  tb_caixa[Saldo],
  tb_caixa[Empresa], $B294,
  tb_caixa[Dia], "&gt;="&amp;Y$1,
  tb_caixa[Dia], "&lt;"&amp;EOMONTH(Y$1,0)+1
)</f>
        <v>0</v>
      </c>
      <c r="Z294" s="299">
        <f>SUMIFS(
  tb_caixa[Saldo],
  tb_caixa[Empresa], $B294,
  tb_caixa[Dia], "&gt;="&amp;Z$1,
  tb_caixa[Dia], "&lt;"&amp;EOMONTH(Z$1,0)+1
)</f>
        <v>0</v>
      </c>
      <c r="AA294" s="299">
        <f>SUMIFS(
  tb_caixa[Saldo],
  tb_caixa[Empresa], $B294,
  tb_caixa[Dia], "&gt;="&amp;AA$1,
  tb_caixa[Dia], "&lt;"&amp;EOMONTH(AA$1,0)+1
)</f>
        <v>0</v>
      </c>
    </row>
    <row r="295" spans="1:27" outlineLevel="2" x14ac:dyDescent="0.25">
      <c r="A295" s="303" t="str">
        <f t="shared" si="59"/>
        <v>4.1.CHR.</v>
      </c>
      <c r="B295" s="298" t="s">
        <v>777</v>
      </c>
      <c r="C295" s="298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>
        <f>SUMIFS(
  tb_caixa[Saldo],
  tb_caixa[Empresa], $B295,
  tb_caixa[Dia], "&gt;="&amp;P$1,
  tb_caixa[Dia], "&lt;"&amp;EOMONTH(P$1,0)+1
)</f>
        <v>0</v>
      </c>
      <c r="Q295" s="299">
        <f>SUMIFS(
  tb_caixa[Saldo],
  tb_caixa[Empresa], $B295,
  tb_caixa[Dia], "&gt;="&amp;Q$1,
  tb_caixa[Dia], "&lt;"&amp;EOMONTH(Q$1,0)+1
)</f>
        <v>0</v>
      </c>
      <c r="R295" s="299">
        <f>SUMIFS(
  tb_caixa[Saldo],
  tb_caixa[Empresa], $B295,
  tb_caixa[Dia], "&gt;="&amp;R$1,
  tb_caixa[Dia], "&lt;"&amp;EOMONTH(R$1,0)+1
)</f>
        <v>0</v>
      </c>
      <c r="S295" s="299">
        <f>SUMIFS(
  tb_caixa[Saldo],
  tb_caixa[Empresa], $B295,
  tb_caixa[Dia], "&gt;="&amp;S$1,
  tb_caixa[Dia], "&lt;"&amp;EOMONTH(S$1,0)+1
)</f>
        <v>0</v>
      </c>
      <c r="T295" s="299">
        <f>SUMIFS(
  tb_caixa[Saldo],
  tb_caixa[Empresa], $B295,
  tb_caixa[Dia], "&gt;="&amp;T$1,
  tb_caixa[Dia], "&lt;"&amp;EOMONTH(T$1,0)+1
)</f>
        <v>0</v>
      </c>
      <c r="U295" s="299">
        <f>SUMIFS(
  tb_caixa[Saldo],
  tb_caixa[Empresa], $B295,
  tb_caixa[Dia], "&gt;="&amp;U$1,
  tb_caixa[Dia], "&lt;"&amp;EOMONTH(U$1,0)+1
)</f>
        <v>0</v>
      </c>
      <c r="V295" s="299">
        <f>SUMIFS(
  tb_caixa[Saldo],
  tb_caixa[Empresa], $B295,
  tb_caixa[Dia], "&gt;="&amp;V$1,
  tb_caixa[Dia], "&lt;"&amp;EOMONTH(V$1,0)+1
)</f>
        <v>0</v>
      </c>
      <c r="W295" s="299">
        <f>SUMIFS(
  tb_caixa[Saldo],
  tb_caixa[Empresa], $B295,
  tb_caixa[Dia], "&gt;="&amp;W$1,
  tb_caixa[Dia], "&lt;"&amp;EOMONTH(W$1,0)+1
)</f>
        <v>0</v>
      </c>
      <c r="X295" s="299">
        <f>SUMIFS(
  tb_caixa[Saldo],
  tb_caixa[Empresa], $B295,
  tb_caixa[Dia], "&gt;="&amp;X$1,
  tb_caixa[Dia], "&lt;"&amp;EOMONTH(X$1,0)+1
)</f>
        <v>0</v>
      </c>
      <c r="Y295" s="299">
        <f>SUMIFS(
  tb_caixa[Saldo],
  tb_caixa[Empresa], $B295,
  tb_caixa[Dia], "&gt;="&amp;Y$1,
  tb_caixa[Dia], "&lt;"&amp;EOMONTH(Y$1,0)+1
)</f>
        <v>0</v>
      </c>
      <c r="Z295" s="299">
        <f>SUMIFS(
  tb_caixa[Saldo],
  tb_caixa[Empresa], $B295,
  tb_caixa[Dia], "&gt;="&amp;Z$1,
  tb_caixa[Dia], "&lt;"&amp;EOMONTH(Z$1,0)+1
)</f>
        <v>0</v>
      </c>
      <c r="AA295" s="299">
        <f>SUMIFS(
  tb_caixa[Saldo],
  tb_caixa[Empresa], $B295,
  tb_caixa[Dia], "&gt;="&amp;AA$1,
  tb_caixa[Dia], "&lt;"&amp;EOMONTH(AA$1,0)+1
)</f>
        <v>0</v>
      </c>
    </row>
    <row r="296" spans="1:27" outlineLevel="2" x14ac:dyDescent="0.25">
      <c r="A296" s="303" t="str">
        <f t="shared" si="59"/>
        <v>4.1.CPE.</v>
      </c>
      <c r="B296" s="298" t="s">
        <v>773</v>
      </c>
      <c r="C296" s="298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>
        <f>SUMIFS(
  tb_caixa[Saldo],
  tb_caixa[Empresa], $B296,
  tb_caixa[Dia], "&gt;="&amp;P$1,
  tb_caixa[Dia], "&lt;"&amp;EOMONTH(P$1,0)+1
)</f>
        <v>1352.9399999999998</v>
      </c>
      <c r="Q296" s="299">
        <f>SUMIFS(
  tb_caixa[Saldo],
  tb_caixa[Empresa], $B296,
  tb_caixa[Dia], "&gt;="&amp;Q$1,
  tb_caixa[Dia], "&lt;"&amp;EOMONTH(Q$1,0)+1
)</f>
        <v>6735.39</v>
      </c>
      <c r="R296" s="299">
        <f>SUMIFS(
  tb_caixa[Saldo],
  tb_caixa[Empresa], $B296,
  tb_caixa[Dia], "&gt;="&amp;R$1,
  tb_caixa[Dia], "&lt;"&amp;EOMONTH(R$1,0)+1
)</f>
        <v>9855.07</v>
      </c>
      <c r="S296" s="299">
        <f>SUMIFS(
  tb_caixa[Saldo],
  tb_caixa[Empresa], $B296,
  tb_caixa[Dia], "&gt;="&amp;S$1,
  tb_caixa[Dia], "&lt;"&amp;EOMONTH(S$1,0)+1
)</f>
        <v>4313.1400000000003</v>
      </c>
      <c r="T296" s="299">
        <f>SUMIFS(
  tb_caixa[Saldo],
  tb_caixa[Empresa], $B296,
  tb_caixa[Dia], "&gt;="&amp;T$1,
  tb_caixa[Dia], "&lt;"&amp;EOMONTH(T$1,0)+1
)</f>
        <v>8025.8300000000008</v>
      </c>
      <c r="U296" s="299">
        <f>SUMIFS(
  tb_caixa[Saldo],
  tb_caixa[Empresa], $B296,
  tb_caixa[Dia], "&gt;="&amp;U$1,
  tb_caixa[Dia], "&lt;"&amp;EOMONTH(U$1,0)+1
)</f>
        <v>9268.59</v>
      </c>
      <c r="V296" s="299">
        <f>SUMIFS(
  tb_caixa[Saldo],
  tb_caixa[Empresa], $B296,
  tb_caixa[Dia], "&gt;="&amp;V$1,
  tb_caixa[Dia], "&lt;"&amp;EOMONTH(V$1,0)+1
)</f>
        <v>1445.04</v>
      </c>
      <c r="W296" s="299">
        <f>SUMIFS(
  tb_caixa[Saldo],
  tb_caixa[Empresa], $B296,
  tb_caixa[Dia], "&gt;="&amp;W$1,
  tb_caixa[Dia], "&lt;"&amp;EOMONTH(W$1,0)+1
)</f>
        <v>9908.4599999999991</v>
      </c>
      <c r="X296" s="299">
        <f>SUMIFS(
  tb_caixa[Saldo],
  tb_caixa[Empresa], $B296,
  tb_caixa[Dia], "&gt;="&amp;X$1,
  tb_caixa[Dia], "&lt;"&amp;EOMONTH(X$1,0)+1
)</f>
        <v>17821.34</v>
      </c>
      <c r="Y296" s="299">
        <f>SUMIFS(
  tb_caixa[Saldo],
  tb_caixa[Empresa], $B296,
  tb_caixa[Dia], "&gt;="&amp;Y$1,
  tb_caixa[Dia], "&lt;"&amp;EOMONTH(Y$1,0)+1
)</f>
        <v>0</v>
      </c>
      <c r="Z296" s="299">
        <f>SUMIFS(
  tb_caixa[Saldo],
  tb_caixa[Empresa], $B296,
  tb_caixa[Dia], "&gt;="&amp;Z$1,
  tb_caixa[Dia], "&lt;"&amp;EOMONTH(Z$1,0)+1
)</f>
        <v>0</v>
      </c>
      <c r="AA296" s="299">
        <f>SUMIFS(
  tb_caixa[Saldo],
  tb_caixa[Empresa], $B296,
  tb_caixa[Dia], "&gt;="&amp;AA$1,
  tb_caixa[Dia], "&lt;"&amp;EOMONTH(AA$1,0)+1
)</f>
        <v>0</v>
      </c>
    </row>
    <row r="297" spans="1:27" outlineLevel="2" x14ac:dyDescent="0.25">
      <c r="A297" s="303" t="str">
        <f t="shared" si="59"/>
        <v>4.1.CXG.</v>
      </c>
      <c r="B297" s="298" t="s">
        <v>1023</v>
      </c>
      <c r="C297" s="298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>
        <f>SUMIFS(
  tb_caixa[Saldo],
  tb_caixa[Empresa], $B297,
  tb_caixa[Dia], "&gt;="&amp;P$1,
  tb_caixa[Dia], "&lt;"&amp;EOMONTH(P$1,0)+1
)</f>
        <v>0</v>
      </c>
      <c r="Q297" s="299">
        <f>SUMIFS(
  tb_caixa[Saldo],
  tb_caixa[Empresa], $B297,
  tb_caixa[Dia], "&gt;="&amp;Q$1,
  tb_caixa[Dia], "&lt;"&amp;EOMONTH(Q$1,0)+1
)</f>
        <v>0</v>
      </c>
      <c r="R297" s="299">
        <f>SUMIFS(
  tb_caixa[Saldo],
  tb_caixa[Empresa], $B297,
  tb_caixa[Dia], "&gt;="&amp;R$1,
  tb_caixa[Dia], "&lt;"&amp;EOMONTH(R$1,0)+1
)</f>
        <v>0</v>
      </c>
      <c r="S297" s="299">
        <f>SUMIFS(
  tb_caixa[Saldo],
  tb_caixa[Empresa], $B297,
  tb_caixa[Dia], "&gt;="&amp;S$1,
  tb_caixa[Dia], "&lt;"&amp;EOMONTH(S$1,0)+1
)</f>
        <v>0</v>
      </c>
      <c r="T297" s="299">
        <f>SUMIFS(
  tb_caixa[Saldo],
  tb_caixa[Empresa], $B297,
  tb_caixa[Dia], "&gt;="&amp;T$1,
  tb_caixa[Dia], "&lt;"&amp;EOMONTH(T$1,0)+1
)</f>
        <v>2751</v>
      </c>
      <c r="U297" s="299">
        <f>SUMIFS(
  tb_caixa[Saldo],
  tb_caixa[Empresa], $B297,
  tb_caixa[Dia], "&gt;="&amp;U$1,
  tb_caixa[Dia], "&lt;"&amp;EOMONTH(U$1,0)+1
)</f>
        <v>2264</v>
      </c>
      <c r="V297" s="299">
        <f>SUMIFS(
  tb_caixa[Saldo],
  tb_caixa[Empresa], $B297,
  tb_caixa[Dia], "&gt;="&amp;V$1,
  tb_caixa[Dia], "&lt;"&amp;EOMONTH(V$1,0)+1
)</f>
        <v>2090</v>
      </c>
      <c r="W297" s="299">
        <f>SUMIFS(
  tb_caixa[Saldo],
  tb_caixa[Empresa], $B297,
  tb_caixa[Dia], "&gt;="&amp;W$1,
  tb_caixa[Dia], "&lt;"&amp;EOMONTH(W$1,0)+1
)</f>
        <v>3258.4</v>
      </c>
      <c r="X297" s="299">
        <f>SUMIFS(
  tb_caixa[Saldo],
  tb_caixa[Empresa], $B297,
  tb_caixa[Dia], "&gt;="&amp;X$1,
  tb_caixa[Dia], "&lt;"&amp;EOMONTH(X$1,0)+1
)</f>
        <v>3427.4</v>
      </c>
      <c r="Y297" s="299">
        <f>SUMIFS(
  tb_caixa[Saldo],
  tb_caixa[Empresa], $B297,
  tb_caixa[Dia], "&gt;="&amp;Y$1,
  tb_caixa[Dia], "&lt;"&amp;EOMONTH(Y$1,0)+1
)</f>
        <v>0</v>
      </c>
      <c r="Z297" s="299">
        <f>SUMIFS(
  tb_caixa[Saldo],
  tb_caixa[Empresa], $B297,
  tb_caixa[Dia], "&gt;="&amp;Z$1,
  tb_caixa[Dia], "&lt;"&amp;EOMONTH(Z$1,0)+1
)</f>
        <v>0</v>
      </c>
      <c r="AA297" s="299">
        <f>SUMIFS(
  tb_caixa[Saldo],
  tb_caixa[Empresa], $B297,
  tb_caixa[Dia], "&gt;="&amp;AA$1,
  tb_caixa[Dia], "&lt;"&amp;EOMONTH(AA$1,0)+1
)</f>
        <v>0</v>
      </c>
    </row>
    <row r="298" spans="1:27" outlineLevel="2" x14ac:dyDescent="0.25">
      <c r="A298" s="303" t="str">
        <f t="shared" si="59"/>
        <v>4.1.DPF.</v>
      </c>
      <c r="B298" s="298" t="s">
        <v>779</v>
      </c>
      <c r="C298" s="298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>
        <f>SUMIFS(
  tb_caixa[Saldo],
  tb_caixa[Empresa], $B298,
  tb_caixa[Dia], "&gt;="&amp;P$1,
  tb_caixa[Dia], "&lt;"&amp;EOMONTH(P$1,0)+1
)</f>
        <v>19092.46</v>
      </c>
      <c r="Q298" s="299">
        <f>SUMIFS(
  tb_caixa[Saldo],
  tb_caixa[Empresa], $B298,
  tb_caixa[Dia], "&gt;="&amp;Q$1,
  tb_caixa[Dia], "&lt;"&amp;EOMONTH(Q$1,0)+1
)</f>
        <v>-9091.2800000000007</v>
      </c>
      <c r="R298" s="299">
        <f>SUMIFS(
  tb_caixa[Saldo],
  tb_caixa[Empresa], $B298,
  tb_caixa[Dia], "&gt;="&amp;R$1,
  tb_caixa[Dia], "&lt;"&amp;EOMONTH(R$1,0)+1
)</f>
        <v>-2853.73</v>
      </c>
      <c r="S298" s="299">
        <f>SUMIFS(
  tb_caixa[Saldo],
  tb_caixa[Empresa], $B298,
  tb_caixa[Dia], "&gt;="&amp;S$1,
  tb_caixa[Dia], "&lt;"&amp;EOMONTH(S$1,0)+1
)</f>
        <v>-1501.78</v>
      </c>
      <c r="T298" s="299">
        <f>SUMIFS(
  tb_caixa[Saldo],
  tb_caixa[Empresa], $B298,
  tb_caixa[Dia], "&gt;="&amp;T$1,
  tb_caixa[Dia], "&lt;"&amp;EOMONTH(T$1,0)+1
)</f>
        <v>-2905.16</v>
      </c>
      <c r="U298" s="299">
        <f>SUMIFS(
  tb_caixa[Saldo],
  tb_caixa[Empresa], $B298,
  tb_caixa[Dia], "&gt;="&amp;U$1,
  tb_caixa[Dia], "&lt;"&amp;EOMONTH(U$1,0)+1
)</f>
        <v>3746.08</v>
      </c>
      <c r="V298" s="299">
        <f>SUMIFS(
  tb_caixa[Saldo],
  tb_caixa[Empresa], $B298,
  tb_caixa[Dia], "&gt;="&amp;V$1,
  tb_caixa[Dia], "&lt;"&amp;EOMONTH(V$1,0)+1
)</f>
        <v>17355.18</v>
      </c>
      <c r="W298" s="299">
        <f>SUMIFS(
  tb_caixa[Saldo],
  tb_caixa[Empresa], $B298,
  tb_caixa[Dia], "&gt;="&amp;W$1,
  tb_caixa[Dia], "&lt;"&amp;EOMONTH(W$1,0)+1
)</f>
        <v>-3781.55</v>
      </c>
      <c r="X298" s="299">
        <f>SUMIFS(
  tb_caixa[Saldo],
  tb_caixa[Empresa], $B298,
  tb_caixa[Dia], "&gt;="&amp;X$1,
  tb_caixa[Dia], "&lt;"&amp;EOMONTH(X$1,0)+1
)</f>
        <v>4121.74</v>
      </c>
      <c r="Y298" s="299">
        <f>SUMIFS(
  tb_caixa[Saldo],
  tb_caixa[Empresa], $B298,
  tb_caixa[Dia], "&gt;="&amp;Y$1,
  tb_caixa[Dia], "&lt;"&amp;EOMONTH(Y$1,0)+1
)</f>
        <v>0</v>
      </c>
      <c r="Z298" s="299">
        <f>SUMIFS(
  tb_caixa[Saldo],
  tb_caixa[Empresa], $B298,
  tb_caixa[Dia], "&gt;="&amp;Z$1,
  tb_caixa[Dia], "&lt;"&amp;EOMONTH(Z$1,0)+1
)</f>
        <v>0</v>
      </c>
      <c r="AA298" s="299">
        <f>SUMIFS(
  tb_caixa[Saldo],
  tb_caixa[Empresa], $B298,
  tb_caixa[Dia], "&gt;="&amp;AA$1,
  tb_caixa[Dia], "&lt;"&amp;EOMONTH(AA$1,0)+1
)</f>
        <v>0</v>
      </c>
    </row>
    <row r="299" spans="1:27" outlineLevel="2" x14ac:dyDescent="0.25">
      <c r="A299" s="303" t="str">
        <f t="shared" si="59"/>
        <v>4.1.ENC.</v>
      </c>
      <c r="B299" s="298" t="s">
        <v>479</v>
      </c>
      <c r="C299" s="298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>
        <f>SUMIFS(
  tb_caixa[Saldo],
  tb_caixa[Empresa], $B299,
  tb_caixa[Dia], "&gt;="&amp;P$1,
  tb_caixa[Dia], "&lt;"&amp;EOMONTH(P$1,0)+1
)</f>
        <v>49396.880000000005</v>
      </c>
      <c r="Q299" s="299">
        <f>SUMIFS(
  tb_caixa[Saldo],
  tb_caixa[Empresa], $B299,
  tb_caixa[Dia], "&gt;="&amp;Q$1,
  tb_caixa[Dia], "&lt;"&amp;EOMONTH(Q$1,0)+1
)</f>
        <v>-15066.989999999998</v>
      </c>
      <c r="R299" s="299">
        <f>SUMIFS(
  tb_caixa[Saldo],
  tb_caixa[Empresa], $B299,
  tb_caixa[Dia], "&gt;="&amp;R$1,
  tb_caixa[Dia], "&lt;"&amp;EOMONTH(R$1,0)+1
)</f>
        <v>-112435.81</v>
      </c>
      <c r="S299" s="299">
        <f>SUMIFS(
  tb_caixa[Saldo],
  tb_caixa[Empresa], $B299,
  tb_caixa[Dia], "&gt;="&amp;S$1,
  tb_caixa[Dia], "&lt;"&amp;EOMONTH(S$1,0)+1
)</f>
        <v>-120162.23999999999</v>
      </c>
      <c r="T299" s="299">
        <f>SUMIFS(
  tb_caixa[Saldo],
  tb_caixa[Empresa], $B299,
  tb_caixa[Dia], "&gt;="&amp;T$1,
  tb_caixa[Dia], "&lt;"&amp;EOMONTH(T$1,0)+1
)</f>
        <v>-130216.46</v>
      </c>
      <c r="U299" s="299">
        <f>SUMIFS(
  tb_caixa[Saldo],
  tb_caixa[Empresa], $B299,
  tb_caixa[Dia], "&gt;="&amp;U$1,
  tb_caixa[Dia], "&lt;"&amp;EOMONTH(U$1,0)+1
)</f>
        <v>4336.51</v>
      </c>
      <c r="V299" s="299">
        <f>SUMIFS(
  tb_caixa[Saldo],
  tb_caixa[Empresa], $B299,
  tb_caixa[Dia], "&gt;="&amp;V$1,
  tb_caixa[Dia], "&lt;"&amp;EOMONTH(V$1,0)+1
)</f>
        <v>4790.51</v>
      </c>
      <c r="W299" s="299">
        <f>SUMIFS(
  tb_caixa[Saldo],
  tb_caixa[Empresa], $B299,
  tb_caixa[Dia], "&gt;="&amp;W$1,
  tb_caixa[Dia], "&lt;"&amp;EOMONTH(W$1,0)+1
)</f>
        <v>5013.99</v>
      </c>
      <c r="X299" s="299">
        <f>SUMIFS(
  tb_caixa[Saldo],
  tb_caixa[Empresa], $B299,
  tb_caixa[Dia], "&gt;="&amp;X$1,
  tb_caixa[Dia], "&lt;"&amp;EOMONTH(X$1,0)+1
)</f>
        <v>-18600.559999999998</v>
      </c>
      <c r="Y299" s="299">
        <f>SUMIFS(
  tb_caixa[Saldo],
  tb_caixa[Empresa], $B299,
  tb_caixa[Dia], "&gt;="&amp;Y$1,
  tb_caixa[Dia], "&lt;"&amp;EOMONTH(Y$1,0)+1
)</f>
        <v>0</v>
      </c>
      <c r="Z299" s="299">
        <f>SUMIFS(
  tb_caixa[Saldo],
  tb_caixa[Empresa], $B299,
  tb_caixa[Dia], "&gt;="&amp;Z$1,
  tb_caixa[Dia], "&lt;"&amp;EOMONTH(Z$1,0)+1
)</f>
        <v>0</v>
      </c>
      <c r="AA299" s="299">
        <f>SUMIFS(
  tb_caixa[Saldo],
  tb_caixa[Empresa], $B299,
  tb_caixa[Dia], "&gt;="&amp;AA$1,
  tb_caixa[Dia], "&lt;"&amp;EOMONTH(AA$1,0)+1
)</f>
        <v>0</v>
      </c>
    </row>
    <row r="300" spans="1:27" outlineLevel="2" x14ac:dyDescent="0.25">
      <c r="A300" s="303" t="str">
        <f t="shared" si="59"/>
        <v>4.1.GRA.</v>
      </c>
      <c r="B300" s="298" t="s">
        <v>9</v>
      </c>
      <c r="C300" s="298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>
        <f>SUMIFS(
  tb_caixa[Saldo],
  tb_caixa[Empresa], $B300,
  tb_caixa[Dia], "&gt;="&amp;P$1,
  tb_caixa[Dia], "&lt;"&amp;EOMONTH(P$1,0)+1
)</f>
        <v>271436.51</v>
      </c>
      <c r="Q300" s="299">
        <f>SUMIFS(
  tb_caixa[Saldo],
  tb_caixa[Empresa], $B300,
  tb_caixa[Dia], "&gt;="&amp;Q$1,
  tb_caixa[Dia], "&lt;"&amp;EOMONTH(Q$1,0)+1
)</f>
        <v>933491.92</v>
      </c>
      <c r="R300" s="299">
        <f>SUMIFS(
  tb_caixa[Saldo],
  tb_caixa[Empresa], $B300,
  tb_caixa[Dia], "&gt;="&amp;R$1,
  tb_caixa[Dia], "&lt;"&amp;EOMONTH(R$1,0)+1
)</f>
        <v>931191.33000000007</v>
      </c>
      <c r="S300" s="299">
        <f>SUMIFS(
  tb_caixa[Saldo],
  tb_caixa[Empresa], $B300,
  tb_caixa[Dia], "&gt;="&amp;S$1,
  tb_caixa[Dia], "&lt;"&amp;EOMONTH(S$1,0)+1
)</f>
        <v>358511.69</v>
      </c>
      <c r="T300" s="299">
        <f>SUMIFS(
  tb_caixa[Saldo],
  tb_caixa[Empresa], $B300,
  tb_caixa[Dia], "&gt;="&amp;T$1,
  tb_caixa[Dia], "&lt;"&amp;EOMONTH(T$1,0)+1
)</f>
        <v>637156.14</v>
      </c>
      <c r="U300" s="299">
        <f>SUMIFS(
  tb_caixa[Saldo],
  tb_caixa[Empresa], $B300,
  tb_caixa[Dia], "&gt;="&amp;U$1,
  tb_caixa[Dia], "&lt;"&amp;EOMONTH(U$1,0)+1
)</f>
        <v>2088667.99</v>
      </c>
      <c r="V300" s="299">
        <f>SUMIFS(
  tb_caixa[Saldo],
  tb_caixa[Empresa], $B300,
  tb_caixa[Dia], "&gt;="&amp;V$1,
  tb_caixa[Dia], "&lt;"&amp;EOMONTH(V$1,0)+1
)</f>
        <v>30953.41</v>
      </c>
      <c r="W300" s="299">
        <f>SUMIFS(
  tb_caixa[Saldo],
  tb_caixa[Empresa], $B300,
  tb_caixa[Dia], "&gt;="&amp;W$1,
  tb_caixa[Dia], "&lt;"&amp;EOMONTH(W$1,0)+1
)</f>
        <v>1162996.3700000001</v>
      </c>
      <c r="X300" s="299">
        <f>SUMIFS(
  tb_caixa[Saldo],
  tb_caixa[Empresa], $B300,
  tb_caixa[Dia], "&gt;="&amp;X$1,
  tb_caixa[Dia], "&lt;"&amp;EOMONTH(X$1,0)+1
)</f>
        <v>66884.06</v>
      </c>
      <c r="Y300" s="299">
        <f>SUMIFS(
  tb_caixa[Saldo],
  tb_caixa[Empresa], $B300,
  tb_caixa[Dia], "&gt;="&amp;Y$1,
  tb_caixa[Dia], "&lt;"&amp;EOMONTH(Y$1,0)+1
)</f>
        <v>0</v>
      </c>
      <c r="Z300" s="299">
        <f>SUMIFS(
  tb_caixa[Saldo],
  tb_caixa[Empresa], $B300,
  tb_caixa[Dia], "&gt;="&amp;Z$1,
  tb_caixa[Dia], "&lt;"&amp;EOMONTH(Z$1,0)+1
)</f>
        <v>0</v>
      </c>
      <c r="AA300" s="299">
        <f>SUMIFS(
  tb_caixa[Saldo],
  tb_caixa[Empresa], $B300,
  tb_caixa[Dia], "&gt;="&amp;AA$1,
  tb_caixa[Dia], "&lt;"&amp;EOMONTH(AA$1,0)+1
)</f>
        <v>0</v>
      </c>
    </row>
    <row r="301" spans="1:27" outlineLevel="2" x14ac:dyDescent="0.25">
      <c r="A301" s="303" t="str">
        <f t="shared" si="59"/>
        <v>4.1.INC.</v>
      </c>
      <c r="B301" s="298" t="s">
        <v>481</v>
      </c>
      <c r="C301" s="298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>
        <f>SUMIFS(
  tb_caixa[Saldo],
  tb_caixa[Empresa], $B301,
  tb_caixa[Dia], "&gt;="&amp;P$1,
  tb_caixa[Dia], "&lt;"&amp;EOMONTH(P$1,0)+1
)</f>
        <v>-38778.5</v>
      </c>
      <c r="Q301" s="299">
        <f>SUMIFS(
  tb_caixa[Saldo],
  tb_caixa[Empresa], $B301,
  tb_caixa[Dia], "&gt;="&amp;Q$1,
  tb_caixa[Dia], "&lt;"&amp;EOMONTH(Q$1,0)+1
)</f>
        <v>-38225.360000000001</v>
      </c>
      <c r="R301" s="299">
        <f>SUMIFS(
  tb_caixa[Saldo],
  tb_caixa[Empresa], $B301,
  tb_caixa[Dia], "&gt;="&amp;R$1,
  tb_caixa[Dia], "&lt;"&amp;EOMONTH(R$1,0)+1
)</f>
        <v>-5927.23</v>
      </c>
      <c r="S301" s="299">
        <f>SUMIFS(
  tb_caixa[Saldo],
  tb_caixa[Empresa], $B301,
  tb_caixa[Dia], "&gt;="&amp;S$1,
  tb_caixa[Dia], "&lt;"&amp;EOMONTH(S$1,0)+1
)</f>
        <v>-27696.14</v>
      </c>
      <c r="T301" s="299">
        <f>SUMIFS(
  tb_caixa[Saldo],
  tb_caixa[Empresa], $B301,
  tb_caixa[Dia], "&gt;="&amp;T$1,
  tb_caixa[Dia], "&lt;"&amp;EOMONTH(T$1,0)+1
)</f>
        <v>-28570.46</v>
      </c>
      <c r="U301" s="299">
        <f>SUMIFS(
  tb_caixa[Saldo],
  tb_caixa[Empresa], $B301,
  tb_caixa[Dia], "&gt;="&amp;U$1,
  tb_caixa[Dia], "&lt;"&amp;EOMONTH(U$1,0)+1
)</f>
        <v>-35687.120000000003</v>
      </c>
      <c r="V301" s="299">
        <f>SUMIFS(
  tb_caixa[Saldo],
  tb_caixa[Empresa], $B301,
  tb_caixa[Dia], "&gt;="&amp;V$1,
  tb_caixa[Dia], "&lt;"&amp;EOMONTH(V$1,0)+1
)</f>
        <v>-16578.120000000003</v>
      </c>
      <c r="W301" s="299">
        <f>SUMIFS(
  tb_caixa[Saldo],
  tb_caixa[Empresa], $B301,
  tb_caixa[Dia], "&gt;="&amp;W$1,
  tb_caixa[Dia], "&lt;"&amp;EOMONTH(W$1,0)+1
)</f>
        <v>1312.1599999999999</v>
      </c>
      <c r="X301" s="299">
        <f>SUMIFS(
  tb_caixa[Saldo],
  tb_caixa[Empresa], $B301,
  tb_caixa[Dia], "&gt;="&amp;X$1,
  tb_caixa[Dia], "&lt;"&amp;EOMONTH(X$1,0)+1
)</f>
        <v>632814.68000000005</v>
      </c>
      <c r="Y301" s="299">
        <f>SUMIFS(
  tb_caixa[Saldo],
  tb_caixa[Empresa], $B301,
  tb_caixa[Dia], "&gt;="&amp;Y$1,
  tb_caixa[Dia], "&lt;"&amp;EOMONTH(Y$1,0)+1
)</f>
        <v>0</v>
      </c>
      <c r="Z301" s="299">
        <f>SUMIFS(
  tb_caixa[Saldo],
  tb_caixa[Empresa], $B301,
  tb_caixa[Dia], "&gt;="&amp;Z$1,
  tb_caixa[Dia], "&lt;"&amp;EOMONTH(Z$1,0)+1
)</f>
        <v>0</v>
      </c>
      <c r="AA301" s="299">
        <f>SUMIFS(
  tb_caixa[Saldo],
  tb_caixa[Empresa], $B301,
  tb_caixa[Dia], "&gt;="&amp;AA$1,
  tb_caixa[Dia], "&lt;"&amp;EOMONTH(AA$1,0)+1
)</f>
        <v>0</v>
      </c>
    </row>
    <row r="302" spans="1:27" outlineLevel="2" x14ac:dyDescent="0.25">
      <c r="A302" s="303" t="str">
        <f t="shared" si="59"/>
        <v>4.1.JRP.</v>
      </c>
      <c r="B302" s="298" t="s">
        <v>677</v>
      </c>
      <c r="C302" s="298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>
        <f>SUMIFS(
  tb_caixa[Saldo],
  tb_caixa[Empresa], $B302,
  tb_caixa[Dia], "&gt;="&amp;P$1,
  tb_caixa[Dia], "&lt;"&amp;EOMONTH(P$1,0)+1
)</f>
        <v>342.22</v>
      </c>
      <c r="Q302" s="299">
        <f>SUMIFS(
  tb_caixa[Saldo],
  tb_caixa[Empresa], $B302,
  tb_caixa[Dia], "&gt;="&amp;Q$1,
  tb_caixa[Dia], "&lt;"&amp;EOMONTH(Q$1,0)+1
)</f>
        <v>204.22</v>
      </c>
      <c r="R302" s="299">
        <f>SUMIFS(
  tb_caixa[Saldo],
  tb_caixa[Empresa], $B302,
  tb_caixa[Dia], "&gt;="&amp;R$1,
  tb_caixa[Dia], "&lt;"&amp;EOMONTH(R$1,0)+1
)</f>
        <v>625.91999999999996</v>
      </c>
      <c r="S302" s="299">
        <f>SUMIFS(
  tb_caixa[Saldo],
  tb_caixa[Empresa], $B302,
  tb_caixa[Dia], "&gt;="&amp;S$1,
  tb_caixa[Dia], "&lt;"&amp;EOMONTH(S$1,0)+1
)</f>
        <v>477.69</v>
      </c>
      <c r="T302" s="299">
        <f>SUMIFS(
  tb_caixa[Saldo],
  tb_caixa[Empresa], $B302,
  tb_caixa[Dia], "&gt;="&amp;T$1,
  tb_caixa[Dia], "&lt;"&amp;EOMONTH(T$1,0)+1
)</f>
        <v>729.01</v>
      </c>
      <c r="U302" s="299">
        <f>SUMIFS(
  tb_caixa[Saldo],
  tb_caixa[Empresa], $B302,
  tb_caixa[Dia], "&gt;="&amp;U$1,
  tb_caixa[Dia], "&lt;"&amp;EOMONTH(U$1,0)+1
)</f>
        <v>3615.89</v>
      </c>
      <c r="V302" s="299">
        <f>SUMIFS(
  tb_caixa[Saldo],
  tb_caixa[Empresa], $B302,
  tb_caixa[Dia], "&gt;="&amp;V$1,
  tb_caixa[Dia], "&lt;"&amp;EOMONTH(V$1,0)+1
)</f>
        <v>69713.08</v>
      </c>
      <c r="W302" s="299">
        <f>SUMIFS(
  tb_caixa[Saldo],
  tb_caixa[Empresa], $B302,
  tb_caixa[Dia], "&gt;="&amp;W$1,
  tb_caixa[Dia], "&lt;"&amp;EOMONTH(W$1,0)+1
)</f>
        <v>2606.1099999999997</v>
      </c>
      <c r="X302" s="299">
        <f>SUMIFS(
  tb_caixa[Saldo],
  tb_caixa[Empresa], $B302,
  tb_caixa[Dia], "&gt;="&amp;X$1,
  tb_caixa[Dia], "&lt;"&amp;EOMONTH(X$1,0)+1
)</f>
        <v>116976.73</v>
      </c>
      <c r="Y302" s="299">
        <f>SUMIFS(
  tb_caixa[Saldo],
  tb_caixa[Empresa], $B302,
  tb_caixa[Dia], "&gt;="&amp;Y$1,
  tb_caixa[Dia], "&lt;"&amp;EOMONTH(Y$1,0)+1
)</f>
        <v>0</v>
      </c>
      <c r="Z302" s="299">
        <f>SUMIFS(
  tb_caixa[Saldo],
  tb_caixa[Empresa], $B302,
  tb_caixa[Dia], "&gt;="&amp;Z$1,
  tb_caixa[Dia], "&lt;"&amp;EOMONTH(Z$1,0)+1
)</f>
        <v>0</v>
      </c>
      <c r="AA302" s="299">
        <f>SUMIFS(
  tb_caixa[Saldo],
  tb_caixa[Empresa], $B302,
  tb_caixa[Dia], "&gt;="&amp;AA$1,
  tb_caixa[Dia], "&lt;"&amp;EOMONTH(AA$1,0)+1
)</f>
        <v>0</v>
      </c>
    </row>
    <row r="303" spans="1:27" outlineLevel="2" x14ac:dyDescent="0.25">
      <c r="A303" s="303" t="str">
        <f t="shared" si="59"/>
        <v>4.1.JSP.</v>
      </c>
      <c r="B303" s="298" t="s">
        <v>753</v>
      </c>
      <c r="C303" s="298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>
        <f>SUMIFS(
  tb_caixa[Saldo],
  tb_caixa[Empresa], $B303,
  tb_caixa[Dia], "&gt;="&amp;P$1,
  tb_caixa[Dia], "&lt;"&amp;EOMONTH(P$1,0)+1
)</f>
        <v>185.16</v>
      </c>
      <c r="Q303" s="299">
        <f>SUMIFS(
  tb_caixa[Saldo],
  tb_caixa[Empresa], $B303,
  tb_caixa[Dia], "&gt;="&amp;Q$1,
  tb_caixa[Dia], "&lt;"&amp;EOMONTH(Q$1,0)+1
)</f>
        <v>41.8</v>
      </c>
      <c r="R303" s="299">
        <f>SUMIFS(
  tb_caixa[Saldo],
  tb_caixa[Empresa], $B303,
  tb_caixa[Dia], "&gt;="&amp;R$1,
  tb_caixa[Dia], "&lt;"&amp;EOMONTH(R$1,0)+1
)</f>
        <v>0</v>
      </c>
      <c r="S303" s="299">
        <f>SUMIFS(
  tb_caixa[Saldo],
  tb_caixa[Empresa], $B303,
  tb_caixa[Dia], "&gt;="&amp;S$1,
  tb_caixa[Dia], "&lt;"&amp;EOMONTH(S$1,0)+1
)</f>
        <v>0</v>
      </c>
      <c r="T303" s="299">
        <f>SUMIFS(
  tb_caixa[Saldo],
  tb_caixa[Empresa], $B303,
  tb_caixa[Dia], "&gt;="&amp;T$1,
  tb_caixa[Dia], "&lt;"&amp;EOMONTH(T$1,0)+1
)</f>
        <v>0</v>
      </c>
      <c r="U303" s="299">
        <f>SUMIFS(
  tb_caixa[Saldo],
  tb_caixa[Empresa], $B303,
  tb_caixa[Dia], "&gt;="&amp;U$1,
  tb_caixa[Dia], "&lt;"&amp;EOMONTH(U$1,0)+1
)</f>
        <v>0</v>
      </c>
      <c r="V303" s="299">
        <f>SUMIFS(
  tb_caixa[Saldo],
  tb_caixa[Empresa], $B303,
  tb_caixa[Dia], "&gt;="&amp;V$1,
  tb_caixa[Dia], "&lt;"&amp;EOMONTH(V$1,0)+1
)</f>
        <v>19496.11</v>
      </c>
      <c r="W303" s="299">
        <f>SUMIFS(
  tb_caixa[Saldo],
  tb_caixa[Empresa], $B303,
  tb_caixa[Dia], "&gt;="&amp;W$1,
  tb_caixa[Dia], "&lt;"&amp;EOMONTH(W$1,0)+1
)</f>
        <v>19330.830000000002</v>
      </c>
      <c r="X303" s="299">
        <f>SUMIFS(
  tb_caixa[Saldo],
  tb_caixa[Empresa], $B303,
  tb_caixa[Dia], "&gt;="&amp;X$1,
  tb_caixa[Dia], "&lt;"&amp;EOMONTH(X$1,0)+1
)</f>
        <v>3064.63</v>
      </c>
      <c r="Y303" s="299">
        <f>SUMIFS(
  tb_caixa[Saldo],
  tb_caixa[Empresa], $B303,
  tb_caixa[Dia], "&gt;="&amp;Y$1,
  tb_caixa[Dia], "&lt;"&amp;EOMONTH(Y$1,0)+1
)</f>
        <v>0</v>
      </c>
      <c r="Z303" s="299">
        <f>SUMIFS(
  tb_caixa[Saldo],
  tb_caixa[Empresa], $B303,
  tb_caixa[Dia], "&gt;="&amp;Z$1,
  tb_caixa[Dia], "&lt;"&amp;EOMONTH(Z$1,0)+1
)</f>
        <v>0</v>
      </c>
      <c r="AA303" s="299">
        <f>SUMIFS(
  tb_caixa[Saldo],
  tb_caixa[Empresa], $B303,
  tb_caixa[Dia], "&gt;="&amp;AA$1,
  tb_caixa[Dia], "&lt;"&amp;EOMONTH(AA$1,0)+1
)</f>
        <v>0</v>
      </c>
    </row>
    <row r="304" spans="1:27" outlineLevel="2" x14ac:dyDescent="0.25">
      <c r="A304" s="303" t="str">
        <f t="shared" si="59"/>
        <v>4.1.LCG.</v>
      </c>
      <c r="B304" s="298" t="s">
        <v>482</v>
      </c>
      <c r="C304" s="298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>
        <f>SUMIFS(
  tb_caixa[Saldo],
  tb_caixa[Empresa], $B304,
  tb_caixa[Dia], "&gt;="&amp;P$1,
  tb_caixa[Dia], "&lt;"&amp;EOMONTH(P$1,0)+1
)</f>
        <v>25903.600000000002</v>
      </c>
      <c r="Q304" s="299">
        <f>SUMIFS(
  tb_caixa[Saldo],
  tb_caixa[Empresa], $B304,
  tb_caixa[Dia], "&gt;="&amp;Q$1,
  tb_caixa[Dia], "&lt;"&amp;EOMONTH(Q$1,0)+1
)</f>
        <v>-115.35000000000036</v>
      </c>
      <c r="R304" s="299">
        <f>SUMIFS(
  tb_caixa[Saldo],
  tb_caixa[Empresa], $B304,
  tb_caixa[Dia], "&gt;="&amp;R$1,
  tb_caixa[Dia], "&lt;"&amp;EOMONTH(R$1,0)+1
)</f>
        <v>-1124.6999999999998</v>
      </c>
      <c r="S304" s="299">
        <f>SUMIFS(
  tb_caixa[Saldo],
  tb_caixa[Empresa], $B304,
  tb_caixa[Dia], "&gt;="&amp;S$1,
  tb_caixa[Dia], "&lt;"&amp;EOMONTH(S$1,0)+1
)</f>
        <v>-1776.1599999999999</v>
      </c>
      <c r="T304" s="299">
        <f>SUMIFS(
  tb_caixa[Saldo],
  tb_caixa[Empresa], $B304,
  tb_caixa[Dia], "&gt;="&amp;T$1,
  tb_caixa[Dia], "&lt;"&amp;EOMONTH(T$1,0)+1
)</f>
        <v>-4287.3500000000004</v>
      </c>
      <c r="U304" s="299">
        <f>SUMIFS(
  tb_caixa[Saldo],
  tb_caixa[Empresa], $B304,
  tb_caixa[Dia], "&gt;="&amp;U$1,
  tb_caixa[Dia], "&lt;"&amp;EOMONTH(U$1,0)+1
)</f>
        <v>-12521.119999999999</v>
      </c>
      <c r="V304" s="299">
        <f>SUMIFS(
  tb_caixa[Saldo],
  tb_caixa[Empresa], $B304,
  tb_caixa[Dia], "&gt;="&amp;V$1,
  tb_caixa[Dia], "&lt;"&amp;EOMONTH(V$1,0)+1
)</f>
        <v>3036.6000000000004</v>
      </c>
      <c r="W304" s="299">
        <f>SUMIFS(
  tb_caixa[Saldo],
  tb_caixa[Empresa], $B304,
  tb_caixa[Dia], "&gt;="&amp;W$1,
  tb_caixa[Dia], "&lt;"&amp;EOMONTH(W$1,0)+1
)</f>
        <v>0</v>
      </c>
      <c r="X304" s="299">
        <f>SUMIFS(
  tb_caixa[Saldo],
  tb_caixa[Empresa], $B304,
  tb_caixa[Dia], "&gt;="&amp;X$1,
  tb_caixa[Dia], "&lt;"&amp;EOMONTH(X$1,0)+1
)</f>
        <v>0</v>
      </c>
      <c r="Y304" s="299">
        <f>SUMIFS(
  tb_caixa[Saldo],
  tb_caixa[Empresa], $B304,
  tb_caixa[Dia], "&gt;="&amp;Y$1,
  tb_caixa[Dia], "&lt;"&amp;EOMONTH(Y$1,0)+1
)</f>
        <v>0</v>
      </c>
      <c r="Z304" s="299">
        <f>SUMIFS(
  tb_caixa[Saldo],
  tb_caixa[Empresa], $B304,
  tb_caixa[Dia], "&gt;="&amp;Z$1,
  tb_caixa[Dia], "&lt;"&amp;EOMONTH(Z$1,0)+1
)</f>
        <v>0</v>
      </c>
      <c r="AA304" s="299">
        <f>SUMIFS(
  tb_caixa[Saldo],
  tb_caixa[Empresa], $B304,
  tb_caixa[Dia], "&gt;="&amp;AA$1,
  tb_caixa[Dia], "&lt;"&amp;EOMONTH(AA$1,0)+1
)</f>
        <v>0</v>
      </c>
    </row>
    <row r="305" spans="1:31" outlineLevel="2" x14ac:dyDescent="0.25">
      <c r="A305" s="303" t="str">
        <f t="shared" si="59"/>
        <v>4.1.LUC.</v>
      </c>
      <c r="B305" s="298" t="s">
        <v>10</v>
      </c>
      <c r="C305" s="298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>
        <f>SUMIFS(
  tb_caixa[Saldo],
  tb_caixa[Empresa], $B305,
  tb_caixa[Dia], "&gt;="&amp;P$1,
  tb_caixa[Dia], "&lt;"&amp;EOMONTH(P$1,0)+1
)</f>
        <v>68895.739999999991</v>
      </c>
      <c r="Q305" s="299">
        <f>SUMIFS(
  tb_caixa[Saldo],
  tb_caixa[Empresa], $B305,
  tb_caixa[Dia], "&gt;="&amp;Q$1,
  tb_caixa[Dia], "&lt;"&amp;EOMONTH(Q$1,0)+1
)</f>
        <v>132233.46</v>
      </c>
      <c r="R305" s="299">
        <f>SUMIFS(
  tb_caixa[Saldo],
  tb_caixa[Empresa], $B305,
  tb_caixa[Dia], "&gt;="&amp;R$1,
  tb_caixa[Dia], "&lt;"&amp;EOMONTH(R$1,0)+1
)</f>
        <v>7626.22</v>
      </c>
      <c r="S305" s="299">
        <f>SUMIFS(
  tb_caixa[Saldo],
  tb_caixa[Empresa], $B305,
  tb_caixa[Dia], "&gt;="&amp;S$1,
  tb_caixa[Dia], "&lt;"&amp;EOMONTH(S$1,0)+1
)</f>
        <v>10938.32</v>
      </c>
      <c r="T305" s="299">
        <f>SUMIFS(
  tb_caixa[Saldo],
  tb_caixa[Empresa], $B305,
  tb_caixa[Dia], "&gt;="&amp;T$1,
  tb_caixa[Dia], "&lt;"&amp;EOMONTH(T$1,0)+1
)</f>
        <v>-342.34</v>
      </c>
      <c r="U305" s="299">
        <f>SUMIFS(
  tb_caixa[Saldo],
  tb_caixa[Empresa], $B305,
  tb_caixa[Dia], "&gt;="&amp;U$1,
  tb_caixa[Dia], "&lt;"&amp;EOMONTH(U$1,0)+1
)</f>
        <v>29119.280000000002</v>
      </c>
      <c r="V305" s="299">
        <f>SUMIFS(
  tb_caixa[Saldo],
  tb_caixa[Empresa], $B305,
  tb_caixa[Dia], "&gt;="&amp;V$1,
  tb_caixa[Dia], "&lt;"&amp;EOMONTH(V$1,0)+1
)</f>
        <v>215714.90999999997</v>
      </c>
      <c r="W305" s="299">
        <f>SUMIFS(
  tb_caixa[Saldo],
  tb_caixa[Empresa], $B305,
  tb_caixa[Dia], "&gt;="&amp;W$1,
  tb_caixa[Dia], "&lt;"&amp;EOMONTH(W$1,0)+1
)</f>
        <v>208915.06</v>
      </c>
      <c r="X305" s="299">
        <f>SUMIFS(
  tb_caixa[Saldo],
  tb_caixa[Empresa], $B305,
  tb_caixa[Dia], "&gt;="&amp;X$1,
  tb_caixa[Dia], "&lt;"&amp;EOMONTH(X$1,0)+1
)</f>
        <v>140026.29999999999</v>
      </c>
      <c r="Y305" s="299">
        <f>SUMIFS(
  tb_caixa[Saldo],
  tb_caixa[Empresa], $B305,
  tb_caixa[Dia], "&gt;="&amp;Y$1,
  tb_caixa[Dia], "&lt;"&amp;EOMONTH(Y$1,0)+1
)</f>
        <v>0</v>
      </c>
      <c r="Z305" s="299">
        <f>SUMIFS(
  tb_caixa[Saldo],
  tb_caixa[Empresa], $B305,
  tb_caixa[Dia], "&gt;="&amp;Z$1,
  tb_caixa[Dia], "&lt;"&amp;EOMONTH(Z$1,0)+1
)</f>
        <v>0</v>
      </c>
      <c r="AA305" s="299">
        <f>SUMIFS(
  tb_caixa[Saldo],
  tb_caixa[Empresa], $B305,
  tb_caixa[Dia], "&gt;="&amp;AA$1,
  tb_caixa[Dia], "&lt;"&amp;EOMONTH(AA$1,0)+1
)</f>
        <v>0</v>
      </c>
    </row>
    <row r="306" spans="1:31" outlineLevel="2" x14ac:dyDescent="0.25">
      <c r="A306" s="303" t="str">
        <f t="shared" si="59"/>
        <v>4.1.LUG.</v>
      </c>
      <c r="B306" s="298" t="s">
        <v>793</v>
      </c>
      <c r="C306" s="298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>
        <f>SUMIFS(
  tb_caixa[Saldo],
  tb_caixa[Empresa], $B306,
  tb_caixa[Dia], "&gt;="&amp;P$1,
  tb_caixa[Dia], "&lt;"&amp;EOMONTH(P$1,0)+1
)</f>
        <v>767.3</v>
      </c>
      <c r="Q306" s="299">
        <f>SUMIFS(
  tb_caixa[Saldo],
  tb_caixa[Empresa], $B306,
  tb_caixa[Dia], "&gt;="&amp;Q$1,
  tb_caixa[Dia], "&lt;"&amp;EOMONTH(Q$1,0)+1
)</f>
        <v>1061.03</v>
      </c>
      <c r="R306" s="299">
        <f>SUMIFS(
  tb_caixa[Saldo],
  tb_caixa[Empresa], $B306,
  tb_caixa[Dia], "&gt;="&amp;R$1,
  tb_caixa[Dia], "&lt;"&amp;EOMONTH(R$1,0)+1
)</f>
        <v>1734.24</v>
      </c>
      <c r="S306" s="299">
        <f>SUMIFS(
  tb_caixa[Saldo],
  tb_caixa[Empresa], $B306,
  tb_caixa[Dia], "&gt;="&amp;S$1,
  tb_caixa[Dia], "&lt;"&amp;EOMONTH(S$1,0)+1
)</f>
        <v>226.36</v>
      </c>
      <c r="T306" s="299">
        <f>SUMIFS(
  tb_caixa[Saldo],
  tb_caixa[Empresa], $B306,
  tb_caixa[Dia], "&gt;="&amp;T$1,
  tb_caixa[Dia], "&lt;"&amp;EOMONTH(T$1,0)+1
)</f>
        <v>456.12</v>
      </c>
      <c r="U306" s="299">
        <f>SUMIFS(
  tb_caixa[Saldo],
  tb_caixa[Empresa], $B306,
  tb_caixa[Dia], "&gt;="&amp;U$1,
  tb_caixa[Dia], "&lt;"&amp;EOMONTH(U$1,0)+1
)</f>
        <v>988.38</v>
      </c>
      <c r="V306" s="299">
        <f>SUMIFS(
  tb_caixa[Saldo],
  tb_caixa[Empresa], $B306,
  tb_caixa[Dia], "&gt;="&amp;V$1,
  tb_caixa[Dia], "&lt;"&amp;EOMONTH(V$1,0)+1
)</f>
        <v>3219.67</v>
      </c>
      <c r="W306" s="299">
        <f>SUMIFS(
  tb_caixa[Saldo],
  tb_caixa[Empresa], $B306,
  tb_caixa[Dia], "&gt;="&amp;W$1,
  tb_caixa[Dia], "&lt;"&amp;EOMONTH(W$1,0)+1
)</f>
        <v>12300.82</v>
      </c>
      <c r="X306" s="299">
        <f>SUMIFS(
  tb_caixa[Saldo],
  tb_caixa[Empresa], $B306,
  tb_caixa[Dia], "&gt;="&amp;X$1,
  tb_caixa[Dia], "&lt;"&amp;EOMONTH(X$1,0)+1
)</f>
        <v>8897.24</v>
      </c>
      <c r="Y306" s="299">
        <f>SUMIFS(
  tb_caixa[Saldo],
  tb_caixa[Empresa], $B306,
  tb_caixa[Dia], "&gt;="&amp;Y$1,
  tb_caixa[Dia], "&lt;"&amp;EOMONTH(Y$1,0)+1
)</f>
        <v>0</v>
      </c>
      <c r="Z306" s="299">
        <f>SUMIFS(
  tb_caixa[Saldo],
  tb_caixa[Empresa], $B306,
  tb_caixa[Dia], "&gt;="&amp;Z$1,
  tb_caixa[Dia], "&lt;"&amp;EOMONTH(Z$1,0)+1
)</f>
        <v>0</v>
      </c>
      <c r="AA306" s="299">
        <f>SUMIFS(
  tb_caixa[Saldo],
  tb_caixa[Empresa], $B306,
  tb_caixa[Dia], "&gt;="&amp;AA$1,
  tb_caixa[Dia], "&lt;"&amp;EOMONTH(AA$1,0)+1
)</f>
        <v>0</v>
      </c>
    </row>
    <row r="307" spans="1:31" outlineLevel="2" x14ac:dyDescent="0.25">
      <c r="A307" s="303" t="str">
        <f t="shared" si="59"/>
        <v>4.1.POM.</v>
      </c>
      <c r="B307" s="298" t="s">
        <v>11</v>
      </c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>
        <f>SUMIFS(
  tb_caixa[Saldo],
  tb_caixa[Empresa], $B307,
  tb_caixa[Dia], "&gt;="&amp;P$1,
  tb_caixa[Dia], "&lt;"&amp;EOMONTH(P$1,0)+1
)</f>
        <v>816.45</v>
      </c>
      <c r="Q307" s="299">
        <f>SUMIFS(
  tb_caixa[Saldo],
  tb_caixa[Empresa], $B307,
  tb_caixa[Dia], "&gt;="&amp;Q$1,
  tb_caixa[Dia], "&lt;"&amp;EOMONTH(Q$1,0)+1
)</f>
        <v>858.38000000000011</v>
      </c>
      <c r="R307" s="299">
        <f>SUMIFS(
  tb_caixa[Saldo],
  tb_caixa[Empresa], $B307,
  tb_caixa[Dia], "&gt;="&amp;R$1,
  tb_caixa[Dia], "&lt;"&amp;EOMONTH(R$1,0)+1
)</f>
        <v>69113.440000000002</v>
      </c>
      <c r="S307" s="299">
        <f>SUMIFS(
  tb_caixa[Saldo],
  tb_caixa[Empresa], $B307,
  tb_caixa[Dia], "&gt;="&amp;S$1,
  tb_caixa[Dia], "&lt;"&amp;EOMONTH(S$1,0)+1
)</f>
        <v>202533.68999999997</v>
      </c>
      <c r="T307" s="299">
        <f>SUMIFS(
  tb_caixa[Saldo],
  tb_caixa[Empresa], $B307,
  tb_caixa[Dia], "&gt;="&amp;T$1,
  tb_caixa[Dia], "&lt;"&amp;EOMONTH(T$1,0)+1
)</f>
        <v>8431.86</v>
      </c>
      <c r="U307" s="299">
        <f>SUMIFS(
  tb_caixa[Saldo],
  tb_caixa[Empresa], $B307,
  tb_caixa[Dia], "&gt;="&amp;U$1,
  tb_caixa[Dia], "&lt;"&amp;EOMONTH(U$1,0)+1
)</f>
        <v>895857.05999999994</v>
      </c>
      <c r="V307" s="299">
        <f>SUMIFS(
  tb_caixa[Saldo],
  tb_caixa[Empresa], $B307,
  tb_caixa[Dia], "&gt;="&amp;V$1,
  tb_caixa[Dia], "&lt;"&amp;EOMONTH(V$1,0)+1
)</f>
        <v>298411.48</v>
      </c>
      <c r="W307" s="299">
        <f>SUMIFS(
  tb_caixa[Saldo],
  tb_caixa[Empresa], $B307,
  tb_caixa[Dia], "&gt;="&amp;W$1,
  tb_caixa[Dia], "&lt;"&amp;EOMONTH(W$1,0)+1
)</f>
        <v>397073.36</v>
      </c>
      <c r="X307" s="299">
        <f>SUMIFS(
  tb_caixa[Saldo],
  tb_caixa[Empresa], $B307,
  tb_caixa[Dia], "&gt;="&amp;X$1,
  tb_caixa[Dia], "&lt;"&amp;EOMONTH(X$1,0)+1
)</f>
        <v>458042.94999999995</v>
      </c>
      <c r="Y307" s="299">
        <f>SUMIFS(
  tb_caixa[Saldo],
  tb_caixa[Empresa], $B307,
  tb_caixa[Dia], "&gt;="&amp;Y$1,
  tb_caixa[Dia], "&lt;"&amp;EOMONTH(Y$1,0)+1
)</f>
        <v>0</v>
      </c>
      <c r="Z307" s="299">
        <f>SUMIFS(
  tb_caixa[Saldo],
  tb_caixa[Empresa], $B307,
  tb_caixa[Dia], "&gt;="&amp;Z$1,
  tb_caixa[Dia], "&lt;"&amp;EOMONTH(Z$1,0)+1
)</f>
        <v>0</v>
      </c>
      <c r="AA307" s="299">
        <f>SUMIFS(
  tb_caixa[Saldo],
  tb_caixa[Empresa], $B307,
  tb_caixa[Dia], "&gt;="&amp;AA$1,
  tb_caixa[Dia], "&lt;"&amp;EOMONTH(AA$1,0)+1
)</f>
        <v>0</v>
      </c>
    </row>
    <row r="308" spans="1:31" outlineLevel="2" x14ac:dyDescent="0.25">
      <c r="A308" s="303" t="str">
        <f t="shared" si="59"/>
        <v>4.1.SAU.</v>
      </c>
      <c r="B308" s="298" t="s">
        <v>465</v>
      </c>
      <c r="C308" s="298"/>
      <c r="D308" s="299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>
        <f>SUMIFS(
  tb_caixa[Saldo],
  tb_caixa[Empresa], $B308,
  tb_caixa[Dia], "&gt;="&amp;P$1,
  tb_caixa[Dia], "&lt;"&amp;EOMONTH(P$1,0)+1
)</f>
        <v>193821.37</v>
      </c>
      <c r="Q308" s="298">
        <f>SUMIFS(
  tb_caixa[Saldo],
  tb_caixa[Empresa], $B308,
  tb_caixa[Dia], "&gt;="&amp;Q$1,
  tb_caixa[Dia], "&lt;"&amp;EOMONTH(Q$1,0)+1
)</f>
        <v>46177.5</v>
      </c>
      <c r="R308" s="298">
        <f>SUMIFS(
  tb_caixa[Saldo],
  tb_caixa[Empresa], $B308,
  tb_caixa[Dia], "&gt;="&amp;R$1,
  tb_caixa[Dia], "&lt;"&amp;EOMONTH(R$1,0)+1
)</f>
        <v>2509.2799999999997</v>
      </c>
      <c r="S308" s="298">
        <f>SUMIFS(
  tb_caixa[Saldo],
  tb_caixa[Empresa], $B308,
  tb_caixa[Dia], "&gt;="&amp;S$1,
  tb_caixa[Dia], "&lt;"&amp;EOMONTH(S$1,0)+1
)</f>
        <v>9273.6299999999992</v>
      </c>
      <c r="T308" s="298">
        <f>SUMIFS(
  tb_caixa[Saldo],
  tb_caixa[Empresa], $B308,
  tb_caixa[Dia], "&gt;="&amp;T$1,
  tb_caixa[Dia], "&lt;"&amp;EOMONTH(T$1,0)+1
)</f>
        <v>2050.96</v>
      </c>
      <c r="U308" s="298">
        <f>SUMIFS(
  tb_caixa[Saldo],
  tb_caixa[Empresa], $B308,
  tb_caixa[Dia], "&gt;="&amp;U$1,
  tb_caixa[Dia], "&lt;"&amp;EOMONTH(U$1,0)+1
)</f>
        <v>210563.44</v>
      </c>
      <c r="V308" s="298">
        <f>SUMIFS(
  tb_caixa[Saldo],
  tb_caixa[Empresa], $B308,
  tb_caixa[Dia], "&gt;="&amp;V$1,
  tb_caixa[Dia], "&lt;"&amp;EOMONTH(V$1,0)+1
)</f>
        <v>386432.78</v>
      </c>
      <c r="W308" s="298">
        <f>SUMIFS(
  tb_caixa[Saldo],
  tb_caixa[Empresa], $B308,
  tb_caixa[Dia], "&gt;="&amp;W$1,
  tb_caixa[Dia], "&lt;"&amp;EOMONTH(W$1,0)+1
)</f>
        <v>105742.51000000001</v>
      </c>
      <c r="X308" s="298">
        <f>SUMIFS(
  tb_caixa[Saldo],
  tb_caixa[Empresa], $B308,
  tb_caixa[Dia], "&gt;="&amp;X$1,
  tb_caixa[Dia], "&lt;"&amp;EOMONTH(X$1,0)+1
)</f>
        <v>21334.84</v>
      </c>
      <c r="Y308" s="298">
        <f>SUMIFS(
  tb_caixa[Saldo],
  tb_caixa[Empresa], $B308,
  tb_caixa[Dia], "&gt;="&amp;Y$1,
  tb_caixa[Dia], "&lt;"&amp;EOMONTH(Y$1,0)+1
)</f>
        <v>0</v>
      </c>
      <c r="Z308" s="298">
        <f>SUMIFS(
  tb_caixa[Saldo],
  tb_caixa[Empresa], $B308,
  tb_caixa[Dia], "&gt;="&amp;Z$1,
  tb_caixa[Dia], "&lt;"&amp;EOMONTH(Z$1,0)+1
)</f>
        <v>0</v>
      </c>
      <c r="AA308" s="298">
        <f>SUMIFS(
  tb_caixa[Saldo],
  tb_caixa[Empresa], $B308,
  tb_caixa[Dia], "&gt;="&amp;AA$1,
  tb_caixa[Dia], "&lt;"&amp;EOMONTH(AA$1,0)+1
)</f>
        <v>0</v>
      </c>
    </row>
    <row r="309" spans="1:31" outlineLevel="2" x14ac:dyDescent="0.25">
      <c r="A309" s="303" t="str">
        <f t="shared" si="59"/>
        <v>4.1.SBB.</v>
      </c>
      <c r="B309" s="298" t="s">
        <v>678</v>
      </c>
      <c r="C309" s="298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>
        <f>SUMIFS(
  tb_caixa[Saldo],
  tb_caixa[Empresa], $B309,
  tb_caixa[Dia], "&gt;="&amp;P$1,
  tb_caixa[Dia], "&lt;"&amp;EOMONTH(P$1,0)+1
)</f>
        <v>5353.75</v>
      </c>
      <c r="Q309" s="299">
        <f>SUMIFS(
  tb_caixa[Saldo],
  tb_caixa[Empresa], $B309,
  tb_caixa[Dia], "&gt;="&amp;Q$1,
  tb_caixa[Dia], "&lt;"&amp;EOMONTH(Q$1,0)+1
)</f>
        <v>348.47</v>
      </c>
      <c r="R309" s="299">
        <f>SUMIFS(
  tb_caixa[Saldo],
  tb_caixa[Empresa], $B309,
  tb_caixa[Dia], "&gt;="&amp;R$1,
  tb_caixa[Dia], "&lt;"&amp;EOMONTH(R$1,0)+1
)</f>
        <v>247.29000000000002</v>
      </c>
      <c r="S309" s="299">
        <f>SUMIFS(
  tb_caixa[Saldo],
  tb_caixa[Empresa], $B309,
  tb_caixa[Dia], "&gt;="&amp;S$1,
  tb_caixa[Dia], "&lt;"&amp;EOMONTH(S$1,0)+1
)</f>
        <v>1246.0999999999999</v>
      </c>
      <c r="T309" s="299">
        <f>SUMIFS(
  tb_caixa[Saldo],
  tb_caixa[Empresa], $B309,
  tb_caixa[Dia], "&gt;="&amp;T$1,
  tb_caixa[Dia], "&lt;"&amp;EOMONTH(T$1,0)+1
)</f>
        <v>259.02999999999997</v>
      </c>
      <c r="U309" s="299">
        <f>SUMIFS(
  tb_caixa[Saldo],
  tb_caixa[Empresa], $B309,
  tb_caixa[Dia], "&gt;="&amp;U$1,
  tb_caixa[Dia], "&lt;"&amp;EOMONTH(U$1,0)+1
)</f>
        <v>1446.94</v>
      </c>
      <c r="V309" s="299">
        <f>SUMIFS(
  tb_caixa[Saldo],
  tb_caixa[Empresa], $B309,
  tb_caixa[Dia], "&gt;="&amp;V$1,
  tb_caixa[Dia], "&lt;"&amp;EOMONTH(V$1,0)+1
)</f>
        <v>8510</v>
      </c>
      <c r="W309" s="299">
        <f>SUMIFS(
  tb_caixa[Saldo],
  tb_caixa[Empresa], $B309,
  tb_caixa[Dia], "&gt;="&amp;W$1,
  tb_caixa[Dia], "&lt;"&amp;EOMONTH(W$1,0)+1
)</f>
        <v>8617.08</v>
      </c>
      <c r="X309" s="299">
        <f>SUMIFS(
  tb_caixa[Saldo],
  tb_caixa[Empresa], $B309,
  tb_caixa[Dia], "&gt;="&amp;X$1,
  tb_caixa[Dia], "&lt;"&amp;EOMONTH(X$1,0)+1
)</f>
        <v>18755.18</v>
      </c>
      <c r="Y309" s="299">
        <f>SUMIFS(
  tb_caixa[Saldo],
  tb_caixa[Empresa], $B309,
  tb_caixa[Dia], "&gt;="&amp;Y$1,
  tb_caixa[Dia], "&lt;"&amp;EOMONTH(Y$1,0)+1
)</f>
        <v>0</v>
      </c>
      <c r="Z309" s="299">
        <f>SUMIFS(
  tb_caixa[Saldo],
  tb_caixa[Empresa], $B309,
  tb_caixa[Dia], "&gt;="&amp;Z$1,
  tb_caixa[Dia], "&lt;"&amp;EOMONTH(Z$1,0)+1
)</f>
        <v>0</v>
      </c>
      <c r="AA309" s="299">
        <f>SUMIFS(
  tb_caixa[Saldo],
  tb_caixa[Empresa], $B309,
  tb_caixa[Dia], "&gt;="&amp;AA$1,
  tb_caixa[Dia], "&lt;"&amp;EOMONTH(AA$1,0)+1
)</f>
        <v>0</v>
      </c>
    </row>
    <row r="310" spans="1:31" outlineLevel="2" x14ac:dyDescent="0.25">
      <c r="A310" s="303" t="str">
        <f t="shared" si="59"/>
        <v>4.1.SN2.</v>
      </c>
      <c r="B310" s="298" t="s">
        <v>12</v>
      </c>
      <c r="C310" s="298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>
        <f>SUMIFS(
  tb_caixa[Saldo],
  tb_caixa[Empresa], $B310,
  tb_caixa[Dia], "&gt;="&amp;P$1,
  tb_caixa[Dia], "&lt;"&amp;EOMONTH(P$1,0)+1
)</f>
        <v>1455044.0899999999</v>
      </c>
      <c r="Q310" s="299">
        <f>SUMIFS(
  tb_caixa[Saldo],
  tb_caixa[Empresa], $B310,
  tb_caixa[Dia], "&gt;="&amp;Q$1,
  tb_caixa[Dia], "&lt;"&amp;EOMONTH(Q$1,0)+1
)</f>
        <v>70946.13</v>
      </c>
      <c r="R310" s="299">
        <f>SUMIFS(
  tb_caixa[Saldo],
  tb_caixa[Empresa], $B310,
  tb_caixa[Dia], "&gt;="&amp;R$1,
  tb_caixa[Dia], "&lt;"&amp;EOMONTH(R$1,0)+1
)</f>
        <v>2472.6200000000026</v>
      </c>
      <c r="S310" s="299">
        <f>SUMIFS(
  tb_caixa[Saldo],
  tb_caixa[Empresa], $B310,
  tb_caixa[Dia], "&gt;="&amp;S$1,
  tb_caixa[Dia], "&lt;"&amp;EOMONTH(S$1,0)+1
)</f>
        <v>1482505.38</v>
      </c>
      <c r="T310" s="299">
        <f>SUMIFS(
  tb_caixa[Saldo],
  tb_caixa[Empresa], $B310,
  tb_caixa[Dia], "&gt;="&amp;T$1,
  tb_caixa[Dia], "&lt;"&amp;EOMONTH(T$1,0)+1
)</f>
        <v>-6447.83</v>
      </c>
      <c r="U310" s="299">
        <f>SUMIFS(
  tb_caixa[Saldo],
  tb_caixa[Empresa], $B310,
  tb_caixa[Dia], "&gt;="&amp;U$1,
  tb_caixa[Dia], "&lt;"&amp;EOMONTH(U$1,0)+1
)</f>
        <v>15808.68</v>
      </c>
      <c r="V310" s="299">
        <f>SUMIFS(
  tb_caixa[Saldo],
  tb_caixa[Empresa], $B310,
  tb_caixa[Dia], "&gt;="&amp;V$1,
  tb_caixa[Dia], "&lt;"&amp;EOMONTH(V$1,0)+1
)</f>
        <v>70542.19</v>
      </c>
      <c r="W310" s="299">
        <f>SUMIFS(
  tb_caixa[Saldo],
  tb_caixa[Empresa], $B310,
  tb_caixa[Dia], "&gt;="&amp;W$1,
  tb_caixa[Dia], "&lt;"&amp;EOMONTH(W$1,0)+1
)</f>
        <v>2340353.04</v>
      </c>
      <c r="X310" s="299">
        <f>SUMIFS(
  tb_caixa[Saldo],
  tb_caixa[Empresa], $B310,
  tb_caixa[Dia], "&gt;="&amp;X$1,
  tb_caixa[Dia], "&lt;"&amp;EOMONTH(X$1,0)+1
)</f>
        <v>49192.1</v>
      </c>
      <c r="Y310" s="299">
        <f>SUMIFS(
  tb_caixa[Saldo],
  tb_caixa[Empresa], $B310,
  tb_caixa[Dia], "&gt;="&amp;Y$1,
  tb_caixa[Dia], "&lt;"&amp;EOMONTH(Y$1,0)+1
)</f>
        <v>0</v>
      </c>
      <c r="Z310" s="299">
        <f>SUMIFS(
  tb_caixa[Saldo],
  tb_caixa[Empresa], $B310,
  tb_caixa[Dia], "&gt;="&amp;Z$1,
  tb_caixa[Dia], "&lt;"&amp;EOMONTH(Z$1,0)+1
)</f>
        <v>0</v>
      </c>
      <c r="AA310" s="299">
        <f>SUMIFS(
  tb_caixa[Saldo],
  tb_caixa[Empresa], $B310,
  tb_caixa[Dia], "&gt;="&amp;AA$1,
  tb_caixa[Dia], "&lt;"&amp;EOMONTH(AA$1,0)+1
)</f>
        <v>0</v>
      </c>
    </row>
    <row r="311" spans="1:31" outlineLevel="2" x14ac:dyDescent="0.25">
      <c r="A311" s="303" t="str">
        <f t="shared" si="59"/>
        <v>4.1.SN4.</v>
      </c>
      <c r="B311" s="298" t="s">
        <v>13</v>
      </c>
      <c r="C311" s="298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>
        <f>SUMIFS(
  tb_caixa[Saldo],
  tb_caixa[Empresa], $B311,
  tb_caixa[Dia], "&gt;="&amp;P$1,
  tb_caixa[Dia], "&lt;"&amp;EOMONTH(P$1,0)+1
)</f>
        <v>6695.85</v>
      </c>
      <c r="Q311" s="299">
        <f>SUMIFS(
  tb_caixa[Saldo],
  tb_caixa[Empresa], $B311,
  tb_caixa[Dia], "&gt;="&amp;Q$1,
  tb_caixa[Dia], "&lt;"&amp;EOMONTH(Q$1,0)+1
)</f>
        <v>9782.76</v>
      </c>
      <c r="R311" s="299">
        <f>SUMIFS(
  tb_caixa[Saldo],
  tb_caixa[Empresa], $B311,
  tb_caixa[Dia], "&gt;="&amp;R$1,
  tb_caixa[Dia], "&lt;"&amp;EOMONTH(R$1,0)+1
)</f>
        <v>4594.1399999999994</v>
      </c>
      <c r="S311" s="299">
        <f>SUMIFS(
  tb_caixa[Saldo],
  tb_caixa[Empresa], $B311,
  tb_caixa[Dia], "&gt;="&amp;S$1,
  tb_caixa[Dia], "&lt;"&amp;EOMONTH(S$1,0)+1
)</f>
        <v>1006435.56</v>
      </c>
      <c r="T311" s="299">
        <f>SUMIFS(
  tb_caixa[Saldo],
  tb_caixa[Empresa], $B311,
  tb_caixa[Dia], "&gt;="&amp;T$1,
  tb_caixa[Dia], "&lt;"&amp;EOMONTH(T$1,0)+1
)</f>
        <v>1745.97</v>
      </c>
      <c r="U311" s="299">
        <f>SUMIFS(
  tb_caixa[Saldo],
  tb_caixa[Empresa], $B311,
  tb_caixa[Dia], "&gt;="&amp;U$1,
  tb_caixa[Dia], "&lt;"&amp;EOMONTH(U$1,0)+1
)</f>
        <v>440479</v>
      </c>
      <c r="V311" s="299">
        <f>SUMIFS(
  tb_caixa[Saldo],
  tb_caixa[Empresa], $B311,
  tb_caixa[Dia], "&gt;="&amp;V$1,
  tb_caixa[Dia], "&lt;"&amp;EOMONTH(V$1,0)+1
)</f>
        <v>190249.72</v>
      </c>
      <c r="W311" s="299">
        <f>SUMIFS(
  tb_caixa[Saldo],
  tb_caixa[Empresa], $B311,
  tb_caixa[Dia], "&gt;="&amp;W$1,
  tb_caixa[Dia], "&lt;"&amp;EOMONTH(W$1,0)+1
)</f>
        <v>1388194.21</v>
      </c>
      <c r="X311" s="299">
        <f>SUMIFS(
  tb_caixa[Saldo],
  tb_caixa[Empresa], $B311,
  tb_caixa[Dia], "&gt;="&amp;X$1,
  tb_caixa[Dia], "&lt;"&amp;EOMONTH(X$1,0)+1
)</f>
        <v>179329.6</v>
      </c>
      <c r="Y311" s="299">
        <f>SUMIFS(
  tb_caixa[Saldo],
  tb_caixa[Empresa], $B311,
  tb_caixa[Dia], "&gt;="&amp;Y$1,
  tb_caixa[Dia], "&lt;"&amp;EOMONTH(Y$1,0)+1
)</f>
        <v>0</v>
      </c>
      <c r="Z311" s="299">
        <f>SUMIFS(
  tb_caixa[Saldo],
  tb_caixa[Empresa], $B311,
  tb_caixa[Dia], "&gt;="&amp;Z$1,
  tb_caixa[Dia], "&lt;"&amp;EOMONTH(Z$1,0)+1
)</f>
        <v>0</v>
      </c>
      <c r="AA311" s="299">
        <f>SUMIFS(
  tb_caixa[Saldo],
  tb_caixa[Empresa], $B311,
  tb_caixa[Dia], "&gt;="&amp;AA$1,
  tb_caixa[Dia], "&lt;"&amp;EOMONTH(AA$1,0)+1
)</f>
        <v>0</v>
      </c>
    </row>
    <row r="312" spans="1:31" outlineLevel="2" x14ac:dyDescent="0.25">
      <c r="A312" s="303" t="str">
        <f t="shared" si="59"/>
        <v>4.1.SOC.</v>
      </c>
      <c r="B312" s="298" t="s">
        <v>804</v>
      </c>
      <c r="C312" s="298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>
        <f>SUMIFS(
  tb_caixa[Saldo],
  tb_caixa[Empresa], $B312,
  tb_caixa[Dia], "&gt;="&amp;P$1,
  tb_caixa[Dia], "&lt;"&amp;EOMONTH(P$1,0)+1
)</f>
        <v>218.48</v>
      </c>
      <c r="Q312" s="299">
        <f>SUMIFS(
  tb_caixa[Saldo],
  tb_caixa[Empresa], $B312,
  tb_caixa[Dia], "&gt;="&amp;Q$1,
  tb_caixa[Dia], "&lt;"&amp;EOMONTH(Q$1,0)+1
)</f>
        <v>63.05</v>
      </c>
      <c r="R312" s="299">
        <f>SUMIFS(
  tb_caixa[Saldo],
  tb_caixa[Empresa], $B312,
  tb_caixa[Dia], "&gt;="&amp;R$1,
  tb_caixa[Dia], "&lt;"&amp;EOMONTH(R$1,0)+1
)</f>
        <v>0</v>
      </c>
      <c r="S312" s="299">
        <f>SUMIFS(
  tb_caixa[Saldo],
  tb_caixa[Empresa], $B312,
  tb_caixa[Dia], "&gt;="&amp;S$1,
  tb_caixa[Dia], "&lt;"&amp;EOMONTH(S$1,0)+1
)</f>
        <v>1865.08</v>
      </c>
      <c r="T312" s="299">
        <f>SUMIFS(
  tb_caixa[Saldo],
  tb_caixa[Empresa], $B312,
  tb_caixa[Dia], "&gt;="&amp;T$1,
  tb_caixa[Dia], "&lt;"&amp;EOMONTH(T$1,0)+1
)</f>
        <v>948.89</v>
      </c>
      <c r="U312" s="299">
        <f>SUMIFS(
  tb_caixa[Saldo],
  tb_caixa[Empresa], $B312,
  tb_caixa[Dia], "&gt;="&amp;U$1,
  tb_caixa[Dia], "&lt;"&amp;EOMONTH(U$1,0)+1
)</f>
        <v>318.66000000000003</v>
      </c>
      <c r="V312" s="299">
        <f>SUMIFS(
  tb_caixa[Saldo],
  tb_caixa[Empresa], $B312,
  tb_caixa[Dia], "&gt;="&amp;V$1,
  tb_caixa[Dia], "&lt;"&amp;EOMONTH(V$1,0)+1
)</f>
        <v>18691.509999999998</v>
      </c>
      <c r="W312" s="299">
        <f>SUMIFS(
  tb_caixa[Saldo],
  tb_caixa[Empresa], $B312,
  tb_caixa[Dia], "&gt;="&amp;W$1,
  tb_caixa[Dia], "&lt;"&amp;EOMONTH(W$1,0)+1
)</f>
        <v>17064.55</v>
      </c>
      <c r="X312" s="299">
        <f>SUMIFS(
  tb_caixa[Saldo],
  tb_caixa[Empresa], $B312,
  tb_caixa[Dia], "&gt;="&amp;X$1,
  tb_caixa[Dia], "&lt;"&amp;EOMONTH(X$1,0)+1
)</f>
        <v>15439.38</v>
      </c>
      <c r="Y312" s="299">
        <f>SUMIFS(
  tb_caixa[Saldo],
  tb_caixa[Empresa], $B312,
  tb_caixa[Dia], "&gt;="&amp;Y$1,
  tb_caixa[Dia], "&lt;"&amp;EOMONTH(Y$1,0)+1
)</f>
        <v>0</v>
      </c>
      <c r="Z312" s="299">
        <f>SUMIFS(
  tb_caixa[Saldo],
  tb_caixa[Empresa], $B312,
  tb_caixa[Dia], "&gt;="&amp;Z$1,
  tb_caixa[Dia], "&lt;"&amp;EOMONTH(Z$1,0)+1
)</f>
        <v>0</v>
      </c>
      <c r="AA312" s="299">
        <f>SUMIFS(
  tb_caixa[Saldo],
  tb_caixa[Empresa], $B312,
  tb_caixa[Dia], "&gt;="&amp;AA$1,
  tb_caixa[Dia], "&lt;"&amp;EOMONTH(AA$1,0)+1
)</f>
        <v>0</v>
      </c>
    </row>
    <row r="313" spans="1:31" outlineLevel="2" x14ac:dyDescent="0.25">
      <c r="A313" s="303" t="str">
        <f t="shared" si="59"/>
        <v>4.1.USL.</v>
      </c>
      <c r="B313" s="298" t="s">
        <v>729</v>
      </c>
      <c r="C313" s="298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>
        <f>SUMIFS(
  tb_caixa[Saldo],
  tb_caixa[Empresa], $B313,
  tb_caixa[Dia], "&gt;="&amp;P$1,
  tb_caixa[Dia], "&lt;"&amp;EOMONTH(P$1,0)+1
)</f>
        <v>43656.59</v>
      </c>
      <c r="Q313" s="299">
        <f>SUMIFS(
  tb_caixa[Saldo],
  tb_caixa[Empresa], $B313,
  tb_caixa[Dia], "&gt;="&amp;Q$1,
  tb_caixa[Dia], "&lt;"&amp;EOMONTH(Q$1,0)+1
)</f>
        <v>9922.36</v>
      </c>
      <c r="R313" s="299">
        <f>SUMIFS(
  tb_caixa[Saldo],
  tb_caixa[Empresa], $B313,
  tb_caixa[Dia], "&gt;="&amp;R$1,
  tb_caixa[Dia], "&lt;"&amp;EOMONTH(R$1,0)+1
)</f>
        <v>15877.75</v>
      </c>
      <c r="S313" s="299">
        <f>SUMIFS(
  tb_caixa[Saldo],
  tb_caixa[Empresa], $B313,
  tb_caixa[Dia], "&gt;="&amp;S$1,
  tb_caixa[Dia], "&lt;"&amp;EOMONTH(S$1,0)+1
)</f>
        <v>7529.8899999999994</v>
      </c>
      <c r="T313" s="299">
        <f>SUMIFS(
  tb_caixa[Saldo],
  tb_caixa[Empresa], $B313,
  tb_caixa[Dia], "&gt;="&amp;T$1,
  tb_caixa[Dia], "&lt;"&amp;EOMONTH(T$1,0)+1
)</f>
        <v>29353.53</v>
      </c>
      <c r="U313" s="299">
        <f>SUMIFS(
  tb_caixa[Saldo],
  tb_caixa[Empresa], $B313,
  tb_caixa[Dia], "&gt;="&amp;U$1,
  tb_caixa[Dia], "&lt;"&amp;EOMONTH(U$1,0)+1
)</f>
        <v>51828.94</v>
      </c>
      <c r="V313" s="299">
        <f>SUMIFS(
  tb_caixa[Saldo],
  tb_caixa[Empresa], $B313,
  tb_caixa[Dia], "&gt;="&amp;V$1,
  tb_caixa[Dia], "&lt;"&amp;EOMONTH(V$1,0)+1
)</f>
        <v>75616.160000000003</v>
      </c>
      <c r="W313" s="299">
        <f>SUMIFS(
  tb_caixa[Saldo],
  tb_caixa[Empresa], $B313,
  tb_caixa[Dia], "&gt;="&amp;W$1,
  tb_caixa[Dia], "&lt;"&amp;EOMONTH(W$1,0)+1
)</f>
        <v>100594</v>
      </c>
      <c r="X313" s="299">
        <f>SUMIFS(
  tb_caixa[Saldo],
  tb_caixa[Empresa], $B313,
  tb_caixa[Dia], "&gt;="&amp;X$1,
  tb_caixa[Dia], "&lt;"&amp;EOMONTH(X$1,0)+1
)</f>
        <v>123940.22</v>
      </c>
      <c r="Y313" s="299">
        <f>SUMIFS(
  tb_caixa[Saldo],
  tb_caixa[Empresa], $B313,
  tb_caixa[Dia], "&gt;="&amp;Y$1,
  tb_caixa[Dia], "&lt;"&amp;EOMONTH(Y$1,0)+1
)</f>
        <v>0</v>
      </c>
      <c r="Z313" s="299">
        <f>SUMIFS(
  tb_caixa[Saldo],
  tb_caixa[Empresa], $B313,
  tb_caixa[Dia], "&gt;="&amp;Z$1,
  tb_caixa[Dia], "&lt;"&amp;EOMONTH(Z$1,0)+1
)</f>
        <v>0</v>
      </c>
      <c r="AA313" s="299">
        <f>SUMIFS(
  tb_caixa[Saldo],
  tb_caixa[Empresa], $B313,
  tb_caixa[Dia], "&gt;="&amp;AA$1,
  tb_caixa[Dia], "&lt;"&amp;EOMONTH(AA$1,0)+1
)</f>
        <v>0</v>
      </c>
    </row>
    <row r="314" spans="1:31" outlineLevel="2" x14ac:dyDescent="0.25">
      <c r="A314" s="303" t="str">
        <f t="shared" ref="A314" si="60">"4.1."&amp;B314&amp;"."</f>
        <v>4.1.VII.</v>
      </c>
      <c r="B314" s="298" t="s">
        <v>1032</v>
      </c>
      <c r="C314" s="298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>
        <f>SUMIFS(
  tb_caixa[Saldo],
  tb_caixa[Empresa], $B314,
  tb_caixa[Dia], "&gt;="&amp;P$1,
  tb_caixa[Dia], "&lt;"&amp;EOMONTH(P$1,0)+1
)</f>
        <v>0</v>
      </c>
      <c r="Q314" s="299">
        <f>SUMIFS(
  tb_caixa[Saldo],
  tb_caixa[Empresa], $B314,
  tb_caixa[Dia], "&gt;="&amp;Q$1,
  tb_caixa[Dia], "&lt;"&amp;EOMONTH(Q$1,0)+1
)</f>
        <v>0</v>
      </c>
      <c r="R314" s="299">
        <f>SUMIFS(
  tb_caixa[Saldo],
  tb_caixa[Empresa], $B314,
  tb_caixa[Dia], "&gt;="&amp;R$1,
  tb_caixa[Dia], "&lt;"&amp;EOMONTH(R$1,0)+1
)</f>
        <v>0</v>
      </c>
      <c r="S314" s="299">
        <f>SUMIFS(
  tb_caixa[Saldo],
  tb_caixa[Empresa], $B314,
  tb_caixa[Dia], "&gt;="&amp;S$1,
  tb_caixa[Dia], "&lt;"&amp;EOMONTH(S$1,0)+1
)</f>
        <v>0</v>
      </c>
      <c r="T314" s="299">
        <f>SUMIFS(
  tb_caixa[Saldo],
  tb_caixa[Empresa], $B314,
  tb_caixa[Dia], "&gt;="&amp;T$1,
  tb_caixa[Dia], "&lt;"&amp;EOMONTH(T$1,0)+1
)</f>
        <v>0</v>
      </c>
      <c r="U314" s="299">
        <f>SUMIFS(
  tb_caixa[Saldo],
  tb_caixa[Empresa], $B314,
  tb_caixa[Dia], "&gt;="&amp;U$1,
  tb_caixa[Dia], "&lt;"&amp;EOMONTH(U$1,0)+1
)</f>
        <v>0</v>
      </c>
      <c r="V314" s="299">
        <f>SUMIFS(
  tb_caixa[Saldo],
  tb_caixa[Empresa], $B314,
  tb_caixa[Dia], "&gt;="&amp;V$1,
  tb_caixa[Dia], "&lt;"&amp;EOMONTH(V$1,0)+1
)</f>
        <v>0</v>
      </c>
      <c r="W314" s="299">
        <f>SUMIFS(
  tb_caixa[Saldo],
  tb_caixa[Empresa], $B314,
  tb_caixa[Dia], "&gt;="&amp;W$1,
  tb_caixa[Dia], "&lt;"&amp;EOMONTH(W$1,0)+1
)</f>
        <v>0</v>
      </c>
      <c r="X314" s="299">
        <f>SUMIFS(
  tb_caixa[Saldo],
  tb_caixa[Empresa], $B314,
  tb_caixa[Dia], "&gt;="&amp;X$1,
  tb_caixa[Dia], "&lt;"&amp;EOMONTH(X$1,0)+1
)</f>
        <v>0</v>
      </c>
      <c r="Y314" s="299">
        <f>SUMIFS(
  tb_caixa[Saldo],
  tb_caixa[Empresa], $B314,
  tb_caixa[Dia], "&gt;="&amp;Y$1,
  tb_caixa[Dia], "&lt;"&amp;EOMONTH(Y$1,0)+1
)</f>
        <v>0</v>
      </c>
      <c r="Z314" s="299">
        <f>SUMIFS(
  tb_caixa[Saldo],
  tb_caixa[Empresa], $B314,
  tb_caixa[Dia], "&gt;="&amp;Z$1,
  tb_caixa[Dia], "&lt;"&amp;EOMONTH(Z$1,0)+1
)</f>
        <v>0</v>
      </c>
      <c r="AA314" s="299">
        <f>SUMIFS(
  tb_caixa[Saldo],
  tb_caixa[Empresa], $B314,
  tb_caixa[Dia], "&gt;="&amp;AA$1,
  tb_caixa[Dia], "&lt;"&amp;EOMONTH(AA$1,0)+1
)</f>
        <v>0</v>
      </c>
    </row>
    <row r="315" spans="1:31" outlineLevel="2" x14ac:dyDescent="0.25">
      <c r="A315" s="303" t="str">
        <f t="shared" si="59"/>
        <v>4.1.VRT.</v>
      </c>
      <c r="B315" s="298" t="s">
        <v>956</v>
      </c>
      <c r="C315" s="298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>
        <f>SUMIFS(
  tb_caixa[Saldo],
  tb_caixa[Empresa], $B315,
  tb_caixa[Dia], "&gt;="&amp;P$1,
  tb_caixa[Dia], "&lt;"&amp;EOMONTH(P$1,0)+1
)</f>
        <v>-13906.53</v>
      </c>
      <c r="Q315" s="299">
        <f>SUMIFS(
  tb_caixa[Saldo],
  tb_caixa[Empresa], $B315,
  tb_caixa[Dia], "&gt;="&amp;Q$1,
  tb_caixa[Dia], "&lt;"&amp;EOMONTH(Q$1,0)+1
)</f>
        <v>729.84</v>
      </c>
      <c r="R315" s="299">
        <f>SUMIFS(
  tb_caixa[Saldo],
  tb_caixa[Empresa], $B315,
  tb_caixa[Dia], "&gt;="&amp;R$1,
  tb_caixa[Dia], "&lt;"&amp;EOMONTH(R$1,0)+1
)</f>
        <v>-39768.54</v>
      </c>
      <c r="S315" s="299">
        <f>SUMIFS(
  tb_caixa[Saldo],
  tb_caixa[Empresa], $B315,
  tb_caixa[Dia], "&gt;="&amp;S$1,
  tb_caixa[Dia], "&lt;"&amp;EOMONTH(S$1,0)+1
)</f>
        <v>-35287.72</v>
      </c>
      <c r="T315" s="299">
        <f>SUMIFS(
  tb_caixa[Saldo],
  tb_caixa[Empresa], $B315,
  tb_caixa[Dia], "&gt;="&amp;T$1,
  tb_caixa[Dia], "&lt;"&amp;EOMONTH(T$1,0)+1
)</f>
        <v>-40683.660000000003</v>
      </c>
      <c r="U315" s="299">
        <f>SUMIFS(
  tb_caixa[Saldo],
  tb_caixa[Empresa], $B315,
  tb_caixa[Dia], "&gt;="&amp;U$1,
  tb_caixa[Dia], "&lt;"&amp;EOMONTH(U$1,0)+1
)</f>
        <v>-39852.39</v>
      </c>
      <c r="V315" s="299">
        <f>SUMIFS(
  tb_caixa[Saldo],
  tb_caixa[Empresa], $B315,
  tb_caixa[Dia], "&gt;="&amp;V$1,
  tb_caixa[Dia], "&lt;"&amp;EOMONTH(V$1,0)+1
)</f>
        <v>785.2</v>
      </c>
      <c r="W315" s="299">
        <f>SUMIFS(
  tb_caixa[Saldo],
  tb_caixa[Empresa], $B315,
  tb_caixa[Dia], "&gt;="&amp;W$1,
  tb_caixa[Dia], "&lt;"&amp;EOMONTH(W$1,0)+1
)</f>
        <v>0</v>
      </c>
      <c r="X315" s="299">
        <f>SUMIFS(
  tb_caixa[Saldo],
  tb_caixa[Empresa], $B315,
  tb_caixa[Dia], "&gt;="&amp;X$1,
  tb_caixa[Dia], "&lt;"&amp;EOMONTH(X$1,0)+1
)</f>
        <v>0</v>
      </c>
      <c r="Y315" s="299">
        <f>SUMIFS(
  tb_caixa[Saldo],
  tb_caixa[Empresa], $B315,
  tb_caixa[Dia], "&gt;="&amp;Y$1,
  tb_caixa[Dia], "&lt;"&amp;EOMONTH(Y$1,0)+1
)</f>
        <v>0</v>
      </c>
      <c r="Z315" s="299">
        <f>SUMIFS(
  tb_caixa[Saldo],
  tb_caixa[Empresa], $B315,
  tb_caixa[Dia], "&gt;="&amp;Z$1,
  tb_caixa[Dia], "&lt;"&amp;EOMONTH(Z$1,0)+1
)</f>
        <v>0</v>
      </c>
      <c r="AA315" s="299">
        <f>SUMIFS(
  tb_caixa[Saldo],
  tb_caixa[Empresa], $B315,
  tb_caixa[Dia], "&gt;="&amp;AA$1,
  tb_caixa[Dia], "&lt;"&amp;EOMONTH(AA$1,0)+1
)</f>
        <v>0</v>
      </c>
    </row>
    <row r="316" spans="1:31" ht="15.75" thickBot="1" x14ac:dyDescent="0.3">
      <c r="A316" s="170"/>
      <c r="B316" s="170" t="s">
        <v>662</v>
      </c>
      <c r="C316" s="195"/>
      <c r="D316" s="196">
        <f t="shared" ref="D316:AA316" ca="1" si="61">D$2+D$174+D$200</f>
        <v>1368024.05</v>
      </c>
      <c r="E316" s="196">
        <f t="shared" ca="1" si="61"/>
        <v>102314.88</v>
      </c>
      <c r="F316" s="196">
        <f t="shared" ca="1" si="61"/>
        <v>868976.02</v>
      </c>
      <c r="G316" s="196">
        <f t="shared" ca="1" si="61"/>
        <v>3242012.18</v>
      </c>
      <c r="H316" s="196">
        <f t="shared" ca="1" si="61"/>
        <v>-3768626.2499999986</v>
      </c>
      <c r="I316" s="196">
        <f t="shared" ca="1" si="61"/>
        <v>3463508.48</v>
      </c>
      <c r="J316" s="196">
        <f t="shared" ca="1" si="61"/>
        <v>-103639.74000000022</v>
      </c>
      <c r="K316" s="196">
        <f t="shared" ca="1" si="61"/>
        <v>13859782.639999999</v>
      </c>
      <c r="L316" s="196">
        <f t="shared" ca="1" si="61"/>
        <v>1572184.21</v>
      </c>
      <c r="M316" s="196">
        <f t="shared" ca="1" si="61"/>
        <v>4119553.0399999996</v>
      </c>
      <c r="N316" s="196">
        <f t="shared" ca="1" si="61"/>
        <v>-3018398.11</v>
      </c>
      <c r="O316" s="196">
        <f t="shared" ca="1" si="61"/>
        <v>796645.68</v>
      </c>
      <c r="P316" s="196">
        <f t="shared" ca="1" si="61"/>
        <v>1318482.03</v>
      </c>
      <c r="Q316" s="196">
        <f t="shared" ca="1" si="61"/>
        <v>3970629.95</v>
      </c>
      <c r="R316" s="196">
        <f t="shared" ca="1" si="61"/>
        <v>2886031.81</v>
      </c>
      <c r="S316" s="196">
        <f t="shared" ca="1" si="61"/>
        <v>1292236.98</v>
      </c>
      <c r="T316" s="196">
        <f t="shared" ca="1" si="61"/>
        <v>7398838.5200000005</v>
      </c>
      <c r="U316" s="196">
        <f t="shared" ca="1" si="61"/>
        <v>1756267.9000000001</v>
      </c>
      <c r="V316" s="196">
        <f t="shared" ca="1" si="61"/>
        <v>3023425.66</v>
      </c>
      <c r="W316" s="196">
        <f t="shared" ca="1" si="61"/>
        <v>1220818.57</v>
      </c>
      <c r="X316" s="196">
        <f t="shared" ca="1" si="61"/>
        <v>0</v>
      </c>
      <c r="Y316" s="196">
        <f t="shared" ca="1" si="61"/>
        <v>0</v>
      </c>
      <c r="Z316" s="196">
        <f t="shared" ca="1" si="61"/>
        <v>0</v>
      </c>
      <c r="AA316" s="196">
        <f t="shared" ca="1" si="61"/>
        <v>0</v>
      </c>
      <c r="AC316" s="279">
        <f ca="1">SUM($D316:INDEX($D316:$AA316,1,MATCH(DATE(YEAR(inputs!$A$1),MONTH(inputs!$A$1),1),$D$1:$AA$1,0)))</f>
        <v>45369068.500000007</v>
      </c>
      <c r="AE316" s="279">
        <f ca="1">SUM(D316:AA316)</f>
        <v>45369068.500000007</v>
      </c>
    </row>
    <row r="317" spans="1:31" x14ac:dyDescent="0.25"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</row>
    <row r="318" spans="1:31" x14ac:dyDescent="0.25">
      <c r="B318" s="13" t="s">
        <v>886</v>
      </c>
      <c r="D318" s="183">
        <v>445038.0499999983</v>
      </c>
      <c r="E318" s="183">
        <v>-3080598.9099999992</v>
      </c>
      <c r="F318" s="183">
        <v>-77552.059999998106</v>
      </c>
      <c r="G318" s="183">
        <v>-6268646.3300000019</v>
      </c>
      <c r="H318" s="183">
        <v>-12070151.459999997</v>
      </c>
      <c r="I318" s="183">
        <v>2576010.419999999</v>
      </c>
      <c r="J318" s="183">
        <v>-5272241.8699999955</v>
      </c>
      <c r="K318" s="183">
        <v>2398442.0899999971</v>
      </c>
      <c r="L318" s="183">
        <v>-325405.90999999736</v>
      </c>
      <c r="M318" s="183">
        <v>-532363.84999999963</v>
      </c>
      <c r="N318" s="183">
        <v>-5844977.1499999985</v>
      </c>
      <c r="O318" s="183">
        <v>2958952.1699999962</v>
      </c>
      <c r="P318" s="183">
        <v>-1196371.1999999993</v>
      </c>
      <c r="Q318" s="183">
        <v>-430466.59999999986</v>
      </c>
      <c r="R318" s="183">
        <v>1067361.9900000012</v>
      </c>
      <c r="S318" s="183">
        <v>-372845.44999999751</v>
      </c>
      <c r="T318" s="183">
        <v>6344582.4399999976</v>
      </c>
      <c r="U318" s="183">
        <v>-2063397.0199999954</v>
      </c>
      <c r="V318" s="183">
        <v>7122938.4899999974</v>
      </c>
      <c r="W318" s="183"/>
      <c r="X318" s="183"/>
      <c r="Y318" s="183"/>
      <c r="Z318" s="183"/>
      <c r="AA318" s="183"/>
    </row>
    <row r="319" spans="1:31" x14ac:dyDescent="0.25">
      <c r="B319" s="13" t="s">
        <v>887</v>
      </c>
      <c r="D319" s="183">
        <f ca="1">D$316-D$318</f>
        <v>922986.00000000175</v>
      </c>
      <c r="E319" s="183">
        <f t="shared" ref="E319:S319" ca="1" si="62">E$316-E$318</f>
        <v>3182913.7899999991</v>
      </c>
      <c r="F319" s="183">
        <f t="shared" ca="1" si="62"/>
        <v>946528.0799999981</v>
      </c>
      <c r="G319" s="183">
        <f t="shared" ca="1" si="62"/>
        <v>9510658.5100000016</v>
      </c>
      <c r="H319" s="183">
        <f t="shared" ca="1" si="62"/>
        <v>8301525.209999999</v>
      </c>
      <c r="I319" s="183">
        <f t="shared" ca="1" si="62"/>
        <v>887498.06000000099</v>
      </c>
      <c r="J319" s="183">
        <f t="shared" ca="1" si="62"/>
        <v>5168602.1299999952</v>
      </c>
      <c r="K319" s="183">
        <f t="shared" ca="1" si="62"/>
        <v>11461340.550000001</v>
      </c>
      <c r="L319" s="183">
        <f t="shared" ca="1" si="62"/>
        <v>1897590.1199999973</v>
      </c>
      <c r="M319" s="183">
        <f t="shared" ca="1" si="62"/>
        <v>4651916.8899999987</v>
      </c>
      <c r="N319" s="183">
        <f t="shared" ca="1" si="62"/>
        <v>2826579.0399999986</v>
      </c>
      <c r="O319" s="183">
        <f t="shared" ca="1" si="62"/>
        <v>-2162306.489999996</v>
      </c>
      <c r="P319" s="183">
        <f t="shared" ca="1" si="62"/>
        <v>2514853.2299999995</v>
      </c>
      <c r="Q319" s="183">
        <f t="shared" ca="1" si="62"/>
        <v>4401096.55</v>
      </c>
      <c r="R319" s="183">
        <f t="shared" ca="1" si="62"/>
        <v>1818669.8199999989</v>
      </c>
      <c r="S319" s="183">
        <f t="shared" ca="1" si="62"/>
        <v>1665082.4299999974</v>
      </c>
      <c r="T319" s="183">
        <f ca="1">T$316-T$318</f>
        <v>1054256.0800000029</v>
      </c>
      <c r="U319" s="183">
        <f ca="1">U$316-U$318</f>
        <v>3819664.9199999953</v>
      </c>
      <c r="V319" s="183">
        <f ca="1">V$316-V$318</f>
        <v>-4099512.8299999973</v>
      </c>
      <c r="W319" s="183"/>
      <c r="X319" s="183"/>
      <c r="Y319" s="183"/>
      <c r="Z319" s="183"/>
      <c r="AA319" s="183"/>
    </row>
    <row r="320" spans="1:31" x14ac:dyDescent="0.25"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</row>
    <row r="321" spans="4:27" x14ac:dyDescent="0.25"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</row>
    <row r="322" spans="4:27" x14ac:dyDescent="0.25"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</row>
    <row r="323" spans="4:27" x14ac:dyDescent="0.25"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</row>
    <row r="324" spans="4:27" x14ac:dyDescent="0.25"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</row>
  </sheetData>
  <conditionalFormatting sqref="A1:A316">
    <cfRule type="endsWith" dxfId="29" priority="2" operator="endsWith" text="..">
      <formula>RIGHT(A1,LEN(".."))=".."</formula>
    </cfRule>
  </conditionalFormatting>
  <pageMargins left="0.511811024" right="0.511811024" top="0.78740157499999996" bottom="0.78740157499999996" header="0.31496062000000002" footer="0.31496062000000002"/>
  <ignoredErrors>
    <ignoredError sqref="AE10 AE21" formula="1"/>
  </ignoredErrors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C569CC84-A7FE-4FDE-A689-2CBDC4DD0D1D}">
            <xm:f>inputs!$A$1</xm:f>
            <x14:dxf>
              <fill>
                <patternFill>
                  <bgColor theme="0" tint="-0.34998626667073579"/>
                </patternFill>
              </fill>
            </x14:dxf>
          </x14:cfRule>
          <xm:sqref>D1:AA1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3997-8FF4-4144-9BB0-2BB822A8B383}">
  <sheetPr>
    <tabColor rgb="FFFF0000"/>
  </sheetPr>
  <dimension ref="A1:O46"/>
  <sheetViews>
    <sheetView showGridLines="0" zoomScale="80" zoomScaleNormal="80" workbookViewId="0">
      <pane xSplit="2" ySplit="2" topLeftCell="F30" activePane="bottomRight" state="frozen"/>
      <selection activeCell="D44" sqref="D44:R44"/>
      <selection pane="topRight" activeCell="D44" sqref="D44:R44"/>
      <selection pane="bottomLeft" activeCell="D44" sqref="D44:R44"/>
      <selection pane="bottomRight" activeCell="O36" sqref="O36"/>
    </sheetView>
  </sheetViews>
  <sheetFormatPr defaultRowHeight="15" outlineLevelRow="1" x14ac:dyDescent="0.25"/>
  <cols>
    <col min="1" max="1" width="18.7109375" customWidth="1"/>
    <col min="2" max="2" width="51.7109375" customWidth="1"/>
    <col min="3" max="13" width="15.7109375" customWidth="1"/>
    <col min="14" max="14" width="3.7109375" customWidth="1"/>
    <col min="15" max="15" width="15.7109375" customWidth="1"/>
  </cols>
  <sheetData>
    <row r="1" spans="1:15" ht="30" x14ac:dyDescent="0.4">
      <c r="A1" s="288" t="str">
        <f>"Fechamento de " &amp; TEXT(inputs!A1,"mmmm") &amp; " de " &amp; YEAR(inputs!A1)</f>
        <v>Fechamento de agosto de 2026</v>
      </c>
      <c r="B1" s="253"/>
      <c r="C1" s="309" t="s">
        <v>494</v>
      </c>
      <c r="D1" s="310" t="s">
        <v>829</v>
      </c>
      <c r="E1" s="233" t="s">
        <v>533</v>
      </c>
      <c r="F1" s="233" t="s">
        <v>539</v>
      </c>
      <c r="G1" s="233" t="s">
        <v>704</v>
      </c>
      <c r="H1" s="233" t="s">
        <v>537</v>
      </c>
      <c r="I1" s="233" t="s">
        <v>541</v>
      </c>
      <c r="J1" s="233" t="s">
        <v>535</v>
      </c>
      <c r="K1" s="233" t="s">
        <v>544</v>
      </c>
      <c r="L1" s="233" t="s">
        <v>531</v>
      </c>
      <c r="M1" s="234" t="s">
        <v>546</v>
      </c>
      <c r="O1" s="280" t="s">
        <v>25</v>
      </c>
    </row>
    <row r="2" spans="1:15" x14ac:dyDescent="0.25">
      <c r="B2" s="253"/>
      <c r="C2" s="311" t="s">
        <v>830</v>
      </c>
      <c r="D2" s="312"/>
      <c r="E2" s="235" t="s">
        <v>7</v>
      </c>
      <c r="F2" s="235" t="s">
        <v>8</v>
      </c>
      <c r="G2" s="235" t="s">
        <v>673</v>
      </c>
      <c r="H2" s="235" t="s">
        <v>9</v>
      </c>
      <c r="I2" s="235" t="s">
        <v>10</v>
      </c>
      <c r="J2" s="235" t="s">
        <v>11</v>
      </c>
      <c r="K2" s="235" t="s">
        <v>465</v>
      </c>
      <c r="L2" s="235" t="s">
        <v>12</v>
      </c>
      <c r="M2" s="236" t="s">
        <v>13</v>
      </c>
      <c r="O2" s="281"/>
    </row>
    <row r="3" spans="1:15" x14ac:dyDescent="0.25">
      <c r="A3" s="172" t="s">
        <v>502</v>
      </c>
      <c r="B3" s="254" t="s">
        <v>503</v>
      </c>
      <c r="C3" s="237">
        <f t="shared" ref="C3:M3" si="0">C4+C9</f>
        <v>0</v>
      </c>
      <c r="D3" s="237">
        <f t="shared" ca="1" si="0"/>
        <v>0</v>
      </c>
      <c r="E3" s="237">
        <f t="shared" ca="1" si="0"/>
        <v>0</v>
      </c>
      <c r="F3" s="237">
        <f t="shared" ca="1" si="0"/>
        <v>0</v>
      </c>
      <c r="G3" s="237">
        <f t="shared" ca="1" si="0"/>
        <v>0</v>
      </c>
      <c r="H3" s="237">
        <f t="shared" ca="1" si="0"/>
        <v>0</v>
      </c>
      <c r="I3" s="237">
        <f t="shared" ca="1" si="0"/>
        <v>0</v>
      </c>
      <c r="J3" s="237">
        <f t="shared" ca="1" si="0"/>
        <v>238734.72</v>
      </c>
      <c r="K3" s="237">
        <f t="shared" ca="1" si="0"/>
        <v>0</v>
      </c>
      <c r="L3" s="237">
        <f t="shared" ca="1" si="0"/>
        <v>0</v>
      </c>
      <c r="M3" s="238">
        <f t="shared" ca="1" si="0"/>
        <v>0</v>
      </c>
      <c r="O3" s="273">
        <f t="shared" ref="O3:O44" ca="1" si="1">SUM(C3:M3)</f>
        <v>238734.72</v>
      </c>
    </row>
    <row r="4" spans="1:15" x14ac:dyDescent="0.25">
      <c r="A4" s="176" t="s">
        <v>505</v>
      </c>
      <c r="B4" s="255" t="s">
        <v>506</v>
      </c>
      <c r="C4" s="239">
        <f t="shared" ref="C4:M4" si="2">SUM(C5:C8)</f>
        <v>0</v>
      </c>
      <c r="D4" s="239">
        <f t="shared" ca="1" si="2"/>
        <v>0</v>
      </c>
      <c r="E4" s="239">
        <f t="shared" ca="1" si="2"/>
        <v>0</v>
      </c>
      <c r="F4" s="239">
        <f t="shared" ca="1" si="2"/>
        <v>0</v>
      </c>
      <c r="G4" s="239">
        <f t="shared" ca="1" si="2"/>
        <v>0</v>
      </c>
      <c r="H4" s="239">
        <f t="shared" ca="1" si="2"/>
        <v>0</v>
      </c>
      <c r="I4" s="239">
        <f t="shared" ca="1" si="2"/>
        <v>0</v>
      </c>
      <c r="J4" s="239">
        <f t="shared" ca="1" si="2"/>
        <v>238734.72</v>
      </c>
      <c r="K4" s="239">
        <f t="shared" ca="1" si="2"/>
        <v>0</v>
      </c>
      <c r="L4" s="239">
        <f t="shared" ca="1" si="2"/>
        <v>0</v>
      </c>
      <c r="M4" s="240">
        <f t="shared" ca="1" si="2"/>
        <v>0</v>
      </c>
      <c r="O4" s="274">
        <f t="shared" ca="1" si="1"/>
        <v>238734.72</v>
      </c>
    </row>
    <row r="5" spans="1:15" outlineLevel="1" x14ac:dyDescent="0.25">
      <c r="A5" s="179" t="s">
        <v>507</v>
      </c>
      <c r="B5" s="256" t="s">
        <v>508</v>
      </c>
      <c r="C5" s="241">
        <v>0</v>
      </c>
      <c r="D5" s="241">
        <f ca="1">SUMIFS(tb_rec_uni[2026-08-01],INDIRECT("tb_rec_uni[natureza]"),"repasse.cef.obra")
+SUMIFS(tb_rec_uni[2026-08-01],INDIRECT("tb_rec_uni[natureza]"),"repasse.cef.terreno")
-SUM(C5,E5:M5)</f>
        <v>0</v>
      </c>
      <c r="E5" s="241">
        <f ca="1">SUMIFS(tb_rec_uni[2026-08-01],
INDIRECT("tb_rec_uni[natureza]"),"repasse.cef.obra",
INDIRECT("tb_rec_uni[empresa]"),E$2)+
SUMIFS(tb_rec_uni[2026-08-01],
INDIRECT("tb_rec_uni[natureza]"),"repasse.cef.terreno",
INDIRECT("tb_rec_uni[empresa]"),E$2)</f>
        <v>0</v>
      </c>
      <c r="F5" s="241">
        <f ca="1">SUMIFS(tb_rec_uni[2026-08-01],
INDIRECT("tb_rec_uni[natureza]"),"repasse.cef.obra",
INDIRECT("tb_rec_uni[empresa]"),F$2)+
SUMIFS(tb_rec_uni[2026-08-01],
INDIRECT("tb_rec_uni[natureza]"),"repasse.cef.terreno",
INDIRECT("tb_rec_uni[empresa]"),F$2)</f>
        <v>0</v>
      </c>
      <c r="G5" s="241">
        <f ca="1">SUMIFS(tb_rec_uni[2026-08-01],
INDIRECT("tb_rec_uni[natureza]"),"repasse.cef.obra",
INDIRECT("tb_rec_uni[empresa]"),G$2)+
SUMIFS(tb_rec_uni[2026-08-01],
INDIRECT("tb_rec_uni[natureza]"),"repasse.cef.terreno",
INDIRECT("tb_rec_uni[empresa]"),G$2)</f>
        <v>0</v>
      </c>
      <c r="H5" s="241">
        <f ca="1">SUMIFS(tb_rec_uni[2026-08-01],
INDIRECT("tb_rec_uni[natureza]"),"repasse.cef.obra",
INDIRECT("tb_rec_uni[empresa]"),H$2)+
SUMIFS(tb_rec_uni[2026-08-01],
INDIRECT("tb_rec_uni[natureza]"),"repasse.cef.terreno",
INDIRECT("tb_rec_uni[empresa]"),H$2)</f>
        <v>0</v>
      </c>
      <c r="I5" s="241">
        <f ca="1">SUMIFS(tb_rec_uni[2026-08-01],
INDIRECT("tb_rec_uni[natureza]"),"repasse.cef.obra",
INDIRECT("tb_rec_uni[empresa]"),I$2)+
SUMIFS(tb_rec_uni[2026-08-01],
INDIRECT("tb_rec_uni[natureza]"),"repasse.cef.terreno",
INDIRECT("tb_rec_uni[empresa]"),I$2)</f>
        <v>0</v>
      </c>
      <c r="J5" s="241">
        <f ca="1">SUMIFS(tb_rec_uni[2026-08-01],
INDIRECT("tb_rec_uni[natureza]"),"repasse.cef.obra",
INDIRECT("tb_rec_uni[empresa]"),J$2)+
SUMIFS(tb_rec_uni[2026-08-01],
INDIRECT("tb_rec_uni[natureza]"),"repasse.cef.terreno",
INDIRECT("tb_rec_uni[empresa]"),J$2)</f>
        <v>0</v>
      </c>
      <c r="K5" s="241">
        <f ca="1">SUMIFS(tb_rec_uni[2026-08-01],
INDIRECT("tb_rec_uni[natureza]"),"repasse.cef.obra",
INDIRECT("tb_rec_uni[empresa]"),K$2)+
SUMIFS(tb_rec_uni[2026-08-01],
INDIRECT("tb_rec_uni[natureza]"),"repasse.cef.terreno",
INDIRECT("tb_rec_uni[empresa]"),K$2)</f>
        <v>0</v>
      </c>
      <c r="L5" s="241">
        <f ca="1">SUMIFS(tb_rec_uni[2026-08-01],
INDIRECT("tb_rec_uni[natureza]"),"repasse.cef.obra",
INDIRECT("tb_rec_uni[empresa]"),L$2)+
SUMIFS(tb_rec_uni[2026-08-01],
INDIRECT("tb_rec_uni[natureza]"),"repasse.cef.terreno",
INDIRECT("tb_rec_uni[empresa]"),L$2)</f>
        <v>0</v>
      </c>
      <c r="M5" s="242">
        <f ca="1">SUMIFS(tb_rec_uni[2026-08-01],
INDIRECT("tb_rec_uni[natureza]"),"repasse.cef.obra",
INDIRECT("tb_rec_uni[empresa]"),M$2)+
SUMIFS(tb_rec_uni[2026-08-01],
INDIRECT("tb_rec_uni[natureza]"),"repasse.cef.terreno",
INDIRECT("tb_rec_uni[empresa]"),M$2)</f>
        <v>0</v>
      </c>
      <c r="O5" s="275">
        <f t="shared" ca="1" si="1"/>
        <v>0</v>
      </c>
    </row>
    <row r="6" spans="1:15" outlineLevel="1" x14ac:dyDescent="0.25">
      <c r="A6" s="179" t="s">
        <v>513</v>
      </c>
      <c r="B6" s="256" t="s">
        <v>16</v>
      </c>
      <c r="C6" s="241">
        <v>0</v>
      </c>
      <c r="D6" s="241">
        <f ca="1">SUMIFS(tb_rec_uni[2026-08-01],INDIRECT("tb_rec_uni[natureza]"),"pro.soluto")
-SUM(C6,E6:M6)</f>
        <v>0</v>
      </c>
      <c r="E6" s="241">
        <f ca="1">SUMIFS(tb_rec_uni[2026-08-01],
INDIRECT("tb_rec_uni[natureza]"),"pro.soluto",
INDIRECT("tb_rec_uni[empresa]"),E$2)</f>
        <v>0</v>
      </c>
      <c r="F6" s="241">
        <f ca="1">SUMIFS(tb_rec_uni[2026-08-01],
INDIRECT("tb_rec_uni[natureza]"),"pro.soluto",
INDIRECT("tb_rec_uni[empresa]"),F$2)</f>
        <v>0</v>
      </c>
      <c r="G6" s="241">
        <f ca="1">SUMIFS(tb_rec_uni[2026-08-01],
INDIRECT("tb_rec_uni[natureza]"),"pro.soluto",
INDIRECT("tb_rec_uni[empresa]"),G$2)</f>
        <v>0</v>
      </c>
      <c r="H6" s="241">
        <f ca="1">SUMIFS(tb_rec_uni[2026-08-01],
INDIRECT("tb_rec_uni[natureza]"),"pro.soluto",
INDIRECT("tb_rec_uni[empresa]"),H$2)</f>
        <v>0</v>
      </c>
      <c r="I6" s="241">
        <f ca="1">SUMIFS(tb_rec_uni[2026-08-01],
INDIRECT("tb_rec_uni[natureza]"),"pro.soluto",
INDIRECT("tb_rec_uni[empresa]"),I$2)</f>
        <v>0</v>
      </c>
      <c r="J6" s="241">
        <f ca="1">SUMIFS(tb_rec_uni[2026-08-01],
INDIRECT("tb_rec_uni[natureza]"),"pro.soluto",
INDIRECT("tb_rec_uni[empresa]"),J$2)</f>
        <v>0</v>
      </c>
      <c r="K6" s="241">
        <f ca="1">SUMIFS(tb_rec_uni[2026-08-01],
INDIRECT("tb_rec_uni[natureza]"),"pro.soluto",
INDIRECT("tb_rec_uni[empresa]"),K$2)</f>
        <v>0</v>
      </c>
      <c r="L6" s="241">
        <f ca="1">SUMIFS(tb_rec_uni[2026-08-01],
INDIRECT("tb_rec_uni[natureza]"),"pro.soluto",
INDIRECT("tb_rec_uni[empresa]"),L$2)</f>
        <v>0</v>
      </c>
      <c r="M6" s="242">
        <f ca="1">SUMIFS(tb_rec_uni[2026-08-01],
INDIRECT("tb_rec_uni[natureza]"),"pro.soluto",
INDIRECT("tb_rec_uni[empresa]"),M$2)</f>
        <v>0</v>
      </c>
      <c r="O6" s="275">
        <f t="shared" ca="1" si="1"/>
        <v>0</v>
      </c>
    </row>
    <row r="7" spans="1:15" outlineLevel="1" x14ac:dyDescent="0.25">
      <c r="A7" s="179" t="s">
        <v>522</v>
      </c>
      <c r="B7" s="256" t="s">
        <v>526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 cm="1">
        <f t="array" ref="J7">INDEX(inputs!$BJ$51:$BJ$122,ABS(12*(YEAR(MIN(f.grupo!$A$1:$DJ$1))-YEAR(inputs!$A$1))+MONTH(MIN(f.grupo!$A$1:$DJ$1))-MONTH(inputs!$A$1))+1)</f>
        <v>238734.72</v>
      </c>
      <c r="K7" s="241">
        <v>0</v>
      </c>
      <c r="L7" s="241">
        <v>0</v>
      </c>
      <c r="M7" s="242">
        <v>0</v>
      </c>
      <c r="O7" s="275">
        <f>SUM(C7:M7)</f>
        <v>238734.72</v>
      </c>
    </row>
    <row r="8" spans="1:15" outlineLevel="1" x14ac:dyDescent="0.25">
      <c r="A8" s="179" t="s">
        <v>525</v>
      </c>
      <c r="B8" s="256" t="s">
        <v>523</v>
      </c>
      <c r="C8" s="241">
        <v>0</v>
      </c>
      <c r="D8" s="241">
        <f ca="1">SUMIFS(tb_rec_uni[2026-08-01],INDIRECT("tb_rec_uni[natureza]"),"taxa.extra")
-SUM(C8,E8:M8)</f>
        <v>0</v>
      </c>
      <c r="E8" s="241">
        <f ca="1">SUMIFS(tb_rec_uni[2026-08-01],
INDIRECT("tb_rec_uni[natureza]"),"taxa.extra",
INDIRECT("tb_rec_uni[empresa]"),E$2)</f>
        <v>0</v>
      </c>
      <c r="F8" s="241">
        <f ca="1">SUMIFS(tb_rec_uni[2026-08-01],
INDIRECT("tb_rec_uni[natureza]"),"taxa.extra",
INDIRECT("tb_rec_uni[empresa]"),F$2)</f>
        <v>0</v>
      </c>
      <c r="G8" s="241">
        <f ca="1">SUMIFS(tb_rec_uni[2026-08-01],
INDIRECT("tb_rec_uni[natureza]"),"taxa.extra",
INDIRECT("tb_rec_uni[empresa]"),G$2)</f>
        <v>0</v>
      </c>
      <c r="H8" s="241">
        <f ca="1">SUMIFS(tb_rec_uni[2026-08-01],
INDIRECT("tb_rec_uni[natureza]"),"taxa.extra",
INDIRECT("tb_rec_uni[empresa]"),H$2)</f>
        <v>0</v>
      </c>
      <c r="I8" s="241">
        <f ca="1">SUMIFS(tb_rec_uni[2026-08-01],
INDIRECT("tb_rec_uni[natureza]"),"taxa.extra",
INDIRECT("tb_rec_uni[empresa]"),I$2)</f>
        <v>0</v>
      </c>
      <c r="J8" s="241">
        <f ca="1">SUMIFS(tb_rec_uni[2026-08-01],
INDIRECT("tb_rec_uni[natureza]"),"taxa.extra",
INDIRECT("tb_rec_uni[empresa]"),J$2)</f>
        <v>0</v>
      </c>
      <c r="K8" s="241">
        <f ca="1">SUMIFS(tb_rec_uni[2026-08-01],
INDIRECT("tb_rec_uni[natureza]"),"taxa.extra",
INDIRECT("tb_rec_uni[empresa]"),K$2)</f>
        <v>0</v>
      </c>
      <c r="L8" s="241">
        <f ca="1">SUMIFS(tb_rec_uni[2026-08-01],
INDIRECT("tb_rec_uni[natureza]"),"taxa.extra",
INDIRECT("tb_rec_uni[empresa]"),L$2)</f>
        <v>0</v>
      </c>
      <c r="M8" s="242">
        <f ca="1">SUMIFS(tb_rec_uni[2026-08-01],
INDIRECT("tb_rec_uni[natureza]"),"taxa.extra",
INDIRECT("tb_rec_uni[empresa]"),M$2)</f>
        <v>0</v>
      </c>
      <c r="O8" s="275">
        <f t="shared" ca="1" si="1"/>
        <v>0</v>
      </c>
    </row>
    <row r="9" spans="1:15" x14ac:dyDescent="0.25">
      <c r="A9" s="185" t="s">
        <v>527</v>
      </c>
      <c r="B9" s="257" t="s">
        <v>528</v>
      </c>
      <c r="C9" s="243">
        <f t="shared" ref="C9:M9" si="3">SUM(C10:C23)</f>
        <v>0</v>
      </c>
      <c r="D9" s="243">
        <f t="shared" si="3"/>
        <v>0</v>
      </c>
      <c r="E9" s="243">
        <f t="shared" si="3"/>
        <v>0</v>
      </c>
      <c r="F9" s="243">
        <f t="shared" si="3"/>
        <v>0</v>
      </c>
      <c r="G9" s="243">
        <f t="shared" si="3"/>
        <v>0</v>
      </c>
      <c r="H9" s="243">
        <f t="shared" si="3"/>
        <v>0</v>
      </c>
      <c r="I9" s="243">
        <f t="shared" si="3"/>
        <v>0</v>
      </c>
      <c r="J9" s="243">
        <f t="shared" si="3"/>
        <v>0</v>
      </c>
      <c r="K9" s="243">
        <f t="shared" si="3"/>
        <v>0</v>
      </c>
      <c r="L9" s="243">
        <f t="shared" si="3"/>
        <v>0</v>
      </c>
      <c r="M9" s="244">
        <f t="shared" si="3"/>
        <v>0</v>
      </c>
      <c r="O9" s="276">
        <f t="shared" si="1"/>
        <v>0</v>
      </c>
    </row>
    <row r="10" spans="1:15" outlineLevel="1" x14ac:dyDescent="0.25">
      <c r="A10" s="179" t="s">
        <v>529</v>
      </c>
      <c r="B10" s="413" t="s">
        <v>352</v>
      </c>
      <c r="C10" s="241" cm="1">
        <f t="array" ref="C10">-SUMPRODUCT(
  tb_desp[valor] *
  (tb_desp[nucleo]=C$1)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D10" s="241" cm="1">
        <f t="array" ref="D10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((tb_desp[centro.negocio]=$B10) + (LEFT(tb_desp[centro.negocio],17)="Dep. Pessoal - Up")) *
    (tb_desp[data.pagamento]&gt;=DATE(YEAR(inputs!$A$1),MONTH(inputs!$A$1),1)) *
    (tb_desp[data.pagamento]&lt;EOMONTH(inputs!$A$1,0)+1)
  )</f>
        <v>0</v>
      </c>
      <c r="E10" s="241" cm="1">
        <f t="array" ref="E10">-SUMPRODUCT(
  tb_desp[valor] *
  (tb_desp[nucleo]=E$1)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F10" s="241" cm="1">
        <f t="array" ref="F10">-SUMPRODUCT(
  tb_desp[valor] *
  (tb_desp[nucleo]=F$1)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G10" s="241" cm="1">
        <f t="array" ref="G10">-SUMPRODUCT(
  tb_desp[valor] *
  (tb_desp[nucleo]=G$1)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H10" s="241" cm="1">
        <f t="array" ref="H10">-SUMPRODUCT(
  tb_desp[valor] *
  (tb_desp[nucleo]=H$1)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I10" s="241" cm="1">
        <f t="array" ref="I10">-SUMPRODUCT(
  tb_desp[valor] *
  (tb_desp[nucleo]=I$1)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J10" s="241" cm="1">
        <f t="array" ref="J10">-SUMPRODUCT(
  tb_desp[valor] *
  (tb_desp[nucleo]=J$1)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K10" s="241" cm="1">
        <f t="array" ref="K10">-SUMPRODUCT(
  tb_desp[valor] *
  (tb_desp[nucleo]=K$1)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L10" s="241" cm="1">
        <f t="array" ref="L10">-SUMPRODUCT(
  tb_desp[valor] *
  (tb_desp[nucleo]=L$1)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M10" s="242" cm="1">
        <f t="array" ref="M10">-SUMPRODUCT(
  tb_desp[valor] *
  (tb_desp[nucleo]=M$1) *
  ((tb_desp[centro.negocio]=$B10) + (LEFT(tb_desp[centro.negocio],17)="Dep. Pessoal - Up")) *
  (tb_desp[data.pagamento]&gt;=DATE(YEAR(inputs!$A$1),MONTH(inputs!$A$1),1)) *
  (tb_desp[data.pagamento]&lt;EOMONTH(inputs!$A$1,0)+1)
)</f>
        <v>0</v>
      </c>
      <c r="O10" s="275">
        <f t="shared" si="1"/>
        <v>0</v>
      </c>
    </row>
    <row r="11" spans="1:15" outlineLevel="1" x14ac:dyDescent="0.25">
      <c r="A11" s="179" t="s">
        <v>548</v>
      </c>
      <c r="B11" s="179" t="s">
        <v>350</v>
      </c>
      <c r="C11" s="241" cm="1">
        <f t="array" ref="C11">-SUMPRODUCT(
  tb_desp[valor] *
  (tb_desp[nucleo]=C$1) *
  (tb_desp[centro.negocio]=$B11) *
  (tb_desp[classe] &lt;&gt; "Financiamento") *
  (tb_desp[data.pagamento]&gt;=DATE(YEAR(inputs!$A$1),MONTH(inputs!$A$1),1)) *
  (tb_desp[data.pagamento]&lt;EOMONTH(inputs!$A$1,0)+1)
)</f>
        <v>0</v>
      </c>
      <c r="D11" s="241" cm="1">
        <f t="array" ref="D11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(tb_desp[centro.negocio]=$B11) *
    (tb_desp[classe] &lt;&gt; "Financiamento") *
    (tb_desp[data.pagamento]&gt;=DATE(YEAR(inputs!$A$1),MONTH(inputs!$A$1),1)) *
    (tb_desp[data.pagamento]&lt;EOMONTH(inputs!$A$1,0)+1)
  )</f>
        <v>0</v>
      </c>
      <c r="E11" s="241" cm="1">
        <f t="array" ref="E11">-SUMPRODUCT(
  tb_desp[valor] *
  (tb_desp[nucleo]=E$1) *
  (tb_desp[centro.negocio]=$B11) *
  (tb_desp[classe] &lt;&gt; "Financiamento") *
  (tb_desp[data.pagamento]&gt;=DATE(YEAR(inputs!$A$1),MONTH(inputs!$A$1),1)) *
  (tb_desp[data.pagamento]&lt;EOMONTH(inputs!$A$1,0)+1)
)</f>
        <v>0</v>
      </c>
      <c r="F11" s="241" cm="1">
        <f t="array" ref="F11">-SUMPRODUCT(
  tb_desp[valor] *
  (tb_desp[nucleo]=F$1) *
  (tb_desp[centro.negocio]=$B11) *
  (tb_desp[classe] &lt;&gt; "Financiamento") *
  (tb_desp[data.pagamento]&gt;=DATE(YEAR(inputs!$A$1),MONTH(inputs!$A$1),1)) *
  (tb_desp[data.pagamento]&lt;EOMONTH(inputs!$A$1,0)+1)
)</f>
        <v>0</v>
      </c>
      <c r="G11" s="241" cm="1">
        <f t="array" ref="G11">-SUMPRODUCT(
  tb_desp[valor] *
  (tb_desp[nucleo]=G$1) *
  (tb_desp[centro.negocio]=$B11) *
  (tb_desp[classe] &lt;&gt; "Financiamento") *
  (tb_desp[data.pagamento]&gt;=DATE(YEAR(inputs!$A$1),MONTH(inputs!$A$1),1)) *
  (tb_desp[data.pagamento]&lt;EOMONTH(inputs!$A$1,0)+1)
)</f>
        <v>0</v>
      </c>
      <c r="H11" s="241" cm="1">
        <f t="array" ref="H11">-SUMPRODUCT(
  tb_desp[valor] *
  (tb_desp[nucleo]=H$1) *
  (tb_desp[centro.negocio]=$B11) *
  (tb_desp[classe] &lt;&gt; "Financiamento") *
  (tb_desp[data.pagamento]&gt;=DATE(YEAR(inputs!$A$1),MONTH(inputs!$A$1),1)) *
  (tb_desp[data.pagamento]&lt;EOMONTH(inputs!$A$1,0)+1)
)</f>
        <v>0</v>
      </c>
      <c r="I11" s="241" cm="1">
        <f t="array" ref="I11">-SUMPRODUCT(
  tb_desp[valor] *
  (tb_desp[nucleo]=I$1) *
  (tb_desp[centro.negocio]=$B11) *
  (tb_desp[classe] &lt;&gt; "Financiamento") *
  (tb_desp[data.pagamento]&gt;=DATE(YEAR(inputs!$A$1),MONTH(inputs!$A$1),1)) *
  (tb_desp[data.pagamento]&lt;EOMONTH(inputs!$A$1,0)+1)
)</f>
        <v>0</v>
      </c>
      <c r="J11" s="241" cm="1">
        <f t="array" ref="J11">-SUMPRODUCT(
  tb_desp[valor] *
  (tb_desp[nucleo]=J$1) *
  (tb_desp[centro.negocio]=$B11) *
  (tb_desp[classe] &lt;&gt; "Financiamento") *
  (tb_desp[data.pagamento]&gt;=DATE(YEAR(inputs!$A$1),MONTH(inputs!$A$1),1)) *
  (tb_desp[data.pagamento]&lt;EOMONTH(inputs!$A$1,0)+1)
)</f>
        <v>0</v>
      </c>
      <c r="K11" s="241" cm="1">
        <f t="array" ref="K11">-SUMPRODUCT(
  tb_desp[valor] *
  (tb_desp[nucleo]=K$1) *
  (tb_desp[centro.negocio]=$B11) *
  (tb_desp[classe] &lt;&gt; "Financiamento") *
  (tb_desp[data.pagamento]&gt;=DATE(YEAR(inputs!$A$1),MONTH(inputs!$A$1),1)) *
  (tb_desp[data.pagamento]&lt;EOMONTH(inputs!$A$1,0)+1)
)</f>
        <v>0</v>
      </c>
      <c r="L11" s="241" cm="1">
        <f t="array" ref="L11">-SUMPRODUCT(
  tb_desp[valor] *
  (tb_desp[nucleo]=L$1) *
  (tb_desp[centro.negocio]=$B11) *
  (tb_desp[classe] &lt;&gt; "Financiamento") *
  (tb_desp[data.pagamento]&gt;=DATE(YEAR(inputs!$A$1),MONTH(inputs!$A$1),1)) *
  (tb_desp[data.pagamento]&lt;EOMONTH(inputs!$A$1,0)+1)
)</f>
        <v>0</v>
      </c>
      <c r="M11" s="242" cm="1">
        <f t="array" ref="M11">-SUMPRODUCT(
  tb_desp[valor] *
  (tb_desp[nucleo]=M$1) *
  (tb_desp[centro.negocio]=$B11) *
  (tb_desp[classe] &lt;&gt; "Financiamento") *
  (tb_desp[data.pagamento]&gt;=DATE(YEAR(inputs!$A$1),MONTH(inputs!$A$1),1)) *
  (tb_desp[data.pagamento]&lt;EOMONTH(inputs!$A$1,0)+1)
)</f>
        <v>0</v>
      </c>
      <c r="O11" s="275">
        <f t="shared" si="1"/>
        <v>0</v>
      </c>
    </row>
    <row r="12" spans="1:15" outlineLevel="1" x14ac:dyDescent="0.25">
      <c r="A12" s="179" t="s">
        <v>1003</v>
      </c>
      <c r="B12" s="179" t="s">
        <v>391</v>
      </c>
      <c r="C12" s="241" cm="1">
        <f t="array" ref="C12">-SUMPRODUCT(
  tb_desp[valor] *
  (tb_desp[nucleo]=C$1) *
  (tb_desp[centro.negocio]=$B12) *
  (tb_desp[data.pagamento]&gt;=DATE(YEAR(inputs!$A$1),MONTH(inputs!$A$1),1)) *
  (tb_desp[data.pagamento]&lt;EOMONTH(inputs!$A$1,0)+1)
)</f>
        <v>0</v>
      </c>
      <c r="D12" s="241" cm="1">
        <f t="array" ref="D12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(tb_desp[data.pagamento]&gt;=DATE(YEAR(inputs!$A$1),MONTH(inputs!$A$1),1)) *
    (tb_desp[data.pagamento]&lt;EOMONTH(inputs!$A$1,0)+1)
  )</f>
        <v>0</v>
      </c>
      <c r="E12" s="241" cm="1">
        <f t="array" ref="E12">-SUMPRODUCT(
  tb_desp[valor] *
  (tb_desp[nucleo]=E$1) *
  (tb_desp[centro.negocio]=$B12) *
  (tb_desp[data.pagamento]&gt;=DATE(YEAR(inputs!$A$1),MONTH(inputs!$A$1),1)) *
  (tb_desp[data.pagamento]&lt;EOMONTH(inputs!$A$1,0)+1)
)</f>
        <v>0</v>
      </c>
      <c r="F12" s="241" cm="1">
        <f t="array" ref="F12">-SUMPRODUCT(
  tb_desp[valor] *
  (tb_desp[nucleo]=F$1) *
  (tb_desp[centro.negocio]=$B12) *
  (tb_desp[data.pagamento]&gt;=DATE(YEAR(inputs!$A$1),MONTH(inputs!$A$1),1)) *
  (tb_desp[data.pagamento]&lt;EOMONTH(inputs!$A$1,0)+1)
)</f>
        <v>0</v>
      </c>
      <c r="G12" s="241" cm="1">
        <f t="array" ref="G12">-SUMPRODUCT(
  tb_desp[valor] *
  (tb_desp[nucleo]=G$1) *
  (tb_desp[centro.negocio]=$B12) *
  (tb_desp[data.pagamento]&gt;=DATE(YEAR(inputs!$A$1),MONTH(inputs!$A$1),1)) *
  (tb_desp[data.pagamento]&lt;EOMONTH(inputs!$A$1,0)+1)
)</f>
        <v>0</v>
      </c>
      <c r="H12" s="241" cm="1">
        <f t="array" ref="H12">-SUMPRODUCT(
  tb_desp[valor] *
  (tb_desp[nucleo]=H$1) *
  (tb_desp[centro.negocio]=$B12) *
  (tb_desp[data.pagamento]&gt;=DATE(YEAR(inputs!$A$1),MONTH(inputs!$A$1),1)) *
  (tb_desp[data.pagamento]&lt;EOMONTH(inputs!$A$1,0)+1)
)</f>
        <v>0</v>
      </c>
      <c r="I12" s="241" cm="1">
        <f t="array" ref="I12">-SUMPRODUCT(
  tb_desp[valor] *
  (tb_desp[nucleo]=I$1) *
  (tb_desp[centro.negocio]=$B12) *
  (tb_desp[data.pagamento]&gt;=DATE(YEAR(inputs!$A$1),MONTH(inputs!$A$1),1)) *
  (tb_desp[data.pagamento]&lt;EOMONTH(inputs!$A$1,0)+1)
)</f>
        <v>0</v>
      </c>
      <c r="J12" s="241" cm="1">
        <f t="array" ref="J12">-SUMPRODUCT(
  tb_desp[valor] *
  (tb_desp[nucleo]=J$1) *
  (tb_desp[centro.negocio]=$B12) *
  (tb_desp[data.pagamento]&gt;=DATE(YEAR(inputs!$A$1),MONTH(inputs!$A$1),1)) *
  (tb_desp[data.pagamento]&lt;EOMONTH(inputs!$A$1,0)+1)
)</f>
        <v>0</v>
      </c>
      <c r="K12" s="241" cm="1">
        <f t="array" ref="K12">-SUMPRODUCT(
  tb_desp[valor] *
  (tb_desp[nucleo]=K$1) *
  (tb_desp[centro.negocio]=$B12) *
  (tb_desp[data.pagamento]&gt;=DATE(YEAR(inputs!$A$1),MONTH(inputs!$A$1),1)) *
  (tb_desp[data.pagamento]&lt;EOMONTH(inputs!$A$1,0)+1)
)</f>
        <v>0</v>
      </c>
      <c r="L12" s="241" cm="1">
        <f t="array" ref="L12">-SUMPRODUCT(
  tb_desp[valor] *
  (tb_desp[nucleo]=L$1) *
  (tb_desp[centro.negocio]=$B12) *
  (tb_desp[data.pagamento]&gt;=DATE(YEAR(inputs!$A$1),MONTH(inputs!$A$1),1)) *
  (tb_desp[data.pagamento]&lt;EOMONTH(inputs!$A$1,0)+1)
)</f>
        <v>0</v>
      </c>
      <c r="M12" s="242" cm="1">
        <f t="array" ref="M12">-SUMPRODUCT(
  tb_desp[valor] *
  (tb_desp[nucleo]=M$1) *
  (tb_desp[centro.negocio]=$B12) *
  (tb_desp[data.pagamento]&gt;=DATE(YEAR(inputs!$A$1),MONTH(inputs!$A$1),1)) *
  (tb_desp[data.pagamento]&lt;EOMONTH(inputs!$A$1,0)+1)
)</f>
        <v>0</v>
      </c>
      <c r="O12" s="275">
        <f>SUM(C12:M12)</f>
        <v>0</v>
      </c>
    </row>
    <row r="13" spans="1:15" outlineLevel="1" x14ac:dyDescent="0.25">
      <c r="A13" s="179" t="s">
        <v>559</v>
      </c>
      <c r="B13" s="179" t="s">
        <v>373</v>
      </c>
      <c r="C13" s="241" cm="1">
        <f t="array" ref="C13">-SUMPRODUCT(
  tb_desp[valor] *
  (tb_desp[nucleo]=C$1) *
  (tb_desp[centro.negocio]=$B13) *
  (tb_desp[data.pagamento]&gt;=DATE(YEAR(inputs!$A$1),MONTH(inputs!$A$1),1)) *
  (tb_desp[data.pagamento]&lt;EOMONTH(inputs!$A$1,0)+1)
)</f>
        <v>0</v>
      </c>
      <c r="D13" s="241" cm="1">
        <f t="array" ref="D13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(tb_desp[data.pagamento]&gt;=DATE(YEAR(inputs!$A$1),MONTH(inputs!$A$1),1)) *
    (tb_desp[data.pagamento]&lt;EOMONTH(inputs!$A$1,0)+1)
  )</f>
        <v>0</v>
      </c>
      <c r="E13" s="241" cm="1">
        <f t="array" ref="E13">-SUMPRODUCT(
  tb_desp[valor] *
  (tb_desp[nucleo]=E$1) *
  (tb_desp[centro.negocio]=$B13) *
  (tb_desp[data.pagamento]&gt;=DATE(YEAR(inputs!$A$1),MONTH(inputs!$A$1),1)) *
  (tb_desp[data.pagamento]&lt;EOMONTH(inputs!$A$1,0)+1)
)</f>
        <v>0</v>
      </c>
      <c r="F13" s="241" cm="1">
        <f t="array" ref="F13">-SUMPRODUCT(
  tb_desp[valor] *
  (tb_desp[nucleo]=F$1) *
  (tb_desp[centro.negocio]=$B13) *
  (tb_desp[data.pagamento]&gt;=DATE(YEAR(inputs!$A$1),MONTH(inputs!$A$1),1)) *
  (tb_desp[data.pagamento]&lt;EOMONTH(inputs!$A$1,0)+1)
)</f>
        <v>0</v>
      </c>
      <c r="G13" s="241" cm="1">
        <f t="array" ref="G13">-SUMPRODUCT(
  tb_desp[valor] *
  (tb_desp[nucleo]=G$1) *
  (tb_desp[centro.negocio]=$B13) *
  (tb_desp[data.pagamento]&gt;=DATE(YEAR(inputs!$A$1),MONTH(inputs!$A$1),1)) *
  (tb_desp[data.pagamento]&lt;EOMONTH(inputs!$A$1,0)+1)
)</f>
        <v>0</v>
      </c>
      <c r="H13" s="241" cm="1">
        <f t="array" ref="H13">-SUMPRODUCT(
  tb_desp[valor] *
  (tb_desp[nucleo]=H$1) *
  (tb_desp[centro.negocio]=$B13) *
  (tb_desp[data.pagamento]&gt;=DATE(YEAR(inputs!$A$1),MONTH(inputs!$A$1),1)) *
  (tb_desp[data.pagamento]&lt;EOMONTH(inputs!$A$1,0)+1)
)</f>
        <v>0</v>
      </c>
      <c r="I13" s="241" cm="1">
        <f t="array" ref="I13">-SUMPRODUCT(
  tb_desp[valor] *
  (tb_desp[nucleo]=I$1) *
  (tb_desp[centro.negocio]=$B13) *
  (tb_desp[data.pagamento]&gt;=DATE(YEAR(inputs!$A$1),MONTH(inputs!$A$1),1)) *
  (tb_desp[data.pagamento]&lt;EOMONTH(inputs!$A$1,0)+1)
)</f>
        <v>0</v>
      </c>
      <c r="J13" s="241" cm="1">
        <f t="array" ref="J13">-SUMPRODUCT(
  tb_desp[valor] *
  (tb_desp[nucleo]=J$1) *
  (tb_desp[centro.negocio]=$B13) *
  (tb_desp[data.pagamento]&gt;=DATE(YEAR(inputs!$A$1),MONTH(inputs!$A$1),1)) *
  (tb_desp[data.pagamento]&lt;EOMONTH(inputs!$A$1,0)+1)
)</f>
        <v>0</v>
      </c>
      <c r="K13" s="241" cm="1">
        <f t="array" ref="K13">-SUMPRODUCT(
  tb_desp[valor] *
  (tb_desp[nucleo]=K$1) *
  (tb_desp[centro.negocio]=$B13) *
  (tb_desp[data.pagamento]&gt;=DATE(YEAR(inputs!$A$1),MONTH(inputs!$A$1),1)) *
  (tb_desp[data.pagamento]&lt;EOMONTH(inputs!$A$1,0)+1)
)</f>
        <v>0</v>
      </c>
      <c r="L13" s="241" cm="1">
        <f t="array" ref="L13">-SUMPRODUCT(
  tb_desp[valor] *
  (tb_desp[nucleo]=L$1) *
  (tb_desp[centro.negocio]=$B13) *
  (tb_desp[data.pagamento]&gt;=DATE(YEAR(inputs!$A$1),MONTH(inputs!$A$1),1)) *
  (tb_desp[data.pagamento]&lt;EOMONTH(inputs!$A$1,0)+1)
)</f>
        <v>0</v>
      </c>
      <c r="M13" s="242" cm="1">
        <f t="array" ref="M13">-SUMPRODUCT(
  tb_desp[valor] *
  (tb_desp[nucleo]=M$1) *
  (tb_desp[centro.negocio]=$B13) *
  (tb_desp[data.pagamento]&gt;=DATE(YEAR(inputs!$A$1),MONTH(inputs!$A$1),1)) *
  (tb_desp[data.pagamento]&lt;EOMONTH(inputs!$A$1,0)+1)
)</f>
        <v>0</v>
      </c>
      <c r="O13" s="275">
        <f>SUM(C13:M13)</f>
        <v>0</v>
      </c>
    </row>
    <row r="14" spans="1:15" outlineLevel="1" x14ac:dyDescent="0.25">
      <c r="A14" s="179" t="s">
        <v>560</v>
      </c>
      <c r="B14" s="179" t="s">
        <v>374</v>
      </c>
      <c r="C14" s="241" cm="1">
        <f t="array" ref="C14">-SUMPRODUCT(
  tb_desp[valor] *
  (tb_desp[nucleo]=C$1) *
  (tb_desp[centro.negocio]=$B14) *
  (tb_desp[data.pagamento]&gt;=DATE(YEAR(inputs!$A$1),MONTH(inputs!$A$1),1)) *
  (tb_desp[data.pagamento]&lt;EOMONTH(inputs!$A$1,0)+1)
)</f>
        <v>0</v>
      </c>
      <c r="D14" s="241" cm="1">
        <f t="array" ref="D14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(tb_desp[data.pagamento]&gt;=DATE(YEAR(inputs!$A$1),MONTH(inputs!$A$1),1)) *
    (tb_desp[data.pagamento]&lt;EOMONTH(inputs!$A$1,0)+1)
  )</f>
        <v>0</v>
      </c>
      <c r="E14" s="241" cm="1">
        <f t="array" ref="E14">-SUMPRODUCT(
  tb_desp[valor] *
  (tb_desp[nucleo]=E$1) *
  (tb_desp[centro.negocio]=$B14) *
  (tb_desp[data.pagamento]&gt;=DATE(YEAR(inputs!$A$1),MONTH(inputs!$A$1),1)) *
  (tb_desp[data.pagamento]&lt;EOMONTH(inputs!$A$1,0)+1)
)</f>
        <v>0</v>
      </c>
      <c r="F14" s="241" cm="1">
        <f t="array" ref="F14">-SUMPRODUCT(
  tb_desp[valor] *
  (tb_desp[nucleo]=F$1) *
  (tb_desp[centro.negocio]=$B14) *
  (tb_desp[data.pagamento]&gt;=DATE(YEAR(inputs!$A$1),MONTH(inputs!$A$1),1)) *
  (tb_desp[data.pagamento]&lt;EOMONTH(inputs!$A$1,0)+1)
)</f>
        <v>0</v>
      </c>
      <c r="G14" s="241" cm="1">
        <f t="array" ref="G14">-SUMPRODUCT(
  tb_desp[valor] *
  (tb_desp[nucleo]=G$1) *
  (tb_desp[centro.negocio]=$B14) *
  (tb_desp[data.pagamento]&gt;=DATE(YEAR(inputs!$A$1),MONTH(inputs!$A$1),1)) *
  (tb_desp[data.pagamento]&lt;EOMONTH(inputs!$A$1,0)+1)
)</f>
        <v>0</v>
      </c>
      <c r="H14" s="241" cm="1">
        <f t="array" ref="H14">-SUMPRODUCT(
  tb_desp[valor] *
  (tb_desp[nucleo]=H$1) *
  (tb_desp[centro.negocio]=$B14) *
  (tb_desp[data.pagamento]&gt;=DATE(YEAR(inputs!$A$1),MONTH(inputs!$A$1),1)) *
  (tb_desp[data.pagamento]&lt;EOMONTH(inputs!$A$1,0)+1)
)</f>
        <v>0</v>
      </c>
      <c r="I14" s="241" cm="1">
        <f t="array" ref="I14">-SUMPRODUCT(
  tb_desp[valor] *
  (tb_desp[nucleo]=I$1) *
  (tb_desp[centro.negocio]=$B14) *
  (tb_desp[data.pagamento]&gt;=DATE(YEAR(inputs!$A$1),MONTH(inputs!$A$1),1)) *
  (tb_desp[data.pagamento]&lt;EOMONTH(inputs!$A$1,0)+1)
)</f>
        <v>0</v>
      </c>
      <c r="J14" s="241" cm="1">
        <f t="array" ref="J14">-SUMPRODUCT(
  tb_desp[valor] *
  (tb_desp[nucleo]=J$1) *
  (tb_desp[centro.negocio]=$B14) *
  (tb_desp[data.pagamento]&gt;=DATE(YEAR(inputs!$A$1),MONTH(inputs!$A$1),1)) *
  (tb_desp[data.pagamento]&lt;EOMONTH(inputs!$A$1,0)+1)
)</f>
        <v>0</v>
      </c>
      <c r="K14" s="241" cm="1">
        <f t="array" ref="K14">-SUMPRODUCT(
  tb_desp[valor] *
  (tb_desp[nucleo]=K$1) *
  (tb_desp[centro.negocio]=$B14) *
  (tb_desp[data.pagamento]&gt;=DATE(YEAR(inputs!$A$1),MONTH(inputs!$A$1),1)) *
  (tb_desp[data.pagamento]&lt;EOMONTH(inputs!$A$1,0)+1)
)</f>
        <v>0</v>
      </c>
      <c r="L14" s="241" cm="1">
        <f t="array" ref="L14">-SUMPRODUCT(
  tb_desp[valor] *
  (tb_desp[nucleo]=L$1) *
  (tb_desp[centro.negocio]=$B14) *
  (tb_desp[data.pagamento]&gt;=DATE(YEAR(inputs!$A$1),MONTH(inputs!$A$1),1)) *
  (tb_desp[data.pagamento]&lt;EOMONTH(inputs!$A$1,0)+1)
)</f>
        <v>0</v>
      </c>
      <c r="M14" s="242" cm="1">
        <f t="array" ref="M14">-SUMPRODUCT(
  tb_desp[valor] *
  (tb_desp[nucleo]=M$1) *
  (tb_desp[centro.negocio]=$B14) *
  (tb_desp[data.pagamento]&gt;=DATE(YEAR(inputs!$A$1),MONTH(inputs!$A$1),1)) *
  (tb_desp[data.pagamento]&lt;EOMONTH(inputs!$A$1,0)+1)
)</f>
        <v>0</v>
      </c>
      <c r="O14" s="275">
        <f t="shared" si="1"/>
        <v>0</v>
      </c>
    </row>
    <row r="15" spans="1:15" outlineLevel="1" x14ac:dyDescent="0.25">
      <c r="A15" s="179" t="s">
        <v>563</v>
      </c>
      <c r="B15" s="179" t="s">
        <v>337</v>
      </c>
      <c r="C15" s="241" cm="1">
        <f t="array" ref="C15">-SUMPRODUCT(
  tb_desp[valor] *
  (tb_desp[nucleo]=C$1) *
  (tb_desp[centro.negocio]=$B15) *
  (tb_desp[data.pagamento]&gt;=DATE(YEAR(inputs!$A$1),MONTH(inputs!$A$1),1)) *
  (tb_desp[data.pagamento]&lt;EOMONTH(inputs!$A$1,0)+1)
)</f>
        <v>0</v>
      </c>
      <c r="D15" s="241" cm="1">
        <f t="array" ref="D15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(tb_desp[data.pagamento]&gt;=DATE(YEAR(inputs!$A$1),MONTH(inputs!$A$1),1)) *
    (tb_desp[data.pagamento]&lt;EOMONTH(inputs!$A$1,0)+1)
  )</f>
        <v>0</v>
      </c>
      <c r="E15" s="241" cm="1">
        <f t="array" ref="E15">-SUMPRODUCT(
  tb_desp[valor] *
  (tb_desp[nucleo]=E$1) *
  (tb_desp[centro.negocio]=$B15) *
  (tb_desp[data.pagamento]&gt;=DATE(YEAR(inputs!$A$1),MONTH(inputs!$A$1),1)) *
  (tb_desp[data.pagamento]&lt;EOMONTH(inputs!$A$1,0)+1)
)</f>
        <v>0</v>
      </c>
      <c r="F15" s="241" cm="1">
        <f t="array" ref="F15">-SUMPRODUCT(
  tb_desp[valor] *
  (tb_desp[nucleo]=F$1) *
  (tb_desp[centro.negocio]=$B15) *
  (tb_desp[data.pagamento]&gt;=DATE(YEAR(inputs!$A$1),MONTH(inputs!$A$1),1)) *
  (tb_desp[data.pagamento]&lt;EOMONTH(inputs!$A$1,0)+1)
)</f>
        <v>0</v>
      </c>
      <c r="G15" s="241" cm="1">
        <f t="array" ref="G15">-SUMPRODUCT(
  tb_desp[valor] *
  (tb_desp[nucleo]=G$1) *
  (tb_desp[centro.negocio]=$B15) *
  (tb_desp[data.pagamento]&gt;=DATE(YEAR(inputs!$A$1),MONTH(inputs!$A$1),1)) *
  (tb_desp[data.pagamento]&lt;EOMONTH(inputs!$A$1,0)+1)
)</f>
        <v>0</v>
      </c>
      <c r="H15" s="241" cm="1">
        <f t="array" ref="H15">-SUMPRODUCT(
  tb_desp[valor] *
  (tb_desp[nucleo]=H$1) *
  (tb_desp[centro.negocio]=$B15) *
  (tb_desp[data.pagamento]&gt;=DATE(YEAR(inputs!$A$1),MONTH(inputs!$A$1),1)) *
  (tb_desp[data.pagamento]&lt;EOMONTH(inputs!$A$1,0)+1)
)</f>
        <v>0</v>
      </c>
      <c r="I15" s="241" cm="1">
        <f t="array" ref="I15">-SUMPRODUCT(
  tb_desp[valor] *
  (tb_desp[nucleo]=I$1) *
  (tb_desp[centro.negocio]=$B15) *
  (tb_desp[data.pagamento]&gt;=DATE(YEAR(inputs!$A$1),MONTH(inputs!$A$1),1)) *
  (tb_desp[data.pagamento]&lt;EOMONTH(inputs!$A$1,0)+1)
)</f>
        <v>0</v>
      </c>
      <c r="J15" s="241" cm="1">
        <f t="array" ref="J15">-SUMPRODUCT(
  tb_desp[valor] *
  (tb_desp[nucleo]=J$1) *
  (tb_desp[centro.negocio]=$B15) *
  (tb_desp[data.pagamento]&gt;=DATE(YEAR(inputs!$A$1),MONTH(inputs!$A$1),1)) *
  (tb_desp[data.pagamento]&lt;EOMONTH(inputs!$A$1,0)+1)
)</f>
        <v>0</v>
      </c>
      <c r="K15" s="241" cm="1">
        <f t="array" ref="K15">-SUMPRODUCT(
  tb_desp[valor] *
  (tb_desp[nucleo]=K$1) *
  (tb_desp[centro.negocio]=$B15) *
  (tb_desp[data.pagamento]&gt;=DATE(YEAR(inputs!$A$1),MONTH(inputs!$A$1),1)) *
  (tb_desp[data.pagamento]&lt;EOMONTH(inputs!$A$1,0)+1)
)</f>
        <v>0</v>
      </c>
      <c r="L15" s="241" cm="1">
        <f t="array" ref="L15">-SUMPRODUCT(
  tb_desp[valor] *
  (tb_desp[nucleo]=L$1) *
  (tb_desp[centro.negocio]=$B15) *
  (tb_desp[data.pagamento]&gt;=DATE(YEAR(inputs!$A$1),MONTH(inputs!$A$1),1)) *
  (tb_desp[data.pagamento]&lt;EOMONTH(inputs!$A$1,0)+1)
)</f>
        <v>0</v>
      </c>
      <c r="M15" s="242" cm="1">
        <f t="array" ref="M15">-SUMPRODUCT(
  tb_desp[valor] *
  (tb_desp[nucleo]=M$1) *
  (tb_desp[centro.negocio]=$B15) *
  (tb_desp[data.pagamento]&gt;=DATE(YEAR(inputs!$A$1),MONTH(inputs!$A$1),1)) *
  (tb_desp[data.pagamento]&lt;EOMONTH(inputs!$A$1,0)+1)
)</f>
        <v>0</v>
      </c>
      <c r="O15" s="275">
        <f t="shared" si="1"/>
        <v>0</v>
      </c>
    </row>
    <row r="16" spans="1:15" outlineLevel="1" x14ac:dyDescent="0.25">
      <c r="A16" s="179" t="s">
        <v>564</v>
      </c>
      <c r="B16" s="179" t="s">
        <v>383</v>
      </c>
      <c r="C16" s="241" cm="1">
        <f t="array" ref="C16">-SUMPRODUCT(
  tb_desp[valor] *
  (tb_desp[nucleo]=C$1) *
  (tb_desp[centro.negocio]=$B16) *
  (tb_desp[data.pagamento]&gt;=DATE(YEAR(inputs!$A$1),MONTH(inputs!$A$1),1)) *
  (tb_desp[data.pagamento]&lt;EOMONTH(inputs!$A$1,0)+1)
)</f>
        <v>0</v>
      </c>
      <c r="D16" s="241" cm="1">
        <f t="array" ref="D16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(tb_desp[data.pagamento]&gt;=DATE(YEAR(inputs!$A$1),MONTH(inputs!$A$1),1)) *
    (tb_desp[data.pagamento]&lt;EOMONTH(inputs!$A$1,0)+1)
  )</f>
        <v>0</v>
      </c>
      <c r="E16" s="241" cm="1">
        <f t="array" ref="E16">-SUMPRODUCT(
  tb_desp[valor] *
  (tb_desp[nucleo]=E$1) *
  (tb_desp[centro.negocio]=$B16) *
  (tb_desp[data.pagamento]&gt;=DATE(YEAR(inputs!$A$1),MONTH(inputs!$A$1),1)) *
  (tb_desp[data.pagamento]&lt;EOMONTH(inputs!$A$1,0)+1)
)</f>
        <v>0</v>
      </c>
      <c r="F16" s="241" cm="1">
        <f t="array" ref="F16">-SUMPRODUCT(
  tb_desp[valor] *
  (tb_desp[nucleo]=F$1) *
  (tb_desp[centro.negocio]=$B16) *
  (tb_desp[data.pagamento]&gt;=DATE(YEAR(inputs!$A$1),MONTH(inputs!$A$1),1)) *
  (tb_desp[data.pagamento]&lt;EOMONTH(inputs!$A$1,0)+1)
)</f>
        <v>0</v>
      </c>
      <c r="G16" s="241" cm="1">
        <f t="array" ref="G16">-SUMPRODUCT(
  tb_desp[valor] *
  (tb_desp[nucleo]=G$1) *
  (tb_desp[centro.negocio]=$B16) *
  (tb_desp[data.pagamento]&gt;=DATE(YEAR(inputs!$A$1),MONTH(inputs!$A$1),1)) *
  (tb_desp[data.pagamento]&lt;EOMONTH(inputs!$A$1,0)+1)
)</f>
        <v>0</v>
      </c>
      <c r="H16" s="241" cm="1">
        <f t="array" ref="H16">-SUMPRODUCT(
  tb_desp[valor] *
  (tb_desp[nucleo]=H$1) *
  (tb_desp[centro.negocio]=$B16) *
  (tb_desp[data.pagamento]&gt;=DATE(YEAR(inputs!$A$1),MONTH(inputs!$A$1),1)) *
  (tb_desp[data.pagamento]&lt;EOMONTH(inputs!$A$1,0)+1)
)</f>
        <v>0</v>
      </c>
      <c r="I16" s="241" cm="1">
        <f t="array" ref="I16">-SUMPRODUCT(
  tb_desp[valor] *
  (tb_desp[nucleo]=I$1) *
  (tb_desp[centro.negocio]=$B16) *
  (tb_desp[data.pagamento]&gt;=DATE(YEAR(inputs!$A$1),MONTH(inputs!$A$1),1)) *
  (tb_desp[data.pagamento]&lt;EOMONTH(inputs!$A$1,0)+1)
)</f>
        <v>0</v>
      </c>
      <c r="J16" s="241" cm="1">
        <f t="array" ref="J16">-SUMPRODUCT(
  tb_desp[valor] *
  (tb_desp[nucleo]=J$1) *
  (tb_desp[centro.negocio]=$B16) *
  (tb_desp[data.pagamento]&gt;=DATE(YEAR(inputs!$A$1),MONTH(inputs!$A$1),1)) *
  (tb_desp[data.pagamento]&lt;EOMONTH(inputs!$A$1,0)+1)
)</f>
        <v>0</v>
      </c>
      <c r="K16" s="241" cm="1">
        <f t="array" ref="K16">-SUMPRODUCT(
  tb_desp[valor] *
  (tb_desp[nucleo]=K$1) *
  (tb_desp[centro.negocio]=$B16) *
  (tb_desp[data.pagamento]&gt;=DATE(YEAR(inputs!$A$1),MONTH(inputs!$A$1),1)) *
  (tb_desp[data.pagamento]&lt;EOMONTH(inputs!$A$1,0)+1)
)</f>
        <v>0</v>
      </c>
      <c r="L16" s="241" cm="1">
        <f t="array" ref="L16">-SUMPRODUCT(
  tb_desp[valor] *
  (tb_desp[nucleo]=L$1) *
  (tb_desp[centro.negocio]=$B16) *
  (tb_desp[data.pagamento]&gt;=DATE(YEAR(inputs!$A$1),MONTH(inputs!$A$1),1)) *
  (tb_desp[data.pagamento]&lt;EOMONTH(inputs!$A$1,0)+1)
)</f>
        <v>0</v>
      </c>
      <c r="M16" s="242" cm="1">
        <f t="array" ref="M16">-SUMPRODUCT(
  tb_desp[valor] *
  (tb_desp[nucleo]=M$1) *
  (tb_desp[centro.negocio]=$B16) *
  (tb_desp[data.pagamento]&gt;=DATE(YEAR(inputs!$A$1),MONTH(inputs!$A$1),1)) *
  (tb_desp[data.pagamento]&lt;EOMONTH(inputs!$A$1,0)+1)
)</f>
        <v>0</v>
      </c>
      <c r="O16" s="275">
        <f>SUM(C16:M16)</f>
        <v>0</v>
      </c>
    </row>
    <row r="17" spans="1:15" outlineLevel="1" x14ac:dyDescent="0.25">
      <c r="A17" s="179" t="s">
        <v>565</v>
      </c>
      <c r="B17" s="179" t="s">
        <v>386</v>
      </c>
      <c r="C17" s="241" cm="1">
        <f t="array" ref="C17">-SUMPRODUCT(
  tb_desp[valor] *
  (tb_desp[nucleo]=C$1) *
  (tb_desp[centro.negocio]=$B17) *
  (tb_desp[data.pagamento]&gt;=DATE(YEAR(inputs!$A$1),MONTH(inputs!$A$1),1)) *
  (tb_desp[data.pagamento]&lt;EOMONTH(inputs!$A$1,0)+1)
)</f>
        <v>0</v>
      </c>
      <c r="D17" s="241" cm="1">
        <f t="array" ref="D17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(tb_desp[data.pagamento]&gt;=DATE(YEAR(inputs!$A$1),MONTH(inputs!$A$1),1)) *
    (tb_desp[data.pagamento]&lt;EOMONTH(inputs!$A$1,0)+1)
  )</f>
        <v>0</v>
      </c>
      <c r="E17" s="241" cm="1">
        <f t="array" ref="E17">-SUMPRODUCT(
  tb_desp[valor] *
  (tb_desp[nucleo]=E$1) *
  (tb_desp[centro.negocio]=$B17) *
  (tb_desp[data.pagamento]&gt;=DATE(YEAR(inputs!$A$1),MONTH(inputs!$A$1),1)) *
  (tb_desp[data.pagamento]&lt;EOMONTH(inputs!$A$1,0)+1)
)</f>
        <v>0</v>
      </c>
      <c r="F17" s="241" cm="1">
        <f t="array" ref="F17">-SUMPRODUCT(
  tb_desp[valor] *
  (tb_desp[nucleo]=F$1) *
  (tb_desp[centro.negocio]=$B17) *
  (tb_desp[data.pagamento]&gt;=DATE(YEAR(inputs!$A$1),MONTH(inputs!$A$1),1)) *
  (tb_desp[data.pagamento]&lt;EOMONTH(inputs!$A$1,0)+1)
)</f>
        <v>0</v>
      </c>
      <c r="G17" s="241" cm="1">
        <f t="array" ref="G17">-SUMPRODUCT(
  tb_desp[valor] *
  (tb_desp[nucleo]=G$1) *
  (tb_desp[centro.negocio]=$B17) *
  (tb_desp[data.pagamento]&gt;=DATE(YEAR(inputs!$A$1),MONTH(inputs!$A$1),1)) *
  (tb_desp[data.pagamento]&lt;EOMONTH(inputs!$A$1,0)+1)
)</f>
        <v>0</v>
      </c>
      <c r="H17" s="241" cm="1">
        <f t="array" ref="H17">-SUMPRODUCT(
  tb_desp[valor] *
  (tb_desp[nucleo]=H$1) *
  (tb_desp[centro.negocio]=$B17) *
  (tb_desp[data.pagamento]&gt;=DATE(YEAR(inputs!$A$1),MONTH(inputs!$A$1),1)) *
  (tb_desp[data.pagamento]&lt;EOMONTH(inputs!$A$1,0)+1)
)</f>
        <v>0</v>
      </c>
      <c r="I17" s="241" cm="1">
        <f t="array" ref="I17">-SUMPRODUCT(
  tb_desp[valor] *
  (tb_desp[nucleo]=I$1) *
  (tb_desp[centro.negocio]=$B17) *
  (tb_desp[data.pagamento]&gt;=DATE(YEAR(inputs!$A$1),MONTH(inputs!$A$1),1)) *
  (tb_desp[data.pagamento]&lt;EOMONTH(inputs!$A$1,0)+1)
)</f>
        <v>0</v>
      </c>
      <c r="J17" s="241" cm="1">
        <f t="array" ref="J17">-SUMPRODUCT(
  tb_desp[valor] *
  (tb_desp[nucleo]=J$1) *
  (tb_desp[centro.negocio]=$B17) *
  (tb_desp[data.pagamento]&gt;=DATE(YEAR(inputs!$A$1),MONTH(inputs!$A$1),1)) *
  (tb_desp[data.pagamento]&lt;EOMONTH(inputs!$A$1,0)+1)
)</f>
        <v>0</v>
      </c>
      <c r="K17" s="241" cm="1">
        <f t="array" ref="K17">-SUMPRODUCT(
  tb_desp[valor] *
  (tb_desp[nucleo]=K$1) *
  (tb_desp[centro.negocio]=$B17) *
  (tb_desp[data.pagamento]&gt;=DATE(YEAR(inputs!$A$1),MONTH(inputs!$A$1),1)) *
  (tb_desp[data.pagamento]&lt;EOMONTH(inputs!$A$1,0)+1)
)</f>
        <v>0</v>
      </c>
      <c r="L17" s="241" cm="1">
        <f t="array" ref="L17">-SUMPRODUCT(
  tb_desp[valor] *
  (tb_desp[nucleo]=L$1) *
  (tb_desp[centro.negocio]=$B17) *
  (tb_desp[data.pagamento]&gt;=DATE(YEAR(inputs!$A$1),MONTH(inputs!$A$1),1)) *
  (tb_desp[data.pagamento]&lt;EOMONTH(inputs!$A$1,0)+1)
)</f>
        <v>0</v>
      </c>
      <c r="M17" s="242" cm="1">
        <f t="array" ref="M17">-SUMPRODUCT(
  tb_desp[valor] *
  (tb_desp[nucleo]=M$1) *
  (tb_desp[centro.negocio]=$B17) *
  (tb_desp[data.pagamento]&gt;=DATE(YEAR(inputs!$A$1),MONTH(inputs!$A$1),1)) *
  (tb_desp[data.pagamento]&lt;EOMONTH(inputs!$A$1,0)+1)
)</f>
        <v>0</v>
      </c>
      <c r="O17" s="275">
        <f t="shared" si="1"/>
        <v>0</v>
      </c>
    </row>
    <row r="18" spans="1:15" outlineLevel="1" x14ac:dyDescent="0.25">
      <c r="A18" s="179" t="s">
        <v>566</v>
      </c>
      <c r="B18" s="413" t="s">
        <v>939</v>
      </c>
      <c r="C18" s="241" cm="1">
        <f t="array" ref="C18">-SUMPRODUCT(
  tb_desp[valor] *
  (tb_desp[nucleo]=C$1) *
  (LEFT(tb_desp[centro.negocio],13)="Gerenciamento") *
  (tb_desp[data.pagamento]&gt;=DATE(YEAR(inputs!$A$1),MONTH(inputs!$A$1),1)) *
  (tb_desp[data.pagamento]&lt;EOMONTH(inputs!$A$1,0)+1)
)</f>
        <v>0</v>
      </c>
      <c r="D18" s="241" cm="1">
        <f t="array" ref="D18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(tb_desp[data.pagamento]&gt;=DATE(YEAR(inputs!$A$1),MONTH(inputs!$A$1),1)) *
    (tb_desp[data.pagamento]&lt;EOMONTH(inputs!$A$1,0)+1)
  )</f>
        <v>0</v>
      </c>
      <c r="E18" s="241" cm="1">
        <f t="array" ref="E18">-SUMPRODUCT(
  tb_desp[valor] *
  (tb_desp[nucleo]=E$1) *
  (LEFT(tb_desp[centro.negocio],13)="Gerenciamento") *
  (tb_desp[data.pagamento]&gt;=DATE(YEAR(inputs!$A$1),MONTH(inputs!$A$1),1)) *
  (tb_desp[data.pagamento]&lt;EOMONTH(inputs!$A$1,0)+1)
)</f>
        <v>0</v>
      </c>
      <c r="F18" s="241" cm="1">
        <f t="array" ref="F18">-SUMPRODUCT(
  tb_desp[valor] *
  (tb_desp[nucleo]=F$1) *
  (LEFT(tb_desp[centro.negocio],13)="Gerenciamento") *
  (tb_desp[data.pagamento]&gt;=DATE(YEAR(inputs!$A$1),MONTH(inputs!$A$1),1)) *
  (tb_desp[data.pagamento]&lt;EOMONTH(inputs!$A$1,0)+1)
)</f>
        <v>0</v>
      </c>
      <c r="G18" s="241" cm="1">
        <f t="array" ref="G18">-SUMPRODUCT(
  tb_desp[valor] *
  (tb_desp[nucleo]=G$1) *
  (LEFT(tb_desp[centro.negocio],13)="Gerenciamento") *
  (tb_desp[data.pagamento]&gt;=DATE(YEAR(inputs!$A$1),MONTH(inputs!$A$1),1)) *
  (tb_desp[data.pagamento]&lt;EOMONTH(inputs!$A$1,0)+1)
)</f>
        <v>0</v>
      </c>
      <c r="H18" s="241" cm="1">
        <f t="array" ref="H18">-SUMPRODUCT(
  tb_desp[valor] *
  (tb_desp[nucleo]=H$1) *
  (LEFT(tb_desp[centro.negocio],13)="Gerenciamento") *
  (tb_desp[data.pagamento]&gt;=DATE(YEAR(inputs!$A$1),MONTH(inputs!$A$1),1)) *
  (tb_desp[data.pagamento]&lt;EOMONTH(inputs!$A$1,0)+1)
)</f>
        <v>0</v>
      </c>
      <c r="I18" s="241" cm="1">
        <f t="array" ref="I18">-SUMPRODUCT(
  tb_desp[valor] *
  (tb_desp[nucleo]=I$1) *
  (LEFT(tb_desp[centro.negocio],13)="Gerenciamento") *
  (tb_desp[data.pagamento]&gt;=DATE(YEAR(inputs!$A$1),MONTH(inputs!$A$1),1)) *
  (tb_desp[data.pagamento]&lt;EOMONTH(inputs!$A$1,0)+1)
)</f>
        <v>0</v>
      </c>
      <c r="J18" s="241" cm="1">
        <f t="array" ref="J18">-SUMPRODUCT(
  tb_desp[valor] *
  (tb_desp[nucleo]=J$1) *
  (LEFT(tb_desp[centro.negocio],13)="Gerenciamento") *
  (tb_desp[data.pagamento]&gt;=DATE(YEAR(inputs!$A$1),MONTH(inputs!$A$1),1)) *
  (tb_desp[data.pagamento]&lt;EOMONTH(inputs!$A$1,0)+1)
)</f>
        <v>0</v>
      </c>
      <c r="K18" s="241" cm="1">
        <f t="array" ref="K18">-SUMPRODUCT(
  tb_desp[valor] *
  (tb_desp[nucleo]=K$1) *
  (LEFT(tb_desp[centro.negocio],13)="Gerenciamento") *
  (tb_desp[data.pagamento]&gt;=DATE(YEAR(inputs!$A$1),MONTH(inputs!$A$1),1)) *
  (tb_desp[data.pagamento]&lt;EOMONTH(inputs!$A$1,0)+1)
)</f>
        <v>0</v>
      </c>
      <c r="L18" s="241" cm="1">
        <f t="array" ref="L18">-SUMPRODUCT(
  tb_desp[valor] *
  (tb_desp[nucleo]=L$1) *
  (LEFT(tb_desp[centro.negocio],13)="Gerenciamento") *
  (tb_desp[data.pagamento]&gt;=DATE(YEAR(inputs!$A$1),MONTH(inputs!$A$1),1)) *
  (tb_desp[data.pagamento]&lt;EOMONTH(inputs!$A$1,0)+1)
)</f>
        <v>0</v>
      </c>
      <c r="M18" s="242" cm="1">
        <f t="array" ref="M18">-SUMPRODUCT(
  tb_desp[valor] *
  (tb_desp[nucleo]=M$1) *
  (LEFT(tb_desp[centro.negocio],13)="Gerenciamento") *
  (tb_desp[data.pagamento]&gt;=DATE(YEAR(inputs!$A$1),MONTH(inputs!$A$1),1)) *
  (tb_desp[data.pagamento]&lt;EOMONTH(inputs!$A$1,0)+1)
)</f>
        <v>0</v>
      </c>
      <c r="O18" s="275">
        <f t="shared" si="1"/>
        <v>0</v>
      </c>
    </row>
    <row r="19" spans="1:15" outlineLevel="1" x14ac:dyDescent="0.25">
      <c r="A19" s="179" t="s">
        <v>567</v>
      </c>
      <c r="B19" s="179" t="s">
        <v>340</v>
      </c>
      <c r="C19" s="241" cm="1">
        <f t="array" ref="C19">-SUMPRODUCT(
  tb_desp[valor] *
  (tb_desp[nucleo]=C$1) *
  (tb_desp[centro.negocio]=$B19) *
  (tb_desp[data.pagamento]&gt;=DATE(YEAR(inputs!$A$1),MONTH(inputs!$A$1),1)) *
  (tb_desp[data.pagamento]&lt;EOMONTH(inputs!$A$1,0)+1)
)</f>
        <v>0</v>
      </c>
      <c r="D19" s="241" cm="1">
        <f t="array" ref="D19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(tb_desp[centro.negocio]=$B19) *
    (tb_desp[data.pagamento]&gt;=DATE(YEAR(inputs!$A$1),MONTH(inputs!$A$1),1)) *
    (tb_desp[data.pagamento]&lt;EOMONTH(inputs!$A$1,0)+1)
  )</f>
        <v>0</v>
      </c>
      <c r="E19" s="241" cm="1">
        <f t="array" ref="E19">-SUMPRODUCT(
  tb_desp[valor] *
  (tb_desp[nucleo]=E$1) *
  (tb_desp[centro.negocio]=$B19) *
  (tb_desp[data.pagamento]&gt;=DATE(YEAR(inputs!$A$1),MONTH(inputs!$A$1),1)) *
  (tb_desp[data.pagamento]&lt;EOMONTH(inputs!$A$1,0)+1)
)</f>
        <v>0</v>
      </c>
      <c r="F19" s="241" cm="1">
        <f t="array" ref="F19">-SUMPRODUCT(
  tb_desp[valor] *
  (tb_desp[nucleo]=F$1) *
  (tb_desp[centro.negocio]=$B19) *
  (tb_desp[data.pagamento]&gt;=DATE(YEAR(inputs!$A$1),MONTH(inputs!$A$1),1)) *
  (tb_desp[data.pagamento]&lt;EOMONTH(inputs!$A$1,0)+1)
)</f>
        <v>0</v>
      </c>
      <c r="G19" s="241" cm="1">
        <f t="array" ref="G19">-SUMPRODUCT(
  tb_desp[valor] *
  (tb_desp[nucleo]=G$1) *
  (tb_desp[centro.negocio]=$B19) *
  (tb_desp[data.pagamento]&gt;=DATE(YEAR(inputs!$A$1),MONTH(inputs!$A$1),1)) *
  (tb_desp[data.pagamento]&lt;EOMONTH(inputs!$A$1,0)+1)
)</f>
        <v>0</v>
      </c>
      <c r="H19" s="241" cm="1">
        <f t="array" ref="H19">-SUMPRODUCT(
  tb_desp[valor] *
  (tb_desp[nucleo]=H$1) *
  (tb_desp[centro.negocio]=$B19) *
  (tb_desp[data.pagamento]&gt;=DATE(YEAR(inputs!$A$1),MONTH(inputs!$A$1),1)) *
  (tb_desp[data.pagamento]&lt;EOMONTH(inputs!$A$1,0)+1)
)</f>
        <v>0</v>
      </c>
      <c r="I19" s="241" cm="1">
        <f t="array" ref="I19">-SUMPRODUCT(
  tb_desp[valor] *
  (tb_desp[nucleo]=I$1) *
  (tb_desp[centro.negocio]=$B19) *
  (tb_desp[data.pagamento]&gt;=DATE(YEAR(inputs!$A$1),MONTH(inputs!$A$1),1)) *
  (tb_desp[data.pagamento]&lt;EOMONTH(inputs!$A$1,0)+1)
)</f>
        <v>0</v>
      </c>
      <c r="J19" s="241" cm="1">
        <f t="array" ref="J19">-SUMPRODUCT(
  tb_desp[valor] *
  (tb_desp[nucleo]=J$1) *
  (tb_desp[centro.negocio]=$B19) *
  (tb_desp[data.pagamento]&gt;=DATE(YEAR(inputs!$A$1),MONTH(inputs!$A$1),1)) *
  (tb_desp[data.pagamento]&lt;EOMONTH(inputs!$A$1,0)+1)
)</f>
        <v>0</v>
      </c>
      <c r="K19" s="241" cm="1">
        <f t="array" ref="K19">-SUMPRODUCT(
  tb_desp[valor] *
  (tb_desp[nucleo]=K$1) *
  (tb_desp[centro.negocio]=$B19) *
  (tb_desp[data.pagamento]&gt;=DATE(YEAR(inputs!$A$1),MONTH(inputs!$A$1),1)) *
  (tb_desp[data.pagamento]&lt;EOMONTH(inputs!$A$1,0)+1)
)</f>
        <v>0</v>
      </c>
      <c r="L19" s="241" cm="1">
        <f t="array" ref="L19">-SUMPRODUCT(
  tb_desp[valor] *
  (tb_desp[nucleo]=L$1) *
  (tb_desp[centro.negocio]=$B19) *
  (tb_desp[data.pagamento]&gt;=DATE(YEAR(inputs!$A$1),MONTH(inputs!$A$1),1)) *
  (tb_desp[data.pagamento]&lt;EOMONTH(inputs!$A$1,0)+1)
)</f>
        <v>0</v>
      </c>
      <c r="M19" s="242" cm="1">
        <f t="array" ref="M19">-SUMPRODUCT(
  tb_desp[valor] *
  (tb_desp[nucleo]=M$1) *
  (tb_desp[centro.negocio]=$B19) *
  (tb_desp[data.pagamento]&gt;=DATE(YEAR(inputs!$A$1),MONTH(inputs!$A$1),1)) *
  (tb_desp[data.pagamento]&lt;EOMONTH(inputs!$A$1,0)+1)
)</f>
        <v>0</v>
      </c>
      <c r="O19" s="275">
        <f t="shared" si="1"/>
        <v>0</v>
      </c>
    </row>
    <row r="20" spans="1:15" outlineLevel="1" x14ac:dyDescent="0.25">
      <c r="A20" s="179" t="s">
        <v>570</v>
      </c>
      <c r="B20" s="179" t="s">
        <v>396</v>
      </c>
      <c r="C20" s="241" cm="1">
        <f t="array" ref="C20">-SUMPRODUCT(
  tb_desp[valor] *
  (tb_desp[nucleo]=C$1) *
  (tb_desp[centro.negocio]=$B20) *
  (tb_desp[data.pagamento]&gt;=DATE(YEAR(inputs!$A$1),MONTH(inputs!$A$1),1)) *
  (tb_desp[data.pagamento]&lt;EOMONTH(inputs!$A$1,0)+1)
)</f>
        <v>0</v>
      </c>
      <c r="D20" s="241" cm="1">
        <f t="array" ref="D20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(tb_desp[data.pagamento]&gt;=DATE(YEAR(inputs!$A$1),MONTH(inputs!$A$1),1)) *
    (tb_desp[data.pagamento]&lt;EOMONTH(inputs!$A$1,0)+1)
  )</f>
        <v>0</v>
      </c>
      <c r="E20" s="241" cm="1">
        <f t="array" ref="E20">-SUMPRODUCT(
  tb_desp[valor] *
  (tb_desp[nucleo]=E$1) *
  (tb_desp[centro.negocio]=$B20) *
  (tb_desp[data.pagamento]&gt;=DATE(YEAR(inputs!$A$1),MONTH(inputs!$A$1),1)) *
  (tb_desp[data.pagamento]&lt;EOMONTH(inputs!$A$1,0)+1)
)</f>
        <v>0</v>
      </c>
      <c r="F20" s="241" cm="1">
        <f t="array" ref="F20">-SUMPRODUCT(
  tb_desp[valor] *
  (tb_desp[nucleo]=F$1) *
  (tb_desp[centro.negocio]=$B20) *
  (tb_desp[data.pagamento]&gt;=DATE(YEAR(inputs!$A$1),MONTH(inputs!$A$1),1)) *
  (tb_desp[data.pagamento]&lt;EOMONTH(inputs!$A$1,0)+1)
)</f>
        <v>0</v>
      </c>
      <c r="G20" s="241" cm="1">
        <f t="array" ref="G20">-SUMPRODUCT(
  tb_desp[valor] *
  (tb_desp[nucleo]=G$1) *
  (tb_desp[centro.negocio]=$B20) *
  (tb_desp[data.pagamento]&gt;=DATE(YEAR(inputs!$A$1),MONTH(inputs!$A$1),1)) *
  (tb_desp[data.pagamento]&lt;EOMONTH(inputs!$A$1,0)+1)
)</f>
        <v>0</v>
      </c>
      <c r="H20" s="241" cm="1">
        <f t="array" ref="H20">-SUMPRODUCT(
  tb_desp[valor] *
  (tb_desp[nucleo]=H$1) *
  (tb_desp[centro.negocio]=$B20) *
  (tb_desp[data.pagamento]&gt;=DATE(YEAR(inputs!$A$1),MONTH(inputs!$A$1),1)) *
  (tb_desp[data.pagamento]&lt;EOMONTH(inputs!$A$1,0)+1)
)</f>
        <v>0</v>
      </c>
      <c r="I20" s="241" cm="1">
        <f t="array" ref="I20">-SUMPRODUCT(
  tb_desp[valor] *
  (tb_desp[nucleo]=I$1) *
  (tb_desp[centro.negocio]=$B20) *
  (tb_desp[data.pagamento]&gt;=DATE(YEAR(inputs!$A$1),MONTH(inputs!$A$1),1)) *
  (tb_desp[data.pagamento]&lt;EOMONTH(inputs!$A$1,0)+1)
)</f>
        <v>0</v>
      </c>
      <c r="J20" s="241" cm="1">
        <f t="array" ref="J20">-SUMPRODUCT(
  tb_desp[valor] *
  (tb_desp[nucleo]=J$1) *
  (tb_desp[centro.negocio]=$B20) *
  (tb_desp[data.pagamento]&gt;=DATE(YEAR(inputs!$A$1),MONTH(inputs!$A$1),1)) *
  (tb_desp[data.pagamento]&lt;EOMONTH(inputs!$A$1,0)+1)
)</f>
        <v>0</v>
      </c>
      <c r="K20" s="241" cm="1">
        <f t="array" ref="K20">-SUMPRODUCT(
  tb_desp[valor] *
  (tb_desp[nucleo]=K$1) *
  (tb_desp[centro.negocio]=$B20) *
  (tb_desp[data.pagamento]&gt;=DATE(YEAR(inputs!$A$1),MONTH(inputs!$A$1),1)) *
  (tb_desp[data.pagamento]&lt;EOMONTH(inputs!$A$1,0)+1)
)</f>
        <v>0</v>
      </c>
      <c r="L20" s="241" cm="1">
        <f t="array" ref="L20">-SUMPRODUCT(
  tb_desp[valor] *
  (tb_desp[nucleo]=L$1) *
  (tb_desp[centro.negocio]=$B20) *
  (tb_desp[data.pagamento]&gt;=DATE(YEAR(inputs!$A$1),MONTH(inputs!$A$1),1)) *
  (tb_desp[data.pagamento]&lt;EOMONTH(inputs!$A$1,0)+1)
)</f>
        <v>0</v>
      </c>
      <c r="M20" s="242" cm="1">
        <f t="array" ref="M20">-SUMPRODUCT(
  tb_desp[valor] *
  (tb_desp[nucleo]=M$1) *
  (tb_desp[centro.negocio]=$B20) *
  (tb_desp[data.pagamento]&gt;=DATE(YEAR(inputs!$A$1),MONTH(inputs!$A$1),1)) *
  (tb_desp[data.pagamento]&lt;EOMONTH(inputs!$A$1,0)+1)
)</f>
        <v>0</v>
      </c>
      <c r="O20" s="275">
        <f t="shared" si="1"/>
        <v>0</v>
      </c>
    </row>
    <row r="21" spans="1:15" outlineLevel="1" x14ac:dyDescent="0.25">
      <c r="A21" s="179" t="s">
        <v>582</v>
      </c>
      <c r="B21" s="179" t="s">
        <v>355</v>
      </c>
      <c r="C21" s="241" cm="1">
        <f t="array" ref="C21">-SUMPRODUCT(
  tb_desp[valor] *
  (tb_desp[nucleo]=C$1) *
  (tb_desp[centro.negocio]=$B21) *
  (tb_desp[data.pagamento]&gt;=DATE(YEAR(inputs!$A$1),MONTH(inputs!$A$1),1)) *
  (tb_desp[data.pagamento]&lt;EOMONTH(inputs!$A$1,0)+1)
)</f>
        <v>0</v>
      </c>
      <c r="D21" s="241" cm="1">
        <f t="array" ref="D21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(tb_desp[data.pagamento]&gt;=DATE(YEAR(inputs!$A$1),MONTH(inputs!$A$1),1)) *
    (tb_desp[data.pagamento]&lt;EOMONTH(inputs!$A$1,0)+1)
  )</f>
        <v>0</v>
      </c>
      <c r="E21" s="241" cm="1">
        <f t="array" ref="E21">-SUMPRODUCT(
  tb_desp[valor] *
  (tb_desp[nucleo]=E$1) *
  (tb_desp[centro.negocio]=$B21) *
  (tb_desp[data.pagamento]&gt;=DATE(YEAR(inputs!$A$1),MONTH(inputs!$A$1),1)) *
  (tb_desp[data.pagamento]&lt;EOMONTH(inputs!$A$1,0)+1)
)</f>
        <v>0</v>
      </c>
      <c r="F21" s="241" cm="1">
        <f t="array" ref="F21">-SUMPRODUCT(
  tb_desp[valor] *
  (tb_desp[nucleo]=F$1) *
  (tb_desp[centro.negocio]=$B21) *
  (tb_desp[data.pagamento]&gt;=DATE(YEAR(inputs!$A$1),MONTH(inputs!$A$1),1)) *
  (tb_desp[data.pagamento]&lt;EOMONTH(inputs!$A$1,0)+1)
)</f>
        <v>0</v>
      </c>
      <c r="G21" s="241" cm="1">
        <f t="array" ref="G21">-SUMPRODUCT(
  tb_desp[valor] *
  (tb_desp[nucleo]=G$1) *
  (tb_desp[centro.negocio]=$B21) *
  (tb_desp[data.pagamento]&gt;=DATE(YEAR(inputs!$A$1),MONTH(inputs!$A$1),1)) *
  (tb_desp[data.pagamento]&lt;EOMONTH(inputs!$A$1,0)+1)
)</f>
        <v>0</v>
      </c>
      <c r="H21" s="241" cm="1">
        <f t="array" ref="H21">-SUMPRODUCT(
  tb_desp[valor] *
  (tb_desp[nucleo]=H$1) *
  (tb_desp[centro.negocio]=$B21) *
  (tb_desp[data.pagamento]&gt;=DATE(YEAR(inputs!$A$1),MONTH(inputs!$A$1),1)) *
  (tb_desp[data.pagamento]&lt;EOMONTH(inputs!$A$1,0)+1)
)</f>
        <v>0</v>
      </c>
      <c r="I21" s="241" cm="1">
        <f t="array" ref="I21">-SUMPRODUCT(
  tb_desp[valor] *
  (tb_desp[nucleo]=I$1) *
  (tb_desp[centro.negocio]=$B21) *
  (tb_desp[data.pagamento]&gt;=DATE(YEAR(inputs!$A$1),MONTH(inputs!$A$1),1)) *
  (tb_desp[data.pagamento]&lt;EOMONTH(inputs!$A$1,0)+1)
)</f>
        <v>0</v>
      </c>
      <c r="J21" s="241" cm="1">
        <f t="array" ref="J21">-SUMPRODUCT(
  tb_desp[valor] *
  (tb_desp[nucleo]=J$1) *
  (tb_desp[centro.negocio]=$B21) *
  (tb_desp[data.pagamento]&gt;=DATE(YEAR(inputs!$A$1),MONTH(inputs!$A$1),1)) *
  (tb_desp[data.pagamento]&lt;EOMONTH(inputs!$A$1,0)+1)
)</f>
        <v>0</v>
      </c>
      <c r="K21" s="241" cm="1">
        <f t="array" ref="K21">-SUMPRODUCT(
  tb_desp[valor] *
  (tb_desp[nucleo]=K$1) *
  (tb_desp[centro.negocio]=$B21) *
  (tb_desp[data.pagamento]&gt;=DATE(YEAR(inputs!$A$1),MONTH(inputs!$A$1),1)) *
  (tb_desp[data.pagamento]&lt;EOMONTH(inputs!$A$1,0)+1)
)</f>
        <v>0</v>
      </c>
      <c r="L21" s="241" cm="1">
        <f t="array" ref="L21">-SUMPRODUCT(
  tb_desp[valor] *
  (tb_desp[nucleo]=L$1) *
  (tb_desp[centro.negocio]=$B21) *
  (tb_desp[data.pagamento]&gt;=DATE(YEAR(inputs!$A$1),MONTH(inputs!$A$1),1)) *
  (tb_desp[data.pagamento]&lt;EOMONTH(inputs!$A$1,0)+1)
)</f>
        <v>0</v>
      </c>
      <c r="M21" s="242" cm="1">
        <f t="array" ref="M21">-SUMPRODUCT(
  tb_desp[valor] *
  (tb_desp[nucleo]=M$1) *
  (tb_desp[centro.negocio]=$B21) *
  (tb_desp[data.pagamento]&gt;=DATE(YEAR(inputs!$A$1),MONTH(inputs!$A$1),1)) *
  (tb_desp[data.pagamento]&lt;EOMONTH(inputs!$A$1,0)+1)
)</f>
        <v>0</v>
      </c>
      <c r="O21" s="275">
        <f t="shared" si="1"/>
        <v>0</v>
      </c>
    </row>
    <row r="22" spans="1:15" outlineLevel="1" x14ac:dyDescent="0.25">
      <c r="A22" s="179" t="s">
        <v>584</v>
      </c>
      <c r="B22" s="179" t="s">
        <v>365</v>
      </c>
      <c r="C22" s="241" cm="1">
        <f t="array" ref="C22">-SUMPRODUCT(
  tb_desp[valor] *
  (tb_desp[nucleo]=C$1) *
  (tb_desp[centro.negocio]=$B22) *
  (tb_desp[data.pagamento]&gt;=DATE(YEAR(inputs!$A$1),MONTH(inputs!$A$1),1)) *
  (tb_desp[data.pagamento]&lt;EOMONTH(inputs!$A$1,0)+1)
)</f>
        <v>0</v>
      </c>
      <c r="D22" s="241" cm="1">
        <f t="array" ref="D22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(tb_desp[data.pagamento]&gt;=DATE(YEAR(inputs!$A$1),MONTH(inputs!$A$1),1)) *
    (tb_desp[data.pagamento]&lt;EOMONTH(inputs!$A$1,0)+1)
  )</f>
        <v>0</v>
      </c>
      <c r="E22" s="241" cm="1">
        <f t="array" ref="E22">-SUMPRODUCT(
  tb_desp[valor] *
  (tb_desp[nucleo]=E$1) *
  (tb_desp[centro.negocio]=$B22) *
  (tb_desp[data.pagamento]&gt;=DATE(YEAR(inputs!$A$1),MONTH(inputs!$A$1),1)) *
  (tb_desp[data.pagamento]&lt;EOMONTH(inputs!$A$1,0)+1)
)</f>
        <v>0</v>
      </c>
      <c r="F22" s="241" cm="1">
        <f t="array" ref="F22">-SUMPRODUCT(
  tb_desp[valor] *
  (tb_desp[nucleo]=F$1) *
  (tb_desp[centro.negocio]=$B22) *
  (tb_desp[data.pagamento]&gt;=DATE(YEAR(inputs!$A$1),MONTH(inputs!$A$1),1)) *
  (tb_desp[data.pagamento]&lt;EOMONTH(inputs!$A$1,0)+1)
)</f>
        <v>0</v>
      </c>
      <c r="G22" s="241" cm="1">
        <f t="array" ref="G22">-SUMPRODUCT(
  tb_desp[valor] *
  (tb_desp[nucleo]=G$1) *
  (tb_desp[centro.negocio]=$B22) *
  (tb_desp[data.pagamento]&gt;=DATE(YEAR(inputs!$A$1),MONTH(inputs!$A$1),1)) *
  (tb_desp[data.pagamento]&lt;EOMONTH(inputs!$A$1,0)+1)
)</f>
        <v>0</v>
      </c>
      <c r="H22" s="241" cm="1">
        <f t="array" ref="H22">-SUMPRODUCT(
  tb_desp[valor] *
  (tb_desp[nucleo]=H$1) *
  (tb_desp[centro.negocio]=$B22) *
  (tb_desp[data.pagamento]&gt;=DATE(YEAR(inputs!$A$1),MONTH(inputs!$A$1),1)) *
  (tb_desp[data.pagamento]&lt;EOMONTH(inputs!$A$1,0)+1)
)</f>
        <v>0</v>
      </c>
      <c r="I22" s="241" cm="1">
        <f t="array" ref="I22">-SUMPRODUCT(
  tb_desp[valor] *
  (tb_desp[nucleo]=I$1) *
  (tb_desp[centro.negocio]=$B22) *
  (tb_desp[data.pagamento]&gt;=DATE(YEAR(inputs!$A$1),MONTH(inputs!$A$1),1)) *
  (tb_desp[data.pagamento]&lt;EOMONTH(inputs!$A$1,0)+1)
)</f>
        <v>0</v>
      </c>
      <c r="J22" s="241" cm="1">
        <f t="array" ref="J22">-SUMPRODUCT(
  tb_desp[valor] *
  (tb_desp[nucleo]=J$1) *
  (tb_desp[centro.negocio]=$B22) *
  (tb_desp[data.pagamento]&gt;=DATE(YEAR(inputs!$A$1),MONTH(inputs!$A$1),1)) *
  (tb_desp[data.pagamento]&lt;EOMONTH(inputs!$A$1,0)+1)
)</f>
        <v>0</v>
      </c>
      <c r="K22" s="241" cm="1">
        <f t="array" ref="K22">-SUMPRODUCT(
  tb_desp[valor] *
  (tb_desp[nucleo]=K$1) *
  (tb_desp[centro.negocio]=$B22) *
  (tb_desp[data.pagamento]&gt;=DATE(YEAR(inputs!$A$1),MONTH(inputs!$A$1),1)) *
  (tb_desp[data.pagamento]&lt;EOMONTH(inputs!$A$1,0)+1)
)</f>
        <v>0</v>
      </c>
      <c r="L22" s="241" cm="1">
        <f t="array" ref="L22">-SUMPRODUCT(
  tb_desp[valor] *
  (tb_desp[nucleo]=L$1) *
  (tb_desp[centro.negocio]=$B22) *
  (tb_desp[data.pagamento]&gt;=DATE(YEAR(inputs!$A$1),MONTH(inputs!$A$1),1)) *
  (tb_desp[data.pagamento]&lt;EOMONTH(inputs!$A$1,0)+1)
)</f>
        <v>0</v>
      </c>
      <c r="M22" s="242" cm="1">
        <f t="array" ref="M22">-SUMPRODUCT(
  tb_desp[valor] *
  (tb_desp[nucleo]=M$1) *
  (tb_desp[centro.negocio]=$B22) *
  (tb_desp[data.pagamento]&gt;=DATE(YEAR(inputs!$A$1),MONTH(inputs!$A$1),1)) *
  (tb_desp[data.pagamento]&lt;EOMONTH(inputs!$A$1,0)+1)
)</f>
        <v>0</v>
      </c>
      <c r="O22" s="275">
        <f t="shared" si="1"/>
        <v>0</v>
      </c>
    </row>
    <row r="23" spans="1:15" outlineLevel="1" x14ac:dyDescent="0.25">
      <c r="A23" s="179" t="s">
        <v>940</v>
      </c>
      <c r="B23" s="179" t="s">
        <v>691</v>
      </c>
      <c r="C23" s="241" cm="1">
        <f t="array" ref="C23">-SUMPRODUCT(
  tb_desp[valor] *
  (tb_desp[nucleo] = C$1)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-SUM(C$10:C$22)
-C$40</f>
        <v>0</v>
      </c>
      <c r="D23" s="241" cm="1">
        <f t="array" ref="D23">-SUMPRODUCT(
  tb_desp[valor]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 *
  --ISNA(MATCH(tb_desp[nucleo], {"AMPLA INCORP.";"UP JARDIM PRUDENCIA";"UP VILA SONIA";"Up Stay Congonhas";"UP SELECT VILA SONIA";"UP ESTAÇÃO SÃO LUCAS";"UP POMPEIA";"UP SAUDE";"UP ESTAÇÃO VILA SONIA";"UP MOVE VILA SONIA"}, 0))
)
-SUM(D$10:D$22)
-D$40</f>
        <v>0</v>
      </c>
      <c r="E23" s="241" cm="1">
        <f t="array" ref="E23">-SUMPRODUCT(
  tb_desp[valor] *
  (tb_desp[nucleo] = E$1)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-SUM(E$10:E$22)
-E$40</f>
        <v>0</v>
      </c>
      <c r="F23" s="241" cm="1">
        <f t="array" ref="F23">-SUMPRODUCT(
  tb_desp[valor] *
  (tb_desp[nucleo] = F$1)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-SUM(F$10:F$22)
-F$40</f>
        <v>0</v>
      </c>
      <c r="G23" s="241" cm="1">
        <f t="array" ref="G23">-SUMPRODUCT(
  tb_desp[valor] *
  (tb_desp[nucleo] = G$1)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-SUM(G$10:G$22)
-G$40</f>
        <v>0</v>
      </c>
      <c r="H23" s="241" cm="1">
        <f t="array" ref="H23">-SUMPRODUCT(
  tb_desp[valor] *
  (tb_desp[nucleo] = H$1)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-SUM(H$10:H$22)
-H$40</f>
        <v>0</v>
      </c>
      <c r="I23" s="241" cm="1">
        <f t="array" ref="I23">-SUMPRODUCT(
  tb_desp[valor] *
  (tb_desp[nucleo] = I$1)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-SUM(I$10:I$22)
-I$40</f>
        <v>0</v>
      </c>
      <c r="J23" s="241" cm="1">
        <f t="array" ref="J23">-SUMPRODUCT(
  tb_desp[valor] *
  (tb_desp[nucleo] = J$1)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-SUM(J$10:J$22)
-J$40</f>
        <v>0</v>
      </c>
      <c r="K23" s="241" cm="1">
        <f t="array" ref="K23">-SUMPRODUCT(
  tb_desp[valor] *
  (tb_desp[nucleo] = K$1)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-SUM(K$10:K$22)
-K$40</f>
        <v>0</v>
      </c>
      <c r="L23" s="241" cm="1">
        <f t="array" ref="L23">-SUMPRODUCT(
  tb_desp[valor] *
  (tb_desp[nucleo] = L$1)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-SUM(L$10:L$22)
-L$40</f>
        <v>0</v>
      </c>
      <c r="M23" s="242" cm="1">
        <f t="array" ref="M23">-SUMPRODUCT(
  tb_desp[valor] *
  (tb_desp[nucleo] = M$1) *
  (tb_desp[data.pagamento]&gt;=DATE(YEAR(inputs!$A$1),MONTH(inputs!$A$1),1)) *
  (tb_desp[data.pagamento]&lt;EOMONTH(inputs!$A$1,0)+1) *
  --ISNA(MATCH(tb_desp[centro.negocio], {"NF - Mão de Obra";"Operações Financeiras/juros";"Operações Financeiras - Geral";"Operações Financeira";"Terreno"}, 0))
)
-SUM(M$10:M$22)
-M$40</f>
        <v>0</v>
      </c>
      <c r="O23" s="275">
        <f t="shared" si="1"/>
        <v>0</v>
      </c>
    </row>
    <row r="24" spans="1:15" x14ac:dyDescent="0.25">
      <c r="A24" s="172" t="s">
        <v>586</v>
      </c>
      <c r="B24" s="254" t="s">
        <v>587</v>
      </c>
      <c r="C24" s="245">
        <f t="shared" ref="C24:D24" si="4">C25+C28</f>
        <v>0</v>
      </c>
      <c r="D24" s="245">
        <f t="shared" si="4"/>
        <v>0</v>
      </c>
      <c r="E24" s="245">
        <f t="shared" ref="E24" si="5">E25+E28</f>
        <v>0</v>
      </c>
      <c r="F24" s="245">
        <f t="shared" ref="F24:M24" si="6">F25+F28</f>
        <v>0</v>
      </c>
      <c r="G24" s="245">
        <f t="shared" si="6"/>
        <v>0</v>
      </c>
      <c r="H24" s="245">
        <f t="shared" si="6"/>
        <v>0</v>
      </c>
      <c r="I24" s="245">
        <f t="shared" si="6"/>
        <v>0</v>
      </c>
      <c r="J24" s="245">
        <f t="shared" si="6"/>
        <v>0</v>
      </c>
      <c r="K24" s="245">
        <f t="shared" si="6"/>
        <v>0</v>
      </c>
      <c r="L24" s="245">
        <f t="shared" si="6"/>
        <v>0</v>
      </c>
      <c r="M24" s="246">
        <f t="shared" si="6"/>
        <v>0</v>
      </c>
      <c r="O24" s="277">
        <f t="shared" si="1"/>
        <v>0</v>
      </c>
    </row>
    <row r="25" spans="1:15" x14ac:dyDescent="0.25">
      <c r="A25" s="176" t="s">
        <v>588</v>
      </c>
      <c r="B25" s="255" t="s">
        <v>589</v>
      </c>
      <c r="C25" s="239">
        <f t="shared" ref="C25:D25" si="7">SUM(C26:C27)</f>
        <v>0</v>
      </c>
      <c r="D25" s="239">
        <f t="shared" si="7"/>
        <v>0</v>
      </c>
      <c r="E25" s="239">
        <f t="shared" ref="E25" si="8">SUM(E26:E27)</f>
        <v>0</v>
      </c>
      <c r="F25" s="239">
        <f t="shared" ref="F25:M25" si="9">SUM(F26:F27)</f>
        <v>0</v>
      </c>
      <c r="G25" s="239">
        <f t="shared" si="9"/>
        <v>0</v>
      </c>
      <c r="H25" s="239">
        <f t="shared" si="9"/>
        <v>0</v>
      </c>
      <c r="I25" s="239">
        <f t="shared" si="9"/>
        <v>0</v>
      </c>
      <c r="J25" s="239">
        <f t="shared" si="9"/>
        <v>0</v>
      </c>
      <c r="K25" s="239">
        <f t="shared" si="9"/>
        <v>0</v>
      </c>
      <c r="L25" s="239">
        <f t="shared" si="9"/>
        <v>0</v>
      </c>
      <c r="M25" s="240">
        <f t="shared" si="9"/>
        <v>0</v>
      </c>
      <c r="O25" s="274">
        <f t="shared" si="1"/>
        <v>0</v>
      </c>
    </row>
    <row r="26" spans="1:15" outlineLevel="1" x14ac:dyDescent="0.25">
      <c r="A26" s="179" t="s">
        <v>590</v>
      </c>
      <c r="B26" s="258" t="s">
        <v>591</v>
      </c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8"/>
      <c r="O26" s="175">
        <f t="shared" si="1"/>
        <v>0</v>
      </c>
    </row>
    <row r="27" spans="1:15" outlineLevel="1" x14ac:dyDescent="0.25">
      <c r="A27" s="179" t="s">
        <v>592</v>
      </c>
      <c r="B27" s="258" t="s">
        <v>593</v>
      </c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8"/>
      <c r="O27" s="175">
        <f t="shared" si="1"/>
        <v>0</v>
      </c>
    </row>
    <row r="28" spans="1:15" x14ac:dyDescent="0.25">
      <c r="A28" s="185" t="s">
        <v>594</v>
      </c>
      <c r="B28" s="257" t="s">
        <v>595</v>
      </c>
      <c r="C28" s="249">
        <f t="shared" ref="C28:D28" si="10">SUM(C29:C31)</f>
        <v>0</v>
      </c>
      <c r="D28" s="249">
        <f t="shared" si="10"/>
        <v>0</v>
      </c>
      <c r="E28" s="249">
        <f t="shared" ref="E28" si="11">SUM(E29:E31)</f>
        <v>0</v>
      </c>
      <c r="F28" s="249">
        <f t="shared" ref="F28:M28" si="12">SUM(F29:F31)</f>
        <v>0</v>
      </c>
      <c r="G28" s="249">
        <f t="shared" si="12"/>
        <v>0</v>
      </c>
      <c r="H28" s="249">
        <f t="shared" si="12"/>
        <v>0</v>
      </c>
      <c r="I28" s="249">
        <f t="shared" si="12"/>
        <v>0</v>
      </c>
      <c r="J28" s="249">
        <f t="shared" si="12"/>
        <v>0</v>
      </c>
      <c r="K28" s="249">
        <f t="shared" si="12"/>
        <v>0</v>
      </c>
      <c r="L28" s="249">
        <f t="shared" si="12"/>
        <v>0</v>
      </c>
      <c r="M28" s="250">
        <f t="shared" si="12"/>
        <v>0</v>
      </c>
      <c r="O28" s="278">
        <f t="shared" si="1"/>
        <v>0</v>
      </c>
    </row>
    <row r="29" spans="1:15" outlineLevel="1" x14ac:dyDescent="0.25">
      <c r="A29" s="179" t="s">
        <v>596</v>
      </c>
      <c r="B29" s="256" t="s">
        <v>400</v>
      </c>
      <c r="C29" s="241" cm="1">
        <f t="array" ref="C29">-SUMPRODUCT(
  tb_desp[valor] *
  (tb_desp[nucleo]=C$1) *
  (tb_desp[centro.negocio]=$B29) *
  (tb_desp[data.pagamento]&gt;=DATE(YEAR(inputs!$A$1),MONTH(inputs!$A$1),1)) *
  (tb_desp[data.pagamento]&lt;EOMONTH(inputs!$A$1,0)+1)
)</f>
        <v>0</v>
      </c>
      <c r="D29" s="241" cm="1">
        <f t="array" ref="D29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(tb_desp[centro.negocio]=$B29) *
    (tb_desp[data.pagamento]&gt;=DATE(YEAR(inputs!$A$1),MONTH(inputs!$A$1),1)) *
    (tb_desp[data.pagamento]&lt;EOMONTH(inputs!$A$1,0)+1)
)</f>
        <v>0</v>
      </c>
      <c r="E29" s="241" cm="1">
        <f t="array" ref="E29">-SUMPRODUCT(
  tb_desp[valor] *
  (tb_desp[nucleo]=E$1) *
  (tb_desp[centro.negocio]=$B29) *
  (tb_desp[data.pagamento]&gt;=DATE(YEAR(inputs!$A$1),MONTH(inputs!$A$1),1)) *
  (tb_desp[data.pagamento]&lt;EOMONTH(inputs!$A$1,0)+1)
)</f>
        <v>0</v>
      </c>
      <c r="F29" s="241" cm="1">
        <f t="array" ref="F29">-SUMPRODUCT(
  tb_desp[valor] *
  (tb_desp[nucleo]=F$1) *
  (tb_desp[centro.negocio]=$B29) *
  (tb_desp[data.pagamento]&gt;=DATE(YEAR(inputs!$A$1),MONTH(inputs!$A$1),1)) *
  (tb_desp[data.pagamento]&lt;EOMONTH(inputs!$A$1,0)+1)
)</f>
        <v>0</v>
      </c>
      <c r="G29" s="241" cm="1">
        <f t="array" ref="G29">-SUMPRODUCT(
  tb_desp[valor] *
  (tb_desp[nucleo]=G$1) *
  (tb_desp[centro.negocio]=$B29) *
  (tb_desp[data.pagamento]&gt;=DATE(YEAR(inputs!$A$1),MONTH(inputs!$A$1),1)) *
  (tb_desp[data.pagamento]&lt;EOMONTH(inputs!$A$1,0)+1)
)</f>
        <v>0</v>
      </c>
      <c r="H29" s="241" cm="1">
        <f t="array" ref="H29">-SUMPRODUCT(
  tb_desp[valor] *
  (tb_desp[nucleo]=H$1) *
  (tb_desp[centro.negocio]=$B29) *
  (tb_desp[data.pagamento]&gt;=DATE(YEAR(inputs!$A$1),MONTH(inputs!$A$1),1)) *
  (tb_desp[data.pagamento]&lt;EOMONTH(inputs!$A$1,0)+1)
)</f>
        <v>0</v>
      </c>
      <c r="I29" s="241" cm="1">
        <f t="array" ref="I29">-SUMPRODUCT(
  tb_desp[valor] *
  (tb_desp[nucleo]=I$1) *
  (tb_desp[centro.negocio]=$B29) *
  (tb_desp[data.pagamento]&gt;=DATE(YEAR(inputs!$A$1),MONTH(inputs!$A$1),1)) *
  (tb_desp[data.pagamento]&lt;EOMONTH(inputs!$A$1,0)+1)
)</f>
        <v>0</v>
      </c>
      <c r="J29" s="241" cm="1">
        <f t="array" ref="J29">-SUMPRODUCT(
  tb_desp[valor] *
  (tb_desp[nucleo]=J$1) *
  (tb_desp[centro.negocio]=$B29) *
  (tb_desp[data.pagamento]&gt;=DATE(YEAR(inputs!$A$1),MONTH(inputs!$A$1),1)) *
  (tb_desp[data.pagamento]&lt;EOMONTH(inputs!$A$1,0)+1)
)</f>
        <v>0</v>
      </c>
      <c r="K29" s="241" cm="1">
        <f t="array" ref="K29">-SUMPRODUCT(
  tb_desp[valor] *
  (tb_desp[nucleo]=K$1) *
  (tb_desp[centro.negocio]=$B29) *
  (tb_desp[data.pagamento]&gt;=DATE(YEAR(inputs!$A$1),MONTH(inputs!$A$1),1)) *
  (tb_desp[data.pagamento]&lt;EOMONTH(inputs!$A$1,0)+1)
)</f>
        <v>0</v>
      </c>
      <c r="L29" s="241" cm="1">
        <f t="array" ref="L29">-SUMPRODUCT(
  tb_desp[valor] *
  (tb_desp[nucleo]=L$1) *
  (tb_desp[centro.negocio]=$B29) *
  (tb_desp[data.pagamento]&gt;=DATE(YEAR(inputs!$A$1),MONTH(inputs!$A$1),1)) *
  (tb_desp[data.pagamento]&lt;EOMONTH(inputs!$A$1,0)+1)
)</f>
        <v>0</v>
      </c>
      <c r="M29" s="242" cm="1">
        <f t="array" ref="M29">-SUMPRODUCT(
  tb_desp[valor] *
  (tb_desp[nucleo]=M$1) *
  (tb_desp[centro.negocio]=$B29) *
  (tb_desp[data.pagamento]&gt;=DATE(YEAR(inputs!$A$1),MONTH(inputs!$A$1),1)) *
  (tb_desp[data.pagamento]&lt;EOMONTH(inputs!$A$1,0)+1)
)</f>
        <v>0</v>
      </c>
      <c r="O29" s="275">
        <f t="shared" si="1"/>
        <v>0</v>
      </c>
    </row>
    <row r="30" spans="1:15" outlineLevel="1" x14ac:dyDescent="0.25">
      <c r="A30" s="179" t="s">
        <v>612</v>
      </c>
      <c r="B30" s="258" t="s">
        <v>613</v>
      </c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8"/>
      <c r="O30" s="175">
        <f t="shared" si="1"/>
        <v>0</v>
      </c>
    </row>
    <row r="31" spans="1:15" outlineLevel="1" x14ac:dyDescent="0.25">
      <c r="A31" s="179" t="s">
        <v>614</v>
      </c>
      <c r="B31" s="258" t="s">
        <v>615</v>
      </c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8"/>
      <c r="O31" s="175">
        <f t="shared" si="1"/>
        <v>0</v>
      </c>
    </row>
    <row r="32" spans="1:15" x14ac:dyDescent="0.25">
      <c r="A32" s="172" t="s">
        <v>616</v>
      </c>
      <c r="B32" s="254" t="s">
        <v>617</v>
      </c>
      <c r="C32" s="237">
        <f t="shared" ref="C32:D32" si="13">C33+C38</f>
        <v>0</v>
      </c>
      <c r="D32" s="237">
        <f t="shared" si="13"/>
        <v>0</v>
      </c>
      <c r="E32" s="237">
        <f t="shared" ref="E32" si="14">E33+E38</f>
        <v>0</v>
      </c>
      <c r="F32" s="237">
        <f t="shared" ref="F32:M32" si="15">F33+F38</f>
        <v>0</v>
      </c>
      <c r="G32" s="237">
        <f t="shared" si="15"/>
        <v>0</v>
      </c>
      <c r="H32" s="237">
        <f t="shared" si="15"/>
        <v>148525</v>
      </c>
      <c r="I32" s="237">
        <f t="shared" si="15"/>
        <v>401137.2</v>
      </c>
      <c r="J32" s="237">
        <f t="shared" si="15"/>
        <v>0</v>
      </c>
      <c r="K32" s="237">
        <f t="shared" si="15"/>
        <v>0</v>
      </c>
      <c r="L32" s="237">
        <f t="shared" si="15"/>
        <v>0</v>
      </c>
      <c r="M32" s="238">
        <f t="shared" si="15"/>
        <v>432421.65</v>
      </c>
      <c r="O32" s="273">
        <f t="shared" si="1"/>
        <v>982083.85</v>
      </c>
    </row>
    <row r="33" spans="1:15" x14ac:dyDescent="0.25">
      <c r="A33" s="176" t="s">
        <v>618</v>
      </c>
      <c r="B33" s="255" t="s">
        <v>619</v>
      </c>
      <c r="C33" s="239">
        <f t="shared" ref="C33:D33" si="16">C34+C37</f>
        <v>0</v>
      </c>
      <c r="D33" s="239">
        <f t="shared" si="16"/>
        <v>0</v>
      </c>
      <c r="E33" s="239">
        <f t="shared" ref="E33" si="17">E34+E37</f>
        <v>0</v>
      </c>
      <c r="F33" s="239">
        <f t="shared" ref="F33:M33" si="18">F34+F37</f>
        <v>0</v>
      </c>
      <c r="G33" s="239">
        <f t="shared" si="18"/>
        <v>0</v>
      </c>
      <c r="H33" s="239">
        <f t="shared" si="18"/>
        <v>148525</v>
      </c>
      <c r="I33" s="239">
        <f t="shared" si="18"/>
        <v>401137.2</v>
      </c>
      <c r="J33" s="239">
        <f t="shared" si="18"/>
        <v>0</v>
      </c>
      <c r="K33" s="239">
        <f t="shared" si="18"/>
        <v>0</v>
      </c>
      <c r="L33" s="239">
        <f t="shared" si="18"/>
        <v>0</v>
      </c>
      <c r="M33" s="240">
        <f t="shared" si="18"/>
        <v>432421.65</v>
      </c>
      <c r="O33" s="274">
        <f t="shared" si="1"/>
        <v>982083.85</v>
      </c>
    </row>
    <row r="34" spans="1:15" outlineLevel="1" x14ac:dyDescent="0.25">
      <c r="A34" s="179" t="s">
        <v>620</v>
      </c>
      <c r="B34" s="256" t="s">
        <v>621</v>
      </c>
      <c r="C34" s="241">
        <f t="shared" ref="C34:D34" si="19">SUM(C35:C36)</f>
        <v>0</v>
      </c>
      <c r="D34" s="241">
        <f t="shared" si="19"/>
        <v>0</v>
      </c>
      <c r="E34" s="241">
        <f t="shared" ref="E34" si="20">SUM(E35:E36)</f>
        <v>0</v>
      </c>
      <c r="F34" s="241">
        <f t="shared" ref="F34:M34" si="21">SUM(F35:F36)</f>
        <v>0</v>
      </c>
      <c r="G34" s="241">
        <f t="shared" si="21"/>
        <v>0</v>
      </c>
      <c r="H34" s="241">
        <f t="shared" si="21"/>
        <v>148525</v>
      </c>
      <c r="I34" s="241">
        <f t="shared" si="21"/>
        <v>401137.2</v>
      </c>
      <c r="J34" s="241">
        <f t="shared" si="21"/>
        <v>0</v>
      </c>
      <c r="K34" s="241">
        <f t="shared" si="21"/>
        <v>0</v>
      </c>
      <c r="L34" s="241">
        <f t="shared" si="21"/>
        <v>0</v>
      </c>
      <c r="M34" s="242">
        <f t="shared" si="21"/>
        <v>432421.65</v>
      </c>
      <c r="O34" s="275">
        <f t="shared" si="1"/>
        <v>982083.85</v>
      </c>
    </row>
    <row r="35" spans="1:15" outlineLevel="1" x14ac:dyDescent="0.25">
      <c r="A35" s="193" t="s">
        <v>623</v>
      </c>
      <c r="B35" s="259" t="s">
        <v>624</v>
      </c>
      <c r="C35" s="241">
        <v>0</v>
      </c>
      <c r="D35" s="241">
        <v>0</v>
      </c>
      <c r="E35" s="241">
        <f>f.grupo!W207</f>
        <v>0</v>
      </c>
      <c r="F35" s="241">
        <f>f.grupo!W209</f>
        <v>0</v>
      </c>
      <c r="G35" s="241">
        <v>0</v>
      </c>
      <c r="H35" s="241">
        <f>f.grupo!W206</f>
        <v>148525</v>
      </c>
      <c r="I35" s="241">
        <f>f.grupo!W205</f>
        <v>401137.2</v>
      </c>
      <c r="J35" s="241">
        <v>0</v>
      </c>
      <c r="K35" s="241">
        <v>0</v>
      </c>
      <c r="L35" s="241">
        <f>f.grupo!W204</f>
        <v>0</v>
      </c>
      <c r="M35" s="242">
        <f>f.grupo!W208</f>
        <v>432421.65</v>
      </c>
      <c r="O35" s="275">
        <f t="shared" si="1"/>
        <v>982083.85</v>
      </c>
    </row>
    <row r="36" spans="1:15" outlineLevel="1" x14ac:dyDescent="0.25">
      <c r="A36" s="193" t="s">
        <v>629</v>
      </c>
      <c r="B36" s="259" t="s">
        <v>344</v>
      </c>
      <c r="C36" s="241" cm="1">
        <f t="array" ref="C36">SUMPRODUCT(
  INDEX(fin[],0,MATCH(TEXT(inputs!$A$1,"mmm/aa"),fin[#Headers],0)) *
  (fin[Tomadora]=C$2)
)</f>
        <v>0</v>
      </c>
      <c r="D36" s="241">
        <f>SUM(INDEX(fin[],0,MATCH(TEXT(inputs!$A$1,"mmm/aa"),fin[#Headers],0)))-SUM(C36,E36:M36)</f>
        <v>0</v>
      </c>
      <c r="E36" s="241" cm="1">
        <f t="array" ref="E36">SUMPRODUCT(
  INDEX(fin[],0,MATCH(TEXT(inputs!$A$1,"mmm/aa"),fin[#Headers],0)) *
  (fin[Tomadora]=E$2)
)</f>
        <v>0</v>
      </c>
      <c r="F36" s="241" cm="1">
        <f t="array" ref="F36">SUMPRODUCT(
  INDEX(fin[],0,MATCH(TEXT(inputs!$A$1,"mmm/aa"),fin[#Headers],0)) *
  (fin[Tomadora]=F$2)
)</f>
        <v>0</v>
      </c>
      <c r="G36" s="241" cm="1">
        <f t="array" ref="G36">SUMPRODUCT(
  INDEX(fin[],0,MATCH(TEXT(inputs!$A$1,"mmm/aa"),fin[#Headers],0)) *
  (fin[Tomadora]=G$2)
)</f>
        <v>0</v>
      </c>
      <c r="H36" s="241" cm="1">
        <f t="array" ref="H36">SUMPRODUCT(
  INDEX(fin[],0,MATCH(TEXT(inputs!$A$1,"mmm/aa"),fin[#Headers],0)) *
  (fin[Tomadora]=H$2)
)</f>
        <v>0</v>
      </c>
      <c r="I36" s="241" cm="1">
        <f t="array" ref="I36">SUMPRODUCT(
  INDEX(fin[],0,MATCH(TEXT(inputs!$A$1,"mmm/aa"),fin[#Headers],0)) *
  (fin[Tomadora]=I$2)
)</f>
        <v>0</v>
      </c>
      <c r="J36" s="241" cm="1">
        <f t="array" ref="J36">SUMPRODUCT(
  INDEX(fin[],0,MATCH(TEXT(inputs!$A$1,"mmm/aa"),fin[#Headers],0)) *
  (fin[Tomadora]=J$2)
)</f>
        <v>0</v>
      </c>
      <c r="K36" s="241" cm="1">
        <f t="array" ref="K36">SUMPRODUCT(
  INDEX(fin[],0,MATCH(TEXT(inputs!$A$1,"mmm/aa"),fin[#Headers],0)) *
  (fin[Tomadora]=K$2)
)</f>
        <v>0</v>
      </c>
      <c r="L36" s="241" cm="1">
        <f t="array" ref="L36">SUMPRODUCT(
  INDEX(fin[],0,MATCH(TEXT(inputs!$A$1,"mmm/aa"),fin[#Headers],0)) *
  (fin[Tomadora]=L$2)
)</f>
        <v>0</v>
      </c>
      <c r="M36" s="242" cm="1">
        <f t="array" ref="M36">SUMPRODUCT(
  INDEX(fin[],0,MATCH(TEXT(inputs!$A$1,"mmm/aa"),fin[#Headers],0)) *
  (fin[Tomadora]=M$2)
)</f>
        <v>0</v>
      </c>
      <c r="O36" s="275">
        <f t="shared" si="1"/>
        <v>0</v>
      </c>
    </row>
    <row r="37" spans="1:15" outlineLevel="1" x14ac:dyDescent="0.25">
      <c r="A37" s="179" t="s">
        <v>639</v>
      </c>
      <c r="B37" s="258" t="s">
        <v>640</v>
      </c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2"/>
      <c r="O37" s="275">
        <f t="shared" si="1"/>
        <v>0</v>
      </c>
    </row>
    <row r="38" spans="1:15" x14ac:dyDescent="0.25">
      <c r="A38" s="185" t="s">
        <v>641</v>
      </c>
      <c r="B38" s="257" t="s">
        <v>642</v>
      </c>
      <c r="C38" s="249">
        <f t="shared" ref="C38:M38" si="22">SUM(C39:C41)</f>
        <v>0</v>
      </c>
      <c r="D38" s="249">
        <f t="shared" si="22"/>
        <v>0</v>
      </c>
      <c r="E38" s="249">
        <f t="shared" si="22"/>
        <v>0</v>
      </c>
      <c r="F38" s="249">
        <f t="shared" si="22"/>
        <v>0</v>
      </c>
      <c r="G38" s="249">
        <f t="shared" si="22"/>
        <v>0</v>
      </c>
      <c r="H38" s="249">
        <f t="shared" si="22"/>
        <v>0</v>
      </c>
      <c r="I38" s="249">
        <f t="shared" si="22"/>
        <v>0</v>
      </c>
      <c r="J38" s="249">
        <f t="shared" si="22"/>
        <v>0</v>
      </c>
      <c r="K38" s="249">
        <f t="shared" si="22"/>
        <v>0</v>
      </c>
      <c r="L38" s="249">
        <f t="shared" si="22"/>
        <v>0</v>
      </c>
      <c r="M38" s="250">
        <f t="shared" si="22"/>
        <v>0</v>
      </c>
      <c r="O38" s="278">
        <f t="shared" si="1"/>
        <v>0</v>
      </c>
    </row>
    <row r="39" spans="1:15" outlineLevel="1" x14ac:dyDescent="0.25">
      <c r="A39" s="179" t="s">
        <v>643</v>
      </c>
      <c r="B39" s="260" t="s">
        <v>389</v>
      </c>
      <c r="C39" s="241" cm="1">
        <f t="array" ref="C39">-SUMPRODUCT(
  tb_desp[valor] *
  (tb_desp[nucleo]=C$1) *
  (tb_desp[centro.negocio]=$B39) *
  (tb_desp[data.pagamento]&gt;=DATE(YEAR(inputs!$A$1),MONTH(inputs!$A$1),1)) *
  (tb_desp[data.pagamento]&lt;EOMONTH(inputs!$A$1,0)+1)
)</f>
        <v>0</v>
      </c>
      <c r="D39" s="241" cm="1">
        <f t="array" ref="D39">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(tb_desp[centro.negocio]=$B39) *
    (tb_desp[data.pagamento]&gt;=DATE(YEAR(inputs!$A$1),MONTH(inputs!$A$1),1)) *
    (tb_desp[data.pagamento]&lt;EOMONTH(inputs!$A$1,0)+1)
)</f>
        <v>0</v>
      </c>
      <c r="E39" s="241" cm="1">
        <f t="array" ref="E39">-SUMPRODUCT(
  tb_desp[valor] *
  (tb_desp[nucleo]=E$1) *
  (tb_desp[centro.negocio]=$B39) *
  (tb_desp[data.pagamento]&gt;=DATE(YEAR(inputs!$A$1),MONTH(inputs!$A$1),1)) *
  (tb_desp[data.pagamento]&lt;EOMONTH(inputs!$A$1,0)+1)
)</f>
        <v>0</v>
      </c>
      <c r="F39" s="241" cm="1">
        <f t="array" ref="F39">-SUMPRODUCT(
  tb_desp[valor] *
  (tb_desp[nucleo]=F$1) *
  (tb_desp[centro.negocio]=$B39) *
  (tb_desp[data.pagamento]&gt;=DATE(YEAR(inputs!$A$1),MONTH(inputs!$A$1),1)) *
  (tb_desp[data.pagamento]&lt;EOMONTH(inputs!$A$1,0)+1)
)</f>
        <v>0</v>
      </c>
      <c r="G39" s="241" cm="1">
        <f t="array" ref="G39">-SUMPRODUCT(
  tb_desp[valor] *
  (tb_desp[nucleo]=G$1) *
  (tb_desp[centro.negocio]=$B39) *
  (tb_desp[data.pagamento]&gt;=DATE(YEAR(inputs!$A$1),MONTH(inputs!$A$1),1)) *
  (tb_desp[data.pagamento]&lt;EOMONTH(inputs!$A$1,0)+1)
)</f>
        <v>0</v>
      </c>
      <c r="H39" s="241" cm="1">
        <f t="array" ref="H39">-SUMPRODUCT(
  tb_desp[valor] *
  (tb_desp[nucleo]=H$1) *
  (tb_desp[centro.negocio]=$B39) *
  (tb_desp[data.pagamento]&gt;=DATE(YEAR(inputs!$A$1),MONTH(inputs!$A$1),1)) *
  (tb_desp[data.pagamento]&lt;EOMONTH(inputs!$A$1,0)+1)
)</f>
        <v>0</v>
      </c>
      <c r="I39" s="241" cm="1">
        <f t="array" ref="I39">-SUMPRODUCT(
  tb_desp[valor] *
  (tb_desp[nucleo]=I$1) *
  (tb_desp[centro.negocio]=$B39) *
  (tb_desp[data.pagamento]&gt;=DATE(YEAR(inputs!$A$1),MONTH(inputs!$A$1),1)) *
  (tb_desp[data.pagamento]&lt;EOMONTH(inputs!$A$1,0)+1)
)</f>
        <v>0</v>
      </c>
      <c r="J39" s="241" cm="1">
        <f t="array" ref="J39">-SUMPRODUCT(
  tb_desp[valor] *
  (tb_desp[nucleo]=J$1) *
  (tb_desp[centro.negocio]=$B39) *
  (tb_desp[data.pagamento]&gt;=DATE(YEAR(inputs!$A$1),MONTH(inputs!$A$1),1)) *
  (tb_desp[data.pagamento]&lt;EOMONTH(inputs!$A$1,0)+1)
)</f>
        <v>0</v>
      </c>
      <c r="K39" s="241" cm="1">
        <f t="array" ref="K39">-SUMPRODUCT(
  tb_desp[valor] *
  (tb_desp[nucleo]=K$1) *
  (tb_desp[centro.negocio]=$B39) *
  (tb_desp[data.pagamento]&gt;=DATE(YEAR(inputs!$A$1),MONTH(inputs!$A$1),1)) *
  (tb_desp[data.pagamento]&lt;EOMONTH(inputs!$A$1,0)+1)
)</f>
        <v>0</v>
      </c>
      <c r="L39" s="241" cm="1">
        <f t="array" ref="L39">-SUMPRODUCT(
  tb_desp[valor] *
  (tb_desp[nucleo]=L$1) *
  (tb_desp[centro.negocio]=$B39) *
  (tb_desp[data.pagamento]&gt;=DATE(YEAR(inputs!$A$1),MONTH(inputs!$A$1),1)) *
  (tb_desp[data.pagamento]&lt;EOMONTH(inputs!$A$1,0)+1)
)</f>
        <v>0</v>
      </c>
      <c r="M39" s="242" cm="1">
        <f t="array" ref="M39">-SUMPRODUCT(
  tb_desp[valor] *
  (tb_desp[nucleo]=M$1) *
  (tb_desp[centro.negocio]=$B39) *
  (tb_desp[data.pagamento]&gt;=DATE(YEAR(inputs!$A$1),MONTH(inputs!$A$1),1)) *
  (tb_desp[data.pagamento]&lt;EOMONTH(inputs!$A$1,0)+1)
)</f>
        <v>0</v>
      </c>
      <c r="O39" s="275">
        <f t="shared" si="1"/>
        <v>0</v>
      </c>
    </row>
    <row r="40" spans="1:15" outlineLevel="1" x14ac:dyDescent="0.25">
      <c r="A40" s="179" t="s">
        <v>878</v>
      </c>
      <c r="B40" s="256" t="s">
        <v>937</v>
      </c>
      <c r="C40" s="241" cm="1">
        <f t="array" ref="C40">-SUMPRODUCT(
  tb_desp[valor] *
  (tb_desp[nucleo]=C$1) *
  (tb_desp[centro.negocio]="Comissão/vendas") *
  (tb_desp[classe]="Financiamento") *
  (tb_desp[data.pagamento]&gt;=DATE(YEAR(inputs!$A$1),MONTH(inputs!$A$1),1)) *
  (tb_desp[data.pagamento]&lt;EOMONTH(inputs!$A$1,0)+1)
)</f>
        <v>0</v>
      </c>
      <c r="D40" s="241">
        <v>0</v>
      </c>
      <c r="E40" s="241" cm="1">
        <f t="array" ref="E40">-SUMPRODUCT(
  tb_desp[valor] *
  (tb_desp[nucleo]=E$1) *
  (tb_desp[centro.negocio]="Comissão/vendas") *
  (tb_desp[classe]="Financiamento") *
  (tb_desp[data.pagamento]&gt;=DATE(YEAR(inputs!$A$1),MONTH(inputs!$A$1),1)) *
  (tb_desp[data.pagamento]&lt;EOMONTH(inputs!$A$1,0)+1)
)</f>
        <v>0</v>
      </c>
      <c r="F40" s="241" cm="1">
        <f t="array" ref="F40">-SUMPRODUCT(
  tb_desp[valor] *
  (tb_desp[nucleo]=F$1) *
  (tb_desp[centro.negocio]="Comissão/vendas") *
  (tb_desp[classe]="Financiamento") *
  (tb_desp[data.pagamento]&gt;=DATE(YEAR(inputs!$A$1),MONTH(inputs!$A$1),1)) *
  (tb_desp[data.pagamento]&lt;EOMONTH(inputs!$A$1,0)+1)
)</f>
        <v>0</v>
      </c>
      <c r="G40" s="241" cm="1">
        <f t="array" ref="G40">-SUMPRODUCT(
  tb_desp[valor] *
  (tb_desp[nucleo]=G$1) *
  (tb_desp[centro.negocio]="Comissão/vendas") *
  (tb_desp[classe]="Financiamento") *
  (tb_desp[data.pagamento]&gt;=DATE(YEAR(inputs!$A$1),MONTH(inputs!$A$1),1)) *
  (tb_desp[data.pagamento]&lt;EOMONTH(inputs!$A$1,0)+1)
)</f>
        <v>0</v>
      </c>
      <c r="H40" s="241" cm="1">
        <f t="array" ref="H40">-SUMPRODUCT(
  tb_desp[valor] *
  (tb_desp[nucleo]=H$1) *
  (tb_desp[centro.negocio]="Comissão/vendas") *
  (tb_desp[classe]="Financiamento") *
  (tb_desp[data.pagamento]&gt;=DATE(YEAR(inputs!$A$1),MONTH(inputs!$A$1),1)) *
  (tb_desp[data.pagamento]&lt;EOMONTH(inputs!$A$1,0)+1)
)</f>
        <v>0</v>
      </c>
      <c r="I40" s="241" cm="1">
        <f t="array" ref="I40">-SUMPRODUCT(
  tb_desp[valor] *
  (tb_desp[nucleo]=I$1) *
  (tb_desp[centro.negocio]="Comissão/vendas") *
  (tb_desp[classe]="Financiamento") *
  (tb_desp[data.pagamento]&gt;=DATE(YEAR(inputs!$A$1),MONTH(inputs!$A$1),1)) *
  (tb_desp[data.pagamento]&lt;EOMONTH(inputs!$A$1,0)+1)
)</f>
        <v>0</v>
      </c>
      <c r="J40" s="241" cm="1">
        <f t="array" ref="J40">-SUMPRODUCT(
  tb_desp[valor] *
  (tb_desp[nucleo]=J$1) *
  (tb_desp[centro.negocio]="Comissão/vendas") *
  (tb_desp[classe]="Financiamento") *
  (tb_desp[data.pagamento]&gt;=DATE(YEAR(inputs!$A$1),MONTH(inputs!$A$1),1)) *
  (tb_desp[data.pagamento]&lt;EOMONTH(inputs!$A$1,0)+1)
)</f>
        <v>0</v>
      </c>
      <c r="K40" s="241" cm="1">
        <f t="array" ref="K40">-SUMPRODUCT(
  tb_desp[valor] *
  (tb_desp[nucleo]=K$1) *
  (tb_desp[centro.negocio]="Comissão/vendas") *
  (tb_desp[classe]="Financiamento") *
  (tb_desp[data.pagamento]&gt;=DATE(YEAR(inputs!$A$1),MONTH(inputs!$A$1),1)) *
  (tb_desp[data.pagamento]&lt;EOMONTH(inputs!$A$1,0)+1)
)</f>
        <v>0</v>
      </c>
      <c r="L40" s="241" cm="1">
        <f t="array" ref="L40">-SUMPRODUCT(
  tb_desp[valor] *
  (tb_desp[nucleo]=L$1) *
  (tb_desp[centro.negocio]="Comissão/vendas") *
  (tb_desp[classe]="Financiamento") *
  (tb_desp[data.pagamento]&gt;=DATE(YEAR(inputs!$A$1),MONTH(inputs!$A$1),1)) *
  (tb_desp[data.pagamento]&lt;EOMONTH(inputs!$A$1,0)+1)
)</f>
        <v>0</v>
      </c>
      <c r="M40" s="242" cm="1">
        <f t="array" ref="M40">-SUMPRODUCT(
  tb_desp[valor] *
  (tb_desp[nucleo]=M$1) *
  (tb_desp[centro.negocio]="Comissão/vendas") *
  (tb_desp[classe]="Financiamento") *
  (tb_desp[data.pagamento]&gt;=DATE(YEAR(inputs!$A$1),MONTH(inputs!$A$1),1)) *
  (tb_desp[data.pagamento]&lt;EOMONTH(inputs!$A$1,0)+1)
)</f>
        <v>0</v>
      </c>
      <c r="O40" s="275">
        <f>SUM(C40:M40)</f>
        <v>0</v>
      </c>
    </row>
    <row r="41" spans="1:15" outlineLevel="1" x14ac:dyDescent="0.25">
      <c r="A41" s="179" t="s">
        <v>661</v>
      </c>
      <c r="B41" s="258" t="s">
        <v>938</v>
      </c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8"/>
      <c r="O41" s="175">
        <f t="shared" ref="O41" si="23">SUM(C41:M41)</f>
        <v>0</v>
      </c>
    </row>
    <row r="42" spans="1:15" ht="15.75" thickBot="1" x14ac:dyDescent="0.3">
      <c r="A42" s="231" t="s">
        <v>811</v>
      </c>
      <c r="B42" s="262" t="s">
        <v>681</v>
      </c>
      <c r="C42" s="237">
        <f>SUMIFS(
  tb_caixa[Saldo],
  tb_caixa[Empresa], "AMP",
  tb_caixa[Dia], "&gt;="&amp;EOMONTH(inputs!$A$1,0)+1,
  tb_caixa[Dia], "&lt;="&amp;EOMONTH(inputs!$A$1,1)
)
-SUMIFS(
  tb_caixa[Saldo],
  tb_caixa[Empresa], "AMP",
  tb_caixa[Dia], "&gt;="&amp;EOMONTH(inputs!$A$1,-1)+1,
  tb_caixa[Dia], "&lt;="&amp;EOMONTH(inputs!$A$1,0)
)</f>
        <v>-1100433.45</v>
      </c>
      <c r="D42" s="237">
        <f>SUMIFS(
  tb_caixa[Saldo],
  tb_caixa[Dia], "&gt;="&amp;EOMONTH(inputs!$A$1,0)+1,
  tb_caixa[Dia], "&lt;="&amp;EOMONTH(inputs!$A$1,1)
)
-SUMIFS(
  tb_caixa[Saldo],
  tb_caixa[Dia], "&gt;="&amp;EOMONTH(inputs!$A$1,-1)+1,
  tb_caixa[Dia], "&lt;="&amp;EOMONTH(inputs!$A$1,0)
)
-SUM(C42,E42:M42)</f>
        <v>750094.47000000067</v>
      </c>
      <c r="E42" s="237">
        <v>0</v>
      </c>
      <c r="F42" s="237">
        <f>SUMIFS(
  tb_caixa[Saldo],
  tb_caixa[Empresa], F$2,
  tb_caixa[Dia], "&gt;="&amp;EOMONTH(inputs!$A$1,0)+1,
  tb_caixa[Dia], "&lt;="&amp;EOMONTH(inputs!$A$1,1)
)
-SUMIFS(
  tb_caixa[Saldo],
  tb_caixa[Empresa], F$2,
  tb_caixa[Dia], "&gt;="&amp;EOMONTH(inputs!$A$1,-1)+1,
  tb_caixa[Dia], "&lt;="&amp;EOMONTH(inputs!$A$1,0)
)</f>
        <v>-70396.75</v>
      </c>
      <c r="G42" s="237">
        <f>SUMIFS(
  tb_caixa[Saldo],
  tb_caixa[Empresa], G$2,
  tb_caixa[Dia], "&gt;="&amp;EOMONTH(inputs!$A$1,0)+1,
  tb_caixa[Dia], "&lt;="&amp;EOMONTH(inputs!$A$1,1)
)
-SUMIFS(
  tb_caixa[Saldo],
  tb_caixa[Empresa], G$2,
  tb_caixa[Dia], "&gt;="&amp;EOMONTH(inputs!$A$1,-1)+1,
  tb_caixa[Dia], "&lt;="&amp;EOMONTH(inputs!$A$1,0)
)</f>
        <v>44561.740000000005</v>
      </c>
      <c r="H42" s="237">
        <f>SUMIFS(
  tb_caixa[Saldo],
  tb_caixa[Empresa], H$2,
  tb_caixa[Dia], "&gt;="&amp;EOMONTH(inputs!$A$1,0)+1,
  tb_caixa[Dia], "&lt;="&amp;EOMONTH(inputs!$A$1,1)
)
-SUMIFS(
  tb_caixa[Saldo],
  tb_caixa[Empresa], H$2,
  tb_caixa[Dia], "&gt;="&amp;EOMONTH(inputs!$A$1,-1)+1,
  tb_caixa[Dia], "&lt;="&amp;EOMONTH(inputs!$A$1,0)
)</f>
        <v>-1096112.31</v>
      </c>
      <c r="I42" s="237">
        <f>SUMIFS(
  tb_caixa[Saldo],
  tb_caixa[Empresa], I$2,
  tb_caixa[Dia], "&gt;="&amp;EOMONTH(inputs!$A$1,0)+1,
  tb_caixa[Dia], "&lt;="&amp;EOMONTH(inputs!$A$1,1)
)
-SUMIFS(
  tb_caixa[Saldo],
  tb_caixa[Empresa], I$2,
  tb_caixa[Dia], "&gt;="&amp;EOMONTH(inputs!$A$1,-1)+1,
  tb_caixa[Dia], "&lt;="&amp;EOMONTH(inputs!$A$1,0)
)</f>
        <v>-68888.760000000009</v>
      </c>
      <c r="J42" s="237">
        <f>SUMIFS(
  tb_caixa[Saldo],
  tb_caixa[Empresa], J$2,
  tb_caixa[Dia], "&gt;="&amp;EOMONTH(inputs!$A$1,0)+1,
  tb_caixa[Dia], "&lt;="&amp;EOMONTH(inputs!$A$1,1)
)
-SUMIFS(
  tb_caixa[Saldo],
  tb_caixa[Empresa], J$2,
  tb_caixa[Dia], "&gt;="&amp;EOMONTH(inputs!$A$1,-1)+1,
  tb_caixa[Dia], "&lt;="&amp;EOMONTH(inputs!$A$1,0)
)</f>
        <v>60969.589999999967</v>
      </c>
      <c r="K42" s="237">
        <f>SUMIFS(
  tb_caixa[Saldo],
  tb_caixa[Empresa], K$2,
  tb_caixa[Dia], "&gt;="&amp;EOMONTH(inputs!$A$1,0)+1,
  tb_caixa[Dia], "&lt;="&amp;EOMONTH(inputs!$A$1,1)
)
-SUMIFS(
  tb_caixa[Saldo],
  tb_caixa[Empresa], K$2,
  tb_caixa[Dia], "&gt;="&amp;EOMONTH(inputs!$A$1,-1)+1,
  tb_caixa[Dia], "&lt;="&amp;EOMONTH(inputs!$A$1,0)
)</f>
        <v>-84407.670000000013</v>
      </c>
      <c r="L42" s="237">
        <f>SUMIFS(
  tb_caixa[Saldo],
  tb_caixa[Empresa], L$2,
  tb_caixa[Dia], "&gt;="&amp;EOMONTH(inputs!$A$1,0)+1,
  tb_caixa[Dia], "&lt;="&amp;EOMONTH(inputs!$A$1,1)
)
-SUMIFS(
  tb_caixa[Saldo],
  tb_caixa[Empresa], L$2,
  tb_caixa[Dia], "&gt;="&amp;EOMONTH(inputs!$A$1,-1)+1,
  tb_caixa[Dia], "&lt;="&amp;EOMONTH(inputs!$A$1,0)
)</f>
        <v>-2291160.94</v>
      </c>
      <c r="M42" s="238">
        <f>SUMIFS(
  tb_caixa[Saldo],
  tb_caixa[Empresa], M$2,
  tb_caixa[Dia], "&gt;="&amp;EOMONTH(inputs!$A$1,0)+1,
  tb_caixa[Dia], "&lt;="&amp;EOMONTH(inputs!$A$1,1)
)
-SUMIFS(
  tb_caixa[Saldo],
  tb_caixa[Empresa], M$2,
  tb_caixa[Dia], "&gt;="&amp;EOMONTH(inputs!$A$1,-1)+1,
  tb_caixa[Dia], "&lt;="&amp;EOMONTH(inputs!$A$1,0)
)</f>
        <v>-1208864.6099999999</v>
      </c>
      <c r="O42" s="283">
        <f t="shared" ref="O42:O43" si="24">SUM(C42:M42)</f>
        <v>-5064638.6899999995</v>
      </c>
    </row>
    <row r="43" spans="1:15" outlineLevel="1" x14ac:dyDescent="0.25">
      <c r="A43" s="300" t="s">
        <v>812</v>
      </c>
      <c r="B43" s="306" t="s">
        <v>663</v>
      </c>
      <c r="C43" s="307">
        <f>SUMIFS(
  tb_caixa[Saldo],
  tb_caixa[Empresa], "AMP",
  tb_caixa[Dia], "&gt;="&amp;EOMONTH(inputs!$A$1,-1)+1,
  tb_caixa[Dia], "&lt;="&amp;EOMONTH(inputs!$A$1,0)
)</f>
        <v>1144946.3799999999</v>
      </c>
      <c r="D43" s="307">
        <f>SUMIFS(
  tb_caixa[Saldo],
  tb_caixa[Dia], "&gt;="&amp;EOMONTH(inputs!$A$1,-1)+1,
  tb_caixa[Dia], "&lt;="&amp;EOMONTH(inputs!$A$1,0)
)
-SUM(C43,E43:M43)</f>
        <v>186850.39999999944</v>
      </c>
      <c r="E43" s="313">
        <v>0</v>
      </c>
      <c r="F43" s="307">
        <f>SUMIFS(
  tb_caixa[Saldo],
  tb_caixa[Empresa], F$2,
  tb_caixa[Dia], "&gt;="&amp;EOMONTH(inputs!$A$1,-1)+1,
  tb_caixa[Dia], "&lt;="&amp;EOMONTH(inputs!$A$1,0)
)</f>
        <v>83753.87</v>
      </c>
      <c r="G43" s="307">
        <f>SUMIFS(
  tb_caixa[Saldo],
  tb_caixa[Empresa], G$2,
  tb_caixa[Dia], "&gt;="&amp;EOMONTH(inputs!$A$1,-1)+1,
  tb_caixa[Dia], "&lt;="&amp;EOMONTH(inputs!$A$1,0)
)</f>
        <v>83301.740000000005</v>
      </c>
      <c r="H43" s="307">
        <f>SUMIFS(
  tb_caixa[Saldo],
  tb_caixa[Empresa], H$2,
  tb_caixa[Dia], "&gt;="&amp;EOMONTH(inputs!$A$1,-1)+1,
  tb_caixa[Dia], "&lt;="&amp;EOMONTH(inputs!$A$1,0)
)</f>
        <v>1162996.3700000001</v>
      </c>
      <c r="I43" s="307">
        <f>SUMIFS(
  tb_caixa[Saldo],
  tb_caixa[Empresa], I$2,
  tb_caixa[Dia], "&gt;="&amp;EOMONTH(inputs!$A$1,-1)+1,
  tb_caixa[Dia], "&lt;="&amp;EOMONTH(inputs!$A$1,0)
)</f>
        <v>208915.06</v>
      </c>
      <c r="J43" s="307">
        <f>SUMIFS(
  tb_caixa[Saldo],
  tb_caixa[Empresa], J$2,
  tb_caixa[Dia], "&gt;="&amp;EOMONTH(inputs!$A$1,-1)+1,
  tb_caixa[Dia], "&lt;="&amp;EOMONTH(inputs!$A$1,0)
)</f>
        <v>397073.36</v>
      </c>
      <c r="K43" s="307">
        <f>SUMIFS(
  tb_caixa[Saldo],
  tb_caixa[Empresa], K$2,
  tb_caixa[Dia], "&gt;="&amp;EOMONTH(inputs!$A$1,-1)+1,
  tb_caixa[Dia], "&lt;="&amp;EOMONTH(inputs!$A$1,0)
)</f>
        <v>105742.51000000001</v>
      </c>
      <c r="L43" s="307">
        <f>SUMIFS(
  tb_caixa[Saldo],
  tb_caixa[Empresa], L$2,
  tb_caixa[Dia], "&gt;="&amp;EOMONTH(inputs!$A$1,-1)+1,
  tb_caixa[Dia], "&lt;="&amp;EOMONTH(inputs!$A$1,0)
)</f>
        <v>2340353.04</v>
      </c>
      <c r="M43" s="308">
        <f>SUMIFS(
  tb_caixa[Saldo],
  tb_caixa[Empresa], M$2,
  tb_caixa[Dia], "&gt;="&amp;EOMONTH(inputs!$A$1,-1)+1,
  tb_caixa[Dia], "&lt;="&amp;EOMONTH(inputs!$A$1,0)
)</f>
        <v>1388194.21</v>
      </c>
      <c r="N43" s="298"/>
      <c r="O43" s="304">
        <f t="shared" si="24"/>
        <v>7102126.9399999995</v>
      </c>
    </row>
    <row r="44" spans="1:15" x14ac:dyDescent="0.25">
      <c r="A44" s="170"/>
      <c r="B44" s="261" t="s">
        <v>662</v>
      </c>
      <c r="C44" s="251">
        <f t="shared" ref="C44:M44" si="25">C$3+C$24+C$32</f>
        <v>0</v>
      </c>
      <c r="D44" s="251">
        <f t="shared" ca="1" si="25"/>
        <v>0</v>
      </c>
      <c r="E44" s="251">
        <f t="shared" ca="1" si="25"/>
        <v>0</v>
      </c>
      <c r="F44" s="251">
        <f t="shared" ca="1" si="25"/>
        <v>0</v>
      </c>
      <c r="G44" s="251">
        <f t="shared" ca="1" si="25"/>
        <v>0</v>
      </c>
      <c r="H44" s="251">
        <f t="shared" ca="1" si="25"/>
        <v>148525</v>
      </c>
      <c r="I44" s="251">
        <f t="shared" ca="1" si="25"/>
        <v>401137.2</v>
      </c>
      <c r="J44" s="251">
        <f t="shared" ca="1" si="25"/>
        <v>238734.72</v>
      </c>
      <c r="K44" s="251">
        <f t="shared" ca="1" si="25"/>
        <v>0</v>
      </c>
      <c r="L44" s="251">
        <f t="shared" ca="1" si="25"/>
        <v>0</v>
      </c>
      <c r="M44" s="252">
        <f t="shared" ca="1" si="25"/>
        <v>432421.65</v>
      </c>
      <c r="O44" s="282">
        <f t="shared" ca="1" si="1"/>
        <v>1220818.5699999998</v>
      </c>
    </row>
    <row r="46" spans="1:15" x14ac:dyDescent="0.25">
      <c r="B46" s="135" t="s">
        <v>1031</v>
      </c>
      <c r="C46" s="135">
        <f ca="1">_xlfn.RANK.EQ(C44,$C$44:$M$44,0)</f>
        <v>5</v>
      </c>
      <c r="D46" s="135">
        <f t="shared" ref="D46:M46" ca="1" si="26">_xlfn.RANK.EQ(D44,$C$44:$M$44,0)</f>
        <v>5</v>
      </c>
      <c r="E46" s="135">
        <f t="shared" ca="1" si="26"/>
        <v>5</v>
      </c>
      <c r="F46" s="135">
        <f t="shared" ca="1" si="26"/>
        <v>5</v>
      </c>
      <c r="G46" s="135">
        <f t="shared" ca="1" si="26"/>
        <v>5</v>
      </c>
      <c r="H46" s="135">
        <f t="shared" ca="1" si="26"/>
        <v>4</v>
      </c>
      <c r="I46" s="135">
        <f t="shared" ca="1" si="26"/>
        <v>2</v>
      </c>
      <c r="J46" s="135">
        <f t="shared" ca="1" si="26"/>
        <v>3</v>
      </c>
      <c r="K46" s="135">
        <f t="shared" ca="1" si="26"/>
        <v>5</v>
      </c>
      <c r="L46" s="135">
        <f t="shared" ca="1" si="26"/>
        <v>5</v>
      </c>
      <c r="M46" s="135">
        <f t="shared" ca="1" si="26"/>
        <v>1</v>
      </c>
    </row>
  </sheetData>
  <conditionalFormatting sqref="A10:A23">
    <cfRule type="endsWith" dxfId="27" priority="2" operator="endsWith" text="..">
      <formula>RIGHT(A10,LEN(".."))=".."</formula>
    </cfRule>
  </conditionalFormatting>
  <conditionalFormatting sqref="C46:M4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ignoredErrors>
    <ignoredError sqref="D39 D21 D12:D13 C11:M11 D16:D17 D15 D14 D10 D18:D20 D22 C18 E18:M18 D29 D42 D36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E21B-545A-46C6-91AE-236565BFD700}">
  <sheetPr>
    <tabColor rgb="FFFF0000"/>
  </sheetPr>
  <dimension ref="A1:AE45"/>
  <sheetViews>
    <sheetView showGridLines="0" zoomScale="80" zoomScaleNormal="80" workbookViewId="0">
      <pane xSplit="2" ySplit="3" topLeftCell="C4" activePane="bottomRight" state="frozen"/>
      <selection activeCell="B50" sqref="B50"/>
      <selection pane="topRight" activeCell="B50" sqref="B50"/>
      <selection pane="bottomLeft" activeCell="B50" sqref="B50"/>
      <selection pane="bottomRight" activeCell="C4" sqref="C4"/>
    </sheetView>
  </sheetViews>
  <sheetFormatPr defaultRowHeight="15" outlineLevelRow="1" x14ac:dyDescent="0.25"/>
  <cols>
    <col min="1" max="1" width="18.7109375" customWidth="1"/>
    <col min="2" max="2" width="51.7109375" customWidth="1"/>
    <col min="3" max="3" width="9.7109375" customWidth="1"/>
    <col min="4" max="27" width="15.7109375" customWidth="1"/>
    <col min="28" max="28" width="3.7109375" customWidth="1"/>
    <col min="29" max="29" width="15.7109375" customWidth="1"/>
    <col min="30" max="30" width="3.7109375" customWidth="1"/>
    <col min="31" max="31" width="15.7109375" customWidth="1"/>
  </cols>
  <sheetData>
    <row r="1" spans="1:31" ht="15.75" thickBot="1" x14ac:dyDescent="0.3">
      <c r="A1" s="269" t="s">
        <v>689</v>
      </c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</row>
    <row r="2" spans="1:31" ht="21.75" thickBot="1" x14ac:dyDescent="0.4">
      <c r="A2" s="270" t="s">
        <v>13</v>
      </c>
      <c r="B2" s="228" t="str" cm="1">
        <f t="array" ref="B2">_xlfn.IFS($A$2="Ampla","AMPLA INCORP.",
$A$2="AMP","UP JARDIM PRUDENCIA",
$A$2="AVS","UP VILA SONIA",
$A$2="CBL","Up Stay Congonhas",
$A$2="GRA","UP SELECT VILA SONIA",
$A$2="LUC","UP ESTAÇÃO SÃO LUCAS",
$A$2="POM","UP POMPEIA",
$A$2="SAU","UP SAUDE",
$A$2="SN2","UP ESTAÇÃO VILA SONIA",
$A$2="SN4","UP MOVE VILA SONIA",
$A$2="Outros",""
)</f>
        <v>UP MOVE VILA SONIA</v>
      </c>
    </row>
    <row r="3" spans="1:31" x14ac:dyDescent="0.25">
      <c r="A3" s="170" t="s">
        <v>498</v>
      </c>
      <c r="B3" s="170" t="s">
        <v>499</v>
      </c>
      <c r="C3" s="170" t="s">
        <v>500</v>
      </c>
      <c r="D3" s="171">
        <v>45658</v>
      </c>
      <c r="E3" s="171">
        <v>45689</v>
      </c>
      <c r="F3" s="171">
        <v>45717</v>
      </c>
      <c r="G3" s="171">
        <v>45748</v>
      </c>
      <c r="H3" s="171">
        <v>45778</v>
      </c>
      <c r="I3" s="171">
        <v>45809</v>
      </c>
      <c r="J3" s="171">
        <v>45839</v>
      </c>
      <c r="K3" s="171">
        <v>45870</v>
      </c>
      <c r="L3" s="171">
        <v>45901</v>
      </c>
      <c r="M3" s="171">
        <v>45931</v>
      </c>
      <c r="N3" s="171">
        <v>45962</v>
      </c>
      <c r="O3" s="171">
        <v>45992</v>
      </c>
      <c r="P3" s="171">
        <v>46023</v>
      </c>
      <c r="Q3" s="171">
        <v>46054</v>
      </c>
      <c r="R3" s="171">
        <v>46082</v>
      </c>
      <c r="S3" s="171">
        <v>46113</v>
      </c>
      <c r="T3" s="171">
        <v>46143</v>
      </c>
      <c r="U3" s="171">
        <v>46174</v>
      </c>
      <c r="V3" s="171">
        <v>46204</v>
      </c>
      <c r="W3" s="171">
        <v>46235</v>
      </c>
      <c r="X3" s="171">
        <v>46266</v>
      </c>
      <c r="Y3" s="171">
        <v>46296</v>
      </c>
      <c r="Z3" s="171">
        <v>46327</v>
      </c>
      <c r="AA3" s="171">
        <v>46357</v>
      </c>
      <c r="AB3" s="271"/>
      <c r="AC3" s="280" t="s">
        <v>23</v>
      </c>
      <c r="AD3" s="271"/>
      <c r="AE3" s="280" t="s">
        <v>25</v>
      </c>
    </row>
    <row r="4" spans="1:31" x14ac:dyDescent="0.25">
      <c r="A4" s="172" t="s">
        <v>502</v>
      </c>
      <c r="B4" s="172" t="s">
        <v>503</v>
      </c>
      <c r="C4" s="173"/>
      <c r="D4" s="174">
        <f t="shared" ref="D4:AA4" ca="1" si="0">D5+D10</f>
        <v>0</v>
      </c>
      <c r="E4" s="174">
        <f t="shared" ca="1" si="0"/>
        <v>0</v>
      </c>
      <c r="F4" s="174">
        <f t="shared" ca="1" si="0"/>
        <v>0</v>
      </c>
      <c r="G4" s="174">
        <f t="shared" ca="1" si="0"/>
        <v>0</v>
      </c>
      <c r="H4" s="174">
        <f t="shared" ca="1" si="0"/>
        <v>0</v>
      </c>
      <c r="I4" s="174">
        <f t="shared" ca="1" si="0"/>
        <v>0</v>
      </c>
      <c r="J4" s="174">
        <f t="shared" ca="1" si="0"/>
        <v>0</v>
      </c>
      <c r="K4" s="174">
        <f t="shared" ca="1" si="0"/>
        <v>0</v>
      </c>
      <c r="L4" s="174">
        <f t="shared" ca="1" si="0"/>
        <v>0</v>
      </c>
      <c r="M4" s="174">
        <f t="shared" ca="1" si="0"/>
        <v>0</v>
      </c>
      <c r="N4" s="174">
        <f t="shared" ca="1" si="0"/>
        <v>0</v>
      </c>
      <c r="O4" s="174">
        <f t="shared" ca="1" si="0"/>
        <v>0</v>
      </c>
      <c r="P4" s="174">
        <f t="shared" ca="1" si="0"/>
        <v>0</v>
      </c>
      <c r="Q4" s="174">
        <f t="shared" ca="1" si="0"/>
        <v>0</v>
      </c>
      <c r="R4" s="174">
        <f t="shared" ref="R4:Z4" ca="1" si="1">R5+R10</f>
        <v>0</v>
      </c>
      <c r="S4" s="174">
        <f t="shared" ca="1" si="1"/>
        <v>0</v>
      </c>
      <c r="T4" s="174">
        <f t="shared" ca="1" si="1"/>
        <v>0</v>
      </c>
      <c r="U4" s="174">
        <f t="shared" ca="1" si="1"/>
        <v>0</v>
      </c>
      <c r="V4" s="174">
        <f t="shared" ca="1" si="1"/>
        <v>0</v>
      </c>
      <c r="W4" s="174">
        <f t="shared" ca="1" si="1"/>
        <v>0</v>
      </c>
      <c r="X4" s="174">
        <f t="shared" ca="1" si="1"/>
        <v>0</v>
      </c>
      <c r="Y4" s="174">
        <f t="shared" ca="1" si="1"/>
        <v>0</v>
      </c>
      <c r="Z4" s="174">
        <f t="shared" ca="1" si="1"/>
        <v>0</v>
      </c>
      <c r="AA4" s="174">
        <f t="shared" ca="1" si="0"/>
        <v>0</v>
      </c>
      <c r="AC4" s="273">
        <f ca="1">SUM($D4:INDEX($D4:$AA4,1,MATCH(DATE(YEAR(inputs!$A$1),MONTH(inputs!$A$1),1),$D$3:$AA$3,0)))</f>
        <v>0</v>
      </c>
      <c r="AE4" s="273">
        <f ca="1">SUM(D4:AA4)</f>
        <v>0</v>
      </c>
    </row>
    <row r="5" spans="1:31" x14ac:dyDescent="0.25">
      <c r="A5" s="176" t="s">
        <v>505</v>
      </c>
      <c r="B5" s="176" t="s">
        <v>506</v>
      </c>
      <c r="C5" s="177"/>
      <c r="D5" s="178">
        <f t="shared" ref="D5:AA5" ca="1" si="2">SUM(D6:D9)</f>
        <v>0</v>
      </c>
      <c r="E5" s="178">
        <f t="shared" ca="1" si="2"/>
        <v>0</v>
      </c>
      <c r="F5" s="178">
        <f t="shared" ca="1" si="2"/>
        <v>0</v>
      </c>
      <c r="G5" s="178">
        <f t="shared" ca="1" si="2"/>
        <v>0</v>
      </c>
      <c r="H5" s="178">
        <f t="shared" ca="1" si="2"/>
        <v>0</v>
      </c>
      <c r="I5" s="178">
        <f t="shared" ca="1" si="2"/>
        <v>0</v>
      </c>
      <c r="J5" s="178">
        <f t="shared" ca="1" si="2"/>
        <v>0</v>
      </c>
      <c r="K5" s="178">
        <f t="shared" ca="1" si="2"/>
        <v>0</v>
      </c>
      <c r="L5" s="178">
        <f t="shared" ca="1" si="2"/>
        <v>0</v>
      </c>
      <c r="M5" s="178">
        <f t="shared" ca="1" si="2"/>
        <v>0</v>
      </c>
      <c r="N5" s="178">
        <f t="shared" ca="1" si="2"/>
        <v>0</v>
      </c>
      <c r="O5" s="178">
        <f t="shared" ca="1" si="2"/>
        <v>0</v>
      </c>
      <c r="P5" s="178">
        <f t="shared" ca="1" si="2"/>
        <v>0</v>
      </c>
      <c r="Q5" s="178">
        <f t="shared" ca="1" si="2"/>
        <v>0</v>
      </c>
      <c r="R5" s="178">
        <f t="shared" ref="R5:Z5" ca="1" si="3">SUM(R6:R9)</f>
        <v>0</v>
      </c>
      <c r="S5" s="178">
        <f t="shared" ca="1" si="3"/>
        <v>0</v>
      </c>
      <c r="T5" s="178">
        <f t="shared" ca="1" si="3"/>
        <v>0</v>
      </c>
      <c r="U5" s="178">
        <f t="shared" ca="1" si="3"/>
        <v>0</v>
      </c>
      <c r="V5" s="178">
        <f t="shared" ca="1" si="3"/>
        <v>0</v>
      </c>
      <c r="W5" s="178">
        <f t="shared" ca="1" si="3"/>
        <v>0</v>
      </c>
      <c r="X5" s="178">
        <f t="shared" ca="1" si="3"/>
        <v>0</v>
      </c>
      <c r="Y5" s="178">
        <f t="shared" ca="1" si="3"/>
        <v>0</v>
      </c>
      <c r="Z5" s="178">
        <f t="shared" ca="1" si="3"/>
        <v>0</v>
      </c>
      <c r="AA5" s="178">
        <f t="shared" ca="1" si="2"/>
        <v>0</v>
      </c>
      <c r="AC5" s="274">
        <f ca="1">SUM($D5:INDEX($D5:$AA5,1,MATCH(DATE(YEAR(inputs!$A$1),MONTH(inputs!$A$1),1),$D$3:$AA$3,0)))</f>
        <v>0</v>
      </c>
      <c r="AE5" s="274">
        <f t="shared" ref="AE5:AE45" ca="1" si="4">SUM(D5:AA5)</f>
        <v>0</v>
      </c>
    </row>
    <row r="6" spans="1:31" outlineLevel="1" x14ac:dyDescent="0.25">
      <c r="A6" s="179" t="s">
        <v>507</v>
      </c>
      <c r="B6" s="179" t="s">
        <v>508</v>
      </c>
      <c r="C6" s="180" t="s">
        <v>474</v>
      </c>
      <c r="D6" s="181">
        <f ca="1">IF(NOT(OR($A$2="Ampla",$A$2="Outros")),
SUMIFS(tb_rec_uni[2025-01-01],
INDIRECT("tb_rec_uni[natureza]"),"repasse.cef.obra",
INDIRECT("tb_rec_uni[empresa]"),$A$2)+
SUMIFS(tb_rec_uni[2025-01-01],
INDIRECT("tb_rec_uni[natureza]"),"repasse.cef.terreno",
INDIRECT("tb_rec_uni[empresa]"),$A$2),
0
)</f>
        <v>0</v>
      </c>
      <c r="E6" s="181">
        <f ca="1">IF(NOT(OR($A$2="Ampla",$A$2="Outros")),
SUMIFS(tb_rec_uni[2025-02-01],
INDIRECT("tb_rec_uni[natureza]"),"repasse.cef.obra",
INDIRECT("tb_rec_uni[empresa]"),$A$2)+
SUMIFS(tb_rec_uni[2025-02-01],
INDIRECT("tb_rec_uni[natureza]"),"repasse.cef.terreno",
INDIRECT("tb_rec_uni[empresa]"),$A$2),
0
)</f>
        <v>0</v>
      </c>
      <c r="F6" s="181">
        <f ca="1">IF(NOT(OR($A$2="Ampla",$A$2="Outros")),
SUMIFS(tb_rec_uni[2025-03-01],
INDIRECT("tb_rec_uni[natureza]"),"repasse.cef.obra",
INDIRECT("tb_rec_uni[empresa]"),$A$2)+
SUMIFS(tb_rec_uni[2025-03-01],
INDIRECT("tb_rec_uni[natureza]"),"repasse.cef.terreno",
INDIRECT("tb_rec_uni[empresa]"),$A$2),
0
)</f>
        <v>0</v>
      </c>
      <c r="G6" s="181">
        <f ca="1">IF(NOT(OR($A$2="Ampla",$A$2="Outros")),
SUMIFS(tb_rec_uni[2025-04-01],
INDIRECT("tb_rec_uni[natureza]"),"repasse.cef.obra",
INDIRECT("tb_rec_uni[empresa]"),$A$2)+
SUMIFS(tb_rec_uni[2025-04-01],
INDIRECT("tb_rec_uni[natureza]"),"repasse.cef.terreno",
INDIRECT("tb_rec_uni[empresa]"),$A$2),
0
)</f>
        <v>0</v>
      </c>
      <c r="H6" s="181">
        <f ca="1">IF(NOT(OR($A$2="Ampla",$A$2="Outros")),
SUMIFS(tb_rec_uni[2025-05-01],
INDIRECT("tb_rec_uni[natureza]"),"repasse.cef.obra",
INDIRECT("tb_rec_uni[empresa]"),$A$2)+
SUMIFS(tb_rec_uni[2025-05-01],
INDIRECT("tb_rec_uni[natureza]"),"repasse.cef.terreno",
INDIRECT("tb_rec_uni[empresa]"),$A$2),
0
)</f>
        <v>0</v>
      </c>
      <c r="I6" s="181">
        <f ca="1">IF(NOT(OR($A$2="Ampla",$A$2="Outros")),
SUMIFS(tb_rec_uni[2025-06-01],
INDIRECT("tb_rec_uni[natureza]"),"repasse.cef.obra",
INDIRECT("tb_rec_uni[empresa]"),$A$2)+
SUMIFS(tb_rec_uni[2025-06-01],
INDIRECT("tb_rec_uni[natureza]"),"repasse.cef.terreno",
INDIRECT("tb_rec_uni[empresa]"),$A$2),
0
)</f>
        <v>0</v>
      </c>
      <c r="J6" s="181">
        <f ca="1">IF(NOT(OR($A$2="Ampla",$A$2="Outros")),
SUMIFS(tb_rec_uni[2025-07-01],
INDIRECT("tb_rec_uni[natureza]"),"repasse.cef.obra",
INDIRECT("tb_rec_uni[empresa]"),$A$2)+
SUMIFS(tb_rec_uni[2025-07-01],
INDIRECT("tb_rec_uni[natureza]"),"repasse.cef.terreno",
INDIRECT("tb_rec_uni[empresa]"),$A$2),
0
)</f>
        <v>0</v>
      </c>
      <c r="K6" s="181">
        <f ca="1">IF(NOT(OR($A$2="Ampla",$A$2="Outros")),
SUMIFS(tb_rec_uni[2025-08-01],
INDIRECT("tb_rec_uni[natureza]"),"repasse.cef.obra",
INDIRECT("tb_rec_uni[empresa]"),$A$2)+
SUMIFS(tb_rec_uni[2025-08-01],
INDIRECT("tb_rec_uni[natureza]"),"repasse.cef.terreno",
INDIRECT("tb_rec_uni[empresa]"),$A$2),
0
)</f>
        <v>0</v>
      </c>
      <c r="L6" s="181">
        <f ca="1">IF(NOT(OR($A$2="Ampla",$A$2="Outros")),
SUMIFS(tb_rec_uni[2025-09-01],
INDIRECT("tb_rec_uni[natureza]"),"repasse.cef.obra",
INDIRECT("tb_rec_uni[empresa]"),$A$2)+
SUMIFS(tb_rec_uni[2025-09-01],
INDIRECT("tb_rec_uni[natureza]"),"repasse.cef.terreno",
INDIRECT("tb_rec_uni[empresa]"),$A$2),
0
)</f>
        <v>0</v>
      </c>
      <c r="M6" s="181">
        <f ca="1">IF(NOT(OR($A$2="Ampla",$A$2="Outros")),
SUMIFS(tb_rec_uni[2025-10-01],
INDIRECT("tb_rec_uni[natureza]"),"repasse.cef.obra",
INDIRECT("tb_rec_uni[empresa]"),$A$2)+
SUMIFS(tb_rec_uni[2025-10-01],
INDIRECT("tb_rec_uni[natureza]"),"repasse.cef.terreno",
INDIRECT("tb_rec_uni[empresa]"),$A$2),
0
)</f>
        <v>0</v>
      </c>
      <c r="N6" s="181">
        <f ca="1">IF(NOT(OR($A$2="Ampla",$A$2="Outros")),
SUMIFS(tb_rec_uni[2025-11-01],
INDIRECT("tb_rec_uni[natureza]"),"repasse.cef.obra",
INDIRECT("tb_rec_uni[empresa]"),$A$2)+
SUMIFS(tb_rec_uni[2025-11-01],
INDIRECT("tb_rec_uni[natureza]"),"repasse.cef.terreno",
INDIRECT("tb_rec_uni[empresa]"),$A$2),
0
)</f>
        <v>0</v>
      </c>
      <c r="O6" s="181">
        <f ca="1">IF(NOT(OR($A$2="Ampla",$A$2="Outros")),
SUMIFS(tb_rec_uni[2025-12-01],
INDIRECT("tb_rec_uni[natureza]"),"repasse.cef.obra",
INDIRECT("tb_rec_uni[empresa]"),$A$2)+
SUMIFS(tb_rec_uni[2025-12-01],
INDIRECT("tb_rec_uni[natureza]"),"repasse.cef.terreno",
INDIRECT("tb_rec_uni[empresa]"),$A$2),
0
)</f>
        <v>0</v>
      </c>
      <c r="P6" s="181">
        <f ca="1">IF(NOT(OR($A$2="Ampla",$A$2="Outros")),
SUMIFS(tb_rec_uni[2026-01-01],
INDIRECT("tb_rec_uni[natureza]"),"repasse.cef.obra",
INDIRECT("tb_rec_uni[empresa]"),$A$2)+
SUMIFS(tb_rec_uni[2026-01-01],
INDIRECT("tb_rec_uni[natureza]"),"repasse.cef.terreno",
INDIRECT("tb_rec_uni[empresa]"),$A$2),
0
)</f>
        <v>0</v>
      </c>
      <c r="Q6" s="181">
        <f ca="1">IF(NOT(OR($A$2="Ampla",$A$2="Outros")),
SUMIFS(tb_rec_uni[2026-02-01],
INDIRECT("tb_rec_uni[natureza]"),"repasse.cef.obra",
INDIRECT("tb_rec_uni[empresa]"),$A$2)+
SUMIFS(tb_rec_uni[2026-02-01],
INDIRECT("tb_rec_uni[natureza]"),"repasse.cef.terreno",
INDIRECT("tb_rec_uni[empresa]"),$A$2),
0
)</f>
        <v>0</v>
      </c>
      <c r="R6" s="181">
        <f ca="1">IF(NOT(OR($A$2="Ampla",$A$2="Outros")),
SUMIFS(tb_rec_uni[2026-03-01],
INDIRECT("tb_rec_uni[natureza]"),"repasse.cef.obra",
INDIRECT("tb_rec_uni[empresa]"),$A$2)+
SUMIFS(tb_rec_uni[2026-03-01],
INDIRECT("tb_rec_uni[natureza]"),"repasse.cef.terreno",
INDIRECT("tb_rec_uni[empresa]"),$A$2),
0
)</f>
        <v>0</v>
      </c>
      <c r="S6" s="181">
        <f ca="1">IF(NOT(OR($A$2="Ampla",$A$2="Outros")),
SUMIFS(tb_rec_uni[2026-04-01],
INDIRECT("tb_rec_uni[natureza]"),"repasse.cef.obra",
INDIRECT("tb_rec_uni[empresa]"),$A$2)+
SUMIFS(tb_rec_uni[2026-04-01],
INDIRECT("tb_rec_uni[natureza]"),"repasse.cef.terreno",
INDIRECT("tb_rec_uni[empresa]"),$A$2),
0
)</f>
        <v>0</v>
      </c>
      <c r="T6" s="181">
        <f ca="1">IF(NOT(OR($A$2="Ampla",$A$2="Outros")),
SUMIFS(tb_rec_uni[2026-05-01],
INDIRECT("tb_rec_uni[natureza]"),"repasse.cef.obra",
INDIRECT("tb_rec_uni[empresa]"),$A$2)+
SUMIFS(tb_rec_uni[2026-05-01],
INDIRECT("tb_rec_uni[natureza]"),"repasse.cef.terreno",
INDIRECT("tb_rec_uni[empresa]"),$A$2),
0
)</f>
        <v>0</v>
      </c>
      <c r="U6" s="181">
        <f ca="1">IF(NOT(OR($A$2="Ampla",$A$2="Outros")),
SUMIFS(tb_rec_uni[2026-06-01],
INDIRECT("tb_rec_uni[natureza]"),"repasse.cef.obra",
INDIRECT("tb_rec_uni[empresa]"),$A$2)+
SUMIFS(tb_rec_uni[2026-06-01],
INDIRECT("tb_rec_uni[natureza]"),"repasse.cef.terreno",
INDIRECT("tb_rec_uni[empresa]"),$A$2),
0
)</f>
        <v>0</v>
      </c>
      <c r="V6" s="181">
        <f ca="1">IF(NOT(OR($A$2="Ampla",$A$2="Outros")),
SUMIFS(tb_rec_uni[2026-07-01],
INDIRECT("tb_rec_uni[natureza]"),"repasse.cef.obra",
INDIRECT("tb_rec_uni[empresa]"),$A$2)+
SUMIFS(tb_rec_uni[2026-07-01],
INDIRECT("tb_rec_uni[natureza]"),"repasse.cef.terreno",
INDIRECT("tb_rec_uni[empresa]"),$A$2),
0
)</f>
        <v>0</v>
      </c>
      <c r="W6" s="181">
        <f ca="1">IF(NOT(OR($A$2="Ampla",$A$2="Outros")),
SUMIFS(tb_rec_uni[2026-08-01],
INDIRECT("tb_rec_uni[natureza]"),"repasse.cef.obra",
INDIRECT("tb_rec_uni[empresa]"),$A$2)+
SUMIFS(tb_rec_uni[2026-08-01],
INDIRECT("tb_rec_uni[natureza]"),"repasse.cef.terreno",
INDIRECT("tb_rec_uni[empresa]"),$A$2),
0
)</f>
        <v>0</v>
      </c>
      <c r="X6" s="181">
        <f ca="1">IF(NOT(OR($A$2="Ampla",$A$2="Outros")),
SUMIFS(tb_rec_uni[2026-09-01],
INDIRECT("tb_rec_uni[natureza]"),"repasse.cef.obra",
INDIRECT("tb_rec_uni[empresa]"),$A$2)+
SUMIFS(tb_rec_uni[2026-09-01],
INDIRECT("tb_rec_uni[natureza]"),"repasse.cef.terreno",
INDIRECT("tb_rec_uni[empresa]"),$A$2),
0
)</f>
        <v>0</v>
      </c>
      <c r="Y6" s="181">
        <f ca="1">IF(NOT(OR($A$2="Ampla",$A$2="Outros")),
SUMIFS(tb_rec_uni[2026-10-01],
INDIRECT("tb_rec_uni[natureza]"),"repasse.cef.obra",
INDIRECT("tb_rec_uni[empresa]"),$A$2)+
SUMIFS(tb_rec_uni[2026-10-01],
INDIRECT("tb_rec_uni[natureza]"),"repasse.cef.terreno",
INDIRECT("tb_rec_uni[empresa]"),$A$2),
0
)</f>
        <v>0</v>
      </c>
      <c r="Z6" s="181">
        <f ca="1">IF(NOT(OR($A$2="Ampla",$A$2="Outros")),
SUMIFS(tb_rec_uni[2026-11-01],
INDIRECT("tb_rec_uni[natureza]"),"repasse.cef.obra",
INDIRECT("tb_rec_uni[empresa]"),$A$2)+
SUMIFS(tb_rec_uni[2026-11-01],
INDIRECT("tb_rec_uni[natureza]"),"repasse.cef.terreno",
INDIRECT("tb_rec_uni[empresa]"),$A$2),
0
)</f>
        <v>0</v>
      </c>
      <c r="AA6" s="181">
        <f ca="1">IF(NOT(OR($A$2="Ampla",$A$2="Outros")),
SUMIFS(tb_rec_uni[2026-12-01],
INDIRECT("tb_rec_uni[natureza]"),"repasse.cef.obra",
INDIRECT("tb_rec_uni[empresa]"),$A$2)+
SUMIFS(tb_rec_uni[2026-12-01],
INDIRECT("tb_rec_uni[natureza]"),"repasse.cef.terreno",
INDIRECT("tb_rec_uni[empresa]"),$A$2),
0
)</f>
        <v>0</v>
      </c>
      <c r="AC6" s="275">
        <f ca="1">SUM($D6:INDEX($D6:$AA6,1,MATCH(DATE(YEAR(inputs!$A$1),MONTH(inputs!$A$1),1),$D$3:$AA$3,0)))</f>
        <v>0</v>
      </c>
      <c r="AE6" s="275">
        <f t="shared" ca="1" si="4"/>
        <v>0</v>
      </c>
    </row>
    <row r="7" spans="1:31" outlineLevel="1" x14ac:dyDescent="0.25">
      <c r="A7" s="179" t="s">
        <v>513</v>
      </c>
      <c r="B7" s="179" t="s">
        <v>16</v>
      </c>
      <c r="C7" s="180" t="s">
        <v>514</v>
      </c>
      <c r="D7" s="181" cm="1">
        <f t="array" aca="1" ref="D7" ca="1">_xlfn.IFS(
  NOT(OR($A$2="AMPLA",$A$2="OUTROS")),
    SUMIFS(
      tb_rec_uni[2025-01-01],
      INDIRECT("tb_rec_uni[natureza]"),"pro.soluto",
      INDIRECT("tb_rec_uni[empresa]"),$A$2
    ),
  $A$2="AMPLA",
    0,
  $A$2="OUTROS",
    SUMIFS(
      tb_rec_uni[2025-01-01],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E7" s="181" cm="1">
        <f t="array" aca="1" ref="E7" ca="1">_xlfn.IFS(
  NOT(OR($A$2="AMPLA",$A$2="OUTROS")),
    SUMIFS(
      tb_rec_uni[2025-02-01],
      INDIRECT("tb_rec_uni[natureza]"),"pro.soluto",
      INDIRECT("tb_rec_uni[empresa]"),$A$2
    ),
  $A$2="AMPLA",
    0,
  $A$2="OUTROS",
    SUMIFS(
      tb_rec_uni[2025-02-01],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F7" s="181" cm="1">
        <f t="array" aca="1" ref="F7" ca="1">_xlfn.IFS(
  NOT(OR($A$2="AMPLA",$A$2="OUTROS")),
    SUMIFS(
      tb_rec_uni[2025-03-01],
      INDIRECT("tb_rec_uni[natureza]"),"pro.soluto",
      INDIRECT("tb_rec_uni[empresa]"),$A$2
    ),
  $A$2="AMPLA",
    0,
  $A$2="OUTROS",
    SUMIFS(
      tb_rec_uni[2025-03-01],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G7" s="181" cm="1">
        <f t="array" aca="1" ref="G7" ca="1">_xlfn.IFS(
  NOT(OR($A$2="AMPLA",$A$2="OUTROS")),
    SUMIFS(
      tb_rec_uni[2025-04-01],
      INDIRECT("tb_rec_uni[natureza]"),"pro.soluto",
      INDIRECT("tb_rec_uni[empresa]"),$A$2
    ),
  $A$2="AMPLA",
    0,
  $A$2="OUTROS",
    SUMIFS(
      tb_rec_uni[2025-04-01],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H7" s="181" cm="1">
        <f t="array" aca="1" ref="H7" ca="1">_xlfn.IFS(
  NOT(OR($A$2="AMPLA",$A$2="OUTROS")),
    SUMIFS(
      tb_rec_uni[2025-05-01],
      INDIRECT("tb_rec_uni[natureza]"),"pro.soluto",
      INDIRECT("tb_rec_uni[empresa]"),$A$2
    ),
  $A$2="AMPLA",
    0,
  $A$2="OUTROS",
    SUMIFS(
      tb_rec_uni[2025-05-01],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I7" s="181" cm="1">
        <f t="array" aca="1" ref="I7" ca="1">_xlfn.IFS(
  NOT(OR($A$2="AMPLA",$A$2="OUTROS")),
    SUMIFS(
      tb_rec_uni[2025-06-01],
      INDIRECT("tb_rec_uni[natureza]"),"pro.soluto",
      INDIRECT("tb_rec_uni[empresa]"),$A$2
    ),
  $A$2="AMPLA",
    0,
  $A$2="OUTROS",
    SUMIFS(
      tb_rec_uni[2025-06-01],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J7" s="181" cm="1">
        <f t="array" aca="1" ref="J7" ca="1">_xlfn.IFS(
  NOT(OR($A$2="AMPLA",$A$2="OUTROS")),
    SUMIFS(
      tb_rec_uni[2025-07-01],
      INDIRECT("tb_rec_uni[natureza]"),"pro.soluto",
      INDIRECT("tb_rec_uni[empresa]"),$A$2
    ),
  $A$2="AMPLA",
    0,
  $A$2="OUTROS",
    SUMIFS(
      tb_rec_uni[2025-07-01],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K7" s="181" cm="1">
        <f t="array" aca="1" ref="K7" ca="1">_xlfn.IFS(
  NOT(OR($A$2="AMPLA",$A$2="OUTROS")),
    SUMIFS(
      tb_rec_uni[2025-08-01],
      INDIRECT("tb_rec_uni[natureza]"),"pro.soluto",
      INDIRECT("tb_rec_uni[empresa]"),$A$2
    ),
  $A$2="AMPLA",
    0,
  $A$2="OUTROS",
    SUMIFS(
      tb_rec_uni[2025-08-01],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L7" s="181" cm="1">
        <f t="array" aca="1" ref="L7" ca="1">_xlfn.IFS(
  NOT(OR($A$2="AMPLA",$A$2="OUTROS")),
    SUMIFS(
      tb_rec_uni[2025-09-01],
      INDIRECT("tb_rec_uni[natureza]"),"pro.soluto",
      INDIRECT("tb_rec_uni[empresa]"),$A$2
    ),
  $A$2="AMPLA",
    0,
  $A$2="OUTROS",
    SUMIFS(
      tb_rec_uni[2025-09-01],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M7" s="181" cm="1">
        <f t="array" aca="1" ref="M7" ca="1">_xlfn.IFS(
  NOT(OR($A$2="AMPLA",$A$2="OUTROS")),
    SUMIFS(
      tb_rec_uni[2025-10-01],
      INDIRECT("tb_rec_uni[natureza]"),"pro.soluto",
      INDIRECT("tb_rec_uni[empresa]"),$A$2
    ),
  $A$2="AMPLA",
    0,
  $A$2="OUTROS",
    SUMIFS(
      tb_rec_uni[2025-10-01],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N7" s="181" cm="1">
        <f t="array" aca="1" ref="N7" ca="1">_xlfn.IFS(
  NOT(OR($A$2="AMPLA",$A$2="OUTROS")),
    SUMIFS(
      tb_rec_uni[2025-11-01],
      INDIRECT("tb_rec_uni[natureza]"),"pro.soluto",
      INDIRECT("tb_rec_uni[empresa]"),$A$2
    ),
  $A$2="AMPLA",
    0,
  $A$2="OUTROS",
    SUMIFS(
      tb_rec_uni[2025-11-01],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O7" s="181" cm="1">
        <f t="array" aca="1" ref="O7" ca="1">_xlfn.IFS(
  NOT(OR($A$2="AMPLA",$A$2="OUTROS")),
    SUMIFS(
      tb_rec_uni[2025-12-01],
      INDIRECT("tb_rec_uni[natureza]"),"pro.soluto",
      INDIRECT("tb_rec_uni[empresa]"),$A$2
    ),
  $A$2="AMPLA",
    0,
  $A$2="OUTROS",
    SUMIFS(
      tb_rec_uni[2025-12-01],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P7" s="181" cm="1">
        <f t="array" aca="1" ref="P7" ca="1">_xlfn.IFS(
  NOT(OR($A$2="AMPLA",$A$2="OUTROS")),
    SUMIFS(
      tb_rec_uni[2026-01-01],
      INDIRECT("tb_rec_uni[natureza]"),"pro.soluto",
      INDIRECT("tb_rec_uni[empresa]"),$A$2
    ),
  $A$2="AMPLA",
    0,
  $A$2="OUTROS",
    SUMIFS(
      tb_rec_uni[2026-01-01],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Q7" s="181" cm="1">
        <f t="array" aca="1" ref="Q7" ca="1">_xlfn.IFS(
  NOT(OR($A$2="AMPLA",$A$2="OUTROS")),
    SUMIFS(
      tb_rec_uni[2026-02-01],
      INDIRECT("tb_rec_uni[natureza]"),"pro.soluto",
      INDIRECT("tb_rec_uni[empresa]"),$A$2
    ),
  $A$2="AMPLA",
    0,
  $A$2="OUTROS",
    SUMIFS(
      tb_rec_uni[2026-02-01],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R7" s="181" cm="1">
        <f t="array" aca="1" ref="R7" ca="1">_xlfn.IFS(
  NOT(OR($A$2="AMPLA",$A$2="OUTROS")),
    SUMIFS(
      tb_rec_uni[2026-03-01],
      INDIRECT("tb_rec_uni[natureza]"),"pro.soluto",
      INDIRECT("tb_rec_uni[empresa]"),$A$2
    ),
  $A$2="AMPLA",
    0,
  $A$2="OUTROS",
    SUMIFS(
      tb_rec_uni[2026-03-01],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S7" s="181" cm="1">
        <f t="array" aca="1" ref="S7" ca="1">_xlfn.IFS(
  NOT(OR($A$2="AMPLA",$A$2="OUTROS")),
    SUMIFS(
      tb_rec_uni[2026-04-01],
      INDIRECT("tb_rec_uni[natureza]"),"pro.soluto",
      INDIRECT("tb_rec_uni[empresa]"),$A$2
    ),
  $A$2="AMPLA",
    0,
  $A$2="OUTROS",
    SUMIFS(
      tb_rec_uni[2026-04-01],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T7" s="181" cm="1">
        <f t="array" aca="1" ref="T7" ca="1">_xlfn.IFS(
  NOT(OR($A$2="AMPLA",$A$2="OUTROS")),
    SUMIFS(
      tb_rec_uni[2026-05-01],
      INDIRECT("tb_rec_uni[natureza]"),"pro.soluto",
      INDIRECT("tb_rec_uni[empresa]"),$A$2
    ),
  $A$2="AMPLA",
    0,
  $A$2="OUTROS",
    SUMIFS(
      tb_rec_uni[2026-05-01],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U7" s="181" cm="1">
        <f t="array" aca="1" ref="U7" ca="1">_xlfn.IFS(
  NOT(OR($A$2="AMPLA",$A$2="OUTROS")),
    SUMIFS(
      tb_rec_uni[2026-06-01],
      INDIRECT("tb_rec_uni[natureza]"),"pro.soluto",
      INDIRECT("tb_rec_uni[empresa]"),$A$2
    ),
  $A$2="AMPLA",
    0,
  $A$2="OUTROS",
    SUMIFS(
      tb_rec_uni[2026-06-01],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V7" s="181" cm="1">
        <f t="array" aca="1" ref="V7" ca="1">_xlfn.IFS(
  NOT(OR($A$2="AMPLA",$A$2="OUTROS")),
    SUMIFS(
      tb_rec_uni[2026-07-01],
      INDIRECT("tb_rec_uni[natureza]"),"pro.soluto",
      INDIRECT("tb_rec_uni[empresa]"),$A$2
    ),
  $A$2="AMPLA",
    0,
  $A$2="OUTROS",
    SUMIFS(
      tb_rec_uni[2026-07-01],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W7" s="181" cm="1">
        <f t="array" aca="1" ref="W7" ca="1">_xlfn.IFS(
  NOT(OR($A$2="AMPLA",$A$2="OUTROS")),
    SUMIFS(
      tb_rec_uni[2026-08-01],
      INDIRECT("tb_rec_uni[natureza]"),"pro.soluto",
      INDIRECT("tb_rec_uni[empresa]"),$A$2
    ),
  $A$2="AMPLA",
    0,
  $A$2="OUTROS",
    SUMIFS(
      tb_rec_uni[2026-08-01],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X7" s="181" cm="1">
        <f t="array" aca="1" ref="X7" ca="1">_xlfn.IFS(
  NOT(OR($A$2="AMPLA",$A$2="OUTROS")),
    SUMIFS(
      tb_rec_uni[2026-09-01],
      INDIRECT("tb_rec_uni[natureza]"),"pro.soluto",
      INDIRECT("tb_rec_uni[empresa]"),$A$2
    ),
  $A$2="AMPLA",
    0,
  $A$2="OUTROS",
    SUMIFS(
      tb_rec_uni[2026-09-01],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Y7" s="181" cm="1">
        <f t="array" aca="1" ref="Y7" ca="1">_xlfn.IFS(
  NOT(OR($A$2="AMPLA",$A$2="OUTROS")),
    SUMIFS(
      tb_rec_uni[2026-10-01],
      INDIRECT("tb_rec_uni[natureza]"),"pro.soluto",
      INDIRECT("tb_rec_uni[empresa]"),$A$2
    ),
  $A$2="AMPLA",
    0,
  $A$2="OUTROS",
    SUMIFS(
      tb_rec_uni[2026-10-01],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Z7" s="181" cm="1">
        <f t="array" aca="1" ref="Z7" ca="1">_xlfn.IFS(
  NOT(OR($A$2="AMPLA",$A$2="OUTROS")),
    SUMIFS(
      tb_rec_uni[2026-11-01],
      INDIRECT("tb_rec_uni[natureza]"),"pro.soluto",
      INDIRECT("tb_rec_uni[empresa]"),$A$2
    ),
  $A$2="AMPLA",
    0,
  $A$2="OUTROS",
    SUMIFS(
      tb_rec_uni[2026-11-01],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AA7" s="181" cm="1">
        <f t="array" aca="1" ref="AA7" ca="1">_xlfn.IFS(
  NOT(OR($A$2="AMPLA",$A$2="OUTROS")),
    SUMIFS(
      tb_rec_uni[2026-12-01],
      INDIRECT("tb_rec_uni[natureza]"),"pro.soluto",
      INDIRECT("tb_rec_uni[empresa]"),$A$2
    ),
  $A$2="AMPLA",
    0,
  $A$2="OUTROS",
    SUMIFS(
      tb_rec_uni[2026-12-01],
      INDIRECT("tb_rec_uni[natureza]"),"pro.soluto",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AC7" s="275">
        <f ca="1">SUM($D7:INDEX($D7:$AA7,1,MATCH(DATE(YEAR(inputs!$A$1),MONTH(inputs!$A$1),1),$D$3:$AA$3,0)))</f>
        <v>0</v>
      </c>
      <c r="AE7" s="275">
        <f t="shared" ca="1" si="4"/>
        <v>0</v>
      </c>
    </row>
    <row r="8" spans="1:31" outlineLevel="1" x14ac:dyDescent="0.25">
      <c r="A8" s="179" t="s">
        <v>522</v>
      </c>
      <c r="B8" s="179" t="s">
        <v>523</v>
      </c>
      <c r="C8" s="180" t="s">
        <v>514</v>
      </c>
      <c r="D8" s="181" cm="1">
        <f t="array" aca="1" ref="D8" ca="1">_xlfn.IFS(
  NOT(OR($A$2="AMPLA",$A$2="OUTROS")),
    SUMIFS(
      tb_rec_uni[2025-01-01],
      INDIRECT("tb_rec_uni[natureza]"),"taxa.extra",
      INDIRECT("tb_rec_uni[empresa]"),$A$2
    ),
  $A$2="AMPLA",
    0,
  $A$2="OUTROS",
    SUMIFS(
      tb_rec_uni[2025-01-01],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E8" s="181" cm="1">
        <f t="array" aca="1" ref="E8" ca="1">_xlfn.IFS(
  NOT(OR($A$2="AMPLA",$A$2="OUTROS")),
    SUMIFS(
      tb_rec_uni[2025-02-01],
      INDIRECT("tb_rec_uni[natureza]"),"taxa.extra",
      INDIRECT("tb_rec_uni[empresa]"),$A$2
    ),
  $A$2="AMPLA",
    0,
  $A$2="OUTROS",
    SUMIFS(
      tb_rec_uni[2025-02-01],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F8" s="181" cm="1">
        <f t="array" aca="1" ref="F8" ca="1">_xlfn.IFS(
  NOT(OR($A$2="AMPLA",$A$2="OUTROS")),
    SUMIFS(
      tb_rec_uni[2025-03-01],
      INDIRECT("tb_rec_uni[natureza]"),"taxa.extra",
      INDIRECT("tb_rec_uni[empresa]"),$A$2
    ),
  $A$2="AMPLA",
    0,
  $A$2="OUTROS",
    SUMIFS(
      tb_rec_uni[2025-03-01],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G8" s="181" cm="1">
        <f t="array" aca="1" ref="G8" ca="1">_xlfn.IFS(
  NOT(OR($A$2="AMPLA",$A$2="OUTROS")),
    SUMIFS(
      tb_rec_uni[2025-04-01],
      INDIRECT("tb_rec_uni[natureza]"),"taxa.extra",
      INDIRECT("tb_rec_uni[empresa]"),$A$2
    ),
  $A$2="AMPLA",
    0,
  $A$2="OUTROS",
    SUMIFS(
      tb_rec_uni[2025-04-01],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H8" s="181" cm="1">
        <f t="array" aca="1" ref="H8" ca="1">_xlfn.IFS(
  NOT(OR($A$2="AMPLA",$A$2="OUTROS")),
    SUMIFS(
      tb_rec_uni[2025-05-01],
      INDIRECT("tb_rec_uni[natureza]"),"taxa.extra",
      INDIRECT("tb_rec_uni[empresa]"),$A$2
    ),
  $A$2="AMPLA",
    0,
  $A$2="OUTROS",
    SUMIFS(
      tb_rec_uni[2025-05-01],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I8" s="181" cm="1">
        <f t="array" aca="1" ref="I8" ca="1">_xlfn.IFS(
  NOT(OR($A$2="AMPLA",$A$2="OUTROS")),
    SUMIFS(
      tb_rec_uni[2025-06-01],
      INDIRECT("tb_rec_uni[natureza]"),"taxa.extra",
      INDIRECT("tb_rec_uni[empresa]"),$A$2
    ),
  $A$2="AMPLA",
    0,
  $A$2="OUTROS",
    SUMIFS(
      tb_rec_uni[2025-06-01],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J8" s="181" cm="1">
        <f t="array" aca="1" ref="J8" ca="1">_xlfn.IFS(
  NOT(OR($A$2="AMPLA",$A$2="OUTROS")),
    SUMIFS(
      tb_rec_uni[2025-07-01],
      INDIRECT("tb_rec_uni[natureza]"),"taxa.extra",
      INDIRECT("tb_rec_uni[empresa]"),$A$2
    ),
  $A$2="AMPLA",
    0,
  $A$2="OUTROS",
    SUMIFS(
      tb_rec_uni[2025-07-01],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K8" s="181" cm="1">
        <f t="array" aca="1" ref="K8" ca="1">_xlfn.IFS(
  NOT(OR($A$2="AMPLA",$A$2="OUTROS")),
    SUMIFS(
      tb_rec_uni[2025-08-01],
      INDIRECT("tb_rec_uni[natureza]"),"taxa.extra",
      INDIRECT("tb_rec_uni[empresa]"),$A$2
    ),
  $A$2="AMPLA",
    0,
  $A$2="OUTROS",
    SUMIFS(
      tb_rec_uni[2025-08-01],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L8" s="181" cm="1">
        <f t="array" aca="1" ref="L8" ca="1">_xlfn.IFS(
  NOT(OR($A$2="AMPLA",$A$2="OUTROS")),
    SUMIFS(
      tb_rec_uni[2025-09-01],
      INDIRECT("tb_rec_uni[natureza]"),"taxa.extra",
      INDIRECT("tb_rec_uni[empresa]"),$A$2
    ),
  $A$2="AMPLA",
    0,
  $A$2="OUTROS",
    SUMIFS(
      tb_rec_uni[2025-09-01],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M8" s="181" cm="1">
        <f t="array" aca="1" ref="M8" ca="1">_xlfn.IFS(
  NOT(OR($A$2="AMPLA",$A$2="OUTROS")),
    SUMIFS(
      tb_rec_uni[2025-10-01],
      INDIRECT("tb_rec_uni[natureza]"),"taxa.extra",
      INDIRECT("tb_rec_uni[empresa]"),$A$2
    ),
  $A$2="AMPLA",
    0,
  $A$2="OUTROS",
    SUMIFS(
      tb_rec_uni[2025-10-01],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N8" s="181" cm="1">
        <f t="array" aca="1" ref="N8" ca="1">_xlfn.IFS(
  NOT(OR($A$2="AMPLA",$A$2="OUTROS")),
    SUMIFS(
      tb_rec_uni[2025-11-01],
      INDIRECT("tb_rec_uni[natureza]"),"taxa.extra",
      INDIRECT("tb_rec_uni[empresa]"),$A$2
    ),
  $A$2="AMPLA",
    0,
  $A$2="OUTROS",
    SUMIFS(
      tb_rec_uni[2025-11-01],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O8" s="181" cm="1">
        <f t="array" aca="1" ref="O8" ca="1">_xlfn.IFS(
  NOT(OR($A$2="AMPLA",$A$2="OUTROS")),
    SUMIFS(
      tb_rec_uni[2025-12-01],
      INDIRECT("tb_rec_uni[natureza]"),"taxa.extra",
      INDIRECT("tb_rec_uni[empresa]"),$A$2
    ),
  $A$2="AMPLA",
    0,
  $A$2="OUTROS",
    SUMIFS(
      tb_rec_uni[2025-12-01],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P8" s="181" cm="1">
        <f t="array" aca="1" ref="P8" ca="1">_xlfn.IFS(
  NOT(OR($A$2="AMPLA",$A$2="OUTROS")),
    SUMIFS(
      tb_rec_uni[2026-01-01],
      INDIRECT("tb_rec_uni[natureza]"),"taxa.extra",
      INDIRECT("tb_rec_uni[empresa]"),$A$2
    ),
  $A$2="AMPLA",
    0,
  $A$2="OUTROS",
    SUMIFS(
      tb_rec_uni[2026-01-01],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Q8" s="181" cm="1">
        <f t="array" aca="1" ref="Q8" ca="1">_xlfn.IFS(
  NOT(OR($A$2="AMPLA",$A$2="OUTROS")),
    SUMIFS(
      tb_rec_uni[2026-02-01],
      INDIRECT("tb_rec_uni[natureza]"),"taxa.extra",
      INDIRECT("tb_rec_uni[empresa]"),$A$2
    ),
  $A$2="AMPLA",
    0,
  $A$2="OUTROS",
    SUMIFS(
      tb_rec_uni[2026-02-01],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R8" s="181" cm="1">
        <f t="array" aca="1" ref="R8" ca="1">_xlfn.IFS(
  NOT(OR($A$2="AMPLA",$A$2="OUTROS")),
    SUMIFS(
      tb_rec_uni[2026-03-01],
      INDIRECT("tb_rec_uni[natureza]"),"taxa.extra",
      INDIRECT("tb_rec_uni[empresa]"),$A$2
    ),
  $A$2="AMPLA",
    0,
  $A$2="OUTROS",
    SUMIFS(
      tb_rec_uni[2026-03-01],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S8" s="181" cm="1">
        <f t="array" aca="1" ref="S8" ca="1">_xlfn.IFS(
  NOT(OR($A$2="AMPLA",$A$2="OUTROS")),
    SUMIFS(
      tb_rec_uni[2026-04-01],
      INDIRECT("tb_rec_uni[natureza]"),"taxa.extra",
      INDIRECT("tb_rec_uni[empresa]"),$A$2
    ),
  $A$2="AMPLA",
    0,
  $A$2="OUTROS",
    SUMIFS(
      tb_rec_uni[2026-04-01],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T8" s="181" cm="1">
        <f t="array" aca="1" ref="T8" ca="1">_xlfn.IFS(
  NOT(OR($A$2="AMPLA",$A$2="OUTROS")),
    SUMIFS(
      tb_rec_uni[2026-05-01],
      INDIRECT("tb_rec_uni[natureza]"),"taxa.extra",
      INDIRECT("tb_rec_uni[empresa]"),$A$2
    ),
  $A$2="AMPLA",
    0,
  $A$2="OUTROS",
    SUMIFS(
      tb_rec_uni[2026-05-01],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U8" s="181" cm="1">
        <f t="array" aca="1" ref="U8" ca="1">_xlfn.IFS(
  NOT(OR($A$2="AMPLA",$A$2="OUTROS")),
    SUMIFS(
      tb_rec_uni[2026-06-01],
      INDIRECT("tb_rec_uni[natureza]"),"taxa.extra",
      INDIRECT("tb_rec_uni[empresa]"),$A$2
    ),
  $A$2="AMPLA",
    0,
  $A$2="OUTROS",
    SUMIFS(
      tb_rec_uni[2026-06-01],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V8" s="181" cm="1">
        <f t="array" aca="1" ref="V8" ca="1">_xlfn.IFS(
  NOT(OR($A$2="AMPLA",$A$2="OUTROS")),
    SUMIFS(
      tb_rec_uni[2026-07-01],
      INDIRECT("tb_rec_uni[natureza]"),"taxa.extra",
      INDIRECT("tb_rec_uni[empresa]"),$A$2
    ),
  $A$2="AMPLA",
    0,
  $A$2="OUTROS",
    SUMIFS(
      tb_rec_uni[2026-07-01],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W8" s="181" cm="1">
        <f t="array" aca="1" ref="W8" ca="1">_xlfn.IFS(
  NOT(OR($A$2="AMPLA",$A$2="OUTROS")),
    SUMIFS(
      tb_rec_uni[2026-08-01],
      INDIRECT("tb_rec_uni[natureza]"),"taxa.extra",
      INDIRECT("tb_rec_uni[empresa]"),$A$2
    ),
  $A$2="AMPLA",
    0,
  $A$2="OUTROS",
    SUMIFS(
      tb_rec_uni[2026-08-01],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X8" s="181" cm="1">
        <f t="array" aca="1" ref="X8" ca="1">_xlfn.IFS(
  NOT(OR($A$2="AMPLA",$A$2="OUTROS")),
    SUMIFS(
      tb_rec_uni[2026-09-01],
      INDIRECT("tb_rec_uni[natureza]"),"taxa.extra",
      INDIRECT("tb_rec_uni[empresa]"),$A$2
    ),
  $A$2="AMPLA",
    0,
  $A$2="OUTROS",
    SUMIFS(
      tb_rec_uni[2026-09-01],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Y8" s="181" cm="1">
        <f t="array" aca="1" ref="Y8" ca="1">_xlfn.IFS(
  NOT(OR($A$2="AMPLA",$A$2="OUTROS")),
    SUMIFS(
      tb_rec_uni[2026-10-01],
      INDIRECT("tb_rec_uni[natureza]"),"taxa.extra",
      INDIRECT("tb_rec_uni[empresa]"),$A$2
    ),
  $A$2="AMPLA",
    0,
  $A$2="OUTROS",
    SUMIFS(
      tb_rec_uni[2026-10-01],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Z8" s="181" cm="1">
        <f t="array" aca="1" ref="Z8" ca="1">_xlfn.IFS(
  NOT(OR($A$2="AMPLA",$A$2="OUTROS")),
    SUMIFS(
      tb_rec_uni[2026-11-01],
      INDIRECT("tb_rec_uni[natureza]"),"taxa.extra",
      INDIRECT("tb_rec_uni[empresa]"),$A$2
    ),
  $A$2="AMPLA",
    0,
  $A$2="OUTROS",
    SUMIFS(
      tb_rec_uni[2026-11-01],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AA8" s="181" cm="1">
        <f t="array" aca="1" ref="AA8" ca="1">_xlfn.IFS(
  NOT(OR($A$2="AMPLA",$A$2="OUTROS")),
    SUMIFS(
      tb_rec_uni[2026-12-01],
      INDIRECT("tb_rec_uni[natureza]"),"taxa.extra",
      INDIRECT("tb_rec_uni[empresa]"),$A$2
    ),
  $A$2="AMPLA",
    0,
  $A$2="OUTROS",
    SUMIFS(
      tb_rec_uni[2026-12-01],
      INDIRECT("tb_rec_uni[natureza]"),"taxa.extra",
      INDIRECT("tb_rec_uni[empresa]"),"&lt;&gt;AMP",
      INDIRECT("tb_rec_uni[empresa]"),"&lt;&gt;AVS",
      INDIRECT("tb_rec_uni[empresa]"),"&lt;&gt;CBL",
      INDIRECT("tb_rec_uni[empresa]"),"&lt;&gt;GRA",
      INDIRECT("tb_rec_uni[empresa]"),"&lt;&gt;LUC",
      INDIRECT("tb_rec_uni[empresa]"),"&lt;&gt;POM",
      INDIRECT("tb_rec_uni[empresa]"),"&lt;&gt;SAU",
      INDIRECT("tb_rec_uni[empresa]"),"&lt;&gt;SN2",
      INDIRECT("tb_rec_uni[empresa]"),"&lt;&gt;SN4"
    )
)</f>
        <v>0</v>
      </c>
      <c r="AC8" s="275">
        <f ca="1">SUM($D8:INDEX($D8:$AA8,1,MATCH(DATE(YEAR(inputs!$A$1),MONTH(inputs!$A$1),1),$D$3:$AA$3,0)))</f>
        <v>0</v>
      </c>
      <c r="AE8" s="275">
        <f t="shared" ca="1" si="4"/>
        <v>0</v>
      </c>
    </row>
    <row r="9" spans="1:31" outlineLevel="1" x14ac:dyDescent="0.25">
      <c r="A9" s="179" t="s">
        <v>525</v>
      </c>
      <c r="B9" s="179" t="s">
        <v>526</v>
      </c>
      <c r="C9" s="180" t="s">
        <v>22</v>
      </c>
      <c r="D9" s="181" cm="1">
        <f t="array" ref="D9:AA9">IF($A$2="POM",
TRANSPOSE(_xlfn._xlws.FILTER(inputs!$BJ$51:$BJ$122,inputs!$BJ$51:$BJ$122&lt;&gt;"")),
0*_xlfn.SEQUENCE(1,IFERROR(MATCH(TRUE,f.grupo!D1:AU1="",0)-1,COLUNAS(f.grupo!D1:AU1))))</f>
        <v>0</v>
      </c>
      <c r="E9" s="181">
        <v>0</v>
      </c>
      <c r="F9" s="181">
        <v>0</v>
      </c>
      <c r="G9" s="181">
        <v>0</v>
      </c>
      <c r="H9" s="181">
        <v>0</v>
      </c>
      <c r="I9" s="181">
        <v>0</v>
      </c>
      <c r="J9" s="181">
        <v>0</v>
      </c>
      <c r="K9" s="181">
        <v>0</v>
      </c>
      <c r="L9" s="181">
        <v>0</v>
      </c>
      <c r="M9" s="181">
        <v>0</v>
      </c>
      <c r="N9" s="181">
        <v>0</v>
      </c>
      <c r="O9" s="181">
        <v>0</v>
      </c>
      <c r="P9" s="181">
        <v>0</v>
      </c>
      <c r="Q9" s="181">
        <v>0</v>
      </c>
      <c r="R9" s="181">
        <v>0</v>
      </c>
      <c r="S9" s="181">
        <v>0</v>
      </c>
      <c r="T9" s="181">
        <v>0</v>
      </c>
      <c r="U9" s="181">
        <v>0</v>
      </c>
      <c r="V9" s="181">
        <v>0</v>
      </c>
      <c r="W9" s="181">
        <v>0</v>
      </c>
      <c r="X9" s="181">
        <v>0</v>
      </c>
      <c r="Y9" s="181">
        <v>0</v>
      </c>
      <c r="Z9" s="181">
        <v>0</v>
      </c>
      <c r="AA9" s="181">
        <v>0</v>
      </c>
      <c r="AC9" s="275">
        <f>SUM($D9:INDEX($D9:$AA9,1,MATCH(DATE(YEAR(inputs!$A$1),MONTH(inputs!$A$1),1),$D$3:$AA$3,0)))</f>
        <v>0</v>
      </c>
      <c r="AE9" s="275">
        <f t="shared" si="4"/>
        <v>0</v>
      </c>
    </row>
    <row r="10" spans="1:31" x14ac:dyDescent="0.25">
      <c r="A10" s="185" t="s">
        <v>527</v>
      </c>
      <c r="B10" s="185" t="s">
        <v>528</v>
      </c>
      <c r="C10" s="186" t="s">
        <v>514</v>
      </c>
      <c r="D10" s="187">
        <f t="shared" ref="D10:AA10" si="5">SUM(D11:D24)</f>
        <v>0</v>
      </c>
      <c r="E10" s="187">
        <f t="shared" si="5"/>
        <v>0</v>
      </c>
      <c r="F10" s="187">
        <f t="shared" si="5"/>
        <v>0</v>
      </c>
      <c r="G10" s="187">
        <f t="shared" si="5"/>
        <v>0</v>
      </c>
      <c r="H10" s="187">
        <f t="shared" si="5"/>
        <v>0</v>
      </c>
      <c r="I10" s="187">
        <f t="shared" si="5"/>
        <v>0</v>
      </c>
      <c r="J10" s="187">
        <f t="shared" si="5"/>
        <v>0</v>
      </c>
      <c r="K10" s="187">
        <f t="shared" si="5"/>
        <v>0</v>
      </c>
      <c r="L10" s="187">
        <f t="shared" si="5"/>
        <v>0</v>
      </c>
      <c r="M10" s="187">
        <f t="shared" si="5"/>
        <v>0</v>
      </c>
      <c r="N10" s="187">
        <f t="shared" si="5"/>
        <v>0</v>
      </c>
      <c r="O10" s="187">
        <f t="shared" si="5"/>
        <v>0</v>
      </c>
      <c r="P10" s="187">
        <f t="shared" si="5"/>
        <v>0</v>
      </c>
      <c r="Q10" s="187">
        <f t="shared" si="5"/>
        <v>0</v>
      </c>
      <c r="R10" s="187">
        <f t="shared" si="5"/>
        <v>0</v>
      </c>
      <c r="S10" s="187">
        <f t="shared" si="5"/>
        <v>0</v>
      </c>
      <c r="T10" s="187">
        <f t="shared" si="5"/>
        <v>0</v>
      </c>
      <c r="U10" s="187">
        <f t="shared" si="5"/>
        <v>0</v>
      </c>
      <c r="V10" s="187">
        <f t="shared" si="5"/>
        <v>0</v>
      </c>
      <c r="W10" s="187">
        <f t="shared" si="5"/>
        <v>0</v>
      </c>
      <c r="X10" s="187">
        <f t="shared" si="5"/>
        <v>0</v>
      </c>
      <c r="Y10" s="187">
        <f t="shared" si="5"/>
        <v>0</v>
      </c>
      <c r="Z10" s="187">
        <f t="shared" si="5"/>
        <v>0</v>
      </c>
      <c r="AA10" s="187">
        <f t="shared" si="5"/>
        <v>0</v>
      </c>
      <c r="AC10" s="276">
        <f>SUM($D10:INDEX($D10:$AA10,1,MATCH(DATE(YEAR(inputs!$A$1),MONTH(inputs!$A$1),1),$D$3:$AA$3,0)))</f>
        <v>0</v>
      </c>
      <c r="AE10" s="276">
        <f t="shared" si="4"/>
        <v>0</v>
      </c>
    </row>
    <row r="11" spans="1:31" outlineLevel="1" x14ac:dyDescent="0.25">
      <c r="A11" s="179" t="s">
        <v>529</v>
      </c>
      <c r="B11" s="413" t="s">
        <v>352</v>
      </c>
      <c r="C11" s="180" t="s">
        <v>514</v>
      </c>
      <c r="D11" s="181" cm="1">
        <f t="array" ref="D11">IF($A$2&lt;&gt;"Outros",
  -SUMPRODUCT(
    tb_desp[valor] *
    (tb_desp[nucleo]=$B$2) *
    ((tb_desp[centro.negocio]=$B11) + (LEFT(tb_desp[centro.negocio],17)="Dep. Pessoal - Up"))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(tb_desp[data.pagamento]&gt;=D$3) *
    (tb_desp[data.pagamento]&lt;EOMONTH(D$3,0)+1)
  )
)</f>
        <v>0</v>
      </c>
      <c r="E11" s="181" cm="1">
        <f t="array" ref="E11">IF($A$2&lt;&gt;"Outros",
  -SUMPRODUCT(
    tb_desp[valor] *
    (tb_desp[nucleo]=$B$2) *
    ((tb_desp[centro.negocio]=$B11) + (LEFT(tb_desp[centro.negocio],17)="Dep. Pessoal - Up"))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(tb_desp[data.pagamento]&gt;=E$3) *
    (tb_desp[data.pagamento]&lt;EOMONTH(E$3,0)+1)
  )
)</f>
        <v>0</v>
      </c>
      <c r="F11" s="181" cm="1">
        <f t="array" ref="F11">IF($A$2&lt;&gt;"Outros",
  -SUMPRODUCT(
    tb_desp[valor] *
    (tb_desp[nucleo]=$B$2) *
    ((tb_desp[centro.negocio]=$B11) + (LEFT(tb_desp[centro.negocio],17)="Dep. Pessoal - Up"))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(tb_desp[data.pagamento]&gt;=F$3) *
    (tb_desp[data.pagamento]&lt;EOMONTH(F$3,0)+1)
  )
)</f>
        <v>0</v>
      </c>
      <c r="G11" s="181" cm="1">
        <f t="array" ref="G11">IF($A$2&lt;&gt;"Outros",
  -SUMPRODUCT(
    tb_desp[valor] *
    (tb_desp[nucleo]=$B$2) *
    ((tb_desp[centro.negocio]=$B11) + (LEFT(tb_desp[centro.negocio],17)="Dep. Pessoal - Up"))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(tb_desp[data.pagamento]&gt;=G$3) *
    (tb_desp[data.pagamento]&lt;EOMONTH(G$3,0)+1)
  )
)</f>
        <v>0</v>
      </c>
      <c r="H11" s="181" cm="1">
        <f t="array" ref="H11">IF($A$2&lt;&gt;"Outros",
  -SUMPRODUCT(
    tb_desp[valor] *
    (tb_desp[nucleo]=$B$2) *
    ((tb_desp[centro.negocio]=$B11) + (LEFT(tb_desp[centro.negocio],17)="Dep. Pessoal - Up"))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(tb_desp[data.pagamento]&gt;=H$3) *
    (tb_desp[data.pagamento]&lt;EOMONTH(H$3,0)+1)
  )
)</f>
        <v>0</v>
      </c>
      <c r="I11" s="181" cm="1">
        <f t="array" ref="I11">IF($A$2&lt;&gt;"Outros",
  -SUMPRODUCT(
    tb_desp[valor] *
    (tb_desp[nucleo]=$B$2) *
    ((tb_desp[centro.negocio]=$B11) + (LEFT(tb_desp[centro.negocio],17)="Dep. Pessoal - Up"))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(tb_desp[data.pagamento]&gt;=I$3) *
    (tb_desp[data.pagamento]&lt;EOMONTH(I$3,0)+1)
  )
)</f>
        <v>0</v>
      </c>
      <c r="J11" s="181" cm="1">
        <f t="array" ref="J11">IF($A$2&lt;&gt;"Outros",
  -SUMPRODUCT(
    tb_desp[valor] *
    (tb_desp[nucleo]=$B$2) *
    ((tb_desp[centro.negocio]=$B11) + (LEFT(tb_desp[centro.negocio],17)="Dep. Pessoal - Up"))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(tb_desp[data.pagamento]&gt;=J$3) *
    (tb_desp[data.pagamento]&lt;EOMONTH(J$3,0)+1)
  )
)</f>
        <v>0</v>
      </c>
      <c r="K11" s="181" cm="1">
        <f t="array" ref="K11">IF($A$2&lt;&gt;"Outros",
  -SUMPRODUCT(
    tb_desp[valor] *
    (tb_desp[nucleo]=$B$2) *
    ((tb_desp[centro.negocio]=$B11) + (LEFT(tb_desp[centro.negocio],17)="Dep. Pessoal - Up"))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(tb_desp[data.pagamento]&gt;=K$3) *
    (tb_desp[data.pagamento]&lt;EOMONTH(K$3,0)+1)
  )
)</f>
        <v>0</v>
      </c>
      <c r="L11" s="181" cm="1">
        <f t="array" ref="L11">IF($A$2&lt;&gt;"Outros",
  -SUMPRODUCT(
    tb_desp[valor] *
    (tb_desp[nucleo]=$B$2) *
    ((tb_desp[centro.negocio]=$B11) + (LEFT(tb_desp[centro.negocio],17)="Dep. Pessoal - Up"))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(tb_desp[data.pagamento]&gt;=L$3) *
    (tb_desp[data.pagamento]&lt;EOMONTH(L$3,0)+1)
  )
)</f>
        <v>0</v>
      </c>
      <c r="M11" s="181" cm="1">
        <f t="array" ref="M11">IF($A$2&lt;&gt;"Outros",
  -SUMPRODUCT(
    tb_desp[valor] *
    (tb_desp[nucleo]=$B$2) *
    ((tb_desp[centro.negocio]=$B11) + (LEFT(tb_desp[centro.negocio],17)="Dep. Pessoal - Up"))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(tb_desp[data.pagamento]&gt;=M$3) *
    (tb_desp[data.pagamento]&lt;EOMONTH(M$3,0)+1)
  )
)</f>
        <v>0</v>
      </c>
      <c r="N11" s="181" cm="1">
        <f t="array" ref="N11">IF($A$2&lt;&gt;"Outros",
  -SUMPRODUCT(
    tb_desp[valor] *
    (tb_desp[nucleo]=$B$2) *
    ((tb_desp[centro.negocio]=$B11) + (LEFT(tb_desp[centro.negocio],17)="Dep. Pessoal - Up"))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(tb_desp[data.pagamento]&gt;=N$3) *
    (tb_desp[data.pagamento]&lt;EOMONTH(N$3,0)+1)
  )
)</f>
        <v>0</v>
      </c>
      <c r="O11" s="181" cm="1">
        <f t="array" ref="O11">IF($A$2&lt;&gt;"Outros",
  -SUMPRODUCT(
    tb_desp[valor] *
    (tb_desp[nucleo]=$B$2) *
    ((tb_desp[centro.negocio]=$B11) + (LEFT(tb_desp[centro.negocio],17)="Dep. Pessoal - Up"))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(tb_desp[data.pagamento]&gt;=O$3) *
    (tb_desp[data.pagamento]&lt;EOMONTH(O$3,0)+1)
  )
)</f>
        <v>0</v>
      </c>
      <c r="P11" s="181" cm="1">
        <f t="array" ref="P11">IF($A$2&lt;&gt;"Outros",
  -SUMPRODUCT(
    tb_desp[valor] *
    (tb_desp[nucleo]=$B$2) *
    ((tb_desp[centro.negocio]=$B11) + (LEFT(tb_desp[centro.negocio],17)="Dep. Pessoal - Up"))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(tb_desp[data.pagamento]&gt;=P$3) *
    (tb_desp[data.pagamento]&lt;EOMONTH(P$3,0)+1)
  )
)</f>
        <v>0</v>
      </c>
      <c r="Q11" s="181" cm="1">
        <f t="array" ref="Q11">IF($A$2&lt;&gt;"Outros",
  -SUMPRODUCT(
    tb_desp[valor] *
    (tb_desp[nucleo]=$B$2) *
    ((tb_desp[centro.negocio]=$B11) + (LEFT(tb_desp[centro.negocio],17)="Dep. Pessoal - Up"))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(tb_desp[data.pagamento]&gt;=Q$3) *
    (tb_desp[data.pagamento]&lt;EOMONTH(Q$3,0)+1)
  )
)</f>
        <v>0</v>
      </c>
      <c r="R11" s="181" cm="1">
        <f t="array" ref="R11">IF($A$2&lt;&gt;"Outros",
  -SUMPRODUCT(
    tb_desp[valor] *
    (tb_desp[nucleo]=$B$2) *
    ((tb_desp[centro.negocio]=$B11) + (LEFT(tb_desp[centro.negocio],17)="Dep. Pessoal - Up"))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(tb_desp[data.pagamento]&gt;=R$3) *
    (tb_desp[data.pagamento]&lt;EOMONTH(R$3,0)+1)
  )
)</f>
        <v>0</v>
      </c>
      <c r="S11" s="181" cm="1">
        <f t="array" ref="S11">IF($A$2&lt;&gt;"Outros",
  -SUMPRODUCT(
    tb_desp[valor] *
    (tb_desp[nucleo]=$B$2) *
    ((tb_desp[centro.negocio]=$B11) + (LEFT(tb_desp[centro.negocio],17)="Dep. Pessoal - Up"))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(tb_desp[data.pagamento]&gt;=S$3) *
    (tb_desp[data.pagamento]&lt;EOMONTH(S$3,0)+1)
  )
)</f>
        <v>0</v>
      </c>
      <c r="T11" s="181" cm="1">
        <f t="array" ref="T11">IF($A$2&lt;&gt;"Outros",
  -SUMPRODUCT(
    tb_desp[valor] *
    (tb_desp[nucleo]=$B$2) *
    ((tb_desp[centro.negocio]=$B11) + (LEFT(tb_desp[centro.negocio],17)="Dep. Pessoal - Up"))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(tb_desp[data.pagamento]&gt;=T$3) *
    (tb_desp[data.pagamento]&lt;EOMONTH(T$3,0)+1)
  )
)</f>
        <v>0</v>
      </c>
      <c r="U11" s="181" cm="1">
        <f t="array" ref="U11">IF($A$2&lt;&gt;"Outros",
  -SUMPRODUCT(
    tb_desp[valor] *
    (tb_desp[nucleo]=$B$2) *
    ((tb_desp[centro.negocio]=$B11) + (LEFT(tb_desp[centro.negocio],17)="Dep. Pessoal - Up"))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(tb_desp[data.pagamento]&gt;=U$3) *
    (tb_desp[data.pagamento]&lt;EOMONTH(U$3,0)+1)
  )
)</f>
        <v>0</v>
      </c>
      <c r="V11" s="181" cm="1">
        <f t="array" ref="V11">IF($A$2&lt;&gt;"Outros",
  -SUMPRODUCT(
    tb_desp[valor] *
    (tb_desp[nucleo]=$B$2) *
    ((tb_desp[centro.negocio]=$B11) + (LEFT(tb_desp[centro.negocio],17)="Dep. Pessoal - Up"))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(tb_desp[data.pagamento]&gt;=V$3) *
    (tb_desp[data.pagamento]&lt;EOMONTH(V$3,0)+1)
  )
)</f>
        <v>0</v>
      </c>
      <c r="W11" s="181" cm="1">
        <f t="array" ref="W11">IF($A$2&lt;&gt;"Outros",
  -SUMPRODUCT(
    tb_desp[valor] *
    (tb_desp[nucleo]=$B$2) *
    ((tb_desp[centro.negocio]=$B11) + (LEFT(tb_desp[centro.negocio],17)="Dep. Pessoal - Up"))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(tb_desp[data.pagamento]&gt;=W$3) *
    (tb_desp[data.pagamento]&lt;EOMONTH(W$3,0)+1)
  )
)</f>
        <v>0</v>
      </c>
      <c r="X11" s="181" cm="1">
        <f t="array" ref="X11">IF($A$2&lt;&gt;"Outros",
  -SUMPRODUCT(
    tb_desp[valor] *
    (tb_desp[nucleo]=$B$2) *
    ((tb_desp[centro.negocio]=$B11) + (LEFT(tb_desp[centro.negocio],17)="Dep. Pessoal - Up"))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(tb_desp[data.pagamento]&gt;=X$3) *
    (tb_desp[data.pagamento]&lt;EOMONTH(X$3,0)+1)
  )
)</f>
        <v>0</v>
      </c>
      <c r="Y11" s="181" cm="1">
        <f t="array" ref="Y11">IF($A$2&lt;&gt;"Outros",
  -SUMPRODUCT(
    tb_desp[valor] *
    (tb_desp[nucleo]=$B$2) *
    ((tb_desp[centro.negocio]=$B11) + (LEFT(tb_desp[centro.negocio],17)="Dep. Pessoal - Up"))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(tb_desp[data.pagamento]&gt;=Y$3) *
    (tb_desp[data.pagamento]&lt;EOMONTH(Y$3,0)+1)
  )
)</f>
        <v>0</v>
      </c>
      <c r="Z11" s="181" cm="1">
        <f t="array" ref="Z11">IF($A$2&lt;&gt;"Outros",
  -SUMPRODUCT(
    tb_desp[valor] *
    (tb_desp[nucleo]=$B$2) *
    ((tb_desp[centro.negocio]=$B11) + (LEFT(tb_desp[centro.negocio],17)="Dep. Pessoal - Up"))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(tb_desp[data.pagamento]&gt;=Z$3) *
    (tb_desp[data.pagamento]&lt;EOMONTH(Z$3,0)+1)
  )
)</f>
        <v>0</v>
      </c>
      <c r="AA11" s="181" cm="1">
        <f t="array" ref="AA11">IF($A$2&lt;&gt;"Outros",
  -SUMPRODUCT(
    tb_desp[valor] *
    (tb_desp[nucleo]=$B$2) *
    ((tb_desp[centro.negocio]=$B11) + (LEFT(tb_desp[centro.negocio],17)="Dep. Pessoal - Up"))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((tb_desp[centro.negocio]=$B11) + (LEFT(tb_desp[centro.negocio],17)="Dep. Pessoal - Up")) *
    (tb_desp[data.pagamento]&gt;=AA$3) *
    (tb_desp[data.pagamento]&lt;EOMONTH(AA$3,0)+1)
  )
)</f>
        <v>0</v>
      </c>
      <c r="AC11" s="275">
        <f>SUM($D11:INDEX($D11:$AA11,1,MATCH(DATE(YEAR(inputs!$A$1),MONTH(inputs!$A$1),1),$D$3:$AA$3,0)))</f>
        <v>0</v>
      </c>
      <c r="AE11" s="275">
        <f t="shared" si="4"/>
        <v>0</v>
      </c>
    </row>
    <row r="12" spans="1:31" outlineLevel="1" x14ac:dyDescent="0.25">
      <c r="A12" s="179" t="s">
        <v>548</v>
      </c>
      <c r="B12" s="179" t="s">
        <v>350</v>
      </c>
      <c r="C12" s="180" t="s">
        <v>514</v>
      </c>
      <c r="D12" s="181" cm="1">
        <f t="array" ref="D12">IF($A$2&lt;&gt;"Outros",
  -SUMPRODUCT(
    tb_desp[valor] *
    (tb_desp[nucleo]=$B$2) *
    (tb_desp[centro.negocio]=$B12) *
    (tb_desp[classe] &lt;&gt; "Financiamento")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(tb_desp[data.pagamento]&gt;=D$3) *
    (tb_desp[data.pagamento]&lt;EOMONTH(D$3,0)+1)
  )
)</f>
        <v>0</v>
      </c>
      <c r="E12" s="181" cm="1">
        <f t="array" ref="E12">IF($A$2&lt;&gt;"Outros",
  -SUMPRODUCT(
    tb_desp[valor] *
    (tb_desp[nucleo]=$B$2) *
    (tb_desp[centro.negocio]=$B12) *
    (tb_desp[classe] &lt;&gt; "Financiamento")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(tb_desp[data.pagamento]&gt;=E$3) *
    (tb_desp[data.pagamento]&lt;EOMONTH(E$3,0)+1)
  )
)</f>
        <v>0</v>
      </c>
      <c r="F12" s="181" cm="1">
        <f t="array" ref="F12">IF($A$2&lt;&gt;"Outros",
  -SUMPRODUCT(
    tb_desp[valor] *
    (tb_desp[nucleo]=$B$2) *
    (tb_desp[centro.negocio]=$B12) *
    (tb_desp[classe] &lt;&gt; "Financiamento")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(tb_desp[data.pagamento]&gt;=F$3) *
    (tb_desp[data.pagamento]&lt;EOMONTH(F$3,0)+1)
  )
)</f>
        <v>0</v>
      </c>
      <c r="G12" s="181" cm="1">
        <f t="array" ref="G12">IF($A$2&lt;&gt;"Outros",
  -SUMPRODUCT(
    tb_desp[valor] *
    (tb_desp[nucleo]=$B$2) *
    (tb_desp[centro.negocio]=$B12) *
    (tb_desp[classe] &lt;&gt; "Financiamento")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(tb_desp[data.pagamento]&gt;=G$3) *
    (tb_desp[data.pagamento]&lt;EOMONTH(G$3,0)+1)
  )
)</f>
        <v>0</v>
      </c>
      <c r="H12" s="181" cm="1">
        <f t="array" ref="H12">IF($A$2&lt;&gt;"Outros",
  -SUMPRODUCT(
    tb_desp[valor] *
    (tb_desp[nucleo]=$B$2) *
    (tb_desp[centro.negocio]=$B12) *
    (tb_desp[classe] &lt;&gt; "Financiamento")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(tb_desp[data.pagamento]&gt;=H$3) *
    (tb_desp[data.pagamento]&lt;EOMONTH(H$3,0)+1)
  )
)</f>
        <v>0</v>
      </c>
      <c r="I12" s="181" cm="1">
        <f t="array" ref="I12">IF($A$2&lt;&gt;"Outros",
  -SUMPRODUCT(
    tb_desp[valor] *
    (tb_desp[nucleo]=$B$2) *
    (tb_desp[centro.negocio]=$B12) *
    (tb_desp[classe] &lt;&gt; "Financiamento")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(tb_desp[data.pagamento]&gt;=I$3) *
    (tb_desp[data.pagamento]&lt;EOMONTH(I$3,0)+1)
  )
)</f>
        <v>0</v>
      </c>
      <c r="J12" s="181" cm="1">
        <f t="array" ref="J12">IF($A$2&lt;&gt;"Outros",
  -SUMPRODUCT(
    tb_desp[valor] *
    (tb_desp[nucleo]=$B$2) *
    (tb_desp[centro.negocio]=$B12) *
    (tb_desp[classe] &lt;&gt; "Financiamento")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(tb_desp[data.pagamento]&gt;=J$3) *
    (tb_desp[data.pagamento]&lt;EOMONTH(J$3,0)+1)
  )
)</f>
        <v>0</v>
      </c>
      <c r="K12" s="181" cm="1">
        <f t="array" ref="K12">IF($A$2&lt;&gt;"Outros",
  -SUMPRODUCT(
    tb_desp[valor] *
    (tb_desp[nucleo]=$B$2) *
    (tb_desp[centro.negocio]=$B12) *
    (tb_desp[classe] &lt;&gt; "Financiamento")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(tb_desp[data.pagamento]&gt;=K$3) *
    (tb_desp[data.pagamento]&lt;EOMONTH(K$3,0)+1)
  )
)</f>
        <v>0</v>
      </c>
      <c r="L12" s="181" cm="1">
        <f t="array" ref="L12">IF($A$2&lt;&gt;"Outros",
  -SUMPRODUCT(
    tb_desp[valor] *
    (tb_desp[nucleo]=$B$2) *
    (tb_desp[centro.negocio]=$B12) *
    (tb_desp[classe] &lt;&gt; "Financiamento")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(tb_desp[data.pagamento]&gt;=L$3) *
    (tb_desp[data.pagamento]&lt;EOMONTH(L$3,0)+1)
  )
)</f>
        <v>0</v>
      </c>
      <c r="M12" s="181" cm="1">
        <f t="array" ref="M12">IF($A$2&lt;&gt;"Outros",
  -SUMPRODUCT(
    tb_desp[valor] *
    (tb_desp[nucleo]=$B$2) *
    (tb_desp[centro.negocio]=$B12) *
    (tb_desp[classe] &lt;&gt; "Financiamento")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(tb_desp[data.pagamento]&gt;=M$3) *
    (tb_desp[data.pagamento]&lt;EOMONTH(M$3,0)+1)
  )
)</f>
        <v>0</v>
      </c>
      <c r="N12" s="181" cm="1">
        <f t="array" ref="N12">IF($A$2&lt;&gt;"Outros",
  -SUMPRODUCT(
    tb_desp[valor] *
    (tb_desp[nucleo]=$B$2) *
    (tb_desp[centro.negocio]=$B12) *
    (tb_desp[classe] &lt;&gt; "Financiamento")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(tb_desp[data.pagamento]&gt;=N$3) *
    (tb_desp[data.pagamento]&lt;EOMONTH(N$3,0)+1)
  )
)</f>
        <v>0</v>
      </c>
      <c r="O12" s="181" cm="1">
        <f t="array" ref="O12">IF($A$2&lt;&gt;"Outros",
  -SUMPRODUCT(
    tb_desp[valor] *
    (tb_desp[nucleo]=$B$2) *
    (tb_desp[centro.negocio]=$B12) *
    (tb_desp[classe] &lt;&gt; "Financiamento")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(tb_desp[data.pagamento]&gt;=O$3) *
    (tb_desp[data.pagamento]&lt;EOMONTH(O$3,0)+1)
  )
)</f>
        <v>0</v>
      </c>
      <c r="P12" s="181" cm="1">
        <f t="array" ref="P12">IF($A$2&lt;&gt;"Outros",
  -SUMPRODUCT(
    tb_desp[valor] *
    (tb_desp[nucleo]=$B$2) *
    (tb_desp[centro.negocio]=$B12) *
    (tb_desp[classe] &lt;&gt; "Financiamento")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(tb_desp[data.pagamento]&gt;=P$3) *
    (tb_desp[data.pagamento]&lt;EOMONTH(P$3,0)+1)
  )
)</f>
        <v>0</v>
      </c>
      <c r="Q12" s="181" cm="1">
        <f t="array" ref="Q12">IF($A$2&lt;&gt;"Outros",
  -SUMPRODUCT(
    tb_desp[valor] *
    (tb_desp[nucleo]=$B$2) *
    (tb_desp[centro.negocio]=$B12) *
    (tb_desp[classe] &lt;&gt; "Financiamento")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(tb_desp[data.pagamento]&gt;=Q$3) *
    (tb_desp[data.pagamento]&lt;EOMONTH(Q$3,0)+1)
  )
)</f>
        <v>0</v>
      </c>
      <c r="R12" s="181" cm="1">
        <f t="array" ref="R12">IF($A$2&lt;&gt;"Outros",
  -SUMPRODUCT(
    tb_desp[valor] *
    (tb_desp[nucleo]=$B$2) *
    (tb_desp[centro.negocio]=$B12) *
    (tb_desp[classe] &lt;&gt; "Financiamento")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(tb_desp[data.pagamento]&gt;=R$3) *
    (tb_desp[data.pagamento]&lt;EOMONTH(R$3,0)+1)
  )
)</f>
        <v>0</v>
      </c>
      <c r="S12" s="181" cm="1">
        <f t="array" ref="S12">IF($A$2&lt;&gt;"Outros",
  -SUMPRODUCT(
    tb_desp[valor] *
    (tb_desp[nucleo]=$B$2) *
    (tb_desp[centro.negocio]=$B12) *
    (tb_desp[classe] &lt;&gt; "Financiamento")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(tb_desp[data.pagamento]&gt;=S$3) *
    (tb_desp[data.pagamento]&lt;EOMONTH(S$3,0)+1)
  )
)</f>
        <v>0</v>
      </c>
      <c r="T12" s="181" cm="1">
        <f t="array" ref="T12">IF($A$2&lt;&gt;"Outros",
  -SUMPRODUCT(
    tb_desp[valor] *
    (tb_desp[nucleo]=$B$2) *
    (tb_desp[centro.negocio]=$B12) *
    (tb_desp[classe] &lt;&gt; "Financiamento")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(tb_desp[data.pagamento]&gt;=T$3) *
    (tb_desp[data.pagamento]&lt;EOMONTH(T$3,0)+1)
  )
)</f>
        <v>0</v>
      </c>
      <c r="U12" s="181" cm="1">
        <f t="array" ref="U12">IF($A$2&lt;&gt;"Outros",
  -SUMPRODUCT(
    tb_desp[valor] *
    (tb_desp[nucleo]=$B$2) *
    (tb_desp[centro.negocio]=$B12) *
    (tb_desp[classe] &lt;&gt; "Financiamento")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(tb_desp[data.pagamento]&gt;=U$3) *
    (tb_desp[data.pagamento]&lt;EOMONTH(U$3,0)+1)
  )
)</f>
        <v>0</v>
      </c>
      <c r="V12" s="181" cm="1">
        <f t="array" ref="V12">IF($A$2&lt;&gt;"Outros",
  -SUMPRODUCT(
    tb_desp[valor] *
    (tb_desp[nucleo]=$B$2) *
    (tb_desp[centro.negocio]=$B12) *
    (tb_desp[classe] &lt;&gt; "Financiamento")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(tb_desp[data.pagamento]&gt;=V$3) *
    (tb_desp[data.pagamento]&lt;EOMONTH(V$3,0)+1)
  )
)</f>
        <v>0</v>
      </c>
      <c r="W12" s="181" cm="1">
        <f t="array" ref="W12">IF($A$2&lt;&gt;"Outros",
  -SUMPRODUCT(
    tb_desp[valor] *
    (tb_desp[nucleo]=$B$2) *
    (tb_desp[centro.negocio]=$B12) *
    (tb_desp[classe] &lt;&gt; "Financiamento")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(tb_desp[data.pagamento]&gt;=W$3) *
    (tb_desp[data.pagamento]&lt;EOMONTH(W$3,0)+1)
  )
)</f>
        <v>0</v>
      </c>
      <c r="X12" s="181" cm="1">
        <f t="array" ref="X12">IF($A$2&lt;&gt;"Outros",
  -SUMPRODUCT(
    tb_desp[valor] *
    (tb_desp[nucleo]=$B$2) *
    (tb_desp[centro.negocio]=$B12) *
    (tb_desp[classe] &lt;&gt; "Financiamento")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(tb_desp[data.pagamento]&gt;=X$3) *
    (tb_desp[data.pagamento]&lt;EOMONTH(X$3,0)+1)
  )
)</f>
        <v>0</v>
      </c>
      <c r="Y12" s="181" cm="1">
        <f t="array" ref="Y12">IF($A$2&lt;&gt;"Outros",
  -SUMPRODUCT(
    tb_desp[valor] *
    (tb_desp[nucleo]=$B$2) *
    (tb_desp[centro.negocio]=$B12) *
    (tb_desp[classe] &lt;&gt; "Financiamento")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(tb_desp[data.pagamento]&gt;=Y$3) *
    (tb_desp[data.pagamento]&lt;EOMONTH(Y$3,0)+1)
  )
)</f>
        <v>0</v>
      </c>
      <c r="Z12" s="181" cm="1">
        <f t="array" ref="Z12">IF($A$2&lt;&gt;"Outros",
  -SUMPRODUCT(
    tb_desp[valor] *
    (tb_desp[nucleo]=$B$2) *
    (tb_desp[centro.negocio]=$B12) *
    (tb_desp[classe] &lt;&gt; "Financiamento")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(tb_desp[data.pagamento]&gt;=Z$3) *
    (tb_desp[data.pagamento]&lt;EOMONTH(Z$3,0)+1)
  )
)</f>
        <v>0</v>
      </c>
      <c r="AA12" s="181" cm="1">
        <f t="array" ref="AA12">IF($A$2&lt;&gt;"Outros",
  -SUMPRODUCT(
    tb_desp[valor] *
    (tb_desp[nucleo]=$B$2) *
    (tb_desp[centro.negocio]=$B12) *
    (tb_desp[classe] &lt;&gt; "Financiamento")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(tb_desp[centro.negocio]=$B12) *
    (tb_desp[classe] &lt;&gt; "Financiamento") *
    (tb_desp[data.pagamento]&gt;=AA$3) *
    (tb_desp[data.pagamento]&lt;EOMONTH(AA$3,0)+1)
  )
)</f>
        <v>0</v>
      </c>
      <c r="AC12" s="275">
        <f>SUM($D12:INDEX($D12:$AA12,1,MATCH(DATE(YEAR(inputs!$A$1),MONTH(inputs!$A$1),1),$D$3:$AA$3,0)))</f>
        <v>0</v>
      </c>
      <c r="AE12" s="275">
        <f t="shared" si="4"/>
        <v>0</v>
      </c>
    </row>
    <row r="13" spans="1:31" outlineLevel="1" x14ac:dyDescent="0.25">
      <c r="A13" s="179" t="s">
        <v>1003</v>
      </c>
      <c r="B13" s="179" t="s">
        <v>391</v>
      </c>
      <c r="C13" s="180" t="s">
        <v>514</v>
      </c>
      <c r="D13" s="181" cm="1">
        <f t="array" ref="D13">IF($A$2&lt;&gt;"Outros",
  -SUMPRODUCT(
    tb_desp[valor] *
    (tb_desp[nucleo]=$B$2) *
    (tb_desp[centro.negocio]=$B13)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(tb_desp[data.pagamento]&gt;=D$3) *
    (tb_desp[data.pagamento]&lt;EOMONTH(D$3,0)+1)
  )
)</f>
        <v>0</v>
      </c>
      <c r="E13" s="181" cm="1">
        <f t="array" ref="E13">IF($A$2&lt;&gt;"Outros",
  -SUMPRODUCT(
    tb_desp[valor] *
    (tb_desp[nucleo]=$B$2) *
    (tb_desp[centro.negocio]=$B13)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(tb_desp[data.pagamento]&gt;=E$3) *
    (tb_desp[data.pagamento]&lt;EOMONTH(E$3,0)+1)
  )
)</f>
        <v>0</v>
      </c>
      <c r="F13" s="181" cm="1">
        <f t="array" ref="F13">IF($A$2&lt;&gt;"Outros",
  -SUMPRODUCT(
    tb_desp[valor] *
    (tb_desp[nucleo]=$B$2) *
    (tb_desp[centro.negocio]=$B13)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(tb_desp[data.pagamento]&gt;=F$3) *
    (tb_desp[data.pagamento]&lt;EOMONTH(F$3,0)+1)
  )
)</f>
        <v>0</v>
      </c>
      <c r="G13" s="181" cm="1">
        <f t="array" ref="G13">IF($A$2&lt;&gt;"Outros",
  -SUMPRODUCT(
    tb_desp[valor] *
    (tb_desp[nucleo]=$B$2) *
    (tb_desp[centro.negocio]=$B13)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(tb_desp[data.pagamento]&gt;=G$3) *
    (tb_desp[data.pagamento]&lt;EOMONTH(G$3,0)+1)
  )
)</f>
        <v>0</v>
      </c>
      <c r="H13" s="181" cm="1">
        <f t="array" ref="H13">IF($A$2&lt;&gt;"Outros",
  -SUMPRODUCT(
    tb_desp[valor] *
    (tb_desp[nucleo]=$B$2) *
    (tb_desp[centro.negocio]=$B13)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(tb_desp[data.pagamento]&gt;=H$3) *
    (tb_desp[data.pagamento]&lt;EOMONTH(H$3,0)+1)
  )
)</f>
        <v>0</v>
      </c>
      <c r="I13" s="181" cm="1">
        <f t="array" ref="I13">IF($A$2&lt;&gt;"Outros",
  -SUMPRODUCT(
    tb_desp[valor] *
    (tb_desp[nucleo]=$B$2) *
    (tb_desp[centro.negocio]=$B13)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(tb_desp[data.pagamento]&gt;=I$3) *
    (tb_desp[data.pagamento]&lt;EOMONTH(I$3,0)+1)
  )
)</f>
        <v>0</v>
      </c>
      <c r="J13" s="181" cm="1">
        <f t="array" ref="J13">IF($A$2&lt;&gt;"Outros",
  -SUMPRODUCT(
    tb_desp[valor] *
    (tb_desp[nucleo]=$B$2) *
    (tb_desp[centro.negocio]=$B13)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(tb_desp[data.pagamento]&gt;=J$3) *
    (tb_desp[data.pagamento]&lt;EOMONTH(J$3,0)+1)
  )
)</f>
        <v>0</v>
      </c>
      <c r="K13" s="181" cm="1">
        <f t="array" ref="K13">IF($A$2&lt;&gt;"Outros",
  -SUMPRODUCT(
    tb_desp[valor] *
    (tb_desp[nucleo]=$B$2) *
    (tb_desp[centro.negocio]=$B13)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(tb_desp[data.pagamento]&gt;=K$3) *
    (tb_desp[data.pagamento]&lt;EOMONTH(K$3,0)+1)
  )
)</f>
        <v>0</v>
      </c>
      <c r="L13" s="181" cm="1">
        <f t="array" ref="L13">IF($A$2&lt;&gt;"Outros",
  -SUMPRODUCT(
    tb_desp[valor] *
    (tb_desp[nucleo]=$B$2) *
    (tb_desp[centro.negocio]=$B13)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(tb_desp[data.pagamento]&gt;=L$3) *
    (tb_desp[data.pagamento]&lt;EOMONTH(L$3,0)+1)
  )
)</f>
        <v>0</v>
      </c>
      <c r="M13" s="181" cm="1">
        <f t="array" ref="M13">IF($A$2&lt;&gt;"Outros",
  -SUMPRODUCT(
    tb_desp[valor] *
    (tb_desp[nucleo]=$B$2) *
    (tb_desp[centro.negocio]=$B13)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(tb_desp[data.pagamento]&gt;=M$3) *
    (tb_desp[data.pagamento]&lt;EOMONTH(M$3,0)+1)
  )
)</f>
        <v>0</v>
      </c>
      <c r="N13" s="181" cm="1">
        <f t="array" ref="N13">IF($A$2&lt;&gt;"Outros",
  -SUMPRODUCT(
    tb_desp[valor] *
    (tb_desp[nucleo]=$B$2) *
    (tb_desp[centro.negocio]=$B13)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(tb_desp[data.pagamento]&gt;=N$3) *
    (tb_desp[data.pagamento]&lt;EOMONTH(N$3,0)+1)
  )
)</f>
        <v>0</v>
      </c>
      <c r="O13" s="181" cm="1">
        <f t="array" ref="O13">IF($A$2&lt;&gt;"Outros",
  -SUMPRODUCT(
    tb_desp[valor] *
    (tb_desp[nucleo]=$B$2) *
    (tb_desp[centro.negocio]=$B13)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(tb_desp[data.pagamento]&gt;=O$3) *
    (tb_desp[data.pagamento]&lt;EOMONTH(O$3,0)+1)
  )
)</f>
        <v>0</v>
      </c>
      <c r="P13" s="181" cm="1">
        <f t="array" ref="P13">IF($A$2&lt;&gt;"Outros",
  -SUMPRODUCT(
    tb_desp[valor] *
    (tb_desp[nucleo]=$B$2) *
    (tb_desp[centro.negocio]=$B13)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(tb_desp[data.pagamento]&gt;=P$3) *
    (tb_desp[data.pagamento]&lt;EOMONTH(P$3,0)+1)
  )
)</f>
        <v>0</v>
      </c>
      <c r="Q13" s="181" cm="1">
        <f t="array" ref="Q13">IF($A$2&lt;&gt;"Outros",
  -SUMPRODUCT(
    tb_desp[valor] *
    (tb_desp[nucleo]=$B$2) *
    (tb_desp[centro.negocio]=$B13)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(tb_desp[data.pagamento]&gt;=Q$3) *
    (tb_desp[data.pagamento]&lt;EOMONTH(Q$3,0)+1)
  )
)</f>
        <v>0</v>
      </c>
      <c r="R13" s="181" cm="1">
        <f t="array" ref="R13">IF($A$2&lt;&gt;"Outros",
  -SUMPRODUCT(
    tb_desp[valor] *
    (tb_desp[nucleo]=$B$2) *
    (tb_desp[centro.negocio]=$B13)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(tb_desp[data.pagamento]&gt;=R$3) *
    (tb_desp[data.pagamento]&lt;EOMONTH(R$3,0)+1)
  )
)</f>
        <v>0</v>
      </c>
      <c r="S13" s="181" cm="1">
        <f t="array" ref="S13">IF($A$2&lt;&gt;"Outros",
  -SUMPRODUCT(
    tb_desp[valor] *
    (tb_desp[nucleo]=$B$2) *
    (tb_desp[centro.negocio]=$B13)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(tb_desp[data.pagamento]&gt;=S$3) *
    (tb_desp[data.pagamento]&lt;EOMONTH(S$3,0)+1)
  )
)</f>
        <v>0</v>
      </c>
      <c r="T13" s="181" cm="1">
        <f t="array" ref="T13">IF($A$2&lt;&gt;"Outros",
  -SUMPRODUCT(
    tb_desp[valor] *
    (tb_desp[nucleo]=$B$2) *
    (tb_desp[centro.negocio]=$B13)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(tb_desp[data.pagamento]&gt;=T$3) *
    (tb_desp[data.pagamento]&lt;EOMONTH(T$3,0)+1)
  )
)</f>
        <v>0</v>
      </c>
      <c r="U13" s="181" cm="1">
        <f t="array" ref="U13">IF($A$2&lt;&gt;"Outros",
  -SUMPRODUCT(
    tb_desp[valor] *
    (tb_desp[nucleo]=$B$2) *
    (tb_desp[centro.negocio]=$B13)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(tb_desp[data.pagamento]&gt;=U$3) *
    (tb_desp[data.pagamento]&lt;EOMONTH(U$3,0)+1)
  )
)</f>
        <v>0</v>
      </c>
      <c r="V13" s="181" cm="1">
        <f t="array" ref="V13">IF($A$2&lt;&gt;"Outros",
  -SUMPRODUCT(
    tb_desp[valor] *
    (tb_desp[nucleo]=$B$2) *
    (tb_desp[centro.negocio]=$B13)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(tb_desp[data.pagamento]&gt;=V$3) *
    (tb_desp[data.pagamento]&lt;EOMONTH(V$3,0)+1)
  )
)</f>
        <v>0</v>
      </c>
      <c r="W13" s="181" cm="1">
        <f t="array" ref="W13">IF($A$2&lt;&gt;"Outros",
  -SUMPRODUCT(
    tb_desp[valor] *
    (tb_desp[nucleo]=$B$2) *
    (tb_desp[centro.negocio]=$B13)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(tb_desp[data.pagamento]&gt;=W$3) *
    (tb_desp[data.pagamento]&lt;EOMONTH(W$3,0)+1)
  )
)</f>
        <v>0</v>
      </c>
      <c r="X13" s="181" cm="1">
        <f t="array" ref="X13">IF($A$2&lt;&gt;"Outros",
  -SUMPRODUCT(
    tb_desp[valor] *
    (tb_desp[nucleo]=$B$2) *
    (tb_desp[centro.negocio]=$B13)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(tb_desp[data.pagamento]&gt;=X$3) *
    (tb_desp[data.pagamento]&lt;EOMONTH(X$3,0)+1)
  )
)</f>
        <v>0</v>
      </c>
      <c r="Y13" s="181" cm="1">
        <f t="array" ref="Y13">IF($A$2&lt;&gt;"Outros",
  -SUMPRODUCT(
    tb_desp[valor] *
    (tb_desp[nucleo]=$B$2) *
    (tb_desp[centro.negocio]=$B13)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(tb_desp[data.pagamento]&gt;=Y$3) *
    (tb_desp[data.pagamento]&lt;EOMONTH(Y$3,0)+1)
  )
)</f>
        <v>0</v>
      </c>
      <c r="Z13" s="181" cm="1">
        <f t="array" ref="Z13">IF($A$2&lt;&gt;"Outros",
  -SUMPRODUCT(
    tb_desp[valor] *
    (tb_desp[nucleo]=$B$2) *
    (tb_desp[centro.negocio]=$B13)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(tb_desp[data.pagamento]&gt;=Z$3) *
    (tb_desp[data.pagamento]&lt;EOMONTH(Z$3,0)+1)
  )
)</f>
        <v>0</v>
      </c>
      <c r="AA13" s="181" cm="1">
        <f t="array" ref="AA13">IF($A$2&lt;&gt;"Outros",
  -SUMPRODUCT(
    tb_desp[valor] *
    (tb_desp[nucleo]=$B$2) *
    (tb_desp[centro.negocio]=$B13)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(tb_desp[centro.negocio]=$B13) *
    (tb_desp[data.pagamento]&gt;=AA$3) *
    (tb_desp[data.pagamento]&lt;EOMONTH(AA$3,0)+1)
  )
)</f>
        <v>0</v>
      </c>
      <c r="AC13" s="275">
        <f>SUM($D13:INDEX($D13:$AA13,1,MATCH(DATE(YEAR(inputs!$A$1),MONTH(inputs!$A$1),1),$D$3:$AA$3,0)))</f>
        <v>0</v>
      </c>
      <c r="AE13" s="275">
        <f>SUM(D13:AA13)</f>
        <v>0</v>
      </c>
    </row>
    <row r="14" spans="1:31" outlineLevel="1" x14ac:dyDescent="0.25">
      <c r="A14" s="179" t="s">
        <v>559</v>
      </c>
      <c r="B14" s="179" t="s">
        <v>373</v>
      </c>
      <c r="C14" s="180" t="s">
        <v>514</v>
      </c>
      <c r="D14" s="181" cm="1">
        <f t="array" ref="D14">IF($A$2&lt;&gt;"Outros",
  -SUMPRODUCT(
    tb_desp[valor] *
    (tb_desp[nucleo]=$B$2) *
    (tb_desp[centro.negocio]=$B14)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(tb_desp[data.pagamento]&gt;=D$3) *
    (tb_desp[data.pagamento]&lt;EOMONTH(D$3,0)+1)
  )
)</f>
        <v>0</v>
      </c>
      <c r="E14" s="181" cm="1">
        <f t="array" ref="E14">IF($A$2&lt;&gt;"Outros",
  -SUMPRODUCT(
    tb_desp[valor] *
    (tb_desp[nucleo]=$B$2) *
    (tb_desp[centro.negocio]=$B14)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(tb_desp[data.pagamento]&gt;=E$3) *
    (tb_desp[data.pagamento]&lt;EOMONTH(E$3,0)+1)
  )
)</f>
        <v>0</v>
      </c>
      <c r="F14" s="181" cm="1">
        <f t="array" ref="F14">IF($A$2&lt;&gt;"Outros",
  -SUMPRODUCT(
    tb_desp[valor] *
    (tb_desp[nucleo]=$B$2) *
    (tb_desp[centro.negocio]=$B14)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(tb_desp[data.pagamento]&gt;=F$3) *
    (tb_desp[data.pagamento]&lt;EOMONTH(F$3,0)+1)
  )
)</f>
        <v>0</v>
      </c>
      <c r="G14" s="181" cm="1">
        <f t="array" ref="G14">IF($A$2&lt;&gt;"Outros",
  -SUMPRODUCT(
    tb_desp[valor] *
    (tb_desp[nucleo]=$B$2) *
    (tb_desp[centro.negocio]=$B14)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(tb_desp[data.pagamento]&gt;=G$3) *
    (tb_desp[data.pagamento]&lt;EOMONTH(G$3,0)+1)
  )
)</f>
        <v>0</v>
      </c>
      <c r="H14" s="181" cm="1">
        <f t="array" ref="H14">IF($A$2&lt;&gt;"Outros",
  -SUMPRODUCT(
    tb_desp[valor] *
    (tb_desp[nucleo]=$B$2) *
    (tb_desp[centro.negocio]=$B14)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(tb_desp[data.pagamento]&gt;=H$3) *
    (tb_desp[data.pagamento]&lt;EOMONTH(H$3,0)+1)
  )
)</f>
        <v>0</v>
      </c>
      <c r="I14" s="181" cm="1">
        <f t="array" ref="I14">IF($A$2&lt;&gt;"Outros",
  -SUMPRODUCT(
    tb_desp[valor] *
    (tb_desp[nucleo]=$B$2) *
    (tb_desp[centro.negocio]=$B14)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(tb_desp[data.pagamento]&gt;=I$3) *
    (tb_desp[data.pagamento]&lt;EOMONTH(I$3,0)+1)
  )
)</f>
        <v>0</v>
      </c>
      <c r="J14" s="181" cm="1">
        <f t="array" ref="J14">IF($A$2&lt;&gt;"Outros",
  -SUMPRODUCT(
    tb_desp[valor] *
    (tb_desp[nucleo]=$B$2) *
    (tb_desp[centro.negocio]=$B14)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(tb_desp[data.pagamento]&gt;=J$3) *
    (tb_desp[data.pagamento]&lt;EOMONTH(J$3,0)+1)
  )
)</f>
        <v>0</v>
      </c>
      <c r="K14" s="181" cm="1">
        <f t="array" ref="K14">IF($A$2&lt;&gt;"Outros",
  -SUMPRODUCT(
    tb_desp[valor] *
    (tb_desp[nucleo]=$B$2) *
    (tb_desp[centro.negocio]=$B14)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(tb_desp[data.pagamento]&gt;=K$3) *
    (tb_desp[data.pagamento]&lt;EOMONTH(K$3,0)+1)
  )
)</f>
        <v>0</v>
      </c>
      <c r="L14" s="181" cm="1">
        <f t="array" ref="L14">IF($A$2&lt;&gt;"Outros",
  -SUMPRODUCT(
    tb_desp[valor] *
    (tb_desp[nucleo]=$B$2) *
    (tb_desp[centro.negocio]=$B14)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(tb_desp[data.pagamento]&gt;=L$3) *
    (tb_desp[data.pagamento]&lt;EOMONTH(L$3,0)+1)
  )
)</f>
        <v>0</v>
      </c>
      <c r="M14" s="181" cm="1">
        <f t="array" ref="M14">IF($A$2&lt;&gt;"Outros",
  -SUMPRODUCT(
    tb_desp[valor] *
    (tb_desp[nucleo]=$B$2) *
    (tb_desp[centro.negocio]=$B14)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(tb_desp[data.pagamento]&gt;=M$3) *
    (tb_desp[data.pagamento]&lt;EOMONTH(M$3,0)+1)
  )
)</f>
        <v>0</v>
      </c>
      <c r="N14" s="181" cm="1">
        <f t="array" ref="N14">IF($A$2&lt;&gt;"Outros",
  -SUMPRODUCT(
    tb_desp[valor] *
    (tb_desp[nucleo]=$B$2) *
    (tb_desp[centro.negocio]=$B14)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(tb_desp[data.pagamento]&gt;=N$3) *
    (tb_desp[data.pagamento]&lt;EOMONTH(N$3,0)+1)
  )
)</f>
        <v>0</v>
      </c>
      <c r="O14" s="181" cm="1">
        <f t="array" ref="O14">IF($A$2&lt;&gt;"Outros",
  -SUMPRODUCT(
    tb_desp[valor] *
    (tb_desp[nucleo]=$B$2) *
    (tb_desp[centro.negocio]=$B14)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(tb_desp[data.pagamento]&gt;=O$3) *
    (tb_desp[data.pagamento]&lt;EOMONTH(O$3,0)+1)
  )
)</f>
        <v>0</v>
      </c>
      <c r="P14" s="181" cm="1">
        <f t="array" ref="P14">IF($A$2&lt;&gt;"Outros",
  -SUMPRODUCT(
    tb_desp[valor] *
    (tb_desp[nucleo]=$B$2) *
    (tb_desp[centro.negocio]=$B14)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(tb_desp[data.pagamento]&gt;=P$3) *
    (tb_desp[data.pagamento]&lt;EOMONTH(P$3,0)+1)
  )
)</f>
        <v>0</v>
      </c>
      <c r="Q14" s="181" cm="1">
        <f t="array" ref="Q14">IF($A$2&lt;&gt;"Outros",
  -SUMPRODUCT(
    tb_desp[valor] *
    (tb_desp[nucleo]=$B$2) *
    (tb_desp[centro.negocio]=$B14)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(tb_desp[data.pagamento]&gt;=Q$3) *
    (tb_desp[data.pagamento]&lt;EOMONTH(Q$3,0)+1)
  )
)</f>
        <v>0</v>
      </c>
      <c r="R14" s="181" cm="1">
        <f t="array" ref="R14">IF($A$2&lt;&gt;"Outros",
  -SUMPRODUCT(
    tb_desp[valor] *
    (tb_desp[nucleo]=$B$2) *
    (tb_desp[centro.negocio]=$B14)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(tb_desp[data.pagamento]&gt;=R$3) *
    (tb_desp[data.pagamento]&lt;EOMONTH(R$3,0)+1)
  )
)</f>
        <v>0</v>
      </c>
      <c r="S14" s="181" cm="1">
        <f t="array" ref="S14">IF($A$2&lt;&gt;"Outros",
  -SUMPRODUCT(
    tb_desp[valor] *
    (tb_desp[nucleo]=$B$2) *
    (tb_desp[centro.negocio]=$B14)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(tb_desp[data.pagamento]&gt;=S$3) *
    (tb_desp[data.pagamento]&lt;EOMONTH(S$3,0)+1)
  )
)</f>
        <v>0</v>
      </c>
      <c r="T14" s="181" cm="1">
        <f t="array" ref="T14">IF($A$2&lt;&gt;"Outros",
  -SUMPRODUCT(
    tb_desp[valor] *
    (tb_desp[nucleo]=$B$2) *
    (tb_desp[centro.negocio]=$B14)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(tb_desp[data.pagamento]&gt;=T$3) *
    (tb_desp[data.pagamento]&lt;EOMONTH(T$3,0)+1)
  )
)</f>
        <v>0</v>
      </c>
      <c r="U14" s="181" cm="1">
        <f t="array" ref="U14">IF($A$2&lt;&gt;"Outros",
  -SUMPRODUCT(
    tb_desp[valor] *
    (tb_desp[nucleo]=$B$2) *
    (tb_desp[centro.negocio]=$B14)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(tb_desp[data.pagamento]&gt;=U$3) *
    (tb_desp[data.pagamento]&lt;EOMONTH(U$3,0)+1)
  )
)</f>
        <v>0</v>
      </c>
      <c r="V14" s="181" cm="1">
        <f t="array" ref="V14">IF($A$2&lt;&gt;"Outros",
  -SUMPRODUCT(
    tb_desp[valor] *
    (tb_desp[nucleo]=$B$2) *
    (tb_desp[centro.negocio]=$B14)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(tb_desp[data.pagamento]&gt;=V$3) *
    (tb_desp[data.pagamento]&lt;EOMONTH(V$3,0)+1)
  )
)</f>
        <v>0</v>
      </c>
      <c r="W14" s="181" cm="1">
        <f t="array" ref="W14">IF($A$2&lt;&gt;"Outros",
  -SUMPRODUCT(
    tb_desp[valor] *
    (tb_desp[nucleo]=$B$2) *
    (tb_desp[centro.negocio]=$B14)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(tb_desp[data.pagamento]&gt;=W$3) *
    (tb_desp[data.pagamento]&lt;EOMONTH(W$3,0)+1)
  )
)</f>
        <v>0</v>
      </c>
      <c r="X14" s="181" cm="1">
        <f t="array" ref="X14">IF($A$2&lt;&gt;"Outros",
  -SUMPRODUCT(
    tb_desp[valor] *
    (tb_desp[nucleo]=$B$2) *
    (tb_desp[centro.negocio]=$B14)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(tb_desp[data.pagamento]&gt;=X$3) *
    (tb_desp[data.pagamento]&lt;EOMONTH(X$3,0)+1)
  )
)</f>
        <v>0</v>
      </c>
      <c r="Y14" s="181" cm="1">
        <f t="array" ref="Y14">IF($A$2&lt;&gt;"Outros",
  -SUMPRODUCT(
    tb_desp[valor] *
    (tb_desp[nucleo]=$B$2) *
    (tb_desp[centro.negocio]=$B14)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(tb_desp[data.pagamento]&gt;=Y$3) *
    (tb_desp[data.pagamento]&lt;EOMONTH(Y$3,0)+1)
  )
)</f>
        <v>0</v>
      </c>
      <c r="Z14" s="181" cm="1">
        <f t="array" ref="Z14">IF($A$2&lt;&gt;"Outros",
  -SUMPRODUCT(
    tb_desp[valor] *
    (tb_desp[nucleo]=$B$2) *
    (tb_desp[centro.negocio]=$B14)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(tb_desp[data.pagamento]&gt;=Z$3) *
    (tb_desp[data.pagamento]&lt;EOMONTH(Z$3,0)+1)
  )
)</f>
        <v>0</v>
      </c>
      <c r="AA14" s="181" cm="1">
        <f t="array" ref="AA14">IF($A$2&lt;&gt;"Outros",
  -SUMPRODUCT(
    tb_desp[valor] *
    (tb_desp[nucleo]=$B$2) *
    (tb_desp[centro.negocio]=$B14)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(tb_desp[centro.negocio]=$B14) *
    (tb_desp[data.pagamento]&gt;=AA$3) *
    (tb_desp[data.pagamento]&lt;EOMONTH(AA$3,0)+1)
  )
)</f>
        <v>0</v>
      </c>
      <c r="AC14" s="275">
        <f>SUM($D14:INDEX($D14:$AA14,1,MATCH(DATE(YEAR(inputs!$A$1),MONTH(inputs!$A$1),1),$D$3:$AA$3,0)))</f>
        <v>0</v>
      </c>
      <c r="AE14" s="275">
        <f t="shared" si="4"/>
        <v>0</v>
      </c>
    </row>
    <row r="15" spans="1:31" outlineLevel="1" x14ac:dyDescent="0.25">
      <c r="A15" s="179" t="s">
        <v>560</v>
      </c>
      <c r="B15" s="179" t="s">
        <v>374</v>
      </c>
      <c r="C15" s="180" t="s">
        <v>514</v>
      </c>
      <c r="D15" s="181" cm="1">
        <f t="array" ref="D15">IF($A$2&lt;&gt;"Outros",
  -SUMPRODUCT(
    tb_desp[valor] *
    (tb_desp[nucleo]=$B$2) *
    (tb_desp[centro.negocio]=$B15)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(tb_desp[data.pagamento]&gt;=D$3) *
    (tb_desp[data.pagamento]&lt;EOMONTH(D$3,0)+1)
  )
)</f>
        <v>0</v>
      </c>
      <c r="E15" s="181" cm="1">
        <f t="array" ref="E15">IF($A$2&lt;&gt;"Outros",
  -SUMPRODUCT(
    tb_desp[valor] *
    (tb_desp[nucleo]=$B$2) *
    (tb_desp[centro.negocio]=$B15)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(tb_desp[data.pagamento]&gt;=E$3) *
    (tb_desp[data.pagamento]&lt;EOMONTH(E$3,0)+1)
  )
)</f>
        <v>0</v>
      </c>
      <c r="F15" s="181" cm="1">
        <f t="array" ref="F15">IF($A$2&lt;&gt;"Outros",
  -SUMPRODUCT(
    tb_desp[valor] *
    (tb_desp[nucleo]=$B$2) *
    (tb_desp[centro.negocio]=$B15)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(tb_desp[data.pagamento]&gt;=F$3) *
    (tb_desp[data.pagamento]&lt;EOMONTH(F$3,0)+1)
  )
)</f>
        <v>0</v>
      </c>
      <c r="G15" s="181" cm="1">
        <f t="array" ref="G15">IF($A$2&lt;&gt;"Outros",
  -SUMPRODUCT(
    tb_desp[valor] *
    (tb_desp[nucleo]=$B$2) *
    (tb_desp[centro.negocio]=$B15)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(tb_desp[data.pagamento]&gt;=G$3) *
    (tb_desp[data.pagamento]&lt;EOMONTH(G$3,0)+1)
  )
)</f>
        <v>0</v>
      </c>
      <c r="H15" s="181" cm="1">
        <f t="array" ref="H15">IF($A$2&lt;&gt;"Outros",
  -SUMPRODUCT(
    tb_desp[valor] *
    (tb_desp[nucleo]=$B$2) *
    (tb_desp[centro.negocio]=$B15)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(tb_desp[data.pagamento]&gt;=H$3) *
    (tb_desp[data.pagamento]&lt;EOMONTH(H$3,0)+1)
  )
)</f>
        <v>0</v>
      </c>
      <c r="I15" s="181" cm="1">
        <f t="array" ref="I15">IF($A$2&lt;&gt;"Outros",
  -SUMPRODUCT(
    tb_desp[valor] *
    (tb_desp[nucleo]=$B$2) *
    (tb_desp[centro.negocio]=$B15)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(tb_desp[data.pagamento]&gt;=I$3) *
    (tb_desp[data.pagamento]&lt;EOMONTH(I$3,0)+1)
  )
)</f>
        <v>0</v>
      </c>
      <c r="J15" s="181" cm="1">
        <f t="array" ref="J15">IF($A$2&lt;&gt;"Outros",
  -SUMPRODUCT(
    tb_desp[valor] *
    (tb_desp[nucleo]=$B$2) *
    (tb_desp[centro.negocio]=$B15)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(tb_desp[data.pagamento]&gt;=J$3) *
    (tb_desp[data.pagamento]&lt;EOMONTH(J$3,0)+1)
  )
)</f>
        <v>0</v>
      </c>
      <c r="K15" s="181" cm="1">
        <f t="array" ref="K15">IF($A$2&lt;&gt;"Outros",
  -SUMPRODUCT(
    tb_desp[valor] *
    (tb_desp[nucleo]=$B$2) *
    (tb_desp[centro.negocio]=$B15)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(tb_desp[data.pagamento]&gt;=K$3) *
    (tb_desp[data.pagamento]&lt;EOMONTH(K$3,0)+1)
  )
)</f>
        <v>0</v>
      </c>
      <c r="L15" s="181" cm="1">
        <f t="array" ref="L15">IF($A$2&lt;&gt;"Outros",
  -SUMPRODUCT(
    tb_desp[valor] *
    (tb_desp[nucleo]=$B$2) *
    (tb_desp[centro.negocio]=$B15)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(tb_desp[data.pagamento]&gt;=L$3) *
    (tb_desp[data.pagamento]&lt;EOMONTH(L$3,0)+1)
  )
)</f>
        <v>0</v>
      </c>
      <c r="M15" s="181" cm="1">
        <f t="array" ref="M15">IF($A$2&lt;&gt;"Outros",
  -SUMPRODUCT(
    tb_desp[valor] *
    (tb_desp[nucleo]=$B$2) *
    (tb_desp[centro.negocio]=$B15)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(tb_desp[data.pagamento]&gt;=M$3) *
    (tb_desp[data.pagamento]&lt;EOMONTH(M$3,0)+1)
  )
)</f>
        <v>0</v>
      </c>
      <c r="N15" s="181" cm="1">
        <f t="array" ref="N15">IF($A$2&lt;&gt;"Outros",
  -SUMPRODUCT(
    tb_desp[valor] *
    (tb_desp[nucleo]=$B$2) *
    (tb_desp[centro.negocio]=$B15)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(tb_desp[data.pagamento]&gt;=N$3) *
    (tb_desp[data.pagamento]&lt;EOMONTH(N$3,0)+1)
  )
)</f>
        <v>0</v>
      </c>
      <c r="O15" s="181" cm="1">
        <f t="array" ref="O15">IF($A$2&lt;&gt;"Outros",
  -SUMPRODUCT(
    tb_desp[valor] *
    (tb_desp[nucleo]=$B$2) *
    (tb_desp[centro.negocio]=$B15)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(tb_desp[data.pagamento]&gt;=O$3) *
    (tb_desp[data.pagamento]&lt;EOMONTH(O$3,0)+1)
  )
)</f>
        <v>0</v>
      </c>
      <c r="P15" s="181" cm="1">
        <f t="array" ref="P15">IF($A$2&lt;&gt;"Outros",
  -SUMPRODUCT(
    tb_desp[valor] *
    (tb_desp[nucleo]=$B$2) *
    (tb_desp[centro.negocio]=$B15)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(tb_desp[data.pagamento]&gt;=P$3) *
    (tb_desp[data.pagamento]&lt;EOMONTH(P$3,0)+1)
  )
)</f>
        <v>0</v>
      </c>
      <c r="Q15" s="181" cm="1">
        <f t="array" ref="Q15">IF($A$2&lt;&gt;"Outros",
  -SUMPRODUCT(
    tb_desp[valor] *
    (tb_desp[nucleo]=$B$2) *
    (tb_desp[centro.negocio]=$B15)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(tb_desp[data.pagamento]&gt;=Q$3) *
    (tb_desp[data.pagamento]&lt;EOMONTH(Q$3,0)+1)
  )
)</f>
        <v>0</v>
      </c>
      <c r="R15" s="181" cm="1">
        <f t="array" ref="R15">IF($A$2&lt;&gt;"Outros",
  -SUMPRODUCT(
    tb_desp[valor] *
    (tb_desp[nucleo]=$B$2) *
    (tb_desp[centro.negocio]=$B15)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(tb_desp[data.pagamento]&gt;=R$3) *
    (tb_desp[data.pagamento]&lt;EOMONTH(R$3,0)+1)
  )
)</f>
        <v>0</v>
      </c>
      <c r="S15" s="181" cm="1">
        <f t="array" ref="S15">IF($A$2&lt;&gt;"Outros",
  -SUMPRODUCT(
    tb_desp[valor] *
    (tb_desp[nucleo]=$B$2) *
    (tb_desp[centro.negocio]=$B15)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(tb_desp[data.pagamento]&gt;=S$3) *
    (tb_desp[data.pagamento]&lt;EOMONTH(S$3,0)+1)
  )
)</f>
        <v>0</v>
      </c>
      <c r="T15" s="181" cm="1">
        <f t="array" ref="T15">IF($A$2&lt;&gt;"Outros",
  -SUMPRODUCT(
    tb_desp[valor] *
    (tb_desp[nucleo]=$B$2) *
    (tb_desp[centro.negocio]=$B15)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(tb_desp[data.pagamento]&gt;=T$3) *
    (tb_desp[data.pagamento]&lt;EOMONTH(T$3,0)+1)
  )
)</f>
        <v>0</v>
      </c>
      <c r="U15" s="181" cm="1">
        <f t="array" ref="U15">IF($A$2&lt;&gt;"Outros",
  -SUMPRODUCT(
    tb_desp[valor] *
    (tb_desp[nucleo]=$B$2) *
    (tb_desp[centro.negocio]=$B15)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(tb_desp[data.pagamento]&gt;=U$3) *
    (tb_desp[data.pagamento]&lt;EOMONTH(U$3,0)+1)
  )
)</f>
        <v>0</v>
      </c>
      <c r="V15" s="181" cm="1">
        <f t="array" ref="V15">IF($A$2&lt;&gt;"Outros",
  -SUMPRODUCT(
    tb_desp[valor] *
    (tb_desp[nucleo]=$B$2) *
    (tb_desp[centro.negocio]=$B15)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(tb_desp[data.pagamento]&gt;=V$3) *
    (tb_desp[data.pagamento]&lt;EOMONTH(V$3,0)+1)
  )
)</f>
        <v>0</v>
      </c>
      <c r="W15" s="181" cm="1">
        <f t="array" ref="W15">IF($A$2&lt;&gt;"Outros",
  -SUMPRODUCT(
    tb_desp[valor] *
    (tb_desp[nucleo]=$B$2) *
    (tb_desp[centro.negocio]=$B15)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(tb_desp[data.pagamento]&gt;=W$3) *
    (tb_desp[data.pagamento]&lt;EOMONTH(W$3,0)+1)
  )
)</f>
        <v>0</v>
      </c>
      <c r="X15" s="181" cm="1">
        <f t="array" ref="X15">IF($A$2&lt;&gt;"Outros",
  -SUMPRODUCT(
    tb_desp[valor] *
    (tb_desp[nucleo]=$B$2) *
    (tb_desp[centro.negocio]=$B15)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(tb_desp[data.pagamento]&gt;=X$3) *
    (tb_desp[data.pagamento]&lt;EOMONTH(X$3,0)+1)
  )
)</f>
        <v>0</v>
      </c>
      <c r="Y15" s="181" cm="1">
        <f t="array" ref="Y15">IF($A$2&lt;&gt;"Outros",
  -SUMPRODUCT(
    tb_desp[valor] *
    (tb_desp[nucleo]=$B$2) *
    (tb_desp[centro.negocio]=$B15)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(tb_desp[data.pagamento]&gt;=Y$3) *
    (tb_desp[data.pagamento]&lt;EOMONTH(Y$3,0)+1)
  )
)</f>
        <v>0</v>
      </c>
      <c r="Z15" s="181" cm="1">
        <f t="array" ref="Z15">IF($A$2&lt;&gt;"Outros",
  -SUMPRODUCT(
    tb_desp[valor] *
    (tb_desp[nucleo]=$B$2) *
    (tb_desp[centro.negocio]=$B15)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(tb_desp[data.pagamento]&gt;=Z$3) *
    (tb_desp[data.pagamento]&lt;EOMONTH(Z$3,0)+1)
  )
)</f>
        <v>0</v>
      </c>
      <c r="AA15" s="181" cm="1">
        <f t="array" ref="AA15">IF($A$2&lt;&gt;"Outros",
  -SUMPRODUCT(
    tb_desp[valor] *
    (tb_desp[nucleo]=$B$2) *
    (tb_desp[centro.negocio]=$B15)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(tb_desp[centro.negocio]=$B15) *
    (tb_desp[data.pagamento]&gt;=AA$3) *
    (tb_desp[data.pagamento]&lt;EOMONTH(AA$3,0)+1)
  )
)</f>
        <v>0</v>
      </c>
      <c r="AC15" s="275">
        <f>SUM($D15:INDEX($D15:$AA15,1,MATCH(DATE(YEAR(inputs!$A$1),MONTH(inputs!$A$1),1),$D$3:$AA$3,0)))</f>
        <v>0</v>
      </c>
      <c r="AE15" s="275">
        <f t="shared" si="4"/>
        <v>0</v>
      </c>
    </row>
    <row r="16" spans="1:31" outlineLevel="1" x14ac:dyDescent="0.25">
      <c r="A16" s="179" t="s">
        <v>563</v>
      </c>
      <c r="B16" s="179" t="s">
        <v>337</v>
      </c>
      <c r="C16" s="180" t="s">
        <v>514</v>
      </c>
      <c r="D16" s="181" cm="1">
        <f t="array" ref="D16">IF($A$2&lt;&gt;"Outros",
  -SUMPRODUCT(
    tb_desp[valor] *
    (tb_desp[nucleo]=$B$2) *
    (tb_desp[centro.negocio]=$B16)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(tb_desp[data.pagamento]&gt;=D$3) *
    (tb_desp[data.pagamento]&lt;EOMONTH(D$3,0)+1)
  )
)</f>
        <v>0</v>
      </c>
      <c r="E16" s="181" cm="1">
        <f t="array" ref="E16">IF($A$2&lt;&gt;"Outros",
  -SUMPRODUCT(
    tb_desp[valor] *
    (tb_desp[nucleo]=$B$2) *
    (tb_desp[centro.negocio]=$B16)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(tb_desp[data.pagamento]&gt;=E$3) *
    (tb_desp[data.pagamento]&lt;EOMONTH(E$3,0)+1)
  )
)</f>
        <v>0</v>
      </c>
      <c r="F16" s="181" cm="1">
        <f t="array" ref="F16">IF($A$2&lt;&gt;"Outros",
  -SUMPRODUCT(
    tb_desp[valor] *
    (tb_desp[nucleo]=$B$2) *
    (tb_desp[centro.negocio]=$B16)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(tb_desp[data.pagamento]&gt;=F$3) *
    (tb_desp[data.pagamento]&lt;EOMONTH(F$3,0)+1)
  )
)</f>
        <v>0</v>
      </c>
      <c r="G16" s="181" cm="1">
        <f t="array" ref="G16">IF($A$2&lt;&gt;"Outros",
  -SUMPRODUCT(
    tb_desp[valor] *
    (tb_desp[nucleo]=$B$2) *
    (tb_desp[centro.negocio]=$B16)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(tb_desp[data.pagamento]&gt;=G$3) *
    (tb_desp[data.pagamento]&lt;EOMONTH(G$3,0)+1)
  )
)</f>
        <v>0</v>
      </c>
      <c r="H16" s="181" cm="1">
        <f t="array" ref="H16">IF($A$2&lt;&gt;"Outros",
  -SUMPRODUCT(
    tb_desp[valor] *
    (tb_desp[nucleo]=$B$2) *
    (tb_desp[centro.negocio]=$B16)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(tb_desp[data.pagamento]&gt;=H$3) *
    (tb_desp[data.pagamento]&lt;EOMONTH(H$3,0)+1)
  )
)</f>
        <v>0</v>
      </c>
      <c r="I16" s="181" cm="1">
        <f t="array" ref="I16">IF($A$2&lt;&gt;"Outros",
  -SUMPRODUCT(
    tb_desp[valor] *
    (tb_desp[nucleo]=$B$2) *
    (tb_desp[centro.negocio]=$B16)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(tb_desp[data.pagamento]&gt;=I$3) *
    (tb_desp[data.pagamento]&lt;EOMONTH(I$3,0)+1)
  )
)</f>
        <v>0</v>
      </c>
      <c r="J16" s="181" cm="1">
        <f t="array" ref="J16">IF($A$2&lt;&gt;"Outros",
  -SUMPRODUCT(
    tb_desp[valor] *
    (tb_desp[nucleo]=$B$2) *
    (tb_desp[centro.negocio]=$B16)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(tb_desp[data.pagamento]&gt;=J$3) *
    (tb_desp[data.pagamento]&lt;EOMONTH(J$3,0)+1)
  )
)</f>
        <v>0</v>
      </c>
      <c r="K16" s="181" cm="1">
        <f t="array" ref="K16">IF($A$2&lt;&gt;"Outros",
  -SUMPRODUCT(
    tb_desp[valor] *
    (tb_desp[nucleo]=$B$2) *
    (tb_desp[centro.negocio]=$B16)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(tb_desp[data.pagamento]&gt;=K$3) *
    (tb_desp[data.pagamento]&lt;EOMONTH(K$3,0)+1)
  )
)</f>
        <v>0</v>
      </c>
      <c r="L16" s="181" cm="1">
        <f t="array" ref="L16">IF($A$2&lt;&gt;"Outros",
  -SUMPRODUCT(
    tb_desp[valor] *
    (tb_desp[nucleo]=$B$2) *
    (tb_desp[centro.negocio]=$B16)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(tb_desp[data.pagamento]&gt;=L$3) *
    (tb_desp[data.pagamento]&lt;EOMONTH(L$3,0)+1)
  )
)</f>
        <v>0</v>
      </c>
      <c r="M16" s="181" cm="1">
        <f t="array" ref="M16">IF($A$2&lt;&gt;"Outros",
  -SUMPRODUCT(
    tb_desp[valor] *
    (tb_desp[nucleo]=$B$2) *
    (tb_desp[centro.negocio]=$B16)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(tb_desp[data.pagamento]&gt;=M$3) *
    (tb_desp[data.pagamento]&lt;EOMONTH(M$3,0)+1)
  )
)</f>
        <v>0</v>
      </c>
      <c r="N16" s="181" cm="1">
        <f t="array" ref="N16">IF($A$2&lt;&gt;"Outros",
  -SUMPRODUCT(
    tb_desp[valor] *
    (tb_desp[nucleo]=$B$2) *
    (tb_desp[centro.negocio]=$B16)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(tb_desp[data.pagamento]&gt;=N$3) *
    (tb_desp[data.pagamento]&lt;EOMONTH(N$3,0)+1)
  )
)</f>
        <v>0</v>
      </c>
      <c r="O16" s="181" cm="1">
        <f t="array" ref="O16">IF($A$2&lt;&gt;"Outros",
  -SUMPRODUCT(
    tb_desp[valor] *
    (tb_desp[nucleo]=$B$2) *
    (tb_desp[centro.negocio]=$B16)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(tb_desp[data.pagamento]&gt;=O$3) *
    (tb_desp[data.pagamento]&lt;EOMONTH(O$3,0)+1)
  )
)</f>
        <v>0</v>
      </c>
      <c r="P16" s="181" cm="1">
        <f t="array" ref="P16">IF($A$2&lt;&gt;"Outros",
  -SUMPRODUCT(
    tb_desp[valor] *
    (tb_desp[nucleo]=$B$2) *
    (tb_desp[centro.negocio]=$B16)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(tb_desp[data.pagamento]&gt;=P$3) *
    (tb_desp[data.pagamento]&lt;EOMONTH(P$3,0)+1)
  )
)</f>
        <v>0</v>
      </c>
      <c r="Q16" s="181" cm="1">
        <f t="array" ref="Q16">IF($A$2&lt;&gt;"Outros",
  -SUMPRODUCT(
    tb_desp[valor] *
    (tb_desp[nucleo]=$B$2) *
    (tb_desp[centro.negocio]=$B16)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(tb_desp[data.pagamento]&gt;=Q$3) *
    (tb_desp[data.pagamento]&lt;EOMONTH(Q$3,0)+1)
  )
)</f>
        <v>0</v>
      </c>
      <c r="R16" s="181" cm="1">
        <f t="array" ref="R16">IF($A$2&lt;&gt;"Outros",
  -SUMPRODUCT(
    tb_desp[valor] *
    (tb_desp[nucleo]=$B$2) *
    (tb_desp[centro.negocio]=$B16)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(tb_desp[data.pagamento]&gt;=R$3) *
    (tb_desp[data.pagamento]&lt;EOMONTH(R$3,0)+1)
  )
)</f>
        <v>0</v>
      </c>
      <c r="S16" s="181" cm="1">
        <f t="array" ref="S16">IF($A$2&lt;&gt;"Outros",
  -SUMPRODUCT(
    tb_desp[valor] *
    (tb_desp[nucleo]=$B$2) *
    (tb_desp[centro.negocio]=$B16)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(tb_desp[data.pagamento]&gt;=S$3) *
    (tb_desp[data.pagamento]&lt;EOMONTH(S$3,0)+1)
  )
)</f>
        <v>0</v>
      </c>
      <c r="T16" s="181" cm="1">
        <f t="array" ref="T16">IF($A$2&lt;&gt;"Outros",
  -SUMPRODUCT(
    tb_desp[valor] *
    (tb_desp[nucleo]=$B$2) *
    (tb_desp[centro.negocio]=$B16)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(tb_desp[data.pagamento]&gt;=T$3) *
    (tb_desp[data.pagamento]&lt;EOMONTH(T$3,0)+1)
  )
)</f>
        <v>0</v>
      </c>
      <c r="U16" s="181" cm="1">
        <f t="array" ref="U16">IF($A$2&lt;&gt;"Outros",
  -SUMPRODUCT(
    tb_desp[valor] *
    (tb_desp[nucleo]=$B$2) *
    (tb_desp[centro.negocio]=$B16)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(tb_desp[data.pagamento]&gt;=U$3) *
    (tb_desp[data.pagamento]&lt;EOMONTH(U$3,0)+1)
  )
)</f>
        <v>0</v>
      </c>
      <c r="V16" s="181" cm="1">
        <f t="array" ref="V16">IF($A$2&lt;&gt;"Outros",
  -SUMPRODUCT(
    tb_desp[valor] *
    (tb_desp[nucleo]=$B$2) *
    (tb_desp[centro.negocio]=$B16)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(tb_desp[data.pagamento]&gt;=V$3) *
    (tb_desp[data.pagamento]&lt;EOMONTH(V$3,0)+1)
  )
)</f>
        <v>0</v>
      </c>
      <c r="W16" s="181" cm="1">
        <f t="array" ref="W16">IF($A$2&lt;&gt;"Outros",
  -SUMPRODUCT(
    tb_desp[valor] *
    (tb_desp[nucleo]=$B$2) *
    (tb_desp[centro.negocio]=$B16)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(tb_desp[data.pagamento]&gt;=W$3) *
    (tb_desp[data.pagamento]&lt;EOMONTH(W$3,0)+1)
  )
)</f>
        <v>0</v>
      </c>
      <c r="X16" s="181" cm="1">
        <f t="array" ref="X16">IF($A$2&lt;&gt;"Outros",
  -SUMPRODUCT(
    tb_desp[valor] *
    (tb_desp[nucleo]=$B$2) *
    (tb_desp[centro.negocio]=$B16)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(tb_desp[data.pagamento]&gt;=X$3) *
    (tb_desp[data.pagamento]&lt;EOMONTH(X$3,0)+1)
  )
)</f>
        <v>0</v>
      </c>
      <c r="Y16" s="181" cm="1">
        <f t="array" ref="Y16">IF($A$2&lt;&gt;"Outros",
  -SUMPRODUCT(
    tb_desp[valor] *
    (tb_desp[nucleo]=$B$2) *
    (tb_desp[centro.negocio]=$B16)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(tb_desp[data.pagamento]&gt;=Y$3) *
    (tb_desp[data.pagamento]&lt;EOMONTH(Y$3,0)+1)
  )
)</f>
        <v>0</v>
      </c>
      <c r="Z16" s="181" cm="1">
        <f t="array" ref="Z16">IF($A$2&lt;&gt;"Outros",
  -SUMPRODUCT(
    tb_desp[valor] *
    (tb_desp[nucleo]=$B$2) *
    (tb_desp[centro.negocio]=$B16)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(tb_desp[data.pagamento]&gt;=Z$3) *
    (tb_desp[data.pagamento]&lt;EOMONTH(Z$3,0)+1)
  )
)</f>
        <v>0</v>
      </c>
      <c r="AA16" s="181" cm="1">
        <f t="array" ref="AA16">IF($A$2&lt;&gt;"Outros",
  -SUMPRODUCT(
    tb_desp[valor] *
    (tb_desp[nucleo]=$B$2) *
    (tb_desp[centro.negocio]=$B16)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(tb_desp[centro.negocio]=$B16) *
    (tb_desp[data.pagamento]&gt;=AA$3) *
    (tb_desp[data.pagamento]&lt;EOMONTH(AA$3,0)+1)
  )
)</f>
        <v>0</v>
      </c>
      <c r="AC16" s="275">
        <f>SUM($D16:INDEX($D16:$AA16,1,MATCH(DATE(YEAR(inputs!$A$1),MONTH(inputs!$A$1),1),$D$3:$AA$3,0)))</f>
        <v>0</v>
      </c>
      <c r="AE16" s="275">
        <f t="shared" si="4"/>
        <v>0</v>
      </c>
    </row>
    <row r="17" spans="1:31" outlineLevel="1" x14ac:dyDescent="0.25">
      <c r="A17" s="179" t="s">
        <v>564</v>
      </c>
      <c r="B17" s="179" t="s">
        <v>383</v>
      </c>
      <c r="C17" s="180" t="s">
        <v>514</v>
      </c>
      <c r="D17" s="181" cm="1">
        <f t="array" ref="D17">IF($A$2&lt;&gt;"Outros",
  -SUMPRODUCT(
    tb_desp[valor] *
    (tb_desp[nucleo]=$B$2) *
    (tb_desp[centro.negocio]=$B17)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(tb_desp[data.pagamento]&gt;=D$3) *
    (tb_desp[data.pagamento]&lt;EOMONTH(D$3,0)+1)
  )
)</f>
        <v>0</v>
      </c>
      <c r="E17" s="181" cm="1">
        <f t="array" ref="E17">IF($A$2&lt;&gt;"Outros",
  -SUMPRODUCT(
    tb_desp[valor] *
    (tb_desp[nucleo]=$B$2) *
    (tb_desp[centro.negocio]=$B17)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(tb_desp[data.pagamento]&gt;=E$3) *
    (tb_desp[data.pagamento]&lt;EOMONTH(E$3,0)+1)
  )
)</f>
        <v>0</v>
      </c>
      <c r="F17" s="181" cm="1">
        <f t="array" ref="F17">IF($A$2&lt;&gt;"Outros",
  -SUMPRODUCT(
    tb_desp[valor] *
    (tb_desp[nucleo]=$B$2) *
    (tb_desp[centro.negocio]=$B17)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(tb_desp[data.pagamento]&gt;=F$3) *
    (tb_desp[data.pagamento]&lt;EOMONTH(F$3,0)+1)
  )
)</f>
        <v>0</v>
      </c>
      <c r="G17" s="181" cm="1">
        <f t="array" ref="G17">IF($A$2&lt;&gt;"Outros",
  -SUMPRODUCT(
    tb_desp[valor] *
    (tb_desp[nucleo]=$B$2) *
    (tb_desp[centro.negocio]=$B17)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(tb_desp[data.pagamento]&gt;=G$3) *
    (tb_desp[data.pagamento]&lt;EOMONTH(G$3,0)+1)
  )
)</f>
        <v>0</v>
      </c>
      <c r="H17" s="181" cm="1">
        <f t="array" ref="H17">IF($A$2&lt;&gt;"Outros",
  -SUMPRODUCT(
    tb_desp[valor] *
    (tb_desp[nucleo]=$B$2) *
    (tb_desp[centro.negocio]=$B17)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(tb_desp[data.pagamento]&gt;=H$3) *
    (tb_desp[data.pagamento]&lt;EOMONTH(H$3,0)+1)
  )
)</f>
        <v>0</v>
      </c>
      <c r="I17" s="181" cm="1">
        <f t="array" ref="I17">IF($A$2&lt;&gt;"Outros",
  -SUMPRODUCT(
    tb_desp[valor] *
    (tb_desp[nucleo]=$B$2) *
    (tb_desp[centro.negocio]=$B17)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(tb_desp[data.pagamento]&gt;=I$3) *
    (tb_desp[data.pagamento]&lt;EOMONTH(I$3,0)+1)
  )
)</f>
        <v>0</v>
      </c>
      <c r="J17" s="181" cm="1">
        <f t="array" ref="J17">IF($A$2&lt;&gt;"Outros",
  -SUMPRODUCT(
    tb_desp[valor] *
    (tb_desp[nucleo]=$B$2) *
    (tb_desp[centro.negocio]=$B17)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(tb_desp[data.pagamento]&gt;=J$3) *
    (tb_desp[data.pagamento]&lt;EOMONTH(J$3,0)+1)
  )
)</f>
        <v>0</v>
      </c>
      <c r="K17" s="181" cm="1">
        <f t="array" ref="K17">IF($A$2&lt;&gt;"Outros",
  -SUMPRODUCT(
    tb_desp[valor] *
    (tb_desp[nucleo]=$B$2) *
    (tb_desp[centro.negocio]=$B17)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(tb_desp[data.pagamento]&gt;=K$3) *
    (tb_desp[data.pagamento]&lt;EOMONTH(K$3,0)+1)
  )
)</f>
        <v>0</v>
      </c>
      <c r="L17" s="181" cm="1">
        <f t="array" ref="L17">IF($A$2&lt;&gt;"Outros",
  -SUMPRODUCT(
    tb_desp[valor] *
    (tb_desp[nucleo]=$B$2) *
    (tb_desp[centro.negocio]=$B17)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(tb_desp[data.pagamento]&gt;=L$3) *
    (tb_desp[data.pagamento]&lt;EOMONTH(L$3,0)+1)
  )
)</f>
        <v>0</v>
      </c>
      <c r="M17" s="181" cm="1">
        <f t="array" ref="M17">IF($A$2&lt;&gt;"Outros",
  -SUMPRODUCT(
    tb_desp[valor] *
    (tb_desp[nucleo]=$B$2) *
    (tb_desp[centro.negocio]=$B17)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(tb_desp[data.pagamento]&gt;=M$3) *
    (tb_desp[data.pagamento]&lt;EOMONTH(M$3,0)+1)
  )
)</f>
        <v>0</v>
      </c>
      <c r="N17" s="181" cm="1">
        <f t="array" ref="N17">IF($A$2&lt;&gt;"Outros",
  -SUMPRODUCT(
    tb_desp[valor] *
    (tb_desp[nucleo]=$B$2) *
    (tb_desp[centro.negocio]=$B17)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(tb_desp[data.pagamento]&gt;=N$3) *
    (tb_desp[data.pagamento]&lt;EOMONTH(N$3,0)+1)
  )
)</f>
        <v>0</v>
      </c>
      <c r="O17" s="181" cm="1">
        <f t="array" ref="O17">IF($A$2&lt;&gt;"Outros",
  -SUMPRODUCT(
    tb_desp[valor] *
    (tb_desp[nucleo]=$B$2) *
    (tb_desp[centro.negocio]=$B17)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(tb_desp[data.pagamento]&gt;=O$3) *
    (tb_desp[data.pagamento]&lt;EOMONTH(O$3,0)+1)
  )
)</f>
        <v>0</v>
      </c>
      <c r="P17" s="181" cm="1">
        <f t="array" ref="P17">IF($A$2&lt;&gt;"Outros",
  -SUMPRODUCT(
    tb_desp[valor] *
    (tb_desp[nucleo]=$B$2) *
    (tb_desp[centro.negocio]=$B17)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(tb_desp[data.pagamento]&gt;=P$3) *
    (tb_desp[data.pagamento]&lt;EOMONTH(P$3,0)+1)
  )
)</f>
        <v>0</v>
      </c>
      <c r="Q17" s="181" cm="1">
        <f t="array" ref="Q17">IF($A$2&lt;&gt;"Outros",
  -SUMPRODUCT(
    tb_desp[valor] *
    (tb_desp[nucleo]=$B$2) *
    (tb_desp[centro.negocio]=$B17)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(tb_desp[data.pagamento]&gt;=Q$3) *
    (tb_desp[data.pagamento]&lt;EOMONTH(Q$3,0)+1)
  )
)</f>
        <v>0</v>
      </c>
      <c r="R17" s="181" cm="1">
        <f t="array" ref="R17">IF($A$2&lt;&gt;"Outros",
  -SUMPRODUCT(
    tb_desp[valor] *
    (tb_desp[nucleo]=$B$2) *
    (tb_desp[centro.negocio]=$B17)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(tb_desp[data.pagamento]&gt;=R$3) *
    (tb_desp[data.pagamento]&lt;EOMONTH(R$3,0)+1)
  )
)</f>
        <v>0</v>
      </c>
      <c r="S17" s="181" cm="1">
        <f t="array" ref="S17">IF($A$2&lt;&gt;"Outros",
  -SUMPRODUCT(
    tb_desp[valor] *
    (tb_desp[nucleo]=$B$2) *
    (tb_desp[centro.negocio]=$B17)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(tb_desp[data.pagamento]&gt;=S$3) *
    (tb_desp[data.pagamento]&lt;EOMONTH(S$3,0)+1)
  )
)</f>
        <v>0</v>
      </c>
      <c r="T17" s="181" cm="1">
        <f t="array" ref="T17">IF($A$2&lt;&gt;"Outros",
  -SUMPRODUCT(
    tb_desp[valor] *
    (tb_desp[nucleo]=$B$2) *
    (tb_desp[centro.negocio]=$B17)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(tb_desp[data.pagamento]&gt;=T$3) *
    (tb_desp[data.pagamento]&lt;EOMONTH(T$3,0)+1)
  )
)</f>
        <v>0</v>
      </c>
      <c r="U17" s="181" cm="1">
        <f t="array" ref="U17">IF($A$2&lt;&gt;"Outros",
  -SUMPRODUCT(
    tb_desp[valor] *
    (tb_desp[nucleo]=$B$2) *
    (tb_desp[centro.negocio]=$B17)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(tb_desp[data.pagamento]&gt;=U$3) *
    (tb_desp[data.pagamento]&lt;EOMONTH(U$3,0)+1)
  )
)</f>
        <v>0</v>
      </c>
      <c r="V17" s="181" cm="1">
        <f t="array" ref="V17">IF($A$2&lt;&gt;"Outros",
  -SUMPRODUCT(
    tb_desp[valor] *
    (tb_desp[nucleo]=$B$2) *
    (tb_desp[centro.negocio]=$B17)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(tb_desp[data.pagamento]&gt;=V$3) *
    (tb_desp[data.pagamento]&lt;EOMONTH(V$3,0)+1)
  )
)</f>
        <v>0</v>
      </c>
      <c r="W17" s="181" cm="1">
        <f t="array" ref="W17">IF($A$2&lt;&gt;"Outros",
  -SUMPRODUCT(
    tb_desp[valor] *
    (tb_desp[nucleo]=$B$2) *
    (tb_desp[centro.negocio]=$B17)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(tb_desp[data.pagamento]&gt;=W$3) *
    (tb_desp[data.pagamento]&lt;EOMONTH(W$3,0)+1)
  )
)</f>
        <v>0</v>
      </c>
      <c r="X17" s="181" cm="1">
        <f t="array" ref="X17">IF($A$2&lt;&gt;"Outros",
  -SUMPRODUCT(
    tb_desp[valor] *
    (tb_desp[nucleo]=$B$2) *
    (tb_desp[centro.negocio]=$B17)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(tb_desp[data.pagamento]&gt;=X$3) *
    (tb_desp[data.pagamento]&lt;EOMONTH(X$3,0)+1)
  )
)</f>
        <v>0</v>
      </c>
      <c r="Y17" s="181" cm="1">
        <f t="array" ref="Y17">IF($A$2&lt;&gt;"Outros",
  -SUMPRODUCT(
    tb_desp[valor] *
    (tb_desp[nucleo]=$B$2) *
    (tb_desp[centro.negocio]=$B17)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(tb_desp[data.pagamento]&gt;=Y$3) *
    (tb_desp[data.pagamento]&lt;EOMONTH(Y$3,0)+1)
  )
)</f>
        <v>0</v>
      </c>
      <c r="Z17" s="181" cm="1">
        <f t="array" ref="Z17">IF($A$2&lt;&gt;"Outros",
  -SUMPRODUCT(
    tb_desp[valor] *
    (tb_desp[nucleo]=$B$2) *
    (tb_desp[centro.negocio]=$B17)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(tb_desp[data.pagamento]&gt;=Z$3) *
    (tb_desp[data.pagamento]&lt;EOMONTH(Z$3,0)+1)
  )
)</f>
        <v>0</v>
      </c>
      <c r="AA17" s="181" cm="1">
        <f t="array" ref="AA17">IF($A$2&lt;&gt;"Outros",
  -SUMPRODUCT(
    tb_desp[valor] *
    (tb_desp[nucleo]=$B$2) *
    (tb_desp[centro.negocio]=$B17)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(tb_desp[centro.negocio]=$B17) *
    (tb_desp[data.pagamento]&gt;=AA$3) *
    (tb_desp[data.pagamento]&lt;EOMONTH(AA$3,0)+1)
  )
)</f>
        <v>0</v>
      </c>
      <c r="AC17" s="275">
        <f>SUM($D17:INDEX($D17:$AA17,1,MATCH(DATE(YEAR(inputs!$A$1),MONTH(inputs!$A$1),1),$D$3:$AA$3,0)))</f>
        <v>0</v>
      </c>
      <c r="AE17" s="275">
        <f t="shared" si="4"/>
        <v>0</v>
      </c>
    </row>
    <row r="18" spans="1:31" outlineLevel="1" x14ac:dyDescent="0.25">
      <c r="A18" s="179" t="s">
        <v>565</v>
      </c>
      <c r="B18" s="179" t="s">
        <v>386</v>
      </c>
      <c r="C18" s="180" t="s">
        <v>514</v>
      </c>
      <c r="D18" s="181" cm="1">
        <f t="array" ref="D18">IF($A$2&lt;&gt;"Outros",
  -SUMPRODUCT(
    tb_desp[valor] *
    (tb_desp[nucleo]=$B$2) *
    (tb_desp[centro.negocio]=$B18)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(tb_desp[data.pagamento]&gt;=D$3) *
    (tb_desp[data.pagamento]&lt;EOMONTH(D$3,0)+1)
  )
)</f>
        <v>0</v>
      </c>
      <c r="E18" s="181" cm="1">
        <f t="array" ref="E18">IF($A$2&lt;&gt;"Outros",
  -SUMPRODUCT(
    tb_desp[valor] *
    (tb_desp[nucleo]=$B$2) *
    (tb_desp[centro.negocio]=$B18)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(tb_desp[data.pagamento]&gt;=E$3) *
    (tb_desp[data.pagamento]&lt;EOMONTH(E$3,0)+1)
  )
)</f>
        <v>0</v>
      </c>
      <c r="F18" s="181" cm="1">
        <f t="array" ref="F18">IF($A$2&lt;&gt;"Outros",
  -SUMPRODUCT(
    tb_desp[valor] *
    (tb_desp[nucleo]=$B$2) *
    (tb_desp[centro.negocio]=$B18)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(tb_desp[data.pagamento]&gt;=F$3) *
    (tb_desp[data.pagamento]&lt;EOMONTH(F$3,0)+1)
  )
)</f>
        <v>0</v>
      </c>
      <c r="G18" s="181" cm="1">
        <f t="array" ref="G18">IF($A$2&lt;&gt;"Outros",
  -SUMPRODUCT(
    tb_desp[valor] *
    (tb_desp[nucleo]=$B$2) *
    (tb_desp[centro.negocio]=$B18)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(tb_desp[data.pagamento]&gt;=G$3) *
    (tb_desp[data.pagamento]&lt;EOMONTH(G$3,0)+1)
  )
)</f>
        <v>0</v>
      </c>
      <c r="H18" s="181" cm="1">
        <f t="array" ref="H18">IF($A$2&lt;&gt;"Outros",
  -SUMPRODUCT(
    tb_desp[valor] *
    (tb_desp[nucleo]=$B$2) *
    (tb_desp[centro.negocio]=$B18)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(tb_desp[data.pagamento]&gt;=H$3) *
    (tb_desp[data.pagamento]&lt;EOMONTH(H$3,0)+1)
  )
)</f>
        <v>0</v>
      </c>
      <c r="I18" s="181" cm="1">
        <f t="array" ref="I18">IF($A$2&lt;&gt;"Outros",
  -SUMPRODUCT(
    tb_desp[valor] *
    (tb_desp[nucleo]=$B$2) *
    (tb_desp[centro.negocio]=$B18)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(tb_desp[data.pagamento]&gt;=I$3) *
    (tb_desp[data.pagamento]&lt;EOMONTH(I$3,0)+1)
  )
)</f>
        <v>0</v>
      </c>
      <c r="J18" s="181" cm="1">
        <f t="array" ref="J18">IF($A$2&lt;&gt;"Outros",
  -SUMPRODUCT(
    tb_desp[valor] *
    (tb_desp[nucleo]=$B$2) *
    (tb_desp[centro.negocio]=$B18)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(tb_desp[data.pagamento]&gt;=J$3) *
    (tb_desp[data.pagamento]&lt;EOMONTH(J$3,0)+1)
  )
)</f>
        <v>0</v>
      </c>
      <c r="K18" s="181" cm="1">
        <f t="array" ref="K18">IF($A$2&lt;&gt;"Outros",
  -SUMPRODUCT(
    tb_desp[valor] *
    (tb_desp[nucleo]=$B$2) *
    (tb_desp[centro.negocio]=$B18)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(tb_desp[data.pagamento]&gt;=K$3) *
    (tb_desp[data.pagamento]&lt;EOMONTH(K$3,0)+1)
  )
)</f>
        <v>0</v>
      </c>
      <c r="L18" s="181" cm="1">
        <f t="array" ref="L18">IF($A$2&lt;&gt;"Outros",
  -SUMPRODUCT(
    tb_desp[valor] *
    (tb_desp[nucleo]=$B$2) *
    (tb_desp[centro.negocio]=$B18)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(tb_desp[data.pagamento]&gt;=L$3) *
    (tb_desp[data.pagamento]&lt;EOMONTH(L$3,0)+1)
  )
)</f>
        <v>0</v>
      </c>
      <c r="M18" s="181" cm="1">
        <f t="array" ref="M18">IF($A$2&lt;&gt;"Outros",
  -SUMPRODUCT(
    tb_desp[valor] *
    (tb_desp[nucleo]=$B$2) *
    (tb_desp[centro.negocio]=$B18)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(tb_desp[data.pagamento]&gt;=M$3) *
    (tb_desp[data.pagamento]&lt;EOMONTH(M$3,0)+1)
  )
)</f>
        <v>0</v>
      </c>
      <c r="N18" s="181" cm="1">
        <f t="array" ref="N18">IF($A$2&lt;&gt;"Outros",
  -SUMPRODUCT(
    tb_desp[valor] *
    (tb_desp[nucleo]=$B$2) *
    (tb_desp[centro.negocio]=$B18)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(tb_desp[data.pagamento]&gt;=N$3) *
    (tb_desp[data.pagamento]&lt;EOMONTH(N$3,0)+1)
  )
)</f>
        <v>0</v>
      </c>
      <c r="O18" s="181" cm="1">
        <f t="array" ref="O18">IF($A$2&lt;&gt;"Outros",
  -SUMPRODUCT(
    tb_desp[valor] *
    (tb_desp[nucleo]=$B$2) *
    (tb_desp[centro.negocio]=$B18)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(tb_desp[data.pagamento]&gt;=O$3) *
    (tb_desp[data.pagamento]&lt;EOMONTH(O$3,0)+1)
  )
)</f>
        <v>0</v>
      </c>
      <c r="P18" s="181" cm="1">
        <f t="array" ref="P18">IF($A$2&lt;&gt;"Outros",
  -SUMPRODUCT(
    tb_desp[valor] *
    (tb_desp[nucleo]=$B$2) *
    (tb_desp[centro.negocio]=$B18)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(tb_desp[data.pagamento]&gt;=P$3) *
    (tb_desp[data.pagamento]&lt;EOMONTH(P$3,0)+1)
  )
)</f>
        <v>0</v>
      </c>
      <c r="Q18" s="181" cm="1">
        <f t="array" ref="Q18">IF($A$2&lt;&gt;"Outros",
  -SUMPRODUCT(
    tb_desp[valor] *
    (tb_desp[nucleo]=$B$2) *
    (tb_desp[centro.negocio]=$B18)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(tb_desp[data.pagamento]&gt;=Q$3) *
    (tb_desp[data.pagamento]&lt;EOMONTH(Q$3,0)+1)
  )
)</f>
        <v>0</v>
      </c>
      <c r="R18" s="181" cm="1">
        <f t="array" ref="R18">IF($A$2&lt;&gt;"Outros",
  -SUMPRODUCT(
    tb_desp[valor] *
    (tb_desp[nucleo]=$B$2) *
    (tb_desp[centro.negocio]=$B18)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(tb_desp[data.pagamento]&gt;=R$3) *
    (tb_desp[data.pagamento]&lt;EOMONTH(R$3,0)+1)
  )
)</f>
        <v>0</v>
      </c>
      <c r="S18" s="181" cm="1">
        <f t="array" ref="S18">IF($A$2&lt;&gt;"Outros",
  -SUMPRODUCT(
    tb_desp[valor] *
    (tb_desp[nucleo]=$B$2) *
    (tb_desp[centro.negocio]=$B18)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(tb_desp[data.pagamento]&gt;=S$3) *
    (tb_desp[data.pagamento]&lt;EOMONTH(S$3,0)+1)
  )
)</f>
        <v>0</v>
      </c>
      <c r="T18" s="181" cm="1">
        <f t="array" ref="T18">IF($A$2&lt;&gt;"Outros",
  -SUMPRODUCT(
    tb_desp[valor] *
    (tb_desp[nucleo]=$B$2) *
    (tb_desp[centro.negocio]=$B18)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(tb_desp[data.pagamento]&gt;=T$3) *
    (tb_desp[data.pagamento]&lt;EOMONTH(T$3,0)+1)
  )
)</f>
        <v>0</v>
      </c>
      <c r="U18" s="181" cm="1">
        <f t="array" ref="U18">IF($A$2&lt;&gt;"Outros",
  -SUMPRODUCT(
    tb_desp[valor] *
    (tb_desp[nucleo]=$B$2) *
    (tb_desp[centro.negocio]=$B18)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(tb_desp[data.pagamento]&gt;=U$3) *
    (tb_desp[data.pagamento]&lt;EOMONTH(U$3,0)+1)
  )
)</f>
        <v>0</v>
      </c>
      <c r="V18" s="181" cm="1">
        <f t="array" ref="V18">IF($A$2&lt;&gt;"Outros",
  -SUMPRODUCT(
    tb_desp[valor] *
    (tb_desp[nucleo]=$B$2) *
    (tb_desp[centro.negocio]=$B18)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(tb_desp[data.pagamento]&gt;=V$3) *
    (tb_desp[data.pagamento]&lt;EOMONTH(V$3,0)+1)
  )
)</f>
        <v>0</v>
      </c>
      <c r="W18" s="181" cm="1">
        <f t="array" ref="W18">IF($A$2&lt;&gt;"Outros",
  -SUMPRODUCT(
    tb_desp[valor] *
    (tb_desp[nucleo]=$B$2) *
    (tb_desp[centro.negocio]=$B18)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(tb_desp[data.pagamento]&gt;=W$3) *
    (tb_desp[data.pagamento]&lt;EOMONTH(W$3,0)+1)
  )
)</f>
        <v>0</v>
      </c>
      <c r="X18" s="181" cm="1">
        <f t="array" ref="X18">IF($A$2&lt;&gt;"Outros",
  -SUMPRODUCT(
    tb_desp[valor] *
    (tb_desp[nucleo]=$B$2) *
    (tb_desp[centro.negocio]=$B18)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(tb_desp[data.pagamento]&gt;=X$3) *
    (tb_desp[data.pagamento]&lt;EOMONTH(X$3,0)+1)
  )
)</f>
        <v>0</v>
      </c>
      <c r="Y18" s="181" cm="1">
        <f t="array" ref="Y18">IF($A$2&lt;&gt;"Outros",
  -SUMPRODUCT(
    tb_desp[valor] *
    (tb_desp[nucleo]=$B$2) *
    (tb_desp[centro.negocio]=$B18)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(tb_desp[data.pagamento]&gt;=Y$3) *
    (tb_desp[data.pagamento]&lt;EOMONTH(Y$3,0)+1)
  )
)</f>
        <v>0</v>
      </c>
      <c r="Z18" s="181" cm="1">
        <f t="array" ref="Z18">IF($A$2&lt;&gt;"Outros",
  -SUMPRODUCT(
    tb_desp[valor] *
    (tb_desp[nucleo]=$B$2) *
    (tb_desp[centro.negocio]=$B18)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(tb_desp[data.pagamento]&gt;=Z$3) *
    (tb_desp[data.pagamento]&lt;EOMONTH(Z$3,0)+1)
  )
)</f>
        <v>0</v>
      </c>
      <c r="AA18" s="181" cm="1">
        <f t="array" ref="AA18">IF($A$2&lt;&gt;"Outros",
  -SUMPRODUCT(
    tb_desp[valor] *
    (tb_desp[nucleo]=$B$2) *
    (tb_desp[centro.negocio]=$B18)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(tb_desp[centro.negocio]=$B18) *
    (tb_desp[data.pagamento]&gt;=AA$3) *
    (tb_desp[data.pagamento]&lt;EOMONTH(AA$3,0)+1)
  )
)</f>
        <v>0</v>
      </c>
      <c r="AC18" s="275">
        <f>SUM($D18:INDEX($D18:$AA18,1,MATCH(DATE(YEAR(inputs!$A$1),MONTH(inputs!$A$1),1),$D$3:$AA$3,0)))</f>
        <v>0</v>
      </c>
      <c r="AE18" s="275">
        <f t="shared" si="4"/>
        <v>0</v>
      </c>
    </row>
    <row r="19" spans="1:31" outlineLevel="1" x14ac:dyDescent="0.25">
      <c r="A19" s="179" t="s">
        <v>566</v>
      </c>
      <c r="B19" s="413" t="s">
        <v>939</v>
      </c>
      <c r="C19" s="180" t="s">
        <v>514</v>
      </c>
      <c r="D19" s="181" cm="1">
        <f t="array" ref="D19">IF($A$2&lt;&gt;"Outros",
  -SUMPRODUCT(
    tb_desp[valor] *
    (tb_desp[nucleo]=$B$2) *
    (LEFT(tb_desp[centro.negocio],13)="Gerenciamento")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(tb_desp[data.pagamento]&gt;=D$3) *
    (tb_desp[data.pagamento]&lt;EOMONTH(D$3,0)+1)
  )
)</f>
        <v>0</v>
      </c>
      <c r="E19" s="181" cm="1">
        <f t="array" ref="E19">IF($A$2&lt;&gt;"Outros",
  -SUMPRODUCT(
    tb_desp[valor] *
    (tb_desp[nucleo]=$B$2) *
    (LEFT(tb_desp[centro.negocio],13)="Gerenciamento")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(tb_desp[data.pagamento]&gt;=E$3) *
    (tb_desp[data.pagamento]&lt;EOMONTH(E$3,0)+1)
  )
)</f>
        <v>0</v>
      </c>
      <c r="F19" s="181" cm="1">
        <f t="array" ref="F19">IF($A$2&lt;&gt;"Outros",
  -SUMPRODUCT(
    tb_desp[valor] *
    (tb_desp[nucleo]=$B$2) *
    (LEFT(tb_desp[centro.negocio],13)="Gerenciamento")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(tb_desp[data.pagamento]&gt;=F$3) *
    (tb_desp[data.pagamento]&lt;EOMONTH(F$3,0)+1)
  )
)</f>
        <v>0</v>
      </c>
      <c r="G19" s="181" cm="1">
        <f t="array" ref="G19">IF($A$2&lt;&gt;"Outros",
  -SUMPRODUCT(
    tb_desp[valor] *
    (tb_desp[nucleo]=$B$2) *
    (LEFT(tb_desp[centro.negocio],13)="Gerenciamento")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(tb_desp[data.pagamento]&gt;=G$3) *
    (tb_desp[data.pagamento]&lt;EOMONTH(G$3,0)+1)
  )
)</f>
        <v>0</v>
      </c>
      <c r="H19" s="181" cm="1">
        <f t="array" ref="H19">IF($A$2&lt;&gt;"Outros",
  -SUMPRODUCT(
    tb_desp[valor] *
    (tb_desp[nucleo]=$B$2) *
    (LEFT(tb_desp[centro.negocio],13)="Gerenciamento")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(tb_desp[data.pagamento]&gt;=H$3) *
    (tb_desp[data.pagamento]&lt;EOMONTH(H$3,0)+1)
  )
)</f>
        <v>0</v>
      </c>
      <c r="I19" s="181" cm="1">
        <f t="array" ref="I19">IF($A$2&lt;&gt;"Outros",
  -SUMPRODUCT(
    tb_desp[valor] *
    (tb_desp[nucleo]=$B$2) *
    (LEFT(tb_desp[centro.negocio],13)="Gerenciamento")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(tb_desp[data.pagamento]&gt;=I$3) *
    (tb_desp[data.pagamento]&lt;EOMONTH(I$3,0)+1)
  )
)</f>
        <v>0</v>
      </c>
      <c r="J19" s="181" cm="1">
        <f t="array" ref="J19">IF($A$2&lt;&gt;"Outros",
  -SUMPRODUCT(
    tb_desp[valor] *
    (tb_desp[nucleo]=$B$2) *
    (LEFT(tb_desp[centro.negocio],13)="Gerenciamento")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(tb_desp[data.pagamento]&gt;=J$3) *
    (tb_desp[data.pagamento]&lt;EOMONTH(J$3,0)+1)
  )
)</f>
        <v>0</v>
      </c>
      <c r="K19" s="181" cm="1">
        <f t="array" ref="K19">IF($A$2&lt;&gt;"Outros",
  -SUMPRODUCT(
    tb_desp[valor] *
    (tb_desp[nucleo]=$B$2) *
    (LEFT(tb_desp[centro.negocio],13)="Gerenciamento")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(tb_desp[data.pagamento]&gt;=K$3) *
    (tb_desp[data.pagamento]&lt;EOMONTH(K$3,0)+1)
  )
)</f>
        <v>0</v>
      </c>
      <c r="L19" s="181" cm="1">
        <f t="array" ref="L19">IF($A$2&lt;&gt;"Outros",
  -SUMPRODUCT(
    tb_desp[valor] *
    (tb_desp[nucleo]=$B$2) *
    (LEFT(tb_desp[centro.negocio],13)="Gerenciamento")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(tb_desp[data.pagamento]&gt;=L$3) *
    (tb_desp[data.pagamento]&lt;EOMONTH(L$3,0)+1)
  )
)</f>
        <v>0</v>
      </c>
      <c r="M19" s="181" cm="1">
        <f t="array" ref="M19">IF($A$2&lt;&gt;"Outros",
  -SUMPRODUCT(
    tb_desp[valor] *
    (tb_desp[nucleo]=$B$2) *
    (LEFT(tb_desp[centro.negocio],13)="Gerenciamento")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(tb_desp[data.pagamento]&gt;=M$3) *
    (tb_desp[data.pagamento]&lt;EOMONTH(M$3,0)+1)
  )
)</f>
        <v>0</v>
      </c>
      <c r="N19" s="181" cm="1">
        <f t="array" ref="N19">IF($A$2&lt;&gt;"Outros",
  -SUMPRODUCT(
    tb_desp[valor] *
    (tb_desp[nucleo]=$B$2) *
    (LEFT(tb_desp[centro.negocio],13)="Gerenciamento")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(tb_desp[data.pagamento]&gt;=N$3) *
    (tb_desp[data.pagamento]&lt;EOMONTH(N$3,0)+1)
  )
)</f>
        <v>0</v>
      </c>
      <c r="O19" s="181" cm="1">
        <f t="array" ref="O19">IF($A$2&lt;&gt;"Outros",
  -SUMPRODUCT(
    tb_desp[valor] *
    (tb_desp[nucleo]=$B$2) *
    (LEFT(tb_desp[centro.negocio],13)="Gerenciamento")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(tb_desp[data.pagamento]&gt;=O$3) *
    (tb_desp[data.pagamento]&lt;EOMONTH(O$3,0)+1)
  )
)</f>
        <v>0</v>
      </c>
      <c r="P19" s="181" cm="1">
        <f t="array" ref="P19">IF($A$2&lt;&gt;"Outros",
  -SUMPRODUCT(
    tb_desp[valor] *
    (tb_desp[nucleo]=$B$2) *
    (LEFT(tb_desp[centro.negocio],13)="Gerenciamento")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(tb_desp[data.pagamento]&gt;=P$3) *
    (tb_desp[data.pagamento]&lt;EOMONTH(P$3,0)+1)
  )
)</f>
        <v>0</v>
      </c>
      <c r="Q19" s="181" cm="1">
        <f t="array" ref="Q19">IF($A$2&lt;&gt;"Outros",
  -SUMPRODUCT(
    tb_desp[valor] *
    (tb_desp[nucleo]=$B$2) *
    (LEFT(tb_desp[centro.negocio],13)="Gerenciamento")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(tb_desp[data.pagamento]&gt;=Q$3) *
    (tb_desp[data.pagamento]&lt;EOMONTH(Q$3,0)+1)
  )
)</f>
        <v>0</v>
      </c>
      <c r="R19" s="181" cm="1">
        <f t="array" ref="R19">IF($A$2&lt;&gt;"Outros",
  -SUMPRODUCT(
    tb_desp[valor] *
    (tb_desp[nucleo]=$B$2) *
    (LEFT(tb_desp[centro.negocio],13)="Gerenciamento")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(tb_desp[data.pagamento]&gt;=R$3) *
    (tb_desp[data.pagamento]&lt;EOMONTH(R$3,0)+1)
  )
)</f>
        <v>0</v>
      </c>
      <c r="S19" s="181" cm="1">
        <f t="array" ref="S19">IF($A$2&lt;&gt;"Outros",
  -SUMPRODUCT(
    tb_desp[valor] *
    (tb_desp[nucleo]=$B$2) *
    (LEFT(tb_desp[centro.negocio],13)="Gerenciamento")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(tb_desp[data.pagamento]&gt;=S$3) *
    (tb_desp[data.pagamento]&lt;EOMONTH(S$3,0)+1)
  )
)</f>
        <v>0</v>
      </c>
      <c r="T19" s="181" cm="1">
        <f t="array" ref="T19">IF($A$2&lt;&gt;"Outros",
  -SUMPRODUCT(
    tb_desp[valor] *
    (tb_desp[nucleo]=$B$2) *
    (LEFT(tb_desp[centro.negocio],13)="Gerenciamento")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(tb_desp[data.pagamento]&gt;=T$3) *
    (tb_desp[data.pagamento]&lt;EOMONTH(T$3,0)+1)
  )
)</f>
        <v>0</v>
      </c>
      <c r="U19" s="181" cm="1">
        <f t="array" ref="U19">IF($A$2&lt;&gt;"Outros",
  -SUMPRODUCT(
    tb_desp[valor] *
    (tb_desp[nucleo]=$B$2) *
    (LEFT(tb_desp[centro.negocio],13)="Gerenciamento")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(tb_desp[data.pagamento]&gt;=U$3) *
    (tb_desp[data.pagamento]&lt;EOMONTH(U$3,0)+1)
  )
)</f>
        <v>0</v>
      </c>
      <c r="V19" s="181" cm="1">
        <f t="array" ref="V19">IF($A$2&lt;&gt;"Outros",
  -SUMPRODUCT(
    tb_desp[valor] *
    (tb_desp[nucleo]=$B$2) *
    (LEFT(tb_desp[centro.negocio],13)="Gerenciamento")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(tb_desp[data.pagamento]&gt;=V$3) *
    (tb_desp[data.pagamento]&lt;EOMONTH(V$3,0)+1)
  )
)</f>
        <v>0</v>
      </c>
      <c r="W19" s="181" cm="1">
        <f t="array" ref="W19">IF($A$2&lt;&gt;"Outros",
  -SUMPRODUCT(
    tb_desp[valor] *
    (tb_desp[nucleo]=$B$2) *
    (LEFT(tb_desp[centro.negocio],13)="Gerenciamento")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(tb_desp[data.pagamento]&gt;=W$3) *
    (tb_desp[data.pagamento]&lt;EOMONTH(W$3,0)+1)
  )
)</f>
        <v>0</v>
      </c>
      <c r="X19" s="181" cm="1">
        <f t="array" ref="X19">IF($A$2&lt;&gt;"Outros",
  -SUMPRODUCT(
    tb_desp[valor] *
    (tb_desp[nucleo]=$B$2) *
    (LEFT(tb_desp[centro.negocio],13)="Gerenciamento")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(tb_desp[data.pagamento]&gt;=X$3) *
    (tb_desp[data.pagamento]&lt;EOMONTH(X$3,0)+1)
  )
)</f>
        <v>0</v>
      </c>
      <c r="Y19" s="181" cm="1">
        <f t="array" ref="Y19">IF($A$2&lt;&gt;"Outros",
  -SUMPRODUCT(
    tb_desp[valor] *
    (tb_desp[nucleo]=$B$2) *
    (LEFT(tb_desp[centro.negocio],13)="Gerenciamento")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(tb_desp[data.pagamento]&gt;=Y$3) *
    (tb_desp[data.pagamento]&lt;EOMONTH(Y$3,0)+1)
  )
)</f>
        <v>0</v>
      </c>
      <c r="Z19" s="181" cm="1">
        <f t="array" ref="Z19">IF($A$2&lt;&gt;"Outros",
  -SUMPRODUCT(
    tb_desp[valor] *
    (tb_desp[nucleo]=$B$2) *
    (LEFT(tb_desp[centro.negocio],13)="Gerenciamento")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(tb_desp[data.pagamento]&gt;=Z$3) *
    (tb_desp[data.pagamento]&lt;EOMONTH(Z$3,0)+1)
  )
)</f>
        <v>0</v>
      </c>
      <c r="AA19" s="181" cm="1">
        <f t="array" ref="AA19">IF($A$2&lt;&gt;"Outros",
  -SUMPRODUCT(
    tb_desp[valor] *
    (tb_desp[nucleo]=$B$2) *
    (LEFT(tb_desp[centro.negocio],13)="Gerenciamento")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(LEFT(tb_desp[centro.negocio],13)="Gerenciamento") *
    (tb_desp[data.pagamento]&gt;=AA$3) *
    (tb_desp[data.pagamento]&lt;EOMONTH(AA$3,0)+1)
  )
)</f>
        <v>0</v>
      </c>
      <c r="AC19" s="275">
        <f>SUM($D19:INDEX($D19:$AA19,1,MATCH(DATE(YEAR(inputs!$A$1),MONTH(inputs!$A$1),1),$D$3:$AA$3,0)))</f>
        <v>0</v>
      </c>
      <c r="AE19" s="275">
        <f t="shared" si="4"/>
        <v>0</v>
      </c>
    </row>
    <row r="20" spans="1:31" outlineLevel="1" x14ac:dyDescent="0.25">
      <c r="A20" s="179" t="s">
        <v>567</v>
      </c>
      <c r="B20" s="179" t="s">
        <v>340</v>
      </c>
      <c r="C20" s="180" t="s">
        <v>514</v>
      </c>
      <c r="D20" s="181" cm="1">
        <f t="array" ref="D20">IF($A$2&lt;&gt;"Outros",
  -SUMPRODUCT(
    tb_desp[valor] *
    (tb_desp[nucleo]=$B$2) *
    (tb_desp[centro.negocio]=$B20)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(tb_desp[data.pagamento]&gt;=D$3) *
    (tb_desp[data.pagamento]&lt;EOMONTH(D$3,0)+1)
  )
)</f>
        <v>0</v>
      </c>
      <c r="E20" s="181" cm="1">
        <f t="array" ref="E20">IF($A$2&lt;&gt;"Outros",
  -SUMPRODUCT(
    tb_desp[valor] *
    (tb_desp[nucleo]=$B$2) *
    (tb_desp[centro.negocio]=$B20)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(tb_desp[data.pagamento]&gt;=E$3) *
    (tb_desp[data.pagamento]&lt;EOMONTH(E$3,0)+1)
  )
)</f>
        <v>0</v>
      </c>
      <c r="F20" s="181" cm="1">
        <f t="array" ref="F20">IF($A$2&lt;&gt;"Outros",
  -SUMPRODUCT(
    tb_desp[valor] *
    (tb_desp[nucleo]=$B$2) *
    (tb_desp[centro.negocio]=$B20)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(tb_desp[data.pagamento]&gt;=F$3) *
    (tb_desp[data.pagamento]&lt;EOMONTH(F$3,0)+1)
  )
)</f>
        <v>0</v>
      </c>
      <c r="G20" s="181" cm="1">
        <f t="array" ref="G20">IF($A$2&lt;&gt;"Outros",
  -SUMPRODUCT(
    tb_desp[valor] *
    (tb_desp[nucleo]=$B$2) *
    (tb_desp[centro.negocio]=$B20)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(tb_desp[data.pagamento]&gt;=G$3) *
    (tb_desp[data.pagamento]&lt;EOMONTH(G$3,0)+1)
  )
)</f>
        <v>0</v>
      </c>
      <c r="H20" s="181" cm="1">
        <f t="array" ref="H20">IF($A$2&lt;&gt;"Outros",
  -SUMPRODUCT(
    tb_desp[valor] *
    (tb_desp[nucleo]=$B$2) *
    (tb_desp[centro.negocio]=$B20)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(tb_desp[data.pagamento]&gt;=H$3) *
    (tb_desp[data.pagamento]&lt;EOMONTH(H$3,0)+1)
  )
)</f>
        <v>0</v>
      </c>
      <c r="I20" s="181" cm="1">
        <f t="array" ref="I20">IF($A$2&lt;&gt;"Outros",
  -SUMPRODUCT(
    tb_desp[valor] *
    (tb_desp[nucleo]=$B$2) *
    (tb_desp[centro.negocio]=$B20)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(tb_desp[data.pagamento]&gt;=I$3) *
    (tb_desp[data.pagamento]&lt;EOMONTH(I$3,0)+1)
  )
)</f>
        <v>0</v>
      </c>
      <c r="J20" s="181" cm="1">
        <f t="array" ref="J20">IF($A$2&lt;&gt;"Outros",
  -SUMPRODUCT(
    tb_desp[valor] *
    (tb_desp[nucleo]=$B$2) *
    (tb_desp[centro.negocio]=$B20)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(tb_desp[data.pagamento]&gt;=J$3) *
    (tb_desp[data.pagamento]&lt;EOMONTH(J$3,0)+1)
  )
)</f>
        <v>0</v>
      </c>
      <c r="K20" s="181" cm="1">
        <f t="array" ref="K20">IF($A$2&lt;&gt;"Outros",
  -SUMPRODUCT(
    tb_desp[valor] *
    (tb_desp[nucleo]=$B$2) *
    (tb_desp[centro.negocio]=$B20)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(tb_desp[data.pagamento]&gt;=K$3) *
    (tb_desp[data.pagamento]&lt;EOMONTH(K$3,0)+1)
  )
)</f>
        <v>0</v>
      </c>
      <c r="L20" s="181" cm="1">
        <f t="array" ref="L20">IF($A$2&lt;&gt;"Outros",
  -SUMPRODUCT(
    tb_desp[valor] *
    (tb_desp[nucleo]=$B$2) *
    (tb_desp[centro.negocio]=$B20)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(tb_desp[data.pagamento]&gt;=L$3) *
    (tb_desp[data.pagamento]&lt;EOMONTH(L$3,0)+1)
  )
)</f>
        <v>0</v>
      </c>
      <c r="M20" s="181" cm="1">
        <f t="array" ref="M20">IF($A$2&lt;&gt;"Outros",
  -SUMPRODUCT(
    tb_desp[valor] *
    (tb_desp[nucleo]=$B$2) *
    (tb_desp[centro.negocio]=$B20)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(tb_desp[data.pagamento]&gt;=M$3) *
    (tb_desp[data.pagamento]&lt;EOMONTH(M$3,0)+1)
  )
)</f>
        <v>0</v>
      </c>
      <c r="N20" s="181" cm="1">
        <f t="array" ref="N20">IF($A$2&lt;&gt;"Outros",
  -SUMPRODUCT(
    tb_desp[valor] *
    (tb_desp[nucleo]=$B$2) *
    (tb_desp[centro.negocio]=$B20)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(tb_desp[data.pagamento]&gt;=N$3) *
    (tb_desp[data.pagamento]&lt;EOMONTH(N$3,0)+1)
  )
)</f>
        <v>0</v>
      </c>
      <c r="O20" s="181" cm="1">
        <f t="array" ref="O20">IF($A$2&lt;&gt;"Outros",
  -SUMPRODUCT(
    tb_desp[valor] *
    (tb_desp[nucleo]=$B$2) *
    (tb_desp[centro.negocio]=$B20)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(tb_desp[data.pagamento]&gt;=O$3) *
    (tb_desp[data.pagamento]&lt;EOMONTH(O$3,0)+1)
  )
)</f>
        <v>0</v>
      </c>
      <c r="P20" s="181" cm="1">
        <f t="array" ref="P20">IF($A$2&lt;&gt;"Outros",
  -SUMPRODUCT(
    tb_desp[valor] *
    (tb_desp[nucleo]=$B$2) *
    (tb_desp[centro.negocio]=$B20)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(tb_desp[data.pagamento]&gt;=P$3) *
    (tb_desp[data.pagamento]&lt;EOMONTH(P$3,0)+1)
  )
)</f>
        <v>0</v>
      </c>
      <c r="Q20" s="181" cm="1">
        <f t="array" ref="Q20">IF($A$2&lt;&gt;"Outros",
  -SUMPRODUCT(
    tb_desp[valor] *
    (tb_desp[nucleo]=$B$2) *
    (tb_desp[centro.negocio]=$B20)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(tb_desp[data.pagamento]&gt;=Q$3) *
    (tb_desp[data.pagamento]&lt;EOMONTH(Q$3,0)+1)
  )
)</f>
        <v>0</v>
      </c>
      <c r="R20" s="181" cm="1">
        <f t="array" ref="R20">IF($A$2&lt;&gt;"Outros",
  -SUMPRODUCT(
    tb_desp[valor] *
    (tb_desp[nucleo]=$B$2) *
    (tb_desp[centro.negocio]=$B20)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(tb_desp[data.pagamento]&gt;=R$3) *
    (tb_desp[data.pagamento]&lt;EOMONTH(R$3,0)+1)
  )
)</f>
        <v>0</v>
      </c>
      <c r="S20" s="181" cm="1">
        <f t="array" ref="S20">IF($A$2&lt;&gt;"Outros",
  -SUMPRODUCT(
    tb_desp[valor] *
    (tb_desp[nucleo]=$B$2) *
    (tb_desp[centro.negocio]=$B20)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(tb_desp[data.pagamento]&gt;=S$3) *
    (tb_desp[data.pagamento]&lt;EOMONTH(S$3,0)+1)
  )
)</f>
        <v>0</v>
      </c>
      <c r="T20" s="181" cm="1">
        <f t="array" ref="T20">IF($A$2&lt;&gt;"Outros",
  -SUMPRODUCT(
    tb_desp[valor] *
    (tb_desp[nucleo]=$B$2) *
    (tb_desp[centro.negocio]=$B20)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(tb_desp[data.pagamento]&gt;=T$3) *
    (tb_desp[data.pagamento]&lt;EOMONTH(T$3,0)+1)
  )
)</f>
        <v>0</v>
      </c>
      <c r="U20" s="181" cm="1">
        <f t="array" ref="U20">IF($A$2&lt;&gt;"Outros",
  -SUMPRODUCT(
    tb_desp[valor] *
    (tb_desp[nucleo]=$B$2) *
    (tb_desp[centro.negocio]=$B20)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(tb_desp[data.pagamento]&gt;=U$3) *
    (tb_desp[data.pagamento]&lt;EOMONTH(U$3,0)+1)
  )
)</f>
        <v>0</v>
      </c>
      <c r="V20" s="181" cm="1">
        <f t="array" ref="V20">IF($A$2&lt;&gt;"Outros",
  -SUMPRODUCT(
    tb_desp[valor] *
    (tb_desp[nucleo]=$B$2) *
    (tb_desp[centro.negocio]=$B20)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(tb_desp[data.pagamento]&gt;=V$3) *
    (tb_desp[data.pagamento]&lt;EOMONTH(V$3,0)+1)
  )
)</f>
        <v>0</v>
      </c>
      <c r="W20" s="181" cm="1">
        <f t="array" ref="W20">IF($A$2&lt;&gt;"Outros",
  -SUMPRODUCT(
    tb_desp[valor] *
    (tb_desp[nucleo]=$B$2) *
    (tb_desp[centro.negocio]=$B20)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(tb_desp[data.pagamento]&gt;=W$3) *
    (tb_desp[data.pagamento]&lt;EOMONTH(W$3,0)+1)
  )
)</f>
        <v>0</v>
      </c>
      <c r="X20" s="181" cm="1">
        <f t="array" ref="X20">IF($A$2&lt;&gt;"Outros",
  -SUMPRODUCT(
    tb_desp[valor] *
    (tb_desp[nucleo]=$B$2) *
    (tb_desp[centro.negocio]=$B20)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(tb_desp[data.pagamento]&gt;=X$3) *
    (tb_desp[data.pagamento]&lt;EOMONTH(X$3,0)+1)
  )
)</f>
        <v>0</v>
      </c>
      <c r="Y20" s="181" cm="1">
        <f t="array" ref="Y20">IF($A$2&lt;&gt;"Outros",
  -SUMPRODUCT(
    tb_desp[valor] *
    (tb_desp[nucleo]=$B$2) *
    (tb_desp[centro.negocio]=$B20)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(tb_desp[data.pagamento]&gt;=Y$3) *
    (tb_desp[data.pagamento]&lt;EOMONTH(Y$3,0)+1)
  )
)</f>
        <v>0</v>
      </c>
      <c r="Z20" s="181" cm="1">
        <f t="array" ref="Z20">IF($A$2&lt;&gt;"Outros",
  -SUMPRODUCT(
    tb_desp[valor] *
    (tb_desp[nucleo]=$B$2) *
    (tb_desp[centro.negocio]=$B20)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(tb_desp[data.pagamento]&gt;=Z$3) *
    (tb_desp[data.pagamento]&lt;EOMONTH(Z$3,0)+1)
  )
)</f>
        <v>0</v>
      </c>
      <c r="AA20" s="181" cm="1">
        <f t="array" ref="AA20">IF($A$2&lt;&gt;"Outros",
  -SUMPRODUCT(
    tb_desp[valor] *
    (tb_desp[nucleo]=$B$2) *
    (tb_desp[centro.negocio]=$B20)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(tb_desp[centro.negocio]=$B20) *
    (tb_desp[data.pagamento]&gt;=AA$3) *
    (tb_desp[data.pagamento]&lt;EOMONTH(AA$3,0)+1)
  )
)</f>
        <v>0</v>
      </c>
      <c r="AC20" s="275">
        <f>SUM($D20:INDEX($D20:$AA20,1,MATCH(DATE(YEAR(inputs!$A$1),MONTH(inputs!$A$1),1),$D$3:$AA$3,0)))</f>
        <v>0</v>
      </c>
      <c r="AE20" s="275">
        <f t="shared" ref="AE20:AE21" si="6">SUM(D20:AA20)</f>
        <v>0</v>
      </c>
    </row>
    <row r="21" spans="1:31" outlineLevel="1" x14ac:dyDescent="0.25">
      <c r="A21" s="179" t="s">
        <v>570</v>
      </c>
      <c r="B21" s="179" t="s">
        <v>396</v>
      </c>
      <c r="C21" s="180" t="s">
        <v>514</v>
      </c>
      <c r="D21" s="181" cm="1">
        <f t="array" ref="D21">IF($A$2&lt;&gt;"Outros",
  -SUMPRODUCT(
    tb_desp[valor] *
    (tb_desp[nucleo]=$B$2) *
    (tb_desp[centro.negocio]=$B21)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(tb_desp[data.pagamento]&gt;=D$3) *
    (tb_desp[data.pagamento]&lt;EOMONTH(D$3,0)+1)
  )
)</f>
        <v>0</v>
      </c>
      <c r="E21" s="181" cm="1">
        <f t="array" ref="E21">IF($A$2&lt;&gt;"Outros",
  -SUMPRODUCT(
    tb_desp[valor] *
    (tb_desp[nucleo]=$B$2) *
    (tb_desp[centro.negocio]=$B21)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(tb_desp[data.pagamento]&gt;=E$3) *
    (tb_desp[data.pagamento]&lt;EOMONTH(E$3,0)+1)
  )
)</f>
        <v>0</v>
      </c>
      <c r="F21" s="181" cm="1">
        <f t="array" ref="F21">IF($A$2&lt;&gt;"Outros",
  -SUMPRODUCT(
    tb_desp[valor] *
    (tb_desp[nucleo]=$B$2) *
    (tb_desp[centro.negocio]=$B21)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(tb_desp[data.pagamento]&gt;=F$3) *
    (tb_desp[data.pagamento]&lt;EOMONTH(F$3,0)+1)
  )
)</f>
        <v>0</v>
      </c>
      <c r="G21" s="181" cm="1">
        <f t="array" ref="G21">IF($A$2&lt;&gt;"Outros",
  -SUMPRODUCT(
    tb_desp[valor] *
    (tb_desp[nucleo]=$B$2) *
    (tb_desp[centro.negocio]=$B21)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(tb_desp[data.pagamento]&gt;=G$3) *
    (tb_desp[data.pagamento]&lt;EOMONTH(G$3,0)+1)
  )
)</f>
        <v>0</v>
      </c>
      <c r="H21" s="181" cm="1">
        <f t="array" ref="H21">IF($A$2&lt;&gt;"Outros",
  -SUMPRODUCT(
    tb_desp[valor] *
    (tb_desp[nucleo]=$B$2) *
    (tb_desp[centro.negocio]=$B21)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(tb_desp[data.pagamento]&gt;=H$3) *
    (tb_desp[data.pagamento]&lt;EOMONTH(H$3,0)+1)
  )
)</f>
        <v>0</v>
      </c>
      <c r="I21" s="181" cm="1">
        <f t="array" ref="I21">IF($A$2&lt;&gt;"Outros",
  -SUMPRODUCT(
    tb_desp[valor] *
    (tb_desp[nucleo]=$B$2) *
    (tb_desp[centro.negocio]=$B21)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(tb_desp[data.pagamento]&gt;=I$3) *
    (tb_desp[data.pagamento]&lt;EOMONTH(I$3,0)+1)
  )
)</f>
        <v>0</v>
      </c>
      <c r="J21" s="181" cm="1">
        <f t="array" ref="J21">IF($A$2&lt;&gt;"Outros",
  -SUMPRODUCT(
    tb_desp[valor] *
    (tb_desp[nucleo]=$B$2) *
    (tb_desp[centro.negocio]=$B21)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(tb_desp[data.pagamento]&gt;=J$3) *
    (tb_desp[data.pagamento]&lt;EOMONTH(J$3,0)+1)
  )
)</f>
        <v>0</v>
      </c>
      <c r="K21" s="181" cm="1">
        <f t="array" ref="K21">IF($A$2&lt;&gt;"Outros",
  -SUMPRODUCT(
    tb_desp[valor] *
    (tb_desp[nucleo]=$B$2) *
    (tb_desp[centro.negocio]=$B21)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(tb_desp[data.pagamento]&gt;=K$3) *
    (tb_desp[data.pagamento]&lt;EOMONTH(K$3,0)+1)
  )
)</f>
        <v>0</v>
      </c>
      <c r="L21" s="181" cm="1">
        <f t="array" ref="L21">IF($A$2&lt;&gt;"Outros",
  -SUMPRODUCT(
    tb_desp[valor] *
    (tb_desp[nucleo]=$B$2) *
    (tb_desp[centro.negocio]=$B21)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(tb_desp[data.pagamento]&gt;=L$3) *
    (tb_desp[data.pagamento]&lt;EOMONTH(L$3,0)+1)
  )
)</f>
        <v>0</v>
      </c>
      <c r="M21" s="181" cm="1">
        <f t="array" ref="M21">IF($A$2&lt;&gt;"Outros",
  -SUMPRODUCT(
    tb_desp[valor] *
    (tb_desp[nucleo]=$B$2) *
    (tb_desp[centro.negocio]=$B21)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(tb_desp[data.pagamento]&gt;=M$3) *
    (tb_desp[data.pagamento]&lt;EOMONTH(M$3,0)+1)
  )
)</f>
        <v>0</v>
      </c>
      <c r="N21" s="181" cm="1">
        <f t="array" ref="N21">IF($A$2&lt;&gt;"Outros",
  -SUMPRODUCT(
    tb_desp[valor] *
    (tb_desp[nucleo]=$B$2) *
    (tb_desp[centro.negocio]=$B21)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(tb_desp[data.pagamento]&gt;=N$3) *
    (tb_desp[data.pagamento]&lt;EOMONTH(N$3,0)+1)
  )
)</f>
        <v>0</v>
      </c>
      <c r="O21" s="181" cm="1">
        <f t="array" ref="O21">IF($A$2&lt;&gt;"Outros",
  -SUMPRODUCT(
    tb_desp[valor] *
    (tb_desp[nucleo]=$B$2) *
    (tb_desp[centro.negocio]=$B21)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(tb_desp[data.pagamento]&gt;=O$3) *
    (tb_desp[data.pagamento]&lt;EOMONTH(O$3,0)+1)
  )
)</f>
        <v>0</v>
      </c>
      <c r="P21" s="181" cm="1">
        <f t="array" ref="P21">IF($A$2&lt;&gt;"Outros",
  -SUMPRODUCT(
    tb_desp[valor] *
    (tb_desp[nucleo]=$B$2) *
    (tb_desp[centro.negocio]=$B21)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(tb_desp[data.pagamento]&gt;=P$3) *
    (tb_desp[data.pagamento]&lt;EOMONTH(P$3,0)+1)
  )
)</f>
        <v>0</v>
      </c>
      <c r="Q21" s="181" cm="1">
        <f t="array" ref="Q21">IF($A$2&lt;&gt;"Outros",
  -SUMPRODUCT(
    tb_desp[valor] *
    (tb_desp[nucleo]=$B$2) *
    (tb_desp[centro.negocio]=$B21)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(tb_desp[data.pagamento]&gt;=Q$3) *
    (tb_desp[data.pagamento]&lt;EOMONTH(Q$3,0)+1)
  )
)</f>
        <v>0</v>
      </c>
      <c r="R21" s="181" cm="1">
        <f t="array" ref="R21">IF($A$2&lt;&gt;"Outros",
  -SUMPRODUCT(
    tb_desp[valor] *
    (tb_desp[nucleo]=$B$2) *
    (tb_desp[centro.negocio]=$B21)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(tb_desp[data.pagamento]&gt;=R$3) *
    (tb_desp[data.pagamento]&lt;EOMONTH(R$3,0)+1)
  )
)</f>
        <v>0</v>
      </c>
      <c r="S21" s="181" cm="1">
        <f t="array" ref="S21">IF($A$2&lt;&gt;"Outros",
  -SUMPRODUCT(
    tb_desp[valor] *
    (tb_desp[nucleo]=$B$2) *
    (tb_desp[centro.negocio]=$B21)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(tb_desp[data.pagamento]&gt;=S$3) *
    (tb_desp[data.pagamento]&lt;EOMONTH(S$3,0)+1)
  )
)</f>
        <v>0</v>
      </c>
      <c r="T21" s="181" cm="1">
        <f t="array" ref="T21">IF($A$2&lt;&gt;"Outros",
  -SUMPRODUCT(
    tb_desp[valor] *
    (tb_desp[nucleo]=$B$2) *
    (tb_desp[centro.negocio]=$B21)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(tb_desp[data.pagamento]&gt;=T$3) *
    (tb_desp[data.pagamento]&lt;EOMONTH(T$3,0)+1)
  )
)</f>
        <v>0</v>
      </c>
      <c r="U21" s="181" cm="1">
        <f t="array" ref="U21">IF($A$2&lt;&gt;"Outros",
  -SUMPRODUCT(
    tb_desp[valor] *
    (tb_desp[nucleo]=$B$2) *
    (tb_desp[centro.negocio]=$B21)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(tb_desp[data.pagamento]&gt;=U$3) *
    (tb_desp[data.pagamento]&lt;EOMONTH(U$3,0)+1)
  )
)</f>
        <v>0</v>
      </c>
      <c r="V21" s="181" cm="1">
        <f t="array" ref="V21">IF($A$2&lt;&gt;"Outros",
  -SUMPRODUCT(
    tb_desp[valor] *
    (tb_desp[nucleo]=$B$2) *
    (tb_desp[centro.negocio]=$B21)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(tb_desp[data.pagamento]&gt;=V$3) *
    (tb_desp[data.pagamento]&lt;EOMONTH(V$3,0)+1)
  )
)</f>
        <v>0</v>
      </c>
      <c r="W21" s="181" cm="1">
        <f t="array" ref="W21">IF($A$2&lt;&gt;"Outros",
  -SUMPRODUCT(
    tb_desp[valor] *
    (tb_desp[nucleo]=$B$2) *
    (tb_desp[centro.negocio]=$B21)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(tb_desp[data.pagamento]&gt;=W$3) *
    (tb_desp[data.pagamento]&lt;EOMONTH(W$3,0)+1)
  )
)</f>
        <v>0</v>
      </c>
      <c r="X21" s="181" cm="1">
        <f t="array" ref="X21">IF($A$2&lt;&gt;"Outros",
  -SUMPRODUCT(
    tb_desp[valor] *
    (tb_desp[nucleo]=$B$2) *
    (tb_desp[centro.negocio]=$B21)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(tb_desp[data.pagamento]&gt;=X$3) *
    (tb_desp[data.pagamento]&lt;EOMONTH(X$3,0)+1)
  )
)</f>
        <v>0</v>
      </c>
      <c r="Y21" s="181" cm="1">
        <f t="array" ref="Y21">IF($A$2&lt;&gt;"Outros",
  -SUMPRODUCT(
    tb_desp[valor] *
    (tb_desp[nucleo]=$B$2) *
    (tb_desp[centro.negocio]=$B21)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(tb_desp[data.pagamento]&gt;=Y$3) *
    (tb_desp[data.pagamento]&lt;EOMONTH(Y$3,0)+1)
  )
)</f>
        <v>0</v>
      </c>
      <c r="Z21" s="181" cm="1">
        <f t="array" ref="Z21">IF($A$2&lt;&gt;"Outros",
  -SUMPRODUCT(
    tb_desp[valor] *
    (tb_desp[nucleo]=$B$2) *
    (tb_desp[centro.negocio]=$B21)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(tb_desp[data.pagamento]&gt;=Z$3) *
    (tb_desp[data.pagamento]&lt;EOMONTH(Z$3,0)+1)
  )
)</f>
        <v>0</v>
      </c>
      <c r="AA21" s="181" cm="1">
        <f t="array" ref="AA21">IF($A$2&lt;&gt;"Outros",
  -SUMPRODUCT(
    tb_desp[valor] *
    (tb_desp[nucleo]=$B$2) *
    (tb_desp[centro.negocio]=$B21)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(tb_desp[centro.negocio]=$B21) *
    (tb_desp[data.pagamento]&gt;=AA$3) *
    (tb_desp[data.pagamento]&lt;EOMONTH(AA$3,0)+1)
  )
)</f>
        <v>0</v>
      </c>
      <c r="AC21" s="275">
        <f>SUM($D21:INDEX($D21:$AA21,1,MATCH(DATE(YEAR(inputs!$A$1),MONTH(inputs!$A$1),1),$D$3:$AA$3,0)))</f>
        <v>0</v>
      </c>
      <c r="AE21" s="275">
        <f t="shared" si="6"/>
        <v>0</v>
      </c>
    </row>
    <row r="22" spans="1:31" outlineLevel="1" x14ac:dyDescent="0.25">
      <c r="A22" s="179" t="s">
        <v>582</v>
      </c>
      <c r="B22" s="179" t="s">
        <v>355</v>
      </c>
      <c r="C22" s="180" t="s">
        <v>514</v>
      </c>
      <c r="D22" s="181" cm="1">
        <f t="array" ref="D22">IF($A$2&lt;&gt;"Outros",
  -SUMPRODUCT(
    tb_desp[valor] *
    (tb_desp[nucleo]=$B$2) *
    (tb_desp[centro.negocio]=$B22)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(tb_desp[data.pagamento]&gt;=D$3) *
    (tb_desp[data.pagamento]&lt;EOMONTH(D$3,0)+1)
  )
)</f>
        <v>0</v>
      </c>
      <c r="E22" s="181" cm="1">
        <f t="array" ref="E22">IF($A$2&lt;&gt;"Outros",
  -SUMPRODUCT(
    tb_desp[valor] *
    (tb_desp[nucleo]=$B$2) *
    (tb_desp[centro.negocio]=$B22)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(tb_desp[data.pagamento]&gt;=E$3) *
    (tb_desp[data.pagamento]&lt;EOMONTH(E$3,0)+1)
  )
)</f>
        <v>0</v>
      </c>
      <c r="F22" s="181" cm="1">
        <f t="array" ref="F22">IF($A$2&lt;&gt;"Outros",
  -SUMPRODUCT(
    tb_desp[valor] *
    (tb_desp[nucleo]=$B$2) *
    (tb_desp[centro.negocio]=$B22)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(tb_desp[data.pagamento]&gt;=F$3) *
    (tb_desp[data.pagamento]&lt;EOMONTH(F$3,0)+1)
  )
)</f>
        <v>0</v>
      </c>
      <c r="G22" s="181" cm="1">
        <f t="array" ref="G22">IF($A$2&lt;&gt;"Outros",
  -SUMPRODUCT(
    tb_desp[valor] *
    (tb_desp[nucleo]=$B$2) *
    (tb_desp[centro.negocio]=$B22)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(tb_desp[data.pagamento]&gt;=G$3) *
    (tb_desp[data.pagamento]&lt;EOMONTH(G$3,0)+1)
  )
)</f>
        <v>0</v>
      </c>
      <c r="H22" s="181" cm="1">
        <f t="array" ref="H22">IF($A$2&lt;&gt;"Outros",
  -SUMPRODUCT(
    tb_desp[valor] *
    (tb_desp[nucleo]=$B$2) *
    (tb_desp[centro.negocio]=$B22)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(tb_desp[data.pagamento]&gt;=H$3) *
    (tb_desp[data.pagamento]&lt;EOMONTH(H$3,0)+1)
  )
)</f>
        <v>0</v>
      </c>
      <c r="I22" s="181" cm="1">
        <f t="array" ref="I22">IF($A$2&lt;&gt;"Outros",
  -SUMPRODUCT(
    tb_desp[valor] *
    (tb_desp[nucleo]=$B$2) *
    (tb_desp[centro.negocio]=$B22)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(tb_desp[data.pagamento]&gt;=I$3) *
    (tb_desp[data.pagamento]&lt;EOMONTH(I$3,0)+1)
  )
)</f>
        <v>0</v>
      </c>
      <c r="J22" s="181" cm="1">
        <f t="array" ref="J22">IF($A$2&lt;&gt;"Outros",
  -SUMPRODUCT(
    tb_desp[valor] *
    (tb_desp[nucleo]=$B$2) *
    (tb_desp[centro.negocio]=$B22)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(tb_desp[data.pagamento]&gt;=J$3) *
    (tb_desp[data.pagamento]&lt;EOMONTH(J$3,0)+1)
  )
)</f>
        <v>0</v>
      </c>
      <c r="K22" s="181" cm="1">
        <f t="array" ref="K22">IF($A$2&lt;&gt;"Outros",
  -SUMPRODUCT(
    tb_desp[valor] *
    (tb_desp[nucleo]=$B$2) *
    (tb_desp[centro.negocio]=$B22)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(tb_desp[data.pagamento]&gt;=K$3) *
    (tb_desp[data.pagamento]&lt;EOMONTH(K$3,0)+1)
  )
)</f>
        <v>0</v>
      </c>
      <c r="L22" s="181" cm="1">
        <f t="array" ref="L22">IF($A$2&lt;&gt;"Outros",
  -SUMPRODUCT(
    tb_desp[valor] *
    (tb_desp[nucleo]=$B$2) *
    (tb_desp[centro.negocio]=$B22)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(tb_desp[data.pagamento]&gt;=L$3) *
    (tb_desp[data.pagamento]&lt;EOMONTH(L$3,0)+1)
  )
)</f>
        <v>0</v>
      </c>
      <c r="M22" s="181" cm="1">
        <f t="array" ref="M22">IF($A$2&lt;&gt;"Outros",
  -SUMPRODUCT(
    tb_desp[valor] *
    (tb_desp[nucleo]=$B$2) *
    (tb_desp[centro.negocio]=$B22)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(tb_desp[data.pagamento]&gt;=M$3) *
    (tb_desp[data.pagamento]&lt;EOMONTH(M$3,0)+1)
  )
)</f>
        <v>0</v>
      </c>
      <c r="N22" s="181" cm="1">
        <f t="array" ref="N22">IF($A$2&lt;&gt;"Outros",
  -SUMPRODUCT(
    tb_desp[valor] *
    (tb_desp[nucleo]=$B$2) *
    (tb_desp[centro.negocio]=$B22)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(tb_desp[data.pagamento]&gt;=N$3) *
    (tb_desp[data.pagamento]&lt;EOMONTH(N$3,0)+1)
  )
)</f>
        <v>0</v>
      </c>
      <c r="O22" s="181" cm="1">
        <f t="array" ref="O22">IF($A$2&lt;&gt;"Outros",
  -SUMPRODUCT(
    tb_desp[valor] *
    (tb_desp[nucleo]=$B$2) *
    (tb_desp[centro.negocio]=$B22)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(tb_desp[data.pagamento]&gt;=O$3) *
    (tb_desp[data.pagamento]&lt;EOMONTH(O$3,0)+1)
  )
)</f>
        <v>0</v>
      </c>
      <c r="P22" s="181" cm="1">
        <f t="array" ref="P22">IF($A$2&lt;&gt;"Outros",
  -SUMPRODUCT(
    tb_desp[valor] *
    (tb_desp[nucleo]=$B$2) *
    (tb_desp[centro.negocio]=$B22)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(tb_desp[data.pagamento]&gt;=P$3) *
    (tb_desp[data.pagamento]&lt;EOMONTH(P$3,0)+1)
  )
)</f>
        <v>0</v>
      </c>
      <c r="Q22" s="181" cm="1">
        <f t="array" ref="Q22">IF($A$2&lt;&gt;"Outros",
  -SUMPRODUCT(
    tb_desp[valor] *
    (tb_desp[nucleo]=$B$2) *
    (tb_desp[centro.negocio]=$B22)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(tb_desp[data.pagamento]&gt;=Q$3) *
    (tb_desp[data.pagamento]&lt;EOMONTH(Q$3,0)+1)
  )
)</f>
        <v>0</v>
      </c>
      <c r="R22" s="181" cm="1">
        <f t="array" ref="R22">IF($A$2&lt;&gt;"Outros",
  -SUMPRODUCT(
    tb_desp[valor] *
    (tb_desp[nucleo]=$B$2) *
    (tb_desp[centro.negocio]=$B22)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(tb_desp[data.pagamento]&gt;=R$3) *
    (tb_desp[data.pagamento]&lt;EOMONTH(R$3,0)+1)
  )
)</f>
        <v>0</v>
      </c>
      <c r="S22" s="181" cm="1">
        <f t="array" ref="S22">IF($A$2&lt;&gt;"Outros",
  -SUMPRODUCT(
    tb_desp[valor] *
    (tb_desp[nucleo]=$B$2) *
    (tb_desp[centro.negocio]=$B22)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(tb_desp[data.pagamento]&gt;=S$3) *
    (tb_desp[data.pagamento]&lt;EOMONTH(S$3,0)+1)
  )
)</f>
        <v>0</v>
      </c>
      <c r="T22" s="181" cm="1">
        <f t="array" ref="T22">IF($A$2&lt;&gt;"Outros",
  -SUMPRODUCT(
    tb_desp[valor] *
    (tb_desp[nucleo]=$B$2) *
    (tb_desp[centro.negocio]=$B22)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(tb_desp[data.pagamento]&gt;=T$3) *
    (tb_desp[data.pagamento]&lt;EOMONTH(T$3,0)+1)
  )
)</f>
        <v>0</v>
      </c>
      <c r="U22" s="181" cm="1">
        <f t="array" ref="U22">IF($A$2&lt;&gt;"Outros",
  -SUMPRODUCT(
    tb_desp[valor] *
    (tb_desp[nucleo]=$B$2) *
    (tb_desp[centro.negocio]=$B22)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(tb_desp[data.pagamento]&gt;=U$3) *
    (tb_desp[data.pagamento]&lt;EOMONTH(U$3,0)+1)
  )
)</f>
        <v>0</v>
      </c>
      <c r="V22" s="181" cm="1">
        <f t="array" ref="V22">IF($A$2&lt;&gt;"Outros",
  -SUMPRODUCT(
    tb_desp[valor] *
    (tb_desp[nucleo]=$B$2) *
    (tb_desp[centro.negocio]=$B22)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(tb_desp[data.pagamento]&gt;=V$3) *
    (tb_desp[data.pagamento]&lt;EOMONTH(V$3,0)+1)
  )
)</f>
        <v>0</v>
      </c>
      <c r="W22" s="181" cm="1">
        <f t="array" ref="W22">IF($A$2&lt;&gt;"Outros",
  -SUMPRODUCT(
    tb_desp[valor] *
    (tb_desp[nucleo]=$B$2) *
    (tb_desp[centro.negocio]=$B22)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(tb_desp[data.pagamento]&gt;=W$3) *
    (tb_desp[data.pagamento]&lt;EOMONTH(W$3,0)+1)
  )
)</f>
        <v>0</v>
      </c>
      <c r="X22" s="181" cm="1">
        <f t="array" ref="X22">IF($A$2&lt;&gt;"Outros",
  -SUMPRODUCT(
    tb_desp[valor] *
    (tb_desp[nucleo]=$B$2) *
    (tb_desp[centro.negocio]=$B22)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(tb_desp[data.pagamento]&gt;=X$3) *
    (tb_desp[data.pagamento]&lt;EOMONTH(X$3,0)+1)
  )
)</f>
        <v>0</v>
      </c>
      <c r="Y22" s="181" cm="1">
        <f t="array" ref="Y22">IF($A$2&lt;&gt;"Outros",
  -SUMPRODUCT(
    tb_desp[valor] *
    (tb_desp[nucleo]=$B$2) *
    (tb_desp[centro.negocio]=$B22)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(tb_desp[data.pagamento]&gt;=Y$3) *
    (tb_desp[data.pagamento]&lt;EOMONTH(Y$3,0)+1)
  )
)</f>
        <v>0</v>
      </c>
      <c r="Z22" s="181" cm="1">
        <f t="array" ref="Z22">IF($A$2&lt;&gt;"Outros",
  -SUMPRODUCT(
    tb_desp[valor] *
    (tb_desp[nucleo]=$B$2) *
    (tb_desp[centro.negocio]=$B22)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(tb_desp[data.pagamento]&gt;=Z$3) *
    (tb_desp[data.pagamento]&lt;EOMONTH(Z$3,0)+1)
  )
)</f>
        <v>0</v>
      </c>
      <c r="AA22" s="181" cm="1">
        <f t="array" ref="AA22">IF($A$2&lt;&gt;"Outros",
  -SUMPRODUCT(
    tb_desp[valor] *
    (tb_desp[nucleo]=$B$2) *
    (tb_desp[centro.negocio]=$B22)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(tb_desp[centro.negocio]=$B22) *
    (tb_desp[data.pagamento]&gt;=AA$3) *
    (tb_desp[data.pagamento]&lt;EOMONTH(AA$3,0)+1)
  )
)</f>
        <v>0</v>
      </c>
      <c r="AC22" s="275">
        <f>SUM($D22:INDEX($D22:$AA22,1,MATCH(DATE(YEAR(inputs!$A$1),MONTH(inputs!$A$1),1),$D$3:$AA$3,0)))</f>
        <v>0</v>
      </c>
      <c r="AE22" s="275">
        <f t="shared" si="4"/>
        <v>0</v>
      </c>
    </row>
    <row r="23" spans="1:31" outlineLevel="1" x14ac:dyDescent="0.25">
      <c r="A23" s="179" t="s">
        <v>584</v>
      </c>
      <c r="B23" s="179" t="s">
        <v>365</v>
      </c>
      <c r="C23" s="180" t="s">
        <v>514</v>
      </c>
      <c r="D23" s="181" cm="1">
        <f t="array" ref="D23">IF($A$2&lt;&gt;"Outros",
  -SUMPRODUCT(
    tb_desp[valor] *
    (tb_desp[nucleo]=$B$2) *
    (tb_desp[centro.negocio]=$B23)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(tb_desp[data.pagamento]&gt;=D$3) *
    (tb_desp[data.pagamento]&lt;EOMONTH(D$3,0)+1)
  )
)</f>
        <v>0</v>
      </c>
      <c r="E23" s="181" cm="1">
        <f t="array" ref="E23">IF($A$2&lt;&gt;"Outros",
  -SUMPRODUCT(
    tb_desp[valor] *
    (tb_desp[nucleo]=$B$2) *
    (tb_desp[centro.negocio]=$B23)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(tb_desp[data.pagamento]&gt;=E$3) *
    (tb_desp[data.pagamento]&lt;EOMONTH(E$3,0)+1)
  )
)</f>
        <v>0</v>
      </c>
      <c r="F23" s="181" cm="1">
        <f t="array" ref="F23">IF($A$2&lt;&gt;"Outros",
  -SUMPRODUCT(
    tb_desp[valor] *
    (tb_desp[nucleo]=$B$2) *
    (tb_desp[centro.negocio]=$B23)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(tb_desp[data.pagamento]&gt;=F$3) *
    (tb_desp[data.pagamento]&lt;EOMONTH(F$3,0)+1)
  )
)</f>
        <v>0</v>
      </c>
      <c r="G23" s="181" cm="1">
        <f t="array" ref="G23">IF($A$2&lt;&gt;"Outros",
  -SUMPRODUCT(
    tb_desp[valor] *
    (tb_desp[nucleo]=$B$2) *
    (tb_desp[centro.negocio]=$B23)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(tb_desp[data.pagamento]&gt;=G$3) *
    (tb_desp[data.pagamento]&lt;EOMONTH(G$3,0)+1)
  )
)</f>
        <v>0</v>
      </c>
      <c r="H23" s="181" cm="1">
        <f t="array" ref="H23">IF($A$2&lt;&gt;"Outros",
  -SUMPRODUCT(
    tb_desp[valor] *
    (tb_desp[nucleo]=$B$2) *
    (tb_desp[centro.negocio]=$B23)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(tb_desp[data.pagamento]&gt;=H$3) *
    (tb_desp[data.pagamento]&lt;EOMONTH(H$3,0)+1)
  )
)</f>
        <v>0</v>
      </c>
      <c r="I23" s="181" cm="1">
        <f t="array" ref="I23">IF($A$2&lt;&gt;"Outros",
  -SUMPRODUCT(
    tb_desp[valor] *
    (tb_desp[nucleo]=$B$2) *
    (tb_desp[centro.negocio]=$B23)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(tb_desp[data.pagamento]&gt;=I$3) *
    (tb_desp[data.pagamento]&lt;EOMONTH(I$3,0)+1)
  )
)</f>
        <v>0</v>
      </c>
      <c r="J23" s="181" cm="1">
        <f t="array" ref="J23">IF($A$2&lt;&gt;"Outros",
  -SUMPRODUCT(
    tb_desp[valor] *
    (tb_desp[nucleo]=$B$2) *
    (tb_desp[centro.negocio]=$B23)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(tb_desp[data.pagamento]&gt;=J$3) *
    (tb_desp[data.pagamento]&lt;EOMONTH(J$3,0)+1)
  )
)</f>
        <v>0</v>
      </c>
      <c r="K23" s="181" cm="1">
        <f t="array" ref="K23">IF($A$2&lt;&gt;"Outros",
  -SUMPRODUCT(
    tb_desp[valor] *
    (tb_desp[nucleo]=$B$2) *
    (tb_desp[centro.negocio]=$B23)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(tb_desp[data.pagamento]&gt;=K$3) *
    (tb_desp[data.pagamento]&lt;EOMONTH(K$3,0)+1)
  )
)</f>
        <v>0</v>
      </c>
      <c r="L23" s="181" cm="1">
        <f t="array" ref="L23">IF($A$2&lt;&gt;"Outros",
  -SUMPRODUCT(
    tb_desp[valor] *
    (tb_desp[nucleo]=$B$2) *
    (tb_desp[centro.negocio]=$B23)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(tb_desp[data.pagamento]&gt;=L$3) *
    (tb_desp[data.pagamento]&lt;EOMONTH(L$3,0)+1)
  )
)</f>
        <v>0</v>
      </c>
      <c r="M23" s="181" cm="1">
        <f t="array" ref="M23">IF($A$2&lt;&gt;"Outros",
  -SUMPRODUCT(
    tb_desp[valor] *
    (tb_desp[nucleo]=$B$2) *
    (tb_desp[centro.negocio]=$B23)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(tb_desp[data.pagamento]&gt;=M$3) *
    (tb_desp[data.pagamento]&lt;EOMONTH(M$3,0)+1)
  )
)</f>
        <v>0</v>
      </c>
      <c r="N23" s="181" cm="1">
        <f t="array" ref="N23">IF($A$2&lt;&gt;"Outros",
  -SUMPRODUCT(
    tb_desp[valor] *
    (tb_desp[nucleo]=$B$2) *
    (tb_desp[centro.negocio]=$B23)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(tb_desp[data.pagamento]&gt;=N$3) *
    (tb_desp[data.pagamento]&lt;EOMONTH(N$3,0)+1)
  )
)</f>
        <v>0</v>
      </c>
      <c r="O23" s="181" cm="1">
        <f t="array" ref="O23">IF($A$2&lt;&gt;"Outros",
  -SUMPRODUCT(
    tb_desp[valor] *
    (tb_desp[nucleo]=$B$2) *
    (tb_desp[centro.negocio]=$B23)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(tb_desp[data.pagamento]&gt;=O$3) *
    (tb_desp[data.pagamento]&lt;EOMONTH(O$3,0)+1)
  )
)</f>
        <v>0</v>
      </c>
      <c r="P23" s="181" cm="1">
        <f t="array" ref="P23">IF($A$2&lt;&gt;"Outros",
  -SUMPRODUCT(
    tb_desp[valor] *
    (tb_desp[nucleo]=$B$2) *
    (tb_desp[centro.negocio]=$B23)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(tb_desp[data.pagamento]&gt;=P$3) *
    (tb_desp[data.pagamento]&lt;EOMONTH(P$3,0)+1)
  )
)</f>
        <v>0</v>
      </c>
      <c r="Q23" s="181" cm="1">
        <f t="array" ref="Q23">IF($A$2&lt;&gt;"Outros",
  -SUMPRODUCT(
    tb_desp[valor] *
    (tb_desp[nucleo]=$B$2) *
    (tb_desp[centro.negocio]=$B23)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(tb_desp[data.pagamento]&gt;=Q$3) *
    (tb_desp[data.pagamento]&lt;EOMONTH(Q$3,0)+1)
  )
)</f>
        <v>0</v>
      </c>
      <c r="R23" s="181" cm="1">
        <f t="array" ref="R23">IF($A$2&lt;&gt;"Outros",
  -SUMPRODUCT(
    tb_desp[valor] *
    (tb_desp[nucleo]=$B$2) *
    (tb_desp[centro.negocio]=$B23)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(tb_desp[data.pagamento]&gt;=R$3) *
    (tb_desp[data.pagamento]&lt;EOMONTH(R$3,0)+1)
  )
)</f>
        <v>0</v>
      </c>
      <c r="S23" s="181" cm="1">
        <f t="array" ref="S23">IF($A$2&lt;&gt;"Outros",
  -SUMPRODUCT(
    tb_desp[valor] *
    (tb_desp[nucleo]=$B$2) *
    (tb_desp[centro.negocio]=$B23)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(tb_desp[data.pagamento]&gt;=S$3) *
    (tb_desp[data.pagamento]&lt;EOMONTH(S$3,0)+1)
  )
)</f>
        <v>0</v>
      </c>
      <c r="T23" s="181" cm="1">
        <f t="array" ref="T23">IF($A$2&lt;&gt;"Outros",
  -SUMPRODUCT(
    tb_desp[valor] *
    (tb_desp[nucleo]=$B$2) *
    (tb_desp[centro.negocio]=$B23)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(tb_desp[data.pagamento]&gt;=T$3) *
    (tb_desp[data.pagamento]&lt;EOMONTH(T$3,0)+1)
  )
)</f>
        <v>0</v>
      </c>
      <c r="U23" s="181" cm="1">
        <f t="array" ref="U23">IF($A$2&lt;&gt;"Outros",
  -SUMPRODUCT(
    tb_desp[valor] *
    (tb_desp[nucleo]=$B$2) *
    (tb_desp[centro.negocio]=$B23)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(tb_desp[data.pagamento]&gt;=U$3) *
    (tb_desp[data.pagamento]&lt;EOMONTH(U$3,0)+1)
  )
)</f>
        <v>0</v>
      </c>
      <c r="V23" s="181" cm="1">
        <f t="array" ref="V23">IF($A$2&lt;&gt;"Outros",
  -SUMPRODUCT(
    tb_desp[valor] *
    (tb_desp[nucleo]=$B$2) *
    (tb_desp[centro.negocio]=$B23)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(tb_desp[data.pagamento]&gt;=V$3) *
    (tb_desp[data.pagamento]&lt;EOMONTH(V$3,0)+1)
  )
)</f>
        <v>0</v>
      </c>
      <c r="W23" s="181" cm="1">
        <f t="array" ref="W23">IF($A$2&lt;&gt;"Outros",
  -SUMPRODUCT(
    tb_desp[valor] *
    (tb_desp[nucleo]=$B$2) *
    (tb_desp[centro.negocio]=$B23)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(tb_desp[data.pagamento]&gt;=W$3) *
    (tb_desp[data.pagamento]&lt;EOMONTH(W$3,0)+1)
  )
)</f>
        <v>0</v>
      </c>
      <c r="X23" s="181" cm="1">
        <f t="array" ref="X23">IF($A$2&lt;&gt;"Outros",
  -SUMPRODUCT(
    tb_desp[valor] *
    (tb_desp[nucleo]=$B$2) *
    (tb_desp[centro.negocio]=$B23)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(tb_desp[data.pagamento]&gt;=X$3) *
    (tb_desp[data.pagamento]&lt;EOMONTH(X$3,0)+1)
  )
)</f>
        <v>0</v>
      </c>
      <c r="Y23" s="181" cm="1">
        <f t="array" ref="Y23">IF($A$2&lt;&gt;"Outros",
  -SUMPRODUCT(
    tb_desp[valor] *
    (tb_desp[nucleo]=$B$2) *
    (tb_desp[centro.negocio]=$B23)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(tb_desp[data.pagamento]&gt;=Y$3) *
    (tb_desp[data.pagamento]&lt;EOMONTH(Y$3,0)+1)
  )
)</f>
        <v>0</v>
      </c>
      <c r="Z23" s="181" cm="1">
        <f t="array" ref="Z23">IF($A$2&lt;&gt;"Outros",
  -SUMPRODUCT(
    tb_desp[valor] *
    (tb_desp[nucleo]=$B$2) *
    (tb_desp[centro.negocio]=$B23)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(tb_desp[data.pagamento]&gt;=Z$3) *
    (tb_desp[data.pagamento]&lt;EOMONTH(Z$3,0)+1)
  )
)</f>
        <v>0</v>
      </c>
      <c r="AA23" s="181" cm="1">
        <f t="array" ref="AA23">IF($A$2&lt;&gt;"Outros",
  -SUMPRODUCT(
    tb_desp[valor] *
    (tb_desp[nucleo]=$B$2) *
    (tb_desp[centro.negocio]=$B23)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(tb_desp[centro.negocio]=$B23) *
    (tb_desp[data.pagamento]&gt;=AA$3) *
    (tb_desp[data.pagamento]&lt;EOMONTH(AA$3,0)+1)
  )
)</f>
        <v>0</v>
      </c>
      <c r="AC23" s="275">
        <f>SUM($D23:INDEX($D23:$AA23,1,MATCH(DATE(YEAR(inputs!$A$1),MONTH(inputs!$A$1),1),$D$3:$AA$3,0)))</f>
        <v>0</v>
      </c>
      <c r="AE23" s="275">
        <f t="shared" ref="AE23" si="7">SUM(D23:AA23)</f>
        <v>0</v>
      </c>
    </row>
    <row r="24" spans="1:31" outlineLevel="1" x14ac:dyDescent="0.25">
      <c r="A24" s="179" t="s">
        <v>940</v>
      </c>
      <c r="B24" s="179" t="s">
        <v>691</v>
      </c>
      <c r="C24" s="180" t="s">
        <v>514</v>
      </c>
      <c r="D24" s="181" cm="1">
        <f t="array" ref="D24">IF($A$2&lt;&gt;"Outros",
-SUMPRODUCT(
tb_desp[valor]*
(tb_desp[nucleo]=$B$2)*
(tb_desp[data.pagamento]&gt;=D$3)*
(tb_desp[data.pagamento]&lt;EOMONTH(D$3,0)+1)*
--ISNA(MATCH(tb_desp[centro.negocio],{"NF - Mão de Obra";"Operações Financeiras/juros";"Operações Financeiras - Geral";"Operações Financeira";"Terreno"},0))
)
-SUM(D$11:D$23)
-D$41,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(tb_desp[data.pagamento]&gt;=D$3)*
(tb_desp[data.pagamento]&lt;EOMONTH(D$3,0)+1)*
--ISNA(MATCH(tb_desp[centro.negocio],{"NF - Mão de Obra";"Operações Financeiras/juros";"Operações Financeiras - Geral";"Operações Financeira";"Terreno"},0))
)
-SUM(D$11:D$23)
-D$41
)</f>
        <v>0</v>
      </c>
      <c r="E24" s="181" cm="1">
        <f t="array" ref="E24">IF($A$2&lt;&gt;"Outros",
-SUMPRODUCT(
tb_desp[valor]*
(tb_desp[nucleo]=$B$2)*
(tb_desp[data.pagamento]&gt;=E$3)*
(tb_desp[data.pagamento]&lt;EOMONTH(E$3,0)+1)*
--ISNA(MATCH(tb_desp[centro.negocio],{"NF - Mão de Obra";"Operações Financeiras/juros";"Operações Financeiras - Geral";"Operações Financeira";"Terreno"},0))
)
-SUM(E$11:E$23)
-E$41,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(tb_desp[data.pagamento]&gt;=E$3)*
(tb_desp[data.pagamento]&lt;EOMONTH(E$3,0)+1)*
--ISNA(MATCH(tb_desp[centro.negocio],{"NF - Mão de Obra";"Operações Financeiras/juros";"Operações Financeiras - Geral";"Operações Financeira";"Terreno"},0))
)
-SUM(E$11:E$23)
-E$41
)</f>
        <v>0</v>
      </c>
      <c r="F24" s="181" cm="1">
        <f t="array" ref="F24">IF($A$2&lt;&gt;"Outros",
-SUMPRODUCT(
tb_desp[valor]*
(tb_desp[nucleo]=$B$2)*
(tb_desp[data.pagamento]&gt;=F$3)*
(tb_desp[data.pagamento]&lt;EOMONTH(F$3,0)+1)*
--ISNA(MATCH(tb_desp[centro.negocio],{"NF - Mão de Obra";"Operações Financeiras/juros";"Operações Financeiras - Geral";"Operações Financeira";"Terreno"},0))
)
-SUM(F$11:F$23)
-F$41,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(tb_desp[data.pagamento]&gt;=F$3)*
(tb_desp[data.pagamento]&lt;EOMONTH(F$3,0)+1)*
--ISNA(MATCH(tb_desp[centro.negocio],{"NF - Mão de Obra";"Operações Financeiras/juros";"Operações Financeiras - Geral";"Operações Financeira";"Terreno"},0))
)
-SUM(F$11:F$23)
-F$41
)</f>
        <v>0</v>
      </c>
      <c r="G24" s="181" cm="1">
        <f t="array" ref="G24">IF($A$2&lt;&gt;"Outros",
-SUMPRODUCT(
tb_desp[valor]*
(tb_desp[nucleo]=$B$2)*
(tb_desp[data.pagamento]&gt;=G$3)*
(tb_desp[data.pagamento]&lt;EOMONTH(G$3,0)+1)*
--ISNA(MATCH(tb_desp[centro.negocio],{"NF - Mão de Obra";"Operações Financeiras/juros";"Operações Financeiras - Geral";"Operações Financeira";"Terreno"},0))
)
-SUM(G$11:G$23)
-G$41,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(tb_desp[data.pagamento]&gt;=G$3)*
(tb_desp[data.pagamento]&lt;EOMONTH(G$3,0)+1)*
--ISNA(MATCH(tb_desp[centro.negocio],{"NF - Mão de Obra";"Operações Financeiras/juros";"Operações Financeiras - Geral";"Operações Financeira";"Terreno"},0))
)
-SUM(G$11:G$23)
-G$41
)</f>
        <v>0</v>
      </c>
      <c r="H24" s="181" cm="1">
        <f t="array" ref="H24">IF($A$2&lt;&gt;"Outros",
-SUMPRODUCT(
tb_desp[valor]*
(tb_desp[nucleo]=$B$2)*
(tb_desp[data.pagamento]&gt;=H$3)*
(tb_desp[data.pagamento]&lt;EOMONTH(H$3,0)+1)*
--ISNA(MATCH(tb_desp[centro.negocio],{"NF - Mão de Obra";"Operações Financeiras/juros";"Operações Financeiras - Geral";"Operações Financeira";"Terreno"},0))
)
-SUM(H$11:H$23)
-H$41,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(tb_desp[data.pagamento]&gt;=H$3)*
(tb_desp[data.pagamento]&lt;EOMONTH(H$3,0)+1)*
--ISNA(MATCH(tb_desp[centro.negocio],{"NF - Mão de Obra";"Operações Financeiras/juros";"Operações Financeiras - Geral";"Operações Financeira";"Terreno"},0))
)
-SUM(H$11:H$23)
-H$41
)</f>
        <v>0</v>
      </c>
      <c r="I24" s="181" cm="1">
        <f t="array" ref="I24">IF($A$2&lt;&gt;"Outros",
-SUMPRODUCT(
tb_desp[valor]*
(tb_desp[nucleo]=$B$2)*
(tb_desp[data.pagamento]&gt;=I$3)*
(tb_desp[data.pagamento]&lt;EOMONTH(I$3,0)+1)*
--ISNA(MATCH(tb_desp[centro.negocio],{"NF - Mão de Obra";"Operações Financeiras/juros";"Operações Financeiras - Geral";"Operações Financeira";"Terreno"},0))
)
-SUM(I$11:I$23)
-I$41,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(tb_desp[data.pagamento]&gt;=I$3)*
(tb_desp[data.pagamento]&lt;EOMONTH(I$3,0)+1)*
--ISNA(MATCH(tb_desp[centro.negocio],{"NF - Mão de Obra";"Operações Financeiras/juros";"Operações Financeiras - Geral";"Operações Financeira";"Terreno"},0))
)
-SUM(I$11:I$23)
-I$41
)</f>
        <v>0</v>
      </c>
      <c r="J24" s="181" cm="1">
        <f t="array" ref="J24">IF($A$2&lt;&gt;"Outros",
-SUMPRODUCT(
tb_desp[valor]*
(tb_desp[nucleo]=$B$2)*
(tb_desp[data.pagamento]&gt;=J$3)*
(tb_desp[data.pagamento]&lt;EOMONTH(J$3,0)+1)*
--ISNA(MATCH(tb_desp[centro.negocio],{"NF - Mão de Obra";"Operações Financeiras/juros";"Operações Financeiras - Geral";"Operações Financeira";"Terreno"},0))
)
-SUM(J$11:J$23)
-J$41,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(tb_desp[data.pagamento]&gt;=J$3)*
(tb_desp[data.pagamento]&lt;EOMONTH(J$3,0)+1)*
--ISNA(MATCH(tb_desp[centro.negocio],{"NF - Mão de Obra";"Operações Financeiras/juros";"Operações Financeiras - Geral";"Operações Financeira";"Terreno"},0))
)
-SUM(J$11:J$23)
-J$41
)</f>
        <v>0</v>
      </c>
      <c r="K24" s="181" cm="1">
        <f t="array" ref="K24">IF($A$2&lt;&gt;"Outros",
-SUMPRODUCT(
tb_desp[valor]*
(tb_desp[nucleo]=$B$2)*
(tb_desp[data.pagamento]&gt;=K$3)*
(tb_desp[data.pagamento]&lt;EOMONTH(K$3,0)+1)*
--ISNA(MATCH(tb_desp[centro.negocio],{"NF - Mão de Obra";"Operações Financeiras/juros";"Operações Financeiras - Geral";"Operações Financeira";"Terreno"},0))
)
-SUM(K$11:K$23)
-K$41,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(tb_desp[data.pagamento]&gt;=K$3)*
(tb_desp[data.pagamento]&lt;EOMONTH(K$3,0)+1)*
--ISNA(MATCH(tb_desp[centro.negocio],{"NF - Mão de Obra";"Operações Financeiras/juros";"Operações Financeiras - Geral";"Operações Financeira";"Terreno"},0))
)
-SUM(K$11:K$23)
-K$41
)</f>
        <v>0</v>
      </c>
      <c r="L24" s="181" cm="1">
        <f t="array" ref="L24">IF($A$2&lt;&gt;"Outros",
-SUMPRODUCT(
tb_desp[valor]*
(tb_desp[nucleo]=$B$2)*
(tb_desp[data.pagamento]&gt;=L$3)*
(tb_desp[data.pagamento]&lt;EOMONTH(L$3,0)+1)*
--ISNA(MATCH(tb_desp[centro.negocio],{"NF - Mão de Obra";"Operações Financeiras/juros";"Operações Financeiras - Geral";"Operações Financeira";"Terreno"},0))
)
-SUM(L$11:L$23)
-L$41,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(tb_desp[data.pagamento]&gt;=L$3)*
(tb_desp[data.pagamento]&lt;EOMONTH(L$3,0)+1)*
--ISNA(MATCH(tb_desp[centro.negocio],{"NF - Mão de Obra";"Operações Financeiras/juros";"Operações Financeiras - Geral";"Operações Financeira";"Terreno"},0))
)
-SUM(L$11:L$23)
-L$41
)</f>
        <v>0</v>
      </c>
      <c r="M24" s="181" cm="1">
        <f t="array" ref="M24">IF($A$2&lt;&gt;"Outros",
-SUMPRODUCT(
tb_desp[valor]*
(tb_desp[nucleo]=$B$2)*
(tb_desp[data.pagamento]&gt;=M$3)*
(tb_desp[data.pagamento]&lt;EOMONTH(M$3,0)+1)*
--ISNA(MATCH(tb_desp[centro.negocio],{"NF - Mão de Obra";"Operações Financeiras/juros";"Operações Financeiras - Geral";"Operações Financeira";"Terreno"},0))
)
-SUM(M$11:M$23)
-M$41,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(tb_desp[data.pagamento]&gt;=M$3)*
(tb_desp[data.pagamento]&lt;EOMONTH(M$3,0)+1)*
--ISNA(MATCH(tb_desp[centro.negocio],{"NF - Mão de Obra";"Operações Financeiras/juros";"Operações Financeiras - Geral";"Operações Financeira";"Terreno"},0))
)
-SUM(M$11:M$23)
-M$41
)</f>
        <v>0</v>
      </c>
      <c r="N24" s="181" cm="1">
        <f t="array" ref="N24">IF($A$2&lt;&gt;"Outros",
-SUMPRODUCT(
tb_desp[valor]*
(tb_desp[nucleo]=$B$2)*
(tb_desp[data.pagamento]&gt;=N$3)*
(tb_desp[data.pagamento]&lt;EOMONTH(N$3,0)+1)*
--ISNA(MATCH(tb_desp[centro.negocio],{"NF - Mão de Obra";"Operações Financeiras/juros";"Operações Financeiras - Geral";"Operações Financeira";"Terreno"},0))
)
-SUM(N$11:N$23)
-N$41,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(tb_desp[data.pagamento]&gt;=N$3)*
(tb_desp[data.pagamento]&lt;EOMONTH(N$3,0)+1)*
--ISNA(MATCH(tb_desp[centro.negocio],{"NF - Mão de Obra";"Operações Financeiras/juros";"Operações Financeiras - Geral";"Operações Financeira";"Terreno"},0))
)
-SUM(N$11:N$23)
-N$41
)</f>
        <v>0</v>
      </c>
      <c r="O24" s="181" cm="1">
        <f t="array" ref="O24">IF($A$2&lt;&gt;"Outros",
-SUMPRODUCT(
tb_desp[valor]*
(tb_desp[nucleo]=$B$2)*
(tb_desp[data.pagamento]&gt;=O$3)*
(tb_desp[data.pagamento]&lt;EOMONTH(O$3,0)+1)*
--ISNA(MATCH(tb_desp[centro.negocio],{"NF - Mão de Obra";"Operações Financeiras/juros";"Operações Financeiras - Geral";"Operações Financeira";"Terreno"},0))
)
-SUM(O$11:O$23)
-O$41,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(tb_desp[data.pagamento]&gt;=O$3)*
(tb_desp[data.pagamento]&lt;EOMONTH(O$3,0)+1)*
--ISNA(MATCH(tb_desp[centro.negocio],{"NF - Mão de Obra";"Operações Financeiras/juros";"Operações Financeiras - Geral";"Operações Financeira";"Terreno"},0))
)
-SUM(O$11:O$23)
-O$41
)</f>
        <v>0</v>
      </c>
      <c r="P24" s="181" cm="1">
        <f t="array" ref="P24">IF($A$2&lt;&gt;"Outros",
-SUMPRODUCT(
tb_desp[valor]*
(tb_desp[nucleo]=$B$2)*
(tb_desp[data.pagamento]&gt;=P$3)*
(tb_desp[data.pagamento]&lt;EOMONTH(P$3,0)+1)*
--ISNA(MATCH(tb_desp[centro.negocio],{"NF - Mão de Obra";"Operações Financeiras/juros";"Operações Financeiras - Geral";"Operações Financeira";"Terreno"},0))
)
-SUM(P$11:P$23)
-P$41,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(tb_desp[data.pagamento]&gt;=P$3)*
(tb_desp[data.pagamento]&lt;EOMONTH(P$3,0)+1)*
--ISNA(MATCH(tb_desp[centro.negocio],{"NF - Mão de Obra";"Operações Financeiras/juros";"Operações Financeiras - Geral";"Operações Financeira";"Terreno"},0))
)
-SUM(P$11:P$23)
-P$41
)</f>
        <v>0</v>
      </c>
      <c r="Q24" s="181" cm="1">
        <f t="array" ref="Q24">IF($A$2&lt;&gt;"Outros",
-SUMPRODUCT(
tb_desp[valor]*
(tb_desp[nucleo]=$B$2)*
(tb_desp[data.pagamento]&gt;=Q$3)*
(tb_desp[data.pagamento]&lt;EOMONTH(Q$3,0)+1)*
--ISNA(MATCH(tb_desp[centro.negocio],{"NF - Mão de Obra";"Operações Financeiras/juros";"Operações Financeiras - Geral";"Operações Financeira";"Terreno"},0))
)
-SUM(Q$11:Q$23)
-Q$41,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(tb_desp[data.pagamento]&gt;=Q$3)*
(tb_desp[data.pagamento]&lt;EOMONTH(Q$3,0)+1)*
--ISNA(MATCH(tb_desp[centro.negocio],{"NF - Mão de Obra";"Operações Financeiras/juros";"Operações Financeiras - Geral";"Operações Financeira";"Terreno"},0))
)
-SUM(Q$11:Q$23)
-Q$41
)</f>
        <v>0</v>
      </c>
      <c r="R24" s="181" cm="1">
        <f t="array" ref="R24">IF($A$2&lt;&gt;"Outros",
-SUMPRODUCT(
tb_desp[valor]*
(tb_desp[nucleo]=$B$2)*
(tb_desp[data.pagamento]&gt;=R$3)*
(tb_desp[data.pagamento]&lt;EOMONTH(R$3,0)+1)*
--ISNA(MATCH(tb_desp[centro.negocio],{"NF - Mão de Obra";"Operações Financeiras/juros";"Operações Financeiras - Geral";"Operações Financeira";"Terreno"},0))
)
-SUM(R$11:R$23)
-R$41,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(tb_desp[data.pagamento]&gt;=R$3)*
(tb_desp[data.pagamento]&lt;EOMONTH(R$3,0)+1)*
--ISNA(MATCH(tb_desp[centro.negocio],{"NF - Mão de Obra";"Operações Financeiras/juros";"Operações Financeiras - Geral";"Operações Financeira";"Terreno"},0))
)
-SUM(R$11:R$23)
-R$41
)</f>
        <v>0</v>
      </c>
      <c r="S24" s="181" cm="1">
        <f t="array" ref="S24">IF($A$2&lt;&gt;"Outros",
-SUMPRODUCT(
tb_desp[valor]*
(tb_desp[nucleo]=$B$2)*
(tb_desp[data.pagamento]&gt;=S$3)*
(tb_desp[data.pagamento]&lt;EOMONTH(S$3,0)+1)*
--ISNA(MATCH(tb_desp[centro.negocio],{"NF - Mão de Obra";"Operações Financeiras/juros";"Operações Financeiras - Geral";"Operações Financeira";"Terreno"},0))
)
-SUM(S$11:S$23)
-S$41,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(tb_desp[data.pagamento]&gt;=S$3)*
(tb_desp[data.pagamento]&lt;EOMONTH(S$3,0)+1)*
--ISNA(MATCH(tb_desp[centro.negocio],{"NF - Mão de Obra";"Operações Financeiras/juros";"Operações Financeiras - Geral";"Operações Financeira";"Terreno"},0))
)
-SUM(S$11:S$23)
-S$41
)</f>
        <v>0</v>
      </c>
      <c r="T24" s="181" cm="1">
        <f t="array" ref="T24">IF($A$2&lt;&gt;"Outros",
-SUMPRODUCT(
tb_desp[valor]*
(tb_desp[nucleo]=$B$2)*
(tb_desp[data.pagamento]&gt;=T$3)*
(tb_desp[data.pagamento]&lt;EOMONTH(T$3,0)+1)*
--ISNA(MATCH(tb_desp[centro.negocio],{"NF - Mão de Obra";"Operações Financeiras/juros";"Operações Financeiras - Geral";"Operações Financeira";"Terreno"},0))
)
-SUM(T$11:T$23)
-T$41,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(tb_desp[data.pagamento]&gt;=T$3)*
(tb_desp[data.pagamento]&lt;EOMONTH(T$3,0)+1)*
--ISNA(MATCH(tb_desp[centro.negocio],{"NF - Mão de Obra";"Operações Financeiras/juros";"Operações Financeiras - Geral";"Operações Financeira";"Terreno"},0))
)
-SUM(T$11:T$23)
-T$41
)</f>
        <v>0</v>
      </c>
      <c r="U24" s="181" cm="1">
        <f t="array" ref="U24">IF($A$2&lt;&gt;"Outros",
-SUMPRODUCT(
tb_desp[valor]*
(tb_desp[nucleo]=$B$2)*
(tb_desp[data.pagamento]&gt;=U$3)*
(tb_desp[data.pagamento]&lt;EOMONTH(U$3,0)+1)*
--ISNA(MATCH(tb_desp[centro.negocio],{"NF - Mão de Obra";"Operações Financeiras/juros";"Operações Financeiras - Geral";"Operações Financeira";"Terreno"},0))
)
-SUM(U$11:U$23)
-U$41,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(tb_desp[data.pagamento]&gt;=U$3)*
(tb_desp[data.pagamento]&lt;EOMONTH(U$3,0)+1)*
--ISNA(MATCH(tb_desp[centro.negocio],{"NF - Mão de Obra";"Operações Financeiras/juros";"Operações Financeiras - Geral";"Operações Financeira";"Terreno"},0))
)
-SUM(U$11:U$23)
-U$41
)</f>
        <v>0</v>
      </c>
      <c r="V24" s="181" cm="1">
        <f t="array" ref="V24">IF($A$2&lt;&gt;"Outros",
-SUMPRODUCT(
tb_desp[valor]*
(tb_desp[nucleo]=$B$2)*
(tb_desp[data.pagamento]&gt;=V$3)*
(tb_desp[data.pagamento]&lt;EOMONTH(V$3,0)+1)*
--ISNA(MATCH(tb_desp[centro.negocio],{"NF - Mão de Obra";"Operações Financeiras/juros";"Operações Financeiras - Geral";"Operações Financeira";"Terreno"},0))
)
-SUM(V$11:V$23)
-V$41,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(tb_desp[data.pagamento]&gt;=V$3)*
(tb_desp[data.pagamento]&lt;EOMONTH(V$3,0)+1)*
--ISNA(MATCH(tb_desp[centro.negocio],{"NF - Mão de Obra";"Operações Financeiras/juros";"Operações Financeiras - Geral";"Operações Financeira";"Terreno"},0))
)
-SUM(V$11:V$23)
-V$41
)</f>
        <v>0</v>
      </c>
      <c r="W24" s="181" cm="1">
        <f t="array" ref="W24">IF($A$2&lt;&gt;"Outros",
-SUMPRODUCT(
tb_desp[valor]*
(tb_desp[nucleo]=$B$2)*
(tb_desp[data.pagamento]&gt;=W$3)*
(tb_desp[data.pagamento]&lt;EOMONTH(W$3,0)+1)*
--ISNA(MATCH(tb_desp[centro.negocio],{"NF - Mão de Obra";"Operações Financeiras/juros";"Operações Financeiras - Geral";"Operações Financeira";"Terreno"},0))
)
-SUM(W$11:W$23)
-W$41,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(tb_desp[data.pagamento]&gt;=W$3)*
(tb_desp[data.pagamento]&lt;EOMONTH(W$3,0)+1)*
--ISNA(MATCH(tb_desp[centro.negocio],{"NF - Mão de Obra";"Operações Financeiras/juros";"Operações Financeiras - Geral";"Operações Financeira";"Terreno"},0))
)
-SUM(W$11:W$23)
-W$41
)</f>
        <v>0</v>
      </c>
      <c r="X24" s="181" cm="1">
        <f t="array" ref="X24">IF($A$2&lt;&gt;"Outros",
-SUMPRODUCT(
tb_desp[valor]*
(tb_desp[nucleo]=$B$2)*
(tb_desp[data.pagamento]&gt;=X$3)*
(tb_desp[data.pagamento]&lt;EOMONTH(X$3,0)+1)*
--ISNA(MATCH(tb_desp[centro.negocio],{"NF - Mão de Obra";"Operações Financeiras/juros";"Operações Financeiras - Geral";"Operações Financeira";"Terreno"},0))
)
-SUM(X$11:X$23)
-X$41,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(tb_desp[data.pagamento]&gt;=X$3)*
(tb_desp[data.pagamento]&lt;EOMONTH(X$3,0)+1)*
--ISNA(MATCH(tb_desp[centro.negocio],{"NF - Mão de Obra";"Operações Financeiras/juros";"Operações Financeiras - Geral";"Operações Financeira";"Terreno"},0))
)
-SUM(X$11:X$23)
-X$41
)</f>
        <v>0</v>
      </c>
      <c r="Y24" s="181" cm="1">
        <f t="array" ref="Y24">IF($A$2&lt;&gt;"Outros",
-SUMPRODUCT(
tb_desp[valor]*
(tb_desp[nucleo]=$B$2)*
(tb_desp[data.pagamento]&gt;=Y$3)*
(tb_desp[data.pagamento]&lt;EOMONTH(Y$3,0)+1)*
--ISNA(MATCH(tb_desp[centro.negocio],{"NF - Mão de Obra";"Operações Financeiras/juros";"Operações Financeiras - Geral";"Operações Financeira";"Terreno"},0))
)
-SUM(Y$11:Y$23)
-Y$41,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(tb_desp[data.pagamento]&gt;=Y$3)*
(tb_desp[data.pagamento]&lt;EOMONTH(Y$3,0)+1)*
--ISNA(MATCH(tb_desp[centro.negocio],{"NF - Mão de Obra";"Operações Financeiras/juros";"Operações Financeiras - Geral";"Operações Financeira";"Terreno"},0))
)
-SUM(Y$11:Y$23)
-Y$41
)</f>
        <v>0</v>
      </c>
      <c r="Z24" s="181" cm="1">
        <f t="array" ref="Z24">IF($A$2&lt;&gt;"Outros",
-SUMPRODUCT(
tb_desp[valor]*
(tb_desp[nucleo]=$B$2)*
(tb_desp[data.pagamento]&gt;=Z$3)*
(tb_desp[data.pagamento]&lt;EOMONTH(Z$3,0)+1)*
--ISNA(MATCH(tb_desp[centro.negocio],{"NF - Mão de Obra";"Operações Financeiras/juros";"Operações Financeiras - Geral";"Operações Financeira";"Terreno"},0))
)
-SUM(Z$11:Z$23)
-Z$41,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(tb_desp[data.pagamento]&gt;=Z$3)*
(tb_desp[data.pagamento]&lt;EOMONTH(Z$3,0)+1)*
--ISNA(MATCH(tb_desp[centro.negocio],{"NF - Mão de Obra";"Operações Financeiras/juros";"Operações Financeiras - Geral";"Operações Financeira";"Terreno"},0))
)
-SUM(Z$11:Z$23)
-Z$41
)</f>
        <v>0</v>
      </c>
      <c r="AA24" s="181" cm="1">
        <f t="array" ref="AA24">IF($A$2&lt;&gt;"Outros",
-SUMPRODUCT(
tb_desp[valor]*
(tb_desp[nucleo]=$B$2)*
(tb_desp[data.pagamento]&gt;=AA$3)*
(tb_desp[data.pagamento]&lt;EOMONTH(AA$3,0)+1)*
--ISNA(MATCH(tb_desp[centro.negocio],{"NF - Mão de Obra";"Operações Financeiras/juros";"Operações Financeiras - Geral";"Operações Financeira";"Terreno"},0))
)
-SUM(AA$11:AA$23)
-AA$41,
-SUMPRODUCT(
tb_desp[valor]*
--ISNA(MATCH(tb_desp[nucleo],{"AMPLA INCORP.";"UP JARDIM PRUDENCIA";"UP VILA SONIA";"Up Stay Congonhas";"UP SELECT VILA SONIA";"UP ESTAÇÃO SÃO LUCAS";"UP POMPEIA";"UP SAUDE";"UP ESTAÇÃO VILA SONIA";"UP MOVE VILA SONIA"},0))*
(tb_desp[data.pagamento]&gt;=AA$3)*
(tb_desp[data.pagamento]&lt;EOMONTH(AA$3,0)+1)*
--ISNA(MATCH(tb_desp[centro.negocio],{"NF - Mão de Obra";"Operações Financeiras/juros";"Operações Financeiras - Geral";"Operações Financeira";"Terreno"},0))
)
-SUM(AA$11:AA$23)
-AA$41
)</f>
        <v>0</v>
      </c>
      <c r="AC24" s="275">
        <f>SUM($D24:INDEX($D24:$AA24,1,MATCH(DATE(YEAR(inputs!$A$1),MONTH(inputs!$A$1),1),$D$3:$AA$3,0)))</f>
        <v>0</v>
      </c>
      <c r="AE24" s="275">
        <f t="shared" si="4"/>
        <v>0</v>
      </c>
    </row>
    <row r="25" spans="1:31" x14ac:dyDescent="0.25">
      <c r="A25" s="172" t="s">
        <v>586</v>
      </c>
      <c r="B25" s="172" t="s">
        <v>587</v>
      </c>
      <c r="C25" s="173"/>
      <c r="D25" s="188">
        <f t="shared" ref="D25:AA25" si="8">D26+D29</f>
        <v>0</v>
      </c>
      <c r="E25" s="188">
        <f t="shared" si="8"/>
        <v>0</v>
      </c>
      <c r="F25" s="188">
        <f t="shared" si="8"/>
        <v>0</v>
      </c>
      <c r="G25" s="188">
        <f t="shared" si="8"/>
        <v>0</v>
      </c>
      <c r="H25" s="188">
        <f t="shared" si="8"/>
        <v>0</v>
      </c>
      <c r="I25" s="188">
        <f t="shared" si="8"/>
        <v>0</v>
      </c>
      <c r="J25" s="188">
        <f t="shared" si="8"/>
        <v>0</v>
      </c>
      <c r="K25" s="188">
        <f t="shared" si="8"/>
        <v>0</v>
      </c>
      <c r="L25" s="188">
        <f t="shared" si="8"/>
        <v>0</v>
      </c>
      <c r="M25" s="188">
        <f t="shared" si="8"/>
        <v>0</v>
      </c>
      <c r="N25" s="188">
        <f t="shared" si="8"/>
        <v>0</v>
      </c>
      <c r="O25" s="188">
        <f t="shared" si="8"/>
        <v>0</v>
      </c>
      <c r="P25" s="188">
        <f t="shared" si="8"/>
        <v>0</v>
      </c>
      <c r="Q25" s="188">
        <f t="shared" si="8"/>
        <v>0</v>
      </c>
      <c r="R25" s="188">
        <f t="shared" ref="R25:Z25" si="9">R26+R29</f>
        <v>0</v>
      </c>
      <c r="S25" s="188">
        <f t="shared" si="9"/>
        <v>0</v>
      </c>
      <c r="T25" s="188">
        <f t="shared" si="9"/>
        <v>0</v>
      </c>
      <c r="U25" s="188">
        <f t="shared" si="9"/>
        <v>0</v>
      </c>
      <c r="V25" s="188">
        <f t="shared" si="9"/>
        <v>0</v>
      </c>
      <c r="W25" s="188">
        <f t="shared" si="9"/>
        <v>0</v>
      </c>
      <c r="X25" s="188">
        <f t="shared" si="9"/>
        <v>0</v>
      </c>
      <c r="Y25" s="188">
        <f t="shared" si="9"/>
        <v>0</v>
      </c>
      <c r="Z25" s="188">
        <f t="shared" si="9"/>
        <v>0</v>
      </c>
      <c r="AA25" s="188">
        <f t="shared" si="8"/>
        <v>0</v>
      </c>
      <c r="AC25" s="277">
        <f>SUM($D25:INDEX($D25:$AA25,1,MATCH(DATE(YEAR(inputs!$A$1),MONTH(inputs!$A$1),1),$D$3:$AA$3,0)))</f>
        <v>0</v>
      </c>
      <c r="AE25" s="277">
        <f t="shared" si="4"/>
        <v>0</v>
      </c>
    </row>
    <row r="26" spans="1:31" x14ac:dyDescent="0.25">
      <c r="A26" s="176" t="s">
        <v>588</v>
      </c>
      <c r="B26" s="176" t="s">
        <v>589</v>
      </c>
      <c r="C26" s="177"/>
      <c r="D26" s="178">
        <f t="shared" ref="D26:AA26" si="10">SUM(D27:D28)</f>
        <v>0</v>
      </c>
      <c r="E26" s="178">
        <f t="shared" si="10"/>
        <v>0</v>
      </c>
      <c r="F26" s="178">
        <f t="shared" si="10"/>
        <v>0</v>
      </c>
      <c r="G26" s="178">
        <f t="shared" si="10"/>
        <v>0</v>
      </c>
      <c r="H26" s="178">
        <f t="shared" si="10"/>
        <v>0</v>
      </c>
      <c r="I26" s="178">
        <f t="shared" si="10"/>
        <v>0</v>
      </c>
      <c r="J26" s="178">
        <f t="shared" si="10"/>
        <v>0</v>
      </c>
      <c r="K26" s="178">
        <f t="shared" si="10"/>
        <v>0</v>
      </c>
      <c r="L26" s="178">
        <f t="shared" si="10"/>
        <v>0</v>
      </c>
      <c r="M26" s="178">
        <f t="shared" si="10"/>
        <v>0</v>
      </c>
      <c r="N26" s="178">
        <f t="shared" si="10"/>
        <v>0</v>
      </c>
      <c r="O26" s="178">
        <f t="shared" si="10"/>
        <v>0</v>
      </c>
      <c r="P26" s="178">
        <f t="shared" si="10"/>
        <v>0</v>
      </c>
      <c r="Q26" s="178">
        <f t="shared" si="10"/>
        <v>0</v>
      </c>
      <c r="R26" s="178">
        <f t="shared" ref="R26:Z26" si="11">SUM(R27:R28)</f>
        <v>0</v>
      </c>
      <c r="S26" s="178">
        <f t="shared" si="11"/>
        <v>0</v>
      </c>
      <c r="T26" s="178">
        <f t="shared" si="11"/>
        <v>0</v>
      </c>
      <c r="U26" s="178">
        <f t="shared" si="11"/>
        <v>0</v>
      </c>
      <c r="V26" s="178">
        <f t="shared" si="11"/>
        <v>0</v>
      </c>
      <c r="W26" s="178">
        <f t="shared" si="11"/>
        <v>0</v>
      </c>
      <c r="X26" s="178">
        <f t="shared" si="11"/>
        <v>0</v>
      </c>
      <c r="Y26" s="178">
        <f t="shared" si="11"/>
        <v>0</v>
      </c>
      <c r="Z26" s="178">
        <f t="shared" si="11"/>
        <v>0</v>
      </c>
      <c r="AA26" s="178">
        <f t="shared" si="10"/>
        <v>0</v>
      </c>
      <c r="AC26" s="274">
        <f>SUM($D26:INDEX($D26:$AA26,1,MATCH(DATE(YEAR(inputs!$A$1),MONTH(inputs!$A$1),1),$D$3:$AA$3,0)))</f>
        <v>0</v>
      </c>
      <c r="AE26" s="274">
        <f t="shared" si="4"/>
        <v>0</v>
      </c>
    </row>
    <row r="27" spans="1:31" outlineLevel="1" x14ac:dyDescent="0.25">
      <c r="A27" s="179" t="s">
        <v>590</v>
      </c>
      <c r="B27" s="189" t="s">
        <v>591</v>
      </c>
      <c r="C27" s="135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C27" s="175">
        <f>SUM($D27:INDEX($D27:$AA27,1,MATCH(DATE(YEAR(inputs!$A$1),MONTH(inputs!$A$1),1),$D$3:$AA$3,0)))</f>
        <v>0</v>
      </c>
      <c r="AE27" s="175">
        <f t="shared" si="4"/>
        <v>0</v>
      </c>
    </row>
    <row r="28" spans="1:31" outlineLevel="1" x14ac:dyDescent="0.25">
      <c r="A28" s="179" t="s">
        <v>592</v>
      </c>
      <c r="B28" s="189" t="s">
        <v>593</v>
      </c>
      <c r="C28" s="135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C28" s="175">
        <f>SUM($D28:INDEX($D28:$AA28,1,MATCH(DATE(YEAR(inputs!$A$1),MONTH(inputs!$A$1),1),$D$3:$AA$3,0)))</f>
        <v>0</v>
      </c>
      <c r="AE28" s="175">
        <f t="shared" si="4"/>
        <v>0</v>
      </c>
    </row>
    <row r="29" spans="1:31" x14ac:dyDescent="0.25">
      <c r="A29" s="185" t="s">
        <v>594</v>
      </c>
      <c r="B29" s="185" t="s">
        <v>595</v>
      </c>
      <c r="C29" s="190"/>
      <c r="D29" s="191">
        <f t="shared" ref="D29:AA29" si="12">SUM(D30:D32)</f>
        <v>0</v>
      </c>
      <c r="E29" s="191">
        <f t="shared" si="12"/>
        <v>0</v>
      </c>
      <c r="F29" s="191">
        <f t="shared" si="12"/>
        <v>0</v>
      </c>
      <c r="G29" s="191">
        <f t="shared" si="12"/>
        <v>0</v>
      </c>
      <c r="H29" s="191">
        <f t="shared" si="12"/>
        <v>0</v>
      </c>
      <c r="I29" s="191">
        <f t="shared" si="12"/>
        <v>0</v>
      </c>
      <c r="J29" s="191">
        <f t="shared" si="12"/>
        <v>0</v>
      </c>
      <c r="K29" s="191">
        <f t="shared" si="12"/>
        <v>0</v>
      </c>
      <c r="L29" s="191">
        <f t="shared" si="12"/>
        <v>0</v>
      </c>
      <c r="M29" s="191">
        <f t="shared" si="12"/>
        <v>0</v>
      </c>
      <c r="N29" s="191">
        <f t="shared" si="12"/>
        <v>0</v>
      </c>
      <c r="O29" s="191">
        <f t="shared" si="12"/>
        <v>0</v>
      </c>
      <c r="P29" s="191">
        <f t="shared" si="12"/>
        <v>0</v>
      </c>
      <c r="Q29" s="191">
        <f t="shared" si="12"/>
        <v>0</v>
      </c>
      <c r="R29" s="191">
        <f t="shared" ref="R29:Z29" si="13">SUM(R30:R32)</f>
        <v>0</v>
      </c>
      <c r="S29" s="191">
        <f t="shared" si="13"/>
        <v>0</v>
      </c>
      <c r="T29" s="191">
        <f t="shared" si="13"/>
        <v>0</v>
      </c>
      <c r="U29" s="191">
        <f t="shared" si="13"/>
        <v>0</v>
      </c>
      <c r="V29" s="191">
        <f t="shared" si="13"/>
        <v>0</v>
      </c>
      <c r="W29" s="191">
        <f t="shared" si="13"/>
        <v>0</v>
      </c>
      <c r="X29" s="191">
        <f t="shared" si="13"/>
        <v>0</v>
      </c>
      <c r="Y29" s="191">
        <f t="shared" si="13"/>
        <v>0</v>
      </c>
      <c r="Z29" s="191">
        <f t="shared" si="13"/>
        <v>0</v>
      </c>
      <c r="AA29" s="191">
        <f t="shared" si="12"/>
        <v>0</v>
      </c>
      <c r="AC29" s="278">
        <f>SUM($D29:INDEX($D29:$AA29,1,MATCH(DATE(YEAR(inputs!$A$1),MONTH(inputs!$A$1),1),$D$3:$AA$3,0)))</f>
        <v>0</v>
      </c>
      <c r="AE29" s="278">
        <f t="shared" si="4"/>
        <v>0</v>
      </c>
    </row>
    <row r="30" spans="1:31" outlineLevel="1" x14ac:dyDescent="0.25">
      <c r="A30" s="179" t="s">
        <v>596</v>
      </c>
      <c r="B30" s="179" t="s">
        <v>400</v>
      </c>
      <c r="C30" s="180" t="s">
        <v>514</v>
      </c>
      <c r="D30" s="181" cm="1">
        <f t="array" ref="D30">IF($A$2&lt;&gt;"Outros",
  -SUMPRODUCT(
    tb_desp[valor] *
    (tb_desp[nucleo]=$B$2) *
    (tb_desp[centro.negocio]=$B30)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(tb_desp[data.pagamento]&gt;=D$3) *
    (tb_desp[data.pagamento]&lt;EOMONTH(D$3,0)+1)
  )
)</f>
        <v>0</v>
      </c>
      <c r="E30" s="181" cm="1">
        <f t="array" ref="E30">IF($A$2&lt;&gt;"Outros",
  -SUMPRODUCT(
    tb_desp[valor] *
    (tb_desp[nucleo]=$B$2) *
    (tb_desp[centro.negocio]=$B30)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(tb_desp[data.pagamento]&gt;=E$3) *
    (tb_desp[data.pagamento]&lt;EOMONTH(E$3,0)+1)
  )
)</f>
        <v>0</v>
      </c>
      <c r="F30" s="181" cm="1">
        <f t="array" ref="F30">IF($A$2&lt;&gt;"Outros",
  -SUMPRODUCT(
    tb_desp[valor] *
    (tb_desp[nucleo]=$B$2) *
    (tb_desp[centro.negocio]=$B30)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(tb_desp[data.pagamento]&gt;=F$3) *
    (tb_desp[data.pagamento]&lt;EOMONTH(F$3,0)+1)
  )
)</f>
        <v>0</v>
      </c>
      <c r="G30" s="181" cm="1">
        <f t="array" ref="G30">IF($A$2&lt;&gt;"Outros",
  -SUMPRODUCT(
    tb_desp[valor] *
    (tb_desp[nucleo]=$B$2) *
    (tb_desp[centro.negocio]=$B30)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(tb_desp[data.pagamento]&gt;=G$3) *
    (tb_desp[data.pagamento]&lt;EOMONTH(G$3,0)+1)
  )
)</f>
        <v>0</v>
      </c>
      <c r="H30" s="181" cm="1">
        <f t="array" ref="H30">IF($A$2&lt;&gt;"Outros",
  -SUMPRODUCT(
    tb_desp[valor] *
    (tb_desp[nucleo]=$B$2) *
    (tb_desp[centro.negocio]=$B30)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(tb_desp[data.pagamento]&gt;=H$3) *
    (tb_desp[data.pagamento]&lt;EOMONTH(H$3,0)+1)
  )
)</f>
        <v>0</v>
      </c>
      <c r="I30" s="181" cm="1">
        <f t="array" ref="I30">IF($A$2&lt;&gt;"Outros",
  -SUMPRODUCT(
    tb_desp[valor] *
    (tb_desp[nucleo]=$B$2) *
    (tb_desp[centro.negocio]=$B30)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(tb_desp[data.pagamento]&gt;=I$3) *
    (tb_desp[data.pagamento]&lt;EOMONTH(I$3,0)+1)
  )
)</f>
        <v>0</v>
      </c>
      <c r="J30" s="181" cm="1">
        <f t="array" ref="J30">IF($A$2&lt;&gt;"Outros",
  -SUMPRODUCT(
    tb_desp[valor] *
    (tb_desp[nucleo]=$B$2) *
    (tb_desp[centro.negocio]=$B30)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(tb_desp[data.pagamento]&gt;=J$3) *
    (tb_desp[data.pagamento]&lt;EOMONTH(J$3,0)+1)
  )
)</f>
        <v>0</v>
      </c>
      <c r="K30" s="181" cm="1">
        <f t="array" ref="K30">IF($A$2&lt;&gt;"Outros",
  -SUMPRODUCT(
    tb_desp[valor] *
    (tb_desp[nucleo]=$B$2) *
    (tb_desp[centro.negocio]=$B30)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(tb_desp[data.pagamento]&gt;=K$3) *
    (tb_desp[data.pagamento]&lt;EOMONTH(K$3,0)+1)
  )
)</f>
        <v>0</v>
      </c>
      <c r="L30" s="181" cm="1">
        <f t="array" ref="L30">IF($A$2&lt;&gt;"Outros",
  -SUMPRODUCT(
    tb_desp[valor] *
    (tb_desp[nucleo]=$B$2) *
    (tb_desp[centro.negocio]=$B30)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(tb_desp[data.pagamento]&gt;=L$3) *
    (tb_desp[data.pagamento]&lt;EOMONTH(L$3,0)+1)
  )
)</f>
        <v>0</v>
      </c>
      <c r="M30" s="181" cm="1">
        <f t="array" ref="M30">IF($A$2&lt;&gt;"Outros",
  -SUMPRODUCT(
    tb_desp[valor] *
    (tb_desp[nucleo]=$B$2) *
    (tb_desp[centro.negocio]=$B30)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(tb_desp[data.pagamento]&gt;=M$3) *
    (tb_desp[data.pagamento]&lt;EOMONTH(M$3,0)+1)
  )
)</f>
        <v>0</v>
      </c>
      <c r="N30" s="181" cm="1">
        <f t="array" ref="N30">IF($A$2&lt;&gt;"Outros",
  -SUMPRODUCT(
    tb_desp[valor] *
    (tb_desp[nucleo]=$B$2) *
    (tb_desp[centro.negocio]=$B30)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(tb_desp[data.pagamento]&gt;=N$3) *
    (tb_desp[data.pagamento]&lt;EOMONTH(N$3,0)+1)
  )
)</f>
        <v>0</v>
      </c>
      <c r="O30" s="181" cm="1">
        <f t="array" ref="O30">IF($A$2&lt;&gt;"Outros",
  -SUMPRODUCT(
    tb_desp[valor] *
    (tb_desp[nucleo]=$B$2) *
    (tb_desp[centro.negocio]=$B30)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(tb_desp[data.pagamento]&gt;=O$3) *
    (tb_desp[data.pagamento]&lt;EOMONTH(O$3,0)+1)
  )
)</f>
        <v>0</v>
      </c>
      <c r="P30" s="181" cm="1">
        <f t="array" ref="P30">IF($A$2&lt;&gt;"Outros",
  -SUMPRODUCT(
    tb_desp[valor] *
    (tb_desp[nucleo]=$B$2) *
    (tb_desp[centro.negocio]=$B30)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(tb_desp[data.pagamento]&gt;=P$3) *
    (tb_desp[data.pagamento]&lt;EOMONTH(P$3,0)+1)
  )
)</f>
        <v>0</v>
      </c>
      <c r="Q30" s="181" cm="1">
        <f t="array" ref="Q30">IF($A$2&lt;&gt;"Outros",
  -SUMPRODUCT(
    tb_desp[valor] *
    (tb_desp[nucleo]=$B$2) *
    (tb_desp[centro.negocio]=$B30)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(tb_desp[data.pagamento]&gt;=Q$3) *
    (tb_desp[data.pagamento]&lt;EOMONTH(Q$3,0)+1)
  )
)</f>
        <v>0</v>
      </c>
      <c r="R30" s="181" cm="1">
        <f t="array" ref="R30">IF($A$2&lt;&gt;"Outros",
  -SUMPRODUCT(
    tb_desp[valor] *
    (tb_desp[nucleo]=$B$2) *
    (tb_desp[centro.negocio]=$B30)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(tb_desp[data.pagamento]&gt;=R$3) *
    (tb_desp[data.pagamento]&lt;EOMONTH(R$3,0)+1)
  )
)</f>
        <v>0</v>
      </c>
      <c r="S30" s="181" cm="1">
        <f t="array" ref="S30">IF($A$2&lt;&gt;"Outros",
  -SUMPRODUCT(
    tb_desp[valor] *
    (tb_desp[nucleo]=$B$2) *
    (tb_desp[centro.negocio]=$B30)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(tb_desp[data.pagamento]&gt;=S$3) *
    (tb_desp[data.pagamento]&lt;EOMONTH(S$3,0)+1)
  )
)</f>
        <v>0</v>
      </c>
      <c r="T30" s="181" cm="1">
        <f t="array" ref="T30">IF($A$2&lt;&gt;"Outros",
  -SUMPRODUCT(
    tb_desp[valor] *
    (tb_desp[nucleo]=$B$2) *
    (tb_desp[centro.negocio]=$B30)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(tb_desp[data.pagamento]&gt;=T$3) *
    (tb_desp[data.pagamento]&lt;EOMONTH(T$3,0)+1)
  )
)</f>
        <v>0</v>
      </c>
      <c r="U30" s="181" cm="1">
        <f t="array" ref="U30">IF($A$2&lt;&gt;"Outros",
  -SUMPRODUCT(
    tb_desp[valor] *
    (tb_desp[nucleo]=$B$2) *
    (tb_desp[centro.negocio]=$B30)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(tb_desp[data.pagamento]&gt;=U$3) *
    (tb_desp[data.pagamento]&lt;EOMONTH(U$3,0)+1)
  )
)</f>
        <v>0</v>
      </c>
      <c r="V30" s="181" cm="1">
        <f t="array" ref="V30">IF($A$2&lt;&gt;"Outros",
  -SUMPRODUCT(
    tb_desp[valor] *
    (tb_desp[nucleo]=$B$2) *
    (tb_desp[centro.negocio]=$B30)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(tb_desp[data.pagamento]&gt;=V$3) *
    (tb_desp[data.pagamento]&lt;EOMONTH(V$3,0)+1)
  )
)</f>
        <v>0</v>
      </c>
      <c r="W30" s="181" cm="1">
        <f t="array" ref="W30">IF($A$2&lt;&gt;"Outros",
  -SUMPRODUCT(
    tb_desp[valor] *
    (tb_desp[nucleo]=$B$2) *
    (tb_desp[centro.negocio]=$B30)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(tb_desp[data.pagamento]&gt;=W$3) *
    (tb_desp[data.pagamento]&lt;EOMONTH(W$3,0)+1)
  )
)</f>
        <v>0</v>
      </c>
      <c r="X30" s="181" cm="1">
        <f t="array" ref="X30">IF($A$2&lt;&gt;"Outros",
  -SUMPRODUCT(
    tb_desp[valor] *
    (tb_desp[nucleo]=$B$2) *
    (tb_desp[centro.negocio]=$B30)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(tb_desp[data.pagamento]&gt;=X$3) *
    (tb_desp[data.pagamento]&lt;EOMONTH(X$3,0)+1)
  )
)</f>
        <v>0</v>
      </c>
      <c r="Y30" s="181" cm="1">
        <f t="array" ref="Y30">IF($A$2&lt;&gt;"Outros",
  -SUMPRODUCT(
    tb_desp[valor] *
    (tb_desp[nucleo]=$B$2) *
    (tb_desp[centro.negocio]=$B30)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(tb_desp[data.pagamento]&gt;=Y$3) *
    (tb_desp[data.pagamento]&lt;EOMONTH(Y$3,0)+1)
  )
)</f>
        <v>0</v>
      </c>
      <c r="Z30" s="181" cm="1">
        <f t="array" ref="Z30">IF($A$2&lt;&gt;"Outros",
  -SUMPRODUCT(
    tb_desp[valor] *
    (tb_desp[nucleo]=$B$2) *
    (tb_desp[centro.negocio]=$B30)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(tb_desp[data.pagamento]&gt;=Z$3) *
    (tb_desp[data.pagamento]&lt;EOMONTH(Z$3,0)+1)
  )
)</f>
        <v>0</v>
      </c>
      <c r="AA30" s="181" cm="1">
        <f t="array" ref="AA30">IF($A$2&lt;&gt;"Outros",
  -SUMPRODUCT(
    tb_desp[valor] *
    (tb_desp[nucleo]=$B$2) *
    (tb_desp[centro.negocio]=$B30)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(tb_desp[centro.negocio]=$B30) *
    (tb_desp[data.pagamento]&gt;=AA$3) *
    (tb_desp[data.pagamento]&lt;EOMONTH(AA$3,0)+1)
  )
)</f>
        <v>0</v>
      </c>
      <c r="AC30" s="275">
        <f>SUM($D30:INDEX($D30:$AA30,1,MATCH(DATE(YEAR(inputs!$A$1),MONTH(inputs!$A$1),1),$D$3:$AA$3,0)))</f>
        <v>0</v>
      </c>
      <c r="AE30" s="275">
        <f t="shared" si="4"/>
        <v>0</v>
      </c>
    </row>
    <row r="31" spans="1:31" outlineLevel="1" x14ac:dyDescent="0.25">
      <c r="A31" s="179" t="s">
        <v>612</v>
      </c>
      <c r="B31" s="189" t="s">
        <v>613</v>
      </c>
      <c r="C31" s="135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C31" s="175">
        <f>SUM($D31:INDEX($D31:$AA31,1,MATCH(DATE(YEAR(inputs!$A$1),MONTH(inputs!$A$1),1),$D$3:$AA$3,0)))</f>
        <v>0</v>
      </c>
      <c r="AE31" s="175">
        <f t="shared" si="4"/>
        <v>0</v>
      </c>
    </row>
    <row r="32" spans="1:31" outlineLevel="1" x14ac:dyDescent="0.25">
      <c r="A32" s="179" t="s">
        <v>614</v>
      </c>
      <c r="B32" s="189" t="s">
        <v>615</v>
      </c>
      <c r="C32" s="135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C32" s="175">
        <f>SUM($D32:INDEX($D32:$AA32,1,MATCH(DATE(YEAR(inputs!$A$1),MONTH(inputs!$A$1),1),$D$3:$AA$3,0)))</f>
        <v>0</v>
      </c>
      <c r="AE32" s="175">
        <f t="shared" si="4"/>
        <v>0</v>
      </c>
    </row>
    <row r="33" spans="1:31" x14ac:dyDescent="0.25">
      <c r="A33" s="172" t="s">
        <v>616</v>
      </c>
      <c r="B33" s="172" t="s">
        <v>617</v>
      </c>
      <c r="C33" s="173"/>
      <c r="D33" s="174">
        <f t="shared" ref="D33:AA33" si="14">D34+D39</f>
        <v>0</v>
      </c>
      <c r="E33" s="174">
        <f t="shared" si="14"/>
        <v>0</v>
      </c>
      <c r="F33" s="174">
        <f t="shared" si="14"/>
        <v>0</v>
      </c>
      <c r="G33" s="174">
        <f t="shared" si="14"/>
        <v>0</v>
      </c>
      <c r="H33" s="174">
        <f t="shared" si="14"/>
        <v>0</v>
      </c>
      <c r="I33" s="174">
        <f t="shared" si="14"/>
        <v>0</v>
      </c>
      <c r="J33" s="174">
        <f t="shared" si="14"/>
        <v>0</v>
      </c>
      <c r="K33" s="174">
        <f t="shared" si="14"/>
        <v>5000000</v>
      </c>
      <c r="L33" s="174">
        <f t="shared" si="14"/>
        <v>0</v>
      </c>
      <c r="M33" s="174">
        <f t="shared" si="14"/>
        <v>0</v>
      </c>
      <c r="N33" s="174">
        <f t="shared" si="14"/>
        <v>0</v>
      </c>
      <c r="O33" s="174">
        <f t="shared" si="14"/>
        <v>0</v>
      </c>
      <c r="P33" s="174">
        <f t="shared" si="14"/>
        <v>0</v>
      </c>
      <c r="Q33" s="174">
        <f t="shared" si="14"/>
        <v>0</v>
      </c>
      <c r="R33" s="174">
        <f t="shared" ref="R33:Z33" si="15">R34+R39</f>
        <v>0</v>
      </c>
      <c r="S33" s="174">
        <f t="shared" si="15"/>
        <v>0</v>
      </c>
      <c r="T33" s="174">
        <f t="shared" si="15"/>
        <v>5000000</v>
      </c>
      <c r="U33" s="174">
        <f t="shared" si="15"/>
        <v>0</v>
      </c>
      <c r="V33" s="174">
        <f t="shared" si="15"/>
        <v>1494751.71</v>
      </c>
      <c r="W33" s="174">
        <f t="shared" si="15"/>
        <v>432421.65</v>
      </c>
      <c r="X33" s="174">
        <f t="shared" si="15"/>
        <v>0</v>
      </c>
      <c r="Y33" s="174">
        <f t="shared" si="15"/>
        <v>0</v>
      </c>
      <c r="Z33" s="174">
        <f t="shared" si="15"/>
        <v>0</v>
      </c>
      <c r="AA33" s="174">
        <f t="shared" si="14"/>
        <v>0</v>
      </c>
      <c r="AC33" s="273">
        <f>SUM($D33:INDEX($D33:$AA33,1,MATCH(DATE(YEAR(inputs!$A$1),MONTH(inputs!$A$1),1),$D$3:$AA$3,0)))</f>
        <v>11927173.360000001</v>
      </c>
      <c r="AE33" s="273">
        <f t="shared" si="4"/>
        <v>11927173.360000001</v>
      </c>
    </row>
    <row r="34" spans="1:31" x14ac:dyDescent="0.25">
      <c r="A34" s="176" t="s">
        <v>618</v>
      </c>
      <c r="B34" s="176" t="s">
        <v>619</v>
      </c>
      <c r="C34" s="177"/>
      <c r="D34" s="178">
        <f t="shared" ref="D34:AA34" si="16">D35+D38</f>
        <v>0</v>
      </c>
      <c r="E34" s="178">
        <f t="shared" si="16"/>
        <v>0</v>
      </c>
      <c r="F34" s="178">
        <f t="shared" si="16"/>
        <v>0</v>
      </c>
      <c r="G34" s="178">
        <f t="shared" si="16"/>
        <v>0</v>
      </c>
      <c r="H34" s="178">
        <f t="shared" si="16"/>
        <v>0</v>
      </c>
      <c r="I34" s="178">
        <f t="shared" si="16"/>
        <v>0</v>
      </c>
      <c r="J34" s="178">
        <f t="shared" si="16"/>
        <v>0</v>
      </c>
      <c r="K34" s="178">
        <f t="shared" si="16"/>
        <v>5000000</v>
      </c>
      <c r="L34" s="178">
        <f t="shared" si="16"/>
        <v>0</v>
      </c>
      <c r="M34" s="178">
        <f t="shared" si="16"/>
        <v>0</v>
      </c>
      <c r="N34" s="178">
        <f t="shared" si="16"/>
        <v>0</v>
      </c>
      <c r="O34" s="178">
        <f t="shared" si="16"/>
        <v>0</v>
      </c>
      <c r="P34" s="178">
        <f t="shared" si="16"/>
        <v>0</v>
      </c>
      <c r="Q34" s="178">
        <f t="shared" si="16"/>
        <v>0</v>
      </c>
      <c r="R34" s="178">
        <f t="shared" ref="R34:Z34" si="17">R35+R38</f>
        <v>0</v>
      </c>
      <c r="S34" s="178">
        <f t="shared" si="17"/>
        <v>0</v>
      </c>
      <c r="T34" s="178">
        <f t="shared" si="17"/>
        <v>5000000</v>
      </c>
      <c r="U34" s="178">
        <f t="shared" si="17"/>
        <v>0</v>
      </c>
      <c r="V34" s="178">
        <f t="shared" si="17"/>
        <v>1494751.71</v>
      </c>
      <c r="W34" s="178">
        <f t="shared" si="17"/>
        <v>432421.65</v>
      </c>
      <c r="X34" s="178">
        <f t="shared" si="17"/>
        <v>0</v>
      </c>
      <c r="Y34" s="178">
        <f t="shared" si="17"/>
        <v>0</v>
      </c>
      <c r="Z34" s="178">
        <f t="shared" si="17"/>
        <v>0</v>
      </c>
      <c r="AA34" s="178">
        <f t="shared" si="16"/>
        <v>0</v>
      </c>
      <c r="AC34" s="274">
        <f>SUM($D34:INDEX($D34:$AA34,1,MATCH(DATE(YEAR(inputs!$A$1),MONTH(inputs!$A$1),1),$D$3:$AA$3,0)))</f>
        <v>11927173.360000001</v>
      </c>
      <c r="AE34" s="274">
        <f t="shared" si="4"/>
        <v>11927173.360000001</v>
      </c>
    </row>
    <row r="35" spans="1:31" outlineLevel="1" x14ac:dyDescent="0.25">
      <c r="A35" s="179" t="s">
        <v>620</v>
      </c>
      <c r="B35" s="179" t="s">
        <v>621</v>
      </c>
      <c r="C35" s="180" t="s">
        <v>622</v>
      </c>
      <c r="D35" s="181">
        <f t="shared" ref="D35:AA35" si="18">SUM(D36:D37)</f>
        <v>0</v>
      </c>
      <c r="E35" s="181">
        <f t="shared" si="18"/>
        <v>0</v>
      </c>
      <c r="F35" s="181">
        <f t="shared" si="18"/>
        <v>0</v>
      </c>
      <c r="G35" s="181">
        <f t="shared" si="18"/>
        <v>0</v>
      </c>
      <c r="H35" s="181">
        <f t="shared" si="18"/>
        <v>0</v>
      </c>
      <c r="I35" s="181">
        <f t="shared" si="18"/>
        <v>0</v>
      </c>
      <c r="J35" s="181">
        <f t="shared" si="18"/>
        <v>0</v>
      </c>
      <c r="K35" s="181">
        <f t="shared" si="18"/>
        <v>5000000</v>
      </c>
      <c r="L35" s="181">
        <f t="shared" si="18"/>
        <v>0</v>
      </c>
      <c r="M35" s="181">
        <f t="shared" si="18"/>
        <v>0</v>
      </c>
      <c r="N35" s="181">
        <f t="shared" si="18"/>
        <v>0</v>
      </c>
      <c r="O35" s="181">
        <f t="shared" si="18"/>
        <v>0</v>
      </c>
      <c r="P35" s="181">
        <f t="shared" si="18"/>
        <v>0</v>
      </c>
      <c r="Q35" s="181">
        <f t="shared" si="18"/>
        <v>0</v>
      </c>
      <c r="R35" s="181">
        <f t="shared" ref="R35:Z35" si="19">SUM(R36:R37)</f>
        <v>0</v>
      </c>
      <c r="S35" s="181">
        <f t="shared" si="19"/>
        <v>0</v>
      </c>
      <c r="T35" s="181">
        <f t="shared" si="19"/>
        <v>5000000</v>
      </c>
      <c r="U35" s="181">
        <f t="shared" si="19"/>
        <v>0</v>
      </c>
      <c r="V35" s="181">
        <f t="shared" si="19"/>
        <v>1494751.71</v>
      </c>
      <c r="W35" s="181">
        <f t="shared" si="19"/>
        <v>432421.65</v>
      </c>
      <c r="X35" s="181">
        <f t="shared" si="19"/>
        <v>0</v>
      </c>
      <c r="Y35" s="181">
        <f t="shared" si="19"/>
        <v>0</v>
      </c>
      <c r="Z35" s="181">
        <f t="shared" si="19"/>
        <v>0</v>
      </c>
      <c r="AA35" s="181">
        <f t="shared" si="18"/>
        <v>0</v>
      </c>
      <c r="AC35" s="275">
        <f>SUM($D35:INDEX($D35:$AA35,1,MATCH(DATE(YEAR(inputs!$A$1),MONTH(inputs!$A$1),1),$D$3:$AA$3,0)))</f>
        <v>11927173.360000001</v>
      </c>
      <c r="AE35" s="275">
        <f t="shared" si="4"/>
        <v>11927173.360000001</v>
      </c>
    </row>
    <row r="36" spans="1:31" outlineLevel="1" x14ac:dyDescent="0.25">
      <c r="A36" s="193" t="s">
        <v>623</v>
      </c>
      <c r="B36" s="193" t="s">
        <v>624</v>
      </c>
      <c r="C36" s="180" t="s">
        <v>474</v>
      </c>
      <c r="D36" s="181" cm="1">
        <f t="array" ref="D36:W36">_xlfn.IFS(
$A$2="AMP", TRANSPOSE(_xlfn._xlws.FILTER(inputs!$F$51:$F$122,((inputs!$F$51:$F$122&lt;&gt;"")+(inputs!$A$51:$A$122&lt;=inputs!$A$1))&gt;0)),
$A$2="AVS", TRANSPOSE(_xlfn._xlws.FILTER(inputs!$R$51:$R$122,((inputs!$R$51:$R$122&lt;&gt;"")+(inputs!$A$51:$A$122&lt;=inputs!$A$1))&gt;0)),
$A$2="GRA", TRANSPOSE(_xlfn._xlws.FILTER(inputs!$AN$51:$AN$122,((inputs!$AN$51:$AN$122&lt;&gt;"")+(inputs!$A$51:$A$122&lt;=inputs!$A$1))&gt;0)),
$A$2="LUC", TRANSPOSE(_xlfn._xlws.FILTER(inputs!$AZ$51:$AZ$122,((inputs!$AZ$51:$AZ$122&lt;&gt;"")+(inputs!$A$51:$A$122&lt;=inputs!$A$1))&gt;0)),
$A$2="SN2", TRANSPOSE(_xlfn._xlws.FILTER(inputs!$CF$51:$CF$122,((inputs!$CF$51:$CF$122&lt;&gt;"")+(inputs!$A$51:$A$122&lt;=inputs!$A$1))&gt;0)),
$A$2="SN4", TRANSPOSE(_xlfn._xlws.FILTER(inputs!$CR$51:$CR$122,((inputs!$CR$51:$CR$122&lt;&gt;"")+(inputs!$A$51:$A$122&lt;=inputs!$A$1))&gt;0)),
TRUE, ""
)</f>
        <v>0</v>
      </c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>
        <v>0</v>
      </c>
      <c r="U36" s="181">
        <v>0</v>
      </c>
      <c r="V36" s="181">
        <v>1494751.71</v>
      </c>
      <c r="W36" s="181">
        <v>432421.65</v>
      </c>
      <c r="X36" s="181"/>
      <c r="Y36" s="181"/>
      <c r="Z36" s="181"/>
      <c r="AA36" s="181"/>
      <c r="AC36" s="275">
        <f>SUM($D36:INDEX($D36:$AA36,1,MATCH(DATE(YEAR(inputs!$A$1),MONTH(inputs!$A$1),1),$D$3:$AA$3,0)))</f>
        <v>1927173.3599999999</v>
      </c>
      <c r="AE36" s="275">
        <f t="shared" si="4"/>
        <v>1927173.3599999999</v>
      </c>
    </row>
    <row r="37" spans="1:31" outlineLevel="1" x14ac:dyDescent="0.25">
      <c r="A37" s="193" t="s">
        <v>629</v>
      </c>
      <c r="B37" s="193" t="s">
        <v>690</v>
      </c>
      <c r="C37" s="180" t="s">
        <v>630</v>
      </c>
      <c r="D37" s="181" cm="1">
        <f t="array" ref="D37">IF($A$2&lt;&gt;"Outros",
  SUMPRODUCT(fin[jan/25] * (fin[Tomadora]=$A$2)),
  SUMPRODUCT(
    fin[jan/25]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E37" s="181" cm="1">
        <f t="array" ref="E37">IF($A$2&lt;&gt;"Outros",
  SUMPRODUCT(fin[fev/25] * (fin[Tomadora]=$A$2)),
  SUMPRODUCT(
    fin[fev/25]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F37" s="181" cm="1">
        <f t="array" ref="F37">IF($A$2&lt;&gt;"Outros",
  SUMPRODUCT(fin[mar/25] * (fin[Tomadora]=$A$2)),
  SUMPRODUCT(
    fin[mar/25]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G37" s="181" cm="1">
        <f t="array" ref="G37">IF($A$2&lt;&gt;"Outros",
  SUMPRODUCT(fin[abr/25] * (fin[Tomadora]=$A$2)),
  SUMPRODUCT(
    fin[abr/25]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H37" s="181" cm="1">
        <f t="array" ref="H37">IF($A$2&lt;&gt;"Outros",
  SUMPRODUCT(fin[mai/25] * (fin[Tomadora]=$A$2)),
  SUMPRODUCT(
    fin[mai/25]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I37" s="181" cm="1">
        <f t="array" ref="I37">IF($A$2&lt;&gt;"Outros",
  SUMPRODUCT(fin[jun/25] * (fin[Tomadora]=$A$2)),
  SUMPRODUCT(
    fin[jun/25]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J37" s="181" cm="1">
        <f t="array" ref="J37">IF($A$2&lt;&gt;"Outros",
  SUMPRODUCT(fin[jul/25] * (fin[Tomadora]=$A$2)),
  SUMPRODUCT(
    fin[jul/25]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K37" s="181" cm="1">
        <f t="array" ref="K37">IF($A$2&lt;&gt;"Outros",
  SUMPRODUCT(fin[ago/25] * (fin[Tomadora]=$A$2)),
  SUMPRODUCT(
    fin[ago/25]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5000000</v>
      </c>
      <c r="L37" s="181" cm="1">
        <f t="array" ref="L37">IF($A$2&lt;&gt;"Outros",
  SUMPRODUCT(fin[set/25] * (fin[Tomadora]=$A$2)),
  SUMPRODUCT(
    fin[set/25]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M37" s="181" cm="1">
        <f t="array" ref="M37">IF($A$2&lt;&gt;"Outros",
  SUMPRODUCT(fin[out/25] * (fin[Tomadora]=$A$2)),
  SUMPRODUCT(
    fin[out/25]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N37" s="181" cm="1">
        <f t="array" ref="N37">IF($A$2&lt;&gt;"Outros",
  SUMPRODUCT(fin[nov/25] * (fin[Tomadora]=$A$2)),
  SUMPRODUCT(
    fin[nov/25]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O37" s="181" cm="1">
        <f t="array" ref="O37">IF($A$2&lt;&gt;"Outros",
  SUMPRODUCT(fin[dez/25] * (fin[Tomadora]=$A$2)),
  SUMPRODUCT(
    fin[dez/25]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P37" s="181" cm="1">
        <f t="array" ref="P37">IF($A$2&lt;&gt;"Outros",
  SUMPRODUCT(fin[jan/26] * (fin[Tomadora]=$A$2)),
  SUMPRODUCT(
    fin[jan/26]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Q37" s="181" cm="1">
        <f t="array" ref="Q37">IF($A$2&lt;&gt;"Outros",
  SUMPRODUCT(fin[fev/26] * (fin[Tomadora]=$A$2)),
  SUMPRODUCT(
    fin[fev/26]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R37" s="181" cm="1">
        <f t="array" ref="R37">IF($A$2&lt;&gt;"Outros",
  SUMPRODUCT(fin[mar/26] * (fin[Tomadora]=$A$2)),
  SUMPRODUCT(
    fin[mar/26]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S37" s="181" cm="1">
        <f t="array" ref="S37">IF($A$2&lt;&gt;"Outros",
  SUMPRODUCT(fin[abr/26] * (fin[Tomadora]=$A$2)),
  SUMPRODUCT(
    fin[abr/26]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T37" s="181" cm="1">
        <f t="array" ref="T37">IF($A$2&lt;&gt;"Outros",
  SUMPRODUCT(fin[mai/26] * (fin[Tomadora]=$A$2)),
  SUMPRODUCT(
    fin[mai/26]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5000000</v>
      </c>
      <c r="U37" s="181" cm="1">
        <f t="array" ref="U37">IF($A$2&lt;&gt;"Outros",
  SUMPRODUCT(fin[jun/26] * (fin[Tomadora]=$A$2)),
  SUMPRODUCT(
    fin[jun/26]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V37" s="181" cm="1">
        <f t="array" ref="V37">IF($A$2&lt;&gt;"Outros",
  SUMPRODUCT(fin[jul/26] * (fin[Tomadora]=$A$2)),
  SUMPRODUCT(
    fin[jul/26]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W37" s="181" cm="1">
        <f t="array" ref="W37">IF($A$2&lt;&gt;"Outros",
  SUMPRODUCT(fin[ago/26] * (fin[Tomadora]=$A$2)),
  SUMPRODUCT(
    fin[ago/26]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X37" s="181" cm="1">
        <f t="array" ref="X37">IF($A$2&lt;&gt;"Outros",
  SUMPRODUCT(fin[set/26] * (fin[Tomadora]=$A$2)),
  SUMPRODUCT(
    fin[set/26]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Y37" s="181" cm="1">
        <f t="array" ref="Y37">IF($A$2&lt;&gt;"Outros",
  SUMPRODUCT(fin[out/26] * (fin[Tomadora]=$A$2)),
  SUMPRODUCT(
    fin[out/26]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Z37" s="181" cm="1">
        <f t="array" ref="Z37">IF($A$2&lt;&gt;"Outros",
  SUMPRODUCT(fin[nov/26] * (fin[Tomadora]=$A$2)),
  SUMPRODUCT(
    fin[nov/26]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AA37" s="181" cm="1">
        <f t="array" ref="AA37">IF($A$2&lt;&gt;"Outros",
  SUMPRODUCT(fin[dez/26] * (fin[Tomadora]=$A$2)),
  SUMPRODUCT(
    fin[dez/26] *
    (fin[Tomadora]&lt;&gt;"Ampla") *
    (fin[Tomadora]&lt;&gt;"AMP") *
    (fin[Tomadora]&lt;&gt;"AVS") *
    (fin[Tomadora]&lt;&gt;"CBL") *
    (fin[Tomadora]&lt;&gt;"GRA") *
    (fin[Tomadora]&lt;&gt;"LUC") *
    (fin[Tomadora]&lt;&gt;"POM") *
    (fin[Tomadora]&lt;&gt;"SAU") *
    (fin[Tomadora]&lt;&gt;"SN2") *
    (fin[Tomadora]&lt;&gt;"SN4"))
)</f>
        <v>0</v>
      </c>
      <c r="AC37" s="275">
        <f>SUM($D37:INDEX($D37:$AA37,1,MATCH(DATE(YEAR(inputs!$A$1),MONTH(inputs!$A$1),1),$D$3:$AA$3,0)))</f>
        <v>10000000</v>
      </c>
      <c r="AE37" s="275">
        <f t="shared" si="4"/>
        <v>10000000</v>
      </c>
    </row>
    <row r="38" spans="1:31" outlineLevel="1" x14ac:dyDescent="0.25">
      <c r="A38" s="179" t="s">
        <v>639</v>
      </c>
      <c r="B38" s="189" t="s">
        <v>640</v>
      </c>
      <c r="C38" s="180" t="s">
        <v>514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C38" s="275">
        <f>SUM($D38:INDEX($D38:$AA38,1,MATCH(DATE(YEAR(inputs!$A$1),MONTH(inputs!$A$1),1),$D$3:$AA$3,0)))</f>
        <v>0</v>
      </c>
      <c r="AE38" s="275">
        <f t="shared" si="4"/>
        <v>0</v>
      </c>
    </row>
    <row r="39" spans="1:31" x14ac:dyDescent="0.25">
      <c r="A39" s="185" t="s">
        <v>641</v>
      </c>
      <c r="B39" s="185" t="s">
        <v>642</v>
      </c>
      <c r="C39" s="190"/>
      <c r="D39" s="191">
        <f t="shared" ref="D39:AA39" si="20">SUM(D40:D42)</f>
        <v>0</v>
      </c>
      <c r="E39" s="191">
        <f t="shared" si="20"/>
        <v>0</v>
      </c>
      <c r="F39" s="191">
        <f t="shared" si="20"/>
        <v>0</v>
      </c>
      <c r="G39" s="191">
        <f t="shared" si="20"/>
        <v>0</v>
      </c>
      <c r="H39" s="191">
        <f t="shared" si="20"/>
        <v>0</v>
      </c>
      <c r="I39" s="191">
        <f t="shared" si="20"/>
        <v>0</v>
      </c>
      <c r="J39" s="191">
        <f t="shared" si="20"/>
        <v>0</v>
      </c>
      <c r="K39" s="191">
        <f t="shared" si="20"/>
        <v>0</v>
      </c>
      <c r="L39" s="191">
        <f t="shared" si="20"/>
        <v>0</v>
      </c>
      <c r="M39" s="191">
        <f t="shared" si="20"/>
        <v>0</v>
      </c>
      <c r="N39" s="191">
        <f t="shared" si="20"/>
        <v>0</v>
      </c>
      <c r="O39" s="191">
        <f t="shared" si="20"/>
        <v>0</v>
      </c>
      <c r="P39" s="191">
        <f t="shared" si="20"/>
        <v>0</v>
      </c>
      <c r="Q39" s="191">
        <f t="shared" si="20"/>
        <v>0</v>
      </c>
      <c r="R39" s="191">
        <f t="shared" si="20"/>
        <v>0</v>
      </c>
      <c r="S39" s="191">
        <f t="shared" si="20"/>
        <v>0</v>
      </c>
      <c r="T39" s="191">
        <f t="shared" si="20"/>
        <v>0</v>
      </c>
      <c r="U39" s="191">
        <f t="shared" si="20"/>
        <v>0</v>
      </c>
      <c r="V39" s="191">
        <f t="shared" si="20"/>
        <v>0</v>
      </c>
      <c r="W39" s="191">
        <f t="shared" si="20"/>
        <v>0</v>
      </c>
      <c r="X39" s="191">
        <f t="shared" si="20"/>
        <v>0</v>
      </c>
      <c r="Y39" s="191">
        <f t="shared" si="20"/>
        <v>0</v>
      </c>
      <c r="Z39" s="191">
        <f t="shared" si="20"/>
        <v>0</v>
      </c>
      <c r="AA39" s="191">
        <f t="shared" si="20"/>
        <v>0</v>
      </c>
      <c r="AC39" s="278">
        <f>SUM($D39:INDEX($D39:$AA39,1,MATCH(DATE(YEAR(inputs!$A$1),MONTH(inputs!$A$1),1),$D$3:$AA$3,0)))</f>
        <v>0</v>
      </c>
      <c r="AE39" s="278">
        <f t="shared" si="4"/>
        <v>0</v>
      </c>
    </row>
    <row r="40" spans="1:31" outlineLevel="1" x14ac:dyDescent="0.25">
      <c r="A40" s="179" t="s">
        <v>643</v>
      </c>
      <c r="B40" s="184" t="s">
        <v>389</v>
      </c>
      <c r="C40" s="180" t="s">
        <v>514</v>
      </c>
      <c r="D40" s="181" cm="1">
        <f t="array" ref="D40">IF($A$2&lt;&gt;"Outros",
  -SUMPRODUCT(
    tb_desp[valor] *
    (tb_desp[nucleo]=$B$2) *
    (tb_desp[centro.negocio]=$B40)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(tb_desp[data.pagamento]&gt;=D$3) *
    (tb_desp[data.pagamento]&lt;EOMONTH(D$3,0)+1)
  )
)</f>
        <v>0</v>
      </c>
      <c r="E40" s="181" cm="1">
        <f t="array" ref="E40">IF($A$2&lt;&gt;"Outros",
  -SUMPRODUCT(
    tb_desp[valor] *
    (tb_desp[nucleo]=$B$2) *
    (tb_desp[centro.negocio]=$B40)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(tb_desp[data.pagamento]&gt;=E$3) *
    (tb_desp[data.pagamento]&lt;EOMONTH(E$3,0)+1)
  )
)</f>
        <v>0</v>
      </c>
      <c r="F40" s="181" cm="1">
        <f t="array" ref="F40">IF($A$2&lt;&gt;"Outros",
  -SUMPRODUCT(
    tb_desp[valor] *
    (tb_desp[nucleo]=$B$2) *
    (tb_desp[centro.negocio]=$B40)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(tb_desp[data.pagamento]&gt;=F$3) *
    (tb_desp[data.pagamento]&lt;EOMONTH(F$3,0)+1)
  )
)</f>
        <v>0</v>
      </c>
      <c r="G40" s="181" cm="1">
        <f t="array" ref="G40">IF($A$2&lt;&gt;"Outros",
  -SUMPRODUCT(
    tb_desp[valor] *
    (tb_desp[nucleo]=$B$2) *
    (tb_desp[centro.negocio]=$B40)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(tb_desp[data.pagamento]&gt;=G$3) *
    (tb_desp[data.pagamento]&lt;EOMONTH(G$3,0)+1)
  )
)</f>
        <v>0</v>
      </c>
      <c r="H40" s="181" cm="1">
        <f t="array" ref="H40">IF($A$2&lt;&gt;"Outros",
  -SUMPRODUCT(
    tb_desp[valor] *
    (tb_desp[nucleo]=$B$2) *
    (tb_desp[centro.negocio]=$B40)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(tb_desp[data.pagamento]&gt;=H$3) *
    (tb_desp[data.pagamento]&lt;EOMONTH(H$3,0)+1)
  )
)</f>
        <v>0</v>
      </c>
      <c r="I40" s="181" cm="1">
        <f t="array" ref="I40">IF($A$2&lt;&gt;"Outros",
  -SUMPRODUCT(
    tb_desp[valor] *
    (tb_desp[nucleo]=$B$2) *
    (tb_desp[centro.negocio]=$B40)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(tb_desp[data.pagamento]&gt;=I$3) *
    (tb_desp[data.pagamento]&lt;EOMONTH(I$3,0)+1)
  )
)</f>
        <v>0</v>
      </c>
      <c r="J40" s="181" cm="1">
        <f t="array" ref="J40">IF($A$2&lt;&gt;"Outros",
  -SUMPRODUCT(
    tb_desp[valor] *
    (tb_desp[nucleo]=$B$2) *
    (tb_desp[centro.negocio]=$B40)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(tb_desp[data.pagamento]&gt;=J$3) *
    (tb_desp[data.pagamento]&lt;EOMONTH(J$3,0)+1)
  )
)</f>
        <v>0</v>
      </c>
      <c r="K40" s="181" cm="1">
        <f t="array" ref="K40">IF($A$2&lt;&gt;"Outros",
  -SUMPRODUCT(
    tb_desp[valor] *
    (tb_desp[nucleo]=$B$2) *
    (tb_desp[centro.negocio]=$B40)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(tb_desp[data.pagamento]&gt;=K$3) *
    (tb_desp[data.pagamento]&lt;EOMONTH(K$3,0)+1)
  )
)</f>
        <v>0</v>
      </c>
      <c r="L40" s="181" cm="1">
        <f t="array" ref="L40">IF($A$2&lt;&gt;"Outros",
  -SUMPRODUCT(
    tb_desp[valor] *
    (tb_desp[nucleo]=$B$2) *
    (tb_desp[centro.negocio]=$B40)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(tb_desp[data.pagamento]&gt;=L$3) *
    (tb_desp[data.pagamento]&lt;EOMONTH(L$3,0)+1)
  )
)</f>
        <v>0</v>
      </c>
      <c r="M40" s="181" cm="1">
        <f t="array" ref="M40">IF($A$2&lt;&gt;"Outros",
  -SUMPRODUCT(
    tb_desp[valor] *
    (tb_desp[nucleo]=$B$2) *
    (tb_desp[centro.negocio]=$B40)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(tb_desp[data.pagamento]&gt;=M$3) *
    (tb_desp[data.pagamento]&lt;EOMONTH(M$3,0)+1)
  )
)</f>
        <v>0</v>
      </c>
      <c r="N40" s="181" cm="1">
        <f t="array" ref="N40">IF($A$2&lt;&gt;"Outros",
  -SUMPRODUCT(
    tb_desp[valor] *
    (tb_desp[nucleo]=$B$2) *
    (tb_desp[centro.negocio]=$B40)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(tb_desp[data.pagamento]&gt;=N$3) *
    (tb_desp[data.pagamento]&lt;EOMONTH(N$3,0)+1)
  )
)</f>
        <v>0</v>
      </c>
      <c r="O40" s="181" cm="1">
        <f t="array" ref="O40">IF($A$2&lt;&gt;"Outros",
  -SUMPRODUCT(
    tb_desp[valor] *
    (tb_desp[nucleo]=$B$2) *
    (tb_desp[centro.negocio]=$B40)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(tb_desp[data.pagamento]&gt;=O$3) *
    (tb_desp[data.pagamento]&lt;EOMONTH(O$3,0)+1)
  )
)</f>
        <v>0</v>
      </c>
      <c r="P40" s="181" cm="1">
        <f t="array" ref="P40">IF($A$2&lt;&gt;"Outros",
  -SUMPRODUCT(
    tb_desp[valor] *
    (tb_desp[nucleo]=$B$2) *
    (tb_desp[centro.negocio]=$B40)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(tb_desp[data.pagamento]&gt;=P$3) *
    (tb_desp[data.pagamento]&lt;EOMONTH(P$3,0)+1)
  )
)</f>
        <v>0</v>
      </c>
      <c r="Q40" s="181" cm="1">
        <f t="array" ref="Q40">IF($A$2&lt;&gt;"Outros",
  -SUMPRODUCT(
    tb_desp[valor] *
    (tb_desp[nucleo]=$B$2) *
    (tb_desp[centro.negocio]=$B40)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(tb_desp[data.pagamento]&gt;=Q$3) *
    (tb_desp[data.pagamento]&lt;EOMONTH(Q$3,0)+1)
  )
)</f>
        <v>0</v>
      </c>
      <c r="R40" s="181" cm="1">
        <f t="array" ref="R40">IF($A$2&lt;&gt;"Outros",
  -SUMPRODUCT(
    tb_desp[valor] *
    (tb_desp[nucleo]=$B$2) *
    (tb_desp[centro.negocio]=$B40)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(tb_desp[data.pagamento]&gt;=R$3) *
    (tb_desp[data.pagamento]&lt;EOMONTH(R$3,0)+1)
  )
)</f>
        <v>0</v>
      </c>
      <c r="S40" s="181" cm="1">
        <f t="array" ref="S40">IF($A$2&lt;&gt;"Outros",
  -SUMPRODUCT(
    tb_desp[valor] *
    (tb_desp[nucleo]=$B$2) *
    (tb_desp[centro.negocio]=$B40)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(tb_desp[data.pagamento]&gt;=S$3) *
    (tb_desp[data.pagamento]&lt;EOMONTH(S$3,0)+1)
  )
)</f>
        <v>0</v>
      </c>
      <c r="T40" s="181" cm="1">
        <f t="array" ref="T40">IF($A$2&lt;&gt;"Outros",
  -SUMPRODUCT(
    tb_desp[valor] *
    (tb_desp[nucleo]=$B$2) *
    (tb_desp[centro.negocio]=$B40)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(tb_desp[data.pagamento]&gt;=T$3) *
    (tb_desp[data.pagamento]&lt;EOMONTH(T$3,0)+1)
  )
)</f>
        <v>0</v>
      </c>
      <c r="U40" s="181" cm="1">
        <f t="array" ref="U40">IF($A$2&lt;&gt;"Outros",
  -SUMPRODUCT(
    tb_desp[valor] *
    (tb_desp[nucleo]=$B$2) *
    (tb_desp[centro.negocio]=$B40)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(tb_desp[data.pagamento]&gt;=U$3) *
    (tb_desp[data.pagamento]&lt;EOMONTH(U$3,0)+1)
  )
)</f>
        <v>0</v>
      </c>
      <c r="V40" s="181" cm="1">
        <f t="array" ref="V40">IF($A$2&lt;&gt;"Outros",
  -SUMPRODUCT(
    tb_desp[valor] *
    (tb_desp[nucleo]=$B$2) *
    (tb_desp[centro.negocio]=$B40)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(tb_desp[data.pagamento]&gt;=V$3) *
    (tb_desp[data.pagamento]&lt;EOMONTH(V$3,0)+1)
  )
)</f>
        <v>0</v>
      </c>
      <c r="W40" s="181" cm="1">
        <f t="array" ref="W40">IF($A$2&lt;&gt;"Outros",
  -SUMPRODUCT(
    tb_desp[valor] *
    (tb_desp[nucleo]=$B$2) *
    (tb_desp[centro.negocio]=$B40)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(tb_desp[data.pagamento]&gt;=W$3) *
    (tb_desp[data.pagamento]&lt;EOMONTH(W$3,0)+1)
  )
)</f>
        <v>0</v>
      </c>
      <c r="X40" s="181" cm="1">
        <f t="array" ref="X40">IF($A$2&lt;&gt;"Outros",
  -SUMPRODUCT(
    tb_desp[valor] *
    (tb_desp[nucleo]=$B$2) *
    (tb_desp[centro.negocio]=$B40)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(tb_desp[data.pagamento]&gt;=X$3) *
    (tb_desp[data.pagamento]&lt;EOMONTH(X$3,0)+1)
  )
)</f>
        <v>0</v>
      </c>
      <c r="Y40" s="181" cm="1">
        <f t="array" ref="Y40">IF($A$2&lt;&gt;"Outros",
  -SUMPRODUCT(
    tb_desp[valor] *
    (tb_desp[nucleo]=$B$2) *
    (tb_desp[centro.negocio]=$B40)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(tb_desp[data.pagamento]&gt;=Y$3) *
    (tb_desp[data.pagamento]&lt;EOMONTH(Y$3,0)+1)
  )
)</f>
        <v>0</v>
      </c>
      <c r="Z40" s="181" cm="1">
        <f t="array" ref="Z40">IF($A$2&lt;&gt;"Outros",
  -SUMPRODUCT(
    tb_desp[valor] *
    (tb_desp[nucleo]=$B$2) *
    (tb_desp[centro.negocio]=$B40)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(tb_desp[data.pagamento]&gt;=Z$3) *
    (tb_desp[data.pagamento]&lt;EOMONTH(Z$3,0)+1)
  )
)</f>
        <v>0</v>
      </c>
      <c r="AA40" s="181" cm="1">
        <f t="array" ref="AA40">IF($A$2&lt;&gt;"Outros",
  -SUMPRODUCT(
    tb_desp[valor] *
    (tb_desp[nucleo]=$B$2) *
    (tb_desp[centro.negocio]=$B40)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(tb_desp[centro.negocio]=$B40) *
    (tb_desp[data.pagamento]&gt;=AA$3) *
    (tb_desp[data.pagamento]&lt;EOMONTH(AA$3,0)+1)
  )
)</f>
        <v>0</v>
      </c>
      <c r="AC40" s="275">
        <f>SUM($D40:INDEX($D40:$AA40,1,MATCH(DATE(YEAR(inputs!$A$1),MONTH(inputs!$A$1),1),$D$3:$AA$3,0)))</f>
        <v>0</v>
      </c>
      <c r="AE40" s="275">
        <f t="shared" si="4"/>
        <v>0</v>
      </c>
    </row>
    <row r="41" spans="1:31" outlineLevel="1" x14ac:dyDescent="0.25">
      <c r="A41" s="179" t="s">
        <v>878</v>
      </c>
      <c r="B41" s="256" t="s">
        <v>937</v>
      </c>
      <c r="C41" s="180" t="s">
        <v>514</v>
      </c>
      <c r="D41" s="181" cm="1">
        <f t="array" ref="D41">IF($A$2&lt;&gt;"Outros",
  -SUMPRODUCT(
    tb_desp[valor] *
    (tb_desp[nucleo]=$B$2) *
    (tb_desp[centro.negocio]="Comissão/vendas") *
    (tb_desp[classe]="Financiamento") *
    (tb_desp[data.pagamento]&gt;=D$3) *
    (tb_desp[data.pagamento]&lt;EOMONTH(D$3,0)+1)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(tb_desp[data.pagamento]&gt;=D$3) *
    (tb_desp[data.pagamento]&lt;EOMONTH(D$3,0)+1)
  )
)</f>
        <v>0</v>
      </c>
      <c r="E41" s="181" cm="1">
        <f t="array" ref="E41">IF($A$2&lt;&gt;"Outros",
  -SUMPRODUCT(
    tb_desp[valor] *
    (tb_desp[nucleo]=$B$2) *
    (tb_desp[centro.negocio]="Comissão/vendas") *
    (tb_desp[classe]="Financiamento") *
    (tb_desp[data.pagamento]&gt;=E$3) *
    (tb_desp[data.pagamento]&lt;EOMONTH(E$3,0)+1)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(tb_desp[data.pagamento]&gt;=E$3) *
    (tb_desp[data.pagamento]&lt;EOMONTH(E$3,0)+1)
  )
)</f>
        <v>0</v>
      </c>
      <c r="F41" s="181" cm="1">
        <f t="array" ref="F41">IF($A$2&lt;&gt;"Outros",
  -SUMPRODUCT(
    tb_desp[valor] *
    (tb_desp[nucleo]=$B$2) *
    (tb_desp[centro.negocio]="Comissão/vendas") *
    (tb_desp[classe]="Financiamento") *
    (tb_desp[data.pagamento]&gt;=F$3) *
    (tb_desp[data.pagamento]&lt;EOMONTH(F$3,0)+1)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(tb_desp[data.pagamento]&gt;=F$3) *
    (tb_desp[data.pagamento]&lt;EOMONTH(F$3,0)+1)
  )
)</f>
        <v>0</v>
      </c>
      <c r="G41" s="181" cm="1">
        <f t="array" ref="G41">IF($A$2&lt;&gt;"Outros",
  -SUMPRODUCT(
    tb_desp[valor] *
    (tb_desp[nucleo]=$B$2) *
    (tb_desp[centro.negocio]="Comissão/vendas") *
    (tb_desp[classe]="Financiamento") *
    (tb_desp[data.pagamento]&gt;=G$3) *
    (tb_desp[data.pagamento]&lt;EOMONTH(G$3,0)+1)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(tb_desp[data.pagamento]&gt;=G$3) *
    (tb_desp[data.pagamento]&lt;EOMONTH(G$3,0)+1)
  )
)</f>
        <v>0</v>
      </c>
      <c r="H41" s="181" cm="1">
        <f t="array" ref="H41">IF($A$2&lt;&gt;"Outros",
  -SUMPRODUCT(
    tb_desp[valor] *
    (tb_desp[nucleo]=$B$2) *
    (tb_desp[centro.negocio]="Comissão/vendas") *
    (tb_desp[classe]="Financiamento") *
    (tb_desp[data.pagamento]&gt;=H$3) *
    (tb_desp[data.pagamento]&lt;EOMONTH(H$3,0)+1)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(tb_desp[data.pagamento]&gt;=H$3) *
    (tb_desp[data.pagamento]&lt;EOMONTH(H$3,0)+1)
  )
)</f>
        <v>0</v>
      </c>
      <c r="I41" s="181" cm="1">
        <f t="array" ref="I41">IF($A$2&lt;&gt;"Outros",
  -SUMPRODUCT(
    tb_desp[valor] *
    (tb_desp[nucleo]=$B$2) *
    (tb_desp[centro.negocio]="Comissão/vendas") *
    (tb_desp[classe]="Financiamento") *
    (tb_desp[data.pagamento]&gt;=I$3) *
    (tb_desp[data.pagamento]&lt;EOMONTH(I$3,0)+1)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(tb_desp[data.pagamento]&gt;=I$3) *
    (tb_desp[data.pagamento]&lt;EOMONTH(I$3,0)+1)
  )
)</f>
        <v>0</v>
      </c>
      <c r="J41" s="181" cm="1">
        <f t="array" ref="J41">IF($A$2&lt;&gt;"Outros",
  -SUMPRODUCT(
    tb_desp[valor] *
    (tb_desp[nucleo]=$B$2) *
    (tb_desp[centro.negocio]="Comissão/vendas") *
    (tb_desp[classe]="Financiamento") *
    (tb_desp[data.pagamento]&gt;=J$3) *
    (tb_desp[data.pagamento]&lt;EOMONTH(J$3,0)+1)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(tb_desp[data.pagamento]&gt;=J$3) *
    (tb_desp[data.pagamento]&lt;EOMONTH(J$3,0)+1)
  )
)</f>
        <v>0</v>
      </c>
      <c r="K41" s="181" cm="1">
        <f t="array" ref="K41">IF($A$2&lt;&gt;"Outros",
  -SUMPRODUCT(
    tb_desp[valor] *
    (tb_desp[nucleo]=$B$2) *
    (tb_desp[centro.negocio]="Comissão/vendas") *
    (tb_desp[classe]="Financiamento") *
    (tb_desp[data.pagamento]&gt;=K$3) *
    (tb_desp[data.pagamento]&lt;EOMONTH(K$3,0)+1)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(tb_desp[data.pagamento]&gt;=K$3) *
    (tb_desp[data.pagamento]&lt;EOMONTH(K$3,0)+1)
  )
)</f>
        <v>0</v>
      </c>
      <c r="L41" s="181" cm="1">
        <f t="array" ref="L41">IF($A$2&lt;&gt;"Outros",
  -SUMPRODUCT(
    tb_desp[valor] *
    (tb_desp[nucleo]=$B$2) *
    (tb_desp[centro.negocio]="Comissão/vendas") *
    (tb_desp[classe]="Financiamento") *
    (tb_desp[data.pagamento]&gt;=L$3) *
    (tb_desp[data.pagamento]&lt;EOMONTH(L$3,0)+1)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(tb_desp[data.pagamento]&gt;=L$3) *
    (tb_desp[data.pagamento]&lt;EOMONTH(L$3,0)+1)
  )
)</f>
        <v>0</v>
      </c>
      <c r="M41" s="181" cm="1">
        <f t="array" ref="M41">IF($A$2&lt;&gt;"Outros",
  -SUMPRODUCT(
    tb_desp[valor] *
    (tb_desp[nucleo]=$B$2) *
    (tb_desp[centro.negocio]="Comissão/vendas") *
    (tb_desp[classe]="Financiamento") *
    (tb_desp[data.pagamento]&gt;=M$3) *
    (tb_desp[data.pagamento]&lt;EOMONTH(M$3,0)+1)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(tb_desp[data.pagamento]&gt;=M$3) *
    (tb_desp[data.pagamento]&lt;EOMONTH(M$3,0)+1)
  )
)</f>
        <v>0</v>
      </c>
      <c r="N41" s="181" cm="1">
        <f t="array" ref="N41">IF($A$2&lt;&gt;"Outros",
  -SUMPRODUCT(
    tb_desp[valor] *
    (tb_desp[nucleo]=$B$2) *
    (tb_desp[centro.negocio]="Comissão/vendas") *
    (tb_desp[classe]="Financiamento") *
    (tb_desp[data.pagamento]&gt;=N$3) *
    (tb_desp[data.pagamento]&lt;EOMONTH(N$3,0)+1)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(tb_desp[data.pagamento]&gt;=N$3) *
    (tb_desp[data.pagamento]&lt;EOMONTH(N$3,0)+1)
  )
)</f>
        <v>0</v>
      </c>
      <c r="O41" s="181" cm="1">
        <f t="array" ref="O41">IF($A$2&lt;&gt;"Outros",
  -SUMPRODUCT(
    tb_desp[valor] *
    (tb_desp[nucleo]=$B$2) *
    (tb_desp[centro.negocio]="Comissão/vendas") *
    (tb_desp[classe]="Financiamento") *
    (tb_desp[data.pagamento]&gt;=O$3) *
    (tb_desp[data.pagamento]&lt;EOMONTH(O$3,0)+1)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(tb_desp[data.pagamento]&gt;=O$3) *
    (tb_desp[data.pagamento]&lt;EOMONTH(O$3,0)+1)
  )
)</f>
        <v>0</v>
      </c>
      <c r="P41" s="181" cm="1">
        <f t="array" ref="P41">IF($A$2&lt;&gt;"Outros",
  -SUMPRODUCT(
    tb_desp[valor] *
    (tb_desp[nucleo]=$B$2) *
    (tb_desp[centro.negocio]="Comissão/vendas") *
    (tb_desp[classe]="Financiamento") *
    (tb_desp[data.pagamento]&gt;=P$3) *
    (tb_desp[data.pagamento]&lt;EOMONTH(P$3,0)+1)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(tb_desp[data.pagamento]&gt;=P$3) *
    (tb_desp[data.pagamento]&lt;EOMONTH(P$3,0)+1)
  )
)</f>
        <v>0</v>
      </c>
      <c r="Q41" s="181" cm="1">
        <f t="array" ref="Q41">IF($A$2&lt;&gt;"Outros",
  -SUMPRODUCT(
    tb_desp[valor] *
    (tb_desp[nucleo]=$B$2) *
    (tb_desp[centro.negocio]="Comissão/vendas") *
    (tb_desp[classe]="Financiamento") *
    (tb_desp[data.pagamento]&gt;=Q$3) *
    (tb_desp[data.pagamento]&lt;EOMONTH(Q$3,0)+1)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(tb_desp[data.pagamento]&gt;=Q$3) *
    (tb_desp[data.pagamento]&lt;EOMONTH(Q$3,0)+1)
  )
)</f>
        <v>0</v>
      </c>
      <c r="R41" s="181" cm="1">
        <f t="array" ref="R41">IF($A$2&lt;&gt;"Outros",
  -SUMPRODUCT(
    tb_desp[valor] *
    (tb_desp[nucleo]=$B$2) *
    (tb_desp[centro.negocio]="Comissão/vendas") *
    (tb_desp[classe]="Financiamento") *
    (tb_desp[data.pagamento]&gt;=R$3) *
    (tb_desp[data.pagamento]&lt;EOMONTH(R$3,0)+1)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(tb_desp[data.pagamento]&gt;=R$3) *
    (tb_desp[data.pagamento]&lt;EOMONTH(R$3,0)+1)
  )
)</f>
        <v>0</v>
      </c>
      <c r="S41" s="181" cm="1">
        <f t="array" ref="S41">IF($A$2&lt;&gt;"Outros",
  -SUMPRODUCT(
    tb_desp[valor] *
    (tb_desp[nucleo]=$B$2) *
    (tb_desp[centro.negocio]="Comissão/vendas") *
    (tb_desp[classe]="Financiamento") *
    (tb_desp[data.pagamento]&gt;=S$3) *
    (tb_desp[data.pagamento]&lt;EOMONTH(S$3,0)+1)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(tb_desp[data.pagamento]&gt;=S$3) *
    (tb_desp[data.pagamento]&lt;EOMONTH(S$3,0)+1)
  )
)</f>
        <v>0</v>
      </c>
      <c r="T41" s="181" cm="1">
        <f t="array" ref="T41">IF($A$2&lt;&gt;"Outros",
  -SUMPRODUCT(
    tb_desp[valor] *
    (tb_desp[nucleo]=$B$2) *
    (tb_desp[centro.negocio]="Comissão/vendas") *
    (tb_desp[classe]="Financiamento") *
    (tb_desp[data.pagamento]&gt;=T$3) *
    (tb_desp[data.pagamento]&lt;EOMONTH(T$3,0)+1)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(tb_desp[data.pagamento]&gt;=T$3) *
    (tb_desp[data.pagamento]&lt;EOMONTH(T$3,0)+1)
  )
)</f>
        <v>0</v>
      </c>
      <c r="U41" s="181" cm="1">
        <f t="array" ref="U41">IF($A$2&lt;&gt;"Outros",
  -SUMPRODUCT(
    tb_desp[valor] *
    (tb_desp[nucleo]=$B$2) *
    (tb_desp[centro.negocio]="Comissão/vendas") *
    (tb_desp[classe]="Financiamento") *
    (tb_desp[data.pagamento]&gt;=U$3) *
    (tb_desp[data.pagamento]&lt;EOMONTH(U$3,0)+1)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(tb_desp[data.pagamento]&gt;=U$3) *
    (tb_desp[data.pagamento]&lt;EOMONTH(U$3,0)+1)
  )
)</f>
        <v>0</v>
      </c>
      <c r="V41" s="181" cm="1">
        <f t="array" ref="V41">IF($A$2&lt;&gt;"Outros",
  -SUMPRODUCT(
    tb_desp[valor] *
    (tb_desp[nucleo]=$B$2) *
    (tb_desp[centro.negocio]="Comissão/vendas") *
    (tb_desp[classe]="Financiamento") *
    (tb_desp[data.pagamento]&gt;=V$3) *
    (tb_desp[data.pagamento]&lt;EOMONTH(V$3,0)+1)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(tb_desp[data.pagamento]&gt;=V$3) *
    (tb_desp[data.pagamento]&lt;EOMONTH(V$3,0)+1)
  )
)</f>
        <v>0</v>
      </c>
      <c r="W41" s="181" cm="1">
        <f t="array" ref="W41">IF($A$2&lt;&gt;"Outros",
  -SUMPRODUCT(
    tb_desp[valor] *
    (tb_desp[nucleo]=$B$2) *
    (tb_desp[centro.negocio]="Comissão/vendas") *
    (tb_desp[classe]="Financiamento") *
    (tb_desp[data.pagamento]&gt;=W$3) *
    (tb_desp[data.pagamento]&lt;EOMONTH(W$3,0)+1)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(tb_desp[data.pagamento]&gt;=W$3) *
    (tb_desp[data.pagamento]&lt;EOMONTH(W$3,0)+1)
  )
)</f>
        <v>0</v>
      </c>
      <c r="X41" s="181" cm="1">
        <f t="array" ref="X41">IF($A$2&lt;&gt;"Outros",
  -SUMPRODUCT(
    tb_desp[valor] *
    (tb_desp[nucleo]=$B$2) *
    (tb_desp[centro.negocio]="Comissão/vendas") *
    (tb_desp[classe]="Financiamento") *
    (tb_desp[data.pagamento]&gt;=X$3) *
    (tb_desp[data.pagamento]&lt;EOMONTH(X$3,0)+1)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(tb_desp[data.pagamento]&gt;=X$3) *
    (tb_desp[data.pagamento]&lt;EOMONTH(X$3,0)+1)
  )
)</f>
        <v>0</v>
      </c>
      <c r="Y41" s="181" cm="1">
        <f t="array" ref="Y41">IF($A$2&lt;&gt;"Outros",
  -SUMPRODUCT(
    tb_desp[valor] *
    (tb_desp[nucleo]=$B$2) *
    (tb_desp[centro.negocio]="Comissão/vendas") *
    (tb_desp[classe]="Financiamento") *
    (tb_desp[data.pagamento]&gt;=Y$3) *
    (tb_desp[data.pagamento]&lt;EOMONTH(Y$3,0)+1)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(tb_desp[data.pagamento]&gt;=Y$3) *
    (tb_desp[data.pagamento]&lt;EOMONTH(Y$3,0)+1)
  )
)</f>
        <v>0</v>
      </c>
      <c r="Z41" s="181" cm="1">
        <f t="array" ref="Z41">IF($A$2&lt;&gt;"Outros",
  -SUMPRODUCT(
    tb_desp[valor] *
    (tb_desp[nucleo]=$B$2) *
    (tb_desp[centro.negocio]="Comissão/vendas") *
    (tb_desp[classe]="Financiamento") *
    (tb_desp[data.pagamento]&gt;=Z$3) *
    (tb_desp[data.pagamento]&lt;EOMONTH(Z$3,0)+1)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(tb_desp[data.pagamento]&gt;=Z$3) *
    (tb_desp[data.pagamento]&lt;EOMONTH(Z$3,0)+1)
  )
)</f>
        <v>0</v>
      </c>
      <c r="AA41" s="181" cm="1">
        <f t="array" ref="AA41">IF($A$2&lt;&gt;"Outros",
  -SUMPRODUCT(
    tb_desp[valor] *
    (tb_desp[nucleo]=$B$2) *
    (tb_desp[centro.negocio]="Comissão/vendas") *
    (tb_desp[classe]="Financiamento") *
    (tb_desp[data.pagamento]&gt;=AA$3) *
    (tb_desp[data.pagamento]&lt;EOMONTH(AA$3,0)+1)
  ),
  -SUMPRODUCT(
    tb_desp[valor] *
    (tb_desp[nucleo]&lt;&gt;"AMPLA INCORP.") *
    (tb_desp[nucleo]&lt;&gt;"UP JARDIM PRUDENCIA") *
    (tb_desp[nucleo]&lt;&gt;"UP VILA SONIA") *
    (tb_desp[nucleo]&lt;&gt;"Up Stay Congonhas") *
    (tb_desp[nucleo]&lt;&gt;"UP SELECT VILA SONIA") *
    (tb_desp[nucleo]&lt;&gt;"UP ESTAÇÃO SÃO LUCAS") *
    (tb_desp[nucleo]&lt;&gt;"UP POMPEIA") *
    (tb_desp[nucleo]&lt;&gt;"UP SAUDE") *
    (tb_desp[nucleo]&lt;&gt;"UP ESTAÇÃO VILA SONIA") *
    (tb_desp[nucleo]&lt;&gt;"UP MOVE VILA SONIA") *
    (tb_desp[centro.negocio]="Comissão/vendas") *
    (tb_desp[classe]="Financiamento") *
    (tb_desp[data.pagamento]&gt;=AA$3) *
    (tb_desp[data.pagamento]&lt;EOMONTH(AA$3,0)+1)
  )
)</f>
        <v>0</v>
      </c>
      <c r="AC41" s="275">
        <f>SUM($D41:INDEX($D41:$AA41,1,MATCH(DATE(YEAR(inputs!$A$1),MONTH(inputs!$A$1),1),$D$3:$AA$3,0)))</f>
        <v>0</v>
      </c>
      <c r="AE41" s="275">
        <f t="shared" ref="AE41:AE42" si="21">SUM(D41:AA41)</f>
        <v>0</v>
      </c>
    </row>
    <row r="42" spans="1:31" outlineLevel="1" x14ac:dyDescent="0.25">
      <c r="A42" s="179" t="s">
        <v>661</v>
      </c>
      <c r="B42" s="189" t="s">
        <v>938</v>
      </c>
      <c r="C42" s="135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AC42" s="275">
        <f>SUM($D42:INDEX($D42:$AA42,1,MATCH(DATE(YEAR(inputs!$A$1),MONTH(inputs!$A$1),1),$D$3:$AA$3,0)))</f>
        <v>0</v>
      </c>
      <c r="AE42" s="275">
        <f t="shared" si="21"/>
        <v>0</v>
      </c>
    </row>
    <row r="43" spans="1:31" ht="15.75" thickBot="1" x14ac:dyDescent="0.3">
      <c r="A43" s="231" t="s">
        <v>811</v>
      </c>
      <c r="B43" s="231" t="s">
        <v>681</v>
      </c>
      <c r="C43" s="232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 cm="1">
        <f t="array" ref="P43">_xlfn.IFS(
  AND($A$2&lt;&gt;"AMP",$A$2&lt;&gt;"Ampla",$A$2&lt;&gt;"Outros"),
    SUMIFS(
      tb_caixa[Saldo],
      tb_caixa[Empresa],$A$2,
      tb_caixa[Dia],"&gt;="&amp;EDATE(P$3,1),
      tb_caixa[Dia],"&lt;"&amp;EOMONTH(P$3,1)+1
    ),
  $A$2="AMP",
    0,
  $A$2="Ampla",
    SUMIFS(
      tb_caixa[Saldo],
      tb_caixa[Empresa],"AMP",
      tb_caixa[Dia],"&gt;="&amp;EDATE(P$3,1),
      tb_caixa[Dia],"&lt;"&amp;EOMONTH(P$3,1)+1
    ),
  $A$2="Outros",
    SUMPRODUCT(
      tb_caixa[Saldo]*
      ISNA(MATCH(tb_caixa[Empresa], {"AMP";"AVS";"CBL";"GRA";"LUC";"POM";"SAU";"SN2";"SN4"}, 0))*
      (tb_caixa[Dia]&gt;=EDATE(P$3,1))*
      (tb_caixa[Dia]&lt;EOMONTH(P$3,1)+1)
    )
)
-P44</f>
        <v>3086.91</v>
      </c>
      <c r="Q43" s="174" cm="1">
        <f t="array" ref="Q43">_xlfn.IFS(
  AND($A$2&lt;&gt;"AMP",$A$2&lt;&gt;"Ampla",$A$2&lt;&gt;"Outros"),
    SUMIFS(
      tb_caixa[Saldo],
      tb_caixa[Empresa],$A$2,
      tb_caixa[Dia],"&gt;="&amp;EDATE(Q$3,1),
      tb_caixa[Dia],"&lt;"&amp;EOMONTH(Q$3,1)+1
    ),
  $A$2="AMP",
    0,
  $A$2="Ampla",
    SUMIFS(
      tb_caixa[Saldo],
      tb_caixa[Empresa],"AMP",
      tb_caixa[Dia],"&gt;="&amp;EDATE(Q$3,1),
      tb_caixa[Dia],"&lt;"&amp;EOMONTH(Q$3,1)+1
    ),
  $A$2="Outros",
    SUMPRODUCT(
      tb_caixa[Saldo]*
      ISNA(MATCH(tb_caixa[Empresa], {"AMP";"AVS";"CBL";"GRA";"LUC";"POM";"SAU";"SN2";"SN4"}, 0))*
      (tb_caixa[Dia]&gt;=EDATE(Q$3,1))*
      (tb_caixa[Dia]&lt;EOMONTH(Q$3,1)+1)
    )
)
-Q44</f>
        <v>-5188.6200000000008</v>
      </c>
      <c r="R43" s="174" cm="1">
        <f t="array" ref="R43">_xlfn.IFS(
  AND($A$2&lt;&gt;"AMP",$A$2&lt;&gt;"Ampla",$A$2&lt;&gt;"Outros"),
    SUMIFS(
      tb_caixa[Saldo],
      tb_caixa[Empresa],$A$2,
      tb_caixa[Dia],"&gt;="&amp;EDATE(R$3,1),
      tb_caixa[Dia],"&lt;"&amp;EOMONTH(R$3,1)+1
    ),
  $A$2="AMP",
    0,
  $A$2="Ampla",
    SUMIFS(
      tb_caixa[Saldo],
      tb_caixa[Empresa],"AMP",
      tb_caixa[Dia],"&gt;="&amp;EDATE(R$3,1),
      tb_caixa[Dia],"&lt;"&amp;EOMONTH(R$3,1)+1
    ),
  $A$2="Outros",
    SUMPRODUCT(
      tb_caixa[Saldo]*
      ISNA(MATCH(tb_caixa[Empresa], {"AMP";"AVS";"CBL";"GRA";"LUC";"POM";"SAU";"SN2";"SN4"}, 0))*
      (tb_caixa[Dia]&gt;=EDATE(R$3,1))*
      (tb_caixa[Dia]&lt;EOMONTH(R$3,1)+1)
    )
)
-R44</f>
        <v>1001841.42</v>
      </c>
      <c r="S43" s="174" cm="1">
        <f t="array" ref="S43">_xlfn.IFS(
  AND($A$2&lt;&gt;"AMP",$A$2&lt;&gt;"Ampla",$A$2&lt;&gt;"Outros"),
    SUMIFS(
      tb_caixa[Saldo],
      tb_caixa[Empresa],$A$2,
      tb_caixa[Dia],"&gt;="&amp;EDATE(S$3,1),
      tb_caixa[Dia],"&lt;"&amp;EOMONTH(S$3,1)+1
    ),
  $A$2="AMP",
    0,
  $A$2="Ampla",
    SUMIFS(
      tb_caixa[Saldo],
      tb_caixa[Empresa],"AMP",
      tb_caixa[Dia],"&gt;="&amp;EDATE(S$3,1),
      tb_caixa[Dia],"&lt;"&amp;EOMONTH(S$3,1)+1
    ),
  $A$2="Outros",
    SUMPRODUCT(
      tb_caixa[Saldo]*
      ISNA(MATCH(tb_caixa[Empresa], {"AMP";"AVS";"CBL";"GRA";"LUC";"POM";"SAU";"SN2";"SN4"}, 0))*
      (tb_caixa[Dia]&gt;=EDATE(S$3,1))*
      (tb_caixa[Dia]&lt;EOMONTH(S$3,1)+1)
    )
)
-S44</f>
        <v>-1004689.5900000001</v>
      </c>
      <c r="T43" s="174" cm="1">
        <f t="array" ref="T43">_xlfn.IFS(
  AND($A$2&lt;&gt;"AMP",$A$2&lt;&gt;"Ampla",$A$2&lt;&gt;"Outros"),
    SUMIFS(
      tb_caixa[Saldo],
      tb_caixa[Empresa],$A$2,
      tb_caixa[Dia],"&gt;="&amp;EDATE(T$3,1),
      tb_caixa[Dia],"&lt;"&amp;EOMONTH(T$3,1)+1
    ),
  $A$2="AMP",
    0,
  $A$2="Ampla",
    SUMIFS(
      tb_caixa[Saldo],
      tb_caixa[Empresa],"AMP",
      tb_caixa[Dia],"&gt;="&amp;EDATE(T$3,1),
      tb_caixa[Dia],"&lt;"&amp;EOMONTH(T$3,1)+1
    ),
  $A$2="Outros",
    SUMPRODUCT(
      tb_caixa[Saldo]*
      ISNA(MATCH(tb_caixa[Empresa], {"AMP";"AVS";"CBL";"GRA";"LUC";"POM";"SAU";"SN2";"SN4"}, 0))*
      (tb_caixa[Dia]&gt;=EDATE(T$3,1))*
      (tb_caixa[Dia]&lt;EOMONTH(T$3,1)+1)
    )
)
-T44</f>
        <v>438733.03</v>
      </c>
      <c r="U43" s="174" cm="1">
        <f t="array" ref="U43">_xlfn.IFS(
  AND($A$2&lt;&gt;"AMP",$A$2&lt;&gt;"Ampla",$A$2&lt;&gt;"Outros"),
    SUMIFS(
      tb_caixa[Saldo],
      tb_caixa[Empresa],$A$2,
      tb_caixa[Dia],"&gt;="&amp;EDATE(U$3,1),
      tb_caixa[Dia],"&lt;"&amp;EOMONTH(U$3,1)+1
    ),
  $A$2="AMP",
    0,
  $A$2="Ampla",
    SUMIFS(
      tb_caixa[Saldo],
      tb_caixa[Empresa],"AMP",
      tb_caixa[Dia],"&gt;="&amp;EDATE(U$3,1),
      tb_caixa[Dia],"&lt;"&amp;EOMONTH(U$3,1)+1
    ),
  $A$2="Outros",
    SUMPRODUCT(
      tb_caixa[Saldo]*
      ISNA(MATCH(tb_caixa[Empresa], {"AMP";"AVS";"CBL";"GRA";"LUC";"POM";"SAU";"SN2";"SN4"}, 0))*
      (tb_caixa[Dia]&gt;=EDATE(U$3,1))*
      (tb_caixa[Dia]&lt;EOMONTH(U$3,1)+1)
    )
)
-U44</f>
        <v>-250229.28</v>
      </c>
      <c r="V43" s="174" cm="1">
        <f t="array" ref="V43">_xlfn.IFS(
  AND($A$2&lt;&gt;"AMP",$A$2&lt;&gt;"Ampla",$A$2&lt;&gt;"Outros"),
    SUMIFS(
      tb_caixa[Saldo],
      tb_caixa[Empresa],$A$2,
      tb_caixa[Dia],"&gt;="&amp;EDATE(V$3,1),
      tb_caixa[Dia],"&lt;"&amp;EOMONTH(V$3,1)+1
    ),
  $A$2="AMP",
    0,
  $A$2="Ampla",
    SUMIFS(
      tb_caixa[Saldo],
      tb_caixa[Empresa],"AMP",
      tb_caixa[Dia],"&gt;="&amp;EDATE(V$3,1),
      tb_caixa[Dia],"&lt;"&amp;EOMONTH(V$3,1)+1
    ),
  $A$2="Outros",
    SUMPRODUCT(
      tb_caixa[Saldo]*
      ISNA(MATCH(tb_caixa[Empresa], {"AMP";"AVS";"CBL";"GRA";"LUC";"POM";"SAU";"SN2";"SN4"}, 0))*
      (tb_caixa[Dia]&gt;=EDATE(V$3,1))*
      (tb_caixa[Dia]&lt;EOMONTH(V$3,1)+1)
    )
)
-V44</f>
        <v>1197944.49</v>
      </c>
      <c r="W43" s="174" cm="1">
        <f t="array" ref="W43">_xlfn.IFS(
  AND($A$2&lt;&gt;"AMP",$A$2&lt;&gt;"Ampla",$A$2&lt;&gt;"Outros"),
    SUMIFS(
      tb_caixa[Saldo],
      tb_caixa[Empresa],$A$2,
      tb_caixa[Dia],"&gt;="&amp;EDATE(W$3,1),
      tb_caixa[Dia],"&lt;"&amp;EOMONTH(W$3,1)+1
    ),
  $A$2="AMP",
    0,
  $A$2="Ampla",
    SUMIFS(
      tb_caixa[Saldo],
      tb_caixa[Empresa],"AMP",
      tb_caixa[Dia],"&gt;="&amp;EDATE(W$3,1),
      tb_caixa[Dia],"&lt;"&amp;EOMONTH(W$3,1)+1
    ),
  $A$2="Outros",
    SUMPRODUCT(
      tb_caixa[Saldo]*
      ISNA(MATCH(tb_caixa[Empresa], {"AMP";"AVS";"CBL";"GRA";"LUC";"POM";"SAU";"SN2";"SN4"}, 0))*
      (tb_caixa[Dia]&gt;=EDATE(W$3,1))*
      (tb_caixa[Dia]&lt;EOMONTH(W$3,1)+1)
    )
)
-W44</f>
        <v>-1208864.6099999999</v>
      </c>
      <c r="X43" s="174" cm="1">
        <f t="array" ref="X43">_xlfn.IFS(
  AND($A$2&lt;&gt;"AMP",$A$2&lt;&gt;"Ampla",$A$2&lt;&gt;"Outros"),
    SUMIFS(
      tb_caixa[Saldo],
      tb_caixa[Empresa],$A$2,
      tb_caixa[Dia],"&gt;="&amp;EDATE(X$3,1),
      tb_caixa[Dia],"&lt;"&amp;EOMONTH(X$3,1)+1
    ),
  $A$2="AMP",
    0,
  $A$2="Ampla",
    SUMIFS(
      tb_caixa[Saldo],
      tb_caixa[Empresa],"AMP",
      tb_caixa[Dia],"&gt;="&amp;EDATE(X$3,1),
      tb_caixa[Dia],"&lt;"&amp;EOMONTH(X$3,1)+1
    ),
  $A$2="Outros",
    SUMPRODUCT(
      tb_caixa[Saldo]*
      ISNA(MATCH(tb_caixa[Empresa], {"AMP";"AVS";"CBL";"GRA";"LUC";"POM";"SAU";"SN2";"SN4"}, 0))*
      (tb_caixa[Dia]&gt;=EDATE(X$3,1))*
      (tb_caixa[Dia]&lt;EOMONTH(X$3,1)+1)
    )
)
-X44</f>
        <v>-179329.6</v>
      </c>
      <c r="Y43" s="174" cm="1">
        <f t="array" ref="Y43">_xlfn.IFS(
  AND($A$2&lt;&gt;"AMP",$A$2&lt;&gt;"Ampla",$A$2&lt;&gt;"Outros"),
    SUMIFS(
      tb_caixa[Saldo],
      tb_caixa[Empresa],$A$2,
      tb_caixa[Dia],"&gt;="&amp;EDATE(Y$3,1),
      tb_caixa[Dia],"&lt;"&amp;EOMONTH(Y$3,1)+1
    ),
  $A$2="AMP",
    0,
  $A$2="Ampla",
    SUMIFS(
      tb_caixa[Saldo],
      tb_caixa[Empresa],"AMP",
      tb_caixa[Dia],"&gt;="&amp;EDATE(Y$3,1),
      tb_caixa[Dia],"&lt;"&amp;EOMONTH(Y$3,1)+1
    ),
  $A$2="Outros",
    SUMPRODUCT(
      tb_caixa[Saldo]*
      ISNA(MATCH(tb_caixa[Empresa], {"AMP";"AVS";"CBL";"GRA";"LUC";"POM";"SAU";"SN2";"SN4"}, 0))*
      (tb_caixa[Dia]&gt;=EDATE(Y$3,1))*
      (tb_caixa[Dia]&lt;EOMONTH(Y$3,1)+1)
    )
)
-Y44</f>
        <v>0</v>
      </c>
      <c r="Z43" s="174" cm="1">
        <f t="array" ref="Z43">_xlfn.IFS(
  AND($A$2&lt;&gt;"AMP",$A$2&lt;&gt;"Ampla",$A$2&lt;&gt;"Outros"),
    SUMIFS(
      tb_caixa[Saldo],
      tb_caixa[Empresa],$A$2,
      tb_caixa[Dia],"&gt;="&amp;EDATE(Z$3,1),
      tb_caixa[Dia],"&lt;"&amp;EOMONTH(Z$3,1)+1
    ),
  $A$2="AMP",
    0,
  $A$2="Ampla",
    SUMIFS(
      tb_caixa[Saldo],
      tb_caixa[Empresa],"AMP",
      tb_caixa[Dia],"&gt;="&amp;EDATE(Z$3,1),
      tb_caixa[Dia],"&lt;"&amp;EOMONTH(Z$3,1)+1
    ),
  $A$2="Outros",
    SUMPRODUCT(
      tb_caixa[Saldo]*
      ISNA(MATCH(tb_caixa[Empresa], {"AMP";"AVS";"CBL";"GRA";"LUC";"POM";"SAU";"SN2";"SN4"}, 0))*
      (tb_caixa[Dia]&gt;=EDATE(Z$3,1))*
      (tb_caixa[Dia]&lt;EOMONTH(Z$3,1)+1)
    )
)
-Z44</f>
        <v>0</v>
      </c>
      <c r="AA43" s="174" cm="1">
        <f t="array" ref="AA43">_xlfn.IFS(
  AND($A$2&lt;&gt;"AMP",$A$2&lt;&gt;"Ampla",$A$2&lt;&gt;"Outros"),
    SUMIFS(
      tb_caixa[Saldo],
      tb_caixa[Empresa],$A$2,
      tb_caixa[Dia],"&gt;="&amp;EDATE(AA$3,1),
      tb_caixa[Dia],"&lt;"&amp;EOMONTH(AA$3,1)+1
    ),
  $A$2="AMP",
    0,
  $A$2="Ampla",
    SUMIFS(
      tb_caixa[Saldo],
      tb_caixa[Empresa],"AMP",
      tb_caixa[Dia],"&gt;="&amp;EDATE(AA$3,1),
      tb_caixa[Dia],"&lt;"&amp;EOMONTH(AA$3,1)+1
    ),
  $A$2="Outros",
    SUMPRODUCT(
      tb_caixa[Saldo]*
      ISNA(MATCH(tb_caixa[Empresa], {"AMP";"AVS";"CBL";"GRA";"LUC";"POM";"SAU";"SN2";"SN4"}, 0))*
      (tb_caixa[Dia]&gt;=EDATE(AA$3,1))*
      (tb_caixa[Dia]&lt;EOMONTH(AA$3,1)+1)
    )
)
-AA44</f>
        <v>0</v>
      </c>
      <c r="AC43" s="283">
        <f>SUM($D43:INDEX($D43:$AA43,1,MATCH(DATE(YEAR(inputs!$A$1),MONTH(inputs!$A$1),1),$D$3:$AA$3,0)))</f>
        <v>172633.75000000023</v>
      </c>
      <c r="AE43" s="283">
        <f t="shared" ref="AE43" si="22">SUM(D43:AA43)</f>
        <v>-6695.849999999773</v>
      </c>
    </row>
    <row r="44" spans="1:31" outlineLevel="1" x14ac:dyDescent="0.25">
      <c r="A44" s="300" t="s">
        <v>812</v>
      </c>
      <c r="B44" s="296" t="s">
        <v>663</v>
      </c>
      <c r="C44" s="294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 cm="1">
        <f t="array" ref="P44">_xlfn.IFS(
  AND($A$2&lt;&gt;"AMP",$A$2&lt;&gt;"Ampla",$A$2&lt;&gt;"Outros"),
    SUMIFS(
      tb_caixa[Saldo],
      tb_caixa[Empresa],$A$2,
      tb_caixa[Dia],"&gt;="&amp;EDATE(P$3,0),
      tb_caixa[Dia],"&lt;"&amp;EOMONTH(P$3,0)+1
    ),
  $A$2="AMP",
    0,
  $A$2="Ampla",
    SUMIFS(
      tb_caixa[Saldo],
      tb_caixa[Empresa],"AMP",
      tb_caixa[Dia],"&gt;="&amp;EDATE(P$3,0),
      tb_caixa[Dia],"&lt;"&amp;EOMONTH(P$3,0)+1
    ),
  $A$2="Outros",
    SUMPRODUCT(
      tb_caixa[Saldo]*
      ISNA(MATCH(tb_caixa[Empresa], {"AMP";"AVS";"CBL";"GRA";"LUC";"POM";"SAU";"SN2";"SN4"}, 0))*
      (tb_caixa[Dia]&gt;=EDATE(P$3,0))*
      (tb_caixa[Dia]&lt;EOMONTH(P$3,0)+1)
    )
)</f>
        <v>6695.85</v>
      </c>
      <c r="Q44" s="297" cm="1">
        <f t="array" ref="Q44">_xlfn.IFS(
  AND($A$2&lt;&gt;"AMP",$A$2&lt;&gt;"Ampla",$A$2&lt;&gt;"Outros"),
    SUMIFS(
      tb_caixa[Saldo],
      tb_caixa[Empresa],$A$2,
      tb_caixa[Dia],"&gt;="&amp;EDATE(Q$3,0),
      tb_caixa[Dia],"&lt;"&amp;EOMONTH(Q$3,0)+1
    ),
  $A$2="AMP",
    0,
  $A$2="Ampla",
    SUMIFS(
      tb_caixa[Saldo],
      tb_caixa[Empresa],"AMP",
      tb_caixa[Dia],"&gt;="&amp;EDATE(Q$3,0),
      tb_caixa[Dia],"&lt;"&amp;EOMONTH(Q$3,0)+1
    ),
  $A$2="Outros",
    SUMPRODUCT(
      tb_caixa[Saldo]*
      ISNA(MATCH(tb_caixa[Empresa], {"AMP";"AVS";"CBL";"GRA";"LUC";"POM";"SAU";"SN2";"SN4"}, 0))*
      (tb_caixa[Dia]&gt;=EDATE(Q$3,0))*
      (tb_caixa[Dia]&lt;EOMONTH(Q$3,0)+1)
    )
)</f>
        <v>9782.76</v>
      </c>
      <c r="R44" s="297" cm="1">
        <f t="array" ref="R44">_xlfn.IFS(
  AND($A$2&lt;&gt;"AMP",$A$2&lt;&gt;"Ampla",$A$2&lt;&gt;"Outros"),
    SUMIFS(
      tb_caixa[Saldo],
      tb_caixa[Empresa],$A$2,
      tb_caixa[Dia],"&gt;="&amp;EDATE(R$3,0),
      tb_caixa[Dia],"&lt;"&amp;EOMONTH(R$3,0)+1
    ),
  $A$2="AMP",
    0,
  $A$2="Ampla",
    SUMIFS(
      tb_caixa[Saldo],
      tb_caixa[Empresa],"AMP",
      tb_caixa[Dia],"&gt;="&amp;EDATE(R$3,0),
      tb_caixa[Dia],"&lt;"&amp;EOMONTH(R$3,0)+1
    ),
  $A$2="Outros",
    SUMPRODUCT(
      tb_caixa[Saldo]*
      ISNA(MATCH(tb_caixa[Empresa], {"AMP";"AVS";"CBL";"GRA";"LUC";"POM";"SAU";"SN2";"SN4"}, 0))*
      (tb_caixa[Dia]&gt;=EDATE(R$3,0))*
      (tb_caixa[Dia]&lt;EOMONTH(R$3,0)+1)
    )
)</f>
        <v>4594.1399999999994</v>
      </c>
      <c r="S44" s="297" cm="1">
        <f t="array" ref="S44">_xlfn.IFS(
  AND($A$2&lt;&gt;"AMP",$A$2&lt;&gt;"Ampla",$A$2&lt;&gt;"Outros"),
    SUMIFS(
      tb_caixa[Saldo],
      tb_caixa[Empresa],$A$2,
      tb_caixa[Dia],"&gt;="&amp;EDATE(S$3,0),
      tb_caixa[Dia],"&lt;"&amp;EOMONTH(S$3,0)+1
    ),
  $A$2="AMP",
    0,
  $A$2="Ampla",
    SUMIFS(
      tb_caixa[Saldo],
      tb_caixa[Empresa],"AMP",
      tb_caixa[Dia],"&gt;="&amp;EDATE(S$3,0),
      tb_caixa[Dia],"&lt;"&amp;EOMONTH(S$3,0)+1
    ),
  $A$2="Outros",
    SUMPRODUCT(
      tb_caixa[Saldo]*
      ISNA(MATCH(tb_caixa[Empresa], {"AMP";"AVS";"CBL";"GRA";"LUC";"POM";"SAU";"SN2";"SN4"}, 0))*
      (tb_caixa[Dia]&gt;=EDATE(S$3,0))*
      (tb_caixa[Dia]&lt;EOMONTH(S$3,0)+1)
    )
)</f>
        <v>1006435.56</v>
      </c>
      <c r="T44" s="297" cm="1">
        <f t="array" ref="T44">_xlfn.IFS(
  AND($A$2&lt;&gt;"AMP",$A$2&lt;&gt;"Ampla",$A$2&lt;&gt;"Outros"),
    SUMIFS(
      tb_caixa[Saldo],
      tb_caixa[Empresa],$A$2,
      tb_caixa[Dia],"&gt;="&amp;EDATE(T$3,0),
      tb_caixa[Dia],"&lt;"&amp;EOMONTH(T$3,0)+1
    ),
  $A$2="AMP",
    0,
  $A$2="Ampla",
    SUMIFS(
      tb_caixa[Saldo],
      tb_caixa[Empresa],"AMP",
      tb_caixa[Dia],"&gt;="&amp;EDATE(T$3,0),
      tb_caixa[Dia],"&lt;"&amp;EOMONTH(T$3,0)+1
    ),
  $A$2="Outros",
    SUMPRODUCT(
      tb_caixa[Saldo]*
      ISNA(MATCH(tb_caixa[Empresa], {"AMP";"AVS";"CBL";"GRA";"LUC";"POM";"SAU";"SN2";"SN4"}, 0))*
      (tb_caixa[Dia]&gt;=EDATE(T$3,0))*
      (tb_caixa[Dia]&lt;EOMONTH(T$3,0)+1)
    )
)</f>
        <v>1745.97</v>
      </c>
      <c r="U44" s="297" cm="1">
        <f t="array" ref="U44">_xlfn.IFS(
  AND($A$2&lt;&gt;"AMP",$A$2&lt;&gt;"Ampla",$A$2&lt;&gt;"Outros"),
    SUMIFS(
      tb_caixa[Saldo],
      tb_caixa[Empresa],$A$2,
      tb_caixa[Dia],"&gt;="&amp;EDATE(U$3,0),
      tb_caixa[Dia],"&lt;"&amp;EOMONTH(U$3,0)+1
    ),
  $A$2="AMP",
    0,
  $A$2="Ampla",
    SUMIFS(
      tb_caixa[Saldo],
      tb_caixa[Empresa],"AMP",
      tb_caixa[Dia],"&gt;="&amp;EDATE(U$3,0),
      tb_caixa[Dia],"&lt;"&amp;EOMONTH(U$3,0)+1
    ),
  $A$2="Outros",
    SUMPRODUCT(
      tb_caixa[Saldo]*
      ISNA(MATCH(tb_caixa[Empresa], {"AMP";"AVS";"CBL";"GRA";"LUC";"POM";"SAU";"SN2";"SN4"}, 0))*
      (tb_caixa[Dia]&gt;=EDATE(U$3,0))*
      (tb_caixa[Dia]&lt;EOMONTH(U$3,0)+1)
    )
)</f>
        <v>440479</v>
      </c>
      <c r="V44" s="297" cm="1">
        <f t="array" ref="V44">_xlfn.IFS(
  AND($A$2&lt;&gt;"AMP",$A$2&lt;&gt;"Ampla",$A$2&lt;&gt;"Outros"),
    SUMIFS(
      tb_caixa[Saldo],
      tb_caixa[Empresa],$A$2,
      tb_caixa[Dia],"&gt;="&amp;EDATE(V$3,0),
      tb_caixa[Dia],"&lt;"&amp;EOMONTH(V$3,0)+1
    ),
  $A$2="AMP",
    0,
  $A$2="Ampla",
    SUMIFS(
      tb_caixa[Saldo],
      tb_caixa[Empresa],"AMP",
      tb_caixa[Dia],"&gt;="&amp;EDATE(V$3,0),
      tb_caixa[Dia],"&lt;"&amp;EOMONTH(V$3,0)+1
    ),
  $A$2="Outros",
    SUMPRODUCT(
      tb_caixa[Saldo]*
      ISNA(MATCH(tb_caixa[Empresa], {"AMP";"AVS";"CBL";"GRA";"LUC";"POM";"SAU";"SN2";"SN4"}, 0))*
      (tb_caixa[Dia]&gt;=EDATE(V$3,0))*
      (tb_caixa[Dia]&lt;EOMONTH(V$3,0)+1)
    )
)</f>
        <v>190249.72</v>
      </c>
      <c r="W44" s="297" cm="1">
        <f t="array" ref="W44">_xlfn.IFS(
  AND($A$2&lt;&gt;"AMP",$A$2&lt;&gt;"Ampla",$A$2&lt;&gt;"Outros"),
    SUMIFS(
      tb_caixa[Saldo],
      tb_caixa[Empresa],$A$2,
      tb_caixa[Dia],"&gt;="&amp;EDATE(W$3,0),
      tb_caixa[Dia],"&lt;"&amp;EOMONTH(W$3,0)+1
    ),
  $A$2="AMP",
    0,
  $A$2="Ampla",
    SUMIFS(
      tb_caixa[Saldo],
      tb_caixa[Empresa],"AMP",
      tb_caixa[Dia],"&gt;="&amp;EDATE(W$3,0),
      tb_caixa[Dia],"&lt;"&amp;EOMONTH(W$3,0)+1
    ),
  $A$2="Outros",
    SUMPRODUCT(
      tb_caixa[Saldo]*
      ISNA(MATCH(tb_caixa[Empresa], {"AMP";"AVS";"CBL";"GRA";"LUC";"POM";"SAU";"SN2";"SN4"}, 0))*
      (tb_caixa[Dia]&gt;=EDATE(W$3,0))*
      (tb_caixa[Dia]&lt;EOMONTH(W$3,0)+1)
    )
)</f>
        <v>1388194.21</v>
      </c>
      <c r="X44" s="297" cm="1">
        <f t="array" ref="X44">_xlfn.IFS(
  AND($A$2&lt;&gt;"AMP",$A$2&lt;&gt;"Ampla",$A$2&lt;&gt;"Outros"),
    SUMIFS(
      tb_caixa[Saldo],
      tb_caixa[Empresa],$A$2,
      tb_caixa[Dia],"&gt;="&amp;EDATE(X$3,0),
      tb_caixa[Dia],"&lt;"&amp;EOMONTH(X$3,0)+1
    ),
  $A$2="AMP",
    0,
  $A$2="Ampla",
    SUMIFS(
      tb_caixa[Saldo],
      tb_caixa[Empresa],"AMP",
      tb_caixa[Dia],"&gt;="&amp;EDATE(X$3,0),
      tb_caixa[Dia],"&lt;"&amp;EOMONTH(X$3,0)+1
    ),
  $A$2="Outros",
    SUMPRODUCT(
      tb_caixa[Saldo]*
      ISNA(MATCH(tb_caixa[Empresa], {"AMP";"AVS";"CBL";"GRA";"LUC";"POM";"SAU";"SN2";"SN4"}, 0))*
      (tb_caixa[Dia]&gt;=EDATE(X$3,0))*
      (tb_caixa[Dia]&lt;EOMONTH(X$3,0)+1)
    )
)</f>
        <v>179329.6</v>
      </c>
      <c r="Y44" s="297" cm="1">
        <f t="array" ref="Y44">_xlfn.IFS(
  AND($A$2&lt;&gt;"AMP",$A$2&lt;&gt;"Ampla",$A$2&lt;&gt;"Outros"),
    SUMIFS(
      tb_caixa[Saldo],
      tb_caixa[Empresa],$A$2,
      tb_caixa[Dia],"&gt;="&amp;EDATE(Y$3,0),
      tb_caixa[Dia],"&lt;"&amp;EOMONTH(Y$3,0)+1
    ),
  $A$2="AMP",
    0,
  $A$2="Ampla",
    SUMIFS(
      tb_caixa[Saldo],
      tb_caixa[Empresa],"AMP",
      tb_caixa[Dia],"&gt;="&amp;EDATE(Y$3,0),
      tb_caixa[Dia],"&lt;"&amp;EOMONTH(Y$3,0)+1
    ),
  $A$2="Outros",
    SUMPRODUCT(
      tb_caixa[Saldo]*
      ISNA(MATCH(tb_caixa[Empresa], {"AMP";"AVS";"CBL";"GRA";"LUC";"POM";"SAU";"SN2";"SN4"}, 0))*
      (tb_caixa[Dia]&gt;=EDATE(Y$3,0))*
      (tb_caixa[Dia]&lt;EOMONTH(Y$3,0)+1)
    )
)</f>
        <v>0</v>
      </c>
      <c r="Z44" s="297" cm="1">
        <f t="array" ref="Z44">_xlfn.IFS(
  AND($A$2&lt;&gt;"AMP",$A$2&lt;&gt;"Ampla",$A$2&lt;&gt;"Outros"),
    SUMIFS(
      tb_caixa[Saldo],
      tb_caixa[Empresa],$A$2,
      tb_caixa[Dia],"&gt;="&amp;EDATE(Z$3,0),
      tb_caixa[Dia],"&lt;"&amp;EOMONTH(Z$3,0)+1
    ),
  $A$2="AMP",
    0,
  $A$2="Ampla",
    SUMIFS(
      tb_caixa[Saldo],
      tb_caixa[Empresa],"AMP",
      tb_caixa[Dia],"&gt;="&amp;EDATE(Z$3,0),
      tb_caixa[Dia],"&lt;"&amp;EOMONTH(Z$3,0)+1
    ),
  $A$2="Outros",
    SUMPRODUCT(
      tb_caixa[Saldo]*
      ISNA(MATCH(tb_caixa[Empresa], {"AMP";"AVS";"CBL";"GRA";"LUC";"POM";"SAU";"SN2";"SN4"}, 0))*
      (tb_caixa[Dia]&gt;=EDATE(Z$3,0))*
      (tb_caixa[Dia]&lt;EOMONTH(Z$3,0)+1)
    )
)</f>
        <v>0</v>
      </c>
      <c r="AA44" s="297" cm="1">
        <f t="array" ref="AA44">_xlfn.IFS(
  AND($A$2&lt;&gt;"AMP",$A$2&lt;&gt;"Ampla",$A$2&lt;&gt;"Outros"),
    SUMIFS(
      tb_caixa[Saldo],
      tb_caixa[Empresa],$A$2,
      tb_caixa[Dia],"&gt;="&amp;EDATE(AA$3,0),
      tb_caixa[Dia],"&lt;"&amp;EOMONTH(AA$3,0)+1
    ),
  $A$2="AMP",
    0,
  $A$2="Ampla",
    SUMIFS(
      tb_caixa[Saldo],
      tb_caixa[Empresa],"AMP",
      tb_caixa[Dia],"&gt;="&amp;EDATE(AA$3,0),
      tb_caixa[Dia],"&lt;"&amp;EOMONTH(AA$3,0)+1
    ),
  $A$2="Outros",
    SUMPRODUCT(
      tb_caixa[Saldo]*
      ISNA(MATCH(tb_caixa[Empresa], {"AMP";"AVS";"CBL";"GRA";"LUC";"POM";"SAU";"SN2";"SN4"}, 0))*
      (tb_caixa[Dia]&gt;=EDATE(AA$3,0))*
      (tb_caixa[Dia]&lt;EOMONTH(AA$3,0)+1)
    )
)</f>
        <v>0</v>
      </c>
      <c r="AB44" s="298"/>
      <c r="AC44" s="305"/>
      <c r="AD44" s="298"/>
      <c r="AE44" s="305"/>
    </row>
    <row r="45" spans="1:31" x14ac:dyDescent="0.25">
      <c r="A45" s="170"/>
      <c r="B45" s="170" t="s">
        <v>662</v>
      </c>
      <c r="C45" s="195"/>
      <c r="D45" s="196">
        <f t="shared" ref="D45:AA45" ca="1" si="23">D$4+D$25+D$33</f>
        <v>0</v>
      </c>
      <c r="E45" s="196">
        <f t="shared" ca="1" si="23"/>
        <v>0</v>
      </c>
      <c r="F45" s="196">
        <f t="shared" ca="1" si="23"/>
        <v>0</v>
      </c>
      <c r="G45" s="196">
        <f t="shared" ca="1" si="23"/>
        <v>0</v>
      </c>
      <c r="H45" s="196">
        <f t="shared" ca="1" si="23"/>
        <v>0</v>
      </c>
      <c r="I45" s="196">
        <f t="shared" ca="1" si="23"/>
        <v>0</v>
      </c>
      <c r="J45" s="196">
        <f t="shared" ca="1" si="23"/>
        <v>0</v>
      </c>
      <c r="K45" s="196">
        <f t="shared" ca="1" si="23"/>
        <v>5000000</v>
      </c>
      <c r="L45" s="196">
        <f t="shared" ca="1" si="23"/>
        <v>0</v>
      </c>
      <c r="M45" s="196">
        <f t="shared" ca="1" si="23"/>
        <v>0</v>
      </c>
      <c r="N45" s="196">
        <f t="shared" ca="1" si="23"/>
        <v>0</v>
      </c>
      <c r="O45" s="196">
        <f t="shared" ca="1" si="23"/>
        <v>0</v>
      </c>
      <c r="P45" s="196">
        <f t="shared" ca="1" si="23"/>
        <v>0</v>
      </c>
      <c r="Q45" s="196">
        <f t="shared" ca="1" si="23"/>
        <v>0</v>
      </c>
      <c r="R45" s="196">
        <f t="shared" ca="1" si="23"/>
        <v>0</v>
      </c>
      <c r="S45" s="196">
        <f t="shared" ca="1" si="23"/>
        <v>0</v>
      </c>
      <c r="T45" s="196">
        <f t="shared" ca="1" si="23"/>
        <v>5000000</v>
      </c>
      <c r="U45" s="196">
        <f t="shared" ca="1" si="23"/>
        <v>0</v>
      </c>
      <c r="V45" s="196">
        <f t="shared" ca="1" si="23"/>
        <v>1494751.71</v>
      </c>
      <c r="W45" s="196">
        <f t="shared" ca="1" si="23"/>
        <v>432421.65</v>
      </c>
      <c r="X45" s="196">
        <f t="shared" ca="1" si="23"/>
        <v>0</v>
      </c>
      <c r="Y45" s="196">
        <f t="shared" ca="1" si="23"/>
        <v>0</v>
      </c>
      <c r="Z45" s="196">
        <f t="shared" ca="1" si="23"/>
        <v>0</v>
      </c>
      <c r="AA45" s="196">
        <f t="shared" ca="1" si="23"/>
        <v>0</v>
      </c>
      <c r="AC45" s="282">
        <f ca="1">SUM($D45:INDEX($D45:$AA45,1,MATCH(DATE(YEAR(inputs!$A$1),MONTH(inputs!$A$1),1),$D$3:$AA$3,0)))</f>
        <v>11927173.360000001</v>
      </c>
      <c r="AE45" s="282">
        <f t="shared" ca="1" si="4"/>
        <v>11927173.360000001</v>
      </c>
    </row>
  </sheetData>
  <conditionalFormatting sqref="A11:A24">
    <cfRule type="endsWith" dxfId="26" priority="1" operator="endsWith" text="..">
      <formula>RIGHT(A11,LEN(".."))=".."</formula>
    </cfRule>
  </conditionalFormatting>
  <dataValidations count="2">
    <dataValidation type="list" allowBlank="1" showInputMessage="1" showErrorMessage="1" sqref="A3" xr:uid="{70EC54CC-7329-4D42-854A-8CAA1EB97605}">
      <formula1>"AMP, AVS, CBL, GRA, LUC, POM, SAU, SN2, SN4"</formula1>
    </dataValidation>
    <dataValidation type="list" allowBlank="1" showInputMessage="1" showErrorMessage="1" sqref="A2" xr:uid="{17B2F59A-D984-4AA0-9093-588EA54E69A9}">
      <formula1>"Ampla, AMP, AVS, CBL, GRA, LUC, POM, SAU, SN2, SN4, Outros"</formula1>
    </dataValidation>
  </dataValidations>
  <pageMargins left="0.511811024" right="0.511811024" top="0.78740157499999996" bottom="0.78740157499999996" header="0.31496062000000002" footer="0.31496062000000002"/>
  <ignoredErrors>
    <ignoredError sqref="D12:AA12 D19 E19:AA19" formula="1"/>
  </ignoredErrors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52C9792-A058-4C87-879E-E0B502589BF4}">
            <xm:f>inputs!$A$1</xm:f>
            <x14:dxf>
              <fill>
                <patternFill>
                  <bgColor theme="0" tint="-0.34998626667073579"/>
                </patternFill>
              </fill>
            </x14:dxf>
          </x14:cfRule>
          <xm:sqref>D3:AA3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97F2-42B8-4BEA-B561-CBABB21A3A3E}">
  <dimension ref="A1:S13"/>
  <sheetViews>
    <sheetView showGridLines="0" zoomScaleNormal="100" workbookViewId="0">
      <selection activeCell="L7" sqref="L7"/>
    </sheetView>
  </sheetViews>
  <sheetFormatPr defaultRowHeight="15" x14ac:dyDescent="0.25"/>
  <cols>
    <col min="2" max="3" width="12.7109375" customWidth="1"/>
    <col min="4" max="4" width="15.7109375" customWidth="1"/>
    <col min="5" max="7" width="12.7109375" customWidth="1"/>
    <col min="8" max="8" width="15.7109375" customWidth="1"/>
    <col min="9" max="9" width="12.7109375" customWidth="1"/>
    <col min="12" max="13" width="12.7109375" customWidth="1"/>
    <col min="14" max="15" width="15.7109375" customWidth="1"/>
    <col min="16" max="17" width="12.7109375" customWidth="1"/>
    <col min="18" max="19" width="15.7109375" customWidth="1"/>
  </cols>
  <sheetData>
    <row r="1" spans="1:19" x14ac:dyDescent="0.25">
      <c r="B1" s="384" t="s">
        <v>924</v>
      </c>
      <c r="C1" s="384"/>
      <c r="D1" s="384"/>
      <c r="E1" s="384"/>
      <c r="F1" s="383" t="s">
        <v>925</v>
      </c>
      <c r="G1" s="383"/>
      <c r="H1" s="383"/>
      <c r="I1" s="383"/>
      <c r="K1" t="s">
        <v>851</v>
      </c>
      <c r="L1" t="s">
        <v>929</v>
      </c>
      <c r="M1" t="s">
        <v>930</v>
      </c>
      <c r="N1" t="s">
        <v>931</v>
      </c>
      <c r="O1" t="s">
        <v>932</v>
      </c>
      <c r="P1" t="s">
        <v>933</v>
      </c>
      <c r="Q1" t="s">
        <v>934</v>
      </c>
      <c r="R1" t="s">
        <v>935</v>
      </c>
      <c r="S1" t="s">
        <v>936</v>
      </c>
    </row>
    <row r="2" spans="1:19" x14ac:dyDescent="0.25">
      <c r="A2" s="180" t="s">
        <v>851</v>
      </c>
      <c r="B2" s="385" t="s">
        <v>926</v>
      </c>
      <c r="C2" s="385" t="s">
        <v>927</v>
      </c>
      <c r="D2" s="385" t="s">
        <v>676</v>
      </c>
      <c r="E2" s="385" t="s">
        <v>928</v>
      </c>
      <c r="F2" s="386" t="s">
        <v>926</v>
      </c>
      <c r="G2" s="386" t="s">
        <v>927</v>
      </c>
      <c r="H2" s="386" t="s">
        <v>676</v>
      </c>
      <c r="I2" s="386" t="s">
        <v>928</v>
      </c>
      <c r="K2" s="272">
        <v>46082</v>
      </c>
      <c r="L2">
        <v>115</v>
      </c>
      <c r="M2">
        <v>806</v>
      </c>
      <c r="N2" s="368">
        <v>4411739.1799999988</v>
      </c>
      <c r="O2" s="368">
        <v>7885767.0499999998</v>
      </c>
      <c r="P2" s="411">
        <v>0.1248642779587405</v>
      </c>
      <c r="Q2" s="411">
        <v>0.87513572204125945</v>
      </c>
      <c r="R2" s="411">
        <v>0.35875071721756674</v>
      </c>
      <c r="S2" s="411">
        <v>0.64124928278243232</v>
      </c>
    </row>
    <row r="3" spans="1:19" x14ac:dyDescent="0.25">
      <c r="A3" s="408">
        <v>46082</v>
      </c>
      <c r="B3" s="387">
        <v>806</v>
      </c>
      <c r="C3" s="388">
        <v>0.87513572204125945</v>
      </c>
      <c r="D3" s="389">
        <v>7885767.0499999998</v>
      </c>
      <c r="E3" s="388">
        <v>0.64124928278243232</v>
      </c>
      <c r="F3" s="390">
        <v>115</v>
      </c>
      <c r="G3" s="391">
        <v>0.1248642779587405</v>
      </c>
      <c r="H3" s="392">
        <v>4411739.1799999988</v>
      </c>
      <c r="I3" s="393">
        <v>0.35875071721756674</v>
      </c>
      <c r="K3" s="272">
        <v>46113</v>
      </c>
      <c r="L3">
        <v>88</v>
      </c>
      <c r="M3">
        <v>819</v>
      </c>
      <c r="N3" s="368">
        <v>413016.37</v>
      </c>
      <c r="O3" s="368">
        <v>13346831.511763999</v>
      </c>
      <c r="P3" s="411">
        <v>9.7023153252480704E-2</v>
      </c>
      <c r="Q3" s="411">
        <v>0.90297684674751932</v>
      </c>
      <c r="R3" s="411">
        <v>3.0016056394589419E-2</v>
      </c>
      <c r="S3" s="411">
        <v>0.96998394360541051</v>
      </c>
    </row>
    <row r="4" spans="1:19" x14ac:dyDescent="0.25">
      <c r="A4" s="409">
        <v>46113</v>
      </c>
      <c r="B4" s="394">
        <v>819</v>
      </c>
      <c r="C4" s="395">
        <v>0.90297684674751932</v>
      </c>
      <c r="D4" s="396">
        <v>13346831.511763999</v>
      </c>
      <c r="E4" s="395">
        <v>0.96998394360541051</v>
      </c>
      <c r="F4" s="397">
        <v>88</v>
      </c>
      <c r="G4" s="398">
        <v>9.7023153252480704E-2</v>
      </c>
      <c r="H4" s="399">
        <v>413016.37</v>
      </c>
      <c r="I4" s="400">
        <v>3.0016056394589419E-2</v>
      </c>
      <c r="K4" s="272">
        <v>46143</v>
      </c>
      <c r="L4">
        <v>266</v>
      </c>
      <c r="M4">
        <v>772</v>
      </c>
      <c r="N4" s="368">
        <v>1223402.58</v>
      </c>
      <c r="O4" s="368">
        <v>8980749.2300000042</v>
      </c>
      <c r="P4" s="411">
        <v>0.25626204238921002</v>
      </c>
      <c r="Q4" s="411">
        <v>0.74373795761078998</v>
      </c>
      <c r="R4" s="412">
        <v>0.11989262829283601</v>
      </c>
      <c r="S4" s="412">
        <v>0.88010737170716413</v>
      </c>
    </row>
    <row r="5" spans="1:19" x14ac:dyDescent="0.25">
      <c r="A5" s="410">
        <v>46143</v>
      </c>
      <c r="B5" s="401">
        <v>772</v>
      </c>
      <c r="C5" s="402">
        <v>0.74373795761078998</v>
      </c>
      <c r="D5" s="403">
        <v>8980749.2300000042</v>
      </c>
      <c r="E5" s="402">
        <v>0.88010737170716413</v>
      </c>
      <c r="F5" s="404">
        <v>266</v>
      </c>
      <c r="G5" s="405">
        <v>0.25626204238921002</v>
      </c>
      <c r="H5" s="406">
        <v>1223402.58</v>
      </c>
      <c r="I5" s="407">
        <v>0.11989262829283601</v>
      </c>
      <c r="K5" s="272"/>
      <c r="L5" s="272"/>
      <c r="M5" s="272"/>
      <c r="N5" s="272"/>
      <c r="O5" s="272"/>
      <c r="P5" s="272"/>
      <c r="Q5" s="272"/>
      <c r="R5" s="272"/>
      <c r="S5" s="272"/>
    </row>
    <row r="6" spans="1:19" x14ac:dyDescent="0.25">
      <c r="K6" s="272"/>
      <c r="L6" s="272"/>
      <c r="M6" s="272"/>
      <c r="N6" s="272"/>
      <c r="O6" s="272"/>
      <c r="P6" s="272"/>
      <c r="Q6" s="272"/>
      <c r="R6" s="272"/>
      <c r="S6" s="272"/>
    </row>
    <row r="7" spans="1:19" x14ac:dyDescent="0.25">
      <c r="K7" s="272"/>
      <c r="L7" s="272"/>
      <c r="M7" s="272"/>
      <c r="N7" s="272"/>
      <c r="O7" s="272"/>
      <c r="P7" s="272"/>
      <c r="Q7" s="272"/>
      <c r="R7" s="272"/>
      <c r="S7" s="272"/>
    </row>
    <row r="8" spans="1:19" x14ac:dyDescent="0.25">
      <c r="K8" s="272"/>
      <c r="L8" s="272"/>
      <c r="M8" s="272"/>
      <c r="N8" s="272"/>
      <c r="O8" s="272"/>
      <c r="P8" s="272"/>
      <c r="Q8" s="272"/>
      <c r="R8" s="272"/>
      <c r="S8" s="272"/>
    </row>
    <row r="9" spans="1:19" x14ac:dyDescent="0.25">
      <c r="K9" s="272"/>
      <c r="L9" s="272"/>
      <c r="M9" s="272"/>
      <c r="N9" s="272"/>
      <c r="O9" s="272"/>
      <c r="P9" s="272"/>
      <c r="Q9" s="272"/>
      <c r="R9" s="272"/>
      <c r="S9" s="272"/>
    </row>
    <row r="10" spans="1:19" x14ac:dyDescent="0.25">
      <c r="K10" s="272"/>
      <c r="L10" s="272"/>
      <c r="M10" s="272"/>
      <c r="N10" s="272"/>
      <c r="O10" s="272"/>
      <c r="P10" s="272"/>
      <c r="Q10" s="272"/>
      <c r="R10" s="272"/>
      <c r="S10" s="272"/>
    </row>
    <row r="11" spans="1:19" x14ac:dyDescent="0.25">
      <c r="K11" s="272"/>
      <c r="L11" s="272"/>
      <c r="M11" s="272"/>
      <c r="N11" s="272"/>
      <c r="O11" s="272"/>
      <c r="P11" s="272"/>
      <c r="Q11" s="272"/>
      <c r="R11" s="272"/>
      <c r="S11" s="272"/>
    </row>
    <row r="12" spans="1:19" x14ac:dyDescent="0.25">
      <c r="K12" s="272"/>
      <c r="L12" s="272"/>
      <c r="M12" s="272"/>
      <c r="N12" s="272"/>
      <c r="O12" s="272"/>
      <c r="P12" s="272"/>
      <c r="Q12" s="272"/>
      <c r="R12" s="272"/>
      <c r="S12" s="272"/>
    </row>
    <row r="13" spans="1:19" x14ac:dyDescent="0.25">
      <c r="K13" s="272"/>
      <c r="L13" s="272"/>
      <c r="M13" s="272"/>
      <c r="N13" s="272"/>
      <c r="O13" s="272"/>
      <c r="P13" s="272"/>
      <c r="Q13" s="272"/>
      <c r="R13" s="272"/>
      <c r="S13" s="272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EB45-B500-4913-AB52-F38B9C30EF80}">
  <dimension ref="A1:BO241"/>
  <sheetViews>
    <sheetView showGridLines="0" topLeftCell="A100" zoomScale="80" workbookViewId="0">
      <selection activeCell="E111" sqref="E111"/>
    </sheetView>
  </sheetViews>
  <sheetFormatPr defaultRowHeight="15" x14ac:dyDescent="0.25"/>
  <cols>
    <col min="1" max="1" width="5.7109375" customWidth="1"/>
    <col min="2" max="4" width="36.28515625" bestFit="1" customWidth="1"/>
    <col min="5" max="5" width="12.85546875" bestFit="1" customWidth="1"/>
    <col min="8" max="8" width="48.7109375" customWidth="1"/>
    <col min="9" max="9" width="5.7109375" customWidth="1"/>
    <col min="10" max="10" width="48.7109375" customWidth="1"/>
    <col min="11" max="11" width="12.28515625" bestFit="1" customWidth="1"/>
    <col min="15" max="15" width="22.28515625" bestFit="1" customWidth="1"/>
    <col min="16" max="16" width="36.28515625" customWidth="1"/>
    <col min="18" max="18" width="15.7109375" customWidth="1"/>
    <col min="19" max="19" width="30.7109375" customWidth="1"/>
    <col min="20" max="20" width="15.7109375" customWidth="1"/>
    <col min="21" max="21" width="30.7109375" customWidth="1"/>
    <col min="22" max="22" width="15.7109375" customWidth="1"/>
    <col min="23" max="23" width="30.7109375" customWidth="1"/>
    <col min="24" max="24" width="15.7109375" customWidth="1"/>
    <col min="25" max="25" width="30.7109375" customWidth="1"/>
    <col min="26" max="26" width="15.7109375" customWidth="1"/>
    <col min="27" max="27" width="30.7109375" customWidth="1"/>
    <col min="28" max="28" width="15.7109375" customWidth="1"/>
    <col min="29" max="29" width="30.7109375" customWidth="1"/>
    <col min="30" max="30" width="15.7109375" customWidth="1"/>
    <col min="31" max="31" width="30.7109375" customWidth="1"/>
    <col min="32" max="32" width="15.7109375" customWidth="1"/>
    <col min="33" max="33" width="30.7109375" customWidth="1"/>
    <col min="34" max="34" width="15.7109375" customWidth="1"/>
    <col min="35" max="35" width="30.7109375" customWidth="1"/>
    <col min="36" max="36" width="15.7109375" customWidth="1"/>
    <col min="37" max="37" width="30.7109375" customWidth="1"/>
    <col min="38" max="38" width="15.7109375" customWidth="1"/>
    <col min="39" max="39" width="30.7109375" customWidth="1"/>
    <col min="40" max="40" width="15.7109375" customWidth="1"/>
    <col min="41" max="41" width="30.7109375" customWidth="1"/>
    <col min="42" max="42" width="15.7109375" customWidth="1"/>
    <col min="43" max="43" width="30.7109375" customWidth="1"/>
    <col min="44" max="44" width="15.7109375" customWidth="1"/>
    <col min="45" max="45" width="30.7109375" customWidth="1"/>
    <col min="46" max="46" width="15.7109375" customWidth="1"/>
    <col min="47" max="47" width="30.7109375" customWidth="1"/>
    <col min="48" max="48" width="15.7109375" customWidth="1"/>
    <col min="49" max="49" width="30.7109375" customWidth="1"/>
    <col min="50" max="50" width="15.7109375" customWidth="1"/>
    <col min="51" max="51" width="30.7109375" customWidth="1"/>
    <col min="52" max="52" width="15.7109375" customWidth="1"/>
    <col min="53" max="53" width="30.7109375" customWidth="1"/>
    <col min="54" max="54" width="15.7109375" customWidth="1"/>
    <col min="55" max="55" width="30.7109375" customWidth="1"/>
    <col min="56" max="56" width="15.7109375" customWidth="1"/>
    <col min="57" max="57" width="30.7109375" customWidth="1"/>
    <col min="58" max="58" width="15.7109375" customWidth="1"/>
    <col min="59" max="59" width="30.7109375" customWidth="1"/>
    <col min="60" max="60" width="15.7109375" customWidth="1"/>
    <col min="61" max="61" width="30.7109375" customWidth="1"/>
    <col min="62" max="62" width="15.7109375" customWidth="1"/>
    <col min="63" max="63" width="30.7109375" customWidth="1"/>
    <col min="64" max="64" width="15.7109375" customWidth="1"/>
    <col min="65" max="65" width="30.7109375" customWidth="1"/>
    <col min="66" max="66" width="15.7109375" customWidth="1"/>
    <col min="67" max="67" width="30.7109375" customWidth="1"/>
  </cols>
  <sheetData>
    <row r="1" spans="1:67" x14ac:dyDescent="0.25">
      <c r="B1" s="151" t="s">
        <v>486</v>
      </c>
      <c r="C1" s="152">
        <f>DATE(2025,1,1)</f>
        <v>45658</v>
      </c>
      <c r="H1" s="153" t="s">
        <v>684</v>
      </c>
      <c r="J1" s="153" t="s">
        <v>487</v>
      </c>
      <c r="O1" s="151" t="s">
        <v>489</v>
      </c>
      <c r="P1" s="151" t="s">
        <v>352</v>
      </c>
      <c r="R1" s="263">
        <v>1</v>
      </c>
      <c r="S1" s="289" t="e" cm="1" vm="1">
        <f t="array" ref="S1">SUMPRODUCT(
tb_desp[valor]*
(tb_desp[centro.negocio]=S$2)*
(tb_desp[data.pagamento]&gt;='n&amp;cn'!$C$1)*
(tb_desp[data.pagamento]&lt;='n&amp;cn'!$C$2)
)</f>
        <v>#VALUE!</v>
      </c>
      <c r="T1" s="263">
        <v>2</v>
      </c>
      <c r="U1" s="289" cm="1">
        <f t="array" ref="U1">SUMPRODUCT(
tb_desp[valor]*
(tb_desp[centro.negocio]=U$2)*
(tb_desp[data.pagamento]&gt;='n&amp;cn'!$C$1)*
(tb_desp[data.pagamento]&lt;='n&amp;cn'!$C$2)
)</f>
        <v>0</v>
      </c>
      <c r="V1" s="263">
        <v>3</v>
      </c>
      <c r="W1" s="289" cm="1">
        <f t="array" ref="W1">SUMPRODUCT(
tb_desp[valor]*
(tb_desp[centro.negocio]=W$2)*
(tb_desp[data.pagamento]&gt;='n&amp;cn'!$C$1)*
(tb_desp[data.pagamento]&lt;='n&amp;cn'!$C$2)
)</f>
        <v>0</v>
      </c>
      <c r="X1" s="263">
        <v>4</v>
      </c>
      <c r="Y1" s="289" cm="1">
        <f t="array" ref="Y1">SUMPRODUCT(
tb_desp[valor]*
(tb_desp[centro.negocio]=Y$2)*
(tb_desp[data.pagamento]&gt;='n&amp;cn'!$C$1)*
(tb_desp[data.pagamento]&lt;='n&amp;cn'!$C$2)
)</f>
        <v>0</v>
      </c>
      <c r="Z1" s="263">
        <v>5</v>
      </c>
      <c r="AA1" s="289" cm="1">
        <f t="array" ref="AA1">SUMPRODUCT(
tb_desp[valor]*
(tb_desp[centro.negocio]=AA$2)*
(tb_desp[data.pagamento]&gt;='n&amp;cn'!$C$1)*
(tb_desp[data.pagamento]&lt;='n&amp;cn'!$C$2)
)</f>
        <v>0</v>
      </c>
      <c r="AB1" s="263">
        <v>6</v>
      </c>
      <c r="AC1" s="289" cm="1">
        <f t="array" ref="AC1">SUMPRODUCT(
tb_desp[valor]*
(tb_desp[centro.negocio]=AC$2)*
(tb_desp[data.pagamento]&gt;='n&amp;cn'!$C$1)*
(tb_desp[data.pagamento]&lt;='n&amp;cn'!$C$2)
)</f>
        <v>0</v>
      </c>
      <c r="AD1" s="263">
        <v>7</v>
      </c>
      <c r="AE1" s="289" cm="1">
        <f t="array" ref="AE1">SUMPRODUCT(
tb_desp[valor]*
(tb_desp[centro.negocio]=AE$2)*
(tb_desp[data.pagamento]&gt;='n&amp;cn'!$C$1)*
(tb_desp[data.pagamento]&lt;='n&amp;cn'!$C$2)
)</f>
        <v>0</v>
      </c>
      <c r="AF1" s="263">
        <v>8</v>
      </c>
      <c r="AG1" s="289" cm="1">
        <f t="array" ref="AG1">SUMPRODUCT(
tb_desp[valor]*
(tb_desp[centro.negocio]=AG$2)*
(tb_desp[data.pagamento]&gt;='n&amp;cn'!$C$1)*
(tb_desp[data.pagamento]&lt;='n&amp;cn'!$C$2)
)</f>
        <v>0</v>
      </c>
      <c r="AH1" s="263">
        <v>9</v>
      </c>
      <c r="AI1" s="289" cm="1">
        <f t="array" ref="AI1">SUMPRODUCT(
tb_desp[valor]*
(tb_desp[centro.negocio]=AI$2)*
(tb_desp[data.pagamento]&gt;='n&amp;cn'!$C$1)*
(tb_desp[data.pagamento]&lt;='n&amp;cn'!$C$2)
)</f>
        <v>0</v>
      </c>
      <c r="AJ1" s="263">
        <v>10</v>
      </c>
      <c r="AK1" s="289" cm="1">
        <f t="array" ref="AK1">SUMPRODUCT(
tb_desp[valor]*
(tb_desp[centro.negocio]=AK$2)*
(tb_desp[data.pagamento]&gt;='n&amp;cn'!$C$1)*
(tb_desp[data.pagamento]&lt;='n&amp;cn'!$C$2)
)</f>
        <v>0</v>
      </c>
      <c r="AL1" s="263">
        <v>11</v>
      </c>
      <c r="AM1" s="289" cm="1">
        <f t="array" ref="AM1">SUMPRODUCT(
tb_desp[valor]*
(tb_desp[centro.negocio]=AM$2)*
(tb_desp[data.pagamento]&gt;='n&amp;cn'!$C$1)*
(tb_desp[data.pagamento]&lt;='n&amp;cn'!$C$2)
)</f>
        <v>0</v>
      </c>
      <c r="AN1" s="263">
        <v>12</v>
      </c>
      <c r="AO1" s="289" cm="1">
        <f t="array" ref="AO1">SUMPRODUCT(
tb_desp[valor]*
(tb_desp[centro.negocio]=AO$2)*
(tb_desp[data.pagamento]&gt;='n&amp;cn'!$C$1)*
(tb_desp[data.pagamento]&lt;='n&amp;cn'!$C$2)
)</f>
        <v>0</v>
      </c>
      <c r="AP1" s="263">
        <v>13</v>
      </c>
      <c r="AQ1" s="289" cm="1">
        <f t="array" ref="AQ1">SUMPRODUCT(
tb_desp[valor]*
(tb_desp[centro.negocio]=AQ$2)*
(tb_desp[data.pagamento]&gt;='n&amp;cn'!$C$1)*
(tb_desp[data.pagamento]&lt;='n&amp;cn'!$C$2)
)</f>
        <v>0</v>
      </c>
      <c r="AR1" s="263">
        <v>14</v>
      </c>
      <c r="AS1" s="289" cm="1">
        <f t="array" ref="AS1">SUMPRODUCT(
tb_desp[valor]*
(tb_desp[centro.negocio]=AS$2)*
(tb_desp[data.pagamento]&gt;='n&amp;cn'!$C$1)*
(tb_desp[data.pagamento]&lt;='n&amp;cn'!$C$2)
)</f>
        <v>0</v>
      </c>
      <c r="AT1" s="263">
        <v>15</v>
      </c>
      <c r="AU1" s="289" cm="1">
        <f t="array" ref="AU1">SUMPRODUCT(
tb_desp[valor]*
(tb_desp[centro.negocio]=AU$2)*
(tb_desp[data.pagamento]&gt;='n&amp;cn'!$C$1)*
(tb_desp[data.pagamento]&lt;='n&amp;cn'!$C$2)
)</f>
        <v>0</v>
      </c>
      <c r="AV1" s="263">
        <v>16</v>
      </c>
      <c r="AW1" s="289" cm="1">
        <f t="array" ref="AW1">SUMPRODUCT(
tb_desp[valor]*
(tb_desp[centro.negocio]=AW$2)*
(tb_desp[data.pagamento]&gt;='n&amp;cn'!$C$1)*
(tb_desp[data.pagamento]&lt;='n&amp;cn'!$C$2)
)</f>
        <v>0</v>
      </c>
      <c r="AX1" s="263">
        <v>17</v>
      </c>
      <c r="AY1" s="289" cm="1">
        <f t="array" ref="AY1">SUMPRODUCT(
tb_desp[valor]*
(tb_desp[centro.negocio]=AY$2)*
(tb_desp[data.pagamento]&gt;='n&amp;cn'!$C$1)*
(tb_desp[data.pagamento]&lt;='n&amp;cn'!$C$2)
)</f>
        <v>0</v>
      </c>
      <c r="AZ1" s="263">
        <v>18</v>
      </c>
      <c r="BA1" s="289" cm="1">
        <f t="array" ref="BA1">SUMPRODUCT(
tb_desp[valor]*
(tb_desp[centro.negocio]=BA$2)*
(tb_desp[data.pagamento]&gt;='n&amp;cn'!$C$1)*
(tb_desp[data.pagamento]&lt;='n&amp;cn'!$C$2)
)</f>
        <v>0</v>
      </c>
      <c r="BB1" s="263">
        <v>19</v>
      </c>
      <c r="BC1" s="289" cm="1">
        <f t="array" ref="BC1">SUMPRODUCT(
tb_desp[valor]*
(tb_desp[centro.negocio]=BC$2)*
(tb_desp[data.pagamento]&gt;='n&amp;cn'!$C$1)*
(tb_desp[data.pagamento]&lt;='n&amp;cn'!$C$2)
)</f>
        <v>0</v>
      </c>
      <c r="BD1" s="263">
        <v>20</v>
      </c>
      <c r="BE1" s="289" cm="1">
        <f t="array" ref="BE1">SUMPRODUCT(
tb_desp[valor]*
(tb_desp[centro.negocio]=BE$2)*
(tb_desp[data.pagamento]&gt;='n&amp;cn'!$C$1)*
(tb_desp[data.pagamento]&lt;='n&amp;cn'!$C$2)
)</f>
        <v>0</v>
      </c>
      <c r="BF1" s="263">
        <v>21</v>
      </c>
      <c r="BG1" s="289" cm="1">
        <f t="array" ref="BG1">SUMPRODUCT(
tb_desp[valor]*
(tb_desp[centro.negocio]=BG$2)*
(tb_desp[data.pagamento]&gt;='n&amp;cn'!$C$1)*
(tb_desp[data.pagamento]&lt;='n&amp;cn'!$C$2)
)</f>
        <v>0</v>
      </c>
      <c r="BH1" s="263">
        <v>22</v>
      </c>
      <c r="BI1" s="289" cm="1">
        <f t="array" ref="BI1">SUMPRODUCT(
tb_desp[valor]*
(tb_desp[centro.negocio]=BI$2)*
(tb_desp[data.pagamento]&gt;='n&amp;cn'!$C$1)*
(tb_desp[data.pagamento]&lt;='n&amp;cn'!$C$2)
)</f>
        <v>0</v>
      </c>
      <c r="BJ1" s="263">
        <v>23</v>
      </c>
      <c r="BK1" s="289" cm="1">
        <f t="array" ref="BK1">SUMPRODUCT(
tb_desp[valor]*
(tb_desp[centro.negocio]=BK$2)*
(tb_desp[data.pagamento]&gt;='n&amp;cn'!$C$1)*
(tb_desp[data.pagamento]&lt;='n&amp;cn'!$C$2)
)</f>
        <v>0</v>
      </c>
      <c r="BL1" s="263">
        <v>24</v>
      </c>
      <c r="BM1" s="289" cm="1">
        <f t="array" ref="BM1">SUMPRODUCT(
tb_desp[valor]*
(tb_desp[centro.negocio]=BM$2)*
(tb_desp[data.pagamento]&gt;='n&amp;cn'!$C$1)*
(tb_desp[data.pagamento]&lt;='n&amp;cn'!$C$2)
)</f>
        <v>0</v>
      </c>
      <c r="BN1" s="263">
        <v>25</v>
      </c>
      <c r="BO1" s="289" cm="1">
        <f t="array" ref="BO1">SUMPRODUCT(
tb_desp[valor]*
(tb_desp[centro.negocio]=BO$2)*
(tb_desp[data.pagamento]&gt;='n&amp;cn'!$C$1)*
(tb_desp[data.pagamento]&lt;='n&amp;cn'!$C$2)
)</f>
        <v>0</v>
      </c>
    </row>
    <row r="2" spans="1:67" ht="15.75" x14ac:dyDescent="0.25">
      <c r="B2" s="151" t="s">
        <v>490</v>
      </c>
      <c r="C2" s="152">
        <f>inputs!A1</f>
        <v>46265</v>
      </c>
      <c r="H2" s="155" t="s">
        <v>685</v>
      </c>
      <c r="J2" s="154" t="s">
        <v>488</v>
      </c>
      <c r="R2" s="264" t="s">
        <v>687</v>
      </c>
      <c r="S2" s="291" t="e" vm="1">
        <f>VLOOKUP(R$1,$I$8:$J$307,2)</f>
        <v>#VALUE!</v>
      </c>
      <c r="T2" s="264" t="s">
        <v>687</v>
      </c>
      <c r="U2" s="291">
        <f>VLOOKUP(T$1,$I$8:$J$307,2)</f>
        <v>0</v>
      </c>
      <c r="V2" s="264" t="s">
        <v>687</v>
      </c>
      <c r="W2" s="291">
        <f>VLOOKUP(V$1,$I$8:$J$307,2)</f>
        <v>0</v>
      </c>
      <c r="X2" s="264" t="s">
        <v>687</v>
      </c>
      <c r="Y2" s="291">
        <f>VLOOKUP(X$1,$I$8:$J$307,2)</f>
        <v>0</v>
      </c>
      <c r="Z2" s="264" t="s">
        <v>687</v>
      </c>
      <c r="AA2" s="291">
        <f>VLOOKUP(Z$1,$I$8:$J$307,2)</f>
        <v>0</v>
      </c>
      <c r="AB2" s="264" t="s">
        <v>687</v>
      </c>
      <c r="AC2" s="291">
        <f>VLOOKUP(AB$1,$I$8:$J$307,2)</f>
        <v>0</v>
      </c>
      <c r="AD2" s="264" t="s">
        <v>687</v>
      </c>
      <c r="AE2" s="291">
        <f>VLOOKUP(AD$1,$I$8:$J$307,2)</f>
        <v>0</v>
      </c>
      <c r="AF2" s="264" t="s">
        <v>687</v>
      </c>
      <c r="AG2" s="291">
        <f>VLOOKUP(AF$1,$I$8:$J$307,2)</f>
        <v>0</v>
      </c>
      <c r="AH2" s="264" t="s">
        <v>687</v>
      </c>
      <c r="AI2" s="291">
        <f>VLOOKUP(AH$1,$I$8:$J$307,2)</f>
        <v>0</v>
      </c>
      <c r="AJ2" s="264" t="s">
        <v>687</v>
      </c>
      <c r="AK2" s="291">
        <f>VLOOKUP(AJ$1,$I$8:$J$307,2)</f>
        <v>0</v>
      </c>
      <c r="AL2" s="264" t="s">
        <v>687</v>
      </c>
      <c r="AM2" s="291">
        <f>VLOOKUP(AL$1,$I$8:$J$307,2)</f>
        <v>0</v>
      </c>
      <c r="AN2" s="264" t="s">
        <v>687</v>
      </c>
      <c r="AO2" s="291">
        <f>VLOOKUP(AN$1,$I$8:$J$307,2)</f>
        <v>0</v>
      </c>
      <c r="AP2" s="264" t="s">
        <v>687</v>
      </c>
      <c r="AQ2" s="291">
        <f>VLOOKUP(AP$1,$I$8:$J$307,2)</f>
        <v>0</v>
      </c>
      <c r="AR2" s="264" t="s">
        <v>687</v>
      </c>
      <c r="AS2" s="291">
        <f>VLOOKUP(AR$1,$I$8:$J$307,2)</f>
        <v>0</v>
      </c>
      <c r="AT2" s="264" t="s">
        <v>687</v>
      </c>
      <c r="AU2" s="291">
        <f>VLOOKUP(AT$1,$I$8:$J$307,2)</f>
        <v>0</v>
      </c>
      <c r="AV2" s="264" t="s">
        <v>687</v>
      </c>
      <c r="AW2" s="291">
        <f>VLOOKUP(AV$1,$I$8:$J$307,2)</f>
        <v>0</v>
      </c>
      <c r="AX2" s="264" t="s">
        <v>687</v>
      </c>
      <c r="AY2" s="291">
        <f>VLOOKUP(AX$1,$I$8:$J$307,2)</f>
        <v>0</v>
      </c>
      <c r="AZ2" s="264" t="s">
        <v>687</v>
      </c>
      <c r="BA2" s="291">
        <f>VLOOKUP(AZ$1,$I$8:$J$307,2)</f>
        <v>0</v>
      </c>
      <c r="BB2" s="264" t="s">
        <v>687</v>
      </c>
      <c r="BC2" s="291">
        <f>VLOOKUP(BB$1,$I$8:$J$307,2)</f>
        <v>0</v>
      </c>
      <c r="BD2" s="264" t="s">
        <v>687</v>
      </c>
      <c r="BE2" s="291">
        <f>VLOOKUP(BD$1,$I$8:$J$307,2)</f>
        <v>0</v>
      </c>
      <c r="BF2" s="264" t="s">
        <v>687</v>
      </c>
      <c r="BG2" s="291">
        <f>VLOOKUP(BF$1,$I$8:$J$307,2)</f>
        <v>0</v>
      </c>
      <c r="BH2" s="264" t="s">
        <v>687</v>
      </c>
      <c r="BI2" s="291">
        <f>VLOOKUP(BH$1,$I$8:$J$307,2)</f>
        <v>0</v>
      </c>
      <c r="BJ2" s="264" t="s">
        <v>687</v>
      </c>
      <c r="BK2" s="291">
        <f>VLOOKUP(BJ$1,$I$8:$J$307,2)</f>
        <v>0</v>
      </c>
      <c r="BL2" s="264" t="s">
        <v>687</v>
      </c>
      <c r="BM2" s="291">
        <f>VLOOKUP(BL$1,$I$8:$J$307,2)</f>
        <v>0</v>
      </c>
      <c r="BN2" s="264" t="s">
        <v>687</v>
      </c>
      <c r="BO2" s="291">
        <f>VLOOKUP(BN$1,$I$8:$J$307,2)</f>
        <v>0</v>
      </c>
    </row>
    <row r="3" spans="1:67" x14ac:dyDescent="0.25">
      <c r="H3" s="156" t="s">
        <v>686</v>
      </c>
      <c r="J3" s="155" t="s">
        <v>491</v>
      </c>
      <c r="O3" t="e" cm="1" vm="2">
        <f t="array" ref="O3">_xlfn._xlws.SORT(
  _xlfn.UNIQUE(
    _xlfn._xlws.FILTER(
      tb_desp[nucleo],
      (tb_desp[centro.negocio]=$P$1) * (tb_desp[data.pagamento]&gt;='n&amp;cn'!$C$1) * (tb_desp[data.pagamento]&lt;='n&amp;cn'!$C$2)
    )
  )
)</f>
        <v>#VALUE!</v>
      </c>
      <c r="P3">
        <f>COUNTA($O$3:$O$107)</f>
        <v>1</v>
      </c>
      <c r="R3" s="264" t="s">
        <v>688</v>
      </c>
      <c r="S3" s="265">
        <f>COUNTA(S$4:S$107)</f>
        <v>1</v>
      </c>
      <c r="T3" s="264" t="s">
        <v>688</v>
      </c>
      <c r="U3" s="265">
        <f>COUNTA(U$4:U$107)</f>
        <v>1</v>
      </c>
      <c r="V3" s="264" t="s">
        <v>688</v>
      </c>
      <c r="W3" s="265">
        <f>COUNTA(W$4:W$107)</f>
        <v>1</v>
      </c>
      <c r="X3" s="264" t="s">
        <v>688</v>
      </c>
      <c r="Y3" s="265">
        <f>COUNTA(Y$4:Y$107)</f>
        <v>1</v>
      </c>
      <c r="Z3" s="264" t="s">
        <v>688</v>
      </c>
      <c r="AA3" s="265">
        <f>COUNTA(AA$4:AA$107)</f>
        <v>1</v>
      </c>
      <c r="AB3" s="264" t="s">
        <v>688</v>
      </c>
      <c r="AC3" s="265">
        <f>COUNTA(AC$4:AC$107)</f>
        <v>1</v>
      </c>
      <c r="AD3" s="264" t="s">
        <v>688</v>
      </c>
      <c r="AE3" s="265">
        <f>COUNTA(AE$4:AE$107)</f>
        <v>1</v>
      </c>
      <c r="AF3" s="264" t="s">
        <v>688</v>
      </c>
      <c r="AG3" s="265">
        <f>COUNTA(AG$4:AG$107)</f>
        <v>1</v>
      </c>
      <c r="AH3" s="264" t="s">
        <v>688</v>
      </c>
      <c r="AI3" s="265">
        <f>COUNTA(AI$4:AI$107)</f>
        <v>1</v>
      </c>
      <c r="AJ3" s="264" t="s">
        <v>688</v>
      </c>
      <c r="AK3" s="265">
        <f>COUNTA(AK$4:AK$107)</f>
        <v>1</v>
      </c>
      <c r="AL3" s="264" t="s">
        <v>688</v>
      </c>
      <c r="AM3" s="265">
        <f>COUNTA(AM$4:AM$107)</f>
        <v>1</v>
      </c>
      <c r="AN3" s="264" t="s">
        <v>688</v>
      </c>
      <c r="AO3" s="265">
        <f>COUNTA(AO$4:AO$107)</f>
        <v>1</v>
      </c>
      <c r="AP3" s="264" t="s">
        <v>688</v>
      </c>
      <c r="AQ3" s="265">
        <f>COUNTA(AQ$4:AQ$107)</f>
        <v>1</v>
      </c>
      <c r="AR3" s="264" t="s">
        <v>688</v>
      </c>
      <c r="AS3" s="265">
        <f>COUNTA(AS$4:AS$107)</f>
        <v>1</v>
      </c>
      <c r="AT3" s="264" t="s">
        <v>688</v>
      </c>
      <c r="AU3" s="265">
        <f>COUNTA(AU$4:AU$107)</f>
        <v>1</v>
      </c>
      <c r="AV3" s="264" t="s">
        <v>688</v>
      </c>
      <c r="AW3" s="265">
        <f>COUNTA(AW$4:AW$107)</f>
        <v>1</v>
      </c>
      <c r="AX3" s="264" t="s">
        <v>688</v>
      </c>
      <c r="AY3" s="265">
        <f>COUNTA(AY$4:AY$107)</f>
        <v>1</v>
      </c>
      <c r="AZ3" s="264" t="s">
        <v>688</v>
      </c>
      <c r="BA3" s="265">
        <f>COUNTA(BA$4:BA$107)</f>
        <v>1</v>
      </c>
      <c r="BB3" s="264" t="s">
        <v>688</v>
      </c>
      <c r="BC3" s="265">
        <f>COUNTA(BC$4:BC$107)</f>
        <v>1</v>
      </c>
      <c r="BD3" s="264" t="s">
        <v>688</v>
      </c>
      <c r="BE3" s="265">
        <f>COUNTA(BE$4:BE$107)</f>
        <v>1</v>
      </c>
      <c r="BF3" s="264" t="s">
        <v>688</v>
      </c>
      <c r="BG3" s="265">
        <f>COUNTA(BG$4:BG$107)</f>
        <v>1</v>
      </c>
      <c r="BH3" s="264" t="s">
        <v>688</v>
      </c>
      <c r="BI3" s="265">
        <f>COUNTA(BI$4:BI$107)</f>
        <v>1</v>
      </c>
      <c r="BJ3" s="264" t="s">
        <v>688</v>
      </c>
      <c r="BK3" s="265">
        <f>COUNTA(BK$4:BK$107)</f>
        <v>1</v>
      </c>
      <c r="BL3" s="264" t="s">
        <v>688</v>
      </c>
      <c r="BM3" s="265">
        <f>COUNTA(BM$4:BM$107)</f>
        <v>1</v>
      </c>
      <c r="BN3" s="264" t="s">
        <v>688</v>
      </c>
      <c r="BO3" s="265">
        <f>COUNTA(BO$4:BO$107)</f>
        <v>1</v>
      </c>
    </row>
    <row r="4" spans="1:67" x14ac:dyDescent="0.25">
      <c r="J4" s="156" t="s">
        <v>492</v>
      </c>
      <c r="R4" s="290" t="e" cm="1" vm="1">
        <f t="array" ref="R4">IF(S4="",
"",
SUMPRODUCT(
tb_desp[valor]*
(tb_desp[centro.negocio]=S$2)*
(tb_desp[nucleo]=S4)*
(tb_desp[data.pagamento]&gt;='n&amp;cn'!$C$1)*
(tb_desp[data.pagamento]&lt;='n&amp;cn'!$C$2)
))</f>
        <v>#VALUE!</v>
      </c>
      <c r="S4" s="266" t="e" cm="1" vm="1">
        <f t="array" ref="S4">_xlfn._xlws.SORT(
  _xlfn.UNIQUE(
    _xlfn._xlws.FILTER(
      tb_desp[nucleo],
      (tb_desp[centro.negocio]=S$2) * (tb_desp[data.pagamento]&gt;=$C$1) * (tb_desp[data.pagamento]&lt;=$C$2)
    )
  )
)</f>
        <v>#VALUE!</v>
      </c>
      <c r="T4" s="290" t="e" cm="1" vm="1">
        <f t="array" ref="T4">IF(U4="",
"",
SUMPRODUCT(
tb_desp[valor]*
(tb_desp[centro.negocio]=U$2)*
(tb_desp[nucleo]=U4)*
(tb_desp[data.pagamento]&gt;='n&amp;cn'!$C$1)*
(tb_desp[data.pagamento]&lt;='n&amp;cn'!$C$2)
))</f>
        <v>#VALUE!</v>
      </c>
      <c r="U4" s="266" t="e" cm="1" vm="2">
        <f t="array" ref="U4">_xlfn._xlws.SORT(
  _xlfn.UNIQUE(
    _xlfn._xlws.FILTER(
      tb_desp[nucleo],
      (tb_desp[centro.negocio]=U$2) * (tb_desp[data.pagamento]&gt;=$C$1) * (tb_desp[data.pagamento]&lt;=$C$2)
    )
  )
)</f>
        <v>#VALUE!</v>
      </c>
      <c r="V4" s="290" t="e" cm="1" vm="1">
        <f t="array" ref="V4">IF(W4="",
"",
SUMPRODUCT(
tb_desp[valor]*
(tb_desp[centro.negocio]=W$2)*
(tb_desp[nucleo]=W4)*
(tb_desp[data.pagamento]&gt;='n&amp;cn'!$C$1)*
(tb_desp[data.pagamento]&lt;='n&amp;cn'!$C$2)
))</f>
        <v>#VALUE!</v>
      </c>
      <c r="W4" s="266" t="e" cm="1" vm="2">
        <f t="array" ref="W4">_xlfn._xlws.SORT(
  _xlfn.UNIQUE(
    _xlfn._xlws.FILTER(
      tb_desp[nucleo],
      (tb_desp[centro.negocio]=W$2) * (tb_desp[data.pagamento]&gt;=$C$1) * (tb_desp[data.pagamento]&lt;=$C$2)
    )
  )
)</f>
        <v>#VALUE!</v>
      </c>
      <c r="X4" s="290" t="e" cm="1" vm="1">
        <f t="array" ref="X4">IF(Y4="",
"",
SUMPRODUCT(
tb_desp[valor]*
(tb_desp[centro.negocio]=Y$2)*
(tb_desp[nucleo]=Y4)*
(tb_desp[data.pagamento]&gt;='n&amp;cn'!$C$1)*
(tb_desp[data.pagamento]&lt;='n&amp;cn'!$C$2)
))</f>
        <v>#VALUE!</v>
      </c>
      <c r="Y4" s="266" t="e" cm="1" vm="2">
        <f t="array" ref="Y4">_xlfn._xlws.SORT(
  _xlfn.UNIQUE(
    _xlfn._xlws.FILTER(
      tb_desp[nucleo],
      (tb_desp[centro.negocio]=Y$2) * (tb_desp[data.pagamento]&gt;=$C$1) * (tb_desp[data.pagamento]&lt;=$C$2)
    )
  )
)</f>
        <v>#VALUE!</v>
      </c>
      <c r="Z4" s="290" t="e" cm="1" vm="1">
        <f t="array" ref="Z4">IF(AA4="",
"",
SUMPRODUCT(
tb_desp[valor]*
(tb_desp[centro.negocio]=AA$2)*
(tb_desp[nucleo]=AA4)*
(tb_desp[data.pagamento]&gt;='n&amp;cn'!$C$1)*
(tb_desp[data.pagamento]&lt;='n&amp;cn'!$C$2)
))</f>
        <v>#VALUE!</v>
      </c>
      <c r="AA4" s="266" t="e" cm="1" vm="2">
        <f t="array" ref="AA4">_xlfn._xlws.SORT(
  _xlfn.UNIQUE(
    _xlfn._xlws.FILTER(
      tb_desp[nucleo],
      (tb_desp[centro.negocio]=AA$2) * (tb_desp[data.pagamento]&gt;=$C$1) * (tb_desp[data.pagamento]&lt;=$C$2)
    )
  )
)</f>
        <v>#VALUE!</v>
      </c>
      <c r="AB4" s="290" t="e" cm="1" vm="1">
        <f t="array" ref="AB4">IF(AC4="",
"",
SUMPRODUCT(
tb_desp[valor]*
(tb_desp[centro.negocio]=AC$2)*
(tb_desp[nucleo]=AC4)*
(tb_desp[data.pagamento]&gt;='n&amp;cn'!$C$1)*
(tb_desp[data.pagamento]&lt;='n&amp;cn'!$C$2)
))</f>
        <v>#VALUE!</v>
      </c>
      <c r="AC4" s="266" t="e" cm="1" vm="2">
        <f t="array" ref="AC4">_xlfn._xlws.SORT(
  _xlfn.UNIQUE(
    _xlfn._xlws.FILTER(
      tb_desp[nucleo],
      (tb_desp[centro.negocio]=AC$2) * (tb_desp[data.pagamento]&gt;=$C$1) * (tb_desp[data.pagamento]&lt;=$C$2)
    )
  )
)</f>
        <v>#VALUE!</v>
      </c>
      <c r="AD4" s="290" t="e" cm="1" vm="1">
        <f t="array" ref="AD4">IF(AE4="",
"",
SUMPRODUCT(
tb_desp[valor]*
(tb_desp[centro.negocio]=AE$2)*
(tb_desp[nucleo]=AE4)*
(tb_desp[data.pagamento]&gt;='n&amp;cn'!$C$1)*
(tb_desp[data.pagamento]&lt;='n&amp;cn'!$C$2)
))</f>
        <v>#VALUE!</v>
      </c>
      <c r="AE4" s="266" t="e" cm="1" vm="2">
        <f t="array" ref="AE4">_xlfn._xlws.SORT(
  _xlfn.UNIQUE(
    _xlfn._xlws.FILTER(
      tb_desp[nucleo],
      (tb_desp[centro.negocio]=AE$2) * (tb_desp[data.pagamento]&gt;=$C$1) * (tb_desp[data.pagamento]&lt;=$C$2)
    )
  )
)</f>
        <v>#VALUE!</v>
      </c>
      <c r="AF4" s="290" t="e" cm="1" vm="1">
        <f t="array" ref="AF4">IF(AG4="",
"",
SUMPRODUCT(
tb_desp[valor]*
(tb_desp[centro.negocio]=AG$2)*
(tb_desp[nucleo]=AG4)*
(tb_desp[data.pagamento]&gt;='n&amp;cn'!$C$1)*
(tb_desp[data.pagamento]&lt;='n&amp;cn'!$C$2)
))</f>
        <v>#VALUE!</v>
      </c>
      <c r="AG4" s="266" t="e" cm="1" vm="2">
        <f t="array" ref="AG4">_xlfn._xlws.SORT(
  _xlfn.UNIQUE(
    _xlfn._xlws.FILTER(
      tb_desp[nucleo],
      (tb_desp[centro.negocio]=AG$2) * (tb_desp[data.pagamento]&gt;=$C$1) * (tb_desp[data.pagamento]&lt;=$C$2)
    )
  )
)</f>
        <v>#VALUE!</v>
      </c>
      <c r="AH4" s="290" t="e" cm="1" vm="1">
        <f t="array" ref="AH4">IF(AI4="",
"",
SUMPRODUCT(
tb_desp[valor]*
(tb_desp[centro.negocio]=AI$2)*
(tb_desp[nucleo]=AI4)*
(tb_desp[data.pagamento]&gt;='n&amp;cn'!$C$1)*
(tb_desp[data.pagamento]&lt;='n&amp;cn'!$C$2)
))</f>
        <v>#VALUE!</v>
      </c>
      <c r="AI4" s="266" t="e" cm="1" vm="2">
        <f t="array" ref="AI4">_xlfn._xlws.SORT(
  _xlfn.UNIQUE(
    _xlfn._xlws.FILTER(
      tb_desp[nucleo],
      (tb_desp[centro.negocio]=AI$2) * (tb_desp[data.pagamento]&gt;=$C$1) * (tb_desp[data.pagamento]&lt;=$C$2)
    )
  )
)</f>
        <v>#VALUE!</v>
      </c>
      <c r="AJ4" s="290" t="e" cm="1" vm="1">
        <f t="array" ref="AJ4">IF(AK4="",
"",
SUMPRODUCT(
tb_desp[valor]*
(tb_desp[centro.negocio]=AK$2)*
(tb_desp[nucleo]=AK4)*
(tb_desp[data.pagamento]&gt;='n&amp;cn'!$C$1)*
(tb_desp[data.pagamento]&lt;='n&amp;cn'!$C$2)
))</f>
        <v>#VALUE!</v>
      </c>
      <c r="AK4" s="266" t="e" cm="1" vm="2">
        <f t="array" ref="AK4">_xlfn._xlws.SORT(
  _xlfn.UNIQUE(
    _xlfn._xlws.FILTER(
      tb_desp[nucleo],
      (tb_desp[centro.negocio]=AK$2) * (tb_desp[data.pagamento]&gt;=$C$1) * (tb_desp[data.pagamento]&lt;=$C$2)
    )
  )
)</f>
        <v>#VALUE!</v>
      </c>
      <c r="AL4" s="290" t="e" cm="1" vm="1">
        <f t="array" ref="AL4">IF(AM4="",
"",
SUMPRODUCT(
tb_desp[valor]*
(tb_desp[centro.negocio]=AM$2)*
(tb_desp[nucleo]=AM4)*
(tb_desp[data.pagamento]&gt;='n&amp;cn'!$C$1)*
(tb_desp[data.pagamento]&lt;='n&amp;cn'!$C$2)
))</f>
        <v>#VALUE!</v>
      </c>
      <c r="AM4" s="266" t="e" cm="1" vm="2">
        <f t="array" ref="AM4">_xlfn._xlws.SORT(
  _xlfn.UNIQUE(
    _xlfn._xlws.FILTER(
      tb_desp[nucleo],
      (tb_desp[centro.negocio]=AM$2) * (tb_desp[data.pagamento]&gt;=$C$1) * (tb_desp[data.pagamento]&lt;=$C$2)
    )
  )
)</f>
        <v>#VALUE!</v>
      </c>
      <c r="AN4" s="290" t="e" cm="1" vm="1">
        <f t="array" ref="AN4">IF(AO4="",
"",
SUMPRODUCT(
tb_desp[valor]*
(tb_desp[centro.negocio]=AO$2)*
(tb_desp[nucleo]=AO4)*
(tb_desp[data.pagamento]&gt;='n&amp;cn'!$C$1)*
(tb_desp[data.pagamento]&lt;='n&amp;cn'!$C$2)
))</f>
        <v>#VALUE!</v>
      </c>
      <c r="AO4" s="266" t="e" cm="1" vm="2">
        <f t="array" ref="AO4">_xlfn._xlws.SORT(
  _xlfn.UNIQUE(
    _xlfn._xlws.FILTER(
      tb_desp[nucleo],
      (tb_desp[centro.negocio]=AO$2) * (tb_desp[data.pagamento]&gt;=$C$1) * (tb_desp[data.pagamento]&lt;=$C$2)
    )
  )
)</f>
        <v>#VALUE!</v>
      </c>
      <c r="AP4" s="290" t="e" cm="1" vm="1">
        <f t="array" ref="AP4">IF(AQ4="",
"",
SUMPRODUCT(
tb_desp[valor]*
(tb_desp[centro.negocio]=AQ$2)*
(tb_desp[nucleo]=AQ4)*
(tb_desp[data.pagamento]&gt;='n&amp;cn'!$C$1)*
(tb_desp[data.pagamento]&lt;='n&amp;cn'!$C$2)
))</f>
        <v>#VALUE!</v>
      </c>
      <c r="AQ4" s="266" t="e" cm="1" vm="2">
        <f t="array" ref="AQ4">_xlfn._xlws.SORT(
  _xlfn.UNIQUE(
    _xlfn._xlws.FILTER(
      tb_desp[nucleo],
      (tb_desp[centro.negocio]=AQ$2) * (tb_desp[data.pagamento]&gt;=$C$1) * (tb_desp[data.pagamento]&lt;=$C$2)
    )
  )
)</f>
        <v>#VALUE!</v>
      </c>
      <c r="AR4" s="290" t="e" cm="1" vm="1">
        <f t="array" ref="AR4">IF(AS4="",
"",
SUMPRODUCT(
tb_desp[valor]*
(tb_desp[centro.negocio]=AS$2)*
(tb_desp[nucleo]=AS4)*
(tb_desp[data.pagamento]&gt;='n&amp;cn'!$C$1)*
(tb_desp[data.pagamento]&lt;='n&amp;cn'!$C$2)
))</f>
        <v>#VALUE!</v>
      </c>
      <c r="AS4" s="266" t="e" cm="1" vm="2">
        <f t="array" ref="AS4">_xlfn._xlws.SORT(
  _xlfn.UNIQUE(
    _xlfn._xlws.FILTER(
      tb_desp[nucleo],
      (tb_desp[centro.negocio]=AS$2) * (tb_desp[data.pagamento]&gt;=$C$1) * (tb_desp[data.pagamento]&lt;=$C$2)
    )
  )
)</f>
        <v>#VALUE!</v>
      </c>
      <c r="AT4" s="290" t="e" cm="1" vm="1">
        <f t="array" ref="AT4">IF(AU4="",
"",
SUMPRODUCT(
tb_desp[valor]*
(tb_desp[centro.negocio]=AU$2)*
(tb_desp[nucleo]=AU4)*
(tb_desp[data.pagamento]&gt;='n&amp;cn'!$C$1)*
(tb_desp[data.pagamento]&lt;='n&amp;cn'!$C$2)
))</f>
        <v>#VALUE!</v>
      </c>
      <c r="AU4" s="266" t="e" cm="1" vm="2">
        <f t="array" ref="AU4">_xlfn._xlws.SORT(
  _xlfn.UNIQUE(
    _xlfn._xlws.FILTER(
      tb_desp[nucleo],
      (tb_desp[centro.negocio]=AU$2) * (tb_desp[data.pagamento]&gt;=$C$1) * (tb_desp[data.pagamento]&lt;=$C$2)
    )
  )
)</f>
        <v>#VALUE!</v>
      </c>
      <c r="AV4" s="290" t="e" cm="1" vm="1">
        <f t="array" ref="AV4">IF(AW4="",
"",
SUMPRODUCT(
tb_desp[valor]*
(tb_desp[centro.negocio]=AW$2)*
(tb_desp[nucleo]=AW4)*
(tb_desp[data.pagamento]&gt;='n&amp;cn'!$C$1)*
(tb_desp[data.pagamento]&lt;='n&amp;cn'!$C$2)
))</f>
        <v>#VALUE!</v>
      </c>
      <c r="AW4" s="266" t="e" cm="1" vm="2">
        <f t="array" ref="AW4">_xlfn._xlws.SORT(
  _xlfn.UNIQUE(
    _xlfn._xlws.FILTER(
      tb_desp[nucleo],
      (tb_desp[centro.negocio]=AW$2) * (tb_desp[data.pagamento]&gt;=$C$1) * (tb_desp[data.pagamento]&lt;=$C$2)
    )
  )
)</f>
        <v>#VALUE!</v>
      </c>
      <c r="AX4" s="290" t="e" cm="1" vm="1">
        <f t="array" ref="AX4">IF(AY4="",
"",
SUMPRODUCT(
tb_desp[valor]*
(tb_desp[centro.negocio]=AY$2)*
(tb_desp[nucleo]=AY4)*
(tb_desp[data.pagamento]&gt;='n&amp;cn'!$C$1)*
(tb_desp[data.pagamento]&lt;='n&amp;cn'!$C$2)
))</f>
        <v>#VALUE!</v>
      </c>
      <c r="AY4" s="266" t="e" cm="1" vm="2">
        <f t="array" ref="AY4">_xlfn._xlws.SORT(
  _xlfn.UNIQUE(
    _xlfn._xlws.FILTER(
      tb_desp[nucleo],
      (tb_desp[centro.negocio]=AY$2) * (tb_desp[data.pagamento]&gt;=$C$1) * (tb_desp[data.pagamento]&lt;=$C$2)
    )
  )
)</f>
        <v>#VALUE!</v>
      </c>
      <c r="AZ4" s="290" t="e" cm="1" vm="1">
        <f t="array" ref="AZ4">IF(BA4="",
"",
SUMPRODUCT(
tb_desp[valor]*
(tb_desp[centro.negocio]=BA$2)*
(tb_desp[nucleo]=BA4)*
(tb_desp[data.pagamento]&gt;='n&amp;cn'!$C$1)*
(tb_desp[data.pagamento]&lt;='n&amp;cn'!$C$2)
))</f>
        <v>#VALUE!</v>
      </c>
      <c r="BA4" s="266" t="e" cm="1" vm="2">
        <f t="array" ref="BA4">_xlfn._xlws.SORT(
  _xlfn.UNIQUE(
    _xlfn._xlws.FILTER(
      tb_desp[nucleo],
      (tb_desp[centro.negocio]=BA$2) * (tb_desp[data.pagamento]&gt;=$C$1) * (tb_desp[data.pagamento]&lt;=$C$2)
    )
  )
)</f>
        <v>#VALUE!</v>
      </c>
      <c r="BB4" s="290" t="e" cm="1" vm="1">
        <f t="array" ref="BB4">IF(BC4="",
"",
SUMPRODUCT(
tb_desp[valor]*
(tb_desp[centro.negocio]=BC$2)*
(tb_desp[nucleo]=BC4)*
(tb_desp[data.pagamento]&gt;='n&amp;cn'!$C$1)*
(tb_desp[data.pagamento]&lt;='n&amp;cn'!$C$2)
))</f>
        <v>#VALUE!</v>
      </c>
      <c r="BC4" s="266" t="e" cm="1" vm="2">
        <f t="array" ref="BC4">_xlfn._xlws.SORT(
  _xlfn.UNIQUE(
    _xlfn._xlws.FILTER(
      tb_desp[nucleo],
      (tb_desp[centro.negocio]=BC$2) * (tb_desp[data.pagamento]&gt;=$C$1) * (tb_desp[data.pagamento]&lt;=$C$2)
    )
  )
)</f>
        <v>#VALUE!</v>
      </c>
      <c r="BD4" s="290" t="e" cm="1" vm="1">
        <f t="array" ref="BD4">IF(BE4="",
"",
SUMPRODUCT(
tb_desp[valor]*
(tb_desp[centro.negocio]=BE$2)*
(tb_desp[nucleo]=BE4)*
(tb_desp[data.pagamento]&gt;='n&amp;cn'!$C$1)*
(tb_desp[data.pagamento]&lt;='n&amp;cn'!$C$2)
))</f>
        <v>#VALUE!</v>
      </c>
      <c r="BE4" s="266" t="e" cm="1" vm="2">
        <f t="array" ref="BE4">_xlfn._xlws.SORT(
  _xlfn.UNIQUE(
    _xlfn._xlws.FILTER(
      tb_desp[nucleo],
      (tb_desp[centro.negocio]=BE$2) * (tb_desp[data.pagamento]&gt;=$C$1) * (tb_desp[data.pagamento]&lt;=$C$2)
    )
  )
)</f>
        <v>#VALUE!</v>
      </c>
      <c r="BF4" s="290" t="e" cm="1" vm="1">
        <f t="array" ref="BF4">IF(BG4="",
"",
SUMPRODUCT(
tb_desp[valor]*
(tb_desp[centro.negocio]=BG$2)*
(tb_desp[nucleo]=BG4)*
(tb_desp[data.pagamento]&gt;='n&amp;cn'!$C$1)*
(tb_desp[data.pagamento]&lt;='n&amp;cn'!$C$2)
))</f>
        <v>#VALUE!</v>
      </c>
      <c r="BG4" s="266" t="e" cm="1" vm="2">
        <f t="array" ref="BG4">_xlfn._xlws.SORT(
  _xlfn.UNIQUE(
    _xlfn._xlws.FILTER(
      tb_desp[nucleo],
      (tb_desp[centro.negocio]=BG$2) * (tb_desp[data.pagamento]&gt;=$C$1) * (tb_desp[data.pagamento]&lt;=$C$2)
    )
  )
)</f>
        <v>#VALUE!</v>
      </c>
      <c r="BH4" s="290" t="e" cm="1" vm="1">
        <f t="array" ref="BH4">IF(BI4="",
"",
SUMPRODUCT(
tb_desp[valor]*
(tb_desp[centro.negocio]=BI$2)*
(tb_desp[nucleo]=BI4)*
(tb_desp[data.pagamento]&gt;='n&amp;cn'!$C$1)*
(tb_desp[data.pagamento]&lt;='n&amp;cn'!$C$2)
))</f>
        <v>#VALUE!</v>
      </c>
      <c r="BI4" s="266" t="e" cm="1" vm="2">
        <f t="array" ref="BI4">_xlfn._xlws.SORT(
  _xlfn.UNIQUE(
    _xlfn._xlws.FILTER(
      tb_desp[nucleo],
      (tb_desp[centro.negocio]=BI$2) * (tb_desp[data.pagamento]&gt;=$C$1) * (tb_desp[data.pagamento]&lt;=$C$2)
    )
  )
)</f>
        <v>#VALUE!</v>
      </c>
      <c r="BJ4" s="290" t="e" cm="1" vm="1">
        <f t="array" ref="BJ4">IF(BK4="",
"",
SUMPRODUCT(
tb_desp[valor]*
(tb_desp[centro.negocio]=BK$2)*
(tb_desp[nucleo]=BK4)*
(tb_desp[data.pagamento]&gt;='n&amp;cn'!$C$1)*
(tb_desp[data.pagamento]&lt;='n&amp;cn'!$C$2)
))</f>
        <v>#VALUE!</v>
      </c>
      <c r="BK4" s="266" t="e" cm="1" vm="2">
        <f t="array" ref="BK4">_xlfn._xlws.SORT(
  _xlfn.UNIQUE(
    _xlfn._xlws.FILTER(
      tb_desp[nucleo],
      (tb_desp[centro.negocio]=BK$2) * (tb_desp[data.pagamento]&gt;=$C$1) * (tb_desp[data.pagamento]&lt;=$C$2)
    )
  )
)</f>
        <v>#VALUE!</v>
      </c>
      <c r="BL4" s="290" t="e" cm="1" vm="1">
        <f t="array" ref="BL4">IF(BM4="",
"",
SUMPRODUCT(
tb_desp[valor]*
(tb_desp[centro.negocio]=BM$2)*
(tb_desp[nucleo]=BM4)*
(tb_desp[data.pagamento]&gt;='n&amp;cn'!$C$1)*
(tb_desp[data.pagamento]&lt;='n&amp;cn'!$C$2)
))</f>
        <v>#VALUE!</v>
      </c>
      <c r="BM4" s="266" t="e" cm="1" vm="2">
        <f t="array" ref="BM4">_xlfn._xlws.SORT(
  _xlfn.UNIQUE(
    _xlfn._xlws.FILTER(
      tb_desp[nucleo],
      (tb_desp[centro.negocio]=BM$2) * (tb_desp[data.pagamento]&gt;=$C$1) * (tb_desp[data.pagamento]&lt;=$C$2)
    )
  )
)</f>
        <v>#VALUE!</v>
      </c>
      <c r="BN4" s="290" t="e" cm="1" vm="1">
        <f t="array" ref="BN4">IF(BO4="",
"",
SUMPRODUCT(
tb_desp[valor]*
(tb_desp[centro.negocio]=BO$2)*
(tb_desp[nucleo]=BO4)*
(tb_desp[data.pagamento]&gt;='n&amp;cn'!$C$1)*
(tb_desp[data.pagamento]&lt;='n&amp;cn'!$C$2)
))</f>
        <v>#VALUE!</v>
      </c>
      <c r="BO4" s="266" t="e" cm="1" vm="2">
        <f t="array" ref="BO4">_xlfn._xlws.SORT(
  _xlfn.UNIQUE(
    _xlfn._xlws.FILTER(
      tb_desp[nucleo],
      (tb_desp[centro.negocio]=BO$2) * (tb_desp[data.pagamento]&gt;=$C$1) * (tb_desp[data.pagamento]&lt;=$C$2)
    )
  )
)</f>
        <v>#VALUE!</v>
      </c>
    </row>
    <row r="5" spans="1:67" x14ac:dyDescent="0.25">
      <c r="R5" s="290" t="str" cm="1">
        <f t="array" ref="R5">IF(S5="",
"",
SUMPRODUCT(
tb_desp[valor]*
(tb_desp[centro.negocio]=S$2)*
(tb_desp[nucleo]=S5)*
(tb_desp[data.pagamento]&gt;='n&amp;cn'!$C$1)*
(tb_desp[data.pagamento]&lt;='n&amp;cn'!$C$2)
))</f>
        <v/>
      </c>
      <c r="S5" s="267"/>
      <c r="T5" s="290" t="str" cm="1">
        <f t="array" ref="T5">IF(U5="",
"",
SUMPRODUCT(
tb_desp[valor]*
(tb_desp[centro.negocio]=U$2)*
(tb_desp[nucleo]=U5)*
(tb_desp[data.pagamento]&gt;='n&amp;cn'!$C$1)*
(tb_desp[data.pagamento]&lt;='n&amp;cn'!$C$2)
))</f>
        <v/>
      </c>
      <c r="U5" s="267"/>
      <c r="V5" s="290" t="str" cm="1">
        <f t="array" ref="V5">IF(W5="",
"",
SUMPRODUCT(
tb_desp[valor]*
(tb_desp[centro.negocio]=W$2)*
(tb_desp[nucleo]=W5)*
(tb_desp[data.pagamento]&gt;='n&amp;cn'!$C$1)*
(tb_desp[data.pagamento]&lt;='n&amp;cn'!$C$2)
))</f>
        <v/>
      </c>
      <c r="W5" s="267"/>
      <c r="X5" s="290" t="str" cm="1">
        <f t="array" ref="X5">IF(Y5="",
"",
SUMPRODUCT(
tb_desp[valor]*
(tb_desp[centro.negocio]=Y$2)*
(tb_desp[nucleo]=Y5)*
(tb_desp[data.pagamento]&gt;='n&amp;cn'!$C$1)*
(tb_desp[data.pagamento]&lt;='n&amp;cn'!$C$2)
))</f>
        <v/>
      </c>
      <c r="Y5" s="267"/>
      <c r="Z5" s="290" t="str" cm="1">
        <f t="array" ref="Z5">IF(AA5="",
"",
SUMPRODUCT(
tb_desp[valor]*
(tb_desp[centro.negocio]=AA$2)*
(tb_desp[nucleo]=AA5)*
(tb_desp[data.pagamento]&gt;='n&amp;cn'!$C$1)*
(tb_desp[data.pagamento]&lt;='n&amp;cn'!$C$2)
))</f>
        <v/>
      </c>
      <c r="AA5" s="267"/>
      <c r="AB5" s="290" t="str" cm="1">
        <f t="array" ref="AB5">IF(AC5="",
"",
SUMPRODUCT(
tb_desp[valor]*
(tb_desp[centro.negocio]=AC$2)*
(tb_desp[nucleo]=AC5)*
(tb_desp[data.pagamento]&gt;='n&amp;cn'!$C$1)*
(tb_desp[data.pagamento]&lt;='n&amp;cn'!$C$2)
))</f>
        <v/>
      </c>
      <c r="AC5" s="267"/>
      <c r="AD5" s="290" t="str" cm="1">
        <f t="array" ref="AD5">IF(AE5="",
"",
SUMPRODUCT(
tb_desp[valor]*
(tb_desp[centro.negocio]=AE$2)*
(tb_desp[nucleo]=AE5)*
(tb_desp[data.pagamento]&gt;='n&amp;cn'!$C$1)*
(tb_desp[data.pagamento]&lt;='n&amp;cn'!$C$2)
))</f>
        <v/>
      </c>
      <c r="AE5" s="267"/>
      <c r="AF5" s="290" t="str" cm="1">
        <f t="array" ref="AF5">IF(AG5="",
"",
SUMPRODUCT(
tb_desp[valor]*
(tb_desp[centro.negocio]=AG$2)*
(tb_desp[nucleo]=AG5)*
(tb_desp[data.pagamento]&gt;='n&amp;cn'!$C$1)*
(tb_desp[data.pagamento]&lt;='n&amp;cn'!$C$2)
))</f>
        <v/>
      </c>
      <c r="AG5" s="267"/>
      <c r="AH5" s="290" t="str" cm="1">
        <f t="array" ref="AH5">IF(AI5="",
"",
SUMPRODUCT(
tb_desp[valor]*
(tb_desp[centro.negocio]=AI$2)*
(tb_desp[nucleo]=AI5)*
(tb_desp[data.pagamento]&gt;='n&amp;cn'!$C$1)*
(tb_desp[data.pagamento]&lt;='n&amp;cn'!$C$2)
))</f>
        <v/>
      </c>
      <c r="AI5" s="267"/>
      <c r="AJ5" s="290" t="str" cm="1">
        <f t="array" ref="AJ5">IF(AK5="",
"",
SUMPRODUCT(
tb_desp[valor]*
(tb_desp[centro.negocio]=AK$2)*
(tb_desp[nucleo]=AK5)*
(tb_desp[data.pagamento]&gt;='n&amp;cn'!$C$1)*
(tb_desp[data.pagamento]&lt;='n&amp;cn'!$C$2)
))</f>
        <v/>
      </c>
      <c r="AK5" s="267"/>
      <c r="AL5" s="290" t="str" cm="1">
        <f t="array" ref="AL5">IF(AM5="",
"",
SUMPRODUCT(
tb_desp[valor]*
(tb_desp[centro.negocio]=AM$2)*
(tb_desp[nucleo]=AM5)*
(tb_desp[data.pagamento]&gt;='n&amp;cn'!$C$1)*
(tb_desp[data.pagamento]&lt;='n&amp;cn'!$C$2)
))</f>
        <v/>
      </c>
      <c r="AM5" s="267"/>
      <c r="AN5" s="290" t="str" cm="1">
        <f t="array" ref="AN5">IF(AO5="",
"",
SUMPRODUCT(
tb_desp[valor]*
(tb_desp[centro.negocio]=AO$2)*
(tb_desp[nucleo]=AO5)*
(tb_desp[data.pagamento]&gt;='n&amp;cn'!$C$1)*
(tb_desp[data.pagamento]&lt;='n&amp;cn'!$C$2)
))</f>
        <v/>
      </c>
      <c r="AO5" s="267"/>
      <c r="AP5" s="290" t="str" cm="1">
        <f t="array" ref="AP5">IF(AQ5="",
"",
SUMPRODUCT(
tb_desp[valor]*
(tb_desp[centro.negocio]=AQ$2)*
(tb_desp[nucleo]=AQ5)*
(tb_desp[data.pagamento]&gt;='n&amp;cn'!$C$1)*
(tb_desp[data.pagamento]&lt;='n&amp;cn'!$C$2)
))</f>
        <v/>
      </c>
      <c r="AQ5" s="267"/>
      <c r="AR5" s="290" t="str" cm="1">
        <f t="array" ref="AR5">IF(AS5="",
"",
SUMPRODUCT(
tb_desp[valor]*
(tb_desp[centro.negocio]=AS$2)*
(tb_desp[nucleo]=AS5)*
(tb_desp[data.pagamento]&gt;='n&amp;cn'!$C$1)*
(tb_desp[data.pagamento]&lt;='n&amp;cn'!$C$2)
))</f>
        <v/>
      </c>
      <c r="AS5" s="267"/>
      <c r="AT5" s="290" t="str" cm="1">
        <f t="array" ref="AT5">IF(AU5="",
"",
SUMPRODUCT(
tb_desp[valor]*
(tb_desp[centro.negocio]=AU$2)*
(tb_desp[nucleo]=AU5)*
(tb_desp[data.pagamento]&gt;='n&amp;cn'!$C$1)*
(tb_desp[data.pagamento]&lt;='n&amp;cn'!$C$2)
))</f>
        <v/>
      </c>
      <c r="AU5" s="267"/>
      <c r="AV5" s="290" t="str" cm="1">
        <f t="array" ref="AV5">IF(AW5="",
"",
SUMPRODUCT(
tb_desp[valor]*
(tb_desp[centro.negocio]=AW$2)*
(tb_desp[nucleo]=AW5)*
(tb_desp[data.pagamento]&gt;='n&amp;cn'!$C$1)*
(tb_desp[data.pagamento]&lt;='n&amp;cn'!$C$2)
))</f>
        <v/>
      </c>
      <c r="AW5" s="267"/>
      <c r="AX5" s="290" t="str" cm="1">
        <f t="array" ref="AX5">IF(AY5="",
"",
SUMPRODUCT(
tb_desp[valor]*
(tb_desp[centro.negocio]=AY$2)*
(tb_desp[nucleo]=AY5)*
(tb_desp[data.pagamento]&gt;='n&amp;cn'!$C$1)*
(tb_desp[data.pagamento]&lt;='n&amp;cn'!$C$2)
))</f>
        <v/>
      </c>
      <c r="AY5" s="267"/>
      <c r="AZ5" s="290" t="str" cm="1">
        <f t="array" ref="AZ5">IF(BA5="",
"",
SUMPRODUCT(
tb_desp[valor]*
(tb_desp[centro.negocio]=BA$2)*
(tb_desp[nucleo]=BA5)*
(tb_desp[data.pagamento]&gt;='n&amp;cn'!$C$1)*
(tb_desp[data.pagamento]&lt;='n&amp;cn'!$C$2)
))</f>
        <v/>
      </c>
      <c r="BA5" s="267"/>
      <c r="BB5" s="290" t="str" cm="1">
        <f t="array" ref="BB5">IF(BC5="",
"",
SUMPRODUCT(
tb_desp[valor]*
(tb_desp[centro.negocio]=BC$2)*
(tb_desp[nucleo]=BC5)*
(tb_desp[data.pagamento]&gt;='n&amp;cn'!$C$1)*
(tb_desp[data.pagamento]&lt;='n&amp;cn'!$C$2)
))</f>
        <v/>
      </c>
      <c r="BC5" s="267"/>
      <c r="BD5" s="290" t="str" cm="1">
        <f t="array" ref="BD5">IF(BE5="",
"",
SUMPRODUCT(
tb_desp[valor]*
(tb_desp[centro.negocio]=BE$2)*
(tb_desp[nucleo]=BE5)*
(tb_desp[data.pagamento]&gt;='n&amp;cn'!$C$1)*
(tb_desp[data.pagamento]&lt;='n&amp;cn'!$C$2)
))</f>
        <v/>
      </c>
      <c r="BE5" s="267"/>
      <c r="BF5" s="290" t="str" cm="1">
        <f t="array" ref="BF5">IF(BG5="",
"",
SUMPRODUCT(
tb_desp[valor]*
(tb_desp[centro.negocio]=BG$2)*
(tb_desp[nucleo]=BG5)*
(tb_desp[data.pagamento]&gt;='n&amp;cn'!$C$1)*
(tb_desp[data.pagamento]&lt;='n&amp;cn'!$C$2)
))</f>
        <v/>
      </c>
      <c r="BG5" s="267"/>
      <c r="BH5" s="290" t="str" cm="1">
        <f t="array" ref="BH5">IF(BI5="",
"",
SUMPRODUCT(
tb_desp[valor]*
(tb_desp[centro.negocio]=BI$2)*
(tb_desp[nucleo]=BI5)*
(tb_desp[data.pagamento]&gt;='n&amp;cn'!$C$1)*
(tb_desp[data.pagamento]&lt;='n&amp;cn'!$C$2)
))</f>
        <v/>
      </c>
      <c r="BI5" s="267"/>
      <c r="BJ5" s="290" t="str" cm="1">
        <f t="array" ref="BJ5">IF(BK5="",
"",
SUMPRODUCT(
tb_desp[valor]*
(tb_desp[centro.negocio]=BK$2)*
(tb_desp[nucleo]=BK5)*
(tb_desp[data.pagamento]&gt;='n&amp;cn'!$C$1)*
(tb_desp[data.pagamento]&lt;='n&amp;cn'!$C$2)
))</f>
        <v/>
      </c>
      <c r="BK5" s="267"/>
      <c r="BL5" s="290" t="str" cm="1">
        <f t="array" ref="BL5">IF(BM5="",
"",
SUMPRODUCT(
tb_desp[valor]*
(tb_desp[centro.negocio]=BM$2)*
(tb_desp[nucleo]=BM5)*
(tb_desp[data.pagamento]&gt;='n&amp;cn'!$C$1)*
(tb_desp[data.pagamento]&lt;='n&amp;cn'!$C$2)
))</f>
        <v/>
      </c>
      <c r="BM5" s="267"/>
      <c r="BN5" s="290" t="str" cm="1">
        <f t="array" ref="BN5">IF(BO5="",
"",
SUMPRODUCT(
tb_desp[valor]*
(tb_desp[centro.negocio]=BO$2)*
(tb_desp[nucleo]=BO5)*
(tb_desp[data.pagamento]&gt;='n&amp;cn'!$C$1)*
(tb_desp[data.pagamento]&lt;='n&amp;cn'!$C$2)
))</f>
        <v/>
      </c>
      <c r="BO5" s="267"/>
    </row>
    <row r="6" spans="1:67" x14ac:dyDescent="0.25">
      <c r="B6" s="157" t="s">
        <v>493</v>
      </c>
      <c r="C6" s="157"/>
      <c r="H6" s="157" t="s">
        <v>495</v>
      </c>
      <c r="R6" s="290"/>
      <c r="S6" s="267"/>
      <c r="T6" s="290"/>
      <c r="U6" s="267"/>
      <c r="V6" s="290"/>
      <c r="W6" s="267"/>
      <c r="X6" s="290"/>
      <c r="Y6" s="267"/>
      <c r="Z6" s="290"/>
      <c r="AA6" s="267"/>
      <c r="AB6" s="290"/>
      <c r="AC6" s="267"/>
      <c r="AD6" s="290"/>
      <c r="AE6" s="267"/>
      <c r="AF6" s="290"/>
      <c r="AG6" s="267"/>
      <c r="AH6" s="290"/>
      <c r="AI6" s="267"/>
      <c r="AJ6" s="290"/>
      <c r="AK6" s="267"/>
      <c r="AL6" s="290"/>
      <c r="AM6" s="267"/>
      <c r="AN6" s="290"/>
      <c r="AO6" s="267"/>
      <c r="AP6" s="290"/>
      <c r="AQ6" s="267"/>
      <c r="AR6" s="290"/>
      <c r="AS6" s="267"/>
      <c r="AT6" s="290"/>
      <c r="AU6" s="267"/>
      <c r="AV6" s="290"/>
      <c r="AW6" s="267"/>
      <c r="AX6" s="290"/>
      <c r="AY6" s="267"/>
      <c r="AZ6" s="290"/>
      <c r="BA6" s="267"/>
      <c r="BB6" s="290"/>
      <c r="BC6" s="267"/>
      <c r="BD6" s="290"/>
      <c r="BE6" s="267"/>
      <c r="BF6" s="290"/>
      <c r="BG6" s="267"/>
      <c r="BH6" s="290"/>
      <c r="BI6" s="267"/>
      <c r="BJ6" s="290"/>
      <c r="BK6" s="267"/>
      <c r="BL6" s="290"/>
      <c r="BM6" s="267"/>
      <c r="BN6" s="290"/>
      <c r="BO6" s="267"/>
    </row>
    <row r="7" spans="1:67" x14ac:dyDescent="0.25">
      <c r="B7" s="158" t="s">
        <v>496</v>
      </c>
      <c r="C7" s="159" t="s">
        <v>497</v>
      </c>
      <c r="D7" s="160"/>
      <c r="H7" s="285" t="s">
        <v>496</v>
      </c>
      <c r="I7" s="286" t="s">
        <v>497</v>
      </c>
      <c r="J7" s="284"/>
      <c r="K7" s="160"/>
      <c r="R7" s="290"/>
      <c r="S7" s="267"/>
      <c r="T7" s="290"/>
      <c r="U7" s="267"/>
      <c r="V7" s="290"/>
      <c r="W7" s="267"/>
      <c r="X7" s="290"/>
      <c r="Y7" s="267"/>
      <c r="Z7" s="290"/>
      <c r="AA7" s="267"/>
      <c r="AB7" s="290"/>
      <c r="AC7" s="267"/>
      <c r="AD7" s="290"/>
      <c r="AE7" s="267"/>
      <c r="AF7" s="290"/>
      <c r="AG7" s="267"/>
      <c r="AH7" s="290"/>
      <c r="AI7" s="267"/>
      <c r="AJ7" s="290"/>
      <c r="AK7" s="267"/>
      <c r="AL7" s="290"/>
      <c r="AM7" s="267"/>
      <c r="AN7" s="290"/>
      <c r="AO7" s="267"/>
      <c r="AP7" s="290"/>
      <c r="AQ7" s="267"/>
      <c r="AR7" s="290"/>
      <c r="AS7" s="267"/>
      <c r="AT7" s="290"/>
      <c r="AU7" s="267"/>
      <c r="AV7" s="290"/>
      <c r="AW7" s="267"/>
      <c r="AX7" s="290"/>
      <c r="AY7" s="267"/>
      <c r="AZ7" s="290"/>
      <c r="BA7" s="267"/>
      <c r="BB7" s="290"/>
      <c r="BC7" s="267"/>
      <c r="BD7" s="290"/>
      <c r="BE7" s="267"/>
      <c r="BF7" s="290"/>
      <c r="BG7" s="267"/>
      <c r="BH7" s="290"/>
      <c r="BI7" s="267"/>
      <c r="BJ7" s="290"/>
      <c r="BK7" s="267"/>
      <c r="BL7" s="290"/>
      <c r="BM7" s="267"/>
      <c r="BN7" s="290"/>
      <c r="BO7" s="267"/>
    </row>
    <row r="8" spans="1:67" x14ac:dyDescent="0.25">
      <c r="A8">
        <v>1</v>
      </c>
      <c r="B8" s="161" t="e" cm="1" vm="2">
        <f t="array" ref="B8">_xlfn._xlws.SORT(
   _xlfn.UNIQUE(
      _xlfn._xlws.FILTER(
         tb_desp[nucleo],
         (tb_desp[data.pagamento] &gt;= C1) *
         (tb_desp[data.pagamento] &lt;= C2)
      )
   )
)</f>
        <v>#VALUE!</v>
      </c>
      <c r="C8" s="163" t="e" cm="1" vm="2">
        <f t="array" ref="C8">_xlfn.LET(_xlpm.ini,$C$1,_xlpm.fim,$C$2,
_xlpm.msk,(tb_desp[data.pagamento]&gt;=_xlpm.ini)*(tb_desp[data.pagamento]&lt;=_xlpm.fim),
_xlpm.nucs,_xlfn.UNIQUE(_xlfn._xlws.FILTER(tb_desp[nucleo],_xlpm.msk)),
_xlpm.tot,SUMIFS(tb_desp[valor],tb_desp[nucleo],_xlpm.nucs,tb_desp[data.pagamento],"&gt;="&amp;_xlpm.ini,tb_desp[data.pagamento],"&lt;="&amp;_xlpm.fim),
_xlfn.SORTBY(_xlfn.HSTACK(_xlpm.nucs,_xlpm.tot),_xlpm.tot,-1))</f>
        <v>#VALUE!</v>
      </c>
      <c r="D8" s="164"/>
      <c r="E8" s="167" t="e">
        <f t="shared" ref="E8:E50" si="0">$D8/SUM($D$8:$D$45)</f>
        <v>#DIV/0!</v>
      </c>
      <c r="F8" s="167" t="e">
        <f>SUM($E$8:$E8)</f>
        <v>#DIV/0!</v>
      </c>
      <c r="G8" s="167"/>
      <c r="H8" s="168" t="e" cm="1" vm="2">
        <f t="array" ref="H8">_xlfn._xlws.SORT(
   _xlfn.UNIQUE(
      _xlfn._xlws.FILTER(
         tb_desp[centro.negocio],
         (tb_desp[data.pagamento] &gt;= $C$1) *
         (tb_desp[data.pagamento] &lt;= $C$2)
      )
   )
)</f>
        <v>#VALUE!</v>
      </c>
      <c r="I8" s="287">
        <v>1</v>
      </c>
      <c r="J8" t="e" cm="1" vm="2">
        <f t="array" ref="J8">_xlfn.LET(_xlpm.ini,$C$1,_xlpm.fim,$C$2,
_xlpm.msk,(tb_desp[data.pagamento]&gt;=_xlpm.ini)*(tb_desp[data.pagamento]&lt;=_xlpm.fim),
_xlpm.cns,_xlfn.UNIQUE(_xlfn._xlws.FILTER(tb_desp[centro.negocio],_xlpm.msk)),
_xlpm.tot,SUMIFS(tb_desp[valor],tb_desp[centro.negocio],_xlpm.cns,tb_desp[data.pagamento],"&gt;="&amp;_xlpm.ini,tb_desp[data.pagamento],"&lt;="&amp;_xlpm.fim),
_xlfn.SORTBY(_xlfn.HSTACK(_xlpm.cns,_xlpm.tot),_xlpm.tot,-1))</f>
        <v>#VALUE!</v>
      </c>
      <c r="K8" s="164"/>
      <c r="L8" s="167" t="e">
        <f t="shared" ref="L8:L39" si="1">$K8/SUM($K$8:$K$82)</f>
        <v>#DIV/0!</v>
      </c>
      <c r="M8" s="167" t="e">
        <f>SUM($L$8:$L8)</f>
        <v>#DIV/0!</v>
      </c>
      <c r="R8" s="290"/>
      <c r="S8" s="267"/>
      <c r="T8" s="290"/>
      <c r="U8" s="267"/>
      <c r="V8" s="290"/>
      <c r="W8" s="267"/>
      <c r="X8" s="290"/>
      <c r="Y8" s="267"/>
      <c r="Z8" s="290"/>
      <c r="AA8" s="267"/>
      <c r="AB8" s="290"/>
      <c r="AC8" s="267"/>
      <c r="AD8" s="290"/>
      <c r="AE8" s="267"/>
      <c r="AF8" s="290"/>
      <c r="AG8" s="267"/>
      <c r="AH8" s="290"/>
      <c r="AI8" s="267"/>
      <c r="AJ8" s="290"/>
      <c r="AK8" s="267"/>
      <c r="AL8" s="290"/>
      <c r="AM8" s="267"/>
      <c r="AN8" s="290"/>
      <c r="AO8" s="267"/>
      <c r="AP8" s="290"/>
      <c r="AQ8" s="267"/>
      <c r="AR8" s="290"/>
      <c r="AS8" s="267"/>
      <c r="AT8" s="290"/>
      <c r="AU8" s="267"/>
      <c r="AV8" s="290"/>
      <c r="AW8" s="267"/>
      <c r="AX8" s="290"/>
      <c r="AY8" s="267"/>
      <c r="AZ8" s="290"/>
      <c r="BA8" s="267"/>
      <c r="BB8" s="290"/>
      <c r="BC8" s="267"/>
      <c r="BD8" s="290"/>
      <c r="BE8" s="267"/>
      <c r="BF8" s="290"/>
      <c r="BG8" s="267"/>
      <c r="BH8" s="290"/>
      <c r="BI8" s="267"/>
      <c r="BJ8" s="290"/>
      <c r="BK8" s="267"/>
      <c r="BL8" s="290"/>
      <c r="BM8" s="267"/>
      <c r="BN8" s="290"/>
      <c r="BO8" s="267"/>
    </row>
    <row r="9" spans="1:67" x14ac:dyDescent="0.25">
      <c r="A9">
        <f>A8+1</f>
        <v>2</v>
      </c>
      <c r="B9" s="161"/>
      <c r="C9" s="163"/>
      <c r="D9" s="164"/>
      <c r="E9" s="167" t="e">
        <f t="shared" si="0"/>
        <v>#DIV/0!</v>
      </c>
      <c r="F9" s="167" t="e">
        <f>SUM($E$8:$E9)</f>
        <v>#DIV/0!</v>
      </c>
      <c r="G9" s="167"/>
      <c r="H9" s="168"/>
      <c r="I9" s="163">
        <f>I8+1</f>
        <v>2</v>
      </c>
      <c r="K9" s="164"/>
      <c r="L9" s="167" t="e">
        <f t="shared" si="1"/>
        <v>#DIV/0!</v>
      </c>
      <c r="M9" s="167" t="e">
        <f>SUM($L$8:$L9)</f>
        <v>#DIV/0!</v>
      </c>
      <c r="R9" s="290"/>
      <c r="S9" s="267"/>
      <c r="T9" s="290"/>
      <c r="U9" s="267"/>
      <c r="V9" s="290"/>
      <c r="W9" s="267"/>
      <c r="X9" s="290"/>
      <c r="Y9" s="267"/>
      <c r="Z9" s="290"/>
      <c r="AA9" s="267"/>
      <c r="AB9" s="290"/>
      <c r="AC9" s="267"/>
      <c r="AD9" s="290"/>
      <c r="AE9" s="267"/>
      <c r="AF9" s="290"/>
      <c r="AG9" s="267"/>
      <c r="AH9" s="290"/>
      <c r="AI9" s="267"/>
      <c r="AJ9" s="290"/>
      <c r="AK9" s="267"/>
      <c r="AL9" s="290"/>
      <c r="AM9" s="267"/>
      <c r="AN9" s="290"/>
      <c r="AO9" s="267"/>
      <c r="AP9" s="290"/>
      <c r="AQ9" s="267"/>
      <c r="AR9" s="290"/>
      <c r="AS9" s="267"/>
      <c r="AT9" s="290"/>
      <c r="AU9" s="267"/>
      <c r="AV9" s="290"/>
      <c r="AW9" s="267"/>
      <c r="AX9" s="290"/>
      <c r="AY9" s="267"/>
      <c r="AZ9" s="290"/>
      <c r="BA9" s="267"/>
      <c r="BB9" s="290"/>
      <c r="BC9" s="267"/>
      <c r="BD9" s="290"/>
      <c r="BE9" s="267"/>
      <c r="BF9" s="290"/>
      <c r="BG9" s="267"/>
      <c r="BH9" s="290"/>
      <c r="BI9" s="267"/>
      <c r="BJ9" s="290"/>
      <c r="BK9" s="267"/>
      <c r="BL9" s="290"/>
      <c r="BM9" s="267"/>
      <c r="BN9" s="290"/>
      <c r="BO9" s="267"/>
    </row>
    <row r="10" spans="1:67" x14ac:dyDescent="0.25">
      <c r="A10">
        <f t="shared" ref="A10:A50" si="2">A9+1</f>
        <v>3</v>
      </c>
      <c r="B10" s="161"/>
      <c r="C10" s="163"/>
      <c r="D10" s="164"/>
      <c r="E10" s="167" t="e">
        <f t="shared" si="0"/>
        <v>#DIV/0!</v>
      </c>
      <c r="F10" s="167" t="e">
        <f>SUM($E$8:$E10)</f>
        <v>#DIV/0!</v>
      </c>
      <c r="G10" s="167"/>
      <c r="H10" s="168"/>
      <c r="I10" s="163">
        <f t="shared" ref="I10:I73" si="3">I9+1</f>
        <v>3</v>
      </c>
      <c r="K10" s="164"/>
      <c r="L10" s="167" t="e">
        <f t="shared" si="1"/>
        <v>#DIV/0!</v>
      </c>
      <c r="M10" s="167" t="e">
        <f>SUM($L$8:$L10)</f>
        <v>#DIV/0!</v>
      </c>
      <c r="R10" s="290"/>
      <c r="S10" s="267"/>
      <c r="T10" s="290"/>
      <c r="U10" s="267"/>
      <c r="V10" s="290"/>
      <c r="W10" s="267"/>
      <c r="X10" s="290"/>
      <c r="Y10" s="267"/>
      <c r="Z10" s="290"/>
      <c r="AA10" s="267"/>
      <c r="AB10" s="290"/>
      <c r="AC10" s="267"/>
      <c r="AD10" s="290"/>
      <c r="AE10" s="267"/>
      <c r="AF10" s="290"/>
      <c r="AG10" s="267"/>
      <c r="AH10" s="290"/>
      <c r="AI10" s="267"/>
      <c r="AJ10" s="290"/>
      <c r="AK10" s="267"/>
      <c r="AL10" s="290"/>
      <c r="AM10" s="267"/>
      <c r="AN10" s="290"/>
      <c r="AO10" s="267"/>
      <c r="AP10" s="290"/>
      <c r="AQ10" s="267"/>
      <c r="AR10" s="290"/>
      <c r="AS10" s="267"/>
      <c r="AT10" s="290"/>
      <c r="AU10" s="267"/>
      <c r="AV10" s="290"/>
      <c r="AW10" s="267"/>
      <c r="AX10" s="290"/>
      <c r="AY10" s="267"/>
      <c r="AZ10" s="290"/>
      <c r="BA10" s="267"/>
      <c r="BB10" s="290"/>
      <c r="BC10" s="267"/>
      <c r="BD10" s="290"/>
      <c r="BE10" s="267"/>
      <c r="BF10" s="290"/>
      <c r="BG10" s="267"/>
      <c r="BH10" s="290"/>
      <c r="BI10" s="267"/>
      <c r="BJ10" s="290"/>
      <c r="BK10" s="267"/>
      <c r="BL10" s="290"/>
      <c r="BM10" s="267"/>
      <c r="BN10" s="290"/>
      <c r="BO10" s="267"/>
    </row>
    <row r="11" spans="1:67" x14ac:dyDescent="0.25">
      <c r="A11">
        <f t="shared" si="2"/>
        <v>4</v>
      </c>
      <c r="B11" s="161"/>
      <c r="C11" s="163"/>
      <c r="D11" s="164"/>
      <c r="E11" s="167" t="e">
        <f t="shared" si="0"/>
        <v>#DIV/0!</v>
      </c>
      <c r="F11" s="167" t="e">
        <f>SUM($E$8:$E11)</f>
        <v>#DIV/0!</v>
      </c>
      <c r="G11" s="167"/>
      <c r="H11" s="168"/>
      <c r="I11" s="163">
        <f t="shared" si="3"/>
        <v>4</v>
      </c>
      <c r="K11" s="164"/>
      <c r="L11" s="167" t="e">
        <f t="shared" si="1"/>
        <v>#DIV/0!</v>
      </c>
      <c r="M11" s="167" t="e">
        <f>SUM($L$8:$L11)</f>
        <v>#DIV/0!</v>
      </c>
      <c r="R11" s="290"/>
      <c r="S11" s="267"/>
      <c r="T11" s="290"/>
      <c r="U11" s="267"/>
      <c r="V11" s="290"/>
      <c r="W11" s="267"/>
      <c r="X11" s="290"/>
      <c r="Y11" s="267"/>
      <c r="Z11" s="290"/>
      <c r="AA11" s="267"/>
      <c r="AB11" s="290"/>
      <c r="AC11" s="267"/>
      <c r="AD11" s="290"/>
      <c r="AE11" s="267"/>
      <c r="AF11" s="290"/>
      <c r="AG11" s="267"/>
      <c r="AH11" s="290"/>
      <c r="AI11" s="267"/>
      <c r="AJ11" s="290"/>
      <c r="AK11" s="267"/>
      <c r="AL11" s="290"/>
      <c r="AM11" s="267"/>
      <c r="AN11" s="290"/>
      <c r="AO11" s="267"/>
      <c r="AP11" s="290"/>
      <c r="AQ11" s="267"/>
      <c r="AR11" s="290"/>
      <c r="AS11" s="267"/>
      <c r="AT11" s="290"/>
      <c r="AU11" s="267"/>
      <c r="AV11" s="290"/>
      <c r="AW11" s="267"/>
      <c r="AX11" s="290"/>
      <c r="AY11" s="267"/>
      <c r="AZ11" s="290"/>
      <c r="BA11" s="267"/>
      <c r="BB11" s="290"/>
      <c r="BC11" s="267"/>
      <c r="BD11" s="290"/>
      <c r="BE11" s="267"/>
      <c r="BF11" s="290"/>
      <c r="BG11" s="267"/>
      <c r="BH11" s="290"/>
      <c r="BI11" s="267"/>
      <c r="BJ11" s="290"/>
      <c r="BK11" s="267"/>
      <c r="BL11" s="290"/>
      <c r="BM11" s="267"/>
      <c r="BN11" s="290"/>
      <c r="BO11" s="267"/>
    </row>
    <row r="12" spans="1:67" x14ac:dyDescent="0.25">
      <c r="A12">
        <f t="shared" si="2"/>
        <v>5</v>
      </c>
      <c r="B12" s="161"/>
      <c r="C12" s="163"/>
      <c r="D12" s="164"/>
      <c r="E12" s="167" t="e">
        <f t="shared" si="0"/>
        <v>#DIV/0!</v>
      </c>
      <c r="F12" s="167" t="e">
        <f>SUM($E$8:$E12)</f>
        <v>#DIV/0!</v>
      </c>
      <c r="G12" s="167"/>
      <c r="H12" s="168"/>
      <c r="I12" s="163">
        <f t="shared" si="3"/>
        <v>5</v>
      </c>
      <c r="K12" s="164"/>
      <c r="L12" s="167" t="e">
        <f t="shared" si="1"/>
        <v>#DIV/0!</v>
      </c>
      <c r="M12" s="167" t="e">
        <f>SUM($L$8:$L12)</f>
        <v>#DIV/0!</v>
      </c>
      <c r="R12" s="290" t="str" cm="1">
        <f t="array" ref="R12">IF(S12="",
"",
SUMPRODUCT(
tb_desp[valor]*
(tb_desp[centro.negocio]=S$2)*
(tb_desp[nucleo]=S12)*
(tb_desp[data.pagamento]&gt;='n&amp;cn'!$C$1)*
(tb_desp[data.pagamento]&lt;='n&amp;cn'!$C$2)
))</f>
        <v/>
      </c>
      <c r="S12" s="267"/>
      <c r="T12" s="290" t="str" cm="1">
        <f t="array" ref="T12">IF(U12="",
"",
SUMPRODUCT(
tb_desp[valor]*
(tb_desp[centro.negocio]=U$2)*
(tb_desp[nucleo]=U12)*
(tb_desp[data.pagamento]&gt;='n&amp;cn'!$C$1)*
(tb_desp[data.pagamento]&lt;='n&amp;cn'!$C$2)
))</f>
        <v/>
      </c>
      <c r="U12" s="267"/>
      <c r="V12" s="290" t="str" cm="1">
        <f t="array" ref="V12">IF(W12="",
"",
SUMPRODUCT(
tb_desp[valor]*
(tb_desp[centro.negocio]=W$2)*
(tb_desp[nucleo]=W12)*
(tb_desp[data.pagamento]&gt;='n&amp;cn'!$C$1)*
(tb_desp[data.pagamento]&lt;='n&amp;cn'!$C$2)
))</f>
        <v/>
      </c>
      <c r="W12" s="267"/>
      <c r="X12" s="290" t="str" cm="1">
        <f t="array" ref="X12">IF(Y12="",
"",
SUMPRODUCT(
tb_desp[valor]*
(tb_desp[centro.negocio]=Y$2)*
(tb_desp[nucleo]=Y12)*
(tb_desp[data.pagamento]&gt;='n&amp;cn'!$C$1)*
(tb_desp[data.pagamento]&lt;='n&amp;cn'!$C$2)
))</f>
        <v/>
      </c>
      <c r="Y12" s="267"/>
      <c r="Z12" s="290" t="str" cm="1">
        <f t="array" ref="Z12">IF(AA12="",
"",
SUMPRODUCT(
tb_desp[valor]*
(tb_desp[centro.negocio]=AA$2)*
(tb_desp[nucleo]=AA12)*
(tb_desp[data.pagamento]&gt;='n&amp;cn'!$C$1)*
(tb_desp[data.pagamento]&lt;='n&amp;cn'!$C$2)
))</f>
        <v/>
      </c>
      <c r="AA12" s="267"/>
      <c r="AB12" s="290" t="str" cm="1">
        <f t="array" ref="AB12">IF(AC12="",
"",
SUMPRODUCT(
tb_desp[valor]*
(tb_desp[centro.negocio]=AC$2)*
(tb_desp[nucleo]=AC12)*
(tb_desp[data.pagamento]&gt;='n&amp;cn'!$C$1)*
(tb_desp[data.pagamento]&lt;='n&amp;cn'!$C$2)
))</f>
        <v/>
      </c>
      <c r="AC12" s="267"/>
      <c r="AD12" s="290" t="str" cm="1">
        <f t="array" ref="AD12">IF(AE12="",
"",
SUMPRODUCT(
tb_desp[valor]*
(tb_desp[centro.negocio]=AE$2)*
(tb_desp[nucleo]=AE12)*
(tb_desp[data.pagamento]&gt;='n&amp;cn'!$C$1)*
(tb_desp[data.pagamento]&lt;='n&amp;cn'!$C$2)
))</f>
        <v/>
      </c>
      <c r="AE12" s="267"/>
      <c r="AF12" s="290" t="str" cm="1">
        <f t="array" ref="AF12">IF(AG12="",
"",
SUMPRODUCT(
tb_desp[valor]*
(tb_desp[centro.negocio]=AG$2)*
(tb_desp[nucleo]=AG12)*
(tb_desp[data.pagamento]&gt;='n&amp;cn'!$C$1)*
(tb_desp[data.pagamento]&lt;='n&amp;cn'!$C$2)
))</f>
        <v/>
      </c>
      <c r="AG12" s="267"/>
      <c r="AH12" s="290" t="str" cm="1">
        <f t="array" ref="AH12">IF(AI12="",
"",
SUMPRODUCT(
tb_desp[valor]*
(tb_desp[centro.negocio]=AI$2)*
(tb_desp[nucleo]=AI12)*
(tb_desp[data.pagamento]&gt;='n&amp;cn'!$C$1)*
(tb_desp[data.pagamento]&lt;='n&amp;cn'!$C$2)
))</f>
        <v/>
      </c>
      <c r="AI12" s="267"/>
      <c r="AJ12" s="290" t="str" cm="1">
        <f t="array" ref="AJ12">IF(AK12="",
"",
SUMPRODUCT(
tb_desp[valor]*
(tb_desp[centro.negocio]=AK$2)*
(tb_desp[nucleo]=AK12)*
(tb_desp[data.pagamento]&gt;='n&amp;cn'!$C$1)*
(tb_desp[data.pagamento]&lt;='n&amp;cn'!$C$2)
))</f>
        <v/>
      </c>
      <c r="AK12" s="267"/>
      <c r="AL12" s="290" t="str" cm="1">
        <f t="array" ref="AL12">IF(AM12="",
"",
SUMPRODUCT(
tb_desp[valor]*
(tb_desp[centro.negocio]=AM$2)*
(tb_desp[nucleo]=AM12)*
(tb_desp[data.pagamento]&gt;='n&amp;cn'!$C$1)*
(tb_desp[data.pagamento]&lt;='n&amp;cn'!$C$2)
))</f>
        <v/>
      </c>
      <c r="AM12" s="267"/>
      <c r="AN12" s="290" t="str" cm="1">
        <f t="array" ref="AN12">IF(AO12="",
"",
SUMPRODUCT(
tb_desp[valor]*
(tb_desp[centro.negocio]=AO$2)*
(tb_desp[nucleo]=AO12)*
(tb_desp[data.pagamento]&gt;='n&amp;cn'!$C$1)*
(tb_desp[data.pagamento]&lt;='n&amp;cn'!$C$2)
))</f>
        <v/>
      </c>
      <c r="AO12" s="267"/>
      <c r="AP12" s="290" t="str" cm="1">
        <f t="array" ref="AP12">IF(AQ12="",
"",
SUMPRODUCT(
tb_desp[valor]*
(tb_desp[centro.negocio]=AQ$2)*
(tb_desp[nucleo]=AQ12)*
(tb_desp[data.pagamento]&gt;='n&amp;cn'!$C$1)*
(tb_desp[data.pagamento]&lt;='n&amp;cn'!$C$2)
))</f>
        <v/>
      </c>
      <c r="AQ12" s="267"/>
      <c r="AR12" s="290" t="str" cm="1">
        <f t="array" ref="AR12">IF(AS12="",
"",
SUMPRODUCT(
tb_desp[valor]*
(tb_desp[centro.negocio]=AS$2)*
(tb_desp[nucleo]=AS12)*
(tb_desp[data.pagamento]&gt;='n&amp;cn'!$C$1)*
(tb_desp[data.pagamento]&lt;='n&amp;cn'!$C$2)
))</f>
        <v/>
      </c>
      <c r="AS12" s="267"/>
      <c r="AT12" s="290" t="str" cm="1">
        <f t="array" ref="AT12">IF(AU12="",
"",
SUMPRODUCT(
tb_desp[valor]*
(tb_desp[centro.negocio]=AU$2)*
(tb_desp[nucleo]=AU12)*
(tb_desp[data.pagamento]&gt;='n&amp;cn'!$C$1)*
(tb_desp[data.pagamento]&lt;='n&amp;cn'!$C$2)
))</f>
        <v/>
      </c>
      <c r="AU12" s="267"/>
      <c r="AV12" s="290" t="str" cm="1">
        <f t="array" ref="AV12">IF(AW12="",
"",
SUMPRODUCT(
tb_desp[valor]*
(tb_desp[centro.negocio]=AW$2)*
(tb_desp[nucleo]=AW12)*
(tb_desp[data.pagamento]&gt;='n&amp;cn'!$C$1)*
(tb_desp[data.pagamento]&lt;='n&amp;cn'!$C$2)
))</f>
        <v/>
      </c>
      <c r="AW12" s="267"/>
      <c r="AX12" s="290" t="str" cm="1">
        <f t="array" ref="AX12">IF(AY12="",
"",
SUMPRODUCT(
tb_desp[valor]*
(tb_desp[centro.negocio]=AY$2)*
(tb_desp[nucleo]=AY12)*
(tb_desp[data.pagamento]&gt;='n&amp;cn'!$C$1)*
(tb_desp[data.pagamento]&lt;='n&amp;cn'!$C$2)
))</f>
        <v/>
      </c>
      <c r="AY12" s="267"/>
      <c r="AZ12" s="290" t="str" cm="1">
        <f t="array" ref="AZ12">IF(BA12="",
"",
SUMPRODUCT(
tb_desp[valor]*
(tb_desp[centro.negocio]=BA$2)*
(tb_desp[nucleo]=BA12)*
(tb_desp[data.pagamento]&gt;='n&amp;cn'!$C$1)*
(tb_desp[data.pagamento]&lt;='n&amp;cn'!$C$2)
))</f>
        <v/>
      </c>
      <c r="BA12" s="267"/>
      <c r="BB12" s="290" t="str" cm="1">
        <f t="array" ref="BB12">IF(BC12="",
"",
SUMPRODUCT(
tb_desp[valor]*
(tb_desp[centro.negocio]=BC$2)*
(tb_desp[nucleo]=BC12)*
(tb_desp[data.pagamento]&gt;='n&amp;cn'!$C$1)*
(tb_desp[data.pagamento]&lt;='n&amp;cn'!$C$2)
))</f>
        <v/>
      </c>
      <c r="BC12" s="267"/>
      <c r="BD12" s="290" t="str" cm="1">
        <f t="array" ref="BD12">IF(BE12="",
"",
SUMPRODUCT(
tb_desp[valor]*
(tb_desp[centro.negocio]=BE$2)*
(tb_desp[nucleo]=BE12)*
(tb_desp[data.pagamento]&gt;='n&amp;cn'!$C$1)*
(tb_desp[data.pagamento]&lt;='n&amp;cn'!$C$2)
))</f>
        <v/>
      </c>
      <c r="BE12" s="267"/>
      <c r="BF12" s="290" t="str" cm="1">
        <f t="array" ref="BF12">IF(BG12="",
"",
SUMPRODUCT(
tb_desp[valor]*
(tb_desp[centro.negocio]=BG$2)*
(tb_desp[nucleo]=BG12)*
(tb_desp[data.pagamento]&gt;='n&amp;cn'!$C$1)*
(tb_desp[data.pagamento]&lt;='n&amp;cn'!$C$2)
))</f>
        <v/>
      </c>
      <c r="BG12" s="267"/>
      <c r="BH12" s="290" t="str" cm="1">
        <f t="array" ref="BH12">IF(BI12="",
"",
SUMPRODUCT(
tb_desp[valor]*
(tb_desp[centro.negocio]=BI$2)*
(tb_desp[nucleo]=BI12)*
(tb_desp[data.pagamento]&gt;='n&amp;cn'!$C$1)*
(tb_desp[data.pagamento]&lt;='n&amp;cn'!$C$2)
))</f>
        <v/>
      </c>
      <c r="BI12" s="267"/>
      <c r="BJ12" s="290" t="str" cm="1">
        <f t="array" ref="BJ12">IF(BK12="",
"",
SUMPRODUCT(
tb_desp[valor]*
(tb_desp[centro.negocio]=BK$2)*
(tb_desp[nucleo]=BK12)*
(tb_desp[data.pagamento]&gt;='n&amp;cn'!$C$1)*
(tb_desp[data.pagamento]&lt;='n&amp;cn'!$C$2)
))</f>
        <v/>
      </c>
      <c r="BK12" s="267"/>
      <c r="BL12" s="290" t="str" cm="1">
        <f t="array" ref="BL12">IF(BM12="",
"",
SUMPRODUCT(
tb_desp[valor]*
(tb_desp[centro.negocio]=BM$2)*
(tb_desp[nucleo]=BM12)*
(tb_desp[data.pagamento]&gt;='n&amp;cn'!$C$1)*
(tb_desp[data.pagamento]&lt;='n&amp;cn'!$C$2)
))</f>
        <v/>
      </c>
      <c r="BM12" s="267"/>
      <c r="BN12" s="290" t="str" cm="1">
        <f t="array" ref="BN12">IF(BO12="",
"",
SUMPRODUCT(
tb_desp[valor]*
(tb_desp[centro.negocio]=BO$2)*
(tb_desp[nucleo]=BO12)*
(tb_desp[data.pagamento]&gt;='n&amp;cn'!$C$1)*
(tb_desp[data.pagamento]&lt;='n&amp;cn'!$C$2)
))</f>
        <v/>
      </c>
      <c r="BO12" s="267"/>
    </row>
    <row r="13" spans="1:67" x14ac:dyDescent="0.25">
      <c r="A13">
        <f t="shared" si="2"/>
        <v>6</v>
      </c>
      <c r="B13" s="161"/>
      <c r="C13" s="163"/>
      <c r="D13" s="164"/>
      <c r="E13" s="167" t="e">
        <f t="shared" si="0"/>
        <v>#DIV/0!</v>
      </c>
      <c r="F13" s="167" t="e">
        <f>SUM($E$8:$E13)</f>
        <v>#DIV/0!</v>
      </c>
      <c r="G13" s="167"/>
      <c r="H13" s="168"/>
      <c r="I13" s="163">
        <f t="shared" si="3"/>
        <v>6</v>
      </c>
      <c r="K13" s="164"/>
      <c r="L13" s="167" t="e">
        <f t="shared" si="1"/>
        <v>#DIV/0!</v>
      </c>
      <c r="M13" s="167" t="e">
        <f>SUM($L$8:$L13)</f>
        <v>#DIV/0!</v>
      </c>
      <c r="R13" s="290" t="str" cm="1">
        <f t="array" ref="R13">IF(S13="",
"",
SUMPRODUCT(
tb_desp[valor]*
(tb_desp[centro.negocio]=S$2)*
(tb_desp[nucleo]=S13)*
(tb_desp[data.pagamento]&gt;='n&amp;cn'!$C$1)*
(tb_desp[data.pagamento]&lt;='n&amp;cn'!$C$2)
))</f>
        <v/>
      </c>
      <c r="S13" s="267"/>
      <c r="T13" s="290" t="str" cm="1">
        <f t="array" ref="T13">IF(U13="",
"",
SUMPRODUCT(
tb_desp[valor]*
(tb_desp[centro.negocio]=U$2)*
(tb_desp[nucleo]=U13)*
(tb_desp[data.pagamento]&gt;='n&amp;cn'!$C$1)*
(tb_desp[data.pagamento]&lt;='n&amp;cn'!$C$2)
))</f>
        <v/>
      </c>
      <c r="U13" s="267"/>
      <c r="V13" s="290" t="str" cm="1">
        <f t="array" ref="V13">IF(W13="",
"",
SUMPRODUCT(
tb_desp[valor]*
(tb_desp[centro.negocio]=W$2)*
(tb_desp[nucleo]=W13)*
(tb_desp[data.pagamento]&gt;='n&amp;cn'!$C$1)*
(tb_desp[data.pagamento]&lt;='n&amp;cn'!$C$2)
))</f>
        <v/>
      </c>
      <c r="W13" s="267"/>
      <c r="X13" s="290" t="str" cm="1">
        <f t="array" ref="X13">IF(Y13="",
"",
SUMPRODUCT(
tb_desp[valor]*
(tb_desp[centro.negocio]=Y$2)*
(tb_desp[nucleo]=Y13)*
(tb_desp[data.pagamento]&gt;='n&amp;cn'!$C$1)*
(tb_desp[data.pagamento]&lt;='n&amp;cn'!$C$2)
))</f>
        <v/>
      </c>
      <c r="Y13" s="267"/>
      <c r="Z13" s="290" t="str" cm="1">
        <f t="array" ref="Z13">IF(AA13="",
"",
SUMPRODUCT(
tb_desp[valor]*
(tb_desp[centro.negocio]=AA$2)*
(tb_desp[nucleo]=AA13)*
(tb_desp[data.pagamento]&gt;='n&amp;cn'!$C$1)*
(tb_desp[data.pagamento]&lt;='n&amp;cn'!$C$2)
))</f>
        <v/>
      </c>
      <c r="AA13" s="267"/>
      <c r="AB13" s="290" t="str" cm="1">
        <f t="array" ref="AB13">IF(AC13="",
"",
SUMPRODUCT(
tb_desp[valor]*
(tb_desp[centro.negocio]=AC$2)*
(tb_desp[nucleo]=AC13)*
(tb_desp[data.pagamento]&gt;='n&amp;cn'!$C$1)*
(tb_desp[data.pagamento]&lt;='n&amp;cn'!$C$2)
))</f>
        <v/>
      </c>
      <c r="AC13" s="267"/>
      <c r="AD13" s="290" t="str" cm="1">
        <f t="array" ref="AD13">IF(AE13="",
"",
SUMPRODUCT(
tb_desp[valor]*
(tb_desp[centro.negocio]=AE$2)*
(tb_desp[nucleo]=AE13)*
(tb_desp[data.pagamento]&gt;='n&amp;cn'!$C$1)*
(tb_desp[data.pagamento]&lt;='n&amp;cn'!$C$2)
))</f>
        <v/>
      </c>
      <c r="AE13" s="267"/>
      <c r="AF13" s="290" t="str" cm="1">
        <f t="array" ref="AF13">IF(AG13="",
"",
SUMPRODUCT(
tb_desp[valor]*
(tb_desp[centro.negocio]=AG$2)*
(tb_desp[nucleo]=AG13)*
(tb_desp[data.pagamento]&gt;='n&amp;cn'!$C$1)*
(tb_desp[data.pagamento]&lt;='n&amp;cn'!$C$2)
))</f>
        <v/>
      </c>
      <c r="AG13" s="267"/>
      <c r="AH13" s="290" t="str" cm="1">
        <f t="array" ref="AH13">IF(AI13="",
"",
SUMPRODUCT(
tb_desp[valor]*
(tb_desp[centro.negocio]=AI$2)*
(tb_desp[nucleo]=AI13)*
(tb_desp[data.pagamento]&gt;='n&amp;cn'!$C$1)*
(tb_desp[data.pagamento]&lt;='n&amp;cn'!$C$2)
))</f>
        <v/>
      </c>
      <c r="AI13" s="267"/>
      <c r="AJ13" s="290" t="str" cm="1">
        <f t="array" ref="AJ13">IF(AK13="",
"",
SUMPRODUCT(
tb_desp[valor]*
(tb_desp[centro.negocio]=AK$2)*
(tb_desp[nucleo]=AK13)*
(tb_desp[data.pagamento]&gt;='n&amp;cn'!$C$1)*
(tb_desp[data.pagamento]&lt;='n&amp;cn'!$C$2)
))</f>
        <v/>
      </c>
      <c r="AK13" s="267"/>
      <c r="AL13" s="290" t="str" cm="1">
        <f t="array" ref="AL13">IF(AM13="",
"",
SUMPRODUCT(
tb_desp[valor]*
(tb_desp[centro.negocio]=AM$2)*
(tb_desp[nucleo]=AM13)*
(tb_desp[data.pagamento]&gt;='n&amp;cn'!$C$1)*
(tb_desp[data.pagamento]&lt;='n&amp;cn'!$C$2)
))</f>
        <v/>
      </c>
      <c r="AM13" s="267"/>
      <c r="AN13" s="290" t="str" cm="1">
        <f t="array" ref="AN13">IF(AO13="",
"",
SUMPRODUCT(
tb_desp[valor]*
(tb_desp[centro.negocio]=AO$2)*
(tb_desp[nucleo]=AO13)*
(tb_desp[data.pagamento]&gt;='n&amp;cn'!$C$1)*
(tb_desp[data.pagamento]&lt;='n&amp;cn'!$C$2)
))</f>
        <v/>
      </c>
      <c r="AO13" s="267"/>
      <c r="AP13" s="290" t="str" cm="1">
        <f t="array" ref="AP13">IF(AQ13="",
"",
SUMPRODUCT(
tb_desp[valor]*
(tb_desp[centro.negocio]=AQ$2)*
(tb_desp[nucleo]=AQ13)*
(tb_desp[data.pagamento]&gt;='n&amp;cn'!$C$1)*
(tb_desp[data.pagamento]&lt;='n&amp;cn'!$C$2)
))</f>
        <v/>
      </c>
      <c r="AQ13" s="267"/>
      <c r="AR13" s="290" t="str" cm="1">
        <f t="array" ref="AR13">IF(AS13="",
"",
SUMPRODUCT(
tb_desp[valor]*
(tb_desp[centro.negocio]=AS$2)*
(tb_desp[nucleo]=AS13)*
(tb_desp[data.pagamento]&gt;='n&amp;cn'!$C$1)*
(tb_desp[data.pagamento]&lt;='n&amp;cn'!$C$2)
))</f>
        <v/>
      </c>
      <c r="AS13" s="267"/>
      <c r="AT13" s="290" t="str" cm="1">
        <f t="array" ref="AT13">IF(AU13="",
"",
SUMPRODUCT(
tb_desp[valor]*
(tb_desp[centro.negocio]=AU$2)*
(tb_desp[nucleo]=AU13)*
(tb_desp[data.pagamento]&gt;='n&amp;cn'!$C$1)*
(tb_desp[data.pagamento]&lt;='n&amp;cn'!$C$2)
))</f>
        <v/>
      </c>
      <c r="AU13" s="267"/>
      <c r="AV13" s="290" t="str" cm="1">
        <f t="array" ref="AV13">IF(AW13="",
"",
SUMPRODUCT(
tb_desp[valor]*
(tb_desp[centro.negocio]=AW$2)*
(tb_desp[nucleo]=AW13)*
(tb_desp[data.pagamento]&gt;='n&amp;cn'!$C$1)*
(tb_desp[data.pagamento]&lt;='n&amp;cn'!$C$2)
))</f>
        <v/>
      </c>
      <c r="AW13" s="267"/>
      <c r="AX13" s="290" t="str" cm="1">
        <f t="array" ref="AX13">IF(AY13="",
"",
SUMPRODUCT(
tb_desp[valor]*
(tb_desp[centro.negocio]=AY$2)*
(tb_desp[nucleo]=AY13)*
(tb_desp[data.pagamento]&gt;='n&amp;cn'!$C$1)*
(tb_desp[data.pagamento]&lt;='n&amp;cn'!$C$2)
))</f>
        <v/>
      </c>
      <c r="AY13" s="267"/>
      <c r="AZ13" s="290" t="str" cm="1">
        <f t="array" ref="AZ13">IF(BA13="",
"",
SUMPRODUCT(
tb_desp[valor]*
(tb_desp[centro.negocio]=BA$2)*
(tb_desp[nucleo]=BA13)*
(tb_desp[data.pagamento]&gt;='n&amp;cn'!$C$1)*
(tb_desp[data.pagamento]&lt;='n&amp;cn'!$C$2)
))</f>
        <v/>
      </c>
      <c r="BA13" s="267"/>
      <c r="BB13" s="290" t="str" cm="1">
        <f t="array" ref="BB13">IF(BC13="",
"",
SUMPRODUCT(
tb_desp[valor]*
(tb_desp[centro.negocio]=BC$2)*
(tb_desp[nucleo]=BC13)*
(tb_desp[data.pagamento]&gt;='n&amp;cn'!$C$1)*
(tb_desp[data.pagamento]&lt;='n&amp;cn'!$C$2)
))</f>
        <v/>
      </c>
      <c r="BC13" s="267"/>
      <c r="BD13" s="290" t="str" cm="1">
        <f t="array" ref="BD13">IF(BE13="",
"",
SUMPRODUCT(
tb_desp[valor]*
(tb_desp[centro.negocio]=BE$2)*
(tb_desp[nucleo]=BE13)*
(tb_desp[data.pagamento]&gt;='n&amp;cn'!$C$1)*
(tb_desp[data.pagamento]&lt;='n&amp;cn'!$C$2)
))</f>
        <v/>
      </c>
      <c r="BE13" s="267"/>
      <c r="BF13" s="290" t="str" cm="1">
        <f t="array" ref="BF13">IF(BG13="",
"",
SUMPRODUCT(
tb_desp[valor]*
(tb_desp[centro.negocio]=BG$2)*
(tb_desp[nucleo]=BG13)*
(tb_desp[data.pagamento]&gt;='n&amp;cn'!$C$1)*
(tb_desp[data.pagamento]&lt;='n&amp;cn'!$C$2)
))</f>
        <v/>
      </c>
      <c r="BG13" s="267"/>
      <c r="BH13" s="290" t="str" cm="1">
        <f t="array" ref="BH13">IF(BI13="",
"",
SUMPRODUCT(
tb_desp[valor]*
(tb_desp[centro.negocio]=BI$2)*
(tb_desp[nucleo]=BI13)*
(tb_desp[data.pagamento]&gt;='n&amp;cn'!$C$1)*
(tb_desp[data.pagamento]&lt;='n&amp;cn'!$C$2)
))</f>
        <v/>
      </c>
      <c r="BI13" s="267"/>
      <c r="BJ13" s="290" t="str" cm="1">
        <f t="array" ref="BJ13">IF(BK13="",
"",
SUMPRODUCT(
tb_desp[valor]*
(tb_desp[centro.negocio]=BK$2)*
(tb_desp[nucleo]=BK13)*
(tb_desp[data.pagamento]&gt;='n&amp;cn'!$C$1)*
(tb_desp[data.pagamento]&lt;='n&amp;cn'!$C$2)
))</f>
        <v/>
      </c>
      <c r="BK13" s="267"/>
      <c r="BL13" s="290" t="str" cm="1">
        <f t="array" ref="BL13">IF(BM13="",
"",
SUMPRODUCT(
tb_desp[valor]*
(tb_desp[centro.negocio]=BM$2)*
(tb_desp[nucleo]=BM13)*
(tb_desp[data.pagamento]&gt;='n&amp;cn'!$C$1)*
(tb_desp[data.pagamento]&lt;='n&amp;cn'!$C$2)
))</f>
        <v/>
      </c>
      <c r="BM13" s="267"/>
      <c r="BN13" s="290" t="str" cm="1">
        <f t="array" ref="BN13">IF(BO13="",
"",
SUMPRODUCT(
tb_desp[valor]*
(tb_desp[centro.negocio]=BO$2)*
(tb_desp[nucleo]=BO13)*
(tb_desp[data.pagamento]&gt;='n&amp;cn'!$C$1)*
(tb_desp[data.pagamento]&lt;='n&amp;cn'!$C$2)
))</f>
        <v/>
      </c>
      <c r="BO13" s="267"/>
    </row>
    <row r="14" spans="1:67" x14ac:dyDescent="0.25">
      <c r="A14">
        <f t="shared" si="2"/>
        <v>7</v>
      </c>
      <c r="B14" s="161"/>
      <c r="C14" s="163"/>
      <c r="D14" s="164"/>
      <c r="E14" s="167" t="e">
        <f t="shared" si="0"/>
        <v>#DIV/0!</v>
      </c>
      <c r="F14" s="167" t="e">
        <f>SUM($E$8:$E14)</f>
        <v>#DIV/0!</v>
      </c>
      <c r="G14" s="167"/>
      <c r="H14" s="168"/>
      <c r="I14" s="163">
        <f t="shared" si="3"/>
        <v>7</v>
      </c>
      <c r="K14" s="164"/>
      <c r="L14" s="167" t="e">
        <f t="shared" si="1"/>
        <v>#DIV/0!</v>
      </c>
      <c r="M14" s="167" t="e">
        <f>SUM($L$8:$L14)</f>
        <v>#DIV/0!</v>
      </c>
      <c r="R14" s="290" t="str" cm="1">
        <f t="array" ref="R14">IF(S14="",
"",
SUMPRODUCT(
tb_desp[valor]*
(tb_desp[centro.negocio]=S$2)*
(tb_desp[nucleo]=S14)*
(tb_desp[data.pagamento]&gt;='n&amp;cn'!$C$1)*
(tb_desp[data.pagamento]&lt;='n&amp;cn'!$C$2)
))</f>
        <v/>
      </c>
      <c r="S14" s="267"/>
      <c r="T14" s="290" t="str" cm="1">
        <f t="array" ref="T14">IF(U14="",
"",
SUMPRODUCT(
tb_desp[valor]*
(tb_desp[centro.negocio]=U$2)*
(tb_desp[nucleo]=U14)*
(tb_desp[data.pagamento]&gt;='n&amp;cn'!$C$1)*
(tb_desp[data.pagamento]&lt;='n&amp;cn'!$C$2)
))</f>
        <v/>
      </c>
      <c r="U14" s="267"/>
      <c r="V14" s="290" t="str" cm="1">
        <f t="array" ref="V14">IF(W14="",
"",
SUMPRODUCT(
tb_desp[valor]*
(tb_desp[centro.negocio]=W$2)*
(tb_desp[nucleo]=W14)*
(tb_desp[data.pagamento]&gt;='n&amp;cn'!$C$1)*
(tb_desp[data.pagamento]&lt;='n&amp;cn'!$C$2)
))</f>
        <v/>
      </c>
      <c r="W14" s="267"/>
      <c r="X14" s="290" t="str" cm="1">
        <f t="array" ref="X14">IF(Y14="",
"",
SUMPRODUCT(
tb_desp[valor]*
(tb_desp[centro.negocio]=Y$2)*
(tb_desp[nucleo]=Y14)*
(tb_desp[data.pagamento]&gt;='n&amp;cn'!$C$1)*
(tb_desp[data.pagamento]&lt;='n&amp;cn'!$C$2)
))</f>
        <v/>
      </c>
      <c r="Y14" s="267"/>
      <c r="Z14" s="290" t="str" cm="1">
        <f t="array" ref="Z14">IF(AA14="",
"",
SUMPRODUCT(
tb_desp[valor]*
(tb_desp[centro.negocio]=AA$2)*
(tb_desp[nucleo]=AA14)*
(tb_desp[data.pagamento]&gt;='n&amp;cn'!$C$1)*
(tb_desp[data.pagamento]&lt;='n&amp;cn'!$C$2)
))</f>
        <v/>
      </c>
      <c r="AA14" s="267"/>
      <c r="AB14" s="290" t="str" cm="1">
        <f t="array" ref="AB14">IF(AC14="",
"",
SUMPRODUCT(
tb_desp[valor]*
(tb_desp[centro.negocio]=AC$2)*
(tb_desp[nucleo]=AC14)*
(tb_desp[data.pagamento]&gt;='n&amp;cn'!$C$1)*
(tb_desp[data.pagamento]&lt;='n&amp;cn'!$C$2)
))</f>
        <v/>
      </c>
      <c r="AC14" s="267"/>
      <c r="AD14" s="290" t="str" cm="1">
        <f t="array" ref="AD14">IF(AE14="",
"",
SUMPRODUCT(
tb_desp[valor]*
(tb_desp[centro.negocio]=AE$2)*
(tb_desp[nucleo]=AE14)*
(tb_desp[data.pagamento]&gt;='n&amp;cn'!$C$1)*
(tb_desp[data.pagamento]&lt;='n&amp;cn'!$C$2)
))</f>
        <v/>
      </c>
      <c r="AE14" s="267"/>
      <c r="AF14" s="290" t="str" cm="1">
        <f t="array" ref="AF14">IF(AG14="",
"",
SUMPRODUCT(
tb_desp[valor]*
(tb_desp[centro.negocio]=AG$2)*
(tb_desp[nucleo]=AG14)*
(tb_desp[data.pagamento]&gt;='n&amp;cn'!$C$1)*
(tb_desp[data.pagamento]&lt;='n&amp;cn'!$C$2)
))</f>
        <v/>
      </c>
      <c r="AG14" s="267"/>
      <c r="AH14" s="290" t="str" cm="1">
        <f t="array" ref="AH14">IF(AI14="",
"",
SUMPRODUCT(
tb_desp[valor]*
(tb_desp[centro.negocio]=AI$2)*
(tb_desp[nucleo]=AI14)*
(tb_desp[data.pagamento]&gt;='n&amp;cn'!$C$1)*
(tb_desp[data.pagamento]&lt;='n&amp;cn'!$C$2)
))</f>
        <v/>
      </c>
      <c r="AI14" s="267"/>
      <c r="AJ14" s="290" t="str" cm="1">
        <f t="array" ref="AJ14">IF(AK14="",
"",
SUMPRODUCT(
tb_desp[valor]*
(tb_desp[centro.negocio]=AK$2)*
(tb_desp[nucleo]=AK14)*
(tb_desp[data.pagamento]&gt;='n&amp;cn'!$C$1)*
(tb_desp[data.pagamento]&lt;='n&amp;cn'!$C$2)
))</f>
        <v/>
      </c>
      <c r="AK14" s="267"/>
      <c r="AL14" s="290" t="str" cm="1">
        <f t="array" ref="AL14">IF(AM14="",
"",
SUMPRODUCT(
tb_desp[valor]*
(tb_desp[centro.negocio]=AM$2)*
(tb_desp[nucleo]=AM14)*
(tb_desp[data.pagamento]&gt;='n&amp;cn'!$C$1)*
(tb_desp[data.pagamento]&lt;='n&amp;cn'!$C$2)
))</f>
        <v/>
      </c>
      <c r="AM14" s="267"/>
      <c r="AN14" s="290" t="str" cm="1">
        <f t="array" ref="AN14">IF(AO14="",
"",
SUMPRODUCT(
tb_desp[valor]*
(tb_desp[centro.negocio]=AO$2)*
(tb_desp[nucleo]=AO14)*
(tb_desp[data.pagamento]&gt;='n&amp;cn'!$C$1)*
(tb_desp[data.pagamento]&lt;='n&amp;cn'!$C$2)
))</f>
        <v/>
      </c>
      <c r="AO14" s="267"/>
      <c r="AP14" s="290" t="str" cm="1">
        <f t="array" ref="AP14">IF(AQ14="",
"",
SUMPRODUCT(
tb_desp[valor]*
(tb_desp[centro.negocio]=AQ$2)*
(tb_desp[nucleo]=AQ14)*
(tb_desp[data.pagamento]&gt;='n&amp;cn'!$C$1)*
(tb_desp[data.pagamento]&lt;='n&amp;cn'!$C$2)
))</f>
        <v/>
      </c>
      <c r="AQ14" s="267"/>
      <c r="AR14" s="290" t="str" cm="1">
        <f t="array" ref="AR14">IF(AS14="",
"",
SUMPRODUCT(
tb_desp[valor]*
(tb_desp[centro.negocio]=AS$2)*
(tb_desp[nucleo]=AS14)*
(tb_desp[data.pagamento]&gt;='n&amp;cn'!$C$1)*
(tb_desp[data.pagamento]&lt;='n&amp;cn'!$C$2)
))</f>
        <v/>
      </c>
      <c r="AS14" s="267"/>
      <c r="AT14" s="290" t="str" cm="1">
        <f t="array" ref="AT14">IF(AU14="",
"",
SUMPRODUCT(
tb_desp[valor]*
(tb_desp[centro.negocio]=AU$2)*
(tb_desp[nucleo]=AU14)*
(tb_desp[data.pagamento]&gt;='n&amp;cn'!$C$1)*
(tb_desp[data.pagamento]&lt;='n&amp;cn'!$C$2)
))</f>
        <v/>
      </c>
      <c r="AU14" s="267"/>
      <c r="AV14" s="290" t="str" cm="1">
        <f t="array" ref="AV14">IF(AW14="",
"",
SUMPRODUCT(
tb_desp[valor]*
(tb_desp[centro.negocio]=AW$2)*
(tb_desp[nucleo]=AW14)*
(tb_desp[data.pagamento]&gt;='n&amp;cn'!$C$1)*
(tb_desp[data.pagamento]&lt;='n&amp;cn'!$C$2)
))</f>
        <v/>
      </c>
      <c r="AW14" s="267"/>
      <c r="AX14" s="290" t="str" cm="1">
        <f t="array" ref="AX14">IF(AY14="",
"",
SUMPRODUCT(
tb_desp[valor]*
(tb_desp[centro.negocio]=AY$2)*
(tb_desp[nucleo]=AY14)*
(tb_desp[data.pagamento]&gt;='n&amp;cn'!$C$1)*
(tb_desp[data.pagamento]&lt;='n&amp;cn'!$C$2)
))</f>
        <v/>
      </c>
      <c r="AY14" s="267"/>
      <c r="AZ14" s="290" t="str" cm="1">
        <f t="array" ref="AZ14">IF(BA14="",
"",
SUMPRODUCT(
tb_desp[valor]*
(tb_desp[centro.negocio]=BA$2)*
(tb_desp[nucleo]=BA14)*
(tb_desp[data.pagamento]&gt;='n&amp;cn'!$C$1)*
(tb_desp[data.pagamento]&lt;='n&amp;cn'!$C$2)
))</f>
        <v/>
      </c>
      <c r="BA14" s="267"/>
      <c r="BB14" s="290" t="str" cm="1">
        <f t="array" ref="BB14">IF(BC14="",
"",
SUMPRODUCT(
tb_desp[valor]*
(tb_desp[centro.negocio]=BC$2)*
(tb_desp[nucleo]=BC14)*
(tb_desp[data.pagamento]&gt;='n&amp;cn'!$C$1)*
(tb_desp[data.pagamento]&lt;='n&amp;cn'!$C$2)
))</f>
        <v/>
      </c>
      <c r="BC14" s="267"/>
      <c r="BD14" s="290" t="str" cm="1">
        <f t="array" ref="BD14">IF(BE14="",
"",
SUMPRODUCT(
tb_desp[valor]*
(tb_desp[centro.negocio]=BE$2)*
(tb_desp[nucleo]=BE14)*
(tb_desp[data.pagamento]&gt;='n&amp;cn'!$C$1)*
(tb_desp[data.pagamento]&lt;='n&amp;cn'!$C$2)
))</f>
        <v/>
      </c>
      <c r="BE14" s="267"/>
      <c r="BF14" s="290" t="str" cm="1">
        <f t="array" ref="BF14">IF(BG14="",
"",
SUMPRODUCT(
tb_desp[valor]*
(tb_desp[centro.negocio]=BG$2)*
(tb_desp[nucleo]=BG14)*
(tb_desp[data.pagamento]&gt;='n&amp;cn'!$C$1)*
(tb_desp[data.pagamento]&lt;='n&amp;cn'!$C$2)
))</f>
        <v/>
      </c>
      <c r="BG14" s="267"/>
      <c r="BH14" s="290" t="str" cm="1">
        <f t="array" ref="BH14">IF(BI14="",
"",
SUMPRODUCT(
tb_desp[valor]*
(tb_desp[centro.negocio]=BI$2)*
(tb_desp[nucleo]=BI14)*
(tb_desp[data.pagamento]&gt;='n&amp;cn'!$C$1)*
(tb_desp[data.pagamento]&lt;='n&amp;cn'!$C$2)
))</f>
        <v/>
      </c>
      <c r="BI14" s="267"/>
      <c r="BJ14" s="290" t="str" cm="1">
        <f t="array" ref="BJ14">IF(BK14="",
"",
SUMPRODUCT(
tb_desp[valor]*
(tb_desp[centro.negocio]=BK$2)*
(tb_desp[nucleo]=BK14)*
(tb_desp[data.pagamento]&gt;='n&amp;cn'!$C$1)*
(tb_desp[data.pagamento]&lt;='n&amp;cn'!$C$2)
))</f>
        <v/>
      </c>
      <c r="BK14" s="267"/>
      <c r="BL14" s="290" t="str" cm="1">
        <f t="array" ref="BL14">IF(BM14="",
"",
SUMPRODUCT(
tb_desp[valor]*
(tb_desp[centro.negocio]=BM$2)*
(tb_desp[nucleo]=BM14)*
(tb_desp[data.pagamento]&gt;='n&amp;cn'!$C$1)*
(tb_desp[data.pagamento]&lt;='n&amp;cn'!$C$2)
))</f>
        <v/>
      </c>
      <c r="BM14" s="267"/>
      <c r="BN14" s="290" t="str" cm="1">
        <f t="array" ref="BN14">IF(BO14="",
"",
SUMPRODUCT(
tb_desp[valor]*
(tb_desp[centro.negocio]=BO$2)*
(tb_desp[nucleo]=BO14)*
(tb_desp[data.pagamento]&gt;='n&amp;cn'!$C$1)*
(tb_desp[data.pagamento]&lt;='n&amp;cn'!$C$2)
))</f>
        <v/>
      </c>
      <c r="BO14" s="267"/>
    </row>
    <row r="15" spans="1:67" x14ac:dyDescent="0.25">
      <c r="A15">
        <f t="shared" si="2"/>
        <v>8</v>
      </c>
      <c r="B15" s="161"/>
      <c r="C15" s="163"/>
      <c r="D15" s="164"/>
      <c r="E15" s="167" t="e">
        <f t="shared" si="0"/>
        <v>#DIV/0!</v>
      </c>
      <c r="F15" s="167" t="e">
        <f>SUM($E$8:$E15)</f>
        <v>#DIV/0!</v>
      </c>
      <c r="G15" s="167"/>
      <c r="H15" s="168"/>
      <c r="I15" s="163">
        <f t="shared" si="3"/>
        <v>8</v>
      </c>
      <c r="K15" s="164"/>
      <c r="L15" s="167" t="e">
        <f t="shared" si="1"/>
        <v>#DIV/0!</v>
      </c>
      <c r="M15" s="167" t="e">
        <f>SUM($L$8:$L15)</f>
        <v>#DIV/0!</v>
      </c>
      <c r="R15" s="290" t="str" cm="1">
        <f t="array" ref="R15">IF(S15="",
"",
SUMPRODUCT(
tb_desp[valor]*
(tb_desp[centro.negocio]=S$2)*
(tb_desp[nucleo]=S15)*
(tb_desp[data.pagamento]&gt;='n&amp;cn'!$C$1)*
(tb_desp[data.pagamento]&lt;='n&amp;cn'!$C$2)
))</f>
        <v/>
      </c>
      <c r="S15" s="267"/>
      <c r="T15" s="290" t="str" cm="1">
        <f t="array" ref="T15">IF(U15="",
"",
SUMPRODUCT(
tb_desp[valor]*
(tb_desp[centro.negocio]=U$2)*
(tb_desp[nucleo]=U15)*
(tb_desp[data.pagamento]&gt;='n&amp;cn'!$C$1)*
(tb_desp[data.pagamento]&lt;='n&amp;cn'!$C$2)
))</f>
        <v/>
      </c>
      <c r="U15" s="267"/>
      <c r="V15" s="290" t="str" cm="1">
        <f t="array" ref="V15">IF(W15="",
"",
SUMPRODUCT(
tb_desp[valor]*
(tb_desp[centro.negocio]=W$2)*
(tb_desp[nucleo]=W15)*
(tb_desp[data.pagamento]&gt;='n&amp;cn'!$C$1)*
(tb_desp[data.pagamento]&lt;='n&amp;cn'!$C$2)
))</f>
        <v/>
      </c>
      <c r="W15" s="267"/>
      <c r="X15" s="290" t="str" cm="1">
        <f t="array" ref="X15">IF(Y15="",
"",
SUMPRODUCT(
tb_desp[valor]*
(tb_desp[centro.negocio]=Y$2)*
(tb_desp[nucleo]=Y15)*
(tb_desp[data.pagamento]&gt;='n&amp;cn'!$C$1)*
(tb_desp[data.pagamento]&lt;='n&amp;cn'!$C$2)
))</f>
        <v/>
      </c>
      <c r="Y15" s="267"/>
      <c r="Z15" s="290" t="str" cm="1">
        <f t="array" ref="Z15">IF(AA15="",
"",
SUMPRODUCT(
tb_desp[valor]*
(tb_desp[centro.negocio]=AA$2)*
(tb_desp[nucleo]=AA15)*
(tb_desp[data.pagamento]&gt;='n&amp;cn'!$C$1)*
(tb_desp[data.pagamento]&lt;='n&amp;cn'!$C$2)
))</f>
        <v/>
      </c>
      <c r="AA15" s="267"/>
      <c r="AB15" s="290" t="str" cm="1">
        <f t="array" ref="AB15">IF(AC15="",
"",
SUMPRODUCT(
tb_desp[valor]*
(tb_desp[centro.negocio]=AC$2)*
(tb_desp[nucleo]=AC15)*
(tb_desp[data.pagamento]&gt;='n&amp;cn'!$C$1)*
(tb_desp[data.pagamento]&lt;='n&amp;cn'!$C$2)
))</f>
        <v/>
      </c>
      <c r="AC15" s="267"/>
      <c r="AD15" s="290" t="str" cm="1">
        <f t="array" ref="AD15">IF(AE15="",
"",
SUMPRODUCT(
tb_desp[valor]*
(tb_desp[centro.negocio]=AE$2)*
(tb_desp[nucleo]=AE15)*
(tb_desp[data.pagamento]&gt;='n&amp;cn'!$C$1)*
(tb_desp[data.pagamento]&lt;='n&amp;cn'!$C$2)
))</f>
        <v/>
      </c>
      <c r="AE15" s="267"/>
      <c r="AF15" s="290" t="str" cm="1">
        <f t="array" ref="AF15">IF(AG15="",
"",
SUMPRODUCT(
tb_desp[valor]*
(tb_desp[centro.negocio]=AG$2)*
(tb_desp[nucleo]=AG15)*
(tb_desp[data.pagamento]&gt;='n&amp;cn'!$C$1)*
(tb_desp[data.pagamento]&lt;='n&amp;cn'!$C$2)
))</f>
        <v/>
      </c>
      <c r="AG15" s="267"/>
      <c r="AH15" s="290" t="str" cm="1">
        <f t="array" ref="AH15">IF(AI15="",
"",
SUMPRODUCT(
tb_desp[valor]*
(tb_desp[centro.negocio]=AI$2)*
(tb_desp[nucleo]=AI15)*
(tb_desp[data.pagamento]&gt;='n&amp;cn'!$C$1)*
(tb_desp[data.pagamento]&lt;='n&amp;cn'!$C$2)
))</f>
        <v/>
      </c>
      <c r="AI15" s="267"/>
      <c r="AJ15" s="290" t="str" cm="1">
        <f t="array" ref="AJ15">IF(AK15="",
"",
SUMPRODUCT(
tb_desp[valor]*
(tb_desp[centro.negocio]=AK$2)*
(tb_desp[nucleo]=AK15)*
(tb_desp[data.pagamento]&gt;='n&amp;cn'!$C$1)*
(tb_desp[data.pagamento]&lt;='n&amp;cn'!$C$2)
))</f>
        <v/>
      </c>
      <c r="AK15" s="267"/>
      <c r="AL15" s="290" t="str" cm="1">
        <f t="array" ref="AL15">IF(AM15="",
"",
SUMPRODUCT(
tb_desp[valor]*
(tb_desp[centro.negocio]=AM$2)*
(tb_desp[nucleo]=AM15)*
(tb_desp[data.pagamento]&gt;='n&amp;cn'!$C$1)*
(tb_desp[data.pagamento]&lt;='n&amp;cn'!$C$2)
))</f>
        <v/>
      </c>
      <c r="AM15" s="267"/>
      <c r="AN15" s="290" t="str" cm="1">
        <f t="array" ref="AN15">IF(AO15="",
"",
SUMPRODUCT(
tb_desp[valor]*
(tb_desp[centro.negocio]=AO$2)*
(tb_desp[nucleo]=AO15)*
(tb_desp[data.pagamento]&gt;='n&amp;cn'!$C$1)*
(tb_desp[data.pagamento]&lt;='n&amp;cn'!$C$2)
))</f>
        <v/>
      </c>
      <c r="AO15" s="267"/>
      <c r="AP15" s="290" t="str" cm="1">
        <f t="array" ref="AP15">IF(AQ15="",
"",
SUMPRODUCT(
tb_desp[valor]*
(tb_desp[centro.negocio]=AQ$2)*
(tb_desp[nucleo]=AQ15)*
(tb_desp[data.pagamento]&gt;='n&amp;cn'!$C$1)*
(tb_desp[data.pagamento]&lt;='n&amp;cn'!$C$2)
))</f>
        <v/>
      </c>
      <c r="AQ15" s="267"/>
      <c r="AR15" s="290" t="str" cm="1">
        <f t="array" ref="AR15">IF(AS15="",
"",
SUMPRODUCT(
tb_desp[valor]*
(tb_desp[centro.negocio]=AS$2)*
(tb_desp[nucleo]=AS15)*
(tb_desp[data.pagamento]&gt;='n&amp;cn'!$C$1)*
(tb_desp[data.pagamento]&lt;='n&amp;cn'!$C$2)
))</f>
        <v/>
      </c>
      <c r="AS15" s="267"/>
      <c r="AT15" s="290" t="str" cm="1">
        <f t="array" ref="AT15">IF(AU15="",
"",
SUMPRODUCT(
tb_desp[valor]*
(tb_desp[centro.negocio]=AU$2)*
(tb_desp[nucleo]=AU15)*
(tb_desp[data.pagamento]&gt;='n&amp;cn'!$C$1)*
(tb_desp[data.pagamento]&lt;='n&amp;cn'!$C$2)
))</f>
        <v/>
      </c>
      <c r="AU15" s="267"/>
      <c r="AV15" s="290" t="str" cm="1">
        <f t="array" ref="AV15">IF(AW15="",
"",
SUMPRODUCT(
tb_desp[valor]*
(tb_desp[centro.negocio]=AW$2)*
(tb_desp[nucleo]=AW15)*
(tb_desp[data.pagamento]&gt;='n&amp;cn'!$C$1)*
(tb_desp[data.pagamento]&lt;='n&amp;cn'!$C$2)
))</f>
        <v/>
      </c>
      <c r="AW15" s="267"/>
      <c r="AX15" s="290" t="str" cm="1">
        <f t="array" ref="AX15">IF(AY15="",
"",
SUMPRODUCT(
tb_desp[valor]*
(tb_desp[centro.negocio]=AY$2)*
(tb_desp[nucleo]=AY15)*
(tb_desp[data.pagamento]&gt;='n&amp;cn'!$C$1)*
(tb_desp[data.pagamento]&lt;='n&amp;cn'!$C$2)
))</f>
        <v/>
      </c>
      <c r="AY15" s="267"/>
      <c r="AZ15" s="290" t="str" cm="1">
        <f t="array" ref="AZ15">IF(BA15="",
"",
SUMPRODUCT(
tb_desp[valor]*
(tb_desp[centro.negocio]=BA$2)*
(tb_desp[nucleo]=BA15)*
(tb_desp[data.pagamento]&gt;='n&amp;cn'!$C$1)*
(tb_desp[data.pagamento]&lt;='n&amp;cn'!$C$2)
))</f>
        <v/>
      </c>
      <c r="BA15" s="267"/>
      <c r="BB15" s="290" t="str" cm="1">
        <f t="array" ref="BB15">IF(BC15="",
"",
SUMPRODUCT(
tb_desp[valor]*
(tb_desp[centro.negocio]=BC$2)*
(tb_desp[nucleo]=BC15)*
(tb_desp[data.pagamento]&gt;='n&amp;cn'!$C$1)*
(tb_desp[data.pagamento]&lt;='n&amp;cn'!$C$2)
))</f>
        <v/>
      </c>
      <c r="BC15" s="267"/>
      <c r="BD15" s="290" t="str" cm="1">
        <f t="array" ref="BD15">IF(BE15="",
"",
SUMPRODUCT(
tb_desp[valor]*
(tb_desp[centro.negocio]=BE$2)*
(tb_desp[nucleo]=BE15)*
(tb_desp[data.pagamento]&gt;='n&amp;cn'!$C$1)*
(tb_desp[data.pagamento]&lt;='n&amp;cn'!$C$2)
))</f>
        <v/>
      </c>
      <c r="BE15" s="267"/>
      <c r="BF15" s="290" t="str" cm="1">
        <f t="array" ref="BF15">IF(BG15="",
"",
SUMPRODUCT(
tb_desp[valor]*
(tb_desp[centro.negocio]=BG$2)*
(tb_desp[nucleo]=BG15)*
(tb_desp[data.pagamento]&gt;='n&amp;cn'!$C$1)*
(tb_desp[data.pagamento]&lt;='n&amp;cn'!$C$2)
))</f>
        <v/>
      </c>
      <c r="BG15" s="267"/>
      <c r="BH15" s="290" t="str" cm="1">
        <f t="array" ref="BH15">IF(BI15="",
"",
SUMPRODUCT(
tb_desp[valor]*
(tb_desp[centro.negocio]=BI$2)*
(tb_desp[nucleo]=BI15)*
(tb_desp[data.pagamento]&gt;='n&amp;cn'!$C$1)*
(tb_desp[data.pagamento]&lt;='n&amp;cn'!$C$2)
))</f>
        <v/>
      </c>
      <c r="BI15" s="267"/>
      <c r="BJ15" s="290" t="str" cm="1">
        <f t="array" ref="BJ15">IF(BK15="",
"",
SUMPRODUCT(
tb_desp[valor]*
(tb_desp[centro.negocio]=BK$2)*
(tb_desp[nucleo]=BK15)*
(tb_desp[data.pagamento]&gt;='n&amp;cn'!$C$1)*
(tb_desp[data.pagamento]&lt;='n&amp;cn'!$C$2)
))</f>
        <v/>
      </c>
      <c r="BK15" s="267"/>
      <c r="BL15" s="290" t="str" cm="1">
        <f t="array" ref="BL15">IF(BM15="",
"",
SUMPRODUCT(
tb_desp[valor]*
(tb_desp[centro.negocio]=BM$2)*
(tb_desp[nucleo]=BM15)*
(tb_desp[data.pagamento]&gt;='n&amp;cn'!$C$1)*
(tb_desp[data.pagamento]&lt;='n&amp;cn'!$C$2)
))</f>
        <v/>
      </c>
      <c r="BM15" s="267"/>
      <c r="BN15" s="290" t="str" cm="1">
        <f t="array" ref="BN15">IF(BO15="",
"",
SUMPRODUCT(
tb_desp[valor]*
(tb_desp[centro.negocio]=BO$2)*
(tb_desp[nucleo]=BO15)*
(tb_desp[data.pagamento]&gt;='n&amp;cn'!$C$1)*
(tb_desp[data.pagamento]&lt;='n&amp;cn'!$C$2)
))</f>
        <v/>
      </c>
      <c r="BO15" s="267"/>
    </row>
    <row r="16" spans="1:67" x14ac:dyDescent="0.25">
      <c r="A16">
        <f t="shared" si="2"/>
        <v>9</v>
      </c>
      <c r="B16" s="161"/>
      <c r="C16" s="163"/>
      <c r="D16" s="164"/>
      <c r="E16" s="167" t="e">
        <f t="shared" si="0"/>
        <v>#DIV/0!</v>
      </c>
      <c r="F16" s="167" t="e">
        <f>SUM($E$8:$E16)</f>
        <v>#DIV/0!</v>
      </c>
      <c r="G16" s="167"/>
      <c r="H16" s="168"/>
      <c r="I16" s="163">
        <f t="shared" si="3"/>
        <v>9</v>
      </c>
      <c r="K16" s="164"/>
      <c r="L16" s="167" t="e">
        <f t="shared" si="1"/>
        <v>#DIV/0!</v>
      </c>
      <c r="M16" s="167" t="e">
        <f>SUM($L$8:$L16)</f>
        <v>#DIV/0!</v>
      </c>
      <c r="R16" s="290" t="str" cm="1">
        <f t="array" ref="R16">IF(S16="",
"",
SUMPRODUCT(
tb_desp[valor]*
(tb_desp[centro.negocio]=S$2)*
(tb_desp[nucleo]=S16)*
(tb_desp[data.pagamento]&gt;='n&amp;cn'!$C$1)*
(tb_desp[data.pagamento]&lt;='n&amp;cn'!$C$2)
))</f>
        <v/>
      </c>
      <c r="S16" s="267"/>
      <c r="T16" s="290" t="str" cm="1">
        <f t="array" ref="T16">IF(U16="",
"",
SUMPRODUCT(
tb_desp[valor]*
(tb_desp[centro.negocio]=U$2)*
(tb_desp[nucleo]=U16)*
(tb_desp[data.pagamento]&gt;='n&amp;cn'!$C$1)*
(tb_desp[data.pagamento]&lt;='n&amp;cn'!$C$2)
))</f>
        <v/>
      </c>
      <c r="U16" s="267"/>
      <c r="V16" s="290" t="str" cm="1">
        <f t="array" ref="V16">IF(W16="",
"",
SUMPRODUCT(
tb_desp[valor]*
(tb_desp[centro.negocio]=W$2)*
(tb_desp[nucleo]=W16)*
(tb_desp[data.pagamento]&gt;='n&amp;cn'!$C$1)*
(tb_desp[data.pagamento]&lt;='n&amp;cn'!$C$2)
))</f>
        <v/>
      </c>
      <c r="W16" s="267"/>
      <c r="X16" s="290" t="str" cm="1">
        <f t="array" ref="X16">IF(Y16="",
"",
SUMPRODUCT(
tb_desp[valor]*
(tb_desp[centro.negocio]=Y$2)*
(tb_desp[nucleo]=Y16)*
(tb_desp[data.pagamento]&gt;='n&amp;cn'!$C$1)*
(tb_desp[data.pagamento]&lt;='n&amp;cn'!$C$2)
))</f>
        <v/>
      </c>
      <c r="Y16" s="267"/>
      <c r="Z16" s="290" t="str" cm="1">
        <f t="array" ref="Z16">IF(AA16="",
"",
SUMPRODUCT(
tb_desp[valor]*
(tb_desp[centro.negocio]=AA$2)*
(tb_desp[nucleo]=AA16)*
(tb_desp[data.pagamento]&gt;='n&amp;cn'!$C$1)*
(tb_desp[data.pagamento]&lt;='n&amp;cn'!$C$2)
))</f>
        <v/>
      </c>
      <c r="AA16" s="267"/>
      <c r="AB16" s="290" t="str" cm="1">
        <f t="array" ref="AB16">IF(AC16="",
"",
SUMPRODUCT(
tb_desp[valor]*
(tb_desp[centro.negocio]=AC$2)*
(tb_desp[nucleo]=AC16)*
(tb_desp[data.pagamento]&gt;='n&amp;cn'!$C$1)*
(tb_desp[data.pagamento]&lt;='n&amp;cn'!$C$2)
))</f>
        <v/>
      </c>
      <c r="AC16" s="267"/>
      <c r="AD16" s="290" t="str" cm="1">
        <f t="array" ref="AD16">IF(AE16="",
"",
SUMPRODUCT(
tb_desp[valor]*
(tb_desp[centro.negocio]=AE$2)*
(tb_desp[nucleo]=AE16)*
(tb_desp[data.pagamento]&gt;='n&amp;cn'!$C$1)*
(tb_desp[data.pagamento]&lt;='n&amp;cn'!$C$2)
))</f>
        <v/>
      </c>
      <c r="AE16" s="267"/>
      <c r="AF16" s="290" t="str" cm="1">
        <f t="array" ref="AF16">IF(AG16="",
"",
SUMPRODUCT(
tb_desp[valor]*
(tb_desp[centro.negocio]=AG$2)*
(tb_desp[nucleo]=AG16)*
(tb_desp[data.pagamento]&gt;='n&amp;cn'!$C$1)*
(tb_desp[data.pagamento]&lt;='n&amp;cn'!$C$2)
))</f>
        <v/>
      </c>
      <c r="AG16" s="267"/>
      <c r="AH16" s="290" t="str" cm="1">
        <f t="array" ref="AH16">IF(AI16="",
"",
SUMPRODUCT(
tb_desp[valor]*
(tb_desp[centro.negocio]=AI$2)*
(tb_desp[nucleo]=AI16)*
(tb_desp[data.pagamento]&gt;='n&amp;cn'!$C$1)*
(tb_desp[data.pagamento]&lt;='n&amp;cn'!$C$2)
))</f>
        <v/>
      </c>
      <c r="AI16" s="267"/>
      <c r="AJ16" s="290" t="str" cm="1">
        <f t="array" ref="AJ16">IF(AK16="",
"",
SUMPRODUCT(
tb_desp[valor]*
(tb_desp[centro.negocio]=AK$2)*
(tb_desp[nucleo]=AK16)*
(tb_desp[data.pagamento]&gt;='n&amp;cn'!$C$1)*
(tb_desp[data.pagamento]&lt;='n&amp;cn'!$C$2)
))</f>
        <v/>
      </c>
      <c r="AK16" s="267"/>
      <c r="AL16" s="290" t="str" cm="1">
        <f t="array" ref="AL16">IF(AM16="",
"",
SUMPRODUCT(
tb_desp[valor]*
(tb_desp[centro.negocio]=AM$2)*
(tb_desp[nucleo]=AM16)*
(tb_desp[data.pagamento]&gt;='n&amp;cn'!$C$1)*
(tb_desp[data.pagamento]&lt;='n&amp;cn'!$C$2)
))</f>
        <v/>
      </c>
      <c r="AM16" s="267"/>
      <c r="AN16" s="290" t="str" cm="1">
        <f t="array" ref="AN16">IF(AO16="",
"",
SUMPRODUCT(
tb_desp[valor]*
(tb_desp[centro.negocio]=AO$2)*
(tb_desp[nucleo]=AO16)*
(tb_desp[data.pagamento]&gt;='n&amp;cn'!$C$1)*
(tb_desp[data.pagamento]&lt;='n&amp;cn'!$C$2)
))</f>
        <v/>
      </c>
      <c r="AO16" s="267"/>
      <c r="AP16" s="290" t="str" cm="1">
        <f t="array" ref="AP16">IF(AQ16="",
"",
SUMPRODUCT(
tb_desp[valor]*
(tb_desp[centro.negocio]=AQ$2)*
(tb_desp[nucleo]=AQ16)*
(tb_desp[data.pagamento]&gt;='n&amp;cn'!$C$1)*
(tb_desp[data.pagamento]&lt;='n&amp;cn'!$C$2)
))</f>
        <v/>
      </c>
      <c r="AQ16" s="267"/>
      <c r="AR16" s="290" t="str" cm="1">
        <f t="array" ref="AR16">IF(AS16="",
"",
SUMPRODUCT(
tb_desp[valor]*
(tb_desp[centro.negocio]=AS$2)*
(tb_desp[nucleo]=AS16)*
(tb_desp[data.pagamento]&gt;='n&amp;cn'!$C$1)*
(tb_desp[data.pagamento]&lt;='n&amp;cn'!$C$2)
))</f>
        <v/>
      </c>
      <c r="AS16" s="267"/>
      <c r="AT16" s="290" t="str" cm="1">
        <f t="array" ref="AT16">IF(AU16="",
"",
SUMPRODUCT(
tb_desp[valor]*
(tb_desp[centro.negocio]=AU$2)*
(tb_desp[nucleo]=AU16)*
(tb_desp[data.pagamento]&gt;='n&amp;cn'!$C$1)*
(tb_desp[data.pagamento]&lt;='n&amp;cn'!$C$2)
))</f>
        <v/>
      </c>
      <c r="AU16" s="267"/>
      <c r="AV16" s="290" t="str" cm="1">
        <f t="array" ref="AV16">IF(AW16="",
"",
SUMPRODUCT(
tb_desp[valor]*
(tb_desp[centro.negocio]=AW$2)*
(tb_desp[nucleo]=AW16)*
(tb_desp[data.pagamento]&gt;='n&amp;cn'!$C$1)*
(tb_desp[data.pagamento]&lt;='n&amp;cn'!$C$2)
))</f>
        <v/>
      </c>
      <c r="AW16" s="267"/>
      <c r="AX16" s="290" t="str" cm="1">
        <f t="array" ref="AX16">IF(AY16="",
"",
SUMPRODUCT(
tb_desp[valor]*
(tb_desp[centro.negocio]=AY$2)*
(tb_desp[nucleo]=AY16)*
(tb_desp[data.pagamento]&gt;='n&amp;cn'!$C$1)*
(tb_desp[data.pagamento]&lt;='n&amp;cn'!$C$2)
))</f>
        <v/>
      </c>
      <c r="AY16" s="267"/>
      <c r="AZ16" s="290" t="str" cm="1">
        <f t="array" ref="AZ16">IF(BA16="",
"",
SUMPRODUCT(
tb_desp[valor]*
(tb_desp[centro.negocio]=BA$2)*
(tb_desp[nucleo]=BA16)*
(tb_desp[data.pagamento]&gt;='n&amp;cn'!$C$1)*
(tb_desp[data.pagamento]&lt;='n&amp;cn'!$C$2)
))</f>
        <v/>
      </c>
      <c r="BA16" s="267"/>
      <c r="BB16" s="290" t="str" cm="1">
        <f t="array" ref="BB16">IF(BC16="",
"",
SUMPRODUCT(
tb_desp[valor]*
(tb_desp[centro.negocio]=BC$2)*
(tb_desp[nucleo]=BC16)*
(tb_desp[data.pagamento]&gt;='n&amp;cn'!$C$1)*
(tb_desp[data.pagamento]&lt;='n&amp;cn'!$C$2)
))</f>
        <v/>
      </c>
      <c r="BC16" s="267"/>
      <c r="BD16" s="290" t="str" cm="1">
        <f t="array" ref="BD16">IF(BE16="",
"",
SUMPRODUCT(
tb_desp[valor]*
(tb_desp[centro.negocio]=BE$2)*
(tb_desp[nucleo]=BE16)*
(tb_desp[data.pagamento]&gt;='n&amp;cn'!$C$1)*
(tb_desp[data.pagamento]&lt;='n&amp;cn'!$C$2)
))</f>
        <v/>
      </c>
      <c r="BE16" s="267"/>
      <c r="BF16" s="290" t="str" cm="1">
        <f t="array" ref="BF16">IF(BG16="",
"",
SUMPRODUCT(
tb_desp[valor]*
(tb_desp[centro.negocio]=BG$2)*
(tb_desp[nucleo]=BG16)*
(tb_desp[data.pagamento]&gt;='n&amp;cn'!$C$1)*
(tb_desp[data.pagamento]&lt;='n&amp;cn'!$C$2)
))</f>
        <v/>
      </c>
      <c r="BG16" s="267"/>
      <c r="BH16" s="290" t="str" cm="1">
        <f t="array" ref="BH16">IF(BI16="",
"",
SUMPRODUCT(
tb_desp[valor]*
(tb_desp[centro.negocio]=BI$2)*
(tb_desp[nucleo]=BI16)*
(tb_desp[data.pagamento]&gt;='n&amp;cn'!$C$1)*
(tb_desp[data.pagamento]&lt;='n&amp;cn'!$C$2)
))</f>
        <v/>
      </c>
      <c r="BI16" s="267"/>
      <c r="BJ16" s="290" t="str" cm="1">
        <f t="array" ref="BJ16">IF(BK16="",
"",
SUMPRODUCT(
tb_desp[valor]*
(tb_desp[centro.negocio]=BK$2)*
(tb_desp[nucleo]=BK16)*
(tb_desp[data.pagamento]&gt;='n&amp;cn'!$C$1)*
(tb_desp[data.pagamento]&lt;='n&amp;cn'!$C$2)
))</f>
        <v/>
      </c>
      <c r="BK16" s="267"/>
      <c r="BL16" s="290" t="str" cm="1">
        <f t="array" ref="BL16">IF(BM16="",
"",
SUMPRODUCT(
tb_desp[valor]*
(tb_desp[centro.negocio]=BM$2)*
(tb_desp[nucleo]=BM16)*
(tb_desp[data.pagamento]&gt;='n&amp;cn'!$C$1)*
(tb_desp[data.pagamento]&lt;='n&amp;cn'!$C$2)
))</f>
        <v/>
      </c>
      <c r="BM16" s="267"/>
      <c r="BN16" s="290" t="str" cm="1">
        <f t="array" ref="BN16">IF(BO16="",
"",
SUMPRODUCT(
tb_desp[valor]*
(tb_desp[centro.negocio]=BO$2)*
(tb_desp[nucleo]=BO16)*
(tb_desp[data.pagamento]&gt;='n&amp;cn'!$C$1)*
(tb_desp[data.pagamento]&lt;='n&amp;cn'!$C$2)
))</f>
        <v/>
      </c>
      <c r="BO16" s="267"/>
    </row>
    <row r="17" spans="1:67" x14ac:dyDescent="0.25">
      <c r="A17" s="153">
        <f t="shared" si="2"/>
        <v>10</v>
      </c>
      <c r="B17" s="505"/>
      <c r="C17" s="163"/>
      <c r="D17" s="164"/>
      <c r="E17" s="167" t="e">
        <f t="shared" si="0"/>
        <v>#DIV/0!</v>
      </c>
      <c r="F17" s="167" t="e">
        <f>SUM($E$8:$E17)</f>
        <v>#DIV/0!</v>
      </c>
      <c r="G17" s="167"/>
      <c r="H17" s="168"/>
      <c r="I17" s="163">
        <f t="shared" si="3"/>
        <v>10</v>
      </c>
      <c r="K17" s="164"/>
      <c r="L17" s="167" t="e">
        <f t="shared" si="1"/>
        <v>#DIV/0!</v>
      </c>
      <c r="M17" s="167" t="e">
        <f>SUM($L$8:$L17)</f>
        <v>#DIV/0!</v>
      </c>
      <c r="R17" s="290" t="str" cm="1">
        <f t="array" ref="R17">IF(S17="",
"",
SUMPRODUCT(
tb_desp[valor]*
(tb_desp[centro.negocio]=S$2)*
(tb_desp[nucleo]=S17)*
(tb_desp[data.pagamento]&gt;='n&amp;cn'!$C$1)*
(tb_desp[data.pagamento]&lt;='n&amp;cn'!$C$2)
))</f>
        <v/>
      </c>
      <c r="S17" s="267"/>
      <c r="T17" s="290" t="str" cm="1">
        <f t="array" ref="T17">IF(U17="",
"",
SUMPRODUCT(
tb_desp[valor]*
(tb_desp[centro.negocio]=U$2)*
(tb_desp[nucleo]=U17)*
(tb_desp[data.pagamento]&gt;='n&amp;cn'!$C$1)*
(tb_desp[data.pagamento]&lt;='n&amp;cn'!$C$2)
))</f>
        <v/>
      </c>
      <c r="U17" s="267"/>
      <c r="V17" s="290" t="str" cm="1">
        <f t="array" ref="V17">IF(W17="",
"",
SUMPRODUCT(
tb_desp[valor]*
(tb_desp[centro.negocio]=W$2)*
(tb_desp[nucleo]=W17)*
(tb_desp[data.pagamento]&gt;='n&amp;cn'!$C$1)*
(tb_desp[data.pagamento]&lt;='n&amp;cn'!$C$2)
))</f>
        <v/>
      </c>
      <c r="W17" s="267"/>
      <c r="X17" s="290" t="str" cm="1">
        <f t="array" ref="X17">IF(Y17="",
"",
SUMPRODUCT(
tb_desp[valor]*
(tb_desp[centro.negocio]=Y$2)*
(tb_desp[nucleo]=Y17)*
(tb_desp[data.pagamento]&gt;='n&amp;cn'!$C$1)*
(tb_desp[data.pagamento]&lt;='n&amp;cn'!$C$2)
))</f>
        <v/>
      </c>
      <c r="Y17" s="267"/>
      <c r="Z17" s="290" t="str" cm="1">
        <f t="array" ref="Z17">IF(AA17="",
"",
SUMPRODUCT(
tb_desp[valor]*
(tb_desp[centro.negocio]=AA$2)*
(tb_desp[nucleo]=AA17)*
(tb_desp[data.pagamento]&gt;='n&amp;cn'!$C$1)*
(tb_desp[data.pagamento]&lt;='n&amp;cn'!$C$2)
))</f>
        <v/>
      </c>
      <c r="AA17" s="267"/>
      <c r="AB17" s="290" t="str" cm="1">
        <f t="array" ref="AB17">IF(AC17="",
"",
SUMPRODUCT(
tb_desp[valor]*
(tb_desp[centro.negocio]=AC$2)*
(tb_desp[nucleo]=AC17)*
(tb_desp[data.pagamento]&gt;='n&amp;cn'!$C$1)*
(tb_desp[data.pagamento]&lt;='n&amp;cn'!$C$2)
))</f>
        <v/>
      </c>
      <c r="AC17" s="267"/>
      <c r="AD17" s="290" t="str" cm="1">
        <f t="array" ref="AD17">IF(AE17="",
"",
SUMPRODUCT(
tb_desp[valor]*
(tb_desp[centro.negocio]=AE$2)*
(tb_desp[nucleo]=AE17)*
(tb_desp[data.pagamento]&gt;='n&amp;cn'!$C$1)*
(tb_desp[data.pagamento]&lt;='n&amp;cn'!$C$2)
))</f>
        <v/>
      </c>
      <c r="AE17" s="267"/>
      <c r="AF17" s="290" t="str" cm="1">
        <f t="array" ref="AF17">IF(AG17="",
"",
SUMPRODUCT(
tb_desp[valor]*
(tb_desp[centro.negocio]=AG$2)*
(tb_desp[nucleo]=AG17)*
(tb_desp[data.pagamento]&gt;='n&amp;cn'!$C$1)*
(tb_desp[data.pagamento]&lt;='n&amp;cn'!$C$2)
))</f>
        <v/>
      </c>
      <c r="AG17" s="267"/>
      <c r="AH17" s="290" t="str" cm="1">
        <f t="array" ref="AH17">IF(AI17="",
"",
SUMPRODUCT(
tb_desp[valor]*
(tb_desp[centro.negocio]=AI$2)*
(tb_desp[nucleo]=AI17)*
(tb_desp[data.pagamento]&gt;='n&amp;cn'!$C$1)*
(tb_desp[data.pagamento]&lt;='n&amp;cn'!$C$2)
))</f>
        <v/>
      </c>
      <c r="AI17" s="267"/>
      <c r="AJ17" s="290" t="str" cm="1">
        <f t="array" ref="AJ17">IF(AK17="",
"",
SUMPRODUCT(
tb_desp[valor]*
(tb_desp[centro.negocio]=AK$2)*
(tb_desp[nucleo]=AK17)*
(tb_desp[data.pagamento]&gt;='n&amp;cn'!$C$1)*
(tb_desp[data.pagamento]&lt;='n&amp;cn'!$C$2)
))</f>
        <v/>
      </c>
      <c r="AK17" s="267"/>
      <c r="AL17" s="290" t="str" cm="1">
        <f t="array" ref="AL17">IF(AM17="",
"",
SUMPRODUCT(
tb_desp[valor]*
(tb_desp[centro.negocio]=AM$2)*
(tb_desp[nucleo]=AM17)*
(tb_desp[data.pagamento]&gt;='n&amp;cn'!$C$1)*
(tb_desp[data.pagamento]&lt;='n&amp;cn'!$C$2)
))</f>
        <v/>
      </c>
      <c r="AM17" s="267"/>
      <c r="AN17" s="290" t="str" cm="1">
        <f t="array" ref="AN17">IF(AO17="",
"",
SUMPRODUCT(
tb_desp[valor]*
(tb_desp[centro.negocio]=AO$2)*
(tb_desp[nucleo]=AO17)*
(tb_desp[data.pagamento]&gt;='n&amp;cn'!$C$1)*
(tb_desp[data.pagamento]&lt;='n&amp;cn'!$C$2)
))</f>
        <v/>
      </c>
      <c r="AO17" s="267"/>
      <c r="AP17" s="290" t="str" cm="1">
        <f t="array" ref="AP17">IF(AQ17="",
"",
SUMPRODUCT(
tb_desp[valor]*
(tb_desp[centro.negocio]=AQ$2)*
(tb_desp[nucleo]=AQ17)*
(tb_desp[data.pagamento]&gt;='n&amp;cn'!$C$1)*
(tb_desp[data.pagamento]&lt;='n&amp;cn'!$C$2)
))</f>
        <v/>
      </c>
      <c r="AQ17" s="267"/>
      <c r="AR17" s="290" t="str" cm="1">
        <f t="array" ref="AR17">IF(AS17="",
"",
SUMPRODUCT(
tb_desp[valor]*
(tb_desp[centro.negocio]=AS$2)*
(tb_desp[nucleo]=AS17)*
(tb_desp[data.pagamento]&gt;='n&amp;cn'!$C$1)*
(tb_desp[data.pagamento]&lt;='n&amp;cn'!$C$2)
))</f>
        <v/>
      </c>
      <c r="AS17" s="267"/>
      <c r="AT17" s="290" t="str" cm="1">
        <f t="array" ref="AT17">IF(AU17="",
"",
SUMPRODUCT(
tb_desp[valor]*
(tb_desp[centro.negocio]=AU$2)*
(tb_desp[nucleo]=AU17)*
(tb_desp[data.pagamento]&gt;='n&amp;cn'!$C$1)*
(tb_desp[data.pagamento]&lt;='n&amp;cn'!$C$2)
))</f>
        <v/>
      </c>
      <c r="AU17" s="267"/>
      <c r="AV17" s="290" t="str" cm="1">
        <f t="array" ref="AV17">IF(AW17="",
"",
SUMPRODUCT(
tb_desp[valor]*
(tb_desp[centro.negocio]=AW$2)*
(tb_desp[nucleo]=AW17)*
(tb_desp[data.pagamento]&gt;='n&amp;cn'!$C$1)*
(tb_desp[data.pagamento]&lt;='n&amp;cn'!$C$2)
))</f>
        <v/>
      </c>
      <c r="AW17" s="267"/>
      <c r="AX17" s="290" t="str" cm="1">
        <f t="array" ref="AX17">IF(AY17="",
"",
SUMPRODUCT(
tb_desp[valor]*
(tb_desp[centro.negocio]=AY$2)*
(tb_desp[nucleo]=AY17)*
(tb_desp[data.pagamento]&gt;='n&amp;cn'!$C$1)*
(tb_desp[data.pagamento]&lt;='n&amp;cn'!$C$2)
))</f>
        <v/>
      </c>
      <c r="AY17" s="267"/>
      <c r="AZ17" s="290" t="str" cm="1">
        <f t="array" ref="AZ17">IF(BA17="",
"",
SUMPRODUCT(
tb_desp[valor]*
(tb_desp[centro.negocio]=BA$2)*
(tb_desp[nucleo]=BA17)*
(tb_desp[data.pagamento]&gt;='n&amp;cn'!$C$1)*
(tb_desp[data.pagamento]&lt;='n&amp;cn'!$C$2)
))</f>
        <v/>
      </c>
      <c r="BA17" s="267"/>
      <c r="BB17" s="290" t="str" cm="1">
        <f t="array" ref="BB17">IF(BC17="",
"",
SUMPRODUCT(
tb_desp[valor]*
(tb_desp[centro.negocio]=BC$2)*
(tb_desp[nucleo]=BC17)*
(tb_desp[data.pagamento]&gt;='n&amp;cn'!$C$1)*
(tb_desp[data.pagamento]&lt;='n&amp;cn'!$C$2)
))</f>
        <v/>
      </c>
      <c r="BC17" s="267"/>
      <c r="BD17" s="290" t="str" cm="1">
        <f t="array" ref="BD17">IF(BE17="",
"",
SUMPRODUCT(
tb_desp[valor]*
(tb_desp[centro.negocio]=BE$2)*
(tb_desp[nucleo]=BE17)*
(tb_desp[data.pagamento]&gt;='n&amp;cn'!$C$1)*
(tb_desp[data.pagamento]&lt;='n&amp;cn'!$C$2)
))</f>
        <v/>
      </c>
      <c r="BE17" s="267"/>
      <c r="BF17" s="290" t="str" cm="1">
        <f t="array" ref="BF17">IF(BG17="",
"",
SUMPRODUCT(
tb_desp[valor]*
(tb_desp[centro.negocio]=BG$2)*
(tb_desp[nucleo]=BG17)*
(tb_desp[data.pagamento]&gt;='n&amp;cn'!$C$1)*
(tb_desp[data.pagamento]&lt;='n&amp;cn'!$C$2)
))</f>
        <v/>
      </c>
      <c r="BG17" s="267"/>
      <c r="BH17" s="290" t="str" cm="1">
        <f t="array" ref="BH17">IF(BI17="",
"",
SUMPRODUCT(
tb_desp[valor]*
(tb_desp[centro.negocio]=BI$2)*
(tb_desp[nucleo]=BI17)*
(tb_desp[data.pagamento]&gt;='n&amp;cn'!$C$1)*
(tb_desp[data.pagamento]&lt;='n&amp;cn'!$C$2)
))</f>
        <v/>
      </c>
      <c r="BI17" s="267"/>
      <c r="BJ17" s="290" t="str" cm="1">
        <f t="array" ref="BJ17">IF(BK17="",
"",
SUMPRODUCT(
tb_desp[valor]*
(tb_desp[centro.negocio]=BK$2)*
(tb_desp[nucleo]=BK17)*
(tb_desp[data.pagamento]&gt;='n&amp;cn'!$C$1)*
(tb_desp[data.pagamento]&lt;='n&amp;cn'!$C$2)
))</f>
        <v/>
      </c>
      <c r="BK17" s="267"/>
      <c r="BL17" s="290" t="str" cm="1">
        <f t="array" ref="BL17">IF(BM17="",
"",
SUMPRODUCT(
tb_desp[valor]*
(tb_desp[centro.negocio]=BM$2)*
(tb_desp[nucleo]=BM17)*
(tb_desp[data.pagamento]&gt;='n&amp;cn'!$C$1)*
(tb_desp[data.pagamento]&lt;='n&amp;cn'!$C$2)
))</f>
        <v/>
      </c>
      <c r="BM17" s="267"/>
      <c r="BN17" s="290" t="str" cm="1">
        <f t="array" ref="BN17">IF(BO17="",
"",
SUMPRODUCT(
tb_desp[valor]*
(tb_desp[centro.negocio]=BO$2)*
(tb_desp[nucleo]=BO17)*
(tb_desp[data.pagamento]&gt;='n&amp;cn'!$C$1)*
(tb_desp[data.pagamento]&lt;='n&amp;cn'!$C$2)
))</f>
        <v/>
      </c>
      <c r="BO17" s="267"/>
    </row>
    <row r="18" spans="1:67" x14ac:dyDescent="0.25">
      <c r="A18">
        <f t="shared" si="2"/>
        <v>11</v>
      </c>
      <c r="B18" s="161"/>
      <c r="C18" s="163"/>
      <c r="D18" s="164"/>
      <c r="E18" s="167" t="e">
        <f t="shared" si="0"/>
        <v>#DIV/0!</v>
      </c>
      <c r="F18" s="167" t="e">
        <f>SUM($E$8:$E18)</f>
        <v>#DIV/0!</v>
      </c>
      <c r="G18" s="167"/>
      <c r="H18" s="168"/>
      <c r="I18" s="163">
        <f t="shared" si="3"/>
        <v>11</v>
      </c>
      <c r="K18" s="164"/>
      <c r="L18" s="167" t="e">
        <f t="shared" si="1"/>
        <v>#DIV/0!</v>
      </c>
      <c r="M18" s="167" t="e">
        <f>SUM($L$8:$L18)</f>
        <v>#DIV/0!</v>
      </c>
      <c r="R18" s="290" t="str" cm="1">
        <f t="array" ref="R18">IF(S18="",
"",
SUMPRODUCT(
tb_desp[valor]*
(tb_desp[centro.negocio]=S$2)*
(tb_desp[nucleo]=S18)*
(tb_desp[data.pagamento]&gt;='n&amp;cn'!$C$1)*
(tb_desp[data.pagamento]&lt;='n&amp;cn'!$C$2)
))</f>
        <v/>
      </c>
      <c r="S18" s="267"/>
      <c r="T18" s="290" t="str" cm="1">
        <f t="array" ref="T18">IF(U18="",
"",
SUMPRODUCT(
tb_desp[valor]*
(tb_desp[centro.negocio]=U$2)*
(tb_desp[nucleo]=U18)*
(tb_desp[data.pagamento]&gt;='n&amp;cn'!$C$1)*
(tb_desp[data.pagamento]&lt;='n&amp;cn'!$C$2)
))</f>
        <v/>
      </c>
      <c r="U18" s="267"/>
      <c r="V18" s="290" t="str" cm="1">
        <f t="array" ref="V18">IF(W18="",
"",
SUMPRODUCT(
tb_desp[valor]*
(tb_desp[centro.negocio]=W$2)*
(tb_desp[nucleo]=W18)*
(tb_desp[data.pagamento]&gt;='n&amp;cn'!$C$1)*
(tb_desp[data.pagamento]&lt;='n&amp;cn'!$C$2)
))</f>
        <v/>
      </c>
      <c r="W18" s="267"/>
      <c r="X18" s="290" t="str" cm="1">
        <f t="array" ref="X18">IF(Y18="",
"",
SUMPRODUCT(
tb_desp[valor]*
(tb_desp[centro.negocio]=Y$2)*
(tb_desp[nucleo]=Y18)*
(tb_desp[data.pagamento]&gt;='n&amp;cn'!$C$1)*
(tb_desp[data.pagamento]&lt;='n&amp;cn'!$C$2)
))</f>
        <v/>
      </c>
      <c r="Y18" s="267"/>
      <c r="Z18" s="290" t="str" cm="1">
        <f t="array" ref="Z18">IF(AA18="",
"",
SUMPRODUCT(
tb_desp[valor]*
(tb_desp[centro.negocio]=AA$2)*
(tb_desp[nucleo]=AA18)*
(tb_desp[data.pagamento]&gt;='n&amp;cn'!$C$1)*
(tb_desp[data.pagamento]&lt;='n&amp;cn'!$C$2)
))</f>
        <v/>
      </c>
      <c r="AA18" s="267"/>
      <c r="AB18" s="290" t="str" cm="1">
        <f t="array" ref="AB18">IF(AC18="",
"",
SUMPRODUCT(
tb_desp[valor]*
(tb_desp[centro.negocio]=AC$2)*
(tb_desp[nucleo]=AC18)*
(tb_desp[data.pagamento]&gt;='n&amp;cn'!$C$1)*
(tb_desp[data.pagamento]&lt;='n&amp;cn'!$C$2)
))</f>
        <v/>
      </c>
      <c r="AC18" s="267"/>
      <c r="AD18" s="290" t="str" cm="1">
        <f t="array" ref="AD18">IF(AE18="",
"",
SUMPRODUCT(
tb_desp[valor]*
(tb_desp[centro.negocio]=AE$2)*
(tb_desp[nucleo]=AE18)*
(tb_desp[data.pagamento]&gt;='n&amp;cn'!$C$1)*
(tb_desp[data.pagamento]&lt;='n&amp;cn'!$C$2)
))</f>
        <v/>
      </c>
      <c r="AE18" s="267"/>
      <c r="AF18" s="290" t="str" cm="1">
        <f t="array" ref="AF18">IF(AG18="",
"",
SUMPRODUCT(
tb_desp[valor]*
(tb_desp[centro.negocio]=AG$2)*
(tb_desp[nucleo]=AG18)*
(tb_desp[data.pagamento]&gt;='n&amp;cn'!$C$1)*
(tb_desp[data.pagamento]&lt;='n&amp;cn'!$C$2)
))</f>
        <v/>
      </c>
      <c r="AG18" s="267"/>
      <c r="AH18" s="290" t="str" cm="1">
        <f t="array" ref="AH18">IF(AI18="",
"",
SUMPRODUCT(
tb_desp[valor]*
(tb_desp[centro.negocio]=AI$2)*
(tb_desp[nucleo]=AI18)*
(tb_desp[data.pagamento]&gt;='n&amp;cn'!$C$1)*
(tb_desp[data.pagamento]&lt;='n&amp;cn'!$C$2)
))</f>
        <v/>
      </c>
      <c r="AI18" s="267"/>
      <c r="AJ18" s="290" t="str" cm="1">
        <f t="array" ref="AJ18">IF(AK18="",
"",
SUMPRODUCT(
tb_desp[valor]*
(tb_desp[centro.negocio]=AK$2)*
(tb_desp[nucleo]=AK18)*
(tb_desp[data.pagamento]&gt;='n&amp;cn'!$C$1)*
(tb_desp[data.pagamento]&lt;='n&amp;cn'!$C$2)
))</f>
        <v/>
      </c>
      <c r="AK18" s="267"/>
      <c r="AL18" s="290" t="str" cm="1">
        <f t="array" ref="AL18">IF(AM18="",
"",
SUMPRODUCT(
tb_desp[valor]*
(tb_desp[centro.negocio]=AM$2)*
(tb_desp[nucleo]=AM18)*
(tb_desp[data.pagamento]&gt;='n&amp;cn'!$C$1)*
(tb_desp[data.pagamento]&lt;='n&amp;cn'!$C$2)
))</f>
        <v/>
      </c>
      <c r="AM18" s="267"/>
      <c r="AN18" s="290" t="str" cm="1">
        <f t="array" ref="AN18">IF(AO18="",
"",
SUMPRODUCT(
tb_desp[valor]*
(tb_desp[centro.negocio]=AO$2)*
(tb_desp[nucleo]=AO18)*
(tb_desp[data.pagamento]&gt;='n&amp;cn'!$C$1)*
(tb_desp[data.pagamento]&lt;='n&amp;cn'!$C$2)
))</f>
        <v/>
      </c>
      <c r="AO18" s="267"/>
      <c r="AP18" s="290" t="str" cm="1">
        <f t="array" ref="AP18">IF(AQ18="",
"",
SUMPRODUCT(
tb_desp[valor]*
(tb_desp[centro.negocio]=AQ$2)*
(tb_desp[nucleo]=AQ18)*
(tb_desp[data.pagamento]&gt;='n&amp;cn'!$C$1)*
(tb_desp[data.pagamento]&lt;='n&amp;cn'!$C$2)
))</f>
        <v/>
      </c>
      <c r="AQ18" s="267"/>
      <c r="AR18" s="290" t="str" cm="1">
        <f t="array" ref="AR18">IF(AS18="",
"",
SUMPRODUCT(
tb_desp[valor]*
(tb_desp[centro.negocio]=AS$2)*
(tb_desp[nucleo]=AS18)*
(tb_desp[data.pagamento]&gt;='n&amp;cn'!$C$1)*
(tb_desp[data.pagamento]&lt;='n&amp;cn'!$C$2)
))</f>
        <v/>
      </c>
      <c r="AS18" s="267"/>
      <c r="AT18" s="290" t="str" cm="1">
        <f t="array" ref="AT18">IF(AU18="",
"",
SUMPRODUCT(
tb_desp[valor]*
(tb_desp[centro.negocio]=AU$2)*
(tb_desp[nucleo]=AU18)*
(tb_desp[data.pagamento]&gt;='n&amp;cn'!$C$1)*
(tb_desp[data.pagamento]&lt;='n&amp;cn'!$C$2)
))</f>
        <v/>
      </c>
      <c r="AU18" s="267"/>
      <c r="AV18" s="290" t="str" cm="1">
        <f t="array" ref="AV18">IF(AW18="",
"",
SUMPRODUCT(
tb_desp[valor]*
(tb_desp[centro.negocio]=AW$2)*
(tb_desp[nucleo]=AW18)*
(tb_desp[data.pagamento]&gt;='n&amp;cn'!$C$1)*
(tb_desp[data.pagamento]&lt;='n&amp;cn'!$C$2)
))</f>
        <v/>
      </c>
      <c r="AW18" s="267"/>
      <c r="AX18" s="290" t="str" cm="1">
        <f t="array" ref="AX18">IF(AY18="",
"",
SUMPRODUCT(
tb_desp[valor]*
(tb_desp[centro.negocio]=AY$2)*
(tb_desp[nucleo]=AY18)*
(tb_desp[data.pagamento]&gt;='n&amp;cn'!$C$1)*
(tb_desp[data.pagamento]&lt;='n&amp;cn'!$C$2)
))</f>
        <v/>
      </c>
      <c r="AY18" s="267"/>
      <c r="AZ18" s="290" t="str" cm="1">
        <f t="array" ref="AZ18">IF(BA18="",
"",
SUMPRODUCT(
tb_desp[valor]*
(tb_desp[centro.negocio]=BA$2)*
(tb_desp[nucleo]=BA18)*
(tb_desp[data.pagamento]&gt;='n&amp;cn'!$C$1)*
(tb_desp[data.pagamento]&lt;='n&amp;cn'!$C$2)
))</f>
        <v/>
      </c>
      <c r="BA18" s="267"/>
      <c r="BB18" s="290" t="str" cm="1">
        <f t="array" ref="BB18">IF(BC18="",
"",
SUMPRODUCT(
tb_desp[valor]*
(tb_desp[centro.negocio]=BC$2)*
(tb_desp[nucleo]=BC18)*
(tb_desp[data.pagamento]&gt;='n&amp;cn'!$C$1)*
(tb_desp[data.pagamento]&lt;='n&amp;cn'!$C$2)
))</f>
        <v/>
      </c>
      <c r="BC18" s="267"/>
      <c r="BD18" s="290" t="str" cm="1">
        <f t="array" ref="BD18">IF(BE18="",
"",
SUMPRODUCT(
tb_desp[valor]*
(tb_desp[centro.negocio]=BE$2)*
(tb_desp[nucleo]=BE18)*
(tb_desp[data.pagamento]&gt;='n&amp;cn'!$C$1)*
(tb_desp[data.pagamento]&lt;='n&amp;cn'!$C$2)
))</f>
        <v/>
      </c>
      <c r="BE18" s="267"/>
      <c r="BF18" s="290" t="str" cm="1">
        <f t="array" ref="BF18">IF(BG18="",
"",
SUMPRODUCT(
tb_desp[valor]*
(tb_desp[centro.negocio]=BG$2)*
(tb_desp[nucleo]=BG18)*
(tb_desp[data.pagamento]&gt;='n&amp;cn'!$C$1)*
(tb_desp[data.pagamento]&lt;='n&amp;cn'!$C$2)
))</f>
        <v/>
      </c>
      <c r="BG18" s="267"/>
      <c r="BH18" s="290" t="str" cm="1">
        <f t="array" ref="BH18">IF(BI18="",
"",
SUMPRODUCT(
tb_desp[valor]*
(tb_desp[centro.negocio]=BI$2)*
(tb_desp[nucleo]=BI18)*
(tb_desp[data.pagamento]&gt;='n&amp;cn'!$C$1)*
(tb_desp[data.pagamento]&lt;='n&amp;cn'!$C$2)
))</f>
        <v/>
      </c>
      <c r="BI18" s="267"/>
      <c r="BJ18" s="290" t="str" cm="1">
        <f t="array" ref="BJ18">IF(BK18="",
"",
SUMPRODUCT(
tb_desp[valor]*
(tb_desp[centro.negocio]=BK$2)*
(tb_desp[nucleo]=BK18)*
(tb_desp[data.pagamento]&gt;='n&amp;cn'!$C$1)*
(tb_desp[data.pagamento]&lt;='n&amp;cn'!$C$2)
))</f>
        <v/>
      </c>
      <c r="BK18" s="267"/>
      <c r="BL18" s="290" t="str" cm="1">
        <f t="array" ref="BL18">IF(BM18="",
"",
SUMPRODUCT(
tb_desp[valor]*
(tb_desp[centro.negocio]=BM$2)*
(tb_desp[nucleo]=BM18)*
(tb_desp[data.pagamento]&gt;='n&amp;cn'!$C$1)*
(tb_desp[data.pagamento]&lt;='n&amp;cn'!$C$2)
))</f>
        <v/>
      </c>
      <c r="BM18" s="267"/>
      <c r="BN18" s="290" t="str" cm="1">
        <f t="array" ref="BN18">IF(BO18="",
"",
SUMPRODUCT(
tb_desp[valor]*
(tb_desp[centro.negocio]=BO$2)*
(tb_desp[nucleo]=BO18)*
(tb_desp[data.pagamento]&gt;='n&amp;cn'!$C$1)*
(tb_desp[data.pagamento]&lt;='n&amp;cn'!$C$2)
))</f>
        <v/>
      </c>
      <c r="BO18" s="267"/>
    </row>
    <row r="19" spans="1:67" x14ac:dyDescent="0.25">
      <c r="A19">
        <f t="shared" si="2"/>
        <v>12</v>
      </c>
      <c r="B19" s="161"/>
      <c r="C19" s="163"/>
      <c r="D19" s="164"/>
      <c r="E19" s="167" t="e">
        <f t="shared" si="0"/>
        <v>#DIV/0!</v>
      </c>
      <c r="F19" s="167" t="e">
        <f>SUM($E$8:$E19)</f>
        <v>#DIV/0!</v>
      </c>
      <c r="G19" s="167"/>
      <c r="H19" s="168"/>
      <c r="I19" s="163">
        <f t="shared" si="3"/>
        <v>12</v>
      </c>
      <c r="K19" s="164"/>
      <c r="L19" s="167" t="e">
        <f t="shared" si="1"/>
        <v>#DIV/0!</v>
      </c>
      <c r="M19" s="167" t="e">
        <f>SUM($L$8:$L19)</f>
        <v>#DIV/0!</v>
      </c>
      <c r="R19" s="290" t="str" cm="1">
        <f t="array" ref="R19">IF(S19="",
"",
SUMPRODUCT(
tb_desp[valor]*
(tb_desp[centro.negocio]=S$2)*
(tb_desp[nucleo]=S19)*
(tb_desp[data.pagamento]&gt;='n&amp;cn'!$C$1)*
(tb_desp[data.pagamento]&lt;='n&amp;cn'!$C$2)
))</f>
        <v/>
      </c>
      <c r="S19" s="267"/>
      <c r="T19" s="290" t="str" cm="1">
        <f t="array" ref="T19">IF(U19="",
"",
SUMPRODUCT(
tb_desp[valor]*
(tb_desp[centro.negocio]=U$2)*
(tb_desp[nucleo]=U19)*
(tb_desp[data.pagamento]&gt;='n&amp;cn'!$C$1)*
(tb_desp[data.pagamento]&lt;='n&amp;cn'!$C$2)
))</f>
        <v/>
      </c>
      <c r="U19" s="267"/>
      <c r="V19" s="290" t="str" cm="1">
        <f t="array" ref="V19">IF(W19="",
"",
SUMPRODUCT(
tb_desp[valor]*
(tb_desp[centro.negocio]=W$2)*
(tb_desp[nucleo]=W19)*
(tb_desp[data.pagamento]&gt;='n&amp;cn'!$C$1)*
(tb_desp[data.pagamento]&lt;='n&amp;cn'!$C$2)
))</f>
        <v/>
      </c>
      <c r="W19" s="267"/>
      <c r="X19" s="290" t="str" cm="1">
        <f t="array" ref="X19">IF(Y19="",
"",
SUMPRODUCT(
tb_desp[valor]*
(tb_desp[centro.negocio]=Y$2)*
(tb_desp[nucleo]=Y19)*
(tb_desp[data.pagamento]&gt;='n&amp;cn'!$C$1)*
(tb_desp[data.pagamento]&lt;='n&amp;cn'!$C$2)
))</f>
        <v/>
      </c>
      <c r="Y19" s="267"/>
      <c r="Z19" s="290" t="str" cm="1">
        <f t="array" ref="Z19">IF(AA19="",
"",
SUMPRODUCT(
tb_desp[valor]*
(tb_desp[centro.negocio]=AA$2)*
(tb_desp[nucleo]=AA19)*
(tb_desp[data.pagamento]&gt;='n&amp;cn'!$C$1)*
(tb_desp[data.pagamento]&lt;='n&amp;cn'!$C$2)
))</f>
        <v/>
      </c>
      <c r="AA19" s="267"/>
      <c r="AB19" s="290" t="str" cm="1">
        <f t="array" ref="AB19">IF(AC19="",
"",
SUMPRODUCT(
tb_desp[valor]*
(tb_desp[centro.negocio]=AC$2)*
(tb_desp[nucleo]=AC19)*
(tb_desp[data.pagamento]&gt;='n&amp;cn'!$C$1)*
(tb_desp[data.pagamento]&lt;='n&amp;cn'!$C$2)
))</f>
        <v/>
      </c>
      <c r="AC19" s="267"/>
      <c r="AD19" s="290" t="str" cm="1">
        <f t="array" ref="AD19">IF(AE19="",
"",
SUMPRODUCT(
tb_desp[valor]*
(tb_desp[centro.negocio]=AE$2)*
(tb_desp[nucleo]=AE19)*
(tb_desp[data.pagamento]&gt;='n&amp;cn'!$C$1)*
(tb_desp[data.pagamento]&lt;='n&amp;cn'!$C$2)
))</f>
        <v/>
      </c>
      <c r="AE19" s="267"/>
      <c r="AF19" s="290" t="str" cm="1">
        <f t="array" ref="AF19">IF(AG19="",
"",
SUMPRODUCT(
tb_desp[valor]*
(tb_desp[centro.negocio]=AG$2)*
(tb_desp[nucleo]=AG19)*
(tb_desp[data.pagamento]&gt;='n&amp;cn'!$C$1)*
(tb_desp[data.pagamento]&lt;='n&amp;cn'!$C$2)
))</f>
        <v/>
      </c>
      <c r="AG19" s="267"/>
      <c r="AH19" s="290" t="str" cm="1">
        <f t="array" ref="AH19">IF(AI19="",
"",
SUMPRODUCT(
tb_desp[valor]*
(tb_desp[centro.negocio]=AI$2)*
(tb_desp[nucleo]=AI19)*
(tb_desp[data.pagamento]&gt;='n&amp;cn'!$C$1)*
(tb_desp[data.pagamento]&lt;='n&amp;cn'!$C$2)
))</f>
        <v/>
      </c>
      <c r="AI19" s="267"/>
      <c r="AJ19" s="290" t="str" cm="1">
        <f t="array" ref="AJ19">IF(AK19="",
"",
SUMPRODUCT(
tb_desp[valor]*
(tb_desp[centro.negocio]=AK$2)*
(tb_desp[nucleo]=AK19)*
(tb_desp[data.pagamento]&gt;='n&amp;cn'!$C$1)*
(tb_desp[data.pagamento]&lt;='n&amp;cn'!$C$2)
))</f>
        <v/>
      </c>
      <c r="AK19" s="267"/>
      <c r="AL19" s="290" t="str" cm="1">
        <f t="array" ref="AL19">IF(AM19="",
"",
SUMPRODUCT(
tb_desp[valor]*
(tb_desp[centro.negocio]=AM$2)*
(tb_desp[nucleo]=AM19)*
(tb_desp[data.pagamento]&gt;='n&amp;cn'!$C$1)*
(tb_desp[data.pagamento]&lt;='n&amp;cn'!$C$2)
))</f>
        <v/>
      </c>
      <c r="AM19" s="267"/>
      <c r="AN19" s="290" t="str" cm="1">
        <f t="array" ref="AN19">IF(AO19="",
"",
SUMPRODUCT(
tb_desp[valor]*
(tb_desp[centro.negocio]=AO$2)*
(tb_desp[nucleo]=AO19)*
(tb_desp[data.pagamento]&gt;='n&amp;cn'!$C$1)*
(tb_desp[data.pagamento]&lt;='n&amp;cn'!$C$2)
))</f>
        <v/>
      </c>
      <c r="AO19" s="267"/>
      <c r="AP19" s="290" t="str" cm="1">
        <f t="array" ref="AP19">IF(AQ19="",
"",
SUMPRODUCT(
tb_desp[valor]*
(tb_desp[centro.negocio]=AQ$2)*
(tb_desp[nucleo]=AQ19)*
(tb_desp[data.pagamento]&gt;='n&amp;cn'!$C$1)*
(tb_desp[data.pagamento]&lt;='n&amp;cn'!$C$2)
))</f>
        <v/>
      </c>
      <c r="AQ19" s="267"/>
      <c r="AR19" s="290" t="str" cm="1">
        <f t="array" ref="AR19">IF(AS19="",
"",
SUMPRODUCT(
tb_desp[valor]*
(tb_desp[centro.negocio]=AS$2)*
(tb_desp[nucleo]=AS19)*
(tb_desp[data.pagamento]&gt;='n&amp;cn'!$C$1)*
(tb_desp[data.pagamento]&lt;='n&amp;cn'!$C$2)
))</f>
        <v/>
      </c>
      <c r="AS19" s="267"/>
      <c r="AT19" s="290" t="str" cm="1">
        <f t="array" ref="AT19">IF(AU19="",
"",
SUMPRODUCT(
tb_desp[valor]*
(tb_desp[centro.negocio]=AU$2)*
(tb_desp[nucleo]=AU19)*
(tb_desp[data.pagamento]&gt;='n&amp;cn'!$C$1)*
(tb_desp[data.pagamento]&lt;='n&amp;cn'!$C$2)
))</f>
        <v/>
      </c>
      <c r="AU19" s="267"/>
      <c r="AV19" s="290" t="str" cm="1">
        <f t="array" ref="AV19">IF(AW19="",
"",
SUMPRODUCT(
tb_desp[valor]*
(tb_desp[centro.negocio]=AW$2)*
(tb_desp[nucleo]=AW19)*
(tb_desp[data.pagamento]&gt;='n&amp;cn'!$C$1)*
(tb_desp[data.pagamento]&lt;='n&amp;cn'!$C$2)
))</f>
        <v/>
      </c>
      <c r="AW19" s="267"/>
      <c r="AX19" s="290" t="str" cm="1">
        <f t="array" ref="AX19">IF(AY19="",
"",
SUMPRODUCT(
tb_desp[valor]*
(tb_desp[centro.negocio]=AY$2)*
(tb_desp[nucleo]=AY19)*
(tb_desp[data.pagamento]&gt;='n&amp;cn'!$C$1)*
(tb_desp[data.pagamento]&lt;='n&amp;cn'!$C$2)
))</f>
        <v/>
      </c>
      <c r="AY19" s="267"/>
      <c r="AZ19" s="290" t="str" cm="1">
        <f t="array" ref="AZ19">IF(BA19="",
"",
SUMPRODUCT(
tb_desp[valor]*
(tb_desp[centro.negocio]=BA$2)*
(tb_desp[nucleo]=BA19)*
(tb_desp[data.pagamento]&gt;='n&amp;cn'!$C$1)*
(tb_desp[data.pagamento]&lt;='n&amp;cn'!$C$2)
))</f>
        <v/>
      </c>
      <c r="BA19" s="267"/>
      <c r="BB19" s="290" t="str" cm="1">
        <f t="array" ref="BB19">IF(BC19="",
"",
SUMPRODUCT(
tb_desp[valor]*
(tb_desp[centro.negocio]=BC$2)*
(tb_desp[nucleo]=BC19)*
(tb_desp[data.pagamento]&gt;='n&amp;cn'!$C$1)*
(tb_desp[data.pagamento]&lt;='n&amp;cn'!$C$2)
))</f>
        <v/>
      </c>
      <c r="BC19" s="267"/>
      <c r="BD19" s="290" t="str" cm="1">
        <f t="array" ref="BD19">IF(BE19="",
"",
SUMPRODUCT(
tb_desp[valor]*
(tb_desp[centro.negocio]=BE$2)*
(tb_desp[nucleo]=BE19)*
(tb_desp[data.pagamento]&gt;='n&amp;cn'!$C$1)*
(tb_desp[data.pagamento]&lt;='n&amp;cn'!$C$2)
))</f>
        <v/>
      </c>
      <c r="BE19" s="267"/>
      <c r="BF19" s="290" t="str" cm="1">
        <f t="array" ref="BF19">IF(BG19="",
"",
SUMPRODUCT(
tb_desp[valor]*
(tb_desp[centro.negocio]=BG$2)*
(tb_desp[nucleo]=BG19)*
(tb_desp[data.pagamento]&gt;='n&amp;cn'!$C$1)*
(tb_desp[data.pagamento]&lt;='n&amp;cn'!$C$2)
))</f>
        <v/>
      </c>
      <c r="BG19" s="267"/>
      <c r="BH19" s="290" t="str" cm="1">
        <f t="array" ref="BH19">IF(BI19="",
"",
SUMPRODUCT(
tb_desp[valor]*
(tb_desp[centro.negocio]=BI$2)*
(tb_desp[nucleo]=BI19)*
(tb_desp[data.pagamento]&gt;='n&amp;cn'!$C$1)*
(tb_desp[data.pagamento]&lt;='n&amp;cn'!$C$2)
))</f>
        <v/>
      </c>
      <c r="BI19" s="267"/>
      <c r="BJ19" s="290" t="str" cm="1">
        <f t="array" ref="BJ19">IF(BK19="",
"",
SUMPRODUCT(
tb_desp[valor]*
(tb_desp[centro.negocio]=BK$2)*
(tb_desp[nucleo]=BK19)*
(tb_desp[data.pagamento]&gt;='n&amp;cn'!$C$1)*
(tb_desp[data.pagamento]&lt;='n&amp;cn'!$C$2)
))</f>
        <v/>
      </c>
      <c r="BK19" s="267"/>
      <c r="BL19" s="290" t="str" cm="1">
        <f t="array" ref="BL19">IF(BM19="",
"",
SUMPRODUCT(
tb_desp[valor]*
(tb_desp[centro.negocio]=BM$2)*
(tb_desp[nucleo]=BM19)*
(tb_desp[data.pagamento]&gt;='n&amp;cn'!$C$1)*
(tb_desp[data.pagamento]&lt;='n&amp;cn'!$C$2)
))</f>
        <v/>
      </c>
      <c r="BM19" s="267"/>
      <c r="BN19" s="290" t="str" cm="1">
        <f t="array" ref="BN19">IF(BO19="",
"",
SUMPRODUCT(
tb_desp[valor]*
(tb_desp[centro.negocio]=BO$2)*
(tb_desp[nucleo]=BO19)*
(tb_desp[data.pagamento]&gt;='n&amp;cn'!$C$1)*
(tb_desp[data.pagamento]&lt;='n&amp;cn'!$C$2)
))</f>
        <v/>
      </c>
      <c r="BO19" s="267"/>
    </row>
    <row r="20" spans="1:67" x14ac:dyDescent="0.25">
      <c r="A20">
        <f t="shared" si="2"/>
        <v>13</v>
      </c>
      <c r="B20" s="161"/>
      <c r="C20" s="163"/>
      <c r="D20" s="164"/>
      <c r="E20" s="167" t="e">
        <f t="shared" si="0"/>
        <v>#DIV/0!</v>
      </c>
      <c r="F20" s="167" t="e">
        <f>SUM($E$8:$E20)</f>
        <v>#DIV/0!</v>
      </c>
      <c r="G20" s="167"/>
      <c r="H20" s="168"/>
      <c r="I20" s="163">
        <f t="shared" si="3"/>
        <v>13</v>
      </c>
      <c r="K20" s="164"/>
      <c r="L20" s="167" t="e">
        <f t="shared" si="1"/>
        <v>#DIV/0!</v>
      </c>
      <c r="M20" s="167" t="e">
        <f>SUM($L$8:$L20)</f>
        <v>#DIV/0!</v>
      </c>
      <c r="R20" s="290" t="str" cm="1">
        <f t="array" ref="R20">IF(S20="",
"",
SUMPRODUCT(
tb_desp[valor]*
(tb_desp[centro.negocio]=S$2)*
(tb_desp[nucleo]=S20)*
(tb_desp[data.pagamento]&gt;='n&amp;cn'!$C$1)*
(tb_desp[data.pagamento]&lt;='n&amp;cn'!$C$2)
))</f>
        <v/>
      </c>
      <c r="S20" s="267"/>
      <c r="T20" s="290" t="str" cm="1">
        <f t="array" ref="T20">IF(U20="",
"",
SUMPRODUCT(
tb_desp[valor]*
(tb_desp[centro.negocio]=U$2)*
(tb_desp[nucleo]=U20)*
(tb_desp[data.pagamento]&gt;='n&amp;cn'!$C$1)*
(tb_desp[data.pagamento]&lt;='n&amp;cn'!$C$2)
))</f>
        <v/>
      </c>
      <c r="U20" s="267"/>
      <c r="V20" s="290" t="str" cm="1">
        <f t="array" ref="V20">IF(W20="",
"",
SUMPRODUCT(
tb_desp[valor]*
(tb_desp[centro.negocio]=W$2)*
(tb_desp[nucleo]=W20)*
(tb_desp[data.pagamento]&gt;='n&amp;cn'!$C$1)*
(tb_desp[data.pagamento]&lt;='n&amp;cn'!$C$2)
))</f>
        <v/>
      </c>
      <c r="W20" s="267"/>
      <c r="X20" s="290" t="str" cm="1">
        <f t="array" ref="X20">IF(Y20="",
"",
SUMPRODUCT(
tb_desp[valor]*
(tb_desp[centro.negocio]=Y$2)*
(tb_desp[nucleo]=Y20)*
(tb_desp[data.pagamento]&gt;='n&amp;cn'!$C$1)*
(tb_desp[data.pagamento]&lt;='n&amp;cn'!$C$2)
))</f>
        <v/>
      </c>
      <c r="Y20" s="267"/>
      <c r="Z20" s="290" t="str" cm="1">
        <f t="array" ref="Z20">IF(AA20="",
"",
SUMPRODUCT(
tb_desp[valor]*
(tb_desp[centro.negocio]=AA$2)*
(tb_desp[nucleo]=AA20)*
(tb_desp[data.pagamento]&gt;='n&amp;cn'!$C$1)*
(tb_desp[data.pagamento]&lt;='n&amp;cn'!$C$2)
))</f>
        <v/>
      </c>
      <c r="AA20" s="267"/>
      <c r="AB20" s="290" t="str" cm="1">
        <f t="array" ref="AB20">IF(AC20="",
"",
SUMPRODUCT(
tb_desp[valor]*
(tb_desp[centro.negocio]=AC$2)*
(tb_desp[nucleo]=AC20)*
(tb_desp[data.pagamento]&gt;='n&amp;cn'!$C$1)*
(tb_desp[data.pagamento]&lt;='n&amp;cn'!$C$2)
))</f>
        <v/>
      </c>
      <c r="AC20" s="267"/>
      <c r="AD20" s="290" t="str" cm="1">
        <f t="array" ref="AD20">IF(AE20="",
"",
SUMPRODUCT(
tb_desp[valor]*
(tb_desp[centro.negocio]=AE$2)*
(tb_desp[nucleo]=AE20)*
(tb_desp[data.pagamento]&gt;='n&amp;cn'!$C$1)*
(tb_desp[data.pagamento]&lt;='n&amp;cn'!$C$2)
))</f>
        <v/>
      </c>
      <c r="AE20" s="267"/>
      <c r="AF20" s="290" t="str" cm="1">
        <f t="array" ref="AF20">IF(AG20="",
"",
SUMPRODUCT(
tb_desp[valor]*
(tb_desp[centro.negocio]=AG$2)*
(tb_desp[nucleo]=AG20)*
(tb_desp[data.pagamento]&gt;='n&amp;cn'!$C$1)*
(tb_desp[data.pagamento]&lt;='n&amp;cn'!$C$2)
))</f>
        <v/>
      </c>
      <c r="AG20" s="267"/>
      <c r="AH20" s="290" t="str" cm="1">
        <f t="array" ref="AH20">IF(AI20="",
"",
SUMPRODUCT(
tb_desp[valor]*
(tb_desp[centro.negocio]=AI$2)*
(tb_desp[nucleo]=AI20)*
(tb_desp[data.pagamento]&gt;='n&amp;cn'!$C$1)*
(tb_desp[data.pagamento]&lt;='n&amp;cn'!$C$2)
))</f>
        <v/>
      </c>
      <c r="AI20" s="267"/>
      <c r="AJ20" s="290" t="str" cm="1">
        <f t="array" ref="AJ20">IF(AK20="",
"",
SUMPRODUCT(
tb_desp[valor]*
(tb_desp[centro.negocio]=AK$2)*
(tb_desp[nucleo]=AK20)*
(tb_desp[data.pagamento]&gt;='n&amp;cn'!$C$1)*
(tb_desp[data.pagamento]&lt;='n&amp;cn'!$C$2)
))</f>
        <v/>
      </c>
      <c r="AK20" s="267"/>
      <c r="AL20" s="290" t="str" cm="1">
        <f t="array" ref="AL20">IF(AM20="",
"",
SUMPRODUCT(
tb_desp[valor]*
(tb_desp[centro.negocio]=AM$2)*
(tb_desp[nucleo]=AM20)*
(tb_desp[data.pagamento]&gt;='n&amp;cn'!$C$1)*
(tb_desp[data.pagamento]&lt;='n&amp;cn'!$C$2)
))</f>
        <v/>
      </c>
      <c r="AM20" s="267"/>
      <c r="AN20" s="290" t="str" cm="1">
        <f t="array" ref="AN20">IF(AO20="",
"",
SUMPRODUCT(
tb_desp[valor]*
(tb_desp[centro.negocio]=AO$2)*
(tb_desp[nucleo]=AO20)*
(tb_desp[data.pagamento]&gt;='n&amp;cn'!$C$1)*
(tb_desp[data.pagamento]&lt;='n&amp;cn'!$C$2)
))</f>
        <v/>
      </c>
      <c r="AO20" s="267"/>
      <c r="AP20" s="290" t="str" cm="1">
        <f t="array" ref="AP20">IF(AQ20="",
"",
SUMPRODUCT(
tb_desp[valor]*
(tb_desp[centro.negocio]=AQ$2)*
(tb_desp[nucleo]=AQ20)*
(tb_desp[data.pagamento]&gt;='n&amp;cn'!$C$1)*
(tb_desp[data.pagamento]&lt;='n&amp;cn'!$C$2)
))</f>
        <v/>
      </c>
      <c r="AQ20" s="267"/>
      <c r="AR20" s="290" t="str" cm="1">
        <f t="array" ref="AR20">IF(AS20="",
"",
SUMPRODUCT(
tb_desp[valor]*
(tb_desp[centro.negocio]=AS$2)*
(tb_desp[nucleo]=AS20)*
(tb_desp[data.pagamento]&gt;='n&amp;cn'!$C$1)*
(tb_desp[data.pagamento]&lt;='n&amp;cn'!$C$2)
))</f>
        <v/>
      </c>
      <c r="AS20" s="267"/>
      <c r="AT20" s="290" t="str" cm="1">
        <f t="array" ref="AT20">IF(AU20="",
"",
SUMPRODUCT(
tb_desp[valor]*
(tb_desp[centro.negocio]=AU$2)*
(tb_desp[nucleo]=AU20)*
(tb_desp[data.pagamento]&gt;='n&amp;cn'!$C$1)*
(tb_desp[data.pagamento]&lt;='n&amp;cn'!$C$2)
))</f>
        <v/>
      </c>
      <c r="AU20" s="267"/>
      <c r="AV20" s="290" t="str" cm="1">
        <f t="array" ref="AV20">IF(AW20="",
"",
SUMPRODUCT(
tb_desp[valor]*
(tb_desp[centro.negocio]=AW$2)*
(tb_desp[nucleo]=AW20)*
(tb_desp[data.pagamento]&gt;='n&amp;cn'!$C$1)*
(tb_desp[data.pagamento]&lt;='n&amp;cn'!$C$2)
))</f>
        <v/>
      </c>
      <c r="AW20" s="267"/>
      <c r="AX20" s="290" t="str" cm="1">
        <f t="array" ref="AX20">IF(AY20="",
"",
SUMPRODUCT(
tb_desp[valor]*
(tb_desp[centro.negocio]=AY$2)*
(tb_desp[nucleo]=AY20)*
(tb_desp[data.pagamento]&gt;='n&amp;cn'!$C$1)*
(tb_desp[data.pagamento]&lt;='n&amp;cn'!$C$2)
))</f>
        <v/>
      </c>
      <c r="AY20" s="267"/>
      <c r="AZ20" s="290" t="str" cm="1">
        <f t="array" ref="AZ20">IF(BA20="",
"",
SUMPRODUCT(
tb_desp[valor]*
(tb_desp[centro.negocio]=BA$2)*
(tb_desp[nucleo]=BA20)*
(tb_desp[data.pagamento]&gt;='n&amp;cn'!$C$1)*
(tb_desp[data.pagamento]&lt;='n&amp;cn'!$C$2)
))</f>
        <v/>
      </c>
      <c r="BA20" s="267"/>
      <c r="BB20" s="290" t="str" cm="1">
        <f t="array" ref="BB20">IF(BC20="",
"",
SUMPRODUCT(
tb_desp[valor]*
(tb_desp[centro.negocio]=BC$2)*
(tb_desp[nucleo]=BC20)*
(tb_desp[data.pagamento]&gt;='n&amp;cn'!$C$1)*
(tb_desp[data.pagamento]&lt;='n&amp;cn'!$C$2)
))</f>
        <v/>
      </c>
      <c r="BC20" s="267"/>
      <c r="BD20" s="290" t="str" cm="1">
        <f t="array" ref="BD20">IF(BE20="",
"",
SUMPRODUCT(
tb_desp[valor]*
(tb_desp[centro.negocio]=BE$2)*
(tb_desp[nucleo]=BE20)*
(tb_desp[data.pagamento]&gt;='n&amp;cn'!$C$1)*
(tb_desp[data.pagamento]&lt;='n&amp;cn'!$C$2)
))</f>
        <v/>
      </c>
      <c r="BE20" s="267"/>
      <c r="BF20" s="290" t="str" cm="1">
        <f t="array" ref="BF20">IF(BG20="",
"",
SUMPRODUCT(
tb_desp[valor]*
(tb_desp[centro.negocio]=BG$2)*
(tb_desp[nucleo]=BG20)*
(tb_desp[data.pagamento]&gt;='n&amp;cn'!$C$1)*
(tb_desp[data.pagamento]&lt;='n&amp;cn'!$C$2)
))</f>
        <v/>
      </c>
      <c r="BG20" s="267"/>
      <c r="BH20" s="290" t="str" cm="1">
        <f t="array" ref="BH20">IF(BI20="",
"",
SUMPRODUCT(
tb_desp[valor]*
(tb_desp[centro.negocio]=BI$2)*
(tb_desp[nucleo]=BI20)*
(tb_desp[data.pagamento]&gt;='n&amp;cn'!$C$1)*
(tb_desp[data.pagamento]&lt;='n&amp;cn'!$C$2)
))</f>
        <v/>
      </c>
      <c r="BI20" s="267"/>
      <c r="BJ20" s="290" t="str" cm="1">
        <f t="array" ref="BJ20">IF(BK20="",
"",
SUMPRODUCT(
tb_desp[valor]*
(tb_desp[centro.negocio]=BK$2)*
(tb_desp[nucleo]=BK20)*
(tb_desp[data.pagamento]&gt;='n&amp;cn'!$C$1)*
(tb_desp[data.pagamento]&lt;='n&amp;cn'!$C$2)
))</f>
        <v/>
      </c>
      <c r="BK20" s="267"/>
      <c r="BL20" s="290" t="str" cm="1">
        <f t="array" ref="BL20">IF(BM20="",
"",
SUMPRODUCT(
tb_desp[valor]*
(tb_desp[centro.negocio]=BM$2)*
(tb_desp[nucleo]=BM20)*
(tb_desp[data.pagamento]&gt;='n&amp;cn'!$C$1)*
(tb_desp[data.pagamento]&lt;='n&amp;cn'!$C$2)
))</f>
        <v/>
      </c>
      <c r="BM20" s="267"/>
      <c r="BN20" s="290" t="str" cm="1">
        <f t="array" ref="BN20">IF(BO20="",
"",
SUMPRODUCT(
tb_desp[valor]*
(tb_desp[centro.negocio]=BO$2)*
(tb_desp[nucleo]=BO20)*
(tb_desp[data.pagamento]&gt;='n&amp;cn'!$C$1)*
(tb_desp[data.pagamento]&lt;='n&amp;cn'!$C$2)
))</f>
        <v/>
      </c>
      <c r="BO20" s="267"/>
    </row>
    <row r="21" spans="1:67" x14ac:dyDescent="0.25">
      <c r="A21">
        <f t="shared" si="2"/>
        <v>14</v>
      </c>
      <c r="B21" s="161"/>
      <c r="C21" s="163"/>
      <c r="D21" s="164"/>
      <c r="E21" s="167" t="e">
        <f t="shared" si="0"/>
        <v>#DIV/0!</v>
      </c>
      <c r="F21" s="167" t="e">
        <f>SUM($E$8:$E21)</f>
        <v>#DIV/0!</v>
      </c>
      <c r="G21" s="167"/>
      <c r="H21" s="168"/>
      <c r="I21" s="163">
        <f t="shared" si="3"/>
        <v>14</v>
      </c>
      <c r="K21" s="164"/>
      <c r="L21" s="167" t="e">
        <f t="shared" si="1"/>
        <v>#DIV/0!</v>
      </c>
      <c r="M21" s="167" t="e">
        <f>SUM($L$8:$L21)</f>
        <v>#DIV/0!</v>
      </c>
      <c r="R21" s="290" t="str" cm="1">
        <f t="array" ref="R21">IF(S21="",
"",
SUMPRODUCT(
tb_desp[valor]*
(tb_desp[centro.negocio]=S$2)*
(tb_desp[nucleo]=S21)*
(tb_desp[data.pagamento]&gt;='n&amp;cn'!$C$1)*
(tb_desp[data.pagamento]&lt;='n&amp;cn'!$C$2)
))</f>
        <v/>
      </c>
      <c r="S21" s="267"/>
      <c r="T21" s="290" t="str" cm="1">
        <f t="array" ref="T21">IF(U21="",
"",
SUMPRODUCT(
tb_desp[valor]*
(tb_desp[centro.negocio]=U$2)*
(tb_desp[nucleo]=U21)*
(tb_desp[data.pagamento]&gt;='n&amp;cn'!$C$1)*
(tb_desp[data.pagamento]&lt;='n&amp;cn'!$C$2)
))</f>
        <v/>
      </c>
      <c r="U21" s="267"/>
      <c r="V21" s="290" t="str" cm="1">
        <f t="array" ref="V21">IF(W21="",
"",
SUMPRODUCT(
tb_desp[valor]*
(tb_desp[centro.negocio]=W$2)*
(tb_desp[nucleo]=W21)*
(tb_desp[data.pagamento]&gt;='n&amp;cn'!$C$1)*
(tb_desp[data.pagamento]&lt;='n&amp;cn'!$C$2)
))</f>
        <v/>
      </c>
      <c r="W21" s="267"/>
      <c r="X21" s="290" t="str" cm="1">
        <f t="array" ref="X21">IF(Y21="",
"",
SUMPRODUCT(
tb_desp[valor]*
(tb_desp[centro.negocio]=Y$2)*
(tb_desp[nucleo]=Y21)*
(tb_desp[data.pagamento]&gt;='n&amp;cn'!$C$1)*
(tb_desp[data.pagamento]&lt;='n&amp;cn'!$C$2)
))</f>
        <v/>
      </c>
      <c r="Y21" s="267"/>
      <c r="Z21" s="290" t="str" cm="1">
        <f t="array" ref="Z21">IF(AA21="",
"",
SUMPRODUCT(
tb_desp[valor]*
(tb_desp[centro.negocio]=AA$2)*
(tb_desp[nucleo]=AA21)*
(tb_desp[data.pagamento]&gt;='n&amp;cn'!$C$1)*
(tb_desp[data.pagamento]&lt;='n&amp;cn'!$C$2)
))</f>
        <v/>
      </c>
      <c r="AA21" s="267"/>
      <c r="AB21" s="290" t="str" cm="1">
        <f t="array" ref="AB21">IF(AC21="",
"",
SUMPRODUCT(
tb_desp[valor]*
(tb_desp[centro.negocio]=AC$2)*
(tb_desp[nucleo]=AC21)*
(tb_desp[data.pagamento]&gt;='n&amp;cn'!$C$1)*
(tb_desp[data.pagamento]&lt;='n&amp;cn'!$C$2)
))</f>
        <v/>
      </c>
      <c r="AC21" s="267"/>
      <c r="AD21" s="290" t="str" cm="1">
        <f t="array" ref="AD21">IF(AE21="",
"",
SUMPRODUCT(
tb_desp[valor]*
(tb_desp[centro.negocio]=AE$2)*
(tb_desp[nucleo]=AE21)*
(tb_desp[data.pagamento]&gt;='n&amp;cn'!$C$1)*
(tb_desp[data.pagamento]&lt;='n&amp;cn'!$C$2)
))</f>
        <v/>
      </c>
      <c r="AE21" s="267"/>
      <c r="AF21" s="290" t="str" cm="1">
        <f t="array" ref="AF21">IF(AG21="",
"",
SUMPRODUCT(
tb_desp[valor]*
(tb_desp[centro.negocio]=AG$2)*
(tb_desp[nucleo]=AG21)*
(tb_desp[data.pagamento]&gt;='n&amp;cn'!$C$1)*
(tb_desp[data.pagamento]&lt;='n&amp;cn'!$C$2)
))</f>
        <v/>
      </c>
      <c r="AG21" s="267"/>
      <c r="AH21" s="290" t="str" cm="1">
        <f t="array" ref="AH21">IF(AI21="",
"",
SUMPRODUCT(
tb_desp[valor]*
(tb_desp[centro.negocio]=AI$2)*
(tb_desp[nucleo]=AI21)*
(tb_desp[data.pagamento]&gt;='n&amp;cn'!$C$1)*
(tb_desp[data.pagamento]&lt;='n&amp;cn'!$C$2)
))</f>
        <v/>
      </c>
      <c r="AI21" s="267"/>
      <c r="AJ21" s="290" t="str" cm="1">
        <f t="array" ref="AJ21">IF(AK21="",
"",
SUMPRODUCT(
tb_desp[valor]*
(tb_desp[centro.negocio]=AK$2)*
(tb_desp[nucleo]=AK21)*
(tb_desp[data.pagamento]&gt;='n&amp;cn'!$C$1)*
(tb_desp[data.pagamento]&lt;='n&amp;cn'!$C$2)
))</f>
        <v/>
      </c>
      <c r="AK21" s="267"/>
      <c r="AL21" s="290" t="str" cm="1">
        <f t="array" ref="AL21">IF(AM21="",
"",
SUMPRODUCT(
tb_desp[valor]*
(tb_desp[centro.negocio]=AM$2)*
(tb_desp[nucleo]=AM21)*
(tb_desp[data.pagamento]&gt;='n&amp;cn'!$C$1)*
(tb_desp[data.pagamento]&lt;='n&amp;cn'!$C$2)
))</f>
        <v/>
      </c>
      <c r="AM21" s="267"/>
      <c r="AN21" s="290" t="str" cm="1">
        <f t="array" ref="AN21">IF(AO21="",
"",
SUMPRODUCT(
tb_desp[valor]*
(tb_desp[centro.negocio]=AO$2)*
(tb_desp[nucleo]=AO21)*
(tb_desp[data.pagamento]&gt;='n&amp;cn'!$C$1)*
(tb_desp[data.pagamento]&lt;='n&amp;cn'!$C$2)
))</f>
        <v/>
      </c>
      <c r="AO21" s="267"/>
      <c r="AP21" s="290" t="str" cm="1">
        <f t="array" ref="AP21">IF(AQ21="",
"",
SUMPRODUCT(
tb_desp[valor]*
(tb_desp[centro.negocio]=AQ$2)*
(tb_desp[nucleo]=AQ21)*
(tb_desp[data.pagamento]&gt;='n&amp;cn'!$C$1)*
(tb_desp[data.pagamento]&lt;='n&amp;cn'!$C$2)
))</f>
        <v/>
      </c>
      <c r="AQ21" s="267"/>
      <c r="AR21" s="290" t="str" cm="1">
        <f t="array" ref="AR21">IF(AS21="",
"",
SUMPRODUCT(
tb_desp[valor]*
(tb_desp[centro.negocio]=AS$2)*
(tb_desp[nucleo]=AS21)*
(tb_desp[data.pagamento]&gt;='n&amp;cn'!$C$1)*
(tb_desp[data.pagamento]&lt;='n&amp;cn'!$C$2)
))</f>
        <v/>
      </c>
      <c r="AS21" s="267"/>
      <c r="AT21" s="290" t="str" cm="1">
        <f t="array" ref="AT21">IF(AU21="",
"",
SUMPRODUCT(
tb_desp[valor]*
(tb_desp[centro.negocio]=AU$2)*
(tb_desp[nucleo]=AU21)*
(tb_desp[data.pagamento]&gt;='n&amp;cn'!$C$1)*
(tb_desp[data.pagamento]&lt;='n&amp;cn'!$C$2)
))</f>
        <v/>
      </c>
      <c r="AU21" s="267"/>
      <c r="AV21" s="290" t="str" cm="1">
        <f t="array" ref="AV21">IF(AW21="",
"",
SUMPRODUCT(
tb_desp[valor]*
(tb_desp[centro.negocio]=AW$2)*
(tb_desp[nucleo]=AW21)*
(tb_desp[data.pagamento]&gt;='n&amp;cn'!$C$1)*
(tb_desp[data.pagamento]&lt;='n&amp;cn'!$C$2)
))</f>
        <v/>
      </c>
      <c r="AW21" s="267"/>
      <c r="AX21" s="290" t="str" cm="1">
        <f t="array" ref="AX21">IF(AY21="",
"",
SUMPRODUCT(
tb_desp[valor]*
(tb_desp[centro.negocio]=AY$2)*
(tb_desp[nucleo]=AY21)*
(tb_desp[data.pagamento]&gt;='n&amp;cn'!$C$1)*
(tb_desp[data.pagamento]&lt;='n&amp;cn'!$C$2)
))</f>
        <v/>
      </c>
      <c r="AY21" s="267"/>
      <c r="AZ21" s="290" t="str" cm="1">
        <f t="array" ref="AZ21">IF(BA21="",
"",
SUMPRODUCT(
tb_desp[valor]*
(tb_desp[centro.negocio]=BA$2)*
(tb_desp[nucleo]=BA21)*
(tb_desp[data.pagamento]&gt;='n&amp;cn'!$C$1)*
(tb_desp[data.pagamento]&lt;='n&amp;cn'!$C$2)
))</f>
        <v/>
      </c>
      <c r="BA21" s="267"/>
      <c r="BB21" s="290" t="str" cm="1">
        <f t="array" ref="BB21">IF(BC21="",
"",
SUMPRODUCT(
tb_desp[valor]*
(tb_desp[centro.negocio]=BC$2)*
(tb_desp[nucleo]=BC21)*
(tb_desp[data.pagamento]&gt;='n&amp;cn'!$C$1)*
(tb_desp[data.pagamento]&lt;='n&amp;cn'!$C$2)
))</f>
        <v/>
      </c>
      <c r="BC21" s="267"/>
      <c r="BD21" s="290" t="str" cm="1">
        <f t="array" ref="BD21">IF(BE21="",
"",
SUMPRODUCT(
tb_desp[valor]*
(tb_desp[centro.negocio]=BE$2)*
(tb_desp[nucleo]=BE21)*
(tb_desp[data.pagamento]&gt;='n&amp;cn'!$C$1)*
(tb_desp[data.pagamento]&lt;='n&amp;cn'!$C$2)
))</f>
        <v/>
      </c>
      <c r="BE21" s="267"/>
      <c r="BF21" s="290" t="str" cm="1">
        <f t="array" ref="BF21">IF(BG21="",
"",
SUMPRODUCT(
tb_desp[valor]*
(tb_desp[centro.negocio]=BG$2)*
(tb_desp[nucleo]=BG21)*
(tb_desp[data.pagamento]&gt;='n&amp;cn'!$C$1)*
(tb_desp[data.pagamento]&lt;='n&amp;cn'!$C$2)
))</f>
        <v/>
      </c>
      <c r="BG21" s="267"/>
      <c r="BH21" s="290" t="str" cm="1">
        <f t="array" ref="BH21">IF(BI21="",
"",
SUMPRODUCT(
tb_desp[valor]*
(tb_desp[centro.negocio]=BI$2)*
(tb_desp[nucleo]=BI21)*
(tb_desp[data.pagamento]&gt;='n&amp;cn'!$C$1)*
(tb_desp[data.pagamento]&lt;='n&amp;cn'!$C$2)
))</f>
        <v/>
      </c>
      <c r="BI21" s="267"/>
      <c r="BJ21" s="290" t="str" cm="1">
        <f t="array" ref="BJ21">IF(BK21="",
"",
SUMPRODUCT(
tb_desp[valor]*
(tb_desp[centro.negocio]=BK$2)*
(tb_desp[nucleo]=BK21)*
(tb_desp[data.pagamento]&gt;='n&amp;cn'!$C$1)*
(tb_desp[data.pagamento]&lt;='n&amp;cn'!$C$2)
))</f>
        <v/>
      </c>
      <c r="BK21" s="267"/>
      <c r="BL21" s="290" t="str" cm="1">
        <f t="array" ref="BL21">IF(BM21="",
"",
SUMPRODUCT(
tb_desp[valor]*
(tb_desp[centro.negocio]=BM$2)*
(tb_desp[nucleo]=BM21)*
(tb_desp[data.pagamento]&gt;='n&amp;cn'!$C$1)*
(tb_desp[data.pagamento]&lt;='n&amp;cn'!$C$2)
))</f>
        <v/>
      </c>
      <c r="BM21" s="267"/>
      <c r="BN21" s="290" t="str" cm="1">
        <f t="array" ref="BN21">IF(BO21="",
"",
SUMPRODUCT(
tb_desp[valor]*
(tb_desp[centro.negocio]=BO$2)*
(tb_desp[nucleo]=BO21)*
(tb_desp[data.pagamento]&gt;='n&amp;cn'!$C$1)*
(tb_desp[data.pagamento]&lt;='n&amp;cn'!$C$2)
))</f>
        <v/>
      </c>
      <c r="BO21" s="267"/>
    </row>
    <row r="22" spans="1:67" x14ac:dyDescent="0.25">
      <c r="A22">
        <f t="shared" si="2"/>
        <v>15</v>
      </c>
      <c r="B22" s="161"/>
      <c r="C22" s="163"/>
      <c r="D22" s="164"/>
      <c r="E22" s="167" t="e">
        <f t="shared" si="0"/>
        <v>#DIV/0!</v>
      </c>
      <c r="F22" s="167" t="e">
        <f>SUM($E$8:$E22)</f>
        <v>#DIV/0!</v>
      </c>
      <c r="G22" s="167"/>
      <c r="H22" s="168"/>
      <c r="I22" s="163">
        <f t="shared" si="3"/>
        <v>15</v>
      </c>
      <c r="K22" s="164"/>
      <c r="L22" s="167" t="e">
        <f t="shared" si="1"/>
        <v>#DIV/0!</v>
      </c>
      <c r="M22" s="167" t="e">
        <f>SUM($L$8:$L22)</f>
        <v>#DIV/0!</v>
      </c>
      <c r="R22" s="290" t="str" cm="1">
        <f t="array" ref="R22">IF(S22="",
"",
SUMPRODUCT(
tb_desp[valor]*
(tb_desp[centro.negocio]=S$2)*
(tb_desp[nucleo]=S22)*
(tb_desp[data.pagamento]&gt;='n&amp;cn'!$C$1)*
(tb_desp[data.pagamento]&lt;='n&amp;cn'!$C$2)
))</f>
        <v/>
      </c>
      <c r="S22" s="267"/>
      <c r="T22" s="290" t="str" cm="1">
        <f t="array" ref="T22">IF(U22="",
"",
SUMPRODUCT(
tb_desp[valor]*
(tb_desp[centro.negocio]=U$2)*
(tb_desp[nucleo]=U22)*
(tb_desp[data.pagamento]&gt;='n&amp;cn'!$C$1)*
(tb_desp[data.pagamento]&lt;='n&amp;cn'!$C$2)
))</f>
        <v/>
      </c>
      <c r="U22" s="267"/>
      <c r="V22" s="290" t="str" cm="1">
        <f t="array" ref="V22">IF(W22="",
"",
SUMPRODUCT(
tb_desp[valor]*
(tb_desp[centro.negocio]=W$2)*
(tb_desp[nucleo]=W22)*
(tb_desp[data.pagamento]&gt;='n&amp;cn'!$C$1)*
(tb_desp[data.pagamento]&lt;='n&amp;cn'!$C$2)
))</f>
        <v/>
      </c>
      <c r="W22" s="267"/>
      <c r="X22" s="290" t="str" cm="1">
        <f t="array" ref="X22">IF(Y22="",
"",
SUMPRODUCT(
tb_desp[valor]*
(tb_desp[centro.negocio]=Y$2)*
(tb_desp[nucleo]=Y22)*
(tb_desp[data.pagamento]&gt;='n&amp;cn'!$C$1)*
(tb_desp[data.pagamento]&lt;='n&amp;cn'!$C$2)
))</f>
        <v/>
      </c>
      <c r="Y22" s="267"/>
      <c r="Z22" s="290" t="str" cm="1">
        <f t="array" ref="Z22">IF(AA22="",
"",
SUMPRODUCT(
tb_desp[valor]*
(tb_desp[centro.negocio]=AA$2)*
(tb_desp[nucleo]=AA22)*
(tb_desp[data.pagamento]&gt;='n&amp;cn'!$C$1)*
(tb_desp[data.pagamento]&lt;='n&amp;cn'!$C$2)
))</f>
        <v/>
      </c>
      <c r="AA22" s="267"/>
      <c r="AB22" s="290" t="str" cm="1">
        <f t="array" ref="AB22">IF(AC22="",
"",
SUMPRODUCT(
tb_desp[valor]*
(tb_desp[centro.negocio]=AC$2)*
(tb_desp[nucleo]=AC22)*
(tb_desp[data.pagamento]&gt;='n&amp;cn'!$C$1)*
(tb_desp[data.pagamento]&lt;='n&amp;cn'!$C$2)
))</f>
        <v/>
      </c>
      <c r="AC22" s="267"/>
      <c r="AD22" s="290" t="str" cm="1">
        <f t="array" ref="AD22">IF(AE22="",
"",
SUMPRODUCT(
tb_desp[valor]*
(tb_desp[centro.negocio]=AE$2)*
(tb_desp[nucleo]=AE22)*
(tb_desp[data.pagamento]&gt;='n&amp;cn'!$C$1)*
(tb_desp[data.pagamento]&lt;='n&amp;cn'!$C$2)
))</f>
        <v/>
      </c>
      <c r="AE22" s="267"/>
      <c r="AF22" s="290" t="str" cm="1">
        <f t="array" ref="AF22">IF(AG22="",
"",
SUMPRODUCT(
tb_desp[valor]*
(tb_desp[centro.negocio]=AG$2)*
(tb_desp[nucleo]=AG22)*
(tb_desp[data.pagamento]&gt;='n&amp;cn'!$C$1)*
(tb_desp[data.pagamento]&lt;='n&amp;cn'!$C$2)
))</f>
        <v/>
      </c>
      <c r="AG22" s="267"/>
      <c r="AH22" s="290" t="str" cm="1">
        <f t="array" ref="AH22">IF(AI22="",
"",
SUMPRODUCT(
tb_desp[valor]*
(tb_desp[centro.negocio]=AI$2)*
(tb_desp[nucleo]=AI22)*
(tb_desp[data.pagamento]&gt;='n&amp;cn'!$C$1)*
(tb_desp[data.pagamento]&lt;='n&amp;cn'!$C$2)
))</f>
        <v/>
      </c>
      <c r="AI22" s="267"/>
      <c r="AJ22" s="290" t="str" cm="1">
        <f t="array" ref="AJ22">IF(AK22="",
"",
SUMPRODUCT(
tb_desp[valor]*
(tb_desp[centro.negocio]=AK$2)*
(tb_desp[nucleo]=AK22)*
(tb_desp[data.pagamento]&gt;='n&amp;cn'!$C$1)*
(tb_desp[data.pagamento]&lt;='n&amp;cn'!$C$2)
))</f>
        <v/>
      </c>
      <c r="AK22" s="267"/>
      <c r="AL22" s="290" t="str" cm="1">
        <f t="array" ref="AL22">IF(AM22="",
"",
SUMPRODUCT(
tb_desp[valor]*
(tb_desp[centro.negocio]=AM$2)*
(tb_desp[nucleo]=AM22)*
(tb_desp[data.pagamento]&gt;='n&amp;cn'!$C$1)*
(tb_desp[data.pagamento]&lt;='n&amp;cn'!$C$2)
))</f>
        <v/>
      </c>
      <c r="AM22" s="267"/>
      <c r="AN22" s="290" t="str" cm="1">
        <f t="array" ref="AN22">IF(AO22="",
"",
SUMPRODUCT(
tb_desp[valor]*
(tb_desp[centro.negocio]=AO$2)*
(tb_desp[nucleo]=AO22)*
(tb_desp[data.pagamento]&gt;='n&amp;cn'!$C$1)*
(tb_desp[data.pagamento]&lt;='n&amp;cn'!$C$2)
))</f>
        <v/>
      </c>
      <c r="AO22" s="267"/>
      <c r="AP22" s="290" t="str" cm="1">
        <f t="array" ref="AP22">IF(AQ22="",
"",
SUMPRODUCT(
tb_desp[valor]*
(tb_desp[centro.negocio]=AQ$2)*
(tb_desp[nucleo]=AQ22)*
(tb_desp[data.pagamento]&gt;='n&amp;cn'!$C$1)*
(tb_desp[data.pagamento]&lt;='n&amp;cn'!$C$2)
))</f>
        <v/>
      </c>
      <c r="AQ22" s="267"/>
      <c r="AR22" s="290" t="str" cm="1">
        <f t="array" ref="AR22">IF(AS22="",
"",
SUMPRODUCT(
tb_desp[valor]*
(tb_desp[centro.negocio]=AS$2)*
(tb_desp[nucleo]=AS22)*
(tb_desp[data.pagamento]&gt;='n&amp;cn'!$C$1)*
(tb_desp[data.pagamento]&lt;='n&amp;cn'!$C$2)
))</f>
        <v/>
      </c>
      <c r="AS22" s="267"/>
      <c r="AT22" s="290" t="str" cm="1">
        <f t="array" ref="AT22">IF(AU22="",
"",
SUMPRODUCT(
tb_desp[valor]*
(tb_desp[centro.negocio]=AU$2)*
(tb_desp[nucleo]=AU22)*
(tb_desp[data.pagamento]&gt;='n&amp;cn'!$C$1)*
(tb_desp[data.pagamento]&lt;='n&amp;cn'!$C$2)
))</f>
        <v/>
      </c>
      <c r="AU22" s="267"/>
      <c r="AV22" s="290" t="str" cm="1">
        <f t="array" ref="AV22">IF(AW22="",
"",
SUMPRODUCT(
tb_desp[valor]*
(tb_desp[centro.negocio]=AW$2)*
(tb_desp[nucleo]=AW22)*
(tb_desp[data.pagamento]&gt;='n&amp;cn'!$C$1)*
(tb_desp[data.pagamento]&lt;='n&amp;cn'!$C$2)
))</f>
        <v/>
      </c>
      <c r="AW22" s="267"/>
      <c r="AX22" s="290" t="str" cm="1">
        <f t="array" ref="AX22">IF(AY22="",
"",
SUMPRODUCT(
tb_desp[valor]*
(tb_desp[centro.negocio]=AY$2)*
(tb_desp[nucleo]=AY22)*
(tb_desp[data.pagamento]&gt;='n&amp;cn'!$C$1)*
(tb_desp[data.pagamento]&lt;='n&amp;cn'!$C$2)
))</f>
        <v/>
      </c>
      <c r="AY22" s="267"/>
      <c r="AZ22" s="290" t="str" cm="1">
        <f t="array" ref="AZ22">IF(BA22="",
"",
SUMPRODUCT(
tb_desp[valor]*
(tb_desp[centro.negocio]=BA$2)*
(tb_desp[nucleo]=BA22)*
(tb_desp[data.pagamento]&gt;='n&amp;cn'!$C$1)*
(tb_desp[data.pagamento]&lt;='n&amp;cn'!$C$2)
))</f>
        <v/>
      </c>
      <c r="BA22" s="267"/>
      <c r="BB22" s="290" t="str" cm="1">
        <f t="array" ref="BB22">IF(BC22="",
"",
SUMPRODUCT(
tb_desp[valor]*
(tb_desp[centro.negocio]=BC$2)*
(tb_desp[nucleo]=BC22)*
(tb_desp[data.pagamento]&gt;='n&amp;cn'!$C$1)*
(tb_desp[data.pagamento]&lt;='n&amp;cn'!$C$2)
))</f>
        <v/>
      </c>
      <c r="BC22" s="267"/>
      <c r="BD22" s="290" t="str" cm="1">
        <f t="array" ref="BD22">IF(BE22="",
"",
SUMPRODUCT(
tb_desp[valor]*
(tb_desp[centro.negocio]=BE$2)*
(tb_desp[nucleo]=BE22)*
(tb_desp[data.pagamento]&gt;='n&amp;cn'!$C$1)*
(tb_desp[data.pagamento]&lt;='n&amp;cn'!$C$2)
))</f>
        <v/>
      </c>
      <c r="BE22" s="267"/>
      <c r="BF22" s="290" t="str" cm="1">
        <f t="array" ref="BF22">IF(BG22="",
"",
SUMPRODUCT(
tb_desp[valor]*
(tb_desp[centro.negocio]=BG$2)*
(tb_desp[nucleo]=BG22)*
(tb_desp[data.pagamento]&gt;='n&amp;cn'!$C$1)*
(tb_desp[data.pagamento]&lt;='n&amp;cn'!$C$2)
))</f>
        <v/>
      </c>
      <c r="BG22" s="267"/>
      <c r="BH22" s="290" t="str" cm="1">
        <f t="array" ref="BH22">IF(BI22="",
"",
SUMPRODUCT(
tb_desp[valor]*
(tb_desp[centro.negocio]=BI$2)*
(tb_desp[nucleo]=BI22)*
(tb_desp[data.pagamento]&gt;='n&amp;cn'!$C$1)*
(tb_desp[data.pagamento]&lt;='n&amp;cn'!$C$2)
))</f>
        <v/>
      </c>
      <c r="BI22" s="267"/>
      <c r="BJ22" s="290" t="str" cm="1">
        <f t="array" ref="BJ22">IF(BK22="",
"",
SUMPRODUCT(
tb_desp[valor]*
(tb_desp[centro.negocio]=BK$2)*
(tb_desp[nucleo]=BK22)*
(tb_desp[data.pagamento]&gt;='n&amp;cn'!$C$1)*
(tb_desp[data.pagamento]&lt;='n&amp;cn'!$C$2)
))</f>
        <v/>
      </c>
      <c r="BK22" s="267"/>
      <c r="BL22" s="290" t="str" cm="1">
        <f t="array" ref="BL22">IF(BM22="",
"",
SUMPRODUCT(
tb_desp[valor]*
(tb_desp[centro.negocio]=BM$2)*
(tb_desp[nucleo]=BM22)*
(tb_desp[data.pagamento]&gt;='n&amp;cn'!$C$1)*
(tb_desp[data.pagamento]&lt;='n&amp;cn'!$C$2)
))</f>
        <v/>
      </c>
      <c r="BM22" s="267"/>
      <c r="BN22" s="290" t="str" cm="1">
        <f t="array" ref="BN22">IF(BO22="",
"",
SUMPRODUCT(
tb_desp[valor]*
(tb_desp[centro.negocio]=BO$2)*
(tb_desp[nucleo]=BO22)*
(tb_desp[data.pagamento]&gt;='n&amp;cn'!$C$1)*
(tb_desp[data.pagamento]&lt;='n&amp;cn'!$C$2)
))</f>
        <v/>
      </c>
      <c r="BO22" s="267"/>
    </row>
    <row r="23" spans="1:67" x14ac:dyDescent="0.25">
      <c r="A23">
        <f t="shared" si="2"/>
        <v>16</v>
      </c>
      <c r="B23" s="161"/>
      <c r="C23" s="163"/>
      <c r="D23" s="164"/>
      <c r="E23" s="167" t="e">
        <f t="shared" si="0"/>
        <v>#DIV/0!</v>
      </c>
      <c r="F23" s="167" t="e">
        <f>SUM($E$8:$E23)</f>
        <v>#DIV/0!</v>
      </c>
      <c r="G23" s="167"/>
      <c r="H23" s="168"/>
      <c r="I23" s="163">
        <f t="shared" si="3"/>
        <v>16</v>
      </c>
      <c r="K23" s="164"/>
      <c r="L23" s="167" t="e">
        <f t="shared" si="1"/>
        <v>#DIV/0!</v>
      </c>
      <c r="M23" s="167" t="e">
        <f>SUM($L$8:$L23)</f>
        <v>#DIV/0!</v>
      </c>
      <c r="R23" s="290" t="str" cm="1">
        <f t="array" ref="R23">IF(S23="",
"",
SUMPRODUCT(
tb_desp[valor]*
(tb_desp[centro.negocio]=S$2)*
(tb_desp[nucleo]=S23)*
(tb_desp[data.pagamento]&gt;='n&amp;cn'!$C$1)*
(tb_desp[data.pagamento]&lt;='n&amp;cn'!$C$2)
))</f>
        <v/>
      </c>
      <c r="S23" s="267"/>
      <c r="T23" s="290" t="str" cm="1">
        <f t="array" ref="T23">IF(U23="",
"",
SUMPRODUCT(
tb_desp[valor]*
(tb_desp[centro.negocio]=U$2)*
(tb_desp[nucleo]=U23)*
(tb_desp[data.pagamento]&gt;='n&amp;cn'!$C$1)*
(tb_desp[data.pagamento]&lt;='n&amp;cn'!$C$2)
))</f>
        <v/>
      </c>
      <c r="U23" s="267"/>
      <c r="V23" s="290" t="str" cm="1">
        <f t="array" ref="V23">IF(W23="",
"",
SUMPRODUCT(
tb_desp[valor]*
(tb_desp[centro.negocio]=W$2)*
(tb_desp[nucleo]=W23)*
(tb_desp[data.pagamento]&gt;='n&amp;cn'!$C$1)*
(tb_desp[data.pagamento]&lt;='n&amp;cn'!$C$2)
))</f>
        <v/>
      </c>
      <c r="W23" s="267"/>
      <c r="X23" s="290" t="str" cm="1">
        <f t="array" ref="X23">IF(Y23="",
"",
SUMPRODUCT(
tb_desp[valor]*
(tb_desp[centro.negocio]=Y$2)*
(tb_desp[nucleo]=Y23)*
(tb_desp[data.pagamento]&gt;='n&amp;cn'!$C$1)*
(tb_desp[data.pagamento]&lt;='n&amp;cn'!$C$2)
))</f>
        <v/>
      </c>
      <c r="Y23" s="267"/>
      <c r="Z23" s="290" t="str" cm="1">
        <f t="array" ref="Z23">IF(AA23="",
"",
SUMPRODUCT(
tb_desp[valor]*
(tb_desp[centro.negocio]=AA$2)*
(tb_desp[nucleo]=AA23)*
(tb_desp[data.pagamento]&gt;='n&amp;cn'!$C$1)*
(tb_desp[data.pagamento]&lt;='n&amp;cn'!$C$2)
))</f>
        <v/>
      </c>
      <c r="AA23" s="267"/>
      <c r="AB23" s="290" t="str" cm="1">
        <f t="array" ref="AB23">IF(AC23="",
"",
SUMPRODUCT(
tb_desp[valor]*
(tb_desp[centro.negocio]=AC$2)*
(tb_desp[nucleo]=AC23)*
(tb_desp[data.pagamento]&gt;='n&amp;cn'!$C$1)*
(tb_desp[data.pagamento]&lt;='n&amp;cn'!$C$2)
))</f>
        <v/>
      </c>
      <c r="AC23" s="267"/>
      <c r="AD23" s="290" t="str" cm="1">
        <f t="array" ref="AD23">IF(AE23="",
"",
SUMPRODUCT(
tb_desp[valor]*
(tb_desp[centro.negocio]=AE$2)*
(tb_desp[nucleo]=AE23)*
(tb_desp[data.pagamento]&gt;='n&amp;cn'!$C$1)*
(tb_desp[data.pagamento]&lt;='n&amp;cn'!$C$2)
))</f>
        <v/>
      </c>
      <c r="AE23" s="267"/>
      <c r="AF23" s="290" t="str" cm="1">
        <f t="array" ref="AF23">IF(AG23="",
"",
SUMPRODUCT(
tb_desp[valor]*
(tb_desp[centro.negocio]=AG$2)*
(tb_desp[nucleo]=AG23)*
(tb_desp[data.pagamento]&gt;='n&amp;cn'!$C$1)*
(tb_desp[data.pagamento]&lt;='n&amp;cn'!$C$2)
))</f>
        <v/>
      </c>
      <c r="AG23" s="267"/>
      <c r="AH23" s="290" t="str" cm="1">
        <f t="array" ref="AH23">IF(AI23="",
"",
SUMPRODUCT(
tb_desp[valor]*
(tb_desp[centro.negocio]=AI$2)*
(tb_desp[nucleo]=AI23)*
(tb_desp[data.pagamento]&gt;='n&amp;cn'!$C$1)*
(tb_desp[data.pagamento]&lt;='n&amp;cn'!$C$2)
))</f>
        <v/>
      </c>
      <c r="AI23" s="267"/>
      <c r="AJ23" s="290" t="str" cm="1">
        <f t="array" ref="AJ23">IF(AK23="",
"",
SUMPRODUCT(
tb_desp[valor]*
(tb_desp[centro.negocio]=AK$2)*
(tb_desp[nucleo]=AK23)*
(tb_desp[data.pagamento]&gt;='n&amp;cn'!$C$1)*
(tb_desp[data.pagamento]&lt;='n&amp;cn'!$C$2)
))</f>
        <v/>
      </c>
      <c r="AK23" s="267"/>
      <c r="AL23" s="290" t="str" cm="1">
        <f t="array" ref="AL23">IF(AM23="",
"",
SUMPRODUCT(
tb_desp[valor]*
(tb_desp[centro.negocio]=AM$2)*
(tb_desp[nucleo]=AM23)*
(tb_desp[data.pagamento]&gt;='n&amp;cn'!$C$1)*
(tb_desp[data.pagamento]&lt;='n&amp;cn'!$C$2)
))</f>
        <v/>
      </c>
      <c r="AM23" s="267"/>
      <c r="AN23" s="290" t="str" cm="1">
        <f t="array" ref="AN23">IF(AO23="",
"",
SUMPRODUCT(
tb_desp[valor]*
(tb_desp[centro.negocio]=AO$2)*
(tb_desp[nucleo]=AO23)*
(tb_desp[data.pagamento]&gt;='n&amp;cn'!$C$1)*
(tb_desp[data.pagamento]&lt;='n&amp;cn'!$C$2)
))</f>
        <v/>
      </c>
      <c r="AO23" s="267"/>
      <c r="AP23" s="290" t="str" cm="1">
        <f t="array" ref="AP23">IF(AQ23="",
"",
SUMPRODUCT(
tb_desp[valor]*
(tb_desp[centro.negocio]=AQ$2)*
(tb_desp[nucleo]=AQ23)*
(tb_desp[data.pagamento]&gt;='n&amp;cn'!$C$1)*
(tb_desp[data.pagamento]&lt;='n&amp;cn'!$C$2)
))</f>
        <v/>
      </c>
      <c r="AQ23" s="267"/>
      <c r="AR23" s="290" t="str" cm="1">
        <f t="array" ref="AR23">IF(AS23="",
"",
SUMPRODUCT(
tb_desp[valor]*
(tb_desp[centro.negocio]=AS$2)*
(tb_desp[nucleo]=AS23)*
(tb_desp[data.pagamento]&gt;='n&amp;cn'!$C$1)*
(tb_desp[data.pagamento]&lt;='n&amp;cn'!$C$2)
))</f>
        <v/>
      </c>
      <c r="AS23" s="267"/>
      <c r="AT23" s="290" t="str" cm="1">
        <f t="array" ref="AT23">IF(AU23="",
"",
SUMPRODUCT(
tb_desp[valor]*
(tb_desp[centro.negocio]=AU$2)*
(tb_desp[nucleo]=AU23)*
(tb_desp[data.pagamento]&gt;='n&amp;cn'!$C$1)*
(tb_desp[data.pagamento]&lt;='n&amp;cn'!$C$2)
))</f>
        <v/>
      </c>
      <c r="AU23" s="267"/>
      <c r="AV23" s="290" t="str" cm="1">
        <f t="array" ref="AV23">IF(AW23="",
"",
SUMPRODUCT(
tb_desp[valor]*
(tb_desp[centro.negocio]=AW$2)*
(tb_desp[nucleo]=AW23)*
(tb_desp[data.pagamento]&gt;='n&amp;cn'!$C$1)*
(tb_desp[data.pagamento]&lt;='n&amp;cn'!$C$2)
))</f>
        <v/>
      </c>
      <c r="AW23" s="267"/>
      <c r="AX23" s="290" t="str" cm="1">
        <f t="array" ref="AX23">IF(AY23="",
"",
SUMPRODUCT(
tb_desp[valor]*
(tb_desp[centro.negocio]=AY$2)*
(tb_desp[nucleo]=AY23)*
(tb_desp[data.pagamento]&gt;='n&amp;cn'!$C$1)*
(tb_desp[data.pagamento]&lt;='n&amp;cn'!$C$2)
))</f>
        <v/>
      </c>
      <c r="AY23" s="267"/>
      <c r="AZ23" s="290" t="str" cm="1">
        <f t="array" ref="AZ23">IF(BA23="",
"",
SUMPRODUCT(
tb_desp[valor]*
(tb_desp[centro.negocio]=BA$2)*
(tb_desp[nucleo]=BA23)*
(tb_desp[data.pagamento]&gt;='n&amp;cn'!$C$1)*
(tb_desp[data.pagamento]&lt;='n&amp;cn'!$C$2)
))</f>
        <v/>
      </c>
      <c r="BA23" s="267"/>
      <c r="BB23" s="290" t="str" cm="1">
        <f t="array" ref="BB23">IF(BC23="",
"",
SUMPRODUCT(
tb_desp[valor]*
(tb_desp[centro.negocio]=BC$2)*
(tb_desp[nucleo]=BC23)*
(tb_desp[data.pagamento]&gt;='n&amp;cn'!$C$1)*
(tb_desp[data.pagamento]&lt;='n&amp;cn'!$C$2)
))</f>
        <v/>
      </c>
      <c r="BC23" s="267"/>
      <c r="BD23" s="290" t="str" cm="1">
        <f t="array" ref="BD23">IF(BE23="",
"",
SUMPRODUCT(
tb_desp[valor]*
(tb_desp[centro.negocio]=BE$2)*
(tb_desp[nucleo]=BE23)*
(tb_desp[data.pagamento]&gt;='n&amp;cn'!$C$1)*
(tb_desp[data.pagamento]&lt;='n&amp;cn'!$C$2)
))</f>
        <v/>
      </c>
      <c r="BE23" s="267"/>
      <c r="BF23" s="290" t="str" cm="1">
        <f t="array" ref="BF23">IF(BG23="",
"",
SUMPRODUCT(
tb_desp[valor]*
(tb_desp[centro.negocio]=BG$2)*
(tb_desp[nucleo]=BG23)*
(tb_desp[data.pagamento]&gt;='n&amp;cn'!$C$1)*
(tb_desp[data.pagamento]&lt;='n&amp;cn'!$C$2)
))</f>
        <v/>
      </c>
      <c r="BG23" s="267"/>
      <c r="BH23" s="290" t="str" cm="1">
        <f t="array" ref="BH23">IF(BI23="",
"",
SUMPRODUCT(
tb_desp[valor]*
(tb_desp[centro.negocio]=BI$2)*
(tb_desp[nucleo]=BI23)*
(tb_desp[data.pagamento]&gt;='n&amp;cn'!$C$1)*
(tb_desp[data.pagamento]&lt;='n&amp;cn'!$C$2)
))</f>
        <v/>
      </c>
      <c r="BI23" s="267"/>
      <c r="BJ23" s="290" t="str" cm="1">
        <f t="array" ref="BJ23">IF(BK23="",
"",
SUMPRODUCT(
tb_desp[valor]*
(tb_desp[centro.negocio]=BK$2)*
(tb_desp[nucleo]=BK23)*
(tb_desp[data.pagamento]&gt;='n&amp;cn'!$C$1)*
(tb_desp[data.pagamento]&lt;='n&amp;cn'!$C$2)
))</f>
        <v/>
      </c>
      <c r="BK23" s="267"/>
      <c r="BL23" s="290" t="str" cm="1">
        <f t="array" ref="BL23">IF(BM23="",
"",
SUMPRODUCT(
tb_desp[valor]*
(tb_desp[centro.negocio]=BM$2)*
(tb_desp[nucleo]=BM23)*
(tb_desp[data.pagamento]&gt;='n&amp;cn'!$C$1)*
(tb_desp[data.pagamento]&lt;='n&amp;cn'!$C$2)
))</f>
        <v/>
      </c>
      <c r="BM23" s="267"/>
      <c r="BN23" s="290" t="str" cm="1">
        <f t="array" ref="BN23">IF(BO23="",
"",
SUMPRODUCT(
tb_desp[valor]*
(tb_desp[centro.negocio]=BO$2)*
(tb_desp[nucleo]=BO23)*
(tb_desp[data.pagamento]&gt;='n&amp;cn'!$C$1)*
(tb_desp[data.pagamento]&lt;='n&amp;cn'!$C$2)
))</f>
        <v/>
      </c>
      <c r="BO23" s="267"/>
    </row>
    <row r="24" spans="1:67" x14ac:dyDescent="0.25">
      <c r="A24">
        <f t="shared" si="2"/>
        <v>17</v>
      </c>
      <c r="B24" s="161"/>
      <c r="C24" s="163"/>
      <c r="D24" s="164"/>
      <c r="E24" s="167" t="e">
        <f t="shared" si="0"/>
        <v>#DIV/0!</v>
      </c>
      <c r="F24" s="167" t="e">
        <f>SUM($E$8:$E24)</f>
        <v>#DIV/0!</v>
      </c>
      <c r="G24" s="167"/>
      <c r="H24" s="168"/>
      <c r="I24" s="163">
        <f t="shared" si="3"/>
        <v>17</v>
      </c>
      <c r="K24" s="164"/>
      <c r="L24" s="167" t="e">
        <f t="shared" si="1"/>
        <v>#DIV/0!</v>
      </c>
      <c r="M24" s="167" t="e">
        <f>SUM($L$8:$L24)</f>
        <v>#DIV/0!</v>
      </c>
      <c r="R24" s="290" t="str" cm="1">
        <f t="array" ref="R24">IF(S24="",
"",
SUMPRODUCT(
tb_desp[valor]*
(tb_desp[centro.negocio]=S$2)*
(tb_desp[nucleo]=S24)*
(tb_desp[data.pagamento]&gt;='n&amp;cn'!$C$1)*
(tb_desp[data.pagamento]&lt;='n&amp;cn'!$C$2)
))</f>
        <v/>
      </c>
      <c r="S24" s="267"/>
      <c r="T24" s="290" t="str" cm="1">
        <f t="array" ref="T24">IF(U24="",
"",
SUMPRODUCT(
tb_desp[valor]*
(tb_desp[centro.negocio]=U$2)*
(tb_desp[nucleo]=U24)*
(tb_desp[data.pagamento]&gt;='n&amp;cn'!$C$1)*
(tb_desp[data.pagamento]&lt;='n&amp;cn'!$C$2)
))</f>
        <v/>
      </c>
      <c r="U24" s="267"/>
      <c r="V24" s="290" t="str" cm="1">
        <f t="array" ref="V24">IF(W24="",
"",
SUMPRODUCT(
tb_desp[valor]*
(tb_desp[centro.negocio]=W$2)*
(tb_desp[nucleo]=W24)*
(tb_desp[data.pagamento]&gt;='n&amp;cn'!$C$1)*
(tb_desp[data.pagamento]&lt;='n&amp;cn'!$C$2)
))</f>
        <v/>
      </c>
      <c r="W24" s="267"/>
      <c r="X24" s="290" t="str" cm="1">
        <f t="array" ref="X24">IF(Y24="",
"",
SUMPRODUCT(
tb_desp[valor]*
(tb_desp[centro.negocio]=Y$2)*
(tb_desp[nucleo]=Y24)*
(tb_desp[data.pagamento]&gt;='n&amp;cn'!$C$1)*
(tb_desp[data.pagamento]&lt;='n&amp;cn'!$C$2)
))</f>
        <v/>
      </c>
      <c r="Y24" s="267"/>
      <c r="Z24" s="290" t="str" cm="1">
        <f t="array" ref="Z24">IF(AA24="",
"",
SUMPRODUCT(
tb_desp[valor]*
(tb_desp[centro.negocio]=AA$2)*
(tb_desp[nucleo]=AA24)*
(tb_desp[data.pagamento]&gt;='n&amp;cn'!$C$1)*
(tb_desp[data.pagamento]&lt;='n&amp;cn'!$C$2)
))</f>
        <v/>
      </c>
      <c r="AA24" s="267"/>
      <c r="AB24" s="290" t="str" cm="1">
        <f t="array" ref="AB24">IF(AC24="",
"",
SUMPRODUCT(
tb_desp[valor]*
(tb_desp[centro.negocio]=AC$2)*
(tb_desp[nucleo]=AC24)*
(tb_desp[data.pagamento]&gt;='n&amp;cn'!$C$1)*
(tb_desp[data.pagamento]&lt;='n&amp;cn'!$C$2)
))</f>
        <v/>
      </c>
      <c r="AC24" s="267"/>
      <c r="AD24" s="290" t="str" cm="1">
        <f t="array" ref="AD24">IF(AE24="",
"",
SUMPRODUCT(
tb_desp[valor]*
(tb_desp[centro.negocio]=AE$2)*
(tb_desp[nucleo]=AE24)*
(tb_desp[data.pagamento]&gt;='n&amp;cn'!$C$1)*
(tb_desp[data.pagamento]&lt;='n&amp;cn'!$C$2)
))</f>
        <v/>
      </c>
      <c r="AE24" s="267"/>
      <c r="AF24" s="290" t="str" cm="1">
        <f t="array" ref="AF24">IF(AG24="",
"",
SUMPRODUCT(
tb_desp[valor]*
(tb_desp[centro.negocio]=AG$2)*
(tb_desp[nucleo]=AG24)*
(tb_desp[data.pagamento]&gt;='n&amp;cn'!$C$1)*
(tb_desp[data.pagamento]&lt;='n&amp;cn'!$C$2)
))</f>
        <v/>
      </c>
      <c r="AG24" s="267"/>
      <c r="AH24" s="290" t="str" cm="1">
        <f t="array" ref="AH24">IF(AI24="",
"",
SUMPRODUCT(
tb_desp[valor]*
(tb_desp[centro.negocio]=AI$2)*
(tb_desp[nucleo]=AI24)*
(tb_desp[data.pagamento]&gt;='n&amp;cn'!$C$1)*
(tb_desp[data.pagamento]&lt;='n&amp;cn'!$C$2)
))</f>
        <v/>
      </c>
      <c r="AI24" s="267"/>
      <c r="AJ24" s="290" t="str" cm="1">
        <f t="array" ref="AJ24">IF(AK24="",
"",
SUMPRODUCT(
tb_desp[valor]*
(tb_desp[centro.negocio]=AK$2)*
(tb_desp[nucleo]=AK24)*
(tb_desp[data.pagamento]&gt;='n&amp;cn'!$C$1)*
(tb_desp[data.pagamento]&lt;='n&amp;cn'!$C$2)
))</f>
        <v/>
      </c>
      <c r="AK24" s="267"/>
      <c r="AL24" s="290" t="str" cm="1">
        <f t="array" ref="AL24">IF(AM24="",
"",
SUMPRODUCT(
tb_desp[valor]*
(tb_desp[centro.negocio]=AM$2)*
(tb_desp[nucleo]=AM24)*
(tb_desp[data.pagamento]&gt;='n&amp;cn'!$C$1)*
(tb_desp[data.pagamento]&lt;='n&amp;cn'!$C$2)
))</f>
        <v/>
      </c>
      <c r="AM24" s="267"/>
      <c r="AN24" s="290" t="str" cm="1">
        <f t="array" ref="AN24">IF(AO24="",
"",
SUMPRODUCT(
tb_desp[valor]*
(tb_desp[centro.negocio]=AO$2)*
(tb_desp[nucleo]=AO24)*
(tb_desp[data.pagamento]&gt;='n&amp;cn'!$C$1)*
(tb_desp[data.pagamento]&lt;='n&amp;cn'!$C$2)
))</f>
        <v/>
      </c>
      <c r="AO24" s="267"/>
      <c r="AP24" s="290" t="str" cm="1">
        <f t="array" ref="AP24">IF(AQ24="",
"",
SUMPRODUCT(
tb_desp[valor]*
(tb_desp[centro.negocio]=AQ$2)*
(tb_desp[nucleo]=AQ24)*
(tb_desp[data.pagamento]&gt;='n&amp;cn'!$C$1)*
(tb_desp[data.pagamento]&lt;='n&amp;cn'!$C$2)
))</f>
        <v/>
      </c>
      <c r="AQ24" s="267"/>
      <c r="AR24" s="290" t="str" cm="1">
        <f t="array" ref="AR24">IF(AS24="",
"",
SUMPRODUCT(
tb_desp[valor]*
(tb_desp[centro.negocio]=AS$2)*
(tb_desp[nucleo]=AS24)*
(tb_desp[data.pagamento]&gt;='n&amp;cn'!$C$1)*
(tb_desp[data.pagamento]&lt;='n&amp;cn'!$C$2)
))</f>
        <v/>
      </c>
      <c r="AS24" s="267"/>
      <c r="AT24" s="290" t="str" cm="1">
        <f t="array" ref="AT24">IF(AU24="",
"",
SUMPRODUCT(
tb_desp[valor]*
(tb_desp[centro.negocio]=AU$2)*
(tb_desp[nucleo]=AU24)*
(tb_desp[data.pagamento]&gt;='n&amp;cn'!$C$1)*
(tb_desp[data.pagamento]&lt;='n&amp;cn'!$C$2)
))</f>
        <v/>
      </c>
      <c r="AU24" s="267"/>
      <c r="AV24" s="290" t="str" cm="1">
        <f t="array" ref="AV24">IF(AW24="",
"",
SUMPRODUCT(
tb_desp[valor]*
(tb_desp[centro.negocio]=AW$2)*
(tb_desp[nucleo]=AW24)*
(tb_desp[data.pagamento]&gt;='n&amp;cn'!$C$1)*
(tb_desp[data.pagamento]&lt;='n&amp;cn'!$C$2)
))</f>
        <v/>
      </c>
      <c r="AW24" s="267"/>
      <c r="AX24" s="290" t="str" cm="1">
        <f t="array" ref="AX24">IF(AY24="",
"",
SUMPRODUCT(
tb_desp[valor]*
(tb_desp[centro.negocio]=AY$2)*
(tb_desp[nucleo]=AY24)*
(tb_desp[data.pagamento]&gt;='n&amp;cn'!$C$1)*
(tb_desp[data.pagamento]&lt;='n&amp;cn'!$C$2)
))</f>
        <v/>
      </c>
      <c r="AY24" s="267"/>
      <c r="AZ24" s="290" t="str" cm="1">
        <f t="array" ref="AZ24">IF(BA24="",
"",
SUMPRODUCT(
tb_desp[valor]*
(tb_desp[centro.negocio]=BA$2)*
(tb_desp[nucleo]=BA24)*
(tb_desp[data.pagamento]&gt;='n&amp;cn'!$C$1)*
(tb_desp[data.pagamento]&lt;='n&amp;cn'!$C$2)
))</f>
        <v/>
      </c>
      <c r="BA24" s="267"/>
      <c r="BB24" s="290" t="str" cm="1">
        <f t="array" ref="BB24">IF(BC24="",
"",
SUMPRODUCT(
tb_desp[valor]*
(tb_desp[centro.negocio]=BC$2)*
(tb_desp[nucleo]=BC24)*
(tb_desp[data.pagamento]&gt;='n&amp;cn'!$C$1)*
(tb_desp[data.pagamento]&lt;='n&amp;cn'!$C$2)
))</f>
        <v/>
      </c>
      <c r="BC24" s="267"/>
      <c r="BD24" s="290" t="str" cm="1">
        <f t="array" ref="BD24">IF(BE24="",
"",
SUMPRODUCT(
tb_desp[valor]*
(tb_desp[centro.negocio]=BE$2)*
(tb_desp[nucleo]=BE24)*
(tb_desp[data.pagamento]&gt;='n&amp;cn'!$C$1)*
(tb_desp[data.pagamento]&lt;='n&amp;cn'!$C$2)
))</f>
        <v/>
      </c>
      <c r="BE24" s="267"/>
      <c r="BF24" s="290" t="str" cm="1">
        <f t="array" ref="BF24">IF(BG24="",
"",
SUMPRODUCT(
tb_desp[valor]*
(tb_desp[centro.negocio]=BG$2)*
(tb_desp[nucleo]=BG24)*
(tb_desp[data.pagamento]&gt;='n&amp;cn'!$C$1)*
(tb_desp[data.pagamento]&lt;='n&amp;cn'!$C$2)
))</f>
        <v/>
      </c>
      <c r="BG24" s="267"/>
      <c r="BH24" s="290" t="str" cm="1">
        <f t="array" ref="BH24">IF(BI24="",
"",
SUMPRODUCT(
tb_desp[valor]*
(tb_desp[centro.negocio]=BI$2)*
(tb_desp[nucleo]=BI24)*
(tb_desp[data.pagamento]&gt;='n&amp;cn'!$C$1)*
(tb_desp[data.pagamento]&lt;='n&amp;cn'!$C$2)
))</f>
        <v/>
      </c>
      <c r="BI24" s="267"/>
      <c r="BJ24" s="290" t="str" cm="1">
        <f t="array" ref="BJ24">IF(BK24="",
"",
SUMPRODUCT(
tb_desp[valor]*
(tb_desp[centro.negocio]=BK$2)*
(tb_desp[nucleo]=BK24)*
(tb_desp[data.pagamento]&gt;='n&amp;cn'!$C$1)*
(tb_desp[data.pagamento]&lt;='n&amp;cn'!$C$2)
))</f>
        <v/>
      </c>
      <c r="BK24" s="267"/>
      <c r="BL24" s="290" t="str" cm="1">
        <f t="array" ref="BL24">IF(BM24="",
"",
SUMPRODUCT(
tb_desp[valor]*
(tb_desp[centro.negocio]=BM$2)*
(tb_desp[nucleo]=BM24)*
(tb_desp[data.pagamento]&gt;='n&amp;cn'!$C$1)*
(tb_desp[data.pagamento]&lt;='n&amp;cn'!$C$2)
))</f>
        <v/>
      </c>
      <c r="BM24" s="267"/>
      <c r="BN24" s="290" t="str" cm="1">
        <f t="array" ref="BN24">IF(BO24="",
"",
SUMPRODUCT(
tb_desp[valor]*
(tb_desp[centro.negocio]=BO$2)*
(tb_desp[nucleo]=BO24)*
(tb_desp[data.pagamento]&gt;='n&amp;cn'!$C$1)*
(tb_desp[data.pagamento]&lt;='n&amp;cn'!$C$2)
))</f>
        <v/>
      </c>
      <c r="BO24" s="267"/>
    </row>
    <row r="25" spans="1:67" x14ac:dyDescent="0.25">
      <c r="A25">
        <f t="shared" si="2"/>
        <v>18</v>
      </c>
      <c r="B25" s="161"/>
      <c r="C25" s="163"/>
      <c r="D25" s="164"/>
      <c r="E25" s="167" t="e">
        <f t="shared" si="0"/>
        <v>#DIV/0!</v>
      </c>
      <c r="F25" s="167" t="e">
        <f>SUM($E$8:$E25)</f>
        <v>#DIV/0!</v>
      </c>
      <c r="G25" s="167"/>
      <c r="H25" s="168"/>
      <c r="I25" s="163">
        <f t="shared" si="3"/>
        <v>18</v>
      </c>
      <c r="K25" s="164"/>
      <c r="L25" s="167" t="e">
        <f t="shared" si="1"/>
        <v>#DIV/0!</v>
      </c>
      <c r="M25" s="167" t="e">
        <f>SUM($L$8:$L25)</f>
        <v>#DIV/0!</v>
      </c>
      <c r="R25" s="290" t="str" cm="1">
        <f t="array" ref="R25">IF(S25="",
"",
SUMPRODUCT(
tb_desp[valor]*
(tb_desp[centro.negocio]=S$2)*
(tb_desp[nucleo]=S25)*
(tb_desp[data.pagamento]&gt;='n&amp;cn'!$C$1)*
(tb_desp[data.pagamento]&lt;='n&amp;cn'!$C$2)
))</f>
        <v/>
      </c>
      <c r="S25" s="267"/>
      <c r="T25" s="290" t="str" cm="1">
        <f t="array" ref="T25">IF(U25="",
"",
SUMPRODUCT(
tb_desp[valor]*
(tb_desp[centro.negocio]=U$2)*
(tb_desp[nucleo]=U25)*
(tb_desp[data.pagamento]&gt;='n&amp;cn'!$C$1)*
(tb_desp[data.pagamento]&lt;='n&amp;cn'!$C$2)
))</f>
        <v/>
      </c>
      <c r="U25" s="267"/>
      <c r="V25" s="290" t="str" cm="1">
        <f t="array" ref="V25">IF(W25="",
"",
SUMPRODUCT(
tb_desp[valor]*
(tb_desp[centro.negocio]=W$2)*
(tb_desp[nucleo]=W25)*
(tb_desp[data.pagamento]&gt;='n&amp;cn'!$C$1)*
(tb_desp[data.pagamento]&lt;='n&amp;cn'!$C$2)
))</f>
        <v/>
      </c>
      <c r="W25" s="267"/>
      <c r="X25" s="290" t="str" cm="1">
        <f t="array" ref="X25">IF(Y25="",
"",
SUMPRODUCT(
tb_desp[valor]*
(tb_desp[centro.negocio]=Y$2)*
(tb_desp[nucleo]=Y25)*
(tb_desp[data.pagamento]&gt;='n&amp;cn'!$C$1)*
(tb_desp[data.pagamento]&lt;='n&amp;cn'!$C$2)
))</f>
        <v/>
      </c>
      <c r="Y25" s="267"/>
      <c r="Z25" s="290" t="str" cm="1">
        <f t="array" ref="Z25">IF(AA25="",
"",
SUMPRODUCT(
tb_desp[valor]*
(tb_desp[centro.negocio]=AA$2)*
(tb_desp[nucleo]=AA25)*
(tb_desp[data.pagamento]&gt;='n&amp;cn'!$C$1)*
(tb_desp[data.pagamento]&lt;='n&amp;cn'!$C$2)
))</f>
        <v/>
      </c>
      <c r="AA25" s="267"/>
      <c r="AB25" s="290" t="str" cm="1">
        <f t="array" ref="AB25">IF(AC25="",
"",
SUMPRODUCT(
tb_desp[valor]*
(tb_desp[centro.negocio]=AC$2)*
(tb_desp[nucleo]=AC25)*
(tb_desp[data.pagamento]&gt;='n&amp;cn'!$C$1)*
(tb_desp[data.pagamento]&lt;='n&amp;cn'!$C$2)
))</f>
        <v/>
      </c>
      <c r="AC25" s="267"/>
      <c r="AD25" s="290" t="str" cm="1">
        <f t="array" ref="AD25">IF(AE25="",
"",
SUMPRODUCT(
tb_desp[valor]*
(tb_desp[centro.negocio]=AE$2)*
(tb_desp[nucleo]=AE25)*
(tb_desp[data.pagamento]&gt;='n&amp;cn'!$C$1)*
(tb_desp[data.pagamento]&lt;='n&amp;cn'!$C$2)
))</f>
        <v/>
      </c>
      <c r="AE25" s="267"/>
      <c r="AF25" s="290" t="str" cm="1">
        <f t="array" ref="AF25">IF(AG25="",
"",
SUMPRODUCT(
tb_desp[valor]*
(tb_desp[centro.negocio]=AG$2)*
(tb_desp[nucleo]=AG25)*
(tb_desp[data.pagamento]&gt;='n&amp;cn'!$C$1)*
(tb_desp[data.pagamento]&lt;='n&amp;cn'!$C$2)
))</f>
        <v/>
      </c>
      <c r="AG25" s="267"/>
      <c r="AH25" s="290" t="str" cm="1">
        <f t="array" ref="AH25">IF(AI25="",
"",
SUMPRODUCT(
tb_desp[valor]*
(tb_desp[centro.negocio]=AI$2)*
(tb_desp[nucleo]=AI25)*
(tb_desp[data.pagamento]&gt;='n&amp;cn'!$C$1)*
(tb_desp[data.pagamento]&lt;='n&amp;cn'!$C$2)
))</f>
        <v/>
      </c>
      <c r="AI25" s="267"/>
      <c r="AJ25" s="290" t="str" cm="1">
        <f t="array" ref="AJ25">IF(AK25="",
"",
SUMPRODUCT(
tb_desp[valor]*
(tb_desp[centro.negocio]=AK$2)*
(tb_desp[nucleo]=AK25)*
(tb_desp[data.pagamento]&gt;='n&amp;cn'!$C$1)*
(tb_desp[data.pagamento]&lt;='n&amp;cn'!$C$2)
))</f>
        <v/>
      </c>
      <c r="AK25" s="267"/>
      <c r="AL25" s="290" t="str" cm="1">
        <f t="array" ref="AL25">IF(AM25="",
"",
SUMPRODUCT(
tb_desp[valor]*
(tb_desp[centro.negocio]=AM$2)*
(tb_desp[nucleo]=AM25)*
(tb_desp[data.pagamento]&gt;='n&amp;cn'!$C$1)*
(tb_desp[data.pagamento]&lt;='n&amp;cn'!$C$2)
))</f>
        <v/>
      </c>
      <c r="AM25" s="267"/>
      <c r="AN25" s="290" t="str" cm="1">
        <f t="array" ref="AN25">IF(AO25="",
"",
SUMPRODUCT(
tb_desp[valor]*
(tb_desp[centro.negocio]=AO$2)*
(tb_desp[nucleo]=AO25)*
(tb_desp[data.pagamento]&gt;='n&amp;cn'!$C$1)*
(tb_desp[data.pagamento]&lt;='n&amp;cn'!$C$2)
))</f>
        <v/>
      </c>
      <c r="AO25" s="267"/>
      <c r="AP25" s="290" t="str" cm="1">
        <f t="array" ref="AP25">IF(AQ25="",
"",
SUMPRODUCT(
tb_desp[valor]*
(tb_desp[centro.negocio]=AQ$2)*
(tb_desp[nucleo]=AQ25)*
(tb_desp[data.pagamento]&gt;='n&amp;cn'!$C$1)*
(tb_desp[data.pagamento]&lt;='n&amp;cn'!$C$2)
))</f>
        <v/>
      </c>
      <c r="AQ25" s="267"/>
      <c r="AR25" s="290" t="str" cm="1">
        <f t="array" ref="AR25">IF(AS25="",
"",
SUMPRODUCT(
tb_desp[valor]*
(tb_desp[centro.negocio]=AS$2)*
(tb_desp[nucleo]=AS25)*
(tb_desp[data.pagamento]&gt;='n&amp;cn'!$C$1)*
(tb_desp[data.pagamento]&lt;='n&amp;cn'!$C$2)
))</f>
        <v/>
      </c>
      <c r="AS25" s="267"/>
      <c r="AT25" s="290" t="str" cm="1">
        <f t="array" ref="AT25">IF(AU25="",
"",
SUMPRODUCT(
tb_desp[valor]*
(tb_desp[centro.negocio]=AU$2)*
(tb_desp[nucleo]=AU25)*
(tb_desp[data.pagamento]&gt;='n&amp;cn'!$C$1)*
(tb_desp[data.pagamento]&lt;='n&amp;cn'!$C$2)
))</f>
        <v/>
      </c>
      <c r="AU25" s="267"/>
      <c r="AV25" s="290" t="str" cm="1">
        <f t="array" ref="AV25">IF(AW25="",
"",
SUMPRODUCT(
tb_desp[valor]*
(tb_desp[centro.negocio]=AW$2)*
(tb_desp[nucleo]=AW25)*
(tb_desp[data.pagamento]&gt;='n&amp;cn'!$C$1)*
(tb_desp[data.pagamento]&lt;='n&amp;cn'!$C$2)
))</f>
        <v/>
      </c>
      <c r="AW25" s="267"/>
      <c r="AX25" s="290" t="str" cm="1">
        <f t="array" ref="AX25">IF(AY25="",
"",
SUMPRODUCT(
tb_desp[valor]*
(tb_desp[centro.negocio]=AY$2)*
(tb_desp[nucleo]=AY25)*
(tb_desp[data.pagamento]&gt;='n&amp;cn'!$C$1)*
(tb_desp[data.pagamento]&lt;='n&amp;cn'!$C$2)
))</f>
        <v/>
      </c>
      <c r="AY25" s="267"/>
      <c r="AZ25" s="290" t="str" cm="1">
        <f t="array" ref="AZ25">IF(BA25="",
"",
SUMPRODUCT(
tb_desp[valor]*
(tb_desp[centro.negocio]=BA$2)*
(tb_desp[nucleo]=BA25)*
(tb_desp[data.pagamento]&gt;='n&amp;cn'!$C$1)*
(tb_desp[data.pagamento]&lt;='n&amp;cn'!$C$2)
))</f>
        <v/>
      </c>
      <c r="BA25" s="267"/>
      <c r="BB25" s="290" t="str" cm="1">
        <f t="array" ref="BB25">IF(BC25="",
"",
SUMPRODUCT(
tb_desp[valor]*
(tb_desp[centro.negocio]=BC$2)*
(tb_desp[nucleo]=BC25)*
(tb_desp[data.pagamento]&gt;='n&amp;cn'!$C$1)*
(tb_desp[data.pagamento]&lt;='n&amp;cn'!$C$2)
))</f>
        <v/>
      </c>
      <c r="BC25" s="267"/>
      <c r="BD25" s="290" t="str" cm="1">
        <f t="array" ref="BD25">IF(BE25="",
"",
SUMPRODUCT(
tb_desp[valor]*
(tb_desp[centro.negocio]=BE$2)*
(tb_desp[nucleo]=BE25)*
(tb_desp[data.pagamento]&gt;='n&amp;cn'!$C$1)*
(tb_desp[data.pagamento]&lt;='n&amp;cn'!$C$2)
))</f>
        <v/>
      </c>
      <c r="BE25" s="267"/>
      <c r="BF25" s="290" t="str" cm="1">
        <f t="array" ref="BF25">IF(BG25="",
"",
SUMPRODUCT(
tb_desp[valor]*
(tb_desp[centro.negocio]=BG$2)*
(tb_desp[nucleo]=BG25)*
(tb_desp[data.pagamento]&gt;='n&amp;cn'!$C$1)*
(tb_desp[data.pagamento]&lt;='n&amp;cn'!$C$2)
))</f>
        <v/>
      </c>
      <c r="BG25" s="267"/>
      <c r="BH25" s="290" t="str" cm="1">
        <f t="array" ref="BH25">IF(BI25="",
"",
SUMPRODUCT(
tb_desp[valor]*
(tb_desp[centro.negocio]=BI$2)*
(tb_desp[nucleo]=BI25)*
(tb_desp[data.pagamento]&gt;='n&amp;cn'!$C$1)*
(tb_desp[data.pagamento]&lt;='n&amp;cn'!$C$2)
))</f>
        <v/>
      </c>
      <c r="BI25" s="267"/>
      <c r="BJ25" s="290" t="str" cm="1">
        <f t="array" ref="BJ25">IF(BK25="",
"",
SUMPRODUCT(
tb_desp[valor]*
(tb_desp[centro.negocio]=BK$2)*
(tb_desp[nucleo]=BK25)*
(tb_desp[data.pagamento]&gt;='n&amp;cn'!$C$1)*
(tb_desp[data.pagamento]&lt;='n&amp;cn'!$C$2)
))</f>
        <v/>
      </c>
      <c r="BK25" s="267"/>
      <c r="BL25" s="290" t="str" cm="1">
        <f t="array" ref="BL25">IF(BM25="",
"",
SUMPRODUCT(
tb_desp[valor]*
(tb_desp[centro.negocio]=BM$2)*
(tb_desp[nucleo]=BM25)*
(tb_desp[data.pagamento]&gt;='n&amp;cn'!$C$1)*
(tb_desp[data.pagamento]&lt;='n&amp;cn'!$C$2)
))</f>
        <v/>
      </c>
      <c r="BM25" s="267"/>
      <c r="BN25" s="290" t="str" cm="1">
        <f t="array" ref="BN25">IF(BO25="",
"",
SUMPRODUCT(
tb_desp[valor]*
(tb_desp[centro.negocio]=BO$2)*
(tb_desp[nucleo]=BO25)*
(tb_desp[data.pagamento]&gt;='n&amp;cn'!$C$1)*
(tb_desp[data.pagamento]&lt;='n&amp;cn'!$C$2)
))</f>
        <v/>
      </c>
      <c r="BO25" s="267"/>
    </row>
    <row r="26" spans="1:67" x14ac:dyDescent="0.25">
      <c r="A26">
        <f t="shared" si="2"/>
        <v>19</v>
      </c>
      <c r="B26" s="161"/>
      <c r="C26" s="163"/>
      <c r="D26" s="164"/>
      <c r="E26" s="167" t="e">
        <f t="shared" si="0"/>
        <v>#DIV/0!</v>
      </c>
      <c r="F26" s="167" t="e">
        <f>SUM($E$8:$E26)</f>
        <v>#DIV/0!</v>
      </c>
      <c r="G26" s="167"/>
      <c r="H26" s="168"/>
      <c r="I26" s="163">
        <f t="shared" si="3"/>
        <v>19</v>
      </c>
      <c r="K26" s="164"/>
      <c r="L26" s="167" t="e">
        <f t="shared" si="1"/>
        <v>#DIV/0!</v>
      </c>
      <c r="M26" s="167" t="e">
        <f>SUM($L$8:$L26)</f>
        <v>#DIV/0!</v>
      </c>
      <c r="R26" s="290" t="str" cm="1">
        <f t="array" ref="R26">IF(S26="",
"",
SUMPRODUCT(
tb_desp[valor]*
(tb_desp[centro.negocio]=S$2)*
(tb_desp[nucleo]=S26)*
(tb_desp[data.pagamento]&gt;='n&amp;cn'!$C$1)*
(tb_desp[data.pagamento]&lt;='n&amp;cn'!$C$2)
))</f>
        <v/>
      </c>
      <c r="S26" s="267"/>
      <c r="T26" s="290" t="str" cm="1">
        <f t="array" ref="T26">IF(U26="",
"",
SUMPRODUCT(
tb_desp[valor]*
(tb_desp[centro.negocio]=U$2)*
(tb_desp[nucleo]=U26)*
(tb_desp[data.pagamento]&gt;='n&amp;cn'!$C$1)*
(tb_desp[data.pagamento]&lt;='n&amp;cn'!$C$2)
))</f>
        <v/>
      </c>
      <c r="U26" s="267"/>
      <c r="V26" s="290" t="str" cm="1">
        <f t="array" ref="V26">IF(W26="",
"",
SUMPRODUCT(
tb_desp[valor]*
(tb_desp[centro.negocio]=W$2)*
(tb_desp[nucleo]=W26)*
(tb_desp[data.pagamento]&gt;='n&amp;cn'!$C$1)*
(tb_desp[data.pagamento]&lt;='n&amp;cn'!$C$2)
))</f>
        <v/>
      </c>
      <c r="W26" s="267"/>
      <c r="X26" s="290" t="str" cm="1">
        <f t="array" ref="X26">IF(Y26="",
"",
SUMPRODUCT(
tb_desp[valor]*
(tb_desp[centro.negocio]=Y$2)*
(tb_desp[nucleo]=Y26)*
(tb_desp[data.pagamento]&gt;='n&amp;cn'!$C$1)*
(tb_desp[data.pagamento]&lt;='n&amp;cn'!$C$2)
))</f>
        <v/>
      </c>
      <c r="Y26" s="267"/>
      <c r="Z26" s="290" t="str" cm="1">
        <f t="array" ref="Z26">IF(AA26="",
"",
SUMPRODUCT(
tb_desp[valor]*
(tb_desp[centro.negocio]=AA$2)*
(tb_desp[nucleo]=AA26)*
(tb_desp[data.pagamento]&gt;='n&amp;cn'!$C$1)*
(tb_desp[data.pagamento]&lt;='n&amp;cn'!$C$2)
))</f>
        <v/>
      </c>
      <c r="AA26" s="267"/>
      <c r="AB26" s="290" t="str" cm="1">
        <f t="array" ref="AB26">IF(AC26="",
"",
SUMPRODUCT(
tb_desp[valor]*
(tb_desp[centro.negocio]=AC$2)*
(tb_desp[nucleo]=AC26)*
(tb_desp[data.pagamento]&gt;='n&amp;cn'!$C$1)*
(tb_desp[data.pagamento]&lt;='n&amp;cn'!$C$2)
))</f>
        <v/>
      </c>
      <c r="AC26" s="267"/>
      <c r="AD26" s="290" t="str" cm="1">
        <f t="array" ref="AD26">IF(AE26="",
"",
SUMPRODUCT(
tb_desp[valor]*
(tb_desp[centro.negocio]=AE$2)*
(tb_desp[nucleo]=AE26)*
(tb_desp[data.pagamento]&gt;='n&amp;cn'!$C$1)*
(tb_desp[data.pagamento]&lt;='n&amp;cn'!$C$2)
))</f>
        <v/>
      </c>
      <c r="AE26" s="267"/>
      <c r="AF26" s="290" t="str" cm="1">
        <f t="array" ref="AF26">IF(AG26="",
"",
SUMPRODUCT(
tb_desp[valor]*
(tb_desp[centro.negocio]=AG$2)*
(tb_desp[nucleo]=AG26)*
(tb_desp[data.pagamento]&gt;='n&amp;cn'!$C$1)*
(tb_desp[data.pagamento]&lt;='n&amp;cn'!$C$2)
))</f>
        <v/>
      </c>
      <c r="AG26" s="267"/>
      <c r="AH26" s="290" t="str" cm="1">
        <f t="array" ref="AH26">IF(AI26="",
"",
SUMPRODUCT(
tb_desp[valor]*
(tb_desp[centro.negocio]=AI$2)*
(tb_desp[nucleo]=AI26)*
(tb_desp[data.pagamento]&gt;='n&amp;cn'!$C$1)*
(tb_desp[data.pagamento]&lt;='n&amp;cn'!$C$2)
))</f>
        <v/>
      </c>
      <c r="AI26" s="267"/>
      <c r="AJ26" s="290" t="str" cm="1">
        <f t="array" ref="AJ26">IF(AK26="",
"",
SUMPRODUCT(
tb_desp[valor]*
(tb_desp[centro.negocio]=AK$2)*
(tb_desp[nucleo]=AK26)*
(tb_desp[data.pagamento]&gt;='n&amp;cn'!$C$1)*
(tb_desp[data.pagamento]&lt;='n&amp;cn'!$C$2)
))</f>
        <v/>
      </c>
      <c r="AK26" s="267"/>
      <c r="AL26" s="290" t="str" cm="1">
        <f t="array" ref="AL26">IF(AM26="",
"",
SUMPRODUCT(
tb_desp[valor]*
(tb_desp[centro.negocio]=AM$2)*
(tb_desp[nucleo]=AM26)*
(tb_desp[data.pagamento]&gt;='n&amp;cn'!$C$1)*
(tb_desp[data.pagamento]&lt;='n&amp;cn'!$C$2)
))</f>
        <v/>
      </c>
      <c r="AM26" s="267"/>
      <c r="AN26" s="290" t="str" cm="1">
        <f t="array" ref="AN26">IF(AO26="",
"",
SUMPRODUCT(
tb_desp[valor]*
(tb_desp[centro.negocio]=AO$2)*
(tb_desp[nucleo]=AO26)*
(tb_desp[data.pagamento]&gt;='n&amp;cn'!$C$1)*
(tb_desp[data.pagamento]&lt;='n&amp;cn'!$C$2)
))</f>
        <v/>
      </c>
      <c r="AO26" s="267"/>
      <c r="AP26" s="290" t="str" cm="1">
        <f t="array" ref="AP26">IF(AQ26="",
"",
SUMPRODUCT(
tb_desp[valor]*
(tb_desp[centro.negocio]=AQ$2)*
(tb_desp[nucleo]=AQ26)*
(tb_desp[data.pagamento]&gt;='n&amp;cn'!$C$1)*
(tb_desp[data.pagamento]&lt;='n&amp;cn'!$C$2)
))</f>
        <v/>
      </c>
      <c r="AQ26" s="267"/>
      <c r="AR26" s="290" t="str" cm="1">
        <f t="array" ref="AR26">IF(AS26="",
"",
SUMPRODUCT(
tb_desp[valor]*
(tb_desp[centro.negocio]=AS$2)*
(tb_desp[nucleo]=AS26)*
(tb_desp[data.pagamento]&gt;='n&amp;cn'!$C$1)*
(tb_desp[data.pagamento]&lt;='n&amp;cn'!$C$2)
))</f>
        <v/>
      </c>
      <c r="AS26" s="267"/>
      <c r="AT26" s="290" t="str" cm="1">
        <f t="array" ref="AT26">IF(AU26="",
"",
SUMPRODUCT(
tb_desp[valor]*
(tb_desp[centro.negocio]=AU$2)*
(tb_desp[nucleo]=AU26)*
(tb_desp[data.pagamento]&gt;='n&amp;cn'!$C$1)*
(tb_desp[data.pagamento]&lt;='n&amp;cn'!$C$2)
))</f>
        <v/>
      </c>
      <c r="AU26" s="267"/>
      <c r="AV26" s="290" t="str" cm="1">
        <f t="array" ref="AV26">IF(AW26="",
"",
SUMPRODUCT(
tb_desp[valor]*
(tb_desp[centro.negocio]=AW$2)*
(tb_desp[nucleo]=AW26)*
(tb_desp[data.pagamento]&gt;='n&amp;cn'!$C$1)*
(tb_desp[data.pagamento]&lt;='n&amp;cn'!$C$2)
))</f>
        <v/>
      </c>
      <c r="AW26" s="267"/>
      <c r="AX26" s="290" t="str" cm="1">
        <f t="array" ref="AX26">IF(AY26="",
"",
SUMPRODUCT(
tb_desp[valor]*
(tb_desp[centro.negocio]=AY$2)*
(tb_desp[nucleo]=AY26)*
(tb_desp[data.pagamento]&gt;='n&amp;cn'!$C$1)*
(tb_desp[data.pagamento]&lt;='n&amp;cn'!$C$2)
))</f>
        <v/>
      </c>
      <c r="AY26" s="267"/>
      <c r="AZ26" s="290" t="str" cm="1">
        <f t="array" ref="AZ26">IF(BA26="",
"",
SUMPRODUCT(
tb_desp[valor]*
(tb_desp[centro.negocio]=BA$2)*
(tb_desp[nucleo]=BA26)*
(tb_desp[data.pagamento]&gt;='n&amp;cn'!$C$1)*
(tb_desp[data.pagamento]&lt;='n&amp;cn'!$C$2)
))</f>
        <v/>
      </c>
      <c r="BA26" s="267"/>
      <c r="BB26" s="290" t="str" cm="1">
        <f t="array" ref="BB26">IF(BC26="",
"",
SUMPRODUCT(
tb_desp[valor]*
(tb_desp[centro.negocio]=BC$2)*
(tb_desp[nucleo]=BC26)*
(tb_desp[data.pagamento]&gt;='n&amp;cn'!$C$1)*
(tb_desp[data.pagamento]&lt;='n&amp;cn'!$C$2)
))</f>
        <v/>
      </c>
      <c r="BC26" s="267"/>
      <c r="BD26" s="290" t="str" cm="1">
        <f t="array" ref="BD26">IF(BE26="",
"",
SUMPRODUCT(
tb_desp[valor]*
(tb_desp[centro.negocio]=BE$2)*
(tb_desp[nucleo]=BE26)*
(tb_desp[data.pagamento]&gt;='n&amp;cn'!$C$1)*
(tb_desp[data.pagamento]&lt;='n&amp;cn'!$C$2)
))</f>
        <v/>
      </c>
      <c r="BE26" s="267"/>
      <c r="BF26" s="290" t="str" cm="1">
        <f t="array" ref="BF26">IF(BG26="",
"",
SUMPRODUCT(
tb_desp[valor]*
(tb_desp[centro.negocio]=BG$2)*
(tb_desp[nucleo]=BG26)*
(tb_desp[data.pagamento]&gt;='n&amp;cn'!$C$1)*
(tb_desp[data.pagamento]&lt;='n&amp;cn'!$C$2)
))</f>
        <v/>
      </c>
      <c r="BG26" s="267"/>
      <c r="BH26" s="290" t="str" cm="1">
        <f t="array" ref="BH26">IF(BI26="",
"",
SUMPRODUCT(
tb_desp[valor]*
(tb_desp[centro.negocio]=BI$2)*
(tb_desp[nucleo]=BI26)*
(tb_desp[data.pagamento]&gt;='n&amp;cn'!$C$1)*
(tb_desp[data.pagamento]&lt;='n&amp;cn'!$C$2)
))</f>
        <v/>
      </c>
      <c r="BI26" s="267"/>
      <c r="BJ26" s="290" t="str" cm="1">
        <f t="array" ref="BJ26">IF(BK26="",
"",
SUMPRODUCT(
tb_desp[valor]*
(tb_desp[centro.negocio]=BK$2)*
(tb_desp[nucleo]=BK26)*
(tb_desp[data.pagamento]&gt;='n&amp;cn'!$C$1)*
(tb_desp[data.pagamento]&lt;='n&amp;cn'!$C$2)
))</f>
        <v/>
      </c>
      <c r="BK26" s="267"/>
      <c r="BL26" s="290" t="str" cm="1">
        <f t="array" ref="BL26">IF(BM26="",
"",
SUMPRODUCT(
tb_desp[valor]*
(tb_desp[centro.negocio]=BM$2)*
(tb_desp[nucleo]=BM26)*
(tb_desp[data.pagamento]&gt;='n&amp;cn'!$C$1)*
(tb_desp[data.pagamento]&lt;='n&amp;cn'!$C$2)
))</f>
        <v/>
      </c>
      <c r="BM26" s="267"/>
      <c r="BN26" s="290" t="str" cm="1">
        <f t="array" ref="BN26">IF(BO26="",
"",
SUMPRODUCT(
tb_desp[valor]*
(tb_desp[centro.negocio]=BO$2)*
(tb_desp[nucleo]=BO26)*
(tb_desp[data.pagamento]&gt;='n&amp;cn'!$C$1)*
(tb_desp[data.pagamento]&lt;='n&amp;cn'!$C$2)
))</f>
        <v/>
      </c>
      <c r="BO26" s="267"/>
    </row>
    <row r="27" spans="1:67" x14ac:dyDescent="0.25">
      <c r="A27">
        <f t="shared" si="2"/>
        <v>20</v>
      </c>
      <c r="B27" s="161"/>
      <c r="C27" s="163"/>
      <c r="D27" s="164"/>
      <c r="E27" s="167" t="e">
        <f t="shared" si="0"/>
        <v>#DIV/0!</v>
      </c>
      <c r="F27" s="167" t="e">
        <f>SUM($E$8:$E27)</f>
        <v>#DIV/0!</v>
      </c>
      <c r="G27" s="167"/>
      <c r="H27" s="168"/>
      <c r="I27" s="163">
        <f t="shared" si="3"/>
        <v>20</v>
      </c>
      <c r="K27" s="164"/>
      <c r="L27" s="167" t="e">
        <f t="shared" si="1"/>
        <v>#DIV/0!</v>
      </c>
      <c r="M27" s="167" t="e">
        <f>SUM($L$8:$L27)</f>
        <v>#DIV/0!</v>
      </c>
      <c r="R27" s="290" t="str" cm="1">
        <f t="array" ref="R27">IF(S27="",
"",
SUMPRODUCT(
tb_desp[valor]*
(tb_desp[centro.negocio]=S$2)*
(tb_desp[nucleo]=S27)*
(tb_desp[data.pagamento]&gt;='n&amp;cn'!$C$1)*
(tb_desp[data.pagamento]&lt;='n&amp;cn'!$C$2)
))</f>
        <v/>
      </c>
      <c r="S27" s="267"/>
      <c r="T27" s="290" t="str" cm="1">
        <f t="array" ref="T27">IF(U27="",
"",
SUMPRODUCT(
tb_desp[valor]*
(tb_desp[centro.negocio]=U$2)*
(tb_desp[nucleo]=U27)*
(tb_desp[data.pagamento]&gt;='n&amp;cn'!$C$1)*
(tb_desp[data.pagamento]&lt;='n&amp;cn'!$C$2)
))</f>
        <v/>
      </c>
      <c r="U27" s="267"/>
      <c r="V27" s="290" t="str" cm="1">
        <f t="array" ref="V27">IF(W27="",
"",
SUMPRODUCT(
tb_desp[valor]*
(tb_desp[centro.negocio]=W$2)*
(tb_desp[nucleo]=W27)*
(tb_desp[data.pagamento]&gt;='n&amp;cn'!$C$1)*
(tb_desp[data.pagamento]&lt;='n&amp;cn'!$C$2)
))</f>
        <v/>
      </c>
      <c r="W27" s="267"/>
      <c r="X27" s="290" t="str" cm="1">
        <f t="array" ref="X27">IF(Y27="",
"",
SUMPRODUCT(
tb_desp[valor]*
(tb_desp[centro.negocio]=Y$2)*
(tb_desp[nucleo]=Y27)*
(tb_desp[data.pagamento]&gt;='n&amp;cn'!$C$1)*
(tb_desp[data.pagamento]&lt;='n&amp;cn'!$C$2)
))</f>
        <v/>
      </c>
      <c r="Y27" s="267"/>
      <c r="Z27" s="290" t="str" cm="1">
        <f t="array" ref="Z27">IF(AA27="",
"",
SUMPRODUCT(
tb_desp[valor]*
(tb_desp[centro.negocio]=AA$2)*
(tb_desp[nucleo]=AA27)*
(tb_desp[data.pagamento]&gt;='n&amp;cn'!$C$1)*
(tb_desp[data.pagamento]&lt;='n&amp;cn'!$C$2)
))</f>
        <v/>
      </c>
      <c r="AA27" s="267"/>
      <c r="AB27" s="290" t="str" cm="1">
        <f t="array" ref="AB27">IF(AC27="",
"",
SUMPRODUCT(
tb_desp[valor]*
(tb_desp[centro.negocio]=AC$2)*
(tb_desp[nucleo]=AC27)*
(tb_desp[data.pagamento]&gt;='n&amp;cn'!$C$1)*
(tb_desp[data.pagamento]&lt;='n&amp;cn'!$C$2)
))</f>
        <v/>
      </c>
      <c r="AC27" s="267"/>
      <c r="AD27" s="290" t="str" cm="1">
        <f t="array" ref="AD27">IF(AE27="",
"",
SUMPRODUCT(
tb_desp[valor]*
(tb_desp[centro.negocio]=AE$2)*
(tb_desp[nucleo]=AE27)*
(tb_desp[data.pagamento]&gt;='n&amp;cn'!$C$1)*
(tb_desp[data.pagamento]&lt;='n&amp;cn'!$C$2)
))</f>
        <v/>
      </c>
      <c r="AE27" s="267"/>
      <c r="AF27" s="290" t="str" cm="1">
        <f t="array" ref="AF27">IF(AG27="",
"",
SUMPRODUCT(
tb_desp[valor]*
(tb_desp[centro.negocio]=AG$2)*
(tb_desp[nucleo]=AG27)*
(tb_desp[data.pagamento]&gt;='n&amp;cn'!$C$1)*
(tb_desp[data.pagamento]&lt;='n&amp;cn'!$C$2)
))</f>
        <v/>
      </c>
      <c r="AG27" s="267"/>
      <c r="AH27" s="290" t="str" cm="1">
        <f t="array" ref="AH27">IF(AI27="",
"",
SUMPRODUCT(
tb_desp[valor]*
(tb_desp[centro.negocio]=AI$2)*
(tb_desp[nucleo]=AI27)*
(tb_desp[data.pagamento]&gt;='n&amp;cn'!$C$1)*
(tb_desp[data.pagamento]&lt;='n&amp;cn'!$C$2)
))</f>
        <v/>
      </c>
      <c r="AI27" s="267"/>
      <c r="AJ27" s="290" t="str" cm="1">
        <f t="array" ref="AJ27">IF(AK27="",
"",
SUMPRODUCT(
tb_desp[valor]*
(tb_desp[centro.negocio]=AK$2)*
(tb_desp[nucleo]=AK27)*
(tb_desp[data.pagamento]&gt;='n&amp;cn'!$C$1)*
(tb_desp[data.pagamento]&lt;='n&amp;cn'!$C$2)
))</f>
        <v/>
      </c>
      <c r="AK27" s="267"/>
      <c r="AL27" s="290" t="str" cm="1">
        <f t="array" ref="AL27">IF(AM27="",
"",
SUMPRODUCT(
tb_desp[valor]*
(tb_desp[centro.negocio]=AM$2)*
(tb_desp[nucleo]=AM27)*
(tb_desp[data.pagamento]&gt;='n&amp;cn'!$C$1)*
(tb_desp[data.pagamento]&lt;='n&amp;cn'!$C$2)
))</f>
        <v/>
      </c>
      <c r="AM27" s="267"/>
      <c r="AN27" s="290" t="str" cm="1">
        <f t="array" ref="AN27">IF(AO27="",
"",
SUMPRODUCT(
tb_desp[valor]*
(tb_desp[centro.negocio]=AO$2)*
(tb_desp[nucleo]=AO27)*
(tb_desp[data.pagamento]&gt;='n&amp;cn'!$C$1)*
(tb_desp[data.pagamento]&lt;='n&amp;cn'!$C$2)
))</f>
        <v/>
      </c>
      <c r="AO27" s="267"/>
      <c r="AP27" s="290" t="str" cm="1">
        <f t="array" ref="AP27">IF(AQ27="",
"",
SUMPRODUCT(
tb_desp[valor]*
(tb_desp[centro.negocio]=AQ$2)*
(tb_desp[nucleo]=AQ27)*
(tb_desp[data.pagamento]&gt;='n&amp;cn'!$C$1)*
(tb_desp[data.pagamento]&lt;='n&amp;cn'!$C$2)
))</f>
        <v/>
      </c>
      <c r="AQ27" s="267"/>
      <c r="AR27" s="290" t="str" cm="1">
        <f t="array" ref="AR27">IF(AS27="",
"",
SUMPRODUCT(
tb_desp[valor]*
(tb_desp[centro.negocio]=AS$2)*
(tb_desp[nucleo]=AS27)*
(tb_desp[data.pagamento]&gt;='n&amp;cn'!$C$1)*
(tb_desp[data.pagamento]&lt;='n&amp;cn'!$C$2)
))</f>
        <v/>
      </c>
      <c r="AS27" s="267"/>
      <c r="AT27" s="290" t="str" cm="1">
        <f t="array" ref="AT27">IF(AU27="",
"",
SUMPRODUCT(
tb_desp[valor]*
(tb_desp[centro.negocio]=AU$2)*
(tb_desp[nucleo]=AU27)*
(tb_desp[data.pagamento]&gt;='n&amp;cn'!$C$1)*
(tb_desp[data.pagamento]&lt;='n&amp;cn'!$C$2)
))</f>
        <v/>
      </c>
      <c r="AU27" s="267"/>
      <c r="AV27" s="290" t="str" cm="1">
        <f t="array" ref="AV27">IF(AW27="",
"",
SUMPRODUCT(
tb_desp[valor]*
(tb_desp[centro.negocio]=AW$2)*
(tb_desp[nucleo]=AW27)*
(tb_desp[data.pagamento]&gt;='n&amp;cn'!$C$1)*
(tb_desp[data.pagamento]&lt;='n&amp;cn'!$C$2)
))</f>
        <v/>
      </c>
      <c r="AW27" s="267"/>
      <c r="AX27" s="290" t="str" cm="1">
        <f t="array" ref="AX27">IF(AY27="",
"",
SUMPRODUCT(
tb_desp[valor]*
(tb_desp[centro.negocio]=AY$2)*
(tb_desp[nucleo]=AY27)*
(tb_desp[data.pagamento]&gt;='n&amp;cn'!$C$1)*
(tb_desp[data.pagamento]&lt;='n&amp;cn'!$C$2)
))</f>
        <v/>
      </c>
      <c r="AY27" s="267"/>
      <c r="AZ27" s="290" t="str" cm="1">
        <f t="array" ref="AZ27">IF(BA27="",
"",
SUMPRODUCT(
tb_desp[valor]*
(tb_desp[centro.negocio]=BA$2)*
(tb_desp[nucleo]=BA27)*
(tb_desp[data.pagamento]&gt;='n&amp;cn'!$C$1)*
(tb_desp[data.pagamento]&lt;='n&amp;cn'!$C$2)
))</f>
        <v/>
      </c>
      <c r="BA27" s="267"/>
      <c r="BB27" s="290" t="str" cm="1">
        <f t="array" ref="BB27">IF(BC27="",
"",
SUMPRODUCT(
tb_desp[valor]*
(tb_desp[centro.negocio]=BC$2)*
(tb_desp[nucleo]=BC27)*
(tb_desp[data.pagamento]&gt;='n&amp;cn'!$C$1)*
(tb_desp[data.pagamento]&lt;='n&amp;cn'!$C$2)
))</f>
        <v/>
      </c>
      <c r="BC27" s="267"/>
      <c r="BD27" s="290" t="str" cm="1">
        <f t="array" ref="BD27">IF(BE27="",
"",
SUMPRODUCT(
tb_desp[valor]*
(tb_desp[centro.negocio]=BE$2)*
(tb_desp[nucleo]=BE27)*
(tb_desp[data.pagamento]&gt;='n&amp;cn'!$C$1)*
(tb_desp[data.pagamento]&lt;='n&amp;cn'!$C$2)
))</f>
        <v/>
      </c>
      <c r="BE27" s="267"/>
      <c r="BF27" s="290" t="str" cm="1">
        <f t="array" ref="BF27">IF(BG27="",
"",
SUMPRODUCT(
tb_desp[valor]*
(tb_desp[centro.negocio]=BG$2)*
(tb_desp[nucleo]=BG27)*
(tb_desp[data.pagamento]&gt;='n&amp;cn'!$C$1)*
(tb_desp[data.pagamento]&lt;='n&amp;cn'!$C$2)
))</f>
        <v/>
      </c>
      <c r="BG27" s="267"/>
      <c r="BH27" s="290" t="str" cm="1">
        <f t="array" ref="BH27">IF(BI27="",
"",
SUMPRODUCT(
tb_desp[valor]*
(tb_desp[centro.negocio]=BI$2)*
(tb_desp[nucleo]=BI27)*
(tb_desp[data.pagamento]&gt;='n&amp;cn'!$C$1)*
(tb_desp[data.pagamento]&lt;='n&amp;cn'!$C$2)
))</f>
        <v/>
      </c>
      <c r="BI27" s="267"/>
      <c r="BJ27" s="290" t="str" cm="1">
        <f t="array" ref="BJ27">IF(BK27="",
"",
SUMPRODUCT(
tb_desp[valor]*
(tb_desp[centro.negocio]=BK$2)*
(tb_desp[nucleo]=BK27)*
(tb_desp[data.pagamento]&gt;='n&amp;cn'!$C$1)*
(tb_desp[data.pagamento]&lt;='n&amp;cn'!$C$2)
))</f>
        <v/>
      </c>
      <c r="BK27" s="267"/>
      <c r="BL27" s="290" t="str" cm="1">
        <f t="array" ref="BL27">IF(BM27="",
"",
SUMPRODUCT(
tb_desp[valor]*
(tb_desp[centro.negocio]=BM$2)*
(tb_desp[nucleo]=BM27)*
(tb_desp[data.pagamento]&gt;='n&amp;cn'!$C$1)*
(tb_desp[data.pagamento]&lt;='n&amp;cn'!$C$2)
))</f>
        <v/>
      </c>
      <c r="BM27" s="267"/>
      <c r="BN27" s="290" t="str" cm="1">
        <f t="array" ref="BN27">IF(BO27="",
"",
SUMPRODUCT(
tb_desp[valor]*
(tb_desp[centro.negocio]=BO$2)*
(tb_desp[nucleo]=BO27)*
(tb_desp[data.pagamento]&gt;='n&amp;cn'!$C$1)*
(tb_desp[data.pagamento]&lt;='n&amp;cn'!$C$2)
))</f>
        <v/>
      </c>
      <c r="BO27" s="267"/>
    </row>
    <row r="28" spans="1:67" x14ac:dyDescent="0.25">
      <c r="A28">
        <f t="shared" si="2"/>
        <v>21</v>
      </c>
      <c r="B28" s="161"/>
      <c r="C28" s="163"/>
      <c r="D28" s="164"/>
      <c r="E28" s="167" t="e">
        <f t="shared" si="0"/>
        <v>#DIV/0!</v>
      </c>
      <c r="F28" s="167" t="e">
        <f>SUM($E$8:$E28)</f>
        <v>#DIV/0!</v>
      </c>
      <c r="G28" s="167"/>
      <c r="H28" s="168"/>
      <c r="I28" s="163">
        <f t="shared" si="3"/>
        <v>21</v>
      </c>
      <c r="K28" s="164"/>
      <c r="L28" s="167" t="e">
        <f t="shared" si="1"/>
        <v>#DIV/0!</v>
      </c>
      <c r="M28" s="167" t="e">
        <f>SUM($L$8:$L28)</f>
        <v>#DIV/0!</v>
      </c>
      <c r="R28" s="290" t="str" cm="1">
        <f t="array" ref="R28">IF(S28="",
"",
SUMPRODUCT(
tb_desp[valor]*
(tb_desp[centro.negocio]=S$2)*
(tb_desp[nucleo]=S28)*
(tb_desp[data.pagamento]&gt;='n&amp;cn'!$C$1)*
(tb_desp[data.pagamento]&lt;='n&amp;cn'!$C$2)
))</f>
        <v/>
      </c>
      <c r="S28" s="267"/>
      <c r="T28" s="290" t="str" cm="1">
        <f t="array" ref="T28">IF(U28="",
"",
SUMPRODUCT(
tb_desp[valor]*
(tb_desp[centro.negocio]=U$2)*
(tb_desp[nucleo]=U28)*
(tb_desp[data.pagamento]&gt;='n&amp;cn'!$C$1)*
(tb_desp[data.pagamento]&lt;='n&amp;cn'!$C$2)
))</f>
        <v/>
      </c>
      <c r="U28" s="267"/>
      <c r="V28" s="290" t="str" cm="1">
        <f t="array" ref="V28">IF(W28="",
"",
SUMPRODUCT(
tb_desp[valor]*
(tb_desp[centro.negocio]=W$2)*
(tb_desp[nucleo]=W28)*
(tb_desp[data.pagamento]&gt;='n&amp;cn'!$C$1)*
(tb_desp[data.pagamento]&lt;='n&amp;cn'!$C$2)
))</f>
        <v/>
      </c>
      <c r="W28" s="267"/>
      <c r="X28" s="290" t="str" cm="1">
        <f t="array" ref="X28">IF(Y28="",
"",
SUMPRODUCT(
tb_desp[valor]*
(tb_desp[centro.negocio]=Y$2)*
(tb_desp[nucleo]=Y28)*
(tb_desp[data.pagamento]&gt;='n&amp;cn'!$C$1)*
(tb_desp[data.pagamento]&lt;='n&amp;cn'!$C$2)
))</f>
        <v/>
      </c>
      <c r="Y28" s="267"/>
      <c r="Z28" s="290" t="str" cm="1">
        <f t="array" ref="Z28">IF(AA28="",
"",
SUMPRODUCT(
tb_desp[valor]*
(tb_desp[centro.negocio]=AA$2)*
(tb_desp[nucleo]=AA28)*
(tb_desp[data.pagamento]&gt;='n&amp;cn'!$C$1)*
(tb_desp[data.pagamento]&lt;='n&amp;cn'!$C$2)
))</f>
        <v/>
      </c>
      <c r="AA28" s="267"/>
      <c r="AB28" s="290" t="str" cm="1">
        <f t="array" ref="AB28">IF(AC28="",
"",
SUMPRODUCT(
tb_desp[valor]*
(tb_desp[centro.negocio]=AC$2)*
(tb_desp[nucleo]=AC28)*
(tb_desp[data.pagamento]&gt;='n&amp;cn'!$C$1)*
(tb_desp[data.pagamento]&lt;='n&amp;cn'!$C$2)
))</f>
        <v/>
      </c>
      <c r="AC28" s="267"/>
      <c r="AD28" s="290" t="str" cm="1">
        <f t="array" ref="AD28">IF(AE28="",
"",
SUMPRODUCT(
tb_desp[valor]*
(tb_desp[centro.negocio]=AE$2)*
(tb_desp[nucleo]=AE28)*
(tb_desp[data.pagamento]&gt;='n&amp;cn'!$C$1)*
(tb_desp[data.pagamento]&lt;='n&amp;cn'!$C$2)
))</f>
        <v/>
      </c>
      <c r="AE28" s="267"/>
      <c r="AF28" s="290" t="str" cm="1">
        <f t="array" ref="AF28">IF(AG28="",
"",
SUMPRODUCT(
tb_desp[valor]*
(tb_desp[centro.negocio]=AG$2)*
(tb_desp[nucleo]=AG28)*
(tb_desp[data.pagamento]&gt;='n&amp;cn'!$C$1)*
(tb_desp[data.pagamento]&lt;='n&amp;cn'!$C$2)
))</f>
        <v/>
      </c>
      <c r="AG28" s="267"/>
      <c r="AH28" s="290" t="str" cm="1">
        <f t="array" ref="AH28">IF(AI28="",
"",
SUMPRODUCT(
tb_desp[valor]*
(tb_desp[centro.negocio]=AI$2)*
(tb_desp[nucleo]=AI28)*
(tb_desp[data.pagamento]&gt;='n&amp;cn'!$C$1)*
(tb_desp[data.pagamento]&lt;='n&amp;cn'!$C$2)
))</f>
        <v/>
      </c>
      <c r="AI28" s="267"/>
      <c r="AJ28" s="290" t="str" cm="1">
        <f t="array" ref="AJ28">IF(AK28="",
"",
SUMPRODUCT(
tb_desp[valor]*
(tb_desp[centro.negocio]=AK$2)*
(tb_desp[nucleo]=AK28)*
(tb_desp[data.pagamento]&gt;='n&amp;cn'!$C$1)*
(tb_desp[data.pagamento]&lt;='n&amp;cn'!$C$2)
))</f>
        <v/>
      </c>
      <c r="AK28" s="267"/>
      <c r="AL28" s="290" t="str" cm="1">
        <f t="array" ref="AL28">IF(AM28="",
"",
SUMPRODUCT(
tb_desp[valor]*
(tb_desp[centro.negocio]=AM$2)*
(tb_desp[nucleo]=AM28)*
(tb_desp[data.pagamento]&gt;='n&amp;cn'!$C$1)*
(tb_desp[data.pagamento]&lt;='n&amp;cn'!$C$2)
))</f>
        <v/>
      </c>
      <c r="AM28" s="267"/>
      <c r="AN28" s="290" t="str" cm="1">
        <f t="array" ref="AN28">IF(AO28="",
"",
SUMPRODUCT(
tb_desp[valor]*
(tb_desp[centro.negocio]=AO$2)*
(tb_desp[nucleo]=AO28)*
(tb_desp[data.pagamento]&gt;='n&amp;cn'!$C$1)*
(tb_desp[data.pagamento]&lt;='n&amp;cn'!$C$2)
))</f>
        <v/>
      </c>
      <c r="AO28" s="267"/>
      <c r="AP28" s="290" t="str" cm="1">
        <f t="array" ref="AP28">IF(AQ28="",
"",
SUMPRODUCT(
tb_desp[valor]*
(tb_desp[centro.negocio]=AQ$2)*
(tb_desp[nucleo]=AQ28)*
(tb_desp[data.pagamento]&gt;='n&amp;cn'!$C$1)*
(tb_desp[data.pagamento]&lt;='n&amp;cn'!$C$2)
))</f>
        <v/>
      </c>
      <c r="AQ28" s="267"/>
      <c r="AR28" s="290" t="str" cm="1">
        <f t="array" ref="AR28">IF(AS28="",
"",
SUMPRODUCT(
tb_desp[valor]*
(tb_desp[centro.negocio]=AS$2)*
(tb_desp[nucleo]=AS28)*
(tb_desp[data.pagamento]&gt;='n&amp;cn'!$C$1)*
(tb_desp[data.pagamento]&lt;='n&amp;cn'!$C$2)
))</f>
        <v/>
      </c>
      <c r="AS28" s="267"/>
      <c r="AT28" s="290" t="str" cm="1">
        <f t="array" ref="AT28">IF(AU28="",
"",
SUMPRODUCT(
tb_desp[valor]*
(tb_desp[centro.negocio]=AU$2)*
(tb_desp[nucleo]=AU28)*
(tb_desp[data.pagamento]&gt;='n&amp;cn'!$C$1)*
(tb_desp[data.pagamento]&lt;='n&amp;cn'!$C$2)
))</f>
        <v/>
      </c>
      <c r="AU28" s="267"/>
      <c r="AV28" s="290" t="str" cm="1">
        <f t="array" ref="AV28">IF(AW28="",
"",
SUMPRODUCT(
tb_desp[valor]*
(tb_desp[centro.negocio]=AW$2)*
(tb_desp[nucleo]=AW28)*
(tb_desp[data.pagamento]&gt;='n&amp;cn'!$C$1)*
(tb_desp[data.pagamento]&lt;='n&amp;cn'!$C$2)
))</f>
        <v/>
      </c>
      <c r="AW28" s="267"/>
      <c r="AX28" s="290" t="str" cm="1">
        <f t="array" ref="AX28">IF(AY28="",
"",
SUMPRODUCT(
tb_desp[valor]*
(tb_desp[centro.negocio]=AY$2)*
(tb_desp[nucleo]=AY28)*
(tb_desp[data.pagamento]&gt;='n&amp;cn'!$C$1)*
(tb_desp[data.pagamento]&lt;='n&amp;cn'!$C$2)
))</f>
        <v/>
      </c>
      <c r="AY28" s="267"/>
      <c r="AZ28" s="290" t="str" cm="1">
        <f t="array" ref="AZ28">IF(BA28="",
"",
SUMPRODUCT(
tb_desp[valor]*
(tb_desp[centro.negocio]=BA$2)*
(tb_desp[nucleo]=BA28)*
(tb_desp[data.pagamento]&gt;='n&amp;cn'!$C$1)*
(tb_desp[data.pagamento]&lt;='n&amp;cn'!$C$2)
))</f>
        <v/>
      </c>
      <c r="BA28" s="267"/>
      <c r="BB28" s="290" t="str" cm="1">
        <f t="array" ref="BB28">IF(BC28="",
"",
SUMPRODUCT(
tb_desp[valor]*
(tb_desp[centro.negocio]=BC$2)*
(tb_desp[nucleo]=BC28)*
(tb_desp[data.pagamento]&gt;='n&amp;cn'!$C$1)*
(tb_desp[data.pagamento]&lt;='n&amp;cn'!$C$2)
))</f>
        <v/>
      </c>
      <c r="BC28" s="267"/>
      <c r="BD28" s="290" t="str" cm="1">
        <f t="array" ref="BD28">IF(BE28="",
"",
SUMPRODUCT(
tb_desp[valor]*
(tb_desp[centro.negocio]=BE$2)*
(tb_desp[nucleo]=BE28)*
(tb_desp[data.pagamento]&gt;='n&amp;cn'!$C$1)*
(tb_desp[data.pagamento]&lt;='n&amp;cn'!$C$2)
))</f>
        <v/>
      </c>
      <c r="BE28" s="267"/>
      <c r="BF28" s="290" t="str" cm="1">
        <f t="array" ref="BF28">IF(BG28="",
"",
SUMPRODUCT(
tb_desp[valor]*
(tb_desp[centro.negocio]=BG$2)*
(tb_desp[nucleo]=BG28)*
(tb_desp[data.pagamento]&gt;='n&amp;cn'!$C$1)*
(tb_desp[data.pagamento]&lt;='n&amp;cn'!$C$2)
))</f>
        <v/>
      </c>
      <c r="BG28" s="267"/>
      <c r="BH28" s="290" t="str" cm="1">
        <f t="array" ref="BH28">IF(BI28="",
"",
SUMPRODUCT(
tb_desp[valor]*
(tb_desp[centro.negocio]=BI$2)*
(tb_desp[nucleo]=BI28)*
(tb_desp[data.pagamento]&gt;='n&amp;cn'!$C$1)*
(tb_desp[data.pagamento]&lt;='n&amp;cn'!$C$2)
))</f>
        <v/>
      </c>
      <c r="BI28" s="267"/>
      <c r="BJ28" s="290" t="str" cm="1">
        <f t="array" ref="BJ28">IF(BK28="",
"",
SUMPRODUCT(
tb_desp[valor]*
(tb_desp[centro.negocio]=BK$2)*
(tb_desp[nucleo]=BK28)*
(tb_desp[data.pagamento]&gt;='n&amp;cn'!$C$1)*
(tb_desp[data.pagamento]&lt;='n&amp;cn'!$C$2)
))</f>
        <v/>
      </c>
      <c r="BK28" s="267"/>
      <c r="BL28" s="290" t="str" cm="1">
        <f t="array" ref="BL28">IF(BM28="",
"",
SUMPRODUCT(
tb_desp[valor]*
(tb_desp[centro.negocio]=BM$2)*
(tb_desp[nucleo]=BM28)*
(tb_desp[data.pagamento]&gt;='n&amp;cn'!$C$1)*
(tb_desp[data.pagamento]&lt;='n&amp;cn'!$C$2)
))</f>
        <v/>
      </c>
      <c r="BM28" s="267"/>
      <c r="BN28" s="290" t="str" cm="1">
        <f t="array" ref="BN28">IF(BO28="",
"",
SUMPRODUCT(
tb_desp[valor]*
(tb_desp[centro.negocio]=BO$2)*
(tb_desp[nucleo]=BO28)*
(tb_desp[data.pagamento]&gt;='n&amp;cn'!$C$1)*
(tb_desp[data.pagamento]&lt;='n&amp;cn'!$C$2)
))</f>
        <v/>
      </c>
      <c r="BO28" s="267"/>
    </row>
    <row r="29" spans="1:67" x14ac:dyDescent="0.25">
      <c r="A29">
        <f t="shared" si="2"/>
        <v>22</v>
      </c>
      <c r="B29" s="161"/>
      <c r="C29" s="163"/>
      <c r="D29" s="164"/>
      <c r="E29" s="167" t="e">
        <f t="shared" si="0"/>
        <v>#DIV/0!</v>
      </c>
      <c r="F29" s="167" t="e">
        <f>SUM($E$8:$E29)</f>
        <v>#DIV/0!</v>
      </c>
      <c r="G29" s="167"/>
      <c r="H29" s="168"/>
      <c r="I29" s="163">
        <f t="shared" si="3"/>
        <v>22</v>
      </c>
      <c r="K29" s="164"/>
      <c r="L29" s="167" t="e">
        <f t="shared" si="1"/>
        <v>#DIV/0!</v>
      </c>
      <c r="M29" s="167" t="e">
        <f>SUM($L$8:$L29)</f>
        <v>#DIV/0!</v>
      </c>
      <c r="R29" s="290" t="str" cm="1">
        <f t="array" ref="R29">IF(S29="",
"",
SUMPRODUCT(
tb_desp[valor]*
(tb_desp[centro.negocio]=S$2)*
(tb_desp[nucleo]=S29)*
(tb_desp[data.pagamento]&gt;='n&amp;cn'!$C$1)*
(tb_desp[data.pagamento]&lt;='n&amp;cn'!$C$2)
))</f>
        <v/>
      </c>
      <c r="S29" s="267"/>
      <c r="T29" s="290" t="str" cm="1">
        <f t="array" ref="T29">IF(U29="",
"",
SUMPRODUCT(
tb_desp[valor]*
(tb_desp[centro.negocio]=U$2)*
(tb_desp[nucleo]=U29)*
(tb_desp[data.pagamento]&gt;='n&amp;cn'!$C$1)*
(tb_desp[data.pagamento]&lt;='n&amp;cn'!$C$2)
))</f>
        <v/>
      </c>
      <c r="U29" s="267"/>
      <c r="V29" s="290" t="str" cm="1">
        <f t="array" ref="V29">IF(W29="",
"",
SUMPRODUCT(
tb_desp[valor]*
(tb_desp[centro.negocio]=W$2)*
(tb_desp[nucleo]=W29)*
(tb_desp[data.pagamento]&gt;='n&amp;cn'!$C$1)*
(tb_desp[data.pagamento]&lt;='n&amp;cn'!$C$2)
))</f>
        <v/>
      </c>
      <c r="W29" s="267"/>
      <c r="X29" s="290" t="str" cm="1">
        <f t="array" ref="X29">IF(Y29="",
"",
SUMPRODUCT(
tb_desp[valor]*
(tb_desp[centro.negocio]=Y$2)*
(tb_desp[nucleo]=Y29)*
(tb_desp[data.pagamento]&gt;='n&amp;cn'!$C$1)*
(tb_desp[data.pagamento]&lt;='n&amp;cn'!$C$2)
))</f>
        <v/>
      </c>
      <c r="Y29" s="267"/>
      <c r="Z29" s="290" t="str" cm="1">
        <f t="array" ref="Z29">IF(AA29="",
"",
SUMPRODUCT(
tb_desp[valor]*
(tb_desp[centro.negocio]=AA$2)*
(tb_desp[nucleo]=AA29)*
(tb_desp[data.pagamento]&gt;='n&amp;cn'!$C$1)*
(tb_desp[data.pagamento]&lt;='n&amp;cn'!$C$2)
))</f>
        <v/>
      </c>
      <c r="AA29" s="267"/>
      <c r="AB29" s="290" t="str" cm="1">
        <f t="array" ref="AB29">IF(AC29="",
"",
SUMPRODUCT(
tb_desp[valor]*
(tb_desp[centro.negocio]=AC$2)*
(tb_desp[nucleo]=AC29)*
(tb_desp[data.pagamento]&gt;='n&amp;cn'!$C$1)*
(tb_desp[data.pagamento]&lt;='n&amp;cn'!$C$2)
))</f>
        <v/>
      </c>
      <c r="AC29" s="267"/>
      <c r="AD29" s="290" t="str" cm="1">
        <f t="array" ref="AD29">IF(AE29="",
"",
SUMPRODUCT(
tb_desp[valor]*
(tb_desp[centro.negocio]=AE$2)*
(tb_desp[nucleo]=AE29)*
(tb_desp[data.pagamento]&gt;='n&amp;cn'!$C$1)*
(tb_desp[data.pagamento]&lt;='n&amp;cn'!$C$2)
))</f>
        <v/>
      </c>
      <c r="AE29" s="267"/>
      <c r="AF29" s="290" t="str" cm="1">
        <f t="array" ref="AF29">IF(AG29="",
"",
SUMPRODUCT(
tb_desp[valor]*
(tb_desp[centro.negocio]=AG$2)*
(tb_desp[nucleo]=AG29)*
(tb_desp[data.pagamento]&gt;='n&amp;cn'!$C$1)*
(tb_desp[data.pagamento]&lt;='n&amp;cn'!$C$2)
))</f>
        <v/>
      </c>
      <c r="AG29" s="267"/>
      <c r="AH29" s="290" t="str" cm="1">
        <f t="array" ref="AH29">IF(AI29="",
"",
SUMPRODUCT(
tb_desp[valor]*
(tb_desp[centro.negocio]=AI$2)*
(tb_desp[nucleo]=AI29)*
(tb_desp[data.pagamento]&gt;='n&amp;cn'!$C$1)*
(tb_desp[data.pagamento]&lt;='n&amp;cn'!$C$2)
))</f>
        <v/>
      </c>
      <c r="AI29" s="267"/>
      <c r="AJ29" s="290" t="str" cm="1">
        <f t="array" ref="AJ29">IF(AK29="",
"",
SUMPRODUCT(
tb_desp[valor]*
(tb_desp[centro.negocio]=AK$2)*
(tb_desp[nucleo]=AK29)*
(tb_desp[data.pagamento]&gt;='n&amp;cn'!$C$1)*
(tb_desp[data.pagamento]&lt;='n&amp;cn'!$C$2)
))</f>
        <v/>
      </c>
      <c r="AK29" s="267"/>
      <c r="AL29" s="290" t="str" cm="1">
        <f t="array" ref="AL29">IF(AM29="",
"",
SUMPRODUCT(
tb_desp[valor]*
(tb_desp[centro.negocio]=AM$2)*
(tb_desp[nucleo]=AM29)*
(tb_desp[data.pagamento]&gt;='n&amp;cn'!$C$1)*
(tb_desp[data.pagamento]&lt;='n&amp;cn'!$C$2)
))</f>
        <v/>
      </c>
      <c r="AM29" s="267"/>
      <c r="AN29" s="290" t="str" cm="1">
        <f t="array" ref="AN29">IF(AO29="",
"",
SUMPRODUCT(
tb_desp[valor]*
(tb_desp[centro.negocio]=AO$2)*
(tb_desp[nucleo]=AO29)*
(tb_desp[data.pagamento]&gt;='n&amp;cn'!$C$1)*
(tb_desp[data.pagamento]&lt;='n&amp;cn'!$C$2)
))</f>
        <v/>
      </c>
      <c r="AO29" s="267"/>
      <c r="AP29" s="290" t="str" cm="1">
        <f t="array" ref="AP29">IF(AQ29="",
"",
SUMPRODUCT(
tb_desp[valor]*
(tb_desp[centro.negocio]=AQ$2)*
(tb_desp[nucleo]=AQ29)*
(tb_desp[data.pagamento]&gt;='n&amp;cn'!$C$1)*
(tb_desp[data.pagamento]&lt;='n&amp;cn'!$C$2)
))</f>
        <v/>
      </c>
      <c r="AQ29" s="267"/>
      <c r="AR29" s="290" t="str" cm="1">
        <f t="array" ref="AR29">IF(AS29="",
"",
SUMPRODUCT(
tb_desp[valor]*
(tb_desp[centro.negocio]=AS$2)*
(tb_desp[nucleo]=AS29)*
(tb_desp[data.pagamento]&gt;='n&amp;cn'!$C$1)*
(tb_desp[data.pagamento]&lt;='n&amp;cn'!$C$2)
))</f>
        <v/>
      </c>
      <c r="AS29" s="267"/>
      <c r="AT29" s="290" t="str" cm="1">
        <f t="array" ref="AT29">IF(AU29="",
"",
SUMPRODUCT(
tb_desp[valor]*
(tb_desp[centro.negocio]=AU$2)*
(tb_desp[nucleo]=AU29)*
(tb_desp[data.pagamento]&gt;='n&amp;cn'!$C$1)*
(tb_desp[data.pagamento]&lt;='n&amp;cn'!$C$2)
))</f>
        <v/>
      </c>
      <c r="AU29" s="267"/>
      <c r="AV29" s="290" t="str" cm="1">
        <f t="array" ref="AV29">IF(AW29="",
"",
SUMPRODUCT(
tb_desp[valor]*
(tb_desp[centro.negocio]=AW$2)*
(tb_desp[nucleo]=AW29)*
(tb_desp[data.pagamento]&gt;='n&amp;cn'!$C$1)*
(tb_desp[data.pagamento]&lt;='n&amp;cn'!$C$2)
))</f>
        <v/>
      </c>
      <c r="AW29" s="267"/>
      <c r="AX29" s="290" t="str" cm="1">
        <f t="array" ref="AX29">IF(AY29="",
"",
SUMPRODUCT(
tb_desp[valor]*
(tb_desp[centro.negocio]=AY$2)*
(tb_desp[nucleo]=AY29)*
(tb_desp[data.pagamento]&gt;='n&amp;cn'!$C$1)*
(tb_desp[data.pagamento]&lt;='n&amp;cn'!$C$2)
))</f>
        <v/>
      </c>
      <c r="AY29" s="267"/>
      <c r="AZ29" s="290" t="str" cm="1">
        <f t="array" ref="AZ29">IF(BA29="",
"",
SUMPRODUCT(
tb_desp[valor]*
(tb_desp[centro.negocio]=BA$2)*
(tb_desp[nucleo]=BA29)*
(tb_desp[data.pagamento]&gt;='n&amp;cn'!$C$1)*
(tb_desp[data.pagamento]&lt;='n&amp;cn'!$C$2)
))</f>
        <v/>
      </c>
      <c r="BA29" s="267"/>
      <c r="BB29" s="290" t="str" cm="1">
        <f t="array" ref="BB29">IF(BC29="",
"",
SUMPRODUCT(
tb_desp[valor]*
(tb_desp[centro.negocio]=BC$2)*
(tb_desp[nucleo]=BC29)*
(tb_desp[data.pagamento]&gt;='n&amp;cn'!$C$1)*
(tb_desp[data.pagamento]&lt;='n&amp;cn'!$C$2)
))</f>
        <v/>
      </c>
      <c r="BC29" s="267"/>
      <c r="BD29" s="290" t="str" cm="1">
        <f t="array" ref="BD29">IF(BE29="",
"",
SUMPRODUCT(
tb_desp[valor]*
(tb_desp[centro.negocio]=BE$2)*
(tb_desp[nucleo]=BE29)*
(tb_desp[data.pagamento]&gt;='n&amp;cn'!$C$1)*
(tb_desp[data.pagamento]&lt;='n&amp;cn'!$C$2)
))</f>
        <v/>
      </c>
      <c r="BE29" s="267"/>
      <c r="BF29" s="290" t="str" cm="1">
        <f t="array" ref="BF29">IF(BG29="",
"",
SUMPRODUCT(
tb_desp[valor]*
(tb_desp[centro.negocio]=BG$2)*
(tb_desp[nucleo]=BG29)*
(tb_desp[data.pagamento]&gt;='n&amp;cn'!$C$1)*
(tb_desp[data.pagamento]&lt;='n&amp;cn'!$C$2)
))</f>
        <v/>
      </c>
      <c r="BG29" s="267"/>
      <c r="BH29" s="290" t="str" cm="1">
        <f t="array" ref="BH29">IF(BI29="",
"",
SUMPRODUCT(
tb_desp[valor]*
(tb_desp[centro.negocio]=BI$2)*
(tb_desp[nucleo]=BI29)*
(tb_desp[data.pagamento]&gt;='n&amp;cn'!$C$1)*
(tb_desp[data.pagamento]&lt;='n&amp;cn'!$C$2)
))</f>
        <v/>
      </c>
      <c r="BI29" s="267"/>
      <c r="BJ29" s="290" t="str" cm="1">
        <f t="array" ref="BJ29">IF(BK29="",
"",
SUMPRODUCT(
tb_desp[valor]*
(tb_desp[centro.negocio]=BK$2)*
(tb_desp[nucleo]=BK29)*
(tb_desp[data.pagamento]&gt;='n&amp;cn'!$C$1)*
(tb_desp[data.pagamento]&lt;='n&amp;cn'!$C$2)
))</f>
        <v/>
      </c>
      <c r="BK29" s="267"/>
      <c r="BL29" s="290" t="str" cm="1">
        <f t="array" ref="BL29">IF(BM29="",
"",
SUMPRODUCT(
tb_desp[valor]*
(tb_desp[centro.negocio]=BM$2)*
(tb_desp[nucleo]=BM29)*
(tb_desp[data.pagamento]&gt;='n&amp;cn'!$C$1)*
(tb_desp[data.pagamento]&lt;='n&amp;cn'!$C$2)
))</f>
        <v/>
      </c>
      <c r="BM29" s="267"/>
      <c r="BN29" s="290" t="str" cm="1">
        <f t="array" ref="BN29">IF(BO29="",
"",
SUMPRODUCT(
tb_desp[valor]*
(tb_desp[centro.negocio]=BO$2)*
(tb_desp[nucleo]=BO29)*
(tb_desp[data.pagamento]&gt;='n&amp;cn'!$C$1)*
(tb_desp[data.pagamento]&lt;='n&amp;cn'!$C$2)
))</f>
        <v/>
      </c>
      <c r="BO29" s="267"/>
    </row>
    <row r="30" spans="1:67" x14ac:dyDescent="0.25">
      <c r="A30">
        <f t="shared" si="2"/>
        <v>23</v>
      </c>
      <c r="B30" s="161"/>
      <c r="C30" s="163"/>
      <c r="D30" s="164"/>
      <c r="E30" s="167" t="e">
        <f t="shared" si="0"/>
        <v>#DIV/0!</v>
      </c>
      <c r="F30" s="167" t="e">
        <f>SUM($E$8:$E30)</f>
        <v>#DIV/0!</v>
      </c>
      <c r="G30" s="167"/>
      <c r="H30" s="168"/>
      <c r="I30" s="163">
        <f t="shared" si="3"/>
        <v>23</v>
      </c>
      <c r="K30" s="164"/>
      <c r="L30" s="167" t="e">
        <f t="shared" si="1"/>
        <v>#DIV/0!</v>
      </c>
      <c r="M30" s="167" t="e">
        <f>SUM($L$8:$L30)</f>
        <v>#DIV/0!</v>
      </c>
      <c r="R30" s="290" t="str" cm="1">
        <f t="array" ref="R30">IF(S30="",
"",
SUMPRODUCT(
tb_desp[valor]*
(tb_desp[centro.negocio]=S$2)*
(tb_desp[nucleo]=S30)*
(tb_desp[data.pagamento]&gt;='n&amp;cn'!$C$1)*
(tb_desp[data.pagamento]&lt;='n&amp;cn'!$C$2)
))</f>
        <v/>
      </c>
      <c r="S30" s="267"/>
      <c r="T30" s="290" t="str" cm="1">
        <f t="array" ref="T30">IF(U30="",
"",
SUMPRODUCT(
tb_desp[valor]*
(tb_desp[centro.negocio]=U$2)*
(tb_desp[nucleo]=U30)*
(tb_desp[data.pagamento]&gt;='n&amp;cn'!$C$1)*
(tb_desp[data.pagamento]&lt;='n&amp;cn'!$C$2)
))</f>
        <v/>
      </c>
      <c r="U30" s="267"/>
      <c r="V30" s="290" t="str" cm="1">
        <f t="array" ref="V30">IF(W30="",
"",
SUMPRODUCT(
tb_desp[valor]*
(tb_desp[centro.negocio]=W$2)*
(tb_desp[nucleo]=W30)*
(tb_desp[data.pagamento]&gt;='n&amp;cn'!$C$1)*
(tb_desp[data.pagamento]&lt;='n&amp;cn'!$C$2)
))</f>
        <v/>
      </c>
      <c r="W30" s="267"/>
      <c r="X30" s="290" t="str" cm="1">
        <f t="array" ref="X30">IF(Y30="",
"",
SUMPRODUCT(
tb_desp[valor]*
(tb_desp[centro.negocio]=Y$2)*
(tb_desp[nucleo]=Y30)*
(tb_desp[data.pagamento]&gt;='n&amp;cn'!$C$1)*
(tb_desp[data.pagamento]&lt;='n&amp;cn'!$C$2)
))</f>
        <v/>
      </c>
      <c r="Y30" s="267"/>
      <c r="Z30" s="290" t="str" cm="1">
        <f t="array" ref="Z30">IF(AA30="",
"",
SUMPRODUCT(
tb_desp[valor]*
(tb_desp[centro.negocio]=AA$2)*
(tb_desp[nucleo]=AA30)*
(tb_desp[data.pagamento]&gt;='n&amp;cn'!$C$1)*
(tb_desp[data.pagamento]&lt;='n&amp;cn'!$C$2)
))</f>
        <v/>
      </c>
      <c r="AA30" s="267"/>
      <c r="AB30" s="290" t="str" cm="1">
        <f t="array" ref="AB30">IF(AC30="",
"",
SUMPRODUCT(
tb_desp[valor]*
(tb_desp[centro.negocio]=AC$2)*
(tb_desp[nucleo]=AC30)*
(tb_desp[data.pagamento]&gt;='n&amp;cn'!$C$1)*
(tb_desp[data.pagamento]&lt;='n&amp;cn'!$C$2)
))</f>
        <v/>
      </c>
      <c r="AC30" s="267"/>
      <c r="AD30" s="290" t="str" cm="1">
        <f t="array" ref="AD30">IF(AE30="",
"",
SUMPRODUCT(
tb_desp[valor]*
(tb_desp[centro.negocio]=AE$2)*
(tb_desp[nucleo]=AE30)*
(tb_desp[data.pagamento]&gt;='n&amp;cn'!$C$1)*
(tb_desp[data.pagamento]&lt;='n&amp;cn'!$C$2)
))</f>
        <v/>
      </c>
      <c r="AE30" s="267"/>
      <c r="AF30" s="290" t="str" cm="1">
        <f t="array" ref="AF30">IF(AG30="",
"",
SUMPRODUCT(
tb_desp[valor]*
(tb_desp[centro.negocio]=AG$2)*
(tb_desp[nucleo]=AG30)*
(tb_desp[data.pagamento]&gt;='n&amp;cn'!$C$1)*
(tb_desp[data.pagamento]&lt;='n&amp;cn'!$C$2)
))</f>
        <v/>
      </c>
      <c r="AG30" s="267"/>
      <c r="AH30" s="290" t="str" cm="1">
        <f t="array" ref="AH30">IF(AI30="",
"",
SUMPRODUCT(
tb_desp[valor]*
(tb_desp[centro.negocio]=AI$2)*
(tb_desp[nucleo]=AI30)*
(tb_desp[data.pagamento]&gt;='n&amp;cn'!$C$1)*
(tb_desp[data.pagamento]&lt;='n&amp;cn'!$C$2)
))</f>
        <v/>
      </c>
      <c r="AI30" s="267"/>
      <c r="AJ30" s="290" t="str" cm="1">
        <f t="array" ref="AJ30">IF(AK30="",
"",
SUMPRODUCT(
tb_desp[valor]*
(tb_desp[centro.negocio]=AK$2)*
(tb_desp[nucleo]=AK30)*
(tb_desp[data.pagamento]&gt;='n&amp;cn'!$C$1)*
(tb_desp[data.pagamento]&lt;='n&amp;cn'!$C$2)
))</f>
        <v/>
      </c>
      <c r="AK30" s="267"/>
      <c r="AL30" s="290" t="str" cm="1">
        <f t="array" ref="AL30">IF(AM30="",
"",
SUMPRODUCT(
tb_desp[valor]*
(tb_desp[centro.negocio]=AM$2)*
(tb_desp[nucleo]=AM30)*
(tb_desp[data.pagamento]&gt;='n&amp;cn'!$C$1)*
(tb_desp[data.pagamento]&lt;='n&amp;cn'!$C$2)
))</f>
        <v/>
      </c>
      <c r="AM30" s="267"/>
      <c r="AN30" s="290" t="str" cm="1">
        <f t="array" ref="AN30">IF(AO30="",
"",
SUMPRODUCT(
tb_desp[valor]*
(tb_desp[centro.negocio]=AO$2)*
(tb_desp[nucleo]=AO30)*
(tb_desp[data.pagamento]&gt;='n&amp;cn'!$C$1)*
(tb_desp[data.pagamento]&lt;='n&amp;cn'!$C$2)
))</f>
        <v/>
      </c>
      <c r="AO30" s="267"/>
      <c r="AP30" s="290" t="str" cm="1">
        <f t="array" ref="AP30">IF(AQ30="",
"",
SUMPRODUCT(
tb_desp[valor]*
(tb_desp[centro.negocio]=AQ$2)*
(tb_desp[nucleo]=AQ30)*
(tb_desp[data.pagamento]&gt;='n&amp;cn'!$C$1)*
(tb_desp[data.pagamento]&lt;='n&amp;cn'!$C$2)
))</f>
        <v/>
      </c>
      <c r="AQ30" s="267"/>
      <c r="AR30" s="290" t="str" cm="1">
        <f t="array" ref="AR30">IF(AS30="",
"",
SUMPRODUCT(
tb_desp[valor]*
(tb_desp[centro.negocio]=AS$2)*
(tb_desp[nucleo]=AS30)*
(tb_desp[data.pagamento]&gt;='n&amp;cn'!$C$1)*
(tb_desp[data.pagamento]&lt;='n&amp;cn'!$C$2)
))</f>
        <v/>
      </c>
      <c r="AS30" s="267"/>
      <c r="AT30" s="290" t="str" cm="1">
        <f t="array" ref="AT30">IF(AU30="",
"",
SUMPRODUCT(
tb_desp[valor]*
(tb_desp[centro.negocio]=AU$2)*
(tb_desp[nucleo]=AU30)*
(tb_desp[data.pagamento]&gt;='n&amp;cn'!$C$1)*
(tb_desp[data.pagamento]&lt;='n&amp;cn'!$C$2)
))</f>
        <v/>
      </c>
      <c r="AU30" s="267"/>
      <c r="AV30" s="290" t="str" cm="1">
        <f t="array" ref="AV30">IF(AW30="",
"",
SUMPRODUCT(
tb_desp[valor]*
(tb_desp[centro.negocio]=AW$2)*
(tb_desp[nucleo]=AW30)*
(tb_desp[data.pagamento]&gt;='n&amp;cn'!$C$1)*
(tb_desp[data.pagamento]&lt;='n&amp;cn'!$C$2)
))</f>
        <v/>
      </c>
      <c r="AW30" s="267"/>
      <c r="AX30" s="290" t="str" cm="1">
        <f t="array" ref="AX30">IF(AY30="",
"",
SUMPRODUCT(
tb_desp[valor]*
(tb_desp[centro.negocio]=AY$2)*
(tb_desp[nucleo]=AY30)*
(tb_desp[data.pagamento]&gt;='n&amp;cn'!$C$1)*
(tb_desp[data.pagamento]&lt;='n&amp;cn'!$C$2)
))</f>
        <v/>
      </c>
      <c r="AY30" s="267"/>
      <c r="AZ30" s="290" t="str" cm="1">
        <f t="array" ref="AZ30">IF(BA30="",
"",
SUMPRODUCT(
tb_desp[valor]*
(tb_desp[centro.negocio]=BA$2)*
(tb_desp[nucleo]=BA30)*
(tb_desp[data.pagamento]&gt;='n&amp;cn'!$C$1)*
(tb_desp[data.pagamento]&lt;='n&amp;cn'!$C$2)
))</f>
        <v/>
      </c>
      <c r="BA30" s="267"/>
      <c r="BB30" s="290" t="str" cm="1">
        <f t="array" ref="BB30">IF(BC30="",
"",
SUMPRODUCT(
tb_desp[valor]*
(tb_desp[centro.negocio]=BC$2)*
(tb_desp[nucleo]=BC30)*
(tb_desp[data.pagamento]&gt;='n&amp;cn'!$C$1)*
(tb_desp[data.pagamento]&lt;='n&amp;cn'!$C$2)
))</f>
        <v/>
      </c>
      <c r="BC30" s="267"/>
      <c r="BD30" s="290" t="str" cm="1">
        <f t="array" ref="BD30">IF(BE30="",
"",
SUMPRODUCT(
tb_desp[valor]*
(tb_desp[centro.negocio]=BE$2)*
(tb_desp[nucleo]=BE30)*
(tb_desp[data.pagamento]&gt;='n&amp;cn'!$C$1)*
(tb_desp[data.pagamento]&lt;='n&amp;cn'!$C$2)
))</f>
        <v/>
      </c>
      <c r="BE30" s="267"/>
      <c r="BF30" s="290" t="str" cm="1">
        <f t="array" ref="BF30">IF(BG30="",
"",
SUMPRODUCT(
tb_desp[valor]*
(tb_desp[centro.negocio]=BG$2)*
(tb_desp[nucleo]=BG30)*
(tb_desp[data.pagamento]&gt;='n&amp;cn'!$C$1)*
(tb_desp[data.pagamento]&lt;='n&amp;cn'!$C$2)
))</f>
        <v/>
      </c>
      <c r="BG30" s="267"/>
      <c r="BH30" s="290" t="str" cm="1">
        <f t="array" ref="BH30">IF(BI30="",
"",
SUMPRODUCT(
tb_desp[valor]*
(tb_desp[centro.negocio]=BI$2)*
(tb_desp[nucleo]=BI30)*
(tb_desp[data.pagamento]&gt;='n&amp;cn'!$C$1)*
(tb_desp[data.pagamento]&lt;='n&amp;cn'!$C$2)
))</f>
        <v/>
      </c>
      <c r="BI30" s="267"/>
      <c r="BJ30" s="290" t="str" cm="1">
        <f t="array" ref="BJ30">IF(BK30="",
"",
SUMPRODUCT(
tb_desp[valor]*
(tb_desp[centro.negocio]=BK$2)*
(tb_desp[nucleo]=BK30)*
(tb_desp[data.pagamento]&gt;='n&amp;cn'!$C$1)*
(tb_desp[data.pagamento]&lt;='n&amp;cn'!$C$2)
))</f>
        <v/>
      </c>
      <c r="BK30" s="267"/>
      <c r="BL30" s="290" t="str" cm="1">
        <f t="array" ref="BL30">IF(BM30="",
"",
SUMPRODUCT(
tb_desp[valor]*
(tb_desp[centro.negocio]=BM$2)*
(tb_desp[nucleo]=BM30)*
(tb_desp[data.pagamento]&gt;='n&amp;cn'!$C$1)*
(tb_desp[data.pagamento]&lt;='n&amp;cn'!$C$2)
))</f>
        <v/>
      </c>
      <c r="BM30" s="267"/>
      <c r="BN30" s="290" t="str" cm="1">
        <f t="array" ref="BN30">IF(BO30="",
"",
SUMPRODUCT(
tb_desp[valor]*
(tb_desp[centro.negocio]=BO$2)*
(tb_desp[nucleo]=BO30)*
(tb_desp[data.pagamento]&gt;='n&amp;cn'!$C$1)*
(tb_desp[data.pagamento]&lt;='n&amp;cn'!$C$2)
))</f>
        <v/>
      </c>
      <c r="BO30" s="267"/>
    </row>
    <row r="31" spans="1:67" x14ac:dyDescent="0.25">
      <c r="A31">
        <f t="shared" si="2"/>
        <v>24</v>
      </c>
      <c r="B31" s="161"/>
      <c r="C31" s="163"/>
      <c r="D31" s="164"/>
      <c r="E31" s="167" t="e">
        <f t="shared" si="0"/>
        <v>#DIV/0!</v>
      </c>
      <c r="F31" s="167" t="e">
        <f>SUM($E$8:$E31)</f>
        <v>#DIV/0!</v>
      </c>
      <c r="G31" s="167"/>
      <c r="H31" s="168"/>
      <c r="I31" s="163">
        <f t="shared" si="3"/>
        <v>24</v>
      </c>
      <c r="K31" s="164"/>
      <c r="L31" s="167" t="e">
        <f t="shared" si="1"/>
        <v>#DIV/0!</v>
      </c>
      <c r="M31" s="167" t="e">
        <f>SUM($L$8:$L31)</f>
        <v>#DIV/0!</v>
      </c>
      <c r="R31" s="290" t="str" cm="1">
        <f t="array" ref="R31">IF(S31="",
"",
SUMPRODUCT(
tb_desp[valor]*
(tb_desp[centro.negocio]=S$2)*
(tb_desp[nucleo]=S31)*
(tb_desp[data.pagamento]&gt;='n&amp;cn'!$C$1)*
(tb_desp[data.pagamento]&lt;='n&amp;cn'!$C$2)
))</f>
        <v/>
      </c>
      <c r="S31" s="267"/>
      <c r="T31" s="290" t="str" cm="1">
        <f t="array" ref="T31">IF(U31="",
"",
SUMPRODUCT(
tb_desp[valor]*
(tb_desp[centro.negocio]=U$2)*
(tb_desp[nucleo]=U31)*
(tb_desp[data.pagamento]&gt;='n&amp;cn'!$C$1)*
(tb_desp[data.pagamento]&lt;='n&amp;cn'!$C$2)
))</f>
        <v/>
      </c>
      <c r="U31" s="267"/>
      <c r="V31" s="290" t="str" cm="1">
        <f t="array" ref="V31">IF(W31="",
"",
SUMPRODUCT(
tb_desp[valor]*
(tb_desp[centro.negocio]=W$2)*
(tb_desp[nucleo]=W31)*
(tb_desp[data.pagamento]&gt;='n&amp;cn'!$C$1)*
(tb_desp[data.pagamento]&lt;='n&amp;cn'!$C$2)
))</f>
        <v/>
      </c>
      <c r="W31" s="267"/>
      <c r="X31" s="290" t="str" cm="1">
        <f t="array" ref="X31">IF(Y31="",
"",
SUMPRODUCT(
tb_desp[valor]*
(tb_desp[centro.negocio]=Y$2)*
(tb_desp[nucleo]=Y31)*
(tb_desp[data.pagamento]&gt;='n&amp;cn'!$C$1)*
(tb_desp[data.pagamento]&lt;='n&amp;cn'!$C$2)
))</f>
        <v/>
      </c>
      <c r="Y31" s="267"/>
      <c r="Z31" s="290" t="str" cm="1">
        <f t="array" ref="Z31">IF(AA31="",
"",
SUMPRODUCT(
tb_desp[valor]*
(tb_desp[centro.negocio]=AA$2)*
(tb_desp[nucleo]=AA31)*
(tb_desp[data.pagamento]&gt;='n&amp;cn'!$C$1)*
(tb_desp[data.pagamento]&lt;='n&amp;cn'!$C$2)
))</f>
        <v/>
      </c>
      <c r="AA31" s="267"/>
      <c r="AB31" s="290" t="str" cm="1">
        <f t="array" ref="AB31">IF(AC31="",
"",
SUMPRODUCT(
tb_desp[valor]*
(tb_desp[centro.negocio]=AC$2)*
(tb_desp[nucleo]=AC31)*
(tb_desp[data.pagamento]&gt;='n&amp;cn'!$C$1)*
(tb_desp[data.pagamento]&lt;='n&amp;cn'!$C$2)
))</f>
        <v/>
      </c>
      <c r="AC31" s="267"/>
      <c r="AD31" s="290" t="str" cm="1">
        <f t="array" ref="AD31">IF(AE31="",
"",
SUMPRODUCT(
tb_desp[valor]*
(tb_desp[centro.negocio]=AE$2)*
(tb_desp[nucleo]=AE31)*
(tb_desp[data.pagamento]&gt;='n&amp;cn'!$C$1)*
(tb_desp[data.pagamento]&lt;='n&amp;cn'!$C$2)
))</f>
        <v/>
      </c>
      <c r="AE31" s="267"/>
      <c r="AF31" s="290" t="str" cm="1">
        <f t="array" ref="AF31">IF(AG31="",
"",
SUMPRODUCT(
tb_desp[valor]*
(tb_desp[centro.negocio]=AG$2)*
(tb_desp[nucleo]=AG31)*
(tb_desp[data.pagamento]&gt;='n&amp;cn'!$C$1)*
(tb_desp[data.pagamento]&lt;='n&amp;cn'!$C$2)
))</f>
        <v/>
      </c>
      <c r="AG31" s="267"/>
      <c r="AH31" s="290" t="str" cm="1">
        <f t="array" ref="AH31">IF(AI31="",
"",
SUMPRODUCT(
tb_desp[valor]*
(tb_desp[centro.negocio]=AI$2)*
(tb_desp[nucleo]=AI31)*
(tb_desp[data.pagamento]&gt;='n&amp;cn'!$C$1)*
(tb_desp[data.pagamento]&lt;='n&amp;cn'!$C$2)
))</f>
        <v/>
      </c>
      <c r="AI31" s="267"/>
      <c r="AJ31" s="290" t="str" cm="1">
        <f t="array" ref="AJ31">IF(AK31="",
"",
SUMPRODUCT(
tb_desp[valor]*
(tb_desp[centro.negocio]=AK$2)*
(tb_desp[nucleo]=AK31)*
(tb_desp[data.pagamento]&gt;='n&amp;cn'!$C$1)*
(tb_desp[data.pagamento]&lt;='n&amp;cn'!$C$2)
))</f>
        <v/>
      </c>
      <c r="AK31" s="267"/>
      <c r="AL31" s="290" t="str" cm="1">
        <f t="array" ref="AL31">IF(AM31="",
"",
SUMPRODUCT(
tb_desp[valor]*
(tb_desp[centro.negocio]=AM$2)*
(tb_desp[nucleo]=AM31)*
(tb_desp[data.pagamento]&gt;='n&amp;cn'!$C$1)*
(tb_desp[data.pagamento]&lt;='n&amp;cn'!$C$2)
))</f>
        <v/>
      </c>
      <c r="AM31" s="267"/>
      <c r="AN31" s="290" t="str" cm="1">
        <f t="array" ref="AN31">IF(AO31="",
"",
SUMPRODUCT(
tb_desp[valor]*
(tb_desp[centro.negocio]=AO$2)*
(tb_desp[nucleo]=AO31)*
(tb_desp[data.pagamento]&gt;='n&amp;cn'!$C$1)*
(tb_desp[data.pagamento]&lt;='n&amp;cn'!$C$2)
))</f>
        <v/>
      </c>
      <c r="AO31" s="267"/>
      <c r="AP31" s="290" t="str" cm="1">
        <f t="array" ref="AP31">IF(AQ31="",
"",
SUMPRODUCT(
tb_desp[valor]*
(tb_desp[centro.negocio]=AQ$2)*
(tb_desp[nucleo]=AQ31)*
(tb_desp[data.pagamento]&gt;='n&amp;cn'!$C$1)*
(tb_desp[data.pagamento]&lt;='n&amp;cn'!$C$2)
))</f>
        <v/>
      </c>
      <c r="AQ31" s="267"/>
      <c r="AR31" s="290" t="str" cm="1">
        <f t="array" ref="AR31">IF(AS31="",
"",
SUMPRODUCT(
tb_desp[valor]*
(tb_desp[centro.negocio]=AS$2)*
(tb_desp[nucleo]=AS31)*
(tb_desp[data.pagamento]&gt;='n&amp;cn'!$C$1)*
(tb_desp[data.pagamento]&lt;='n&amp;cn'!$C$2)
))</f>
        <v/>
      </c>
      <c r="AS31" s="267"/>
      <c r="AT31" s="290" t="str" cm="1">
        <f t="array" ref="AT31">IF(AU31="",
"",
SUMPRODUCT(
tb_desp[valor]*
(tb_desp[centro.negocio]=AU$2)*
(tb_desp[nucleo]=AU31)*
(tb_desp[data.pagamento]&gt;='n&amp;cn'!$C$1)*
(tb_desp[data.pagamento]&lt;='n&amp;cn'!$C$2)
))</f>
        <v/>
      </c>
      <c r="AU31" s="267"/>
      <c r="AV31" s="290" t="str" cm="1">
        <f t="array" ref="AV31">IF(AW31="",
"",
SUMPRODUCT(
tb_desp[valor]*
(tb_desp[centro.negocio]=AW$2)*
(tb_desp[nucleo]=AW31)*
(tb_desp[data.pagamento]&gt;='n&amp;cn'!$C$1)*
(tb_desp[data.pagamento]&lt;='n&amp;cn'!$C$2)
))</f>
        <v/>
      </c>
      <c r="AW31" s="267"/>
      <c r="AX31" s="290" t="str" cm="1">
        <f t="array" ref="AX31">IF(AY31="",
"",
SUMPRODUCT(
tb_desp[valor]*
(tb_desp[centro.negocio]=AY$2)*
(tb_desp[nucleo]=AY31)*
(tb_desp[data.pagamento]&gt;='n&amp;cn'!$C$1)*
(tb_desp[data.pagamento]&lt;='n&amp;cn'!$C$2)
))</f>
        <v/>
      </c>
      <c r="AY31" s="267"/>
      <c r="AZ31" s="290" t="str" cm="1">
        <f t="array" ref="AZ31">IF(BA31="",
"",
SUMPRODUCT(
tb_desp[valor]*
(tb_desp[centro.negocio]=BA$2)*
(tb_desp[nucleo]=BA31)*
(tb_desp[data.pagamento]&gt;='n&amp;cn'!$C$1)*
(tb_desp[data.pagamento]&lt;='n&amp;cn'!$C$2)
))</f>
        <v/>
      </c>
      <c r="BA31" s="267"/>
      <c r="BB31" s="290" t="str" cm="1">
        <f t="array" ref="BB31">IF(BC31="",
"",
SUMPRODUCT(
tb_desp[valor]*
(tb_desp[centro.negocio]=BC$2)*
(tb_desp[nucleo]=BC31)*
(tb_desp[data.pagamento]&gt;='n&amp;cn'!$C$1)*
(tb_desp[data.pagamento]&lt;='n&amp;cn'!$C$2)
))</f>
        <v/>
      </c>
      <c r="BC31" s="267"/>
      <c r="BD31" s="290" t="str" cm="1">
        <f t="array" ref="BD31">IF(BE31="",
"",
SUMPRODUCT(
tb_desp[valor]*
(tb_desp[centro.negocio]=BE$2)*
(tb_desp[nucleo]=BE31)*
(tb_desp[data.pagamento]&gt;='n&amp;cn'!$C$1)*
(tb_desp[data.pagamento]&lt;='n&amp;cn'!$C$2)
))</f>
        <v/>
      </c>
      <c r="BE31" s="267"/>
      <c r="BF31" s="290" t="str" cm="1">
        <f t="array" ref="BF31">IF(BG31="",
"",
SUMPRODUCT(
tb_desp[valor]*
(tb_desp[centro.negocio]=BG$2)*
(tb_desp[nucleo]=BG31)*
(tb_desp[data.pagamento]&gt;='n&amp;cn'!$C$1)*
(tb_desp[data.pagamento]&lt;='n&amp;cn'!$C$2)
))</f>
        <v/>
      </c>
      <c r="BG31" s="267"/>
      <c r="BH31" s="290" t="str" cm="1">
        <f t="array" ref="BH31">IF(BI31="",
"",
SUMPRODUCT(
tb_desp[valor]*
(tb_desp[centro.negocio]=BI$2)*
(tb_desp[nucleo]=BI31)*
(tb_desp[data.pagamento]&gt;='n&amp;cn'!$C$1)*
(tb_desp[data.pagamento]&lt;='n&amp;cn'!$C$2)
))</f>
        <v/>
      </c>
      <c r="BI31" s="267"/>
      <c r="BJ31" s="290" t="str" cm="1">
        <f t="array" ref="BJ31">IF(BK31="",
"",
SUMPRODUCT(
tb_desp[valor]*
(tb_desp[centro.negocio]=BK$2)*
(tb_desp[nucleo]=BK31)*
(tb_desp[data.pagamento]&gt;='n&amp;cn'!$C$1)*
(tb_desp[data.pagamento]&lt;='n&amp;cn'!$C$2)
))</f>
        <v/>
      </c>
      <c r="BK31" s="267"/>
      <c r="BL31" s="290" t="str" cm="1">
        <f t="array" ref="BL31">IF(BM31="",
"",
SUMPRODUCT(
tb_desp[valor]*
(tb_desp[centro.negocio]=BM$2)*
(tb_desp[nucleo]=BM31)*
(tb_desp[data.pagamento]&gt;='n&amp;cn'!$C$1)*
(tb_desp[data.pagamento]&lt;='n&amp;cn'!$C$2)
))</f>
        <v/>
      </c>
      <c r="BM31" s="267"/>
      <c r="BN31" s="290" t="str" cm="1">
        <f t="array" ref="BN31">IF(BO31="",
"",
SUMPRODUCT(
tb_desp[valor]*
(tb_desp[centro.negocio]=BO$2)*
(tb_desp[nucleo]=BO31)*
(tb_desp[data.pagamento]&gt;='n&amp;cn'!$C$1)*
(tb_desp[data.pagamento]&lt;='n&amp;cn'!$C$2)
))</f>
        <v/>
      </c>
      <c r="BO31" s="267"/>
    </row>
    <row r="32" spans="1:67" x14ac:dyDescent="0.25">
      <c r="A32">
        <f t="shared" si="2"/>
        <v>25</v>
      </c>
      <c r="B32" s="161"/>
      <c r="C32" s="163"/>
      <c r="D32" s="164"/>
      <c r="E32" s="167" t="e">
        <f t="shared" si="0"/>
        <v>#DIV/0!</v>
      </c>
      <c r="F32" s="167" t="e">
        <f>SUM($E$8:$E32)</f>
        <v>#DIV/0!</v>
      </c>
      <c r="G32" s="167"/>
      <c r="H32" s="168"/>
      <c r="I32" s="163">
        <f t="shared" si="3"/>
        <v>25</v>
      </c>
      <c r="K32" s="164"/>
      <c r="L32" s="167" t="e">
        <f t="shared" si="1"/>
        <v>#DIV/0!</v>
      </c>
      <c r="M32" s="167" t="e">
        <f>SUM($L$8:$L32)</f>
        <v>#DIV/0!</v>
      </c>
      <c r="R32" s="290" t="str" cm="1">
        <f t="array" ref="R32">IF(S32="",
"",
SUMPRODUCT(
tb_desp[valor]*
(tb_desp[centro.negocio]=S$2)*
(tb_desp[nucleo]=S32)*
(tb_desp[data.pagamento]&gt;='n&amp;cn'!$C$1)*
(tb_desp[data.pagamento]&lt;='n&amp;cn'!$C$2)
))</f>
        <v/>
      </c>
      <c r="S32" s="267"/>
      <c r="T32" s="290" t="str" cm="1">
        <f t="array" ref="T32">IF(U32="",
"",
SUMPRODUCT(
tb_desp[valor]*
(tb_desp[centro.negocio]=U$2)*
(tb_desp[nucleo]=U32)*
(tb_desp[data.pagamento]&gt;='n&amp;cn'!$C$1)*
(tb_desp[data.pagamento]&lt;='n&amp;cn'!$C$2)
))</f>
        <v/>
      </c>
      <c r="U32" s="267"/>
      <c r="V32" s="290" t="str" cm="1">
        <f t="array" ref="V32">IF(W32="",
"",
SUMPRODUCT(
tb_desp[valor]*
(tb_desp[centro.negocio]=W$2)*
(tb_desp[nucleo]=W32)*
(tb_desp[data.pagamento]&gt;='n&amp;cn'!$C$1)*
(tb_desp[data.pagamento]&lt;='n&amp;cn'!$C$2)
))</f>
        <v/>
      </c>
      <c r="W32" s="267"/>
      <c r="X32" s="290" t="str" cm="1">
        <f t="array" ref="X32">IF(Y32="",
"",
SUMPRODUCT(
tb_desp[valor]*
(tb_desp[centro.negocio]=Y$2)*
(tb_desp[nucleo]=Y32)*
(tb_desp[data.pagamento]&gt;='n&amp;cn'!$C$1)*
(tb_desp[data.pagamento]&lt;='n&amp;cn'!$C$2)
))</f>
        <v/>
      </c>
      <c r="Y32" s="267"/>
      <c r="Z32" s="290" t="str" cm="1">
        <f t="array" ref="Z32">IF(AA32="",
"",
SUMPRODUCT(
tb_desp[valor]*
(tb_desp[centro.negocio]=AA$2)*
(tb_desp[nucleo]=AA32)*
(tb_desp[data.pagamento]&gt;='n&amp;cn'!$C$1)*
(tb_desp[data.pagamento]&lt;='n&amp;cn'!$C$2)
))</f>
        <v/>
      </c>
      <c r="AA32" s="267"/>
      <c r="AB32" s="290" t="str" cm="1">
        <f t="array" ref="AB32">IF(AC32="",
"",
SUMPRODUCT(
tb_desp[valor]*
(tb_desp[centro.negocio]=AC$2)*
(tb_desp[nucleo]=AC32)*
(tb_desp[data.pagamento]&gt;='n&amp;cn'!$C$1)*
(tb_desp[data.pagamento]&lt;='n&amp;cn'!$C$2)
))</f>
        <v/>
      </c>
      <c r="AC32" s="267"/>
      <c r="AD32" s="290" t="str" cm="1">
        <f t="array" ref="AD32">IF(AE32="",
"",
SUMPRODUCT(
tb_desp[valor]*
(tb_desp[centro.negocio]=AE$2)*
(tb_desp[nucleo]=AE32)*
(tb_desp[data.pagamento]&gt;='n&amp;cn'!$C$1)*
(tb_desp[data.pagamento]&lt;='n&amp;cn'!$C$2)
))</f>
        <v/>
      </c>
      <c r="AE32" s="267"/>
      <c r="AF32" s="290" t="str" cm="1">
        <f t="array" ref="AF32">IF(AG32="",
"",
SUMPRODUCT(
tb_desp[valor]*
(tb_desp[centro.negocio]=AG$2)*
(tb_desp[nucleo]=AG32)*
(tb_desp[data.pagamento]&gt;='n&amp;cn'!$C$1)*
(tb_desp[data.pagamento]&lt;='n&amp;cn'!$C$2)
))</f>
        <v/>
      </c>
      <c r="AG32" s="267"/>
      <c r="AH32" s="290" t="str" cm="1">
        <f t="array" ref="AH32">IF(AI32="",
"",
SUMPRODUCT(
tb_desp[valor]*
(tb_desp[centro.negocio]=AI$2)*
(tb_desp[nucleo]=AI32)*
(tb_desp[data.pagamento]&gt;='n&amp;cn'!$C$1)*
(tb_desp[data.pagamento]&lt;='n&amp;cn'!$C$2)
))</f>
        <v/>
      </c>
      <c r="AI32" s="267"/>
      <c r="AJ32" s="290" t="str" cm="1">
        <f t="array" ref="AJ32">IF(AK32="",
"",
SUMPRODUCT(
tb_desp[valor]*
(tb_desp[centro.negocio]=AK$2)*
(tb_desp[nucleo]=AK32)*
(tb_desp[data.pagamento]&gt;='n&amp;cn'!$C$1)*
(tb_desp[data.pagamento]&lt;='n&amp;cn'!$C$2)
))</f>
        <v/>
      </c>
      <c r="AK32" s="267"/>
      <c r="AL32" s="290" t="str" cm="1">
        <f t="array" ref="AL32">IF(AM32="",
"",
SUMPRODUCT(
tb_desp[valor]*
(tb_desp[centro.negocio]=AM$2)*
(tb_desp[nucleo]=AM32)*
(tb_desp[data.pagamento]&gt;='n&amp;cn'!$C$1)*
(tb_desp[data.pagamento]&lt;='n&amp;cn'!$C$2)
))</f>
        <v/>
      </c>
      <c r="AM32" s="267"/>
      <c r="AN32" s="290" t="str" cm="1">
        <f t="array" ref="AN32">IF(AO32="",
"",
SUMPRODUCT(
tb_desp[valor]*
(tb_desp[centro.negocio]=AO$2)*
(tb_desp[nucleo]=AO32)*
(tb_desp[data.pagamento]&gt;='n&amp;cn'!$C$1)*
(tb_desp[data.pagamento]&lt;='n&amp;cn'!$C$2)
))</f>
        <v/>
      </c>
      <c r="AO32" s="267"/>
      <c r="AP32" s="290" t="str" cm="1">
        <f t="array" ref="AP32">IF(AQ32="",
"",
SUMPRODUCT(
tb_desp[valor]*
(tb_desp[centro.negocio]=AQ$2)*
(tb_desp[nucleo]=AQ32)*
(tb_desp[data.pagamento]&gt;='n&amp;cn'!$C$1)*
(tb_desp[data.pagamento]&lt;='n&amp;cn'!$C$2)
))</f>
        <v/>
      </c>
      <c r="AQ32" s="267"/>
      <c r="AR32" s="290" t="str" cm="1">
        <f t="array" ref="AR32">IF(AS32="",
"",
SUMPRODUCT(
tb_desp[valor]*
(tb_desp[centro.negocio]=AS$2)*
(tb_desp[nucleo]=AS32)*
(tb_desp[data.pagamento]&gt;='n&amp;cn'!$C$1)*
(tb_desp[data.pagamento]&lt;='n&amp;cn'!$C$2)
))</f>
        <v/>
      </c>
      <c r="AS32" s="267"/>
      <c r="AT32" s="290" t="str" cm="1">
        <f t="array" ref="AT32">IF(AU32="",
"",
SUMPRODUCT(
tb_desp[valor]*
(tb_desp[centro.negocio]=AU$2)*
(tb_desp[nucleo]=AU32)*
(tb_desp[data.pagamento]&gt;='n&amp;cn'!$C$1)*
(tb_desp[data.pagamento]&lt;='n&amp;cn'!$C$2)
))</f>
        <v/>
      </c>
      <c r="AU32" s="267"/>
      <c r="AV32" s="290" t="str" cm="1">
        <f t="array" ref="AV32">IF(AW32="",
"",
SUMPRODUCT(
tb_desp[valor]*
(tb_desp[centro.negocio]=AW$2)*
(tb_desp[nucleo]=AW32)*
(tb_desp[data.pagamento]&gt;='n&amp;cn'!$C$1)*
(tb_desp[data.pagamento]&lt;='n&amp;cn'!$C$2)
))</f>
        <v/>
      </c>
      <c r="AW32" s="267"/>
      <c r="AX32" s="290" t="str" cm="1">
        <f t="array" ref="AX32">IF(AY32="",
"",
SUMPRODUCT(
tb_desp[valor]*
(tb_desp[centro.negocio]=AY$2)*
(tb_desp[nucleo]=AY32)*
(tb_desp[data.pagamento]&gt;='n&amp;cn'!$C$1)*
(tb_desp[data.pagamento]&lt;='n&amp;cn'!$C$2)
))</f>
        <v/>
      </c>
      <c r="AY32" s="267"/>
      <c r="AZ32" s="290" t="str" cm="1">
        <f t="array" ref="AZ32">IF(BA32="",
"",
SUMPRODUCT(
tb_desp[valor]*
(tb_desp[centro.negocio]=BA$2)*
(tb_desp[nucleo]=BA32)*
(tb_desp[data.pagamento]&gt;='n&amp;cn'!$C$1)*
(tb_desp[data.pagamento]&lt;='n&amp;cn'!$C$2)
))</f>
        <v/>
      </c>
      <c r="BA32" s="267"/>
      <c r="BB32" s="290" t="str" cm="1">
        <f t="array" ref="BB32">IF(BC32="",
"",
SUMPRODUCT(
tb_desp[valor]*
(tb_desp[centro.negocio]=BC$2)*
(tb_desp[nucleo]=BC32)*
(tb_desp[data.pagamento]&gt;='n&amp;cn'!$C$1)*
(tb_desp[data.pagamento]&lt;='n&amp;cn'!$C$2)
))</f>
        <v/>
      </c>
      <c r="BC32" s="267"/>
      <c r="BD32" s="290" t="str" cm="1">
        <f t="array" ref="BD32">IF(BE32="",
"",
SUMPRODUCT(
tb_desp[valor]*
(tb_desp[centro.negocio]=BE$2)*
(tb_desp[nucleo]=BE32)*
(tb_desp[data.pagamento]&gt;='n&amp;cn'!$C$1)*
(tb_desp[data.pagamento]&lt;='n&amp;cn'!$C$2)
))</f>
        <v/>
      </c>
      <c r="BE32" s="267"/>
      <c r="BF32" s="290" t="str" cm="1">
        <f t="array" ref="BF32">IF(BG32="",
"",
SUMPRODUCT(
tb_desp[valor]*
(tb_desp[centro.negocio]=BG$2)*
(tb_desp[nucleo]=BG32)*
(tb_desp[data.pagamento]&gt;='n&amp;cn'!$C$1)*
(tb_desp[data.pagamento]&lt;='n&amp;cn'!$C$2)
))</f>
        <v/>
      </c>
      <c r="BG32" s="267"/>
      <c r="BH32" s="290" t="str" cm="1">
        <f t="array" ref="BH32">IF(BI32="",
"",
SUMPRODUCT(
tb_desp[valor]*
(tb_desp[centro.negocio]=BI$2)*
(tb_desp[nucleo]=BI32)*
(tb_desp[data.pagamento]&gt;='n&amp;cn'!$C$1)*
(tb_desp[data.pagamento]&lt;='n&amp;cn'!$C$2)
))</f>
        <v/>
      </c>
      <c r="BI32" s="267"/>
      <c r="BJ32" s="290" t="str" cm="1">
        <f t="array" ref="BJ32">IF(BK32="",
"",
SUMPRODUCT(
tb_desp[valor]*
(tb_desp[centro.negocio]=BK$2)*
(tb_desp[nucleo]=BK32)*
(tb_desp[data.pagamento]&gt;='n&amp;cn'!$C$1)*
(tb_desp[data.pagamento]&lt;='n&amp;cn'!$C$2)
))</f>
        <v/>
      </c>
      <c r="BK32" s="267"/>
      <c r="BL32" s="290" t="str" cm="1">
        <f t="array" ref="BL32">IF(BM32="",
"",
SUMPRODUCT(
tb_desp[valor]*
(tb_desp[centro.negocio]=BM$2)*
(tb_desp[nucleo]=BM32)*
(tb_desp[data.pagamento]&gt;='n&amp;cn'!$C$1)*
(tb_desp[data.pagamento]&lt;='n&amp;cn'!$C$2)
))</f>
        <v/>
      </c>
      <c r="BM32" s="267"/>
      <c r="BN32" s="290" t="str" cm="1">
        <f t="array" ref="BN32">IF(BO32="",
"",
SUMPRODUCT(
tb_desp[valor]*
(tb_desp[centro.negocio]=BO$2)*
(tb_desp[nucleo]=BO32)*
(tb_desp[data.pagamento]&gt;='n&amp;cn'!$C$1)*
(tb_desp[data.pagamento]&lt;='n&amp;cn'!$C$2)
))</f>
        <v/>
      </c>
      <c r="BO32" s="267"/>
    </row>
    <row r="33" spans="1:67" x14ac:dyDescent="0.25">
      <c r="A33">
        <f t="shared" si="2"/>
        <v>26</v>
      </c>
      <c r="B33" s="161"/>
      <c r="C33" s="163"/>
      <c r="D33" s="164"/>
      <c r="E33" s="167" t="e">
        <f t="shared" si="0"/>
        <v>#DIV/0!</v>
      </c>
      <c r="F33" s="167" t="e">
        <f>SUM($E$8:$E33)</f>
        <v>#DIV/0!</v>
      </c>
      <c r="G33" s="167"/>
      <c r="H33" s="168"/>
      <c r="I33" s="163">
        <f t="shared" si="3"/>
        <v>26</v>
      </c>
      <c r="K33" s="164"/>
      <c r="L33" s="167" t="e">
        <f t="shared" si="1"/>
        <v>#DIV/0!</v>
      </c>
      <c r="M33" s="167" t="e">
        <f>SUM($L$8:$L33)</f>
        <v>#DIV/0!</v>
      </c>
      <c r="R33" s="290" t="str" cm="1">
        <f t="array" ref="R33">IF(S33="",
"",
SUMPRODUCT(
tb_desp[valor]*
(tb_desp[centro.negocio]=S$2)*
(tb_desp[nucleo]=S33)*
(tb_desp[data.pagamento]&gt;='n&amp;cn'!$C$1)*
(tb_desp[data.pagamento]&lt;='n&amp;cn'!$C$2)
))</f>
        <v/>
      </c>
      <c r="S33" s="267"/>
      <c r="T33" s="290" t="str" cm="1">
        <f t="array" ref="T33">IF(U33="",
"",
SUMPRODUCT(
tb_desp[valor]*
(tb_desp[centro.negocio]=U$2)*
(tb_desp[nucleo]=U33)*
(tb_desp[data.pagamento]&gt;='n&amp;cn'!$C$1)*
(tb_desp[data.pagamento]&lt;='n&amp;cn'!$C$2)
))</f>
        <v/>
      </c>
      <c r="U33" s="267"/>
      <c r="V33" s="290" t="str" cm="1">
        <f t="array" ref="V33">IF(W33="",
"",
SUMPRODUCT(
tb_desp[valor]*
(tb_desp[centro.negocio]=W$2)*
(tb_desp[nucleo]=W33)*
(tb_desp[data.pagamento]&gt;='n&amp;cn'!$C$1)*
(tb_desp[data.pagamento]&lt;='n&amp;cn'!$C$2)
))</f>
        <v/>
      </c>
      <c r="W33" s="267"/>
      <c r="X33" s="290" t="str" cm="1">
        <f t="array" ref="X33">IF(Y33="",
"",
SUMPRODUCT(
tb_desp[valor]*
(tb_desp[centro.negocio]=Y$2)*
(tb_desp[nucleo]=Y33)*
(tb_desp[data.pagamento]&gt;='n&amp;cn'!$C$1)*
(tb_desp[data.pagamento]&lt;='n&amp;cn'!$C$2)
))</f>
        <v/>
      </c>
      <c r="Y33" s="267"/>
      <c r="Z33" s="290" t="str" cm="1">
        <f t="array" ref="Z33">IF(AA33="",
"",
SUMPRODUCT(
tb_desp[valor]*
(tb_desp[centro.negocio]=AA$2)*
(tb_desp[nucleo]=AA33)*
(tb_desp[data.pagamento]&gt;='n&amp;cn'!$C$1)*
(tb_desp[data.pagamento]&lt;='n&amp;cn'!$C$2)
))</f>
        <v/>
      </c>
      <c r="AA33" s="267"/>
      <c r="AB33" s="290" t="str" cm="1">
        <f t="array" ref="AB33">IF(AC33="",
"",
SUMPRODUCT(
tb_desp[valor]*
(tb_desp[centro.negocio]=AC$2)*
(tb_desp[nucleo]=AC33)*
(tb_desp[data.pagamento]&gt;='n&amp;cn'!$C$1)*
(tb_desp[data.pagamento]&lt;='n&amp;cn'!$C$2)
))</f>
        <v/>
      </c>
      <c r="AC33" s="267"/>
      <c r="AD33" s="290" t="str" cm="1">
        <f t="array" ref="AD33">IF(AE33="",
"",
SUMPRODUCT(
tb_desp[valor]*
(tb_desp[centro.negocio]=AE$2)*
(tb_desp[nucleo]=AE33)*
(tb_desp[data.pagamento]&gt;='n&amp;cn'!$C$1)*
(tb_desp[data.pagamento]&lt;='n&amp;cn'!$C$2)
))</f>
        <v/>
      </c>
      <c r="AE33" s="267"/>
      <c r="AF33" s="290" t="str" cm="1">
        <f t="array" ref="AF33">IF(AG33="",
"",
SUMPRODUCT(
tb_desp[valor]*
(tb_desp[centro.negocio]=AG$2)*
(tb_desp[nucleo]=AG33)*
(tb_desp[data.pagamento]&gt;='n&amp;cn'!$C$1)*
(tb_desp[data.pagamento]&lt;='n&amp;cn'!$C$2)
))</f>
        <v/>
      </c>
      <c r="AG33" s="267"/>
      <c r="AH33" s="290" t="str" cm="1">
        <f t="array" ref="AH33">IF(AI33="",
"",
SUMPRODUCT(
tb_desp[valor]*
(tb_desp[centro.negocio]=AI$2)*
(tb_desp[nucleo]=AI33)*
(tb_desp[data.pagamento]&gt;='n&amp;cn'!$C$1)*
(tb_desp[data.pagamento]&lt;='n&amp;cn'!$C$2)
))</f>
        <v/>
      </c>
      <c r="AI33" s="267"/>
      <c r="AJ33" s="290" t="str" cm="1">
        <f t="array" ref="AJ33">IF(AK33="",
"",
SUMPRODUCT(
tb_desp[valor]*
(tb_desp[centro.negocio]=AK$2)*
(tb_desp[nucleo]=AK33)*
(tb_desp[data.pagamento]&gt;='n&amp;cn'!$C$1)*
(tb_desp[data.pagamento]&lt;='n&amp;cn'!$C$2)
))</f>
        <v/>
      </c>
      <c r="AK33" s="267"/>
      <c r="AL33" s="290" t="str" cm="1">
        <f t="array" ref="AL33">IF(AM33="",
"",
SUMPRODUCT(
tb_desp[valor]*
(tb_desp[centro.negocio]=AM$2)*
(tb_desp[nucleo]=AM33)*
(tb_desp[data.pagamento]&gt;='n&amp;cn'!$C$1)*
(tb_desp[data.pagamento]&lt;='n&amp;cn'!$C$2)
))</f>
        <v/>
      </c>
      <c r="AM33" s="267"/>
      <c r="AN33" s="290" t="str" cm="1">
        <f t="array" ref="AN33">IF(AO33="",
"",
SUMPRODUCT(
tb_desp[valor]*
(tb_desp[centro.negocio]=AO$2)*
(tb_desp[nucleo]=AO33)*
(tb_desp[data.pagamento]&gt;='n&amp;cn'!$C$1)*
(tb_desp[data.pagamento]&lt;='n&amp;cn'!$C$2)
))</f>
        <v/>
      </c>
      <c r="AO33" s="267"/>
      <c r="AP33" s="290" t="str" cm="1">
        <f t="array" ref="AP33">IF(AQ33="",
"",
SUMPRODUCT(
tb_desp[valor]*
(tb_desp[centro.negocio]=AQ$2)*
(tb_desp[nucleo]=AQ33)*
(tb_desp[data.pagamento]&gt;='n&amp;cn'!$C$1)*
(tb_desp[data.pagamento]&lt;='n&amp;cn'!$C$2)
))</f>
        <v/>
      </c>
      <c r="AQ33" s="267"/>
      <c r="AR33" s="290" t="str" cm="1">
        <f t="array" ref="AR33">IF(AS33="",
"",
SUMPRODUCT(
tb_desp[valor]*
(tb_desp[centro.negocio]=AS$2)*
(tb_desp[nucleo]=AS33)*
(tb_desp[data.pagamento]&gt;='n&amp;cn'!$C$1)*
(tb_desp[data.pagamento]&lt;='n&amp;cn'!$C$2)
))</f>
        <v/>
      </c>
      <c r="AS33" s="267"/>
      <c r="AT33" s="290" t="str" cm="1">
        <f t="array" ref="AT33">IF(AU33="",
"",
SUMPRODUCT(
tb_desp[valor]*
(tb_desp[centro.negocio]=AU$2)*
(tb_desp[nucleo]=AU33)*
(tb_desp[data.pagamento]&gt;='n&amp;cn'!$C$1)*
(tb_desp[data.pagamento]&lt;='n&amp;cn'!$C$2)
))</f>
        <v/>
      </c>
      <c r="AU33" s="267"/>
      <c r="AV33" s="290" t="str" cm="1">
        <f t="array" ref="AV33">IF(AW33="",
"",
SUMPRODUCT(
tb_desp[valor]*
(tb_desp[centro.negocio]=AW$2)*
(tb_desp[nucleo]=AW33)*
(tb_desp[data.pagamento]&gt;='n&amp;cn'!$C$1)*
(tb_desp[data.pagamento]&lt;='n&amp;cn'!$C$2)
))</f>
        <v/>
      </c>
      <c r="AW33" s="267"/>
      <c r="AX33" s="290" t="str" cm="1">
        <f t="array" ref="AX33">IF(AY33="",
"",
SUMPRODUCT(
tb_desp[valor]*
(tb_desp[centro.negocio]=AY$2)*
(tb_desp[nucleo]=AY33)*
(tb_desp[data.pagamento]&gt;='n&amp;cn'!$C$1)*
(tb_desp[data.pagamento]&lt;='n&amp;cn'!$C$2)
))</f>
        <v/>
      </c>
      <c r="AY33" s="267"/>
      <c r="AZ33" s="290" t="str" cm="1">
        <f t="array" ref="AZ33">IF(BA33="",
"",
SUMPRODUCT(
tb_desp[valor]*
(tb_desp[centro.negocio]=BA$2)*
(tb_desp[nucleo]=BA33)*
(tb_desp[data.pagamento]&gt;='n&amp;cn'!$C$1)*
(tb_desp[data.pagamento]&lt;='n&amp;cn'!$C$2)
))</f>
        <v/>
      </c>
      <c r="BA33" s="267"/>
      <c r="BB33" s="290" t="str" cm="1">
        <f t="array" ref="BB33">IF(BC33="",
"",
SUMPRODUCT(
tb_desp[valor]*
(tb_desp[centro.negocio]=BC$2)*
(tb_desp[nucleo]=BC33)*
(tb_desp[data.pagamento]&gt;='n&amp;cn'!$C$1)*
(tb_desp[data.pagamento]&lt;='n&amp;cn'!$C$2)
))</f>
        <v/>
      </c>
      <c r="BC33" s="267"/>
      <c r="BD33" s="290" t="str" cm="1">
        <f t="array" ref="BD33">IF(BE33="",
"",
SUMPRODUCT(
tb_desp[valor]*
(tb_desp[centro.negocio]=BE$2)*
(tb_desp[nucleo]=BE33)*
(tb_desp[data.pagamento]&gt;='n&amp;cn'!$C$1)*
(tb_desp[data.pagamento]&lt;='n&amp;cn'!$C$2)
))</f>
        <v/>
      </c>
      <c r="BE33" s="267"/>
      <c r="BF33" s="290" t="str" cm="1">
        <f t="array" ref="BF33">IF(BG33="",
"",
SUMPRODUCT(
tb_desp[valor]*
(tb_desp[centro.negocio]=BG$2)*
(tb_desp[nucleo]=BG33)*
(tb_desp[data.pagamento]&gt;='n&amp;cn'!$C$1)*
(tb_desp[data.pagamento]&lt;='n&amp;cn'!$C$2)
))</f>
        <v/>
      </c>
      <c r="BG33" s="267"/>
      <c r="BH33" s="290" t="str" cm="1">
        <f t="array" ref="BH33">IF(BI33="",
"",
SUMPRODUCT(
tb_desp[valor]*
(tb_desp[centro.negocio]=BI$2)*
(tb_desp[nucleo]=BI33)*
(tb_desp[data.pagamento]&gt;='n&amp;cn'!$C$1)*
(tb_desp[data.pagamento]&lt;='n&amp;cn'!$C$2)
))</f>
        <v/>
      </c>
      <c r="BI33" s="267"/>
      <c r="BJ33" s="290" t="str" cm="1">
        <f t="array" ref="BJ33">IF(BK33="",
"",
SUMPRODUCT(
tb_desp[valor]*
(tb_desp[centro.negocio]=BK$2)*
(tb_desp[nucleo]=BK33)*
(tb_desp[data.pagamento]&gt;='n&amp;cn'!$C$1)*
(tb_desp[data.pagamento]&lt;='n&amp;cn'!$C$2)
))</f>
        <v/>
      </c>
      <c r="BK33" s="267"/>
      <c r="BL33" s="290" t="str" cm="1">
        <f t="array" ref="BL33">IF(BM33="",
"",
SUMPRODUCT(
tb_desp[valor]*
(tb_desp[centro.negocio]=BM$2)*
(tb_desp[nucleo]=BM33)*
(tb_desp[data.pagamento]&gt;='n&amp;cn'!$C$1)*
(tb_desp[data.pagamento]&lt;='n&amp;cn'!$C$2)
))</f>
        <v/>
      </c>
      <c r="BM33" s="267"/>
      <c r="BN33" s="290" t="str" cm="1">
        <f t="array" ref="BN33">IF(BO33="",
"",
SUMPRODUCT(
tb_desp[valor]*
(tb_desp[centro.negocio]=BO$2)*
(tb_desp[nucleo]=BO33)*
(tb_desp[data.pagamento]&gt;='n&amp;cn'!$C$1)*
(tb_desp[data.pagamento]&lt;='n&amp;cn'!$C$2)
))</f>
        <v/>
      </c>
      <c r="BO33" s="267"/>
    </row>
    <row r="34" spans="1:67" x14ac:dyDescent="0.25">
      <c r="A34">
        <f t="shared" si="2"/>
        <v>27</v>
      </c>
      <c r="B34" s="161"/>
      <c r="C34" s="163"/>
      <c r="D34" s="164"/>
      <c r="E34" s="167" t="e">
        <f t="shared" si="0"/>
        <v>#DIV/0!</v>
      </c>
      <c r="F34" s="167" t="e">
        <f>SUM($E$8:$E34)</f>
        <v>#DIV/0!</v>
      </c>
      <c r="G34" s="167"/>
      <c r="H34" s="168"/>
      <c r="I34" s="163">
        <f t="shared" si="3"/>
        <v>27</v>
      </c>
      <c r="K34" s="164"/>
      <c r="L34" s="167" t="e">
        <f t="shared" si="1"/>
        <v>#DIV/0!</v>
      </c>
      <c r="M34" s="167" t="e">
        <f>SUM($L$8:$L34)</f>
        <v>#DIV/0!</v>
      </c>
      <c r="R34" s="290" t="str" cm="1">
        <f t="array" ref="R34">IF(S34="",
"",
SUMPRODUCT(
tb_desp[valor]*
(tb_desp[centro.negocio]=S$2)*
(tb_desp[nucleo]=S34)*
(tb_desp[data.pagamento]&gt;='n&amp;cn'!$C$1)*
(tb_desp[data.pagamento]&lt;='n&amp;cn'!$C$2)
))</f>
        <v/>
      </c>
      <c r="S34" s="267"/>
      <c r="T34" s="290" t="str" cm="1">
        <f t="array" ref="T34">IF(U34="",
"",
SUMPRODUCT(
tb_desp[valor]*
(tb_desp[centro.negocio]=U$2)*
(tb_desp[nucleo]=U34)*
(tb_desp[data.pagamento]&gt;='n&amp;cn'!$C$1)*
(tb_desp[data.pagamento]&lt;='n&amp;cn'!$C$2)
))</f>
        <v/>
      </c>
      <c r="U34" s="267"/>
      <c r="V34" s="290" t="str" cm="1">
        <f t="array" ref="V34">IF(W34="",
"",
SUMPRODUCT(
tb_desp[valor]*
(tb_desp[centro.negocio]=W$2)*
(tb_desp[nucleo]=W34)*
(tb_desp[data.pagamento]&gt;='n&amp;cn'!$C$1)*
(tb_desp[data.pagamento]&lt;='n&amp;cn'!$C$2)
))</f>
        <v/>
      </c>
      <c r="W34" s="267"/>
      <c r="X34" s="290" t="str" cm="1">
        <f t="array" ref="X34">IF(Y34="",
"",
SUMPRODUCT(
tb_desp[valor]*
(tb_desp[centro.negocio]=Y$2)*
(tb_desp[nucleo]=Y34)*
(tb_desp[data.pagamento]&gt;='n&amp;cn'!$C$1)*
(tb_desp[data.pagamento]&lt;='n&amp;cn'!$C$2)
))</f>
        <v/>
      </c>
      <c r="Y34" s="267"/>
      <c r="Z34" s="290" t="str" cm="1">
        <f t="array" ref="Z34">IF(AA34="",
"",
SUMPRODUCT(
tb_desp[valor]*
(tb_desp[centro.negocio]=AA$2)*
(tb_desp[nucleo]=AA34)*
(tb_desp[data.pagamento]&gt;='n&amp;cn'!$C$1)*
(tb_desp[data.pagamento]&lt;='n&amp;cn'!$C$2)
))</f>
        <v/>
      </c>
      <c r="AA34" s="267"/>
      <c r="AB34" s="290" t="str" cm="1">
        <f t="array" ref="AB34">IF(AC34="",
"",
SUMPRODUCT(
tb_desp[valor]*
(tb_desp[centro.negocio]=AC$2)*
(tb_desp[nucleo]=AC34)*
(tb_desp[data.pagamento]&gt;='n&amp;cn'!$C$1)*
(tb_desp[data.pagamento]&lt;='n&amp;cn'!$C$2)
))</f>
        <v/>
      </c>
      <c r="AC34" s="267"/>
      <c r="AD34" s="290" t="str" cm="1">
        <f t="array" ref="AD34">IF(AE34="",
"",
SUMPRODUCT(
tb_desp[valor]*
(tb_desp[centro.negocio]=AE$2)*
(tb_desp[nucleo]=AE34)*
(tb_desp[data.pagamento]&gt;='n&amp;cn'!$C$1)*
(tb_desp[data.pagamento]&lt;='n&amp;cn'!$C$2)
))</f>
        <v/>
      </c>
      <c r="AE34" s="267"/>
      <c r="AF34" s="290" t="str" cm="1">
        <f t="array" ref="AF34">IF(AG34="",
"",
SUMPRODUCT(
tb_desp[valor]*
(tb_desp[centro.negocio]=AG$2)*
(tb_desp[nucleo]=AG34)*
(tb_desp[data.pagamento]&gt;='n&amp;cn'!$C$1)*
(tb_desp[data.pagamento]&lt;='n&amp;cn'!$C$2)
))</f>
        <v/>
      </c>
      <c r="AG34" s="267"/>
      <c r="AH34" s="290" t="str" cm="1">
        <f t="array" ref="AH34">IF(AI34="",
"",
SUMPRODUCT(
tb_desp[valor]*
(tb_desp[centro.negocio]=AI$2)*
(tb_desp[nucleo]=AI34)*
(tb_desp[data.pagamento]&gt;='n&amp;cn'!$C$1)*
(tb_desp[data.pagamento]&lt;='n&amp;cn'!$C$2)
))</f>
        <v/>
      </c>
      <c r="AI34" s="267"/>
      <c r="AJ34" s="290" t="str" cm="1">
        <f t="array" ref="AJ34">IF(AK34="",
"",
SUMPRODUCT(
tb_desp[valor]*
(tb_desp[centro.negocio]=AK$2)*
(tb_desp[nucleo]=AK34)*
(tb_desp[data.pagamento]&gt;='n&amp;cn'!$C$1)*
(tb_desp[data.pagamento]&lt;='n&amp;cn'!$C$2)
))</f>
        <v/>
      </c>
      <c r="AK34" s="267"/>
      <c r="AL34" s="290" t="str" cm="1">
        <f t="array" ref="AL34">IF(AM34="",
"",
SUMPRODUCT(
tb_desp[valor]*
(tb_desp[centro.negocio]=AM$2)*
(tb_desp[nucleo]=AM34)*
(tb_desp[data.pagamento]&gt;='n&amp;cn'!$C$1)*
(tb_desp[data.pagamento]&lt;='n&amp;cn'!$C$2)
))</f>
        <v/>
      </c>
      <c r="AM34" s="267"/>
      <c r="AN34" s="290" t="str" cm="1">
        <f t="array" ref="AN34">IF(AO34="",
"",
SUMPRODUCT(
tb_desp[valor]*
(tb_desp[centro.negocio]=AO$2)*
(tb_desp[nucleo]=AO34)*
(tb_desp[data.pagamento]&gt;='n&amp;cn'!$C$1)*
(tb_desp[data.pagamento]&lt;='n&amp;cn'!$C$2)
))</f>
        <v/>
      </c>
      <c r="AO34" s="267"/>
      <c r="AP34" s="290" t="str" cm="1">
        <f t="array" ref="AP34">IF(AQ34="",
"",
SUMPRODUCT(
tb_desp[valor]*
(tb_desp[centro.negocio]=AQ$2)*
(tb_desp[nucleo]=AQ34)*
(tb_desp[data.pagamento]&gt;='n&amp;cn'!$C$1)*
(tb_desp[data.pagamento]&lt;='n&amp;cn'!$C$2)
))</f>
        <v/>
      </c>
      <c r="AQ34" s="267"/>
      <c r="AR34" s="290" t="str" cm="1">
        <f t="array" ref="AR34">IF(AS34="",
"",
SUMPRODUCT(
tb_desp[valor]*
(tb_desp[centro.negocio]=AS$2)*
(tb_desp[nucleo]=AS34)*
(tb_desp[data.pagamento]&gt;='n&amp;cn'!$C$1)*
(tb_desp[data.pagamento]&lt;='n&amp;cn'!$C$2)
))</f>
        <v/>
      </c>
      <c r="AS34" s="267"/>
      <c r="AT34" s="290" t="str" cm="1">
        <f t="array" ref="AT34">IF(AU34="",
"",
SUMPRODUCT(
tb_desp[valor]*
(tb_desp[centro.negocio]=AU$2)*
(tb_desp[nucleo]=AU34)*
(tb_desp[data.pagamento]&gt;='n&amp;cn'!$C$1)*
(tb_desp[data.pagamento]&lt;='n&amp;cn'!$C$2)
))</f>
        <v/>
      </c>
      <c r="AU34" s="267"/>
      <c r="AV34" s="290" t="str" cm="1">
        <f t="array" ref="AV34">IF(AW34="",
"",
SUMPRODUCT(
tb_desp[valor]*
(tb_desp[centro.negocio]=AW$2)*
(tb_desp[nucleo]=AW34)*
(tb_desp[data.pagamento]&gt;='n&amp;cn'!$C$1)*
(tb_desp[data.pagamento]&lt;='n&amp;cn'!$C$2)
))</f>
        <v/>
      </c>
      <c r="AW34" s="267"/>
      <c r="AX34" s="290" t="str" cm="1">
        <f t="array" ref="AX34">IF(AY34="",
"",
SUMPRODUCT(
tb_desp[valor]*
(tb_desp[centro.negocio]=AY$2)*
(tb_desp[nucleo]=AY34)*
(tb_desp[data.pagamento]&gt;='n&amp;cn'!$C$1)*
(tb_desp[data.pagamento]&lt;='n&amp;cn'!$C$2)
))</f>
        <v/>
      </c>
      <c r="AY34" s="267"/>
      <c r="AZ34" s="290" t="str" cm="1">
        <f t="array" ref="AZ34">IF(BA34="",
"",
SUMPRODUCT(
tb_desp[valor]*
(tb_desp[centro.negocio]=BA$2)*
(tb_desp[nucleo]=BA34)*
(tb_desp[data.pagamento]&gt;='n&amp;cn'!$C$1)*
(tb_desp[data.pagamento]&lt;='n&amp;cn'!$C$2)
))</f>
        <v/>
      </c>
      <c r="BA34" s="267"/>
      <c r="BB34" s="290" t="str" cm="1">
        <f t="array" ref="BB34">IF(BC34="",
"",
SUMPRODUCT(
tb_desp[valor]*
(tb_desp[centro.negocio]=BC$2)*
(tb_desp[nucleo]=BC34)*
(tb_desp[data.pagamento]&gt;='n&amp;cn'!$C$1)*
(tb_desp[data.pagamento]&lt;='n&amp;cn'!$C$2)
))</f>
        <v/>
      </c>
      <c r="BC34" s="267"/>
      <c r="BD34" s="290" t="str" cm="1">
        <f t="array" ref="BD34">IF(BE34="",
"",
SUMPRODUCT(
tb_desp[valor]*
(tb_desp[centro.negocio]=BE$2)*
(tb_desp[nucleo]=BE34)*
(tb_desp[data.pagamento]&gt;='n&amp;cn'!$C$1)*
(tb_desp[data.pagamento]&lt;='n&amp;cn'!$C$2)
))</f>
        <v/>
      </c>
      <c r="BE34" s="267"/>
      <c r="BF34" s="290" t="str" cm="1">
        <f t="array" ref="BF34">IF(BG34="",
"",
SUMPRODUCT(
tb_desp[valor]*
(tb_desp[centro.negocio]=BG$2)*
(tb_desp[nucleo]=BG34)*
(tb_desp[data.pagamento]&gt;='n&amp;cn'!$C$1)*
(tb_desp[data.pagamento]&lt;='n&amp;cn'!$C$2)
))</f>
        <v/>
      </c>
      <c r="BG34" s="267"/>
      <c r="BH34" s="290" t="str" cm="1">
        <f t="array" ref="BH34">IF(BI34="",
"",
SUMPRODUCT(
tb_desp[valor]*
(tb_desp[centro.negocio]=BI$2)*
(tb_desp[nucleo]=BI34)*
(tb_desp[data.pagamento]&gt;='n&amp;cn'!$C$1)*
(tb_desp[data.pagamento]&lt;='n&amp;cn'!$C$2)
))</f>
        <v/>
      </c>
      <c r="BI34" s="267"/>
      <c r="BJ34" s="290" t="str" cm="1">
        <f t="array" ref="BJ34">IF(BK34="",
"",
SUMPRODUCT(
tb_desp[valor]*
(tb_desp[centro.negocio]=BK$2)*
(tb_desp[nucleo]=BK34)*
(tb_desp[data.pagamento]&gt;='n&amp;cn'!$C$1)*
(tb_desp[data.pagamento]&lt;='n&amp;cn'!$C$2)
))</f>
        <v/>
      </c>
      <c r="BK34" s="267"/>
      <c r="BL34" s="290" t="str" cm="1">
        <f t="array" ref="BL34">IF(BM34="",
"",
SUMPRODUCT(
tb_desp[valor]*
(tb_desp[centro.negocio]=BM$2)*
(tb_desp[nucleo]=BM34)*
(tb_desp[data.pagamento]&gt;='n&amp;cn'!$C$1)*
(tb_desp[data.pagamento]&lt;='n&amp;cn'!$C$2)
))</f>
        <v/>
      </c>
      <c r="BM34" s="267"/>
      <c r="BN34" s="290" t="str" cm="1">
        <f t="array" ref="BN34">IF(BO34="",
"",
SUMPRODUCT(
tb_desp[valor]*
(tb_desp[centro.negocio]=BO$2)*
(tb_desp[nucleo]=BO34)*
(tb_desp[data.pagamento]&gt;='n&amp;cn'!$C$1)*
(tb_desp[data.pagamento]&lt;='n&amp;cn'!$C$2)
))</f>
        <v/>
      </c>
      <c r="BO34" s="267"/>
    </row>
    <row r="35" spans="1:67" x14ac:dyDescent="0.25">
      <c r="A35">
        <f t="shared" si="2"/>
        <v>28</v>
      </c>
      <c r="B35" s="161"/>
      <c r="C35" s="163"/>
      <c r="D35" s="164"/>
      <c r="E35" s="167" t="e">
        <f t="shared" si="0"/>
        <v>#DIV/0!</v>
      </c>
      <c r="F35" s="167" t="e">
        <f>SUM($E$8:$E35)</f>
        <v>#DIV/0!</v>
      </c>
      <c r="G35" s="167"/>
      <c r="H35" s="168"/>
      <c r="I35" s="163">
        <f t="shared" si="3"/>
        <v>28</v>
      </c>
      <c r="K35" s="164"/>
      <c r="L35" s="167" t="e">
        <f t="shared" si="1"/>
        <v>#DIV/0!</v>
      </c>
      <c r="M35" s="167" t="e">
        <f>SUM($L$8:$L35)</f>
        <v>#DIV/0!</v>
      </c>
      <c r="R35" s="290" t="str" cm="1">
        <f t="array" ref="R35">IF(S35="",
"",
SUMPRODUCT(
tb_desp[valor]*
(tb_desp[centro.negocio]=S$2)*
(tb_desp[nucleo]=S35)*
(tb_desp[data.pagamento]&gt;='n&amp;cn'!$C$1)*
(tb_desp[data.pagamento]&lt;='n&amp;cn'!$C$2)
))</f>
        <v/>
      </c>
      <c r="S35" s="267"/>
      <c r="T35" s="290" t="str" cm="1">
        <f t="array" ref="T35">IF(U35="",
"",
SUMPRODUCT(
tb_desp[valor]*
(tb_desp[centro.negocio]=U$2)*
(tb_desp[nucleo]=U35)*
(tb_desp[data.pagamento]&gt;='n&amp;cn'!$C$1)*
(tb_desp[data.pagamento]&lt;='n&amp;cn'!$C$2)
))</f>
        <v/>
      </c>
      <c r="U35" s="267"/>
      <c r="V35" s="290" t="str" cm="1">
        <f t="array" ref="V35">IF(W35="",
"",
SUMPRODUCT(
tb_desp[valor]*
(tb_desp[centro.negocio]=W$2)*
(tb_desp[nucleo]=W35)*
(tb_desp[data.pagamento]&gt;='n&amp;cn'!$C$1)*
(tb_desp[data.pagamento]&lt;='n&amp;cn'!$C$2)
))</f>
        <v/>
      </c>
      <c r="W35" s="267"/>
      <c r="X35" s="290" t="str" cm="1">
        <f t="array" ref="X35">IF(Y35="",
"",
SUMPRODUCT(
tb_desp[valor]*
(tb_desp[centro.negocio]=Y$2)*
(tb_desp[nucleo]=Y35)*
(tb_desp[data.pagamento]&gt;='n&amp;cn'!$C$1)*
(tb_desp[data.pagamento]&lt;='n&amp;cn'!$C$2)
))</f>
        <v/>
      </c>
      <c r="Y35" s="267"/>
      <c r="Z35" s="290" t="str" cm="1">
        <f t="array" ref="Z35">IF(AA35="",
"",
SUMPRODUCT(
tb_desp[valor]*
(tb_desp[centro.negocio]=AA$2)*
(tb_desp[nucleo]=AA35)*
(tb_desp[data.pagamento]&gt;='n&amp;cn'!$C$1)*
(tb_desp[data.pagamento]&lt;='n&amp;cn'!$C$2)
))</f>
        <v/>
      </c>
      <c r="AA35" s="267"/>
      <c r="AB35" s="290" t="str" cm="1">
        <f t="array" ref="AB35">IF(AC35="",
"",
SUMPRODUCT(
tb_desp[valor]*
(tb_desp[centro.negocio]=AC$2)*
(tb_desp[nucleo]=AC35)*
(tb_desp[data.pagamento]&gt;='n&amp;cn'!$C$1)*
(tb_desp[data.pagamento]&lt;='n&amp;cn'!$C$2)
))</f>
        <v/>
      </c>
      <c r="AC35" s="267"/>
      <c r="AD35" s="290" t="str" cm="1">
        <f t="array" ref="AD35">IF(AE35="",
"",
SUMPRODUCT(
tb_desp[valor]*
(tb_desp[centro.negocio]=AE$2)*
(tb_desp[nucleo]=AE35)*
(tb_desp[data.pagamento]&gt;='n&amp;cn'!$C$1)*
(tb_desp[data.pagamento]&lt;='n&amp;cn'!$C$2)
))</f>
        <v/>
      </c>
      <c r="AE35" s="267"/>
      <c r="AF35" s="290" t="str" cm="1">
        <f t="array" ref="AF35">IF(AG35="",
"",
SUMPRODUCT(
tb_desp[valor]*
(tb_desp[centro.negocio]=AG$2)*
(tb_desp[nucleo]=AG35)*
(tb_desp[data.pagamento]&gt;='n&amp;cn'!$C$1)*
(tb_desp[data.pagamento]&lt;='n&amp;cn'!$C$2)
))</f>
        <v/>
      </c>
      <c r="AG35" s="267"/>
      <c r="AH35" s="290" t="str" cm="1">
        <f t="array" ref="AH35">IF(AI35="",
"",
SUMPRODUCT(
tb_desp[valor]*
(tb_desp[centro.negocio]=AI$2)*
(tb_desp[nucleo]=AI35)*
(tb_desp[data.pagamento]&gt;='n&amp;cn'!$C$1)*
(tb_desp[data.pagamento]&lt;='n&amp;cn'!$C$2)
))</f>
        <v/>
      </c>
      <c r="AI35" s="267"/>
      <c r="AJ35" s="290" t="str" cm="1">
        <f t="array" ref="AJ35">IF(AK35="",
"",
SUMPRODUCT(
tb_desp[valor]*
(tb_desp[centro.negocio]=AK$2)*
(tb_desp[nucleo]=AK35)*
(tb_desp[data.pagamento]&gt;='n&amp;cn'!$C$1)*
(tb_desp[data.pagamento]&lt;='n&amp;cn'!$C$2)
))</f>
        <v/>
      </c>
      <c r="AK35" s="267"/>
      <c r="AL35" s="290" t="str" cm="1">
        <f t="array" ref="AL35">IF(AM35="",
"",
SUMPRODUCT(
tb_desp[valor]*
(tb_desp[centro.negocio]=AM$2)*
(tb_desp[nucleo]=AM35)*
(tb_desp[data.pagamento]&gt;='n&amp;cn'!$C$1)*
(tb_desp[data.pagamento]&lt;='n&amp;cn'!$C$2)
))</f>
        <v/>
      </c>
      <c r="AM35" s="267"/>
      <c r="AN35" s="290" t="str" cm="1">
        <f t="array" ref="AN35">IF(AO35="",
"",
SUMPRODUCT(
tb_desp[valor]*
(tb_desp[centro.negocio]=AO$2)*
(tb_desp[nucleo]=AO35)*
(tb_desp[data.pagamento]&gt;='n&amp;cn'!$C$1)*
(tb_desp[data.pagamento]&lt;='n&amp;cn'!$C$2)
))</f>
        <v/>
      </c>
      <c r="AO35" s="267"/>
      <c r="AP35" s="290" t="str" cm="1">
        <f t="array" ref="AP35">IF(AQ35="",
"",
SUMPRODUCT(
tb_desp[valor]*
(tb_desp[centro.negocio]=AQ$2)*
(tb_desp[nucleo]=AQ35)*
(tb_desp[data.pagamento]&gt;='n&amp;cn'!$C$1)*
(tb_desp[data.pagamento]&lt;='n&amp;cn'!$C$2)
))</f>
        <v/>
      </c>
      <c r="AQ35" s="267"/>
      <c r="AR35" s="290" t="str" cm="1">
        <f t="array" ref="AR35">IF(AS35="",
"",
SUMPRODUCT(
tb_desp[valor]*
(tb_desp[centro.negocio]=AS$2)*
(tb_desp[nucleo]=AS35)*
(tb_desp[data.pagamento]&gt;='n&amp;cn'!$C$1)*
(tb_desp[data.pagamento]&lt;='n&amp;cn'!$C$2)
))</f>
        <v/>
      </c>
      <c r="AS35" s="267"/>
      <c r="AT35" s="290" t="str" cm="1">
        <f t="array" ref="AT35">IF(AU35="",
"",
SUMPRODUCT(
tb_desp[valor]*
(tb_desp[centro.negocio]=AU$2)*
(tb_desp[nucleo]=AU35)*
(tb_desp[data.pagamento]&gt;='n&amp;cn'!$C$1)*
(tb_desp[data.pagamento]&lt;='n&amp;cn'!$C$2)
))</f>
        <v/>
      </c>
      <c r="AU35" s="267"/>
      <c r="AV35" s="290" t="str" cm="1">
        <f t="array" ref="AV35">IF(AW35="",
"",
SUMPRODUCT(
tb_desp[valor]*
(tb_desp[centro.negocio]=AW$2)*
(tb_desp[nucleo]=AW35)*
(tb_desp[data.pagamento]&gt;='n&amp;cn'!$C$1)*
(tb_desp[data.pagamento]&lt;='n&amp;cn'!$C$2)
))</f>
        <v/>
      </c>
      <c r="AW35" s="267"/>
      <c r="AX35" s="290" t="str" cm="1">
        <f t="array" ref="AX35">IF(AY35="",
"",
SUMPRODUCT(
tb_desp[valor]*
(tb_desp[centro.negocio]=AY$2)*
(tb_desp[nucleo]=AY35)*
(tb_desp[data.pagamento]&gt;='n&amp;cn'!$C$1)*
(tb_desp[data.pagamento]&lt;='n&amp;cn'!$C$2)
))</f>
        <v/>
      </c>
      <c r="AY35" s="267"/>
      <c r="AZ35" s="290" t="str" cm="1">
        <f t="array" ref="AZ35">IF(BA35="",
"",
SUMPRODUCT(
tb_desp[valor]*
(tb_desp[centro.negocio]=BA$2)*
(tb_desp[nucleo]=BA35)*
(tb_desp[data.pagamento]&gt;='n&amp;cn'!$C$1)*
(tb_desp[data.pagamento]&lt;='n&amp;cn'!$C$2)
))</f>
        <v/>
      </c>
      <c r="BA35" s="267"/>
      <c r="BB35" s="290" t="str" cm="1">
        <f t="array" ref="BB35">IF(BC35="",
"",
SUMPRODUCT(
tb_desp[valor]*
(tb_desp[centro.negocio]=BC$2)*
(tb_desp[nucleo]=BC35)*
(tb_desp[data.pagamento]&gt;='n&amp;cn'!$C$1)*
(tb_desp[data.pagamento]&lt;='n&amp;cn'!$C$2)
))</f>
        <v/>
      </c>
      <c r="BC35" s="267"/>
      <c r="BD35" s="290" t="str" cm="1">
        <f t="array" ref="BD35">IF(BE35="",
"",
SUMPRODUCT(
tb_desp[valor]*
(tb_desp[centro.negocio]=BE$2)*
(tb_desp[nucleo]=BE35)*
(tb_desp[data.pagamento]&gt;='n&amp;cn'!$C$1)*
(tb_desp[data.pagamento]&lt;='n&amp;cn'!$C$2)
))</f>
        <v/>
      </c>
      <c r="BE35" s="267"/>
      <c r="BF35" s="290" t="str" cm="1">
        <f t="array" ref="BF35">IF(BG35="",
"",
SUMPRODUCT(
tb_desp[valor]*
(tb_desp[centro.negocio]=BG$2)*
(tb_desp[nucleo]=BG35)*
(tb_desp[data.pagamento]&gt;='n&amp;cn'!$C$1)*
(tb_desp[data.pagamento]&lt;='n&amp;cn'!$C$2)
))</f>
        <v/>
      </c>
      <c r="BG35" s="267"/>
      <c r="BH35" s="290" t="str" cm="1">
        <f t="array" ref="BH35">IF(BI35="",
"",
SUMPRODUCT(
tb_desp[valor]*
(tb_desp[centro.negocio]=BI$2)*
(tb_desp[nucleo]=BI35)*
(tb_desp[data.pagamento]&gt;='n&amp;cn'!$C$1)*
(tb_desp[data.pagamento]&lt;='n&amp;cn'!$C$2)
))</f>
        <v/>
      </c>
      <c r="BI35" s="267"/>
      <c r="BJ35" s="290" t="str" cm="1">
        <f t="array" ref="BJ35">IF(BK35="",
"",
SUMPRODUCT(
tb_desp[valor]*
(tb_desp[centro.negocio]=BK$2)*
(tb_desp[nucleo]=BK35)*
(tb_desp[data.pagamento]&gt;='n&amp;cn'!$C$1)*
(tb_desp[data.pagamento]&lt;='n&amp;cn'!$C$2)
))</f>
        <v/>
      </c>
      <c r="BK35" s="267"/>
      <c r="BL35" s="290" t="str" cm="1">
        <f t="array" ref="BL35">IF(BM35="",
"",
SUMPRODUCT(
tb_desp[valor]*
(tb_desp[centro.negocio]=BM$2)*
(tb_desp[nucleo]=BM35)*
(tb_desp[data.pagamento]&gt;='n&amp;cn'!$C$1)*
(tb_desp[data.pagamento]&lt;='n&amp;cn'!$C$2)
))</f>
        <v/>
      </c>
      <c r="BM35" s="267"/>
      <c r="BN35" s="290" t="str" cm="1">
        <f t="array" ref="BN35">IF(BO35="",
"",
SUMPRODUCT(
tb_desp[valor]*
(tb_desp[centro.negocio]=BO$2)*
(tb_desp[nucleo]=BO35)*
(tb_desp[data.pagamento]&gt;='n&amp;cn'!$C$1)*
(tb_desp[data.pagamento]&lt;='n&amp;cn'!$C$2)
))</f>
        <v/>
      </c>
      <c r="BO35" s="267"/>
    </row>
    <row r="36" spans="1:67" x14ac:dyDescent="0.25">
      <c r="A36">
        <f t="shared" si="2"/>
        <v>29</v>
      </c>
      <c r="B36" s="161"/>
      <c r="C36" s="163"/>
      <c r="D36" s="164"/>
      <c r="E36" s="167" t="e">
        <f t="shared" si="0"/>
        <v>#DIV/0!</v>
      </c>
      <c r="F36" s="167" t="e">
        <f>SUM($E$8:$E36)</f>
        <v>#DIV/0!</v>
      </c>
      <c r="G36" s="167"/>
      <c r="H36" s="168"/>
      <c r="I36" s="163">
        <f t="shared" si="3"/>
        <v>29</v>
      </c>
      <c r="K36" s="164"/>
      <c r="L36" s="167" t="e">
        <f t="shared" si="1"/>
        <v>#DIV/0!</v>
      </c>
      <c r="M36" s="167" t="e">
        <f>SUM($L$8:$L36)</f>
        <v>#DIV/0!</v>
      </c>
      <c r="R36" s="290" t="str" cm="1">
        <f t="array" ref="R36">IF(S36="",
"",
SUMPRODUCT(
tb_desp[valor]*
(tb_desp[centro.negocio]=S$2)*
(tb_desp[nucleo]=S36)*
(tb_desp[data.pagamento]&gt;='n&amp;cn'!$C$1)*
(tb_desp[data.pagamento]&lt;='n&amp;cn'!$C$2)
))</f>
        <v/>
      </c>
      <c r="S36" s="267"/>
      <c r="T36" s="290" t="str" cm="1">
        <f t="array" ref="T36">IF(U36="",
"",
SUMPRODUCT(
tb_desp[valor]*
(tb_desp[centro.negocio]=U$2)*
(tb_desp[nucleo]=U36)*
(tb_desp[data.pagamento]&gt;='n&amp;cn'!$C$1)*
(tb_desp[data.pagamento]&lt;='n&amp;cn'!$C$2)
))</f>
        <v/>
      </c>
      <c r="U36" s="267"/>
      <c r="V36" s="290" t="str" cm="1">
        <f t="array" ref="V36">IF(W36="",
"",
SUMPRODUCT(
tb_desp[valor]*
(tb_desp[centro.negocio]=W$2)*
(tb_desp[nucleo]=W36)*
(tb_desp[data.pagamento]&gt;='n&amp;cn'!$C$1)*
(tb_desp[data.pagamento]&lt;='n&amp;cn'!$C$2)
))</f>
        <v/>
      </c>
      <c r="W36" s="267"/>
      <c r="X36" s="290" t="str" cm="1">
        <f t="array" ref="X36">IF(Y36="",
"",
SUMPRODUCT(
tb_desp[valor]*
(tb_desp[centro.negocio]=Y$2)*
(tb_desp[nucleo]=Y36)*
(tb_desp[data.pagamento]&gt;='n&amp;cn'!$C$1)*
(tb_desp[data.pagamento]&lt;='n&amp;cn'!$C$2)
))</f>
        <v/>
      </c>
      <c r="Y36" s="267"/>
      <c r="Z36" s="290" t="str" cm="1">
        <f t="array" ref="Z36">IF(AA36="",
"",
SUMPRODUCT(
tb_desp[valor]*
(tb_desp[centro.negocio]=AA$2)*
(tb_desp[nucleo]=AA36)*
(tb_desp[data.pagamento]&gt;='n&amp;cn'!$C$1)*
(tb_desp[data.pagamento]&lt;='n&amp;cn'!$C$2)
))</f>
        <v/>
      </c>
      <c r="AA36" s="267"/>
      <c r="AB36" s="290" t="str" cm="1">
        <f t="array" ref="AB36">IF(AC36="",
"",
SUMPRODUCT(
tb_desp[valor]*
(tb_desp[centro.negocio]=AC$2)*
(tb_desp[nucleo]=AC36)*
(tb_desp[data.pagamento]&gt;='n&amp;cn'!$C$1)*
(tb_desp[data.pagamento]&lt;='n&amp;cn'!$C$2)
))</f>
        <v/>
      </c>
      <c r="AC36" s="267"/>
      <c r="AD36" s="290" t="str" cm="1">
        <f t="array" ref="AD36">IF(AE36="",
"",
SUMPRODUCT(
tb_desp[valor]*
(tb_desp[centro.negocio]=AE$2)*
(tb_desp[nucleo]=AE36)*
(tb_desp[data.pagamento]&gt;='n&amp;cn'!$C$1)*
(tb_desp[data.pagamento]&lt;='n&amp;cn'!$C$2)
))</f>
        <v/>
      </c>
      <c r="AE36" s="267"/>
      <c r="AF36" s="290" t="str" cm="1">
        <f t="array" ref="AF36">IF(AG36="",
"",
SUMPRODUCT(
tb_desp[valor]*
(tb_desp[centro.negocio]=AG$2)*
(tb_desp[nucleo]=AG36)*
(tb_desp[data.pagamento]&gt;='n&amp;cn'!$C$1)*
(tb_desp[data.pagamento]&lt;='n&amp;cn'!$C$2)
))</f>
        <v/>
      </c>
      <c r="AG36" s="267"/>
      <c r="AH36" s="290" t="str" cm="1">
        <f t="array" ref="AH36">IF(AI36="",
"",
SUMPRODUCT(
tb_desp[valor]*
(tb_desp[centro.negocio]=AI$2)*
(tb_desp[nucleo]=AI36)*
(tb_desp[data.pagamento]&gt;='n&amp;cn'!$C$1)*
(tb_desp[data.pagamento]&lt;='n&amp;cn'!$C$2)
))</f>
        <v/>
      </c>
      <c r="AI36" s="267"/>
      <c r="AJ36" s="290" t="str" cm="1">
        <f t="array" ref="AJ36">IF(AK36="",
"",
SUMPRODUCT(
tb_desp[valor]*
(tb_desp[centro.negocio]=AK$2)*
(tb_desp[nucleo]=AK36)*
(tb_desp[data.pagamento]&gt;='n&amp;cn'!$C$1)*
(tb_desp[data.pagamento]&lt;='n&amp;cn'!$C$2)
))</f>
        <v/>
      </c>
      <c r="AK36" s="267"/>
      <c r="AL36" s="290" t="str" cm="1">
        <f t="array" ref="AL36">IF(AM36="",
"",
SUMPRODUCT(
tb_desp[valor]*
(tb_desp[centro.negocio]=AM$2)*
(tb_desp[nucleo]=AM36)*
(tb_desp[data.pagamento]&gt;='n&amp;cn'!$C$1)*
(tb_desp[data.pagamento]&lt;='n&amp;cn'!$C$2)
))</f>
        <v/>
      </c>
      <c r="AM36" s="267"/>
      <c r="AN36" s="290" t="str" cm="1">
        <f t="array" ref="AN36">IF(AO36="",
"",
SUMPRODUCT(
tb_desp[valor]*
(tb_desp[centro.negocio]=AO$2)*
(tb_desp[nucleo]=AO36)*
(tb_desp[data.pagamento]&gt;='n&amp;cn'!$C$1)*
(tb_desp[data.pagamento]&lt;='n&amp;cn'!$C$2)
))</f>
        <v/>
      </c>
      <c r="AO36" s="267"/>
      <c r="AP36" s="290" t="str" cm="1">
        <f t="array" ref="AP36">IF(AQ36="",
"",
SUMPRODUCT(
tb_desp[valor]*
(tb_desp[centro.negocio]=AQ$2)*
(tb_desp[nucleo]=AQ36)*
(tb_desp[data.pagamento]&gt;='n&amp;cn'!$C$1)*
(tb_desp[data.pagamento]&lt;='n&amp;cn'!$C$2)
))</f>
        <v/>
      </c>
      <c r="AQ36" s="267"/>
      <c r="AR36" s="290" t="str" cm="1">
        <f t="array" ref="AR36">IF(AS36="",
"",
SUMPRODUCT(
tb_desp[valor]*
(tb_desp[centro.negocio]=AS$2)*
(tb_desp[nucleo]=AS36)*
(tb_desp[data.pagamento]&gt;='n&amp;cn'!$C$1)*
(tb_desp[data.pagamento]&lt;='n&amp;cn'!$C$2)
))</f>
        <v/>
      </c>
      <c r="AS36" s="267"/>
      <c r="AT36" s="290" t="str" cm="1">
        <f t="array" ref="AT36">IF(AU36="",
"",
SUMPRODUCT(
tb_desp[valor]*
(tb_desp[centro.negocio]=AU$2)*
(tb_desp[nucleo]=AU36)*
(tb_desp[data.pagamento]&gt;='n&amp;cn'!$C$1)*
(tb_desp[data.pagamento]&lt;='n&amp;cn'!$C$2)
))</f>
        <v/>
      </c>
      <c r="AU36" s="267"/>
      <c r="AV36" s="290" t="str" cm="1">
        <f t="array" ref="AV36">IF(AW36="",
"",
SUMPRODUCT(
tb_desp[valor]*
(tb_desp[centro.negocio]=AW$2)*
(tb_desp[nucleo]=AW36)*
(tb_desp[data.pagamento]&gt;='n&amp;cn'!$C$1)*
(tb_desp[data.pagamento]&lt;='n&amp;cn'!$C$2)
))</f>
        <v/>
      </c>
      <c r="AW36" s="267"/>
      <c r="AX36" s="290" t="str" cm="1">
        <f t="array" ref="AX36">IF(AY36="",
"",
SUMPRODUCT(
tb_desp[valor]*
(tb_desp[centro.negocio]=AY$2)*
(tb_desp[nucleo]=AY36)*
(tb_desp[data.pagamento]&gt;='n&amp;cn'!$C$1)*
(tb_desp[data.pagamento]&lt;='n&amp;cn'!$C$2)
))</f>
        <v/>
      </c>
      <c r="AY36" s="267"/>
      <c r="AZ36" s="290" t="str" cm="1">
        <f t="array" ref="AZ36">IF(BA36="",
"",
SUMPRODUCT(
tb_desp[valor]*
(tb_desp[centro.negocio]=BA$2)*
(tb_desp[nucleo]=BA36)*
(tb_desp[data.pagamento]&gt;='n&amp;cn'!$C$1)*
(tb_desp[data.pagamento]&lt;='n&amp;cn'!$C$2)
))</f>
        <v/>
      </c>
      <c r="BA36" s="267"/>
      <c r="BB36" s="290" t="str" cm="1">
        <f t="array" ref="BB36">IF(BC36="",
"",
SUMPRODUCT(
tb_desp[valor]*
(tb_desp[centro.negocio]=BC$2)*
(tb_desp[nucleo]=BC36)*
(tb_desp[data.pagamento]&gt;='n&amp;cn'!$C$1)*
(tb_desp[data.pagamento]&lt;='n&amp;cn'!$C$2)
))</f>
        <v/>
      </c>
      <c r="BC36" s="267"/>
      <c r="BD36" s="290" t="str" cm="1">
        <f t="array" ref="BD36">IF(BE36="",
"",
SUMPRODUCT(
tb_desp[valor]*
(tb_desp[centro.negocio]=BE$2)*
(tb_desp[nucleo]=BE36)*
(tb_desp[data.pagamento]&gt;='n&amp;cn'!$C$1)*
(tb_desp[data.pagamento]&lt;='n&amp;cn'!$C$2)
))</f>
        <v/>
      </c>
      <c r="BE36" s="267"/>
      <c r="BF36" s="290" t="str" cm="1">
        <f t="array" ref="BF36">IF(BG36="",
"",
SUMPRODUCT(
tb_desp[valor]*
(tb_desp[centro.negocio]=BG$2)*
(tb_desp[nucleo]=BG36)*
(tb_desp[data.pagamento]&gt;='n&amp;cn'!$C$1)*
(tb_desp[data.pagamento]&lt;='n&amp;cn'!$C$2)
))</f>
        <v/>
      </c>
      <c r="BG36" s="267"/>
      <c r="BH36" s="290" t="str" cm="1">
        <f t="array" ref="BH36">IF(BI36="",
"",
SUMPRODUCT(
tb_desp[valor]*
(tb_desp[centro.negocio]=BI$2)*
(tb_desp[nucleo]=BI36)*
(tb_desp[data.pagamento]&gt;='n&amp;cn'!$C$1)*
(tb_desp[data.pagamento]&lt;='n&amp;cn'!$C$2)
))</f>
        <v/>
      </c>
      <c r="BI36" s="267"/>
      <c r="BJ36" s="290" t="str" cm="1">
        <f t="array" ref="BJ36">IF(BK36="",
"",
SUMPRODUCT(
tb_desp[valor]*
(tb_desp[centro.negocio]=BK$2)*
(tb_desp[nucleo]=BK36)*
(tb_desp[data.pagamento]&gt;='n&amp;cn'!$C$1)*
(tb_desp[data.pagamento]&lt;='n&amp;cn'!$C$2)
))</f>
        <v/>
      </c>
      <c r="BK36" s="267"/>
      <c r="BL36" s="290" t="str" cm="1">
        <f t="array" ref="BL36">IF(BM36="",
"",
SUMPRODUCT(
tb_desp[valor]*
(tb_desp[centro.negocio]=BM$2)*
(tb_desp[nucleo]=BM36)*
(tb_desp[data.pagamento]&gt;='n&amp;cn'!$C$1)*
(tb_desp[data.pagamento]&lt;='n&amp;cn'!$C$2)
))</f>
        <v/>
      </c>
      <c r="BM36" s="267"/>
      <c r="BN36" s="290" t="str" cm="1">
        <f t="array" ref="BN36">IF(BO36="",
"",
SUMPRODUCT(
tb_desp[valor]*
(tb_desp[centro.negocio]=BO$2)*
(tb_desp[nucleo]=BO36)*
(tb_desp[data.pagamento]&gt;='n&amp;cn'!$C$1)*
(tb_desp[data.pagamento]&lt;='n&amp;cn'!$C$2)
))</f>
        <v/>
      </c>
      <c r="BO36" s="267"/>
    </row>
    <row r="37" spans="1:67" x14ac:dyDescent="0.25">
      <c r="A37">
        <f t="shared" si="2"/>
        <v>30</v>
      </c>
      <c r="B37" s="161"/>
      <c r="C37" s="163"/>
      <c r="D37" s="164"/>
      <c r="E37" s="167" t="e">
        <f t="shared" si="0"/>
        <v>#DIV/0!</v>
      </c>
      <c r="F37" s="167" t="e">
        <f>SUM($E$8:$E37)</f>
        <v>#DIV/0!</v>
      </c>
      <c r="G37" s="167"/>
      <c r="H37" s="503"/>
      <c r="I37" s="504">
        <f t="shared" si="3"/>
        <v>30</v>
      </c>
      <c r="K37" s="164"/>
      <c r="L37" s="167" t="e">
        <f t="shared" si="1"/>
        <v>#DIV/0!</v>
      </c>
      <c r="M37" s="167" t="e">
        <f>SUM($L$8:$L37)</f>
        <v>#DIV/0!</v>
      </c>
      <c r="R37" s="290" t="str" cm="1">
        <f t="array" ref="R37">IF(S37="",
"",
SUMPRODUCT(
tb_desp[valor]*
(tb_desp[centro.negocio]=S$2)*
(tb_desp[nucleo]=S37)*
(tb_desp[data.pagamento]&gt;='n&amp;cn'!$C$1)*
(tb_desp[data.pagamento]&lt;='n&amp;cn'!$C$2)
))</f>
        <v/>
      </c>
      <c r="S37" s="267"/>
      <c r="T37" s="290" t="str" cm="1">
        <f t="array" ref="T37">IF(U37="",
"",
SUMPRODUCT(
tb_desp[valor]*
(tb_desp[centro.negocio]=U$2)*
(tb_desp[nucleo]=U37)*
(tb_desp[data.pagamento]&gt;='n&amp;cn'!$C$1)*
(tb_desp[data.pagamento]&lt;='n&amp;cn'!$C$2)
))</f>
        <v/>
      </c>
      <c r="U37" s="267"/>
      <c r="V37" s="290" t="str" cm="1">
        <f t="array" ref="V37">IF(W37="",
"",
SUMPRODUCT(
tb_desp[valor]*
(tb_desp[centro.negocio]=W$2)*
(tb_desp[nucleo]=W37)*
(tb_desp[data.pagamento]&gt;='n&amp;cn'!$C$1)*
(tb_desp[data.pagamento]&lt;='n&amp;cn'!$C$2)
))</f>
        <v/>
      </c>
      <c r="W37" s="267"/>
      <c r="X37" s="290" t="str" cm="1">
        <f t="array" ref="X37">IF(Y37="",
"",
SUMPRODUCT(
tb_desp[valor]*
(tb_desp[centro.negocio]=Y$2)*
(tb_desp[nucleo]=Y37)*
(tb_desp[data.pagamento]&gt;='n&amp;cn'!$C$1)*
(tb_desp[data.pagamento]&lt;='n&amp;cn'!$C$2)
))</f>
        <v/>
      </c>
      <c r="Y37" s="267"/>
      <c r="Z37" s="290" t="str" cm="1">
        <f t="array" ref="Z37">IF(AA37="",
"",
SUMPRODUCT(
tb_desp[valor]*
(tb_desp[centro.negocio]=AA$2)*
(tb_desp[nucleo]=AA37)*
(tb_desp[data.pagamento]&gt;='n&amp;cn'!$C$1)*
(tb_desp[data.pagamento]&lt;='n&amp;cn'!$C$2)
))</f>
        <v/>
      </c>
      <c r="AA37" s="267"/>
      <c r="AB37" s="290" t="str" cm="1">
        <f t="array" ref="AB37">IF(AC37="",
"",
SUMPRODUCT(
tb_desp[valor]*
(tb_desp[centro.negocio]=AC$2)*
(tb_desp[nucleo]=AC37)*
(tb_desp[data.pagamento]&gt;='n&amp;cn'!$C$1)*
(tb_desp[data.pagamento]&lt;='n&amp;cn'!$C$2)
))</f>
        <v/>
      </c>
      <c r="AC37" s="267"/>
      <c r="AD37" s="290" t="str" cm="1">
        <f t="array" ref="AD37">IF(AE37="",
"",
SUMPRODUCT(
tb_desp[valor]*
(tb_desp[centro.negocio]=AE$2)*
(tb_desp[nucleo]=AE37)*
(tb_desp[data.pagamento]&gt;='n&amp;cn'!$C$1)*
(tb_desp[data.pagamento]&lt;='n&amp;cn'!$C$2)
))</f>
        <v/>
      </c>
      <c r="AE37" s="267"/>
      <c r="AF37" s="290" t="str" cm="1">
        <f t="array" ref="AF37">IF(AG37="",
"",
SUMPRODUCT(
tb_desp[valor]*
(tb_desp[centro.negocio]=AG$2)*
(tb_desp[nucleo]=AG37)*
(tb_desp[data.pagamento]&gt;='n&amp;cn'!$C$1)*
(tb_desp[data.pagamento]&lt;='n&amp;cn'!$C$2)
))</f>
        <v/>
      </c>
      <c r="AG37" s="267"/>
      <c r="AH37" s="290" t="str" cm="1">
        <f t="array" ref="AH37">IF(AI37="",
"",
SUMPRODUCT(
tb_desp[valor]*
(tb_desp[centro.negocio]=AI$2)*
(tb_desp[nucleo]=AI37)*
(tb_desp[data.pagamento]&gt;='n&amp;cn'!$C$1)*
(tb_desp[data.pagamento]&lt;='n&amp;cn'!$C$2)
))</f>
        <v/>
      </c>
      <c r="AI37" s="267"/>
      <c r="AJ37" s="290" t="str" cm="1">
        <f t="array" ref="AJ37">IF(AK37="",
"",
SUMPRODUCT(
tb_desp[valor]*
(tb_desp[centro.negocio]=AK$2)*
(tb_desp[nucleo]=AK37)*
(tb_desp[data.pagamento]&gt;='n&amp;cn'!$C$1)*
(tb_desp[data.pagamento]&lt;='n&amp;cn'!$C$2)
))</f>
        <v/>
      </c>
      <c r="AK37" s="267"/>
      <c r="AL37" s="290" t="str" cm="1">
        <f t="array" ref="AL37">IF(AM37="",
"",
SUMPRODUCT(
tb_desp[valor]*
(tb_desp[centro.negocio]=AM$2)*
(tb_desp[nucleo]=AM37)*
(tb_desp[data.pagamento]&gt;='n&amp;cn'!$C$1)*
(tb_desp[data.pagamento]&lt;='n&amp;cn'!$C$2)
))</f>
        <v/>
      </c>
      <c r="AM37" s="267"/>
      <c r="AN37" s="290" t="str" cm="1">
        <f t="array" ref="AN37">IF(AO37="",
"",
SUMPRODUCT(
tb_desp[valor]*
(tb_desp[centro.negocio]=AO$2)*
(tb_desp[nucleo]=AO37)*
(tb_desp[data.pagamento]&gt;='n&amp;cn'!$C$1)*
(tb_desp[data.pagamento]&lt;='n&amp;cn'!$C$2)
))</f>
        <v/>
      </c>
      <c r="AO37" s="267"/>
      <c r="AP37" s="290" t="str" cm="1">
        <f t="array" ref="AP37">IF(AQ37="",
"",
SUMPRODUCT(
tb_desp[valor]*
(tb_desp[centro.negocio]=AQ$2)*
(tb_desp[nucleo]=AQ37)*
(tb_desp[data.pagamento]&gt;='n&amp;cn'!$C$1)*
(tb_desp[data.pagamento]&lt;='n&amp;cn'!$C$2)
))</f>
        <v/>
      </c>
      <c r="AQ37" s="267"/>
      <c r="AR37" s="290" t="str" cm="1">
        <f t="array" ref="AR37">IF(AS37="",
"",
SUMPRODUCT(
tb_desp[valor]*
(tb_desp[centro.negocio]=AS$2)*
(tb_desp[nucleo]=AS37)*
(tb_desp[data.pagamento]&gt;='n&amp;cn'!$C$1)*
(tb_desp[data.pagamento]&lt;='n&amp;cn'!$C$2)
))</f>
        <v/>
      </c>
      <c r="AS37" s="267"/>
      <c r="AT37" s="290" t="str" cm="1">
        <f t="array" ref="AT37">IF(AU37="",
"",
SUMPRODUCT(
tb_desp[valor]*
(tb_desp[centro.negocio]=AU$2)*
(tb_desp[nucleo]=AU37)*
(tb_desp[data.pagamento]&gt;='n&amp;cn'!$C$1)*
(tb_desp[data.pagamento]&lt;='n&amp;cn'!$C$2)
))</f>
        <v/>
      </c>
      <c r="AU37" s="267"/>
      <c r="AV37" s="290" t="str" cm="1">
        <f t="array" ref="AV37">IF(AW37="",
"",
SUMPRODUCT(
tb_desp[valor]*
(tb_desp[centro.negocio]=AW$2)*
(tb_desp[nucleo]=AW37)*
(tb_desp[data.pagamento]&gt;='n&amp;cn'!$C$1)*
(tb_desp[data.pagamento]&lt;='n&amp;cn'!$C$2)
))</f>
        <v/>
      </c>
      <c r="AW37" s="267"/>
      <c r="AX37" s="290" t="str" cm="1">
        <f t="array" ref="AX37">IF(AY37="",
"",
SUMPRODUCT(
tb_desp[valor]*
(tb_desp[centro.negocio]=AY$2)*
(tb_desp[nucleo]=AY37)*
(tb_desp[data.pagamento]&gt;='n&amp;cn'!$C$1)*
(tb_desp[data.pagamento]&lt;='n&amp;cn'!$C$2)
))</f>
        <v/>
      </c>
      <c r="AY37" s="267"/>
      <c r="AZ37" s="290" t="str" cm="1">
        <f t="array" ref="AZ37">IF(BA37="",
"",
SUMPRODUCT(
tb_desp[valor]*
(tb_desp[centro.negocio]=BA$2)*
(tb_desp[nucleo]=BA37)*
(tb_desp[data.pagamento]&gt;='n&amp;cn'!$C$1)*
(tb_desp[data.pagamento]&lt;='n&amp;cn'!$C$2)
))</f>
        <v/>
      </c>
      <c r="BA37" s="267"/>
      <c r="BB37" s="290" t="str" cm="1">
        <f t="array" ref="BB37">IF(BC37="",
"",
SUMPRODUCT(
tb_desp[valor]*
(tb_desp[centro.negocio]=BC$2)*
(tb_desp[nucleo]=BC37)*
(tb_desp[data.pagamento]&gt;='n&amp;cn'!$C$1)*
(tb_desp[data.pagamento]&lt;='n&amp;cn'!$C$2)
))</f>
        <v/>
      </c>
      <c r="BC37" s="267"/>
      <c r="BD37" s="290" t="str" cm="1">
        <f t="array" ref="BD37">IF(BE37="",
"",
SUMPRODUCT(
tb_desp[valor]*
(tb_desp[centro.negocio]=BE$2)*
(tb_desp[nucleo]=BE37)*
(tb_desp[data.pagamento]&gt;='n&amp;cn'!$C$1)*
(tb_desp[data.pagamento]&lt;='n&amp;cn'!$C$2)
))</f>
        <v/>
      </c>
      <c r="BE37" s="267"/>
      <c r="BF37" s="290" t="str" cm="1">
        <f t="array" ref="BF37">IF(BG37="",
"",
SUMPRODUCT(
tb_desp[valor]*
(tb_desp[centro.negocio]=BG$2)*
(tb_desp[nucleo]=BG37)*
(tb_desp[data.pagamento]&gt;='n&amp;cn'!$C$1)*
(tb_desp[data.pagamento]&lt;='n&amp;cn'!$C$2)
))</f>
        <v/>
      </c>
      <c r="BG37" s="267"/>
      <c r="BH37" s="290" t="str" cm="1">
        <f t="array" ref="BH37">IF(BI37="",
"",
SUMPRODUCT(
tb_desp[valor]*
(tb_desp[centro.negocio]=BI$2)*
(tb_desp[nucleo]=BI37)*
(tb_desp[data.pagamento]&gt;='n&amp;cn'!$C$1)*
(tb_desp[data.pagamento]&lt;='n&amp;cn'!$C$2)
))</f>
        <v/>
      </c>
      <c r="BI37" s="267"/>
      <c r="BJ37" s="290" t="str" cm="1">
        <f t="array" ref="BJ37">IF(BK37="",
"",
SUMPRODUCT(
tb_desp[valor]*
(tb_desp[centro.negocio]=BK$2)*
(tb_desp[nucleo]=BK37)*
(tb_desp[data.pagamento]&gt;='n&amp;cn'!$C$1)*
(tb_desp[data.pagamento]&lt;='n&amp;cn'!$C$2)
))</f>
        <v/>
      </c>
      <c r="BK37" s="267"/>
      <c r="BL37" s="290" t="str" cm="1">
        <f t="array" ref="BL37">IF(BM37="",
"",
SUMPRODUCT(
tb_desp[valor]*
(tb_desp[centro.negocio]=BM$2)*
(tb_desp[nucleo]=BM37)*
(tb_desp[data.pagamento]&gt;='n&amp;cn'!$C$1)*
(tb_desp[data.pagamento]&lt;='n&amp;cn'!$C$2)
))</f>
        <v/>
      </c>
      <c r="BM37" s="267"/>
      <c r="BN37" s="290" t="str" cm="1">
        <f t="array" ref="BN37">IF(BO37="",
"",
SUMPRODUCT(
tb_desp[valor]*
(tb_desp[centro.negocio]=BO$2)*
(tb_desp[nucleo]=BO37)*
(tb_desp[data.pagamento]&gt;='n&amp;cn'!$C$1)*
(tb_desp[data.pagamento]&lt;='n&amp;cn'!$C$2)
))</f>
        <v/>
      </c>
      <c r="BO37" s="267"/>
    </row>
    <row r="38" spans="1:67" x14ac:dyDescent="0.25">
      <c r="A38">
        <f t="shared" si="2"/>
        <v>31</v>
      </c>
      <c r="B38" s="161"/>
      <c r="C38" s="163"/>
      <c r="D38" s="164"/>
      <c r="E38" s="167" t="e">
        <f t="shared" si="0"/>
        <v>#DIV/0!</v>
      </c>
      <c r="F38" s="167" t="e">
        <f>SUM($E$8:$E38)</f>
        <v>#DIV/0!</v>
      </c>
      <c r="G38" s="167"/>
      <c r="H38" s="168"/>
      <c r="I38" s="163">
        <f t="shared" si="3"/>
        <v>31</v>
      </c>
      <c r="K38" s="164"/>
      <c r="L38" s="167" t="e">
        <f t="shared" si="1"/>
        <v>#DIV/0!</v>
      </c>
      <c r="M38" s="167" t="e">
        <f>SUM($L$8:$L38)</f>
        <v>#DIV/0!</v>
      </c>
      <c r="R38" s="290" t="str" cm="1">
        <f t="array" ref="R38">IF(S38="",
"",
SUMPRODUCT(
tb_desp[valor]*
(tb_desp[centro.negocio]=S$2)*
(tb_desp[nucleo]=S38)*
(tb_desp[data.pagamento]&gt;='n&amp;cn'!$C$1)*
(tb_desp[data.pagamento]&lt;='n&amp;cn'!$C$2)
))</f>
        <v/>
      </c>
      <c r="S38" s="267"/>
      <c r="T38" s="290" t="str" cm="1">
        <f t="array" ref="T38">IF(U38="",
"",
SUMPRODUCT(
tb_desp[valor]*
(tb_desp[centro.negocio]=U$2)*
(tb_desp[nucleo]=U38)*
(tb_desp[data.pagamento]&gt;='n&amp;cn'!$C$1)*
(tb_desp[data.pagamento]&lt;='n&amp;cn'!$C$2)
))</f>
        <v/>
      </c>
      <c r="U38" s="267"/>
      <c r="V38" s="290" t="str" cm="1">
        <f t="array" ref="V38">IF(W38="",
"",
SUMPRODUCT(
tb_desp[valor]*
(tb_desp[centro.negocio]=W$2)*
(tb_desp[nucleo]=W38)*
(tb_desp[data.pagamento]&gt;='n&amp;cn'!$C$1)*
(tb_desp[data.pagamento]&lt;='n&amp;cn'!$C$2)
))</f>
        <v/>
      </c>
      <c r="W38" s="267"/>
      <c r="X38" s="290" t="str" cm="1">
        <f t="array" ref="X38">IF(Y38="",
"",
SUMPRODUCT(
tb_desp[valor]*
(tb_desp[centro.negocio]=Y$2)*
(tb_desp[nucleo]=Y38)*
(tb_desp[data.pagamento]&gt;='n&amp;cn'!$C$1)*
(tb_desp[data.pagamento]&lt;='n&amp;cn'!$C$2)
))</f>
        <v/>
      </c>
      <c r="Y38" s="267"/>
      <c r="Z38" s="290" t="str" cm="1">
        <f t="array" ref="Z38">IF(AA38="",
"",
SUMPRODUCT(
tb_desp[valor]*
(tb_desp[centro.negocio]=AA$2)*
(tb_desp[nucleo]=AA38)*
(tb_desp[data.pagamento]&gt;='n&amp;cn'!$C$1)*
(tb_desp[data.pagamento]&lt;='n&amp;cn'!$C$2)
))</f>
        <v/>
      </c>
      <c r="AA38" s="267"/>
      <c r="AB38" s="290" t="str" cm="1">
        <f t="array" ref="AB38">IF(AC38="",
"",
SUMPRODUCT(
tb_desp[valor]*
(tb_desp[centro.negocio]=AC$2)*
(tb_desp[nucleo]=AC38)*
(tb_desp[data.pagamento]&gt;='n&amp;cn'!$C$1)*
(tb_desp[data.pagamento]&lt;='n&amp;cn'!$C$2)
))</f>
        <v/>
      </c>
      <c r="AC38" s="267"/>
      <c r="AD38" s="290" t="str" cm="1">
        <f t="array" ref="AD38">IF(AE38="",
"",
SUMPRODUCT(
tb_desp[valor]*
(tb_desp[centro.negocio]=AE$2)*
(tb_desp[nucleo]=AE38)*
(tb_desp[data.pagamento]&gt;='n&amp;cn'!$C$1)*
(tb_desp[data.pagamento]&lt;='n&amp;cn'!$C$2)
))</f>
        <v/>
      </c>
      <c r="AE38" s="267"/>
      <c r="AF38" s="290" t="str" cm="1">
        <f t="array" ref="AF38">IF(AG38="",
"",
SUMPRODUCT(
tb_desp[valor]*
(tb_desp[centro.negocio]=AG$2)*
(tb_desp[nucleo]=AG38)*
(tb_desp[data.pagamento]&gt;='n&amp;cn'!$C$1)*
(tb_desp[data.pagamento]&lt;='n&amp;cn'!$C$2)
))</f>
        <v/>
      </c>
      <c r="AG38" s="267"/>
      <c r="AH38" s="290" t="str" cm="1">
        <f t="array" ref="AH38">IF(AI38="",
"",
SUMPRODUCT(
tb_desp[valor]*
(tb_desp[centro.negocio]=AI$2)*
(tb_desp[nucleo]=AI38)*
(tb_desp[data.pagamento]&gt;='n&amp;cn'!$C$1)*
(tb_desp[data.pagamento]&lt;='n&amp;cn'!$C$2)
))</f>
        <v/>
      </c>
      <c r="AI38" s="267"/>
      <c r="AJ38" s="290" t="str" cm="1">
        <f t="array" ref="AJ38">IF(AK38="",
"",
SUMPRODUCT(
tb_desp[valor]*
(tb_desp[centro.negocio]=AK$2)*
(tb_desp[nucleo]=AK38)*
(tb_desp[data.pagamento]&gt;='n&amp;cn'!$C$1)*
(tb_desp[data.pagamento]&lt;='n&amp;cn'!$C$2)
))</f>
        <v/>
      </c>
      <c r="AK38" s="267"/>
      <c r="AL38" s="290" t="str" cm="1">
        <f t="array" ref="AL38">IF(AM38="",
"",
SUMPRODUCT(
tb_desp[valor]*
(tb_desp[centro.negocio]=AM$2)*
(tb_desp[nucleo]=AM38)*
(tb_desp[data.pagamento]&gt;='n&amp;cn'!$C$1)*
(tb_desp[data.pagamento]&lt;='n&amp;cn'!$C$2)
))</f>
        <v/>
      </c>
      <c r="AM38" s="267"/>
      <c r="AN38" s="290" t="str" cm="1">
        <f t="array" ref="AN38">IF(AO38="",
"",
SUMPRODUCT(
tb_desp[valor]*
(tb_desp[centro.negocio]=AO$2)*
(tb_desp[nucleo]=AO38)*
(tb_desp[data.pagamento]&gt;='n&amp;cn'!$C$1)*
(tb_desp[data.pagamento]&lt;='n&amp;cn'!$C$2)
))</f>
        <v/>
      </c>
      <c r="AO38" s="267"/>
      <c r="AP38" s="290" t="str" cm="1">
        <f t="array" ref="AP38">IF(AQ38="",
"",
SUMPRODUCT(
tb_desp[valor]*
(tb_desp[centro.negocio]=AQ$2)*
(tb_desp[nucleo]=AQ38)*
(tb_desp[data.pagamento]&gt;='n&amp;cn'!$C$1)*
(tb_desp[data.pagamento]&lt;='n&amp;cn'!$C$2)
))</f>
        <v/>
      </c>
      <c r="AQ38" s="267"/>
      <c r="AR38" s="290" t="str" cm="1">
        <f t="array" ref="AR38">IF(AS38="",
"",
SUMPRODUCT(
tb_desp[valor]*
(tb_desp[centro.negocio]=AS$2)*
(tb_desp[nucleo]=AS38)*
(tb_desp[data.pagamento]&gt;='n&amp;cn'!$C$1)*
(tb_desp[data.pagamento]&lt;='n&amp;cn'!$C$2)
))</f>
        <v/>
      </c>
      <c r="AS38" s="267"/>
      <c r="AT38" s="290" t="str" cm="1">
        <f t="array" ref="AT38">IF(AU38="",
"",
SUMPRODUCT(
tb_desp[valor]*
(tb_desp[centro.negocio]=AU$2)*
(tb_desp[nucleo]=AU38)*
(tb_desp[data.pagamento]&gt;='n&amp;cn'!$C$1)*
(tb_desp[data.pagamento]&lt;='n&amp;cn'!$C$2)
))</f>
        <v/>
      </c>
      <c r="AU38" s="267"/>
      <c r="AV38" s="290" t="str" cm="1">
        <f t="array" ref="AV38">IF(AW38="",
"",
SUMPRODUCT(
tb_desp[valor]*
(tb_desp[centro.negocio]=AW$2)*
(tb_desp[nucleo]=AW38)*
(tb_desp[data.pagamento]&gt;='n&amp;cn'!$C$1)*
(tb_desp[data.pagamento]&lt;='n&amp;cn'!$C$2)
))</f>
        <v/>
      </c>
      <c r="AW38" s="267"/>
      <c r="AX38" s="290" t="str" cm="1">
        <f t="array" ref="AX38">IF(AY38="",
"",
SUMPRODUCT(
tb_desp[valor]*
(tb_desp[centro.negocio]=AY$2)*
(tb_desp[nucleo]=AY38)*
(tb_desp[data.pagamento]&gt;='n&amp;cn'!$C$1)*
(tb_desp[data.pagamento]&lt;='n&amp;cn'!$C$2)
))</f>
        <v/>
      </c>
      <c r="AY38" s="267"/>
      <c r="AZ38" s="290" t="str" cm="1">
        <f t="array" ref="AZ38">IF(BA38="",
"",
SUMPRODUCT(
tb_desp[valor]*
(tb_desp[centro.negocio]=BA$2)*
(tb_desp[nucleo]=BA38)*
(tb_desp[data.pagamento]&gt;='n&amp;cn'!$C$1)*
(tb_desp[data.pagamento]&lt;='n&amp;cn'!$C$2)
))</f>
        <v/>
      </c>
      <c r="BA38" s="267"/>
      <c r="BB38" s="290" t="str" cm="1">
        <f t="array" ref="BB38">IF(BC38="",
"",
SUMPRODUCT(
tb_desp[valor]*
(tb_desp[centro.negocio]=BC$2)*
(tb_desp[nucleo]=BC38)*
(tb_desp[data.pagamento]&gt;='n&amp;cn'!$C$1)*
(tb_desp[data.pagamento]&lt;='n&amp;cn'!$C$2)
))</f>
        <v/>
      </c>
      <c r="BC38" s="267"/>
      <c r="BD38" s="290" t="str" cm="1">
        <f t="array" ref="BD38">IF(BE38="",
"",
SUMPRODUCT(
tb_desp[valor]*
(tb_desp[centro.negocio]=BE$2)*
(tb_desp[nucleo]=BE38)*
(tb_desp[data.pagamento]&gt;='n&amp;cn'!$C$1)*
(tb_desp[data.pagamento]&lt;='n&amp;cn'!$C$2)
))</f>
        <v/>
      </c>
      <c r="BE38" s="267"/>
      <c r="BF38" s="290" t="str" cm="1">
        <f t="array" ref="BF38">IF(BG38="",
"",
SUMPRODUCT(
tb_desp[valor]*
(tb_desp[centro.negocio]=BG$2)*
(tb_desp[nucleo]=BG38)*
(tb_desp[data.pagamento]&gt;='n&amp;cn'!$C$1)*
(tb_desp[data.pagamento]&lt;='n&amp;cn'!$C$2)
))</f>
        <v/>
      </c>
      <c r="BG38" s="267"/>
      <c r="BH38" s="290" t="str" cm="1">
        <f t="array" ref="BH38">IF(BI38="",
"",
SUMPRODUCT(
tb_desp[valor]*
(tb_desp[centro.negocio]=BI$2)*
(tb_desp[nucleo]=BI38)*
(tb_desp[data.pagamento]&gt;='n&amp;cn'!$C$1)*
(tb_desp[data.pagamento]&lt;='n&amp;cn'!$C$2)
))</f>
        <v/>
      </c>
      <c r="BI38" s="267"/>
      <c r="BJ38" s="290" t="str" cm="1">
        <f t="array" ref="BJ38">IF(BK38="",
"",
SUMPRODUCT(
tb_desp[valor]*
(tb_desp[centro.negocio]=BK$2)*
(tb_desp[nucleo]=BK38)*
(tb_desp[data.pagamento]&gt;='n&amp;cn'!$C$1)*
(tb_desp[data.pagamento]&lt;='n&amp;cn'!$C$2)
))</f>
        <v/>
      </c>
      <c r="BK38" s="267"/>
      <c r="BL38" s="290" t="str" cm="1">
        <f t="array" ref="BL38">IF(BM38="",
"",
SUMPRODUCT(
tb_desp[valor]*
(tb_desp[centro.negocio]=BM$2)*
(tb_desp[nucleo]=BM38)*
(tb_desp[data.pagamento]&gt;='n&amp;cn'!$C$1)*
(tb_desp[data.pagamento]&lt;='n&amp;cn'!$C$2)
))</f>
        <v/>
      </c>
      <c r="BM38" s="267"/>
      <c r="BN38" s="290" t="str" cm="1">
        <f t="array" ref="BN38">IF(BO38="",
"",
SUMPRODUCT(
tb_desp[valor]*
(tb_desp[centro.negocio]=BO$2)*
(tb_desp[nucleo]=BO38)*
(tb_desp[data.pagamento]&gt;='n&amp;cn'!$C$1)*
(tb_desp[data.pagamento]&lt;='n&amp;cn'!$C$2)
))</f>
        <v/>
      </c>
      <c r="BO38" s="267"/>
    </row>
    <row r="39" spans="1:67" x14ac:dyDescent="0.25">
      <c r="A39">
        <f t="shared" si="2"/>
        <v>32</v>
      </c>
      <c r="B39" s="161"/>
      <c r="C39" s="163"/>
      <c r="D39" s="164"/>
      <c r="E39" s="167" t="e">
        <f t="shared" si="0"/>
        <v>#DIV/0!</v>
      </c>
      <c r="F39" s="167" t="e">
        <f>SUM($E$8:$E39)</f>
        <v>#DIV/0!</v>
      </c>
      <c r="G39" s="167"/>
      <c r="H39" s="168"/>
      <c r="I39" s="163">
        <f t="shared" si="3"/>
        <v>32</v>
      </c>
      <c r="K39" s="164"/>
      <c r="L39" s="167" t="e">
        <f t="shared" si="1"/>
        <v>#DIV/0!</v>
      </c>
      <c r="M39" s="167" t="e">
        <f>SUM($L$8:$L39)</f>
        <v>#DIV/0!</v>
      </c>
      <c r="R39" s="290" t="str" cm="1">
        <f t="array" ref="R39">IF(S39="",
"",
SUMPRODUCT(
tb_desp[valor]*
(tb_desp[centro.negocio]=S$2)*
(tb_desp[nucleo]=S39)*
(tb_desp[data.pagamento]&gt;='n&amp;cn'!$C$1)*
(tb_desp[data.pagamento]&lt;='n&amp;cn'!$C$2)
))</f>
        <v/>
      </c>
      <c r="S39" s="267"/>
      <c r="T39" s="290" t="str" cm="1">
        <f t="array" ref="T39">IF(U39="",
"",
SUMPRODUCT(
tb_desp[valor]*
(tb_desp[centro.negocio]=U$2)*
(tb_desp[nucleo]=U39)*
(tb_desp[data.pagamento]&gt;='n&amp;cn'!$C$1)*
(tb_desp[data.pagamento]&lt;='n&amp;cn'!$C$2)
))</f>
        <v/>
      </c>
      <c r="U39" s="267"/>
      <c r="V39" s="290" t="str" cm="1">
        <f t="array" ref="V39">IF(W39="",
"",
SUMPRODUCT(
tb_desp[valor]*
(tb_desp[centro.negocio]=W$2)*
(tb_desp[nucleo]=W39)*
(tb_desp[data.pagamento]&gt;='n&amp;cn'!$C$1)*
(tb_desp[data.pagamento]&lt;='n&amp;cn'!$C$2)
))</f>
        <v/>
      </c>
      <c r="W39" s="267"/>
      <c r="X39" s="290" t="str" cm="1">
        <f t="array" ref="X39">IF(Y39="",
"",
SUMPRODUCT(
tb_desp[valor]*
(tb_desp[centro.negocio]=Y$2)*
(tb_desp[nucleo]=Y39)*
(tb_desp[data.pagamento]&gt;='n&amp;cn'!$C$1)*
(tb_desp[data.pagamento]&lt;='n&amp;cn'!$C$2)
))</f>
        <v/>
      </c>
      <c r="Y39" s="267"/>
      <c r="Z39" s="290" t="str" cm="1">
        <f t="array" ref="Z39">IF(AA39="",
"",
SUMPRODUCT(
tb_desp[valor]*
(tb_desp[centro.negocio]=AA$2)*
(tb_desp[nucleo]=AA39)*
(tb_desp[data.pagamento]&gt;='n&amp;cn'!$C$1)*
(tb_desp[data.pagamento]&lt;='n&amp;cn'!$C$2)
))</f>
        <v/>
      </c>
      <c r="AA39" s="267"/>
      <c r="AB39" s="290" t="str" cm="1">
        <f t="array" ref="AB39">IF(AC39="",
"",
SUMPRODUCT(
tb_desp[valor]*
(tb_desp[centro.negocio]=AC$2)*
(tb_desp[nucleo]=AC39)*
(tb_desp[data.pagamento]&gt;='n&amp;cn'!$C$1)*
(tb_desp[data.pagamento]&lt;='n&amp;cn'!$C$2)
))</f>
        <v/>
      </c>
      <c r="AC39" s="267"/>
      <c r="AD39" s="290" t="str" cm="1">
        <f t="array" ref="AD39">IF(AE39="",
"",
SUMPRODUCT(
tb_desp[valor]*
(tb_desp[centro.negocio]=AE$2)*
(tb_desp[nucleo]=AE39)*
(tb_desp[data.pagamento]&gt;='n&amp;cn'!$C$1)*
(tb_desp[data.pagamento]&lt;='n&amp;cn'!$C$2)
))</f>
        <v/>
      </c>
      <c r="AE39" s="267"/>
      <c r="AF39" s="290" t="str" cm="1">
        <f t="array" ref="AF39">IF(AG39="",
"",
SUMPRODUCT(
tb_desp[valor]*
(tb_desp[centro.negocio]=AG$2)*
(tb_desp[nucleo]=AG39)*
(tb_desp[data.pagamento]&gt;='n&amp;cn'!$C$1)*
(tb_desp[data.pagamento]&lt;='n&amp;cn'!$C$2)
))</f>
        <v/>
      </c>
      <c r="AG39" s="267"/>
      <c r="AH39" s="290" t="str" cm="1">
        <f t="array" ref="AH39">IF(AI39="",
"",
SUMPRODUCT(
tb_desp[valor]*
(tb_desp[centro.negocio]=AI$2)*
(tb_desp[nucleo]=AI39)*
(tb_desp[data.pagamento]&gt;='n&amp;cn'!$C$1)*
(tb_desp[data.pagamento]&lt;='n&amp;cn'!$C$2)
))</f>
        <v/>
      </c>
      <c r="AI39" s="267"/>
      <c r="AJ39" s="290" t="str" cm="1">
        <f t="array" ref="AJ39">IF(AK39="",
"",
SUMPRODUCT(
tb_desp[valor]*
(tb_desp[centro.negocio]=AK$2)*
(tb_desp[nucleo]=AK39)*
(tb_desp[data.pagamento]&gt;='n&amp;cn'!$C$1)*
(tb_desp[data.pagamento]&lt;='n&amp;cn'!$C$2)
))</f>
        <v/>
      </c>
      <c r="AK39" s="267"/>
      <c r="AL39" s="290" t="str" cm="1">
        <f t="array" ref="AL39">IF(AM39="",
"",
SUMPRODUCT(
tb_desp[valor]*
(tb_desp[centro.negocio]=AM$2)*
(tb_desp[nucleo]=AM39)*
(tb_desp[data.pagamento]&gt;='n&amp;cn'!$C$1)*
(tb_desp[data.pagamento]&lt;='n&amp;cn'!$C$2)
))</f>
        <v/>
      </c>
      <c r="AM39" s="267"/>
      <c r="AN39" s="290" t="str" cm="1">
        <f t="array" ref="AN39">IF(AO39="",
"",
SUMPRODUCT(
tb_desp[valor]*
(tb_desp[centro.negocio]=AO$2)*
(tb_desp[nucleo]=AO39)*
(tb_desp[data.pagamento]&gt;='n&amp;cn'!$C$1)*
(tb_desp[data.pagamento]&lt;='n&amp;cn'!$C$2)
))</f>
        <v/>
      </c>
      <c r="AO39" s="267"/>
      <c r="AP39" s="290" t="str" cm="1">
        <f t="array" ref="AP39">IF(AQ39="",
"",
SUMPRODUCT(
tb_desp[valor]*
(tb_desp[centro.negocio]=AQ$2)*
(tb_desp[nucleo]=AQ39)*
(tb_desp[data.pagamento]&gt;='n&amp;cn'!$C$1)*
(tb_desp[data.pagamento]&lt;='n&amp;cn'!$C$2)
))</f>
        <v/>
      </c>
      <c r="AQ39" s="267"/>
      <c r="AR39" s="290" t="str" cm="1">
        <f t="array" ref="AR39">IF(AS39="",
"",
SUMPRODUCT(
tb_desp[valor]*
(tb_desp[centro.negocio]=AS$2)*
(tb_desp[nucleo]=AS39)*
(tb_desp[data.pagamento]&gt;='n&amp;cn'!$C$1)*
(tb_desp[data.pagamento]&lt;='n&amp;cn'!$C$2)
))</f>
        <v/>
      </c>
      <c r="AS39" s="267"/>
      <c r="AT39" s="290" t="str" cm="1">
        <f t="array" ref="AT39">IF(AU39="",
"",
SUMPRODUCT(
tb_desp[valor]*
(tb_desp[centro.negocio]=AU$2)*
(tb_desp[nucleo]=AU39)*
(tb_desp[data.pagamento]&gt;='n&amp;cn'!$C$1)*
(tb_desp[data.pagamento]&lt;='n&amp;cn'!$C$2)
))</f>
        <v/>
      </c>
      <c r="AU39" s="267"/>
      <c r="AV39" s="290" t="str" cm="1">
        <f t="array" ref="AV39">IF(AW39="",
"",
SUMPRODUCT(
tb_desp[valor]*
(tb_desp[centro.negocio]=AW$2)*
(tb_desp[nucleo]=AW39)*
(tb_desp[data.pagamento]&gt;='n&amp;cn'!$C$1)*
(tb_desp[data.pagamento]&lt;='n&amp;cn'!$C$2)
))</f>
        <v/>
      </c>
      <c r="AW39" s="267"/>
      <c r="AX39" s="290" t="str" cm="1">
        <f t="array" ref="AX39">IF(AY39="",
"",
SUMPRODUCT(
tb_desp[valor]*
(tb_desp[centro.negocio]=AY$2)*
(tb_desp[nucleo]=AY39)*
(tb_desp[data.pagamento]&gt;='n&amp;cn'!$C$1)*
(tb_desp[data.pagamento]&lt;='n&amp;cn'!$C$2)
))</f>
        <v/>
      </c>
      <c r="AY39" s="267"/>
      <c r="AZ39" s="290" t="str" cm="1">
        <f t="array" ref="AZ39">IF(BA39="",
"",
SUMPRODUCT(
tb_desp[valor]*
(tb_desp[centro.negocio]=BA$2)*
(tb_desp[nucleo]=BA39)*
(tb_desp[data.pagamento]&gt;='n&amp;cn'!$C$1)*
(tb_desp[data.pagamento]&lt;='n&amp;cn'!$C$2)
))</f>
        <v/>
      </c>
      <c r="BA39" s="267"/>
      <c r="BB39" s="290" t="str" cm="1">
        <f t="array" ref="BB39">IF(BC39="",
"",
SUMPRODUCT(
tb_desp[valor]*
(tb_desp[centro.negocio]=BC$2)*
(tb_desp[nucleo]=BC39)*
(tb_desp[data.pagamento]&gt;='n&amp;cn'!$C$1)*
(tb_desp[data.pagamento]&lt;='n&amp;cn'!$C$2)
))</f>
        <v/>
      </c>
      <c r="BC39" s="267"/>
      <c r="BD39" s="290" t="str" cm="1">
        <f t="array" ref="BD39">IF(BE39="",
"",
SUMPRODUCT(
tb_desp[valor]*
(tb_desp[centro.negocio]=BE$2)*
(tb_desp[nucleo]=BE39)*
(tb_desp[data.pagamento]&gt;='n&amp;cn'!$C$1)*
(tb_desp[data.pagamento]&lt;='n&amp;cn'!$C$2)
))</f>
        <v/>
      </c>
      <c r="BE39" s="267"/>
      <c r="BF39" s="290" t="str" cm="1">
        <f t="array" ref="BF39">IF(BG39="",
"",
SUMPRODUCT(
tb_desp[valor]*
(tb_desp[centro.negocio]=BG$2)*
(tb_desp[nucleo]=BG39)*
(tb_desp[data.pagamento]&gt;='n&amp;cn'!$C$1)*
(tb_desp[data.pagamento]&lt;='n&amp;cn'!$C$2)
))</f>
        <v/>
      </c>
      <c r="BG39" s="267"/>
      <c r="BH39" s="290" t="str" cm="1">
        <f t="array" ref="BH39">IF(BI39="",
"",
SUMPRODUCT(
tb_desp[valor]*
(tb_desp[centro.negocio]=BI$2)*
(tb_desp[nucleo]=BI39)*
(tb_desp[data.pagamento]&gt;='n&amp;cn'!$C$1)*
(tb_desp[data.pagamento]&lt;='n&amp;cn'!$C$2)
))</f>
        <v/>
      </c>
      <c r="BI39" s="267"/>
      <c r="BJ39" s="290" t="str" cm="1">
        <f t="array" ref="BJ39">IF(BK39="",
"",
SUMPRODUCT(
tb_desp[valor]*
(tb_desp[centro.negocio]=BK$2)*
(tb_desp[nucleo]=BK39)*
(tb_desp[data.pagamento]&gt;='n&amp;cn'!$C$1)*
(tb_desp[data.pagamento]&lt;='n&amp;cn'!$C$2)
))</f>
        <v/>
      </c>
      <c r="BK39" s="267"/>
      <c r="BL39" s="290" t="str" cm="1">
        <f t="array" ref="BL39">IF(BM39="",
"",
SUMPRODUCT(
tb_desp[valor]*
(tb_desp[centro.negocio]=BM$2)*
(tb_desp[nucleo]=BM39)*
(tb_desp[data.pagamento]&gt;='n&amp;cn'!$C$1)*
(tb_desp[data.pagamento]&lt;='n&amp;cn'!$C$2)
))</f>
        <v/>
      </c>
      <c r="BM39" s="267"/>
      <c r="BN39" s="290" t="str" cm="1">
        <f t="array" ref="BN39">IF(BO39="",
"",
SUMPRODUCT(
tb_desp[valor]*
(tb_desp[centro.negocio]=BO$2)*
(tb_desp[nucleo]=BO39)*
(tb_desp[data.pagamento]&gt;='n&amp;cn'!$C$1)*
(tb_desp[data.pagamento]&lt;='n&amp;cn'!$C$2)
))</f>
        <v/>
      </c>
      <c r="BO39" s="267"/>
    </row>
    <row r="40" spans="1:67" x14ac:dyDescent="0.25">
      <c r="A40">
        <f t="shared" si="2"/>
        <v>33</v>
      </c>
      <c r="B40" s="161"/>
      <c r="C40" s="163"/>
      <c r="D40" s="164"/>
      <c r="E40" s="167" t="e">
        <f t="shared" si="0"/>
        <v>#DIV/0!</v>
      </c>
      <c r="F40" s="167" t="e">
        <f>SUM($E$8:$E40)</f>
        <v>#DIV/0!</v>
      </c>
      <c r="G40" s="167"/>
      <c r="H40" s="168"/>
      <c r="I40" s="163">
        <f t="shared" si="3"/>
        <v>33</v>
      </c>
      <c r="K40" s="164"/>
      <c r="L40" s="167" t="e">
        <f t="shared" ref="L40:L71" si="4">$K40/SUM($K$8:$K$82)</f>
        <v>#DIV/0!</v>
      </c>
      <c r="M40" s="167" t="e">
        <f>SUM($L$8:$L40)</f>
        <v>#DIV/0!</v>
      </c>
      <c r="R40" s="290" t="str" cm="1">
        <f t="array" ref="R40">IF(S40="",
"",
SUMPRODUCT(
tb_desp[valor]*
(tb_desp[centro.negocio]=S$2)*
(tb_desp[nucleo]=S40)*
(tb_desp[data.pagamento]&gt;='n&amp;cn'!$C$1)*
(tb_desp[data.pagamento]&lt;='n&amp;cn'!$C$2)
))</f>
        <v/>
      </c>
      <c r="S40" s="267"/>
      <c r="T40" s="290" t="str" cm="1">
        <f t="array" ref="T40">IF(U40="",
"",
SUMPRODUCT(
tb_desp[valor]*
(tb_desp[centro.negocio]=U$2)*
(tb_desp[nucleo]=U40)*
(tb_desp[data.pagamento]&gt;='n&amp;cn'!$C$1)*
(tb_desp[data.pagamento]&lt;='n&amp;cn'!$C$2)
))</f>
        <v/>
      </c>
      <c r="U40" s="267"/>
      <c r="V40" s="290" t="str" cm="1">
        <f t="array" ref="V40">IF(W40="",
"",
SUMPRODUCT(
tb_desp[valor]*
(tb_desp[centro.negocio]=W$2)*
(tb_desp[nucleo]=W40)*
(tb_desp[data.pagamento]&gt;='n&amp;cn'!$C$1)*
(tb_desp[data.pagamento]&lt;='n&amp;cn'!$C$2)
))</f>
        <v/>
      </c>
      <c r="W40" s="267"/>
      <c r="X40" s="290" t="str" cm="1">
        <f t="array" ref="X40">IF(Y40="",
"",
SUMPRODUCT(
tb_desp[valor]*
(tb_desp[centro.negocio]=Y$2)*
(tb_desp[nucleo]=Y40)*
(tb_desp[data.pagamento]&gt;='n&amp;cn'!$C$1)*
(tb_desp[data.pagamento]&lt;='n&amp;cn'!$C$2)
))</f>
        <v/>
      </c>
      <c r="Y40" s="267"/>
      <c r="Z40" s="290" t="str" cm="1">
        <f t="array" ref="Z40">IF(AA40="",
"",
SUMPRODUCT(
tb_desp[valor]*
(tb_desp[centro.negocio]=AA$2)*
(tb_desp[nucleo]=AA40)*
(tb_desp[data.pagamento]&gt;='n&amp;cn'!$C$1)*
(tb_desp[data.pagamento]&lt;='n&amp;cn'!$C$2)
))</f>
        <v/>
      </c>
      <c r="AA40" s="267"/>
      <c r="AB40" s="290" t="str" cm="1">
        <f t="array" ref="AB40">IF(AC40="",
"",
SUMPRODUCT(
tb_desp[valor]*
(tb_desp[centro.negocio]=AC$2)*
(tb_desp[nucleo]=AC40)*
(tb_desp[data.pagamento]&gt;='n&amp;cn'!$C$1)*
(tb_desp[data.pagamento]&lt;='n&amp;cn'!$C$2)
))</f>
        <v/>
      </c>
      <c r="AC40" s="267"/>
      <c r="AD40" s="290" t="str" cm="1">
        <f t="array" ref="AD40">IF(AE40="",
"",
SUMPRODUCT(
tb_desp[valor]*
(tb_desp[centro.negocio]=AE$2)*
(tb_desp[nucleo]=AE40)*
(tb_desp[data.pagamento]&gt;='n&amp;cn'!$C$1)*
(tb_desp[data.pagamento]&lt;='n&amp;cn'!$C$2)
))</f>
        <v/>
      </c>
      <c r="AE40" s="267"/>
      <c r="AF40" s="290" t="str" cm="1">
        <f t="array" ref="AF40">IF(AG40="",
"",
SUMPRODUCT(
tb_desp[valor]*
(tb_desp[centro.negocio]=AG$2)*
(tb_desp[nucleo]=AG40)*
(tb_desp[data.pagamento]&gt;='n&amp;cn'!$C$1)*
(tb_desp[data.pagamento]&lt;='n&amp;cn'!$C$2)
))</f>
        <v/>
      </c>
      <c r="AG40" s="267"/>
      <c r="AH40" s="290" t="str" cm="1">
        <f t="array" ref="AH40">IF(AI40="",
"",
SUMPRODUCT(
tb_desp[valor]*
(tb_desp[centro.negocio]=AI$2)*
(tb_desp[nucleo]=AI40)*
(tb_desp[data.pagamento]&gt;='n&amp;cn'!$C$1)*
(tb_desp[data.pagamento]&lt;='n&amp;cn'!$C$2)
))</f>
        <v/>
      </c>
      <c r="AI40" s="267"/>
      <c r="AJ40" s="290" t="str" cm="1">
        <f t="array" ref="AJ40">IF(AK40="",
"",
SUMPRODUCT(
tb_desp[valor]*
(tb_desp[centro.negocio]=AK$2)*
(tb_desp[nucleo]=AK40)*
(tb_desp[data.pagamento]&gt;='n&amp;cn'!$C$1)*
(tb_desp[data.pagamento]&lt;='n&amp;cn'!$C$2)
))</f>
        <v/>
      </c>
      <c r="AK40" s="267"/>
      <c r="AL40" s="290" t="str" cm="1">
        <f t="array" ref="AL40">IF(AM40="",
"",
SUMPRODUCT(
tb_desp[valor]*
(tb_desp[centro.negocio]=AM$2)*
(tb_desp[nucleo]=AM40)*
(tb_desp[data.pagamento]&gt;='n&amp;cn'!$C$1)*
(tb_desp[data.pagamento]&lt;='n&amp;cn'!$C$2)
))</f>
        <v/>
      </c>
      <c r="AM40" s="267"/>
      <c r="AN40" s="290" t="str" cm="1">
        <f t="array" ref="AN40">IF(AO40="",
"",
SUMPRODUCT(
tb_desp[valor]*
(tb_desp[centro.negocio]=AO$2)*
(tb_desp[nucleo]=AO40)*
(tb_desp[data.pagamento]&gt;='n&amp;cn'!$C$1)*
(tb_desp[data.pagamento]&lt;='n&amp;cn'!$C$2)
))</f>
        <v/>
      </c>
      <c r="AO40" s="267"/>
      <c r="AP40" s="290" t="str" cm="1">
        <f t="array" ref="AP40">IF(AQ40="",
"",
SUMPRODUCT(
tb_desp[valor]*
(tb_desp[centro.negocio]=AQ$2)*
(tb_desp[nucleo]=AQ40)*
(tb_desp[data.pagamento]&gt;='n&amp;cn'!$C$1)*
(tb_desp[data.pagamento]&lt;='n&amp;cn'!$C$2)
))</f>
        <v/>
      </c>
      <c r="AQ40" s="267"/>
      <c r="AR40" s="290" t="str" cm="1">
        <f t="array" ref="AR40">IF(AS40="",
"",
SUMPRODUCT(
tb_desp[valor]*
(tb_desp[centro.negocio]=AS$2)*
(tb_desp[nucleo]=AS40)*
(tb_desp[data.pagamento]&gt;='n&amp;cn'!$C$1)*
(tb_desp[data.pagamento]&lt;='n&amp;cn'!$C$2)
))</f>
        <v/>
      </c>
      <c r="AS40" s="267"/>
      <c r="AT40" s="290" t="str" cm="1">
        <f t="array" ref="AT40">IF(AU40="",
"",
SUMPRODUCT(
tb_desp[valor]*
(tb_desp[centro.negocio]=AU$2)*
(tb_desp[nucleo]=AU40)*
(tb_desp[data.pagamento]&gt;='n&amp;cn'!$C$1)*
(tb_desp[data.pagamento]&lt;='n&amp;cn'!$C$2)
))</f>
        <v/>
      </c>
      <c r="AU40" s="267"/>
      <c r="AV40" s="290" t="str" cm="1">
        <f t="array" ref="AV40">IF(AW40="",
"",
SUMPRODUCT(
tb_desp[valor]*
(tb_desp[centro.negocio]=AW$2)*
(tb_desp[nucleo]=AW40)*
(tb_desp[data.pagamento]&gt;='n&amp;cn'!$C$1)*
(tb_desp[data.pagamento]&lt;='n&amp;cn'!$C$2)
))</f>
        <v/>
      </c>
      <c r="AW40" s="267"/>
      <c r="AX40" s="290" t="str" cm="1">
        <f t="array" ref="AX40">IF(AY40="",
"",
SUMPRODUCT(
tb_desp[valor]*
(tb_desp[centro.negocio]=AY$2)*
(tb_desp[nucleo]=AY40)*
(tb_desp[data.pagamento]&gt;='n&amp;cn'!$C$1)*
(tb_desp[data.pagamento]&lt;='n&amp;cn'!$C$2)
))</f>
        <v/>
      </c>
      <c r="AY40" s="267"/>
      <c r="AZ40" s="290" t="str" cm="1">
        <f t="array" ref="AZ40">IF(BA40="",
"",
SUMPRODUCT(
tb_desp[valor]*
(tb_desp[centro.negocio]=BA$2)*
(tb_desp[nucleo]=BA40)*
(tb_desp[data.pagamento]&gt;='n&amp;cn'!$C$1)*
(tb_desp[data.pagamento]&lt;='n&amp;cn'!$C$2)
))</f>
        <v/>
      </c>
      <c r="BA40" s="267"/>
      <c r="BB40" s="290" t="str" cm="1">
        <f t="array" ref="BB40">IF(BC40="",
"",
SUMPRODUCT(
tb_desp[valor]*
(tb_desp[centro.negocio]=BC$2)*
(tb_desp[nucleo]=BC40)*
(tb_desp[data.pagamento]&gt;='n&amp;cn'!$C$1)*
(tb_desp[data.pagamento]&lt;='n&amp;cn'!$C$2)
))</f>
        <v/>
      </c>
      <c r="BC40" s="267"/>
      <c r="BD40" s="290" t="str" cm="1">
        <f t="array" ref="BD40">IF(BE40="",
"",
SUMPRODUCT(
tb_desp[valor]*
(tb_desp[centro.negocio]=BE$2)*
(tb_desp[nucleo]=BE40)*
(tb_desp[data.pagamento]&gt;='n&amp;cn'!$C$1)*
(tb_desp[data.pagamento]&lt;='n&amp;cn'!$C$2)
))</f>
        <v/>
      </c>
      <c r="BE40" s="267"/>
      <c r="BF40" s="290" t="str" cm="1">
        <f t="array" ref="BF40">IF(BG40="",
"",
SUMPRODUCT(
tb_desp[valor]*
(tb_desp[centro.negocio]=BG$2)*
(tb_desp[nucleo]=BG40)*
(tb_desp[data.pagamento]&gt;='n&amp;cn'!$C$1)*
(tb_desp[data.pagamento]&lt;='n&amp;cn'!$C$2)
))</f>
        <v/>
      </c>
      <c r="BG40" s="267"/>
      <c r="BH40" s="290" t="str" cm="1">
        <f t="array" ref="BH40">IF(BI40="",
"",
SUMPRODUCT(
tb_desp[valor]*
(tb_desp[centro.negocio]=BI$2)*
(tb_desp[nucleo]=BI40)*
(tb_desp[data.pagamento]&gt;='n&amp;cn'!$C$1)*
(tb_desp[data.pagamento]&lt;='n&amp;cn'!$C$2)
))</f>
        <v/>
      </c>
      <c r="BI40" s="267"/>
      <c r="BJ40" s="290" t="str" cm="1">
        <f t="array" ref="BJ40">IF(BK40="",
"",
SUMPRODUCT(
tb_desp[valor]*
(tb_desp[centro.negocio]=BK$2)*
(tb_desp[nucleo]=BK40)*
(tb_desp[data.pagamento]&gt;='n&amp;cn'!$C$1)*
(tb_desp[data.pagamento]&lt;='n&amp;cn'!$C$2)
))</f>
        <v/>
      </c>
      <c r="BK40" s="267"/>
      <c r="BL40" s="290" t="str" cm="1">
        <f t="array" ref="BL40">IF(BM40="",
"",
SUMPRODUCT(
tb_desp[valor]*
(tb_desp[centro.negocio]=BM$2)*
(tb_desp[nucleo]=BM40)*
(tb_desp[data.pagamento]&gt;='n&amp;cn'!$C$1)*
(tb_desp[data.pagamento]&lt;='n&amp;cn'!$C$2)
))</f>
        <v/>
      </c>
      <c r="BM40" s="267"/>
      <c r="BN40" s="290" t="str" cm="1">
        <f t="array" ref="BN40">IF(BO40="",
"",
SUMPRODUCT(
tb_desp[valor]*
(tb_desp[centro.negocio]=BO$2)*
(tb_desp[nucleo]=BO40)*
(tb_desp[data.pagamento]&gt;='n&amp;cn'!$C$1)*
(tb_desp[data.pagamento]&lt;='n&amp;cn'!$C$2)
))</f>
        <v/>
      </c>
      <c r="BO40" s="267"/>
    </row>
    <row r="41" spans="1:67" x14ac:dyDescent="0.25">
      <c r="A41">
        <f t="shared" si="2"/>
        <v>34</v>
      </c>
      <c r="B41" s="161"/>
      <c r="C41" s="163"/>
      <c r="D41" s="164"/>
      <c r="E41" s="167" t="e">
        <f t="shared" si="0"/>
        <v>#DIV/0!</v>
      </c>
      <c r="F41" s="167" t="e">
        <f>SUM($E$8:$E41)</f>
        <v>#DIV/0!</v>
      </c>
      <c r="G41" s="167"/>
      <c r="H41" s="168"/>
      <c r="I41" s="163">
        <f t="shared" si="3"/>
        <v>34</v>
      </c>
      <c r="K41" s="164"/>
      <c r="L41" s="167" t="e">
        <f t="shared" si="4"/>
        <v>#DIV/0!</v>
      </c>
      <c r="M41" s="167" t="e">
        <f>SUM($L$8:$L41)</f>
        <v>#DIV/0!</v>
      </c>
      <c r="R41" s="290" t="str" cm="1">
        <f t="array" ref="R41">IF(S41="",
"",
SUMPRODUCT(
tb_desp[valor]*
(tb_desp[centro.negocio]=S$2)*
(tb_desp[nucleo]=S41)*
(tb_desp[data.pagamento]&gt;='n&amp;cn'!$C$1)*
(tb_desp[data.pagamento]&lt;='n&amp;cn'!$C$2)
))</f>
        <v/>
      </c>
      <c r="S41" s="267"/>
      <c r="T41" s="290" t="str" cm="1">
        <f t="array" ref="T41">IF(U41="",
"",
SUMPRODUCT(
tb_desp[valor]*
(tb_desp[centro.negocio]=U$2)*
(tb_desp[nucleo]=U41)*
(tb_desp[data.pagamento]&gt;='n&amp;cn'!$C$1)*
(tb_desp[data.pagamento]&lt;='n&amp;cn'!$C$2)
))</f>
        <v/>
      </c>
      <c r="U41" s="267"/>
      <c r="V41" s="290" t="str" cm="1">
        <f t="array" ref="V41">IF(W41="",
"",
SUMPRODUCT(
tb_desp[valor]*
(tb_desp[centro.negocio]=W$2)*
(tb_desp[nucleo]=W41)*
(tb_desp[data.pagamento]&gt;='n&amp;cn'!$C$1)*
(tb_desp[data.pagamento]&lt;='n&amp;cn'!$C$2)
))</f>
        <v/>
      </c>
      <c r="W41" s="267"/>
      <c r="X41" s="290" t="str" cm="1">
        <f t="array" ref="X41">IF(Y41="",
"",
SUMPRODUCT(
tb_desp[valor]*
(tb_desp[centro.negocio]=Y$2)*
(tb_desp[nucleo]=Y41)*
(tb_desp[data.pagamento]&gt;='n&amp;cn'!$C$1)*
(tb_desp[data.pagamento]&lt;='n&amp;cn'!$C$2)
))</f>
        <v/>
      </c>
      <c r="Y41" s="267"/>
      <c r="Z41" s="290" t="str" cm="1">
        <f t="array" ref="Z41">IF(AA41="",
"",
SUMPRODUCT(
tb_desp[valor]*
(tb_desp[centro.negocio]=AA$2)*
(tb_desp[nucleo]=AA41)*
(tb_desp[data.pagamento]&gt;='n&amp;cn'!$C$1)*
(tb_desp[data.pagamento]&lt;='n&amp;cn'!$C$2)
))</f>
        <v/>
      </c>
      <c r="AA41" s="267"/>
      <c r="AB41" s="290" t="str" cm="1">
        <f t="array" ref="AB41">IF(AC41="",
"",
SUMPRODUCT(
tb_desp[valor]*
(tb_desp[centro.negocio]=AC$2)*
(tb_desp[nucleo]=AC41)*
(tb_desp[data.pagamento]&gt;='n&amp;cn'!$C$1)*
(tb_desp[data.pagamento]&lt;='n&amp;cn'!$C$2)
))</f>
        <v/>
      </c>
      <c r="AC41" s="267"/>
      <c r="AD41" s="290" t="str" cm="1">
        <f t="array" ref="AD41">IF(AE41="",
"",
SUMPRODUCT(
tb_desp[valor]*
(tb_desp[centro.negocio]=AE$2)*
(tb_desp[nucleo]=AE41)*
(tb_desp[data.pagamento]&gt;='n&amp;cn'!$C$1)*
(tb_desp[data.pagamento]&lt;='n&amp;cn'!$C$2)
))</f>
        <v/>
      </c>
      <c r="AE41" s="267"/>
      <c r="AF41" s="290" t="str" cm="1">
        <f t="array" ref="AF41">IF(AG41="",
"",
SUMPRODUCT(
tb_desp[valor]*
(tb_desp[centro.negocio]=AG$2)*
(tb_desp[nucleo]=AG41)*
(tb_desp[data.pagamento]&gt;='n&amp;cn'!$C$1)*
(tb_desp[data.pagamento]&lt;='n&amp;cn'!$C$2)
))</f>
        <v/>
      </c>
      <c r="AG41" s="267"/>
      <c r="AH41" s="290" t="str" cm="1">
        <f t="array" ref="AH41">IF(AI41="",
"",
SUMPRODUCT(
tb_desp[valor]*
(tb_desp[centro.negocio]=AI$2)*
(tb_desp[nucleo]=AI41)*
(tb_desp[data.pagamento]&gt;='n&amp;cn'!$C$1)*
(tb_desp[data.pagamento]&lt;='n&amp;cn'!$C$2)
))</f>
        <v/>
      </c>
      <c r="AI41" s="267"/>
      <c r="AJ41" s="290" t="str" cm="1">
        <f t="array" ref="AJ41">IF(AK41="",
"",
SUMPRODUCT(
tb_desp[valor]*
(tb_desp[centro.negocio]=AK$2)*
(tb_desp[nucleo]=AK41)*
(tb_desp[data.pagamento]&gt;='n&amp;cn'!$C$1)*
(tb_desp[data.pagamento]&lt;='n&amp;cn'!$C$2)
))</f>
        <v/>
      </c>
      <c r="AK41" s="267"/>
      <c r="AL41" s="290" t="str" cm="1">
        <f t="array" ref="AL41">IF(AM41="",
"",
SUMPRODUCT(
tb_desp[valor]*
(tb_desp[centro.negocio]=AM$2)*
(tb_desp[nucleo]=AM41)*
(tb_desp[data.pagamento]&gt;='n&amp;cn'!$C$1)*
(tb_desp[data.pagamento]&lt;='n&amp;cn'!$C$2)
))</f>
        <v/>
      </c>
      <c r="AM41" s="267"/>
      <c r="AN41" s="290" t="str" cm="1">
        <f t="array" ref="AN41">IF(AO41="",
"",
SUMPRODUCT(
tb_desp[valor]*
(tb_desp[centro.negocio]=AO$2)*
(tb_desp[nucleo]=AO41)*
(tb_desp[data.pagamento]&gt;='n&amp;cn'!$C$1)*
(tb_desp[data.pagamento]&lt;='n&amp;cn'!$C$2)
))</f>
        <v/>
      </c>
      <c r="AO41" s="267"/>
      <c r="AP41" s="290" t="str" cm="1">
        <f t="array" ref="AP41">IF(AQ41="",
"",
SUMPRODUCT(
tb_desp[valor]*
(tb_desp[centro.negocio]=AQ$2)*
(tb_desp[nucleo]=AQ41)*
(tb_desp[data.pagamento]&gt;='n&amp;cn'!$C$1)*
(tb_desp[data.pagamento]&lt;='n&amp;cn'!$C$2)
))</f>
        <v/>
      </c>
      <c r="AQ41" s="267"/>
      <c r="AR41" s="290" t="str" cm="1">
        <f t="array" ref="AR41">IF(AS41="",
"",
SUMPRODUCT(
tb_desp[valor]*
(tb_desp[centro.negocio]=AS$2)*
(tb_desp[nucleo]=AS41)*
(tb_desp[data.pagamento]&gt;='n&amp;cn'!$C$1)*
(tb_desp[data.pagamento]&lt;='n&amp;cn'!$C$2)
))</f>
        <v/>
      </c>
      <c r="AS41" s="267"/>
      <c r="AT41" s="290" t="str" cm="1">
        <f t="array" ref="AT41">IF(AU41="",
"",
SUMPRODUCT(
tb_desp[valor]*
(tb_desp[centro.negocio]=AU$2)*
(tb_desp[nucleo]=AU41)*
(tb_desp[data.pagamento]&gt;='n&amp;cn'!$C$1)*
(tb_desp[data.pagamento]&lt;='n&amp;cn'!$C$2)
))</f>
        <v/>
      </c>
      <c r="AU41" s="267"/>
      <c r="AV41" s="290" t="str" cm="1">
        <f t="array" ref="AV41">IF(AW41="",
"",
SUMPRODUCT(
tb_desp[valor]*
(tb_desp[centro.negocio]=AW$2)*
(tb_desp[nucleo]=AW41)*
(tb_desp[data.pagamento]&gt;='n&amp;cn'!$C$1)*
(tb_desp[data.pagamento]&lt;='n&amp;cn'!$C$2)
))</f>
        <v/>
      </c>
      <c r="AW41" s="267"/>
      <c r="AX41" s="290" t="str" cm="1">
        <f t="array" ref="AX41">IF(AY41="",
"",
SUMPRODUCT(
tb_desp[valor]*
(tb_desp[centro.negocio]=AY$2)*
(tb_desp[nucleo]=AY41)*
(tb_desp[data.pagamento]&gt;='n&amp;cn'!$C$1)*
(tb_desp[data.pagamento]&lt;='n&amp;cn'!$C$2)
))</f>
        <v/>
      </c>
      <c r="AY41" s="267"/>
      <c r="AZ41" s="290" t="str" cm="1">
        <f t="array" ref="AZ41">IF(BA41="",
"",
SUMPRODUCT(
tb_desp[valor]*
(tb_desp[centro.negocio]=BA$2)*
(tb_desp[nucleo]=BA41)*
(tb_desp[data.pagamento]&gt;='n&amp;cn'!$C$1)*
(tb_desp[data.pagamento]&lt;='n&amp;cn'!$C$2)
))</f>
        <v/>
      </c>
      <c r="BA41" s="267"/>
      <c r="BB41" s="290" t="str" cm="1">
        <f t="array" ref="BB41">IF(BC41="",
"",
SUMPRODUCT(
tb_desp[valor]*
(tb_desp[centro.negocio]=BC$2)*
(tb_desp[nucleo]=BC41)*
(tb_desp[data.pagamento]&gt;='n&amp;cn'!$C$1)*
(tb_desp[data.pagamento]&lt;='n&amp;cn'!$C$2)
))</f>
        <v/>
      </c>
      <c r="BC41" s="267"/>
      <c r="BD41" s="290" t="str" cm="1">
        <f t="array" ref="BD41">IF(BE41="",
"",
SUMPRODUCT(
tb_desp[valor]*
(tb_desp[centro.negocio]=BE$2)*
(tb_desp[nucleo]=BE41)*
(tb_desp[data.pagamento]&gt;='n&amp;cn'!$C$1)*
(tb_desp[data.pagamento]&lt;='n&amp;cn'!$C$2)
))</f>
        <v/>
      </c>
      <c r="BE41" s="267"/>
      <c r="BF41" s="290" t="str" cm="1">
        <f t="array" ref="BF41">IF(BG41="",
"",
SUMPRODUCT(
tb_desp[valor]*
(tb_desp[centro.negocio]=BG$2)*
(tb_desp[nucleo]=BG41)*
(tb_desp[data.pagamento]&gt;='n&amp;cn'!$C$1)*
(tb_desp[data.pagamento]&lt;='n&amp;cn'!$C$2)
))</f>
        <v/>
      </c>
      <c r="BG41" s="267"/>
      <c r="BH41" s="290" t="str" cm="1">
        <f t="array" ref="BH41">IF(BI41="",
"",
SUMPRODUCT(
tb_desp[valor]*
(tb_desp[centro.negocio]=BI$2)*
(tb_desp[nucleo]=BI41)*
(tb_desp[data.pagamento]&gt;='n&amp;cn'!$C$1)*
(tb_desp[data.pagamento]&lt;='n&amp;cn'!$C$2)
))</f>
        <v/>
      </c>
      <c r="BI41" s="267"/>
      <c r="BJ41" s="290" t="str" cm="1">
        <f t="array" ref="BJ41">IF(BK41="",
"",
SUMPRODUCT(
tb_desp[valor]*
(tb_desp[centro.negocio]=BK$2)*
(tb_desp[nucleo]=BK41)*
(tb_desp[data.pagamento]&gt;='n&amp;cn'!$C$1)*
(tb_desp[data.pagamento]&lt;='n&amp;cn'!$C$2)
))</f>
        <v/>
      </c>
      <c r="BK41" s="267"/>
      <c r="BL41" s="290" t="str" cm="1">
        <f t="array" ref="BL41">IF(BM41="",
"",
SUMPRODUCT(
tb_desp[valor]*
(tb_desp[centro.negocio]=BM$2)*
(tb_desp[nucleo]=BM41)*
(tb_desp[data.pagamento]&gt;='n&amp;cn'!$C$1)*
(tb_desp[data.pagamento]&lt;='n&amp;cn'!$C$2)
))</f>
        <v/>
      </c>
      <c r="BM41" s="267"/>
      <c r="BN41" s="290" t="str" cm="1">
        <f t="array" ref="BN41">IF(BO41="",
"",
SUMPRODUCT(
tb_desp[valor]*
(tb_desp[centro.negocio]=BO$2)*
(tb_desp[nucleo]=BO41)*
(tb_desp[data.pagamento]&gt;='n&amp;cn'!$C$1)*
(tb_desp[data.pagamento]&lt;='n&amp;cn'!$C$2)
))</f>
        <v/>
      </c>
      <c r="BO41" s="267"/>
    </row>
    <row r="42" spans="1:67" x14ac:dyDescent="0.25">
      <c r="A42">
        <f t="shared" si="2"/>
        <v>35</v>
      </c>
      <c r="B42" s="161"/>
      <c r="C42" s="163"/>
      <c r="D42" s="164"/>
      <c r="E42" s="167" t="e">
        <f t="shared" si="0"/>
        <v>#DIV/0!</v>
      </c>
      <c r="F42" s="167" t="e">
        <f>SUM($E$8:$E42)</f>
        <v>#DIV/0!</v>
      </c>
      <c r="G42" s="167"/>
      <c r="H42" s="168"/>
      <c r="I42" s="163">
        <f t="shared" si="3"/>
        <v>35</v>
      </c>
      <c r="K42" s="164"/>
      <c r="L42" s="167" t="e">
        <f t="shared" si="4"/>
        <v>#DIV/0!</v>
      </c>
      <c r="M42" s="167" t="e">
        <f>SUM($L$8:$L42)</f>
        <v>#DIV/0!</v>
      </c>
      <c r="R42" s="290" t="str" cm="1">
        <f t="array" ref="R42">IF(S42="",
"",
SUMPRODUCT(
tb_desp[valor]*
(tb_desp[centro.negocio]=S$2)*
(tb_desp[nucleo]=S42)*
(tb_desp[data.pagamento]&gt;='n&amp;cn'!$C$1)*
(tb_desp[data.pagamento]&lt;='n&amp;cn'!$C$2)
))</f>
        <v/>
      </c>
      <c r="S42" s="267"/>
      <c r="T42" s="290" t="str" cm="1">
        <f t="array" ref="T42">IF(U42="",
"",
SUMPRODUCT(
tb_desp[valor]*
(tb_desp[centro.negocio]=U$2)*
(tb_desp[nucleo]=U42)*
(tb_desp[data.pagamento]&gt;='n&amp;cn'!$C$1)*
(tb_desp[data.pagamento]&lt;='n&amp;cn'!$C$2)
))</f>
        <v/>
      </c>
      <c r="U42" s="267"/>
      <c r="V42" s="290" t="str" cm="1">
        <f t="array" ref="V42">IF(W42="",
"",
SUMPRODUCT(
tb_desp[valor]*
(tb_desp[centro.negocio]=W$2)*
(tb_desp[nucleo]=W42)*
(tb_desp[data.pagamento]&gt;='n&amp;cn'!$C$1)*
(tb_desp[data.pagamento]&lt;='n&amp;cn'!$C$2)
))</f>
        <v/>
      </c>
      <c r="W42" s="267"/>
      <c r="X42" s="290" t="str" cm="1">
        <f t="array" ref="X42">IF(Y42="",
"",
SUMPRODUCT(
tb_desp[valor]*
(tb_desp[centro.negocio]=Y$2)*
(tb_desp[nucleo]=Y42)*
(tb_desp[data.pagamento]&gt;='n&amp;cn'!$C$1)*
(tb_desp[data.pagamento]&lt;='n&amp;cn'!$C$2)
))</f>
        <v/>
      </c>
      <c r="Y42" s="267"/>
      <c r="Z42" s="290" t="str" cm="1">
        <f t="array" ref="Z42">IF(AA42="",
"",
SUMPRODUCT(
tb_desp[valor]*
(tb_desp[centro.negocio]=AA$2)*
(tb_desp[nucleo]=AA42)*
(tb_desp[data.pagamento]&gt;='n&amp;cn'!$C$1)*
(tb_desp[data.pagamento]&lt;='n&amp;cn'!$C$2)
))</f>
        <v/>
      </c>
      <c r="AA42" s="267"/>
      <c r="AB42" s="290" t="str" cm="1">
        <f t="array" ref="AB42">IF(AC42="",
"",
SUMPRODUCT(
tb_desp[valor]*
(tb_desp[centro.negocio]=AC$2)*
(tb_desp[nucleo]=AC42)*
(tb_desp[data.pagamento]&gt;='n&amp;cn'!$C$1)*
(tb_desp[data.pagamento]&lt;='n&amp;cn'!$C$2)
))</f>
        <v/>
      </c>
      <c r="AC42" s="267"/>
      <c r="AD42" s="290" t="str" cm="1">
        <f t="array" ref="AD42">IF(AE42="",
"",
SUMPRODUCT(
tb_desp[valor]*
(tb_desp[centro.negocio]=AE$2)*
(tb_desp[nucleo]=AE42)*
(tb_desp[data.pagamento]&gt;='n&amp;cn'!$C$1)*
(tb_desp[data.pagamento]&lt;='n&amp;cn'!$C$2)
))</f>
        <v/>
      </c>
      <c r="AE42" s="267"/>
      <c r="AF42" s="290" t="str" cm="1">
        <f t="array" ref="AF42">IF(AG42="",
"",
SUMPRODUCT(
tb_desp[valor]*
(tb_desp[centro.negocio]=AG$2)*
(tb_desp[nucleo]=AG42)*
(tb_desp[data.pagamento]&gt;='n&amp;cn'!$C$1)*
(tb_desp[data.pagamento]&lt;='n&amp;cn'!$C$2)
))</f>
        <v/>
      </c>
      <c r="AG42" s="267"/>
      <c r="AH42" s="290" t="str" cm="1">
        <f t="array" ref="AH42">IF(AI42="",
"",
SUMPRODUCT(
tb_desp[valor]*
(tb_desp[centro.negocio]=AI$2)*
(tb_desp[nucleo]=AI42)*
(tb_desp[data.pagamento]&gt;='n&amp;cn'!$C$1)*
(tb_desp[data.pagamento]&lt;='n&amp;cn'!$C$2)
))</f>
        <v/>
      </c>
      <c r="AI42" s="267"/>
      <c r="AJ42" s="290" t="str" cm="1">
        <f t="array" ref="AJ42">IF(AK42="",
"",
SUMPRODUCT(
tb_desp[valor]*
(tb_desp[centro.negocio]=AK$2)*
(tb_desp[nucleo]=AK42)*
(tb_desp[data.pagamento]&gt;='n&amp;cn'!$C$1)*
(tb_desp[data.pagamento]&lt;='n&amp;cn'!$C$2)
))</f>
        <v/>
      </c>
      <c r="AK42" s="267"/>
      <c r="AL42" s="290" t="str" cm="1">
        <f t="array" ref="AL42">IF(AM42="",
"",
SUMPRODUCT(
tb_desp[valor]*
(tb_desp[centro.negocio]=AM$2)*
(tb_desp[nucleo]=AM42)*
(tb_desp[data.pagamento]&gt;='n&amp;cn'!$C$1)*
(tb_desp[data.pagamento]&lt;='n&amp;cn'!$C$2)
))</f>
        <v/>
      </c>
      <c r="AM42" s="267"/>
      <c r="AN42" s="290" t="str" cm="1">
        <f t="array" ref="AN42">IF(AO42="",
"",
SUMPRODUCT(
tb_desp[valor]*
(tb_desp[centro.negocio]=AO$2)*
(tb_desp[nucleo]=AO42)*
(tb_desp[data.pagamento]&gt;='n&amp;cn'!$C$1)*
(tb_desp[data.pagamento]&lt;='n&amp;cn'!$C$2)
))</f>
        <v/>
      </c>
      <c r="AO42" s="267"/>
      <c r="AP42" s="290" t="str" cm="1">
        <f t="array" ref="AP42">IF(AQ42="",
"",
SUMPRODUCT(
tb_desp[valor]*
(tb_desp[centro.negocio]=AQ$2)*
(tb_desp[nucleo]=AQ42)*
(tb_desp[data.pagamento]&gt;='n&amp;cn'!$C$1)*
(tb_desp[data.pagamento]&lt;='n&amp;cn'!$C$2)
))</f>
        <v/>
      </c>
      <c r="AQ42" s="267"/>
      <c r="AR42" s="290" t="str" cm="1">
        <f t="array" ref="AR42">IF(AS42="",
"",
SUMPRODUCT(
tb_desp[valor]*
(tb_desp[centro.negocio]=AS$2)*
(tb_desp[nucleo]=AS42)*
(tb_desp[data.pagamento]&gt;='n&amp;cn'!$C$1)*
(tb_desp[data.pagamento]&lt;='n&amp;cn'!$C$2)
))</f>
        <v/>
      </c>
      <c r="AS42" s="267"/>
      <c r="AT42" s="290" t="str" cm="1">
        <f t="array" ref="AT42">IF(AU42="",
"",
SUMPRODUCT(
tb_desp[valor]*
(tb_desp[centro.negocio]=AU$2)*
(tb_desp[nucleo]=AU42)*
(tb_desp[data.pagamento]&gt;='n&amp;cn'!$C$1)*
(tb_desp[data.pagamento]&lt;='n&amp;cn'!$C$2)
))</f>
        <v/>
      </c>
      <c r="AU42" s="267"/>
      <c r="AV42" s="290" t="str" cm="1">
        <f t="array" ref="AV42">IF(AW42="",
"",
SUMPRODUCT(
tb_desp[valor]*
(tb_desp[centro.negocio]=AW$2)*
(tb_desp[nucleo]=AW42)*
(tb_desp[data.pagamento]&gt;='n&amp;cn'!$C$1)*
(tb_desp[data.pagamento]&lt;='n&amp;cn'!$C$2)
))</f>
        <v/>
      </c>
      <c r="AW42" s="267"/>
      <c r="AX42" s="290" t="str" cm="1">
        <f t="array" ref="AX42">IF(AY42="",
"",
SUMPRODUCT(
tb_desp[valor]*
(tb_desp[centro.negocio]=AY$2)*
(tb_desp[nucleo]=AY42)*
(tb_desp[data.pagamento]&gt;='n&amp;cn'!$C$1)*
(tb_desp[data.pagamento]&lt;='n&amp;cn'!$C$2)
))</f>
        <v/>
      </c>
      <c r="AY42" s="267"/>
      <c r="AZ42" s="290" t="str" cm="1">
        <f t="array" ref="AZ42">IF(BA42="",
"",
SUMPRODUCT(
tb_desp[valor]*
(tb_desp[centro.negocio]=BA$2)*
(tb_desp[nucleo]=BA42)*
(tb_desp[data.pagamento]&gt;='n&amp;cn'!$C$1)*
(tb_desp[data.pagamento]&lt;='n&amp;cn'!$C$2)
))</f>
        <v/>
      </c>
      <c r="BA42" s="267"/>
      <c r="BB42" s="290" t="str" cm="1">
        <f t="array" ref="BB42">IF(BC42="",
"",
SUMPRODUCT(
tb_desp[valor]*
(tb_desp[centro.negocio]=BC$2)*
(tb_desp[nucleo]=BC42)*
(tb_desp[data.pagamento]&gt;='n&amp;cn'!$C$1)*
(tb_desp[data.pagamento]&lt;='n&amp;cn'!$C$2)
))</f>
        <v/>
      </c>
      <c r="BC42" s="267"/>
      <c r="BD42" s="290" t="str" cm="1">
        <f t="array" ref="BD42">IF(BE42="",
"",
SUMPRODUCT(
tb_desp[valor]*
(tb_desp[centro.negocio]=BE$2)*
(tb_desp[nucleo]=BE42)*
(tb_desp[data.pagamento]&gt;='n&amp;cn'!$C$1)*
(tb_desp[data.pagamento]&lt;='n&amp;cn'!$C$2)
))</f>
        <v/>
      </c>
      <c r="BE42" s="267"/>
      <c r="BF42" s="290" t="str" cm="1">
        <f t="array" ref="BF42">IF(BG42="",
"",
SUMPRODUCT(
tb_desp[valor]*
(tb_desp[centro.negocio]=BG$2)*
(tb_desp[nucleo]=BG42)*
(tb_desp[data.pagamento]&gt;='n&amp;cn'!$C$1)*
(tb_desp[data.pagamento]&lt;='n&amp;cn'!$C$2)
))</f>
        <v/>
      </c>
      <c r="BG42" s="267"/>
      <c r="BH42" s="290" t="str" cm="1">
        <f t="array" ref="BH42">IF(BI42="",
"",
SUMPRODUCT(
tb_desp[valor]*
(tb_desp[centro.negocio]=BI$2)*
(tb_desp[nucleo]=BI42)*
(tb_desp[data.pagamento]&gt;='n&amp;cn'!$C$1)*
(tb_desp[data.pagamento]&lt;='n&amp;cn'!$C$2)
))</f>
        <v/>
      </c>
      <c r="BI42" s="267"/>
      <c r="BJ42" s="290" t="str" cm="1">
        <f t="array" ref="BJ42">IF(BK42="",
"",
SUMPRODUCT(
tb_desp[valor]*
(tb_desp[centro.negocio]=BK$2)*
(tb_desp[nucleo]=BK42)*
(tb_desp[data.pagamento]&gt;='n&amp;cn'!$C$1)*
(tb_desp[data.pagamento]&lt;='n&amp;cn'!$C$2)
))</f>
        <v/>
      </c>
      <c r="BK42" s="267"/>
      <c r="BL42" s="290" t="str" cm="1">
        <f t="array" ref="BL42">IF(BM42="",
"",
SUMPRODUCT(
tb_desp[valor]*
(tb_desp[centro.negocio]=BM$2)*
(tb_desp[nucleo]=BM42)*
(tb_desp[data.pagamento]&gt;='n&amp;cn'!$C$1)*
(tb_desp[data.pagamento]&lt;='n&amp;cn'!$C$2)
))</f>
        <v/>
      </c>
      <c r="BM42" s="267"/>
      <c r="BN42" s="290" t="str" cm="1">
        <f t="array" ref="BN42">IF(BO42="",
"",
SUMPRODUCT(
tb_desp[valor]*
(tb_desp[centro.negocio]=BO$2)*
(tb_desp[nucleo]=BO42)*
(tb_desp[data.pagamento]&gt;='n&amp;cn'!$C$1)*
(tb_desp[data.pagamento]&lt;='n&amp;cn'!$C$2)
))</f>
        <v/>
      </c>
      <c r="BO42" s="267"/>
    </row>
    <row r="43" spans="1:67" x14ac:dyDescent="0.25">
      <c r="A43">
        <f t="shared" si="2"/>
        <v>36</v>
      </c>
      <c r="B43" s="161"/>
      <c r="C43" s="163"/>
      <c r="D43" s="164"/>
      <c r="E43" s="167" t="e">
        <f t="shared" si="0"/>
        <v>#DIV/0!</v>
      </c>
      <c r="F43" s="167" t="e">
        <f>SUM($E$8:$E43)</f>
        <v>#DIV/0!</v>
      </c>
      <c r="G43" s="167"/>
      <c r="H43" s="168"/>
      <c r="I43" s="163">
        <f t="shared" si="3"/>
        <v>36</v>
      </c>
      <c r="K43" s="164"/>
      <c r="L43" s="167" t="e">
        <f t="shared" si="4"/>
        <v>#DIV/0!</v>
      </c>
      <c r="M43" s="167" t="e">
        <f>SUM($L$8:$L43)</f>
        <v>#DIV/0!</v>
      </c>
      <c r="R43" s="290" t="str" cm="1">
        <f t="array" ref="R43">IF(S43="",
"",
SUMPRODUCT(
tb_desp[valor]*
(tb_desp[centro.negocio]=S$2)*
(tb_desp[nucleo]=S43)*
(tb_desp[data.pagamento]&gt;='n&amp;cn'!$C$1)*
(tb_desp[data.pagamento]&lt;='n&amp;cn'!$C$2)
))</f>
        <v/>
      </c>
      <c r="S43" s="267"/>
      <c r="T43" s="290" t="str" cm="1">
        <f t="array" ref="T43">IF(U43="",
"",
SUMPRODUCT(
tb_desp[valor]*
(tb_desp[centro.negocio]=U$2)*
(tb_desp[nucleo]=U43)*
(tb_desp[data.pagamento]&gt;='n&amp;cn'!$C$1)*
(tb_desp[data.pagamento]&lt;='n&amp;cn'!$C$2)
))</f>
        <v/>
      </c>
      <c r="U43" s="267"/>
      <c r="V43" s="290" t="str" cm="1">
        <f t="array" ref="V43">IF(W43="",
"",
SUMPRODUCT(
tb_desp[valor]*
(tb_desp[centro.negocio]=W$2)*
(tb_desp[nucleo]=W43)*
(tb_desp[data.pagamento]&gt;='n&amp;cn'!$C$1)*
(tb_desp[data.pagamento]&lt;='n&amp;cn'!$C$2)
))</f>
        <v/>
      </c>
      <c r="W43" s="267"/>
      <c r="X43" s="290" t="str" cm="1">
        <f t="array" ref="X43">IF(Y43="",
"",
SUMPRODUCT(
tb_desp[valor]*
(tb_desp[centro.negocio]=Y$2)*
(tb_desp[nucleo]=Y43)*
(tb_desp[data.pagamento]&gt;='n&amp;cn'!$C$1)*
(tb_desp[data.pagamento]&lt;='n&amp;cn'!$C$2)
))</f>
        <v/>
      </c>
      <c r="Y43" s="267"/>
      <c r="Z43" s="290" t="str" cm="1">
        <f t="array" ref="Z43">IF(AA43="",
"",
SUMPRODUCT(
tb_desp[valor]*
(tb_desp[centro.negocio]=AA$2)*
(tb_desp[nucleo]=AA43)*
(tb_desp[data.pagamento]&gt;='n&amp;cn'!$C$1)*
(tb_desp[data.pagamento]&lt;='n&amp;cn'!$C$2)
))</f>
        <v/>
      </c>
      <c r="AA43" s="267"/>
      <c r="AB43" s="290" t="str" cm="1">
        <f t="array" ref="AB43">IF(AC43="",
"",
SUMPRODUCT(
tb_desp[valor]*
(tb_desp[centro.negocio]=AC$2)*
(tb_desp[nucleo]=AC43)*
(tb_desp[data.pagamento]&gt;='n&amp;cn'!$C$1)*
(tb_desp[data.pagamento]&lt;='n&amp;cn'!$C$2)
))</f>
        <v/>
      </c>
      <c r="AC43" s="267"/>
      <c r="AD43" s="290" t="str" cm="1">
        <f t="array" ref="AD43">IF(AE43="",
"",
SUMPRODUCT(
tb_desp[valor]*
(tb_desp[centro.negocio]=AE$2)*
(tb_desp[nucleo]=AE43)*
(tb_desp[data.pagamento]&gt;='n&amp;cn'!$C$1)*
(tb_desp[data.pagamento]&lt;='n&amp;cn'!$C$2)
))</f>
        <v/>
      </c>
      <c r="AE43" s="267"/>
      <c r="AF43" s="290" t="str" cm="1">
        <f t="array" ref="AF43">IF(AG43="",
"",
SUMPRODUCT(
tb_desp[valor]*
(tb_desp[centro.negocio]=AG$2)*
(tb_desp[nucleo]=AG43)*
(tb_desp[data.pagamento]&gt;='n&amp;cn'!$C$1)*
(tb_desp[data.pagamento]&lt;='n&amp;cn'!$C$2)
))</f>
        <v/>
      </c>
      <c r="AG43" s="267"/>
      <c r="AH43" s="290" t="str" cm="1">
        <f t="array" ref="AH43">IF(AI43="",
"",
SUMPRODUCT(
tb_desp[valor]*
(tb_desp[centro.negocio]=AI$2)*
(tb_desp[nucleo]=AI43)*
(tb_desp[data.pagamento]&gt;='n&amp;cn'!$C$1)*
(tb_desp[data.pagamento]&lt;='n&amp;cn'!$C$2)
))</f>
        <v/>
      </c>
      <c r="AI43" s="267"/>
      <c r="AJ43" s="290" t="str" cm="1">
        <f t="array" ref="AJ43">IF(AK43="",
"",
SUMPRODUCT(
tb_desp[valor]*
(tb_desp[centro.negocio]=AK$2)*
(tb_desp[nucleo]=AK43)*
(tb_desp[data.pagamento]&gt;='n&amp;cn'!$C$1)*
(tb_desp[data.pagamento]&lt;='n&amp;cn'!$C$2)
))</f>
        <v/>
      </c>
      <c r="AK43" s="267"/>
      <c r="AL43" s="290" t="str" cm="1">
        <f t="array" ref="AL43">IF(AM43="",
"",
SUMPRODUCT(
tb_desp[valor]*
(tb_desp[centro.negocio]=AM$2)*
(tb_desp[nucleo]=AM43)*
(tb_desp[data.pagamento]&gt;='n&amp;cn'!$C$1)*
(tb_desp[data.pagamento]&lt;='n&amp;cn'!$C$2)
))</f>
        <v/>
      </c>
      <c r="AM43" s="267"/>
      <c r="AN43" s="290" t="str" cm="1">
        <f t="array" ref="AN43">IF(AO43="",
"",
SUMPRODUCT(
tb_desp[valor]*
(tb_desp[centro.negocio]=AO$2)*
(tb_desp[nucleo]=AO43)*
(tb_desp[data.pagamento]&gt;='n&amp;cn'!$C$1)*
(tb_desp[data.pagamento]&lt;='n&amp;cn'!$C$2)
))</f>
        <v/>
      </c>
      <c r="AO43" s="267"/>
      <c r="AP43" s="290" t="str" cm="1">
        <f t="array" ref="AP43">IF(AQ43="",
"",
SUMPRODUCT(
tb_desp[valor]*
(tb_desp[centro.negocio]=AQ$2)*
(tb_desp[nucleo]=AQ43)*
(tb_desp[data.pagamento]&gt;='n&amp;cn'!$C$1)*
(tb_desp[data.pagamento]&lt;='n&amp;cn'!$C$2)
))</f>
        <v/>
      </c>
      <c r="AQ43" s="267"/>
      <c r="AR43" s="290" t="str" cm="1">
        <f t="array" ref="AR43">IF(AS43="",
"",
SUMPRODUCT(
tb_desp[valor]*
(tb_desp[centro.negocio]=AS$2)*
(tb_desp[nucleo]=AS43)*
(tb_desp[data.pagamento]&gt;='n&amp;cn'!$C$1)*
(tb_desp[data.pagamento]&lt;='n&amp;cn'!$C$2)
))</f>
        <v/>
      </c>
      <c r="AS43" s="267"/>
      <c r="AT43" s="290" t="str" cm="1">
        <f t="array" ref="AT43">IF(AU43="",
"",
SUMPRODUCT(
tb_desp[valor]*
(tb_desp[centro.negocio]=AU$2)*
(tb_desp[nucleo]=AU43)*
(tb_desp[data.pagamento]&gt;='n&amp;cn'!$C$1)*
(tb_desp[data.pagamento]&lt;='n&amp;cn'!$C$2)
))</f>
        <v/>
      </c>
      <c r="AU43" s="267"/>
      <c r="AV43" s="290" t="str" cm="1">
        <f t="array" ref="AV43">IF(AW43="",
"",
SUMPRODUCT(
tb_desp[valor]*
(tb_desp[centro.negocio]=AW$2)*
(tb_desp[nucleo]=AW43)*
(tb_desp[data.pagamento]&gt;='n&amp;cn'!$C$1)*
(tb_desp[data.pagamento]&lt;='n&amp;cn'!$C$2)
))</f>
        <v/>
      </c>
      <c r="AW43" s="267"/>
      <c r="AX43" s="290" t="str" cm="1">
        <f t="array" ref="AX43">IF(AY43="",
"",
SUMPRODUCT(
tb_desp[valor]*
(tb_desp[centro.negocio]=AY$2)*
(tb_desp[nucleo]=AY43)*
(tb_desp[data.pagamento]&gt;='n&amp;cn'!$C$1)*
(tb_desp[data.pagamento]&lt;='n&amp;cn'!$C$2)
))</f>
        <v/>
      </c>
      <c r="AY43" s="267"/>
      <c r="AZ43" s="290" t="str" cm="1">
        <f t="array" ref="AZ43">IF(BA43="",
"",
SUMPRODUCT(
tb_desp[valor]*
(tb_desp[centro.negocio]=BA$2)*
(tb_desp[nucleo]=BA43)*
(tb_desp[data.pagamento]&gt;='n&amp;cn'!$C$1)*
(tb_desp[data.pagamento]&lt;='n&amp;cn'!$C$2)
))</f>
        <v/>
      </c>
      <c r="BA43" s="267"/>
      <c r="BB43" s="290" t="str" cm="1">
        <f t="array" ref="BB43">IF(BC43="",
"",
SUMPRODUCT(
tb_desp[valor]*
(tb_desp[centro.negocio]=BC$2)*
(tb_desp[nucleo]=BC43)*
(tb_desp[data.pagamento]&gt;='n&amp;cn'!$C$1)*
(tb_desp[data.pagamento]&lt;='n&amp;cn'!$C$2)
))</f>
        <v/>
      </c>
      <c r="BC43" s="267"/>
      <c r="BD43" s="290" t="str" cm="1">
        <f t="array" ref="BD43">IF(BE43="",
"",
SUMPRODUCT(
tb_desp[valor]*
(tb_desp[centro.negocio]=BE$2)*
(tb_desp[nucleo]=BE43)*
(tb_desp[data.pagamento]&gt;='n&amp;cn'!$C$1)*
(tb_desp[data.pagamento]&lt;='n&amp;cn'!$C$2)
))</f>
        <v/>
      </c>
      <c r="BE43" s="267"/>
      <c r="BF43" s="290" t="str" cm="1">
        <f t="array" ref="BF43">IF(BG43="",
"",
SUMPRODUCT(
tb_desp[valor]*
(tb_desp[centro.negocio]=BG$2)*
(tb_desp[nucleo]=BG43)*
(tb_desp[data.pagamento]&gt;='n&amp;cn'!$C$1)*
(tb_desp[data.pagamento]&lt;='n&amp;cn'!$C$2)
))</f>
        <v/>
      </c>
      <c r="BG43" s="267"/>
      <c r="BH43" s="290" t="str" cm="1">
        <f t="array" ref="BH43">IF(BI43="",
"",
SUMPRODUCT(
tb_desp[valor]*
(tb_desp[centro.negocio]=BI$2)*
(tb_desp[nucleo]=BI43)*
(tb_desp[data.pagamento]&gt;='n&amp;cn'!$C$1)*
(tb_desp[data.pagamento]&lt;='n&amp;cn'!$C$2)
))</f>
        <v/>
      </c>
      <c r="BI43" s="267"/>
      <c r="BJ43" s="290" t="str" cm="1">
        <f t="array" ref="BJ43">IF(BK43="",
"",
SUMPRODUCT(
tb_desp[valor]*
(tb_desp[centro.negocio]=BK$2)*
(tb_desp[nucleo]=BK43)*
(tb_desp[data.pagamento]&gt;='n&amp;cn'!$C$1)*
(tb_desp[data.pagamento]&lt;='n&amp;cn'!$C$2)
))</f>
        <v/>
      </c>
      <c r="BK43" s="267"/>
      <c r="BL43" s="290" t="str" cm="1">
        <f t="array" ref="BL43">IF(BM43="",
"",
SUMPRODUCT(
tb_desp[valor]*
(tb_desp[centro.negocio]=BM$2)*
(tb_desp[nucleo]=BM43)*
(tb_desp[data.pagamento]&gt;='n&amp;cn'!$C$1)*
(tb_desp[data.pagamento]&lt;='n&amp;cn'!$C$2)
))</f>
        <v/>
      </c>
      <c r="BM43" s="267"/>
      <c r="BN43" s="290" t="str" cm="1">
        <f t="array" ref="BN43">IF(BO43="",
"",
SUMPRODUCT(
tb_desp[valor]*
(tb_desp[centro.negocio]=BO$2)*
(tb_desp[nucleo]=BO43)*
(tb_desp[data.pagamento]&gt;='n&amp;cn'!$C$1)*
(tb_desp[data.pagamento]&lt;='n&amp;cn'!$C$2)
))</f>
        <v/>
      </c>
      <c r="BO43" s="267"/>
    </row>
    <row r="44" spans="1:67" x14ac:dyDescent="0.25">
      <c r="A44">
        <f t="shared" si="2"/>
        <v>37</v>
      </c>
      <c r="B44" s="161"/>
      <c r="C44" s="163"/>
      <c r="D44" s="164"/>
      <c r="E44" s="167" t="e">
        <f t="shared" si="0"/>
        <v>#DIV/0!</v>
      </c>
      <c r="F44" s="167" t="e">
        <f>SUM($E$8:$E44)</f>
        <v>#DIV/0!</v>
      </c>
      <c r="G44" s="167"/>
      <c r="H44" s="168"/>
      <c r="I44" s="163">
        <f t="shared" si="3"/>
        <v>37</v>
      </c>
      <c r="K44" s="164"/>
      <c r="L44" s="167" t="e">
        <f t="shared" si="4"/>
        <v>#DIV/0!</v>
      </c>
      <c r="M44" s="167" t="e">
        <f>SUM($L$8:$L44)</f>
        <v>#DIV/0!</v>
      </c>
      <c r="R44" s="290" t="str" cm="1">
        <f t="array" ref="R44">IF(S44="",
"",
SUMPRODUCT(
tb_desp[valor]*
(tb_desp[centro.negocio]=S$2)*
(tb_desp[nucleo]=S44)*
(tb_desp[data.pagamento]&gt;='n&amp;cn'!$C$1)*
(tb_desp[data.pagamento]&lt;='n&amp;cn'!$C$2)
))</f>
        <v/>
      </c>
      <c r="S44" s="267"/>
      <c r="T44" s="290" t="str" cm="1">
        <f t="array" ref="T44">IF(U44="",
"",
SUMPRODUCT(
tb_desp[valor]*
(tb_desp[centro.negocio]=U$2)*
(tb_desp[nucleo]=U44)*
(tb_desp[data.pagamento]&gt;='n&amp;cn'!$C$1)*
(tb_desp[data.pagamento]&lt;='n&amp;cn'!$C$2)
))</f>
        <v/>
      </c>
      <c r="U44" s="267"/>
      <c r="V44" s="290" t="str" cm="1">
        <f t="array" ref="V44">IF(W44="",
"",
SUMPRODUCT(
tb_desp[valor]*
(tb_desp[centro.negocio]=W$2)*
(tb_desp[nucleo]=W44)*
(tb_desp[data.pagamento]&gt;='n&amp;cn'!$C$1)*
(tb_desp[data.pagamento]&lt;='n&amp;cn'!$C$2)
))</f>
        <v/>
      </c>
      <c r="W44" s="267"/>
      <c r="X44" s="290" t="str" cm="1">
        <f t="array" ref="X44">IF(Y44="",
"",
SUMPRODUCT(
tb_desp[valor]*
(tb_desp[centro.negocio]=Y$2)*
(tb_desp[nucleo]=Y44)*
(tb_desp[data.pagamento]&gt;='n&amp;cn'!$C$1)*
(tb_desp[data.pagamento]&lt;='n&amp;cn'!$C$2)
))</f>
        <v/>
      </c>
      <c r="Y44" s="267"/>
      <c r="Z44" s="290" t="str" cm="1">
        <f t="array" ref="Z44">IF(AA44="",
"",
SUMPRODUCT(
tb_desp[valor]*
(tb_desp[centro.negocio]=AA$2)*
(tb_desp[nucleo]=AA44)*
(tb_desp[data.pagamento]&gt;='n&amp;cn'!$C$1)*
(tb_desp[data.pagamento]&lt;='n&amp;cn'!$C$2)
))</f>
        <v/>
      </c>
      <c r="AA44" s="267"/>
      <c r="AB44" s="290" t="str" cm="1">
        <f t="array" ref="AB44">IF(AC44="",
"",
SUMPRODUCT(
tb_desp[valor]*
(tb_desp[centro.negocio]=AC$2)*
(tb_desp[nucleo]=AC44)*
(tb_desp[data.pagamento]&gt;='n&amp;cn'!$C$1)*
(tb_desp[data.pagamento]&lt;='n&amp;cn'!$C$2)
))</f>
        <v/>
      </c>
      <c r="AC44" s="267"/>
      <c r="AD44" s="290" t="str" cm="1">
        <f t="array" ref="AD44">IF(AE44="",
"",
SUMPRODUCT(
tb_desp[valor]*
(tb_desp[centro.negocio]=AE$2)*
(tb_desp[nucleo]=AE44)*
(tb_desp[data.pagamento]&gt;='n&amp;cn'!$C$1)*
(tb_desp[data.pagamento]&lt;='n&amp;cn'!$C$2)
))</f>
        <v/>
      </c>
      <c r="AE44" s="267"/>
      <c r="AF44" s="290" t="str" cm="1">
        <f t="array" ref="AF44">IF(AG44="",
"",
SUMPRODUCT(
tb_desp[valor]*
(tb_desp[centro.negocio]=AG$2)*
(tb_desp[nucleo]=AG44)*
(tb_desp[data.pagamento]&gt;='n&amp;cn'!$C$1)*
(tb_desp[data.pagamento]&lt;='n&amp;cn'!$C$2)
))</f>
        <v/>
      </c>
      <c r="AG44" s="267"/>
      <c r="AH44" s="290" t="str" cm="1">
        <f t="array" ref="AH44">IF(AI44="",
"",
SUMPRODUCT(
tb_desp[valor]*
(tb_desp[centro.negocio]=AI$2)*
(tb_desp[nucleo]=AI44)*
(tb_desp[data.pagamento]&gt;='n&amp;cn'!$C$1)*
(tb_desp[data.pagamento]&lt;='n&amp;cn'!$C$2)
))</f>
        <v/>
      </c>
      <c r="AI44" s="267"/>
      <c r="AJ44" s="290" t="str" cm="1">
        <f t="array" ref="AJ44">IF(AK44="",
"",
SUMPRODUCT(
tb_desp[valor]*
(tb_desp[centro.negocio]=AK$2)*
(tb_desp[nucleo]=AK44)*
(tb_desp[data.pagamento]&gt;='n&amp;cn'!$C$1)*
(tb_desp[data.pagamento]&lt;='n&amp;cn'!$C$2)
))</f>
        <v/>
      </c>
      <c r="AK44" s="267"/>
      <c r="AL44" s="290" t="str" cm="1">
        <f t="array" ref="AL44">IF(AM44="",
"",
SUMPRODUCT(
tb_desp[valor]*
(tb_desp[centro.negocio]=AM$2)*
(tb_desp[nucleo]=AM44)*
(tb_desp[data.pagamento]&gt;='n&amp;cn'!$C$1)*
(tb_desp[data.pagamento]&lt;='n&amp;cn'!$C$2)
))</f>
        <v/>
      </c>
      <c r="AM44" s="267"/>
      <c r="AN44" s="290" t="str" cm="1">
        <f t="array" ref="AN44">IF(AO44="",
"",
SUMPRODUCT(
tb_desp[valor]*
(tb_desp[centro.negocio]=AO$2)*
(tb_desp[nucleo]=AO44)*
(tb_desp[data.pagamento]&gt;='n&amp;cn'!$C$1)*
(tb_desp[data.pagamento]&lt;='n&amp;cn'!$C$2)
))</f>
        <v/>
      </c>
      <c r="AO44" s="267"/>
      <c r="AP44" s="290" t="str" cm="1">
        <f t="array" ref="AP44">IF(AQ44="",
"",
SUMPRODUCT(
tb_desp[valor]*
(tb_desp[centro.negocio]=AQ$2)*
(tb_desp[nucleo]=AQ44)*
(tb_desp[data.pagamento]&gt;='n&amp;cn'!$C$1)*
(tb_desp[data.pagamento]&lt;='n&amp;cn'!$C$2)
))</f>
        <v/>
      </c>
      <c r="AQ44" s="267"/>
      <c r="AR44" s="290" t="str" cm="1">
        <f t="array" ref="AR44">IF(AS44="",
"",
SUMPRODUCT(
tb_desp[valor]*
(tb_desp[centro.negocio]=AS$2)*
(tb_desp[nucleo]=AS44)*
(tb_desp[data.pagamento]&gt;='n&amp;cn'!$C$1)*
(tb_desp[data.pagamento]&lt;='n&amp;cn'!$C$2)
))</f>
        <v/>
      </c>
      <c r="AS44" s="267"/>
      <c r="AT44" s="290" t="str" cm="1">
        <f t="array" ref="AT44">IF(AU44="",
"",
SUMPRODUCT(
tb_desp[valor]*
(tb_desp[centro.negocio]=AU$2)*
(tb_desp[nucleo]=AU44)*
(tb_desp[data.pagamento]&gt;='n&amp;cn'!$C$1)*
(tb_desp[data.pagamento]&lt;='n&amp;cn'!$C$2)
))</f>
        <v/>
      </c>
      <c r="AU44" s="267"/>
      <c r="AV44" s="290" t="str" cm="1">
        <f t="array" ref="AV44">IF(AW44="",
"",
SUMPRODUCT(
tb_desp[valor]*
(tb_desp[centro.negocio]=AW$2)*
(tb_desp[nucleo]=AW44)*
(tb_desp[data.pagamento]&gt;='n&amp;cn'!$C$1)*
(tb_desp[data.pagamento]&lt;='n&amp;cn'!$C$2)
))</f>
        <v/>
      </c>
      <c r="AW44" s="267"/>
      <c r="AX44" s="290" t="str" cm="1">
        <f t="array" ref="AX44">IF(AY44="",
"",
SUMPRODUCT(
tb_desp[valor]*
(tb_desp[centro.negocio]=AY$2)*
(tb_desp[nucleo]=AY44)*
(tb_desp[data.pagamento]&gt;='n&amp;cn'!$C$1)*
(tb_desp[data.pagamento]&lt;='n&amp;cn'!$C$2)
))</f>
        <v/>
      </c>
      <c r="AY44" s="267"/>
      <c r="AZ44" s="290" t="str" cm="1">
        <f t="array" ref="AZ44">IF(BA44="",
"",
SUMPRODUCT(
tb_desp[valor]*
(tb_desp[centro.negocio]=BA$2)*
(tb_desp[nucleo]=BA44)*
(tb_desp[data.pagamento]&gt;='n&amp;cn'!$C$1)*
(tb_desp[data.pagamento]&lt;='n&amp;cn'!$C$2)
))</f>
        <v/>
      </c>
      <c r="BA44" s="267"/>
      <c r="BB44" s="290" t="str" cm="1">
        <f t="array" ref="BB44">IF(BC44="",
"",
SUMPRODUCT(
tb_desp[valor]*
(tb_desp[centro.negocio]=BC$2)*
(tb_desp[nucleo]=BC44)*
(tb_desp[data.pagamento]&gt;='n&amp;cn'!$C$1)*
(tb_desp[data.pagamento]&lt;='n&amp;cn'!$C$2)
))</f>
        <v/>
      </c>
      <c r="BC44" s="267"/>
      <c r="BD44" s="290" t="str" cm="1">
        <f t="array" ref="BD44">IF(BE44="",
"",
SUMPRODUCT(
tb_desp[valor]*
(tb_desp[centro.negocio]=BE$2)*
(tb_desp[nucleo]=BE44)*
(tb_desp[data.pagamento]&gt;='n&amp;cn'!$C$1)*
(tb_desp[data.pagamento]&lt;='n&amp;cn'!$C$2)
))</f>
        <v/>
      </c>
      <c r="BE44" s="267"/>
      <c r="BF44" s="290" t="str" cm="1">
        <f t="array" ref="BF44">IF(BG44="",
"",
SUMPRODUCT(
tb_desp[valor]*
(tb_desp[centro.negocio]=BG$2)*
(tb_desp[nucleo]=BG44)*
(tb_desp[data.pagamento]&gt;='n&amp;cn'!$C$1)*
(tb_desp[data.pagamento]&lt;='n&amp;cn'!$C$2)
))</f>
        <v/>
      </c>
      <c r="BG44" s="267"/>
      <c r="BH44" s="290" t="str" cm="1">
        <f t="array" ref="BH44">IF(BI44="",
"",
SUMPRODUCT(
tb_desp[valor]*
(tb_desp[centro.negocio]=BI$2)*
(tb_desp[nucleo]=BI44)*
(tb_desp[data.pagamento]&gt;='n&amp;cn'!$C$1)*
(tb_desp[data.pagamento]&lt;='n&amp;cn'!$C$2)
))</f>
        <v/>
      </c>
      <c r="BI44" s="267"/>
      <c r="BJ44" s="290" t="str" cm="1">
        <f t="array" ref="BJ44">IF(BK44="",
"",
SUMPRODUCT(
tb_desp[valor]*
(tb_desp[centro.negocio]=BK$2)*
(tb_desp[nucleo]=BK44)*
(tb_desp[data.pagamento]&gt;='n&amp;cn'!$C$1)*
(tb_desp[data.pagamento]&lt;='n&amp;cn'!$C$2)
))</f>
        <v/>
      </c>
      <c r="BK44" s="267"/>
      <c r="BL44" s="290" t="str" cm="1">
        <f t="array" ref="BL44">IF(BM44="",
"",
SUMPRODUCT(
tb_desp[valor]*
(tb_desp[centro.negocio]=BM$2)*
(tb_desp[nucleo]=BM44)*
(tb_desp[data.pagamento]&gt;='n&amp;cn'!$C$1)*
(tb_desp[data.pagamento]&lt;='n&amp;cn'!$C$2)
))</f>
        <v/>
      </c>
      <c r="BM44" s="267"/>
      <c r="BN44" s="290" t="str" cm="1">
        <f t="array" ref="BN44">IF(BO44="",
"",
SUMPRODUCT(
tb_desp[valor]*
(tb_desp[centro.negocio]=BO$2)*
(tb_desp[nucleo]=BO44)*
(tb_desp[data.pagamento]&gt;='n&amp;cn'!$C$1)*
(tb_desp[data.pagamento]&lt;='n&amp;cn'!$C$2)
))</f>
        <v/>
      </c>
      <c r="BO44" s="267"/>
    </row>
    <row r="45" spans="1:67" x14ac:dyDescent="0.25">
      <c r="A45">
        <f t="shared" si="2"/>
        <v>38</v>
      </c>
      <c r="B45" s="161"/>
      <c r="C45" s="163"/>
      <c r="D45" s="164"/>
      <c r="E45" s="167" t="e">
        <f t="shared" si="0"/>
        <v>#DIV/0!</v>
      </c>
      <c r="F45" s="167" t="e">
        <f>SUM($E$8:$E45)</f>
        <v>#DIV/0!</v>
      </c>
      <c r="G45" s="167"/>
      <c r="H45" s="168"/>
      <c r="I45" s="163">
        <f t="shared" si="3"/>
        <v>38</v>
      </c>
      <c r="K45" s="164"/>
      <c r="L45" s="167" t="e">
        <f t="shared" si="4"/>
        <v>#DIV/0!</v>
      </c>
      <c r="M45" s="167" t="e">
        <f>SUM($L$8:$L45)</f>
        <v>#DIV/0!</v>
      </c>
      <c r="R45" s="290" t="str" cm="1">
        <f t="array" ref="R45">IF(S45="",
"",
SUMPRODUCT(
tb_desp[valor]*
(tb_desp[centro.negocio]=S$2)*
(tb_desp[nucleo]=S45)*
(tb_desp[data.pagamento]&gt;='n&amp;cn'!$C$1)*
(tb_desp[data.pagamento]&lt;='n&amp;cn'!$C$2)
))</f>
        <v/>
      </c>
      <c r="S45" s="267"/>
      <c r="T45" s="290" t="str" cm="1">
        <f t="array" ref="T45">IF(U45="",
"",
SUMPRODUCT(
tb_desp[valor]*
(tb_desp[centro.negocio]=U$2)*
(tb_desp[nucleo]=U45)*
(tb_desp[data.pagamento]&gt;='n&amp;cn'!$C$1)*
(tb_desp[data.pagamento]&lt;='n&amp;cn'!$C$2)
))</f>
        <v/>
      </c>
      <c r="U45" s="267"/>
      <c r="V45" s="290" t="str" cm="1">
        <f t="array" ref="V45">IF(W45="",
"",
SUMPRODUCT(
tb_desp[valor]*
(tb_desp[centro.negocio]=W$2)*
(tb_desp[nucleo]=W45)*
(tb_desp[data.pagamento]&gt;='n&amp;cn'!$C$1)*
(tb_desp[data.pagamento]&lt;='n&amp;cn'!$C$2)
))</f>
        <v/>
      </c>
      <c r="W45" s="267"/>
      <c r="X45" s="290" t="str" cm="1">
        <f t="array" ref="X45">IF(Y45="",
"",
SUMPRODUCT(
tb_desp[valor]*
(tb_desp[centro.negocio]=Y$2)*
(tb_desp[nucleo]=Y45)*
(tb_desp[data.pagamento]&gt;='n&amp;cn'!$C$1)*
(tb_desp[data.pagamento]&lt;='n&amp;cn'!$C$2)
))</f>
        <v/>
      </c>
      <c r="Y45" s="267"/>
      <c r="Z45" s="290" t="str" cm="1">
        <f t="array" ref="Z45">IF(AA45="",
"",
SUMPRODUCT(
tb_desp[valor]*
(tb_desp[centro.negocio]=AA$2)*
(tb_desp[nucleo]=AA45)*
(tb_desp[data.pagamento]&gt;='n&amp;cn'!$C$1)*
(tb_desp[data.pagamento]&lt;='n&amp;cn'!$C$2)
))</f>
        <v/>
      </c>
      <c r="AA45" s="267"/>
      <c r="AB45" s="290" t="str" cm="1">
        <f t="array" ref="AB45">IF(AC45="",
"",
SUMPRODUCT(
tb_desp[valor]*
(tb_desp[centro.negocio]=AC$2)*
(tb_desp[nucleo]=AC45)*
(tb_desp[data.pagamento]&gt;='n&amp;cn'!$C$1)*
(tb_desp[data.pagamento]&lt;='n&amp;cn'!$C$2)
))</f>
        <v/>
      </c>
      <c r="AC45" s="267"/>
      <c r="AD45" s="290" t="str" cm="1">
        <f t="array" ref="AD45">IF(AE45="",
"",
SUMPRODUCT(
tb_desp[valor]*
(tb_desp[centro.negocio]=AE$2)*
(tb_desp[nucleo]=AE45)*
(tb_desp[data.pagamento]&gt;='n&amp;cn'!$C$1)*
(tb_desp[data.pagamento]&lt;='n&amp;cn'!$C$2)
))</f>
        <v/>
      </c>
      <c r="AE45" s="267"/>
      <c r="AF45" s="290" t="str" cm="1">
        <f t="array" ref="AF45">IF(AG45="",
"",
SUMPRODUCT(
tb_desp[valor]*
(tb_desp[centro.negocio]=AG$2)*
(tb_desp[nucleo]=AG45)*
(tb_desp[data.pagamento]&gt;='n&amp;cn'!$C$1)*
(tb_desp[data.pagamento]&lt;='n&amp;cn'!$C$2)
))</f>
        <v/>
      </c>
      <c r="AG45" s="267"/>
      <c r="AH45" s="290" t="str" cm="1">
        <f t="array" ref="AH45">IF(AI45="",
"",
SUMPRODUCT(
tb_desp[valor]*
(tb_desp[centro.negocio]=AI$2)*
(tb_desp[nucleo]=AI45)*
(tb_desp[data.pagamento]&gt;='n&amp;cn'!$C$1)*
(tb_desp[data.pagamento]&lt;='n&amp;cn'!$C$2)
))</f>
        <v/>
      </c>
      <c r="AI45" s="267"/>
      <c r="AJ45" s="290" t="str" cm="1">
        <f t="array" ref="AJ45">IF(AK45="",
"",
SUMPRODUCT(
tb_desp[valor]*
(tb_desp[centro.negocio]=AK$2)*
(tb_desp[nucleo]=AK45)*
(tb_desp[data.pagamento]&gt;='n&amp;cn'!$C$1)*
(tb_desp[data.pagamento]&lt;='n&amp;cn'!$C$2)
))</f>
        <v/>
      </c>
      <c r="AK45" s="267"/>
      <c r="AL45" s="290" t="str" cm="1">
        <f t="array" ref="AL45">IF(AM45="",
"",
SUMPRODUCT(
tb_desp[valor]*
(tb_desp[centro.negocio]=AM$2)*
(tb_desp[nucleo]=AM45)*
(tb_desp[data.pagamento]&gt;='n&amp;cn'!$C$1)*
(tb_desp[data.pagamento]&lt;='n&amp;cn'!$C$2)
))</f>
        <v/>
      </c>
      <c r="AM45" s="267"/>
      <c r="AN45" s="290" t="str" cm="1">
        <f t="array" ref="AN45">IF(AO45="",
"",
SUMPRODUCT(
tb_desp[valor]*
(tb_desp[centro.negocio]=AO$2)*
(tb_desp[nucleo]=AO45)*
(tb_desp[data.pagamento]&gt;='n&amp;cn'!$C$1)*
(tb_desp[data.pagamento]&lt;='n&amp;cn'!$C$2)
))</f>
        <v/>
      </c>
      <c r="AO45" s="267"/>
      <c r="AP45" s="290" t="str" cm="1">
        <f t="array" ref="AP45">IF(AQ45="",
"",
SUMPRODUCT(
tb_desp[valor]*
(tb_desp[centro.negocio]=AQ$2)*
(tb_desp[nucleo]=AQ45)*
(tb_desp[data.pagamento]&gt;='n&amp;cn'!$C$1)*
(tb_desp[data.pagamento]&lt;='n&amp;cn'!$C$2)
))</f>
        <v/>
      </c>
      <c r="AQ45" s="267"/>
      <c r="AR45" s="290" t="str" cm="1">
        <f t="array" ref="AR45">IF(AS45="",
"",
SUMPRODUCT(
tb_desp[valor]*
(tb_desp[centro.negocio]=AS$2)*
(tb_desp[nucleo]=AS45)*
(tb_desp[data.pagamento]&gt;='n&amp;cn'!$C$1)*
(tb_desp[data.pagamento]&lt;='n&amp;cn'!$C$2)
))</f>
        <v/>
      </c>
      <c r="AS45" s="267"/>
      <c r="AT45" s="290" t="str" cm="1">
        <f t="array" ref="AT45">IF(AU45="",
"",
SUMPRODUCT(
tb_desp[valor]*
(tb_desp[centro.negocio]=AU$2)*
(tb_desp[nucleo]=AU45)*
(tb_desp[data.pagamento]&gt;='n&amp;cn'!$C$1)*
(tb_desp[data.pagamento]&lt;='n&amp;cn'!$C$2)
))</f>
        <v/>
      </c>
      <c r="AU45" s="267"/>
      <c r="AV45" s="290" t="str" cm="1">
        <f t="array" ref="AV45">IF(AW45="",
"",
SUMPRODUCT(
tb_desp[valor]*
(tb_desp[centro.negocio]=AW$2)*
(tb_desp[nucleo]=AW45)*
(tb_desp[data.pagamento]&gt;='n&amp;cn'!$C$1)*
(tb_desp[data.pagamento]&lt;='n&amp;cn'!$C$2)
))</f>
        <v/>
      </c>
      <c r="AW45" s="267"/>
      <c r="AX45" s="290" t="str" cm="1">
        <f t="array" ref="AX45">IF(AY45="",
"",
SUMPRODUCT(
tb_desp[valor]*
(tb_desp[centro.negocio]=AY$2)*
(tb_desp[nucleo]=AY45)*
(tb_desp[data.pagamento]&gt;='n&amp;cn'!$C$1)*
(tb_desp[data.pagamento]&lt;='n&amp;cn'!$C$2)
))</f>
        <v/>
      </c>
      <c r="AY45" s="267"/>
      <c r="AZ45" s="290" t="str" cm="1">
        <f t="array" ref="AZ45">IF(BA45="",
"",
SUMPRODUCT(
tb_desp[valor]*
(tb_desp[centro.negocio]=BA$2)*
(tb_desp[nucleo]=BA45)*
(tb_desp[data.pagamento]&gt;='n&amp;cn'!$C$1)*
(tb_desp[data.pagamento]&lt;='n&amp;cn'!$C$2)
))</f>
        <v/>
      </c>
      <c r="BA45" s="267"/>
      <c r="BB45" s="290" t="str" cm="1">
        <f t="array" ref="BB45">IF(BC45="",
"",
SUMPRODUCT(
tb_desp[valor]*
(tb_desp[centro.negocio]=BC$2)*
(tb_desp[nucleo]=BC45)*
(tb_desp[data.pagamento]&gt;='n&amp;cn'!$C$1)*
(tb_desp[data.pagamento]&lt;='n&amp;cn'!$C$2)
))</f>
        <v/>
      </c>
      <c r="BC45" s="267"/>
      <c r="BD45" s="290" t="str" cm="1">
        <f t="array" ref="BD45">IF(BE45="",
"",
SUMPRODUCT(
tb_desp[valor]*
(tb_desp[centro.negocio]=BE$2)*
(tb_desp[nucleo]=BE45)*
(tb_desp[data.pagamento]&gt;='n&amp;cn'!$C$1)*
(tb_desp[data.pagamento]&lt;='n&amp;cn'!$C$2)
))</f>
        <v/>
      </c>
      <c r="BE45" s="267"/>
      <c r="BF45" s="290" t="str" cm="1">
        <f t="array" ref="BF45">IF(BG45="",
"",
SUMPRODUCT(
tb_desp[valor]*
(tb_desp[centro.negocio]=BG$2)*
(tb_desp[nucleo]=BG45)*
(tb_desp[data.pagamento]&gt;='n&amp;cn'!$C$1)*
(tb_desp[data.pagamento]&lt;='n&amp;cn'!$C$2)
))</f>
        <v/>
      </c>
      <c r="BG45" s="267"/>
      <c r="BH45" s="290" t="str" cm="1">
        <f t="array" ref="BH45">IF(BI45="",
"",
SUMPRODUCT(
tb_desp[valor]*
(tb_desp[centro.negocio]=BI$2)*
(tb_desp[nucleo]=BI45)*
(tb_desp[data.pagamento]&gt;='n&amp;cn'!$C$1)*
(tb_desp[data.pagamento]&lt;='n&amp;cn'!$C$2)
))</f>
        <v/>
      </c>
      <c r="BI45" s="267"/>
      <c r="BJ45" s="290" t="str" cm="1">
        <f t="array" ref="BJ45">IF(BK45="",
"",
SUMPRODUCT(
tb_desp[valor]*
(tb_desp[centro.negocio]=BK$2)*
(tb_desp[nucleo]=BK45)*
(tb_desp[data.pagamento]&gt;='n&amp;cn'!$C$1)*
(tb_desp[data.pagamento]&lt;='n&amp;cn'!$C$2)
))</f>
        <v/>
      </c>
      <c r="BK45" s="267"/>
      <c r="BL45" s="290" t="str" cm="1">
        <f t="array" ref="BL45">IF(BM45="",
"",
SUMPRODUCT(
tb_desp[valor]*
(tb_desp[centro.negocio]=BM$2)*
(tb_desp[nucleo]=BM45)*
(tb_desp[data.pagamento]&gt;='n&amp;cn'!$C$1)*
(tb_desp[data.pagamento]&lt;='n&amp;cn'!$C$2)
))</f>
        <v/>
      </c>
      <c r="BM45" s="267"/>
      <c r="BN45" s="290" t="str" cm="1">
        <f t="array" ref="BN45">IF(BO45="",
"",
SUMPRODUCT(
tb_desp[valor]*
(tb_desp[centro.negocio]=BO$2)*
(tb_desp[nucleo]=BO45)*
(tb_desp[data.pagamento]&gt;='n&amp;cn'!$C$1)*
(tb_desp[data.pagamento]&lt;='n&amp;cn'!$C$2)
))</f>
        <v/>
      </c>
      <c r="BO45" s="267"/>
    </row>
    <row r="46" spans="1:67" x14ac:dyDescent="0.25">
      <c r="A46">
        <f t="shared" si="2"/>
        <v>39</v>
      </c>
      <c r="B46" s="161"/>
      <c r="C46" s="163"/>
      <c r="D46" s="164"/>
      <c r="E46" s="167" t="e">
        <f t="shared" si="0"/>
        <v>#DIV/0!</v>
      </c>
      <c r="F46" s="167" t="e">
        <f>SUM($E$8:$E46)</f>
        <v>#DIV/0!</v>
      </c>
      <c r="H46" s="168"/>
      <c r="I46" s="163">
        <f t="shared" si="3"/>
        <v>39</v>
      </c>
      <c r="K46" s="164"/>
      <c r="L46" s="167" t="e">
        <f t="shared" si="4"/>
        <v>#DIV/0!</v>
      </c>
      <c r="M46" s="167" t="e">
        <f>SUM($L$8:$L46)</f>
        <v>#DIV/0!</v>
      </c>
      <c r="R46" s="290" t="str" cm="1">
        <f t="array" ref="R46">IF(S46="",
"",
SUMPRODUCT(
tb_desp[valor]*
(tb_desp[centro.negocio]=S$2)*
(tb_desp[nucleo]=S46)*
(tb_desp[data.pagamento]&gt;='n&amp;cn'!$C$1)*
(tb_desp[data.pagamento]&lt;='n&amp;cn'!$C$2)
))</f>
        <v/>
      </c>
      <c r="S46" s="267"/>
      <c r="T46" s="290" t="str" cm="1">
        <f t="array" ref="T46">IF(U46="",
"",
SUMPRODUCT(
tb_desp[valor]*
(tb_desp[centro.negocio]=U$2)*
(tb_desp[nucleo]=U46)*
(tb_desp[data.pagamento]&gt;='n&amp;cn'!$C$1)*
(tb_desp[data.pagamento]&lt;='n&amp;cn'!$C$2)
))</f>
        <v/>
      </c>
      <c r="U46" s="267"/>
      <c r="V46" s="290" t="str" cm="1">
        <f t="array" ref="V46">IF(W46="",
"",
SUMPRODUCT(
tb_desp[valor]*
(tb_desp[centro.negocio]=W$2)*
(tb_desp[nucleo]=W46)*
(tb_desp[data.pagamento]&gt;='n&amp;cn'!$C$1)*
(tb_desp[data.pagamento]&lt;='n&amp;cn'!$C$2)
))</f>
        <v/>
      </c>
      <c r="W46" s="267"/>
      <c r="X46" s="290" t="str" cm="1">
        <f t="array" ref="X46">IF(Y46="",
"",
SUMPRODUCT(
tb_desp[valor]*
(tb_desp[centro.negocio]=Y$2)*
(tb_desp[nucleo]=Y46)*
(tb_desp[data.pagamento]&gt;='n&amp;cn'!$C$1)*
(tb_desp[data.pagamento]&lt;='n&amp;cn'!$C$2)
))</f>
        <v/>
      </c>
      <c r="Y46" s="267"/>
      <c r="Z46" s="290" t="str" cm="1">
        <f t="array" ref="Z46">IF(AA46="",
"",
SUMPRODUCT(
tb_desp[valor]*
(tb_desp[centro.negocio]=AA$2)*
(tb_desp[nucleo]=AA46)*
(tb_desp[data.pagamento]&gt;='n&amp;cn'!$C$1)*
(tb_desp[data.pagamento]&lt;='n&amp;cn'!$C$2)
))</f>
        <v/>
      </c>
      <c r="AA46" s="267"/>
      <c r="AB46" s="290" t="str" cm="1">
        <f t="array" ref="AB46">IF(AC46="",
"",
SUMPRODUCT(
tb_desp[valor]*
(tb_desp[centro.negocio]=AC$2)*
(tb_desp[nucleo]=AC46)*
(tb_desp[data.pagamento]&gt;='n&amp;cn'!$C$1)*
(tb_desp[data.pagamento]&lt;='n&amp;cn'!$C$2)
))</f>
        <v/>
      </c>
      <c r="AC46" s="267"/>
      <c r="AD46" s="290" t="str" cm="1">
        <f t="array" ref="AD46">IF(AE46="",
"",
SUMPRODUCT(
tb_desp[valor]*
(tb_desp[centro.negocio]=AE$2)*
(tb_desp[nucleo]=AE46)*
(tb_desp[data.pagamento]&gt;='n&amp;cn'!$C$1)*
(tb_desp[data.pagamento]&lt;='n&amp;cn'!$C$2)
))</f>
        <v/>
      </c>
      <c r="AE46" s="267"/>
      <c r="AF46" s="290" t="str" cm="1">
        <f t="array" ref="AF46">IF(AG46="",
"",
SUMPRODUCT(
tb_desp[valor]*
(tb_desp[centro.negocio]=AG$2)*
(tb_desp[nucleo]=AG46)*
(tb_desp[data.pagamento]&gt;='n&amp;cn'!$C$1)*
(tb_desp[data.pagamento]&lt;='n&amp;cn'!$C$2)
))</f>
        <v/>
      </c>
      <c r="AG46" s="267"/>
      <c r="AH46" s="290" t="str" cm="1">
        <f t="array" ref="AH46">IF(AI46="",
"",
SUMPRODUCT(
tb_desp[valor]*
(tb_desp[centro.negocio]=AI$2)*
(tb_desp[nucleo]=AI46)*
(tb_desp[data.pagamento]&gt;='n&amp;cn'!$C$1)*
(tb_desp[data.pagamento]&lt;='n&amp;cn'!$C$2)
))</f>
        <v/>
      </c>
      <c r="AI46" s="267"/>
      <c r="AJ46" s="290" t="str" cm="1">
        <f t="array" ref="AJ46">IF(AK46="",
"",
SUMPRODUCT(
tb_desp[valor]*
(tb_desp[centro.negocio]=AK$2)*
(tb_desp[nucleo]=AK46)*
(tb_desp[data.pagamento]&gt;='n&amp;cn'!$C$1)*
(tb_desp[data.pagamento]&lt;='n&amp;cn'!$C$2)
))</f>
        <v/>
      </c>
      <c r="AK46" s="267"/>
      <c r="AL46" s="290" t="str" cm="1">
        <f t="array" ref="AL46">IF(AM46="",
"",
SUMPRODUCT(
tb_desp[valor]*
(tb_desp[centro.negocio]=AM$2)*
(tb_desp[nucleo]=AM46)*
(tb_desp[data.pagamento]&gt;='n&amp;cn'!$C$1)*
(tb_desp[data.pagamento]&lt;='n&amp;cn'!$C$2)
))</f>
        <v/>
      </c>
      <c r="AM46" s="267"/>
      <c r="AN46" s="290" t="str" cm="1">
        <f t="array" ref="AN46">IF(AO46="",
"",
SUMPRODUCT(
tb_desp[valor]*
(tb_desp[centro.negocio]=AO$2)*
(tb_desp[nucleo]=AO46)*
(tb_desp[data.pagamento]&gt;='n&amp;cn'!$C$1)*
(tb_desp[data.pagamento]&lt;='n&amp;cn'!$C$2)
))</f>
        <v/>
      </c>
      <c r="AO46" s="267"/>
      <c r="AP46" s="290" t="str" cm="1">
        <f t="array" ref="AP46">IF(AQ46="",
"",
SUMPRODUCT(
tb_desp[valor]*
(tb_desp[centro.negocio]=AQ$2)*
(tb_desp[nucleo]=AQ46)*
(tb_desp[data.pagamento]&gt;='n&amp;cn'!$C$1)*
(tb_desp[data.pagamento]&lt;='n&amp;cn'!$C$2)
))</f>
        <v/>
      </c>
      <c r="AQ46" s="267"/>
      <c r="AR46" s="290" t="str" cm="1">
        <f t="array" ref="AR46">IF(AS46="",
"",
SUMPRODUCT(
tb_desp[valor]*
(tb_desp[centro.negocio]=AS$2)*
(tb_desp[nucleo]=AS46)*
(tb_desp[data.pagamento]&gt;='n&amp;cn'!$C$1)*
(tb_desp[data.pagamento]&lt;='n&amp;cn'!$C$2)
))</f>
        <v/>
      </c>
      <c r="AS46" s="267"/>
      <c r="AT46" s="290" t="str" cm="1">
        <f t="array" ref="AT46">IF(AU46="",
"",
SUMPRODUCT(
tb_desp[valor]*
(tb_desp[centro.negocio]=AU$2)*
(tb_desp[nucleo]=AU46)*
(tb_desp[data.pagamento]&gt;='n&amp;cn'!$C$1)*
(tb_desp[data.pagamento]&lt;='n&amp;cn'!$C$2)
))</f>
        <v/>
      </c>
      <c r="AU46" s="267"/>
      <c r="AV46" s="290" t="str" cm="1">
        <f t="array" ref="AV46">IF(AW46="",
"",
SUMPRODUCT(
tb_desp[valor]*
(tb_desp[centro.negocio]=AW$2)*
(tb_desp[nucleo]=AW46)*
(tb_desp[data.pagamento]&gt;='n&amp;cn'!$C$1)*
(tb_desp[data.pagamento]&lt;='n&amp;cn'!$C$2)
))</f>
        <v/>
      </c>
      <c r="AW46" s="267"/>
      <c r="AX46" s="290" t="str" cm="1">
        <f t="array" ref="AX46">IF(AY46="",
"",
SUMPRODUCT(
tb_desp[valor]*
(tb_desp[centro.negocio]=AY$2)*
(tb_desp[nucleo]=AY46)*
(tb_desp[data.pagamento]&gt;='n&amp;cn'!$C$1)*
(tb_desp[data.pagamento]&lt;='n&amp;cn'!$C$2)
))</f>
        <v/>
      </c>
      <c r="AY46" s="267"/>
      <c r="AZ46" s="290" t="str" cm="1">
        <f t="array" ref="AZ46">IF(BA46="",
"",
SUMPRODUCT(
tb_desp[valor]*
(tb_desp[centro.negocio]=BA$2)*
(tb_desp[nucleo]=BA46)*
(tb_desp[data.pagamento]&gt;='n&amp;cn'!$C$1)*
(tb_desp[data.pagamento]&lt;='n&amp;cn'!$C$2)
))</f>
        <v/>
      </c>
      <c r="BA46" s="267"/>
      <c r="BB46" s="290" t="str" cm="1">
        <f t="array" ref="BB46">IF(BC46="",
"",
SUMPRODUCT(
tb_desp[valor]*
(tb_desp[centro.negocio]=BC$2)*
(tb_desp[nucleo]=BC46)*
(tb_desp[data.pagamento]&gt;='n&amp;cn'!$C$1)*
(tb_desp[data.pagamento]&lt;='n&amp;cn'!$C$2)
))</f>
        <v/>
      </c>
      <c r="BC46" s="267"/>
      <c r="BD46" s="290" t="str" cm="1">
        <f t="array" ref="BD46">IF(BE46="",
"",
SUMPRODUCT(
tb_desp[valor]*
(tb_desp[centro.negocio]=BE$2)*
(tb_desp[nucleo]=BE46)*
(tb_desp[data.pagamento]&gt;='n&amp;cn'!$C$1)*
(tb_desp[data.pagamento]&lt;='n&amp;cn'!$C$2)
))</f>
        <v/>
      </c>
      <c r="BE46" s="267"/>
      <c r="BF46" s="290" t="str" cm="1">
        <f t="array" ref="BF46">IF(BG46="",
"",
SUMPRODUCT(
tb_desp[valor]*
(tb_desp[centro.negocio]=BG$2)*
(tb_desp[nucleo]=BG46)*
(tb_desp[data.pagamento]&gt;='n&amp;cn'!$C$1)*
(tb_desp[data.pagamento]&lt;='n&amp;cn'!$C$2)
))</f>
        <v/>
      </c>
      <c r="BG46" s="267"/>
      <c r="BH46" s="290" t="str" cm="1">
        <f t="array" ref="BH46">IF(BI46="",
"",
SUMPRODUCT(
tb_desp[valor]*
(tb_desp[centro.negocio]=BI$2)*
(tb_desp[nucleo]=BI46)*
(tb_desp[data.pagamento]&gt;='n&amp;cn'!$C$1)*
(tb_desp[data.pagamento]&lt;='n&amp;cn'!$C$2)
))</f>
        <v/>
      </c>
      <c r="BI46" s="267"/>
      <c r="BJ46" s="290" t="str" cm="1">
        <f t="array" ref="BJ46">IF(BK46="",
"",
SUMPRODUCT(
tb_desp[valor]*
(tb_desp[centro.negocio]=BK$2)*
(tb_desp[nucleo]=BK46)*
(tb_desp[data.pagamento]&gt;='n&amp;cn'!$C$1)*
(tb_desp[data.pagamento]&lt;='n&amp;cn'!$C$2)
))</f>
        <v/>
      </c>
      <c r="BK46" s="267"/>
      <c r="BL46" s="290" t="str" cm="1">
        <f t="array" ref="BL46">IF(BM46="",
"",
SUMPRODUCT(
tb_desp[valor]*
(tb_desp[centro.negocio]=BM$2)*
(tb_desp[nucleo]=BM46)*
(tb_desp[data.pagamento]&gt;='n&amp;cn'!$C$1)*
(tb_desp[data.pagamento]&lt;='n&amp;cn'!$C$2)
))</f>
        <v/>
      </c>
      <c r="BM46" s="267"/>
      <c r="BN46" s="290" t="str" cm="1">
        <f t="array" ref="BN46">IF(BO46="",
"",
SUMPRODUCT(
tb_desp[valor]*
(tb_desp[centro.negocio]=BO$2)*
(tb_desp[nucleo]=BO46)*
(tb_desp[data.pagamento]&gt;='n&amp;cn'!$C$1)*
(tb_desp[data.pagamento]&lt;='n&amp;cn'!$C$2)
))</f>
        <v/>
      </c>
      <c r="BO46" s="267"/>
    </row>
    <row r="47" spans="1:67" x14ac:dyDescent="0.25">
      <c r="A47">
        <f t="shared" si="2"/>
        <v>40</v>
      </c>
      <c r="B47" s="161"/>
      <c r="C47" s="163"/>
      <c r="D47" s="164"/>
      <c r="E47" s="167" t="e">
        <f t="shared" si="0"/>
        <v>#DIV/0!</v>
      </c>
      <c r="F47" s="167" t="e">
        <f>SUM($E$8:$E47)</f>
        <v>#DIV/0!</v>
      </c>
      <c r="H47" s="168"/>
      <c r="I47" s="163">
        <f t="shared" si="3"/>
        <v>40</v>
      </c>
      <c r="K47" s="164"/>
      <c r="L47" s="167" t="e">
        <f t="shared" si="4"/>
        <v>#DIV/0!</v>
      </c>
      <c r="M47" s="167" t="e">
        <f>SUM($L$8:$L47)</f>
        <v>#DIV/0!</v>
      </c>
      <c r="R47" s="290" t="str" cm="1">
        <f t="array" ref="R47">IF(S47="",
"",
SUMPRODUCT(
tb_desp[valor]*
(tb_desp[centro.negocio]=S$2)*
(tb_desp[nucleo]=S47)*
(tb_desp[data.pagamento]&gt;='n&amp;cn'!$C$1)*
(tb_desp[data.pagamento]&lt;='n&amp;cn'!$C$2)
))</f>
        <v/>
      </c>
      <c r="S47" s="267"/>
      <c r="T47" s="290" t="str" cm="1">
        <f t="array" ref="T47">IF(U47="",
"",
SUMPRODUCT(
tb_desp[valor]*
(tb_desp[centro.negocio]=U$2)*
(tb_desp[nucleo]=U47)*
(tb_desp[data.pagamento]&gt;='n&amp;cn'!$C$1)*
(tb_desp[data.pagamento]&lt;='n&amp;cn'!$C$2)
))</f>
        <v/>
      </c>
      <c r="U47" s="267"/>
      <c r="V47" s="290" t="str" cm="1">
        <f t="array" ref="V47">IF(W47="",
"",
SUMPRODUCT(
tb_desp[valor]*
(tb_desp[centro.negocio]=W$2)*
(tb_desp[nucleo]=W47)*
(tb_desp[data.pagamento]&gt;='n&amp;cn'!$C$1)*
(tb_desp[data.pagamento]&lt;='n&amp;cn'!$C$2)
))</f>
        <v/>
      </c>
      <c r="W47" s="267"/>
      <c r="X47" s="290" t="str" cm="1">
        <f t="array" ref="X47">IF(Y47="",
"",
SUMPRODUCT(
tb_desp[valor]*
(tb_desp[centro.negocio]=Y$2)*
(tb_desp[nucleo]=Y47)*
(tb_desp[data.pagamento]&gt;='n&amp;cn'!$C$1)*
(tb_desp[data.pagamento]&lt;='n&amp;cn'!$C$2)
))</f>
        <v/>
      </c>
      <c r="Y47" s="267"/>
      <c r="Z47" s="290" t="str" cm="1">
        <f t="array" ref="Z47">IF(AA47="",
"",
SUMPRODUCT(
tb_desp[valor]*
(tb_desp[centro.negocio]=AA$2)*
(tb_desp[nucleo]=AA47)*
(tb_desp[data.pagamento]&gt;='n&amp;cn'!$C$1)*
(tb_desp[data.pagamento]&lt;='n&amp;cn'!$C$2)
))</f>
        <v/>
      </c>
      <c r="AA47" s="267"/>
      <c r="AB47" s="290" t="str" cm="1">
        <f t="array" ref="AB47">IF(AC47="",
"",
SUMPRODUCT(
tb_desp[valor]*
(tb_desp[centro.negocio]=AC$2)*
(tb_desp[nucleo]=AC47)*
(tb_desp[data.pagamento]&gt;='n&amp;cn'!$C$1)*
(tb_desp[data.pagamento]&lt;='n&amp;cn'!$C$2)
))</f>
        <v/>
      </c>
      <c r="AC47" s="267"/>
      <c r="AD47" s="290" t="str" cm="1">
        <f t="array" ref="AD47">IF(AE47="",
"",
SUMPRODUCT(
tb_desp[valor]*
(tb_desp[centro.negocio]=AE$2)*
(tb_desp[nucleo]=AE47)*
(tb_desp[data.pagamento]&gt;='n&amp;cn'!$C$1)*
(tb_desp[data.pagamento]&lt;='n&amp;cn'!$C$2)
))</f>
        <v/>
      </c>
      <c r="AE47" s="267"/>
      <c r="AF47" s="290" t="str" cm="1">
        <f t="array" ref="AF47">IF(AG47="",
"",
SUMPRODUCT(
tb_desp[valor]*
(tb_desp[centro.negocio]=AG$2)*
(tb_desp[nucleo]=AG47)*
(tb_desp[data.pagamento]&gt;='n&amp;cn'!$C$1)*
(tb_desp[data.pagamento]&lt;='n&amp;cn'!$C$2)
))</f>
        <v/>
      </c>
      <c r="AG47" s="267"/>
      <c r="AH47" s="290" t="str" cm="1">
        <f t="array" ref="AH47">IF(AI47="",
"",
SUMPRODUCT(
tb_desp[valor]*
(tb_desp[centro.negocio]=AI$2)*
(tb_desp[nucleo]=AI47)*
(tb_desp[data.pagamento]&gt;='n&amp;cn'!$C$1)*
(tb_desp[data.pagamento]&lt;='n&amp;cn'!$C$2)
))</f>
        <v/>
      </c>
      <c r="AI47" s="267"/>
      <c r="AJ47" s="290" t="str" cm="1">
        <f t="array" ref="AJ47">IF(AK47="",
"",
SUMPRODUCT(
tb_desp[valor]*
(tb_desp[centro.negocio]=AK$2)*
(tb_desp[nucleo]=AK47)*
(tb_desp[data.pagamento]&gt;='n&amp;cn'!$C$1)*
(tb_desp[data.pagamento]&lt;='n&amp;cn'!$C$2)
))</f>
        <v/>
      </c>
      <c r="AK47" s="267"/>
      <c r="AL47" s="290" t="str" cm="1">
        <f t="array" ref="AL47">IF(AM47="",
"",
SUMPRODUCT(
tb_desp[valor]*
(tb_desp[centro.negocio]=AM$2)*
(tb_desp[nucleo]=AM47)*
(tb_desp[data.pagamento]&gt;='n&amp;cn'!$C$1)*
(tb_desp[data.pagamento]&lt;='n&amp;cn'!$C$2)
))</f>
        <v/>
      </c>
      <c r="AM47" s="267"/>
      <c r="AN47" s="290" t="str" cm="1">
        <f t="array" ref="AN47">IF(AO47="",
"",
SUMPRODUCT(
tb_desp[valor]*
(tb_desp[centro.negocio]=AO$2)*
(tb_desp[nucleo]=AO47)*
(tb_desp[data.pagamento]&gt;='n&amp;cn'!$C$1)*
(tb_desp[data.pagamento]&lt;='n&amp;cn'!$C$2)
))</f>
        <v/>
      </c>
      <c r="AO47" s="267"/>
      <c r="AP47" s="290" t="str" cm="1">
        <f t="array" ref="AP47">IF(AQ47="",
"",
SUMPRODUCT(
tb_desp[valor]*
(tb_desp[centro.negocio]=AQ$2)*
(tb_desp[nucleo]=AQ47)*
(tb_desp[data.pagamento]&gt;='n&amp;cn'!$C$1)*
(tb_desp[data.pagamento]&lt;='n&amp;cn'!$C$2)
))</f>
        <v/>
      </c>
      <c r="AQ47" s="267"/>
      <c r="AR47" s="290" t="str" cm="1">
        <f t="array" ref="AR47">IF(AS47="",
"",
SUMPRODUCT(
tb_desp[valor]*
(tb_desp[centro.negocio]=AS$2)*
(tb_desp[nucleo]=AS47)*
(tb_desp[data.pagamento]&gt;='n&amp;cn'!$C$1)*
(tb_desp[data.pagamento]&lt;='n&amp;cn'!$C$2)
))</f>
        <v/>
      </c>
      <c r="AS47" s="267"/>
      <c r="AT47" s="290" t="str" cm="1">
        <f t="array" ref="AT47">IF(AU47="",
"",
SUMPRODUCT(
tb_desp[valor]*
(tb_desp[centro.negocio]=AU$2)*
(tb_desp[nucleo]=AU47)*
(tb_desp[data.pagamento]&gt;='n&amp;cn'!$C$1)*
(tb_desp[data.pagamento]&lt;='n&amp;cn'!$C$2)
))</f>
        <v/>
      </c>
      <c r="AU47" s="267"/>
      <c r="AV47" s="290" t="str" cm="1">
        <f t="array" ref="AV47">IF(AW47="",
"",
SUMPRODUCT(
tb_desp[valor]*
(tb_desp[centro.negocio]=AW$2)*
(tb_desp[nucleo]=AW47)*
(tb_desp[data.pagamento]&gt;='n&amp;cn'!$C$1)*
(tb_desp[data.pagamento]&lt;='n&amp;cn'!$C$2)
))</f>
        <v/>
      </c>
      <c r="AW47" s="267"/>
      <c r="AX47" s="290" t="str" cm="1">
        <f t="array" ref="AX47">IF(AY47="",
"",
SUMPRODUCT(
tb_desp[valor]*
(tb_desp[centro.negocio]=AY$2)*
(tb_desp[nucleo]=AY47)*
(tb_desp[data.pagamento]&gt;='n&amp;cn'!$C$1)*
(tb_desp[data.pagamento]&lt;='n&amp;cn'!$C$2)
))</f>
        <v/>
      </c>
      <c r="AY47" s="267"/>
      <c r="AZ47" s="290" t="str" cm="1">
        <f t="array" ref="AZ47">IF(BA47="",
"",
SUMPRODUCT(
tb_desp[valor]*
(tb_desp[centro.negocio]=BA$2)*
(tb_desp[nucleo]=BA47)*
(tb_desp[data.pagamento]&gt;='n&amp;cn'!$C$1)*
(tb_desp[data.pagamento]&lt;='n&amp;cn'!$C$2)
))</f>
        <v/>
      </c>
      <c r="BA47" s="267"/>
      <c r="BB47" s="290" t="str" cm="1">
        <f t="array" ref="BB47">IF(BC47="",
"",
SUMPRODUCT(
tb_desp[valor]*
(tb_desp[centro.negocio]=BC$2)*
(tb_desp[nucleo]=BC47)*
(tb_desp[data.pagamento]&gt;='n&amp;cn'!$C$1)*
(tb_desp[data.pagamento]&lt;='n&amp;cn'!$C$2)
))</f>
        <v/>
      </c>
      <c r="BC47" s="267"/>
      <c r="BD47" s="290" t="str" cm="1">
        <f t="array" ref="BD47">IF(BE47="",
"",
SUMPRODUCT(
tb_desp[valor]*
(tb_desp[centro.negocio]=BE$2)*
(tb_desp[nucleo]=BE47)*
(tb_desp[data.pagamento]&gt;='n&amp;cn'!$C$1)*
(tb_desp[data.pagamento]&lt;='n&amp;cn'!$C$2)
))</f>
        <v/>
      </c>
      <c r="BE47" s="267"/>
      <c r="BF47" s="290" t="str" cm="1">
        <f t="array" ref="BF47">IF(BG47="",
"",
SUMPRODUCT(
tb_desp[valor]*
(tb_desp[centro.negocio]=BG$2)*
(tb_desp[nucleo]=BG47)*
(tb_desp[data.pagamento]&gt;='n&amp;cn'!$C$1)*
(tb_desp[data.pagamento]&lt;='n&amp;cn'!$C$2)
))</f>
        <v/>
      </c>
      <c r="BG47" s="267"/>
      <c r="BH47" s="290" t="str" cm="1">
        <f t="array" ref="BH47">IF(BI47="",
"",
SUMPRODUCT(
tb_desp[valor]*
(tb_desp[centro.negocio]=BI$2)*
(tb_desp[nucleo]=BI47)*
(tb_desp[data.pagamento]&gt;='n&amp;cn'!$C$1)*
(tb_desp[data.pagamento]&lt;='n&amp;cn'!$C$2)
))</f>
        <v/>
      </c>
      <c r="BI47" s="267"/>
      <c r="BJ47" s="290" t="str" cm="1">
        <f t="array" ref="BJ47">IF(BK47="",
"",
SUMPRODUCT(
tb_desp[valor]*
(tb_desp[centro.negocio]=BK$2)*
(tb_desp[nucleo]=BK47)*
(tb_desp[data.pagamento]&gt;='n&amp;cn'!$C$1)*
(tb_desp[data.pagamento]&lt;='n&amp;cn'!$C$2)
))</f>
        <v/>
      </c>
      <c r="BK47" s="267"/>
      <c r="BL47" s="290" t="str" cm="1">
        <f t="array" ref="BL47">IF(BM47="",
"",
SUMPRODUCT(
tb_desp[valor]*
(tb_desp[centro.negocio]=BM$2)*
(tb_desp[nucleo]=BM47)*
(tb_desp[data.pagamento]&gt;='n&amp;cn'!$C$1)*
(tb_desp[data.pagamento]&lt;='n&amp;cn'!$C$2)
))</f>
        <v/>
      </c>
      <c r="BM47" s="267"/>
      <c r="BN47" s="290" t="str" cm="1">
        <f t="array" ref="BN47">IF(BO47="",
"",
SUMPRODUCT(
tb_desp[valor]*
(tb_desp[centro.negocio]=BO$2)*
(tb_desp[nucleo]=BO47)*
(tb_desp[data.pagamento]&gt;='n&amp;cn'!$C$1)*
(tb_desp[data.pagamento]&lt;='n&amp;cn'!$C$2)
))</f>
        <v/>
      </c>
      <c r="BO47" s="267"/>
    </row>
    <row r="48" spans="1:67" x14ac:dyDescent="0.25">
      <c r="A48">
        <f t="shared" si="2"/>
        <v>41</v>
      </c>
      <c r="B48" s="161"/>
      <c r="C48" s="163"/>
      <c r="D48" s="164"/>
      <c r="E48" s="167" t="e">
        <f t="shared" si="0"/>
        <v>#DIV/0!</v>
      </c>
      <c r="F48" s="167" t="e">
        <f>SUM($E$8:$E48)</f>
        <v>#DIV/0!</v>
      </c>
      <c r="H48" s="168"/>
      <c r="I48" s="163">
        <f t="shared" si="3"/>
        <v>41</v>
      </c>
      <c r="K48" s="164"/>
      <c r="L48" s="167" t="e">
        <f t="shared" si="4"/>
        <v>#DIV/0!</v>
      </c>
      <c r="M48" s="167" t="e">
        <f>SUM($L$8:$L48)</f>
        <v>#DIV/0!</v>
      </c>
      <c r="R48" s="290" t="str" cm="1">
        <f t="array" ref="R48">IF(S48="",
"",
SUMPRODUCT(
tb_desp[valor]*
(tb_desp[centro.negocio]=S$2)*
(tb_desp[nucleo]=S48)*
(tb_desp[data.pagamento]&gt;='n&amp;cn'!$C$1)*
(tb_desp[data.pagamento]&lt;='n&amp;cn'!$C$2)
))</f>
        <v/>
      </c>
      <c r="S48" s="267"/>
      <c r="T48" s="290" t="str" cm="1">
        <f t="array" ref="T48">IF(U48="",
"",
SUMPRODUCT(
tb_desp[valor]*
(tb_desp[centro.negocio]=U$2)*
(tb_desp[nucleo]=U48)*
(tb_desp[data.pagamento]&gt;='n&amp;cn'!$C$1)*
(tb_desp[data.pagamento]&lt;='n&amp;cn'!$C$2)
))</f>
        <v/>
      </c>
      <c r="U48" s="267"/>
      <c r="V48" s="290" t="str" cm="1">
        <f t="array" ref="V48">IF(W48="",
"",
SUMPRODUCT(
tb_desp[valor]*
(tb_desp[centro.negocio]=W$2)*
(tb_desp[nucleo]=W48)*
(tb_desp[data.pagamento]&gt;='n&amp;cn'!$C$1)*
(tb_desp[data.pagamento]&lt;='n&amp;cn'!$C$2)
))</f>
        <v/>
      </c>
      <c r="W48" s="267"/>
      <c r="X48" s="290" t="str" cm="1">
        <f t="array" ref="X48">IF(Y48="",
"",
SUMPRODUCT(
tb_desp[valor]*
(tb_desp[centro.negocio]=Y$2)*
(tb_desp[nucleo]=Y48)*
(tb_desp[data.pagamento]&gt;='n&amp;cn'!$C$1)*
(tb_desp[data.pagamento]&lt;='n&amp;cn'!$C$2)
))</f>
        <v/>
      </c>
      <c r="Y48" s="267"/>
      <c r="Z48" s="290" t="str" cm="1">
        <f t="array" ref="Z48">IF(AA48="",
"",
SUMPRODUCT(
tb_desp[valor]*
(tb_desp[centro.negocio]=AA$2)*
(tb_desp[nucleo]=AA48)*
(tb_desp[data.pagamento]&gt;='n&amp;cn'!$C$1)*
(tb_desp[data.pagamento]&lt;='n&amp;cn'!$C$2)
))</f>
        <v/>
      </c>
      <c r="AA48" s="267"/>
      <c r="AB48" s="290" t="str" cm="1">
        <f t="array" ref="AB48">IF(AC48="",
"",
SUMPRODUCT(
tb_desp[valor]*
(tb_desp[centro.negocio]=AC$2)*
(tb_desp[nucleo]=AC48)*
(tb_desp[data.pagamento]&gt;='n&amp;cn'!$C$1)*
(tb_desp[data.pagamento]&lt;='n&amp;cn'!$C$2)
))</f>
        <v/>
      </c>
      <c r="AC48" s="267"/>
      <c r="AD48" s="290" t="str" cm="1">
        <f t="array" ref="AD48">IF(AE48="",
"",
SUMPRODUCT(
tb_desp[valor]*
(tb_desp[centro.negocio]=AE$2)*
(tb_desp[nucleo]=AE48)*
(tb_desp[data.pagamento]&gt;='n&amp;cn'!$C$1)*
(tb_desp[data.pagamento]&lt;='n&amp;cn'!$C$2)
))</f>
        <v/>
      </c>
      <c r="AE48" s="267"/>
      <c r="AF48" s="290" t="str" cm="1">
        <f t="array" ref="AF48">IF(AG48="",
"",
SUMPRODUCT(
tb_desp[valor]*
(tb_desp[centro.negocio]=AG$2)*
(tb_desp[nucleo]=AG48)*
(tb_desp[data.pagamento]&gt;='n&amp;cn'!$C$1)*
(tb_desp[data.pagamento]&lt;='n&amp;cn'!$C$2)
))</f>
        <v/>
      </c>
      <c r="AG48" s="267"/>
      <c r="AH48" s="290" t="str" cm="1">
        <f t="array" ref="AH48">IF(AI48="",
"",
SUMPRODUCT(
tb_desp[valor]*
(tb_desp[centro.negocio]=AI$2)*
(tb_desp[nucleo]=AI48)*
(tb_desp[data.pagamento]&gt;='n&amp;cn'!$C$1)*
(tb_desp[data.pagamento]&lt;='n&amp;cn'!$C$2)
))</f>
        <v/>
      </c>
      <c r="AI48" s="267"/>
      <c r="AJ48" s="290" t="str" cm="1">
        <f t="array" ref="AJ48">IF(AK48="",
"",
SUMPRODUCT(
tb_desp[valor]*
(tb_desp[centro.negocio]=AK$2)*
(tb_desp[nucleo]=AK48)*
(tb_desp[data.pagamento]&gt;='n&amp;cn'!$C$1)*
(tb_desp[data.pagamento]&lt;='n&amp;cn'!$C$2)
))</f>
        <v/>
      </c>
      <c r="AK48" s="267"/>
      <c r="AL48" s="290" t="str" cm="1">
        <f t="array" ref="AL48">IF(AM48="",
"",
SUMPRODUCT(
tb_desp[valor]*
(tb_desp[centro.negocio]=AM$2)*
(tb_desp[nucleo]=AM48)*
(tb_desp[data.pagamento]&gt;='n&amp;cn'!$C$1)*
(tb_desp[data.pagamento]&lt;='n&amp;cn'!$C$2)
))</f>
        <v/>
      </c>
      <c r="AM48" s="267"/>
      <c r="AN48" s="290" t="str" cm="1">
        <f t="array" ref="AN48">IF(AO48="",
"",
SUMPRODUCT(
tb_desp[valor]*
(tb_desp[centro.negocio]=AO$2)*
(tb_desp[nucleo]=AO48)*
(tb_desp[data.pagamento]&gt;='n&amp;cn'!$C$1)*
(tb_desp[data.pagamento]&lt;='n&amp;cn'!$C$2)
))</f>
        <v/>
      </c>
      <c r="AO48" s="267"/>
      <c r="AP48" s="290" t="str" cm="1">
        <f t="array" ref="AP48">IF(AQ48="",
"",
SUMPRODUCT(
tb_desp[valor]*
(tb_desp[centro.negocio]=AQ$2)*
(tb_desp[nucleo]=AQ48)*
(tb_desp[data.pagamento]&gt;='n&amp;cn'!$C$1)*
(tb_desp[data.pagamento]&lt;='n&amp;cn'!$C$2)
))</f>
        <v/>
      </c>
      <c r="AQ48" s="267"/>
      <c r="AR48" s="290" t="str" cm="1">
        <f t="array" ref="AR48">IF(AS48="",
"",
SUMPRODUCT(
tb_desp[valor]*
(tb_desp[centro.negocio]=AS$2)*
(tb_desp[nucleo]=AS48)*
(tb_desp[data.pagamento]&gt;='n&amp;cn'!$C$1)*
(tb_desp[data.pagamento]&lt;='n&amp;cn'!$C$2)
))</f>
        <v/>
      </c>
      <c r="AS48" s="267"/>
      <c r="AT48" s="290" t="str" cm="1">
        <f t="array" ref="AT48">IF(AU48="",
"",
SUMPRODUCT(
tb_desp[valor]*
(tb_desp[centro.negocio]=AU$2)*
(tb_desp[nucleo]=AU48)*
(tb_desp[data.pagamento]&gt;='n&amp;cn'!$C$1)*
(tb_desp[data.pagamento]&lt;='n&amp;cn'!$C$2)
))</f>
        <v/>
      </c>
      <c r="AU48" s="267"/>
      <c r="AV48" s="290" t="str" cm="1">
        <f t="array" ref="AV48">IF(AW48="",
"",
SUMPRODUCT(
tb_desp[valor]*
(tb_desp[centro.negocio]=AW$2)*
(tb_desp[nucleo]=AW48)*
(tb_desp[data.pagamento]&gt;='n&amp;cn'!$C$1)*
(tb_desp[data.pagamento]&lt;='n&amp;cn'!$C$2)
))</f>
        <v/>
      </c>
      <c r="AW48" s="267"/>
      <c r="AX48" s="290" t="str" cm="1">
        <f t="array" ref="AX48">IF(AY48="",
"",
SUMPRODUCT(
tb_desp[valor]*
(tb_desp[centro.negocio]=AY$2)*
(tb_desp[nucleo]=AY48)*
(tb_desp[data.pagamento]&gt;='n&amp;cn'!$C$1)*
(tb_desp[data.pagamento]&lt;='n&amp;cn'!$C$2)
))</f>
        <v/>
      </c>
      <c r="AY48" s="267"/>
      <c r="AZ48" s="290" t="str" cm="1">
        <f t="array" ref="AZ48">IF(BA48="",
"",
SUMPRODUCT(
tb_desp[valor]*
(tb_desp[centro.negocio]=BA$2)*
(tb_desp[nucleo]=BA48)*
(tb_desp[data.pagamento]&gt;='n&amp;cn'!$C$1)*
(tb_desp[data.pagamento]&lt;='n&amp;cn'!$C$2)
))</f>
        <v/>
      </c>
      <c r="BA48" s="267"/>
      <c r="BB48" s="290" t="str" cm="1">
        <f t="array" ref="BB48">IF(BC48="",
"",
SUMPRODUCT(
tb_desp[valor]*
(tb_desp[centro.negocio]=BC$2)*
(tb_desp[nucleo]=BC48)*
(tb_desp[data.pagamento]&gt;='n&amp;cn'!$C$1)*
(tb_desp[data.pagamento]&lt;='n&amp;cn'!$C$2)
))</f>
        <v/>
      </c>
      <c r="BC48" s="267"/>
      <c r="BD48" s="290" t="str" cm="1">
        <f t="array" ref="BD48">IF(BE48="",
"",
SUMPRODUCT(
tb_desp[valor]*
(tb_desp[centro.negocio]=BE$2)*
(tb_desp[nucleo]=BE48)*
(tb_desp[data.pagamento]&gt;='n&amp;cn'!$C$1)*
(tb_desp[data.pagamento]&lt;='n&amp;cn'!$C$2)
))</f>
        <v/>
      </c>
      <c r="BE48" s="267"/>
      <c r="BF48" s="290" t="str" cm="1">
        <f t="array" ref="BF48">IF(BG48="",
"",
SUMPRODUCT(
tb_desp[valor]*
(tb_desp[centro.negocio]=BG$2)*
(tb_desp[nucleo]=BG48)*
(tb_desp[data.pagamento]&gt;='n&amp;cn'!$C$1)*
(tb_desp[data.pagamento]&lt;='n&amp;cn'!$C$2)
))</f>
        <v/>
      </c>
      <c r="BG48" s="267"/>
      <c r="BH48" s="290" t="str" cm="1">
        <f t="array" ref="BH48">IF(BI48="",
"",
SUMPRODUCT(
tb_desp[valor]*
(tb_desp[centro.negocio]=BI$2)*
(tb_desp[nucleo]=BI48)*
(tb_desp[data.pagamento]&gt;='n&amp;cn'!$C$1)*
(tb_desp[data.pagamento]&lt;='n&amp;cn'!$C$2)
))</f>
        <v/>
      </c>
      <c r="BI48" s="267"/>
      <c r="BJ48" s="290" t="str" cm="1">
        <f t="array" ref="BJ48">IF(BK48="",
"",
SUMPRODUCT(
tb_desp[valor]*
(tb_desp[centro.negocio]=BK$2)*
(tb_desp[nucleo]=BK48)*
(tb_desp[data.pagamento]&gt;='n&amp;cn'!$C$1)*
(tb_desp[data.pagamento]&lt;='n&amp;cn'!$C$2)
))</f>
        <v/>
      </c>
      <c r="BK48" s="267"/>
      <c r="BL48" s="290" t="str" cm="1">
        <f t="array" ref="BL48">IF(BM48="",
"",
SUMPRODUCT(
tb_desp[valor]*
(tb_desp[centro.negocio]=BM$2)*
(tb_desp[nucleo]=BM48)*
(tb_desp[data.pagamento]&gt;='n&amp;cn'!$C$1)*
(tb_desp[data.pagamento]&lt;='n&amp;cn'!$C$2)
))</f>
        <v/>
      </c>
      <c r="BM48" s="267"/>
      <c r="BN48" s="290" t="str" cm="1">
        <f t="array" ref="BN48">IF(BO48="",
"",
SUMPRODUCT(
tb_desp[valor]*
(tb_desp[centro.negocio]=BO$2)*
(tb_desp[nucleo]=BO48)*
(tb_desp[data.pagamento]&gt;='n&amp;cn'!$C$1)*
(tb_desp[data.pagamento]&lt;='n&amp;cn'!$C$2)
))</f>
        <v/>
      </c>
      <c r="BO48" s="267"/>
    </row>
    <row r="49" spans="1:67" x14ac:dyDescent="0.25">
      <c r="A49">
        <f t="shared" si="2"/>
        <v>42</v>
      </c>
      <c r="B49" s="161"/>
      <c r="C49" s="163"/>
      <c r="D49" s="164"/>
      <c r="E49" s="167" t="e">
        <f t="shared" si="0"/>
        <v>#DIV/0!</v>
      </c>
      <c r="F49" s="167" t="e">
        <f>SUM($E$8:$E49)</f>
        <v>#DIV/0!</v>
      </c>
      <c r="H49" s="168"/>
      <c r="I49" s="163">
        <f t="shared" si="3"/>
        <v>42</v>
      </c>
      <c r="K49" s="164"/>
      <c r="L49" s="167" t="e">
        <f t="shared" si="4"/>
        <v>#DIV/0!</v>
      </c>
      <c r="M49" s="167" t="e">
        <f>SUM($L$8:$L49)</f>
        <v>#DIV/0!</v>
      </c>
      <c r="R49" s="290" t="str" cm="1">
        <f t="array" ref="R49">IF(S49="",
"",
SUMPRODUCT(
tb_desp[valor]*
(tb_desp[centro.negocio]=S$2)*
(tb_desp[nucleo]=S49)*
(tb_desp[data.pagamento]&gt;='n&amp;cn'!$C$1)*
(tb_desp[data.pagamento]&lt;='n&amp;cn'!$C$2)
))</f>
        <v/>
      </c>
      <c r="S49" s="267"/>
      <c r="T49" s="290" t="str" cm="1">
        <f t="array" ref="T49">IF(U49="",
"",
SUMPRODUCT(
tb_desp[valor]*
(tb_desp[centro.negocio]=U$2)*
(tb_desp[nucleo]=U49)*
(tb_desp[data.pagamento]&gt;='n&amp;cn'!$C$1)*
(tb_desp[data.pagamento]&lt;='n&amp;cn'!$C$2)
))</f>
        <v/>
      </c>
      <c r="U49" s="267"/>
      <c r="V49" s="290" t="str" cm="1">
        <f t="array" ref="V49">IF(W49="",
"",
SUMPRODUCT(
tb_desp[valor]*
(tb_desp[centro.negocio]=W$2)*
(tb_desp[nucleo]=W49)*
(tb_desp[data.pagamento]&gt;='n&amp;cn'!$C$1)*
(tb_desp[data.pagamento]&lt;='n&amp;cn'!$C$2)
))</f>
        <v/>
      </c>
      <c r="W49" s="267"/>
      <c r="X49" s="290" t="str" cm="1">
        <f t="array" ref="X49">IF(Y49="",
"",
SUMPRODUCT(
tb_desp[valor]*
(tb_desp[centro.negocio]=Y$2)*
(tb_desp[nucleo]=Y49)*
(tb_desp[data.pagamento]&gt;='n&amp;cn'!$C$1)*
(tb_desp[data.pagamento]&lt;='n&amp;cn'!$C$2)
))</f>
        <v/>
      </c>
      <c r="Y49" s="267"/>
      <c r="Z49" s="290" t="str" cm="1">
        <f t="array" ref="Z49">IF(AA49="",
"",
SUMPRODUCT(
tb_desp[valor]*
(tb_desp[centro.negocio]=AA$2)*
(tb_desp[nucleo]=AA49)*
(tb_desp[data.pagamento]&gt;='n&amp;cn'!$C$1)*
(tb_desp[data.pagamento]&lt;='n&amp;cn'!$C$2)
))</f>
        <v/>
      </c>
      <c r="AA49" s="267"/>
      <c r="AB49" s="290" t="str" cm="1">
        <f t="array" ref="AB49">IF(AC49="",
"",
SUMPRODUCT(
tb_desp[valor]*
(tb_desp[centro.negocio]=AC$2)*
(tb_desp[nucleo]=AC49)*
(tb_desp[data.pagamento]&gt;='n&amp;cn'!$C$1)*
(tb_desp[data.pagamento]&lt;='n&amp;cn'!$C$2)
))</f>
        <v/>
      </c>
      <c r="AC49" s="267"/>
      <c r="AD49" s="290" t="str" cm="1">
        <f t="array" ref="AD49">IF(AE49="",
"",
SUMPRODUCT(
tb_desp[valor]*
(tb_desp[centro.negocio]=AE$2)*
(tb_desp[nucleo]=AE49)*
(tb_desp[data.pagamento]&gt;='n&amp;cn'!$C$1)*
(tb_desp[data.pagamento]&lt;='n&amp;cn'!$C$2)
))</f>
        <v/>
      </c>
      <c r="AE49" s="267"/>
      <c r="AF49" s="290" t="str" cm="1">
        <f t="array" ref="AF49">IF(AG49="",
"",
SUMPRODUCT(
tb_desp[valor]*
(tb_desp[centro.negocio]=AG$2)*
(tb_desp[nucleo]=AG49)*
(tb_desp[data.pagamento]&gt;='n&amp;cn'!$C$1)*
(tb_desp[data.pagamento]&lt;='n&amp;cn'!$C$2)
))</f>
        <v/>
      </c>
      <c r="AG49" s="267"/>
      <c r="AH49" s="290" t="str" cm="1">
        <f t="array" ref="AH49">IF(AI49="",
"",
SUMPRODUCT(
tb_desp[valor]*
(tb_desp[centro.negocio]=AI$2)*
(tb_desp[nucleo]=AI49)*
(tb_desp[data.pagamento]&gt;='n&amp;cn'!$C$1)*
(tb_desp[data.pagamento]&lt;='n&amp;cn'!$C$2)
))</f>
        <v/>
      </c>
      <c r="AI49" s="267"/>
      <c r="AJ49" s="290" t="str" cm="1">
        <f t="array" ref="AJ49">IF(AK49="",
"",
SUMPRODUCT(
tb_desp[valor]*
(tb_desp[centro.negocio]=AK$2)*
(tb_desp[nucleo]=AK49)*
(tb_desp[data.pagamento]&gt;='n&amp;cn'!$C$1)*
(tb_desp[data.pagamento]&lt;='n&amp;cn'!$C$2)
))</f>
        <v/>
      </c>
      <c r="AK49" s="267"/>
      <c r="AL49" s="290" t="str" cm="1">
        <f t="array" ref="AL49">IF(AM49="",
"",
SUMPRODUCT(
tb_desp[valor]*
(tb_desp[centro.negocio]=AM$2)*
(tb_desp[nucleo]=AM49)*
(tb_desp[data.pagamento]&gt;='n&amp;cn'!$C$1)*
(tb_desp[data.pagamento]&lt;='n&amp;cn'!$C$2)
))</f>
        <v/>
      </c>
      <c r="AM49" s="267"/>
      <c r="AN49" s="290" t="str" cm="1">
        <f t="array" ref="AN49">IF(AO49="",
"",
SUMPRODUCT(
tb_desp[valor]*
(tb_desp[centro.negocio]=AO$2)*
(tb_desp[nucleo]=AO49)*
(tb_desp[data.pagamento]&gt;='n&amp;cn'!$C$1)*
(tb_desp[data.pagamento]&lt;='n&amp;cn'!$C$2)
))</f>
        <v/>
      </c>
      <c r="AO49" s="267"/>
      <c r="AP49" s="290" t="str" cm="1">
        <f t="array" ref="AP49">IF(AQ49="",
"",
SUMPRODUCT(
tb_desp[valor]*
(tb_desp[centro.negocio]=AQ$2)*
(tb_desp[nucleo]=AQ49)*
(tb_desp[data.pagamento]&gt;='n&amp;cn'!$C$1)*
(tb_desp[data.pagamento]&lt;='n&amp;cn'!$C$2)
))</f>
        <v/>
      </c>
      <c r="AQ49" s="267"/>
      <c r="AR49" s="290" t="str" cm="1">
        <f t="array" ref="AR49">IF(AS49="",
"",
SUMPRODUCT(
tb_desp[valor]*
(tb_desp[centro.negocio]=AS$2)*
(tb_desp[nucleo]=AS49)*
(tb_desp[data.pagamento]&gt;='n&amp;cn'!$C$1)*
(tb_desp[data.pagamento]&lt;='n&amp;cn'!$C$2)
))</f>
        <v/>
      </c>
      <c r="AS49" s="267"/>
      <c r="AT49" s="290" t="str" cm="1">
        <f t="array" ref="AT49">IF(AU49="",
"",
SUMPRODUCT(
tb_desp[valor]*
(tb_desp[centro.negocio]=AU$2)*
(tb_desp[nucleo]=AU49)*
(tb_desp[data.pagamento]&gt;='n&amp;cn'!$C$1)*
(tb_desp[data.pagamento]&lt;='n&amp;cn'!$C$2)
))</f>
        <v/>
      </c>
      <c r="AU49" s="267"/>
      <c r="AV49" s="290" t="str" cm="1">
        <f t="array" ref="AV49">IF(AW49="",
"",
SUMPRODUCT(
tb_desp[valor]*
(tb_desp[centro.negocio]=AW$2)*
(tb_desp[nucleo]=AW49)*
(tb_desp[data.pagamento]&gt;='n&amp;cn'!$C$1)*
(tb_desp[data.pagamento]&lt;='n&amp;cn'!$C$2)
))</f>
        <v/>
      </c>
      <c r="AW49" s="267"/>
      <c r="AX49" s="290" t="str" cm="1">
        <f t="array" ref="AX49">IF(AY49="",
"",
SUMPRODUCT(
tb_desp[valor]*
(tb_desp[centro.negocio]=AY$2)*
(tb_desp[nucleo]=AY49)*
(tb_desp[data.pagamento]&gt;='n&amp;cn'!$C$1)*
(tb_desp[data.pagamento]&lt;='n&amp;cn'!$C$2)
))</f>
        <v/>
      </c>
      <c r="AY49" s="267"/>
      <c r="AZ49" s="290" t="str" cm="1">
        <f t="array" ref="AZ49">IF(BA49="",
"",
SUMPRODUCT(
tb_desp[valor]*
(tb_desp[centro.negocio]=BA$2)*
(tb_desp[nucleo]=BA49)*
(tb_desp[data.pagamento]&gt;='n&amp;cn'!$C$1)*
(tb_desp[data.pagamento]&lt;='n&amp;cn'!$C$2)
))</f>
        <v/>
      </c>
      <c r="BA49" s="267"/>
      <c r="BB49" s="290" t="str" cm="1">
        <f t="array" ref="BB49">IF(BC49="",
"",
SUMPRODUCT(
tb_desp[valor]*
(tb_desp[centro.negocio]=BC$2)*
(tb_desp[nucleo]=BC49)*
(tb_desp[data.pagamento]&gt;='n&amp;cn'!$C$1)*
(tb_desp[data.pagamento]&lt;='n&amp;cn'!$C$2)
))</f>
        <v/>
      </c>
      <c r="BC49" s="267"/>
      <c r="BD49" s="290" t="str" cm="1">
        <f t="array" ref="BD49">IF(BE49="",
"",
SUMPRODUCT(
tb_desp[valor]*
(tb_desp[centro.negocio]=BE$2)*
(tb_desp[nucleo]=BE49)*
(tb_desp[data.pagamento]&gt;='n&amp;cn'!$C$1)*
(tb_desp[data.pagamento]&lt;='n&amp;cn'!$C$2)
))</f>
        <v/>
      </c>
      <c r="BE49" s="267"/>
      <c r="BF49" s="290" t="str" cm="1">
        <f t="array" ref="BF49">IF(BG49="",
"",
SUMPRODUCT(
tb_desp[valor]*
(tb_desp[centro.negocio]=BG$2)*
(tb_desp[nucleo]=BG49)*
(tb_desp[data.pagamento]&gt;='n&amp;cn'!$C$1)*
(tb_desp[data.pagamento]&lt;='n&amp;cn'!$C$2)
))</f>
        <v/>
      </c>
      <c r="BG49" s="267"/>
      <c r="BH49" s="290" t="str" cm="1">
        <f t="array" ref="BH49">IF(BI49="",
"",
SUMPRODUCT(
tb_desp[valor]*
(tb_desp[centro.negocio]=BI$2)*
(tb_desp[nucleo]=BI49)*
(tb_desp[data.pagamento]&gt;='n&amp;cn'!$C$1)*
(tb_desp[data.pagamento]&lt;='n&amp;cn'!$C$2)
))</f>
        <v/>
      </c>
      <c r="BI49" s="267"/>
      <c r="BJ49" s="290" t="str" cm="1">
        <f t="array" ref="BJ49">IF(BK49="",
"",
SUMPRODUCT(
tb_desp[valor]*
(tb_desp[centro.negocio]=BK$2)*
(tb_desp[nucleo]=BK49)*
(tb_desp[data.pagamento]&gt;='n&amp;cn'!$C$1)*
(tb_desp[data.pagamento]&lt;='n&amp;cn'!$C$2)
))</f>
        <v/>
      </c>
      <c r="BK49" s="267"/>
      <c r="BL49" s="290" t="str" cm="1">
        <f t="array" ref="BL49">IF(BM49="",
"",
SUMPRODUCT(
tb_desp[valor]*
(tb_desp[centro.negocio]=BM$2)*
(tb_desp[nucleo]=BM49)*
(tb_desp[data.pagamento]&gt;='n&amp;cn'!$C$1)*
(tb_desp[data.pagamento]&lt;='n&amp;cn'!$C$2)
))</f>
        <v/>
      </c>
      <c r="BM49" s="267"/>
      <c r="BN49" s="290" t="str" cm="1">
        <f t="array" ref="BN49">IF(BO49="",
"",
SUMPRODUCT(
tb_desp[valor]*
(tb_desp[centro.negocio]=BO$2)*
(tb_desp[nucleo]=BO49)*
(tb_desp[data.pagamento]&gt;='n&amp;cn'!$C$1)*
(tb_desp[data.pagamento]&lt;='n&amp;cn'!$C$2)
))</f>
        <v/>
      </c>
      <c r="BO49" s="267"/>
    </row>
    <row r="50" spans="1:67" x14ac:dyDescent="0.25">
      <c r="A50">
        <f t="shared" si="2"/>
        <v>43</v>
      </c>
      <c r="B50" s="162"/>
      <c r="C50" s="165"/>
      <c r="D50" s="166"/>
      <c r="E50" s="167" t="e">
        <f t="shared" si="0"/>
        <v>#DIV/0!</v>
      </c>
      <c r="F50" s="167" t="e">
        <f>SUM($E$8:$E50)</f>
        <v>#DIV/0!</v>
      </c>
      <c r="H50" s="168"/>
      <c r="I50" s="163">
        <f t="shared" si="3"/>
        <v>43</v>
      </c>
      <c r="K50" s="164"/>
      <c r="L50" s="167" t="e">
        <f t="shared" si="4"/>
        <v>#DIV/0!</v>
      </c>
      <c r="M50" s="167" t="e">
        <f>SUM($L$8:$L50)</f>
        <v>#DIV/0!</v>
      </c>
      <c r="R50" s="290" t="str" cm="1">
        <f t="array" ref="R50">IF(S50="",
"",
SUMPRODUCT(
tb_desp[valor]*
(tb_desp[centro.negocio]=S$2)*
(tb_desp[nucleo]=S50)*
(tb_desp[data.pagamento]&gt;='n&amp;cn'!$C$1)*
(tb_desp[data.pagamento]&lt;='n&amp;cn'!$C$2)
))</f>
        <v/>
      </c>
      <c r="S50" s="267"/>
      <c r="T50" s="290" t="str" cm="1">
        <f t="array" ref="T50">IF(U50="",
"",
SUMPRODUCT(
tb_desp[valor]*
(tb_desp[centro.negocio]=U$2)*
(tb_desp[nucleo]=U50)*
(tb_desp[data.pagamento]&gt;='n&amp;cn'!$C$1)*
(tb_desp[data.pagamento]&lt;='n&amp;cn'!$C$2)
))</f>
        <v/>
      </c>
      <c r="U50" s="267"/>
      <c r="V50" s="290" t="str" cm="1">
        <f t="array" ref="V50">IF(W50="",
"",
SUMPRODUCT(
tb_desp[valor]*
(tb_desp[centro.negocio]=W$2)*
(tb_desp[nucleo]=W50)*
(tb_desp[data.pagamento]&gt;='n&amp;cn'!$C$1)*
(tb_desp[data.pagamento]&lt;='n&amp;cn'!$C$2)
))</f>
        <v/>
      </c>
      <c r="W50" s="267"/>
      <c r="X50" s="290" t="str" cm="1">
        <f t="array" ref="X50">IF(Y50="",
"",
SUMPRODUCT(
tb_desp[valor]*
(tb_desp[centro.negocio]=Y$2)*
(tb_desp[nucleo]=Y50)*
(tb_desp[data.pagamento]&gt;='n&amp;cn'!$C$1)*
(tb_desp[data.pagamento]&lt;='n&amp;cn'!$C$2)
))</f>
        <v/>
      </c>
      <c r="Y50" s="267"/>
      <c r="Z50" s="290" t="str" cm="1">
        <f t="array" ref="Z50">IF(AA50="",
"",
SUMPRODUCT(
tb_desp[valor]*
(tb_desp[centro.negocio]=AA$2)*
(tb_desp[nucleo]=AA50)*
(tb_desp[data.pagamento]&gt;='n&amp;cn'!$C$1)*
(tb_desp[data.pagamento]&lt;='n&amp;cn'!$C$2)
))</f>
        <v/>
      </c>
      <c r="AA50" s="267"/>
      <c r="AB50" s="290" t="str" cm="1">
        <f t="array" ref="AB50">IF(AC50="",
"",
SUMPRODUCT(
tb_desp[valor]*
(tb_desp[centro.negocio]=AC$2)*
(tb_desp[nucleo]=AC50)*
(tb_desp[data.pagamento]&gt;='n&amp;cn'!$C$1)*
(tb_desp[data.pagamento]&lt;='n&amp;cn'!$C$2)
))</f>
        <v/>
      </c>
      <c r="AC50" s="267"/>
      <c r="AD50" s="290" t="str" cm="1">
        <f t="array" ref="AD50">IF(AE50="",
"",
SUMPRODUCT(
tb_desp[valor]*
(tb_desp[centro.negocio]=AE$2)*
(tb_desp[nucleo]=AE50)*
(tb_desp[data.pagamento]&gt;='n&amp;cn'!$C$1)*
(tb_desp[data.pagamento]&lt;='n&amp;cn'!$C$2)
))</f>
        <v/>
      </c>
      <c r="AE50" s="267"/>
      <c r="AF50" s="290" t="str" cm="1">
        <f t="array" ref="AF50">IF(AG50="",
"",
SUMPRODUCT(
tb_desp[valor]*
(tb_desp[centro.negocio]=AG$2)*
(tb_desp[nucleo]=AG50)*
(tb_desp[data.pagamento]&gt;='n&amp;cn'!$C$1)*
(tb_desp[data.pagamento]&lt;='n&amp;cn'!$C$2)
))</f>
        <v/>
      </c>
      <c r="AG50" s="267"/>
      <c r="AH50" s="290" t="str" cm="1">
        <f t="array" ref="AH50">IF(AI50="",
"",
SUMPRODUCT(
tb_desp[valor]*
(tb_desp[centro.negocio]=AI$2)*
(tb_desp[nucleo]=AI50)*
(tb_desp[data.pagamento]&gt;='n&amp;cn'!$C$1)*
(tb_desp[data.pagamento]&lt;='n&amp;cn'!$C$2)
))</f>
        <v/>
      </c>
      <c r="AI50" s="267"/>
      <c r="AJ50" s="290" t="str" cm="1">
        <f t="array" ref="AJ50">IF(AK50="",
"",
SUMPRODUCT(
tb_desp[valor]*
(tb_desp[centro.negocio]=AK$2)*
(tb_desp[nucleo]=AK50)*
(tb_desp[data.pagamento]&gt;='n&amp;cn'!$C$1)*
(tb_desp[data.pagamento]&lt;='n&amp;cn'!$C$2)
))</f>
        <v/>
      </c>
      <c r="AK50" s="267"/>
      <c r="AL50" s="290" t="str" cm="1">
        <f t="array" ref="AL50">IF(AM50="",
"",
SUMPRODUCT(
tb_desp[valor]*
(tb_desp[centro.negocio]=AM$2)*
(tb_desp[nucleo]=AM50)*
(tb_desp[data.pagamento]&gt;='n&amp;cn'!$C$1)*
(tb_desp[data.pagamento]&lt;='n&amp;cn'!$C$2)
))</f>
        <v/>
      </c>
      <c r="AM50" s="267"/>
      <c r="AN50" s="290" t="str" cm="1">
        <f t="array" ref="AN50">IF(AO50="",
"",
SUMPRODUCT(
tb_desp[valor]*
(tb_desp[centro.negocio]=AO$2)*
(tb_desp[nucleo]=AO50)*
(tb_desp[data.pagamento]&gt;='n&amp;cn'!$C$1)*
(tb_desp[data.pagamento]&lt;='n&amp;cn'!$C$2)
))</f>
        <v/>
      </c>
      <c r="AO50" s="267"/>
      <c r="AP50" s="290" t="str" cm="1">
        <f t="array" ref="AP50">IF(AQ50="",
"",
SUMPRODUCT(
tb_desp[valor]*
(tb_desp[centro.negocio]=AQ$2)*
(tb_desp[nucleo]=AQ50)*
(tb_desp[data.pagamento]&gt;='n&amp;cn'!$C$1)*
(tb_desp[data.pagamento]&lt;='n&amp;cn'!$C$2)
))</f>
        <v/>
      </c>
      <c r="AQ50" s="267"/>
      <c r="AR50" s="290" t="str" cm="1">
        <f t="array" ref="AR50">IF(AS50="",
"",
SUMPRODUCT(
tb_desp[valor]*
(tb_desp[centro.negocio]=AS$2)*
(tb_desp[nucleo]=AS50)*
(tb_desp[data.pagamento]&gt;='n&amp;cn'!$C$1)*
(tb_desp[data.pagamento]&lt;='n&amp;cn'!$C$2)
))</f>
        <v/>
      </c>
      <c r="AS50" s="267"/>
      <c r="AT50" s="290" t="str" cm="1">
        <f t="array" ref="AT50">IF(AU50="",
"",
SUMPRODUCT(
tb_desp[valor]*
(tb_desp[centro.negocio]=AU$2)*
(tb_desp[nucleo]=AU50)*
(tb_desp[data.pagamento]&gt;='n&amp;cn'!$C$1)*
(tb_desp[data.pagamento]&lt;='n&amp;cn'!$C$2)
))</f>
        <v/>
      </c>
      <c r="AU50" s="267"/>
      <c r="AV50" s="290" t="str" cm="1">
        <f t="array" ref="AV50">IF(AW50="",
"",
SUMPRODUCT(
tb_desp[valor]*
(tb_desp[centro.negocio]=AW$2)*
(tb_desp[nucleo]=AW50)*
(tb_desp[data.pagamento]&gt;='n&amp;cn'!$C$1)*
(tb_desp[data.pagamento]&lt;='n&amp;cn'!$C$2)
))</f>
        <v/>
      </c>
      <c r="AW50" s="267"/>
      <c r="AX50" s="290" t="str" cm="1">
        <f t="array" ref="AX50">IF(AY50="",
"",
SUMPRODUCT(
tb_desp[valor]*
(tb_desp[centro.negocio]=AY$2)*
(tb_desp[nucleo]=AY50)*
(tb_desp[data.pagamento]&gt;='n&amp;cn'!$C$1)*
(tb_desp[data.pagamento]&lt;='n&amp;cn'!$C$2)
))</f>
        <v/>
      </c>
      <c r="AY50" s="267"/>
      <c r="AZ50" s="290" t="str" cm="1">
        <f t="array" ref="AZ50">IF(BA50="",
"",
SUMPRODUCT(
tb_desp[valor]*
(tb_desp[centro.negocio]=BA$2)*
(tb_desp[nucleo]=BA50)*
(tb_desp[data.pagamento]&gt;='n&amp;cn'!$C$1)*
(tb_desp[data.pagamento]&lt;='n&amp;cn'!$C$2)
))</f>
        <v/>
      </c>
      <c r="BA50" s="267"/>
      <c r="BB50" s="290" t="str" cm="1">
        <f t="array" ref="BB50">IF(BC50="",
"",
SUMPRODUCT(
tb_desp[valor]*
(tb_desp[centro.negocio]=BC$2)*
(tb_desp[nucleo]=BC50)*
(tb_desp[data.pagamento]&gt;='n&amp;cn'!$C$1)*
(tb_desp[data.pagamento]&lt;='n&amp;cn'!$C$2)
))</f>
        <v/>
      </c>
      <c r="BC50" s="267"/>
      <c r="BD50" s="290" t="str" cm="1">
        <f t="array" ref="BD50">IF(BE50="",
"",
SUMPRODUCT(
tb_desp[valor]*
(tb_desp[centro.negocio]=BE$2)*
(tb_desp[nucleo]=BE50)*
(tb_desp[data.pagamento]&gt;='n&amp;cn'!$C$1)*
(tb_desp[data.pagamento]&lt;='n&amp;cn'!$C$2)
))</f>
        <v/>
      </c>
      <c r="BE50" s="267"/>
      <c r="BF50" s="290" t="str" cm="1">
        <f t="array" ref="BF50">IF(BG50="",
"",
SUMPRODUCT(
tb_desp[valor]*
(tb_desp[centro.negocio]=BG$2)*
(tb_desp[nucleo]=BG50)*
(tb_desp[data.pagamento]&gt;='n&amp;cn'!$C$1)*
(tb_desp[data.pagamento]&lt;='n&amp;cn'!$C$2)
))</f>
        <v/>
      </c>
      <c r="BG50" s="267"/>
      <c r="BH50" s="290" t="str" cm="1">
        <f t="array" ref="BH50">IF(BI50="",
"",
SUMPRODUCT(
tb_desp[valor]*
(tb_desp[centro.negocio]=BI$2)*
(tb_desp[nucleo]=BI50)*
(tb_desp[data.pagamento]&gt;='n&amp;cn'!$C$1)*
(tb_desp[data.pagamento]&lt;='n&amp;cn'!$C$2)
))</f>
        <v/>
      </c>
      <c r="BI50" s="267"/>
      <c r="BJ50" s="290" t="str" cm="1">
        <f t="array" ref="BJ50">IF(BK50="",
"",
SUMPRODUCT(
tb_desp[valor]*
(tb_desp[centro.negocio]=BK$2)*
(tb_desp[nucleo]=BK50)*
(tb_desp[data.pagamento]&gt;='n&amp;cn'!$C$1)*
(tb_desp[data.pagamento]&lt;='n&amp;cn'!$C$2)
))</f>
        <v/>
      </c>
      <c r="BK50" s="267"/>
      <c r="BL50" s="290" t="str" cm="1">
        <f t="array" ref="BL50">IF(BM50="",
"",
SUMPRODUCT(
tb_desp[valor]*
(tb_desp[centro.negocio]=BM$2)*
(tb_desp[nucleo]=BM50)*
(tb_desp[data.pagamento]&gt;='n&amp;cn'!$C$1)*
(tb_desp[data.pagamento]&lt;='n&amp;cn'!$C$2)
))</f>
        <v/>
      </c>
      <c r="BM50" s="267"/>
      <c r="BN50" s="290" t="str" cm="1">
        <f t="array" ref="BN50">IF(BO50="",
"",
SUMPRODUCT(
tb_desp[valor]*
(tb_desp[centro.negocio]=BO$2)*
(tb_desp[nucleo]=BO50)*
(tb_desp[data.pagamento]&gt;='n&amp;cn'!$C$1)*
(tb_desp[data.pagamento]&lt;='n&amp;cn'!$C$2)
))</f>
        <v/>
      </c>
      <c r="BO50" s="267"/>
    </row>
    <row r="51" spans="1:67" x14ac:dyDescent="0.25">
      <c r="H51" s="168"/>
      <c r="I51" s="163">
        <f t="shared" si="3"/>
        <v>44</v>
      </c>
      <c r="K51" s="164"/>
      <c r="L51" s="167" t="e">
        <f t="shared" si="4"/>
        <v>#DIV/0!</v>
      </c>
      <c r="M51" s="167" t="e">
        <f>SUM($L$8:$L51)</f>
        <v>#DIV/0!</v>
      </c>
      <c r="R51" s="290" t="str" cm="1">
        <f t="array" ref="R51">IF(S51="",
"",
SUMPRODUCT(
tb_desp[valor]*
(tb_desp[centro.negocio]=S$2)*
(tb_desp[nucleo]=S51)*
(tb_desp[data.pagamento]&gt;='n&amp;cn'!$C$1)*
(tb_desp[data.pagamento]&lt;='n&amp;cn'!$C$2)
))</f>
        <v/>
      </c>
      <c r="S51" s="267"/>
      <c r="T51" s="290" t="str" cm="1">
        <f t="array" ref="T51">IF(U51="",
"",
SUMPRODUCT(
tb_desp[valor]*
(tb_desp[centro.negocio]=U$2)*
(tb_desp[nucleo]=U51)*
(tb_desp[data.pagamento]&gt;='n&amp;cn'!$C$1)*
(tb_desp[data.pagamento]&lt;='n&amp;cn'!$C$2)
))</f>
        <v/>
      </c>
      <c r="U51" s="267"/>
      <c r="V51" s="290" t="str" cm="1">
        <f t="array" ref="V51">IF(W51="",
"",
SUMPRODUCT(
tb_desp[valor]*
(tb_desp[centro.negocio]=W$2)*
(tb_desp[nucleo]=W51)*
(tb_desp[data.pagamento]&gt;='n&amp;cn'!$C$1)*
(tb_desp[data.pagamento]&lt;='n&amp;cn'!$C$2)
))</f>
        <v/>
      </c>
      <c r="W51" s="267"/>
      <c r="X51" s="290" t="str" cm="1">
        <f t="array" ref="X51">IF(Y51="",
"",
SUMPRODUCT(
tb_desp[valor]*
(tb_desp[centro.negocio]=Y$2)*
(tb_desp[nucleo]=Y51)*
(tb_desp[data.pagamento]&gt;='n&amp;cn'!$C$1)*
(tb_desp[data.pagamento]&lt;='n&amp;cn'!$C$2)
))</f>
        <v/>
      </c>
      <c r="Y51" s="267"/>
      <c r="Z51" s="290" t="str" cm="1">
        <f t="array" ref="Z51">IF(AA51="",
"",
SUMPRODUCT(
tb_desp[valor]*
(tb_desp[centro.negocio]=AA$2)*
(tb_desp[nucleo]=AA51)*
(tb_desp[data.pagamento]&gt;='n&amp;cn'!$C$1)*
(tb_desp[data.pagamento]&lt;='n&amp;cn'!$C$2)
))</f>
        <v/>
      </c>
      <c r="AA51" s="267"/>
      <c r="AB51" s="290" t="str" cm="1">
        <f t="array" ref="AB51">IF(AC51="",
"",
SUMPRODUCT(
tb_desp[valor]*
(tb_desp[centro.negocio]=AC$2)*
(tb_desp[nucleo]=AC51)*
(tb_desp[data.pagamento]&gt;='n&amp;cn'!$C$1)*
(tb_desp[data.pagamento]&lt;='n&amp;cn'!$C$2)
))</f>
        <v/>
      </c>
      <c r="AC51" s="267"/>
      <c r="AD51" s="290" t="str" cm="1">
        <f t="array" ref="AD51">IF(AE51="",
"",
SUMPRODUCT(
tb_desp[valor]*
(tb_desp[centro.negocio]=AE$2)*
(tb_desp[nucleo]=AE51)*
(tb_desp[data.pagamento]&gt;='n&amp;cn'!$C$1)*
(tb_desp[data.pagamento]&lt;='n&amp;cn'!$C$2)
))</f>
        <v/>
      </c>
      <c r="AE51" s="267"/>
      <c r="AF51" s="290" t="str" cm="1">
        <f t="array" ref="AF51">IF(AG51="",
"",
SUMPRODUCT(
tb_desp[valor]*
(tb_desp[centro.negocio]=AG$2)*
(tb_desp[nucleo]=AG51)*
(tb_desp[data.pagamento]&gt;='n&amp;cn'!$C$1)*
(tb_desp[data.pagamento]&lt;='n&amp;cn'!$C$2)
))</f>
        <v/>
      </c>
      <c r="AG51" s="267"/>
      <c r="AH51" s="290" t="str" cm="1">
        <f t="array" ref="AH51">IF(AI51="",
"",
SUMPRODUCT(
tb_desp[valor]*
(tb_desp[centro.negocio]=AI$2)*
(tb_desp[nucleo]=AI51)*
(tb_desp[data.pagamento]&gt;='n&amp;cn'!$C$1)*
(tb_desp[data.pagamento]&lt;='n&amp;cn'!$C$2)
))</f>
        <v/>
      </c>
      <c r="AI51" s="267"/>
      <c r="AJ51" s="290" t="str" cm="1">
        <f t="array" ref="AJ51">IF(AK51="",
"",
SUMPRODUCT(
tb_desp[valor]*
(tb_desp[centro.negocio]=AK$2)*
(tb_desp[nucleo]=AK51)*
(tb_desp[data.pagamento]&gt;='n&amp;cn'!$C$1)*
(tb_desp[data.pagamento]&lt;='n&amp;cn'!$C$2)
))</f>
        <v/>
      </c>
      <c r="AK51" s="267"/>
      <c r="AL51" s="290" t="str" cm="1">
        <f t="array" ref="AL51">IF(AM51="",
"",
SUMPRODUCT(
tb_desp[valor]*
(tb_desp[centro.negocio]=AM$2)*
(tb_desp[nucleo]=AM51)*
(tb_desp[data.pagamento]&gt;='n&amp;cn'!$C$1)*
(tb_desp[data.pagamento]&lt;='n&amp;cn'!$C$2)
))</f>
        <v/>
      </c>
      <c r="AM51" s="267"/>
      <c r="AN51" s="290" t="str" cm="1">
        <f t="array" ref="AN51">IF(AO51="",
"",
SUMPRODUCT(
tb_desp[valor]*
(tb_desp[centro.negocio]=AO$2)*
(tb_desp[nucleo]=AO51)*
(tb_desp[data.pagamento]&gt;='n&amp;cn'!$C$1)*
(tb_desp[data.pagamento]&lt;='n&amp;cn'!$C$2)
))</f>
        <v/>
      </c>
      <c r="AO51" s="267"/>
      <c r="AP51" s="290" t="str" cm="1">
        <f t="array" ref="AP51">IF(AQ51="",
"",
SUMPRODUCT(
tb_desp[valor]*
(tb_desp[centro.negocio]=AQ$2)*
(tb_desp[nucleo]=AQ51)*
(tb_desp[data.pagamento]&gt;='n&amp;cn'!$C$1)*
(tb_desp[data.pagamento]&lt;='n&amp;cn'!$C$2)
))</f>
        <v/>
      </c>
      <c r="AQ51" s="267"/>
      <c r="AR51" s="290" t="str" cm="1">
        <f t="array" ref="AR51">IF(AS51="",
"",
SUMPRODUCT(
tb_desp[valor]*
(tb_desp[centro.negocio]=AS$2)*
(tb_desp[nucleo]=AS51)*
(tb_desp[data.pagamento]&gt;='n&amp;cn'!$C$1)*
(tb_desp[data.pagamento]&lt;='n&amp;cn'!$C$2)
))</f>
        <v/>
      </c>
      <c r="AS51" s="267"/>
      <c r="AT51" s="290" t="str" cm="1">
        <f t="array" ref="AT51">IF(AU51="",
"",
SUMPRODUCT(
tb_desp[valor]*
(tb_desp[centro.negocio]=AU$2)*
(tb_desp[nucleo]=AU51)*
(tb_desp[data.pagamento]&gt;='n&amp;cn'!$C$1)*
(tb_desp[data.pagamento]&lt;='n&amp;cn'!$C$2)
))</f>
        <v/>
      </c>
      <c r="AU51" s="267"/>
      <c r="AV51" s="290" t="str" cm="1">
        <f t="array" ref="AV51">IF(AW51="",
"",
SUMPRODUCT(
tb_desp[valor]*
(tb_desp[centro.negocio]=AW$2)*
(tb_desp[nucleo]=AW51)*
(tb_desp[data.pagamento]&gt;='n&amp;cn'!$C$1)*
(tb_desp[data.pagamento]&lt;='n&amp;cn'!$C$2)
))</f>
        <v/>
      </c>
      <c r="AW51" s="267"/>
      <c r="AX51" s="290" t="str" cm="1">
        <f t="array" ref="AX51">IF(AY51="",
"",
SUMPRODUCT(
tb_desp[valor]*
(tb_desp[centro.negocio]=AY$2)*
(tb_desp[nucleo]=AY51)*
(tb_desp[data.pagamento]&gt;='n&amp;cn'!$C$1)*
(tb_desp[data.pagamento]&lt;='n&amp;cn'!$C$2)
))</f>
        <v/>
      </c>
      <c r="AY51" s="267"/>
      <c r="AZ51" s="290" t="str" cm="1">
        <f t="array" ref="AZ51">IF(BA51="",
"",
SUMPRODUCT(
tb_desp[valor]*
(tb_desp[centro.negocio]=BA$2)*
(tb_desp[nucleo]=BA51)*
(tb_desp[data.pagamento]&gt;='n&amp;cn'!$C$1)*
(tb_desp[data.pagamento]&lt;='n&amp;cn'!$C$2)
))</f>
        <v/>
      </c>
      <c r="BA51" s="267"/>
      <c r="BB51" s="290" t="str" cm="1">
        <f t="array" ref="BB51">IF(BC51="",
"",
SUMPRODUCT(
tb_desp[valor]*
(tb_desp[centro.negocio]=BC$2)*
(tb_desp[nucleo]=BC51)*
(tb_desp[data.pagamento]&gt;='n&amp;cn'!$C$1)*
(tb_desp[data.pagamento]&lt;='n&amp;cn'!$C$2)
))</f>
        <v/>
      </c>
      <c r="BC51" s="267"/>
      <c r="BD51" s="290" t="str" cm="1">
        <f t="array" ref="BD51">IF(BE51="",
"",
SUMPRODUCT(
tb_desp[valor]*
(tb_desp[centro.negocio]=BE$2)*
(tb_desp[nucleo]=BE51)*
(tb_desp[data.pagamento]&gt;='n&amp;cn'!$C$1)*
(tb_desp[data.pagamento]&lt;='n&amp;cn'!$C$2)
))</f>
        <v/>
      </c>
      <c r="BE51" s="267"/>
      <c r="BF51" s="290" t="str" cm="1">
        <f t="array" ref="BF51">IF(BG51="",
"",
SUMPRODUCT(
tb_desp[valor]*
(tb_desp[centro.negocio]=BG$2)*
(tb_desp[nucleo]=BG51)*
(tb_desp[data.pagamento]&gt;='n&amp;cn'!$C$1)*
(tb_desp[data.pagamento]&lt;='n&amp;cn'!$C$2)
))</f>
        <v/>
      </c>
      <c r="BG51" s="267"/>
      <c r="BH51" s="290" t="str" cm="1">
        <f t="array" ref="BH51">IF(BI51="",
"",
SUMPRODUCT(
tb_desp[valor]*
(tb_desp[centro.negocio]=BI$2)*
(tb_desp[nucleo]=BI51)*
(tb_desp[data.pagamento]&gt;='n&amp;cn'!$C$1)*
(tb_desp[data.pagamento]&lt;='n&amp;cn'!$C$2)
))</f>
        <v/>
      </c>
      <c r="BI51" s="267"/>
      <c r="BJ51" s="290" t="str" cm="1">
        <f t="array" ref="BJ51">IF(BK51="",
"",
SUMPRODUCT(
tb_desp[valor]*
(tb_desp[centro.negocio]=BK$2)*
(tb_desp[nucleo]=BK51)*
(tb_desp[data.pagamento]&gt;='n&amp;cn'!$C$1)*
(tb_desp[data.pagamento]&lt;='n&amp;cn'!$C$2)
))</f>
        <v/>
      </c>
      <c r="BK51" s="267"/>
      <c r="BL51" s="290" t="str" cm="1">
        <f t="array" ref="BL51">IF(BM51="",
"",
SUMPRODUCT(
tb_desp[valor]*
(tb_desp[centro.negocio]=BM$2)*
(tb_desp[nucleo]=BM51)*
(tb_desp[data.pagamento]&gt;='n&amp;cn'!$C$1)*
(tb_desp[data.pagamento]&lt;='n&amp;cn'!$C$2)
))</f>
        <v/>
      </c>
      <c r="BM51" s="267"/>
      <c r="BN51" s="290" t="str" cm="1">
        <f t="array" ref="BN51">IF(BO51="",
"",
SUMPRODUCT(
tb_desp[valor]*
(tb_desp[centro.negocio]=BO$2)*
(tb_desp[nucleo]=BO51)*
(tb_desp[data.pagamento]&gt;='n&amp;cn'!$C$1)*
(tb_desp[data.pagamento]&lt;='n&amp;cn'!$C$2)
))</f>
        <v/>
      </c>
      <c r="BO51" s="267"/>
    </row>
    <row r="52" spans="1:67" x14ac:dyDescent="0.25">
      <c r="H52" s="168"/>
      <c r="I52" s="163">
        <f t="shared" si="3"/>
        <v>45</v>
      </c>
      <c r="K52" s="164"/>
      <c r="L52" s="167" t="e">
        <f t="shared" si="4"/>
        <v>#DIV/0!</v>
      </c>
      <c r="M52" s="167" t="e">
        <f>SUM($L$8:$L52)</f>
        <v>#DIV/0!</v>
      </c>
      <c r="R52" s="290" t="str" cm="1">
        <f t="array" ref="R52">IF(S52="",
"",
SUMPRODUCT(
tb_desp[valor]*
(tb_desp[centro.negocio]=S$2)*
(tb_desp[nucleo]=S52)*
(tb_desp[data.pagamento]&gt;='n&amp;cn'!$C$1)*
(tb_desp[data.pagamento]&lt;='n&amp;cn'!$C$2)
))</f>
        <v/>
      </c>
      <c r="S52" s="267"/>
      <c r="T52" s="290" t="str" cm="1">
        <f t="array" ref="T52">IF(U52="",
"",
SUMPRODUCT(
tb_desp[valor]*
(tb_desp[centro.negocio]=U$2)*
(tb_desp[nucleo]=U52)*
(tb_desp[data.pagamento]&gt;='n&amp;cn'!$C$1)*
(tb_desp[data.pagamento]&lt;='n&amp;cn'!$C$2)
))</f>
        <v/>
      </c>
      <c r="U52" s="267"/>
      <c r="V52" s="290" t="str" cm="1">
        <f t="array" ref="V52">IF(W52="",
"",
SUMPRODUCT(
tb_desp[valor]*
(tb_desp[centro.negocio]=W$2)*
(tb_desp[nucleo]=W52)*
(tb_desp[data.pagamento]&gt;='n&amp;cn'!$C$1)*
(tb_desp[data.pagamento]&lt;='n&amp;cn'!$C$2)
))</f>
        <v/>
      </c>
      <c r="W52" s="267"/>
      <c r="X52" s="290" t="str" cm="1">
        <f t="array" ref="X52">IF(Y52="",
"",
SUMPRODUCT(
tb_desp[valor]*
(tb_desp[centro.negocio]=Y$2)*
(tb_desp[nucleo]=Y52)*
(tb_desp[data.pagamento]&gt;='n&amp;cn'!$C$1)*
(tb_desp[data.pagamento]&lt;='n&amp;cn'!$C$2)
))</f>
        <v/>
      </c>
      <c r="Y52" s="267"/>
      <c r="Z52" s="290" t="str" cm="1">
        <f t="array" ref="Z52">IF(AA52="",
"",
SUMPRODUCT(
tb_desp[valor]*
(tb_desp[centro.negocio]=AA$2)*
(tb_desp[nucleo]=AA52)*
(tb_desp[data.pagamento]&gt;='n&amp;cn'!$C$1)*
(tb_desp[data.pagamento]&lt;='n&amp;cn'!$C$2)
))</f>
        <v/>
      </c>
      <c r="AA52" s="267"/>
      <c r="AB52" s="290" t="str" cm="1">
        <f t="array" ref="AB52">IF(AC52="",
"",
SUMPRODUCT(
tb_desp[valor]*
(tb_desp[centro.negocio]=AC$2)*
(tb_desp[nucleo]=AC52)*
(tb_desp[data.pagamento]&gt;='n&amp;cn'!$C$1)*
(tb_desp[data.pagamento]&lt;='n&amp;cn'!$C$2)
))</f>
        <v/>
      </c>
      <c r="AC52" s="267"/>
      <c r="AD52" s="290" t="str" cm="1">
        <f t="array" ref="AD52">IF(AE52="",
"",
SUMPRODUCT(
tb_desp[valor]*
(tb_desp[centro.negocio]=AE$2)*
(tb_desp[nucleo]=AE52)*
(tb_desp[data.pagamento]&gt;='n&amp;cn'!$C$1)*
(tb_desp[data.pagamento]&lt;='n&amp;cn'!$C$2)
))</f>
        <v/>
      </c>
      <c r="AE52" s="267"/>
      <c r="AF52" s="290" t="str" cm="1">
        <f t="array" ref="AF52">IF(AG52="",
"",
SUMPRODUCT(
tb_desp[valor]*
(tb_desp[centro.negocio]=AG$2)*
(tb_desp[nucleo]=AG52)*
(tb_desp[data.pagamento]&gt;='n&amp;cn'!$C$1)*
(tb_desp[data.pagamento]&lt;='n&amp;cn'!$C$2)
))</f>
        <v/>
      </c>
      <c r="AG52" s="267"/>
      <c r="AH52" s="290" t="str" cm="1">
        <f t="array" ref="AH52">IF(AI52="",
"",
SUMPRODUCT(
tb_desp[valor]*
(tb_desp[centro.negocio]=AI$2)*
(tb_desp[nucleo]=AI52)*
(tb_desp[data.pagamento]&gt;='n&amp;cn'!$C$1)*
(tb_desp[data.pagamento]&lt;='n&amp;cn'!$C$2)
))</f>
        <v/>
      </c>
      <c r="AI52" s="267"/>
      <c r="AJ52" s="290" t="str" cm="1">
        <f t="array" ref="AJ52">IF(AK52="",
"",
SUMPRODUCT(
tb_desp[valor]*
(tb_desp[centro.negocio]=AK$2)*
(tb_desp[nucleo]=AK52)*
(tb_desp[data.pagamento]&gt;='n&amp;cn'!$C$1)*
(tb_desp[data.pagamento]&lt;='n&amp;cn'!$C$2)
))</f>
        <v/>
      </c>
      <c r="AK52" s="267"/>
      <c r="AL52" s="290" t="str" cm="1">
        <f t="array" ref="AL52">IF(AM52="",
"",
SUMPRODUCT(
tb_desp[valor]*
(tb_desp[centro.negocio]=AM$2)*
(tb_desp[nucleo]=AM52)*
(tb_desp[data.pagamento]&gt;='n&amp;cn'!$C$1)*
(tb_desp[data.pagamento]&lt;='n&amp;cn'!$C$2)
))</f>
        <v/>
      </c>
      <c r="AM52" s="267"/>
      <c r="AN52" s="290" t="str" cm="1">
        <f t="array" ref="AN52">IF(AO52="",
"",
SUMPRODUCT(
tb_desp[valor]*
(tb_desp[centro.negocio]=AO$2)*
(tb_desp[nucleo]=AO52)*
(tb_desp[data.pagamento]&gt;='n&amp;cn'!$C$1)*
(tb_desp[data.pagamento]&lt;='n&amp;cn'!$C$2)
))</f>
        <v/>
      </c>
      <c r="AO52" s="267"/>
      <c r="AP52" s="290" t="str" cm="1">
        <f t="array" ref="AP52">IF(AQ52="",
"",
SUMPRODUCT(
tb_desp[valor]*
(tb_desp[centro.negocio]=AQ$2)*
(tb_desp[nucleo]=AQ52)*
(tb_desp[data.pagamento]&gt;='n&amp;cn'!$C$1)*
(tb_desp[data.pagamento]&lt;='n&amp;cn'!$C$2)
))</f>
        <v/>
      </c>
      <c r="AQ52" s="267"/>
      <c r="AR52" s="290" t="str" cm="1">
        <f t="array" ref="AR52">IF(AS52="",
"",
SUMPRODUCT(
tb_desp[valor]*
(tb_desp[centro.negocio]=AS$2)*
(tb_desp[nucleo]=AS52)*
(tb_desp[data.pagamento]&gt;='n&amp;cn'!$C$1)*
(tb_desp[data.pagamento]&lt;='n&amp;cn'!$C$2)
))</f>
        <v/>
      </c>
      <c r="AS52" s="267"/>
      <c r="AT52" s="290" t="str" cm="1">
        <f t="array" ref="AT52">IF(AU52="",
"",
SUMPRODUCT(
tb_desp[valor]*
(tb_desp[centro.negocio]=AU$2)*
(tb_desp[nucleo]=AU52)*
(tb_desp[data.pagamento]&gt;='n&amp;cn'!$C$1)*
(tb_desp[data.pagamento]&lt;='n&amp;cn'!$C$2)
))</f>
        <v/>
      </c>
      <c r="AU52" s="267"/>
      <c r="AV52" s="290" t="str" cm="1">
        <f t="array" ref="AV52">IF(AW52="",
"",
SUMPRODUCT(
tb_desp[valor]*
(tb_desp[centro.negocio]=AW$2)*
(tb_desp[nucleo]=AW52)*
(tb_desp[data.pagamento]&gt;='n&amp;cn'!$C$1)*
(tb_desp[data.pagamento]&lt;='n&amp;cn'!$C$2)
))</f>
        <v/>
      </c>
      <c r="AW52" s="267"/>
      <c r="AX52" s="290" t="str" cm="1">
        <f t="array" ref="AX52">IF(AY52="",
"",
SUMPRODUCT(
tb_desp[valor]*
(tb_desp[centro.negocio]=AY$2)*
(tb_desp[nucleo]=AY52)*
(tb_desp[data.pagamento]&gt;='n&amp;cn'!$C$1)*
(tb_desp[data.pagamento]&lt;='n&amp;cn'!$C$2)
))</f>
        <v/>
      </c>
      <c r="AY52" s="267"/>
      <c r="AZ52" s="290" t="str" cm="1">
        <f t="array" ref="AZ52">IF(BA52="",
"",
SUMPRODUCT(
tb_desp[valor]*
(tb_desp[centro.negocio]=BA$2)*
(tb_desp[nucleo]=BA52)*
(tb_desp[data.pagamento]&gt;='n&amp;cn'!$C$1)*
(tb_desp[data.pagamento]&lt;='n&amp;cn'!$C$2)
))</f>
        <v/>
      </c>
      <c r="BA52" s="267"/>
      <c r="BB52" s="290" t="str" cm="1">
        <f t="array" ref="BB52">IF(BC52="",
"",
SUMPRODUCT(
tb_desp[valor]*
(tb_desp[centro.negocio]=BC$2)*
(tb_desp[nucleo]=BC52)*
(tb_desp[data.pagamento]&gt;='n&amp;cn'!$C$1)*
(tb_desp[data.pagamento]&lt;='n&amp;cn'!$C$2)
))</f>
        <v/>
      </c>
      <c r="BC52" s="267"/>
      <c r="BD52" s="290" t="str" cm="1">
        <f t="array" ref="BD52">IF(BE52="",
"",
SUMPRODUCT(
tb_desp[valor]*
(tb_desp[centro.negocio]=BE$2)*
(tb_desp[nucleo]=BE52)*
(tb_desp[data.pagamento]&gt;='n&amp;cn'!$C$1)*
(tb_desp[data.pagamento]&lt;='n&amp;cn'!$C$2)
))</f>
        <v/>
      </c>
      <c r="BE52" s="267"/>
      <c r="BF52" s="290" t="str" cm="1">
        <f t="array" ref="BF52">IF(BG52="",
"",
SUMPRODUCT(
tb_desp[valor]*
(tb_desp[centro.negocio]=BG$2)*
(tb_desp[nucleo]=BG52)*
(tb_desp[data.pagamento]&gt;='n&amp;cn'!$C$1)*
(tb_desp[data.pagamento]&lt;='n&amp;cn'!$C$2)
))</f>
        <v/>
      </c>
      <c r="BG52" s="267"/>
      <c r="BH52" s="290" t="str" cm="1">
        <f t="array" ref="BH52">IF(BI52="",
"",
SUMPRODUCT(
tb_desp[valor]*
(tb_desp[centro.negocio]=BI$2)*
(tb_desp[nucleo]=BI52)*
(tb_desp[data.pagamento]&gt;='n&amp;cn'!$C$1)*
(tb_desp[data.pagamento]&lt;='n&amp;cn'!$C$2)
))</f>
        <v/>
      </c>
      <c r="BI52" s="267"/>
      <c r="BJ52" s="290" t="str" cm="1">
        <f t="array" ref="BJ52">IF(BK52="",
"",
SUMPRODUCT(
tb_desp[valor]*
(tb_desp[centro.negocio]=BK$2)*
(tb_desp[nucleo]=BK52)*
(tb_desp[data.pagamento]&gt;='n&amp;cn'!$C$1)*
(tb_desp[data.pagamento]&lt;='n&amp;cn'!$C$2)
))</f>
        <v/>
      </c>
      <c r="BK52" s="267"/>
      <c r="BL52" s="290" t="str" cm="1">
        <f t="array" ref="BL52">IF(BM52="",
"",
SUMPRODUCT(
tb_desp[valor]*
(tb_desp[centro.negocio]=BM$2)*
(tb_desp[nucleo]=BM52)*
(tb_desp[data.pagamento]&gt;='n&amp;cn'!$C$1)*
(tb_desp[data.pagamento]&lt;='n&amp;cn'!$C$2)
))</f>
        <v/>
      </c>
      <c r="BM52" s="267"/>
      <c r="BN52" s="290" t="str" cm="1">
        <f t="array" ref="BN52">IF(BO52="",
"",
SUMPRODUCT(
tb_desp[valor]*
(tb_desp[centro.negocio]=BO$2)*
(tb_desp[nucleo]=BO52)*
(tb_desp[data.pagamento]&gt;='n&amp;cn'!$C$1)*
(tb_desp[data.pagamento]&lt;='n&amp;cn'!$C$2)
))</f>
        <v/>
      </c>
      <c r="BO52" s="267"/>
    </row>
    <row r="53" spans="1:67" x14ac:dyDescent="0.25">
      <c r="H53" s="168"/>
      <c r="I53" s="163">
        <f t="shared" si="3"/>
        <v>46</v>
      </c>
      <c r="K53" s="164"/>
      <c r="L53" s="167" t="e">
        <f t="shared" si="4"/>
        <v>#DIV/0!</v>
      </c>
      <c r="M53" s="167" t="e">
        <f>SUM($L$8:$L53)</f>
        <v>#DIV/0!</v>
      </c>
      <c r="R53" s="290" t="str" cm="1">
        <f t="array" ref="R53">IF(S53="",
"",
SUMPRODUCT(
tb_desp[valor]*
(tb_desp[centro.negocio]=S$2)*
(tb_desp[nucleo]=S53)*
(tb_desp[data.pagamento]&gt;='n&amp;cn'!$C$1)*
(tb_desp[data.pagamento]&lt;='n&amp;cn'!$C$2)
))</f>
        <v/>
      </c>
      <c r="S53" s="267"/>
      <c r="T53" s="290" t="str" cm="1">
        <f t="array" ref="T53">IF(U53="",
"",
SUMPRODUCT(
tb_desp[valor]*
(tb_desp[centro.negocio]=U$2)*
(tb_desp[nucleo]=U53)*
(tb_desp[data.pagamento]&gt;='n&amp;cn'!$C$1)*
(tb_desp[data.pagamento]&lt;='n&amp;cn'!$C$2)
))</f>
        <v/>
      </c>
      <c r="U53" s="267"/>
      <c r="V53" s="290" t="str" cm="1">
        <f t="array" ref="V53">IF(W53="",
"",
SUMPRODUCT(
tb_desp[valor]*
(tb_desp[centro.negocio]=W$2)*
(tb_desp[nucleo]=W53)*
(tb_desp[data.pagamento]&gt;='n&amp;cn'!$C$1)*
(tb_desp[data.pagamento]&lt;='n&amp;cn'!$C$2)
))</f>
        <v/>
      </c>
      <c r="W53" s="267"/>
      <c r="X53" s="290" t="str" cm="1">
        <f t="array" ref="X53">IF(Y53="",
"",
SUMPRODUCT(
tb_desp[valor]*
(tb_desp[centro.negocio]=Y$2)*
(tb_desp[nucleo]=Y53)*
(tb_desp[data.pagamento]&gt;='n&amp;cn'!$C$1)*
(tb_desp[data.pagamento]&lt;='n&amp;cn'!$C$2)
))</f>
        <v/>
      </c>
      <c r="Y53" s="267"/>
      <c r="Z53" s="290" t="str" cm="1">
        <f t="array" ref="Z53">IF(AA53="",
"",
SUMPRODUCT(
tb_desp[valor]*
(tb_desp[centro.negocio]=AA$2)*
(tb_desp[nucleo]=AA53)*
(tb_desp[data.pagamento]&gt;='n&amp;cn'!$C$1)*
(tb_desp[data.pagamento]&lt;='n&amp;cn'!$C$2)
))</f>
        <v/>
      </c>
      <c r="AA53" s="267"/>
      <c r="AB53" s="290" t="str" cm="1">
        <f t="array" ref="AB53">IF(AC53="",
"",
SUMPRODUCT(
tb_desp[valor]*
(tb_desp[centro.negocio]=AC$2)*
(tb_desp[nucleo]=AC53)*
(tb_desp[data.pagamento]&gt;='n&amp;cn'!$C$1)*
(tb_desp[data.pagamento]&lt;='n&amp;cn'!$C$2)
))</f>
        <v/>
      </c>
      <c r="AC53" s="267"/>
      <c r="AD53" s="290" t="str" cm="1">
        <f t="array" ref="AD53">IF(AE53="",
"",
SUMPRODUCT(
tb_desp[valor]*
(tb_desp[centro.negocio]=AE$2)*
(tb_desp[nucleo]=AE53)*
(tb_desp[data.pagamento]&gt;='n&amp;cn'!$C$1)*
(tb_desp[data.pagamento]&lt;='n&amp;cn'!$C$2)
))</f>
        <v/>
      </c>
      <c r="AE53" s="267"/>
      <c r="AF53" s="290" t="str" cm="1">
        <f t="array" ref="AF53">IF(AG53="",
"",
SUMPRODUCT(
tb_desp[valor]*
(tb_desp[centro.negocio]=AG$2)*
(tb_desp[nucleo]=AG53)*
(tb_desp[data.pagamento]&gt;='n&amp;cn'!$C$1)*
(tb_desp[data.pagamento]&lt;='n&amp;cn'!$C$2)
))</f>
        <v/>
      </c>
      <c r="AG53" s="267"/>
      <c r="AH53" s="290" t="str" cm="1">
        <f t="array" ref="AH53">IF(AI53="",
"",
SUMPRODUCT(
tb_desp[valor]*
(tb_desp[centro.negocio]=AI$2)*
(tb_desp[nucleo]=AI53)*
(tb_desp[data.pagamento]&gt;='n&amp;cn'!$C$1)*
(tb_desp[data.pagamento]&lt;='n&amp;cn'!$C$2)
))</f>
        <v/>
      </c>
      <c r="AI53" s="267"/>
      <c r="AJ53" s="290" t="str" cm="1">
        <f t="array" ref="AJ53">IF(AK53="",
"",
SUMPRODUCT(
tb_desp[valor]*
(tb_desp[centro.negocio]=AK$2)*
(tb_desp[nucleo]=AK53)*
(tb_desp[data.pagamento]&gt;='n&amp;cn'!$C$1)*
(tb_desp[data.pagamento]&lt;='n&amp;cn'!$C$2)
))</f>
        <v/>
      </c>
      <c r="AK53" s="267"/>
      <c r="AL53" s="290" t="str" cm="1">
        <f t="array" ref="AL53">IF(AM53="",
"",
SUMPRODUCT(
tb_desp[valor]*
(tb_desp[centro.negocio]=AM$2)*
(tb_desp[nucleo]=AM53)*
(tb_desp[data.pagamento]&gt;='n&amp;cn'!$C$1)*
(tb_desp[data.pagamento]&lt;='n&amp;cn'!$C$2)
))</f>
        <v/>
      </c>
      <c r="AM53" s="267"/>
      <c r="AN53" s="290" t="str" cm="1">
        <f t="array" ref="AN53">IF(AO53="",
"",
SUMPRODUCT(
tb_desp[valor]*
(tb_desp[centro.negocio]=AO$2)*
(tb_desp[nucleo]=AO53)*
(tb_desp[data.pagamento]&gt;='n&amp;cn'!$C$1)*
(tb_desp[data.pagamento]&lt;='n&amp;cn'!$C$2)
))</f>
        <v/>
      </c>
      <c r="AO53" s="267"/>
      <c r="AP53" s="290" t="str" cm="1">
        <f t="array" ref="AP53">IF(AQ53="",
"",
SUMPRODUCT(
tb_desp[valor]*
(tb_desp[centro.negocio]=AQ$2)*
(tb_desp[nucleo]=AQ53)*
(tb_desp[data.pagamento]&gt;='n&amp;cn'!$C$1)*
(tb_desp[data.pagamento]&lt;='n&amp;cn'!$C$2)
))</f>
        <v/>
      </c>
      <c r="AQ53" s="267"/>
      <c r="AR53" s="290" t="str" cm="1">
        <f t="array" ref="AR53">IF(AS53="",
"",
SUMPRODUCT(
tb_desp[valor]*
(tb_desp[centro.negocio]=AS$2)*
(tb_desp[nucleo]=AS53)*
(tb_desp[data.pagamento]&gt;='n&amp;cn'!$C$1)*
(tb_desp[data.pagamento]&lt;='n&amp;cn'!$C$2)
))</f>
        <v/>
      </c>
      <c r="AS53" s="267"/>
      <c r="AT53" s="290" t="str" cm="1">
        <f t="array" ref="AT53">IF(AU53="",
"",
SUMPRODUCT(
tb_desp[valor]*
(tb_desp[centro.negocio]=AU$2)*
(tb_desp[nucleo]=AU53)*
(tb_desp[data.pagamento]&gt;='n&amp;cn'!$C$1)*
(tb_desp[data.pagamento]&lt;='n&amp;cn'!$C$2)
))</f>
        <v/>
      </c>
      <c r="AU53" s="267"/>
      <c r="AV53" s="290" t="str" cm="1">
        <f t="array" ref="AV53">IF(AW53="",
"",
SUMPRODUCT(
tb_desp[valor]*
(tb_desp[centro.negocio]=AW$2)*
(tb_desp[nucleo]=AW53)*
(tb_desp[data.pagamento]&gt;='n&amp;cn'!$C$1)*
(tb_desp[data.pagamento]&lt;='n&amp;cn'!$C$2)
))</f>
        <v/>
      </c>
      <c r="AW53" s="267"/>
      <c r="AX53" s="290" t="str" cm="1">
        <f t="array" ref="AX53">IF(AY53="",
"",
SUMPRODUCT(
tb_desp[valor]*
(tb_desp[centro.negocio]=AY$2)*
(tb_desp[nucleo]=AY53)*
(tb_desp[data.pagamento]&gt;='n&amp;cn'!$C$1)*
(tb_desp[data.pagamento]&lt;='n&amp;cn'!$C$2)
))</f>
        <v/>
      </c>
      <c r="AY53" s="267"/>
      <c r="AZ53" s="290" t="str" cm="1">
        <f t="array" ref="AZ53">IF(BA53="",
"",
SUMPRODUCT(
tb_desp[valor]*
(tb_desp[centro.negocio]=BA$2)*
(tb_desp[nucleo]=BA53)*
(tb_desp[data.pagamento]&gt;='n&amp;cn'!$C$1)*
(tb_desp[data.pagamento]&lt;='n&amp;cn'!$C$2)
))</f>
        <v/>
      </c>
      <c r="BA53" s="267"/>
      <c r="BB53" s="290" t="str" cm="1">
        <f t="array" ref="BB53">IF(BC53="",
"",
SUMPRODUCT(
tb_desp[valor]*
(tb_desp[centro.negocio]=BC$2)*
(tb_desp[nucleo]=BC53)*
(tb_desp[data.pagamento]&gt;='n&amp;cn'!$C$1)*
(tb_desp[data.pagamento]&lt;='n&amp;cn'!$C$2)
))</f>
        <v/>
      </c>
      <c r="BC53" s="267"/>
      <c r="BD53" s="290" t="str" cm="1">
        <f t="array" ref="BD53">IF(BE53="",
"",
SUMPRODUCT(
tb_desp[valor]*
(tb_desp[centro.negocio]=BE$2)*
(tb_desp[nucleo]=BE53)*
(tb_desp[data.pagamento]&gt;='n&amp;cn'!$C$1)*
(tb_desp[data.pagamento]&lt;='n&amp;cn'!$C$2)
))</f>
        <v/>
      </c>
      <c r="BE53" s="267"/>
      <c r="BF53" s="290" t="str" cm="1">
        <f t="array" ref="BF53">IF(BG53="",
"",
SUMPRODUCT(
tb_desp[valor]*
(tb_desp[centro.negocio]=BG$2)*
(tb_desp[nucleo]=BG53)*
(tb_desp[data.pagamento]&gt;='n&amp;cn'!$C$1)*
(tb_desp[data.pagamento]&lt;='n&amp;cn'!$C$2)
))</f>
        <v/>
      </c>
      <c r="BG53" s="267"/>
      <c r="BH53" s="290" t="str" cm="1">
        <f t="array" ref="BH53">IF(BI53="",
"",
SUMPRODUCT(
tb_desp[valor]*
(tb_desp[centro.negocio]=BI$2)*
(tb_desp[nucleo]=BI53)*
(tb_desp[data.pagamento]&gt;='n&amp;cn'!$C$1)*
(tb_desp[data.pagamento]&lt;='n&amp;cn'!$C$2)
))</f>
        <v/>
      </c>
      <c r="BI53" s="267"/>
      <c r="BJ53" s="290" t="str" cm="1">
        <f t="array" ref="BJ53">IF(BK53="",
"",
SUMPRODUCT(
tb_desp[valor]*
(tb_desp[centro.negocio]=BK$2)*
(tb_desp[nucleo]=BK53)*
(tb_desp[data.pagamento]&gt;='n&amp;cn'!$C$1)*
(tb_desp[data.pagamento]&lt;='n&amp;cn'!$C$2)
))</f>
        <v/>
      </c>
      <c r="BK53" s="267"/>
      <c r="BL53" s="290" t="str" cm="1">
        <f t="array" ref="BL53">IF(BM53="",
"",
SUMPRODUCT(
tb_desp[valor]*
(tb_desp[centro.negocio]=BM$2)*
(tb_desp[nucleo]=BM53)*
(tb_desp[data.pagamento]&gt;='n&amp;cn'!$C$1)*
(tb_desp[data.pagamento]&lt;='n&amp;cn'!$C$2)
))</f>
        <v/>
      </c>
      <c r="BM53" s="267"/>
      <c r="BN53" s="290" t="str" cm="1">
        <f t="array" ref="BN53">IF(BO53="",
"",
SUMPRODUCT(
tb_desp[valor]*
(tb_desp[centro.negocio]=BO$2)*
(tb_desp[nucleo]=BO53)*
(tb_desp[data.pagamento]&gt;='n&amp;cn'!$C$1)*
(tb_desp[data.pagamento]&lt;='n&amp;cn'!$C$2)
))</f>
        <v/>
      </c>
      <c r="BO53" s="267"/>
    </row>
    <row r="54" spans="1:67" x14ac:dyDescent="0.25">
      <c r="H54" s="168"/>
      <c r="I54" s="163">
        <f t="shared" si="3"/>
        <v>47</v>
      </c>
      <c r="K54" s="164"/>
      <c r="L54" s="167" t="e">
        <f t="shared" si="4"/>
        <v>#DIV/0!</v>
      </c>
      <c r="M54" s="167" t="e">
        <f>SUM($L$8:$L54)</f>
        <v>#DIV/0!</v>
      </c>
      <c r="R54" s="290" t="str" cm="1">
        <f t="array" ref="R54">IF(S54="",
"",
SUMPRODUCT(
tb_desp[valor]*
(tb_desp[centro.negocio]=S$2)*
(tb_desp[nucleo]=S54)*
(tb_desp[data.pagamento]&gt;='n&amp;cn'!$C$1)*
(tb_desp[data.pagamento]&lt;='n&amp;cn'!$C$2)
))</f>
        <v/>
      </c>
      <c r="S54" s="267"/>
      <c r="T54" s="290" t="str" cm="1">
        <f t="array" ref="T54">IF(U54="",
"",
SUMPRODUCT(
tb_desp[valor]*
(tb_desp[centro.negocio]=U$2)*
(tb_desp[nucleo]=U54)*
(tb_desp[data.pagamento]&gt;='n&amp;cn'!$C$1)*
(tb_desp[data.pagamento]&lt;='n&amp;cn'!$C$2)
))</f>
        <v/>
      </c>
      <c r="U54" s="267"/>
      <c r="V54" s="290" t="str" cm="1">
        <f t="array" ref="V54">IF(W54="",
"",
SUMPRODUCT(
tb_desp[valor]*
(tb_desp[centro.negocio]=W$2)*
(tb_desp[nucleo]=W54)*
(tb_desp[data.pagamento]&gt;='n&amp;cn'!$C$1)*
(tb_desp[data.pagamento]&lt;='n&amp;cn'!$C$2)
))</f>
        <v/>
      </c>
      <c r="W54" s="267"/>
      <c r="X54" s="290" t="str" cm="1">
        <f t="array" ref="X54">IF(Y54="",
"",
SUMPRODUCT(
tb_desp[valor]*
(tb_desp[centro.negocio]=Y$2)*
(tb_desp[nucleo]=Y54)*
(tb_desp[data.pagamento]&gt;='n&amp;cn'!$C$1)*
(tb_desp[data.pagamento]&lt;='n&amp;cn'!$C$2)
))</f>
        <v/>
      </c>
      <c r="Y54" s="267"/>
      <c r="Z54" s="290" t="str" cm="1">
        <f t="array" ref="Z54">IF(AA54="",
"",
SUMPRODUCT(
tb_desp[valor]*
(tb_desp[centro.negocio]=AA$2)*
(tb_desp[nucleo]=AA54)*
(tb_desp[data.pagamento]&gt;='n&amp;cn'!$C$1)*
(tb_desp[data.pagamento]&lt;='n&amp;cn'!$C$2)
))</f>
        <v/>
      </c>
      <c r="AA54" s="267"/>
      <c r="AB54" s="290" t="str" cm="1">
        <f t="array" ref="AB54">IF(AC54="",
"",
SUMPRODUCT(
tb_desp[valor]*
(tb_desp[centro.negocio]=AC$2)*
(tb_desp[nucleo]=AC54)*
(tb_desp[data.pagamento]&gt;='n&amp;cn'!$C$1)*
(tb_desp[data.pagamento]&lt;='n&amp;cn'!$C$2)
))</f>
        <v/>
      </c>
      <c r="AC54" s="267"/>
      <c r="AD54" s="290" t="str" cm="1">
        <f t="array" ref="AD54">IF(AE54="",
"",
SUMPRODUCT(
tb_desp[valor]*
(tb_desp[centro.negocio]=AE$2)*
(tb_desp[nucleo]=AE54)*
(tb_desp[data.pagamento]&gt;='n&amp;cn'!$C$1)*
(tb_desp[data.pagamento]&lt;='n&amp;cn'!$C$2)
))</f>
        <v/>
      </c>
      <c r="AE54" s="267"/>
      <c r="AF54" s="290" t="str" cm="1">
        <f t="array" ref="AF54">IF(AG54="",
"",
SUMPRODUCT(
tb_desp[valor]*
(tb_desp[centro.negocio]=AG$2)*
(tb_desp[nucleo]=AG54)*
(tb_desp[data.pagamento]&gt;='n&amp;cn'!$C$1)*
(tb_desp[data.pagamento]&lt;='n&amp;cn'!$C$2)
))</f>
        <v/>
      </c>
      <c r="AG54" s="267"/>
      <c r="AH54" s="290" t="str" cm="1">
        <f t="array" ref="AH54">IF(AI54="",
"",
SUMPRODUCT(
tb_desp[valor]*
(tb_desp[centro.negocio]=AI$2)*
(tb_desp[nucleo]=AI54)*
(tb_desp[data.pagamento]&gt;='n&amp;cn'!$C$1)*
(tb_desp[data.pagamento]&lt;='n&amp;cn'!$C$2)
))</f>
        <v/>
      </c>
      <c r="AI54" s="267"/>
      <c r="AJ54" s="290" t="str" cm="1">
        <f t="array" ref="AJ54">IF(AK54="",
"",
SUMPRODUCT(
tb_desp[valor]*
(tb_desp[centro.negocio]=AK$2)*
(tb_desp[nucleo]=AK54)*
(tb_desp[data.pagamento]&gt;='n&amp;cn'!$C$1)*
(tb_desp[data.pagamento]&lt;='n&amp;cn'!$C$2)
))</f>
        <v/>
      </c>
      <c r="AK54" s="267"/>
      <c r="AL54" s="290" t="str" cm="1">
        <f t="array" ref="AL54">IF(AM54="",
"",
SUMPRODUCT(
tb_desp[valor]*
(tb_desp[centro.negocio]=AM$2)*
(tb_desp[nucleo]=AM54)*
(tb_desp[data.pagamento]&gt;='n&amp;cn'!$C$1)*
(tb_desp[data.pagamento]&lt;='n&amp;cn'!$C$2)
))</f>
        <v/>
      </c>
      <c r="AM54" s="267"/>
      <c r="AN54" s="290" t="str" cm="1">
        <f t="array" ref="AN54">IF(AO54="",
"",
SUMPRODUCT(
tb_desp[valor]*
(tb_desp[centro.negocio]=AO$2)*
(tb_desp[nucleo]=AO54)*
(tb_desp[data.pagamento]&gt;='n&amp;cn'!$C$1)*
(tb_desp[data.pagamento]&lt;='n&amp;cn'!$C$2)
))</f>
        <v/>
      </c>
      <c r="AO54" s="267"/>
      <c r="AP54" s="290" t="str" cm="1">
        <f t="array" ref="AP54">IF(AQ54="",
"",
SUMPRODUCT(
tb_desp[valor]*
(tb_desp[centro.negocio]=AQ$2)*
(tb_desp[nucleo]=AQ54)*
(tb_desp[data.pagamento]&gt;='n&amp;cn'!$C$1)*
(tb_desp[data.pagamento]&lt;='n&amp;cn'!$C$2)
))</f>
        <v/>
      </c>
      <c r="AQ54" s="267"/>
      <c r="AR54" s="290" t="str" cm="1">
        <f t="array" ref="AR54">IF(AS54="",
"",
SUMPRODUCT(
tb_desp[valor]*
(tb_desp[centro.negocio]=AS$2)*
(tb_desp[nucleo]=AS54)*
(tb_desp[data.pagamento]&gt;='n&amp;cn'!$C$1)*
(tb_desp[data.pagamento]&lt;='n&amp;cn'!$C$2)
))</f>
        <v/>
      </c>
      <c r="AS54" s="267"/>
      <c r="AT54" s="290" t="str" cm="1">
        <f t="array" ref="AT54">IF(AU54="",
"",
SUMPRODUCT(
tb_desp[valor]*
(tb_desp[centro.negocio]=AU$2)*
(tb_desp[nucleo]=AU54)*
(tb_desp[data.pagamento]&gt;='n&amp;cn'!$C$1)*
(tb_desp[data.pagamento]&lt;='n&amp;cn'!$C$2)
))</f>
        <v/>
      </c>
      <c r="AU54" s="267"/>
      <c r="AV54" s="290" t="str" cm="1">
        <f t="array" ref="AV54">IF(AW54="",
"",
SUMPRODUCT(
tb_desp[valor]*
(tb_desp[centro.negocio]=AW$2)*
(tb_desp[nucleo]=AW54)*
(tb_desp[data.pagamento]&gt;='n&amp;cn'!$C$1)*
(tb_desp[data.pagamento]&lt;='n&amp;cn'!$C$2)
))</f>
        <v/>
      </c>
      <c r="AW54" s="267"/>
      <c r="AX54" s="290" t="str" cm="1">
        <f t="array" ref="AX54">IF(AY54="",
"",
SUMPRODUCT(
tb_desp[valor]*
(tb_desp[centro.negocio]=AY$2)*
(tb_desp[nucleo]=AY54)*
(tb_desp[data.pagamento]&gt;='n&amp;cn'!$C$1)*
(tb_desp[data.pagamento]&lt;='n&amp;cn'!$C$2)
))</f>
        <v/>
      </c>
      <c r="AY54" s="267"/>
      <c r="AZ54" s="290" t="str" cm="1">
        <f t="array" ref="AZ54">IF(BA54="",
"",
SUMPRODUCT(
tb_desp[valor]*
(tb_desp[centro.negocio]=BA$2)*
(tb_desp[nucleo]=BA54)*
(tb_desp[data.pagamento]&gt;='n&amp;cn'!$C$1)*
(tb_desp[data.pagamento]&lt;='n&amp;cn'!$C$2)
))</f>
        <v/>
      </c>
      <c r="BA54" s="267"/>
      <c r="BB54" s="290" t="str" cm="1">
        <f t="array" ref="BB54">IF(BC54="",
"",
SUMPRODUCT(
tb_desp[valor]*
(tb_desp[centro.negocio]=BC$2)*
(tb_desp[nucleo]=BC54)*
(tb_desp[data.pagamento]&gt;='n&amp;cn'!$C$1)*
(tb_desp[data.pagamento]&lt;='n&amp;cn'!$C$2)
))</f>
        <v/>
      </c>
      <c r="BC54" s="267"/>
      <c r="BD54" s="290" t="str" cm="1">
        <f t="array" ref="BD54">IF(BE54="",
"",
SUMPRODUCT(
tb_desp[valor]*
(tb_desp[centro.negocio]=BE$2)*
(tb_desp[nucleo]=BE54)*
(tb_desp[data.pagamento]&gt;='n&amp;cn'!$C$1)*
(tb_desp[data.pagamento]&lt;='n&amp;cn'!$C$2)
))</f>
        <v/>
      </c>
      <c r="BE54" s="267"/>
      <c r="BF54" s="290" t="str" cm="1">
        <f t="array" ref="BF54">IF(BG54="",
"",
SUMPRODUCT(
tb_desp[valor]*
(tb_desp[centro.negocio]=BG$2)*
(tb_desp[nucleo]=BG54)*
(tb_desp[data.pagamento]&gt;='n&amp;cn'!$C$1)*
(tb_desp[data.pagamento]&lt;='n&amp;cn'!$C$2)
))</f>
        <v/>
      </c>
      <c r="BG54" s="267"/>
      <c r="BH54" s="290" t="str" cm="1">
        <f t="array" ref="BH54">IF(BI54="",
"",
SUMPRODUCT(
tb_desp[valor]*
(tb_desp[centro.negocio]=BI$2)*
(tb_desp[nucleo]=BI54)*
(tb_desp[data.pagamento]&gt;='n&amp;cn'!$C$1)*
(tb_desp[data.pagamento]&lt;='n&amp;cn'!$C$2)
))</f>
        <v/>
      </c>
      <c r="BI54" s="267"/>
      <c r="BJ54" s="290" t="str" cm="1">
        <f t="array" ref="BJ54">IF(BK54="",
"",
SUMPRODUCT(
tb_desp[valor]*
(tb_desp[centro.negocio]=BK$2)*
(tb_desp[nucleo]=BK54)*
(tb_desp[data.pagamento]&gt;='n&amp;cn'!$C$1)*
(tb_desp[data.pagamento]&lt;='n&amp;cn'!$C$2)
))</f>
        <v/>
      </c>
      <c r="BK54" s="267"/>
      <c r="BL54" s="290" t="str" cm="1">
        <f t="array" ref="BL54">IF(BM54="",
"",
SUMPRODUCT(
tb_desp[valor]*
(tb_desp[centro.negocio]=BM$2)*
(tb_desp[nucleo]=BM54)*
(tb_desp[data.pagamento]&gt;='n&amp;cn'!$C$1)*
(tb_desp[data.pagamento]&lt;='n&amp;cn'!$C$2)
))</f>
        <v/>
      </c>
      <c r="BM54" s="267"/>
      <c r="BN54" s="290" t="str" cm="1">
        <f t="array" ref="BN54">IF(BO54="",
"",
SUMPRODUCT(
tb_desp[valor]*
(tb_desp[centro.negocio]=BO$2)*
(tb_desp[nucleo]=BO54)*
(tb_desp[data.pagamento]&gt;='n&amp;cn'!$C$1)*
(tb_desp[data.pagamento]&lt;='n&amp;cn'!$C$2)
))</f>
        <v/>
      </c>
      <c r="BO54" s="267"/>
    </row>
    <row r="55" spans="1:67" x14ac:dyDescent="0.25">
      <c r="H55" s="168"/>
      <c r="I55" s="163">
        <f t="shared" si="3"/>
        <v>48</v>
      </c>
      <c r="K55" s="164"/>
      <c r="L55" s="167" t="e">
        <f t="shared" si="4"/>
        <v>#DIV/0!</v>
      </c>
      <c r="M55" s="167" t="e">
        <f>SUM($L$8:$L55)</f>
        <v>#DIV/0!</v>
      </c>
      <c r="R55" s="290" t="str" cm="1">
        <f t="array" ref="R55">IF(S55="",
"",
SUMPRODUCT(
tb_desp[valor]*
(tb_desp[centro.negocio]=S$2)*
(tb_desp[nucleo]=S55)*
(tb_desp[data.pagamento]&gt;='n&amp;cn'!$C$1)*
(tb_desp[data.pagamento]&lt;='n&amp;cn'!$C$2)
))</f>
        <v/>
      </c>
      <c r="S55" s="267"/>
      <c r="T55" s="290" t="str" cm="1">
        <f t="array" ref="T55">IF(U55="",
"",
SUMPRODUCT(
tb_desp[valor]*
(tb_desp[centro.negocio]=U$2)*
(tb_desp[nucleo]=U55)*
(tb_desp[data.pagamento]&gt;='n&amp;cn'!$C$1)*
(tb_desp[data.pagamento]&lt;='n&amp;cn'!$C$2)
))</f>
        <v/>
      </c>
      <c r="U55" s="267"/>
      <c r="V55" s="290" t="str" cm="1">
        <f t="array" ref="V55">IF(W55="",
"",
SUMPRODUCT(
tb_desp[valor]*
(tb_desp[centro.negocio]=W$2)*
(tb_desp[nucleo]=W55)*
(tb_desp[data.pagamento]&gt;='n&amp;cn'!$C$1)*
(tb_desp[data.pagamento]&lt;='n&amp;cn'!$C$2)
))</f>
        <v/>
      </c>
      <c r="W55" s="267"/>
      <c r="X55" s="290" t="str" cm="1">
        <f t="array" ref="X55">IF(Y55="",
"",
SUMPRODUCT(
tb_desp[valor]*
(tb_desp[centro.negocio]=Y$2)*
(tb_desp[nucleo]=Y55)*
(tb_desp[data.pagamento]&gt;='n&amp;cn'!$C$1)*
(tb_desp[data.pagamento]&lt;='n&amp;cn'!$C$2)
))</f>
        <v/>
      </c>
      <c r="Y55" s="267"/>
      <c r="Z55" s="290" t="str" cm="1">
        <f t="array" ref="Z55">IF(AA55="",
"",
SUMPRODUCT(
tb_desp[valor]*
(tb_desp[centro.negocio]=AA$2)*
(tb_desp[nucleo]=AA55)*
(tb_desp[data.pagamento]&gt;='n&amp;cn'!$C$1)*
(tb_desp[data.pagamento]&lt;='n&amp;cn'!$C$2)
))</f>
        <v/>
      </c>
      <c r="AA55" s="267"/>
      <c r="AB55" s="290" t="str" cm="1">
        <f t="array" ref="AB55">IF(AC55="",
"",
SUMPRODUCT(
tb_desp[valor]*
(tb_desp[centro.negocio]=AC$2)*
(tb_desp[nucleo]=AC55)*
(tb_desp[data.pagamento]&gt;='n&amp;cn'!$C$1)*
(tb_desp[data.pagamento]&lt;='n&amp;cn'!$C$2)
))</f>
        <v/>
      </c>
      <c r="AC55" s="267"/>
      <c r="AD55" s="290" t="str" cm="1">
        <f t="array" ref="AD55">IF(AE55="",
"",
SUMPRODUCT(
tb_desp[valor]*
(tb_desp[centro.negocio]=AE$2)*
(tb_desp[nucleo]=AE55)*
(tb_desp[data.pagamento]&gt;='n&amp;cn'!$C$1)*
(tb_desp[data.pagamento]&lt;='n&amp;cn'!$C$2)
))</f>
        <v/>
      </c>
      <c r="AE55" s="267"/>
      <c r="AF55" s="290" t="str" cm="1">
        <f t="array" ref="AF55">IF(AG55="",
"",
SUMPRODUCT(
tb_desp[valor]*
(tb_desp[centro.negocio]=AG$2)*
(tb_desp[nucleo]=AG55)*
(tb_desp[data.pagamento]&gt;='n&amp;cn'!$C$1)*
(tb_desp[data.pagamento]&lt;='n&amp;cn'!$C$2)
))</f>
        <v/>
      </c>
      <c r="AG55" s="267"/>
      <c r="AH55" s="290" t="str" cm="1">
        <f t="array" ref="AH55">IF(AI55="",
"",
SUMPRODUCT(
tb_desp[valor]*
(tb_desp[centro.negocio]=AI$2)*
(tb_desp[nucleo]=AI55)*
(tb_desp[data.pagamento]&gt;='n&amp;cn'!$C$1)*
(tb_desp[data.pagamento]&lt;='n&amp;cn'!$C$2)
))</f>
        <v/>
      </c>
      <c r="AI55" s="267"/>
      <c r="AJ55" s="290" t="str" cm="1">
        <f t="array" ref="AJ55">IF(AK55="",
"",
SUMPRODUCT(
tb_desp[valor]*
(tb_desp[centro.negocio]=AK$2)*
(tb_desp[nucleo]=AK55)*
(tb_desp[data.pagamento]&gt;='n&amp;cn'!$C$1)*
(tb_desp[data.pagamento]&lt;='n&amp;cn'!$C$2)
))</f>
        <v/>
      </c>
      <c r="AK55" s="267"/>
      <c r="AL55" s="290" t="str" cm="1">
        <f t="array" ref="AL55">IF(AM55="",
"",
SUMPRODUCT(
tb_desp[valor]*
(tb_desp[centro.negocio]=AM$2)*
(tb_desp[nucleo]=AM55)*
(tb_desp[data.pagamento]&gt;='n&amp;cn'!$C$1)*
(tb_desp[data.pagamento]&lt;='n&amp;cn'!$C$2)
))</f>
        <v/>
      </c>
      <c r="AM55" s="267"/>
      <c r="AN55" s="290" t="str" cm="1">
        <f t="array" ref="AN55">IF(AO55="",
"",
SUMPRODUCT(
tb_desp[valor]*
(tb_desp[centro.negocio]=AO$2)*
(tb_desp[nucleo]=AO55)*
(tb_desp[data.pagamento]&gt;='n&amp;cn'!$C$1)*
(tb_desp[data.pagamento]&lt;='n&amp;cn'!$C$2)
))</f>
        <v/>
      </c>
      <c r="AO55" s="267"/>
      <c r="AP55" s="290" t="str" cm="1">
        <f t="array" ref="AP55">IF(AQ55="",
"",
SUMPRODUCT(
tb_desp[valor]*
(tb_desp[centro.negocio]=AQ$2)*
(tb_desp[nucleo]=AQ55)*
(tb_desp[data.pagamento]&gt;='n&amp;cn'!$C$1)*
(tb_desp[data.pagamento]&lt;='n&amp;cn'!$C$2)
))</f>
        <v/>
      </c>
      <c r="AQ55" s="267"/>
      <c r="AR55" s="290" t="str" cm="1">
        <f t="array" ref="AR55">IF(AS55="",
"",
SUMPRODUCT(
tb_desp[valor]*
(tb_desp[centro.negocio]=AS$2)*
(tb_desp[nucleo]=AS55)*
(tb_desp[data.pagamento]&gt;='n&amp;cn'!$C$1)*
(tb_desp[data.pagamento]&lt;='n&amp;cn'!$C$2)
))</f>
        <v/>
      </c>
      <c r="AS55" s="267"/>
      <c r="AT55" s="290" t="str" cm="1">
        <f t="array" ref="AT55">IF(AU55="",
"",
SUMPRODUCT(
tb_desp[valor]*
(tb_desp[centro.negocio]=AU$2)*
(tb_desp[nucleo]=AU55)*
(tb_desp[data.pagamento]&gt;='n&amp;cn'!$C$1)*
(tb_desp[data.pagamento]&lt;='n&amp;cn'!$C$2)
))</f>
        <v/>
      </c>
      <c r="AU55" s="267"/>
      <c r="AV55" s="290" t="str" cm="1">
        <f t="array" ref="AV55">IF(AW55="",
"",
SUMPRODUCT(
tb_desp[valor]*
(tb_desp[centro.negocio]=AW$2)*
(tb_desp[nucleo]=AW55)*
(tb_desp[data.pagamento]&gt;='n&amp;cn'!$C$1)*
(tb_desp[data.pagamento]&lt;='n&amp;cn'!$C$2)
))</f>
        <v/>
      </c>
      <c r="AW55" s="267"/>
      <c r="AX55" s="290" t="str" cm="1">
        <f t="array" ref="AX55">IF(AY55="",
"",
SUMPRODUCT(
tb_desp[valor]*
(tb_desp[centro.negocio]=AY$2)*
(tb_desp[nucleo]=AY55)*
(tb_desp[data.pagamento]&gt;='n&amp;cn'!$C$1)*
(tb_desp[data.pagamento]&lt;='n&amp;cn'!$C$2)
))</f>
        <v/>
      </c>
      <c r="AY55" s="267"/>
      <c r="AZ55" s="290" t="str" cm="1">
        <f t="array" ref="AZ55">IF(BA55="",
"",
SUMPRODUCT(
tb_desp[valor]*
(tb_desp[centro.negocio]=BA$2)*
(tb_desp[nucleo]=BA55)*
(tb_desp[data.pagamento]&gt;='n&amp;cn'!$C$1)*
(tb_desp[data.pagamento]&lt;='n&amp;cn'!$C$2)
))</f>
        <v/>
      </c>
      <c r="BA55" s="267"/>
      <c r="BB55" s="290" t="str" cm="1">
        <f t="array" ref="BB55">IF(BC55="",
"",
SUMPRODUCT(
tb_desp[valor]*
(tb_desp[centro.negocio]=BC$2)*
(tb_desp[nucleo]=BC55)*
(tb_desp[data.pagamento]&gt;='n&amp;cn'!$C$1)*
(tb_desp[data.pagamento]&lt;='n&amp;cn'!$C$2)
))</f>
        <v/>
      </c>
      <c r="BC55" s="267"/>
      <c r="BD55" s="290" t="str" cm="1">
        <f t="array" ref="BD55">IF(BE55="",
"",
SUMPRODUCT(
tb_desp[valor]*
(tb_desp[centro.negocio]=BE$2)*
(tb_desp[nucleo]=BE55)*
(tb_desp[data.pagamento]&gt;='n&amp;cn'!$C$1)*
(tb_desp[data.pagamento]&lt;='n&amp;cn'!$C$2)
))</f>
        <v/>
      </c>
      <c r="BE55" s="267"/>
      <c r="BF55" s="290" t="str" cm="1">
        <f t="array" ref="BF55">IF(BG55="",
"",
SUMPRODUCT(
tb_desp[valor]*
(tb_desp[centro.negocio]=BG$2)*
(tb_desp[nucleo]=BG55)*
(tb_desp[data.pagamento]&gt;='n&amp;cn'!$C$1)*
(tb_desp[data.pagamento]&lt;='n&amp;cn'!$C$2)
))</f>
        <v/>
      </c>
      <c r="BG55" s="267"/>
      <c r="BH55" s="290" t="str" cm="1">
        <f t="array" ref="BH55">IF(BI55="",
"",
SUMPRODUCT(
tb_desp[valor]*
(tb_desp[centro.negocio]=BI$2)*
(tb_desp[nucleo]=BI55)*
(tb_desp[data.pagamento]&gt;='n&amp;cn'!$C$1)*
(tb_desp[data.pagamento]&lt;='n&amp;cn'!$C$2)
))</f>
        <v/>
      </c>
      <c r="BI55" s="267"/>
      <c r="BJ55" s="290" t="str" cm="1">
        <f t="array" ref="BJ55">IF(BK55="",
"",
SUMPRODUCT(
tb_desp[valor]*
(tb_desp[centro.negocio]=BK$2)*
(tb_desp[nucleo]=BK55)*
(tb_desp[data.pagamento]&gt;='n&amp;cn'!$C$1)*
(tb_desp[data.pagamento]&lt;='n&amp;cn'!$C$2)
))</f>
        <v/>
      </c>
      <c r="BK55" s="267"/>
      <c r="BL55" s="290" t="str" cm="1">
        <f t="array" ref="BL55">IF(BM55="",
"",
SUMPRODUCT(
tb_desp[valor]*
(tb_desp[centro.negocio]=BM$2)*
(tb_desp[nucleo]=BM55)*
(tb_desp[data.pagamento]&gt;='n&amp;cn'!$C$1)*
(tb_desp[data.pagamento]&lt;='n&amp;cn'!$C$2)
))</f>
        <v/>
      </c>
      <c r="BM55" s="267"/>
      <c r="BN55" s="290" t="str" cm="1">
        <f t="array" ref="BN55">IF(BO55="",
"",
SUMPRODUCT(
tb_desp[valor]*
(tb_desp[centro.negocio]=BO$2)*
(tb_desp[nucleo]=BO55)*
(tb_desp[data.pagamento]&gt;='n&amp;cn'!$C$1)*
(tb_desp[data.pagamento]&lt;='n&amp;cn'!$C$2)
))</f>
        <v/>
      </c>
      <c r="BO55" s="267"/>
    </row>
    <row r="56" spans="1:67" x14ac:dyDescent="0.25">
      <c r="H56" s="168"/>
      <c r="I56" s="163">
        <f t="shared" si="3"/>
        <v>49</v>
      </c>
      <c r="K56" s="164"/>
      <c r="L56" s="167" t="e">
        <f t="shared" si="4"/>
        <v>#DIV/0!</v>
      </c>
      <c r="M56" s="167" t="e">
        <f>SUM($L$8:$L56)</f>
        <v>#DIV/0!</v>
      </c>
      <c r="R56" s="290" t="str" cm="1">
        <f t="array" ref="R56">IF(S56="",
"",
SUMPRODUCT(
tb_desp[valor]*
(tb_desp[centro.negocio]=S$2)*
(tb_desp[nucleo]=S56)*
(tb_desp[data.pagamento]&gt;='n&amp;cn'!$C$1)*
(tb_desp[data.pagamento]&lt;='n&amp;cn'!$C$2)
))</f>
        <v/>
      </c>
      <c r="S56" s="267"/>
      <c r="T56" s="290" t="str" cm="1">
        <f t="array" ref="T56">IF(U56="",
"",
SUMPRODUCT(
tb_desp[valor]*
(tb_desp[centro.negocio]=U$2)*
(tb_desp[nucleo]=U56)*
(tb_desp[data.pagamento]&gt;='n&amp;cn'!$C$1)*
(tb_desp[data.pagamento]&lt;='n&amp;cn'!$C$2)
))</f>
        <v/>
      </c>
      <c r="U56" s="267"/>
      <c r="V56" s="290" t="str" cm="1">
        <f t="array" ref="V56">IF(W56="",
"",
SUMPRODUCT(
tb_desp[valor]*
(tb_desp[centro.negocio]=W$2)*
(tb_desp[nucleo]=W56)*
(tb_desp[data.pagamento]&gt;='n&amp;cn'!$C$1)*
(tb_desp[data.pagamento]&lt;='n&amp;cn'!$C$2)
))</f>
        <v/>
      </c>
      <c r="W56" s="267"/>
      <c r="X56" s="290" t="str" cm="1">
        <f t="array" ref="X56">IF(Y56="",
"",
SUMPRODUCT(
tb_desp[valor]*
(tb_desp[centro.negocio]=Y$2)*
(tb_desp[nucleo]=Y56)*
(tb_desp[data.pagamento]&gt;='n&amp;cn'!$C$1)*
(tb_desp[data.pagamento]&lt;='n&amp;cn'!$C$2)
))</f>
        <v/>
      </c>
      <c r="Y56" s="267"/>
      <c r="Z56" s="290" t="str" cm="1">
        <f t="array" ref="Z56">IF(AA56="",
"",
SUMPRODUCT(
tb_desp[valor]*
(tb_desp[centro.negocio]=AA$2)*
(tb_desp[nucleo]=AA56)*
(tb_desp[data.pagamento]&gt;='n&amp;cn'!$C$1)*
(tb_desp[data.pagamento]&lt;='n&amp;cn'!$C$2)
))</f>
        <v/>
      </c>
      <c r="AA56" s="267"/>
      <c r="AB56" s="290" t="str" cm="1">
        <f t="array" ref="AB56">IF(AC56="",
"",
SUMPRODUCT(
tb_desp[valor]*
(tb_desp[centro.negocio]=AC$2)*
(tb_desp[nucleo]=AC56)*
(tb_desp[data.pagamento]&gt;='n&amp;cn'!$C$1)*
(tb_desp[data.pagamento]&lt;='n&amp;cn'!$C$2)
))</f>
        <v/>
      </c>
      <c r="AC56" s="267"/>
      <c r="AD56" s="290" t="str" cm="1">
        <f t="array" ref="AD56">IF(AE56="",
"",
SUMPRODUCT(
tb_desp[valor]*
(tb_desp[centro.negocio]=AE$2)*
(tb_desp[nucleo]=AE56)*
(tb_desp[data.pagamento]&gt;='n&amp;cn'!$C$1)*
(tb_desp[data.pagamento]&lt;='n&amp;cn'!$C$2)
))</f>
        <v/>
      </c>
      <c r="AE56" s="267"/>
      <c r="AF56" s="290" t="str" cm="1">
        <f t="array" ref="AF56">IF(AG56="",
"",
SUMPRODUCT(
tb_desp[valor]*
(tb_desp[centro.negocio]=AG$2)*
(tb_desp[nucleo]=AG56)*
(tb_desp[data.pagamento]&gt;='n&amp;cn'!$C$1)*
(tb_desp[data.pagamento]&lt;='n&amp;cn'!$C$2)
))</f>
        <v/>
      </c>
      <c r="AG56" s="267"/>
      <c r="AH56" s="290" t="str" cm="1">
        <f t="array" ref="AH56">IF(AI56="",
"",
SUMPRODUCT(
tb_desp[valor]*
(tb_desp[centro.negocio]=AI$2)*
(tb_desp[nucleo]=AI56)*
(tb_desp[data.pagamento]&gt;='n&amp;cn'!$C$1)*
(tb_desp[data.pagamento]&lt;='n&amp;cn'!$C$2)
))</f>
        <v/>
      </c>
      <c r="AI56" s="267"/>
      <c r="AJ56" s="290" t="str" cm="1">
        <f t="array" ref="AJ56">IF(AK56="",
"",
SUMPRODUCT(
tb_desp[valor]*
(tb_desp[centro.negocio]=AK$2)*
(tb_desp[nucleo]=AK56)*
(tb_desp[data.pagamento]&gt;='n&amp;cn'!$C$1)*
(tb_desp[data.pagamento]&lt;='n&amp;cn'!$C$2)
))</f>
        <v/>
      </c>
      <c r="AK56" s="267"/>
      <c r="AL56" s="290" t="str" cm="1">
        <f t="array" ref="AL56">IF(AM56="",
"",
SUMPRODUCT(
tb_desp[valor]*
(tb_desp[centro.negocio]=AM$2)*
(tb_desp[nucleo]=AM56)*
(tb_desp[data.pagamento]&gt;='n&amp;cn'!$C$1)*
(tb_desp[data.pagamento]&lt;='n&amp;cn'!$C$2)
))</f>
        <v/>
      </c>
      <c r="AM56" s="267"/>
      <c r="AN56" s="290" t="str" cm="1">
        <f t="array" ref="AN56">IF(AO56="",
"",
SUMPRODUCT(
tb_desp[valor]*
(tb_desp[centro.negocio]=AO$2)*
(tb_desp[nucleo]=AO56)*
(tb_desp[data.pagamento]&gt;='n&amp;cn'!$C$1)*
(tb_desp[data.pagamento]&lt;='n&amp;cn'!$C$2)
))</f>
        <v/>
      </c>
      <c r="AO56" s="267"/>
      <c r="AP56" s="290" t="str" cm="1">
        <f t="array" ref="AP56">IF(AQ56="",
"",
SUMPRODUCT(
tb_desp[valor]*
(tb_desp[centro.negocio]=AQ$2)*
(tb_desp[nucleo]=AQ56)*
(tb_desp[data.pagamento]&gt;='n&amp;cn'!$C$1)*
(tb_desp[data.pagamento]&lt;='n&amp;cn'!$C$2)
))</f>
        <v/>
      </c>
      <c r="AQ56" s="267"/>
      <c r="AR56" s="290" t="str" cm="1">
        <f t="array" ref="AR56">IF(AS56="",
"",
SUMPRODUCT(
tb_desp[valor]*
(tb_desp[centro.negocio]=AS$2)*
(tb_desp[nucleo]=AS56)*
(tb_desp[data.pagamento]&gt;='n&amp;cn'!$C$1)*
(tb_desp[data.pagamento]&lt;='n&amp;cn'!$C$2)
))</f>
        <v/>
      </c>
      <c r="AS56" s="267"/>
      <c r="AT56" s="290" t="str" cm="1">
        <f t="array" ref="AT56">IF(AU56="",
"",
SUMPRODUCT(
tb_desp[valor]*
(tb_desp[centro.negocio]=AU$2)*
(tb_desp[nucleo]=AU56)*
(tb_desp[data.pagamento]&gt;='n&amp;cn'!$C$1)*
(tb_desp[data.pagamento]&lt;='n&amp;cn'!$C$2)
))</f>
        <v/>
      </c>
      <c r="AU56" s="267"/>
      <c r="AV56" s="290" t="str" cm="1">
        <f t="array" ref="AV56">IF(AW56="",
"",
SUMPRODUCT(
tb_desp[valor]*
(tb_desp[centro.negocio]=AW$2)*
(tb_desp[nucleo]=AW56)*
(tb_desp[data.pagamento]&gt;='n&amp;cn'!$C$1)*
(tb_desp[data.pagamento]&lt;='n&amp;cn'!$C$2)
))</f>
        <v/>
      </c>
      <c r="AW56" s="267"/>
      <c r="AX56" s="290" t="str" cm="1">
        <f t="array" ref="AX56">IF(AY56="",
"",
SUMPRODUCT(
tb_desp[valor]*
(tb_desp[centro.negocio]=AY$2)*
(tb_desp[nucleo]=AY56)*
(tb_desp[data.pagamento]&gt;='n&amp;cn'!$C$1)*
(tb_desp[data.pagamento]&lt;='n&amp;cn'!$C$2)
))</f>
        <v/>
      </c>
      <c r="AY56" s="267"/>
      <c r="AZ56" s="290" t="str" cm="1">
        <f t="array" ref="AZ56">IF(BA56="",
"",
SUMPRODUCT(
tb_desp[valor]*
(tb_desp[centro.negocio]=BA$2)*
(tb_desp[nucleo]=BA56)*
(tb_desp[data.pagamento]&gt;='n&amp;cn'!$C$1)*
(tb_desp[data.pagamento]&lt;='n&amp;cn'!$C$2)
))</f>
        <v/>
      </c>
      <c r="BA56" s="267"/>
      <c r="BB56" s="290" t="str" cm="1">
        <f t="array" ref="BB56">IF(BC56="",
"",
SUMPRODUCT(
tb_desp[valor]*
(tb_desp[centro.negocio]=BC$2)*
(tb_desp[nucleo]=BC56)*
(tb_desp[data.pagamento]&gt;='n&amp;cn'!$C$1)*
(tb_desp[data.pagamento]&lt;='n&amp;cn'!$C$2)
))</f>
        <v/>
      </c>
      <c r="BC56" s="267"/>
      <c r="BD56" s="290" t="str" cm="1">
        <f t="array" ref="BD56">IF(BE56="",
"",
SUMPRODUCT(
tb_desp[valor]*
(tb_desp[centro.negocio]=BE$2)*
(tb_desp[nucleo]=BE56)*
(tb_desp[data.pagamento]&gt;='n&amp;cn'!$C$1)*
(tb_desp[data.pagamento]&lt;='n&amp;cn'!$C$2)
))</f>
        <v/>
      </c>
      <c r="BE56" s="267"/>
      <c r="BF56" s="290" t="str" cm="1">
        <f t="array" ref="BF56">IF(BG56="",
"",
SUMPRODUCT(
tb_desp[valor]*
(tb_desp[centro.negocio]=BG$2)*
(tb_desp[nucleo]=BG56)*
(tb_desp[data.pagamento]&gt;='n&amp;cn'!$C$1)*
(tb_desp[data.pagamento]&lt;='n&amp;cn'!$C$2)
))</f>
        <v/>
      </c>
      <c r="BG56" s="267"/>
      <c r="BH56" s="290" t="str" cm="1">
        <f t="array" ref="BH56">IF(BI56="",
"",
SUMPRODUCT(
tb_desp[valor]*
(tb_desp[centro.negocio]=BI$2)*
(tb_desp[nucleo]=BI56)*
(tb_desp[data.pagamento]&gt;='n&amp;cn'!$C$1)*
(tb_desp[data.pagamento]&lt;='n&amp;cn'!$C$2)
))</f>
        <v/>
      </c>
      <c r="BI56" s="267"/>
      <c r="BJ56" s="290" t="str" cm="1">
        <f t="array" ref="BJ56">IF(BK56="",
"",
SUMPRODUCT(
tb_desp[valor]*
(tb_desp[centro.negocio]=BK$2)*
(tb_desp[nucleo]=BK56)*
(tb_desp[data.pagamento]&gt;='n&amp;cn'!$C$1)*
(tb_desp[data.pagamento]&lt;='n&amp;cn'!$C$2)
))</f>
        <v/>
      </c>
      <c r="BK56" s="267"/>
      <c r="BL56" s="290" t="str" cm="1">
        <f t="array" ref="BL56">IF(BM56="",
"",
SUMPRODUCT(
tb_desp[valor]*
(tb_desp[centro.negocio]=BM$2)*
(tb_desp[nucleo]=BM56)*
(tb_desp[data.pagamento]&gt;='n&amp;cn'!$C$1)*
(tb_desp[data.pagamento]&lt;='n&amp;cn'!$C$2)
))</f>
        <v/>
      </c>
      <c r="BM56" s="267"/>
      <c r="BN56" s="290" t="str" cm="1">
        <f t="array" ref="BN56">IF(BO56="",
"",
SUMPRODUCT(
tb_desp[valor]*
(tb_desp[centro.negocio]=BO$2)*
(tb_desp[nucleo]=BO56)*
(tb_desp[data.pagamento]&gt;='n&amp;cn'!$C$1)*
(tb_desp[data.pagamento]&lt;='n&amp;cn'!$C$2)
))</f>
        <v/>
      </c>
      <c r="BO56" s="267"/>
    </row>
    <row r="57" spans="1:67" x14ac:dyDescent="0.25">
      <c r="H57" s="168"/>
      <c r="I57" s="163">
        <f t="shared" si="3"/>
        <v>50</v>
      </c>
      <c r="K57" s="164"/>
      <c r="L57" s="167" t="e">
        <f t="shared" si="4"/>
        <v>#DIV/0!</v>
      </c>
      <c r="M57" s="167" t="e">
        <f>SUM($L$8:$L57)</f>
        <v>#DIV/0!</v>
      </c>
      <c r="R57" s="290" t="str" cm="1">
        <f t="array" ref="R57">IF(S57="",
"",
SUMPRODUCT(
tb_desp[valor]*
(tb_desp[centro.negocio]=S$2)*
(tb_desp[nucleo]=S57)*
(tb_desp[data.pagamento]&gt;='n&amp;cn'!$C$1)*
(tb_desp[data.pagamento]&lt;='n&amp;cn'!$C$2)
))</f>
        <v/>
      </c>
      <c r="S57" s="267"/>
      <c r="T57" s="290" t="str" cm="1">
        <f t="array" ref="T57">IF(U57="",
"",
SUMPRODUCT(
tb_desp[valor]*
(tb_desp[centro.negocio]=U$2)*
(tb_desp[nucleo]=U57)*
(tb_desp[data.pagamento]&gt;='n&amp;cn'!$C$1)*
(tb_desp[data.pagamento]&lt;='n&amp;cn'!$C$2)
))</f>
        <v/>
      </c>
      <c r="U57" s="267"/>
      <c r="V57" s="290" t="str" cm="1">
        <f t="array" ref="V57">IF(W57="",
"",
SUMPRODUCT(
tb_desp[valor]*
(tb_desp[centro.negocio]=W$2)*
(tb_desp[nucleo]=W57)*
(tb_desp[data.pagamento]&gt;='n&amp;cn'!$C$1)*
(tb_desp[data.pagamento]&lt;='n&amp;cn'!$C$2)
))</f>
        <v/>
      </c>
      <c r="W57" s="267"/>
      <c r="X57" s="290" t="str" cm="1">
        <f t="array" ref="X57">IF(Y57="",
"",
SUMPRODUCT(
tb_desp[valor]*
(tb_desp[centro.negocio]=Y$2)*
(tb_desp[nucleo]=Y57)*
(tb_desp[data.pagamento]&gt;='n&amp;cn'!$C$1)*
(tb_desp[data.pagamento]&lt;='n&amp;cn'!$C$2)
))</f>
        <v/>
      </c>
      <c r="Y57" s="267"/>
      <c r="Z57" s="290" t="str" cm="1">
        <f t="array" ref="Z57">IF(AA57="",
"",
SUMPRODUCT(
tb_desp[valor]*
(tb_desp[centro.negocio]=AA$2)*
(tb_desp[nucleo]=AA57)*
(tb_desp[data.pagamento]&gt;='n&amp;cn'!$C$1)*
(tb_desp[data.pagamento]&lt;='n&amp;cn'!$C$2)
))</f>
        <v/>
      </c>
      <c r="AA57" s="267"/>
      <c r="AB57" s="290" t="str" cm="1">
        <f t="array" ref="AB57">IF(AC57="",
"",
SUMPRODUCT(
tb_desp[valor]*
(tb_desp[centro.negocio]=AC$2)*
(tb_desp[nucleo]=AC57)*
(tb_desp[data.pagamento]&gt;='n&amp;cn'!$C$1)*
(tb_desp[data.pagamento]&lt;='n&amp;cn'!$C$2)
))</f>
        <v/>
      </c>
      <c r="AC57" s="267"/>
      <c r="AD57" s="290" t="str" cm="1">
        <f t="array" ref="AD57">IF(AE57="",
"",
SUMPRODUCT(
tb_desp[valor]*
(tb_desp[centro.negocio]=AE$2)*
(tb_desp[nucleo]=AE57)*
(tb_desp[data.pagamento]&gt;='n&amp;cn'!$C$1)*
(tb_desp[data.pagamento]&lt;='n&amp;cn'!$C$2)
))</f>
        <v/>
      </c>
      <c r="AE57" s="267"/>
      <c r="AF57" s="290" t="str" cm="1">
        <f t="array" ref="AF57">IF(AG57="",
"",
SUMPRODUCT(
tb_desp[valor]*
(tb_desp[centro.negocio]=AG$2)*
(tb_desp[nucleo]=AG57)*
(tb_desp[data.pagamento]&gt;='n&amp;cn'!$C$1)*
(tb_desp[data.pagamento]&lt;='n&amp;cn'!$C$2)
))</f>
        <v/>
      </c>
      <c r="AG57" s="267"/>
      <c r="AH57" s="290" t="str" cm="1">
        <f t="array" ref="AH57">IF(AI57="",
"",
SUMPRODUCT(
tb_desp[valor]*
(tb_desp[centro.negocio]=AI$2)*
(tb_desp[nucleo]=AI57)*
(tb_desp[data.pagamento]&gt;='n&amp;cn'!$C$1)*
(tb_desp[data.pagamento]&lt;='n&amp;cn'!$C$2)
))</f>
        <v/>
      </c>
      <c r="AI57" s="267"/>
      <c r="AJ57" s="290" t="str" cm="1">
        <f t="array" ref="AJ57">IF(AK57="",
"",
SUMPRODUCT(
tb_desp[valor]*
(tb_desp[centro.negocio]=AK$2)*
(tb_desp[nucleo]=AK57)*
(tb_desp[data.pagamento]&gt;='n&amp;cn'!$C$1)*
(tb_desp[data.pagamento]&lt;='n&amp;cn'!$C$2)
))</f>
        <v/>
      </c>
      <c r="AK57" s="267"/>
      <c r="AL57" s="290" t="str" cm="1">
        <f t="array" ref="AL57">IF(AM57="",
"",
SUMPRODUCT(
tb_desp[valor]*
(tb_desp[centro.negocio]=AM$2)*
(tb_desp[nucleo]=AM57)*
(tb_desp[data.pagamento]&gt;='n&amp;cn'!$C$1)*
(tb_desp[data.pagamento]&lt;='n&amp;cn'!$C$2)
))</f>
        <v/>
      </c>
      <c r="AM57" s="267"/>
      <c r="AN57" s="290" t="str" cm="1">
        <f t="array" ref="AN57">IF(AO57="",
"",
SUMPRODUCT(
tb_desp[valor]*
(tb_desp[centro.negocio]=AO$2)*
(tb_desp[nucleo]=AO57)*
(tb_desp[data.pagamento]&gt;='n&amp;cn'!$C$1)*
(tb_desp[data.pagamento]&lt;='n&amp;cn'!$C$2)
))</f>
        <v/>
      </c>
      <c r="AO57" s="267"/>
      <c r="AP57" s="290" t="str" cm="1">
        <f t="array" ref="AP57">IF(AQ57="",
"",
SUMPRODUCT(
tb_desp[valor]*
(tb_desp[centro.negocio]=AQ$2)*
(tb_desp[nucleo]=AQ57)*
(tb_desp[data.pagamento]&gt;='n&amp;cn'!$C$1)*
(tb_desp[data.pagamento]&lt;='n&amp;cn'!$C$2)
))</f>
        <v/>
      </c>
      <c r="AQ57" s="267"/>
      <c r="AR57" s="290" t="str" cm="1">
        <f t="array" ref="AR57">IF(AS57="",
"",
SUMPRODUCT(
tb_desp[valor]*
(tb_desp[centro.negocio]=AS$2)*
(tb_desp[nucleo]=AS57)*
(tb_desp[data.pagamento]&gt;='n&amp;cn'!$C$1)*
(tb_desp[data.pagamento]&lt;='n&amp;cn'!$C$2)
))</f>
        <v/>
      </c>
      <c r="AS57" s="267"/>
      <c r="AT57" s="290" t="str" cm="1">
        <f t="array" ref="AT57">IF(AU57="",
"",
SUMPRODUCT(
tb_desp[valor]*
(tb_desp[centro.negocio]=AU$2)*
(tb_desp[nucleo]=AU57)*
(tb_desp[data.pagamento]&gt;='n&amp;cn'!$C$1)*
(tb_desp[data.pagamento]&lt;='n&amp;cn'!$C$2)
))</f>
        <v/>
      </c>
      <c r="AU57" s="267"/>
      <c r="AV57" s="290" t="str" cm="1">
        <f t="array" ref="AV57">IF(AW57="",
"",
SUMPRODUCT(
tb_desp[valor]*
(tb_desp[centro.negocio]=AW$2)*
(tb_desp[nucleo]=AW57)*
(tb_desp[data.pagamento]&gt;='n&amp;cn'!$C$1)*
(tb_desp[data.pagamento]&lt;='n&amp;cn'!$C$2)
))</f>
        <v/>
      </c>
      <c r="AW57" s="267"/>
      <c r="AX57" s="290" t="str" cm="1">
        <f t="array" ref="AX57">IF(AY57="",
"",
SUMPRODUCT(
tb_desp[valor]*
(tb_desp[centro.negocio]=AY$2)*
(tb_desp[nucleo]=AY57)*
(tb_desp[data.pagamento]&gt;='n&amp;cn'!$C$1)*
(tb_desp[data.pagamento]&lt;='n&amp;cn'!$C$2)
))</f>
        <v/>
      </c>
      <c r="AY57" s="267"/>
      <c r="AZ57" s="290" t="str" cm="1">
        <f t="array" ref="AZ57">IF(BA57="",
"",
SUMPRODUCT(
tb_desp[valor]*
(tb_desp[centro.negocio]=BA$2)*
(tb_desp[nucleo]=BA57)*
(tb_desp[data.pagamento]&gt;='n&amp;cn'!$C$1)*
(tb_desp[data.pagamento]&lt;='n&amp;cn'!$C$2)
))</f>
        <v/>
      </c>
      <c r="BA57" s="267"/>
      <c r="BB57" s="290" t="str" cm="1">
        <f t="array" ref="BB57">IF(BC57="",
"",
SUMPRODUCT(
tb_desp[valor]*
(tb_desp[centro.negocio]=BC$2)*
(tb_desp[nucleo]=BC57)*
(tb_desp[data.pagamento]&gt;='n&amp;cn'!$C$1)*
(tb_desp[data.pagamento]&lt;='n&amp;cn'!$C$2)
))</f>
        <v/>
      </c>
      <c r="BC57" s="267"/>
      <c r="BD57" s="290" t="str" cm="1">
        <f t="array" ref="BD57">IF(BE57="",
"",
SUMPRODUCT(
tb_desp[valor]*
(tb_desp[centro.negocio]=BE$2)*
(tb_desp[nucleo]=BE57)*
(tb_desp[data.pagamento]&gt;='n&amp;cn'!$C$1)*
(tb_desp[data.pagamento]&lt;='n&amp;cn'!$C$2)
))</f>
        <v/>
      </c>
      <c r="BE57" s="267"/>
      <c r="BF57" s="290" t="str" cm="1">
        <f t="array" ref="BF57">IF(BG57="",
"",
SUMPRODUCT(
tb_desp[valor]*
(tb_desp[centro.negocio]=BG$2)*
(tb_desp[nucleo]=BG57)*
(tb_desp[data.pagamento]&gt;='n&amp;cn'!$C$1)*
(tb_desp[data.pagamento]&lt;='n&amp;cn'!$C$2)
))</f>
        <v/>
      </c>
      <c r="BG57" s="267"/>
      <c r="BH57" s="290" t="str" cm="1">
        <f t="array" ref="BH57">IF(BI57="",
"",
SUMPRODUCT(
tb_desp[valor]*
(tb_desp[centro.negocio]=BI$2)*
(tb_desp[nucleo]=BI57)*
(tb_desp[data.pagamento]&gt;='n&amp;cn'!$C$1)*
(tb_desp[data.pagamento]&lt;='n&amp;cn'!$C$2)
))</f>
        <v/>
      </c>
      <c r="BI57" s="267"/>
      <c r="BJ57" s="290" t="str" cm="1">
        <f t="array" ref="BJ57">IF(BK57="",
"",
SUMPRODUCT(
tb_desp[valor]*
(tb_desp[centro.negocio]=BK$2)*
(tb_desp[nucleo]=BK57)*
(tb_desp[data.pagamento]&gt;='n&amp;cn'!$C$1)*
(tb_desp[data.pagamento]&lt;='n&amp;cn'!$C$2)
))</f>
        <v/>
      </c>
      <c r="BK57" s="267"/>
      <c r="BL57" s="290" t="str" cm="1">
        <f t="array" ref="BL57">IF(BM57="",
"",
SUMPRODUCT(
tb_desp[valor]*
(tb_desp[centro.negocio]=BM$2)*
(tb_desp[nucleo]=BM57)*
(tb_desp[data.pagamento]&gt;='n&amp;cn'!$C$1)*
(tb_desp[data.pagamento]&lt;='n&amp;cn'!$C$2)
))</f>
        <v/>
      </c>
      <c r="BM57" s="267"/>
      <c r="BN57" s="290" t="str" cm="1">
        <f t="array" ref="BN57">IF(BO57="",
"",
SUMPRODUCT(
tb_desp[valor]*
(tb_desp[centro.negocio]=BO$2)*
(tb_desp[nucleo]=BO57)*
(tb_desp[data.pagamento]&gt;='n&amp;cn'!$C$1)*
(tb_desp[data.pagamento]&lt;='n&amp;cn'!$C$2)
))</f>
        <v/>
      </c>
      <c r="BO57" s="267"/>
    </row>
    <row r="58" spans="1:67" x14ac:dyDescent="0.25">
      <c r="H58" s="168"/>
      <c r="I58" s="163">
        <f t="shared" si="3"/>
        <v>51</v>
      </c>
      <c r="K58" s="164"/>
      <c r="L58" s="167" t="e">
        <f t="shared" si="4"/>
        <v>#DIV/0!</v>
      </c>
      <c r="M58" s="167" t="e">
        <f>SUM($L$8:$L58)</f>
        <v>#DIV/0!</v>
      </c>
      <c r="R58" s="290" t="str" cm="1">
        <f t="array" ref="R58">IF(S58="",
"",
SUMPRODUCT(
tb_desp[valor]*
(tb_desp[centro.negocio]=S$2)*
(tb_desp[nucleo]=S58)*
(tb_desp[data.pagamento]&gt;='n&amp;cn'!$C$1)*
(tb_desp[data.pagamento]&lt;='n&amp;cn'!$C$2)
))</f>
        <v/>
      </c>
      <c r="S58" s="267"/>
      <c r="T58" s="290" t="str" cm="1">
        <f t="array" ref="T58">IF(U58="",
"",
SUMPRODUCT(
tb_desp[valor]*
(tb_desp[centro.negocio]=U$2)*
(tb_desp[nucleo]=U58)*
(tb_desp[data.pagamento]&gt;='n&amp;cn'!$C$1)*
(tb_desp[data.pagamento]&lt;='n&amp;cn'!$C$2)
))</f>
        <v/>
      </c>
      <c r="U58" s="267"/>
      <c r="V58" s="290" t="str" cm="1">
        <f t="array" ref="V58">IF(W58="",
"",
SUMPRODUCT(
tb_desp[valor]*
(tb_desp[centro.negocio]=W$2)*
(tb_desp[nucleo]=W58)*
(tb_desp[data.pagamento]&gt;='n&amp;cn'!$C$1)*
(tb_desp[data.pagamento]&lt;='n&amp;cn'!$C$2)
))</f>
        <v/>
      </c>
      <c r="W58" s="267"/>
      <c r="X58" s="290" t="str" cm="1">
        <f t="array" ref="X58">IF(Y58="",
"",
SUMPRODUCT(
tb_desp[valor]*
(tb_desp[centro.negocio]=Y$2)*
(tb_desp[nucleo]=Y58)*
(tb_desp[data.pagamento]&gt;='n&amp;cn'!$C$1)*
(tb_desp[data.pagamento]&lt;='n&amp;cn'!$C$2)
))</f>
        <v/>
      </c>
      <c r="Y58" s="267"/>
      <c r="Z58" s="290" t="str" cm="1">
        <f t="array" ref="Z58">IF(AA58="",
"",
SUMPRODUCT(
tb_desp[valor]*
(tb_desp[centro.negocio]=AA$2)*
(tb_desp[nucleo]=AA58)*
(tb_desp[data.pagamento]&gt;='n&amp;cn'!$C$1)*
(tb_desp[data.pagamento]&lt;='n&amp;cn'!$C$2)
))</f>
        <v/>
      </c>
      <c r="AA58" s="267"/>
      <c r="AB58" s="290" t="str" cm="1">
        <f t="array" ref="AB58">IF(AC58="",
"",
SUMPRODUCT(
tb_desp[valor]*
(tb_desp[centro.negocio]=AC$2)*
(tb_desp[nucleo]=AC58)*
(tb_desp[data.pagamento]&gt;='n&amp;cn'!$C$1)*
(tb_desp[data.pagamento]&lt;='n&amp;cn'!$C$2)
))</f>
        <v/>
      </c>
      <c r="AC58" s="267"/>
      <c r="AD58" s="290" t="str" cm="1">
        <f t="array" ref="AD58">IF(AE58="",
"",
SUMPRODUCT(
tb_desp[valor]*
(tb_desp[centro.negocio]=AE$2)*
(tb_desp[nucleo]=AE58)*
(tb_desp[data.pagamento]&gt;='n&amp;cn'!$C$1)*
(tb_desp[data.pagamento]&lt;='n&amp;cn'!$C$2)
))</f>
        <v/>
      </c>
      <c r="AE58" s="267"/>
      <c r="AF58" s="290" t="str" cm="1">
        <f t="array" ref="AF58">IF(AG58="",
"",
SUMPRODUCT(
tb_desp[valor]*
(tb_desp[centro.negocio]=AG$2)*
(tb_desp[nucleo]=AG58)*
(tb_desp[data.pagamento]&gt;='n&amp;cn'!$C$1)*
(tb_desp[data.pagamento]&lt;='n&amp;cn'!$C$2)
))</f>
        <v/>
      </c>
      <c r="AG58" s="267"/>
      <c r="AH58" s="290" t="str" cm="1">
        <f t="array" ref="AH58">IF(AI58="",
"",
SUMPRODUCT(
tb_desp[valor]*
(tb_desp[centro.negocio]=AI$2)*
(tb_desp[nucleo]=AI58)*
(tb_desp[data.pagamento]&gt;='n&amp;cn'!$C$1)*
(tb_desp[data.pagamento]&lt;='n&amp;cn'!$C$2)
))</f>
        <v/>
      </c>
      <c r="AI58" s="267"/>
      <c r="AJ58" s="290" t="str" cm="1">
        <f t="array" ref="AJ58">IF(AK58="",
"",
SUMPRODUCT(
tb_desp[valor]*
(tb_desp[centro.negocio]=AK$2)*
(tb_desp[nucleo]=AK58)*
(tb_desp[data.pagamento]&gt;='n&amp;cn'!$C$1)*
(tb_desp[data.pagamento]&lt;='n&amp;cn'!$C$2)
))</f>
        <v/>
      </c>
      <c r="AK58" s="267"/>
      <c r="AL58" s="290" t="str" cm="1">
        <f t="array" ref="AL58">IF(AM58="",
"",
SUMPRODUCT(
tb_desp[valor]*
(tb_desp[centro.negocio]=AM$2)*
(tb_desp[nucleo]=AM58)*
(tb_desp[data.pagamento]&gt;='n&amp;cn'!$C$1)*
(tb_desp[data.pagamento]&lt;='n&amp;cn'!$C$2)
))</f>
        <v/>
      </c>
      <c r="AM58" s="267"/>
      <c r="AN58" s="290" t="str" cm="1">
        <f t="array" ref="AN58">IF(AO58="",
"",
SUMPRODUCT(
tb_desp[valor]*
(tb_desp[centro.negocio]=AO$2)*
(tb_desp[nucleo]=AO58)*
(tb_desp[data.pagamento]&gt;='n&amp;cn'!$C$1)*
(tb_desp[data.pagamento]&lt;='n&amp;cn'!$C$2)
))</f>
        <v/>
      </c>
      <c r="AO58" s="267"/>
      <c r="AP58" s="290" t="str" cm="1">
        <f t="array" ref="AP58">IF(AQ58="",
"",
SUMPRODUCT(
tb_desp[valor]*
(tb_desp[centro.negocio]=AQ$2)*
(tb_desp[nucleo]=AQ58)*
(tb_desp[data.pagamento]&gt;='n&amp;cn'!$C$1)*
(tb_desp[data.pagamento]&lt;='n&amp;cn'!$C$2)
))</f>
        <v/>
      </c>
      <c r="AQ58" s="267"/>
      <c r="AR58" s="290" t="str" cm="1">
        <f t="array" ref="AR58">IF(AS58="",
"",
SUMPRODUCT(
tb_desp[valor]*
(tb_desp[centro.negocio]=AS$2)*
(tb_desp[nucleo]=AS58)*
(tb_desp[data.pagamento]&gt;='n&amp;cn'!$C$1)*
(tb_desp[data.pagamento]&lt;='n&amp;cn'!$C$2)
))</f>
        <v/>
      </c>
      <c r="AS58" s="267"/>
      <c r="AT58" s="290" t="str" cm="1">
        <f t="array" ref="AT58">IF(AU58="",
"",
SUMPRODUCT(
tb_desp[valor]*
(tb_desp[centro.negocio]=AU$2)*
(tb_desp[nucleo]=AU58)*
(tb_desp[data.pagamento]&gt;='n&amp;cn'!$C$1)*
(tb_desp[data.pagamento]&lt;='n&amp;cn'!$C$2)
))</f>
        <v/>
      </c>
      <c r="AU58" s="267"/>
      <c r="AV58" s="290" t="str" cm="1">
        <f t="array" ref="AV58">IF(AW58="",
"",
SUMPRODUCT(
tb_desp[valor]*
(tb_desp[centro.negocio]=AW$2)*
(tb_desp[nucleo]=AW58)*
(tb_desp[data.pagamento]&gt;='n&amp;cn'!$C$1)*
(tb_desp[data.pagamento]&lt;='n&amp;cn'!$C$2)
))</f>
        <v/>
      </c>
      <c r="AW58" s="267"/>
      <c r="AX58" s="290" t="str" cm="1">
        <f t="array" ref="AX58">IF(AY58="",
"",
SUMPRODUCT(
tb_desp[valor]*
(tb_desp[centro.negocio]=AY$2)*
(tb_desp[nucleo]=AY58)*
(tb_desp[data.pagamento]&gt;='n&amp;cn'!$C$1)*
(tb_desp[data.pagamento]&lt;='n&amp;cn'!$C$2)
))</f>
        <v/>
      </c>
      <c r="AY58" s="267"/>
      <c r="AZ58" s="290" t="str" cm="1">
        <f t="array" ref="AZ58">IF(BA58="",
"",
SUMPRODUCT(
tb_desp[valor]*
(tb_desp[centro.negocio]=BA$2)*
(tb_desp[nucleo]=BA58)*
(tb_desp[data.pagamento]&gt;='n&amp;cn'!$C$1)*
(tb_desp[data.pagamento]&lt;='n&amp;cn'!$C$2)
))</f>
        <v/>
      </c>
      <c r="BA58" s="267"/>
      <c r="BB58" s="290" t="str" cm="1">
        <f t="array" ref="BB58">IF(BC58="",
"",
SUMPRODUCT(
tb_desp[valor]*
(tb_desp[centro.negocio]=BC$2)*
(tb_desp[nucleo]=BC58)*
(tb_desp[data.pagamento]&gt;='n&amp;cn'!$C$1)*
(tb_desp[data.pagamento]&lt;='n&amp;cn'!$C$2)
))</f>
        <v/>
      </c>
      <c r="BC58" s="267"/>
      <c r="BD58" s="290" t="str" cm="1">
        <f t="array" ref="BD58">IF(BE58="",
"",
SUMPRODUCT(
tb_desp[valor]*
(tb_desp[centro.negocio]=BE$2)*
(tb_desp[nucleo]=BE58)*
(tb_desp[data.pagamento]&gt;='n&amp;cn'!$C$1)*
(tb_desp[data.pagamento]&lt;='n&amp;cn'!$C$2)
))</f>
        <v/>
      </c>
      <c r="BE58" s="267"/>
      <c r="BF58" s="290" t="str" cm="1">
        <f t="array" ref="BF58">IF(BG58="",
"",
SUMPRODUCT(
tb_desp[valor]*
(tb_desp[centro.negocio]=BG$2)*
(tb_desp[nucleo]=BG58)*
(tb_desp[data.pagamento]&gt;='n&amp;cn'!$C$1)*
(tb_desp[data.pagamento]&lt;='n&amp;cn'!$C$2)
))</f>
        <v/>
      </c>
      <c r="BG58" s="267"/>
      <c r="BH58" s="290" t="str" cm="1">
        <f t="array" ref="BH58">IF(BI58="",
"",
SUMPRODUCT(
tb_desp[valor]*
(tb_desp[centro.negocio]=BI$2)*
(tb_desp[nucleo]=BI58)*
(tb_desp[data.pagamento]&gt;='n&amp;cn'!$C$1)*
(tb_desp[data.pagamento]&lt;='n&amp;cn'!$C$2)
))</f>
        <v/>
      </c>
      <c r="BI58" s="267"/>
      <c r="BJ58" s="290" t="str" cm="1">
        <f t="array" ref="BJ58">IF(BK58="",
"",
SUMPRODUCT(
tb_desp[valor]*
(tb_desp[centro.negocio]=BK$2)*
(tb_desp[nucleo]=BK58)*
(tb_desp[data.pagamento]&gt;='n&amp;cn'!$C$1)*
(tb_desp[data.pagamento]&lt;='n&amp;cn'!$C$2)
))</f>
        <v/>
      </c>
      <c r="BK58" s="267"/>
      <c r="BL58" s="290" t="str" cm="1">
        <f t="array" ref="BL58">IF(BM58="",
"",
SUMPRODUCT(
tb_desp[valor]*
(tb_desp[centro.negocio]=BM$2)*
(tb_desp[nucleo]=BM58)*
(tb_desp[data.pagamento]&gt;='n&amp;cn'!$C$1)*
(tb_desp[data.pagamento]&lt;='n&amp;cn'!$C$2)
))</f>
        <v/>
      </c>
      <c r="BM58" s="267"/>
      <c r="BN58" s="290" t="str" cm="1">
        <f t="array" ref="BN58">IF(BO58="",
"",
SUMPRODUCT(
tb_desp[valor]*
(tb_desp[centro.negocio]=BO$2)*
(tb_desp[nucleo]=BO58)*
(tb_desp[data.pagamento]&gt;='n&amp;cn'!$C$1)*
(tb_desp[data.pagamento]&lt;='n&amp;cn'!$C$2)
))</f>
        <v/>
      </c>
      <c r="BO58" s="267"/>
    </row>
    <row r="59" spans="1:67" x14ac:dyDescent="0.25">
      <c r="H59" s="168"/>
      <c r="I59" s="163">
        <f t="shared" si="3"/>
        <v>52</v>
      </c>
      <c r="K59" s="164"/>
      <c r="L59" s="167" t="e">
        <f t="shared" si="4"/>
        <v>#DIV/0!</v>
      </c>
      <c r="M59" s="167" t="e">
        <f>SUM($L$8:$L59)</f>
        <v>#DIV/0!</v>
      </c>
      <c r="R59" s="290" t="str" cm="1">
        <f t="array" ref="R59">IF(S59="",
"",
SUMPRODUCT(
tb_desp[valor]*
(tb_desp[centro.negocio]=S$2)*
(tb_desp[nucleo]=S59)*
(tb_desp[data.pagamento]&gt;='n&amp;cn'!$C$1)*
(tb_desp[data.pagamento]&lt;='n&amp;cn'!$C$2)
))</f>
        <v/>
      </c>
      <c r="S59" s="267"/>
      <c r="T59" s="290" t="str" cm="1">
        <f t="array" ref="T59">IF(U59="",
"",
SUMPRODUCT(
tb_desp[valor]*
(tb_desp[centro.negocio]=U$2)*
(tb_desp[nucleo]=U59)*
(tb_desp[data.pagamento]&gt;='n&amp;cn'!$C$1)*
(tb_desp[data.pagamento]&lt;='n&amp;cn'!$C$2)
))</f>
        <v/>
      </c>
      <c r="U59" s="267"/>
      <c r="V59" s="290" t="str" cm="1">
        <f t="array" ref="V59">IF(W59="",
"",
SUMPRODUCT(
tb_desp[valor]*
(tb_desp[centro.negocio]=W$2)*
(tb_desp[nucleo]=W59)*
(tb_desp[data.pagamento]&gt;='n&amp;cn'!$C$1)*
(tb_desp[data.pagamento]&lt;='n&amp;cn'!$C$2)
))</f>
        <v/>
      </c>
      <c r="W59" s="267"/>
      <c r="X59" s="290" t="str" cm="1">
        <f t="array" ref="X59">IF(Y59="",
"",
SUMPRODUCT(
tb_desp[valor]*
(tb_desp[centro.negocio]=Y$2)*
(tb_desp[nucleo]=Y59)*
(tb_desp[data.pagamento]&gt;='n&amp;cn'!$C$1)*
(tb_desp[data.pagamento]&lt;='n&amp;cn'!$C$2)
))</f>
        <v/>
      </c>
      <c r="Y59" s="267"/>
      <c r="Z59" s="290" t="str" cm="1">
        <f t="array" ref="Z59">IF(AA59="",
"",
SUMPRODUCT(
tb_desp[valor]*
(tb_desp[centro.negocio]=AA$2)*
(tb_desp[nucleo]=AA59)*
(tb_desp[data.pagamento]&gt;='n&amp;cn'!$C$1)*
(tb_desp[data.pagamento]&lt;='n&amp;cn'!$C$2)
))</f>
        <v/>
      </c>
      <c r="AA59" s="267"/>
      <c r="AB59" s="290" t="str" cm="1">
        <f t="array" ref="AB59">IF(AC59="",
"",
SUMPRODUCT(
tb_desp[valor]*
(tb_desp[centro.negocio]=AC$2)*
(tb_desp[nucleo]=AC59)*
(tb_desp[data.pagamento]&gt;='n&amp;cn'!$C$1)*
(tb_desp[data.pagamento]&lt;='n&amp;cn'!$C$2)
))</f>
        <v/>
      </c>
      <c r="AC59" s="267"/>
      <c r="AD59" s="290" t="str" cm="1">
        <f t="array" ref="AD59">IF(AE59="",
"",
SUMPRODUCT(
tb_desp[valor]*
(tb_desp[centro.negocio]=AE$2)*
(tb_desp[nucleo]=AE59)*
(tb_desp[data.pagamento]&gt;='n&amp;cn'!$C$1)*
(tb_desp[data.pagamento]&lt;='n&amp;cn'!$C$2)
))</f>
        <v/>
      </c>
      <c r="AE59" s="267"/>
      <c r="AF59" s="290" t="str" cm="1">
        <f t="array" ref="AF59">IF(AG59="",
"",
SUMPRODUCT(
tb_desp[valor]*
(tb_desp[centro.negocio]=AG$2)*
(tb_desp[nucleo]=AG59)*
(tb_desp[data.pagamento]&gt;='n&amp;cn'!$C$1)*
(tb_desp[data.pagamento]&lt;='n&amp;cn'!$C$2)
))</f>
        <v/>
      </c>
      <c r="AG59" s="267"/>
      <c r="AH59" s="290" t="str" cm="1">
        <f t="array" ref="AH59">IF(AI59="",
"",
SUMPRODUCT(
tb_desp[valor]*
(tb_desp[centro.negocio]=AI$2)*
(tb_desp[nucleo]=AI59)*
(tb_desp[data.pagamento]&gt;='n&amp;cn'!$C$1)*
(tb_desp[data.pagamento]&lt;='n&amp;cn'!$C$2)
))</f>
        <v/>
      </c>
      <c r="AI59" s="267"/>
      <c r="AJ59" s="290" t="str" cm="1">
        <f t="array" ref="AJ59">IF(AK59="",
"",
SUMPRODUCT(
tb_desp[valor]*
(tb_desp[centro.negocio]=AK$2)*
(tb_desp[nucleo]=AK59)*
(tb_desp[data.pagamento]&gt;='n&amp;cn'!$C$1)*
(tb_desp[data.pagamento]&lt;='n&amp;cn'!$C$2)
))</f>
        <v/>
      </c>
      <c r="AK59" s="267"/>
      <c r="AL59" s="290" t="str" cm="1">
        <f t="array" ref="AL59">IF(AM59="",
"",
SUMPRODUCT(
tb_desp[valor]*
(tb_desp[centro.negocio]=AM$2)*
(tb_desp[nucleo]=AM59)*
(tb_desp[data.pagamento]&gt;='n&amp;cn'!$C$1)*
(tb_desp[data.pagamento]&lt;='n&amp;cn'!$C$2)
))</f>
        <v/>
      </c>
      <c r="AM59" s="267"/>
      <c r="AN59" s="290" t="str" cm="1">
        <f t="array" ref="AN59">IF(AO59="",
"",
SUMPRODUCT(
tb_desp[valor]*
(tb_desp[centro.negocio]=AO$2)*
(tb_desp[nucleo]=AO59)*
(tb_desp[data.pagamento]&gt;='n&amp;cn'!$C$1)*
(tb_desp[data.pagamento]&lt;='n&amp;cn'!$C$2)
))</f>
        <v/>
      </c>
      <c r="AO59" s="267"/>
      <c r="AP59" s="290" t="str" cm="1">
        <f t="array" ref="AP59">IF(AQ59="",
"",
SUMPRODUCT(
tb_desp[valor]*
(tb_desp[centro.negocio]=AQ$2)*
(tb_desp[nucleo]=AQ59)*
(tb_desp[data.pagamento]&gt;='n&amp;cn'!$C$1)*
(tb_desp[data.pagamento]&lt;='n&amp;cn'!$C$2)
))</f>
        <v/>
      </c>
      <c r="AQ59" s="267"/>
      <c r="AR59" s="290" t="str" cm="1">
        <f t="array" ref="AR59">IF(AS59="",
"",
SUMPRODUCT(
tb_desp[valor]*
(tb_desp[centro.negocio]=AS$2)*
(tb_desp[nucleo]=AS59)*
(tb_desp[data.pagamento]&gt;='n&amp;cn'!$C$1)*
(tb_desp[data.pagamento]&lt;='n&amp;cn'!$C$2)
))</f>
        <v/>
      </c>
      <c r="AS59" s="267"/>
      <c r="AT59" s="290" t="str" cm="1">
        <f t="array" ref="AT59">IF(AU59="",
"",
SUMPRODUCT(
tb_desp[valor]*
(tb_desp[centro.negocio]=AU$2)*
(tb_desp[nucleo]=AU59)*
(tb_desp[data.pagamento]&gt;='n&amp;cn'!$C$1)*
(tb_desp[data.pagamento]&lt;='n&amp;cn'!$C$2)
))</f>
        <v/>
      </c>
      <c r="AU59" s="267"/>
      <c r="AV59" s="290" t="str" cm="1">
        <f t="array" ref="AV59">IF(AW59="",
"",
SUMPRODUCT(
tb_desp[valor]*
(tb_desp[centro.negocio]=AW$2)*
(tb_desp[nucleo]=AW59)*
(tb_desp[data.pagamento]&gt;='n&amp;cn'!$C$1)*
(tb_desp[data.pagamento]&lt;='n&amp;cn'!$C$2)
))</f>
        <v/>
      </c>
      <c r="AW59" s="267"/>
      <c r="AX59" s="290" t="str" cm="1">
        <f t="array" ref="AX59">IF(AY59="",
"",
SUMPRODUCT(
tb_desp[valor]*
(tb_desp[centro.negocio]=AY$2)*
(tb_desp[nucleo]=AY59)*
(tb_desp[data.pagamento]&gt;='n&amp;cn'!$C$1)*
(tb_desp[data.pagamento]&lt;='n&amp;cn'!$C$2)
))</f>
        <v/>
      </c>
      <c r="AY59" s="267"/>
      <c r="AZ59" s="290" t="str" cm="1">
        <f t="array" ref="AZ59">IF(BA59="",
"",
SUMPRODUCT(
tb_desp[valor]*
(tb_desp[centro.negocio]=BA$2)*
(tb_desp[nucleo]=BA59)*
(tb_desp[data.pagamento]&gt;='n&amp;cn'!$C$1)*
(tb_desp[data.pagamento]&lt;='n&amp;cn'!$C$2)
))</f>
        <v/>
      </c>
      <c r="BA59" s="267"/>
      <c r="BB59" s="290" t="str" cm="1">
        <f t="array" ref="BB59">IF(BC59="",
"",
SUMPRODUCT(
tb_desp[valor]*
(tb_desp[centro.negocio]=BC$2)*
(tb_desp[nucleo]=BC59)*
(tb_desp[data.pagamento]&gt;='n&amp;cn'!$C$1)*
(tb_desp[data.pagamento]&lt;='n&amp;cn'!$C$2)
))</f>
        <v/>
      </c>
      <c r="BC59" s="267"/>
      <c r="BD59" s="290" t="str" cm="1">
        <f t="array" ref="BD59">IF(BE59="",
"",
SUMPRODUCT(
tb_desp[valor]*
(tb_desp[centro.negocio]=BE$2)*
(tb_desp[nucleo]=BE59)*
(tb_desp[data.pagamento]&gt;='n&amp;cn'!$C$1)*
(tb_desp[data.pagamento]&lt;='n&amp;cn'!$C$2)
))</f>
        <v/>
      </c>
      <c r="BE59" s="267"/>
      <c r="BF59" s="290" t="str" cm="1">
        <f t="array" ref="BF59">IF(BG59="",
"",
SUMPRODUCT(
tb_desp[valor]*
(tb_desp[centro.negocio]=BG$2)*
(tb_desp[nucleo]=BG59)*
(tb_desp[data.pagamento]&gt;='n&amp;cn'!$C$1)*
(tb_desp[data.pagamento]&lt;='n&amp;cn'!$C$2)
))</f>
        <v/>
      </c>
      <c r="BG59" s="267"/>
      <c r="BH59" s="290" t="str" cm="1">
        <f t="array" ref="BH59">IF(BI59="",
"",
SUMPRODUCT(
tb_desp[valor]*
(tb_desp[centro.negocio]=BI$2)*
(tb_desp[nucleo]=BI59)*
(tb_desp[data.pagamento]&gt;='n&amp;cn'!$C$1)*
(tb_desp[data.pagamento]&lt;='n&amp;cn'!$C$2)
))</f>
        <v/>
      </c>
      <c r="BI59" s="267"/>
      <c r="BJ59" s="290" t="str" cm="1">
        <f t="array" ref="BJ59">IF(BK59="",
"",
SUMPRODUCT(
tb_desp[valor]*
(tb_desp[centro.negocio]=BK$2)*
(tb_desp[nucleo]=BK59)*
(tb_desp[data.pagamento]&gt;='n&amp;cn'!$C$1)*
(tb_desp[data.pagamento]&lt;='n&amp;cn'!$C$2)
))</f>
        <v/>
      </c>
      <c r="BK59" s="267"/>
      <c r="BL59" s="290" t="str" cm="1">
        <f t="array" ref="BL59">IF(BM59="",
"",
SUMPRODUCT(
tb_desp[valor]*
(tb_desp[centro.negocio]=BM$2)*
(tb_desp[nucleo]=BM59)*
(tb_desp[data.pagamento]&gt;='n&amp;cn'!$C$1)*
(tb_desp[data.pagamento]&lt;='n&amp;cn'!$C$2)
))</f>
        <v/>
      </c>
      <c r="BM59" s="267"/>
      <c r="BN59" s="290" t="str" cm="1">
        <f t="array" ref="BN59">IF(BO59="",
"",
SUMPRODUCT(
tb_desp[valor]*
(tb_desp[centro.negocio]=BO$2)*
(tb_desp[nucleo]=BO59)*
(tb_desp[data.pagamento]&gt;='n&amp;cn'!$C$1)*
(tb_desp[data.pagamento]&lt;='n&amp;cn'!$C$2)
))</f>
        <v/>
      </c>
      <c r="BO59" s="267"/>
    </row>
    <row r="60" spans="1:67" x14ac:dyDescent="0.25">
      <c r="H60" s="168"/>
      <c r="I60" s="163">
        <f t="shared" si="3"/>
        <v>53</v>
      </c>
      <c r="K60" s="164"/>
      <c r="L60" s="167" t="e">
        <f t="shared" si="4"/>
        <v>#DIV/0!</v>
      </c>
      <c r="M60" s="167" t="e">
        <f>SUM($L$8:$L60)</f>
        <v>#DIV/0!</v>
      </c>
      <c r="R60" s="290" t="str" cm="1">
        <f t="array" ref="R60">IF(S60="",
"",
SUMPRODUCT(
tb_desp[valor]*
(tb_desp[centro.negocio]=S$2)*
(tb_desp[nucleo]=S60)*
(tb_desp[data.pagamento]&gt;='n&amp;cn'!$C$1)*
(tb_desp[data.pagamento]&lt;='n&amp;cn'!$C$2)
))</f>
        <v/>
      </c>
      <c r="S60" s="267"/>
      <c r="T60" s="290" t="str" cm="1">
        <f t="array" ref="T60">IF(U60="",
"",
SUMPRODUCT(
tb_desp[valor]*
(tb_desp[centro.negocio]=U$2)*
(tb_desp[nucleo]=U60)*
(tb_desp[data.pagamento]&gt;='n&amp;cn'!$C$1)*
(tb_desp[data.pagamento]&lt;='n&amp;cn'!$C$2)
))</f>
        <v/>
      </c>
      <c r="U60" s="267"/>
      <c r="V60" s="290" t="str" cm="1">
        <f t="array" ref="V60">IF(W60="",
"",
SUMPRODUCT(
tb_desp[valor]*
(tb_desp[centro.negocio]=W$2)*
(tb_desp[nucleo]=W60)*
(tb_desp[data.pagamento]&gt;='n&amp;cn'!$C$1)*
(tb_desp[data.pagamento]&lt;='n&amp;cn'!$C$2)
))</f>
        <v/>
      </c>
      <c r="W60" s="267"/>
      <c r="X60" s="290" t="str" cm="1">
        <f t="array" ref="X60">IF(Y60="",
"",
SUMPRODUCT(
tb_desp[valor]*
(tb_desp[centro.negocio]=Y$2)*
(tb_desp[nucleo]=Y60)*
(tb_desp[data.pagamento]&gt;='n&amp;cn'!$C$1)*
(tb_desp[data.pagamento]&lt;='n&amp;cn'!$C$2)
))</f>
        <v/>
      </c>
      <c r="Y60" s="267"/>
      <c r="Z60" s="290" t="str" cm="1">
        <f t="array" ref="Z60">IF(AA60="",
"",
SUMPRODUCT(
tb_desp[valor]*
(tb_desp[centro.negocio]=AA$2)*
(tb_desp[nucleo]=AA60)*
(tb_desp[data.pagamento]&gt;='n&amp;cn'!$C$1)*
(tb_desp[data.pagamento]&lt;='n&amp;cn'!$C$2)
))</f>
        <v/>
      </c>
      <c r="AA60" s="267"/>
      <c r="AB60" s="290" t="str" cm="1">
        <f t="array" ref="AB60">IF(AC60="",
"",
SUMPRODUCT(
tb_desp[valor]*
(tb_desp[centro.negocio]=AC$2)*
(tb_desp[nucleo]=AC60)*
(tb_desp[data.pagamento]&gt;='n&amp;cn'!$C$1)*
(tb_desp[data.pagamento]&lt;='n&amp;cn'!$C$2)
))</f>
        <v/>
      </c>
      <c r="AC60" s="267"/>
      <c r="AD60" s="290" t="str" cm="1">
        <f t="array" ref="AD60">IF(AE60="",
"",
SUMPRODUCT(
tb_desp[valor]*
(tb_desp[centro.negocio]=AE$2)*
(tb_desp[nucleo]=AE60)*
(tb_desp[data.pagamento]&gt;='n&amp;cn'!$C$1)*
(tb_desp[data.pagamento]&lt;='n&amp;cn'!$C$2)
))</f>
        <v/>
      </c>
      <c r="AE60" s="267"/>
      <c r="AF60" s="290" t="str" cm="1">
        <f t="array" ref="AF60">IF(AG60="",
"",
SUMPRODUCT(
tb_desp[valor]*
(tb_desp[centro.negocio]=AG$2)*
(tb_desp[nucleo]=AG60)*
(tb_desp[data.pagamento]&gt;='n&amp;cn'!$C$1)*
(tb_desp[data.pagamento]&lt;='n&amp;cn'!$C$2)
))</f>
        <v/>
      </c>
      <c r="AG60" s="267"/>
      <c r="AH60" s="290" t="str" cm="1">
        <f t="array" ref="AH60">IF(AI60="",
"",
SUMPRODUCT(
tb_desp[valor]*
(tb_desp[centro.negocio]=AI$2)*
(tb_desp[nucleo]=AI60)*
(tb_desp[data.pagamento]&gt;='n&amp;cn'!$C$1)*
(tb_desp[data.pagamento]&lt;='n&amp;cn'!$C$2)
))</f>
        <v/>
      </c>
      <c r="AI60" s="267"/>
      <c r="AJ60" s="290" t="str" cm="1">
        <f t="array" ref="AJ60">IF(AK60="",
"",
SUMPRODUCT(
tb_desp[valor]*
(tb_desp[centro.negocio]=AK$2)*
(tb_desp[nucleo]=AK60)*
(tb_desp[data.pagamento]&gt;='n&amp;cn'!$C$1)*
(tb_desp[data.pagamento]&lt;='n&amp;cn'!$C$2)
))</f>
        <v/>
      </c>
      <c r="AK60" s="267"/>
      <c r="AL60" s="290" t="str" cm="1">
        <f t="array" ref="AL60">IF(AM60="",
"",
SUMPRODUCT(
tb_desp[valor]*
(tb_desp[centro.negocio]=AM$2)*
(tb_desp[nucleo]=AM60)*
(tb_desp[data.pagamento]&gt;='n&amp;cn'!$C$1)*
(tb_desp[data.pagamento]&lt;='n&amp;cn'!$C$2)
))</f>
        <v/>
      </c>
      <c r="AM60" s="267"/>
      <c r="AN60" s="290" t="str" cm="1">
        <f t="array" ref="AN60">IF(AO60="",
"",
SUMPRODUCT(
tb_desp[valor]*
(tb_desp[centro.negocio]=AO$2)*
(tb_desp[nucleo]=AO60)*
(tb_desp[data.pagamento]&gt;='n&amp;cn'!$C$1)*
(tb_desp[data.pagamento]&lt;='n&amp;cn'!$C$2)
))</f>
        <v/>
      </c>
      <c r="AO60" s="267"/>
      <c r="AP60" s="290" t="str" cm="1">
        <f t="array" ref="AP60">IF(AQ60="",
"",
SUMPRODUCT(
tb_desp[valor]*
(tb_desp[centro.negocio]=AQ$2)*
(tb_desp[nucleo]=AQ60)*
(tb_desp[data.pagamento]&gt;='n&amp;cn'!$C$1)*
(tb_desp[data.pagamento]&lt;='n&amp;cn'!$C$2)
))</f>
        <v/>
      </c>
      <c r="AQ60" s="267"/>
      <c r="AR60" s="290" t="str" cm="1">
        <f t="array" ref="AR60">IF(AS60="",
"",
SUMPRODUCT(
tb_desp[valor]*
(tb_desp[centro.negocio]=AS$2)*
(tb_desp[nucleo]=AS60)*
(tb_desp[data.pagamento]&gt;='n&amp;cn'!$C$1)*
(tb_desp[data.pagamento]&lt;='n&amp;cn'!$C$2)
))</f>
        <v/>
      </c>
      <c r="AS60" s="267"/>
      <c r="AT60" s="290" t="str" cm="1">
        <f t="array" ref="AT60">IF(AU60="",
"",
SUMPRODUCT(
tb_desp[valor]*
(tb_desp[centro.negocio]=AU$2)*
(tb_desp[nucleo]=AU60)*
(tb_desp[data.pagamento]&gt;='n&amp;cn'!$C$1)*
(tb_desp[data.pagamento]&lt;='n&amp;cn'!$C$2)
))</f>
        <v/>
      </c>
      <c r="AU60" s="267"/>
      <c r="AV60" s="290" t="str" cm="1">
        <f t="array" ref="AV60">IF(AW60="",
"",
SUMPRODUCT(
tb_desp[valor]*
(tb_desp[centro.negocio]=AW$2)*
(tb_desp[nucleo]=AW60)*
(tb_desp[data.pagamento]&gt;='n&amp;cn'!$C$1)*
(tb_desp[data.pagamento]&lt;='n&amp;cn'!$C$2)
))</f>
        <v/>
      </c>
      <c r="AW60" s="267"/>
      <c r="AX60" s="290" t="str" cm="1">
        <f t="array" ref="AX60">IF(AY60="",
"",
SUMPRODUCT(
tb_desp[valor]*
(tb_desp[centro.negocio]=AY$2)*
(tb_desp[nucleo]=AY60)*
(tb_desp[data.pagamento]&gt;='n&amp;cn'!$C$1)*
(tb_desp[data.pagamento]&lt;='n&amp;cn'!$C$2)
))</f>
        <v/>
      </c>
      <c r="AY60" s="267"/>
      <c r="AZ60" s="290" t="str" cm="1">
        <f t="array" ref="AZ60">IF(BA60="",
"",
SUMPRODUCT(
tb_desp[valor]*
(tb_desp[centro.negocio]=BA$2)*
(tb_desp[nucleo]=BA60)*
(tb_desp[data.pagamento]&gt;='n&amp;cn'!$C$1)*
(tb_desp[data.pagamento]&lt;='n&amp;cn'!$C$2)
))</f>
        <v/>
      </c>
      <c r="BA60" s="267"/>
      <c r="BB60" s="290" t="str" cm="1">
        <f t="array" ref="BB60">IF(BC60="",
"",
SUMPRODUCT(
tb_desp[valor]*
(tb_desp[centro.negocio]=BC$2)*
(tb_desp[nucleo]=BC60)*
(tb_desp[data.pagamento]&gt;='n&amp;cn'!$C$1)*
(tb_desp[data.pagamento]&lt;='n&amp;cn'!$C$2)
))</f>
        <v/>
      </c>
      <c r="BC60" s="267"/>
      <c r="BD60" s="290" t="str" cm="1">
        <f t="array" ref="BD60">IF(BE60="",
"",
SUMPRODUCT(
tb_desp[valor]*
(tb_desp[centro.negocio]=BE$2)*
(tb_desp[nucleo]=BE60)*
(tb_desp[data.pagamento]&gt;='n&amp;cn'!$C$1)*
(tb_desp[data.pagamento]&lt;='n&amp;cn'!$C$2)
))</f>
        <v/>
      </c>
      <c r="BE60" s="267"/>
      <c r="BF60" s="290" t="str" cm="1">
        <f t="array" ref="BF60">IF(BG60="",
"",
SUMPRODUCT(
tb_desp[valor]*
(tb_desp[centro.negocio]=BG$2)*
(tb_desp[nucleo]=BG60)*
(tb_desp[data.pagamento]&gt;='n&amp;cn'!$C$1)*
(tb_desp[data.pagamento]&lt;='n&amp;cn'!$C$2)
))</f>
        <v/>
      </c>
      <c r="BG60" s="267"/>
      <c r="BH60" s="290" t="str" cm="1">
        <f t="array" ref="BH60">IF(BI60="",
"",
SUMPRODUCT(
tb_desp[valor]*
(tb_desp[centro.negocio]=BI$2)*
(tb_desp[nucleo]=BI60)*
(tb_desp[data.pagamento]&gt;='n&amp;cn'!$C$1)*
(tb_desp[data.pagamento]&lt;='n&amp;cn'!$C$2)
))</f>
        <v/>
      </c>
      <c r="BI60" s="267"/>
      <c r="BJ60" s="290" t="str" cm="1">
        <f t="array" ref="BJ60">IF(BK60="",
"",
SUMPRODUCT(
tb_desp[valor]*
(tb_desp[centro.negocio]=BK$2)*
(tb_desp[nucleo]=BK60)*
(tb_desp[data.pagamento]&gt;='n&amp;cn'!$C$1)*
(tb_desp[data.pagamento]&lt;='n&amp;cn'!$C$2)
))</f>
        <v/>
      </c>
      <c r="BK60" s="267"/>
      <c r="BL60" s="290" t="str" cm="1">
        <f t="array" ref="BL60">IF(BM60="",
"",
SUMPRODUCT(
tb_desp[valor]*
(tb_desp[centro.negocio]=BM$2)*
(tb_desp[nucleo]=BM60)*
(tb_desp[data.pagamento]&gt;='n&amp;cn'!$C$1)*
(tb_desp[data.pagamento]&lt;='n&amp;cn'!$C$2)
))</f>
        <v/>
      </c>
      <c r="BM60" s="267"/>
      <c r="BN60" s="290" t="str" cm="1">
        <f t="array" ref="BN60">IF(BO60="",
"",
SUMPRODUCT(
tb_desp[valor]*
(tb_desp[centro.negocio]=BO$2)*
(tb_desp[nucleo]=BO60)*
(tb_desp[data.pagamento]&gt;='n&amp;cn'!$C$1)*
(tb_desp[data.pagamento]&lt;='n&amp;cn'!$C$2)
))</f>
        <v/>
      </c>
      <c r="BO60" s="267"/>
    </row>
    <row r="61" spans="1:67" x14ac:dyDescent="0.25">
      <c r="H61" s="168"/>
      <c r="I61" s="163">
        <f t="shared" si="3"/>
        <v>54</v>
      </c>
      <c r="K61" s="164"/>
      <c r="L61" s="167" t="e">
        <f t="shared" si="4"/>
        <v>#DIV/0!</v>
      </c>
      <c r="M61" s="167" t="e">
        <f>SUM($L$8:$L61)</f>
        <v>#DIV/0!</v>
      </c>
      <c r="R61" s="290" t="str" cm="1">
        <f t="array" ref="R61">IF(S61="",
"",
SUMPRODUCT(
tb_desp[valor]*
(tb_desp[centro.negocio]=S$2)*
(tb_desp[nucleo]=S61)*
(tb_desp[data.pagamento]&gt;='n&amp;cn'!$C$1)*
(tb_desp[data.pagamento]&lt;='n&amp;cn'!$C$2)
))</f>
        <v/>
      </c>
      <c r="S61" s="267"/>
      <c r="T61" s="290" t="str" cm="1">
        <f t="array" ref="T61">IF(U61="",
"",
SUMPRODUCT(
tb_desp[valor]*
(tb_desp[centro.negocio]=U$2)*
(tb_desp[nucleo]=U61)*
(tb_desp[data.pagamento]&gt;='n&amp;cn'!$C$1)*
(tb_desp[data.pagamento]&lt;='n&amp;cn'!$C$2)
))</f>
        <v/>
      </c>
      <c r="U61" s="267"/>
      <c r="V61" s="290" t="str" cm="1">
        <f t="array" ref="V61">IF(W61="",
"",
SUMPRODUCT(
tb_desp[valor]*
(tb_desp[centro.negocio]=W$2)*
(tb_desp[nucleo]=W61)*
(tb_desp[data.pagamento]&gt;='n&amp;cn'!$C$1)*
(tb_desp[data.pagamento]&lt;='n&amp;cn'!$C$2)
))</f>
        <v/>
      </c>
      <c r="W61" s="267"/>
      <c r="X61" s="290" t="str" cm="1">
        <f t="array" ref="X61">IF(Y61="",
"",
SUMPRODUCT(
tb_desp[valor]*
(tb_desp[centro.negocio]=Y$2)*
(tb_desp[nucleo]=Y61)*
(tb_desp[data.pagamento]&gt;='n&amp;cn'!$C$1)*
(tb_desp[data.pagamento]&lt;='n&amp;cn'!$C$2)
))</f>
        <v/>
      </c>
      <c r="Y61" s="267"/>
      <c r="Z61" s="290" t="str" cm="1">
        <f t="array" ref="Z61">IF(AA61="",
"",
SUMPRODUCT(
tb_desp[valor]*
(tb_desp[centro.negocio]=AA$2)*
(tb_desp[nucleo]=AA61)*
(tb_desp[data.pagamento]&gt;='n&amp;cn'!$C$1)*
(tb_desp[data.pagamento]&lt;='n&amp;cn'!$C$2)
))</f>
        <v/>
      </c>
      <c r="AA61" s="267"/>
      <c r="AB61" s="290" t="str" cm="1">
        <f t="array" ref="AB61">IF(AC61="",
"",
SUMPRODUCT(
tb_desp[valor]*
(tb_desp[centro.negocio]=AC$2)*
(tb_desp[nucleo]=AC61)*
(tb_desp[data.pagamento]&gt;='n&amp;cn'!$C$1)*
(tb_desp[data.pagamento]&lt;='n&amp;cn'!$C$2)
))</f>
        <v/>
      </c>
      <c r="AC61" s="267"/>
      <c r="AD61" s="290" t="str" cm="1">
        <f t="array" ref="AD61">IF(AE61="",
"",
SUMPRODUCT(
tb_desp[valor]*
(tb_desp[centro.negocio]=AE$2)*
(tb_desp[nucleo]=AE61)*
(tb_desp[data.pagamento]&gt;='n&amp;cn'!$C$1)*
(tb_desp[data.pagamento]&lt;='n&amp;cn'!$C$2)
))</f>
        <v/>
      </c>
      <c r="AE61" s="267"/>
      <c r="AF61" s="290" t="str" cm="1">
        <f t="array" ref="AF61">IF(AG61="",
"",
SUMPRODUCT(
tb_desp[valor]*
(tb_desp[centro.negocio]=AG$2)*
(tb_desp[nucleo]=AG61)*
(tb_desp[data.pagamento]&gt;='n&amp;cn'!$C$1)*
(tb_desp[data.pagamento]&lt;='n&amp;cn'!$C$2)
))</f>
        <v/>
      </c>
      <c r="AG61" s="267"/>
      <c r="AH61" s="290" t="str" cm="1">
        <f t="array" ref="AH61">IF(AI61="",
"",
SUMPRODUCT(
tb_desp[valor]*
(tb_desp[centro.negocio]=AI$2)*
(tb_desp[nucleo]=AI61)*
(tb_desp[data.pagamento]&gt;='n&amp;cn'!$C$1)*
(tb_desp[data.pagamento]&lt;='n&amp;cn'!$C$2)
))</f>
        <v/>
      </c>
      <c r="AI61" s="267"/>
      <c r="AJ61" s="290" t="str" cm="1">
        <f t="array" ref="AJ61">IF(AK61="",
"",
SUMPRODUCT(
tb_desp[valor]*
(tb_desp[centro.negocio]=AK$2)*
(tb_desp[nucleo]=AK61)*
(tb_desp[data.pagamento]&gt;='n&amp;cn'!$C$1)*
(tb_desp[data.pagamento]&lt;='n&amp;cn'!$C$2)
))</f>
        <v/>
      </c>
      <c r="AK61" s="267"/>
      <c r="AL61" s="290" t="str" cm="1">
        <f t="array" ref="AL61">IF(AM61="",
"",
SUMPRODUCT(
tb_desp[valor]*
(tb_desp[centro.negocio]=AM$2)*
(tb_desp[nucleo]=AM61)*
(tb_desp[data.pagamento]&gt;='n&amp;cn'!$C$1)*
(tb_desp[data.pagamento]&lt;='n&amp;cn'!$C$2)
))</f>
        <v/>
      </c>
      <c r="AM61" s="267"/>
      <c r="AN61" s="290" t="str" cm="1">
        <f t="array" ref="AN61">IF(AO61="",
"",
SUMPRODUCT(
tb_desp[valor]*
(tb_desp[centro.negocio]=AO$2)*
(tb_desp[nucleo]=AO61)*
(tb_desp[data.pagamento]&gt;='n&amp;cn'!$C$1)*
(tb_desp[data.pagamento]&lt;='n&amp;cn'!$C$2)
))</f>
        <v/>
      </c>
      <c r="AO61" s="267"/>
      <c r="AP61" s="290" t="str" cm="1">
        <f t="array" ref="AP61">IF(AQ61="",
"",
SUMPRODUCT(
tb_desp[valor]*
(tb_desp[centro.negocio]=AQ$2)*
(tb_desp[nucleo]=AQ61)*
(tb_desp[data.pagamento]&gt;='n&amp;cn'!$C$1)*
(tb_desp[data.pagamento]&lt;='n&amp;cn'!$C$2)
))</f>
        <v/>
      </c>
      <c r="AQ61" s="267"/>
      <c r="AR61" s="290" t="str" cm="1">
        <f t="array" ref="AR61">IF(AS61="",
"",
SUMPRODUCT(
tb_desp[valor]*
(tb_desp[centro.negocio]=AS$2)*
(tb_desp[nucleo]=AS61)*
(tb_desp[data.pagamento]&gt;='n&amp;cn'!$C$1)*
(tb_desp[data.pagamento]&lt;='n&amp;cn'!$C$2)
))</f>
        <v/>
      </c>
      <c r="AS61" s="267"/>
      <c r="AT61" s="290" t="str" cm="1">
        <f t="array" ref="AT61">IF(AU61="",
"",
SUMPRODUCT(
tb_desp[valor]*
(tb_desp[centro.negocio]=AU$2)*
(tb_desp[nucleo]=AU61)*
(tb_desp[data.pagamento]&gt;='n&amp;cn'!$C$1)*
(tb_desp[data.pagamento]&lt;='n&amp;cn'!$C$2)
))</f>
        <v/>
      </c>
      <c r="AU61" s="267"/>
      <c r="AV61" s="290" t="str" cm="1">
        <f t="array" ref="AV61">IF(AW61="",
"",
SUMPRODUCT(
tb_desp[valor]*
(tb_desp[centro.negocio]=AW$2)*
(tb_desp[nucleo]=AW61)*
(tb_desp[data.pagamento]&gt;='n&amp;cn'!$C$1)*
(tb_desp[data.pagamento]&lt;='n&amp;cn'!$C$2)
))</f>
        <v/>
      </c>
      <c r="AW61" s="267"/>
      <c r="AX61" s="290" t="str" cm="1">
        <f t="array" ref="AX61">IF(AY61="",
"",
SUMPRODUCT(
tb_desp[valor]*
(tb_desp[centro.negocio]=AY$2)*
(tb_desp[nucleo]=AY61)*
(tb_desp[data.pagamento]&gt;='n&amp;cn'!$C$1)*
(tb_desp[data.pagamento]&lt;='n&amp;cn'!$C$2)
))</f>
        <v/>
      </c>
      <c r="AY61" s="267"/>
      <c r="AZ61" s="290" t="str" cm="1">
        <f t="array" ref="AZ61">IF(BA61="",
"",
SUMPRODUCT(
tb_desp[valor]*
(tb_desp[centro.negocio]=BA$2)*
(tb_desp[nucleo]=BA61)*
(tb_desp[data.pagamento]&gt;='n&amp;cn'!$C$1)*
(tb_desp[data.pagamento]&lt;='n&amp;cn'!$C$2)
))</f>
        <v/>
      </c>
      <c r="BA61" s="267"/>
      <c r="BB61" s="290" t="str" cm="1">
        <f t="array" ref="BB61">IF(BC61="",
"",
SUMPRODUCT(
tb_desp[valor]*
(tb_desp[centro.negocio]=BC$2)*
(tb_desp[nucleo]=BC61)*
(tb_desp[data.pagamento]&gt;='n&amp;cn'!$C$1)*
(tb_desp[data.pagamento]&lt;='n&amp;cn'!$C$2)
))</f>
        <v/>
      </c>
      <c r="BC61" s="267"/>
      <c r="BD61" s="290" t="str" cm="1">
        <f t="array" ref="BD61">IF(BE61="",
"",
SUMPRODUCT(
tb_desp[valor]*
(tb_desp[centro.negocio]=BE$2)*
(tb_desp[nucleo]=BE61)*
(tb_desp[data.pagamento]&gt;='n&amp;cn'!$C$1)*
(tb_desp[data.pagamento]&lt;='n&amp;cn'!$C$2)
))</f>
        <v/>
      </c>
      <c r="BE61" s="267"/>
      <c r="BF61" s="290" t="str" cm="1">
        <f t="array" ref="BF61">IF(BG61="",
"",
SUMPRODUCT(
tb_desp[valor]*
(tb_desp[centro.negocio]=BG$2)*
(tb_desp[nucleo]=BG61)*
(tb_desp[data.pagamento]&gt;='n&amp;cn'!$C$1)*
(tb_desp[data.pagamento]&lt;='n&amp;cn'!$C$2)
))</f>
        <v/>
      </c>
      <c r="BG61" s="267"/>
      <c r="BH61" s="290" t="str" cm="1">
        <f t="array" ref="BH61">IF(BI61="",
"",
SUMPRODUCT(
tb_desp[valor]*
(tb_desp[centro.negocio]=BI$2)*
(tb_desp[nucleo]=BI61)*
(tb_desp[data.pagamento]&gt;='n&amp;cn'!$C$1)*
(tb_desp[data.pagamento]&lt;='n&amp;cn'!$C$2)
))</f>
        <v/>
      </c>
      <c r="BI61" s="267"/>
      <c r="BJ61" s="290" t="str" cm="1">
        <f t="array" ref="BJ61">IF(BK61="",
"",
SUMPRODUCT(
tb_desp[valor]*
(tb_desp[centro.negocio]=BK$2)*
(tb_desp[nucleo]=BK61)*
(tb_desp[data.pagamento]&gt;='n&amp;cn'!$C$1)*
(tb_desp[data.pagamento]&lt;='n&amp;cn'!$C$2)
))</f>
        <v/>
      </c>
      <c r="BK61" s="267"/>
      <c r="BL61" s="290" t="str" cm="1">
        <f t="array" ref="BL61">IF(BM61="",
"",
SUMPRODUCT(
tb_desp[valor]*
(tb_desp[centro.negocio]=BM$2)*
(tb_desp[nucleo]=BM61)*
(tb_desp[data.pagamento]&gt;='n&amp;cn'!$C$1)*
(tb_desp[data.pagamento]&lt;='n&amp;cn'!$C$2)
))</f>
        <v/>
      </c>
      <c r="BM61" s="267"/>
      <c r="BN61" s="290" t="str" cm="1">
        <f t="array" ref="BN61">IF(BO61="",
"",
SUMPRODUCT(
tb_desp[valor]*
(tb_desp[centro.negocio]=BO$2)*
(tb_desp[nucleo]=BO61)*
(tb_desp[data.pagamento]&gt;='n&amp;cn'!$C$1)*
(tb_desp[data.pagamento]&lt;='n&amp;cn'!$C$2)
))</f>
        <v/>
      </c>
      <c r="BO61" s="267"/>
    </row>
    <row r="62" spans="1:67" x14ac:dyDescent="0.25">
      <c r="H62" s="168"/>
      <c r="I62" s="163">
        <f t="shared" si="3"/>
        <v>55</v>
      </c>
      <c r="K62" s="164"/>
      <c r="L62" s="167" t="e">
        <f t="shared" si="4"/>
        <v>#DIV/0!</v>
      </c>
      <c r="M62" s="167" t="e">
        <f>SUM($L$8:$L62)</f>
        <v>#DIV/0!</v>
      </c>
      <c r="R62" s="290" t="str" cm="1">
        <f t="array" ref="R62">IF(S62="",
"",
SUMPRODUCT(
tb_desp[valor]*
(tb_desp[centro.negocio]=S$2)*
(tb_desp[nucleo]=S62)*
(tb_desp[data.pagamento]&gt;='n&amp;cn'!$C$1)*
(tb_desp[data.pagamento]&lt;='n&amp;cn'!$C$2)
))</f>
        <v/>
      </c>
      <c r="S62" s="267"/>
      <c r="T62" s="290" t="str" cm="1">
        <f t="array" ref="T62">IF(U62="",
"",
SUMPRODUCT(
tb_desp[valor]*
(tb_desp[centro.negocio]=U$2)*
(tb_desp[nucleo]=U62)*
(tb_desp[data.pagamento]&gt;='n&amp;cn'!$C$1)*
(tb_desp[data.pagamento]&lt;='n&amp;cn'!$C$2)
))</f>
        <v/>
      </c>
      <c r="U62" s="267"/>
      <c r="V62" s="290" t="str" cm="1">
        <f t="array" ref="V62">IF(W62="",
"",
SUMPRODUCT(
tb_desp[valor]*
(tb_desp[centro.negocio]=W$2)*
(tb_desp[nucleo]=W62)*
(tb_desp[data.pagamento]&gt;='n&amp;cn'!$C$1)*
(tb_desp[data.pagamento]&lt;='n&amp;cn'!$C$2)
))</f>
        <v/>
      </c>
      <c r="W62" s="267"/>
      <c r="X62" s="290" t="str" cm="1">
        <f t="array" ref="X62">IF(Y62="",
"",
SUMPRODUCT(
tb_desp[valor]*
(tb_desp[centro.negocio]=Y$2)*
(tb_desp[nucleo]=Y62)*
(tb_desp[data.pagamento]&gt;='n&amp;cn'!$C$1)*
(tb_desp[data.pagamento]&lt;='n&amp;cn'!$C$2)
))</f>
        <v/>
      </c>
      <c r="Y62" s="267"/>
      <c r="Z62" s="290" t="str" cm="1">
        <f t="array" ref="Z62">IF(AA62="",
"",
SUMPRODUCT(
tb_desp[valor]*
(tb_desp[centro.negocio]=AA$2)*
(tb_desp[nucleo]=AA62)*
(tb_desp[data.pagamento]&gt;='n&amp;cn'!$C$1)*
(tb_desp[data.pagamento]&lt;='n&amp;cn'!$C$2)
))</f>
        <v/>
      </c>
      <c r="AA62" s="267"/>
      <c r="AB62" s="290" t="str" cm="1">
        <f t="array" ref="AB62">IF(AC62="",
"",
SUMPRODUCT(
tb_desp[valor]*
(tb_desp[centro.negocio]=AC$2)*
(tb_desp[nucleo]=AC62)*
(tb_desp[data.pagamento]&gt;='n&amp;cn'!$C$1)*
(tb_desp[data.pagamento]&lt;='n&amp;cn'!$C$2)
))</f>
        <v/>
      </c>
      <c r="AC62" s="267"/>
      <c r="AD62" s="290" t="str" cm="1">
        <f t="array" ref="AD62">IF(AE62="",
"",
SUMPRODUCT(
tb_desp[valor]*
(tb_desp[centro.negocio]=AE$2)*
(tb_desp[nucleo]=AE62)*
(tb_desp[data.pagamento]&gt;='n&amp;cn'!$C$1)*
(tb_desp[data.pagamento]&lt;='n&amp;cn'!$C$2)
))</f>
        <v/>
      </c>
      <c r="AE62" s="267"/>
      <c r="AF62" s="290" t="str" cm="1">
        <f t="array" ref="AF62">IF(AG62="",
"",
SUMPRODUCT(
tb_desp[valor]*
(tb_desp[centro.negocio]=AG$2)*
(tb_desp[nucleo]=AG62)*
(tb_desp[data.pagamento]&gt;='n&amp;cn'!$C$1)*
(tb_desp[data.pagamento]&lt;='n&amp;cn'!$C$2)
))</f>
        <v/>
      </c>
      <c r="AG62" s="267"/>
      <c r="AH62" s="290" t="str" cm="1">
        <f t="array" ref="AH62">IF(AI62="",
"",
SUMPRODUCT(
tb_desp[valor]*
(tb_desp[centro.negocio]=AI$2)*
(tb_desp[nucleo]=AI62)*
(tb_desp[data.pagamento]&gt;='n&amp;cn'!$C$1)*
(tb_desp[data.pagamento]&lt;='n&amp;cn'!$C$2)
))</f>
        <v/>
      </c>
      <c r="AI62" s="267"/>
      <c r="AJ62" s="290" t="str" cm="1">
        <f t="array" ref="AJ62">IF(AK62="",
"",
SUMPRODUCT(
tb_desp[valor]*
(tb_desp[centro.negocio]=AK$2)*
(tb_desp[nucleo]=AK62)*
(tb_desp[data.pagamento]&gt;='n&amp;cn'!$C$1)*
(tb_desp[data.pagamento]&lt;='n&amp;cn'!$C$2)
))</f>
        <v/>
      </c>
      <c r="AK62" s="267"/>
      <c r="AL62" s="290" t="str" cm="1">
        <f t="array" ref="AL62">IF(AM62="",
"",
SUMPRODUCT(
tb_desp[valor]*
(tb_desp[centro.negocio]=AM$2)*
(tb_desp[nucleo]=AM62)*
(tb_desp[data.pagamento]&gt;='n&amp;cn'!$C$1)*
(tb_desp[data.pagamento]&lt;='n&amp;cn'!$C$2)
))</f>
        <v/>
      </c>
      <c r="AM62" s="267"/>
      <c r="AN62" s="290" t="str" cm="1">
        <f t="array" ref="AN62">IF(AO62="",
"",
SUMPRODUCT(
tb_desp[valor]*
(tb_desp[centro.negocio]=AO$2)*
(tb_desp[nucleo]=AO62)*
(tb_desp[data.pagamento]&gt;='n&amp;cn'!$C$1)*
(tb_desp[data.pagamento]&lt;='n&amp;cn'!$C$2)
))</f>
        <v/>
      </c>
      <c r="AO62" s="267"/>
      <c r="AP62" s="290" t="str" cm="1">
        <f t="array" ref="AP62">IF(AQ62="",
"",
SUMPRODUCT(
tb_desp[valor]*
(tb_desp[centro.negocio]=AQ$2)*
(tb_desp[nucleo]=AQ62)*
(tb_desp[data.pagamento]&gt;='n&amp;cn'!$C$1)*
(tb_desp[data.pagamento]&lt;='n&amp;cn'!$C$2)
))</f>
        <v/>
      </c>
      <c r="AQ62" s="267"/>
      <c r="AR62" s="290" t="str" cm="1">
        <f t="array" ref="AR62">IF(AS62="",
"",
SUMPRODUCT(
tb_desp[valor]*
(tb_desp[centro.negocio]=AS$2)*
(tb_desp[nucleo]=AS62)*
(tb_desp[data.pagamento]&gt;='n&amp;cn'!$C$1)*
(tb_desp[data.pagamento]&lt;='n&amp;cn'!$C$2)
))</f>
        <v/>
      </c>
      <c r="AS62" s="267"/>
      <c r="AT62" s="290" t="str" cm="1">
        <f t="array" ref="AT62">IF(AU62="",
"",
SUMPRODUCT(
tb_desp[valor]*
(tb_desp[centro.negocio]=AU$2)*
(tb_desp[nucleo]=AU62)*
(tb_desp[data.pagamento]&gt;='n&amp;cn'!$C$1)*
(tb_desp[data.pagamento]&lt;='n&amp;cn'!$C$2)
))</f>
        <v/>
      </c>
      <c r="AU62" s="267"/>
      <c r="AV62" s="290" t="str" cm="1">
        <f t="array" ref="AV62">IF(AW62="",
"",
SUMPRODUCT(
tb_desp[valor]*
(tb_desp[centro.negocio]=AW$2)*
(tb_desp[nucleo]=AW62)*
(tb_desp[data.pagamento]&gt;='n&amp;cn'!$C$1)*
(tb_desp[data.pagamento]&lt;='n&amp;cn'!$C$2)
))</f>
        <v/>
      </c>
      <c r="AW62" s="267"/>
      <c r="AX62" s="290" t="str" cm="1">
        <f t="array" ref="AX62">IF(AY62="",
"",
SUMPRODUCT(
tb_desp[valor]*
(tb_desp[centro.negocio]=AY$2)*
(tb_desp[nucleo]=AY62)*
(tb_desp[data.pagamento]&gt;='n&amp;cn'!$C$1)*
(tb_desp[data.pagamento]&lt;='n&amp;cn'!$C$2)
))</f>
        <v/>
      </c>
      <c r="AY62" s="267"/>
      <c r="AZ62" s="290" t="str" cm="1">
        <f t="array" ref="AZ62">IF(BA62="",
"",
SUMPRODUCT(
tb_desp[valor]*
(tb_desp[centro.negocio]=BA$2)*
(tb_desp[nucleo]=BA62)*
(tb_desp[data.pagamento]&gt;='n&amp;cn'!$C$1)*
(tb_desp[data.pagamento]&lt;='n&amp;cn'!$C$2)
))</f>
        <v/>
      </c>
      <c r="BA62" s="267"/>
      <c r="BB62" s="290" t="str" cm="1">
        <f t="array" ref="BB62">IF(BC62="",
"",
SUMPRODUCT(
tb_desp[valor]*
(tb_desp[centro.negocio]=BC$2)*
(tb_desp[nucleo]=BC62)*
(tb_desp[data.pagamento]&gt;='n&amp;cn'!$C$1)*
(tb_desp[data.pagamento]&lt;='n&amp;cn'!$C$2)
))</f>
        <v/>
      </c>
      <c r="BC62" s="267"/>
      <c r="BD62" s="290" t="str" cm="1">
        <f t="array" ref="BD62">IF(BE62="",
"",
SUMPRODUCT(
tb_desp[valor]*
(tb_desp[centro.negocio]=BE$2)*
(tb_desp[nucleo]=BE62)*
(tb_desp[data.pagamento]&gt;='n&amp;cn'!$C$1)*
(tb_desp[data.pagamento]&lt;='n&amp;cn'!$C$2)
))</f>
        <v/>
      </c>
      <c r="BE62" s="267"/>
      <c r="BF62" s="290" t="str" cm="1">
        <f t="array" ref="BF62">IF(BG62="",
"",
SUMPRODUCT(
tb_desp[valor]*
(tb_desp[centro.negocio]=BG$2)*
(tb_desp[nucleo]=BG62)*
(tb_desp[data.pagamento]&gt;='n&amp;cn'!$C$1)*
(tb_desp[data.pagamento]&lt;='n&amp;cn'!$C$2)
))</f>
        <v/>
      </c>
      <c r="BG62" s="267"/>
      <c r="BH62" s="290" t="str" cm="1">
        <f t="array" ref="BH62">IF(BI62="",
"",
SUMPRODUCT(
tb_desp[valor]*
(tb_desp[centro.negocio]=BI$2)*
(tb_desp[nucleo]=BI62)*
(tb_desp[data.pagamento]&gt;='n&amp;cn'!$C$1)*
(tb_desp[data.pagamento]&lt;='n&amp;cn'!$C$2)
))</f>
        <v/>
      </c>
      <c r="BI62" s="267"/>
      <c r="BJ62" s="290" t="str" cm="1">
        <f t="array" ref="BJ62">IF(BK62="",
"",
SUMPRODUCT(
tb_desp[valor]*
(tb_desp[centro.negocio]=BK$2)*
(tb_desp[nucleo]=BK62)*
(tb_desp[data.pagamento]&gt;='n&amp;cn'!$C$1)*
(tb_desp[data.pagamento]&lt;='n&amp;cn'!$C$2)
))</f>
        <v/>
      </c>
      <c r="BK62" s="267"/>
      <c r="BL62" s="290" t="str" cm="1">
        <f t="array" ref="BL62">IF(BM62="",
"",
SUMPRODUCT(
tb_desp[valor]*
(tb_desp[centro.negocio]=BM$2)*
(tb_desp[nucleo]=BM62)*
(tb_desp[data.pagamento]&gt;='n&amp;cn'!$C$1)*
(tb_desp[data.pagamento]&lt;='n&amp;cn'!$C$2)
))</f>
        <v/>
      </c>
      <c r="BM62" s="267"/>
      <c r="BN62" s="290" t="str" cm="1">
        <f t="array" ref="BN62">IF(BO62="",
"",
SUMPRODUCT(
tb_desp[valor]*
(tb_desp[centro.negocio]=BO$2)*
(tb_desp[nucleo]=BO62)*
(tb_desp[data.pagamento]&gt;='n&amp;cn'!$C$1)*
(tb_desp[data.pagamento]&lt;='n&amp;cn'!$C$2)
))</f>
        <v/>
      </c>
      <c r="BO62" s="267"/>
    </row>
    <row r="63" spans="1:67" x14ac:dyDescent="0.25">
      <c r="H63" s="168"/>
      <c r="I63" s="163">
        <f t="shared" si="3"/>
        <v>56</v>
      </c>
      <c r="K63" s="164"/>
      <c r="L63" s="167" t="e">
        <f t="shared" si="4"/>
        <v>#DIV/0!</v>
      </c>
      <c r="M63" s="167" t="e">
        <f>SUM($L$8:$L63)</f>
        <v>#DIV/0!</v>
      </c>
      <c r="R63" s="290" t="str" cm="1">
        <f t="array" ref="R63">IF(S63="",
"",
SUMPRODUCT(
tb_desp[valor]*
(tb_desp[centro.negocio]=S$2)*
(tb_desp[nucleo]=S63)*
(tb_desp[data.pagamento]&gt;='n&amp;cn'!$C$1)*
(tb_desp[data.pagamento]&lt;='n&amp;cn'!$C$2)
))</f>
        <v/>
      </c>
      <c r="S63" s="267"/>
      <c r="T63" s="290" t="str" cm="1">
        <f t="array" ref="T63">IF(U63="",
"",
SUMPRODUCT(
tb_desp[valor]*
(tb_desp[centro.negocio]=U$2)*
(tb_desp[nucleo]=U63)*
(tb_desp[data.pagamento]&gt;='n&amp;cn'!$C$1)*
(tb_desp[data.pagamento]&lt;='n&amp;cn'!$C$2)
))</f>
        <v/>
      </c>
      <c r="U63" s="267"/>
      <c r="V63" s="290" t="str" cm="1">
        <f t="array" ref="V63">IF(W63="",
"",
SUMPRODUCT(
tb_desp[valor]*
(tb_desp[centro.negocio]=W$2)*
(tb_desp[nucleo]=W63)*
(tb_desp[data.pagamento]&gt;='n&amp;cn'!$C$1)*
(tb_desp[data.pagamento]&lt;='n&amp;cn'!$C$2)
))</f>
        <v/>
      </c>
      <c r="W63" s="267"/>
      <c r="X63" s="290" t="str" cm="1">
        <f t="array" ref="X63">IF(Y63="",
"",
SUMPRODUCT(
tb_desp[valor]*
(tb_desp[centro.negocio]=Y$2)*
(tb_desp[nucleo]=Y63)*
(tb_desp[data.pagamento]&gt;='n&amp;cn'!$C$1)*
(tb_desp[data.pagamento]&lt;='n&amp;cn'!$C$2)
))</f>
        <v/>
      </c>
      <c r="Y63" s="267"/>
      <c r="Z63" s="290" t="str" cm="1">
        <f t="array" ref="Z63">IF(AA63="",
"",
SUMPRODUCT(
tb_desp[valor]*
(tb_desp[centro.negocio]=AA$2)*
(tb_desp[nucleo]=AA63)*
(tb_desp[data.pagamento]&gt;='n&amp;cn'!$C$1)*
(tb_desp[data.pagamento]&lt;='n&amp;cn'!$C$2)
))</f>
        <v/>
      </c>
      <c r="AA63" s="267"/>
      <c r="AB63" s="290" t="str" cm="1">
        <f t="array" ref="AB63">IF(AC63="",
"",
SUMPRODUCT(
tb_desp[valor]*
(tb_desp[centro.negocio]=AC$2)*
(tb_desp[nucleo]=AC63)*
(tb_desp[data.pagamento]&gt;='n&amp;cn'!$C$1)*
(tb_desp[data.pagamento]&lt;='n&amp;cn'!$C$2)
))</f>
        <v/>
      </c>
      <c r="AC63" s="267"/>
      <c r="AD63" s="290" t="str" cm="1">
        <f t="array" ref="AD63">IF(AE63="",
"",
SUMPRODUCT(
tb_desp[valor]*
(tb_desp[centro.negocio]=AE$2)*
(tb_desp[nucleo]=AE63)*
(tb_desp[data.pagamento]&gt;='n&amp;cn'!$C$1)*
(tb_desp[data.pagamento]&lt;='n&amp;cn'!$C$2)
))</f>
        <v/>
      </c>
      <c r="AE63" s="267"/>
      <c r="AF63" s="290" t="str" cm="1">
        <f t="array" ref="AF63">IF(AG63="",
"",
SUMPRODUCT(
tb_desp[valor]*
(tb_desp[centro.negocio]=AG$2)*
(tb_desp[nucleo]=AG63)*
(tb_desp[data.pagamento]&gt;='n&amp;cn'!$C$1)*
(tb_desp[data.pagamento]&lt;='n&amp;cn'!$C$2)
))</f>
        <v/>
      </c>
      <c r="AG63" s="267"/>
      <c r="AH63" s="290" t="str" cm="1">
        <f t="array" ref="AH63">IF(AI63="",
"",
SUMPRODUCT(
tb_desp[valor]*
(tb_desp[centro.negocio]=AI$2)*
(tb_desp[nucleo]=AI63)*
(tb_desp[data.pagamento]&gt;='n&amp;cn'!$C$1)*
(tb_desp[data.pagamento]&lt;='n&amp;cn'!$C$2)
))</f>
        <v/>
      </c>
      <c r="AI63" s="267"/>
      <c r="AJ63" s="290" t="str" cm="1">
        <f t="array" ref="AJ63">IF(AK63="",
"",
SUMPRODUCT(
tb_desp[valor]*
(tb_desp[centro.negocio]=AK$2)*
(tb_desp[nucleo]=AK63)*
(tb_desp[data.pagamento]&gt;='n&amp;cn'!$C$1)*
(tb_desp[data.pagamento]&lt;='n&amp;cn'!$C$2)
))</f>
        <v/>
      </c>
      <c r="AK63" s="267"/>
      <c r="AL63" s="290" t="str" cm="1">
        <f t="array" ref="AL63">IF(AM63="",
"",
SUMPRODUCT(
tb_desp[valor]*
(tb_desp[centro.negocio]=AM$2)*
(tb_desp[nucleo]=AM63)*
(tb_desp[data.pagamento]&gt;='n&amp;cn'!$C$1)*
(tb_desp[data.pagamento]&lt;='n&amp;cn'!$C$2)
))</f>
        <v/>
      </c>
      <c r="AM63" s="267"/>
      <c r="AN63" s="290" t="str" cm="1">
        <f t="array" ref="AN63">IF(AO63="",
"",
SUMPRODUCT(
tb_desp[valor]*
(tb_desp[centro.negocio]=AO$2)*
(tb_desp[nucleo]=AO63)*
(tb_desp[data.pagamento]&gt;='n&amp;cn'!$C$1)*
(tb_desp[data.pagamento]&lt;='n&amp;cn'!$C$2)
))</f>
        <v/>
      </c>
      <c r="AO63" s="267"/>
      <c r="AP63" s="290" t="str" cm="1">
        <f t="array" ref="AP63">IF(AQ63="",
"",
SUMPRODUCT(
tb_desp[valor]*
(tb_desp[centro.negocio]=AQ$2)*
(tb_desp[nucleo]=AQ63)*
(tb_desp[data.pagamento]&gt;='n&amp;cn'!$C$1)*
(tb_desp[data.pagamento]&lt;='n&amp;cn'!$C$2)
))</f>
        <v/>
      </c>
      <c r="AQ63" s="267"/>
      <c r="AR63" s="290" t="str" cm="1">
        <f t="array" ref="AR63">IF(AS63="",
"",
SUMPRODUCT(
tb_desp[valor]*
(tb_desp[centro.negocio]=AS$2)*
(tb_desp[nucleo]=AS63)*
(tb_desp[data.pagamento]&gt;='n&amp;cn'!$C$1)*
(tb_desp[data.pagamento]&lt;='n&amp;cn'!$C$2)
))</f>
        <v/>
      </c>
      <c r="AS63" s="267"/>
      <c r="AT63" s="290" t="str" cm="1">
        <f t="array" ref="AT63">IF(AU63="",
"",
SUMPRODUCT(
tb_desp[valor]*
(tb_desp[centro.negocio]=AU$2)*
(tb_desp[nucleo]=AU63)*
(tb_desp[data.pagamento]&gt;='n&amp;cn'!$C$1)*
(tb_desp[data.pagamento]&lt;='n&amp;cn'!$C$2)
))</f>
        <v/>
      </c>
      <c r="AU63" s="267"/>
      <c r="AV63" s="290" t="str" cm="1">
        <f t="array" ref="AV63">IF(AW63="",
"",
SUMPRODUCT(
tb_desp[valor]*
(tb_desp[centro.negocio]=AW$2)*
(tb_desp[nucleo]=AW63)*
(tb_desp[data.pagamento]&gt;='n&amp;cn'!$C$1)*
(tb_desp[data.pagamento]&lt;='n&amp;cn'!$C$2)
))</f>
        <v/>
      </c>
      <c r="AW63" s="267"/>
      <c r="AX63" s="290" t="str" cm="1">
        <f t="array" ref="AX63">IF(AY63="",
"",
SUMPRODUCT(
tb_desp[valor]*
(tb_desp[centro.negocio]=AY$2)*
(tb_desp[nucleo]=AY63)*
(tb_desp[data.pagamento]&gt;='n&amp;cn'!$C$1)*
(tb_desp[data.pagamento]&lt;='n&amp;cn'!$C$2)
))</f>
        <v/>
      </c>
      <c r="AY63" s="267"/>
      <c r="AZ63" s="290" t="str" cm="1">
        <f t="array" ref="AZ63">IF(BA63="",
"",
SUMPRODUCT(
tb_desp[valor]*
(tb_desp[centro.negocio]=BA$2)*
(tb_desp[nucleo]=BA63)*
(tb_desp[data.pagamento]&gt;='n&amp;cn'!$C$1)*
(tb_desp[data.pagamento]&lt;='n&amp;cn'!$C$2)
))</f>
        <v/>
      </c>
      <c r="BA63" s="267"/>
      <c r="BB63" s="290" t="str" cm="1">
        <f t="array" ref="BB63">IF(BC63="",
"",
SUMPRODUCT(
tb_desp[valor]*
(tb_desp[centro.negocio]=BC$2)*
(tb_desp[nucleo]=BC63)*
(tb_desp[data.pagamento]&gt;='n&amp;cn'!$C$1)*
(tb_desp[data.pagamento]&lt;='n&amp;cn'!$C$2)
))</f>
        <v/>
      </c>
      <c r="BC63" s="267"/>
      <c r="BD63" s="290" t="str" cm="1">
        <f t="array" ref="BD63">IF(BE63="",
"",
SUMPRODUCT(
tb_desp[valor]*
(tb_desp[centro.negocio]=BE$2)*
(tb_desp[nucleo]=BE63)*
(tb_desp[data.pagamento]&gt;='n&amp;cn'!$C$1)*
(tb_desp[data.pagamento]&lt;='n&amp;cn'!$C$2)
))</f>
        <v/>
      </c>
      <c r="BE63" s="267"/>
      <c r="BF63" s="290" t="str" cm="1">
        <f t="array" ref="BF63">IF(BG63="",
"",
SUMPRODUCT(
tb_desp[valor]*
(tb_desp[centro.negocio]=BG$2)*
(tb_desp[nucleo]=BG63)*
(tb_desp[data.pagamento]&gt;='n&amp;cn'!$C$1)*
(tb_desp[data.pagamento]&lt;='n&amp;cn'!$C$2)
))</f>
        <v/>
      </c>
      <c r="BG63" s="267"/>
      <c r="BH63" s="290" t="str" cm="1">
        <f t="array" ref="BH63">IF(BI63="",
"",
SUMPRODUCT(
tb_desp[valor]*
(tb_desp[centro.negocio]=BI$2)*
(tb_desp[nucleo]=BI63)*
(tb_desp[data.pagamento]&gt;='n&amp;cn'!$C$1)*
(tb_desp[data.pagamento]&lt;='n&amp;cn'!$C$2)
))</f>
        <v/>
      </c>
      <c r="BI63" s="267"/>
      <c r="BJ63" s="290" t="str" cm="1">
        <f t="array" ref="BJ63">IF(BK63="",
"",
SUMPRODUCT(
tb_desp[valor]*
(tb_desp[centro.negocio]=BK$2)*
(tb_desp[nucleo]=BK63)*
(tb_desp[data.pagamento]&gt;='n&amp;cn'!$C$1)*
(tb_desp[data.pagamento]&lt;='n&amp;cn'!$C$2)
))</f>
        <v/>
      </c>
      <c r="BK63" s="267"/>
      <c r="BL63" s="290" t="str" cm="1">
        <f t="array" ref="BL63">IF(BM63="",
"",
SUMPRODUCT(
tb_desp[valor]*
(tb_desp[centro.negocio]=BM$2)*
(tb_desp[nucleo]=BM63)*
(tb_desp[data.pagamento]&gt;='n&amp;cn'!$C$1)*
(tb_desp[data.pagamento]&lt;='n&amp;cn'!$C$2)
))</f>
        <v/>
      </c>
      <c r="BM63" s="267"/>
      <c r="BN63" s="290" t="str" cm="1">
        <f t="array" ref="BN63">IF(BO63="",
"",
SUMPRODUCT(
tb_desp[valor]*
(tb_desp[centro.negocio]=BO$2)*
(tb_desp[nucleo]=BO63)*
(tb_desp[data.pagamento]&gt;='n&amp;cn'!$C$1)*
(tb_desp[data.pagamento]&lt;='n&amp;cn'!$C$2)
))</f>
        <v/>
      </c>
      <c r="BO63" s="267"/>
    </row>
    <row r="64" spans="1:67" x14ac:dyDescent="0.25">
      <c r="H64" s="168"/>
      <c r="I64" s="163">
        <f t="shared" si="3"/>
        <v>57</v>
      </c>
      <c r="K64" s="164"/>
      <c r="L64" s="167" t="e">
        <f t="shared" si="4"/>
        <v>#DIV/0!</v>
      </c>
      <c r="M64" s="167" t="e">
        <f>SUM($L$8:$L64)</f>
        <v>#DIV/0!</v>
      </c>
      <c r="R64" s="290" t="str" cm="1">
        <f t="array" ref="R64">IF(S64="",
"",
SUMPRODUCT(
tb_desp[valor]*
(tb_desp[centro.negocio]=S$2)*
(tb_desp[nucleo]=S64)*
(tb_desp[data.pagamento]&gt;='n&amp;cn'!$C$1)*
(tb_desp[data.pagamento]&lt;='n&amp;cn'!$C$2)
))</f>
        <v/>
      </c>
      <c r="S64" s="267"/>
      <c r="T64" s="290" t="str" cm="1">
        <f t="array" ref="T64">IF(U64="",
"",
SUMPRODUCT(
tb_desp[valor]*
(tb_desp[centro.negocio]=U$2)*
(tb_desp[nucleo]=U64)*
(tb_desp[data.pagamento]&gt;='n&amp;cn'!$C$1)*
(tb_desp[data.pagamento]&lt;='n&amp;cn'!$C$2)
))</f>
        <v/>
      </c>
      <c r="U64" s="267"/>
      <c r="V64" s="290" t="str" cm="1">
        <f t="array" ref="V64">IF(W64="",
"",
SUMPRODUCT(
tb_desp[valor]*
(tb_desp[centro.negocio]=W$2)*
(tb_desp[nucleo]=W64)*
(tb_desp[data.pagamento]&gt;='n&amp;cn'!$C$1)*
(tb_desp[data.pagamento]&lt;='n&amp;cn'!$C$2)
))</f>
        <v/>
      </c>
      <c r="W64" s="267"/>
      <c r="X64" s="290" t="str" cm="1">
        <f t="array" ref="X64">IF(Y64="",
"",
SUMPRODUCT(
tb_desp[valor]*
(tb_desp[centro.negocio]=Y$2)*
(tb_desp[nucleo]=Y64)*
(tb_desp[data.pagamento]&gt;='n&amp;cn'!$C$1)*
(tb_desp[data.pagamento]&lt;='n&amp;cn'!$C$2)
))</f>
        <v/>
      </c>
      <c r="Y64" s="267"/>
      <c r="Z64" s="290" t="str" cm="1">
        <f t="array" ref="Z64">IF(AA64="",
"",
SUMPRODUCT(
tb_desp[valor]*
(tb_desp[centro.negocio]=AA$2)*
(tb_desp[nucleo]=AA64)*
(tb_desp[data.pagamento]&gt;='n&amp;cn'!$C$1)*
(tb_desp[data.pagamento]&lt;='n&amp;cn'!$C$2)
))</f>
        <v/>
      </c>
      <c r="AA64" s="267"/>
      <c r="AB64" s="290" t="str" cm="1">
        <f t="array" ref="AB64">IF(AC64="",
"",
SUMPRODUCT(
tb_desp[valor]*
(tb_desp[centro.negocio]=AC$2)*
(tb_desp[nucleo]=AC64)*
(tb_desp[data.pagamento]&gt;='n&amp;cn'!$C$1)*
(tb_desp[data.pagamento]&lt;='n&amp;cn'!$C$2)
))</f>
        <v/>
      </c>
      <c r="AC64" s="267"/>
      <c r="AD64" s="290" t="str" cm="1">
        <f t="array" ref="AD64">IF(AE64="",
"",
SUMPRODUCT(
tb_desp[valor]*
(tb_desp[centro.negocio]=AE$2)*
(tb_desp[nucleo]=AE64)*
(tb_desp[data.pagamento]&gt;='n&amp;cn'!$C$1)*
(tb_desp[data.pagamento]&lt;='n&amp;cn'!$C$2)
))</f>
        <v/>
      </c>
      <c r="AE64" s="267"/>
      <c r="AF64" s="290" t="str" cm="1">
        <f t="array" ref="AF64">IF(AG64="",
"",
SUMPRODUCT(
tb_desp[valor]*
(tb_desp[centro.negocio]=AG$2)*
(tb_desp[nucleo]=AG64)*
(tb_desp[data.pagamento]&gt;='n&amp;cn'!$C$1)*
(tb_desp[data.pagamento]&lt;='n&amp;cn'!$C$2)
))</f>
        <v/>
      </c>
      <c r="AG64" s="267"/>
      <c r="AH64" s="290" t="str" cm="1">
        <f t="array" ref="AH64">IF(AI64="",
"",
SUMPRODUCT(
tb_desp[valor]*
(tb_desp[centro.negocio]=AI$2)*
(tb_desp[nucleo]=AI64)*
(tb_desp[data.pagamento]&gt;='n&amp;cn'!$C$1)*
(tb_desp[data.pagamento]&lt;='n&amp;cn'!$C$2)
))</f>
        <v/>
      </c>
      <c r="AI64" s="267"/>
      <c r="AJ64" s="290" t="str" cm="1">
        <f t="array" ref="AJ64">IF(AK64="",
"",
SUMPRODUCT(
tb_desp[valor]*
(tb_desp[centro.negocio]=AK$2)*
(tb_desp[nucleo]=AK64)*
(tb_desp[data.pagamento]&gt;='n&amp;cn'!$C$1)*
(tb_desp[data.pagamento]&lt;='n&amp;cn'!$C$2)
))</f>
        <v/>
      </c>
      <c r="AK64" s="267"/>
      <c r="AL64" s="290" t="str" cm="1">
        <f t="array" ref="AL64">IF(AM64="",
"",
SUMPRODUCT(
tb_desp[valor]*
(tb_desp[centro.negocio]=AM$2)*
(tb_desp[nucleo]=AM64)*
(tb_desp[data.pagamento]&gt;='n&amp;cn'!$C$1)*
(tb_desp[data.pagamento]&lt;='n&amp;cn'!$C$2)
))</f>
        <v/>
      </c>
      <c r="AM64" s="267"/>
      <c r="AN64" s="290" t="str" cm="1">
        <f t="array" ref="AN64">IF(AO64="",
"",
SUMPRODUCT(
tb_desp[valor]*
(tb_desp[centro.negocio]=AO$2)*
(tb_desp[nucleo]=AO64)*
(tb_desp[data.pagamento]&gt;='n&amp;cn'!$C$1)*
(tb_desp[data.pagamento]&lt;='n&amp;cn'!$C$2)
))</f>
        <v/>
      </c>
      <c r="AO64" s="267"/>
      <c r="AP64" s="290" t="str" cm="1">
        <f t="array" ref="AP64">IF(AQ64="",
"",
SUMPRODUCT(
tb_desp[valor]*
(tb_desp[centro.negocio]=AQ$2)*
(tb_desp[nucleo]=AQ64)*
(tb_desp[data.pagamento]&gt;='n&amp;cn'!$C$1)*
(tb_desp[data.pagamento]&lt;='n&amp;cn'!$C$2)
))</f>
        <v/>
      </c>
      <c r="AQ64" s="267"/>
      <c r="AR64" s="290" t="str" cm="1">
        <f t="array" ref="AR64">IF(AS64="",
"",
SUMPRODUCT(
tb_desp[valor]*
(tb_desp[centro.negocio]=AS$2)*
(tb_desp[nucleo]=AS64)*
(tb_desp[data.pagamento]&gt;='n&amp;cn'!$C$1)*
(tb_desp[data.pagamento]&lt;='n&amp;cn'!$C$2)
))</f>
        <v/>
      </c>
      <c r="AS64" s="267"/>
      <c r="AT64" s="290" t="str" cm="1">
        <f t="array" ref="AT64">IF(AU64="",
"",
SUMPRODUCT(
tb_desp[valor]*
(tb_desp[centro.negocio]=AU$2)*
(tb_desp[nucleo]=AU64)*
(tb_desp[data.pagamento]&gt;='n&amp;cn'!$C$1)*
(tb_desp[data.pagamento]&lt;='n&amp;cn'!$C$2)
))</f>
        <v/>
      </c>
      <c r="AU64" s="267"/>
      <c r="AV64" s="290" t="str" cm="1">
        <f t="array" ref="AV64">IF(AW64="",
"",
SUMPRODUCT(
tb_desp[valor]*
(tb_desp[centro.negocio]=AW$2)*
(tb_desp[nucleo]=AW64)*
(tb_desp[data.pagamento]&gt;='n&amp;cn'!$C$1)*
(tb_desp[data.pagamento]&lt;='n&amp;cn'!$C$2)
))</f>
        <v/>
      </c>
      <c r="AW64" s="267"/>
      <c r="AX64" s="290" t="str" cm="1">
        <f t="array" ref="AX64">IF(AY64="",
"",
SUMPRODUCT(
tb_desp[valor]*
(tb_desp[centro.negocio]=AY$2)*
(tb_desp[nucleo]=AY64)*
(tb_desp[data.pagamento]&gt;='n&amp;cn'!$C$1)*
(tb_desp[data.pagamento]&lt;='n&amp;cn'!$C$2)
))</f>
        <v/>
      </c>
      <c r="AY64" s="267"/>
      <c r="AZ64" s="290" t="str" cm="1">
        <f t="array" ref="AZ64">IF(BA64="",
"",
SUMPRODUCT(
tb_desp[valor]*
(tb_desp[centro.negocio]=BA$2)*
(tb_desp[nucleo]=BA64)*
(tb_desp[data.pagamento]&gt;='n&amp;cn'!$C$1)*
(tb_desp[data.pagamento]&lt;='n&amp;cn'!$C$2)
))</f>
        <v/>
      </c>
      <c r="BA64" s="267"/>
      <c r="BB64" s="290" t="str" cm="1">
        <f t="array" ref="BB64">IF(BC64="",
"",
SUMPRODUCT(
tb_desp[valor]*
(tb_desp[centro.negocio]=BC$2)*
(tb_desp[nucleo]=BC64)*
(tb_desp[data.pagamento]&gt;='n&amp;cn'!$C$1)*
(tb_desp[data.pagamento]&lt;='n&amp;cn'!$C$2)
))</f>
        <v/>
      </c>
      <c r="BC64" s="267"/>
      <c r="BD64" s="290" t="str" cm="1">
        <f t="array" ref="BD64">IF(BE64="",
"",
SUMPRODUCT(
tb_desp[valor]*
(tb_desp[centro.negocio]=BE$2)*
(tb_desp[nucleo]=BE64)*
(tb_desp[data.pagamento]&gt;='n&amp;cn'!$C$1)*
(tb_desp[data.pagamento]&lt;='n&amp;cn'!$C$2)
))</f>
        <v/>
      </c>
      <c r="BE64" s="267"/>
      <c r="BF64" s="290" t="str" cm="1">
        <f t="array" ref="BF64">IF(BG64="",
"",
SUMPRODUCT(
tb_desp[valor]*
(tb_desp[centro.negocio]=BG$2)*
(tb_desp[nucleo]=BG64)*
(tb_desp[data.pagamento]&gt;='n&amp;cn'!$C$1)*
(tb_desp[data.pagamento]&lt;='n&amp;cn'!$C$2)
))</f>
        <v/>
      </c>
      <c r="BG64" s="267"/>
      <c r="BH64" s="290" t="str" cm="1">
        <f t="array" ref="BH64">IF(BI64="",
"",
SUMPRODUCT(
tb_desp[valor]*
(tb_desp[centro.negocio]=BI$2)*
(tb_desp[nucleo]=BI64)*
(tb_desp[data.pagamento]&gt;='n&amp;cn'!$C$1)*
(tb_desp[data.pagamento]&lt;='n&amp;cn'!$C$2)
))</f>
        <v/>
      </c>
      <c r="BI64" s="267"/>
      <c r="BJ64" s="290" t="str" cm="1">
        <f t="array" ref="BJ64">IF(BK64="",
"",
SUMPRODUCT(
tb_desp[valor]*
(tb_desp[centro.negocio]=BK$2)*
(tb_desp[nucleo]=BK64)*
(tb_desp[data.pagamento]&gt;='n&amp;cn'!$C$1)*
(tb_desp[data.pagamento]&lt;='n&amp;cn'!$C$2)
))</f>
        <v/>
      </c>
      <c r="BK64" s="267"/>
      <c r="BL64" s="290" t="str" cm="1">
        <f t="array" ref="BL64">IF(BM64="",
"",
SUMPRODUCT(
tb_desp[valor]*
(tb_desp[centro.negocio]=BM$2)*
(tb_desp[nucleo]=BM64)*
(tb_desp[data.pagamento]&gt;='n&amp;cn'!$C$1)*
(tb_desp[data.pagamento]&lt;='n&amp;cn'!$C$2)
))</f>
        <v/>
      </c>
      <c r="BM64" s="267"/>
      <c r="BN64" s="290" t="str" cm="1">
        <f t="array" ref="BN64">IF(BO64="",
"",
SUMPRODUCT(
tb_desp[valor]*
(tb_desp[centro.negocio]=BO$2)*
(tb_desp[nucleo]=BO64)*
(tb_desp[data.pagamento]&gt;='n&amp;cn'!$C$1)*
(tb_desp[data.pagamento]&lt;='n&amp;cn'!$C$2)
))</f>
        <v/>
      </c>
      <c r="BO64" s="267"/>
    </row>
    <row r="65" spans="8:67" x14ac:dyDescent="0.25">
      <c r="H65" s="168"/>
      <c r="I65" s="163">
        <f t="shared" si="3"/>
        <v>58</v>
      </c>
      <c r="K65" s="164"/>
      <c r="L65" s="167" t="e">
        <f t="shared" si="4"/>
        <v>#DIV/0!</v>
      </c>
      <c r="M65" s="167" t="e">
        <f>SUM($L$8:$L65)</f>
        <v>#DIV/0!</v>
      </c>
      <c r="R65" s="290" t="str" cm="1">
        <f t="array" ref="R65">IF(S65="",
"",
SUMPRODUCT(
tb_desp[valor]*
(tb_desp[centro.negocio]=S$2)*
(tb_desp[nucleo]=S65)*
(tb_desp[data.pagamento]&gt;='n&amp;cn'!$C$1)*
(tb_desp[data.pagamento]&lt;='n&amp;cn'!$C$2)
))</f>
        <v/>
      </c>
      <c r="S65" s="267"/>
      <c r="T65" s="290" t="str" cm="1">
        <f t="array" ref="T65">IF(U65="",
"",
SUMPRODUCT(
tb_desp[valor]*
(tb_desp[centro.negocio]=U$2)*
(tb_desp[nucleo]=U65)*
(tb_desp[data.pagamento]&gt;='n&amp;cn'!$C$1)*
(tb_desp[data.pagamento]&lt;='n&amp;cn'!$C$2)
))</f>
        <v/>
      </c>
      <c r="U65" s="267"/>
      <c r="V65" s="290" t="str" cm="1">
        <f t="array" ref="V65">IF(W65="",
"",
SUMPRODUCT(
tb_desp[valor]*
(tb_desp[centro.negocio]=W$2)*
(tb_desp[nucleo]=W65)*
(tb_desp[data.pagamento]&gt;='n&amp;cn'!$C$1)*
(tb_desp[data.pagamento]&lt;='n&amp;cn'!$C$2)
))</f>
        <v/>
      </c>
      <c r="W65" s="267"/>
      <c r="X65" s="290" t="str" cm="1">
        <f t="array" ref="X65">IF(Y65="",
"",
SUMPRODUCT(
tb_desp[valor]*
(tb_desp[centro.negocio]=Y$2)*
(tb_desp[nucleo]=Y65)*
(tb_desp[data.pagamento]&gt;='n&amp;cn'!$C$1)*
(tb_desp[data.pagamento]&lt;='n&amp;cn'!$C$2)
))</f>
        <v/>
      </c>
      <c r="Y65" s="267"/>
      <c r="Z65" s="290" t="str" cm="1">
        <f t="array" ref="Z65">IF(AA65="",
"",
SUMPRODUCT(
tb_desp[valor]*
(tb_desp[centro.negocio]=AA$2)*
(tb_desp[nucleo]=AA65)*
(tb_desp[data.pagamento]&gt;='n&amp;cn'!$C$1)*
(tb_desp[data.pagamento]&lt;='n&amp;cn'!$C$2)
))</f>
        <v/>
      </c>
      <c r="AA65" s="267"/>
      <c r="AB65" s="290" t="str" cm="1">
        <f t="array" ref="AB65">IF(AC65="",
"",
SUMPRODUCT(
tb_desp[valor]*
(tb_desp[centro.negocio]=AC$2)*
(tb_desp[nucleo]=AC65)*
(tb_desp[data.pagamento]&gt;='n&amp;cn'!$C$1)*
(tb_desp[data.pagamento]&lt;='n&amp;cn'!$C$2)
))</f>
        <v/>
      </c>
      <c r="AC65" s="267"/>
      <c r="AD65" s="290" t="str" cm="1">
        <f t="array" ref="AD65">IF(AE65="",
"",
SUMPRODUCT(
tb_desp[valor]*
(tb_desp[centro.negocio]=AE$2)*
(tb_desp[nucleo]=AE65)*
(tb_desp[data.pagamento]&gt;='n&amp;cn'!$C$1)*
(tb_desp[data.pagamento]&lt;='n&amp;cn'!$C$2)
))</f>
        <v/>
      </c>
      <c r="AE65" s="267"/>
      <c r="AF65" s="290" t="str" cm="1">
        <f t="array" ref="AF65">IF(AG65="",
"",
SUMPRODUCT(
tb_desp[valor]*
(tb_desp[centro.negocio]=AG$2)*
(tb_desp[nucleo]=AG65)*
(tb_desp[data.pagamento]&gt;='n&amp;cn'!$C$1)*
(tb_desp[data.pagamento]&lt;='n&amp;cn'!$C$2)
))</f>
        <v/>
      </c>
      <c r="AG65" s="267"/>
      <c r="AH65" s="290" t="str" cm="1">
        <f t="array" ref="AH65">IF(AI65="",
"",
SUMPRODUCT(
tb_desp[valor]*
(tb_desp[centro.negocio]=AI$2)*
(tb_desp[nucleo]=AI65)*
(tb_desp[data.pagamento]&gt;='n&amp;cn'!$C$1)*
(tb_desp[data.pagamento]&lt;='n&amp;cn'!$C$2)
))</f>
        <v/>
      </c>
      <c r="AI65" s="267"/>
      <c r="AJ65" s="290" t="str" cm="1">
        <f t="array" ref="AJ65">IF(AK65="",
"",
SUMPRODUCT(
tb_desp[valor]*
(tb_desp[centro.negocio]=AK$2)*
(tb_desp[nucleo]=AK65)*
(tb_desp[data.pagamento]&gt;='n&amp;cn'!$C$1)*
(tb_desp[data.pagamento]&lt;='n&amp;cn'!$C$2)
))</f>
        <v/>
      </c>
      <c r="AK65" s="267"/>
      <c r="AL65" s="290" t="str" cm="1">
        <f t="array" ref="AL65">IF(AM65="",
"",
SUMPRODUCT(
tb_desp[valor]*
(tb_desp[centro.negocio]=AM$2)*
(tb_desp[nucleo]=AM65)*
(tb_desp[data.pagamento]&gt;='n&amp;cn'!$C$1)*
(tb_desp[data.pagamento]&lt;='n&amp;cn'!$C$2)
))</f>
        <v/>
      </c>
      <c r="AM65" s="267"/>
      <c r="AN65" s="290" t="str" cm="1">
        <f t="array" ref="AN65">IF(AO65="",
"",
SUMPRODUCT(
tb_desp[valor]*
(tb_desp[centro.negocio]=AO$2)*
(tb_desp[nucleo]=AO65)*
(tb_desp[data.pagamento]&gt;='n&amp;cn'!$C$1)*
(tb_desp[data.pagamento]&lt;='n&amp;cn'!$C$2)
))</f>
        <v/>
      </c>
      <c r="AO65" s="267"/>
      <c r="AP65" s="290" t="str" cm="1">
        <f t="array" ref="AP65">IF(AQ65="",
"",
SUMPRODUCT(
tb_desp[valor]*
(tb_desp[centro.negocio]=AQ$2)*
(tb_desp[nucleo]=AQ65)*
(tb_desp[data.pagamento]&gt;='n&amp;cn'!$C$1)*
(tb_desp[data.pagamento]&lt;='n&amp;cn'!$C$2)
))</f>
        <v/>
      </c>
      <c r="AQ65" s="267"/>
      <c r="AR65" s="290" t="str" cm="1">
        <f t="array" ref="AR65">IF(AS65="",
"",
SUMPRODUCT(
tb_desp[valor]*
(tb_desp[centro.negocio]=AS$2)*
(tb_desp[nucleo]=AS65)*
(tb_desp[data.pagamento]&gt;='n&amp;cn'!$C$1)*
(tb_desp[data.pagamento]&lt;='n&amp;cn'!$C$2)
))</f>
        <v/>
      </c>
      <c r="AS65" s="267"/>
      <c r="AT65" s="290" t="str" cm="1">
        <f t="array" ref="AT65">IF(AU65="",
"",
SUMPRODUCT(
tb_desp[valor]*
(tb_desp[centro.negocio]=AU$2)*
(tb_desp[nucleo]=AU65)*
(tb_desp[data.pagamento]&gt;='n&amp;cn'!$C$1)*
(tb_desp[data.pagamento]&lt;='n&amp;cn'!$C$2)
))</f>
        <v/>
      </c>
      <c r="AU65" s="267"/>
      <c r="AV65" s="290" t="str" cm="1">
        <f t="array" ref="AV65">IF(AW65="",
"",
SUMPRODUCT(
tb_desp[valor]*
(tb_desp[centro.negocio]=AW$2)*
(tb_desp[nucleo]=AW65)*
(tb_desp[data.pagamento]&gt;='n&amp;cn'!$C$1)*
(tb_desp[data.pagamento]&lt;='n&amp;cn'!$C$2)
))</f>
        <v/>
      </c>
      <c r="AW65" s="267"/>
      <c r="AX65" s="290" t="str" cm="1">
        <f t="array" ref="AX65">IF(AY65="",
"",
SUMPRODUCT(
tb_desp[valor]*
(tb_desp[centro.negocio]=AY$2)*
(tb_desp[nucleo]=AY65)*
(tb_desp[data.pagamento]&gt;='n&amp;cn'!$C$1)*
(tb_desp[data.pagamento]&lt;='n&amp;cn'!$C$2)
))</f>
        <v/>
      </c>
      <c r="AY65" s="267"/>
      <c r="AZ65" s="290" t="str" cm="1">
        <f t="array" ref="AZ65">IF(BA65="",
"",
SUMPRODUCT(
tb_desp[valor]*
(tb_desp[centro.negocio]=BA$2)*
(tb_desp[nucleo]=BA65)*
(tb_desp[data.pagamento]&gt;='n&amp;cn'!$C$1)*
(tb_desp[data.pagamento]&lt;='n&amp;cn'!$C$2)
))</f>
        <v/>
      </c>
      <c r="BA65" s="267"/>
      <c r="BB65" s="290" t="str" cm="1">
        <f t="array" ref="BB65">IF(BC65="",
"",
SUMPRODUCT(
tb_desp[valor]*
(tb_desp[centro.negocio]=BC$2)*
(tb_desp[nucleo]=BC65)*
(tb_desp[data.pagamento]&gt;='n&amp;cn'!$C$1)*
(tb_desp[data.pagamento]&lt;='n&amp;cn'!$C$2)
))</f>
        <v/>
      </c>
      <c r="BC65" s="267"/>
      <c r="BD65" s="290" t="str" cm="1">
        <f t="array" ref="BD65">IF(BE65="",
"",
SUMPRODUCT(
tb_desp[valor]*
(tb_desp[centro.negocio]=BE$2)*
(tb_desp[nucleo]=BE65)*
(tb_desp[data.pagamento]&gt;='n&amp;cn'!$C$1)*
(tb_desp[data.pagamento]&lt;='n&amp;cn'!$C$2)
))</f>
        <v/>
      </c>
      <c r="BE65" s="267"/>
      <c r="BF65" s="290" t="str" cm="1">
        <f t="array" ref="BF65">IF(BG65="",
"",
SUMPRODUCT(
tb_desp[valor]*
(tb_desp[centro.negocio]=BG$2)*
(tb_desp[nucleo]=BG65)*
(tb_desp[data.pagamento]&gt;='n&amp;cn'!$C$1)*
(tb_desp[data.pagamento]&lt;='n&amp;cn'!$C$2)
))</f>
        <v/>
      </c>
      <c r="BG65" s="267"/>
      <c r="BH65" s="290" t="str" cm="1">
        <f t="array" ref="BH65">IF(BI65="",
"",
SUMPRODUCT(
tb_desp[valor]*
(tb_desp[centro.negocio]=BI$2)*
(tb_desp[nucleo]=BI65)*
(tb_desp[data.pagamento]&gt;='n&amp;cn'!$C$1)*
(tb_desp[data.pagamento]&lt;='n&amp;cn'!$C$2)
))</f>
        <v/>
      </c>
      <c r="BI65" s="267"/>
      <c r="BJ65" s="290" t="str" cm="1">
        <f t="array" ref="BJ65">IF(BK65="",
"",
SUMPRODUCT(
tb_desp[valor]*
(tb_desp[centro.negocio]=BK$2)*
(tb_desp[nucleo]=BK65)*
(tb_desp[data.pagamento]&gt;='n&amp;cn'!$C$1)*
(tb_desp[data.pagamento]&lt;='n&amp;cn'!$C$2)
))</f>
        <v/>
      </c>
      <c r="BK65" s="267"/>
      <c r="BL65" s="290" t="str" cm="1">
        <f t="array" ref="BL65">IF(BM65="",
"",
SUMPRODUCT(
tb_desp[valor]*
(tb_desp[centro.negocio]=BM$2)*
(tb_desp[nucleo]=BM65)*
(tb_desp[data.pagamento]&gt;='n&amp;cn'!$C$1)*
(tb_desp[data.pagamento]&lt;='n&amp;cn'!$C$2)
))</f>
        <v/>
      </c>
      <c r="BM65" s="267"/>
      <c r="BN65" s="290" t="str" cm="1">
        <f t="array" ref="BN65">IF(BO65="",
"",
SUMPRODUCT(
tb_desp[valor]*
(tb_desp[centro.negocio]=BO$2)*
(tb_desp[nucleo]=BO65)*
(tb_desp[data.pagamento]&gt;='n&amp;cn'!$C$1)*
(tb_desp[data.pagamento]&lt;='n&amp;cn'!$C$2)
))</f>
        <v/>
      </c>
      <c r="BO65" s="267"/>
    </row>
    <row r="66" spans="8:67" x14ac:dyDescent="0.25">
      <c r="H66" s="168"/>
      <c r="I66" s="163">
        <f t="shared" si="3"/>
        <v>59</v>
      </c>
      <c r="K66" s="164"/>
      <c r="L66" s="167" t="e">
        <f t="shared" si="4"/>
        <v>#DIV/0!</v>
      </c>
      <c r="M66" s="167" t="e">
        <f>SUM($L$8:$L66)</f>
        <v>#DIV/0!</v>
      </c>
      <c r="R66" s="290" t="str" cm="1">
        <f t="array" ref="R66">IF(S66="",
"",
SUMPRODUCT(
tb_desp[valor]*
(tb_desp[centro.negocio]=S$2)*
(tb_desp[nucleo]=S66)*
(tb_desp[data.pagamento]&gt;='n&amp;cn'!$C$1)*
(tb_desp[data.pagamento]&lt;='n&amp;cn'!$C$2)
))</f>
        <v/>
      </c>
      <c r="S66" s="267"/>
      <c r="T66" s="290" t="str" cm="1">
        <f t="array" ref="T66">IF(U66="",
"",
SUMPRODUCT(
tb_desp[valor]*
(tb_desp[centro.negocio]=U$2)*
(tb_desp[nucleo]=U66)*
(tb_desp[data.pagamento]&gt;='n&amp;cn'!$C$1)*
(tb_desp[data.pagamento]&lt;='n&amp;cn'!$C$2)
))</f>
        <v/>
      </c>
      <c r="U66" s="267"/>
      <c r="V66" s="290" t="str" cm="1">
        <f t="array" ref="V66">IF(W66="",
"",
SUMPRODUCT(
tb_desp[valor]*
(tb_desp[centro.negocio]=W$2)*
(tb_desp[nucleo]=W66)*
(tb_desp[data.pagamento]&gt;='n&amp;cn'!$C$1)*
(tb_desp[data.pagamento]&lt;='n&amp;cn'!$C$2)
))</f>
        <v/>
      </c>
      <c r="W66" s="267"/>
      <c r="X66" s="290" t="str" cm="1">
        <f t="array" ref="X66">IF(Y66="",
"",
SUMPRODUCT(
tb_desp[valor]*
(tb_desp[centro.negocio]=Y$2)*
(tb_desp[nucleo]=Y66)*
(tb_desp[data.pagamento]&gt;='n&amp;cn'!$C$1)*
(tb_desp[data.pagamento]&lt;='n&amp;cn'!$C$2)
))</f>
        <v/>
      </c>
      <c r="Y66" s="267"/>
      <c r="Z66" s="290" t="str" cm="1">
        <f t="array" ref="Z66">IF(AA66="",
"",
SUMPRODUCT(
tb_desp[valor]*
(tb_desp[centro.negocio]=AA$2)*
(tb_desp[nucleo]=AA66)*
(tb_desp[data.pagamento]&gt;='n&amp;cn'!$C$1)*
(tb_desp[data.pagamento]&lt;='n&amp;cn'!$C$2)
))</f>
        <v/>
      </c>
      <c r="AA66" s="267"/>
      <c r="AB66" s="290" t="str" cm="1">
        <f t="array" ref="AB66">IF(AC66="",
"",
SUMPRODUCT(
tb_desp[valor]*
(tb_desp[centro.negocio]=AC$2)*
(tb_desp[nucleo]=AC66)*
(tb_desp[data.pagamento]&gt;='n&amp;cn'!$C$1)*
(tb_desp[data.pagamento]&lt;='n&amp;cn'!$C$2)
))</f>
        <v/>
      </c>
      <c r="AC66" s="267"/>
      <c r="AD66" s="290" t="str" cm="1">
        <f t="array" ref="AD66">IF(AE66="",
"",
SUMPRODUCT(
tb_desp[valor]*
(tb_desp[centro.negocio]=AE$2)*
(tb_desp[nucleo]=AE66)*
(tb_desp[data.pagamento]&gt;='n&amp;cn'!$C$1)*
(tb_desp[data.pagamento]&lt;='n&amp;cn'!$C$2)
))</f>
        <v/>
      </c>
      <c r="AE66" s="267"/>
      <c r="AF66" s="290" t="str" cm="1">
        <f t="array" ref="AF66">IF(AG66="",
"",
SUMPRODUCT(
tb_desp[valor]*
(tb_desp[centro.negocio]=AG$2)*
(tb_desp[nucleo]=AG66)*
(tb_desp[data.pagamento]&gt;='n&amp;cn'!$C$1)*
(tb_desp[data.pagamento]&lt;='n&amp;cn'!$C$2)
))</f>
        <v/>
      </c>
      <c r="AG66" s="267"/>
      <c r="AH66" s="290" t="str" cm="1">
        <f t="array" ref="AH66">IF(AI66="",
"",
SUMPRODUCT(
tb_desp[valor]*
(tb_desp[centro.negocio]=AI$2)*
(tb_desp[nucleo]=AI66)*
(tb_desp[data.pagamento]&gt;='n&amp;cn'!$C$1)*
(tb_desp[data.pagamento]&lt;='n&amp;cn'!$C$2)
))</f>
        <v/>
      </c>
      <c r="AI66" s="267"/>
      <c r="AJ66" s="290" t="str" cm="1">
        <f t="array" ref="AJ66">IF(AK66="",
"",
SUMPRODUCT(
tb_desp[valor]*
(tb_desp[centro.negocio]=AK$2)*
(tb_desp[nucleo]=AK66)*
(tb_desp[data.pagamento]&gt;='n&amp;cn'!$C$1)*
(tb_desp[data.pagamento]&lt;='n&amp;cn'!$C$2)
))</f>
        <v/>
      </c>
      <c r="AK66" s="267"/>
      <c r="AL66" s="290" t="str" cm="1">
        <f t="array" ref="AL66">IF(AM66="",
"",
SUMPRODUCT(
tb_desp[valor]*
(tb_desp[centro.negocio]=AM$2)*
(tb_desp[nucleo]=AM66)*
(tb_desp[data.pagamento]&gt;='n&amp;cn'!$C$1)*
(tb_desp[data.pagamento]&lt;='n&amp;cn'!$C$2)
))</f>
        <v/>
      </c>
      <c r="AM66" s="267"/>
      <c r="AN66" s="290" t="str" cm="1">
        <f t="array" ref="AN66">IF(AO66="",
"",
SUMPRODUCT(
tb_desp[valor]*
(tb_desp[centro.negocio]=AO$2)*
(tb_desp[nucleo]=AO66)*
(tb_desp[data.pagamento]&gt;='n&amp;cn'!$C$1)*
(tb_desp[data.pagamento]&lt;='n&amp;cn'!$C$2)
))</f>
        <v/>
      </c>
      <c r="AO66" s="267"/>
      <c r="AP66" s="290" t="str" cm="1">
        <f t="array" ref="AP66">IF(AQ66="",
"",
SUMPRODUCT(
tb_desp[valor]*
(tb_desp[centro.negocio]=AQ$2)*
(tb_desp[nucleo]=AQ66)*
(tb_desp[data.pagamento]&gt;='n&amp;cn'!$C$1)*
(tb_desp[data.pagamento]&lt;='n&amp;cn'!$C$2)
))</f>
        <v/>
      </c>
      <c r="AQ66" s="267"/>
      <c r="AR66" s="290" t="str" cm="1">
        <f t="array" ref="AR66">IF(AS66="",
"",
SUMPRODUCT(
tb_desp[valor]*
(tb_desp[centro.negocio]=AS$2)*
(tb_desp[nucleo]=AS66)*
(tb_desp[data.pagamento]&gt;='n&amp;cn'!$C$1)*
(tb_desp[data.pagamento]&lt;='n&amp;cn'!$C$2)
))</f>
        <v/>
      </c>
      <c r="AS66" s="267"/>
      <c r="AT66" s="290" t="str" cm="1">
        <f t="array" ref="AT66">IF(AU66="",
"",
SUMPRODUCT(
tb_desp[valor]*
(tb_desp[centro.negocio]=AU$2)*
(tb_desp[nucleo]=AU66)*
(tb_desp[data.pagamento]&gt;='n&amp;cn'!$C$1)*
(tb_desp[data.pagamento]&lt;='n&amp;cn'!$C$2)
))</f>
        <v/>
      </c>
      <c r="AU66" s="267"/>
      <c r="AV66" s="290" t="str" cm="1">
        <f t="array" ref="AV66">IF(AW66="",
"",
SUMPRODUCT(
tb_desp[valor]*
(tb_desp[centro.negocio]=AW$2)*
(tb_desp[nucleo]=AW66)*
(tb_desp[data.pagamento]&gt;='n&amp;cn'!$C$1)*
(tb_desp[data.pagamento]&lt;='n&amp;cn'!$C$2)
))</f>
        <v/>
      </c>
      <c r="AW66" s="267"/>
      <c r="AX66" s="290" t="str" cm="1">
        <f t="array" ref="AX66">IF(AY66="",
"",
SUMPRODUCT(
tb_desp[valor]*
(tb_desp[centro.negocio]=AY$2)*
(tb_desp[nucleo]=AY66)*
(tb_desp[data.pagamento]&gt;='n&amp;cn'!$C$1)*
(tb_desp[data.pagamento]&lt;='n&amp;cn'!$C$2)
))</f>
        <v/>
      </c>
      <c r="AY66" s="267"/>
      <c r="AZ66" s="290" t="str" cm="1">
        <f t="array" ref="AZ66">IF(BA66="",
"",
SUMPRODUCT(
tb_desp[valor]*
(tb_desp[centro.negocio]=BA$2)*
(tb_desp[nucleo]=BA66)*
(tb_desp[data.pagamento]&gt;='n&amp;cn'!$C$1)*
(tb_desp[data.pagamento]&lt;='n&amp;cn'!$C$2)
))</f>
        <v/>
      </c>
      <c r="BA66" s="267"/>
      <c r="BB66" s="290" t="str" cm="1">
        <f t="array" ref="BB66">IF(BC66="",
"",
SUMPRODUCT(
tb_desp[valor]*
(tb_desp[centro.negocio]=BC$2)*
(tb_desp[nucleo]=BC66)*
(tb_desp[data.pagamento]&gt;='n&amp;cn'!$C$1)*
(tb_desp[data.pagamento]&lt;='n&amp;cn'!$C$2)
))</f>
        <v/>
      </c>
      <c r="BC66" s="267"/>
      <c r="BD66" s="290" t="str" cm="1">
        <f t="array" ref="BD66">IF(BE66="",
"",
SUMPRODUCT(
tb_desp[valor]*
(tb_desp[centro.negocio]=BE$2)*
(tb_desp[nucleo]=BE66)*
(tb_desp[data.pagamento]&gt;='n&amp;cn'!$C$1)*
(tb_desp[data.pagamento]&lt;='n&amp;cn'!$C$2)
))</f>
        <v/>
      </c>
      <c r="BE66" s="267"/>
      <c r="BF66" s="290" t="str" cm="1">
        <f t="array" ref="BF66">IF(BG66="",
"",
SUMPRODUCT(
tb_desp[valor]*
(tb_desp[centro.negocio]=BG$2)*
(tb_desp[nucleo]=BG66)*
(tb_desp[data.pagamento]&gt;='n&amp;cn'!$C$1)*
(tb_desp[data.pagamento]&lt;='n&amp;cn'!$C$2)
))</f>
        <v/>
      </c>
      <c r="BG66" s="267"/>
      <c r="BH66" s="290" t="str" cm="1">
        <f t="array" ref="BH66">IF(BI66="",
"",
SUMPRODUCT(
tb_desp[valor]*
(tb_desp[centro.negocio]=BI$2)*
(tb_desp[nucleo]=BI66)*
(tb_desp[data.pagamento]&gt;='n&amp;cn'!$C$1)*
(tb_desp[data.pagamento]&lt;='n&amp;cn'!$C$2)
))</f>
        <v/>
      </c>
      <c r="BI66" s="267"/>
      <c r="BJ66" s="290" t="str" cm="1">
        <f t="array" ref="BJ66">IF(BK66="",
"",
SUMPRODUCT(
tb_desp[valor]*
(tb_desp[centro.negocio]=BK$2)*
(tb_desp[nucleo]=BK66)*
(tb_desp[data.pagamento]&gt;='n&amp;cn'!$C$1)*
(tb_desp[data.pagamento]&lt;='n&amp;cn'!$C$2)
))</f>
        <v/>
      </c>
      <c r="BK66" s="267"/>
      <c r="BL66" s="290" t="str" cm="1">
        <f t="array" ref="BL66">IF(BM66="",
"",
SUMPRODUCT(
tb_desp[valor]*
(tb_desp[centro.negocio]=BM$2)*
(tb_desp[nucleo]=BM66)*
(tb_desp[data.pagamento]&gt;='n&amp;cn'!$C$1)*
(tb_desp[data.pagamento]&lt;='n&amp;cn'!$C$2)
))</f>
        <v/>
      </c>
      <c r="BM66" s="267"/>
      <c r="BN66" s="290" t="str" cm="1">
        <f t="array" ref="BN66">IF(BO66="",
"",
SUMPRODUCT(
tb_desp[valor]*
(tb_desp[centro.negocio]=BO$2)*
(tb_desp[nucleo]=BO66)*
(tb_desp[data.pagamento]&gt;='n&amp;cn'!$C$1)*
(tb_desp[data.pagamento]&lt;='n&amp;cn'!$C$2)
))</f>
        <v/>
      </c>
      <c r="BO66" s="267"/>
    </row>
    <row r="67" spans="8:67" x14ac:dyDescent="0.25">
      <c r="H67" s="168"/>
      <c r="I67" s="163">
        <f t="shared" si="3"/>
        <v>60</v>
      </c>
      <c r="K67" s="164"/>
      <c r="L67" s="167" t="e">
        <f t="shared" si="4"/>
        <v>#DIV/0!</v>
      </c>
      <c r="M67" s="167" t="e">
        <f>SUM($L$8:$L67)</f>
        <v>#DIV/0!</v>
      </c>
      <c r="R67" s="290" t="str" cm="1">
        <f t="array" ref="R67">IF(S67="",
"",
SUMPRODUCT(
tb_desp[valor]*
(tb_desp[centro.negocio]=S$2)*
(tb_desp[nucleo]=S67)*
(tb_desp[data.pagamento]&gt;='n&amp;cn'!$C$1)*
(tb_desp[data.pagamento]&lt;='n&amp;cn'!$C$2)
))</f>
        <v/>
      </c>
      <c r="S67" s="267"/>
      <c r="T67" s="290" t="str" cm="1">
        <f t="array" ref="T67">IF(U67="",
"",
SUMPRODUCT(
tb_desp[valor]*
(tb_desp[centro.negocio]=U$2)*
(tb_desp[nucleo]=U67)*
(tb_desp[data.pagamento]&gt;='n&amp;cn'!$C$1)*
(tb_desp[data.pagamento]&lt;='n&amp;cn'!$C$2)
))</f>
        <v/>
      </c>
      <c r="U67" s="267"/>
      <c r="V67" s="290" t="str" cm="1">
        <f t="array" ref="V67">IF(W67="",
"",
SUMPRODUCT(
tb_desp[valor]*
(tb_desp[centro.negocio]=W$2)*
(tb_desp[nucleo]=W67)*
(tb_desp[data.pagamento]&gt;='n&amp;cn'!$C$1)*
(tb_desp[data.pagamento]&lt;='n&amp;cn'!$C$2)
))</f>
        <v/>
      </c>
      <c r="W67" s="267"/>
      <c r="X67" s="290" t="str" cm="1">
        <f t="array" ref="X67">IF(Y67="",
"",
SUMPRODUCT(
tb_desp[valor]*
(tb_desp[centro.negocio]=Y$2)*
(tb_desp[nucleo]=Y67)*
(tb_desp[data.pagamento]&gt;='n&amp;cn'!$C$1)*
(tb_desp[data.pagamento]&lt;='n&amp;cn'!$C$2)
))</f>
        <v/>
      </c>
      <c r="Y67" s="267"/>
      <c r="Z67" s="290" t="str" cm="1">
        <f t="array" ref="Z67">IF(AA67="",
"",
SUMPRODUCT(
tb_desp[valor]*
(tb_desp[centro.negocio]=AA$2)*
(tb_desp[nucleo]=AA67)*
(tb_desp[data.pagamento]&gt;='n&amp;cn'!$C$1)*
(tb_desp[data.pagamento]&lt;='n&amp;cn'!$C$2)
))</f>
        <v/>
      </c>
      <c r="AA67" s="267"/>
      <c r="AB67" s="290" t="str" cm="1">
        <f t="array" ref="AB67">IF(AC67="",
"",
SUMPRODUCT(
tb_desp[valor]*
(tb_desp[centro.negocio]=AC$2)*
(tb_desp[nucleo]=AC67)*
(tb_desp[data.pagamento]&gt;='n&amp;cn'!$C$1)*
(tb_desp[data.pagamento]&lt;='n&amp;cn'!$C$2)
))</f>
        <v/>
      </c>
      <c r="AC67" s="267"/>
      <c r="AD67" s="290" t="str" cm="1">
        <f t="array" ref="AD67">IF(AE67="",
"",
SUMPRODUCT(
tb_desp[valor]*
(tb_desp[centro.negocio]=AE$2)*
(tb_desp[nucleo]=AE67)*
(tb_desp[data.pagamento]&gt;='n&amp;cn'!$C$1)*
(tb_desp[data.pagamento]&lt;='n&amp;cn'!$C$2)
))</f>
        <v/>
      </c>
      <c r="AE67" s="267"/>
      <c r="AF67" s="290" t="str" cm="1">
        <f t="array" ref="AF67">IF(AG67="",
"",
SUMPRODUCT(
tb_desp[valor]*
(tb_desp[centro.negocio]=AG$2)*
(tb_desp[nucleo]=AG67)*
(tb_desp[data.pagamento]&gt;='n&amp;cn'!$C$1)*
(tb_desp[data.pagamento]&lt;='n&amp;cn'!$C$2)
))</f>
        <v/>
      </c>
      <c r="AG67" s="267"/>
      <c r="AH67" s="290" t="str" cm="1">
        <f t="array" ref="AH67">IF(AI67="",
"",
SUMPRODUCT(
tb_desp[valor]*
(tb_desp[centro.negocio]=AI$2)*
(tb_desp[nucleo]=AI67)*
(tb_desp[data.pagamento]&gt;='n&amp;cn'!$C$1)*
(tb_desp[data.pagamento]&lt;='n&amp;cn'!$C$2)
))</f>
        <v/>
      </c>
      <c r="AI67" s="267"/>
      <c r="AJ67" s="290" t="str" cm="1">
        <f t="array" ref="AJ67">IF(AK67="",
"",
SUMPRODUCT(
tb_desp[valor]*
(tb_desp[centro.negocio]=AK$2)*
(tb_desp[nucleo]=AK67)*
(tb_desp[data.pagamento]&gt;='n&amp;cn'!$C$1)*
(tb_desp[data.pagamento]&lt;='n&amp;cn'!$C$2)
))</f>
        <v/>
      </c>
      <c r="AK67" s="267"/>
      <c r="AL67" s="290" t="str" cm="1">
        <f t="array" ref="AL67">IF(AM67="",
"",
SUMPRODUCT(
tb_desp[valor]*
(tb_desp[centro.negocio]=AM$2)*
(tb_desp[nucleo]=AM67)*
(tb_desp[data.pagamento]&gt;='n&amp;cn'!$C$1)*
(tb_desp[data.pagamento]&lt;='n&amp;cn'!$C$2)
))</f>
        <v/>
      </c>
      <c r="AM67" s="267"/>
      <c r="AN67" s="290" t="str" cm="1">
        <f t="array" ref="AN67">IF(AO67="",
"",
SUMPRODUCT(
tb_desp[valor]*
(tb_desp[centro.negocio]=AO$2)*
(tb_desp[nucleo]=AO67)*
(tb_desp[data.pagamento]&gt;='n&amp;cn'!$C$1)*
(tb_desp[data.pagamento]&lt;='n&amp;cn'!$C$2)
))</f>
        <v/>
      </c>
      <c r="AO67" s="267"/>
      <c r="AP67" s="290" t="str" cm="1">
        <f t="array" ref="AP67">IF(AQ67="",
"",
SUMPRODUCT(
tb_desp[valor]*
(tb_desp[centro.negocio]=AQ$2)*
(tb_desp[nucleo]=AQ67)*
(tb_desp[data.pagamento]&gt;='n&amp;cn'!$C$1)*
(tb_desp[data.pagamento]&lt;='n&amp;cn'!$C$2)
))</f>
        <v/>
      </c>
      <c r="AQ67" s="267"/>
      <c r="AR67" s="290" t="str" cm="1">
        <f t="array" ref="AR67">IF(AS67="",
"",
SUMPRODUCT(
tb_desp[valor]*
(tb_desp[centro.negocio]=AS$2)*
(tb_desp[nucleo]=AS67)*
(tb_desp[data.pagamento]&gt;='n&amp;cn'!$C$1)*
(tb_desp[data.pagamento]&lt;='n&amp;cn'!$C$2)
))</f>
        <v/>
      </c>
      <c r="AS67" s="267"/>
      <c r="AT67" s="290" t="str" cm="1">
        <f t="array" ref="AT67">IF(AU67="",
"",
SUMPRODUCT(
tb_desp[valor]*
(tb_desp[centro.negocio]=AU$2)*
(tb_desp[nucleo]=AU67)*
(tb_desp[data.pagamento]&gt;='n&amp;cn'!$C$1)*
(tb_desp[data.pagamento]&lt;='n&amp;cn'!$C$2)
))</f>
        <v/>
      </c>
      <c r="AU67" s="267"/>
      <c r="AV67" s="290" t="str" cm="1">
        <f t="array" ref="AV67">IF(AW67="",
"",
SUMPRODUCT(
tb_desp[valor]*
(tb_desp[centro.negocio]=AW$2)*
(tb_desp[nucleo]=AW67)*
(tb_desp[data.pagamento]&gt;='n&amp;cn'!$C$1)*
(tb_desp[data.pagamento]&lt;='n&amp;cn'!$C$2)
))</f>
        <v/>
      </c>
      <c r="AW67" s="267"/>
      <c r="AX67" s="290" t="str" cm="1">
        <f t="array" ref="AX67">IF(AY67="",
"",
SUMPRODUCT(
tb_desp[valor]*
(tb_desp[centro.negocio]=AY$2)*
(tb_desp[nucleo]=AY67)*
(tb_desp[data.pagamento]&gt;='n&amp;cn'!$C$1)*
(tb_desp[data.pagamento]&lt;='n&amp;cn'!$C$2)
))</f>
        <v/>
      </c>
      <c r="AY67" s="267"/>
      <c r="AZ67" s="290" t="str" cm="1">
        <f t="array" ref="AZ67">IF(BA67="",
"",
SUMPRODUCT(
tb_desp[valor]*
(tb_desp[centro.negocio]=BA$2)*
(tb_desp[nucleo]=BA67)*
(tb_desp[data.pagamento]&gt;='n&amp;cn'!$C$1)*
(tb_desp[data.pagamento]&lt;='n&amp;cn'!$C$2)
))</f>
        <v/>
      </c>
      <c r="BA67" s="267"/>
      <c r="BB67" s="290" t="str" cm="1">
        <f t="array" ref="BB67">IF(BC67="",
"",
SUMPRODUCT(
tb_desp[valor]*
(tb_desp[centro.negocio]=BC$2)*
(tb_desp[nucleo]=BC67)*
(tb_desp[data.pagamento]&gt;='n&amp;cn'!$C$1)*
(tb_desp[data.pagamento]&lt;='n&amp;cn'!$C$2)
))</f>
        <v/>
      </c>
      <c r="BC67" s="267"/>
      <c r="BD67" s="290" t="str" cm="1">
        <f t="array" ref="BD67">IF(BE67="",
"",
SUMPRODUCT(
tb_desp[valor]*
(tb_desp[centro.negocio]=BE$2)*
(tb_desp[nucleo]=BE67)*
(tb_desp[data.pagamento]&gt;='n&amp;cn'!$C$1)*
(tb_desp[data.pagamento]&lt;='n&amp;cn'!$C$2)
))</f>
        <v/>
      </c>
      <c r="BE67" s="267"/>
      <c r="BF67" s="290" t="str" cm="1">
        <f t="array" ref="BF67">IF(BG67="",
"",
SUMPRODUCT(
tb_desp[valor]*
(tb_desp[centro.negocio]=BG$2)*
(tb_desp[nucleo]=BG67)*
(tb_desp[data.pagamento]&gt;='n&amp;cn'!$C$1)*
(tb_desp[data.pagamento]&lt;='n&amp;cn'!$C$2)
))</f>
        <v/>
      </c>
      <c r="BG67" s="267"/>
      <c r="BH67" s="290" t="str" cm="1">
        <f t="array" ref="BH67">IF(BI67="",
"",
SUMPRODUCT(
tb_desp[valor]*
(tb_desp[centro.negocio]=BI$2)*
(tb_desp[nucleo]=BI67)*
(tb_desp[data.pagamento]&gt;='n&amp;cn'!$C$1)*
(tb_desp[data.pagamento]&lt;='n&amp;cn'!$C$2)
))</f>
        <v/>
      </c>
      <c r="BI67" s="267"/>
      <c r="BJ67" s="290" t="str" cm="1">
        <f t="array" ref="BJ67">IF(BK67="",
"",
SUMPRODUCT(
tb_desp[valor]*
(tb_desp[centro.negocio]=BK$2)*
(tb_desp[nucleo]=BK67)*
(tb_desp[data.pagamento]&gt;='n&amp;cn'!$C$1)*
(tb_desp[data.pagamento]&lt;='n&amp;cn'!$C$2)
))</f>
        <v/>
      </c>
      <c r="BK67" s="267"/>
      <c r="BL67" s="290" t="str" cm="1">
        <f t="array" ref="BL67">IF(BM67="",
"",
SUMPRODUCT(
tb_desp[valor]*
(tb_desp[centro.negocio]=BM$2)*
(tb_desp[nucleo]=BM67)*
(tb_desp[data.pagamento]&gt;='n&amp;cn'!$C$1)*
(tb_desp[data.pagamento]&lt;='n&amp;cn'!$C$2)
))</f>
        <v/>
      </c>
      <c r="BM67" s="267"/>
      <c r="BN67" s="290" t="str" cm="1">
        <f t="array" ref="BN67">IF(BO67="",
"",
SUMPRODUCT(
tb_desp[valor]*
(tb_desp[centro.negocio]=BO$2)*
(tb_desp[nucleo]=BO67)*
(tb_desp[data.pagamento]&gt;='n&amp;cn'!$C$1)*
(tb_desp[data.pagamento]&lt;='n&amp;cn'!$C$2)
))</f>
        <v/>
      </c>
      <c r="BO67" s="267"/>
    </row>
    <row r="68" spans="8:67" x14ac:dyDescent="0.25">
      <c r="H68" s="503"/>
      <c r="I68" s="504">
        <f t="shared" si="3"/>
        <v>61</v>
      </c>
      <c r="K68" s="164"/>
      <c r="L68" s="167" t="e">
        <f t="shared" si="4"/>
        <v>#DIV/0!</v>
      </c>
      <c r="M68" s="167" t="e">
        <f>SUM($L$8:$L68)</f>
        <v>#DIV/0!</v>
      </c>
      <c r="R68" s="290" t="str" cm="1">
        <f t="array" ref="R68">IF(S68="",
"",
SUMPRODUCT(
tb_desp[valor]*
(tb_desp[centro.negocio]=S$2)*
(tb_desp[nucleo]=S68)*
(tb_desp[data.pagamento]&gt;='n&amp;cn'!$C$1)*
(tb_desp[data.pagamento]&lt;='n&amp;cn'!$C$2)
))</f>
        <v/>
      </c>
      <c r="S68" s="267"/>
      <c r="T68" s="290" t="str" cm="1">
        <f t="array" ref="T68">IF(U68="",
"",
SUMPRODUCT(
tb_desp[valor]*
(tb_desp[centro.negocio]=U$2)*
(tb_desp[nucleo]=U68)*
(tb_desp[data.pagamento]&gt;='n&amp;cn'!$C$1)*
(tb_desp[data.pagamento]&lt;='n&amp;cn'!$C$2)
))</f>
        <v/>
      </c>
      <c r="U68" s="267"/>
      <c r="V68" s="290" t="str" cm="1">
        <f t="array" ref="V68">IF(W68="",
"",
SUMPRODUCT(
tb_desp[valor]*
(tb_desp[centro.negocio]=W$2)*
(tb_desp[nucleo]=W68)*
(tb_desp[data.pagamento]&gt;='n&amp;cn'!$C$1)*
(tb_desp[data.pagamento]&lt;='n&amp;cn'!$C$2)
))</f>
        <v/>
      </c>
      <c r="W68" s="267"/>
      <c r="X68" s="290" t="str" cm="1">
        <f t="array" ref="X68">IF(Y68="",
"",
SUMPRODUCT(
tb_desp[valor]*
(tb_desp[centro.negocio]=Y$2)*
(tb_desp[nucleo]=Y68)*
(tb_desp[data.pagamento]&gt;='n&amp;cn'!$C$1)*
(tb_desp[data.pagamento]&lt;='n&amp;cn'!$C$2)
))</f>
        <v/>
      </c>
      <c r="Y68" s="267"/>
      <c r="Z68" s="290" t="str" cm="1">
        <f t="array" ref="Z68">IF(AA68="",
"",
SUMPRODUCT(
tb_desp[valor]*
(tb_desp[centro.negocio]=AA$2)*
(tb_desp[nucleo]=AA68)*
(tb_desp[data.pagamento]&gt;='n&amp;cn'!$C$1)*
(tb_desp[data.pagamento]&lt;='n&amp;cn'!$C$2)
))</f>
        <v/>
      </c>
      <c r="AA68" s="267"/>
      <c r="AB68" s="290" t="str" cm="1">
        <f t="array" ref="AB68">IF(AC68="",
"",
SUMPRODUCT(
tb_desp[valor]*
(tb_desp[centro.negocio]=AC$2)*
(tb_desp[nucleo]=AC68)*
(tb_desp[data.pagamento]&gt;='n&amp;cn'!$C$1)*
(tb_desp[data.pagamento]&lt;='n&amp;cn'!$C$2)
))</f>
        <v/>
      </c>
      <c r="AC68" s="267"/>
      <c r="AD68" s="290" t="str" cm="1">
        <f t="array" ref="AD68">IF(AE68="",
"",
SUMPRODUCT(
tb_desp[valor]*
(tb_desp[centro.negocio]=AE$2)*
(tb_desp[nucleo]=AE68)*
(tb_desp[data.pagamento]&gt;='n&amp;cn'!$C$1)*
(tb_desp[data.pagamento]&lt;='n&amp;cn'!$C$2)
))</f>
        <v/>
      </c>
      <c r="AE68" s="267"/>
      <c r="AF68" s="290" t="str" cm="1">
        <f t="array" ref="AF68">IF(AG68="",
"",
SUMPRODUCT(
tb_desp[valor]*
(tb_desp[centro.negocio]=AG$2)*
(tb_desp[nucleo]=AG68)*
(tb_desp[data.pagamento]&gt;='n&amp;cn'!$C$1)*
(tb_desp[data.pagamento]&lt;='n&amp;cn'!$C$2)
))</f>
        <v/>
      </c>
      <c r="AG68" s="267"/>
      <c r="AH68" s="290" t="str" cm="1">
        <f t="array" ref="AH68">IF(AI68="",
"",
SUMPRODUCT(
tb_desp[valor]*
(tb_desp[centro.negocio]=AI$2)*
(tb_desp[nucleo]=AI68)*
(tb_desp[data.pagamento]&gt;='n&amp;cn'!$C$1)*
(tb_desp[data.pagamento]&lt;='n&amp;cn'!$C$2)
))</f>
        <v/>
      </c>
      <c r="AI68" s="267"/>
      <c r="AJ68" s="290" t="str" cm="1">
        <f t="array" ref="AJ68">IF(AK68="",
"",
SUMPRODUCT(
tb_desp[valor]*
(tb_desp[centro.negocio]=AK$2)*
(tb_desp[nucleo]=AK68)*
(tb_desp[data.pagamento]&gt;='n&amp;cn'!$C$1)*
(tb_desp[data.pagamento]&lt;='n&amp;cn'!$C$2)
))</f>
        <v/>
      </c>
      <c r="AK68" s="267"/>
      <c r="AL68" s="290" t="str" cm="1">
        <f t="array" ref="AL68">IF(AM68="",
"",
SUMPRODUCT(
tb_desp[valor]*
(tb_desp[centro.negocio]=AM$2)*
(tb_desp[nucleo]=AM68)*
(tb_desp[data.pagamento]&gt;='n&amp;cn'!$C$1)*
(tb_desp[data.pagamento]&lt;='n&amp;cn'!$C$2)
))</f>
        <v/>
      </c>
      <c r="AM68" s="267"/>
      <c r="AN68" s="290" t="str" cm="1">
        <f t="array" ref="AN68">IF(AO68="",
"",
SUMPRODUCT(
tb_desp[valor]*
(tb_desp[centro.negocio]=AO$2)*
(tb_desp[nucleo]=AO68)*
(tb_desp[data.pagamento]&gt;='n&amp;cn'!$C$1)*
(tb_desp[data.pagamento]&lt;='n&amp;cn'!$C$2)
))</f>
        <v/>
      </c>
      <c r="AO68" s="267"/>
      <c r="AP68" s="290" t="str" cm="1">
        <f t="array" ref="AP68">IF(AQ68="",
"",
SUMPRODUCT(
tb_desp[valor]*
(tb_desp[centro.negocio]=AQ$2)*
(tb_desp[nucleo]=AQ68)*
(tb_desp[data.pagamento]&gt;='n&amp;cn'!$C$1)*
(tb_desp[data.pagamento]&lt;='n&amp;cn'!$C$2)
))</f>
        <v/>
      </c>
      <c r="AQ68" s="267"/>
      <c r="AR68" s="290" t="str" cm="1">
        <f t="array" ref="AR68">IF(AS68="",
"",
SUMPRODUCT(
tb_desp[valor]*
(tb_desp[centro.negocio]=AS$2)*
(tb_desp[nucleo]=AS68)*
(tb_desp[data.pagamento]&gt;='n&amp;cn'!$C$1)*
(tb_desp[data.pagamento]&lt;='n&amp;cn'!$C$2)
))</f>
        <v/>
      </c>
      <c r="AS68" s="267"/>
      <c r="AT68" s="290" t="str" cm="1">
        <f t="array" ref="AT68">IF(AU68="",
"",
SUMPRODUCT(
tb_desp[valor]*
(tb_desp[centro.negocio]=AU$2)*
(tb_desp[nucleo]=AU68)*
(tb_desp[data.pagamento]&gt;='n&amp;cn'!$C$1)*
(tb_desp[data.pagamento]&lt;='n&amp;cn'!$C$2)
))</f>
        <v/>
      </c>
      <c r="AU68" s="267"/>
      <c r="AV68" s="290" t="str" cm="1">
        <f t="array" ref="AV68">IF(AW68="",
"",
SUMPRODUCT(
tb_desp[valor]*
(tb_desp[centro.negocio]=AW$2)*
(tb_desp[nucleo]=AW68)*
(tb_desp[data.pagamento]&gt;='n&amp;cn'!$C$1)*
(tb_desp[data.pagamento]&lt;='n&amp;cn'!$C$2)
))</f>
        <v/>
      </c>
      <c r="AW68" s="267"/>
      <c r="AX68" s="290" t="str" cm="1">
        <f t="array" ref="AX68">IF(AY68="",
"",
SUMPRODUCT(
tb_desp[valor]*
(tb_desp[centro.negocio]=AY$2)*
(tb_desp[nucleo]=AY68)*
(tb_desp[data.pagamento]&gt;='n&amp;cn'!$C$1)*
(tb_desp[data.pagamento]&lt;='n&amp;cn'!$C$2)
))</f>
        <v/>
      </c>
      <c r="AY68" s="267"/>
      <c r="AZ68" s="290" t="str" cm="1">
        <f t="array" ref="AZ68">IF(BA68="",
"",
SUMPRODUCT(
tb_desp[valor]*
(tb_desp[centro.negocio]=BA$2)*
(tb_desp[nucleo]=BA68)*
(tb_desp[data.pagamento]&gt;='n&amp;cn'!$C$1)*
(tb_desp[data.pagamento]&lt;='n&amp;cn'!$C$2)
))</f>
        <v/>
      </c>
      <c r="BA68" s="267"/>
      <c r="BB68" s="290" t="str" cm="1">
        <f t="array" ref="BB68">IF(BC68="",
"",
SUMPRODUCT(
tb_desp[valor]*
(tb_desp[centro.negocio]=BC$2)*
(tb_desp[nucleo]=BC68)*
(tb_desp[data.pagamento]&gt;='n&amp;cn'!$C$1)*
(tb_desp[data.pagamento]&lt;='n&amp;cn'!$C$2)
))</f>
        <v/>
      </c>
      <c r="BC68" s="267"/>
      <c r="BD68" s="290" t="str" cm="1">
        <f t="array" ref="BD68">IF(BE68="",
"",
SUMPRODUCT(
tb_desp[valor]*
(tb_desp[centro.negocio]=BE$2)*
(tb_desp[nucleo]=BE68)*
(tb_desp[data.pagamento]&gt;='n&amp;cn'!$C$1)*
(tb_desp[data.pagamento]&lt;='n&amp;cn'!$C$2)
))</f>
        <v/>
      </c>
      <c r="BE68" s="267"/>
      <c r="BF68" s="290" t="str" cm="1">
        <f t="array" ref="BF68">IF(BG68="",
"",
SUMPRODUCT(
tb_desp[valor]*
(tb_desp[centro.negocio]=BG$2)*
(tb_desp[nucleo]=BG68)*
(tb_desp[data.pagamento]&gt;='n&amp;cn'!$C$1)*
(tb_desp[data.pagamento]&lt;='n&amp;cn'!$C$2)
))</f>
        <v/>
      </c>
      <c r="BG68" s="267"/>
      <c r="BH68" s="290" t="str" cm="1">
        <f t="array" ref="BH68">IF(BI68="",
"",
SUMPRODUCT(
tb_desp[valor]*
(tb_desp[centro.negocio]=BI$2)*
(tb_desp[nucleo]=BI68)*
(tb_desp[data.pagamento]&gt;='n&amp;cn'!$C$1)*
(tb_desp[data.pagamento]&lt;='n&amp;cn'!$C$2)
))</f>
        <v/>
      </c>
      <c r="BI68" s="267"/>
      <c r="BJ68" s="290" t="str" cm="1">
        <f t="array" ref="BJ68">IF(BK68="",
"",
SUMPRODUCT(
tb_desp[valor]*
(tb_desp[centro.negocio]=BK$2)*
(tb_desp[nucleo]=BK68)*
(tb_desp[data.pagamento]&gt;='n&amp;cn'!$C$1)*
(tb_desp[data.pagamento]&lt;='n&amp;cn'!$C$2)
))</f>
        <v/>
      </c>
      <c r="BK68" s="267"/>
      <c r="BL68" s="290" t="str" cm="1">
        <f t="array" ref="BL68">IF(BM68="",
"",
SUMPRODUCT(
tb_desp[valor]*
(tb_desp[centro.negocio]=BM$2)*
(tb_desp[nucleo]=BM68)*
(tb_desp[data.pagamento]&gt;='n&amp;cn'!$C$1)*
(tb_desp[data.pagamento]&lt;='n&amp;cn'!$C$2)
))</f>
        <v/>
      </c>
      <c r="BM68" s="267"/>
      <c r="BN68" s="290" t="str" cm="1">
        <f t="array" ref="BN68">IF(BO68="",
"",
SUMPRODUCT(
tb_desp[valor]*
(tb_desp[centro.negocio]=BO$2)*
(tb_desp[nucleo]=BO68)*
(tb_desp[data.pagamento]&gt;='n&amp;cn'!$C$1)*
(tb_desp[data.pagamento]&lt;='n&amp;cn'!$C$2)
))</f>
        <v/>
      </c>
      <c r="BO68" s="267"/>
    </row>
    <row r="69" spans="8:67" x14ac:dyDescent="0.25">
      <c r="H69" s="168"/>
      <c r="I69" s="163">
        <f t="shared" si="3"/>
        <v>62</v>
      </c>
      <c r="K69" s="164"/>
      <c r="L69" s="167" t="e">
        <f t="shared" si="4"/>
        <v>#DIV/0!</v>
      </c>
      <c r="M69" s="167" t="e">
        <f>SUM($L$8:$L69)</f>
        <v>#DIV/0!</v>
      </c>
      <c r="R69" s="290" t="str" cm="1">
        <f t="array" ref="R69">IF(S69="",
"",
SUMPRODUCT(
tb_desp[valor]*
(tb_desp[centro.negocio]=S$2)*
(tb_desp[nucleo]=S69)*
(tb_desp[data.pagamento]&gt;='n&amp;cn'!$C$1)*
(tb_desp[data.pagamento]&lt;='n&amp;cn'!$C$2)
))</f>
        <v/>
      </c>
      <c r="S69" s="267"/>
      <c r="T69" s="290" t="str" cm="1">
        <f t="array" ref="T69">IF(U69="",
"",
SUMPRODUCT(
tb_desp[valor]*
(tb_desp[centro.negocio]=U$2)*
(tb_desp[nucleo]=U69)*
(tb_desp[data.pagamento]&gt;='n&amp;cn'!$C$1)*
(tb_desp[data.pagamento]&lt;='n&amp;cn'!$C$2)
))</f>
        <v/>
      </c>
      <c r="U69" s="267"/>
      <c r="V69" s="290" t="str" cm="1">
        <f t="array" ref="V69">IF(W69="",
"",
SUMPRODUCT(
tb_desp[valor]*
(tb_desp[centro.negocio]=W$2)*
(tb_desp[nucleo]=W69)*
(tb_desp[data.pagamento]&gt;='n&amp;cn'!$C$1)*
(tb_desp[data.pagamento]&lt;='n&amp;cn'!$C$2)
))</f>
        <v/>
      </c>
      <c r="W69" s="267"/>
      <c r="X69" s="290" t="str" cm="1">
        <f t="array" ref="X69">IF(Y69="",
"",
SUMPRODUCT(
tb_desp[valor]*
(tb_desp[centro.negocio]=Y$2)*
(tb_desp[nucleo]=Y69)*
(tb_desp[data.pagamento]&gt;='n&amp;cn'!$C$1)*
(tb_desp[data.pagamento]&lt;='n&amp;cn'!$C$2)
))</f>
        <v/>
      </c>
      <c r="Y69" s="267"/>
      <c r="Z69" s="290" t="str" cm="1">
        <f t="array" ref="Z69">IF(AA69="",
"",
SUMPRODUCT(
tb_desp[valor]*
(tb_desp[centro.negocio]=AA$2)*
(tb_desp[nucleo]=AA69)*
(tb_desp[data.pagamento]&gt;='n&amp;cn'!$C$1)*
(tb_desp[data.pagamento]&lt;='n&amp;cn'!$C$2)
))</f>
        <v/>
      </c>
      <c r="AA69" s="267"/>
      <c r="AB69" s="290" t="str" cm="1">
        <f t="array" ref="AB69">IF(AC69="",
"",
SUMPRODUCT(
tb_desp[valor]*
(tb_desp[centro.negocio]=AC$2)*
(tb_desp[nucleo]=AC69)*
(tb_desp[data.pagamento]&gt;='n&amp;cn'!$C$1)*
(tb_desp[data.pagamento]&lt;='n&amp;cn'!$C$2)
))</f>
        <v/>
      </c>
      <c r="AC69" s="267"/>
      <c r="AD69" s="290" t="str" cm="1">
        <f t="array" ref="AD69">IF(AE69="",
"",
SUMPRODUCT(
tb_desp[valor]*
(tb_desp[centro.negocio]=AE$2)*
(tb_desp[nucleo]=AE69)*
(tb_desp[data.pagamento]&gt;='n&amp;cn'!$C$1)*
(tb_desp[data.pagamento]&lt;='n&amp;cn'!$C$2)
))</f>
        <v/>
      </c>
      <c r="AE69" s="267"/>
      <c r="AF69" s="290" t="str" cm="1">
        <f t="array" ref="AF69">IF(AG69="",
"",
SUMPRODUCT(
tb_desp[valor]*
(tb_desp[centro.negocio]=AG$2)*
(tb_desp[nucleo]=AG69)*
(tb_desp[data.pagamento]&gt;='n&amp;cn'!$C$1)*
(tb_desp[data.pagamento]&lt;='n&amp;cn'!$C$2)
))</f>
        <v/>
      </c>
      <c r="AG69" s="267"/>
      <c r="AH69" s="290" t="str" cm="1">
        <f t="array" ref="AH69">IF(AI69="",
"",
SUMPRODUCT(
tb_desp[valor]*
(tb_desp[centro.negocio]=AI$2)*
(tb_desp[nucleo]=AI69)*
(tb_desp[data.pagamento]&gt;='n&amp;cn'!$C$1)*
(tb_desp[data.pagamento]&lt;='n&amp;cn'!$C$2)
))</f>
        <v/>
      </c>
      <c r="AI69" s="267"/>
      <c r="AJ69" s="290" t="str" cm="1">
        <f t="array" ref="AJ69">IF(AK69="",
"",
SUMPRODUCT(
tb_desp[valor]*
(tb_desp[centro.negocio]=AK$2)*
(tb_desp[nucleo]=AK69)*
(tb_desp[data.pagamento]&gt;='n&amp;cn'!$C$1)*
(tb_desp[data.pagamento]&lt;='n&amp;cn'!$C$2)
))</f>
        <v/>
      </c>
      <c r="AK69" s="267"/>
      <c r="AL69" s="290" t="str" cm="1">
        <f t="array" ref="AL69">IF(AM69="",
"",
SUMPRODUCT(
tb_desp[valor]*
(tb_desp[centro.negocio]=AM$2)*
(tb_desp[nucleo]=AM69)*
(tb_desp[data.pagamento]&gt;='n&amp;cn'!$C$1)*
(tb_desp[data.pagamento]&lt;='n&amp;cn'!$C$2)
))</f>
        <v/>
      </c>
      <c r="AM69" s="267"/>
      <c r="AN69" s="290" t="str" cm="1">
        <f t="array" ref="AN69">IF(AO69="",
"",
SUMPRODUCT(
tb_desp[valor]*
(tb_desp[centro.negocio]=AO$2)*
(tb_desp[nucleo]=AO69)*
(tb_desp[data.pagamento]&gt;='n&amp;cn'!$C$1)*
(tb_desp[data.pagamento]&lt;='n&amp;cn'!$C$2)
))</f>
        <v/>
      </c>
      <c r="AO69" s="267"/>
      <c r="AP69" s="290" t="str" cm="1">
        <f t="array" ref="AP69">IF(AQ69="",
"",
SUMPRODUCT(
tb_desp[valor]*
(tb_desp[centro.negocio]=AQ$2)*
(tb_desp[nucleo]=AQ69)*
(tb_desp[data.pagamento]&gt;='n&amp;cn'!$C$1)*
(tb_desp[data.pagamento]&lt;='n&amp;cn'!$C$2)
))</f>
        <v/>
      </c>
      <c r="AQ69" s="267"/>
      <c r="AR69" s="290" t="str" cm="1">
        <f t="array" ref="AR69">IF(AS69="",
"",
SUMPRODUCT(
tb_desp[valor]*
(tb_desp[centro.negocio]=AS$2)*
(tb_desp[nucleo]=AS69)*
(tb_desp[data.pagamento]&gt;='n&amp;cn'!$C$1)*
(tb_desp[data.pagamento]&lt;='n&amp;cn'!$C$2)
))</f>
        <v/>
      </c>
      <c r="AS69" s="267"/>
      <c r="AT69" s="290" t="str" cm="1">
        <f t="array" ref="AT69">IF(AU69="",
"",
SUMPRODUCT(
tb_desp[valor]*
(tb_desp[centro.negocio]=AU$2)*
(tb_desp[nucleo]=AU69)*
(tb_desp[data.pagamento]&gt;='n&amp;cn'!$C$1)*
(tb_desp[data.pagamento]&lt;='n&amp;cn'!$C$2)
))</f>
        <v/>
      </c>
      <c r="AU69" s="267"/>
      <c r="AV69" s="290" t="str" cm="1">
        <f t="array" ref="AV69">IF(AW69="",
"",
SUMPRODUCT(
tb_desp[valor]*
(tb_desp[centro.negocio]=AW$2)*
(tb_desp[nucleo]=AW69)*
(tb_desp[data.pagamento]&gt;='n&amp;cn'!$C$1)*
(tb_desp[data.pagamento]&lt;='n&amp;cn'!$C$2)
))</f>
        <v/>
      </c>
      <c r="AW69" s="267"/>
      <c r="AX69" s="290" t="str" cm="1">
        <f t="array" ref="AX69">IF(AY69="",
"",
SUMPRODUCT(
tb_desp[valor]*
(tb_desp[centro.negocio]=AY$2)*
(tb_desp[nucleo]=AY69)*
(tb_desp[data.pagamento]&gt;='n&amp;cn'!$C$1)*
(tb_desp[data.pagamento]&lt;='n&amp;cn'!$C$2)
))</f>
        <v/>
      </c>
      <c r="AY69" s="267"/>
      <c r="AZ69" s="290" t="str" cm="1">
        <f t="array" ref="AZ69">IF(BA69="",
"",
SUMPRODUCT(
tb_desp[valor]*
(tb_desp[centro.negocio]=BA$2)*
(tb_desp[nucleo]=BA69)*
(tb_desp[data.pagamento]&gt;='n&amp;cn'!$C$1)*
(tb_desp[data.pagamento]&lt;='n&amp;cn'!$C$2)
))</f>
        <v/>
      </c>
      <c r="BA69" s="267"/>
      <c r="BB69" s="290" t="str" cm="1">
        <f t="array" ref="BB69">IF(BC69="",
"",
SUMPRODUCT(
tb_desp[valor]*
(tb_desp[centro.negocio]=BC$2)*
(tb_desp[nucleo]=BC69)*
(tb_desp[data.pagamento]&gt;='n&amp;cn'!$C$1)*
(tb_desp[data.pagamento]&lt;='n&amp;cn'!$C$2)
))</f>
        <v/>
      </c>
      <c r="BC69" s="267"/>
      <c r="BD69" s="290" t="str" cm="1">
        <f t="array" ref="BD69">IF(BE69="",
"",
SUMPRODUCT(
tb_desp[valor]*
(tb_desp[centro.negocio]=BE$2)*
(tb_desp[nucleo]=BE69)*
(tb_desp[data.pagamento]&gt;='n&amp;cn'!$C$1)*
(tb_desp[data.pagamento]&lt;='n&amp;cn'!$C$2)
))</f>
        <v/>
      </c>
      <c r="BE69" s="267"/>
      <c r="BF69" s="290" t="str" cm="1">
        <f t="array" ref="BF69">IF(BG69="",
"",
SUMPRODUCT(
tb_desp[valor]*
(tb_desp[centro.negocio]=BG$2)*
(tb_desp[nucleo]=BG69)*
(tb_desp[data.pagamento]&gt;='n&amp;cn'!$C$1)*
(tb_desp[data.pagamento]&lt;='n&amp;cn'!$C$2)
))</f>
        <v/>
      </c>
      <c r="BG69" s="267"/>
      <c r="BH69" s="290" t="str" cm="1">
        <f t="array" ref="BH69">IF(BI69="",
"",
SUMPRODUCT(
tb_desp[valor]*
(tb_desp[centro.negocio]=BI$2)*
(tb_desp[nucleo]=BI69)*
(tb_desp[data.pagamento]&gt;='n&amp;cn'!$C$1)*
(tb_desp[data.pagamento]&lt;='n&amp;cn'!$C$2)
))</f>
        <v/>
      </c>
      <c r="BI69" s="267"/>
      <c r="BJ69" s="290" t="str" cm="1">
        <f t="array" ref="BJ69">IF(BK69="",
"",
SUMPRODUCT(
tb_desp[valor]*
(tb_desp[centro.negocio]=BK$2)*
(tb_desp[nucleo]=BK69)*
(tb_desp[data.pagamento]&gt;='n&amp;cn'!$C$1)*
(tb_desp[data.pagamento]&lt;='n&amp;cn'!$C$2)
))</f>
        <v/>
      </c>
      <c r="BK69" s="267"/>
      <c r="BL69" s="290" t="str" cm="1">
        <f t="array" ref="BL69">IF(BM69="",
"",
SUMPRODUCT(
tb_desp[valor]*
(tb_desp[centro.negocio]=BM$2)*
(tb_desp[nucleo]=BM69)*
(tb_desp[data.pagamento]&gt;='n&amp;cn'!$C$1)*
(tb_desp[data.pagamento]&lt;='n&amp;cn'!$C$2)
))</f>
        <v/>
      </c>
      <c r="BM69" s="267"/>
      <c r="BN69" s="290" t="str" cm="1">
        <f t="array" ref="BN69">IF(BO69="",
"",
SUMPRODUCT(
tb_desp[valor]*
(tb_desp[centro.negocio]=BO$2)*
(tb_desp[nucleo]=BO69)*
(tb_desp[data.pagamento]&gt;='n&amp;cn'!$C$1)*
(tb_desp[data.pagamento]&lt;='n&amp;cn'!$C$2)
))</f>
        <v/>
      </c>
      <c r="BO69" s="267"/>
    </row>
    <row r="70" spans="8:67" x14ac:dyDescent="0.25">
      <c r="H70" s="168"/>
      <c r="I70" s="163">
        <f t="shared" si="3"/>
        <v>63</v>
      </c>
      <c r="K70" s="164"/>
      <c r="L70" s="167" t="e">
        <f t="shared" si="4"/>
        <v>#DIV/0!</v>
      </c>
      <c r="M70" s="167" t="e">
        <f>SUM($L$8:$L70)</f>
        <v>#DIV/0!</v>
      </c>
      <c r="R70" s="290" t="str" cm="1">
        <f t="array" ref="R70">IF(S70="",
"",
SUMPRODUCT(
tb_desp[valor]*
(tb_desp[centro.negocio]=S$2)*
(tb_desp[nucleo]=S70)*
(tb_desp[data.pagamento]&gt;='n&amp;cn'!$C$1)*
(tb_desp[data.pagamento]&lt;='n&amp;cn'!$C$2)
))</f>
        <v/>
      </c>
      <c r="S70" s="267"/>
      <c r="T70" s="290" t="str" cm="1">
        <f t="array" ref="T70">IF(U70="",
"",
SUMPRODUCT(
tb_desp[valor]*
(tb_desp[centro.negocio]=U$2)*
(tb_desp[nucleo]=U70)*
(tb_desp[data.pagamento]&gt;='n&amp;cn'!$C$1)*
(tb_desp[data.pagamento]&lt;='n&amp;cn'!$C$2)
))</f>
        <v/>
      </c>
      <c r="U70" s="267"/>
      <c r="V70" s="290" t="str" cm="1">
        <f t="array" ref="V70">IF(W70="",
"",
SUMPRODUCT(
tb_desp[valor]*
(tb_desp[centro.negocio]=W$2)*
(tb_desp[nucleo]=W70)*
(tb_desp[data.pagamento]&gt;='n&amp;cn'!$C$1)*
(tb_desp[data.pagamento]&lt;='n&amp;cn'!$C$2)
))</f>
        <v/>
      </c>
      <c r="W70" s="267"/>
      <c r="X70" s="290" t="str" cm="1">
        <f t="array" ref="X70">IF(Y70="",
"",
SUMPRODUCT(
tb_desp[valor]*
(tb_desp[centro.negocio]=Y$2)*
(tb_desp[nucleo]=Y70)*
(tb_desp[data.pagamento]&gt;='n&amp;cn'!$C$1)*
(tb_desp[data.pagamento]&lt;='n&amp;cn'!$C$2)
))</f>
        <v/>
      </c>
      <c r="Y70" s="267"/>
      <c r="Z70" s="290" t="str" cm="1">
        <f t="array" ref="Z70">IF(AA70="",
"",
SUMPRODUCT(
tb_desp[valor]*
(tb_desp[centro.negocio]=AA$2)*
(tb_desp[nucleo]=AA70)*
(tb_desp[data.pagamento]&gt;='n&amp;cn'!$C$1)*
(tb_desp[data.pagamento]&lt;='n&amp;cn'!$C$2)
))</f>
        <v/>
      </c>
      <c r="AA70" s="267"/>
      <c r="AB70" s="290" t="str" cm="1">
        <f t="array" ref="AB70">IF(AC70="",
"",
SUMPRODUCT(
tb_desp[valor]*
(tb_desp[centro.negocio]=AC$2)*
(tb_desp[nucleo]=AC70)*
(tb_desp[data.pagamento]&gt;='n&amp;cn'!$C$1)*
(tb_desp[data.pagamento]&lt;='n&amp;cn'!$C$2)
))</f>
        <v/>
      </c>
      <c r="AC70" s="267"/>
      <c r="AD70" s="290" t="str" cm="1">
        <f t="array" ref="AD70">IF(AE70="",
"",
SUMPRODUCT(
tb_desp[valor]*
(tb_desp[centro.negocio]=AE$2)*
(tb_desp[nucleo]=AE70)*
(tb_desp[data.pagamento]&gt;='n&amp;cn'!$C$1)*
(tb_desp[data.pagamento]&lt;='n&amp;cn'!$C$2)
))</f>
        <v/>
      </c>
      <c r="AE70" s="267"/>
      <c r="AF70" s="290" t="str" cm="1">
        <f t="array" ref="AF70">IF(AG70="",
"",
SUMPRODUCT(
tb_desp[valor]*
(tb_desp[centro.negocio]=AG$2)*
(tb_desp[nucleo]=AG70)*
(tb_desp[data.pagamento]&gt;='n&amp;cn'!$C$1)*
(tb_desp[data.pagamento]&lt;='n&amp;cn'!$C$2)
))</f>
        <v/>
      </c>
      <c r="AG70" s="267"/>
      <c r="AH70" s="290" t="str" cm="1">
        <f t="array" ref="AH70">IF(AI70="",
"",
SUMPRODUCT(
tb_desp[valor]*
(tb_desp[centro.negocio]=AI$2)*
(tb_desp[nucleo]=AI70)*
(tb_desp[data.pagamento]&gt;='n&amp;cn'!$C$1)*
(tb_desp[data.pagamento]&lt;='n&amp;cn'!$C$2)
))</f>
        <v/>
      </c>
      <c r="AI70" s="267"/>
      <c r="AJ70" s="290" t="str" cm="1">
        <f t="array" ref="AJ70">IF(AK70="",
"",
SUMPRODUCT(
tb_desp[valor]*
(tb_desp[centro.negocio]=AK$2)*
(tb_desp[nucleo]=AK70)*
(tb_desp[data.pagamento]&gt;='n&amp;cn'!$C$1)*
(tb_desp[data.pagamento]&lt;='n&amp;cn'!$C$2)
))</f>
        <v/>
      </c>
      <c r="AK70" s="267"/>
      <c r="AL70" s="290" t="str" cm="1">
        <f t="array" ref="AL70">IF(AM70="",
"",
SUMPRODUCT(
tb_desp[valor]*
(tb_desp[centro.negocio]=AM$2)*
(tb_desp[nucleo]=AM70)*
(tb_desp[data.pagamento]&gt;='n&amp;cn'!$C$1)*
(tb_desp[data.pagamento]&lt;='n&amp;cn'!$C$2)
))</f>
        <v/>
      </c>
      <c r="AM70" s="267"/>
      <c r="AN70" s="290" t="str" cm="1">
        <f t="array" ref="AN70">IF(AO70="",
"",
SUMPRODUCT(
tb_desp[valor]*
(tb_desp[centro.negocio]=AO$2)*
(tb_desp[nucleo]=AO70)*
(tb_desp[data.pagamento]&gt;='n&amp;cn'!$C$1)*
(tb_desp[data.pagamento]&lt;='n&amp;cn'!$C$2)
))</f>
        <v/>
      </c>
      <c r="AO70" s="267"/>
      <c r="AP70" s="290" t="str" cm="1">
        <f t="array" ref="AP70">IF(AQ70="",
"",
SUMPRODUCT(
tb_desp[valor]*
(tb_desp[centro.negocio]=AQ$2)*
(tb_desp[nucleo]=AQ70)*
(tb_desp[data.pagamento]&gt;='n&amp;cn'!$C$1)*
(tb_desp[data.pagamento]&lt;='n&amp;cn'!$C$2)
))</f>
        <v/>
      </c>
      <c r="AQ70" s="267"/>
      <c r="AR70" s="290" t="str" cm="1">
        <f t="array" ref="AR70">IF(AS70="",
"",
SUMPRODUCT(
tb_desp[valor]*
(tb_desp[centro.negocio]=AS$2)*
(tb_desp[nucleo]=AS70)*
(tb_desp[data.pagamento]&gt;='n&amp;cn'!$C$1)*
(tb_desp[data.pagamento]&lt;='n&amp;cn'!$C$2)
))</f>
        <v/>
      </c>
      <c r="AS70" s="267"/>
      <c r="AT70" s="290" t="str" cm="1">
        <f t="array" ref="AT70">IF(AU70="",
"",
SUMPRODUCT(
tb_desp[valor]*
(tb_desp[centro.negocio]=AU$2)*
(tb_desp[nucleo]=AU70)*
(tb_desp[data.pagamento]&gt;='n&amp;cn'!$C$1)*
(tb_desp[data.pagamento]&lt;='n&amp;cn'!$C$2)
))</f>
        <v/>
      </c>
      <c r="AU70" s="267"/>
      <c r="AV70" s="290" t="str" cm="1">
        <f t="array" ref="AV70">IF(AW70="",
"",
SUMPRODUCT(
tb_desp[valor]*
(tb_desp[centro.negocio]=AW$2)*
(tb_desp[nucleo]=AW70)*
(tb_desp[data.pagamento]&gt;='n&amp;cn'!$C$1)*
(tb_desp[data.pagamento]&lt;='n&amp;cn'!$C$2)
))</f>
        <v/>
      </c>
      <c r="AW70" s="267"/>
      <c r="AX70" s="290" t="str" cm="1">
        <f t="array" ref="AX70">IF(AY70="",
"",
SUMPRODUCT(
tb_desp[valor]*
(tb_desp[centro.negocio]=AY$2)*
(tb_desp[nucleo]=AY70)*
(tb_desp[data.pagamento]&gt;='n&amp;cn'!$C$1)*
(tb_desp[data.pagamento]&lt;='n&amp;cn'!$C$2)
))</f>
        <v/>
      </c>
      <c r="AY70" s="267"/>
      <c r="AZ70" s="290" t="str" cm="1">
        <f t="array" ref="AZ70">IF(BA70="",
"",
SUMPRODUCT(
tb_desp[valor]*
(tb_desp[centro.negocio]=BA$2)*
(tb_desp[nucleo]=BA70)*
(tb_desp[data.pagamento]&gt;='n&amp;cn'!$C$1)*
(tb_desp[data.pagamento]&lt;='n&amp;cn'!$C$2)
))</f>
        <v/>
      </c>
      <c r="BA70" s="267"/>
      <c r="BB70" s="290" t="str" cm="1">
        <f t="array" ref="BB70">IF(BC70="",
"",
SUMPRODUCT(
tb_desp[valor]*
(tb_desp[centro.negocio]=BC$2)*
(tb_desp[nucleo]=BC70)*
(tb_desp[data.pagamento]&gt;='n&amp;cn'!$C$1)*
(tb_desp[data.pagamento]&lt;='n&amp;cn'!$C$2)
))</f>
        <v/>
      </c>
      <c r="BC70" s="267"/>
      <c r="BD70" s="290" t="str" cm="1">
        <f t="array" ref="BD70">IF(BE70="",
"",
SUMPRODUCT(
tb_desp[valor]*
(tb_desp[centro.negocio]=BE$2)*
(tb_desp[nucleo]=BE70)*
(tb_desp[data.pagamento]&gt;='n&amp;cn'!$C$1)*
(tb_desp[data.pagamento]&lt;='n&amp;cn'!$C$2)
))</f>
        <v/>
      </c>
      <c r="BE70" s="267"/>
      <c r="BF70" s="290" t="str" cm="1">
        <f t="array" ref="BF70">IF(BG70="",
"",
SUMPRODUCT(
tb_desp[valor]*
(tb_desp[centro.negocio]=BG$2)*
(tb_desp[nucleo]=BG70)*
(tb_desp[data.pagamento]&gt;='n&amp;cn'!$C$1)*
(tb_desp[data.pagamento]&lt;='n&amp;cn'!$C$2)
))</f>
        <v/>
      </c>
      <c r="BG70" s="267"/>
      <c r="BH70" s="290" t="str" cm="1">
        <f t="array" ref="BH70">IF(BI70="",
"",
SUMPRODUCT(
tb_desp[valor]*
(tb_desp[centro.negocio]=BI$2)*
(tb_desp[nucleo]=BI70)*
(tb_desp[data.pagamento]&gt;='n&amp;cn'!$C$1)*
(tb_desp[data.pagamento]&lt;='n&amp;cn'!$C$2)
))</f>
        <v/>
      </c>
      <c r="BI70" s="267"/>
      <c r="BJ70" s="290" t="str" cm="1">
        <f t="array" ref="BJ70">IF(BK70="",
"",
SUMPRODUCT(
tb_desp[valor]*
(tb_desp[centro.negocio]=BK$2)*
(tb_desp[nucleo]=BK70)*
(tb_desp[data.pagamento]&gt;='n&amp;cn'!$C$1)*
(tb_desp[data.pagamento]&lt;='n&amp;cn'!$C$2)
))</f>
        <v/>
      </c>
      <c r="BK70" s="267"/>
      <c r="BL70" s="290" t="str" cm="1">
        <f t="array" ref="BL70">IF(BM70="",
"",
SUMPRODUCT(
tb_desp[valor]*
(tb_desp[centro.negocio]=BM$2)*
(tb_desp[nucleo]=BM70)*
(tb_desp[data.pagamento]&gt;='n&amp;cn'!$C$1)*
(tb_desp[data.pagamento]&lt;='n&amp;cn'!$C$2)
))</f>
        <v/>
      </c>
      <c r="BM70" s="267"/>
      <c r="BN70" s="290" t="str" cm="1">
        <f t="array" ref="BN70">IF(BO70="",
"",
SUMPRODUCT(
tb_desp[valor]*
(tb_desp[centro.negocio]=BO$2)*
(tb_desp[nucleo]=BO70)*
(tb_desp[data.pagamento]&gt;='n&amp;cn'!$C$1)*
(tb_desp[data.pagamento]&lt;='n&amp;cn'!$C$2)
))</f>
        <v/>
      </c>
      <c r="BO70" s="267"/>
    </row>
    <row r="71" spans="8:67" x14ac:dyDescent="0.25">
      <c r="H71" s="168"/>
      <c r="I71" s="163">
        <f t="shared" si="3"/>
        <v>64</v>
      </c>
      <c r="K71" s="164"/>
      <c r="L71" s="167" t="e">
        <f t="shared" si="4"/>
        <v>#DIV/0!</v>
      </c>
      <c r="M71" s="167" t="e">
        <f>SUM($L$8:$L71)</f>
        <v>#DIV/0!</v>
      </c>
      <c r="R71" s="290" t="str" cm="1">
        <f t="array" ref="R71">IF(S71="",
"",
SUMPRODUCT(
tb_desp[valor]*
(tb_desp[centro.negocio]=S$2)*
(tb_desp[nucleo]=S71)*
(tb_desp[data.pagamento]&gt;='n&amp;cn'!$C$1)*
(tb_desp[data.pagamento]&lt;='n&amp;cn'!$C$2)
))</f>
        <v/>
      </c>
      <c r="S71" s="267"/>
      <c r="T71" s="290" t="str" cm="1">
        <f t="array" ref="T71">IF(U71="",
"",
SUMPRODUCT(
tb_desp[valor]*
(tb_desp[centro.negocio]=U$2)*
(tb_desp[nucleo]=U71)*
(tb_desp[data.pagamento]&gt;='n&amp;cn'!$C$1)*
(tb_desp[data.pagamento]&lt;='n&amp;cn'!$C$2)
))</f>
        <v/>
      </c>
      <c r="U71" s="267"/>
      <c r="V71" s="290" t="str" cm="1">
        <f t="array" ref="V71">IF(W71="",
"",
SUMPRODUCT(
tb_desp[valor]*
(tb_desp[centro.negocio]=W$2)*
(tb_desp[nucleo]=W71)*
(tb_desp[data.pagamento]&gt;='n&amp;cn'!$C$1)*
(tb_desp[data.pagamento]&lt;='n&amp;cn'!$C$2)
))</f>
        <v/>
      </c>
      <c r="W71" s="267"/>
      <c r="X71" s="290" t="str" cm="1">
        <f t="array" ref="X71">IF(Y71="",
"",
SUMPRODUCT(
tb_desp[valor]*
(tb_desp[centro.negocio]=Y$2)*
(tb_desp[nucleo]=Y71)*
(tb_desp[data.pagamento]&gt;='n&amp;cn'!$C$1)*
(tb_desp[data.pagamento]&lt;='n&amp;cn'!$C$2)
))</f>
        <v/>
      </c>
      <c r="Y71" s="267"/>
      <c r="Z71" s="290" t="str" cm="1">
        <f t="array" ref="Z71">IF(AA71="",
"",
SUMPRODUCT(
tb_desp[valor]*
(tb_desp[centro.negocio]=AA$2)*
(tb_desp[nucleo]=AA71)*
(tb_desp[data.pagamento]&gt;='n&amp;cn'!$C$1)*
(tb_desp[data.pagamento]&lt;='n&amp;cn'!$C$2)
))</f>
        <v/>
      </c>
      <c r="AA71" s="267"/>
      <c r="AB71" s="290" t="str" cm="1">
        <f t="array" ref="AB71">IF(AC71="",
"",
SUMPRODUCT(
tb_desp[valor]*
(tb_desp[centro.negocio]=AC$2)*
(tb_desp[nucleo]=AC71)*
(tb_desp[data.pagamento]&gt;='n&amp;cn'!$C$1)*
(tb_desp[data.pagamento]&lt;='n&amp;cn'!$C$2)
))</f>
        <v/>
      </c>
      <c r="AC71" s="267"/>
      <c r="AD71" s="290" t="str" cm="1">
        <f t="array" ref="AD71">IF(AE71="",
"",
SUMPRODUCT(
tb_desp[valor]*
(tb_desp[centro.negocio]=AE$2)*
(tb_desp[nucleo]=AE71)*
(tb_desp[data.pagamento]&gt;='n&amp;cn'!$C$1)*
(tb_desp[data.pagamento]&lt;='n&amp;cn'!$C$2)
))</f>
        <v/>
      </c>
      <c r="AE71" s="267"/>
      <c r="AF71" s="290" t="str" cm="1">
        <f t="array" ref="AF71">IF(AG71="",
"",
SUMPRODUCT(
tb_desp[valor]*
(tb_desp[centro.negocio]=AG$2)*
(tb_desp[nucleo]=AG71)*
(tb_desp[data.pagamento]&gt;='n&amp;cn'!$C$1)*
(tb_desp[data.pagamento]&lt;='n&amp;cn'!$C$2)
))</f>
        <v/>
      </c>
      <c r="AG71" s="267"/>
      <c r="AH71" s="290" t="str" cm="1">
        <f t="array" ref="AH71">IF(AI71="",
"",
SUMPRODUCT(
tb_desp[valor]*
(tb_desp[centro.negocio]=AI$2)*
(tb_desp[nucleo]=AI71)*
(tb_desp[data.pagamento]&gt;='n&amp;cn'!$C$1)*
(tb_desp[data.pagamento]&lt;='n&amp;cn'!$C$2)
))</f>
        <v/>
      </c>
      <c r="AI71" s="267"/>
      <c r="AJ71" s="290" t="str" cm="1">
        <f t="array" ref="AJ71">IF(AK71="",
"",
SUMPRODUCT(
tb_desp[valor]*
(tb_desp[centro.negocio]=AK$2)*
(tb_desp[nucleo]=AK71)*
(tb_desp[data.pagamento]&gt;='n&amp;cn'!$C$1)*
(tb_desp[data.pagamento]&lt;='n&amp;cn'!$C$2)
))</f>
        <v/>
      </c>
      <c r="AK71" s="267"/>
      <c r="AL71" s="290" t="str" cm="1">
        <f t="array" ref="AL71">IF(AM71="",
"",
SUMPRODUCT(
tb_desp[valor]*
(tb_desp[centro.negocio]=AM$2)*
(tb_desp[nucleo]=AM71)*
(tb_desp[data.pagamento]&gt;='n&amp;cn'!$C$1)*
(tb_desp[data.pagamento]&lt;='n&amp;cn'!$C$2)
))</f>
        <v/>
      </c>
      <c r="AM71" s="267"/>
      <c r="AN71" s="290" t="str" cm="1">
        <f t="array" ref="AN71">IF(AO71="",
"",
SUMPRODUCT(
tb_desp[valor]*
(tb_desp[centro.negocio]=AO$2)*
(tb_desp[nucleo]=AO71)*
(tb_desp[data.pagamento]&gt;='n&amp;cn'!$C$1)*
(tb_desp[data.pagamento]&lt;='n&amp;cn'!$C$2)
))</f>
        <v/>
      </c>
      <c r="AO71" s="267"/>
      <c r="AP71" s="290" t="str" cm="1">
        <f t="array" ref="AP71">IF(AQ71="",
"",
SUMPRODUCT(
tb_desp[valor]*
(tb_desp[centro.negocio]=AQ$2)*
(tb_desp[nucleo]=AQ71)*
(tb_desp[data.pagamento]&gt;='n&amp;cn'!$C$1)*
(tb_desp[data.pagamento]&lt;='n&amp;cn'!$C$2)
))</f>
        <v/>
      </c>
      <c r="AQ71" s="267"/>
      <c r="AR71" s="290" t="str" cm="1">
        <f t="array" ref="AR71">IF(AS71="",
"",
SUMPRODUCT(
tb_desp[valor]*
(tb_desp[centro.negocio]=AS$2)*
(tb_desp[nucleo]=AS71)*
(tb_desp[data.pagamento]&gt;='n&amp;cn'!$C$1)*
(tb_desp[data.pagamento]&lt;='n&amp;cn'!$C$2)
))</f>
        <v/>
      </c>
      <c r="AS71" s="267"/>
      <c r="AT71" s="290" t="str" cm="1">
        <f t="array" ref="AT71">IF(AU71="",
"",
SUMPRODUCT(
tb_desp[valor]*
(tb_desp[centro.negocio]=AU$2)*
(tb_desp[nucleo]=AU71)*
(tb_desp[data.pagamento]&gt;='n&amp;cn'!$C$1)*
(tb_desp[data.pagamento]&lt;='n&amp;cn'!$C$2)
))</f>
        <v/>
      </c>
      <c r="AU71" s="267"/>
      <c r="AV71" s="290" t="str" cm="1">
        <f t="array" ref="AV71">IF(AW71="",
"",
SUMPRODUCT(
tb_desp[valor]*
(tb_desp[centro.negocio]=AW$2)*
(tb_desp[nucleo]=AW71)*
(tb_desp[data.pagamento]&gt;='n&amp;cn'!$C$1)*
(tb_desp[data.pagamento]&lt;='n&amp;cn'!$C$2)
))</f>
        <v/>
      </c>
      <c r="AW71" s="267"/>
      <c r="AX71" s="290" t="str" cm="1">
        <f t="array" ref="AX71">IF(AY71="",
"",
SUMPRODUCT(
tb_desp[valor]*
(tb_desp[centro.negocio]=AY$2)*
(tb_desp[nucleo]=AY71)*
(tb_desp[data.pagamento]&gt;='n&amp;cn'!$C$1)*
(tb_desp[data.pagamento]&lt;='n&amp;cn'!$C$2)
))</f>
        <v/>
      </c>
      <c r="AY71" s="267"/>
      <c r="AZ71" s="290" t="str" cm="1">
        <f t="array" ref="AZ71">IF(BA71="",
"",
SUMPRODUCT(
tb_desp[valor]*
(tb_desp[centro.negocio]=BA$2)*
(tb_desp[nucleo]=BA71)*
(tb_desp[data.pagamento]&gt;='n&amp;cn'!$C$1)*
(tb_desp[data.pagamento]&lt;='n&amp;cn'!$C$2)
))</f>
        <v/>
      </c>
      <c r="BA71" s="267"/>
      <c r="BB71" s="290" t="str" cm="1">
        <f t="array" ref="BB71">IF(BC71="",
"",
SUMPRODUCT(
tb_desp[valor]*
(tb_desp[centro.negocio]=BC$2)*
(tb_desp[nucleo]=BC71)*
(tb_desp[data.pagamento]&gt;='n&amp;cn'!$C$1)*
(tb_desp[data.pagamento]&lt;='n&amp;cn'!$C$2)
))</f>
        <v/>
      </c>
      <c r="BC71" s="267"/>
      <c r="BD71" s="290" t="str" cm="1">
        <f t="array" ref="BD71">IF(BE71="",
"",
SUMPRODUCT(
tb_desp[valor]*
(tb_desp[centro.negocio]=BE$2)*
(tb_desp[nucleo]=BE71)*
(tb_desp[data.pagamento]&gt;='n&amp;cn'!$C$1)*
(tb_desp[data.pagamento]&lt;='n&amp;cn'!$C$2)
))</f>
        <v/>
      </c>
      <c r="BE71" s="267"/>
      <c r="BF71" s="290" t="str" cm="1">
        <f t="array" ref="BF71">IF(BG71="",
"",
SUMPRODUCT(
tb_desp[valor]*
(tb_desp[centro.negocio]=BG$2)*
(tb_desp[nucleo]=BG71)*
(tb_desp[data.pagamento]&gt;='n&amp;cn'!$C$1)*
(tb_desp[data.pagamento]&lt;='n&amp;cn'!$C$2)
))</f>
        <v/>
      </c>
      <c r="BG71" s="267"/>
      <c r="BH71" s="290" t="str" cm="1">
        <f t="array" ref="BH71">IF(BI71="",
"",
SUMPRODUCT(
tb_desp[valor]*
(tb_desp[centro.negocio]=BI$2)*
(tb_desp[nucleo]=BI71)*
(tb_desp[data.pagamento]&gt;='n&amp;cn'!$C$1)*
(tb_desp[data.pagamento]&lt;='n&amp;cn'!$C$2)
))</f>
        <v/>
      </c>
      <c r="BI71" s="267"/>
      <c r="BJ71" s="290" t="str" cm="1">
        <f t="array" ref="BJ71">IF(BK71="",
"",
SUMPRODUCT(
tb_desp[valor]*
(tb_desp[centro.negocio]=BK$2)*
(tb_desp[nucleo]=BK71)*
(tb_desp[data.pagamento]&gt;='n&amp;cn'!$C$1)*
(tb_desp[data.pagamento]&lt;='n&amp;cn'!$C$2)
))</f>
        <v/>
      </c>
      <c r="BK71" s="267"/>
      <c r="BL71" s="290" t="str" cm="1">
        <f t="array" ref="BL71">IF(BM71="",
"",
SUMPRODUCT(
tb_desp[valor]*
(tb_desp[centro.negocio]=BM$2)*
(tb_desp[nucleo]=BM71)*
(tb_desp[data.pagamento]&gt;='n&amp;cn'!$C$1)*
(tb_desp[data.pagamento]&lt;='n&amp;cn'!$C$2)
))</f>
        <v/>
      </c>
      <c r="BM71" s="267"/>
      <c r="BN71" s="290" t="str" cm="1">
        <f t="array" ref="BN71">IF(BO71="",
"",
SUMPRODUCT(
tb_desp[valor]*
(tb_desp[centro.negocio]=BO$2)*
(tb_desp[nucleo]=BO71)*
(tb_desp[data.pagamento]&gt;='n&amp;cn'!$C$1)*
(tb_desp[data.pagamento]&lt;='n&amp;cn'!$C$2)
))</f>
        <v/>
      </c>
      <c r="BO71" s="267"/>
    </row>
    <row r="72" spans="8:67" x14ac:dyDescent="0.25">
      <c r="H72" s="168"/>
      <c r="I72" s="163">
        <f t="shared" si="3"/>
        <v>65</v>
      </c>
      <c r="K72" s="164"/>
      <c r="L72" s="167" t="e">
        <f t="shared" ref="L72:L98" si="5">$K72/SUM($K$8:$K$82)</f>
        <v>#DIV/0!</v>
      </c>
      <c r="M72" s="167" t="e">
        <f>SUM($L$8:$L72)</f>
        <v>#DIV/0!</v>
      </c>
      <c r="R72" s="290" t="str" cm="1">
        <f t="array" ref="R72">IF(S72="",
"",
SUMPRODUCT(
tb_desp[valor]*
(tb_desp[centro.negocio]=S$2)*
(tb_desp[nucleo]=S72)*
(tb_desp[data.pagamento]&gt;='n&amp;cn'!$C$1)*
(tb_desp[data.pagamento]&lt;='n&amp;cn'!$C$2)
))</f>
        <v/>
      </c>
      <c r="S72" s="267"/>
      <c r="T72" s="290" t="str" cm="1">
        <f t="array" ref="T72">IF(U72="",
"",
SUMPRODUCT(
tb_desp[valor]*
(tb_desp[centro.negocio]=U$2)*
(tb_desp[nucleo]=U72)*
(tb_desp[data.pagamento]&gt;='n&amp;cn'!$C$1)*
(tb_desp[data.pagamento]&lt;='n&amp;cn'!$C$2)
))</f>
        <v/>
      </c>
      <c r="U72" s="267"/>
      <c r="V72" s="290" t="str" cm="1">
        <f t="array" ref="V72">IF(W72="",
"",
SUMPRODUCT(
tb_desp[valor]*
(tb_desp[centro.negocio]=W$2)*
(tb_desp[nucleo]=W72)*
(tb_desp[data.pagamento]&gt;='n&amp;cn'!$C$1)*
(tb_desp[data.pagamento]&lt;='n&amp;cn'!$C$2)
))</f>
        <v/>
      </c>
      <c r="W72" s="267"/>
      <c r="X72" s="290" t="str" cm="1">
        <f t="array" ref="X72">IF(Y72="",
"",
SUMPRODUCT(
tb_desp[valor]*
(tb_desp[centro.negocio]=Y$2)*
(tb_desp[nucleo]=Y72)*
(tb_desp[data.pagamento]&gt;='n&amp;cn'!$C$1)*
(tb_desp[data.pagamento]&lt;='n&amp;cn'!$C$2)
))</f>
        <v/>
      </c>
      <c r="Y72" s="267"/>
      <c r="Z72" s="290" t="str" cm="1">
        <f t="array" ref="Z72">IF(AA72="",
"",
SUMPRODUCT(
tb_desp[valor]*
(tb_desp[centro.negocio]=AA$2)*
(tb_desp[nucleo]=AA72)*
(tb_desp[data.pagamento]&gt;='n&amp;cn'!$C$1)*
(tb_desp[data.pagamento]&lt;='n&amp;cn'!$C$2)
))</f>
        <v/>
      </c>
      <c r="AA72" s="267"/>
      <c r="AB72" s="290" t="str" cm="1">
        <f t="array" ref="AB72">IF(AC72="",
"",
SUMPRODUCT(
tb_desp[valor]*
(tb_desp[centro.negocio]=AC$2)*
(tb_desp[nucleo]=AC72)*
(tb_desp[data.pagamento]&gt;='n&amp;cn'!$C$1)*
(tb_desp[data.pagamento]&lt;='n&amp;cn'!$C$2)
))</f>
        <v/>
      </c>
      <c r="AC72" s="267"/>
      <c r="AD72" s="290" t="str" cm="1">
        <f t="array" ref="AD72">IF(AE72="",
"",
SUMPRODUCT(
tb_desp[valor]*
(tb_desp[centro.negocio]=AE$2)*
(tb_desp[nucleo]=AE72)*
(tb_desp[data.pagamento]&gt;='n&amp;cn'!$C$1)*
(tb_desp[data.pagamento]&lt;='n&amp;cn'!$C$2)
))</f>
        <v/>
      </c>
      <c r="AE72" s="267"/>
      <c r="AF72" s="290" t="str" cm="1">
        <f t="array" ref="AF72">IF(AG72="",
"",
SUMPRODUCT(
tb_desp[valor]*
(tb_desp[centro.negocio]=AG$2)*
(tb_desp[nucleo]=AG72)*
(tb_desp[data.pagamento]&gt;='n&amp;cn'!$C$1)*
(tb_desp[data.pagamento]&lt;='n&amp;cn'!$C$2)
))</f>
        <v/>
      </c>
      <c r="AG72" s="267"/>
      <c r="AH72" s="290" t="str" cm="1">
        <f t="array" ref="AH72">IF(AI72="",
"",
SUMPRODUCT(
tb_desp[valor]*
(tb_desp[centro.negocio]=AI$2)*
(tb_desp[nucleo]=AI72)*
(tb_desp[data.pagamento]&gt;='n&amp;cn'!$C$1)*
(tb_desp[data.pagamento]&lt;='n&amp;cn'!$C$2)
))</f>
        <v/>
      </c>
      <c r="AI72" s="267"/>
      <c r="AJ72" s="290" t="str" cm="1">
        <f t="array" ref="AJ72">IF(AK72="",
"",
SUMPRODUCT(
tb_desp[valor]*
(tb_desp[centro.negocio]=AK$2)*
(tb_desp[nucleo]=AK72)*
(tb_desp[data.pagamento]&gt;='n&amp;cn'!$C$1)*
(tb_desp[data.pagamento]&lt;='n&amp;cn'!$C$2)
))</f>
        <v/>
      </c>
      <c r="AK72" s="267"/>
      <c r="AL72" s="290" t="str" cm="1">
        <f t="array" ref="AL72">IF(AM72="",
"",
SUMPRODUCT(
tb_desp[valor]*
(tb_desp[centro.negocio]=AM$2)*
(tb_desp[nucleo]=AM72)*
(tb_desp[data.pagamento]&gt;='n&amp;cn'!$C$1)*
(tb_desp[data.pagamento]&lt;='n&amp;cn'!$C$2)
))</f>
        <v/>
      </c>
      <c r="AM72" s="267"/>
      <c r="AN72" s="290" t="str" cm="1">
        <f t="array" ref="AN72">IF(AO72="",
"",
SUMPRODUCT(
tb_desp[valor]*
(tb_desp[centro.negocio]=AO$2)*
(tb_desp[nucleo]=AO72)*
(tb_desp[data.pagamento]&gt;='n&amp;cn'!$C$1)*
(tb_desp[data.pagamento]&lt;='n&amp;cn'!$C$2)
))</f>
        <v/>
      </c>
      <c r="AO72" s="267"/>
      <c r="AP72" s="290" t="str" cm="1">
        <f t="array" ref="AP72">IF(AQ72="",
"",
SUMPRODUCT(
tb_desp[valor]*
(tb_desp[centro.negocio]=AQ$2)*
(tb_desp[nucleo]=AQ72)*
(tb_desp[data.pagamento]&gt;='n&amp;cn'!$C$1)*
(tb_desp[data.pagamento]&lt;='n&amp;cn'!$C$2)
))</f>
        <v/>
      </c>
      <c r="AQ72" s="267"/>
      <c r="AR72" s="290" t="str" cm="1">
        <f t="array" ref="AR72">IF(AS72="",
"",
SUMPRODUCT(
tb_desp[valor]*
(tb_desp[centro.negocio]=AS$2)*
(tb_desp[nucleo]=AS72)*
(tb_desp[data.pagamento]&gt;='n&amp;cn'!$C$1)*
(tb_desp[data.pagamento]&lt;='n&amp;cn'!$C$2)
))</f>
        <v/>
      </c>
      <c r="AS72" s="267"/>
      <c r="AT72" s="290" t="str" cm="1">
        <f t="array" ref="AT72">IF(AU72="",
"",
SUMPRODUCT(
tb_desp[valor]*
(tb_desp[centro.negocio]=AU$2)*
(tb_desp[nucleo]=AU72)*
(tb_desp[data.pagamento]&gt;='n&amp;cn'!$C$1)*
(tb_desp[data.pagamento]&lt;='n&amp;cn'!$C$2)
))</f>
        <v/>
      </c>
      <c r="AU72" s="267"/>
      <c r="AV72" s="290" t="str" cm="1">
        <f t="array" ref="AV72">IF(AW72="",
"",
SUMPRODUCT(
tb_desp[valor]*
(tb_desp[centro.negocio]=AW$2)*
(tb_desp[nucleo]=AW72)*
(tb_desp[data.pagamento]&gt;='n&amp;cn'!$C$1)*
(tb_desp[data.pagamento]&lt;='n&amp;cn'!$C$2)
))</f>
        <v/>
      </c>
      <c r="AW72" s="267"/>
      <c r="AX72" s="290" t="str" cm="1">
        <f t="array" ref="AX72">IF(AY72="",
"",
SUMPRODUCT(
tb_desp[valor]*
(tb_desp[centro.negocio]=AY$2)*
(tb_desp[nucleo]=AY72)*
(tb_desp[data.pagamento]&gt;='n&amp;cn'!$C$1)*
(tb_desp[data.pagamento]&lt;='n&amp;cn'!$C$2)
))</f>
        <v/>
      </c>
      <c r="AY72" s="267"/>
      <c r="AZ72" s="290" t="str" cm="1">
        <f t="array" ref="AZ72">IF(BA72="",
"",
SUMPRODUCT(
tb_desp[valor]*
(tb_desp[centro.negocio]=BA$2)*
(tb_desp[nucleo]=BA72)*
(tb_desp[data.pagamento]&gt;='n&amp;cn'!$C$1)*
(tb_desp[data.pagamento]&lt;='n&amp;cn'!$C$2)
))</f>
        <v/>
      </c>
      <c r="BA72" s="267"/>
      <c r="BB72" s="290" t="str" cm="1">
        <f t="array" ref="BB72">IF(BC72="",
"",
SUMPRODUCT(
tb_desp[valor]*
(tb_desp[centro.negocio]=BC$2)*
(tb_desp[nucleo]=BC72)*
(tb_desp[data.pagamento]&gt;='n&amp;cn'!$C$1)*
(tb_desp[data.pagamento]&lt;='n&amp;cn'!$C$2)
))</f>
        <v/>
      </c>
      <c r="BC72" s="267"/>
      <c r="BD72" s="290" t="str" cm="1">
        <f t="array" ref="BD72">IF(BE72="",
"",
SUMPRODUCT(
tb_desp[valor]*
(tb_desp[centro.negocio]=BE$2)*
(tb_desp[nucleo]=BE72)*
(tb_desp[data.pagamento]&gt;='n&amp;cn'!$C$1)*
(tb_desp[data.pagamento]&lt;='n&amp;cn'!$C$2)
))</f>
        <v/>
      </c>
      <c r="BE72" s="267"/>
      <c r="BF72" s="290" t="str" cm="1">
        <f t="array" ref="BF72">IF(BG72="",
"",
SUMPRODUCT(
tb_desp[valor]*
(tb_desp[centro.negocio]=BG$2)*
(tb_desp[nucleo]=BG72)*
(tb_desp[data.pagamento]&gt;='n&amp;cn'!$C$1)*
(tb_desp[data.pagamento]&lt;='n&amp;cn'!$C$2)
))</f>
        <v/>
      </c>
      <c r="BG72" s="267"/>
      <c r="BH72" s="290" t="str" cm="1">
        <f t="array" ref="BH72">IF(BI72="",
"",
SUMPRODUCT(
tb_desp[valor]*
(tb_desp[centro.negocio]=BI$2)*
(tb_desp[nucleo]=BI72)*
(tb_desp[data.pagamento]&gt;='n&amp;cn'!$C$1)*
(tb_desp[data.pagamento]&lt;='n&amp;cn'!$C$2)
))</f>
        <v/>
      </c>
      <c r="BI72" s="267"/>
      <c r="BJ72" s="290" t="str" cm="1">
        <f t="array" ref="BJ72">IF(BK72="",
"",
SUMPRODUCT(
tb_desp[valor]*
(tb_desp[centro.negocio]=BK$2)*
(tb_desp[nucleo]=BK72)*
(tb_desp[data.pagamento]&gt;='n&amp;cn'!$C$1)*
(tb_desp[data.pagamento]&lt;='n&amp;cn'!$C$2)
))</f>
        <v/>
      </c>
      <c r="BK72" s="267"/>
      <c r="BL72" s="290" t="str" cm="1">
        <f t="array" ref="BL72">IF(BM72="",
"",
SUMPRODUCT(
tb_desp[valor]*
(tb_desp[centro.negocio]=BM$2)*
(tb_desp[nucleo]=BM72)*
(tb_desp[data.pagamento]&gt;='n&amp;cn'!$C$1)*
(tb_desp[data.pagamento]&lt;='n&amp;cn'!$C$2)
))</f>
        <v/>
      </c>
      <c r="BM72" s="267"/>
      <c r="BN72" s="290" t="str" cm="1">
        <f t="array" ref="BN72">IF(BO72="",
"",
SUMPRODUCT(
tb_desp[valor]*
(tb_desp[centro.negocio]=BO$2)*
(tb_desp[nucleo]=BO72)*
(tb_desp[data.pagamento]&gt;='n&amp;cn'!$C$1)*
(tb_desp[data.pagamento]&lt;='n&amp;cn'!$C$2)
))</f>
        <v/>
      </c>
      <c r="BO72" s="267"/>
    </row>
    <row r="73" spans="8:67" x14ac:dyDescent="0.25">
      <c r="H73" s="168"/>
      <c r="I73" s="163">
        <f t="shared" si="3"/>
        <v>66</v>
      </c>
      <c r="K73" s="164"/>
      <c r="L73" s="167" t="e">
        <f t="shared" si="5"/>
        <v>#DIV/0!</v>
      </c>
      <c r="M73" s="167" t="e">
        <f>SUM($L$8:$L73)</f>
        <v>#DIV/0!</v>
      </c>
      <c r="R73" s="290" t="str" cm="1">
        <f t="array" ref="R73">IF(S73="",
"",
SUMPRODUCT(
tb_desp[valor]*
(tb_desp[centro.negocio]=S$2)*
(tb_desp[nucleo]=S73)*
(tb_desp[data.pagamento]&gt;='n&amp;cn'!$C$1)*
(tb_desp[data.pagamento]&lt;='n&amp;cn'!$C$2)
))</f>
        <v/>
      </c>
      <c r="S73" s="267"/>
      <c r="T73" s="290" t="str" cm="1">
        <f t="array" ref="T73">IF(U73="",
"",
SUMPRODUCT(
tb_desp[valor]*
(tb_desp[centro.negocio]=U$2)*
(tb_desp[nucleo]=U73)*
(tb_desp[data.pagamento]&gt;='n&amp;cn'!$C$1)*
(tb_desp[data.pagamento]&lt;='n&amp;cn'!$C$2)
))</f>
        <v/>
      </c>
      <c r="U73" s="267"/>
      <c r="V73" s="290" t="str" cm="1">
        <f t="array" ref="V73">IF(W73="",
"",
SUMPRODUCT(
tb_desp[valor]*
(tb_desp[centro.negocio]=W$2)*
(tb_desp[nucleo]=W73)*
(tb_desp[data.pagamento]&gt;='n&amp;cn'!$C$1)*
(tb_desp[data.pagamento]&lt;='n&amp;cn'!$C$2)
))</f>
        <v/>
      </c>
      <c r="W73" s="267"/>
      <c r="X73" s="290" t="str" cm="1">
        <f t="array" ref="X73">IF(Y73="",
"",
SUMPRODUCT(
tb_desp[valor]*
(tb_desp[centro.negocio]=Y$2)*
(tb_desp[nucleo]=Y73)*
(tb_desp[data.pagamento]&gt;='n&amp;cn'!$C$1)*
(tb_desp[data.pagamento]&lt;='n&amp;cn'!$C$2)
))</f>
        <v/>
      </c>
      <c r="Y73" s="267"/>
      <c r="Z73" s="290" t="str" cm="1">
        <f t="array" ref="Z73">IF(AA73="",
"",
SUMPRODUCT(
tb_desp[valor]*
(tb_desp[centro.negocio]=AA$2)*
(tb_desp[nucleo]=AA73)*
(tb_desp[data.pagamento]&gt;='n&amp;cn'!$C$1)*
(tb_desp[data.pagamento]&lt;='n&amp;cn'!$C$2)
))</f>
        <v/>
      </c>
      <c r="AA73" s="267"/>
      <c r="AB73" s="290" t="str" cm="1">
        <f t="array" ref="AB73">IF(AC73="",
"",
SUMPRODUCT(
tb_desp[valor]*
(tb_desp[centro.negocio]=AC$2)*
(tb_desp[nucleo]=AC73)*
(tb_desp[data.pagamento]&gt;='n&amp;cn'!$C$1)*
(tb_desp[data.pagamento]&lt;='n&amp;cn'!$C$2)
))</f>
        <v/>
      </c>
      <c r="AC73" s="267"/>
      <c r="AD73" s="290" t="str" cm="1">
        <f t="array" ref="AD73">IF(AE73="",
"",
SUMPRODUCT(
tb_desp[valor]*
(tb_desp[centro.negocio]=AE$2)*
(tb_desp[nucleo]=AE73)*
(tb_desp[data.pagamento]&gt;='n&amp;cn'!$C$1)*
(tb_desp[data.pagamento]&lt;='n&amp;cn'!$C$2)
))</f>
        <v/>
      </c>
      <c r="AE73" s="267"/>
      <c r="AF73" s="290" t="str" cm="1">
        <f t="array" ref="AF73">IF(AG73="",
"",
SUMPRODUCT(
tb_desp[valor]*
(tb_desp[centro.negocio]=AG$2)*
(tb_desp[nucleo]=AG73)*
(tb_desp[data.pagamento]&gt;='n&amp;cn'!$C$1)*
(tb_desp[data.pagamento]&lt;='n&amp;cn'!$C$2)
))</f>
        <v/>
      </c>
      <c r="AG73" s="267"/>
      <c r="AH73" s="290" t="str" cm="1">
        <f t="array" ref="AH73">IF(AI73="",
"",
SUMPRODUCT(
tb_desp[valor]*
(tb_desp[centro.negocio]=AI$2)*
(tb_desp[nucleo]=AI73)*
(tb_desp[data.pagamento]&gt;='n&amp;cn'!$C$1)*
(tb_desp[data.pagamento]&lt;='n&amp;cn'!$C$2)
))</f>
        <v/>
      </c>
      <c r="AI73" s="267"/>
      <c r="AJ73" s="290" t="str" cm="1">
        <f t="array" ref="AJ73">IF(AK73="",
"",
SUMPRODUCT(
tb_desp[valor]*
(tb_desp[centro.negocio]=AK$2)*
(tb_desp[nucleo]=AK73)*
(tb_desp[data.pagamento]&gt;='n&amp;cn'!$C$1)*
(tb_desp[data.pagamento]&lt;='n&amp;cn'!$C$2)
))</f>
        <v/>
      </c>
      <c r="AK73" s="267"/>
      <c r="AL73" s="290" t="str" cm="1">
        <f t="array" ref="AL73">IF(AM73="",
"",
SUMPRODUCT(
tb_desp[valor]*
(tb_desp[centro.negocio]=AM$2)*
(tb_desp[nucleo]=AM73)*
(tb_desp[data.pagamento]&gt;='n&amp;cn'!$C$1)*
(tb_desp[data.pagamento]&lt;='n&amp;cn'!$C$2)
))</f>
        <v/>
      </c>
      <c r="AM73" s="267"/>
      <c r="AN73" s="290" t="str" cm="1">
        <f t="array" ref="AN73">IF(AO73="",
"",
SUMPRODUCT(
tb_desp[valor]*
(tb_desp[centro.negocio]=AO$2)*
(tb_desp[nucleo]=AO73)*
(tb_desp[data.pagamento]&gt;='n&amp;cn'!$C$1)*
(tb_desp[data.pagamento]&lt;='n&amp;cn'!$C$2)
))</f>
        <v/>
      </c>
      <c r="AO73" s="267"/>
      <c r="AP73" s="290" t="str" cm="1">
        <f t="array" ref="AP73">IF(AQ73="",
"",
SUMPRODUCT(
tb_desp[valor]*
(tb_desp[centro.negocio]=AQ$2)*
(tb_desp[nucleo]=AQ73)*
(tb_desp[data.pagamento]&gt;='n&amp;cn'!$C$1)*
(tb_desp[data.pagamento]&lt;='n&amp;cn'!$C$2)
))</f>
        <v/>
      </c>
      <c r="AQ73" s="267"/>
      <c r="AR73" s="290" t="str" cm="1">
        <f t="array" ref="AR73">IF(AS73="",
"",
SUMPRODUCT(
tb_desp[valor]*
(tb_desp[centro.negocio]=AS$2)*
(tb_desp[nucleo]=AS73)*
(tb_desp[data.pagamento]&gt;='n&amp;cn'!$C$1)*
(tb_desp[data.pagamento]&lt;='n&amp;cn'!$C$2)
))</f>
        <v/>
      </c>
      <c r="AS73" s="267"/>
      <c r="AT73" s="290" t="str" cm="1">
        <f t="array" ref="AT73">IF(AU73="",
"",
SUMPRODUCT(
tb_desp[valor]*
(tb_desp[centro.negocio]=AU$2)*
(tb_desp[nucleo]=AU73)*
(tb_desp[data.pagamento]&gt;='n&amp;cn'!$C$1)*
(tb_desp[data.pagamento]&lt;='n&amp;cn'!$C$2)
))</f>
        <v/>
      </c>
      <c r="AU73" s="267"/>
      <c r="AV73" s="290" t="str" cm="1">
        <f t="array" ref="AV73">IF(AW73="",
"",
SUMPRODUCT(
tb_desp[valor]*
(tb_desp[centro.negocio]=AW$2)*
(tb_desp[nucleo]=AW73)*
(tb_desp[data.pagamento]&gt;='n&amp;cn'!$C$1)*
(tb_desp[data.pagamento]&lt;='n&amp;cn'!$C$2)
))</f>
        <v/>
      </c>
      <c r="AW73" s="267"/>
      <c r="AX73" s="290" t="str" cm="1">
        <f t="array" ref="AX73">IF(AY73="",
"",
SUMPRODUCT(
tb_desp[valor]*
(tb_desp[centro.negocio]=AY$2)*
(tb_desp[nucleo]=AY73)*
(tb_desp[data.pagamento]&gt;='n&amp;cn'!$C$1)*
(tb_desp[data.pagamento]&lt;='n&amp;cn'!$C$2)
))</f>
        <v/>
      </c>
      <c r="AY73" s="267"/>
      <c r="AZ73" s="290" t="str" cm="1">
        <f t="array" ref="AZ73">IF(BA73="",
"",
SUMPRODUCT(
tb_desp[valor]*
(tb_desp[centro.negocio]=BA$2)*
(tb_desp[nucleo]=BA73)*
(tb_desp[data.pagamento]&gt;='n&amp;cn'!$C$1)*
(tb_desp[data.pagamento]&lt;='n&amp;cn'!$C$2)
))</f>
        <v/>
      </c>
      <c r="BA73" s="267"/>
      <c r="BB73" s="290" t="str" cm="1">
        <f t="array" ref="BB73">IF(BC73="",
"",
SUMPRODUCT(
tb_desp[valor]*
(tb_desp[centro.negocio]=BC$2)*
(tb_desp[nucleo]=BC73)*
(tb_desp[data.pagamento]&gt;='n&amp;cn'!$C$1)*
(tb_desp[data.pagamento]&lt;='n&amp;cn'!$C$2)
))</f>
        <v/>
      </c>
      <c r="BC73" s="267"/>
      <c r="BD73" s="290" t="str" cm="1">
        <f t="array" ref="BD73">IF(BE73="",
"",
SUMPRODUCT(
tb_desp[valor]*
(tb_desp[centro.negocio]=BE$2)*
(tb_desp[nucleo]=BE73)*
(tb_desp[data.pagamento]&gt;='n&amp;cn'!$C$1)*
(tb_desp[data.pagamento]&lt;='n&amp;cn'!$C$2)
))</f>
        <v/>
      </c>
      <c r="BE73" s="267"/>
      <c r="BF73" s="290" t="str" cm="1">
        <f t="array" ref="BF73">IF(BG73="",
"",
SUMPRODUCT(
tb_desp[valor]*
(tb_desp[centro.negocio]=BG$2)*
(tb_desp[nucleo]=BG73)*
(tb_desp[data.pagamento]&gt;='n&amp;cn'!$C$1)*
(tb_desp[data.pagamento]&lt;='n&amp;cn'!$C$2)
))</f>
        <v/>
      </c>
      <c r="BG73" s="267"/>
      <c r="BH73" s="290" t="str" cm="1">
        <f t="array" ref="BH73">IF(BI73="",
"",
SUMPRODUCT(
tb_desp[valor]*
(tb_desp[centro.negocio]=BI$2)*
(tb_desp[nucleo]=BI73)*
(tb_desp[data.pagamento]&gt;='n&amp;cn'!$C$1)*
(tb_desp[data.pagamento]&lt;='n&amp;cn'!$C$2)
))</f>
        <v/>
      </c>
      <c r="BI73" s="267"/>
      <c r="BJ73" s="290" t="str" cm="1">
        <f t="array" ref="BJ73">IF(BK73="",
"",
SUMPRODUCT(
tb_desp[valor]*
(tb_desp[centro.negocio]=BK$2)*
(tb_desp[nucleo]=BK73)*
(tb_desp[data.pagamento]&gt;='n&amp;cn'!$C$1)*
(tb_desp[data.pagamento]&lt;='n&amp;cn'!$C$2)
))</f>
        <v/>
      </c>
      <c r="BK73" s="267"/>
      <c r="BL73" s="290" t="str" cm="1">
        <f t="array" ref="BL73">IF(BM73="",
"",
SUMPRODUCT(
tb_desp[valor]*
(tb_desp[centro.negocio]=BM$2)*
(tb_desp[nucleo]=BM73)*
(tb_desp[data.pagamento]&gt;='n&amp;cn'!$C$1)*
(tb_desp[data.pagamento]&lt;='n&amp;cn'!$C$2)
))</f>
        <v/>
      </c>
      <c r="BM73" s="267"/>
      <c r="BN73" s="290" t="str" cm="1">
        <f t="array" ref="BN73">IF(BO73="",
"",
SUMPRODUCT(
tb_desp[valor]*
(tb_desp[centro.negocio]=BO$2)*
(tb_desp[nucleo]=BO73)*
(tb_desp[data.pagamento]&gt;='n&amp;cn'!$C$1)*
(tb_desp[data.pagamento]&lt;='n&amp;cn'!$C$2)
))</f>
        <v/>
      </c>
      <c r="BO73" s="267"/>
    </row>
    <row r="74" spans="8:67" x14ac:dyDescent="0.25">
      <c r="H74" s="168"/>
      <c r="I74" s="163">
        <f t="shared" ref="I74:I98" si="6">I73+1</f>
        <v>67</v>
      </c>
      <c r="K74" s="164"/>
      <c r="L74" s="167" t="e">
        <f t="shared" si="5"/>
        <v>#DIV/0!</v>
      </c>
      <c r="M74" s="167" t="e">
        <f>SUM($L$8:$L74)</f>
        <v>#DIV/0!</v>
      </c>
      <c r="R74" s="290" t="str" cm="1">
        <f t="array" ref="R74">IF(S74="",
"",
SUMPRODUCT(
tb_desp[valor]*
(tb_desp[centro.negocio]=S$2)*
(tb_desp[nucleo]=S74)*
(tb_desp[data.pagamento]&gt;='n&amp;cn'!$C$1)*
(tb_desp[data.pagamento]&lt;='n&amp;cn'!$C$2)
))</f>
        <v/>
      </c>
      <c r="S74" s="267"/>
      <c r="T74" s="290" t="str" cm="1">
        <f t="array" ref="T74">IF(U74="",
"",
SUMPRODUCT(
tb_desp[valor]*
(tb_desp[centro.negocio]=U$2)*
(tb_desp[nucleo]=U74)*
(tb_desp[data.pagamento]&gt;='n&amp;cn'!$C$1)*
(tb_desp[data.pagamento]&lt;='n&amp;cn'!$C$2)
))</f>
        <v/>
      </c>
      <c r="U74" s="267"/>
      <c r="V74" s="290" t="str" cm="1">
        <f t="array" ref="V74">IF(W74="",
"",
SUMPRODUCT(
tb_desp[valor]*
(tb_desp[centro.negocio]=W$2)*
(tb_desp[nucleo]=W74)*
(tb_desp[data.pagamento]&gt;='n&amp;cn'!$C$1)*
(tb_desp[data.pagamento]&lt;='n&amp;cn'!$C$2)
))</f>
        <v/>
      </c>
      <c r="W74" s="267"/>
      <c r="X74" s="290" t="str" cm="1">
        <f t="array" ref="X74">IF(Y74="",
"",
SUMPRODUCT(
tb_desp[valor]*
(tb_desp[centro.negocio]=Y$2)*
(tb_desp[nucleo]=Y74)*
(tb_desp[data.pagamento]&gt;='n&amp;cn'!$C$1)*
(tb_desp[data.pagamento]&lt;='n&amp;cn'!$C$2)
))</f>
        <v/>
      </c>
      <c r="Y74" s="267"/>
      <c r="Z74" s="290" t="str" cm="1">
        <f t="array" ref="Z74">IF(AA74="",
"",
SUMPRODUCT(
tb_desp[valor]*
(tb_desp[centro.negocio]=AA$2)*
(tb_desp[nucleo]=AA74)*
(tb_desp[data.pagamento]&gt;='n&amp;cn'!$C$1)*
(tb_desp[data.pagamento]&lt;='n&amp;cn'!$C$2)
))</f>
        <v/>
      </c>
      <c r="AA74" s="267"/>
      <c r="AB74" s="290" t="str" cm="1">
        <f t="array" ref="AB74">IF(AC74="",
"",
SUMPRODUCT(
tb_desp[valor]*
(tb_desp[centro.negocio]=AC$2)*
(tb_desp[nucleo]=AC74)*
(tb_desp[data.pagamento]&gt;='n&amp;cn'!$C$1)*
(tb_desp[data.pagamento]&lt;='n&amp;cn'!$C$2)
))</f>
        <v/>
      </c>
      <c r="AC74" s="267"/>
      <c r="AD74" s="290" t="str" cm="1">
        <f t="array" ref="AD74">IF(AE74="",
"",
SUMPRODUCT(
tb_desp[valor]*
(tb_desp[centro.negocio]=AE$2)*
(tb_desp[nucleo]=AE74)*
(tb_desp[data.pagamento]&gt;='n&amp;cn'!$C$1)*
(tb_desp[data.pagamento]&lt;='n&amp;cn'!$C$2)
))</f>
        <v/>
      </c>
      <c r="AE74" s="267"/>
      <c r="AF74" s="290" t="str" cm="1">
        <f t="array" ref="AF74">IF(AG74="",
"",
SUMPRODUCT(
tb_desp[valor]*
(tb_desp[centro.negocio]=AG$2)*
(tb_desp[nucleo]=AG74)*
(tb_desp[data.pagamento]&gt;='n&amp;cn'!$C$1)*
(tb_desp[data.pagamento]&lt;='n&amp;cn'!$C$2)
))</f>
        <v/>
      </c>
      <c r="AG74" s="267"/>
      <c r="AH74" s="290" t="str" cm="1">
        <f t="array" ref="AH74">IF(AI74="",
"",
SUMPRODUCT(
tb_desp[valor]*
(tb_desp[centro.negocio]=AI$2)*
(tb_desp[nucleo]=AI74)*
(tb_desp[data.pagamento]&gt;='n&amp;cn'!$C$1)*
(tb_desp[data.pagamento]&lt;='n&amp;cn'!$C$2)
))</f>
        <v/>
      </c>
      <c r="AI74" s="267"/>
      <c r="AJ74" s="290" t="str" cm="1">
        <f t="array" ref="AJ74">IF(AK74="",
"",
SUMPRODUCT(
tb_desp[valor]*
(tb_desp[centro.negocio]=AK$2)*
(tb_desp[nucleo]=AK74)*
(tb_desp[data.pagamento]&gt;='n&amp;cn'!$C$1)*
(tb_desp[data.pagamento]&lt;='n&amp;cn'!$C$2)
))</f>
        <v/>
      </c>
      <c r="AK74" s="267"/>
      <c r="AL74" s="290" t="str" cm="1">
        <f t="array" ref="AL74">IF(AM74="",
"",
SUMPRODUCT(
tb_desp[valor]*
(tb_desp[centro.negocio]=AM$2)*
(tb_desp[nucleo]=AM74)*
(tb_desp[data.pagamento]&gt;='n&amp;cn'!$C$1)*
(tb_desp[data.pagamento]&lt;='n&amp;cn'!$C$2)
))</f>
        <v/>
      </c>
      <c r="AM74" s="267"/>
      <c r="AN74" s="290" t="str" cm="1">
        <f t="array" ref="AN74">IF(AO74="",
"",
SUMPRODUCT(
tb_desp[valor]*
(tb_desp[centro.negocio]=AO$2)*
(tb_desp[nucleo]=AO74)*
(tb_desp[data.pagamento]&gt;='n&amp;cn'!$C$1)*
(tb_desp[data.pagamento]&lt;='n&amp;cn'!$C$2)
))</f>
        <v/>
      </c>
      <c r="AO74" s="267"/>
      <c r="AP74" s="290" t="str" cm="1">
        <f t="array" ref="AP74">IF(AQ74="",
"",
SUMPRODUCT(
tb_desp[valor]*
(tb_desp[centro.negocio]=AQ$2)*
(tb_desp[nucleo]=AQ74)*
(tb_desp[data.pagamento]&gt;='n&amp;cn'!$C$1)*
(tb_desp[data.pagamento]&lt;='n&amp;cn'!$C$2)
))</f>
        <v/>
      </c>
      <c r="AQ74" s="267"/>
      <c r="AR74" s="290" t="str" cm="1">
        <f t="array" ref="AR74">IF(AS74="",
"",
SUMPRODUCT(
tb_desp[valor]*
(tb_desp[centro.negocio]=AS$2)*
(tb_desp[nucleo]=AS74)*
(tb_desp[data.pagamento]&gt;='n&amp;cn'!$C$1)*
(tb_desp[data.pagamento]&lt;='n&amp;cn'!$C$2)
))</f>
        <v/>
      </c>
      <c r="AS74" s="267"/>
      <c r="AT74" s="290" t="str" cm="1">
        <f t="array" ref="AT74">IF(AU74="",
"",
SUMPRODUCT(
tb_desp[valor]*
(tb_desp[centro.negocio]=AU$2)*
(tb_desp[nucleo]=AU74)*
(tb_desp[data.pagamento]&gt;='n&amp;cn'!$C$1)*
(tb_desp[data.pagamento]&lt;='n&amp;cn'!$C$2)
))</f>
        <v/>
      </c>
      <c r="AU74" s="267"/>
      <c r="AV74" s="290" t="str" cm="1">
        <f t="array" ref="AV74">IF(AW74="",
"",
SUMPRODUCT(
tb_desp[valor]*
(tb_desp[centro.negocio]=AW$2)*
(tb_desp[nucleo]=AW74)*
(tb_desp[data.pagamento]&gt;='n&amp;cn'!$C$1)*
(tb_desp[data.pagamento]&lt;='n&amp;cn'!$C$2)
))</f>
        <v/>
      </c>
      <c r="AW74" s="267"/>
      <c r="AX74" s="290" t="str" cm="1">
        <f t="array" ref="AX74">IF(AY74="",
"",
SUMPRODUCT(
tb_desp[valor]*
(tb_desp[centro.negocio]=AY$2)*
(tb_desp[nucleo]=AY74)*
(tb_desp[data.pagamento]&gt;='n&amp;cn'!$C$1)*
(tb_desp[data.pagamento]&lt;='n&amp;cn'!$C$2)
))</f>
        <v/>
      </c>
      <c r="AY74" s="267"/>
      <c r="AZ74" s="290" t="str" cm="1">
        <f t="array" ref="AZ74">IF(BA74="",
"",
SUMPRODUCT(
tb_desp[valor]*
(tb_desp[centro.negocio]=BA$2)*
(tb_desp[nucleo]=BA74)*
(tb_desp[data.pagamento]&gt;='n&amp;cn'!$C$1)*
(tb_desp[data.pagamento]&lt;='n&amp;cn'!$C$2)
))</f>
        <v/>
      </c>
      <c r="BA74" s="267"/>
      <c r="BB74" s="290" t="str" cm="1">
        <f t="array" ref="BB74">IF(BC74="",
"",
SUMPRODUCT(
tb_desp[valor]*
(tb_desp[centro.negocio]=BC$2)*
(tb_desp[nucleo]=BC74)*
(tb_desp[data.pagamento]&gt;='n&amp;cn'!$C$1)*
(tb_desp[data.pagamento]&lt;='n&amp;cn'!$C$2)
))</f>
        <v/>
      </c>
      <c r="BC74" s="267"/>
      <c r="BD74" s="290" t="str" cm="1">
        <f t="array" ref="BD74">IF(BE74="",
"",
SUMPRODUCT(
tb_desp[valor]*
(tb_desp[centro.negocio]=BE$2)*
(tb_desp[nucleo]=BE74)*
(tb_desp[data.pagamento]&gt;='n&amp;cn'!$C$1)*
(tb_desp[data.pagamento]&lt;='n&amp;cn'!$C$2)
))</f>
        <v/>
      </c>
      <c r="BE74" s="267"/>
      <c r="BF74" s="290" t="str" cm="1">
        <f t="array" ref="BF74">IF(BG74="",
"",
SUMPRODUCT(
tb_desp[valor]*
(tb_desp[centro.negocio]=BG$2)*
(tb_desp[nucleo]=BG74)*
(tb_desp[data.pagamento]&gt;='n&amp;cn'!$C$1)*
(tb_desp[data.pagamento]&lt;='n&amp;cn'!$C$2)
))</f>
        <v/>
      </c>
      <c r="BG74" s="267"/>
      <c r="BH74" s="290" t="str" cm="1">
        <f t="array" ref="BH74">IF(BI74="",
"",
SUMPRODUCT(
tb_desp[valor]*
(tb_desp[centro.negocio]=BI$2)*
(tb_desp[nucleo]=BI74)*
(tb_desp[data.pagamento]&gt;='n&amp;cn'!$C$1)*
(tb_desp[data.pagamento]&lt;='n&amp;cn'!$C$2)
))</f>
        <v/>
      </c>
      <c r="BI74" s="267"/>
      <c r="BJ74" s="290" t="str" cm="1">
        <f t="array" ref="BJ74">IF(BK74="",
"",
SUMPRODUCT(
tb_desp[valor]*
(tb_desp[centro.negocio]=BK$2)*
(tb_desp[nucleo]=BK74)*
(tb_desp[data.pagamento]&gt;='n&amp;cn'!$C$1)*
(tb_desp[data.pagamento]&lt;='n&amp;cn'!$C$2)
))</f>
        <v/>
      </c>
      <c r="BK74" s="267"/>
      <c r="BL74" s="290" t="str" cm="1">
        <f t="array" ref="BL74">IF(BM74="",
"",
SUMPRODUCT(
tb_desp[valor]*
(tb_desp[centro.negocio]=BM$2)*
(tb_desp[nucleo]=BM74)*
(tb_desp[data.pagamento]&gt;='n&amp;cn'!$C$1)*
(tb_desp[data.pagamento]&lt;='n&amp;cn'!$C$2)
))</f>
        <v/>
      </c>
      <c r="BM74" s="267"/>
      <c r="BN74" s="290" t="str" cm="1">
        <f t="array" ref="BN74">IF(BO74="",
"",
SUMPRODUCT(
tb_desp[valor]*
(tb_desp[centro.negocio]=BO$2)*
(tb_desp[nucleo]=BO74)*
(tb_desp[data.pagamento]&gt;='n&amp;cn'!$C$1)*
(tb_desp[data.pagamento]&lt;='n&amp;cn'!$C$2)
))</f>
        <v/>
      </c>
      <c r="BO74" s="267"/>
    </row>
    <row r="75" spans="8:67" x14ac:dyDescent="0.25">
      <c r="H75" s="168"/>
      <c r="I75" s="163">
        <f t="shared" si="6"/>
        <v>68</v>
      </c>
      <c r="K75" s="164"/>
      <c r="L75" s="167" t="e">
        <f t="shared" si="5"/>
        <v>#DIV/0!</v>
      </c>
      <c r="M75" s="167" t="e">
        <f>SUM($L$8:$L75)</f>
        <v>#DIV/0!</v>
      </c>
      <c r="R75" s="290" t="str" cm="1">
        <f t="array" ref="R75">IF(S75="",
"",
SUMPRODUCT(
tb_desp[valor]*
(tb_desp[centro.negocio]=S$2)*
(tb_desp[nucleo]=S75)*
(tb_desp[data.pagamento]&gt;='n&amp;cn'!$C$1)*
(tb_desp[data.pagamento]&lt;='n&amp;cn'!$C$2)
))</f>
        <v/>
      </c>
      <c r="S75" s="267"/>
      <c r="T75" s="290" t="str" cm="1">
        <f t="array" ref="T75">IF(U75="",
"",
SUMPRODUCT(
tb_desp[valor]*
(tb_desp[centro.negocio]=U$2)*
(tb_desp[nucleo]=U75)*
(tb_desp[data.pagamento]&gt;='n&amp;cn'!$C$1)*
(tb_desp[data.pagamento]&lt;='n&amp;cn'!$C$2)
))</f>
        <v/>
      </c>
      <c r="U75" s="267"/>
      <c r="V75" s="290" t="str" cm="1">
        <f t="array" ref="V75">IF(W75="",
"",
SUMPRODUCT(
tb_desp[valor]*
(tb_desp[centro.negocio]=W$2)*
(tb_desp[nucleo]=W75)*
(tb_desp[data.pagamento]&gt;='n&amp;cn'!$C$1)*
(tb_desp[data.pagamento]&lt;='n&amp;cn'!$C$2)
))</f>
        <v/>
      </c>
      <c r="W75" s="267"/>
      <c r="X75" s="290" t="str" cm="1">
        <f t="array" ref="X75">IF(Y75="",
"",
SUMPRODUCT(
tb_desp[valor]*
(tb_desp[centro.negocio]=Y$2)*
(tb_desp[nucleo]=Y75)*
(tb_desp[data.pagamento]&gt;='n&amp;cn'!$C$1)*
(tb_desp[data.pagamento]&lt;='n&amp;cn'!$C$2)
))</f>
        <v/>
      </c>
      <c r="Y75" s="267"/>
      <c r="Z75" s="290" t="str" cm="1">
        <f t="array" ref="Z75">IF(AA75="",
"",
SUMPRODUCT(
tb_desp[valor]*
(tb_desp[centro.negocio]=AA$2)*
(tb_desp[nucleo]=AA75)*
(tb_desp[data.pagamento]&gt;='n&amp;cn'!$C$1)*
(tb_desp[data.pagamento]&lt;='n&amp;cn'!$C$2)
))</f>
        <v/>
      </c>
      <c r="AA75" s="267"/>
      <c r="AB75" s="290" t="str" cm="1">
        <f t="array" ref="AB75">IF(AC75="",
"",
SUMPRODUCT(
tb_desp[valor]*
(tb_desp[centro.negocio]=AC$2)*
(tb_desp[nucleo]=AC75)*
(tb_desp[data.pagamento]&gt;='n&amp;cn'!$C$1)*
(tb_desp[data.pagamento]&lt;='n&amp;cn'!$C$2)
))</f>
        <v/>
      </c>
      <c r="AC75" s="267"/>
      <c r="AD75" s="290" t="str" cm="1">
        <f t="array" ref="AD75">IF(AE75="",
"",
SUMPRODUCT(
tb_desp[valor]*
(tb_desp[centro.negocio]=AE$2)*
(tb_desp[nucleo]=AE75)*
(tb_desp[data.pagamento]&gt;='n&amp;cn'!$C$1)*
(tb_desp[data.pagamento]&lt;='n&amp;cn'!$C$2)
))</f>
        <v/>
      </c>
      <c r="AE75" s="267"/>
      <c r="AF75" s="290" t="str" cm="1">
        <f t="array" ref="AF75">IF(AG75="",
"",
SUMPRODUCT(
tb_desp[valor]*
(tb_desp[centro.negocio]=AG$2)*
(tb_desp[nucleo]=AG75)*
(tb_desp[data.pagamento]&gt;='n&amp;cn'!$C$1)*
(tb_desp[data.pagamento]&lt;='n&amp;cn'!$C$2)
))</f>
        <v/>
      </c>
      <c r="AG75" s="267"/>
      <c r="AH75" s="290" t="str" cm="1">
        <f t="array" ref="AH75">IF(AI75="",
"",
SUMPRODUCT(
tb_desp[valor]*
(tb_desp[centro.negocio]=AI$2)*
(tb_desp[nucleo]=AI75)*
(tb_desp[data.pagamento]&gt;='n&amp;cn'!$C$1)*
(tb_desp[data.pagamento]&lt;='n&amp;cn'!$C$2)
))</f>
        <v/>
      </c>
      <c r="AI75" s="267"/>
      <c r="AJ75" s="290" t="str" cm="1">
        <f t="array" ref="AJ75">IF(AK75="",
"",
SUMPRODUCT(
tb_desp[valor]*
(tb_desp[centro.negocio]=AK$2)*
(tb_desp[nucleo]=AK75)*
(tb_desp[data.pagamento]&gt;='n&amp;cn'!$C$1)*
(tb_desp[data.pagamento]&lt;='n&amp;cn'!$C$2)
))</f>
        <v/>
      </c>
      <c r="AK75" s="267"/>
      <c r="AL75" s="290" t="str" cm="1">
        <f t="array" ref="AL75">IF(AM75="",
"",
SUMPRODUCT(
tb_desp[valor]*
(tb_desp[centro.negocio]=AM$2)*
(tb_desp[nucleo]=AM75)*
(tb_desp[data.pagamento]&gt;='n&amp;cn'!$C$1)*
(tb_desp[data.pagamento]&lt;='n&amp;cn'!$C$2)
))</f>
        <v/>
      </c>
      <c r="AM75" s="267"/>
      <c r="AN75" s="290" t="str" cm="1">
        <f t="array" ref="AN75">IF(AO75="",
"",
SUMPRODUCT(
tb_desp[valor]*
(tb_desp[centro.negocio]=AO$2)*
(tb_desp[nucleo]=AO75)*
(tb_desp[data.pagamento]&gt;='n&amp;cn'!$C$1)*
(tb_desp[data.pagamento]&lt;='n&amp;cn'!$C$2)
))</f>
        <v/>
      </c>
      <c r="AO75" s="267"/>
      <c r="AP75" s="290" t="str" cm="1">
        <f t="array" ref="AP75">IF(AQ75="",
"",
SUMPRODUCT(
tb_desp[valor]*
(tb_desp[centro.negocio]=AQ$2)*
(tb_desp[nucleo]=AQ75)*
(tb_desp[data.pagamento]&gt;='n&amp;cn'!$C$1)*
(tb_desp[data.pagamento]&lt;='n&amp;cn'!$C$2)
))</f>
        <v/>
      </c>
      <c r="AQ75" s="267"/>
      <c r="AR75" s="290" t="str" cm="1">
        <f t="array" ref="AR75">IF(AS75="",
"",
SUMPRODUCT(
tb_desp[valor]*
(tb_desp[centro.negocio]=AS$2)*
(tb_desp[nucleo]=AS75)*
(tb_desp[data.pagamento]&gt;='n&amp;cn'!$C$1)*
(tb_desp[data.pagamento]&lt;='n&amp;cn'!$C$2)
))</f>
        <v/>
      </c>
      <c r="AS75" s="267"/>
      <c r="AT75" s="290" t="str" cm="1">
        <f t="array" ref="AT75">IF(AU75="",
"",
SUMPRODUCT(
tb_desp[valor]*
(tb_desp[centro.negocio]=AU$2)*
(tb_desp[nucleo]=AU75)*
(tb_desp[data.pagamento]&gt;='n&amp;cn'!$C$1)*
(tb_desp[data.pagamento]&lt;='n&amp;cn'!$C$2)
))</f>
        <v/>
      </c>
      <c r="AU75" s="267"/>
      <c r="AV75" s="290" t="str" cm="1">
        <f t="array" ref="AV75">IF(AW75="",
"",
SUMPRODUCT(
tb_desp[valor]*
(tb_desp[centro.negocio]=AW$2)*
(tb_desp[nucleo]=AW75)*
(tb_desp[data.pagamento]&gt;='n&amp;cn'!$C$1)*
(tb_desp[data.pagamento]&lt;='n&amp;cn'!$C$2)
))</f>
        <v/>
      </c>
      <c r="AW75" s="267"/>
      <c r="AX75" s="290" t="str" cm="1">
        <f t="array" ref="AX75">IF(AY75="",
"",
SUMPRODUCT(
tb_desp[valor]*
(tb_desp[centro.negocio]=AY$2)*
(tb_desp[nucleo]=AY75)*
(tb_desp[data.pagamento]&gt;='n&amp;cn'!$C$1)*
(tb_desp[data.pagamento]&lt;='n&amp;cn'!$C$2)
))</f>
        <v/>
      </c>
      <c r="AY75" s="267"/>
      <c r="AZ75" s="290" t="str" cm="1">
        <f t="array" ref="AZ75">IF(BA75="",
"",
SUMPRODUCT(
tb_desp[valor]*
(tb_desp[centro.negocio]=BA$2)*
(tb_desp[nucleo]=BA75)*
(tb_desp[data.pagamento]&gt;='n&amp;cn'!$C$1)*
(tb_desp[data.pagamento]&lt;='n&amp;cn'!$C$2)
))</f>
        <v/>
      </c>
      <c r="BA75" s="267"/>
      <c r="BB75" s="290" t="str" cm="1">
        <f t="array" ref="BB75">IF(BC75="",
"",
SUMPRODUCT(
tb_desp[valor]*
(tb_desp[centro.negocio]=BC$2)*
(tb_desp[nucleo]=BC75)*
(tb_desp[data.pagamento]&gt;='n&amp;cn'!$C$1)*
(tb_desp[data.pagamento]&lt;='n&amp;cn'!$C$2)
))</f>
        <v/>
      </c>
      <c r="BC75" s="267"/>
      <c r="BD75" s="290" t="str" cm="1">
        <f t="array" ref="BD75">IF(BE75="",
"",
SUMPRODUCT(
tb_desp[valor]*
(tb_desp[centro.negocio]=BE$2)*
(tb_desp[nucleo]=BE75)*
(tb_desp[data.pagamento]&gt;='n&amp;cn'!$C$1)*
(tb_desp[data.pagamento]&lt;='n&amp;cn'!$C$2)
))</f>
        <v/>
      </c>
      <c r="BE75" s="267"/>
      <c r="BF75" s="290" t="str" cm="1">
        <f t="array" ref="BF75">IF(BG75="",
"",
SUMPRODUCT(
tb_desp[valor]*
(tb_desp[centro.negocio]=BG$2)*
(tb_desp[nucleo]=BG75)*
(tb_desp[data.pagamento]&gt;='n&amp;cn'!$C$1)*
(tb_desp[data.pagamento]&lt;='n&amp;cn'!$C$2)
))</f>
        <v/>
      </c>
      <c r="BG75" s="267"/>
      <c r="BH75" s="290" t="str" cm="1">
        <f t="array" ref="BH75">IF(BI75="",
"",
SUMPRODUCT(
tb_desp[valor]*
(tb_desp[centro.negocio]=BI$2)*
(tb_desp[nucleo]=BI75)*
(tb_desp[data.pagamento]&gt;='n&amp;cn'!$C$1)*
(tb_desp[data.pagamento]&lt;='n&amp;cn'!$C$2)
))</f>
        <v/>
      </c>
      <c r="BI75" s="267"/>
      <c r="BJ75" s="290" t="str" cm="1">
        <f t="array" ref="BJ75">IF(BK75="",
"",
SUMPRODUCT(
tb_desp[valor]*
(tb_desp[centro.negocio]=BK$2)*
(tb_desp[nucleo]=BK75)*
(tb_desp[data.pagamento]&gt;='n&amp;cn'!$C$1)*
(tb_desp[data.pagamento]&lt;='n&amp;cn'!$C$2)
))</f>
        <v/>
      </c>
      <c r="BK75" s="267"/>
      <c r="BL75" s="290" t="str" cm="1">
        <f t="array" ref="BL75">IF(BM75="",
"",
SUMPRODUCT(
tb_desp[valor]*
(tb_desp[centro.negocio]=BM$2)*
(tb_desp[nucleo]=BM75)*
(tb_desp[data.pagamento]&gt;='n&amp;cn'!$C$1)*
(tb_desp[data.pagamento]&lt;='n&amp;cn'!$C$2)
))</f>
        <v/>
      </c>
      <c r="BM75" s="267"/>
      <c r="BN75" s="290" t="str" cm="1">
        <f t="array" ref="BN75">IF(BO75="",
"",
SUMPRODUCT(
tb_desp[valor]*
(tb_desp[centro.negocio]=BO$2)*
(tb_desp[nucleo]=BO75)*
(tb_desp[data.pagamento]&gt;='n&amp;cn'!$C$1)*
(tb_desp[data.pagamento]&lt;='n&amp;cn'!$C$2)
))</f>
        <v/>
      </c>
      <c r="BO75" s="267"/>
    </row>
    <row r="76" spans="8:67" x14ac:dyDescent="0.25">
      <c r="H76" s="168"/>
      <c r="I76" s="163">
        <f t="shared" si="6"/>
        <v>69</v>
      </c>
      <c r="K76" s="164"/>
      <c r="L76" s="167" t="e">
        <f t="shared" si="5"/>
        <v>#DIV/0!</v>
      </c>
      <c r="M76" s="167" t="e">
        <f>SUM($L$8:$L76)</f>
        <v>#DIV/0!</v>
      </c>
      <c r="R76" s="290" t="str" cm="1">
        <f t="array" ref="R76">IF(S76="",
"",
SUMPRODUCT(
tb_desp[valor]*
(tb_desp[centro.negocio]=S$2)*
(tb_desp[nucleo]=S76)*
(tb_desp[data.pagamento]&gt;='n&amp;cn'!$C$1)*
(tb_desp[data.pagamento]&lt;='n&amp;cn'!$C$2)
))</f>
        <v/>
      </c>
      <c r="S76" s="267"/>
      <c r="T76" s="290" t="str" cm="1">
        <f t="array" ref="T76">IF(U76="",
"",
SUMPRODUCT(
tb_desp[valor]*
(tb_desp[centro.negocio]=U$2)*
(tb_desp[nucleo]=U76)*
(tb_desp[data.pagamento]&gt;='n&amp;cn'!$C$1)*
(tb_desp[data.pagamento]&lt;='n&amp;cn'!$C$2)
))</f>
        <v/>
      </c>
      <c r="U76" s="267"/>
      <c r="V76" s="290" t="str" cm="1">
        <f t="array" ref="V76">IF(W76="",
"",
SUMPRODUCT(
tb_desp[valor]*
(tb_desp[centro.negocio]=W$2)*
(tb_desp[nucleo]=W76)*
(tb_desp[data.pagamento]&gt;='n&amp;cn'!$C$1)*
(tb_desp[data.pagamento]&lt;='n&amp;cn'!$C$2)
))</f>
        <v/>
      </c>
      <c r="W76" s="267"/>
      <c r="X76" s="290" t="str" cm="1">
        <f t="array" ref="X76">IF(Y76="",
"",
SUMPRODUCT(
tb_desp[valor]*
(tb_desp[centro.negocio]=Y$2)*
(tb_desp[nucleo]=Y76)*
(tb_desp[data.pagamento]&gt;='n&amp;cn'!$C$1)*
(tb_desp[data.pagamento]&lt;='n&amp;cn'!$C$2)
))</f>
        <v/>
      </c>
      <c r="Y76" s="267"/>
      <c r="Z76" s="290" t="str" cm="1">
        <f t="array" ref="Z76">IF(AA76="",
"",
SUMPRODUCT(
tb_desp[valor]*
(tb_desp[centro.negocio]=AA$2)*
(tb_desp[nucleo]=AA76)*
(tb_desp[data.pagamento]&gt;='n&amp;cn'!$C$1)*
(tb_desp[data.pagamento]&lt;='n&amp;cn'!$C$2)
))</f>
        <v/>
      </c>
      <c r="AA76" s="267"/>
      <c r="AB76" s="290" t="str" cm="1">
        <f t="array" ref="AB76">IF(AC76="",
"",
SUMPRODUCT(
tb_desp[valor]*
(tb_desp[centro.negocio]=AC$2)*
(tb_desp[nucleo]=AC76)*
(tb_desp[data.pagamento]&gt;='n&amp;cn'!$C$1)*
(tb_desp[data.pagamento]&lt;='n&amp;cn'!$C$2)
))</f>
        <v/>
      </c>
      <c r="AC76" s="267"/>
      <c r="AD76" s="290" t="str" cm="1">
        <f t="array" ref="AD76">IF(AE76="",
"",
SUMPRODUCT(
tb_desp[valor]*
(tb_desp[centro.negocio]=AE$2)*
(tb_desp[nucleo]=AE76)*
(tb_desp[data.pagamento]&gt;='n&amp;cn'!$C$1)*
(tb_desp[data.pagamento]&lt;='n&amp;cn'!$C$2)
))</f>
        <v/>
      </c>
      <c r="AE76" s="267"/>
      <c r="AF76" s="290" t="str" cm="1">
        <f t="array" ref="AF76">IF(AG76="",
"",
SUMPRODUCT(
tb_desp[valor]*
(tb_desp[centro.negocio]=AG$2)*
(tb_desp[nucleo]=AG76)*
(tb_desp[data.pagamento]&gt;='n&amp;cn'!$C$1)*
(tb_desp[data.pagamento]&lt;='n&amp;cn'!$C$2)
))</f>
        <v/>
      </c>
      <c r="AG76" s="267"/>
      <c r="AH76" s="290" t="str" cm="1">
        <f t="array" ref="AH76">IF(AI76="",
"",
SUMPRODUCT(
tb_desp[valor]*
(tb_desp[centro.negocio]=AI$2)*
(tb_desp[nucleo]=AI76)*
(tb_desp[data.pagamento]&gt;='n&amp;cn'!$C$1)*
(tb_desp[data.pagamento]&lt;='n&amp;cn'!$C$2)
))</f>
        <v/>
      </c>
      <c r="AI76" s="267"/>
      <c r="AJ76" s="290" t="str" cm="1">
        <f t="array" ref="AJ76">IF(AK76="",
"",
SUMPRODUCT(
tb_desp[valor]*
(tb_desp[centro.negocio]=AK$2)*
(tb_desp[nucleo]=AK76)*
(tb_desp[data.pagamento]&gt;='n&amp;cn'!$C$1)*
(tb_desp[data.pagamento]&lt;='n&amp;cn'!$C$2)
))</f>
        <v/>
      </c>
      <c r="AK76" s="267"/>
      <c r="AL76" s="290" t="str" cm="1">
        <f t="array" ref="AL76">IF(AM76="",
"",
SUMPRODUCT(
tb_desp[valor]*
(tb_desp[centro.negocio]=AM$2)*
(tb_desp[nucleo]=AM76)*
(tb_desp[data.pagamento]&gt;='n&amp;cn'!$C$1)*
(tb_desp[data.pagamento]&lt;='n&amp;cn'!$C$2)
))</f>
        <v/>
      </c>
      <c r="AM76" s="267"/>
      <c r="AN76" s="290" t="str" cm="1">
        <f t="array" ref="AN76">IF(AO76="",
"",
SUMPRODUCT(
tb_desp[valor]*
(tb_desp[centro.negocio]=AO$2)*
(tb_desp[nucleo]=AO76)*
(tb_desp[data.pagamento]&gt;='n&amp;cn'!$C$1)*
(tb_desp[data.pagamento]&lt;='n&amp;cn'!$C$2)
))</f>
        <v/>
      </c>
      <c r="AO76" s="267"/>
      <c r="AP76" s="290" t="str" cm="1">
        <f t="array" ref="AP76">IF(AQ76="",
"",
SUMPRODUCT(
tb_desp[valor]*
(tb_desp[centro.negocio]=AQ$2)*
(tb_desp[nucleo]=AQ76)*
(tb_desp[data.pagamento]&gt;='n&amp;cn'!$C$1)*
(tb_desp[data.pagamento]&lt;='n&amp;cn'!$C$2)
))</f>
        <v/>
      </c>
      <c r="AQ76" s="267"/>
      <c r="AR76" s="290" t="str" cm="1">
        <f t="array" ref="AR76">IF(AS76="",
"",
SUMPRODUCT(
tb_desp[valor]*
(tb_desp[centro.negocio]=AS$2)*
(tb_desp[nucleo]=AS76)*
(tb_desp[data.pagamento]&gt;='n&amp;cn'!$C$1)*
(tb_desp[data.pagamento]&lt;='n&amp;cn'!$C$2)
))</f>
        <v/>
      </c>
      <c r="AS76" s="267"/>
      <c r="AT76" s="290" t="str" cm="1">
        <f t="array" ref="AT76">IF(AU76="",
"",
SUMPRODUCT(
tb_desp[valor]*
(tb_desp[centro.negocio]=AU$2)*
(tb_desp[nucleo]=AU76)*
(tb_desp[data.pagamento]&gt;='n&amp;cn'!$C$1)*
(tb_desp[data.pagamento]&lt;='n&amp;cn'!$C$2)
))</f>
        <v/>
      </c>
      <c r="AU76" s="267"/>
      <c r="AV76" s="290" t="str" cm="1">
        <f t="array" ref="AV76">IF(AW76="",
"",
SUMPRODUCT(
tb_desp[valor]*
(tb_desp[centro.negocio]=AW$2)*
(tb_desp[nucleo]=AW76)*
(tb_desp[data.pagamento]&gt;='n&amp;cn'!$C$1)*
(tb_desp[data.pagamento]&lt;='n&amp;cn'!$C$2)
))</f>
        <v/>
      </c>
      <c r="AW76" s="267"/>
      <c r="AX76" s="290" t="str" cm="1">
        <f t="array" ref="AX76">IF(AY76="",
"",
SUMPRODUCT(
tb_desp[valor]*
(tb_desp[centro.negocio]=AY$2)*
(tb_desp[nucleo]=AY76)*
(tb_desp[data.pagamento]&gt;='n&amp;cn'!$C$1)*
(tb_desp[data.pagamento]&lt;='n&amp;cn'!$C$2)
))</f>
        <v/>
      </c>
      <c r="AY76" s="267"/>
      <c r="AZ76" s="290" t="str" cm="1">
        <f t="array" ref="AZ76">IF(BA76="",
"",
SUMPRODUCT(
tb_desp[valor]*
(tb_desp[centro.negocio]=BA$2)*
(tb_desp[nucleo]=BA76)*
(tb_desp[data.pagamento]&gt;='n&amp;cn'!$C$1)*
(tb_desp[data.pagamento]&lt;='n&amp;cn'!$C$2)
))</f>
        <v/>
      </c>
      <c r="BA76" s="267"/>
      <c r="BB76" s="290" t="str" cm="1">
        <f t="array" ref="BB76">IF(BC76="",
"",
SUMPRODUCT(
tb_desp[valor]*
(tb_desp[centro.negocio]=BC$2)*
(tb_desp[nucleo]=BC76)*
(tb_desp[data.pagamento]&gt;='n&amp;cn'!$C$1)*
(tb_desp[data.pagamento]&lt;='n&amp;cn'!$C$2)
))</f>
        <v/>
      </c>
      <c r="BC76" s="267"/>
      <c r="BD76" s="290" t="str" cm="1">
        <f t="array" ref="BD76">IF(BE76="",
"",
SUMPRODUCT(
tb_desp[valor]*
(tb_desp[centro.negocio]=BE$2)*
(tb_desp[nucleo]=BE76)*
(tb_desp[data.pagamento]&gt;='n&amp;cn'!$C$1)*
(tb_desp[data.pagamento]&lt;='n&amp;cn'!$C$2)
))</f>
        <v/>
      </c>
      <c r="BE76" s="267"/>
      <c r="BF76" s="290" t="str" cm="1">
        <f t="array" ref="BF76">IF(BG76="",
"",
SUMPRODUCT(
tb_desp[valor]*
(tb_desp[centro.negocio]=BG$2)*
(tb_desp[nucleo]=BG76)*
(tb_desp[data.pagamento]&gt;='n&amp;cn'!$C$1)*
(tb_desp[data.pagamento]&lt;='n&amp;cn'!$C$2)
))</f>
        <v/>
      </c>
      <c r="BG76" s="267"/>
      <c r="BH76" s="290" t="str" cm="1">
        <f t="array" ref="BH76">IF(BI76="",
"",
SUMPRODUCT(
tb_desp[valor]*
(tb_desp[centro.negocio]=BI$2)*
(tb_desp[nucleo]=BI76)*
(tb_desp[data.pagamento]&gt;='n&amp;cn'!$C$1)*
(tb_desp[data.pagamento]&lt;='n&amp;cn'!$C$2)
))</f>
        <v/>
      </c>
      <c r="BI76" s="267"/>
      <c r="BJ76" s="290" t="str" cm="1">
        <f t="array" ref="BJ76">IF(BK76="",
"",
SUMPRODUCT(
tb_desp[valor]*
(tb_desp[centro.negocio]=BK$2)*
(tb_desp[nucleo]=BK76)*
(tb_desp[data.pagamento]&gt;='n&amp;cn'!$C$1)*
(tb_desp[data.pagamento]&lt;='n&amp;cn'!$C$2)
))</f>
        <v/>
      </c>
      <c r="BK76" s="267"/>
      <c r="BL76" s="290" t="str" cm="1">
        <f t="array" ref="BL76">IF(BM76="",
"",
SUMPRODUCT(
tb_desp[valor]*
(tb_desp[centro.negocio]=BM$2)*
(tb_desp[nucleo]=BM76)*
(tb_desp[data.pagamento]&gt;='n&amp;cn'!$C$1)*
(tb_desp[data.pagamento]&lt;='n&amp;cn'!$C$2)
))</f>
        <v/>
      </c>
      <c r="BM76" s="267"/>
      <c r="BN76" s="290" t="str" cm="1">
        <f t="array" ref="BN76">IF(BO76="",
"",
SUMPRODUCT(
tb_desp[valor]*
(tb_desp[centro.negocio]=BO$2)*
(tb_desp[nucleo]=BO76)*
(tb_desp[data.pagamento]&gt;='n&amp;cn'!$C$1)*
(tb_desp[data.pagamento]&lt;='n&amp;cn'!$C$2)
))</f>
        <v/>
      </c>
      <c r="BO76" s="267"/>
    </row>
    <row r="77" spans="8:67" x14ac:dyDescent="0.25">
      <c r="H77" s="168"/>
      <c r="I77" s="163">
        <f t="shared" si="6"/>
        <v>70</v>
      </c>
      <c r="K77" s="164"/>
      <c r="L77" s="167" t="e">
        <f t="shared" si="5"/>
        <v>#DIV/0!</v>
      </c>
      <c r="M77" s="167" t="e">
        <f>SUM($L$8:$L77)</f>
        <v>#DIV/0!</v>
      </c>
      <c r="R77" s="290" t="str" cm="1">
        <f t="array" ref="R77">IF(S77="",
"",
SUMPRODUCT(
tb_desp[valor]*
(tb_desp[centro.negocio]=S$2)*
(tb_desp[nucleo]=S77)*
(tb_desp[data.pagamento]&gt;='n&amp;cn'!$C$1)*
(tb_desp[data.pagamento]&lt;='n&amp;cn'!$C$2)
))</f>
        <v/>
      </c>
      <c r="S77" s="267"/>
      <c r="T77" s="290" t="str" cm="1">
        <f t="array" ref="T77">IF(U77="",
"",
SUMPRODUCT(
tb_desp[valor]*
(tb_desp[centro.negocio]=U$2)*
(tb_desp[nucleo]=U77)*
(tb_desp[data.pagamento]&gt;='n&amp;cn'!$C$1)*
(tb_desp[data.pagamento]&lt;='n&amp;cn'!$C$2)
))</f>
        <v/>
      </c>
      <c r="U77" s="267"/>
      <c r="V77" s="290" t="str" cm="1">
        <f t="array" ref="V77">IF(W77="",
"",
SUMPRODUCT(
tb_desp[valor]*
(tb_desp[centro.negocio]=W$2)*
(tb_desp[nucleo]=W77)*
(tb_desp[data.pagamento]&gt;='n&amp;cn'!$C$1)*
(tb_desp[data.pagamento]&lt;='n&amp;cn'!$C$2)
))</f>
        <v/>
      </c>
      <c r="W77" s="267"/>
      <c r="X77" s="290" t="str" cm="1">
        <f t="array" ref="X77">IF(Y77="",
"",
SUMPRODUCT(
tb_desp[valor]*
(tb_desp[centro.negocio]=Y$2)*
(tb_desp[nucleo]=Y77)*
(tb_desp[data.pagamento]&gt;='n&amp;cn'!$C$1)*
(tb_desp[data.pagamento]&lt;='n&amp;cn'!$C$2)
))</f>
        <v/>
      </c>
      <c r="Y77" s="267"/>
      <c r="Z77" s="290" t="str" cm="1">
        <f t="array" ref="Z77">IF(AA77="",
"",
SUMPRODUCT(
tb_desp[valor]*
(tb_desp[centro.negocio]=AA$2)*
(tb_desp[nucleo]=AA77)*
(tb_desp[data.pagamento]&gt;='n&amp;cn'!$C$1)*
(tb_desp[data.pagamento]&lt;='n&amp;cn'!$C$2)
))</f>
        <v/>
      </c>
      <c r="AA77" s="267"/>
      <c r="AB77" s="290" t="str" cm="1">
        <f t="array" ref="AB77">IF(AC77="",
"",
SUMPRODUCT(
tb_desp[valor]*
(tb_desp[centro.negocio]=AC$2)*
(tb_desp[nucleo]=AC77)*
(tb_desp[data.pagamento]&gt;='n&amp;cn'!$C$1)*
(tb_desp[data.pagamento]&lt;='n&amp;cn'!$C$2)
))</f>
        <v/>
      </c>
      <c r="AC77" s="267"/>
      <c r="AD77" s="290" t="str" cm="1">
        <f t="array" ref="AD77">IF(AE77="",
"",
SUMPRODUCT(
tb_desp[valor]*
(tb_desp[centro.negocio]=AE$2)*
(tb_desp[nucleo]=AE77)*
(tb_desp[data.pagamento]&gt;='n&amp;cn'!$C$1)*
(tb_desp[data.pagamento]&lt;='n&amp;cn'!$C$2)
))</f>
        <v/>
      </c>
      <c r="AE77" s="267"/>
      <c r="AF77" s="290" t="str" cm="1">
        <f t="array" ref="AF77">IF(AG77="",
"",
SUMPRODUCT(
tb_desp[valor]*
(tb_desp[centro.negocio]=AG$2)*
(tb_desp[nucleo]=AG77)*
(tb_desp[data.pagamento]&gt;='n&amp;cn'!$C$1)*
(tb_desp[data.pagamento]&lt;='n&amp;cn'!$C$2)
))</f>
        <v/>
      </c>
      <c r="AG77" s="267"/>
      <c r="AH77" s="290" t="str" cm="1">
        <f t="array" ref="AH77">IF(AI77="",
"",
SUMPRODUCT(
tb_desp[valor]*
(tb_desp[centro.negocio]=AI$2)*
(tb_desp[nucleo]=AI77)*
(tb_desp[data.pagamento]&gt;='n&amp;cn'!$C$1)*
(tb_desp[data.pagamento]&lt;='n&amp;cn'!$C$2)
))</f>
        <v/>
      </c>
      <c r="AI77" s="267"/>
      <c r="AJ77" s="290" t="str" cm="1">
        <f t="array" ref="AJ77">IF(AK77="",
"",
SUMPRODUCT(
tb_desp[valor]*
(tb_desp[centro.negocio]=AK$2)*
(tb_desp[nucleo]=AK77)*
(tb_desp[data.pagamento]&gt;='n&amp;cn'!$C$1)*
(tb_desp[data.pagamento]&lt;='n&amp;cn'!$C$2)
))</f>
        <v/>
      </c>
      <c r="AK77" s="267"/>
      <c r="AL77" s="290" t="str" cm="1">
        <f t="array" ref="AL77">IF(AM77="",
"",
SUMPRODUCT(
tb_desp[valor]*
(tb_desp[centro.negocio]=AM$2)*
(tb_desp[nucleo]=AM77)*
(tb_desp[data.pagamento]&gt;='n&amp;cn'!$C$1)*
(tb_desp[data.pagamento]&lt;='n&amp;cn'!$C$2)
))</f>
        <v/>
      </c>
      <c r="AM77" s="267"/>
      <c r="AN77" s="290" t="str" cm="1">
        <f t="array" ref="AN77">IF(AO77="",
"",
SUMPRODUCT(
tb_desp[valor]*
(tb_desp[centro.negocio]=AO$2)*
(tb_desp[nucleo]=AO77)*
(tb_desp[data.pagamento]&gt;='n&amp;cn'!$C$1)*
(tb_desp[data.pagamento]&lt;='n&amp;cn'!$C$2)
))</f>
        <v/>
      </c>
      <c r="AO77" s="267"/>
      <c r="AP77" s="290" t="str" cm="1">
        <f t="array" ref="AP77">IF(AQ77="",
"",
SUMPRODUCT(
tb_desp[valor]*
(tb_desp[centro.negocio]=AQ$2)*
(tb_desp[nucleo]=AQ77)*
(tb_desp[data.pagamento]&gt;='n&amp;cn'!$C$1)*
(tb_desp[data.pagamento]&lt;='n&amp;cn'!$C$2)
))</f>
        <v/>
      </c>
      <c r="AQ77" s="267"/>
      <c r="AR77" s="290" t="str" cm="1">
        <f t="array" ref="AR77">IF(AS77="",
"",
SUMPRODUCT(
tb_desp[valor]*
(tb_desp[centro.negocio]=AS$2)*
(tb_desp[nucleo]=AS77)*
(tb_desp[data.pagamento]&gt;='n&amp;cn'!$C$1)*
(tb_desp[data.pagamento]&lt;='n&amp;cn'!$C$2)
))</f>
        <v/>
      </c>
      <c r="AS77" s="267"/>
      <c r="AT77" s="290" t="str" cm="1">
        <f t="array" ref="AT77">IF(AU77="",
"",
SUMPRODUCT(
tb_desp[valor]*
(tb_desp[centro.negocio]=AU$2)*
(tb_desp[nucleo]=AU77)*
(tb_desp[data.pagamento]&gt;='n&amp;cn'!$C$1)*
(tb_desp[data.pagamento]&lt;='n&amp;cn'!$C$2)
))</f>
        <v/>
      </c>
      <c r="AU77" s="267"/>
      <c r="AV77" s="290" t="str" cm="1">
        <f t="array" ref="AV77">IF(AW77="",
"",
SUMPRODUCT(
tb_desp[valor]*
(tb_desp[centro.negocio]=AW$2)*
(tb_desp[nucleo]=AW77)*
(tb_desp[data.pagamento]&gt;='n&amp;cn'!$C$1)*
(tb_desp[data.pagamento]&lt;='n&amp;cn'!$C$2)
))</f>
        <v/>
      </c>
      <c r="AW77" s="267"/>
      <c r="AX77" s="290" t="str" cm="1">
        <f t="array" ref="AX77">IF(AY77="",
"",
SUMPRODUCT(
tb_desp[valor]*
(tb_desp[centro.negocio]=AY$2)*
(tb_desp[nucleo]=AY77)*
(tb_desp[data.pagamento]&gt;='n&amp;cn'!$C$1)*
(tb_desp[data.pagamento]&lt;='n&amp;cn'!$C$2)
))</f>
        <v/>
      </c>
      <c r="AY77" s="267"/>
      <c r="AZ77" s="290" t="str" cm="1">
        <f t="array" ref="AZ77">IF(BA77="",
"",
SUMPRODUCT(
tb_desp[valor]*
(tb_desp[centro.negocio]=BA$2)*
(tb_desp[nucleo]=BA77)*
(tb_desp[data.pagamento]&gt;='n&amp;cn'!$C$1)*
(tb_desp[data.pagamento]&lt;='n&amp;cn'!$C$2)
))</f>
        <v/>
      </c>
      <c r="BA77" s="267"/>
      <c r="BB77" s="290" t="str" cm="1">
        <f t="array" ref="BB77">IF(BC77="",
"",
SUMPRODUCT(
tb_desp[valor]*
(tb_desp[centro.negocio]=BC$2)*
(tb_desp[nucleo]=BC77)*
(tb_desp[data.pagamento]&gt;='n&amp;cn'!$C$1)*
(tb_desp[data.pagamento]&lt;='n&amp;cn'!$C$2)
))</f>
        <v/>
      </c>
      <c r="BC77" s="267"/>
      <c r="BD77" s="290" t="str" cm="1">
        <f t="array" ref="BD77">IF(BE77="",
"",
SUMPRODUCT(
tb_desp[valor]*
(tb_desp[centro.negocio]=BE$2)*
(tb_desp[nucleo]=BE77)*
(tb_desp[data.pagamento]&gt;='n&amp;cn'!$C$1)*
(tb_desp[data.pagamento]&lt;='n&amp;cn'!$C$2)
))</f>
        <v/>
      </c>
      <c r="BE77" s="267"/>
      <c r="BF77" s="290" t="str" cm="1">
        <f t="array" ref="BF77">IF(BG77="",
"",
SUMPRODUCT(
tb_desp[valor]*
(tb_desp[centro.negocio]=BG$2)*
(tb_desp[nucleo]=BG77)*
(tb_desp[data.pagamento]&gt;='n&amp;cn'!$C$1)*
(tb_desp[data.pagamento]&lt;='n&amp;cn'!$C$2)
))</f>
        <v/>
      </c>
      <c r="BG77" s="267"/>
      <c r="BH77" s="290" t="str" cm="1">
        <f t="array" ref="BH77">IF(BI77="",
"",
SUMPRODUCT(
tb_desp[valor]*
(tb_desp[centro.negocio]=BI$2)*
(tb_desp[nucleo]=BI77)*
(tb_desp[data.pagamento]&gt;='n&amp;cn'!$C$1)*
(tb_desp[data.pagamento]&lt;='n&amp;cn'!$C$2)
))</f>
        <v/>
      </c>
      <c r="BI77" s="267"/>
      <c r="BJ77" s="290" t="str" cm="1">
        <f t="array" ref="BJ77">IF(BK77="",
"",
SUMPRODUCT(
tb_desp[valor]*
(tb_desp[centro.negocio]=BK$2)*
(tb_desp[nucleo]=BK77)*
(tb_desp[data.pagamento]&gt;='n&amp;cn'!$C$1)*
(tb_desp[data.pagamento]&lt;='n&amp;cn'!$C$2)
))</f>
        <v/>
      </c>
      <c r="BK77" s="267"/>
      <c r="BL77" s="290" t="str" cm="1">
        <f t="array" ref="BL77">IF(BM77="",
"",
SUMPRODUCT(
tb_desp[valor]*
(tb_desp[centro.negocio]=BM$2)*
(tb_desp[nucleo]=BM77)*
(tb_desp[data.pagamento]&gt;='n&amp;cn'!$C$1)*
(tb_desp[data.pagamento]&lt;='n&amp;cn'!$C$2)
))</f>
        <v/>
      </c>
      <c r="BM77" s="267"/>
      <c r="BN77" s="290" t="str" cm="1">
        <f t="array" ref="BN77">IF(BO77="",
"",
SUMPRODUCT(
tb_desp[valor]*
(tb_desp[centro.negocio]=BO$2)*
(tb_desp[nucleo]=BO77)*
(tb_desp[data.pagamento]&gt;='n&amp;cn'!$C$1)*
(tb_desp[data.pagamento]&lt;='n&amp;cn'!$C$2)
))</f>
        <v/>
      </c>
      <c r="BO77" s="267"/>
    </row>
    <row r="78" spans="8:67" x14ac:dyDescent="0.25">
      <c r="H78" s="168"/>
      <c r="I78" s="163">
        <f t="shared" si="6"/>
        <v>71</v>
      </c>
      <c r="K78" s="164"/>
      <c r="L78" s="167" t="e">
        <f t="shared" si="5"/>
        <v>#DIV/0!</v>
      </c>
      <c r="M78" s="167" t="e">
        <f>SUM($L$8:$L78)</f>
        <v>#DIV/0!</v>
      </c>
      <c r="R78" s="290" t="str" cm="1">
        <f t="array" ref="R78">IF(S78="",
"",
SUMPRODUCT(
tb_desp[valor]*
(tb_desp[centro.negocio]=S$2)*
(tb_desp[nucleo]=S78)*
(tb_desp[data.pagamento]&gt;='n&amp;cn'!$C$1)*
(tb_desp[data.pagamento]&lt;='n&amp;cn'!$C$2)
))</f>
        <v/>
      </c>
      <c r="S78" s="267"/>
      <c r="T78" s="290" t="str" cm="1">
        <f t="array" ref="T78">IF(U78="",
"",
SUMPRODUCT(
tb_desp[valor]*
(tb_desp[centro.negocio]=U$2)*
(tb_desp[nucleo]=U78)*
(tb_desp[data.pagamento]&gt;='n&amp;cn'!$C$1)*
(tb_desp[data.pagamento]&lt;='n&amp;cn'!$C$2)
))</f>
        <v/>
      </c>
      <c r="U78" s="267"/>
      <c r="V78" s="290" t="str" cm="1">
        <f t="array" ref="V78">IF(W78="",
"",
SUMPRODUCT(
tb_desp[valor]*
(tb_desp[centro.negocio]=W$2)*
(tb_desp[nucleo]=W78)*
(tb_desp[data.pagamento]&gt;='n&amp;cn'!$C$1)*
(tb_desp[data.pagamento]&lt;='n&amp;cn'!$C$2)
))</f>
        <v/>
      </c>
      <c r="W78" s="267"/>
      <c r="X78" s="290" t="str" cm="1">
        <f t="array" ref="X78">IF(Y78="",
"",
SUMPRODUCT(
tb_desp[valor]*
(tb_desp[centro.negocio]=Y$2)*
(tb_desp[nucleo]=Y78)*
(tb_desp[data.pagamento]&gt;='n&amp;cn'!$C$1)*
(tb_desp[data.pagamento]&lt;='n&amp;cn'!$C$2)
))</f>
        <v/>
      </c>
      <c r="Y78" s="267"/>
      <c r="Z78" s="290" t="str" cm="1">
        <f t="array" ref="Z78">IF(AA78="",
"",
SUMPRODUCT(
tb_desp[valor]*
(tb_desp[centro.negocio]=AA$2)*
(tb_desp[nucleo]=AA78)*
(tb_desp[data.pagamento]&gt;='n&amp;cn'!$C$1)*
(tb_desp[data.pagamento]&lt;='n&amp;cn'!$C$2)
))</f>
        <v/>
      </c>
      <c r="AA78" s="267"/>
      <c r="AB78" s="290" t="str" cm="1">
        <f t="array" ref="AB78">IF(AC78="",
"",
SUMPRODUCT(
tb_desp[valor]*
(tb_desp[centro.negocio]=AC$2)*
(tb_desp[nucleo]=AC78)*
(tb_desp[data.pagamento]&gt;='n&amp;cn'!$C$1)*
(tb_desp[data.pagamento]&lt;='n&amp;cn'!$C$2)
))</f>
        <v/>
      </c>
      <c r="AC78" s="267"/>
      <c r="AD78" s="290" t="str" cm="1">
        <f t="array" ref="AD78">IF(AE78="",
"",
SUMPRODUCT(
tb_desp[valor]*
(tb_desp[centro.negocio]=AE$2)*
(tb_desp[nucleo]=AE78)*
(tb_desp[data.pagamento]&gt;='n&amp;cn'!$C$1)*
(tb_desp[data.pagamento]&lt;='n&amp;cn'!$C$2)
))</f>
        <v/>
      </c>
      <c r="AE78" s="267"/>
      <c r="AF78" s="290" t="str" cm="1">
        <f t="array" ref="AF78">IF(AG78="",
"",
SUMPRODUCT(
tb_desp[valor]*
(tb_desp[centro.negocio]=AG$2)*
(tb_desp[nucleo]=AG78)*
(tb_desp[data.pagamento]&gt;='n&amp;cn'!$C$1)*
(tb_desp[data.pagamento]&lt;='n&amp;cn'!$C$2)
))</f>
        <v/>
      </c>
      <c r="AG78" s="267"/>
      <c r="AH78" s="290" t="str" cm="1">
        <f t="array" ref="AH78">IF(AI78="",
"",
SUMPRODUCT(
tb_desp[valor]*
(tb_desp[centro.negocio]=AI$2)*
(tb_desp[nucleo]=AI78)*
(tb_desp[data.pagamento]&gt;='n&amp;cn'!$C$1)*
(tb_desp[data.pagamento]&lt;='n&amp;cn'!$C$2)
))</f>
        <v/>
      </c>
      <c r="AI78" s="267"/>
      <c r="AJ78" s="290" t="str" cm="1">
        <f t="array" ref="AJ78">IF(AK78="",
"",
SUMPRODUCT(
tb_desp[valor]*
(tb_desp[centro.negocio]=AK$2)*
(tb_desp[nucleo]=AK78)*
(tb_desp[data.pagamento]&gt;='n&amp;cn'!$C$1)*
(tb_desp[data.pagamento]&lt;='n&amp;cn'!$C$2)
))</f>
        <v/>
      </c>
      <c r="AK78" s="267"/>
      <c r="AL78" s="290" t="str" cm="1">
        <f t="array" ref="AL78">IF(AM78="",
"",
SUMPRODUCT(
tb_desp[valor]*
(tb_desp[centro.negocio]=AM$2)*
(tb_desp[nucleo]=AM78)*
(tb_desp[data.pagamento]&gt;='n&amp;cn'!$C$1)*
(tb_desp[data.pagamento]&lt;='n&amp;cn'!$C$2)
))</f>
        <v/>
      </c>
      <c r="AM78" s="267"/>
      <c r="AN78" s="290" t="str" cm="1">
        <f t="array" ref="AN78">IF(AO78="",
"",
SUMPRODUCT(
tb_desp[valor]*
(tb_desp[centro.negocio]=AO$2)*
(tb_desp[nucleo]=AO78)*
(tb_desp[data.pagamento]&gt;='n&amp;cn'!$C$1)*
(tb_desp[data.pagamento]&lt;='n&amp;cn'!$C$2)
))</f>
        <v/>
      </c>
      <c r="AO78" s="267"/>
      <c r="AP78" s="290" t="str" cm="1">
        <f t="array" ref="AP78">IF(AQ78="",
"",
SUMPRODUCT(
tb_desp[valor]*
(tb_desp[centro.negocio]=AQ$2)*
(tb_desp[nucleo]=AQ78)*
(tb_desp[data.pagamento]&gt;='n&amp;cn'!$C$1)*
(tb_desp[data.pagamento]&lt;='n&amp;cn'!$C$2)
))</f>
        <v/>
      </c>
      <c r="AQ78" s="267"/>
      <c r="AR78" s="290" t="str" cm="1">
        <f t="array" ref="AR78">IF(AS78="",
"",
SUMPRODUCT(
tb_desp[valor]*
(tb_desp[centro.negocio]=AS$2)*
(tb_desp[nucleo]=AS78)*
(tb_desp[data.pagamento]&gt;='n&amp;cn'!$C$1)*
(tb_desp[data.pagamento]&lt;='n&amp;cn'!$C$2)
))</f>
        <v/>
      </c>
      <c r="AS78" s="267"/>
      <c r="AT78" s="290" t="str" cm="1">
        <f t="array" ref="AT78">IF(AU78="",
"",
SUMPRODUCT(
tb_desp[valor]*
(tb_desp[centro.negocio]=AU$2)*
(tb_desp[nucleo]=AU78)*
(tb_desp[data.pagamento]&gt;='n&amp;cn'!$C$1)*
(tb_desp[data.pagamento]&lt;='n&amp;cn'!$C$2)
))</f>
        <v/>
      </c>
      <c r="AU78" s="267"/>
      <c r="AV78" s="290" t="str" cm="1">
        <f t="array" ref="AV78">IF(AW78="",
"",
SUMPRODUCT(
tb_desp[valor]*
(tb_desp[centro.negocio]=AW$2)*
(tb_desp[nucleo]=AW78)*
(tb_desp[data.pagamento]&gt;='n&amp;cn'!$C$1)*
(tb_desp[data.pagamento]&lt;='n&amp;cn'!$C$2)
))</f>
        <v/>
      </c>
      <c r="AW78" s="267"/>
      <c r="AX78" s="290" t="str" cm="1">
        <f t="array" ref="AX78">IF(AY78="",
"",
SUMPRODUCT(
tb_desp[valor]*
(tb_desp[centro.negocio]=AY$2)*
(tb_desp[nucleo]=AY78)*
(tb_desp[data.pagamento]&gt;='n&amp;cn'!$C$1)*
(tb_desp[data.pagamento]&lt;='n&amp;cn'!$C$2)
))</f>
        <v/>
      </c>
      <c r="AY78" s="267"/>
      <c r="AZ78" s="290" t="str" cm="1">
        <f t="array" ref="AZ78">IF(BA78="",
"",
SUMPRODUCT(
tb_desp[valor]*
(tb_desp[centro.negocio]=BA$2)*
(tb_desp[nucleo]=BA78)*
(tb_desp[data.pagamento]&gt;='n&amp;cn'!$C$1)*
(tb_desp[data.pagamento]&lt;='n&amp;cn'!$C$2)
))</f>
        <v/>
      </c>
      <c r="BA78" s="267"/>
      <c r="BB78" s="290" t="str" cm="1">
        <f t="array" ref="BB78">IF(BC78="",
"",
SUMPRODUCT(
tb_desp[valor]*
(tb_desp[centro.negocio]=BC$2)*
(tb_desp[nucleo]=BC78)*
(tb_desp[data.pagamento]&gt;='n&amp;cn'!$C$1)*
(tb_desp[data.pagamento]&lt;='n&amp;cn'!$C$2)
))</f>
        <v/>
      </c>
      <c r="BC78" s="267"/>
      <c r="BD78" s="290" t="str" cm="1">
        <f t="array" ref="BD78">IF(BE78="",
"",
SUMPRODUCT(
tb_desp[valor]*
(tb_desp[centro.negocio]=BE$2)*
(tb_desp[nucleo]=BE78)*
(tb_desp[data.pagamento]&gt;='n&amp;cn'!$C$1)*
(tb_desp[data.pagamento]&lt;='n&amp;cn'!$C$2)
))</f>
        <v/>
      </c>
      <c r="BE78" s="267"/>
      <c r="BF78" s="290" t="str" cm="1">
        <f t="array" ref="BF78">IF(BG78="",
"",
SUMPRODUCT(
tb_desp[valor]*
(tb_desp[centro.negocio]=BG$2)*
(tb_desp[nucleo]=BG78)*
(tb_desp[data.pagamento]&gt;='n&amp;cn'!$C$1)*
(tb_desp[data.pagamento]&lt;='n&amp;cn'!$C$2)
))</f>
        <v/>
      </c>
      <c r="BG78" s="267"/>
      <c r="BH78" s="290" t="str" cm="1">
        <f t="array" ref="BH78">IF(BI78="",
"",
SUMPRODUCT(
tb_desp[valor]*
(tb_desp[centro.negocio]=BI$2)*
(tb_desp[nucleo]=BI78)*
(tb_desp[data.pagamento]&gt;='n&amp;cn'!$C$1)*
(tb_desp[data.pagamento]&lt;='n&amp;cn'!$C$2)
))</f>
        <v/>
      </c>
      <c r="BI78" s="267"/>
      <c r="BJ78" s="290" t="str" cm="1">
        <f t="array" ref="BJ78">IF(BK78="",
"",
SUMPRODUCT(
tb_desp[valor]*
(tb_desp[centro.negocio]=BK$2)*
(tb_desp[nucleo]=BK78)*
(tb_desp[data.pagamento]&gt;='n&amp;cn'!$C$1)*
(tb_desp[data.pagamento]&lt;='n&amp;cn'!$C$2)
))</f>
        <v/>
      </c>
      <c r="BK78" s="267"/>
      <c r="BL78" s="290" t="str" cm="1">
        <f t="array" ref="BL78">IF(BM78="",
"",
SUMPRODUCT(
tb_desp[valor]*
(tb_desp[centro.negocio]=BM$2)*
(tb_desp[nucleo]=BM78)*
(tb_desp[data.pagamento]&gt;='n&amp;cn'!$C$1)*
(tb_desp[data.pagamento]&lt;='n&amp;cn'!$C$2)
))</f>
        <v/>
      </c>
      <c r="BM78" s="267"/>
      <c r="BN78" s="290" t="str" cm="1">
        <f t="array" ref="BN78">IF(BO78="",
"",
SUMPRODUCT(
tb_desp[valor]*
(tb_desp[centro.negocio]=BO$2)*
(tb_desp[nucleo]=BO78)*
(tb_desp[data.pagamento]&gt;='n&amp;cn'!$C$1)*
(tb_desp[data.pagamento]&lt;='n&amp;cn'!$C$2)
))</f>
        <v/>
      </c>
      <c r="BO78" s="267"/>
    </row>
    <row r="79" spans="8:67" x14ac:dyDescent="0.25">
      <c r="H79" s="168"/>
      <c r="I79" s="163">
        <f t="shared" si="6"/>
        <v>72</v>
      </c>
      <c r="K79" s="164"/>
      <c r="L79" s="167" t="e">
        <f t="shared" si="5"/>
        <v>#DIV/0!</v>
      </c>
      <c r="M79" s="167" t="e">
        <f>SUM($L$8:$L79)</f>
        <v>#DIV/0!</v>
      </c>
      <c r="R79" s="290" t="str" cm="1">
        <f t="array" ref="R79">IF(S79="",
"",
SUMPRODUCT(
tb_desp[valor]*
(tb_desp[centro.negocio]=S$2)*
(tb_desp[nucleo]=S79)*
(tb_desp[data.pagamento]&gt;='n&amp;cn'!$C$1)*
(tb_desp[data.pagamento]&lt;='n&amp;cn'!$C$2)
))</f>
        <v/>
      </c>
      <c r="S79" s="267"/>
      <c r="T79" s="290" t="str" cm="1">
        <f t="array" ref="T79">IF(U79="",
"",
SUMPRODUCT(
tb_desp[valor]*
(tb_desp[centro.negocio]=U$2)*
(tb_desp[nucleo]=U79)*
(tb_desp[data.pagamento]&gt;='n&amp;cn'!$C$1)*
(tb_desp[data.pagamento]&lt;='n&amp;cn'!$C$2)
))</f>
        <v/>
      </c>
      <c r="U79" s="267"/>
      <c r="V79" s="290" t="str" cm="1">
        <f t="array" ref="V79">IF(W79="",
"",
SUMPRODUCT(
tb_desp[valor]*
(tb_desp[centro.negocio]=W$2)*
(tb_desp[nucleo]=W79)*
(tb_desp[data.pagamento]&gt;='n&amp;cn'!$C$1)*
(tb_desp[data.pagamento]&lt;='n&amp;cn'!$C$2)
))</f>
        <v/>
      </c>
      <c r="W79" s="267"/>
      <c r="X79" s="290" t="str" cm="1">
        <f t="array" ref="X79">IF(Y79="",
"",
SUMPRODUCT(
tb_desp[valor]*
(tb_desp[centro.negocio]=Y$2)*
(tb_desp[nucleo]=Y79)*
(tb_desp[data.pagamento]&gt;='n&amp;cn'!$C$1)*
(tb_desp[data.pagamento]&lt;='n&amp;cn'!$C$2)
))</f>
        <v/>
      </c>
      <c r="Y79" s="267"/>
      <c r="Z79" s="290" t="str" cm="1">
        <f t="array" ref="Z79">IF(AA79="",
"",
SUMPRODUCT(
tb_desp[valor]*
(tb_desp[centro.negocio]=AA$2)*
(tb_desp[nucleo]=AA79)*
(tb_desp[data.pagamento]&gt;='n&amp;cn'!$C$1)*
(tb_desp[data.pagamento]&lt;='n&amp;cn'!$C$2)
))</f>
        <v/>
      </c>
      <c r="AA79" s="267"/>
      <c r="AB79" s="290" t="str" cm="1">
        <f t="array" ref="AB79">IF(AC79="",
"",
SUMPRODUCT(
tb_desp[valor]*
(tb_desp[centro.negocio]=AC$2)*
(tb_desp[nucleo]=AC79)*
(tb_desp[data.pagamento]&gt;='n&amp;cn'!$C$1)*
(tb_desp[data.pagamento]&lt;='n&amp;cn'!$C$2)
))</f>
        <v/>
      </c>
      <c r="AC79" s="267"/>
      <c r="AD79" s="290" t="str" cm="1">
        <f t="array" ref="AD79">IF(AE79="",
"",
SUMPRODUCT(
tb_desp[valor]*
(tb_desp[centro.negocio]=AE$2)*
(tb_desp[nucleo]=AE79)*
(tb_desp[data.pagamento]&gt;='n&amp;cn'!$C$1)*
(tb_desp[data.pagamento]&lt;='n&amp;cn'!$C$2)
))</f>
        <v/>
      </c>
      <c r="AE79" s="267"/>
      <c r="AF79" s="290" t="str" cm="1">
        <f t="array" ref="AF79">IF(AG79="",
"",
SUMPRODUCT(
tb_desp[valor]*
(tb_desp[centro.negocio]=AG$2)*
(tb_desp[nucleo]=AG79)*
(tb_desp[data.pagamento]&gt;='n&amp;cn'!$C$1)*
(tb_desp[data.pagamento]&lt;='n&amp;cn'!$C$2)
))</f>
        <v/>
      </c>
      <c r="AG79" s="267"/>
      <c r="AH79" s="290" t="str" cm="1">
        <f t="array" ref="AH79">IF(AI79="",
"",
SUMPRODUCT(
tb_desp[valor]*
(tb_desp[centro.negocio]=AI$2)*
(tb_desp[nucleo]=AI79)*
(tb_desp[data.pagamento]&gt;='n&amp;cn'!$C$1)*
(tb_desp[data.pagamento]&lt;='n&amp;cn'!$C$2)
))</f>
        <v/>
      </c>
      <c r="AI79" s="267"/>
      <c r="AJ79" s="290" t="str" cm="1">
        <f t="array" ref="AJ79">IF(AK79="",
"",
SUMPRODUCT(
tb_desp[valor]*
(tb_desp[centro.negocio]=AK$2)*
(tb_desp[nucleo]=AK79)*
(tb_desp[data.pagamento]&gt;='n&amp;cn'!$C$1)*
(tb_desp[data.pagamento]&lt;='n&amp;cn'!$C$2)
))</f>
        <v/>
      </c>
      <c r="AK79" s="267"/>
      <c r="AL79" s="290" t="str" cm="1">
        <f t="array" ref="AL79">IF(AM79="",
"",
SUMPRODUCT(
tb_desp[valor]*
(tb_desp[centro.negocio]=AM$2)*
(tb_desp[nucleo]=AM79)*
(tb_desp[data.pagamento]&gt;='n&amp;cn'!$C$1)*
(tb_desp[data.pagamento]&lt;='n&amp;cn'!$C$2)
))</f>
        <v/>
      </c>
      <c r="AM79" s="267"/>
      <c r="AN79" s="290" t="str" cm="1">
        <f t="array" ref="AN79">IF(AO79="",
"",
SUMPRODUCT(
tb_desp[valor]*
(tb_desp[centro.negocio]=AO$2)*
(tb_desp[nucleo]=AO79)*
(tb_desp[data.pagamento]&gt;='n&amp;cn'!$C$1)*
(tb_desp[data.pagamento]&lt;='n&amp;cn'!$C$2)
))</f>
        <v/>
      </c>
      <c r="AO79" s="267"/>
      <c r="AP79" s="290" t="str" cm="1">
        <f t="array" ref="AP79">IF(AQ79="",
"",
SUMPRODUCT(
tb_desp[valor]*
(tb_desp[centro.negocio]=AQ$2)*
(tb_desp[nucleo]=AQ79)*
(tb_desp[data.pagamento]&gt;='n&amp;cn'!$C$1)*
(tb_desp[data.pagamento]&lt;='n&amp;cn'!$C$2)
))</f>
        <v/>
      </c>
      <c r="AQ79" s="267"/>
      <c r="AR79" s="290" t="str" cm="1">
        <f t="array" ref="AR79">IF(AS79="",
"",
SUMPRODUCT(
tb_desp[valor]*
(tb_desp[centro.negocio]=AS$2)*
(tb_desp[nucleo]=AS79)*
(tb_desp[data.pagamento]&gt;='n&amp;cn'!$C$1)*
(tb_desp[data.pagamento]&lt;='n&amp;cn'!$C$2)
))</f>
        <v/>
      </c>
      <c r="AS79" s="267"/>
      <c r="AT79" s="290" t="str" cm="1">
        <f t="array" ref="AT79">IF(AU79="",
"",
SUMPRODUCT(
tb_desp[valor]*
(tb_desp[centro.negocio]=AU$2)*
(tb_desp[nucleo]=AU79)*
(tb_desp[data.pagamento]&gt;='n&amp;cn'!$C$1)*
(tb_desp[data.pagamento]&lt;='n&amp;cn'!$C$2)
))</f>
        <v/>
      </c>
      <c r="AU79" s="267"/>
      <c r="AV79" s="290" t="str" cm="1">
        <f t="array" ref="AV79">IF(AW79="",
"",
SUMPRODUCT(
tb_desp[valor]*
(tb_desp[centro.negocio]=AW$2)*
(tb_desp[nucleo]=AW79)*
(tb_desp[data.pagamento]&gt;='n&amp;cn'!$C$1)*
(tb_desp[data.pagamento]&lt;='n&amp;cn'!$C$2)
))</f>
        <v/>
      </c>
      <c r="AW79" s="267"/>
      <c r="AX79" s="290" t="str" cm="1">
        <f t="array" ref="AX79">IF(AY79="",
"",
SUMPRODUCT(
tb_desp[valor]*
(tb_desp[centro.negocio]=AY$2)*
(tb_desp[nucleo]=AY79)*
(tb_desp[data.pagamento]&gt;='n&amp;cn'!$C$1)*
(tb_desp[data.pagamento]&lt;='n&amp;cn'!$C$2)
))</f>
        <v/>
      </c>
      <c r="AY79" s="267"/>
      <c r="AZ79" s="290" t="str" cm="1">
        <f t="array" ref="AZ79">IF(BA79="",
"",
SUMPRODUCT(
tb_desp[valor]*
(tb_desp[centro.negocio]=BA$2)*
(tb_desp[nucleo]=BA79)*
(tb_desp[data.pagamento]&gt;='n&amp;cn'!$C$1)*
(tb_desp[data.pagamento]&lt;='n&amp;cn'!$C$2)
))</f>
        <v/>
      </c>
      <c r="BA79" s="267"/>
      <c r="BB79" s="290" t="str" cm="1">
        <f t="array" ref="BB79">IF(BC79="",
"",
SUMPRODUCT(
tb_desp[valor]*
(tb_desp[centro.negocio]=BC$2)*
(tb_desp[nucleo]=BC79)*
(tb_desp[data.pagamento]&gt;='n&amp;cn'!$C$1)*
(tb_desp[data.pagamento]&lt;='n&amp;cn'!$C$2)
))</f>
        <v/>
      </c>
      <c r="BC79" s="267"/>
      <c r="BD79" s="290" t="str" cm="1">
        <f t="array" ref="BD79">IF(BE79="",
"",
SUMPRODUCT(
tb_desp[valor]*
(tb_desp[centro.negocio]=BE$2)*
(tb_desp[nucleo]=BE79)*
(tb_desp[data.pagamento]&gt;='n&amp;cn'!$C$1)*
(tb_desp[data.pagamento]&lt;='n&amp;cn'!$C$2)
))</f>
        <v/>
      </c>
      <c r="BE79" s="267"/>
      <c r="BF79" s="290" t="str" cm="1">
        <f t="array" ref="BF79">IF(BG79="",
"",
SUMPRODUCT(
tb_desp[valor]*
(tb_desp[centro.negocio]=BG$2)*
(tb_desp[nucleo]=BG79)*
(tb_desp[data.pagamento]&gt;='n&amp;cn'!$C$1)*
(tb_desp[data.pagamento]&lt;='n&amp;cn'!$C$2)
))</f>
        <v/>
      </c>
      <c r="BG79" s="267"/>
      <c r="BH79" s="290" t="str" cm="1">
        <f t="array" ref="BH79">IF(BI79="",
"",
SUMPRODUCT(
tb_desp[valor]*
(tb_desp[centro.negocio]=BI$2)*
(tb_desp[nucleo]=BI79)*
(tb_desp[data.pagamento]&gt;='n&amp;cn'!$C$1)*
(tb_desp[data.pagamento]&lt;='n&amp;cn'!$C$2)
))</f>
        <v/>
      </c>
      <c r="BI79" s="267"/>
      <c r="BJ79" s="290" t="str" cm="1">
        <f t="array" ref="BJ79">IF(BK79="",
"",
SUMPRODUCT(
tb_desp[valor]*
(tb_desp[centro.negocio]=BK$2)*
(tb_desp[nucleo]=BK79)*
(tb_desp[data.pagamento]&gt;='n&amp;cn'!$C$1)*
(tb_desp[data.pagamento]&lt;='n&amp;cn'!$C$2)
))</f>
        <v/>
      </c>
      <c r="BK79" s="267"/>
      <c r="BL79" s="290" t="str" cm="1">
        <f t="array" ref="BL79">IF(BM79="",
"",
SUMPRODUCT(
tb_desp[valor]*
(tb_desp[centro.negocio]=BM$2)*
(tb_desp[nucleo]=BM79)*
(tb_desp[data.pagamento]&gt;='n&amp;cn'!$C$1)*
(tb_desp[data.pagamento]&lt;='n&amp;cn'!$C$2)
))</f>
        <v/>
      </c>
      <c r="BM79" s="267"/>
      <c r="BN79" s="290" t="str" cm="1">
        <f t="array" ref="BN79">IF(BO79="",
"",
SUMPRODUCT(
tb_desp[valor]*
(tb_desp[centro.negocio]=BO$2)*
(tb_desp[nucleo]=BO79)*
(tb_desp[data.pagamento]&gt;='n&amp;cn'!$C$1)*
(tb_desp[data.pagamento]&lt;='n&amp;cn'!$C$2)
))</f>
        <v/>
      </c>
      <c r="BO79" s="267"/>
    </row>
    <row r="80" spans="8:67" x14ac:dyDescent="0.25">
      <c r="H80" s="168"/>
      <c r="I80" s="163">
        <f t="shared" si="6"/>
        <v>73</v>
      </c>
      <c r="K80" s="164"/>
      <c r="L80" s="167" t="e">
        <f t="shared" si="5"/>
        <v>#DIV/0!</v>
      </c>
      <c r="M80" s="167" t="e">
        <f>SUM($L$8:$L80)</f>
        <v>#DIV/0!</v>
      </c>
      <c r="R80" s="290" t="str" cm="1">
        <f t="array" ref="R80">IF(S80="",
"",
SUMPRODUCT(
tb_desp[valor]*
(tb_desp[centro.negocio]=S$2)*
(tb_desp[nucleo]=S80)*
(tb_desp[data.pagamento]&gt;='n&amp;cn'!$C$1)*
(tb_desp[data.pagamento]&lt;='n&amp;cn'!$C$2)
))</f>
        <v/>
      </c>
      <c r="S80" s="267"/>
      <c r="T80" s="290" t="str" cm="1">
        <f t="array" ref="T80">IF(U80="",
"",
SUMPRODUCT(
tb_desp[valor]*
(tb_desp[centro.negocio]=U$2)*
(tb_desp[nucleo]=U80)*
(tb_desp[data.pagamento]&gt;='n&amp;cn'!$C$1)*
(tb_desp[data.pagamento]&lt;='n&amp;cn'!$C$2)
))</f>
        <v/>
      </c>
      <c r="U80" s="267"/>
      <c r="V80" s="290" t="str" cm="1">
        <f t="array" ref="V80">IF(W80="",
"",
SUMPRODUCT(
tb_desp[valor]*
(tb_desp[centro.negocio]=W$2)*
(tb_desp[nucleo]=W80)*
(tb_desp[data.pagamento]&gt;='n&amp;cn'!$C$1)*
(tb_desp[data.pagamento]&lt;='n&amp;cn'!$C$2)
))</f>
        <v/>
      </c>
      <c r="W80" s="267"/>
      <c r="X80" s="290" t="str" cm="1">
        <f t="array" ref="X80">IF(Y80="",
"",
SUMPRODUCT(
tb_desp[valor]*
(tb_desp[centro.negocio]=Y$2)*
(tb_desp[nucleo]=Y80)*
(tb_desp[data.pagamento]&gt;='n&amp;cn'!$C$1)*
(tb_desp[data.pagamento]&lt;='n&amp;cn'!$C$2)
))</f>
        <v/>
      </c>
      <c r="Y80" s="267"/>
      <c r="Z80" s="290" t="str" cm="1">
        <f t="array" ref="Z80">IF(AA80="",
"",
SUMPRODUCT(
tb_desp[valor]*
(tb_desp[centro.negocio]=AA$2)*
(tb_desp[nucleo]=AA80)*
(tb_desp[data.pagamento]&gt;='n&amp;cn'!$C$1)*
(tb_desp[data.pagamento]&lt;='n&amp;cn'!$C$2)
))</f>
        <v/>
      </c>
      <c r="AA80" s="267"/>
      <c r="AB80" s="290" t="str" cm="1">
        <f t="array" ref="AB80">IF(AC80="",
"",
SUMPRODUCT(
tb_desp[valor]*
(tb_desp[centro.negocio]=AC$2)*
(tb_desp[nucleo]=AC80)*
(tb_desp[data.pagamento]&gt;='n&amp;cn'!$C$1)*
(tb_desp[data.pagamento]&lt;='n&amp;cn'!$C$2)
))</f>
        <v/>
      </c>
      <c r="AC80" s="267"/>
      <c r="AD80" s="290" t="str" cm="1">
        <f t="array" ref="AD80">IF(AE80="",
"",
SUMPRODUCT(
tb_desp[valor]*
(tb_desp[centro.negocio]=AE$2)*
(tb_desp[nucleo]=AE80)*
(tb_desp[data.pagamento]&gt;='n&amp;cn'!$C$1)*
(tb_desp[data.pagamento]&lt;='n&amp;cn'!$C$2)
))</f>
        <v/>
      </c>
      <c r="AE80" s="267"/>
      <c r="AF80" s="290" t="str" cm="1">
        <f t="array" ref="AF80">IF(AG80="",
"",
SUMPRODUCT(
tb_desp[valor]*
(tb_desp[centro.negocio]=AG$2)*
(tb_desp[nucleo]=AG80)*
(tb_desp[data.pagamento]&gt;='n&amp;cn'!$C$1)*
(tb_desp[data.pagamento]&lt;='n&amp;cn'!$C$2)
))</f>
        <v/>
      </c>
      <c r="AG80" s="267"/>
      <c r="AH80" s="290" t="str" cm="1">
        <f t="array" ref="AH80">IF(AI80="",
"",
SUMPRODUCT(
tb_desp[valor]*
(tb_desp[centro.negocio]=AI$2)*
(tb_desp[nucleo]=AI80)*
(tb_desp[data.pagamento]&gt;='n&amp;cn'!$C$1)*
(tb_desp[data.pagamento]&lt;='n&amp;cn'!$C$2)
))</f>
        <v/>
      </c>
      <c r="AI80" s="267"/>
      <c r="AJ80" s="290" t="str" cm="1">
        <f t="array" ref="AJ80">IF(AK80="",
"",
SUMPRODUCT(
tb_desp[valor]*
(tb_desp[centro.negocio]=AK$2)*
(tb_desp[nucleo]=AK80)*
(tb_desp[data.pagamento]&gt;='n&amp;cn'!$C$1)*
(tb_desp[data.pagamento]&lt;='n&amp;cn'!$C$2)
))</f>
        <v/>
      </c>
      <c r="AK80" s="267"/>
      <c r="AL80" s="290" t="str" cm="1">
        <f t="array" ref="AL80">IF(AM80="",
"",
SUMPRODUCT(
tb_desp[valor]*
(tb_desp[centro.negocio]=AM$2)*
(tb_desp[nucleo]=AM80)*
(tb_desp[data.pagamento]&gt;='n&amp;cn'!$C$1)*
(tb_desp[data.pagamento]&lt;='n&amp;cn'!$C$2)
))</f>
        <v/>
      </c>
      <c r="AM80" s="267"/>
      <c r="AN80" s="290" t="str" cm="1">
        <f t="array" ref="AN80">IF(AO80="",
"",
SUMPRODUCT(
tb_desp[valor]*
(tb_desp[centro.negocio]=AO$2)*
(tb_desp[nucleo]=AO80)*
(tb_desp[data.pagamento]&gt;='n&amp;cn'!$C$1)*
(tb_desp[data.pagamento]&lt;='n&amp;cn'!$C$2)
))</f>
        <v/>
      </c>
      <c r="AO80" s="267"/>
      <c r="AP80" s="290" t="str" cm="1">
        <f t="array" ref="AP80">IF(AQ80="",
"",
SUMPRODUCT(
tb_desp[valor]*
(tb_desp[centro.negocio]=AQ$2)*
(tb_desp[nucleo]=AQ80)*
(tb_desp[data.pagamento]&gt;='n&amp;cn'!$C$1)*
(tb_desp[data.pagamento]&lt;='n&amp;cn'!$C$2)
))</f>
        <v/>
      </c>
      <c r="AQ80" s="267"/>
      <c r="AR80" s="290" t="str" cm="1">
        <f t="array" ref="AR80">IF(AS80="",
"",
SUMPRODUCT(
tb_desp[valor]*
(tb_desp[centro.negocio]=AS$2)*
(tb_desp[nucleo]=AS80)*
(tb_desp[data.pagamento]&gt;='n&amp;cn'!$C$1)*
(tb_desp[data.pagamento]&lt;='n&amp;cn'!$C$2)
))</f>
        <v/>
      </c>
      <c r="AS80" s="267"/>
      <c r="AT80" s="290" t="str" cm="1">
        <f t="array" ref="AT80">IF(AU80="",
"",
SUMPRODUCT(
tb_desp[valor]*
(tb_desp[centro.negocio]=AU$2)*
(tb_desp[nucleo]=AU80)*
(tb_desp[data.pagamento]&gt;='n&amp;cn'!$C$1)*
(tb_desp[data.pagamento]&lt;='n&amp;cn'!$C$2)
))</f>
        <v/>
      </c>
      <c r="AU80" s="267"/>
      <c r="AV80" s="290" t="str" cm="1">
        <f t="array" ref="AV80">IF(AW80="",
"",
SUMPRODUCT(
tb_desp[valor]*
(tb_desp[centro.negocio]=AW$2)*
(tb_desp[nucleo]=AW80)*
(tb_desp[data.pagamento]&gt;='n&amp;cn'!$C$1)*
(tb_desp[data.pagamento]&lt;='n&amp;cn'!$C$2)
))</f>
        <v/>
      </c>
      <c r="AW80" s="267"/>
      <c r="AX80" s="290" t="str" cm="1">
        <f t="array" ref="AX80">IF(AY80="",
"",
SUMPRODUCT(
tb_desp[valor]*
(tb_desp[centro.negocio]=AY$2)*
(tb_desp[nucleo]=AY80)*
(tb_desp[data.pagamento]&gt;='n&amp;cn'!$C$1)*
(tb_desp[data.pagamento]&lt;='n&amp;cn'!$C$2)
))</f>
        <v/>
      </c>
      <c r="AY80" s="267"/>
      <c r="AZ80" s="290" t="str" cm="1">
        <f t="array" ref="AZ80">IF(BA80="",
"",
SUMPRODUCT(
tb_desp[valor]*
(tb_desp[centro.negocio]=BA$2)*
(tb_desp[nucleo]=BA80)*
(tb_desp[data.pagamento]&gt;='n&amp;cn'!$C$1)*
(tb_desp[data.pagamento]&lt;='n&amp;cn'!$C$2)
))</f>
        <v/>
      </c>
      <c r="BA80" s="267"/>
      <c r="BB80" s="290" t="str" cm="1">
        <f t="array" ref="BB80">IF(BC80="",
"",
SUMPRODUCT(
tb_desp[valor]*
(tb_desp[centro.negocio]=BC$2)*
(tb_desp[nucleo]=BC80)*
(tb_desp[data.pagamento]&gt;='n&amp;cn'!$C$1)*
(tb_desp[data.pagamento]&lt;='n&amp;cn'!$C$2)
))</f>
        <v/>
      </c>
      <c r="BC80" s="267"/>
      <c r="BD80" s="290" t="str" cm="1">
        <f t="array" ref="BD80">IF(BE80="",
"",
SUMPRODUCT(
tb_desp[valor]*
(tb_desp[centro.negocio]=BE$2)*
(tb_desp[nucleo]=BE80)*
(tb_desp[data.pagamento]&gt;='n&amp;cn'!$C$1)*
(tb_desp[data.pagamento]&lt;='n&amp;cn'!$C$2)
))</f>
        <v/>
      </c>
      <c r="BE80" s="267"/>
      <c r="BF80" s="290" t="str" cm="1">
        <f t="array" ref="BF80">IF(BG80="",
"",
SUMPRODUCT(
tb_desp[valor]*
(tb_desp[centro.negocio]=BG$2)*
(tb_desp[nucleo]=BG80)*
(tb_desp[data.pagamento]&gt;='n&amp;cn'!$C$1)*
(tb_desp[data.pagamento]&lt;='n&amp;cn'!$C$2)
))</f>
        <v/>
      </c>
      <c r="BG80" s="267"/>
      <c r="BH80" s="290" t="str" cm="1">
        <f t="array" ref="BH80">IF(BI80="",
"",
SUMPRODUCT(
tb_desp[valor]*
(tb_desp[centro.negocio]=BI$2)*
(tb_desp[nucleo]=BI80)*
(tb_desp[data.pagamento]&gt;='n&amp;cn'!$C$1)*
(tb_desp[data.pagamento]&lt;='n&amp;cn'!$C$2)
))</f>
        <v/>
      </c>
      <c r="BI80" s="267"/>
      <c r="BJ80" s="290" t="str" cm="1">
        <f t="array" ref="BJ80">IF(BK80="",
"",
SUMPRODUCT(
tb_desp[valor]*
(tb_desp[centro.negocio]=BK$2)*
(tb_desp[nucleo]=BK80)*
(tb_desp[data.pagamento]&gt;='n&amp;cn'!$C$1)*
(tb_desp[data.pagamento]&lt;='n&amp;cn'!$C$2)
))</f>
        <v/>
      </c>
      <c r="BK80" s="267"/>
      <c r="BL80" s="290" t="str" cm="1">
        <f t="array" ref="BL80">IF(BM80="",
"",
SUMPRODUCT(
tb_desp[valor]*
(tb_desp[centro.negocio]=BM$2)*
(tb_desp[nucleo]=BM80)*
(tb_desp[data.pagamento]&gt;='n&amp;cn'!$C$1)*
(tb_desp[data.pagamento]&lt;='n&amp;cn'!$C$2)
))</f>
        <v/>
      </c>
      <c r="BM80" s="267"/>
      <c r="BN80" s="290" t="str" cm="1">
        <f t="array" ref="BN80">IF(BO80="",
"",
SUMPRODUCT(
tb_desp[valor]*
(tb_desp[centro.negocio]=BO$2)*
(tb_desp[nucleo]=BO80)*
(tb_desp[data.pagamento]&gt;='n&amp;cn'!$C$1)*
(tb_desp[data.pagamento]&lt;='n&amp;cn'!$C$2)
))</f>
        <v/>
      </c>
      <c r="BO80" s="267"/>
    </row>
    <row r="81" spans="8:67" x14ac:dyDescent="0.25">
      <c r="H81" s="168"/>
      <c r="I81" s="163">
        <f t="shared" si="6"/>
        <v>74</v>
      </c>
      <c r="K81" s="164"/>
      <c r="L81" s="167" t="e">
        <f t="shared" si="5"/>
        <v>#DIV/0!</v>
      </c>
      <c r="M81" s="167" t="e">
        <f>SUM($L$8:$L81)</f>
        <v>#DIV/0!</v>
      </c>
      <c r="R81" s="290" t="str" cm="1">
        <f t="array" ref="R81">IF(S81="",
"",
SUMPRODUCT(
tb_desp[valor]*
(tb_desp[centro.negocio]=S$2)*
(tb_desp[nucleo]=S81)*
(tb_desp[data.pagamento]&gt;='n&amp;cn'!$C$1)*
(tb_desp[data.pagamento]&lt;='n&amp;cn'!$C$2)
))</f>
        <v/>
      </c>
      <c r="S81" s="267"/>
      <c r="T81" s="290" t="str" cm="1">
        <f t="array" ref="T81">IF(U81="",
"",
SUMPRODUCT(
tb_desp[valor]*
(tb_desp[centro.negocio]=U$2)*
(tb_desp[nucleo]=U81)*
(tb_desp[data.pagamento]&gt;='n&amp;cn'!$C$1)*
(tb_desp[data.pagamento]&lt;='n&amp;cn'!$C$2)
))</f>
        <v/>
      </c>
      <c r="U81" s="267"/>
      <c r="V81" s="290" t="str" cm="1">
        <f t="array" ref="V81">IF(W81="",
"",
SUMPRODUCT(
tb_desp[valor]*
(tb_desp[centro.negocio]=W$2)*
(tb_desp[nucleo]=W81)*
(tb_desp[data.pagamento]&gt;='n&amp;cn'!$C$1)*
(tb_desp[data.pagamento]&lt;='n&amp;cn'!$C$2)
))</f>
        <v/>
      </c>
      <c r="W81" s="267"/>
      <c r="X81" s="290" t="str" cm="1">
        <f t="array" ref="X81">IF(Y81="",
"",
SUMPRODUCT(
tb_desp[valor]*
(tb_desp[centro.negocio]=Y$2)*
(tb_desp[nucleo]=Y81)*
(tb_desp[data.pagamento]&gt;='n&amp;cn'!$C$1)*
(tb_desp[data.pagamento]&lt;='n&amp;cn'!$C$2)
))</f>
        <v/>
      </c>
      <c r="Y81" s="267"/>
      <c r="Z81" s="290" t="str" cm="1">
        <f t="array" ref="Z81">IF(AA81="",
"",
SUMPRODUCT(
tb_desp[valor]*
(tb_desp[centro.negocio]=AA$2)*
(tb_desp[nucleo]=AA81)*
(tb_desp[data.pagamento]&gt;='n&amp;cn'!$C$1)*
(tb_desp[data.pagamento]&lt;='n&amp;cn'!$C$2)
))</f>
        <v/>
      </c>
      <c r="AA81" s="267"/>
      <c r="AB81" s="290" t="str" cm="1">
        <f t="array" ref="AB81">IF(AC81="",
"",
SUMPRODUCT(
tb_desp[valor]*
(tb_desp[centro.negocio]=AC$2)*
(tb_desp[nucleo]=AC81)*
(tb_desp[data.pagamento]&gt;='n&amp;cn'!$C$1)*
(tb_desp[data.pagamento]&lt;='n&amp;cn'!$C$2)
))</f>
        <v/>
      </c>
      <c r="AC81" s="267"/>
      <c r="AD81" s="290" t="str" cm="1">
        <f t="array" ref="AD81">IF(AE81="",
"",
SUMPRODUCT(
tb_desp[valor]*
(tb_desp[centro.negocio]=AE$2)*
(tb_desp[nucleo]=AE81)*
(tb_desp[data.pagamento]&gt;='n&amp;cn'!$C$1)*
(tb_desp[data.pagamento]&lt;='n&amp;cn'!$C$2)
))</f>
        <v/>
      </c>
      <c r="AE81" s="267"/>
      <c r="AF81" s="290" t="str" cm="1">
        <f t="array" ref="AF81">IF(AG81="",
"",
SUMPRODUCT(
tb_desp[valor]*
(tb_desp[centro.negocio]=AG$2)*
(tb_desp[nucleo]=AG81)*
(tb_desp[data.pagamento]&gt;='n&amp;cn'!$C$1)*
(tb_desp[data.pagamento]&lt;='n&amp;cn'!$C$2)
))</f>
        <v/>
      </c>
      <c r="AG81" s="267"/>
      <c r="AH81" s="290" t="str" cm="1">
        <f t="array" ref="AH81">IF(AI81="",
"",
SUMPRODUCT(
tb_desp[valor]*
(tb_desp[centro.negocio]=AI$2)*
(tb_desp[nucleo]=AI81)*
(tb_desp[data.pagamento]&gt;='n&amp;cn'!$C$1)*
(tb_desp[data.pagamento]&lt;='n&amp;cn'!$C$2)
))</f>
        <v/>
      </c>
      <c r="AI81" s="267"/>
      <c r="AJ81" s="290" t="str" cm="1">
        <f t="array" ref="AJ81">IF(AK81="",
"",
SUMPRODUCT(
tb_desp[valor]*
(tb_desp[centro.negocio]=AK$2)*
(tb_desp[nucleo]=AK81)*
(tb_desp[data.pagamento]&gt;='n&amp;cn'!$C$1)*
(tb_desp[data.pagamento]&lt;='n&amp;cn'!$C$2)
))</f>
        <v/>
      </c>
      <c r="AK81" s="267"/>
      <c r="AL81" s="290" t="str" cm="1">
        <f t="array" ref="AL81">IF(AM81="",
"",
SUMPRODUCT(
tb_desp[valor]*
(tb_desp[centro.negocio]=AM$2)*
(tb_desp[nucleo]=AM81)*
(tb_desp[data.pagamento]&gt;='n&amp;cn'!$C$1)*
(tb_desp[data.pagamento]&lt;='n&amp;cn'!$C$2)
))</f>
        <v/>
      </c>
      <c r="AM81" s="267"/>
      <c r="AN81" s="290" t="str" cm="1">
        <f t="array" ref="AN81">IF(AO81="",
"",
SUMPRODUCT(
tb_desp[valor]*
(tb_desp[centro.negocio]=AO$2)*
(tb_desp[nucleo]=AO81)*
(tb_desp[data.pagamento]&gt;='n&amp;cn'!$C$1)*
(tb_desp[data.pagamento]&lt;='n&amp;cn'!$C$2)
))</f>
        <v/>
      </c>
      <c r="AO81" s="267"/>
      <c r="AP81" s="290" t="str" cm="1">
        <f t="array" ref="AP81">IF(AQ81="",
"",
SUMPRODUCT(
tb_desp[valor]*
(tb_desp[centro.negocio]=AQ$2)*
(tb_desp[nucleo]=AQ81)*
(tb_desp[data.pagamento]&gt;='n&amp;cn'!$C$1)*
(tb_desp[data.pagamento]&lt;='n&amp;cn'!$C$2)
))</f>
        <v/>
      </c>
      <c r="AQ81" s="267"/>
      <c r="AR81" s="290" t="str" cm="1">
        <f t="array" ref="AR81">IF(AS81="",
"",
SUMPRODUCT(
tb_desp[valor]*
(tb_desp[centro.negocio]=AS$2)*
(tb_desp[nucleo]=AS81)*
(tb_desp[data.pagamento]&gt;='n&amp;cn'!$C$1)*
(tb_desp[data.pagamento]&lt;='n&amp;cn'!$C$2)
))</f>
        <v/>
      </c>
      <c r="AS81" s="267"/>
      <c r="AT81" s="290" t="str" cm="1">
        <f t="array" ref="AT81">IF(AU81="",
"",
SUMPRODUCT(
tb_desp[valor]*
(tb_desp[centro.negocio]=AU$2)*
(tb_desp[nucleo]=AU81)*
(tb_desp[data.pagamento]&gt;='n&amp;cn'!$C$1)*
(tb_desp[data.pagamento]&lt;='n&amp;cn'!$C$2)
))</f>
        <v/>
      </c>
      <c r="AU81" s="267"/>
      <c r="AV81" s="290" t="str" cm="1">
        <f t="array" ref="AV81">IF(AW81="",
"",
SUMPRODUCT(
tb_desp[valor]*
(tb_desp[centro.negocio]=AW$2)*
(tb_desp[nucleo]=AW81)*
(tb_desp[data.pagamento]&gt;='n&amp;cn'!$C$1)*
(tb_desp[data.pagamento]&lt;='n&amp;cn'!$C$2)
))</f>
        <v/>
      </c>
      <c r="AW81" s="267"/>
      <c r="AX81" s="290" t="str" cm="1">
        <f t="array" ref="AX81">IF(AY81="",
"",
SUMPRODUCT(
tb_desp[valor]*
(tb_desp[centro.negocio]=AY$2)*
(tb_desp[nucleo]=AY81)*
(tb_desp[data.pagamento]&gt;='n&amp;cn'!$C$1)*
(tb_desp[data.pagamento]&lt;='n&amp;cn'!$C$2)
))</f>
        <v/>
      </c>
      <c r="AY81" s="267"/>
      <c r="AZ81" s="290" t="str" cm="1">
        <f t="array" ref="AZ81">IF(BA81="",
"",
SUMPRODUCT(
tb_desp[valor]*
(tb_desp[centro.negocio]=BA$2)*
(tb_desp[nucleo]=BA81)*
(tb_desp[data.pagamento]&gt;='n&amp;cn'!$C$1)*
(tb_desp[data.pagamento]&lt;='n&amp;cn'!$C$2)
))</f>
        <v/>
      </c>
      <c r="BA81" s="267"/>
      <c r="BB81" s="290" t="str" cm="1">
        <f t="array" ref="BB81">IF(BC81="",
"",
SUMPRODUCT(
tb_desp[valor]*
(tb_desp[centro.negocio]=BC$2)*
(tb_desp[nucleo]=BC81)*
(tb_desp[data.pagamento]&gt;='n&amp;cn'!$C$1)*
(tb_desp[data.pagamento]&lt;='n&amp;cn'!$C$2)
))</f>
        <v/>
      </c>
      <c r="BC81" s="267"/>
      <c r="BD81" s="290" t="str" cm="1">
        <f t="array" ref="BD81">IF(BE81="",
"",
SUMPRODUCT(
tb_desp[valor]*
(tb_desp[centro.negocio]=BE$2)*
(tb_desp[nucleo]=BE81)*
(tb_desp[data.pagamento]&gt;='n&amp;cn'!$C$1)*
(tb_desp[data.pagamento]&lt;='n&amp;cn'!$C$2)
))</f>
        <v/>
      </c>
      <c r="BE81" s="267"/>
      <c r="BF81" s="290" t="str" cm="1">
        <f t="array" ref="BF81">IF(BG81="",
"",
SUMPRODUCT(
tb_desp[valor]*
(tb_desp[centro.negocio]=BG$2)*
(tb_desp[nucleo]=BG81)*
(tb_desp[data.pagamento]&gt;='n&amp;cn'!$C$1)*
(tb_desp[data.pagamento]&lt;='n&amp;cn'!$C$2)
))</f>
        <v/>
      </c>
      <c r="BG81" s="267"/>
      <c r="BH81" s="290" t="str" cm="1">
        <f t="array" ref="BH81">IF(BI81="",
"",
SUMPRODUCT(
tb_desp[valor]*
(tb_desp[centro.negocio]=BI$2)*
(tb_desp[nucleo]=BI81)*
(tb_desp[data.pagamento]&gt;='n&amp;cn'!$C$1)*
(tb_desp[data.pagamento]&lt;='n&amp;cn'!$C$2)
))</f>
        <v/>
      </c>
      <c r="BI81" s="267"/>
      <c r="BJ81" s="290" t="str" cm="1">
        <f t="array" ref="BJ81">IF(BK81="",
"",
SUMPRODUCT(
tb_desp[valor]*
(tb_desp[centro.negocio]=BK$2)*
(tb_desp[nucleo]=BK81)*
(tb_desp[data.pagamento]&gt;='n&amp;cn'!$C$1)*
(tb_desp[data.pagamento]&lt;='n&amp;cn'!$C$2)
))</f>
        <v/>
      </c>
      <c r="BK81" s="267"/>
      <c r="BL81" s="290" t="str" cm="1">
        <f t="array" ref="BL81">IF(BM81="",
"",
SUMPRODUCT(
tb_desp[valor]*
(tb_desp[centro.negocio]=BM$2)*
(tb_desp[nucleo]=BM81)*
(tb_desp[data.pagamento]&gt;='n&amp;cn'!$C$1)*
(tb_desp[data.pagamento]&lt;='n&amp;cn'!$C$2)
))</f>
        <v/>
      </c>
      <c r="BM81" s="267"/>
      <c r="BN81" s="290" t="str" cm="1">
        <f t="array" ref="BN81">IF(BO81="",
"",
SUMPRODUCT(
tb_desp[valor]*
(tb_desp[centro.negocio]=BO$2)*
(tb_desp[nucleo]=BO81)*
(tb_desp[data.pagamento]&gt;='n&amp;cn'!$C$1)*
(tb_desp[data.pagamento]&lt;='n&amp;cn'!$C$2)
))</f>
        <v/>
      </c>
      <c r="BO81" s="267"/>
    </row>
    <row r="82" spans="8:67" x14ac:dyDescent="0.25">
      <c r="H82" s="168"/>
      <c r="I82" s="163">
        <f t="shared" si="6"/>
        <v>75</v>
      </c>
      <c r="K82" s="164"/>
      <c r="L82" s="167" t="e">
        <f t="shared" si="5"/>
        <v>#DIV/0!</v>
      </c>
      <c r="M82" s="167" t="e">
        <f>SUM($L$8:$L82)</f>
        <v>#DIV/0!</v>
      </c>
      <c r="R82" s="290" t="str" cm="1">
        <f t="array" ref="R82">IF(S82="",
"",
SUMPRODUCT(
tb_desp[valor]*
(tb_desp[centro.negocio]=S$2)*
(tb_desp[nucleo]=S82)*
(tb_desp[data.pagamento]&gt;='n&amp;cn'!$C$1)*
(tb_desp[data.pagamento]&lt;='n&amp;cn'!$C$2)
))</f>
        <v/>
      </c>
      <c r="S82" s="267"/>
      <c r="T82" s="290" t="str" cm="1">
        <f t="array" ref="T82">IF(U82="",
"",
SUMPRODUCT(
tb_desp[valor]*
(tb_desp[centro.negocio]=U$2)*
(tb_desp[nucleo]=U82)*
(tb_desp[data.pagamento]&gt;='n&amp;cn'!$C$1)*
(tb_desp[data.pagamento]&lt;='n&amp;cn'!$C$2)
))</f>
        <v/>
      </c>
      <c r="U82" s="267"/>
      <c r="V82" s="290" t="str" cm="1">
        <f t="array" ref="V82">IF(W82="",
"",
SUMPRODUCT(
tb_desp[valor]*
(tb_desp[centro.negocio]=W$2)*
(tb_desp[nucleo]=W82)*
(tb_desp[data.pagamento]&gt;='n&amp;cn'!$C$1)*
(tb_desp[data.pagamento]&lt;='n&amp;cn'!$C$2)
))</f>
        <v/>
      </c>
      <c r="W82" s="267"/>
      <c r="X82" s="290" t="str" cm="1">
        <f t="array" ref="X82">IF(Y82="",
"",
SUMPRODUCT(
tb_desp[valor]*
(tb_desp[centro.negocio]=Y$2)*
(tb_desp[nucleo]=Y82)*
(tb_desp[data.pagamento]&gt;='n&amp;cn'!$C$1)*
(tb_desp[data.pagamento]&lt;='n&amp;cn'!$C$2)
))</f>
        <v/>
      </c>
      <c r="Y82" s="267"/>
      <c r="Z82" s="290" t="str" cm="1">
        <f t="array" ref="Z82">IF(AA82="",
"",
SUMPRODUCT(
tb_desp[valor]*
(tb_desp[centro.negocio]=AA$2)*
(tb_desp[nucleo]=AA82)*
(tb_desp[data.pagamento]&gt;='n&amp;cn'!$C$1)*
(tb_desp[data.pagamento]&lt;='n&amp;cn'!$C$2)
))</f>
        <v/>
      </c>
      <c r="AA82" s="267"/>
      <c r="AB82" s="290" t="str" cm="1">
        <f t="array" ref="AB82">IF(AC82="",
"",
SUMPRODUCT(
tb_desp[valor]*
(tb_desp[centro.negocio]=AC$2)*
(tb_desp[nucleo]=AC82)*
(tb_desp[data.pagamento]&gt;='n&amp;cn'!$C$1)*
(tb_desp[data.pagamento]&lt;='n&amp;cn'!$C$2)
))</f>
        <v/>
      </c>
      <c r="AC82" s="267"/>
      <c r="AD82" s="290" t="str" cm="1">
        <f t="array" ref="AD82">IF(AE82="",
"",
SUMPRODUCT(
tb_desp[valor]*
(tb_desp[centro.negocio]=AE$2)*
(tb_desp[nucleo]=AE82)*
(tb_desp[data.pagamento]&gt;='n&amp;cn'!$C$1)*
(tb_desp[data.pagamento]&lt;='n&amp;cn'!$C$2)
))</f>
        <v/>
      </c>
      <c r="AE82" s="267"/>
      <c r="AF82" s="290" t="str" cm="1">
        <f t="array" ref="AF82">IF(AG82="",
"",
SUMPRODUCT(
tb_desp[valor]*
(tb_desp[centro.negocio]=AG$2)*
(tb_desp[nucleo]=AG82)*
(tb_desp[data.pagamento]&gt;='n&amp;cn'!$C$1)*
(tb_desp[data.pagamento]&lt;='n&amp;cn'!$C$2)
))</f>
        <v/>
      </c>
      <c r="AG82" s="267"/>
      <c r="AH82" s="290" t="str" cm="1">
        <f t="array" ref="AH82">IF(AI82="",
"",
SUMPRODUCT(
tb_desp[valor]*
(tb_desp[centro.negocio]=AI$2)*
(tb_desp[nucleo]=AI82)*
(tb_desp[data.pagamento]&gt;='n&amp;cn'!$C$1)*
(tb_desp[data.pagamento]&lt;='n&amp;cn'!$C$2)
))</f>
        <v/>
      </c>
      <c r="AI82" s="267"/>
      <c r="AJ82" s="290" t="str" cm="1">
        <f t="array" ref="AJ82">IF(AK82="",
"",
SUMPRODUCT(
tb_desp[valor]*
(tb_desp[centro.negocio]=AK$2)*
(tb_desp[nucleo]=AK82)*
(tb_desp[data.pagamento]&gt;='n&amp;cn'!$C$1)*
(tb_desp[data.pagamento]&lt;='n&amp;cn'!$C$2)
))</f>
        <v/>
      </c>
      <c r="AK82" s="267"/>
      <c r="AL82" s="290" t="str" cm="1">
        <f t="array" ref="AL82">IF(AM82="",
"",
SUMPRODUCT(
tb_desp[valor]*
(tb_desp[centro.negocio]=AM$2)*
(tb_desp[nucleo]=AM82)*
(tb_desp[data.pagamento]&gt;='n&amp;cn'!$C$1)*
(tb_desp[data.pagamento]&lt;='n&amp;cn'!$C$2)
))</f>
        <v/>
      </c>
      <c r="AM82" s="267"/>
      <c r="AN82" s="290" t="str" cm="1">
        <f t="array" ref="AN82">IF(AO82="",
"",
SUMPRODUCT(
tb_desp[valor]*
(tb_desp[centro.negocio]=AO$2)*
(tb_desp[nucleo]=AO82)*
(tb_desp[data.pagamento]&gt;='n&amp;cn'!$C$1)*
(tb_desp[data.pagamento]&lt;='n&amp;cn'!$C$2)
))</f>
        <v/>
      </c>
      <c r="AO82" s="267"/>
      <c r="AP82" s="290" t="str" cm="1">
        <f t="array" ref="AP82">IF(AQ82="",
"",
SUMPRODUCT(
tb_desp[valor]*
(tb_desp[centro.negocio]=AQ$2)*
(tb_desp[nucleo]=AQ82)*
(tb_desp[data.pagamento]&gt;='n&amp;cn'!$C$1)*
(tb_desp[data.pagamento]&lt;='n&amp;cn'!$C$2)
))</f>
        <v/>
      </c>
      <c r="AQ82" s="267"/>
      <c r="AR82" s="290" t="str" cm="1">
        <f t="array" ref="AR82">IF(AS82="",
"",
SUMPRODUCT(
tb_desp[valor]*
(tb_desp[centro.negocio]=AS$2)*
(tb_desp[nucleo]=AS82)*
(tb_desp[data.pagamento]&gt;='n&amp;cn'!$C$1)*
(tb_desp[data.pagamento]&lt;='n&amp;cn'!$C$2)
))</f>
        <v/>
      </c>
      <c r="AS82" s="267"/>
      <c r="AT82" s="290" t="str" cm="1">
        <f t="array" ref="AT82">IF(AU82="",
"",
SUMPRODUCT(
tb_desp[valor]*
(tb_desp[centro.negocio]=AU$2)*
(tb_desp[nucleo]=AU82)*
(tb_desp[data.pagamento]&gt;='n&amp;cn'!$C$1)*
(tb_desp[data.pagamento]&lt;='n&amp;cn'!$C$2)
))</f>
        <v/>
      </c>
      <c r="AU82" s="267"/>
      <c r="AV82" s="290" t="str" cm="1">
        <f t="array" ref="AV82">IF(AW82="",
"",
SUMPRODUCT(
tb_desp[valor]*
(tb_desp[centro.negocio]=AW$2)*
(tb_desp[nucleo]=AW82)*
(tb_desp[data.pagamento]&gt;='n&amp;cn'!$C$1)*
(tb_desp[data.pagamento]&lt;='n&amp;cn'!$C$2)
))</f>
        <v/>
      </c>
      <c r="AW82" s="267"/>
      <c r="AX82" s="290" t="str" cm="1">
        <f t="array" ref="AX82">IF(AY82="",
"",
SUMPRODUCT(
tb_desp[valor]*
(tb_desp[centro.negocio]=AY$2)*
(tb_desp[nucleo]=AY82)*
(tb_desp[data.pagamento]&gt;='n&amp;cn'!$C$1)*
(tb_desp[data.pagamento]&lt;='n&amp;cn'!$C$2)
))</f>
        <v/>
      </c>
      <c r="AY82" s="267"/>
      <c r="AZ82" s="290" t="str" cm="1">
        <f t="array" ref="AZ82">IF(BA82="",
"",
SUMPRODUCT(
tb_desp[valor]*
(tb_desp[centro.negocio]=BA$2)*
(tb_desp[nucleo]=BA82)*
(tb_desp[data.pagamento]&gt;='n&amp;cn'!$C$1)*
(tb_desp[data.pagamento]&lt;='n&amp;cn'!$C$2)
))</f>
        <v/>
      </c>
      <c r="BA82" s="267"/>
      <c r="BB82" s="290" t="str" cm="1">
        <f t="array" ref="BB82">IF(BC82="",
"",
SUMPRODUCT(
tb_desp[valor]*
(tb_desp[centro.negocio]=BC$2)*
(tb_desp[nucleo]=BC82)*
(tb_desp[data.pagamento]&gt;='n&amp;cn'!$C$1)*
(tb_desp[data.pagamento]&lt;='n&amp;cn'!$C$2)
))</f>
        <v/>
      </c>
      <c r="BC82" s="267"/>
      <c r="BD82" s="290" t="str" cm="1">
        <f t="array" ref="BD82">IF(BE82="",
"",
SUMPRODUCT(
tb_desp[valor]*
(tb_desp[centro.negocio]=BE$2)*
(tb_desp[nucleo]=BE82)*
(tb_desp[data.pagamento]&gt;='n&amp;cn'!$C$1)*
(tb_desp[data.pagamento]&lt;='n&amp;cn'!$C$2)
))</f>
        <v/>
      </c>
      <c r="BE82" s="267"/>
      <c r="BF82" s="290" t="str" cm="1">
        <f t="array" ref="BF82">IF(BG82="",
"",
SUMPRODUCT(
tb_desp[valor]*
(tb_desp[centro.negocio]=BG$2)*
(tb_desp[nucleo]=BG82)*
(tb_desp[data.pagamento]&gt;='n&amp;cn'!$C$1)*
(tb_desp[data.pagamento]&lt;='n&amp;cn'!$C$2)
))</f>
        <v/>
      </c>
      <c r="BG82" s="267"/>
      <c r="BH82" s="290" t="str" cm="1">
        <f t="array" ref="BH82">IF(BI82="",
"",
SUMPRODUCT(
tb_desp[valor]*
(tb_desp[centro.negocio]=BI$2)*
(tb_desp[nucleo]=BI82)*
(tb_desp[data.pagamento]&gt;='n&amp;cn'!$C$1)*
(tb_desp[data.pagamento]&lt;='n&amp;cn'!$C$2)
))</f>
        <v/>
      </c>
      <c r="BI82" s="267"/>
      <c r="BJ82" s="290" t="str" cm="1">
        <f t="array" ref="BJ82">IF(BK82="",
"",
SUMPRODUCT(
tb_desp[valor]*
(tb_desp[centro.negocio]=BK$2)*
(tb_desp[nucleo]=BK82)*
(tb_desp[data.pagamento]&gt;='n&amp;cn'!$C$1)*
(tb_desp[data.pagamento]&lt;='n&amp;cn'!$C$2)
))</f>
        <v/>
      </c>
      <c r="BK82" s="267"/>
      <c r="BL82" s="290" t="str" cm="1">
        <f t="array" ref="BL82">IF(BM82="",
"",
SUMPRODUCT(
tb_desp[valor]*
(tb_desp[centro.negocio]=BM$2)*
(tb_desp[nucleo]=BM82)*
(tb_desp[data.pagamento]&gt;='n&amp;cn'!$C$1)*
(tb_desp[data.pagamento]&lt;='n&amp;cn'!$C$2)
))</f>
        <v/>
      </c>
      <c r="BM82" s="267"/>
      <c r="BN82" s="290" t="str" cm="1">
        <f t="array" ref="BN82">IF(BO82="",
"",
SUMPRODUCT(
tb_desp[valor]*
(tb_desp[centro.negocio]=BO$2)*
(tb_desp[nucleo]=BO82)*
(tb_desp[data.pagamento]&gt;='n&amp;cn'!$C$1)*
(tb_desp[data.pagamento]&lt;='n&amp;cn'!$C$2)
))</f>
        <v/>
      </c>
      <c r="BO82" s="267"/>
    </row>
    <row r="83" spans="8:67" x14ac:dyDescent="0.25">
      <c r="H83" s="168"/>
      <c r="I83" s="163">
        <f t="shared" si="6"/>
        <v>76</v>
      </c>
      <c r="K83" s="164"/>
      <c r="L83" s="167" t="e">
        <f t="shared" si="5"/>
        <v>#DIV/0!</v>
      </c>
      <c r="M83" s="167" t="e">
        <f>SUM($L$8:$L83)</f>
        <v>#DIV/0!</v>
      </c>
      <c r="R83" s="290" t="str" cm="1">
        <f t="array" ref="R83">IF(S83="",
"",
SUMPRODUCT(
tb_desp[valor]*
(tb_desp[centro.negocio]=S$2)*
(tb_desp[nucleo]=S83)*
(tb_desp[data.pagamento]&gt;='n&amp;cn'!$C$1)*
(tb_desp[data.pagamento]&lt;='n&amp;cn'!$C$2)
))</f>
        <v/>
      </c>
      <c r="S83" s="267"/>
      <c r="T83" s="290" t="str" cm="1">
        <f t="array" ref="T83">IF(U83="",
"",
SUMPRODUCT(
tb_desp[valor]*
(tb_desp[centro.negocio]=U$2)*
(tb_desp[nucleo]=U83)*
(tb_desp[data.pagamento]&gt;='n&amp;cn'!$C$1)*
(tb_desp[data.pagamento]&lt;='n&amp;cn'!$C$2)
))</f>
        <v/>
      </c>
      <c r="U83" s="267"/>
      <c r="V83" s="290" t="str" cm="1">
        <f t="array" ref="V83">IF(W83="",
"",
SUMPRODUCT(
tb_desp[valor]*
(tb_desp[centro.negocio]=W$2)*
(tb_desp[nucleo]=W83)*
(tb_desp[data.pagamento]&gt;='n&amp;cn'!$C$1)*
(tb_desp[data.pagamento]&lt;='n&amp;cn'!$C$2)
))</f>
        <v/>
      </c>
      <c r="W83" s="267"/>
      <c r="X83" s="290" t="str" cm="1">
        <f t="array" ref="X83">IF(Y83="",
"",
SUMPRODUCT(
tb_desp[valor]*
(tb_desp[centro.negocio]=Y$2)*
(tb_desp[nucleo]=Y83)*
(tb_desp[data.pagamento]&gt;='n&amp;cn'!$C$1)*
(tb_desp[data.pagamento]&lt;='n&amp;cn'!$C$2)
))</f>
        <v/>
      </c>
      <c r="Y83" s="267"/>
      <c r="Z83" s="290" t="str" cm="1">
        <f t="array" ref="Z83">IF(AA83="",
"",
SUMPRODUCT(
tb_desp[valor]*
(tb_desp[centro.negocio]=AA$2)*
(tb_desp[nucleo]=AA83)*
(tb_desp[data.pagamento]&gt;='n&amp;cn'!$C$1)*
(tb_desp[data.pagamento]&lt;='n&amp;cn'!$C$2)
))</f>
        <v/>
      </c>
      <c r="AA83" s="267"/>
      <c r="AB83" s="290" t="str" cm="1">
        <f t="array" ref="AB83">IF(AC83="",
"",
SUMPRODUCT(
tb_desp[valor]*
(tb_desp[centro.negocio]=AC$2)*
(tb_desp[nucleo]=AC83)*
(tb_desp[data.pagamento]&gt;='n&amp;cn'!$C$1)*
(tb_desp[data.pagamento]&lt;='n&amp;cn'!$C$2)
))</f>
        <v/>
      </c>
      <c r="AC83" s="267"/>
      <c r="AD83" s="290" t="str" cm="1">
        <f t="array" ref="AD83">IF(AE83="",
"",
SUMPRODUCT(
tb_desp[valor]*
(tb_desp[centro.negocio]=AE$2)*
(tb_desp[nucleo]=AE83)*
(tb_desp[data.pagamento]&gt;='n&amp;cn'!$C$1)*
(tb_desp[data.pagamento]&lt;='n&amp;cn'!$C$2)
))</f>
        <v/>
      </c>
      <c r="AE83" s="267"/>
      <c r="AF83" s="290" t="str" cm="1">
        <f t="array" ref="AF83">IF(AG83="",
"",
SUMPRODUCT(
tb_desp[valor]*
(tb_desp[centro.negocio]=AG$2)*
(tb_desp[nucleo]=AG83)*
(tb_desp[data.pagamento]&gt;='n&amp;cn'!$C$1)*
(tb_desp[data.pagamento]&lt;='n&amp;cn'!$C$2)
))</f>
        <v/>
      </c>
      <c r="AG83" s="267"/>
      <c r="AH83" s="290" t="str" cm="1">
        <f t="array" ref="AH83">IF(AI83="",
"",
SUMPRODUCT(
tb_desp[valor]*
(tb_desp[centro.negocio]=AI$2)*
(tb_desp[nucleo]=AI83)*
(tb_desp[data.pagamento]&gt;='n&amp;cn'!$C$1)*
(tb_desp[data.pagamento]&lt;='n&amp;cn'!$C$2)
))</f>
        <v/>
      </c>
      <c r="AI83" s="267"/>
      <c r="AJ83" s="290" t="str" cm="1">
        <f t="array" ref="AJ83">IF(AK83="",
"",
SUMPRODUCT(
tb_desp[valor]*
(tb_desp[centro.negocio]=AK$2)*
(tb_desp[nucleo]=AK83)*
(tb_desp[data.pagamento]&gt;='n&amp;cn'!$C$1)*
(tb_desp[data.pagamento]&lt;='n&amp;cn'!$C$2)
))</f>
        <v/>
      </c>
      <c r="AK83" s="267"/>
      <c r="AL83" s="290" t="str" cm="1">
        <f t="array" ref="AL83">IF(AM83="",
"",
SUMPRODUCT(
tb_desp[valor]*
(tb_desp[centro.negocio]=AM$2)*
(tb_desp[nucleo]=AM83)*
(tb_desp[data.pagamento]&gt;='n&amp;cn'!$C$1)*
(tb_desp[data.pagamento]&lt;='n&amp;cn'!$C$2)
))</f>
        <v/>
      </c>
      <c r="AM83" s="267"/>
      <c r="AN83" s="290" t="str" cm="1">
        <f t="array" ref="AN83">IF(AO83="",
"",
SUMPRODUCT(
tb_desp[valor]*
(tb_desp[centro.negocio]=AO$2)*
(tb_desp[nucleo]=AO83)*
(tb_desp[data.pagamento]&gt;='n&amp;cn'!$C$1)*
(tb_desp[data.pagamento]&lt;='n&amp;cn'!$C$2)
))</f>
        <v/>
      </c>
      <c r="AO83" s="267"/>
      <c r="AP83" s="290" t="str" cm="1">
        <f t="array" ref="AP83">IF(AQ83="",
"",
SUMPRODUCT(
tb_desp[valor]*
(tb_desp[centro.negocio]=AQ$2)*
(tb_desp[nucleo]=AQ83)*
(tb_desp[data.pagamento]&gt;='n&amp;cn'!$C$1)*
(tb_desp[data.pagamento]&lt;='n&amp;cn'!$C$2)
))</f>
        <v/>
      </c>
      <c r="AQ83" s="267"/>
      <c r="AR83" s="290" t="str" cm="1">
        <f t="array" ref="AR83">IF(AS83="",
"",
SUMPRODUCT(
tb_desp[valor]*
(tb_desp[centro.negocio]=AS$2)*
(tb_desp[nucleo]=AS83)*
(tb_desp[data.pagamento]&gt;='n&amp;cn'!$C$1)*
(tb_desp[data.pagamento]&lt;='n&amp;cn'!$C$2)
))</f>
        <v/>
      </c>
      <c r="AS83" s="267"/>
      <c r="AT83" s="290" t="str" cm="1">
        <f t="array" ref="AT83">IF(AU83="",
"",
SUMPRODUCT(
tb_desp[valor]*
(tb_desp[centro.negocio]=AU$2)*
(tb_desp[nucleo]=AU83)*
(tb_desp[data.pagamento]&gt;='n&amp;cn'!$C$1)*
(tb_desp[data.pagamento]&lt;='n&amp;cn'!$C$2)
))</f>
        <v/>
      </c>
      <c r="AU83" s="267"/>
      <c r="AV83" s="290" t="str" cm="1">
        <f t="array" ref="AV83">IF(AW83="",
"",
SUMPRODUCT(
tb_desp[valor]*
(tb_desp[centro.negocio]=AW$2)*
(tb_desp[nucleo]=AW83)*
(tb_desp[data.pagamento]&gt;='n&amp;cn'!$C$1)*
(tb_desp[data.pagamento]&lt;='n&amp;cn'!$C$2)
))</f>
        <v/>
      </c>
      <c r="AW83" s="267"/>
      <c r="AX83" s="290" t="str" cm="1">
        <f t="array" ref="AX83">IF(AY83="",
"",
SUMPRODUCT(
tb_desp[valor]*
(tb_desp[centro.negocio]=AY$2)*
(tb_desp[nucleo]=AY83)*
(tb_desp[data.pagamento]&gt;='n&amp;cn'!$C$1)*
(tb_desp[data.pagamento]&lt;='n&amp;cn'!$C$2)
))</f>
        <v/>
      </c>
      <c r="AY83" s="267"/>
      <c r="AZ83" s="290" t="str" cm="1">
        <f t="array" ref="AZ83">IF(BA83="",
"",
SUMPRODUCT(
tb_desp[valor]*
(tb_desp[centro.negocio]=BA$2)*
(tb_desp[nucleo]=BA83)*
(tb_desp[data.pagamento]&gt;='n&amp;cn'!$C$1)*
(tb_desp[data.pagamento]&lt;='n&amp;cn'!$C$2)
))</f>
        <v/>
      </c>
      <c r="BA83" s="267"/>
      <c r="BB83" s="290" t="str" cm="1">
        <f t="array" ref="BB83">IF(BC83="",
"",
SUMPRODUCT(
tb_desp[valor]*
(tb_desp[centro.negocio]=BC$2)*
(tb_desp[nucleo]=BC83)*
(tb_desp[data.pagamento]&gt;='n&amp;cn'!$C$1)*
(tb_desp[data.pagamento]&lt;='n&amp;cn'!$C$2)
))</f>
        <v/>
      </c>
      <c r="BC83" s="267"/>
      <c r="BD83" s="290" t="str" cm="1">
        <f t="array" ref="BD83">IF(BE83="",
"",
SUMPRODUCT(
tb_desp[valor]*
(tb_desp[centro.negocio]=BE$2)*
(tb_desp[nucleo]=BE83)*
(tb_desp[data.pagamento]&gt;='n&amp;cn'!$C$1)*
(tb_desp[data.pagamento]&lt;='n&amp;cn'!$C$2)
))</f>
        <v/>
      </c>
      <c r="BE83" s="267"/>
      <c r="BF83" s="290" t="str" cm="1">
        <f t="array" ref="BF83">IF(BG83="",
"",
SUMPRODUCT(
tb_desp[valor]*
(tb_desp[centro.negocio]=BG$2)*
(tb_desp[nucleo]=BG83)*
(tb_desp[data.pagamento]&gt;='n&amp;cn'!$C$1)*
(tb_desp[data.pagamento]&lt;='n&amp;cn'!$C$2)
))</f>
        <v/>
      </c>
      <c r="BG83" s="267"/>
      <c r="BH83" s="290" t="str" cm="1">
        <f t="array" ref="BH83">IF(BI83="",
"",
SUMPRODUCT(
tb_desp[valor]*
(tb_desp[centro.negocio]=BI$2)*
(tb_desp[nucleo]=BI83)*
(tb_desp[data.pagamento]&gt;='n&amp;cn'!$C$1)*
(tb_desp[data.pagamento]&lt;='n&amp;cn'!$C$2)
))</f>
        <v/>
      </c>
      <c r="BI83" s="267"/>
      <c r="BJ83" s="290" t="str" cm="1">
        <f t="array" ref="BJ83">IF(BK83="",
"",
SUMPRODUCT(
tb_desp[valor]*
(tb_desp[centro.negocio]=BK$2)*
(tb_desp[nucleo]=BK83)*
(tb_desp[data.pagamento]&gt;='n&amp;cn'!$C$1)*
(tb_desp[data.pagamento]&lt;='n&amp;cn'!$C$2)
))</f>
        <v/>
      </c>
      <c r="BK83" s="267"/>
      <c r="BL83" s="290" t="str" cm="1">
        <f t="array" ref="BL83">IF(BM83="",
"",
SUMPRODUCT(
tb_desp[valor]*
(tb_desp[centro.negocio]=BM$2)*
(tb_desp[nucleo]=BM83)*
(tb_desp[data.pagamento]&gt;='n&amp;cn'!$C$1)*
(tb_desp[data.pagamento]&lt;='n&amp;cn'!$C$2)
))</f>
        <v/>
      </c>
      <c r="BM83" s="267"/>
      <c r="BN83" s="290" t="str" cm="1">
        <f t="array" ref="BN83">IF(BO83="",
"",
SUMPRODUCT(
tb_desp[valor]*
(tb_desp[centro.negocio]=BO$2)*
(tb_desp[nucleo]=BO83)*
(tb_desp[data.pagamento]&gt;='n&amp;cn'!$C$1)*
(tb_desp[data.pagamento]&lt;='n&amp;cn'!$C$2)
))</f>
        <v/>
      </c>
      <c r="BO83" s="267"/>
    </row>
    <row r="84" spans="8:67" x14ac:dyDescent="0.25">
      <c r="H84" s="168"/>
      <c r="I84" s="163">
        <f t="shared" si="6"/>
        <v>77</v>
      </c>
      <c r="K84" s="164"/>
      <c r="L84" s="167" t="e">
        <f t="shared" si="5"/>
        <v>#DIV/0!</v>
      </c>
      <c r="M84" s="167" t="e">
        <f>SUM($L$8:$L84)</f>
        <v>#DIV/0!</v>
      </c>
      <c r="R84" s="290" t="str" cm="1">
        <f t="array" ref="R84">IF(S84="",
"",
SUMPRODUCT(
tb_desp[valor]*
(tb_desp[centro.negocio]=S$2)*
(tb_desp[nucleo]=S84)*
(tb_desp[data.pagamento]&gt;='n&amp;cn'!$C$1)*
(tb_desp[data.pagamento]&lt;='n&amp;cn'!$C$2)
))</f>
        <v/>
      </c>
      <c r="S84" s="267"/>
      <c r="T84" s="290" t="str" cm="1">
        <f t="array" ref="T84">IF(U84="",
"",
SUMPRODUCT(
tb_desp[valor]*
(tb_desp[centro.negocio]=U$2)*
(tb_desp[nucleo]=U84)*
(tb_desp[data.pagamento]&gt;='n&amp;cn'!$C$1)*
(tb_desp[data.pagamento]&lt;='n&amp;cn'!$C$2)
))</f>
        <v/>
      </c>
      <c r="U84" s="267"/>
      <c r="V84" s="290" t="str" cm="1">
        <f t="array" ref="V84">IF(W84="",
"",
SUMPRODUCT(
tb_desp[valor]*
(tb_desp[centro.negocio]=W$2)*
(tb_desp[nucleo]=W84)*
(tb_desp[data.pagamento]&gt;='n&amp;cn'!$C$1)*
(tb_desp[data.pagamento]&lt;='n&amp;cn'!$C$2)
))</f>
        <v/>
      </c>
      <c r="W84" s="267"/>
      <c r="X84" s="290" t="str" cm="1">
        <f t="array" ref="X84">IF(Y84="",
"",
SUMPRODUCT(
tb_desp[valor]*
(tb_desp[centro.negocio]=Y$2)*
(tb_desp[nucleo]=Y84)*
(tb_desp[data.pagamento]&gt;='n&amp;cn'!$C$1)*
(tb_desp[data.pagamento]&lt;='n&amp;cn'!$C$2)
))</f>
        <v/>
      </c>
      <c r="Y84" s="267"/>
      <c r="Z84" s="290" t="str" cm="1">
        <f t="array" ref="Z84">IF(AA84="",
"",
SUMPRODUCT(
tb_desp[valor]*
(tb_desp[centro.negocio]=AA$2)*
(tb_desp[nucleo]=AA84)*
(tb_desp[data.pagamento]&gt;='n&amp;cn'!$C$1)*
(tb_desp[data.pagamento]&lt;='n&amp;cn'!$C$2)
))</f>
        <v/>
      </c>
      <c r="AA84" s="267"/>
      <c r="AB84" s="290" t="str" cm="1">
        <f t="array" ref="AB84">IF(AC84="",
"",
SUMPRODUCT(
tb_desp[valor]*
(tb_desp[centro.negocio]=AC$2)*
(tb_desp[nucleo]=AC84)*
(tb_desp[data.pagamento]&gt;='n&amp;cn'!$C$1)*
(tb_desp[data.pagamento]&lt;='n&amp;cn'!$C$2)
))</f>
        <v/>
      </c>
      <c r="AC84" s="267"/>
      <c r="AD84" s="290" t="str" cm="1">
        <f t="array" ref="AD84">IF(AE84="",
"",
SUMPRODUCT(
tb_desp[valor]*
(tb_desp[centro.negocio]=AE$2)*
(tb_desp[nucleo]=AE84)*
(tb_desp[data.pagamento]&gt;='n&amp;cn'!$C$1)*
(tb_desp[data.pagamento]&lt;='n&amp;cn'!$C$2)
))</f>
        <v/>
      </c>
      <c r="AE84" s="267"/>
      <c r="AF84" s="290" t="str" cm="1">
        <f t="array" ref="AF84">IF(AG84="",
"",
SUMPRODUCT(
tb_desp[valor]*
(tb_desp[centro.negocio]=AG$2)*
(tb_desp[nucleo]=AG84)*
(tb_desp[data.pagamento]&gt;='n&amp;cn'!$C$1)*
(tb_desp[data.pagamento]&lt;='n&amp;cn'!$C$2)
))</f>
        <v/>
      </c>
      <c r="AG84" s="267"/>
      <c r="AH84" s="290" t="str" cm="1">
        <f t="array" ref="AH84">IF(AI84="",
"",
SUMPRODUCT(
tb_desp[valor]*
(tb_desp[centro.negocio]=AI$2)*
(tb_desp[nucleo]=AI84)*
(tb_desp[data.pagamento]&gt;='n&amp;cn'!$C$1)*
(tb_desp[data.pagamento]&lt;='n&amp;cn'!$C$2)
))</f>
        <v/>
      </c>
      <c r="AI84" s="267"/>
      <c r="AJ84" s="290" t="str" cm="1">
        <f t="array" ref="AJ84">IF(AK84="",
"",
SUMPRODUCT(
tb_desp[valor]*
(tb_desp[centro.negocio]=AK$2)*
(tb_desp[nucleo]=AK84)*
(tb_desp[data.pagamento]&gt;='n&amp;cn'!$C$1)*
(tb_desp[data.pagamento]&lt;='n&amp;cn'!$C$2)
))</f>
        <v/>
      </c>
      <c r="AK84" s="267"/>
      <c r="AL84" s="290" t="str" cm="1">
        <f t="array" ref="AL84">IF(AM84="",
"",
SUMPRODUCT(
tb_desp[valor]*
(tb_desp[centro.negocio]=AM$2)*
(tb_desp[nucleo]=AM84)*
(tb_desp[data.pagamento]&gt;='n&amp;cn'!$C$1)*
(tb_desp[data.pagamento]&lt;='n&amp;cn'!$C$2)
))</f>
        <v/>
      </c>
      <c r="AM84" s="267"/>
      <c r="AN84" s="290" t="str" cm="1">
        <f t="array" ref="AN84">IF(AO84="",
"",
SUMPRODUCT(
tb_desp[valor]*
(tb_desp[centro.negocio]=AO$2)*
(tb_desp[nucleo]=AO84)*
(tb_desp[data.pagamento]&gt;='n&amp;cn'!$C$1)*
(tb_desp[data.pagamento]&lt;='n&amp;cn'!$C$2)
))</f>
        <v/>
      </c>
      <c r="AO84" s="267"/>
      <c r="AP84" s="290" t="str" cm="1">
        <f t="array" ref="AP84">IF(AQ84="",
"",
SUMPRODUCT(
tb_desp[valor]*
(tb_desp[centro.negocio]=AQ$2)*
(tb_desp[nucleo]=AQ84)*
(tb_desp[data.pagamento]&gt;='n&amp;cn'!$C$1)*
(tb_desp[data.pagamento]&lt;='n&amp;cn'!$C$2)
))</f>
        <v/>
      </c>
      <c r="AQ84" s="267"/>
      <c r="AR84" s="290" t="str" cm="1">
        <f t="array" ref="AR84">IF(AS84="",
"",
SUMPRODUCT(
tb_desp[valor]*
(tb_desp[centro.negocio]=AS$2)*
(tb_desp[nucleo]=AS84)*
(tb_desp[data.pagamento]&gt;='n&amp;cn'!$C$1)*
(tb_desp[data.pagamento]&lt;='n&amp;cn'!$C$2)
))</f>
        <v/>
      </c>
      <c r="AS84" s="267"/>
      <c r="AT84" s="290" t="str" cm="1">
        <f t="array" ref="AT84">IF(AU84="",
"",
SUMPRODUCT(
tb_desp[valor]*
(tb_desp[centro.negocio]=AU$2)*
(tb_desp[nucleo]=AU84)*
(tb_desp[data.pagamento]&gt;='n&amp;cn'!$C$1)*
(tb_desp[data.pagamento]&lt;='n&amp;cn'!$C$2)
))</f>
        <v/>
      </c>
      <c r="AU84" s="267"/>
      <c r="AV84" s="290" t="str" cm="1">
        <f t="array" ref="AV84">IF(AW84="",
"",
SUMPRODUCT(
tb_desp[valor]*
(tb_desp[centro.negocio]=AW$2)*
(tb_desp[nucleo]=AW84)*
(tb_desp[data.pagamento]&gt;='n&amp;cn'!$C$1)*
(tb_desp[data.pagamento]&lt;='n&amp;cn'!$C$2)
))</f>
        <v/>
      </c>
      <c r="AW84" s="267"/>
      <c r="AX84" s="290" t="str" cm="1">
        <f t="array" ref="AX84">IF(AY84="",
"",
SUMPRODUCT(
tb_desp[valor]*
(tb_desp[centro.negocio]=AY$2)*
(tb_desp[nucleo]=AY84)*
(tb_desp[data.pagamento]&gt;='n&amp;cn'!$C$1)*
(tb_desp[data.pagamento]&lt;='n&amp;cn'!$C$2)
))</f>
        <v/>
      </c>
      <c r="AY84" s="267"/>
      <c r="AZ84" s="290" t="str" cm="1">
        <f t="array" ref="AZ84">IF(BA84="",
"",
SUMPRODUCT(
tb_desp[valor]*
(tb_desp[centro.negocio]=BA$2)*
(tb_desp[nucleo]=BA84)*
(tb_desp[data.pagamento]&gt;='n&amp;cn'!$C$1)*
(tb_desp[data.pagamento]&lt;='n&amp;cn'!$C$2)
))</f>
        <v/>
      </c>
      <c r="BA84" s="267"/>
      <c r="BB84" s="290" t="str" cm="1">
        <f t="array" ref="BB84">IF(BC84="",
"",
SUMPRODUCT(
tb_desp[valor]*
(tb_desp[centro.negocio]=BC$2)*
(tb_desp[nucleo]=BC84)*
(tb_desp[data.pagamento]&gt;='n&amp;cn'!$C$1)*
(tb_desp[data.pagamento]&lt;='n&amp;cn'!$C$2)
))</f>
        <v/>
      </c>
      <c r="BC84" s="267"/>
      <c r="BD84" s="290" t="str" cm="1">
        <f t="array" ref="BD84">IF(BE84="",
"",
SUMPRODUCT(
tb_desp[valor]*
(tb_desp[centro.negocio]=BE$2)*
(tb_desp[nucleo]=BE84)*
(tb_desp[data.pagamento]&gt;='n&amp;cn'!$C$1)*
(tb_desp[data.pagamento]&lt;='n&amp;cn'!$C$2)
))</f>
        <v/>
      </c>
      <c r="BE84" s="267"/>
      <c r="BF84" s="290" t="str" cm="1">
        <f t="array" ref="BF84">IF(BG84="",
"",
SUMPRODUCT(
tb_desp[valor]*
(tb_desp[centro.negocio]=BG$2)*
(tb_desp[nucleo]=BG84)*
(tb_desp[data.pagamento]&gt;='n&amp;cn'!$C$1)*
(tb_desp[data.pagamento]&lt;='n&amp;cn'!$C$2)
))</f>
        <v/>
      </c>
      <c r="BG84" s="267"/>
      <c r="BH84" s="290" t="str" cm="1">
        <f t="array" ref="BH84">IF(BI84="",
"",
SUMPRODUCT(
tb_desp[valor]*
(tb_desp[centro.negocio]=BI$2)*
(tb_desp[nucleo]=BI84)*
(tb_desp[data.pagamento]&gt;='n&amp;cn'!$C$1)*
(tb_desp[data.pagamento]&lt;='n&amp;cn'!$C$2)
))</f>
        <v/>
      </c>
      <c r="BI84" s="267"/>
      <c r="BJ84" s="290" t="str" cm="1">
        <f t="array" ref="BJ84">IF(BK84="",
"",
SUMPRODUCT(
tb_desp[valor]*
(tb_desp[centro.negocio]=BK$2)*
(tb_desp[nucleo]=BK84)*
(tb_desp[data.pagamento]&gt;='n&amp;cn'!$C$1)*
(tb_desp[data.pagamento]&lt;='n&amp;cn'!$C$2)
))</f>
        <v/>
      </c>
      <c r="BK84" s="267"/>
      <c r="BL84" s="290" t="str" cm="1">
        <f t="array" ref="BL84">IF(BM84="",
"",
SUMPRODUCT(
tb_desp[valor]*
(tb_desp[centro.negocio]=BM$2)*
(tb_desp[nucleo]=BM84)*
(tb_desp[data.pagamento]&gt;='n&amp;cn'!$C$1)*
(tb_desp[data.pagamento]&lt;='n&amp;cn'!$C$2)
))</f>
        <v/>
      </c>
      <c r="BM84" s="267"/>
      <c r="BN84" s="290" t="str" cm="1">
        <f t="array" ref="BN84">IF(BO84="",
"",
SUMPRODUCT(
tb_desp[valor]*
(tb_desp[centro.negocio]=BO$2)*
(tb_desp[nucleo]=BO84)*
(tb_desp[data.pagamento]&gt;='n&amp;cn'!$C$1)*
(tb_desp[data.pagamento]&lt;='n&amp;cn'!$C$2)
))</f>
        <v/>
      </c>
      <c r="BO84" s="267"/>
    </row>
    <row r="85" spans="8:67" x14ac:dyDescent="0.25">
      <c r="H85" s="168"/>
      <c r="I85" s="163">
        <f t="shared" si="6"/>
        <v>78</v>
      </c>
      <c r="K85" s="164"/>
      <c r="L85" s="167" t="e">
        <f t="shared" si="5"/>
        <v>#DIV/0!</v>
      </c>
      <c r="M85" s="167" t="e">
        <f>SUM($L$8:$L85)</f>
        <v>#DIV/0!</v>
      </c>
      <c r="R85" s="290" t="str" cm="1">
        <f t="array" ref="R85">IF(S85="",
"",
SUMPRODUCT(
tb_desp[valor]*
(tb_desp[centro.negocio]=S$2)*
(tb_desp[nucleo]=S85)*
(tb_desp[data.pagamento]&gt;='n&amp;cn'!$C$1)*
(tb_desp[data.pagamento]&lt;='n&amp;cn'!$C$2)
))</f>
        <v/>
      </c>
      <c r="S85" s="267"/>
      <c r="T85" s="290" t="str" cm="1">
        <f t="array" ref="T85">IF(U85="",
"",
SUMPRODUCT(
tb_desp[valor]*
(tb_desp[centro.negocio]=U$2)*
(tb_desp[nucleo]=U85)*
(tb_desp[data.pagamento]&gt;='n&amp;cn'!$C$1)*
(tb_desp[data.pagamento]&lt;='n&amp;cn'!$C$2)
))</f>
        <v/>
      </c>
      <c r="U85" s="267"/>
      <c r="V85" s="290" t="str" cm="1">
        <f t="array" ref="V85">IF(W85="",
"",
SUMPRODUCT(
tb_desp[valor]*
(tb_desp[centro.negocio]=W$2)*
(tb_desp[nucleo]=W85)*
(tb_desp[data.pagamento]&gt;='n&amp;cn'!$C$1)*
(tb_desp[data.pagamento]&lt;='n&amp;cn'!$C$2)
))</f>
        <v/>
      </c>
      <c r="W85" s="267"/>
      <c r="X85" s="290" t="str" cm="1">
        <f t="array" ref="X85">IF(Y85="",
"",
SUMPRODUCT(
tb_desp[valor]*
(tb_desp[centro.negocio]=Y$2)*
(tb_desp[nucleo]=Y85)*
(tb_desp[data.pagamento]&gt;='n&amp;cn'!$C$1)*
(tb_desp[data.pagamento]&lt;='n&amp;cn'!$C$2)
))</f>
        <v/>
      </c>
      <c r="Y85" s="267"/>
      <c r="Z85" s="290" t="str" cm="1">
        <f t="array" ref="Z85">IF(AA85="",
"",
SUMPRODUCT(
tb_desp[valor]*
(tb_desp[centro.negocio]=AA$2)*
(tb_desp[nucleo]=AA85)*
(tb_desp[data.pagamento]&gt;='n&amp;cn'!$C$1)*
(tb_desp[data.pagamento]&lt;='n&amp;cn'!$C$2)
))</f>
        <v/>
      </c>
      <c r="AA85" s="267"/>
      <c r="AB85" s="290" t="str" cm="1">
        <f t="array" ref="AB85">IF(AC85="",
"",
SUMPRODUCT(
tb_desp[valor]*
(tb_desp[centro.negocio]=AC$2)*
(tb_desp[nucleo]=AC85)*
(tb_desp[data.pagamento]&gt;='n&amp;cn'!$C$1)*
(tb_desp[data.pagamento]&lt;='n&amp;cn'!$C$2)
))</f>
        <v/>
      </c>
      <c r="AC85" s="267"/>
      <c r="AD85" s="290" t="str" cm="1">
        <f t="array" ref="AD85">IF(AE85="",
"",
SUMPRODUCT(
tb_desp[valor]*
(tb_desp[centro.negocio]=AE$2)*
(tb_desp[nucleo]=AE85)*
(tb_desp[data.pagamento]&gt;='n&amp;cn'!$C$1)*
(tb_desp[data.pagamento]&lt;='n&amp;cn'!$C$2)
))</f>
        <v/>
      </c>
      <c r="AE85" s="267"/>
      <c r="AF85" s="290" t="str" cm="1">
        <f t="array" ref="AF85">IF(AG85="",
"",
SUMPRODUCT(
tb_desp[valor]*
(tb_desp[centro.negocio]=AG$2)*
(tb_desp[nucleo]=AG85)*
(tb_desp[data.pagamento]&gt;='n&amp;cn'!$C$1)*
(tb_desp[data.pagamento]&lt;='n&amp;cn'!$C$2)
))</f>
        <v/>
      </c>
      <c r="AG85" s="267"/>
      <c r="AH85" s="290" t="str" cm="1">
        <f t="array" ref="AH85">IF(AI85="",
"",
SUMPRODUCT(
tb_desp[valor]*
(tb_desp[centro.negocio]=AI$2)*
(tb_desp[nucleo]=AI85)*
(tb_desp[data.pagamento]&gt;='n&amp;cn'!$C$1)*
(tb_desp[data.pagamento]&lt;='n&amp;cn'!$C$2)
))</f>
        <v/>
      </c>
      <c r="AI85" s="267"/>
      <c r="AJ85" s="290" t="str" cm="1">
        <f t="array" ref="AJ85">IF(AK85="",
"",
SUMPRODUCT(
tb_desp[valor]*
(tb_desp[centro.negocio]=AK$2)*
(tb_desp[nucleo]=AK85)*
(tb_desp[data.pagamento]&gt;='n&amp;cn'!$C$1)*
(tb_desp[data.pagamento]&lt;='n&amp;cn'!$C$2)
))</f>
        <v/>
      </c>
      <c r="AK85" s="267"/>
      <c r="AL85" s="290" t="str" cm="1">
        <f t="array" ref="AL85">IF(AM85="",
"",
SUMPRODUCT(
tb_desp[valor]*
(tb_desp[centro.negocio]=AM$2)*
(tb_desp[nucleo]=AM85)*
(tb_desp[data.pagamento]&gt;='n&amp;cn'!$C$1)*
(tb_desp[data.pagamento]&lt;='n&amp;cn'!$C$2)
))</f>
        <v/>
      </c>
      <c r="AM85" s="267"/>
      <c r="AN85" s="290" t="str" cm="1">
        <f t="array" ref="AN85">IF(AO85="",
"",
SUMPRODUCT(
tb_desp[valor]*
(tb_desp[centro.negocio]=AO$2)*
(tb_desp[nucleo]=AO85)*
(tb_desp[data.pagamento]&gt;='n&amp;cn'!$C$1)*
(tb_desp[data.pagamento]&lt;='n&amp;cn'!$C$2)
))</f>
        <v/>
      </c>
      <c r="AO85" s="267"/>
      <c r="AP85" s="290" t="str" cm="1">
        <f t="array" ref="AP85">IF(AQ85="",
"",
SUMPRODUCT(
tb_desp[valor]*
(tb_desp[centro.negocio]=AQ$2)*
(tb_desp[nucleo]=AQ85)*
(tb_desp[data.pagamento]&gt;='n&amp;cn'!$C$1)*
(tb_desp[data.pagamento]&lt;='n&amp;cn'!$C$2)
))</f>
        <v/>
      </c>
      <c r="AQ85" s="267"/>
      <c r="AR85" s="290" t="str" cm="1">
        <f t="array" ref="AR85">IF(AS85="",
"",
SUMPRODUCT(
tb_desp[valor]*
(tb_desp[centro.negocio]=AS$2)*
(tb_desp[nucleo]=AS85)*
(tb_desp[data.pagamento]&gt;='n&amp;cn'!$C$1)*
(tb_desp[data.pagamento]&lt;='n&amp;cn'!$C$2)
))</f>
        <v/>
      </c>
      <c r="AS85" s="267"/>
      <c r="AT85" s="290" t="str" cm="1">
        <f t="array" ref="AT85">IF(AU85="",
"",
SUMPRODUCT(
tb_desp[valor]*
(tb_desp[centro.negocio]=AU$2)*
(tb_desp[nucleo]=AU85)*
(tb_desp[data.pagamento]&gt;='n&amp;cn'!$C$1)*
(tb_desp[data.pagamento]&lt;='n&amp;cn'!$C$2)
))</f>
        <v/>
      </c>
      <c r="AU85" s="267"/>
      <c r="AV85" s="290" t="str" cm="1">
        <f t="array" ref="AV85">IF(AW85="",
"",
SUMPRODUCT(
tb_desp[valor]*
(tb_desp[centro.negocio]=AW$2)*
(tb_desp[nucleo]=AW85)*
(tb_desp[data.pagamento]&gt;='n&amp;cn'!$C$1)*
(tb_desp[data.pagamento]&lt;='n&amp;cn'!$C$2)
))</f>
        <v/>
      </c>
      <c r="AW85" s="267"/>
      <c r="AX85" s="290" t="str" cm="1">
        <f t="array" ref="AX85">IF(AY85="",
"",
SUMPRODUCT(
tb_desp[valor]*
(tb_desp[centro.negocio]=AY$2)*
(tb_desp[nucleo]=AY85)*
(tb_desp[data.pagamento]&gt;='n&amp;cn'!$C$1)*
(tb_desp[data.pagamento]&lt;='n&amp;cn'!$C$2)
))</f>
        <v/>
      </c>
      <c r="AY85" s="267"/>
      <c r="AZ85" s="290" t="str" cm="1">
        <f t="array" ref="AZ85">IF(BA85="",
"",
SUMPRODUCT(
tb_desp[valor]*
(tb_desp[centro.negocio]=BA$2)*
(tb_desp[nucleo]=BA85)*
(tb_desp[data.pagamento]&gt;='n&amp;cn'!$C$1)*
(tb_desp[data.pagamento]&lt;='n&amp;cn'!$C$2)
))</f>
        <v/>
      </c>
      <c r="BA85" s="267"/>
      <c r="BB85" s="290" t="str" cm="1">
        <f t="array" ref="BB85">IF(BC85="",
"",
SUMPRODUCT(
tb_desp[valor]*
(tb_desp[centro.negocio]=BC$2)*
(tb_desp[nucleo]=BC85)*
(tb_desp[data.pagamento]&gt;='n&amp;cn'!$C$1)*
(tb_desp[data.pagamento]&lt;='n&amp;cn'!$C$2)
))</f>
        <v/>
      </c>
      <c r="BC85" s="267"/>
      <c r="BD85" s="290" t="str" cm="1">
        <f t="array" ref="BD85">IF(BE85="",
"",
SUMPRODUCT(
tb_desp[valor]*
(tb_desp[centro.negocio]=BE$2)*
(tb_desp[nucleo]=BE85)*
(tb_desp[data.pagamento]&gt;='n&amp;cn'!$C$1)*
(tb_desp[data.pagamento]&lt;='n&amp;cn'!$C$2)
))</f>
        <v/>
      </c>
      <c r="BE85" s="267"/>
      <c r="BF85" s="290" t="str" cm="1">
        <f t="array" ref="BF85">IF(BG85="",
"",
SUMPRODUCT(
tb_desp[valor]*
(tb_desp[centro.negocio]=BG$2)*
(tb_desp[nucleo]=BG85)*
(tb_desp[data.pagamento]&gt;='n&amp;cn'!$C$1)*
(tb_desp[data.pagamento]&lt;='n&amp;cn'!$C$2)
))</f>
        <v/>
      </c>
      <c r="BG85" s="267"/>
      <c r="BH85" s="290" t="str" cm="1">
        <f t="array" ref="BH85">IF(BI85="",
"",
SUMPRODUCT(
tb_desp[valor]*
(tb_desp[centro.negocio]=BI$2)*
(tb_desp[nucleo]=BI85)*
(tb_desp[data.pagamento]&gt;='n&amp;cn'!$C$1)*
(tb_desp[data.pagamento]&lt;='n&amp;cn'!$C$2)
))</f>
        <v/>
      </c>
      <c r="BI85" s="267"/>
      <c r="BJ85" s="290" t="str" cm="1">
        <f t="array" ref="BJ85">IF(BK85="",
"",
SUMPRODUCT(
tb_desp[valor]*
(tb_desp[centro.negocio]=BK$2)*
(tb_desp[nucleo]=BK85)*
(tb_desp[data.pagamento]&gt;='n&amp;cn'!$C$1)*
(tb_desp[data.pagamento]&lt;='n&amp;cn'!$C$2)
))</f>
        <v/>
      </c>
      <c r="BK85" s="267"/>
      <c r="BL85" s="290" t="str" cm="1">
        <f t="array" ref="BL85">IF(BM85="",
"",
SUMPRODUCT(
tb_desp[valor]*
(tb_desp[centro.negocio]=BM$2)*
(tb_desp[nucleo]=BM85)*
(tb_desp[data.pagamento]&gt;='n&amp;cn'!$C$1)*
(tb_desp[data.pagamento]&lt;='n&amp;cn'!$C$2)
))</f>
        <v/>
      </c>
      <c r="BM85" s="267"/>
      <c r="BN85" s="290" t="str" cm="1">
        <f t="array" ref="BN85">IF(BO85="",
"",
SUMPRODUCT(
tb_desp[valor]*
(tb_desp[centro.negocio]=BO$2)*
(tb_desp[nucleo]=BO85)*
(tb_desp[data.pagamento]&gt;='n&amp;cn'!$C$1)*
(tb_desp[data.pagamento]&lt;='n&amp;cn'!$C$2)
))</f>
        <v/>
      </c>
      <c r="BO85" s="267"/>
    </row>
    <row r="86" spans="8:67" x14ac:dyDescent="0.25">
      <c r="H86" s="168"/>
      <c r="I86" s="163">
        <f t="shared" si="6"/>
        <v>79</v>
      </c>
      <c r="K86" s="164"/>
      <c r="L86" s="167" t="e">
        <f t="shared" si="5"/>
        <v>#DIV/0!</v>
      </c>
      <c r="M86" s="167" t="e">
        <f>SUM($L$8:$L86)</f>
        <v>#DIV/0!</v>
      </c>
      <c r="R86" s="290" t="str" cm="1">
        <f t="array" ref="R86">IF(S86="",
"",
SUMPRODUCT(
tb_desp[valor]*
(tb_desp[centro.negocio]=S$2)*
(tb_desp[nucleo]=S86)*
(tb_desp[data.pagamento]&gt;='n&amp;cn'!$C$1)*
(tb_desp[data.pagamento]&lt;='n&amp;cn'!$C$2)
))</f>
        <v/>
      </c>
      <c r="S86" s="267"/>
      <c r="T86" s="290" t="str" cm="1">
        <f t="array" ref="T86">IF(U86="",
"",
SUMPRODUCT(
tb_desp[valor]*
(tb_desp[centro.negocio]=U$2)*
(tb_desp[nucleo]=U86)*
(tb_desp[data.pagamento]&gt;='n&amp;cn'!$C$1)*
(tb_desp[data.pagamento]&lt;='n&amp;cn'!$C$2)
))</f>
        <v/>
      </c>
      <c r="U86" s="267"/>
      <c r="V86" s="290" t="str" cm="1">
        <f t="array" ref="V86">IF(W86="",
"",
SUMPRODUCT(
tb_desp[valor]*
(tb_desp[centro.negocio]=W$2)*
(tb_desp[nucleo]=W86)*
(tb_desp[data.pagamento]&gt;='n&amp;cn'!$C$1)*
(tb_desp[data.pagamento]&lt;='n&amp;cn'!$C$2)
))</f>
        <v/>
      </c>
      <c r="W86" s="267"/>
      <c r="X86" s="290" t="str" cm="1">
        <f t="array" ref="X86">IF(Y86="",
"",
SUMPRODUCT(
tb_desp[valor]*
(tb_desp[centro.negocio]=Y$2)*
(tb_desp[nucleo]=Y86)*
(tb_desp[data.pagamento]&gt;='n&amp;cn'!$C$1)*
(tb_desp[data.pagamento]&lt;='n&amp;cn'!$C$2)
))</f>
        <v/>
      </c>
      <c r="Y86" s="267"/>
      <c r="Z86" s="290" t="str" cm="1">
        <f t="array" ref="Z86">IF(AA86="",
"",
SUMPRODUCT(
tb_desp[valor]*
(tb_desp[centro.negocio]=AA$2)*
(tb_desp[nucleo]=AA86)*
(tb_desp[data.pagamento]&gt;='n&amp;cn'!$C$1)*
(tb_desp[data.pagamento]&lt;='n&amp;cn'!$C$2)
))</f>
        <v/>
      </c>
      <c r="AA86" s="267"/>
      <c r="AB86" s="290" t="str" cm="1">
        <f t="array" ref="AB86">IF(AC86="",
"",
SUMPRODUCT(
tb_desp[valor]*
(tb_desp[centro.negocio]=AC$2)*
(tb_desp[nucleo]=AC86)*
(tb_desp[data.pagamento]&gt;='n&amp;cn'!$C$1)*
(tb_desp[data.pagamento]&lt;='n&amp;cn'!$C$2)
))</f>
        <v/>
      </c>
      <c r="AC86" s="267"/>
      <c r="AD86" s="290" t="str" cm="1">
        <f t="array" ref="AD86">IF(AE86="",
"",
SUMPRODUCT(
tb_desp[valor]*
(tb_desp[centro.negocio]=AE$2)*
(tb_desp[nucleo]=AE86)*
(tb_desp[data.pagamento]&gt;='n&amp;cn'!$C$1)*
(tb_desp[data.pagamento]&lt;='n&amp;cn'!$C$2)
))</f>
        <v/>
      </c>
      <c r="AE86" s="267"/>
      <c r="AF86" s="290" t="str" cm="1">
        <f t="array" ref="AF86">IF(AG86="",
"",
SUMPRODUCT(
tb_desp[valor]*
(tb_desp[centro.negocio]=AG$2)*
(tb_desp[nucleo]=AG86)*
(tb_desp[data.pagamento]&gt;='n&amp;cn'!$C$1)*
(tb_desp[data.pagamento]&lt;='n&amp;cn'!$C$2)
))</f>
        <v/>
      </c>
      <c r="AG86" s="267"/>
      <c r="AH86" s="290" t="str" cm="1">
        <f t="array" ref="AH86">IF(AI86="",
"",
SUMPRODUCT(
tb_desp[valor]*
(tb_desp[centro.negocio]=AI$2)*
(tb_desp[nucleo]=AI86)*
(tb_desp[data.pagamento]&gt;='n&amp;cn'!$C$1)*
(tb_desp[data.pagamento]&lt;='n&amp;cn'!$C$2)
))</f>
        <v/>
      </c>
      <c r="AI86" s="267"/>
      <c r="AJ86" s="290" t="str" cm="1">
        <f t="array" ref="AJ86">IF(AK86="",
"",
SUMPRODUCT(
tb_desp[valor]*
(tb_desp[centro.negocio]=AK$2)*
(tb_desp[nucleo]=AK86)*
(tb_desp[data.pagamento]&gt;='n&amp;cn'!$C$1)*
(tb_desp[data.pagamento]&lt;='n&amp;cn'!$C$2)
))</f>
        <v/>
      </c>
      <c r="AK86" s="267"/>
      <c r="AL86" s="290" t="str" cm="1">
        <f t="array" ref="AL86">IF(AM86="",
"",
SUMPRODUCT(
tb_desp[valor]*
(tb_desp[centro.negocio]=AM$2)*
(tb_desp[nucleo]=AM86)*
(tb_desp[data.pagamento]&gt;='n&amp;cn'!$C$1)*
(tb_desp[data.pagamento]&lt;='n&amp;cn'!$C$2)
))</f>
        <v/>
      </c>
      <c r="AM86" s="267"/>
      <c r="AN86" s="290" t="str" cm="1">
        <f t="array" ref="AN86">IF(AO86="",
"",
SUMPRODUCT(
tb_desp[valor]*
(tb_desp[centro.negocio]=AO$2)*
(tb_desp[nucleo]=AO86)*
(tb_desp[data.pagamento]&gt;='n&amp;cn'!$C$1)*
(tb_desp[data.pagamento]&lt;='n&amp;cn'!$C$2)
))</f>
        <v/>
      </c>
      <c r="AO86" s="267"/>
      <c r="AP86" s="290" t="str" cm="1">
        <f t="array" ref="AP86">IF(AQ86="",
"",
SUMPRODUCT(
tb_desp[valor]*
(tb_desp[centro.negocio]=AQ$2)*
(tb_desp[nucleo]=AQ86)*
(tb_desp[data.pagamento]&gt;='n&amp;cn'!$C$1)*
(tb_desp[data.pagamento]&lt;='n&amp;cn'!$C$2)
))</f>
        <v/>
      </c>
      <c r="AQ86" s="267"/>
      <c r="AR86" s="290" t="str" cm="1">
        <f t="array" ref="AR86">IF(AS86="",
"",
SUMPRODUCT(
tb_desp[valor]*
(tb_desp[centro.negocio]=AS$2)*
(tb_desp[nucleo]=AS86)*
(tb_desp[data.pagamento]&gt;='n&amp;cn'!$C$1)*
(tb_desp[data.pagamento]&lt;='n&amp;cn'!$C$2)
))</f>
        <v/>
      </c>
      <c r="AS86" s="267"/>
      <c r="AT86" s="290" t="str" cm="1">
        <f t="array" ref="AT86">IF(AU86="",
"",
SUMPRODUCT(
tb_desp[valor]*
(tb_desp[centro.negocio]=AU$2)*
(tb_desp[nucleo]=AU86)*
(tb_desp[data.pagamento]&gt;='n&amp;cn'!$C$1)*
(tb_desp[data.pagamento]&lt;='n&amp;cn'!$C$2)
))</f>
        <v/>
      </c>
      <c r="AU86" s="267"/>
      <c r="AV86" s="290" t="str" cm="1">
        <f t="array" ref="AV86">IF(AW86="",
"",
SUMPRODUCT(
tb_desp[valor]*
(tb_desp[centro.negocio]=AW$2)*
(tb_desp[nucleo]=AW86)*
(tb_desp[data.pagamento]&gt;='n&amp;cn'!$C$1)*
(tb_desp[data.pagamento]&lt;='n&amp;cn'!$C$2)
))</f>
        <v/>
      </c>
      <c r="AW86" s="267"/>
      <c r="AX86" s="290" t="str" cm="1">
        <f t="array" ref="AX86">IF(AY86="",
"",
SUMPRODUCT(
tb_desp[valor]*
(tb_desp[centro.negocio]=AY$2)*
(tb_desp[nucleo]=AY86)*
(tb_desp[data.pagamento]&gt;='n&amp;cn'!$C$1)*
(tb_desp[data.pagamento]&lt;='n&amp;cn'!$C$2)
))</f>
        <v/>
      </c>
      <c r="AY86" s="267"/>
      <c r="AZ86" s="290" t="str" cm="1">
        <f t="array" ref="AZ86">IF(BA86="",
"",
SUMPRODUCT(
tb_desp[valor]*
(tb_desp[centro.negocio]=BA$2)*
(tb_desp[nucleo]=BA86)*
(tb_desp[data.pagamento]&gt;='n&amp;cn'!$C$1)*
(tb_desp[data.pagamento]&lt;='n&amp;cn'!$C$2)
))</f>
        <v/>
      </c>
      <c r="BA86" s="267"/>
      <c r="BB86" s="290" t="str" cm="1">
        <f t="array" ref="BB86">IF(BC86="",
"",
SUMPRODUCT(
tb_desp[valor]*
(tb_desp[centro.negocio]=BC$2)*
(tb_desp[nucleo]=BC86)*
(tb_desp[data.pagamento]&gt;='n&amp;cn'!$C$1)*
(tb_desp[data.pagamento]&lt;='n&amp;cn'!$C$2)
))</f>
        <v/>
      </c>
      <c r="BC86" s="267"/>
      <c r="BD86" s="290" t="str" cm="1">
        <f t="array" ref="BD86">IF(BE86="",
"",
SUMPRODUCT(
tb_desp[valor]*
(tb_desp[centro.negocio]=BE$2)*
(tb_desp[nucleo]=BE86)*
(tb_desp[data.pagamento]&gt;='n&amp;cn'!$C$1)*
(tb_desp[data.pagamento]&lt;='n&amp;cn'!$C$2)
))</f>
        <v/>
      </c>
      <c r="BE86" s="267"/>
      <c r="BF86" s="290" t="str" cm="1">
        <f t="array" ref="BF86">IF(BG86="",
"",
SUMPRODUCT(
tb_desp[valor]*
(tb_desp[centro.negocio]=BG$2)*
(tb_desp[nucleo]=BG86)*
(tb_desp[data.pagamento]&gt;='n&amp;cn'!$C$1)*
(tb_desp[data.pagamento]&lt;='n&amp;cn'!$C$2)
))</f>
        <v/>
      </c>
      <c r="BG86" s="267"/>
      <c r="BH86" s="290" t="str" cm="1">
        <f t="array" ref="BH86">IF(BI86="",
"",
SUMPRODUCT(
tb_desp[valor]*
(tb_desp[centro.negocio]=BI$2)*
(tb_desp[nucleo]=BI86)*
(tb_desp[data.pagamento]&gt;='n&amp;cn'!$C$1)*
(tb_desp[data.pagamento]&lt;='n&amp;cn'!$C$2)
))</f>
        <v/>
      </c>
      <c r="BI86" s="267"/>
      <c r="BJ86" s="290" t="str" cm="1">
        <f t="array" ref="BJ86">IF(BK86="",
"",
SUMPRODUCT(
tb_desp[valor]*
(tb_desp[centro.negocio]=BK$2)*
(tb_desp[nucleo]=BK86)*
(tb_desp[data.pagamento]&gt;='n&amp;cn'!$C$1)*
(tb_desp[data.pagamento]&lt;='n&amp;cn'!$C$2)
))</f>
        <v/>
      </c>
      <c r="BK86" s="267"/>
      <c r="BL86" s="290" t="str" cm="1">
        <f t="array" ref="BL86">IF(BM86="",
"",
SUMPRODUCT(
tb_desp[valor]*
(tb_desp[centro.negocio]=BM$2)*
(tb_desp[nucleo]=BM86)*
(tb_desp[data.pagamento]&gt;='n&amp;cn'!$C$1)*
(tb_desp[data.pagamento]&lt;='n&amp;cn'!$C$2)
))</f>
        <v/>
      </c>
      <c r="BM86" s="267"/>
      <c r="BN86" s="290" t="str" cm="1">
        <f t="array" ref="BN86">IF(BO86="",
"",
SUMPRODUCT(
tb_desp[valor]*
(tb_desp[centro.negocio]=BO$2)*
(tb_desp[nucleo]=BO86)*
(tb_desp[data.pagamento]&gt;='n&amp;cn'!$C$1)*
(tb_desp[data.pagamento]&lt;='n&amp;cn'!$C$2)
))</f>
        <v/>
      </c>
      <c r="BO86" s="267"/>
    </row>
    <row r="87" spans="8:67" x14ac:dyDescent="0.25">
      <c r="H87" s="168"/>
      <c r="I87" s="163">
        <f t="shared" si="6"/>
        <v>80</v>
      </c>
      <c r="K87" s="164"/>
      <c r="L87" s="167" t="e">
        <f t="shared" si="5"/>
        <v>#DIV/0!</v>
      </c>
      <c r="M87" s="167" t="e">
        <f>SUM($L$8:$L87)</f>
        <v>#DIV/0!</v>
      </c>
      <c r="R87" s="290" t="str" cm="1">
        <f t="array" ref="R87">IF(S87="",
"",
SUMPRODUCT(
tb_desp[valor]*
(tb_desp[centro.negocio]=S$2)*
(tb_desp[nucleo]=S87)*
(tb_desp[data.pagamento]&gt;='n&amp;cn'!$C$1)*
(tb_desp[data.pagamento]&lt;='n&amp;cn'!$C$2)
))</f>
        <v/>
      </c>
      <c r="S87" s="267"/>
      <c r="T87" s="290" t="str" cm="1">
        <f t="array" ref="T87">IF(U87="",
"",
SUMPRODUCT(
tb_desp[valor]*
(tb_desp[centro.negocio]=U$2)*
(tb_desp[nucleo]=U87)*
(tb_desp[data.pagamento]&gt;='n&amp;cn'!$C$1)*
(tb_desp[data.pagamento]&lt;='n&amp;cn'!$C$2)
))</f>
        <v/>
      </c>
      <c r="U87" s="267"/>
      <c r="V87" s="290" t="str" cm="1">
        <f t="array" ref="V87">IF(W87="",
"",
SUMPRODUCT(
tb_desp[valor]*
(tb_desp[centro.negocio]=W$2)*
(tb_desp[nucleo]=W87)*
(tb_desp[data.pagamento]&gt;='n&amp;cn'!$C$1)*
(tb_desp[data.pagamento]&lt;='n&amp;cn'!$C$2)
))</f>
        <v/>
      </c>
      <c r="W87" s="267"/>
      <c r="X87" s="290" t="str" cm="1">
        <f t="array" ref="X87">IF(Y87="",
"",
SUMPRODUCT(
tb_desp[valor]*
(tb_desp[centro.negocio]=Y$2)*
(tb_desp[nucleo]=Y87)*
(tb_desp[data.pagamento]&gt;='n&amp;cn'!$C$1)*
(tb_desp[data.pagamento]&lt;='n&amp;cn'!$C$2)
))</f>
        <v/>
      </c>
      <c r="Y87" s="267"/>
      <c r="Z87" s="290" t="str" cm="1">
        <f t="array" ref="Z87">IF(AA87="",
"",
SUMPRODUCT(
tb_desp[valor]*
(tb_desp[centro.negocio]=AA$2)*
(tb_desp[nucleo]=AA87)*
(tb_desp[data.pagamento]&gt;='n&amp;cn'!$C$1)*
(tb_desp[data.pagamento]&lt;='n&amp;cn'!$C$2)
))</f>
        <v/>
      </c>
      <c r="AA87" s="267"/>
      <c r="AB87" s="290" t="str" cm="1">
        <f t="array" ref="AB87">IF(AC87="",
"",
SUMPRODUCT(
tb_desp[valor]*
(tb_desp[centro.negocio]=AC$2)*
(tb_desp[nucleo]=AC87)*
(tb_desp[data.pagamento]&gt;='n&amp;cn'!$C$1)*
(tb_desp[data.pagamento]&lt;='n&amp;cn'!$C$2)
))</f>
        <v/>
      </c>
      <c r="AC87" s="267"/>
      <c r="AD87" s="290" t="str" cm="1">
        <f t="array" ref="AD87">IF(AE87="",
"",
SUMPRODUCT(
tb_desp[valor]*
(tb_desp[centro.negocio]=AE$2)*
(tb_desp[nucleo]=AE87)*
(tb_desp[data.pagamento]&gt;='n&amp;cn'!$C$1)*
(tb_desp[data.pagamento]&lt;='n&amp;cn'!$C$2)
))</f>
        <v/>
      </c>
      <c r="AE87" s="267"/>
      <c r="AF87" s="290" t="str" cm="1">
        <f t="array" ref="AF87">IF(AG87="",
"",
SUMPRODUCT(
tb_desp[valor]*
(tb_desp[centro.negocio]=AG$2)*
(tb_desp[nucleo]=AG87)*
(tb_desp[data.pagamento]&gt;='n&amp;cn'!$C$1)*
(tb_desp[data.pagamento]&lt;='n&amp;cn'!$C$2)
))</f>
        <v/>
      </c>
      <c r="AG87" s="267"/>
      <c r="AH87" s="290" t="str" cm="1">
        <f t="array" ref="AH87">IF(AI87="",
"",
SUMPRODUCT(
tb_desp[valor]*
(tb_desp[centro.negocio]=AI$2)*
(tb_desp[nucleo]=AI87)*
(tb_desp[data.pagamento]&gt;='n&amp;cn'!$C$1)*
(tb_desp[data.pagamento]&lt;='n&amp;cn'!$C$2)
))</f>
        <v/>
      </c>
      <c r="AI87" s="267"/>
      <c r="AJ87" s="290" t="str" cm="1">
        <f t="array" ref="AJ87">IF(AK87="",
"",
SUMPRODUCT(
tb_desp[valor]*
(tb_desp[centro.negocio]=AK$2)*
(tb_desp[nucleo]=AK87)*
(tb_desp[data.pagamento]&gt;='n&amp;cn'!$C$1)*
(tb_desp[data.pagamento]&lt;='n&amp;cn'!$C$2)
))</f>
        <v/>
      </c>
      <c r="AK87" s="267"/>
      <c r="AL87" s="290" t="str" cm="1">
        <f t="array" ref="AL87">IF(AM87="",
"",
SUMPRODUCT(
tb_desp[valor]*
(tb_desp[centro.negocio]=AM$2)*
(tb_desp[nucleo]=AM87)*
(tb_desp[data.pagamento]&gt;='n&amp;cn'!$C$1)*
(tb_desp[data.pagamento]&lt;='n&amp;cn'!$C$2)
))</f>
        <v/>
      </c>
      <c r="AM87" s="267"/>
      <c r="AN87" s="290" t="str" cm="1">
        <f t="array" ref="AN87">IF(AO87="",
"",
SUMPRODUCT(
tb_desp[valor]*
(tb_desp[centro.negocio]=AO$2)*
(tb_desp[nucleo]=AO87)*
(tb_desp[data.pagamento]&gt;='n&amp;cn'!$C$1)*
(tb_desp[data.pagamento]&lt;='n&amp;cn'!$C$2)
))</f>
        <v/>
      </c>
      <c r="AO87" s="267"/>
      <c r="AP87" s="290" t="str" cm="1">
        <f t="array" ref="AP87">IF(AQ87="",
"",
SUMPRODUCT(
tb_desp[valor]*
(tb_desp[centro.negocio]=AQ$2)*
(tb_desp[nucleo]=AQ87)*
(tb_desp[data.pagamento]&gt;='n&amp;cn'!$C$1)*
(tb_desp[data.pagamento]&lt;='n&amp;cn'!$C$2)
))</f>
        <v/>
      </c>
      <c r="AQ87" s="267"/>
      <c r="AR87" s="290" t="str" cm="1">
        <f t="array" ref="AR87">IF(AS87="",
"",
SUMPRODUCT(
tb_desp[valor]*
(tb_desp[centro.negocio]=AS$2)*
(tb_desp[nucleo]=AS87)*
(tb_desp[data.pagamento]&gt;='n&amp;cn'!$C$1)*
(tb_desp[data.pagamento]&lt;='n&amp;cn'!$C$2)
))</f>
        <v/>
      </c>
      <c r="AS87" s="267"/>
      <c r="AT87" s="290" t="str" cm="1">
        <f t="array" ref="AT87">IF(AU87="",
"",
SUMPRODUCT(
tb_desp[valor]*
(tb_desp[centro.negocio]=AU$2)*
(tb_desp[nucleo]=AU87)*
(tb_desp[data.pagamento]&gt;='n&amp;cn'!$C$1)*
(tb_desp[data.pagamento]&lt;='n&amp;cn'!$C$2)
))</f>
        <v/>
      </c>
      <c r="AU87" s="267"/>
      <c r="AV87" s="290" t="str" cm="1">
        <f t="array" ref="AV87">IF(AW87="",
"",
SUMPRODUCT(
tb_desp[valor]*
(tb_desp[centro.negocio]=AW$2)*
(tb_desp[nucleo]=AW87)*
(tb_desp[data.pagamento]&gt;='n&amp;cn'!$C$1)*
(tb_desp[data.pagamento]&lt;='n&amp;cn'!$C$2)
))</f>
        <v/>
      </c>
      <c r="AW87" s="267"/>
      <c r="AX87" s="290" t="str" cm="1">
        <f t="array" ref="AX87">IF(AY87="",
"",
SUMPRODUCT(
tb_desp[valor]*
(tb_desp[centro.negocio]=AY$2)*
(tb_desp[nucleo]=AY87)*
(tb_desp[data.pagamento]&gt;='n&amp;cn'!$C$1)*
(tb_desp[data.pagamento]&lt;='n&amp;cn'!$C$2)
))</f>
        <v/>
      </c>
      <c r="AY87" s="267"/>
      <c r="AZ87" s="290" t="str" cm="1">
        <f t="array" ref="AZ87">IF(BA87="",
"",
SUMPRODUCT(
tb_desp[valor]*
(tb_desp[centro.negocio]=BA$2)*
(tb_desp[nucleo]=BA87)*
(tb_desp[data.pagamento]&gt;='n&amp;cn'!$C$1)*
(tb_desp[data.pagamento]&lt;='n&amp;cn'!$C$2)
))</f>
        <v/>
      </c>
      <c r="BA87" s="267"/>
      <c r="BB87" s="290" t="str" cm="1">
        <f t="array" ref="BB87">IF(BC87="",
"",
SUMPRODUCT(
tb_desp[valor]*
(tb_desp[centro.negocio]=BC$2)*
(tb_desp[nucleo]=BC87)*
(tb_desp[data.pagamento]&gt;='n&amp;cn'!$C$1)*
(tb_desp[data.pagamento]&lt;='n&amp;cn'!$C$2)
))</f>
        <v/>
      </c>
      <c r="BC87" s="267"/>
      <c r="BD87" s="290" t="str" cm="1">
        <f t="array" ref="BD87">IF(BE87="",
"",
SUMPRODUCT(
tb_desp[valor]*
(tb_desp[centro.negocio]=BE$2)*
(tb_desp[nucleo]=BE87)*
(tb_desp[data.pagamento]&gt;='n&amp;cn'!$C$1)*
(tb_desp[data.pagamento]&lt;='n&amp;cn'!$C$2)
))</f>
        <v/>
      </c>
      <c r="BE87" s="267"/>
      <c r="BF87" s="290" t="str" cm="1">
        <f t="array" ref="BF87">IF(BG87="",
"",
SUMPRODUCT(
tb_desp[valor]*
(tb_desp[centro.negocio]=BG$2)*
(tb_desp[nucleo]=BG87)*
(tb_desp[data.pagamento]&gt;='n&amp;cn'!$C$1)*
(tb_desp[data.pagamento]&lt;='n&amp;cn'!$C$2)
))</f>
        <v/>
      </c>
      <c r="BG87" s="267"/>
      <c r="BH87" s="290" t="str" cm="1">
        <f t="array" ref="BH87">IF(BI87="",
"",
SUMPRODUCT(
tb_desp[valor]*
(tb_desp[centro.negocio]=BI$2)*
(tb_desp[nucleo]=BI87)*
(tb_desp[data.pagamento]&gt;='n&amp;cn'!$C$1)*
(tb_desp[data.pagamento]&lt;='n&amp;cn'!$C$2)
))</f>
        <v/>
      </c>
      <c r="BI87" s="267"/>
      <c r="BJ87" s="290" t="str" cm="1">
        <f t="array" ref="BJ87">IF(BK87="",
"",
SUMPRODUCT(
tb_desp[valor]*
(tb_desp[centro.negocio]=BK$2)*
(tb_desp[nucleo]=BK87)*
(tb_desp[data.pagamento]&gt;='n&amp;cn'!$C$1)*
(tb_desp[data.pagamento]&lt;='n&amp;cn'!$C$2)
))</f>
        <v/>
      </c>
      <c r="BK87" s="267"/>
      <c r="BL87" s="290" t="str" cm="1">
        <f t="array" ref="BL87">IF(BM87="",
"",
SUMPRODUCT(
tb_desp[valor]*
(tb_desp[centro.negocio]=BM$2)*
(tb_desp[nucleo]=BM87)*
(tb_desp[data.pagamento]&gt;='n&amp;cn'!$C$1)*
(tb_desp[data.pagamento]&lt;='n&amp;cn'!$C$2)
))</f>
        <v/>
      </c>
      <c r="BM87" s="267"/>
      <c r="BN87" s="290" t="str" cm="1">
        <f t="array" ref="BN87">IF(BO87="",
"",
SUMPRODUCT(
tb_desp[valor]*
(tb_desp[centro.negocio]=BO$2)*
(tb_desp[nucleo]=BO87)*
(tb_desp[data.pagamento]&gt;='n&amp;cn'!$C$1)*
(tb_desp[data.pagamento]&lt;='n&amp;cn'!$C$2)
))</f>
        <v/>
      </c>
      <c r="BO87" s="267"/>
    </row>
    <row r="88" spans="8:67" x14ac:dyDescent="0.25">
      <c r="H88" s="168"/>
      <c r="I88" s="163">
        <f t="shared" si="6"/>
        <v>81</v>
      </c>
      <c r="K88" s="164"/>
      <c r="L88" s="167" t="e">
        <f t="shared" si="5"/>
        <v>#DIV/0!</v>
      </c>
      <c r="M88" s="167" t="e">
        <f>SUM($L$8:$L88)</f>
        <v>#DIV/0!</v>
      </c>
      <c r="R88" s="290" t="str" cm="1">
        <f t="array" ref="R88">IF(S88="",
"",
SUMPRODUCT(
tb_desp[valor]*
(tb_desp[centro.negocio]=S$2)*
(tb_desp[nucleo]=S88)*
(tb_desp[data.pagamento]&gt;='n&amp;cn'!$C$1)*
(tb_desp[data.pagamento]&lt;='n&amp;cn'!$C$2)
))</f>
        <v/>
      </c>
      <c r="S88" s="267"/>
      <c r="T88" s="290" t="str" cm="1">
        <f t="array" ref="T88">IF(U88="",
"",
SUMPRODUCT(
tb_desp[valor]*
(tb_desp[centro.negocio]=U$2)*
(tb_desp[nucleo]=U88)*
(tb_desp[data.pagamento]&gt;='n&amp;cn'!$C$1)*
(tb_desp[data.pagamento]&lt;='n&amp;cn'!$C$2)
))</f>
        <v/>
      </c>
      <c r="U88" s="267"/>
      <c r="V88" s="290" t="str" cm="1">
        <f t="array" ref="V88">IF(W88="",
"",
SUMPRODUCT(
tb_desp[valor]*
(tb_desp[centro.negocio]=W$2)*
(tb_desp[nucleo]=W88)*
(tb_desp[data.pagamento]&gt;='n&amp;cn'!$C$1)*
(tb_desp[data.pagamento]&lt;='n&amp;cn'!$C$2)
))</f>
        <v/>
      </c>
      <c r="W88" s="267"/>
      <c r="X88" s="290" t="str" cm="1">
        <f t="array" ref="X88">IF(Y88="",
"",
SUMPRODUCT(
tb_desp[valor]*
(tb_desp[centro.negocio]=Y$2)*
(tb_desp[nucleo]=Y88)*
(tb_desp[data.pagamento]&gt;='n&amp;cn'!$C$1)*
(tb_desp[data.pagamento]&lt;='n&amp;cn'!$C$2)
))</f>
        <v/>
      </c>
      <c r="Y88" s="267"/>
      <c r="Z88" s="290" t="str" cm="1">
        <f t="array" ref="Z88">IF(AA88="",
"",
SUMPRODUCT(
tb_desp[valor]*
(tb_desp[centro.negocio]=AA$2)*
(tb_desp[nucleo]=AA88)*
(tb_desp[data.pagamento]&gt;='n&amp;cn'!$C$1)*
(tb_desp[data.pagamento]&lt;='n&amp;cn'!$C$2)
))</f>
        <v/>
      </c>
      <c r="AA88" s="267"/>
      <c r="AB88" s="290" t="str" cm="1">
        <f t="array" ref="AB88">IF(AC88="",
"",
SUMPRODUCT(
tb_desp[valor]*
(tb_desp[centro.negocio]=AC$2)*
(tb_desp[nucleo]=AC88)*
(tb_desp[data.pagamento]&gt;='n&amp;cn'!$C$1)*
(tb_desp[data.pagamento]&lt;='n&amp;cn'!$C$2)
))</f>
        <v/>
      </c>
      <c r="AC88" s="267"/>
      <c r="AD88" s="290" t="str" cm="1">
        <f t="array" ref="AD88">IF(AE88="",
"",
SUMPRODUCT(
tb_desp[valor]*
(tb_desp[centro.negocio]=AE$2)*
(tb_desp[nucleo]=AE88)*
(tb_desp[data.pagamento]&gt;='n&amp;cn'!$C$1)*
(tb_desp[data.pagamento]&lt;='n&amp;cn'!$C$2)
))</f>
        <v/>
      </c>
      <c r="AE88" s="267"/>
      <c r="AF88" s="290" t="str" cm="1">
        <f t="array" ref="AF88">IF(AG88="",
"",
SUMPRODUCT(
tb_desp[valor]*
(tb_desp[centro.negocio]=AG$2)*
(tb_desp[nucleo]=AG88)*
(tb_desp[data.pagamento]&gt;='n&amp;cn'!$C$1)*
(tb_desp[data.pagamento]&lt;='n&amp;cn'!$C$2)
))</f>
        <v/>
      </c>
      <c r="AG88" s="267"/>
      <c r="AH88" s="290" t="str" cm="1">
        <f t="array" ref="AH88">IF(AI88="",
"",
SUMPRODUCT(
tb_desp[valor]*
(tb_desp[centro.negocio]=AI$2)*
(tb_desp[nucleo]=AI88)*
(tb_desp[data.pagamento]&gt;='n&amp;cn'!$C$1)*
(tb_desp[data.pagamento]&lt;='n&amp;cn'!$C$2)
))</f>
        <v/>
      </c>
      <c r="AI88" s="267"/>
      <c r="AJ88" s="290" t="str" cm="1">
        <f t="array" ref="AJ88">IF(AK88="",
"",
SUMPRODUCT(
tb_desp[valor]*
(tb_desp[centro.negocio]=AK$2)*
(tb_desp[nucleo]=AK88)*
(tb_desp[data.pagamento]&gt;='n&amp;cn'!$C$1)*
(tb_desp[data.pagamento]&lt;='n&amp;cn'!$C$2)
))</f>
        <v/>
      </c>
      <c r="AK88" s="267"/>
      <c r="AL88" s="290" t="str" cm="1">
        <f t="array" ref="AL88">IF(AM88="",
"",
SUMPRODUCT(
tb_desp[valor]*
(tb_desp[centro.negocio]=AM$2)*
(tb_desp[nucleo]=AM88)*
(tb_desp[data.pagamento]&gt;='n&amp;cn'!$C$1)*
(tb_desp[data.pagamento]&lt;='n&amp;cn'!$C$2)
))</f>
        <v/>
      </c>
      <c r="AM88" s="267"/>
      <c r="AN88" s="290" t="str" cm="1">
        <f t="array" ref="AN88">IF(AO88="",
"",
SUMPRODUCT(
tb_desp[valor]*
(tb_desp[centro.negocio]=AO$2)*
(tb_desp[nucleo]=AO88)*
(tb_desp[data.pagamento]&gt;='n&amp;cn'!$C$1)*
(tb_desp[data.pagamento]&lt;='n&amp;cn'!$C$2)
))</f>
        <v/>
      </c>
      <c r="AO88" s="267"/>
      <c r="AP88" s="290" t="str" cm="1">
        <f t="array" ref="AP88">IF(AQ88="",
"",
SUMPRODUCT(
tb_desp[valor]*
(tb_desp[centro.negocio]=AQ$2)*
(tb_desp[nucleo]=AQ88)*
(tb_desp[data.pagamento]&gt;='n&amp;cn'!$C$1)*
(tb_desp[data.pagamento]&lt;='n&amp;cn'!$C$2)
))</f>
        <v/>
      </c>
      <c r="AQ88" s="267"/>
      <c r="AR88" s="290" t="str" cm="1">
        <f t="array" ref="AR88">IF(AS88="",
"",
SUMPRODUCT(
tb_desp[valor]*
(tb_desp[centro.negocio]=AS$2)*
(tb_desp[nucleo]=AS88)*
(tb_desp[data.pagamento]&gt;='n&amp;cn'!$C$1)*
(tb_desp[data.pagamento]&lt;='n&amp;cn'!$C$2)
))</f>
        <v/>
      </c>
      <c r="AS88" s="267"/>
      <c r="AT88" s="290" t="str" cm="1">
        <f t="array" ref="AT88">IF(AU88="",
"",
SUMPRODUCT(
tb_desp[valor]*
(tb_desp[centro.negocio]=AU$2)*
(tb_desp[nucleo]=AU88)*
(tb_desp[data.pagamento]&gt;='n&amp;cn'!$C$1)*
(tb_desp[data.pagamento]&lt;='n&amp;cn'!$C$2)
))</f>
        <v/>
      </c>
      <c r="AU88" s="267"/>
      <c r="AV88" s="290" t="str" cm="1">
        <f t="array" ref="AV88">IF(AW88="",
"",
SUMPRODUCT(
tb_desp[valor]*
(tb_desp[centro.negocio]=AW$2)*
(tb_desp[nucleo]=AW88)*
(tb_desp[data.pagamento]&gt;='n&amp;cn'!$C$1)*
(tb_desp[data.pagamento]&lt;='n&amp;cn'!$C$2)
))</f>
        <v/>
      </c>
      <c r="AW88" s="267"/>
      <c r="AX88" s="290" t="str" cm="1">
        <f t="array" ref="AX88">IF(AY88="",
"",
SUMPRODUCT(
tb_desp[valor]*
(tb_desp[centro.negocio]=AY$2)*
(tb_desp[nucleo]=AY88)*
(tb_desp[data.pagamento]&gt;='n&amp;cn'!$C$1)*
(tb_desp[data.pagamento]&lt;='n&amp;cn'!$C$2)
))</f>
        <v/>
      </c>
      <c r="AY88" s="267"/>
      <c r="AZ88" s="290" t="str" cm="1">
        <f t="array" ref="AZ88">IF(BA88="",
"",
SUMPRODUCT(
tb_desp[valor]*
(tb_desp[centro.negocio]=BA$2)*
(tb_desp[nucleo]=BA88)*
(tb_desp[data.pagamento]&gt;='n&amp;cn'!$C$1)*
(tb_desp[data.pagamento]&lt;='n&amp;cn'!$C$2)
))</f>
        <v/>
      </c>
      <c r="BA88" s="267"/>
      <c r="BB88" s="290" t="str" cm="1">
        <f t="array" ref="BB88">IF(BC88="",
"",
SUMPRODUCT(
tb_desp[valor]*
(tb_desp[centro.negocio]=BC$2)*
(tb_desp[nucleo]=BC88)*
(tb_desp[data.pagamento]&gt;='n&amp;cn'!$C$1)*
(tb_desp[data.pagamento]&lt;='n&amp;cn'!$C$2)
))</f>
        <v/>
      </c>
      <c r="BC88" s="267"/>
      <c r="BD88" s="290" t="str" cm="1">
        <f t="array" ref="BD88">IF(BE88="",
"",
SUMPRODUCT(
tb_desp[valor]*
(tb_desp[centro.negocio]=BE$2)*
(tb_desp[nucleo]=BE88)*
(tb_desp[data.pagamento]&gt;='n&amp;cn'!$C$1)*
(tb_desp[data.pagamento]&lt;='n&amp;cn'!$C$2)
))</f>
        <v/>
      </c>
      <c r="BE88" s="267"/>
      <c r="BF88" s="290" t="str" cm="1">
        <f t="array" ref="BF88">IF(BG88="",
"",
SUMPRODUCT(
tb_desp[valor]*
(tb_desp[centro.negocio]=BG$2)*
(tb_desp[nucleo]=BG88)*
(tb_desp[data.pagamento]&gt;='n&amp;cn'!$C$1)*
(tb_desp[data.pagamento]&lt;='n&amp;cn'!$C$2)
))</f>
        <v/>
      </c>
      <c r="BG88" s="267"/>
      <c r="BH88" s="290" t="str" cm="1">
        <f t="array" ref="BH88">IF(BI88="",
"",
SUMPRODUCT(
tb_desp[valor]*
(tb_desp[centro.negocio]=BI$2)*
(tb_desp[nucleo]=BI88)*
(tb_desp[data.pagamento]&gt;='n&amp;cn'!$C$1)*
(tb_desp[data.pagamento]&lt;='n&amp;cn'!$C$2)
))</f>
        <v/>
      </c>
      <c r="BI88" s="267"/>
      <c r="BJ88" s="290" t="str" cm="1">
        <f t="array" ref="BJ88">IF(BK88="",
"",
SUMPRODUCT(
tb_desp[valor]*
(tb_desp[centro.negocio]=BK$2)*
(tb_desp[nucleo]=BK88)*
(tb_desp[data.pagamento]&gt;='n&amp;cn'!$C$1)*
(tb_desp[data.pagamento]&lt;='n&amp;cn'!$C$2)
))</f>
        <v/>
      </c>
      <c r="BK88" s="267"/>
      <c r="BL88" s="290" t="str" cm="1">
        <f t="array" ref="BL88">IF(BM88="",
"",
SUMPRODUCT(
tb_desp[valor]*
(tb_desp[centro.negocio]=BM$2)*
(tb_desp[nucleo]=BM88)*
(tb_desp[data.pagamento]&gt;='n&amp;cn'!$C$1)*
(tb_desp[data.pagamento]&lt;='n&amp;cn'!$C$2)
))</f>
        <v/>
      </c>
      <c r="BM88" s="267"/>
      <c r="BN88" s="290" t="str" cm="1">
        <f t="array" ref="BN88">IF(BO88="",
"",
SUMPRODUCT(
tb_desp[valor]*
(tb_desp[centro.negocio]=BO$2)*
(tb_desp[nucleo]=BO88)*
(tb_desp[data.pagamento]&gt;='n&amp;cn'!$C$1)*
(tb_desp[data.pagamento]&lt;='n&amp;cn'!$C$2)
))</f>
        <v/>
      </c>
      <c r="BO88" s="267"/>
    </row>
    <row r="89" spans="8:67" x14ac:dyDescent="0.25">
      <c r="H89" s="168"/>
      <c r="I89" s="163">
        <f t="shared" si="6"/>
        <v>82</v>
      </c>
      <c r="K89" s="164"/>
      <c r="L89" s="167" t="e">
        <f t="shared" si="5"/>
        <v>#DIV/0!</v>
      </c>
      <c r="M89" s="167" t="e">
        <f>SUM($L$8:$L89)</f>
        <v>#DIV/0!</v>
      </c>
      <c r="R89" s="290" t="str" cm="1">
        <f t="array" ref="R89">IF(S89="",
"",
SUMPRODUCT(
tb_desp[valor]*
(tb_desp[centro.negocio]=S$2)*
(tb_desp[nucleo]=S89)*
(tb_desp[data.pagamento]&gt;='n&amp;cn'!$C$1)*
(tb_desp[data.pagamento]&lt;='n&amp;cn'!$C$2)
))</f>
        <v/>
      </c>
      <c r="S89" s="267"/>
      <c r="T89" s="290" t="str" cm="1">
        <f t="array" ref="T89">IF(U89="",
"",
SUMPRODUCT(
tb_desp[valor]*
(tb_desp[centro.negocio]=U$2)*
(tb_desp[nucleo]=U89)*
(tb_desp[data.pagamento]&gt;='n&amp;cn'!$C$1)*
(tb_desp[data.pagamento]&lt;='n&amp;cn'!$C$2)
))</f>
        <v/>
      </c>
      <c r="U89" s="267"/>
      <c r="V89" s="290" t="str" cm="1">
        <f t="array" ref="V89">IF(W89="",
"",
SUMPRODUCT(
tb_desp[valor]*
(tb_desp[centro.negocio]=W$2)*
(tb_desp[nucleo]=W89)*
(tb_desp[data.pagamento]&gt;='n&amp;cn'!$C$1)*
(tb_desp[data.pagamento]&lt;='n&amp;cn'!$C$2)
))</f>
        <v/>
      </c>
      <c r="W89" s="267"/>
      <c r="X89" s="290" t="str" cm="1">
        <f t="array" ref="X89">IF(Y89="",
"",
SUMPRODUCT(
tb_desp[valor]*
(tb_desp[centro.negocio]=Y$2)*
(tb_desp[nucleo]=Y89)*
(tb_desp[data.pagamento]&gt;='n&amp;cn'!$C$1)*
(tb_desp[data.pagamento]&lt;='n&amp;cn'!$C$2)
))</f>
        <v/>
      </c>
      <c r="Y89" s="267"/>
      <c r="Z89" s="290" t="str" cm="1">
        <f t="array" ref="Z89">IF(AA89="",
"",
SUMPRODUCT(
tb_desp[valor]*
(tb_desp[centro.negocio]=AA$2)*
(tb_desp[nucleo]=AA89)*
(tb_desp[data.pagamento]&gt;='n&amp;cn'!$C$1)*
(tb_desp[data.pagamento]&lt;='n&amp;cn'!$C$2)
))</f>
        <v/>
      </c>
      <c r="AA89" s="267"/>
      <c r="AB89" s="290" t="str" cm="1">
        <f t="array" ref="AB89">IF(AC89="",
"",
SUMPRODUCT(
tb_desp[valor]*
(tb_desp[centro.negocio]=AC$2)*
(tb_desp[nucleo]=AC89)*
(tb_desp[data.pagamento]&gt;='n&amp;cn'!$C$1)*
(tb_desp[data.pagamento]&lt;='n&amp;cn'!$C$2)
))</f>
        <v/>
      </c>
      <c r="AC89" s="267"/>
      <c r="AD89" s="290" t="str" cm="1">
        <f t="array" ref="AD89">IF(AE89="",
"",
SUMPRODUCT(
tb_desp[valor]*
(tb_desp[centro.negocio]=AE$2)*
(tb_desp[nucleo]=AE89)*
(tb_desp[data.pagamento]&gt;='n&amp;cn'!$C$1)*
(tb_desp[data.pagamento]&lt;='n&amp;cn'!$C$2)
))</f>
        <v/>
      </c>
      <c r="AE89" s="267"/>
      <c r="AF89" s="290" t="str" cm="1">
        <f t="array" ref="AF89">IF(AG89="",
"",
SUMPRODUCT(
tb_desp[valor]*
(tb_desp[centro.negocio]=AG$2)*
(tb_desp[nucleo]=AG89)*
(tb_desp[data.pagamento]&gt;='n&amp;cn'!$C$1)*
(tb_desp[data.pagamento]&lt;='n&amp;cn'!$C$2)
))</f>
        <v/>
      </c>
      <c r="AG89" s="267"/>
      <c r="AH89" s="290" t="str" cm="1">
        <f t="array" ref="AH89">IF(AI89="",
"",
SUMPRODUCT(
tb_desp[valor]*
(tb_desp[centro.negocio]=AI$2)*
(tb_desp[nucleo]=AI89)*
(tb_desp[data.pagamento]&gt;='n&amp;cn'!$C$1)*
(tb_desp[data.pagamento]&lt;='n&amp;cn'!$C$2)
))</f>
        <v/>
      </c>
      <c r="AI89" s="267"/>
      <c r="AJ89" s="290" t="str" cm="1">
        <f t="array" ref="AJ89">IF(AK89="",
"",
SUMPRODUCT(
tb_desp[valor]*
(tb_desp[centro.negocio]=AK$2)*
(tb_desp[nucleo]=AK89)*
(tb_desp[data.pagamento]&gt;='n&amp;cn'!$C$1)*
(tb_desp[data.pagamento]&lt;='n&amp;cn'!$C$2)
))</f>
        <v/>
      </c>
      <c r="AK89" s="267"/>
      <c r="AL89" s="290" t="str" cm="1">
        <f t="array" ref="AL89">IF(AM89="",
"",
SUMPRODUCT(
tb_desp[valor]*
(tb_desp[centro.negocio]=AM$2)*
(tb_desp[nucleo]=AM89)*
(tb_desp[data.pagamento]&gt;='n&amp;cn'!$C$1)*
(tb_desp[data.pagamento]&lt;='n&amp;cn'!$C$2)
))</f>
        <v/>
      </c>
      <c r="AM89" s="267"/>
      <c r="AN89" s="290" t="str" cm="1">
        <f t="array" ref="AN89">IF(AO89="",
"",
SUMPRODUCT(
tb_desp[valor]*
(tb_desp[centro.negocio]=AO$2)*
(tb_desp[nucleo]=AO89)*
(tb_desp[data.pagamento]&gt;='n&amp;cn'!$C$1)*
(tb_desp[data.pagamento]&lt;='n&amp;cn'!$C$2)
))</f>
        <v/>
      </c>
      <c r="AO89" s="267"/>
      <c r="AP89" s="290" t="str" cm="1">
        <f t="array" ref="AP89">IF(AQ89="",
"",
SUMPRODUCT(
tb_desp[valor]*
(tb_desp[centro.negocio]=AQ$2)*
(tb_desp[nucleo]=AQ89)*
(tb_desp[data.pagamento]&gt;='n&amp;cn'!$C$1)*
(tb_desp[data.pagamento]&lt;='n&amp;cn'!$C$2)
))</f>
        <v/>
      </c>
      <c r="AQ89" s="267"/>
      <c r="AR89" s="290" t="str" cm="1">
        <f t="array" ref="AR89">IF(AS89="",
"",
SUMPRODUCT(
tb_desp[valor]*
(tb_desp[centro.negocio]=AS$2)*
(tb_desp[nucleo]=AS89)*
(tb_desp[data.pagamento]&gt;='n&amp;cn'!$C$1)*
(tb_desp[data.pagamento]&lt;='n&amp;cn'!$C$2)
))</f>
        <v/>
      </c>
      <c r="AS89" s="267"/>
      <c r="AT89" s="290" t="str" cm="1">
        <f t="array" ref="AT89">IF(AU89="",
"",
SUMPRODUCT(
tb_desp[valor]*
(tb_desp[centro.negocio]=AU$2)*
(tb_desp[nucleo]=AU89)*
(tb_desp[data.pagamento]&gt;='n&amp;cn'!$C$1)*
(tb_desp[data.pagamento]&lt;='n&amp;cn'!$C$2)
))</f>
        <v/>
      </c>
      <c r="AU89" s="267"/>
      <c r="AV89" s="290" t="str" cm="1">
        <f t="array" ref="AV89">IF(AW89="",
"",
SUMPRODUCT(
tb_desp[valor]*
(tb_desp[centro.negocio]=AW$2)*
(tb_desp[nucleo]=AW89)*
(tb_desp[data.pagamento]&gt;='n&amp;cn'!$C$1)*
(tb_desp[data.pagamento]&lt;='n&amp;cn'!$C$2)
))</f>
        <v/>
      </c>
      <c r="AW89" s="267"/>
      <c r="AX89" s="290" t="str" cm="1">
        <f t="array" ref="AX89">IF(AY89="",
"",
SUMPRODUCT(
tb_desp[valor]*
(tb_desp[centro.negocio]=AY$2)*
(tb_desp[nucleo]=AY89)*
(tb_desp[data.pagamento]&gt;='n&amp;cn'!$C$1)*
(tb_desp[data.pagamento]&lt;='n&amp;cn'!$C$2)
))</f>
        <v/>
      </c>
      <c r="AY89" s="267"/>
      <c r="AZ89" s="290" t="str" cm="1">
        <f t="array" ref="AZ89">IF(BA89="",
"",
SUMPRODUCT(
tb_desp[valor]*
(tb_desp[centro.negocio]=BA$2)*
(tb_desp[nucleo]=BA89)*
(tb_desp[data.pagamento]&gt;='n&amp;cn'!$C$1)*
(tb_desp[data.pagamento]&lt;='n&amp;cn'!$C$2)
))</f>
        <v/>
      </c>
      <c r="BA89" s="267"/>
      <c r="BB89" s="290" t="str" cm="1">
        <f t="array" ref="BB89">IF(BC89="",
"",
SUMPRODUCT(
tb_desp[valor]*
(tb_desp[centro.negocio]=BC$2)*
(tb_desp[nucleo]=BC89)*
(tb_desp[data.pagamento]&gt;='n&amp;cn'!$C$1)*
(tb_desp[data.pagamento]&lt;='n&amp;cn'!$C$2)
))</f>
        <v/>
      </c>
      <c r="BC89" s="267"/>
      <c r="BD89" s="290" t="str" cm="1">
        <f t="array" ref="BD89">IF(BE89="",
"",
SUMPRODUCT(
tb_desp[valor]*
(tb_desp[centro.negocio]=BE$2)*
(tb_desp[nucleo]=BE89)*
(tb_desp[data.pagamento]&gt;='n&amp;cn'!$C$1)*
(tb_desp[data.pagamento]&lt;='n&amp;cn'!$C$2)
))</f>
        <v/>
      </c>
      <c r="BE89" s="267"/>
      <c r="BF89" s="290" t="str" cm="1">
        <f t="array" ref="BF89">IF(BG89="",
"",
SUMPRODUCT(
tb_desp[valor]*
(tb_desp[centro.negocio]=BG$2)*
(tb_desp[nucleo]=BG89)*
(tb_desp[data.pagamento]&gt;='n&amp;cn'!$C$1)*
(tb_desp[data.pagamento]&lt;='n&amp;cn'!$C$2)
))</f>
        <v/>
      </c>
      <c r="BG89" s="267"/>
      <c r="BH89" s="290" t="str" cm="1">
        <f t="array" ref="BH89">IF(BI89="",
"",
SUMPRODUCT(
tb_desp[valor]*
(tb_desp[centro.negocio]=BI$2)*
(tb_desp[nucleo]=BI89)*
(tb_desp[data.pagamento]&gt;='n&amp;cn'!$C$1)*
(tb_desp[data.pagamento]&lt;='n&amp;cn'!$C$2)
))</f>
        <v/>
      </c>
      <c r="BI89" s="267"/>
      <c r="BJ89" s="290" t="str" cm="1">
        <f t="array" ref="BJ89">IF(BK89="",
"",
SUMPRODUCT(
tb_desp[valor]*
(tb_desp[centro.negocio]=BK$2)*
(tb_desp[nucleo]=BK89)*
(tb_desp[data.pagamento]&gt;='n&amp;cn'!$C$1)*
(tb_desp[data.pagamento]&lt;='n&amp;cn'!$C$2)
))</f>
        <v/>
      </c>
      <c r="BK89" s="267"/>
      <c r="BL89" s="290" t="str" cm="1">
        <f t="array" ref="BL89">IF(BM89="",
"",
SUMPRODUCT(
tb_desp[valor]*
(tb_desp[centro.negocio]=BM$2)*
(tb_desp[nucleo]=BM89)*
(tb_desp[data.pagamento]&gt;='n&amp;cn'!$C$1)*
(tb_desp[data.pagamento]&lt;='n&amp;cn'!$C$2)
))</f>
        <v/>
      </c>
      <c r="BM89" s="267"/>
      <c r="BN89" s="290" t="str" cm="1">
        <f t="array" ref="BN89">IF(BO89="",
"",
SUMPRODUCT(
tb_desp[valor]*
(tb_desp[centro.negocio]=BO$2)*
(tb_desp[nucleo]=BO89)*
(tb_desp[data.pagamento]&gt;='n&amp;cn'!$C$1)*
(tb_desp[data.pagamento]&lt;='n&amp;cn'!$C$2)
))</f>
        <v/>
      </c>
      <c r="BO89" s="267"/>
    </row>
    <row r="90" spans="8:67" x14ac:dyDescent="0.25">
      <c r="H90" s="168"/>
      <c r="I90" s="163">
        <f t="shared" si="6"/>
        <v>83</v>
      </c>
      <c r="K90" s="164"/>
      <c r="L90" s="167" t="e">
        <f t="shared" si="5"/>
        <v>#DIV/0!</v>
      </c>
      <c r="M90" s="167" t="e">
        <f>SUM($L$8:$L90)</f>
        <v>#DIV/0!</v>
      </c>
      <c r="R90" s="290" t="str" cm="1">
        <f t="array" ref="R90">IF(S90="",
"",
SUMPRODUCT(
tb_desp[valor]*
(tb_desp[centro.negocio]=S$2)*
(tb_desp[nucleo]=S90)*
(tb_desp[data.pagamento]&gt;='n&amp;cn'!$C$1)*
(tb_desp[data.pagamento]&lt;='n&amp;cn'!$C$2)
))</f>
        <v/>
      </c>
      <c r="S90" s="267"/>
      <c r="T90" s="290" t="str" cm="1">
        <f t="array" ref="T90">IF(U90="",
"",
SUMPRODUCT(
tb_desp[valor]*
(tb_desp[centro.negocio]=U$2)*
(tb_desp[nucleo]=U90)*
(tb_desp[data.pagamento]&gt;='n&amp;cn'!$C$1)*
(tb_desp[data.pagamento]&lt;='n&amp;cn'!$C$2)
))</f>
        <v/>
      </c>
      <c r="U90" s="267"/>
      <c r="V90" s="290" t="str" cm="1">
        <f t="array" ref="V90">IF(W90="",
"",
SUMPRODUCT(
tb_desp[valor]*
(tb_desp[centro.negocio]=W$2)*
(tb_desp[nucleo]=W90)*
(tb_desp[data.pagamento]&gt;='n&amp;cn'!$C$1)*
(tb_desp[data.pagamento]&lt;='n&amp;cn'!$C$2)
))</f>
        <v/>
      </c>
      <c r="W90" s="267"/>
      <c r="X90" s="290" t="str" cm="1">
        <f t="array" ref="X90">IF(Y90="",
"",
SUMPRODUCT(
tb_desp[valor]*
(tb_desp[centro.negocio]=Y$2)*
(tb_desp[nucleo]=Y90)*
(tb_desp[data.pagamento]&gt;='n&amp;cn'!$C$1)*
(tb_desp[data.pagamento]&lt;='n&amp;cn'!$C$2)
))</f>
        <v/>
      </c>
      <c r="Y90" s="267"/>
      <c r="Z90" s="290" t="str" cm="1">
        <f t="array" ref="Z90">IF(AA90="",
"",
SUMPRODUCT(
tb_desp[valor]*
(tb_desp[centro.negocio]=AA$2)*
(tb_desp[nucleo]=AA90)*
(tb_desp[data.pagamento]&gt;='n&amp;cn'!$C$1)*
(tb_desp[data.pagamento]&lt;='n&amp;cn'!$C$2)
))</f>
        <v/>
      </c>
      <c r="AA90" s="267"/>
      <c r="AB90" s="290" t="str" cm="1">
        <f t="array" ref="AB90">IF(AC90="",
"",
SUMPRODUCT(
tb_desp[valor]*
(tb_desp[centro.negocio]=AC$2)*
(tb_desp[nucleo]=AC90)*
(tb_desp[data.pagamento]&gt;='n&amp;cn'!$C$1)*
(tb_desp[data.pagamento]&lt;='n&amp;cn'!$C$2)
))</f>
        <v/>
      </c>
      <c r="AC90" s="267"/>
      <c r="AD90" s="290" t="str" cm="1">
        <f t="array" ref="AD90">IF(AE90="",
"",
SUMPRODUCT(
tb_desp[valor]*
(tb_desp[centro.negocio]=AE$2)*
(tb_desp[nucleo]=AE90)*
(tb_desp[data.pagamento]&gt;='n&amp;cn'!$C$1)*
(tb_desp[data.pagamento]&lt;='n&amp;cn'!$C$2)
))</f>
        <v/>
      </c>
      <c r="AE90" s="267"/>
      <c r="AF90" s="290" t="str" cm="1">
        <f t="array" ref="AF90">IF(AG90="",
"",
SUMPRODUCT(
tb_desp[valor]*
(tb_desp[centro.negocio]=AG$2)*
(tb_desp[nucleo]=AG90)*
(tb_desp[data.pagamento]&gt;='n&amp;cn'!$C$1)*
(tb_desp[data.pagamento]&lt;='n&amp;cn'!$C$2)
))</f>
        <v/>
      </c>
      <c r="AG90" s="267"/>
      <c r="AH90" s="290" t="str" cm="1">
        <f t="array" ref="AH90">IF(AI90="",
"",
SUMPRODUCT(
tb_desp[valor]*
(tb_desp[centro.negocio]=AI$2)*
(tb_desp[nucleo]=AI90)*
(tb_desp[data.pagamento]&gt;='n&amp;cn'!$C$1)*
(tb_desp[data.pagamento]&lt;='n&amp;cn'!$C$2)
))</f>
        <v/>
      </c>
      <c r="AI90" s="267"/>
      <c r="AJ90" s="290" t="str" cm="1">
        <f t="array" ref="AJ90">IF(AK90="",
"",
SUMPRODUCT(
tb_desp[valor]*
(tb_desp[centro.negocio]=AK$2)*
(tb_desp[nucleo]=AK90)*
(tb_desp[data.pagamento]&gt;='n&amp;cn'!$C$1)*
(tb_desp[data.pagamento]&lt;='n&amp;cn'!$C$2)
))</f>
        <v/>
      </c>
      <c r="AK90" s="267"/>
      <c r="AL90" s="290" t="str" cm="1">
        <f t="array" ref="AL90">IF(AM90="",
"",
SUMPRODUCT(
tb_desp[valor]*
(tb_desp[centro.negocio]=AM$2)*
(tb_desp[nucleo]=AM90)*
(tb_desp[data.pagamento]&gt;='n&amp;cn'!$C$1)*
(tb_desp[data.pagamento]&lt;='n&amp;cn'!$C$2)
))</f>
        <v/>
      </c>
      <c r="AM90" s="267"/>
      <c r="AN90" s="290" t="str" cm="1">
        <f t="array" ref="AN90">IF(AO90="",
"",
SUMPRODUCT(
tb_desp[valor]*
(tb_desp[centro.negocio]=AO$2)*
(tb_desp[nucleo]=AO90)*
(tb_desp[data.pagamento]&gt;='n&amp;cn'!$C$1)*
(tb_desp[data.pagamento]&lt;='n&amp;cn'!$C$2)
))</f>
        <v/>
      </c>
      <c r="AO90" s="267"/>
      <c r="AP90" s="290" t="str" cm="1">
        <f t="array" ref="AP90">IF(AQ90="",
"",
SUMPRODUCT(
tb_desp[valor]*
(tb_desp[centro.negocio]=AQ$2)*
(tb_desp[nucleo]=AQ90)*
(tb_desp[data.pagamento]&gt;='n&amp;cn'!$C$1)*
(tb_desp[data.pagamento]&lt;='n&amp;cn'!$C$2)
))</f>
        <v/>
      </c>
      <c r="AQ90" s="267"/>
      <c r="AR90" s="290" t="str" cm="1">
        <f t="array" ref="AR90">IF(AS90="",
"",
SUMPRODUCT(
tb_desp[valor]*
(tb_desp[centro.negocio]=AS$2)*
(tb_desp[nucleo]=AS90)*
(tb_desp[data.pagamento]&gt;='n&amp;cn'!$C$1)*
(tb_desp[data.pagamento]&lt;='n&amp;cn'!$C$2)
))</f>
        <v/>
      </c>
      <c r="AS90" s="267"/>
      <c r="AT90" s="290" t="str" cm="1">
        <f t="array" ref="AT90">IF(AU90="",
"",
SUMPRODUCT(
tb_desp[valor]*
(tb_desp[centro.negocio]=AU$2)*
(tb_desp[nucleo]=AU90)*
(tb_desp[data.pagamento]&gt;='n&amp;cn'!$C$1)*
(tb_desp[data.pagamento]&lt;='n&amp;cn'!$C$2)
))</f>
        <v/>
      </c>
      <c r="AU90" s="267"/>
      <c r="AV90" s="290" t="str" cm="1">
        <f t="array" ref="AV90">IF(AW90="",
"",
SUMPRODUCT(
tb_desp[valor]*
(tb_desp[centro.negocio]=AW$2)*
(tb_desp[nucleo]=AW90)*
(tb_desp[data.pagamento]&gt;='n&amp;cn'!$C$1)*
(tb_desp[data.pagamento]&lt;='n&amp;cn'!$C$2)
))</f>
        <v/>
      </c>
      <c r="AW90" s="267"/>
      <c r="AX90" s="290" t="str" cm="1">
        <f t="array" ref="AX90">IF(AY90="",
"",
SUMPRODUCT(
tb_desp[valor]*
(tb_desp[centro.negocio]=AY$2)*
(tb_desp[nucleo]=AY90)*
(tb_desp[data.pagamento]&gt;='n&amp;cn'!$C$1)*
(tb_desp[data.pagamento]&lt;='n&amp;cn'!$C$2)
))</f>
        <v/>
      </c>
      <c r="AY90" s="267"/>
      <c r="AZ90" s="290" t="str" cm="1">
        <f t="array" ref="AZ90">IF(BA90="",
"",
SUMPRODUCT(
tb_desp[valor]*
(tb_desp[centro.negocio]=BA$2)*
(tb_desp[nucleo]=BA90)*
(tb_desp[data.pagamento]&gt;='n&amp;cn'!$C$1)*
(tb_desp[data.pagamento]&lt;='n&amp;cn'!$C$2)
))</f>
        <v/>
      </c>
      <c r="BA90" s="267"/>
      <c r="BB90" s="290" t="str" cm="1">
        <f t="array" ref="BB90">IF(BC90="",
"",
SUMPRODUCT(
tb_desp[valor]*
(tb_desp[centro.negocio]=BC$2)*
(tb_desp[nucleo]=BC90)*
(tb_desp[data.pagamento]&gt;='n&amp;cn'!$C$1)*
(tb_desp[data.pagamento]&lt;='n&amp;cn'!$C$2)
))</f>
        <v/>
      </c>
      <c r="BC90" s="267"/>
      <c r="BD90" s="290" t="str" cm="1">
        <f t="array" ref="BD90">IF(BE90="",
"",
SUMPRODUCT(
tb_desp[valor]*
(tb_desp[centro.negocio]=BE$2)*
(tb_desp[nucleo]=BE90)*
(tb_desp[data.pagamento]&gt;='n&amp;cn'!$C$1)*
(tb_desp[data.pagamento]&lt;='n&amp;cn'!$C$2)
))</f>
        <v/>
      </c>
      <c r="BE90" s="267"/>
      <c r="BF90" s="290" t="str" cm="1">
        <f t="array" ref="BF90">IF(BG90="",
"",
SUMPRODUCT(
tb_desp[valor]*
(tb_desp[centro.negocio]=BG$2)*
(tb_desp[nucleo]=BG90)*
(tb_desp[data.pagamento]&gt;='n&amp;cn'!$C$1)*
(tb_desp[data.pagamento]&lt;='n&amp;cn'!$C$2)
))</f>
        <v/>
      </c>
      <c r="BG90" s="267"/>
      <c r="BH90" s="290" t="str" cm="1">
        <f t="array" ref="BH90">IF(BI90="",
"",
SUMPRODUCT(
tb_desp[valor]*
(tb_desp[centro.negocio]=BI$2)*
(tb_desp[nucleo]=BI90)*
(tb_desp[data.pagamento]&gt;='n&amp;cn'!$C$1)*
(tb_desp[data.pagamento]&lt;='n&amp;cn'!$C$2)
))</f>
        <v/>
      </c>
      <c r="BI90" s="267"/>
      <c r="BJ90" s="290" t="str" cm="1">
        <f t="array" ref="BJ90">IF(BK90="",
"",
SUMPRODUCT(
tb_desp[valor]*
(tb_desp[centro.negocio]=BK$2)*
(tb_desp[nucleo]=BK90)*
(tb_desp[data.pagamento]&gt;='n&amp;cn'!$C$1)*
(tb_desp[data.pagamento]&lt;='n&amp;cn'!$C$2)
))</f>
        <v/>
      </c>
      <c r="BK90" s="267"/>
      <c r="BL90" s="290" t="str" cm="1">
        <f t="array" ref="BL90">IF(BM90="",
"",
SUMPRODUCT(
tb_desp[valor]*
(tb_desp[centro.negocio]=BM$2)*
(tb_desp[nucleo]=BM90)*
(tb_desp[data.pagamento]&gt;='n&amp;cn'!$C$1)*
(tb_desp[data.pagamento]&lt;='n&amp;cn'!$C$2)
))</f>
        <v/>
      </c>
      <c r="BM90" s="267"/>
      <c r="BN90" s="290" t="str" cm="1">
        <f t="array" ref="BN90">IF(BO90="",
"",
SUMPRODUCT(
tb_desp[valor]*
(tb_desp[centro.negocio]=BO$2)*
(tb_desp[nucleo]=BO90)*
(tb_desp[data.pagamento]&gt;='n&amp;cn'!$C$1)*
(tb_desp[data.pagamento]&lt;='n&amp;cn'!$C$2)
))</f>
        <v/>
      </c>
      <c r="BO90" s="267"/>
    </row>
    <row r="91" spans="8:67" x14ac:dyDescent="0.25">
      <c r="H91" s="168"/>
      <c r="I91" s="163">
        <f t="shared" si="6"/>
        <v>84</v>
      </c>
      <c r="K91" s="164"/>
      <c r="L91" s="167" t="e">
        <f t="shared" si="5"/>
        <v>#DIV/0!</v>
      </c>
      <c r="M91" s="167" t="e">
        <f>SUM($L$8:$L91)</f>
        <v>#DIV/0!</v>
      </c>
      <c r="R91" s="290" t="str" cm="1">
        <f t="array" ref="R91">IF(S91="",
"",
SUMPRODUCT(
tb_desp[valor]*
(tb_desp[centro.negocio]=S$2)*
(tb_desp[nucleo]=S91)*
(tb_desp[data.pagamento]&gt;='n&amp;cn'!$C$1)*
(tb_desp[data.pagamento]&lt;='n&amp;cn'!$C$2)
))</f>
        <v/>
      </c>
      <c r="S91" s="267"/>
      <c r="T91" s="290" t="str" cm="1">
        <f t="array" ref="T91">IF(U91="",
"",
SUMPRODUCT(
tb_desp[valor]*
(tb_desp[centro.negocio]=U$2)*
(tb_desp[nucleo]=U91)*
(tb_desp[data.pagamento]&gt;='n&amp;cn'!$C$1)*
(tb_desp[data.pagamento]&lt;='n&amp;cn'!$C$2)
))</f>
        <v/>
      </c>
      <c r="U91" s="267"/>
      <c r="V91" s="290" t="str" cm="1">
        <f t="array" ref="V91">IF(W91="",
"",
SUMPRODUCT(
tb_desp[valor]*
(tb_desp[centro.negocio]=W$2)*
(tb_desp[nucleo]=W91)*
(tb_desp[data.pagamento]&gt;='n&amp;cn'!$C$1)*
(tb_desp[data.pagamento]&lt;='n&amp;cn'!$C$2)
))</f>
        <v/>
      </c>
      <c r="W91" s="267"/>
      <c r="X91" s="290" t="str" cm="1">
        <f t="array" ref="X91">IF(Y91="",
"",
SUMPRODUCT(
tb_desp[valor]*
(tb_desp[centro.negocio]=Y$2)*
(tb_desp[nucleo]=Y91)*
(tb_desp[data.pagamento]&gt;='n&amp;cn'!$C$1)*
(tb_desp[data.pagamento]&lt;='n&amp;cn'!$C$2)
))</f>
        <v/>
      </c>
      <c r="Y91" s="267"/>
      <c r="Z91" s="290" t="str" cm="1">
        <f t="array" ref="Z91">IF(AA91="",
"",
SUMPRODUCT(
tb_desp[valor]*
(tb_desp[centro.negocio]=AA$2)*
(tb_desp[nucleo]=AA91)*
(tb_desp[data.pagamento]&gt;='n&amp;cn'!$C$1)*
(tb_desp[data.pagamento]&lt;='n&amp;cn'!$C$2)
))</f>
        <v/>
      </c>
      <c r="AA91" s="267"/>
      <c r="AB91" s="290" t="str" cm="1">
        <f t="array" ref="AB91">IF(AC91="",
"",
SUMPRODUCT(
tb_desp[valor]*
(tb_desp[centro.negocio]=AC$2)*
(tb_desp[nucleo]=AC91)*
(tb_desp[data.pagamento]&gt;='n&amp;cn'!$C$1)*
(tb_desp[data.pagamento]&lt;='n&amp;cn'!$C$2)
))</f>
        <v/>
      </c>
      <c r="AC91" s="267"/>
      <c r="AD91" s="290" t="str" cm="1">
        <f t="array" ref="AD91">IF(AE91="",
"",
SUMPRODUCT(
tb_desp[valor]*
(tb_desp[centro.negocio]=AE$2)*
(tb_desp[nucleo]=AE91)*
(tb_desp[data.pagamento]&gt;='n&amp;cn'!$C$1)*
(tb_desp[data.pagamento]&lt;='n&amp;cn'!$C$2)
))</f>
        <v/>
      </c>
      <c r="AE91" s="267"/>
      <c r="AF91" s="290" t="str" cm="1">
        <f t="array" ref="AF91">IF(AG91="",
"",
SUMPRODUCT(
tb_desp[valor]*
(tb_desp[centro.negocio]=AG$2)*
(tb_desp[nucleo]=AG91)*
(tb_desp[data.pagamento]&gt;='n&amp;cn'!$C$1)*
(tb_desp[data.pagamento]&lt;='n&amp;cn'!$C$2)
))</f>
        <v/>
      </c>
      <c r="AG91" s="267"/>
      <c r="AH91" s="290" t="str" cm="1">
        <f t="array" ref="AH91">IF(AI91="",
"",
SUMPRODUCT(
tb_desp[valor]*
(tb_desp[centro.negocio]=AI$2)*
(tb_desp[nucleo]=AI91)*
(tb_desp[data.pagamento]&gt;='n&amp;cn'!$C$1)*
(tb_desp[data.pagamento]&lt;='n&amp;cn'!$C$2)
))</f>
        <v/>
      </c>
      <c r="AI91" s="267"/>
      <c r="AJ91" s="290" t="str" cm="1">
        <f t="array" ref="AJ91">IF(AK91="",
"",
SUMPRODUCT(
tb_desp[valor]*
(tb_desp[centro.negocio]=AK$2)*
(tb_desp[nucleo]=AK91)*
(tb_desp[data.pagamento]&gt;='n&amp;cn'!$C$1)*
(tb_desp[data.pagamento]&lt;='n&amp;cn'!$C$2)
))</f>
        <v/>
      </c>
      <c r="AK91" s="267"/>
      <c r="AL91" s="290" t="str" cm="1">
        <f t="array" ref="AL91">IF(AM91="",
"",
SUMPRODUCT(
tb_desp[valor]*
(tb_desp[centro.negocio]=AM$2)*
(tb_desp[nucleo]=AM91)*
(tb_desp[data.pagamento]&gt;='n&amp;cn'!$C$1)*
(tb_desp[data.pagamento]&lt;='n&amp;cn'!$C$2)
))</f>
        <v/>
      </c>
      <c r="AM91" s="267"/>
      <c r="AN91" s="290" t="str" cm="1">
        <f t="array" ref="AN91">IF(AO91="",
"",
SUMPRODUCT(
tb_desp[valor]*
(tb_desp[centro.negocio]=AO$2)*
(tb_desp[nucleo]=AO91)*
(tb_desp[data.pagamento]&gt;='n&amp;cn'!$C$1)*
(tb_desp[data.pagamento]&lt;='n&amp;cn'!$C$2)
))</f>
        <v/>
      </c>
      <c r="AO91" s="267"/>
      <c r="AP91" s="290" t="str" cm="1">
        <f t="array" ref="AP91">IF(AQ91="",
"",
SUMPRODUCT(
tb_desp[valor]*
(tb_desp[centro.negocio]=AQ$2)*
(tb_desp[nucleo]=AQ91)*
(tb_desp[data.pagamento]&gt;='n&amp;cn'!$C$1)*
(tb_desp[data.pagamento]&lt;='n&amp;cn'!$C$2)
))</f>
        <v/>
      </c>
      <c r="AQ91" s="267"/>
      <c r="AR91" s="290" t="str" cm="1">
        <f t="array" ref="AR91">IF(AS91="",
"",
SUMPRODUCT(
tb_desp[valor]*
(tb_desp[centro.negocio]=AS$2)*
(tb_desp[nucleo]=AS91)*
(tb_desp[data.pagamento]&gt;='n&amp;cn'!$C$1)*
(tb_desp[data.pagamento]&lt;='n&amp;cn'!$C$2)
))</f>
        <v/>
      </c>
      <c r="AS91" s="267"/>
      <c r="AT91" s="290" t="str" cm="1">
        <f t="array" ref="AT91">IF(AU91="",
"",
SUMPRODUCT(
tb_desp[valor]*
(tb_desp[centro.negocio]=AU$2)*
(tb_desp[nucleo]=AU91)*
(tb_desp[data.pagamento]&gt;='n&amp;cn'!$C$1)*
(tb_desp[data.pagamento]&lt;='n&amp;cn'!$C$2)
))</f>
        <v/>
      </c>
      <c r="AU91" s="267"/>
      <c r="AV91" s="290" t="str" cm="1">
        <f t="array" ref="AV91">IF(AW91="",
"",
SUMPRODUCT(
tb_desp[valor]*
(tb_desp[centro.negocio]=AW$2)*
(tb_desp[nucleo]=AW91)*
(tb_desp[data.pagamento]&gt;='n&amp;cn'!$C$1)*
(tb_desp[data.pagamento]&lt;='n&amp;cn'!$C$2)
))</f>
        <v/>
      </c>
      <c r="AW91" s="267"/>
      <c r="AX91" s="290" t="str" cm="1">
        <f t="array" ref="AX91">IF(AY91="",
"",
SUMPRODUCT(
tb_desp[valor]*
(tb_desp[centro.negocio]=AY$2)*
(tb_desp[nucleo]=AY91)*
(tb_desp[data.pagamento]&gt;='n&amp;cn'!$C$1)*
(tb_desp[data.pagamento]&lt;='n&amp;cn'!$C$2)
))</f>
        <v/>
      </c>
      <c r="AY91" s="267"/>
      <c r="AZ91" s="290" t="str" cm="1">
        <f t="array" ref="AZ91">IF(BA91="",
"",
SUMPRODUCT(
tb_desp[valor]*
(tb_desp[centro.negocio]=BA$2)*
(tb_desp[nucleo]=BA91)*
(tb_desp[data.pagamento]&gt;='n&amp;cn'!$C$1)*
(tb_desp[data.pagamento]&lt;='n&amp;cn'!$C$2)
))</f>
        <v/>
      </c>
      <c r="BA91" s="267"/>
      <c r="BB91" s="290" t="str" cm="1">
        <f t="array" ref="BB91">IF(BC91="",
"",
SUMPRODUCT(
tb_desp[valor]*
(tb_desp[centro.negocio]=BC$2)*
(tb_desp[nucleo]=BC91)*
(tb_desp[data.pagamento]&gt;='n&amp;cn'!$C$1)*
(tb_desp[data.pagamento]&lt;='n&amp;cn'!$C$2)
))</f>
        <v/>
      </c>
      <c r="BC91" s="267"/>
      <c r="BD91" s="290" t="str" cm="1">
        <f t="array" ref="BD91">IF(BE91="",
"",
SUMPRODUCT(
tb_desp[valor]*
(tb_desp[centro.negocio]=BE$2)*
(tb_desp[nucleo]=BE91)*
(tb_desp[data.pagamento]&gt;='n&amp;cn'!$C$1)*
(tb_desp[data.pagamento]&lt;='n&amp;cn'!$C$2)
))</f>
        <v/>
      </c>
      <c r="BE91" s="267"/>
      <c r="BF91" s="290" t="str" cm="1">
        <f t="array" ref="BF91">IF(BG91="",
"",
SUMPRODUCT(
tb_desp[valor]*
(tb_desp[centro.negocio]=BG$2)*
(tb_desp[nucleo]=BG91)*
(tb_desp[data.pagamento]&gt;='n&amp;cn'!$C$1)*
(tb_desp[data.pagamento]&lt;='n&amp;cn'!$C$2)
))</f>
        <v/>
      </c>
      <c r="BG91" s="267"/>
      <c r="BH91" s="290" t="str" cm="1">
        <f t="array" ref="BH91">IF(BI91="",
"",
SUMPRODUCT(
tb_desp[valor]*
(tb_desp[centro.negocio]=BI$2)*
(tb_desp[nucleo]=BI91)*
(tb_desp[data.pagamento]&gt;='n&amp;cn'!$C$1)*
(tb_desp[data.pagamento]&lt;='n&amp;cn'!$C$2)
))</f>
        <v/>
      </c>
      <c r="BI91" s="267"/>
      <c r="BJ91" s="290" t="str" cm="1">
        <f t="array" ref="BJ91">IF(BK91="",
"",
SUMPRODUCT(
tb_desp[valor]*
(tb_desp[centro.negocio]=BK$2)*
(tb_desp[nucleo]=BK91)*
(tb_desp[data.pagamento]&gt;='n&amp;cn'!$C$1)*
(tb_desp[data.pagamento]&lt;='n&amp;cn'!$C$2)
))</f>
        <v/>
      </c>
      <c r="BK91" s="267"/>
      <c r="BL91" s="290" t="str" cm="1">
        <f t="array" ref="BL91">IF(BM91="",
"",
SUMPRODUCT(
tb_desp[valor]*
(tb_desp[centro.negocio]=BM$2)*
(tb_desp[nucleo]=BM91)*
(tb_desp[data.pagamento]&gt;='n&amp;cn'!$C$1)*
(tb_desp[data.pagamento]&lt;='n&amp;cn'!$C$2)
))</f>
        <v/>
      </c>
      <c r="BM91" s="267"/>
      <c r="BN91" s="290" t="str" cm="1">
        <f t="array" ref="BN91">IF(BO91="",
"",
SUMPRODUCT(
tb_desp[valor]*
(tb_desp[centro.negocio]=BO$2)*
(tb_desp[nucleo]=BO91)*
(tb_desp[data.pagamento]&gt;='n&amp;cn'!$C$1)*
(tb_desp[data.pagamento]&lt;='n&amp;cn'!$C$2)
))</f>
        <v/>
      </c>
      <c r="BO91" s="267"/>
    </row>
    <row r="92" spans="8:67" x14ac:dyDescent="0.25">
      <c r="H92" s="168"/>
      <c r="I92" s="163">
        <f t="shared" si="6"/>
        <v>85</v>
      </c>
      <c r="K92" s="164"/>
      <c r="L92" s="167" t="e">
        <f t="shared" si="5"/>
        <v>#DIV/0!</v>
      </c>
      <c r="M92" s="167" t="e">
        <f>SUM($L$8:$L92)</f>
        <v>#DIV/0!</v>
      </c>
      <c r="R92" s="290" t="str" cm="1">
        <f t="array" ref="R92">IF(S92="",
"",
SUMPRODUCT(
tb_desp[valor]*
(tb_desp[centro.negocio]=S$2)*
(tb_desp[nucleo]=S92)*
(tb_desp[data.pagamento]&gt;='n&amp;cn'!$C$1)*
(tb_desp[data.pagamento]&lt;='n&amp;cn'!$C$2)
))</f>
        <v/>
      </c>
      <c r="S92" s="267"/>
      <c r="T92" s="290" t="str" cm="1">
        <f t="array" ref="T92">IF(U92="",
"",
SUMPRODUCT(
tb_desp[valor]*
(tb_desp[centro.negocio]=U$2)*
(tb_desp[nucleo]=U92)*
(tb_desp[data.pagamento]&gt;='n&amp;cn'!$C$1)*
(tb_desp[data.pagamento]&lt;='n&amp;cn'!$C$2)
))</f>
        <v/>
      </c>
      <c r="U92" s="267"/>
      <c r="V92" s="290" t="str" cm="1">
        <f t="array" ref="V92">IF(W92="",
"",
SUMPRODUCT(
tb_desp[valor]*
(tb_desp[centro.negocio]=W$2)*
(tb_desp[nucleo]=W92)*
(tb_desp[data.pagamento]&gt;='n&amp;cn'!$C$1)*
(tb_desp[data.pagamento]&lt;='n&amp;cn'!$C$2)
))</f>
        <v/>
      </c>
      <c r="W92" s="267"/>
      <c r="X92" s="290" t="str" cm="1">
        <f t="array" ref="X92">IF(Y92="",
"",
SUMPRODUCT(
tb_desp[valor]*
(tb_desp[centro.negocio]=Y$2)*
(tb_desp[nucleo]=Y92)*
(tb_desp[data.pagamento]&gt;='n&amp;cn'!$C$1)*
(tb_desp[data.pagamento]&lt;='n&amp;cn'!$C$2)
))</f>
        <v/>
      </c>
      <c r="Y92" s="267"/>
      <c r="Z92" s="290" t="str" cm="1">
        <f t="array" ref="Z92">IF(AA92="",
"",
SUMPRODUCT(
tb_desp[valor]*
(tb_desp[centro.negocio]=AA$2)*
(tb_desp[nucleo]=AA92)*
(tb_desp[data.pagamento]&gt;='n&amp;cn'!$C$1)*
(tb_desp[data.pagamento]&lt;='n&amp;cn'!$C$2)
))</f>
        <v/>
      </c>
      <c r="AA92" s="267"/>
      <c r="AB92" s="290" t="str" cm="1">
        <f t="array" ref="AB92">IF(AC92="",
"",
SUMPRODUCT(
tb_desp[valor]*
(tb_desp[centro.negocio]=AC$2)*
(tb_desp[nucleo]=AC92)*
(tb_desp[data.pagamento]&gt;='n&amp;cn'!$C$1)*
(tb_desp[data.pagamento]&lt;='n&amp;cn'!$C$2)
))</f>
        <v/>
      </c>
      <c r="AC92" s="267"/>
      <c r="AD92" s="290" t="str" cm="1">
        <f t="array" ref="AD92">IF(AE92="",
"",
SUMPRODUCT(
tb_desp[valor]*
(tb_desp[centro.negocio]=AE$2)*
(tb_desp[nucleo]=AE92)*
(tb_desp[data.pagamento]&gt;='n&amp;cn'!$C$1)*
(tb_desp[data.pagamento]&lt;='n&amp;cn'!$C$2)
))</f>
        <v/>
      </c>
      <c r="AE92" s="267"/>
      <c r="AF92" s="290" t="str" cm="1">
        <f t="array" ref="AF92">IF(AG92="",
"",
SUMPRODUCT(
tb_desp[valor]*
(tb_desp[centro.negocio]=AG$2)*
(tb_desp[nucleo]=AG92)*
(tb_desp[data.pagamento]&gt;='n&amp;cn'!$C$1)*
(tb_desp[data.pagamento]&lt;='n&amp;cn'!$C$2)
))</f>
        <v/>
      </c>
      <c r="AG92" s="267"/>
      <c r="AH92" s="290" t="str" cm="1">
        <f t="array" ref="AH92">IF(AI92="",
"",
SUMPRODUCT(
tb_desp[valor]*
(tb_desp[centro.negocio]=AI$2)*
(tb_desp[nucleo]=AI92)*
(tb_desp[data.pagamento]&gt;='n&amp;cn'!$C$1)*
(tb_desp[data.pagamento]&lt;='n&amp;cn'!$C$2)
))</f>
        <v/>
      </c>
      <c r="AI92" s="267"/>
      <c r="AJ92" s="290" t="str" cm="1">
        <f t="array" ref="AJ92">IF(AK92="",
"",
SUMPRODUCT(
tb_desp[valor]*
(tb_desp[centro.negocio]=AK$2)*
(tb_desp[nucleo]=AK92)*
(tb_desp[data.pagamento]&gt;='n&amp;cn'!$C$1)*
(tb_desp[data.pagamento]&lt;='n&amp;cn'!$C$2)
))</f>
        <v/>
      </c>
      <c r="AK92" s="267"/>
      <c r="AL92" s="290" t="str" cm="1">
        <f t="array" ref="AL92">IF(AM92="",
"",
SUMPRODUCT(
tb_desp[valor]*
(tb_desp[centro.negocio]=AM$2)*
(tb_desp[nucleo]=AM92)*
(tb_desp[data.pagamento]&gt;='n&amp;cn'!$C$1)*
(tb_desp[data.pagamento]&lt;='n&amp;cn'!$C$2)
))</f>
        <v/>
      </c>
      <c r="AM92" s="267"/>
      <c r="AN92" s="290" t="str" cm="1">
        <f t="array" ref="AN92">IF(AO92="",
"",
SUMPRODUCT(
tb_desp[valor]*
(tb_desp[centro.negocio]=AO$2)*
(tb_desp[nucleo]=AO92)*
(tb_desp[data.pagamento]&gt;='n&amp;cn'!$C$1)*
(tb_desp[data.pagamento]&lt;='n&amp;cn'!$C$2)
))</f>
        <v/>
      </c>
      <c r="AO92" s="267"/>
      <c r="AP92" s="290" t="str" cm="1">
        <f t="array" ref="AP92">IF(AQ92="",
"",
SUMPRODUCT(
tb_desp[valor]*
(tb_desp[centro.negocio]=AQ$2)*
(tb_desp[nucleo]=AQ92)*
(tb_desp[data.pagamento]&gt;='n&amp;cn'!$C$1)*
(tb_desp[data.pagamento]&lt;='n&amp;cn'!$C$2)
))</f>
        <v/>
      </c>
      <c r="AQ92" s="267"/>
      <c r="AR92" s="290" t="str" cm="1">
        <f t="array" ref="AR92">IF(AS92="",
"",
SUMPRODUCT(
tb_desp[valor]*
(tb_desp[centro.negocio]=AS$2)*
(tb_desp[nucleo]=AS92)*
(tb_desp[data.pagamento]&gt;='n&amp;cn'!$C$1)*
(tb_desp[data.pagamento]&lt;='n&amp;cn'!$C$2)
))</f>
        <v/>
      </c>
      <c r="AS92" s="267"/>
      <c r="AT92" s="290" t="str" cm="1">
        <f t="array" ref="AT92">IF(AU92="",
"",
SUMPRODUCT(
tb_desp[valor]*
(tb_desp[centro.negocio]=AU$2)*
(tb_desp[nucleo]=AU92)*
(tb_desp[data.pagamento]&gt;='n&amp;cn'!$C$1)*
(tb_desp[data.pagamento]&lt;='n&amp;cn'!$C$2)
))</f>
        <v/>
      </c>
      <c r="AU92" s="267"/>
      <c r="AV92" s="290" t="str" cm="1">
        <f t="array" ref="AV92">IF(AW92="",
"",
SUMPRODUCT(
tb_desp[valor]*
(tb_desp[centro.negocio]=AW$2)*
(tb_desp[nucleo]=AW92)*
(tb_desp[data.pagamento]&gt;='n&amp;cn'!$C$1)*
(tb_desp[data.pagamento]&lt;='n&amp;cn'!$C$2)
))</f>
        <v/>
      </c>
      <c r="AW92" s="267"/>
      <c r="AX92" s="290" t="str" cm="1">
        <f t="array" ref="AX92">IF(AY92="",
"",
SUMPRODUCT(
tb_desp[valor]*
(tb_desp[centro.negocio]=AY$2)*
(tb_desp[nucleo]=AY92)*
(tb_desp[data.pagamento]&gt;='n&amp;cn'!$C$1)*
(tb_desp[data.pagamento]&lt;='n&amp;cn'!$C$2)
))</f>
        <v/>
      </c>
      <c r="AY92" s="267"/>
      <c r="AZ92" s="290" t="str" cm="1">
        <f t="array" ref="AZ92">IF(BA92="",
"",
SUMPRODUCT(
tb_desp[valor]*
(tb_desp[centro.negocio]=BA$2)*
(tb_desp[nucleo]=BA92)*
(tb_desp[data.pagamento]&gt;='n&amp;cn'!$C$1)*
(tb_desp[data.pagamento]&lt;='n&amp;cn'!$C$2)
))</f>
        <v/>
      </c>
      <c r="BA92" s="267"/>
      <c r="BB92" s="290" t="str" cm="1">
        <f t="array" ref="BB92">IF(BC92="",
"",
SUMPRODUCT(
tb_desp[valor]*
(tb_desp[centro.negocio]=BC$2)*
(tb_desp[nucleo]=BC92)*
(tb_desp[data.pagamento]&gt;='n&amp;cn'!$C$1)*
(tb_desp[data.pagamento]&lt;='n&amp;cn'!$C$2)
))</f>
        <v/>
      </c>
      <c r="BC92" s="267"/>
      <c r="BD92" s="290" t="str" cm="1">
        <f t="array" ref="BD92">IF(BE92="",
"",
SUMPRODUCT(
tb_desp[valor]*
(tb_desp[centro.negocio]=BE$2)*
(tb_desp[nucleo]=BE92)*
(tb_desp[data.pagamento]&gt;='n&amp;cn'!$C$1)*
(tb_desp[data.pagamento]&lt;='n&amp;cn'!$C$2)
))</f>
        <v/>
      </c>
      <c r="BE92" s="267"/>
      <c r="BF92" s="290" t="str" cm="1">
        <f t="array" ref="BF92">IF(BG92="",
"",
SUMPRODUCT(
tb_desp[valor]*
(tb_desp[centro.negocio]=BG$2)*
(tb_desp[nucleo]=BG92)*
(tb_desp[data.pagamento]&gt;='n&amp;cn'!$C$1)*
(tb_desp[data.pagamento]&lt;='n&amp;cn'!$C$2)
))</f>
        <v/>
      </c>
      <c r="BG92" s="267"/>
      <c r="BH92" s="290" t="str" cm="1">
        <f t="array" ref="BH92">IF(BI92="",
"",
SUMPRODUCT(
tb_desp[valor]*
(tb_desp[centro.negocio]=BI$2)*
(tb_desp[nucleo]=BI92)*
(tb_desp[data.pagamento]&gt;='n&amp;cn'!$C$1)*
(tb_desp[data.pagamento]&lt;='n&amp;cn'!$C$2)
))</f>
        <v/>
      </c>
      <c r="BI92" s="267"/>
      <c r="BJ92" s="290" t="str" cm="1">
        <f t="array" ref="BJ92">IF(BK92="",
"",
SUMPRODUCT(
tb_desp[valor]*
(tb_desp[centro.negocio]=BK$2)*
(tb_desp[nucleo]=BK92)*
(tb_desp[data.pagamento]&gt;='n&amp;cn'!$C$1)*
(tb_desp[data.pagamento]&lt;='n&amp;cn'!$C$2)
))</f>
        <v/>
      </c>
      <c r="BK92" s="267"/>
      <c r="BL92" s="290" t="str" cm="1">
        <f t="array" ref="BL92">IF(BM92="",
"",
SUMPRODUCT(
tb_desp[valor]*
(tb_desp[centro.negocio]=BM$2)*
(tb_desp[nucleo]=BM92)*
(tb_desp[data.pagamento]&gt;='n&amp;cn'!$C$1)*
(tb_desp[data.pagamento]&lt;='n&amp;cn'!$C$2)
))</f>
        <v/>
      </c>
      <c r="BM92" s="267"/>
      <c r="BN92" s="290" t="str" cm="1">
        <f t="array" ref="BN92">IF(BO92="",
"",
SUMPRODUCT(
tb_desp[valor]*
(tb_desp[centro.negocio]=BO$2)*
(tb_desp[nucleo]=BO92)*
(tb_desp[data.pagamento]&gt;='n&amp;cn'!$C$1)*
(tb_desp[data.pagamento]&lt;='n&amp;cn'!$C$2)
))</f>
        <v/>
      </c>
      <c r="BO92" s="267"/>
    </row>
    <row r="93" spans="8:67" x14ac:dyDescent="0.25">
      <c r="H93" s="168"/>
      <c r="I93" s="163">
        <f t="shared" si="6"/>
        <v>86</v>
      </c>
      <c r="K93" s="164"/>
      <c r="L93" s="167" t="e">
        <f t="shared" si="5"/>
        <v>#DIV/0!</v>
      </c>
      <c r="M93" s="167" t="e">
        <f>SUM($L$8:$L93)</f>
        <v>#DIV/0!</v>
      </c>
      <c r="R93" s="290" t="str" cm="1">
        <f t="array" ref="R93">IF(S93="",
"",
SUMPRODUCT(
tb_desp[valor]*
(tb_desp[centro.negocio]=S$2)*
(tb_desp[nucleo]=S93)*
(tb_desp[data.pagamento]&gt;='n&amp;cn'!$C$1)*
(tb_desp[data.pagamento]&lt;='n&amp;cn'!$C$2)
))</f>
        <v/>
      </c>
      <c r="S93" s="267"/>
      <c r="T93" s="290" t="str" cm="1">
        <f t="array" ref="T93">IF(U93="",
"",
SUMPRODUCT(
tb_desp[valor]*
(tb_desp[centro.negocio]=U$2)*
(tb_desp[nucleo]=U93)*
(tb_desp[data.pagamento]&gt;='n&amp;cn'!$C$1)*
(tb_desp[data.pagamento]&lt;='n&amp;cn'!$C$2)
))</f>
        <v/>
      </c>
      <c r="U93" s="267"/>
      <c r="V93" s="290" t="str" cm="1">
        <f t="array" ref="V93">IF(W93="",
"",
SUMPRODUCT(
tb_desp[valor]*
(tb_desp[centro.negocio]=W$2)*
(tb_desp[nucleo]=W93)*
(tb_desp[data.pagamento]&gt;='n&amp;cn'!$C$1)*
(tb_desp[data.pagamento]&lt;='n&amp;cn'!$C$2)
))</f>
        <v/>
      </c>
      <c r="W93" s="267"/>
      <c r="X93" s="290" t="str" cm="1">
        <f t="array" ref="X93">IF(Y93="",
"",
SUMPRODUCT(
tb_desp[valor]*
(tb_desp[centro.negocio]=Y$2)*
(tb_desp[nucleo]=Y93)*
(tb_desp[data.pagamento]&gt;='n&amp;cn'!$C$1)*
(tb_desp[data.pagamento]&lt;='n&amp;cn'!$C$2)
))</f>
        <v/>
      </c>
      <c r="Y93" s="267"/>
      <c r="Z93" s="290" t="str" cm="1">
        <f t="array" ref="Z93">IF(AA93="",
"",
SUMPRODUCT(
tb_desp[valor]*
(tb_desp[centro.negocio]=AA$2)*
(tb_desp[nucleo]=AA93)*
(tb_desp[data.pagamento]&gt;='n&amp;cn'!$C$1)*
(tb_desp[data.pagamento]&lt;='n&amp;cn'!$C$2)
))</f>
        <v/>
      </c>
      <c r="AA93" s="267"/>
      <c r="AB93" s="290" t="str" cm="1">
        <f t="array" ref="AB93">IF(AC93="",
"",
SUMPRODUCT(
tb_desp[valor]*
(tb_desp[centro.negocio]=AC$2)*
(tb_desp[nucleo]=AC93)*
(tb_desp[data.pagamento]&gt;='n&amp;cn'!$C$1)*
(tb_desp[data.pagamento]&lt;='n&amp;cn'!$C$2)
))</f>
        <v/>
      </c>
      <c r="AC93" s="267"/>
      <c r="AD93" s="290" t="str" cm="1">
        <f t="array" ref="AD93">IF(AE93="",
"",
SUMPRODUCT(
tb_desp[valor]*
(tb_desp[centro.negocio]=AE$2)*
(tb_desp[nucleo]=AE93)*
(tb_desp[data.pagamento]&gt;='n&amp;cn'!$C$1)*
(tb_desp[data.pagamento]&lt;='n&amp;cn'!$C$2)
))</f>
        <v/>
      </c>
      <c r="AE93" s="267"/>
      <c r="AF93" s="290" t="str" cm="1">
        <f t="array" ref="AF93">IF(AG93="",
"",
SUMPRODUCT(
tb_desp[valor]*
(tb_desp[centro.negocio]=AG$2)*
(tb_desp[nucleo]=AG93)*
(tb_desp[data.pagamento]&gt;='n&amp;cn'!$C$1)*
(tb_desp[data.pagamento]&lt;='n&amp;cn'!$C$2)
))</f>
        <v/>
      </c>
      <c r="AG93" s="267"/>
      <c r="AH93" s="290" t="str" cm="1">
        <f t="array" ref="AH93">IF(AI93="",
"",
SUMPRODUCT(
tb_desp[valor]*
(tb_desp[centro.negocio]=AI$2)*
(tb_desp[nucleo]=AI93)*
(tb_desp[data.pagamento]&gt;='n&amp;cn'!$C$1)*
(tb_desp[data.pagamento]&lt;='n&amp;cn'!$C$2)
))</f>
        <v/>
      </c>
      <c r="AI93" s="267"/>
      <c r="AJ93" s="290" t="str" cm="1">
        <f t="array" ref="AJ93">IF(AK93="",
"",
SUMPRODUCT(
tb_desp[valor]*
(tb_desp[centro.negocio]=AK$2)*
(tb_desp[nucleo]=AK93)*
(tb_desp[data.pagamento]&gt;='n&amp;cn'!$C$1)*
(tb_desp[data.pagamento]&lt;='n&amp;cn'!$C$2)
))</f>
        <v/>
      </c>
      <c r="AK93" s="267"/>
      <c r="AL93" s="290" t="str" cm="1">
        <f t="array" ref="AL93">IF(AM93="",
"",
SUMPRODUCT(
tb_desp[valor]*
(tb_desp[centro.negocio]=AM$2)*
(tb_desp[nucleo]=AM93)*
(tb_desp[data.pagamento]&gt;='n&amp;cn'!$C$1)*
(tb_desp[data.pagamento]&lt;='n&amp;cn'!$C$2)
))</f>
        <v/>
      </c>
      <c r="AM93" s="267"/>
      <c r="AN93" s="290" t="str" cm="1">
        <f t="array" ref="AN93">IF(AO93="",
"",
SUMPRODUCT(
tb_desp[valor]*
(tb_desp[centro.negocio]=AO$2)*
(tb_desp[nucleo]=AO93)*
(tb_desp[data.pagamento]&gt;='n&amp;cn'!$C$1)*
(tb_desp[data.pagamento]&lt;='n&amp;cn'!$C$2)
))</f>
        <v/>
      </c>
      <c r="AO93" s="267"/>
      <c r="AP93" s="290" t="str" cm="1">
        <f t="array" ref="AP93">IF(AQ93="",
"",
SUMPRODUCT(
tb_desp[valor]*
(tb_desp[centro.negocio]=AQ$2)*
(tb_desp[nucleo]=AQ93)*
(tb_desp[data.pagamento]&gt;='n&amp;cn'!$C$1)*
(tb_desp[data.pagamento]&lt;='n&amp;cn'!$C$2)
))</f>
        <v/>
      </c>
      <c r="AQ93" s="267"/>
      <c r="AR93" s="290" t="str" cm="1">
        <f t="array" ref="AR93">IF(AS93="",
"",
SUMPRODUCT(
tb_desp[valor]*
(tb_desp[centro.negocio]=AS$2)*
(tb_desp[nucleo]=AS93)*
(tb_desp[data.pagamento]&gt;='n&amp;cn'!$C$1)*
(tb_desp[data.pagamento]&lt;='n&amp;cn'!$C$2)
))</f>
        <v/>
      </c>
      <c r="AS93" s="267"/>
      <c r="AT93" s="290" t="str" cm="1">
        <f t="array" ref="AT93">IF(AU93="",
"",
SUMPRODUCT(
tb_desp[valor]*
(tb_desp[centro.negocio]=AU$2)*
(tb_desp[nucleo]=AU93)*
(tb_desp[data.pagamento]&gt;='n&amp;cn'!$C$1)*
(tb_desp[data.pagamento]&lt;='n&amp;cn'!$C$2)
))</f>
        <v/>
      </c>
      <c r="AU93" s="267"/>
      <c r="AV93" s="290" t="str" cm="1">
        <f t="array" ref="AV93">IF(AW93="",
"",
SUMPRODUCT(
tb_desp[valor]*
(tb_desp[centro.negocio]=AW$2)*
(tb_desp[nucleo]=AW93)*
(tb_desp[data.pagamento]&gt;='n&amp;cn'!$C$1)*
(tb_desp[data.pagamento]&lt;='n&amp;cn'!$C$2)
))</f>
        <v/>
      </c>
      <c r="AW93" s="267"/>
      <c r="AX93" s="290" t="str" cm="1">
        <f t="array" ref="AX93">IF(AY93="",
"",
SUMPRODUCT(
tb_desp[valor]*
(tb_desp[centro.negocio]=AY$2)*
(tb_desp[nucleo]=AY93)*
(tb_desp[data.pagamento]&gt;='n&amp;cn'!$C$1)*
(tb_desp[data.pagamento]&lt;='n&amp;cn'!$C$2)
))</f>
        <v/>
      </c>
      <c r="AY93" s="267"/>
      <c r="AZ93" s="290" t="str" cm="1">
        <f t="array" ref="AZ93">IF(BA93="",
"",
SUMPRODUCT(
tb_desp[valor]*
(tb_desp[centro.negocio]=BA$2)*
(tb_desp[nucleo]=BA93)*
(tb_desp[data.pagamento]&gt;='n&amp;cn'!$C$1)*
(tb_desp[data.pagamento]&lt;='n&amp;cn'!$C$2)
))</f>
        <v/>
      </c>
      <c r="BA93" s="267"/>
      <c r="BB93" s="290" t="str" cm="1">
        <f t="array" ref="BB93">IF(BC93="",
"",
SUMPRODUCT(
tb_desp[valor]*
(tb_desp[centro.negocio]=BC$2)*
(tb_desp[nucleo]=BC93)*
(tb_desp[data.pagamento]&gt;='n&amp;cn'!$C$1)*
(tb_desp[data.pagamento]&lt;='n&amp;cn'!$C$2)
))</f>
        <v/>
      </c>
      <c r="BC93" s="267"/>
      <c r="BD93" s="290" t="str" cm="1">
        <f t="array" ref="BD93">IF(BE93="",
"",
SUMPRODUCT(
tb_desp[valor]*
(tb_desp[centro.negocio]=BE$2)*
(tb_desp[nucleo]=BE93)*
(tb_desp[data.pagamento]&gt;='n&amp;cn'!$C$1)*
(tb_desp[data.pagamento]&lt;='n&amp;cn'!$C$2)
))</f>
        <v/>
      </c>
      <c r="BE93" s="267"/>
      <c r="BF93" s="290" t="str" cm="1">
        <f t="array" ref="BF93">IF(BG93="",
"",
SUMPRODUCT(
tb_desp[valor]*
(tb_desp[centro.negocio]=BG$2)*
(tb_desp[nucleo]=BG93)*
(tb_desp[data.pagamento]&gt;='n&amp;cn'!$C$1)*
(tb_desp[data.pagamento]&lt;='n&amp;cn'!$C$2)
))</f>
        <v/>
      </c>
      <c r="BG93" s="267"/>
      <c r="BH93" s="290" t="str" cm="1">
        <f t="array" ref="BH93">IF(BI93="",
"",
SUMPRODUCT(
tb_desp[valor]*
(tb_desp[centro.negocio]=BI$2)*
(tb_desp[nucleo]=BI93)*
(tb_desp[data.pagamento]&gt;='n&amp;cn'!$C$1)*
(tb_desp[data.pagamento]&lt;='n&amp;cn'!$C$2)
))</f>
        <v/>
      </c>
      <c r="BI93" s="267"/>
      <c r="BJ93" s="290" t="str" cm="1">
        <f t="array" ref="BJ93">IF(BK93="",
"",
SUMPRODUCT(
tb_desp[valor]*
(tb_desp[centro.negocio]=BK$2)*
(tb_desp[nucleo]=BK93)*
(tb_desp[data.pagamento]&gt;='n&amp;cn'!$C$1)*
(tb_desp[data.pagamento]&lt;='n&amp;cn'!$C$2)
))</f>
        <v/>
      </c>
      <c r="BK93" s="267"/>
      <c r="BL93" s="290" t="str" cm="1">
        <f t="array" ref="BL93">IF(BM93="",
"",
SUMPRODUCT(
tb_desp[valor]*
(tb_desp[centro.negocio]=BM$2)*
(tb_desp[nucleo]=BM93)*
(tb_desp[data.pagamento]&gt;='n&amp;cn'!$C$1)*
(tb_desp[data.pagamento]&lt;='n&amp;cn'!$C$2)
))</f>
        <v/>
      </c>
      <c r="BM93" s="267"/>
      <c r="BN93" s="290" t="str" cm="1">
        <f t="array" ref="BN93">IF(BO93="",
"",
SUMPRODUCT(
tb_desp[valor]*
(tb_desp[centro.negocio]=BO$2)*
(tb_desp[nucleo]=BO93)*
(tb_desp[data.pagamento]&gt;='n&amp;cn'!$C$1)*
(tb_desp[data.pagamento]&lt;='n&amp;cn'!$C$2)
))</f>
        <v/>
      </c>
      <c r="BO93" s="267"/>
    </row>
    <row r="94" spans="8:67" x14ac:dyDescent="0.25">
      <c r="H94" s="168"/>
      <c r="I94" s="163">
        <f t="shared" si="6"/>
        <v>87</v>
      </c>
      <c r="K94" s="164"/>
      <c r="L94" s="167" t="e">
        <f t="shared" si="5"/>
        <v>#DIV/0!</v>
      </c>
      <c r="M94" s="167" t="e">
        <f>SUM($L$8:$L94)</f>
        <v>#DIV/0!</v>
      </c>
      <c r="R94" s="290" t="str" cm="1">
        <f t="array" ref="R94">IF(S94="",
"",
SUMPRODUCT(
tb_desp[valor]*
(tb_desp[centro.negocio]=S$2)*
(tb_desp[nucleo]=S94)*
(tb_desp[data.pagamento]&gt;='n&amp;cn'!$C$1)*
(tb_desp[data.pagamento]&lt;='n&amp;cn'!$C$2)
))</f>
        <v/>
      </c>
      <c r="S94" s="267"/>
      <c r="T94" s="290" t="str" cm="1">
        <f t="array" ref="T94">IF(U94="",
"",
SUMPRODUCT(
tb_desp[valor]*
(tb_desp[centro.negocio]=U$2)*
(tb_desp[nucleo]=U94)*
(tb_desp[data.pagamento]&gt;='n&amp;cn'!$C$1)*
(tb_desp[data.pagamento]&lt;='n&amp;cn'!$C$2)
))</f>
        <v/>
      </c>
      <c r="U94" s="267"/>
      <c r="V94" s="290" t="str" cm="1">
        <f t="array" ref="V94">IF(W94="",
"",
SUMPRODUCT(
tb_desp[valor]*
(tb_desp[centro.negocio]=W$2)*
(tb_desp[nucleo]=W94)*
(tb_desp[data.pagamento]&gt;='n&amp;cn'!$C$1)*
(tb_desp[data.pagamento]&lt;='n&amp;cn'!$C$2)
))</f>
        <v/>
      </c>
      <c r="W94" s="267"/>
      <c r="X94" s="290" t="str" cm="1">
        <f t="array" ref="X94">IF(Y94="",
"",
SUMPRODUCT(
tb_desp[valor]*
(tb_desp[centro.negocio]=Y$2)*
(tb_desp[nucleo]=Y94)*
(tb_desp[data.pagamento]&gt;='n&amp;cn'!$C$1)*
(tb_desp[data.pagamento]&lt;='n&amp;cn'!$C$2)
))</f>
        <v/>
      </c>
      <c r="Y94" s="267"/>
      <c r="Z94" s="290" t="str" cm="1">
        <f t="array" ref="Z94">IF(AA94="",
"",
SUMPRODUCT(
tb_desp[valor]*
(tb_desp[centro.negocio]=AA$2)*
(tb_desp[nucleo]=AA94)*
(tb_desp[data.pagamento]&gt;='n&amp;cn'!$C$1)*
(tb_desp[data.pagamento]&lt;='n&amp;cn'!$C$2)
))</f>
        <v/>
      </c>
      <c r="AA94" s="267"/>
      <c r="AB94" s="290" t="str" cm="1">
        <f t="array" ref="AB94">IF(AC94="",
"",
SUMPRODUCT(
tb_desp[valor]*
(tb_desp[centro.negocio]=AC$2)*
(tb_desp[nucleo]=AC94)*
(tb_desp[data.pagamento]&gt;='n&amp;cn'!$C$1)*
(tb_desp[data.pagamento]&lt;='n&amp;cn'!$C$2)
))</f>
        <v/>
      </c>
      <c r="AC94" s="267"/>
      <c r="AD94" s="290" t="str" cm="1">
        <f t="array" ref="AD94">IF(AE94="",
"",
SUMPRODUCT(
tb_desp[valor]*
(tb_desp[centro.negocio]=AE$2)*
(tb_desp[nucleo]=AE94)*
(tb_desp[data.pagamento]&gt;='n&amp;cn'!$C$1)*
(tb_desp[data.pagamento]&lt;='n&amp;cn'!$C$2)
))</f>
        <v/>
      </c>
      <c r="AE94" s="267"/>
      <c r="AF94" s="290" t="str" cm="1">
        <f t="array" ref="AF94">IF(AG94="",
"",
SUMPRODUCT(
tb_desp[valor]*
(tb_desp[centro.negocio]=AG$2)*
(tb_desp[nucleo]=AG94)*
(tb_desp[data.pagamento]&gt;='n&amp;cn'!$C$1)*
(tb_desp[data.pagamento]&lt;='n&amp;cn'!$C$2)
))</f>
        <v/>
      </c>
      <c r="AG94" s="267"/>
      <c r="AH94" s="290" t="str" cm="1">
        <f t="array" ref="AH94">IF(AI94="",
"",
SUMPRODUCT(
tb_desp[valor]*
(tb_desp[centro.negocio]=AI$2)*
(tb_desp[nucleo]=AI94)*
(tb_desp[data.pagamento]&gt;='n&amp;cn'!$C$1)*
(tb_desp[data.pagamento]&lt;='n&amp;cn'!$C$2)
))</f>
        <v/>
      </c>
      <c r="AI94" s="267"/>
      <c r="AJ94" s="290" t="str" cm="1">
        <f t="array" ref="AJ94">IF(AK94="",
"",
SUMPRODUCT(
tb_desp[valor]*
(tb_desp[centro.negocio]=AK$2)*
(tb_desp[nucleo]=AK94)*
(tb_desp[data.pagamento]&gt;='n&amp;cn'!$C$1)*
(tb_desp[data.pagamento]&lt;='n&amp;cn'!$C$2)
))</f>
        <v/>
      </c>
      <c r="AK94" s="267"/>
      <c r="AL94" s="290" t="str" cm="1">
        <f t="array" ref="AL94">IF(AM94="",
"",
SUMPRODUCT(
tb_desp[valor]*
(tb_desp[centro.negocio]=AM$2)*
(tb_desp[nucleo]=AM94)*
(tb_desp[data.pagamento]&gt;='n&amp;cn'!$C$1)*
(tb_desp[data.pagamento]&lt;='n&amp;cn'!$C$2)
))</f>
        <v/>
      </c>
      <c r="AM94" s="267"/>
      <c r="AN94" s="290" t="str" cm="1">
        <f t="array" ref="AN94">IF(AO94="",
"",
SUMPRODUCT(
tb_desp[valor]*
(tb_desp[centro.negocio]=AO$2)*
(tb_desp[nucleo]=AO94)*
(tb_desp[data.pagamento]&gt;='n&amp;cn'!$C$1)*
(tb_desp[data.pagamento]&lt;='n&amp;cn'!$C$2)
))</f>
        <v/>
      </c>
      <c r="AO94" s="267"/>
      <c r="AP94" s="290" t="str" cm="1">
        <f t="array" ref="AP94">IF(AQ94="",
"",
SUMPRODUCT(
tb_desp[valor]*
(tb_desp[centro.negocio]=AQ$2)*
(tb_desp[nucleo]=AQ94)*
(tb_desp[data.pagamento]&gt;='n&amp;cn'!$C$1)*
(tb_desp[data.pagamento]&lt;='n&amp;cn'!$C$2)
))</f>
        <v/>
      </c>
      <c r="AQ94" s="267"/>
      <c r="AR94" s="290" t="str" cm="1">
        <f t="array" ref="AR94">IF(AS94="",
"",
SUMPRODUCT(
tb_desp[valor]*
(tb_desp[centro.negocio]=AS$2)*
(tb_desp[nucleo]=AS94)*
(tb_desp[data.pagamento]&gt;='n&amp;cn'!$C$1)*
(tb_desp[data.pagamento]&lt;='n&amp;cn'!$C$2)
))</f>
        <v/>
      </c>
      <c r="AS94" s="267"/>
      <c r="AT94" s="290" t="str" cm="1">
        <f t="array" ref="AT94">IF(AU94="",
"",
SUMPRODUCT(
tb_desp[valor]*
(tb_desp[centro.negocio]=AU$2)*
(tb_desp[nucleo]=AU94)*
(tb_desp[data.pagamento]&gt;='n&amp;cn'!$C$1)*
(tb_desp[data.pagamento]&lt;='n&amp;cn'!$C$2)
))</f>
        <v/>
      </c>
      <c r="AU94" s="267"/>
      <c r="AV94" s="290" t="str" cm="1">
        <f t="array" ref="AV94">IF(AW94="",
"",
SUMPRODUCT(
tb_desp[valor]*
(tb_desp[centro.negocio]=AW$2)*
(tb_desp[nucleo]=AW94)*
(tb_desp[data.pagamento]&gt;='n&amp;cn'!$C$1)*
(tb_desp[data.pagamento]&lt;='n&amp;cn'!$C$2)
))</f>
        <v/>
      </c>
      <c r="AW94" s="267"/>
      <c r="AX94" s="290" t="str" cm="1">
        <f t="array" ref="AX94">IF(AY94="",
"",
SUMPRODUCT(
tb_desp[valor]*
(tb_desp[centro.negocio]=AY$2)*
(tb_desp[nucleo]=AY94)*
(tb_desp[data.pagamento]&gt;='n&amp;cn'!$C$1)*
(tb_desp[data.pagamento]&lt;='n&amp;cn'!$C$2)
))</f>
        <v/>
      </c>
      <c r="AY94" s="267"/>
      <c r="AZ94" s="290" t="str" cm="1">
        <f t="array" ref="AZ94">IF(BA94="",
"",
SUMPRODUCT(
tb_desp[valor]*
(tb_desp[centro.negocio]=BA$2)*
(tb_desp[nucleo]=BA94)*
(tb_desp[data.pagamento]&gt;='n&amp;cn'!$C$1)*
(tb_desp[data.pagamento]&lt;='n&amp;cn'!$C$2)
))</f>
        <v/>
      </c>
      <c r="BA94" s="267"/>
      <c r="BB94" s="290" t="str" cm="1">
        <f t="array" ref="BB94">IF(BC94="",
"",
SUMPRODUCT(
tb_desp[valor]*
(tb_desp[centro.negocio]=BC$2)*
(tb_desp[nucleo]=BC94)*
(tb_desp[data.pagamento]&gt;='n&amp;cn'!$C$1)*
(tb_desp[data.pagamento]&lt;='n&amp;cn'!$C$2)
))</f>
        <v/>
      </c>
      <c r="BC94" s="267"/>
      <c r="BD94" s="290" t="str" cm="1">
        <f t="array" ref="BD94">IF(BE94="",
"",
SUMPRODUCT(
tb_desp[valor]*
(tb_desp[centro.negocio]=BE$2)*
(tb_desp[nucleo]=BE94)*
(tb_desp[data.pagamento]&gt;='n&amp;cn'!$C$1)*
(tb_desp[data.pagamento]&lt;='n&amp;cn'!$C$2)
))</f>
        <v/>
      </c>
      <c r="BE94" s="267"/>
      <c r="BF94" s="290" t="str" cm="1">
        <f t="array" ref="BF94">IF(BG94="",
"",
SUMPRODUCT(
tb_desp[valor]*
(tb_desp[centro.negocio]=BG$2)*
(tb_desp[nucleo]=BG94)*
(tb_desp[data.pagamento]&gt;='n&amp;cn'!$C$1)*
(tb_desp[data.pagamento]&lt;='n&amp;cn'!$C$2)
))</f>
        <v/>
      </c>
      <c r="BG94" s="267"/>
      <c r="BH94" s="290" t="str" cm="1">
        <f t="array" ref="BH94">IF(BI94="",
"",
SUMPRODUCT(
tb_desp[valor]*
(tb_desp[centro.negocio]=BI$2)*
(tb_desp[nucleo]=BI94)*
(tb_desp[data.pagamento]&gt;='n&amp;cn'!$C$1)*
(tb_desp[data.pagamento]&lt;='n&amp;cn'!$C$2)
))</f>
        <v/>
      </c>
      <c r="BI94" s="267"/>
      <c r="BJ94" s="290" t="str" cm="1">
        <f t="array" ref="BJ94">IF(BK94="",
"",
SUMPRODUCT(
tb_desp[valor]*
(tb_desp[centro.negocio]=BK$2)*
(tb_desp[nucleo]=BK94)*
(tb_desp[data.pagamento]&gt;='n&amp;cn'!$C$1)*
(tb_desp[data.pagamento]&lt;='n&amp;cn'!$C$2)
))</f>
        <v/>
      </c>
      <c r="BK94" s="267"/>
      <c r="BL94" s="290" t="str" cm="1">
        <f t="array" ref="BL94">IF(BM94="",
"",
SUMPRODUCT(
tb_desp[valor]*
(tb_desp[centro.negocio]=BM$2)*
(tb_desp[nucleo]=BM94)*
(tb_desp[data.pagamento]&gt;='n&amp;cn'!$C$1)*
(tb_desp[data.pagamento]&lt;='n&amp;cn'!$C$2)
))</f>
        <v/>
      </c>
      <c r="BM94" s="267"/>
      <c r="BN94" s="290" t="str" cm="1">
        <f t="array" ref="BN94">IF(BO94="",
"",
SUMPRODUCT(
tb_desp[valor]*
(tb_desp[centro.negocio]=BO$2)*
(tb_desp[nucleo]=BO94)*
(tb_desp[data.pagamento]&gt;='n&amp;cn'!$C$1)*
(tb_desp[data.pagamento]&lt;='n&amp;cn'!$C$2)
))</f>
        <v/>
      </c>
      <c r="BO94" s="267"/>
    </row>
    <row r="95" spans="8:67" x14ac:dyDescent="0.25">
      <c r="H95" s="168"/>
      <c r="I95" s="163">
        <f t="shared" si="6"/>
        <v>88</v>
      </c>
      <c r="K95" s="164"/>
      <c r="L95" s="167" t="e">
        <f t="shared" si="5"/>
        <v>#DIV/0!</v>
      </c>
      <c r="M95" s="167" t="e">
        <f>SUM($L$8:$L95)</f>
        <v>#DIV/0!</v>
      </c>
      <c r="R95" s="290" t="str" cm="1">
        <f t="array" ref="R95">IF(S95="",
"",
SUMPRODUCT(
tb_desp[valor]*
(tb_desp[centro.negocio]=S$2)*
(tb_desp[nucleo]=S95)*
(tb_desp[data.pagamento]&gt;='n&amp;cn'!$C$1)*
(tb_desp[data.pagamento]&lt;='n&amp;cn'!$C$2)
))</f>
        <v/>
      </c>
      <c r="S95" s="267"/>
      <c r="T95" s="290" t="str" cm="1">
        <f t="array" ref="T95">IF(U95="",
"",
SUMPRODUCT(
tb_desp[valor]*
(tb_desp[centro.negocio]=U$2)*
(tb_desp[nucleo]=U95)*
(tb_desp[data.pagamento]&gt;='n&amp;cn'!$C$1)*
(tb_desp[data.pagamento]&lt;='n&amp;cn'!$C$2)
))</f>
        <v/>
      </c>
      <c r="U95" s="267"/>
      <c r="V95" s="290" t="str" cm="1">
        <f t="array" ref="V95">IF(W95="",
"",
SUMPRODUCT(
tb_desp[valor]*
(tb_desp[centro.negocio]=W$2)*
(tb_desp[nucleo]=W95)*
(tb_desp[data.pagamento]&gt;='n&amp;cn'!$C$1)*
(tb_desp[data.pagamento]&lt;='n&amp;cn'!$C$2)
))</f>
        <v/>
      </c>
      <c r="W95" s="267"/>
      <c r="X95" s="290" t="str" cm="1">
        <f t="array" ref="X95">IF(Y95="",
"",
SUMPRODUCT(
tb_desp[valor]*
(tb_desp[centro.negocio]=Y$2)*
(tb_desp[nucleo]=Y95)*
(tb_desp[data.pagamento]&gt;='n&amp;cn'!$C$1)*
(tb_desp[data.pagamento]&lt;='n&amp;cn'!$C$2)
))</f>
        <v/>
      </c>
      <c r="Y95" s="267"/>
      <c r="Z95" s="290" t="str" cm="1">
        <f t="array" ref="Z95">IF(AA95="",
"",
SUMPRODUCT(
tb_desp[valor]*
(tb_desp[centro.negocio]=AA$2)*
(tb_desp[nucleo]=AA95)*
(tb_desp[data.pagamento]&gt;='n&amp;cn'!$C$1)*
(tb_desp[data.pagamento]&lt;='n&amp;cn'!$C$2)
))</f>
        <v/>
      </c>
      <c r="AA95" s="267"/>
      <c r="AB95" s="290" t="str" cm="1">
        <f t="array" ref="AB95">IF(AC95="",
"",
SUMPRODUCT(
tb_desp[valor]*
(tb_desp[centro.negocio]=AC$2)*
(tb_desp[nucleo]=AC95)*
(tb_desp[data.pagamento]&gt;='n&amp;cn'!$C$1)*
(tb_desp[data.pagamento]&lt;='n&amp;cn'!$C$2)
))</f>
        <v/>
      </c>
      <c r="AC95" s="267"/>
      <c r="AD95" s="290" t="str" cm="1">
        <f t="array" ref="AD95">IF(AE95="",
"",
SUMPRODUCT(
tb_desp[valor]*
(tb_desp[centro.negocio]=AE$2)*
(tb_desp[nucleo]=AE95)*
(tb_desp[data.pagamento]&gt;='n&amp;cn'!$C$1)*
(tb_desp[data.pagamento]&lt;='n&amp;cn'!$C$2)
))</f>
        <v/>
      </c>
      <c r="AE95" s="267"/>
      <c r="AF95" s="290" t="str" cm="1">
        <f t="array" ref="AF95">IF(AG95="",
"",
SUMPRODUCT(
tb_desp[valor]*
(tb_desp[centro.negocio]=AG$2)*
(tb_desp[nucleo]=AG95)*
(tb_desp[data.pagamento]&gt;='n&amp;cn'!$C$1)*
(tb_desp[data.pagamento]&lt;='n&amp;cn'!$C$2)
))</f>
        <v/>
      </c>
      <c r="AG95" s="267"/>
      <c r="AH95" s="290" t="str" cm="1">
        <f t="array" ref="AH95">IF(AI95="",
"",
SUMPRODUCT(
tb_desp[valor]*
(tb_desp[centro.negocio]=AI$2)*
(tb_desp[nucleo]=AI95)*
(tb_desp[data.pagamento]&gt;='n&amp;cn'!$C$1)*
(tb_desp[data.pagamento]&lt;='n&amp;cn'!$C$2)
))</f>
        <v/>
      </c>
      <c r="AI95" s="267"/>
      <c r="AJ95" s="290" t="str" cm="1">
        <f t="array" ref="AJ95">IF(AK95="",
"",
SUMPRODUCT(
tb_desp[valor]*
(tb_desp[centro.negocio]=AK$2)*
(tb_desp[nucleo]=AK95)*
(tb_desp[data.pagamento]&gt;='n&amp;cn'!$C$1)*
(tb_desp[data.pagamento]&lt;='n&amp;cn'!$C$2)
))</f>
        <v/>
      </c>
      <c r="AK95" s="267"/>
      <c r="AL95" s="290" t="str" cm="1">
        <f t="array" ref="AL95">IF(AM95="",
"",
SUMPRODUCT(
tb_desp[valor]*
(tb_desp[centro.negocio]=AM$2)*
(tb_desp[nucleo]=AM95)*
(tb_desp[data.pagamento]&gt;='n&amp;cn'!$C$1)*
(tb_desp[data.pagamento]&lt;='n&amp;cn'!$C$2)
))</f>
        <v/>
      </c>
      <c r="AM95" s="267"/>
      <c r="AN95" s="290" t="str" cm="1">
        <f t="array" ref="AN95">IF(AO95="",
"",
SUMPRODUCT(
tb_desp[valor]*
(tb_desp[centro.negocio]=AO$2)*
(tb_desp[nucleo]=AO95)*
(tb_desp[data.pagamento]&gt;='n&amp;cn'!$C$1)*
(tb_desp[data.pagamento]&lt;='n&amp;cn'!$C$2)
))</f>
        <v/>
      </c>
      <c r="AO95" s="267"/>
      <c r="AP95" s="290" t="str" cm="1">
        <f t="array" ref="AP95">IF(AQ95="",
"",
SUMPRODUCT(
tb_desp[valor]*
(tb_desp[centro.negocio]=AQ$2)*
(tb_desp[nucleo]=AQ95)*
(tb_desp[data.pagamento]&gt;='n&amp;cn'!$C$1)*
(tb_desp[data.pagamento]&lt;='n&amp;cn'!$C$2)
))</f>
        <v/>
      </c>
      <c r="AQ95" s="267"/>
      <c r="AR95" s="290" t="str" cm="1">
        <f t="array" ref="AR95">IF(AS95="",
"",
SUMPRODUCT(
tb_desp[valor]*
(tb_desp[centro.negocio]=AS$2)*
(tb_desp[nucleo]=AS95)*
(tb_desp[data.pagamento]&gt;='n&amp;cn'!$C$1)*
(tb_desp[data.pagamento]&lt;='n&amp;cn'!$C$2)
))</f>
        <v/>
      </c>
      <c r="AS95" s="267"/>
      <c r="AT95" s="290" t="str" cm="1">
        <f t="array" ref="AT95">IF(AU95="",
"",
SUMPRODUCT(
tb_desp[valor]*
(tb_desp[centro.negocio]=AU$2)*
(tb_desp[nucleo]=AU95)*
(tb_desp[data.pagamento]&gt;='n&amp;cn'!$C$1)*
(tb_desp[data.pagamento]&lt;='n&amp;cn'!$C$2)
))</f>
        <v/>
      </c>
      <c r="AU95" s="267"/>
      <c r="AV95" s="290" t="str" cm="1">
        <f t="array" ref="AV95">IF(AW95="",
"",
SUMPRODUCT(
tb_desp[valor]*
(tb_desp[centro.negocio]=AW$2)*
(tb_desp[nucleo]=AW95)*
(tb_desp[data.pagamento]&gt;='n&amp;cn'!$C$1)*
(tb_desp[data.pagamento]&lt;='n&amp;cn'!$C$2)
))</f>
        <v/>
      </c>
      <c r="AW95" s="267"/>
      <c r="AX95" s="290" t="str" cm="1">
        <f t="array" ref="AX95">IF(AY95="",
"",
SUMPRODUCT(
tb_desp[valor]*
(tb_desp[centro.negocio]=AY$2)*
(tb_desp[nucleo]=AY95)*
(tb_desp[data.pagamento]&gt;='n&amp;cn'!$C$1)*
(tb_desp[data.pagamento]&lt;='n&amp;cn'!$C$2)
))</f>
        <v/>
      </c>
      <c r="AY95" s="267"/>
      <c r="AZ95" s="290" t="str" cm="1">
        <f t="array" ref="AZ95">IF(BA95="",
"",
SUMPRODUCT(
tb_desp[valor]*
(tb_desp[centro.negocio]=BA$2)*
(tb_desp[nucleo]=BA95)*
(tb_desp[data.pagamento]&gt;='n&amp;cn'!$C$1)*
(tb_desp[data.pagamento]&lt;='n&amp;cn'!$C$2)
))</f>
        <v/>
      </c>
      <c r="BA95" s="267"/>
      <c r="BB95" s="290" t="str" cm="1">
        <f t="array" ref="BB95">IF(BC95="",
"",
SUMPRODUCT(
tb_desp[valor]*
(tb_desp[centro.negocio]=BC$2)*
(tb_desp[nucleo]=BC95)*
(tb_desp[data.pagamento]&gt;='n&amp;cn'!$C$1)*
(tb_desp[data.pagamento]&lt;='n&amp;cn'!$C$2)
))</f>
        <v/>
      </c>
      <c r="BC95" s="267"/>
      <c r="BD95" s="290" t="str" cm="1">
        <f t="array" ref="BD95">IF(BE95="",
"",
SUMPRODUCT(
tb_desp[valor]*
(tb_desp[centro.negocio]=BE$2)*
(tb_desp[nucleo]=BE95)*
(tb_desp[data.pagamento]&gt;='n&amp;cn'!$C$1)*
(tb_desp[data.pagamento]&lt;='n&amp;cn'!$C$2)
))</f>
        <v/>
      </c>
      <c r="BE95" s="267"/>
      <c r="BF95" s="290" t="str" cm="1">
        <f t="array" ref="BF95">IF(BG95="",
"",
SUMPRODUCT(
tb_desp[valor]*
(tb_desp[centro.negocio]=BG$2)*
(tb_desp[nucleo]=BG95)*
(tb_desp[data.pagamento]&gt;='n&amp;cn'!$C$1)*
(tb_desp[data.pagamento]&lt;='n&amp;cn'!$C$2)
))</f>
        <v/>
      </c>
      <c r="BG95" s="267"/>
      <c r="BH95" s="290" t="str" cm="1">
        <f t="array" ref="BH95">IF(BI95="",
"",
SUMPRODUCT(
tb_desp[valor]*
(tb_desp[centro.negocio]=BI$2)*
(tb_desp[nucleo]=BI95)*
(tb_desp[data.pagamento]&gt;='n&amp;cn'!$C$1)*
(tb_desp[data.pagamento]&lt;='n&amp;cn'!$C$2)
))</f>
        <v/>
      </c>
      <c r="BI95" s="267"/>
      <c r="BJ95" s="290" t="str" cm="1">
        <f t="array" ref="BJ95">IF(BK95="",
"",
SUMPRODUCT(
tb_desp[valor]*
(tb_desp[centro.negocio]=BK$2)*
(tb_desp[nucleo]=BK95)*
(tb_desp[data.pagamento]&gt;='n&amp;cn'!$C$1)*
(tb_desp[data.pagamento]&lt;='n&amp;cn'!$C$2)
))</f>
        <v/>
      </c>
      <c r="BK95" s="267"/>
      <c r="BL95" s="290" t="str" cm="1">
        <f t="array" ref="BL95">IF(BM95="",
"",
SUMPRODUCT(
tb_desp[valor]*
(tb_desp[centro.negocio]=BM$2)*
(tb_desp[nucleo]=BM95)*
(tb_desp[data.pagamento]&gt;='n&amp;cn'!$C$1)*
(tb_desp[data.pagamento]&lt;='n&amp;cn'!$C$2)
))</f>
        <v/>
      </c>
      <c r="BM95" s="267"/>
      <c r="BN95" s="290" t="str" cm="1">
        <f t="array" ref="BN95">IF(BO95="",
"",
SUMPRODUCT(
tb_desp[valor]*
(tb_desp[centro.negocio]=BO$2)*
(tb_desp[nucleo]=BO95)*
(tb_desp[data.pagamento]&gt;='n&amp;cn'!$C$1)*
(tb_desp[data.pagamento]&lt;='n&amp;cn'!$C$2)
))</f>
        <v/>
      </c>
      <c r="BO95" s="267"/>
    </row>
    <row r="96" spans="8:67" x14ac:dyDescent="0.25">
      <c r="H96" s="168"/>
      <c r="I96" s="163">
        <f t="shared" si="6"/>
        <v>89</v>
      </c>
      <c r="K96" s="164"/>
      <c r="L96" s="167" t="e">
        <f t="shared" si="5"/>
        <v>#DIV/0!</v>
      </c>
      <c r="M96" s="167" t="e">
        <f>SUM($L$8:$L96)</f>
        <v>#DIV/0!</v>
      </c>
      <c r="R96" s="290" t="str" cm="1">
        <f t="array" ref="R96">IF(S96="",
"",
SUMPRODUCT(
tb_desp[valor]*
(tb_desp[centro.negocio]=S$2)*
(tb_desp[nucleo]=S96)*
(tb_desp[data.pagamento]&gt;='n&amp;cn'!$C$1)*
(tb_desp[data.pagamento]&lt;='n&amp;cn'!$C$2)
))</f>
        <v/>
      </c>
      <c r="S96" s="267"/>
      <c r="T96" s="290" t="str" cm="1">
        <f t="array" ref="T96">IF(U96="",
"",
SUMPRODUCT(
tb_desp[valor]*
(tb_desp[centro.negocio]=U$2)*
(tb_desp[nucleo]=U96)*
(tb_desp[data.pagamento]&gt;='n&amp;cn'!$C$1)*
(tb_desp[data.pagamento]&lt;='n&amp;cn'!$C$2)
))</f>
        <v/>
      </c>
      <c r="U96" s="267"/>
      <c r="V96" s="290" t="str" cm="1">
        <f t="array" ref="V96">IF(W96="",
"",
SUMPRODUCT(
tb_desp[valor]*
(tb_desp[centro.negocio]=W$2)*
(tb_desp[nucleo]=W96)*
(tb_desp[data.pagamento]&gt;='n&amp;cn'!$C$1)*
(tb_desp[data.pagamento]&lt;='n&amp;cn'!$C$2)
))</f>
        <v/>
      </c>
      <c r="W96" s="267"/>
      <c r="X96" s="290" t="str" cm="1">
        <f t="array" ref="X96">IF(Y96="",
"",
SUMPRODUCT(
tb_desp[valor]*
(tb_desp[centro.negocio]=Y$2)*
(tb_desp[nucleo]=Y96)*
(tb_desp[data.pagamento]&gt;='n&amp;cn'!$C$1)*
(tb_desp[data.pagamento]&lt;='n&amp;cn'!$C$2)
))</f>
        <v/>
      </c>
      <c r="Y96" s="267"/>
      <c r="Z96" s="290" t="str" cm="1">
        <f t="array" ref="Z96">IF(AA96="",
"",
SUMPRODUCT(
tb_desp[valor]*
(tb_desp[centro.negocio]=AA$2)*
(tb_desp[nucleo]=AA96)*
(tb_desp[data.pagamento]&gt;='n&amp;cn'!$C$1)*
(tb_desp[data.pagamento]&lt;='n&amp;cn'!$C$2)
))</f>
        <v/>
      </c>
      <c r="AA96" s="267"/>
      <c r="AB96" s="290" t="str" cm="1">
        <f t="array" ref="AB96">IF(AC96="",
"",
SUMPRODUCT(
tb_desp[valor]*
(tb_desp[centro.negocio]=AC$2)*
(tb_desp[nucleo]=AC96)*
(tb_desp[data.pagamento]&gt;='n&amp;cn'!$C$1)*
(tb_desp[data.pagamento]&lt;='n&amp;cn'!$C$2)
))</f>
        <v/>
      </c>
      <c r="AC96" s="267"/>
      <c r="AD96" s="290" t="str" cm="1">
        <f t="array" ref="AD96">IF(AE96="",
"",
SUMPRODUCT(
tb_desp[valor]*
(tb_desp[centro.negocio]=AE$2)*
(tb_desp[nucleo]=AE96)*
(tb_desp[data.pagamento]&gt;='n&amp;cn'!$C$1)*
(tb_desp[data.pagamento]&lt;='n&amp;cn'!$C$2)
))</f>
        <v/>
      </c>
      <c r="AE96" s="267"/>
      <c r="AF96" s="290" t="str" cm="1">
        <f t="array" ref="AF96">IF(AG96="",
"",
SUMPRODUCT(
tb_desp[valor]*
(tb_desp[centro.negocio]=AG$2)*
(tb_desp[nucleo]=AG96)*
(tb_desp[data.pagamento]&gt;='n&amp;cn'!$C$1)*
(tb_desp[data.pagamento]&lt;='n&amp;cn'!$C$2)
))</f>
        <v/>
      </c>
      <c r="AG96" s="267"/>
      <c r="AH96" s="290" t="str" cm="1">
        <f t="array" ref="AH96">IF(AI96="",
"",
SUMPRODUCT(
tb_desp[valor]*
(tb_desp[centro.negocio]=AI$2)*
(tb_desp[nucleo]=AI96)*
(tb_desp[data.pagamento]&gt;='n&amp;cn'!$C$1)*
(tb_desp[data.pagamento]&lt;='n&amp;cn'!$C$2)
))</f>
        <v/>
      </c>
      <c r="AI96" s="267"/>
      <c r="AJ96" s="290" t="str" cm="1">
        <f t="array" ref="AJ96">IF(AK96="",
"",
SUMPRODUCT(
tb_desp[valor]*
(tb_desp[centro.negocio]=AK$2)*
(tb_desp[nucleo]=AK96)*
(tb_desp[data.pagamento]&gt;='n&amp;cn'!$C$1)*
(tb_desp[data.pagamento]&lt;='n&amp;cn'!$C$2)
))</f>
        <v/>
      </c>
      <c r="AK96" s="267"/>
      <c r="AL96" s="290" t="str" cm="1">
        <f t="array" ref="AL96">IF(AM96="",
"",
SUMPRODUCT(
tb_desp[valor]*
(tb_desp[centro.negocio]=AM$2)*
(tb_desp[nucleo]=AM96)*
(tb_desp[data.pagamento]&gt;='n&amp;cn'!$C$1)*
(tb_desp[data.pagamento]&lt;='n&amp;cn'!$C$2)
))</f>
        <v/>
      </c>
      <c r="AM96" s="267"/>
      <c r="AN96" s="290" t="str" cm="1">
        <f t="array" ref="AN96">IF(AO96="",
"",
SUMPRODUCT(
tb_desp[valor]*
(tb_desp[centro.negocio]=AO$2)*
(tb_desp[nucleo]=AO96)*
(tb_desp[data.pagamento]&gt;='n&amp;cn'!$C$1)*
(tb_desp[data.pagamento]&lt;='n&amp;cn'!$C$2)
))</f>
        <v/>
      </c>
      <c r="AO96" s="267"/>
      <c r="AP96" s="290" t="str" cm="1">
        <f t="array" ref="AP96">IF(AQ96="",
"",
SUMPRODUCT(
tb_desp[valor]*
(tb_desp[centro.negocio]=AQ$2)*
(tb_desp[nucleo]=AQ96)*
(tb_desp[data.pagamento]&gt;='n&amp;cn'!$C$1)*
(tb_desp[data.pagamento]&lt;='n&amp;cn'!$C$2)
))</f>
        <v/>
      </c>
      <c r="AQ96" s="267"/>
      <c r="AR96" s="290" t="str" cm="1">
        <f t="array" ref="AR96">IF(AS96="",
"",
SUMPRODUCT(
tb_desp[valor]*
(tb_desp[centro.negocio]=AS$2)*
(tb_desp[nucleo]=AS96)*
(tb_desp[data.pagamento]&gt;='n&amp;cn'!$C$1)*
(tb_desp[data.pagamento]&lt;='n&amp;cn'!$C$2)
))</f>
        <v/>
      </c>
      <c r="AS96" s="267"/>
      <c r="AT96" s="290" t="str" cm="1">
        <f t="array" ref="AT96">IF(AU96="",
"",
SUMPRODUCT(
tb_desp[valor]*
(tb_desp[centro.negocio]=AU$2)*
(tb_desp[nucleo]=AU96)*
(tb_desp[data.pagamento]&gt;='n&amp;cn'!$C$1)*
(tb_desp[data.pagamento]&lt;='n&amp;cn'!$C$2)
))</f>
        <v/>
      </c>
      <c r="AU96" s="267"/>
      <c r="AV96" s="290" t="str" cm="1">
        <f t="array" ref="AV96">IF(AW96="",
"",
SUMPRODUCT(
tb_desp[valor]*
(tb_desp[centro.negocio]=AW$2)*
(tb_desp[nucleo]=AW96)*
(tb_desp[data.pagamento]&gt;='n&amp;cn'!$C$1)*
(tb_desp[data.pagamento]&lt;='n&amp;cn'!$C$2)
))</f>
        <v/>
      </c>
      <c r="AW96" s="267"/>
      <c r="AX96" s="290" t="str" cm="1">
        <f t="array" ref="AX96">IF(AY96="",
"",
SUMPRODUCT(
tb_desp[valor]*
(tb_desp[centro.negocio]=AY$2)*
(tb_desp[nucleo]=AY96)*
(tb_desp[data.pagamento]&gt;='n&amp;cn'!$C$1)*
(tb_desp[data.pagamento]&lt;='n&amp;cn'!$C$2)
))</f>
        <v/>
      </c>
      <c r="AY96" s="267"/>
      <c r="AZ96" s="290" t="str" cm="1">
        <f t="array" ref="AZ96">IF(BA96="",
"",
SUMPRODUCT(
tb_desp[valor]*
(tb_desp[centro.negocio]=BA$2)*
(tb_desp[nucleo]=BA96)*
(tb_desp[data.pagamento]&gt;='n&amp;cn'!$C$1)*
(tb_desp[data.pagamento]&lt;='n&amp;cn'!$C$2)
))</f>
        <v/>
      </c>
      <c r="BA96" s="267"/>
      <c r="BB96" s="290" t="str" cm="1">
        <f t="array" ref="BB96">IF(BC96="",
"",
SUMPRODUCT(
tb_desp[valor]*
(tb_desp[centro.negocio]=BC$2)*
(tb_desp[nucleo]=BC96)*
(tb_desp[data.pagamento]&gt;='n&amp;cn'!$C$1)*
(tb_desp[data.pagamento]&lt;='n&amp;cn'!$C$2)
))</f>
        <v/>
      </c>
      <c r="BC96" s="267"/>
      <c r="BD96" s="290" t="str" cm="1">
        <f t="array" ref="BD96">IF(BE96="",
"",
SUMPRODUCT(
tb_desp[valor]*
(tb_desp[centro.negocio]=BE$2)*
(tb_desp[nucleo]=BE96)*
(tb_desp[data.pagamento]&gt;='n&amp;cn'!$C$1)*
(tb_desp[data.pagamento]&lt;='n&amp;cn'!$C$2)
))</f>
        <v/>
      </c>
      <c r="BE96" s="267"/>
      <c r="BF96" s="290" t="str" cm="1">
        <f t="array" ref="BF96">IF(BG96="",
"",
SUMPRODUCT(
tb_desp[valor]*
(tb_desp[centro.negocio]=BG$2)*
(tb_desp[nucleo]=BG96)*
(tb_desp[data.pagamento]&gt;='n&amp;cn'!$C$1)*
(tb_desp[data.pagamento]&lt;='n&amp;cn'!$C$2)
))</f>
        <v/>
      </c>
      <c r="BG96" s="267"/>
      <c r="BH96" s="290" t="str" cm="1">
        <f t="array" ref="BH96">IF(BI96="",
"",
SUMPRODUCT(
tb_desp[valor]*
(tb_desp[centro.negocio]=BI$2)*
(tb_desp[nucleo]=BI96)*
(tb_desp[data.pagamento]&gt;='n&amp;cn'!$C$1)*
(tb_desp[data.pagamento]&lt;='n&amp;cn'!$C$2)
))</f>
        <v/>
      </c>
      <c r="BI96" s="267"/>
      <c r="BJ96" s="290" t="str" cm="1">
        <f t="array" ref="BJ96">IF(BK96="",
"",
SUMPRODUCT(
tb_desp[valor]*
(tb_desp[centro.negocio]=BK$2)*
(tb_desp[nucleo]=BK96)*
(tb_desp[data.pagamento]&gt;='n&amp;cn'!$C$1)*
(tb_desp[data.pagamento]&lt;='n&amp;cn'!$C$2)
))</f>
        <v/>
      </c>
      <c r="BK96" s="267"/>
      <c r="BL96" s="290" t="str" cm="1">
        <f t="array" ref="BL96">IF(BM96="",
"",
SUMPRODUCT(
tb_desp[valor]*
(tb_desp[centro.negocio]=BM$2)*
(tb_desp[nucleo]=BM96)*
(tb_desp[data.pagamento]&gt;='n&amp;cn'!$C$1)*
(tb_desp[data.pagamento]&lt;='n&amp;cn'!$C$2)
))</f>
        <v/>
      </c>
      <c r="BM96" s="267"/>
      <c r="BN96" s="290" t="str" cm="1">
        <f t="array" ref="BN96">IF(BO96="",
"",
SUMPRODUCT(
tb_desp[valor]*
(tb_desp[centro.negocio]=BO$2)*
(tb_desp[nucleo]=BO96)*
(tb_desp[data.pagamento]&gt;='n&amp;cn'!$C$1)*
(tb_desp[data.pagamento]&lt;='n&amp;cn'!$C$2)
))</f>
        <v/>
      </c>
      <c r="BO96" s="267"/>
    </row>
    <row r="97" spans="2:67" x14ac:dyDescent="0.25">
      <c r="H97" s="168"/>
      <c r="I97" s="163">
        <f t="shared" si="6"/>
        <v>90</v>
      </c>
      <c r="K97" s="164"/>
      <c r="L97" s="167" t="e">
        <f t="shared" si="5"/>
        <v>#DIV/0!</v>
      </c>
      <c r="M97" s="167" t="e">
        <f>SUM($L$8:$L97)</f>
        <v>#DIV/0!</v>
      </c>
      <c r="R97" s="290" t="str" cm="1">
        <f t="array" ref="R97">IF(S97="",
"",
SUMPRODUCT(
tb_desp[valor]*
(tb_desp[centro.negocio]=S$2)*
(tb_desp[nucleo]=S97)*
(tb_desp[data.pagamento]&gt;='n&amp;cn'!$C$1)*
(tb_desp[data.pagamento]&lt;='n&amp;cn'!$C$2)
))</f>
        <v/>
      </c>
      <c r="S97" s="267"/>
      <c r="T97" s="290" t="str" cm="1">
        <f t="array" ref="T97">IF(U97="",
"",
SUMPRODUCT(
tb_desp[valor]*
(tb_desp[centro.negocio]=U$2)*
(tb_desp[nucleo]=U97)*
(tb_desp[data.pagamento]&gt;='n&amp;cn'!$C$1)*
(tb_desp[data.pagamento]&lt;='n&amp;cn'!$C$2)
))</f>
        <v/>
      </c>
      <c r="U97" s="267"/>
      <c r="V97" s="290" t="str" cm="1">
        <f t="array" ref="V97">IF(W97="",
"",
SUMPRODUCT(
tb_desp[valor]*
(tb_desp[centro.negocio]=W$2)*
(tb_desp[nucleo]=W97)*
(tb_desp[data.pagamento]&gt;='n&amp;cn'!$C$1)*
(tb_desp[data.pagamento]&lt;='n&amp;cn'!$C$2)
))</f>
        <v/>
      </c>
      <c r="W97" s="267"/>
      <c r="X97" s="290" t="str" cm="1">
        <f t="array" ref="X97">IF(Y97="",
"",
SUMPRODUCT(
tb_desp[valor]*
(tb_desp[centro.negocio]=Y$2)*
(tb_desp[nucleo]=Y97)*
(tb_desp[data.pagamento]&gt;='n&amp;cn'!$C$1)*
(tb_desp[data.pagamento]&lt;='n&amp;cn'!$C$2)
))</f>
        <v/>
      </c>
      <c r="Y97" s="267"/>
      <c r="Z97" s="290" t="str" cm="1">
        <f t="array" ref="Z97">IF(AA97="",
"",
SUMPRODUCT(
tb_desp[valor]*
(tb_desp[centro.negocio]=AA$2)*
(tb_desp[nucleo]=AA97)*
(tb_desp[data.pagamento]&gt;='n&amp;cn'!$C$1)*
(tb_desp[data.pagamento]&lt;='n&amp;cn'!$C$2)
))</f>
        <v/>
      </c>
      <c r="AA97" s="267"/>
      <c r="AB97" s="290" t="str" cm="1">
        <f t="array" ref="AB97">IF(AC97="",
"",
SUMPRODUCT(
tb_desp[valor]*
(tb_desp[centro.negocio]=AC$2)*
(tb_desp[nucleo]=AC97)*
(tb_desp[data.pagamento]&gt;='n&amp;cn'!$C$1)*
(tb_desp[data.pagamento]&lt;='n&amp;cn'!$C$2)
))</f>
        <v/>
      </c>
      <c r="AC97" s="267"/>
      <c r="AD97" s="290" t="str" cm="1">
        <f t="array" ref="AD97">IF(AE97="",
"",
SUMPRODUCT(
tb_desp[valor]*
(tb_desp[centro.negocio]=AE$2)*
(tb_desp[nucleo]=AE97)*
(tb_desp[data.pagamento]&gt;='n&amp;cn'!$C$1)*
(tb_desp[data.pagamento]&lt;='n&amp;cn'!$C$2)
))</f>
        <v/>
      </c>
      <c r="AE97" s="267"/>
      <c r="AF97" s="290" t="str" cm="1">
        <f t="array" ref="AF97">IF(AG97="",
"",
SUMPRODUCT(
tb_desp[valor]*
(tb_desp[centro.negocio]=AG$2)*
(tb_desp[nucleo]=AG97)*
(tb_desp[data.pagamento]&gt;='n&amp;cn'!$C$1)*
(tb_desp[data.pagamento]&lt;='n&amp;cn'!$C$2)
))</f>
        <v/>
      </c>
      <c r="AG97" s="267"/>
      <c r="AH97" s="290" t="str" cm="1">
        <f t="array" ref="AH97">IF(AI97="",
"",
SUMPRODUCT(
tb_desp[valor]*
(tb_desp[centro.negocio]=AI$2)*
(tb_desp[nucleo]=AI97)*
(tb_desp[data.pagamento]&gt;='n&amp;cn'!$C$1)*
(tb_desp[data.pagamento]&lt;='n&amp;cn'!$C$2)
))</f>
        <v/>
      </c>
      <c r="AI97" s="267"/>
      <c r="AJ97" s="290" t="str" cm="1">
        <f t="array" ref="AJ97">IF(AK97="",
"",
SUMPRODUCT(
tb_desp[valor]*
(tb_desp[centro.negocio]=AK$2)*
(tb_desp[nucleo]=AK97)*
(tb_desp[data.pagamento]&gt;='n&amp;cn'!$C$1)*
(tb_desp[data.pagamento]&lt;='n&amp;cn'!$C$2)
))</f>
        <v/>
      </c>
      <c r="AK97" s="267"/>
      <c r="AL97" s="290" t="str" cm="1">
        <f t="array" ref="AL97">IF(AM97="",
"",
SUMPRODUCT(
tb_desp[valor]*
(tb_desp[centro.negocio]=AM$2)*
(tb_desp[nucleo]=AM97)*
(tb_desp[data.pagamento]&gt;='n&amp;cn'!$C$1)*
(tb_desp[data.pagamento]&lt;='n&amp;cn'!$C$2)
))</f>
        <v/>
      </c>
      <c r="AM97" s="267"/>
      <c r="AN97" s="290" t="str" cm="1">
        <f t="array" ref="AN97">IF(AO97="",
"",
SUMPRODUCT(
tb_desp[valor]*
(tb_desp[centro.negocio]=AO$2)*
(tb_desp[nucleo]=AO97)*
(tb_desp[data.pagamento]&gt;='n&amp;cn'!$C$1)*
(tb_desp[data.pagamento]&lt;='n&amp;cn'!$C$2)
))</f>
        <v/>
      </c>
      <c r="AO97" s="267"/>
      <c r="AP97" s="290" t="str" cm="1">
        <f t="array" ref="AP97">IF(AQ97="",
"",
SUMPRODUCT(
tb_desp[valor]*
(tb_desp[centro.negocio]=AQ$2)*
(tb_desp[nucleo]=AQ97)*
(tb_desp[data.pagamento]&gt;='n&amp;cn'!$C$1)*
(tb_desp[data.pagamento]&lt;='n&amp;cn'!$C$2)
))</f>
        <v/>
      </c>
      <c r="AQ97" s="267"/>
      <c r="AR97" s="290" t="str" cm="1">
        <f t="array" ref="AR97">IF(AS97="",
"",
SUMPRODUCT(
tb_desp[valor]*
(tb_desp[centro.negocio]=AS$2)*
(tb_desp[nucleo]=AS97)*
(tb_desp[data.pagamento]&gt;='n&amp;cn'!$C$1)*
(tb_desp[data.pagamento]&lt;='n&amp;cn'!$C$2)
))</f>
        <v/>
      </c>
      <c r="AS97" s="267"/>
      <c r="AT97" s="290" t="str" cm="1">
        <f t="array" ref="AT97">IF(AU97="",
"",
SUMPRODUCT(
tb_desp[valor]*
(tb_desp[centro.negocio]=AU$2)*
(tb_desp[nucleo]=AU97)*
(tb_desp[data.pagamento]&gt;='n&amp;cn'!$C$1)*
(tb_desp[data.pagamento]&lt;='n&amp;cn'!$C$2)
))</f>
        <v/>
      </c>
      <c r="AU97" s="267"/>
      <c r="AV97" s="290" t="str" cm="1">
        <f t="array" ref="AV97">IF(AW97="",
"",
SUMPRODUCT(
tb_desp[valor]*
(tb_desp[centro.negocio]=AW$2)*
(tb_desp[nucleo]=AW97)*
(tb_desp[data.pagamento]&gt;='n&amp;cn'!$C$1)*
(tb_desp[data.pagamento]&lt;='n&amp;cn'!$C$2)
))</f>
        <v/>
      </c>
      <c r="AW97" s="267"/>
      <c r="AX97" s="290" t="str" cm="1">
        <f t="array" ref="AX97">IF(AY97="",
"",
SUMPRODUCT(
tb_desp[valor]*
(tb_desp[centro.negocio]=AY$2)*
(tb_desp[nucleo]=AY97)*
(tb_desp[data.pagamento]&gt;='n&amp;cn'!$C$1)*
(tb_desp[data.pagamento]&lt;='n&amp;cn'!$C$2)
))</f>
        <v/>
      </c>
      <c r="AY97" s="267"/>
      <c r="AZ97" s="290" t="str" cm="1">
        <f t="array" ref="AZ97">IF(BA97="",
"",
SUMPRODUCT(
tb_desp[valor]*
(tb_desp[centro.negocio]=BA$2)*
(tb_desp[nucleo]=BA97)*
(tb_desp[data.pagamento]&gt;='n&amp;cn'!$C$1)*
(tb_desp[data.pagamento]&lt;='n&amp;cn'!$C$2)
))</f>
        <v/>
      </c>
      <c r="BA97" s="267"/>
      <c r="BB97" s="290" t="str" cm="1">
        <f t="array" ref="BB97">IF(BC97="",
"",
SUMPRODUCT(
tb_desp[valor]*
(tb_desp[centro.negocio]=BC$2)*
(tb_desp[nucleo]=BC97)*
(tb_desp[data.pagamento]&gt;='n&amp;cn'!$C$1)*
(tb_desp[data.pagamento]&lt;='n&amp;cn'!$C$2)
))</f>
        <v/>
      </c>
      <c r="BC97" s="267"/>
      <c r="BD97" s="290" t="str" cm="1">
        <f t="array" ref="BD97">IF(BE97="",
"",
SUMPRODUCT(
tb_desp[valor]*
(tb_desp[centro.negocio]=BE$2)*
(tb_desp[nucleo]=BE97)*
(tb_desp[data.pagamento]&gt;='n&amp;cn'!$C$1)*
(tb_desp[data.pagamento]&lt;='n&amp;cn'!$C$2)
))</f>
        <v/>
      </c>
      <c r="BE97" s="267"/>
      <c r="BF97" s="290" t="str" cm="1">
        <f t="array" ref="BF97">IF(BG97="",
"",
SUMPRODUCT(
tb_desp[valor]*
(tb_desp[centro.negocio]=BG$2)*
(tb_desp[nucleo]=BG97)*
(tb_desp[data.pagamento]&gt;='n&amp;cn'!$C$1)*
(tb_desp[data.pagamento]&lt;='n&amp;cn'!$C$2)
))</f>
        <v/>
      </c>
      <c r="BG97" s="267"/>
      <c r="BH97" s="290" t="str" cm="1">
        <f t="array" ref="BH97">IF(BI97="",
"",
SUMPRODUCT(
tb_desp[valor]*
(tb_desp[centro.negocio]=BI$2)*
(tb_desp[nucleo]=BI97)*
(tb_desp[data.pagamento]&gt;='n&amp;cn'!$C$1)*
(tb_desp[data.pagamento]&lt;='n&amp;cn'!$C$2)
))</f>
        <v/>
      </c>
      <c r="BI97" s="267"/>
      <c r="BJ97" s="290" t="str" cm="1">
        <f t="array" ref="BJ97">IF(BK97="",
"",
SUMPRODUCT(
tb_desp[valor]*
(tb_desp[centro.negocio]=BK$2)*
(tb_desp[nucleo]=BK97)*
(tb_desp[data.pagamento]&gt;='n&amp;cn'!$C$1)*
(tb_desp[data.pagamento]&lt;='n&amp;cn'!$C$2)
))</f>
        <v/>
      </c>
      <c r="BK97" s="267"/>
      <c r="BL97" s="290" t="str" cm="1">
        <f t="array" ref="BL97">IF(BM97="",
"",
SUMPRODUCT(
tb_desp[valor]*
(tb_desp[centro.negocio]=BM$2)*
(tb_desp[nucleo]=BM97)*
(tb_desp[data.pagamento]&gt;='n&amp;cn'!$C$1)*
(tb_desp[data.pagamento]&lt;='n&amp;cn'!$C$2)
))</f>
        <v/>
      </c>
      <c r="BM97" s="267"/>
      <c r="BN97" s="290" t="str" cm="1">
        <f t="array" ref="BN97">IF(BO97="",
"",
SUMPRODUCT(
tb_desp[valor]*
(tb_desp[centro.negocio]=BO$2)*
(tb_desp[nucleo]=BO97)*
(tb_desp[data.pagamento]&gt;='n&amp;cn'!$C$1)*
(tb_desp[data.pagamento]&lt;='n&amp;cn'!$C$2)
))</f>
        <v/>
      </c>
      <c r="BO97" s="267"/>
    </row>
    <row r="98" spans="2:67" x14ac:dyDescent="0.25">
      <c r="H98" s="169"/>
      <c r="I98" s="165">
        <f t="shared" si="6"/>
        <v>91</v>
      </c>
      <c r="J98" s="219"/>
      <c r="K98" s="166"/>
      <c r="L98" s="167" t="e">
        <f t="shared" si="5"/>
        <v>#DIV/0!</v>
      </c>
      <c r="M98" s="167" t="e">
        <f>SUM($L$8:$L98)</f>
        <v>#DIV/0!</v>
      </c>
      <c r="R98" s="290" t="str" cm="1">
        <f t="array" ref="R98">IF(S98="",
"",
SUMPRODUCT(
tb_desp[valor]*
(tb_desp[centro.negocio]=S$2)*
(tb_desp[nucleo]=S98)*
(tb_desp[data.pagamento]&gt;='n&amp;cn'!$C$1)*
(tb_desp[data.pagamento]&lt;='n&amp;cn'!$C$2)
))</f>
        <v/>
      </c>
      <c r="S98" s="267"/>
      <c r="T98" s="290" t="str" cm="1">
        <f t="array" ref="T98">IF(U98="",
"",
SUMPRODUCT(
tb_desp[valor]*
(tb_desp[centro.negocio]=U$2)*
(tb_desp[nucleo]=U98)*
(tb_desp[data.pagamento]&gt;='n&amp;cn'!$C$1)*
(tb_desp[data.pagamento]&lt;='n&amp;cn'!$C$2)
))</f>
        <v/>
      </c>
      <c r="U98" s="267"/>
      <c r="V98" s="290" t="str" cm="1">
        <f t="array" ref="V98">IF(W98="",
"",
SUMPRODUCT(
tb_desp[valor]*
(tb_desp[centro.negocio]=W$2)*
(tb_desp[nucleo]=W98)*
(tb_desp[data.pagamento]&gt;='n&amp;cn'!$C$1)*
(tb_desp[data.pagamento]&lt;='n&amp;cn'!$C$2)
))</f>
        <v/>
      </c>
      <c r="W98" s="267"/>
      <c r="X98" s="290" t="str" cm="1">
        <f t="array" ref="X98">IF(Y98="",
"",
SUMPRODUCT(
tb_desp[valor]*
(tb_desp[centro.negocio]=Y$2)*
(tb_desp[nucleo]=Y98)*
(tb_desp[data.pagamento]&gt;='n&amp;cn'!$C$1)*
(tb_desp[data.pagamento]&lt;='n&amp;cn'!$C$2)
))</f>
        <v/>
      </c>
      <c r="Y98" s="267"/>
      <c r="Z98" s="290" t="str" cm="1">
        <f t="array" ref="Z98">IF(AA98="",
"",
SUMPRODUCT(
tb_desp[valor]*
(tb_desp[centro.negocio]=AA$2)*
(tb_desp[nucleo]=AA98)*
(tb_desp[data.pagamento]&gt;='n&amp;cn'!$C$1)*
(tb_desp[data.pagamento]&lt;='n&amp;cn'!$C$2)
))</f>
        <v/>
      </c>
      <c r="AA98" s="267"/>
      <c r="AB98" s="290" t="str" cm="1">
        <f t="array" ref="AB98">IF(AC98="",
"",
SUMPRODUCT(
tb_desp[valor]*
(tb_desp[centro.negocio]=AC$2)*
(tb_desp[nucleo]=AC98)*
(tb_desp[data.pagamento]&gt;='n&amp;cn'!$C$1)*
(tb_desp[data.pagamento]&lt;='n&amp;cn'!$C$2)
))</f>
        <v/>
      </c>
      <c r="AC98" s="267"/>
      <c r="AD98" s="290" t="str" cm="1">
        <f t="array" ref="AD98">IF(AE98="",
"",
SUMPRODUCT(
tb_desp[valor]*
(tb_desp[centro.negocio]=AE$2)*
(tb_desp[nucleo]=AE98)*
(tb_desp[data.pagamento]&gt;='n&amp;cn'!$C$1)*
(tb_desp[data.pagamento]&lt;='n&amp;cn'!$C$2)
))</f>
        <v/>
      </c>
      <c r="AE98" s="267"/>
      <c r="AF98" s="290" t="str" cm="1">
        <f t="array" ref="AF98">IF(AG98="",
"",
SUMPRODUCT(
tb_desp[valor]*
(tb_desp[centro.negocio]=AG$2)*
(tb_desp[nucleo]=AG98)*
(tb_desp[data.pagamento]&gt;='n&amp;cn'!$C$1)*
(tb_desp[data.pagamento]&lt;='n&amp;cn'!$C$2)
))</f>
        <v/>
      </c>
      <c r="AG98" s="267"/>
      <c r="AH98" s="290" t="str" cm="1">
        <f t="array" ref="AH98">IF(AI98="",
"",
SUMPRODUCT(
tb_desp[valor]*
(tb_desp[centro.negocio]=AI$2)*
(tb_desp[nucleo]=AI98)*
(tb_desp[data.pagamento]&gt;='n&amp;cn'!$C$1)*
(tb_desp[data.pagamento]&lt;='n&amp;cn'!$C$2)
))</f>
        <v/>
      </c>
      <c r="AI98" s="267"/>
      <c r="AJ98" s="290" t="str" cm="1">
        <f t="array" ref="AJ98">IF(AK98="",
"",
SUMPRODUCT(
tb_desp[valor]*
(tb_desp[centro.negocio]=AK$2)*
(tb_desp[nucleo]=AK98)*
(tb_desp[data.pagamento]&gt;='n&amp;cn'!$C$1)*
(tb_desp[data.pagamento]&lt;='n&amp;cn'!$C$2)
))</f>
        <v/>
      </c>
      <c r="AK98" s="267"/>
      <c r="AL98" s="290" t="str" cm="1">
        <f t="array" ref="AL98">IF(AM98="",
"",
SUMPRODUCT(
tb_desp[valor]*
(tb_desp[centro.negocio]=AM$2)*
(tb_desp[nucleo]=AM98)*
(tb_desp[data.pagamento]&gt;='n&amp;cn'!$C$1)*
(tb_desp[data.pagamento]&lt;='n&amp;cn'!$C$2)
))</f>
        <v/>
      </c>
      <c r="AM98" s="267"/>
      <c r="AN98" s="290" t="str" cm="1">
        <f t="array" ref="AN98">IF(AO98="",
"",
SUMPRODUCT(
tb_desp[valor]*
(tb_desp[centro.negocio]=AO$2)*
(tb_desp[nucleo]=AO98)*
(tb_desp[data.pagamento]&gt;='n&amp;cn'!$C$1)*
(tb_desp[data.pagamento]&lt;='n&amp;cn'!$C$2)
))</f>
        <v/>
      </c>
      <c r="AO98" s="267"/>
      <c r="AP98" s="290" t="str" cm="1">
        <f t="array" ref="AP98">IF(AQ98="",
"",
SUMPRODUCT(
tb_desp[valor]*
(tb_desp[centro.negocio]=AQ$2)*
(tb_desp[nucleo]=AQ98)*
(tb_desp[data.pagamento]&gt;='n&amp;cn'!$C$1)*
(tb_desp[data.pagamento]&lt;='n&amp;cn'!$C$2)
))</f>
        <v/>
      </c>
      <c r="AQ98" s="267"/>
      <c r="AR98" s="290" t="str" cm="1">
        <f t="array" ref="AR98">IF(AS98="",
"",
SUMPRODUCT(
tb_desp[valor]*
(tb_desp[centro.negocio]=AS$2)*
(tb_desp[nucleo]=AS98)*
(tb_desp[data.pagamento]&gt;='n&amp;cn'!$C$1)*
(tb_desp[data.pagamento]&lt;='n&amp;cn'!$C$2)
))</f>
        <v/>
      </c>
      <c r="AS98" s="267"/>
      <c r="AT98" s="290" t="str" cm="1">
        <f t="array" ref="AT98">IF(AU98="",
"",
SUMPRODUCT(
tb_desp[valor]*
(tb_desp[centro.negocio]=AU$2)*
(tb_desp[nucleo]=AU98)*
(tb_desp[data.pagamento]&gt;='n&amp;cn'!$C$1)*
(tb_desp[data.pagamento]&lt;='n&amp;cn'!$C$2)
))</f>
        <v/>
      </c>
      <c r="AU98" s="267"/>
      <c r="AV98" s="290" t="str" cm="1">
        <f t="array" ref="AV98">IF(AW98="",
"",
SUMPRODUCT(
tb_desp[valor]*
(tb_desp[centro.negocio]=AW$2)*
(tb_desp[nucleo]=AW98)*
(tb_desp[data.pagamento]&gt;='n&amp;cn'!$C$1)*
(tb_desp[data.pagamento]&lt;='n&amp;cn'!$C$2)
))</f>
        <v/>
      </c>
      <c r="AW98" s="267"/>
      <c r="AX98" s="290" t="str" cm="1">
        <f t="array" ref="AX98">IF(AY98="",
"",
SUMPRODUCT(
tb_desp[valor]*
(tb_desp[centro.negocio]=AY$2)*
(tb_desp[nucleo]=AY98)*
(tb_desp[data.pagamento]&gt;='n&amp;cn'!$C$1)*
(tb_desp[data.pagamento]&lt;='n&amp;cn'!$C$2)
))</f>
        <v/>
      </c>
      <c r="AY98" s="267"/>
      <c r="AZ98" s="290" t="str" cm="1">
        <f t="array" ref="AZ98">IF(BA98="",
"",
SUMPRODUCT(
tb_desp[valor]*
(tb_desp[centro.negocio]=BA$2)*
(tb_desp[nucleo]=BA98)*
(tb_desp[data.pagamento]&gt;='n&amp;cn'!$C$1)*
(tb_desp[data.pagamento]&lt;='n&amp;cn'!$C$2)
))</f>
        <v/>
      </c>
      <c r="BA98" s="267"/>
      <c r="BB98" s="290" t="str" cm="1">
        <f t="array" ref="BB98">IF(BC98="",
"",
SUMPRODUCT(
tb_desp[valor]*
(tb_desp[centro.negocio]=BC$2)*
(tb_desp[nucleo]=BC98)*
(tb_desp[data.pagamento]&gt;='n&amp;cn'!$C$1)*
(tb_desp[data.pagamento]&lt;='n&amp;cn'!$C$2)
))</f>
        <v/>
      </c>
      <c r="BC98" s="267"/>
      <c r="BD98" s="290" t="str" cm="1">
        <f t="array" ref="BD98">IF(BE98="",
"",
SUMPRODUCT(
tb_desp[valor]*
(tb_desp[centro.negocio]=BE$2)*
(tb_desp[nucleo]=BE98)*
(tb_desp[data.pagamento]&gt;='n&amp;cn'!$C$1)*
(tb_desp[data.pagamento]&lt;='n&amp;cn'!$C$2)
))</f>
        <v/>
      </c>
      <c r="BE98" s="267"/>
      <c r="BF98" s="290" t="str" cm="1">
        <f t="array" ref="BF98">IF(BG98="",
"",
SUMPRODUCT(
tb_desp[valor]*
(tb_desp[centro.negocio]=BG$2)*
(tb_desp[nucleo]=BG98)*
(tb_desp[data.pagamento]&gt;='n&amp;cn'!$C$1)*
(tb_desp[data.pagamento]&lt;='n&amp;cn'!$C$2)
))</f>
        <v/>
      </c>
      <c r="BG98" s="267"/>
      <c r="BH98" s="290" t="str" cm="1">
        <f t="array" ref="BH98">IF(BI98="",
"",
SUMPRODUCT(
tb_desp[valor]*
(tb_desp[centro.negocio]=BI$2)*
(tb_desp[nucleo]=BI98)*
(tb_desp[data.pagamento]&gt;='n&amp;cn'!$C$1)*
(tb_desp[data.pagamento]&lt;='n&amp;cn'!$C$2)
))</f>
        <v/>
      </c>
      <c r="BI98" s="267"/>
      <c r="BJ98" s="290" t="str" cm="1">
        <f t="array" ref="BJ98">IF(BK98="",
"",
SUMPRODUCT(
tb_desp[valor]*
(tb_desp[centro.negocio]=BK$2)*
(tb_desp[nucleo]=BK98)*
(tb_desp[data.pagamento]&gt;='n&amp;cn'!$C$1)*
(tb_desp[data.pagamento]&lt;='n&amp;cn'!$C$2)
))</f>
        <v/>
      </c>
      <c r="BK98" s="267"/>
      <c r="BL98" s="290" t="str" cm="1">
        <f t="array" ref="BL98">IF(BM98="",
"",
SUMPRODUCT(
tb_desp[valor]*
(tb_desp[centro.negocio]=BM$2)*
(tb_desp[nucleo]=BM98)*
(tb_desp[data.pagamento]&gt;='n&amp;cn'!$C$1)*
(tb_desp[data.pagamento]&lt;='n&amp;cn'!$C$2)
))</f>
        <v/>
      </c>
      <c r="BM98" s="267"/>
      <c r="BN98" s="290" t="str" cm="1">
        <f t="array" ref="BN98">IF(BO98="",
"",
SUMPRODUCT(
tb_desp[valor]*
(tb_desp[centro.negocio]=BO$2)*
(tb_desp[nucleo]=BO98)*
(tb_desp[data.pagamento]&gt;='n&amp;cn'!$C$1)*
(tb_desp[data.pagamento]&lt;='n&amp;cn'!$C$2)
))</f>
        <v/>
      </c>
      <c r="BO98" s="267"/>
    </row>
    <row r="99" spans="2:67" x14ac:dyDescent="0.25">
      <c r="R99" s="290" t="str" cm="1">
        <f t="array" ref="R99">IF(S99="",
"",
SUMPRODUCT(
tb_desp[valor]*
(tb_desp[centro.negocio]=S$2)*
(tb_desp[nucleo]=S99)*
(tb_desp[data.pagamento]&gt;='n&amp;cn'!$C$1)*
(tb_desp[data.pagamento]&lt;='n&amp;cn'!$C$2)
))</f>
        <v/>
      </c>
      <c r="S99" s="267"/>
      <c r="T99" s="290" t="str" cm="1">
        <f t="array" ref="T99">IF(U99="",
"",
SUMPRODUCT(
tb_desp[valor]*
(tb_desp[centro.negocio]=U$2)*
(tb_desp[nucleo]=U99)*
(tb_desp[data.pagamento]&gt;='n&amp;cn'!$C$1)*
(tb_desp[data.pagamento]&lt;='n&amp;cn'!$C$2)
))</f>
        <v/>
      </c>
      <c r="U99" s="267"/>
      <c r="V99" s="290" t="str" cm="1">
        <f t="array" ref="V99">IF(W99="",
"",
SUMPRODUCT(
tb_desp[valor]*
(tb_desp[centro.negocio]=W$2)*
(tb_desp[nucleo]=W99)*
(tb_desp[data.pagamento]&gt;='n&amp;cn'!$C$1)*
(tb_desp[data.pagamento]&lt;='n&amp;cn'!$C$2)
))</f>
        <v/>
      </c>
      <c r="W99" s="267"/>
      <c r="X99" s="290" t="str" cm="1">
        <f t="array" ref="X99">IF(Y99="",
"",
SUMPRODUCT(
tb_desp[valor]*
(tb_desp[centro.negocio]=Y$2)*
(tb_desp[nucleo]=Y99)*
(tb_desp[data.pagamento]&gt;='n&amp;cn'!$C$1)*
(tb_desp[data.pagamento]&lt;='n&amp;cn'!$C$2)
))</f>
        <v/>
      </c>
      <c r="Y99" s="267"/>
      <c r="Z99" s="290" t="str" cm="1">
        <f t="array" ref="Z99">IF(AA99="",
"",
SUMPRODUCT(
tb_desp[valor]*
(tb_desp[centro.negocio]=AA$2)*
(tb_desp[nucleo]=AA99)*
(tb_desp[data.pagamento]&gt;='n&amp;cn'!$C$1)*
(tb_desp[data.pagamento]&lt;='n&amp;cn'!$C$2)
))</f>
        <v/>
      </c>
      <c r="AA99" s="267"/>
      <c r="AB99" s="290" t="str" cm="1">
        <f t="array" ref="AB99">IF(AC99="",
"",
SUMPRODUCT(
tb_desp[valor]*
(tb_desp[centro.negocio]=AC$2)*
(tb_desp[nucleo]=AC99)*
(tb_desp[data.pagamento]&gt;='n&amp;cn'!$C$1)*
(tb_desp[data.pagamento]&lt;='n&amp;cn'!$C$2)
))</f>
        <v/>
      </c>
      <c r="AC99" s="267"/>
      <c r="AD99" s="290" t="str" cm="1">
        <f t="array" ref="AD99">IF(AE99="",
"",
SUMPRODUCT(
tb_desp[valor]*
(tb_desp[centro.negocio]=AE$2)*
(tb_desp[nucleo]=AE99)*
(tb_desp[data.pagamento]&gt;='n&amp;cn'!$C$1)*
(tb_desp[data.pagamento]&lt;='n&amp;cn'!$C$2)
))</f>
        <v/>
      </c>
      <c r="AE99" s="267"/>
      <c r="AF99" s="290" t="str" cm="1">
        <f t="array" ref="AF99">IF(AG99="",
"",
SUMPRODUCT(
tb_desp[valor]*
(tb_desp[centro.negocio]=AG$2)*
(tb_desp[nucleo]=AG99)*
(tb_desp[data.pagamento]&gt;='n&amp;cn'!$C$1)*
(tb_desp[data.pagamento]&lt;='n&amp;cn'!$C$2)
))</f>
        <v/>
      </c>
      <c r="AG99" s="267"/>
      <c r="AH99" s="290" t="str" cm="1">
        <f t="array" ref="AH99">IF(AI99="",
"",
SUMPRODUCT(
tb_desp[valor]*
(tb_desp[centro.negocio]=AI$2)*
(tb_desp[nucleo]=AI99)*
(tb_desp[data.pagamento]&gt;='n&amp;cn'!$C$1)*
(tb_desp[data.pagamento]&lt;='n&amp;cn'!$C$2)
))</f>
        <v/>
      </c>
      <c r="AI99" s="267"/>
      <c r="AJ99" s="290" t="str" cm="1">
        <f t="array" ref="AJ99">IF(AK99="",
"",
SUMPRODUCT(
tb_desp[valor]*
(tb_desp[centro.negocio]=AK$2)*
(tb_desp[nucleo]=AK99)*
(tb_desp[data.pagamento]&gt;='n&amp;cn'!$C$1)*
(tb_desp[data.pagamento]&lt;='n&amp;cn'!$C$2)
))</f>
        <v/>
      </c>
      <c r="AK99" s="267"/>
      <c r="AL99" s="290" t="str" cm="1">
        <f t="array" ref="AL99">IF(AM99="",
"",
SUMPRODUCT(
tb_desp[valor]*
(tb_desp[centro.negocio]=AM$2)*
(tb_desp[nucleo]=AM99)*
(tb_desp[data.pagamento]&gt;='n&amp;cn'!$C$1)*
(tb_desp[data.pagamento]&lt;='n&amp;cn'!$C$2)
))</f>
        <v/>
      </c>
      <c r="AM99" s="267"/>
      <c r="AN99" s="290" t="str" cm="1">
        <f t="array" ref="AN99">IF(AO99="",
"",
SUMPRODUCT(
tb_desp[valor]*
(tb_desp[centro.negocio]=AO$2)*
(tb_desp[nucleo]=AO99)*
(tb_desp[data.pagamento]&gt;='n&amp;cn'!$C$1)*
(tb_desp[data.pagamento]&lt;='n&amp;cn'!$C$2)
))</f>
        <v/>
      </c>
      <c r="AO99" s="267"/>
      <c r="AP99" s="290" t="str" cm="1">
        <f t="array" ref="AP99">IF(AQ99="",
"",
SUMPRODUCT(
tb_desp[valor]*
(tb_desp[centro.negocio]=AQ$2)*
(tb_desp[nucleo]=AQ99)*
(tb_desp[data.pagamento]&gt;='n&amp;cn'!$C$1)*
(tb_desp[data.pagamento]&lt;='n&amp;cn'!$C$2)
))</f>
        <v/>
      </c>
      <c r="AQ99" s="267"/>
      <c r="AR99" s="290" t="str" cm="1">
        <f t="array" ref="AR99">IF(AS99="",
"",
SUMPRODUCT(
tb_desp[valor]*
(tb_desp[centro.negocio]=AS$2)*
(tb_desp[nucleo]=AS99)*
(tb_desp[data.pagamento]&gt;='n&amp;cn'!$C$1)*
(tb_desp[data.pagamento]&lt;='n&amp;cn'!$C$2)
))</f>
        <v/>
      </c>
      <c r="AS99" s="267"/>
      <c r="AT99" s="290" t="str" cm="1">
        <f t="array" ref="AT99">IF(AU99="",
"",
SUMPRODUCT(
tb_desp[valor]*
(tb_desp[centro.negocio]=AU$2)*
(tb_desp[nucleo]=AU99)*
(tb_desp[data.pagamento]&gt;='n&amp;cn'!$C$1)*
(tb_desp[data.pagamento]&lt;='n&amp;cn'!$C$2)
))</f>
        <v/>
      </c>
      <c r="AU99" s="267"/>
      <c r="AV99" s="290" t="str" cm="1">
        <f t="array" ref="AV99">IF(AW99="",
"",
SUMPRODUCT(
tb_desp[valor]*
(tb_desp[centro.negocio]=AW$2)*
(tb_desp[nucleo]=AW99)*
(tb_desp[data.pagamento]&gt;='n&amp;cn'!$C$1)*
(tb_desp[data.pagamento]&lt;='n&amp;cn'!$C$2)
))</f>
        <v/>
      </c>
      <c r="AW99" s="267"/>
      <c r="AX99" s="290" t="str" cm="1">
        <f t="array" ref="AX99">IF(AY99="",
"",
SUMPRODUCT(
tb_desp[valor]*
(tb_desp[centro.negocio]=AY$2)*
(tb_desp[nucleo]=AY99)*
(tb_desp[data.pagamento]&gt;='n&amp;cn'!$C$1)*
(tb_desp[data.pagamento]&lt;='n&amp;cn'!$C$2)
))</f>
        <v/>
      </c>
      <c r="AY99" s="267"/>
      <c r="AZ99" s="290" t="str" cm="1">
        <f t="array" ref="AZ99">IF(BA99="",
"",
SUMPRODUCT(
tb_desp[valor]*
(tb_desp[centro.negocio]=BA$2)*
(tb_desp[nucleo]=BA99)*
(tb_desp[data.pagamento]&gt;='n&amp;cn'!$C$1)*
(tb_desp[data.pagamento]&lt;='n&amp;cn'!$C$2)
))</f>
        <v/>
      </c>
      <c r="BA99" s="267"/>
      <c r="BB99" s="290" t="str" cm="1">
        <f t="array" ref="BB99">IF(BC99="",
"",
SUMPRODUCT(
tb_desp[valor]*
(tb_desp[centro.negocio]=BC$2)*
(tb_desp[nucleo]=BC99)*
(tb_desp[data.pagamento]&gt;='n&amp;cn'!$C$1)*
(tb_desp[data.pagamento]&lt;='n&amp;cn'!$C$2)
))</f>
        <v/>
      </c>
      <c r="BC99" s="267"/>
      <c r="BD99" s="290" t="str" cm="1">
        <f t="array" ref="BD99">IF(BE99="",
"",
SUMPRODUCT(
tb_desp[valor]*
(tb_desp[centro.negocio]=BE$2)*
(tb_desp[nucleo]=BE99)*
(tb_desp[data.pagamento]&gt;='n&amp;cn'!$C$1)*
(tb_desp[data.pagamento]&lt;='n&amp;cn'!$C$2)
))</f>
        <v/>
      </c>
      <c r="BE99" s="267"/>
      <c r="BF99" s="290" t="str" cm="1">
        <f t="array" ref="BF99">IF(BG99="",
"",
SUMPRODUCT(
tb_desp[valor]*
(tb_desp[centro.negocio]=BG$2)*
(tb_desp[nucleo]=BG99)*
(tb_desp[data.pagamento]&gt;='n&amp;cn'!$C$1)*
(tb_desp[data.pagamento]&lt;='n&amp;cn'!$C$2)
))</f>
        <v/>
      </c>
      <c r="BG99" s="267"/>
      <c r="BH99" s="290" t="str" cm="1">
        <f t="array" ref="BH99">IF(BI99="",
"",
SUMPRODUCT(
tb_desp[valor]*
(tb_desp[centro.negocio]=BI$2)*
(tb_desp[nucleo]=BI99)*
(tb_desp[data.pagamento]&gt;='n&amp;cn'!$C$1)*
(tb_desp[data.pagamento]&lt;='n&amp;cn'!$C$2)
))</f>
        <v/>
      </c>
      <c r="BI99" s="267"/>
      <c r="BJ99" s="290" t="str" cm="1">
        <f t="array" ref="BJ99">IF(BK99="",
"",
SUMPRODUCT(
tb_desp[valor]*
(tb_desp[centro.negocio]=BK$2)*
(tb_desp[nucleo]=BK99)*
(tb_desp[data.pagamento]&gt;='n&amp;cn'!$C$1)*
(tb_desp[data.pagamento]&lt;='n&amp;cn'!$C$2)
))</f>
        <v/>
      </c>
      <c r="BK99" s="267"/>
      <c r="BL99" s="290" t="str" cm="1">
        <f t="array" ref="BL99">IF(BM99="",
"",
SUMPRODUCT(
tb_desp[valor]*
(tb_desp[centro.negocio]=BM$2)*
(tb_desp[nucleo]=BM99)*
(tb_desp[data.pagamento]&gt;='n&amp;cn'!$C$1)*
(tb_desp[data.pagamento]&lt;='n&amp;cn'!$C$2)
))</f>
        <v/>
      </c>
      <c r="BM99" s="267"/>
      <c r="BN99" s="290" t="str" cm="1">
        <f t="array" ref="BN99">IF(BO99="",
"",
SUMPRODUCT(
tb_desp[valor]*
(tb_desp[centro.negocio]=BO$2)*
(tb_desp[nucleo]=BO99)*
(tb_desp[data.pagamento]&gt;='n&amp;cn'!$C$1)*
(tb_desp[data.pagamento]&lt;='n&amp;cn'!$C$2)
))</f>
        <v/>
      </c>
      <c r="BO99" s="267"/>
    </row>
    <row r="100" spans="2:67" x14ac:dyDescent="0.25">
      <c r="B100" t="s">
        <v>897</v>
      </c>
      <c r="C100" t="s">
        <v>33</v>
      </c>
      <c r="D100" t="s">
        <v>898</v>
      </c>
      <c r="R100" s="290" t="str" cm="1">
        <f t="array" ref="R100">IF(S100="",
"",
SUMPRODUCT(
tb_desp[valor]*
(tb_desp[centro.negocio]=S$2)*
(tb_desp[nucleo]=S100)*
(tb_desp[data.pagamento]&gt;='n&amp;cn'!$C$1)*
(tb_desp[data.pagamento]&lt;='n&amp;cn'!$C$2)
))</f>
        <v/>
      </c>
      <c r="S100" s="267"/>
      <c r="T100" s="290" t="str" cm="1">
        <f t="array" ref="T100">IF(U100="",
"",
SUMPRODUCT(
tb_desp[valor]*
(tb_desp[centro.negocio]=U$2)*
(tb_desp[nucleo]=U100)*
(tb_desp[data.pagamento]&gt;='n&amp;cn'!$C$1)*
(tb_desp[data.pagamento]&lt;='n&amp;cn'!$C$2)
))</f>
        <v/>
      </c>
      <c r="U100" s="267"/>
      <c r="V100" s="290" t="str" cm="1">
        <f t="array" ref="V100">IF(W100="",
"",
SUMPRODUCT(
tb_desp[valor]*
(tb_desp[centro.negocio]=W$2)*
(tb_desp[nucleo]=W100)*
(tb_desp[data.pagamento]&gt;='n&amp;cn'!$C$1)*
(tb_desp[data.pagamento]&lt;='n&amp;cn'!$C$2)
))</f>
        <v/>
      </c>
      <c r="W100" s="267"/>
      <c r="X100" s="290" t="str" cm="1">
        <f t="array" ref="X100">IF(Y100="",
"",
SUMPRODUCT(
tb_desp[valor]*
(tb_desp[centro.negocio]=Y$2)*
(tb_desp[nucleo]=Y100)*
(tb_desp[data.pagamento]&gt;='n&amp;cn'!$C$1)*
(tb_desp[data.pagamento]&lt;='n&amp;cn'!$C$2)
))</f>
        <v/>
      </c>
      <c r="Y100" s="267"/>
      <c r="Z100" s="290" t="str" cm="1">
        <f t="array" ref="Z100">IF(AA100="",
"",
SUMPRODUCT(
tb_desp[valor]*
(tb_desp[centro.negocio]=AA$2)*
(tb_desp[nucleo]=AA100)*
(tb_desp[data.pagamento]&gt;='n&amp;cn'!$C$1)*
(tb_desp[data.pagamento]&lt;='n&amp;cn'!$C$2)
))</f>
        <v/>
      </c>
      <c r="AA100" s="267"/>
      <c r="AB100" s="290" t="str" cm="1">
        <f t="array" ref="AB100">IF(AC100="",
"",
SUMPRODUCT(
tb_desp[valor]*
(tb_desp[centro.negocio]=AC$2)*
(tb_desp[nucleo]=AC100)*
(tb_desp[data.pagamento]&gt;='n&amp;cn'!$C$1)*
(tb_desp[data.pagamento]&lt;='n&amp;cn'!$C$2)
))</f>
        <v/>
      </c>
      <c r="AC100" s="267"/>
      <c r="AD100" s="290" t="str" cm="1">
        <f t="array" ref="AD100">IF(AE100="",
"",
SUMPRODUCT(
tb_desp[valor]*
(tb_desp[centro.negocio]=AE$2)*
(tb_desp[nucleo]=AE100)*
(tb_desp[data.pagamento]&gt;='n&amp;cn'!$C$1)*
(tb_desp[data.pagamento]&lt;='n&amp;cn'!$C$2)
))</f>
        <v/>
      </c>
      <c r="AE100" s="267"/>
      <c r="AF100" s="290" t="str" cm="1">
        <f t="array" ref="AF100">IF(AG100="",
"",
SUMPRODUCT(
tb_desp[valor]*
(tb_desp[centro.negocio]=AG$2)*
(tb_desp[nucleo]=AG100)*
(tb_desp[data.pagamento]&gt;='n&amp;cn'!$C$1)*
(tb_desp[data.pagamento]&lt;='n&amp;cn'!$C$2)
))</f>
        <v/>
      </c>
      <c r="AG100" s="267"/>
      <c r="AH100" s="290" t="str" cm="1">
        <f t="array" ref="AH100">IF(AI100="",
"",
SUMPRODUCT(
tb_desp[valor]*
(tb_desp[centro.negocio]=AI$2)*
(tb_desp[nucleo]=AI100)*
(tb_desp[data.pagamento]&gt;='n&amp;cn'!$C$1)*
(tb_desp[data.pagamento]&lt;='n&amp;cn'!$C$2)
))</f>
        <v/>
      </c>
      <c r="AI100" s="267"/>
      <c r="AJ100" s="290" t="str" cm="1">
        <f t="array" ref="AJ100">IF(AK100="",
"",
SUMPRODUCT(
tb_desp[valor]*
(tb_desp[centro.negocio]=AK$2)*
(tb_desp[nucleo]=AK100)*
(tb_desp[data.pagamento]&gt;='n&amp;cn'!$C$1)*
(tb_desp[data.pagamento]&lt;='n&amp;cn'!$C$2)
))</f>
        <v/>
      </c>
      <c r="AK100" s="267"/>
      <c r="AL100" s="290" t="str" cm="1">
        <f t="array" ref="AL100">IF(AM100="",
"",
SUMPRODUCT(
tb_desp[valor]*
(tb_desp[centro.negocio]=AM$2)*
(tb_desp[nucleo]=AM100)*
(tb_desp[data.pagamento]&gt;='n&amp;cn'!$C$1)*
(tb_desp[data.pagamento]&lt;='n&amp;cn'!$C$2)
))</f>
        <v/>
      </c>
      <c r="AM100" s="267"/>
      <c r="AN100" s="290" t="str" cm="1">
        <f t="array" ref="AN100">IF(AO100="",
"",
SUMPRODUCT(
tb_desp[valor]*
(tb_desp[centro.negocio]=AO$2)*
(tb_desp[nucleo]=AO100)*
(tb_desp[data.pagamento]&gt;='n&amp;cn'!$C$1)*
(tb_desp[data.pagamento]&lt;='n&amp;cn'!$C$2)
))</f>
        <v/>
      </c>
      <c r="AO100" s="267"/>
      <c r="AP100" s="290" t="str" cm="1">
        <f t="array" ref="AP100">IF(AQ100="",
"",
SUMPRODUCT(
tb_desp[valor]*
(tb_desp[centro.negocio]=AQ$2)*
(tb_desp[nucleo]=AQ100)*
(tb_desp[data.pagamento]&gt;='n&amp;cn'!$C$1)*
(tb_desp[data.pagamento]&lt;='n&amp;cn'!$C$2)
))</f>
        <v/>
      </c>
      <c r="AQ100" s="267"/>
      <c r="AR100" s="290" t="str" cm="1">
        <f t="array" ref="AR100">IF(AS100="",
"",
SUMPRODUCT(
tb_desp[valor]*
(tb_desp[centro.negocio]=AS$2)*
(tb_desp[nucleo]=AS100)*
(tb_desp[data.pagamento]&gt;='n&amp;cn'!$C$1)*
(tb_desp[data.pagamento]&lt;='n&amp;cn'!$C$2)
))</f>
        <v/>
      </c>
      <c r="AS100" s="267"/>
      <c r="AT100" s="290" t="str" cm="1">
        <f t="array" ref="AT100">IF(AU100="",
"",
SUMPRODUCT(
tb_desp[valor]*
(tb_desp[centro.negocio]=AU$2)*
(tb_desp[nucleo]=AU100)*
(tb_desp[data.pagamento]&gt;='n&amp;cn'!$C$1)*
(tb_desp[data.pagamento]&lt;='n&amp;cn'!$C$2)
))</f>
        <v/>
      </c>
      <c r="AU100" s="267"/>
      <c r="AV100" s="290" t="str" cm="1">
        <f t="array" ref="AV100">IF(AW100="",
"",
SUMPRODUCT(
tb_desp[valor]*
(tb_desp[centro.negocio]=AW$2)*
(tb_desp[nucleo]=AW100)*
(tb_desp[data.pagamento]&gt;='n&amp;cn'!$C$1)*
(tb_desp[data.pagamento]&lt;='n&amp;cn'!$C$2)
))</f>
        <v/>
      </c>
      <c r="AW100" s="267"/>
      <c r="AX100" s="290" t="str" cm="1">
        <f t="array" ref="AX100">IF(AY100="",
"",
SUMPRODUCT(
tb_desp[valor]*
(tb_desp[centro.negocio]=AY$2)*
(tb_desp[nucleo]=AY100)*
(tb_desp[data.pagamento]&gt;='n&amp;cn'!$C$1)*
(tb_desp[data.pagamento]&lt;='n&amp;cn'!$C$2)
))</f>
        <v/>
      </c>
      <c r="AY100" s="267"/>
      <c r="AZ100" s="290" t="str" cm="1">
        <f t="array" ref="AZ100">IF(BA100="",
"",
SUMPRODUCT(
tb_desp[valor]*
(tb_desp[centro.negocio]=BA$2)*
(tb_desp[nucleo]=BA100)*
(tb_desp[data.pagamento]&gt;='n&amp;cn'!$C$1)*
(tb_desp[data.pagamento]&lt;='n&amp;cn'!$C$2)
))</f>
        <v/>
      </c>
      <c r="BA100" s="267"/>
      <c r="BB100" s="290" t="str" cm="1">
        <f t="array" ref="BB100">IF(BC100="",
"",
SUMPRODUCT(
tb_desp[valor]*
(tb_desp[centro.negocio]=BC$2)*
(tb_desp[nucleo]=BC100)*
(tb_desp[data.pagamento]&gt;='n&amp;cn'!$C$1)*
(tb_desp[data.pagamento]&lt;='n&amp;cn'!$C$2)
))</f>
        <v/>
      </c>
      <c r="BC100" s="267"/>
      <c r="BD100" s="290" t="str" cm="1">
        <f t="array" ref="BD100">IF(BE100="",
"",
SUMPRODUCT(
tb_desp[valor]*
(tb_desp[centro.negocio]=BE$2)*
(tb_desp[nucleo]=BE100)*
(tb_desp[data.pagamento]&gt;='n&amp;cn'!$C$1)*
(tb_desp[data.pagamento]&lt;='n&amp;cn'!$C$2)
))</f>
        <v/>
      </c>
      <c r="BE100" s="267"/>
      <c r="BF100" s="290" t="str" cm="1">
        <f t="array" ref="BF100">IF(BG100="",
"",
SUMPRODUCT(
tb_desp[valor]*
(tb_desp[centro.negocio]=BG$2)*
(tb_desp[nucleo]=BG100)*
(tb_desp[data.pagamento]&gt;='n&amp;cn'!$C$1)*
(tb_desp[data.pagamento]&lt;='n&amp;cn'!$C$2)
))</f>
        <v/>
      </c>
      <c r="BG100" s="267"/>
      <c r="BH100" s="290" t="str" cm="1">
        <f t="array" ref="BH100">IF(BI100="",
"",
SUMPRODUCT(
tb_desp[valor]*
(tb_desp[centro.negocio]=BI$2)*
(tb_desp[nucleo]=BI100)*
(tb_desp[data.pagamento]&gt;='n&amp;cn'!$C$1)*
(tb_desp[data.pagamento]&lt;='n&amp;cn'!$C$2)
))</f>
        <v/>
      </c>
      <c r="BI100" s="267"/>
      <c r="BJ100" s="290" t="str" cm="1">
        <f t="array" ref="BJ100">IF(BK100="",
"",
SUMPRODUCT(
tb_desp[valor]*
(tb_desp[centro.negocio]=BK$2)*
(tb_desp[nucleo]=BK100)*
(tb_desp[data.pagamento]&gt;='n&amp;cn'!$C$1)*
(tb_desp[data.pagamento]&lt;='n&amp;cn'!$C$2)
))</f>
        <v/>
      </c>
      <c r="BK100" s="267"/>
      <c r="BL100" s="290" t="str" cm="1">
        <f t="array" ref="BL100">IF(BM100="",
"",
SUMPRODUCT(
tb_desp[valor]*
(tb_desp[centro.negocio]=BM$2)*
(tb_desp[nucleo]=BM100)*
(tb_desp[data.pagamento]&gt;='n&amp;cn'!$C$1)*
(tb_desp[data.pagamento]&lt;='n&amp;cn'!$C$2)
))</f>
        <v/>
      </c>
      <c r="BM100" s="267"/>
      <c r="BN100" s="290" t="str" cm="1">
        <f t="array" ref="BN100">IF(BO100="",
"",
SUMPRODUCT(
tb_desp[valor]*
(tb_desp[centro.negocio]=BO$2)*
(tb_desp[nucleo]=BO100)*
(tb_desp[data.pagamento]&gt;='n&amp;cn'!$C$1)*
(tb_desp[data.pagamento]&lt;='n&amp;cn'!$C$2)
))</f>
        <v/>
      </c>
      <c r="BO100" s="267"/>
    </row>
    <row r="101" spans="2:67" x14ac:dyDescent="0.25">
      <c r="B101" t="s">
        <v>494</v>
      </c>
      <c r="C101" t="s">
        <v>7</v>
      </c>
      <c r="D101" t="b">
        <v>1</v>
      </c>
      <c r="R101" s="290" t="str" cm="1">
        <f t="array" ref="R101">IF(S101="",
"",
SUMPRODUCT(
tb_desp[valor]*
(tb_desp[centro.negocio]=S$2)*
(tb_desp[nucleo]=S101)*
(tb_desp[data.pagamento]&gt;='n&amp;cn'!$C$1)*
(tb_desp[data.pagamento]&lt;='n&amp;cn'!$C$2)
))</f>
        <v/>
      </c>
      <c r="S101" s="267"/>
      <c r="T101" s="290" t="str" cm="1">
        <f t="array" ref="T101">IF(U101="",
"",
SUMPRODUCT(
tb_desp[valor]*
(tb_desp[centro.negocio]=U$2)*
(tb_desp[nucleo]=U101)*
(tb_desp[data.pagamento]&gt;='n&amp;cn'!$C$1)*
(tb_desp[data.pagamento]&lt;='n&amp;cn'!$C$2)
))</f>
        <v/>
      </c>
      <c r="U101" s="267"/>
      <c r="V101" s="290" t="str" cm="1">
        <f t="array" ref="V101">IF(W101="",
"",
SUMPRODUCT(
tb_desp[valor]*
(tb_desp[centro.negocio]=W$2)*
(tb_desp[nucleo]=W101)*
(tb_desp[data.pagamento]&gt;='n&amp;cn'!$C$1)*
(tb_desp[data.pagamento]&lt;='n&amp;cn'!$C$2)
))</f>
        <v/>
      </c>
      <c r="W101" s="267"/>
      <c r="X101" s="290" t="str" cm="1">
        <f t="array" ref="X101">IF(Y101="",
"",
SUMPRODUCT(
tb_desp[valor]*
(tb_desp[centro.negocio]=Y$2)*
(tb_desp[nucleo]=Y101)*
(tb_desp[data.pagamento]&gt;='n&amp;cn'!$C$1)*
(tb_desp[data.pagamento]&lt;='n&amp;cn'!$C$2)
))</f>
        <v/>
      </c>
      <c r="Y101" s="267"/>
      <c r="Z101" s="290" t="str" cm="1">
        <f t="array" ref="Z101">IF(AA101="",
"",
SUMPRODUCT(
tb_desp[valor]*
(tb_desp[centro.negocio]=AA$2)*
(tb_desp[nucleo]=AA101)*
(tb_desp[data.pagamento]&gt;='n&amp;cn'!$C$1)*
(tb_desp[data.pagamento]&lt;='n&amp;cn'!$C$2)
))</f>
        <v/>
      </c>
      <c r="AA101" s="267"/>
      <c r="AB101" s="290" t="str" cm="1">
        <f t="array" ref="AB101">IF(AC101="",
"",
SUMPRODUCT(
tb_desp[valor]*
(tb_desp[centro.negocio]=AC$2)*
(tb_desp[nucleo]=AC101)*
(tb_desp[data.pagamento]&gt;='n&amp;cn'!$C$1)*
(tb_desp[data.pagamento]&lt;='n&amp;cn'!$C$2)
))</f>
        <v/>
      </c>
      <c r="AC101" s="267"/>
      <c r="AD101" s="290" t="str" cm="1">
        <f t="array" ref="AD101">IF(AE101="",
"",
SUMPRODUCT(
tb_desp[valor]*
(tb_desp[centro.negocio]=AE$2)*
(tb_desp[nucleo]=AE101)*
(tb_desp[data.pagamento]&gt;='n&amp;cn'!$C$1)*
(tb_desp[data.pagamento]&lt;='n&amp;cn'!$C$2)
))</f>
        <v/>
      </c>
      <c r="AE101" s="267"/>
      <c r="AF101" s="290" t="str" cm="1">
        <f t="array" ref="AF101">IF(AG101="",
"",
SUMPRODUCT(
tb_desp[valor]*
(tb_desp[centro.negocio]=AG$2)*
(tb_desp[nucleo]=AG101)*
(tb_desp[data.pagamento]&gt;='n&amp;cn'!$C$1)*
(tb_desp[data.pagamento]&lt;='n&amp;cn'!$C$2)
))</f>
        <v/>
      </c>
      <c r="AG101" s="267"/>
      <c r="AH101" s="290" t="str" cm="1">
        <f t="array" ref="AH101">IF(AI101="",
"",
SUMPRODUCT(
tb_desp[valor]*
(tb_desp[centro.negocio]=AI$2)*
(tb_desp[nucleo]=AI101)*
(tb_desp[data.pagamento]&gt;='n&amp;cn'!$C$1)*
(tb_desp[data.pagamento]&lt;='n&amp;cn'!$C$2)
))</f>
        <v/>
      </c>
      <c r="AI101" s="267"/>
      <c r="AJ101" s="290" t="str" cm="1">
        <f t="array" ref="AJ101">IF(AK101="",
"",
SUMPRODUCT(
tb_desp[valor]*
(tb_desp[centro.negocio]=AK$2)*
(tb_desp[nucleo]=AK101)*
(tb_desp[data.pagamento]&gt;='n&amp;cn'!$C$1)*
(tb_desp[data.pagamento]&lt;='n&amp;cn'!$C$2)
))</f>
        <v/>
      </c>
      <c r="AK101" s="267"/>
      <c r="AL101" s="290" t="str" cm="1">
        <f t="array" ref="AL101">IF(AM101="",
"",
SUMPRODUCT(
tb_desp[valor]*
(tb_desp[centro.negocio]=AM$2)*
(tb_desp[nucleo]=AM101)*
(tb_desp[data.pagamento]&gt;='n&amp;cn'!$C$1)*
(tb_desp[data.pagamento]&lt;='n&amp;cn'!$C$2)
))</f>
        <v/>
      </c>
      <c r="AM101" s="267"/>
      <c r="AN101" s="290" t="str" cm="1">
        <f t="array" ref="AN101">IF(AO101="",
"",
SUMPRODUCT(
tb_desp[valor]*
(tb_desp[centro.negocio]=AO$2)*
(tb_desp[nucleo]=AO101)*
(tb_desp[data.pagamento]&gt;='n&amp;cn'!$C$1)*
(tb_desp[data.pagamento]&lt;='n&amp;cn'!$C$2)
))</f>
        <v/>
      </c>
      <c r="AO101" s="267"/>
      <c r="AP101" s="290" t="str" cm="1">
        <f t="array" ref="AP101">IF(AQ101="",
"",
SUMPRODUCT(
tb_desp[valor]*
(tb_desp[centro.negocio]=AQ$2)*
(tb_desp[nucleo]=AQ101)*
(tb_desp[data.pagamento]&gt;='n&amp;cn'!$C$1)*
(tb_desp[data.pagamento]&lt;='n&amp;cn'!$C$2)
))</f>
        <v/>
      </c>
      <c r="AQ101" s="267"/>
      <c r="AR101" s="290" t="str" cm="1">
        <f t="array" ref="AR101">IF(AS101="",
"",
SUMPRODUCT(
tb_desp[valor]*
(tb_desp[centro.negocio]=AS$2)*
(tb_desp[nucleo]=AS101)*
(tb_desp[data.pagamento]&gt;='n&amp;cn'!$C$1)*
(tb_desp[data.pagamento]&lt;='n&amp;cn'!$C$2)
))</f>
        <v/>
      </c>
      <c r="AS101" s="267"/>
      <c r="AT101" s="290" t="str" cm="1">
        <f t="array" ref="AT101">IF(AU101="",
"",
SUMPRODUCT(
tb_desp[valor]*
(tb_desp[centro.negocio]=AU$2)*
(tb_desp[nucleo]=AU101)*
(tb_desp[data.pagamento]&gt;='n&amp;cn'!$C$1)*
(tb_desp[data.pagamento]&lt;='n&amp;cn'!$C$2)
))</f>
        <v/>
      </c>
      <c r="AU101" s="267"/>
      <c r="AV101" s="290" t="str" cm="1">
        <f t="array" ref="AV101">IF(AW101="",
"",
SUMPRODUCT(
tb_desp[valor]*
(tb_desp[centro.negocio]=AW$2)*
(tb_desp[nucleo]=AW101)*
(tb_desp[data.pagamento]&gt;='n&amp;cn'!$C$1)*
(tb_desp[data.pagamento]&lt;='n&amp;cn'!$C$2)
))</f>
        <v/>
      </c>
      <c r="AW101" s="267"/>
      <c r="AX101" s="290" t="str" cm="1">
        <f t="array" ref="AX101">IF(AY101="",
"",
SUMPRODUCT(
tb_desp[valor]*
(tb_desp[centro.negocio]=AY$2)*
(tb_desp[nucleo]=AY101)*
(tb_desp[data.pagamento]&gt;='n&amp;cn'!$C$1)*
(tb_desp[data.pagamento]&lt;='n&amp;cn'!$C$2)
))</f>
        <v/>
      </c>
      <c r="AY101" s="267"/>
      <c r="AZ101" s="290" t="str" cm="1">
        <f t="array" ref="AZ101">IF(BA101="",
"",
SUMPRODUCT(
tb_desp[valor]*
(tb_desp[centro.negocio]=BA$2)*
(tb_desp[nucleo]=BA101)*
(tb_desp[data.pagamento]&gt;='n&amp;cn'!$C$1)*
(tb_desp[data.pagamento]&lt;='n&amp;cn'!$C$2)
))</f>
        <v/>
      </c>
      <c r="BA101" s="267"/>
      <c r="BB101" s="290" t="str" cm="1">
        <f t="array" ref="BB101">IF(BC101="",
"",
SUMPRODUCT(
tb_desp[valor]*
(tb_desp[centro.negocio]=BC$2)*
(tb_desp[nucleo]=BC101)*
(tb_desp[data.pagamento]&gt;='n&amp;cn'!$C$1)*
(tb_desp[data.pagamento]&lt;='n&amp;cn'!$C$2)
))</f>
        <v/>
      </c>
      <c r="BC101" s="267"/>
      <c r="BD101" s="290" t="str" cm="1">
        <f t="array" ref="BD101">IF(BE101="",
"",
SUMPRODUCT(
tb_desp[valor]*
(tb_desp[centro.negocio]=BE$2)*
(tb_desp[nucleo]=BE101)*
(tb_desp[data.pagamento]&gt;='n&amp;cn'!$C$1)*
(tb_desp[data.pagamento]&lt;='n&amp;cn'!$C$2)
))</f>
        <v/>
      </c>
      <c r="BE101" s="267"/>
      <c r="BF101" s="290" t="str" cm="1">
        <f t="array" ref="BF101">IF(BG101="",
"",
SUMPRODUCT(
tb_desp[valor]*
(tb_desp[centro.negocio]=BG$2)*
(tb_desp[nucleo]=BG101)*
(tb_desp[data.pagamento]&gt;='n&amp;cn'!$C$1)*
(tb_desp[data.pagamento]&lt;='n&amp;cn'!$C$2)
))</f>
        <v/>
      </c>
      <c r="BG101" s="267"/>
      <c r="BH101" s="290" t="str" cm="1">
        <f t="array" ref="BH101">IF(BI101="",
"",
SUMPRODUCT(
tb_desp[valor]*
(tb_desp[centro.negocio]=BI$2)*
(tb_desp[nucleo]=BI101)*
(tb_desp[data.pagamento]&gt;='n&amp;cn'!$C$1)*
(tb_desp[data.pagamento]&lt;='n&amp;cn'!$C$2)
))</f>
        <v/>
      </c>
      <c r="BI101" s="267"/>
      <c r="BJ101" s="290" t="str" cm="1">
        <f t="array" ref="BJ101">IF(BK101="",
"",
SUMPRODUCT(
tb_desp[valor]*
(tb_desp[centro.negocio]=BK$2)*
(tb_desp[nucleo]=BK101)*
(tb_desp[data.pagamento]&gt;='n&amp;cn'!$C$1)*
(tb_desp[data.pagamento]&lt;='n&amp;cn'!$C$2)
))</f>
        <v/>
      </c>
      <c r="BK101" s="267"/>
      <c r="BL101" s="290" t="str" cm="1">
        <f t="array" ref="BL101">IF(BM101="",
"",
SUMPRODUCT(
tb_desp[valor]*
(tb_desp[centro.negocio]=BM$2)*
(tb_desp[nucleo]=BM101)*
(tb_desp[data.pagamento]&gt;='n&amp;cn'!$C$1)*
(tb_desp[data.pagamento]&lt;='n&amp;cn'!$C$2)
))</f>
        <v/>
      </c>
      <c r="BM101" s="267"/>
      <c r="BN101" s="290" t="str" cm="1">
        <f t="array" ref="BN101">IF(BO101="",
"",
SUMPRODUCT(
tb_desp[valor]*
(tb_desp[centro.negocio]=BO$2)*
(tb_desp[nucleo]=BO101)*
(tb_desp[data.pagamento]&gt;='n&amp;cn'!$C$1)*
(tb_desp[data.pagamento]&lt;='n&amp;cn'!$C$2)
))</f>
        <v/>
      </c>
      <c r="BO101" s="267"/>
    </row>
    <row r="102" spans="2:67" x14ac:dyDescent="0.25">
      <c r="B102" t="s">
        <v>888</v>
      </c>
      <c r="D102" t="b">
        <v>0</v>
      </c>
      <c r="R102" s="290" t="str" cm="1">
        <f t="array" ref="R102">IF(S102="",
"",
SUMPRODUCT(
tb_desp[valor]*
(tb_desp[centro.negocio]=S$2)*
(tb_desp[nucleo]=S102)*
(tb_desp[data.pagamento]&gt;='n&amp;cn'!$C$1)*
(tb_desp[data.pagamento]&lt;='n&amp;cn'!$C$2)
))</f>
        <v/>
      </c>
      <c r="S102" s="267"/>
      <c r="T102" s="290" t="str" cm="1">
        <f t="array" ref="T102">IF(U102="",
"",
SUMPRODUCT(
tb_desp[valor]*
(tb_desp[centro.negocio]=U$2)*
(tb_desp[nucleo]=U102)*
(tb_desp[data.pagamento]&gt;='n&amp;cn'!$C$1)*
(tb_desp[data.pagamento]&lt;='n&amp;cn'!$C$2)
))</f>
        <v/>
      </c>
      <c r="U102" s="267"/>
      <c r="V102" s="290" t="str" cm="1">
        <f t="array" ref="V102">IF(W102="",
"",
SUMPRODUCT(
tb_desp[valor]*
(tb_desp[centro.negocio]=W$2)*
(tb_desp[nucleo]=W102)*
(tb_desp[data.pagamento]&gt;='n&amp;cn'!$C$1)*
(tb_desp[data.pagamento]&lt;='n&amp;cn'!$C$2)
))</f>
        <v/>
      </c>
      <c r="W102" s="267"/>
      <c r="X102" s="290" t="str" cm="1">
        <f t="array" ref="X102">IF(Y102="",
"",
SUMPRODUCT(
tb_desp[valor]*
(tb_desp[centro.negocio]=Y$2)*
(tb_desp[nucleo]=Y102)*
(tb_desp[data.pagamento]&gt;='n&amp;cn'!$C$1)*
(tb_desp[data.pagamento]&lt;='n&amp;cn'!$C$2)
))</f>
        <v/>
      </c>
      <c r="Y102" s="267"/>
      <c r="Z102" s="290" t="str" cm="1">
        <f t="array" ref="Z102">IF(AA102="",
"",
SUMPRODUCT(
tb_desp[valor]*
(tb_desp[centro.negocio]=AA$2)*
(tb_desp[nucleo]=AA102)*
(tb_desp[data.pagamento]&gt;='n&amp;cn'!$C$1)*
(tb_desp[data.pagamento]&lt;='n&amp;cn'!$C$2)
))</f>
        <v/>
      </c>
      <c r="AA102" s="267"/>
      <c r="AB102" s="290" t="str" cm="1">
        <f t="array" ref="AB102">IF(AC102="",
"",
SUMPRODUCT(
tb_desp[valor]*
(tb_desp[centro.negocio]=AC$2)*
(tb_desp[nucleo]=AC102)*
(tb_desp[data.pagamento]&gt;='n&amp;cn'!$C$1)*
(tb_desp[data.pagamento]&lt;='n&amp;cn'!$C$2)
))</f>
        <v/>
      </c>
      <c r="AC102" s="267"/>
      <c r="AD102" s="290" t="str" cm="1">
        <f t="array" ref="AD102">IF(AE102="",
"",
SUMPRODUCT(
tb_desp[valor]*
(tb_desp[centro.negocio]=AE$2)*
(tb_desp[nucleo]=AE102)*
(tb_desp[data.pagamento]&gt;='n&amp;cn'!$C$1)*
(tb_desp[data.pagamento]&lt;='n&amp;cn'!$C$2)
))</f>
        <v/>
      </c>
      <c r="AE102" s="267"/>
      <c r="AF102" s="290" t="str" cm="1">
        <f t="array" ref="AF102">IF(AG102="",
"",
SUMPRODUCT(
tb_desp[valor]*
(tb_desp[centro.negocio]=AG$2)*
(tb_desp[nucleo]=AG102)*
(tb_desp[data.pagamento]&gt;='n&amp;cn'!$C$1)*
(tb_desp[data.pagamento]&lt;='n&amp;cn'!$C$2)
))</f>
        <v/>
      </c>
      <c r="AG102" s="267"/>
      <c r="AH102" s="290" t="str" cm="1">
        <f t="array" ref="AH102">IF(AI102="",
"",
SUMPRODUCT(
tb_desp[valor]*
(tb_desp[centro.negocio]=AI$2)*
(tb_desp[nucleo]=AI102)*
(tb_desp[data.pagamento]&gt;='n&amp;cn'!$C$1)*
(tb_desp[data.pagamento]&lt;='n&amp;cn'!$C$2)
))</f>
        <v/>
      </c>
      <c r="AI102" s="267"/>
      <c r="AJ102" s="290" t="str" cm="1">
        <f t="array" ref="AJ102">IF(AK102="",
"",
SUMPRODUCT(
tb_desp[valor]*
(tb_desp[centro.negocio]=AK$2)*
(tb_desp[nucleo]=AK102)*
(tb_desp[data.pagamento]&gt;='n&amp;cn'!$C$1)*
(tb_desp[data.pagamento]&lt;='n&amp;cn'!$C$2)
))</f>
        <v/>
      </c>
      <c r="AK102" s="267"/>
      <c r="AL102" s="290" t="str" cm="1">
        <f t="array" ref="AL102">IF(AM102="",
"",
SUMPRODUCT(
tb_desp[valor]*
(tb_desp[centro.negocio]=AM$2)*
(tb_desp[nucleo]=AM102)*
(tb_desp[data.pagamento]&gt;='n&amp;cn'!$C$1)*
(tb_desp[data.pagamento]&lt;='n&amp;cn'!$C$2)
))</f>
        <v/>
      </c>
      <c r="AM102" s="267"/>
      <c r="AN102" s="290" t="str" cm="1">
        <f t="array" ref="AN102">IF(AO102="",
"",
SUMPRODUCT(
tb_desp[valor]*
(tb_desp[centro.negocio]=AO$2)*
(tb_desp[nucleo]=AO102)*
(tb_desp[data.pagamento]&gt;='n&amp;cn'!$C$1)*
(tb_desp[data.pagamento]&lt;='n&amp;cn'!$C$2)
))</f>
        <v/>
      </c>
      <c r="AO102" s="267"/>
      <c r="AP102" s="290" t="str" cm="1">
        <f t="array" ref="AP102">IF(AQ102="",
"",
SUMPRODUCT(
tb_desp[valor]*
(tb_desp[centro.negocio]=AQ$2)*
(tb_desp[nucleo]=AQ102)*
(tb_desp[data.pagamento]&gt;='n&amp;cn'!$C$1)*
(tb_desp[data.pagamento]&lt;='n&amp;cn'!$C$2)
))</f>
        <v/>
      </c>
      <c r="AQ102" s="267"/>
      <c r="AR102" s="290" t="str" cm="1">
        <f t="array" ref="AR102">IF(AS102="",
"",
SUMPRODUCT(
tb_desp[valor]*
(tb_desp[centro.negocio]=AS$2)*
(tb_desp[nucleo]=AS102)*
(tb_desp[data.pagamento]&gt;='n&amp;cn'!$C$1)*
(tb_desp[data.pagamento]&lt;='n&amp;cn'!$C$2)
))</f>
        <v/>
      </c>
      <c r="AS102" s="267"/>
      <c r="AT102" s="290" t="str" cm="1">
        <f t="array" ref="AT102">IF(AU102="",
"",
SUMPRODUCT(
tb_desp[valor]*
(tb_desp[centro.negocio]=AU$2)*
(tb_desp[nucleo]=AU102)*
(tb_desp[data.pagamento]&gt;='n&amp;cn'!$C$1)*
(tb_desp[data.pagamento]&lt;='n&amp;cn'!$C$2)
))</f>
        <v/>
      </c>
      <c r="AU102" s="267"/>
      <c r="AV102" s="290" t="str" cm="1">
        <f t="array" ref="AV102">IF(AW102="",
"",
SUMPRODUCT(
tb_desp[valor]*
(tb_desp[centro.negocio]=AW$2)*
(tb_desp[nucleo]=AW102)*
(tb_desp[data.pagamento]&gt;='n&amp;cn'!$C$1)*
(tb_desp[data.pagamento]&lt;='n&amp;cn'!$C$2)
))</f>
        <v/>
      </c>
      <c r="AW102" s="267"/>
      <c r="AX102" s="290" t="str" cm="1">
        <f t="array" ref="AX102">IF(AY102="",
"",
SUMPRODUCT(
tb_desp[valor]*
(tb_desp[centro.negocio]=AY$2)*
(tb_desp[nucleo]=AY102)*
(tb_desp[data.pagamento]&gt;='n&amp;cn'!$C$1)*
(tb_desp[data.pagamento]&lt;='n&amp;cn'!$C$2)
))</f>
        <v/>
      </c>
      <c r="AY102" s="267"/>
      <c r="AZ102" s="290" t="str" cm="1">
        <f t="array" ref="AZ102">IF(BA102="",
"",
SUMPRODUCT(
tb_desp[valor]*
(tb_desp[centro.negocio]=BA$2)*
(tb_desp[nucleo]=BA102)*
(tb_desp[data.pagamento]&gt;='n&amp;cn'!$C$1)*
(tb_desp[data.pagamento]&lt;='n&amp;cn'!$C$2)
))</f>
        <v/>
      </c>
      <c r="BA102" s="267"/>
      <c r="BB102" s="290" t="str" cm="1">
        <f t="array" ref="BB102">IF(BC102="",
"",
SUMPRODUCT(
tb_desp[valor]*
(tb_desp[centro.negocio]=BC$2)*
(tb_desp[nucleo]=BC102)*
(tb_desp[data.pagamento]&gt;='n&amp;cn'!$C$1)*
(tb_desp[data.pagamento]&lt;='n&amp;cn'!$C$2)
))</f>
        <v/>
      </c>
      <c r="BC102" s="267"/>
      <c r="BD102" s="290" t="str" cm="1">
        <f t="array" ref="BD102">IF(BE102="",
"",
SUMPRODUCT(
tb_desp[valor]*
(tb_desp[centro.negocio]=BE$2)*
(tb_desp[nucleo]=BE102)*
(tb_desp[data.pagamento]&gt;='n&amp;cn'!$C$1)*
(tb_desp[data.pagamento]&lt;='n&amp;cn'!$C$2)
))</f>
        <v/>
      </c>
      <c r="BE102" s="267"/>
      <c r="BF102" s="290" t="str" cm="1">
        <f t="array" ref="BF102">IF(BG102="",
"",
SUMPRODUCT(
tb_desp[valor]*
(tb_desp[centro.negocio]=BG$2)*
(tb_desp[nucleo]=BG102)*
(tb_desp[data.pagamento]&gt;='n&amp;cn'!$C$1)*
(tb_desp[data.pagamento]&lt;='n&amp;cn'!$C$2)
))</f>
        <v/>
      </c>
      <c r="BG102" s="267"/>
      <c r="BH102" s="290" t="str" cm="1">
        <f t="array" ref="BH102">IF(BI102="",
"",
SUMPRODUCT(
tb_desp[valor]*
(tb_desp[centro.negocio]=BI$2)*
(tb_desp[nucleo]=BI102)*
(tb_desp[data.pagamento]&gt;='n&amp;cn'!$C$1)*
(tb_desp[data.pagamento]&lt;='n&amp;cn'!$C$2)
))</f>
        <v/>
      </c>
      <c r="BI102" s="267"/>
      <c r="BJ102" s="290" t="str" cm="1">
        <f t="array" ref="BJ102">IF(BK102="",
"",
SUMPRODUCT(
tb_desp[valor]*
(tb_desp[centro.negocio]=BK$2)*
(tb_desp[nucleo]=BK102)*
(tb_desp[data.pagamento]&gt;='n&amp;cn'!$C$1)*
(tb_desp[data.pagamento]&lt;='n&amp;cn'!$C$2)
))</f>
        <v/>
      </c>
      <c r="BK102" s="267"/>
      <c r="BL102" s="290" t="str" cm="1">
        <f t="array" ref="BL102">IF(BM102="",
"",
SUMPRODUCT(
tb_desp[valor]*
(tb_desp[centro.negocio]=BM$2)*
(tb_desp[nucleo]=BM102)*
(tb_desp[data.pagamento]&gt;='n&amp;cn'!$C$1)*
(tb_desp[data.pagamento]&lt;='n&amp;cn'!$C$2)
))</f>
        <v/>
      </c>
      <c r="BM102" s="267"/>
      <c r="BN102" s="290" t="str" cm="1">
        <f t="array" ref="BN102">IF(BO102="",
"",
SUMPRODUCT(
tb_desp[valor]*
(tb_desp[centro.negocio]=BO$2)*
(tb_desp[nucleo]=BO102)*
(tb_desp[data.pagamento]&gt;='n&amp;cn'!$C$1)*
(tb_desp[data.pagamento]&lt;='n&amp;cn'!$C$2)
))</f>
        <v/>
      </c>
      <c r="BO102" s="267"/>
    </row>
    <row r="103" spans="2:67" x14ac:dyDescent="0.25">
      <c r="B103" t="s">
        <v>889</v>
      </c>
      <c r="D103" t="b">
        <v>0</v>
      </c>
      <c r="R103" s="290" t="str" cm="1">
        <f t="array" ref="R103">IF(S103="",
"",
SUMPRODUCT(
tb_desp[valor]*
(tb_desp[centro.negocio]=S$2)*
(tb_desp[nucleo]=S103)*
(tb_desp[data.pagamento]&gt;='n&amp;cn'!$C$1)*
(tb_desp[data.pagamento]&lt;='n&amp;cn'!$C$2)
))</f>
        <v/>
      </c>
      <c r="S103" s="267"/>
      <c r="T103" s="290" t="str" cm="1">
        <f t="array" ref="T103">IF(U103="",
"",
SUMPRODUCT(
tb_desp[valor]*
(tb_desp[centro.negocio]=U$2)*
(tb_desp[nucleo]=U103)*
(tb_desp[data.pagamento]&gt;='n&amp;cn'!$C$1)*
(tb_desp[data.pagamento]&lt;='n&amp;cn'!$C$2)
))</f>
        <v/>
      </c>
      <c r="U103" s="267"/>
      <c r="V103" s="290" t="str" cm="1">
        <f t="array" ref="V103">IF(W103="",
"",
SUMPRODUCT(
tb_desp[valor]*
(tb_desp[centro.negocio]=W$2)*
(tb_desp[nucleo]=W103)*
(tb_desp[data.pagamento]&gt;='n&amp;cn'!$C$1)*
(tb_desp[data.pagamento]&lt;='n&amp;cn'!$C$2)
))</f>
        <v/>
      </c>
      <c r="W103" s="267"/>
      <c r="X103" s="290" t="str" cm="1">
        <f t="array" ref="X103">IF(Y103="",
"",
SUMPRODUCT(
tb_desp[valor]*
(tb_desp[centro.negocio]=Y$2)*
(tb_desp[nucleo]=Y103)*
(tb_desp[data.pagamento]&gt;='n&amp;cn'!$C$1)*
(tb_desp[data.pagamento]&lt;='n&amp;cn'!$C$2)
))</f>
        <v/>
      </c>
      <c r="Y103" s="267"/>
      <c r="Z103" s="290" t="str" cm="1">
        <f t="array" ref="Z103">IF(AA103="",
"",
SUMPRODUCT(
tb_desp[valor]*
(tb_desp[centro.negocio]=AA$2)*
(tb_desp[nucleo]=AA103)*
(tb_desp[data.pagamento]&gt;='n&amp;cn'!$C$1)*
(tb_desp[data.pagamento]&lt;='n&amp;cn'!$C$2)
))</f>
        <v/>
      </c>
      <c r="AA103" s="267"/>
      <c r="AB103" s="290" t="str" cm="1">
        <f t="array" ref="AB103">IF(AC103="",
"",
SUMPRODUCT(
tb_desp[valor]*
(tb_desp[centro.negocio]=AC$2)*
(tb_desp[nucleo]=AC103)*
(tb_desp[data.pagamento]&gt;='n&amp;cn'!$C$1)*
(tb_desp[data.pagamento]&lt;='n&amp;cn'!$C$2)
))</f>
        <v/>
      </c>
      <c r="AC103" s="267"/>
      <c r="AD103" s="290" t="str" cm="1">
        <f t="array" ref="AD103">IF(AE103="",
"",
SUMPRODUCT(
tb_desp[valor]*
(tb_desp[centro.negocio]=AE$2)*
(tb_desp[nucleo]=AE103)*
(tb_desp[data.pagamento]&gt;='n&amp;cn'!$C$1)*
(tb_desp[data.pagamento]&lt;='n&amp;cn'!$C$2)
))</f>
        <v/>
      </c>
      <c r="AE103" s="267"/>
      <c r="AF103" s="290" t="str" cm="1">
        <f t="array" ref="AF103">IF(AG103="",
"",
SUMPRODUCT(
tb_desp[valor]*
(tb_desp[centro.negocio]=AG$2)*
(tb_desp[nucleo]=AG103)*
(tb_desp[data.pagamento]&gt;='n&amp;cn'!$C$1)*
(tb_desp[data.pagamento]&lt;='n&amp;cn'!$C$2)
))</f>
        <v/>
      </c>
      <c r="AG103" s="267"/>
      <c r="AH103" s="290" t="str" cm="1">
        <f t="array" ref="AH103">IF(AI103="",
"",
SUMPRODUCT(
tb_desp[valor]*
(tb_desp[centro.negocio]=AI$2)*
(tb_desp[nucleo]=AI103)*
(tb_desp[data.pagamento]&gt;='n&amp;cn'!$C$1)*
(tb_desp[data.pagamento]&lt;='n&amp;cn'!$C$2)
))</f>
        <v/>
      </c>
      <c r="AI103" s="267"/>
      <c r="AJ103" s="290" t="str" cm="1">
        <f t="array" ref="AJ103">IF(AK103="",
"",
SUMPRODUCT(
tb_desp[valor]*
(tb_desp[centro.negocio]=AK$2)*
(tb_desp[nucleo]=AK103)*
(tb_desp[data.pagamento]&gt;='n&amp;cn'!$C$1)*
(tb_desp[data.pagamento]&lt;='n&amp;cn'!$C$2)
))</f>
        <v/>
      </c>
      <c r="AK103" s="267"/>
      <c r="AL103" s="290" t="str" cm="1">
        <f t="array" ref="AL103">IF(AM103="",
"",
SUMPRODUCT(
tb_desp[valor]*
(tb_desp[centro.negocio]=AM$2)*
(tb_desp[nucleo]=AM103)*
(tb_desp[data.pagamento]&gt;='n&amp;cn'!$C$1)*
(tb_desp[data.pagamento]&lt;='n&amp;cn'!$C$2)
))</f>
        <v/>
      </c>
      <c r="AM103" s="267"/>
      <c r="AN103" s="290" t="str" cm="1">
        <f t="array" ref="AN103">IF(AO103="",
"",
SUMPRODUCT(
tb_desp[valor]*
(tb_desp[centro.negocio]=AO$2)*
(tb_desp[nucleo]=AO103)*
(tb_desp[data.pagamento]&gt;='n&amp;cn'!$C$1)*
(tb_desp[data.pagamento]&lt;='n&amp;cn'!$C$2)
))</f>
        <v/>
      </c>
      <c r="AO103" s="267"/>
      <c r="AP103" s="290" t="str" cm="1">
        <f t="array" ref="AP103">IF(AQ103="",
"",
SUMPRODUCT(
tb_desp[valor]*
(tb_desp[centro.negocio]=AQ$2)*
(tb_desp[nucleo]=AQ103)*
(tb_desp[data.pagamento]&gt;='n&amp;cn'!$C$1)*
(tb_desp[data.pagamento]&lt;='n&amp;cn'!$C$2)
))</f>
        <v/>
      </c>
      <c r="AQ103" s="267"/>
      <c r="AR103" s="290" t="str" cm="1">
        <f t="array" ref="AR103">IF(AS103="",
"",
SUMPRODUCT(
tb_desp[valor]*
(tb_desp[centro.negocio]=AS$2)*
(tb_desp[nucleo]=AS103)*
(tb_desp[data.pagamento]&gt;='n&amp;cn'!$C$1)*
(tb_desp[data.pagamento]&lt;='n&amp;cn'!$C$2)
))</f>
        <v/>
      </c>
      <c r="AS103" s="267"/>
      <c r="AT103" s="290" t="str" cm="1">
        <f t="array" ref="AT103">IF(AU103="",
"",
SUMPRODUCT(
tb_desp[valor]*
(tb_desp[centro.negocio]=AU$2)*
(tb_desp[nucleo]=AU103)*
(tb_desp[data.pagamento]&gt;='n&amp;cn'!$C$1)*
(tb_desp[data.pagamento]&lt;='n&amp;cn'!$C$2)
))</f>
        <v/>
      </c>
      <c r="AU103" s="267"/>
      <c r="AV103" s="290" t="str" cm="1">
        <f t="array" ref="AV103">IF(AW103="",
"",
SUMPRODUCT(
tb_desp[valor]*
(tb_desp[centro.negocio]=AW$2)*
(tb_desp[nucleo]=AW103)*
(tb_desp[data.pagamento]&gt;='n&amp;cn'!$C$1)*
(tb_desp[data.pagamento]&lt;='n&amp;cn'!$C$2)
))</f>
        <v/>
      </c>
      <c r="AW103" s="267"/>
      <c r="AX103" s="290" t="str" cm="1">
        <f t="array" ref="AX103">IF(AY103="",
"",
SUMPRODUCT(
tb_desp[valor]*
(tb_desp[centro.negocio]=AY$2)*
(tb_desp[nucleo]=AY103)*
(tb_desp[data.pagamento]&gt;='n&amp;cn'!$C$1)*
(tb_desp[data.pagamento]&lt;='n&amp;cn'!$C$2)
))</f>
        <v/>
      </c>
      <c r="AY103" s="267"/>
      <c r="AZ103" s="290" t="str" cm="1">
        <f t="array" ref="AZ103">IF(BA103="",
"",
SUMPRODUCT(
tb_desp[valor]*
(tb_desp[centro.negocio]=BA$2)*
(tb_desp[nucleo]=BA103)*
(tb_desp[data.pagamento]&gt;='n&amp;cn'!$C$1)*
(tb_desp[data.pagamento]&lt;='n&amp;cn'!$C$2)
))</f>
        <v/>
      </c>
      <c r="BA103" s="267"/>
      <c r="BB103" s="290" t="str" cm="1">
        <f t="array" ref="BB103">IF(BC103="",
"",
SUMPRODUCT(
tb_desp[valor]*
(tb_desp[centro.negocio]=BC$2)*
(tb_desp[nucleo]=BC103)*
(tb_desp[data.pagamento]&gt;='n&amp;cn'!$C$1)*
(tb_desp[data.pagamento]&lt;='n&amp;cn'!$C$2)
))</f>
        <v/>
      </c>
      <c r="BC103" s="267"/>
      <c r="BD103" s="290" t="str" cm="1">
        <f t="array" ref="BD103">IF(BE103="",
"",
SUMPRODUCT(
tb_desp[valor]*
(tb_desp[centro.negocio]=BE$2)*
(tb_desp[nucleo]=BE103)*
(tb_desp[data.pagamento]&gt;='n&amp;cn'!$C$1)*
(tb_desp[data.pagamento]&lt;='n&amp;cn'!$C$2)
))</f>
        <v/>
      </c>
      <c r="BE103" s="267"/>
      <c r="BF103" s="290" t="str" cm="1">
        <f t="array" ref="BF103">IF(BG103="",
"",
SUMPRODUCT(
tb_desp[valor]*
(tb_desp[centro.negocio]=BG$2)*
(tb_desp[nucleo]=BG103)*
(tb_desp[data.pagamento]&gt;='n&amp;cn'!$C$1)*
(tb_desp[data.pagamento]&lt;='n&amp;cn'!$C$2)
))</f>
        <v/>
      </c>
      <c r="BG103" s="267"/>
      <c r="BH103" s="290" t="str" cm="1">
        <f t="array" ref="BH103">IF(BI103="",
"",
SUMPRODUCT(
tb_desp[valor]*
(tb_desp[centro.negocio]=BI$2)*
(tb_desp[nucleo]=BI103)*
(tb_desp[data.pagamento]&gt;='n&amp;cn'!$C$1)*
(tb_desp[data.pagamento]&lt;='n&amp;cn'!$C$2)
))</f>
        <v/>
      </c>
      <c r="BI103" s="267"/>
      <c r="BJ103" s="290" t="str" cm="1">
        <f t="array" ref="BJ103">IF(BK103="",
"",
SUMPRODUCT(
tb_desp[valor]*
(tb_desp[centro.negocio]=BK$2)*
(tb_desp[nucleo]=BK103)*
(tb_desp[data.pagamento]&gt;='n&amp;cn'!$C$1)*
(tb_desp[data.pagamento]&lt;='n&amp;cn'!$C$2)
))</f>
        <v/>
      </c>
      <c r="BK103" s="267"/>
      <c r="BL103" s="290" t="str" cm="1">
        <f t="array" ref="BL103">IF(BM103="",
"",
SUMPRODUCT(
tb_desp[valor]*
(tb_desp[centro.negocio]=BM$2)*
(tb_desp[nucleo]=BM103)*
(tb_desp[data.pagamento]&gt;='n&amp;cn'!$C$1)*
(tb_desp[data.pagamento]&lt;='n&amp;cn'!$C$2)
))</f>
        <v/>
      </c>
      <c r="BM103" s="267"/>
      <c r="BN103" s="290" t="str" cm="1">
        <f t="array" ref="BN103">IF(BO103="",
"",
SUMPRODUCT(
tb_desp[valor]*
(tb_desp[centro.negocio]=BO$2)*
(tb_desp[nucleo]=BO103)*
(tb_desp[data.pagamento]&gt;='n&amp;cn'!$C$1)*
(tb_desp[data.pagamento]&lt;='n&amp;cn'!$C$2)
))</f>
        <v/>
      </c>
      <c r="BO103" s="267"/>
    </row>
    <row r="104" spans="2:67" x14ac:dyDescent="0.25">
      <c r="B104" t="s">
        <v>706</v>
      </c>
      <c r="D104" t="b">
        <v>0</v>
      </c>
      <c r="R104" s="290" t="str" cm="1">
        <f t="array" ref="R104">IF(S104="",
"",
SUMPRODUCT(
tb_desp[valor]*
(tb_desp[centro.negocio]=S$2)*
(tb_desp[nucleo]=S104)*
(tb_desp[data.pagamento]&gt;='n&amp;cn'!$C$1)*
(tb_desp[data.pagamento]&lt;='n&amp;cn'!$C$2)
))</f>
        <v/>
      </c>
      <c r="S104" s="267"/>
      <c r="T104" s="290" t="str" cm="1">
        <f t="array" ref="T104">IF(U104="",
"",
SUMPRODUCT(
tb_desp[valor]*
(tb_desp[centro.negocio]=U$2)*
(tb_desp[nucleo]=U104)*
(tb_desp[data.pagamento]&gt;='n&amp;cn'!$C$1)*
(tb_desp[data.pagamento]&lt;='n&amp;cn'!$C$2)
))</f>
        <v/>
      </c>
      <c r="U104" s="267"/>
      <c r="V104" s="290" t="str" cm="1">
        <f t="array" ref="V104">IF(W104="",
"",
SUMPRODUCT(
tb_desp[valor]*
(tb_desp[centro.negocio]=W$2)*
(tb_desp[nucleo]=W104)*
(tb_desp[data.pagamento]&gt;='n&amp;cn'!$C$1)*
(tb_desp[data.pagamento]&lt;='n&amp;cn'!$C$2)
))</f>
        <v/>
      </c>
      <c r="W104" s="267"/>
      <c r="X104" s="290" t="str" cm="1">
        <f t="array" ref="X104">IF(Y104="",
"",
SUMPRODUCT(
tb_desp[valor]*
(tb_desp[centro.negocio]=Y$2)*
(tb_desp[nucleo]=Y104)*
(tb_desp[data.pagamento]&gt;='n&amp;cn'!$C$1)*
(tb_desp[data.pagamento]&lt;='n&amp;cn'!$C$2)
))</f>
        <v/>
      </c>
      <c r="Y104" s="267"/>
      <c r="Z104" s="290" t="str" cm="1">
        <f t="array" ref="Z104">IF(AA104="",
"",
SUMPRODUCT(
tb_desp[valor]*
(tb_desp[centro.negocio]=AA$2)*
(tb_desp[nucleo]=AA104)*
(tb_desp[data.pagamento]&gt;='n&amp;cn'!$C$1)*
(tb_desp[data.pagamento]&lt;='n&amp;cn'!$C$2)
))</f>
        <v/>
      </c>
      <c r="AA104" s="267"/>
      <c r="AB104" s="290" t="str" cm="1">
        <f t="array" ref="AB104">IF(AC104="",
"",
SUMPRODUCT(
tb_desp[valor]*
(tb_desp[centro.negocio]=AC$2)*
(tb_desp[nucleo]=AC104)*
(tb_desp[data.pagamento]&gt;='n&amp;cn'!$C$1)*
(tb_desp[data.pagamento]&lt;='n&amp;cn'!$C$2)
))</f>
        <v/>
      </c>
      <c r="AC104" s="267"/>
      <c r="AD104" s="290" t="str" cm="1">
        <f t="array" ref="AD104">IF(AE104="",
"",
SUMPRODUCT(
tb_desp[valor]*
(tb_desp[centro.negocio]=AE$2)*
(tb_desp[nucleo]=AE104)*
(tb_desp[data.pagamento]&gt;='n&amp;cn'!$C$1)*
(tb_desp[data.pagamento]&lt;='n&amp;cn'!$C$2)
))</f>
        <v/>
      </c>
      <c r="AE104" s="267"/>
      <c r="AF104" s="290" t="str" cm="1">
        <f t="array" ref="AF104">IF(AG104="",
"",
SUMPRODUCT(
tb_desp[valor]*
(tb_desp[centro.negocio]=AG$2)*
(tb_desp[nucleo]=AG104)*
(tb_desp[data.pagamento]&gt;='n&amp;cn'!$C$1)*
(tb_desp[data.pagamento]&lt;='n&amp;cn'!$C$2)
))</f>
        <v/>
      </c>
      <c r="AG104" s="267"/>
      <c r="AH104" s="290" t="str" cm="1">
        <f t="array" ref="AH104">IF(AI104="",
"",
SUMPRODUCT(
tb_desp[valor]*
(tb_desp[centro.negocio]=AI$2)*
(tb_desp[nucleo]=AI104)*
(tb_desp[data.pagamento]&gt;='n&amp;cn'!$C$1)*
(tb_desp[data.pagamento]&lt;='n&amp;cn'!$C$2)
))</f>
        <v/>
      </c>
      <c r="AI104" s="267"/>
      <c r="AJ104" s="290" t="str" cm="1">
        <f t="array" ref="AJ104">IF(AK104="",
"",
SUMPRODUCT(
tb_desp[valor]*
(tb_desp[centro.negocio]=AK$2)*
(tb_desp[nucleo]=AK104)*
(tb_desp[data.pagamento]&gt;='n&amp;cn'!$C$1)*
(tb_desp[data.pagamento]&lt;='n&amp;cn'!$C$2)
))</f>
        <v/>
      </c>
      <c r="AK104" s="267"/>
      <c r="AL104" s="290" t="str" cm="1">
        <f t="array" ref="AL104">IF(AM104="",
"",
SUMPRODUCT(
tb_desp[valor]*
(tb_desp[centro.negocio]=AM$2)*
(tb_desp[nucleo]=AM104)*
(tb_desp[data.pagamento]&gt;='n&amp;cn'!$C$1)*
(tb_desp[data.pagamento]&lt;='n&amp;cn'!$C$2)
))</f>
        <v/>
      </c>
      <c r="AM104" s="267"/>
      <c r="AN104" s="290" t="str" cm="1">
        <f t="array" ref="AN104">IF(AO104="",
"",
SUMPRODUCT(
tb_desp[valor]*
(tb_desp[centro.negocio]=AO$2)*
(tb_desp[nucleo]=AO104)*
(tb_desp[data.pagamento]&gt;='n&amp;cn'!$C$1)*
(tb_desp[data.pagamento]&lt;='n&amp;cn'!$C$2)
))</f>
        <v/>
      </c>
      <c r="AO104" s="267"/>
      <c r="AP104" s="290" t="str" cm="1">
        <f t="array" ref="AP104">IF(AQ104="",
"",
SUMPRODUCT(
tb_desp[valor]*
(tb_desp[centro.negocio]=AQ$2)*
(tb_desp[nucleo]=AQ104)*
(tb_desp[data.pagamento]&gt;='n&amp;cn'!$C$1)*
(tb_desp[data.pagamento]&lt;='n&amp;cn'!$C$2)
))</f>
        <v/>
      </c>
      <c r="AQ104" s="267"/>
      <c r="AR104" s="290" t="str" cm="1">
        <f t="array" ref="AR104">IF(AS104="",
"",
SUMPRODUCT(
tb_desp[valor]*
(tb_desp[centro.negocio]=AS$2)*
(tb_desp[nucleo]=AS104)*
(tb_desp[data.pagamento]&gt;='n&amp;cn'!$C$1)*
(tb_desp[data.pagamento]&lt;='n&amp;cn'!$C$2)
))</f>
        <v/>
      </c>
      <c r="AS104" s="267"/>
      <c r="AT104" s="290" t="str" cm="1">
        <f t="array" ref="AT104">IF(AU104="",
"",
SUMPRODUCT(
tb_desp[valor]*
(tb_desp[centro.negocio]=AU$2)*
(tb_desp[nucleo]=AU104)*
(tb_desp[data.pagamento]&gt;='n&amp;cn'!$C$1)*
(tb_desp[data.pagamento]&lt;='n&amp;cn'!$C$2)
))</f>
        <v/>
      </c>
      <c r="AU104" s="267"/>
      <c r="AV104" s="290" t="str" cm="1">
        <f t="array" ref="AV104">IF(AW104="",
"",
SUMPRODUCT(
tb_desp[valor]*
(tb_desp[centro.negocio]=AW$2)*
(tb_desp[nucleo]=AW104)*
(tb_desp[data.pagamento]&gt;='n&amp;cn'!$C$1)*
(tb_desp[data.pagamento]&lt;='n&amp;cn'!$C$2)
))</f>
        <v/>
      </c>
      <c r="AW104" s="267"/>
      <c r="AX104" s="290" t="str" cm="1">
        <f t="array" ref="AX104">IF(AY104="",
"",
SUMPRODUCT(
tb_desp[valor]*
(tb_desp[centro.negocio]=AY$2)*
(tb_desp[nucleo]=AY104)*
(tb_desp[data.pagamento]&gt;='n&amp;cn'!$C$1)*
(tb_desp[data.pagamento]&lt;='n&amp;cn'!$C$2)
))</f>
        <v/>
      </c>
      <c r="AY104" s="267"/>
      <c r="AZ104" s="290" t="str" cm="1">
        <f t="array" ref="AZ104">IF(BA104="",
"",
SUMPRODUCT(
tb_desp[valor]*
(tb_desp[centro.negocio]=BA$2)*
(tb_desp[nucleo]=BA104)*
(tb_desp[data.pagamento]&gt;='n&amp;cn'!$C$1)*
(tb_desp[data.pagamento]&lt;='n&amp;cn'!$C$2)
))</f>
        <v/>
      </c>
      <c r="BA104" s="267"/>
      <c r="BB104" s="290" t="str" cm="1">
        <f t="array" ref="BB104">IF(BC104="",
"",
SUMPRODUCT(
tb_desp[valor]*
(tb_desp[centro.negocio]=BC$2)*
(tb_desp[nucleo]=BC104)*
(tb_desp[data.pagamento]&gt;='n&amp;cn'!$C$1)*
(tb_desp[data.pagamento]&lt;='n&amp;cn'!$C$2)
))</f>
        <v/>
      </c>
      <c r="BC104" s="267"/>
      <c r="BD104" s="290" t="str" cm="1">
        <f t="array" ref="BD104">IF(BE104="",
"",
SUMPRODUCT(
tb_desp[valor]*
(tb_desp[centro.negocio]=BE$2)*
(tb_desp[nucleo]=BE104)*
(tb_desp[data.pagamento]&gt;='n&amp;cn'!$C$1)*
(tb_desp[data.pagamento]&lt;='n&amp;cn'!$C$2)
))</f>
        <v/>
      </c>
      <c r="BE104" s="267"/>
      <c r="BF104" s="290" t="str" cm="1">
        <f t="array" ref="BF104">IF(BG104="",
"",
SUMPRODUCT(
tb_desp[valor]*
(tb_desp[centro.negocio]=BG$2)*
(tb_desp[nucleo]=BG104)*
(tb_desp[data.pagamento]&gt;='n&amp;cn'!$C$1)*
(tb_desp[data.pagamento]&lt;='n&amp;cn'!$C$2)
))</f>
        <v/>
      </c>
      <c r="BG104" s="267"/>
      <c r="BH104" s="290" t="str" cm="1">
        <f t="array" ref="BH104">IF(BI104="",
"",
SUMPRODUCT(
tb_desp[valor]*
(tb_desp[centro.negocio]=BI$2)*
(tb_desp[nucleo]=BI104)*
(tb_desp[data.pagamento]&gt;='n&amp;cn'!$C$1)*
(tb_desp[data.pagamento]&lt;='n&amp;cn'!$C$2)
))</f>
        <v/>
      </c>
      <c r="BI104" s="267"/>
      <c r="BJ104" s="290" t="str" cm="1">
        <f t="array" ref="BJ104">IF(BK104="",
"",
SUMPRODUCT(
tb_desp[valor]*
(tb_desp[centro.negocio]=BK$2)*
(tb_desp[nucleo]=BK104)*
(tb_desp[data.pagamento]&gt;='n&amp;cn'!$C$1)*
(tb_desp[data.pagamento]&lt;='n&amp;cn'!$C$2)
))</f>
        <v/>
      </c>
      <c r="BK104" s="267"/>
      <c r="BL104" s="290" t="str" cm="1">
        <f t="array" ref="BL104">IF(BM104="",
"",
SUMPRODUCT(
tb_desp[valor]*
(tb_desp[centro.negocio]=BM$2)*
(tb_desp[nucleo]=BM104)*
(tb_desp[data.pagamento]&gt;='n&amp;cn'!$C$1)*
(tb_desp[data.pagamento]&lt;='n&amp;cn'!$C$2)
))</f>
        <v/>
      </c>
      <c r="BM104" s="267"/>
      <c r="BN104" s="290" t="str" cm="1">
        <f t="array" ref="BN104">IF(BO104="",
"",
SUMPRODUCT(
tb_desp[valor]*
(tb_desp[centro.negocio]=BO$2)*
(tb_desp[nucleo]=BO104)*
(tb_desp[data.pagamento]&gt;='n&amp;cn'!$C$1)*
(tb_desp[data.pagamento]&lt;='n&amp;cn'!$C$2)
))</f>
        <v/>
      </c>
      <c r="BO104" s="267"/>
    </row>
    <row r="105" spans="2:67" x14ac:dyDescent="0.25">
      <c r="B105" t="s">
        <v>571</v>
      </c>
      <c r="D105" t="b">
        <v>0</v>
      </c>
    </row>
    <row r="106" spans="2:67" x14ac:dyDescent="0.25">
      <c r="B106" t="s">
        <v>573</v>
      </c>
      <c r="C106" t="s">
        <v>773</v>
      </c>
      <c r="D106" t="b">
        <v>0</v>
      </c>
      <c r="S106" s="268"/>
    </row>
    <row r="107" spans="2:67" x14ac:dyDescent="0.25">
      <c r="B107" t="s">
        <v>890</v>
      </c>
      <c r="D107" t="b">
        <v>0</v>
      </c>
      <c r="S107" s="268"/>
    </row>
    <row r="108" spans="2:67" x14ac:dyDescent="0.25">
      <c r="B108" t="s">
        <v>659</v>
      </c>
      <c r="D108" t="b">
        <v>0</v>
      </c>
    </row>
    <row r="109" spans="2:67" x14ac:dyDescent="0.25">
      <c r="B109" t="s">
        <v>891</v>
      </c>
      <c r="D109" t="b">
        <v>0</v>
      </c>
    </row>
    <row r="110" spans="2:67" x14ac:dyDescent="0.25">
      <c r="B110" t="s">
        <v>1139</v>
      </c>
      <c r="D110" t="b">
        <v>0</v>
      </c>
    </row>
    <row r="111" spans="2:67" x14ac:dyDescent="0.25">
      <c r="B111" t="s">
        <v>1123</v>
      </c>
      <c r="D111" t="b">
        <v>0</v>
      </c>
    </row>
    <row r="112" spans="2:67" x14ac:dyDescent="0.25">
      <c r="B112" t="s">
        <v>557</v>
      </c>
      <c r="C112" t="s">
        <v>670</v>
      </c>
      <c r="D112" t="b">
        <v>0</v>
      </c>
    </row>
    <row r="113" spans="2:4" x14ac:dyDescent="0.25">
      <c r="B113" t="s">
        <v>575</v>
      </c>
      <c r="D113" t="b">
        <v>0</v>
      </c>
    </row>
    <row r="114" spans="2:4" x14ac:dyDescent="0.25">
      <c r="B114" t="s">
        <v>892</v>
      </c>
      <c r="D114" t="b">
        <v>0</v>
      </c>
    </row>
    <row r="115" spans="2:4" x14ac:dyDescent="0.25">
      <c r="B115" t="s">
        <v>585</v>
      </c>
      <c r="D115" t="b">
        <v>0</v>
      </c>
    </row>
    <row r="116" spans="2:4" x14ac:dyDescent="0.25">
      <c r="B116" t="s">
        <v>577</v>
      </c>
      <c r="D116" t="b">
        <v>0</v>
      </c>
    </row>
    <row r="117" spans="2:4" x14ac:dyDescent="0.25">
      <c r="B117" t="s">
        <v>569</v>
      </c>
      <c r="D117" t="b">
        <v>0</v>
      </c>
    </row>
    <row r="118" spans="2:4" x14ac:dyDescent="0.25">
      <c r="B118" t="s">
        <v>581</v>
      </c>
      <c r="D118" t="b">
        <v>0</v>
      </c>
    </row>
    <row r="119" spans="2:4" x14ac:dyDescent="0.25">
      <c r="B119" t="s">
        <v>653</v>
      </c>
      <c r="C119" t="s">
        <v>482</v>
      </c>
      <c r="D119" t="b">
        <v>0</v>
      </c>
    </row>
    <row r="120" spans="2:4" x14ac:dyDescent="0.25">
      <c r="B120" t="s">
        <v>574</v>
      </c>
      <c r="C120" t="s">
        <v>793</v>
      </c>
      <c r="D120" t="b">
        <v>0</v>
      </c>
    </row>
    <row r="121" spans="2:4" x14ac:dyDescent="0.25">
      <c r="B121" t="s">
        <v>561</v>
      </c>
      <c r="C121" t="s">
        <v>479</v>
      </c>
      <c r="D121" t="b">
        <v>0</v>
      </c>
    </row>
    <row r="122" spans="2:4" x14ac:dyDescent="0.25">
      <c r="B122" t="s">
        <v>558</v>
      </c>
      <c r="D122" t="b">
        <v>0</v>
      </c>
    </row>
    <row r="123" spans="2:4" x14ac:dyDescent="0.25">
      <c r="B123" t="s">
        <v>556</v>
      </c>
      <c r="D123" t="b">
        <v>0</v>
      </c>
    </row>
    <row r="124" spans="2:4" x14ac:dyDescent="0.25">
      <c r="B124" t="s">
        <v>893</v>
      </c>
      <c r="D124" t="b">
        <v>0</v>
      </c>
    </row>
    <row r="125" spans="2:4" x14ac:dyDescent="0.25">
      <c r="B125" t="s">
        <v>894</v>
      </c>
      <c r="D125" t="b">
        <v>0</v>
      </c>
    </row>
    <row r="126" spans="2:4" x14ac:dyDescent="0.25">
      <c r="B126" t="s">
        <v>576</v>
      </c>
      <c r="D126" t="b">
        <v>0</v>
      </c>
    </row>
    <row r="127" spans="2:4" x14ac:dyDescent="0.25">
      <c r="B127" t="s">
        <v>541</v>
      </c>
      <c r="C127" t="s">
        <v>10</v>
      </c>
      <c r="D127" t="b">
        <v>1</v>
      </c>
    </row>
    <row r="128" spans="2:4" x14ac:dyDescent="0.25">
      <c r="B128" t="s">
        <v>531</v>
      </c>
      <c r="C128" t="s">
        <v>12</v>
      </c>
      <c r="D128" t="b">
        <v>1</v>
      </c>
    </row>
    <row r="129" spans="2:4" x14ac:dyDescent="0.25">
      <c r="B129" t="s">
        <v>533</v>
      </c>
      <c r="C129" t="s">
        <v>7</v>
      </c>
      <c r="D129" t="b">
        <v>1</v>
      </c>
    </row>
    <row r="130" spans="2:4" x14ac:dyDescent="0.25">
      <c r="B130" t="s">
        <v>578</v>
      </c>
      <c r="D130" t="b">
        <v>0</v>
      </c>
    </row>
    <row r="131" spans="2:4" x14ac:dyDescent="0.25">
      <c r="B131" t="s">
        <v>546</v>
      </c>
      <c r="C131" t="s">
        <v>13</v>
      </c>
      <c r="D131" t="b">
        <v>1</v>
      </c>
    </row>
    <row r="132" spans="2:4" x14ac:dyDescent="0.25">
      <c r="B132" t="s">
        <v>579</v>
      </c>
      <c r="D132" t="b">
        <v>0</v>
      </c>
    </row>
    <row r="133" spans="2:4" x14ac:dyDescent="0.25">
      <c r="B133" t="s">
        <v>535</v>
      </c>
      <c r="C133" t="s">
        <v>11</v>
      </c>
      <c r="D133" t="b">
        <v>1</v>
      </c>
    </row>
    <row r="134" spans="2:4" x14ac:dyDescent="0.25">
      <c r="B134" t="s">
        <v>562</v>
      </c>
      <c r="D134" t="b">
        <v>0</v>
      </c>
    </row>
    <row r="135" spans="2:4" x14ac:dyDescent="0.25">
      <c r="B135" t="s">
        <v>544</v>
      </c>
      <c r="C135" t="s">
        <v>465</v>
      </c>
      <c r="D135" t="b">
        <v>1</v>
      </c>
    </row>
    <row r="136" spans="2:4" x14ac:dyDescent="0.25">
      <c r="B136" t="s">
        <v>537</v>
      </c>
      <c r="C136" t="s">
        <v>9</v>
      </c>
      <c r="D136" t="b">
        <v>1</v>
      </c>
    </row>
    <row r="137" spans="2:4" x14ac:dyDescent="0.25">
      <c r="B137" t="s">
        <v>580</v>
      </c>
      <c r="D137" t="b">
        <v>0</v>
      </c>
    </row>
    <row r="138" spans="2:4" x14ac:dyDescent="0.25">
      <c r="B138" t="s">
        <v>922</v>
      </c>
      <c r="C138" t="s">
        <v>677</v>
      </c>
      <c r="D138" t="b">
        <v>0</v>
      </c>
    </row>
    <row r="139" spans="2:4" x14ac:dyDescent="0.25">
      <c r="B139" t="s">
        <v>704</v>
      </c>
      <c r="C139" t="s">
        <v>673</v>
      </c>
      <c r="D139" t="b">
        <v>1</v>
      </c>
    </row>
    <row r="140" spans="2:4" x14ac:dyDescent="0.25">
      <c r="B140" t="s">
        <v>539</v>
      </c>
      <c r="C140" t="s">
        <v>8</v>
      </c>
      <c r="D140" t="b">
        <v>1</v>
      </c>
    </row>
    <row r="141" spans="2:4" x14ac:dyDescent="0.25">
      <c r="B141" t="s">
        <v>895</v>
      </c>
      <c r="C141" t="s">
        <v>7</v>
      </c>
      <c r="D141" t="b">
        <v>0</v>
      </c>
    </row>
    <row r="142" spans="2:4" x14ac:dyDescent="0.25">
      <c r="B142" t="s">
        <v>896</v>
      </c>
      <c r="D142" t="b">
        <v>0</v>
      </c>
    </row>
    <row r="143" spans="2:4" x14ac:dyDescent="0.25">
      <c r="B143" t="s">
        <v>721</v>
      </c>
      <c r="D143" t="b">
        <v>0</v>
      </c>
    </row>
    <row r="147" spans="2:5" x14ac:dyDescent="0.25">
      <c r="B147" s="444" t="s">
        <v>1020</v>
      </c>
      <c r="C147" s="444" t="s">
        <v>919</v>
      </c>
      <c r="D147" s="444" t="s">
        <v>918</v>
      </c>
      <c r="E147" s="444" t="s">
        <v>917</v>
      </c>
    </row>
    <row r="148" spans="2:5" x14ac:dyDescent="0.25">
      <c r="D148" t="s">
        <v>334</v>
      </c>
      <c r="E148" t="b">
        <f>C148=B148</f>
        <v>1</v>
      </c>
    </row>
    <row r="149" spans="2:5" x14ac:dyDescent="0.25">
      <c r="B149" s="268" t="s">
        <v>337</v>
      </c>
      <c r="C149" t="s">
        <v>337</v>
      </c>
      <c r="D149" t="s">
        <v>337</v>
      </c>
      <c r="E149" t="b">
        <f t="shared" ref="E149:E212" si="7">C149=B149</f>
        <v>1</v>
      </c>
    </row>
    <row r="150" spans="2:5" x14ac:dyDescent="0.25">
      <c r="B150" s="268" t="s">
        <v>338</v>
      </c>
      <c r="C150" t="s">
        <v>338</v>
      </c>
      <c r="D150" t="s">
        <v>338</v>
      </c>
      <c r="E150" t="b">
        <f t="shared" si="7"/>
        <v>1</v>
      </c>
    </row>
    <row r="151" spans="2:5" x14ac:dyDescent="0.25">
      <c r="B151" s="268" t="s">
        <v>339</v>
      </c>
      <c r="C151" t="s">
        <v>339</v>
      </c>
      <c r="D151" t="s">
        <v>339</v>
      </c>
      <c r="E151" t="b">
        <f t="shared" si="7"/>
        <v>1</v>
      </c>
    </row>
    <row r="152" spans="2:5" x14ac:dyDescent="0.25">
      <c r="B152" s="268" t="s">
        <v>340</v>
      </c>
      <c r="C152" t="s">
        <v>340</v>
      </c>
      <c r="D152" t="s">
        <v>340</v>
      </c>
      <c r="E152" t="b">
        <f t="shared" si="7"/>
        <v>1</v>
      </c>
    </row>
    <row r="153" spans="2:5" x14ac:dyDescent="0.25">
      <c r="B153" s="268" t="s">
        <v>341</v>
      </c>
      <c r="C153" t="s">
        <v>341</v>
      </c>
      <c r="D153" t="s">
        <v>341</v>
      </c>
      <c r="E153" t="b">
        <f t="shared" si="7"/>
        <v>1</v>
      </c>
    </row>
    <row r="154" spans="2:5" x14ac:dyDescent="0.25">
      <c r="B154" s="268" t="s">
        <v>342</v>
      </c>
      <c r="C154" t="s">
        <v>342</v>
      </c>
      <c r="D154" t="s">
        <v>342</v>
      </c>
      <c r="E154" t="b">
        <f t="shared" si="7"/>
        <v>1</v>
      </c>
    </row>
    <row r="155" spans="2:5" x14ac:dyDescent="0.25">
      <c r="B155" s="268" t="s">
        <v>343</v>
      </c>
      <c r="C155" t="s">
        <v>343</v>
      </c>
      <c r="D155" t="s">
        <v>343</v>
      </c>
      <c r="E155" t="b">
        <f t="shared" si="7"/>
        <v>1</v>
      </c>
    </row>
    <row r="156" spans="2:5" x14ac:dyDescent="0.25">
      <c r="B156" s="268" t="s">
        <v>345</v>
      </c>
      <c r="C156" t="s">
        <v>345</v>
      </c>
      <c r="D156" t="s">
        <v>345</v>
      </c>
      <c r="E156" t="b">
        <f t="shared" si="7"/>
        <v>1</v>
      </c>
    </row>
    <row r="157" spans="2:5" x14ac:dyDescent="0.25">
      <c r="B157" s="268" t="s">
        <v>346</v>
      </c>
      <c r="C157" t="s">
        <v>346</v>
      </c>
      <c r="D157" t="s">
        <v>346</v>
      </c>
      <c r="E157" t="b">
        <f t="shared" si="7"/>
        <v>1</v>
      </c>
    </row>
    <row r="158" spans="2:5" x14ac:dyDescent="0.25">
      <c r="B158" s="268" t="s">
        <v>347</v>
      </c>
      <c r="C158" t="s">
        <v>347</v>
      </c>
      <c r="D158" t="s">
        <v>347</v>
      </c>
      <c r="E158" t="b">
        <f t="shared" si="7"/>
        <v>1</v>
      </c>
    </row>
    <row r="159" spans="2:5" x14ac:dyDescent="0.25">
      <c r="B159" s="268" t="s">
        <v>348</v>
      </c>
      <c r="C159" t="s">
        <v>348</v>
      </c>
      <c r="D159" t="s">
        <v>348</v>
      </c>
      <c r="E159" t="b">
        <f t="shared" si="7"/>
        <v>1</v>
      </c>
    </row>
    <row r="160" spans="2:5" x14ac:dyDescent="0.25">
      <c r="B160" s="268" t="s">
        <v>429</v>
      </c>
      <c r="C160" t="s">
        <v>429</v>
      </c>
      <c r="D160" t="s">
        <v>429</v>
      </c>
      <c r="E160" t="b">
        <f t="shared" si="7"/>
        <v>1</v>
      </c>
    </row>
    <row r="161" spans="2:5" x14ac:dyDescent="0.25">
      <c r="B161" s="268" t="s">
        <v>350</v>
      </c>
      <c r="C161" t="s">
        <v>350</v>
      </c>
      <c r="D161" t="s">
        <v>350</v>
      </c>
      <c r="E161" t="b">
        <f t="shared" si="7"/>
        <v>1</v>
      </c>
    </row>
    <row r="162" spans="2:5" x14ac:dyDescent="0.25">
      <c r="B162" s="268" t="s">
        <v>352</v>
      </c>
      <c r="C162" t="s">
        <v>352</v>
      </c>
      <c r="D162" t="s">
        <v>352</v>
      </c>
      <c r="E162" t="b">
        <f t="shared" si="7"/>
        <v>1</v>
      </c>
    </row>
    <row r="163" spans="2:5" x14ac:dyDescent="0.25">
      <c r="B163" s="268" t="s">
        <v>354</v>
      </c>
      <c r="C163" t="s">
        <v>354</v>
      </c>
      <c r="D163" t="s">
        <v>354</v>
      </c>
      <c r="E163" t="b">
        <f t="shared" si="7"/>
        <v>1</v>
      </c>
    </row>
    <row r="164" spans="2:5" x14ac:dyDescent="0.25">
      <c r="B164" s="268" t="s">
        <v>355</v>
      </c>
      <c r="C164" t="s">
        <v>355</v>
      </c>
      <c r="D164" t="s">
        <v>355</v>
      </c>
      <c r="E164" t="b">
        <f t="shared" si="7"/>
        <v>1</v>
      </c>
    </row>
    <row r="165" spans="2:5" x14ac:dyDescent="0.25">
      <c r="B165" s="268" t="s">
        <v>356</v>
      </c>
      <c r="C165" t="s">
        <v>356</v>
      </c>
      <c r="D165" t="s">
        <v>356</v>
      </c>
      <c r="E165" t="b">
        <f t="shared" si="7"/>
        <v>1</v>
      </c>
    </row>
    <row r="166" spans="2:5" x14ac:dyDescent="0.25">
      <c r="B166" s="268" t="s">
        <v>916</v>
      </c>
      <c r="C166" t="s">
        <v>916</v>
      </c>
      <c r="D166" t="s">
        <v>916</v>
      </c>
      <c r="E166" t="b">
        <f t="shared" si="7"/>
        <v>1</v>
      </c>
    </row>
    <row r="167" spans="2:5" x14ac:dyDescent="0.25">
      <c r="B167" s="268" t="s">
        <v>357</v>
      </c>
      <c r="C167" t="s">
        <v>357</v>
      </c>
      <c r="D167" t="s">
        <v>357</v>
      </c>
      <c r="E167" t="b">
        <f t="shared" si="7"/>
        <v>1</v>
      </c>
    </row>
    <row r="168" spans="2:5" x14ac:dyDescent="0.25">
      <c r="B168" s="268" t="s">
        <v>358</v>
      </c>
      <c r="C168" t="s">
        <v>358</v>
      </c>
      <c r="D168" t="s">
        <v>358</v>
      </c>
      <c r="E168" t="b">
        <f t="shared" si="7"/>
        <v>1</v>
      </c>
    </row>
    <row r="169" spans="2:5" x14ac:dyDescent="0.25">
      <c r="B169" s="268" t="s">
        <v>359</v>
      </c>
      <c r="C169" t="s">
        <v>359</v>
      </c>
      <c r="D169" t="s">
        <v>359</v>
      </c>
      <c r="E169" t="b">
        <f t="shared" si="7"/>
        <v>1</v>
      </c>
    </row>
    <row r="170" spans="2:5" x14ac:dyDescent="0.25">
      <c r="B170" s="268" t="s">
        <v>362</v>
      </c>
      <c r="C170" t="s">
        <v>362</v>
      </c>
      <c r="D170" t="s">
        <v>362</v>
      </c>
      <c r="E170" t="b">
        <f t="shared" si="7"/>
        <v>1</v>
      </c>
    </row>
    <row r="171" spans="2:5" x14ac:dyDescent="0.25">
      <c r="B171" s="268" t="s">
        <v>363</v>
      </c>
      <c r="C171" t="s">
        <v>363</v>
      </c>
      <c r="D171" t="s">
        <v>363</v>
      </c>
      <c r="E171" t="b">
        <f t="shared" si="7"/>
        <v>1</v>
      </c>
    </row>
    <row r="172" spans="2:5" x14ac:dyDescent="0.25">
      <c r="B172" s="268" t="s">
        <v>364</v>
      </c>
      <c r="C172" t="s">
        <v>364</v>
      </c>
      <c r="D172" t="s">
        <v>364</v>
      </c>
      <c r="E172" t="b">
        <f t="shared" si="7"/>
        <v>1</v>
      </c>
    </row>
    <row r="173" spans="2:5" x14ac:dyDescent="0.25">
      <c r="B173" s="268" t="s">
        <v>365</v>
      </c>
      <c r="C173" t="s">
        <v>365</v>
      </c>
      <c r="D173" t="s">
        <v>365</v>
      </c>
      <c r="E173" t="b">
        <f t="shared" si="7"/>
        <v>1</v>
      </c>
    </row>
    <row r="174" spans="2:5" x14ac:dyDescent="0.25">
      <c r="B174" s="268" t="s">
        <v>366</v>
      </c>
      <c r="C174" t="s">
        <v>366</v>
      </c>
      <c r="D174" t="s">
        <v>366</v>
      </c>
      <c r="E174" t="b">
        <f t="shared" si="7"/>
        <v>1</v>
      </c>
    </row>
    <row r="175" spans="2:5" x14ac:dyDescent="0.25">
      <c r="B175" s="268" t="s">
        <v>725</v>
      </c>
      <c r="C175" t="s">
        <v>725</v>
      </c>
      <c r="D175" t="s">
        <v>725</v>
      </c>
      <c r="E175" t="b">
        <f t="shared" si="7"/>
        <v>1</v>
      </c>
    </row>
    <row r="176" spans="2:5" x14ac:dyDescent="0.25">
      <c r="B176" s="268" t="s">
        <v>367</v>
      </c>
      <c r="C176" t="s">
        <v>367</v>
      </c>
      <c r="D176" t="s">
        <v>367</v>
      </c>
      <c r="E176" t="b">
        <f t="shared" si="7"/>
        <v>1</v>
      </c>
    </row>
    <row r="177" spans="2:5" x14ac:dyDescent="0.25">
      <c r="B177" s="268" t="s">
        <v>368</v>
      </c>
      <c r="C177" t="s">
        <v>368</v>
      </c>
      <c r="D177" t="s">
        <v>368</v>
      </c>
      <c r="E177" t="b">
        <f t="shared" si="7"/>
        <v>1</v>
      </c>
    </row>
    <row r="178" spans="2:5" x14ac:dyDescent="0.25">
      <c r="B178" s="268" t="s">
        <v>369</v>
      </c>
      <c r="C178" t="s">
        <v>369</v>
      </c>
      <c r="D178" t="s">
        <v>369</v>
      </c>
      <c r="E178" t="b">
        <f t="shared" si="7"/>
        <v>1</v>
      </c>
    </row>
    <row r="179" spans="2:5" x14ac:dyDescent="0.25">
      <c r="B179" s="268" t="s">
        <v>370</v>
      </c>
      <c r="C179" t="s">
        <v>370</v>
      </c>
      <c r="D179" t="s">
        <v>370</v>
      </c>
      <c r="E179" t="b">
        <f t="shared" si="7"/>
        <v>1</v>
      </c>
    </row>
    <row r="180" spans="2:5" x14ac:dyDescent="0.25">
      <c r="B180" s="268" t="s">
        <v>371</v>
      </c>
      <c r="C180" t="s">
        <v>371</v>
      </c>
      <c r="D180" t="s">
        <v>371</v>
      </c>
      <c r="E180" t="b">
        <f t="shared" si="7"/>
        <v>1</v>
      </c>
    </row>
    <row r="181" spans="2:5" x14ac:dyDescent="0.25">
      <c r="B181" s="268" t="s">
        <v>372</v>
      </c>
      <c r="C181" t="s">
        <v>372</v>
      </c>
      <c r="D181" t="s">
        <v>372</v>
      </c>
      <c r="E181" t="b">
        <f t="shared" si="7"/>
        <v>1</v>
      </c>
    </row>
    <row r="182" spans="2:5" x14ac:dyDescent="0.25">
      <c r="B182" s="268" t="s">
        <v>373</v>
      </c>
      <c r="C182" t="s">
        <v>373</v>
      </c>
      <c r="D182" t="s">
        <v>373</v>
      </c>
      <c r="E182" t="b">
        <f t="shared" si="7"/>
        <v>1</v>
      </c>
    </row>
    <row r="183" spans="2:5" x14ac:dyDescent="0.25">
      <c r="B183" s="268" t="s">
        <v>374</v>
      </c>
      <c r="C183" t="s">
        <v>374</v>
      </c>
      <c r="D183" t="s">
        <v>374</v>
      </c>
      <c r="E183" t="b">
        <f t="shared" si="7"/>
        <v>1</v>
      </c>
    </row>
    <row r="184" spans="2:5" x14ac:dyDescent="0.25">
      <c r="B184" s="268" t="s">
        <v>375</v>
      </c>
      <c r="C184" t="s">
        <v>375</v>
      </c>
      <c r="D184" t="s">
        <v>375</v>
      </c>
      <c r="E184" t="b">
        <f t="shared" si="7"/>
        <v>1</v>
      </c>
    </row>
    <row r="185" spans="2:5" x14ac:dyDescent="0.25">
      <c r="B185" s="268" t="s">
        <v>376</v>
      </c>
      <c r="C185" t="s">
        <v>376</v>
      </c>
      <c r="D185" t="s">
        <v>376</v>
      </c>
      <c r="E185" t="b">
        <f t="shared" si="7"/>
        <v>1</v>
      </c>
    </row>
    <row r="186" spans="2:5" x14ac:dyDescent="0.25">
      <c r="B186" s="268" t="s">
        <v>377</v>
      </c>
      <c r="C186" t="s">
        <v>377</v>
      </c>
      <c r="D186" t="s">
        <v>377</v>
      </c>
      <c r="E186" t="b">
        <f t="shared" si="7"/>
        <v>1</v>
      </c>
    </row>
    <row r="187" spans="2:5" x14ac:dyDescent="0.25">
      <c r="B187" s="268" t="s">
        <v>881</v>
      </c>
      <c r="C187" t="s">
        <v>881</v>
      </c>
      <c r="D187" t="s">
        <v>881</v>
      </c>
      <c r="E187" t="b">
        <f t="shared" si="7"/>
        <v>1</v>
      </c>
    </row>
    <row r="188" spans="2:5" x14ac:dyDescent="0.25">
      <c r="B188" s="268" t="s">
        <v>882</v>
      </c>
      <c r="C188" t="s">
        <v>882</v>
      </c>
      <c r="D188" t="s">
        <v>882</v>
      </c>
      <c r="E188" t="b">
        <f t="shared" si="7"/>
        <v>1</v>
      </c>
    </row>
    <row r="189" spans="2:5" x14ac:dyDescent="0.25">
      <c r="B189" s="268" t="s">
        <v>723</v>
      </c>
      <c r="C189" t="s">
        <v>723</v>
      </c>
      <c r="D189" t="s">
        <v>723</v>
      </c>
      <c r="E189" t="b">
        <f t="shared" si="7"/>
        <v>1</v>
      </c>
    </row>
    <row r="190" spans="2:5" x14ac:dyDescent="0.25">
      <c r="B190" s="268" t="s">
        <v>883</v>
      </c>
      <c r="C190" t="s">
        <v>883</v>
      </c>
      <c r="D190" t="s">
        <v>883</v>
      </c>
      <c r="E190" t="b">
        <f t="shared" si="7"/>
        <v>1</v>
      </c>
    </row>
    <row r="191" spans="2:5" x14ac:dyDescent="0.25">
      <c r="B191" s="268" t="s">
        <v>884</v>
      </c>
      <c r="C191" t="s">
        <v>884</v>
      </c>
      <c r="D191" t="s">
        <v>884</v>
      </c>
      <c r="E191" t="b">
        <f t="shared" si="7"/>
        <v>1</v>
      </c>
    </row>
    <row r="192" spans="2:5" x14ac:dyDescent="0.25">
      <c r="B192" s="268" t="s">
        <v>885</v>
      </c>
      <c r="C192" t="s">
        <v>885</v>
      </c>
      <c r="D192" t="s">
        <v>885</v>
      </c>
      <c r="E192" t="b">
        <f t="shared" si="7"/>
        <v>1</v>
      </c>
    </row>
    <row r="193" spans="2:5" x14ac:dyDescent="0.25">
      <c r="B193" s="268" t="s">
        <v>726</v>
      </c>
      <c r="C193" t="s">
        <v>726</v>
      </c>
      <c r="D193" t="s">
        <v>726</v>
      </c>
      <c r="E193" t="b">
        <f t="shared" si="7"/>
        <v>1</v>
      </c>
    </row>
    <row r="194" spans="2:5" x14ac:dyDescent="0.25">
      <c r="B194" s="268" t="s">
        <v>727</v>
      </c>
      <c r="C194" t="s">
        <v>727</v>
      </c>
      <c r="D194" t="s">
        <v>727</v>
      </c>
      <c r="E194" t="b">
        <f t="shared" si="7"/>
        <v>1</v>
      </c>
    </row>
    <row r="195" spans="2:5" x14ac:dyDescent="0.25">
      <c r="B195" s="268" t="s">
        <v>378</v>
      </c>
      <c r="C195" t="s">
        <v>378</v>
      </c>
      <c r="D195" t="s">
        <v>378</v>
      </c>
      <c r="E195" t="b">
        <f t="shared" si="7"/>
        <v>1</v>
      </c>
    </row>
    <row r="196" spans="2:5" x14ac:dyDescent="0.25">
      <c r="B196" s="268" t="s">
        <v>380</v>
      </c>
      <c r="C196" t="s">
        <v>380</v>
      </c>
      <c r="D196" t="s">
        <v>380</v>
      </c>
      <c r="E196" t="b">
        <f t="shared" si="7"/>
        <v>1</v>
      </c>
    </row>
    <row r="197" spans="2:5" x14ac:dyDescent="0.25">
      <c r="B197" s="268" t="s">
        <v>381</v>
      </c>
      <c r="C197" t="s">
        <v>381</v>
      </c>
      <c r="D197" t="s">
        <v>381</v>
      </c>
      <c r="E197" t="b">
        <f t="shared" si="7"/>
        <v>1</v>
      </c>
    </row>
    <row r="198" spans="2:5" x14ac:dyDescent="0.25">
      <c r="B198" s="268" t="s">
        <v>382</v>
      </c>
      <c r="C198" t="s">
        <v>382</v>
      </c>
      <c r="D198" t="s">
        <v>382</v>
      </c>
      <c r="E198" t="b">
        <f t="shared" si="7"/>
        <v>1</v>
      </c>
    </row>
    <row r="199" spans="2:5" x14ac:dyDescent="0.25">
      <c r="B199" s="268" t="s">
        <v>383</v>
      </c>
      <c r="C199" t="s">
        <v>383</v>
      </c>
      <c r="D199" t="s">
        <v>383</v>
      </c>
      <c r="E199" t="b">
        <f t="shared" si="7"/>
        <v>1</v>
      </c>
    </row>
    <row r="200" spans="2:5" x14ac:dyDescent="0.25">
      <c r="B200" s="268" t="s">
        <v>385</v>
      </c>
      <c r="C200" t="s">
        <v>385</v>
      </c>
      <c r="D200" t="s">
        <v>385</v>
      </c>
      <c r="E200" t="b">
        <f t="shared" si="7"/>
        <v>1</v>
      </c>
    </row>
    <row r="201" spans="2:5" x14ac:dyDescent="0.25">
      <c r="B201" s="268" t="s">
        <v>386</v>
      </c>
      <c r="C201" t="s">
        <v>386</v>
      </c>
      <c r="D201" t="s">
        <v>386</v>
      </c>
      <c r="E201" t="b">
        <f t="shared" si="7"/>
        <v>1</v>
      </c>
    </row>
    <row r="202" spans="2:5" x14ac:dyDescent="0.25">
      <c r="D202" t="s">
        <v>387</v>
      </c>
      <c r="E202" t="b">
        <f t="shared" si="7"/>
        <v>1</v>
      </c>
    </row>
    <row r="203" spans="2:5" x14ac:dyDescent="0.25">
      <c r="B203" t="s">
        <v>388</v>
      </c>
      <c r="C203" t="s">
        <v>388</v>
      </c>
      <c r="D203" t="s">
        <v>388</v>
      </c>
      <c r="E203" t="b">
        <f t="shared" si="7"/>
        <v>1</v>
      </c>
    </row>
    <row r="204" spans="2:5" x14ac:dyDescent="0.25">
      <c r="C204" t="s">
        <v>728</v>
      </c>
      <c r="E204" t="b">
        <f t="shared" si="7"/>
        <v>0</v>
      </c>
    </row>
    <row r="205" spans="2:5" x14ac:dyDescent="0.25">
      <c r="C205" t="s">
        <v>722</v>
      </c>
      <c r="D205" t="s">
        <v>722</v>
      </c>
      <c r="E205" t="b">
        <f t="shared" si="7"/>
        <v>0</v>
      </c>
    </row>
    <row r="206" spans="2:5" x14ac:dyDescent="0.25">
      <c r="B206" s="268" t="s">
        <v>389</v>
      </c>
      <c r="C206" t="s">
        <v>389</v>
      </c>
      <c r="D206" t="s">
        <v>389</v>
      </c>
      <c r="E206" t="b">
        <f t="shared" si="7"/>
        <v>1</v>
      </c>
    </row>
    <row r="207" spans="2:5" x14ac:dyDescent="0.25">
      <c r="B207" s="268" t="s">
        <v>391</v>
      </c>
      <c r="C207" t="s">
        <v>391</v>
      </c>
      <c r="D207" t="s">
        <v>391</v>
      </c>
      <c r="E207" t="b">
        <f t="shared" si="7"/>
        <v>1</v>
      </c>
    </row>
    <row r="208" spans="2:5" x14ac:dyDescent="0.25">
      <c r="B208" s="268" t="s">
        <v>393</v>
      </c>
      <c r="C208" t="s">
        <v>393</v>
      </c>
      <c r="D208" t="s">
        <v>393</v>
      </c>
      <c r="E208" t="b">
        <f t="shared" si="7"/>
        <v>1</v>
      </c>
    </row>
    <row r="209" spans="2:5" x14ac:dyDescent="0.25">
      <c r="B209" s="268" t="s">
        <v>394</v>
      </c>
      <c r="C209" t="s">
        <v>394</v>
      </c>
      <c r="D209" t="s">
        <v>394</v>
      </c>
      <c r="E209" t="b">
        <f t="shared" si="7"/>
        <v>1</v>
      </c>
    </row>
    <row r="210" spans="2:5" x14ac:dyDescent="0.25">
      <c r="B210" s="268" t="s">
        <v>915</v>
      </c>
      <c r="C210" t="s">
        <v>915</v>
      </c>
      <c r="D210" t="s">
        <v>915</v>
      </c>
      <c r="E210" t="b">
        <f t="shared" si="7"/>
        <v>1</v>
      </c>
    </row>
    <row r="211" spans="2:5" x14ac:dyDescent="0.25">
      <c r="B211" s="268" t="s">
        <v>1018</v>
      </c>
      <c r="E211" t="b">
        <f t="shared" si="7"/>
        <v>0</v>
      </c>
    </row>
    <row r="212" spans="2:5" x14ac:dyDescent="0.25">
      <c r="B212" s="268" t="s">
        <v>396</v>
      </c>
      <c r="C212" t="s">
        <v>396</v>
      </c>
      <c r="D212" t="s">
        <v>396</v>
      </c>
      <c r="E212" t="b">
        <f t="shared" si="7"/>
        <v>1</v>
      </c>
    </row>
    <row r="213" spans="2:5" x14ac:dyDescent="0.25">
      <c r="B213" s="268" t="s">
        <v>397</v>
      </c>
      <c r="C213" t="s">
        <v>397</v>
      </c>
      <c r="D213" t="s">
        <v>397</v>
      </c>
      <c r="E213" t="b">
        <f t="shared" ref="E213:E241" si="8">C213=B213</f>
        <v>1</v>
      </c>
    </row>
    <row r="214" spans="2:5" x14ac:dyDescent="0.25">
      <c r="B214" s="268" t="s">
        <v>398</v>
      </c>
      <c r="C214" t="s">
        <v>398</v>
      </c>
      <c r="D214" t="s">
        <v>398</v>
      </c>
      <c r="E214" t="b">
        <f t="shared" si="8"/>
        <v>1</v>
      </c>
    </row>
    <row r="215" spans="2:5" x14ac:dyDescent="0.25">
      <c r="B215" s="268" t="s">
        <v>399</v>
      </c>
      <c r="C215" t="s">
        <v>399</v>
      </c>
      <c r="D215" t="s">
        <v>399</v>
      </c>
      <c r="E215" t="b">
        <f t="shared" si="8"/>
        <v>1</v>
      </c>
    </row>
    <row r="216" spans="2:5" x14ac:dyDescent="0.25">
      <c r="B216" s="268" t="s">
        <v>914</v>
      </c>
      <c r="C216" t="s">
        <v>914</v>
      </c>
      <c r="E216" t="b">
        <f t="shared" si="8"/>
        <v>1</v>
      </c>
    </row>
    <row r="217" spans="2:5" x14ac:dyDescent="0.25">
      <c r="B217" s="268" t="s">
        <v>400</v>
      </c>
      <c r="C217" t="s">
        <v>400</v>
      </c>
      <c r="D217" t="s">
        <v>400</v>
      </c>
      <c r="E217" t="b">
        <f t="shared" si="8"/>
        <v>1</v>
      </c>
    </row>
    <row r="218" spans="2:5" x14ac:dyDescent="0.25">
      <c r="B218" s="268" t="s">
        <v>402</v>
      </c>
      <c r="C218" t="s">
        <v>402</v>
      </c>
      <c r="D218" t="s">
        <v>402</v>
      </c>
      <c r="E218" t="b">
        <f t="shared" si="8"/>
        <v>1</v>
      </c>
    </row>
    <row r="219" spans="2:5" x14ac:dyDescent="0.25">
      <c r="B219" s="268" t="s">
        <v>913</v>
      </c>
      <c r="C219" t="s">
        <v>913</v>
      </c>
      <c r="E219" t="b">
        <f t="shared" si="8"/>
        <v>1</v>
      </c>
    </row>
    <row r="220" spans="2:5" x14ac:dyDescent="0.25">
      <c r="B220" s="268" t="s">
        <v>404</v>
      </c>
      <c r="C220" t="s">
        <v>404</v>
      </c>
      <c r="D220" t="s">
        <v>404</v>
      </c>
      <c r="E220" t="b">
        <f t="shared" si="8"/>
        <v>1</v>
      </c>
    </row>
    <row r="221" spans="2:5" x14ac:dyDescent="0.25">
      <c r="B221" s="268" t="s">
        <v>1021</v>
      </c>
      <c r="C221" t="s">
        <v>912</v>
      </c>
      <c r="E221" t="b">
        <f t="shared" si="8"/>
        <v>0</v>
      </c>
    </row>
    <row r="222" spans="2:5" x14ac:dyDescent="0.25">
      <c r="B222" s="268" t="s">
        <v>406</v>
      </c>
      <c r="C222" t="s">
        <v>406</v>
      </c>
      <c r="D222" t="s">
        <v>406</v>
      </c>
      <c r="E222" t="b">
        <f t="shared" si="8"/>
        <v>1</v>
      </c>
    </row>
    <row r="223" spans="2:5" x14ac:dyDescent="0.25">
      <c r="B223" s="268" t="s">
        <v>0</v>
      </c>
      <c r="C223" t="s">
        <v>0</v>
      </c>
      <c r="D223" t="s">
        <v>0</v>
      </c>
      <c r="E223" t="b">
        <f t="shared" si="8"/>
        <v>1</v>
      </c>
    </row>
    <row r="224" spans="2:5" x14ac:dyDescent="0.25">
      <c r="B224" s="268" t="s">
        <v>407</v>
      </c>
      <c r="C224" t="s">
        <v>407</v>
      </c>
      <c r="D224" t="s">
        <v>407</v>
      </c>
      <c r="E224" t="b">
        <f t="shared" si="8"/>
        <v>1</v>
      </c>
    </row>
    <row r="225" spans="2:5" x14ac:dyDescent="0.25">
      <c r="B225" s="268" t="s">
        <v>408</v>
      </c>
      <c r="C225" t="s">
        <v>408</v>
      </c>
      <c r="D225" t="s">
        <v>408</v>
      </c>
      <c r="E225" t="b">
        <f t="shared" si="8"/>
        <v>1</v>
      </c>
    </row>
    <row r="226" spans="2:5" x14ac:dyDescent="0.25">
      <c r="B226" s="268" t="s">
        <v>409</v>
      </c>
      <c r="C226" t="s">
        <v>409</v>
      </c>
      <c r="D226" t="s">
        <v>409</v>
      </c>
      <c r="E226" t="b">
        <f t="shared" si="8"/>
        <v>1</v>
      </c>
    </row>
    <row r="227" spans="2:5" x14ac:dyDescent="0.25">
      <c r="B227" s="268" t="s">
        <v>410</v>
      </c>
      <c r="C227" t="s">
        <v>410</v>
      </c>
      <c r="D227" t="s">
        <v>410</v>
      </c>
      <c r="E227" t="b">
        <f t="shared" si="8"/>
        <v>1</v>
      </c>
    </row>
    <row r="228" spans="2:5" x14ac:dyDescent="0.25">
      <c r="B228" s="268" t="s">
        <v>411</v>
      </c>
      <c r="C228" t="s">
        <v>411</v>
      </c>
      <c r="D228" t="s">
        <v>411</v>
      </c>
      <c r="E228" t="b">
        <f t="shared" si="8"/>
        <v>1</v>
      </c>
    </row>
    <row r="229" spans="2:5" x14ac:dyDescent="0.25">
      <c r="B229" s="268" t="s">
        <v>412</v>
      </c>
      <c r="C229" t="s">
        <v>412</v>
      </c>
      <c r="D229" t="s">
        <v>412</v>
      </c>
      <c r="E229" t="b">
        <f t="shared" si="8"/>
        <v>1</v>
      </c>
    </row>
    <row r="230" spans="2:5" x14ac:dyDescent="0.25">
      <c r="C230" t="s">
        <v>911</v>
      </c>
      <c r="E230" t="b">
        <f t="shared" si="8"/>
        <v>0</v>
      </c>
    </row>
    <row r="231" spans="2:5" x14ac:dyDescent="0.25">
      <c r="B231" s="268" t="s">
        <v>413</v>
      </c>
      <c r="C231" t="s">
        <v>413</v>
      </c>
      <c r="D231" t="s">
        <v>413</v>
      </c>
      <c r="E231" t="b">
        <f t="shared" si="8"/>
        <v>1</v>
      </c>
    </row>
    <row r="232" spans="2:5" x14ac:dyDescent="0.25">
      <c r="B232" s="268" t="s">
        <v>1</v>
      </c>
      <c r="C232" t="s">
        <v>1</v>
      </c>
      <c r="D232" t="s">
        <v>1</v>
      </c>
      <c r="E232" t="b">
        <f t="shared" si="8"/>
        <v>1</v>
      </c>
    </row>
    <row r="233" spans="2:5" x14ac:dyDescent="0.25">
      <c r="B233" s="268" t="s">
        <v>414</v>
      </c>
      <c r="C233" t="s">
        <v>414</v>
      </c>
      <c r="D233" t="s">
        <v>414</v>
      </c>
      <c r="E233" t="b">
        <f t="shared" si="8"/>
        <v>1</v>
      </c>
    </row>
    <row r="234" spans="2:5" x14ac:dyDescent="0.25">
      <c r="B234" s="268" t="s">
        <v>415</v>
      </c>
      <c r="C234" t="s">
        <v>415</v>
      </c>
      <c r="D234" t="s">
        <v>415</v>
      </c>
      <c r="E234" t="b">
        <f t="shared" si="8"/>
        <v>1</v>
      </c>
    </row>
    <row r="235" spans="2:5" x14ac:dyDescent="0.25">
      <c r="B235" s="268" t="s">
        <v>416</v>
      </c>
      <c r="C235" t="s">
        <v>416</v>
      </c>
      <c r="D235" t="s">
        <v>416</v>
      </c>
      <c r="E235" t="b">
        <f t="shared" si="8"/>
        <v>1</v>
      </c>
    </row>
    <row r="236" spans="2:5" x14ac:dyDescent="0.25">
      <c r="B236" s="268" t="s">
        <v>417</v>
      </c>
      <c r="C236" t="s">
        <v>417</v>
      </c>
      <c r="D236" t="s">
        <v>417</v>
      </c>
      <c r="E236" t="b">
        <f t="shared" si="8"/>
        <v>1</v>
      </c>
    </row>
    <row r="237" spans="2:5" x14ac:dyDescent="0.25">
      <c r="B237" s="268" t="s">
        <v>418</v>
      </c>
      <c r="C237" t="s">
        <v>418</v>
      </c>
      <c r="D237" t="s">
        <v>418</v>
      </c>
      <c r="E237" t="b">
        <f t="shared" si="8"/>
        <v>1</v>
      </c>
    </row>
    <row r="238" spans="2:5" x14ac:dyDescent="0.25">
      <c r="B238" s="268" t="s">
        <v>1019</v>
      </c>
      <c r="E238" t="b">
        <f t="shared" si="8"/>
        <v>0</v>
      </c>
    </row>
    <row r="239" spans="2:5" x14ac:dyDescent="0.25">
      <c r="B239" s="268" t="s">
        <v>419</v>
      </c>
      <c r="C239" t="s">
        <v>419</v>
      </c>
      <c r="D239" t="s">
        <v>419</v>
      </c>
      <c r="E239" t="b">
        <f t="shared" si="8"/>
        <v>1</v>
      </c>
    </row>
    <row r="240" spans="2:5" x14ac:dyDescent="0.25">
      <c r="B240" s="268" t="s">
        <v>420</v>
      </c>
      <c r="C240" t="s">
        <v>420</v>
      </c>
      <c r="D240" t="s">
        <v>420</v>
      </c>
      <c r="E240" t="b">
        <f t="shared" si="8"/>
        <v>1</v>
      </c>
    </row>
    <row r="241" spans="2:5" x14ac:dyDescent="0.25">
      <c r="B241" s="268" t="s">
        <v>421</v>
      </c>
      <c r="C241" t="s">
        <v>421</v>
      </c>
      <c r="D241" t="s">
        <v>421</v>
      </c>
      <c r="E241" t="b">
        <f t="shared" si="8"/>
        <v>1</v>
      </c>
    </row>
  </sheetData>
  <autoFilter ref="B147:E147" xr:uid="{760CEB45-B500-4913-AB52-F38B9C30EF80}"/>
  <conditionalFormatting sqref="B148:D241">
    <cfRule type="containsBlanks" dxfId="24" priority="3">
      <formula>LEN(TRIM(B148))=0</formula>
    </cfRule>
  </conditionalFormatting>
  <conditionalFormatting sqref="F8:F50 M8:M98">
    <cfRule type="expression" dxfId="23" priority="8">
      <formula>$F8&gt;0.95</formula>
    </cfRule>
  </conditionalFormatting>
  <conditionalFormatting sqref="J8:J241 J248:J307">
    <cfRule type="expression" dxfId="22" priority="4">
      <formula>OR($J8="Operações Financeiras/juros",$J8="Operações Financeira",$J8="Operações Financeiras - Geral",$J8="Terreno")</formula>
    </cfRule>
    <cfRule type="containsText" dxfId="21" priority="5" operator="containsText" text="Dep. Pessoal - Up">
      <formula>NOT(ISERROR(SEARCH("Dep. Pessoal - Up",J8)))</formula>
    </cfRule>
    <cfRule type="cellIs" dxfId="20" priority="6" operator="equal">
      <formula>"NF - Mão de Obra"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6413-AC75-49EB-8BD8-F7082AD63852}">
  <dimension ref="A1:E12"/>
  <sheetViews>
    <sheetView showGridLines="0" workbookViewId="0">
      <selection activeCell="A5" sqref="A5"/>
    </sheetView>
  </sheetViews>
  <sheetFormatPr defaultRowHeight="15" x14ac:dyDescent="0.25"/>
  <cols>
    <col min="1" max="1" width="100.7109375" customWidth="1"/>
    <col min="2" max="2" width="15.7109375" style="135" customWidth="1"/>
    <col min="3" max="3" width="15.7109375" customWidth="1"/>
  </cols>
  <sheetData>
    <row r="1" spans="1:5" ht="21" x14ac:dyDescent="0.35">
      <c r="A1" s="228" t="s">
        <v>698</v>
      </c>
      <c r="B1" s="425"/>
      <c r="E1" s="228" t="s">
        <v>697</v>
      </c>
    </row>
    <row r="2" spans="1:5" x14ac:dyDescent="0.25">
      <c r="A2" s="135" t="s">
        <v>499</v>
      </c>
      <c r="B2" s="135" t="s">
        <v>699</v>
      </c>
      <c r="C2" s="135" t="s">
        <v>47</v>
      </c>
    </row>
    <row r="3" spans="1:5" x14ac:dyDescent="0.25">
      <c r="A3" t="s">
        <v>1051</v>
      </c>
      <c r="C3" s="422" t="s">
        <v>941</v>
      </c>
    </row>
    <row r="4" spans="1:5" x14ac:dyDescent="0.25">
      <c r="A4" t="s">
        <v>1002</v>
      </c>
      <c r="C4" s="422" t="s">
        <v>941</v>
      </c>
    </row>
    <row r="5" spans="1:5" x14ac:dyDescent="0.25">
      <c r="A5" t="s">
        <v>1053</v>
      </c>
      <c r="C5" s="422" t="s">
        <v>941</v>
      </c>
    </row>
    <row r="6" spans="1:5" x14ac:dyDescent="0.25">
      <c r="A6" t="s">
        <v>1052</v>
      </c>
      <c r="B6" s="426">
        <v>46204</v>
      </c>
      <c r="C6" s="423" t="s">
        <v>703</v>
      </c>
    </row>
    <row r="7" spans="1:5" x14ac:dyDescent="0.25">
      <c r="A7" t="s">
        <v>702</v>
      </c>
      <c r="B7" s="426">
        <v>46204</v>
      </c>
      <c r="C7" s="422" t="s">
        <v>703</v>
      </c>
    </row>
    <row r="8" spans="1:5" x14ac:dyDescent="0.25">
      <c r="A8" t="s">
        <v>923</v>
      </c>
      <c r="C8" s="422" t="s">
        <v>703</v>
      </c>
    </row>
    <row r="9" spans="1:5" x14ac:dyDescent="0.25">
      <c r="A9" t="s">
        <v>696</v>
      </c>
      <c r="B9" s="135" t="s">
        <v>39</v>
      </c>
      <c r="C9" s="422" t="s">
        <v>692</v>
      </c>
    </row>
    <row r="10" spans="1:5" x14ac:dyDescent="0.25">
      <c r="A10" t="s">
        <v>695</v>
      </c>
      <c r="B10" s="135" t="s">
        <v>39</v>
      </c>
      <c r="C10" s="424" t="s">
        <v>692</v>
      </c>
    </row>
    <row r="11" spans="1:5" x14ac:dyDescent="0.25">
      <c r="A11" t="s">
        <v>694</v>
      </c>
      <c r="B11" s="426">
        <v>46204</v>
      </c>
      <c r="C11" s="424" t="s">
        <v>692</v>
      </c>
    </row>
    <row r="12" spans="1:5" x14ac:dyDescent="0.25">
      <c r="A12" t="s">
        <v>693</v>
      </c>
      <c r="B12" s="426">
        <v>46204</v>
      </c>
      <c r="C12" s="424" t="s">
        <v>692</v>
      </c>
    </row>
  </sheetData>
  <conditionalFormatting sqref="C3:C92">
    <cfRule type="cellIs" dxfId="19" priority="1" operator="equal">
      <formula>"Em andamento"</formula>
    </cfRule>
    <cfRule type="cellIs" dxfId="18" priority="2" operator="equal">
      <formula>"Não concluído"</formula>
    </cfRule>
    <cfRule type="cellIs" dxfId="17" priority="3" operator="equal">
      <formula>"Concluído"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3F1A-982C-44A5-8AF5-F7B246F0BA77}">
  <dimension ref="A1:F118"/>
  <sheetViews>
    <sheetView showGridLines="0" workbookViewId="0">
      <selection activeCell="C92" sqref="C92"/>
    </sheetView>
  </sheetViews>
  <sheetFormatPr defaultRowHeight="15" x14ac:dyDescent="0.25"/>
  <cols>
    <col min="2" max="4" width="45.7109375" customWidth="1"/>
  </cols>
  <sheetData>
    <row r="1" spans="1:6" ht="18.75" x14ac:dyDescent="0.3">
      <c r="B1" s="511" t="s">
        <v>331</v>
      </c>
      <c r="C1" s="510" t="s">
        <v>332</v>
      </c>
      <c r="D1" s="509" t="s">
        <v>333</v>
      </c>
      <c r="F1" t="str" cm="1">
        <f t="array" ref="F1:F11">_xlfn._xlws.FILTER(tb_ik_viab[Centros de negócio do Ik],tb_ik_viab[Categoria na viabilidade]="Construção")</f>
        <v>Custo Obra</v>
      </c>
    </row>
    <row r="2" spans="1:6" x14ac:dyDescent="0.25">
      <c r="A2">
        <f>1</f>
        <v>1</v>
      </c>
      <c r="B2" s="65" t="s">
        <v>337</v>
      </c>
      <c r="C2" s="66" t="s">
        <v>335</v>
      </c>
      <c r="D2" s="506" t="s">
        <v>335</v>
      </c>
      <c r="F2" t="str">
        <v>Dep. Pessoal - Up Estação São Lucas</v>
      </c>
    </row>
    <row r="3" spans="1:6" x14ac:dyDescent="0.25">
      <c r="A3">
        <f t="shared" ref="A3:A75" si="0">A2+1</f>
        <v>2</v>
      </c>
      <c r="B3" s="65" t="s">
        <v>338</v>
      </c>
      <c r="C3" s="66" t="s">
        <v>335</v>
      </c>
      <c r="D3" s="506" t="s">
        <v>335</v>
      </c>
      <c r="F3" t="str">
        <v>Dep. Pessoal - Up Estação Vila Sonia</v>
      </c>
    </row>
    <row r="4" spans="1:6" x14ac:dyDescent="0.25">
      <c r="A4">
        <f t="shared" si="0"/>
        <v>3</v>
      </c>
      <c r="B4" s="65" t="s">
        <v>339</v>
      </c>
      <c r="C4" s="66" t="s">
        <v>335</v>
      </c>
      <c r="D4" s="506" t="s">
        <v>335</v>
      </c>
      <c r="F4" t="str">
        <v>Dep. Pessoal - Up Jardim Prudencia</v>
      </c>
    </row>
    <row r="5" spans="1:6" x14ac:dyDescent="0.25">
      <c r="A5">
        <f t="shared" si="0"/>
        <v>4</v>
      </c>
      <c r="B5" s="65" t="s">
        <v>340</v>
      </c>
      <c r="C5" s="66" t="s">
        <v>335</v>
      </c>
      <c r="D5" s="506" t="s">
        <v>335</v>
      </c>
      <c r="F5" t="str">
        <v>Dep. Pessoal - Up Move Vila Sonia</v>
      </c>
    </row>
    <row r="6" spans="1:6" ht="15.75" x14ac:dyDescent="0.25">
      <c r="A6">
        <f t="shared" si="0"/>
        <v>5</v>
      </c>
      <c r="B6" s="65" t="s">
        <v>341</v>
      </c>
      <c r="C6" s="66" t="s">
        <v>335</v>
      </c>
      <c r="D6" s="507"/>
      <c r="F6" t="str">
        <v>Dep. Pessoal - Up Pompeia</v>
      </c>
    </row>
    <row r="7" spans="1:6" ht="15.75" x14ac:dyDescent="0.25">
      <c r="A7">
        <f t="shared" si="0"/>
        <v>6</v>
      </c>
      <c r="B7" s="65" t="s">
        <v>342</v>
      </c>
      <c r="C7" s="67" t="s">
        <v>335</v>
      </c>
      <c r="D7" s="507" t="s">
        <v>335</v>
      </c>
      <c r="F7" t="str">
        <v>Dep. Pessoal - Up Select Vila Sonia</v>
      </c>
    </row>
    <row r="8" spans="1:6" ht="15.75" x14ac:dyDescent="0.25">
      <c r="A8">
        <f t="shared" si="0"/>
        <v>7</v>
      </c>
      <c r="B8" s="65" t="s">
        <v>343</v>
      </c>
      <c r="C8" s="66" t="s">
        <v>335</v>
      </c>
      <c r="D8" s="507" t="s">
        <v>344</v>
      </c>
      <c r="F8" t="str">
        <v>Dep. Pessoal - Up Vila Sonia</v>
      </c>
    </row>
    <row r="9" spans="1:6" ht="15.75" x14ac:dyDescent="0.25">
      <c r="A9">
        <f t="shared" si="0"/>
        <v>8</v>
      </c>
      <c r="B9" s="65" t="s">
        <v>345</v>
      </c>
      <c r="C9" s="66" t="s">
        <v>335</v>
      </c>
      <c r="D9" s="507" t="s">
        <v>344</v>
      </c>
      <c r="F9" t="str">
        <v>Pós Obra/reparos</v>
      </c>
    </row>
    <row r="10" spans="1:6" x14ac:dyDescent="0.25">
      <c r="A10">
        <f t="shared" si="0"/>
        <v>9</v>
      </c>
      <c r="B10" s="65" t="s">
        <v>346</v>
      </c>
      <c r="C10" s="66" t="s">
        <v>335</v>
      </c>
      <c r="D10" s="506" t="s">
        <v>335</v>
      </c>
      <c r="F10" t="str">
        <v>Reparos</v>
      </c>
    </row>
    <row r="11" spans="1:6" ht="15.75" x14ac:dyDescent="0.25">
      <c r="A11">
        <f t="shared" si="0"/>
        <v>10</v>
      </c>
      <c r="B11" s="65" t="s">
        <v>347</v>
      </c>
      <c r="C11" s="66" t="s">
        <v>335</v>
      </c>
      <c r="D11" s="507" t="s">
        <v>336</v>
      </c>
      <c r="F11" t="str">
        <v>Serralheria</v>
      </c>
    </row>
    <row r="12" spans="1:6" ht="15.75" x14ac:dyDescent="0.25">
      <c r="A12">
        <f t="shared" si="0"/>
        <v>11</v>
      </c>
      <c r="B12" s="65" t="s">
        <v>348</v>
      </c>
      <c r="C12" s="66" t="s">
        <v>349</v>
      </c>
      <c r="D12" s="507"/>
    </row>
    <row r="13" spans="1:6" ht="15.75" x14ac:dyDescent="0.25">
      <c r="A13">
        <f t="shared" si="0"/>
        <v>12</v>
      </c>
      <c r="B13" s="65" t="s">
        <v>429</v>
      </c>
      <c r="C13" s="66" t="s">
        <v>15</v>
      </c>
      <c r="D13" s="507" t="s">
        <v>429</v>
      </c>
    </row>
    <row r="14" spans="1:6" ht="15.75" x14ac:dyDescent="0.25">
      <c r="A14">
        <f t="shared" si="0"/>
        <v>13</v>
      </c>
      <c r="B14" s="65" t="s">
        <v>350</v>
      </c>
      <c r="C14" s="66" t="s">
        <v>15</v>
      </c>
      <c r="D14" s="507" t="s">
        <v>351</v>
      </c>
    </row>
    <row r="15" spans="1:6" ht="15.75" x14ac:dyDescent="0.25">
      <c r="A15">
        <f t="shared" si="0"/>
        <v>14</v>
      </c>
      <c r="B15" s="65" t="s">
        <v>352</v>
      </c>
      <c r="C15" s="66" t="s">
        <v>353</v>
      </c>
      <c r="D15" s="507" t="s">
        <v>336</v>
      </c>
    </row>
    <row r="16" spans="1:6" ht="15.75" x14ac:dyDescent="0.25">
      <c r="A16">
        <f t="shared" si="0"/>
        <v>15</v>
      </c>
      <c r="B16" s="65" t="s">
        <v>354</v>
      </c>
      <c r="C16" s="66" t="s">
        <v>335</v>
      </c>
      <c r="D16" s="507" t="s">
        <v>336</v>
      </c>
    </row>
    <row r="17" spans="1:4" ht="15.75" x14ac:dyDescent="0.25">
      <c r="A17">
        <f t="shared" si="0"/>
        <v>16</v>
      </c>
      <c r="B17" s="65" t="s">
        <v>355</v>
      </c>
      <c r="C17" s="66" t="s">
        <v>335</v>
      </c>
      <c r="D17" s="507" t="s">
        <v>336</v>
      </c>
    </row>
    <row r="18" spans="1:4" ht="15.75" x14ac:dyDescent="0.25">
      <c r="A18">
        <f t="shared" si="0"/>
        <v>17</v>
      </c>
      <c r="B18" s="65" t="s">
        <v>356</v>
      </c>
      <c r="C18" s="66" t="s">
        <v>335</v>
      </c>
      <c r="D18" s="507" t="s">
        <v>336</v>
      </c>
    </row>
    <row r="19" spans="1:4" ht="15.75" x14ac:dyDescent="0.25">
      <c r="A19">
        <f t="shared" si="0"/>
        <v>18</v>
      </c>
      <c r="B19" s="65" t="s">
        <v>916</v>
      </c>
      <c r="C19" s="66" t="s">
        <v>335</v>
      </c>
      <c r="D19" s="507"/>
    </row>
    <row r="20" spans="1:4" ht="15.75" x14ac:dyDescent="0.25">
      <c r="A20">
        <f t="shared" si="0"/>
        <v>19</v>
      </c>
      <c r="B20" s="65" t="s">
        <v>357</v>
      </c>
      <c r="C20" s="66" t="s">
        <v>349</v>
      </c>
      <c r="D20" s="507"/>
    </row>
    <row r="21" spans="1:4" ht="15.75" x14ac:dyDescent="0.25">
      <c r="A21">
        <f t="shared" si="0"/>
        <v>20</v>
      </c>
      <c r="B21" s="65" t="s">
        <v>358</v>
      </c>
      <c r="C21" s="66" t="s">
        <v>335</v>
      </c>
      <c r="D21" s="507" t="s">
        <v>344</v>
      </c>
    </row>
    <row r="22" spans="1:4" ht="15.75" x14ac:dyDescent="0.25">
      <c r="A22">
        <f t="shared" si="0"/>
        <v>21</v>
      </c>
      <c r="B22" s="65" t="s">
        <v>359</v>
      </c>
      <c r="C22" s="66" t="s">
        <v>360</v>
      </c>
      <c r="D22" s="507" t="s">
        <v>361</v>
      </c>
    </row>
    <row r="23" spans="1:4" ht="15.75" x14ac:dyDescent="0.25">
      <c r="A23">
        <f t="shared" si="0"/>
        <v>22</v>
      </c>
      <c r="B23" s="65" t="s">
        <v>362</v>
      </c>
      <c r="C23" s="66" t="s">
        <v>335</v>
      </c>
      <c r="D23" s="507" t="s">
        <v>335</v>
      </c>
    </row>
    <row r="24" spans="1:4" ht="15.75" x14ac:dyDescent="0.25">
      <c r="A24">
        <f t="shared" si="0"/>
        <v>23</v>
      </c>
      <c r="B24" s="65" t="s">
        <v>363</v>
      </c>
      <c r="C24" s="66" t="s">
        <v>335</v>
      </c>
      <c r="D24" s="507" t="s">
        <v>335</v>
      </c>
    </row>
    <row r="25" spans="1:4" ht="15.75" x14ac:dyDescent="0.25">
      <c r="A25">
        <f t="shared" si="0"/>
        <v>24</v>
      </c>
      <c r="B25" s="65" t="s">
        <v>364</v>
      </c>
      <c r="C25" s="66" t="s">
        <v>335</v>
      </c>
      <c r="D25" s="507" t="s">
        <v>335</v>
      </c>
    </row>
    <row r="26" spans="1:4" ht="15.75" x14ac:dyDescent="0.25">
      <c r="A26">
        <f t="shared" si="0"/>
        <v>25</v>
      </c>
      <c r="B26" s="65" t="s">
        <v>365</v>
      </c>
      <c r="C26" s="66" t="s">
        <v>335</v>
      </c>
      <c r="D26" s="507" t="s">
        <v>335</v>
      </c>
    </row>
    <row r="27" spans="1:4" ht="15.75" x14ac:dyDescent="0.25">
      <c r="A27">
        <f t="shared" si="0"/>
        <v>26</v>
      </c>
      <c r="B27" s="65" t="s">
        <v>366</v>
      </c>
      <c r="C27" s="66" t="s">
        <v>335</v>
      </c>
      <c r="D27" s="507" t="s">
        <v>335</v>
      </c>
    </row>
    <row r="28" spans="1:4" ht="15.75" x14ac:dyDescent="0.25">
      <c r="A28">
        <f t="shared" si="0"/>
        <v>27</v>
      </c>
      <c r="B28" s="65" t="s">
        <v>725</v>
      </c>
      <c r="C28" s="66" t="s">
        <v>353</v>
      </c>
      <c r="D28" s="507" t="s">
        <v>336</v>
      </c>
    </row>
    <row r="29" spans="1:4" ht="15.75" x14ac:dyDescent="0.25">
      <c r="A29">
        <f t="shared" si="0"/>
        <v>28</v>
      </c>
      <c r="B29" s="65" t="s">
        <v>367</v>
      </c>
      <c r="C29" s="66" t="s">
        <v>353</v>
      </c>
      <c r="D29" s="507" t="s">
        <v>336</v>
      </c>
    </row>
    <row r="30" spans="1:4" ht="15.75" x14ac:dyDescent="0.25">
      <c r="A30">
        <f t="shared" si="0"/>
        <v>29</v>
      </c>
      <c r="B30" s="65" t="s">
        <v>368</v>
      </c>
      <c r="C30" s="66" t="s">
        <v>353</v>
      </c>
      <c r="D30" s="507" t="s">
        <v>336</v>
      </c>
    </row>
    <row r="31" spans="1:4" ht="15.75" x14ac:dyDescent="0.25">
      <c r="A31">
        <f t="shared" si="0"/>
        <v>30</v>
      </c>
      <c r="B31" s="65" t="s">
        <v>1122</v>
      </c>
      <c r="C31" s="66" t="s">
        <v>353</v>
      </c>
      <c r="D31" s="507"/>
    </row>
    <row r="32" spans="1:4" ht="15.75" x14ac:dyDescent="0.25">
      <c r="A32">
        <f t="shared" si="0"/>
        <v>31</v>
      </c>
      <c r="B32" s="65" t="s">
        <v>369</v>
      </c>
      <c r="C32" s="66" t="s">
        <v>353</v>
      </c>
      <c r="D32" s="507" t="s">
        <v>336</v>
      </c>
    </row>
    <row r="33" spans="1:4" ht="15.75" x14ac:dyDescent="0.25">
      <c r="A33">
        <f t="shared" si="0"/>
        <v>32</v>
      </c>
      <c r="B33" s="65" t="s">
        <v>370</v>
      </c>
      <c r="C33" s="66" t="s">
        <v>353</v>
      </c>
      <c r="D33" s="507" t="s">
        <v>336</v>
      </c>
    </row>
    <row r="34" spans="1:4" ht="15.75" x14ac:dyDescent="0.25">
      <c r="A34">
        <f t="shared" si="0"/>
        <v>33</v>
      </c>
      <c r="B34" s="65" t="s">
        <v>371</v>
      </c>
      <c r="C34" s="66" t="s">
        <v>353</v>
      </c>
      <c r="D34" s="507" t="s">
        <v>336</v>
      </c>
    </row>
    <row r="35" spans="1:4" ht="15.75" x14ac:dyDescent="0.25">
      <c r="A35">
        <f t="shared" si="0"/>
        <v>34</v>
      </c>
      <c r="B35" s="65" t="s">
        <v>372</v>
      </c>
      <c r="C35" s="66" t="s">
        <v>335</v>
      </c>
      <c r="D35" s="507" t="s">
        <v>335</v>
      </c>
    </row>
    <row r="36" spans="1:4" ht="15.75" x14ac:dyDescent="0.25">
      <c r="A36">
        <f t="shared" si="0"/>
        <v>35</v>
      </c>
      <c r="B36" s="65" t="s">
        <v>373</v>
      </c>
      <c r="C36" s="66" t="s">
        <v>335</v>
      </c>
      <c r="D36" s="507" t="s">
        <v>335</v>
      </c>
    </row>
    <row r="37" spans="1:4" ht="15.75" x14ac:dyDescent="0.25">
      <c r="A37">
        <f t="shared" si="0"/>
        <v>36</v>
      </c>
      <c r="B37" s="65" t="s">
        <v>374</v>
      </c>
      <c r="C37" s="66" t="s">
        <v>360</v>
      </c>
      <c r="D37" s="507"/>
    </row>
    <row r="38" spans="1:4" ht="15.75" x14ac:dyDescent="0.25">
      <c r="A38">
        <f t="shared" si="0"/>
        <v>37</v>
      </c>
      <c r="B38" s="65" t="s">
        <v>375</v>
      </c>
      <c r="C38" s="66" t="s">
        <v>335</v>
      </c>
      <c r="D38" s="507" t="s">
        <v>344</v>
      </c>
    </row>
    <row r="39" spans="1:4" ht="15.75" x14ac:dyDescent="0.25">
      <c r="A39">
        <f t="shared" si="0"/>
        <v>38</v>
      </c>
      <c r="B39" s="65" t="s">
        <v>376</v>
      </c>
      <c r="C39" s="66" t="s">
        <v>335</v>
      </c>
      <c r="D39" s="507" t="s">
        <v>344</v>
      </c>
    </row>
    <row r="40" spans="1:4" ht="15.75" x14ac:dyDescent="0.25">
      <c r="A40">
        <f t="shared" si="0"/>
        <v>39</v>
      </c>
      <c r="B40" s="65" t="s">
        <v>377</v>
      </c>
      <c r="C40" s="66" t="s">
        <v>335</v>
      </c>
      <c r="D40" s="507" t="s">
        <v>344</v>
      </c>
    </row>
    <row r="41" spans="1:4" ht="15.75" x14ac:dyDescent="0.25">
      <c r="A41">
        <f t="shared" si="0"/>
        <v>40</v>
      </c>
      <c r="B41" s="65" t="s">
        <v>881</v>
      </c>
      <c r="C41" s="66" t="s">
        <v>335</v>
      </c>
      <c r="D41" s="507" t="s">
        <v>379</v>
      </c>
    </row>
    <row r="42" spans="1:4" ht="15.75" x14ac:dyDescent="0.25">
      <c r="A42">
        <f t="shared" si="0"/>
        <v>41</v>
      </c>
      <c r="B42" s="65" t="s">
        <v>882</v>
      </c>
      <c r="C42" s="66" t="s">
        <v>335</v>
      </c>
      <c r="D42" s="507" t="s">
        <v>379</v>
      </c>
    </row>
    <row r="43" spans="1:4" ht="15.75" x14ac:dyDescent="0.25">
      <c r="A43">
        <f t="shared" si="0"/>
        <v>42</v>
      </c>
      <c r="B43" s="65" t="s">
        <v>723</v>
      </c>
      <c r="C43" s="66" t="s">
        <v>335</v>
      </c>
      <c r="D43" s="507" t="s">
        <v>379</v>
      </c>
    </row>
    <row r="44" spans="1:4" ht="15.75" x14ac:dyDescent="0.25">
      <c r="A44">
        <f t="shared" si="0"/>
        <v>43</v>
      </c>
      <c r="B44" s="65" t="s">
        <v>883</v>
      </c>
      <c r="C44" s="66" t="s">
        <v>335</v>
      </c>
      <c r="D44" s="507" t="s">
        <v>379</v>
      </c>
    </row>
    <row r="45" spans="1:4" ht="15.75" x14ac:dyDescent="0.25">
      <c r="A45">
        <f t="shared" si="0"/>
        <v>44</v>
      </c>
      <c r="B45" s="65" t="s">
        <v>884</v>
      </c>
      <c r="C45" s="66" t="s">
        <v>335</v>
      </c>
      <c r="D45" s="507" t="s">
        <v>379</v>
      </c>
    </row>
    <row r="46" spans="1:4" ht="15.75" x14ac:dyDescent="0.25">
      <c r="A46">
        <f t="shared" si="0"/>
        <v>45</v>
      </c>
      <c r="B46" s="65" t="s">
        <v>885</v>
      </c>
      <c r="C46" s="66" t="s">
        <v>335</v>
      </c>
      <c r="D46" s="507" t="s">
        <v>379</v>
      </c>
    </row>
    <row r="47" spans="1:4" ht="15.75" x14ac:dyDescent="0.25">
      <c r="A47">
        <f t="shared" si="0"/>
        <v>46</v>
      </c>
      <c r="B47" s="65" t="s">
        <v>726</v>
      </c>
      <c r="C47" s="66" t="s">
        <v>335</v>
      </c>
      <c r="D47" s="507" t="s">
        <v>379</v>
      </c>
    </row>
    <row r="48" spans="1:4" ht="15.75" x14ac:dyDescent="0.25">
      <c r="A48">
        <f t="shared" si="0"/>
        <v>47</v>
      </c>
      <c r="B48" s="65" t="s">
        <v>727</v>
      </c>
      <c r="C48" s="66" t="s">
        <v>335</v>
      </c>
      <c r="D48" s="507" t="s">
        <v>379</v>
      </c>
    </row>
    <row r="49" spans="1:4" ht="15.75" x14ac:dyDescent="0.25">
      <c r="A49">
        <f t="shared" si="0"/>
        <v>48</v>
      </c>
      <c r="B49" s="65" t="s">
        <v>378</v>
      </c>
      <c r="C49" s="66" t="s">
        <v>335</v>
      </c>
      <c r="D49" s="507" t="s">
        <v>379</v>
      </c>
    </row>
    <row r="50" spans="1:4" ht="15.75" x14ac:dyDescent="0.25">
      <c r="A50">
        <f t="shared" si="0"/>
        <v>49</v>
      </c>
      <c r="B50" s="65" t="s">
        <v>380</v>
      </c>
      <c r="C50" s="66" t="s">
        <v>335</v>
      </c>
      <c r="D50" s="507"/>
    </row>
    <row r="51" spans="1:4" ht="15.75" x14ac:dyDescent="0.25">
      <c r="A51">
        <f t="shared" si="0"/>
        <v>50</v>
      </c>
      <c r="B51" s="65" t="s">
        <v>381</v>
      </c>
      <c r="C51" s="66" t="s">
        <v>335</v>
      </c>
      <c r="D51" s="507"/>
    </row>
    <row r="52" spans="1:4" ht="15.75" x14ac:dyDescent="0.25">
      <c r="A52">
        <f t="shared" si="0"/>
        <v>51</v>
      </c>
      <c r="B52" s="65" t="s">
        <v>382</v>
      </c>
      <c r="C52" s="66" t="s">
        <v>335</v>
      </c>
      <c r="D52" s="507" t="s">
        <v>344</v>
      </c>
    </row>
    <row r="53" spans="1:4" ht="15.75" x14ac:dyDescent="0.25">
      <c r="A53">
        <f t="shared" si="0"/>
        <v>52</v>
      </c>
      <c r="B53" s="65" t="s">
        <v>383</v>
      </c>
      <c r="C53" s="66" t="s">
        <v>360</v>
      </c>
      <c r="D53" s="507" t="s">
        <v>384</v>
      </c>
    </row>
    <row r="54" spans="1:4" ht="15.75" x14ac:dyDescent="0.25">
      <c r="A54">
        <f t="shared" si="0"/>
        <v>53</v>
      </c>
      <c r="B54" s="65" t="s">
        <v>385</v>
      </c>
      <c r="C54" s="66" t="s">
        <v>335</v>
      </c>
      <c r="D54" s="507" t="s">
        <v>335</v>
      </c>
    </row>
    <row r="55" spans="1:4" ht="15.75" x14ac:dyDescent="0.25">
      <c r="A55">
        <f t="shared" si="0"/>
        <v>54</v>
      </c>
      <c r="B55" s="65" t="s">
        <v>386</v>
      </c>
      <c r="C55" s="66" t="s">
        <v>15</v>
      </c>
      <c r="D55" s="507" t="s">
        <v>386</v>
      </c>
    </row>
    <row r="56" spans="1:4" ht="15.75" x14ac:dyDescent="0.25">
      <c r="A56">
        <f t="shared" si="0"/>
        <v>55</v>
      </c>
      <c r="B56" s="377" t="s">
        <v>388</v>
      </c>
      <c r="C56" s="66"/>
      <c r="D56" s="507"/>
    </row>
    <row r="57" spans="1:4" ht="15.75" x14ac:dyDescent="0.25">
      <c r="A57">
        <f t="shared" si="0"/>
        <v>56</v>
      </c>
      <c r="B57" s="65" t="s">
        <v>389</v>
      </c>
      <c r="C57" s="66" t="s">
        <v>390</v>
      </c>
      <c r="D57" s="507" t="s">
        <v>390</v>
      </c>
    </row>
    <row r="58" spans="1:4" ht="15.75" x14ac:dyDescent="0.25">
      <c r="A58">
        <f t="shared" si="0"/>
        <v>57</v>
      </c>
      <c r="B58" s="65" t="s">
        <v>391</v>
      </c>
      <c r="C58" s="66" t="s">
        <v>15</v>
      </c>
      <c r="D58" s="507" t="s">
        <v>392</v>
      </c>
    </row>
    <row r="59" spans="1:4" ht="15.75" x14ac:dyDescent="0.25">
      <c r="A59">
        <f t="shared" si="0"/>
        <v>58</v>
      </c>
      <c r="B59" s="65" t="s">
        <v>393</v>
      </c>
      <c r="C59" s="66" t="s">
        <v>15</v>
      </c>
      <c r="D59" s="507" t="s">
        <v>386</v>
      </c>
    </row>
    <row r="60" spans="1:4" ht="15.75" x14ac:dyDescent="0.25">
      <c r="A60">
        <f t="shared" si="0"/>
        <v>59</v>
      </c>
      <c r="B60" s="65" t="s">
        <v>394</v>
      </c>
      <c r="C60" s="66" t="s">
        <v>353</v>
      </c>
      <c r="D60" s="507" t="s">
        <v>395</v>
      </c>
    </row>
    <row r="61" spans="1:4" ht="15.75" x14ac:dyDescent="0.25">
      <c r="A61">
        <f t="shared" si="0"/>
        <v>60</v>
      </c>
      <c r="B61" s="65" t="s">
        <v>915</v>
      </c>
      <c r="C61" s="66" t="s">
        <v>360</v>
      </c>
      <c r="D61" s="507"/>
    </row>
    <row r="62" spans="1:4" ht="15.75" x14ac:dyDescent="0.25">
      <c r="A62">
        <f t="shared" si="0"/>
        <v>61</v>
      </c>
      <c r="B62" s="65" t="s">
        <v>1138</v>
      </c>
      <c r="C62" s="66" t="s">
        <v>360</v>
      </c>
      <c r="D62" s="507"/>
    </row>
    <row r="63" spans="1:4" ht="15.75" x14ac:dyDescent="0.25">
      <c r="A63">
        <f t="shared" si="0"/>
        <v>62</v>
      </c>
      <c r="B63" s="65" t="s">
        <v>1018</v>
      </c>
      <c r="C63" s="66" t="s">
        <v>360</v>
      </c>
      <c r="D63" s="507"/>
    </row>
    <row r="64" spans="1:4" ht="15.75" x14ac:dyDescent="0.25">
      <c r="A64">
        <f t="shared" si="0"/>
        <v>63</v>
      </c>
      <c r="B64" s="65" t="s">
        <v>396</v>
      </c>
      <c r="C64" s="66" t="s">
        <v>360</v>
      </c>
      <c r="D64" s="507" t="s">
        <v>396</v>
      </c>
    </row>
    <row r="65" spans="1:4" ht="15.75" x14ac:dyDescent="0.25">
      <c r="A65">
        <f t="shared" si="0"/>
        <v>64</v>
      </c>
      <c r="B65" s="65" t="s">
        <v>397</v>
      </c>
      <c r="C65" s="66" t="s">
        <v>353</v>
      </c>
      <c r="D65" s="507" t="s">
        <v>395</v>
      </c>
    </row>
    <row r="66" spans="1:4" ht="15.75" x14ac:dyDescent="0.25">
      <c r="A66">
        <f t="shared" si="0"/>
        <v>65</v>
      </c>
      <c r="B66" s="65" t="s">
        <v>398</v>
      </c>
      <c r="C66" s="66" t="s">
        <v>335</v>
      </c>
      <c r="D66" s="507"/>
    </row>
    <row r="67" spans="1:4" ht="15.75" x14ac:dyDescent="0.25">
      <c r="A67">
        <f t="shared" si="0"/>
        <v>66</v>
      </c>
      <c r="B67" s="65" t="s">
        <v>399</v>
      </c>
      <c r="C67" s="66" t="s">
        <v>335</v>
      </c>
      <c r="D67" s="507"/>
    </row>
    <row r="68" spans="1:4" ht="15.75" x14ac:dyDescent="0.25">
      <c r="A68">
        <f t="shared" si="0"/>
        <v>67</v>
      </c>
      <c r="B68" s="65" t="s">
        <v>914</v>
      </c>
      <c r="C68" s="66" t="s">
        <v>353</v>
      </c>
      <c r="D68" s="507"/>
    </row>
    <row r="69" spans="1:4" ht="15.75" x14ac:dyDescent="0.25">
      <c r="A69">
        <f t="shared" si="0"/>
        <v>68</v>
      </c>
      <c r="B69" s="65" t="s">
        <v>400</v>
      </c>
      <c r="C69" s="66" t="s">
        <v>349</v>
      </c>
      <c r="D69" s="507" t="s">
        <v>401</v>
      </c>
    </row>
    <row r="70" spans="1:4" ht="15.75" x14ac:dyDescent="0.25">
      <c r="A70">
        <f t="shared" si="0"/>
        <v>69</v>
      </c>
      <c r="B70" s="65" t="s">
        <v>402</v>
      </c>
      <c r="C70" s="66" t="s">
        <v>349</v>
      </c>
      <c r="D70" s="507" t="s">
        <v>403</v>
      </c>
    </row>
    <row r="71" spans="1:4" ht="15.75" x14ac:dyDescent="0.25">
      <c r="A71">
        <f t="shared" si="0"/>
        <v>70</v>
      </c>
      <c r="B71" s="65" t="s">
        <v>913</v>
      </c>
      <c r="C71" s="66" t="s">
        <v>349</v>
      </c>
      <c r="D71" s="507"/>
    </row>
    <row r="72" spans="1:4" ht="15.75" x14ac:dyDescent="0.25">
      <c r="A72">
        <f t="shared" si="0"/>
        <v>71</v>
      </c>
      <c r="B72" s="65" t="s">
        <v>404</v>
      </c>
      <c r="C72" s="66" t="s">
        <v>349</v>
      </c>
      <c r="D72" s="507" t="s">
        <v>405</v>
      </c>
    </row>
    <row r="73" spans="1:4" ht="15.75" x14ac:dyDescent="0.25">
      <c r="A73">
        <f t="shared" si="0"/>
        <v>72</v>
      </c>
      <c r="B73" s="65" t="s">
        <v>1021</v>
      </c>
      <c r="C73" s="66" t="s">
        <v>335</v>
      </c>
      <c r="D73" s="507"/>
    </row>
    <row r="74" spans="1:4" ht="15.75" x14ac:dyDescent="0.25">
      <c r="A74">
        <f t="shared" si="0"/>
        <v>73</v>
      </c>
      <c r="B74" s="65" t="s">
        <v>406</v>
      </c>
      <c r="C74" s="66" t="s">
        <v>335</v>
      </c>
      <c r="D74" s="507"/>
    </row>
    <row r="75" spans="1:4" ht="15.75" x14ac:dyDescent="0.25">
      <c r="A75">
        <f t="shared" si="0"/>
        <v>74</v>
      </c>
      <c r="B75" s="65" t="s">
        <v>0</v>
      </c>
      <c r="C75" s="66" t="s">
        <v>335</v>
      </c>
      <c r="D75" s="507"/>
    </row>
    <row r="76" spans="1:4" ht="15.75" x14ac:dyDescent="0.25">
      <c r="A76">
        <f t="shared" ref="A76:A92" si="1">A75+1</f>
        <v>75</v>
      </c>
      <c r="B76" s="65" t="s">
        <v>407</v>
      </c>
      <c r="C76" s="66" t="s">
        <v>335</v>
      </c>
      <c r="D76" s="507"/>
    </row>
    <row r="77" spans="1:4" ht="15.75" x14ac:dyDescent="0.25">
      <c r="A77">
        <f t="shared" si="1"/>
        <v>76</v>
      </c>
      <c r="B77" s="65" t="s">
        <v>408</v>
      </c>
      <c r="C77" s="66" t="s">
        <v>335</v>
      </c>
      <c r="D77" s="507"/>
    </row>
    <row r="78" spans="1:4" ht="15.75" x14ac:dyDescent="0.25">
      <c r="A78">
        <f t="shared" si="1"/>
        <v>77</v>
      </c>
      <c r="B78" s="65" t="s">
        <v>409</v>
      </c>
      <c r="C78" s="66" t="s">
        <v>335</v>
      </c>
      <c r="D78" s="507"/>
    </row>
    <row r="79" spans="1:4" ht="15.75" x14ac:dyDescent="0.25">
      <c r="A79">
        <f t="shared" si="1"/>
        <v>78</v>
      </c>
      <c r="B79" s="65" t="s">
        <v>410</v>
      </c>
      <c r="C79" s="66" t="s">
        <v>335</v>
      </c>
      <c r="D79" s="507"/>
    </row>
    <row r="80" spans="1:4" ht="15.75" x14ac:dyDescent="0.25">
      <c r="A80">
        <f t="shared" si="1"/>
        <v>79</v>
      </c>
      <c r="B80" s="65" t="s">
        <v>411</v>
      </c>
      <c r="C80" s="66" t="s">
        <v>335</v>
      </c>
      <c r="D80" s="507"/>
    </row>
    <row r="81" spans="1:4" ht="15.75" x14ac:dyDescent="0.25">
      <c r="A81">
        <f t="shared" si="1"/>
        <v>80</v>
      </c>
      <c r="B81" s="65" t="s">
        <v>412</v>
      </c>
      <c r="C81" s="66" t="s">
        <v>335</v>
      </c>
      <c r="D81" s="507"/>
    </row>
    <row r="82" spans="1:4" ht="15.75" x14ac:dyDescent="0.25">
      <c r="A82">
        <f t="shared" si="1"/>
        <v>81</v>
      </c>
      <c r="B82" s="65" t="s">
        <v>413</v>
      </c>
      <c r="C82" s="66" t="s">
        <v>335</v>
      </c>
      <c r="D82" s="507"/>
    </row>
    <row r="83" spans="1:4" ht="15.75" x14ac:dyDescent="0.25">
      <c r="A83">
        <f t="shared" si="1"/>
        <v>82</v>
      </c>
      <c r="B83" s="65" t="s">
        <v>1</v>
      </c>
      <c r="C83" s="66" t="s">
        <v>335</v>
      </c>
      <c r="D83" s="507"/>
    </row>
    <row r="84" spans="1:4" ht="15.75" x14ac:dyDescent="0.25">
      <c r="A84">
        <f t="shared" si="1"/>
        <v>83</v>
      </c>
      <c r="B84" s="65" t="s">
        <v>414</v>
      </c>
      <c r="C84" s="66" t="s">
        <v>335</v>
      </c>
      <c r="D84" s="507"/>
    </row>
    <row r="85" spans="1:4" ht="15.75" x14ac:dyDescent="0.25">
      <c r="A85">
        <f t="shared" si="1"/>
        <v>84</v>
      </c>
      <c r="B85" s="65" t="s">
        <v>415</v>
      </c>
      <c r="C85" s="66" t="s">
        <v>335</v>
      </c>
      <c r="D85" s="507"/>
    </row>
    <row r="86" spans="1:4" ht="15.75" x14ac:dyDescent="0.25">
      <c r="A86">
        <f t="shared" si="1"/>
        <v>85</v>
      </c>
      <c r="B86" s="65" t="s">
        <v>416</v>
      </c>
      <c r="C86" s="66" t="s">
        <v>335</v>
      </c>
      <c r="D86" s="507"/>
    </row>
    <row r="87" spans="1:4" ht="15.75" x14ac:dyDescent="0.25">
      <c r="A87">
        <f t="shared" si="1"/>
        <v>86</v>
      </c>
      <c r="B87" s="65" t="s">
        <v>417</v>
      </c>
      <c r="C87" s="66" t="s">
        <v>335</v>
      </c>
      <c r="D87" s="507"/>
    </row>
    <row r="88" spans="1:4" ht="15.75" x14ac:dyDescent="0.25">
      <c r="A88">
        <f t="shared" si="1"/>
        <v>87</v>
      </c>
      <c r="B88" s="65" t="s">
        <v>418</v>
      </c>
      <c r="C88" s="66" t="s">
        <v>335</v>
      </c>
      <c r="D88" s="507"/>
    </row>
    <row r="89" spans="1:4" ht="15.75" x14ac:dyDescent="0.25">
      <c r="A89">
        <f t="shared" si="1"/>
        <v>88</v>
      </c>
      <c r="B89" s="65" t="s">
        <v>1019</v>
      </c>
      <c r="C89" s="66" t="s">
        <v>335</v>
      </c>
      <c r="D89" s="507"/>
    </row>
    <row r="90" spans="1:4" ht="15.75" x14ac:dyDescent="0.25">
      <c r="A90">
        <f t="shared" si="1"/>
        <v>89</v>
      </c>
      <c r="B90" s="65" t="s">
        <v>419</v>
      </c>
      <c r="C90" s="66" t="s">
        <v>335</v>
      </c>
      <c r="D90" s="507"/>
    </row>
    <row r="91" spans="1:4" ht="15.75" x14ac:dyDescent="0.25">
      <c r="A91">
        <f t="shared" si="1"/>
        <v>90</v>
      </c>
      <c r="B91" s="65" t="s">
        <v>420</v>
      </c>
      <c r="C91" s="66" t="s">
        <v>335</v>
      </c>
      <c r="D91" s="507"/>
    </row>
    <row r="92" spans="1:4" ht="15.75" x14ac:dyDescent="0.25">
      <c r="A92">
        <f t="shared" si="1"/>
        <v>91</v>
      </c>
      <c r="B92" s="68" t="s">
        <v>421</v>
      </c>
      <c r="C92" s="69" t="s">
        <v>335</v>
      </c>
      <c r="D92" s="508"/>
    </row>
    <row r="94" spans="1:4" ht="18.75" x14ac:dyDescent="0.3">
      <c r="B94" s="64" t="s">
        <v>332</v>
      </c>
      <c r="C94" s="64" t="s">
        <v>333</v>
      </c>
    </row>
    <row r="95" spans="1:4" x14ac:dyDescent="0.25">
      <c r="B95" t="s">
        <v>335</v>
      </c>
      <c r="C95" t="s">
        <v>335</v>
      </c>
    </row>
    <row r="96" spans="1:4" x14ac:dyDescent="0.25">
      <c r="B96" t="s">
        <v>349</v>
      </c>
      <c r="C96" t="s">
        <v>422</v>
      </c>
    </row>
    <row r="97" spans="2:3" x14ac:dyDescent="0.25">
      <c r="B97" t="s">
        <v>349</v>
      </c>
      <c r="C97" t="s">
        <v>423</v>
      </c>
    </row>
    <row r="98" spans="2:3" x14ac:dyDescent="0.25">
      <c r="B98" t="s">
        <v>349</v>
      </c>
      <c r="C98" t="s">
        <v>351</v>
      </c>
    </row>
    <row r="99" spans="2:3" x14ac:dyDescent="0.25">
      <c r="B99" t="s">
        <v>349</v>
      </c>
      <c r="C99" t="s">
        <v>401</v>
      </c>
    </row>
    <row r="100" spans="2:3" x14ac:dyDescent="0.25">
      <c r="B100" t="s">
        <v>349</v>
      </c>
      <c r="C100" t="s">
        <v>403</v>
      </c>
    </row>
    <row r="101" spans="2:3" x14ac:dyDescent="0.25">
      <c r="B101" t="s">
        <v>349</v>
      </c>
      <c r="C101" t="s">
        <v>405</v>
      </c>
    </row>
    <row r="102" spans="2:3" x14ac:dyDescent="0.25">
      <c r="B102" t="s">
        <v>349</v>
      </c>
      <c r="C102" t="s">
        <v>424</v>
      </c>
    </row>
    <row r="103" spans="2:3" x14ac:dyDescent="0.25">
      <c r="B103" t="s">
        <v>349</v>
      </c>
      <c r="C103" t="s">
        <v>425</v>
      </c>
    </row>
    <row r="104" spans="2:3" x14ac:dyDescent="0.25">
      <c r="B104" t="s">
        <v>360</v>
      </c>
      <c r="C104" t="s">
        <v>396</v>
      </c>
    </row>
    <row r="105" spans="2:3" x14ac:dyDescent="0.25">
      <c r="B105" t="s">
        <v>360</v>
      </c>
      <c r="C105" t="s">
        <v>361</v>
      </c>
    </row>
    <row r="106" spans="2:3" x14ac:dyDescent="0.25">
      <c r="B106" t="s">
        <v>360</v>
      </c>
      <c r="C106" t="s">
        <v>426</v>
      </c>
    </row>
    <row r="107" spans="2:3" x14ac:dyDescent="0.25">
      <c r="B107" t="s">
        <v>360</v>
      </c>
      <c r="C107" t="s">
        <v>384</v>
      </c>
    </row>
    <row r="108" spans="2:3" x14ac:dyDescent="0.25">
      <c r="B108" t="s">
        <v>360</v>
      </c>
      <c r="C108" t="s">
        <v>427</v>
      </c>
    </row>
    <row r="109" spans="2:3" x14ac:dyDescent="0.25">
      <c r="B109" t="s">
        <v>360</v>
      </c>
      <c r="C109" t="s">
        <v>344</v>
      </c>
    </row>
    <row r="110" spans="2:3" x14ac:dyDescent="0.25">
      <c r="B110" t="s">
        <v>360</v>
      </c>
      <c r="C110" t="s">
        <v>379</v>
      </c>
    </row>
    <row r="111" spans="2:3" x14ac:dyDescent="0.25">
      <c r="B111" t="s">
        <v>353</v>
      </c>
      <c r="C111" t="s">
        <v>336</v>
      </c>
    </row>
    <row r="112" spans="2:3" x14ac:dyDescent="0.25">
      <c r="B112" t="s">
        <v>353</v>
      </c>
      <c r="C112" t="s">
        <v>395</v>
      </c>
    </row>
    <row r="113" spans="2:3" x14ac:dyDescent="0.25">
      <c r="B113" t="s">
        <v>353</v>
      </c>
      <c r="C113" t="s">
        <v>428</v>
      </c>
    </row>
    <row r="114" spans="2:3" x14ac:dyDescent="0.25">
      <c r="B114" t="s">
        <v>15</v>
      </c>
      <c r="C114" t="s">
        <v>351</v>
      </c>
    </row>
    <row r="115" spans="2:3" x14ac:dyDescent="0.25">
      <c r="B115" t="s">
        <v>15</v>
      </c>
      <c r="C115" t="s">
        <v>429</v>
      </c>
    </row>
    <row r="116" spans="2:3" x14ac:dyDescent="0.25">
      <c r="B116" t="s">
        <v>15</v>
      </c>
      <c r="C116" t="s">
        <v>392</v>
      </c>
    </row>
    <row r="117" spans="2:3" x14ac:dyDescent="0.25">
      <c r="B117" t="s">
        <v>15</v>
      </c>
      <c r="C117" t="s">
        <v>386</v>
      </c>
    </row>
    <row r="118" spans="2:3" x14ac:dyDescent="0.25">
      <c r="B118" t="s">
        <v>390</v>
      </c>
      <c r="C118" t="s">
        <v>390</v>
      </c>
    </row>
  </sheetData>
  <dataValidations count="2">
    <dataValidation type="list" allowBlank="1" showInputMessage="1" showErrorMessage="1" sqref="C8:C9 C2:C6 C37:C60 C64:C67 C69:C70 C72 C32:C34 C11:C30 C74:C92" xr:uid="{A64CCF8D-D19E-48E6-9C04-47AE2C588EFC}">
      <formula1>"Ampla, Novos Negócios, Incorporação, Construção, Vendas, Despesas financeiras"</formula1>
    </dataValidation>
    <dataValidation type="list" allowBlank="1" showInputMessage="1" showErrorMessage="1" sqref="C7 D72 D74:D91 D64:D67 C35:C36 C10 D69:D70 D32:D60 D2:D30" xr:uid="{FEC68D70-2136-4286-A631-C56DBBBC9F06}">
      <formula1>$C$95:$C$118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7E7F-CCCB-4834-9CBE-53A8FF32BB34}">
  <dimension ref="A1:AK39"/>
  <sheetViews>
    <sheetView showGridLines="0" topLeftCell="A27" workbookViewId="0">
      <selection activeCell="A40" sqref="A40"/>
    </sheetView>
  </sheetViews>
  <sheetFormatPr defaultRowHeight="15" outlineLevelCol="1" x14ac:dyDescent="0.25"/>
  <cols>
    <col min="1" max="1" width="22.7109375" bestFit="1" customWidth="1"/>
    <col min="2" max="2" width="20.28515625" customWidth="1"/>
    <col min="3" max="3" width="15.7109375" customWidth="1"/>
    <col min="4" max="4" width="18.5703125" bestFit="1" customWidth="1"/>
    <col min="5" max="5" width="20.28515625" bestFit="1" customWidth="1"/>
    <col min="6" max="6" width="13.85546875" bestFit="1" customWidth="1"/>
    <col min="7" max="7" width="15.140625" bestFit="1" customWidth="1"/>
    <col min="8" max="8" width="18.5703125" customWidth="1" outlineLevel="1"/>
    <col min="9" max="9" width="17.140625" customWidth="1" outlineLevel="1"/>
    <col min="10" max="10" width="15.140625" customWidth="1" outlineLevel="1"/>
    <col min="11" max="11" width="30.85546875" customWidth="1" outlineLevel="1"/>
    <col min="12" max="12" width="16.85546875" customWidth="1" outlineLevel="1"/>
    <col min="13" max="13" width="45.42578125" customWidth="1" outlineLevel="1"/>
    <col min="14" max="37" width="14.7109375" customWidth="1"/>
  </cols>
  <sheetData>
    <row r="1" spans="1:37" ht="18.75" x14ac:dyDescent="0.3">
      <c r="A1" s="130" t="s">
        <v>431</v>
      </c>
      <c r="B1" s="64"/>
      <c r="N1" s="131">
        <f>SUBTOTAL(9,fin[jan/25])</f>
        <v>812640</v>
      </c>
      <c r="O1" s="131">
        <f>SUBTOTAL(9,fin[fev/25])</f>
        <v>0</v>
      </c>
      <c r="P1" s="131">
        <f>SUBTOTAL(9,fin[mar/25])</f>
        <v>0</v>
      </c>
      <c r="Q1" s="131">
        <f>SUBTOTAL(9,fin[abr/25])</f>
        <v>2911033.91</v>
      </c>
      <c r="R1" s="131">
        <f>SUBTOTAL(9,fin[mai/25])</f>
        <v>5935913.0499999998</v>
      </c>
      <c r="S1" s="131">
        <f>SUBTOTAL(9,fin[jun/25])</f>
        <v>2404000</v>
      </c>
      <c r="T1" s="131">
        <f>SUBTOTAL(9,fin[jul/25])</f>
        <v>545906</v>
      </c>
      <c r="U1" s="131">
        <f>SUBTOTAL(9,fin[ago/25])</f>
        <v>12012000</v>
      </c>
      <c r="V1" s="131">
        <f>SUBTOTAL(9,fin[set/25])</f>
        <v>500000</v>
      </c>
      <c r="W1" s="131">
        <f>SUBTOTAL(9,fin[out/25])</f>
        <v>5750378.79</v>
      </c>
      <c r="X1" s="131">
        <f>SUBTOTAL(9,fin[nov/25])</f>
        <v>0</v>
      </c>
      <c r="Y1" s="131">
        <f>SUBTOTAL(9,fin[dez/25])</f>
        <v>0</v>
      </c>
      <c r="Z1" s="131">
        <f>SUBTOTAL(9,fin[dez/25])</f>
        <v>0</v>
      </c>
      <c r="AA1" s="131">
        <f>SUBTOTAL(9,fin[dez/25])</f>
        <v>0</v>
      </c>
      <c r="AB1" s="131">
        <f>SUBTOTAL(9,fin[dez/25])</f>
        <v>0</v>
      </c>
      <c r="AC1" s="131">
        <f>SUBTOTAL(9,fin[dez/25])</f>
        <v>0</v>
      </c>
      <c r="AD1" s="131">
        <f>SUBTOTAL(9,fin[dez/25])</f>
        <v>0</v>
      </c>
      <c r="AE1" s="131">
        <f>SUBTOTAL(9,fin[dez/25])</f>
        <v>0</v>
      </c>
      <c r="AF1" s="131">
        <f>SUBTOTAL(9,fin[dez/25])</f>
        <v>0</v>
      </c>
      <c r="AG1" s="131">
        <f>SUBTOTAL(9,fin[dez/25])</f>
        <v>0</v>
      </c>
      <c r="AH1" s="131">
        <f>SUBTOTAL(9,fin[dez/25])</f>
        <v>0</v>
      </c>
      <c r="AI1" s="131">
        <f>SUBTOTAL(9,fin[dez/25])</f>
        <v>0</v>
      </c>
      <c r="AJ1" s="131">
        <f>SUBTOTAL(9,fin[dez/25])</f>
        <v>0</v>
      </c>
      <c r="AK1" s="131">
        <f>SUBTOTAL(9,fin[dez/25])</f>
        <v>0</v>
      </c>
    </row>
    <row r="2" spans="1:37" x14ac:dyDescent="0.25">
      <c r="A2" s="13" t="s">
        <v>432</v>
      </c>
      <c r="B2" s="13" t="s">
        <v>433</v>
      </c>
      <c r="C2" s="132" t="s">
        <v>434</v>
      </c>
      <c r="D2" s="132" t="s">
        <v>435</v>
      </c>
      <c r="E2" s="132" t="s">
        <v>436</v>
      </c>
      <c r="F2" s="132" t="s">
        <v>437</v>
      </c>
      <c r="G2" s="132" t="s">
        <v>438</v>
      </c>
      <c r="H2" s="132" t="s">
        <v>439</v>
      </c>
      <c r="I2" s="132" t="s">
        <v>440</v>
      </c>
      <c r="J2" s="132" t="s">
        <v>441</v>
      </c>
      <c r="K2" s="132" t="s">
        <v>442</v>
      </c>
      <c r="L2" s="132" t="s">
        <v>48</v>
      </c>
      <c r="M2" s="132" t="s">
        <v>443</v>
      </c>
      <c r="N2" s="133" t="s">
        <v>444</v>
      </c>
      <c r="O2" s="133" t="s">
        <v>445</v>
      </c>
      <c r="P2" s="133" t="s">
        <v>446</v>
      </c>
      <c r="Q2" s="133" t="s">
        <v>447</v>
      </c>
      <c r="R2" s="133" t="s">
        <v>448</v>
      </c>
      <c r="S2" s="133" t="s">
        <v>449</v>
      </c>
      <c r="T2" s="133" t="s">
        <v>450</v>
      </c>
      <c r="U2" s="133" t="s">
        <v>451</v>
      </c>
      <c r="V2" s="133" t="s">
        <v>452</v>
      </c>
      <c r="W2" s="133" t="s">
        <v>453</v>
      </c>
      <c r="X2" s="133" t="s">
        <v>454</v>
      </c>
      <c r="Y2" s="133" t="s">
        <v>455</v>
      </c>
      <c r="Z2" s="133" t="s">
        <v>666</v>
      </c>
      <c r="AA2" s="133" t="s">
        <v>674</v>
      </c>
      <c r="AB2" s="133" t="s">
        <v>683</v>
      </c>
      <c r="AC2" s="133" t="s">
        <v>820</v>
      </c>
      <c r="AD2" s="133" t="s">
        <v>821</v>
      </c>
      <c r="AE2" s="133" t="s">
        <v>823</v>
      </c>
      <c r="AF2" s="133" t="s">
        <v>822</v>
      </c>
      <c r="AG2" s="133" t="s">
        <v>824</v>
      </c>
      <c r="AH2" s="133" t="s">
        <v>825</v>
      </c>
      <c r="AI2" s="133" t="s">
        <v>826</v>
      </c>
      <c r="AJ2" s="133" t="s">
        <v>827</v>
      </c>
      <c r="AK2" s="133" t="s">
        <v>828</v>
      </c>
    </row>
    <row r="3" spans="1:37" x14ac:dyDescent="0.25">
      <c r="A3" s="134" t="str">
        <f>fin[[#This Row],[Tomadora]]&amp;"-"&amp;fin[[#This Row],[Agente]]&amp;"-"&amp;LEFT(D3,LEN(D3)-3)</f>
        <v>AMPLA-Blue3-24500</v>
      </c>
      <c r="B3" s="134" t="s">
        <v>1119</v>
      </c>
      <c r="C3" s="135" t="s">
        <v>456</v>
      </c>
      <c r="D3" s="136">
        <v>24500000</v>
      </c>
      <c r="E3" s="137">
        <f>SUM(fin[[#This Row],[jan/25]:[dez/25]])</f>
        <v>10540291.84</v>
      </c>
      <c r="F3" s="138" t="s">
        <v>457</v>
      </c>
      <c r="G3" s="139">
        <v>45792</v>
      </c>
      <c r="H3" s="139"/>
      <c r="I3" s="140"/>
      <c r="J3" s="140">
        <v>15000000</v>
      </c>
      <c r="K3" s="141" t="s">
        <v>458</v>
      </c>
      <c r="L3" s="141" t="s">
        <v>459</v>
      </c>
      <c r="M3" s="142"/>
      <c r="N3" s="131"/>
      <c r="O3" s="131"/>
      <c r="P3" s="131"/>
      <c r="Q3" s="131"/>
      <c r="R3" s="131">
        <f>595760.36+840413.25+1749739.44</f>
        <v>3185913.05</v>
      </c>
      <c r="S3" s="131">
        <f>820000+784000</f>
        <v>1604000</v>
      </c>
      <c r="T3" s="131"/>
      <c r="U3" s="131"/>
      <c r="V3" s="131"/>
      <c r="W3" s="131">
        <f>1916792.93*3</f>
        <v>5750378.79</v>
      </c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</row>
    <row r="4" spans="1:37" x14ac:dyDescent="0.25">
      <c r="A4" s="134" t="str">
        <f>fin[[#This Row],[Tomadora]]&amp;"-"&amp;fin[[#This Row],[Agente]]&amp;"-"&amp;LEFT(D4,LEN(D4)-3)</f>
        <v>LUC-Eldorado -6000</v>
      </c>
      <c r="B4" s="134" t="s">
        <v>10</v>
      </c>
      <c r="C4" s="135" t="s">
        <v>460</v>
      </c>
      <c r="D4" s="140">
        <v>6000000</v>
      </c>
      <c r="E4" s="140">
        <f>SUM(fin[[#This Row],[jan/25]:[dez/25]])</f>
        <v>6000000</v>
      </c>
      <c r="F4" s="141" t="s">
        <v>461</v>
      </c>
      <c r="G4" s="139">
        <v>45881</v>
      </c>
      <c r="H4" s="139">
        <v>46611</v>
      </c>
      <c r="I4" s="143"/>
      <c r="J4" s="140">
        <v>6000000</v>
      </c>
      <c r="K4" s="141" t="s">
        <v>462</v>
      </c>
      <c r="L4" s="141" t="s">
        <v>463</v>
      </c>
      <c r="M4" s="142"/>
      <c r="N4" s="131"/>
      <c r="O4" s="131"/>
      <c r="P4" s="131"/>
      <c r="Q4" s="131"/>
      <c r="R4" s="131"/>
      <c r="S4" s="131"/>
      <c r="T4" s="131"/>
      <c r="U4" s="131">
        <v>6000000</v>
      </c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</row>
    <row r="5" spans="1:37" x14ac:dyDescent="0.25">
      <c r="A5" s="134" t="str">
        <f>fin[[#This Row],[Tomadora]]&amp;"-"&amp;fin[[#This Row],[Agente]]&amp;"-"&amp;LEFT(D5,LEN(D5)-3)</f>
        <v>SN4-Pedro Maria-5000</v>
      </c>
      <c r="B5" s="134" t="s">
        <v>13</v>
      </c>
      <c r="C5" s="135" t="s">
        <v>464</v>
      </c>
      <c r="D5" s="137">
        <v>5000000</v>
      </c>
      <c r="E5" s="137">
        <f>SUM(fin[[#This Row],[jan/25]:[dez/25]])</f>
        <v>5000000</v>
      </c>
      <c r="F5" s="138">
        <v>0.746</v>
      </c>
      <c r="G5" s="139">
        <v>45884</v>
      </c>
      <c r="H5" s="139">
        <v>46675</v>
      </c>
      <c r="I5" s="131"/>
      <c r="J5" s="131"/>
      <c r="K5" s="141"/>
      <c r="L5" s="141" t="s">
        <v>463</v>
      </c>
      <c r="M5" s="142"/>
      <c r="N5" s="131"/>
      <c r="O5" s="131"/>
      <c r="P5" s="131"/>
      <c r="Q5" s="131"/>
      <c r="R5" s="131"/>
      <c r="S5" s="131"/>
      <c r="T5" s="131"/>
      <c r="U5" s="131">
        <v>5000000</v>
      </c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</row>
    <row r="6" spans="1:37" x14ac:dyDescent="0.25">
      <c r="A6" s="134" t="str">
        <f>fin[[#This Row],[Tomadora]]&amp;"-"&amp;fin[[#This Row],[Agente]]&amp;"-"&amp;LEFT(D6,LEN(D6)-3)</f>
        <v>SAU-Cy Capital-22000</v>
      </c>
      <c r="B6" s="134" t="s">
        <v>465</v>
      </c>
      <c r="C6" s="135" t="s">
        <v>466</v>
      </c>
      <c r="D6" s="137">
        <v>22000000</v>
      </c>
      <c r="E6" s="137">
        <f>SUM(fin[[#This Row],[jan/25]:[dez/25]])</f>
        <v>2911033.91</v>
      </c>
      <c r="F6" s="138" t="s">
        <v>467</v>
      </c>
      <c r="G6" s="139">
        <v>45762</v>
      </c>
      <c r="H6" s="141"/>
      <c r="I6" s="131"/>
      <c r="J6" s="140">
        <v>5022000</v>
      </c>
      <c r="K6" s="141" t="s">
        <v>468</v>
      </c>
      <c r="L6" s="141" t="s">
        <v>469</v>
      </c>
      <c r="M6" s="142"/>
      <c r="N6" s="131"/>
      <c r="O6" s="131"/>
      <c r="P6" s="131"/>
      <c r="Q6" s="131">
        <v>2911033.91</v>
      </c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</row>
    <row r="7" spans="1:37" x14ac:dyDescent="0.25">
      <c r="A7" s="134" t="str">
        <f>fin[[#This Row],[Tomadora]]&amp;"-"&amp;fin[[#This Row],[Agente]]&amp;"-"&amp;LEFT(D7,LEN(D7)-3)</f>
        <v>AMPLA-Safra-2750</v>
      </c>
      <c r="B7" s="134" t="s">
        <v>1119</v>
      </c>
      <c r="C7" s="135" t="s">
        <v>470</v>
      </c>
      <c r="D7" s="140">
        <v>2750000</v>
      </c>
      <c r="E7" s="140">
        <f>SUM(fin[[#This Row],[jan/25]:[dez/25]])</f>
        <v>2750000</v>
      </c>
      <c r="F7" s="138" t="s">
        <v>471</v>
      </c>
      <c r="G7" s="139">
        <v>45783</v>
      </c>
      <c r="H7" s="139">
        <v>47399</v>
      </c>
      <c r="I7" s="140">
        <v>93395.933700162612</v>
      </c>
      <c r="J7" s="140">
        <v>4321258</v>
      </c>
      <c r="K7" s="141" t="s">
        <v>472</v>
      </c>
      <c r="L7" s="141"/>
      <c r="M7" s="144" t="s">
        <v>473</v>
      </c>
      <c r="N7" s="131"/>
      <c r="O7" s="131"/>
      <c r="P7" s="131"/>
      <c r="Q7" s="131"/>
      <c r="R7" s="131">
        <v>2750000</v>
      </c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</row>
    <row r="8" spans="1:37" x14ac:dyDescent="0.25">
      <c r="A8" s="134" t="str">
        <f>fin[[#This Row],[Tomadora]]&amp;"-"&amp;fin[[#This Row],[Agente]]&amp;"-"&amp;LEFT(D8,LEN(D8)-3)</f>
        <v>AMPLA-CEF-4472</v>
      </c>
      <c r="B8" s="134" t="s">
        <v>1119</v>
      </c>
      <c r="C8" s="135" t="s">
        <v>474</v>
      </c>
      <c r="D8" s="140">
        <v>4472640</v>
      </c>
      <c r="E8" s="140">
        <f>SUM(fin[[#This Row],[jan/25]:[dez/25]])</f>
        <v>812640</v>
      </c>
      <c r="F8" s="138">
        <v>0.216</v>
      </c>
      <c r="G8" s="139">
        <v>45687</v>
      </c>
      <c r="H8" s="139">
        <v>47148</v>
      </c>
      <c r="I8" s="140">
        <v>141823.14000000001</v>
      </c>
      <c r="J8" s="140">
        <v>4321258</v>
      </c>
      <c r="K8" s="145"/>
      <c r="L8" s="141"/>
      <c r="M8" s="146" t="s">
        <v>475</v>
      </c>
      <c r="N8" s="147">
        <v>812640</v>
      </c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spans="1:37" x14ac:dyDescent="0.25">
      <c r="A9" s="134" t="str">
        <f>fin[[#This Row],[Tomadora]]&amp;"-"&amp;fin[[#This Row],[Agente]]&amp;"-"&amp;LEFT(D9,LEN(D9)-3)</f>
        <v>LUC-URBEME-612</v>
      </c>
      <c r="B9" s="134" t="s">
        <v>10</v>
      </c>
      <c r="C9" s="135" t="s">
        <v>476</v>
      </c>
      <c r="D9" s="136">
        <v>612000</v>
      </c>
      <c r="E9" s="137">
        <f>SUM(fin[[#This Row],[jan/25]:[dez/25]])</f>
        <v>612000</v>
      </c>
      <c r="F9" t="s">
        <v>477</v>
      </c>
      <c r="G9" s="139">
        <v>45870</v>
      </c>
      <c r="H9" s="139">
        <v>46600</v>
      </c>
      <c r="I9" s="140">
        <v>14734</v>
      </c>
      <c r="J9" s="136">
        <v>612000</v>
      </c>
      <c r="K9" s="141" t="s">
        <v>472</v>
      </c>
      <c r="L9" s="141" t="s">
        <v>478</v>
      </c>
      <c r="M9" s="142"/>
      <c r="N9" s="131"/>
      <c r="O9" s="131"/>
      <c r="P9" s="131"/>
      <c r="Q9" s="131"/>
      <c r="R9" s="131"/>
      <c r="S9" s="131"/>
      <c r="T9" s="131"/>
      <c r="U9" s="131">
        <v>612000</v>
      </c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</row>
    <row r="10" spans="1:37" x14ac:dyDescent="0.25">
      <c r="A10" s="148" t="str">
        <f>fin[[#This Row],[Tomadora]]&amp;"-"&amp;fin[[#This Row],[Agente]]&amp;"-"&amp;LEFT(D10,LEN(D10)-3)</f>
        <v>ENC-CEF-545</v>
      </c>
      <c r="B10" s="148" t="s">
        <v>479</v>
      </c>
      <c r="C10" s="135" t="s">
        <v>474</v>
      </c>
      <c r="D10" s="136">
        <v>545906</v>
      </c>
      <c r="E10" s="137">
        <f>SUM(fin[[#This Row],[jan/25]:[dez/25]])</f>
        <v>545906</v>
      </c>
      <c r="F10" s="138">
        <v>0.34389999999999998</v>
      </c>
      <c r="G10" s="139">
        <v>45862</v>
      </c>
      <c r="H10" s="139">
        <v>47323</v>
      </c>
      <c r="I10" s="137">
        <v>17116.47</v>
      </c>
      <c r="J10" s="136">
        <v>548528</v>
      </c>
      <c r="K10" s="141"/>
      <c r="L10" s="141" t="s">
        <v>480</v>
      </c>
      <c r="M10" s="142"/>
      <c r="N10" s="131"/>
      <c r="O10" s="131"/>
      <c r="P10" s="131"/>
      <c r="Q10" s="131"/>
      <c r="R10" s="131"/>
      <c r="S10" s="131"/>
      <c r="T10" s="131">
        <v>545906</v>
      </c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</row>
    <row r="11" spans="1:37" x14ac:dyDescent="0.25">
      <c r="A11" s="148" t="str">
        <f>fin[[#This Row],[Tomadora]]&amp;"-"&amp;fin[[#This Row],[Agente]]&amp;"-"&amp;LEFT(D11,LEN(D11)-3)</f>
        <v>ENC-CEF-500</v>
      </c>
      <c r="B11" s="148" t="s">
        <v>479</v>
      </c>
      <c r="C11" s="135" t="s">
        <v>474</v>
      </c>
      <c r="D11" s="136">
        <v>500000</v>
      </c>
      <c r="E11" s="137">
        <f>SUM(fin[[#This Row],[jan/25]:[dez/25]])</f>
        <v>500000</v>
      </c>
      <c r="F11" s="138">
        <v>0.2908</v>
      </c>
      <c r="G11" s="139">
        <v>45834</v>
      </c>
      <c r="H11" s="139">
        <v>47629</v>
      </c>
      <c r="I11" s="137">
        <v>11000</v>
      </c>
      <c r="J11" s="136">
        <v>507953</v>
      </c>
      <c r="K11" s="141"/>
      <c r="L11" s="141" t="s">
        <v>480</v>
      </c>
      <c r="M11" s="142"/>
      <c r="N11" s="131"/>
      <c r="O11" s="131"/>
      <c r="P11" s="131"/>
      <c r="Q11" s="131"/>
      <c r="R11" s="131"/>
      <c r="S11" s="131">
        <v>500000</v>
      </c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</row>
    <row r="12" spans="1:37" x14ac:dyDescent="0.25">
      <c r="A12" s="134" t="str">
        <f>fin[[#This Row],[Tomadora]]&amp;"-"&amp;fin[[#This Row],[Agente]]&amp;"-"&amp;LEFT(D12,LEN(D12)-3)</f>
        <v>INC-CEF-500</v>
      </c>
      <c r="B12" s="134" t="s">
        <v>481</v>
      </c>
      <c r="C12" s="135" t="s">
        <v>474</v>
      </c>
      <c r="D12" s="137">
        <v>500000</v>
      </c>
      <c r="E12" s="137">
        <f>SUM(fin[[#This Row],[jan/25]:[dez/25]])</f>
        <v>500000</v>
      </c>
      <c r="F12" s="149">
        <v>0.252</v>
      </c>
      <c r="G12" s="139">
        <v>45915</v>
      </c>
      <c r="H12" s="139">
        <v>47741</v>
      </c>
      <c r="I12" s="137">
        <v>15938.2</v>
      </c>
      <c r="J12" s="137">
        <v>500000</v>
      </c>
      <c r="K12" s="141"/>
      <c r="L12" s="141" t="s">
        <v>480</v>
      </c>
      <c r="M12" s="142"/>
      <c r="N12" s="131"/>
      <c r="O12" s="131"/>
      <c r="P12" s="131"/>
      <c r="Q12" s="131"/>
      <c r="R12" s="131"/>
      <c r="S12" s="131"/>
      <c r="T12" s="131"/>
      <c r="U12" s="131"/>
      <c r="V12" s="131">
        <v>500000</v>
      </c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</row>
    <row r="13" spans="1:37" x14ac:dyDescent="0.25">
      <c r="A13" s="134" t="str">
        <f>fin[[#This Row],[Tomadora]]&amp;"-"&amp;fin[[#This Row],[Agente]]&amp;"-"&amp;LEFT(D13,LEN(D13)-3)</f>
        <v>LCG-Bradesco-400</v>
      </c>
      <c r="B13" s="134" t="s">
        <v>482</v>
      </c>
      <c r="C13" s="135" t="s">
        <v>483</v>
      </c>
      <c r="D13" s="137">
        <v>400000</v>
      </c>
      <c r="E13" s="137">
        <f>SUM(fin[[#This Row],[jan/25]:[dez/25]])</f>
        <v>400000</v>
      </c>
      <c r="F13" s="149">
        <v>0.47389999999999999</v>
      </c>
      <c r="G13" s="139">
        <v>45895</v>
      </c>
      <c r="H13" s="139">
        <v>47325</v>
      </c>
      <c r="I13" s="137">
        <v>19387.82</v>
      </c>
      <c r="J13" s="131"/>
      <c r="K13" s="141"/>
      <c r="L13" s="141" t="s">
        <v>484</v>
      </c>
      <c r="M13" s="142"/>
      <c r="N13" s="131"/>
      <c r="O13" s="131"/>
      <c r="P13" s="131"/>
      <c r="Q13" s="131"/>
      <c r="R13" s="131"/>
      <c r="S13" s="131"/>
      <c r="T13" s="131"/>
      <c r="U13" s="131">
        <v>400000</v>
      </c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</row>
    <row r="14" spans="1:37" x14ac:dyDescent="0.25">
      <c r="A14" s="134" t="str">
        <f>fin[[#This Row],[Tomadora]]&amp;"-"&amp;fin[[#This Row],[Agente]]&amp;"-"&amp;LEFT(D14,LEN(D14)-3)</f>
        <v>AMPLA-CEF-300</v>
      </c>
      <c r="B14" s="134" t="s">
        <v>1119</v>
      </c>
      <c r="C14" s="135" t="s">
        <v>474</v>
      </c>
      <c r="D14" s="150">
        <v>300000</v>
      </c>
      <c r="E14" s="140">
        <f>SUM(fin[[#This Row],[jan/25]:[dez/25]])</f>
        <v>300000</v>
      </c>
      <c r="F14" s="138" t="s">
        <v>485</v>
      </c>
      <c r="G14" s="139">
        <v>45828</v>
      </c>
      <c r="H14" s="139">
        <v>46741</v>
      </c>
      <c r="I14" s="140">
        <v>16168.47</v>
      </c>
      <c r="J14" s="140">
        <v>316719.03999999998</v>
      </c>
      <c r="K14" s="141"/>
      <c r="L14" s="141" t="s">
        <v>480</v>
      </c>
      <c r="M14" s="142"/>
      <c r="N14" s="131"/>
      <c r="O14" s="131"/>
      <c r="P14" s="131"/>
      <c r="Q14" s="131"/>
      <c r="R14" s="131"/>
      <c r="S14" s="131">
        <v>300000</v>
      </c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</row>
    <row r="15" spans="1:37" x14ac:dyDescent="0.25">
      <c r="A15" s="148" t="str">
        <f>fin[[#This Row],[Tomadora]]&amp;"-"&amp;fin[[#This Row],[Agente]]&amp;"-"&amp;LEFT(D15,LEN(D15)-3)</f>
        <v>SN2-GFM-3000</v>
      </c>
      <c r="B15" s="134" t="s">
        <v>12</v>
      </c>
      <c r="C15" s="135" t="s">
        <v>701</v>
      </c>
      <c r="D15" s="150">
        <v>3000000</v>
      </c>
      <c r="E15" s="140">
        <f>SUM(fin[[#This Row],[jan/25]:[dez/25]])</f>
        <v>0</v>
      </c>
      <c r="F15" s="138"/>
      <c r="G15" s="139">
        <v>46065</v>
      </c>
      <c r="H15" s="139"/>
      <c r="I15" s="140"/>
      <c r="J15" s="140"/>
      <c r="K15" s="141"/>
      <c r="L15" s="141"/>
      <c r="M15" s="142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>
        <v>3000000</v>
      </c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</row>
    <row r="16" spans="1:37" x14ac:dyDescent="0.25">
      <c r="A16" s="148" t="str">
        <f>fin[[#This Row],[Tomadora]]&amp;"-"&amp;fin[[#This Row],[Agente]]&amp;"-"&amp;LEFT(D16,LEN(D16)-3)</f>
        <v>SN4-SCP-5000</v>
      </c>
      <c r="B16" s="134" t="s">
        <v>13</v>
      </c>
      <c r="C16" s="135" t="s">
        <v>463</v>
      </c>
      <c r="D16" s="150">
        <v>5000000</v>
      </c>
      <c r="E16" s="140">
        <f>SUM(fin[[#This Row],[jan/25]:[dez/25]])</f>
        <v>0</v>
      </c>
      <c r="F16" s="138"/>
      <c r="G16" s="139"/>
      <c r="H16" s="139"/>
      <c r="I16" s="140"/>
      <c r="J16" s="140"/>
      <c r="K16" s="141"/>
      <c r="L16" s="141"/>
      <c r="M16" s="142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>
        <v>5000000</v>
      </c>
      <c r="AE16" s="131"/>
      <c r="AF16" s="131"/>
      <c r="AG16" s="131"/>
      <c r="AH16" s="131"/>
      <c r="AI16" s="131"/>
      <c r="AJ16" s="131"/>
      <c r="AK16" s="131"/>
    </row>
    <row r="18" spans="1:4" ht="18.75" x14ac:dyDescent="0.3">
      <c r="A18" s="64" t="s">
        <v>679</v>
      </c>
      <c r="B18" s="64"/>
      <c r="C18" s="64"/>
    </row>
    <row r="19" spans="1:4" x14ac:dyDescent="0.25">
      <c r="A19" s="229" t="s">
        <v>33</v>
      </c>
      <c r="B19" s="229" t="s">
        <v>675</v>
      </c>
      <c r="C19" s="229" t="s">
        <v>676</v>
      </c>
    </row>
    <row r="20" spans="1:4" x14ac:dyDescent="0.25">
      <c r="A20" t="s">
        <v>13</v>
      </c>
      <c r="B20" s="230">
        <v>45778</v>
      </c>
      <c r="C20" s="131">
        <v>944552</v>
      </c>
    </row>
    <row r="21" spans="1:4" x14ac:dyDescent="0.25">
      <c r="A21" t="s">
        <v>677</v>
      </c>
      <c r="B21" s="230">
        <v>45778</v>
      </c>
      <c r="C21" s="131">
        <v>5405358.0599999996</v>
      </c>
    </row>
    <row r="22" spans="1:4" x14ac:dyDescent="0.25">
      <c r="A22" t="s">
        <v>677</v>
      </c>
      <c r="B22" s="230">
        <v>45839</v>
      </c>
      <c r="C22" s="131">
        <v>994999.95</v>
      </c>
    </row>
    <row r="23" spans="1:4" x14ac:dyDescent="0.25">
      <c r="A23" t="s">
        <v>678</v>
      </c>
      <c r="B23" s="230">
        <v>45778</v>
      </c>
      <c r="C23" s="131">
        <v>4295585</v>
      </c>
    </row>
    <row r="24" spans="1:4" x14ac:dyDescent="0.25">
      <c r="A24" t="s">
        <v>678</v>
      </c>
      <c r="B24" s="230">
        <v>45839</v>
      </c>
      <c r="C24" s="131">
        <v>1855585</v>
      </c>
    </row>
    <row r="25" spans="1:4" x14ac:dyDescent="0.25">
      <c r="A25" t="s">
        <v>465</v>
      </c>
      <c r="B25" s="230">
        <v>45748</v>
      </c>
      <c r="C25" s="131">
        <v>528000</v>
      </c>
    </row>
    <row r="26" spans="1:4" x14ac:dyDescent="0.25">
      <c r="A26" t="s">
        <v>680</v>
      </c>
      <c r="B26" s="230">
        <v>45931</v>
      </c>
      <c r="C26" s="131">
        <v>3000000</v>
      </c>
    </row>
    <row r="27" spans="1:4" x14ac:dyDescent="0.25">
      <c r="A27" t="s">
        <v>680</v>
      </c>
      <c r="B27" s="230">
        <v>45962</v>
      </c>
      <c r="C27" s="131">
        <v>4206456.13</v>
      </c>
    </row>
    <row r="29" spans="1:4" ht="18.75" x14ac:dyDescent="0.3">
      <c r="A29" s="64" t="s">
        <v>2924</v>
      </c>
    </row>
    <row r="30" spans="1:4" x14ac:dyDescent="0.25">
      <c r="A30" t="s">
        <v>33</v>
      </c>
      <c r="B30" t="s">
        <v>2923</v>
      </c>
      <c r="C30" t="s">
        <v>1147</v>
      </c>
      <c r="D30" t="s">
        <v>676</v>
      </c>
    </row>
    <row r="31" spans="1:4" x14ac:dyDescent="0.25">
      <c r="A31" t="s">
        <v>8</v>
      </c>
      <c r="B31" t="s">
        <v>2925</v>
      </c>
      <c r="C31" s="608">
        <v>46251</v>
      </c>
      <c r="D31" s="609">
        <v>-295984.84999999998</v>
      </c>
    </row>
    <row r="32" spans="1:4" x14ac:dyDescent="0.25">
      <c r="A32" t="s">
        <v>8</v>
      </c>
      <c r="B32" t="s">
        <v>2925</v>
      </c>
      <c r="C32" s="608">
        <v>46259</v>
      </c>
      <c r="D32" s="609">
        <v>-34134.67</v>
      </c>
    </row>
    <row r="33" spans="1:4" x14ac:dyDescent="0.25">
      <c r="A33" t="s">
        <v>12</v>
      </c>
      <c r="B33" t="s">
        <v>2925</v>
      </c>
      <c r="C33" s="608">
        <v>46251</v>
      </c>
      <c r="D33" s="609">
        <v>-200257.35</v>
      </c>
    </row>
    <row r="34" spans="1:4" x14ac:dyDescent="0.25">
      <c r="A34" t="s">
        <v>9</v>
      </c>
      <c r="B34" t="s">
        <v>2926</v>
      </c>
      <c r="C34" s="608">
        <v>46237</v>
      </c>
      <c r="D34" s="609">
        <v>148525</v>
      </c>
    </row>
    <row r="35" spans="1:4" x14ac:dyDescent="0.25">
      <c r="A35" t="s">
        <v>10</v>
      </c>
      <c r="B35" s="271" t="s">
        <v>2925</v>
      </c>
      <c r="C35" s="608">
        <v>46239</v>
      </c>
      <c r="D35" s="609">
        <v>-121887.64</v>
      </c>
    </row>
    <row r="36" spans="1:4" x14ac:dyDescent="0.25">
      <c r="A36" t="s">
        <v>10</v>
      </c>
      <c r="B36" t="s">
        <v>2926</v>
      </c>
      <c r="C36" s="608">
        <v>46245</v>
      </c>
      <c r="D36" s="609">
        <v>401137.2</v>
      </c>
    </row>
    <row r="37" spans="1:4" x14ac:dyDescent="0.25">
      <c r="A37" t="s">
        <v>10</v>
      </c>
      <c r="B37" t="s">
        <v>2925</v>
      </c>
      <c r="C37" s="608">
        <v>46255</v>
      </c>
      <c r="D37" s="609">
        <v>-230055.67</v>
      </c>
    </row>
    <row r="38" spans="1:4" x14ac:dyDescent="0.25">
      <c r="A38" t="s">
        <v>13</v>
      </c>
      <c r="B38" t="s">
        <v>2926</v>
      </c>
      <c r="C38" s="608">
        <v>46238</v>
      </c>
      <c r="D38" s="609">
        <v>432421.65</v>
      </c>
    </row>
    <row r="39" spans="1:4" x14ac:dyDescent="0.25">
      <c r="A39" t="s">
        <v>13</v>
      </c>
      <c r="B39" t="s">
        <v>2925</v>
      </c>
      <c r="C39" s="608">
        <v>46239</v>
      </c>
      <c r="D39" s="609">
        <v>-467.23</v>
      </c>
    </row>
  </sheetData>
  <phoneticPr fontId="21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5974-1B65-421F-8448-213B223288A6}">
  <sheetPr>
    <tabColor rgb="FFFFFF00"/>
  </sheetPr>
  <dimension ref="A1:CY122"/>
  <sheetViews>
    <sheetView showGridLines="0" zoomScale="80" zoomScaleNormal="80" workbookViewId="0">
      <pane xSplit="1" ySplit="10" topLeftCell="B62" activePane="bottomRight" state="frozen"/>
      <selection pane="topRight" activeCell="B1" sqref="B1"/>
      <selection pane="bottomLeft" activeCell="A11" sqref="A11"/>
      <selection pane="bottomRight" activeCell="CS71" sqref="CS71"/>
    </sheetView>
  </sheetViews>
  <sheetFormatPr defaultColWidth="11.42578125" defaultRowHeight="15" x14ac:dyDescent="0.25"/>
  <cols>
    <col min="1" max="1" width="18.28515625" customWidth="1"/>
    <col min="2" max="103" width="14.7109375" customWidth="1"/>
  </cols>
  <sheetData>
    <row r="1" spans="1:103" ht="18.75" customHeight="1" x14ac:dyDescent="0.3">
      <c r="A1" s="70">
        <v>46265</v>
      </c>
      <c r="B1" s="71" t="s">
        <v>533</v>
      </c>
      <c r="C1" s="72"/>
      <c r="D1" s="72"/>
      <c r="E1" s="72"/>
      <c r="F1" s="73"/>
      <c r="G1" s="72"/>
      <c r="H1" s="72"/>
      <c r="I1" s="72"/>
      <c r="J1" s="72"/>
      <c r="K1" s="72"/>
      <c r="L1" s="72"/>
      <c r="M1" s="72"/>
      <c r="N1" s="71" t="s">
        <v>539</v>
      </c>
      <c r="O1" s="72"/>
      <c r="P1" s="72"/>
      <c r="Q1" s="72"/>
      <c r="R1" s="73"/>
      <c r="S1" s="72"/>
      <c r="T1" s="72"/>
      <c r="U1" s="72"/>
      <c r="V1" s="72"/>
      <c r="W1" s="72"/>
      <c r="X1" s="72"/>
      <c r="Y1" s="72"/>
      <c r="Z1" s="71" t="s">
        <v>704</v>
      </c>
      <c r="AA1" s="72"/>
      <c r="AB1" s="72"/>
      <c r="AC1" s="72"/>
      <c r="AD1" s="72"/>
      <c r="AE1" s="72"/>
      <c r="AF1" s="72"/>
      <c r="AG1" s="72"/>
      <c r="AH1" s="72"/>
      <c r="AI1" s="72"/>
      <c r="AJ1" s="71" t="s">
        <v>537</v>
      </c>
      <c r="AK1" s="72"/>
      <c r="AL1" s="72"/>
      <c r="AM1" s="72"/>
      <c r="AN1" s="73"/>
      <c r="AO1" s="72"/>
      <c r="AP1" s="72"/>
      <c r="AQ1" s="72"/>
      <c r="AR1" s="72"/>
      <c r="AS1" s="72"/>
      <c r="AT1" s="72"/>
      <c r="AU1" s="72"/>
      <c r="AV1" s="71" t="s">
        <v>541</v>
      </c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1" t="s">
        <v>535</v>
      </c>
      <c r="BI1" s="72"/>
      <c r="BJ1" s="72"/>
      <c r="BK1" s="72"/>
      <c r="BL1" s="72"/>
      <c r="BM1" s="72"/>
      <c r="BN1" s="72"/>
      <c r="BO1" s="72"/>
      <c r="BP1" s="72"/>
      <c r="BQ1" s="72"/>
      <c r="BR1" s="71" t="s">
        <v>544</v>
      </c>
      <c r="BS1" s="72"/>
      <c r="BT1" s="72"/>
      <c r="BU1" s="72"/>
      <c r="BV1" s="72"/>
      <c r="BW1" s="72"/>
      <c r="BX1" s="72"/>
      <c r="BY1" s="72"/>
      <c r="BZ1" s="72"/>
      <c r="CA1" s="72"/>
      <c r="CB1" s="71" t="s">
        <v>531</v>
      </c>
      <c r="CC1" s="72"/>
      <c r="CD1" s="72"/>
      <c r="CE1" s="72"/>
      <c r="CF1" s="73"/>
      <c r="CG1" s="72"/>
      <c r="CH1" s="72"/>
      <c r="CI1" s="72"/>
      <c r="CJ1" s="72"/>
      <c r="CK1" s="72"/>
      <c r="CL1" s="72"/>
      <c r="CM1" s="72"/>
      <c r="CN1" s="71" t="s">
        <v>546</v>
      </c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4"/>
    </row>
    <row r="2" spans="1:103" ht="15.75" customHeight="1" x14ac:dyDescent="0.25">
      <c r="B2" s="75" t="s">
        <v>2</v>
      </c>
      <c r="C2" s="76"/>
      <c r="D2" s="77" cm="1">
        <f t="array" ref="D2">SUMPRODUCT(
   tb_estq[Preço Tab.] *
   (tb_estq[empresa]=D$6) *
   ((tb_estq[Status]="Disponível") + (tb_estq[Status]="Reservada") + (tb_estq[Status]="Em negociação"))
)</f>
        <v>0</v>
      </c>
      <c r="F2" s="314" t="s">
        <v>831</v>
      </c>
      <c r="G2" s="315"/>
      <c r="H2" s="316">
        <v>9712092</v>
      </c>
      <c r="I2" s="317">
        <v>46276</v>
      </c>
      <c r="M2" s="78"/>
      <c r="N2" s="75" t="s">
        <v>2</v>
      </c>
      <c r="O2" s="76"/>
      <c r="P2" s="77">
        <f t="array" ref="P2">SUMPRODUCT(
   tb_estq[Preço Tab.] *
   (tb_estq[empresa]=P$6) *
   ((tb_estq[Status]="Disponível") + (tb_estq[Status]="Reservada") + (tb_estq[Status]="Em negociação"))
)</f>
        <v>0</v>
      </c>
      <c r="R2" s="314" t="s">
        <v>831</v>
      </c>
      <c r="S2" s="315"/>
      <c r="T2" s="316">
        <v>13856541</v>
      </c>
      <c r="U2" s="317">
        <v>46276</v>
      </c>
      <c r="Y2" s="78"/>
      <c r="Z2" s="75" t="s">
        <v>2</v>
      </c>
      <c r="AA2" s="79"/>
      <c r="AB2" s="77">
        <f t="array" ref="AB2">SUMPRODUCT(
   tb_estq[Preço Tab.] *
   (tb_estq[empresa]=AB$6) *
   ((tb_estq[Status]="Disponível") + (tb_estq[Status]="Reservada") + (tb_estq[Status]="Em negociação"))
)</f>
        <v>0</v>
      </c>
      <c r="AI2" s="78"/>
      <c r="AJ2" s="75" t="s">
        <v>2</v>
      </c>
      <c r="AK2" s="79"/>
      <c r="AL2" s="77">
        <f t="array" ref="AL2">SUMPRODUCT(
   tb_estq[Preço Tab.] *
   (tb_estq[empresa]=AL$6) *
   ((tb_estq[Status]="Disponível") + (tb_estq[Status]="Reservada") + (tb_estq[Status]="Em negociação"))
)</f>
        <v>0</v>
      </c>
      <c r="AN2" s="314" t="s">
        <v>831</v>
      </c>
      <c r="AO2" s="315"/>
      <c r="AP2" s="316">
        <v>12200000</v>
      </c>
      <c r="AQ2" s="317">
        <v>46276</v>
      </c>
      <c r="AU2" s="78"/>
      <c r="AV2" s="75" t="s">
        <v>2</v>
      </c>
      <c r="AW2" s="79"/>
      <c r="AX2" s="77">
        <f t="array" ref="AX2">SUMPRODUCT(
   tb_estq[Preço Tab.] *
   (tb_estq[empresa]=BA$6) *
   ((tb_estq[Status]="Disponível") + (tb_estq[Status]="Reservada") + (tb_estq[Status]="Em negociação"))
)</f>
        <v>0</v>
      </c>
      <c r="AZ2" s="314" t="s">
        <v>831</v>
      </c>
      <c r="BA2" s="315"/>
      <c r="BB2" s="316">
        <v>30015884</v>
      </c>
      <c r="BC2" s="317">
        <v>46276</v>
      </c>
      <c r="BG2" s="78"/>
      <c r="BH2" s="75" t="s">
        <v>2</v>
      </c>
      <c r="BI2" s="79"/>
      <c r="BJ2" s="77">
        <f t="array" ref="BJ2">SUMPRODUCT(
   tb_estq[Preço Tab.] *
   (tb_estq[empresa]=BJ$6) *
   ((tb_estq[Status]="Disponível") + (tb_estq[Status]="Reservada") + (tb_estq[Status]="Em negociação"))
)</f>
        <v>0</v>
      </c>
      <c r="BQ2" s="78"/>
      <c r="BR2" s="75" t="s">
        <v>2</v>
      </c>
      <c r="BS2" s="79"/>
      <c r="BT2" s="77">
        <f t="array" ref="BT2">SUMPRODUCT(
   tb_estq[Preço Tab.] *
   (tb_estq[empresa]=BT$6) *
   ((tb_estq[Status]="Disponível") + (tb_estq[Status]="Reservada") + (tb_estq[Status]="Em negociação"))
)</f>
        <v>0</v>
      </c>
      <c r="CA2" s="78"/>
      <c r="CB2" s="75" t="s">
        <v>2</v>
      </c>
      <c r="CC2" s="79"/>
      <c r="CD2" s="77">
        <f t="array" ref="CD2">SUMPRODUCT(
   tb_estq[Preço Tab.] *
   (tb_estq[empresa]=CD$6) *
   ((tb_estq[Status]="Disponível") + (tb_estq[Status]="Reservada") + (tb_estq[Status]="Em negociação"))
)</f>
        <v>0</v>
      </c>
      <c r="CF2" s="314" t="s">
        <v>831</v>
      </c>
      <c r="CG2" s="315"/>
      <c r="CH2" s="316">
        <v>27607680</v>
      </c>
      <c r="CI2" s="317">
        <v>46276</v>
      </c>
      <c r="CM2" s="78"/>
      <c r="CN2" s="75" t="s">
        <v>2</v>
      </c>
      <c r="CO2" s="79"/>
      <c r="CP2" s="77">
        <f t="array" ref="CP2">SUMPRODUCT(
   tb_estq[Preço Tab.] *
   (tb_estq[empresa]=CS$6) *
   ((tb_estq[Status]="Disponível") + (tb_estq[Status]="Reservada") + (tb_estq[Status]="Em negociação"))
)</f>
        <v>0</v>
      </c>
      <c r="CR2" s="314" t="s">
        <v>831</v>
      </c>
      <c r="CS2" s="315"/>
      <c r="CT2" s="316">
        <v>48062774</v>
      </c>
      <c r="CU2" s="317">
        <v>46276</v>
      </c>
      <c r="CY2" s="80"/>
    </row>
    <row r="3" spans="1:103" ht="15.75" customHeight="1" x14ac:dyDescent="0.25">
      <c r="B3" s="81" t="s">
        <v>3</v>
      </c>
      <c r="C3" s="82"/>
      <c r="D3" s="83">
        <f>COUNTIFS(tb_estq[empresa], D$6, tb_estq[Status], "Disponível")
+
COUNTIFS(tb_estq[empresa], D$6, tb_estq[Status], "Reservada")
+
COUNTIFS(tb_estq[empresa], D$6, tb_estq[Status], "Em negociação")</f>
        <v>0</v>
      </c>
      <c r="F3" s="318" t="s">
        <v>832</v>
      </c>
      <c r="G3" s="82"/>
      <c r="H3" s="319">
        <v>4057089.8</v>
      </c>
      <c r="I3" s="320">
        <v>46276</v>
      </c>
      <c r="M3" s="78"/>
      <c r="N3" s="81" t="s">
        <v>3</v>
      </c>
      <c r="O3" s="82"/>
      <c r="P3" s="83">
        <f>COUNTIFS(tb_estq[empresa], P$6, tb_estq[Status], "Disponível")
+
COUNTIFS(tb_estq[empresa], P$6, tb_estq[Status], "Reservada")
+
COUNTIFS(tb_estq[empresa], P$6, tb_estq[Status], "Em negociação")</f>
        <v>0</v>
      </c>
      <c r="R3" s="318" t="s">
        <v>832</v>
      </c>
      <c r="S3" s="82"/>
      <c r="T3" s="319">
        <v>3276982.6</v>
      </c>
      <c r="U3" s="320">
        <v>46276</v>
      </c>
      <c r="Y3" s="78"/>
      <c r="Z3" s="81" t="s">
        <v>3</v>
      </c>
      <c r="AA3" s="84"/>
      <c r="AB3" s="83">
        <f>COUNTIFS(tb_estq[empresa], AB$6, tb_estq[Status], "Disponível")
+
COUNTIFS(tb_estq[empresa], AB$6, tb_estq[Status], "Reservada")
+
COUNTIFS(tb_estq[empresa], AB$6, tb_estq[Status], "Em negociação")</f>
        <v>0</v>
      </c>
      <c r="AI3" s="78"/>
      <c r="AJ3" s="81" t="s">
        <v>3</v>
      </c>
      <c r="AK3" s="84"/>
      <c r="AL3" s="83">
        <f>COUNTIFS(tb_estq[empresa], AL$6, tb_estq[Status], "Disponível")
+
COUNTIFS(tb_estq[empresa], AL$6, tb_estq[Status], "Reservada")
+
COUNTIFS(tb_estq[empresa], AL$6, tb_estq[Status], "Em negociação")</f>
        <v>0</v>
      </c>
      <c r="AN3" s="318" t="s">
        <v>832</v>
      </c>
      <c r="AO3" s="82"/>
      <c r="AP3" s="319">
        <v>7518621.9500000002</v>
      </c>
      <c r="AQ3" s="320">
        <v>46276</v>
      </c>
      <c r="AU3" s="78"/>
      <c r="AV3" s="81" t="s">
        <v>3</v>
      </c>
      <c r="AW3" s="84"/>
      <c r="AX3" s="83">
        <f>COUNTIFS(tb_estq[empresa], BA$6, tb_estq[Status], "Disponível")
+
COUNTIFS(tb_estq[empresa], BA$6, tb_estq[Status], "Reservada")
+
COUNTIFS(tb_estq[empresa], BA$6, tb_estq[Status], "Em negociação")</f>
        <v>0</v>
      </c>
      <c r="AZ3" s="318" t="s">
        <v>832</v>
      </c>
      <c r="BA3" s="82"/>
      <c r="BB3" s="319">
        <v>11702020.35</v>
      </c>
      <c r="BC3" s="320">
        <v>46276</v>
      </c>
      <c r="BG3" s="78"/>
      <c r="BH3" s="81" t="s">
        <v>3</v>
      </c>
      <c r="BI3" s="84"/>
      <c r="BJ3" s="83">
        <f>COUNTIFS(tb_estq[empresa], BJ$6, tb_estq[Status], "Disponível")
+
COUNTIFS(tb_estq[empresa], BJ$6, tb_estq[Status], "Reservada")
+
COUNTIFS(tb_estq[empresa], BJ$6, tb_estq[Status], "Em negociação")</f>
        <v>0</v>
      </c>
      <c r="BQ3" s="78"/>
      <c r="BR3" s="81" t="s">
        <v>3</v>
      </c>
      <c r="BS3" s="84"/>
      <c r="BT3" s="83">
        <f>COUNTIFS(tb_estq[empresa], BT$6, tb_estq[Status], "Disponível")
+
COUNTIFS(tb_estq[empresa], BT$6, tb_estq[Status], "Reservada")
+
COUNTIFS(tb_estq[empresa], BT$6, tb_estq[Status], "Em negociação")</f>
        <v>0</v>
      </c>
      <c r="CA3" s="78"/>
      <c r="CB3" s="81" t="s">
        <v>3</v>
      </c>
      <c r="CC3" s="84"/>
      <c r="CD3" s="83">
        <f>COUNTIFS(tb_estq[empresa], CD$6, tb_estq[Status], "Disponível")
+
COUNTIFS(tb_estq[empresa], CD$6, tb_estq[Status], "Reservada")
+
COUNTIFS(tb_estq[empresa], CD$6, tb_estq[Status], "Em negociação")</f>
        <v>0</v>
      </c>
      <c r="CF3" s="318" t="s">
        <v>832</v>
      </c>
      <c r="CG3" s="82"/>
      <c r="CH3" s="319">
        <v>17777215.68</v>
      </c>
      <c r="CI3" s="320">
        <v>46276</v>
      </c>
      <c r="CM3" s="78"/>
      <c r="CN3" s="81" t="s">
        <v>3</v>
      </c>
      <c r="CO3" s="84"/>
      <c r="CP3" s="83">
        <f>COUNTIFS(tb_estq[empresa], CS$6, tb_estq[Status], "Disponível")
+
COUNTIFS(tb_estq[empresa], CS$6, tb_estq[Status], "Reservada")
+
COUNTIFS(tb_estq[empresa], CS$6, tb_estq[Status], "Em negociação")</f>
        <v>0</v>
      </c>
      <c r="CR3" s="318" t="s">
        <v>832</v>
      </c>
      <c r="CS3" s="82"/>
      <c r="CT3" s="319">
        <v>16268647.5</v>
      </c>
      <c r="CU3" s="320">
        <v>46276</v>
      </c>
      <c r="CY3" s="80"/>
    </row>
    <row r="4" spans="1:103" ht="15.75" customHeight="1" x14ac:dyDescent="0.25">
      <c r="B4" s="75" t="s">
        <v>4</v>
      </c>
      <c r="C4" s="76"/>
      <c r="D4" s="77">
        <f ca="1">SUMIFS(tb_rec_uni[soma.meses],
INDIRECT("tb_rec_uni[natureza]"),"parcela.cef.assinar",
INDIRECT("tb_rec_uni[empresa]"),D$6)</f>
        <v>0</v>
      </c>
      <c r="F4" s="321" t="s">
        <v>833</v>
      </c>
      <c r="G4" s="76"/>
      <c r="H4" s="322">
        <v>5349648.4800000004</v>
      </c>
      <c r="I4" s="323">
        <v>46276</v>
      </c>
      <c r="M4" s="78"/>
      <c r="N4" s="75" t="s">
        <v>4</v>
      </c>
      <c r="O4" s="76"/>
      <c r="P4" s="77">
        <f ca="1">SUMIFS(tb_rec_uni[soma.meses],
INDIRECT("tb_rec_uni[natureza]"),"parcela.cef.assinar",
INDIRECT("tb_rec_uni[empresa]"),P$6)</f>
        <v>0</v>
      </c>
      <c r="R4" s="321" t="s">
        <v>833</v>
      </c>
      <c r="S4" s="76"/>
      <c r="T4" s="322">
        <v>5133141.9800000004</v>
      </c>
      <c r="U4" s="323">
        <v>46276</v>
      </c>
      <c r="Y4" s="78"/>
      <c r="Z4" s="85"/>
      <c r="AI4" s="78"/>
      <c r="AJ4" s="75" t="s">
        <v>4</v>
      </c>
      <c r="AK4" s="79"/>
      <c r="AL4" s="77">
        <f ca="1">SUMIFS(tb_rec_uni[soma.meses],
INDIRECT("tb_rec_uni[natureza]"),"parcela.cef.assinar",
INDIRECT("tb_rec_uni[empresa]"),AL$6)</f>
        <v>0</v>
      </c>
      <c r="AN4" s="321" t="s">
        <v>833</v>
      </c>
      <c r="AO4" s="76"/>
      <c r="AP4" s="322">
        <v>3740573.6</v>
      </c>
      <c r="AQ4" s="323">
        <v>46276</v>
      </c>
      <c r="AU4" s="78"/>
      <c r="AV4" s="75" t="s">
        <v>4</v>
      </c>
      <c r="AW4" s="79"/>
      <c r="AX4" s="77">
        <f ca="1">SUMIFS(tb_rec_uni[soma.meses],
INDIRECT("tb_rec_uni[natureza]"),"parcela.cef.assinar",
INDIRECT("tb_rec_uni[empresa]"),BA$6)</f>
        <v>0</v>
      </c>
      <c r="AZ4" s="321" t="s">
        <v>833</v>
      </c>
      <c r="BA4" s="76"/>
      <c r="BB4" s="322">
        <v>4610579.17</v>
      </c>
      <c r="BC4" s="323">
        <v>46276</v>
      </c>
      <c r="BG4" s="78"/>
      <c r="BH4" s="85"/>
      <c r="BQ4" s="78"/>
      <c r="BR4" s="85"/>
      <c r="CA4" s="78"/>
      <c r="CB4" s="75" t="s">
        <v>4</v>
      </c>
      <c r="CC4" s="79"/>
      <c r="CD4" s="77">
        <f ca="1">SUMIFS(tb_rec_uni[soma.meses],
INDIRECT("tb_rec_uni[natureza]"),"parcela.cef.assinar",
INDIRECT("tb_rec_uni[empresa]"),CD$6)</f>
        <v>0</v>
      </c>
      <c r="CF4" s="321" t="s">
        <v>833</v>
      </c>
      <c r="CG4" s="76"/>
      <c r="CH4" s="322">
        <v>6166463.8499999996</v>
      </c>
      <c r="CI4" s="323">
        <v>46276</v>
      </c>
      <c r="CM4" s="78"/>
      <c r="CN4" s="75" t="s">
        <v>4</v>
      </c>
      <c r="CO4" s="79"/>
      <c r="CP4" s="77">
        <f ca="1">SUMIFS(tb_rec_uni[soma.meses],
INDIRECT("tb_rec_uni[natureza]"),"parcela.cef.assinar",
INDIRECT("tb_rec_uni[empresa]"),CS$6)</f>
        <v>0</v>
      </c>
      <c r="CR4" s="321" t="s">
        <v>833</v>
      </c>
      <c r="CS4" s="76"/>
      <c r="CT4" s="322">
        <v>1927173.36</v>
      </c>
      <c r="CU4" s="323">
        <v>46276</v>
      </c>
      <c r="CY4" s="80"/>
    </row>
    <row r="5" spans="1:103" ht="15.75" customHeight="1" x14ac:dyDescent="0.25">
      <c r="B5" s="86" t="s">
        <v>5</v>
      </c>
      <c r="C5" s="87"/>
      <c r="D5" s="88">
        <f>COUNTIFS(
   tb_rec_uni[empresa],D$6,
   tb_rec_uni[natureza],"parcela.cef.assinar"
)</f>
        <v>0</v>
      </c>
      <c r="F5" s="324" t="s">
        <v>834</v>
      </c>
      <c r="G5" s="87"/>
      <c r="H5" s="325">
        <v>3057306.21</v>
      </c>
      <c r="I5" s="326">
        <v>46276</v>
      </c>
      <c r="M5" s="89"/>
      <c r="N5" s="86" t="s">
        <v>5</v>
      </c>
      <c r="O5" s="87"/>
      <c r="P5" s="88">
        <f>COUNTIFS(
   tb_rec_uni[empresa],P$6,
   tb_rec_uni[natureza],"parcela.cef.assinar"
)</f>
        <v>0</v>
      </c>
      <c r="R5" s="324" t="s">
        <v>834</v>
      </c>
      <c r="S5" s="87"/>
      <c r="T5" s="325">
        <v>776496.48</v>
      </c>
      <c r="U5" s="326">
        <v>46276</v>
      </c>
      <c r="Y5" s="89"/>
      <c r="Z5" s="91"/>
      <c r="AA5" s="89"/>
      <c r="AB5" s="219"/>
      <c r="AI5" s="89"/>
      <c r="AJ5" s="86" t="s">
        <v>5</v>
      </c>
      <c r="AK5" s="90"/>
      <c r="AL5" s="88">
        <f>COUNTIFS(
   tb_rec_uni[empresa],AL$6,
   tb_rec_uni[natureza],"parcela.cef.assinar"
)</f>
        <v>0</v>
      </c>
      <c r="AN5" s="324" t="s">
        <v>834</v>
      </c>
      <c r="AO5" s="87"/>
      <c r="AP5" s="325">
        <v>1691327.77</v>
      </c>
      <c r="AQ5" s="326">
        <v>46276</v>
      </c>
      <c r="AU5" s="89"/>
      <c r="AV5" s="86" t="s">
        <v>5</v>
      </c>
      <c r="AW5" s="90"/>
      <c r="AX5" s="88">
        <f>COUNTIFS(
   tb_rec_uni[empresa],BA$6,
   tb_rec_uni[natureza],"parcela.cef.assinar"
)</f>
        <v>0</v>
      </c>
      <c r="AZ5" s="324" t="s">
        <v>834</v>
      </c>
      <c r="BA5" s="87"/>
      <c r="BB5" s="325">
        <v>3043221.58</v>
      </c>
      <c r="BC5" s="326">
        <v>46276</v>
      </c>
      <c r="BG5" s="89"/>
      <c r="BH5" s="91"/>
      <c r="BI5" s="89"/>
      <c r="BJ5" s="219"/>
      <c r="BQ5" s="89"/>
      <c r="BR5" s="91"/>
      <c r="BS5" s="89"/>
      <c r="BT5" s="219"/>
      <c r="CA5" s="89"/>
      <c r="CB5" s="86" t="s">
        <v>5</v>
      </c>
      <c r="CC5" s="90"/>
      <c r="CD5" s="88">
        <f>COUNTIFS(
   tb_rec_uni[empresa],CD$6,
   tb_rec_uni[natureza],"parcela.cef.assinar"
)</f>
        <v>0</v>
      </c>
      <c r="CF5" s="324" t="s">
        <v>834</v>
      </c>
      <c r="CG5" s="87"/>
      <c r="CH5" s="325">
        <v>4354496.25</v>
      </c>
      <c r="CI5" s="326">
        <v>46276</v>
      </c>
      <c r="CM5" s="89"/>
      <c r="CN5" s="86" t="s">
        <v>5</v>
      </c>
      <c r="CO5" s="90"/>
      <c r="CP5" s="88">
        <f>COUNTIFS(
   tb_rec_uni[empresa],CS$6,
   tb_rec_uni[natureza],"parcela.cef.assinar"
)</f>
        <v>0</v>
      </c>
      <c r="CR5" s="324" t="s">
        <v>834</v>
      </c>
      <c r="CS5" s="87"/>
      <c r="CT5" s="325">
        <v>1862931.55</v>
      </c>
      <c r="CU5" s="326">
        <v>46276</v>
      </c>
      <c r="CY5" s="92"/>
    </row>
    <row r="6" spans="1:103" ht="15.75" customHeight="1" x14ac:dyDescent="0.25">
      <c r="A6" s="93" t="s">
        <v>6</v>
      </c>
      <c r="B6" s="94" t="s">
        <v>7</v>
      </c>
      <c r="C6" s="95" t="s">
        <v>7</v>
      </c>
      <c r="D6" s="95" t="s">
        <v>7</v>
      </c>
      <c r="E6" s="95" t="s">
        <v>7</v>
      </c>
      <c r="F6" s="95" t="s">
        <v>7</v>
      </c>
      <c r="G6" s="95" t="s">
        <v>7</v>
      </c>
      <c r="H6" s="95" t="s">
        <v>7</v>
      </c>
      <c r="I6" s="95" t="s">
        <v>7</v>
      </c>
      <c r="J6" s="95" t="s">
        <v>7</v>
      </c>
      <c r="K6" s="95" t="s">
        <v>7</v>
      </c>
      <c r="L6" s="95" t="s">
        <v>7</v>
      </c>
      <c r="M6" s="96" t="s">
        <v>7</v>
      </c>
      <c r="N6" s="94" t="s">
        <v>8</v>
      </c>
      <c r="O6" s="95" t="s">
        <v>8</v>
      </c>
      <c r="P6" s="95" t="s">
        <v>8</v>
      </c>
      <c r="Q6" s="95" t="s">
        <v>8</v>
      </c>
      <c r="R6" s="97" t="s">
        <v>8</v>
      </c>
      <c r="S6" s="95" t="s">
        <v>8</v>
      </c>
      <c r="T6" s="95" t="s">
        <v>8</v>
      </c>
      <c r="U6" s="95" t="s">
        <v>8</v>
      </c>
      <c r="V6" s="95" t="s">
        <v>8</v>
      </c>
      <c r="W6" s="95" t="s">
        <v>8</v>
      </c>
      <c r="X6" s="95" t="s">
        <v>8</v>
      </c>
      <c r="Y6" s="96" t="s">
        <v>8</v>
      </c>
      <c r="Z6" s="94" t="s">
        <v>673</v>
      </c>
      <c r="AA6" s="95" t="s">
        <v>673</v>
      </c>
      <c r="AB6" s="95" t="s">
        <v>673</v>
      </c>
      <c r="AC6" s="95" t="s">
        <v>673</v>
      </c>
      <c r="AD6" s="95" t="s">
        <v>673</v>
      </c>
      <c r="AE6" s="95" t="s">
        <v>673</v>
      </c>
      <c r="AF6" s="95" t="s">
        <v>673</v>
      </c>
      <c r="AG6" s="95" t="s">
        <v>673</v>
      </c>
      <c r="AH6" s="95" t="s">
        <v>673</v>
      </c>
      <c r="AI6" s="96" t="s">
        <v>673</v>
      </c>
      <c r="AJ6" s="94" t="s">
        <v>9</v>
      </c>
      <c r="AK6" s="95" t="s">
        <v>9</v>
      </c>
      <c r="AL6" s="95" t="s">
        <v>9</v>
      </c>
      <c r="AM6" s="95" t="s">
        <v>9</v>
      </c>
      <c r="AN6" s="95" t="s">
        <v>9</v>
      </c>
      <c r="AO6" s="95" t="s">
        <v>9</v>
      </c>
      <c r="AP6" s="95" t="s">
        <v>9</v>
      </c>
      <c r="AQ6" s="95" t="s">
        <v>9</v>
      </c>
      <c r="AR6" s="95" t="s">
        <v>9</v>
      </c>
      <c r="AS6" s="95" t="s">
        <v>9</v>
      </c>
      <c r="AT6" s="95" t="s">
        <v>9</v>
      </c>
      <c r="AU6" s="96" t="s">
        <v>9</v>
      </c>
      <c r="AV6" s="94" t="s">
        <v>10</v>
      </c>
      <c r="AW6" s="95" t="s">
        <v>10</v>
      </c>
      <c r="AX6" s="95" t="s">
        <v>10</v>
      </c>
      <c r="AY6" s="95" t="s">
        <v>10</v>
      </c>
      <c r="AZ6" s="95" t="s">
        <v>10</v>
      </c>
      <c r="BA6" s="95" t="s">
        <v>10</v>
      </c>
      <c r="BB6" s="95" t="s">
        <v>10</v>
      </c>
      <c r="BC6" s="95" t="s">
        <v>10</v>
      </c>
      <c r="BD6" s="95" t="s">
        <v>10</v>
      </c>
      <c r="BE6" s="95" t="s">
        <v>10</v>
      </c>
      <c r="BF6" s="95" t="s">
        <v>10</v>
      </c>
      <c r="BG6" s="96" t="s">
        <v>10</v>
      </c>
      <c r="BH6" s="94" t="s">
        <v>11</v>
      </c>
      <c r="BI6" s="218" t="s">
        <v>11</v>
      </c>
      <c r="BJ6" s="218" t="s">
        <v>11</v>
      </c>
      <c r="BK6" s="95" t="s">
        <v>11</v>
      </c>
      <c r="BL6" s="95" t="s">
        <v>11</v>
      </c>
      <c r="BM6" s="95" t="s">
        <v>11</v>
      </c>
      <c r="BN6" s="95" t="s">
        <v>11</v>
      </c>
      <c r="BO6" s="95" t="s">
        <v>11</v>
      </c>
      <c r="BP6" s="95" t="s">
        <v>11</v>
      </c>
      <c r="BQ6" s="96" t="s">
        <v>11</v>
      </c>
      <c r="BR6" s="94" t="s">
        <v>465</v>
      </c>
      <c r="BS6" s="95" t="s">
        <v>465</v>
      </c>
      <c r="BT6" s="95" t="s">
        <v>465</v>
      </c>
      <c r="BU6" s="95" t="s">
        <v>465</v>
      </c>
      <c r="BV6" s="95" t="s">
        <v>465</v>
      </c>
      <c r="BW6" s="95" t="s">
        <v>465</v>
      </c>
      <c r="BX6" s="95" t="s">
        <v>465</v>
      </c>
      <c r="BY6" s="95" t="s">
        <v>465</v>
      </c>
      <c r="BZ6" s="95" t="s">
        <v>465</v>
      </c>
      <c r="CA6" s="96" t="s">
        <v>465</v>
      </c>
      <c r="CB6" s="94" t="s">
        <v>12</v>
      </c>
      <c r="CC6" s="95" t="s">
        <v>12</v>
      </c>
      <c r="CD6" s="95" t="s">
        <v>12</v>
      </c>
      <c r="CE6" s="95" t="s">
        <v>12</v>
      </c>
      <c r="CF6" s="95" t="s">
        <v>12</v>
      </c>
      <c r="CG6" s="95" t="s">
        <v>12</v>
      </c>
      <c r="CH6" s="95" t="s">
        <v>12</v>
      </c>
      <c r="CI6" s="95" t="s">
        <v>12</v>
      </c>
      <c r="CJ6" s="95" t="s">
        <v>12</v>
      </c>
      <c r="CK6" s="95" t="s">
        <v>12</v>
      </c>
      <c r="CL6" s="95" t="s">
        <v>12</v>
      </c>
      <c r="CM6" s="96" t="s">
        <v>12</v>
      </c>
      <c r="CN6" s="94" t="s">
        <v>13</v>
      </c>
      <c r="CO6" s="95" t="s">
        <v>13</v>
      </c>
      <c r="CP6" s="95" t="s">
        <v>13</v>
      </c>
      <c r="CQ6" s="95" t="s">
        <v>13</v>
      </c>
      <c r="CR6" s="95" t="s">
        <v>13</v>
      </c>
      <c r="CS6" s="95" t="s">
        <v>13</v>
      </c>
      <c r="CT6" s="95" t="s">
        <v>13</v>
      </c>
      <c r="CU6" s="95" t="s">
        <v>13</v>
      </c>
      <c r="CV6" s="95" t="s">
        <v>13</v>
      </c>
      <c r="CW6" s="95" t="s">
        <v>13</v>
      </c>
      <c r="CX6" s="95" t="s">
        <v>13</v>
      </c>
      <c r="CY6" s="96" t="s">
        <v>13</v>
      </c>
    </row>
    <row r="7" spans="1:103" ht="30" customHeight="1" x14ac:dyDescent="0.25">
      <c r="A7" s="93" t="s">
        <v>14</v>
      </c>
      <c r="B7" s="98" t="s">
        <v>15</v>
      </c>
      <c r="C7" s="99" t="s">
        <v>16</v>
      </c>
      <c r="D7" s="99" t="s">
        <v>17</v>
      </c>
      <c r="E7" s="99" t="s">
        <v>18</v>
      </c>
      <c r="F7" s="100" t="s">
        <v>19</v>
      </c>
      <c r="G7" s="99" t="s">
        <v>20</v>
      </c>
      <c r="H7" s="99" t="s">
        <v>21</v>
      </c>
      <c r="I7" s="101" t="s">
        <v>430</v>
      </c>
      <c r="J7" s="101" t="s">
        <v>360</v>
      </c>
      <c r="K7" s="101" t="s">
        <v>353</v>
      </c>
      <c r="L7" s="101" t="s">
        <v>15</v>
      </c>
      <c r="M7" s="102" t="s">
        <v>390</v>
      </c>
      <c r="N7" s="98" t="s">
        <v>15</v>
      </c>
      <c r="O7" s="99" t="s">
        <v>16</v>
      </c>
      <c r="P7" s="99" t="s">
        <v>17</v>
      </c>
      <c r="Q7" s="99" t="s">
        <v>18</v>
      </c>
      <c r="R7" s="100" t="s">
        <v>19</v>
      </c>
      <c r="S7" s="99" t="s">
        <v>20</v>
      </c>
      <c r="T7" s="99" t="s">
        <v>21</v>
      </c>
      <c r="U7" s="101" t="s">
        <v>430</v>
      </c>
      <c r="V7" s="101" t="s">
        <v>360</v>
      </c>
      <c r="W7" s="101" t="s">
        <v>353</v>
      </c>
      <c r="X7" s="101" t="s">
        <v>15</v>
      </c>
      <c r="Y7" s="102" t="s">
        <v>390</v>
      </c>
      <c r="Z7" s="98" t="s">
        <v>15</v>
      </c>
      <c r="AA7" s="99" t="s">
        <v>16</v>
      </c>
      <c r="AB7" s="217" t="s">
        <v>39</v>
      </c>
      <c r="AC7" s="99" t="s">
        <v>20</v>
      </c>
      <c r="AD7" s="99" t="s">
        <v>21</v>
      </c>
      <c r="AE7" s="101" t="s">
        <v>430</v>
      </c>
      <c r="AF7" s="101" t="s">
        <v>360</v>
      </c>
      <c r="AG7" s="101" t="s">
        <v>353</v>
      </c>
      <c r="AH7" s="101" t="s">
        <v>15</v>
      </c>
      <c r="AI7" s="102" t="s">
        <v>390</v>
      </c>
      <c r="AJ7" s="98" t="s">
        <v>15</v>
      </c>
      <c r="AK7" s="99" t="s">
        <v>16</v>
      </c>
      <c r="AL7" s="99" t="s">
        <v>17</v>
      </c>
      <c r="AM7" s="99" t="s">
        <v>18</v>
      </c>
      <c r="AN7" s="100" t="s">
        <v>19</v>
      </c>
      <c r="AO7" s="99" t="s">
        <v>20</v>
      </c>
      <c r="AP7" s="99" t="s">
        <v>21</v>
      </c>
      <c r="AQ7" s="101" t="s">
        <v>430</v>
      </c>
      <c r="AR7" s="101" t="s">
        <v>360</v>
      </c>
      <c r="AS7" s="101" t="s">
        <v>353</v>
      </c>
      <c r="AT7" s="101" t="s">
        <v>15</v>
      </c>
      <c r="AU7" s="102" t="s">
        <v>390</v>
      </c>
      <c r="AV7" s="98" t="s">
        <v>15</v>
      </c>
      <c r="AW7" s="99" t="s">
        <v>16</v>
      </c>
      <c r="AX7" s="99" t="s">
        <v>17</v>
      </c>
      <c r="AY7" s="99" t="s">
        <v>18</v>
      </c>
      <c r="AZ7" s="100" t="s">
        <v>19</v>
      </c>
      <c r="BA7" s="99" t="s">
        <v>20</v>
      </c>
      <c r="BB7" s="99" t="s">
        <v>21</v>
      </c>
      <c r="BC7" s="101" t="s">
        <v>430</v>
      </c>
      <c r="BD7" s="101" t="s">
        <v>360</v>
      </c>
      <c r="BE7" s="101" t="s">
        <v>353</v>
      </c>
      <c r="BF7" s="101" t="s">
        <v>15</v>
      </c>
      <c r="BG7" s="102" t="s">
        <v>390</v>
      </c>
      <c r="BH7" s="98" t="s">
        <v>15</v>
      </c>
      <c r="BI7" s="99" t="s">
        <v>16</v>
      </c>
      <c r="BJ7" s="99" t="s">
        <v>22</v>
      </c>
      <c r="BK7" s="99" t="s">
        <v>20</v>
      </c>
      <c r="BL7" s="99" t="s">
        <v>21</v>
      </c>
      <c r="BM7" s="101" t="s">
        <v>430</v>
      </c>
      <c r="BN7" s="101" t="s">
        <v>360</v>
      </c>
      <c r="BO7" s="101" t="s">
        <v>353</v>
      </c>
      <c r="BP7" s="101" t="s">
        <v>15</v>
      </c>
      <c r="BQ7" s="102" t="s">
        <v>390</v>
      </c>
      <c r="BR7" s="98" t="s">
        <v>15</v>
      </c>
      <c r="BS7" s="99" t="s">
        <v>16</v>
      </c>
      <c r="BT7" s="99" t="s">
        <v>835</v>
      </c>
      <c r="BU7" s="99" t="s">
        <v>20</v>
      </c>
      <c r="BV7" s="99" t="s">
        <v>21</v>
      </c>
      <c r="BW7" s="101" t="s">
        <v>430</v>
      </c>
      <c r="BX7" s="101" t="s">
        <v>360</v>
      </c>
      <c r="BY7" s="101" t="s">
        <v>353</v>
      </c>
      <c r="BZ7" s="101" t="s">
        <v>15</v>
      </c>
      <c r="CA7" s="102" t="s">
        <v>390</v>
      </c>
      <c r="CB7" s="98" t="s">
        <v>15</v>
      </c>
      <c r="CC7" s="99" t="s">
        <v>16</v>
      </c>
      <c r="CD7" s="99" t="s">
        <v>17</v>
      </c>
      <c r="CE7" s="99" t="s">
        <v>18</v>
      </c>
      <c r="CF7" s="100" t="s">
        <v>19</v>
      </c>
      <c r="CG7" s="99" t="s">
        <v>20</v>
      </c>
      <c r="CH7" s="99" t="s">
        <v>21</v>
      </c>
      <c r="CI7" s="101" t="s">
        <v>430</v>
      </c>
      <c r="CJ7" s="101" t="s">
        <v>360</v>
      </c>
      <c r="CK7" s="101" t="s">
        <v>353</v>
      </c>
      <c r="CL7" s="101" t="s">
        <v>15</v>
      </c>
      <c r="CM7" s="102" t="s">
        <v>390</v>
      </c>
      <c r="CN7" s="98" t="s">
        <v>15</v>
      </c>
      <c r="CO7" s="99" t="s">
        <v>16</v>
      </c>
      <c r="CP7" s="99" t="s">
        <v>17</v>
      </c>
      <c r="CQ7" s="99" t="s">
        <v>18</v>
      </c>
      <c r="CR7" s="100" t="s">
        <v>19</v>
      </c>
      <c r="CS7" s="99" t="s">
        <v>20</v>
      </c>
      <c r="CT7" s="99" t="s">
        <v>21</v>
      </c>
      <c r="CU7" s="101" t="s">
        <v>430</v>
      </c>
      <c r="CV7" s="101" t="s">
        <v>360</v>
      </c>
      <c r="CW7" s="101" t="s">
        <v>353</v>
      </c>
      <c r="CX7" s="101" t="s">
        <v>15</v>
      </c>
      <c r="CY7" s="103" t="s">
        <v>390</v>
      </c>
    </row>
    <row r="8" spans="1:103" ht="15.75" customHeight="1" x14ac:dyDescent="0.25">
      <c r="A8" s="104" t="s">
        <v>23</v>
      </c>
      <c r="B8" s="105">
        <f t="shared" ref="B8:AI8" si="0">SUMIF($A$11:$A$122,"&lt;="&amp;$A$1,B$11:B$122)</f>
        <v>0</v>
      </c>
      <c r="C8" s="106">
        <f t="shared" ca="1" si="0"/>
        <v>0</v>
      </c>
      <c r="D8" s="106">
        <f t="shared" ca="1" si="0"/>
        <v>0</v>
      </c>
      <c r="E8" s="106">
        <f t="shared" ca="1" si="0"/>
        <v>0</v>
      </c>
      <c r="F8" s="107">
        <f t="shared" si="0"/>
        <v>5349648.32</v>
      </c>
      <c r="G8" s="106">
        <f t="shared" ca="1" si="0"/>
        <v>0</v>
      </c>
      <c r="H8" s="106">
        <f>SUMIF($A$11:$A$122,"&lt;="&amp;$A$1,H$11:H$122)</f>
        <v>0</v>
      </c>
      <c r="I8" s="106">
        <f t="shared" ca="1" si="0"/>
        <v>0</v>
      </c>
      <c r="J8" s="106">
        <f t="shared" ca="1" si="0"/>
        <v>0</v>
      </c>
      <c r="K8" s="106">
        <f t="shared" ca="1" si="0"/>
        <v>0</v>
      </c>
      <c r="L8" s="106">
        <f t="shared" ca="1" si="0"/>
        <v>0</v>
      </c>
      <c r="M8" s="107">
        <f t="shared" ca="1" si="0"/>
        <v>0</v>
      </c>
      <c r="N8" s="105">
        <f t="shared" si="0"/>
        <v>0</v>
      </c>
      <c r="O8" s="106">
        <f t="shared" ca="1" si="0"/>
        <v>0</v>
      </c>
      <c r="P8" s="106">
        <f t="shared" ca="1" si="0"/>
        <v>0</v>
      </c>
      <c r="Q8" s="106">
        <f t="shared" ca="1" si="0"/>
        <v>0</v>
      </c>
      <c r="R8" s="107">
        <f t="shared" si="0"/>
        <v>5133141.9800000004</v>
      </c>
      <c r="S8" s="106">
        <f t="shared" ca="1" si="0"/>
        <v>0</v>
      </c>
      <c r="T8" s="106">
        <f>SUMIF($A$11:$A$122,"&lt;="&amp;$A$1,T$11:T$122)</f>
        <v>0</v>
      </c>
      <c r="U8" s="106">
        <f t="shared" ca="1" si="0"/>
        <v>0</v>
      </c>
      <c r="V8" s="106">
        <f t="shared" ca="1" si="0"/>
        <v>0</v>
      </c>
      <c r="W8" s="106">
        <f t="shared" ca="1" si="0"/>
        <v>0</v>
      </c>
      <c r="X8" s="106">
        <f t="shared" ca="1" si="0"/>
        <v>0</v>
      </c>
      <c r="Y8" s="107">
        <f t="shared" ca="1" si="0"/>
        <v>0</v>
      </c>
      <c r="Z8" s="105">
        <f t="shared" si="0"/>
        <v>0</v>
      </c>
      <c r="AA8" s="106">
        <f t="shared" ca="1" si="0"/>
        <v>0</v>
      </c>
      <c r="AB8" s="108">
        <f t="shared" ca="1" si="0"/>
        <v>0</v>
      </c>
      <c r="AC8" s="106">
        <f t="shared" ca="1" si="0"/>
        <v>0</v>
      </c>
      <c r="AD8" s="106">
        <f t="shared" si="0"/>
        <v>0</v>
      </c>
      <c r="AE8" s="106">
        <f t="shared" ca="1" si="0"/>
        <v>0</v>
      </c>
      <c r="AF8" s="106">
        <f t="shared" ca="1" si="0"/>
        <v>0</v>
      </c>
      <c r="AG8" s="106">
        <f t="shared" ca="1" si="0"/>
        <v>0</v>
      </c>
      <c r="AH8" s="106">
        <f t="shared" ca="1" si="0"/>
        <v>0</v>
      </c>
      <c r="AI8" s="107">
        <f t="shared" ca="1" si="0"/>
        <v>0</v>
      </c>
      <c r="AJ8" s="105">
        <f>SUMIF($A$11:$A$122,"&lt;="&amp;$A$1,AJ$11:AJ$122)</f>
        <v>0</v>
      </c>
      <c r="AK8" s="106">
        <f ca="1">SUMIF($A$11:$A$122,"&lt;="&amp;$A$1,AK$11:AK$122)</f>
        <v>0</v>
      </c>
      <c r="AL8" s="106">
        <f ca="1">SUMIF($A$11:$A$122,"&lt;="&amp;$A$1,AL$11:AL$122)</f>
        <v>0</v>
      </c>
      <c r="AM8" s="106">
        <f ca="1">SUMIF($A$11:$A$122,"&lt;="&amp;$A$1,AM$11:AM$122)</f>
        <v>0</v>
      </c>
      <c r="AN8" s="107">
        <f t="shared" ref="AN8:CY8" si="1">SUMIF($A$11:$A$122,"&lt;="&amp;$A$1,AN$11:AN$122)</f>
        <v>3740573.55</v>
      </c>
      <c r="AO8" s="106">
        <f t="shared" ca="1" si="1"/>
        <v>0</v>
      </c>
      <c r="AP8" s="106">
        <f t="shared" si="1"/>
        <v>0</v>
      </c>
      <c r="AQ8" s="106">
        <f t="shared" ca="1" si="1"/>
        <v>0</v>
      </c>
      <c r="AR8" s="106">
        <f t="shared" ca="1" si="1"/>
        <v>0</v>
      </c>
      <c r="AS8" s="106">
        <f t="shared" ca="1" si="1"/>
        <v>0</v>
      </c>
      <c r="AT8" s="106">
        <f t="shared" ca="1" si="1"/>
        <v>0</v>
      </c>
      <c r="AU8" s="107">
        <f t="shared" ca="1" si="1"/>
        <v>0</v>
      </c>
      <c r="AV8" s="105">
        <f t="shared" si="1"/>
        <v>0</v>
      </c>
      <c r="AW8" s="106">
        <f t="shared" ca="1" si="1"/>
        <v>0</v>
      </c>
      <c r="AX8" s="106">
        <f ca="1">SUMIF($A$11:$A$122,"&lt;="&amp;$A$1,AX$11:AX$122)</f>
        <v>0</v>
      </c>
      <c r="AY8" s="106">
        <f ca="1">SUMIF($A$11:$A$122,"&lt;="&amp;$A$1,AY$11:AY$122)</f>
        <v>0</v>
      </c>
      <c r="AZ8" s="107">
        <f t="shared" si="1"/>
        <v>4610579.17</v>
      </c>
      <c r="BA8" s="106">
        <f ca="1">SUMIF($A$11:$A$122,"&lt;="&amp;$A$1,BA$11:BA$122)</f>
        <v>0</v>
      </c>
      <c r="BB8" s="106">
        <f t="shared" si="1"/>
        <v>0</v>
      </c>
      <c r="BC8" s="106">
        <f t="shared" ca="1" si="1"/>
        <v>0</v>
      </c>
      <c r="BD8" s="106">
        <f t="shared" ca="1" si="1"/>
        <v>0</v>
      </c>
      <c r="BE8" s="106">
        <f t="shared" ca="1" si="1"/>
        <v>0</v>
      </c>
      <c r="BF8" s="106">
        <f t="shared" ca="1" si="1"/>
        <v>0</v>
      </c>
      <c r="BG8" s="107">
        <f t="shared" ca="1" si="1"/>
        <v>0</v>
      </c>
      <c r="BH8" s="105">
        <f t="shared" si="1"/>
        <v>0</v>
      </c>
      <c r="BI8" s="106">
        <f t="shared" ca="1" si="1"/>
        <v>0</v>
      </c>
      <c r="BJ8" s="108">
        <f t="shared" ca="1" si="1"/>
        <v>9016972.4800000042</v>
      </c>
      <c r="BK8" s="106">
        <f t="shared" ca="1" si="1"/>
        <v>0</v>
      </c>
      <c r="BL8" s="106">
        <f t="shared" si="1"/>
        <v>0</v>
      </c>
      <c r="BM8" s="106">
        <f t="shared" ca="1" si="1"/>
        <v>0</v>
      </c>
      <c r="BN8" s="106">
        <f t="shared" ca="1" si="1"/>
        <v>0</v>
      </c>
      <c r="BO8" s="106">
        <f t="shared" ca="1" si="1"/>
        <v>0</v>
      </c>
      <c r="BP8" s="106">
        <f t="shared" ca="1" si="1"/>
        <v>0</v>
      </c>
      <c r="BQ8" s="107">
        <f t="shared" ca="1" si="1"/>
        <v>0</v>
      </c>
      <c r="BR8" s="105">
        <f t="shared" si="1"/>
        <v>0</v>
      </c>
      <c r="BS8" s="106">
        <f t="shared" ca="1" si="1"/>
        <v>0</v>
      </c>
      <c r="BT8" s="108">
        <f t="shared" ca="1" si="1"/>
        <v>0</v>
      </c>
      <c r="BU8" s="106">
        <f t="shared" ca="1" si="1"/>
        <v>0</v>
      </c>
      <c r="BV8" s="106">
        <f t="shared" si="1"/>
        <v>0</v>
      </c>
      <c r="BW8" s="106">
        <f t="shared" ca="1" si="1"/>
        <v>0</v>
      </c>
      <c r="BX8" s="106">
        <f t="shared" ca="1" si="1"/>
        <v>0</v>
      </c>
      <c r="BY8" s="106">
        <f t="shared" ca="1" si="1"/>
        <v>0</v>
      </c>
      <c r="BZ8" s="106">
        <f t="shared" ca="1" si="1"/>
        <v>0</v>
      </c>
      <c r="CA8" s="107">
        <f t="shared" ca="1" si="1"/>
        <v>0</v>
      </c>
      <c r="CB8" s="105">
        <f t="shared" si="1"/>
        <v>0</v>
      </c>
      <c r="CC8" s="106">
        <f t="shared" ca="1" si="1"/>
        <v>0</v>
      </c>
      <c r="CD8" s="106">
        <f t="shared" ca="1" si="1"/>
        <v>0</v>
      </c>
      <c r="CE8" s="106">
        <f t="shared" ca="1" si="1"/>
        <v>0</v>
      </c>
      <c r="CF8" s="107">
        <f t="shared" si="1"/>
        <v>6166463.8499999996</v>
      </c>
      <c r="CG8" s="106">
        <f t="shared" ca="1" si="1"/>
        <v>0</v>
      </c>
      <c r="CH8" s="106">
        <f t="shared" si="1"/>
        <v>0</v>
      </c>
      <c r="CI8" s="106">
        <f t="shared" ca="1" si="1"/>
        <v>0</v>
      </c>
      <c r="CJ8" s="106">
        <f t="shared" ca="1" si="1"/>
        <v>0</v>
      </c>
      <c r="CK8" s="106">
        <f t="shared" ca="1" si="1"/>
        <v>0</v>
      </c>
      <c r="CL8" s="106">
        <f t="shared" ca="1" si="1"/>
        <v>0</v>
      </c>
      <c r="CM8" s="107">
        <f t="shared" ca="1" si="1"/>
        <v>0</v>
      </c>
      <c r="CN8" s="105">
        <f t="shared" si="1"/>
        <v>0</v>
      </c>
      <c r="CO8" s="106">
        <f t="shared" ca="1" si="1"/>
        <v>0</v>
      </c>
      <c r="CP8" s="106">
        <f ca="1">SUMIF($A$11:$A$122,"&lt;="&amp;$A$1,CP$11:CP$122)</f>
        <v>0</v>
      </c>
      <c r="CQ8" s="106">
        <f t="shared" ca="1" si="1"/>
        <v>0</v>
      </c>
      <c r="CR8" s="107">
        <f t="shared" si="1"/>
        <v>1927173.3599999999</v>
      </c>
      <c r="CS8" s="106">
        <f ca="1">SUMIF($A$11:$A$122,"&lt;="&amp;$A$1,CS$11:CS$122)</f>
        <v>0</v>
      </c>
      <c r="CT8" s="106">
        <f t="shared" si="1"/>
        <v>0</v>
      </c>
      <c r="CU8" s="106">
        <f t="shared" ca="1" si="1"/>
        <v>0</v>
      </c>
      <c r="CV8" s="106">
        <f t="shared" si="1"/>
        <v>0</v>
      </c>
      <c r="CW8" s="106">
        <f t="shared" si="1"/>
        <v>0</v>
      </c>
      <c r="CX8" s="106">
        <f t="shared" si="1"/>
        <v>0</v>
      </c>
      <c r="CY8" s="109">
        <f t="shared" si="1"/>
        <v>0</v>
      </c>
    </row>
    <row r="9" spans="1:103" ht="15.75" customHeight="1" x14ac:dyDescent="0.25">
      <c r="A9" s="104" t="s">
        <v>24</v>
      </c>
      <c r="B9" s="110">
        <f>B$10-B$8</f>
        <v>0</v>
      </c>
      <c r="C9" s="106">
        <f ca="1">SUMIF($A$11:$A$122,"&gt;"&amp;$A$1,C$11:C$122)</f>
        <v>0</v>
      </c>
      <c r="D9" s="111">
        <f ca="1">IFERROR(SUMIF(ecns[empresa], D$6,ecns[repasse.cef.total])
-E$8
-E$9
-D$8,0)</f>
        <v>0</v>
      </c>
      <c r="E9" s="111">
        <v>0</v>
      </c>
      <c r="F9" s="112">
        <f>SUMIF($A$11:$A$122,"&gt;"&amp;$A$1,F$11:F$122)</f>
        <v>0</v>
      </c>
      <c r="G9" s="106">
        <f ca="1">SUMIF($A$11:$A$122,"&gt;"&amp;$A$1,G$11:G$122)</f>
        <v>0</v>
      </c>
      <c r="H9" s="108">
        <f>SUMIF($A$11:$A$122,"&gt;"&amp;$A$1,H$11:H$122)</f>
        <v>0</v>
      </c>
      <c r="I9" s="108">
        <f ca="1">SUMIF($A$11:$A$122,"&gt;"&amp;$A$1,I$11:I$122)</f>
        <v>0</v>
      </c>
      <c r="J9" s="108">
        <f ca="1">SUMIF($A$11:$A$122,"&gt;"&amp;$A$1,J$11:J$122)</f>
        <v>0</v>
      </c>
      <c r="K9" s="108">
        <f t="shared" ref="K9:M9" ca="1" si="2">SUMIF($A$11:$A$122,"&gt;"&amp;$A$1,K$11:K$122)</f>
        <v>0</v>
      </c>
      <c r="L9" s="108">
        <f t="shared" ca="1" si="2"/>
        <v>0</v>
      </c>
      <c r="M9" s="112">
        <f t="shared" ca="1" si="2"/>
        <v>0</v>
      </c>
      <c r="N9" s="110">
        <f>N$10-N$8</f>
        <v>0</v>
      </c>
      <c r="O9" s="106">
        <f ca="1">SUMIF($A$11:$A$122,"&gt;"&amp;$A$1,O$11:O$122)</f>
        <v>0</v>
      </c>
      <c r="P9" s="111">
        <v>0</v>
      </c>
      <c r="Q9" s="111">
        <v>0</v>
      </c>
      <c r="R9" s="112">
        <f>SUMIF($A$11:$A$122,"&gt;"&amp;$A$1,R$11:R$122)</f>
        <v>0</v>
      </c>
      <c r="S9" s="106">
        <f ca="1">SUMIF($A$11:$A$122,"&gt;"&amp;$A$1,S$11:S$122)</f>
        <v>0</v>
      </c>
      <c r="T9" s="108">
        <f>SUMIF($A$11:$A$122,"&gt;"&amp;$A$1,T$11:T$122)</f>
        <v>0</v>
      </c>
      <c r="U9" s="108">
        <f ca="1">SUMIF($A$11:$A$122,"&gt;"&amp;$A$1,U$11:U$122)</f>
        <v>0</v>
      </c>
      <c r="V9" s="108">
        <f ca="1">SUMIF($A$11:$A$122,"&gt;"&amp;$A$1,V$11:V$122)</f>
        <v>0</v>
      </c>
      <c r="W9" s="108">
        <f t="shared" ref="W9:Y9" ca="1" si="3">SUMIF($A$11:$A$122,"&gt;"&amp;$A$1,W$11:W$122)</f>
        <v>0</v>
      </c>
      <c r="X9" s="108">
        <f t="shared" ca="1" si="3"/>
        <v>0</v>
      </c>
      <c r="Y9" s="112">
        <f t="shared" ca="1" si="3"/>
        <v>0</v>
      </c>
      <c r="Z9" s="110" t="e">
        <f>Z$10-Z$8</f>
        <v>#REF!</v>
      </c>
      <c r="AA9" s="106">
        <f t="shared" ref="AA9:AI9" ca="1" si="4">SUMIF($A$11:$A$122,"&gt;"&amp;$A$1,AA$11:AA$122)</f>
        <v>0</v>
      </c>
      <c r="AB9" s="111">
        <f ca="1">SUMIFS(tb_rec_uni[soma.meses],
INDIRECT("tb_rec_uni[natureza]"),"parcela.fin.total.ik",
INDIRECT("tb_rec_uni[empresa]"),AB$6)-AB8</f>
        <v>0</v>
      </c>
      <c r="AC9" s="106">
        <f t="shared" ca="1" si="4"/>
        <v>0</v>
      </c>
      <c r="AD9" s="108">
        <f t="shared" si="4"/>
        <v>0</v>
      </c>
      <c r="AE9" s="108">
        <f t="shared" ca="1" si="4"/>
        <v>0</v>
      </c>
      <c r="AF9" s="108">
        <f t="shared" ca="1" si="4"/>
        <v>0</v>
      </c>
      <c r="AG9" s="108">
        <f t="shared" ca="1" si="4"/>
        <v>0</v>
      </c>
      <c r="AH9" s="108">
        <f t="shared" ca="1" si="4"/>
        <v>0</v>
      </c>
      <c r="AI9" s="112">
        <f t="shared" ca="1" si="4"/>
        <v>0</v>
      </c>
      <c r="AJ9" s="110">
        <f>AJ$10-AJ$8</f>
        <v>0</v>
      </c>
      <c r="AK9" s="106">
        <f ca="1">SUMIF($A$11:$A$122,"&gt;"&amp;$A$1,AK$11:AK$122)</f>
        <v>0</v>
      </c>
      <c r="AL9" s="111">
        <f ca="1">IFERROR(SUMIF(ecns[empresa], AL$6,ecns[repasse.cef.total])
-AM$8
-AM$9
-AL$8,0)</f>
        <v>0</v>
      </c>
      <c r="AM9" s="111">
        <v>0</v>
      </c>
      <c r="AN9" s="112">
        <f>SUMIF($A$11:$A$122,"&gt;"&amp;$A$1,AN$11:AN$122)</f>
        <v>0</v>
      </c>
      <c r="AO9" s="106">
        <f ca="1">SUMIF($A$11:$A$122,"&gt;"&amp;$A$1,AO$11:AO$122)</f>
        <v>0</v>
      </c>
      <c r="AP9" s="108">
        <f>SUMIF($A$11:$A$122,"&gt;"&amp;$A$1,AP$11:AP$122)</f>
        <v>0</v>
      </c>
      <c r="AQ9" s="108">
        <f ca="1">SUMIF($A$11:$A$122,"&gt;"&amp;$A$1,AQ$11:AQ$122)</f>
        <v>0</v>
      </c>
      <c r="AR9" s="108">
        <f ca="1">SUMIF($A$11:$A$122,"&gt;"&amp;$A$1,AR$11:AR$122)</f>
        <v>0</v>
      </c>
      <c r="AS9" s="108">
        <f t="shared" ref="AS9:AU9" ca="1" si="5">SUMIF($A$11:$A$122,"&gt;"&amp;$A$1,AS$11:AS$122)</f>
        <v>0</v>
      </c>
      <c r="AT9" s="108">
        <f t="shared" ca="1" si="5"/>
        <v>0</v>
      </c>
      <c r="AU9" s="112">
        <f t="shared" ca="1" si="5"/>
        <v>0</v>
      </c>
      <c r="AV9" s="110">
        <f>AV$10-AV$8</f>
        <v>0</v>
      </c>
      <c r="AW9" s="106">
        <f ca="1">SUMIF($A$11:$A$122,"&gt;"&amp;$A$1,AW$11:AW$122)</f>
        <v>0</v>
      </c>
      <c r="AX9" s="111">
        <f ca="1">IFERROR(SUMIF(ecns[empresa], AX$6,ecns[repasse.cef.total])
-AY$8
-AY$9
-AX$8,0)</f>
        <v>0</v>
      </c>
      <c r="AY9" s="111">
        <v>0</v>
      </c>
      <c r="AZ9" s="112">
        <f>SUMIF($A$11:$A$122,"&gt;"&amp;$A$1,AZ$11:AZ$122)</f>
        <v>0</v>
      </c>
      <c r="BA9" s="106">
        <f ca="1">SUMIF($A$11:$A$122,"&gt;"&amp;$A$1,BA$11:BA$122)</f>
        <v>0</v>
      </c>
      <c r="BB9" s="108">
        <f>SUMIF($A$11:$A$122,"&gt;"&amp;$A$1,BB$11:BB$122)</f>
        <v>0</v>
      </c>
      <c r="BC9" s="108">
        <f ca="1">SUMIF($A$11:$A$122,"&gt;"&amp;$A$1,BC$11:BC$122)</f>
        <v>0</v>
      </c>
      <c r="BD9" s="108">
        <f ca="1">SUMIF($A$11:$A$122,"&gt;"&amp;$A$1,BD$11:BD$122)</f>
        <v>0</v>
      </c>
      <c r="BE9" s="108">
        <f t="shared" ref="BE9:BG9" ca="1" si="6">SUMIF($A$11:$A$122,"&gt;"&amp;$A$1,BE$11:BE$122)</f>
        <v>0</v>
      </c>
      <c r="BF9" s="108">
        <f t="shared" ca="1" si="6"/>
        <v>0</v>
      </c>
      <c r="BG9" s="112">
        <f t="shared" ca="1" si="6"/>
        <v>0</v>
      </c>
      <c r="BH9" s="110">
        <f>BH$10-BH$8</f>
        <v>0</v>
      </c>
      <c r="BI9" s="106">
        <f t="shared" ref="BI9:CA9" ca="1" si="7">SUMIF($A$11:$A$122,"&gt;"&amp;$A$1,BI$11:BI$122)</f>
        <v>0</v>
      </c>
      <c r="BJ9" s="111">
        <f ca="1">SUMIFS(tb_rec_uni[soma.meses],
INDIRECT("tb_rec_uni[natureza]"),"parcela.fin.total.ik",
INDIRECT("tb_rec_uni[empresa]"),BJ$6)-BJ8</f>
        <v>-9016972.4800000042</v>
      </c>
      <c r="BK9" s="106">
        <f t="shared" ca="1" si="7"/>
        <v>0</v>
      </c>
      <c r="BL9" s="108">
        <f t="shared" si="7"/>
        <v>0</v>
      </c>
      <c r="BM9" s="108">
        <f t="shared" ca="1" si="7"/>
        <v>0</v>
      </c>
      <c r="BN9" s="108">
        <f t="shared" ca="1" si="7"/>
        <v>0</v>
      </c>
      <c r="BO9" s="108">
        <f t="shared" ca="1" si="7"/>
        <v>0</v>
      </c>
      <c r="BP9" s="108">
        <f t="shared" ca="1" si="7"/>
        <v>0</v>
      </c>
      <c r="BQ9" s="112">
        <f t="shared" ca="1" si="7"/>
        <v>0</v>
      </c>
      <c r="BR9" s="110">
        <f>BR$10-BR$8</f>
        <v>0</v>
      </c>
      <c r="BS9" s="106">
        <f t="shared" ca="1" si="7"/>
        <v>0</v>
      </c>
      <c r="BT9" s="111">
        <f ca="1">SUMIFS(tb_rec_uni[soma.meses],
INDIRECT("tb_rec_uni[natureza]"),"parcela.fin.total.ik",
INDIRECT("tb_rec_uni[empresa]"),BT$6)-BT8</f>
        <v>0</v>
      </c>
      <c r="BU9" s="106">
        <f t="shared" ca="1" si="7"/>
        <v>0</v>
      </c>
      <c r="BV9" s="108">
        <f t="shared" si="7"/>
        <v>0</v>
      </c>
      <c r="BW9" s="108">
        <f t="shared" ca="1" si="7"/>
        <v>0</v>
      </c>
      <c r="BX9" s="108">
        <f t="shared" ca="1" si="7"/>
        <v>0</v>
      </c>
      <c r="BY9" s="108">
        <f t="shared" ca="1" si="7"/>
        <v>0</v>
      </c>
      <c r="BZ9" s="108">
        <f t="shared" ca="1" si="7"/>
        <v>0</v>
      </c>
      <c r="CA9" s="112">
        <f t="shared" ca="1" si="7"/>
        <v>0</v>
      </c>
      <c r="CB9" s="110">
        <f>CB$10-CB$8</f>
        <v>0</v>
      </c>
      <c r="CC9" s="106">
        <f ca="1">SUMIF($A$11:$A$122,"&gt;"&amp;$A$1,CC$11:CC$122)</f>
        <v>0</v>
      </c>
      <c r="CD9" s="111">
        <f ca="1">IFERROR(SUMIF(ecns[empresa], CD$6,ecns[repasse.cef.total])
-CE$8
-CE$9
-CD$8,0)</f>
        <v>0</v>
      </c>
      <c r="CE9" s="111">
        <v>0</v>
      </c>
      <c r="CF9" s="112">
        <f>SUMIF($A$11:$A$122,"&gt;"&amp;$A$1,CF$11:CF$122)</f>
        <v>0</v>
      </c>
      <c r="CG9" s="106">
        <f ca="1">SUMIF($A$11:$A$122,"&gt;"&amp;$A$1,CG$11:CG$122)</f>
        <v>0</v>
      </c>
      <c r="CH9" s="108">
        <f>SUMIF($A$11:$A$122,"&gt;"&amp;$A$1,CH$11:CH$122)</f>
        <v>0</v>
      </c>
      <c r="CI9" s="108">
        <f ca="1">SUMIF($A$11:$A$122,"&gt;"&amp;$A$1,CI$11:CI$122)</f>
        <v>0</v>
      </c>
      <c r="CJ9" s="108">
        <f ca="1">SUMIF($A$11:$A$122,"&gt;"&amp;$A$1,CJ$11:CJ$122)</f>
        <v>0</v>
      </c>
      <c r="CK9" s="108">
        <f t="shared" ref="CK9:CM9" ca="1" si="8">SUMIF($A$11:$A$122,"&gt;"&amp;$A$1,CK$11:CK$122)</f>
        <v>0</v>
      </c>
      <c r="CL9" s="108">
        <f t="shared" ca="1" si="8"/>
        <v>0</v>
      </c>
      <c r="CM9" s="112">
        <f t="shared" ca="1" si="8"/>
        <v>0</v>
      </c>
      <c r="CN9" s="110">
        <f>CN$10-CN$8</f>
        <v>0</v>
      </c>
      <c r="CO9" s="106">
        <f ca="1">SUMIF($A$11:$A$122,"&gt;"&amp;$A$1,CO$11:CO$122)</f>
        <v>0</v>
      </c>
      <c r="CP9" s="111">
        <f ca="1">IFERROR(SUMIF(ecns[empresa], CP$6,ecns[repasse.cef.total])
-CQ$8
-CQ$9
-CP$8,0)</f>
        <v>0</v>
      </c>
      <c r="CQ9" s="111">
        <v>0</v>
      </c>
      <c r="CR9" s="112">
        <f>SUMIF($A$11:$A$122,"&gt;"&amp;$A$1,CR$11:CR$122)</f>
        <v>0</v>
      </c>
      <c r="CS9" s="106">
        <f ca="1">SUMIF($A$11:$A$122,"&gt;"&amp;$A$1,CS$11:CS$122)</f>
        <v>0</v>
      </c>
      <c r="CT9" s="108">
        <f>SUMIF($A$11:$A$122,"&gt;"&amp;$A$1,CT$11:CT$122)</f>
        <v>0</v>
      </c>
      <c r="CU9" s="108">
        <f ca="1">SUMIF($A$11:$A$122,"&gt;"&amp;$A$1,CU$11:CU$122)</f>
        <v>0</v>
      </c>
      <c r="CV9" s="108">
        <f>SUMIF($A$11:$A$122,"&gt;"&amp;$A$1,CV$11:CV$122)</f>
        <v>0</v>
      </c>
      <c r="CW9" s="108">
        <f t="shared" ref="CW9:CY9" si="9">SUMIF($A$11:$A$122,"&gt;"&amp;$A$1,CW$11:CW$122)</f>
        <v>0</v>
      </c>
      <c r="CX9" s="108">
        <f t="shared" si="9"/>
        <v>0</v>
      </c>
      <c r="CY9" s="113">
        <f t="shared" si="9"/>
        <v>0</v>
      </c>
    </row>
    <row r="10" spans="1:103" ht="15.75" customHeight="1" x14ac:dyDescent="0.25">
      <c r="A10" s="114" t="s">
        <v>25</v>
      </c>
      <c r="B10" s="110">
        <f>status.unis!I4</f>
        <v>0</v>
      </c>
      <c r="C10" s="115">
        <f t="shared" ref="C10:I10" ca="1" si="10">SUM(C8:C9)</f>
        <v>0</v>
      </c>
      <c r="D10" s="115">
        <f t="shared" ca="1" si="10"/>
        <v>0</v>
      </c>
      <c r="E10" s="115">
        <f t="shared" ca="1" si="10"/>
        <v>0</v>
      </c>
      <c r="F10" s="116">
        <f t="shared" si="10"/>
        <v>5349648.32</v>
      </c>
      <c r="G10" s="115">
        <f t="shared" ca="1" si="10"/>
        <v>0</v>
      </c>
      <c r="H10" s="115">
        <f t="shared" si="10"/>
        <v>0</v>
      </c>
      <c r="I10" s="115">
        <f t="shared" ca="1" si="10"/>
        <v>0</v>
      </c>
      <c r="J10" s="115">
        <f t="shared" ref="J10:M10" ca="1" si="11">SUM(J8:J9)</f>
        <v>0</v>
      </c>
      <c r="K10" s="115">
        <f t="shared" ca="1" si="11"/>
        <v>0</v>
      </c>
      <c r="L10" s="115">
        <f t="shared" ca="1" si="11"/>
        <v>0</v>
      </c>
      <c r="M10" s="116">
        <f t="shared" ca="1" si="11"/>
        <v>0</v>
      </c>
      <c r="N10" s="110">
        <f>status.unis!I8</f>
        <v>0</v>
      </c>
      <c r="O10" s="115">
        <f t="shared" ref="O10:Y10" ca="1" si="12">SUM(O8:O9)</f>
        <v>0</v>
      </c>
      <c r="P10" s="115">
        <f t="shared" ca="1" si="12"/>
        <v>0</v>
      </c>
      <c r="Q10" s="115">
        <f t="shared" ca="1" si="12"/>
        <v>0</v>
      </c>
      <c r="R10" s="116">
        <f t="shared" si="12"/>
        <v>5133141.9800000004</v>
      </c>
      <c r="S10" s="115">
        <f t="shared" ca="1" si="12"/>
        <v>0</v>
      </c>
      <c r="T10" s="115">
        <f t="shared" si="12"/>
        <v>0</v>
      </c>
      <c r="U10" s="115">
        <f t="shared" ca="1" si="12"/>
        <v>0</v>
      </c>
      <c r="V10" s="115">
        <f t="shared" ca="1" si="12"/>
        <v>0</v>
      </c>
      <c r="W10" s="115">
        <f t="shared" ca="1" si="12"/>
        <v>0</v>
      </c>
      <c r="X10" s="115">
        <f t="shared" ca="1" si="12"/>
        <v>0</v>
      </c>
      <c r="Y10" s="116">
        <f t="shared" ca="1" si="12"/>
        <v>0</v>
      </c>
      <c r="Z10" s="110" t="e">
        <f>status.unis!#REF!</f>
        <v>#REF!</v>
      </c>
      <c r="AA10" s="115">
        <f ca="1">SUM(AA8:AA9)</f>
        <v>0</v>
      </c>
      <c r="AB10" s="115">
        <f ca="1">SUM(AB8:AB9)</f>
        <v>0</v>
      </c>
      <c r="AC10" s="115">
        <f ca="1">SUM(AC8:AC9)</f>
        <v>0</v>
      </c>
      <c r="AD10" s="115">
        <f>SUM(AD8:AD9)</f>
        <v>0</v>
      </c>
      <c r="AE10" s="115">
        <f t="shared" ref="AE10:AI10" ca="1" si="13">SUM(AE8:AE9)</f>
        <v>0</v>
      </c>
      <c r="AF10" s="115">
        <f t="shared" ca="1" si="13"/>
        <v>0</v>
      </c>
      <c r="AG10" s="115">
        <f t="shared" ca="1" si="13"/>
        <v>0</v>
      </c>
      <c r="AH10" s="115">
        <f t="shared" ca="1" si="13"/>
        <v>0</v>
      </c>
      <c r="AI10" s="116">
        <f t="shared" ca="1" si="13"/>
        <v>0</v>
      </c>
      <c r="AJ10" s="110">
        <f>status.unis!I16</f>
        <v>0</v>
      </c>
      <c r="AK10" s="115">
        <f t="shared" ref="AK10:AU10" ca="1" si="14">SUM(AK8:AK9)</f>
        <v>0</v>
      </c>
      <c r="AL10" s="115">
        <f t="shared" ca="1" si="14"/>
        <v>0</v>
      </c>
      <c r="AM10" s="115">
        <f t="shared" ca="1" si="14"/>
        <v>0</v>
      </c>
      <c r="AN10" s="116">
        <f t="shared" si="14"/>
        <v>3740573.55</v>
      </c>
      <c r="AO10" s="115">
        <f t="shared" ca="1" si="14"/>
        <v>0</v>
      </c>
      <c r="AP10" s="115">
        <f t="shared" si="14"/>
        <v>0</v>
      </c>
      <c r="AQ10" s="115">
        <f t="shared" ca="1" si="14"/>
        <v>0</v>
      </c>
      <c r="AR10" s="115">
        <f t="shared" ca="1" si="14"/>
        <v>0</v>
      </c>
      <c r="AS10" s="115">
        <f t="shared" ca="1" si="14"/>
        <v>0</v>
      </c>
      <c r="AT10" s="115">
        <f t="shared" ca="1" si="14"/>
        <v>0</v>
      </c>
      <c r="AU10" s="116">
        <f t="shared" ca="1" si="14"/>
        <v>0</v>
      </c>
      <c r="AV10" s="110">
        <f>status.unis!I20</f>
        <v>0</v>
      </c>
      <c r="AW10" s="115">
        <f ca="1">SUM(AW8:AW9)</f>
        <v>0</v>
      </c>
      <c r="AX10" s="115">
        <f t="shared" ref="AX10:AZ10" ca="1" si="15">SUM(AX8:AX9)</f>
        <v>0</v>
      </c>
      <c r="AY10" s="115">
        <f t="shared" ca="1" si="15"/>
        <v>0</v>
      </c>
      <c r="AZ10" s="116">
        <f t="shared" si="15"/>
        <v>4610579.17</v>
      </c>
      <c r="BA10" s="115">
        <f ca="1">SUM(BA8:BA9)</f>
        <v>0</v>
      </c>
      <c r="BB10" s="115">
        <f>SUM(BB8:BB9)</f>
        <v>0</v>
      </c>
      <c r="BC10" s="115">
        <f t="shared" ref="BC10:BG10" ca="1" si="16">SUM(BC8:BC9)</f>
        <v>0</v>
      </c>
      <c r="BD10" s="115">
        <f t="shared" ca="1" si="16"/>
        <v>0</v>
      </c>
      <c r="BE10" s="115">
        <f t="shared" ca="1" si="16"/>
        <v>0</v>
      </c>
      <c r="BF10" s="115">
        <f t="shared" ca="1" si="16"/>
        <v>0</v>
      </c>
      <c r="BG10" s="116">
        <f t="shared" ca="1" si="16"/>
        <v>0</v>
      </c>
      <c r="BH10" s="110">
        <f>status.unis!I24</f>
        <v>0</v>
      </c>
      <c r="BI10" s="115">
        <f ca="1">SUM(BI8:BI9)</f>
        <v>0</v>
      </c>
      <c r="BJ10" s="115">
        <f ca="1">SUM(BJ8:BJ9)</f>
        <v>0</v>
      </c>
      <c r="BK10" s="115">
        <f ca="1">SUM(BK8:BK9)</f>
        <v>0</v>
      </c>
      <c r="BL10" s="115">
        <f>SUM(BL8:BL9)</f>
        <v>0</v>
      </c>
      <c r="BM10" s="115">
        <f t="shared" ref="BM10:BQ10" ca="1" si="17">SUM(BM8:BM9)</f>
        <v>0</v>
      </c>
      <c r="BN10" s="115">
        <f t="shared" ca="1" si="17"/>
        <v>0</v>
      </c>
      <c r="BO10" s="115">
        <f t="shared" ca="1" si="17"/>
        <v>0</v>
      </c>
      <c r="BP10" s="115">
        <f t="shared" ca="1" si="17"/>
        <v>0</v>
      </c>
      <c r="BQ10" s="116">
        <f t="shared" ca="1" si="17"/>
        <v>0</v>
      </c>
      <c r="BR10" s="110">
        <f>status.unis!AG4</f>
        <v>0</v>
      </c>
      <c r="BS10" s="115">
        <f ca="1">SUM(BS8:BS9)</f>
        <v>0</v>
      </c>
      <c r="BT10" s="115">
        <f ca="1">SUM(BT8:BT9)</f>
        <v>0</v>
      </c>
      <c r="BU10" s="115">
        <f ca="1">SUM(BU8:BU9)</f>
        <v>0</v>
      </c>
      <c r="BV10" s="115">
        <f>SUM(BV8:BV9)</f>
        <v>0</v>
      </c>
      <c r="BW10" s="115">
        <f t="shared" ref="BW10:CA10" ca="1" si="18">SUM(BW8:BW9)</f>
        <v>0</v>
      </c>
      <c r="BX10" s="115">
        <f t="shared" ca="1" si="18"/>
        <v>0</v>
      </c>
      <c r="BY10" s="115">
        <f t="shared" ca="1" si="18"/>
        <v>0</v>
      </c>
      <c r="BZ10" s="115">
        <f t="shared" ca="1" si="18"/>
        <v>0</v>
      </c>
      <c r="CA10" s="116">
        <f t="shared" ca="1" si="18"/>
        <v>0</v>
      </c>
      <c r="CB10" s="110">
        <f>status.unis!I32</f>
        <v>0</v>
      </c>
      <c r="CC10" s="115">
        <f t="shared" ref="CC10:CM10" ca="1" si="19">SUM(CC8:CC9)</f>
        <v>0</v>
      </c>
      <c r="CD10" s="115">
        <f t="shared" ca="1" si="19"/>
        <v>0</v>
      </c>
      <c r="CE10" s="115">
        <f t="shared" ca="1" si="19"/>
        <v>0</v>
      </c>
      <c r="CF10" s="116">
        <f t="shared" si="19"/>
        <v>6166463.8499999996</v>
      </c>
      <c r="CG10" s="115">
        <f t="shared" ca="1" si="19"/>
        <v>0</v>
      </c>
      <c r="CH10" s="115">
        <f t="shared" si="19"/>
        <v>0</v>
      </c>
      <c r="CI10" s="115">
        <f t="shared" ca="1" si="19"/>
        <v>0</v>
      </c>
      <c r="CJ10" s="115">
        <f t="shared" ca="1" si="19"/>
        <v>0</v>
      </c>
      <c r="CK10" s="115">
        <f t="shared" ca="1" si="19"/>
        <v>0</v>
      </c>
      <c r="CL10" s="115">
        <f t="shared" ca="1" si="19"/>
        <v>0</v>
      </c>
      <c r="CM10" s="116">
        <f t="shared" ca="1" si="19"/>
        <v>0</v>
      </c>
      <c r="CN10" s="110">
        <f>status.unis!I36</f>
        <v>0</v>
      </c>
      <c r="CO10" s="115">
        <f ca="1">SUM(CO8:CO9)</f>
        <v>0</v>
      </c>
      <c r="CP10" s="115">
        <f t="shared" ref="CP10:CR10" ca="1" si="20">SUM(CP8:CP9)</f>
        <v>0</v>
      </c>
      <c r="CQ10" s="115">
        <f t="shared" ca="1" si="20"/>
        <v>0</v>
      </c>
      <c r="CR10" s="116">
        <f t="shared" si="20"/>
        <v>1927173.3599999999</v>
      </c>
      <c r="CS10" s="115">
        <f ca="1">SUM(CS8:CS9)</f>
        <v>0</v>
      </c>
      <c r="CT10" s="115">
        <f>SUM(CT8:CT9)</f>
        <v>0</v>
      </c>
      <c r="CU10" s="115">
        <f t="shared" ref="CU10:CY10" ca="1" si="21">SUM(CU8:CU9)</f>
        <v>0</v>
      </c>
      <c r="CV10" s="115">
        <f t="shared" si="21"/>
        <v>0</v>
      </c>
      <c r="CW10" s="115">
        <f t="shared" si="21"/>
        <v>0</v>
      </c>
      <c r="CX10" s="115">
        <f t="shared" si="21"/>
        <v>0</v>
      </c>
      <c r="CY10" s="117">
        <f t="shared" si="21"/>
        <v>0</v>
      </c>
    </row>
    <row r="11" spans="1:103" x14ac:dyDescent="0.25">
      <c r="A11" s="118">
        <v>44440</v>
      </c>
      <c r="B11" s="119">
        <f>COUNTIFS(
    tb_estq[empresa], B$6,
    tb_estq[Data da venda / reserva], "&gt;=" &amp; $A11,
    tb_estq[Data da venda / reserva], "&lt;"  &amp; EOMONTH($A11,0) + 1
)</f>
        <v>0</v>
      </c>
      <c r="C11" s="120">
        <v>0</v>
      </c>
      <c r="D11" s="120">
        <v>0</v>
      </c>
      <c r="E11" s="120">
        <v>0</v>
      </c>
      <c r="F11" s="120">
        <v>0</v>
      </c>
      <c r="G11" s="120">
        <v>0</v>
      </c>
      <c r="H11" s="108"/>
      <c r="I11" s="120">
        <f ca="1">SUMIFS(
  m.vb[valor],
  m.vb[nucleo],$B$1,
  m.vb[variavel],I$7,
  m.vb[mes],$A11
)</f>
        <v>0</v>
      </c>
      <c r="J11" s="120">
        <f ca="1">SUMIFS(
  m.vb[valor],
  m.vb[nucleo],$B$1,
  m.vb[variavel],J$7,
  m.vb[mes],$A11
)</f>
        <v>0</v>
      </c>
      <c r="K11" s="120">
        <f ca="1">SUMIFS(
  m.vb[valor],
  m.vb[nucleo],$B$1,
  m.vb[variavel],K$7,
  m.vb[mes],$A11
)</f>
        <v>0</v>
      </c>
      <c r="L11" s="120">
        <f ca="1">SUMIFS(
  m.vb[valor],
  m.vb[nucleo],$B$1,
  m.vb[variavel],L$7,
  m.vb[mes],$A11
)</f>
        <v>0</v>
      </c>
      <c r="M11" s="121">
        <f ca="1">SUMIFS(
  m.vb[valor],
  m.vb[nucleo],$B$1,
  m.vb[variavel],M$7,
  m.vb[mes],$A11
)</f>
        <v>0</v>
      </c>
      <c r="N11" s="119">
        <f>COUNTIFS(
    tb_estq[empresa], N$6,
    tb_estq[Data da venda / reserva], "&gt;=" &amp; $A11,
    tb_estq[Data da venda / reserva], "&lt;"  &amp; EOMONTH($A11,0) + 1
)</f>
        <v>0</v>
      </c>
      <c r="O11" s="120">
        <v>0</v>
      </c>
      <c r="P11" s="120">
        <v>0</v>
      </c>
      <c r="Q11" s="120">
        <v>0</v>
      </c>
      <c r="R11" s="120">
        <v>0</v>
      </c>
      <c r="S11" s="120">
        <v>0</v>
      </c>
      <c r="T11" s="108"/>
      <c r="U11" s="120">
        <f ca="1">SUMIFS(
  m.vb[valor],
  m.vb[nucleo],$N$1,
  m.vb[variavel],U$7,
  m.vb[mes],$A11
)</f>
        <v>0</v>
      </c>
      <c r="V11" s="120">
        <f ca="1">SUMIFS(
  m.vb[valor],
  m.vb[nucleo],$N$1,
  m.vb[variavel],V$7,
  m.vb[mes],$A11
)</f>
        <v>0</v>
      </c>
      <c r="W11" s="120">
        <f ca="1">SUMIFS(
  m.vb[valor],
  m.vb[nucleo],$N$1,
  m.vb[variavel],W$7,
  m.vb[mes],$A11
)</f>
        <v>0</v>
      </c>
      <c r="X11" s="120">
        <f ca="1">SUMIFS(
  m.vb[valor],
  m.vb[nucleo],$N$1,
  m.vb[variavel],X$7,
  m.vb[mes],$A11
)</f>
        <v>0</v>
      </c>
      <c r="Y11" s="121">
        <f ca="1">SUMIFS(
  m.vb[valor],
  m.vb[nucleo],$N$1,
  m.vb[variavel],Y$7,
  m.vb[mes],$A11
)</f>
        <v>0</v>
      </c>
      <c r="Z11" s="119">
        <f>COUNTIFS(
    tb_estq[empresa], Z$6,
    tb_estq[Data da venda / reserva], "&gt;=" &amp; $A11,
    tb_estq[Data da venda / reserva], "&lt;"  &amp; EOMONTH($A11,0) + 1
)</f>
        <v>0</v>
      </c>
      <c r="AA11" s="120">
        <v>0</v>
      </c>
      <c r="AB11" s="120">
        <v>0</v>
      </c>
      <c r="AC11" s="120">
        <v>0</v>
      </c>
      <c r="AD11" s="108"/>
      <c r="AE11" s="120">
        <f ca="1">SUMIFS(
  m.vb[valor],
  m.vb[nucleo],$Z$1,
  m.vb[variavel],AE$7,
  m.vb[mes],$A11
)</f>
        <v>0</v>
      </c>
      <c r="AF11" s="120">
        <f ca="1">SUMIFS(
  m.vb[valor],
  m.vb[nucleo],$Z$1,
  m.vb[variavel],AF$7,
  m.vb[mes],$A11
)</f>
        <v>0</v>
      </c>
      <c r="AG11" s="120">
        <f ca="1">SUMIFS(
  m.vb[valor],
  m.vb[nucleo],$Z$1,
  m.vb[variavel],AG$7,
  m.vb[mes],$A11
)</f>
        <v>0</v>
      </c>
      <c r="AH11" s="120">
        <f ca="1">SUMIFS(
  m.vb[valor],
  m.vb[nucleo],$Z$1,
  m.vb[variavel],AH$7,
  m.vb[mes],$A11
)</f>
        <v>0</v>
      </c>
      <c r="AI11" s="121">
        <f ca="1">SUMIFS(
  m.vb[valor],
  m.vb[nucleo],$Z$1,
  m.vb[variavel],AI$7,
  m.vb[mes],$A11
)</f>
        <v>0</v>
      </c>
      <c r="AJ11" s="119">
        <f>COUNTIFS(
    tb_estq[empresa], AJ$6,
    tb_estq[Data da venda / reserva], "&gt;=" &amp; $A11,
    tb_estq[Data da venda / reserva], "&lt;"  &amp; EOMONTH($A11,0) + 1
)</f>
        <v>0</v>
      </c>
      <c r="AK11" s="120">
        <v>0</v>
      </c>
      <c r="AL11" s="120">
        <v>0</v>
      </c>
      <c r="AM11" s="120">
        <v>0</v>
      </c>
      <c r="AN11" s="120">
        <v>0</v>
      </c>
      <c r="AO11" s="120">
        <v>0</v>
      </c>
      <c r="AP11" s="108"/>
      <c r="AQ11" s="120">
        <f ca="1">SUMIFS(
  m.vb[valor],
  m.vb[nucleo],$AJ$1,
  m.vb[variavel],AQ$7,
  m.vb[mes],$A11
)</f>
        <v>0</v>
      </c>
      <c r="AR11" s="120">
        <f ca="1">SUMIFS(
  m.vb[valor],
  m.vb[nucleo],$AJ$1,
  m.vb[variavel],AR$7,
  m.vb[mes],$A11
)</f>
        <v>0</v>
      </c>
      <c r="AS11" s="120">
        <f ca="1">SUMIFS(
  m.vb[valor],
  m.vb[nucleo],$AJ$1,
  m.vb[variavel],AS$7,
  m.vb[mes],$A11
)</f>
        <v>0</v>
      </c>
      <c r="AT11" s="120">
        <f ca="1">SUMIFS(
  m.vb[valor],
  m.vb[nucleo],$AJ$1,
  m.vb[variavel],AT$7,
  m.vb[mes],$A11
)</f>
        <v>0</v>
      </c>
      <c r="AU11" s="121">
        <f ca="1">SUMIFS(
  m.vb[valor],
  m.vb[nucleo],$AJ$1,
  m.vb[variavel],AU$7,
  m.vb[mes],$A11
)</f>
        <v>0</v>
      </c>
      <c r="AV11" s="119">
        <f>COUNTIFS(
    tb_estq[empresa], AV$6,
    tb_estq[Data da venda / reserva], "&gt;=" &amp; $A11,
    tb_estq[Data da venda / reserva], "&lt;"  &amp; EOMONTH($A11,0) + 1
)</f>
        <v>0</v>
      </c>
      <c r="AW11" s="120">
        <v>0</v>
      </c>
      <c r="AX11" s="120">
        <v>0</v>
      </c>
      <c r="AY11" s="120">
        <v>0</v>
      </c>
      <c r="AZ11" s="120">
        <v>0</v>
      </c>
      <c r="BA11" s="120">
        <v>0</v>
      </c>
      <c r="BB11" s="108"/>
      <c r="BC11" s="120">
        <f ca="1">SUMIFS(
  m.vb[valor],
  m.vb[nucleo],$AV$1,
  m.vb[variavel],BC$7,
  m.vb[mes],$A11
)</f>
        <v>0</v>
      </c>
      <c r="BD11" s="120">
        <f ca="1">SUMIFS(
  m.vb[valor],
  m.vb[nucleo],$AV$1,
  m.vb[variavel],BD$7,
  m.vb[mes],$A11
)</f>
        <v>0</v>
      </c>
      <c r="BE11" s="120">
        <f ca="1">SUMIFS(
  m.vb[valor],
  m.vb[nucleo],$AV$1,
  m.vb[variavel],BE$7,
  m.vb[mes],$A11
)</f>
        <v>0</v>
      </c>
      <c r="BF11" s="120">
        <f ca="1">SUMIFS(
  m.vb[valor],
  m.vb[nucleo],$AV$1,
  m.vb[variavel],BF$7,
  m.vb[mes],$A11
)</f>
        <v>0</v>
      </c>
      <c r="BG11" s="121">
        <f ca="1">SUMIFS(
  m.vb[valor],
  m.vb[nucleo],$AV$1,
  m.vb[variavel],BG$7,
  m.vb[mes],$A11
)</f>
        <v>0</v>
      </c>
      <c r="BH11" s="119">
        <f>COUNTIFS(
    tb_estq[empresa], BH$6,
    tb_estq[Data da venda / reserva], "&gt;=" &amp; $A11,
    tb_estq[Data da venda / reserva], "&lt;"  &amp; EOMONTH($A11,0) + 1
)</f>
        <v>0</v>
      </c>
      <c r="BI11" s="120">
        <v>0</v>
      </c>
      <c r="BJ11" s="108">
        <v>0</v>
      </c>
      <c r="BK11" s="120">
        <v>0</v>
      </c>
      <c r="BL11" s="108"/>
      <c r="BM11" s="120">
        <f ca="1">SUMIFS(
  m.vb[valor],
  m.vb[nucleo],$BH$1,
  m.vb[variavel],BM$7,
  m.vb[mes],$A11
)</f>
        <v>0</v>
      </c>
      <c r="BN11" s="120">
        <f ca="1">SUMIFS(
  m.vb[valor],
  m.vb[nucleo],$BH$1,
  m.vb[variavel],BN$7,
  m.vb[mes],$A11
)</f>
        <v>0</v>
      </c>
      <c r="BO11" s="120">
        <f ca="1">SUMIFS(
  m.vb[valor],
  m.vb[nucleo],$BH$1,
  m.vb[variavel],BO$7,
  m.vb[mes],$A11
)</f>
        <v>0</v>
      </c>
      <c r="BP11" s="120">
        <f ca="1">SUMIFS(
  m.vb[valor],
  m.vb[nucleo],$BH$1,
  m.vb[variavel],BP$7,
  m.vb[mes],$A11
)</f>
        <v>0</v>
      </c>
      <c r="BQ11" s="121">
        <f ca="1">SUMIFS(
  m.vb[valor],
  m.vb[nucleo],$BH$1,
  m.vb[variavel],BQ$7,
  m.vb[mes],$A11
)</f>
        <v>0</v>
      </c>
      <c r="BR11" s="119">
        <f>COUNTIFS(
    tb_estq[empresa], BR$6,
    tb_estq[Data da venda / reserva], "&gt;=" &amp; $A11,
    tb_estq[Data da venda / reserva], "&lt;"  &amp; EOMONTH($A11,0) + 1
)</f>
        <v>0</v>
      </c>
      <c r="BS11" s="120">
        <v>0</v>
      </c>
      <c r="BT11" s="120">
        <v>0</v>
      </c>
      <c r="BU11" s="120">
        <v>0</v>
      </c>
      <c r="BV11" s="108"/>
      <c r="BW11" s="120">
        <f ca="1">SUMIFS(
  m.vb[valor],
  m.vb[nucleo],$BR$1,
  m.vb[variavel],BW$7,
  m.vb[mes],$A11
)</f>
        <v>0</v>
      </c>
      <c r="BX11" s="120">
        <f ca="1">SUMIFS(
  m.vb[valor],
  m.vb[nucleo],$BR$1,
  m.vb[variavel],BX$7,
  m.vb[mes],$A11
)</f>
        <v>0</v>
      </c>
      <c r="BY11" s="120">
        <f ca="1">SUMIFS(
  m.vb[valor],
  m.vb[nucleo],$BR$1,
  m.vb[variavel],BY$7,
  m.vb[mes],$A11
)</f>
        <v>0</v>
      </c>
      <c r="BZ11" s="120">
        <f ca="1">SUMIFS(
  m.vb[valor],
  m.vb[nucleo],$BR$1,
  m.vb[variavel],BZ$7,
  m.vb[mes],$A11
)</f>
        <v>0</v>
      </c>
      <c r="CA11" s="121">
        <f ca="1">SUMIFS(
  m.vb[valor],
  m.vb[nucleo],$BR$1,
  m.vb[variavel],CA$7,
  m.vb[mes],$A11
)</f>
        <v>0</v>
      </c>
      <c r="CB11" s="119">
        <f>COUNTIFS(
    tb_estq[empresa], CB$6,
    tb_estq[Data da venda / reserva], "&gt;=" &amp; $A11,
    tb_estq[Data da venda / reserva], "&lt;"  &amp; EOMONTH($A11,0) + 1
)</f>
        <v>0</v>
      </c>
      <c r="CC11" s="120">
        <v>0</v>
      </c>
      <c r="CD11" s="120">
        <v>0</v>
      </c>
      <c r="CE11" s="120">
        <v>0</v>
      </c>
      <c r="CF11" s="120">
        <v>0</v>
      </c>
      <c r="CG11" s="120">
        <v>0</v>
      </c>
      <c r="CH11" s="108"/>
      <c r="CI11" s="120">
        <f ca="1">SUMIFS(
  m.vb[valor],
  m.vb[nucleo],$CB$1,
  m.vb[variavel],CI$7,
  m.vb[mes],$A11
)</f>
        <v>0</v>
      </c>
      <c r="CJ11" s="120">
        <f ca="1">SUMIFS(
  m.vb[valor],
  m.vb[nucleo],$CB$1,
  m.vb[variavel],CJ$7,
  m.vb[mes],$A11
)</f>
        <v>0</v>
      </c>
      <c r="CK11" s="120">
        <f ca="1">SUMIFS(
  m.vb[valor],
  m.vb[nucleo],$CB$1,
  m.vb[variavel],CK$7,
  m.vb[mes],$A11
)</f>
        <v>0</v>
      </c>
      <c r="CL11" s="120">
        <f ca="1">SUMIFS(
  m.vb[valor],
  m.vb[nucleo],$CB$1,
  m.vb[variavel],CL$7,
  m.vb[mes],$A11
)</f>
        <v>0</v>
      </c>
      <c r="CM11" s="121">
        <f ca="1">SUMIFS(
  m.vb[valor],
  m.vb[nucleo],$CB$1,
  m.vb[variavel],CM$7,
  m.vb[mes],$A11
)</f>
        <v>0</v>
      </c>
      <c r="CN11" s="119">
        <f>COUNTIFS(
    tb_estq[empresa], CN$6,
    tb_estq[Data da venda / reserva], "&gt;=" &amp; $A11,
    tb_estq[Data da venda / reserva], "&lt;"  &amp; EOMONTH($A11,0) + 1
)</f>
        <v>0</v>
      </c>
      <c r="CO11" s="120">
        <v>0</v>
      </c>
      <c r="CP11" s="120">
        <v>0</v>
      </c>
      <c r="CQ11" s="120">
        <v>0</v>
      </c>
      <c r="CR11" s="120">
        <v>0</v>
      </c>
      <c r="CS11" s="120">
        <v>0</v>
      </c>
      <c r="CT11" s="108"/>
      <c r="CU11" s="120">
        <f ca="1">SUMIFS(
  m.vb[valor],
  m.vb[nucleo],$CN$1,
  m.vb[variavel],CU$7,
  m.vb[mes],$A11
)</f>
        <v>0</v>
      </c>
      <c r="CV11" s="120" cm="1">
        <f t="array" ref="CV11">SUMPRODUCT(
  IFERROR(--tb_desp[valor],0)*
  (tb_desp[nucleo]="UP MOVE VILA SONIA")*
  (tb_desp[categoria]=CV$7)*
  (tb_desp[data.pagamento]&gt;=$A11)*
  (tb_desp[data.pagamento]&lt;EOMONTH($A11,0)+1)
)</f>
        <v>0</v>
      </c>
      <c r="CW11" s="120" cm="1">
        <f t="array" ref="CW11">SUMPRODUCT(
  IFERROR(--tb_desp[valor],0)*
  (tb_desp[nucleo]="UP MOVE VILA SONIA")*
  (tb_desp[categoria]=CW$7)*
  (tb_desp[data.pagamento]&gt;=$A11)*
  (tb_desp[data.pagamento]&lt;EOMONTH($A11,0)+1)
)</f>
        <v>0</v>
      </c>
      <c r="CX11" s="120" cm="1">
        <f t="array" ref="CX11">SUMPRODUCT(
  IFERROR(--tb_desp[valor],0)*
  (tb_desp[nucleo]="UP MOVE VILA SONIA")*
  (tb_desp[categoria]=CX$7)*
  (tb_desp[data.pagamento]&gt;=$A11)*
  (tb_desp[data.pagamento]&lt;EOMONTH($A11,0)+1)
)</f>
        <v>0</v>
      </c>
      <c r="CY11" s="122" cm="1">
        <f t="array" ref="CY11">SUMPRODUCT(
  IFERROR(--tb_desp[valor],0)*
  (tb_desp[nucleo]="UP MOVE VILA SONIA")*
  (tb_desp[categoria]=CY$7)*
  (tb_desp[data.pagamento]&gt;=$A11)*
  (tb_desp[data.pagamento]&lt;EOMONTH($A11,0)+1)
)</f>
        <v>0</v>
      </c>
    </row>
    <row r="12" spans="1:103" x14ac:dyDescent="0.25">
      <c r="A12" s="118">
        <v>44470</v>
      </c>
      <c r="B12" s="119">
        <f>COUNTIFS(
    tb_estq[empresa], B$6,
    tb_estq[Data da venda / reserva], "&gt;=" &amp; $A12,
    tb_estq[Data da venda / reserva], "&lt;"  &amp; EOMONTH($A12,0) + 1
)</f>
        <v>0</v>
      </c>
      <c r="C12" s="120">
        <v>0</v>
      </c>
      <c r="D12" s="120">
        <v>0</v>
      </c>
      <c r="E12" s="120">
        <v>0</v>
      </c>
      <c r="F12" s="120">
        <v>0</v>
      </c>
      <c r="G12" s="120">
        <v>0</v>
      </c>
      <c r="H12" s="108"/>
      <c r="I12" s="120">
        <f ca="1">SUMIFS(
  m.vb[valor],
  m.vb[nucleo],$B$1,
  m.vb[variavel],I$7,
  m.vb[mes],$A12
)</f>
        <v>0</v>
      </c>
      <c r="J12" s="120">
        <f ca="1">SUMIFS(
  m.vb[valor],
  m.vb[nucleo],$B$1,
  m.vb[variavel],J$7,
  m.vb[mes],$A12
)</f>
        <v>0</v>
      </c>
      <c r="K12" s="120">
        <f ca="1">SUMIFS(
  m.vb[valor],
  m.vb[nucleo],$B$1,
  m.vb[variavel],K$7,
  m.vb[mes],$A12
)</f>
        <v>0</v>
      </c>
      <c r="L12" s="120">
        <f ca="1">SUMIFS(
  m.vb[valor],
  m.vb[nucleo],$B$1,
  m.vb[variavel],L$7,
  m.vb[mes],$A12
)</f>
        <v>0</v>
      </c>
      <c r="M12" s="121">
        <f ca="1">SUMIFS(
  m.vb[valor],
  m.vb[nucleo],$B$1,
  m.vb[variavel],M$7,
  m.vb[mes],$A12
)</f>
        <v>0</v>
      </c>
      <c r="N12" s="119">
        <f>COUNTIFS(
    tb_estq[empresa], N$6,
    tb_estq[Data da venda / reserva], "&gt;=" &amp; $A12,
    tb_estq[Data da venda / reserva], "&lt;"  &amp; EOMONTH($A12,0) + 1
)</f>
        <v>0</v>
      </c>
      <c r="O12" s="120">
        <v>0</v>
      </c>
      <c r="P12" s="120">
        <v>0</v>
      </c>
      <c r="Q12" s="120">
        <v>0</v>
      </c>
      <c r="R12" s="120">
        <v>0</v>
      </c>
      <c r="S12" s="120">
        <v>0</v>
      </c>
      <c r="T12" s="108"/>
      <c r="U12" s="120">
        <f ca="1">SUMIFS(
  m.vb[valor],
  m.vb[nucleo],$N$1,
  m.vb[variavel],U$7,
  m.vb[mes],$A12
)</f>
        <v>0</v>
      </c>
      <c r="V12" s="120">
        <f ca="1">SUMIFS(
  m.vb[valor],
  m.vb[nucleo],$N$1,
  m.vb[variavel],V$7,
  m.vb[mes],$A12
)</f>
        <v>0</v>
      </c>
      <c r="W12" s="120">
        <f ca="1">SUMIFS(
  m.vb[valor],
  m.vb[nucleo],$N$1,
  m.vb[variavel],W$7,
  m.vb[mes],$A12
)</f>
        <v>0</v>
      </c>
      <c r="X12" s="120">
        <f ca="1">SUMIFS(
  m.vb[valor],
  m.vb[nucleo],$N$1,
  m.vb[variavel],X$7,
  m.vb[mes],$A12
)</f>
        <v>0</v>
      </c>
      <c r="Y12" s="121">
        <f ca="1">SUMIFS(
  m.vb[valor],
  m.vb[nucleo],$N$1,
  m.vb[variavel],Y$7,
  m.vb[mes],$A12
)</f>
        <v>0</v>
      </c>
      <c r="Z12" s="119">
        <f>COUNTIFS(
    tb_estq[empresa], Z$6,
    tb_estq[Data da venda / reserva], "&gt;=" &amp; $A12,
    tb_estq[Data da venda / reserva], "&lt;"  &amp; EOMONTH($A12,0) + 1
)</f>
        <v>0</v>
      </c>
      <c r="AA12" s="120">
        <v>0</v>
      </c>
      <c r="AB12" s="120">
        <v>0</v>
      </c>
      <c r="AC12" s="120">
        <v>0</v>
      </c>
      <c r="AD12" s="108"/>
      <c r="AE12" s="120">
        <f ca="1">SUMIFS(
  m.vb[valor],
  m.vb[nucleo],$Z$1,
  m.vb[variavel],AE$7,
  m.vb[mes],$A12
)</f>
        <v>0</v>
      </c>
      <c r="AF12" s="120">
        <f ca="1">SUMIFS(
  m.vb[valor],
  m.vb[nucleo],$Z$1,
  m.vb[variavel],AF$7,
  m.vb[mes],$A12
)</f>
        <v>0</v>
      </c>
      <c r="AG12" s="120">
        <f ca="1">SUMIFS(
  m.vb[valor],
  m.vb[nucleo],$Z$1,
  m.vb[variavel],AG$7,
  m.vb[mes],$A12
)</f>
        <v>0</v>
      </c>
      <c r="AH12" s="120">
        <f ca="1">SUMIFS(
  m.vb[valor],
  m.vb[nucleo],$Z$1,
  m.vb[variavel],AH$7,
  m.vb[mes],$A12
)</f>
        <v>0</v>
      </c>
      <c r="AI12" s="121">
        <f ca="1">SUMIFS(
  m.vb[valor],
  m.vb[nucleo],$Z$1,
  m.vb[variavel],AI$7,
  m.vb[mes],$A12
)</f>
        <v>0</v>
      </c>
      <c r="AJ12" s="119">
        <f>COUNTIFS(
    tb_estq[empresa], AJ$6,
    tb_estq[Data da venda / reserva], "&gt;=" &amp; $A12,
    tb_estq[Data da venda / reserva], "&lt;"  &amp; EOMONTH($A12,0) + 1
)</f>
        <v>0</v>
      </c>
      <c r="AK12" s="120">
        <v>0</v>
      </c>
      <c r="AL12" s="120">
        <v>0</v>
      </c>
      <c r="AM12" s="120">
        <v>0</v>
      </c>
      <c r="AN12" s="120">
        <v>0</v>
      </c>
      <c r="AO12" s="120">
        <v>0</v>
      </c>
      <c r="AP12" s="108"/>
      <c r="AQ12" s="120">
        <f ca="1">SUMIFS(
  m.vb[valor],
  m.vb[nucleo],$AJ$1,
  m.vb[variavel],AQ$7,
  m.vb[mes],$A12
)</f>
        <v>0</v>
      </c>
      <c r="AR12" s="120">
        <f ca="1">SUMIFS(
  m.vb[valor],
  m.vb[nucleo],$AJ$1,
  m.vb[variavel],AR$7,
  m.vb[mes],$A12
)</f>
        <v>0</v>
      </c>
      <c r="AS12" s="120">
        <f ca="1">SUMIFS(
  m.vb[valor],
  m.vb[nucleo],$AJ$1,
  m.vb[variavel],AS$7,
  m.vb[mes],$A12
)</f>
        <v>0</v>
      </c>
      <c r="AT12" s="120">
        <f ca="1">SUMIFS(
  m.vb[valor],
  m.vb[nucleo],$AJ$1,
  m.vb[variavel],AT$7,
  m.vb[mes],$A12
)</f>
        <v>0</v>
      </c>
      <c r="AU12" s="121">
        <f ca="1">SUMIFS(
  m.vb[valor],
  m.vb[nucleo],$AJ$1,
  m.vb[variavel],AU$7,
  m.vb[mes],$A12
)</f>
        <v>0</v>
      </c>
      <c r="AV12" s="119">
        <f>COUNTIFS(
    tb_estq[empresa], AV$6,
    tb_estq[Data da venda / reserva], "&gt;=" &amp; $A12,
    tb_estq[Data da venda / reserva], "&lt;"  &amp; EOMONTH($A12,0) + 1
)</f>
        <v>0</v>
      </c>
      <c r="AW12" s="120">
        <v>0</v>
      </c>
      <c r="AX12" s="120">
        <v>0</v>
      </c>
      <c r="AY12" s="120">
        <v>0</v>
      </c>
      <c r="AZ12" s="120">
        <v>0</v>
      </c>
      <c r="BA12" s="120">
        <v>0</v>
      </c>
      <c r="BB12" s="108"/>
      <c r="BC12" s="120">
        <f ca="1">SUMIFS(
  m.vb[valor],
  m.vb[nucleo],$AV$1,
  m.vb[variavel],BC$7,
  m.vb[mes],$A12
)</f>
        <v>0</v>
      </c>
      <c r="BD12" s="120">
        <f ca="1">SUMIFS(
  m.vb[valor],
  m.vb[nucleo],$AV$1,
  m.vb[variavel],BD$7,
  m.vb[mes],$A12
)</f>
        <v>0</v>
      </c>
      <c r="BE12" s="120">
        <f ca="1">SUMIFS(
  m.vb[valor],
  m.vb[nucleo],$AV$1,
  m.vb[variavel],BE$7,
  m.vb[mes],$A12
)</f>
        <v>0</v>
      </c>
      <c r="BF12" s="120">
        <f ca="1">SUMIFS(
  m.vb[valor],
  m.vb[nucleo],$AV$1,
  m.vb[variavel],BF$7,
  m.vb[mes],$A12
)</f>
        <v>0</v>
      </c>
      <c r="BG12" s="121">
        <f ca="1">SUMIFS(
  m.vb[valor],
  m.vb[nucleo],$AV$1,
  m.vb[variavel],BG$7,
  m.vb[mes],$A12
)</f>
        <v>0</v>
      </c>
      <c r="BH12" s="119">
        <f>COUNTIFS(
    tb_estq[empresa], BH$6,
    tb_estq[Data da venda / reserva], "&gt;=" &amp; $A12,
    tb_estq[Data da venda / reserva], "&lt;"  &amp; EOMONTH($A12,0) + 1
)</f>
        <v>0</v>
      </c>
      <c r="BI12" s="120">
        <v>0</v>
      </c>
      <c r="BJ12" s="108">
        <v>0</v>
      </c>
      <c r="BK12" s="120">
        <v>0</v>
      </c>
      <c r="BL12" s="108"/>
      <c r="BM12" s="120">
        <f ca="1">SUMIFS(
  m.vb[valor],
  m.vb[nucleo],$BH$1,
  m.vb[variavel],BM$7,
  m.vb[mes],$A12
)</f>
        <v>0</v>
      </c>
      <c r="BN12" s="120">
        <f ca="1">SUMIFS(
  m.vb[valor],
  m.vb[nucleo],$BH$1,
  m.vb[variavel],BN$7,
  m.vb[mes],$A12
)</f>
        <v>0</v>
      </c>
      <c r="BO12" s="120">
        <f ca="1">SUMIFS(
  m.vb[valor],
  m.vb[nucleo],$BH$1,
  m.vb[variavel],BO$7,
  m.vb[mes],$A12
)</f>
        <v>0</v>
      </c>
      <c r="BP12" s="120">
        <f ca="1">SUMIFS(
  m.vb[valor],
  m.vb[nucleo],$BH$1,
  m.vb[variavel],BP$7,
  m.vb[mes],$A12
)</f>
        <v>0</v>
      </c>
      <c r="BQ12" s="121">
        <f ca="1">SUMIFS(
  m.vb[valor],
  m.vb[nucleo],$BH$1,
  m.vb[variavel],BQ$7,
  m.vb[mes],$A12
)</f>
        <v>0</v>
      </c>
      <c r="BR12" s="119">
        <f>COUNTIFS(
    tb_estq[empresa], BR$6,
    tb_estq[Data da venda / reserva], "&gt;=" &amp; $A12,
    tb_estq[Data da venda / reserva], "&lt;"  &amp; EOMONTH($A12,0) + 1
)</f>
        <v>0</v>
      </c>
      <c r="BS12" s="120">
        <v>0</v>
      </c>
      <c r="BT12" s="120">
        <v>0</v>
      </c>
      <c r="BU12" s="120">
        <v>0</v>
      </c>
      <c r="BV12" s="108"/>
      <c r="BW12" s="120">
        <f ca="1">SUMIFS(
  m.vb[valor],
  m.vb[nucleo],$BR$1,
  m.vb[variavel],BW$7,
  m.vb[mes],$A12
)</f>
        <v>0</v>
      </c>
      <c r="BX12" s="120">
        <f ca="1">SUMIFS(
  m.vb[valor],
  m.vb[nucleo],$BR$1,
  m.vb[variavel],BX$7,
  m.vb[mes],$A12
)</f>
        <v>0</v>
      </c>
      <c r="BY12" s="120">
        <f ca="1">SUMIFS(
  m.vb[valor],
  m.vb[nucleo],$BR$1,
  m.vb[variavel],BY$7,
  m.vb[mes],$A12
)</f>
        <v>0</v>
      </c>
      <c r="BZ12" s="120">
        <f ca="1">SUMIFS(
  m.vb[valor],
  m.vb[nucleo],$BR$1,
  m.vb[variavel],BZ$7,
  m.vb[mes],$A12
)</f>
        <v>0</v>
      </c>
      <c r="CA12" s="121">
        <f ca="1">SUMIFS(
  m.vb[valor],
  m.vb[nucleo],$BR$1,
  m.vb[variavel],CA$7,
  m.vb[mes],$A12
)</f>
        <v>0</v>
      </c>
      <c r="CB12" s="119">
        <f>COUNTIFS(
    tb_estq[empresa], CB$6,
    tb_estq[Data da venda / reserva], "&gt;=" &amp; $A12,
    tb_estq[Data da venda / reserva], "&lt;"  &amp; EOMONTH($A12,0) + 1
)</f>
        <v>0</v>
      </c>
      <c r="CC12" s="120">
        <v>0</v>
      </c>
      <c r="CD12" s="120">
        <v>0</v>
      </c>
      <c r="CE12" s="120">
        <v>0</v>
      </c>
      <c r="CF12" s="120">
        <v>0</v>
      </c>
      <c r="CG12" s="120">
        <v>0</v>
      </c>
      <c r="CH12" s="108"/>
      <c r="CI12" s="120">
        <f ca="1">SUMIFS(
  m.vb[valor],
  m.vb[nucleo],$CB$1,
  m.vb[variavel],CI$7,
  m.vb[mes],$A12
)</f>
        <v>0</v>
      </c>
      <c r="CJ12" s="120">
        <f ca="1">SUMIFS(
  m.vb[valor],
  m.vb[nucleo],$CB$1,
  m.vb[variavel],CJ$7,
  m.vb[mes],$A12
)</f>
        <v>0</v>
      </c>
      <c r="CK12" s="120">
        <f ca="1">SUMIFS(
  m.vb[valor],
  m.vb[nucleo],$CB$1,
  m.vb[variavel],CK$7,
  m.vb[mes],$A12
)</f>
        <v>0</v>
      </c>
      <c r="CL12" s="120">
        <f ca="1">SUMIFS(
  m.vb[valor],
  m.vb[nucleo],$CB$1,
  m.vb[variavel],CL$7,
  m.vb[mes],$A12
)</f>
        <v>0</v>
      </c>
      <c r="CM12" s="121">
        <f ca="1">SUMIFS(
  m.vb[valor],
  m.vb[nucleo],$CB$1,
  m.vb[variavel],CM$7,
  m.vb[mes],$A12
)</f>
        <v>0</v>
      </c>
      <c r="CN12" s="119">
        <f>COUNTIFS(
    tb_estq[empresa], CN$6,
    tb_estq[Data da venda / reserva], "&gt;=" &amp; $A12,
    tb_estq[Data da venda / reserva], "&lt;"  &amp; EOMONTH($A12,0) + 1
)</f>
        <v>0</v>
      </c>
      <c r="CO12" s="120">
        <v>0</v>
      </c>
      <c r="CP12" s="120">
        <v>0</v>
      </c>
      <c r="CQ12" s="120">
        <v>0</v>
      </c>
      <c r="CR12" s="120">
        <v>0</v>
      </c>
      <c r="CS12" s="120">
        <v>0</v>
      </c>
      <c r="CT12" s="108"/>
      <c r="CU12" s="120">
        <f ca="1">SUMIFS(
  m.vb[valor],
  m.vb[nucleo],$CN$1,
  m.vb[variavel],CU$7,
  m.vb[mes],$A12
)</f>
        <v>0</v>
      </c>
      <c r="CV12" s="120" cm="1">
        <f t="array" ref="CV12">SUMPRODUCT(
  IFERROR(--tb_desp[valor],0)*
  (tb_desp[nucleo]="UP MOVE VILA SONIA")*
  (tb_desp[categoria]=CV$7)*
  (tb_desp[data.pagamento]&gt;=$A12)*
  (tb_desp[data.pagamento]&lt;EOMONTH($A12,0)+1)
)</f>
        <v>0</v>
      </c>
      <c r="CW12" s="120" cm="1">
        <f t="array" ref="CW12">SUMPRODUCT(
  IFERROR(--tb_desp[valor],0)*
  (tb_desp[nucleo]="UP MOVE VILA SONIA")*
  (tb_desp[categoria]=CW$7)*
  (tb_desp[data.pagamento]&gt;=$A12)*
  (tb_desp[data.pagamento]&lt;EOMONTH($A12,0)+1)
)</f>
        <v>0</v>
      </c>
      <c r="CX12" s="120" cm="1">
        <f t="array" ref="CX12">SUMPRODUCT(
  IFERROR(--tb_desp[valor],0)*
  (tb_desp[nucleo]="UP MOVE VILA SONIA")*
  (tb_desp[categoria]=CX$7)*
  (tb_desp[data.pagamento]&gt;=$A12)*
  (tb_desp[data.pagamento]&lt;EOMONTH($A12,0)+1)
)</f>
        <v>0</v>
      </c>
      <c r="CY12" s="122" cm="1">
        <f t="array" ref="CY12">SUMPRODUCT(
  IFERROR(--tb_desp[valor],0)*
  (tb_desp[nucleo]="UP MOVE VILA SONIA")*
  (tb_desp[categoria]=CY$7)*
  (tb_desp[data.pagamento]&gt;=$A12)*
  (tb_desp[data.pagamento]&lt;EOMONTH($A12,0)+1)
)</f>
        <v>0</v>
      </c>
    </row>
    <row r="13" spans="1:103" x14ac:dyDescent="0.25">
      <c r="A13" s="118">
        <v>44501</v>
      </c>
      <c r="B13" s="119">
        <f>COUNTIFS(
    tb_estq[empresa], B$6,
    tb_estq[Data da venda / reserva], "&gt;=" &amp; $A13,
    tb_estq[Data da venda / reserva], "&lt;"  &amp; EOMONTH($A13,0) + 1
)</f>
        <v>0</v>
      </c>
      <c r="C13" s="120">
        <v>0</v>
      </c>
      <c r="D13" s="120">
        <v>0</v>
      </c>
      <c r="E13" s="120">
        <v>0</v>
      </c>
      <c r="F13" s="120">
        <v>0</v>
      </c>
      <c r="G13" s="120">
        <v>0</v>
      </c>
      <c r="H13" s="108"/>
      <c r="I13" s="120">
        <f ca="1">SUMIFS(
  m.vb[valor],
  m.vb[nucleo],$B$1,
  m.vb[variavel],I$7,
  m.vb[mes],$A13
)</f>
        <v>0</v>
      </c>
      <c r="J13" s="120">
        <f ca="1">SUMIFS(
  m.vb[valor],
  m.vb[nucleo],$B$1,
  m.vb[variavel],J$7,
  m.vb[mes],$A13
)</f>
        <v>0</v>
      </c>
      <c r="K13" s="120">
        <f ca="1">SUMIFS(
  m.vb[valor],
  m.vb[nucleo],$B$1,
  m.vb[variavel],K$7,
  m.vb[mes],$A13
)</f>
        <v>0</v>
      </c>
      <c r="L13" s="120">
        <f ca="1">SUMIFS(
  m.vb[valor],
  m.vb[nucleo],$B$1,
  m.vb[variavel],L$7,
  m.vb[mes],$A13
)</f>
        <v>0</v>
      </c>
      <c r="M13" s="121">
        <f ca="1">SUMIFS(
  m.vb[valor],
  m.vb[nucleo],$B$1,
  m.vb[variavel],M$7,
  m.vb[mes],$A13
)</f>
        <v>0</v>
      </c>
      <c r="N13" s="119">
        <f>COUNTIFS(
    tb_estq[empresa], N$6,
    tb_estq[Data da venda / reserva], "&gt;=" &amp; $A13,
    tb_estq[Data da venda / reserva], "&lt;"  &amp; EOMONTH($A13,0) + 1
)</f>
        <v>0</v>
      </c>
      <c r="O13" s="120">
        <v>0</v>
      </c>
      <c r="P13" s="120">
        <v>0</v>
      </c>
      <c r="Q13" s="120">
        <v>0</v>
      </c>
      <c r="R13" s="120">
        <v>0</v>
      </c>
      <c r="S13" s="120">
        <v>0</v>
      </c>
      <c r="T13" s="108"/>
      <c r="U13" s="120">
        <f ca="1">SUMIFS(
  m.vb[valor],
  m.vb[nucleo],$N$1,
  m.vb[variavel],U$7,
  m.vb[mes],$A13
)</f>
        <v>0</v>
      </c>
      <c r="V13" s="120">
        <f ca="1">SUMIFS(
  m.vb[valor],
  m.vb[nucleo],$N$1,
  m.vb[variavel],V$7,
  m.vb[mes],$A13
)</f>
        <v>0</v>
      </c>
      <c r="W13" s="120">
        <f ca="1">SUMIFS(
  m.vb[valor],
  m.vb[nucleo],$N$1,
  m.vb[variavel],W$7,
  m.vb[mes],$A13
)</f>
        <v>0</v>
      </c>
      <c r="X13" s="120">
        <f ca="1">SUMIFS(
  m.vb[valor],
  m.vb[nucleo],$N$1,
  m.vb[variavel],X$7,
  m.vb[mes],$A13
)</f>
        <v>0</v>
      </c>
      <c r="Y13" s="121">
        <f ca="1">SUMIFS(
  m.vb[valor],
  m.vb[nucleo],$N$1,
  m.vb[variavel],Y$7,
  m.vb[mes],$A13
)</f>
        <v>0</v>
      </c>
      <c r="Z13" s="119">
        <f>COUNTIFS(
    tb_estq[empresa], Z$6,
    tb_estq[Data da venda / reserva], "&gt;=" &amp; $A13,
    tb_estq[Data da venda / reserva], "&lt;"  &amp; EOMONTH($A13,0) + 1
)</f>
        <v>0</v>
      </c>
      <c r="AA13" s="120">
        <v>0</v>
      </c>
      <c r="AB13" s="120">
        <v>0</v>
      </c>
      <c r="AC13" s="120">
        <v>0</v>
      </c>
      <c r="AD13" s="108"/>
      <c r="AE13" s="120">
        <f ca="1">SUMIFS(
  m.vb[valor],
  m.vb[nucleo],$Z$1,
  m.vb[variavel],AE$7,
  m.vb[mes],$A13
)</f>
        <v>0</v>
      </c>
      <c r="AF13" s="120">
        <f ca="1">SUMIFS(
  m.vb[valor],
  m.vb[nucleo],$Z$1,
  m.vb[variavel],AF$7,
  m.vb[mes],$A13
)</f>
        <v>0</v>
      </c>
      <c r="AG13" s="120">
        <f ca="1">SUMIFS(
  m.vb[valor],
  m.vb[nucleo],$Z$1,
  m.vb[variavel],AG$7,
  m.vb[mes],$A13
)</f>
        <v>0</v>
      </c>
      <c r="AH13" s="120">
        <f ca="1">SUMIFS(
  m.vb[valor],
  m.vb[nucleo],$Z$1,
  m.vb[variavel],AH$7,
  m.vb[mes],$A13
)</f>
        <v>0</v>
      </c>
      <c r="AI13" s="121">
        <f ca="1">SUMIFS(
  m.vb[valor],
  m.vb[nucleo],$Z$1,
  m.vb[variavel],AI$7,
  m.vb[mes],$A13
)</f>
        <v>0</v>
      </c>
      <c r="AJ13" s="119">
        <f>COUNTIFS(
    tb_estq[empresa], AJ$6,
    tb_estq[Data da venda / reserva], "&gt;=" &amp; $A13,
    tb_estq[Data da venda / reserva], "&lt;"  &amp; EOMONTH($A13,0) + 1
)</f>
        <v>0</v>
      </c>
      <c r="AK13" s="120">
        <v>0</v>
      </c>
      <c r="AL13" s="120">
        <v>0</v>
      </c>
      <c r="AM13" s="120">
        <v>0</v>
      </c>
      <c r="AN13" s="120">
        <v>0</v>
      </c>
      <c r="AO13" s="120">
        <v>0</v>
      </c>
      <c r="AP13" s="108"/>
      <c r="AQ13" s="120">
        <f ca="1">SUMIFS(
  m.vb[valor],
  m.vb[nucleo],$AJ$1,
  m.vb[variavel],AQ$7,
  m.vb[mes],$A13
)</f>
        <v>0</v>
      </c>
      <c r="AR13" s="120">
        <f ca="1">SUMIFS(
  m.vb[valor],
  m.vb[nucleo],$AJ$1,
  m.vb[variavel],AR$7,
  m.vb[mes],$A13
)</f>
        <v>0</v>
      </c>
      <c r="AS13" s="120">
        <f ca="1">SUMIFS(
  m.vb[valor],
  m.vb[nucleo],$AJ$1,
  m.vb[variavel],AS$7,
  m.vb[mes],$A13
)</f>
        <v>0</v>
      </c>
      <c r="AT13" s="120">
        <f ca="1">SUMIFS(
  m.vb[valor],
  m.vb[nucleo],$AJ$1,
  m.vb[variavel],AT$7,
  m.vb[mes],$A13
)</f>
        <v>0</v>
      </c>
      <c r="AU13" s="121">
        <f ca="1">SUMIFS(
  m.vb[valor],
  m.vb[nucleo],$AJ$1,
  m.vb[variavel],AU$7,
  m.vb[mes],$A13
)</f>
        <v>0</v>
      </c>
      <c r="AV13" s="119">
        <f>COUNTIFS(
    tb_estq[empresa], AV$6,
    tb_estq[Data da venda / reserva], "&gt;=" &amp; $A13,
    tb_estq[Data da venda / reserva], "&lt;"  &amp; EOMONTH($A13,0) + 1
)</f>
        <v>0</v>
      </c>
      <c r="AW13" s="120">
        <v>0</v>
      </c>
      <c r="AX13" s="120">
        <v>0</v>
      </c>
      <c r="AY13" s="120">
        <v>0</v>
      </c>
      <c r="AZ13" s="120">
        <v>0</v>
      </c>
      <c r="BA13" s="120">
        <v>0</v>
      </c>
      <c r="BB13" s="108"/>
      <c r="BC13" s="120">
        <f ca="1">SUMIFS(
  m.vb[valor],
  m.vb[nucleo],$AV$1,
  m.vb[variavel],BC$7,
  m.vb[mes],$A13
)</f>
        <v>0</v>
      </c>
      <c r="BD13" s="120">
        <f ca="1">SUMIFS(
  m.vb[valor],
  m.vb[nucleo],$AV$1,
  m.vb[variavel],BD$7,
  m.vb[mes],$A13
)</f>
        <v>0</v>
      </c>
      <c r="BE13" s="120">
        <f ca="1">SUMIFS(
  m.vb[valor],
  m.vb[nucleo],$AV$1,
  m.vb[variavel],BE$7,
  m.vb[mes],$A13
)</f>
        <v>0</v>
      </c>
      <c r="BF13" s="120">
        <f ca="1">SUMIFS(
  m.vb[valor],
  m.vb[nucleo],$AV$1,
  m.vb[variavel],BF$7,
  m.vb[mes],$A13
)</f>
        <v>0</v>
      </c>
      <c r="BG13" s="121">
        <f ca="1">SUMIFS(
  m.vb[valor],
  m.vb[nucleo],$AV$1,
  m.vb[variavel],BG$7,
  m.vb[mes],$A13
)</f>
        <v>0</v>
      </c>
      <c r="BH13" s="119">
        <f>COUNTIFS(
    tb_estq[empresa], BH$6,
    tb_estq[Data da venda / reserva], "&gt;=" &amp; $A13,
    tb_estq[Data da venda / reserva], "&lt;"  &amp; EOMONTH($A13,0) + 1
)</f>
        <v>0</v>
      </c>
      <c r="BI13" s="120">
        <v>0</v>
      </c>
      <c r="BJ13" s="108">
        <v>0</v>
      </c>
      <c r="BK13" s="120">
        <v>0</v>
      </c>
      <c r="BL13" s="108"/>
      <c r="BM13" s="120">
        <f ca="1">SUMIFS(
  m.vb[valor],
  m.vb[nucleo],$BH$1,
  m.vb[variavel],BM$7,
  m.vb[mes],$A13
)</f>
        <v>0</v>
      </c>
      <c r="BN13" s="120">
        <f ca="1">SUMIFS(
  m.vb[valor],
  m.vb[nucleo],$BH$1,
  m.vb[variavel],BN$7,
  m.vb[mes],$A13
)</f>
        <v>0</v>
      </c>
      <c r="BO13" s="120">
        <f ca="1">SUMIFS(
  m.vb[valor],
  m.vb[nucleo],$BH$1,
  m.vb[variavel],BO$7,
  m.vb[mes],$A13
)</f>
        <v>0</v>
      </c>
      <c r="BP13" s="120">
        <f ca="1">SUMIFS(
  m.vb[valor],
  m.vb[nucleo],$BH$1,
  m.vb[variavel],BP$7,
  m.vb[mes],$A13
)</f>
        <v>0</v>
      </c>
      <c r="BQ13" s="121">
        <f ca="1">SUMIFS(
  m.vb[valor],
  m.vb[nucleo],$BH$1,
  m.vb[variavel],BQ$7,
  m.vb[mes],$A13
)</f>
        <v>0</v>
      </c>
      <c r="BR13" s="119">
        <f>COUNTIFS(
    tb_estq[empresa], BR$6,
    tb_estq[Data da venda / reserva], "&gt;=" &amp; $A13,
    tb_estq[Data da venda / reserva], "&lt;"  &amp; EOMONTH($A13,0) + 1
)</f>
        <v>0</v>
      </c>
      <c r="BS13" s="120">
        <v>0</v>
      </c>
      <c r="BT13" s="120">
        <v>0</v>
      </c>
      <c r="BU13" s="120">
        <v>0</v>
      </c>
      <c r="BV13" s="108"/>
      <c r="BW13" s="120">
        <f ca="1">SUMIFS(
  m.vb[valor],
  m.vb[nucleo],$BR$1,
  m.vb[variavel],BW$7,
  m.vb[mes],$A13
)</f>
        <v>0</v>
      </c>
      <c r="BX13" s="120">
        <f ca="1">SUMIFS(
  m.vb[valor],
  m.vb[nucleo],$BR$1,
  m.vb[variavel],BX$7,
  m.vb[mes],$A13
)</f>
        <v>0</v>
      </c>
      <c r="BY13" s="120">
        <f ca="1">SUMIFS(
  m.vb[valor],
  m.vb[nucleo],$BR$1,
  m.vb[variavel],BY$7,
  m.vb[mes],$A13
)</f>
        <v>0</v>
      </c>
      <c r="BZ13" s="120">
        <f ca="1">SUMIFS(
  m.vb[valor],
  m.vb[nucleo],$BR$1,
  m.vb[variavel],BZ$7,
  m.vb[mes],$A13
)</f>
        <v>0</v>
      </c>
      <c r="CA13" s="121">
        <f ca="1">SUMIFS(
  m.vb[valor],
  m.vb[nucleo],$BR$1,
  m.vb[variavel],CA$7,
  m.vb[mes],$A13
)</f>
        <v>0</v>
      </c>
      <c r="CB13" s="119">
        <f>COUNTIFS(
    tb_estq[empresa], CB$6,
    tb_estq[Data da venda / reserva], "&gt;=" &amp; $A13,
    tb_estq[Data da venda / reserva], "&lt;"  &amp; EOMONTH($A13,0) + 1
)</f>
        <v>0</v>
      </c>
      <c r="CC13" s="120">
        <v>0</v>
      </c>
      <c r="CD13" s="120">
        <v>0</v>
      </c>
      <c r="CE13" s="120">
        <v>0</v>
      </c>
      <c r="CF13" s="120">
        <v>0</v>
      </c>
      <c r="CG13" s="120">
        <v>0</v>
      </c>
      <c r="CH13" s="108"/>
      <c r="CI13" s="120">
        <f ca="1">SUMIFS(
  m.vb[valor],
  m.vb[nucleo],$CB$1,
  m.vb[variavel],CI$7,
  m.vb[mes],$A13
)</f>
        <v>0</v>
      </c>
      <c r="CJ13" s="120">
        <f ca="1">SUMIFS(
  m.vb[valor],
  m.vb[nucleo],$CB$1,
  m.vb[variavel],CJ$7,
  m.vb[mes],$A13
)</f>
        <v>0</v>
      </c>
      <c r="CK13" s="120">
        <f ca="1">SUMIFS(
  m.vb[valor],
  m.vb[nucleo],$CB$1,
  m.vb[variavel],CK$7,
  m.vb[mes],$A13
)</f>
        <v>0</v>
      </c>
      <c r="CL13" s="120">
        <f ca="1">SUMIFS(
  m.vb[valor],
  m.vb[nucleo],$CB$1,
  m.vb[variavel],CL$7,
  m.vb[mes],$A13
)</f>
        <v>0</v>
      </c>
      <c r="CM13" s="121">
        <f ca="1">SUMIFS(
  m.vb[valor],
  m.vb[nucleo],$CB$1,
  m.vb[variavel],CM$7,
  m.vb[mes],$A13
)</f>
        <v>0</v>
      </c>
      <c r="CN13" s="119">
        <f>COUNTIFS(
    tb_estq[empresa], CN$6,
    tb_estq[Data da venda / reserva], "&gt;=" &amp; $A13,
    tb_estq[Data da venda / reserva], "&lt;"  &amp; EOMONTH($A13,0) + 1
)</f>
        <v>0</v>
      </c>
      <c r="CO13" s="120">
        <v>0</v>
      </c>
      <c r="CP13" s="120">
        <v>0</v>
      </c>
      <c r="CQ13" s="120">
        <v>0</v>
      </c>
      <c r="CR13" s="120">
        <v>0</v>
      </c>
      <c r="CS13" s="120">
        <v>0</v>
      </c>
      <c r="CT13" s="108"/>
      <c r="CU13" s="120">
        <f ca="1">SUMIFS(
  m.vb[valor],
  m.vb[nucleo],$CN$1,
  m.vb[variavel],CU$7,
  m.vb[mes],$A13
)</f>
        <v>0</v>
      </c>
      <c r="CV13" s="120" cm="1">
        <f t="array" ref="CV13">SUMPRODUCT(
  IFERROR(--tb_desp[valor],0)*
  (tb_desp[nucleo]="UP MOVE VILA SONIA")*
  (tb_desp[categoria]=CV$7)*
  (tb_desp[data.pagamento]&gt;=$A13)*
  (tb_desp[data.pagamento]&lt;EOMONTH($A13,0)+1)
)</f>
        <v>0</v>
      </c>
      <c r="CW13" s="120" cm="1">
        <f t="array" ref="CW13">SUMPRODUCT(
  IFERROR(--tb_desp[valor],0)*
  (tb_desp[nucleo]="UP MOVE VILA SONIA")*
  (tb_desp[categoria]=CW$7)*
  (tb_desp[data.pagamento]&gt;=$A13)*
  (tb_desp[data.pagamento]&lt;EOMONTH($A13,0)+1)
)</f>
        <v>0</v>
      </c>
      <c r="CX13" s="120" cm="1">
        <f t="array" ref="CX13">SUMPRODUCT(
  IFERROR(--tb_desp[valor],0)*
  (tb_desp[nucleo]="UP MOVE VILA SONIA")*
  (tb_desp[categoria]=CX$7)*
  (tb_desp[data.pagamento]&gt;=$A13)*
  (tb_desp[data.pagamento]&lt;EOMONTH($A13,0)+1)
)</f>
        <v>0</v>
      </c>
      <c r="CY13" s="122" cm="1">
        <f t="array" ref="CY13">SUMPRODUCT(
  IFERROR(--tb_desp[valor],0)*
  (tb_desp[nucleo]="UP MOVE VILA SONIA")*
  (tb_desp[categoria]=CY$7)*
  (tb_desp[data.pagamento]&gt;=$A13)*
  (tb_desp[data.pagamento]&lt;EOMONTH($A13,0)+1)
)</f>
        <v>0</v>
      </c>
    </row>
    <row r="14" spans="1:103" x14ac:dyDescent="0.25">
      <c r="A14" s="118">
        <v>44531</v>
      </c>
      <c r="B14" s="119">
        <f>COUNTIFS(
    tb_estq[empresa], B$6,
    tb_estq[Data da venda / reserva], "&gt;=" &amp; $A14,
    tb_estq[Data da venda / reserva], "&lt;"  &amp; EOMONTH($A14,0) + 1
)</f>
        <v>0</v>
      </c>
      <c r="C14" s="120">
        <v>0</v>
      </c>
      <c r="D14" s="120">
        <v>0</v>
      </c>
      <c r="E14" s="120">
        <v>0</v>
      </c>
      <c r="F14" s="120">
        <v>0</v>
      </c>
      <c r="G14" s="120">
        <v>0</v>
      </c>
      <c r="H14" s="108"/>
      <c r="I14" s="120">
        <f ca="1">SUMIFS(
  m.vb[valor],
  m.vb[nucleo],$B$1,
  m.vb[variavel],I$7,
  m.vb[mes],$A14
)</f>
        <v>0</v>
      </c>
      <c r="J14" s="120">
        <f ca="1">SUMIFS(
  m.vb[valor],
  m.vb[nucleo],$B$1,
  m.vb[variavel],J$7,
  m.vb[mes],$A14
)</f>
        <v>0</v>
      </c>
      <c r="K14" s="120">
        <f ca="1">SUMIFS(
  m.vb[valor],
  m.vb[nucleo],$B$1,
  m.vb[variavel],K$7,
  m.vb[mes],$A14
)</f>
        <v>0</v>
      </c>
      <c r="L14" s="120">
        <f ca="1">SUMIFS(
  m.vb[valor],
  m.vb[nucleo],$B$1,
  m.vb[variavel],L$7,
  m.vb[mes],$A14
)</f>
        <v>0</v>
      </c>
      <c r="M14" s="121">
        <f ca="1">SUMIFS(
  m.vb[valor],
  m.vb[nucleo],$B$1,
  m.vb[variavel],M$7,
  m.vb[mes],$A14
)</f>
        <v>0</v>
      </c>
      <c r="N14" s="119">
        <f>COUNTIFS(
    tb_estq[empresa], N$6,
    tb_estq[Data da venda / reserva], "&gt;=" &amp; $A14,
    tb_estq[Data da venda / reserva], "&lt;"  &amp; EOMONTH($A14,0) + 1
)</f>
        <v>0</v>
      </c>
      <c r="O14" s="120">
        <v>0</v>
      </c>
      <c r="P14" s="120">
        <v>0</v>
      </c>
      <c r="Q14" s="120">
        <v>0</v>
      </c>
      <c r="R14" s="120">
        <v>0</v>
      </c>
      <c r="S14" s="120">
        <v>0</v>
      </c>
      <c r="T14" s="108"/>
      <c r="U14" s="120">
        <f ca="1">SUMIFS(
  m.vb[valor],
  m.vb[nucleo],$N$1,
  m.vb[variavel],U$7,
  m.vb[mes],$A14
)</f>
        <v>0</v>
      </c>
      <c r="V14" s="120">
        <f ca="1">SUMIFS(
  m.vb[valor],
  m.vb[nucleo],$N$1,
  m.vb[variavel],V$7,
  m.vb[mes],$A14
)</f>
        <v>0</v>
      </c>
      <c r="W14" s="120">
        <f ca="1">SUMIFS(
  m.vb[valor],
  m.vb[nucleo],$N$1,
  m.vb[variavel],W$7,
  m.vb[mes],$A14
)</f>
        <v>0</v>
      </c>
      <c r="X14" s="120">
        <f ca="1">SUMIFS(
  m.vb[valor],
  m.vb[nucleo],$N$1,
  m.vb[variavel],X$7,
  m.vb[mes],$A14
)</f>
        <v>0</v>
      </c>
      <c r="Y14" s="121">
        <f ca="1">SUMIFS(
  m.vb[valor],
  m.vb[nucleo],$N$1,
  m.vb[variavel],Y$7,
  m.vb[mes],$A14
)</f>
        <v>0</v>
      </c>
      <c r="Z14" s="119">
        <f>COUNTIFS(
    tb_estq[empresa], Z$6,
    tb_estq[Data da venda / reserva], "&gt;=" &amp; $A14,
    tb_estq[Data da venda / reserva], "&lt;"  &amp; EOMONTH($A14,0) + 1
)</f>
        <v>0</v>
      </c>
      <c r="AA14" s="120">
        <v>0</v>
      </c>
      <c r="AB14" s="120">
        <v>0</v>
      </c>
      <c r="AC14" s="120">
        <v>0</v>
      </c>
      <c r="AD14" s="108"/>
      <c r="AE14" s="120">
        <f ca="1">SUMIFS(
  m.vb[valor],
  m.vb[nucleo],$Z$1,
  m.vb[variavel],AE$7,
  m.vb[mes],$A14
)</f>
        <v>0</v>
      </c>
      <c r="AF14" s="120">
        <f ca="1">SUMIFS(
  m.vb[valor],
  m.vb[nucleo],$Z$1,
  m.vb[variavel],AF$7,
  m.vb[mes],$A14
)</f>
        <v>0</v>
      </c>
      <c r="AG14" s="120">
        <f ca="1">SUMIFS(
  m.vb[valor],
  m.vb[nucleo],$Z$1,
  m.vb[variavel],AG$7,
  m.vb[mes],$A14
)</f>
        <v>0</v>
      </c>
      <c r="AH14" s="120">
        <f ca="1">SUMIFS(
  m.vb[valor],
  m.vb[nucleo],$Z$1,
  m.vb[variavel],AH$7,
  m.vb[mes],$A14
)</f>
        <v>0</v>
      </c>
      <c r="AI14" s="121">
        <f ca="1">SUMIFS(
  m.vb[valor],
  m.vb[nucleo],$Z$1,
  m.vb[variavel],AI$7,
  m.vb[mes],$A14
)</f>
        <v>0</v>
      </c>
      <c r="AJ14" s="119">
        <f>COUNTIFS(
    tb_estq[empresa], AJ$6,
    tb_estq[Data da venda / reserva], "&gt;=" &amp; $A14,
    tb_estq[Data da venda / reserva], "&lt;"  &amp; EOMONTH($A14,0) + 1
)</f>
        <v>0</v>
      </c>
      <c r="AK14" s="120">
        <v>0</v>
      </c>
      <c r="AL14" s="120">
        <v>0</v>
      </c>
      <c r="AM14" s="120">
        <v>0</v>
      </c>
      <c r="AN14" s="120">
        <v>0</v>
      </c>
      <c r="AO14" s="120">
        <v>0</v>
      </c>
      <c r="AP14" s="108"/>
      <c r="AQ14" s="120">
        <f ca="1">SUMIFS(
  m.vb[valor],
  m.vb[nucleo],$AJ$1,
  m.vb[variavel],AQ$7,
  m.vb[mes],$A14
)</f>
        <v>0</v>
      </c>
      <c r="AR14" s="120">
        <f ca="1">SUMIFS(
  m.vb[valor],
  m.vb[nucleo],$AJ$1,
  m.vb[variavel],AR$7,
  m.vb[mes],$A14
)</f>
        <v>0</v>
      </c>
      <c r="AS14" s="120">
        <f ca="1">SUMIFS(
  m.vb[valor],
  m.vb[nucleo],$AJ$1,
  m.vb[variavel],AS$7,
  m.vb[mes],$A14
)</f>
        <v>0</v>
      </c>
      <c r="AT14" s="120">
        <f ca="1">SUMIFS(
  m.vb[valor],
  m.vb[nucleo],$AJ$1,
  m.vb[variavel],AT$7,
  m.vb[mes],$A14
)</f>
        <v>0</v>
      </c>
      <c r="AU14" s="121">
        <f ca="1">SUMIFS(
  m.vb[valor],
  m.vb[nucleo],$AJ$1,
  m.vb[variavel],AU$7,
  m.vb[mes],$A14
)</f>
        <v>0</v>
      </c>
      <c r="AV14" s="119">
        <f>COUNTIFS(
    tb_estq[empresa], AV$6,
    tb_estq[Data da venda / reserva], "&gt;=" &amp; $A14,
    tb_estq[Data da venda / reserva], "&lt;"  &amp; EOMONTH($A14,0) + 1
)</f>
        <v>0</v>
      </c>
      <c r="AW14" s="120">
        <v>0</v>
      </c>
      <c r="AX14" s="120">
        <v>0</v>
      </c>
      <c r="AY14" s="120">
        <v>0</v>
      </c>
      <c r="AZ14" s="120">
        <v>0</v>
      </c>
      <c r="BA14" s="120">
        <v>0</v>
      </c>
      <c r="BB14" s="108"/>
      <c r="BC14" s="120">
        <f ca="1">SUMIFS(
  m.vb[valor],
  m.vb[nucleo],$AV$1,
  m.vb[variavel],BC$7,
  m.vb[mes],$A14
)</f>
        <v>0</v>
      </c>
      <c r="BD14" s="120">
        <f ca="1">SUMIFS(
  m.vb[valor],
  m.vb[nucleo],$AV$1,
  m.vb[variavel],BD$7,
  m.vb[mes],$A14
)</f>
        <v>0</v>
      </c>
      <c r="BE14" s="120">
        <f ca="1">SUMIFS(
  m.vb[valor],
  m.vb[nucleo],$AV$1,
  m.vb[variavel],BE$7,
  m.vb[mes],$A14
)</f>
        <v>0</v>
      </c>
      <c r="BF14" s="120">
        <f ca="1">SUMIFS(
  m.vb[valor],
  m.vb[nucleo],$AV$1,
  m.vb[variavel],BF$7,
  m.vb[mes],$A14
)</f>
        <v>0</v>
      </c>
      <c r="BG14" s="121">
        <f ca="1">SUMIFS(
  m.vb[valor],
  m.vb[nucleo],$AV$1,
  m.vb[variavel],BG$7,
  m.vb[mes],$A14
)</f>
        <v>0</v>
      </c>
      <c r="BH14" s="119">
        <f>COUNTIFS(
    tb_estq[empresa], BH$6,
    tb_estq[Data da venda / reserva], "&gt;=" &amp; $A14,
    tb_estq[Data da venda / reserva], "&lt;"  &amp; EOMONTH($A14,0) + 1
)</f>
        <v>0</v>
      </c>
      <c r="BI14" s="120">
        <v>0</v>
      </c>
      <c r="BJ14" s="108">
        <v>0</v>
      </c>
      <c r="BK14" s="120">
        <v>0</v>
      </c>
      <c r="BL14" s="108"/>
      <c r="BM14" s="120">
        <f ca="1">SUMIFS(
  m.vb[valor],
  m.vb[nucleo],$BH$1,
  m.vb[variavel],BM$7,
  m.vb[mes],$A14
)</f>
        <v>0</v>
      </c>
      <c r="BN14" s="120">
        <f ca="1">SUMIFS(
  m.vb[valor],
  m.vb[nucleo],$BH$1,
  m.vb[variavel],BN$7,
  m.vb[mes],$A14
)</f>
        <v>0</v>
      </c>
      <c r="BO14" s="120">
        <f ca="1">SUMIFS(
  m.vb[valor],
  m.vb[nucleo],$BH$1,
  m.vb[variavel],BO$7,
  m.vb[mes],$A14
)</f>
        <v>0</v>
      </c>
      <c r="BP14" s="120">
        <f ca="1">SUMIFS(
  m.vb[valor],
  m.vb[nucleo],$BH$1,
  m.vb[variavel],BP$7,
  m.vb[mes],$A14
)</f>
        <v>0</v>
      </c>
      <c r="BQ14" s="121">
        <f ca="1">SUMIFS(
  m.vb[valor],
  m.vb[nucleo],$BH$1,
  m.vb[variavel],BQ$7,
  m.vb[mes],$A14
)</f>
        <v>0</v>
      </c>
      <c r="BR14" s="119">
        <f>COUNTIFS(
    tb_estq[empresa], BR$6,
    tb_estq[Data da venda / reserva], "&gt;=" &amp; $A14,
    tb_estq[Data da venda / reserva], "&lt;"  &amp; EOMONTH($A14,0) + 1
)</f>
        <v>0</v>
      </c>
      <c r="BS14" s="120">
        <v>0</v>
      </c>
      <c r="BT14" s="120">
        <v>0</v>
      </c>
      <c r="BU14" s="120">
        <v>0</v>
      </c>
      <c r="BV14" s="108"/>
      <c r="BW14" s="120">
        <f ca="1">SUMIFS(
  m.vb[valor],
  m.vb[nucleo],$BR$1,
  m.vb[variavel],BW$7,
  m.vb[mes],$A14
)</f>
        <v>0</v>
      </c>
      <c r="BX14" s="120">
        <f ca="1">SUMIFS(
  m.vb[valor],
  m.vb[nucleo],$BR$1,
  m.vb[variavel],BX$7,
  m.vb[mes],$A14
)</f>
        <v>0</v>
      </c>
      <c r="BY14" s="120">
        <f ca="1">SUMIFS(
  m.vb[valor],
  m.vb[nucleo],$BR$1,
  m.vb[variavel],BY$7,
  m.vb[mes],$A14
)</f>
        <v>0</v>
      </c>
      <c r="BZ14" s="120">
        <f ca="1">SUMIFS(
  m.vb[valor],
  m.vb[nucleo],$BR$1,
  m.vb[variavel],BZ$7,
  m.vb[mes],$A14
)</f>
        <v>0</v>
      </c>
      <c r="CA14" s="121">
        <f ca="1">SUMIFS(
  m.vb[valor],
  m.vb[nucleo],$BR$1,
  m.vb[variavel],CA$7,
  m.vb[mes],$A14
)</f>
        <v>0</v>
      </c>
      <c r="CB14" s="119">
        <f>COUNTIFS(
    tb_estq[empresa], CB$6,
    tb_estq[Data da venda / reserva], "&gt;=" &amp; $A14,
    tb_estq[Data da venda / reserva], "&lt;"  &amp; EOMONTH($A14,0) + 1
)</f>
        <v>0</v>
      </c>
      <c r="CC14" s="120">
        <v>0</v>
      </c>
      <c r="CD14" s="120">
        <v>0</v>
      </c>
      <c r="CE14" s="120">
        <v>0</v>
      </c>
      <c r="CF14" s="120">
        <v>0</v>
      </c>
      <c r="CG14" s="120">
        <v>0</v>
      </c>
      <c r="CH14" s="108"/>
      <c r="CI14" s="120">
        <f ca="1">SUMIFS(
  m.vb[valor],
  m.vb[nucleo],$CB$1,
  m.vb[variavel],CI$7,
  m.vb[mes],$A14
)</f>
        <v>0</v>
      </c>
      <c r="CJ14" s="120">
        <f ca="1">SUMIFS(
  m.vb[valor],
  m.vb[nucleo],$CB$1,
  m.vb[variavel],CJ$7,
  m.vb[mes],$A14
)</f>
        <v>0</v>
      </c>
      <c r="CK14" s="120">
        <f ca="1">SUMIFS(
  m.vb[valor],
  m.vb[nucleo],$CB$1,
  m.vb[variavel],CK$7,
  m.vb[mes],$A14
)</f>
        <v>0</v>
      </c>
      <c r="CL14" s="120">
        <f ca="1">SUMIFS(
  m.vb[valor],
  m.vb[nucleo],$CB$1,
  m.vb[variavel],CL$7,
  m.vb[mes],$A14
)</f>
        <v>0</v>
      </c>
      <c r="CM14" s="121">
        <f ca="1">SUMIFS(
  m.vb[valor],
  m.vb[nucleo],$CB$1,
  m.vb[variavel],CM$7,
  m.vb[mes],$A14
)</f>
        <v>0</v>
      </c>
      <c r="CN14" s="119">
        <f>COUNTIFS(
    tb_estq[empresa], CN$6,
    tb_estq[Data da venda / reserva], "&gt;=" &amp; $A14,
    tb_estq[Data da venda / reserva], "&lt;"  &amp; EOMONTH($A14,0) + 1
)</f>
        <v>0</v>
      </c>
      <c r="CO14" s="120">
        <v>0</v>
      </c>
      <c r="CP14" s="120">
        <v>0</v>
      </c>
      <c r="CQ14" s="120">
        <v>0</v>
      </c>
      <c r="CR14" s="120">
        <v>0</v>
      </c>
      <c r="CS14" s="120">
        <v>0</v>
      </c>
      <c r="CT14" s="108"/>
      <c r="CU14" s="120">
        <f ca="1">SUMIFS(
  m.vb[valor],
  m.vb[nucleo],$CN$1,
  m.vb[variavel],CU$7,
  m.vb[mes],$A14
)</f>
        <v>0</v>
      </c>
      <c r="CV14" s="120" cm="1">
        <f t="array" ref="CV14">SUMPRODUCT(
  IFERROR(--tb_desp[valor],0)*
  (tb_desp[nucleo]="UP MOVE VILA SONIA")*
  (tb_desp[categoria]=CV$7)*
  (tb_desp[data.pagamento]&gt;=$A14)*
  (tb_desp[data.pagamento]&lt;EOMONTH($A14,0)+1)
)</f>
        <v>0</v>
      </c>
      <c r="CW14" s="120" cm="1">
        <f t="array" ref="CW14">SUMPRODUCT(
  IFERROR(--tb_desp[valor],0)*
  (tb_desp[nucleo]="UP MOVE VILA SONIA")*
  (tb_desp[categoria]=CW$7)*
  (tb_desp[data.pagamento]&gt;=$A14)*
  (tb_desp[data.pagamento]&lt;EOMONTH($A14,0)+1)
)</f>
        <v>0</v>
      </c>
      <c r="CX14" s="120" cm="1">
        <f t="array" ref="CX14">SUMPRODUCT(
  IFERROR(--tb_desp[valor],0)*
  (tb_desp[nucleo]="UP MOVE VILA SONIA")*
  (tb_desp[categoria]=CX$7)*
  (tb_desp[data.pagamento]&gt;=$A14)*
  (tb_desp[data.pagamento]&lt;EOMONTH($A14,0)+1)
)</f>
        <v>0</v>
      </c>
      <c r="CY14" s="122" cm="1">
        <f t="array" ref="CY14">SUMPRODUCT(
  IFERROR(--tb_desp[valor],0)*
  (tb_desp[nucleo]="UP MOVE VILA SONIA")*
  (tb_desp[categoria]=CY$7)*
  (tb_desp[data.pagamento]&gt;=$A14)*
  (tb_desp[data.pagamento]&lt;EOMONTH($A14,0)+1)
)</f>
        <v>0</v>
      </c>
    </row>
    <row r="15" spans="1:103" x14ac:dyDescent="0.25">
      <c r="A15" s="118">
        <v>44562</v>
      </c>
      <c r="B15" s="119">
        <f>COUNTIFS(
    tb_estq[empresa], B$6,
    tb_estq[Data da venda / reserva], "&gt;=" &amp; $A15,
    tb_estq[Data da venda / reserva], "&lt;"  &amp; EOMONTH($A15,0) + 1
)</f>
        <v>0</v>
      </c>
      <c r="C15" s="120">
        <f ca="1">SUMIFS(tb_rec_uni[2022-01-01],
INDIRECT("tb_rec_uni[natureza]"),"pro.soluto",
INDIRECT("tb_rec_uni[empresa]"),C$6)</f>
        <v>0</v>
      </c>
      <c r="D15" s="120">
        <f ca="1">SUMIFS(tb_rec_uni[2022-01-01],
INDIRECT("tb_rec_uni[natureza]"),"repasse.cef.obra",
INDIRECT("tb_rec_uni[empresa]"),D$6)</f>
        <v>0</v>
      </c>
      <c r="E15" s="120">
        <f ca="1">SUMIFS(tb_rec_uni[2022-01-01],
INDIRECT("tb_rec_uni[natureza]"),"repasse.cef.terreno",
INDIRECT("tb_rec_uni[empresa]"),E$6)</f>
        <v>0</v>
      </c>
      <c r="F15" s="120">
        <v>0</v>
      </c>
      <c r="G15" s="120">
        <f ca="1">SUMIFS(tb_rec_uni[2022-01-01],
INDIRECT("tb_rec_uni[natureza]"),"taxa.extra",
INDIRECT("tb_rec_uni[empresa]"),G$6)</f>
        <v>0</v>
      </c>
      <c r="H15" s="108"/>
      <c r="I15" s="120">
        <f ca="1">SUMIFS(
  m.vb[valor],
  m.vb[nucleo],$B$1,
  m.vb[variavel],I$7,
  m.vb[mes],$A15
)</f>
        <v>0</v>
      </c>
      <c r="J15" s="120">
        <f ca="1">SUMIFS(
  m.vb[valor],
  m.vb[nucleo],$B$1,
  m.vb[variavel],J$7,
  m.vb[mes],$A15
)</f>
        <v>0</v>
      </c>
      <c r="K15" s="120">
        <f ca="1">SUMIFS(
  m.vb[valor],
  m.vb[nucleo],$B$1,
  m.vb[variavel],K$7,
  m.vb[mes],$A15
)</f>
        <v>0</v>
      </c>
      <c r="L15" s="120">
        <f ca="1">SUMIFS(
  m.vb[valor],
  m.vb[nucleo],$B$1,
  m.vb[variavel],L$7,
  m.vb[mes],$A15
)</f>
        <v>0</v>
      </c>
      <c r="M15" s="121">
        <f ca="1">SUMIFS(
  m.vb[valor],
  m.vb[nucleo],$B$1,
  m.vb[variavel],M$7,
  m.vb[mes],$A15
)</f>
        <v>0</v>
      </c>
      <c r="N15" s="119">
        <f>COUNTIFS(
    tb_estq[empresa], N$6,
    tb_estq[Data da venda / reserva], "&gt;=" &amp; $A15,
    tb_estq[Data da venda / reserva], "&lt;"  &amp; EOMONTH($A15,0) + 1
)</f>
        <v>0</v>
      </c>
      <c r="O15" s="120">
        <f ca="1">SUMIFS(tb_rec_uni[2022-01-01],
INDIRECT("tb_rec_uni[natureza]"),"pro.soluto",
INDIRECT("tb_rec_uni[empresa]"),O$6)</f>
        <v>0</v>
      </c>
      <c r="P15" s="120">
        <f ca="1">SUMIFS(tb_rec_uni[2022-01-01],
INDIRECT("tb_rec_uni[natureza]"),"repasse.cef.obra",
INDIRECT("tb_rec_uni[empresa]"),P$6)</f>
        <v>0</v>
      </c>
      <c r="Q15" s="120">
        <f ca="1">SUMIFS(tb_rec_uni[2022-01-01],
INDIRECT("tb_rec_uni[natureza]"),"repasse.cef.terreno",
INDIRECT("tb_rec_uni[empresa]"),Q$6)</f>
        <v>0</v>
      </c>
      <c r="R15" s="120">
        <v>0</v>
      </c>
      <c r="S15" s="120">
        <f ca="1">SUMIFS(tb_rec_uni[2022-01-01],
INDIRECT("tb_rec_uni[natureza]"),"taxa.extra",
INDIRECT("tb_rec_uni[empresa]"),S$6)</f>
        <v>0</v>
      </c>
      <c r="T15" s="108"/>
      <c r="U15" s="120">
        <f ca="1">SUMIFS(
  m.vb[valor],
  m.vb[nucleo],$N$1,
  m.vb[variavel],U$7,
  m.vb[mes],$A15
)</f>
        <v>0</v>
      </c>
      <c r="V15" s="120">
        <f ca="1">SUMIFS(
  m.vb[valor],
  m.vb[nucleo],$N$1,
  m.vb[variavel],V$7,
  m.vb[mes],$A15
)</f>
        <v>0</v>
      </c>
      <c r="W15" s="120">
        <f ca="1">SUMIFS(
  m.vb[valor],
  m.vb[nucleo],$N$1,
  m.vb[variavel],W$7,
  m.vb[mes],$A15
)</f>
        <v>0</v>
      </c>
      <c r="X15" s="120">
        <f ca="1">SUMIFS(
  m.vb[valor],
  m.vb[nucleo],$N$1,
  m.vb[variavel],X$7,
  m.vb[mes],$A15
)</f>
        <v>0</v>
      </c>
      <c r="Y15" s="121">
        <f ca="1">SUMIFS(
  m.vb[valor],
  m.vb[nucleo],$N$1,
  m.vb[variavel],Y$7,
  m.vb[mes],$A15
)</f>
        <v>0</v>
      </c>
      <c r="Z15" s="119">
        <f>COUNTIFS(
    tb_estq[empresa], Z$6,
    tb_estq[Data da venda / reserva], "&gt;=" &amp; $A15,
    tb_estq[Data da venda / reserva], "&lt;"  &amp; EOMONTH($A15,0) + 1
)</f>
        <v>0</v>
      </c>
      <c r="AA15" s="120">
        <f ca="1">SUMIFS(tb_rec_uni[2022-01-01],
INDIRECT("tb_rec_uni[natureza]"),"pro.soluto",
INDIRECT("tb_rec_uni[empresa]"),AA$6)</f>
        <v>0</v>
      </c>
      <c r="AB15" s="120">
        <f ca="1">SUMIFS(tb_rec_uni[2022-01-01],
INDIRECT("tb_rec_uni[natureza]"),"parcela.fin.total.ik",
INDIRECT("tb_rec_uni[empresa]"),AB$6)</f>
        <v>0</v>
      </c>
      <c r="AC15" s="120">
        <f ca="1">SUMIFS(tb_rec_uni[2022-01-01],
INDIRECT("tb_rec_uni[natureza]"),"taxa.extra",
INDIRECT("tb_rec_uni[empresa]"),AC$6)</f>
        <v>0</v>
      </c>
      <c r="AD15" s="108"/>
      <c r="AE15" s="120">
        <f ca="1">SUMIFS(
  m.vb[valor],
  m.vb[nucleo],$Z$1,
  m.vb[variavel],AE$7,
  m.vb[mes],$A15
)</f>
        <v>0</v>
      </c>
      <c r="AF15" s="120">
        <f ca="1">SUMIFS(
  m.vb[valor],
  m.vb[nucleo],$Z$1,
  m.vb[variavel],AF$7,
  m.vb[mes],$A15
)</f>
        <v>0</v>
      </c>
      <c r="AG15" s="120">
        <f ca="1">SUMIFS(
  m.vb[valor],
  m.vb[nucleo],$Z$1,
  m.vb[variavel],AG$7,
  m.vb[mes],$A15
)</f>
        <v>0</v>
      </c>
      <c r="AH15" s="120">
        <f ca="1">SUMIFS(
  m.vb[valor],
  m.vb[nucleo],$Z$1,
  m.vb[variavel],AH$7,
  m.vb[mes],$A15
)</f>
        <v>0</v>
      </c>
      <c r="AI15" s="121">
        <f ca="1">SUMIFS(
  m.vb[valor],
  m.vb[nucleo],$Z$1,
  m.vb[variavel],AI$7,
  m.vb[mes],$A15
)</f>
        <v>0</v>
      </c>
      <c r="AJ15" s="119">
        <f>COUNTIFS(
    tb_estq[empresa], AJ$6,
    tb_estq[Data da venda / reserva], "&gt;=" &amp; $A15,
    tb_estq[Data da venda / reserva], "&lt;"  &amp; EOMONTH($A15,0) + 1
)</f>
        <v>0</v>
      </c>
      <c r="AK15" s="120">
        <f ca="1">SUMIFS(tb_rec_uni[2022-01-01],
INDIRECT("tb_rec_uni[natureza]"),"pro.soluto",
INDIRECT("tb_rec_uni[empresa]"),AK$6)</f>
        <v>0</v>
      </c>
      <c r="AL15" s="120">
        <f ca="1">SUMIFS(tb_rec_uni[2022-01-01],
INDIRECT("tb_rec_uni[natureza]"),"repasse.cef.obra",
INDIRECT("tb_rec_uni[empresa]"),AL$6)</f>
        <v>0</v>
      </c>
      <c r="AM15" s="120">
        <f ca="1">SUMIFS(tb_rec_uni[2022-01-01],
INDIRECT("tb_rec_uni[natureza]"),"repasse.cef.terreno",
INDIRECT("tb_rec_uni[empresa]"),AM$6)</f>
        <v>0</v>
      </c>
      <c r="AN15" s="120">
        <v>0</v>
      </c>
      <c r="AO15" s="120">
        <f ca="1">SUMIFS(tb_rec_uni[2022-01-01],
INDIRECT("tb_rec_uni[natureza]"),"taxa.extra",
INDIRECT("tb_rec_uni[empresa]"),AO$6)</f>
        <v>0</v>
      </c>
      <c r="AP15" s="108"/>
      <c r="AQ15" s="120">
        <f ca="1">SUMIFS(
  m.vb[valor],
  m.vb[nucleo],$AJ$1,
  m.vb[variavel],AQ$7,
  m.vb[mes],$A15
)</f>
        <v>0</v>
      </c>
      <c r="AR15" s="120">
        <f ca="1">SUMIFS(
  m.vb[valor],
  m.vb[nucleo],$AJ$1,
  m.vb[variavel],AR$7,
  m.vb[mes],$A15
)</f>
        <v>0</v>
      </c>
      <c r="AS15" s="120">
        <f ca="1">SUMIFS(
  m.vb[valor],
  m.vb[nucleo],$AJ$1,
  m.vb[variavel],AS$7,
  m.vb[mes],$A15
)</f>
        <v>0</v>
      </c>
      <c r="AT15" s="120">
        <f ca="1">SUMIFS(
  m.vb[valor],
  m.vb[nucleo],$AJ$1,
  m.vb[variavel],AT$7,
  m.vb[mes],$A15
)</f>
        <v>0</v>
      </c>
      <c r="AU15" s="121">
        <f ca="1">SUMIFS(
  m.vb[valor],
  m.vb[nucleo],$AJ$1,
  m.vb[variavel],AU$7,
  m.vb[mes],$A15
)</f>
        <v>0</v>
      </c>
      <c r="AV15" s="119">
        <f>COUNTIFS(
    tb_estq[empresa], AV$6,
    tb_estq[Data da venda / reserva], "&gt;=" &amp; $A15,
    tb_estq[Data da venda / reserva], "&lt;"  &amp; EOMONTH($A15,0) + 1
)</f>
        <v>0</v>
      </c>
      <c r="AW15" s="120">
        <f ca="1">SUMIFS(tb_rec_uni[2022-01-01],
INDIRECT("tb_rec_uni[natureza]"),"pro.soluto",
INDIRECT("tb_rec_uni[empresa]"),AW$6)</f>
        <v>0</v>
      </c>
      <c r="AX15" s="120">
        <f ca="1">SUMIFS(tb_rec_uni[2022-01-01],
INDIRECT("tb_rec_uni[natureza]"),"repasse.cef.obra",
INDIRECT("tb_rec_uni[empresa]"),AX$6)</f>
        <v>0</v>
      </c>
      <c r="AY15" s="120">
        <f ca="1">SUMIFS(tb_rec_uni[2022-01-01],
INDIRECT("tb_rec_uni[natureza]"),"repasse.cef.terreno",
INDIRECT("tb_rec_uni[empresa]"),AY$6)</f>
        <v>0</v>
      </c>
      <c r="AZ15" s="120">
        <v>0</v>
      </c>
      <c r="BA15" s="120">
        <f ca="1">SUMIFS(tb_rec_uni[2022-01-01],
INDIRECT("tb_rec_uni[natureza]"),"taxa.extra",
INDIRECT("tb_rec_uni[empresa]"),BA$6)</f>
        <v>0</v>
      </c>
      <c r="BB15" s="108"/>
      <c r="BC15" s="120">
        <f ca="1">SUMIFS(
  m.vb[valor],
  m.vb[nucleo],$AV$1,
  m.vb[variavel],BC$7,
  m.vb[mes],$A15
)</f>
        <v>0</v>
      </c>
      <c r="BD15" s="120">
        <f ca="1">SUMIFS(
  m.vb[valor],
  m.vb[nucleo],$AV$1,
  m.vb[variavel],BD$7,
  m.vb[mes],$A15
)</f>
        <v>0</v>
      </c>
      <c r="BE15" s="120">
        <f ca="1">SUMIFS(
  m.vb[valor],
  m.vb[nucleo],$AV$1,
  m.vb[variavel],BE$7,
  m.vb[mes],$A15
)</f>
        <v>0</v>
      </c>
      <c r="BF15" s="120">
        <f ca="1">SUMIFS(
  m.vb[valor],
  m.vb[nucleo],$AV$1,
  m.vb[variavel],BF$7,
  m.vb[mes],$A15
)</f>
        <v>0</v>
      </c>
      <c r="BG15" s="121">
        <f ca="1">SUMIFS(
  m.vb[valor],
  m.vb[nucleo],$AV$1,
  m.vb[variavel],BG$7,
  m.vb[mes],$A15
)</f>
        <v>0</v>
      </c>
      <c r="BH15" s="119">
        <f>COUNTIFS(
    tb_estq[empresa], BH$6,
    tb_estq[Data da venda / reserva], "&gt;=" &amp; $A15,
    tb_estq[Data da venda / reserva], "&lt;"  &amp; EOMONTH($A15,0) + 1
)</f>
        <v>0</v>
      </c>
      <c r="BI15" s="120">
        <f ca="1">SUMIFS(tb_rec_uni[2022-01-01],
INDIRECT("tb_rec_uni[natureza]"),"pro.soluto",
INDIRECT("tb_rec_uni[empresa]"),BI$6)</f>
        <v>0</v>
      </c>
      <c r="BJ15" s="108">
        <v>0</v>
      </c>
      <c r="BK15" s="120">
        <f ca="1">SUMIFS(tb_rec_uni[2022-01-01],
INDIRECT("tb_rec_uni[natureza]"),"taxa.extra",
INDIRECT("tb_rec_uni[empresa]"),BK$6)</f>
        <v>0</v>
      </c>
      <c r="BL15" s="108"/>
      <c r="BM15" s="120">
        <f ca="1">SUMIFS(
  m.vb[valor],
  m.vb[nucleo],$BH$1,
  m.vb[variavel],BM$7,
  m.vb[mes],$A15
)</f>
        <v>0</v>
      </c>
      <c r="BN15" s="120">
        <f ca="1">SUMIFS(
  m.vb[valor],
  m.vb[nucleo],$BH$1,
  m.vb[variavel],BN$7,
  m.vb[mes],$A15
)</f>
        <v>0</v>
      </c>
      <c r="BO15" s="120">
        <f ca="1">SUMIFS(
  m.vb[valor],
  m.vb[nucleo],$BH$1,
  m.vb[variavel],BO$7,
  m.vb[mes],$A15
)</f>
        <v>0</v>
      </c>
      <c r="BP15" s="120">
        <f ca="1">SUMIFS(
  m.vb[valor],
  m.vb[nucleo],$BH$1,
  m.vb[variavel],BP$7,
  m.vb[mes],$A15
)</f>
        <v>0</v>
      </c>
      <c r="BQ15" s="121">
        <f ca="1">SUMIFS(
  m.vb[valor],
  m.vb[nucleo],$BH$1,
  m.vb[variavel],BQ$7,
  m.vb[mes],$A15
)</f>
        <v>0</v>
      </c>
      <c r="BR15" s="119">
        <f>COUNTIFS(
    tb_estq[empresa], BR$6,
    tb_estq[Data da venda / reserva], "&gt;=" &amp; $A15,
    tb_estq[Data da venda / reserva], "&lt;"  &amp; EOMONTH($A15,0) + 1
)</f>
        <v>0</v>
      </c>
      <c r="BS15" s="120">
        <f ca="1">SUMIFS(tb_rec_uni[2022-01-01],
INDIRECT("tb_rec_uni[natureza]"),"pro.soluto",
INDIRECT("tb_rec_uni[empresa]"),BS$6)</f>
        <v>0</v>
      </c>
      <c r="BT15" s="120">
        <f ca="1">SUMIFS(tb_rec_uni[2022-01-01],
INDIRECT("tb_rec_uni[natureza]"),"parcela.fin.total.ik",
INDIRECT("tb_rec_uni[empresa]"),BT$6)</f>
        <v>0</v>
      </c>
      <c r="BU15" s="120">
        <f ca="1">SUMIFS(tb_rec_uni[2022-01-01],
INDIRECT("tb_rec_uni[natureza]"),"taxa.extra",
INDIRECT("tb_rec_uni[empresa]"),BU$6)</f>
        <v>0</v>
      </c>
      <c r="BV15" s="108"/>
      <c r="BW15" s="120">
        <f ca="1">SUMIFS(
  m.vb[valor],
  m.vb[nucleo],$BR$1,
  m.vb[variavel],BW$7,
  m.vb[mes],$A15
)</f>
        <v>0</v>
      </c>
      <c r="BX15" s="120">
        <f ca="1">SUMIFS(
  m.vb[valor],
  m.vb[nucleo],$BR$1,
  m.vb[variavel],BX$7,
  m.vb[mes],$A15
)</f>
        <v>0</v>
      </c>
      <c r="BY15" s="120">
        <f ca="1">SUMIFS(
  m.vb[valor],
  m.vb[nucleo],$BR$1,
  m.vb[variavel],BY$7,
  m.vb[mes],$A15
)</f>
        <v>0</v>
      </c>
      <c r="BZ15" s="120">
        <f ca="1">SUMIFS(
  m.vb[valor],
  m.vb[nucleo],$BR$1,
  m.vb[variavel],BZ$7,
  m.vb[mes],$A15
)</f>
        <v>0</v>
      </c>
      <c r="CA15" s="121">
        <f ca="1">SUMIFS(
  m.vb[valor],
  m.vb[nucleo],$BR$1,
  m.vb[variavel],CA$7,
  m.vb[mes],$A15
)</f>
        <v>0</v>
      </c>
      <c r="CB15" s="119">
        <f>COUNTIFS(
    tb_estq[empresa], CB$6,
    tb_estq[Data da venda / reserva], "&gt;=" &amp; $A15,
    tb_estq[Data da venda / reserva], "&lt;"  &amp; EOMONTH($A15,0) + 1
)</f>
        <v>0</v>
      </c>
      <c r="CC15" s="120">
        <f ca="1">SUMIFS(tb_rec_uni[2022-01-01],
INDIRECT("tb_rec_uni[natureza]"),"pro.soluto",
INDIRECT("tb_rec_uni[empresa]"),CC$6)</f>
        <v>0</v>
      </c>
      <c r="CD15" s="120">
        <f ca="1">SUMIFS(tb_rec_uni[2022-01-01],
INDIRECT("tb_rec_uni[natureza]"),"repasse.cef.obra",
INDIRECT("tb_rec_uni[empresa]"),CD$6)</f>
        <v>0</v>
      </c>
      <c r="CE15" s="120">
        <f ca="1">SUMIFS(tb_rec_uni[2022-01-01],
INDIRECT("tb_rec_uni[natureza]"),"repasse.cef.terreno",
INDIRECT("tb_rec_uni[empresa]"),CE$6)</f>
        <v>0</v>
      </c>
      <c r="CF15" s="120">
        <v>0</v>
      </c>
      <c r="CG15" s="120">
        <f ca="1">SUMIFS(tb_rec_uni[2022-01-01],
INDIRECT("tb_rec_uni[natureza]"),"taxa.extra",
INDIRECT("tb_rec_uni[empresa]"),CG$6)</f>
        <v>0</v>
      </c>
      <c r="CH15" s="108"/>
      <c r="CI15" s="120">
        <f ca="1">SUMIFS(
  m.vb[valor],
  m.vb[nucleo],$CB$1,
  m.vb[variavel],CI$7,
  m.vb[mes],$A15
)</f>
        <v>0</v>
      </c>
      <c r="CJ15" s="120">
        <f ca="1">SUMIFS(
  m.vb[valor],
  m.vb[nucleo],$CB$1,
  m.vb[variavel],CJ$7,
  m.vb[mes],$A15
)</f>
        <v>0</v>
      </c>
      <c r="CK15" s="120">
        <f ca="1">SUMIFS(
  m.vb[valor],
  m.vb[nucleo],$CB$1,
  m.vb[variavel],CK$7,
  m.vb[mes],$A15
)</f>
        <v>0</v>
      </c>
      <c r="CL15" s="120">
        <f ca="1">SUMIFS(
  m.vb[valor],
  m.vb[nucleo],$CB$1,
  m.vb[variavel],CL$7,
  m.vb[mes],$A15
)</f>
        <v>0</v>
      </c>
      <c r="CM15" s="121">
        <f ca="1">SUMIFS(
  m.vb[valor],
  m.vb[nucleo],$CB$1,
  m.vb[variavel],CM$7,
  m.vb[mes],$A15
)</f>
        <v>0</v>
      </c>
      <c r="CN15" s="119">
        <f>COUNTIFS(
    tb_estq[empresa], CN$6,
    tb_estq[Data da venda / reserva], "&gt;=" &amp; $A15,
    tb_estq[Data da venda / reserva], "&lt;"  &amp; EOMONTH($A15,0) + 1
)</f>
        <v>0</v>
      </c>
      <c r="CO15" s="120">
        <f ca="1">SUMIFS(tb_rec_uni[2022-01-01],
INDIRECT("tb_rec_uni[natureza]"),"pro.soluto",
INDIRECT("tb_rec_uni[empresa]"),CO$6)</f>
        <v>0</v>
      </c>
      <c r="CP15" s="120">
        <f ca="1">SUMIFS(tb_rec_uni[2022-01-01],
INDIRECT("tb_rec_uni[natureza]"),"repasse.cef.obra",
INDIRECT("tb_rec_uni[empresa]"),CP$6)</f>
        <v>0</v>
      </c>
      <c r="CQ15" s="120">
        <f ca="1">SUMIFS(tb_rec_uni[2022-01-01],
INDIRECT("tb_rec_uni[natureza]"),"repasse.cef.terreno",
INDIRECT("tb_rec_uni[empresa]"),CQ$6)</f>
        <v>0</v>
      </c>
      <c r="CR15" s="120">
        <v>0</v>
      </c>
      <c r="CS15" s="120">
        <f ca="1">SUMIFS(tb_rec_uni[2022-01-01],
INDIRECT("tb_rec_uni[natureza]"),"taxa.extra",
INDIRECT("tb_rec_uni[empresa]"),CS$6)</f>
        <v>0</v>
      </c>
      <c r="CT15" s="108"/>
      <c r="CU15" s="120">
        <f ca="1">SUMIFS(
  m.vb[valor],
  m.vb[nucleo],$CN$1,
  m.vb[variavel],CU$7,
  m.vb[mes],$A15
)</f>
        <v>0</v>
      </c>
      <c r="CV15" s="120" cm="1">
        <f t="array" ref="CV15">SUMPRODUCT(
  IFERROR(--tb_desp[valor],0)*
  (tb_desp[nucleo]="UP MOVE VILA SONIA")*
  (tb_desp[categoria]=CV$7)*
  (tb_desp[data.pagamento]&gt;=$A15)*
  (tb_desp[data.pagamento]&lt;EOMONTH($A15,0)+1)
)</f>
        <v>0</v>
      </c>
      <c r="CW15" s="120" cm="1">
        <f t="array" ref="CW15">SUMPRODUCT(
  IFERROR(--tb_desp[valor],0)*
  (tb_desp[nucleo]="UP MOVE VILA SONIA")*
  (tb_desp[categoria]=CW$7)*
  (tb_desp[data.pagamento]&gt;=$A15)*
  (tb_desp[data.pagamento]&lt;EOMONTH($A15,0)+1)
)</f>
        <v>0</v>
      </c>
      <c r="CX15" s="120" cm="1">
        <f t="array" ref="CX15">SUMPRODUCT(
  IFERROR(--tb_desp[valor],0)*
  (tb_desp[nucleo]="UP MOVE VILA SONIA")*
  (tb_desp[categoria]=CX$7)*
  (tb_desp[data.pagamento]&gt;=$A15)*
  (tb_desp[data.pagamento]&lt;EOMONTH($A15,0)+1)
)</f>
        <v>0</v>
      </c>
      <c r="CY15" s="122" cm="1">
        <f t="array" ref="CY15">SUMPRODUCT(
  IFERROR(--tb_desp[valor],0)*
  (tb_desp[nucleo]="UP MOVE VILA SONIA")*
  (tb_desp[categoria]=CY$7)*
  (tb_desp[data.pagamento]&gt;=$A15)*
  (tb_desp[data.pagamento]&lt;EOMONTH($A15,0)+1)
)</f>
        <v>0</v>
      </c>
    </row>
    <row r="16" spans="1:103" x14ac:dyDescent="0.25">
      <c r="A16" s="118">
        <v>44593</v>
      </c>
      <c r="B16" s="119">
        <f>COUNTIFS(
    tb_estq[empresa], B$6,
    tb_estq[Data da venda / reserva], "&gt;=" &amp; $A16,
    tb_estq[Data da venda / reserva], "&lt;"  &amp; EOMONTH($A16,0) + 1
)</f>
        <v>0</v>
      </c>
      <c r="C16" s="120">
        <f ca="1">SUMIFS(tb_rec_uni[2022-02-01],
INDIRECT("tb_rec_uni[natureza]"),"pro.soluto",
INDIRECT("tb_rec_uni[empresa]"),C$6)</f>
        <v>0</v>
      </c>
      <c r="D16" s="120">
        <f ca="1">SUMIFS(tb_rec_uni[2022-02-01],
INDIRECT("tb_rec_uni[natureza]"),"repasse.cef.obra",
INDIRECT("tb_rec_uni[empresa]"),D$6)</f>
        <v>0</v>
      </c>
      <c r="E16" s="120">
        <f ca="1">SUMIFS(tb_rec_uni[2022-02-01],
INDIRECT("tb_rec_uni[natureza]"),"repasse.cef.terreno",
INDIRECT("tb_rec_uni[empresa]"),E$6)</f>
        <v>0</v>
      </c>
      <c r="F16" s="120">
        <v>0</v>
      </c>
      <c r="G16" s="120">
        <f ca="1">SUMIFS(tb_rec_uni[2022-02-01],
INDIRECT("tb_rec_uni[natureza]"),"taxa.extra",
INDIRECT("tb_rec_uni[empresa]"),G$6)</f>
        <v>0</v>
      </c>
      <c r="H16" s="108"/>
      <c r="I16" s="120">
        <f ca="1">SUMIFS(
  m.vb[valor],
  m.vb[nucleo],$B$1,
  m.vb[variavel],I$7,
  m.vb[mes],$A16
)</f>
        <v>0</v>
      </c>
      <c r="J16" s="120">
        <f ca="1">SUMIFS(
  m.vb[valor],
  m.vb[nucleo],$B$1,
  m.vb[variavel],J$7,
  m.vb[mes],$A16
)</f>
        <v>0</v>
      </c>
      <c r="K16" s="120">
        <f ca="1">SUMIFS(
  m.vb[valor],
  m.vb[nucleo],$B$1,
  m.vb[variavel],K$7,
  m.vb[mes],$A16
)</f>
        <v>0</v>
      </c>
      <c r="L16" s="120">
        <f ca="1">SUMIFS(
  m.vb[valor],
  m.vb[nucleo],$B$1,
  m.vb[variavel],L$7,
  m.vb[mes],$A16
)</f>
        <v>0</v>
      </c>
      <c r="M16" s="121">
        <f ca="1">SUMIFS(
  m.vb[valor],
  m.vb[nucleo],$B$1,
  m.vb[variavel],M$7,
  m.vb[mes],$A16
)</f>
        <v>0</v>
      </c>
      <c r="N16" s="119">
        <f>COUNTIFS(
    tb_estq[empresa], N$6,
    tb_estq[Data da venda / reserva], "&gt;=" &amp; $A16,
    tb_estq[Data da venda / reserva], "&lt;"  &amp; EOMONTH($A16,0) + 1
)</f>
        <v>0</v>
      </c>
      <c r="O16" s="120">
        <f ca="1">SUMIFS(tb_rec_uni[2022-02-01],
INDIRECT("tb_rec_uni[natureza]"),"pro.soluto",
INDIRECT("tb_rec_uni[empresa]"),O$6)</f>
        <v>0</v>
      </c>
      <c r="P16" s="120">
        <f ca="1">SUMIFS(tb_rec_uni[2022-02-01],
INDIRECT("tb_rec_uni[natureza]"),"repasse.cef.obra",
INDIRECT("tb_rec_uni[empresa]"),P$6)</f>
        <v>0</v>
      </c>
      <c r="Q16" s="120">
        <f ca="1">SUMIFS(tb_rec_uni[2022-02-01],
INDIRECT("tb_rec_uni[natureza]"),"repasse.cef.terreno",
INDIRECT("tb_rec_uni[empresa]"),Q$6)</f>
        <v>0</v>
      </c>
      <c r="R16" s="120">
        <v>0</v>
      </c>
      <c r="S16" s="120">
        <f ca="1">SUMIFS(tb_rec_uni[2022-02-01],
INDIRECT("tb_rec_uni[natureza]"),"taxa.extra",
INDIRECT("tb_rec_uni[empresa]"),S$6)</f>
        <v>0</v>
      </c>
      <c r="T16" s="108"/>
      <c r="U16" s="120">
        <f ca="1">SUMIFS(
  m.vb[valor],
  m.vb[nucleo],$N$1,
  m.vb[variavel],U$7,
  m.vb[mes],$A16
)</f>
        <v>0</v>
      </c>
      <c r="V16" s="120">
        <f ca="1">SUMIFS(
  m.vb[valor],
  m.vb[nucleo],$N$1,
  m.vb[variavel],V$7,
  m.vb[mes],$A16
)</f>
        <v>0</v>
      </c>
      <c r="W16" s="120">
        <f ca="1">SUMIFS(
  m.vb[valor],
  m.vb[nucleo],$N$1,
  m.vb[variavel],W$7,
  m.vb[mes],$A16
)</f>
        <v>0</v>
      </c>
      <c r="X16" s="120">
        <f ca="1">SUMIFS(
  m.vb[valor],
  m.vb[nucleo],$N$1,
  m.vb[variavel],X$7,
  m.vb[mes],$A16
)</f>
        <v>0</v>
      </c>
      <c r="Y16" s="121">
        <f ca="1">SUMIFS(
  m.vb[valor],
  m.vb[nucleo],$N$1,
  m.vb[variavel],Y$7,
  m.vb[mes],$A16
)</f>
        <v>0</v>
      </c>
      <c r="Z16" s="119">
        <f>COUNTIFS(
    tb_estq[empresa], Z$6,
    tb_estq[Data da venda / reserva], "&gt;=" &amp; $A16,
    tb_estq[Data da venda / reserva], "&lt;"  &amp; EOMONTH($A16,0) + 1
)</f>
        <v>0</v>
      </c>
      <c r="AA16" s="120">
        <f ca="1">SUMIFS(tb_rec_uni[2022-02-01],
INDIRECT("tb_rec_uni[natureza]"),"pro.soluto",
INDIRECT("tb_rec_uni[empresa]"),AA$6)</f>
        <v>0</v>
      </c>
      <c r="AB16" s="120">
        <f ca="1">SUMIFS(tb_rec_uni[2022-02-01],
INDIRECT("tb_rec_uni[natureza]"),"parcela.fin.total.ik",
INDIRECT("tb_rec_uni[empresa]"),AB$6)</f>
        <v>0</v>
      </c>
      <c r="AC16" s="120">
        <f ca="1">SUMIFS(tb_rec_uni[2022-02-01],
INDIRECT("tb_rec_uni[natureza]"),"taxa.extra",
INDIRECT("tb_rec_uni[empresa]"),AC$6)</f>
        <v>0</v>
      </c>
      <c r="AD16" s="108"/>
      <c r="AE16" s="120">
        <f ca="1">SUMIFS(
  m.vb[valor],
  m.vb[nucleo],$Z$1,
  m.vb[variavel],AE$7,
  m.vb[mes],$A16
)</f>
        <v>0</v>
      </c>
      <c r="AF16" s="120">
        <f ca="1">SUMIFS(
  m.vb[valor],
  m.vb[nucleo],$Z$1,
  m.vb[variavel],AF$7,
  m.vb[mes],$A16
)</f>
        <v>0</v>
      </c>
      <c r="AG16" s="120">
        <f ca="1">SUMIFS(
  m.vb[valor],
  m.vb[nucleo],$Z$1,
  m.vb[variavel],AG$7,
  m.vb[mes],$A16
)</f>
        <v>0</v>
      </c>
      <c r="AH16" s="120">
        <f ca="1">SUMIFS(
  m.vb[valor],
  m.vb[nucleo],$Z$1,
  m.vb[variavel],AH$7,
  m.vb[mes],$A16
)</f>
        <v>0</v>
      </c>
      <c r="AI16" s="121">
        <f ca="1">SUMIFS(
  m.vb[valor],
  m.vb[nucleo],$Z$1,
  m.vb[variavel],AI$7,
  m.vb[mes],$A16
)</f>
        <v>0</v>
      </c>
      <c r="AJ16" s="119">
        <f>COUNTIFS(
    tb_estq[empresa], AJ$6,
    tb_estq[Data da venda / reserva], "&gt;=" &amp; $A16,
    tb_estq[Data da venda / reserva], "&lt;"  &amp; EOMONTH($A16,0) + 1
)</f>
        <v>0</v>
      </c>
      <c r="AK16" s="120">
        <f ca="1">SUMIFS(tb_rec_uni[2022-02-01],
INDIRECT("tb_rec_uni[natureza]"),"pro.soluto",
INDIRECT("tb_rec_uni[empresa]"),AK$6)</f>
        <v>0</v>
      </c>
      <c r="AL16" s="120">
        <f ca="1">SUMIFS(tb_rec_uni[2022-02-01],
INDIRECT("tb_rec_uni[natureza]"),"repasse.cef.obra",
INDIRECT("tb_rec_uni[empresa]"),AL$6)</f>
        <v>0</v>
      </c>
      <c r="AM16" s="120">
        <f ca="1">SUMIFS(tb_rec_uni[2022-02-01],
INDIRECT("tb_rec_uni[natureza]"),"repasse.cef.terreno",
INDIRECT("tb_rec_uni[empresa]"),AM$6)</f>
        <v>0</v>
      </c>
      <c r="AN16" s="120">
        <v>0</v>
      </c>
      <c r="AO16" s="120">
        <f ca="1">SUMIFS(tb_rec_uni[2022-02-01],
INDIRECT("tb_rec_uni[natureza]"),"taxa.extra",
INDIRECT("tb_rec_uni[empresa]"),AO$6)</f>
        <v>0</v>
      </c>
      <c r="AP16" s="108"/>
      <c r="AQ16" s="120">
        <f ca="1">SUMIFS(
  m.vb[valor],
  m.vb[nucleo],$AJ$1,
  m.vb[variavel],AQ$7,
  m.vb[mes],$A16
)</f>
        <v>0</v>
      </c>
      <c r="AR16" s="120">
        <f ca="1">SUMIFS(
  m.vb[valor],
  m.vb[nucleo],$AJ$1,
  m.vb[variavel],AR$7,
  m.vb[mes],$A16
)</f>
        <v>0</v>
      </c>
      <c r="AS16" s="120">
        <f ca="1">SUMIFS(
  m.vb[valor],
  m.vb[nucleo],$AJ$1,
  m.vb[variavel],AS$7,
  m.vb[mes],$A16
)</f>
        <v>0</v>
      </c>
      <c r="AT16" s="120">
        <f ca="1">SUMIFS(
  m.vb[valor],
  m.vb[nucleo],$AJ$1,
  m.vb[variavel],AT$7,
  m.vb[mes],$A16
)</f>
        <v>0</v>
      </c>
      <c r="AU16" s="121">
        <f ca="1">SUMIFS(
  m.vb[valor],
  m.vb[nucleo],$AJ$1,
  m.vb[variavel],AU$7,
  m.vb[mes],$A16
)</f>
        <v>0</v>
      </c>
      <c r="AV16" s="119">
        <f>COUNTIFS(
    tb_estq[empresa], AV$6,
    tb_estq[Data da venda / reserva], "&gt;=" &amp; $A16,
    tb_estq[Data da venda / reserva], "&lt;"  &amp; EOMONTH($A16,0) + 1
)</f>
        <v>0</v>
      </c>
      <c r="AW16" s="120">
        <f ca="1">SUMIFS(tb_rec_uni[2022-02-01],
INDIRECT("tb_rec_uni[natureza]"),"pro.soluto",
INDIRECT("tb_rec_uni[empresa]"),AW$6)</f>
        <v>0</v>
      </c>
      <c r="AX16" s="120">
        <f ca="1">SUMIFS(tb_rec_uni[2022-02-01],
INDIRECT("tb_rec_uni[natureza]"),"repasse.cef.obra",
INDIRECT("tb_rec_uni[empresa]"),AX$6)</f>
        <v>0</v>
      </c>
      <c r="AY16" s="120">
        <f ca="1">SUMIFS(tb_rec_uni[2022-02-01],
INDIRECT("tb_rec_uni[natureza]"),"repasse.cef.terreno",
INDIRECT("tb_rec_uni[empresa]"),AY$6)</f>
        <v>0</v>
      </c>
      <c r="AZ16" s="120">
        <v>0</v>
      </c>
      <c r="BA16" s="120">
        <f ca="1">SUMIFS(tb_rec_uni[2022-02-01],
INDIRECT("tb_rec_uni[natureza]"),"taxa.extra",
INDIRECT("tb_rec_uni[empresa]"),BA$6)</f>
        <v>0</v>
      </c>
      <c r="BB16" s="108"/>
      <c r="BC16" s="120">
        <f ca="1">SUMIFS(
  m.vb[valor],
  m.vb[nucleo],$AV$1,
  m.vb[variavel],BC$7,
  m.vb[mes],$A16
)</f>
        <v>0</v>
      </c>
      <c r="BD16" s="120">
        <f ca="1">SUMIFS(
  m.vb[valor],
  m.vb[nucleo],$AV$1,
  m.vb[variavel],BD$7,
  m.vb[mes],$A16
)</f>
        <v>0</v>
      </c>
      <c r="BE16" s="120">
        <f ca="1">SUMIFS(
  m.vb[valor],
  m.vb[nucleo],$AV$1,
  m.vb[variavel],BE$7,
  m.vb[mes],$A16
)</f>
        <v>0</v>
      </c>
      <c r="BF16" s="120">
        <f ca="1">SUMIFS(
  m.vb[valor],
  m.vb[nucleo],$AV$1,
  m.vb[variavel],BF$7,
  m.vb[mes],$A16
)</f>
        <v>0</v>
      </c>
      <c r="BG16" s="121">
        <f ca="1">SUMIFS(
  m.vb[valor],
  m.vb[nucleo],$AV$1,
  m.vb[variavel],BG$7,
  m.vb[mes],$A16
)</f>
        <v>0</v>
      </c>
      <c r="BH16" s="119">
        <f>COUNTIFS(
    tb_estq[empresa], BH$6,
    tb_estq[Data da venda / reserva], "&gt;=" &amp; $A16,
    tb_estq[Data da venda / reserva], "&lt;"  &amp; EOMONTH($A16,0) + 1
)</f>
        <v>0</v>
      </c>
      <c r="BI16" s="120">
        <f ca="1">SUMIFS(tb_rec_uni[2022-02-01],
INDIRECT("tb_rec_uni[natureza]"),"pro.soluto",
INDIRECT("tb_rec_uni[empresa]"),BI$6)</f>
        <v>0</v>
      </c>
      <c r="BJ16" s="108">
        <v>0</v>
      </c>
      <c r="BK16" s="120">
        <f ca="1">SUMIFS(tb_rec_uni[2022-02-01],
INDIRECT("tb_rec_uni[natureza]"),"taxa.extra",
INDIRECT("tb_rec_uni[empresa]"),BK$6)</f>
        <v>0</v>
      </c>
      <c r="BL16" s="108"/>
      <c r="BM16" s="120">
        <f ca="1">SUMIFS(
  m.vb[valor],
  m.vb[nucleo],$BH$1,
  m.vb[variavel],BM$7,
  m.vb[mes],$A16
)</f>
        <v>0</v>
      </c>
      <c r="BN16" s="120">
        <f ca="1">SUMIFS(
  m.vb[valor],
  m.vb[nucleo],$BH$1,
  m.vb[variavel],BN$7,
  m.vb[mes],$A16
)</f>
        <v>0</v>
      </c>
      <c r="BO16" s="120">
        <f ca="1">SUMIFS(
  m.vb[valor],
  m.vb[nucleo],$BH$1,
  m.vb[variavel],BO$7,
  m.vb[mes],$A16
)</f>
        <v>0</v>
      </c>
      <c r="BP16" s="120">
        <f ca="1">SUMIFS(
  m.vb[valor],
  m.vb[nucleo],$BH$1,
  m.vb[variavel],BP$7,
  m.vb[mes],$A16
)</f>
        <v>0</v>
      </c>
      <c r="BQ16" s="121">
        <f ca="1">SUMIFS(
  m.vb[valor],
  m.vb[nucleo],$BH$1,
  m.vb[variavel],BQ$7,
  m.vb[mes],$A16
)</f>
        <v>0</v>
      </c>
      <c r="BR16" s="119">
        <f>COUNTIFS(
    tb_estq[empresa], BR$6,
    tb_estq[Data da venda / reserva], "&gt;=" &amp; $A16,
    tb_estq[Data da venda / reserva], "&lt;"  &amp; EOMONTH($A16,0) + 1
)</f>
        <v>0</v>
      </c>
      <c r="BS16" s="120">
        <f ca="1">SUMIFS(tb_rec_uni[2022-02-01],
INDIRECT("tb_rec_uni[natureza]"),"pro.soluto",
INDIRECT("tb_rec_uni[empresa]"),BS$6)</f>
        <v>0</v>
      </c>
      <c r="BT16" s="120">
        <f ca="1">SUMIFS(tb_rec_uni[2022-02-01],
INDIRECT("tb_rec_uni[natureza]"),"parcela.fin.total.ik",
INDIRECT("tb_rec_uni[empresa]"),BT$6)</f>
        <v>0</v>
      </c>
      <c r="BU16" s="120">
        <f ca="1">SUMIFS(tb_rec_uni[2022-02-01],
INDIRECT("tb_rec_uni[natureza]"),"taxa.extra",
INDIRECT("tb_rec_uni[empresa]"),BU$6)</f>
        <v>0</v>
      </c>
      <c r="BV16" s="108"/>
      <c r="BW16" s="120">
        <f ca="1">SUMIFS(
  m.vb[valor],
  m.vb[nucleo],$BR$1,
  m.vb[variavel],BW$7,
  m.vb[mes],$A16
)</f>
        <v>0</v>
      </c>
      <c r="BX16" s="120">
        <f ca="1">SUMIFS(
  m.vb[valor],
  m.vb[nucleo],$BR$1,
  m.vb[variavel],BX$7,
  m.vb[mes],$A16
)</f>
        <v>0</v>
      </c>
      <c r="BY16" s="120">
        <f ca="1">SUMIFS(
  m.vb[valor],
  m.vb[nucleo],$BR$1,
  m.vb[variavel],BY$7,
  m.vb[mes],$A16
)</f>
        <v>0</v>
      </c>
      <c r="BZ16" s="120">
        <f ca="1">SUMIFS(
  m.vb[valor],
  m.vb[nucleo],$BR$1,
  m.vb[variavel],BZ$7,
  m.vb[mes],$A16
)</f>
        <v>0</v>
      </c>
      <c r="CA16" s="121">
        <f ca="1">SUMIFS(
  m.vb[valor],
  m.vb[nucleo],$BR$1,
  m.vb[variavel],CA$7,
  m.vb[mes],$A16
)</f>
        <v>0</v>
      </c>
      <c r="CB16" s="119">
        <f>COUNTIFS(
    tb_estq[empresa], CB$6,
    tb_estq[Data da venda / reserva], "&gt;=" &amp; $A16,
    tb_estq[Data da venda / reserva], "&lt;"  &amp; EOMONTH($A16,0) + 1
)</f>
        <v>0</v>
      </c>
      <c r="CC16" s="120">
        <f ca="1">SUMIFS(tb_rec_uni[2022-02-01],
INDIRECT("tb_rec_uni[natureza]"),"pro.soluto",
INDIRECT("tb_rec_uni[empresa]"),CC$6)</f>
        <v>0</v>
      </c>
      <c r="CD16" s="120">
        <f ca="1">SUMIFS(tb_rec_uni[2022-02-01],
INDIRECT("tb_rec_uni[natureza]"),"repasse.cef.obra",
INDIRECT("tb_rec_uni[empresa]"),CD$6)</f>
        <v>0</v>
      </c>
      <c r="CE16" s="120">
        <f ca="1">SUMIFS(tb_rec_uni[2022-02-01],
INDIRECT("tb_rec_uni[natureza]"),"repasse.cef.terreno",
INDIRECT("tb_rec_uni[empresa]"),CE$6)</f>
        <v>0</v>
      </c>
      <c r="CF16" s="120">
        <v>0</v>
      </c>
      <c r="CG16" s="120">
        <f ca="1">SUMIFS(tb_rec_uni[2022-02-01],
INDIRECT("tb_rec_uni[natureza]"),"taxa.extra",
INDIRECT("tb_rec_uni[empresa]"),CG$6)</f>
        <v>0</v>
      </c>
      <c r="CH16" s="108"/>
      <c r="CI16" s="120">
        <f ca="1">SUMIFS(
  m.vb[valor],
  m.vb[nucleo],$CB$1,
  m.vb[variavel],CI$7,
  m.vb[mes],$A16
)</f>
        <v>0</v>
      </c>
      <c r="CJ16" s="120">
        <f ca="1">SUMIFS(
  m.vb[valor],
  m.vb[nucleo],$CB$1,
  m.vb[variavel],CJ$7,
  m.vb[mes],$A16
)</f>
        <v>0</v>
      </c>
      <c r="CK16" s="120">
        <f ca="1">SUMIFS(
  m.vb[valor],
  m.vb[nucleo],$CB$1,
  m.vb[variavel],CK$7,
  m.vb[mes],$A16
)</f>
        <v>0</v>
      </c>
      <c r="CL16" s="120">
        <f ca="1">SUMIFS(
  m.vb[valor],
  m.vb[nucleo],$CB$1,
  m.vb[variavel],CL$7,
  m.vb[mes],$A16
)</f>
        <v>0</v>
      </c>
      <c r="CM16" s="121">
        <f ca="1">SUMIFS(
  m.vb[valor],
  m.vb[nucleo],$CB$1,
  m.vb[variavel],CM$7,
  m.vb[mes],$A16
)</f>
        <v>0</v>
      </c>
      <c r="CN16" s="119">
        <f>COUNTIFS(
    tb_estq[empresa], CN$6,
    tb_estq[Data da venda / reserva], "&gt;=" &amp; $A16,
    tb_estq[Data da venda / reserva], "&lt;"  &amp; EOMONTH($A16,0) + 1
)</f>
        <v>0</v>
      </c>
      <c r="CO16" s="120">
        <f ca="1">SUMIFS(tb_rec_uni[2022-02-01],
INDIRECT("tb_rec_uni[natureza]"),"pro.soluto",
INDIRECT("tb_rec_uni[empresa]"),CO$6)</f>
        <v>0</v>
      </c>
      <c r="CP16" s="120">
        <f ca="1">SUMIFS(tb_rec_uni[2022-02-01],
INDIRECT("tb_rec_uni[natureza]"),"repasse.cef.obra",
INDIRECT("tb_rec_uni[empresa]"),CP$6)</f>
        <v>0</v>
      </c>
      <c r="CQ16" s="120">
        <f ca="1">SUMIFS(tb_rec_uni[2022-02-01],
INDIRECT("tb_rec_uni[natureza]"),"repasse.cef.terreno",
INDIRECT("tb_rec_uni[empresa]"),CQ$6)</f>
        <v>0</v>
      </c>
      <c r="CR16" s="120">
        <v>0</v>
      </c>
      <c r="CS16" s="120">
        <f ca="1">SUMIFS(tb_rec_uni[2022-02-01],
INDIRECT("tb_rec_uni[natureza]"),"taxa.extra",
INDIRECT("tb_rec_uni[empresa]"),CS$6)</f>
        <v>0</v>
      </c>
      <c r="CT16" s="108"/>
      <c r="CU16" s="120">
        <f ca="1">SUMIFS(
  m.vb[valor],
  m.vb[nucleo],$CN$1,
  m.vb[variavel],CU$7,
  m.vb[mes],$A16
)</f>
        <v>0</v>
      </c>
      <c r="CV16" s="120" cm="1">
        <f t="array" ref="CV16">SUMPRODUCT(
  IFERROR(--tb_desp[valor],0)*
  (tb_desp[nucleo]="UP MOVE VILA SONIA")*
  (tb_desp[categoria]=CV$7)*
  (tb_desp[data.pagamento]&gt;=$A16)*
  (tb_desp[data.pagamento]&lt;EOMONTH($A16,0)+1)
)</f>
        <v>0</v>
      </c>
      <c r="CW16" s="120" cm="1">
        <f t="array" ref="CW16">SUMPRODUCT(
  IFERROR(--tb_desp[valor],0)*
  (tb_desp[nucleo]="UP MOVE VILA SONIA")*
  (tb_desp[categoria]=CW$7)*
  (tb_desp[data.pagamento]&gt;=$A16)*
  (tb_desp[data.pagamento]&lt;EOMONTH($A16,0)+1)
)</f>
        <v>0</v>
      </c>
      <c r="CX16" s="120" cm="1">
        <f t="array" ref="CX16">SUMPRODUCT(
  IFERROR(--tb_desp[valor],0)*
  (tb_desp[nucleo]="UP MOVE VILA SONIA")*
  (tb_desp[categoria]=CX$7)*
  (tb_desp[data.pagamento]&gt;=$A16)*
  (tb_desp[data.pagamento]&lt;EOMONTH($A16,0)+1)
)</f>
        <v>0</v>
      </c>
      <c r="CY16" s="122" cm="1">
        <f t="array" ref="CY16">SUMPRODUCT(
  IFERROR(--tb_desp[valor],0)*
  (tb_desp[nucleo]="UP MOVE VILA SONIA")*
  (tb_desp[categoria]=CY$7)*
  (tb_desp[data.pagamento]&gt;=$A16)*
  (tb_desp[data.pagamento]&lt;EOMONTH($A16,0)+1)
)</f>
        <v>0</v>
      </c>
    </row>
    <row r="17" spans="1:103" x14ac:dyDescent="0.25">
      <c r="A17" s="118">
        <v>44621</v>
      </c>
      <c r="B17" s="119">
        <f>COUNTIFS(
    tb_estq[empresa], B$6,
    tb_estq[Data da venda / reserva], "&gt;=" &amp; $A17,
    tb_estq[Data da venda / reserva], "&lt;"  &amp; EOMONTH($A17,0) + 1
)</f>
        <v>0</v>
      </c>
      <c r="C17" s="120">
        <f ca="1">SUMIFS(tb_rec_uni[2022-03-01],
INDIRECT("tb_rec_uni[natureza]"),"pro.soluto",
INDIRECT("tb_rec_uni[empresa]"),C$6)</f>
        <v>0</v>
      </c>
      <c r="D17" s="120">
        <f ca="1">SUMIFS(tb_rec_uni[2022-03-01],
INDIRECT("tb_rec_uni[natureza]"),"repasse.cef.obra",
INDIRECT("tb_rec_uni[empresa]"),D$6)</f>
        <v>0</v>
      </c>
      <c r="E17" s="120">
        <f ca="1">SUMIFS(tb_rec_uni[2022-03-01],
INDIRECT("tb_rec_uni[natureza]"),"repasse.cef.terreno",
INDIRECT("tb_rec_uni[empresa]"),E$6)</f>
        <v>0</v>
      </c>
      <c r="F17" s="120">
        <v>0</v>
      </c>
      <c r="G17" s="120">
        <f ca="1">SUMIFS(tb_rec_uni[2022-03-01],
INDIRECT("tb_rec_uni[natureza]"),"taxa.extra",
INDIRECT("tb_rec_uni[empresa]"),G$6)</f>
        <v>0</v>
      </c>
      <c r="H17" s="108"/>
      <c r="I17" s="120">
        <f ca="1">SUMIFS(
  m.vb[valor],
  m.vb[nucleo],$B$1,
  m.vb[variavel],I$7,
  m.vb[mes],$A17
)</f>
        <v>0</v>
      </c>
      <c r="J17" s="120">
        <f ca="1">SUMIFS(
  m.vb[valor],
  m.vb[nucleo],$B$1,
  m.vb[variavel],J$7,
  m.vb[mes],$A17
)</f>
        <v>0</v>
      </c>
      <c r="K17" s="120">
        <f ca="1">SUMIFS(
  m.vb[valor],
  m.vb[nucleo],$B$1,
  m.vb[variavel],K$7,
  m.vb[mes],$A17
)</f>
        <v>0</v>
      </c>
      <c r="L17" s="120">
        <f ca="1">SUMIFS(
  m.vb[valor],
  m.vb[nucleo],$B$1,
  m.vb[variavel],L$7,
  m.vb[mes],$A17
)</f>
        <v>0</v>
      </c>
      <c r="M17" s="121">
        <f ca="1">SUMIFS(
  m.vb[valor],
  m.vb[nucleo],$B$1,
  m.vb[variavel],M$7,
  m.vb[mes],$A17
)</f>
        <v>0</v>
      </c>
      <c r="N17" s="119">
        <f>COUNTIFS(
    tb_estq[empresa], N$6,
    tb_estq[Data da venda / reserva], "&gt;=" &amp; $A17,
    tb_estq[Data da venda / reserva], "&lt;"  &amp; EOMONTH($A17,0) + 1
)</f>
        <v>0</v>
      </c>
      <c r="O17" s="120">
        <f ca="1">SUMIFS(tb_rec_uni[2022-03-01],
INDIRECT("tb_rec_uni[natureza]"),"pro.soluto",
INDIRECT("tb_rec_uni[empresa]"),O$6)</f>
        <v>0</v>
      </c>
      <c r="P17" s="120">
        <f ca="1">SUMIFS(tb_rec_uni[2022-03-01],
INDIRECT("tb_rec_uni[natureza]"),"repasse.cef.obra",
INDIRECT("tb_rec_uni[empresa]"),P$6)</f>
        <v>0</v>
      </c>
      <c r="Q17" s="120">
        <f ca="1">SUMIFS(tb_rec_uni[2022-03-01],
INDIRECT("tb_rec_uni[natureza]"),"repasse.cef.terreno",
INDIRECT("tb_rec_uni[empresa]"),Q$6)</f>
        <v>0</v>
      </c>
      <c r="R17" s="120">
        <v>0</v>
      </c>
      <c r="S17" s="120">
        <f ca="1">SUMIFS(tb_rec_uni[2022-03-01],
INDIRECT("tb_rec_uni[natureza]"),"taxa.extra",
INDIRECT("tb_rec_uni[empresa]"),S$6)</f>
        <v>0</v>
      </c>
      <c r="T17" s="108"/>
      <c r="U17" s="120">
        <f ca="1">SUMIFS(
  m.vb[valor],
  m.vb[nucleo],$N$1,
  m.vb[variavel],U$7,
  m.vb[mes],$A17
)</f>
        <v>0</v>
      </c>
      <c r="V17" s="120">
        <f ca="1">SUMIFS(
  m.vb[valor],
  m.vb[nucleo],$N$1,
  m.vb[variavel],V$7,
  m.vb[mes],$A17
)</f>
        <v>0</v>
      </c>
      <c r="W17" s="120">
        <f ca="1">SUMIFS(
  m.vb[valor],
  m.vb[nucleo],$N$1,
  m.vb[variavel],W$7,
  m.vb[mes],$A17
)</f>
        <v>0</v>
      </c>
      <c r="X17" s="120">
        <f ca="1">SUMIFS(
  m.vb[valor],
  m.vb[nucleo],$N$1,
  m.vb[variavel],X$7,
  m.vb[mes],$A17
)</f>
        <v>0</v>
      </c>
      <c r="Y17" s="121">
        <f ca="1">SUMIFS(
  m.vb[valor],
  m.vb[nucleo],$N$1,
  m.vb[variavel],Y$7,
  m.vb[mes],$A17
)</f>
        <v>0</v>
      </c>
      <c r="Z17" s="119">
        <f>COUNTIFS(
    tb_estq[empresa], Z$6,
    tb_estq[Data da venda / reserva], "&gt;=" &amp; $A17,
    tb_estq[Data da venda / reserva], "&lt;"  &amp; EOMONTH($A17,0) + 1
)</f>
        <v>0</v>
      </c>
      <c r="AA17" s="120">
        <f ca="1">SUMIFS(tb_rec_uni[2022-03-01],
INDIRECT("tb_rec_uni[natureza]"),"pro.soluto",
INDIRECT("tb_rec_uni[empresa]"),AA$6)</f>
        <v>0</v>
      </c>
      <c r="AB17" s="120">
        <f ca="1">SUMIFS(tb_rec_uni[2022-03-01],
INDIRECT("tb_rec_uni[natureza]"),"parcela.fin.total.ik",
INDIRECT("tb_rec_uni[empresa]"),AB$6)</f>
        <v>0</v>
      </c>
      <c r="AC17" s="120">
        <f ca="1">SUMIFS(tb_rec_uni[2022-03-01],
INDIRECT("tb_rec_uni[natureza]"),"taxa.extra",
INDIRECT("tb_rec_uni[empresa]"),AC$6)</f>
        <v>0</v>
      </c>
      <c r="AD17" s="108"/>
      <c r="AE17" s="120">
        <f ca="1">SUMIFS(
  m.vb[valor],
  m.vb[nucleo],$Z$1,
  m.vb[variavel],AE$7,
  m.vb[mes],$A17
)</f>
        <v>0</v>
      </c>
      <c r="AF17" s="120">
        <f ca="1">SUMIFS(
  m.vb[valor],
  m.vb[nucleo],$Z$1,
  m.vb[variavel],AF$7,
  m.vb[mes],$A17
)</f>
        <v>0</v>
      </c>
      <c r="AG17" s="120">
        <f ca="1">SUMIFS(
  m.vb[valor],
  m.vb[nucleo],$Z$1,
  m.vb[variavel],AG$7,
  m.vb[mes],$A17
)</f>
        <v>0</v>
      </c>
      <c r="AH17" s="120">
        <f ca="1">SUMIFS(
  m.vb[valor],
  m.vb[nucleo],$Z$1,
  m.vb[variavel],AH$7,
  m.vb[mes],$A17
)</f>
        <v>0</v>
      </c>
      <c r="AI17" s="121">
        <f ca="1">SUMIFS(
  m.vb[valor],
  m.vb[nucleo],$Z$1,
  m.vb[variavel],AI$7,
  m.vb[mes],$A17
)</f>
        <v>0</v>
      </c>
      <c r="AJ17" s="119">
        <f>COUNTIFS(
    tb_estq[empresa], AJ$6,
    tb_estq[Data da venda / reserva], "&gt;=" &amp; $A17,
    tb_estq[Data da venda / reserva], "&lt;"  &amp; EOMONTH($A17,0) + 1
)</f>
        <v>0</v>
      </c>
      <c r="AK17" s="120">
        <f ca="1">SUMIFS(tb_rec_uni[2022-03-01],
INDIRECT("tb_rec_uni[natureza]"),"pro.soluto",
INDIRECT("tb_rec_uni[empresa]"),AK$6)</f>
        <v>0</v>
      </c>
      <c r="AL17" s="120">
        <f ca="1">SUMIFS(tb_rec_uni[2022-03-01],
INDIRECT("tb_rec_uni[natureza]"),"repasse.cef.obra",
INDIRECT("tb_rec_uni[empresa]"),AL$6)</f>
        <v>0</v>
      </c>
      <c r="AM17" s="120">
        <f ca="1">SUMIFS(tb_rec_uni[2022-03-01],
INDIRECT("tb_rec_uni[natureza]"),"repasse.cef.terreno",
INDIRECT("tb_rec_uni[empresa]"),AM$6)</f>
        <v>0</v>
      </c>
      <c r="AN17" s="120">
        <v>0</v>
      </c>
      <c r="AO17" s="120">
        <f ca="1">SUMIFS(tb_rec_uni[2022-03-01],
INDIRECT("tb_rec_uni[natureza]"),"taxa.extra",
INDIRECT("tb_rec_uni[empresa]"),AO$6)</f>
        <v>0</v>
      </c>
      <c r="AP17" s="108"/>
      <c r="AQ17" s="120">
        <f ca="1">SUMIFS(
  m.vb[valor],
  m.vb[nucleo],$AJ$1,
  m.vb[variavel],AQ$7,
  m.vb[mes],$A17
)</f>
        <v>0</v>
      </c>
      <c r="AR17" s="120">
        <f ca="1">SUMIFS(
  m.vb[valor],
  m.vb[nucleo],$AJ$1,
  m.vb[variavel],AR$7,
  m.vb[mes],$A17
)</f>
        <v>0</v>
      </c>
      <c r="AS17" s="120">
        <f ca="1">SUMIFS(
  m.vb[valor],
  m.vb[nucleo],$AJ$1,
  m.vb[variavel],AS$7,
  m.vb[mes],$A17
)</f>
        <v>0</v>
      </c>
      <c r="AT17" s="120">
        <f ca="1">SUMIFS(
  m.vb[valor],
  m.vb[nucleo],$AJ$1,
  m.vb[variavel],AT$7,
  m.vb[mes],$A17
)</f>
        <v>0</v>
      </c>
      <c r="AU17" s="121">
        <f ca="1">SUMIFS(
  m.vb[valor],
  m.vb[nucleo],$AJ$1,
  m.vb[variavel],AU$7,
  m.vb[mes],$A17
)</f>
        <v>0</v>
      </c>
      <c r="AV17" s="119">
        <f>COUNTIFS(
    tb_estq[empresa], AV$6,
    tb_estq[Data da venda / reserva], "&gt;=" &amp; $A17,
    tb_estq[Data da venda / reserva], "&lt;"  &amp; EOMONTH($A17,0) + 1
)</f>
        <v>0</v>
      </c>
      <c r="AW17" s="120">
        <f ca="1">SUMIFS(tb_rec_uni[2022-03-01],
INDIRECT("tb_rec_uni[natureza]"),"pro.soluto",
INDIRECT("tb_rec_uni[empresa]"),AW$6)</f>
        <v>0</v>
      </c>
      <c r="AX17" s="120">
        <f ca="1">SUMIFS(tb_rec_uni[2022-03-01],
INDIRECT("tb_rec_uni[natureza]"),"repasse.cef.obra",
INDIRECT("tb_rec_uni[empresa]"),AX$6)</f>
        <v>0</v>
      </c>
      <c r="AY17" s="120">
        <f ca="1">SUMIFS(tb_rec_uni[2022-03-01],
INDIRECT("tb_rec_uni[natureza]"),"repasse.cef.terreno",
INDIRECT("tb_rec_uni[empresa]"),AY$6)</f>
        <v>0</v>
      </c>
      <c r="AZ17" s="120">
        <v>0</v>
      </c>
      <c r="BA17" s="120">
        <f ca="1">SUMIFS(tb_rec_uni[2022-03-01],
INDIRECT("tb_rec_uni[natureza]"),"taxa.extra",
INDIRECT("tb_rec_uni[empresa]"),BA$6)</f>
        <v>0</v>
      </c>
      <c r="BB17" s="108"/>
      <c r="BC17" s="120">
        <f ca="1">SUMIFS(
  m.vb[valor],
  m.vb[nucleo],$AV$1,
  m.vb[variavel],BC$7,
  m.vb[mes],$A17
)</f>
        <v>0</v>
      </c>
      <c r="BD17" s="120">
        <f ca="1">SUMIFS(
  m.vb[valor],
  m.vb[nucleo],$AV$1,
  m.vb[variavel],BD$7,
  m.vb[mes],$A17
)</f>
        <v>0</v>
      </c>
      <c r="BE17" s="120">
        <f ca="1">SUMIFS(
  m.vb[valor],
  m.vb[nucleo],$AV$1,
  m.vb[variavel],BE$7,
  m.vb[mes],$A17
)</f>
        <v>0</v>
      </c>
      <c r="BF17" s="120">
        <f ca="1">SUMIFS(
  m.vb[valor],
  m.vb[nucleo],$AV$1,
  m.vb[variavel],BF$7,
  m.vb[mes],$A17
)</f>
        <v>0</v>
      </c>
      <c r="BG17" s="121">
        <f ca="1">SUMIFS(
  m.vb[valor],
  m.vb[nucleo],$AV$1,
  m.vb[variavel],BG$7,
  m.vb[mes],$A17
)</f>
        <v>0</v>
      </c>
      <c r="BH17" s="119">
        <f>COUNTIFS(
    tb_estq[empresa], BH$6,
    tb_estq[Data da venda / reserva], "&gt;=" &amp; $A17,
    tb_estq[Data da venda / reserva], "&lt;"  &amp; EOMONTH($A17,0) + 1
)</f>
        <v>0</v>
      </c>
      <c r="BI17" s="120">
        <f ca="1">SUMIFS(tb_rec_uni[2022-03-01],
INDIRECT("tb_rec_uni[natureza]"),"pro.soluto",
INDIRECT("tb_rec_uni[empresa]"),BI$6)</f>
        <v>0</v>
      </c>
      <c r="BJ17" s="108">
        <v>0</v>
      </c>
      <c r="BK17" s="120">
        <f ca="1">SUMIFS(tb_rec_uni[2022-03-01],
INDIRECT("tb_rec_uni[natureza]"),"taxa.extra",
INDIRECT("tb_rec_uni[empresa]"),BK$6)</f>
        <v>0</v>
      </c>
      <c r="BL17" s="108"/>
      <c r="BM17" s="120">
        <f ca="1">SUMIFS(
  m.vb[valor],
  m.vb[nucleo],$BH$1,
  m.vb[variavel],BM$7,
  m.vb[mes],$A17
)</f>
        <v>0</v>
      </c>
      <c r="BN17" s="120">
        <f ca="1">SUMIFS(
  m.vb[valor],
  m.vb[nucleo],$BH$1,
  m.vb[variavel],BN$7,
  m.vb[mes],$A17
)</f>
        <v>0</v>
      </c>
      <c r="BO17" s="120">
        <f ca="1">SUMIFS(
  m.vb[valor],
  m.vb[nucleo],$BH$1,
  m.vb[variavel],BO$7,
  m.vb[mes],$A17
)</f>
        <v>0</v>
      </c>
      <c r="BP17" s="120">
        <f ca="1">SUMIFS(
  m.vb[valor],
  m.vb[nucleo],$BH$1,
  m.vb[variavel],BP$7,
  m.vb[mes],$A17
)</f>
        <v>0</v>
      </c>
      <c r="BQ17" s="121">
        <f ca="1">SUMIFS(
  m.vb[valor],
  m.vb[nucleo],$BH$1,
  m.vb[variavel],BQ$7,
  m.vb[mes],$A17
)</f>
        <v>0</v>
      </c>
      <c r="BR17" s="119">
        <f>COUNTIFS(
    tb_estq[empresa], BR$6,
    tb_estq[Data da venda / reserva], "&gt;=" &amp; $A17,
    tb_estq[Data da venda / reserva], "&lt;"  &amp; EOMONTH($A17,0) + 1
)</f>
        <v>0</v>
      </c>
      <c r="BS17" s="120">
        <f ca="1">SUMIFS(tb_rec_uni[2022-03-01],
INDIRECT("tb_rec_uni[natureza]"),"pro.soluto",
INDIRECT("tb_rec_uni[empresa]"),BS$6)</f>
        <v>0</v>
      </c>
      <c r="BT17" s="120">
        <f ca="1">SUMIFS(tb_rec_uni[2022-03-01],
INDIRECT("tb_rec_uni[natureza]"),"parcela.fin.total.ik",
INDIRECT("tb_rec_uni[empresa]"),BT$6)</f>
        <v>0</v>
      </c>
      <c r="BU17" s="120">
        <f ca="1">SUMIFS(tb_rec_uni[2022-03-01],
INDIRECT("tb_rec_uni[natureza]"),"taxa.extra",
INDIRECT("tb_rec_uni[empresa]"),BU$6)</f>
        <v>0</v>
      </c>
      <c r="BV17" s="108"/>
      <c r="BW17" s="120">
        <f ca="1">SUMIFS(
  m.vb[valor],
  m.vb[nucleo],$BR$1,
  m.vb[variavel],BW$7,
  m.vb[mes],$A17
)</f>
        <v>0</v>
      </c>
      <c r="BX17" s="120">
        <f ca="1">SUMIFS(
  m.vb[valor],
  m.vb[nucleo],$BR$1,
  m.vb[variavel],BX$7,
  m.vb[mes],$A17
)</f>
        <v>0</v>
      </c>
      <c r="BY17" s="120">
        <f ca="1">SUMIFS(
  m.vb[valor],
  m.vb[nucleo],$BR$1,
  m.vb[variavel],BY$7,
  m.vb[mes],$A17
)</f>
        <v>0</v>
      </c>
      <c r="BZ17" s="120">
        <f ca="1">SUMIFS(
  m.vb[valor],
  m.vb[nucleo],$BR$1,
  m.vb[variavel],BZ$7,
  m.vb[mes],$A17
)</f>
        <v>0</v>
      </c>
      <c r="CA17" s="121">
        <f ca="1">SUMIFS(
  m.vb[valor],
  m.vb[nucleo],$BR$1,
  m.vb[variavel],CA$7,
  m.vb[mes],$A17
)</f>
        <v>0</v>
      </c>
      <c r="CB17" s="119">
        <f>COUNTIFS(
    tb_estq[empresa], CB$6,
    tb_estq[Data da venda / reserva], "&gt;=" &amp; $A17,
    tb_estq[Data da venda / reserva], "&lt;"  &amp; EOMONTH($A17,0) + 1
)</f>
        <v>0</v>
      </c>
      <c r="CC17" s="120">
        <f ca="1">SUMIFS(tb_rec_uni[2022-03-01],
INDIRECT("tb_rec_uni[natureza]"),"pro.soluto",
INDIRECT("tb_rec_uni[empresa]"),CC$6)</f>
        <v>0</v>
      </c>
      <c r="CD17" s="120">
        <f ca="1">SUMIFS(tb_rec_uni[2022-03-01],
INDIRECT("tb_rec_uni[natureza]"),"repasse.cef.obra",
INDIRECT("tb_rec_uni[empresa]"),CD$6)</f>
        <v>0</v>
      </c>
      <c r="CE17" s="120">
        <f ca="1">SUMIFS(tb_rec_uni[2022-03-01],
INDIRECT("tb_rec_uni[natureza]"),"repasse.cef.terreno",
INDIRECT("tb_rec_uni[empresa]"),CE$6)</f>
        <v>0</v>
      </c>
      <c r="CF17" s="120">
        <v>0</v>
      </c>
      <c r="CG17" s="120">
        <f ca="1">SUMIFS(tb_rec_uni[2022-03-01],
INDIRECT("tb_rec_uni[natureza]"),"taxa.extra",
INDIRECT("tb_rec_uni[empresa]"),CG$6)</f>
        <v>0</v>
      </c>
      <c r="CH17" s="108"/>
      <c r="CI17" s="120">
        <f ca="1">SUMIFS(
  m.vb[valor],
  m.vb[nucleo],$CB$1,
  m.vb[variavel],CI$7,
  m.vb[mes],$A17
)</f>
        <v>0</v>
      </c>
      <c r="CJ17" s="120">
        <f ca="1">SUMIFS(
  m.vb[valor],
  m.vb[nucleo],$CB$1,
  m.vb[variavel],CJ$7,
  m.vb[mes],$A17
)</f>
        <v>0</v>
      </c>
      <c r="CK17" s="120">
        <f ca="1">SUMIFS(
  m.vb[valor],
  m.vb[nucleo],$CB$1,
  m.vb[variavel],CK$7,
  m.vb[mes],$A17
)</f>
        <v>0</v>
      </c>
      <c r="CL17" s="120">
        <f ca="1">SUMIFS(
  m.vb[valor],
  m.vb[nucleo],$CB$1,
  m.vb[variavel],CL$7,
  m.vb[mes],$A17
)</f>
        <v>0</v>
      </c>
      <c r="CM17" s="121">
        <f ca="1">SUMIFS(
  m.vb[valor],
  m.vb[nucleo],$CB$1,
  m.vb[variavel],CM$7,
  m.vb[mes],$A17
)</f>
        <v>0</v>
      </c>
      <c r="CN17" s="119">
        <f>COUNTIFS(
    tb_estq[empresa], CN$6,
    tb_estq[Data da venda / reserva], "&gt;=" &amp; $A17,
    tb_estq[Data da venda / reserva], "&lt;"  &amp; EOMONTH($A17,0) + 1
)</f>
        <v>0</v>
      </c>
      <c r="CO17" s="120">
        <f ca="1">SUMIFS(tb_rec_uni[2022-03-01],
INDIRECT("tb_rec_uni[natureza]"),"pro.soluto",
INDIRECT("tb_rec_uni[empresa]"),CO$6)</f>
        <v>0</v>
      </c>
      <c r="CP17" s="120">
        <f ca="1">SUMIFS(tb_rec_uni[2022-03-01],
INDIRECT("tb_rec_uni[natureza]"),"repasse.cef.obra",
INDIRECT("tb_rec_uni[empresa]"),CP$6)</f>
        <v>0</v>
      </c>
      <c r="CQ17" s="120">
        <f ca="1">SUMIFS(tb_rec_uni[2022-03-01],
INDIRECT("tb_rec_uni[natureza]"),"repasse.cef.terreno",
INDIRECT("tb_rec_uni[empresa]"),CQ$6)</f>
        <v>0</v>
      </c>
      <c r="CR17" s="120">
        <v>0</v>
      </c>
      <c r="CS17" s="120">
        <f ca="1">SUMIFS(tb_rec_uni[2022-03-01],
INDIRECT("tb_rec_uni[natureza]"),"taxa.extra",
INDIRECT("tb_rec_uni[empresa]"),CS$6)</f>
        <v>0</v>
      </c>
      <c r="CT17" s="108"/>
      <c r="CU17" s="120">
        <f ca="1">SUMIFS(
  m.vb[valor],
  m.vb[nucleo],$CN$1,
  m.vb[variavel],CU$7,
  m.vb[mes],$A17
)</f>
        <v>0</v>
      </c>
      <c r="CV17" s="120" cm="1">
        <f t="array" ref="CV17">SUMPRODUCT(
  IFERROR(--tb_desp[valor],0)*
  (tb_desp[nucleo]="UP MOVE VILA SONIA")*
  (tb_desp[categoria]=CV$7)*
  (tb_desp[data.pagamento]&gt;=$A17)*
  (tb_desp[data.pagamento]&lt;EOMONTH($A17,0)+1)
)</f>
        <v>0</v>
      </c>
      <c r="CW17" s="120" cm="1">
        <f t="array" ref="CW17">SUMPRODUCT(
  IFERROR(--tb_desp[valor],0)*
  (tb_desp[nucleo]="UP MOVE VILA SONIA")*
  (tb_desp[categoria]=CW$7)*
  (tb_desp[data.pagamento]&gt;=$A17)*
  (tb_desp[data.pagamento]&lt;EOMONTH($A17,0)+1)
)</f>
        <v>0</v>
      </c>
      <c r="CX17" s="120" cm="1">
        <f t="array" ref="CX17">SUMPRODUCT(
  IFERROR(--tb_desp[valor],0)*
  (tb_desp[nucleo]="UP MOVE VILA SONIA")*
  (tb_desp[categoria]=CX$7)*
  (tb_desp[data.pagamento]&gt;=$A17)*
  (tb_desp[data.pagamento]&lt;EOMONTH($A17,0)+1)
)</f>
        <v>0</v>
      </c>
      <c r="CY17" s="122" cm="1">
        <f t="array" ref="CY17">SUMPRODUCT(
  IFERROR(--tb_desp[valor],0)*
  (tb_desp[nucleo]="UP MOVE VILA SONIA")*
  (tb_desp[categoria]=CY$7)*
  (tb_desp[data.pagamento]&gt;=$A17)*
  (tb_desp[data.pagamento]&lt;EOMONTH($A17,0)+1)
)</f>
        <v>0</v>
      </c>
    </row>
    <row r="18" spans="1:103" x14ac:dyDescent="0.25">
      <c r="A18" s="118">
        <v>44652</v>
      </c>
      <c r="B18" s="119">
        <f>COUNTIFS(
    tb_estq[empresa], B$6,
    tb_estq[Data da venda / reserva], "&gt;=" &amp; $A18,
    tb_estq[Data da venda / reserva], "&lt;"  &amp; EOMONTH($A18,0) + 1
)</f>
        <v>0</v>
      </c>
      <c r="C18" s="120">
        <f ca="1">SUMIFS(tb_rec_uni[2022-04-01],
INDIRECT("tb_rec_uni[natureza]"),"pro.soluto",
INDIRECT("tb_rec_uni[empresa]"),C$6)</f>
        <v>0</v>
      </c>
      <c r="D18" s="120">
        <f ca="1">SUMIFS(tb_rec_uni[2022-04-01],
INDIRECT("tb_rec_uni[natureza]"),"repasse.cef.obra",
INDIRECT("tb_rec_uni[empresa]"),D$6)</f>
        <v>0</v>
      </c>
      <c r="E18" s="120">
        <f ca="1">SUMIFS(tb_rec_uni[2022-04-01],
INDIRECT("tb_rec_uni[natureza]"),"repasse.cef.terreno",
INDIRECT("tb_rec_uni[empresa]"),E$6)</f>
        <v>0</v>
      </c>
      <c r="F18" s="120">
        <v>0</v>
      </c>
      <c r="G18" s="120">
        <f ca="1">SUMIFS(tb_rec_uni[2022-04-01],
INDIRECT("tb_rec_uni[natureza]"),"taxa.extra",
INDIRECT("tb_rec_uni[empresa]"),G$6)</f>
        <v>0</v>
      </c>
      <c r="H18" s="108"/>
      <c r="I18" s="120">
        <f ca="1">SUMIFS(
  m.vb[valor],
  m.vb[nucleo],$B$1,
  m.vb[variavel],I$7,
  m.vb[mes],$A18
)</f>
        <v>0</v>
      </c>
      <c r="J18" s="120">
        <f ca="1">SUMIFS(
  m.vb[valor],
  m.vb[nucleo],$B$1,
  m.vb[variavel],J$7,
  m.vb[mes],$A18
)</f>
        <v>0</v>
      </c>
      <c r="K18" s="120">
        <f ca="1">SUMIFS(
  m.vb[valor],
  m.vb[nucleo],$B$1,
  m.vb[variavel],K$7,
  m.vb[mes],$A18
)</f>
        <v>0</v>
      </c>
      <c r="L18" s="120">
        <f ca="1">SUMIFS(
  m.vb[valor],
  m.vb[nucleo],$B$1,
  m.vb[variavel],L$7,
  m.vb[mes],$A18
)</f>
        <v>0</v>
      </c>
      <c r="M18" s="121">
        <f ca="1">SUMIFS(
  m.vb[valor],
  m.vb[nucleo],$B$1,
  m.vb[variavel],M$7,
  m.vb[mes],$A18
)</f>
        <v>0</v>
      </c>
      <c r="N18" s="119">
        <f>COUNTIFS(
    tb_estq[empresa], N$6,
    tb_estq[Data da venda / reserva], "&gt;=" &amp; $A18,
    tb_estq[Data da venda / reserva], "&lt;"  &amp; EOMONTH($A18,0) + 1
)</f>
        <v>0</v>
      </c>
      <c r="O18" s="120">
        <f ca="1">SUMIFS(tb_rec_uni[2022-04-01],
INDIRECT("tb_rec_uni[natureza]"),"pro.soluto",
INDIRECT("tb_rec_uni[empresa]"),O$6)</f>
        <v>0</v>
      </c>
      <c r="P18" s="120">
        <f ca="1">SUMIFS(tb_rec_uni[2022-04-01],
INDIRECT("tb_rec_uni[natureza]"),"repasse.cef.obra",
INDIRECT("tb_rec_uni[empresa]"),P$6)</f>
        <v>0</v>
      </c>
      <c r="Q18" s="120">
        <f ca="1">SUMIFS(tb_rec_uni[2022-04-01],
INDIRECT("tb_rec_uni[natureza]"),"repasse.cef.terreno",
INDIRECT("tb_rec_uni[empresa]"),Q$6)</f>
        <v>0</v>
      </c>
      <c r="R18" s="120">
        <v>0</v>
      </c>
      <c r="S18" s="120">
        <f ca="1">SUMIFS(tb_rec_uni[2022-04-01],
INDIRECT("tb_rec_uni[natureza]"),"taxa.extra",
INDIRECT("tb_rec_uni[empresa]"),S$6)</f>
        <v>0</v>
      </c>
      <c r="T18" s="108"/>
      <c r="U18" s="120">
        <f ca="1">SUMIFS(
  m.vb[valor],
  m.vb[nucleo],$N$1,
  m.vb[variavel],U$7,
  m.vb[mes],$A18
)</f>
        <v>0</v>
      </c>
      <c r="V18" s="120">
        <f ca="1">SUMIFS(
  m.vb[valor],
  m.vb[nucleo],$N$1,
  m.vb[variavel],V$7,
  m.vb[mes],$A18
)</f>
        <v>0</v>
      </c>
      <c r="W18" s="120">
        <f ca="1">SUMIFS(
  m.vb[valor],
  m.vb[nucleo],$N$1,
  m.vb[variavel],W$7,
  m.vb[mes],$A18
)</f>
        <v>0</v>
      </c>
      <c r="X18" s="120">
        <f ca="1">SUMIFS(
  m.vb[valor],
  m.vb[nucleo],$N$1,
  m.vb[variavel],X$7,
  m.vb[mes],$A18
)</f>
        <v>0</v>
      </c>
      <c r="Y18" s="121">
        <f ca="1">SUMIFS(
  m.vb[valor],
  m.vb[nucleo],$N$1,
  m.vb[variavel],Y$7,
  m.vb[mes],$A18
)</f>
        <v>0</v>
      </c>
      <c r="Z18" s="119">
        <f>COUNTIFS(
    tb_estq[empresa], Z$6,
    tb_estq[Data da venda / reserva], "&gt;=" &amp; $A18,
    tb_estq[Data da venda / reserva], "&lt;"  &amp; EOMONTH($A18,0) + 1
)</f>
        <v>0</v>
      </c>
      <c r="AA18" s="120">
        <f ca="1">SUMIFS(tb_rec_uni[2022-04-01],
INDIRECT("tb_rec_uni[natureza]"),"pro.soluto",
INDIRECT("tb_rec_uni[empresa]"),AA$6)</f>
        <v>0</v>
      </c>
      <c r="AB18" s="120">
        <f ca="1">SUMIFS(tb_rec_uni[2022-04-01],
INDIRECT("tb_rec_uni[natureza]"),"parcela.fin.total.ik",
INDIRECT("tb_rec_uni[empresa]"),AB$6)</f>
        <v>0</v>
      </c>
      <c r="AC18" s="120">
        <f ca="1">SUMIFS(tb_rec_uni[2022-04-01],
INDIRECT("tb_rec_uni[natureza]"),"taxa.extra",
INDIRECT("tb_rec_uni[empresa]"),AC$6)</f>
        <v>0</v>
      </c>
      <c r="AD18" s="108"/>
      <c r="AE18" s="120">
        <f ca="1">SUMIFS(
  m.vb[valor],
  m.vb[nucleo],$Z$1,
  m.vb[variavel],AE$7,
  m.vb[mes],$A18
)</f>
        <v>0</v>
      </c>
      <c r="AF18" s="120">
        <f ca="1">SUMIFS(
  m.vb[valor],
  m.vb[nucleo],$Z$1,
  m.vb[variavel],AF$7,
  m.vb[mes],$A18
)</f>
        <v>0</v>
      </c>
      <c r="AG18" s="120">
        <f ca="1">SUMIFS(
  m.vb[valor],
  m.vb[nucleo],$Z$1,
  m.vb[variavel],AG$7,
  m.vb[mes],$A18
)</f>
        <v>0</v>
      </c>
      <c r="AH18" s="120">
        <f ca="1">SUMIFS(
  m.vb[valor],
  m.vb[nucleo],$Z$1,
  m.vb[variavel],AH$7,
  m.vb[mes],$A18
)</f>
        <v>0</v>
      </c>
      <c r="AI18" s="121">
        <f ca="1">SUMIFS(
  m.vb[valor],
  m.vb[nucleo],$Z$1,
  m.vb[variavel],AI$7,
  m.vb[mes],$A18
)</f>
        <v>0</v>
      </c>
      <c r="AJ18" s="119">
        <f>COUNTIFS(
    tb_estq[empresa], AJ$6,
    tb_estq[Data da venda / reserva], "&gt;=" &amp; $A18,
    tb_estq[Data da venda / reserva], "&lt;"  &amp; EOMONTH($A18,0) + 1
)</f>
        <v>0</v>
      </c>
      <c r="AK18" s="120">
        <f ca="1">SUMIFS(tb_rec_uni[2022-04-01],
INDIRECT("tb_rec_uni[natureza]"),"pro.soluto",
INDIRECT("tb_rec_uni[empresa]"),AK$6)</f>
        <v>0</v>
      </c>
      <c r="AL18" s="120">
        <f ca="1">SUMIFS(tb_rec_uni[2022-04-01],
INDIRECT("tb_rec_uni[natureza]"),"repasse.cef.obra",
INDIRECT("tb_rec_uni[empresa]"),AL$6)</f>
        <v>0</v>
      </c>
      <c r="AM18" s="120">
        <f ca="1">SUMIFS(tb_rec_uni[2022-04-01],
INDIRECT("tb_rec_uni[natureza]"),"repasse.cef.terreno",
INDIRECT("tb_rec_uni[empresa]"),AM$6)</f>
        <v>0</v>
      </c>
      <c r="AN18" s="120">
        <v>0</v>
      </c>
      <c r="AO18" s="120">
        <f ca="1">SUMIFS(tb_rec_uni[2022-04-01],
INDIRECT("tb_rec_uni[natureza]"),"taxa.extra",
INDIRECT("tb_rec_uni[empresa]"),AO$6)</f>
        <v>0</v>
      </c>
      <c r="AP18" s="108"/>
      <c r="AQ18" s="120">
        <f ca="1">SUMIFS(
  m.vb[valor],
  m.vb[nucleo],$AJ$1,
  m.vb[variavel],AQ$7,
  m.vb[mes],$A18
)</f>
        <v>0</v>
      </c>
      <c r="AR18" s="120">
        <f ca="1">SUMIFS(
  m.vb[valor],
  m.vb[nucleo],$AJ$1,
  m.vb[variavel],AR$7,
  m.vb[mes],$A18
)</f>
        <v>0</v>
      </c>
      <c r="AS18" s="120">
        <f ca="1">SUMIFS(
  m.vb[valor],
  m.vb[nucleo],$AJ$1,
  m.vb[variavel],AS$7,
  m.vb[mes],$A18
)</f>
        <v>0</v>
      </c>
      <c r="AT18" s="120">
        <f ca="1">SUMIFS(
  m.vb[valor],
  m.vb[nucleo],$AJ$1,
  m.vb[variavel],AT$7,
  m.vb[mes],$A18
)</f>
        <v>0</v>
      </c>
      <c r="AU18" s="121">
        <f ca="1">SUMIFS(
  m.vb[valor],
  m.vb[nucleo],$AJ$1,
  m.vb[variavel],AU$7,
  m.vb[mes],$A18
)</f>
        <v>0</v>
      </c>
      <c r="AV18" s="119">
        <f>COUNTIFS(
    tb_estq[empresa], AV$6,
    tb_estq[Data da venda / reserva], "&gt;=" &amp; $A18,
    tb_estq[Data da venda / reserva], "&lt;"  &amp; EOMONTH($A18,0) + 1
)</f>
        <v>0</v>
      </c>
      <c r="AW18" s="120">
        <f ca="1">SUMIFS(tb_rec_uni[2022-04-01],
INDIRECT("tb_rec_uni[natureza]"),"pro.soluto",
INDIRECT("tb_rec_uni[empresa]"),AW$6)</f>
        <v>0</v>
      </c>
      <c r="AX18" s="120">
        <f ca="1">SUMIFS(tb_rec_uni[2022-04-01],
INDIRECT("tb_rec_uni[natureza]"),"repasse.cef.obra",
INDIRECT("tb_rec_uni[empresa]"),AX$6)</f>
        <v>0</v>
      </c>
      <c r="AY18" s="120">
        <f ca="1">SUMIFS(tb_rec_uni[2022-04-01],
INDIRECT("tb_rec_uni[natureza]"),"repasse.cef.terreno",
INDIRECT("tb_rec_uni[empresa]"),AY$6)</f>
        <v>0</v>
      </c>
      <c r="AZ18" s="120">
        <v>0</v>
      </c>
      <c r="BA18" s="120">
        <f ca="1">SUMIFS(tb_rec_uni[2022-04-01],
INDIRECT("tb_rec_uni[natureza]"),"taxa.extra",
INDIRECT("tb_rec_uni[empresa]"),BA$6)</f>
        <v>0</v>
      </c>
      <c r="BB18" s="108"/>
      <c r="BC18" s="120">
        <f ca="1">SUMIFS(
  m.vb[valor],
  m.vb[nucleo],$AV$1,
  m.vb[variavel],BC$7,
  m.vb[mes],$A18
)</f>
        <v>0</v>
      </c>
      <c r="BD18" s="120">
        <f ca="1">SUMIFS(
  m.vb[valor],
  m.vb[nucleo],$AV$1,
  m.vb[variavel],BD$7,
  m.vb[mes],$A18
)</f>
        <v>0</v>
      </c>
      <c r="BE18" s="120">
        <f ca="1">SUMIFS(
  m.vb[valor],
  m.vb[nucleo],$AV$1,
  m.vb[variavel],BE$7,
  m.vb[mes],$A18
)</f>
        <v>0</v>
      </c>
      <c r="BF18" s="120">
        <f ca="1">SUMIFS(
  m.vb[valor],
  m.vb[nucleo],$AV$1,
  m.vb[variavel],BF$7,
  m.vb[mes],$A18
)</f>
        <v>0</v>
      </c>
      <c r="BG18" s="121">
        <f ca="1">SUMIFS(
  m.vb[valor],
  m.vb[nucleo],$AV$1,
  m.vb[variavel],BG$7,
  m.vb[mes],$A18
)</f>
        <v>0</v>
      </c>
      <c r="BH18" s="119">
        <f>COUNTIFS(
    tb_estq[empresa], BH$6,
    tb_estq[Data da venda / reserva], "&gt;=" &amp; $A18,
    tb_estq[Data da venda / reserva], "&lt;"  &amp; EOMONTH($A18,0) + 1
)</f>
        <v>0</v>
      </c>
      <c r="BI18" s="120">
        <f ca="1">SUMIFS(tb_rec_uni[2022-04-01],
INDIRECT("tb_rec_uni[natureza]"),"pro.soluto",
INDIRECT("tb_rec_uni[empresa]"),BI$6)</f>
        <v>0</v>
      </c>
      <c r="BJ18" s="108">
        <v>0</v>
      </c>
      <c r="BK18" s="120">
        <f ca="1">SUMIFS(tb_rec_uni[2022-04-01],
INDIRECT("tb_rec_uni[natureza]"),"taxa.extra",
INDIRECT("tb_rec_uni[empresa]"),BK$6)</f>
        <v>0</v>
      </c>
      <c r="BL18" s="108"/>
      <c r="BM18" s="120">
        <f ca="1">SUMIFS(
  m.vb[valor],
  m.vb[nucleo],$BH$1,
  m.vb[variavel],BM$7,
  m.vb[mes],$A18
)</f>
        <v>0</v>
      </c>
      <c r="BN18" s="120">
        <f ca="1">SUMIFS(
  m.vb[valor],
  m.vb[nucleo],$BH$1,
  m.vb[variavel],BN$7,
  m.vb[mes],$A18
)</f>
        <v>0</v>
      </c>
      <c r="BO18" s="120">
        <f ca="1">SUMIFS(
  m.vb[valor],
  m.vb[nucleo],$BH$1,
  m.vb[variavel],BO$7,
  m.vb[mes],$A18
)</f>
        <v>0</v>
      </c>
      <c r="BP18" s="120">
        <f ca="1">SUMIFS(
  m.vb[valor],
  m.vb[nucleo],$BH$1,
  m.vb[variavel],BP$7,
  m.vb[mes],$A18
)</f>
        <v>0</v>
      </c>
      <c r="BQ18" s="121">
        <f ca="1">SUMIFS(
  m.vb[valor],
  m.vb[nucleo],$BH$1,
  m.vb[variavel],BQ$7,
  m.vb[mes],$A18
)</f>
        <v>0</v>
      </c>
      <c r="BR18" s="119">
        <f>COUNTIFS(
    tb_estq[empresa], BR$6,
    tb_estq[Data da venda / reserva], "&gt;=" &amp; $A18,
    tb_estq[Data da venda / reserva], "&lt;"  &amp; EOMONTH($A18,0) + 1
)</f>
        <v>0</v>
      </c>
      <c r="BS18" s="120">
        <f ca="1">SUMIFS(tb_rec_uni[2022-04-01],
INDIRECT("tb_rec_uni[natureza]"),"pro.soluto",
INDIRECT("tb_rec_uni[empresa]"),BS$6)</f>
        <v>0</v>
      </c>
      <c r="BT18" s="120">
        <f ca="1">SUMIFS(tb_rec_uni[2022-04-01],
INDIRECT("tb_rec_uni[natureza]"),"parcela.fin.total.ik",
INDIRECT("tb_rec_uni[empresa]"),BT$6)</f>
        <v>0</v>
      </c>
      <c r="BU18" s="120">
        <f ca="1">SUMIFS(tb_rec_uni[2022-04-01],
INDIRECT("tb_rec_uni[natureza]"),"taxa.extra",
INDIRECT("tb_rec_uni[empresa]"),BU$6)</f>
        <v>0</v>
      </c>
      <c r="BV18" s="108"/>
      <c r="BW18" s="120">
        <f ca="1">SUMIFS(
  m.vb[valor],
  m.vb[nucleo],$BR$1,
  m.vb[variavel],BW$7,
  m.vb[mes],$A18
)</f>
        <v>0</v>
      </c>
      <c r="BX18" s="120">
        <f ca="1">SUMIFS(
  m.vb[valor],
  m.vb[nucleo],$BR$1,
  m.vb[variavel],BX$7,
  m.vb[mes],$A18
)</f>
        <v>0</v>
      </c>
      <c r="BY18" s="120">
        <f ca="1">SUMIFS(
  m.vb[valor],
  m.vb[nucleo],$BR$1,
  m.vb[variavel],BY$7,
  m.vb[mes],$A18
)</f>
        <v>0</v>
      </c>
      <c r="BZ18" s="120">
        <f ca="1">SUMIFS(
  m.vb[valor],
  m.vb[nucleo],$BR$1,
  m.vb[variavel],BZ$7,
  m.vb[mes],$A18
)</f>
        <v>0</v>
      </c>
      <c r="CA18" s="121">
        <f ca="1">SUMIFS(
  m.vb[valor],
  m.vb[nucleo],$BR$1,
  m.vb[variavel],CA$7,
  m.vb[mes],$A18
)</f>
        <v>0</v>
      </c>
      <c r="CB18" s="119">
        <f>COUNTIFS(
    tb_estq[empresa], CB$6,
    tb_estq[Data da venda / reserva], "&gt;=" &amp; $A18,
    tb_estq[Data da venda / reserva], "&lt;"  &amp; EOMONTH($A18,0) + 1
)</f>
        <v>0</v>
      </c>
      <c r="CC18" s="120">
        <f ca="1">SUMIFS(tb_rec_uni[2022-04-01],
INDIRECT("tb_rec_uni[natureza]"),"pro.soluto",
INDIRECT("tb_rec_uni[empresa]"),CC$6)</f>
        <v>0</v>
      </c>
      <c r="CD18" s="120">
        <f ca="1">SUMIFS(tb_rec_uni[2022-04-01],
INDIRECT("tb_rec_uni[natureza]"),"repasse.cef.obra",
INDIRECT("tb_rec_uni[empresa]"),CD$6)</f>
        <v>0</v>
      </c>
      <c r="CE18" s="120">
        <f ca="1">SUMIFS(tb_rec_uni[2022-04-01],
INDIRECT("tb_rec_uni[natureza]"),"repasse.cef.terreno",
INDIRECT("tb_rec_uni[empresa]"),CE$6)</f>
        <v>0</v>
      </c>
      <c r="CF18" s="120">
        <v>0</v>
      </c>
      <c r="CG18" s="120">
        <f ca="1">SUMIFS(tb_rec_uni[2022-04-01],
INDIRECT("tb_rec_uni[natureza]"),"taxa.extra",
INDIRECT("tb_rec_uni[empresa]"),CG$6)</f>
        <v>0</v>
      </c>
      <c r="CH18" s="108"/>
      <c r="CI18" s="120">
        <f ca="1">SUMIFS(
  m.vb[valor],
  m.vb[nucleo],$CB$1,
  m.vb[variavel],CI$7,
  m.vb[mes],$A18
)</f>
        <v>0</v>
      </c>
      <c r="CJ18" s="120">
        <f ca="1">SUMIFS(
  m.vb[valor],
  m.vb[nucleo],$CB$1,
  m.vb[variavel],CJ$7,
  m.vb[mes],$A18
)</f>
        <v>0</v>
      </c>
      <c r="CK18" s="120">
        <f ca="1">SUMIFS(
  m.vb[valor],
  m.vb[nucleo],$CB$1,
  m.vb[variavel],CK$7,
  m.vb[mes],$A18
)</f>
        <v>0</v>
      </c>
      <c r="CL18" s="120">
        <f ca="1">SUMIFS(
  m.vb[valor],
  m.vb[nucleo],$CB$1,
  m.vb[variavel],CL$7,
  m.vb[mes],$A18
)</f>
        <v>0</v>
      </c>
      <c r="CM18" s="121">
        <f ca="1">SUMIFS(
  m.vb[valor],
  m.vb[nucleo],$CB$1,
  m.vb[variavel],CM$7,
  m.vb[mes],$A18
)</f>
        <v>0</v>
      </c>
      <c r="CN18" s="119">
        <f>COUNTIFS(
    tb_estq[empresa], CN$6,
    tb_estq[Data da venda / reserva], "&gt;=" &amp; $A18,
    tb_estq[Data da venda / reserva], "&lt;"  &amp; EOMONTH($A18,0) + 1
)</f>
        <v>0</v>
      </c>
      <c r="CO18" s="120">
        <f ca="1">SUMIFS(tb_rec_uni[2022-04-01],
INDIRECT("tb_rec_uni[natureza]"),"pro.soluto",
INDIRECT("tb_rec_uni[empresa]"),CO$6)</f>
        <v>0</v>
      </c>
      <c r="CP18" s="120">
        <f ca="1">SUMIFS(tb_rec_uni[2022-04-01],
INDIRECT("tb_rec_uni[natureza]"),"repasse.cef.obra",
INDIRECT("tb_rec_uni[empresa]"),CP$6)</f>
        <v>0</v>
      </c>
      <c r="CQ18" s="120">
        <f ca="1">SUMIFS(tb_rec_uni[2022-04-01],
INDIRECT("tb_rec_uni[natureza]"),"repasse.cef.terreno",
INDIRECT("tb_rec_uni[empresa]"),CQ$6)</f>
        <v>0</v>
      </c>
      <c r="CR18" s="120">
        <v>0</v>
      </c>
      <c r="CS18" s="120">
        <f ca="1">SUMIFS(tb_rec_uni[2022-04-01],
INDIRECT("tb_rec_uni[natureza]"),"taxa.extra",
INDIRECT("tb_rec_uni[empresa]"),CS$6)</f>
        <v>0</v>
      </c>
      <c r="CT18" s="108"/>
      <c r="CU18" s="120">
        <f ca="1">SUMIFS(
  m.vb[valor],
  m.vb[nucleo],$CN$1,
  m.vb[variavel],CU$7,
  m.vb[mes],$A18
)</f>
        <v>0</v>
      </c>
      <c r="CV18" s="120" cm="1">
        <f t="array" ref="CV18">SUMPRODUCT(
  IFERROR(--tb_desp[valor],0)*
  (tb_desp[nucleo]="UP MOVE VILA SONIA")*
  (tb_desp[categoria]=CV$7)*
  (tb_desp[data.pagamento]&gt;=$A18)*
  (tb_desp[data.pagamento]&lt;EOMONTH($A18,0)+1)
)</f>
        <v>0</v>
      </c>
      <c r="CW18" s="120" cm="1">
        <f t="array" ref="CW18">SUMPRODUCT(
  IFERROR(--tb_desp[valor],0)*
  (tb_desp[nucleo]="UP MOVE VILA SONIA")*
  (tb_desp[categoria]=CW$7)*
  (tb_desp[data.pagamento]&gt;=$A18)*
  (tb_desp[data.pagamento]&lt;EOMONTH($A18,0)+1)
)</f>
        <v>0</v>
      </c>
      <c r="CX18" s="120" cm="1">
        <f t="array" ref="CX18">SUMPRODUCT(
  IFERROR(--tb_desp[valor],0)*
  (tb_desp[nucleo]="UP MOVE VILA SONIA")*
  (tb_desp[categoria]=CX$7)*
  (tb_desp[data.pagamento]&gt;=$A18)*
  (tb_desp[data.pagamento]&lt;EOMONTH($A18,0)+1)
)</f>
        <v>0</v>
      </c>
      <c r="CY18" s="122" cm="1">
        <f t="array" ref="CY18">SUMPRODUCT(
  IFERROR(--tb_desp[valor],0)*
  (tb_desp[nucleo]="UP MOVE VILA SONIA")*
  (tb_desp[categoria]=CY$7)*
  (tb_desp[data.pagamento]&gt;=$A18)*
  (tb_desp[data.pagamento]&lt;EOMONTH($A18,0)+1)
)</f>
        <v>0</v>
      </c>
    </row>
    <row r="19" spans="1:103" x14ac:dyDescent="0.25">
      <c r="A19" s="118">
        <v>44682</v>
      </c>
      <c r="B19" s="119">
        <f>COUNTIFS(
    tb_estq[empresa], B$6,
    tb_estq[Data da venda / reserva], "&gt;=" &amp; $A19,
    tb_estq[Data da venda / reserva], "&lt;"  &amp; EOMONTH($A19,0) + 1
)</f>
        <v>0</v>
      </c>
      <c r="C19" s="120">
        <f ca="1">SUMIFS(tb_rec_uni[2022-05-01],
INDIRECT("tb_rec_uni[natureza]"),"pro.soluto",
INDIRECT("tb_rec_uni[empresa]"),C$6)</f>
        <v>0</v>
      </c>
      <c r="D19" s="120">
        <f ca="1">SUMIFS(tb_rec_uni[2022-05-01],
INDIRECT("tb_rec_uni[natureza]"),"repasse.cef.obra",
INDIRECT("tb_rec_uni[empresa]"),D$6)</f>
        <v>0</v>
      </c>
      <c r="E19" s="120">
        <f ca="1">SUMIFS(tb_rec_uni[2022-05-01],
INDIRECT("tb_rec_uni[natureza]"),"repasse.cef.terreno",
INDIRECT("tb_rec_uni[empresa]"),E$6)</f>
        <v>0</v>
      </c>
      <c r="F19" s="120">
        <v>0</v>
      </c>
      <c r="G19" s="120">
        <f ca="1">SUMIFS(tb_rec_uni[2022-05-01],
INDIRECT("tb_rec_uni[natureza]"),"taxa.extra",
INDIRECT("tb_rec_uni[empresa]"),G$6)</f>
        <v>0</v>
      </c>
      <c r="H19" s="108"/>
      <c r="I19" s="120">
        <f ca="1">SUMIFS(
  m.vb[valor],
  m.vb[nucleo],$B$1,
  m.vb[variavel],I$7,
  m.vb[mes],$A19
)</f>
        <v>0</v>
      </c>
      <c r="J19" s="120">
        <f ca="1">SUMIFS(
  m.vb[valor],
  m.vb[nucleo],$B$1,
  m.vb[variavel],J$7,
  m.vb[mes],$A19
)</f>
        <v>0</v>
      </c>
      <c r="K19" s="120">
        <f ca="1">SUMIFS(
  m.vb[valor],
  m.vb[nucleo],$B$1,
  m.vb[variavel],K$7,
  m.vb[mes],$A19
)</f>
        <v>0</v>
      </c>
      <c r="L19" s="120">
        <f ca="1">SUMIFS(
  m.vb[valor],
  m.vb[nucleo],$B$1,
  m.vb[variavel],L$7,
  m.vb[mes],$A19
)</f>
        <v>0</v>
      </c>
      <c r="M19" s="121">
        <f ca="1">SUMIFS(
  m.vb[valor],
  m.vb[nucleo],$B$1,
  m.vb[variavel],M$7,
  m.vb[mes],$A19
)</f>
        <v>0</v>
      </c>
      <c r="N19" s="119">
        <f>COUNTIFS(
    tb_estq[empresa], N$6,
    tb_estq[Data da venda / reserva], "&gt;=" &amp; $A19,
    tb_estq[Data da venda / reserva], "&lt;"  &amp; EOMONTH($A19,0) + 1
)</f>
        <v>0</v>
      </c>
      <c r="O19" s="120">
        <f ca="1">SUMIFS(tb_rec_uni[2022-05-01],
INDIRECT("tb_rec_uni[natureza]"),"pro.soluto",
INDIRECT("tb_rec_uni[empresa]"),O$6)</f>
        <v>0</v>
      </c>
      <c r="P19" s="120">
        <f ca="1">SUMIFS(tb_rec_uni[2022-05-01],
INDIRECT("tb_rec_uni[natureza]"),"repasse.cef.obra",
INDIRECT("tb_rec_uni[empresa]"),P$6)</f>
        <v>0</v>
      </c>
      <c r="Q19" s="120">
        <f ca="1">SUMIFS(tb_rec_uni[2022-05-01],
INDIRECT("tb_rec_uni[natureza]"),"repasse.cef.terreno",
INDIRECT("tb_rec_uni[empresa]"),Q$6)</f>
        <v>0</v>
      </c>
      <c r="R19" s="120">
        <v>0</v>
      </c>
      <c r="S19" s="120">
        <f ca="1">SUMIFS(tb_rec_uni[2022-05-01],
INDIRECT("tb_rec_uni[natureza]"),"taxa.extra",
INDIRECT("tb_rec_uni[empresa]"),S$6)</f>
        <v>0</v>
      </c>
      <c r="T19" s="108"/>
      <c r="U19" s="120">
        <f ca="1">SUMIFS(
  m.vb[valor],
  m.vb[nucleo],$N$1,
  m.vb[variavel],U$7,
  m.vb[mes],$A19
)</f>
        <v>0</v>
      </c>
      <c r="V19" s="120">
        <f ca="1">SUMIFS(
  m.vb[valor],
  m.vb[nucleo],$N$1,
  m.vb[variavel],V$7,
  m.vb[mes],$A19
)</f>
        <v>0</v>
      </c>
      <c r="W19" s="120">
        <f ca="1">SUMIFS(
  m.vb[valor],
  m.vb[nucleo],$N$1,
  m.vb[variavel],W$7,
  m.vb[mes],$A19
)</f>
        <v>0</v>
      </c>
      <c r="X19" s="120">
        <f ca="1">SUMIFS(
  m.vb[valor],
  m.vb[nucleo],$N$1,
  m.vb[variavel],X$7,
  m.vb[mes],$A19
)</f>
        <v>0</v>
      </c>
      <c r="Y19" s="121">
        <f ca="1">SUMIFS(
  m.vb[valor],
  m.vb[nucleo],$N$1,
  m.vb[variavel],Y$7,
  m.vb[mes],$A19
)</f>
        <v>0</v>
      </c>
      <c r="Z19" s="119">
        <f>COUNTIFS(
    tb_estq[empresa], Z$6,
    tb_estq[Data da venda / reserva], "&gt;=" &amp; $A19,
    tb_estq[Data da venda / reserva], "&lt;"  &amp; EOMONTH($A19,0) + 1
)</f>
        <v>0</v>
      </c>
      <c r="AA19" s="120">
        <f ca="1">SUMIFS(tb_rec_uni[2022-05-01],
INDIRECT("tb_rec_uni[natureza]"),"pro.soluto",
INDIRECT("tb_rec_uni[empresa]"),AA$6)</f>
        <v>0</v>
      </c>
      <c r="AB19" s="120">
        <f ca="1">SUMIFS(tb_rec_uni[2022-05-01],
INDIRECT("tb_rec_uni[natureza]"),"parcela.fin.total.ik",
INDIRECT("tb_rec_uni[empresa]"),AB$6)</f>
        <v>0</v>
      </c>
      <c r="AC19" s="120">
        <f ca="1">SUMIFS(tb_rec_uni[2022-05-01],
INDIRECT("tb_rec_uni[natureza]"),"taxa.extra",
INDIRECT("tb_rec_uni[empresa]"),AC$6)</f>
        <v>0</v>
      </c>
      <c r="AD19" s="108"/>
      <c r="AE19" s="120">
        <f ca="1">SUMIFS(
  m.vb[valor],
  m.vb[nucleo],$Z$1,
  m.vb[variavel],AE$7,
  m.vb[mes],$A19
)</f>
        <v>0</v>
      </c>
      <c r="AF19" s="120">
        <f ca="1">SUMIFS(
  m.vb[valor],
  m.vb[nucleo],$Z$1,
  m.vb[variavel],AF$7,
  m.vb[mes],$A19
)</f>
        <v>0</v>
      </c>
      <c r="AG19" s="120">
        <f ca="1">SUMIFS(
  m.vb[valor],
  m.vb[nucleo],$Z$1,
  m.vb[variavel],AG$7,
  m.vb[mes],$A19
)</f>
        <v>0</v>
      </c>
      <c r="AH19" s="120">
        <f ca="1">SUMIFS(
  m.vb[valor],
  m.vb[nucleo],$Z$1,
  m.vb[variavel],AH$7,
  m.vb[mes],$A19
)</f>
        <v>0</v>
      </c>
      <c r="AI19" s="121">
        <f ca="1">SUMIFS(
  m.vb[valor],
  m.vb[nucleo],$Z$1,
  m.vb[variavel],AI$7,
  m.vb[mes],$A19
)</f>
        <v>0</v>
      </c>
      <c r="AJ19" s="119">
        <f>COUNTIFS(
    tb_estq[empresa], AJ$6,
    tb_estq[Data da venda / reserva], "&gt;=" &amp; $A19,
    tb_estq[Data da venda / reserva], "&lt;"  &amp; EOMONTH($A19,0) + 1
)</f>
        <v>0</v>
      </c>
      <c r="AK19" s="120">
        <f ca="1">SUMIFS(tb_rec_uni[2022-05-01],
INDIRECT("tb_rec_uni[natureza]"),"pro.soluto",
INDIRECT("tb_rec_uni[empresa]"),AK$6)</f>
        <v>0</v>
      </c>
      <c r="AL19" s="120">
        <f ca="1">SUMIFS(tb_rec_uni[2022-05-01],
INDIRECT("tb_rec_uni[natureza]"),"repasse.cef.obra",
INDIRECT("tb_rec_uni[empresa]"),AL$6)</f>
        <v>0</v>
      </c>
      <c r="AM19" s="120">
        <f ca="1">SUMIFS(tb_rec_uni[2022-05-01],
INDIRECT("tb_rec_uni[natureza]"),"repasse.cef.terreno",
INDIRECT("tb_rec_uni[empresa]"),AM$6)</f>
        <v>0</v>
      </c>
      <c r="AN19" s="120">
        <v>0</v>
      </c>
      <c r="AO19" s="120">
        <f ca="1">SUMIFS(tb_rec_uni[2022-05-01],
INDIRECT("tb_rec_uni[natureza]"),"taxa.extra",
INDIRECT("tb_rec_uni[empresa]"),AO$6)</f>
        <v>0</v>
      </c>
      <c r="AP19" s="108"/>
      <c r="AQ19" s="120">
        <f ca="1">SUMIFS(
  m.vb[valor],
  m.vb[nucleo],$AJ$1,
  m.vb[variavel],AQ$7,
  m.vb[mes],$A19
)</f>
        <v>0</v>
      </c>
      <c r="AR19" s="120">
        <f ca="1">SUMIFS(
  m.vb[valor],
  m.vb[nucleo],$AJ$1,
  m.vb[variavel],AR$7,
  m.vb[mes],$A19
)</f>
        <v>0</v>
      </c>
      <c r="AS19" s="120">
        <f ca="1">SUMIFS(
  m.vb[valor],
  m.vb[nucleo],$AJ$1,
  m.vb[variavel],AS$7,
  m.vb[mes],$A19
)</f>
        <v>0</v>
      </c>
      <c r="AT19" s="120">
        <f ca="1">SUMIFS(
  m.vb[valor],
  m.vb[nucleo],$AJ$1,
  m.vb[variavel],AT$7,
  m.vb[mes],$A19
)</f>
        <v>0</v>
      </c>
      <c r="AU19" s="121">
        <f ca="1">SUMIFS(
  m.vb[valor],
  m.vb[nucleo],$AJ$1,
  m.vb[variavel],AU$7,
  m.vb[mes],$A19
)</f>
        <v>0</v>
      </c>
      <c r="AV19" s="119">
        <f>COUNTIFS(
    tb_estq[empresa], AV$6,
    tb_estq[Data da venda / reserva], "&gt;=" &amp; $A19,
    tb_estq[Data da venda / reserva], "&lt;"  &amp; EOMONTH($A19,0) + 1
)</f>
        <v>0</v>
      </c>
      <c r="AW19" s="120">
        <f ca="1">SUMIFS(tb_rec_uni[2022-05-01],
INDIRECT("tb_rec_uni[natureza]"),"pro.soluto",
INDIRECT("tb_rec_uni[empresa]"),AW$6)</f>
        <v>0</v>
      </c>
      <c r="AX19" s="120">
        <f ca="1">SUMIFS(tb_rec_uni[2022-05-01],
INDIRECT("tb_rec_uni[natureza]"),"repasse.cef.obra",
INDIRECT("tb_rec_uni[empresa]"),AX$6)</f>
        <v>0</v>
      </c>
      <c r="AY19" s="120">
        <f ca="1">SUMIFS(tb_rec_uni[2022-05-01],
INDIRECT("tb_rec_uni[natureza]"),"repasse.cef.terreno",
INDIRECT("tb_rec_uni[empresa]"),AY$6)</f>
        <v>0</v>
      </c>
      <c r="AZ19" s="120">
        <v>0</v>
      </c>
      <c r="BA19" s="120">
        <f ca="1">SUMIFS(tb_rec_uni[2022-05-01],
INDIRECT("tb_rec_uni[natureza]"),"taxa.extra",
INDIRECT("tb_rec_uni[empresa]"),BA$6)</f>
        <v>0</v>
      </c>
      <c r="BB19" s="108"/>
      <c r="BC19" s="120">
        <f ca="1">SUMIFS(
  m.vb[valor],
  m.vb[nucleo],$AV$1,
  m.vb[variavel],BC$7,
  m.vb[mes],$A19
)</f>
        <v>0</v>
      </c>
      <c r="BD19" s="120">
        <f ca="1">SUMIFS(
  m.vb[valor],
  m.vb[nucleo],$AV$1,
  m.vb[variavel],BD$7,
  m.vb[mes],$A19
)</f>
        <v>0</v>
      </c>
      <c r="BE19" s="120">
        <f ca="1">SUMIFS(
  m.vb[valor],
  m.vb[nucleo],$AV$1,
  m.vb[variavel],BE$7,
  m.vb[mes],$A19
)</f>
        <v>0</v>
      </c>
      <c r="BF19" s="120">
        <f ca="1">SUMIFS(
  m.vb[valor],
  m.vb[nucleo],$AV$1,
  m.vb[variavel],BF$7,
  m.vb[mes],$A19
)</f>
        <v>0</v>
      </c>
      <c r="BG19" s="121">
        <f ca="1">SUMIFS(
  m.vb[valor],
  m.vb[nucleo],$AV$1,
  m.vb[variavel],BG$7,
  m.vb[mes],$A19
)</f>
        <v>0</v>
      </c>
      <c r="BH19" s="119">
        <f>COUNTIFS(
    tb_estq[empresa], BH$6,
    tb_estq[Data da venda / reserva], "&gt;=" &amp; $A19,
    tb_estq[Data da venda / reserva], "&lt;"  &amp; EOMONTH($A19,0) + 1
)</f>
        <v>0</v>
      </c>
      <c r="BI19" s="120">
        <f ca="1">SUMIFS(tb_rec_uni[2022-05-01],
INDIRECT("tb_rec_uni[natureza]"),"pro.soluto",
INDIRECT("tb_rec_uni[empresa]"),BI$6)</f>
        <v>0</v>
      </c>
      <c r="BJ19" s="108">
        <v>0</v>
      </c>
      <c r="BK19" s="120">
        <f ca="1">SUMIFS(tb_rec_uni[2022-05-01],
INDIRECT("tb_rec_uni[natureza]"),"taxa.extra",
INDIRECT("tb_rec_uni[empresa]"),BK$6)</f>
        <v>0</v>
      </c>
      <c r="BL19" s="108"/>
      <c r="BM19" s="120">
        <f ca="1">SUMIFS(
  m.vb[valor],
  m.vb[nucleo],$BH$1,
  m.vb[variavel],BM$7,
  m.vb[mes],$A19
)</f>
        <v>0</v>
      </c>
      <c r="BN19" s="120">
        <f ca="1">SUMIFS(
  m.vb[valor],
  m.vb[nucleo],$BH$1,
  m.vb[variavel],BN$7,
  m.vb[mes],$A19
)</f>
        <v>0</v>
      </c>
      <c r="BO19" s="120">
        <f ca="1">SUMIFS(
  m.vb[valor],
  m.vb[nucleo],$BH$1,
  m.vb[variavel],BO$7,
  m.vb[mes],$A19
)</f>
        <v>0</v>
      </c>
      <c r="BP19" s="120">
        <f ca="1">SUMIFS(
  m.vb[valor],
  m.vb[nucleo],$BH$1,
  m.vb[variavel],BP$7,
  m.vb[mes],$A19
)</f>
        <v>0</v>
      </c>
      <c r="BQ19" s="121">
        <f ca="1">SUMIFS(
  m.vb[valor],
  m.vb[nucleo],$BH$1,
  m.vb[variavel],BQ$7,
  m.vb[mes],$A19
)</f>
        <v>0</v>
      </c>
      <c r="BR19" s="119">
        <f>COUNTIFS(
    tb_estq[empresa], BR$6,
    tb_estq[Data da venda / reserva], "&gt;=" &amp; $A19,
    tb_estq[Data da venda / reserva], "&lt;"  &amp; EOMONTH($A19,0) + 1
)</f>
        <v>0</v>
      </c>
      <c r="BS19" s="120">
        <f ca="1">SUMIFS(tb_rec_uni[2022-05-01],
INDIRECT("tb_rec_uni[natureza]"),"pro.soluto",
INDIRECT("tb_rec_uni[empresa]"),BS$6)</f>
        <v>0</v>
      </c>
      <c r="BT19" s="120">
        <f ca="1">SUMIFS(tb_rec_uni[2022-05-01],
INDIRECT("tb_rec_uni[natureza]"),"parcela.fin.total.ik",
INDIRECT("tb_rec_uni[empresa]"),BT$6)</f>
        <v>0</v>
      </c>
      <c r="BU19" s="120">
        <f ca="1">SUMIFS(tb_rec_uni[2022-05-01],
INDIRECT("tb_rec_uni[natureza]"),"taxa.extra",
INDIRECT("tb_rec_uni[empresa]"),BU$6)</f>
        <v>0</v>
      </c>
      <c r="BV19" s="108"/>
      <c r="BW19" s="120">
        <f ca="1">SUMIFS(
  m.vb[valor],
  m.vb[nucleo],$BR$1,
  m.vb[variavel],BW$7,
  m.vb[mes],$A19
)</f>
        <v>0</v>
      </c>
      <c r="BX19" s="120">
        <f ca="1">SUMIFS(
  m.vb[valor],
  m.vb[nucleo],$BR$1,
  m.vb[variavel],BX$7,
  m.vb[mes],$A19
)</f>
        <v>0</v>
      </c>
      <c r="BY19" s="120">
        <f ca="1">SUMIFS(
  m.vb[valor],
  m.vb[nucleo],$BR$1,
  m.vb[variavel],BY$7,
  m.vb[mes],$A19
)</f>
        <v>0</v>
      </c>
      <c r="BZ19" s="120">
        <f ca="1">SUMIFS(
  m.vb[valor],
  m.vb[nucleo],$BR$1,
  m.vb[variavel],BZ$7,
  m.vb[mes],$A19
)</f>
        <v>0</v>
      </c>
      <c r="CA19" s="121">
        <f ca="1">SUMIFS(
  m.vb[valor],
  m.vb[nucleo],$BR$1,
  m.vb[variavel],CA$7,
  m.vb[mes],$A19
)</f>
        <v>0</v>
      </c>
      <c r="CB19" s="119">
        <f>COUNTIFS(
    tb_estq[empresa], CB$6,
    tb_estq[Data da venda / reserva], "&gt;=" &amp; $A19,
    tb_estq[Data da venda / reserva], "&lt;"  &amp; EOMONTH($A19,0) + 1
)</f>
        <v>0</v>
      </c>
      <c r="CC19" s="120">
        <f ca="1">SUMIFS(tb_rec_uni[2022-05-01],
INDIRECT("tb_rec_uni[natureza]"),"pro.soluto",
INDIRECT("tb_rec_uni[empresa]"),CC$6)</f>
        <v>0</v>
      </c>
      <c r="CD19" s="120">
        <f ca="1">SUMIFS(tb_rec_uni[2022-05-01],
INDIRECT("tb_rec_uni[natureza]"),"repasse.cef.obra",
INDIRECT("tb_rec_uni[empresa]"),CD$6)</f>
        <v>0</v>
      </c>
      <c r="CE19" s="120">
        <f ca="1">SUMIFS(tb_rec_uni[2022-05-01],
INDIRECT("tb_rec_uni[natureza]"),"repasse.cef.terreno",
INDIRECT("tb_rec_uni[empresa]"),CE$6)</f>
        <v>0</v>
      </c>
      <c r="CF19" s="120">
        <v>0</v>
      </c>
      <c r="CG19" s="120">
        <f ca="1">SUMIFS(tb_rec_uni[2022-05-01],
INDIRECT("tb_rec_uni[natureza]"),"taxa.extra",
INDIRECT("tb_rec_uni[empresa]"),CG$6)</f>
        <v>0</v>
      </c>
      <c r="CH19" s="108"/>
      <c r="CI19" s="120">
        <f ca="1">SUMIFS(
  m.vb[valor],
  m.vb[nucleo],$CB$1,
  m.vb[variavel],CI$7,
  m.vb[mes],$A19
)</f>
        <v>0</v>
      </c>
      <c r="CJ19" s="120">
        <f ca="1">SUMIFS(
  m.vb[valor],
  m.vb[nucleo],$CB$1,
  m.vb[variavel],CJ$7,
  m.vb[mes],$A19
)</f>
        <v>0</v>
      </c>
      <c r="CK19" s="120">
        <f ca="1">SUMIFS(
  m.vb[valor],
  m.vb[nucleo],$CB$1,
  m.vb[variavel],CK$7,
  m.vb[mes],$A19
)</f>
        <v>0</v>
      </c>
      <c r="CL19" s="120">
        <f ca="1">SUMIFS(
  m.vb[valor],
  m.vb[nucleo],$CB$1,
  m.vb[variavel],CL$7,
  m.vb[mes],$A19
)</f>
        <v>0</v>
      </c>
      <c r="CM19" s="121">
        <f ca="1">SUMIFS(
  m.vb[valor],
  m.vb[nucleo],$CB$1,
  m.vb[variavel],CM$7,
  m.vb[mes],$A19
)</f>
        <v>0</v>
      </c>
      <c r="CN19" s="119">
        <f>COUNTIFS(
    tb_estq[empresa], CN$6,
    tb_estq[Data da venda / reserva], "&gt;=" &amp; $A19,
    tb_estq[Data da venda / reserva], "&lt;"  &amp; EOMONTH($A19,0) + 1
)</f>
        <v>0</v>
      </c>
      <c r="CO19" s="120">
        <f ca="1">SUMIFS(tb_rec_uni[2022-05-01],
INDIRECT("tb_rec_uni[natureza]"),"pro.soluto",
INDIRECT("tb_rec_uni[empresa]"),CO$6)</f>
        <v>0</v>
      </c>
      <c r="CP19" s="120">
        <f ca="1">SUMIFS(tb_rec_uni[2022-05-01],
INDIRECT("tb_rec_uni[natureza]"),"repasse.cef.obra",
INDIRECT("tb_rec_uni[empresa]"),CP$6)</f>
        <v>0</v>
      </c>
      <c r="CQ19" s="120">
        <f ca="1">SUMIFS(tb_rec_uni[2022-05-01],
INDIRECT("tb_rec_uni[natureza]"),"repasse.cef.terreno",
INDIRECT("tb_rec_uni[empresa]"),CQ$6)</f>
        <v>0</v>
      </c>
      <c r="CR19" s="120">
        <v>0</v>
      </c>
      <c r="CS19" s="120">
        <f ca="1">SUMIFS(tb_rec_uni[2022-05-01],
INDIRECT("tb_rec_uni[natureza]"),"taxa.extra",
INDIRECT("tb_rec_uni[empresa]"),CS$6)</f>
        <v>0</v>
      </c>
      <c r="CT19" s="108"/>
      <c r="CU19" s="120">
        <f ca="1">SUMIFS(
  m.vb[valor],
  m.vb[nucleo],$CN$1,
  m.vb[variavel],CU$7,
  m.vb[mes],$A19
)</f>
        <v>0</v>
      </c>
      <c r="CV19" s="120" cm="1">
        <f t="array" ref="CV19">SUMPRODUCT(
  IFERROR(--tb_desp[valor],0)*
  (tb_desp[nucleo]="UP MOVE VILA SONIA")*
  (tb_desp[categoria]=CV$7)*
  (tb_desp[data.pagamento]&gt;=$A19)*
  (tb_desp[data.pagamento]&lt;EOMONTH($A19,0)+1)
)</f>
        <v>0</v>
      </c>
      <c r="CW19" s="120" cm="1">
        <f t="array" ref="CW19">SUMPRODUCT(
  IFERROR(--tb_desp[valor],0)*
  (tb_desp[nucleo]="UP MOVE VILA SONIA")*
  (tb_desp[categoria]=CW$7)*
  (tb_desp[data.pagamento]&gt;=$A19)*
  (tb_desp[data.pagamento]&lt;EOMONTH($A19,0)+1)
)</f>
        <v>0</v>
      </c>
      <c r="CX19" s="120" cm="1">
        <f t="array" ref="CX19">SUMPRODUCT(
  IFERROR(--tb_desp[valor],0)*
  (tb_desp[nucleo]="UP MOVE VILA SONIA")*
  (tb_desp[categoria]=CX$7)*
  (tb_desp[data.pagamento]&gt;=$A19)*
  (tb_desp[data.pagamento]&lt;EOMONTH($A19,0)+1)
)</f>
        <v>0</v>
      </c>
      <c r="CY19" s="122" cm="1">
        <f t="array" ref="CY19">SUMPRODUCT(
  IFERROR(--tb_desp[valor],0)*
  (tb_desp[nucleo]="UP MOVE VILA SONIA")*
  (tb_desp[categoria]=CY$7)*
  (tb_desp[data.pagamento]&gt;=$A19)*
  (tb_desp[data.pagamento]&lt;EOMONTH($A19,0)+1)
)</f>
        <v>0</v>
      </c>
    </row>
    <row r="20" spans="1:103" x14ac:dyDescent="0.25">
      <c r="A20" s="118">
        <v>44713</v>
      </c>
      <c r="B20" s="119">
        <f>COUNTIFS(
    tb_estq[empresa], B$6,
    tb_estq[Data da venda / reserva], "&gt;=" &amp; $A20,
    tb_estq[Data da venda / reserva], "&lt;"  &amp; EOMONTH($A20,0) + 1
)</f>
        <v>0</v>
      </c>
      <c r="C20" s="120">
        <f ca="1">SUMIFS(tb_rec_uni[2022-06-01],
INDIRECT("tb_rec_uni[natureza]"),"pro.soluto",
INDIRECT("tb_rec_uni[empresa]"),C$6)</f>
        <v>0</v>
      </c>
      <c r="D20" s="120">
        <f ca="1">SUMIFS(tb_rec_uni[2022-06-01],
INDIRECT("tb_rec_uni[natureza]"),"repasse.cef.obra",
INDIRECT("tb_rec_uni[empresa]"),D$6)</f>
        <v>0</v>
      </c>
      <c r="E20" s="120">
        <f ca="1">SUMIFS(tb_rec_uni[2022-06-01],
INDIRECT("tb_rec_uni[natureza]"),"repasse.cef.terreno",
INDIRECT("tb_rec_uni[empresa]"),E$6)</f>
        <v>0</v>
      </c>
      <c r="F20" s="120">
        <v>0</v>
      </c>
      <c r="G20" s="120">
        <f ca="1">SUMIFS(tb_rec_uni[2022-06-01],
INDIRECT("tb_rec_uni[natureza]"),"taxa.extra",
INDIRECT("tb_rec_uni[empresa]"),G$6)</f>
        <v>0</v>
      </c>
      <c r="H20" s="108"/>
      <c r="I20" s="120">
        <f ca="1">SUMIFS(
  m.vb[valor],
  m.vb[nucleo],$B$1,
  m.vb[variavel],I$7,
  m.vb[mes],$A20
)</f>
        <v>0</v>
      </c>
      <c r="J20" s="120">
        <f ca="1">SUMIFS(
  m.vb[valor],
  m.vb[nucleo],$B$1,
  m.vb[variavel],J$7,
  m.vb[mes],$A20
)</f>
        <v>0</v>
      </c>
      <c r="K20" s="120">
        <f ca="1">SUMIFS(
  m.vb[valor],
  m.vb[nucleo],$B$1,
  m.vb[variavel],K$7,
  m.vb[mes],$A20
)</f>
        <v>0</v>
      </c>
      <c r="L20" s="120">
        <f ca="1">SUMIFS(
  m.vb[valor],
  m.vb[nucleo],$B$1,
  m.vb[variavel],L$7,
  m.vb[mes],$A20
)</f>
        <v>0</v>
      </c>
      <c r="M20" s="121">
        <f ca="1">SUMIFS(
  m.vb[valor],
  m.vb[nucleo],$B$1,
  m.vb[variavel],M$7,
  m.vb[mes],$A20
)</f>
        <v>0</v>
      </c>
      <c r="N20" s="119">
        <f>COUNTIFS(
    tb_estq[empresa], N$6,
    tb_estq[Data da venda / reserva], "&gt;=" &amp; $A20,
    tb_estq[Data da venda / reserva], "&lt;"  &amp; EOMONTH($A20,0) + 1
)</f>
        <v>0</v>
      </c>
      <c r="O20" s="120">
        <f ca="1">SUMIFS(tb_rec_uni[2022-06-01],
INDIRECT("tb_rec_uni[natureza]"),"pro.soluto",
INDIRECT("tb_rec_uni[empresa]"),O$6)</f>
        <v>0</v>
      </c>
      <c r="P20" s="120">
        <f ca="1">SUMIFS(tb_rec_uni[2022-06-01],
INDIRECT("tb_rec_uni[natureza]"),"repasse.cef.obra",
INDIRECT("tb_rec_uni[empresa]"),P$6)</f>
        <v>0</v>
      </c>
      <c r="Q20" s="120">
        <f ca="1">SUMIFS(tb_rec_uni[2022-06-01],
INDIRECT("tb_rec_uni[natureza]"),"repasse.cef.terreno",
INDIRECT("tb_rec_uni[empresa]"),Q$6)</f>
        <v>0</v>
      </c>
      <c r="R20" s="120">
        <v>0</v>
      </c>
      <c r="S20" s="120">
        <f ca="1">SUMIFS(tb_rec_uni[2022-06-01],
INDIRECT("tb_rec_uni[natureza]"),"taxa.extra",
INDIRECT("tb_rec_uni[empresa]"),S$6)</f>
        <v>0</v>
      </c>
      <c r="T20" s="108"/>
      <c r="U20" s="120">
        <f ca="1">SUMIFS(
  m.vb[valor],
  m.vb[nucleo],$N$1,
  m.vb[variavel],U$7,
  m.vb[mes],$A20
)</f>
        <v>0</v>
      </c>
      <c r="V20" s="120">
        <f ca="1">SUMIFS(
  m.vb[valor],
  m.vb[nucleo],$N$1,
  m.vb[variavel],V$7,
  m.vb[mes],$A20
)</f>
        <v>0</v>
      </c>
      <c r="W20" s="120">
        <f ca="1">SUMIFS(
  m.vb[valor],
  m.vb[nucleo],$N$1,
  m.vb[variavel],W$7,
  m.vb[mes],$A20
)</f>
        <v>0</v>
      </c>
      <c r="X20" s="120">
        <f ca="1">SUMIFS(
  m.vb[valor],
  m.vb[nucleo],$N$1,
  m.vb[variavel],X$7,
  m.vb[mes],$A20
)</f>
        <v>0</v>
      </c>
      <c r="Y20" s="121">
        <f ca="1">SUMIFS(
  m.vb[valor],
  m.vb[nucleo],$N$1,
  m.vb[variavel],Y$7,
  m.vb[mes],$A20
)</f>
        <v>0</v>
      </c>
      <c r="Z20" s="119">
        <f>COUNTIFS(
    tb_estq[empresa], Z$6,
    tb_estq[Data da venda / reserva], "&gt;=" &amp; $A20,
    tb_estq[Data da venda / reserva], "&lt;"  &amp; EOMONTH($A20,0) + 1
)</f>
        <v>0</v>
      </c>
      <c r="AA20" s="120">
        <f ca="1">SUMIFS(tb_rec_uni[2022-06-01],
INDIRECT("tb_rec_uni[natureza]"),"pro.soluto",
INDIRECT("tb_rec_uni[empresa]"),AA$6)</f>
        <v>0</v>
      </c>
      <c r="AB20" s="120">
        <f ca="1">SUMIFS(tb_rec_uni[2022-06-01],
INDIRECT("tb_rec_uni[natureza]"),"parcela.fin.total.ik",
INDIRECT("tb_rec_uni[empresa]"),AB$6)</f>
        <v>0</v>
      </c>
      <c r="AC20" s="120">
        <f ca="1">SUMIFS(tb_rec_uni[2022-06-01],
INDIRECT("tb_rec_uni[natureza]"),"taxa.extra",
INDIRECT("tb_rec_uni[empresa]"),AC$6)</f>
        <v>0</v>
      </c>
      <c r="AD20" s="108"/>
      <c r="AE20" s="120">
        <f ca="1">SUMIFS(
  m.vb[valor],
  m.vb[nucleo],$Z$1,
  m.vb[variavel],AE$7,
  m.vb[mes],$A20
)</f>
        <v>0</v>
      </c>
      <c r="AF20" s="120">
        <f ca="1">SUMIFS(
  m.vb[valor],
  m.vb[nucleo],$Z$1,
  m.vb[variavel],AF$7,
  m.vb[mes],$A20
)</f>
        <v>0</v>
      </c>
      <c r="AG20" s="120">
        <f ca="1">SUMIFS(
  m.vb[valor],
  m.vb[nucleo],$Z$1,
  m.vb[variavel],AG$7,
  m.vb[mes],$A20
)</f>
        <v>0</v>
      </c>
      <c r="AH20" s="120">
        <f ca="1">SUMIFS(
  m.vb[valor],
  m.vb[nucleo],$Z$1,
  m.vb[variavel],AH$7,
  m.vb[mes],$A20
)</f>
        <v>0</v>
      </c>
      <c r="AI20" s="121">
        <f ca="1">SUMIFS(
  m.vb[valor],
  m.vb[nucleo],$Z$1,
  m.vb[variavel],AI$7,
  m.vb[mes],$A20
)</f>
        <v>0</v>
      </c>
      <c r="AJ20" s="119">
        <f>COUNTIFS(
    tb_estq[empresa], AJ$6,
    tb_estq[Data da venda / reserva], "&gt;=" &amp; $A20,
    tb_estq[Data da venda / reserva], "&lt;"  &amp; EOMONTH($A20,0) + 1
)</f>
        <v>0</v>
      </c>
      <c r="AK20" s="120">
        <f ca="1">SUMIFS(tb_rec_uni[2022-06-01],
INDIRECT("tb_rec_uni[natureza]"),"pro.soluto",
INDIRECT("tb_rec_uni[empresa]"),AK$6)</f>
        <v>0</v>
      </c>
      <c r="AL20" s="120">
        <f ca="1">SUMIFS(tb_rec_uni[2022-06-01],
INDIRECT("tb_rec_uni[natureza]"),"repasse.cef.obra",
INDIRECT("tb_rec_uni[empresa]"),AL$6)</f>
        <v>0</v>
      </c>
      <c r="AM20" s="120">
        <f ca="1">SUMIFS(tb_rec_uni[2022-06-01],
INDIRECT("tb_rec_uni[natureza]"),"repasse.cef.terreno",
INDIRECT("tb_rec_uni[empresa]"),AM$6)</f>
        <v>0</v>
      </c>
      <c r="AN20" s="120">
        <v>0</v>
      </c>
      <c r="AO20" s="120">
        <f ca="1">SUMIFS(tb_rec_uni[2022-06-01],
INDIRECT("tb_rec_uni[natureza]"),"taxa.extra",
INDIRECT("tb_rec_uni[empresa]"),AO$6)</f>
        <v>0</v>
      </c>
      <c r="AP20" s="108"/>
      <c r="AQ20" s="120">
        <f ca="1">SUMIFS(
  m.vb[valor],
  m.vb[nucleo],$AJ$1,
  m.vb[variavel],AQ$7,
  m.vb[mes],$A20
)</f>
        <v>0</v>
      </c>
      <c r="AR20" s="120">
        <f ca="1">SUMIFS(
  m.vb[valor],
  m.vb[nucleo],$AJ$1,
  m.vb[variavel],AR$7,
  m.vb[mes],$A20
)</f>
        <v>0</v>
      </c>
      <c r="AS20" s="120">
        <f ca="1">SUMIFS(
  m.vb[valor],
  m.vb[nucleo],$AJ$1,
  m.vb[variavel],AS$7,
  m.vb[mes],$A20
)</f>
        <v>0</v>
      </c>
      <c r="AT20" s="120">
        <f ca="1">SUMIFS(
  m.vb[valor],
  m.vb[nucleo],$AJ$1,
  m.vb[variavel],AT$7,
  m.vb[mes],$A20
)</f>
        <v>0</v>
      </c>
      <c r="AU20" s="121">
        <f ca="1">SUMIFS(
  m.vb[valor],
  m.vb[nucleo],$AJ$1,
  m.vb[variavel],AU$7,
  m.vb[mes],$A20
)</f>
        <v>0</v>
      </c>
      <c r="AV20" s="119">
        <f>COUNTIFS(
    tb_estq[empresa], AV$6,
    tb_estq[Data da venda / reserva], "&gt;=" &amp; $A20,
    tb_estq[Data da venda / reserva], "&lt;"  &amp; EOMONTH($A20,0) + 1
)</f>
        <v>0</v>
      </c>
      <c r="AW20" s="120">
        <f ca="1">SUMIFS(tb_rec_uni[2022-06-01],
INDIRECT("tb_rec_uni[natureza]"),"pro.soluto",
INDIRECT("tb_rec_uni[empresa]"),AW$6)</f>
        <v>0</v>
      </c>
      <c r="AX20" s="120">
        <f ca="1">SUMIFS(tb_rec_uni[2022-06-01],
INDIRECT("tb_rec_uni[natureza]"),"repasse.cef.obra",
INDIRECT("tb_rec_uni[empresa]"),AX$6)</f>
        <v>0</v>
      </c>
      <c r="AY20" s="120">
        <f ca="1">SUMIFS(tb_rec_uni[2022-06-01],
INDIRECT("tb_rec_uni[natureza]"),"repasse.cef.terreno",
INDIRECT("tb_rec_uni[empresa]"),AY$6)</f>
        <v>0</v>
      </c>
      <c r="AZ20" s="120">
        <v>0</v>
      </c>
      <c r="BA20" s="120">
        <f ca="1">SUMIFS(tb_rec_uni[2022-06-01],
INDIRECT("tb_rec_uni[natureza]"),"taxa.extra",
INDIRECT("tb_rec_uni[empresa]"),BA$6)</f>
        <v>0</v>
      </c>
      <c r="BB20" s="108"/>
      <c r="BC20" s="120">
        <f ca="1">SUMIFS(
  m.vb[valor],
  m.vb[nucleo],$AV$1,
  m.vb[variavel],BC$7,
  m.vb[mes],$A20
)</f>
        <v>0</v>
      </c>
      <c r="BD20" s="120">
        <f ca="1">SUMIFS(
  m.vb[valor],
  m.vb[nucleo],$AV$1,
  m.vb[variavel],BD$7,
  m.vb[mes],$A20
)</f>
        <v>0</v>
      </c>
      <c r="BE20" s="120">
        <f ca="1">SUMIFS(
  m.vb[valor],
  m.vb[nucleo],$AV$1,
  m.vb[variavel],BE$7,
  m.vb[mes],$A20
)</f>
        <v>0</v>
      </c>
      <c r="BF20" s="120">
        <f ca="1">SUMIFS(
  m.vb[valor],
  m.vb[nucleo],$AV$1,
  m.vb[variavel],BF$7,
  m.vb[mes],$A20
)</f>
        <v>0</v>
      </c>
      <c r="BG20" s="121">
        <f ca="1">SUMIFS(
  m.vb[valor],
  m.vb[nucleo],$AV$1,
  m.vb[variavel],BG$7,
  m.vb[mes],$A20
)</f>
        <v>0</v>
      </c>
      <c r="BH20" s="119">
        <f>COUNTIFS(
    tb_estq[empresa], BH$6,
    tb_estq[Data da venda / reserva], "&gt;=" &amp; $A20,
    tb_estq[Data da venda / reserva], "&lt;"  &amp; EOMONTH($A20,0) + 1
)</f>
        <v>0</v>
      </c>
      <c r="BI20" s="120">
        <f ca="1">SUMIFS(tb_rec_uni[2022-06-01],
INDIRECT("tb_rec_uni[natureza]"),"pro.soluto",
INDIRECT("tb_rec_uni[empresa]"),BI$6)</f>
        <v>0</v>
      </c>
      <c r="BJ20" s="108">
        <v>0</v>
      </c>
      <c r="BK20" s="120">
        <f ca="1">SUMIFS(tb_rec_uni[2022-06-01],
INDIRECT("tb_rec_uni[natureza]"),"taxa.extra",
INDIRECT("tb_rec_uni[empresa]"),BK$6)</f>
        <v>0</v>
      </c>
      <c r="BL20" s="108"/>
      <c r="BM20" s="120">
        <f ca="1">SUMIFS(
  m.vb[valor],
  m.vb[nucleo],$BH$1,
  m.vb[variavel],BM$7,
  m.vb[mes],$A20
)</f>
        <v>0</v>
      </c>
      <c r="BN20" s="120">
        <f ca="1">SUMIFS(
  m.vb[valor],
  m.vb[nucleo],$BH$1,
  m.vb[variavel],BN$7,
  m.vb[mes],$A20
)</f>
        <v>0</v>
      </c>
      <c r="BO20" s="120">
        <f ca="1">SUMIFS(
  m.vb[valor],
  m.vb[nucleo],$BH$1,
  m.vb[variavel],BO$7,
  m.vb[mes],$A20
)</f>
        <v>0</v>
      </c>
      <c r="BP20" s="120">
        <f ca="1">SUMIFS(
  m.vb[valor],
  m.vb[nucleo],$BH$1,
  m.vb[variavel],BP$7,
  m.vb[mes],$A20
)</f>
        <v>0</v>
      </c>
      <c r="BQ20" s="121">
        <f ca="1">SUMIFS(
  m.vb[valor],
  m.vb[nucleo],$BH$1,
  m.vb[variavel],BQ$7,
  m.vb[mes],$A20
)</f>
        <v>0</v>
      </c>
      <c r="BR20" s="119">
        <f>COUNTIFS(
    tb_estq[empresa], BR$6,
    tb_estq[Data da venda / reserva], "&gt;=" &amp; $A20,
    tb_estq[Data da venda / reserva], "&lt;"  &amp; EOMONTH($A20,0) + 1
)</f>
        <v>0</v>
      </c>
      <c r="BS20" s="120">
        <f ca="1">SUMIFS(tb_rec_uni[2022-06-01],
INDIRECT("tb_rec_uni[natureza]"),"pro.soluto",
INDIRECT("tb_rec_uni[empresa]"),BS$6)</f>
        <v>0</v>
      </c>
      <c r="BT20" s="120">
        <f ca="1">SUMIFS(tb_rec_uni[2022-06-01],
INDIRECT("tb_rec_uni[natureza]"),"parcela.fin.total.ik",
INDIRECT("tb_rec_uni[empresa]"),BT$6)</f>
        <v>0</v>
      </c>
      <c r="BU20" s="120">
        <f ca="1">SUMIFS(tb_rec_uni[2022-06-01],
INDIRECT("tb_rec_uni[natureza]"),"taxa.extra",
INDIRECT("tb_rec_uni[empresa]"),BU$6)</f>
        <v>0</v>
      </c>
      <c r="BV20" s="108"/>
      <c r="BW20" s="120">
        <f ca="1">SUMIFS(
  m.vb[valor],
  m.vb[nucleo],$BR$1,
  m.vb[variavel],BW$7,
  m.vb[mes],$A20
)</f>
        <v>0</v>
      </c>
      <c r="BX20" s="120">
        <f ca="1">SUMIFS(
  m.vb[valor],
  m.vb[nucleo],$BR$1,
  m.vb[variavel],BX$7,
  m.vb[mes],$A20
)</f>
        <v>0</v>
      </c>
      <c r="BY20" s="120">
        <f ca="1">SUMIFS(
  m.vb[valor],
  m.vb[nucleo],$BR$1,
  m.vb[variavel],BY$7,
  m.vb[mes],$A20
)</f>
        <v>0</v>
      </c>
      <c r="BZ20" s="120">
        <f ca="1">SUMIFS(
  m.vb[valor],
  m.vb[nucleo],$BR$1,
  m.vb[variavel],BZ$7,
  m.vb[mes],$A20
)</f>
        <v>0</v>
      </c>
      <c r="CA20" s="121">
        <f ca="1">SUMIFS(
  m.vb[valor],
  m.vb[nucleo],$BR$1,
  m.vb[variavel],CA$7,
  m.vb[mes],$A20
)</f>
        <v>0</v>
      </c>
      <c r="CB20" s="119">
        <f>COUNTIFS(
    tb_estq[empresa], CB$6,
    tb_estq[Data da venda / reserva], "&gt;=" &amp; $A20,
    tb_estq[Data da venda / reserva], "&lt;"  &amp; EOMONTH($A20,0) + 1
)</f>
        <v>0</v>
      </c>
      <c r="CC20" s="120">
        <f ca="1">SUMIFS(tb_rec_uni[2022-06-01],
INDIRECT("tb_rec_uni[natureza]"),"pro.soluto",
INDIRECT("tb_rec_uni[empresa]"),CC$6)</f>
        <v>0</v>
      </c>
      <c r="CD20" s="120">
        <f ca="1">SUMIFS(tb_rec_uni[2022-06-01],
INDIRECT("tb_rec_uni[natureza]"),"repasse.cef.obra",
INDIRECT("tb_rec_uni[empresa]"),CD$6)</f>
        <v>0</v>
      </c>
      <c r="CE20" s="120">
        <f ca="1">SUMIFS(tb_rec_uni[2022-06-01],
INDIRECT("tb_rec_uni[natureza]"),"repasse.cef.terreno",
INDIRECT("tb_rec_uni[empresa]"),CE$6)</f>
        <v>0</v>
      </c>
      <c r="CF20" s="120">
        <v>0</v>
      </c>
      <c r="CG20" s="120">
        <f ca="1">SUMIFS(tb_rec_uni[2022-06-01],
INDIRECT("tb_rec_uni[natureza]"),"taxa.extra",
INDIRECT("tb_rec_uni[empresa]"),CG$6)</f>
        <v>0</v>
      </c>
      <c r="CH20" s="108"/>
      <c r="CI20" s="120">
        <f ca="1">SUMIFS(
  m.vb[valor],
  m.vb[nucleo],$CB$1,
  m.vb[variavel],CI$7,
  m.vb[mes],$A20
)</f>
        <v>0</v>
      </c>
      <c r="CJ20" s="120">
        <f ca="1">SUMIFS(
  m.vb[valor],
  m.vb[nucleo],$CB$1,
  m.vb[variavel],CJ$7,
  m.vb[mes],$A20
)</f>
        <v>0</v>
      </c>
      <c r="CK20" s="120">
        <f ca="1">SUMIFS(
  m.vb[valor],
  m.vb[nucleo],$CB$1,
  m.vb[variavel],CK$7,
  m.vb[mes],$A20
)</f>
        <v>0</v>
      </c>
      <c r="CL20" s="120">
        <f ca="1">SUMIFS(
  m.vb[valor],
  m.vb[nucleo],$CB$1,
  m.vb[variavel],CL$7,
  m.vb[mes],$A20
)</f>
        <v>0</v>
      </c>
      <c r="CM20" s="121">
        <f ca="1">SUMIFS(
  m.vb[valor],
  m.vb[nucleo],$CB$1,
  m.vb[variavel],CM$7,
  m.vb[mes],$A20
)</f>
        <v>0</v>
      </c>
      <c r="CN20" s="119">
        <f>COUNTIFS(
    tb_estq[empresa], CN$6,
    tb_estq[Data da venda / reserva], "&gt;=" &amp; $A20,
    tb_estq[Data da venda / reserva], "&lt;"  &amp; EOMONTH($A20,0) + 1
)</f>
        <v>0</v>
      </c>
      <c r="CO20" s="120">
        <f ca="1">SUMIFS(tb_rec_uni[2022-06-01],
INDIRECT("tb_rec_uni[natureza]"),"pro.soluto",
INDIRECT("tb_rec_uni[empresa]"),CO$6)</f>
        <v>0</v>
      </c>
      <c r="CP20" s="120">
        <f ca="1">SUMIFS(tb_rec_uni[2022-06-01],
INDIRECT("tb_rec_uni[natureza]"),"repasse.cef.obra",
INDIRECT("tb_rec_uni[empresa]"),CP$6)</f>
        <v>0</v>
      </c>
      <c r="CQ20" s="120">
        <f ca="1">SUMIFS(tb_rec_uni[2022-06-01],
INDIRECT("tb_rec_uni[natureza]"),"repasse.cef.terreno",
INDIRECT("tb_rec_uni[empresa]"),CQ$6)</f>
        <v>0</v>
      </c>
      <c r="CR20" s="120">
        <v>0</v>
      </c>
      <c r="CS20" s="120">
        <f ca="1">SUMIFS(tb_rec_uni[2022-06-01],
INDIRECT("tb_rec_uni[natureza]"),"taxa.extra",
INDIRECT("tb_rec_uni[empresa]"),CS$6)</f>
        <v>0</v>
      </c>
      <c r="CT20" s="108"/>
      <c r="CU20" s="120">
        <f ca="1">SUMIFS(
  m.vb[valor],
  m.vb[nucleo],$CN$1,
  m.vb[variavel],CU$7,
  m.vb[mes],$A20
)</f>
        <v>0</v>
      </c>
      <c r="CV20" s="120" cm="1">
        <f t="array" ref="CV20">SUMPRODUCT(
  IFERROR(--tb_desp[valor],0)*
  (tb_desp[nucleo]="UP MOVE VILA SONIA")*
  (tb_desp[categoria]=CV$7)*
  (tb_desp[data.pagamento]&gt;=$A20)*
  (tb_desp[data.pagamento]&lt;EOMONTH($A20,0)+1)
)</f>
        <v>0</v>
      </c>
      <c r="CW20" s="120" cm="1">
        <f t="array" ref="CW20">SUMPRODUCT(
  IFERROR(--tb_desp[valor],0)*
  (tb_desp[nucleo]="UP MOVE VILA SONIA")*
  (tb_desp[categoria]=CW$7)*
  (tb_desp[data.pagamento]&gt;=$A20)*
  (tb_desp[data.pagamento]&lt;EOMONTH($A20,0)+1)
)</f>
        <v>0</v>
      </c>
      <c r="CX20" s="120" cm="1">
        <f t="array" ref="CX20">SUMPRODUCT(
  IFERROR(--tb_desp[valor],0)*
  (tb_desp[nucleo]="UP MOVE VILA SONIA")*
  (tb_desp[categoria]=CX$7)*
  (tb_desp[data.pagamento]&gt;=$A20)*
  (tb_desp[data.pagamento]&lt;EOMONTH($A20,0)+1)
)</f>
        <v>0</v>
      </c>
      <c r="CY20" s="122" cm="1">
        <f t="array" ref="CY20">SUMPRODUCT(
  IFERROR(--tb_desp[valor],0)*
  (tb_desp[nucleo]="UP MOVE VILA SONIA")*
  (tb_desp[categoria]=CY$7)*
  (tb_desp[data.pagamento]&gt;=$A20)*
  (tb_desp[data.pagamento]&lt;EOMONTH($A20,0)+1)
)</f>
        <v>0</v>
      </c>
    </row>
    <row r="21" spans="1:103" x14ac:dyDescent="0.25">
      <c r="A21" s="118">
        <v>44743</v>
      </c>
      <c r="B21" s="119">
        <f>COUNTIFS(
    tb_estq[empresa], B$6,
    tb_estq[Data da venda / reserva], "&gt;=" &amp; $A21,
    tb_estq[Data da venda / reserva], "&lt;"  &amp; EOMONTH($A21,0) + 1
)</f>
        <v>0</v>
      </c>
      <c r="C21" s="120">
        <f ca="1">SUMIFS(tb_rec_uni[2022-07-01],
INDIRECT("tb_rec_uni[natureza]"),"pro.soluto",
INDIRECT("tb_rec_uni[empresa]"),C$6)</f>
        <v>0</v>
      </c>
      <c r="D21" s="120">
        <f ca="1">SUMIFS(tb_rec_uni[2022-07-01],
INDIRECT("tb_rec_uni[natureza]"),"repasse.cef.obra",
INDIRECT("tb_rec_uni[empresa]"),D$6)</f>
        <v>0</v>
      </c>
      <c r="E21" s="120">
        <f ca="1">SUMIFS(tb_rec_uni[2022-07-01],
INDIRECT("tb_rec_uni[natureza]"),"repasse.cef.terreno",
INDIRECT("tb_rec_uni[empresa]"),E$6)</f>
        <v>0</v>
      </c>
      <c r="F21" s="120">
        <v>0</v>
      </c>
      <c r="G21" s="120">
        <f ca="1">SUMIFS(tb_rec_uni[2022-07-01],
INDIRECT("tb_rec_uni[natureza]"),"taxa.extra",
INDIRECT("tb_rec_uni[empresa]"),G$6)</f>
        <v>0</v>
      </c>
      <c r="H21" s="108"/>
      <c r="I21" s="120">
        <f ca="1">SUMIFS(
  m.vb[valor],
  m.vb[nucleo],$B$1,
  m.vb[variavel],I$7,
  m.vb[mes],$A21
)</f>
        <v>0</v>
      </c>
      <c r="J21" s="120">
        <f ca="1">SUMIFS(
  m.vb[valor],
  m.vb[nucleo],$B$1,
  m.vb[variavel],J$7,
  m.vb[mes],$A21
)</f>
        <v>0</v>
      </c>
      <c r="K21" s="120">
        <f ca="1">SUMIFS(
  m.vb[valor],
  m.vb[nucleo],$B$1,
  m.vb[variavel],K$7,
  m.vb[mes],$A21
)</f>
        <v>0</v>
      </c>
      <c r="L21" s="120">
        <f ca="1">SUMIFS(
  m.vb[valor],
  m.vb[nucleo],$B$1,
  m.vb[variavel],L$7,
  m.vb[mes],$A21
)</f>
        <v>0</v>
      </c>
      <c r="M21" s="121">
        <f ca="1">SUMIFS(
  m.vb[valor],
  m.vb[nucleo],$B$1,
  m.vb[variavel],M$7,
  m.vb[mes],$A21
)</f>
        <v>0</v>
      </c>
      <c r="N21" s="119">
        <f>COUNTIFS(
    tb_estq[empresa], N$6,
    tb_estq[Data da venda / reserva], "&gt;=" &amp; $A21,
    tb_estq[Data da venda / reserva], "&lt;"  &amp; EOMONTH($A21,0) + 1
)</f>
        <v>0</v>
      </c>
      <c r="O21" s="120">
        <f ca="1">SUMIFS(tb_rec_uni[2022-07-01],
INDIRECT("tb_rec_uni[natureza]"),"pro.soluto",
INDIRECT("tb_rec_uni[empresa]"),O$6)</f>
        <v>0</v>
      </c>
      <c r="P21" s="120">
        <f ca="1">SUMIFS(tb_rec_uni[2022-07-01],
INDIRECT("tb_rec_uni[natureza]"),"repasse.cef.obra",
INDIRECT("tb_rec_uni[empresa]"),P$6)</f>
        <v>0</v>
      </c>
      <c r="Q21" s="120">
        <f ca="1">SUMIFS(tb_rec_uni[2022-07-01],
INDIRECT("tb_rec_uni[natureza]"),"repasse.cef.terreno",
INDIRECT("tb_rec_uni[empresa]"),Q$6)</f>
        <v>0</v>
      </c>
      <c r="R21" s="120">
        <v>0</v>
      </c>
      <c r="S21" s="120">
        <f ca="1">SUMIFS(tb_rec_uni[2022-07-01],
INDIRECT("tb_rec_uni[natureza]"),"taxa.extra",
INDIRECT("tb_rec_uni[empresa]"),S$6)</f>
        <v>0</v>
      </c>
      <c r="T21" s="108"/>
      <c r="U21" s="120">
        <f ca="1">SUMIFS(
  m.vb[valor],
  m.vb[nucleo],$N$1,
  m.vb[variavel],U$7,
  m.vb[mes],$A21
)</f>
        <v>0</v>
      </c>
      <c r="V21" s="120">
        <f ca="1">SUMIFS(
  m.vb[valor],
  m.vb[nucleo],$N$1,
  m.vb[variavel],V$7,
  m.vb[mes],$A21
)</f>
        <v>0</v>
      </c>
      <c r="W21" s="120">
        <f ca="1">SUMIFS(
  m.vb[valor],
  m.vb[nucleo],$N$1,
  m.vb[variavel],W$7,
  m.vb[mes],$A21
)</f>
        <v>0</v>
      </c>
      <c r="X21" s="120">
        <f ca="1">SUMIFS(
  m.vb[valor],
  m.vb[nucleo],$N$1,
  m.vb[variavel],X$7,
  m.vb[mes],$A21
)</f>
        <v>0</v>
      </c>
      <c r="Y21" s="121">
        <f ca="1">SUMIFS(
  m.vb[valor],
  m.vb[nucleo],$N$1,
  m.vb[variavel],Y$7,
  m.vb[mes],$A21
)</f>
        <v>0</v>
      </c>
      <c r="Z21" s="119">
        <f>COUNTIFS(
    tb_estq[empresa], Z$6,
    tb_estq[Data da venda / reserva], "&gt;=" &amp; $A21,
    tb_estq[Data da venda / reserva], "&lt;"  &amp; EOMONTH($A21,0) + 1
)</f>
        <v>0</v>
      </c>
      <c r="AA21" s="120">
        <f ca="1">SUMIFS(tb_rec_uni[2022-07-01],
INDIRECT("tb_rec_uni[natureza]"),"pro.soluto",
INDIRECT("tb_rec_uni[empresa]"),AA$6)</f>
        <v>0</v>
      </c>
      <c r="AB21" s="120">
        <f ca="1">SUMIFS(tb_rec_uni[2022-07-01],
INDIRECT("tb_rec_uni[natureza]"),"parcela.fin.total.ik",
INDIRECT("tb_rec_uni[empresa]"),AB$6)</f>
        <v>0</v>
      </c>
      <c r="AC21" s="120">
        <f ca="1">SUMIFS(tb_rec_uni[2022-07-01],
INDIRECT("tb_rec_uni[natureza]"),"taxa.extra",
INDIRECT("tb_rec_uni[empresa]"),AC$6)</f>
        <v>0</v>
      </c>
      <c r="AD21" s="108"/>
      <c r="AE21" s="120">
        <f ca="1">SUMIFS(
  m.vb[valor],
  m.vb[nucleo],$Z$1,
  m.vb[variavel],AE$7,
  m.vb[mes],$A21
)</f>
        <v>0</v>
      </c>
      <c r="AF21" s="120">
        <f ca="1">SUMIFS(
  m.vb[valor],
  m.vb[nucleo],$Z$1,
  m.vb[variavel],AF$7,
  m.vb[mes],$A21
)</f>
        <v>0</v>
      </c>
      <c r="AG21" s="120">
        <f ca="1">SUMIFS(
  m.vb[valor],
  m.vb[nucleo],$Z$1,
  m.vb[variavel],AG$7,
  m.vb[mes],$A21
)</f>
        <v>0</v>
      </c>
      <c r="AH21" s="120">
        <f ca="1">SUMIFS(
  m.vb[valor],
  m.vb[nucleo],$Z$1,
  m.vb[variavel],AH$7,
  m.vb[mes],$A21
)</f>
        <v>0</v>
      </c>
      <c r="AI21" s="121">
        <f ca="1">SUMIFS(
  m.vb[valor],
  m.vb[nucleo],$Z$1,
  m.vb[variavel],AI$7,
  m.vb[mes],$A21
)</f>
        <v>0</v>
      </c>
      <c r="AJ21" s="119">
        <f>COUNTIFS(
    tb_estq[empresa], AJ$6,
    tb_estq[Data da venda / reserva], "&gt;=" &amp; $A21,
    tb_estq[Data da venda / reserva], "&lt;"  &amp; EOMONTH($A21,0) + 1
)</f>
        <v>0</v>
      </c>
      <c r="AK21" s="120">
        <f ca="1">SUMIFS(tb_rec_uni[2022-07-01],
INDIRECT("tb_rec_uni[natureza]"),"pro.soluto",
INDIRECT("tb_rec_uni[empresa]"),AK$6)</f>
        <v>0</v>
      </c>
      <c r="AL21" s="120">
        <f ca="1">SUMIFS(tb_rec_uni[2022-07-01],
INDIRECT("tb_rec_uni[natureza]"),"repasse.cef.obra",
INDIRECT("tb_rec_uni[empresa]"),AL$6)</f>
        <v>0</v>
      </c>
      <c r="AM21" s="120">
        <f ca="1">SUMIFS(tb_rec_uni[2022-07-01],
INDIRECT("tb_rec_uni[natureza]"),"repasse.cef.terreno",
INDIRECT("tb_rec_uni[empresa]"),AM$6)</f>
        <v>0</v>
      </c>
      <c r="AN21" s="120">
        <v>0</v>
      </c>
      <c r="AO21" s="120">
        <f ca="1">SUMIFS(tb_rec_uni[2022-07-01],
INDIRECT("tb_rec_uni[natureza]"),"taxa.extra",
INDIRECT("tb_rec_uni[empresa]"),AO$6)</f>
        <v>0</v>
      </c>
      <c r="AP21" s="108"/>
      <c r="AQ21" s="120">
        <f ca="1">SUMIFS(
  m.vb[valor],
  m.vb[nucleo],$AJ$1,
  m.vb[variavel],AQ$7,
  m.vb[mes],$A21
)</f>
        <v>0</v>
      </c>
      <c r="AR21" s="120">
        <f ca="1">SUMIFS(
  m.vb[valor],
  m.vb[nucleo],$AJ$1,
  m.vb[variavel],AR$7,
  m.vb[mes],$A21
)</f>
        <v>0</v>
      </c>
      <c r="AS21" s="120">
        <f ca="1">SUMIFS(
  m.vb[valor],
  m.vb[nucleo],$AJ$1,
  m.vb[variavel],AS$7,
  m.vb[mes],$A21
)</f>
        <v>0</v>
      </c>
      <c r="AT21" s="120">
        <f ca="1">SUMIFS(
  m.vb[valor],
  m.vb[nucleo],$AJ$1,
  m.vb[variavel],AT$7,
  m.vb[mes],$A21
)</f>
        <v>0</v>
      </c>
      <c r="AU21" s="121">
        <f ca="1">SUMIFS(
  m.vb[valor],
  m.vb[nucleo],$AJ$1,
  m.vb[variavel],AU$7,
  m.vb[mes],$A21
)</f>
        <v>0</v>
      </c>
      <c r="AV21" s="119">
        <f>COUNTIFS(
    tb_estq[empresa], AV$6,
    tb_estq[Data da venda / reserva], "&gt;=" &amp; $A21,
    tb_estq[Data da venda / reserva], "&lt;"  &amp; EOMONTH($A21,0) + 1
)</f>
        <v>0</v>
      </c>
      <c r="AW21" s="120">
        <f ca="1">SUMIFS(tb_rec_uni[2022-07-01],
INDIRECT("tb_rec_uni[natureza]"),"pro.soluto",
INDIRECT("tb_rec_uni[empresa]"),AW$6)</f>
        <v>0</v>
      </c>
      <c r="AX21" s="120">
        <f ca="1">SUMIFS(tb_rec_uni[2022-07-01],
INDIRECT("tb_rec_uni[natureza]"),"repasse.cef.obra",
INDIRECT("tb_rec_uni[empresa]"),AX$6)</f>
        <v>0</v>
      </c>
      <c r="AY21" s="120">
        <f ca="1">SUMIFS(tb_rec_uni[2022-07-01],
INDIRECT("tb_rec_uni[natureza]"),"repasse.cef.terreno",
INDIRECT("tb_rec_uni[empresa]"),AY$6)</f>
        <v>0</v>
      </c>
      <c r="AZ21" s="120">
        <v>0</v>
      </c>
      <c r="BA21" s="120">
        <f ca="1">SUMIFS(tb_rec_uni[2022-07-01],
INDIRECT("tb_rec_uni[natureza]"),"taxa.extra",
INDIRECT("tb_rec_uni[empresa]"),BA$6)</f>
        <v>0</v>
      </c>
      <c r="BB21" s="108"/>
      <c r="BC21" s="120">
        <f ca="1">SUMIFS(
  m.vb[valor],
  m.vb[nucleo],$AV$1,
  m.vb[variavel],BC$7,
  m.vb[mes],$A21
)</f>
        <v>0</v>
      </c>
      <c r="BD21" s="120">
        <f ca="1">SUMIFS(
  m.vb[valor],
  m.vb[nucleo],$AV$1,
  m.vb[variavel],BD$7,
  m.vb[mes],$A21
)</f>
        <v>0</v>
      </c>
      <c r="BE21" s="120">
        <f ca="1">SUMIFS(
  m.vb[valor],
  m.vb[nucleo],$AV$1,
  m.vb[variavel],BE$7,
  m.vb[mes],$A21
)</f>
        <v>0</v>
      </c>
      <c r="BF21" s="120">
        <f ca="1">SUMIFS(
  m.vb[valor],
  m.vb[nucleo],$AV$1,
  m.vb[variavel],BF$7,
  m.vb[mes],$A21
)</f>
        <v>0</v>
      </c>
      <c r="BG21" s="121">
        <f ca="1">SUMIFS(
  m.vb[valor],
  m.vb[nucleo],$AV$1,
  m.vb[variavel],BG$7,
  m.vb[mes],$A21
)</f>
        <v>0</v>
      </c>
      <c r="BH21" s="119">
        <f>COUNTIFS(
    tb_estq[empresa], BH$6,
    tb_estq[Data da venda / reserva], "&gt;=" &amp; $A21,
    tb_estq[Data da venda / reserva], "&lt;"  &amp; EOMONTH($A21,0) + 1
)</f>
        <v>0</v>
      </c>
      <c r="BI21" s="120">
        <f ca="1">SUMIFS(tb_rec_uni[2022-07-01],
INDIRECT("tb_rec_uni[natureza]"),"pro.soluto",
INDIRECT("tb_rec_uni[empresa]"),BI$6)</f>
        <v>0</v>
      </c>
      <c r="BJ21" s="108">
        <v>0</v>
      </c>
      <c r="BK21" s="120">
        <f ca="1">SUMIFS(tb_rec_uni[2022-07-01],
INDIRECT("tb_rec_uni[natureza]"),"taxa.extra",
INDIRECT("tb_rec_uni[empresa]"),BK$6)</f>
        <v>0</v>
      </c>
      <c r="BL21" s="108"/>
      <c r="BM21" s="120">
        <f ca="1">SUMIFS(
  m.vb[valor],
  m.vb[nucleo],$BH$1,
  m.vb[variavel],BM$7,
  m.vb[mes],$A21
)</f>
        <v>0</v>
      </c>
      <c r="BN21" s="120">
        <f ca="1">SUMIFS(
  m.vb[valor],
  m.vb[nucleo],$BH$1,
  m.vb[variavel],BN$7,
  m.vb[mes],$A21
)</f>
        <v>0</v>
      </c>
      <c r="BO21" s="120">
        <f ca="1">SUMIFS(
  m.vb[valor],
  m.vb[nucleo],$BH$1,
  m.vb[variavel],BO$7,
  m.vb[mes],$A21
)</f>
        <v>0</v>
      </c>
      <c r="BP21" s="120">
        <f ca="1">SUMIFS(
  m.vb[valor],
  m.vb[nucleo],$BH$1,
  m.vb[variavel],BP$7,
  m.vb[mes],$A21
)</f>
        <v>0</v>
      </c>
      <c r="BQ21" s="121">
        <f ca="1">SUMIFS(
  m.vb[valor],
  m.vb[nucleo],$BH$1,
  m.vb[variavel],BQ$7,
  m.vb[mes],$A21
)</f>
        <v>0</v>
      </c>
      <c r="BR21" s="119">
        <f>COUNTIFS(
    tb_estq[empresa], BR$6,
    tb_estq[Data da venda / reserva], "&gt;=" &amp; $A21,
    tb_estq[Data da venda / reserva], "&lt;"  &amp; EOMONTH($A21,0) + 1
)</f>
        <v>0</v>
      </c>
      <c r="BS21" s="120">
        <f ca="1">SUMIFS(tb_rec_uni[2022-07-01],
INDIRECT("tb_rec_uni[natureza]"),"pro.soluto",
INDIRECT("tb_rec_uni[empresa]"),BS$6)</f>
        <v>0</v>
      </c>
      <c r="BT21" s="120">
        <f ca="1">SUMIFS(tb_rec_uni[2022-07-01],
INDIRECT("tb_rec_uni[natureza]"),"parcela.fin.total.ik",
INDIRECT("tb_rec_uni[empresa]"),BT$6)</f>
        <v>0</v>
      </c>
      <c r="BU21" s="120">
        <f ca="1">SUMIFS(tb_rec_uni[2022-07-01],
INDIRECT("tb_rec_uni[natureza]"),"taxa.extra",
INDIRECT("tb_rec_uni[empresa]"),BU$6)</f>
        <v>0</v>
      </c>
      <c r="BV21" s="108"/>
      <c r="BW21" s="120">
        <f ca="1">SUMIFS(
  m.vb[valor],
  m.vb[nucleo],$BR$1,
  m.vb[variavel],BW$7,
  m.vb[mes],$A21
)</f>
        <v>0</v>
      </c>
      <c r="BX21" s="120">
        <f ca="1">SUMIFS(
  m.vb[valor],
  m.vb[nucleo],$BR$1,
  m.vb[variavel],BX$7,
  m.vb[mes],$A21
)</f>
        <v>0</v>
      </c>
      <c r="BY21" s="120">
        <f ca="1">SUMIFS(
  m.vb[valor],
  m.vb[nucleo],$BR$1,
  m.vb[variavel],BY$7,
  m.vb[mes],$A21
)</f>
        <v>0</v>
      </c>
      <c r="BZ21" s="120">
        <f ca="1">SUMIFS(
  m.vb[valor],
  m.vb[nucleo],$BR$1,
  m.vb[variavel],BZ$7,
  m.vb[mes],$A21
)</f>
        <v>0</v>
      </c>
      <c r="CA21" s="121">
        <f ca="1">SUMIFS(
  m.vb[valor],
  m.vb[nucleo],$BR$1,
  m.vb[variavel],CA$7,
  m.vb[mes],$A21
)</f>
        <v>0</v>
      </c>
      <c r="CB21" s="119">
        <f>COUNTIFS(
    tb_estq[empresa], CB$6,
    tb_estq[Data da venda / reserva], "&gt;=" &amp; $A21,
    tb_estq[Data da venda / reserva], "&lt;"  &amp; EOMONTH($A21,0) + 1
)</f>
        <v>0</v>
      </c>
      <c r="CC21" s="120">
        <f ca="1">SUMIFS(tb_rec_uni[2022-07-01],
INDIRECT("tb_rec_uni[natureza]"),"pro.soluto",
INDIRECT("tb_rec_uni[empresa]"),CC$6)</f>
        <v>0</v>
      </c>
      <c r="CD21" s="120">
        <f ca="1">SUMIFS(tb_rec_uni[2022-07-01],
INDIRECT("tb_rec_uni[natureza]"),"repasse.cef.obra",
INDIRECT("tb_rec_uni[empresa]"),CD$6)</f>
        <v>0</v>
      </c>
      <c r="CE21" s="120">
        <f ca="1">SUMIFS(tb_rec_uni[2022-07-01],
INDIRECT("tb_rec_uni[natureza]"),"repasse.cef.terreno",
INDIRECT("tb_rec_uni[empresa]"),CE$6)</f>
        <v>0</v>
      </c>
      <c r="CF21" s="120">
        <v>0</v>
      </c>
      <c r="CG21" s="120">
        <f ca="1">SUMIFS(tb_rec_uni[2022-07-01],
INDIRECT("tb_rec_uni[natureza]"),"taxa.extra",
INDIRECT("tb_rec_uni[empresa]"),CG$6)</f>
        <v>0</v>
      </c>
      <c r="CH21" s="108"/>
      <c r="CI21" s="120">
        <f ca="1">SUMIFS(
  m.vb[valor],
  m.vb[nucleo],$CB$1,
  m.vb[variavel],CI$7,
  m.vb[mes],$A21
)</f>
        <v>0</v>
      </c>
      <c r="CJ21" s="120">
        <f ca="1">SUMIFS(
  m.vb[valor],
  m.vb[nucleo],$CB$1,
  m.vb[variavel],CJ$7,
  m.vb[mes],$A21
)</f>
        <v>0</v>
      </c>
      <c r="CK21" s="120">
        <f ca="1">SUMIFS(
  m.vb[valor],
  m.vb[nucleo],$CB$1,
  m.vb[variavel],CK$7,
  m.vb[mes],$A21
)</f>
        <v>0</v>
      </c>
      <c r="CL21" s="120">
        <f ca="1">SUMIFS(
  m.vb[valor],
  m.vb[nucleo],$CB$1,
  m.vb[variavel],CL$7,
  m.vb[mes],$A21
)</f>
        <v>0</v>
      </c>
      <c r="CM21" s="121">
        <f ca="1">SUMIFS(
  m.vb[valor],
  m.vb[nucleo],$CB$1,
  m.vb[variavel],CM$7,
  m.vb[mes],$A21
)</f>
        <v>0</v>
      </c>
      <c r="CN21" s="119">
        <f>COUNTIFS(
    tb_estq[empresa], CN$6,
    tb_estq[Data da venda / reserva], "&gt;=" &amp; $A21,
    tb_estq[Data da venda / reserva], "&lt;"  &amp; EOMONTH($A21,0) + 1
)</f>
        <v>0</v>
      </c>
      <c r="CO21" s="120">
        <f ca="1">SUMIFS(tb_rec_uni[2022-07-01],
INDIRECT("tb_rec_uni[natureza]"),"pro.soluto",
INDIRECT("tb_rec_uni[empresa]"),CO$6)</f>
        <v>0</v>
      </c>
      <c r="CP21" s="120">
        <f ca="1">SUMIFS(tb_rec_uni[2022-07-01],
INDIRECT("tb_rec_uni[natureza]"),"repasse.cef.obra",
INDIRECT("tb_rec_uni[empresa]"),CP$6)</f>
        <v>0</v>
      </c>
      <c r="CQ21" s="120">
        <f ca="1">SUMIFS(tb_rec_uni[2022-07-01],
INDIRECT("tb_rec_uni[natureza]"),"repasse.cef.terreno",
INDIRECT("tb_rec_uni[empresa]"),CQ$6)</f>
        <v>0</v>
      </c>
      <c r="CR21" s="120">
        <v>0</v>
      </c>
      <c r="CS21" s="120">
        <f ca="1">SUMIFS(tb_rec_uni[2022-07-01],
INDIRECT("tb_rec_uni[natureza]"),"taxa.extra",
INDIRECT("tb_rec_uni[empresa]"),CS$6)</f>
        <v>0</v>
      </c>
      <c r="CT21" s="108"/>
      <c r="CU21" s="120">
        <f ca="1">SUMIFS(
  m.vb[valor],
  m.vb[nucleo],$CN$1,
  m.vb[variavel],CU$7,
  m.vb[mes],$A21
)</f>
        <v>0</v>
      </c>
      <c r="CV21" s="120" cm="1">
        <f t="array" ref="CV21">SUMPRODUCT(
  IFERROR(--tb_desp[valor],0)*
  (tb_desp[nucleo]="UP MOVE VILA SONIA")*
  (tb_desp[categoria]=CV$7)*
  (tb_desp[data.pagamento]&gt;=$A21)*
  (tb_desp[data.pagamento]&lt;EOMONTH($A21,0)+1)
)</f>
        <v>0</v>
      </c>
      <c r="CW21" s="120" cm="1">
        <f t="array" ref="CW21">SUMPRODUCT(
  IFERROR(--tb_desp[valor],0)*
  (tb_desp[nucleo]="UP MOVE VILA SONIA")*
  (tb_desp[categoria]=CW$7)*
  (tb_desp[data.pagamento]&gt;=$A21)*
  (tb_desp[data.pagamento]&lt;EOMONTH($A21,0)+1)
)</f>
        <v>0</v>
      </c>
      <c r="CX21" s="120" cm="1">
        <f t="array" ref="CX21">SUMPRODUCT(
  IFERROR(--tb_desp[valor],0)*
  (tb_desp[nucleo]="UP MOVE VILA SONIA")*
  (tb_desp[categoria]=CX$7)*
  (tb_desp[data.pagamento]&gt;=$A21)*
  (tb_desp[data.pagamento]&lt;EOMONTH($A21,0)+1)
)</f>
        <v>0</v>
      </c>
      <c r="CY21" s="122" cm="1">
        <f t="array" ref="CY21">SUMPRODUCT(
  IFERROR(--tb_desp[valor],0)*
  (tb_desp[nucleo]="UP MOVE VILA SONIA")*
  (tb_desp[categoria]=CY$7)*
  (tb_desp[data.pagamento]&gt;=$A21)*
  (tb_desp[data.pagamento]&lt;EOMONTH($A21,0)+1)
)</f>
        <v>0</v>
      </c>
    </row>
    <row r="22" spans="1:103" x14ac:dyDescent="0.25">
      <c r="A22" s="118">
        <v>44774</v>
      </c>
      <c r="B22" s="119">
        <f>COUNTIFS(
    tb_estq[empresa], B$6,
    tb_estq[Data da venda / reserva], "&gt;=" &amp; $A22,
    tb_estq[Data da venda / reserva], "&lt;"  &amp; EOMONTH($A22,0) + 1
)</f>
        <v>0</v>
      </c>
      <c r="C22" s="120">
        <f ca="1">SUMIFS(tb_rec_uni[2022-08-01],
INDIRECT("tb_rec_uni[natureza]"),"pro.soluto",
INDIRECT("tb_rec_uni[empresa]"),C$6)</f>
        <v>0</v>
      </c>
      <c r="D22" s="120">
        <f ca="1">SUMIFS(tb_rec_uni[2022-08-01],
INDIRECT("tb_rec_uni[natureza]"),"repasse.cef.obra",
INDIRECT("tb_rec_uni[empresa]"),D$6)</f>
        <v>0</v>
      </c>
      <c r="E22" s="120">
        <f ca="1">SUMIFS(tb_rec_uni[2022-08-01],
INDIRECT("tb_rec_uni[natureza]"),"repasse.cef.terreno",
INDIRECT("tb_rec_uni[empresa]"),E$6)</f>
        <v>0</v>
      </c>
      <c r="F22" s="120">
        <v>0</v>
      </c>
      <c r="G22" s="120">
        <f ca="1">SUMIFS(tb_rec_uni[2022-08-01],
INDIRECT("tb_rec_uni[natureza]"),"taxa.extra",
INDIRECT("tb_rec_uni[empresa]"),G$6)</f>
        <v>0</v>
      </c>
      <c r="H22" s="108"/>
      <c r="I22" s="120">
        <f ca="1">SUMIFS(
  m.vb[valor],
  m.vb[nucleo],$B$1,
  m.vb[variavel],I$7,
  m.vb[mes],$A22
)</f>
        <v>0</v>
      </c>
      <c r="J22" s="120">
        <f ca="1">SUMIFS(
  m.vb[valor],
  m.vb[nucleo],$B$1,
  m.vb[variavel],J$7,
  m.vb[mes],$A22
)</f>
        <v>0</v>
      </c>
      <c r="K22" s="120">
        <f ca="1">SUMIFS(
  m.vb[valor],
  m.vb[nucleo],$B$1,
  m.vb[variavel],K$7,
  m.vb[mes],$A22
)</f>
        <v>0</v>
      </c>
      <c r="L22" s="120">
        <f ca="1">SUMIFS(
  m.vb[valor],
  m.vb[nucleo],$B$1,
  m.vb[variavel],L$7,
  m.vb[mes],$A22
)</f>
        <v>0</v>
      </c>
      <c r="M22" s="121">
        <f ca="1">SUMIFS(
  m.vb[valor],
  m.vb[nucleo],$B$1,
  m.vb[variavel],M$7,
  m.vb[mes],$A22
)</f>
        <v>0</v>
      </c>
      <c r="N22" s="119">
        <f>COUNTIFS(
    tb_estq[empresa], N$6,
    tb_estq[Data da venda / reserva], "&gt;=" &amp; $A22,
    tb_estq[Data da venda / reserva], "&lt;"  &amp; EOMONTH($A22,0) + 1
)</f>
        <v>0</v>
      </c>
      <c r="O22" s="120">
        <f ca="1">SUMIFS(tb_rec_uni[2022-08-01],
INDIRECT("tb_rec_uni[natureza]"),"pro.soluto",
INDIRECT("tb_rec_uni[empresa]"),O$6)</f>
        <v>0</v>
      </c>
      <c r="P22" s="120">
        <f ca="1">SUMIFS(tb_rec_uni[2022-08-01],
INDIRECT("tb_rec_uni[natureza]"),"repasse.cef.obra",
INDIRECT("tb_rec_uni[empresa]"),P$6)</f>
        <v>0</v>
      </c>
      <c r="Q22" s="120">
        <f ca="1">SUMIFS(tb_rec_uni[2022-08-01],
INDIRECT("tb_rec_uni[natureza]"),"repasse.cef.terreno",
INDIRECT("tb_rec_uni[empresa]"),Q$6)</f>
        <v>0</v>
      </c>
      <c r="R22" s="120">
        <v>0</v>
      </c>
      <c r="S22" s="120">
        <f ca="1">SUMIFS(tb_rec_uni[2022-08-01],
INDIRECT("tb_rec_uni[natureza]"),"taxa.extra",
INDIRECT("tb_rec_uni[empresa]"),S$6)</f>
        <v>0</v>
      </c>
      <c r="T22" s="108"/>
      <c r="U22" s="120">
        <f ca="1">SUMIFS(
  m.vb[valor],
  m.vb[nucleo],$N$1,
  m.vb[variavel],U$7,
  m.vb[mes],$A22
)</f>
        <v>0</v>
      </c>
      <c r="V22" s="120">
        <f ca="1">SUMIFS(
  m.vb[valor],
  m.vb[nucleo],$N$1,
  m.vb[variavel],V$7,
  m.vb[mes],$A22
)</f>
        <v>0</v>
      </c>
      <c r="W22" s="120">
        <f ca="1">SUMIFS(
  m.vb[valor],
  m.vb[nucleo],$N$1,
  m.vb[variavel],W$7,
  m.vb[mes],$A22
)</f>
        <v>0</v>
      </c>
      <c r="X22" s="120">
        <f ca="1">SUMIFS(
  m.vb[valor],
  m.vb[nucleo],$N$1,
  m.vb[variavel],X$7,
  m.vb[mes],$A22
)</f>
        <v>0</v>
      </c>
      <c r="Y22" s="121">
        <f ca="1">SUMIFS(
  m.vb[valor],
  m.vb[nucleo],$N$1,
  m.vb[variavel],Y$7,
  m.vb[mes],$A22
)</f>
        <v>0</v>
      </c>
      <c r="Z22" s="119">
        <f>COUNTIFS(
    tb_estq[empresa], Z$6,
    tb_estq[Data da venda / reserva], "&gt;=" &amp; $A22,
    tb_estq[Data da venda / reserva], "&lt;"  &amp; EOMONTH($A22,0) + 1
)</f>
        <v>0</v>
      </c>
      <c r="AA22" s="120">
        <f ca="1">SUMIFS(tb_rec_uni[2022-08-01],
INDIRECT("tb_rec_uni[natureza]"),"pro.soluto",
INDIRECT("tb_rec_uni[empresa]"),AA$6)</f>
        <v>0</v>
      </c>
      <c r="AB22" s="120">
        <f ca="1">SUMIFS(tb_rec_uni[2022-08-01],
INDIRECT("tb_rec_uni[natureza]"),"parcela.fin.total.ik",
INDIRECT("tb_rec_uni[empresa]"),AB$6)</f>
        <v>0</v>
      </c>
      <c r="AC22" s="120">
        <f ca="1">SUMIFS(tb_rec_uni[2022-08-01],
INDIRECT("tb_rec_uni[natureza]"),"taxa.extra",
INDIRECT("tb_rec_uni[empresa]"),AC$6)</f>
        <v>0</v>
      </c>
      <c r="AD22" s="108"/>
      <c r="AE22" s="120">
        <f ca="1">SUMIFS(
  m.vb[valor],
  m.vb[nucleo],$Z$1,
  m.vb[variavel],AE$7,
  m.vb[mes],$A22
)</f>
        <v>0</v>
      </c>
      <c r="AF22" s="120">
        <f ca="1">SUMIFS(
  m.vb[valor],
  m.vb[nucleo],$Z$1,
  m.vb[variavel],AF$7,
  m.vb[mes],$A22
)</f>
        <v>0</v>
      </c>
      <c r="AG22" s="120">
        <f ca="1">SUMIFS(
  m.vb[valor],
  m.vb[nucleo],$Z$1,
  m.vb[variavel],AG$7,
  m.vb[mes],$A22
)</f>
        <v>0</v>
      </c>
      <c r="AH22" s="120">
        <f ca="1">SUMIFS(
  m.vb[valor],
  m.vb[nucleo],$Z$1,
  m.vb[variavel],AH$7,
  m.vb[mes],$A22
)</f>
        <v>0</v>
      </c>
      <c r="AI22" s="121">
        <f ca="1">SUMIFS(
  m.vb[valor],
  m.vb[nucleo],$Z$1,
  m.vb[variavel],AI$7,
  m.vb[mes],$A22
)</f>
        <v>0</v>
      </c>
      <c r="AJ22" s="119">
        <f>COUNTIFS(
    tb_estq[empresa], AJ$6,
    tb_estq[Data da venda / reserva], "&gt;=" &amp; $A22,
    tb_estq[Data da venda / reserva], "&lt;"  &amp; EOMONTH($A22,0) + 1
)</f>
        <v>0</v>
      </c>
      <c r="AK22" s="120">
        <f ca="1">SUMIFS(tb_rec_uni[2022-08-01],
INDIRECT("tb_rec_uni[natureza]"),"pro.soluto",
INDIRECT("tb_rec_uni[empresa]"),AK$6)</f>
        <v>0</v>
      </c>
      <c r="AL22" s="120">
        <f ca="1">SUMIFS(tb_rec_uni[2022-08-01],
INDIRECT("tb_rec_uni[natureza]"),"repasse.cef.obra",
INDIRECT("tb_rec_uni[empresa]"),AL$6)</f>
        <v>0</v>
      </c>
      <c r="AM22" s="120">
        <f ca="1">SUMIFS(tb_rec_uni[2022-08-01],
INDIRECT("tb_rec_uni[natureza]"),"repasse.cef.terreno",
INDIRECT("tb_rec_uni[empresa]"),AM$6)</f>
        <v>0</v>
      </c>
      <c r="AN22" s="120">
        <v>0</v>
      </c>
      <c r="AO22" s="120">
        <f ca="1">SUMIFS(tb_rec_uni[2022-08-01],
INDIRECT("tb_rec_uni[natureza]"),"taxa.extra",
INDIRECT("tb_rec_uni[empresa]"),AO$6)</f>
        <v>0</v>
      </c>
      <c r="AP22" s="108"/>
      <c r="AQ22" s="120">
        <f ca="1">SUMIFS(
  m.vb[valor],
  m.vb[nucleo],$AJ$1,
  m.vb[variavel],AQ$7,
  m.vb[mes],$A22
)</f>
        <v>0</v>
      </c>
      <c r="AR22" s="120">
        <f ca="1">SUMIFS(
  m.vb[valor],
  m.vb[nucleo],$AJ$1,
  m.vb[variavel],AR$7,
  m.vb[mes],$A22
)</f>
        <v>0</v>
      </c>
      <c r="AS22" s="120">
        <f ca="1">SUMIFS(
  m.vb[valor],
  m.vb[nucleo],$AJ$1,
  m.vb[variavel],AS$7,
  m.vb[mes],$A22
)</f>
        <v>0</v>
      </c>
      <c r="AT22" s="120">
        <f ca="1">SUMIFS(
  m.vb[valor],
  m.vb[nucleo],$AJ$1,
  m.vb[variavel],AT$7,
  m.vb[mes],$A22
)</f>
        <v>0</v>
      </c>
      <c r="AU22" s="121">
        <f ca="1">SUMIFS(
  m.vb[valor],
  m.vb[nucleo],$AJ$1,
  m.vb[variavel],AU$7,
  m.vb[mes],$A22
)</f>
        <v>0</v>
      </c>
      <c r="AV22" s="119">
        <f>COUNTIFS(
    tb_estq[empresa], AV$6,
    tb_estq[Data da venda / reserva], "&gt;=" &amp; $A22,
    tb_estq[Data da venda / reserva], "&lt;"  &amp; EOMONTH($A22,0) + 1
)</f>
        <v>0</v>
      </c>
      <c r="AW22" s="120">
        <f ca="1">SUMIFS(tb_rec_uni[2022-08-01],
INDIRECT("tb_rec_uni[natureza]"),"pro.soluto",
INDIRECT("tb_rec_uni[empresa]"),AW$6)</f>
        <v>0</v>
      </c>
      <c r="AX22" s="120">
        <f ca="1">SUMIFS(tb_rec_uni[2022-08-01],
INDIRECT("tb_rec_uni[natureza]"),"repasse.cef.obra",
INDIRECT("tb_rec_uni[empresa]"),AX$6)</f>
        <v>0</v>
      </c>
      <c r="AY22" s="120">
        <f ca="1">SUMIFS(tb_rec_uni[2022-08-01],
INDIRECT("tb_rec_uni[natureza]"),"repasse.cef.terreno",
INDIRECT("tb_rec_uni[empresa]"),AY$6)</f>
        <v>0</v>
      </c>
      <c r="AZ22" s="120">
        <v>0</v>
      </c>
      <c r="BA22" s="120">
        <f ca="1">SUMIFS(tb_rec_uni[2022-08-01],
INDIRECT("tb_rec_uni[natureza]"),"taxa.extra",
INDIRECT("tb_rec_uni[empresa]"),BA$6)</f>
        <v>0</v>
      </c>
      <c r="BB22" s="108"/>
      <c r="BC22" s="120">
        <f ca="1">SUMIFS(
  m.vb[valor],
  m.vb[nucleo],$AV$1,
  m.vb[variavel],BC$7,
  m.vb[mes],$A22
)</f>
        <v>0</v>
      </c>
      <c r="BD22" s="120">
        <f ca="1">SUMIFS(
  m.vb[valor],
  m.vb[nucleo],$AV$1,
  m.vb[variavel],BD$7,
  m.vb[mes],$A22
)</f>
        <v>0</v>
      </c>
      <c r="BE22" s="120">
        <f ca="1">SUMIFS(
  m.vb[valor],
  m.vb[nucleo],$AV$1,
  m.vb[variavel],BE$7,
  m.vb[mes],$A22
)</f>
        <v>0</v>
      </c>
      <c r="BF22" s="120">
        <f ca="1">SUMIFS(
  m.vb[valor],
  m.vb[nucleo],$AV$1,
  m.vb[variavel],BF$7,
  m.vb[mes],$A22
)</f>
        <v>0</v>
      </c>
      <c r="BG22" s="121">
        <f ca="1">SUMIFS(
  m.vb[valor],
  m.vb[nucleo],$AV$1,
  m.vb[variavel],BG$7,
  m.vb[mes],$A22
)</f>
        <v>0</v>
      </c>
      <c r="BH22" s="119">
        <f>COUNTIFS(
    tb_estq[empresa], BH$6,
    tb_estq[Data da venda / reserva], "&gt;=" &amp; $A22,
    tb_estq[Data da venda / reserva], "&lt;"  &amp; EOMONTH($A22,0) + 1
)</f>
        <v>0</v>
      </c>
      <c r="BI22" s="120">
        <f ca="1">SUMIFS(tb_rec_uni[2022-08-01],
INDIRECT("tb_rec_uni[natureza]"),"pro.soluto",
INDIRECT("tb_rec_uni[empresa]"),BI$6)</f>
        <v>0</v>
      </c>
      <c r="BJ22" s="108">
        <v>0</v>
      </c>
      <c r="BK22" s="120">
        <f ca="1">SUMIFS(tb_rec_uni[2022-08-01],
INDIRECT("tb_rec_uni[natureza]"),"taxa.extra",
INDIRECT("tb_rec_uni[empresa]"),BK$6)</f>
        <v>0</v>
      </c>
      <c r="BL22" s="108"/>
      <c r="BM22" s="120">
        <f ca="1">SUMIFS(
  m.vb[valor],
  m.vb[nucleo],$BH$1,
  m.vb[variavel],BM$7,
  m.vb[mes],$A22
)</f>
        <v>0</v>
      </c>
      <c r="BN22" s="120">
        <f ca="1">SUMIFS(
  m.vb[valor],
  m.vb[nucleo],$BH$1,
  m.vb[variavel],BN$7,
  m.vb[mes],$A22
)</f>
        <v>0</v>
      </c>
      <c r="BO22" s="120">
        <f ca="1">SUMIFS(
  m.vb[valor],
  m.vb[nucleo],$BH$1,
  m.vb[variavel],BO$7,
  m.vb[mes],$A22
)</f>
        <v>0</v>
      </c>
      <c r="BP22" s="120">
        <f ca="1">SUMIFS(
  m.vb[valor],
  m.vb[nucleo],$BH$1,
  m.vb[variavel],BP$7,
  m.vb[mes],$A22
)</f>
        <v>0</v>
      </c>
      <c r="BQ22" s="121">
        <f ca="1">SUMIFS(
  m.vb[valor],
  m.vb[nucleo],$BH$1,
  m.vb[variavel],BQ$7,
  m.vb[mes],$A22
)</f>
        <v>0</v>
      </c>
      <c r="BR22" s="119">
        <f>COUNTIFS(
    tb_estq[empresa], BR$6,
    tb_estq[Data da venda / reserva], "&gt;=" &amp; $A22,
    tb_estq[Data da venda / reserva], "&lt;"  &amp; EOMONTH($A22,0) + 1
)</f>
        <v>0</v>
      </c>
      <c r="BS22" s="120">
        <f ca="1">SUMIFS(tb_rec_uni[2022-08-01],
INDIRECT("tb_rec_uni[natureza]"),"pro.soluto",
INDIRECT("tb_rec_uni[empresa]"),BS$6)</f>
        <v>0</v>
      </c>
      <c r="BT22" s="120">
        <f ca="1">SUMIFS(tb_rec_uni[2022-08-01],
INDIRECT("tb_rec_uni[natureza]"),"parcela.fin.total.ik",
INDIRECT("tb_rec_uni[empresa]"),BT$6)</f>
        <v>0</v>
      </c>
      <c r="BU22" s="120">
        <f ca="1">SUMIFS(tb_rec_uni[2022-08-01],
INDIRECT("tb_rec_uni[natureza]"),"taxa.extra",
INDIRECT("tb_rec_uni[empresa]"),BU$6)</f>
        <v>0</v>
      </c>
      <c r="BV22" s="108"/>
      <c r="BW22" s="120">
        <f ca="1">SUMIFS(
  m.vb[valor],
  m.vb[nucleo],$BR$1,
  m.vb[variavel],BW$7,
  m.vb[mes],$A22
)</f>
        <v>0</v>
      </c>
      <c r="BX22" s="120">
        <f ca="1">SUMIFS(
  m.vb[valor],
  m.vb[nucleo],$BR$1,
  m.vb[variavel],BX$7,
  m.vb[mes],$A22
)</f>
        <v>0</v>
      </c>
      <c r="BY22" s="120">
        <f ca="1">SUMIFS(
  m.vb[valor],
  m.vb[nucleo],$BR$1,
  m.vb[variavel],BY$7,
  m.vb[mes],$A22
)</f>
        <v>0</v>
      </c>
      <c r="BZ22" s="120">
        <f ca="1">SUMIFS(
  m.vb[valor],
  m.vb[nucleo],$BR$1,
  m.vb[variavel],BZ$7,
  m.vb[mes],$A22
)</f>
        <v>0</v>
      </c>
      <c r="CA22" s="121">
        <f ca="1">SUMIFS(
  m.vb[valor],
  m.vb[nucleo],$BR$1,
  m.vb[variavel],CA$7,
  m.vb[mes],$A22
)</f>
        <v>0</v>
      </c>
      <c r="CB22" s="119">
        <f>COUNTIFS(
    tb_estq[empresa], CB$6,
    tb_estq[Data da venda / reserva], "&gt;=" &amp; $A22,
    tb_estq[Data da venda / reserva], "&lt;"  &amp; EOMONTH($A22,0) + 1
)</f>
        <v>0</v>
      </c>
      <c r="CC22" s="120">
        <f ca="1">SUMIFS(tb_rec_uni[2022-08-01],
INDIRECT("tb_rec_uni[natureza]"),"pro.soluto",
INDIRECT("tb_rec_uni[empresa]"),CC$6)</f>
        <v>0</v>
      </c>
      <c r="CD22" s="120">
        <f ca="1">SUMIFS(tb_rec_uni[2022-08-01],
INDIRECT("tb_rec_uni[natureza]"),"repasse.cef.obra",
INDIRECT("tb_rec_uni[empresa]"),CD$6)</f>
        <v>0</v>
      </c>
      <c r="CE22" s="120">
        <f ca="1">SUMIFS(tb_rec_uni[2022-08-01],
INDIRECT("tb_rec_uni[natureza]"),"repasse.cef.terreno",
INDIRECT("tb_rec_uni[empresa]"),CE$6)</f>
        <v>0</v>
      </c>
      <c r="CF22" s="120">
        <v>0</v>
      </c>
      <c r="CG22" s="120">
        <f ca="1">SUMIFS(tb_rec_uni[2022-08-01],
INDIRECT("tb_rec_uni[natureza]"),"taxa.extra",
INDIRECT("tb_rec_uni[empresa]"),CG$6)</f>
        <v>0</v>
      </c>
      <c r="CH22" s="108"/>
      <c r="CI22" s="120">
        <f ca="1">SUMIFS(
  m.vb[valor],
  m.vb[nucleo],$CB$1,
  m.vb[variavel],CI$7,
  m.vb[mes],$A22
)</f>
        <v>0</v>
      </c>
      <c r="CJ22" s="120">
        <f ca="1">SUMIFS(
  m.vb[valor],
  m.vb[nucleo],$CB$1,
  m.vb[variavel],CJ$7,
  m.vb[mes],$A22
)</f>
        <v>0</v>
      </c>
      <c r="CK22" s="120">
        <f ca="1">SUMIFS(
  m.vb[valor],
  m.vb[nucleo],$CB$1,
  m.vb[variavel],CK$7,
  m.vb[mes],$A22
)</f>
        <v>0</v>
      </c>
      <c r="CL22" s="120">
        <f ca="1">SUMIFS(
  m.vb[valor],
  m.vb[nucleo],$CB$1,
  m.vb[variavel],CL$7,
  m.vb[mes],$A22
)</f>
        <v>0</v>
      </c>
      <c r="CM22" s="121">
        <f ca="1">SUMIFS(
  m.vb[valor],
  m.vb[nucleo],$CB$1,
  m.vb[variavel],CM$7,
  m.vb[mes],$A22
)</f>
        <v>0</v>
      </c>
      <c r="CN22" s="119">
        <f>COUNTIFS(
    tb_estq[empresa], CN$6,
    tb_estq[Data da venda / reserva], "&gt;=" &amp; $A22,
    tb_estq[Data da venda / reserva], "&lt;"  &amp; EOMONTH($A22,0) + 1
)</f>
        <v>0</v>
      </c>
      <c r="CO22" s="120">
        <f ca="1">SUMIFS(tb_rec_uni[2022-08-01],
INDIRECT("tb_rec_uni[natureza]"),"pro.soluto",
INDIRECT("tb_rec_uni[empresa]"),CO$6)</f>
        <v>0</v>
      </c>
      <c r="CP22" s="120">
        <f ca="1">SUMIFS(tb_rec_uni[2022-08-01],
INDIRECT("tb_rec_uni[natureza]"),"repasse.cef.obra",
INDIRECT("tb_rec_uni[empresa]"),CP$6)</f>
        <v>0</v>
      </c>
      <c r="CQ22" s="120">
        <f ca="1">SUMIFS(tb_rec_uni[2022-08-01],
INDIRECT("tb_rec_uni[natureza]"),"repasse.cef.terreno",
INDIRECT("tb_rec_uni[empresa]"),CQ$6)</f>
        <v>0</v>
      </c>
      <c r="CR22" s="120">
        <v>0</v>
      </c>
      <c r="CS22" s="120">
        <f ca="1">SUMIFS(tb_rec_uni[2022-08-01],
INDIRECT("tb_rec_uni[natureza]"),"taxa.extra",
INDIRECT("tb_rec_uni[empresa]"),CS$6)</f>
        <v>0</v>
      </c>
      <c r="CT22" s="108"/>
      <c r="CU22" s="120">
        <f ca="1">SUMIFS(
  m.vb[valor],
  m.vb[nucleo],$CN$1,
  m.vb[variavel],CU$7,
  m.vb[mes],$A22
)</f>
        <v>0</v>
      </c>
      <c r="CV22" s="120" cm="1">
        <f t="array" ref="CV22">SUMPRODUCT(
  IFERROR(--tb_desp[valor],0)*
  (tb_desp[nucleo]="UP MOVE VILA SONIA")*
  (tb_desp[categoria]=CV$7)*
  (tb_desp[data.pagamento]&gt;=$A22)*
  (tb_desp[data.pagamento]&lt;EOMONTH($A22,0)+1)
)</f>
        <v>0</v>
      </c>
      <c r="CW22" s="120" cm="1">
        <f t="array" ref="CW22">SUMPRODUCT(
  IFERROR(--tb_desp[valor],0)*
  (tb_desp[nucleo]="UP MOVE VILA SONIA")*
  (tb_desp[categoria]=CW$7)*
  (tb_desp[data.pagamento]&gt;=$A22)*
  (tb_desp[data.pagamento]&lt;EOMONTH($A22,0)+1)
)</f>
        <v>0</v>
      </c>
      <c r="CX22" s="120" cm="1">
        <f t="array" ref="CX22">SUMPRODUCT(
  IFERROR(--tb_desp[valor],0)*
  (tb_desp[nucleo]="UP MOVE VILA SONIA")*
  (tb_desp[categoria]=CX$7)*
  (tb_desp[data.pagamento]&gt;=$A22)*
  (tb_desp[data.pagamento]&lt;EOMONTH($A22,0)+1)
)</f>
        <v>0</v>
      </c>
      <c r="CY22" s="122" cm="1">
        <f t="array" ref="CY22">SUMPRODUCT(
  IFERROR(--tb_desp[valor],0)*
  (tb_desp[nucleo]="UP MOVE VILA SONIA")*
  (tb_desp[categoria]=CY$7)*
  (tb_desp[data.pagamento]&gt;=$A22)*
  (tb_desp[data.pagamento]&lt;EOMONTH($A22,0)+1)
)</f>
        <v>0</v>
      </c>
    </row>
    <row r="23" spans="1:103" x14ac:dyDescent="0.25">
      <c r="A23" s="118">
        <v>44805</v>
      </c>
      <c r="B23" s="119">
        <f>COUNTIFS(
    tb_estq[empresa], B$6,
    tb_estq[Data da venda / reserva], "&gt;=" &amp; $A23,
    tb_estq[Data da venda / reserva], "&lt;"  &amp; EOMONTH($A23,0) + 1
)</f>
        <v>0</v>
      </c>
      <c r="C23" s="120">
        <f ca="1">SUMIFS(tb_rec_uni[2022-09-01],
INDIRECT("tb_rec_uni[natureza]"),"pro.soluto",
INDIRECT("tb_rec_uni[empresa]"),C$6)</f>
        <v>0</v>
      </c>
      <c r="D23" s="120">
        <f ca="1">SUMIFS(tb_rec_uni[2022-09-01],
INDIRECT("tb_rec_uni[natureza]"),"repasse.cef.obra",
INDIRECT("tb_rec_uni[empresa]"),D$6)</f>
        <v>0</v>
      </c>
      <c r="E23" s="120">
        <f ca="1">SUMIFS(tb_rec_uni[2022-09-01],
INDIRECT("tb_rec_uni[natureza]"),"repasse.cef.terreno",
INDIRECT("tb_rec_uni[empresa]"),E$6)</f>
        <v>0</v>
      </c>
      <c r="F23" s="120">
        <v>0</v>
      </c>
      <c r="G23" s="120">
        <f ca="1">SUMIFS(tb_rec_uni[2022-09-01],
INDIRECT("tb_rec_uni[natureza]"),"taxa.extra",
INDIRECT("tb_rec_uni[empresa]"),G$6)</f>
        <v>0</v>
      </c>
      <c r="H23" s="108"/>
      <c r="I23" s="120">
        <f ca="1">SUMIFS(
  m.vb[valor],
  m.vb[nucleo],$B$1,
  m.vb[variavel],I$7,
  m.vb[mes],$A23
)</f>
        <v>0</v>
      </c>
      <c r="J23" s="120">
        <f ca="1">SUMIFS(
  m.vb[valor],
  m.vb[nucleo],$B$1,
  m.vb[variavel],J$7,
  m.vb[mes],$A23
)</f>
        <v>0</v>
      </c>
      <c r="K23" s="120">
        <f ca="1">SUMIFS(
  m.vb[valor],
  m.vb[nucleo],$B$1,
  m.vb[variavel],K$7,
  m.vb[mes],$A23
)</f>
        <v>0</v>
      </c>
      <c r="L23" s="120">
        <f ca="1">SUMIFS(
  m.vb[valor],
  m.vb[nucleo],$B$1,
  m.vb[variavel],L$7,
  m.vb[mes],$A23
)</f>
        <v>0</v>
      </c>
      <c r="M23" s="121">
        <f ca="1">SUMIFS(
  m.vb[valor],
  m.vb[nucleo],$B$1,
  m.vb[variavel],M$7,
  m.vb[mes],$A23
)</f>
        <v>0</v>
      </c>
      <c r="N23" s="119">
        <f>COUNTIFS(
    tb_estq[empresa], N$6,
    tb_estq[Data da venda / reserva], "&gt;=" &amp; $A23,
    tb_estq[Data da venda / reserva], "&lt;"  &amp; EOMONTH($A23,0) + 1
)</f>
        <v>0</v>
      </c>
      <c r="O23" s="120">
        <f ca="1">SUMIFS(tb_rec_uni[2022-09-01],
INDIRECT("tb_rec_uni[natureza]"),"pro.soluto",
INDIRECT("tb_rec_uni[empresa]"),O$6)</f>
        <v>0</v>
      </c>
      <c r="P23" s="120">
        <f ca="1">SUMIFS(tb_rec_uni[2022-09-01],
INDIRECT("tb_rec_uni[natureza]"),"repasse.cef.obra",
INDIRECT("tb_rec_uni[empresa]"),P$6)</f>
        <v>0</v>
      </c>
      <c r="Q23" s="120">
        <f ca="1">SUMIFS(tb_rec_uni[2022-09-01],
INDIRECT("tb_rec_uni[natureza]"),"repasse.cef.terreno",
INDIRECT("tb_rec_uni[empresa]"),Q$6)</f>
        <v>0</v>
      </c>
      <c r="R23" s="120">
        <v>0</v>
      </c>
      <c r="S23" s="120">
        <f ca="1">SUMIFS(tb_rec_uni[2022-09-01],
INDIRECT("tb_rec_uni[natureza]"),"taxa.extra",
INDIRECT("tb_rec_uni[empresa]"),S$6)</f>
        <v>0</v>
      </c>
      <c r="T23" s="108"/>
      <c r="U23" s="120">
        <f ca="1">SUMIFS(
  m.vb[valor],
  m.vb[nucleo],$N$1,
  m.vb[variavel],U$7,
  m.vb[mes],$A23
)</f>
        <v>0</v>
      </c>
      <c r="V23" s="120">
        <f ca="1">SUMIFS(
  m.vb[valor],
  m.vb[nucleo],$N$1,
  m.vb[variavel],V$7,
  m.vb[mes],$A23
)</f>
        <v>0</v>
      </c>
      <c r="W23" s="120">
        <f ca="1">SUMIFS(
  m.vb[valor],
  m.vb[nucleo],$N$1,
  m.vb[variavel],W$7,
  m.vb[mes],$A23
)</f>
        <v>0</v>
      </c>
      <c r="X23" s="120">
        <f ca="1">SUMIFS(
  m.vb[valor],
  m.vb[nucleo],$N$1,
  m.vb[variavel],X$7,
  m.vb[mes],$A23
)</f>
        <v>0</v>
      </c>
      <c r="Y23" s="121">
        <f ca="1">SUMIFS(
  m.vb[valor],
  m.vb[nucleo],$N$1,
  m.vb[variavel],Y$7,
  m.vb[mes],$A23
)</f>
        <v>0</v>
      </c>
      <c r="Z23" s="119">
        <f>COUNTIFS(
    tb_estq[empresa], Z$6,
    tb_estq[Data da venda / reserva], "&gt;=" &amp; $A23,
    tb_estq[Data da venda / reserva], "&lt;"  &amp; EOMONTH($A23,0) + 1
)</f>
        <v>0</v>
      </c>
      <c r="AA23" s="120">
        <f ca="1">SUMIFS(tb_rec_uni[2022-09-01],
INDIRECT("tb_rec_uni[natureza]"),"pro.soluto",
INDIRECT("tb_rec_uni[empresa]"),AA$6)</f>
        <v>0</v>
      </c>
      <c r="AB23" s="120">
        <f ca="1">SUMIFS(tb_rec_uni[2022-09-01],
INDIRECT("tb_rec_uni[natureza]"),"parcela.fin.total.ik",
INDIRECT("tb_rec_uni[empresa]"),AB$6)</f>
        <v>0</v>
      </c>
      <c r="AC23" s="120">
        <f ca="1">SUMIFS(tb_rec_uni[2022-09-01],
INDIRECT("tb_rec_uni[natureza]"),"taxa.extra",
INDIRECT("tb_rec_uni[empresa]"),AC$6)</f>
        <v>0</v>
      </c>
      <c r="AD23" s="108"/>
      <c r="AE23" s="120">
        <f ca="1">SUMIFS(
  m.vb[valor],
  m.vb[nucleo],$Z$1,
  m.vb[variavel],AE$7,
  m.vb[mes],$A23
)</f>
        <v>0</v>
      </c>
      <c r="AF23" s="120">
        <f ca="1">SUMIFS(
  m.vb[valor],
  m.vb[nucleo],$Z$1,
  m.vb[variavel],AF$7,
  m.vb[mes],$A23
)</f>
        <v>0</v>
      </c>
      <c r="AG23" s="120">
        <f ca="1">SUMIFS(
  m.vb[valor],
  m.vb[nucleo],$Z$1,
  m.vb[variavel],AG$7,
  m.vb[mes],$A23
)</f>
        <v>0</v>
      </c>
      <c r="AH23" s="120">
        <f ca="1">SUMIFS(
  m.vb[valor],
  m.vb[nucleo],$Z$1,
  m.vb[variavel],AH$7,
  m.vb[mes],$A23
)</f>
        <v>0</v>
      </c>
      <c r="AI23" s="121">
        <f ca="1">SUMIFS(
  m.vb[valor],
  m.vb[nucleo],$Z$1,
  m.vb[variavel],AI$7,
  m.vb[mes],$A23
)</f>
        <v>0</v>
      </c>
      <c r="AJ23" s="119">
        <f>COUNTIFS(
    tb_estq[empresa], AJ$6,
    tb_estq[Data da venda / reserva], "&gt;=" &amp; $A23,
    tb_estq[Data da venda / reserva], "&lt;"  &amp; EOMONTH($A23,0) + 1
)</f>
        <v>0</v>
      </c>
      <c r="AK23" s="120">
        <f ca="1">SUMIFS(tb_rec_uni[2022-09-01],
INDIRECT("tb_rec_uni[natureza]"),"pro.soluto",
INDIRECT("tb_rec_uni[empresa]"),AK$6)</f>
        <v>0</v>
      </c>
      <c r="AL23" s="120">
        <f ca="1">SUMIFS(tb_rec_uni[2022-09-01],
INDIRECT("tb_rec_uni[natureza]"),"repasse.cef.obra",
INDIRECT("tb_rec_uni[empresa]"),AL$6)</f>
        <v>0</v>
      </c>
      <c r="AM23" s="120">
        <f ca="1">SUMIFS(tb_rec_uni[2022-09-01],
INDIRECT("tb_rec_uni[natureza]"),"repasse.cef.terreno",
INDIRECT("tb_rec_uni[empresa]"),AM$6)</f>
        <v>0</v>
      </c>
      <c r="AN23" s="120">
        <v>0</v>
      </c>
      <c r="AO23" s="120">
        <f ca="1">SUMIFS(tb_rec_uni[2022-09-01],
INDIRECT("tb_rec_uni[natureza]"),"taxa.extra",
INDIRECT("tb_rec_uni[empresa]"),AO$6)</f>
        <v>0</v>
      </c>
      <c r="AP23" s="108"/>
      <c r="AQ23" s="120">
        <f ca="1">SUMIFS(
  m.vb[valor],
  m.vb[nucleo],$AJ$1,
  m.vb[variavel],AQ$7,
  m.vb[mes],$A23
)</f>
        <v>0</v>
      </c>
      <c r="AR23" s="120">
        <f ca="1">SUMIFS(
  m.vb[valor],
  m.vb[nucleo],$AJ$1,
  m.vb[variavel],AR$7,
  m.vb[mes],$A23
)</f>
        <v>0</v>
      </c>
      <c r="AS23" s="120">
        <f ca="1">SUMIFS(
  m.vb[valor],
  m.vb[nucleo],$AJ$1,
  m.vb[variavel],AS$7,
  m.vb[mes],$A23
)</f>
        <v>0</v>
      </c>
      <c r="AT23" s="120">
        <f ca="1">SUMIFS(
  m.vb[valor],
  m.vb[nucleo],$AJ$1,
  m.vb[variavel],AT$7,
  m.vb[mes],$A23
)</f>
        <v>0</v>
      </c>
      <c r="AU23" s="121">
        <f ca="1">SUMIFS(
  m.vb[valor],
  m.vb[nucleo],$AJ$1,
  m.vb[variavel],AU$7,
  m.vb[mes],$A23
)</f>
        <v>0</v>
      </c>
      <c r="AV23" s="119">
        <f>COUNTIFS(
    tb_estq[empresa], AV$6,
    tb_estq[Data da venda / reserva], "&gt;=" &amp; $A23,
    tb_estq[Data da venda / reserva], "&lt;"  &amp; EOMONTH($A23,0) + 1
)</f>
        <v>0</v>
      </c>
      <c r="AW23" s="120">
        <f ca="1">SUMIFS(tb_rec_uni[2022-09-01],
INDIRECT("tb_rec_uni[natureza]"),"pro.soluto",
INDIRECT("tb_rec_uni[empresa]"),AW$6)</f>
        <v>0</v>
      </c>
      <c r="AX23" s="120">
        <f ca="1">SUMIFS(tb_rec_uni[2022-09-01],
INDIRECT("tb_rec_uni[natureza]"),"repasse.cef.obra",
INDIRECT("tb_rec_uni[empresa]"),AX$6)</f>
        <v>0</v>
      </c>
      <c r="AY23" s="120">
        <f ca="1">SUMIFS(tb_rec_uni[2022-09-01],
INDIRECT("tb_rec_uni[natureza]"),"repasse.cef.terreno",
INDIRECT("tb_rec_uni[empresa]"),AY$6)</f>
        <v>0</v>
      </c>
      <c r="AZ23" s="120">
        <v>0</v>
      </c>
      <c r="BA23" s="120">
        <f ca="1">SUMIFS(tb_rec_uni[2022-09-01],
INDIRECT("tb_rec_uni[natureza]"),"taxa.extra",
INDIRECT("tb_rec_uni[empresa]"),BA$6)</f>
        <v>0</v>
      </c>
      <c r="BB23" s="108"/>
      <c r="BC23" s="120">
        <f ca="1">SUMIFS(
  m.vb[valor],
  m.vb[nucleo],$AV$1,
  m.vb[variavel],BC$7,
  m.vb[mes],$A23
)</f>
        <v>0</v>
      </c>
      <c r="BD23" s="120">
        <f ca="1">SUMIFS(
  m.vb[valor],
  m.vb[nucleo],$AV$1,
  m.vb[variavel],BD$7,
  m.vb[mes],$A23
)</f>
        <v>0</v>
      </c>
      <c r="BE23" s="120">
        <f ca="1">SUMIFS(
  m.vb[valor],
  m.vb[nucleo],$AV$1,
  m.vb[variavel],BE$7,
  m.vb[mes],$A23
)</f>
        <v>0</v>
      </c>
      <c r="BF23" s="120">
        <f ca="1">SUMIFS(
  m.vb[valor],
  m.vb[nucleo],$AV$1,
  m.vb[variavel],BF$7,
  m.vb[mes],$A23
)</f>
        <v>0</v>
      </c>
      <c r="BG23" s="121">
        <f ca="1">SUMIFS(
  m.vb[valor],
  m.vb[nucleo],$AV$1,
  m.vb[variavel],BG$7,
  m.vb[mes],$A23
)</f>
        <v>0</v>
      </c>
      <c r="BH23" s="119">
        <f>COUNTIFS(
    tb_estq[empresa], BH$6,
    tb_estq[Data da venda / reserva], "&gt;=" &amp; $A23,
    tb_estq[Data da venda / reserva], "&lt;"  &amp; EOMONTH($A23,0) + 1
)</f>
        <v>0</v>
      </c>
      <c r="BI23" s="120">
        <f ca="1">SUMIFS(tb_rec_uni[2022-09-01],
INDIRECT("tb_rec_uni[natureza]"),"pro.soluto",
INDIRECT("tb_rec_uni[empresa]"),BI$6)</f>
        <v>0</v>
      </c>
      <c r="BJ23" s="108">
        <v>0</v>
      </c>
      <c r="BK23" s="120">
        <f ca="1">SUMIFS(tb_rec_uni[2022-09-01],
INDIRECT("tb_rec_uni[natureza]"),"taxa.extra",
INDIRECT("tb_rec_uni[empresa]"),BK$6)</f>
        <v>0</v>
      </c>
      <c r="BL23" s="108"/>
      <c r="BM23" s="120">
        <f ca="1">SUMIFS(
  m.vb[valor],
  m.vb[nucleo],$BH$1,
  m.vb[variavel],BM$7,
  m.vb[mes],$A23
)</f>
        <v>0</v>
      </c>
      <c r="BN23" s="120">
        <f ca="1">SUMIFS(
  m.vb[valor],
  m.vb[nucleo],$BH$1,
  m.vb[variavel],BN$7,
  m.vb[mes],$A23
)</f>
        <v>0</v>
      </c>
      <c r="BO23" s="120">
        <f ca="1">SUMIFS(
  m.vb[valor],
  m.vb[nucleo],$BH$1,
  m.vb[variavel],BO$7,
  m.vb[mes],$A23
)</f>
        <v>0</v>
      </c>
      <c r="BP23" s="120">
        <f ca="1">SUMIFS(
  m.vb[valor],
  m.vb[nucleo],$BH$1,
  m.vb[variavel],BP$7,
  m.vb[mes],$A23
)</f>
        <v>0</v>
      </c>
      <c r="BQ23" s="121">
        <f ca="1">SUMIFS(
  m.vb[valor],
  m.vb[nucleo],$BH$1,
  m.vb[variavel],BQ$7,
  m.vb[mes],$A23
)</f>
        <v>0</v>
      </c>
      <c r="BR23" s="119">
        <f>COUNTIFS(
    tb_estq[empresa], BR$6,
    tb_estq[Data da venda / reserva], "&gt;=" &amp; $A23,
    tb_estq[Data da venda / reserva], "&lt;"  &amp; EOMONTH($A23,0) + 1
)</f>
        <v>0</v>
      </c>
      <c r="BS23" s="120">
        <f ca="1">SUMIFS(tb_rec_uni[2022-09-01],
INDIRECT("tb_rec_uni[natureza]"),"pro.soluto",
INDIRECT("tb_rec_uni[empresa]"),BS$6)</f>
        <v>0</v>
      </c>
      <c r="BT23" s="120">
        <f ca="1">SUMIFS(tb_rec_uni[2022-09-01],
INDIRECT("tb_rec_uni[natureza]"),"parcela.fin.total.ik",
INDIRECT("tb_rec_uni[empresa]"),BT$6)</f>
        <v>0</v>
      </c>
      <c r="BU23" s="120">
        <f ca="1">SUMIFS(tb_rec_uni[2022-09-01],
INDIRECT("tb_rec_uni[natureza]"),"taxa.extra",
INDIRECT("tb_rec_uni[empresa]"),BU$6)</f>
        <v>0</v>
      </c>
      <c r="BV23" s="108"/>
      <c r="BW23" s="120">
        <f ca="1">SUMIFS(
  m.vb[valor],
  m.vb[nucleo],$BR$1,
  m.vb[variavel],BW$7,
  m.vb[mes],$A23
)</f>
        <v>0</v>
      </c>
      <c r="BX23" s="120">
        <f ca="1">SUMIFS(
  m.vb[valor],
  m.vb[nucleo],$BR$1,
  m.vb[variavel],BX$7,
  m.vb[mes],$A23
)</f>
        <v>0</v>
      </c>
      <c r="BY23" s="120">
        <f ca="1">SUMIFS(
  m.vb[valor],
  m.vb[nucleo],$BR$1,
  m.vb[variavel],BY$7,
  m.vb[mes],$A23
)</f>
        <v>0</v>
      </c>
      <c r="BZ23" s="120">
        <f ca="1">SUMIFS(
  m.vb[valor],
  m.vb[nucleo],$BR$1,
  m.vb[variavel],BZ$7,
  m.vb[mes],$A23
)</f>
        <v>0</v>
      </c>
      <c r="CA23" s="121">
        <f ca="1">SUMIFS(
  m.vb[valor],
  m.vb[nucleo],$BR$1,
  m.vb[variavel],CA$7,
  m.vb[mes],$A23
)</f>
        <v>0</v>
      </c>
      <c r="CB23" s="119">
        <f>COUNTIFS(
    tb_estq[empresa], CB$6,
    tb_estq[Data da venda / reserva], "&gt;=" &amp; $A23,
    tb_estq[Data da venda / reserva], "&lt;"  &amp; EOMONTH($A23,0) + 1
)</f>
        <v>0</v>
      </c>
      <c r="CC23" s="120">
        <f ca="1">SUMIFS(tb_rec_uni[2022-09-01],
INDIRECT("tb_rec_uni[natureza]"),"pro.soluto",
INDIRECT("tb_rec_uni[empresa]"),CC$6)</f>
        <v>0</v>
      </c>
      <c r="CD23" s="120">
        <f ca="1">SUMIFS(tb_rec_uni[2022-09-01],
INDIRECT("tb_rec_uni[natureza]"),"repasse.cef.obra",
INDIRECT("tb_rec_uni[empresa]"),CD$6)</f>
        <v>0</v>
      </c>
      <c r="CE23" s="120">
        <f ca="1">SUMIFS(tb_rec_uni[2022-09-01],
INDIRECT("tb_rec_uni[natureza]"),"repasse.cef.terreno",
INDIRECT("tb_rec_uni[empresa]"),CE$6)</f>
        <v>0</v>
      </c>
      <c r="CF23" s="120">
        <v>0</v>
      </c>
      <c r="CG23" s="120">
        <f ca="1">SUMIFS(tb_rec_uni[2022-09-01],
INDIRECT("tb_rec_uni[natureza]"),"taxa.extra",
INDIRECT("tb_rec_uni[empresa]"),CG$6)</f>
        <v>0</v>
      </c>
      <c r="CH23" s="108"/>
      <c r="CI23" s="120">
        <f ca="1">SUMIFS(
  m.vb[valor],
  m.vb[nucleo],$CB$1,
  m.vb[variavel],CI$7,
  m.vb[mes],$A23
)</f>
        <v>0</v>
      </c>
      <c r="CJ23" s="120">
        <f ca="1">SUMIFS(
  m.vb[valor],
  m.vb[nucleo],$CB$1,
  m.vb[variavel],CJ$7,
  m.vb[mes],$A23
)</f>
        <v>0</v>
      </c>
      <c r="CK23" s="120">
        <f ca="1">SUMIFS(
  m.vb[valor],
  m.vb[nucleo],$CB$1,
  m.vb[variavel],CK$7,
  m.vb[mes],$A23
)</f>
        <v>0</v>
      </c>
      <c r="CL23" s="120">
        <f ca="1">SUMIFS(
  m.vb[valor],
  m.vb[nucleo],$CB$1,
  m.vb[variavel],CL$7,
  m.vb[mes],$A23
)</f>
        <v>0</v>
      </c>
      <c r="CM23" s="121">
        <f ca="1">SUMIFS(
  m.vb[valor],
  m.vb[nucleo],$CB$1,
  m.vb[variavel],CM$7,
  m.vb[mes],$A23
)</f>
        <v>0</v>
      </c>
      <c r="CN23" s="119">
        <f>COUNTIFS(
    tb_estq[empresa], CN$6,
    tb_estq[Data da venda / reserva], "&gt;=" &amp; $A23,
    tb_estq[Data da venda / reserva], "&lt;"  &amp; EOMONTH($A23,0) + 1
)</f>
        <v>0</v>
      </c>
      <c r="CO23" s="120">
        <f ca="1">SUMIFS(tb_rec_uni[2022-09-01],
INDIRECT("tb_rec_uni[natureza]"),"pro.soluto",
INDIRECT("tb_rec_uni[empresa]"),CO$6)</f>
        <v>0</v>
      </c>
      <c r="CP23" s="120">
        <f ca="1">SUMIFS(tb_rec_uni[2022-09-01],
INDIRECT("tb_rec_uni[natureza]"),"repasse.cef.obra",
INDIRECT("tb_rec_uni[empresa]"),CP$6)</f>
        <v>0</v>
      </c>
      <c r="CQ23" s="120">
        <f ca="1">SUMIFS(tb_rec_uni[2022-09-01],
INDIRECT("tb_rec_uni[natureza]"),"repasse.cef.terreno",
INDIRECT("tb_rec_uni[empresa]"),CQ$6)</f>
        <v>0</v>
      </c>
      <c r="CR23" s="120">
        <v>0</v>
      </c>
      <c r="CS23" s="120">
        <f ca="1">SUMIFS(tb_rec_uni[2022-09-01],
INDIRECT("tb_rec_uni[natureza]"),"taxa.extra",
INDIRECT("tb_rec_uni[empresa]"),CS$6)</f>
        <v>0</v>
      </c>
      <c r="CT23" s="108"/>
      <c r="CU23" s="120">
        <f ca="1">SUMIFS(
  m.vb[valor],
  m.vb[nucleo],$CN$1,
  m.vb[variavel],CU$7,
  m.vb[mes],$A23
)</f>
        <v>0</v>
      </c>
      <c r="CV23" s="120" cm="1">
        <f t="array" ref="CV23">SUMPRODUCT(
  IFERROR(--tb_desp[valor],0)*
  (tb_desp[nucleo]="UP MOVE VILA SONIA")*
  (tb_desp[categoria]=CV$7)*
  (tb_desp[data.pagamento]&gt;=$A23)*
  (tb_desp[data.pagamento]&lt;EOMONTH($A23,0)+1)
)</f>
        <v>0</v>
      </c>
      <c r="CW23" s="120" cm="1">
        <f t="array" ref="CW23">SUMPRODUCT(
  IFERROR(--tb_desp[valor],0)*
  (tb_desp[nucleo]="UP MOVE VILA SONIA")*
  (tb_desp[categoria]=CW$7)*
  (tb_desp[data.pagamento]&gt;=$A23)*
  (tb_desp[data.pagamento]&lt;EOMONTH($A23,0)+1)
)</f>
        <v>0</v>
      </c>
      <c r="CX23" s="120" cm="1">
        <f t="array" ref="CX23">SUMPRODUCT(
  IFERROR(--tb_desp[valor],0)*
  (tb_desp[nucleo]="UP MOVE VILA SONIA")*
  (tb_desp[categoria]=CX$7)*
  (tb_desp[data.pagamento]&gt;=$A23)*
  (tb_desp[data.pagamento]&lt;EOMONTH($A23,0)+1)
)</f>
        <v>0</v>
      </c>
      <c r="CY23" s="122" cm="1">
        <f t="array" ref="CY23">SUMPRODUCT(
  IFERROR(--tb_desp[valor],0)*
  (tb_desp[nucleo]="UP MOVE VILA SONIA")*
  (tb_desp[categoria]=CY$7)*
  (tb_desp[data.pagamento]&gt;=$A23)*
  (tb_desp[data.pagamento]&lt;EOMONTH($A23,0)+1)
)</f>
        <v>0</v>
      </c>
    </row>
    <row r="24" spans="1:103" x14ac:dyDescent="0.25">
      <c r="A24" s="118">
        <v>44835</v>
      </c>
      <c r="B24" s="119">
        <f>COUNTIFS(
    tb_estq[empresa], B$6,
    tb_estq[Data da venda / reserva], "&gt;=" &amp; $A24,
    tb_estq[Data da venda / reserva], "&lt;"  &amp; EOMONTH($A24,0) + 1
)</f>
        <v>0</v>
      </c>
      <c r="C24" s="120">
        <f ca="1">SUMIFS(tb_rec_uni[2022-10-01],
INDIRECT("tb_rec_uni[natureza]"),"pro.soluto",
INDIRECT("tb_rec_uni[empresa]"),C$6)</f>
        <v>0</v>
      </c>
      <c r="D24" s="120">
        <f ca="1">SUMIFS(tb_rec_uni[2022-10-01],
INDIRECT("tb_rec_uni[natureza]"),"repasse.cef.obra",
INDIRECT("tb_rec_uni[empresa]"),D$6)</f>
        <v>0</v>
      </c>
      <c r="E24" s="120">
        <f ca="1">SUMIFS(tb_rec_uni[2022-10-01],
INDIRECT("tb_rec_uni[natureza]"),"repasse.cef.terreno",
INDIRECT("tb_rec_uni[empresa]"),E$6)</f>
        <v>0</v>
      </c>
      <c r="F24" s="120">
        <v>0</v>
      </c>
      <c r="G24" s="120">
        <f ca="1">SUMIFS(tb_rec_uni[2022-10-01],
INDIRECT("tb_rec_uni[natureza]"),"taxa.extra",
INDIRECT("tb_rec_uni[empresa]"),G$6)</f>
        <v>0</v>
      </c>
      <c r="H24" s="108"/>
      <c r="I24" s="120">
        <f ca="1">SUMIFS(
  m.vb[valor],
  m.vb[nucleo],$B$1,
  m.vb[variavel],I$7,
  m.vb[mes],$A24
)</f>
        <v>0</v>
      </c>
      <c r="J24" s="120">
        <f ca="1">SUMIFS(
  m.vb[valor],
  m.vb[nucleo],$B$1,
  m.vb[variavel],J$7,
  m.vb[mes],$A24
)</f>
        <v>0</v>
      </c>
      <c r="K24" s="120">
        <f ca="1">SUMIFS(
  m.vb[valor],
  m.vb[nucleo],$B$1,
  m.vb[variavel],K$7,
  m.vb[mes],$A24
)</f>
        <v>0</v>
      </c>
      <c r="L24" s="120">
        <f ca="1">SUMIFS(
  m.vb[valor],
  m.vb[nucleo],$B$1,
  m.vb[variavel],L$7,
  m.vb[mes],$A24
)</f>
        <v>0</v>
      </c>
      <c r="M24" s="121">
        <f ca="1">SUMIFS(
  m.vb[valor],
  m.vb[nucleo],$B$1,
  m.vb[variavel],M$7,
  m.vb[mes],$A24
)</f>
        <v>0</v>
      </c>
      <c r="N24" s="119">
        <f>COUNTIFS(
    tb_estq[empresa], N$6,
    tb_estq[Data da venda / reserva], "&gt;=" &amp; $A24,
    tb_estq[Data da venda / reserva], "&lt;"  &amp; EOMONTH($A24,0) + 1
)</f>
        <v>0</v>
      </c>
      <c r="O24" s="120">
        <f ca="1">SUMIFS(tb_rec_uni[2022-10-01],
INDIRECT("tb_rec_uni[natureza]"),"pro.soluto",
INDIRECT("tb_rec_uni[empresa]"),O$6)</f>
        <v>0</v>
      </c>
      <c r="P24" s="120">
        <f ca="1">SUMIFS(tb_rec_uni[2022-10-01],
INDIRECT("tb_rec_uni[natureza]"),"repasse.cef.obra",
INDIRECT("tb_rec_uni[empresa]"),P$6)</f>
        <v>0</v>
      </c>
      <c r="Q24" s="120">
        <f ca="1">SUMIFS(tb_rec_uni[2022-10-01],
INDIRECT("tb_rec_uni[natureza]"),"repasse.cef.terreno",
INDIRECT("tb_rec_uni[empresa]"),Q$6)</f>
        <v>0</v>
      </c>
      <c r="R24" s="120">
        <v>0</v>
      </c>
      <c r="S24" s="120">
        <f ca="1">SUMIFS(tb_rec_uni[2022-10-01],
INDIRECT("tb_rec_uni[natureza]"),"taxa.extra",
INDIRECT("tb_rec_uni[empresa]"),S$6)</f>
        <v>0</v>
      </c>
      <c r="T24" s="108"/>
      <c r="U24" s="120">
        <f ca="1">SUMIFS(
  m.vb[valor],
  m.vb[nucleo],$N$1,
  m.vb[variavel],U$7,
  m.vb[mes],$A24
)</f>
        <v>0</v>
      </c>
      <c r="V24" s="120">
        <f ca="1">SUMIFS(
  m.vb[valor],
  m.vb[nucleo],$N$1,
  m.vb[variavel],V$7,
  m.vb[mes],$A24
)</f>
        <v>0</v>
      </c>
      <c r="W24" s="120">
        <f ca="1">SUMIFS(
  m.vb[valor],
  m.vb[nucleo],$N$1,
  m.vb[variavel],W$7,
  m.vb[mes],$A24
)</f>
        <v>0</v>
      </c>
      <c r="X24" s="120">
        <f ca="1">SUMIFS(
  m.vb[valor],
  m.vb[nucleo],$N$1,
  m.vb[variavel],X$7,
  m.vb[mes],$A24
)</f>
        <v>0</v>
      </c>
      <c r="Y24" s="121">
        <f ca="1">SUMIFS(
  m.vb[valor],
  m.vb[nucleo],$N$1,
  m.vb[variavel],Y$7,
  m.vb[mes],$A24
)</f>
        <v>0</v>
      </c>
      <c r="Z24" s="119">
        <f>COUNTIFS(
    tb_estq[empresa], Z$6,
    tb_estq[Data da venda / reserva], "&gt;=" &amp; $A24,
    tb_estq[Data da venda / reserva], "&lt;"  &amp; EOMONTH($A24,0) + 1
)</f>
        <v>0</v>
      </c>
      <c r="AA24" s="120">
        <f ca="1">SUMIFS(tb_rec_uni[2022-10-01],
INDIRECT("tb_rec_uni[natureza]"),"pro.soluto",
INDIRECT("tb_rec_uni[empresa]"),AA$6)</f>
        <v>0</v>
      </c>
      <c r="AB24" s="120">
        <f ca="1">SUMIFS(tb_rec_uni[2022-10-01],
INDIRECT("tb_rec_uni[natureza]"),"parcela.fin.total.ik",
INDIRECT("tb_rec_uni[empresa]"),AB$6)</f>
        <v>0</v>
      </c>
      <c r="AC24" s="120">
        <f ca="1">SUMIFS(tb_rec_uni[2022-10-01],
INDIRECT("tb_rec_uni[natureza]"),"taxa.extra",
INDIRECT("tb_rec_uni[empresa]"),AC$6)</f>
        <v>0</v>
      </c>
      <c r="AD24" s="108"/>
      <c r="AE24" s="120">
        <f ca="1">SUMIFS(
  m.vb[valor],
  m.vb[nucleo],$Z$1,
  m.vb[variavel],AE$7,
  m.vb[mes],$A24
)</f>
        <v>0</v>
      </c>
      <c r="AF24" s="120">
        <f ca="1">SUMIFS(
  m.vb[valor],
  m.vb[nucleo],$Z$1,
  m.vb[variavel],AF$7,
  m.vb[mes],$A24
)</f>
        <v>0</v>
      </c>
      <c r="AG24" s="120">
        <f ca="1">SUMIFS(
  m.vb[valor],
  m.vb[nucleo],$Z$1,
  m.vb[variavel],AG$7,
  m.vb[mes],$A24
)</f>
        <v>0</v>
      </c>
      <c r="AH24" s="120">
        <f ca="1">SUMIFS(
  m.vb[valor],
  m.vb[nucleo],$Z$1,
  m.vb[variavel],AH$7,
  m.vb[mes],$A24
)</f>
        <v>0</v>
      </c>
      <c r="AI24" s="121">
        <f ca="1">SUMIFS(
  m.vb[valor],
  m.vb[nucleo],$Z$1,
  m.vb[variavel],AI$7,
  m.vb[mes],$A24
)</f>
        <v>0</v>
      </c>
      <c r="AJ24" s="119">
        <f>COUNTIFS(
    tb_estq[empresa], AJ$6,
    tb_estq[Data da venda / reserva], "&gt;=" &amp; $A24,
    tb_estq[Data da venda / reserva], "&lt;"  &amp; EOMONTH($A24,0) + 1
)</f>
        <v>0</v>
      </c>
      <c r="AK24" s="120">
        <f ca="1">SUMIFS(tb_rec_uni[2022-10-01],
INDIRECT("tb_rec_uni[natureza]"),"pro.soluto",
INDIRECT("tb_rec_uni[empresa]"),AK$6)</f>
        <v>0</v>
      </c>
      <c r="AL24" s="120">
        <f ca="1">SUMIFS(tb_rec_uni[2022-10-01],
INDIRECT("tb_rec_uni[natureza]"),"repasse.cef.obra",
INDIRECT("tb_rec_uni[empresa]"),AL$6)</f>
        <v>0</v>
      </c>
      <c r="AM24" s="120">
        <f ca="1">SUMIFS(tb_rec_uni[2022-10-01],
INDIRECT("tb_rec_uni[natureza]"),"repasse.cef.terreno",
INDIRECT("tb_rec_uni[empresa]"),AM$6)</f>
        <v>0</v>
      </c>
      <c r="AN24" s="120">
        <v>0</v>
      </c>
      <c r="AO24" s="120">
        <f ca="1">SUMIFS(tb_rec_uni[2022-10-01],
INDIRECT("tb_rec_uni[natureza]"),"taxa.extra",
INDIRECT("tb_rec_uni[empresa]"),AO$6)</f>
        <v>0</v>
      </c>
      <c r="AP24" s="108"/>
      <c r="AQ24" s="120">
        <f ca="1">SUMIFS(
  m.vb[valor],
  m.vb[nucleo],$AJ$1,
  m.vb[variavel],AQ$7,
  m.vb[mes],$A24
)</f>
        <v>0</v>
      </c>
      <c r="AR24" s="120">
        <f ca="1">SUMIFS(
  m.vb[valor],
  m.vb[nucleo],$AJ$1,
  m.vb[variavel],AR$7,
  m.vb[mes],$A24
)</f>
        <v>0</v>
      </c>
      <c r="AS24" s="120">
        <f ca="1">SUMIFS(
  m.vb[valor],
  m.vb[nucleo],$AJ$1,
  m.vb[variavel],AS$7,
  m.vb[mes],$A24
)</f>
        <v>0</v>
      </c>
      <c r="AT24" s="120">
        <f ca="1">SUMIFS(
  m.vb[valor],
  m.vb[nucleo],$AJ$1,
  m.vb[variavel],AT$7,
  m.vb[mes],$A24
)</f>
        <v>0</v>
      </c>
      <c r="AU24" s="121">
        <f ca="1">SUMIFS(
  m.vb[valor],
  m.vb[nucleo],$AJ$1,
  m.vb[variavel],AU$7,
  m.vb[mes],$A24
)</f>
        <v>0</v>
      </c>
      <c r="AV24" s="119">
        <f>COUNTIFS(
    tb_estq[empresa], AV$6,
    tb_estq[Data da venda / reserva], "&gt;=" &amp; $A24,
    tb_estq[Data da venda / reserva], "&lt;"  &amp; EOMONTH($A24,0) + 1
)</f>
        <v>0</v>
      </c>
      <c r="AW24" s="120">
        <f ca="1">SUMIFS(tb_rec_uni[2022-10-01],
INDIRECT("tb_rec_uni[natureza]"),"pro.soluto",
INDIRECT("tb_rec_uni[empresa]"),AW$6)</f>
        <v>0</v>
      </c>
      <c r="AX24" s="120">
        <f ca="1">SUMIFS(tb_rec_uni[2022-10-01],
INDIRECT("tb_rec_uni[natureza]"),"repasse.cef.obra",
INDIRECT("tb_rec_uni[empresa]"),AX$6)</f>
        <v>0</v>
      </c>
      <c r="AY24" s="120">
        <f ca="1">SUMIFS(tb_rec_uni[2022-10-01],
INDIRECT("tb_rec_uni[natureza]"),"repasse.cef.terreno",
INDIRECT("tb_rec_uni[empresa]"),AY$6)</f>
        <v>0</v>
      </c>
      <c r="AZ24" s="120">
        <v>0</v>
      </c>
      <c r="BA24" s="120">
        <f ca="1">SUMIFS(tb_rec_uni[2022-10-01],
INDIRECT("tb_rec_uni[natureza]"),"taxa.extra",
INDIRECT("tb_rec_uni[empresa]"),BA$6)</f>
        <v>0</v>
      </c>
      <c r="BB24" s="108"/>
      <c r="BC24" s="120">
        <f ca="1">SUMIFS(
  m.vb[valor],
  m.vb[nucleo],$AV$1,
  m.vb[variavel],BC$7,
  m.vb[mes],$A24
)</f>
        <v>0</v>
      </c>
      <c r="BD24" s="120">
        <f ca="1">SUMIFS(
  m.vb[valor],
  m.vb[nucleo],$AV$1,
  m.vb[variavel],BD$7,
  m.vb[mes],$A24
)</f>
        <v>0</v>
      </c>
      <c r="BE24" s="120">
        <f ca="1">SUMIFS(
  m.vb[valor],
  m.vb[nucleo],$AV$1,
  m.vb[variavel],BE$7,
  m.vb[mes],$A24
)</f>
        <v>0</v>
      </c>
      <c r="BF24" s="120">
        <f ca="1">SUMIFS(
  m.vb[valor],
  m.vb[nucleo],$AV$1,
  m.vb[variavel],BF$7,
  m.vb[mes],$A24
)</f>
        <v>0</v>
      </c>
      <c r="BG24" s="121">
        <f ca="1">SUMIFS(
  m.vb[valor],
  m.vb[nucleo],$AV$1,
  m.vb[variavel],BG$7,
  m.vb[mes],$A24
)</f>
        <v>0</v>
      </c>
      <c r="BH24" s="119">
        <f>COUNTIFS(
    tb_estq[empresa], BH$6,
    tb_estq[Data da venda / reserva], "&gt;=" &amp; $A24,
    tb_estq[Data da venda / reserva], "&lt;"  &amp; EOMONTH($A24,0) + 1
)</f>
        <v>0</v>
      </c>
      <c r="BI24" s="120">
        <f ca="1">SUMIFS(tb_rec_uni[2022-10-01],
INDIRECT("tb_rec_uni[natureza]"),"pro.soluto",
INDIRECT("tb_rec_uni[empresa]"),BI$6)</f>
        <v>0</v>
      </c>
      <c r="BJ24" s="108">
        <v>0</v>
      </c>
      <c r="BK24" s="120">
        <f ca="1">SUMIFS(tb_rec_uni[2022-10-01],
INDIRECT("tb_rec_uni[natureza]"),"taxa.extra",
INDIRECT("tb_rec_uni[empresa]"),BK$6)</f>
        <v>0</v>
      </c>
      <c r="BL24" s="108"/>
      <c r="BM24" s="120">
        <f ca="1">SUMIFS(
  m.vb[valor],
  m.vb[nucleo],$BH$1,
  m.vb[variavel],BM$7,
  m.vb[mes],$A24
)</f>
        <v>0</v>
      </c>
      <c r="BN24" s="120">
        <f ca="1">SUMIFS(
  m.vb[valor],
  m.vb[nucleo],$BH$1,
  m.vb[variavel],BN$7,
  m.vb[mes],$A24
)</f>
        <v>0</v>
      </c>
      <c r="BO24" s="120">
        <f ca="1">SUMIFS(
  m.vb[valor],
  m.vb[nucleo],$BH$1,
  m.vb[variavel],BO$7,
  m.vb[mes],$A24
)</f>
        <v>0</v>
      </c>
      <c r="BP24" s="120">
        <f ca="1">SUMIFS(
  m.vb[valor],
  m.vb[nucleo],$BH$1,
  m.vb[variavel],BP$7,
  m.vb[mes],$A24
)</f>
        <v>0</v>
      </c>
      <c r="BQ24" s="121">
        <f ca="1">SUMIFS(
  m.vb[valor],
  m.vb[nucleo],$BH$1,
  m.vb[variavel],BQ$7,
  m.vb[mes],$A24
)</f>
        <v>0</v>
      </c>
      <c r="BR24" s="119">
        <f>COUNTIFS(
    tb_estq[empresa], BR$6,
    tb_estq[Data da venda / reserva], "&gt;=" &amp; $A24,
    tb_estq[Data da venda / reserva], "&lt;"  &amp; EOMONTH($A24,0) + 1
)</f>
        <v>0</v>
      </c>
      <c r="BS24" s="120">
        <f ca="1">SUMIFS(tb_rec_uni[2022-10-01],
INDIRECT("tb_rec_uni[natureza]"),"pro.soluto",
INDIRECT("tb_rec_uni[empresa]"),BS$6)</f>
        <v>0</v>
      </c>
      <c r="BT24" s="120">
        <f ca="1">SUMIFS(tb_rec_uni[2022-10-01],
INDIRECT("tb_rec_uni[natureza]"),"parcela.fin.total.ik",
INDIRECT("tb_rec_uni[empresa]"),BT$6)</f>
        <v>0</v>
      </c>
      <c r="BU24" s="120">
        <f ca="1">SUMIFS(tb_rec_uni[2022-10-01],
INDIRECT("tb_rec_uni[natureza]"),"taxa.extra",
INDIRECT("tb_rec_uni[empresa]"),BU$6)</f>
        <v>0</v>
      </c>
      <c r="BV24" s="108"/>
      <c r="BW24" s="120">
        <f ca="1">SUMIFS(
  m.vb[valor],
  m.vb[nucleo],$BR$1,
  m.vb[variavel],BW$7,
  m.vb[mes],$A24
)</f>
        <v>0</v>
      </c>
      <c r="BX24" s="120">
        <f ca="1">SUMIFS(
  m.vb[valor],
  m.vb[nucleo],$BR$1,
  m.vb[variavel],BX$7,
  m.vb[mes],$A24
)</f>
        <v>0</v>
      </c>
      <c r="BY24" s="120">
        <f ca="1">SUMIFS(
  m.vb[valor],
  m.vb[nucleo],$BR$1,
  m.vb[variavel],BY$7,
  m.vb[mes],$A24
)</f>
        <v>0</v>
      </c>
      <c r="BZ24" s="120">
        <f ca="1">SUMIFS(
  m.vb[valor],
  m.vb[nucleo],$BR$1,
  m.vb[variavel],BZ$7,
  m.vb[mes],$A24
)</f>
        <v>0</v>
      </c>
      <c r="CA24" s="121">
        <f ca="1">SUMIFS(
  m.vb[valor],
  m.vb[nucleo],$BR$1,
  m.vb[variavel],CA$7,
  m.vb[mes],$A24
)</f>
        <v>0</v>
      </c>
      <c r="CB24" s="119">
        <f>COUNTIFS(
    tb_estq[empresa], CB$6,
    tb_estq[Data da venda / reserva], "&gt;=" &amp; $A24,
    tb_estq[Data da venda / reserva], "&lt;"  &amp; EOMONTH($A24,0) + 1
)</f>
        <v>0</v>
      </c>
      <c r="CC24" s="120">
        <f ca="1">SUMIFS(tb_rec_uni[2022-10-01],
INDIRECT("tb_rec_uni[natureza]"),"pro.soluto",
INDIRECT("tb_rec_uni[empresa]"),CC$6)</f>
        <v>0</v>
      </c>
      <c r="CD24" s="120">
        <f ca="1">SUMIFS(tb_rec_uni[2022-10-01],
INDIRECT("tb_rec_uni[natureza]"),"repasse.cef.obra",
INDIRECT("tb_rec_uni[empresa]"),CD$6)</f>
        <v>0</v>
      </c>
      <c r="CE24" s="120">
        <f ca="1">SUMIFS(tb_rec_uni[2022-10-01],
INDIRECT("tb_rec_uni[natureza]"),"repasse.cef.terreno",
INDIRECT("tb_rec_uni[empresa]"),CE$6)</f>
        <v>0</v>
      </c>
      <c r="CF24" s="120">
        <v>0</v>
      </c>
      <c r="CG24" s="120">
        <f ca="1">SUMIFS(tb_rec_uni[2022-10-01],
INDIRECT("tb_rec_uni[natureza]"),"taxa.extra",
INDIRECT("tb_rec_uni[empresa]"),CG$6)</f>
        <v>0</v>
      </c>
      <c r="CH24" s="108"/>
      <c r="CI24" s="120">
        <f ca="1">SUMIFS(
  m.vb[valor],
  m.vb[nucleo],$CB$1,
  m.vb[variavel],CI$7,
  m.vb[mes],$A24
)</f>
        <v>0</v>
      </c>
      <c r="CJ24" s="120">
        <f ca="1">SUMIFS(
  m.vb[valor],
  m.vb[nucleo],$CB$1,
  m.vb[variavel],CJ$7,
  m.vb[mes],$A24
)</f>
        <v>0</v>
      </c>
      <c r="CK24" s="120">
        <f ca="1">SUMIFS(
  m.vb[valor],
  m.vb[nucleo],$CB$1,
  m.vb[variavel],CK$7,
  m.vb[mes],$A24
)</f>
        <v>0</v>
      </c>
      <c r="CL24" s="120">
        <f ca="1">SUMIFS(
  m.vb[valor],
  m.vb[nucleo],$CB$1,
  m.vb[variavel],CL$7,
  m.vb[mes],$A24
)</f>
        <v>0</v>
      </c>
      <c r="CM24" s="121">
        <f ca="1">SUMIFS(
  m.vb[valor],
  m.vb[nucleo],$CB$1,
  m.vb[variavel],CM$7,
  m.vb[mes],$A24
)</f>
        <v>0</v>
      </c>
      <c r="CN24" s="119">
        <f>COUNTIFS(
    tb_estq[empresa], CN$6,
    tb_estq[Data da venda / reserva], "&gt;=" &amp; $A24,
    tb_estq[Data da venda / reserva], "&lt;"  &amp; EOMONTH($A24,0) + 1
)</f>
        <v>0</v>
      </c>
      <c r="CO24" s="120">
        <f ca="1">SUMIFS(tb_rec_uni[2022-10-01],
INDIRECT("tb_rec_uni[natureza]"),"pro.soluto",
INDIRECT("tb_rec_uni[empresa]"),CO$6)</f>
        <v>0</v>
      </c>
      <c r="CP24" s="120">
        <f ca="1">SUMIFS(tb_rec_uni[2022-10-01],
INDIRECT("tb_rec_uni[natureza]"),"repasse.cef.obra",
INDIRECT("tb_rec_uni[empresa]"),CP$6)</f>
        <v>0</v>
      </c>
      <c r="CQ24" s="120">
        <f ca="1">SUMIFS(tb_rec_uni[2022-10-01],
INDIRECT("tb_rec_uni[natureza]"),"repasse.cef.terreno",
INDIRECT("tb_rec_uni[empresa]"),CQ$6)</f>
        <v>0</v>
      </c>
      <c r="CR24" s="120">
        <v>0</v>
      </c>
      <c r="CS24" s="120">
        <f ca="1">SUMIFS(tb_rec_uni[2022-10-01],
INDIRECT("tb_rec_uni[natureza]"),"taxa.extra",
INDIRECT("tb_rec_uni[empresa]"),CS$6)</f>
        <v>0</v>
      </c>
      <c r="CT24" s="108"/>
      <c r="CU24" s="120">
        <f ca="1">SUMIFS(
  m.vb[valor],
  m.vb[nucleo],$CN$1,
  m.vb[variavel],CU$7,
  m.vb[mes],$A24
)</f>
        <v>0</v>
      </c>
      <c r="CV24" s="120" cm="1">
        <f t="array" ref="CV24">SUMPRODUCT(
  IFERROR(--tb_desp[valor],0)*
  (tb_desp[nucleo]="UP MOVE VILA SONIA")*
  (tb_desp[categoria]=CV$7)*
  (tb_desp[data.pagamento]&gt;=$A24)*
  (tb_desp[data.pagamento]&lt;EOMONTH($A24,0)+1)
)</f>
        <v>0</v>
      </c>
      <c r="CW24" s="120" cm="1">
        <f t="array" ref="CW24">SUMPRODUCT(
  IFERROR(--tb_desp[valor],0)*
  (tb_desp[nucleo]="UP MOVE VILA SONIA")*
  (tb_desp[categoria]=CW$7)*
  (tb_desp[data.pagamento]&gt;=$A24)*
  (tb_desp[data.pagamento]&lt;EOMONTH($A24,0)+1)
)</f>
        <v>0</v>
      </c>
      <c r="CX24" s="120" cm="1">
        <f t="array" ref="CX24">SUMPRODUCT(
  IFERROR(--tb_desp[valor],0)*
  (tb_desp[nucleo]="UP MOVE VILA SONIA")*
  (tb_desp[categoria]=CX$7)*
  (tb_desp[data.pagamento]&gt;=$A24)*
  (tb_desp[data.pagamento]&lt;EOMONTH($A24,0)+1)
)</f>
        <v>0</v>
      </c>
      <c r="CY24" s="122" cm="1">
        <f t="array" ref="CY24">SUMPRODUCT(
  IFERROR(--tb_desp[valor],0)*
  (tb_desp[nucleo]="UP MOVE VILA SONIA")*
  (tb_desp[categoria]=CY$7)*
  (tb_desp[data.pagamento]&gt;=$A24)*
  (tb_desp[data.pagamento]&lt;EOMONTH($A24,0)+1)
)</f>
        <v>0</v>
      </c>
    </row>
    <row r="25" spans="1:103" x14ac:dyDescent="0.25">
      <c r="A25" s="118">
        <v>44866</v>
      </c>
      <c r="B25" s="119">
        <f>COUNTIFS(
    tb_estq[empresa], B$6,
    tb_estq[Data da venda / reserva], "&gt;=" &amp; $A25,
    tb_estq[Data da venda / reserva], "&lt;"  &amp; EOMONTH($A25,0) + 1
)</f>
        <v>0</v>
      </c>
      <c r="C25" s="120">
        <f ca="1">SUMIFS(tb_rec_uni[2022-11-01],
INDIRECT("tb_rec_uni[natureza]"),"pro.soluto",
INDIRECT("tb_rec_uni[empresa]"),C$6)</f>
        <v>0</v>
      </c>
      <c r="D25" s="120">
        <f ca="1">SUMIFS(tb_rec_uni[2022-11-01],
INDIRECT("tb_rec_uni[natureza]"),"repasse.cef.obra",
INDIRECT("tb_rec_uni[empresa]"),D$6)</f>
        <v>0</v>
      </c>
      <c r="E25" s="120">
        <f ca="1">SUMIFS(tb_rec_uni[2022-11-01],
INDIRECT("tb_rec_uni[natureza]"),"repasse.cef.terreno",
INDIRECT("tb_rec_uni[empresa]"),E$6)</f>
        <v>0</v>
      </c>
      <c r="F25" s="120">
        <v>0</v>
      </c>
      <c r="G25" s="120">
        <f ca="1">SUMIFS(tb_rec_uni[2022-11-01],
INDIRECT("tb_rec_uni[natureza]"),"taxa.extra",
INDIRECT("tb_rec_uni[empresa]"),G$6)</f>
        <v>0</v>
      </c>
      <c r="H25" s="108"/>
      <c r="I25" s="120">
        <f ca="1">SUMIFS(
  m.vb[valor],
  m.vb[nucleo],$B$1,
  m.vb[variavel],I$7,
  m.vb[mes],$A25
)</f>
        <v>0</v>
      </c>
      <c r="J25" s="120">
        <f ca="1">SUMIFS(
  m.vb[valor],
  m.vb[nucleo],$B$1,
  m.vb[variavel],J$7,
  m.vb[mes],$A25
)</f>
        <v>0</v>
      </c>
      <c r="K25" s="120">
        <f ca="1">SUMIFS(
  m.vb[valor],
  m.vb[nucleo],$B$1,
  m.vb[variavel],K$7,
  m.vb[mes],$A25
)</f>
        <v>0</v>
      </c>
      <c r="L25" s="120">
        <f ca="1">SUMIFS(
  m.vb[valor],
  m.vb[nucleo],$B$1,
  m.vb[variavel],L$7,
  m.vb[mes],$A25
)</f>
        <v>0</v>
      </c>
      <c r="M25" s="121">
        <f ca="1">SUMIFS(
  m.vb[valor],
  m.vb[nucleo],$B$1,
  m.vb[variavel],M$7,
  m.vb[mes],$A25
)</f>
        <v>0</v>
      </c>
      <c r="N25" s="119">
        <f>COUNTIFS(
    tb_estq[empresa], N$6,
    tb_estq[Data da venda / reserva], "&gt;=" &amp; $A25,
    tb_estq[Data da venda / reserva], "&lt;"  &amp; EOMONTH($A25,0) + 1
)</f>
        <v>0</v>
      </c>
      <c r="O25" s="120">
        <f ca="1">SUMIFS(tb_rec_uni[2022-11-01],
INDIRECT("tb_rec_uni[natureza]"),"pro.soluto",
INDIRECT("tb_rec_uni[empresa]"),O$6)</f>
        <v>0</v>
      </c>
      <c r="P25" s="120">
        <f ca="1">SUMIFS(tb_rec_uni[2022-11-01],
INDIRECT("tb_rec_uni[natureza]"),"repasse.cef.obra",
INDIRECT("tb_rec_uni[empresa]"),P$6)</f>
        <v>0</v>
      </c>
      <c r="Q25" s="120">
        <f ca="1">SUMIFS(tb_rec_uni[2022-11-01],
INDIRECT("tb_rec_uni[natureza]"),"repasse.cef.terreno",
INDIRECT("tb_rec_uni[empresa]"),Q$6)</f>
        <v>0</v>
      </c>
      <c r="R25" s="120">
        <v>0</v>
      </c>
      <c r="S25" s="120">
        <f ca="1">SUMIFS(tb_rec_uni[2022-11-01],
INDIRECT("tb_rec_uni[natureza]"),"taxa.extra",
INDIRECT("tb_rec_uni[empresa]"),S$6)</f>
        <v>0</v>
      </c>
      <c r="T25" s="108"/>
      <c r="U25" s="120">
        <f ca="1">SUMIFS(
  m.vb[valor],
  m.vb[nucleo],$N$1,
  m.vb[variavel],U$7,
  m.vb[mes],$A25
)</f>
        <v>0</v>
      </c>
      <c r="V25" s="120">
        <f ca="1">SUMIFS(
  m.vb[valor],
  m.vb[nucleo],$N$1,
  m.vb[variavel],V$7,
  m.vb[mes],$A25
)</f>
        <v>0</v>
      </c>
      <c r="W25" s="120">
        <f ca="1">SUMIFS(
  m.vb[valor],
  m.vb[nucleo],$N$1,
  m.vb[variavel],W$7,
  m.vb[mes],$A25
)</f>
        <v>0</v>
      </c>
      <c r="X25" s="120">
        <f ca="1">SUMIFS(
  m.vb[valor],
  m.vb[nucleo],$N$1,
  m.vb[variavel],X$7,
  m.vb[mes],$A25
)</f>
        <v>0</v>
      </c>
      <c r="Y25" s="121">
        <f ca="1">SUMIFS(
  m.vb[valor],
  m.vb[nucleo],$N$1,
  m.vb[variavel],Y$7,
  m.vb[mes],$A25
)</f>
        <v>0</v>
      </c>
      <c r="Z25" s="119">
        <f>COUNTIFS(
    tb_estq[empresa], Z$6,
    tb_estq[Data da venda / reserva], "&gt;=" &amp; $A25,
    tb_estq[Data da venda / reserva], "&lt;"  &amp; EOMONTH($A25,0) + 1
)</f>
        <v>0</v>
      </c>
      <c r="AA25" s="120">
        <f ca="1">SUMIFS(tb_rec_uni[2022-11-01],
INDIRECT("tb_rec_uni[natureza]"),"pro.soluto",
INDIRECT("tb_rec_uni[empresa]"),AA$6)</f>
        <v>0</v>
      </c>
      <c r="AB25" s="120">
        <f ca="1">SUMIFS(tb_rec_uni[2022-11-01],
INDIRECT("tb_rec_uni[natureza]"),"parcela.fin.total.ik",
INDIRECT("tb_rec_uni[empresa]"),AB$6)</f>
        <v>0</v>
      </c>
      <c r="AC25" s="120">
        <f ca="1">SUMIFS(tb_rec_uni[2022-11-01],
INDIRECT("tb_rec_uni[natureza]"),"taxa.extra",
INDIRECT("tb_rec_uni[empresa]"),AC$6)</f>
        <v>0</v>
      </c>
      <c r="AD25" s="108"/>
      <c r="AE25" s="120">
        <f ca="1">SUMIFS(
  m.vb[valor],
  m.vb[nucleo],$Z$1,
  m.vb[variavel],AE$7,
  m.vb[mes],$A25
)</f>
        <v>0</v>
      </c>
      <c r="AF25" s="120">
        <f ca="1">SUMIFS(
  m.vb[valor],
  m.vb[nucleo],$Z$1,
  m.vb[variavel],AF$7,
  m.vb[mes],$A25
)</f>
        <v>0</v>
      </c>
      <c r="AG25" s="120">
        <f ca="1">SUMIFS(
  m.vb[valor],
  m.vb[nucleo],$Z$1,
  m.vb[variavel],AG$7,
  m.vb[mes],$A25
)</f>
        <v>0</v>
      </c>
      <c r="AH25" s="120">
        <f ca="1">SUMIFS(
  m.vb[valor],
  m.vb[nucleo],$Z$1,
  m.vb[variavel],AH$7,
  m.vb[mes],$A25
)</f>
        <v>0</v>
      </c>
      <c r="AI25" s="121">
        <f ca="1">SUMIFS(
  m.vb[valor],
  m.vb[nucleo],$Z$1,
  m.vb[variavel],AI$7,
  m.vb[mes],$A25
)</f>
        <v>0</v>
      </c>
      <c r="AJ25" s="119">
        <f>COUNTIFS(
    tb_estq[empresa], AJ$6,
    tb_estq[Data da venda / reserva], "&gt;=" &amp; $A25,
    tb_estq[Data da venda / reserva], "&lt;"  &amp; EOMONTH($A25,0) + 1
)</f>
        <v>0</v>
      </c>
      <c r="AK25" s="120">
        <f ca="1">SUMIFS(tb_rec_uni[2022-11-01],
INDIRECT("tb_rec_uni[natureza]"),"pro.soluto",
INDIRECT("tb_rec_uni[empresa]"),AK$6)</f>
        <v>0</v>
      </c>
      <c r="AL25" s="120">
        <f ca="1">SUMIFS(tb_rec_uni[2022-11-01],
INDIRECT("tb_rec_uni[natureza]"),"repasse.cef.obra",
INDIRECT("tb_rec_uni[empresa]"),AL$6)</f>
        <v>0</v>
      </c>
      <c r="AM25" s="120">
        <f ca="1">SUMIFS(tb_rec_uni[2022-11-01],
INDIRECT("tb_rec_uni[natureza]"),"repasse.cef.terreno",
INDIRECT("tb_rec_uni[empresa]"),AM$6)</f>
        <v>0</v>
      </c>
      <c r="AN25" s="120">
        <v>0</v>
      </c>
      <c r="AO25" s="120">
        <f ca="1">SUMIFS(tb_rec_uni[2022-11-01],
INDIRECT("tb_rec_uni[natureza]"),"taxa.extra",
INDIRECT("tb_rec_uni[empresa]"),AO$6)</f>
        <v>0</v>
      </c>
      <c r="AP25" s="108"/>
      <c r="AQ25" s="120">
        <f ca="1">SUMIFS(
  m.vb[valor],
  m.vb[nucleo],$AJ$1,
  m.vb[variavel],AQ$7,
  m.vb[mes],$A25
)</f>
        <v>0</v>
      </c>
      <c r="AR25" s="120">
        <f ca="1">SUMIFS(
  m.vb[valor],
  m.vb[nucleo],$AJ$1,
  m.vb[variavel],AR$7,
  m.vb[mes],$A25
)</f>
        <v>0</v>
      </c>
      <c r="AS25" s="120">
        <f ca="1">SUMIFS(
  m.vb[valor],
  m.vb[nucleo],$AJ$1,
  m.vb[variavel],AS$7,
  m.vb[mes],$A25
)</f>
        <v>0</v>
      </c>
      <c r="AT25" s="120">
        <f ca="1">SUMIFS(
  m.vb[valor],
  m.vb[nucleo],$AJ$1,
  m.vb[variavel],AT$7,
  m.vb[mes],$A25
)</f>
        <v>0</v>
      </c>
      <c r="AU25" s="121">
        <f ca="1">SUMIFS(
  m.vb[valor],
  m.vb[nucleo],$AJ$1,
  m.vb[variavel],AU$7,
  m.vb[mes],$A25
)</f>
        <v>0</v>
      </c>
      <c r="AV25" s="119">
        <f>COUNTIFS(
    tb_estq[empresa], AV$6,
    tb_estq[Data da venda / reserva], "&gt;=" &amp; $A25,
    tb_estq[Data da venda / reserva], "&lt;"  &amp; EOMONTH($A25,0) + 1
)</f>
        <v>0</v>
      </c>
      <c r="AW25" s="120">
        <f ca="1">SUMIFS(tb_rec_uni[2022-11-01],
INDIRECT("tb_rec_uni[natureza]"),"pro.soluto",
INDIRECT("tb_rec_uni[empresa]"),AW$6)</f>
        <v>0</v>
      </c>
      <c r="AX25" s="120">
        <f ca="1">SUMIFS(tb_rec_uni[2022-11-01],
INDIRECT("tb_rec_uni[natureza]"),"repasse.cef.obra",
INDIRECT("tb_rec_uni[empresa]"),AX$6)</f>
        <v>0</v>
      </c>
      <c r="AY25" s="120">
        <f ca="1">SUMIFS(tb_rec_uni[2022-11-01],
INDIRECT("tb_rec_uni[natureza]"),"repasse.cef.terreno",
INDIRECT("tb_rec_uni[empresa]"),AY$6)</f>
        <v>0</v>
      </c>
      <c r="AZ25" s="120">
        <v>0</v>
      </c>
      <c r="BA25" s="120">
        <f ca="1">SUMIFS(tb_rec_uni[2022-11-01],
INDIRECT("tb_rec_uni[natureza]"),"taxa.extra",
INDIRECT("tb_rec_uni[empresa]"),BA$6)</f>
        <v>0</v>
      </c>
      <c r="BB25" s="108"/>
      <c r="BC25" s="120">
        <f ca="1">SUMIFS(
  m.vb[valor],
  m.vb[nucleo],$AV$1,
  m.vb[variavel],BC$7,
  m.vb[mes],$A25
)</f>
        <v>0</v>
      </c>
      <c r="BD25" s="120">
        <f ca="1">SUMIFS(
  m.vb[valor],
  m.vb[nucleo],$AV$1,
  m.vb[variavel],BD$7,
  m.vb[mes],$A25
)</f>
        <v>0</v>
      </c>
      <c r="BE25" s="120">
        <f ca="1">SUMIFS(
  m.vb[valor],
  m.vb[nucleo],$AV$1,
  m.vb[variavel],BE$7,
  m.vb[mes],$A25
)</f>
        <v>0</v>
      </c>
      <c r="BF25" s="120">
        <f ca="1">SUMIFS(
  m.vb[valor],
  m.vb[nucleo],$AV$1,
  m.vb[variavel],BF$7,
  m.vb[mes],$A25
)</f>
        <v>0</v>
      </c>
      <c r="BG25" s="121">
        <f ca="1">SUMIFS(
  m.vb[valor],
  m.vb[nucleo],$AV$1,
  m.vb[variavel],BG$7,
  m.vb[mes],$A25
)</f>
        <v>0</v>
      </c>
      <c r="BH25" s="119">
        <f>COUNTIFS(
    tb_estq[empresa], BH$6,
    tb_estq[Data da venda / reserva], "&gt;=" &amp; $A25,
    tb_estq[Data da venda / reserva], "&lt;"  &amp; EOMONTH($A25,0) + 1
)</f>
        <v>0</v>
      </c>
      <c r="BI25" s="120">
        <f ca="1">SUMIFS(tb_rec_uni[2022-11-01],
INDIRECT("tb_rec_uni[natureza]"),"pro.soluto",
INDIRECT("tb_rec_uni[empresa]"),BI$6)</f>
        <v>0</v>
      </c>
      <c r="BJ25" s="108">
        <v>0</v>
      </c>
      <c r="BK25" s="120">
        <f ca="1">SUMIFS(tb_rec_uni[2022-11-01],
INDIRECT("tb_rec_uni[natureza]"),"taxa.extra",
INDIRECT("tb_rec_uni[empresa]"),BK$6)</f>
        <v>0</v>
      </c>
      <c r="BL25" s="108"/>
      <c r="BM25" s="120">
        <f ca="1">SUMIFS(
  m.vb[valor],
  m.vb[nucleo],$BH$1,
  m.vb[variavel],BM$7,
  m.vb[mes],$A25
)</f>
        <v>0</v>
      </c>
      <c r="BN25" s="120">
        <f ca="1">SUMIFS(
  m.vb[valor],
  m.vb[nucleo],$BH$1,
  m.vb[variavel],BN$7,
  m.vb[mes],$A25
)</f>
        <v>0</v>
      </c>
      <c r="BO25" s="120">
        <f ca="1">SUMIFS(
  m.vb[valor],
  m.vb[nucleo],$BH$1,
  m.vb[variavel],BO$7,
  m.vb[mes],$A25
)</f>
        <v>0</v>
      </c>
      <c r="BP25" s="120">
        <f ca="1">SUMIFS(
  m.vb[valor],
  m.vb[nucleo],$BH$1,
  m.vb[variavel],BP$7,
  m.vb[mes],$A25
)</f>
        <v>0</v>
      </c>
      <c r="BQ25" s="121">
        <f ca="1">SUMIFS(
  m.vb[valor],
  m.vb[nucleo],$BH$1,
  m.vb[variavel],BQ$7,
  m.vb[mes],$A25
)</f>
        <v>0</v>
      </c>
      <c r="BR25" s="119">
        <f>COUNTIFS(
    tb_estq[empresa], BR$6,
    tb_estq[Data da venda / reserva], "&gt;=" &amp; $A25,
    tb_estq[Data da venda / reserva], "&lt;"  &amp; EOMONTH($A25,0) + 1
)</f>
        <v>0</v>
      </c>
      <c r="BS25" s="120">
        <f ca="1">SUMIFS(tb_rec_uni[2022-11-01],
INDIRECT("tb_rec_uni[natureza]"),"pro.soluto",
INDIRECT("tb_rec_uni[empresa]"),BS$6)</f>
        <v>0</v>
      </c>
      <c r="BT25" s="120">
        <f ca="1">SUMIFS(tb_rec_uni[2022-11-01],
INDIRECT("tb_rec_uni[natureza]"),"parcela.fin.total.ik",
INDIRECT("tb_rec_uni[empresa]"),BT$6)</f>
        <v>0</v>
      </c>
      <c r="BU25" s="120">
        <f ca="1">SUMIFS(tb_rec_uni[2022-11-01],
INDIRECT("tb_rec_uni[natureza]"),"taxa.extra",
INDIRECT("tb_rec_uni[empresa]"),BU$6)</f>
        <v>0</v>
      </c>
      <c r="BV25" s="108"/>
      <c r="BW25" s="120">
        <f ca="1">SUMIFS(
  m.vb[valor],
  m.vb[nucleo],$BR$1,
  m.vb[variavel],BW$7,
  m.vb[mes],$A25
)</f>
        <v>0</v>
      </c>
      <c r="BX25" s="120">
        <f ca="1">SUMIFS(
  m.vb[valor],
  m.vb[nucleo],$BR$1,
  m.vb[variavel],BX$7,
  m.vb[mes],$A25
)</f>
        <v>0</v>
      </c>
      <c r="BY25" s="120">
        <f ca="1">SUMIFS(
  m.vb[valor],
  m.vb[nucleo],$BR$1,
  m.vb[variavel],BY$7,
  m.vb[mes],$A25
)</f>
        <v>0</v>
      </c>
      <c r="BZ25" s="120">
        <f ca="1">SUMIFS(
  m.vb[valor],
  m.vb[nucleo],$BR$1,
  m.vb[variavel],BZ$7,
  m.vb[mes],$A25
)</f>
        <v>0</v>
      </c>
      <c r="CA25" s="121">
        <f ca="1">SUMIFS(
  m.vb[valor],
  m.vb[nucleo],$BR$1,
  m.vb[variavel],CA$7,
  m.vb[mes],$A25
)</f>
        <v>0</v>
      </c>
      <c r="CB25" s="119">
        <f>COUNTIFS(
    tb_estq[empresa], CB$6,
    tb_estq[Data da venda / reserva], "&gt;=" &amp; $A25,
    tb_estq[Data da venda / reserva], "&lt;"  &amp; EOMONTH($A25,0) + 1
)</f>
        <v>0</v>
      </c>
      <c r="CC25" s="120">
        <f ca="1">SUMIFS(tb_rec_uni[2022-11-01],
INDIRECT("tb_rec_uni[natureza]"),"pro.soluto",
INDIRECT("tb_rec_uni[empresa]"),CC$6)</f>
        <v>0</v>
      </c>
      <c r="CD25" s="120">
        <f ca="1">SUMIFS(tb_rec_uni[2022-11-01],
INDIRECT("tb_rec_uni[natureza]"),"repasse.cef.obra",
INDIRECT("tb_rec_uni[empresa]"),CD$6)</f>
        <v>0</v>
      </c>
      <c r="CE25" s="120">
        <f ca="1">SUMIFS(tb_rec_uni[2022-11-01],
INDIRECT("tb_rec_uni[natureza]"),"repasse.cef.terreno",
INDIRECT("tb_rec_uni[empresa]"),CE$6)</f>
        <v>0</v>
      </c>
      <c r="CF25" s="120">
        <v>0</v>
      </c>
      <c r="CG25" s="120">
        <f ca="1">SUMIFS(tb_rec_uni[2022-11-01],
INDIRECT("tb_rec_uni[natureza]"),"taxa.extra",
INDIRECT("tb_rec_uni[empresa]"),CG$6)</f>
        <v>0</v>
      </c>
      <c r="CH25" s="108"/>
      <c r="CI25" s="120">
        <f ca="1">SUMIFS(
  m.vb[valor],
  m.vb[nucleo],$CB$1,
  m.vb[variavel],CI$7,
  m.vb[mes],$A25
)</f>
        <v>0</v>
      </c>
      <c r="CJ25" s="120">
        <f ca="1">SUMIFS(
  m.vb[valor],
  m.vb[nucleo],$CB$1,
  m.vb[variavel],CJ$7,
  m.vb[mes],$A25
)</f>
        <v>0</v>
      </c>
      <c r="CK25" s="120">
        <f ca="1">SUMIFS(
  m.vb[valor],
  m.vb[nucleo],$CB$1,
  m.vb[variavel],CK$7,
  m.vb[mes],$A25
)</f>
        <v>0</v>
      </c>
      <c r="CL25" s="120">
        <f ca="1">SUMIFS(
  m.vb[valor],
  m.vb[nucleo],$CB$1,
  m.vb[variavel],CL$7,
  m.vb[mes],$A25
)</f>
        <v>0</v>
      </c>
      <c r="CM25" s="121">
        <f ca="1">SUMIFS(
  m.vb[valor],
  m.vb[nucleo],$CB$1,
  m.vb[variavel],CM$7,
  m.vb[mes],$A25
)</f>
        <v>0</v>
      </c>
      <c r="CN25" s="119">
        <f>COUNTIFS(
    tb_estq[empresa], CN$6,
    tb_estq[Data da venda / reserva], "&gt;=" &amp; $A25,
    tb_estq[Data da venda / reserva], "&lt;"  &amp; EOMONTH($A25,0) + 1
)</f>
        <v>0</v>
      </c>
      <c r="CO25" s="120">
        <f ca="1">SUMIFS(tb_rec_uni[2022-11-01],
INDIRECT("tb_rec_uni[natureza]"),"pro.soluto",
INDIRECT("tb_rec_uni[empresa]"),CO$6)</f>
        <v>0</v>
      </c>
      <c r="CP25" s="120">
        <f ca="1">SUMIFS(tb_rec_uni[2022-11-01],
INDIRECT("tb_rec_uni[natureza]"),"repasse.cef.obra",
INDIRECT("tb_rec_uni[empresa]"),CP$6)</f>
        <v>0</v>
      </c>
      <c r="CQ25" s="120">
        <f ca="1">SUMIFS(tb_rec_uni[2022-11-01],
INDIRECT("tb_rec_uni[natureza]"),"repasse.cef.terreno",
INDIRECT("tb_rec_uni[empresa]"),CQ$6)</f>
        <v>0</v>
      </c>
      <c r="CR25" s="120">
        <v>0</v>
      </c>
      <c r="CS25" s="120">
        <f ca="1">SUMIFS(tb_rec_uni[2022-11-01],
INDIRECT("tb_rec_uni[natureza]"),"taxa.extra",
INDIRECT("tb_rec_uni[empresa]"),CS$6)</f>
        <v>0</v>
      </c>
      <c r="CT25" s="108"/>
      <c r="CU25" s="120">
        <f ca="1">SUMIFS(
  m.vb[valor],
  m.vb[nucleo],$CN$1,
  m.vb[variavel],CU$7,
  m.vb[mes],$A25
)</f>
        <v>0</v>
      </c>
      <c r="CV25" s="120" cm="1">
        <f t="array" ref="CV25">SUMPRODUCT(
  IFERROR(--tb_desp[valor],0)*
  (tb_desp[nucleo]="UP MOVE VILA SONIA")*
  (tb_desp[categoria]=CV$7)*
  (tb_desp[data.pagamento]&gt;=$A25)*
  (tb_desp[data.pagamento]&lt;EOMONTH($A25,0)+1)
)</f>
        <v>0</v>
      </c>
      <c r="CW25" s="120" cm="1">
        <f t="array" ref="CW25">SUMPRODUCT(
  IFERROR(--tb_desp[valor],0)*
  (tb_desp[nucleo]="UP MOVE VILA SONIA")*
  (tb_desp[categoria]=CW$7)*
  (tb_desp[data.pagamento]&gt;=$A25)*
  (tb_desp[data.pagamento]&lt;EOMONTH($A25,0)+1)
)</f>
        <v>0</v>
      </c>
      <c r="CX25" s="120" cm="1">
        <f t="array" ref="CX25">SUMPRODUCT(
  IFERROR(--tb_desp[valor],0)*
  (tb_desp[nucleo]="UP MOVE VILA SONIA")*
  (tb_desp[categoria]=CX$7)*
  (tb_desp[data.pagamento]&gt;=$A25)*
  (tb_desp[data.pagamento]&lt;EOMONTH($A25,0)+1)
)</f>
        <v>0</v>
      </c>
      <c r="CY25" s="122" cm="1">
        <f t="array" ref="CY25">SUMPRODUCT(
  IFERROR(--tb_desp[valor],0)*
  (tb_desp[nucleo]="UP MOVE VILA SONIA")*
  (tb_desp[categoria]=CY$7)*
  (tb_desp[data.pagamento]&gt;=$A25)*
  (tb_desp[data.pagamento]&lt;EOMONTH($A25,0)+1)
)</f>
        <v>0</v>
      </c>
    </row>
    <row r="26" spans="1:103" x14ac:dyDescent="0.25">
      <c r="A26" s="118">
        <v>44896</v>
      </c>
      <c r="B26" s="119">
        <f>COUNTIFS(
    tb_estq[empresa], B$6,
    tb_estq[Data da venda / reserva], "&gt;=" &amp; $A26,
    tb_estq[Data da venda / reserva], "&lt;"  &amp; EOMONTH($A26,0) + 1
)</f>
        <v>0</v>
      </c>
      <c r="C26" s="120">
        <f ca="1">SUMIFS(tb_rec_uni[2022-12-01],
INDIRECT("tb_rec_uni[natureza]"),"pro.soluto",
INDIRECT("tb_rec_uni[empresa]"),C$6)</f>
        <v>0</v>
      </c>
      <c r="D26" s="120">
        <f ca="1">SUMIFS(tb_rec_uni[2022-12-01],
INDIRECT("tb_rec_uni[natureza]"),"repasse.cef.obra",
INDIRECT("tb_rec_uni[empresa]"),D$6)</f>
        <v>0</v>
      </c>
      <c r="E26" s="120">
        <f ca="1">SUMIFS(tb_rec_uni[2022-12-01],
INDIRECT("tb_rec_uni[natureza]"),"repasse.cef.terreno",
INDIRECT("tb_rec_uni[empresa]"),E$6)</f>
        <v>0</v>
      </c>
      <c r="F26" s="120">
        <v>0</v>
      </c>
      <c r="G26" s="120">
        <f ca="1">SUMIFS(tb_rec_uni[2022-12-01],
INDIRECT("tb_rec_uni[natureza]"),"taxa.extra",
INDIRECT("tb_rec_uni[empresa]"),G$6)</f>
        <v>0</v>
      </c>
      <c r="H26" s="108"/>
      <c r="I26" s="120">
        <f ca="1">SUMIFS(
  m.vb[valor],
  m.vb[nucleo],$B$1,
  m.vb[variavel],I$7,
  m.vb[mes],$A26
)</f>
        <v>0</v>
      </c>
      <c r="J26" s="120">
        <f ca="1">SUMIFS(
  m.vb[valor],
  m.vb[nucleo],$B$1,
  m.vb[variavel],J$7,
  m.vb[mes],$A26
)</f>
        <v>0</v>
      </c>
      <c r="K26" s="120">
        <f ca="1">SUMIFS(
  m.vb[valor],
  m.vb[nucleo],$B$1,
  m.vb[variavel],K$7,
  m.vb[mes],$A26
)</f>
        <v>0</v>
      </c>
      <c r="L26" s="120">
        <f ca="1">SUMIFS(
  m.vb[valor],
  m.vb[nucleo],$B$1,
  m.vb[variavel],L$7,
  m.vb[mes],$A26
)</f>
        <v>0</v>
      </c>
      <c r="M26" s="121">
        <f ca="1">SUMIFS(
  m.vb[valor],
  m.vb[nucleo],$B$1,
  m.vb[variavel],M$7,
  m.vb[mes],$A26
)</f>
        <v>0</v>
      </c>
      <c r="N26" s="119">
        <f>COUNTIFS(
    tb_estq[empresa], N$6,
    tb_estq[Data da venda / reserva], "&gt;=" &amp; $A26,
    tb_estq[Data da venda / reserva], "&lt;"  &amp; EOMONTH($A26,0) + 1
)</f>
        <v>0</v>
      </c>
      <c r="O26" s="120">
        <f ca="1">SUMIFS(tb_rec_uni[2022-12-01],
INDIRECT("tb_rec_uni[natureza]"),"pro.soluto",
INDIRECT("tb_rec_uni[empresa]"),O$6)</f>
        <v>0</v>
      </c>
      <c r="P26" s="120">
        <f ca="1">SUMIFS(tb_rec_uni[2022-12-01],
INDIRECT("tb_rec_uni[natureza]"),"repasse.cef.obra",
INDIRECT("tb_rec_uni[empresa]"),P$6)</f>
        <v>0</v>
      </c>
      <c r="Q26" s="120">
        <f ca="1">SUMIFS(tb_rec_uni[2022-12-01],
INDIRECT("tb_rec_uni[natureza]"),"repasse.cef.terreno",
INDIRECT("tb_rec_uni[empresa]"),Q$6)</f>
        <v>0</v>
      </c>
      <c r="R26" s="120">
        <v>0</v>
      </c>
      <c r="S26" s="120">
        <f ca="1">SUMIFS(tb_rec_uni[2022-12-01],
INDIRECT("tb_rec_uni[natureza]"),"taxa.extra",
INDIRECT("tb_rec_uni[empresa]"),S$6)</f>
        <v>0</v>
      </c>
      <c r="T26" s="108"/>
      <c r="U26" s="120">
        <f ca="1">SUMIFS(
  m.vb[valor],
  m.vb[nucleo],$N$1,
  m.vb[variavel],U$7,
  m.vb[mes],$A26
)</f>
        <v>0</v>
      </c>
      <c r="V26" s="120">
        <f ca="1">SUMIFS(
  m.vb[valor],
  m.vb[nucleo],$N$1,
  m.vb[variavel],V$7,
  m.vb[mes],$A26
)</f>
        <v>0</v>
      </c>
      <c r="W26" s="120">
        <f ca="1">SUMIFS(
  m.vb[valor],
  m.vb[nucleo],$N$1,
  m.vb[variavel],W$7,
  m.vb[mes],$A26
)</f>
        <v>0</v>
      </c>
      <c r="X26" s="120">
        <f ca="1">SUMIFS(
  m.vb[valor],
  m.vb[nucleo],$N$1,
  m.vb[variavel],X$7,
  m.vb[mes],$A26
)</f>
        <v>0</v>
      </c>
      <c r="Y26" s="121">
        <f ca="1">SUMIFS(
  m.vb[valor],
  m.vb[nucleo],$N$1,
  m.vb[variavel],Y$7,
  m.vb[mes],$A26
)</f>
        <v>0</v>
      </c>
      <c r="Z26" s="119">
        <f>COUNTIFS(
    tb_estq[empresa], Z$6,
    tb_estq[Data da venda / reserva], "&gt;=" &amp; $A26,
    tb_estq[Data da venda / reserva], "&lt;"  &amp; EOMONTH($A26,0) + 1
)</f>
        <v>0</v>
      </c>
      <c r="AA26" s="120">
        <f ca="1">SUMIFS(tb_rec_uni[2022-12-01],
INDIRECT("tb_rec_uni[natureza]"),"pro.soluto",
INDIRECT("tb_rec_uni[empresa]"),AA$6)</f>
        <v>0</v>
      </c>
      <c r="AB26" s="120">
        <f ca="1">SUMIFS(tb_rec_uni[2022-12-01],
INDIRECT("tb_rec_uni[natureza]"),"parcela.fin.total.ik",
INDIRECT("tb_rec_uni[empresa]"),AB$6)</f>
        <v>0</v>
      </c>
      <c r="AC26" s="120">
        <f ca="1">SUMIFS(tb_rec_uni[2022-12-01],
INDIRECT("tb_rec_uni[natureza]"),"taxa.extra",
INDIRECT("tb_rec_uni[empresa]"),AC$6)</f>
        <v>0</v>
      </c>
      <c r="AD26" s="108"/>
      <c r="AE26" s="120">
        <f ca="1">SUMIFS(
  m.vb[valor],
  m.vb[nucleo],$Z$1,
  m.vb[variavel],AE$7,
  m.vb[mes],$A26
)</f>
        <v>0</v>
      </c>
      <c r="AF26" s="120">
        <f ca="1">SUMIFS(
  m.vb[valor],
  m.vb[nucleo],$Z$1,
  m.vb[variavel],AF$7,
  m.vb[mes],$A26
)</f>
        <v>0</v>
      </c>
      <c r="AG26" s="120">
        <f ca="1">SUMIFS(
  m.vb[valor],
  m.vb[nucleo],$Z$1,
  m.vb[variavel],AG$7,
  m.vb[mes],$A26
)</f>
        <v>0</v>
      </c>
      <c r="AH26" s="120">
        <f ca="1">SUMIFS(
  m.vb[valor],
  m.vb[nucleo],$Z$1,
  m.vb[variavel],AH$7,
  m.vb[mes],$A26
)</f>
        <v>0</v>
      </c>
      <c r="AI26" s="121">
        <f ca="1">SUMIFS(
  m.vb[valor],
  m.vb[nucleo],$Z$1,
  m.vb[variavel],AI$7,
  m.vb[mes],$A26
)</f>
        <v>0</v>
      </c>
      <c r="AJ26" s="119">
        <f>COUNTIFS(
    tb_estq[empresa], AJ$6,
    tb_estq[Data da venda / reserva], "&gt;=" &amp; $A26,
    tb_estq[Data da venda / reserva], "&lt;"  &amp; EOMONTH($A26,0) + 1
)</f>
        <v>0</v>
      </c>
      <c r="AK26" s="120">
        <f ca="1">SUMIFS(tb_rec_uni[2022-12-01],
INDIRECT("tb_rec_uni[natureza]"),"pro.soluto",
INDIRECT("tb_rec_uni[empresa]"),AK$6)</f>
        <v>0</v>
      </c>
      <c r="AL26" s="120">
        <f ca="1">SUMIFS(tb_rec_uni[2022-12-01],
INDIRECT("tb_rec_uni[natureza]"),"repasse.cef.obra",
INDIRECT("tb_rec_uni[empresa]"),AL$6)</f>
        <v>0</v>
      </c>
      <c r="AM26" s="120">
        <f ca="1">SUMIFS(tb_rec_uni[2022-12-01],
INDIRECT("tb_rec_uni[natureza]"),"repasse.cef.terreno",
INDIRECT("tb_rec_uni[empresa]"),AM$6)</f>
        <v>0</v>
      </c>
      <c r="AN26" s="120">
        <v>0</v>
      </c>
      <c r="AO26" s="120">
        <f ca="1">SUMIFS(tb_rec_uni[2022-12-01],
INDIRECT("tb_rec_uni[natureza]"),"taxa.extra",
INDIRECT("tb_rec_uni[empresa]"),AO$6)</f>
        <v>0</v>
      </c>
      <c r="AP26" s="108"/>
      <c r="AQ26" s="120">
        <f ca="1">SUMIFS(
  m.vb[valor],
  m.vb[nucleo],$AJ$1,
  m.vb[variavel],AQ$7,
  m.vb[mes],$A26
)</f>
        <v>0</v>
      </c>
      <c r="AR26" s="120">
        <f ca="1">SUMIFS(
  m.vb[valor],
  m.vb[nucleo],$AJ$1,
  m.vb[variavel],AR$7,
  m.vb[mes],$A26
)</f>
        <v>0</v>
      </c>
      <c r="AS26" s="120">
        <f ca="1">SUMIFS(
  m.vb[valor],
  m.vb[nucleo],$AJ$1,
  m.vb[variavel],AS$7,
  m.vb[mes],$A26
)</f>
        <v>0</v>
      </c>
      <c r="AT26" s="120">
        <f ca="1">SUMIFS(
  m.vb[valor],
  m.vb[nucleo],$AJ$1,
  m.vb[variavel],AT$7,
  m.vb[mes],$A26
)</f>
        <v>0</v>
      </c>
      <c r="AU26" s="121">
        <f ca="1">SUMIFS(
  m.vb[valor],
  m.vb[nucleo],$AJ$1,
  m.vb[variavel],AU$7,
  m.vb[mes],$A26
)</f>
        <v>0</v>
      </c>
      <c r="AV26" s="119">
        <f>COUNTIFS(
    tb_estq[empresa], AV$6,
    tb_estq[Data da venda / reserva], "&gt;=" &amp; $A26,
    tb_estq[Data da venda / reserva], "&lt;"  &amp; EOMONTH($A26,0) + 1
)</f>
        <v>0</v>
      </c>
      <c r="AW26" s="120">
        <f ca="1">SUMIFS(tb_rec_uni[2022-12-01],
INDIRECT("tb_rec_uni[natureza]"),"pro.soluto",
INDIRECT("tb_rec_uni[empresa]"),AW$6)</f>
        <v>0</v>
      </c>
      <c r="AX26" s="120">
        <f ca="1">SUMIFS(tb_rec_uni[2022-12-01],
INDIRECT("tb_rec_uni[natureza]"),"repasse.cef.obra",
INDIRECT("tb_rec_uni[empresa]"),AX$6)</f>
        <v>0</v>
      </c>
      <c r="AY26" s="120">
        <f ca="1">SUMIFS(tb_rec_uni[2022-12-01],
INDIRECT("tb_rec_uni[natureza]"),"repasse.cef.terreno",
INDIRECT("tb_rec_uni[empresa]"),AY$6)</f>
        <v>0</v>
      </c>
      <c r="AZ26" s="120">
        <v>0</v>
      </c>
      <c r="BA26" s="120">
        <f ca="1">SUMIFS(tb_rec_uni[2022-12-01],
INDIRECT("tb_rec_uni[natureza]"),"taxa.extra",
INDIRECT("tb_rec_uni[empresa]"),BA$6)</f>
        <v>0</v>
      </c>
      <c r="BB26" s="108"/>
      <c r="BC26" s="120">
        <f ca="1">SUMIFS(
  m.vb[valor],
  m.vb[nucleo],$AV$1,
  m.vb[variavel],BC$7,
  m.vb[mes],$A26
)</f>
        <v>0</v>
      </c>
      <c r="BD26" s="120">
        <f ca="1">SUMIFS(
  m.vb[valor],
  m.vb[nucleo],$AV$1,
  m.vb[variavel],BD$7,
  m.vb[mes],$A26
)</f>
        <v>0</v>
      </c>
      <c r="BE26" s="120">
        <f ca="1">SUMIFS(
  m.vb[valor],
  m.vb[nucleo],$AV$1,
  m.vb[variavel],BE$7,
  m.vb[mes],$A26
)</f>
        <v>0</v>
      </c>
      <c r="BF26" s="120">
        <f ca="1">SUMIFS(
  m.vb[valor],
  m.vb[nucleo],$AV$1,
  m.vb[variavel],BF$7,
  m.vb[mes],$A26
)</f>
        <v>0</v>
      </c>
      <c r="BG26" s="121">
        <f ca="1">SUMIFS(
  m.vb[valor],
  m.vb[nucleo],$AV$1,
  m.vb[variavel],BG$7,
  m.vb[mes],$A26
)</f>
        <v>0</v>
      </c>
      <c r="BH26" s="119">
        <f>COUNTIFS(
    tb_estq[empresa], BH$6,
    tb_estq[Data da venda / reserva], "&gt;=" &amp; $A26,
    tb_estq[Data da venda / reserva], "&lt;"  &amp; EOMONTH($A26,0) + 1
)</f>
        <v>0</v>
      </c>
      <c r="BI26" s="120">
        <f ca="1">SUMIFS(tb_rec_uni[2022-12-01],
INDIRECT("tb_rec_uni[natureza]"),"pro.soluto",
INDIRECT("tb_rec_uni[empresa]"),BI$6)</f>
        <v>0</v>
      </c>
      <c r="BJ26" s="108">
        <v>0</v>
      </c>
      <c r="BK26" s="120">
        <f ca="1">SUMIFS(tb_rec_uni[2022-12-01],
INDIRECT("tb_rec_uni[natureza]"),"taxa.extra",
INDIRECT("tb_rec_uni[empresa]"),BK$6)</f>
        <v>0</v>
      </c>
      <c r="BL26" s="108"/>
      <c r="BM26" s="120">
        <f ca="1">SUMIFS(
  m.vb[valor],
  m.vb[nucleo],$BH$1,
  m.vb[variavel],BM$7,
  m.vb[mes],$A26
)</f>
        <v>0</v>
      </c>
      <c r="BN26" s="120">
        <f ca="1">SUMIFS(
  m.vb[valor],
  m.vb[nucleo],$BH$1,
  m.vb[variavel],BN$7,
  m.vb[mes],$A26
)</f>
        <v>0</v>
      </c>
      <c r="BO26" s="120">
        <f ca="1">SUMIFS(
  m.vb[valor],
  m.vb[nucleo],$BH$1,
  m.vb[variavel],BO$7,
  m.vb[mes],$A26
)</f>
        <v>0</v>
      </c>
      <c r="BP26" s="120">
        <f ca="1">SUMIFS(
  m.vb[valor],
  m.vb[nucleo],$BH$1,
  m.vb[variavel],BP$7,
  m.vb[mes],$A26
)</f>
        <v>0</v>
      </c>
      <c r="BQ26" s="121">
        <f ca="1">SUMIFS(
  m.vb[valor],
  m.vb[nucleo],$BH$1,
  m.vb[variavel],BQ$7,
  m.vb[mes],$A26
)</f>
        <v>0</v>
      </c>
      <c r="BR26" s="119">
        <f>COUNTIFS(
    tb_estq[empresa], BR$6,
    tb_estq[Data da venda / reserva], "&gt;=" &amp; $A26,
    tb_estq[Data da venda / reserva], "&lt;"  &amp; EOMONTH($A26,0) + 1
)</f>
        <v>0</v>
      </c>
      <c r="BS26" s="120">
        <f ca="1">SUMIFS(tb_rec_uni[2022-12-01],
INDIRECT("tb_rec_uni[natureza]"),"pro.soluto",
INDIRECT("tb_rec_uni[empresa]"),BS$6)</f>
        <v>0</v>
      </c>
      <c r="BT26" s="120">
        <f ca="1">SUMIFS(tb_rec_uni[2022-12-01],
INDIRECT("tb_rec_uni[natureza]"),"parcela.fin.total.ik",
INDIRECT("tb_rec_uni[empresa]"),BT$6)</f>
        <v>0</v>
      </c>
      <c r="BU26" s="120">
        <f ca="1">SUMIFS(tb_rec_uni[2022-12-01],
INDIRECT("tb_rec_uni[natureza]"),"taxa.extra",
INDIRECT("tb_rec_uni[empresa]"),BU$6)</f>
        <v>0</v>
      </c>
      <c r="BV26" s="108"/>
      <c r="BW26" s="120">
        <f ca="1">SUMIFS(
  m.vb[valor],
  m.vb[nucleo],$BR$1,
  m.vb[variavel],BW$7,
  m.vb[mes],$A26
)</f>
        <v>0</v>
      </c>
      <c r="BX26" s="120">
        <f ca="1">SUMIFS(
  m.vb[valor],
  m.vb[nucleo],$BR$1,
  m.vb[variavel],BX$7,
  m.vb[mes],$A26
)</f>
        <v>0</v>
      </c>
      <c r="BY26" s="120">
        <f ca="1">SUMIFS(
  m.vb[valor],
  m.vb[nucleo],$BR$1,
  m.vb[variavel],BY$7,
  m.vb[mes],$A26
)</f>
        <v>0</v>
      </c>
      <c r="BZ26" s="120">
        <f ca="1">SUMIFS(
  m.vb[valor],
  m.vb[nucleo],$BR$1,
  m.vb[variavel],BZ$7,
  m.vb[mes],$A26
)</f>
        <v>0</v>
      </c>
      <c r="CA26" s="121">
        <f ca="1">SUMIFS(
  m.vb[valor],
  m.vb[nucleo],$BR$1,
  m.vb[variavel],CA$7,
  m.vb[mes],$A26
)</f>
        <v>0</v>
      </c>
      <c r="CB26" s="119">
        <f>COUNTIFS(
    tb_estq[empresa], CB$6,
    tb_estq[Data da venda / reserva], "&gt;=" &amp; $A26,
    tb_estq[Data da venda / reserva], "&lt;"  &amp; EOMONTH($A26,0) + 1
)</f>
        <v>0</v>
      </c>
      <c r="CC26" s="120">
        <f ca="1">SUMIFS(tb_rec_uni[2022-12-01],
INDIRECT("tb_rec_uni[natureza]"),"pro.soluto",
INDIRECT("tb_rec_uni[empresa]"),CC$6)</f>
        <v>0</v>
      </c>
      <c r="CD26" s="120">
        <f ca="1">SUMIFS(tb_rec_uni[2022-12-01],
INDIRECT("tb_rec_uni[natureza]"),"repasse.cef.obra",
INDIRECT("tb_rec_uni[empresa]"),CD$6)</f>
        <v>0</v>
      </c>
      <c r="CE26" s="120">
        <f ca="1">SUMIFS(tb_rec_uni[2022-12-01],
INDIRECT("tb_rec_uni[natureza]"),"repasse.cef.terreno",
INDIRECT("tb_rec_uni[empresa]"),CE$6)</f>
        <v>0</v>
      </c>
      <c r="CF26" s="120">
        <v>0</v>
      </c>
      <c r="CG26" s="120">
        <f ca="1">SUMIFS(tb_rec_uni[2022-12-01],
INDIRECT("tb_rec_uni[natureza]"),"taxa.extra",
INDIRECT("tb_rec_uni[empresa]"),CG$6)</f>
        <v>0</v>
      </c>
      <c r="CH26" s="108"/>
      <c r="CI26" s="120">
        <f ca="1">SUMIFS(
  m.vb[valor],
  m.vb[nucleo],$CB$1,
  m.vb[variavel],CI$7,
  m.vb[mes],$A26
)</f>
        <v>0</v>
      </c>
      <c r="CJ26" s="120">
        <f ca="1">SUMIFS(
  m.vb[valor],
  m.vb[nucleo],$CB$1,
  m.vb[variavel],CJ$7,
  m.vb[mes],$A26
)</f>
        <v>0</v>
      </c>
      <c r="CK26" s="120">
        <f ca="1">SUMIFS(
  m.vb[valor],
  m.vb[nucleo],$CB$1,
  m.vb[variavel],CK$7,
  m.vb[mes],$A26
)</f>
        <v>0</v>
      </c>
      <c r="CL26" s="120">
        <f ca="1">SUMIFS(
  m.vb[valor],
  m.vb[nucleo],$CB$1,
  m.vb[variavel],CL$7,
  m.vb[mes],$A26
)</f>
        <v>0</v>
      </c>
      <c r="CM26" s="121">
        <f ca="1">SUMIFS(
  m.vb[valor],
  m.vb[nucleo],$CB$1,
  m.vb[variavel],CM$7,
  m.vb[mes],$A26
)</f>
        <v>0</v>
      </c>
      <c r="CN26" s="119">
        <f>COUNTIFS(
    tb_estq[empresa], CN$6,
    tb_estq[Data da venda / reserva], "&gt;=" &amp; $A26,
    tb_estq[Data da venda / reserva], "&lt;"  &amp; EOMONTH($A26,0) + 1
)</f>
        <v>0</v>
      </c>
      <c r="CO26" s="120">
        <f ca="1">SUMIFS(tb_rec_uni[2022-12-01],
INDIRECT("tb_rec_uni[natureza]"),"pro.soluto",
INDIRECT("tb_rec_uni[empresa]"),CO$6)</f>
        <v>0</v>
      </c>
      <c r="CP26" s="120">
        <f ca="1">SUMIFS(tb_rec_uni[2022-12-01],
INDIRECT("tb_rec_uni[natureza]"),"repasse.cef.obra",
INDIRECT("tb_rec_uni[empresa]"),CP$6)</f>
        <v>0</v>
      </c>
      <c r="CQ26" s="120">
        <f ca="1">SUMIFS(tb_rec_uni[2022-12-01],
INDIRECT("tb_rec_uni[natureza]"),"repasse.cef.terreno",
INDIRECT("tb_rec_uni[empresa]"),CQ$6)</f>
        <v>0</v>
      </c>
      <c r="CR26" s="120">
        <v>0</v>
      </c>
      <c r="CS26" s="120">
        <f ca="1">SUMIFS(tb_rec_uni[2022-12-01],
INDIRECT("tb_rec_uni[natureza]"),"taxa.extra",
INDIRECT("tb_rec_uni[empresa]"),CS$6)</f>
        <v>0</v>
      </c>
      <c r="CT26" s="108"/>
      <c r="CU26" s="120">
        <f ca="1">SUMIFS(
  m.vb[valor],
  m.vb[nucleo],$CN$1,
  m.vb[variavel],CU$7,
  m.vb[mes],$A26
)</f>
        <v>0</v>
      </c>
      <c r="CV26" s="120" cm="1">
        <f t="array" ref="CV26">SUMPRODUCT(
  IFERROR(--tb_desp[valor],0)*
  (tb_desp[nucleo]="UP MOVE VILA SONIA")*
  (tb_desp[categoria]=CV$7)*
  (tb_desp[data.pagamento]&gt;=$A26)*
  (tb_desp[data.pagamento]&lt;EOMONTH($A26,0)+1)
)</f>
        <v>0</v>
      </c>
      <c r="CW26" s="120" cm="1">
        <f t="array" ref="CW26">SUMPRODUCT(
  IFERROR(--tb_desp[valor],0)*
  (tb_desp[nucleo]="UP MOVE VILA SONIA")*
  (tb_desp[categoria]=CW$7)*
  (tb_desp[data.pagamento]&gt;=$A26)*
  (tb_desp[data.pagamento]&lt;EOMONTH($A26,0)+1)
)</f>
        <v>0</v>
      </c>
      <c r="CX26" s="120" cm="1">
        <f t="array" ref="CX26">SUMPRODUCT(
  IFERROR(--tb_desp[valor],0)*
  (tb_desp[nucleo]="UP MOVE VILA SONIA")*
  (tb_desp[categoria]=CX$7)*
  (tb_desp[data.pagamento]&gt;=$A26)*
  (tb_desp[data.pagamento]&lt;EOMONTH($A26,0)+1)
)</f>
        <v>0</v>
      </c>
      <c r="CY26" s="122" cm="1">
        <f t="array" ref="CY26">SUMPRODUCT(
  IFERROR(--tb_desp[valor],0)*
  (tb_desp[nucleo]="UP MOVE VILA SONIA")*
  (tb_desp[categoria]=CY$7)*
  (tb_desp[data.pagamento]&gt;=$A26)*
  (tb_desp[data.pagamento]&lt;EOMONTH($A26,0)+1)
)</f>
        <v>0</v>
      </c>
    </row>
    <row r="27" spans="1:103" x14ac:dyDescent="0.25">
      <c r="A27" s="118">
        <v>44927</v>
      </c>
      <c r="B27" s="119">
        <f>COUNTIFS(
    tb_estq[empresa], B$6,
    tb_estq[Data da venda / reserva], "&gt;=" &amp; $A27,
    tb_estq[Data da venda / reserva], "&lt;"  &amp; EOMONTH($A27,0) + 1
)</f>
        <v>0</v>
      </c>
      <c r="C27" s="120">
        <f ca="1">SUMIFS(tb_rec_uni[2023-01-01],
INDIRECT("tb_rec_uni[natureza]"),"pro.soluto",
INDIRECT("tb_rec_uni[empresa]"),C$6)</f>
        <v>0</v>
      </c>
      <c r="D27" s="120">
        <f ca="1">SUMIFS(tb_rec_uni[2023-01-01],
INDIRECT("tb_rec_uni[natureza]"),"repasse.cef.obra",
INDIRECT("tb_rec_uni[empresa]"),D$6)</f>
        <v>0</v>
      </c>
      <c r="E27" s="120">
        <f ca="1">SUMIFS(tb_rec_uni[2023-01-01],
INDIRECT("tb_rec_uni[natureza]"),"repasse.cef.terreno",
INDIRECT("tb_rec_uni[empresa]"),E$6)</f>
        <v>0</v>
      </c>
      <c r="F27" s="120">
        <v>0</v>
      </c>
      <c r="G27" s="120">
        <f ca="1">SUMIFS(tb_rec_uni[2023-01-01],
INDIRECT("tb_rec_uni[natureza]"),"taxa.extra",
INDIRECT("tb_rec_uni[empresa]"),G$6)</f>
        <v>0</v>
      </c>
      <c r="H27" s="108"/>
      <c r="I27" s="120">
        <f ca="1">SUMIFS(
  m.vb[valor],
  m.vb[nucleo],$B$1,
  m.vb[variavel],I$7,
  m.vb[mes],$A27
)</f>
        <v>0</v>
      </c>
      <c r="J27" s="120">
        <f ca="1">SUMIFS(
  m.vb[valor],
  m.vb[nucleo],$B$1,
  m.vb[variavel],J$7,
  m.vb[mes],$A27
)</f>
        <v>0</v>
      </c>
      <c r="K27" s="120">
        <f ca="1">SUMIFS(
  m.vb[valor],
  m.vb[nucleo],$B$1,
  m.vb[variavel],K$7,
  m.vb[mes],$A27
)</f>
        <v>0</v>
      </c>
      <c r="L27" s="120">
        <f ca="1">SUMIFS(
  m.vb[valor],
  m.vb[nucleo],$B$1,
  m.vb[variavel],L$7,
  m.vb[mes],$A27
)</f>
        <v>0</v>
      </c>
      <c r="M27" s="121">
        <f ca="1">SUMIFS(
  m.vb[valor],
  m.vb[nucleo],$B$1,
  m.vb[variavel],M$7,
  m.vb[mes],$A27
)</f>
        <v>0</v>
      </c>
      <c r="N27" s="119">
        <f>COUNTIFS(
    tb_estq[empresa], N$6,
    tb_estq[Data da venda / reserva], "&gt;=" &amp; $A27,
    tb_estq[Data da venda / reserva], "&lt;"  &amp; EOMONTH($A27,0) + 1
)</f>
        <v>0</v>
      </c>
      <c r="O27" s="120">
        <f ca="1">SUMIFS(tb_rec_uni[2023-01-01],
INDIRECT("tb_rec_uni[natureza]"),"pro.soluto",
INDIRECT("tb_rec_uni[empresa]"),O$6)</f>
        <v>0</v>
      </c>
      <c r="P27" s="120">
        <f ca="1">SUMIFS(tb_rec_uni[2023-01-01],
INDIRECT("tb_rec_uni[natureza]"),"repasse.cef.obra",
INDIRECT("tb_rec_uni[empresa]"),P$6)</f>
        <v>0</v>
      </c>
      <c r="Q27" s="120">
        <f ca="1">SUMIFS(tb_rec_uni[2023-01-01],
INDIRECT("tb_rec_uni[natureza]"),"repasse.cef.terreno",
INDIRECT("tb_rec_uni[empresa]"),Q$6)</f>
        <v>0</v>
      </c>
      <c r="R27" s="120">
        <v>0</v>
      </c>
      <c r="S27" s="120">
        <f ca="1">SUMIFS(tb_rec_uni[2023-01-01],
INDIRECT("tb_rec_uni[natureza]"),"taxa.extra",
INDIRECT("tb_rec_uni[empresa]"),S$6)</f>
        <v>0</v>
      </c>
      <c r="T27" s="108"/>
      <c r="U27" s="120">
        <f ca="1">SUMIFS(
  m.vb[valor],
  m.vb[nucleo],$N$1,
  m.vb[variavel],U$7,
  m.vb[mes],$A27
)</f>
        <v>0</v>
      </c>
      <c r="V27" s="120">
        <f ca="1">SUMIFS(
  m.vb[valor],
  m.vb[nucleo],$N$1,
  m.vb[variavel],V$7,
  m.vb[mes],$A27
)</f>
        <v>0</v>
      </c>
      <c r="W27" s="120">
        <f ca="1">SUMIFS(
  m.vb[valor],
  m.vb[nucleo],$N$1,
  m.vb[variavel],W$7,
  m.vb[mes],$A27
)</f>
        <v>0</v>
      </c>
      <c r="X27" s="120">
        <f ca="1">SUMIFS(
  m.vb[valor],
  m.vb[nucleo],$N$1,
  m.vb[variavel],X$7,
  m.vb[mes],$A27
)</f>
        <v>0</v>
      </c>
      <c r="Y27" s="121">
        <f ca="1">SUMIFS(
  m.vb[valor],
  m.vb[nucleo],$N$1,
  m.vb[variavel],Y$7,
  m.vb[mes],$A27
)</f>
        <v>0</v>
      </c>
      <c r="Z27" s="119">
        <f>COUNTIFS(
    tb_estq[empresa], Z$6,
    tb_estq[Data da venda / reserva], "&gt;=" &amp; $A27,
    tb_estq[Data da venda / reserva], "&lt;"  &amp; EOMONTH($A27,0) + 1
)</f>
        <v>0</v>
      </c>
      <c r="AA27" s="120">
        <f ca="1">SUMIFS(tb_rec_uni[2023-01-01],
INDIRECT("tb_rec_uni[natureza]"),"pro.soluto",
INDIRECT("tb_rec_uni[empresa]"),AA$6)</f>
        <v>0</v>
      </c>
      <c r="AB27" s="120">
        <f ca="1">SUMIFS(tb_rec_uni[2023-01-01],
INDIRECT("tb_rec_uni[natureza]"),"parcela.fin.total.ik",
INDIRECT("tb_rec_uni[empresa]"),AB$6)</f>
        <v>0</v>
      </c>
      <c r="AC27" s="120">
        <f ca="1">SUMIFS(tb_rec_uni[2023-01-01],
INDIRECT("tb_rec_uni[natureza]"),"taxa.extra",
INDIRECT("tb_rec_uni[empresa]"),AC$6)</f>
        <v>0</v>
      </c>
      <c r="AD27" s="108"/>
      <c r="AE27" s="120">
        <f ca="1">SUMIFS(
  m.vb[valor],
  m.vb[nucleo],$Z$1,
  m.vb[variavel],AE$7,
  m.vb[mes],$A27
)</f>
        <v>0</v>
      </c>
      <c r="AF27" s="120">
        <f ca="1">SUMIFS(
  m.vb[valor],
  m.vb[nucleo],$Z$1,
  m.vb[variavel],AF$7,
  m.vb[mes],$A27
)</f>
        <v>0</v>
      </c>
      <c r="AG27" s="120">
        <f ca="1">SUMIFS(
  m.vb[valor],
  m.vb[nucleo],$Z$1,
  m.vb[variavel],AG$7,
  m.vb[mes],$A27
)</f>
        <v>0</v>
      </c>
      <c r="AH27" s="120">
        <f ca="1">SUMIFS(
  m.vb[valor],
  m.vb[nucleo],$Z$1,
  m.vb[variavel],AH$7,
  m.vb[mes],$A27
)</f>
        <v>0</v>
      </c>
      <c r="AI27" s="121">
        <f ca="1">SUMIFS(
  m.vb[valor],
  m.vb[nucleo],$Z$1,
  m.vb[variavel],AI$7,
  m.vb[mes],$A27
)</f>
        <v>0</v>
      </c>
      <c r="AJ27" s="119">
        <f>COUNTIFS(
    tb_estq[empresa], AJ$6,
    tb_estq[Data da venda / reserva], "&gt;=" &amp; $A27,
    tb_estq[Data da venda / reserva], "&lt;"  &amp; EOMONTH($A27,0) + 1
)</f>
        <v>0</v>
      </c>
      <c r="AK27" s="120">
        <f ca="1">SUMIFS(tb_rec_uni[2023-01-01],
INDIRECT("tb_rec_uni[natureza]"),"pro.soluto",
INDIRECT("tb_rec_uni[empresa]"),AK$6)</f>
        <v>0</v>
      </c>
      <c r="AL27" s="120">
        <f ca="1">SUMIFS(tb_rec_uni[2023-01-01],
INDIRECT("tb_rec_uni[natureza]"),"repasse.cef.obra",
INDIRECT("tb_rec_uni[empresa]"),AL$6)</f>
        <v>0</v>
      </c>
      <c r="AM27" s="120">
        <f ca="1">SUMIFS(tb_rec_uni[2023-01-01],
INDIRECT("tb_rec_uni[natureza]"),"repasse.cef.terreno",
INDIRECT("tb_rec_uni[empresa]"),AM$6)</f>
        <v>0</v>
      </c>
      <c r="AN27" s="120">
        <v>0</v>
      </c>
      <c r="AO27" s="120">
        <f ca="1">SUMIFS(tb_rec_uni[2023-01-01],
INDIRECT("tb_rec_uni[natureza]"),"taxa.extra",
INDIRECT("tb_rec_uni[empresa]"),AO$6)</f>
        <v>0</v>
      </c>
      <c r="AP27" s="108"/>
      <c r="AQ27" s="120">
        <f ca="1">SUMIFS(
  m.vb[valor],
  m.vb[nucleo],$AJ$1,
  m.vb[variavel],AQ$7,
  m.vb[mes],$A27
)</f>
        <v>0</v>
      </c>
      <c r="AR27" s="120">
        <f ca="1">SUMIFS(
  m.vb[valor],
  m.vb[nucleo],$AJ$1,
  m.vb[variavel],AR$7,
  m.vb[mes],$A27
)</f>
        <v>0</v>
      </c>
      <c r="AS27" s="120">
        <f ca="1">SUMIFS(
  m.vb[valor],
  m.vb[nucleo],$AJ$1,
  m.vb[variavel],AS$7,
  m.vb[mes],$A27
)</f>
        <v>0</v>
      </c>
      <c r="AT27" s="120">
        <f ca="1">SUMIFS(
  m.vb[valor],
  m.vb[nucleo],$AJ$1,
  m.vb[variavel],AT$7,
  m.vb[mes],$A27
)</f>
        <v>0</v>
      </c>
      <c r="AU27" s="121">
        <f ca="1">SUMIFS(
  m.vb[valor],
  m.vb[nucleo],$AJ$1,
  m.vb[variavel],AU$7,
  m.vb[mes],$A27
)</f>
        <v>0</v>
      </c>
      <c r="AV27" s="119">
        <f>COUNTIFS(
    tb_estq[empresa], AV$6,
    tb_estq[Data da venda / reserva], "&gt;=" &amp; $A27,
    tb_estq[Data da venda / reserva], "&lt;"  &amp; EOMONTH($A27,0) + 1
)</f>
        <v>0</v>
      </c>
      <c r="AW27" s="120">
        <f ca="1">SUMIFS(tb_rec_uni[2023-01-01],
INDIRECT("tb_rec_uni[natureza]"),"pro.soluto",
INDIRECT("tb_rec_uni[empresa]"),AW$6)</f>
        <v>0</v>
      </c>
      <c r="AX27" s="120">
        <f ca="1">SUMIFS(tb_rec_uni[2023-01-01],
INDIRECT("tb_rec_uni[natureza]"),"repasse.cef.obra",
INDIRECT("tb_rec_uni[empresa]"),AX$6)</f>
        <v>0</v>
      </c>
      <c r="AY27" s="120">
        <f ca="1">SUMIFS(tb_rec_uni[2023-01-01],
INDIRECT("tb_rec_uni[natureza]"),"repasse.cef.terreno",
INDIRECT("tb_rec_uni[empresa]"),AY$6)</f>
        <v>0</v>
      </c>
      <c r="AZ27" s="120">
        <v>0</v>
      </c>
      <c r="BA27" s="120">
        <f ca="1">SUMIFS(tb_rec_uni[2023-01-01],
INDIRECT("tb_rec_uni[natureza]"),"taxa.extra",
INDIRECT("tb_rec_uni[empresa]"),BA$6)</f>
        <v>0</v>
      </c>
      <c r="BB27" s="108"/>
      <c r="BC27" s="120">
        <f ca="1">SUMIFS(
  m.vb[valor],
  m.vb[nucleo],$AV$1,
  m.vb[variavel],BC$7,
  m.vb[mes],$A27
)</f>
        <v>0</v>
      </c>
      <c r="BD27" s="120">
        <f ca="1">SUMIFS(
  m.vb[valor],
  m.vb[nucleo],$AV$1,
  m.vb[variavel],BD$7,
  m.vb[mes],$A27
)</f>
        <v>0</v>
      </c>
      <c r="BE27" s="120">
        <f ca="1">SUMIFS(
  m.vb[valor],
  m.vb[nucleo],$AV$1,
  m.vb[variavel],BE$7,
  m.vb[mes],$A27
)</f>
        <v>0</v>
      </c>
      <c r="BF27" s="120">
        <f ca="1">SUMIFS(
  m.vb[valor],
  m.vb[nucleo],$AV$1,
  m.vb[variavel],BF$7,
  m.vb[mes],$A27
)</f>
        <v>0</v>
      </c>
      <c r="BG27" s="121">
        <f ca="1">SUMIFS(
  m.vb[valor],
  m.vb[nucleo],$AV$1,
  m.vb[variavel],BG$7,
  m.vb[mes],$A27
)</f>
        <v>0</v>
      </c>
      <c r="BH27" s="119">
        <f>COUNTIFS(
    tb_estq[empresa], BH$6,
    tb_estq[Data da venda / reserva], "&gt;=" &amp; $A27,
    tb_estq[Data da venda / reserva], "&lt;"  &amp; EOMONTH($A27,0) + 1
)</f>
        <v>0</v>
      </c>
      <c r="BI27" s="120">
        <f ca="1">SUMIFS(tb_rec_uni[2023-01-01],
INDIRECT("tb_rec_uni[natureza]"),"pro.soluto",
INDIRECT("tb_rec_uni[empresa]"),BI$6)</f>
        <v>0</v>
      </c>
      <c r="BJ27" s="108">
        <v>0</v>
      </c>
      <c r="BK27" s="120">
        <f ca="1">SUMIFS(tb_rec_uni[2023-01-01],
INDIRECT("tb_rec_uni[natureza]"),"taxa.extra",
INDIRECT("tb_rec_uni[empresa]"),BK$6)</f>
        <v>0</v>
      </c>
      <c r="BL27" s="108"/>
      <c r="BM27" s="120">
        <f ca="1">SUMIFS(
  m.vb[valor],
  m.vb[nucleo],$BH$1,
  m.vb[variavel],BM$7,
  m.vb[mes],$A27
)</f>
        <v>0</v>
      </c>
      <c r="BN27" s="120">
        <f ca="1">SUMIFS(
  m.vb[valor],
  m.vb[nucleo],$BH$1,
  m.vb[variavel],BN$7,
  m.vb[mes],$A27
)</f>
        <v>0</v>
      </c>
      <c r="BO27" s="120">
        <f ca="1">SUMIFS(
  m.vb[valor],
  m.vb[nucleo],$BH$1,
  m.vb[variavel],BO$7,
  m.vb[mes],$A27
)</f>
        <v>0</v>
      </c>
      <c r="BP27" s="120">
        <f ca="1">SUMIFS(
  m.vb[valor],
  m.vb[nucleo],$BH$1,
  m.vb[variavel],BP$7,
  m.vb[mes],$A27
)</f>
        <v>0</v>
      </c>
      <c r="BQ27" s="121">
        <f ca="1">SUMIFS(
  m.vb[valor],
  m.vb[nucleo],$BH$1,
  m.vb[variavel],BQ$7,
  m.vb[mes],$A27
)</f>
        <v>0</v>
      </c>
      <c r="BR27" s="119">
        <f>COUNTIFS(
    tb_estq[empresa], BR$6,
    tb_estq[Data da venda / reserva], "&gt;=" &amp; $A27,
    tb_estq[Data da venda / reserva], "&lt;"  &amp; EOMONTH($A27,0) + 1
)</f>
        <v>0</v>
      </c>
      <c r="BS27" s="120">
        <f ca="1">SUMIFS(tb_rec_uni[2023-01-01],
INDIRECT("tb_rec_uni[natureza]"),"pro.soluto",
INDIRECT("tb_rec_uni[empresa]"),BS$6)</f>
        <v>0</v>
      </c>
      <c r="BT27" s="120">
        <f ca="1">SUMIFS(tb_rec_uni[2023-01-01],
INDIRECT("tb_rec_uni[natureza]"),"parcela.fin.total.ik",
INDIRECT("tb_rec_uni[empresa]"),BT$6)</f>
        <v>0</v>
      </c>
      <c r="BU27" s="120">
        <f ca="1">SUMIFS(tb_rec_uni[2023-01-01],
INDIRECT("tb_rec_uni[natureza]"),"taxa.extra",
INDIRECT("tb_rec_uni[empresa]"),BU$6)</f>
        <v>0</v>
      </c>
      <c r="BV27" s="108"/>
      <c r="BW27" s="120">
        <f ca="1">SUMIFS(
  m.vb[valor],
  m.vb[nucleo],$BR$1,
  m.vb[variavel],BW$7,
  m.vb[mes],$A27
)</f>
        <v>0</v>
      </c>
      <c r="BX27" s="120">
        <f ca="1">SUMIFS(
  m.vb[valor],
  m.vb[nucleo],$BR$1,
  m.vb[variavel],BX$7,
  m.vb[mes],$A27
)</f>
        <v>0</v>
      </c>
      <c r="BY27" s="120">
        <f ca="1">SUMIFS(
  m.vb[valor],
  m.vb[nucleo],$BR$1,
  m.vb[variavel],BY$7,
  m.vb[mes],$A27
)</f>
        <v>0</v>
      </c>
      <c r="BZ27" s="120">
        <f ca="1">SUMIFS(
  m.vb[valor],
  m.vb[nucleo],$BR$1,
  m.vb[variavel],BZ$7,
  m.vb[mes],$A27
)</f>
        <v>0</v>
      </c>
      <c r="CA27" s="121">
        <f ca="1">SUMIFS(
  m.vb[valor],
  m.vb[nucleo],$BR$1,
  m.vb[variavel],CA$7,
  m.vb[mes],$A27
)</f>
        <v>0</v>
      </c>
      <c r="CB27" s="119">
        <f>COUNTIFS(
    tb_estq[empresa], CB$6,
    tb_estq[Data da venda / reserva], "&gt;=" &amp; $A27,
    tb_estq[Data da venda / reserva], "&lt;"  &amp; EOMONTH($A27,0) + 1
)</f>
        <v>0</v>
      </c>
      <c r="CC27" s="120">
        <f ca="1">SUMIFS(tb_rec_uni[2023-01-01],
INDIRECT("tb_rec_uni[natureza]"),"pro.soluto",
INDIRECT("tb_rec_uni[empresa]"),CC$6)</f>
        <v>0</v>
      </c>
      <c r="CD27" s="120">
        <f ca="1">SUMIFS(tb_rec_uni[2023-01-01],
INDIRECT("tb_rec_uni[natureza]"),"repasse.cef.obra",
INDIRECT("tb_rec_uni[empresa]"),CD$6)</f>
        <v>0</v>
      </c>
      <c r="CE27" s="120">
        <f ca="1">SUMIFS(tb_rec_uni[2023-01-01],
INDIRECT("tb_rec_uni[natureza]"),"repasse.cef.terreno",
INDIRECT("tb_rec_uni[empresa]"),CE$6)</f>
        <v>0</v>
      </c>
      <c r="CF27" s="120">
        <v>0</v>
      </c>
      <c r="CG27" s="120">
        <f ca="1">SUMIFS(tb_rec_uni[2023-01-01],
INDIRECT("tb_rec_uni[natureza]"),"taxa.extra",
INDIRECT("tb_rec_uni[empresa]"),CG$6)</f>
        <v>0</v>
      </c>
      <c r="CH27" s="108"/>
      <c r="CI27" s="120">
        <f ca="1">SUMIFS(
  m.vb[valor],
  m.vb[nucleo],$CB$1,
  m.vb[variavel],CI$7,
  m.vb[mes],$A27
)</f>
        <v>0</v>
      </c>
      <c r="CJ27" s="120">
        <f ca="1">SUMIFS(
  m.vb[valor],
  m.vb[nucleo],$CB$1,
  m.vb[variavel],CJ$7,
  m.vb[mes],$A27
)</f>
        <v>0</v>
      </c>
      <c r="CK27" s="120">
        <f ca="1">SUMIFS(
  m.vb[valor],
  m.vb[nucleo],$CB$1,
  m.vb[variavel],CK$7,
  m.vb[mes],$A27
)</f>
        <v>0</v>
      </c>
      <c r="CL27" s="120">
        <f ca="1">SUMIFS(
  m.vb[valor],
  m.vb[nucleo],$CB$1,
  m.vb[variavel],CL$7,
  m.vb[mes],$A27
)</f>
        <v>0</v>
      </c>
      <c r="CM27" s="121">
        <f ca="1">SUMIFS(
  m.vb[valor],
  m.vb[nucleo],$CB$1,
  m.vb[variavel],CM$7,
  m.vb[mes],$A27
)</f>
        <v>0</v>
      </c>
      <c r="CN27" s="119">
        <f>COUNTIFS(
    tb_estq[empresa], CN$6,
    tb_estq[Data da venda / reserva], "&gt;=" &amp; $A27,
    tb_estq[Data da venda / reserva], "&lt;"  &amp; EOMONTH($A27,0) + 1
)</f>
        <v>0</v>
      </c>
      <c r="CO27" s="120">
        <f ca="1">SUMIFS(tb_rec_uni[2023-01-01],
INDIRECT("tb_rec_uni[natureza]"),"pro.soluto",
INDIRECT("tb_rec_uni[empresa]"),CO$6)</f>
        <v>0</v>
      </c>
      <c r="CP27" s="120">
        <f ca="1">SUMIFS(tb_rec_uni[2023-01-01],
INDIRECT("tb_rec_uni[natureza]"),"repasse.cef.obra",
INDIRECT("tb_rec_uni[empresa]"),CP$6)</f>
        <v>0</v>
      </c>
      <c r="CQ27" s="120">
        <f ca="1">SUMIFS(tb_rec_uni[2023-01-01],
INDIRECT("tb_rec_uni[natureza]"),"repasse.cef.terreno",
INDIRECT("tb_rec_uni[empresa]"),CQ$6)</f>
        <v>0</v>
      </c>
      <c r="CR27" s="120">
        <v>0</v>
      </c>
      <c r="CS27" s="120">
        <f ca="1">SUMIFS(tb_rec_uni[2023-01-01],
INDIRECT("tb_rec_uni[natureza]"),"taxa.extra",
INDIRECT("tb_rec_uni[empresa]"),CS$6)</f>
        <v>0</v>
      </c>
      <c r="CT27" s="108"/>
      <c r="CU27" s="120">
        <f ca="1">SUMIFS(
  m.vb[valor],
  m.vb[nucleo],$CN$1,
  m.vb[variavel],CU$7,
  m.vb[mes],$A27
)</f>
        <v>0</v>
      </c>
      <c r="CV27" s="120" cm="1">
        <f t="array" ref="CV27">SUMPRODUCT(
  IFERROR(--tb_desp[valor],0)*
  (tb_desp[nucleo]="UP MOVE VILA SONIA")*
  (tb_desp[categoria]=CV$7)*
  (tb_desp[data.pagamento]&gt;=$A27)*
  (tb_desp[data.pagamento]&lt;EOMONTH($A27,0)+1)
)</f>
        <v>0</v>
      </c>
      <c r="CW27" s="120" cm="1">
        <f t="array" ref="CW27">SUMPRODUCT(
  IFERROR(--tb_desp[valor],0)*
  (tb_desp[nucleo]="UP MOVE VILA SONIA")*
  (tb_desp[categoria]=CW$7)*
  (tb_desp[data.pagamento]&gt;=$A27)*
  (tb_desp[data.pagamento]&lt;EOMONTH($A27,0)+1)
)</f>
        <v>0</v>
      </c>
      <c r="CX27" s="120" cm="1">
        <f t="array" ref="CX27">SUMPRODUCT(
  IFERROR(--tb_desp[valor],0)*
  (tb_desp[nucleo]="UP MOVE VILA SONIA")*
  (tb_desp[categoria]=CX$7)*
  (tb_desp[data.pagamento]&gt;=$A27)*
  (tb_desp[data.pagamento]&lt;EOMONTH($A27,0)+1)
)</f>
        <v>0</v>
      </c>
      <c r="CY27" s="122" cm="1">
        <f t="array" ref="CY27">SUMPRODUCT(
  IFERROR(--tb_desp[valor],0)*
  (tb_desp[nucleo]="UP MOVE VILA SONIA")*
  (tb_desp[categoria]=CY$7)*
  (tb_desp[data.pagamento]&gt;=$A27)*
  (tb_desp[data.pagamento]&lt;EOMONTH($A27,0)+1)
)</f>
        <v>0</v>
      </c>
    </row>
    <row r="28" spans="1:103" x14ac:dyDescent="0.25">
      <c r="A28" s="118">
        <v>44958</v>
      </c>
      <c r="B28" s="119">
        <f>COUNTIFS(
    tb_estq[empresa], B$6,
    tb_estq[Data da venda / reserva], "&gt;=" &amp; $A28,
    tb_estq[Data da venda / reserva], "&lt;"  &amp; EOMONTH($A28,0) + 1
)</f>
        <v>0</v>
      </c>
      <c r="C28" s="120">
        <f ca="1">SUMIFS(tb_rec_uni[2023-02-01],
INDIRECT("tb_rec_uni[natureza]"),"pro.soluto",
INDIRECT("tb_rec_uni[empresa]"),C$6)</f>
        <v>0</v>
      </c>
      <c r="D28" s="120">
        <f ca="1">SUMIFS(tb_rec_uni[2023-02-01],
INDIRECT("tb_rec_uni[natureza]"),"repasse.cef.obra",
INDIRECT("tb_rec_uni[empresa]"),D$6)</f>
        <v>0</v>
      </c>
      <c r="E28" s="120">
        <f ca="1">SUMIFS(tb_rec_uni[2023-02-01],
INDIRECT("tb_rec_uni[natureza]"),"repasse.cef.terreno",
INDIRECT("tb_rec_uni[empresa]"),E$6)</f>
        <v>0</v>
      </c>
      <c r="F28" s="120">
        <v>0</v>
      </c>
      <c r="G28" s="120">
        <f ca="1">SUMIFS(tb_rec_uni[2023-02-01],
INDIRECT("tb_rec_uni[natureza]"),"taxa.extra",
INDIRECT("tb_rec_uni[empresa]"),G$6)</f>
        <v>0</v>
      </c>
      <c r="H28" s="108"/>
      <c r="I28" s="120">
        <f ca="1">SUMIFS(
  m.vb[valor],
  m.vb[nucleo],$B$1,
  m.vb[variavel],I$7,
  m.vb[mes],$A28
)</f>
        <v>0</v>
      </c>
      <c r="J28" s="120">
        <f ca="1">SUMIFS(
  m.vb[valor],
  m.vb[nucleo],$B$1,
  m.vb[variavel],J$7,
  m.vb[mes],$A28
)</f>
        <v>0</v>
      </c>
      <c r="K28" s="120">
        <f ca="1">SUMIFS(
  m.vb[valor],
  m.vb[nucleo],$B$1,
  m.vb[variavel],K$7,
  m.vb[mes],$A28
)</f>
        <v>0</v>
      </c>
      <c r="L28" s="120">
        <f ca="1">SUMIFS(
  m.vb[valor],
  m.vb[nucleo],$B$1,
  m.vb[variavel],L$7,
  m.vb[mes],$A28
)</f>
        <v>0</v>
      </c>
      <c r="M28" s="121">
        <f ca="1">SUMIFS(
  m.vb[valor],
  m.vb[nucleo],$B$1,
  m.vb[variavel],M$7,
  m.vb[mes],$A28
)</f>
        <v>0</v>
      </c>
      <c r="N28" s="119">
        <f>COUNTIFS(
    tb_estq[empresa], N$6,
    tb_estq[Data da venda / reserva], "&gt;=" &amp; $A28,
    tb_estq[Data da venda / reserva], "&lt;"  &amp; EOMONTH($A28,0) + 1
)</f>
        <v>0</v>
      </c>
      <c r="O28" s="120">
        <f ca="1">SUMIFS(tb_rec_uni[2023-02-01],
INDIRECT("tb_rec_uni[natureza]"),"pro.soluto",
INDIRECT("tb_rec_uni[empresa]"),O$6)</f>
        <v>0</v>
      </c>
      <c r="P28" s="120">
        <f ca="1">SUMIFS(tb_rec_uni[2023-02-01],
INDIRECT("tb_rec_uni[natureza]"),"repasse.cef.obra",
INDIRECT("tb_rec_uni[empresa]"),P$6)</f>
        <v>0</v>
      </c>
      <c r="Q28" s="120">
        <f ca="1">SUMIFS(tb_rec_uni[2023-02-01],
INDIRECT("tb_rec_uni[natureza]"),"repasse.cef.terreno",
INDIRECT("tb_rec_uni[empresa]"),Q$6)</f>
        <v>0</v>
      </c>
      <c r="R28" s="120">
        <v>0</v>
      </c>
      <c r="S28" s="120">
        <f ca="1">SUMIFS(tb_rec_uni[2023-02-01],
INDIRECT("tb_rec_uni[natureza]"),"taxa.extra",
INDIRECT("tb_rec_uni[empresa]"),S$6)</f>
        <v>0</v>
      </c>
      <c r="T28" s="108"/>
      <c r="U28" s="120">
        <f ca="1">SUMIFS(
  m.vb[valor],
  m.vb[nucleo],$N$1,
  m.vb[variavel],U$7,
  m.vb[mes],$A28
)</f>
        <v>0</v>
      </c>
      <c r="V28" s="120">
        <f ca="1">SUMIFS(
  m.vb[valor],
  m.vb[nucleo],$N$1,
  m.vb[variavel],V$7,
  m.vb[mes],$A28
)</f>
        <v>0</v>
      </c>
      <c r="W28" s="120">
        <f ca="1">SUMIFS(
  m.vb[valor],
  m.vb[nucleo],$N$1,
  m.vb[variavel],W$7,
  m.vb[mes],$A28
)</f>
        <v>0</v>
      </c>
      <c r="X28" s="120">
        <f ca="1">SUMIFS(
  m.vb[valor],
  m.vb[nucleo],$N$1,
  m.vb[variavel],X$7,
  m.vb[mes],$A28
)</f>
        <v>0</v>
      </c>
      <c r="Y28" s="121">
        <f ca="1">SUMIFS(
  m.vb[valor],
  m.vb[nucleo],$N$1,
  m.vb[variavel],Y$7,
  m.vb[mes],$A28
)</f>
        <v>0</v>
      </c>
      <c r="Z28" s="119">
        <f>COUNTIFS(
    tb_estq[empresa], Z$6,
    tb_estq[Data da venda / reserva], "&gt;=" &amp; $A28,
    tb_estq[Data da venda / reserva], "&lt;"  &amp; EOMONTH($A28,0) + 1
)</f>
        <v>0</v>
      </c>
      <c r="AA28" s="120">
        <f ca="1">SUMIFS(tb_rec_uni[2023-02-01],
INDIRECT("tb_rec_uni[natureza]"),"pro.soluto",
INDIRECT("tb_rec_uni[empresa]"),AA$6)</f>
        <v>0</v>
      </c>
      <c r="AB28" s="120">
        <f ca="1">SUMIFS(tb_rec_uni[2023-02-01],
INDIRECT("tb_rec_uni[natureza]"),"parcela.fin.total.ik",
INDIRECT("tb_rec_uni[empresa]"),AB$6)</f>
        <v>0</v>
      </c>
      <c r="AC28" s="120">
        <f ca="1">SUMIFS(tb_rec_uni[2023-02-01],
INDIRECT("tb_rec_uni[natureza]"),"taxa.extra",
INDIRECT("tb_rec_uni[empresa]"),AC$6)</f>
        <v>0</v>
      </c>
      <c r="AD28" s="108"/>
      <c r="AE28" s="120">
        <f ca="1">SUMIFS(
  m.vb[valor],
  m.vb[nucleo],$Z$1,
  m.vb[variavel],AE$7,
  m.vb[mes],$A28
)</f>
        <v>0</v>
      </c>
      <c r="AF28" s="120">
        <f ca="1">SUMIFS(
  m.vb[valor],
  m.vb[nucleo],$Z$1,
  m.vb[variavel],AF$7,
  m.vb[mes],$A28
)</f>
        <v>0</v>
      </c>
      <c r="AG28" s="120">
        <f ca="1">SUMIFS(
  m.vb[valor],
  m.vb[nucleo],$Z$1,
  m.vb[variavel],AG$7,
  m.vb[mes],$A28
)</f>
        <v>0</v>
      </c>
      <c r="AH28" s="120">
        <f ca="1">SUMIFS(
  m.vb[valor],
  m.vb[nucleo],$Z$1,
  m.vb[variavel],AH$7,
  m.vb[mes],$A28
)</f>
        <v>0</v>
      </c>
      <c r="AI28" s="121">
        <f ca="1">SUMIFS(
  m.vb[valor],
  m.vb[nucleo],$Z$1,
  m.vb[variavel],AI$7,
  m.vb[mes],$A28
)</f>
        <v>0</v>
      </c>
      <c r="AJ28" s="119">
        <f>COUNTIFS(
    tb_estq[empresa], AJ$6,
    tb_estq[Data da venda / reserva], "&gt;=" &amp; $A28,
    tb_estq[Data da venda / reserva], "&lt;"  &amp; EOMONTH($A28,0) + 1
)</f>
        <v>0</v>
      </c>
      <c r="AK28" s="120">
        <f ca="1">SUMIFS(tb_rec_uni[2023-02-01],
INDIRECT("tb_rec_uni[natureza]"),"pro.soluto",
INDIRECT("tb_rec_uni[empresa]"),AK$6)</f>
        <v>0</v>
      </c>
      <c r="AL28" s="120">
        <f ca="1">SUMIFS(tb_rec_uni[2023-02-01],
INDIRECT("tb_rec_uni[natureza]"),"repasse.cef.obra",
INDIRECT("tb_rec_uni[empresa]"),AL$6)</f>
        <v>0</v>
      </c>
      <c r="AM28" s="120">
        <f ca="1">SUMIFS(tb_rec_uni[2023-02-01],
INDIRECT("tb_rec_uni[natureza]"),"repasse.cef.terreno",
INDIRECT("tb_rec_uni[empresa]"),AM$6)</f>
        <v>0</v>
      </c>
      <c r="AN28" s="120">
        <v>0</v>
      </c>
      <c r="AO28" s="120">
        <f ca="1">SUMIFS(tb_rec_uni[2023-02-01],
INDIRECT("tb_rec_uni[natureza]"),"taxa.extra",
INDIRECT("tb_rec_uni[empresa]"),AO$6)</f>
        <v>0</v>
      </c>
      <c r="AP28" s="108"/>
      <c r="AQ28" s="120">
        <f ca="1">SUMIFS(
  m.vb[valor],
  m.vb[nucleo],$AJ$1,
  m.vb[variavel],AQ$7,
  m.vb[mes],$A28
)</f>
        <v>0</v>
      </c>
      <c r="AR28" s="120">
        <f ca="1">SUMIFS(
  m.vb[valor],
  m.vb[nucleo],$AJ$1,
  m.vb[variavel],AR$7,
  m.vb[mes],$A28
)</f>
        <v>0</v>
      </c>
      <c r="AS28" s="120">
        <f ca="1">SUMIFS(
  m.vb[valor],
  m.vb[nucleo],$AJ$1,
  m.vb[variavel],AS$7,
  m.vb[mes],$A28
)</f>
        <v>0</v>
      </c>
      <c r="AT28" s="120">
        <f ca="1">SUMIFS(
  m.vb[valor],
  m.vb[nucleo],$AJ$1,
  m.vb[variavel],AT$7,
  m.vb[mes],$A28
)</f>
        <v>0</v>
      </c>
      <c r="AU28" s="121">
        <f ca="1">SUMIFS(
  m.vb[valor],
  m.vb[nucleo],$AJ$1,
  m.vb[variavel],AU$7,
  m.vb[mes],$A28
)</f>
        <v>0</v>
      </c>
      <c r="AV28" s="119">
        <f>COUNTIFS(
    tb_estq[empresa], AV$6,
    tb_estq[Data da venda / reserva], "&gt;=" &amp; $A28,
    tb_estq[Data da venda / reserva], "&lt;"  &amp; EOMONTH($A28,0) + 1
)</f>
        <v>0</v>
      </c>
      <c r="AW28" s="120">
        <f ca="1">SUMIFS(tb_rec_uni[2023-02-01],
INDIRECT("tb_rec_uni[natureza]"),"pro.soluto",
INDIRECT("tb_rec_uni[empresa]"),AW$6)</f>
        <v>0</v>
      </c>
      <c r="AX28" s="120">
        <f ca="1">SUMIFS(tb_rec_uni[2023-02-01],
INDIRECT("tb_rec_uni[natureza]"),"repasse.cef.obra",
INDIRECT("tb_rec_uni[empresa]"),AX$6)</f>
        <v>0</v>
      </c>
      <c r="AY28" s="120">
        <f ca="1">SUMIFS(tb_rec_uni[2023-02-01],
INDIRECT("tb_rec_uni[natureza]"),"repasse.cef.terreno",
INDIRECT("tb_rec_uni[empresa]"),AY$6)</f>
        <v>0</v>
      </c>
      <c r="AZ28" s="120">
        <v>0</v>
      </c>
      <c r="BA28" s="120">
        <f ca="1">SUMIFS(tb_rec_uni[2023-02-01],
INDIRECT("tb_rec_uni[natureza]"),"taxa.extra",
INDIRECT("tb_rec_uni[empresa]"),BA$6)</f>
        <v>0</v>
      </c>
      <c r="BB28" s="108"/>
      <c r="BC28" s="120">
        <f ca="1">SUMIFS(
  m.vb[valor],
  m.vb[nucleo],$AV$1,
  m.vb[variavel],BC$7,
  m.vb[mes],$A28
)</f>
        <v>0</v>
      </c>
      <c r="BD28" s="120">
        <f ca="1">SUMIFS(
  m.vb[valor],
  m.vb[nucleo],$AV$1,
  m.vb[variavel],BD$7,
  m.vb[mes],$A28
)</f>
        <v>0</v>
      </c>
      <c r="BE28" s="120">
        <f ca="1">SUMIFS(
  m.vb[valor],
  m.vb[nucleo],$AV$1,
  m.vb[variavel],BE$7,
  m.vb[mes],$A28
)</f>
        <v>0</v>
      </c>
      <c r="BF28" s="120">
        <f ca="1">SUMIFS(
  m.vb[valor],
  m.vb[nucleo],$AV$1,
  m.vb[variavel],BF$7,
  m.vb[mes],$A28
)</f>
        <v>0</v>
      </c>
      <c r="BG28" s="121">
        <f ca="1">SUMIFS(
  m.vb[valor],
  m.vb[nucleo],$AV$1,
  m.vb[variavel],BG$7,
  m.vb[mes],$A28
)</f>
        <v>0</v>
      </c>
      <c r="BH28" s="119">
        <f>COUNTIFS(
    tb_estq[empresa], BH$6,
    tb_estq[Data da venda / reserva], "&gt;=" &amp; $A28,
    tb_estq[Data da venda / reserva], "&lt;"  &amp; EOMONTH($A28,0) + 1
)</f>
        <v>0</v>
      </c>
      <c r="BI28" s="120">
        <f ca="1">SUMIFS(tb_rec_uni[2023-02-01],
INDIRECT("tb_rec_uni[natureza]"),"pro.soluto",
INDIRECT("tb_rec_uni[empresa]"),BI$6)</f>
        <v>0</v>
      </c>
      <c r="BJ28" s="108">
        <v>0</v>
      </c>
      <c r="BK28" s="120">
        <f ca="1">SUMIFS(tb_rec_uni[2023-02-01],
INDIRECT("tb_rec_uni[natureza]"),"taxa.extra",
INDIRECT("tb_rec_uni[empresa]"),BK$6)</f>
        <v>0</v>
      </c>
      <c r="BL28" s="108"/>
      <c r="BM28" s="120">
        <f ca="1">SUMIFS(
  m.vb[valor],
  m.vb[nucleo],$BH$1,
  m.vb[variavel],BM$7,
  m.vb[mes],$A28
)</f>
        <v>0</v>
      </c>
      <c r="BN28" s="120">
        <f ca="1">SUMIFS(
  m.vb[valor],
  m.vb[nucleo],$BH$1,
  m.vb[variavel],BN$7,
  m.vb[mes],$A28
)</f>
        <v>0</v>
      </c>
      <c r="BO28" s="120">
        <f ca="1">SUMIFS(
  m.vb[valor],
  m.vb[nucleo],$BH$1,
  m.vb[variavel],BO$7,
  m.vb[mes],$A28
)</f>
        <v>0</v>
      </c>
      <c r="BP28" s="120">
        <f ca="1">SUMIFS(
  m.vb[valor],
  m.vb[nucleo],$BH$1,
  m.vb[variavel],BP$7,
  m.vb[mes],$A28
)</f>
        <v>0</v>
      </c>
      <c r="BQ28" s="121">
        <f ca="1">SUMIFS(
  m.vb[valor],
  m.vb[nucleo],$BH$1,
  m.vb[variavel],BQ$7,
  m.vb[mes],$A28
)</f>
        <v>0</v>
      </c>
      <c r="BR28" s="119">
        <f>COUNTIFS(
    tb_estq[empresa], BR$6,
    tb_estq[Data da venda / reserva], "&gt;=" &amp; $A28,
    tb_estq[Data da venda / reserva], "&lt;"  &amp; EOMONTH($A28,0) + 1
)</f>
        <v>0</v>
      </c>
      <c r="BS28" s="120">
        <f ca="1">SUMIFS(tb_rec_uni[2023-02-01],
INDIRECT("tb_rec_uni[natureza]"),"pro.soluto",
INDIRECT("tb_rec_uni[empresa]"),BS$6)</f>
        <v>0</v>
      </c>
      <c r="BT28" s="120">
        <f ca="1">SUMIFS(tb_rec_uni[2023-02-01],
INDIRECT("tb_rec_uni[natureza]"),"parcela.fin.total.ik",
INDIRECT("tb_rec_uni[empresa]"),BT$6)</f>
        <v>0</v>
      </c>
      <c r="BU28" s="120">
        <f ca="1">SUMIFS(tb_rec_uni[2023-02-01],
INDIRECT("tb_rec_uni[natureza]"),"taxa.extra",
INDIRECT("tb_rec_uni[empresa]"),BU$6)</f>
        <v>0</v>
      </c>
      <c r="BV28" s="108"/>
      <c r="BW28" s="120">
        <f ca="1">SUMIFS(
  m.vb[valor],
  m.vb[nucleo],$BR$1,
  m.vb[variavel],BW$7,
  m.vb[mes],$A28
)</f>
        <v>0</v>
      </c>
      <c r="BX28" s="120">
        <f ca="1">SUMIFS(
  m.vb[valor],
  m.vb[nucleo],$BR$1,
  m.vb[variavel],BX$7,
  m.vb[mes],$A28
)</f>
        <v>0</v>
      </c>
      <c r="BY28" s="120">
        <f ca="1">SUMIFS(
  m.vb[valor],
  m.vb[nucleo],$BR$1,
  m.vb[variavel],BY$7,
  m.vb[mes],$A28
)</f>
        <v>0</v>
      </c>
      <c r="BZ28" s="120">
        <f ca="1">SUMIFS(
  m.vb[valor],
  m.vb[nucleo],$BR$1,
  m.vb[variavel],BZ$7,
  m.vb[mes],$A28
)</f>
        <v>0</v>
      </c>
      <c r="CA28" s="121">
        <f ca="1">SUMIFS(
  m.vb[valor],
  m.vb[nucleo],$BR$1,
  m.vb[variavel],CA$7,
  m.vb[mes],$A28
)</f>
        <v>0</v>
      </c>
      <c r="CB28" s="119">
        <f>COUNTIFS(
    tb_estq[empresa], CB$6,
    tb_estq[Data da venda / reserva], "&gt;=" &amp; $A28,
    tb_estq[Data da venda / reserva], "&lt;"  &amp; EOMONTH($A28,0) + 1
)</f>
        <v>0</v>
      </c>
      <c r="CC28" s="120">
        <f ca="1">SUMIFS(tb_rec_uni[2023-02-01],
INDIRECT("tb_rec_uni[natureza]"),"pro.soluto",
INDIRECT("tb_rec_uni[empresa]"),CC$6)</f>
        <v>0</v>
      </c>
      <c r="CD28" s="120">
        <f ca="1">SUMIFS(tb_rec_uni[2023-02-01],
INDIRECT("tb_rec_uni[natureza]"),"repasse.cef.obra",
INDIRECT("tb_rec_uni[empresa]"),CD$6)</f>
        <v>0</v>
      </c>
      <c r="CE28" s="120">
        <f ca="1">SUMIFS(tb_rec_uni[2023-02-01],
INDIRECT("tb_rec_uni[natureza]"),"repasse.cef.terreno",
INDIRECT("tb_rec_uni[empresa]"),CE$6)</f>
        <v>0</v>
      </c>
      <c r="CF28" s="120">
        <v>0</v>
      </c>
      <c r="CG28" s="120">
        <f ca="1">SUMIFS(tb_rec_uni[2023-02-01],
INDIRECT("tb_rec_uni[natureza]"),"taxa.extra",
INDIRECT("tb_rec_uni[empresa]"),CG$6)</f>
        <v>0</v>
      </c>
      <c r="CH28" s="108"/>
      <c r="CI28" s="120">
        <f ca="1">SUMIFS(
  m.vb[valor],
  m.vb[nucleo],$CB$1,
  m.vb[variavel],CI$7,
  m.vb[mes],$A28
)</f>
        <v>0</v>
      </c>
      <c r="CJ28" s="120">
        <f ca="1">SUMIFS(
  m.vb[valor],
  m.vb[nucleo],$CB$1,
  m.vb[variavel],CJ$7,
  m.vb[mes],$A28
)</f>
        <v>0</v>
      </c>
      <c r="CK28" s="120">
        <f ca="1">SUMIFS(
  m.vb[valor],
  m.vb[nucleo],$CB$1,
  m.vb[variavel],CK$7,
  m.vb[mes],$A28
)</f>
        <v>0</v>
      </c>
      <c r="CL28" s="120">
        <f ca="1">SUMIFS(
  m.vb[valor],
  m.vb[nucleo],$CB$1,
  m.vb[variavel],CL$7,
  m.vb[mes],$A28
)</f>
        <v>0</v>
      </c>
      <c r="CM28" s="121">
        <f ca="1">SUMIFS(
  m.vb[valor],
  m.vb[nucleo],$CB$1,
  m.vb[variavel],CM$7,
  m.vb[mes],$A28
)</f>
        <v>0</v>
      </c>
      <c r="CN28" s="119">
        <f>COUNTIFS(
    tb_estq[empresa], CN$6,
    tb_estq[Data da venda / reserva], "&gt;=" &amp; $A28,
    tb_estq[Data da venda / reserva], "&lt;"  &amp; EOMONTH($A28,0) + 1
)</f>
        <v>0</v>
      </c>
      <c r="CO28" s="120">
        <f ca="1">SUMIFS(tb_rec_uni[2023-02-01],
INDIRECT("tb_rec_uni[natureza]"),"pro.soluto",
INDIRECT("tb_rec_uni[empresa]"),CO$6)</f>
        <v>0</v>
      </c>
      <c r="CP28" s="120">
        <f ca="1">SUMIFS(tb_rec_uni[2023-02-01],
INDIRECT("tb_rec_uni[natureza]"),"repasse.cef.obra",
INDIRECT("tb_rec_uni[empresa]"),CP$6)</f>
        <v>0</v>
      </c>
      <c r="CQ28" s="120">
        <f ca="1">SUMIFS(tb_rec_uni[2023-02-01],
INDIRECT("tb_rec_uni[natureza]"),"repasse.cef.terreno",
INDIRECT("tb_rec_uni[empresa]"),CQ$6)</f>
        <v>0</v>
      </c>
      <c r="CR28" s="120">
        <v>0</v>
      </c>
      <c r="CS28" s="120">
        <f ca="1">SUMIFS(tb_rec_uni[2023-02-01],
INDIRECT("tb_rec_uni[natureza]"),"taxa.extra",
INDIRECT("tb_rec_uni[empresa]"),CS$6)</f>
        <v>0</v>
      </c>
      <c r="CT28" s="108"/>
      <c r="CU28" s="120">
        <f ca="1">SUMIFS(
  m.vb[valor],
  m.vb[nucleo],$CN$1,
  m.vb[variavel],CU$7,
  m.vb[mes],$A28
)</f>
        <v>0</v>
      </c>
      <c r="CV28" s="120" cm="1">
        <f t="array" ref="CV28">SUMPRODUCT(
  IFERROR(--tb_desp[valor],0)*
  (tb_desp[nucleo]="UP MOVE VILA SONIA")*
  (tb_desp[categoria]=CV$7)*
  (tb_desp[data.pagamento]&gt;=$A28)*
  (tb_desp[data.pagamento]&lt;EOMONTH($A28,0)+1)
)</f>
        <v>0</v>
      </c>
      <c r="CW28" s="120" cm="1">
        <f t="array" ref="CW28">SUMPRODUCT(
  IFERROR(--tb_desp[valor],0)*
  (tb_desp[nucleo]="UP MOVE VILA SONIA")*
  (tb_desp[categoria]=CW$7)*
  (tb_desp[data.pagamento]&gt;=$A28)*
  (tb_desp[data.pagamento]&lt;EOMONTH($A28,0)+1)
)</f>
        <v>0</v>
      </c>
      <c r="CX28" s="120" cm="1">
        <f t="array" ref="CX28">SUMPRODUCT(
  IFERROR(--tb_desp[valor],0)*
  (tb_desp[nucleo]="UP MOVE VILA SONIA")*
  (tb_desp[categoria]=CX$7)*
  (tb_desp[data.pagamento]&gt;=$A28)*
  (tb_desp[data.pagamento]&lt;EOMONTH($A28,0)+1)
)</f>
        <v>0</v>
      </c>
      <c r="CY28" s="122" cm="1">
        <f t="array" ref="CY28">SUMPRODUCT(
  IFERROR(--tb_desp[valor],0)*
  (tb_desp[nucleo]="UP MOVE VILA SONIA")*
  (tb_desp[categoria]=CY$7)*
  (tb_desp[data.pagamento]&gt;=$A28)*
  (tb_desp[data.pagamento]&lt;EOMONTH($A28,0)+1)
)</f>
        <v>0</v>
      </c>
    </row>
    <row r="29" spans="1:103" x14ac:dyDescent="0.25">
      <c r="A29" s="118">
        <v>44986</v>
      </c>
      <c r="B29" s="119">
        <f>COUNTIFS(
    tb_estq[empresa], B$6,
    tb_estq[Data da venda / reserva], "&gt;=" &amp; $A29,
    tb_estq[Data da venda / reserva], "&lt;"  &amp; EOMONTH($A29,0) + 1
)</f>
        <v>0</v>
      </c>
      <c r="C29" s="120">
        <f ca="1">SUMIFS(tb_rec_uni[2023-03-01],
INDIRECT("tb_rec_uni[natureza]"),"pro.soluto",
INDIRECT("tb_rec_uni[empresa]"),C$6)</f>
        <v>0</v>
      </c>
      <c r="D29" s="120">
        <f ca="1">SUMIFS(tb_rec_uni[2023-03-01],
INDIRECT("tb_rec_uni[natureza]"),"repasse.cef.obra",
INDIRECT("tb_rec_uni[empresa]"),D$6)</f>
        <v>0</v>
      </c>
      <c r="E29" s="120">
        <f ca="1">SUMIFS(tb_rec_uni[2023-03-01],
INDIRECT("tb_rec_uni[natureza]"),"repasse.cef.terreno",
INDIRECT("tb_rec_uni[empresa]"),E$6)</f>
        <v>0</v>
      </c>
      <c r="F29" s="120">
        <v>0</v>
      </c>
      <c r="G29" s="120">
        <f ca="1">SUMIFS(tb_rec_uni[2023-03-01],
INDIRECT("tb_rec_uni[natureza]"),"taxa.extra",
INDIRECT("tb_rec_uni[empresa]"),G$6)</f>
        <v>0</v>
      </c>
      <c r="H29" s="108"/>
      <c r="I29" s="120">
        <f ca="1">SUMIFS(
  m.vb[valor],
  m.vb[nucleo],$B$1,
  m.vb[variavel],I$7,
  m.vb[mes],$A29
)</f>
        <v>0</v>
      </c>
      <c r="J29" s="120">
        <f ca="1">SUMIFS(
  m.vb[valor],
  m.vb[nucleo],$B$1,
  m.vb[variavel],J$7,
  m.vb[mes],$A29
)</f>
        <v>0</v>
      </c>
      <c r="K29" s="120">
        <f ca="1">SUMIFS(
  m.vb[valor],
  m.vb[nucleo],$B$1,
  m.vb[variavel],K$7,
  m.vb[mes],$A29
)</f>
        <v>0</v>
      </c>
      <c r="L29" s="120">
        <f ca="1">SUMIFS(
  m.vb[valor],
  m.vb[nucleo],$B$1,
  m.vb[variavel],L$7,
  m.vb[mes],$A29
)</f>
        <v>0</v>
      </c>
      <c r="M29" s="121">
        <f ca="1">SUMIFS(
  m.vb[valor],
  m.vb[nucleo],$B$1,
  m.vb[variavel],M$7,
  m.vb[mes],$A29
)</f>
        <v>0</v>
      </c>
      <c r="N29" s="119">
        <f>COUNTIFS(
    tb_estq[empresa], N$6,
    tb_estq[Data da venda / reserva], "&gt;=" &amp; $A29,
    tb_estq[Data da venda / reserva], "&lt;"  &amp; EOMONTH($A29,0) + 1
)</f>
        <v>0</v>
      </c>
      <c r="O29" s="120">
        <f ca="1">SUMIFS(tb_rec_uni[2023-03-01],
INDIRECT("tb_rec_uni[natureza]"),"pro.soluto",
INDIRECT("tb_rec_uni[empresa]"),O$6)</f>
        <v>0</v>
      </c>
      <c r="P29" s="120">
        <f ca="1">SUMIFS(tb_rec_uni[2023-03-01],
INDIRECT("tb_rec_uni[natureza]"),"repasse.cef.obra",
INDIRECT("tb_rec_uni[empresa]"),P$6)</f>
        <v>0</v>
      </c>
      <c r="Q29" s="120">
        <f ca="1">SUMIFS(tb_rec_uni[2023-03-01],
INDIRECT("tb_rec_uni[natureza]"),"repasse.cef.terreno",
INDIRECT("tb_rec_uni[empresa]"),Q$6)</f>
        <v>0</v>
      </c>
      <c r="R29" s="120">
        <v>0</v>
      </c>
      <c r="S29" s="120">
        <f ca="1">SUMIFS(tb_rec_uni[2023-03-01],
INDIRECT("tb_rec_uni[natureza]"),"taxa.extra",
INDIRECT("tb_rec_uni[empresa]"),S$6)</f>
        <v>0</v>
      </c>
      <c r="T29" s="108"/>
      <c r="U29" s="120">
        <f ca="1">SUMIFS(
  m.vb[valor],
  m.vb[nucleo],$N$1,
  m.vb[variavel],U$7,
  m.vb[mes],$A29
)</f>
        <v>0</v>
      </c>
      <c r="V29" s="120">
        <f ca="1">SUMIFS(
  m.vb[valor],
  m.vb[nucleo],$N$1,
  m.vb[variavel],V$7,
  m.vb[mes],$A29
)</f>
        <v>0</v>
      </c>
      <c r="W29" s="120">
        <f ca="1">SUMIFS(
  m.vb[valor],
  m.vb[nucleo],$N$1,
  m.vb[variavel],W$7,
  m.vb[mes],$A29
)</f>
        <v>0</v>
      </c>
      <c r="X29" s="120">
        <f ca="1">SUMIFS(
  m.vb[valor],
  m.vb[nucleo],$N$1,
  m.vb[variavel],X$7,
  m.vb[mes],$A29
)</f>
        <v>0</v>
      </c>
      <c r="Y29" s="121">
        <f ca="1">SUMIFS(
  m.vb[valor],
  m.vb[nucleo],$N$1,
  m.vb[variavel],Y$7,
  m.vb[mes],$A29
)</f>
        <v>0</v>
      </c>
      <c r="Z29" s="119">
        <f>COUNTIFS(
    tb_estq[empresa], Z$6,
    tb_estq[Data da venda / reserva], "&gt;=" &amp; $A29,
    tb_estq[Data da venda / reserva], "&lt;"  &amp; EOMONTH($A29,0) + 1
)</f>
        <v>0</v>
      </c>
      <c r="AA29" s="120">
        <f ca="1">SUMIFS(tb_rec_uni[2023-03-01],
INDIRECT("tb_rec_uni[natureza]"),"pro.soluto",
INDIRECT("tb_rec_uni[empresa]"),AA$6)</f>
        <v>0</v>
      </c>
      <c r="AB29" s="120">
        <f ca="1">SUMIFS(tb_rec_uni[2023-03-01],
INDIRECT("tb_rec_uni[natureza]"),"parcela.fin.total.ik",
INDIRECT("tb_rec_uni[empresa]"),AB$6)</f>
        <v>0</v>
      </c>
      <c r="AC29" s="120">
        <f ca="1">SUMIFS(tb_rec_uni[2023-03-01],
INDIRECT("tb_rec_uni[natureza]"),"taxa.extra",
INDIRECT("tb_rec_uni[empresa]"),AC$6)</f>
        <v>0</v>
      </c>
      <c r="AD29" s="108"/>
      <c r="AE29" s="120">
        <f ca="1">SUMIFS(
  m.vb[valor],
  m.vb[nucleo],$Z$1,
  m.vb[variavel],AE$7,
  m.vb[mes],$A29
)</f>
        <v>0</v>
      </c>
      <c r="AF29" s="120">
        <f ca="1">SUMIFS(
  m.vb[valor],
  m.vb[nucleo],$Z$1,
  m.vb[variavel],AF$7,
  m.vb[mes],$A29
)</f>
        <v>0</v>
      </c>
      <c r="AG29" s="120">
        <f ca="1">SUMIFS(
  m.vb[valor],
  m.vb[nucleo],$Z$1,
  m.vb[variavel],AG$7,
  m.vb[mes],$A29
)</f>
        <v>0</v>
      </c>
      <c r="AH29" s="120">
        <f ca="1">SUMIFS(
  m.vb[valor],
  m.vb[nucleo],$Z$1,
  m.vb[variavel],AH$7,
  m.vb[mes],$A29
)</f>
        <v>0</v>
      </c>
      <c r="AI29" s="121">
        <f ca="1">SUMIFS(
  m.vb[valor],
  m.vb[nucleo],$Z$1,
  m.vb[variavel],AI$7,
  m.vb[mes],$A29
)</f>
        <v>0</v>
      </c>
      <c r="AJ29" s="119">
        <f>COUNTIFS(
    tb_estq[empresa], AJ$6,
    tb_estq[Data da venda / reserva], "&gt;=" &amp; $A29,
    tb_estq[Data da venda / reserva], "&lt;"  &amp; EOMONTH($A29,0) + 1
)</f>
        <v>0</v>
      </c>
      <c r="AK29" s="120">
        <f ca="1">SUMIFS(tb_rec_uni[2023-03-01],
INDIRECT("tb_rec_uni[natureza]"),"pro.soluto",
INDIRECT("tb_rec_uni[empresa]"),AK$6)</f>
        <v>0</v>
      </c>
      <c r="AL29" s="120">
        <f ca="1">SUMIFS(tb_rec_uni[2023-03-01],
INDIRECT("tb_rec_uni[natureza]"),"repasse.cef.obra",
INDIRECT("tb_rec_uni[empresa]"),AL$6)</f>
        <v>0</v>
      </c>
      <c r="AM29" s="120">
        <f ca="1">SUMIFS(tb_rec_uni[2023-03-01],
INDIRECT("tb_rec_uni[natureza]"),"repasse.cef.terreno",
INDIRECT("tb_rec_uni[empresa]"),AM$6)</f>
        <v>0</v>
      </c>
      <c r="AN29" s="120">
        <v>0</v>
      </c>
      <c r="AO29" s="120">
        <f ca="1">SUMIFS(tb_rec_uni[2023-03-01],
INDIRECT("tb_rec_uni[natureza]"),"taxa.extra",
INDIRECT("tb_rec_uni[empresa]"),AO$6)</f>
        <v>0</v>
      </c>
      <c r="AP29" s="108"/>
      <c r="AQ29" s="120">
        <f ca="1">SUMIFS(
  m.vb[valor],
  m.vb[nucleo],$AJ$1,
  m.vb[variavel],AQ$7,
  m.vb[mes],$A29
)</f>
        <v>0</v>
      </c>
      <c r="AR29" s="120">
        <f ca="1">SUMIFS(
  m.vb[valor],
  m.vb[nucleo],$AJ$1,
  m.vb[variavel],AR$7,
  m.vb[mes],$A29
)</f>
        <v>0</v>
      </c>
      <c r="AS29" s="120">
        <f ca="1">SUMIFS(
  m.vb[valor],
  m.vb[nucleo],$AJ$1,
  m.vb[variavel],AS$7,
  m.vb[mes],$A29
)</f>
        <v>0</v>
      </c>
      <c r="AT29" s="120">
        <f ca="1">SUMIFS(
  m.vb[valor],
  m.vb[nucleo],$AJ$1,
  m.vb[variavel],AT$7,
  m.vb[mes],$A29
)</f>
        <v>0</v>
      </c>
      <c r="AU29" s="121">
        <f ca="1">SUMIFS(
  m.vb[valor],
  m.vb[nucleo],$AJ$1,
  m.vb[variavel],AU$7,
  m.vb[mes],$A29
)</f>
        <v>0</v>
      </c>
      <c r="AV29" s="119">
        <f>COUNTIFS(
    tb_estq[empresa], AV$6,
    tb_estq[Data da venda / reserva], "&gt;=" &amp; $A29,
    tb_estq[Data da venda / reserva], "&lt;"  &amp; EOMONTH($A29,0) + 1
)</f>
        <v>0</v>
      </c>
      <c r="AW29" s="120">
        <f ca="1">SUMIFS(tb_rec_uni[2023-03-01],
INDIRECT("tb_rec_uni[natureza]"),"pro.soluto",
INDIRECT("tb_rec_uni[empresa]"),AW$6)</f>
        <v>0</v>
      </c>
      <c r="AX29" s="120">
        <f ca="1">SUMIFS(tb_rec_uni[2023-03-01],
INDIRECT("tb_rec_uni[natureza]"),"repasse.cef.obra",
INDIRECT("tb_rec_uni[empresa]"),AX$6)</f>
        <v>0</v>
      </c>
      <c r="AY29" s="120">
        <f ca="1">SUMIFS(tb_rec_uni[2023-03-01],
INDIRECT("tb_rec_uni[natureza]"),"repasse.cef.terreno",
INDIRECT("tb_rec_uni[empresa]"),AY$6)</f>
        <v>0</v>
      </c>
      <c r="AZ29" s="120">
        <v>0</v>
      </c>
      <c r="BA29" s="120">
        <f ca="1">SUMIFS(tb_rec_uni[2023-03-01],
INDIRECT("tb_rec_uni[natureza]"),"taxa.extra",
INDIRECT("tb_rec_uni[empresa]"),BA$6)</f>
        <v>0</v>
      </c>
      <c r="BB29" s="108"/>
      <c r="BC29" s="120">
        <f ca="1">SUMIFS(
  m.vb[valor],
  m.vb[nucleo],$AV$1,
  m.vb[variavel],BC$7,
  m.vb[mes],$A29
)</f>
        <v>0</v>
      </c>
      <c r="BD29" s="120">
        <f ca="1">SUMIFS(
  m.vb[valor],
  m.vb[nucleo],$AV$1,
  m.vb[variavel],BD$7,
  m.vb[mes],$A29
)</f>
        <v>0</v>
      </c>
      <c r="BE29" s="120">
        <f ca="1">SUMIFS(
  m.vb[valor],
  m.vb[nucleo],$AV$1,
  m.vb[variavel],BE$7,
  m.vb[mes],$A29
)</f>
        <v>0</v>
      </c>
      <c r="BF29" s="120">
        <f ca="1">SUMIFS(
  m.vb[valor],
  m.vb[nucleo],$AV$1,
  m.vb[variavel],BF$7,
  m.vb[mes],$A29
)</f>
        <v>0</v>
      </c>
      <c r="BG29" s="121">
        <f ca="1">SUMIFS(
  m.vb[valor],
  m.vb[nucleo],$AV$1,
  m.vb[variavel],BG$7,
  m.vb[mes],$A29
)</f>
        <v>0</v>
      </c>
      <c r="BH29" s="119">
        <f>COUNTIFS(
    tb_estq[empresa], BH$6,
    tb_estq[Data da venda / reserva], "&gt;=" &amp; $A29,
    tb_estq[Data da venda / reserva], "&lt;"  &amp; EOMONTH($A29,0) + 1
)</f>
        <v>0</v>
      </c>
      <c r="BI29" s="120">
        <f ca="1">SUMIFS(tb_rec_uni[2023-03-01],
INDIRECT("tb_rec_uni[natureza]"),"pro.soluto",
INDIRECT("tb_rec_uni[empresa]"),BI$6)</f>
        <v>0</v>
      </c>
      <c r="BJ29" s="108">
        <v>0</v>
      </c>
      <c r="BK29" s="120">
        <f ca="1">SUMIFS(tb_rec_uni[2023-03-01],
INDIRECT("tb_rec_uni[natureza]"),"taxa.extra",
INDIRECT("tb_rec_uni[empresa]"),BK$6)</f>
        <v>0</v>
      </c>
      <c r="BL29" s="108"/>
      <c r="BM29" s="120">
        <f ca="1">SUMIFS(
  m.vb[valor],
  m.vb[nucleo],$BH$1,
  m.vb[variavel],BM$7,
  m.vb[mes],$A29
)</f>
        <v>0</v>
      </c>
      <c r="BN29" s="120">
        <f ca="1">SUMIFS(
  m.vb[valor],
  m.vb[nucleo],$BH$1,
  m.vb[variavel],BN$7,
  m.vb[mes],$A29
)</f>
        <v>0</v>
      </c>
      <c r="BO29" s="120">
        <f ca="1">SUMIFS(
  m.vb[valor],
  m.vb[nucleo],$BH$1,
  m.vb[variavel],BO$7,
  m.vb[mes],$A29
)</f>
        <v>0</v>
      </c>
      <c r="BP29" s="120">
        <f ca="1">SUMIFS(
  m.vb[valor],
  m.vb[nucleo],$BH$1,
  m.vb[variavel],BP$7,
  m.vb[mes],$A29
)</f>
        <v>0</v>
      </c>
      <c r="BQ29" s="121">
        <f ca="1">SUMIFS(
  m.vb[valor],
  m.vb[nucleo],$BH$1,
  m.vb[variavel],BQ$7,
  m.vb[mes],$A29
)</f>
        <v>0</v>
      </c>
      <c r="BR29" s="119">
        <f>COUNTIFS(
    tb_estq[empresa], BR$6,
    tb_estq[Data da venda / reserva], "&gt;=" &amp; $A29,
    tb_estq[Data da venda / reserva], "&lt;"  &amp; EOMONTH($A29,0) + 1
)</f>
        <v>0</v>
      </c>
      <c r="BS29" s="120">
        <f ca="1">SUMIFS(tb_rec_uni[2023-03-01],
INDIRECT("tb_rec_uni[natureza]"),"pro.soluto",
INDIRECT("tb_rec_uni[empresa]"),BS$6)</f>
        <v>0</v>
      </c>
      <c r="BT29" s="120">
        <f ca="1">SUMIFS(tb_rec_uni[2023-03-01],
INDIRECT("tb_rec_uni[natureza]"),"parcela.fin.total.ik",
INDIRECT("tb_rec_uni[empresa]"),BT$6)</f>
        <v>0</v>
      </c>
      <c r="BU29" s="120">
        <f ca="1">SUMIFS(tb_rec_uni[2023-03-01],
INDIRECT("tb_rec_uni[natureza]"),"taxa.extra",
INDIRECT("tb_rec_uni[empresa]"),BU$6)</f>
        <v>0</v>
      </c>
      <c r="BV29" s="108"/>
      <c r="BW29" s="120">
        <f ca="1">SUMIFS(
  m.vb[valor],
  m.vb[nucleo],$BR$1,
  m.vb[variavel],BW$7,
  m.vb[mes],$A29
)</f>
        <v>0</v>
      </c>
      <c r="BX29" s="120">
        <f ca="1">SUMIFS(
  m.vb[valor],
  m.vb[nucleo],$BR$1,
  m.vb[variavel],BX$7,
  m.vb[mes],$A29
)</f>
        <v>0</v>
      </c>
      <c r="BY29" s="120">
        <f ca="1">SUMIFS(
  m.vb[valor],
  m.vb[nucleo],$BR$1,
  m.vb[variavel],BY$7,
  m.vb[mes],$A29
)</f>
        <v>0</v>
      </c>
      <c r="BZ29" s="120">
        <f ca="1">SUMIFS(
  m.vb[valor],
  m.vb[nucleo],$BR$1,
  m.vb[variavel],BZ$7,
  m.vb[mes],$A29
)</f>
        <v>0</v>
      </c>
      <c r="CA29" s="121">
        <f ca="1">SUMIFS(
  m.vb[valor],
  m.vb[nucleo],$BR$1,
  m.vb[variavel],CA$7,
  m.vb[mes],$A29
)</f>
        <v>0</v>
      </c>
      <c r="CB29" s="119">
        <f>COUNTIFS(
    tb_estq[empresa], CB$6,
    tb_estq[Data da venda / reserva], "&gt;=" &amp; $A29,
    tb_estq[Data da venda / reserva], "&lt;"  &amp; EOMONTH($A29,0) + 1
)</f>
        <v>0</v>
      </c>
      <c r="CC29" s="120">
        <f ca="1">SUMIFS(tb_rec_uni[2023-03-01],
INDIRECT("tb_rec_uni[natureza]"),"pro.soluto",
INDIRECT("tb_rec_uni[empresa]"),CC$6)</f>
        <v>0</v>
      </c>
      <c r="CD29" s="120">
        <f ca="1">SUMIFS(tb_rec_uni[2023-03-01],
INDIRECT("tb_rec_uni[natureza]"),"repasse.cef.obra",
INDIRECT("tb_rec_uni[empresa]"),CD$6)</f>
        <v>0</v>
      </c>
      <c r="CE29" s="120">
        <f ca="1">SUMIFS(tb_rec_uni[2023-03-01],
INDIRECT("tb_rec_uni[natureza]"),"repasse.cef.terreno",
INDIRECT("tb_rec_uni[empresa]"),CE$6)</f>
        <v>0</v>
      </c>
      <c r="CF29" s="120">
        <v>0</v>
      </c>
      <c r="CG29" s="120">
        <f ca="1">SUMIFS(tb_rec_uni[2023-03-01],
INDIRECT("tb_rec_uni[natureza]"),"taxa.extra",
INDIRECT("tb_rec_uni[empresa]"),CG$6)</f>
        <v>0</v>
      </c>
      <c r="CH29" s="108"/>
      <c r="CI29" s="120">
        <f ca="1">SUMIFS(
  m.vb[valor],
  m.vb[nucleo],$CB$1,
  m.vb[variavel],CI$7,
  m.vb[mes],$A29
)</f>
        <v>0</v>
      </c>
      <c r="CJ29" s="120">
        <f ca="1">SUMIFS(
  m.vb[valor],
  m.vb[nucleo],$CB$1,
  m.vb[variavel],CJ$7,
  m.vb[mes],$A29
)</f>
        <v>0</v>
      </c>
      <c r="CK29" s="120">
        <f ca="1">SUMIFS(
  m.vb[valor],
  m.vb[nucleo],$CB$1,
  m.vb[variavel],CK$7,
  m.vb[mes],$A29
)</f>
        <v>0</v>
      </c>
      <c r="CL29" s="120">
        <f ca="1">SUMIFS(
  m.vb[valor],
  m.vb[nucleo],$CB$1,
  m.vb[variavel],CL$7,
  m.vb[mes],$A29
)</f>
        <v>0</v>
      </c>
      <c r="CM29" s="121">
        <f ca="1">SUMIFS(
  m.vb[valor],
  m.vb[nucleo],$CB$1,
  m.vb[variavel],CM$7,
  m.vb[mes],$A29
)</f>
        <v>0</v>
      </c>
      <c r="CN29" s="119">
        <f>COUNTIFS(
    tb_estq[empresa], CN$6,
    tb_estq[Data da venda / reserva], "&gt;=" &amp; $A29,
    tb_estq[Data da venda / reserva], "&lt;"  &amp; EOMONTH($A29,0) + 1
)</f>
        <v>0</v>
      </c>
      <c r="CO29" s="120">
        <f ca="1">SUMIFS(tb_rec_uni[2023-03-01],
INDIRECT("tb_rec_uni[natureza]"),"pro.soluto",
INDIRECT("tb_rec_uni[empresa]"),CO$6)</f>
        <v>0</v>
      </c>
      <c r="CP29" s="120">
        <f ca="1">SUMIFS(tb_rec_uni[2023-03-01],
INDIRECT("tb_rec_uni[natureza]"),"repasse.cef.obra",
INDIRECT("tb_rec_uni[empresa]"),CP$6)</f>
        <v>0</v>
      </c>
      <c r="CQ29" s="120">
        <f ca="1">SUMIFS(tb_rec_uni[2023-03-01],
INDIRECT("tb_rec_uni[natureza]"),"repasse.cef.terreno",
INDIRECT("tb_rec_uni[empresa]"),CQ$6)</f>
        <v>0</v>
      </c>
      <c r="CR29" s="120">
        <v>0</v>
      </c>
      <c r="CS29" s="120">
        <f ca="1">SUMIFS(tb_rec_uni[2023-03-01],
INDIRECT("tb_rec_uni[natureza]"),"taxa.extra",
INDIRECT("tb_rec_uni[empresa]"),CS$6)</f>
        <v>0</v>
      </c>
      <c r="CT29" s="108"/>
      <c r="CU29" s="120">
        <f ca="1">SUMIFS(
  m.vb[valor],
  m.vb[nucleo],$CN$1,
  m.vb[variavel],CU$7,
  m.vb[mes],$A29
)</f>
        <v>0</v>
      </c>
      <c r="CV29" s="120" cm="1">
        <f t="array" ref="CV29">SUMPRODUCT(
  IFERROR(--tb_desp[valor],0)*
  (tb_desp[nucleo]="UP MOVE VILA SONIA")*
  (tb_desp[categoria]=CV$7)*
  (tb_desp[data.pagamento]&gt;=$A29)*
  (tb_desp[data.pagamento]&lt;EOMONTH($A29,0)+1)
)</f>
        <v>0</v>
      </c>
      <c r="CW29" s="120" cm="1">
        <f t="array" ref="CW29">SUMPRODUCT(
  IFERROR(--tb_desp[valor],0)*
  (tb_desp[nucleo]="UP MOVE VILA SONIA")*
  (tb_desp[categoria]=CW$7)*
  (tb_desp[data.pagamento]&gt;=$A29)*
  (tb_desp[data.pagamento]&lt;EOMONTH($A29,0)+1)
)</f>
        <v>0</v>
      </c>
      <c r="CX29" s="120" cm="1">
        <f t="array" ref="CX29">SUMPRODUCT(
  IFERROR(--tb_desp[valor],0)*
  (tb_desp[nucleo]="UP MOVE VILA SONIA")*
  (tb_desp[categoria]=CX$7)*
  (tb_desp[data.pagamento]&gt;=$A29)*
  (tb_desp[data.pagamento]&lt;EOMONTH($A29,0)+1)
)</f>
        <v>0</v>
      </c>
      <c r="CY29" s="122" cm="1">
        <f t="array" ref="CY29">SUMPRODUCT(
  IFERROR(--tb_desp[valor],0)*
  (tb_desp[nucleo]="UP MOVE VILA SONIA")*
  (tb_desp[categoria]=CY$7)*
  (tb_desp[data.pagamento]&gt;=$A29)*
  (tb_desp[data.pagamento]&lt;EOMONTH($A29,0)+1)
)</f>
        <v>0</v>
      </c>
    </row>
    <row r="30" spans="1:103" x14ac:dyDescent="0.25">
      <c r="A30" s="118">
        <v>45017</v>
      </c>
      <c r="B30" s="119">
        <f>COUNTIFS(
    tb_estq[empresa], B$6,
    tb_estq[Data da venda / reserva], "&gt;=" &amp; $A30,
    tb_estq[Data da venda / reserva], "&lt;"  &amp; EOMONTH($A30,0) + 1
)</f>
        <v>0</v>
      </c>
      <c r="C30" s="120">
        <f ca="1">SUMIFS(tb_rec_uni[2023-04-01],
INDIRECT("tb_rec_uni[natureza]"),"pro.soluto",
INDIRECT("tb_rec_uni[empresa]"),C$6)</f>
        <v>0</v>
      </c>
      <c r="D30" s="120">
        <f ca="1">SUMIFS(tb_rec_uni[2023-04-01],
INDIRECT("tb_rec_uni[natureza]"),"repasse.cef.obra",
INDIRECT("tb_rec_uni[empresa]"),D$6)</f>
        <v>0</v>
      </c>
      <c r="E30" s="120">
        <f ca="1">SUMIFS(tb_rec_uni[2023-04-01],
INDIRECT("tb_rec_uni[natureza]"),"repasse.cef.terreno",
INDIRECT("tb_rec_uni[empresa]"),E$6)</f>
        <v>0</v>
      </c>
      <c r="F30" s="120">
        <v>0</v>
      </c>
      <c r="G30" s="120">
        <f ca="1">SUMIFS(tb_rec_uni[2023-04-01],
INDIRECT("tb_rec_uni[natureza]"),"taxa.extra",
INDIRECT("tb_rec_uni[empresa]"),G$6)</f>
        <v>0</v>
      </c>
      <c r="H30" s="108"/>
      <c r="I30" s="120">
        <f ca="1">SUMIFS(
  m.vb[valor],
  m.vb[nucleo],$B$1,
  m.vb[variavel],I$7,
  m.vb[mes],$A30
)</f>
        <v>0</v>
      </c>
      <c r="J30" s="120">
        <f ca="1">SUMIFS(
  m.vb[valor],
  m.vb[nucleo],$B$1,
  m.vb[variavel],J$7,
  m.vb[mes],$A30
)</f>
        <v>0</v>
      </c>
      <c r="K30" s="120">
        <f ca="1">SUMIFS(
  m.vb[valor],
  m.vb[nucleo],$B$1,
  m.vb[variavel],K$7,
  m.vb[mes],$A30
)</f>
        <v>0</v>
      </c>
      <c r="L30" s="120">
        <f ca="1">SUMIFS(
  m.vb[valor],
  m.vb[nucleo],$B$1,
  m.vb[variavel],L$7,
  m.vb[mes],$A30
)</f>
        <v>0</v>
      </c>
      <c r="M30" s="121">
        <f ca="1">SUMIFS(
  m.vb[valor],
  m.vb[nucleo],$B$1,
  m.vb[variavel],M$7,
  m.vb[mes],$A30
)</f>
        <v>0</v>
      </c>
      <c r="N30" s="119">
        <f>COUNTIFS(
    tb_estq[empresa], N$6,
    tb_estq[Data da venda / reserva], "&gt;=" &amp; $A30,
    tb_estq[Data da venda / reserva], "&lt;"  &amp; EOMONTH($A30,0) + 1
)</f>
        <v>0</v>
      </c>
      <c r="O30" s="120">
        <f ca="1">SUMIFS(tb_rec_uni[2023-04-01],
INDIRECT("tb_rec_uni[natureza]"),"pro.soluto",
INDIRECT("tb_rec_uni[empresa]"),O$6)</f>
        <v>0</v>
      </c>
      <c r="P30" s="120">
        <f ca="1">SUMIFS(tb_rec_uni[2023-04-01],
INDIRECT("tb_rec_uni[natureza]"),"repasse.cef.obra",
INDIRECT("tb_rec_uni[empresa]"),P$6)</f>
        <v>0</v>
      </c>
      <c r="Q30" s="120">
        <f ca="1">SUMIFS(tb_rec_uni[2023-04-01],
INDIRECT("tb_rec_uni[natureza]"),"repasse.cef.terreno",
INDIRECT("tb_rec_uni[empresa]"),Q$6)</f>
        <v>0</v>
      </c>
      <c r="R30" s="120">
        <v>0</v>
      </c>
      <c r="S30" s="120">
        <f ca="1">SUMIFS(tb_rec_uni[2023-04-01],
INDIRECT("tb_rec_uni[natureza]"),"taxa.extra",
INDIRECT("tb_rec_uni[empresa]"),S$6)</f>
        <v>0</v>
      </c>
      <c r="T30" s="108"/>
      <c r="U30" s="120">
        <f ca="1">SUMIFS(
  m.vb[valor],
  m.vb[nucleo],$N$1,
  m.vb[variavel],U$7,
  m.vb[mes],$A30
)</f>
        <v>0</v>
      </c>
      <c r="V30" s="120">
        <f ca="1">SUMIFS(
  m.vb[valor],
  m.vb[nucleo],$N$1,
  m.vb[variavel],V$7,
  m.vb[mes],$A30
)</f>
        <v>0</v>
      </c>
      <c r="W30" s="120">
        <f ca="1">SUMIFS(
  m.vb[valor],
  m.vb[nucleo],$N$1,
  m.vb[variavel],W$7,
  m.vb[mes],$A30
)</f>
        <v>0</v>
      </c>
      <c r="X30" s="120">
        <f ca="1">SUMIFS(
  m.vb[valor],
  m.vb[nucleo],$N$1,
  m.vb[variavel],X$7,
  m.vb[mes],$A30
)</f>
        <v>0</v>
      </c>
      <c r="Y30" s="121">
        <f ca="1">SUMIFS(
  m.vb[valor],
  m.vb[nucleo],$N$1,
  m.vb[variavel],Y$7,
  m.vb[mes],$A30
)</f>
        <v>0</v>
      </c>
      <c r="Z30" s="119">
        <f>COUNTIFS(
    tb_estq[empresa], Z$6,
    tb_estq[Data da venda / reserva], "&gt;=" &amp; $A30,
    tb_estq[Data da venda / reserva], "&lt;"  &amp; EOMONTH($A30,0) + 1
)</f>
        <v>0</v>
      </c>
      <c r="AA30" s="120">
        <f ca="1">SUMIFS(tb_rec_uni[2023-04-01],
INDIRECT("tb_rec_uni[natureza]"),"pro.soluto",
INDIRECT("tb_rec_uni[empresa]"),AA$6)</f>
        <v>0</v>
      </c>
      <c r="AB30" s="120">
        <f ca="1">SUMIFS(tb_rec_uni[2023-04-01],
INDIRECT("tb_rec_uni[natureza]"),"parcela.fin.total.ik",
INDIRECT("tb_rec_uni[empresa]"),AB$6)</f>
        <v>0</v>
      </c>
      <c r="AC30" s="120">
        <f ca="1">SUMIFS(tb_rec_uni[2023-04-01],
INDIRECT("tb_rec_uni[natureza]"),"taxa.extra",
INDIRECT("tb_rec_uni[empresa]"),AC$6)</f>
        <v>0</v>
      </c>
      <c r="AD30" s="108"/>
      <c r="AE30" s="120">
        <f ca="1">SUMIFS(
  m.vb[valor],
  m.vb[nucleo],$Z$1,
  m.vb[variavel],AE$7,
  m.vb[mes],$A30
)</f>
        <v>0</v>
      </c>
      <c r="AF30" s="120">
        <f ca="1">SUMIFS(
  m.vb[valor],
  m.vb[nucleo],$Z$1,
  m.vb[variavel],AF$7,
  m.vb[mes],$A30
)</f>
        <v>0</v>
      </c>
      <c r="AG30" s="120">
        <f ca="1">SUMIFS(
  m.vb[valor],
  m.vb[nucleo],$Z$1,
  m.vb[variavel],AG$7,
  m.vb[mes],$A30
)</f>
        <v>0</v>
      </c>
      <c r="AH30" s="120">
        <f ca="1">SUMIFS(
  m.vb[valor],
  m.vb[nucleo],$Z$1,
  m.vb[variavel],AH$7,
  m.vb[mes],$A30
)</f>
        <v>0</v>
      </c>
      <c r="AI30" s="121">
        <f ca="1">SUMIFS(
  m.vb[valor],
  m.vb[nucleo],$Z$1,
  m.vb[variavel],AI$7,
  m.vb[mes],$A30
)</f>
        <v>0</v>
      </c>
      <c r="AJ30" s="119">
        <f>COUNTIFS(
    tb_estq[empresa], AJ$6,
    tb_estq[Data da venda / reserva], "&gt;=" &amp; $A30,
    tb_estq[Data da venda / reserva], "&lt;"  &amp; EOMONTH($A30,0) + 1
)</f>
        <v>0</v>
      </c>
      <c r="AK30" s="120">
        <f ca="1">SUMIFS(tb_rec_uni[2023-04-01],
INDIRECT("tb_rec_uni[natureza]"),"pro.soluto",
INDIRECT("tb_rec_uni[empresa]"),AK$6)</f>
        <v>0</v>
      </c>
      <c r="AL30" s="120">
        <f ca="1">SUMIFS(tb_rec_uni[2023-04-01],
INDIRECT("tb_rec_uni[natureza]"),"repasse.cef.obra",
INDIRECT("tb_rec_uni[empresa]"),AL$6)</f>
        <v>0</v>
      </c>
      <c r="AM30" s="120">
        <f ca="1">SUMIFS(tb_rec_uni[2023-04-01],
INDIRECT("tb_rec_uni[natureza]"),"repasse.cef.terreno",
INDIRECT("tb_rec_uni[empresa]"),AM$6)</f>
        <v>0</v>
      </c>
      <c r="AN30" s="120">
        <v>0</v>
      </c>
      <c r="AO30" s="120">
        <f ca="1">SUMIFS(tb_rec_uni[2023-04-01],
INDIRECT("tb_rec_uni[natureza]"),"taxa.extra",
INDIRECT("tb_rec_uni[empresa]"),AO$6)</f>
        <v>0</v>
      </c>
      <c r="AP30" s="108"/>
      <c r="AQ30" s="120">
        <f ca="1">SUMIFS(
  m.vb[valor],
  m.vb[nucleo],$AJ$1,
  m.vb[variavel],AQ$7,
  m.vb[mes],$A30
)</f>
        <v>0</v>
      </c>
      <c r="AR30" s="120">
        <f ca="1">SUMIFS(
  m.vb[valor],
  m.vb[nucleo],$AJ$1,
  m.vb[variavel],AR$7,
  m.vb[mes],$A30
)</f>
        <v>0</v>
      </c>
      <c r="AS30" s="120">
        <f ca="1">SUMIFS(
  m.vb[valor],
  m.vb[nucleo],$AJ$1,
  m.vb[variavel],AS$7,
  m.vb[mes],$A30
)</f>
        <v>0</v>
      </c>
      <c r="AT30" s="120">
        <f ca="1">SUMIFS(
  m.vb[valor],
  m.vb[nucleo],$AJ$1,
  m.vb[variavel],AT$7,
  m.vb[mes],$A30
)</f>
        <v>0</v>
      </c>
      <c r="AU30" s="121">
        <f ca="1">SUMIFS(
  m.vb[valor],
  m.vb[nucleo],$AJ$1,
  m.vb[variavel],AU$7,
  m.vb[mes],$A30
)</f>
        <v>0</v>
      </c>
      <c r="AV30" s="119">
        <f>COUNTIFS(
    tb_estq[empresa], AV$6,
    tb_estq[Data da venda / reserva], "&gt;=" &amp; $A30,
    tb_estq[Data da venda / reserva], "&lt;"  &amp; EOMONTH($A30,0) + 1
)</f>
        <v>0</v>
      </c>
      <c r="AW30" s="120">
        <f ca="1">SUMIFS(tb_rec_uni[2023-04-01],
INDIRECT("tb_rec_uni[natureza]"),"pro.soluto",
INDIRECT("tb_rec_uni[empresa]"),AW$6)</f>
        <v>0</v>
      </c>
      <c r="AX30" s="120">
        <f ca="1">SUMIFS(tb_rec_uni[2023-04-01],
INDIRECT("tb_rec_uni[natureza]"),"repasse.cef.obra",
INDIRECT("tb_rec_uni[empresa]"),AX$6)</f>
        <v>0</v>
      </c>
      <c r="AY30" s="120">
        <f ca="1">SUMIFS(tb_rec_uni[2023-04-01],
INDIRECT("tb_rec_uni[natureza]"),"repasse.cef.terreno",
INDIRECT("tb_rec_uni[empresa]"),AY$6)</f>
        <v>0</v>
      </c>
      <c r="AZ30" s="120">
        <v>0</v>
      </c>
      <c r="BA30" s="120">
        <f ca="1">SUMIFS(tb_rec_uni[2023-04-01],
INDIRECT("tb_rec_uni[natureza]"),"taxa.extra",
INDIRECT("tb_rec_uni[empresa]"),BA$6)</f>
        <v>0</v>
      </c>
      <c r="BB30" s="108"/>
      <c r="BC30" s="120">
        <f ca="1">SUMIFS(
  m.vb[valor],
  m.vb[nucleo],$AV$1,
  m.vb[variavel],BC$7,
  m.vb[mes],$A30
)</f>
        <v>0</v>
      </c>
      <c r="BD30" s="120">
        <f ca="1">SUMIFS(
  m.vb[valor],
  m.vb[nucleo],$AV$1,
  m.vb[variavel],BD$7,
  m.vb[mes],$A30
)</f>
        <v>0</v>
      </c>
      <c r="BE30" s="120">
        <f ca="1">SUMIFS(
  m.vb[valor],
  m.vb[nucleo],$AV$1,
  m.vb[variavel],BE$7,
  m.vb[mes],$A30
)</f>
        <v>0</v>
      </c>
      <c r="BF30" s="120">
        <f ca="1">SUMIFS(
  m.vb[valor],
  m.vb[nucleo],$AV$1,
  m.vb[variavel],BF$7,
  m.vb[mes],$A30
)</f>
        <v>0</v>
      </c>
      <c r="BG30" s="121">
        <f ca="1">SUMIFS(
  m.vb[valor],
  m.vb[nucleo],$AV$1,
  m.vb[variavel],BG$7,
  m.vb[mes],$A30
)</f>
        <v>0</v>
      </c>
      <c r="BH30" s="119">
        <f>COUNTIFS(
    tb_estq[empresa], BH$6,
    tb_estq[Data da venda / reserva], "&gt;=" &amp; $A30,
    tb_estq[Data da venda / reserva], "&lt;"  &amp; EOMONTH($A30,0) + 1
)</f>
        <v>0</v>
      </c>
      <c r="BI30" s="120">
        <f ca="1">SUMIFS(tb_rec_uni[2023-04-01],
INDIRECT("tb_rec_uni[natureza]"),"pro.soluto",
INDIRECT("tb_rec_uni[empresa]"),BI$6)</f>
        <v>0</v>
      </c>
      <c r="BJ30" s="108">
        <v>0</v>
      </c>
      <c r="BK30" s="120">
        <f ca="1">SUMIFS(tb_rec_uni[2023-04-01],
INDIRECT("tb_rec_uni[natureza]"),"taxa.extra",
INDIRECT("tb_rec_uni[empresa]"),BK$6)</f>
        <v>0</v>
      </c>
      <c r="BL30" s="108"/>
      <c r="BM30" s="120">
        <f ca="1">SUMIFS(
  m.vb[valor],
  m.vb[nucleo],$BH$1,
  m.vb[variavel],BM$7,
  m.vb[mes],$A30
)</f>
        <v>0</v>
      </c>
      <c r="BN30" s="120">
        <f ca="1">SUMIFS(
  m.vb[valor],
  m.vb[nucleo],$BH$1,
  m.vb[variavel],BN$7,
  m.vb[mes],$A30
)</f>
        <v>0</v>
      </c>
      <c r="BO30" s="120">
        <f ca="1">SUMIFS(
  m.vb[valor],
  m.vb[nucleo],$BH$1,
  m.vb[variavel],BO$7,
  m.vb[mes],$A30
)</f>
        <v>0</v>
      </c>
      <c r="BP30" s="120">
        <f ca="1">SUMIFS(
  m.vb[valor],
  m.vb[nucleo],$BH$1,
  m.vb[variavel],BP$7,
  m.vb[mes],$A30
)</f>
        <v>0</v>
      </c>
      <c r="BQ30" s="121">
        <f ca="1">SUMIFS(
  m.vb[valor],
  m.vb[nucleo],$BH$1,
  m.vb[variavel],BQ$7,
  m.vb[mes],$A30
)</f>
        <v>0</v>
      </c>
      <c r="BR30" s="119">
        <f>COUNTIFS(
    tb_estq[empresa], BR$6,
    tb_estq[Data da venda / reserva], "&gt;=" &amp; $A30,
    tb_estq[Data da venda / reserva], "&lt;"  &amp; EOMONTH($A30,0) + 1
)</f>
        <v>0</v>
      </c>
      <c r="BS30" s="120">
        <f ca="1">SUMIFS(tb_rec_uni[2023-04-01],
INDIRECT("tb_rec_uni[natureza]"),"pro.soluto",
INDIRECT("tb_rec_uni[empresa]"),BS$6)</f>
        <v>0</v>
      </c>
      <c r="BT30" s="120">
        <f ca="1">SUMIFS(tb_rec_uni[2023-04-01],
INDIRECT("tb_rec_uni[natureza]"),"parcela.fin.total.ik",
INDIRECT("tb_rec_uni[empresa]"),BT$6)</f>
        <v>0</v>
      </c>
      <c r="BU30" s="120">
        <f ca="1">SUMIFS(tb_rec_uni[2023-04-01],
INDIRECT("tb_rec_uni[natureza]"),"taxa.extra",
INDIRECT("tb_rec_uni[empresa]"),BU$6)</f>
        <v>0</v>
      </c>
      <c r="BV30" s="108"/>
      <c r="BW30" s="120">
        <f ca="1">SUMIFS(
  m.vb[valor],
  m.vb[nucleo],$BR$1,
  m.vb[variavel],BW$7,
  m.vb[mes],$A30
)</f>
        <v>0</v>
      </c>
      <c r="BX30" s="120">
        <f ca="1">SUMIFS(
  m.vb[valor],
  m.vb[nucleo],$BR$1,
  m.vb[variavel],BX$7,
  m.vb[mes],$A30
)</f>
        <v>0</v>
      </c>
      <c r="BY30" s="120">
        <f ca="1">SUMIFS(
  m.vb[valor],
  m.vb[nucleo],$BR$1,
  m.vb[variavel],BY$7,
  m.vb[mes],$A30
)</f>
        <v>0</v>
      </c>
      <c r="BZ30" s="120">
        <f ca="1">SUMIFS(
  m.vb[valor],
  m.vb[nucleo],$BR$1,
  m.vb[variavel],BZ$7,
  m.vb[mes],$A30
)</f>
        <v>0</v>
      </c>
      <c r="CA30" s="121">
        <f ca="1">SUMIFS(
  m.vb[valor],
  m.vb[nucleo],$BR$1,
  m.vb[variavel],CA$7,
  m.vb[mes],$A30
)</f>
        <v>0</v>
      </c>
      <c r="CB30" s="119">
        <f>COUNTIFS(
    tb_estq[empresa], CB$6,
    tb_estq[Data da venda / reserva], "&gt;=" &amp; $A30,
    tb_estq[Data da venda / reserva], "&lt;"  &amp; EOMONTH($A30,0) + 1
)</f>
        <v>0</v>
      </c>
      <c r="CC30" s="120">
        <f ca="1">SUMIFS(tb_rec_uni[2023-04-01],
INDIRECT("tb_rec_uni[natureza]"),"pro.soluto",
INDIRECT("tb_rec_uni[empresa]"),CC$6)</f>
        <v>0</v>
      </c>
      <c r="CD30" s="120">
        <f ca="1">SUMIFS(tb_rec_uni[2023-04-01],
INDIRECT("tb_rec_uni[natureza]"),"repasse.cef.obra",
INDIRECT("tb_rec_uni[empresa]"),CD$6)</f>
        <v>0</v>
      </c>
      <c r="CE30" s="120">
        <f ca="1">SUMIFS(tb_rec_uni[2023-04-01],
INDIRECT("tb_rec_uni[natureza]"),"repasse.cef.terreno",
INDIRECT("tb_rec_uni[empresa]"),CE$6)</f>
        <v>0</v>
      </c>
      <c r="CF30" s="120">
        <v>0</v>
      </c>
      <c r="CG30" s="120">
        <f ca="1">SUMIFS(tb_rec_uni[2023-04-01],
INDIRECT("tb_rec_uni[natureza]"),"taxa.extra",
INDIRECT("tb_rec_uni[empresa]"),CG$6)</f>
        <v>0</v>
      </c>
      <c r="CH30" s="108"/>
      <c r="CI30" s="120">
        <f ca="1">SUMIFS(
  m.vb[valor],
  m.vb[nucleo],$CB$1,
  m.vb[variavel],CI$7,
  m.vb[mes],$A30
)</f>
        <v>0</v>
      </c>
      <c r="CJ30" s="120">
        <f ca="1">SUMIFS(
  m.vb[valor],
  m.vb[nucleo],$CB$1,
  m.vb[variavel],CJ$7,
  m.vb[mes],$A30
)</f>
        <v>0</v>
      </c>
      <c r="CK30" s="120">
        <f ca="1">SUMIFS(
  m.vb[valor],
  m.vb[nucleo],$CB$1,
  m.vb[variavel],CK$7,
  m.vb[mes],$A30
)</f>
        <v>0</v>
      </c>
      <c r="CL30" s="120">
        <f ca="1">SUMIFS(
  m.vb[valor],
  m.vb[nucleo],$CB$1,
  m.vb[variavel],CL$7,
  m.vb[mes],$A30
)</f>
        <v>0</v>
      </c>
      <c r="CM30" s="121">
        <f ca="1">SUMIFS(
  m.vb[valor],
  m.vb[nucleo],$CB$1,
  m.vb[variavel],CM$7,
  m.vb[mes],$A30
)</f>
        <v>0</v>
      </c>
      <c r="CN30" s="119">
        <f>COUNTIFS(
    tb_estq[empresa], CN$6,
    tb_estq[Data da venda / reserva], "&gt;=" &amp; $A30,
    tb_estq[Data da venda / reserva], "&lt;"  &amp; EOMONTH($A30,0) + 1
)</f>
        <v>0</v>
      </c>
      <c r="CO30" s="120">
        <f ca="1">SUMIFS(tb_rec_uni[2023-04-01],
INDIRECT("tb_rec_uni[natureza]"),"pro.soluto",
INDIRECT("tb_rec_uni[empresa]"),CO$6)</f>
        <v>0</v>
      </c>
      <c r="CP30" s="120">
        <f ca="1">SUMIFS(tb_rec_uni[2023-04-01],
INDIRECT("tb_rec_uni[natureza]"),"repasse.cef.obra",
INDIRECT("tb_rec_uni[empresa]"),CP$6)</f>
        <v>0</v>
      </c>
      <c r="CQ30" s="120">
        <f ca="1">SUMIFS(tb_rec_uni[2023-04-01],
INDIRECT("tb_rec_uni[natureza]"),"repasse.cef.terreno",
INDIRECT("tb_rec_uni[empresa]"),CQ$6)</f>
        <v>0</v>
      </c>
      <c r="CR30" s="120">
        <v>0</v>
      </c>
      <c r="CS30" s="120">
        <f ca="1">SUMIFS(tb_rec_uni[2023-04-01],
INDIRECT("tb_rec_uni[natureza]"),"taxa.extra",
INDIRECT("tb_rec_uni[empresa]"),CS$6)</f>
        <v>0</v>
      </c>
      <c r="CT30" s="108"/>
      <c r="CU30" s="120">
        <f ca="1">SUMIFS(
  m.vb[valor],
  m.vb[nucleo],$CN$1,
  m.vb[variavel],CU$7,
  m.vb[mes],$A30
)</f>
        <v>0</v>
      </c>
      <c r="CV30" s="120" cm="1">
        <f t="array" ref="CV30">SUMPRODUCT(
  IFERROR(--tb_desp[valor],0)*
  (tb_desp[nucleo]="UP MOVE VILA SONIA")*
  (tb_desp[categoria]=CV$7)*
  (tb_desp[data.pagamento]&gt;=$A30)*
  (tb_desp[data.pagamento]&lt;EOMONTH($A30,0)+1)
)</f>
        <v>0</v>
      </c>
      <c r="CW30" s="120" cm="1">
        <f t="array" ref="CW30">SUMPRODUCT(
  IFERROR(--tb_desp[valor],0)*
  (tb_desp[nucleo]="UP MOVE VILA SONIA")*
  (tb_desp[categoria]=CW$7)*
  (tb_desp[data.pagamento]&gt;=$A30)*
  (tb_desp[data.pagamento]&lt;EOMONTH($A30,0)+1)
)</f>
        <v>0</v>
      </c>
      <c r="CX30" s="120" cm="1">
        <f t="array" ref="CX30">SUMPRODUCT(
  IFERROR(--tb_desp[valor],0)*
  (tb_desp[nucleo]="UP MOVE VILA SONIA")*
  (tb_desp[categoria]=CX$7)*
  (tb_desp[data.pagamento]&gt;=$A30)*
  (tb_desp[data.pagamento]&lt;EOMONTH($A30,0)+1)
)</f>
        <v>0</v>
      </c>
      <c r="CY30" s="122" cm="1">
        <f t="array" ref="CY30">SUMPRODUCT(
  IFERROR(--tb_desp[valor],0)*
  (tb_desp[nucleo]="UP MOVE VILA SONIA")*
  (tb_desp[categoria]=CY$7)*
  (tb_desp[data.pagamento]&gt;=$A30)*
  (tb_desp[data.pagamento]&lt;EOMONTH($A30,0)+1)
)</f>
        <v>0</v>
      </c>
    </row>
    <row r="31" spans="1:103" x14ac:dyDescent="0.25">
      <c r="A31" s="118">
        <v>45047</v>
      </c>
      <c r="B31" s="119">
        <f>COUNTIFS(
    tb_estq[empresa], B$6,
    tb_estq[Data da venda / reserva], "&gt;=" &amp; $A31,
    tb_estq[Data da venda / reserva], "&lt;"  &amp; EOMONTH($A31,0) + 1
)</f>
        <v>0</v>
      </c>
      <c r="C31" s="120">
        <f ca="1">SUMIFS(tb_rec_uni[2023-05-01],
INDIRECT("tb_rec_uni[natureza]"),"pro.soluto",
INDIRECT("tb_rec_uni[empresa]"),C$6)</f>
        <v>0</v>
      </c>
      <c r="D31" s="120">
        <f ca="1">SUMIFS(tb_rec_uni[2023-05-01],
INDIRECT("tb_rec_uni[natureza]"),"repasse.cef.obra",
INDIRECT("tb_rec_uni[empresa]"),D$6)</f>
        <v>0</v>
      </c>
      <c r="E31" s="120">
        <f ca="1">SUMIFS(tb_rec_uni[2023-05-01],
INDIRECT("tb_rec_uni[natureza]"),"repasse.cef.terreno",
INDIRECT("tb_rec_uni[empresa]"),E$6)</f>
        <v>0</v>
      </c>
      <c r="F31" s="120">
        <v>0</v>
      </c>
      <c r="G31" s="120">
        <f ca="1">SUMIFS(tb_rec_uni[2023-05-01],
INDIRECT("tb_rec_uni[natureza]"),"taxa.extra",
INDIRECT("tb_rec_uni[empresa]"),G$6)</f>
        <v>0</v>
      </c>
      <c r="H31" s="108"/>
      <c r="I31" s="120">
        <f ca="1">SUMIFS(
  m.vb[valor],
  m.vb[nucleo],$B$1,
  m.vb[variavel],I$7,
  m.vb[mes],$A31
)</f>
        <v>0</v>
      </c>
      <c r="J31" s="120">
        <f ca="1">SUMIFS(
  m.vb[valor],
  m.vb[nucleo],$B$1,
  m.vb[variavel],J$7,
  m.vb[mes],$A31
)</f>
        <v>0</v>
      </c>
      <c r="K31" s="120">
        <f ca="1">SUMIFS(
  m.vb[valor],
  m.vb[nucleo],$B$1,
  m.vb[variavel],K$7,
  m.vb[mes],$A31
)</f>
        <v>0</v>
      </c>
      <c r="L31" s="120">
        <f ca="1">SUMIFS(
  m.vb[valor],
  m.vb[nucleo],$B$1,
  m.vb[variavel],L$7,
  m.vb[mes],$A31
)</f>
        <v>0</v>
      </c>
      <c r="M31" s="121">
        <f ca="1">SUMIFS(
  m.vb[valor],
  m.vb[nucleo],$B$1,
  m.vb[variavel],M$7,
  m.vb[mes],$A31
)</f>
        <v>0</v>
      </c>
      <c r="N31" s="119">
        <f>COUNTIFS(
    tb_estq[empresa], N$6,
    tb_estq[Data da venda / reserva], "&gt;=" &amp; $A31,
    tb_estq[Data da venda / reserva], "&lt;"  &amp; EOMONTH($A31,0) + 1
)</f>
        <v>0</v>
      </c>
      <c r="O31" s="120">
        <f ca="1">SUMIFS(tb_rec_uni[2023-05-01],
INDIRECT("tb_rec_uni[natureza]"),"pro.soluto",
INDIRECT("tb_rec_uni[empresa]"),O$6)</f>
        <v>0</v>
      </c>
      <c r="P31" s="120">
        <f ca="1">SUMIFS(tb_rec_uni[2023-05-01],
INDIRECT("tb_rec_uni[natureza]"),"repasse.cef.obra",
INDIRECT("tb_rec_uni[empresa]"),P$6)</f>
        <v>0</v>
      </c>
      <c r="Q31" s="120">
        <f ca="1">SUMIFS(tb_rec_uni[2023-05-01],
INDIRECT("tb_rec_uni[natureza]"),"repasse.cef.terreno",
INDIRECT("tb_rec_uni[empresa]"),Q$6)</f>
        <v>0</v>
      </c>
      <c r="R31" s="120">
        <v>0</v>
      </c>
      <c r="S31" s="120">
        <f ca="1">SUMIFS(tb_rec_uni[2023-05-01],
INDIRECT("tb_rec_uni[natureza]"),"taxa.extra",
INDIRECT("tb_rec_uni[empresa]"),S$6)</f>
        <v>0</v>
      </c>
      <c r="T31" s="108"/>
      <c r="U31" s="120">
        <f ca="1">SUMIFS(
  m.vb[valor],
  m.vb[nucleo],$N$1,
  m.vb[variavel],U$7,
  m.vb[mes],$A31
)</f>
        <v>0</v>
      </c>
      <c r="V31" s="120">
        <f ca="1">SUMIFS(
  m.vb[valor],
  m.vb[nucleo],$N$1,
  m.vb[variavel],V$7,
  m.vb[mes],$A31
)</f>
        <v>0</v>
      </c>
      <c r="W31" s="120">
        <f ca="1">SUMIFS(
  m.vb[valor],
  m.vb[nucleo],$N$1,
  m.vb[variavel],W$7,
  m.vb[mes],$A31
)</f>
        <v>0</v>
      </c>
      <c r="X31" s="120">
        <f ca="1">SUMIFS(
  m.vb[valor],
  m.vb[nucleo],$N$1,
  m.vb[variavel],X$7,
  m.vb[mes],$A31
)</f>
        <v>0</v>
      </c>
      <c r="Y31" s="121">
        <f ca="1">SUMIFS(
  m.vb[valor],
  m.vb[nucleo],$N$1,
  m.vb[variavel],Y$7,
  m.vb[mes],$A31
)</f>
        <v>0</v>
      </c>
      <c r="Z31" s="119">
        <f>COUNTIFS(
    tb_estq[empresa], Z$6,
    tb_estq[Data da venda / reserva], "&gt;=" &amp; $A31,
    tb_estq[Data da venda / reserva], "&lt;"  &amp; EOMONTH($A31,0) + 1
)</f>
        <v>0</v>
      </c>
      <c r="AA31" s="120">
        <f ca="1">SUMIFS(tb_rec_uni[2023-05-01],
INDIRECT("tb_rec_uni[natureza]"),"pro.soluto",
INDIRECT("tb_rec_uni[empresa]"),AA$6)</f>
        <v>0</v>
      </c>
      <c r="AB31" s="120">
        <f ca="1">SUMIFS(tb_rec_uni[2023-05-01],
INDIRECT("tb_rec_uni[natureza]"),"parcela.fin.total.ik",
INDIRECT("tb_rec_uni[empresa]"),AB$6)</f>
        <v>0</v>
      </c>
      <c r="AC31" s="120">
        <f ca="1">SUMIFS(tb_rec_uni[2023-05-01],
INDIRECT("tb_rec_uni[natureza]"),"taxa.extra",
INDIRECT("tb_rec_uni[empresa]"),AC$6)</f>
        <v>0</v>
      </c>
      <c r="AD31" s="108"/>
      <c r="AE31" s="120">
        <f ca="1">SUMIFS(
  m.vb[valor],
  m.vb[nucleo],$Z$1,
  m.vb[variavel],AE$7,
  m.vb[mes],$A31
)</f>
        <v>0</v>
      </c>
      <c r="AF31" s="120">
        <f ca="1">SUMIFS(
  m.vb[valor],
  m.vb[nucleo],$Z$1,
  m.vb[variavel],AF$7,
  m.vb[mes],$A31
)</f>
        <v>0</v>
      </c>
      <c r="AG31" s="120">
        <f ca="1">SUMIFS(
  m.vb[valor],
  m.vb[nucleo],$Z$1,
  m.vb[variavel],AG$7,
  m.vb[mes],$A31
)</f>
        <v>0</v>
      </c>
      <c r="AH31" s="120">
        <f ca="1">SUMIFS(
  m.vb[valor],
  m.vb[nucleo],$Z$1,
  m.vb[variavel],AH$7,
  m.vb[mes],$A31
)</f>
        <v>0</v>
      </c>
      <c r="AI31" s="121">
        <f ca="1">SUMIFS(
  m.vb[valor],
  m.vb[nucleo],$Z$1,
  m.vb[variavel],AI$7,
  m.vb[mes],$A31
)</f>
        <v>0</v>
      </c>
      <c r="AJ31" s="119">
        <f>COUNTIFS(
    tb_estq[empresa], AJ$6,
    tb_estq[Data da venda / reserva], "&gt;=" &amp; $A31,
    tb_estq[Data da venda / reserva], "&lt;"  &amp; EOMONTH($A31,0) + 1
)</f>
        <v>0</v>
      </c>
      <c r="AK31" s="120">
        <f ca="1">SUMIFS(tb_rec_uni[2023-05-01],
INDIRECT("tb_rec_uni[natureza]"),"pro.soluto",
INDIRECT("tb_rec_uni[empresa]"),AK$6)</f>
        <v>0</v>
      </c>
      <c r="AL31" s="120">
        <f ca="1">SUMIFS(tb_rec_uni[2023-05-01],
INDIRECT("tb_rec_uni[natureza]"),"repasse.cef.obra",
INDIRECT("tb_rec_uni[empresa]"),AL$6)</f>
        <v>0</v>
      </c>
      <c r="AM31" s="120">
        <f ca="1">SUMIFS(tb_rec_uni[2023-05-01],
INDIRECT("tb_rec_uni[natureza]"),"repasse.cef.terreno",
INDIRECT("tb_rec_uni[empresa]"),AM$6)</f>
        <v>0</v>
      </c>
      <c r="AN31" s="120">
        <v>0</v>
      </c>
      <c r="AO31" s="120">
        <f ca="1">SUMIFS(tb_rec_uni[2023-05-01],
INDIRECT("tb_rec_uni[natureza]"),"taxa.extra",
INDIRECT("tb_rec_uni[empresa]"),AO$6)</f>
        <v>0</v>
      </c>
      <c r="AP31" s="108"/>
      <c r="AQ31" s="120">
        <f ca="1">SUMIFS(
  m.vb[valor],
  m.vb[nucleo],$AJ$1,
  m.vb[variavel],AQ$7,
  m.vb[mes],$A31
)</f>
        <v>0</v>
      </c>
      <c r="AR31" s="120">
        <f ca="1">SUMIFS(
  m.vb[valor],
  m.vb[nucleo],$AJ$1,
  m.vb[variavel],AR$7,
  m.vb[mes],$A31
)</f>
        <v>0</v>
      </c>
      <c r="AS31" s="120">
        <f ca="1">SUMIFS(
  m.vb[valor],
  m.vb[nucleo],$AJ$1,
  m.vb[variavel],AS$7,
  m.vb[mes],$A31
)</f>
        <v>0</v>
      </c>
      <c r="AT31" s="120">
        <f ca="1">SUMIFS(
  m.vb[valor],
  m.vb[nucleo],$AJ$1,
  m.vb[variavel],AT$7,
  m.vb[mes],$A31
)</f>
        <v>0</v>
      </c>
      <c r="AU31" s="121">
        <f ca="1">SUMIFS(
  m.vb[valor],
  m.vb[nucleo],$AJ$1,
  m.vb[variavel],AU$7,
  m.vb[mes],$A31
)</f>
        <v>0</v>
      </c>
      <c r="AV31" s="119">
        <f>COUNTIFS(
    tb_estq[empresa], AV$6,
    tb_estq[Data da venda / reserva], "&gt;=" &amp; $A31,
    tb_estq[Data da venda / reserva], "&lt;"  &amp; EOMONTH($A31,0) + 1
)</f>
        <v>0</v>
      </c>
      <c r="AW31" s="120">
        <f ca="1">SUMIFS(tb_rec_uni[2023-05-01],
INDIRECT("tb_rec_uni[natureza]"),"pro.soluto",
INDIRECT("tb_rec_uni[empresa]"),AW$6)</f>
        <v>0</v>
      </c>
      <c r="AX31" s="120">
        <f ca="1">SUMIFS(tb_rec_uni[2023-05-01],
INDIRECT("tb_rec_uni[natureza]"),"repasse.cef.obra",
INDIRECT("tb_rec_uni[empresa]"),AX$6)</f>
        <v>0</v>
      </c>
      <c r="AY31" s="120">
        <f ca="1">SUMIFS(tb_rec_uni[2023-05-01],
INDIRECT("tb_rec_uni[natureza]"),"repasse.cef.terreno",
INDIRECT("tb_rec_uni[empresa]"),AY$6)</f>
        <v>0</v>
      </c>
      <c r="AZ31" s="120">
        <v>0</v>
      </c>
      <c r="BA31" s="120">
        <f ca="1">SUMIFS(tb_rec_uni[2023-05-01],
INDIRECT("tb_rec_uni[natureza]"),"taxa.extra",
INDIRECT("tb_rec_uni[empresa]"),BA$6)</f>
        <v>0</v>
      </c>
      <c r="BB31" s="108"/>
      <c r="BC31" s="120">
        <f ca="1">SUMIFS(
  m.vb[valor],
  m.vb[nucleo],$AV$1,
  m.vb[variavel],BC$7,
  m.vb[mes],$A31
)</f>
        <v>0</v>
      </c>
      <c r="BD31" s="120">
        <f ca="1">SUMIFS(
  m.vb[valor],
  m.vb[nucleo],$AV$1,
  m.vb[variavel],BD$7,
  m.vb[mes],$A31
)</f>
        <v>0</v>
      </c>
      <c r="BE31" s="120">
        <f ca="1">SUMIFS(
  m.vb[valor],
  m.vb[nucleo],$AV$1,
  m.vb[variavel],BE$7,
  m.vb[mes],$A31
)</f>
        <v>0</v>
      </c>
      <c r="BF31" s="120">
        <f ca="1">SUMIFS(
  m.vb[valor],
  m.vb[nucleo],$AV$1,
  m.vb[variavel],BF$7,
  m.vb[mes],$A31
)</f>
        <v>0</v>
      </c>
      <c r="BG31" s="121">
        <f ca="1">SUMIFS(
  m.vb[valor],
  m.vb[nucleo],$AV$1,
  m.vb[variavel],BG$7,
  m.vb[mes],$A31
)</f>
        <v>0</v>
      </c>
      <c r="BH31" s="119">
        <f>COUNTIFS(
    tb_estq[empresa], BH$6,
    tb_estq[Data da venda / reserva], "&gt;=" &amp; $A31,
    tb_estq[Data da venda / reserva], "&lt;"  &amp; EOMONTH($A31,0) + 1
)</f>
        <v>0</v>
      </c>
      <c r="BI31" s="120">
        <f ca="1">SUMIFS(tb_rec_uni[2023-05-01],
INDIRECT("tb_rec_uni[natureza]"),"pro.soluto",
INDIRECT("tb_rec_uni[empresa]"),BI$6)</f>
        <v>0</v>
      </c>
      <c r="BJ31" s="108">
        <v>0</v>
      </c>
      <c r="BK31" s="120">
        <f ca="1">SUMIFS(tb_rec_uni[2023-05-01],
INDIRECT("tb_rec_uni[natureza]"),"taxa.extra",
INDIRECT("tb_rec_uni[empresa]"),BK$6)</f>
        <v>0</v>
      </c>
      <c r="BL31" s="108"/>
      <c r="BM31" s="120">
        <f ca="1">SUMIFS(
  m.vb[valor],
  m.vb[nucleo],$BH$1,
  m.vb[variavel],BM$7,
  m.vb[mes],$A31
)</f>
        <v>0</v>
      </c>
      <c r="BN31" s="120">
        <f ca="1">SUMIFS(
  m.vb[valor],
  m.vb[nucleo],$BH$1,
  m.vb[variavel],BN$7,
  m.vb[mes],$A31
)</f>
        <v>0</v>
      </c>
      <c r="BO31" s="120">
        <f ca="1">SUMIFS(
  m.vb[valor],
  m.vb[nucleo],$BH$1,
  m.vb[variavel],BO$7,
  m.vb[mes],$A31
)</f>
        <v>0</v>
      </c>
      <c r="BP31" s="120">
        <f ca="1">SUMIFS(
  m.vb[valor],
  m.vb[nucleo],$BH$1,
  m.vb[variavel],BP$7,
  m.vb[mes],$A31
)</f>
        <v>0</v>
      </c>
      <c r="BQ31" s="121">
        <f ca="1">SUMIFS(
  m.vb[valor],
  m.vb[nucleo],$BH$1,
  m.vb[variavel],BQ$7,
  m.vb[mes],$A31
)</f>
        <v>0</v>
      </c>
      <c r="BR31" s="119">
        <f>COUNTIFS(
    tb_estq[empresa], BR$6,
    tb_estq[Data da venda / reserva], "&gt;=" &amp; $A31,
    tb_estq[Data da venda / reserva], "&lt;"  &amp; EOMONTH($A31,0) + 1
)</f>
        <v>0</v>
      </c>
      <c r="BS31" s="120">
        <f ca="1">SUMIFS(tb_rec_uni[2023-05-01],
INDIRECT("tb_rec_uni[natureza]"),"pro.soluto",
INDIRECT("tb_rec_uni[empresa]"),BS$6)</f>
        <v>0</v>
      </c>
      <c r="BT31" s="120">
        <f ca="1">SUMIFS(tb_rec_uni[2023-05-01],
INDIRECT("tb_rec_uni[natureza]"),"parcela.fin.total.ik",
INDIRECT("tb_rec_uni[empresa]"),BT$6)</f>
        <v>0</v>
      </c>
      <c r="BU31" s="120">
        <f ca="1">SUMIFS(tb_rec_uni[2023-05-01],
INDIRECT("tb_rec_uni[natureza]"),"taxa.extra",
INDIRECT("tb_rec_uni[empresa]"),BU$6)</f>
        <v>0</v>
      </c>
      <c r="BV31" s="108"/>
      <c r="BW31" s="120">
        <f ca="1">SUMIFS(
  m.vb[valor],
  m.vb[nucleo],$BR$1,
  m.vb[variavel],BW$7,
  m.vb[mes],$A31
)</f>
        <v>0</v>
      </c>
      <c r="BX31" s="120">
        <f ca="1">SUMIFS(
  m.vb[valor],
  m.vb[nucleo],$BR$1,
  m.vb[variavel],BX$7,
  m.vb[mes],$A31
)</f>
        <v>0</v>
      </c>
      <c r="BY31" s="120">
        <f ca="1">SUMIFS(
  m.vb[valor],
  m.vb[nucleo],$BR$1,
  m.vb[variavel],BY$7,
  m.vb[mes],$A31
)</f>
        <v>0</v>
      </c>
      <c r="BZ31" s="120">
        <f ca="1">SUMIFS(
  m.vb[valor],
  m.vb[nucleo],$BR$1,
  m.vb[variavel],BZ$7,
  m.vb[mes],$A31
)</f>
        <v>0</v>
      </c>
      <c r="CA31" s="121">
        <f ca="1">SUMIFS(
  m.vb[valor],
  m.vb[nucleo],$BR$1,
  m.vb[variavel],CA$7,
  m.vb[mes],$A31
)</f>
        <v>0</v>
      </c>
      <c r="CB31" s="119">
        <f>COUNTIFS(
    tb_estq[empresa], CB$6,
    tb_estq[Data da venda / reserva], "&gt;=" &amp; $A31,
    tb_estq[Data da venda / reserva], "&lt;"  &amp; EOMONTH($A31,0) + 1
)</f>
        <v>0</v>
      </c>
      <c r="CC31" s="120">
        <f ca="1">SUMIFS(tb_rec_uni[2023-05-01],
INDIRECT("tb_rec_uni[natureza]"),"pro.soluto",
INDIRECT("tb_rec_uni[empresa]"),CC$6)</f>
        <v>0</v>
      </c>
      <c r="CD31" s="120">
        <f ca="1">SUMIFS(tb_rec_uni[2023-05-01],
INDIRECT("tb_rec_uni[natureza]"),"repasse.cef.obra",
INDIRECT("tb_rec_uni[empresa]"),CD$6)</f>
        <v>0</v>
      </c>
      <c r="CE31" s="120">
        <f ca="1">SUMIFS(tb_rec_uni[2023-05-01],
INDIRECT("tb_rec_uni[natureza]"),"repasse.cef.terreno",
INDIRECT("tb_rec_uni[empresa]"),CE$6)</f>
        <v>0</v>
      </c>
      <c r="CF31" s="120">
        <v>0</v>
      </c>
      <c r="CG31" s="120">
        <f ca="1">SUMIFS(tb_rec_uni[2023-05-01],
INDIRECT("tb_rec_uni[natureza]"),"taxa.extra",
INDIRECT("tb_rec_uni[empresa]"),CG$6)</f>
        <v>0</v>
      </c>
      <c r="CH31" s="108"/>
      <c r="CI31" s="120">
        <f ca="1">SUMIFS(
  m.vb[valor],
  m.vb[nucleo],$CB$1,
  m.vb[variavel],CI$7,
  m.vb[mes],$A31
)</f>
        <v>0</v>
      </c>
      <c r="CJ31" s="120">
        <f ca="1">SUMIFS(
  m.vb[valor],
  m.vb[nucleo],$CB$1,
  m.vb[variavel],CJ$7,
  m.vb[mes],$A31
)</f>
        <v>0</v>
      </c>
      <c r="CK31" s="120">
        <f ca="1">SUMIFS(
  m.vb[valor],
  m.vb[nucleo],$CB$1,
  m.vb[variavel],CK$7,
  m.vb[mes],$A31
)</f>
        <v>0</v>
      </c>
      <c r="CL31" s="120">
        <f ca="1">SUMIFS(
  m.vb[valor],
  m.vb[nucleo],$CB$1,
  m.vb[variavel],CL$7,
  m.vb[mes],$A31
)</f>
        <v>0</v>
      </c>
      <c r="CM31" s="121">
        <f ca="1">SUMIFS(
  m.vb[valor],
  m.vb[nucleo],$CB$1,
  m.vb[variavel],CM$7,
  m.vb[mes],$A31
)</f>
        <v>0</v>
      </c>
      <c r="CN31" s="119">
        <f>COUNTIFS(
    tb_estq[empresa], CN$6,
    tb_estq[Data da venda / reserva], "&gt;=" &amp; $A31,
    tb_estq[Data da venda / reserva], "&lt;"  &amp; EOMONTH($A31,0) + 1
)</f>
        <v>0</v>
      </c>
      <c r="CO31" s="120">
        <f ca="1">SUMIFS(tb_rec_uni[2023-05-01],
INDIRECT("tb_rec_uni[natureza]"),"pro.soluto",
INDIRECT("tb_rec_uni[empresa]"),CO$6)</f>
        <v>0</v>
      </c>
      <c r="CP31" s="120">
        <f ca="1">SUMIFS(tb_rec_uni[2023-05-01],
INDIRECT("tb_rec_uni[natureza]"),"repasse.cef.obra",
INDIRECT("tb_rec_uni[empresa]"),CP$6)</f>
        <v>0</v>
      </c>
      <c r="CQ31" s="120">
        <f ca="1">SUMIFS(tb_rec_uni[2023-05-01],
INDIRECT("tb_rec_uni[natureza]"),"repasse.cef.terreno",
INDIRECT("tb_rec_uni[empresa]"),CQ$6)</f>
        <v>0</v>
      </c>
      <c r="CR31" s="120">
        <v>0</v>
      </c>
      <c r="CS31" s="120">
        <f ca="1">SUMIFS(tb_rec_uni[2023-05-01],
INDIRECT("tb_rec_uni[natureza]"),"taxa.extra",
INDIRECT("tb_rec_uni[empresa]"),CS$6)</f>
        <v>0</v>
      </c>
      <c r="CT31" s="108"/>
      <c r="CU31" s="120">
        <f ca="1">SUMIFS(
  m.vb[valor],
  m.vb[nucleo],$CN$1,
  m.vb[variavel],CU$7,
  m.vb[mes],$A31
)</f>
        <v>0</v>
      </c>
      <c r="CV31" s="120" cm="1">
        <f t="array" ref="CV31">SUMPRODUCT(
  IFERROR(--tb_desp[valor],0)*
  (tb_desp[nucleo]="UP MOVE VILA SONIA")*
  (tb_desp[categoria]=CV$7)*
  (tb_desp[data.pagamento]&gt;=$A31)*
  (tb_desp[data.pagamento]&lt;EOMONTH($A31,0)+1)
)</f>
        <v>0</v>
      </c>
      <c r="CW31" s="120" cm="1">
        <f t="array" ref="CW31">SUMPRODUCT(
  IFERROR(--tb_desp[valor],0)*
  (tb_desp[nucleo]="UP MOVE VILA SONIA")*
  (tb_desp[categoria]=CW$7)*
  (tb_desp[data.pagamento]&gt;=$A31)*
  (tb_desp[data.pagamento]&lt;EOMONTH($A31,0)+1)
)</f>
        <v>0</v>
      </c>
      <c r="CX31" s="120" cm="1">
        <f t="array" ref="CX31">SUMPRODUCT(
  IFERROR(--tb_desp[valor],0)*
  (tb_desp[nucleo]="UP MOVE VILA SONIA")*
  (tb_desp[categoria]=CX$7)*
  (tb_desp[data.pagamento]&gt;=$A31)*
  (tb_desp[data.pagamento]&lt;EOMONTH($A31,0)+1)
)</f>
        <v>0</v>
      </c>
      <c r="CY31" s="122" cm="1">
        <f t="array" ref="CY31">SUMPRODUCT(
  IFERROR(--tb_desp[valor],0)*
  (tb_desp[nucleo]="UP MOVE VILA SONIA")*
  (tb_desp[categoria]=CY$7)*
  (tb_desp[data.pagamento]&gt;=$A31)*
  (tb_desp[data.pagamento]&lt;EOMONTH($A31,0)+1)
)</f>
        <v>0</v>
      </c>
    </row>
    <row r="32" spans="1:103" x14ac:dyDescent="0.25">
      <c r="A32" s="118">
        <v>45078</v>
      </c>
      <c r="B32" s="119">
        <f>COUNTIFS(
    tb_estq[empresa], B$6,
    tb_estq[Data da venda / reserva], "&gt;=" &amp; $A32,
    tb_estq[Data da venda / reserva], "&lt;"  &amp; EOMONTH($A32,0) + 1
)</f>
        <v>0</v>
      </c>
      <c r="C32" s="120">
        <f ca="1">SUMIFS(tb_rec_uni[2023-06-01],
INDIRECT("tb_rec_uni[natureza]"),"pro.soluto",
INDIRECT("tb_rec_uni[empresa]"),C$6)</f>
        <v>0</v>
      </c>
      <c r="D32" s="120">
        <f ca="1">SUMIFS(tb_rec_uni[2023-06-01],
INDIRECT("tb_rec_uni[natureza]"),"repasse.cef.obra",
INDIRECT("tb_rec_uni[empresa]"),D$6)</f>
        <v>0</v>
      </c>
      <c r="E32" s="120">
        <f ca="1">SUMIFS(tb_rec_uni[2023-06-01],
INDIRECT("tb_rec_uni[natureza]"),"repasse.cef.terreno",
INDIRECT("tb_rec_uni[empresa]"),E$6)</f>
        <v>0</v>
      </c>
      <c r="F32" s="120">
        <v>0</v>
      </c>
      <c r="G32" s="120">
        <f ca="1">SUMIFS(tb_rec_uni[2023-06-01],
INDIRECT("tb_rec_uni[natureza]"),"taxa.extra",
INDIRECT("tb_rec_uni[empresa]"),G$6)</f>
        <v>0</v>
      </c>
      <c r="H32" s="108"/>
      <c r="I32" s="120">
        <f ca="1">SUMIFS(
  m.vb[valor],
  m.vb[nucleo],$B$1,
  m.vb[variavel],I$7,
  m.vb[mes],$A32
)</f>
        <v>0</v>
      </c>
      <c r="J32" s="120">
        <f ca="1">SUMIFS(
  m.vb[valor],
  m.vb[nucleo],$B$1,
  m.vb[variavel],J$7,
  m.vb[mes],$A32
)</f>
        <v>0</v>
      </c>
      <c r="K32" s="120">
        <f ca="1">SUMIFS(
  m.vb[valor],
  m.vb[nucleo],$B$1,
  m.vb[variavel],K$7,
  m.vb[mes],$A32
)</f>
        <v>0</v>
      </c>
      <c r="L32" s="120">
        <f ca="1">SUMIFS(
  m.vb[valor],
  m.vb[nucleo],$B$1,
  m.vb[variavel],L$7,
  m.vb[mes],$A32
)</f>
        <v>0</v>
      </c>
      <c r="M32" s="121">
        <f ca="1">SUMIFS(
  m.vb[valor],
  m.vb[nucleo],$B$1,
  m.vb[variavel],M$7,
  m.vb[mes],$A32
)</f>
        <v>0</v>
      </c>
      <c r="N32" s="119">
        <f>COUNTIFS(
    tb_estq[empresa], N$6,
    tb_estq[Data da venda / reserva], "&gt;=" &amp; $A32,
    tb_estq[Data da venda / reserva], "&lt;"  &amp; EOMONTH($A32,0) + 1
)</f>
        <v>0</v>
      </c>
      <c r="O32" s="120">
        <f ca="1">SUMIFS(tb_rec_uni[2023-06-01],
INDIRECT("tb_rec_uni[natureza]"),"pro.soluto",
INDIRECT("tb_rec_uni[empresa]"),O$6)</f>
        <v>0</v>
      </c>
      <c r="P32" s="120">
        <f ca="1">SUMIFS(tb_rec_uni[2023-06-01],
INDIRECT("tb_rec_uni[natureza]"),"repasse.cef.obra",
INDIRECT("tb_rec_uni[empresa]"),P$6)</f>
        <v>0</v>
      </c>
      <c r="Q32" s="120">
        <f ca="1">SUMIFS(tb_rec_uni[2023-06-01],
INDIRECT("tb_rec_uni[natureza]"),"repasse.cef.terreno",
INDIRECT("tb_rec_uni[empresa]"),Q$6)</f>
        <v>0</v>
      </c>
      <c r="R32" s="120">
        <v>0</v>
      </c>
      <c r="S32" s="120">
        <f ca="1">SUMIFS(tb_rec_uni[2023-06-01],
INDIRECT("tb_rec_uni[natureza]"),"taxa.extra",
INDIRECT("tb_rec_uni[empresa]"),S$6)</f>
        <v>0</v>
      </c>
      <c r="T32" s="108"/>
      <c r="U32" s="120">
        <f ca="1">SUMIFS(
  m.vb[valor],
  m.vb[nucleo],$N$1,
  m.vb[variavel],U$7,
  m.vb[mes],$A32
)</f>
        <v>0</v>
      </c>
      <c r="V32" s="120">
        <f ca="1">SUMIFS(
  m.vb[valor],
  m.vb[nucleo],$N$1,
  m.vb[variavel],V$7,
  m.vb[mes],$A32
)</f>
        <v>0</v>
      </c>
      <c r="W32" s="120">
        <f ca="1">SUMIFS(
  m.vb[valor],
  m.vb[nucleo],$N$1,
  m.vb[variavel],W$7,
  m.vb[mes],$A32
)</f>
        <v>0</v>
      </c>
      <c r="X32" s="120">
        <f ca="1">SUMIFS(
  m.vb[valor],
  m.vb[nucleo],$N$1,
  m.vb[variavel],X$7,
  m.vb[mes],$A32
)</f>
        <v>0</v>
      </c>
      <c r="Y32" s="121">
        <f ca="1">SUMIFS(
  m.vb[valor],
  m.vb[nucleo],$N$1,
  m.vb[variavel],Y$7,
  m.vb[mes],$A32
)</f>
        <v>0</v>
      </c>
      <c r="Z32" s="119">
        <f>COUNTIFS(
    tb_estq[empresa], Z$6,
    tb_estq[Data da venda / reserva], "&gt;=" &amp; $A32,
    tb_estq[Data da venda / reserva], "&lt;"  &amp; EOMONTH($A32,0) + 1
)</f>
        <v>0</v>
      </c>
      <c r="AA32" s="120">
        <f ca="1">SUMIFS(tb_rec_uni[2023-06-01],
INDIRECT("tb_rec_uni[natureza]"),"pro.soluto",
INDIRECT("tb_rec_uni[empresa]"),AA$6)</f>
        <v>0</v>
      </c>
      <c r="AB32" s="120">
        <f ca="1">SUMIFS(tb_rec_uni[2023-06-01],
INDIRECT("tb_rec_uni[natureza]"),"parcela.fin.total.ik",
INDIRECT("tb_rec_uni[empresa]"),AB$6)</f>
        <v>0</v>
      </c>
      <c r="AC32" s="120">
        <f ca="1">SUMIFS(tb_rec_uni[2023-06-01],
INDIRECT("tb_rec_uni[natureza]"),"taxa.extra",
INDIRECT("tb_rec_uni[empresa]"),AC$6)</f>
        <v>0</v>
      </c>
      <c r="AD32" s="108"/>
      <c r="AE32" s="120">
        <f ca="1">SUMIFS(
  m.vb[valor],
  m.vb[nucleo],$Z$1,
  m.vb[variavel],AE$7,
  m.vb[mes],$A32
)</f>
        <v>0</v>
      </c>
      <c r="AF32" s="120">
        <f ca="1">SUMIFS(
  m.vb[valor],
  m.vb[nucleo],$Z$1,
  m.vb[variavel],AF$7,
  m.vb[mes],$A32
)</f>
        <v>0</v>
      </c>
      <c r="AG32" s="120">
        <f ca="1">SUMIFS(
  m.vb[valor],
  m.vb[nucleo],$Z$1,
  m.vb[variavel],AG$7,
  m.vb[mes],$A32
)</f>
        <v>0</v>
      </c>
      <c r="AH32" s="120">
        <f ca="1">SUMIFS(
  m.vb[valor],
  m.vb[nucleo],$Z$1,
  m.vb[variavel],AH$7,
  m.vb[mes],$A32
)</f>
        <v>0</v>
      </c>
      <c r="AI32" s="121">
        <f ca="1">SUMIFS(
  m.vb[valor],
  m.vb[nucleo],$Z$1,
  m.vb[variavel],AI$7,
  m.vb[mes],$A32
)</f>
        <v>0</v>
      </c>
      <c r="AJ32" s="119">
        <f>COUNTIFS(
    tb_estq[empresa], AJ$6,
    tb_estq[Data da venda / reserva], "&gt;=" &amp; $A32,
    tb_estq[Data da venda / reserva], "&lt;"  &amp; EOMONTH($A32,0) + 1
)</f>
        <v>0</v>
      </c>
      <c r="AK32" s="120">
        <f ca="1">SUMIFS(tb_rec_uni[2023-06-01],
INDIRECT("tb_rec_uni[natureza]"),"pro.soluto",
INDIRECT("tb_rec_uni[empresa]"),AK$6)</f>
        <v>0</v>
      </c>
      <c r="AL32" s="120">
        <f ca="1">SUMIFS(tb_rec_uni[2023-06-01],
INDIRECT("tb_rec_uni[natureza]"),"repasse.cef.obra",
INDIRECT("tb_rec_uni[empresa]"),AL$6)</f>
        <v>0</v>
      </c>
      <c r="AM32" s="120">
        <f ca="1">SUMIFS(tb_rec_uni[2023-06-01],
INDIRECT("tb_rec_uni[natureza]"),"repasse.cef.terreno",
INDIRECT("tb_rec_uni[empresa]"),AM$6)</f>
        <v>0</v>
      </c>
      <c r="AN32" s="120">
        <v>0</v>
      </c>
      <c r="AO32" s="120">
        <f ca="1">SUMIFS(tb_rec_uni[2023-06-01],
INDIRECT("tb_rec_uni[natureza]"),"taxa.extra",
INDIRECT("tb_rec_uni[empresa]"),AO$6)</f>
        <v>0</v>
      </c>
      <c r="AP32" s="108"/>
      <c r="AQ32" s="120">
        <f ca="1">SUMIFS(
  m.vb[valor],
  m.vb[nucleo],$AJ$1,
  m.vb[variavel],AQ$7,
  m.vb[mes],$A32
)</f>
        <v>0</v>
      </c>
      <c r="AR32" s="120">
        <f ca="1">SUMIFS(
  m.vb[valor],
  m.vb[nucleo],$AJ$1,
  m.vb[variavel],AR$7,
  m.vb[mes],$A32
)</f>
        <v>0</v>
      </c>
      <c r="AS32" s="120">
        <f ca="1">SUMIFS(
  m.vb[valor],
  m.vb[nucleo],$AJ$1,
  m.vb[variavel],AS$7,
  m.vb[mes],$A32
)</f>
        <v>0</v>
      </c>
      <c r="AT32" s="120">
        <f ca="1">SUMIFS(
  m.vb[valor],
  m.vb[nucleo],$AJ$1,
  m.vb[variavel],AT$7,
  m.vb[mes],$A32
)</f>
        <v>0</v>
      </c>
      <c r="AU32" s="121">
        <f ca="1">SUMIFS(
  m.vb[valor],
  m.vb[nucleo],$AJ$1,
  m.vb[variavel],AU$7,
  m.vb[mes],$A32
)</f>
        <v>0</v>
      </c>
      <c r="AV32" s="119">
        <f>COUNTIFS(
    tb_estq[empresa], AV$6,
    tb_estq[Data da venda / reserva], "&gt;=" &amp; $A32,
    tb_estq[Data da venda / reserva], "&lt;"  &amp; EOMONTH($A32,0) + 1
)</f>
        <v>0</v>
      </c>
      <c r="AW32" s="120">
        <f ca="1">SUMIFS(tb_rec_uni[2023-06-01],
INDIRECT("tb_rec_uni[natureza]"),"pro.soluto",
INDIRECT("tb_rec_uni[empresa]"),AW$6)</f>
        <v>0</v>
      </c>
      <c r="AX32" s="120">
        <f ca="1">SUMIFS(tb_rec_uni[2023-06-01],
INDIRECT("tb_rec_uni[natureza]"),"repasse.cef.obra",
INDIRECT("tb_rec_uni[empresa]"),AX$6)</f>
        <v>0</v>
      </c>
      <c r="AY32" s="120">
        <f ca="1">SUMIFS(tb_rec_uni[2023-06-01],
INDIRECT("tb_rec_uni[natureza]"),"repasse.cef.terreno",
INDIRECT("tb_rec_uni[empresa]"),AY$6)</f>
        <v>0</v>
      </c>
      <c r="AZ32" s="120">
        <v>0</v>
      </c>
      <c r="BA32" s="120">
        <f ca="1">SUMIFS(tb_rec_uni[2023-06-01],
INDIRECT("tb_rec_uni[natureza]"),"taxa.extra",
INDIRECT("tb_rec_uni[empresa]"),BA$6)</f>
        <v>0</v>
      </c>
      <c r="BB32" s="108"/>
      <c r="BC32" s="120">
        <f ca="1">SUMIFS(
  m.vb[valor],
  m.vb[nucleo],$AV$1,
  m.vb[variavel],BC$7,
  m.vb[mes],$A32
)</f>
        <v>0</v>
      </c>
      <c r="BD32" s="120">
        <f ca="1">SUMIFS(
  m.vb[valor],
  m.vb[nucleo],$AV$1,
  m.vb[variavel],BD$7,
  m.vb[mes],$A32
)</f>
        <v>0</v>
      </c>
      <c r="BE32" s="120">
        <f ca="1">SUMIFS(
  m.vb[valor],
  m.vb[nucleo],$AV$1,
  m.vb[variavel],BE$7,
  m.vb[mes],$A32
)</f>
        <v>0</v>
      </c>
      <c r="BF32" s="120">
        <f ca="1">SUMIFS(
  m.vb[valor],
  m.vb[nucleo],$AV$1,
  m.vb[variavel],BF$7,
  m.vb[mes],$A32
)</f>
        <v>0</v>
      </c>
      <c r="BG32" s="121">
        <f ca="1">SUMIFS(
  m.vb[valor],
  m.vb[nucleo],$AV$1,
  m.vb[variavel],BG$7,
  m.vb[mes],$A32
)</f>
        <v>0</v>
      </c>
      <c r="BH32" s="119">
        <f>COUNTIFS(
    tb_estq[empresa], BH$6,
    tb_estq[Data da venda / reserva], "&gt;=" &amp; $A32,
    tb_estq[Data da venda / reserva], "&lt;"  &amp; EOMONTH($A32,0) + 1
)</f>
        <v>0</v>
      </c>
      <c r="BI32" s="120">
        <f ca="1">SUMIFS(tb_rec_uni[2023-06-01],
INDIRECT("tb_rec_uni[natureza]"),"pro.soluto",
INDIRECT("tb_rec_uni[empresa]"),BI$6)</f>
        <v>0</v>
      </c>
      <c r="BJ32" s="108">
        <v>0</v>
      </c>
      <c r="BK32" s="120">
        <f ca="1">SUMIFS(tb_rec_uni[2023-06-01],
INDIRECT("tb_rec_uni[natureza]"),"taxa.extra",
INDIRECT("tb_rec_uni[empresa]"),BK$6)</f>
        <v>0</v>
      </c>
      <c r="BL32" s="108"/>
      <c r="BM32" s="120">
        <f ca="1">SUMIFS(
  m.vb[valor],
  m.vb[nucleo],$BH$1,
  m.vb[variavel],BM$7,
  m.vb[mes],$A32
)</f>
        <v>0</v>
      </c>
      <c r="BN32" s="120">
        <f ca="1">SUMIFS(
  m.vb[valor],
  m.vb[nucleo],$BH$1,
  m.vb[variavel],BN$7,
  m.vb[mes],$A32
)</f>
        <v>0</v>
      </c>
      <c r="BO32" s="120">
        <f ca="1">SUMIFS(
  m.vb[valor],
  m.vb[nucleo],$BH$1,
  m.vb[variavel],BO$7,
  m.vb[mes],$A32
)</f>
        <v>0</v>
      </c>
      <c r="BP32" s="120">
        <f ca="1">SUMIFS(
  m.vb[valor],
  m.vb[nucleo],$BH$1,
  m.vb[variavel],BP$7,
  m.vb[mes],$A32
)</f>
        <v>0</v>
      </c>
      <c r="BQ32" s="121">
        <f ca="1">SUMIFS(
  m.vb[valor],
  m.vb[nucleo],$BH$1,
  m.vb[variavel],BQ$7,
  m.vb[mes],$A32
)</f>
        <v>0</v>
      </c>
      <c r="BR32" s="119">
        <f>COUNTIFS(
    tb_estq[empresa], BR$6,
    tb_estq[Data da venda / reserva], "&gt;=" &amp; $A32,
    tb_estq[Data da venda / reserva], "&lt;"  &amp; EOMONTH($A32,0) + 1
)</f>
        <v>0</v>
      </c>
      <c r="BS32" s="120">
        <f ca="1">SUMIFS(tb_rec_uni[2023-06-01],
INDIRECT("tb_rec_uni[natureza]"),"pro.soluto",
INDIRECT("tb_rec_uni[empresa]"),BS$6)</f>
        <v>0</v>
      </c>
      <c r="BT32" s="120">
        <f ca="1">SUMIFS(tb_rec_uni[2023-06-01],
INDIRECT("tb_rec_uni[natureza]"),"parcela.fin.total.ik",
INDIRECT("tb_rec_uni[empresa]"),BT$6)</f>
        <v>0</v>
      </c>
      <c r="BU32" s="120">
        <f ca="1">SUMIFS(tb_rec_uni[2023-06-01],
INDIRECT("tb_rec_uni[natureza]"),"taxa.extra",
INDIRECT("tb_rec_uni[empresa]"),BU$6)</f>
        <v>0</v>
      </c>
      <c r="BV32" s="108"/>
      <c r="BW32" s="120">
        <f ca="1">SUMIFS(
  m.vb[valor],
  m.vb[nucleo],$BR$1,
  m.vb[variavel],BW$7,
  m.vb[mes],$A32
)</f>
        <v>0</v>
      </c>
      <c r="BX32" s="120">
        <f ca="1">SUMIFS(
  m.vb[valor],
  m.vb[nucleo],$BR$1,
  m.vb[variavel],BX$7,
  m.vb[mes],$A32
)</f>
        <v>0</v>
      </c>
      <c r="BY32" s="120">
        <f ca="1">SUMIFS(
  m.vb[valor],
  m.vb[nucleo],$BR$1,
  m.vb[variavel],BY$7,
  m.vb[mes],$A32
)</f>
        <v>0</v>
      </c>
      <c r="BZ32" s="120">
        <f ca="1">SUMIFS(
  m.vb[valor],
  m.vb[nucleo],$BR$1,
  m.vb[variavel],BZ$7,
  m.vb[mes],$A32
)</f>
        <v>0</v>
      </c>
      <c r="CA32" s="121">
        <f ca="1">SUMIFS(
  m.vb[valor],
  m.vb[nucleo],$BR$1,
  m.vb[variavel],CA$7,
  m.vb[mes],$A32
)</f>
        <v>0</v>
      </c>
      <c r="CB32" s="119">
        <f>COUNTIFS(
    tb_estq[empresa], CB$6,
    tb_estq[Data da venda / reserva], "&gt;=" &amp; $A32,
    tb_estq[Data da venda / reserva], "&lt;"  &amp; EOMONTH($A32,0) + 1
)</f>
        <v>0</v>
      </c>
      <c r="CC32" s="120">
        <f ca="1">SUMIFS(tb_rec_uni[2023-06-01],
INDIRECT("tb_rec_uni[natureza]"),"pro.soluto",
INDIRECT("tb_rec_uni[empresa]"),CC$6)</f>
        <v>0</v>
      </c>
      <c r="CD32" s="120">
        <f ca="1">SUMIFS(tb_rec_uni[2023-06-01],
INDIRECT("tb_rec_uni[natureza]"),"repasse.cef.obra",
INDIRECT("tb_rec_uni[empresa]"),CD$6)</f>
        <v>0</v>
      </c>
      <c r="CE32" s="120">
        <f ca="1">SUMIFS(tb_rec_uni[2023-06-01],
INDIRECT("tb_rec_uni[natureza]"),"repasse.cef.terreno",
INDIRECT("tb_rec_uni[empresa]"),CE$6)</f>
        <v>0</v>
      </c>
      <c r="CF32" s="120">
        <v>0</v>
      </c>
      <c r="CG32" s="120">
        <f ca="1">SUMIFS(tb_rec_uni[2023-06-01],
INDIRECT("tb_rec_uni[natureza]"),"taxa.extra",
INDIRECT("tb_rec_uni[empresa]"),CG$6)</f>
        <v>0</v>
      </c>
      <c r="CH32" s="108"/>
      <c r="CI32" s="120">
        <f ca="1">SUMIFS(
  m.vb[valor],
  m.vb[nucleo],$CB$1,
  m.vb[variavel],CI$7,
  m.vb[mes],$A32
)</f>
        <v>0</v>
      </c>
      <c r="CJ32" s="120">
        <f ca="1">SUMIFS(
  m.vb[valor],
  m.vb[nucleo],$CB$1,
  m.vb[variavel],CJ$7,
  m.vb[mes],$A32
)</f>
        <v>0</v>
      </c>
      <c r="CK32" s="120">
        <f ca="1">SUMIFS(
  m.vb[valor],
  m.vb[nucleo],$CB$1,
  m.vb[variavel],CK$7,
  m.vb[mes],$A32
)</f>
        <v>0</v>
      </c>
      <c r="CL32" s="120">
        <f ca="1">SUMIFS(
  m.vb[valor],
  m.vb[nucleo],$CB$1,
  m.vb[variavel],CL$7,
  m.vb[mes],$A32
)</f>
        <v>0</v>
      </c>
      <c r="CM32" s="121">
        <f ca="1">SUMIFS(
  m.vb[valor],
  m.vb[nucleo],$CB$1,
  m.vb[variavel],CM$7,
  m.vb[mes],$A32
)</f>
        <v>0</v>
      </c>
      <c r="CN32" s="119">
        <f>COUNTIFS(
    tb_estq[empresa], CN$6,
    tb_estq[Data da venda / reserva], "&gt;=" &amp; $A32,
    tb_estq[Data da venda / reserva], "&lt;"  &amp; EOMONTH($A32,0) + 1
)</f>
        <v>0</v>
      </c>
      <c r="CO32" s="120">
        <f ca="1">SUMIFS(tb_rec_uni[2023-06-01],
INDIRECT("tb_rec_uni[natureza]"),"pro.soluto",
INDIRECT("tb_rec_uni[empresa]"),CO$6)</f>
        <v>0</v>
      </c>
      <c r="CP32" s="120">
        <f ca="1">SUMIFS(tb_rec_uni[2023-06-01],
INDIRECT("tb_rec_uni[natureza]"),"repasse.cef.obra",
INDIRECT("tb_rec_uni[empresa]"),CP$6)</f>
        <v>0</v>
      </c>
      <c r="CQ32" s="120">
        <f ca="1">SUMIFS(tb_rec_uni[2023-06-01],
INDIRECT("tb_rec_uni[natureza]"),"repasse.cef.terreno",
INDIRECT("tb_rec_uni[empresa]"),CQ$6)</f>
        <v>0</v>
      </c>
      <c r="CR32" s="120">
        <v>0</v>
      </c>
      <c r="CS32" s="120">
        <f ca="1">SUMIFS(tb_rec_uni[2023-06-01],
INDIRECT("tb_rec_uni[natureza]"),"taxa.extra",
INDIRECT("tb_rec_uni[empresa]"),CS$6)</f>
        <v>0</v>
      </c>
      <c r="CT32" s="108"/>
      <c r="CU32" s="120">
        <f ca="1">SUMIFS(
  m.vb[valor],
  m.vb[nucleo],$CN$1,
  m.vb[variavel],CU$7,
  m.vb[mes],$A32
)</f>
        <v>0</v>
      </c>
      <c r="CV32" s="120" cm="1">
        <f t="array" ref="CV32">SUMPRODUCT(
  IFERROR(--tb_desp[valor],0)*
  (tb_desp[nucleo]="UP MOVE VILA SONIA")*
  (tb_desp[categoria]=CV$7)*
  (tb_desp[data.pagamento]&gt;=$A32)*
  (tb_desp[data.pagamento]&lt;EOMONTH($A32,0)+1)
)</f>
        <v>0</v>
      </c>
      <c r="CW32" s="120" cm="1">
        <f t="array" ref="CW32">SUMPRODUCT(
  IFERROR(--tb_desp[valor],0)*
  (tb_desp[nucleo]="UP MOVE VILA SONIA")*
  (tb_desp[categoria]=CW$7)*
  (tb_desp[data.pagamento]&gt;=$A32)*
  (tb_desp[data.pagamento]&lt;EOMONTH($A32,0)+1)
)</f>
        <v>0</v>
      </c>
      <c r="CX32" s="120" cm="1">
        <f t="array" ref="CX32">SUMPRODUCT(
  IFERROR(--tb_desp[valor],0)*
  (tb_desp[nucleo]="UP MOVE VILA SONIA")*
  (tb_desp[categoria]=CX$7)*
  (tb_desp[data.pagamento]&gt;=$A32)*
  (tb_desp[data.pagamento]&lt;EOMONTH($A32,0)+1)
)</f>
        <v>0</v>
      </c>
      <c r="CY32" s="122" cm="1">
        <f t="array" ref="CY32">SUMPRODUCT(
  IFERROR(--tb_desp[valor],0)*
  (tb_desp[nucleo]="UP MOVE VILA SONIA")*
  (tb_desp[categoria]=CY$7)*
  (tb_desp[data.pagamento]&gt;=$A32)*
  (tb_desp[data.pagamento]&lt;EOMONTH($A32,0)+1)
)</f>
        <v>0</v>
      </c>
    </row>
    <row r="33" spans="1:103" x14ac:dyDescent="0.25">
      <c r="A33" s="118">
        <v>45108</v>
      </c>
      <c r="B33" s="119">
        <f>COUNTIFS(
    tb_estq[empresa], B$6,
    tb_estq[Data da venda / reserva], "&gt;=" &amp; $A33,
    tb_estq[Data da venda / reserva], "&lt;"  &amp; EOMONTH($A33,0) + 1
)</f>
        <v>0</v>
      </c>
      <c r="C33" s="120">
        <f ca="1">SUMIFS(tb_rec_uni[2023-07-01],
INDIRECT("tb_rec_uni[natureza]"),"pro.soluto",
INDIRECT("tb_rec_uni[empresa]"),C$6)</f>
        <v>0</v>
      </c>
      <c r="D33" s="120">
        <f ca="1">SUMIFS(tb_rec_uni[2023-07-01],
INDIRECT("tb_rec_uni[natureza]"),"repasse.cef.obra",
INDIRECT("tb_rec_uni[empresa]"),D$6)</f>
        <v>0</v>
      </c>
      <c r="E33" s="120">
        <f ca="1">SUMIFS(tb_rec_uni[2023-07-01],
INDIRECT("tb_rec_uni[natureza]"),"repasse.cef.terreno",
INDIRECT("tb_rec_uni[empresa]"),E$6)</f>
        <v>0</v>
      </c>
      <c r="F33" s="120">
        <v>0</v>
      </c>
      <c r="G33" s="120">
        <f ca="1">SUMIFS(tb_rec_uni[2023-07-01],
INDIRECT("tb_rec_uni[natureza]"),"taxa.extra",
INDIRECT("tb_rec_uni[empresa]"),G$6)</f>
        <v>0</v>
      </c>
      <c r="H33" s="108"/>
      <c r="I33" s="120">
        <f ca="1">SUMIFS(
  m.vb[valor],
  m.vb[nucleo],$B$1,
  m.vb[variavel],I$7,
  m.vb[mes],$A33
)</f>
        <v>0</v>
      </c>
      <c r="J33" s="120">
        <f ca="1">SUMIFS(
  m.vb[valor],
  m.vb[nucleo],$B$1,
  m.vb[variavel],J$7,
  m.vb[mes],$A33
)</f>
        <v>0</v>
      </c>
      <c r="K33" s="120">
        <f ca="1">SUMIFS(
  m.vb[valor],
  m.vb[nucleo],$B$1,
  m.vb[variavel],K$7,
  m.vb[mes],$A33
)</f>
        <v>0</v>
      </c>
      <c r="L33" s="120">
        <f ca="1">SUMIFS(
  m.vb[valor],
  m.vb[nucleo],$B$1,
  m.vb[variavel],L$7,
  m.vb[mes],$A33
)</f>
        <v>0</v>
      </c>
      <c r="M33" s="121">
        <f ca="1">SUMIFS(
  m.vb[valor],
  m.vb[nucleo],$B$1,
  m.vb[variavel],M$7,
  m.vb[mes],$A33
)</f>
        <v>0</v>
      </c>
      <c r="N33" s="119">
        <f>COUNTIFS(
    tb_estq[empresa], N$6,
    tb_estq[Data da venda / reserva], "&gt;=" &amp; $A33,
    tb_estq[Data da venda / reserva], "&lt;"  &amp; EOMONTH($A33,0) + 1
)</f>
        <v>0</v>
      </c>
      <c r="O33" s="120">
        <f ca="1">SUMIFS(tb_rec_uni[2023-07-01],
INDIRECT("tb_rec_uni[natureza]"),"pro.soluto",
INDIRECT("tb_rec_uni[empresa]"),O$6)</f>
        <v>0</v>
      </c>
      <c r="P33" s="120">
        <f ca="1">SUMIFS(tb_rec_uni[2023-07-01],
INDIRECT("tb_rec_uni[natureza]"),"repasse.cef.obra",
INDIRECT("tb_rec_uni[empresa]"),P$6)</f>
        <v>0</v>
      </c>
      <c r="Q33" s="120">
        <f ca="1">SUMIFS(tb_rec_uni[2023-07-01],
INDIRECT("tb_rec_uni[natureza]"),"repasse.cef.terreno",
INDIRECT("tb_rec_uni[empresa]"),Q$6)</f>
        <v>0</v>
      </c>
      <c r="R33" s="120">
        <v>0</v>
      </c>
      <c r="S33" s="120">
        <f ca="1">SUMIFS(tb_rec_uni[2023-07-01],
INDIRECT("tb_rec_uni[natureza]"),"taxa.extra",
INDIRECT("tb_rec_uni[empresa]"),S$6)</f>
        <v>0</v>
      </c>
      <c r="T33" s="108"/>
      <c r="U33" s="120">
        <f ca="1">SUMIFS(
  m.vb[valor],
  m.vb[nucleo],$N$1,
  m.vb[variavel],U$7,
  m.vb[mes],$A33
)</f>
        <v>0</v>
      </c>
      <c r="V33" s="120">
        <f ca="1">SUMIFS(
  m.vb[valor],
  m.vb[nucleo],$N$1,
  m.vb[variavel],V$7,
  m.vb[mes],$A33
)</f>
        <v>0</v>
      </c>
      <c r="W33" s="120">
        <f ca="1">SUMIFS(
  m.vb[valor],
  m.vb[nucleo],$N$1,
  m.vb[variavel],W$7,
  m.vb[mes],$A33
)</f>
        <v>0</v>
      </c>
      <c r="X33" s="120">
        <f ca="1">SUMIFS(
  m.vb[valor],
  m.vb[nucleo],$N$1,
  m.vb[variavel],X$7,
  m.vb[mes],$A33
)</f>
        <v>0</v>
      </c>
      <c r="Y33" s="121">
        <f ca="1">SUMIFS(
  m.vb[valor],
  m.vb[nucleo],$N$1,
  m.vb[variavel],Y$7,
  m.vb[mes],$A33
)</f>
        <v>0</v>
      </c>
      <c r="Z33" s="119">
        <f>COUNTIFS(
    tb_estq[empresa], Z$6,
    tb_estq[Data da venda / reserva], "&gt;=" &amp; $A33,
    tb_estq[Data da venda / reserva], "&lt;"  &amp; EOMONTH($A33,0) + 1
)</f>
        <v>0</v>
      </c>
      <c r="AA33" s="120">
        <f ca="1">SUMIFS(tb_rec_uni[2023-07-01],
INDIRECT("tb_rec_uni[natureza]"),"pro.soluto",
INDIRECT("tb_rec_uni[empresa]"),AA$6)</f>
        <v>0</v>
      </c>
      <c r="AB33" s="120">
        <f ca="1">SUMIFS(tb_rec_uni[2023-07-01],
INDIRECT("tb_rec_uni[natureza]"),"parcela.fin.total.ik",
INDIRECT("tb_rec_uni[empresa]"),AB$6)</f>
        <v>0</v>
      </c>
      <c r="AC33" s="120">
        <f ca="1">SUMIFS(tb_rec_uni[2023-07-01],
INDIRECT("tb_rec_uni[natureza]"),"taxa.extra",
INDIRECT("tb_rec_uni[empresa]"),AC$6)</f>
        <v>0</v>
      </c>
      <c r="AD33" s="108"/>
      <c r="AE33" s="120">
        <f ca="1">SUMIFS(
  m.vb[valor],
  m.vb[nucleo],$Z$1,
  m.vb[variavel],AE$7,
  m.vb[mes],$A33
)</f>
        <v>0</v>
      </c>
      <c r="AF33" s="120">
        <f ca="1">SUMIFS(
  m.vb[valor],
  m.vb[nucleo],$Z$1,
  m.vb[variavel],AF$7,
  m.vb[mes],$A33
)</f>
        <v>0</v>
      </c>
      <c r="AG33" s="120">
        <f ca="1">SUMIFS(
  m.vb[valor],
  m.vb[nucleo],$Z$1,
  m.vb[variavel],AG$7,
  m.vb[mes],$A33
)</f>
        <v>0</v>
      </c>
      <c r="AH33" s="120">
        <f ca="1">SUMIFS(
  m.vb[valor],
  m.vb[nucleo],$Z$1,
  m.vb[variavel],AH$7,
  m.vb[mes],$A33
)</f>
        <v>0</v>
      </c>
      <c r="AI33" s="121">
        <f ca="1">SUMIFS(
  m.vb[valor],
  m.vb[nucleo],$Z$1,
  m.vb[variavel],AI$7,
  m.vb[mes],$A33
)</f>
        <v>0</v>
      </c>
      <c r="AJ33" s="119">
        <f>COUNTIFS(
    tb_estq[empresa], AJ$6,
    tb_estq[Data da venda / reserva], "&gt;=" &amp; $A33,
    tb_estq[Data da venda / reserva], "&lt;"  &amp; EOMONTH($A33,0) + 1
)</f>
        <v>0</v>
      </c>
      <c r="AK33" s="120">
        <f ca="1">SUMIFS(tb_rec_uni[2023-07-01],
INDIRECT("tb_rec_uni[natureza]"),"pro.soluto",
INDIRECT("tb_rec_uni[empresa]"),AK$6)</f>
        <v>0</v>
      </c>
      <c r="AL33" s="120">
        <f ca="1">SUMIFS(tb_rec_uni[2023-07-01],
INDIRECT("tb_rec_uni[natureza]"),"repasse.cef.obra",
INDIRECT("tb_rec_uni[empresa]"),AL$6)</f>
        <v>0</v>
      </c>
      <c r="AM33" s="120">
        <f ca="1">SUMIFS(tb_rec_uni[2023-07-01],
INDIRECT("tb_rec_uni[natureza]"),"repasse.cef.terreno",
INDIRECT("tb_rec_uni[empresa]"),AM$6)</f>
        <v>0</v>
      </c>
      <c r="AN33" s="120">
        <v>0</v>
      </c>
      <c r="AO33" s="120">
        <f ca="1">SUMIFS(tb_rec_uni[2023-07-01],
INDIRECT("tb_rec_uni[natureza]"),"taxa.extra",
INDIRECT("tb_rec_uni[empresa]"),AO$6)</f>
        <v>0</v>
      </c>
      <c r="AP33" s="108"/>
      <c r="AQ33" s="120">
        <f ca="1">SUMIFS(
  m.vb[valor],
  m.vb[nucleo],$AJ$1,
  m.vb[variavel],AQ$7,
  m.vb[mes],$A33
)</f>
        <v>0</v>
      </c>
      <c r="AR33" s="120">
        <f ca="1">SUMIFS(
  m.vb[valor],
  m.vb[nucleo],$AJ$1,
  m.vb[variavel],AR$7,
  m.vb[mes],$A33
)</f>
        <v>0</v>
      </c>
      <c r="AS33" s="120">
        <f ca="1">SUMIFS(
  m.vb[valor],
  m.vb[nucleo],$AJ$1,
  m.vb[variavel],AS$7,
  m.vb[mes],$A33
)</f>
        <v>0</v>
      </c>
      <c r="AT33" s="120">
        <f ca="1">SUMIFS(
  m.vb[valor],
  m.vb[nucleo],$AJ$1,
  m.vb[variavel],AT$7,
  m.vb[mes],$A33
)</f>
        <v>0</v>
      </c>
      <c r="AU33" s="121">
        <f ca="1">SUMIFS(
  m.vb[valor],
  m.vb[nucleo],$AJ$1,
  m.vb[variavel],AU$7,
  m.vb[mes],$A33
)</f>
        <v>0</v>
      </c>
      <c r="AV33" s="119">
        <f>COUNTIFS(
    tb_estq[empresa], AV$6,
    tb_estq[Data da venda / reserva], "&gt;=" &amp; $A33,
    tb_estq[Data da venda / reserva], "&lt;"  &amp; EOMONTH($A33,0) + 1
)</f>
        <v>0</v>
      </c>
      <c r="AW33" s="120">
        <f ca="1">SUMIFS(tb_rec_uni[2023-07-01],
INDIRECT("tb_rec_uni[natureza]"),"pro.soluto",
INDIRECT("tb_rec_uni[empresa]"),AW$6)</f>
        <v>0</v>
      </c>
      <c r="AX33" s="120">
        <f ca="1">SUMIFS(tb_rec_uni[2023-07-01],
INDIRECT("tb_rec_uni[natureza]"),"repasse.cef.obra",
INDIRECT("tb_rec_uni[empresa]"),AX$6)</f>
        <v>0</v>
      </c>
      <c r="AY33" s="120">
        <f ca="1">SUMIFS(tb_rec_uni[2023-07-01],
INDIRECT("tb_rec_uni[natureza]"),"repasse.cef.terreno",
INDIRECT("tb_rec_uni[empresa]"),AY$6)</f>
        <v>0</v>
      </c>
      <c r="AZ33" s="120">
        <v>0</v>
      </c>
      <c r="BA33" s="120">
        <f ca="1">SUMIFS(tb_rec_uni[2023-07-01],
INDIRECT("tb_rec_uni[natureza]"),"taxa.extra",
INDIRECT("tb_rec_uni[empresa]"),BA$6)</f>
        <v>0</v>
      </c>
      <c r="BB33" s="108"/>
      <c r="BC33" s="120">
        <f ca="1">SUMIFS(
  m.vb[valor],
  m.vb[nucleo],$AV$1,
  m.vb[variavel],BC$7,
  m.vb[mes],$A33
)</f>
        <v>0</v>
      </c>
      <c r="BD33" s="120">
        <f ca="1">SUMIFS(
  m.vb[valor],
  m.vb[nucleo],$AV$1,
  m.vb[variavel],BD$7,
  m.vb[mes],$A33
)</f>
        <v>0</v>
      </c>
      <c r="BE33" s="120">
        <f ca="1">SUMIFS(
  m.vb[valor],
  m.vb[nucleo],$AV$1,
  m.vb[variavel],BE$7,
  m.vb[mes],$A33
)</f>
        <v>0</v>
      </c>
      <c r="BF33" s="120">
        <f ca="1">SUMIFS(
  m.vb[valor],
  m.vb[nucleo],$AV$1,
  m.vb[variavel],BF$7,
  m.vb[mes],$A33
)</f>
        <v>0</v>
      </c>
      <c r="BG33" s="121">
        <f ca="1">SUMIFS(
  m.vb[valor],
  m.vb[nucleo],$AV$1,
  m.vb[variavel],BG$7,
  m.vb[mes],$A33
)</f>
        <v>0</v>
      </c>
      <c r="BH33" s="119">
        <f>COUNTIFS(
    tb_estq[empresa], BH$6,
    tb_estq[Data da venda / reserva], "&gt;=" &amp; $A33,
    tb_estq[Data da venda / reserva], "&lt;"  &amp; EOMONTH($A33,0) + 1
)</f>
        <v>0</v>
      </c>
      <c r="BI33" s="120">
        <f ca="1">SUMIFS(tb_rec_uni[2023-07-01],
INDIRECT("tb_rec_uni[natureza]"),"pro.soluto",
INDIRECT("tb_rec_uni[empresa]"),BI$6)</f>
        <v>0</v>
      </c>
      <c r="BJ33" s="108">
        <v>0</v>
      </c>
      <c r="BK33" s="120">
        <f ca="1">SUMIFS(tb_rec_uni[2023-07-01],
INDIRECT("tb_rec_uni[natureza]"),"taxa.extra",
INDIRECT("tb_rec_uni[empresa]"),BK$6)</f>
        <v>0</v>
      </c>
      <c r="BL33" s="108"/>
      <c r="BM33" s="120">
        <f ca="1">SUMIFS(
  m.vb[valor],
  m.vb[nucleo],$BH$1,
  m.vb[variavel],BM$7,
  m.vb[mes],$A33
)</f>
        <v>0</v>
      </c>
      <c r="BN33" s="120">
        <f ca="1">SUMIFS(
  m.vb[valor],
  m.vb[nucleo],$BH$1,
  m.vb[variavel],BN$7,
  m.vb[mes],$A33
)</f>
        <v>0</v>
      </c>
      <c r="BO33" s="120">
        <f ca="1">SUMIFS(
  m.vb[valor],
  m.vb[nucleo],$BH$1,
  m.vb[variavel],BO$7,
  m.vb[mes],$A33
)</f>
        <v>0</v>
      </c>
      <c r="BP33" s="120">
        <f ca="1">SUMIFS(
  m.vb[valor],
  m.vb[nucleo],$BH$1,
  m.vb[variavel],BP$7,
  m.vb[mes],$A33
)</f>
        <v>0</v>
      </c>
      <c r="BQ33" s="121">
        <f ca="1">SUMIFS(
  m.vb[valor],
  m.vb[nucleo],$BH$1,
  m.vb[variavel],BQ$7,
  m.vb[mes],$A33
)</f>
        <v>0</v>
      </c>
      <c r="BR33" s="119">
        <f>COUNTIFS(
    tb_estq[empresa], BR$6,
    tb_estq[Data da venda / reserva], "&gt;=" &amp; $A33,
    tb_estq[Data da venda / reserva], "&lt;"  &amp; EOMONTH($A33,0) + 1
)</f>
        <v>0</v>
      </c>
      <c r="BS33" s="120">
        <f ca="1">SUMIFS(tb_rec_uni[2023-07-01],
INDIRECT("tb_rec_uni[natureza]"),"pro.soluto",
INDIRECT("tb_rec_uni[empresa]"),BS$6)</f>
        <v>0</v>
      </c>
      <c r="BT33" s="120">
        <f ca="1">SUMIFS(tb_rec_uni[2023-07-01],
INDIRECT("tb_rec_uni[natureza]"),"parcela.fin.total.ik",
INDIRECT("tb_rec_uni[empresa]"),BT$6)</f>
        <v>0</v>
      </c>
      <c r="BU33" s="120">
        <f ca="1">SUMIFS(tb_rec_uni[2023-07-01],
INDIRECT("tb_rec_uni[natureza]"),"taxa.extra",
INDIRECT("tb_rec_uni[empresa]"),BU$6)</f>
        <v>0</v>
      </c>
      <c r="BV33" s="108"/>
      <c r="BW33" s="120">
        <f ca="1">SUMIFS(
  m.vb[valor],
  m.vb[nucleo],$BR$1,
  m.vb[variavel],BW$7,
  m.vb[mes],$A33
)</f>
        <v>0</v>
      </c>
      <c r="BX33" s="120">
        <f ca="1">SUMIFS(
  m.vb[valor],
  m.vb[nucleo],$BR$1,
  m.vb[variavel],BX$7,
  m.vb[mes],$A33
)</f>
        <v>0</v>
      </c>
      <c r="BY33" s="120">
        <f ca="1">SUMIFS(
  m.vb[valor],
  m.vb[nucleo],$BR$1,
  m.vb[variavel],BY$7,
  m.vb[mes],$A33
)</f>
        <v>0</v>
      </c>
      <c r="BZ33" s="120">
        <f ca="1">SUMIFS(
  m.vb[valor],
  m.vb[nucleo],$BR$1,
  m.vb[variavel],BZ$7,
  m.vb[mes],$A33
)</f>
        <v>0</v>
      </c>
      <c r="CA33" s="121">
        <f ca="1">SUMIFS(
  m.vb[valor],
  m.vb[nucleo],$BR$1,
  m.vb[variavel],CA$7,
  m.vb[mes],$A33
)</f>
        <v>0</v>
      </c>
      <c r="CB33" s="119">
        <f>COUNTIFS(
    tb_estq[empresa], CB$6,
    tb_estq[Data da venda / reserva], "&gt;=" &amp; $A33,
    tb_estq[Data da venda / reserva], "&lt;"  &amp; EOMONTH($A33,0) + 1
)</f>
        <v>0</v>
      </c>
      <c r="CC33" s="120">
        <f ca="1">SUMIFS(tb_rec_uni[2023-07-01],
INDIRECT("tb_rec_uni[natureza]"),"pro.soluto",
INDIRECT("tb_rec_uni[empresa]"),CC$6)</f>
        <v>0</v>
      </c>
      <c r="CD33" s="120">
        <f ca="1">SUMIFS(tb_rec_uni[2023-07-01],
INDIRECT("tb_rec_uni[natureza]"),"repasse.cef.obra",
INDIRECT("tb_rec_uni[empresa]"),CD$6)</f>
        <v>0</v>
      </c>
      <c r="CE33" s="120">
        <f ca="1">SUMIFS(tb_rec_uni[2023-07-01],
INDIRECT("tb_rec_uni[natureza]"),"repasse.cef.terreno",
INDIRECT("tb_rec_uni[empresa]"),CE$6)</f>
        <v>0</v>
      </c>
      <c r="CF33" s="120">
        <v>0</v>
      </c>
      <c r="CG33" s="120">
        <f ca="1">SUMIFS(tb_rec_uni[2023-07-01],
INDIRECT("tb_rec_uni[natureza]"),"taxa.extra",
INDIRECT("tb_rec_uni[empresa]"),CG$6)</f>
        <v>0</v>
      </c>
      <c r="CH33" s="108"/>
      <c r="CI33" s="120">
        <f ca="1">SUMIFS(
  m.vb[valor],
  m.vb[nucleo],$CB$1,
  m.vb[variavel],CI$7,
  m.vb[mes],$A33
)</f>
        <v>0</v>
      </c>
      <c r="CJ33" s="120">
        <f ca="1">SUMIFS(
  m.vb[valor],
  m.vb[nucleo],$CB$1,
  m.vb[variavel],CJ$7,
  m.vb[mes],$A33
)</f>
        <v>0</v>
      </c>
      <c r="CK33" s="120">
        <f ca="1">SUMIFS(
  m.vb[valor],
  m.vb[nucleo],$CB$1,
  m.vb[variavel],CK$7,
  m.vb[mes],$A33
)</f>
        <v>0</v>
      </c>
      <c r="CL33" s="120">
        <f ca="1">SUMIFS(
  m.vb[valor],
  m.vb[nucleo],$CB$1,
  m.vb[variavel],CL$7,
  m.vb[mes],$A33
)</f>
        <v>0</v>
      </c>
      <c r="CM33" s="121">
        <f ca="1">SUMIFS(
  m.vb[valor],
  m.vb[nucleo],$CB$1,
  m.vb[variavel],CM$7,
  m.vb[mes],$A33
)</f>
        <v>0</v>
      </c>
      <c r="CN33" s="119">
        <f>COUNTIFS(
    tb_estq[empresa], CN$6,
    tb_estq[Data da venda / reserva], "&gt;=" &amp; $A33,
    tb_estq[Data da venda / reserva], "&lt;"  &amp; EOMONTH($A33,0) + 1
)</f>
        <v>0</v>
      </c>
      <c r="CO33" s="120">
        <f ca="1">SUMIFS(tb_rec_uni[2023-07-01],
INDIRECT("tb_rec_uni[natureza]"),"pro.soluto",
INDIRECT("tb_rec_uni[empresa]"),CO$6)</f>
        <v>0</v>
      </c>
      <c r="CP33" s="120">
        <f ca="1">SUMIFS(tb_rec_uni[2023-07-01],
INDIRECT("tb_rec_uni[natureza]"),"repasse.cef.obra",
INDIRECT("tb_rec_uni[empresa]"),CP$6)</f>
        <v>0</v>
      </c>
      <c r="CQ33" s="120">
        <f ca="1">SUMIFS(tb_rec_uni[2023-07-01],
INDIRECT("tb_rec_uni[natureza]"),"repasse.cef.terreno",
INDIRECT("tb_rec_uni[empresa]"),CQ$6)</f>
        <v>0</v>
      </c>
      <c r="CR33" s="120">
        <v>0</v>
      </c>
      <c r="CS33" s="120">
        <f ca="1">SUMIFS(tb_rec_uni[2023-07-01],
INDIRECT("tb_rec_uni[natureza]"),"taxa.extra",
INDIRECT("tb_rec_uni[empresa]"),CS$6)</f>
        <v>0</v>
      </c>
      <c r="CT33" s="108"/>
      <c r="CU33" s="120">
        <f ca="1">SUMIFS(
  m.vb[valor],
  m.vb[nucleo],$CN$1,
  m.vb[variavel],CU$7,
  m.vb[mes],$A33
)</f>
        <v>0</v>
      </c>
      <c r="CV33" s="120" cm="1">
        <f t="array" ref="CV33">SUMPRODUCT(
  IFERROR(--tb_desp[valor],0)*
  (tb_desp[nucleo]="UP MOVE VILA SONIA")*
  (tb_desp[categoria]=CV$7)*
  (tb_desp[data.pagamento]&gt;=$A33)*
  (tb_desp[data.pagamento]&lt;EOMONTH($A33,0)+1)
)</f>
        <v>0</v>
      </c>
      <c r="CW33" s="120" cm="1">
        <f t="array" ref="CW33">SUMPRODUCT(
  IFERROR(--tb_desp[valor],0)*
  (tb_desp[nucleo]="UP MOVE VILA SONIA")*
  (tb_desp[categoria]=CW$7)*
  (tb_desp[data.pagamento]&gt;=$A33)*
  (tb_desp[data.pagamento]&lt;EOMONTH($A33,0)+1)
)</f>
        <v>0</v>
      </c>
      <c r="CX33" s="120" cm="1">
        <f t="array" ref="CX33">SUMPRODUCT(
  IFERROR(--tb_desp[valor],0)*
  (tb_desp[nucleo]="UP MOVE VILA SONIA")*
  (tb_desp[categoria]=CX$7)*
  (tb_desp[data.pagamento]&gt;=$A33)*
  (tb_desp[data.pagamento]&lt;EOMONTH($A33,0)+1)
)</f>
        <v>0</v>
      </c>
      <c r="CY33" s="122" cm="1">
        <f t="array" ref="CY33">SUMPRODUCT(
  IFERROR(--tb_desp[valor],0)*
  (tb_desp[nucleo]="UP MOVE VILA SONIA")*
  (tb_desp[categoria]=CY$7)*
  (tb_desp[data.pagamento]&gt;=$A33)*
  (tb_desp[data.pagamento]&lt;EOMONTH($A33,0)+1)
)</f>
        <v>0</v>
      </c>
    </row>
    <row r="34" spans="1:103" x14ac:dyDescent="0.25">
      <c r="A34" s="118">
        <v>45139</v>
      </c>
      <c r="B34" s="119">
        <f>COUNTIFS(
    tb_estq[empresa], B$6,
    tb_estq[Data da venda / reserva], "&gt;=" &amp; $A34,
    tb_estq[Data da venda / reserva], "&lt;"  &amp; EOMONTH($A34,0) + 1
)</f>
        <v>0</v>
      </c>
      <c r="C34" s="120">
        <f ca="1">SUMIFS(tb_rec_uni[2023-08-01],
INDIRECT("tb_rec_uni[natureza]"),"pro.soluto",
INDIRECT("tb_rec_uni[empresa]"),C$6)</f>
        <v>0</v>
      </c>
      <c r="D34" s="120">
        <f ca="1">SUMIFS(tb_rec_uni[2023-08-01],
INDIRECT("tb_rec_uni[natureza]"),"repasse.cef.obra",
INDIRECT("tb_rec_uni[empresa]"),D$6)</f>
        <v>0</v>
      </c>
      <c r="E34" s="120">
        <f ca="1">SUMIFS(tb_rec_uni[2023-08-01],
INDIRECT("tb_rec_uni[natureza]"),"repasse.cef.terreno",
INDIRECT("tb_rec_uni[empresa]"),E$6)</f>
        <v>0</v>
      </c>
      <c r="F34" s="120">
        <v>0</v>
      </c>
      <c r="G34" s="120">
        <f ca="1">SUMIFS(tb_rec_uni[2023-08-01],
INDIRECT("tb_rec_uni[natureza]"),"taxa.extra",
INDIRECT("tb_rec_uni[empresa]"),G$6)</f>
        <v>0</v>
      </c>
      <c r="H34" s="108"/>
      <c r="I34" s="120">
        <f ca="1">SUMIFS(
  m.vb[valor],
  m.vb[nucleo],$B$1,
  m.vb[variavel],I$7,
  m.vb[mes],$A34
)</f>
        <v>0</v>
      </c>
      <c r="J34" s="120">
        <f ca="1">SUMIFS(
  m.vb[valor],
  m.vb[nucleo],$B$1,
  m.vb[variavel],J$7,
  m.vb[mes],$A34
)</f>
        <v>0</v>
      </c>
      <c r="K34" s="120">
        <f ca="1">SUMIFS(
  m.vb[valor],
  m.vb[nucleo],$B$1,
  m.vb[variavel],K$7,
  m.vb[mes],$A34
)</f>
        <v>0</v>
      </c>
      <c r="L34" s="120">
        <f ca="1">SUMIFS(
  m.vb[valor],
  m.vb[nucleo],$B$1,
  m.vb[variavel],L$7,
  m.vb[mes],$A34
)</f>
        <v>0</v>
      </c>
      <c r="M34" s="121">
        <f ca="1">SUMIFS(
  m.vb[valor],
  m.vb[nucleo],$B$1,
  m.vb[variavel],M$7,
  m.vb[mes],$A34
)</f>
        <v>0</v>
      </c>
      <c r="N34" s="119">
        <f>COUNTIFS(
    tb_estq[empresa], N$6,
    tb_estq[Data da venda / reserva], "&gt;=" &amp; $A34,
    tb_estq[Data da venda / reserva], "&lt;"  &amp; EOMONTH($A34,0) + 1
)</f>
        <v>0</v>
      </c>
      <c r="O34" s="120">
        <f ca="1">SUMIFS(tb_rec_uni[2023-08-01],
INDIRECT("tb_rec_uni[natureza]"),"pro.soluto",
INDIRECT("tb_rec_uni[empresa]"),O$6)</f>
        <v>0</v>
      </c>
      <c r="P34" s="120">
        <f ca="1">SUMIFS(tb_rec_uni[2023-08-01],
INDIRECT("tb_rec_uni[natureza]"),"repasse.cef.obra",
INDIRECT("tb_rec_uni[empresa]"),P$6)</f>
        <v>0</v>
      </c>
      <c r="Q34" s="120">
        <f ca="1">SUMIFS(tb_rec_uni[2023-08-01],
INDIRECT("tb_rec_uni[natureza]"),"repasse.cef.terreno",
INDIRECT("tb_rec_uni[empresa]"),Q$6)</f>
        <v>0</v>
      </c>
      <c r="R34" s="120">
        <v>327575.88</v>
      </c>
      <c r="S34" s="120">
        <f ca="1">SUMIFS(tb_rec_uni[2023-08-01],
INDIRECT("tb_rec_uni[natureza]"),"taxa.extra",
INDIRECT("tb_rec_uni[empresa]"),S$6)</f>
        <v>0</v>
      </c>
      <c r="T34" s="108"/>
      <c r="U34" s="120">
        <f ca="1">SUMIFS(
  m.vb[valor],
  m.vb[nucleo],$N$1,
  m.vb[variavel],U$7,
  m.vb[mes],$A34
)</f>
        <v>0</v>
      </c>
      <c r="V34" s="120">
        <f ca="1">SUMIFS(
  m.vb[valor],
  m.vb[nucleo],$N$1,
  m.vb[variavel],V$7,
  m.vb[mes],$A34
)</f>
        <v>0</v>
      </c>
      <c r="W34" s="120">
        <f ca="1">SUMIFS(
  m.vb[valor],
  m.vb[nucleo],$N$1,
  m.vb[variavel],W$7,
  m.vb[mes],$A34
)</f>
        <v>0</v>
      </c>
      <c r="X34" s="120">
        <f ca="1">SUMIFS(
  m.vb[valor],
  m.vb[nucleo],$N$1,
  m.vb[variavel],X$7,
  m.vb[mes],$A34
)</f>
        <v>0</v>
      </c>
      <c r="Y34" s="121">
        <f ca="1">SUMIFS(
  m.vb[valor],
  m.vb[nucleo],$N$1,
  m.vb[variavel],Y$7,
  m.vb[mes],$A34
)</f>
        <v>0</v>
      </c>
      <c r="Z34" s="119">
        <f>COUNTIFS(
    tb_estq[empresa], Z$6,
    tb_estq[Data da venda / reserva], "&gt;=" &amp; $A34,
    tb_estq[Data da venda / reserva], "&lt;"  &amp; EOMONTH($A34,0) + 1
)</f>
        <v>0</v>
      </c>
      <c r="AA34" s="120">
        <f ca="1">SUMIFS(tb_rec_uni[2023-08-01],
INDIRECT("tb_rec_uni[natureza]"),"pro.soluto",
INDIRECT("tb_rec_uni[empresa]"),AA$6)</f>
        <v>0</v>
      </c>
      <c r="AB34" s="120">
        <f ca="1">SUMIFS(tb_rec_uni[2023-08-01],
INDIRECT("tb_rec_uni[natureza]"),"parcela.fin.total.ik",
INDIRECT("tb_rec_uni[empresa]"),AB$6)</f>
        <v>0</v>
      </c>
      <c r="AC34" s="120">
        <f ca="1">SUMIFS(tb_rec_uni[2023-08-01],
INDIRECT("tb_rec_uni[natureza]"),"taxa.extra",
INDIRECT("tb_rec_uni[empresa]"),AC$6)</f>
        <v>0</v>
      </c>
      <c r="AD34" s="108"/>
      <c r="AE34" s="120">
        <f ca="1">SUMIFS(
  m.vb[valor],
  m.vb[nucleo],$Z$1,
  m.vb[variavel],AE$7,
  m.vb[mes],$A34
)</f>
        <v>0</v>
      </c>
      <c r="AF34" s="120">
        <f ca="1">SUMIFS(
  m.vb[valor],
  m.vb[nucleo],$Z$1,
  m.vb[variavel],AF$7,
  m.vb[mes],$A34
)</f>
        <v>0</v>
      </c>
      <c r="AG34" s="120">
        <f ca="1">SUMIFS(
  m.vb[valor],
  m.vb[nucleo],$Z$1,
  m.vb[variavel],AG$7,
  m.vb[mes],$A34
)</f>
        <v>0</v>
      </c>
      <c r="AH34" s="120">
        <f ca="1">SUMIFS(
  m.vb[valor],
  m.vb[nucleo],$Z$1,
  m.vb[variavel],AH$7,
  m.vb[mes],$A34
)</f>
        <v>0</v>
      </c>
      <c r="AI34" s="121">
        <f ca="1">SUMIFS(
  m.vb[valor],
  m.vb[nucleo],$Z$1,
  m.vb[variavel],AI$7,
  m.vb[mes],$A34
)</f>
        <v>0</v>
      </c>
      <c r="AJ34" s="119">
        <f>COUNTIFS(
    tb_estq[empresa], AJ$6,
    tb_estq[Data da venda / reserva], "&gt;=" &amp; $A34,
    tb_estq[Data da venda / reserva], "&lt;"  &amp; EOMONTH($A34,0) + 1
)</f>
        <v>0</v>
      </c>
      <c r="AK34" s="120">
        <f ca="1">SUMIFS(tb_rec_uni[2023-08-01],
INDIRECT("tb_rec_uni[natureza]"),"pro.soluto",
INDIRECT("tb_rec_uni[empresa]"),AK$6)</f>
        <v>0</v>
      </c>
      <c r="AL34" s="120">
        <f ca="1">SUMIFS(tb_rec_uni[2023-08-01],
INDIRECT("tb_rec_uni[natureza]"),"repasse.cef.obra",
INDIRECT("tb_rec_uni[empresa]"),AL$6)</f>
        <v>0</v>
      </c>
      <c r="AM34" s="120">
        <f ca="1">SUMIFS(tb_rec_uni[2023-08-01],
INDIRECT("tb_rec_uni[natureza]"),"repasse.cef.terreno",
INDIRECT("tb_rec_uni[empresa]"),AM$6)</f>
        <v>0</v>
      </c>
      <c r="AN34" s="120">
        <v>0</v>
      </c>
      <c r="AO34" s="120">
        <f ca="1">SUMIFS(tb_rec_uni[2023-08-01],
INDIRECT("tb_rec_uni[natureza]"),"taxa.extra",
INDIRECT("tb_rec_uni[empresa]"),AO$6)</f>
        <v>0</v>
      </c>
      <c r="AP34" s="108"/>
      <c r="AQ34" s="120">
        <f ca="1">SUMIFS(
  m.vb[valor],
  m.vb[nucleo],$AJ$1,
  m.vb[variavel],AQ$7,
  m.vb[mes],$A34
)</f>
        <v>0</v>
      </c>
      <c r="AR34" s="120">
        <f ca="1">SUMIFS(
  m.vb[valor],
  m.vb[nucleo],$AJ$1,
  m.vb[variavel],AR$7,
  m.vb[mes],$A34
)</f>
        <v>0</v>
      </c>
      <c r="AS34" s="120">
        <f ca="1">SUMIFS(
  m.vb[valor],
  m.vb[nucleo],$AJ$1,
  m.vb[variavel],AS$7,
  m.vb[mes],$A34
)</f>
        <v>0</v>
      </c>
      <c r="AT34" s="120">
        <f ca="1">SUMIFS(
  m.vb[valor],
  m.vb[nucleo],$AJ$1,
  m.vb[variavel],AT$7,
  m.vb[mes],$A34
)</f>
        <v>0</v>
      </c>
      <c r="AU34" s="121">
        <f ca="1">SUMIFS(
  m.vb[valor],
  m.vb[nucleo],$AJ$1,
  m.vb[variavel],AU$7,
  m.vb[mes],$A34
)</f>
        <v>0</v>
      </c>
      <c r="AV34" s="119">
        <f>COUNTIFS(
    tb_estq[empresa], AV$6,
    tb_estq[Data da venda / reserva], "&gt;=" &amp; $A34,
    tb_estq[Data da venda / reserva], "&lt;"  &amp; EOMONTH($A34,0) + 1
)</f>
        <v>0</v>
      </c>
      <c r="AW34" s="120">
        <f ca="1">SUMIFS(tb_rec_uni[2023-08-01],
INDIRECT("tb_rec_uni[natureza]"),"pro.soluto",
INDIRECT("tb_rec_uni[empresa]"),AW$6)</f>
        <v>0</v>
      </c>
      <c r="AX34" s="120">
        <f ca="1">SUMIFS(tb_rec_uni[2023-08-01],
INDIRECT("tb_rec_uni[natureza]"),"repasse.cef.obra",
INDIRECT("tb_rec_uni[empresa]"),AX$6)</f>
        <v>0</v>
      </c>
      <c r="AY34" s="120">
        <f ca="1">SUMIFS(tb_rec_uni[2023-08-01],
INDIRECT("tb_rec_uni[natureza]"),"repasse.cef.terreno",
INDIRECT("tb_rec_uni[empresa]"),AY$6)</f>
        <v>0</v>
      </c>
      <c r="AZ34" s="120">
        <v>0</v>
      </c>
      <c r="BA34" s="120">
        <f ca="1">SUMIFS(tb_rec_uni[2023-08-01],
INDIRECT("tb_rec_uni[natureza]"),"taxa.extra",
INDIRECT("tb_rec_uni[empresa]"),BA$6)</f>
        <v>0</v>
      </c>
      <c r="BB34" s="108"/>
      <c r="BC34" s="120">
        <f ca="1">SUMIFS(
  m.vb[valor],
  m.vb[nucleo],$AV$1,
  m.vb[variavel],BC$7,
  m.vb[mes],$A34
)</f>
        <v>0</v>
      </c>
      <c r="BD34" s="120">
        <f ca="1">SUMIFS(
  m.vb[valor],
  m.vb[nucleo],$AV$1,
  m.vb[variavel],BD$7,
  m.vb[mes],$A34
)</f>
        <v>0</v>
      </c>
      <c r="BE34" s="120">
        <f ca="1">SUMIFS(
  m.vb[valor],
  m.vb[nucleo],$AV$1,
  m.vb[variavel],BE$7,
  m.vb[mes],$A34
)</f>
        <v>0</v>
      </c>
      <c r="BF34" s="120">
        <f ca="1">SUMIFS(
  m.vb[valor],
  m.vb[nucleo],$AV$1,
  m.vb[variavel],BF$7,
  m.vb[mes],$A34
)</f>
        <v>0</v>
      </c>
      <c r="BG34" s="121">
        <f ca="1">SUMIFS(
  m.vb[valor],
  m.vb[nucleo],$AV$1,
  m.vb[variavel],BG$7,
  m.vb[mes],$A34
)</f>
        <v>0</v>
      </c>
      <c r="BH34" s="119">
        <f>COUNTIFS(
    tb_estq[empresa], BH$6,
    tb_estq[Data da venda / reserva], "&gt;=" &amp; $A34,
    tb_estq[Data da venda / reserva], "&lt;"  &amp; EOMONTH($A34,0) + 1
)</f>
        <v>0</v>
      </c>
      <c r="BI34" s="120">
        <f ca="1">SUMIFS(tb_rec_uni[2023-08-01],
INDIRECT("tb_rec_uni[natureza]"),"pro.soluto",
INDIRECT("tb_rec_uni[empresa]"),BI$6)</f>
        <v>0</v>
      </c>
      <c r="BJ34" s="108">
        <v>0</v>
      </c>
      <c r="BK34" s="120">
        <f ca="1">SUMIFS(tb_rec_uni[2023-08-01],
INDIRECT("tb_rec_uni[natureza]"),"taxa.extra",
INDIRECT("tb_rec_uni[empresa]"),BK$6)</f>
        <v>0</v>
      </c>
      <c r="BL34" s="108"/>
      <c r="BM34" s="120">
        <f ca="1">SUMIFS(
  m.vb[valor],
  m.vb[nucleo],$BH$1,
  m.vb[variavel],BM$7,
  m.vb[mes],$A34
)</f>
        <v>0</v>
      </c>
      <c r="BN34" s="120">
        <f ca="1">SUMIFS(
  m.vb[valor],
  m.vb[nucleo],$BH$1,
  m.vb[variavel],BN$7,
  m.vb[mes],$A34
)</f>
        <v>0</v>
      </c>
      <c r="BO34" s="120">
        <f ca="1">SUMIFS(
  m.vb[valor],
  m.vb[nucleo],$BH$1,
  m.vb[variavel],BO$7,
  m.vb[mes],$A34
)</f>
        <v>0</v>
      </c>
      <c r="BP34" s="120">
        <f ca="1">SUMIFS(
  m.vb[valor],
  m.vb[nucleo],$BH$1,
  m.vb[variavel],BP$7,
  m.vb[mes],$A34
)</f>
        <v>0</v>
      </c>
      <c r="BQ34" s="121">
        <f ca="1">SUMIFS(
  m.vb[valor],
  m.vb[nucleo],$BH$1,
  m.vb[variavel],BQ$7,
  m.vb[mes],$A34
)</f>
        <v>0</v>
      </c>
      <c r="BR34" s="119">
        <f>COUNTIFS(
    tb_estq[empresa], BR$6,
    tb_estq[Data da venda / reserva], "&gt;=" &amp; $A34,
    tb_estq[Data da venda / reserva], "&lt;"  &amp; EOMONTH($A34,0) + 1
)</f>
        <v>0</v>
      </c>
      <c r="BS34" s="120">
        <f ca="1">SUMIFS(tb_rec_uni[2023-08-01],
INDIRECT("tb_rec_uni[natureza]"),"pro.soluto",
INDIRECT("tb_rec_uni[empresa]"),BS$6)</f>
        <v>0</v>
      </c>
      <c r="BT34" s="120">
        <f ca="1">SUMIFS(tb_rec_uni[2023-08-01],
INDIRECT("tb_rec_uni[natureza]"),"parcela.fin.total.ik",
INDIRECT("tb_rec_uni[empresa]"),BT$6)</f>
        <v>0</v>
      </c>
      <c r="BU34" s="120">
        <f ca="1">SUMIFS(tb_rec_uni[2023-08-01],
INDIRECT("tb_rec_uni[natureza]"),"taxa.extra",
INDIRECT("tb_rec_uni[empresa]"),BU$6)</f>
        <v>0</v>
      </c>
      <c r="BV34" s="108"/>
      <c r="BW34" s="120">
        <f ca="1">SUMIFS(
  m.vb[valor],
  m.vb[nucleo],$BR$1,
  m.vb[variavel],BW$7,
  m.vb[mes],$A34
)</f>
        <v>0</v>
      </c>
      <c r="BX34" s="120">
        <f ca="1">SUMIFS(
  m.vb[valor],
  m.vb[nucleo],$BR$1,
  m.vb[variavel],BX$7,
  m.vb[mes],$A34
)</f>
        <v>0</v>
      </c>
      <c r="BY34" s="120">
        <f ca="1">SUMIFS(
  m.vb[valor],
  m.vb[nucleo],$BR$1,
  m.vb[variavel],BY$7,
  m.vb[mes],$A34
)</f>
        <v>0</v>
      </c>
      <c r="BZ34" s="120">
        <f ca="1">SUMIFS(
  m.vb[valor],
  m.vb[nucleo],$BR$1,
  m.vb[variavel],BZ$7,
  m.vb[mes],$A34
)</f>
        <v>0</v>
      </c>
      <c r="CA34" s="121">
        <f ca="1">SUMIFS(
  m.vb[valor],
  m.vb[nucleo],$BR$1,
  m.vb[variavel],CA$7,
  m.vb[mes],$A34
)</f>
        <v>0</v>
      </c>
      <c r="CB34" s="119">
        <f>COUNTIFS(
    tb_estq[empresa], CB$6,
    tb_estq[Data da venda / reserva], "&gt;=" &amp; $A34,
    tb_estq[Data da venda / reserva], "&lt;"  &amp; EOMONTH($A34,0) + 1
)</f>
        <v>0</v>
      </c>
      <c r="CC34" s="120">
        <f ca="1">SUMIFS(tb_rec_uni[2023-08-01],
INDIRECT("tb_rec_uni[natureza]"),"pro.soluto",
INDIRECT("tb_rec_uni[empresa]"),CC$6)</f>
        <v>0</v>
      </c>
      <c r="CD34" s="120">
        <f ca="1">SUMIFS(tb_rec_uni[2023-08-01],
INDIRECT("tb_rec_uni[natureza]"),"repasse.cef.obra",
INDIRECT("tb_rec_uni[empresa]"),CD$6)</f>
        <v>0</v>
      </c>
      <c r="CE34" s="120">
        <f ca="1">SUMIFS(tb_rec_uni[2023-08-01],
INDIRECT("tb_rec_uni[natureza]"),"repasse.cef.terreno",
INDIRECT("tb_rec_uni[empresa]"),CE$6)</f>
        <v>0</v>
      </c>
      <c r="CF34" s="120">
        <v>0</v>
      </c>
      <c r="CG34" s="120">
        <f ca="1">SUMIFS(tb_rec_uni[2023-08-01],
INDIRECT("tb_rec_uni[natureza]"),"taxa.extra",
INDIRECT("tb_rec_uni[empresa]"),CG$6)</f>
        <v>0</v>
      </c>
      <c r="CH34" s="108"/>
      <c r="CI34" s="120">
        <f ca="1">SUMIFS(
  m.vb[valor],
  m.vb[nucleo],$CB$1,
  m.vb[variavel],CI$7,
  m.vb[mes],$A34
)</f>
        <v>0</v>
      </c>
      <c r="CJ34" s="120">
        <f ca="1">SUMIFS(
  m.vb[valor],
  m.vb[nucleo],$CB$1,
  m.vb[variavel],CJ$7,
  m.vb[mes],$A34
)</f>
        <v>0</v>
      </c>
      <c r="CK34" s="120">
        <f ca="1">SUMIFS(
  m.vb[valor],
  m.vb[nucleo],$CB$1,
  m.vb[variavel],CK$7,
  m.vb[mes],$A34
)</f>
        <v>0</v>
      </c>
      <c r="CL34" s="120">
        <f ca="1">SUMIFS(
  m.vb[valor],
  m.vb[nucleo],$CB$1,
  m.vb[variavel],CL$7,
  m.vb[mes],$A34
)</f>
        <v>0</v>
      </c>
      <c r="CM34" s="121">
        <f ca="1">SUMIFS(
  m.vb[valor],
  m.vb[nucleo],$CB$1,
  m.vb[variavel],CM$7,
  m.vb[mes],$A34
)</f>
        <v>0</v>
      </c>
      <c r="CN34" s="119">
        <f>COUNTIFS(
    tb_estq[empresa], CN$6,
    tb_estq[Data da venda / reserva], "&gt;=" &amp; $A34,
    tb_estq[Data da venda / reserva], "&lt;"  &amp; EOMONTH($A34,0) + 1
)</f>
        <v>0</v>
      </c>
      <c r="CO34" s="120">
        <f ca="1">SUMIFS(tb_rec_uni[2023-08-01],
INDIRECT("tb_rec_uni[natureza]"),"pro.soluto",
INDIRECT("tb_rec_uni[empresa]"),CO$6)</f>
        <v>0</v>
      </c>
      <c r="CP34" s="120">
        <f ca="1">SUMIFS(tb_rec_uni[2023-08-01],
INDIRECT("tb_rec_uni[natureza]"),"repasse.cef.obra",
INDIRECT("tb_rec_uni[empresa]"),CP$6)</f>
        <v>0</v>
      </c>
      <c r="CQ34" s="120">
        <f ca="1">SUMIFS(tb_rec_uni[2023-08-01],
INDIRECT("tb_rec_uni[natureza]"),"repasse.cef.terreno",
INDIRECT("tb_rec_uni[empresa]"),CQ$6)</f>
        <v>0</v>
      </c>
      <c r="CR34" s="120">
        <v>0</v>
      </c>
      <c r="CS34" s="120">
        <f ca="1">SUMIFS(tb_rec_uni[2023-08-01],
INDIRECT("tb_rec_uni[natureza]"),"taxa.extra",
INDIRECT("tb_rec_uni[empresa]"),CS$6)</f>
        <v>0</v>
      </c>
      <c r="CT34" s="108"/>
      <c r="CU34" s="120">
        <f ca="1">SUMIFS(
  m.vb[valor],
  m.vb[nucleo],$CN$1,
  m.vb[variavel],CU$7,
  m.vb[mes],$A34
)</f>
        <v>0</v>
      </c>
      <c r="CV34" s="120" cm="1">
        <f t="array" ref="CV34">SUMPRODUCT(
  IFERROR(--tb_desp[valor],0)*
  (tb_desp[nucleo]="UP MOVE VILA SONIA")*
  (tb_desp[categoria]=CV$7)*
  (tb_desp[data.pagamento]&gt;=$A34)*
  (tb_desp[data.pagamento]&lt;EOMONTH($A34,0)+1)
)</f>
        <v>0</v>
      </c>
      <c r="CW34" s="120" cm="1">
        <f t="array" ref="CW34">SUMPRODUCT(
  IFERROR(--tb_desp[valor],0)*
  (tb_desp[nucleo]="UP MOVE VILA SONIA")*
  (tb_desp[categoria]=CW$7)*
  (tb_desp[data.pagamento]&gt;=$A34)*
  (tb_desp[data.pagamento]&lt;EOMONTH($A34,0)+1)
)</f>
        <v>0</v>
      </c>
      <c r="CX34" s="120" cm="1">
        <f t="array" ref="CX34">SUMPRODUCT(
  IFERROR(--tb_desp[valor],0)*
  (tb_desp[nucleo]="UP MOVE VILA SONIA")*
  (tb_desp[categoria]=CX$7)*
  (tb_desp[data.pagamento]&gt;=$A34)*
  (tb_desp[data.pagamento]&lt;EOMONTH($A34,0)+1)
)</f>
        <v>0</v>
      </c>
      <c r="CY34" s="122" cm="1">
        <f t="array" ref="CY34">SUMPRODUCT(
  IFERROR(--tb_desp[valor],0)*
  (tb_desp[nucleo]="UP MOVE VILA SONIA")*
  (tb_desp[categoria]=CY$7)*
  (tb_desp[data.pagamento]&gt;=$A34)*
  (tb_desp[data.pagamento]&lt;EOMONTH($A34,0)+1)
)</f>
        <v>0</v>
      </c>
    </row>
    <row r="35" spans="1:103" x14ac:dyDescent="0.25">
      <c r="A35" s="118">
        <v>45170</v>
      </c>
      <c r="B35" s="119">
        <f>COUNTIFS(
    tb_estq[empresa], B$6,
    tb_estq[Data da venda / reserva], "&gt;=" &amp; $A35,
    tb_estq[Data da venda / reserva], "&lt;"  &amp; EOMONTH($A35,0) + 1
)</f>
        <v>0</v>
      </c>
      <c r="C35" s="120">
        <f ca="1">SUMIFS(tb_rec_uni[2023-09-01],
INDIRECT("tb_rec_uni[natureza]"),"pro.soluto",
INDIRECT("tb_rec_uni[empresa]"),C$6)</f>
        <v>0</v>
      </c>
      <c r="D35" s="120">
        <f ca="1">SUMIFS(tb_rec_uni[2023-09-01],
INDIRECT("tb_rec_uni[natureza]"),"repasse.cef.obra",
INDIRECT("tb_rec_uni[empresa]"),D$6)</f>
        <v>0</v>
      </c>
      <c r="E35" s="120">
        <f ca="1">SUMIFS(tb_rec_uni[2023-09-01],
INDIRECT("tb_rec_uni[natureza]"),"repasse.cef.terreno",
INDIRECT("tb_rec_uni[empresa]"),E$6)</f>
        <v>0</v>
      </c>
      <c r="F35" s="120">
        <v>0</v>
      </c>
      <c r="G35" s="120">
        <f ca="1">SUMIFS(tb_rec_uni[2023-09-01],
INDIRECT("tb_rec_uni[natureza]"),"taxa.extra",
INDIRECT("tb_rec_uni[empresa]"),G$6)</f>
        <v>0</v>
      </c>
      <c r="H35" s="108"/>
      <c r="I35" s="120">
        <f ca="1">SUMIFS(
  m.vb[valor],
  m.vb[nucleo],$B$1,
  m.vb[variavel],I$7,
  m.vb[mes],$A35
)</f>
        <v>0</v>
      </c>
      <c r="J35" s="120">
        <f ca="1">SUMIFS(
  m.vb[valor],
  m.vb[nucleo],$B$1,
  m.vb[variavel],J$7,
  m.vb[mes],$A35
)</f>
        <v>0</v>
      </c>
      <c r="K35" s="120">
        <f ca="1">SUMIFS(
  m.vb[valor],
  m.vb[nucleo],$B$1,
  m.vb[variavel],K$7,
  m.vb[mes],$A35
)</f>
        <v>0</v>
      </c>
      <c r="L35" s="120">
        <f ca="1">SUMIFS(
  m.vb[valor],
  m.vb[nucleo],$B$1,
  m.vb[variavel],L$7,
  m.vb[mes],$A35
)</f>
        <v>0</v>
      </c>
      <c r="M35" s="121">
        <f ca="1">SUMIFS(
  m.vb[valor],
  m.vb[nucleo],$B$1,
  m.vb[variavel],M$7,
  m.vb[mes],$A35
)</f>
        <v>0</v>
      </c>
      <c r="N35" s="119">
        <f>COUNTIFS(
    tb_estq[empresa], N$6,
    tb_estq[Data da venda / reserva], "&gt;=" &amp; $A35,
    tb_estq[Data da venda / reserva], "&lt;"  &amp; EOMONTH($A35,0) + 1
)</f>
        <v>0</v>
      </c>
      <c r="O35" s="120">
        <f ca="1">SUMIFS(tb_rec_uni[2023-09-01],
INDIRECT("tb_rec_uni[natureza]"),"pro.soluto",
INDIRECT("tb_rec_uni[empresa]"),O$6)</f>
        <v>0</v>
      </c>
      <c r="P35" s="120">
        <f ca="1">SUMIFS(tb_rec_uni[2023-09-01],
INDIRECT("tb_rec_uni[natureza]"),"repasse.cef.obra",
INDIRECT("tb_rec_uni[empresa]"),P$6)</f>
        <v>0</v>
      </c>
      <c r="Q35" s="120">
        <f ca="1">SUMIFS(tb_rec_uni[2023-09-01],
INDIRECT("tb_rec_uni[natureza]"),"repasse.cef.terreno",
INDIRECT("tb_rec_uni[empresa]"),Q$6)</f>
        <v>0</v>
      </c>
      <c r="R35" s="120">
        <v>445799.01</v>
      </c>
      <c r="S35" s="120">
        <f ca="1">SUMIFS(tb_rec_uni[2023-09-01],
INDIRECT("tb_rec_uni[natureza]"),"taxa.extra",
INDIRECT("tb_rec_uni[empresa]"),S$6)</f>
        <v>0</v>
      </c>
      <c r="T35" s="108"/>
      <c r="U35" s="120">
        <f ca="1">SUMIFS(
  m.vb[valor],
  m.vb[nucleo],$N$1,
  m.vb[variavel],U$7,
  m.vb[mes],$A35
)</f>
        <v>0</v>
      </c>
      <c r="V35" s="120">
        <f ca="1">SUMIFS(
  m.vb[valor],
  m.vb[nucleo],$N$1,
  m.vb[variavel],V$7,
  m.vb[mes],$A35
)</f>
        <v>0</v>
      </c>
      <c r="W35" s="120">
        <f ca="1">SUMIFS(
  m.vb[valor],
  m.vb[nucleo],$N$1,
  m.vb[variavel],W$7,
  m.vb[mes],$A35
)</f>
        <v>0</v>
      </c>
      <c r="X35" s="120">
        <f ca="1">SUMIFS(
  m.vb[valor],
  m.vb[nucleo],$N$1,
  m.vb[variavel],X$7,
  m.vb[mes],$A35
)</f>
        <v>0</v>
      </c>
      <c r="Y35" s="121">
        <f ca="1">SUMIFS(
  m.vb[valor],
  m.vb[nucleo],$N$1,
  m.vb[variavel],Y$7,
  m.vb[mes],$A35
)</f>
        <v>0</v>
      </c>
      <c r="Z35" s="119">
        <f>COUNTIFS(
    tb_estq[empresa], Z$6,
    tb_estq[Data da venda / reserva], "&gt;=" &amp; $A35,
    tb_estq[Data da venda / reserva], "&lt;"  &amp; EOMONTH($A35,0) + 1
)</f>
        <v>0</v>
      </c>
      <c r="AA35" s="120">
        <f ca="1">SUMIFS(tb_rec_uni[2023-09-01],
INDIRECT("tb_rec_uni[natureza]"),"pro.soluto",
INDIRECT("tb_rec_uni[empresa]"),AA$6)</f>
        <v>0</v>
      </c>
      <c r="AB35" s="120">
        <f ca="1">SUMIFS(tb_rec_uni[2023-09-01],
INDIRECT("tb_rec_uni[natureza]"),"parcela.fin.total.ik",
INDIRECT("tb_rec_uni[empresa]"),AB$6)</f>
        <v>0</v>
      </c>
      <c r="AC35" s="120">
        <f ca="1">SUMIFS(tb_rec_uni[2023-09-01],
INDIRECT("tb_rec_uni[natureza]"),"taxa.extra",
INDIRECT("tb_rec_uni[empresa]"),AC$6)</f>
        <v>0</v>
      </c>
      <c r="AD35" s="108"/>
      <c r="AE35" s="120">
        <f ca="1">SUMIFS(
  m.vb[valor],
  m.vb[nucleo],$Z$1,
  m.vb[variavel],AE$7,
  m.vb[mes],$A35
)</f>
        <v>0</v>
      </c>
      <c r="AF35" s="120">
        <f ca="1">SUMIFS(
  m.vb[valor],
  m.vb[nucleo],$Z$1,
  m.vb[variavel],AF$7,
  m.vb[mes],$A35
)</f>
        <v>0</v>
      </c>
      <c r="AG35" s="120">
        <f ca="1">SUMIFS(
  m.vb[valor],
  m.vb[nucleo],$Z$1,
  m.vb[variavel],AG$7,
  m.vb[mes],$A35
)</f>
        <v>0</v>
      </c>
      <c r="AH35" s="120">
        <f ca="1">SUMIFS(
  m.vb[valor],
  m.vb[nucleo],$Z$1,
  m.vb[variavel],AH$7,
  m.vb[mes],$A35
)</f>
        <v>0</v>
      </c>
      <c r="AI35" s="121">
        <f ca="1">SUMIFS(
  m.vb[valor],
  m.vb[nucleo],$Z$1,
  m.vb[variavel],AI$7,
  m.vb[mes],$A35
)</f>
        <v>0</v>
      </c>
      <c r="AJ35" s="119">
        <f>COUNTIFS(
    tb_estq[empresa], AJ$6,
    tb_estq[Data da venda / reserva], "&gt;=" &amp; $A35,
    tb_estq[Data da venda / reserva], "&lt;"  &amp; EOMONTH($A35,0) + 1
)</f>
        <v>0</v>
      </c>
      <c r="AK35" s="120">
        <f ca="1">SUMIFS(tb_rec_uni[2023-09-01],
INDIRECT("tb_rec_uni[natureza]"),"pro.soluto",
INDIRECT("tb_rec_uni[empresa]"),AK$6)</f>
        <v>0</v>
      </c>
      <c r="AL35" s="120">
        <f ca="1">SUMIFS(tb_rec_uni[2023-09-01],
INDIRECT("tb_rec_uni[natureza]"),"repasse.cef.obra",
INDIRECT("tb_rec_uni[empresa]"),AL$6)</f>
        <v>0</v>
      </c>
      <c r="AM35" s="120">
        <f ca="1">SUMIFS(tb_rec_uni[2023-09-01],
INDIRECT("tb_rec_uni[natureza]"),"repasse.cef.terreno",
INDIRECT("tb_rec_uni[empresa]"),AM$6)</f>
        <v>0</v>
      </c>
      <c r="AN35" s="120">
        <v>0</v>
      </c>
      <c r="AO35" s="120">
        <f ca="1">SUMIFS(tb_rec_uni[2023-09-01],
INDIRECT("tb_rec_uni[natureza]"),"taxa.extra",
INDIRECT("tb_rec_uni[empresa]"),AO$6)</f>
        <v>0</v>
      </c>
      <c r="AP35" s="108"/>
      <c r="AQ35" s="120">
        <f ca="1">SUMIFS(
  m.vb[valor],
  m.vb[nucleo],$AJ$1,
  m.vb[variavel],AQ$7,
  m.vb[mes],$A35
)</f>
        <v>0</v>
      </c>
      <c r="AR35" s="120">
        <f ca="1">SUMIFS(
  m.vb[valor],
  m.vb[nucleo],$AJ$1,
  m.vb[variavel],AR$7,
  m.vb[mes],$A35
)</f>
        <v>0</v>
      </c>
      <c r="AS35" s="120">
        <f ca="1">SUMIFS(
  m.vb[valor],
  m.vb[nucleo],$AJ$1,
  m.vb[variavel],AS$7,
  m.vb[mes],$A35
)</f>
        <v>0</v>
      </c>
      <c r="AT35" s="120">
        <f ca="1">SUMIFS(
  m.vb[valor],
  m.vb[nucleo],$AJ$1,
  m.vb[variavel],AT$7,
  m.vb[mes],$A35
)</f>
        <v>0</v>
      </c>
      <c r="AU35" s="121">
        <f ca="1">SUMIFS(
  m.vb[valor],
  m.vb[nucleo],$AJ$1,
  m.vb[variavel],AU$7,
  m.vb[mes],$A35
)</f>
        <v>0</v>
      </c>
      <c r="AV35" s="119">
        <f>COUNTIFS(
    tb_estq[empresa], AV$6,
    tb_estq[Data da venda / reserva], "&gt;=" &amp; $A35,
    tb_estq[Data da venda / reserva], "&lt;"  &amp; EOMONTH($A35,0) + 1
)</f>
        <v>0</v>
      </c>
      <c r="AW35" s="120">
        <f ca="1">SUMIFS(tb_rec_uni[2023-09-01],
INDIRECT("tb_rec_uni[natureza]"),"pro.soluto",
INDIRECT("tb_rec_uni[empresa]"),AW$6)</f>
        <v>0</v>
      </c>
      <c r="AX35" s="120">
        <f ca="1">SUMIFS(tb_rec_uni[2023-09-01],
INDIRECT("tb_rec_uni[natureza]"),"repasse.cef.obra",
INDIRECT("tb_rec_uni[empresa]"),AX$6)</f>
        <v>0</v>
      </c>
      <c r="AY35" s="120">
        <f ca="1">SUMIFS(tb_rec_uni[2023-09-01],
INDIRECT("tb_rec_uni[natureza]"),"repasse.cef.terreno",
INDIRECT("tb_rec_uni[empresa]"),AY$6)</f>
        <v>0</v>
      </c>
      <c r="AZ35" s="120">
        <v>0</v>
      </c>
      <c r="BA35" s="120">
        <f ca="1">SUMIFS(tb_rec_uni[2023-09-01],
INDIRECT("tb_rec_uni[natureza]"),"taxa.extra",
INDIRECT("tb_rec_uni[empresa]"),BA$6)</f>
        <v>0</v>
      </c>
      <c r="BB35" s="108"/>
      <c r="BC35" s="120">
        <f ca="1">SUMIFS(
  m.vb[valor],
  m.vb[nucleo],$AV$1,
  m.vb[variavel],BC$7,
  m.vb[mes],$A35
)</f>
        <v>0</v>
      </c>
      <c r="BD35" s="120">
        <f ca="1">SUMIFS(
  m.vb[valor],
  m.vb[nucleo],$AV$1,
  m.vb[variavel],BD$7,
  m.vb[mes],$A35
)</f>
        <v>0</v>
      </c>
      <c r="BE35" s="120">
        <f ca="1">SUMIFS(
  m.vb[valor],
  m.vb[nucleo],$AV$1,
  m.vb[variavel],BE$7,
  m.vb[mes],$A35
)</f>
        <v>0</v>
      </c>
      <c r="BF35" s="120">
        <f ca="1">SUMIFS(
  m.vb[valor],
  m.vb[nucleo],$AV$1,
  m.vb[variavel],BF$7,
  m.vb[mes],$A35
)</f>
        <v>0</v>
      </c>
      <c r="BG35" s="121">
        <f ca="1">SUMIFS(
  m.vb[valor],
  m.vb[nucleo],$AV$1,
  m.vb[variavel],BG$7,
  m.vb[mes],$A35
)</f>
        <v>0</v>
      </c>
      <c r="BH35" s="119">
        <f>COUNTIFS(
    tb_estq[empresa], BH$6,
    tb_estq[Data da venda / reserva], "&gt;=" &amp; $A35,
    tb_estq[Data da venda / reserva], "&lt;"  &amp; EOMONTH($A35,0) + 1
)</f>
        <v>0</v>
      </c>
      <c r="BI35" s="120">
        <f ca="1">SUMIFS(tb_rec_uni[2023-09-01],
INDIRECT("tb_rec_uni[natureza]"),"pro.soluto",
INDIRECT("tb_rec_uni[empresa]"),BI$6)</f>
        <v>0</v>
      </c>
      <c r="BJ35" s="108">
        <v>0</v>
      </c>
      <c r="BK35" s="120">
        <f ca="1">SUMIFS(tb_rec_uni[2023-09-01],
INDIRECT("tb_rec_uni[natureza]"),"taxa.extra",
INDIRECT("tb_rec_uni[empresa]"),BK$6)</f>
        <v>0</v>
      </c>
      <c r="BL35" s="108"/>
      <c r="BM35" s="120">
        <f ca="1">SUMIFS(
  m.vb[valor],
  m.vb[nucleo],$BH$1,
  m.vb[variavel],BM$7,
  m.vb[mes],$A35
)</f>
        <v>0</v>
      </c>
      <c r="BN35" s="120">
        <f ca="1">SUMIFS(
  m.vb[valor],
  m.vb[nucleo],$BH$1,
  m.vb[variavel],BN$7,
  m.vb[mes],$A35
)</f>
        <v>0</v>
      </c>
      <c r="BO35" s="120">
        <f ca="1">SUMIFS(
  m.vb[valor],
  m.vb[nucleo],$BH$1,
  m.vb[variavel],BO$7,
  m.vb[mes],$A35
)</f>
        <v>0</v>
      </c>
      <c r="BP35" s="120">
        <f ca="1">SUMIFS(
  m.vb[valor],
  m.vb[nucleo],$BH$1,
  m.vb[variavel],BP$7,
  m.vb[mes],$A35
)</f>
        <v>0</v>
      </c>
      <c r="BQ35" s="121">
        <f ca="1">SUMIFS(
  m.vb[valor],
  m.vb[nucleo],$BH$1,
  m.vb[variavel],BQ$7,
  m.vb[mes],$A35
)</f>
        <v>0</v>
      </c>
      <c r="BR35" s="119">
        <f>COUNTIFS(
    tb_estq[empresa], BR$6,
    tb_estq[Data da venda / reserva], "&gt;=" &amp; $A35,
    tb_estq[Data da venda / reserva], "&lt;"  &amp; EOMONTH($A35,0) + 1
)</f>
        <v>0</v>
      </c>
      <c r="BS35" s="120">
        <f ca="1">SUMIFS(tb_rec_uni[2023-09-01],
INDIRECT("tb_rec_uni[natureza]"),"pro.soluto",
INDIRECT("tb_rec_uni[empresa]"),BS$6)</f>
        <v>0</v>
      </c>
      <c r="BT35" s="120">
        <f ca="1">SUMIFS(tb_rec_uni[2023-09-01],
INDIRECT("tb_rec_uni[natureza]"),"parcela.fin.total.ik",
INDIRECT("tb_rec_uni[empresa]"),BT$6)</f>
        <v>0</v>
      </c>
      <c r="BU35" s="120">
        <f ca="1">SUMIFS(tb_rec_uni[2023-09-01],
INDIRECT("tb_rec_uni[natureza]"),"taxa.extra",
INDIRECT("tb_rec_uni[empresa]"),BU$6)</f>
        <v>0</v>
      </c>
      <c r="BV35" s="108"/>
      <c r="BW35" s="120">
        <f ca="1">SUMIFS(
  m.vb[valor],
  m.vb[nucleo],$BR$1,
  m.vb[variavel],BW$7,
  m.vb[mes],$A35
)</f>
        <v>0</v>
      </c>
      <c r="BX35" s="120">
        <f ca="1">SUMIFS(
  m.vb[valor],
  m.vb[nucleo],$BR$1,
  m.vb[variavel],BX$7,
  m.vb[mes],$A35
)</f>
        <v>0</v>
      </c>
      <c r="BY35" s="120">
        <f ca="1">SUMIFS(
  m.vb[valor],
  m.vb[nucleo],$BR$1,
  m.vb[variavel],BY$7,
  m.vb[mes],$A35
)</f>
        <v>0</v>
      </c>
      <c r="BZ35" s="120">
        <f ca="1">SUMIFS(
  m.vb[valor],
  m.vb[nucleo],$BR$1,
  m.vb[variavel],BZ$7,
  m.vb[mes],$A35
)</f>
        <v>0</v>
      </c>
      <c r="CA35" s="121">
        <f ca="1">SUMIFS(
  m.vb[valor],
  m.vb[nucleo],$BR$1,
  m.vb[variavel],CA$7,
  m.vb[mes],$A35
)</f>
        <v>0</v>
      </c>
      <c r="CB35" s="119">
        <f>COUNTIFS(
    tb_estq[empresa], CB$6,
    tb_estq[Data da venda / reserva], "&gt;=" &amp; $A35,
    tb_estq[Data da venda / reserva], "&lt;"  &amp; EOMONTH($A35,0) + 1
)</f>
        <v>0</v>
      </c>
      <c r="CC35" s="120">
        <f ca="1">SUMIFS(tb_rec_uni[2023-09-01],
INDIRECT("tb_rec_uni[natureza]"),"pro.soluto",
INDIRECT("tb_rec_uni[empresa]"),CC$6)</f>
        <v>0</v>
      </c>
      <c r="CD35" s="120">
        <f ca="1">SUMIFS(tb_rec_uni[2023-09-01],
INDIRECT("tb_rec_uni[natureza]"),"repasse.cef.obra",
INDIRECT("tb_rec_uni[empresa]"),CD$6)</f>
        <v>0</v>
      </c>
      <c r="CE35" s="120">
        <f ca="1">SUMIFS(tb_rec_uni[2023-09-01],
INDIRECT("tb_rec_uni[natureza]"),"repasse.cef.terreno",
INDIRECT("tb_rec_uni[empresa]"),CE$6)</f>
        <v>0</v>
      </c>
      <c r="CF35" s="120">
        <v>0</v>
      </c>
      <c r="CG35" s="120">
        <f ca="1">SUMIFS(tb_rec_uni[2023-09-01],
INDIRECT("tb_rec_uni[natureza]"),"taxa.extra",
INDIRECT("tb_rec_uni[empresa]"),CG$6)</f>
        <v>0</v>
      </c>
      <c r="CH35" s="108"/>
      <c r="CI35" s="120">
        <f ca="1">SUMIFS(
  m.vb[valor],
  m.vb[nucleo],$CB$1,
  m.vb[variavel],CI$7,
  m.vb[mes],$A35
)</f>
        <v>0</v>
      </c>
      <c r="CJ35" s="120">
        <f ca="1">SUMIFS(
  m.vb[valor],
  m.vb[nucleo],$CB$1,
  m.vb[variavel],CJ$7,
  m.vb[mes],$A35
)</f>
        <v>0</v>
      </c>
      <c r="CK35" s="120">
        <f ca="1">SUMIFS(
  m.vb[valor],
  m.vb[nucleo],$CB$1,
  m.vb[variavel],CK$7,
  m.vb[mes],$A35
)</f>
        <v>0</v>
      </c>
      <c r="CL35" s="120">
        <f ca="1">SUMIFS(
  m.vb[valor],
  m.vb[nucleo],$CB$1,
  m.vb[variavel],CL$7,
  m.vb[mes],$A35
)</f>
        <v>0</v>
      </c>
      <c r="CM35" s="121">
        <f ca="1">SUMIFS(
  m.vb[valor],
  m.vb[nucleo],$CB$1,
  m.vb[variavel],CM$7,
  m.vb[mes],$A35
)</f>
        <v>0</v>
      </c>
      <c r="CN35" s="119">
        <f>COUNTIFS(
    tb_estq[empresa], CN$6,
    tb_estq[Data da venda / reserva], "&gt;=" &amp; $A35,
    tb_estq[Data da venda / reserva], "&lt;"  &amp; EOMONTH($A35,0) + 1
)</f>
        <v>0</v>
      </c>
      <c r="CO35" s="120">
        <f ca="1">SUMIFS(tb_rec_uni[2023-09-01],
INDIRECT("tb_rec_uni[natureza]"),"pro.soluto",
INDIRECT("tb_rec_uni[empresa]"),CO$6)</f>
        <v>0</v>
      </c>
      <c r="CP35" s="120">
        <f ca="1">SUMIFS(tb_rec_uni[2023-09-01],
INDIRECT("tb_rec_uni[natureza]"),"repasse.cef.obra",
INDIRECT("tb_rec_uni[empresa]"),CP$6)</f>
        <v>0</v>
      </c>
      <c r="CQ35" s="120">
        <f ca="1">SUMIFS(tb_rec_uni[2023-09-01],
INDIRECT("tb_rec_uni[natureza]"),"repasse.cef.terreno",
INDIRECT("tb_rec_uni[empresa]"),CQ$6)</f>
        <v>0</v>
      </c>
      <c r="CR35" s="120">
        <v>0</v>
      </c>
      <c r="CS35" s="120">
        <f ca="1">SUMIFS(tb_rec_uni[2023-09-01],
INDIRECT("tb_rec_uni[natureza]"),"taxa.extra",
INDIRECT("tb_rec_uni[empresa]"),CS$6)</f>
        <v>0</v>
      </c>
      <c r="CT35" s="108"/>
      <c r="CU35" s="120">
        <f ca="1">SUMIFS(
  m.vb[valor],
  m.vb[nucleo],$CN$1,
  m.vb[variavel],CU$7,
  m.vb[mes],$A35
)</f>
        <v>0</v>
      </c>
      <c r="CV35" s="120" cm="1">
        <f t="array" ref="CV35">SUMPRODUCT(
  IFERROR(--tb_desp[valor],0)*
  (tb_desp[nucleo]="UP MOVE VILA SONIA")*
  (tb_desp[categoria]=CV$7)*
  (tb_desp[data.pagamento]&gt;=$A35)*
  (tb_desp[data.pagamento]&lt;EOMONTH($A35,0)+1)
)</f>
        <v>0</v>
      </c>
      <c r="CW35" s="120" cm="1">
        <f t="array" ref="CW35">SUMPRODUCT(
  IFERROR(--tb_desp[valor],0)*
  (tb_desp[nucleo]="UP MOVE VILA SONIA")*
  (tb_desp[categoria]=CW$7)*
  (tb_desp[data.pagamento]&gt;=$A35)*
  (tb_desp[data.pagamento]&lt;EOMONTH($A35,0)+1)
)</f>
        <v>0</v>
      </c>
      <c r="CX35" s="120" cm="1">
        <f t="array" ref="CX35">SUMPRODUCT(
  IFERROR(--tb_desp[valor],0)*
  (tb_desp[nucleo]="UP MOVE VILA SONIA")*
  (tb_desp[categoria]=CX$7)*
  (tb_desp[data.pagamento]&gt;=$A35)*
  (tb_desp[data.pagamento]&lt;EOMONTH($A35,0)+1)
)</f>
        <v>0</v>
      </c>
      <c r="CY35" s="122" cm="1">
        <f t="array" ref="CY35">SUMPRODUCT(
  IFERROR(--tb_desp[valor],0)*
  (tb_desp[nucleo]="UP MOVE VILA SONIA")*
  (tb_desp[categoria]=CY$7)*
  (tb_desp[data.pagamento]&gt;=$A35)*
  (tb_desp[data.pagamento]&lt;EOMONTH($A35,0)+1)
)</f>
        <v>0</v>
      </c>
    </row>
    <row r="36" spans="1:103" x14ac:dyDescent="0.25">
      <c r="A36" s="118">
        <v>45200</v>
      </c>
      <c r="B36" s="119">
        <f>COUNTIFS(
    tb_estq[empresa], B$6,
    tb_estq[Data da venda / reserva], "&gt;=" &amp; $A36,
    tb_estq[Data da venda / reserva], "&lt;"  &amp; EOMONTH($A36,0) + 1
)</f>
        <v>0</v>
      </c>
      <c r="C36" s="120">
        <f ca="1">SUMIFS(tb_rec_uni[2023-10-01],
INDIRECT("tb_rec_uni[natureza]"),"pro.soluto",
INDIRECT("tb_rec_uni[empresa]"),C$6)</f>
        <v>0</v>
      </c>
      <c r="D36" s="120">
        <f ca="1">SUMIFS(tb_rec_uni[2023-10-01],
INDIRECT("tb_rec_uni[natureza]"),"repasse.cef.obra",
INDIRECT("tb_rec_uni[empresa]"),D$6)</f>
        <v>0</v>
      </c>
      <c r="E36" s="120">
        <f ca="1">SUMIFS(tb_rec_uni[2023-10-01],
INDIRECT("tb_rec_uni[natureza]"),"repasse.cef.terreno",
INDIRECT("tb_rec_uni[empresa]"),E$6)</f>
        <v>0</v>
      </c>
      <c r="F36" s="120">
        <v>0</v>
      </c>
      <c r="G36" s="120">
        <f ca="1">SUMIFS(tb_rec_uni[2023-10-01],
INDIRECT("tb_rec_uni[natureza]"),"taxa.extra",
INDIRECT("tb_rec_uni[empresa]"),G$6)</f>
        <v>0</v>
      </c>
      <c r="H36" s="108"/>
      <c r="I36" s="120">
        <f ca="1">SUMIFS(
  m.vb[valor],
  m.vb[nucleo],$B$1,
  m.vb[variavel],I$7,
  m.vb[mes],$A36
)</f>
        <v>0</v>
      </c>
      <c r="J36" s="120">
        <f ca="1">SUMIFS(
  m.vb[valor],
  m.vb[nucleo],$B$1,
  m.vb[variavel],J$7,
  m.vb[mes],$A36
)</f>
        <v>0</v>
      </c>
      <c r="K36" s="120">
        <f ca="1">SUMIFS(
  m.vb[valor],
  m.vb[nucleo],$B$1,
  m.vb[variavel],K$7,
  m.vb[mes],$A36
)</f>
        <v>0</v>
      </c>
      <c r="L36" s="120">
        <f ca="1">SUMIFS(
  m.vb[valor],
  m.vb[nucleo],$B$1,
  m.vb[variavel],L$7,
  m.vb[mes],$A36
)</f>
        <v>0</v>
      </c>
      <c r="M36" s="121">
        <f ca="1">SUMIFS(
  m.vb[valor],
  m.vb[nucleo],$B$1,
  m.vb[variavel],M$7,
  m.vb[mes],$A36
)</f>
        <v>0</v>
      </c>
      <c r="N36" s="119">
        <f>COUNTIFS(
    tb_estq[empresa], N$6,
    tb_estq[Data da venda / reserva], "&gt;=" &amp; $A36,
    tb_estq[Data da venda / reserva], "&lt;"  &amp; EOMONTH($A36,0) + 1
)</f>
        <v>0</v>
      </c>
      <c r="O36" s="120">
        <f ca="1">SUMIFS(tb_rec_uni[2023-10-01],
INDIRECT("tb_rec_uni[natureza]"),"pro.soluto",
INDIRECT("tb_rec_uni[empresa]"),O$6)</f>
        <v>0</v>
      </c>
      <c r="P36" s="120">
        <f ca="1">SUMIFS(tb_rec_uni[2023-10-01],
INDIRECT("tb_rec_uni[natureza]"),"repasse.cef.obra",
INDIRECT("tb_rec_uni[empresa]"),P$6)</f>
        <v>0</v>
      </c>
      <c r="Q36" s="120">
        <f ca="1">SUMIFS(tb_rec_uni[2023-10-01],
INDIRECT("tb_rec_uni[natureza]"),"repasse.cef.terreno",
INDIRECT("tb_rec_uni[empresa]"),Q$6)</f>
        <v>0</v>
      </c>
      <c r="R36" s="120">
        <v>0</v>
      </c>
      <c r="S36" s="120">
        <f ca="1">SUMIFS(tb_rec_uni[2023-10-01],
INDIRECT("tb_rec_uni[natureza]"),"taxa.extra",
INDIRECT("tb_rec_uni[empresa]"),S$6)</f>
        <v>0</v>
      </c>
      <c r="T36" s="108"/>
      <c r="U36" s="120">
        <f ca="1">SUMIFS(
  m.vb[valor],
  m.vb[nucleo],$N$1,
  m.vb[variavel],U$7,
  m.vb[mes],$A36
)</f>
        <v>0</v>
      </c>
      <c r="V36" s="120">
        <f ca="1">SUMIFS(
  m.vb[valor],
  m.vb[nucleo],$N$1,
  m.vb[variavel],V$7,
  m.vb[mes],$A36
)</f>
        <v>0</v>
      </c>
      <c r="W36" s="120">
        <f ca="1">SUMIFS(
  m.vb[valor],
  m.vb[nucleo],$N$1,
  m.vb[variavel],W$7,
  m.vb[mes],$A36
)</f>
        <v>0</v>
      </c>
      <c r="X36" s="120">
        <f ca="1">SUMIFS(
  m.vb[valor],
  m.vb[nucleo],$N$1,
  m.vb[variavel],X$7,
  m.vb[mes],$A36
)</f>
        <v>0</v>
      </c>
      <c r="Y36" s="121">
        <f ca="1">SUMIFS(
  m.vb[valor],
  m.vb[nucleo],$N$1,
  m.vb[variavel],Y$7,
  m.vb[mes],$A36
)</f>
        <v>0</v>
      </c>
      <c r="Z36" s="119">
        <f>COUNTIFS(
    tb_estq[empresa], Z$6,
    tb_estq[Data da venda / reserva], "&gt;=" &amp; $A36,
    tb_estq[Data da venda / reserva], "&lt;"  &amp; EOMONTH($A36,0) + 1
)</f>
        <v>0</v>
      </c>
      <c r="AA36" s="120">
        <f ca="1">SUMIFS(tb_rec_uni[2023-10-01],
INDIRECT("tb_rec_uni[natureza]"),"pro.soluto",
INDIRECT("tb_rec_uni[empresa]"),AA$6)</f>
        <v>0</v>
      </c>
      <c r="AB36" s="120">
        <f ca="1">SUMIFS(tb_rec_uni[2023-10-01],
INDIRECT("tb_rec_uni[natureza]"),"parcela.fin.total.ik",
INDIRECT("tb_rec_uni[empresa]"),AB$6)</f>
        <v>0</v>
      </c>
      <c r="AC36" s="120">
        <f ca="1">SUMIFS(tb_rec_uni[2023-10-01],
INDIRECT("tb_rec_uni[natureza]"),"taxa.extra",
INDIRECT("tb_rec_uni[empresa]"),AC$6)</f>
        <v>0</v>
      </c>
      <c r="AD36" s="108"/>
      <c r="AE36" s="120">
        <f ca="1">SUMIFS(
  m.vb[valor],
  m.vb[nucleo],$Z$1,
  m.vb[variavel],AE$7,
  m.vb[mes],$A36
)</f>
        <v>0</v>
      </c>
      <c r="AF36" s="120">
        <f ca="1">SUMIFS(
  m.vb[valor],
  m.vb[nucleo],$Z$1,
  m.vb[variavel],AF$7,
  m.vb[mes],$A36
)</f>
        <v>0</v>
      </c>
      <c r="AG36" s="120">
        <f ca="1">SUMIFS(
  m.vb[valor],
  m.vb[nucleo],$Z$1,
  m.vb[variavel],AG$7,
  m.vb[mes],$A36
)</f>
        <v>0</v>
      </c>
      <c r="AH36" s="120">
        <f ca="1">SUMIFS(
  m.vb[valor],
  m.vb[nucleo],$Z$1,
  m.vb[variavel],AH$7,
  m.vb[mes],$A36
)</f>
        <v>0</v>
      </c>
      <c r="AI36" s="121">
        <f ca="1">SUMIFS(
  m.vb[valor],
  m.vb[nucleo],$Z$1,
  m.vb[variavel],AI$7,
  m.vb[mes],$A36
)</f>
        <v>0</v>
      </c>
      <c r="AJ36" s="119">
        <f>COUNTIFS(
    tb_estq[empresa], AJ$6,
    tb_estq[Data da venda / reserva], "&gt;=" &amp; $A36,
    tb_estq[Data da venda / reserva], "&lt;"  &amp; EOMONTH($A36,0) + 1
)</f>
        <v>0</v>
      </c>
      <c r="AK36" s="120">
        <f ca="1">SUMIFS(tb_rec_uni[2023-10-01],
INDIRECT("tb_rec_uni[natureza]"),"pro.soluto",
INDIRECT("tb_rec_uni[empresa]"),AK$6)</f>
        <v>0</v>
      </c>
      <c r="AL36" s="120">
        <f ca="1">SUMIFS(tb_rec_uni[2023-10-01],
INDIRECT("tb_rec_uni[natureza]"),"repasse.cef.obra",
INDIRECT("tb_rec_uni[empresa]"),AL$6)</f>
        <v>0</v>
      </c>
      <c r="AM36" s="120">
        <f ca="1">SUMIFS(tb_rec_uni[2023-10-01],
INDIRECT("tb_rec_uni[natureza]"),"repasse.cef.terreno",
INDIRECT("tb_rec_uni[empresa]"),AM$6)</f>
        <v>0</v>
      </c>
      <c r="AN36" s="120">
        <v>0</v>
      </c>
      <c r="AO36" s="120">
        <f ca="1">SUMIFS(tb_rec_uni[2023-10-01],
INDIRECT("tb_rec_uni[natureza]"),"taxa.extra",
INDIRECT("tb_rec_uni[empresa]"),AO$6)</f>
        <v>0</v>
      </c>
      <c r="AP36" s="108"/>
      <c r="AQ36" s="120">
        <f ca="1">SUMIFS(
  m.vb[valor],
  m.vb[nucleo],$AJ$1,
  m.vb[variavel],AQ$7,
  m.vb[mes],$A36
)</f>
        <v>0</v>
      </c>
      <c r="AR36" s="120">
        <f ca="1">SUMIFS(
  m.vb[valor],
  m.vb[nucleo],$AJ$1,
  m.vb[variavel],AR$7,
  m.vb[mes],$A36
)</f>
        <v>0</v>
      </c>
      <c r="AS36" s="120">
        <f ca="1">SUMIFS(
  m.vb[valor],
  m.vb[nucleo],$AJ$1,
  m.vb[variavel],AS$7,
  m.vb[mes],$A36
)</f>
        <v>0</v>
      </c>
      <c r="AT36" s="120">
        <f ca="1">SUMIFS(
  m.vb[valor],
  m.vb[nucleo],$AJ$1,
  m.vb[variavel],AT$7,
  m.vb[mes],$A36
)</f>
        <v>0</v>
      </c>
      <c r="AU36" s="121">
        <f ca="1">SUMIFS(
  m.vb[valor],
  m.vb[nucleo],$AJ$1,
  m.vb[variavel],AU$7,
  m.vb[mes],$A36
)</f>
        <v>0</v>
      </c>
      <c r="AV36" s="119">
        <f>COUNTIFS(
    tb_estq[empresa], AV$6,
    tb_estq[Data da venda / reserva], "&gt;=" &amp; $A36,
    tb_estq[Data da venda / reserva], "&lt;"  &amp; EOMONTH($A36,0) + 1
)</f>
        <v>0</v>
      </c>
      <c r="AW36" s="120">
        <f ca="1">SUMIFS(tb_rec_uni[2023-10-01],
INDIRECT("tb_rec_uni[natureza]"),"pro.soluto",
INDIRECT("tb_rec_uni[empresa]"),AW$6)</f>
        <v>0</v>
      </c>
      <c r="AX36" s="120">
        <f ca="1">SUMIFS(tb_rec_uni[2023-10-01],
INDIRECT("tb_rec_uni[natureza]"),"repasse.cef.obra",
INDIRECT("tb_rec_uni[empresa]"),AX$6)</f>
        <v>0</v>
      </c>
      <c r="AY36" s="120">
        <f ca="1">SUMIFS(tb_rec_uni[2023-10-01],
INDIRECT("tb_rec_uni[natureza]"),"repasse.cef.terreno",
INDIRECT("tb_rec_uni[empresa]"),AY$6)</f>
        <v>0</v>
      </c>
      <c r="AZ36" s="120">
        <v>0</v>
      </c>
      <c r="BA36" s="120">
        <f ca="1">SUMIFS(tb_rec_uni[2023-10-01],
INDIRECT("tb_rec_uni[natureza]"),"taxa.extra",
INDIRECT("tb_rec_uni[empresa]"),BA$6)</f>
        <v>0</v>
      </c>
      <c r="BB36" s="108"/>
      <c r="BC36" s="120">
        <f ca="1">SUMIFS(
  m.vb[valor],
  m.vb[nucleo],$AV$1,
  m.vb[variavel],BC$7,
  m.vb[mes],$A36
)</f>
        <v>0</v>
      </c>
      <c r="BD36" s="120">
        <f ca="1">SUMIFS(
  m.vb[valor],
  m.vb[nucleo],$AV$1,
  m.vb[variavel],BD$7,
  m.vb[mes],$A36
)</f>
        <v>0</v>
      </c>
      <c r="BE36" s="120">
        <f ca="1">SUMIFS(
  m.vb[valor],
  m.vb[nucleo],$AV$1,
  m.vb[variavel],BE$7,
  m.vb[mes],$A36
)</f>
        <v>0</v>
      </c>
      <c r="BF36" s="120">
        <f ca="1">SUMIFS(
  m.vb[valor],
  m.vb[nucleo],$AV$1,
  m.vb[variavel],BF$7,
  m.vb[mes],$A36
)</f>
        <v>0</v>
      </c>
      <c r="BG36" s="121">
        <f ca="1">SUMIFS(
  m.vb[valor],
  m.vb[nucleo],$AV$1,
  m.vb[variavel],BG$7,
  m.vb[mes],$A36
)</f>
        <v>0</v>
      </c>
      <c r="BH36" s="119">
        <f>COUNTIFS(
    tb_estq[empresa], BH$6,
    tb_estq[Data da venda / reserva], "&gt;=" &amp; $A36,
    tb_estq[Data da venda / reserva], "&lt;"  &amp; EOMONTH($A36,0) + 1
)</f>
        <v>0</v>
      </c>
      <c r="BI36" s="120">
        <f ca="1">SUMIFS(tb_rec_uni[2023-10-01],
INDIRECT("tb_rec_uni[natureza]"),"pro.soluto",
INDIRECT("tb_rec_uni[empresa]"),BI$6)</f>
        <v>0</v>
      </c>
      <c r="BJ36" s="108">
        <v>0</v>
      </c>
      <c r="BK36" s="120">
        <f ca="1">SUMIFS(tb_rec_uni[2023-10-01],
INDIRECT("tb_rec_uni[natureza]"),"taxa.extra",
INDIRECT("tb_rec_uni[empresa]"),BK$6)</f>
        <v>0</v>
      </c>
      <c r="BL36" s="108"/>
      <c r="BM36" s="120">
        <f ca="1">SUMIFS(
  m.vb[valor],
  m.vb[nucleo],$BH$1,
  m.vb[variavel],BM$7,
  m.vb[mes],$A36
)</f>
        <v>0</v>
      </c>
      <c r="BN36" s="120">
        <f ca="1">SUMIFS(
  m.vb[valor],
  m.vb[nucleo],$BH$1,
  m.vb[variavel],BN$7,
  m.vb[mes],$A36
)</f>
        <v>0</v>
      </c>
      <c r="BO36" s="120">
        <f ca="1">SUMIFS(
  m.vb[valor],
  m.vb[nucleo],$BH$1,
  m.vb[variavel],BO$7,
  m.vb[mes],$A36
)</f>
        <v>0</v>
      </c>
      <c r="BP36" s="120">
        <f ca="1">SUMIFS(
  m.vb[valor],
  m.vb[nucleo],$BH$1,
  m.vb[variavel],BP$7,
  m.vb[mes],$A36
)</f>
        <v>0</v>
      </c>
      <c r="BQ36" s="121">
        <f ca="1">SUMIFS(
  m.vb[valor],
  m.vb[nucleo],$BH$1,
  m.vb[variavel],BQ$7,
  m.vb[mes],$A36
)</f>
        <v>0</v>
      </c>
      <c r="BR36" s="119">
        <f>COUNTIFS(
    tb_estq[empresa], BR$6,
    tb_estq[Data da venda / reserva], "&gt;=" &amp; $A36,
    tb_estq[Data da venda / reserva], "&lt;"  &amp; EOMONTH($A36,0) + 1
)</f>
        <v>0</v>
      </c>
      <c r="BS36" s="120">
        <f ca="1">SUMIFS(tb_rec_uni[2023-10-01],
INDIRECT("tb_rec_uni[natureza]"),"pro.soluto",
INDIRECT("tb_rec_uni[empresa]"),BS$6)</f>
        <v>0</v>
      </c>
      <c r="BT36" s="120">
        <f ca="1">SUMIFS(tb_rec_uni[2023-10-01],
INDIRECT("tb_rec_uni[natureza]"),"parcela.fin.total.ik",
INDIRECT("tb_rec_uni[empresa]"),BT$6)</f>
        <v>0</v>
      </c>
      <c r="BU36" s="120">
        <f ca="1">SUMIFS(tb_rec_uni[2023-10-01],
INDIRECT("tb_rec_uni[natureza]"),"taxa.extra",
INDIRECT("tb_rec_uni[empresa]"),BU$6)</f>
        <v>0</v>
      </c>
      <c r="BV36" s="108"/>
      <c r="BW36" s="120">
        <f ca="1">SUMIFS(
  m.vb[valor],
  m.vb[nucleo],$BR$1,
  m.vb[variavel],BW$7,
  m.vb[mes],$A36
)</f>
        <v>0</v>
      </c>
      <c r="BX36" s="120">
        <f ca="1">SUMIFS(
  m.vb[valor],
  m.vb[nucleo],$BR$1,
  m.vb[variavel],BX$7,
  m.vb[mes],$A36
)</f>
        <v>0</v>
      </c>
      <c r="BY36" s="120">
        <f ca="1">SUMIFS(
  m.vb[valor],
  m.vb[nucleo],$BR$1,
  m.vb[variavel],BY$7,
  m.vb[mes],$A36
)</f>
        <v>0</v>
      </c>
      <c r="BZ36" s="120">
        <f ca="1">SUMIFS(
  m.vb[valor],
  m.vb[nucleo],$BR$1,
  m.vb[variavel],BZ$7,
  m.vb[mes],$A36
)</f>
        <v>0</v>
      </c>
      <c r="CA36" s="121">
        <f ca="1">SUMIFS(
  m.vb[valor],
  m.vb[nucleo],$BR$1,
  m.vb[variavel],CA$7,
  m.vb[mes],$A36
)</f>
        <v>0</v>
      </c>
      <c r="CB36" s="119">
        <f>COUNTIFS(
    tb_estq[empresa], CB$6,
    tb_estq[Data da venda / reserva], "&gt;=" &amp; $A36,
    tb_estq[Data da venda / reserva], "&lt;"  &amp; EOMONTH($A36,0) + 1
)</f>
        <v>0</v>
      </c>
      <c r="CC36" s="120">
        <f ca="1">SUMIFS(tb_rec_uni[2023-10-01],
INDIRECT("tb_rec_uni[natureza]"),"pro.soluto",
INDIRECT("tb_rec_uni[empresa]"),CC$6)</f>
        <v>0</v>
      </c>
      <c r="CD36" s="120">
        <f ca="1">SUMIFS(tb_rec_uni[2023-10-01],
INDIRECT("tb_rec_uni[natureza]"),"repasse.cef.obra",
INDIRECT("tb_rec_uni[empresa]"),CD$6)</f>
        <v>0</v>
      </c>
      <c r="CE36" s="120">
        <f ca="1">SUMIFS(tb_rec_uni[2023-10-01],
INDIRECT("tb_rec_uni[natureza]"),"repasse.cef.terreno",
INDIRECT("tb_rec_uni[empresa]"),CE$6)</f>
        <v>0</v>
      </c>
      <c r="CF36" s="120">
        <v>0</v>
      </c>
      <c r="CG36" s="120">
        <f ca="1">SUMIFS(tb_rec_uni[2023-10-01],
INDIRECT("tb_rec_uni[natureza]"),"taxa.extra",
INDIRECT("tb_rec_uni[empresa]"),CG$6)</f>
        <v>0</v>
      </c>
      <c r="CH36" s="108"/>
      <c r="CI36" s="120">
        <f ca="1">SUMIFS(
  m.vb[valor],
  m.vb[nucleo],$CB$1,
  m.vb[variavel],CI$7,
  m.vb[mes],$A36
)</f>
        <v>0</v>
      </c>
      <c r="CJ36" s="120">
        <f ca="1">SUMIFS(
  m.vb[valor],
  m.vb[nucleo],$CB$1,
  m.vb[variavel],CJ$7,
  m.vb[mes],$A36
)</f>
        <v>0</v>
      </c>
      <c r="CK36" s="120">
        <f ca="1">SUMIFS(
  m.vb[valor],
  m.vb[nucleo],$CB$1,
  m.vb[variavel],CK$7,
  m.vb[mes],$A36
)</f>
        <v>0</v>
      </c>
      <c r="CL36" s="120">
        <f ca="1">SUMIFS(
  m.vb[valor],
  m.vb[nucleo],$CB$1,
  m.vb[variavel],CL$7,
  m.vb[mes],$A36
)</f>
        <v>0</v>
      </c>
      <c r="CM36" s="121">
        <f ca="1">SUMIFS(
  m.vb[valor],
  m.vb[nucleo],$CB$1,
  m.vb[variavel],CM$7,
  m.vb[mes],$A36
)</f>
        <v>0</v>
      </c>
      <c r="CN36" s="119">
        <f>COUNTIFS(
    tb_estq[empresa], CN$6,
    tb_estq[Data da venda / reserva], "&gt;=" &amp; $A36,
    tb_estq[Data da venda / reserva], "&lt;"  &amp; EOMONTH($A36,0) + 1
)</f>
        <v>0</v>
      </c>
      <c r="CO36" s="120">
        <f ca="1">SUMIFS(tb_rec_uni[2023-10-01],
INDIRECT("tb_rec_uni[natureza]"),"pro.soluto",
INDIRECT("tb_rec_uni[empresa]"),CO$6)</f>
        <v>0</v>
      </c>
      <c r="CP36" s="120">
        <f ca="1">SUMIFS(tb_rec_uni[2023-10-01],
INDIRECT("tb_rec_uni[natureza]"),"repasse.cef.obra",
INDIRECT("tb_rec_uni[empresa]"),CP$6)</f>
        <v>0</v>
      </c>
      <c r="CQ36" s="120">
        <f ca="1">SUMIFS(tb_rec_uni[2023-10-01],
INDIRECT("tb_rec_uni[natureza]"),"repasse.cef.terreno",
INDIRECT("tb_rec_uni[empresa]"),CQ$6)</f>
        <v>0</v>
      </c>
      <c r="CR36" s="120">
        <v>0</v>
      </c>
      <c r="CS36" s="120">
        <f ca="1">SUMIFS(tb_rec_uni[2023-10-01],
INDIRECT("tb_rec_uni[natureza]"),"taxa.extra",
INDIRECT("tb_rec_uni[empresa]"),CS$6)</f>
        <v>0</v>
      </c>
      <c r="CT36" s="108"/>
      <c r="CU36" s="120">
        <f ca="1">SUMIFS(
  m.vb[valor],
  m.vb[nucleo],$CN$1,
  m.vb[variavel],CU$7,
  m.vb[mes],$A36
)</f>
        <v>0</v>
      </c>
      <c r="CV36" s="120" cm="1">
        <f t="array" ref="CV36">SUMPRODUCT(
  IFERROR(--tb_desp[valor],0)*
  (tb_desp[nucleo]="UP MOVE VILA SONIA")*
  (tb_desp[categoria]=CV$7)*
  (tb_desp[data.pagamento]&gt;=$A36)*
  (tb_desp[data.pagamento]&lt;EOMONTH($A36,0)+1)
)</f>
        <v>0</v>
      </c>
      <c r="CW36" s="120" cm="1">
        <f t="array" ref="CW36">SUMPRODUCT(
  IFERROR(--tb_desp[valor],0)*
  (tb_desp[nucleo]="UP MOVE VILA SONIA")*
  (tb_desp[categoria]=CW$7)*
  (tb_desp[data.pagamento]&gt;=$A36)*
  (tb_desp[data.pagamento]&lt;EOMONTH($A36,0)+1)
)</f>
        <v>0</v>
      </c>
      <c r="CX36" s="120" cm="1">
        <f t="array" ref="CX36">SUMPRODUCT(
  IFERROR(--tb_desp[valor],0)*
  (tb_desp[nucleo]="UP MOVE VILA SONIA")*
  (tb_desp[categoria]=CX$7)*
  (tb_desp[data.pagamento]&gt;=$A36)*
  (tb_desp[data.pagamento]&lt;EOMONTH($A36,0)+1)
)</f>
        <v>0</v>
      </c>
      <c r="CY36" s="122" cm="1">
        <f t="array" ref="CY36">SUMPRODUCT(
  IFERROR(--tb_desp[valor],0)*
  (tb_desp[nucleo]="UP MOVE VILA SONIA")*
  (tb_desp[categoria]=CY$7)*
  (tb_desp[data.pagamento]&gt;=$A36)*
  (tb_desp[data.pagamento]&lt;EOMONTH($A36,0)+1)
)</f>
        <v>0</v>
      </c>
    </row>
    <row r="37" spans="1:103" x14ac:dyDescent="0.25">
      <c r="A37" s="118">
        <v>45231</v>
      </c>
      <c r="B37" s="119">
        <f>COUNTIFS(
    tb_estq[empresa], B$6,
    tb_estq[Data da venda / reserva], "&gt;=" &amp; $A37,
    tb_estq[Data da venda / reserva], "&lt;"  &amp; EOMONTH($A37,0) + 1
)</f>
        <v>0</v>
      </c>
      <c r="C37" s="120">
        <f ca="1">SUMIFS(tb_rec_uni[2023-11-01],
INDIRECT("tb_rec_uni[natureza]"),"pro.soluto",
INDIRECT("tb_rec_uni[empresa]"),C$6)</f>
        <v>0</v>
      </c>
      <c r="D37" s="120">
        <f ca="1">SUMIFS(tb_rec_uni[2023-11-01],
INDIRECT("tb_rec_uni[natureza]"),"repasse.cef.obra",
INDIRECT("tb_rec_uni[empresa]"),D$6)</f>
        <v>0</v>
      </c>
      <c r="E37" s="120">
        <f ca="1">SUMIFS(tb_rec_uni[2023-11-01],
INDIRECT("tb_rec_uni[natureza]"),"repasse.cef.terreno",
INDIRECT("tb_rec_uni[empresa]"),E$6)</f>
        <v>0</v>
      </c>
      <c r="F37" s="120">
        <v>0</v>
      </c>
      <c r="G37" s="120">
        <f ca="1">SUMIFS(tb_rec_uni[2023-11-01],
INDIRECT("tb_rec_uni[natureza]"),"taxa.extra",
INDIRECT("tb_rec_uni[empresa]"),G$6)</f>
        <v>0</v>
      </c>
      <c r="H37" s="108"/>
      <c r="I37" s="120">
        <f ca="1">SUMIFS(
  m.vb[valor],
  m.vb[nucleo],$B$1,
  m.vb[variavel],I$7,
  m.vb[mes],$A37
)</f>
        <v>0</v>
      </c>
      <c r="J37" s="120">
        <f ca="1">SUMIFS(
  m.vb[valor],
  m.vb[nucleo],$B$1,
  m.vb[variavel],J$7,
  m.vb[mes],$A37
)</f>
        <v>0</v>
      </c>
      <c r="K37" s="120">
        <f ca="1">SUMIFS(
  m.vb[valor],
  m.vb[nucleo],$B$1,
  m.vb[variavel],K$7,
  m.vb[mes],$A37
)</f>
        <v>0</v>
      </c>
      <c r="L37" s="120">
        <f ca="1">SUMIFS(
  m.vb[valor],
  m.vb[nucleo],$B$1,
  m.vb[variavel],L$7,
  m.vb[mes],$A37
)</f>
        <v>0</v>
      </c>
      <c r="M37" s="121">
        <f ca="1">SUMIFS(
  m.vb[valor],
  m.vb[nucleo],$B$1,
  m.vb[variavel],M$7,
  m.vb[mes],$A37
)</f>
        <v>0</v>
      </c>
      <c r="N37" s="119">
        <f>COUNTIFS(
    tb_estq[empresa], N$6,
    tb_estq[Data da venda / reserva], "&gt;=" &amp; $A37,
    tb_estq[Data da venda / reserva], "&lt;"  &amp; EOMONTH($A37,0) + 1
)</f>
        <v>0</v>
      </c>
      <c r="O37" s="120">
        <f ca="1">SUMIFS(tb_rec_uni[2023-11-01],
INDIRECT("tb_rec_uni[natureza]"),"pro.soluto",
INDIRECT("tb_rec_uni[empresa]"),O$6)</f>
        <v>0</v>
      </c>
      <c r="P37" s="120">
        <f ca="1">SUMIFS(tb_rec_uni[2023-11-01],
INDIRECT("tb_rec_uni[natureza]"),"repasse.cef.obra",
INDIRECT("tb_rec_uni[empresa]"),P$6)</f>
        <v>0</v>
      </c>
      <c r="Q37" s="120">
        <f ca="1">SUMIFS(tb_rec_uni[2023-11-01],
INDIRECT("tb_rec_uni[natureza]"),"repasse.cef.terreno",
INDIRECT("tb_rec_uni[empresa]"),Q$6)</f>
        <v>0</v>
      </c>
      <c r="R37" s="120">
        <v>1455283.7599999998</v>
      </c>
      <c r="S37" s="120">
        <f ca="1">SUMIFS(tb_rec_uni[2023-11-01],
INDIRECT("tb_rec_uni[natureza]"),"taxa.extra",
INDIRECT("tb_rec_uni[empresa]"),S$6)</f>
        <v>0</v>
      </c>
      <c r="T37" s="108"/>
      <c r="U37" s="120">
        <f ca="1">SUMIFS(
  m.vb[valor],
  m.vb[nucleo],$N$1,
  m.vb[variavel],U$7,
  m.vb[mes],$A37
)</f>
        <v>0</v>
      </c>
      <c r="V37" s="120">
        <f ca="1">SUMIFS(
  m.vb[valor],
  m.vb[nucleo],$N$1,
  m.vb[variavel],V$7,
  m.vb[mes],$A37
)</f>
        <v>0</v>
      </c>
      <c r="W37" s="120">
        <f ca="1">SUMIFS(
  m.vb[valor],
  m.vb[nucleo],$N$1,
  m.vb[variavel],W$7,
  m.vb[mes],$A37
)</f>
        <v>0</v>
      </c>
      <c r="X37" s="120">
        <f ca="1">SUMIFS(
  m.vb[valor],
  m.vb[nucleo],$N$1,
  m.vb[variavel],X$7,
  m.vb[mes],$A37
)</f>
        <v>0</v>
      </c>
      <c r="Y37" s="121">
        <f ca="1">SUMIFS(
  m.vb[valor],
  m.vb[nucleo],$N$1,
  m.vb[variavel],Y$7,
  m.vb[mes],$A37
)</f>
        <v>0</v>
      </c>
      <c r="Z37" s="119">
        <f>COUNTIFS(
    tb_estq[empresa], Z$6,
    tb_estq[Data da venda / reserva], "&gt;=" &amp; $A37,
    tb_estq[Data da venda / reserva], "&lt;"  &amp; EOMONTH($A37,0) + 1
)</f>
        <v>0</v>
      </c>
      <c r="AA37" s="120">
        <f ca="1">SUMIFS(tb_rec_uni[2023-11-01],
INDIRECT("tb_rec_uni[natureza]"),"pro.soluto",
INDIRECT("tb_rec_uni[empresa]"),AA$6)</f>
        <v>0</v>
      </c>
      <c r="AB37" s="120">
        <f ca="1">SUMIFS(tb_rec_uni[2023-11-01],
INDIRECT("tb_rec_uni[natureza]"),"parcela.fin.total.ik",
INDIRECT("tb_rec_uni[empresa]"),AB$6)</f>
        <v>0</v>
      </c>
      <c r="AC37" s="120">
        <f ca="1">SUMIFS(tb_rec_uni[2023-11-01],
INDIRECT("tb_rec_uni[natureza]"),"taxa.extra",
INDIRECT("tb_rec_uni[empresa]"),AC$6)</f>
        <v>0</v>
      </c>
      <c r="AD37" s="108"/>
      <c r="AE37" s="120">
        <f ca="1">SUMIFS(
  m.vb[valor],
  m.vb[nucleo],$Z$1,
  m.vb[variavel],AE$7,
  m.vb[mes],$A37
)</f>
        <v>0</v>
      </c>
      <c r="AF37" s="120">
        <f ca="1">SUMIFS(
  m.vb[valor],
  m.vb[nucleo],$Z$1,
  m.vb[variavel],AF$7,
  m.vb[mes],$A37
)</f>
        <v>0</v>
      </c>
      <c r="AG37" s="120">
        <f ca="1">SUMIFS(
  m.vb[valor],
  m.vb[nucleo],$Z$1,
  m.vb[variavel],AG$7,
  m.vb[mes],$A37
)</f>
        <v>0</v>
      </c>
      <c r="AH37" s="120">
        <f ca="1">SUMIFS(
  m.vb[valor],
  m.vb[nucleo],$Z$1,
  m.vb[variavel],AH$7,
  m.vb[mes],$A37
)</f>
        <v>0</v>
      </c>
      <c r="AI37" s="121">
        <f ca="1">SUMIFS(
  m.vb[valor],
  m.vb[nucleo],$Z$1,
  m.vb[variavel],AI$7,
  m.vb[mes],$A37
)</f>
        <v>0</v>
      </c>
      <c r="AJ37" s="119">
        <f>COUNTIFS(
    tb_estq[empresa], AJ$6,
    tb_estq[Data da venda / reserva], "&gt;=" &amp; $A37,
    tb_estq[Data da venda / reserva], "&lt;"  &amp; EOMONTH($A37,0) + 1
)</f>
        <v>0</v>
      </c>
      <c r="AK37" s="120">
        <f ca="1">SUMIFS(tb_rec_uni[2023-11-01],
INDIRECT("tb_rec_uni[natureza]"),"pro.soluto",
INDIRECT("tb_rec_uni[empresa]"),AK$6)</f>
        <v>0</v>
      </c>
      <c r="AL37" s="120">
        <f ca="1">SUMIFS(tb_rec_uni[2023-11-01],
INDIRECT("tb_rec_uni[natureza]"),"repasse.cef.obra",
INDIRECT("tb_rec_uni[empresa]"),AL$6)</f>
        <v>0</v>
      </c>
      <c r="AM37" s="120">
        <f ca="1">SUMIFS(tb_rec_uni[2023-11-01],
INDIRECT("tb_rec_uni[natureza]"),"repasse.cef.terreno",
INDIRECT("tb_rec_uni[empresa]"),AM$6)</f>
        <v>0</v>
      </c>
      <c r="AN37" s="120">
        <v>0</v>
      </c>
      <c r="AO37" s="120">
        <f ca="1">SUMIFS(tb_rec_uni[2023-11-01],
INDIRECT("tb_rec_uni[natureza]"),"taxa.extra",
INDIRECT("tb_rec_uni[empresa]"),AO$6)</f>
        <v>0</v>
      </c>
      <c r="AP37" s="108"/>
      <c r="AQ37" s="120">
        <f ca="1">SUMIFS(
  m.vb[valor],
  m.vb[nucleo],$AJ$1,
  m.vb[variavel],AQ$7,
  m.vb[mes],$A37
)</f>
        <v>0</v>
      </c>
      <c r="AR37" s="120">
        <f ca="1">SUMIFS(
  m.vb[valor],
  m.vb[nucleo],$AJ$1,
  m.vb[variavel],AR$7,
  m.vb[mes],$A37
)</f>
        <v>0</v>
      </c>
      <c r="AS37" s="120">
        <f ca="1">SUMIFS(
  m.vb[valor],
  m.vb[nucleo],$AJ$1,
  m.vb[variavel],AS$7,
  m.vb[mes],$A37
)</f>
        <v>0</v>
      </c>
      <c r="AT37" s="120">
        <f ca="1">SUMIFS(
  m.vb[valor],
  m.vb[nucleo],$AJ$1,
  m.vb[variavel],AT$7,
  m.vb[mes],$A37
)</f>
        <v>0</v>
      </c>
      <c r="AU37" s="121">
        <f ca="1">SUMIFS(
  m.vb[valor],
  m.vb[nucleo],$AJ$1,
  m.vb[variavel],AU$7,
  m.vb[mes],$A37
)</f>
        <v>0</v>
      </c>
      <c r="AV37" s="119">
        <f>COUNTIFS(
    tb_estq[empresa], AV$6,
    tb_estq[Data da venda / reserva], "&gt;=" &amp; $A37,
    tb_estq[Data da venda / reserva], "&lt;"  &amp; EOMONTH($A37,0) + 1
)</f>
        <v>0</v>
      </c>
      <c r="AW37" s="120">
        <f ca="1">SUMIFS(tb_rec_uni[2023-11-01],
INDIRECT("tb_rec_uni[natureza]"),"pro.soluto",
INDIRECT("tb_rec_uni[empresa]"),AW$6)</f>
        <v>0</v>
      </c>
      <c r="AX37" s="120">
        <f ca="1">SUMIFS(tb_rec_uni[2023-11-01],
INDIRECT("tb_rec_uni[natureza]"),"repasse.cef.obra",
INDIRECT("tb_rec_uni[empresa]"),AX$6)</f>
        <v>0</v>
      </c>
      <c r="AY37" s="120">
        <f ca="1">SUMIFS(tb_rec_uni[2023-11-01],
INDIRECT("tb_rec_uni[natureza]"),"repasse.cef.terreno",
INDIRECT("tb_rec_uni[empresa]"),AY$6)</f>
        <v>0</v>
      </c>
      <c r="AZ37" s="120">
        <v>0</v>
      </c>
      <c r="BA37" s="120">
        <f ca="1">SUMIFS(tb_rec_uni[2023-11-01],
INDIRECT("tb_rec_uni[natureza]"),"taxa.extra",
INDIRECT("tb_rec_uni[empresa]"),BA$6)</f>
        <v>0</v>
      </c>
      <c r="BB37" s="108"/>
      <c r="BC37" s="120">
        <f ca="1">SUMIFS(
  m.vb[valor],
  m.vb[nucleo],$AV$1,
  m.vb[variavel],BC$7,
  m.vb[mes],$A37
)</f>
        <v>0</v>
      </c>
      <c r="BD37" s="120">
        <f ca="1">SUMIFS(
  m.vb[valor],
  m.vb[nucleo],$AV$1,
  m.vb[variavel],BD$7,
  m.vb[mes],$A37
)</f>
        <v>0</v>
      </c>
      <c r="BE37" s="120">
        <f ca="1">SUMIFS(
  m.vb[valor],
  m.vb[nucleo],$AV$1,
  m.vb[variavel],BE$7,
  m.vb[mes],$A37
)</f>
        <v>0</v>
      </c>
      <c r="BF37" s="120">
        <f ca="1">SUMIFS(
  m.vb[valor],
  m.vb[nucleo],$AV$1,
  m.vb[variavel],BF$7,
  m.vb[mes],$A37
)</f>
        <v>0</v>
      </c>
      <c r="BG37" s="121">
        <f ca="1">SUMIFS(
  m.vb[valor],
  m.vb[nucleo],$AV$1,
  m.vb[variavel],BG$7,
  m.vb[mes],$A37
)</f>
        <v>0</v>
      </c>
      <c r="BH37" s="119">
        <f>COUNTIFS(
    tb_estq[empresa], BH$6,
    tb_estq[Data da venda / reserva], "&gt;=" &amp; $A37,
    tb_estq[Data da venda / reserva], "&lt;"  &amp; EOMONTH($A37,0) + 1
)</f>
        <v>0</v>
      </c>
      <c r="BI37" s="120">
        <f ca="1">SUMIFS(tb_rec_uni[2023-11-01],
INDIRECT("tb_rec_uni[natureza]"),"pro.soluto",
INDIRECT("tb_rec_uni[empresa]"),BI$6)</f>
        <v>0</v>
      </c>
      <c r="BJ37" s="108">
        <v>0</v>
      </c>
      <c r="BK37" s="120">
        <f ca="1">SUMIFS(tb_rec_uni[2023-11-01],
INDIRECT("tb_rec_uni[natureza]"),"taxa.extra",
INDIRECT("tb_rec_uni[empresa]"),BK$6)</f>
        <v>0</v>
      </c>
      <c r="BL37" s="108"/>
      <c r="BM37" s="120">
        <f ca="1">SUMIFS(
  m.vb[valor],
  m.vb[nucleo],$BH$1,
  m.vb[variavel],BM$7,
  m.vb[mes],$A37
)</f>
        <v>0</v>
      </c>
      <c r="BN37" s="120">
        <f ca="1">SUMIFS(
  m.vb[valor],
  m.vb[nucleo],$BH$1,
  m.vb[variavel],BN$7,
  m.vb[mes],$A37
)</f>
        <v>0</v>
      </c>
      <c r="BO37" s="120">
        <f ca="1">SUMIFS(
  m.vb[valor],
  m.vb[nucleo],$BH$1,
  m.vb[variavel],BO$7,
  m.vb[mes],$A37
)</f>
        <v>0</v>
      </c>
      <c r="BP37" s="120">
        <f ca="1">SUMIFS(
  m.vb[valor],
  m.vb[nucleo],$BH$1,
  m.vb[variavel],BP$7,
  m.vb[mes],$A37
)</f>
        <v>0</v>
      </c>
      <c r="BQ37" s="121">
        <f ca="1">SUMIFS(
  m.vb[valor],
  m.vb[nucleo],$BH$1,
  m.vb[variavel],BQ$7,
  m.vb[mes],$A37
)</f>
        <v>0</v>
      </c>
      <c r="BR37" s="119">
        <f>COUNTIFS(
    tb_estq[empresa], BR$6,
    tb_estq[Data da venda / reserva], "&gt;=" &amp; $A37,
    tb_estq[Data da venda / reserva], "&lt;"  &amp; EOMONTH($A37,0) + 1
)</f>
        <v>0</v>
      </c>
      <c r="BS37" s="120">
        <f ca="1">SUMIFS(tb_rec_uni[2023-11-01],
INDIRECT("tb_rec_uni[natureza]"),"pro.soluto",
INDIRECT("tb_rec_uni[empresa]"),BS$6)</f>
        <v>0</v>
      </c>
      <c r="BT37" s="120">
        <f ca="1">SUMIFS(tb_rec_uni[2023-11-01],
INDIRECT("tb_rec_uni[natureza]"),"parcela.fin.total.ik",
INDIRECT("tb_rec_uni[empresa]"),BT$6)</f>
        <v>0</v>
      </c>
      <c r="BU37" s="120">
        <f ca="1">SUMIFS(tb_rec_uni[2023-11-01],
INDIRECT("tb_rec_uni[natureza]"),"taxa.extra",
INDIRECT("tb_rec_uni[empresa]"),BU$6)</f>
        <v>0</v>
      </c>
      <c r="BV37" s="108"/>
      <c r="BW37" s="120">
        <f ca="1">SUMIFS(
  m.vb[valor],
  m.vb[nucleo],$BR$1,
  m.vb[variavel],BW$7,
  m.vb[mes],$A37
)</f>
        <v>0</v>
      </c>
      <c r="BX37" s="120">
        <f ca="1">SUMIFS(
  m.vb[valor],
  m.vb[nucleo],$BR$1,
  m.vb[variavel],BX$7,
  m.vb[mes],$A37
)</f>
        <v>0</v>
      </c>
      <c r="BY37" s="120">
        <f ca="1">SUMIFS(
  m.vb[valor],
  m.vb[nucleo],$BR$1,
  m.vb[variavel],BY$7,
  m.vb[mes],$A37
)</f>
        <v>0</v>
      </c>
      <c r="BZ37" s="120">
        <f ca="1">SUMIFS(
  m.vb[valor],
  m.vb[nucleo],$BR$1,
  m.vb[variavel],BZ$7,
  m.vb[mes],$A37
)</f>
        <v>0</v>
      </c>
      <c r="CA37" s="121">
        <f ca="1">SUMIFS(
  m.vb[valor],
  m.vb[nucleo],$BR$1,
  m.vb[variavel],CA$7,
  m.vb[mes],$A37
)</f>
        <v>0</v>
      </c>
      <c r="CB37" s="119">
        <f>COUNTIFS(
    tb_estq[empresa], CB$6,
    tb_estq[Data da venda / reserva], "&gt;=" &amp; $A37,
    tb_estq[Data da venda / reserva], "&lt;"  &amp; EOMONTH($A37,0) + 1
)</f>
        <v>0</v>
      </c>
      <c r="CC37" s="120">
        <f ca="1">SUMIFS(tb_rec_uni[2023-11-01],
INDIRECT("tb_rec_uni[natureza]"),"pro.soluto",
INDIRECT("tb_rec_uni[empresa]"),CC$6)</f>
        <v>0</v>
      </c>
      <c r="CD37" s="120">
        <f ca="1">SUMIFS(tb_rec_uni[2023-11-01],
INDIRECT("tb_rec_uni[natureza]"),"repasse.cef.obra",
INDIRECT("tb_rec_uni[empresa]"),CD$6)</f>
        <v>0</v>
      </c>
      <c r="CE37" s="120">
        <f ca="1">SUMIFS(tb_rec_uni[2023-11-01],
INDIRECT("tb_rec_uni[natureza]"),"repasse.cef.terreno",
INDIRECT("tb_rec_uni[empresa]"),CE$6)</f>
        <v>0</v>
      </c>
      <c r="CF37" s="120">
        <v>0</v>
      </c>
      <c r="CG37" s="120">
        <f ca="1">SUMIFS(tb_rec_uni[2023-11-01],
INDIRECT("tb_rec_uni[natureza]"),"taxa.extra",
INDIRECT("tb_rec_uni[empresa]"),CG$6)</f>
        <v>0</v>
      </c>
      <c r="CH37" s="108"/>
      <c r="CI37" s="120">
        <f ca="1">SUMIFS(
  m.vb[valor],
  m.vb[nucleo],$CB$1,
  m.vb[variavel],CI$7,
  m.vb[mes],$A37
)</f>
        <v>0</v>
      </c>
      <c r="CJ37" s="120">
        <f ca="1">SUMIFS(
  m.vb[valor],
  m.vb[nucleo],$CB$1,
  m.vb[variavel],CJ$7,
  m.vb[mes],$A37
)</f>
        <v>0</v>
      </c>
      <c r="CK37" s="120">
        <f ca="1">SUMIFS(
  m.vb[valor],
  m.vb[nucleo],$CB$1,
  m.vb[variavel],CK$7,
  m.vb[mes],$A37
)</f>
        <v>0</v>
      </c>
      <c r="CL37" s="120">
        <f ca="1">SUMIFS(
  m.vb[valor],
  m.vb[nucleo],$CB$1,
  m.vb[variavel],CL$7,
  m.vb[mes],$A37
)</f>
        <v>0</v>
      </c>
      <c r="CM37" s="121">
        <f ca="1">SUMIFS(
  m.vb[valor],
  m.vb[nucleo],$CB$1,
  m.vb[variavel],CM$7,
  m.vb[mes],$A37
)</f>
        <v>0</v>
      </c>
      <c r="CN37" s="119">
        <f>COUNTIFS(
    tb_estq[empresa], CN$6,
    tb_estq[Data da venda / reserva], "&gt;=" &amp; $A37,
    tb_estq[Data da venda / reserva], "&lt;"  &amp; EOMONTH($A37,0) + 1
)</f>
        <v>0</v>
      </c>
      <c r="CO37" s="120">
        <f ca="1">SUMIFS(tb_rec_uni[2023-11-01],
INDIRECT("tb_rec_uni[natureza]"),"pro.soluto",
INDIRECT("tb_rec_uni[empresa]"),CO$6)</f>
        <v>0</v>
      </c>
      <c r="CP37" s="120">
        <f ca="1">SUMIFS(tb_rec_uni[2023-11-01],
INDIRECT("tb_rec_uni[natureza]"),"repasse.cef.obra",
INDIRECT("tb_rec_uni[empresa]"),CP$6)</f>
        <v>0</v>
      </c>
      <c r="CQ37" s="120">
        <f ca="1">SUMIFS(tb_rec_uni[2023-11-01],
INDIRECT("tb_rec_uni[natureza]"),"repasse.cef.terreno",
INDIRECT("tb_rec_uni[empresa]"),CQ$6)</f>
        <v>0</v>
      </c>
      <c r="CR37" s="120">
        <v>0</v>
      </c>
      <c r="CS37" s="120">
        <f ca="1">SUMIFS(tb_rec_uni[2023-11-01],
INDIRECT("tb_rec_uni[natureza]"),"taxa.extra",
INDIRECT("tb_rec_uni[empresa]"),CS$6)</f>
        <v>0</v>
      </c>
      <c r="CT37" s="108"/>
      <c r="CU37" s="120">
        <f ca="1">SUMIFS(
  m.vb[valor],
  m.vb[nucleo],$CN$1,
  m.vb[variavel],CU$7,
  m.vb[mes],$A37
)</f>
        <v>0</v>
      </c>
      <c r="CV37" s="120" cm="1">
        <f t="array" ref="CV37">SUMPRODUCT(
  IFERROR(--tb_desp[valor],0)*
  (tb_desp[nucleo]="UP MOVE VILA SONIA")*
  (tb_desp[categoria]=CV$7)*
  (tb_desp[data.pagamento]&gt;=$A37)*
  (tb_desp[data.pagamento]&lt;EOMONTH($A37,0)+1)
)</f>
        <v>0</v>
      </c>
      <c r="CW37" s="120" cm="1">
        <f t="array" ref="CW37">SUMPRODUCT(
  IFERROR(--tb_desp[valor],0)*
  (tb_desp[nucleo]="UP MOVE VILA SONIA")*
  (tb_desp[categoria]=CW$7)*
  (tb_desp[data.pagamento]&gt;=$A37)*
  (tb_desp[data.pagamento]&lt;EOMONTH($A37,0)+1)
)</f>
        <v>0</v>
      </c>
      <c r="CX37" s="120" cm="1">
        <f t="array" ref="CX37">SUMPRODUCT(
  IFERROR(--tb_desp[valor],0)*
  (tb_desp[nucleo]="UP MOVE VILA SONIA")*
  (tb_desp[categoria]=CX$7)*
  (tb_desp[data.pagamento]&gt;=$A37)*
  (tb_desp[data.pagamento]&lt;EOMONTH($A37,0)+1)
)</f>
        <v>0</v>
      </c>
      <c r="CY37" s="122" cm="1">
        <f t="array" ref="CY37">SUMPRODUCT(
  IFERROR(--tb_desp[valor],0)*
  (tb_desp[nucleo]="UP MOVE VILA SONIA")*
  (tb_desp[categoria]=CY$7)*
  (tb_desp[data.pagamento]&gt;=$A37)*
  (tb_desp[data.pagamento]&lt;EOMONTH($A37,0)+1)
)</f>
        <v>0</v>
      </c>
    </row>
    <row r="38" spans="1:103" x14ac:dyDescent="0.25">
      <c r="A38" s="118">
        <v>45261</v>
      </c>
      <c r="B38" s="119">
        <f>COUNTIFS(
    tb_estq[empresa], B$6,
    tb_estq[Data da venda / reserva], "&gt;=" &amp; $A38,
    tb_estq[Data da venda / reserva], "&lt;"  &amp; EOMONTH($A38,0) + 1
)</f>
        <v>0</v>
      </c>
      <c r="C38" s="120">
        <f ca="1">SUMIFS(tb_rec_uni[2023-12-01],
INDIRECT("tb_rec_uni[natureza]"),"pro.soluto",
INDIRECT("tb_rec_uni[empresa]"),C$6)</f>
        <v>0</v>
      </c>
      <c r="D38" s="120">
        <f ca="1">SUMIFS(tb_rec_uni[2023-12-01],
INDIRECT("tb_rec_uni[natureza]"),"repasse.cef.obra",
INDIRECT("tb_rec_uni[empresa]"),D$6)</f>
        <v>0</v>
      </c>
      <c r="E38" s="120">
        <f ca="1">SUMIFS(tb_rec_uni[2023-12-01],
INDIRECT("tb_rec_uni[natureza]"),"repasse.cef.terreno",
INDIRECT("tb_rec_uni[empresa]"),E$6)</f>
        <v>0</v>
      </c>
      <c r="F38" s="120">
        <v>0</v>
      </c>
      <c r="G38" s="120">
        <f ca="1">SUMIFS(tb_rec_uni[2023-12-01],
INDIRECT("tb_rec_uni[natureza]"),"taxa.extra",
INDIRECT("tb_rec_uni[empresa]"),G$6)</f>
        <v>0</v>
      </c>
      <c r="H38" s="108"/>
      <c r="I38" s="120">
        <f ca="1">SUMIFS(
  m.vb[valor],
  m.vb[nucleo],$B$1,
  m.vb[variavel],I$7,
  m.vb[mes],$A38
)</f>
        <v>0</v>
      </c>
      <c r="J38" s="120">
        <f ca="1">SUMIFS(
  m.vb[valor],
  m.vb[nucleo],$B$1,
  m.vb[variavel],J$7,
  m.vb[mes],$A38
)</f>
        <v>0</v>
      </c>
      <c r="K38" s="120">
        <f ca="1">SUMIFS(
  m.vb[valor],
  m.vb[nucleo],$B$1,
  m.vb[variavel],K$7,
  m.vb[mes],$A38
)</f>
        <v>0</v>
      </c>
      <c r="L38" s="120">
        <f ca="1">SUMIFS(
  m.vb[valor],
  m.vb[nucleo],$B$1,
  m.vb[variavel],L$7,
  m.vb[mes],$A38
)</f>
        <v>0</v>
      </c>
      <c r="M38" s="121">
        <f ca="1">SUMIFS(
  m.vb[valor],
  m.vb[nucleo],$B$1,
  m.vb[variavel],M$7,
  m.vb[mes],$A38
)</f>
        <v>0</v>
      </c>
      <c r="N38" s="119">
        <f>COUNTIFS(
    tb_estq[empresa], N$6,
    tb_estq[Data da venda / reserva], "&gt;=" &amp; $A38,
    tb_estq[Data da venda / reserva], "&lt;"  &amp; EOMONTH($A38,0) + 1
)</f>
        <v>0</v>
      </c>
      <c r="O38" s="120">
        <f ca="1">SUMIFS(tb_rec_uni[2023-12-01],
INDIRECT("tb_rec_uni[natureza]"),"pro.soluto",
INDIRECT("tb_rec_uni[empresa]"),O$6)</f>
        <v>0</v>
      </c>
      <c r="P38" s="120">
        <f ca="1">SUMIFS(tb_rec_uni[2023-12-01],
INDIRECT("tb_rec_uni[natureza]"),"repasse.cef.obra",
INDIRECT("tb_rec_uni[empresa]"),P$6)</f>
        <v>0</v>
      </c>
      <c r="Q38" s="120">
        <f ca="1">SUMIFS(tb_rec_uni[2023-12-01],
INDIRECT("tb_rec_uni[natureza]"),"repasse.cef.terreno",
INDIRECT("tb_rec_uni[empresa]"),Q$6)</f>
        <v>0</v>
      </c>
      <c r="R38" s="120">
        <v>0</v>
      </c>
      <c r="S38" s="120">
        <f ca="1">SUMIFS(tb_rec_uni[2023-12-01],
INDIRECT("tb_rec_uni[natureza]"),"taxa.extra",
INDIRECT("tb_rec_uni[empresa]"),S$6)</f>
        <v>0</v>
      </c>
      <c r="T38" s="108"/>
      <c r="U38" s="120">
        <f ca="1">SUMIFS(
  m.vb[valor],
  m.vb[nucleo],$N$1,
  m.vb[variavel],U$7,
  m.vb[mes],$A38
)</f>
        <v>0</v>
      </c>
      <c r="V38" s="120">
        <f ca="1">SUMIFS(
  m.vb[valor],
  m.vb[nucleo],$N$1,
  m.vb[variavel],V$7,
  m.vb[mes],$A38
)</f>
        <v>0</v>
      </c>
      <c r="W38" s="120">
        <f ca="1">SUMIFS(
  m.vb[valor],
  m.vb[nucleo],$N$1,
  m.vb[variavel],W$7,
  m.vb[mes],$A38
)</f>
        <v>0</v>
      </c>
      <c r="X38" s="120">
        <f ca="1">SUMIFS(
  m.vb[valor],
  m.vb[nucleo],$N$1,
  m.vb[variavel],X$7,
  m.vb[mes],$A38
)</f>
        <v>0</v>
      </c>
      <c r="Y38" s="121">
        <f ca="1">SUMIFS(
  m.vb[valor],
  m.vb[nucleo],$N$1,
  m.vb[variavel],Y$7,
  m.vb[mes],$A38
)</f>
        <v>0</v>
      </c>
      <c r="Z38" s="119">
        <f>COUNTIFS(
    tb_estq[empresa], Z$6,
    tb_estq[Data da venda / reserva], "&gt;=" &amp; $A38,
    tb_estq[Data da venda / reserva], "&lt;"  &amp; EOMONTH($A38,0) + 1
)</f>
        <v>0</v>
      </c>
      <c r="AA38" s="120">
        <f ca="1">SUMIFS(tb_rec_uni[2023-12-01],
INDIRECT("tb_rec_uni[natureza]"),"pro.soluto",
INDIRECT("tb_rec_uni[empresa]"),AA$6)</f>
        <v>0</v>
      </c>
      <c r="AB38" s="120">
        <f ca="1">SUMIFS(tb_rec_uni[2023-12-01],
INDIRECT("tb_rec_uni[natureza]"),"parcela.fin.total.ik",
INDIRECT("tb_rec_uni[empresa]"),AB$6)</f>
        <v>0</v>
      </c>
      <c r="AC38" s="120">
        <f ca="1">SUMIFS(tb_rec_uni[2023-12-01],
INDIRECT("tb_rec_uni[natureza]"),"taxa.extra",
INDIRECT("tb_rec_uni[empresa]"),AC$6)</f>
        <v>0</v>
      </c>
      <c r="AD38" s="108"/>
      <c r="AE38" s="120">
        <f ca="1">SUMIFS(
  m.vb[valor],
  m.vb[nucleo],$Z$1,
  m.vb[variavel],AE$7,
  m.vb[mes],$A38
)</f>
        <v>0</v>
      </c>
      <c r="AF38" s="120">
        <f ca="1">SUMIFS(
  m.vb[valor],
  m.vb[nucleo],$Z$1,
  m.vb[variavel],AF$7,
  m.vb[mes],$A38
)</f>
        <v>0</v>
      </c>
      <c r="AG38" s="120">
        <f ca="1">SUMIFS(
  m.vb[valor],
  m.vb[nucleo],$Z$1,
  m.vb[variavel],AG$7,
  m.vb[mes],$A38
)</f>
        <v>0</v>
      </c>
      <c r="AH38" s="120">
        <f ca="1">SUMIFS(
  m.vb[valor],
  m.vb[nucleo],$Z$1,
  m.vb[variavel],AH$7,
  m.vb[mes],$A38
)</f>
        <v>0</v>
      </c>
      <c r="AI38" s="121">
        <f ca="1">SUMIFS(
  m.vb[valor],
  m.vb[nucleo],$Z$1,
  m.vb[variavel],AI$7,
  m.vb[mes],$A38
)</f>
        <v>0</v>
      </c>
      <c r="AJ38" s="119">
        <f>COUNTIFS(
    tb_estq[empresa], AJ$6,
    tb_estq[Data da venda / reserva], "&gt;=" &amp; $A38,
    tb_estq[Data da venda / reserva], "&lt;"  &amp; EOMONTH($A38,0) + 1
)</f>
        <v>0</v>
      </c>
      <c r="AK38" s="120">
        <f ca="1">SUMIFS(tb_rec_uni[2023-12-01],
INDIRECT("tb_rec_uni[natureza]"),"pro.soluto",
INDIRECT("tb_rec_uni[empresa]"),AK$6)</f>
        <v>0</v>
      </c>
      <c r="AL38" s="120">
        <f ca="1">SUMIFS(tb_rec_uni[2023-12-01],
INDIRECT("tb_rec_uni[natureza]"),"repasse.cef.obra",
INDIRECT("tb_rec_uni[empresa]"),AL$6)</f>
        <v>0</v>
      </c>
      <c r="AM38" s="120">
        <f ca="1">SUMIFS(tb_rec_uni[2023-12-01],
INDIRECT("tb_rec_uni[natureza]"),"repasse.cef.terreno",
INDIRECT("tb_rec_uni[empresa]"),AM$6)</f>
        <v>0</v>
      </c>
      <c r="AN38" s="120">
        <v>0</v>
      </c>
      <c r="AO38" s="120">
        <f ca="1">SUMIFS(tb_rec_uni[2023-12-01],
INDIRECT("tb_rec_uni[natureza]"),"taxa.extra",
INDIRECT("tb_rec_uni[empresa]"),AO$6)</f>
        <v>0</v>
      </c>
      <c r="AP38" s="108"/>
      <c r="AQ38" s="120">
        <f ca="1">SUMIFS(
  m.vb[valor],
  m.vb[nucleo],$AJ$1,
  m.vb[variavel],AQ$7,
  m.vb[mes],$A38
)</f>
        <v>0</v>
      </c>
      <c r="AR38" s="120">
        <f ca="1">SUMIFS(
  m.vb[valor],
  m.vb[nucleo],$AJ$1,
  m.vb[variavel],AR$7,
  m.vb[mes],$A38
)</f>
        <v>0</v>
      </c>
      <c r="AS38" s="120">
        <f ca="1">SUMIFS(
  m.vb[valor],
  m.vb[nucleo],$AJ$1,
  m.vb[variavel],AS$7,
  m.vb[mes],$A38
)</f>
        <v>0</v>
      </c>
      <c r="AT38" s="120">
        <f ca="1">SUMIFS(
  m.vb[valor],
  m.vb[nucleo],$AJ$1,
  m.vb[variavel],AT$7,
  m.vb[mes],$A38
)</f>
        <v>0</v>
      </c>
      <c r="AU38" s="121">
        <f ca="1">SUMIFS(
  m.vb[valor],
  m.vb[nucleo],$AJ$1,
  m.vb[variavel],AU$7,
  m.vb[mes],$A38
)</f>
        <v>0</v>
      </c>
      <c r="AV38" s="119">
        <f>COUNTIFS(
    tb_estq[empresa], AV$6,
    tb_estq[Data da venda / reserva], "&gt;=" &amp; $A38,
    tb_estq[Data da venda / reserva], "&lt;"  &amp; EOMONTH($A38,0) + 1
)</f>
        <v>0</v>
      </c>
      <c r="AW38" s="120">
        <f ca="1">SUMIFS(tb_rec_uni[2023-12-01],
INDIRECT("tb_rec_uni[natureza]"),"pro.soluto",
INDIRECT("tb_rec_uni[empresa]"),AW$6)</f>
        <v>0</v>
      </c>
      <c r="AX38" s="120">
        <f ca="1">SUMIFS(tb_rec_uni[2023-12-01],
INDIRECT("tb_rec_uni[natureza]"),"repasse.cef.obra",
INDIRECT("tb_rec_uni[empresa]"),AX$6)</f>
        <v>0</v>
      </c>
      <c r="AY38" s="120">
        <f ca="1">SUMIFS(tb_rec_uni[2023-12-01],
INDIRECT("tb_rec_uni[natureza]"),"repasse.cef.terreno",
INDIRECT("tb_rec_uni[empresa]"),AY$6)</f>
        <v>0</v>
      </c>
      <c r="AZ38" s="120">
        <v>0</v>
      </c>
      <c r="BA38" s="120">
        <f ca="1">SUMIFS(tb_rec_uni[2023-12-01],
INDIRECT("tb_rec_uni[natureza]"),"taxa.extra",
INDIRECT("tb_rec_uni[empresa]"),BA$6)</f>
        <v>0</v>
      </c>
      <c r="BB38" s="108"/>
      <c r="BC38" s="120">
        <f ca="1">SUMIFS(
  m.vb[valor],
  m.vb[nucleo],$AV$1,
  m.vb[variavel],BC$7,
  m.vb[mes],$A38
)</f>
        <v>0</v>
      </c>
      <c r="BD38" s="120">
        <f ca="1">SUMIFS(
  m.vb[valor],
  m.vb[nucleo],$AV$1,
  m.vb[variavel],BD$7,
  m.vb[mes],$A38
)</f>
        <v>0</v>
      </c>
      <c r="BE38" s="120">
        <f ca="1">SUMIFS(
  m.vb[valor],
  m.vb[nucleo],$AV$1,
  m.vb[variavel],BE$7,
  m.vb[mes],$A38
)</f>
        <v>0</v>
      </c>
      <c r="BF38" s="120">
        <f ca="1">SUMIFS(
  m.vb[valor],
  m.vb[nucleo],$AV$1,
  m.vb[variavel],BF$7,
  m.vb[mes],$A38
)</f>
        <v>0</v>
      </c>
      <c r="BG38" s="121">
        <f ca="1">SUMIFS(
  m.vb[valor],
  m.vb[nucleo],$AV$1,
  m.vb[variavel],BG$7,
  m.vb[mes],$A38
)</f>
        <v>0</v>
      </c>
      <c r="BH38" s="119">
        <f>COUNTIFS(
    tb_estq[empresa], BH$6,
    tb_estq[Data da venda / reserva], "&gt;=" &amp; $A38,
    tb_estq[Data da venda / reserva], "&lt;"  &amp; EOMONTH($A38,0) + 1
)</f>
        <v>0</v>
      </c>
      <c r="BI38" s="120">
        <f ca="1">SUMIFS(tb_rec_uni[2023-12-01],
INDIRECT("tb_rec_uni[natureza]"),"pro.soluto",
INDIRECT("tb_rec_uni[empresa]"),BI$6)</f>
        <v>0</v>
      </c>
      <c r="BJ38" s="108">
        <v>0</v>
      </c>
      <c r="BK38" s="120">
        <f ca="1">SUMIFS(tb_rec_uni[2023-12-01],
INDIRECT("tb_rec_uni[natureza]"),"taxa.extra",
INDIRECT("tb_rec_uni[empresa]"),BK$6)</f>
        <v>0</v>
      </c>
      <c r="BL38" s="108"/>
      <c r="BM38" s="120">
        <f ca="1">SUMIFS(
  m.vb[valor],
  m.vb[nucleo],$BH$1,
  m.vb[variavel],BM$7,
  m.vb[mes],$A38
)</f>
        <v>0</v>
      </c>
      <c r="BN38" s="120">
        <f ca="1">SUMIFS(
  m.vb[valor],
  m.vb[nucleo],$BH$1,
  m.vb[variavel],BN$7,
  m.vb[mes],$A38
)</f>
        <v>0</v>
      </c>
      <c r="BO38" s="120">
        <f ca="1">SUMIFS(
  m.vb[valor],
  m.vb[nucleo],$BH$1,
  m.vb[variavel],BO$7,
  m.vb[mes],$A38
)</f>
        <v>0</v>
      </c>
      <c r="BP38" s="120">
        <f ca="1">SUMIFS(
  m.vb[valor],
  m.vb[nucleo],$BH$1,
  m.vb[variavel],BP$7,
  m.vb[mes],$A38
)</f>
        <v>0</v>
      </c>
      <c r="BQ38" s="121">
        <f ca="1">SUMIFS(
  m.vb[valor],
  m.vb[nucleo],$BH$1,
  m.vb[variavel],BQ$7,
  m.vb[mes],$A38
)</f>
        <v>0</v>
      </c>
      <c r="BR38" s="119">
        <f>COUNTIFS(
    tb_estq[empresa], BR$6,
    tb_estq[Data da venda / reserva], "&gt;=" &amp; $A38,
    tb_estq[Data da venda / reserva], "&lt;"  &amp; EOMONTH($A38,0) + 1
)</f>
        <v>0</v>
      </c>
      <c r="BS38" s="120">
        <f ca="1">SUMIFS(tb_rec_uni[2023-12-01],
INDIRECT("tb_rec_uni[natureza]"),"pro.soluto",
INDIRECT("tb_rec_uni[empresa]"),BS$6)</f>
        <v>0</v>
      </c>
      <c r="BT38" s="120">
        <f ca="1">SUMIFS(tb_rec_uni[2023-12-01],
INDIRECT("tb_rec_uni[natureza]"),"parcela.fin.total.ik",
INDIRECT("tb_rec_uni[empresa]"),BT$6)</f>
        <v>0</v>
      </c>
      <c r="BU38" s="120">
        <f ca="1">SUMIFS(tb_rec_uni[2023-12-01],
INDIRECT("tb_rec_uni[natureza]"),"taxa.extra",
INDIRECT("tb_rec_uni[empresa]"),BU$6)</f>
        <v>0</v>
      </c>
      <c r="BV38" s="108"/>
      <c r="BW38" s="120">
        <f ca="1">SUMIFS(
  m.vb[valor],
  m.vb[nucleo],$BR$1,
  m.vb[variavel],BW$7,
  m.vb[mes],$A38
)</f>
        <v>0</v>
      </c>
      <c r="BX38" s="120">
        <f ca="1">SUMIFS(
  m.vb[valor],
  m.vb[nucleo],$BR$1,
  m.vb[variavel],BX$7,
  m.vb[mes],$A38
)</f>
        <v>0</v>
      </c>
      <c r="BY38" s="120">
        <f ca="1">SUMIFS(
  m.vb[valor],
  m.vb[nucleo],$BR$1,
  m.vb[variavel],BY$7,
  m.vb[mes],$A38
)</f>
        <v>0</v>
      </c>
      <c r="BZ38" s="120">
        <f ca="1">SUMIFS(
  m.vb[valor],
  m.vb[nucleo],$BR$1,
  m.vb[variavel],BZ$7,
  m.vb[mes],$A38
)</f>
        <v>0</v>
      </c>
      <c r="CA38" s="121">
        <f ca="1">SUMIFS(
  m.vb[valor],
  m.vb[nucleo],$BR$1,
  m.vb[variavel],CA$7,
  m.vb[mes],$A38
)</f>
        <v>0</v>
      </c>
      <c r="CB38" s="119">
        <f>COUNTIFS(
    tb_estq[empresa], CB$6,
    tb_estq[Data da venda / reserva], "&gt;=" &amp; $A38,
    tb_estq[Data da venda / reserva], "&lt;"  &amp; EOMONTH($A38,0) + 1
)</f>
        <v>0</v>
      </c>
      <c r="CC38" s="120">
        <f ca="1">SUMIFS(tb_rec_uni[2023-12-01],
INDIRECT("tb_rec_uni[natureza]"),"pro.soluto",
INDIRECT("tb_rec_uni[empresa]"),CC$6)</f>
        <v>0</v>
      </c>
      <c r="CD38" s="120">
        <f ca="1">SUMIFS(tb_rec_uni[2023-12-01],
INDIRECT("tb_rec_uni[natureza]"),"repasse.cef.obra",
INDIRECT("tb_rec_uni[empresa]"),CD$6)</f>
        <v>0</v>
      </c>
      <c r="CE38" s="120">
        <f ca="1">SUMIFS(tb_rec_uni[2023-12-01],
INDIRECT("tb_rec_uni[natureza]"),"repasse.cef.terreno",
INDIRECT("tb_rec_uni[empresa]"),CE$6)</f>
        <v>0</v>
      </c>
      <c r="CF38" s="120">
        <v>0</v>
      </c>
      <c r="CG38" s="120">
        <f ca="1">SUMIFS(tb_rec_uni[2023-12-01],
INDIRECT("tb_rec_uni[natureza]"),"taxa.extra",
INDIRECT("tb_rec_uni[empresa]"),CG$6)</f>
        <v>0</v>
      </c>
      <c r="CH38" s="108"/>
      <c r="CI38" s="120">
        <f ca="1">SUMIFS(
  m.vb[valor],
  m.vb[nucleo],$CB$1,
  m.vb[variavel],CI$7,
  m.vb[mes],$A38
)</f>
        <v>0</v>
      </c>
      <c r="CJ38" s="120">
        <f ca="1">SUMIFS(
  m.vb[valor],
  m.vb[nucleo],$CB$1,
  m.vb[variavel],CJ$7,
  m.vb[mes],$A38
)</f>
        <v>0</v>
      </c>
      <c r="CK38" s="120">
        <f ca="1">SUMIFS(
  m.vb[valor],
  m.vb[nucleo],$CB$1,
  m.vb[variavel],CK$7,
  m.vb[mes],$A38
)</f>
        <v>0</v>
      </c>
      <c r="CL38" s="120">
        <f ca="1">SUMIFS(
  m.vb[valor],
  m.vb[nucleo],$CB$1,
  m.vb[variavel],CL$7,
  m.vb[mes],$A38
)</f>
        <v>0</v>
      </c>
      <c r="CM38" s="121">
        <f ca="1">SUMIFS(
  m.vb[valor],
  m.vb[nucleo],$CB$1,
  m.vb[variavel],CM$7,
  m.vb[mes],$A38
)</f>
        <v>0</v>
      </c>
      <c r="CN38" s="119">
        <f>COUNTIFS(
    tb_estq[empresa], CN$6,
    tb_estq[Data da venda / reserva], "&gt;=" &amp; $A38,
    tb_estq[Data da venda / reserva], "&lt;"  &amp; EOMONTH($A38,0) + 1
)</f>
        <v>0</v>
      </c>
      <c r="CO38" s="120">
        <f ca="1">SUMIFS(tb_rec_uni[2023-12-01],
INDIRECT("tb_rec_uni[natureza]"),"pro.soluto",
INDIRECT("tb_rec_uni[empresa]"),CO$6)</f>
        <v>0</v>
      </c>
      <c r="CP38" s="120">
        <f ca="1">SUMIFS(tb_rec_uni[2023-12-01],
INDIRECT("tb_rec_uni[natureza]"),"repasse.cef.obra",
INDIRECT("tb_rec_uni[empresa]"),CP$6)</f>
        <v>0</v>
      </c>
      <c r="CQ38" s="120">
        <f ca="1">SUMIFS(tb_rec_uni[2023-12-01],
INDIRECT("tb_rec_uni[natureza]"),"repasse.cef.terreno",
INDIRECT("tb_rec_uni[empresa]"),CQ$6)</f>
        <v>0</v>
      </c>
      <c r="CR38" s="120">
        <v>0</v>
      </c>
      <c r="CS38" s="120">
        <f ca="1">SUMIFS(tb_rec_uni[2023-12-01],
INDIRECT("tb_rec_uni[natureza]"),"taxa.extra",
INDIRECT("tb_rec_uni[empresa]"),CS$6)</f>
        <v>0</v>
      </c>
      <c r="CT38" s="108"/>
      <c r="CU38" s="120">
        <f ca="1">SUMIFS(
  m.vb[valor],
  m.vb[nucleo],$CN$1,
  m.vb[variavel],CU$7,
  m.vb[mes],$A38
)</f>
        <v>0</v>
      </c>
      <c r="CV38" s="120" cm="1">
        <f t="array" ref="CV38">SUMPRODUCT(
  IFERROR(--tb_desp[valor],0)*
  (tb_desp[nucleo]="UP MOVE VILA SONIA")*
  (tb_desp[categoria]=CV$7)*
  (tb_desp[data.pagamento]&gt;=$A38)*
  (tb_desp[data.pagamento]&lt;EOMONTH($A38,0)+1)
)</f>
        <v>0</v>
      </c>
      <c r="CW38" s="120" cm="1">
        <f t="array" ref="CW38">SUMPRODUCT(
  IFERROR(--tb_desp[valor],0)*
  (tb_desp[nucleo]="UP MOVE VILA SONIA")*
  (tb_desp[categoria]=CW$7)*
  (tb_desp[data.pagamento]&gt;=$A38)*
  (tb_desp[data.pagamento]&lt;EOMONTH($A38,0)+1)
)</f>
        <v>0</v>
      </c>
      <c r="CX38" s="120" cm="1">
        <f t="array" ref="CX38">SUMPRODUCT(
  IFERROR(--tb_desp[valor],0)*
  (tb_desp[nucleo]="UP MOVE VILA SONIA")*
  (tb_desp[categoria]=CX$7)*
  (tb_desp[data.pagamento]&gt;=$A38)*
  (tb_desp[data.pagamento]&lt;EOMONTH($A38,0)+1)
)</f>
        <v>0</v>
      </c>
      <c r="CY38" s="122" cm="1">
        <f t="array" ref="CY38">SUMPRODUCT(
  IFERROR(--tb_desp[valor],0)*
  (tb_desp[nucleo]="UP MOVE VILA SONIA")*
  (tb_desp[categoria]=CY$7)*
  (tb_desp[data.pagamento]&gt;=$A38)*
  (tb_desp[data.pagamento]&lt;EOMONTH($A38,0)+1)
)</f>
        <v>0</v>
      </c>
    </row>
    <row r="39" spans="1:103" x14ac:dyDescent="0.25">
      <c r="A39" s="118">
        <v>45292</v>
      </c>
      <c r="B39" s="119">
        <f>COUNTIFS(
    tb_estq[empresa], B$6,
    tb_estq[Data da venda / reserva], "&gt;=" &amp; $A39,
    tb_estq[Data da venda / reserva], "&lt;"  &amp; EOMONTH($A39,0) + 1
)</f>
        <v>0</v>
      </c>
      <c r="C39" s="120">
        <f ca="1">SUMIFS(tb_rec_uni[2024-01-01],
INDIRECT("tb_rec_uni[natureza]"),"pro.soluto",
INDIRECT("tb_rec_uni[empresa]"),C$6)</f>
        <v>0</v>
      </c>
      <c r="D39" s="120">
        <f ca="1">SUMIFS(tb_rec_uni[2024-01-01],
INDIRECT("tb_rec_uni[natureza]"),"repasse.cef.obra",
INDIRECT("tb_rec_uni[empresa]"),D$6)</f>
        <v>0</v>
      </c>
      <c r="E39" s="120">
        <f ca="1">SUMIFS(tb_rec_uni[2024-01-01],
INDIRECT("tb_rec_uni[natureza]"),"repasse.cef.terreno",
INDIRECT("tb_rec_uni[empresa]"),E$6)</f>
        <v>0</v>
      </c>
      <c r="F39" s="120">
        <v>0</v>
      </c>
      <c r="G39" s="120">
        <f ca="1">SUMIFS(tb_rec_uni[2024-01-01],
INDIRECT("tb_rec_uni[natureza]"),"taxa.extra",
INDIRECT("tb_rec_uni[empresa]"),G$6)</f>
        <v>0</v>
      </c>
      <c r="H39" s="108"/>
      <c r="I39" s="120">
        <f ca="1">SUMIFS(
  m.vb[valor],
  m.vb[nucleo],$B$1,
  m.vb[variavel],I$7,
  m.vb[mes],$A39
)</f>
        <v>0</v>
      </c>
      <c r="J39" s="120">
        <f ca="1">SUMIFS(
  m.vb[valor],
  m.vb[nucleo],$B$1,
  m.vb[variavel],J$7,
  m.vb[mes],$A39
)</f>
        <v>0</v>
      </c>
      <c r="K39" s="120">
        <f ca="1">SUMIFS(
  m.vb[valor],
  m.vb[nucleo],$B$1,
  m.vb[variavel],K$7,
  m.vb[mes],$A39
)</f>
        <v>0</v>
      </c>
      <c r="L39" s="120">
        <f ca="1">SUMIFS(
  m.vb[valor],
  m.vb[nucleo],$B$1,
  m.vb[variavel],L$7,
  m.vb[mes],$A39
)</f>
        <v>0</v>
      </c>
      <c r="M39" s="121">
        <f ca="1">SUMIFS(
  m.vb[valor],
  m.vb[nucleo],$B$1,
  m.vb[variavel],M$7,
  m.vb[mes],$A39
)</f>
        <v>0</v>
      </c>
      <c r="N39" s="119">
        <f>COUNTIFS(
    tb_estq[empresa], N$6,
    tb_estq[Data da venda / reserva], "&gt;=" &amp; $A39,
    tb_estq[Data da venda / reserva], "&lt;"  &amp; EOMONTH($A39,0) + 1
)</f>
        <v>0</v>
      </c>
      <c r="O39" s="120">
        <f ca="1">SUMIFS(tb_rec_uni[2024-01-01],
INDIRECT("tb_rec_uni[natureza]"),"pro.soluto",
INDIRECT("tb_rec_uni[empresa]"),O$6)</f>
        <v>0</v>
      </c>
      <c r="P39" s="120">
        <f ca="1">SUMIFS(tb_rec_uni[2024-01-01],
INDIRECT("tb_rec_uni[natureza]"),"repasse.cef.obra",
INDIRECT("tb_rec_uni[empresa]"),P$6)</f>
        <v>0</v>
      </c>
      <c r="Q39" s="120">
        <f ca="1">SUMIFS(tb_rec_uni[2024-01-01],
INDIRECT("tb_rec_uni[natureza]"),"repasse.cef.terreno",
INDIRECT("tb_rec_uni[empresa]"),Q$6)</f>
        <v>0</v>
      </c>
      <c r="R39" s="120">
        <v>1292869.73</v>
      </c>
      <c r="S39" s="120">
        <f ca="1">SUMIFS(tb_rec_uni[2024-01-01],
INDIRECT("tb_rec_uni[natureza]"),"taxa.extra",
INDIRECT("tb_rec_uni[empresa]"),S$6)</f>
        <v>0</v>
      </c>
      <c r="T39" s="108"/>
      <c r="U39" s="120">
        <f ca="1">SUMIFS(
  m.vb[valor],
  m.vb[nucleo],$N$1,
  m.vb[variavel],U$7,
  m.vb[mes],$A39
)</f>
        <v>0</v>
      </c>
      <c r="V39" s="120">
        <f ca="1">SUMIFS(
  m.vb[valor],
  m.vb[nucleo],$N$1,
  m.vb[variavel],V$7,
  m.vb[mes],$A39
)</f>
        <v>0</v>
      </c>
      <c r="W39" s="120">
        <f ca="1">SUMIFS(
  m.vb[valor],
  m.vb[nucleo],$N$1,
  m.vb[variavel],W$7,
  m.vb[mes],$A39
)</f>
        <v>0</v>
      </c>
      <c r="X39" s="120">
        <f ca="1">SUMIFS(
  m.vb[valor],
  m.vb[nucleo],$N$1,
  m.vb[variavel],X$7,
  m.vb[mes],$A39
)</f>
        <v>0</v>
      </c>
      <c r="Y39" s="121">
        <f ca="1">SUMIFS(
  m.vb[valor],
  m.vb[nucleo],$N$1,
  m.vb[variavel],Y$7,
  m.vb[mes],$A39
)</f>
        <v>0</v>
      </c>
      <c r="Z39" s="119">
        <f>COUNTIFS(
    tb_estq[empresa], Z$6,
    tb_estq[Data da venda / reserva], "&gt;=" &amp; $A39,
    tb_estq[Data da venda / reserva], "&lt;"  &amp; EOMONTH($A39,0) + 1
)</f>
        <v>0</v>
      </c>
      <c r="AA39" s="120">
        <f ca="1">SUMIFS(tb_rec_uni[2024-01-01],
INDIRECT("tb_rec_uni[natureza]"),"pro.soluto",
INDIRECT("tb_rec_uni[empresa]"),AA$6)</f>
        <v>0</v>
      </c>
      <c r="AB39" s="120">
        <f ca="1">SUMIFS(tb_rec_uni[2024-01-01],
INDIRECT("tb_rec_uni[natureza]"),"parcela.fin.total.ik",
INDIRECT("tb_rec_uni[empresa]"),AB$6)</f>
        <v>0</v>
      </c>
      <c r="AC39" s="120">
        <f ca="1">SUMIFS(tb_rec_uni[2024-01-01],
INDIRECT("tb_rec_uni[natureza]"),"taxa.extra",
INDIRECT("tb_rec_uni[empresa]"),AC$6)</f>
        <v>0</v>
      </c>
      <c r="AD39" s="108"/>
      <c r="AE39" s="120">
        <f ca="1">SUMIFS(
  m.vb[valor],
  m.vb[nucleo],$Z$1,
  m.vb[variavel],AE$7,
  m.vb[mes],$A39
)</f>
        <v>0</v>
      </c>
      <c r="AF39" s="120">
        <f ca="1">SUMIFS(
  m.vb[valor],
  m.vb[nucleo],$Z$1,
  m.vb[variavel],AF$7,
  m.vb[mes],$A39
)</f>
        <v>0</v>
      </c>
      <c r="AG39" s="120">
        <f ca="1">SUMIFS(
  m.vb[valor],
  m.vb[nucleo],$Z$1,
  m.vb[variavel],AG$7,
  m.vb[mes],$A39
)</f>
        <v>0</v>
      </c>
      <c r="AH39" s="120">
        <f ca="1">SUMIFS(
  m.vb[valor],
  m.vb[nucleo],$Z$1,
  m.vb[variavel],AH$7,
  m.vb[mes],$A39
)</f>
        <v>0</v>
      </c>
      <c r="AI39" s="121">
        <f ca="1">SUMIFS(
  m.vb[valor],
  m.vb[nucleo],$Z$1,
  m.vb[variavel],AI$7,
  m.vb[mes],$A39
)</f>
        <v>0</v>
      </c>
      <c r="AJ39" s="119">
        <f>COUNTIFS(
    tb_estq[empresa], AJ$6,
    tb_estq[Data da venda / reserva], "&gt;=" &amp; $A39,
    tb_estq[Data da venda / reserva], "&lt;"  &amp; EOMONTH($A39,0) + 1
)</f>
        <v>0</v>
      </c>
      <c r="AK39" s="120">
        <f ca="1">SUMIFS(tb_rec_uni[2024-01-01],
INDIRECT("tb_rec_uni[natureza]"),"pro.soluto",
INDIRECT("tb_rec_uni[empresa]"),AK$6)</f>
        <v>0</v>
      </c>
      <c r="AL39" s="120">
        <f ca="1">SUMIFS(tb_rec_uni[2024-01-01],
INDIRECT("tb_rec_uni[natureza]"),"repasse.cef.obra",
INDIRECT("tb_rec_uni[empresa]"),AL$6)</f>
        <v>0</v>
      </c>
      <c r="AM39" s="120">
        <f ca="1">SUMIFS(tb_rec_uni[2024-01-01],
INDIRECT("tb_rec_uni[natureza]"),"repasse.cef.terreno",
INDIRECT("tb_rec_uni[empresa]"),AM$6)</f>
        <v>0</v>
      </c>
      <c r="AN39" s="120">
        <v>0</v>
      </c>
      <c r="AO39" s="120">
        <f ca="1">SUMIFS(tb_rec_uni[2024-01-01],
INDIRECT("tb_rec_uni[natureza]"),"taxa.extra",
INDIRECT("tb_rec_uni[empresa]"),AO$6)</f>
        <v>0</v>
      </c>
      <c r="AP39" s="108"/>
      <c r="AQ39" s="120">
        <f ca="1">SUMIFS(
  m.vb[valor],
  m.vb[nucleo],$AJ$1,
  m.vb[variavel],AQ$7,
  m.vb[mes],$A39
)</f>
        <v>0</v>
      </c>
      <c r="AR39" s="120">
        <f ca="1">SUMIFS(
  m.vb[valor],
  m.vb[nucleo],$AJ$1,
  m.vb[variavel],AR$7,
  m.vb[mes],$A39
)</f>
        <v>0</v>
      </c>
      <c r="AS39" s="120">
        <f ca="1">SUMIFS(
  m.vb[valor],
  m.vb[nucleo],$AJ$1,
  m.vb[variavel],AS$7,
  m.vb[mes],$A39
)</f>
        <v>0</v>
      </c>
      <c r="AT39" s="120">
        <f ca="1">SUMIFS(
  m.vb[valor],
  m.vb[nucleo],$AJ$1,
  m.vb[variavel],AT$7,
  m.vb[mes],$A39
)</f>
        <v>0</v>
      </c>
      <c r="AU39" s="121">
        <f ca="1">SUMIFS(
  m.vb[valor],
  m.vb[nucleo],$AJ$1,
  m.vb[variavel],AU$7,
  m.vb[mes],$A39
)</f>
        <v>0</v>
      </c>
      <c r="AV39" s="119">
        <f>COUNTIFS(
    tb_estq[empresa], AV$6,
    tb_estq[Data da venda / reserva], "&gt;=" &amp; $A39,
    tb_estq[Data da venda / reserva], "&lt;"  &amp; EOMONTH($A39,0) + 1
)</f>
        <v>0</v>
      </c>
      <c r="AW39" s="120">
        <f ca="1">SUMIFS(tb_rec_uni[2024-01-01],
INDIRECT("tb_rec_uni[natureza]"),"pro.soluto",
INDIRECT("tb_rec_uni[empresa]"),AW$6)</f>
        <v>0</v>
      </c>
      <c r="AX39" s="120">
        <f ca="1">SUMIFS(tb_rec_uni[2024-01-01],
INDIRECT("tb_rec_uni[natureza]"),"repasse.cef.obra",
INDIRECT("tb_rec_uni[empresa]"),AX$6)</f>
        <v>0</v>
      </c>
      <c r="AY39" s="120">
        <f ca="1">SUMIFS(tb_rec_uni[2024-01-01],
INDIRECT("tb_rec_uni[natureza]"),"repasse.cef.terreno",
INDIRECT("tb_rec_uni[empresa]"),AY$6)</f>
        <v>0</v>
      </c>
      <c r="AZ39" s="120">
        <v>0</v>
      </c>
      <c r="BA39" s="120">
        <f ca="1">SUMIFS(tb_rec_uni[2024-01-01],
INDIRECT("tb_rec_uni[natureza]"),"taxa.extra",
INDIRECT("tb_rec_uni[empresa]"),BA$6)</f>
        <v>0</v>
      </c>
      <c r="BB39" s="108"/>
      <c r="BC39" s="120">
        <f ca="1">SUMIFS(
  m.vb[valor],
  m.vb[nucleo],$AV$1,
  m.vb[variavel],BC$7,
  m.vb[mes],$A39
)</f>
        <v>0</v>
      </c>
      <c r="BD39" s="120">
        <f ca="1">SUMIFS(
  m.vb[valor],
  m.vb[nucleo],$AV$1,
  m.vb[variavel],BD$7,
  m.vb[mes],$A39
)</f>
        <v>0</v>
      </c>
      <c r="BE39" s="120">
        <f ca="1">SUMIFS(
  m.vb[valor],
  m.vb[nucleo],$AV$1,
  m.vb[variavel],BE$7,
  m.vb[mes],$A39
)</f>
        <v>0</v>
      </c>
      <c r="BF39" s="120">
        <f ca="1">SUMIFS(
  m.vb[valor],
  m.vb[nucleo],$AV$1,
  m.vb[variavel],BF$7,
  m.vb[mes],$A39
)</f>
        <v>0</v>
      </c>
      <c r="BG39" s="121">
        <f ca="1">SUMIFS(
  m.vb[valor],
  m.vb[nucleo],$AV$1,
  m.vb[variavel],BG$7,
  m.vb[mes],$A39
)</f>
        <v>0</v>
      </c>
      <c r="BH39" s="119">
        <f>COUNTIFS(
    tb_estq[empresa], BH$6,
    tb_estq[Data da venda / reserva], "&gt;=" &amp; $A39,
    tb_estq[Data da venda / reserva], "&lt;"  &amp; EOMONTH($A39,0) + 1
)</f>
        <v>0</v>
      </c>
      <c r="BI39" s="120">
        <f ca="1">SUMIFS(tb_rec_uni[2024-01-01],
INDIRECT("tb_rec_uni[natureza]"),"pro.soluto",
INDIRECT("tb_rec_uni[empresa]"),BI$6)</f>
        <v>0</v>
      </c>
      <c r="BJ39" s="108">
        <v>0</v>
      </c>
      <c r="BK39" s="120">
        <f ca="1">SUMIFS(tb_rec_uni[2024-01-01],
INDIRECT("tb_rec_uni[natureza]"),"taxa.extra",
INDIRECT("tb_rec_uni[empresa]"),BK$6)</f>
        <v>0</v>
      </c>
      <c r="BL39" s="108"/>
      <c r="BM39" s="120">
        <f ca="1">SUMIFS(
  m.vb[valor],
  m.vb[nucleo],$BH$1,
  m.vb[variavel],BM$7,
  m.vb[mes],$A39
)</f>
        <v>0</v>
      </c>
      <c r="BN39" s="120">
        <f ca="1">SUMIFS(
  m.vb[valor],
  m.vb[nucleo],$BH$1,
  m.vb[variavel],BN$7,
  m.vb[mes],$A39
)</f>
        <v>0</v>
      </c>
      <c r="BO39" s="120">
        <f ca="1">SUMIFS(
  m.vb[valor],
  m.vb[nucleo],$BH$1,
  m.vb[variavel],BO$7,
  m.vb[mes],$A39
)</f>
        <v>0</v>
      </c>
      <c r="BP39" s="120">
        <f ca="1">SUMIFS(
  m.vb[valor],
  m.vb[nucleo],$BH$1,
  m.vb[variavel],BP$7,
  m.vb[mes],$A39
)</f>
        <v>0</v>
      </c>
      <c r="BQ39" s="121">
        <f ca="1">SUMIFS(
  m.vb[valor],
  m.vb[nucleo],$BH$1,
  m.vb[variavel],BQ$7,
  m.vb[mes],$A39
)</f>
        <v>0</v>
      </c>
      <c r="BR39" s="119">
        <f>COUNTIFS(
    tb_estq[empresa], BR$6,
    tb_estq[Data da venda / reserva], "&gt;=" &amp; $A39,
    tb_estq[Data da venda / reserva], "&lt;"  &amp; EOMONTH($A39,0) + 1
)</f>
        <v>0</v>
      </c>
      <c r="BS39" s="120">
        <f ca="1">SUMIFS(tb_rec_uni[2024-01-01],
INDIRECT("tb_rec_uni[natureza]"),"pro.soluto",
INDIRECT("tb_rec_uni[empresa]"),BS$6)</f>
        <v>0</v>
      </c>
      <c r="BT39" s="120">
        <f ca="1">SUMIFS(tb_rec_uni[2024-01-01],
INDIRECT("tb_rec_uni[natureza]"),"parcela.fin.total.ik",
INDIRECT("tb_rec_uni[empresa]"),BT$6)</f>
        <v>0</v>
      </c>
      <c r="BU39" s="120">
        <f ca="1">SUMIFS(tb_rec_uni[2024-01-01],
INDIRECT("tb_rec_uni[natureza]"),"taxa.extra",
INDIRECT("tb_rec_uni[empresa]"),BU$6)</f>
        <v>0</v>
      </c>
      <c r="BV39" s="108"/>
      <c r="BW39" s="120">
        <f ca="1">SUMIFS(
  m.vb[valor],
  m.vb[nucleo],$BR$1,
  m.vb[variavel],BW$7,
  m.vb[mes],$A39
)</f>
        <v>0</v>
      </c>
      <c r="BX39" s="120">
        <f ca="1">SUMIFS(
  m.vb[valor],
  m.vb[nucleo],$BR$1,
  m.vb[variavel],BX$7,
  m.vb[mes],$A39
)</f>
        <v>0</v>
      </c>
      <c r="BY39" s="120">
        <f ca="1">SUMIFS(
  m.vb[valor],
  m.vb[nucleo],$BR$1,
  m.vb[variavel],BY$7,
  m.vb[mes],$A39
)</f>
        <v>0</v>
      </c>
      <c r="BZ39" s="120">
        <f ca="1">SUMIFS(
  m.vb[valor],
  m.vb[nucleo],$BR$1,
  m.vb[variavel],BZ$7,
  m.vb[mes],$A39
)</f>
        <v>0</v>
      </c>
      <c r="CA39" s="121">
        <f ca="1">SUMIFS(
  m.vb[valor],
  m.vb[nucleo],$BR$1,
  m.vb[variavel],CA$7,
  m.vb[mes],$A39
)</f>
        <v>0</v>
      </c>
      <c r="CB39" s="119">
        <f>COUNTIFS(
    tb_estq[empresa], CB$6,
    tb_estq[Data da venda / reserva], "&gt;=" &amp; $A39,
    tb_estq[Data da venda / reserva], "&lt;"  &amp; EOMONTH($A39,0) + 1
)</f>
        <v>0</v>
      </c>
      <c r="CC39" s="120">
        <f ca="1">SUMIFS(tb_rec_uni[2024-01-01],
INDIRECT("tb_rec_uni[natureza]"),"pro.soluto",
INDIRECT("tb_rec_uni[empresa]"),CC$6)</f>
        <v>0</v>
      </c>
      <c r="CD39" s="120">
        <f ca="1">SUMIFS(tb_rec_uni[2024-01-01],
INDIRECT("tb_rec_uni[natureza]"),"repasse.cef.obra",
INDIRECT("tb_rec_uni[empresa]"),CD$6)</f>
        <v>0</v>
      </c>
      <c r="CE39" s="120">
        <f ca="1">SUMIFS(tb_rec_uni[2024-01-01],
INDIRECT("tb_rec_uni[natureza]"),"repasse.cef.terreno",
INDIRECT("tb_rec_uni[empresa]"),CE$6)</f>
        <v>0</v>
      </c>
      <c r="CF39" s="120">
        <v>0</v>
      </c>
      <c r="CG39" s="120">
        <f ca="1">SUMIFS(tb_rec_uni[2024-01-01],
INDIRECT("tb_rec_uni[natureza]"),"taxa.extra",
INDIRECT("tb_rec_uni[empresa]"),CG$6)</f>
        <v>0</v>
      </c>
      <c r="CH39" s="108"/>
      <c r="CI39" s="120">
        <f ca="1">SUMIFS(
  m.vb[valor],
  m.vb[nucleo],$CB$1,
  m.vb[variavel],CI$7,
  m.vb[mes],$A39
)</f>
        <v>0</v>
      </c>
      <c r="CJ39" s="120">
        <f ca="1">SUMIFS(
  m.vb[valor],
  m.vb[nucleo],$CB$1,
  m.vb[variavel],CJ$7,
  m.vb[mes],$A39
)</f>
        <v>0</v>
      </c>
      <c r="CK39" s="120">
        <f ca="1">SUMIFS(
  m.vb[valor],
  m.vb[nucleo],$CB$1,
  m.vb[variavel],CK$7,
  m.vb[mes],$A39
)</f>
        <v>0</v>
      </c>
      <c r="CL39" s="120">
        <f ca="1">SUMIFS(
  m.vb[valor],
  m.vb[nucleo],$CB$1,
  m.vb[variavel],CL$7,
  m.vb[mes],$A39
)</f>
        <v>0</v>
      </c>
      <c r="CM39" s="121">
        <f ca="1">SUMIFS(
  m.vb[valor],
  m.vb[nucleo],$CB$1,
  m.vb[variavel],CM$7,
  m.vb[mes],$A39
)</f>
        <v>0</v>
      </c>
      <c r="CN39" s="119">
        <f>COUNTIFS(
    tb_estq[empresa], CN$6,
    tb_estq[Data da venda / reserva], "&gt;=" &amp; $A39,
    tb_estq[Data da venda / reserva], "&lt;"  &amp; EOMONTH($A39,0) + 1
)</f>
        <v>0</v>
      </c>
      <c r="CO39" s="120">
        <f ca="1">SUMIFS(tb_rec_uni[2024-01-01],
INDIRECT("tb_rec_uni[natureza]"),"pro.soluto",
INDIRECT("tb_rec_uni[empresa]"),CO$6)</f>
        <v>0</v>
      </c>
      <c r="CP39" s="120">
        <f ca="1">SUMIFS(tb_rec_uni[2024-01-01],
INDIRECT("tb_rec_uni[natureza]"),"repasse.cef.obra",
INDIRECT("tb_rec_uni[empresa]"),CP$6)</f>
        <v>0</v>
      </c>
      <c r="CQ39" s="120">
        <f ca="1">SUMIFS(tb_rec_uni[2024-01-01],
INDIRECT("tb_rec_uni[natureza]"),"repasse.cef.terreno",
INDIRECT("tb_rec_uni[empresa]"),CQ$6)</f>
        <v>0</v>
      </c>
      <c r="CR39" s="120">
        <v>0</v>
      </c>
      <c r="CS39" s="120">
        <f ca="1">SUMIFS(tb_rec_uni[2024-01-01],
INDIRECT("tb_rec_uni[natureza]"),"taxa.extra",
INDIRECT("tb_rec_uni[empresa]"),CS$6)</f>
        <v>0</v>
      </c>
      <c r="CT39" s="108"/>
      <c r="CU39" s="120">
        <f ca="1">SUMIFS(
  m.vb[valor],
  m.vb[nucleo],$CN$1,
  m.vb[variavel],CU$7,
  m.vb[mes],$A39
)</f>
        <v>0</v>
      </c>
      <c r="CV39" s="120" cm="1">
        <f t="array" ref="CV39">SUMPRODUCT(
  IFERROR(--tb_desp[valor],0)*
  (tb_desp[nucleo]="UP MOVE VILA SONIA")*
  (tb_desp[categoria]=CV$7)*
  (tb_desp[data.pagamento]&gt;=$A39)*
  (tb_desp[data.pagamento]&lt;EOMONTH($A39,0)+1)
)</f>
        <v>0</v>
      </c>
      <c r="CW39" s="120" cm="1">
        <f t="array" ref="CW39">SUMPRODUCT(
  IFERROR(--tb_desp[valor],0)*
  (tb_desp[nucleo]="UP MOVE VILA SONIA")*
  (tb_desp[categoria]=CW$7)*
  (tb_desp[data.pagamento]&gt;=$A39)*
  (tb_desp[data.pagamento]&lt;EOMONTH($A39,0)+1)
)</f>
        <v>0</v>
      </c>
      <c r="CX39" s="120" cm="1">
        <f t="array" ref="CX39">SUMPRODUCT(
  IFERROR(--tb_desp[valor],0)*
  (tb_desp[nucleo]="UP MOVE VILA SONIA")*
  (tb_desp[categoria]=CX$7)*
  (tb_desp[data.pagamento]&gt;=$A39)*
  (tb_desp[data.pagamento]&lt;EOMONTH($A39,0)+1)
)</f>
        <v>0</v>
      </c>
      <c r="CY39" s="122" cm="1">
        <f t="array" ref="CY39">SUMPRODUCT(
  IFERROR(--tb_desp[valor],0)*
  (tb_desp[nucleo]="UP MOVE VILA SONIA")*
  (tb_desp[categoria]=CY$7)*
  (tb_desp[data.pagamento]&gt;=$A39)*
  (tb_desp[data.pagamento]&lt;EOMONTH($A39,0)+1)
)</f>
        <v>0</v>
      </c>
    </row>
    <row r="40" spans="1:103" x14ac:dyDescent="0.25">
      <c r="A40" s="118">
        <v>45323</v>
      </c>
      <c r="B40" s="119">
        <f>COUNTIFS(
    tb_estq[empresa], B$6,
    tb_estq[Data da venda / reserva], "&gt;=" &amp; $A40,
    tb_estq[Data da venda / reserva], "&lt;"  &amp; EOMONTH($A40,0) + 1
)</f>
        <v>0</v>
      </c>
      <c r="C40" s="120">
        <f ca="1">SUMIFS(tb_rec_uni[2024-02-01],
INDIRECT("tb_rec_uni[natureza]"),"pro.soluto",
INDIRECT("tb_rec_uni[empresa]"),C$6)</f>
        <v>0</v>
      </c>
      <c r="D40" s="120">
        <f ca="1">SUMIFS(tb_rec_uni[2024-02-01],
INDIRECT("tb_rec_uni[natureza]"),"repasse.cef.obra",
INDIRECT("tb_rec_uni[empresa]"),D$6)</f>
        <v>0</v>
      </c>
      <c r="E40" s="120">
        <f ca="1">SUMIFS(tb_rec_uni[2024-02-01],
INDIRECT("tb_rec_uni[natureza]"),"repasse.cef.terreno",
INDIRECT("tb_rec_uni[empresa]"),E$6)</f>
        <v>0</v>
      </c>
      <c r="F40" s="120">
        <v>0</v>
      </c>
      <c r="G40" s="120">
        <f ca="1">SUMIFS(tb_rec_uni[2024-02-01],
INDIRECT("tb_rec_uni[natureza]"),"taxa.extra",
INDIRECT("tb_rec_uni[empresa]"),G$6)</f>
        <v>0</v>
      </c>
      <c r="H40" s="108"/>
      <c r="I40" s="120">
        <f ca="1">SUMIFS(
  m.vb[valor],
  m.vb[nucleo],$B$1,
  m.vb[variavel],I$7,
  m.vb[mes],$A40
)</f>
        <v>0</v>
      </c>
      <c r="J40" s="120">
        <f ca="1">SUMIFS(
  m.vb[valor],
  m.vb[nucleo],$B$1,
  m.vb[variavel],J$7,
  m.vb[mes],$A40
)</f>
        <v>0</v>
      </c>
      <c r="K40" s="120">
        <f ca="1">SUMIFS(
  m.vb[valor],
  m.vb[nucleo],$B$1,
  m.vb[variavel],K$7,
  m.vb[mes],$A40
)</f>
        <v>0</v>
      </c>
      <c r="L40" s="120">
        <f ca="1">SUMIFS(
  m.vb[valor],
  m.vb[nucleo],$B$1,
  m.vb[variavel],L$7,
  m.vb[mes],$A40
)</f>
        <v>0</v>
      </c>
      <c r="M40" s="121">
        <f ca="1">SUMIFS(
  m.vb[valor],
  m.vb[nucleo],$B$1,
  m.vb[variavel],M$7,
  m.vb[mes],$A40
)</f>
        <v>0</v>
      </c>
      <c r="N40" s="119">
        <f>COUNTIFS(
    tb_estq[empresa], N$6,
    tb_estq[Data da venda / reserva], "&gt;=" &amp; $A40,
    tb_estq[Data da venda / reserva], "&lt;"  &amp; EOMONTH($A40,0) + 1
)</f>
        <v>0</v>
      </c>
      <c r="O40" s="120">
        <f ca="1">SUMIFS(tb_rec_uni[2024-02-01],
INDIRECT("tb_rec_uni[natureza]"),"pro.soluto",
INDIRECT("tb_rec_uni[empresa]"),O$6)</f>
        <v>0</v>
      </c>
      <c r="P40" s="120">
        <f ca="1">SUMIFS(tb_rec_uni[2024-02-01],
INDIRECT("tb_rec_uni[natureza]"),"repasse.cef.obra",
INDIRECT("tb_rec_uni[empresa]"),P$6)</f>
        <v>0</v>
      </c>
      <c r="Q40" s="120">
        <f ca="1">SUMIFS(tb_rec_uni[2024-02-01],
INDIRECT("tb_rec_uni[natureza]"),"repasse.cef.terreno",
INDIRECT("tb_rec_uni[empresa]"),Q$6)</f>
        <v>0</v>
      </c>
      <c r="R40" s="120">
        <v>641961.35</v>
      </c>
      <c r="S40" s="120">
        <f ca="1">SUMIFS(tb_rec_uni[2024-02-01],
INDIRECT("tb_rec_uni[natureza]"),"taxa.extra",
INDIRECT("tb_rec_uni[empresa]"),S$6)</f>
        <v>0</v>
      </c>
      <c r="T40" s="108"/>
      <c r="U40" s="120">
        <f ca="1">SUMIFS(
  m.vb[valor],
  m.vb[nucleo],$N$1,
  m.vb[variavel],U$7,
  m.vb[mes],$A40
)</f>
        <v>0</v>
      </c>
      <c r="V40" s="120">
        <f ca="1">SUMIFS(
  m.vb[valor],
  m.vb[nucleo],$N$1,
  m.vb[variavel],V$7,
  m.vb[mes],$A40
)</f>
        <v>0</v>
      </c>
      <c r="W40" s="120">
        <f ca="1">SUMIFS(
  m.vb[valor],
  m.vb[nucleo],$N$1,
  m.vb[variavel],W$7,
  m.vb[mes],$A40
)</f>
        <v>0</v>
      </c>
      <c r="X40" s="120">
        <f ca="1">SUMIFS(
  m.vb[valor],
  m.vb[nucleo],$N$1,
  m.vb[variavel],X$7,
  m.vb[mes],$A40
)</f>
        <v>0</v>
      </c>
      <c r="Y40" s="121">
        <f ca="1">SUMIFS(
  m.vb[valor],
  m.vb[nucleo],$N$1,
  m.vb[variavel],Y$7,
  m.vb[mes],$A40
)</f>
        <v>0</v>
      </c>
      <c r="Z40" s="119">
        <f>COUNTIFS(
    tb_estq[empresa], Z$6,
    tb_estq[Data da venda / reserva], "&gt;=" &amp; $A40,
    tb_estq[Data da venda / reserva], "&lt;"  &amp; EOMONTH($A40,0) + 1
)</f>
        <v>0</v>
      </c>
      <c r="AA40" s="120">
        <f ca="1">SUMIFS(tb_rec_uni[2024-02-01],
INDIRECT("tb_rec_uni[natureza]"),"pro.soluto",
INDIRECT("tb_rec_uni[empresa]"),AA$6)</f>
        <v>0</v>
      </c>
      <c r="AB40" s="120">
        <f ca="1">SUMIFS(tb_rec_uni[2024-02-01],
INDIRECT("tb_rec_uni[natureza]"),"parcela.fin.total.ik",
INDIRECT("tb_rec_uni[empresa]"),AB$6)</f>
        <v>0</v>
      </c>
      <c r="AC40" s="120">
        <f ca="1">SUMIFS(tb_rec_uni[2024-02-01],
INDIRECT("tb_rec_uni[natureza]"),"taxa.extra",
INDIRECT("tb_rec_uni[empresa]"),AC$6)</f>
        <v>0</v>
      </c>
      <c r="AD40" s="108"/>
      <c r="AE40" s="120">
        <f ca="1">SUMIFS(
  m.vb[valor],
  m.vb[nucleo],$Z$1,
  m.vb[variavel],AE$7,
  m.vb[mes],$A40
)</f>
        <v>0</v>
      </c>
      <c r="AF40" s="120">
        <f ca="1">SUMIFS(
  m.vb[valor],
  m.vb[nucleo],$Z$1,
  m.vb[variavel],AF$7,
  m.vb[mes],$A40
)</f>
        <v>0</v>
      </c>
      <c r="AG40" s="120">
        <f ca="1">SUMIFS(
  m.vb[valor],
  m.vb[nucleo],$Z$1,
  m.vb[variavel],AG$7,
  m.vb[mes],$A40
)</f>
        <v>0</v>
      </c>
      <c r="AH40" s="120">
        <f ca="1">SUMIFS(
  m.vb[valor],
  m.vb[nucleo],$Z$1,
  m.vb[variavel],AH$7,
  m.vb[mes],$A40
)</f>
        <v>0</v>
      </c>
      <c r="AI40" s="121">
        <f ca="1">SUMIFS(
  m.vb[valor],
  m.vb[nucleo],$Z$1,
  m.vb[variavel],AI$7,
  m.vb[mes],$A40
)</f>
        <v>0</v>
      </c>
      <c r="AJ40" s="119">
        <f>COUNTIFS(
    tb_estq[empresa], AJ$6,
    tb_estq[Data da venda / reserva], "&gt;=" &amp; $A40,
    tb_estq[Data da venda / reserva], "&lt;"  &amp; EOMONTH($A40,0) + 1
)</f>
        <v>0</v>
      </c>
      <c r="AK40" s="120">
        <f ca="1">SUMIFS(tb_rec_uni[2024-02-01],
INDIRECT("tb_rec_uni[natureza]"),"pro.soluto",
INDIRECT("tb_rec_uni[empresa]"),AK$6)</f>
        <v>0</v>
      </c>
      <c r="AL40" s="120">
        <f ca="1">SUMIFS(tb_rec_uni[2024-02-01],
INDIRECT("tb_rec_uni[natureza]"),"repasse.cef.obra",
INDIRECT("tb_rec_uni[empresa]"),AL$6)</f>
        <v>0</v>
      </c>
      <c r="AM40" s="120">
        <f ca="1">SUMIFS(tb_rec_uni[2024-02-01],
INDIRECT("tb_rec_uni[natureza]"),"repasse.cef.terreno",
INDIRECT("tb_rec_uni[empresa]"),AM$6)</f>
        <v>0</v>
      </c>
      <c r="AN40" s="120">
        <v>0</v>
      </c>
      <c r="AO40" s="120">
        <f ca="1">SUMIFS(tb_rec_uni[2024-02-01],
INDIRECT("tb_rec_uni[natureza]"),"taxa.extra",
INDIRECT("tb_rec_uni[empresa]"),AO$6)</f>
        <v>0</v>
      </c>
      <c r="AP40" s="108"/>
      <c r="AQ40" s="120">
        <f ca="1">SUMIFS(
  m.vb[valor],
  m.vb[nucleo],$AJ$1,
  m.vb[variavel],AQ$7,
  m.vb[mes],$A40
)</f>
        <v>0</v>
      </c>
      <c r="AR40" s="120">
        <f ca="1">SUMIFS(
  m.vb[valor],
  m.vb[nucleo],$AJ$1,
  m.vb[variavel],AR$7,
  m.vb[mes],$A40
)</f>
        <v>0</v>
      </c>
      <c r="AS40" s="120">
        <f ca="1">SUMIFS(
  m.vb[valor],
  m.vb[nucleo],$AJ$1,
  m.vb[variavel],AS$7,
  m.vb[mes],$A40
)</f>
        <v>0</v>
      </c>
      <c r="AT40" s="120">
        <f ca="1">SUMIFS(
  m.vb[valor],
  m.vb[nucleo],$AJ$1,
  m.vb[variavel],AT$7,
  m.vb[mes],$A40
)</f>
        <v>0</v>
      </c>
      <c r="AU40" s="121">
        <f ca="1">SUMIFS(
  m.vb[valor],
  m.vb[nucleo],$AJ$1,
  m.vb[variavel],AU$7,
  m.vb[mes],$A40
)</f>
        <v>0</v>
      </c>
      <c r="AV40" s="119">
        <f>COUNTIFS(
    tb_estq[empresa], AV$6,
    tb_estq[Data da venda / reserva], "&gt;=" &amp; $A40,
    tb_estq[Data da venda / reserva], "&lt;"  &amp; EOMONTH($A40,0) + 1
)</f>
        <v>0</v>
      </c>
      <c r="AW40" s="120">
        <f ca="1">SUMIFS(tb_rec_uni[2024-02-01],
INDIRECT("tb_rec_uni[natureza]"),"pro.soluto",
INDIRECT("tb_rec_uni[empresa]"),AW$6)</f>
        <v>0</v>
      </c>
      <c r="AX40" s="120">
        <f ca="1">SUMIFS(tb_rec_uni[2024-02-01],
INDIRECT("tb_rec_uni[natureza]"),"repasse.cef.obra",
INDIRECT("tb_rec_uni[empresa]"),AX$6)</f>
        <v>0</v>
      </c>
      <c r="AY40" s="120">
        <f ca="1">SUMIFS(tb_rec_uni[2024-02-01],
INDIRECT("tb_rec_uni[natureza]"),"repasse.cef.terreno",
INDIRECT("tb_rec_uni[empresa]"),AY$6)</f>
        <v>0</v>
      </c>
      <c r="AZ40" s="120">
        <v>0</v>
      </c>
      <c r="BA40" s="120">
        <f ca="1">SUMIFS(tb_rec_uni[2024-02-01],
INDIRECT("tb_rec_uni[natureza]"),"taxa.extra",
INDIRECT("tb_rec_uni[empresa]"),BA$6)</f>
        <v>0</v>
      </c>
      <c r="BB40" s="108"/>
      <c r="BC40" s="120">
        <f ca="1">SUMIFS(
  m.vb[valor],
  m.vb[nucleo],$AV$1,
  m.vb[variavel],BC$7,
  m.vb[mes],$A40
)</f>
        <v>0</v>
      </c>
      <c r="BD40" s="120">
        <f ca="1">SUMIFS(
  m.vb[valor],
  m.vb[nucleo],$AV$1,
  m.vb[variavel],BD$7,
  m.vb[mes],$A40
)</f>
        <v>0</v>
      </c>
      <c r="BE40" s="120">
        <f ca="1">SUMIFS(
  m.vb[valor],
  m.vb[nucleo],$AV$1,
  m.vb[variavel],BE$7,
  m.vb[mes],$A40
)</f>
        <v>0</v>
      </c>
      <c r="BF40" s="120">
        <f ca="1">SUMIFS(
  m.vb[valor],
  m.vb[nucleo],$AV$1,
  m.vb[variavel],BF$7,
  m.vb[mes],$A40
)</f>
        <v>0</v>
      </c>
      <c r="BG40" s="121">
        <f ca="1">SUMIFS(
  m.vb[valor],
  m.vb[nucleo],$AV$1,
  m.vb[variavel],BG$7,
  m.vb[mes],$A40
)</f>
        <v>0</v>
      </c>
      <c r="BH40" s="119">
        <f>COUNTIFS(
    tb_estq[empresa], BH$6,
    tb_estq[Data da venda / reserva], "&gt;=" &amp; $A40,
    tb_estq[Data da venda / reserva], "&lt;"  &amp; EOMONTH($A40,0) + 1
)</f>
        <v>0</v>
      </c>
      <c r="BI40" s="120">
        <f ca="1">SUMIFS(tb_rec_uni[2024-02-01],
INDIRECT("tb_rec_uni[natureza]"),"pro.soluto",
INDIRECT("tb_rec_uni[empresa]"),BI$6)</f>
        <v>0</v>
      </c>
      <c r="BJ40" s="108">
        <v>0</v>
      </c>
      <c r="BK40" s="120">
        <f ca="1">SUMIFS(tb_rec_uni[2024-02-01],
INDIRECT("tb_rec_uni[natureza]"),"taxa.extra",
INDIRECT("tb_rec_uni[empresa]"),BK$6)</f>
        <v>0</v>
      </c>
      <c r="BL40" s="108"/>
      <c r="BM40" s="120">
        <f ca="1">SUMIFS(
  m.vb[valor],
  m.vb[nucleo],$BH$1,
  m.vb[variavel],BM$7,
  m.vb[mes],$A40
)</f>
        <v>0</v>
      </c>
      <c r="BN40" s="120">
        <f ca="1">SUMIFS(
  m.vb[valor],
  m.vb[nucleo],$BH$1,
  m.vb[variavel],BN$7,
  m.vb[mes],$A40
)</f>
        <v>0</v>
      </c>
      <c r="BO40" s="120">
        <f ca="1">SUMIFS(
  m.vb[valor],
  m.vb[nucleo],$BH$1,
  m.vb[variavel],BO$7,
  m.vb[mes],$A40
)</f>
        <v>0</v>
      </c>
      <c r="BP40" s="120">
        <f ca="1">SUMIFS(
  m.vb[valor],
  m.vb[nucleo],$BH$1,
  m.vb[variavel],BP$7,
  m.vb[mes],$A40
)</f>
        <v>0</v>
      </c>
      <c r="BQ40" s="121">
        <f ca="1">SUMIFS(
  m.vb[valor],
  m.vb[nucleo],$BH$1,
  m.vb[variavel],BQ$7,
  m.vb[mes],$A40
)</f>
        <v>0</v>
      </c>
      <c r="BR40" s="119">
        <f>COUNTIFS(
    tb_estq[empresa], BR$6,
    tb_estq[Data da venda / reserva], "&gt;=" &amp; $A40,
    tb_estq[Data da venda / reserva], "&lt;"  &amp; EOMONTH($A40,0) + 1
)</f>
        <v>0</v>
      </c>
      <c r="BS40" s="120">
        <f ca="1">SUMIFS(tb_rec_uni[2024-02-01],
INDIRECT("tb_rec_uni[natureza]"),"pro.soluto",
INDIRECT("tb_rec_uni[empresa]"),BS$6)</f>
        <v>0</v>
      </c>
      <c r="BT40" s="120">
        <f ca="1">SUMIFS(tb_rec_uni[2024-02-01],
INDIRECT("tb_rec_uni[natureza]"),"parcela.fin.total.ik",
INDIRECT("tb_rec_uni[empresa]"),BT$6)</f>
        <v>0</v>
      </c>
      <c r="BU40" s="120">
        <f ca="1">SUMIFS(tb_rec_uni[2024-02-01],
INDIRECT("tb_rec_uni[natureza]"),"taxa.extra",
INDIRECT("tb_rec_uni[empresa]"),BU$6)</f>
        <v>0</v>
      </c>
      <c r="BV40" s="108"/>
      <c r="BW40" s="120">
        <f ca="1">SUMIFS(
  m.vb[valor],
  m.vb[nucleo],$BR$1,
  m.vb[variavel],BW$7,
  m.vb[mes],$A40
)</f>
        <v>0</v>
      </c>
      <c r="BX40" s="120">
        <f ca="1">SUMIFS(
  m.vb[valor],
  m.vb[nucleo],$BR$1,
  m.vb[variavel],BX$7,
  m.vb[mes],$A40
)</f>
        <v>0</v>
      </c>
      <c r="BY40" s="120">
        <f ca="1">SUMIFS(
  m.vb[valor],
  m.vb[nucleo],$BR$1,
  m.vb[variavel],BY$7,
  m.vb[mes],$A40
)</f>
        <v>0</v>
      </c>
      <c r="BZ40" s="120">
        <f ca="1">SUMIFS(
  m.vb[valor],
  m.vb[nucleo],$BR$1,
  m.vb[variavel],BZ$7,
  m.vb[mes],$A40
)</f>
        <v>0</v>
      </c>
      <c r="CA40" s="121">
        <f ca="1">SUMIFS(
  m.vb[valor],
  m.vb[nucleo],$BR$1,
  m.vb[variavel],CA$7,
  m.vb[mes],$A40
)</f>
        <v>0</v>
      </c>
      <c r="CB40" s="119">
        <f>COUNTIFS(
    tb_estq[empresa], CB$6,
    tb_estq[Data da venda / reserva], "&gt;=" &amp; $A40,
    tb_estq[Data da venda / reserva], "&lt;"  &amp; EOMONTH($A40,0) + 1
)</f>
        <v>0</v>
      </c>
      <c r="CC40" s="120">
        <f ca="1">SUMIFS(tb_rec_uni[2024-02-01],
INDIRECT("tb_rec_uni[natureza]"),"pro.soluto",
INDIRECT("tb_rec_uni[empresa]"),CC$6)</f>
        <v>0</v>
      </c>
      <c r="CD40" s="120">
        <f ca="1">SUMIFS(tb_rec_uni[2024-02-01],
INDIRECT("tb_rec_uni[natureza]"),"repasse.cef.obra",
INDIRECT("tb_rec_uni[empresa]"),CD$6)</f>
        <v>0</v>
      </c>
      <c r="CE40" s="120">
        <f ca="1">SUMIFS(tb_rec_uni[2024-02-01],
INDIRECT("tb_rec_uni[natureza]"),"repasse.cef.terreno",
INDIRECT("tb_rec_uni[empresa]"),CE$6)</f>
        <v>0</v>
      </c>
      <c r="CF40" s="120">
        <v>0</v>
      </c>
      <c r="CG40" s="120">
        <f ca="1">SUMIFS(tb_rec_uni[2024-02-01],
INDIRECT("tb_rec_uni[natureza]"),"taxa.extra",
INDIRECT("tb_rec_uni[empresa]"),CG$6)</f>
        <v>0</v>
      </c>
      <c r="CH40" s="108"/>
      <c r="CI40" s="120">
        <f ca="1">SUMIFS(
  m.vb[valor],
  m.vb[nucleo],$CB$1,
  m.vb[variavel],CI$7,
  m.vb[mes],$A40
)</f>
        <v>0</v>
      </c>
      <c r="CJ40" s="120">
        <f ca="1">SUMIFS(
  m.vb[valor],
  m.vb[nucleo],$CB$1,
  m.vb[variavel],CJ$7,
  m.vb[mes],$A40
)</f>
        <v>0</v>
      </c>
      <c r="CK40" s="120">
        <f ca="1">SUMIFS(
  m.vb[valor],
  m.vb[nucleo],$CB$1,
  m.vb[variavel],CK$7,
  m.vb[mes],$A40
)</f>
        <v>0</v>
      </c>
      <c r="CL40" s="120">
        <f ca="1">SUMIFS(
  m.vb[valor],
  m.vb[nucleo],$CB$1,
  m.vb[variavel],CL$7,
  m.vb[mes],$A40
)</f>
        <v>0</v>
      </c>
      <c r="CM40" s="121">
        <f ca="1">SUMIFS(
  m.vb[valor],
  m.vb[nucleo],$CB$1,
  m.vb[variavel],CM$7,
  m.vb[mes],$A40
)</f>
        <v>0</v>
      </c>
      <c r="CN40" s="119">
        <f>COUNTIFS(
    tb_estq[empresa], CN$6,
    tb_estq[Data da venda / reserva], "&gt;=" &amp; $A40,
    tb_estq[Data da venda / reserva], "&lt;"  &amp; EOMONTH($A40,0) + 1
)</f>
        <v>0</v>
      </c>
      <c r="CO40" s="120">
        <f ca="1">SUMIFS(tb_rec_uni[2024-02-01],
INDIRECT("tb_rec_uni[natureza]"),"pro.soluto",
INDIRECT("tb_rec_uni[empresa]"),CO$6)</f>
        <v>0</v>
      </c>
      <c r="CP40" s="120">
        <f ca="1">SUMIFS(tb_rec_uni[2024-02-01],
INDIRECT("tb_rec_uni[natureza]"),"repasse.cef.obra",
INDIRECT("tb_rec_uni[empresa]"),CP$6)</f>
        <v>0</v>
      </c>
      <c r="CQ40" s="120">
        <f ca="1">SUMIFS(tb_rec_uni[2024-02-01],
INDIRECT("tb_rec_uni[natureza]"),"repasse.cef.terreno",
INDIRECT("tb_rec_uni[empresa]"),CQ$6)</f>
        <v>0</v>
      </c>
      <c r="CR40" s="120">
        <v>0</v>
      </c>
      <c r="CS40" s="120">
        <f ca="1">SUMIFS(tb_rec_uni[2024-02-01],
INDIRECT("tb_rec_uni[natureza]"),"taxa.extra",
INDIRECT("tb_rec_uni[empresa]"),CS$6)</f>
        <v>0</v>
      </c>
      <c r="CT40" s="108"/>
      <c r="CU40" s="120">
        <f ca="1">SUMIFS(
  m.vb[valor],
  m.vb[nucleo],$CN$1,
  m.vb[variavel],CU$7,
  m.vb[mes],$A40
)</f>
        <v>0</v>
      </c>
      <c r="CV40" s="120" cm="1">
        <f t="array" ref="CV40">SUMPRODUCT(
  IFERROR(--tb_desp[valor],0)*
  (tb_desp[nucleo]="UP MOVE VILA SONIA")*
  (tb_desp[categoria]=CV$7)*
  (tb_desp[data.pagamento]&gt;=$A40)*
  (tb_desp[data.pagamento]&lt;EOMONTH($A40,0)+1)
)</f>
        <v>0</v>
      </c>
      <c r="CW40" s="120" cm="1">
        <f t="array" ref="CW40">SUMPRODUCT(
  IFERROR(--tb_desp[valor],0)*
  (tb_desp[nucleo]="UP MOVE VILA SONIA")*
  (tb_desp[categoria]=CW$7)*
  (tb_desp[data.pagamento]&gt;=$A40)*
  (tb_desp[data.pagamento]&lt;EOMONTH($A40,0)+1)
)</f>
        <v>0</v>
      </c>
      <c r="CX40" s="120" cm="1">
        <f t="array" ref="CX40">SUMPRODUCT(
  IFERROR(--tb_desp[valor],0)*
  (tb_desp[nucleo]="UP MOVE VILA SONIA")*
  (tb_desp[categoria]=CX$7)*
  (tb_desp[data.pagamento]&gt;=$A40)*
  (tb_desp[data.pagamento]&lt;EOMONTH($A40,0)+1)
)</f>
        <v>0</v>
      </c>
      <c r="CY40" s="122" cm="1">
        <f t="array" ref="CY40">SUMPRODUCT(
  IFERROR(--tb_desp[valor],0)*
  (tb_desp[nucleo]="UP MOVE VILA SONIA")*
  (tb_desp[categoria]=CY$7)*
  (tb_desp[data.pagamento]&gt;=$A40)*
  (tb_desp[data.pagamento]&lt;EOMONTH($A40,0)+1)
)</f>
        <v>0</v>
      </c>
    </row>
    <row r="41" spans="1:103" x14ac:dyDescent="0.25">
      <c r="A41" s="118">
        <v>45352</v>
      </c>
      <c r="B41" s="119">
        <f>COUNTIFS(
    tb_estq[empresa], B$6,
    tb_estq[Data da venda / reserva], "&gt;=" &amp; $A41,
    tb_estq[Data da venda / reserva], "&lt;"  &amp; EOMONTH($A41,0) + 1
)</f>
        <v>0</v>
      </c>
      <c r="C41" s="120">
        <f ca="1">SUMIFS(tb_rec_uni[2024-03-01],
INDIRECT("tb_rec_uni[natureza]"),"pro.soluto",
INDIRECT("tb_rec_uni[empresa]"),C$6)</f>
        <v>0</v>
      </c>
      <c r="D41" s="120">
        <f ca="1">SUMIFS(tb_rec_uni[2024-03-01],
INDIRECT("tb_rec_uni[natureza]"),"repasse.cef.obra",
INDIRECT("tb_rec_uni[empresa]"),D$6)</f>
        <v>0</v>
      </c>
      <c r="E41" s="120">
        <f ca="1">SUMIFS(tb_rec_uni[2024-03-01],
INDIRECT("tb_rec_uni[natureza]"),"repasse.cef.terreno",
INDIRECT("tb_rec_uni[empresa]"),E$6)</f>
        <v>0</v>
      </c>
      <c r="F41" s="120">
        <v>403051.79</v>
      </c>
      <c r="G41" s="120">
        <f ca="1">SUMIFS(tb_rec_uni[2024-03-01],
INDIRECT("tb_rec_uni[natureza]"),"taxa.extra",
INDIRECT("tb_rec_uni[empresa]"),G$6)</f>
        <v>0</v>
      </c>
      <c r="H41" s="108"/>
      <c r="I41" s="120">
        <f ca="1">SUMIFS(
  m.vb[valor],
  m.vb[nucleo],$B$1,
  m.vb[variavel],I$7,
  m.vb[mes],$A41
)</f>
        <v>0</v>
      </c>
      <c r="J41" s="120">
        <f ca="1">SUMIFS(
  m.vb[valor],
  m.vb[nucleo],$B$1,
  m.vb[variavel],J$7,
  m.vb[mes],$A41
)</f>
        <v>0</v>
      </c>
      <c r="K41" s="120">
        <f ca="1">SUMIFS(
  m.vb[valor],
  m.vb[nucleo],$B$1,
  m.vb[variavel],K$7,
  m.vb[mes],$A41
)</f>
        <v>0</v>
      </c>
      <c r="L41" s="120">
        <f ca="1">SUMIFS(
  m.vb[valor],
  m.vb[nucleo],$B$1,
  m.vb[variavel],L$7,
  m.vb[mes],$A41
)</f>
        <v>0</v>
      </c>
      <c r="M41" s="121">
        <f ca="1">SUMIFS(
  m.vb[valor],
  m.vb[nucleo],$B$1,
  m.vb[variavel],M$7,
  m.vb[mes],$A41
)</f>
        <v>0</v>
      </c>
      <c r="N41" s="119">
        <f>COUNTIFS(
    tb_estq[empresa], N$6,
    tb_estq[Data da venda / reserva], "&gt;=" &amp; $A41,
    tb_estq[Data da venda / reserva], "&lt;"  &amp; EOMONTH($A41,0) + 1
)</f>
        <v>0</v>
      </c>
      <c r="O41" s="120">
        <f ca="1">SUMIFS(tb_rec_uni[2024-03-01],
INDIRECT("tb_rec_uni[natureza]"),"pro.soluto",
INDIRECT("tb_rec_uni[empresa]"),O$6)</f>
        <v>0</v>
      </c>
      <c r="P41" s="120">
        <f ca="1">SUMIFS(tb_rec_uni[2024-03-01],
INDIRECT("tb_rec_uni[natureza]"),"repasse.cef.obra",
INDIRECT("tb_rec_uni[empresa]"),P$6)</f>
        <v>0</v>
      </c>
      <c r="Q41" s="120">
        <f ca="1">SUMIFS(tb_rec_uni[2024-03-01],
INDIRECT("tb_rec_uni[natureza]"),"repasse.cef.terreno",
INDIRECT("tb_rec_uni[empresa]"),Q$6)</f>
        <v>0</v>
      </c>
      <c r="R41" s="120">
        <v>412689.22</v>
      </c>
      <c r="S41" s="120">
        <f ca="1">SUMIFS(tb_rec_uni[2024-03-01],
INDIRECT("tb_rec_uni[natureza]"),"taxa.extra",
INDIRECT("tb_rec_uni[empresa]"),S$6)</f>
        <v>0</v>
      </c>
      <c r="T41" s="108"/>
      <c r="U41" s="120">
        <f ca="1">SUMIFS(
  m.vb[valor],
  m.vb[nucleo],$N$1,
  m.vb[variavel],U$7,
  m.vb[mes],$A41
)</f>
        <v>0</v>
      </c>
      <c r="V41" s="120">
        <f ca="1">SUMIFS(
  m.vb[valor],
  m.vb[nucleo],$N$1,
  m.vb[variavel],V$7,
  m.vb[mes],$A41
)</f>
        <v>0</v>
      </c>
      <c r="W41" s="120">
        <f ca="1">SUMIFS(
  m.vb[valor],
  m.vb[nucleo],$N$1,
  m.vb[variavel],W$7,
  m.vb[mes],$A41
)</f>
        <v>0</v>
      </c>
      <c r="X41" s="120">
        <f ca="1">SUMIFS(
  m.vb[valor],
  m.vb[nucleo],$N$1,
  m.vb[variavel],X$7,
  m.vb[mes],$A41
)</f>
        <v>0</v>
      </c>
      <c r="Y41" s="121">
        <f ca="1">SUMIFS(
  m.vb[valor],
  m.vb[nucleo],$N$1,
  m.vb[variavel],Y$7,
  m.vb[mes],$A41
)</f>
        <v>0</v>
      </c>
      <c r="Z41" s="119">
        <f>COUNTIFS(
    tb_estq[empresa], Z$6,
    tb_estq[Data da venda / reserva], "&gt;=" &amp; $A41,
    tb_estq[Data da venda / reserva], "&lt;"  &amp; EOMONTH($A41,0) + 1
)</f>
        <v>0</v>
      </c>
      <c r="AA41" s="120">
        <f ca="1">SUMIFS(tb_rec_uni[2024-03-01],
INDIRECT("tb_rec_uni[natureza]"),"pro.soluto",
INDIRECT("tb_rec_uni[empresa]"),AA$6)</f>
        <v>0</v>
      </c>
      <c r="AB41" s="120">
        <f ca="1">SUMIFS(tb_rec_uni[2024-03-01],
INDIRECT("tb_rec_uni[natureza]"),"parcela.fin.total.ik",
INDIRECT("tb_rec_uni[empresa]"),AB$6)</f>
        <v>0</v>
      </c>
      <c r="AC41" s="120">
        <f ca="1">SUMIFS(tb_rec_uni[2024-03-01],
INDIRECT("tb_rec_uni[natureza]"),"taxa.extra",
INDIRECT("tb_rec_uni[empresa]"),AC$6)</f>
        <v>0</v>
      </c>
      <c r="AD41" s="108"/>
      <c r="AE41" s="120">
        <f ca="1">SUMIFS(
  m.vb[valor],
  m.vb[nucleo],$Z$1,
  m.vb[variavel],AE$7,
  m.vb[mes],$A41
)</f>
        <v>0</v>
      </c>
      <c r="AF41" s="120">
        <f ca="1">SUMIFS(
  m.vb[valor],
  m.vb[nucleo],$Z$1,
  m.vb[variavel],AF$7,
  m.vb[mes],$A41
)</f>
        <v>0</v>
      </c>
      <c r="AG41" s="120">
        <f ca="1">SUMIFS(
  m.vb[valor],
  m.vb[nucleo],$Z$1,
  m.vb[variavel],AG$7,
  m.vb[mes],$A41
)</f>
        <v>0</v>
      </c>
      <c r="AH41" s="120">
        <f ca="1">SUMIFS(
  m.vb[valor],
  m.vb[nucleo],$Z$1,
  m.vb[variavel],AH$7,
  m.vb[mes],$A41
)</f>
        <v>0</v>
      </c>
      <c r="AI41" s="121">
        <f ca="1">SUMIFS(
  m.vb[valor],
  m.vb[nucleo],$Z$1,
  m.vb[variavel],AI$7,
  m.vb[mes],$A41
)</f>
        <v>0</v>
      </c>
      <c r="AJ41" s="119">
        <f>COUNTIFS(
    tb_estq[empresa], AJ$6,
    tb_estq[Data da venda / reserva], "&gt;=" &amp; $A41,
    tb_estq[Data da venda / reserva], "&lt;"  &amp; EOMONTH($A41,0) + 1
)</f>
        <v>0</v>
      </c>
      <c r="AK41" s="120">
        <f ca="1">SUMIFS(tb_rec_uni[2024-03-01],
INDIRECT("tb_rec_uni[natureza]"),"pro.soluto",
INDIRECT("tb_rec_uni[empresa]"),AK$6)</f>
        <v>0</v>
      </c>
      <c r="AL41" s="120">
        <f ca="1">SUMIFS(tb_rec_uni[2024-03-01],
INDIRECT("tb_rec_uni[natureza]"),"repasse.cef.obra",
INDIRECT("tb_rec_uni[empresa]"),AL$6)</f>
        <v>0</v>
      </c>
      <c r="AM41" s="120">
        <f ca="1">SUMIFS(tb_rec_uni[2024-03-01],
INDIRECT("tb_rec_uni[natureza]"),"repasse.cef.terreno",
INDIRECT("tb_rec_uni[empresa]"),AM$6)</f>
        <v>0</v>
      </c>
      <c r="AN41" s="120">
        <v>0</v>
      </c>
      <c r="AO41" s="120">
        <f ca="1">SUMIFS(tb_rec_uni[2024-03-01],
INDIRECT("tb_rec_uni[natureza]"),"taxa.extra",
INDIRECT("tb_rec_uni[empresa]"),AO$6)</f>
        <v>0</v>
      </c>
      <c r="AP41" s="108"/>
      <c r="AQ41" s="120">
        <f ca="1">SUMIFS(
  m.vb[valor],
  m.vb[nucleo],$AJ$1,
  m.vb[variavel],AQ$7,
  m.vb[mes],$A41
)</f>
        <v>0</v>
      </c>
      <c r="AR41" s="120">
        <f ca="1">SUMIFS(
  m.vb[valor],
  m.vb[nucleo],$AJ$1,
  m.vb[variavel],AR$7,
  m.vb[mes],$A41
)</f>
        <v>0</v>
      </c>
      <c r="AS41" s="120">
        <f ca="1">SUMIFS(
  m.vb[valor],
  m.vb[nucleo],$AJ$1,
  m.vb[variavel],AS$7,
  m.vb[mes],$A41
)</f>
        <v>0</v>
      </c>
      <c r="AT41" s="120">
        <f ca="1">SUMIFS(
  m.vb[valor],
  m.vb[nucleo],$AJ$1,
  m.vb[variavel],AT$7,
  m.vb[mes],$A41
)</f>
        <v>0</v>
      </c>
      <c r="AU41" s="121">
        <f ca="1">SUMIFS(
  m.vb[valor],
  m.vb[nucleo],$AJ$1,
  m.vb[variavel],AU$7,
  m.vb[mes],$A41
)</f>
        <v>0</v>
      </c>
      <c r="AV41" s="119">
        <f>COUNTIFS(
    tb_estq[empresa], AV$6,
    tb_estq[Data da venda / reserva], "&gt;=" &amp; $A41,
    tb_estq[Data da venda / reserva], "&lt;"  &amp; EOMONTH($A41,0) + 1
)</f>
        <v>0</v>
      </c>
      <c r="AW41" s="120">
        <f ca="1">SUMIFS(tb_rec_uni[2024-03-01],
INDIRECT("tb_rec_uni[natureza]"),"pro.soluto",
INDIRECT("tb_rec_uni[empresa]"),AW$6)</f>
        <v>0</v>
      </c>
      <c r="AX41" s="120">
        <f ca="1">SUMIFS(tb_rec_uni[2024-03-01],
INDIRECT("tb_rec_uni[natureza]"),"repasse.cef.obra",
INDIRECT("tb_rec_uni[empresa]"),AX$6)</f>
        <v>0</v>
      </c>
      <c r="AY41" s="120">
        <f ca="1">SUMIFS(tb_rec_uni[2024-03-01],
INDIRECT("tb_rec_uni[natureza]"),"repasse.cef.terreno",
INDIRECT("tb_rec_uni[empresa]"),AY$6)</f>
        <v>0</v>
      </c>
      <c r="AZ41" s="120">
        <v>0</v>
      </c>
      <c r="BA41" s="120">
        <f ca="1">SUMIFS(tb_rec_uni[2024-03-01],
INDIRECT("tb_rec_uni[natureza]"),"taxa.extra",
INDIRECT("tb_rec_uni[empresa]"),BA$6)</f>
        <v>0</v>
      </c>
      <c r="BB41" s="108"/>
      <c r="BC41" s="120">
        <f ca="1">SUMIFS(
  m.vb[valor],
  m.vb[nucleo],$AV$1,
  m.vb[variavel],BC$7,
  m.vb[mes],$A41
)</f>
        <v>0</v>
      </c>
      <c r="BD41" s="120">
        <f ca="1">SUMIFS(
  m.vb[valor],
  m.vb[nucleo],$AV$1,
  m.vb[variavel],BD$7,
  m.vb[mes],$A41
)</f>
        <v>0</v>
      </c>
      <c r="BE41" s="120">
        <f ca="1">SUMIFS(
  m.vb[valor],
  m.vb[nucleo],$AV$1,
  m.vb[variavel],BE$7,
  m.vb[mes],$A41
)</f>
        <v>0</v>
      </c>
      <c r="BF41" s="120">
        <f ca="1">SUMIFS(
  m.vb[valor],
  m.vb[nucleo],$AV$1,
  m.vb[variavel],BF$7,
  m.vb[mes],$A41
)</f>
        <v>0</v>
      </c>
      <c r="BG41" s="121">
        <f ca="1">SUMIFS(
  m.vb[valor],
  m.vb[nucleo],$AV$1,
  m.vb[variavel],BG$7,
  m.vb[mes],$A41
)</f>
        <v>0</v>
      </c>
      <c r="BH41" s="119">
        <f>COUNTIFS(
    tb_estq[empresa], BH$6,
    tb_estq[Data da venda / reserva], "&gt;=" &amp; $A41,
    tb_estq[Data da venda / reserva], "&lt;"  &amp; EOMONTH($A41,0) + 1
)</f>
        <v>0</v>
      </c>
      <c r="BI41" s="120">
        <f ca="1">SUMIFS(tb_rec_uni[2024-03-01],
INDIRECT("tb_rec_uni[natureza]"),"pro.soluto",
INDIRECT("tb_rec_uni[empresa]"),BI$6)</f>
        <v>0</v>
      </c>
      <c r="BJ41" s="108">
        <v>0</v>
      </c>
      <c r="BK41" s="120">
        <f ca="1">SUMIFS(tb_rec_uni[2024-03-01],
INDIRECT("tb_rec_uni[natureza]"),"taxa.extra",
INDIRECT("tb_rec_uni[empresa]"),BK$6)</f>
        <v>0</v>
      </c>
      <c r="BL41" s="108"/>
      <c r="BM41" s="120">
        <f ca="1">SUMIFS(
  m.vb[valor],
  m.vb[nucleo],$BH$1,
  m.vb[variavel],BM$7,
  m.vb[mes],$A41
)</f>
        <v>0</v>
      </c>
      <c r="BN41" s="120">
        <f ca="1">SUMIFS(
  m.vb[valor],
  m.vb[nucleo],$BH$1,
  m.vb[variavel],BN$7,
  m.vb[mes],$A41
)</f>
        <v>0</v>
      </c>
      <c r="BO41" s="120">
        <f ca="1">SUMIFS(
  m.vb[valor],
  m.vb[nucleo],$BH$1,
  m.vb[variavel],BO$7,
  m.vb[mes],$A41
)</f>
        <v>0</v>
      </c>
      <c r="BP41" s="120">
        <f ca="1">SUMIFS(
  m.vb[valor],
  m.vb[nucleo],$BH$1,
  m.vb[variavel],BP$7,
  m.vb[mes],$A41
)</f>
        <v>0</v>
      </c>
      <c r="BQ41" s="121">
        <f ca="1">SUMIFS(
  m.vb[valor],
  m.vb[nucleo],$BH$1,
  m.vb[variavel],BQ$7,
  m.vb[mes],$A41
)</f>
        <v>0</v>
      </c>
      <c r="BR41" s="119">
        <f>COUNTIFS(
    tb_estq[empresa], BR$6,
    tb_estq[Data da venda / reserva], "&gt;=" &amp; $A41,
    tb_estq[Data da venda / reserva], "&lt;"  &amp; EOMONTH($A41,0) + 1
)</f>
        <v>0</v>
      </c>
      <c r="BS41" s="120">
        <f ca="1">SUMIFS(tb_rec_uni[2024-03-01],
INDIRECT("tb_rec_uni[natureza]"),"pro.soluto",
INDIRECT("tb_rec_uni[empresa]"),BS$6)</f>
        <v>0</v>
      </c>
      <c r="BT41" s="120">
        <f ca="1">SUMIFS(tb_rec_uni[2024-03-01],
INDIRECT("tb_rec_uni[natureza]"),"parcela.fin.total.ik",
INDIRECT("tb_rec_uni[empresa]"),BT$6)</f>
        <v>0</v>
      </c>
      <c r="BU41" s="120">
        <f ca="1">SUMIFS(tb_rec_uni[2024-03-01],
INDIRECT("tb_rec_uni[natureza]"),"taxa.extra",
INDIRECT("tb_rec_uni[empresa]"),BU$6)</f>
        <v>0</v>
      </c>
      <c r="BV41" s="108"/>
      <c r="BW41" s="120">
        <f ca="1">SUMIFS(
  m.vb[valor],
  m.vb[nucleo],$BR$1,
  m.vb[variavel],BW$7,
  m.vb[mes],$A41
)</f>
        <v>0</v>
      </c>
      <c r="BX41" s="120">
        <f ca="1">SUMIFS(
  m.vb[valor],
  m.vb[nucleo],$BR$1,
  m.vb[variavel],BX$7,
  m.vb[mes],$A41
)</f>
        <v>0</v>
      </c>
      <c r="BY41" s="120">
        <f ca="1">SUMIFS(
  m.vb[valor],
  m.vb[nucleo],$BR$1,
  m.vb[variavel],BY$7,
  m.vb[mes],$A41
)</f>
        <v>0</v>
      </c>
      <c r="BZ41" s="120">
        <f ca="1">SUMIFS(
  m.vb[valor],
  m.vb[nucleo],$BR$1,
  m.vb[variavel],BZ$7,
  m.vb[mes],$A41
)</f>
        <v>0</v>
      </c>
      <c r="CA41" s="121">
        <f ca="1">SUMIFS(
  m.vb[valor],
  m.vb[nucleo],$BR$1,
  m.vb[variavel],CA$7,
  m.vb[mes],$A41
)</f>
        <v>0</v>
      </c>
      <c r="CB41" s="119">
        <f>COUNTIFS(
    tb_estq[empresa], CB$6,
    tb_estq[Data da venda / reserva], "&gt;=" &amp; $A41,
    tb_estq[Data da venda / reserva], "&lt;"  &amp; EOMONTH($A41,0) + 1
)</f>
        <v>0</v>
      </c>
      <c r="CC41" s="120">
        <f ca="1">SUMIFS(tb_rec_uni[2024-03-01],
INDIRECT("tb_rec_uni[natureza]"),"pro.soluto",
INDIRECT("tb_rec_uni[empresa]"),CC$6)</f>
        <v>0</v>
      </c>
      <c r="CD41" s="120">
        <f ca="1">SUMIFS(tb_rec_uni[2024-03-01],
INDIRECT("tb_rec_uni[natureza]"),"repasse.cef.obra",
INDIRECT("tb_rec_uni[empresa]"),CD$6)</f>
        <v>0</v>
      </c>
      <c r="CE41" s="120">
        <f ca="1">SUMIFS(tb_rec_uni[2024-03-01],
INDIRECT("tb_rec_uni[natureza]"),"repasse.cef.terreno",
INDIRECT("tb_rec_uni[empresa]"),CE$6)</f>
        <v>0</v>
      </c>
      <c r="CF41" s="120">
        <v>0</v>
      </c>
      <c r="CG41" s="120">
        <f ca="1">SUMIFS(tb_rec_uni[2024-03-01],
INDIRECT("tb_rec_uni[natureza]"),"taxa.extra",
INDIRECT("tb_rec_uni[empresa]"),CG$6)</f>
        <v>0</v>
      </c>
      <c r="CH41" s="108"/>
      <c r="CI41" s="120">
        <f ca="1">SUMIFS(
  m.vb[valor],
  m.vb[nucleo],$CB$1,
  m.vb[variavel],CI$7,
  m.vb[mes],$A41
)</f>
        <v>0</v>
      </c>
      <c r="CJ41" s="120">
        <f ca="1">SUMIFS(
  m.vb[valor],
  m.vb[nucleo],$CB$1,
  m.vb[variavel],CJ$7,
  m.vb[mes],$A41
)</f>
        <v>0</v>
      </c>
      <c r="CK41" s="120">
        <f ca="1">SUMIFS(
  m.vb[valor],
  m.vb[nucleo],$CB$1,
  m.vb[variavel],CK$7,
  m.vb[mes],$A41
)</f>
        <v>0</v>
      </c>
      <c r="CL41" s="120">
        <f ca="1">SUMIFS(
  m.vb[valor],
  m.vb[nucleo],$CB$1,
  m.vb[variavel],CL$7,
  m.vb[mes],$A41
)</f>
        <v>0</v>
      </c>
      <c r="CM41" s="121">
        <f ca="1">SUMIFS(
  m.vb[valor],
  m.vb[nucleo],$CB$1,
  m.vb[variavel],CM$7,
  m.vb[mes],$A41
)</f>
        <v>0</v>
      </c>
      <c r="CN41" s="119">
        <f>COUNTIFS(
    tb_estq[empresa], CN$6,
    tb_estq[Data da venda / reserva], "&gt;=" &amp; $A41,
    tb_estq[Data da venda / reserva], "&lt;"  &amp; EOMONTH($A41,0) + 1
)</f>
        <v>0</v>
      </c>
      <c r="CO41" s="120">
        <f ca="1">SUMIFS(tb_rec_uni[2024-03-01],
INDIRECT("tb_rec_uni[natureza]"),"pro.soluto",
INDIRECT("tb_rec_uni[empresa]"),CO$6)</f>
        <v>0</v>
      </c>
      <c r="CP41" s="120">
        <f ca="1">SUMIFS(tb_rec_uni[2024-03-01],
INDIRECT("tb_rec_uni[natureza]"),"repasse.cef.obra",
INDIRECT("tb_rec_uni[empresa]"),CP$6)</f>
        <v>0</v>
      </c>
      <c r="CQ41" s="120">
        <f ca="1">SUMIFS(tb_rec_uni[2024-03-01],
INDIRECT("tb_rec_uni[natureza]"),"repasse.cef.terreno",
INDIRECT("tb_rec_uni[empresa]"),CQ$6)</f>
        <v>0</v>
      </c>
      <c r="CR41" s="120">
        <v>0</v>
      </c>
      <c r="CS41" s="120">
        <f ca="1">SUMIFS(tb_rec_uni[2024-03-01],
INDIRECT("tb_rec_uni[natureza]"),"taxa.extra",
INDIRECT("tb_rec_uni[empresa]"),CS$6)</f>
        <v>0</v>
      </c>
      <c r="CT41" s="108"/>
      <c r="CU41" s="120">
        <f ca="1">SUMIFS(
  m.vb[valor],
  m.vb[nucleo],$CN$1,
  m.vb[variavel],CU$7,
  m.vb[mes],$A41
)</f>
        <v>0</v>
      </c>
      <c r="CV41" s="120" cm="1">
        <f t="array" ref="CV41">SUMPRODUCT(
  IFERROR(--tb_desp[valor],0)*
  (tb_desp[nucleo]="UP MOVE VILA SONIA")*
  (tb_desp[categoria]=CV$7)*
  (tb_desp[data.pagamento]&gt;=$A41)*
  (tb_desp[data.pagamento]&lt;EOMONTH($A41,0)+1)
)</f>
        <v>0</v>
      </c>
      <c r="CW41" s="120" cm="1">
        <f t="array" ref="CW41">SUMPRODUCT(
  IFERROR(--tb_desp[valor],0)*
  (tb_desp[nucleo]="UP MOVE VILA SONIA")*
  (tb_desp[categoria]=CW$7)*
  (tb_desp[data.pagamento]&gt;=$A41)*
  (tb_desp[data.pagamento]&lt;EOMONTH($A41,0)+1)
)</f>
        <v>0</v>
      </c>
      <c r="CX41" s="120" cm="1">
        <f t="array" ref="CX41">SUMPRODUCT(
  IFERROR(--tb_desp[valor],0)*
  (tb_desp[nucleo]="UP MOVE VILA SONIA")*
  (tb_desp[categoria]=CX$7)*
  (tb_desp[data.pagamento]&gt;=$A41)*
  (tb_desp[data.pagamento]&lt;EOMONTH($A41,0)+1)
)</f>
        <v>0</v>
      </c>
      <c r="CY41" s="122" cm="1">
        <f t="array" ref="CY41">SUMPRODUCT(
  IFERROR(--tb_desp[valor],0)*
  (tb_desp[nucleo]="UP MOVE VILA SONIA")*
  (tb_desp[categoria]=CY$7)*
  (tb_desp[data.pagamento]&gt;=$A41)*
  (tb_desp[data.pagamento]&lt;EOMONTH($A41,0)+1)
)</f>
        <v>0</v>
      </c>
    </row>
    <row r="42" spans="1:103" x14ac:dyDescent="0.25">
      <c r="A42" s="118">
        <v>45383</v>
      </c>
      <c r="B42" s="119">
        <f>COUNTIFS(
    tb_estq[empresa], B$6,
    tb_estq[Data da venda / reserva], "&gt;=" &amp; $A42,
    tb_estq[Data da venda / reserva], "&lt;"  &amp; EOMONTH($A42,0) + 1
)</f>
        <v>0</v>
      </c>
      <c r="C42" s="120">
        <f ca="1">SUMIFS(tb_rec_uni[2024-04-01],
INDIRECT("tb_rec_uni[natureza]"),"pro.soluto",
INDIRECT("tb_rec_uni[empresa]"),C$6)</f>
        <v>0</v>
      </c>
      <c r="D42" s="120">
        <f ca="1">SUMIFS(tb_rec_uni[2024-04-01],
INDIRECT("tb_rec_uni[natureza]"),"repasse.cef.obra",
INDIRECT("tb_rec_uni[empresa]"),D$6)</f>
        <v>0</v>
      </c>
      <c r="E42" s="120">
        <f ca="1">SUMIFS(tb_rec_uni[2024-04-01],
INDIRECT("tb_rec_uni[natureza]"),"repasse.cef.terreno",
INDIRECT("tb_rec_uni[empresa]"),E$6)</f>
        <v>0</v>
      </c>
      <c r="F42" s="120">
        <v>516683.36</v>
      </c>
      <c r="G42" s="120">
        <f ca="1">SUMIFS(tb_rec_uni[2024-04-01],
INDIRECT("tb_rec_uni[natureza]"),"taxa.extra",
INDIRECT("tb_rec_uni[empresa]"),G$6)</f>
        <v>0</v>
      </c>
      <c r="H42" s="108"/>
      <c r="I42" s="120">
        <f ca="1">SUMIFS(
  m.vb[valor],
  m.vb[nucleo],$B$1,
  m.vb[variavel],I$7,
  m.vb[mes],$A42
)</f>
        <v>0</v>
      </c>
      <c r="J42" s="120">
        <f ca="1">SUMIFS(
  m.vb[valor],
  m.vb[nucleo],$B$1,
  m.vb[variavel],J$7,
  m.vb[mes],$A42
)</f>
        <v>0</v>
      </c>
      <c r="K42" s="120">
        <f ca="1">SUMIFS(
  m.vb[valor],
  m.vb[nucleo],$B$1,
  m.vb[variavel],K$7,
  m.vb[mes],$A42
)</f>
        <v>0</v>
      </c>
      <c r="L42" s="120">
        <f ca="1">SUMIFS(
  m.vb[valor],
  m.vb[nucleo],$B$1,
  m.vb[variavel],L$7,
  m.vb[mes],$A42
)</f>
        <v>0</v>
      </c>
      <c r="M42" s="121">
        <f ca="1">SUMIFS(
  m.vb[valor],
  m.vb[nucleo],$B$1,
  m.vb[variavel],M$7,
  m.vb[mes],$A42
)</f>
        <v>0</v>
      </c>
      <c r="N42" s="119">
        <f>COUNTIFS(
    tb_estq[empresa], N$6,
    tb_estq[Data da venda / reserva], "&gt;=" &amp; $A42,
    tb_estq[Data da venda / reserva], "&lt;"  &amp; EOMONTH($A42,0) + 1
)</f>
        <v>0</v>
      </c>
      <c r="O42" s="120">
        <f ca="1">SUMIFS(tb_rec_uni[2024-04-01],
INDIRECT("tb_rec_uni[natureza]"),"pro.soluto",
INDIRECT("tb_rec_uni[empresa]"),O$6)</f>
        <v>0</v>
      </c>
      <c r="P42" s="120">
        <f ca="1">SUMIFS(tb_rec_uni[2024-04-01],
INDIRECT("tb_rec_uni[natureza]"),"repasse.cef.obra",
INDIRECT("tb_rec_uni[empresa]"),P$6)</f>
        <v>0</v>
      </c>
      <c r="Q42" s="120">
        <f ca="1">SUMIFS(tb_rec_uni[2024-04-01],
INDIRECT("tb_rec_uni[natureza]"),"repasse.cef.terreno",
INDIRECT("tb_rec_uni[empresa]"),Q$6)</f>
        <v>0</v>
      </c>
      <c r="R42" s="120">
        <v>556963.03</v>
      </c>
      <c r="S42" s="120">
        <f ca="1">SUMIFS(tb_rec_uni[2024-04-01],
INDIRECT("tb_rec_uni[natureza]"),"taxa.extra",
INDIRECT("tb_rec_uni[empresa]"),S$6)</f>
        <v>0</v>
      </c>
      <c r="T42" s="108"/>
      <c r="U42" s="120">
        <f ca="1">SUMIFS(
  m.vb[valor],
  m.vb[nucleo],$N$1,
  m.vb[variavel],U$7,
  m.vb[mes],$A42
)</f>
        <v>0</v>
      </c>
      <c r="V42" s="120">
        <f ca="1">SUMIFS(
  m.vb[valor],
  m.vb[nucleo],$N$1,
  m.vb[variavel],V$7,
  m.vb[mes],$A42
)</f>
        <v>0</v>
      </c>
      <c r="W42" s="120">
        <f ca="1">SUMIFS(
  m.vb[valor],
  m.vb[nucleo],$N$1,
  m.vb[variavel],W$7,
  m.vb[mes],$A42
)</f>
        <v>0</v>
      </c>
      <c r="X42" s="120">
        <f ca="1">SUMIFS(
  m.vb[valor],
  m.vb[nucleo],$N$1,
  m.vb[variavel],X$7,
  m.vb[mes],$A42
)</f>
        <v>0</v>
      </c>
      <c r="Y42" s="121">
        <f ca="1">SUMIFS(
  m.vb[valor],
  m.vb[nucleo],$N$1,
  m.vb[variavel],Y$7,
  m.vb[mes],$A42
)</f>
        <v>0</v>
      </c>
      <c r="Z42" s="119">
        <f>COUNTIFS(
    tb_estq[empresa], Z$6,
    tb_estq[Data da venda / reserva], "&gt;=" &amp; $A42,
    tb_estq[Data da venda / reserva], "&lt;"  &amp; EOMONTH($A42,0) + 1
)</f>
        <v>0</v>
      </c>
      <c r="AA42" s="120">
        <f ca="1">SUMIFS(tb_rec_uni[2024-04-01],
INDIRECT("tb_rec_uni[natureza]"),"pro.soluto",
INDIRECT("tb_rec_uni[empresa]"),AA$6)</f>
        <v>0</v>
      </c>
      <c r="AB42" s="120">
        <f ca="1">SUMIFS(tb_rec_uni[2024-04-01],
INDIRECT("tb_rec_uni[natureza]"),"parcela.fin.total.ik",
INDIRECT("tb_rec_uni[empresa]"),AB$6)</f>
        <v>0</v>
      </c>
      <c r="AC42" s="120">
        <f ca="1">SUMIFS(tb_rec_uni[2024-04-01],
INDIRECT("tb_rec_uni[natureza]"),"taxa.extra",
INDIRECT("tb_rec_uni[empresa]"),AC$6)</f>
        <v>0</v>
      </c>
      <c r="AD42" s="108"/>
      <c r="AE42" s="120">
        <f ca="1">SUMIFS(
  m.vb[valor],
  m.vb[nucleo],$Z$1,
  m.vb[variavel],AE$7,
  m.vb[mes],$A42
)</f>
        <v>0</v>
      </c>
      <c r="AF42" s="120">
        <f ca="1">SUMIFS(
  m.vb[valor],
  m.vb[nucleo],$Z$1,
  m.vb[variavel],AF$7,
  m.vb[mes],$A42
)</f>
        <v>0</v>
      </c>
      <c r="AG42" s="120">
        <f ca="1">SUMIFS(
  m.vb[valor],
  m.vb[nucleo],$Z$1,
  m.vb[variavel],AG$7,
  m.vb[mes],$A42
)</f>
        <v>0</v>
      </c>
      <c r="AH42" s="120">
        <f ca="1">SUMIFS(
  m.vb[valor],
  m.vb[nucleo],$Z$1,
  m.vb[variavel],AH$7,
  m.vb[mes],$A42
)</f>
        <v>0</v>
      </c>
      <c r="AI42" s="121">
        <f ca="1">SUMIFS(
  m.vb[valor],
  m.vb[nucleo],$Z$1,
  m.vb[variavel],AI$7,
  m.vb[mes],$A42
)</f>
        <v>0</v>
      </c>
      <c r="AJ42" s="119">
        <f>COUNTIFS(
    tb_estq[empresa], AJ$6,
    tb_estq[Data da venda / reserva], "&gt;=" &amp; $A42,
    tb_estq[Data da venda / reserva], "&lt;"  &amp; EOMONTH($A42,0) + 1
)</f>
        <v>0</v>
      </c>
      <c r="AK42" s="120">
        <f ca="1">SUMIFS(tb_rec_uni[2024-04-01],
INDIRECT("tb_rec_uni[natureza]"),"pro.soluto",
INDIRECT("tb_rec_uni[empresa]"),AK$6)</f>
        <v>0</v>
      </c>
      <c r="AL42" s="120">
        <f ca="1">SUMIFS(tb_rec_uni[2024-04-01],
INDIRECT("tb_rec_uni[natureza]"),"repasse.cef.obra",
INDIRECT("tb_rec_uni[empresa]"),AL$6)</f>
        <v>0</v>
      </c>
      <c r="AM42" s="120">
        <f ca="1">SUMIFS(tb_rec_uni[2024-04-01],
INDIRECT("tb_rec_uni[natureza]"),"repasse.cef.terreno",
INDIRECT("tb_rec_uni[empresa]"),AM$6)</f>
        <v>0</v>
      </c>
      <c r="AN42" s="120">
        <v>0</v>
      </c>
      <c r="AO42" s="120">
        <f ca="1">SUMIFS(tb_rec_uni[2024-04-01],
INDIRECT("tb_rec_uni[natureza]"),"taxa.extra",
INDIRECT("tb_rec_uni[empresa]"),AO$6)</f>
        <v>0</v>
      </c>
      <c r="AP42" s="108"/>
      <c r="AQ42" s="120">
        <f ca="1">SUMIFS(
  m.vb[valor],
  m.vb[nucleo],$AJ$1,
  m.vb[variavel],AQ$7,
  m.vb[mes],$A42
)</f>
        <v>0</v>
      </c>
      <c r="AR42" s="120">
        <f ca="1">SUMIFS(
  m.vb[valor],
  m.vb[nucleo],$AJ$1,
  m.vb[variavel],AR$7,
  m.vb[mes],$A42
)</f>
        <v>0</v>
      </c>
      <c r="AS42" s="120">
        <f ca="1">SUMIFS(
  m.vb[valor],
  m.vb[nucleo],$AJ$1,
  m.vb[variavel],AS$7,
  m.vb[mes],$A42
)</f>
        <v>0</v>
      </c>
      <c r="AT42" s="120">
        <f ca="1">SUMIFS(
  m.vb[valor],
  m.vb[nucleo],$AJ$1,
  m.vb[variavel],AT$7,
  m.vb[mes],$A42
)</f>
        <v>0</v>
      </c>
      <c r="AU42" s="121">
        <f ca="1">SUMIFS(
  m.vb[valor],
  m.vb[nucleo],$AJ$1,
  m.vb[variavel],AU$7,
  m.vb[mes],$A42
)</f>
        <v>0</v>
      </c>
      <c r="AV42" s="119">
        <f>COUNTIFS(
    tb_estq[empresa], AV$6,
    tb_estq[Data da venda / reserva], "&gt;=" &amp; $A42,
    tb_estq[Data da venda / reserva], "&lt;"  &amp; EOMONTH($A42,0) + 1
)</f>
        <v>0</v>
      </c>
      <c r="AW42" s="120">
        <f ca="1">SUMIFS(tb_rec_uni[2024-04-01],
INDIRECT("tb_rec_uni[natureza]"),"pro.soluto",
INDIRECT("tb_rec_uni[empresa]"),AW$6)</f>
        <v>0</v>
      </c>
      <c r="AX42" s="120">
        <f ca="1">SUMIFS(tb_rec_uni[2024-04-01],
INDIRECT("tb_rec_uni[natureza]"),"repasse.cef.obra",
INDIRECT("tb_rec_uni[empresa]"),AX$6)</f>
        <v>0</v>
      </c>
      <c r="AY42" s="120">
        <f ca="1">SUMIFS(tb_rec_uni[2024-04-01],
INDIRECT("tb_rec_uni[natureza]"),"repasse.cef.terreno",
INDIRECT("tb_rec_uni[empresa]"),AY$6)</f>
        <v>0</v>
      </c>
      <c r="AZ42" s="120">
        <v>0</v>
      </c>
      <c r="BA42" s="120">
        <f ca="1">SUMIFS(tb_rec_uni[2024-04-01],
INDIRECT("tb_rec_uni[natureza]"),"taxa.extra",
INDIRECT("tb_rec_uni[empresa]"),BA$6)</f>
        <v>0</v>
      </c>
      <c r="BB42" s="108"/>
      <c r="BC42" s="120">
        <f ca="1">SUMIFS(
  m.vb[valor],
  m.vb[nucleo],$AV$1,
  m.vb[variavel],BC$7,
  m.vb[mes],$A42
)</f>
        <v>0</v>
      </c>
      <c r="BD42" s="120">
        <f ca="1">SUMIFS(
  m.vb[valor],
  m.vb[nucleo],$AV$1,
  m.vb[variavel],BD$7,
  m.vb[mes],$A42
)</f>
        <v>0</v>
      </c>
      <c r="BE42" s="120">
        <f ca="1">SUMIFS(
  m.vb[valor],
  m.vb[nucleo],$AV$1,
  m.vb[variavel],BE$7,
  m.vb[mes],$A42
)</f>
        <v>0</v>
      </c>
      <c r="BF42" s="120">
        <f ca="1">SUMIFS(
  m.vb[valor],
  m.vb[nucleo],$AV$1,
  m.vb[variavel],BF$7,
  m.vb[mes],$A42
)</f>
        <v>0</v>
      </c>
      <c r="BG42" s="121">
        <f ca="1">SUMIFS(
  m.vb[valor],
  m.vb[nucleo],$AV$1,
  m.vb[variavel],BG$7,
  m.vb[mes],$A42
)</f>
        <v>0</v>
      </c>
      <c r="BH42" s="119">
        <f>COUNTIFS(
    tb_estq[empresa], BH$6,
    tb_estq[Data da venda / reserva], "&gt;=" &amp; $A42,
    tb_estq[Data da venda / reserva], "&lt;"  &amp; EOMONTH($A42,0) + 1
)</f>
        <v>0</v>
      </c>
      <c r="BI42" s="120">
        <f ca="1">SUMIFS(tb_rec_uni[2024-04-01],
INDIRECT("tb_rec_uni[natureza]"),"pro.soluto",
INDIRECT("tb_rec_uni[empresa]"),BI$6)</f>
        <v>0</v>
      </c>
      <c r="BJ42" s="108">
        <v>0</v>
      </c>
      <c r="BK42" s="120">
        <f ca="1">SUMIFS(tb_rec_uni[2024-04-01],
INDIRECT("tb_rec_uni[natureza]"),"taxa.extra",
INDIRECT("tb_rec_uni[empresa]"),BK$6)</f>
        <v>0</v>
      </c>
      <c r="BL42" s="108"/>
      <c r="BM42" s="120">
        <f ca="1">SUMIFS(
  m.vb[valor],
  m.vb[nucleo],$BH$1,
  m.vb[variavel],BM$7,
  m.vb[mes],$A42
)</f>
        <v>0</v>
      </c>
      <c r="BN42" s="120">
        <f ca="1">SUMIFS(
  m.vb[valor],
  m.vb[nucleo],$BH$1,
  m.vb[variavel],BN$7,
  m.vb[mes],$A42
)</f>
        <v>0</v>
      </c>
      <c r="BO42" s="120">
        <f ca="1">SUMIFS(
  m.vb[valor],
  m.vb[nucleo],$BH$1,
  m.vb[variavel],BO$7,
  m.vb[mes],$A42
)</f>
        <v>0</v>
      </c>
      <c r="BP42" s="120">
        <f ca="1">SUMIFS(
  m.vb[valor],
  m.vb[nucleo],$BH$1,
  m.vb[variavel],BP$7,
  m.vb[mes],$A42
)</f>
        <v>0</v>
      </c>
      <c r="BQ42" s="121">
        <f ca="1">SUMIFS(
  m.vb[valor],
  m.vb[nucleo],$BH$1,
  m.vb[variavel],BQ$7,
  m.vb[mes],$A42
)</f>
        <v>0</v>
      </c>
      <c r="BR42" s="119">
        <f>COUNTIFS(
    tb_estq[empresa], BR$6,
    tb_estq[Data da venda / reserva], "&gt;=" &amp; $A42,
    tb_estq[Data da venda / reserva], "&lt;"  &amp; EOMONTH($A42,0) + 1
)</f>
        <v>0</v>
      </c>
      <c r="BS42" s="120">
        <f ca="1">SUMIFS(tb_rec_uni[2024-04-01],
INDIRECT("tb_rec_uni[natureza]"),"pro.soluto",
INDIRECT("tb_rec_uni[empresa]"),BS$6)</f>
        <v>0</v>
      </c>
      <c r="BT42" s="120">
        <f ca="1">SUMIFS(tb_rec_uni[2024-04-01],
INDIRECT("tb_rec_uni[natureza]"),"parcela.fin.total.ik",
INDIRECT("tb_rec_uni[empresa]"),BT$6)</f>
        <v>0</v>
      </c>
      <c r="BU42" s="120">
        <f ca="1">SUMIFS(tb_rec_uni[2024-04-01],
INDIRECT("tb_rec_uni[natureza]"),"taxa.extra",
INDIRECT("tb_rec_uni[empresa]"),BU$6)</f>
        <v>0</v>
      </c>
      <c r="BV42" s="108"/>
      <c r="BW42" s="120">
        <f ca="1">SUMIFS(
  m.vb[valor],
  m.vb[nucleo],$BR$1,
  m.vb[variavel],BW$7,
  m.vb[mes],$A42
)</f>
        <v>0</v>
      </c>
      <c r="BX42" s="120">
        <f ca="1">SUMIFS(
  m.vb[valor],
  m.vb[nucleo],$BR$1,
  m.vb[variavel],BX$7,
  m.vb[mes],$A42
)</f>
        <v>0</v>
      </c>
      <c r="BY42" s="120">
        <f ca="1">SUMIFS(
  m.vb[valor],
  m.vb[nucleo],$BR$1,
  m.vb[variavel],BY$7,
  m.vb[mes],$A42
)</f>
        <v>0</v>
      </c>
      <c r="BZ42" s="120">
        <f ca="1">SUMIFS(
  m.vb[valor],
  m.vb[nucleo],$BR$1,
  m.vb[variavel],BZ$7,
  m.vb[mes],$A42
)</f>
        <v>0</v>
      </c>
      <c r="CA42" s="121">
        <f ca="1">SUMIFS(
  m.vb[valor],
  m.vb[nucleo],$BR$1,
  m.vb[variavel],CA$7,
  m.vb[mes],$A42
)</f>
        <v>0</v>
      </c>
      <c r="CB42" s="119">
        <f>COUNTIFS(
    tb_estq[empresa], CB$6,
    tb_estq[Data da venda / reserva], "&gt;=" &amp; $A42,
    tb_estq[Data da venda / reserva], "&lt;"  &amp; EOMONTH($A42,0) + 1
)</f>
        <v>0</v>
      </c>
      <c r="CC42" s="120">
        <f ca="1">SUMIFS(tb_rec_uni[2024-04-01],
INDIRECT("tb_rec_uni[natureza]"),"pro.soluto",
INDIRECT("tb_rec_uni[empresa]"),CC$6)</f>
        <v>0</v>
      </c>
      <c r="CD42" s="120">
        <f ca="1">SUMIFS(tb_rec_uni[2024-04-01],
INDIRECT("tb_rec_uni[natureza]"),"repasse.cef.obra",
INDIRECT("tb_rec_uni[empresa]"),CD$6)</f>
        <v>0</v>
      </c>
      <c r="CE42" s="120">
        <f ca="1">SUMIFS(tb_rec_uni[2024-04-01],
INDIRECT("tb_rec_uni[natureza]"),"repasse.cef.terreno",
INDIRECT("tb_rec_uni[empresa]"),CE$6)</f>
        <v>0</v>
      </c>
      <c r="CF42" s="120">
        <v>0</v>
      </c>
      <c r="CG42" s="120">
        <f ca="1">SUMIFS(tb_rec_uni[2024-04-01],
INDIRECT("tb_rec_uni[natureza]"),"taxa.extra",
INDIRECT("tb_rec_uni[empresa]"),CG$6)</f>
        <v>0</v>
      </c>
      <c r="CH42" s="108"/>
      <c r="CI42" s="120">
        <f ca="1">SUMIFS(
  m.vb[valor],
  m.vb[nucleo],$CB$1,
  m.vb[variavel],CI$7,
  m.vb[mes],$A42
)</f>
        <v>0</v>
      </c>
      <c r="CJ42" s="120">
        <f ca="1">SUMIFS(
  m.vb[valor],
  m.vb[nucleo],$CB$1,
  m.vb[variavel],CJ$7,
  m.vb[mes],$A42
)</f>
        <v>0</v>
      </c>
      <c r="CK42" s="120">
        <f ca="1">SUMIFS(
  m.vb[valor],
  m.vb[nucleo],$CB$1,
  m.vb[variavel],CK$7,
  m.vb[mes],$A42
)</f>
        <v>0</v>
      </c>
      <c r="CL42" s="120">
        <f ca="1">SUMIFS(
  m.vb[valor],
  m.vb[nucleo],$CB$1,
  m.vb[variavel],CL$7,
  m.vb[mes],$A42
)</f>
        <v>0</v>
      </c>
      <c r="CM42" s="121">
        <f ca="1">SUMIFS(
  m.vb[valor],
  m.vb[nucleo],$CB$1,
  m.vb[variavel],CM$7,
  m.vb[mes],$A42
)</f>
        <v>0</v>
      </c>
      <c r="CN42" s="119">
        <f>COUNTIFS(
    tb_estq[empresa], CN$6,
    tb_estq[Data da venda / reserva], "&gt;=" &amp; $A42,
    tb_estq[Data da venda / reserva], "&lt;"  &amp; EOMONTH($A42,0) + 1
)</f>
        <v>0</v>
      </c>
      <c r="CO42" s="120">
        <f ca="1">SUMIFS(tb_rec_uni[2024-04-01],
INDIRECT("tb_rec_uni[natureza]"),"pro.soluto",
INDIRECT("tb_rec_uni[empresa]"),CO$6)</f>
        <v>0</v>
      </c>
      <c r="CP42" s="120">
        <f ca="1">SUMIFS(tb_rec_uni[2024-04-01],
INDIRECT("tb_rec_uni[natureza]"),"repasse.cef.obra",
INDIRECT("tb_rec_uni[empresa]"),CP$6)</f>
        <v>0</v>
      </c>
      <c r="CQ42" s="120">
        <f ca="1">SUMIFS(tb_rec_uni[2024-04-01],
INDIRECT("tb_rec_uni[natureza]"),"repasse.cef.terreno",
INDIRECT("tb_rec_uni[empresa]"),CQ$6)</f>
        <v>0</v>
      </c>
      <c r="CR42" s="120">
        <v>0</v>
      </c>
      <c r="CS42" s="120">
        <f ca="1">SUMIFS(tb_rec_uni[2024-04-01],
INDIRECT("tb_rec_uni[natureza]"),"taxa.extra",
INDIRECT("tb_rec_uni[empresa]"),CS$6)</f>
        <v>0</v>
      </c>
      <c r="CT42" s="108"/>
      <c r="CU42" s="120">
        <f ca="1">SUMIFS(
  m.vb[valor],
  m.vb[nucleo],$CN$1,
  m.vb[variavel],CU$7,
  m.vb[mes],$A42
)</f>
        <v>0</v>
      </c>
      <c r="CV42" s="120" cm="1">
        <f t="array" ref="CV42">SUMPRODUCT(
  IFERROR(--tb_desp[valor],0)*
  (tb_desp[nucleo]="UP MOVE VILA SONIA")*
  (tb_desp[categoria]=CV$7)*
  (tb_desp[data.pagamento]&gt;=$A42)*
  (tb_desp[data.pagamento]&lt;EOMONTH($A42,0)+1)
)</f>
        <v>0</v>
      </c>
      <c r="CW42" s="120" cm="1">
        <f t="array" ref="CW42">SUMPRODUCT(
  IFERROR(--tb_desp[valor],0)*
  (tb_desp[nucleo]="UP MOVE VILA SONIA")*
  (tb_desp[categoria]=CW$7)*
  (tb_desp[data.pagamento]&gt;=$A42)*
  (tb_desp[data.pagamento]&lt;EOMONTH($A42,0)+1)
)</f>
        <v>0</v>
      </c>
      <c r="CX42" s="120" cm="1">
        <f t="array" ref="CX42">SUMPRODUCT(
  IFERROR(--tb_desp[valor],0)*
  (tb_desp[nucleo]="UP MOVE VILA SONIA")*
  (tb_desp[categoria]=CX$7)*
  (tb_desp[data.pagamento]&gt;=$A42)*
  (tb_desp[data.pagamento]&lt;EOMONTH($A42,0)+1)
)</f>
        <v>0</v>
      </c>
      <c r="CY42" s="122" cm="1">
        <f t="array" ref="CY42">SUMPRODUCT(
  IFERROR(--tb_desp[valor],0)*
  (tb_desp[nucleo]="UP MOVE VILA SONIA")*
  (tb_desp[categoria]=CY$7)*
  (tb_desp[data.pagamento]&gt;=$A42)*
  (tb_desp[data.pagamento]&lt;EOMONTH($A42,0)+1)
)</f>
        <v>0</v>
      </c>
    </row>
    <row r="43" spans="1:103" x14ac:dyDescent="0.25">
      <c r="A43" s="118">
        <v>45413</v>
      </c>
      <c r="B43" s="119">
        <f>COUNTIFS(
    tb_estq[empresa], B$6,
    tb_estq[Data da venda / reserva], "&gt;=" &amp; $A43,
    tb_estq[Data da venda / reserva], "&lt;"  &amp; EOMONTH($A43,0) + 1
)</f>
        <v>0</v>
      </c>
      <c r="C43" s="120">
        <f ca="1">SUMIFS(tb_rec_uni[2024-05-01],
INDIRECT("tb_rec_uni[natureza]"),"pro.soluto",
INDIRECT("tb_rec_uni[empresa]"),C$6)</f>
        <v>0</v>
      </c>
      <c r="D43" s="120">
        <f ca="1">SUMIFS(tb_rec_uni[2024-05-01],
INDIRECT("tb_rec_uni[natureza]"),"repasse.cef.obra",
INDIRECT("tb_rec_uni[empresa]"),D$6)</f>
        <v>0</v>
      </c>
      <c r="E43" s="120">
        <f ca="1">SUMIFS(tb_rec_uni[2024-05-01],
INDIRECT("tb_rec_uni[natureza]"),"repasse.cef.terreno",
INDIRECT("tb_rec_uni[empresa]"),E$6)</f>
        <v>0</v>
      </c>
      <c r="F43" s="120">
        <v>0</v>
      </c>
      <c r="G43" s="120">
        <f ca="1">SUMIFS(tb_rec_uni[2024-05-01],
INDIRECT("tb_rec_uni[natureza]"),"taxa.extra",
INDIRECT("tb_rec_uni[empresa]"),G$6)</f>
        <v>0</v>
      </c>
      <c r="H43" s="108"/>
      <c r="I43" s="120">
        <f ca="1">SUMIFS(
  m.vb[valor],
  m.vb[nucleo],$B$1,
  m.vb[variavel],I$7,
  m.vb[mes],$A43
)</f>
        <v>0</v>
      </c>
      <c r="J43" s="120">
        <f ca="1">SUMIFS(
  m.vb[valor],
  m.vb[nucleo],$B$1,
  m.vb[variavel],J$7,
  m.vb[mes],$A43
)</f>
        <v>0</v>
      </c>
      <c r="K43" s="120">
        <f ca="1">SUMIFS(
  m.vb[valor],
  m.vb[nucleo],$B$1,
  m.vb[variavel],K$7,
  m.vb[mes],$A43
)</f>
        <v>0</v>
      </c>
      <c r="L43" s="120">
        <f ca="1">SUMIFS(
  m.vb[valor],
  m.vb[nucleo],$B$1,
  m.vb[variavel],L$7,
  m.vb[mes],$A43
)</f>
        <v>0</v>
      </c>
      <c r="M43" s="121">
        <f ca="1">SUMIFS(
  m.vb[valor],
  m.vb[nucleo],$B$1,
  m.vb[variavel],M$7,
  m.vb[mes],$A43
)</f>
        <v>0</v>
      </c>
      <c r="N43" s="119">
        <f>COUNTIFS(
    tb_estq[empresa], N$6,
    tb_estq[Data da venda / reserva], "&gt;=" &amp; $A43,
    tb_estq[Data da venda / reserva], "&lt;"  &amp; EOMONTH($A43,0) + 1
)</f>
        <v>0</v>
      </c>
      <c r="O43" s="120">
        <f ca="1">SUMIFS(tb_rec_uni[2024-05-01],
INDIRECT("tb_rec_uni[natureza]"),"pro.soluto",
INDIRECT("tb_rec_uni[empresa]"),O$6)</f>
        <v>0</v>
      </c>
      <c r="P43" s="120">
        <f ca="1">SUMIFS(tb_rec_uni[2024-05-01],
INDIRECT("tb_rec_uni[natureza]"),"repasse.cef.obra",
INDIRECT("tb_rec_uni[empresa]"),P$6)</f>
        <v>0</v>
      </c>
      <c r="Q43" s="120">
        <f ca="1">SUMIFS(tb_rec_uni[2024-05-01],
INDIRECT("tb_rec_uni[natureza]"),"repasse.cef.terreno",
INDIRECT("tb_rec_uni[empresa]"),Q$6)</f>
        <v>0</v>
      </c>
      <c r="R43" s="120">
        <v>0</v>
      </c>
      <c r="S43" s="120">
        <f ca="1">SUMIFS(tb_rec_uni[2024-05-01],
INDIRECT("tb_rec_uni[natureza]"),"taxa.extra",
INDIRECT("tb_rec_uni[empresa]"),S$6)</f>
        <v>0</v>
      </c>
      <c r="T43" s="108"/>
      <c r="U43" s="120">
        <f ca="1">SUMIFS(
  m.vb[valor],
  m.vb[nucleo],$N$1,
  m.vb[variavel],U$7,
  m.vb[mes],$A43
)</f>
        <v>0</v>
      </c>
      <c r="V43" s="120">
        <f ca="1">SUMIFS(
  m.vb[valor],
  m.vb[nucleo],$N$1,
  m.vb[variavel],V$7,
  m.vb[mes],$A43
)</f>
        <v>0</v>
      </c>
      <c r="W43" s="120">
        <f ca="1">SUMIFS(
  m.vb[valor],
  m.vb[nucleo],$N$1,
  m.vb[variavel],W$7,
  m.vb[mes],$A43
)</f>
        <v>0</v>
      </c>
      <c r="X43" s="120">
        <f ca="1">SUMIFS(
  m.vb[valor],
  m.vb[nucleo],$N$1,
  m.vb[variavel],X$7,
  m.vb[mes],$A43
)</f>
        <v>0</v>
      </c>
      <c r="Y43" s="121">
        <f ca="1">SUMIFS(
  m.vb[valor],
  m.vb[nucleo],$N$1,
  m.vb[variavel],Y$7,
  m.vb[mes],$A43
)</f>
        <v>0</v>
      </c>
      <c r="Z43" s="119">
        <f>COUNTIFS(
    tb_estq[empresa], Z$6,
    tb_estq[Data da venda / reserva], "&gt;=" &amp; $A43,
    tb_estq[Data da venda / reserva], "&lt;"  &amp; EOMONTH($A43,0) + 1
)</f>
        <v>0</v>
      </c>
      <c r="AA43" s="120">
        <f ca="1">SUMIFS(tb_rec_uni[2024-05-01],
INDIRECT("tb_rec_uni[natureza]"),"pro.soluto",
INDIRECT("tb_rec_uni[empresa]"),AA$6)</f>
        <v>0</v>
      </c>
      <c r="AB43" s="120">
        <f ca="1">SUMIFS(tb_rec_uni[2024-05-01],
INDIRECT("tb_rec_uni[natureza]"),"parcela.fin.total.ik",
INDIRECT("tb_rec_uni[empresa]"),AB$6)</f>
        <v>0</v>
      </c>
      <c r="AC43" s="120">
        <f ca="1">SUMIFS(tb_rec_uni[2024-05-01],
INDIRECT("tb_rec_uni[natureza]"),"taxa.extra",
INDIRECT("tb_rec_uni[empresa]"),AC$6)</f>
        <v>0</v>
      </c>
      <c r="AD43" s="108"/>
      <c r="AE43" s="120">
        <f ca="1">SUMIFS(
  m.vb[valor],
  m.vb[nucleo],$Z$1,
  m.vb[variavel],AE$7,
  m.vb[mes],$A43
)</f>
        <v>0</v>
      </c>
      <c r="AF43" s="120">
        <f ca="1">SUMIFS(
  m.vb[valor],
  m.vb[nucleo],$Z$1,
  m.vb[variavel],AF$7,
  m.vb[mes],$A43
)</f>
        <v>0</v>
      </c>
      <c r="AG43" s="120">
        <f ca="1">SUMIFS(
  m.vb[valor],
  m.vb[nucleo],$Z$1,
  m.vb[variavel],AG$7,
  m.vb[mes],$A43
)</f>
        <v>0</v>
      </c>
      <c r="AH43" s="120">
        <f ca="1">SUMIFS(
  m.vb[valor],
  m.vb[nucleo],$Z$1,
  m.vb[variavel],AH$7,
  m.vb[mes],$A43
)</f>
        <v>0</v>
      </c>
      <c r="AI43" s="121">
        <f ca="1">SUMIFS(
  m.vb[valor],
  m.vb[nucleo],$Z$1,
  m.vb[variavel],AI$7,
  m.vb[mes],$A43
)</f>
        <v>0</v>
      </c>
      <c r="AJ43" s="119">
        <f>COUNTIFS(
    tb_estq[empresa], AJ$6,
    tb_estq[Data da venda / reserva], "&gt;=" &amp; $A43,
    tb_estq[Data da venda / reserva], "&lt;"  &amp; EOMONTH($A43,0) + 1
)</f>
        <v>0</v>
      </c>
      <c r="AK43" s="120">
        <f ca="1">SUMIFS(tb_rec_uni[2024-05-01],
INDIRECT("tb_rec_uni[natureza]"),"pro.soluto",
INDIRECT("tb_rec_uni[empresa]"),AK$6)</f>
        <v>0</v>
      </c>
      <c r="AL43" s="120">
        <f ca="1">SUMIFS(tb_rec_uni[2024-05-01],
INDIRECT("tb_rec_uni[natureza]"),"repasse.cef.obra",
INDIRECT("tb_rec_uni[empresa]"),AL$6)</f>
        <v>0</v>
      </c>
      <c r="AM43" s="120">
        <f ca="1">SUMIFS(tb_rec_uni[2024-05-01],
INDIRECT("tb_rec_uni[natureza]"),"repasse.cef.terreno",
INDIRECT("tb_rec_uni[empresa]"),AM$6)</f>
        <v>0</v>
      </c>
      <c r="AN43" s="120">
        <v>0</v>
      </c>
      <c r="AO43" s="120">
        <f ca="1">SUMIFS(tb_rec_uni[2024-05-01],
INDIRECT("tb_rec_uni[natureza]"),"taxa.extra",
INDIRECT("tb_rec_uni[empresa]"),AO$6)</f>
        <v>0</v>
      </c>
      <c r="AP43" s="108"/>
      <c r="AQ43" s="120">
        <f ca="1">SUMIFS(
  m.vb[valor],
  m.vb[nucleo],$AJ$1,
  m.vb[variavel],AQ$7,
  m.vb[mes],$A43
)</f>
        <v>0</v>
      </c>
      <c r="AR43" s="120">
        <f ca="1">SUMIFS(
  m.vb[valor],
  m.vb[nucleo],$AJ$1,
  m.vb[variavel],AR$7,
  m.vb[mes],$A43
)</f>
        <v>0</v>
      </c>
      <c r="AS43" s="120">
        <f ca="1">SUMIFS(
  m.vb[valor],
  m.vb[nucleo],$AJ$1,
  m.vb[variavel],AS$7,
  m.vb[mes],$A43
)</f>
        <v>0</v>
      </c>
      <c r="AT43" s="120">
        <f ca="1">SUMIFS(
  m.vb[valor],
  m.vb[nucleo],$AJ$1,
  m.vb[variavel],AT$7,
  m.vb[mes],$A43
)</f>
        <v>0</v>
      </c>
      <c r="AU43" s="121">
        <f ca="1">SUMIFS(
  m.vb[valor],
  m.vb[nucleo],$AJ$1,
  m.vb[variavel],AU$7,
  m.vb[mes],$A43
)</f>
        <v>0</v>
      </c>
      <c r="AV43" s="119">
        <f>COUNTIFS(
    tb_estq[empresa], AV$6,
    tb_estq[Data da venda / reserva], "&gt;=" &amp; $A43,
    tb_estq[Data da venda / reserva], "&lt;"  &amp; EOMONTH($A43,0) + 1
)</f>
        <v>0</v>
      </c>
      <c r="AW43" s="120">
        <f ca="1">SUMIFS(tb_rec_uni[2024-05-01],
INDIRECT("tb_rec_uni[natureza]"),"pro.soluto",
INDIRECT("tb_rec_uni[empresa]"),AW$6)</f>
        <v>0</v>
      </c>
      <c r="AX43" s="120">
        <f ca="1">SUMIFS(tb_rec_uni[2024-05-01],
INDIRECT("tb_rec_uni[natureza]"),"repasse.cef.obra",
INDIRECT("tb_rec_uni[empresa]"),AX$6)</f>
        <v>0</v>
      </c>
      <c r="AY43" s="120">
        <f ca="1">SUMIFS(tb_rec_uni[2024-05-01],
INDIRECT("tb_rec_uni[natureza]"),"repasse.cef.terreno",
INDIRECT("tb_rec_uni[empresa]"),AY$6)</f>
        <v>0</v>
      </c>
      <c r="AZ43" s="120">
        <v>0</v>
      </c>
      <c r="BA43" s="120">
        <f ca="1">SUMIFS(tb_rec_uni[2024-05-01],
INDIRECT("tb_rec_uni[natureza]"),"taxa.extra",
INDIRECT("tb_rec_uni[empresa]"),BA$6)</f>
        <v>0</v>
      </c>
      <c r="BB43" s="108"/>
      <c r="BC43" s="120">
        <f ca="1">SUMIFS(
  m.vb[valor],
  m.vb[nucleo],$AV$1,
  m.vb[variavel],BC$7,
  m.vb[mes],$A43
)</f>
        <v>0</v>
      </c>
      <c r="BD43" s="120">
        <f ca="1">SUMIFS(
  m.vb[valor],
  m.vb[nucleo],$AV$1,
  m.vb[variavel],BD$7,
  m.vb[mes],$A43
)</f>
        <v>0</v>
      </c>
      <c r="BE43" s="120">
        <f ca="1">SUMIFS(
  m.vb[valor],
  m.vb[nucleo],$AV$1,
  m.vb[variavel],BE$7,
  m.vb[mes],$A43
)</f>
        <v>0</v>
      </c>
      <c r="BF43" s="120">
        <f ca="1">SUMIFS(
  m.vb[valor],
  m.vb[nucleo],$AV$1,
  m.vb[variavel],BF$7,
  m.vb[mes],$A43
)</f>
        <v>0</v>
      </c>
      <c r="BG43" s="121">
        <f ca="1">SUMIFS(
  m.vb[valor],
  m.vb[nucleo],$AV$1,
  m.vb[variavel],BG$7,
  m.vb[mes],$A43
)</f>
        <v>0</v>
      </c>
      <c r="BH43" s="119">
        <f>COUNTIFS(
    tb_estq[empresa], BH$6,
    tb_estq[Data da venda / reserva], "&gt;=" &amp; $A43,
    tb_estq[Data da venda / reserva], "&lt;"  &amp; EOMONTH($A43,0) + 1
)</f>
        <v>0</v>
      </c>
      <c r="BI43" s="120">
        <f ca="1">SUMIFS(tb_rec_uni[2024-05-01],
INDIRECT("tb_rec_uni[natureza]"),"pro.soluto",
INDIRECT("tb_rec_uni[empresa]"),BI$6)</f>
        <v>0</v>
      </c>
      <c r="BJ43" s="108">
        <v>0</v>
      </c>
      <c r="BK43" s="120">
        <f ca="1">SUMIFS(tb_rec_uni[2024-05-01],
INDIRECT("tb_rec_uni[natureza]"),"taxa.extra",
INDIRECT("tb_rec_uni[empresa]"),BK$6)</f>
        <v>0</v>
      </c>
      <c r="BL43" s="108"/>
      <c r="BM43" s="120">
        <f ca="1">SUMIFS(
  m.vb[valor],
  m.vb[nucleo],$BH$1,
  m.vb[variavel],BM$7,
  m.vb[mes],$A43
)</f>
        <v>0</v>
      </c>
      <c r="BN43" s="120">
        <f ca="1">SUMIFS(
  m.vb[valor],
  m.vb[nucleo],$BH$1,
  m.vb[variavel],BN$7,
  m.vb[mes],$A43
)</f>
        <v>0</v>
      </c>
      <c r="BO43" s="120">
        <f ca="1">SUMIFS(
  m.vb[valor],
  m.vb[nucleo],$BH$1,
  m.vb[variavel],BO$7,
  m.vb[mes],$A43
)</f>
        <v>0</v>
      </c>
      <c r="BP43" s="120">
        <f ca="1">SUMIFS(
  m.vb[valor],
  m.vb[nucleo],$BH$1,
  m.vb[variavel],BP$7,
  m.vb[mes],$A43
)</f>
        <v>0</v>
      </c>
      <c r="BQ43" s="121">
        <f ca="1">SUMIFS(
  m.vb[valor],
  m.vb[nucleo],$BH$1,
  m.vb[variavel],BQ$7,
  m.vb[mes],$A43
)</f>
        <v>0</v>
      </c>
      <c r="BR43" s="119">
        <f>COUNTIFS(
    tb_estq[empresa], BR$6,
    tb_estq[Data da venda / reserva], "&gt;=" &amp; $A43,
    tb_estq[Data da venda / reserva], "&lt;"  &amp; EOMONTH($A43,0) + 1
)</f>
        <v>0</v>
      </c>
      <c r="BS43" s="120">
        <f ca="1">SUMIFS(tb_rec_uni[2024-05-01],
INDIRECT("tb_rec_uni[natureza]"),"pro.soluto",
INDIRECT("tb_rec_uni[empresa]"),BS$6)</f>
        <v>0</v>
      </c>
      <c r="BT43" s="120">
        <f ca="1">SUMIFS(tb_rec_uni[2024-05-01],
INDIRECT("tb_rec_uni[natureza]"),"parcela.fin.total.ik",
INDIRECT("tb_rec_uni[empresa]"),BT$6)</f>
        <v>0</v>
      </c>
      <c r="BU43" s="120">
        <f ca="1">SUMIFS(tb_rec_uni[2024-05-01],
INDIRECT("tb_rec_uni[natureza]"),"taxa.extra",
INDIRECT("tb_rec_uni[empresa]"),BU$6)</f>
        <v>0</v>
      </c>
      <c r="BV43" s="108"/>
      <c r="BW43" s="120">
        <f ca="1">SUMIFS(
  m.vb[valor],
  m.vb[nucleo],$BR$1,
  m.vb[variavel],BW$7,
  m.vb[mes],$A43
)</f>
        <v>0</v>
      </c>
      <c r="BX43" s="120">
        <f ca="1">SUMIFS(
  m.vb[valor],
  m.vb[nucleo],$BR$1,
  m.vb[variavel],BX$7,
  m.vb[mes],$A43
)</f>
        <v>0</v>
      </c>
      <c r="BY43" s="120">
        <f ca="1">SUMIFS(
  m.vb[valor],
  m.vb[nucleo],$BR$1,
  m.vb[variavel],BY$7,
  m.vb[mes],$A43
)</f>
        <v>0</v>
      </c>
      <c r="BZ43" s="120">
        <f ca="1">SUMIFS(
  m.vb[valor],
  m.vb[nucleo],$BR$1,
  m.vb[variavel],BZ$7,
  m.vb[mes],$A43
)</f>
        <v>0</v>
      </c>
      <c r="CA43" s="121">
        <f ca="1">SUMIFS(
  m.vb[valor],
  m.vb[nucleo],$BR$1,
  m.vb[variavel],CA$7,
  m.vb[mes],$A43
)</f>
        <v>0</v>
      </c>
      <c r="CB43" s="119">
        <f>COUNTIFS(
    tb_estq[empresa], CB$6,
    tb_estq[Data da venda / reserva], "&gt;=" &amp; $A43,
    tb_estq[Data da venda / reserva], "&lt;"  &amp; EOMONTH($A43,0) + 1
)</f>
        <v>0</v>
      </c>
      <c r="CC43" s="120">
        <f ca="1">SUMIFS(tb_rec_uni[2024-05-01],
INDIRECT("tb_rec_uni[natureza]"),"pro.soluto",
INDIRECT("tb_rec_uni[empresa]"),CC$6)</f>
        <v>0</v>
      </c>
      <c r="CD43" s="120">
        <f ca="1">SUMIFS(tb_rec_uni[2024-05-01],
INDIRECT("tb_rec_uni[natureza]"),"repasse.cef.obra",
INDIRECT("tb_rec_uni[empresa]"),CD$6)</f>
        <v>0</v>
      </c>
      <c r="CE43" s="120">
        <f ca="1">SUMIFS(tb_rec_uni[2024-05-01],
INDIRECT("tb_rec_uni[natureza]"),"repasse.cef.terreno",
INDIRECT("tb_rec_uni[empresa]"),CE$6)</f>
        <v>0</v>
      </c>
      <c r="CF43" s="120">
        <v>0</v>
      </c>
      <c r="CG43" s="120">
        <f ca="1">SUMIFS(tb_rec_uni[2024-05-01],
INDIRECT("tb_rec_uni[natureza]"),"taxa.extra",
INDIRECT("tb_rec_uni[empresa]"),CG$6)</f>
        <v>0</v>
      </c>
      <c r="CH43" s="108"/>
      <c r="CI43" s="120">
        <f ca="1">SUMIFS(
  m.vb[valor],
  m.vb[nucleo],$CB$1,
  m.vb[variavel],CI$7,
  m.vb[mes],$A43
)</f>
        <v>0</v>
      </c>
      <c r="CJ43" s="120">
        <f ca="1">SUMIFS(
  m.vb[valor],
  m.vb[nucleo],$CB$1,
  m.vb[variavel],CJ$7,
  m.vb[mes],$A43
)</f>
        <v>0</v>
      </c>
      <c r="CK43" s="120">
        <f ca="1">SUMIFS(
  m.vb[valor],
  m.vb[nucleo],$CB$1,
  m.vb[variavel],CK$7,
  m.vb[mes],$A43
)</f>
        <v>0</v>
      </c>
      <c r="CL43" s="120">
        <f ca="1">SUMIFS(
  m.vb[valor],
  m.vb[nucleo],$CB$1,
  m.vb[variavel],CL$7,
  m.vb[mes],$A43
)</f>
        <v>0</v>
      </c>
      <c r="CM43" s="121">
        <f ca="1">SUMIFS(
  m.vb[valor],
  m.vb[nucleo],$CB$1,
  m.vb[variavel],CM$7,
  m.vb[mes],$A43
)</f>
        <v>0</v>
      </c>
      <c r="CN43" s="119">
        <f>COUNTIFS(
    tb_estq[empresa], CN$6,
    tb_estq[Data da venda / reserva], "&gt;=" &amp; $A43,
    tb_estq[Data da venda / reserva], "&lt;"  &amp; EOMONTH($A43,0) + 1
)</f>
        <v>0</v>
      </c>
      <c r="CO43" s="120">
        <f ca="1">SUMIFS(tb_rec_uni[2024-05-01],
INDIRECT("tb_rec_uni[natureza]"),"pro.soluto",
INDIRECT("tb_rec_uni[empresa]"),CO$6)</f>
        <v>0</v>
      </c>
      <c r="CP43" s="120">
        <f ca="1">SUMIFS(tb_rec_uni[2024-05-01],
INDIRECT("tb_rec_uni[natureza]"),"repasse.cef.obra",
INDIRECT("tb_rec_uni[empresa]"),CP$6)</f>
        <v>0</v>
      </c>
      <c r="CQ43" s="120">
        <f ca="1">SUMIFS(tb_rec_uni[2024-05-01],
INDIRECT("tb_rec_uni[natureza]"),"repasse.cef.terreno",
INDIRECT("tb_rec_uni[empresa]"),CQ$6)</f>
        <v>0</v>
      </c>
      <c r="CR43" s="120">
        <v>0</v>
      </c>
      <c r="CS43" s="120">
        <f ca="1">SUMIFS(tb_rec_uni[2024-05-01],
INDIRECT("tb_rec_uni[natureza]"),"taxa.extra",
INDIRECT("tb_rec_uni[empresa]"),CS$6)</f>
        <v>0</v>
      </c>
      <c r="CT43" s="108"/>
      <c r="CU43" s="120">
        <f ca="1">SUMIFS(
  m.vb[valor],
  m.vb[nucleo],$CN$1,
  m.vb[variavel],CU$7,
  m.vb[mes],$A43
)</f>
        <v>0</v>
      </c>
      <c r="CV43" s="120" cm="1">
        <f t="array" ref="CV43">SUMPRODUCT(
  IFERROR(--tb_desp[valor],0)*
  (tb_desp[nucleo]="UP MOVE VILA SONIA")*
  (tb_desp[categoria]=CV$7)*
  (tb_desp[data.pagamento]&gt;=$A43)*
  (tb_desp[data.pagamento]&lt;EOMONTH($A43,0)+1)
)</f>
        <v>0</v>
      </c>
      <c r="CW43" s="120" cm="1">
        <f t="array" ref="CW43">SUMPRODUCT(
  IFERROR(--tb_desp[valor],0)*
  (tb_desp[nucleo]="UP MOVE VILA SONIA")*
  (tb_desp[categoria]=CW$7)*
  (tb_desp[data.pagamento]&gt;=$A43)*
  (tb_desp[data.pagamento]&lt;EOMONTH($A43,0)+1)
)</f>
        <v>0</v>
      </c>
      <c r="CX43" s="120" cm="1">
        <f t="array" ref="CX43">SUMPRODUCT(
  IFERROR(--tb_desp[valor],0)*
  (tb_desp[nucleo]="UP MOVE VILA SONIA")*
  (tb_desp[categoria]=CX$7)*
  (tb_desp[data.pagamento]&gt;=$A43)*
  (tb_desp[data.pagamento]&lt;EOMONTH($A43,0)+1)
)</f>
        <v>0</v>
      </c>
      <c r="CY43" s="122" cm="1">
        <f t="array" ref="CY43">SUMPRODUCT(
  IFERROR(--tb_desp[valor],0)*
  (tb_desp[nucleo]="UP MOVE VILA SONIA")*
  (tb_desp[categoria]=CY$7)*
  (tb_desp[data.pagamento]&gt;=$A43)*
  (tb_desp[data.pagamento]&lt;EOMONTH($A43,0)+1)
)</f>
        <v>0</v>
      </c>
    </row>
    <row r="44" spans="1:103" x14ac:dyDescent="0.25">
      <c r="A44" s="118">
        <v>45444</v>
      </c>
      <c r="B44" s="119">
        <f>COUNTIFS(
    tb_estq[empresa], B$6,
    tb_estq[Data da venda / reserva], "&gt;=" &amp; $A44,
    tb_estq[Data da venda / reserva], "&lt;"  &amp; EOMONTH($A44,0) + 1
)</f>
        <v>0</v>
      </c>
      <c r="C44" s="120">
        <f ca="1">SUMIFS(tb_rec_uni[2024-06-01],
INDIRECT("tb_rec_uni[natureza]"),"pro.soluto",
INDIRECT("tb_rec_uni[empresa]"),C$6)</f>
        <v>0</v>
      </c>
      <c r="D44" s="120">
        <f ca="1">SUMIFS(tb_rec_uni[2024-06-01],
INDIRECT("tb_rec_uni[natureza]"),"repasse.cef.obra",
INDIRECT("tb_rec_uni[empresa]"),D$6)</f>
        <v>0</v>
      </c>
      <c r="E44" s="120">
        <f ca="1">SUMIFS(tb_rec_uni[2024-06-01],
INDIRECT("tb_rec_uni[natureza]"),"repasse.cef.terreno",
INDIRECT("tb_rec_uni[empresa]"),E$6)</f>
        <v>0</v>
      </c>
      <c r="F44" s="120">
        <v>0</v>
      </c>
      <c r="G44" s="120">
        <f ca="1">SUMIFS(tb_rec_uni[2024-06-01],
INDIRECT("tb_rec_uni[natureza]"),"taxa.extra",
INDIRECT("tb_rec_uni[empresa]"),G$6)</f>
        <v>0</v>
      </c>
      <c r="H44" s="108"/>
      <c r="I44" s="120">
        <f ca="1">SUMIFS(
  m.vb[valor],
  m.vb[nucleo],$B$1,
  m.vb[variavel],I$7,
  m.vb[mes],$A44
)</f>
        <v>0</v>
      </c>
      <c r="J44" s="120">
        <f ca="1">SUMIFS(
  m.vb[valor],
  m.vb[nucleo],$B$1,
  m.vb[variavel],J$7,
  m.vb[mes],$A44
)</f>
        <v>0</v>
      </c>
      <c r="K44" s="120">
        <f ca="1">SUMIFS(
  m.vb[valor],
  m.vb[nucleo],$B$1,
  m.vb[variavel],K$7,
  m.vb[mes],$A44
)</f>
        <v>0</v>
      </c>
      <c r="L44" s="120">
        <f ca="1">SUMIFS(
  m.vb[valor],
  m.vb[nucleo],$B$1,
  m.vb[variavel],L$7,
  m.vb[mes],$A44
)</f>
        <v>0</v>
      </c>
      <c r="M44" s="121">
        <f ca="1">SUMIFS(
  m.vb[valor],
  m.vb[nucleo],$B$1,
  m.vb[variavel],M$7,
  m.vb[mes],$A44
)</f>
        <v>0</v>
      </c>
      <c r="N44" s="119">
        <f>COUNTIFS(
    tb_estq[empresa], N$6,
    tb_estq[Data da venda / reserva], "&gt;=" &amp; $A44,
    tb_estq[Data da venda / reserva], "&lt;"  &amp; EOMONTH($A44,0) + 1
)</f>
        <v>0</v>
      </c>
      <c r="O44" s="120">
        <f ca="1">SUMIFS(tb_rec_uni[2024-06-01],
INDIRECT("tb_rec_uni[natureza]"),"pro.soluto",
INDIRECT("tb_rec_uni[empresa]"),O$6)</f>
        <v>0</v>
      </c>
      <c r="P44" s="120">
        <f ca="1">SUMIFS(tb_rec_uni[2024-06-01],
INDIRECT("tb_rec_uni[natureza]"),"repasse.cef.obra",
INDIRECT("tb_rec_uni[empresa]"),P$6)</f>
        <v>0</v>
      </c>
      <c r="Q44" s="120">
        <f ca="1">SUMIFS(tb_rec_uni[2024-06-01],
INDIRECT("tb_rec_uni[natureza]"),"repasse.cef.terreno",
INDIRECT("tb_rec_uni[empresa]"),Q$6)</f>
        <v>0</v>
      </c>
      <c r="R44" s="120">
        <v>0</v>
      </c>
      <c r="S44" s="120">
        <f ca="1">SUMIFS(tb_rec_uni[2024-06-01],
INDIRECT("tb_rec_uni[natureza]"),"taxa.extra",
INDIRECT("tb_rec_uni[empresa]"),S$6)</f>
        <v>0</v>
      </c>
      <c r="T44" s="108"/>
      <c r="U44" s="120">
        <f ca="1">SUMIFS(
  m.vb[valor],
  m.vb[nucleo],$N$1,
  m.vb[variavel],U$7,
  m.vb[mes],$A44
)</f>
        <v>0</v>
      </c>
      <c r="V44" s="120">
        <f ca="1">SUMIFS(
  m.vb[valor],
  m.vb[nucleo],$N$1,
  m.vb[variavel],V$7,
  m.vb[mes],$A44
)</f>
        <v>0</v>
      </c>
      <c r="W44" s="120">
        <f ca="1">SUMIFS(
  m.vb[valor],
  m.vb[nucleo],$N$1,
  m.vb[variavel],W$7,
  m.vb[mes],$A44
)</f>
        <v>0</v>
      </c>
      <c r="X44" s="120">
        <f ca="1">SUMIFS(
  m.vb[valor],
  m.vb[nucleo],$N$1,
  m.vb[variavel],X$7,
  m.vb[mes],$A44
)</f>
        <v>0</v>
      </c>
      <c r="Y44" s="121">
        <f ca="1">SUMIFS(
  m.vb[valor],
  m.vb[nucleo],$N$1,
  m.vb[variavel],Y$7,
  m.vb[mes],$A44
)</f>
        <v>0</v>
      </c>
      <c r="Z44" s="119">
        <f>COUNTIFS(
    tb_estq[empresa], Z$6,
    tb_estq[Data da venda / reserva], "&gt;=" &amp; $A44,
    tb_estq[Data da venda / reserva], "&lt;"  &amp; EOMONTH($A44,0) + 1
)</f>
        <v>0</v>
      </c>
      <c r="AA44" s="120">
        <f ca="1">SUMIFS(tb_rec_uni[2024-06-01],
INDIRECT("tb_rec_uni[natureza]"),"pro.soluto",
INDIRECT("tb_rec_uni[empresa]"),AA$6)</f>
        <v>0</v>
      </c>
      <c r="AB44" s="120">
        <f ca="1">SUMIFS(tb_rec_uni[2024-06-01],
INDIRECT("tb_rec_uni[natureza]"),"parcela.fin.total.ik",
INDIRECT("tb_rec_uni[empresa]"),AB$6)</f>
        <v>0</v>
      </c>
      <c r="AC44" s="120">
        <f ca="1">SUMIFS(tb_rec_uni[2024-06-01],
INDIRECT("tb_rec_uni[natureza]"),"taxa.extra",
INDIRECT("tb_rec_uni[empresa]"),AC$6)</f>
        <v>0</v>
      </c>
      <c r="AD44" s="108"/>
      <c r="AE44" s="120">
        <f ca="1">SUMIFS(
  m.vb[valor],
  m.vb[nucleo],$Z$1,
  m.vb[variavel],AE$7,
  m.vb[mes],$A44
)</f>
        <v>0</v>
      </c>
      <c r="AF44" s="120">
        <f ca="1">SUMIFS(
  m.vb[valor],
  m.vb[nucleo],$Z$1,
  m.vb[variavel],AF$7,
  m.vb[mes],$A44
)</f>
        <v>0</v>
      </c>
      <c r="AG44" s="120">
        <f ca="1">SUMIFS(
  m.vb[valor],
  m.vb[nucleo],$Z$1,
  m.vb[variavel],AG$7,
  m.vb[mes],$A44
)</f>
        <v>0</v>
      </c>
      <c r="AH44" s="120">
        <f ca="1">SUMIFS(
  m.vb[valor],
  m.vb[nucleo],$Z$1,
  m.vb[variavel],AH$7,
  m.vb[mes],$A44
)</f>
        <v>0</v>
      </c>
      <c r="AI44" s="121">
        <f ca="1">SUMIFS(
  m.vb[valor],
  m.vb[nucleo],$Z$1,
  m.vb[variavel],AI$7,
  m.vb[mes],$A44
)</f>
        <v>0</v>
      </c>
      <c r="AJ44" s="119">
        <f>COUNTIFS(
    tb_estq[empresa], AJ$6,
    tb_estq[Data da venda / reserva], "&gt;=" &amp; $A44,
    tb_estq[Data da venda / reserva], "&lt;"  &amp; EOMONTH($A44,0) + 1
)</f>
        <v>0</v>
      </c>
      <c r="AK44" s="120">
        <f ca="1">SUMIFS(tb_rec_uni[2024-06-01],
INDIRECT("tb_rec_uni[natureza]"),"pro.soluto",
INDIRECT("tb_rec_uni[empresa]"),AK$6)</f>
        <v>0</v>
      </c>
      <c r="AL44" s="120">
        <f ca="1">SUMIFS(tb_rec_uni[2024-06-01],
INDIRECT("tb_rec_uni[natureza]"),"repasse.cef.obra",
INDIRECT("tb_rec_uni[empresa]"),AL$6)</f>
        <v>0</v>
      </c>
      <c r="AM44" s="120">
        <f ca="1">SUMIFS(tb_rec_uni[2024-06-01],
INDIRECT("tb_rec_uni[natureza]"),"repasse.cef.terreno",
INDIRECT("tb_rec_uni[empresa]"),AM$6)</f>
        <v>0</v>
      </c>
      <c r="AN44" s="120">
        <v>0</v>
      </c>
      <c r="AO44" s="120">
        <f ca="1">SUMIFS(tb_rec_uni[2024-06-01],
INDIRECT("tb_rec_uni[natureza]"),"taxa.extra",
INDIRECT("tb_rec_uni[empresa]"),AO$6)</f>
        <v>0</v>
      </c>
      <c r="AP44" s="108"/>
      <c r="AQ44" s="120">
        <f ca="1">SUMIFS(
  m.vb[valor],
  m.vb[nucleo],$AJ$1,
  m.vb[variavel],AQ$7,
  m.vb[mes],$A44
)</f>
        <v>0</v>
      </c>
      <c r="AR44" s="120">
        <f ca="1">SUMIFS(
  m.vb[valor],
  m.vb[nucleo],$AJ$1,
  m.vb[variavel],AR$7,
  m.vb[mes],$A44
)</f>
        <v>0</v>
      </c>
      <c r="AS44" s="120">
        <f ca="1">SUMIFS(
  m.vb[valor],
  m.vb[nucleo],$AJ$1,
  m.vb[variavel],AS$7,
  m.vb[mes],$A44
)</f>
        <v>0</v>
      </c>
      <c r="AT44" s="120">
        <f ca="1">SUMIFS(
  m.vb[valor],
  m.vb[nucleo],$AJ$1,
  m.vb[variavel],AT$7,
  m.vb[mes],$A44
)</f>
        <v>0</v>
      </c>
      <c r="AU44" s="121">
        <f ca="1">SUMIFS(
  m.vb[valor],
  m.vb[nucleo],$AJ$1,
  m.vb[variavel],AU$7,
  m.vb[mes],$A44
)</f>
        <v>0</v>
      </c>
      <c r="AV44" s="119">
        <f>COUNTIFS(
    tb_estq[empresa], AV$6,
    tb_estq[Data da venda / reserva], "&gt;=" &amp; $A44,
    tb_estq[Data da venda / reserva], "&lt;"  &amp; EOMONTH($A44,0) + 1
)</f>
        <v>0</v>
      </c>
      <c r="AW44" s="120">
        <f ca="1">SUMIFS(tb_rec_uni[2024-06-01],
INDIRECT("tb_rec_uni[natureza]"),"pro.soluto",
INDIRECT("tb_rec_uni[empresa]"),AW$6)</f>
        <v>0</v>
      </c>
      <c r="AX44" s="120">
        <f ca="1">SUMIFS(tb_rec_uni[2024-06-01],
INDIRECT("tb_rec_uni[natureza]"),"repasse.cef.obra",
INDIRECT("tb_rec_uni[empresa]"),AX$6)</f>
        <v>0</v>
      </c>
      <c r="AY44" s="120">
        <f ca="1">SUMIFS(tb_rec_uni[2024-06-01],
INDIRECT("tb_rec_uni[natureza]"),"repasse.cef.terreno",
INDIRECT("tb_rec_uni[empresa]"),AY$6)</f>
        <v>0</v>
      </c>
      <c r="AZ44" s="120">
        <v>0</v>
      </c>
      <c r="BA44" s="120">
        <f ca="1">SUMIFS(tb_rec_uni[2024-06-01],
INDIRECT("tb_rec_uni[natureza]"),"taxa.extra",
INDIRECT("tb_rec_uni[empresa]"),BA$6)</f>
        <v>0</v>
      </c>
      <c r="BB44" s="108"/>
      <c r="BC44" s="120">
        <f ca="1">SUMIFS(
  m.vb[valor],
  m.vb[nucleo],$AV$1,
  m.vb[variavel],BC$7,
  m.vb[mes],$A44
)</f>
        <v>0</v>
      </c>
      <c r="BD44" s="120">
        <f ca="1">SUMIFS(
  m.vb[valor],
  m.vb[nucleo],$AV$1,
  m.vb[variavel],BD$7,
  m.vb[mes],$A44
)</f>
        <v>0</v>
      </c>
      <c r="BE44" s="120">
        <f ca="1">SUMIFS(
  m.vb[valor],
  m.vb[nucleo],$AV$1,
  m.vb[variavel],BE$7,
  m.vb[mes],$A44
)</f>
        <v>0</v>
      </c>
      <c r="BF44" s="120">
        <f ca="1">SUMIFS(
  m.vb[valor],
  m.vb[nucleo],$AV$1,
  m.vb[variavel],BF$7,
  m.vb[mes],$A44
)</f>
        <v>0</v>
      </c>
      <c r="BG44" s="121">
        <f ca="1">SUMIFS(
  m.vb[valor],
  m.vb[nucleo],$AV$1,
  m.vb[variavel],BG$7,
  m.vb[mes],$A44
)</f>
        <v>0</v>
      </c>
      <c r="BH44" s="119">
        <f>COUNTIFS(
    tb_estq[empresa], BH$6,
    tb_estq[Data da venda / reserva], "&gt;=" &amp; $A44,
    tb_estq[Data da venda / reserva], "&lt;"  &amp; EOMONTH($A44,0) + 1
)</f>
        <v>0</v>
      </c>
      <c r="BI44" s="120">
        <f ca="1">SUMIFS(tb_rec_uni[2024-06-01],
INDIRECT("tb_rec_uni[natureza]"),"pro.soluto",
INDIRECT("tb_rec_uni[empresa]"),BI$6)</f>
        <v>0</v>
      </c>
      <c r="BJ44" s="108">
        <v>0</v>
      </c>
      <c r="BK44" s="120">
        <f ca="1">SUMIFS(tb_rec_uni[2024-06-01],
INDIRECT("tb_rec_uni[natureza]"),"taxa.extra",
INDIRECT("tb_rec_uni[empresa]"),BK$6)</f>
        <v>0</v>
      </c>
      <c r="BL44" s="108"/>
      <c r="BM44" s="120">
        <f ca="1">SUMIFS(
  m.vb[valor],
  m.vb[nucleo],$BH$1,
  m.vb[variavel],BM$7,
  m.vb[mes],$A44
)</f>
        <v>0</v>
      </c>
      <c r="BN44" s="120">
        <f ca="1">SUMIFS(
  m.vb[valor],
  m.vb[nucleo],$BH$1,
  m.vb[variavel],BN$7,
  m.vb[mes],$A44
)</f>
        <v>0</v>
      </c>
      <c r="BO44" s="120">
        <f ca="1">SUMIFS(
  m.vb[valor],
  m.vb[nucleo],$BH$1,
  m.vb[variavel],BO$7,
  m.vb[mes],$A44
)</f>
        <v>0</v>
      </c>
      <c r="BP44" s="120">
        <f ca="1">SUMIFS(
  m.vb[valor],
  m.vb[nucleo],$BH$1,
  m.vb[variavel],BP$7,
  m.vb[mes],$A44
)</f>
        <v>0</v>
      </c>
      <c r="BQ44" s="121">
        <f ca="1">SUMIFS(
  m.vb[valor],
  m.vb[nucleo],$BH$1,
  m.vb[variavel],BQ$7,
  m.vb[mes],$A44
)</f>
        <v>0</v>
      </c>
      <c r="BR44" s="119">
        <f>COUNTIFS(
    tb_estq[empresa], BR$6,
    tb_estq[Data da venda / reserva], "&gt;=" &amp; $A44,
    tb_estq[Data da venda / reserva], "&lt;"  &amp; EOMONTH($A44,0) + 1
)</f>
        <v>0</v>
      </c>
      <c r="BS44" s="120">
        <f ca="1">SUMIFS(tb_rec_uni[2024-06-01],
INDIRECT("tb_rec_uni[natureza]"),"pro.soluto",
INDIRECT("tb_rec_uni[empresa]"),BS$6)</f>
        <v>0</v>
      </c>
      <c r="BT44" s="120">
        <f ca="1">SUMIFS(tb_rec_uni[2024-06-01],
INDIRECT("tb_rec_uni[natureza]"),"parcela.fin.total.ik",
INDIRECT("tb_rec_uni[empresa]"),BT$6)</f>
        <v>0</v>
      </c>
      <c r="BU44" s="120">
        <f ca="1">SUMIFS(tb_rec_uni[2024-06-01],
INDIRECT("tb_rec_uni[natureza]"),"taxa.extra",
INDIRECT("tb_rec_uni[empresa]"),BU$6)</f>
        <v>0</v>
      </c>
      <c r="BV44" s="108"/>
      <c r="BW44" s="120">
        <f ca="1">SUMIFS(
  m.vb[valor],
  m.vb[nucleo],$BR$1,
  m.vb[variavel],BW$7,
  m.vb[mes],$A44
)</f>
        <v>0</v>
      </c>
      <c r="BX44" s="120">
        <f ca="1">SUMIFS(
  m.vb[valor],
  m.vb[nucleo],$BR$1,
  m.vb[variavel],BX$7,
  m.vb[mes],$A44
)</f>
        <v>0</v>
      </c>
      <c r="BY44" s="120">
        <f ca="1">SUMIFS(
  m.vb[valor],
  m.vb[nucleo],$BR$1,
  m.vb[variavel],BY$7,
  m.vb[mes],$A44
)</f>
        <v>0</v>
      </c>
      <c r="BZ44" s="120">
        <f ca="1">SUMIFS(
  m.vb[valor],
  m.vb[nucleo],$BR$1,
  m.vb[variavel],BZ$7,
  m.vb[mes],$A44
)</f>
        <v>0</v>
      </c>
      <c r="CA44" s="121">
        <f ca="1">SUMIFS(
  m.vb[valor],
  m.vb[nucleo],$BR$1,
  m.vb[variavel],CA$7,
  m.vb[mes],$A44
)</f>
        <v>0</v>
      </c>
      <c r="CB44" s="119">
        <f>COUNTIFS(
    tb_estq[empresa], CB$6,
    tb_estq[Data da venda / reserva], "&gt;=" &amp; $A44,
    tb_estq[Data da venda / reserva], "&lt;"  &amp; EOMONTH($A44,0) + 1
)</f>
        <v>0</v>
      </c>
      <c r="CC44" s="120">
        <f ca="1">SUMIFS(tb_rec_uni[2024-06-01],
INDIRECT("tb_rec_uni[natureza]"),"pro.soluto",
INDIRECT("tb_rec_uni[empresa]"),CC$6)</f>
        <v>0</v>
      </c>
      <c r="CD44" s="120">
        <f ca="1">SUMIFS(tb_rec_uni[2024-06-01],
INDIRECT("tb_rec_uni[natureza]"),"repasse.cef.obra",
INDIRECT("tb_rec_uni[empresa]"),CD$6)</f>
        <v>0</v>
      </c>
      <c r="CE44" s="120">
        <f ca="1">SUMIFS(tb_rec_uni[2024-06-01],
INDIRECT("tb_rec_uni[natureza]"),"repasse.cef.terreno",
INDIRECT("tb_rec_uni[empresa]"),CE$6)</f>
        <v>0</v>
      </c>
      <c r="CF44" s="120">
        <v>0</v>
      </c>
      <c r="CG44" s="120">
        <f ca="1">SUMIFS(tb_rec_uni[2024-06-01],
INDIRECT("tb_rec_uni[natureza]"),"taxa.extra",
INDIRECT("tb_rec_uni[empresa]"),CG$6)</f>
        <v>0</v>
      </c>
      <c r="CH44" s="108"/>
      <c r="CI44" s="120">
        <f ca="1">SUMIFS(
  m.vb[valor],
  m.vb[nucleo],$CB$1,
  m.vb[variavel],CI$7,
  m.vb[mes],$A44
)</f>
        <v>0</v>
      </c>
      <c r="CJ44" s="120">
        <f ca="1">SUMIFS(
  m.vb[valor],
  m.vb[nucleo],$CB$1,
  m.vb[variavel],CJ$7,
  m.vb[mes],$A44
)</f>
        <v>0</v>
      </c>
      <c r="CK44" s="120">
        <f ca="1">SUMIFS(
  m.vb[valor],
  m.vb[nucleo],$CB$1,
  m.vb[variavel],CK$7,
  m.vb[mes],$A44
)</f>
        <v>0</v>
      </c>
      <c r="CL44" s="120">
        <f ca="1">SUMIFS(
  m.vb[valor],
  m.vb[nucleo],$CB$1,
  m.vb[variavel],CL$7,
  m.vb[mes],$A44
)</f>
        <v>0</v>
      </c>
      <c r="CM44" s="121">
        <f ca="1">SUMIFS(
  m.vb[valor],
  m.vb[nucleo],$CB$1,
  m.vb[variavel],CM$7,
  m.vb[mes],$A44
)</f>
        <v>0</v>
      </c>
      <c r="CN44" s="119">
        <f>COUNTIFS(
    tb_estq[empresa], CN$6,
    tb_estq[Data da venda / reserva], "&gt;=" &amp; $A44,
    tb_estq[Data da venda / reserva], "&lt;"  &amp; EOMONTH($A44,0) + 1
)</f>
        <v>0</v>
      </c>
      <c r="CO44" s="120">
        <f ca="1">SUMIFS(tb_rec_uni[2024-06-01],
INDIRECT("tb_rec_uni[natureza]"),"pro.soluto",
INDIRECT("tb_rec_uni[empresa]"),CO$6)</f>
        <v>0</v>
      </c>
      <c r="CP44" s="120">
        <f ca="1">SUMIFS(tb_rec_uni[2024-06-01],
INDIRECT("tb_rec_uni[natureza]"),"repasse.cef.obra",
INDIRECT("tb_rec_uni[empresa]"),CP$6)</f>
        <v>0</v>
      </c>
      <c r="CQ44" s="120">
        <f ca="1">SUMIFS(tb_rec_uni[2024-06-01],
INDIRECT("tb_rec_uni[natureza]"),"repasse.cef.terreno",
INDIRECT("tb_rec_uni[empresa]"),CQ$6)</f>
        <v>0</v>
      </c>
      <c r="CR44" s="120">
        <v>0</v>
      </c>
      <c r="CS44" s="120">
        <f ca="1">SUMIFS(tb_rec_uni[2024-06-01],
INDIRECT("tb_rec_uni[natureza]"),"taxa.extra",
INDIRECT("tb_rec_uni[empresa]"),CS$6)</f>
        <v>0</v>
      </c>
      <c r="CT44" s="108"/>
      <c r="CU44" s="120">
        <f ca="1">SUMIFS(
  m.vb[valor],
  m.vb[nucleo],$CN$1,
  m.vb[variavel],CU$7,
  m.vb[mes],$A44
)</f>
        <v>0</v>
      </c>
      <c r="CV44" s="120" cm="1">
        <f t="array" ref="CV44">SUMPRODUCT(
  IFERROR(--tb_desp[valor],0)*
  (tb_desp[nucleo]="UP MOVE VILA SONIA")*
  (tb_desp[categoria]=CV$7)*
  (tb_desp[data.pagamento]&gt;=$A44)*
  (tb_desp[data.pagamento]&lt;EOMONTH($A44,0)+1)
)</f>
        <v>0</v>
      </c>
      <c r="CW44" s="120" cm="1">
        <f t="array" ref="CW44">SUMPRODUCT(
  IFERROR(--tb_desp[valor],0)*
  (tb_desp[nucleo]="UP MOVE VILA SONIA")*
  (tb_desp[categoria]=CW$7)*
  (tb_desp[data.pagamento]&gt;=$A44)*
  (tb_desp[data.pagamento]&lt;EOMONTH($A44,0)+1)
)</f>
        <v>0</v>
      </c>
      <c r="CX44" s="120" cm="1">
        <f t="array" ref="CX44">SUMPRODUCT(
  IFERROR(--tb_desp[valor],0)*
  (tb_desp[nucleo]="UP MOVE VILA SONIA")*
  (tb_desp[categoria]=CX$7)*
  (tb_desp[data.pagamento]&gt;=$A44)*
  (tb_desp[data.pagamento]&lt;EOMONTH($A44,0)+1)
)</f>
        <v>0</v>
      </c>
      <c r="CY44" s="122" cm="1">
        <f t="array" ref="CY44">SUMPRODUCT(
  IFERROR(--tb_desp[valor],0)*
  (tb_desp[nucleo]="UP MOVE VILA SONIA")*
  (tb_desp[categoria]=CY$7)*
  (tb_desp[data.pagamento]&gt;=$A44)*
  (tb_desp[data.pagamento]&lt;EOMONTH($A44,0)+1)
)</f>
        <v>0</v>
      </c>
    </row>
    <row r="45" spans="1:103" x14ac:dyDescent="0.25">
      <c r="A45" s="118">
        <v>45474</v>
      </c>
      <c r="B45" s="119">
        <f>COUNTIFS(
    tb_estq[empresa], B$6,
    tb_estq[Data da venda / reserva], "&gt;=" &amp; $A45,
    tb_estq[Data da venda / reserva], "&lt;"  &amp; EOMONTH($A45,0) + 1
)</f>
        <v>0</v>
      </c>
      <c r="C45" s="120">
        <f ca="1">SUMIFS(tb_rec_uni[2024-07-01],
INDIRECT("tb_rec_uni[natureza]"),"pro.soluto",
INDIRECT("tb_rec_uni[empresa]"),C$6)</f>
        <v>0</v>
      </c>
      <c r="D45" s="120">
        <f ca="1">SUMIFS(tb_rec_uni[2024-07-01],
INDIRECT("tb_rec_uni[natureza]"),"repasse.cef.obra",
INDIRECT("tb_rec_uni[empresa]"),D$6)</f>
        <v>0</v>
      </c>
      <c r="E45" s="120">
        <f ca="1">SUMIFS(tb_rec_uni[2024-07-01],
INDIRECT("tb_rec_uni[natureza]"),"repasse.cef.terreno",
INDIRECT("tb_rec_uni[empresa]"),E$6)</f>
        <v>0</v>
      </c>
      <c r="F45" s="120">
        <v>0</v>
      </c>
      <c r="G45" s="120">
        <f ca="1">SUMIFS(tb_rec_uni[2024-07-01],
INDIRECT("tb_rec_uni[natureza]"),"taxa.extra",
INDIRECT("tb_rec_uni[empresa]"),G$6)</f>
        <v>0</v>
      </c>
      <c r="H45" s="108"/>
      <c r="I45" s="120">
        <f ca="1">SUMIFS(
  m.vb[valor],
  m.vb[nucleo],$B$1,
  m.vb[variavel],I$7,
  m.vb[mes],$A45
)</f>
        <v>0</v>
      </c>
      <c r="J45" s="120">
        <f ca="1">SUMIFS(
  m.vb[valor],
  m.vb[nucleo],$B$1,
  m.vb[variavel],J$7,
  m.vb[mes],$A45
)</f>
        <v>0</v>
      </c>
      <c r="K45" s="120">
        <f ca="1">SUMIFS(
  m.vb[valor],
  m.vb[nucleo],$B$1,
  m.vb[variavel],K$7,
  m.vb[mes],$A45
)</f>
        <v>0</v>
      </c>
      <c r="L45" s="120">
        <f ca="1">SUMIFS(
  m.vb[valor],
  m.vb[nucleo],$B$1,
  m.vb[variavel],L$7,
  m.vb[mes],$A45
)</f>
        <v>0</v>
      </c>
      <c r="M45" s="121">
        <f ca="1">SUMIFS(
  m.vb[valor],
  m.vb[nucleo],$B$1,
  m.vb[variavel],M$7,
  m.vb[mes],$A45
)</f>
        <v>0</v>
      </c>
      <c r="N45" s="119">
        <f>COUNTIFS(
    tb_estq[empresa], N$6,
    tb_estq[Data da venda / reserva], "&gt;=" &amp; $A45,
    tb_estq[Data da venda / reserva], "&lt;"  &amp; EOMONTH($A45,0) + 1
)</f>
        <v>0</v>
      </c>
      <c r="O45" s="120">
        <f ca="1">SUMIFS(tb_rec_uni[2024-07-01],
INDIRECT("tb_rec_uni[natureza]"),"pro.soluto",
INDIRECT("tb_rec_uni[empresa]"),O$6)</f>
        <v>0</v>
      </c>
      <c r="P45" s="120">
        <f ca="1">SUMIFS(tb_rec_uni[2024-07-01],
INDIRECT("tb_rec_uni[natureza]"),"repasse.cef.obra",
INDIRECT("tb_rec_uni[empresa]"),P$6)</f>
        <v>0</v>
      </c>
      <c r="Q45" s="120">
        <f ca="1">SUMIFS(tb_rec_uni[2024-07-01],
INDIRECT("tb_rec_uni[natureza]"),"repasse.cef.terreno",
INDIRECT("tb_rec_uni[empresa]"),Q$6)</f>
        <v>0</v>
      </c>
      <c r="R45" s="120">
        <v>0</v>
      </c>
      <c r="S45" s="120">
        <f ca="1">SUMIFS(tb_rec_uni[2024-07-01],
INDIRECT("tb_rec_uni[natureza]"),"taxa.extra",
INDIRECT("tb_rec_uni[empresa]"),S$6)</f>
        <v>0</v>
      </c>
      <c r="T45" s="108"/>
      <c r="U45" s="120">
        <f ca="1">SUMIFS(
  m.vb[valor],
  m.vb[nucleo],$N$1,
  m.vb[variavel],U$7,
  m.vb[mes],$A45
)</f>
        <v>0</v>
      </c>
      <c r="V45" s="120">
        <f ca="1">SUMIFS(
  m.vb[valor],
  m.vb[nucleo],$N$1,
  m.vb[variavel],V$7,
  m.vb[mes],$A45
)</f>
        <v>0</v>
      </c>
      <c r="W45" s="120">
        <f ca="1">SUMIFS(
  m.vb[valor],
  m.vb[nucleo],$N$1,
  m.vb[variavel],W$7,
  m.vb[mes],$A45
)</f>
        <v>0</v>
      </c>
      <c r="X45" s="120">
        <f ca="1">SUMIFS(
  m.vb[valor],
  m.vb[nucleo],$N$1,
  m.vb[variavel],X$7,
  m.vb[mes],$A45
)</f>
        <v>0</v>
      </c>
      <c r="Y45" s="121">
        <f ca="1">SUMIFS(
  m.vb[valor],
  m.vb[nucleo],$N$1,
  m.vb[variavel],Y$7,
  m.vb[mes],$A45
)</f>
        <v>0</v>
      </c>
      <c r="Z45" s="119">
        <f>COUNTIFS(
    tb_estq[empresa], Z$6,
    tb_estq[Data da venda / reserva], "&gt;=" &amp; $A45,
    tb_estq[Data da venda / reserva], "&lt;"  &amp; EOMONTH($A45,0) + 1
)</f>
        <v>0</v>
      </c>
      <c r="AA45" s="120">
        <f ca="1">SUMIFS(tb_rec_uni[2024-07-01],
INDIRECT("tb_rec_uni[natureza]"),"pro.soluto",
INDIRECT("tb_rec_uni[empresa]"),AA$6)</f>
        <v>0</v>
      </c>
      <c r="AB45" s="120">
        <f ca="1">SUMIFS(tb_rec_uni[2024-07-01],
INDIRECT("tb_rec_uni[natureza]"),"parcela.fin.total.ik",
INDIRECT("tb_rec_uni[empresa]"),AB$6)</f>
        <v>0</v>
      </c>
      <c r="AC45" s="120">
        <f ca="1">SUMIFS(tb_rec_uni[2024-07-01],
INDIRECT("tb_rec_uni[natureza]"),"taxa.extra",
INDIRECT("tb_rec_uni[empresa]"),AC$6)</f>
        <v>0</v>
      </c>
      <c r="AD45" s="108"/>
      <c r="AE45" s="120">
        <f ca="1">SUMIFS(
  m.vb[valor],
  m.vb[nucleo],$Z$1,
  m.vb[variavel],AE$7,
  m.vb[mes],$A45
)</f>
        <v>0</v>
      </c>
      <c r="AF45" s="120">
        <f ca="1">SUMIFS(
  m.vb[valor],
  m.vb[nucleo],$Z$1,
  m.vb[variavel],AF$7,
  m.vb[mes],$A45
)</f>
        <v>0</v>
      </c>
      <c r="AG45" s="120">
        <f ca="1">SUMIFS(
  m.vb[valor],
  m.vb[nucleo],$Z$1,
  m.vb[variavel],AG$7,
  m.vb[mes],$A45
)</f>
        <v>0</v>
      </c>
      <c r="AH45" s="120">
        <f ca="1">SUMIFS(
  m.vb[valor],
  m.vb[nucleo],$Z$1,
  m.vb[variavel],AH$7,
  m.vb[mes],$A45
)</f>
        <v>0</v>
      </c>
      <c r="AI45" s="121">
        <f ca="1">SUMIFS(
  m.vb[valor],
  m.vb[nucleo],$Z$1,
  m.vb[variavel],AI$7,
  m.vb[mes],$A45
)</f>
        <v>0</v>
      </c>
      <c r="AJ45" s="119">
        <f>COUNTIFS(
    tb_estq[empresa], AJ$6,
    tb_estq[Data da venda / reserva], "&gt;=" &amp; $A45,
    tb_estq[Data da venda / reserva], "&lt;"  &amp; EOMONTH($A45,0) + 1
)</f>
        <v>0</v>
      </c>
      <c r="AK45" s="120">
        <f ca="1">SUMIFS(tb_rec_uni[2024-07-01],
INDIRECT("tb_rec_uni[natureza]"),"pro.soluto",
INDIRECT("tb_rec_uni[empresa]"),AK$6)</f>
        <v>0</v>
      </c>
      <c r="AL45" s="120">
        <f ca="1">SUMIFS(tb_rec_uni[2024-07-01],
INDIRECT("tb_rec_uni[natureza]"),"repasse.cef.obra",
INDIRECT("tb_rec_uni[empresa]"),AL$6)</f>
        <v>0</v>
      </c>
      <c r="AM45" s="120">
        <f ca="1">SUMIFS(tb_rec_uni[2024-07-01],
INDIRECT("tb_rec_uni[natureza]"),"repasse.cef.terreno",
INDIRECT("tb_rec_uni[empresa]"),AM$6)</f>
        <v>0</v>
      </c>
      <c r="AN45" s="120">
        <v>0</v>
      </c>
      <c r="AO45" s="120">
        <f ca="1">SUMIFS(tb_rec_uni[2024-07-01],
INDIRECT("tb_rec_uni[natureza]"),"taxa.extra",
INDIRECT("tb_rec_uni[empresa]"),AO$6)</f>
        <v>0</v>
      </c>
      <c r="AP45" s="108"/>
      <c r="AQ45" s="120">
        <f ca="1">SUMIFS(
  m.vb[valor],
  m.vb[nucleo],$AJ$1,
  m.vb[variavel],AQ$7,
  m.vb[mes],$A45
)</f>
        <v>0</v>
      </c>
      <c r="AR45" s="120">
        <f ca="1">SUMIFS(
  m.vb[valor],
  m.vb[nucleo],$AJ$1,
  m.vb[variavel],AR$7,
  m.vb[mes],$A45
)</f>
        <v>0</v>
      </c>
      <c r="AS45" s="120">
        <f ca="1">SUMIFS(
  m.vb[valor],
  m.vb[nucleo],$AJ$1,
  m.vb[variavel],AS$7,
  m.vb[mes],$A45
)</f>
        <v>0</v>
      </c>
      <c r="AT45" s="120">
        <f ca="1">SUMIFS(
  m.vb[valor],
  m.vb[nucleo],$AJ$1,
  m.vb[variavel],AT$7,
  m.vb[mes],$A45
)</f>
        <v>0</v>
      </c>
      <c r="AU45" s="121">
        <f ca="1">SUMIFS(
  m.vb[valor],
  m.vb[nucleo],$AJ$1,
  m.vb[variavel],AU$7,
  m.vb[mes],$A45
)</f>
        <v>0</v>
      </c>
      <c r="AV45" s="119">
        <f>COUNTIFS(
    tb_estq[empresa], AV$6,
    tb_estq[Data da venda / reserva], "&gt;=" &amp; $A45,
    tb_estq[Data da venda / reserva], "&lt;"  &amp; EOMONTH($A45,0) + 1
)</f>
        <v>0</v>
      </c>
      <c r="AW45" s="120">
        <f ca="1">SUMIFS(tb_rec_uni[2024-07-01],
INDIRECT("tb_rec_uni[natureza]"),"pro.soluto",
INDIRECT("tb_rec_uni[empresa]"),AW$6)</f>
        <v>0</v>
      </c>
      <c r="AX45" s="120">
        <f ca="1">SUMIFS(tb_rec_uni[2024-07-01],
INDIRECT("tb_rec_uni[natureza]"),"repasse.cef.obra",
INDIRECT("tb_rec_uni[empresa]"),AX$6)</f>
        <v>0</v>
      </c>
      <c r="AY45" s="120">
        <f ca="1">SUMIFS(tb_rec_uni[2024-07-01],
INDIRECT("tb_rec_uni[natureza]"),"repasse.cef.terreno",
INDIRECT("tb_rec_uni[empresa]"),AY$6)</f>
        <v>0</v>
      </c>
      <c r="AZ45" s="120">
        <v>0</v>
      </c>
      <c r="BA45" s="120">
        <f ca="1">SUMIFS(tb_rec_uni[2024-07-01],
INDIRECT("tb_rec_uni[natureza]"),"taxa.extra",
INDIRECT("tb_rec_uni[empresa]"),BA$6)</f>
        <v>0</v>
      </c>
      <c r="BB45" s="108"/>
      <c r="BC45" s="120">
        <f ca="1">SUMIFS(
  m.vb[valor],
  m.vb[nucleo],$AV$1,
  m.vb[variavel],BC$7,
  m.vb[mes],$A45
)</f>
        <v>0</v>
      </c>
      <c r="BD45" s="120">
        <f ca="1">SUMIFS(
  m.vb[valor],
  m.vb[nucleo],$AV$1,
  m.vb[variavel],BD$7,
  m.vb[mes],$A45
)</f>
        <v>0</v>
      </c>
      <c r="BE45" s="120">
        <f ca="1">SUMIFS(
  m.vb[valor],
  m.vb[nucleo],$AV$1,
  m.vb[variavel],BE$7,
  m.vb[mes],$A45
)</f>
        <v>0</v>
      </c>
      <c r="BF45" s="120">
        <f ca="1">SUMIFS(
  m.vb[valor],
  m.vb[nucleo],$AV$1,
  m.vb[variavel],BF$7,
  m.vb[mes],$A45
)</f>
        <v>0</v>
      </c>
      <c r="BG45" s="121">
        <f ca="1">SUMIFS(
  m.vb[valor],
  m.vb[nucleo],$AV$1,
  m.vb[variavel],BG$7,
  m.vb[mes],$A45
)</f>
        <v>0</v>
      </c>
      <c r="BH45" s="119">
        <f>COUNTIFS(
    tb_estq[empresa], BH$6,
    tb_estq[Data da venda / reserva], "&gt;=" &amp; $A45,
    tb_estq[Data da venda / reserva], "&lt;"  &amp; EOMONTH($A45,0) + 1
)</f>
        <v>0</v>
      </c>
      <c r="BI45" s="120">
        <f ca="1">SUMIFS(tb_rec_uni[2024-07-01],
INDIRECT("tb_rec_uni[natureza]"),"pro.soluto",
INDIRECT("tb_rec_uni[empresa]"),BI$6)</f>
        <v>0</v>
      </c>
      <c r="BJ45" s="108">
        <v>0</v>
      </c>
      <c r="BK45" s="120">
        <f ca="1">SUMIFS(tb_rec_uni[2024-07-01],
INDIRECT("tb_rec_uni[natureza]"),"taxa.extra",
INDIRECT("tb_rec_uni[empresa]"),BK$6)</f>
        <v>0</v>
      </c>
      <c r="BL45" s="108"/>
      <c r="BM45" s="120">
        <f ca="1">SUMIFS(
  m.vb[valor],
  m.vb[nucleo],$BH$1,
  m.vb[variavel],BM$7,
  m.vb[mes],$A45
)</f>
        <v>0</v>
      </c>
      <c r="BN45" s="120">
        <f ca="1">SUMIFS(
  m.vb[valor],
  m.vb[nucleo],$BH$1,
  m.vb[variavel],BN$7,
  m.vb[mes],$A45
)</f>
        <v>0</v>
      </c>
      <c r="BO45" s="120">
        <f ca="1">SUMIFS(
  m.vb[valor],
  m.vb[nucleo],$BH$1,
  m.vb[variavel],BO$7,
  m.vb[mes],$A45
)</f>
        <v>0</v>
      </c>
      <c r="BP45" s="120">
        <f ca="1">SUMIFS(
  m.vb[valor],
  m.vb[nucleo],$BH$1,
  m.vb[variavel],BP$7,
  m.vb[mes],$A45
)</f>
        <v>0</v>
      </c>
      <c r="BQ45" s="121">
        <f ca="1">SUMIFS(
  m.vb[valor],
  m.vb[nucleo],$BH$1,
  m.vb[variavel],BQ$7,
  m.vb[mes],$A45
)</f>
        <v>0</v>
      </c>
      <c r="BR45" s="119">
        <f>COUNTIFS(
    tb_estq[empresa], BR$6,
    tb_estq[Data da venda / reserva], "&gt;=" &amp; $A45,
    tb_estq[Data da venda / reserva], "&lt;"  &amp; EOMONTH($A45,0) + 1
)</f>
        <v>0</v>
      </c>
      <c r="BS45" s="120">
        <f ca="1">SUMIFS(tb_rec_uni[2024-07-01],
INDIRECT("tb_rec_uni[natureza]"),"pro.soluto",
INDIRECT("tb_rec_uni[empresa]"),BS$6)</f>
        <v>0</v>
      </c>
      <c r="BT45" s="120">
        <f ca="1">SUMIFS(tb_rec_uni[2024-07-01],
INDIRECT("tb_rec_uni[natureza]"),"parcela.fin.total.ik",
INDIRECT("tb_rec_uni[empresa]"),BT$6)</f>
        <v>0</v>
      </c>
      <c r="BU45" s="120">
        <f ca="1">SUMIFS(tb_rec_uni[2024-07-01],
INDIRECT("tb_rec_uni[natureza]"),"taxa.extra",
INDIRECT("tb_rec_uni[empresa]"),BU$6)</f>
        <v>0</v>
      </c>
      <c r="BV45" s="108"/>
      <c r="BW45" s="120">
        <f ca="1">SUMIFS(
  m.vb[valor],
  m.vb[nucleo],$BR$1,
  m.vb[variavel],BW$7,
  m.vb[mes],$A45
)</f>
        <v>0</v>
      </c>
      <c r="BX45" s="120">
        <f ca="1">SUMIFS(
  m.vb[valor],
  m.vb[nucleo],$BR$1,
  m.vb[variavel],BX$7,
  m.vb[mes],$A45
)</f>
        <v>0</v>
      </c>
      <c r="BY45" s="120">
        <f ca="1">SUMIFS(
  m.vb[valor],
  m.vb[nucleo],$BR$1,
  m.vb[variavel],BY$7,
  m.vb[mes],$A45
)</f>
        <v>0</v>
      </c>
      <c r="BZ45" s="120">
        <f ca="1">SUMIFS(
  m.vb[valor],
  m.vb[nucleo],$BR$1,
  m.vb[variavel],BZ$7,
  m.vb[mes],$A45
)</f>
        <v>0</v>
      </c>
      <c r="CA45" s="121">
        <f ca="1">SUMIFS(
  m.vb[valor],
  m.vb[nucleo],$BR$1,
  m.vb[variavel],CA$7,
  m.vb[mes],$A45
)</f>
        <v>0</v>
      </c>
      <c r="CB45" s="119">
        <f>COUNTIFS(
    tb_estq[empresa], CB$6,
    tb_estq[Data da venda / reserva], "&gt;=" &amp; $A45,
    tb_estq[Data da venda / reserva], "&lt;"  &amp; EOMONTH($A45,0) + 1
)</f>
        <v>0</v>
      </c>
      <c r="CC45" s="120">
        <f ca="1">SUMIFS(tb_rec_uni[2024-07-01],
INDIRECT("tb_rec_uni[natureza]"),"pro.soluto",
INDIRECT("tb_rec_uni[empresa]"),CC$6)</f>
        <v>0</v>
      </c>
      <c r="CD45" s="120">
        <f ca="1">SUMIFS(tb_rec_uni[2024-07-01],
INDIRECT("tb_rec_uni[natureza]"),"repasse.cef.obra",
INDIRECT("tb_rec_uni[empresa]"),CD$6)</f>
        <v>0</v>
      </c>
      <c r="CE45" s="120">
        <f ca="1">SUMIFS(tb_rec_uni[2024-07-01],
INDIRECT("tb_rec_uni[natureza]"),"repasse.cef.terreno",
INDIRECT("tb_rec_uni[empresa]"),CE$6)</f>
        <v>0</v>
      </c>
      <c r="CF45" s="120">
        <v>0</v>
      </c>
      <c r="CG45" s="120">
        <f ca="1">SUMIFS(tb_rec_uni[2024-07-01],
INDIRECT("tb_rec_uni[natureza]"),"taxa.extra",
INDIRECT("tb_rec_uni[empresa]"),CG$6)</f>
        <v>0</v>
      </c>
      <c r="CH45" s="108"/>
      <c r="CI45" s="120">
        <f ca="1">SUMIFS(
  m.vb[valor],
  m.vb[nucleo],$CB$1,
  m.vb[variavel],CI$7,
  m.vb[mes],$A45
)</f>
        <v>0</v>
      </c>
      <c r="CJ45" s="120">
        <f ca="1">SUMIFS(
  m.vb[valor],
  m.vb[nucleo],$CB$1,
  m.vb[variavel],CJ$7,
  m.vb[mes],$A45
)</f>
        <v>0</v>
      </c>
      <c r="CK45" s="120">
        <f ca="1">SUMIFS(
  m.vb[valor],
  m.vb[nucleo],$CB$1,
  m.vb[variavel],CK$7,
  m.vb[mes],$A45
)</f>
        <v>0</v>
      </c>
      <c r="CL45" s="120">
        <f ca="1">SUMIFS(
  m.vb[valor],
  m.vb[nucleo],$CB$1,
  m.vb[variavel],CL$7,
  m.vb[mes],$A45
)</f>
        <v>0</v>
      </c>
      <c r="CM45" s="121">
        <f ca="1">SUMIFS(
  m.vb[valor],
  m.vb[nucleo],$CB$1,
  m.vb[variavel],CM$7,
  m.vb[mes],$A45
)</f>
        <v>0</v>
      </c>
      <c r="CN45" s="119">
        <f>COUNTIFS(
    tb_estq[empresa], CN$6,
    tb_estq[Data da venda / reserva], "&gt;=" &amp; $A45,
    tb_estq[Data da venda / reserva], "&lt;"  &amp; EOMONTH($A45,0) + 1
)</f>
        <v>0</v>
      </c>
      <c r="CO45" s="120">
        <f ca="1">SUMIFS(tb_rec_uni[2024-07-01],
INDIRECT("tb_rec_uni[natureza]"),"pro.soluto",
INDIRECT("tb_rec_uni[empresa]"),CO$6)</f>
        <v>0</v>
      </c>
      <c r="CP45" s="120">
        <f ca="1">SUMIFS(tb_rec_uni[2024-07-01],
INDIRECT("tb_rec_uni[natureza]"),"repasse.cef.obra",
INDIRECT("tb_rec_uni[empresa]"),CP$6)</f>
        <v>0</v>
      </c>
      <c r="CQ45" s="120">
        <f ca="1">SUMIFS(tb_rec_uni[2024-07-01],
INDIRECT("tb_rec_uni[natureza]"),"repasse.cef.terreno",
INDIRECT("tb_rec_uni[empresa]"),CQ$6)</f>
        <v>0</v>
      </c>
      <c r="CR45" s="120">
        <v>0</v>
      </c>
      <c r="CS45" s="120">
        <f ca="1">SUMIFS(tb_rec_uni[2024-07-01],
INDIRECT("tb_rec_uni[natureza]"),"taxa.extra",
INDIRECT("tb_rec_uni[empresa]"),CS$6)</f>
        <v>0</v>
      </c>
      <c r="CT45" s="108"/>
      <c r="CU45" s="120">
        <f ca="1">SUMIFS(
  m.vb[valor],
  m.vb[nucleo],$CN$1,
  m.vb[variavel],CU$7,
  m.vb[mes],$A45
)</f>
        <v>0</v>
      </c>
      <c r="CV45" s="120" cm="1">
        <f t="array" ref="CV45">SUMPRODUCT(
  IFERROR(--tb_desp[valor],0)*
  (tb_desp[nucleo]="UP MOVE VILA SONIA")*
  (tb_desp[categoria]=CV$7)*
  (tb_desp[data.pagamento]&gt;=$A45)*
  (tb_desp[data.pagamento]&lt;EOMONTH($A45,0)+1)
)</f>
        <v>0</v>
      </c>
      <c r="CW45" s="120" cm="1">
        <f t="array" ref="CW45">SUMPRODUCT(
  IFERROR(--tb_desp[valor],0)*
  (tb_desp[nucleo]="UP MOVE VILA SONIA")*
  (tb_desp[categoria]=CW$7)*
  (tb_desp[data.pagamento]&gt;=$A45)*
  (tb_desp[data.pagamento]&lt;EOMONTH($A45,0)+1)
)</f>
        <v>0</v>
      </c>
      <c r="CX45" s="120" cm="1">
        <f t="array" ref="CX45">SUMPRODUCT(
  IFERROR(--tb_desp[valor],0)*
  (tb_desp[nucleo]="UP MOVE VILA SONIA")*
  (tb_desp[categoria]=CX$7)*
  (tb_desp[data.pagamento]&gt;=$A45)*
  (tb_desp[data.pagamento]&lt;EOMONTH($A45,0)+1)
)</f>
        <v>0</v>
      </c>
      <c r="CY45" s="122" cm="1">
        <f t="array" ref="CY45">SUMPRODUCT(
  IFERROR(--tb_desp[valor],0)*
  (tb_desp[nucleo]="UP MOVE VILA SONIA")*
  (tb_desp[categoria]=CY$7)*
  (tb_desp[data.pagamento]&gt;=$A45)*
  (tb_desp[data.pagamento]&lt;EOMONTH($A45,0)+1)
)</f>
        <v>0</v>
      </c>
    </row>
    <row r="46" spans="1:103" x14ac:dyDescent="0.25">
      <c r="A46" s="118">
        <v>45505</v>
      </c>
      <c r="B46" s="119">
        <f>COUNTIFS(
    tb_estq[empresa], B$6,
    tb_estq[Data da venda / reserva], "&gt;=" &amp; $A46,
    tb_estq[Data da venda / reserva], "&lt;"  &amp; EOMONTH($A46,0) + 1
)</f>
        <v>0</v>
      </c>
      <c r="C46" s="120">
        <f ca="1">SUMIFS(tb_rec_uni[2024-08-01],
INDIRECT("tb_rec_uni[natureza]"),"pro.soluto",
INDIRECT("tb_rec_uni[empresa]"),C$6)</f>
        <v>0</v>
      </c>
      <c r="D46" s="120">
        <f ca="1">SUMIFS(tb_rec_uni[2024-08-01],
INDIRECT("tb_rec_uni[natureza]"),"repasse.cef.obra",
INDIRECT("tb_rec_uni[empresa]"),D$6)</f>
        <v>0</v>
      </c>
      <c r="E46" s="120">
        <f ca="1">SUMIFS(tb_rec_uni[2024-08-01],
INDIRECT("tb_rec_uni[natureza]"),"repasse.cef.terreno",
INDIRECT("tb_rec_uni[empresa]"),E$6)</f>
        <v>0</v>
      </c>
      <c r="F46" s="120">
        <v>0</v>
      </c>
      <c r="G46" s="120">
        <f ca="1">SUMIFS(tb_rec_uni[2024-08-01],
INDIRECT("tb_rec_uni[natureza]"),"taxa.extra",
INDIRECT("tb_rec_uni[empresa]"),G$6)</f>
        <v>0</v>
      </c>
      <c r="H46" s="108"/>
      <c r="I46" s="120">
        <f ca="1">SUMIFS(
  m.vb[valor],
  m.vb[nucleo],$B$1,
  m.vb[variavel],I$7,
  m.vb[mes],$A46
)</f>
        <v>0</v>
      </c>
      <c r="J46" s="120">
        <f ca="1">SUMIFS(
  m.vb[valor],
  m.vb[nucleo],$B$1,
  m.vb[variavel],J$7,
  m.vb[mes],$A46
)</f>
        <v>0</v>
      </c>
      <c r="K46" s="120">
        <f ca="1">SUMIFS(
  m.vb[valor],
  m.vb[nucleo],$B$1,
  m.vb[variavel],K$7,
  m.vb[mes],$A46
)</f>
        <v>0</v>
      </c>
      <c r="L46" s="120">
        <f ca="1">SUMIFS(
  m.vb[valor],
  m.vb[nucleo],$B$1,
  m.vb[variavel],L$7,
  m.vb[mes],$A46
)</f>
        <v>0</v>
      </c>
      <c r="M46" s="121">
        <f ca="1">SUMIFS(
  m.vb[valor],
  m.vb[nucleo],$B$1,
  m.vb[variavel],M$7,
  m.vb[mes],$A46
)</f>
        <v>0</v>
      </c>
      <c r="N46" s="119">
        <f>COUNTIFS(
    tb_estq[empresa], N$6,
    tb_estq[Data da venda / reserva], "&gt;=" &amp; $A46,
    tb_estq[Data da venda / reserva], "&lt;"  &amp; EOMONTH($A46,0) + 1
)</f>
        <v>0</v>
      </c>
      <c r="O46" s="120">
        <f ca="1">SUMIFS(tb_rec_uni[2024-08-01],
INDIRECT("tb_rec_uni[natureza]"),"pro.soluto",
INDIRECT("tb_rec_uni[empresa]"),O$6)</f>
        <v>0</v>
      </c>
      <c r="P46" s="120">
        <f ca="1">SUMIFS(tb_rec_uni[2024-08-01],
INDIRECT("tb_rec_uni[natureza]"),"repasse.cef.obra",
INDIRECT("tb_rec_uni[empresa]"),P$6)</f>
        <v>0</v>
      </c>
      <c r="Q46" s="120">
        <f ca="1">SUMIFS(tb_rec_uni[2024-08-01],
INDIRECT("tb_rec_uni[natureza]"),"repasse.cef.terreno",
INDIRECT("tb_rec_uni[empresa]"),Q$6)</f>
        <v>0</v>
      </c>
      <c r="R46" s="120">
        <v>0</v>
      </c>
      <c r="S46" s="120">
        <f ca="1">SUMIFS(tb_rec_uni[2024-08-01],
INDIRECT("tb_rec_uni[natureza]"),"taxa.extra",
INDIRECT("tb_rec_uni[empresa]"),S$6)</f>
        <v>0</v>
      </c>
      <c r="T46" s="108"/>
      <c r="U46" s="120">
        <f ca="1">SUMIFS(
  m.vb[valor],
  m.vb[nucleo],$N$1,
  m.vb[variavel],U$7,
  m.vb[mes],$A46
)</f>
        <v>0</v>
      </c>
      <c r="V46" s="120">
        <f ca="1">SUMIFS(
  m.vb[valor],
  m.vb[nucleo],$N$1,
  m.vb[variavel],V$7,
  m.vb[mes],$A46
)</f>
        <v>0</v>
      </c>
      <c r="W46" s="120">
        <f ca="1">SUMIFS(
  m.vb[valor],
  m.vb[nucleo],$N$1,
  m.vb[variavel],W$7,
  m.vb[mes],$A46
)</f>
        <v>0</v>
      </c>
      <c r="X46" s="120">
        <f ca="1">SUMIFS(
  m.vb[valor],
  m.vb[nucleo],$N$1,
  m.vb[variavel],X$7,
  m.vb[mes],$A46
)</f>
        <v>0</v>
      </c>
      <c r="Y46" s="121">
        <f ca="1">SUMIFS(
  m.vb[valor],
  m.vb[nucleo],$N$1,
  m.vb[variavel],Y$7,
  m.vb[mes],$A46
)</f>
        <v>0</v>
      </c>
      <c r="Z46" s="119">
        <f>COUNTIFS(
    tb_estq[empresa], Z$6,
    tb_estq[Data da venda / reserva], "&gt;=" &amp; $A46,
    tb_estq[Data da venda / reserva], "&lt;"  &amp; EOMONTH($A46,0) + 1
)</f>
        <v>0</v>
      </c>
      <c r="AA46" s="120">
        <f ca="1">SUMIFS(tb_rec_uni[2024-08-01],
INDIRECT("tb_rec_uni[natureza]"),"pro.soluto",
INDIRECT("tb_rec_uni[empresa]"),AA$6)</f>
        <v>0</v>
      </c>
      <c r="AB46" s="120">
        <f ca="1">SUMIFS(tb_rec_uni[2024-08-01],
INDIRECT("tb_rec_uni[natureza]"),"parcela.fin.total.ik",
INDIRECT("tb_rec_uni[empresa]"),AB$6)</f>
        <v>0</v>
      </c>
      <c r="AC46" s="120">
        <f ca="1">SUMIFS(tb_rec_uni[2024-08-01],
INDIRECT("tb_rec_uni[natureza]"),"taxa.extra",
INDIRECT("tb_rec_uni[empresa]"),AC$6)</f>
        <v>0</v>
      </c>
      <c r="AD46" s="108"/>
      <c r="AE46" s="120">
        <f ca="1">SUMIFS(
  m.vb[valor],
  m.vb[nucleo],$Z$1,
  m.vb[variavel],AE$7,
  m.vb[mes],$A46
)</f>
        <v>0</v>
      </c>
      <c r="AF46" s="120">
        <f ca="1">SUMIFS(
  m.vb[valor],
  m.vb[nucleo],$Z$1,
  m.vb[variavel],AF$7,
  m.vb[mes],$A46
)</f>
        <v>0</v>
      </c>
      <c r="AG46" s="120">
        <f ca="1">SUMIFS(
  m.vb[valor],
  m.vb[nucleo],$Z$1,
  m.vb[variavel],AG$7,
  m.vb[mes],$A46
)</f>
        <v>0</v>
      </c>
      <c r="AH46" s="120">
        <f ca="1">SUMIFS(
  m.vb[valor],
  m.vb[nucleo],$Z$1,
  m.vb[variavel],AH$7,
  m.vb[mes],$A46
)</f>
        <v>0</v>
      </c>
      <c r="AI46" s="121">
        <f ca="1">SUMIFS(
  m.vb[valor],
  m.vb[nucleo],$Z$1,
  m.vb[variavel],AI$7,
  m.vb[mes],$A46
)</f>
        <v>0</v>
      </c>
      <c r="AJ46" s="119">
        <f>COUNTIFS(
    tb_estq[empresa], AJ$6,
    tb_estq[Data da venda / reserva], "&gt;=" &amp; $A46,
    tb_estq[Data da venda / reserva], "&lt;"  &amp; EOMONTH($A46,0) + 1
)</f>
        <v>0</v>
      </c>
      <c r="AK46" s="120">
        <f ca="1">SUMIFS(tb_rec_uni[2024-08-01],
INDIRECT("tb_rec_uni[natureza]"),"pro.soluto",
INDIRECT("tb_rec_uni[empresa]"),AK$6)</f>
        <v>0</v>
      </c>
      <c r="AL46" s="120">
        <f ca="1">SUMIFS(tb_rec_uni[2024-08-01],
INDIRECT("tb_rec_uni[natureza]"),"repasse.cef.obra",
INDIRECT("tb_rec_uni[empresa]"),AL$6)</f>
        <v>0</v>
      </c>
      <c r="AM46" s="120">
        <f ca="1">SUMIFS(tb_rec_uni[2024-08-01],
INDIRECT("tb_rec_uni[natureza]"),"repasse.cef.terreno",
INDIRECT("tb_rec_uni[empresa]"),AM$6)</f>
        <v>0</v>
      </c>
      <c r="AN46" s="120">
        <v>0</v>
      </c>
      <c r="AO46" s="120">
        <f ca="1">SUMIFS(tb_rec_uni[2024-08-01],
INDIRECT("tb_rec_uni[natureza]"),"taxa.extra",
INDIRECT("tb_rec_uni[empresa]"),AO$6)</f>
        <v>0</v>
      </c>
      <c r="AP46" s="108"/>
      <c r="AQ46" s="120">
        <f ca="1">SUMIFS(
  m.vb[valor],
  m.vb[nucleo],$AJ$1,
  m.vb[variavel],AQ$7,
  m.vb[mes],$A46
)</f>
        <v>0</v>
      </c>
      <c r="AR46" s="120">
        <f ca="1">SUMIFS(
  m.vb[valor],
  m.vb[nucleo],$AJ$1,
  m.vb[variavel],AR$7,
  m.vb[mes],$A46
)</f>
        <v>0</v>
      </c>
      <c r="AS46" s="120">
        <f ca="1">SUMIFS(
  m.vb[valor],
  m.vb[nucleo],$AJ$1,
  m.vb[variavel],AS$7,
  m.vb[mes],$A46
)</f>
        <v>0</v>
      </c>
      <c r="AT46" s="120">
        <f ca="1">SUMIFS(
  m.vb[valor],
  m.vb[nucleo],$AJ$1,
  m.vb[variavel],AT$7,
  m.vb[mes],$A46
)</f>
        <v>0</v>
      </c>
      <c r="AU46" s="121">
        <f ca="1">SUMIFS(
  m.vb[valor],
  m.vb[nucleo],$AJ$1,
  m.vb[variavel],AU$7,
  m.vb[mes],$A46
)</f>
        <v>0</v>
      </c>
      <c r="AV46" s="119">
        <f>COUNTIFS(
    tb_estq[empresa], AV$6,
    tb_estq[Data da venda / reserva], "&gt;=" &amp; $A46,
    tb_estq[Data da venda / reserva], "&lt;"  &amp; EOMONTH($A46,0) + 1
)</f>
        <v>0</v>
      </c>
      <c r="AW46" s="120">
        <f ca="1">SUMIFS(tb_rec_uni[2024-08-01],
INDIRECT("tb_rec_uni[natureza]"),"pro.soluto",
INDIRECT("tb_rec_uni[empresa]"),AW$6)</f>
        <v>0</v>
      </c>
      <c r="AX46" s="120">
        <f ca="1">SUMIFS(tb_rec_uni[2024-08-01],
INDIRECT("tb_rec_uni[natureza]"),"repasse.cef.obra",
INDIRECT("tb_rec_uni[empresa]"),AX$6)</f>
        <v>0</v>
      </c>
      <c r="AY46" s="120">
        <f ca="1">SUMIFS(tb_rec_uni[2024-08-01],
INDIRECT("tb_rec_uni[natureza]"),"repasse.cef.terreno",
INDIRECT("tb_rec_uni[empresa]"),AY$6)</f>
        <v>0</v>
      </c>
      <c r="AZ46" s="120">
        <v>0</v>
      </c>
      <c r="BA46" s="120">
        <f ca="1">SUMIFS(tb_rec_uni[2024-08-01],
INDIRECT("tb_rec_uni[natureza]"),"taxa.extra",
INDIRECT("tb_rec_uni[empresa]"),BA$6)</f>
        <v>0</v>
      </c>
      <c r="BB46" s="108"/>
      <c r="BC46" s="120">
        <f ca="1">SUMIFS(
  m.vb[valor],
  m.vb[nucleo],$AV$1,
  m.vb[variavel],BC$7,
  m.vb[mes],$A46
)</f>
        <v>0</v>
      </c>
      <c r="BD46" s="120">
        <f ca="1">SUMIFS(
  m.vb[valor],
  m.vb[nucleo],$AV$1,
  m.vb[variavel],BD$7,
  m.vb[mes],$A46
)</f>
        <v>0</v>
      </c>
      <c r="BE46" s="120">
        <f ca="1">SUMIFS(
  m.vb[valor],
  m.vb[nucleo],$AV$1,
  m.vb[variavel],BE$7,
  m.vb[mes],$A46
)</f>
        <v>0</v>
      </c>
      <c r="BF46" s="120">
        <f ca="1">SUMIFS(
  m.vb[valor],
  m.vb[nucleo],$AV$1,
  m.vb[variavel],BF$7,
  m.vb[mes],$A46
)</f>
        <v>0</v>
      </c>
      <c r="BG46" s="121">
        <f ca="1">SUMIFS(
  m.vb[valor],
  m.vb[nucleo],$AV$1,
  m.vb[variavel],BG$7,
  m.vb[mes],$A46
)</f>
        <v>0</v>
      </c>
      <c r="BH46" s="119">
        <f>COUNTIFS(
    tb_estq[empresa], BH$6,
    tb_estq[Data da venda / reserva], "&gt;=" &amp; $A46,
    tb_estq[Data da venda / reserva], "&lt;"  &amp; EOMONTH($A46,0) + 1
)</f>
        <v>0</v>
      </c>
      <c r="BI46" s="120">
        <f ca="1">SUMIFS(tb_rec_uni[2024-08-01],
INDIRECT("tb_rec_uni[natureza]"),"pro.soluto",
INDIRECT("tb_rec_uni[empresa]"),BI$6)</f>
        <v>0</v>
      </c>
      <c r="BJ46" s="108">
        <v>0</v>
      </c>
      <c r="BK46" s="120">
        <f ca="1">SUMIFS(tb_rec_uni[2024-08-01],
INDIRECT("tb_rec_uni[natureza]"),"taxa.extra",
INDIRECT("tb_rec_uni[empresa]"),BK$6)</f>
        <v>0</v>
      </c>
      <c r="BL46" s="108"/>
      <c r="BM46" s="120">
        <f ca="1">SUMIFS(
  m.vb[valor],
  m.vb[nucleo],$BH$1,
  m.vb[variavel],BM$7,
  m.vb[mes],$A46
)</f>
        <v>0</v>
      </c>
      <c r="BN46" s="120">
        <f ca="1">SUMIFS(
  m.vb[valor],
  m.vb[nucleo],$BH$1,
  m.vb[variavel],BN$7,
  m.vb[mes],$A46
)</f>
        <v>0</v>
      </c>
      <c r="BO46" s="120">
        <f ca="1">SUMIFS(
  m.vb[valor],
  m.vb[nucleo],$BH$1,
  m.vb[variavel],BO$7,
  m.vb[mes],$A46
)</f>
        <v>0</v>
      </c>
      <c r="BP46" s="120">
        <f ca="1">SUMIFS(
  m.vb[valor],
  m.vb[nucleo],$BH$1,
  m.vb[variavel],BP$7,
  m.vb[mes],$A46
)</f>
        <v>0</v>
      </c>
      <c r="BQ46" s="121">
        <f ca="1">SUMIFS(
  m.vb[valor],
  m.vb[nucleo],$BH$1,
  m.vb[variavel],BQ$7,
  m.vb[mes],$A46
)</f>
        <v>0</v>
      </c>
      <c r="BR46" s="119">
        <f>COUNTIFS(
    tb_estq[empresa], BR$6,
    tb_estq[Data da venda / reserva], "&gt;=" &amp; $A46,
    tb_estq[Data da venda / reserva], "&lt;"  &amp; EOMONTH($A46,0) + 1
)</f>
        <v>0</v>
      </c>
      <c r="BS46" s="120">
        <f ca="1">SUMIFS(tb_rec_uni[2024-08-01],
INDIRECT("tb_rec_uni[natureza]"),"pro.soluto",
INDIRECT("tb_rec_uni[empresa]"),BS$6)</f>
        <v>0</v>
      </c>
      <c r="BT46" s="120">
        <f ca="1">SUMIFS(tb_rec_uni[2024-08-01],
INDIRECT("tb_rec_uni[natureza]"),"parcela.fin.total.ik",
INDIRECT("tb_rec_uni[empresa]"),BT$6)</f>
        <v>0</v>
      </c>
      <c r="BU46" s="120">
        <f ca="1">SUMIFS(tb_rec_uni[2024-08-01],
INDIRECT("tb_rec_uni[natureza]"),"taxa.extra",
INDIRECT("tb_rec_uni[empresa]"),BU$6)</f>
        <v>0</v>
      </c>
      <c r="BV46" s="108"/>
      <c r="BW46" s="120">
        <f ca="1">SUMIFS(
  m.vb[valor],
  m.vb[nucleo],$BR$1,
  m.vb[variavel],BW$7,
  m.vb[mes],$A46
)</f>
        <v>0</v>
      </c>
      <c r="BX46" s="120">
        <f ca="1">SUMIFS(
  m.vb[valor],
  m.vb[nucleo],$BR$1,
  m.vb[variavel],BX$7,
  m.vb[mes],$A46
)</f>
        <v>0</v>
      </c>
      <c r="BY46" s="120">
        <f ca="1">SUMIFS(
  m.vb[valor],
  m.vb[nucleo],$BR$1,
  m.vb[variavel],BY$7,
  m.vb[mes],$A46
)</f>
        <v>0</v>
      </c>
      <c r="BZ46" s="120">
        <f ca="1">SUMIFS(
  m.vb[valor],
  m.vb[nucleo],$BR$1,
  m.vb[variavel],BZ$7,
  m.vb[mes],$A46
)</f>
        <v>0</v>
      </c>
      <c r="CA46" s="121">
        <f ca="1">SUMIFS(
  m.vb[valor],
  m.vb[nucleo],$BR$1,
  m.vb[variavel],CA$7,
  m.vb[mes],$A46
)</f>
        <v>0</v>
      </c>
      <c r="CB46" s="119">
        <f>COUNTIFS(
    tb_estq[empresa], CB$6,
    tb_estq[Data da venda / reserva], "&gt;=" &amp; $A46,
    tb_estq[Data da venda / reserva], "&lt;"  &amp; EOMONTH($A46,0) + 1
)</f>
        <v>0</v>
      </c>
      <c r="CC46" s="120">
        <f ca="1">SUMIFS(tb_rec_uni[2024-08-01],
INDIRECT("tb_rec_uni[natureza]"),"pro.soluto",
INDIRECT("tb_rec_uni[empresa]"),CC$6)</f>
        <v>0</v>
      </c>
      <c r="CD46" s="120">
        <f ca="1">SUMIFS(tb_rec_uni[2024-08-01],
INDIRECT("tb_rec_uni[natureza]"),"repasse.cef.obra",
INDIRECT("tb_rec_uni[empresa]"),CD$6)</f>
        <v>0</v>
      </c>
      <c r="CE46" s="120">
        <f ca="1">SUMIFS(tb_rec_uni[2024-08-01],
INDIRECT("tb_rec_uni[natureza]"),"repasse.cef.terreno",
INDIRECT("tb_rec_uni[empresa]"),CE$6)</f>
        <v>0</v>
      </c>
      <c r="CF46" s="120">
        <v>0</v>
      </c>
      <c r="CG46" s="120">
        <f ca="1">SUMIFS(tb_rec_uni[2024-08-01],
INDIRECT("tb_rec_uni[natureza]"),"taxa.extra",
INDIRECT("tb_rec_uni[empresa]"),CG$6)</f>
        <v>0</v>
      </c>
      <c r="CH46" s="108"/>
      <c r="CI46" s="120">
        <f ca="1">SUMIFS(
  m.vb[valor],
  m.vb[nucleo],$CB$1,
  m.vb[variavel],CI$7,
  m.vb[mes],$A46
)</f>
        <v>0</v>
      </c>
      <c r="CJ46" s="120">
        <f ca="1">SUMIFS(
  m.vb[valor],
  m.vb[nucleo],$CB$1,
  m.vb[variavel],CJ$7,
  m.vb[mes],$A46
)</f>
        <v>0</v>
      </c>
      <c r="CK46" s="120">
        <f ca="1">SUMIFS(
  m.vb[valor],
  m.vb[nucleo],$CB$1,
  m.vb[variavel],CK$7,
  m.vb[mes],$A46
)</f>
        <v>0</v>
      </c>
      <c r="CL46" s="120">
        <f ca="1">SUMIFS(
  m.vb[valor],
  m.vb[nucleo],$CB$1,
  m.vb[variavel],CL$7,
  m.vb[mes],$A46
)</f>
        <v>0</v>
      </c>
      <c r="CM46" s="121">
        <f ca="1">SUMIFS(
  m.vb[valor],
  m.vb[nucleo],$CB$1,
  m.vb[variavel],CM$7,
  m.vb[mes],$A46
)</f>
        <v>0</v>
      </c>
      <c r="CN46" s="119">
        <f>COUNTIFS(
    tb_estq[empresa], CN$6,
    tb_estq[Data da venda / reserva], "&gt;=" &amp; $A46,
    tb_estq[Data da venda / reserva], "&lt;"  &amp; EOMONTH($A46,0) + 1
)</f>
        <v>0</v>
      </c>
      <c r="CO46" s="120">
        <f ca="1">SUMIFS(tb_rec_uni[2024-08-01],
INDIRECT("tb_rec_uni[natureza]"),"pro.soluto",
INDIRECT("tb_rec_uni[empresa]"),CO$6)</f>
        <v>0</v>
      </c>
      <c r="CP46" s="120">
        <f ca="1">SUMIFS(tb_rec_uni[2024-08-01],
INDIRECT("tb_rec_uni[natureza]"),"repasse.cef.obra",
INDIRECT("tb_rec_uni[empresa]"),CP$6)</f>
        <v>0</v>
      </c>
      <c r="CQ46" s="120">
        <f ca="1">SUMIFS(tb_rec_uni[2024-08-01],
INDIRECT("tb_rec_uni[natureza]"),"repasse.cef.terreno",
INDIRECT("tb_rec_uni[empresa]"),CQ$6)</f>
        <v>0</v>
      </c>
      <c r="CR46" s="120">
        <v>0</v>
      </c>
      <c r="CS46" s="120">
        <f ca="1">SUMIFS(tb_rec_uni[2024-08-01],
INDIRECT("tb_rec_uni[natureza]"),"taxa.extra",
INDIRECT("tb_rec_uni[empresa]"),CS$6)</f>
        <v>0</v>
      </c>
      <c r="CT46" s="108"/>
      <c r="CU46" s="120">
        <f ca="1">SUMIFS(
  m.vb[valor],
  m.vb[nucleo],$CN$1,
  m.vb[variavel],CU$7,
  m.vb[mes],$A46
)</f>
        <v>0</v>
      </c>
      <c r="CV46" s="120" cm="1">
        <f t="array" ref="CV46">SUMPRODUCT(
  IFERROR(--tb_desp[valor],0)*
  (tb_desp[nucleo]="UP MOVE VILA SONIA")*
  (tb_desp[categoria]=CV$7)*
  (tb_desp[data.pagamento]&gt;=$A46)*
  (tb_desp[data.pagamento]&lt;EOMONTH($A46,0)+1)
)</f>
        <v>0</v>
      </c>
      <c r="CW46" s="120" cm="1">
        <f t="array" ref="CW46">SUMPRODUCT(
  IFERROR(--tb_desp[valor],0)*
  (tb_desp[nucleo]="UP MOVE VILA SONIA")*
  (tb_desp[categoria]=CW$7)*
  (tb_desp[data.pagamento]&gt;=$A46)*
  (tb_desp[data.pagamento]&lt;EOMONTH($A46,0)+1)
)</f>
        <v>0</v>
      </c>
      <c r="CX46" s="120" cm="1">
        <f t="array" ref="CX46">SUMPRODUCT(
  IFERROR(--tb_desp[valor],0)*
  (tb_desp[nucleo]="UP MOVE VILA SONIA")*
  (tb_desp[categoria]=CX$7)*
  (tb_desp[data.pagamento]&gt;=$A46)*
  (tb_desp[data.pagamento]&lt;EOMONTH($A46,0)+1)
)</f>
        <v>0</v>
      </c>
      <c r="CY46" s="122" cm="1">
        <f t="array" ref="CY46">SUMPRODUCT(
  IFERROR(--tb_desp[valor],0)*
  (tb_desp[nucleo]="UP MOVE VILA SONIA")*
  (tb_desp[categoria]=CY$7)*
  (tb_desp[data.pagamento]&gt;=$A46)*
  (tb_desp[data.pagamento]&lt;EOMONTH($A46,0)+1)
)</f>
        <v>0</v>
      </c>
    </row>
    <row r="47" spans="1:103" x14ac:dyDescent="0.25">
      <c r="A47" s="118">
        <v>45536</v>
      </c>
      <c r="B47" s="119">
        <f>COUNTIFS(
    tb_estq[empresa], B$6,
    tb_estq[Data da venda / reserva], "&gt;=" &amp; $A47,
    tb_estq[Data da venda / reserva], "&lt;"  &amp; EOMONTH($A47,0) + 1
)</f>
        <v>0</v>
      </c>
      <c r="C47" s="120">
        <f ca="1">SUMIFS(tb_rec_uni[2024-09-01],
INDIRECT("tb_rec_uni[natureza]"),"pro.soluto",
INDIRECT("tb_rec_uni[empresa]"),C$6)</f>
        <v>0</v>
      </c>
      <c r="D47" s="120">
        <f ca="1">SUMIFS(tb_rec_uni[2024-09-01],
INDIRECT("tb_rec_uni[natureza]"),"repasse.cef.obra",
INDIRECT("tb_rec_uni[empresa]"),D$6)</f>
        <v>0</v>
      </c>
      <c r="E47" s="120">
        <f ca="1">SUMIFS(tb_rec_uni[2024-09-01],
INDIRECT("tb_rec_uni[natureza]"),"repasse.cef.terreno",
INDIRECT("tb_rec_uni[empresa]"),E$6)</f>
        <v>0</v>
      </c>
      <c r="F47" s="120">
        <v>198297.96</v>
      </c>
      <c r="G47" s="120">
        <f ca="1">SUMIFS(tb_rec_uni[2024-09-01],
INDIRECT("tb_rec_uni[natureza]"),"taxa.extra",
INDIRECT("tb_rec_uni[empresa]"),G$6)</f>
        <v>0</v>
      </c>
      <c r="H47" s="108"/>
      <c r="I47" s="120">
        <f ca="1">SUMIFS(
  m.vb[valor],
  m.vb[nucleo],$B$1,
  m.vb[variavel],I$7,
  m.vb[mes],$A47
)</f>
        <v>0</v>
      </c>
      <c r="J47" s="120">
        <f ca="1">SUMIFS(
  m.vb[valor],
  m.vb[nucleo],$B$1,
  m.vb[variavel],J$7,
  m.vb[mes],$A47
)</f>
        <v>0</v>
      </c>
      <c r="K47" s="120">
        <f ca="1">SUMIFS(
  m.vb[valor],
  m.vb[nucleo],$B$1,
  m.vb[variavel],K$7,
  m.vb[mes],$A47
)</f>
        <v>0</v>
      </c>
      <c r="L47" s="120">
        <f ca="1">SUMIFS(
  m.vb[valor],
  m.vb[nucleo],$B$1,
  m.vb[variavel],L$7,
  m.vb[mes],$A47
)</f>
        <v>0</v>
      </c>
      <c r="M47" s="121">
        <f ca="1">SUMIFS(
  m.vb[valor],
  m.vb[nucleo],$B$1,
  m.vb[variavel],M$7,
  m.vb[mes],$A47
)</f>
        <v>0</v>
      </c>
      <c r="N47" s="119">
        <f>COUNTIFS(
    tb_estq[empresa], N$6,
    tb_estq[Data da venda / reserva], "&gt;=" &amp; $A47,
    tb_estq[Data da venda / reserva], "&lt;"  &amp; EOMONTH($A47,0) + 1
)</f>
        <v>0</v>
      </c>
      <c r="O47" s="120">
        <f ca="1">SUMIFS(tb_rec_uni[2024-09-01],
INDIRECT("tb_rec_uni[natureza]"),"pro.soluto",
INDIRECT("tb_rec_uni[empresa]"),O$6)</f>
        <v>0</v>
      </c>
      <c r="P47" s="120">
        <f ca="1">SUMIFS(tb_rec_uni[2024-09-01],
INDIRECT("tb_rec_uni[natureza]"),"repasse.cef.obra",
INDIRECT("tb_rec_uni[empresa]"),P$6)</f>
        <v>0</v>
      </c>
      <c r="Q47" s="120">
        <f ca="1">SUMIFS(tb_rec_uni[2024-09-01],
INDIRECT("tb_rec_uni[natureza]"),"repasse.cef.terreno",
INDIRECT("tb_rec_uni[empresa]"),Q$6)</f>
        <v>0</v>
      </c>
      <c r="R47" s="120">
        <v>0</v>
      </c>
      <c r="S47" s="120">
        <f ca="1">SUMIFS(tb_rec_uni[2024-09-01],
INDIRECT("tb_rec_uni[natureza]"),"taxa.extra",
INDIRECT("tb_rec_uni[empresa]"),S$6)</f>
        <v>0</v>
      </c>
      <c r="T47" s="108"/>
      <c r="U47" s="120">
        <f ca="1">SUMIFS(
  m.vb[valor],
  m.vb[nucleo],$N$1,
  m.vb[variavel],U$7,
  m.vb[mes],$A47
)</f>
        <v>0</v>
      </c>
      <c r="V47" s="120">
        <f ca="1">SUMIFS(
  m.vb[valor],
  m.vb[nucleo],$N$1,
  m.vb[variavel],V$7,
  m.vb[mes],$A47
)</f>
        <v>0</v>
      </c>
      <c r="W47" s="120">
        <f ca="1">SUMIFS(
  m.vb[valor],
  m.vb[nucleo],$N$1,
  m.vb[variavel],W$7,
  m.vb[mes],$A47
)</f>
        <v>0</v>
      </c>
      <c r="X47" s="120">
        <f ca="1">SUMIFS(
  m.vb[valor],
  m.vb[nucleo],$N$1,
  m.vb[variavel],X$7,
  m.vb[mes],$A47
)</f>
        <v>0</v>
      </c>
      <c r="Y47" s="121">
        <f ca="1">SUMIFS(
  m.vb[valor],
  m.vb[nucleo],$N$1,
  m.vb[variavel],Y$7,
  m.vb[mes],$A47
)</f>
        <v>0</v>
      </c>
      <c r="Z47" s="119">
        <f>COUNTIFS(
    tb_estq[empresa], Z$6,
    tb_estq[Data da venda / reserva], "&gt;=" &amp; $A47,
    tb_estq[Data da venda / reserva], "&lt;"  &amp; EOMONTH($A47,0) + 1
)</f>
        <v>0</v>
      </c>
      <c r="AA47" s="120">
        <f ca="1">SUMIFS(tb_rec_uni[2024-09-01],
INDIRECT("tb_rec_uni[natureza]"),"pro.soluto",
INDIRECT("tb_rec_uni[empresa]"),AA$6)</f>
        <v>0</v>
      </c>
      <c r="AB47" s="120">
        <f ca="1">SUMIFS(tb_rec_uni[2024-09-01],
INDIRECT("tb_rec_uni[natureza]"),"parcela.fin.total.ik",
INDIRECT("tb_rec_uni[empresa]"),AB$6)</f>
        <v>0</v>
      </c>
      <c r="AC47" s="120">
        <f ca="1">SUMIFS(tb_rec_uni[2024-09-01],
INDIRECT("tb_rec_uni[natureza]"),"taxa.extra",
INDIRECT("tb_rec_uni[empresa]"),AC$6)</f>
        <v>0</v>
      </c>
      <c r="AD47" s="108"/>
      <c r="AE47" s="120">
        <f ca="1">SUMIFS(
  m.vb[valor],
  m.vb[nucleo],$Z$1,
  m.vb[variavel],AE$7,
  m.vb[mes],$A47
)</f>
        <v>0</v>
      </c>
      <c r="AF47" s="120">
        <f ca="1">SUMIFS(
  m.vb[valor],
  m.vb[nucleo],$Z$1,
  m.vb[variavel],AF$7,
  m.vb[mes],$A47
)</f>
        <v>0</v>
      </c>
      <c r="AG47" s="120">
        <f ca="1">SUMIFS(
  m.vb[valor],
  m.vb[nucleo],$Z$1,
  m.vb[variavel],AG$7,
  m.vb[mes],$A47
)</f>
        <v>0</v>
      </c>
      <c r="AH47" s="120">
        <f ca="1">SUMIFS(
  m.vb[valor],
  m.vb[nucleo],$Z$1,
  m.vb[variavel],AH$7,
  m.vb[mes],$A47
)</f>
        <v>0</v>
      </c>
      <c r="AI47" s="121">
        <f ca="1">SUMIFS(
  m.vb[valor],
  m.vb[nucleo],$Z$1,
  m.vb[variavel],AI$7,
  m.vb[mes],$A47
)</f>
        <v>0</v>
      </c>
      <c r="AJ47" s="119">
        <f>COUNTIFS(
    tb_estq[empresa], AJ$6,
    tb_estq[Data da venda / reserva], "&gt;=" &amp; $A47,
    tb_estq[Data da venda / reserva], "&lt;"  &amp; EOMONTH($A47,0) + 1
)</f>
        <v>0</v>
      </c>
      <c r="AK47" s="120">
        <f ca="1">SUMIFS(tb_rec_uni[2024-09-01],
INDIRECT("tb_rec_uni[natureza]"),"pro.soluto",
INDIRECT("tb_rec_uni[empresa]"),AK$6)</f>
        <v>0</v>
      </c>
      <c r="AL47" s="120">
        <f ca="1">SUMIFS(tb_rec_uni[2024-09-01],
INDIRECT("tb_rec_uni[natureza]"),"repasse.cef.obra",
INDIRECT("tb_rec_uni[empresa]"),AL$6)</f>
        <v>0</v>
      </c>
      <c r="AM47" s="120">
        <f ca="1">SUMIFS(tb_rec_uni[2024-09-01],
INDIRECT("tb_rec_uni[natureza]"),"repasse.cef.terreno",
INDIRECT("tb_rec_uni[empresa]"),AM$6)</f>
        <v>0</v>
      </c>
      <c r="AN47" s="120">
        <v>0</v>
      </c>
      <c r="AO47" s="120">
        <f ca="1">SUMIFS(tb_rec_uni[2024-09-01],
INDIRECT("tb_rec_uni[natureza]"),"taxa.extra",
INDIRECT("tb_rec_uni[empresa]"),AO$6)</f>
        <v>0</v>
      </c>
      <c r="AP47" s="108"/>
      <c r="AQ47" s="120">
        <f ca="1">SUMIFS(
  m.vb[valor],
  m.vb[nucleo],$AJ$1,
  m.vb[variavel],AQ$7,
  m.vb[mes],$A47
)</f>
        <v>0</v>
      </c>
      <c r="AR47" s="120">
        <f ca="1">SUMIFS(
  m.vb[valor],
  m.vb[nucleo],$AJ$1,
  m.vb[variavel],AR$7,
  m.vb[mes],$A47
)</f>
        <v>0</v>
      </c>
      <c r="AS47" s="120">
        <f ca="1">SUMIFS(
  m.vb[valor],
  m.vb[nucleo],$AJ$1,
  m.vb[variavel],AS$7,
  m.vb[mes],$A47
)</f>
        <v>0</v>
      </c>
      <c r="AT47" s="120">
        <f ca="1">SUMIFS(
  m.vb[valor],
  m.vb[nucleo],$AJ$1,
  m.vb[variavel],AT$7,
  m.vb[mes],$A47
)</f>
        <v>0</v>
      </c>
      <c r="AU47" s="121">
        <f ca="1">SUMIFS(
  m.vb[valor],
  m.vb[nucleo],$AJ$1,
  m.vb[variavel],AU$7,
  m.vb[mes],$A47
)</f>
        <v>0</v>
      </c>
      <c r="AV47" s="119">
        <f>COUNTIFS(
    tb_estq[empresa], AV$6,
    tb_estq[Data da venda / reserva], "&gt;=" &amp; $A47,
    tb_estq[Data da venda / reserva], "&lt;"  &amp; EOMONTH($A47,0) + 1
)</f>
        <v>0</v>
      </c>
      <c r="AW47" s="120">
        <f ca="1">SUMIFS(tb_rec_uni[2024-09-01],
INDIRECT("tb_rec_uni[natureza]"),"pro.soluto",
INDIRECT("tb_rec_uni[empresa]"),AW$6)</f>
        <v>0</v>
      </c>
      <c r="AX47" s="120">
        <f ca="1">SUMIFS(tb_rec_uni[2024-09-01],
INDIRECT("tb_rec_uni[natureza]"),"repasse.cef.obra",
INDIRECT("tb_rec_uni[empresa]"),AX$6)</f>
        <v>0</v>
      </c>
      <c r="AY47" s="120">
        <f ca="1">SUMIFS(tb_rec_uni[2024-09-01],
INDIRECT("tb_rec_uni[natureza]"),"repasse.cef.terreno",
INDIRECT("tb_rec_uni[empresa]"),AY$6)</f>
        <v>0</v>
      </c>
      <c r="AZ47" s="120">
        <v>0</v>
      </c>
      <c r="BA47" s="120">
        <f ca="1">SUMIFS(tb_rec_uni[2024-09-01],
INDIRECT("tb_rec_uni[natureza]"),"taxa.extra",
INDIRECT("tb_rec_uni[empresa]"),BA$6)</f>
        <v>0</v>
      </c>
      <c r="BB47" s="108"/>
      <c r="BC47" s="120">
        <f ca="1">SUMIFS(
  m.vb[valor],
  m.vb[nucleo],$AV$1,
  m.vb[variavel],BC$7,
  m.vb[mes],$A47
)</f>
        <v>0</v>
      </c>
      <c r="BD47" s="120">
        <f ca="1">SUMIFS(
  m.vb[valor],
  m.vb[nucleo],$AV$1,
  m.vb[variavel],BD$7,
  m.vb[mes],$A47
)</f>
        <v>0</v>
      </c>
      <c r="BE47" s="120">
        <f ca="1">SUMIFS(
  m.vb[valor],
  m.vb[nucleo],$AV$1,
  m.vb[variavel],BE$7,
  m.vb[mes],$A47
)</f>
        <v>0</v>
      </c>
      <c r="BF47" s="120">
        <f ca="1">SUMIFS(
  m.vb[valor],
  m.vb[nucleo],$AV$1,
  m.vb[variavel],BF$7,
  m.vb[mes],$A47
)</f>
        <v>0</v>
      </c>
      <c r="BG47" s="121">
        <f ca="1">SUMIFS(
  m.vb[valor],
  m.vb[nucleo],$AV$1,
  m.vb[variavel],BG$7,
  m.vb[mes],$A47
)</f>
        <v>0</v>
      </c>
      <c r="BH47" s="119">
        <f>COUNTIFS(
    tb_estq[empresa], BH$6,
    tb_estq[Data da venda / reserva], "&gt;=" &amp; $A47,
    tb_estq[Data da venda / reserva], "&lt;"  &amp; EOMONTH($A47,0) + 1
)</f>
        <v>0</v>
      </c>
      <c r="BI47" s="120">
        <f ca="1">SUMIFS(tb_rec_uni[2024-09-01],
INDIRECT("tb_rec_uni[natureza]"),"pro.soluto",
INDIRECT("tb_rec_uni[empresa]"),BI$6)</f>
        <v>0</v>
      </c>
      <c r="BJ47" s="108">
        <f ca="1">SUMIFS(tb_rec_uni[2024-09-01],
INDIRECT("tb_rec_uni[natureza]"),"parcela.fin.total.ik",
INDIRECT("tb_rec_uni[empresa]"),BJ$6)</f>
        <v>0</v>
      </c>
      <c r="BK47" s="120">
        <f ca="1">SUMIFS(tb_rec_uni[2024-09-01],
INDIRECT("tb_rec_uni[natureza]"),"taxa.extra",
INDIRECT("tb_rec_uni[empresa]"),BK$6)</f>
        <v>0</v>
      </c>
      <c r="BL47" s="108"/>
      <c r="BM47" s="120">
        <f ca="1">SUMIFS(
  m.vb[valor],
  m.vb[nucleo],$BH$1,
  m.vb[variavel],BM$7,
  m.vb[mes],$A47
)</f>
        <v>0</v>
      </c>
      <c r="BN47" s="120">
        <f ca="1">SUMIFS(
  m.vb[valor],
  m.vb[nucleo],$BH$1,
  m.vb[variavel],BN$7,
  m.vb[mes],$A47
)</f>
        <v>0</v>
      </c>
      <c r="BO47" s="120">
        <f ca="1">SUMIFS(
  m.vb[valor],
  m.vb[nucleo],$BH$1,
  m.vb[variavel],BO$7,
  m.vb[mes],$A47
)</f>
        <v>0</v>
      </c>
      <c r="BP47" s="120">
        <f ca="1">SUMIFS(
  m.vb[valor],
  m.vb[nucleo],$BH$1,
  m.vb[variavel],BP$7,
  m.vb[mes],$A47
)</f>
        <v>0</v>
      </c>
      <c r="BQ47" s="121">
        <f ca="1">SUMIFS(
  m.vb[valor],
  m.vb[nucleo],$BH$1,
  m.vb[variavel],BQ$7,
  m.vb[mes],$A47
)</f>
        <v>0</v>
      </c>
      <c r="BR47" s="119">
        <f>COUNTIFS(
    tb_estq[empresa], BR$6,
    tb_estq[Data da venda / reserva], "&gt;=" &amp; $A47,
    tb_estq[Data da venda / reserva], "&lt;"  &amp; EOMONTH($A47,0) + 1
)</f>
        <v>0</v>
      </c>
      <c r="BS47" s="120">
        <f ca="1">SUMIFS(tb_rec_uni[2024-09-01],
INDIRECT("tb_rec_uni[natureza]"),"pro.soluto",
INDIRECT("tb_rec_uni[empresa]"),BS$6)</f>
        <v>0</v>
      </c>
      <c r="BT47" s="120">
        <f ca="1">SUMIFS(tb_rec_uni[2024-09-01],
INDIRECT("tb_rec_uni[natureza]"),"parcela.fin.total.ik",
INDIRECT("tb_rec_uni[empresa]"),BT$6)</f>
        <v>0</v>
      </c>
      <c r="BU47" s="120">
        <f ca="1">SUMIFS(tb_rec_uni[2024-09-01],
INDIRECT("tb_rec_uni[natureza]"),"taxa.extra",
INDIRECT("tb_rec_uni[empresa]"),BU$6)</f>
        <v>0</v>
      </c>
      <c r="BV47" s="108"/>
      <c r="BW47" s="120">
        <f ca="1">SUMIFS(
  m.vb[valor],
  m.vb[nucleo],$BR$1,
  m.vb[variavel],BW$7,
  m.vb[mes],$A47
)</f>
        <v>0</v>
      </c>
      <c r="BX47" s="120">
        <f ca="1">SUMIFS(
  m.vb[valor],
  m.vb[nucleo],$BR$1,
  m.vb[variavel],BX$7,
  m.vb[mes],$A47
)</f>
        <v>0</v>
      </c>
      <c r="BY47" s="120">
        <f ca="1">SUMIFS(
  m.vb[valor],
  m.vb[nucleo],$BR$1,
  m.vb[variavel],BY$7,
  m.vb[mes],$A47
)</f>
        <v>0</v>
      </c>
      <c r="BZ47" s="120">
        <f ca="1">SUMIFS(
  m.vb[valor],
  m.vb[nucleo],$BR$1,
  m.vb[variavel],BZ$7,
  m.vb[mes],$A47
)</f>
        <v>0</v>
      </c>
      <c r="CA47" s="121">
        <f ca="1">SUMIFS(
  m.vb[valor],
  m.vb[nucleo],$BR$1,
  m.vb[variavel],CA$7,
  m.vb[mes],$A47
)</f>
        <v>0</v>
      </c>
      <c r="CB47" s="119">
        <f>COUNTIFS(
    tb_estq[empresa], CB$6,
    tb_estq[Data da venda / reserva], "&gt;=" &amp; $A47,
    tb_estq[Data da venda / reserva], "&lt;"  &amp; EOMONTH($A47,0) + 1
)</f>
        <v>0</v>
      </c>
      <c r="CC47" s="120">
        <f ca="1">SUMIFS(tb_rec_uni[2024-09-01],
INDIRECT("tb_rec_uni[natureza]"),"pro.soluto",
INDIRECT("tb_rec_uni[empresa]"),CC$6)</f>
        <v>0</v>
      </c>
      <c r="CD47" s="120">
        <f ca="1">SUMIFS(tb_rec_uni[2024-09-01],
INDIRECT("tb_rec_uni[natureza]"),"repasse.cef.obra",
INDIRECT("tb_rec_uni[empresa]"),CD$6)</f>
        <v>0</v>
      </c>
      <c r="CE47" s="120">
        <f ca="1">SUMIFS(tb_rec_uni[2024-09-01],
INDIRECT("tb_rec_uni[natureza]"),"repasse.cef.terreno",
INDIRECT("tb_rec_uni[empresa]"),CE$6)</f>
        <v>0</v>
      </c>
      <c r="CF47" s="120">
        <v>0</v>
      </c>
      <c r="CG47" s="120">
        <f ca="1">SUMIFS(tb_rec_uni[2024-09-01],
INDIRECT("tb_rec_uni[natureza]"),"taxa.extra",
INDIRECT("tb_rec_uni[empresa]"),CG$6)</f>
        <v>0</v>
      </c>
      <c r="CH47" s="108"/>
      <c r="CI47" s="120">
        <f ca="1">SUMIFS(
  m.vb[valor],
  m.vb[nucleo],$CB$1,
  m.vb[variavel],CI$7,
  m.vb[mes],$A47
)</f>
        <v>0</v>
      </c>
      <c r="CJ47" s="120">
        <f ca="1">SUMIFS(
  m.vb[valor],
  m.vb[nucleo],$CB$1,
  m.vb[variavel],CJ$7,
  m.vb[mes],$A47
)</f>
        <v>0</v>
      </c>
      <c r="CK47" s="120">
        <f ca="1">SUMIFS(
  m.vb[valor],
  m.vb[nucleo],$CB$1,
  m.vb[variavel],CK$7,
  m.vb[mes],$A47
)</f>
        <v>0</v>
      </c>
      <c r="CL47" s="120">
        <f ca="1">SUMIFS(
  m.vb[valor],
  m.vb[nucleo],$CB$1,
  m.vb[variavel],CL$7,
  m.vb[mes],$A47
)</f>
        <v>0</v>
      </c>
      <c r="CM47" s="121">
        <f ca="1">SUMIFS(
  m.vb[valor],
  m.vb[nucleo],$CB$1,
  m.vb[variavel],CM$7,
  m.vb[mes],$A47
)</f>
        <v>0</v>
      </c>
      <c r="CN47" s="119">
        <f>COUNTIFS(
    tb_estq[empresa], CN$6,
    tb_estq[Data da venda / reserva], "&gt;=" &amp; $A47,
    tb_estq[Data da venda / reserva], "&lt;"  &amp; EOMONTH($A47,0) + 1
)</f>
        <v>0</v>
      </c>
      <c r="CO47" s="120">
        <f ca="1">SUMIFS(tb_rec_uni[2024-09-01],
INDIRECT("tb_rec_uni[natureza]"),"pro.soluto",
INDIRECT("tb_rec_uni[empresa]"),CO$6)</f>
        <v>0</v>
      </c>
      <c r="CP47" s="120">
        <f ca="1">SUMIFS(tb_rec_uni[2024-09-01],
INDIRECT("tb_rec_uni[natureza]"),"repasse.cef.obra",
INDIRECT("tb_rec_uni[empresa]"),CP$6)</f>
        <v>0</v>
      </c>
      <c r="CQ47" s="120">
        <f ca="1">SUMIFS(tb_rec_uni[2024-09-01],
INDIRECT("tb_rec_uni[natureza]"),"repasse.cef.terreno",
INDIRECT("tb_rec_uni[empresa]"),CQ$6)</f>
        <v>0</v>
      </c>
      <c r="CR47" s="120">
        <v>0</v>
      </c>
      <c r="CS47" s="120">
        <f ca="1">SUMIFS(tb_rec_uni[2024-09-01],
INDIRECT("tb_rec_uni[natureza]"),"taxa.extra",
INDIRECT("tb_rec_uni[empresa]"),CS$6)</f>
        <v>0</v>
      </c>
      <c r="CT47" s="108"/>
      <c r="CU47" s="120">
        <f ca="1">SUMIFS(
  m.vb[valor],
  m.vb[nucleo],$CN$1,
  m.vb[variavel],CU$7,
  m.vb[mes],$A47
)</f>
        <v>0</v>
      </c>
      <c r="CV47" s="120" cm="1">
        <f t="array" ref="CV47">SUMPRODUCT(
  IFERROR(--tb_desp[valor],0)*
  (tb_desp[nucleo]="UP MOVE VILA SONIA")*
  (tb_desp[categoria]=CV$7)*
  (tb_desp[data.pagamento]&gt;=$A47)*
  (tb_desp[data.pagamento]&lt;EOMONTH($A47,0)+1)
)</f>
        <v>0</v>
      </c>
      <c r="CW47" s="120" cm="1">
        <f t="array" ref="CW47">SUMPRODUCT(
  IFERROR(--tb_desp[valor],0)*
  (tb_desp[nucleo]="UP MOVE VILA SONIA")*
  (tb_desp[categoria]=CW$7)*
  (tb_desp[data.pagamento]&gt;=$A47)*
  (tb_desp[data.pagamento]&lt;EOMONTH($A47,0)+1)
)</f>
        <v>0</v>
      </c>
      <c r="CX47" s="120" cm="1">
        <f t="array" ref="CX47">SUMPRODUCT(
  IFERROR(--tb_desp[valor],0)*
  (tb_desp[nucleo]="UP MOVE VILA SONIA")*
  (tb_desp[categoria]=CX$7)*
  (tb_desp[data.pagamento]&gt;=$A47)*
  (tb_desp[data.pagamento]&lt;EOMONTH($A47,0)+1)
)</f>
        <v>0</v>
      </c>
      <c r="CY47" s="122" cm="1">
        <f t="array" ref="CY47">SUMPRODUCT(
  IFERROR(--tb_desp[valor],0)*
  (tb_desp[nucleo]="UP MOVE VILA SONIA")*
  (tb_desp[categoria]=CY$7)*
  (tb_desp[data.pagamento]&gt;=$A47)*
  (tb_desp[data.pagamento]&lt;EOMONTH($A47,0)+1)
)</f>
        <v>0</v>
      </c>
    </row>
    <row r="48" spans="1:103" x14ac:dyDescent="0.25">
      <c r="A48" s="118">
        <v>45566</v>
      </c>
      <c r="B48" s="119">
        <f>COUNTIFS(
    tb_estq[empresa], B$6,
    tb_estq[Data da venda / reserva], "&gt;=" &amp; $A48,
    tb_estq[Data da venda / reserva], "&lt;"  &amp; EOMONTH($A48,0) + 1
)</f>
        <v>0</v>
      </c>
      <c r="C48" s="120">
        <f ca="1">SUMIFS(tb_rec_uni[2024-10-01],
INDIRECT("tb_rec_uni[natureza]"),"pro.soluto",
INDIRECT("tb_rec_uni[empresa]"),C$6)</f>
        <v>0</v>
      </c>
      <c r="D48" s="120">
        <f ca="1">SUMIFS(tb_rec_uni[2024-10-01],
INDIRECT("tb_rec_uni[natureza]"),"repasse.cef.obra",
INDIRECT("tb_rec_uni[empresa]"),D$6)</f>
        <v>0</v>
      </c>
      <c r="E48" s="120">
        <f ca="1">SUMIFS(tb_rec_uni[2024-10-01],
INDIRECT("tb_rec_uni[natureza]"),"repasse.cef.terreno",
INDIRECT("tb_rec_uni[empresa]"),E$6)</f>
        <v>0</v>
      </c>
      <c r="F48" s="120">
        <v>473587.72</v>
      </c>
      <c r="G48" s="120">
        <f ca="1">SUMIFS(tb_rec_uni[2024-10-01],
INDIRECT("tb_rec_uni[natureza]"),"taxa.extra",
INDIRECT("tb_rec_uni[empresa]"),G$6)</f>
        <v>0</v>
      </c>
      <c r="H48" s="108"/>
      <c r="I48" s="120">
        <f ca="1">SUMIFS(
  m.vb[valor],
  m.vb[nucleo],$B$1,
  m.vb[variavel],I$7,
  m.vb[mes],$A48
)</f>
        <v>0</v>
      </c>
      <c r="J48" s="120">
        <f ca="1">SUMIFS(
  m.vb[valor],
  m.vb[nucleo],$B$1,
  m.vb[variavel],J$7,
  m.vb[mes],$A48
)</f>
        <v>0</v>
      </c>
      <c r="K48" s="120">
        <f ca="1">SUMIFS(
  m.vb[valor],
  m.vb[nucleo],$B$1,
  m.vb[variavel],K$7,
  m.vb[mes],$A48
)</f>
        <v>0</v>
      </c>
      <c r="L48" s="120">
        <f ca="1">SUMIFS(
  m.vb[valor],
  m.vb[nucleo],$B$1,
  m.vb[variavel],L$7,
  m.vb[mes],$A48
)</f>
        <v>0</v>
      </c>
      <c r="M48" s="121">
        <f ca="1">SUMIFS(
  m.vb[valor],
  m.vb[nucleo],$B$1,
  m.vb[variavel],M$7,
  m.vb[mes],$A48
)</f>
        <v>0</v>
      </c>
      <c r="N48" s="119">
        <f>COUNTIFS(
    tb_estq[empresa], N$6,
    tb_estq[Data da venda / reserva], "&gt;=" &amp; $A48,
    tb_estq[Data da venda / reserva], "&lt;"  &amp; EOMONTH($A48,0) + 1
)</f>
        <v>0</v>
      </c>
      <c r="O48" s="120">
        <f ca="1">SUMIFS(tb_rec_uni[2024-10-01],
INDIRECT("tb_rec_uni[natureza]"),"pro.soluto",
INDIRECT("tb_rec_uni[empresa]"),O$6)</f>
        <v>0</v>
      </c>
      <c r="P48" s="120">
        <f ca="1">SUMIFS(tb_rec_uni[2024-10-01],
INDIRECT("tb_rec_uni[natureza]"),"repasse.cef.obra",
INDIRECT("tb_rec_uni[empresa]"),P$6)</f>
        <v>0</v>
      </c>
      <c r="Q48" s="120">
        <f ca="1">SUMIFS(tb_rec_uni[2024-10-01],
INDIRECT("tb_rec_uni[natureza]"),"repasse.cef.terreno",
INDIRECT("tb_rec_uni[empresa]"),Q$6)</f>
        <v>0</v>
      </c>
      <c r="R48" s="120">
        <v>0</v>
      </c>
      <c r="S48" s="120">
        <f ca="1">SUMIFS(tb_rec_uni[2024-10-01],
INDIRECT("tb_rec_uni[natureza]"),"taxa.extra",
INDIRECT("tb_rec_uni[empresa]"),S$6)</f>
        <v>0</v>
      </c>
      <c r="T48" s="108"/>
      <c r="U48" s="120">
        <f ca="1">SUMIFS(
  m.vb[valor],
  m.vb[nucleo],$N$1,
  m.vb[variavel],U$7,
  m.vb[mes],$A48
)</f>
        <v>0</v>
      </c>
      <c r="V48" s="120">
        <f ca="1">SUMIFS(
  m.vb[valor],
  m.vb[nucleo],$N$1,
  m.vb[variavel],V$7,
  m.vb[mes],$A48
)</f>
        <v>0</v>
      </c>
      <c r="W48" s="120">
        <f ca="1">SUMIFS(
  m.vb[valor],
  m.vb[nucleo],$N$1,
  m.vb[variavel],W$7,
  m.vb[mes],$A48
)</f>
        <v>0</v>
      </c>
      <c r="X48" s="120">
        <f ca="1">SUMIFS(
  m.vb[valor],
  m.vb[nucleo],$N$1,
  m.vb[variavel],X$7,
  m.vb[mes],$A48
)</f>
        <v>0</v>
      </c>
      <c r="Y48" s="121">
        <f ca="1">SUMIFS(
  m.vb[valor],
  m.vb[nucleo],$N$1,
  m.vb[variavel],Y$7,
  m.vb[mes],$A48
)</f>
        <v>0</v>
      </c>
      <c r="Z48" s="119">
        <f>COUNTIFS(
    tb_estq[empresa], Z$6,
    tb_estq[Data da venda / reserva], "&gt;=" &amp; $A48,
    tb_estq[Data da venda / reserva], "&lt;"  &amp; EOMONTH($A48,0) + 1
)</f>
        <v>0</v>
      </c>
      <c r="AA48" s="120">
        <f ca="1">SUMIFS(tb_rec_uni[2024-10-01],
INDIRECT("tb_rec_uni[natureza]"),"pro.soluto",
INDIRECT("tb_rec_uni[empresa]"),AA$6)</f>
        <v>0</v>
      </c>
      <c r="AB48" s="120">
        <f ca="1">SUMIFS(tb_rec_uni[2024-10-01],
INDIRECT("tb_rec_uni[natureza]"),"parcela.fin.total.ik",
INDIRECT("tb_rec_uni[empresa]"),AB$6)</f>
        <v>0</v>
      </c>
      <c r="AC48" s="120">
        <f ca="1">SUMIFS(tb_rec_uni[2024-10-01],
INDIRECT("tb_rec_uni[natureza]"),"taxa.extra",
INDIRECT("tb_rec_uni[empresa]"),AC$6)</f>
        <v>0</v>
      </c>
      <c r="AD48" s="108"/>
      <c r="AE48" s="120">
        <f ca="1">SUMIFS(
  m.vb[valor],
  m.vb[nucleo],$Z$1,
  m.vb[variavel],AE$7,
  m.vb[mes],$A48
)</f>
        <v>0</v>
      </c>
      <c r="AF48" s="120">
        <f ca="1">SUMIFS(
  m.vb[valor],
  m.vb[nucleo],$Z$1,
  m.vb[variavel],AF$7,
  m.vb[mes],$A48
)</f>
        <v>0</v>
      </c>
      <c r="AG48" s="120">
        <f ca="1">SUMIFS(
  m.vb[valor],
  m.vb[nucleo],$Z$1,
  m.vb[variavel],AG$7,
  m.vb[mes],$A48
)</f>
        <v>0</v>
      </c>
      <c r="AH48" s="120">
        <f ca="1">SUMIFS(
  m.vb[valor],
  m.vb[nucleo],$Z$1,
  m.vb[variavel],AH$7,
  m.vb[mes],$A48
)</f>
        <v>0</v>
      </c>
      <c r="AI48" s="121">
        <f ca="1">SUMIFS(
  m.vb[valor],
  m.vb[nucleo],$Z$1,
  m.vb[variavel],AI$7,
  m.vb[mes],$A48
)</f>
        <v>0</v>
      </c>
      <c r="AJ48" s="119">
        <f>COUNTIFS(
    tb_estq[empresa], AJ$6,
    tb_estq[Data da venda / reserva], "&gt;=" &amp; $A48,
    tb_estq[Data da venda / reserva], "&lt;"  &amp; EOMONTH($A48,0) + 1
)</f>
        <v>0</v>
      </c>
      <c r="AK48" s="120">
        <f ca="1">SUMIFS(tb_rec_uni[2024-10-01],
INDIRECT("tb_rec_uni[natureza]"),"pro.soluto",
INDIRECT("tb_rec_uni[empresa]"),AK$6)</f>
        <v>0</v>
      </c>
      <c r="AL48" s="120">
        <f ca="1">SUMIFS(tb_rec_uni[2024-10-01],
INDIRECT("tb_rec_uni[natureza]"),"repasse.cef.obra",
INDIRECT("tb_rec_uni[empresa]"),AL$6)</f>
        <v>0</v>
      </c>
      <c r="AM48" s="120">
        <f ca="1">SUMIFS(tb_rec_uni[2024-10-01],
INDIRECT("tb_rec_uni[natureza]"),"repasse.cef.terreno",
INDIRECT("tb_rec_uni[empresa]"),AM$6)</f>
        <v>0</v>
      </c>
      <c r="AN48" s="120">
        <v>0</v>
      </c>
      <c r="AO48" s="120">
        <f ca="1">SUMIFS(tb_rec_uni[2024-10-01],
INDIRECT("tb_rec_uni[natureza]"),"taxa.extra",
INDIRECT("tb_rec_uni[empresa]"),AO$6)</f>
        <v>0</v>
      </c>
      <c r="AP48" s="108"/>
      <c r="AQ48" s="120">
        <f ca="1">SUMIFS(
  m.vb[valor],
  m.vb[nucleo],$AJ$1,
  m.vb[variavel],AQ$7,
  m.vb[mes],$A48
)</f>
        <v>0</v>
      </c>
      <c r="AR48" s="120">
        <f ca="1">SUMIFS(
  m.vb[valor],
  m.vb[nucleo],$AJ$1,
  m.vb[variavel],AR$7,
  m.vb[mes],$A48
)</f>
        <v>0</v>
      </c>
      <c r="AS48" s="120">
        <f ca="1">SUMIFS(
  m.vb[valor],
  m.vb[nucleo],$AJ$1,
  m.vb[variavel],AS$7,
  m.vb[mes],$A48
)</f>
        <v>0</v>
      </c>
      <c r="AT48" s="120">
        <f ca="1">SUMIFS(
  m.vb[valor],
  m.vb[nucleo],$AJ$1,
  m.vb[variavel],AT$7,
  m.vb[mes],$A48
)</f>
        <v>0</v>
      </c>
      <c r="AU48" s="121">
        <f ca="1">SUMIFS(
  m.vb[valor],
  m.vb[nucleo],$AJ$1,
  m.vb[variavel],AU$7,
  m.vb[mes],$A48
)</f>
        <v>0</v>
      </c>
      <c r="AV48" s="119">
        <f>COUNTIFS(
    tb_estq[empresa], AV$6,
    tb_estq[Data da venda / reserva], "&gt;=" &amp; $A48,
    tb_estq[Data da venda / reserva], "&lt;"  &amp; EOMONTH($A48,0) + 1
)</f>
        <v>0</v>
      </c>
      <c r="AW48" s="120">
        <f ca="1">SUMIFS(tb_rec_uni[2024-10-01],
INDIRECT("tb_rec_uni[natureza]"),"pro.soluto",
INDIRECT("tb_rec_uni[empresa]"),AW$6)</f>
        <v>0</v>
      </c>
      <c r="AX48" s="120">
        <f ca="1">SUMIFS(tb_rec_uni[2024-10-01],
INDIRECT("tb_rec_uni[natureza]"),"repasse.cef.obra",
INDIRECT("tb_rec_uni[empresa]"),AX$6)</f>
        <v>0</v>
      </c>
      <c r="AY48" s="120">
        <f ca="1">SUMIFS(tb_rec_uni[2024-10-01],
INDIRECT("tb_rec_uni[natureza]"),"repasse.cef.terreno",
INDIRECT("tb_rec_uni[empresa]"),AY$6)</f>
        <v>0</v>
      </c>
      <c r="AZ48" s="120">
        <v>0</v>
      </c>
      <c r="BA48" s="120">
        <f ca="1">SUMIFS(tb_rec_uni[2024-10-01],
INDIRECT("tb_rec_uni[natureza]"),"taxa.extra",
INDIRECT("tb_rec_uni[empresa]"),BA$6)</f>
        <v>0</v>
      </c>
      <c r="BB48" s="108"/>
      <c r="BC48" s="120">
        <f ca="1">SUMIFS(
  m.vb[valor],
  m.vb[nucleo],$AV$1,
  m.vb[variavel],BC$7,
  m.vb[mes],$A48
)</f>
        <v>0</v>
      </c>
      <c r="BD48" s="120">
        <f ca="1">SUMIFS(
  m.vb[valor],
  m.vb[nucleo],$AV$1,
  m.vb[variavel],BD$7,
  m.vb[mes],$A48
)</f>
        <v>0</v>
      </c>
      <c r="BE48" s="120">
        <f ca="1">SUMIFS(
  m.vb[valor],
  m.vb[nucleo],$AV$1,
  m.vb[variavel],BE$7,
  m.vb[mes],$A48
)</f>
        <v>0</v>
      </c>
      <c r="BF48" s="120">
        <f ca="1">SUMIFS(
  m.vb[valor],
  m.vb[nucleo],$AV$1,
  m.vb[variavel],BF$7,
  m.vb[mes],$A48
)</f>
        <v>0</v>
      </c>
      <c r="BG48" s="121">
        <f ca="1">SUMIFS(
  m.vb[valor],
  m.vb[nucleo],$AV$1,
  m.vb[variavel],BG$7,
  m.vb[mes],$A48
)</f>
        <v>0</v>
      </c>
      <c r="BH48" s="119">
        <f>COUNTIFS(
    tb_estq[empresa], BH$6,
    tb_estq[Data da venda / reserva], "&gt;=" &amp; $A48,
    tb_estq[Data da venda / reserva], "&lt;"  &amp; EOMONTH($A48,0) + 1
)</f>
        <v>0</v>
      </c>
      <c r="BI48" s="120">
        <f ca="1">SUMIFS(tb_rec_uni[2024-10-01],
INDIRECT("tb_rec_uni[natureza]"),"pro.soluto",
INDIRECT("tb_rec_uni[empresa]"),BI$6)</f>
        <v>0</v>
      </c>
      <c r="BJ48" s="108">
        <f>0.87*94736</f>
        <v>82420.319999999992</v>
      </c>
      <c r="BK48" s="120">
        <f ca="1">SUMIFS(tb_rec_uni[2024-10-01],
INDIRECT("tb_rec_uni[natureza]"),"taxa.extra",
INDIRECT("tb_rec_uni[empresa]"),BK$6)</f>
        <v>0</v>
      </c>
      <c r="BL48" s="108"/>
      <c r="BM48" s="120">
        <f ca="1">SUMIFS(
  m.vb[valor],
  m.vb[nucleo],$BH$1,
  m.vb[variavel],BM$7,
  m.vb[mes],$A48
)</f>
        <v>0</v>
      </c>
      <c r="BN48" s="120">
        <f ca="1">SUMIFS(
  m.vb[valor],
  m.vb[nucleo],$BH$1,
  m.vb[variavel],BN$7,
  m.vb[mes],$A48
)</f>
        <v>0</v>
      </c>
      <c r="BO48" s="120">
        <f ca="1">SUMIFS(
  m.vb[valor],
  m.vb[nucleo],$BH$1,
  m.vb[variavel],BO$7,
  m.vb[mes],$A48
)</f>
        <v>0</v>
      </c>
      <c r="BP48" s="120">
        <f ca="1">SUMIFS(
  m.vb[valor],
  m.vb[nucleo],$BH$1,
  m.vb[variavel],BP$7,
  m.vb[mes],$A48
)</f>
        <v>0</v>
      </c>
      <c r="BQ48" s="121">
        <f ca="1">SUMIFS(
  m.vb[valor],
  m.vb[nucleo],$BH$1,
  m.vb[variavel],BQ$7,
  m.vb[mes],$A48
)</f>
        <v>0</v>
      </c>
      <c r="BR48" s="119">
        <f>COUNTIFS(
    tb_estq[empresa], BR$6,
    tb_estq[Data da venda / reserva], "&gt;=" &amp; $A48,
    tb_estq[Data da venda / reserva], "&lt;"  &amp; EOMONTH($A48,0) + 1
)</f>
        <v>0</v>
      </c>
      <c r="BS48" s="120">
        <f ca="1">SUMIFS(tb_rec_uni[2024-10-01],
INDIRECT("tb_rec_uni[natureza]"),"pro.soluto",
INDIRECT("tb_rec_uni[empresa]"),BS$6)</f>
        <v>0</v>
      </c>
      <c r="BT48" s="120">
        <f ca="1">SUMIFS(tb_rec_uni[2024-10-01],
INDIRECT("tb_rec_uni[natureza]"),"parcela.fin.total.ik",
INDIRECT("tb_rec_uni[empresa]"),BT$6)</f>
        <v>0</v>
      </c>
      <c r="BU48" s="120">
        <f ca="1">SUMIFS(tb_rec_uni[2024-10-01],
INDIRECT("tb_rec_uni[natureza]"),"taxa.extra",
INDIRECT("tb_rec_uni[empresa]"),BU$6)</f>
        <v>0</v>
      </c>
      <c r="BV48" s="108"/>
      <c r="BW48" s="120">
        <f ca="1">SUMIFS(
  m.vb[valor],
  m.vb[nucleo],$BR$1,
  m.vb[variavel],BW$7,
  m.vb[mes],$A48
)</f>
        <v>0</v>
      </c>
      <c r="BX48" s="120">
        <f ca="1">SUMIFS(
  m.vb[valor],
  m.vb[nucleo],$BR$1,
  m.vb[variavel],BX$7,
  m.vb[mes],$A48
)</f>
        <v>0</v>
      </c>
      <c r="BY48" s="120">
        <f ca="1">SUMIFS(
  m.vb[valor],
  m.vb[nucleo],$BR$1,
  m.vb[variavel],BY$7,
  m.vb[mes],$A48
)</f>
        <v>0</v>
      </c>
      <c r="BZ48" s="120">
        <f ca="1">SUMIFS(
  m.vb[valor],
  m.vb[nucleo],$BR$1,
  m.vb[variavel],BZ$7,
  m.vb[mes],$A48
)</f>
        <v>0</v>
      </c>
      <c r="CA48" s="121">
        <f ca="1">SUMIFS(
  m.vb[valor],
  m.vb[nucleo],$BR$1,
  m.vb[variavel],CA$7,
  m.vb[mes],$A48
)</f>
        <v>0</v>
      </c>
      <c r="CB48" s="119">
        <f>COUNTIFS(
    tb_estq[empresa], CB$6,
    tb_estq[Data da venda / reserva], "&gt;=" &amp; $A48,
    tb_estq[Data da venda / reserva], "&lt;"  &amp; EOMONTH($A48,0) + 1
)</f>
        <v>0</v>
      </c>
      <c r="CC48" s="120">
        <f ca="1">SUMIFS(tb_rec_uni[2024-10-01],
INDIRECT("tb_rec_uni[natureza]"),"pro.soluto",
INDIRECT("tb_rec_uni[empresa]"),CC$6)</f>
        <v>0</v>
      </c>
      <c r="CD48" s="120">
        <f ca="1">SUMIFS(tb_rec_uni[2024-10-01],
INDIRECT("tb_rec_uni[natureza]"),"repasse.cef.obra",
INDIRECT("tb_rec_uni[empresa]"),CD$6)</f>
        <v>0</v>
      </c>
      <c r="CE48" s="120">
        <f ca="1">SUMIFS(tb_rec_uni[2024-10-01],
INDIRECT("tb_rec_uni[natureza]"),"repasse.cef.terreno",
INDIRECT("tb_rec_uni[empresa]"),CE$6)</f>
        <v>0</v>
      </c>
      <c r="CF48" s="120">
        <v>0</v>
      </c>
      <c r="CG48" s="120">
        <f ca="1">SUMIFS(tb_rec_uni[2024-10-01],
INDIRECT("tb_rec_uni[natureza]"),"taxa.extra",
INDIRECT("tb_rec_uni[empresa]"),CG$6)</f>
        <v>0</v>
      </c>
      <c r="CH48" s="108"/>
      <c r="CI48" s="120">
        <f ca="1">SUMIFS(
  m.vb[valor],
  m.vb[nucleo],$CB$1,
  m.vb[variavel],CI$7,
  m.vb[mes],$A48
)</f>
        <v>0</v>
      </c>
      <c r="CJ48" s="120">
        <f ca="1">SUMIFS(
  m.vb[valor],
  m.vb[nucleo],$CB$1,
  m.vb[variavel],CJ$7,
  m.vb[mes],$A48
)</f>
        <v>0</v>
      </c>
      <c r="CK48" s="120">
        <f ca="1">SUMIFS(
  m.vb[valor],
  m.vb[nucleo],$CB$1,
  m.vb[variavel],CK$7,
  m.vb[mes],$A48
)</f>
        <v>0</v>
      </c>
      <c r="CL48" s="120">
        <f ca="1">SUMIFS(
  m.vb[valor],
  m.vb[nucleo],$CB$1,
  m.vb[variavel],CL$7,
  m.vb[mes],$A48
)</f>
        <v>0</v>
      </c>
      <c r="CM48" s="121">
        <f ca="1">SUMIFS(
  m.vb[valor],
  m.vb[nucleo],$CB$1,
  m.vb[variavel],CM$7,
  m.vb[mes],$A48
)</f>
        <v>0</v>
      </c>
      <c r="CN48" s="119">
        <f>COUNTIFS(
    tb_estq[empresa], CN$6,
    tb_estq[Data da venda / reserva], "&gt;=" &amp; $A48,
    tb_estq[Data da venda / reserva], "&lt;"  &amp; EOMONTH($A48,0) + 1
)</f>
        <v>0</v>
      </c>
      <c r="CO48" s="120">
        <f ca="1">SUMIFS(tb_rec_uni[2024-10-01],
INDIRECT("tb_rec_uni[natureza]"),"pro.soluto",
INDIRECT("tb_rec_uni[empresa]"),CO$6)</f>
        <v>0</v>
      </c>
      <c r="CP48" s="120">
        <f ca="1">SUMIFS(tb_rec_uni[2024-10-01],
INDIRECT("tb_rec_uni[natureza]"),"repasse.cef.obra",
INDIRECT("tb_rec_uni[empresa]"),CP$6)</f>
        <v>0</v>
      </c>
      <c r="CQ48" s="120">
        <f ca="1">SUMIFS(tb_rec_uni[2024-10-01],
INDIRECT("tb_rec_uni[natureza]"),"repasse.cef.terreno",
INDIRECT("tb_rec_uni[empresa]"),CQ$6)</f>
        <v>0</v>
      </c>
      <c r="CR48" s="120">
        <v>0</v>
      </c>
      <c r="CS48" s="120">
        <f ca="1">SUMIFS(tb_rec_uni[2024-10-01],
INDIRECT("tb_rec_uni[natureza]"),"taxa.extra",
INDIRECT("tb_rec_uni[empresa]"),CS$6)</f>
        <v>0</v>
      </c>
      <c r="CT48" s="108"/>
      <c r="CU48" s="120">
        <f ca="1">SUMIFS(
  m.vb[valor],
  m.vb[nucleo],$CN$1,
  m.vb[variavel],CU$7,
  m.vb[mes],$A48
)</f>
        <v>0</v>
      </c>
      <c r="CV48" s="120" cm="1">
        <f t="array" ref="CV48">SUMPRODUCT(
  IFERROR(--tb_desp[valor],0)*
  (tb_desp[nucleo]="UP MOVE VILA SONIA")*
  (tb_desp[categoria]=CV$7)*
  (tb_desp[data.pagamento]&gt;=$A48)*
  (tb_desp[data.pagamento]&lt;EOMONTH($A48,0)+1)
)</f>
        <v>0</v>
      </c>
      <c r="CW48" s="120" cm="1">
        <f t="array" ref="CW48">SUMPRODUCT(
  IFERROR(--tb_desp[valor],0)*
  (tb_desp[nucleo]="UP MOVE VILA SONIA")*
  (tb_desp[categoria]=CW$7)*
  (tb_desp[data.pagamento]&gt;=$A48)*
  (tb_desp[data.pagamento]&lt;EOMONTH($A48,0)+1)
)</f>
        <v>0</v>
      </c>
      <c r="CX48" s="120" cm="1">
        <f t="array" ref="CX48">SUMPRODUCT(
  IFERROR(--tb_desp[valor],0)*
  (tb_desp[nucleo]="UP MOVE VILA SONIA")*
  (tb_desp[categoria]=CX$7)*
  (tb_desp[data.pagamento]&gt;=$A48)*
  (tb_desp[data.pagamento]&lt;EOMONTH($A48,0)+1)
)</f>
        <v>0</v>
      </c>
      <c r="CY48" s="122" cm="1">
        <f t="array" ref="CY48">SUMPRODUCT(
  IFERROR(--tb_desp[valor],0)*
  (tb_desp[nucleo]="UP MOVE VILA SONIA")*
  (tb_desp[categoria]=CY$7)*
  (tb_desp[data.pagamento]&gt;=$A48)*
  (tb_desp[data.pagamento]&lt;EOMONTH($A48,0)+1)
)</f>
        <v>0</v>
      </c>
    </row>
    <row r="49" spans="1:103" x14ac:dyDescent="0.25">
      <c r="A49" s="118">
        <v>45597</v>
      </c>
      <c r="B49" s="119">
        <f>COUNTIFS(
    tb_estq[empresa], B$6,
    tb_estq[Data da venda / reserva], "&gt;=" &amp; $A49,
    tb_estq[Data da venda / reserva], "&lt;"  &amp; EOMONTH($A49,0) + 1
)</f>
        <v>0</v>
      </c>
      <c r="C49" s="120">
        <f ca="1">SUMIFS(tb_rec_uni[2024-11-01],
INDIRECT("tb_rec_uni[natureza]"),"pro.soluto",
INDIRECT("tb_rec_uni[empresa]"),C$6)</f>
        <v>0</v>
      </c>
      <c r="D49" s="120">
        <f ca="1">SUMIFS(tb_rec_uni[2024-11-01],
INDIRECT("tb_rec_uni[natureza]"),"repasse.cef.obra",
INDIRECT("tb_rec_uni[empresa]"),D$6)</f>
        <v>0</v>
      </c>
      <c r="E49" s="120">
        <f ca="1">SUMIFS(tb_rec_uni[2024-11-01],
INDIRECT("tb_rec_uni[natureza]"),"repasse.cef.terreno",
INDIRECT("tb_rec_uni[empresa]"),E$6)</f>
        <v>0</v>
      </c>
      <c r="F49" s="120">
        <v>0</v>
      </c>
      <c r="G49" s="120">
        <f ca="1">SUMIFS(tb_rec_uni[2024-11-01],
INDIRECT("tb_rec_uni[natureza]"),"taxa.extra",
INDIRECT("tb_rec_uni[empresa]"),G$6)</f>
        <v>0</v>
      </c>
      <c r="H49" s="108"/>
      <c r="I49" s="120">
        <f ca="1">SUMIFS(
  m.vb[valor],
  m.vb[nucleo],$B$1,
  m.vb[variavel],I$7,
  m.vb[mes],$A49
)</f>
        <v>0</v>
      </c>
      <c r="J49" s="120">
        <f ca="1">SUMIFS(
  m.vb[valor],
  m.vb[nucleo],$B$1,
  m.vb[variavel],J$7,
  m.vb[mes],$A49
)</f>
        <v>0</v>
      </c>
      <c r="K49" s="120">
        <f ca="1">SUMIFS(
  m.vb[valor],
  m.vb[nucleo],$B$1,
  m.vb[variavel],K$7,
  m.vb[mes],$A49
)</f>
        <v>0</v>
      </c>
      <c r="L49" s="120">
        <f ca="1">SUMIFS(
  m.vb[valor],
  m.vb[nucleo],$B$1,
  m.vb[variavel],L$7,
  m.vb[mes],$A49
)</f>
        <v>0</v>
      </c>
      <c r="M49" s="121">
        <f ca="1">SUMIFS(
  m.vb[valor],
  m.vb[nucleo],$B$1,
  m.vb[variavel],M$7,
  m.vb[mes],$A49
)</f>
        <v>0</v>
      </c>
      <c r="N49" s="119">
        <f>COUNTIFS(
    tb_estq[empresa], N$6,
    tb_estq[Data da venda / reserva], "&gt;=" &amp; $A49,
    tb_estq[Data da venda / reserva], "&lt;"  &amp; EOMONTH($A49,0) + 1
)</f>
        <v>0</v>
      </c>
      <c r="O49" s="120">
        <f ca="1">SUMIFS(tb_rec_uni[2024-11-01],
INDIRECT("tb_rec_uni[natureza]"),"pro.soluto",
INDIRECT("tb_rec_uni[empresa]"),O$6)</f>
        <v>0</v>
      </c>
      <c r="P49" s="120">
        <f ca="1">SUMIFS(tb_rec_uni[2024-11-01],
INDIRECT("tb_rec_uni[natureza]"),"repasse.cef.obra",
INDIRECT("tb_rec_uni[empresa]"),P$6)</f>
        <v>0</v>
      </c>
      <c r="Q49" s="120">
        <f ca="1">SUMIFS(tb_rec_uni[2024-11-01],
INDIRECT("tb_rec_uni[natureza]"),"repasse.cef.terreno",
INDIRECT("tb_rec_uni[empresa]"),Q$6)</f>
        <v>0</v>
      </c>
      <c r="R49" s="120">
        <v>0</v>
      </c>
      <c r="S49" s="120">
        <f ca="1">SUMIFS(tb_rec_uni[2024-11-01],
INDIRECT("tb_rec_uni[natureza]"),"taxa.extra",
INDIRECT("tb_rec_uni[empresa]"),S$6)</f>
        <v>0</v>
      </c>
      <c r="T49" s="108"/>
      <c r="U49" s="120">
        <f ca="1">SUMIFS(
  m.vb[valor],
  m.vb[nucleo],$N$1,
  m.vb[variavel],U$7,
  m.vb[mes],$A49
)</f>
        <v>0</v>
      </c>
      <c r="V49" s="120">
        <f ca="1">SUMIFS(
  m.vb[valor],
  m.vb[nucleo],$N$1,
  m.vb[variavel],V$7,
  m.vb[mes],$A49
)</f>
        <v>0</v>
      </c>
      <c r="W49" s="120">
        <f ca="1">SUMIFS(
  m.vb[valor],
  m.vb[nucleo],$N$1,
  m.vb[variavel],W$7,
  m.vb[mes],$A49
)</f>
        <v>0</v>
      </c>
      <c r="X49" s="120">
        <f ca="1">SUMIFS(
  m.vb[valor],
  m.vb[nucleo],$N$1,
  m.vb[variavel],X$7,
  m.vb[mes],$A49
)</f>
        <v>0</v>
      </c>
      <c r="Y49" s="121">
        <f ca="1">SUMIFS(
  m.vb[valor],
  m.vb[nucleo],$N$1,
  m.vb[variavel],Y$7,
  m.vb[mes],$A49
)</f>
        <v>0</v>
      </c>
      <c r="Z49" s="119">
        <f>COUNTIFS(
    tb_estq[empresa], Z$6,
    tb_estq[Data da venda / reserva], "&gt;=" &amp; $A49,
    tb_estq[Data da venda / reserva], "&lt;"  &amp; EOMONTH($A49,0) + 1
)</f>
        <v>0</v>
      </c>
      <c r="AA49" s="120">
        <f ca="1">SUMIFS(tb_rec_uni[2024-11-01],
INDIRECT("tb_rec_uni[natureza]"),"pro.soluto",
INDIRECT("tb_rec_uni[empresa]"),AA$6)</f>
        <v>0</v>
      </c>
      <c r="AB49" s="120">
        <f ca="1">SUMIFS(tb_rec_uni[2024-11-01],
INDIRECT("tb_rec_uni[natureza]"),"parcela.fin.total.ik",
INDIRECT("tb_rec_uni[empresa]"),AB$6)</f>
        <v>0</v>
      </c>
      <c r="AC49" s="120">
        <f ca="1">SUMIFS(tb_rec_uni[2024-11-01],
INDIRECT("tb_rec_uni[natureza]"),"taxa.extra",
INDIRECT("tb_rec_uni[empresa]"),AC$6)</f>
        <v>0</v>
      </c>
      <c r="AD49" s="108"/>
      <c r="AE49" s="120">
        <f ca="1">SUMIFS(
  m.vb[valor],
  m.vb[nucleo],$Z$1,
  m.vb[variavel],AE$7,
  m.vb[mes],$A49
)</f>
        <v>0</v>
      </c>
      <c r="AF49" s="120">
        <f ca="1">SUMIFS(
  m.vb[valor],
  m.vb[nucleo],$Z$1,
  m.vb[variavel],AF$7,
  m.vb[mes],$A49
)</f>
        <v>0</v>
      </c>
      <c r="AG49" s="120">
        <f ca="1">SUMIFS(
  m.vb[valor],
  m.vb[nucleo],$Z$1,
  m.vb[variavel],AG$7,
  m.vb[mes],$A49
)</f>
        <v>0</v>
      </c>
      <c r="AH49" s="120">
        <f ca="1">SUMIFS(
  m.vb[valor],
  m.vb[nucleo],$Z$1,
  m.vb[variavel],AH$7,
  m.vb[mes],$A49
)</f>
        <v>0</v>
      </c>
      <c r="AI49" s="121">
        <f ca="1">SUMIFS(
  m.vb[valor],
  m.vb[nucleo],$Z$1,
  m.vb[variavel],AI$7,
  m.vb[mes],$A49
)</f>
        <v>0</v>
      </c>
      <c r="AJ49" s="119">
        <f>COUNTIFS(
    tb_estq[empresa], AJ$6,
    tb_estq[Data da venda / reserva], "&gt;=" &amp; $A49,
    tb_estq[Data da venda / reserva], "&lt;"  &amp; EOMONTH($A49,0) + 1
)</f>
        <v>0</v>
      </c>
      <c r="AK49" s="120">
        <f ca="1">SUMIFS(tb_rec_uni[2024-11-01],
INDIRECT("tb_rec_uni[natureza]"),"pro.soluto",
INDIRECT("tb_rec_uni[empresa]"),AK$6)</f>
        <v>0</v>
      </c>
      <c r="AL49" s="120">
        <f ca="1">SUMIFS(tb_rec_uni[2024-11-01],
INDIRECT("tb_rec_uni[natureza]"),"repasse.cef.obra",
INDIRECT("tb_rec_uni[empresa]"),AL$6)</f>
        <v>0</v>
      </c>
      <c r="AM49" s="120">
        <f ca="1">SUMIFS(tb_rec_uni[2024-11-01],
INDIRECT("tb_rec_uni[natureza]"),"repasse.cef.terreno",
INDIRECT("tb_rec_uni[empresa]"),AM$6)</f>
        <v>0</v>
      </c>
      <c r="AN49" s="120">
        <v>0</v>
      </c>
      <c r="AO49" s="120">
        <f ca="1">SUMIFS(tb_rec_uni[2024-11-01],
INDIRECT("tb_rec_uni[natureza]"),"taxa.extra",
INDIRECT("tb_rec_uni[empresa]"),AO$6)</f>
        <v>0</v>
      </c>
      <c r="AP49" s="108"/>
      <c r="AQ49" s="120">
        <f ca="1">SUMIFS(
  m.vb[valor],
  m.vb[nucleo],$AJ$1,
  m.vb[variavel],AQ$7,
  m.vb[mes],$A49
)</f>
        <v>0</v>
      </c>
      <c r="AR49" s="120">
        <f ca="1">SUMIFS(
  m.vb[valor],
  m.vb[nucleo],$AJ$1,
  m.vb[variavel],AR$7,
  m.vb[mes],$A49
)</f>
        <v>0</v>
      </c>
      <c r="AS49" s="120">
        <f ca="1">SUMIFS(
  m.vb[valor],
  m.vb[nucleo],$AJ$1,
  m.vb[variavel],AS$7,
  m.vb[mes],$A49
)</f>
        <v>0</v>
      </c>
      <c r="AT49" s="120">
        <f ca="1">SUMIFS(
  m.vb[valor],
  m.vb[nucleo],$AJ$1,
  m.vb[variavel],AT$7,
  m.vb[mes],$A49
)</f>
        <v>0</v>
      </c>
      <c r="AU49" s="121">
        <f ca="1">SUMIFS(
  m.vb[valor],
  m.vb[nucleo],$AJ$1,
  m.vb[variavel],AU$7,
  m.vb[mes],$A49
)</f>
        <v>0</v>
      </c>
      <c r="AV49" s="119">
        <f>COUNTIFS(
    tb_estq[empresa], AV$6,
    tb_estq[Data da venda / reserva], "&gt;=" &amp; $A49,
    tb_estq[Data da venda / reserva], "&lt;"  &amp; EOMONTH($A49,0) + 1
)</f>
        <v>0</v>
      </c>
      <c r="AW49" s="120">
        <f ca="1">SUMIFS(tb_rec_uni[2024-11-01],
INDIRECT("tb_rec_uni[natureza]"),"pro.soluto",
INDIRECT("tb_rec_uni[empresa]"),AW$6)</f>
        <v>0</v>
      </c>
      <c r="AX49" s="120">
        <f ca="1">SUMIFS(tb_rec_uni[2024-11-01],
INDIRECT("tb_rec_uni[natureza]"),"repasse.cef.obra",
INDIRECT("tb_rec_uni[empresa]"),AX$6)</f>
        <v>0</v>
      </c>
      <c r="AY49" s="120">
        <f ca="1">SUMIFS(tb_rec_uni[2024-11-01],
INDIRECT("tb_rec_uni[natureza]"),"repasse.cef.terreno",
INDIRECT("tb_rec_uni[empresa]"),AY$6)</f>
        <v>0</v>
      </c>
      <c r="AZ49" s="120">
        <v>0</v>
      </c>
      <c r="BA49" s="120">
        <f ca="1">SUMIFS(tb_rec_uni[2024-11-01],
INDIRECT("tb_rec_uni[natureza]"),"taxa.extra",
INDIRECT("tb_rec_uni[empresa]"),BA$6)</f>
        <v>0</v>
      </c>
      <c r="BB49" s="108"/>
      <c r="BC49" s="120">
        <f ca="1">SUMIFS(
  m.vb[valor],
  m.vb[nucleo],$AV$1,
  m.vb[variavel],BC$7,
  m.vb[mes],$A49
)</f>
        <v>0</v>
      </c>
      <c r="BD49" s="120">
        <f ca="1">SUMIFS(
  m.vb[valor],
  m.vb[nucleo],$AV$1,
  m.vb[variavel],BD$7,
  m.vb[mes],$A49
)</f>
        <v>0</v>
      </c>
      <c r="BE49" s="120">
        <f ca="1">SUMIFS(
  m.vb[valor],
  m.vb[nucleo],$AV$1,
  m.vb[variavel],BE$7,
  m.vb[mes],$A49
)</f>
        <v>0</v>
      </c>
      <c r="BF49" s="120">
        <f ca="1">SUMIFS(
  m.vb[valor],
  m.vb[nucleo],$AV$1,
  m.vb[variavel],BF$7,
  m.vb[mes],$A49
)</f>
        <v>0</v>
      </c>
      <c r="BG49" s="121">
        <f ca="1">SUMIFS(
  m.vb[valor],
  m.vb[nucleo],$AV$1,
  m.vb[variavel],BG$7,
  m.vb[mes],$A49
)</f>
        <v>0</v>
      </c>
      <c r="BH49" s="119">
        <f>COUNTIFS(
    tb_estq[empresa], BH$6,
    tb_estq[Data da venda / reserva], "&gt;=" &amp; $A49,
    tb_estq[Data da venda / reserva], "&lt;"  &amp; EOMONTH($A49,0) + 1
)</f>
        <v>0</v>
      </c>
      <c r="BI49" s="120">
        <f ca="1">SUMIFS(tb_rec_uni[2024-11-01],
INDIRECT("tb_rec_uni[natureza]"),"pro.soluto",
INDIRECT("tb_rec_uni[empresa]"),BI$6)</f>
        <v>0</v>
      </c>
      <c r="BJ49" s="108">
        <f>0.88*94736</f>
        <v>83367.680000000008</v>
      </c>
      <c r="BK49" s="120">
        <f ca="1">SUMIFS(tb_rec_uni[2024-11-01],
INDIRECT("tb_rec_uni[natureza]"),"taxa.extra",
INDIRECT("tb_rec_uni[empresa]"),BK$6)</f>
        <v>0</v>
      </c>
      <c r="BL49" s="108"/>
      <c r="BM49" s="120">
        <f ca="1">SUMIFS(
  m.vb[valor],
  m.vb[nucleo],$BH$1,
  m.vb[variavel],BM$7,
  m.vb[mes],$A49
)</f>
        <v>0</v>
      </c>
      <c r="BN49" s="120">
        <f ca="1">SUMIFS(
  m.vb[valor],
  m.vb[nucleo],$BH$1,
  m.vb[variavel],BN$7,
  m.vb[mes],$A49
)</f>
        <v>0</v>
      </c>
      <c r="BO49" s="120">
        <f ca="1">SUMIFS(
  m.vb[valor],
  m.vb[nucleo],$BH$1,
  m.vb[variavel],BO$7,
  m.vb[mes],$A49
)</f>
        <v>0</v>
      </c>
      <c r="BP49" s="120">
        <f ca="1">SUMIFS(
  m.vb[valor],
  m.vb[nucleo],$BH$1,
  m.vb[variavel],BP$7,
  m.vb[mes],$A49
)</f>
        <v>0</v>
      </c>
      <c r="BQ49" s="121">
        <f ca="1">SUMIFS(
  m.vb[valor],
  m.vb[nucleo],$BH$1,
  m.vb[variavel],BQ$7,
  m.vb[mes],$A49
)</f>
        <v>0</v>
      </c>
      <c r="BR49" s="119">
        <f>COUNTIFS(
    tb_estq[empresa], BR$6,
    tb_estq[Data da venda / reserva], "&gt;=" &amp; $A49,
    tb_estq[Data da venda / reserva], "&lt;"  &amp; EOMONTH($A49,0) + 1
)</f>
        <v>0</v>
      </c>
      <c r="BS49" s="120">
        <f ca="1">SUMIFS(tb_rec_uni[2024-11-01],
INDIRECT("tb_rec_uni[natureza]"),"pro.soluto",
INDIRECT("tb_rec_uni[empresa]"),BS$6)</f>
        <v>0</v>
      </c>
      <c r="BT49" s="120">
        <f ca="1">SUMIFS(tb_rec_uni[2024-11-01],
INDIRECT("tb_rec_uni[natureza]"),"parcela.fin.total.ik",
INDIRECT("tb_rec_uni[empresa]"),BT$6)</f>
        <v>0</v>
      </c>
      <c r="BU49" s="120">
        <f ca="1">SUMIFS(tb_rec_uni[2024-11-01],
INDIRECT("tb_rec_uni[natureza]"),"taxa.extra",
INDIRECT("tb_rec_uni[empresa]"),BU$6)</f>
        <v>0</v>
      </c>
      <c r="BV49" s="108"/>
      <c r="BW49" s="120">
        <f ca="1">SUMIFS(
  m.vb[valor],
  m.vb[nucleo],$BR$1,
  m.vb[variavel],BW$7,
  m.vb[mes],$A49
)</f>
        <v>0</v>
      </c>
      <c r="BX49" s="120">
        <f ca="1">SUMIFS(
  m.vb[valor],
  m.vb[nucleo],$BR$1,
  m.vb[variavel],BX$7,
  m.vb[mes],$A49
)</f>
        <v>0</v>
      </c>
      <c r="BY49" s="120">
        <f ca="1">SUMIFS(
  m.vb[valor],
  m.vb[nucleo],$BR$1,
  m.vb[variavel],BY$7,
  m.vb[mes],$A49
)</f>
        <v>0</v>
      </c>
      <c r="BZ49" s="120">
        <f ca="1">SUMIFS(
  m.vb[valor],
  m.vb[nucleo],$BR$1,
  m.vb[variavel],BZ$7,
  m.vb[mes],$A49
)</f>
        <v>0</v>
      </c>
      <c r="CA49" s="121">
        <f ca="1">SUMIFS(
  m.vb[valor],
  m.vb[nucleo],$BR$1,
  m.vb[variavel],CA$7,
  m.vb[mes],$A49
)</f>
        <v>0</v>
      </c>
      <c r="CB49" s="119">
        <f>COUNTIFS(
    tb_estq[empresa], CB$6,
    tb_estq[Data da venda / reserva], "&gt;=" &amp; $A49,
    tb_estq[Data da venda / reserva], "&lt;"  &amp; EOMONTH($A49,0) + 1
)</f>
        <v>0</v>
      </c>
      <c r="CC49" s="120">
        <f ca="1">SUMIFS(tb_rec_uni[2024-11-01],
INDIRECT("tb_rec_uni[natureza]"),"pro.soluto",
INDIRECT("tb_rec_uni[empresa]"),CC$6)</f>
        <v>0</v>
      </c>
      <c r="CD49" s="120">
        <f ca="1">SUMIFS(tb_rec_uni[2024-11-01],
INDIRECT("tb_rec_uni[natureza]"),"repasse.cef.obra",
INDIRECT("tb_rec_uni[empresa]"),CD$6)</f>
        <v>0</v>
      </c>
      <c r="CE49" s="120">
        <f ca="1">SUMIFS(tb_rec_uni[2024-11-01],
INDIRECT("tb_rec_uni[natureza]"),"repasse.cef.terreno",
INDIRECT("tb_rec_uni[empresa]"),CE$6)</f>
        <v>0</v>
      </c>
      <c r="CF49" s="120">
        <v>0</v>
      </c>
      <c r="CG49" s="120">
        <f ca="1">SUMIFS(tb_rec_uni[2024-11-01],
INDIRECT("tb_rec_uni[natureza]"),"taxa.extra",
INDIRECT("tb_rec_uni[empresa]"),CG$6)</f>
        <v>0</v>
      </c>
      <c r="CH49" s="108"/>
      <c r="CI49" s="120">
        <f ca="1">SUMIFS(
  m.vb[valor],
  m.vb[nucleo],$CB$1,
  m.vb[variavel],CI$7,
  m.vb[mes],$A49
)</f>
        <v>0</v>
      </c>
      <c r="CJ49" s="120">
        <f ca="1">SUMIFS(
  m.vb[valor],
  m.vb[nucleo],$CB$1,
  m.vb[variavel],CJ$7,
  m.vb[mes],$A49
)</f>
        <v>0</v>
      </c>
      <c r="CK49" s="120">
        <f ca="1">SUMIFS(
  m.vb[valor],
  m.vb[nucleo],$CB$1,
  m.vb[variavel],CK$7,
  m.vb[mes],$A49
)</f>
        <v>0</v>
      </c>
      <c r="CL49" s="120">
        <f ca="1">SUMIFS(
  m.vb[valor],
  m.vb[nucleo],$CB$1,
  m.vb[variavel],CL$7,
  m.vb[mes],$A49
)</f>
        <v>0</v>
      </c>
      <c r="CM49" s="121">
        <f ca="1">SUMIFS(
  m.vb[valor],
  m.vb[nucleo],$CB$1,
  m.vb[variavel],CM$7,
  m.vb[mes],$A49
)</f>
        <v>0</v>
      </c>
      <c r="CN49" s="119">
        <f>COUNTIFS(
    tb_estq[empresa], CN$6,
    tb_estq[Data da venda / reserva], "&gt;=" &amp; $A49,
    tb_estq[Data da venda / reserva], "&lt;"  &amp; EOMONTH($A49,0) + 1
)</f>
        <v>0</v>
      </c>
      <c r="CO49" s="120">
        <f ca="1">SUMIFS(tb_rec_uni[2024-11-01],
INDIRECT("tb_rec_uni[natureza]"),"pro.soluto",
INDIRECT("tb_rec_uni[empresa]"),CO$6)</f>
        <v>0</v>
      </c>
      <c r="CP49" s="120">
        <f ca="1">SUMIFS(tb_rec_uni[2024-11-01],
INDIRECT("tb_rec_uni[natureza]"),"repasse.cef.obra",
INDIRECT("tb_rec_uni[empresa]"),CP$6)</f>
        <v>0</v>
      </c>
      <c r="CQ49" s="120">
        <f ca="1">SUMIFS(tb_rec_uni[2024-11-01],
INDIRECT("tb_rec_uni[natureza]"),"repasse.cef.terreno",
INDIRECT("tb_rec_uni[empresa]"),CQ$6)</f>
        <v>0</v>
      </c>
      <c r="CR49" s="120">
        <v>0</v>
      </c>
      <c r="CS49" s="120">
        <f ca="1">SUMIFS(tb_rec_uni[2024-11-01],
INDIRECT("tb_rec_uni[natureza]"),"taxa.extra",
INDIRECT("tb_rec_uni[empresa]"),CS$6)</f>
        <v>0</v>
      </c>
      <c r="CT49" s="108"/>
      <c r="CU49" s="120">
        <f ca="1">SUMIFS(
  m.vb[valor],
  m.vb[nucleo],$CN$1,
  m.vb[variavel],CU$7,
  m.vb[mes],$A49
)</f>
        <v>0</v>
      </c>
      <c r="CV49" s="120" cm="1">
        <f t="array" ref="CV49">SUMPRODUCT(
  IFERROR(--tb_desp[valor],0)*
  (tb_desp[nucleo]="UP MOVE VILA SONIA")*
  (tb_desp[categoria]=CV$7)*
  (tb_desp[data.pagamento]&gt;=$A49)*
  (tb_desp[data.pagamento]&lt;EOMONTH($A49,0)+1)
)</f>
        <v>0</v>
      </c>
      <c r="CW49" s="120" cm="1">
        <f t="array" ref="CW49">SUMPRODUCT(
  IFERROR(--tb_desp[valor],0)*
  (tb_desp[nucleo]="UP MOVE VILA SONIA")*
  (tb_desp[categoria]=CW$7)*
  (tb_desp[data.pagamento]&gt;=$A49)*
  (tb_desp[data.pagamento]&lt;EOMONTH($A49,0)+1)
)</f>
        <v>0</v>
      </c>
      <c r="CX49" s="120" cm="1">
        <f t="array" ref="CX49">SUMPRODUCT(
  IFERROR(--tb_desp[valor],0)*
  (tb_desp[nucleo]="UP MOVE VILA SONIA")*
  (tb_desp[categoria]=CX$7)*
  (tb_desp[data.pagamento]&gt;=$A49)*
  (tb_desp[data.pagamento]&lt;EOMONTH($A49,0)+1)
)</f>
        <v>0</v>
      </c>
      <c r="CY49" s="122" cm="1">
        <f t="array" ref="CY49">SUMPRODUCT(
  IFERROR(--tb_desp[valor],0)*
  (tb_desp[nucleo]="UP MOVE VILA SONIA")*
  (tb_desp[categoria]=CY$7)*
  (tb_desp[data.pagamento]&gt;=$A49)*
  (tb_desp[data.pagamento]&lt;EOMONTH($A49,0)+1)
)</f>
        <v>0</v>
      </c>
    </row>
    <row r="50" spans="1:103" x14ac:dyDescent="0.25">
      <c r="A50" s="118">
        <v>45627</v>
      </c>
      <c r="B50" s="119">
        <f>COUNTIFS(
    tb_estq[empresa], B$6,
    tb_estq[Data da venda / reserva], "&gt;=" &amp; $A50,
    tb_estq[Data da venda / reserva], "&lt;"  &amp; EOMONTH($A50,0) + 1
)</f>
        <v>0</v>
      </c>
      <c r="C50" s="120">
        <f ca="1">SUMIFS(tb_rec_uni[2024-12-01],
INDIRECT("tb_rec_uni[natureza]"),"pro.soluto",
INDIRECT("tb_rec_uni[empresa]"),C$6)</f>
        <v>0</v>
      </c>
      <c r="D50" s="120">
        <f ca="1">SUMIFS(tb_rec_uni[2024-12-01],
INDIRECT("tb_rec_uni[natureza]"),"repasse.cef.obra",
INDIRECT("tb_rec_uni[empresa]"),D$6)</f>
        <v>0</v>
      </c>
      <c r="E50" s="120">
        <f ca="1">SUMIFS(tb_rec_uni[2024-12-01],
INDIRECT("tb_rec_uni[natureza]"),"repasse.cef.terreno",
INDIRECT("tb_rec_uni[empresa]"),E$6)</f>
        <v>0</v>
      </c>
      <c r="F50" s="120">
        <v>293595.69</v>
      </c>
      <c r="G50" s="120">
        <f ca="1">SUMIFS(tb_rec_uni[2024-12-01],
INDIRECT("tb_rec_uni[natureza]"),"taxa.extra",
INDIRECT("tb_rec_uni[empresa]"),G$6)</f>
        <v>0</v>
      </c>
      <c r="H50" s="108"/>
      <c r="I50" s="120">
        <f ca="1">SUMIFS(
  m.vb[valor],
  m.vb[nucleo],$B$1,
  m.vb[variavel],I$7,
  m.vb[mes],$A50
)</f>
        <v>0</v>
      </c>
      <c r="J50" s="120">
        <f ca="1">SUMIFS(
  m.vb[valor],
  m.vb[nucleo],$B$1,
  m.vb[variavel],J$7,
  m.vb[mes],$A50
)</f>
        <v>0</v>
      </c>
      <c r="K50" s="120">
        <f ca="1">SUMIFS(
  m.vb[valor],
  m.vb[nucleo],$B$1,
  m.vb[variavel],K$7,
  m.vb[mes],$A50
)</f>
        <v>0</v>
      </c>
      <c r="L50" s="120">
        <f ca="1">SUMIFS(
  m.vb[valor],
  m.vb[nucleo],$B$1,
  m.vb[variavel],L$7,
  m.vb[mes],$A50
)</f>
        <v>0</v>
      </c>
      <c r="M50" s="121">
        <f ca="1">SUMIFS(
  m.vb[valor],
  m.vb[nucleo],$B$1,
  m.vb[variavel],M$7,
  m.vb[mes],$A50
)</f>
        <v>0</v>
      </c>
      <c r="N50" s="119">
        <f>COUNTIFS(
    tb_estq[empresa], N$6,
    tb_estq[Data da venda / reserva], "&gt;=" &amp; $A50,
    tb_estq[Data da venda / reserva], "&lt;"  &amp; EOMONTH($A50,0) + 1
)</f>
        <v>0</v>
      </c>
      <c r="O50" s="120">
        <f ca="1">SUMIFS(tb_rec_uni[2024-12-01],
INDIRECT("tb_rec_uni[natureza]"),"pro.soluto",
INDIRECT("tb_rec_uni[empresa]"),O$6)</f>
        <v>0</v>
      </c>
      <c r="P50" s="120">
        <f ca="1">SUMIFS(tb_rec_uni[2024-12-01],
INDIRECT("tb_rec_uni[natureza]"),"repasse.cef.obra",
INDIRECT("tb_rec_uni[empresa]"),P$6)</f>
        <v>0</v>
      </c>
      <c r="Q50" s="120">
        <f ca="1">SUMIFS(tb_rec_uni[2024-12-01],
INDIRECT("tb_rec_uni[natureza]"),"repasse.cef.terreno",
INDIRECT("tb_rec_uni[empresa]"),Q$6)</f>
        <v>0</v>
      </c>
      <c r="R50" s="120">
        <v>0</v>
      </c>
      <c r="S50" s="120">
        <f ca="1">SUMIFS(tb_rec_uni[2024-12-01],
INDIRECT("tb_rec_uni[natureza]"),"taxa.extra",
INDIRECT("tb_rec_uni[empresa]"),S$6)</f>
        <v>0</v>
      </c>
      <c r="T50" s="108"/>
      <c r="U50" s="120">
        <f ca="1">SUMIFS(
  m.vb[valor],
  m.vb[nucleo],$N$1,
  m.vb[variavel],U$7,
  m.vb[mes],$A50
)</f>
        <v>0</v>
      </c>
      <c r="V50" s="120">
        <f ca="1">SUMIFS(
  m.vb[valor],
  m.vb[nucleo],$N$1,
  m.vb[variavel],V$7,
  m.vb[mes],$A50
)</f>
        <v>0</v>
      </c>
      <c r="W50" s="120">
        <f ca="1">SUMIFS(
  m.vb[valor],
  m.vb[nucleo],$N$1,
  m.vb[variavel],W$7,
  m.vb[mes],$A50
)</f>
        <v>0</v>
      </c>
      <c r="X50" s="120">
        <f ca="1">SUMIFS(
  m.vb[valor],
  m.vb[nucleo],$N$1,
  m.vb[variavel],X$7,
  m.vb[mes],$A50
)</f>
        <v>0</v>
      </c>
      <c r="Y50" s="121">
        <f ca="1">SUMIFS(
  m.vb[valor],
  m.vb[nucleo],$N$1,
  m.vb[variavel],Y$7,
  m.vb[mes],$A50
)</f>
        <v>0</v>
      </c>
      <c r="Z50" s="119">
        <f>COUNTIFS(
    tb_estq[empresa], Z$6,
    tb_estq[Data da venda / reserva], "&gt;=" &amp; $A50,
    tb_estq[Data da venda / reserva], "&lt;"  &amp; EOMONTH($A50,0) + 1
)</f>
        <v>0</v>
      </c>
      <c r="AA50" s="120">
        <f ca="1">SUMIFS(tb_rec_uni[2024-12-01],
INDIRECT("tb_rec_uni[natureza]"),"pro.soluto",
INDIRECT("tb_rec_uni[empresa]"),AA$6)</f>
        <v>0</v>
      </c>
      <c r="AB50" s="120">
        <f ca="1">SUMIFS(tb_rec_uni[2024-12-01],
INDIRECT("tb_rec_uni[natureza]"),"parcela.fin.total.ik",
INDIRECT("tb_rec_uni[empresa]"),AB$6)</f>
        <v>0</v>
      </c>
      <c r="AC50" s="120">
        <f ca="1">SUMIFS(tb_rec_uni[2024-12-01],
INDIRECT("tb_rec_uni[natureza]"),"taxa.extra",
INDIRECT("tb_rec_uni[empresa]"),AC$6)</f>
        <v>0</v>
      </c>
      <c r="AD50" s="108"/>
      <c r="AE50" s="120">
        <f ca="1">SUMIFS(
  m.vb[valor],
  m.vb[nucleo],$Z$1,
  m.vb[variavel],AE$7,
  m.vb[mes],$A50
)</f>
        <v>0</v>
      </c>
      <c r="AF50" s="120">
        <f ca="1">SUMIFS(
  m.vb[valor],
  m.vb[nucleo],$Z$1,
  m.vb[variavel],AF$7,
  m.vb[mes],$A50
)</f>
        <v>0</v>
      </c>
      <c r="AG50" s="120">
        <f ca="1">SUMIFS(
  m.vb[valor],
  m.vb[nucleo],$Z$1,
  m.vb[variavel],AG$7,
  m.vb[mes],$A50
)</f>
        <v>0</v>
      </c>
      <c r="AH50" s="120">
        <f ca="1">SUMIFS(
  m.vb[valor],
  m.vb[nucleo],$Z$1,
  m.vb[variavel],AH$7,
  m.vb[mes],$A50
)</f>
        <v>0</v>
      </c>
      <c r="AI50" s="121">
        <f ca="1">SUMIFS(
  m.vb[valor],
  m.vb[nucleo],$Z$1,
  m.vb[variavel],AI$7,
  m.vb[mes],$A50
)</f>
        <v>0</v>
      </c>
      <c r="AJ50" s="119">
        <f>COUNTIFS(
    tb_estq[empresa], AJ$6,
    tb_estq[Data da venda / reserva], "&gt;=" &amp; $A50,
    tb_estq[Data da venda / reserva], "&lt;"  &amp; EOMONTH($A50,0) + 1
)</f>
        <v>0</v>
      </c>
      <c r="AK50" s="120">
        <f ca="1">SUMIFS(tb_rec_uni[2024-12-01],
INDIRECT("tb_rec_uni[natureza]"),"pro.soluto",
INDIRECT("tb_rec_uni[empresa]"),AK$6)</f>
        <v>0</v>
      </c>
      <c r="AL50" s="120">
        <f ca="1">SUMIFS(tb_rec_uni[2024-12-01],
INDIRECT("tb_rec_uni[natureza]"),"repasse.cef.obra",
INDIRECT("tb_rec_uni[empresa]"),AL$6)</f>
        <v>0</v>
      </c>
      <c r="AM50" s="120">
        <f ca="1">SUMIFS(tb_rec_uni[2024-12-01],
INDIRECT("tb_rec_uni[natureza]"),"repasse.cef.terreno",
INDIRECT("tb_rec_uni[empresa]"),AM$6)</f>
        <v>0</v>
      </c>
      <c r="AN50" s="120">
        <v>0</v>
      </c>
      <c r="AO50" s="120">
        <f ca="1">SUMIFS(tb_rec_uni[2024-12-01],
INDIRECT("tb_rec_uni[natureza]"),"taxa.extra",
INDIRECT("tb_rec_uni[empresa]"),AO$6)</f>
        <v>0</v>
      </c>
      <c r="AP50" s="108"/>
      <c r="AQ50" s="120">
        <f ca="1">SUMIFS(
  m.vb[valor],
  m.vb[nucleo],$AJ$1,
  m.vb[variavel],AQ$7,
  m.vb[mes],$A50
)</f>
        <v>0</v>
      </c>
      <c r="AR50" s="120">
        <f ca="1">SUMIFS(
  m.vb[valor],
  m.vb[nucleo],$AJ$1,
  m.vb[variavel],AR$7,
  m.vb[mes],$A50
)</f>
        <v>0</v>
      </c>
      <c r="AS50" s="120">
        <f ca="1">SUMIFS(
  m.vb[valor],
  m.vb[nucleo],$AJ$1,
  m.vb[variavel],AS$7,
  m.vb[mes],$A50
)</f>
        <v>0</v>
      </c>
      <c r="AT50" s="120">
        <f ca="1">SUMIFS(
  m.vb[valor],
  m.vb[nucleo],$AJ$1,
  m.vb[variavel],AT$7,
  m.vb[mes],$A50
)</f>
        <v>0</v>
      </c>
      <c r="AU50" s="121">
        <f ca="1">SUMIFS(
  m.vb[valor],
  m.vb[nucleo],$AJ$1,
  m.vb[variavel],AU$7,
  m.vb[mes],$A50
)</f>
        <v>0</v>
      </c>
      <c r="AV50" s="119">
        <f>COUNTIFS(
    tb_estq[empresa], AV$6,
    tb_estq[Data da venda / reserva], "&gt;=" &amp; $A50,
    tb_estq[Data da venda / reserva], "&lt;"  &amp; EOMONTH($A50,0) + 1
)</f>
        <v>0</v>
      </c>
      <c r="AW50" s="120">
        <f ca="1">SUMIFS(tb_rec_uni[2024-12-01],
INDIRECT("tb_rec_uni[natureza]"),"pro.soluto",
INDIRECT("tb_rec_uni[empresa]"),AW$6)</f>
        <v>0</v>
      </c>
      <c r="AX50" s="120">
        <f ca="1">SUMIFS(tb_rec_uni[2024-12-01],
INDIRECT("tb_rec_uni[natureza]"),"repasse.cef.obra",
INDIRECT("tb_rec_uni[empresa]"),AX$6)</f>
        <v>0</v>
      </c>
      <c r="AY50" s="120">
        <f ca="1">SUMIFS(tb_rec_uni[2024-12-01],
INDIRECT("tb_rec_uni[natureza]"),"repasse.cef.terreno",
INDIRECT("tb_rec_uni[empresa]"),AY$6)</f>
        <v>0</v>
      </c>
      <c r="AZ50" s="120">
        <v>0</v>
      </c>
      <c r="BA50" s="120">
        <f ca="1">SUMIFS(tb_rec_uni[2024-12-01],
INDIRECT("tb_rec_uni[natureza]"),"taxa.extra",
INDIRECT("tb_rec_uni[empresa]"),BA$6)</f>
        <v>0</v>
      </c>
      <c r="BB50" s="108"/>
      <c r="BC50" s="120">
        <f ca="1">SUMIFS(
  m.vb[valor],
  m.vb[nucleo],$AV$1,
  m.vb[variavel],BC$7,
  m.vb[mes],$A50
)</f>
        <v>0</v>
      </c>
      <c r="BD50" s="120">
        <f ca="1">SUMIFS(
  m.vb[valor],
  m.vb[nucleo],$AV$1,
  m.vb[variavel],BD$7,
  m.vb[mes],$A50
)</f>
        <v>0</v>
      </c>
      <c r="BE50" s="120">
        <f ca="1">SUMIFS(
  m.vb[valor],
  m.vb[nucleo],$AV$1,
  m.vb[variavel],BE$7,
  m.vb[mes],$A50
)</f>
        <v>0</v>
      </c>
      <c r="BF50" s="120">
        <f ca="1">SUMIFS(
  m.vb[valor],
  m.vb[nucleo],$AV$1,
  m.vb[variavel],BF$7,
  m.vb[mes],$A50
)</f>
        <v>0</v>
      </c>
      <c r="BG50" s="121">
        <f ca="1">SUMIFS(
  m.vb[valor],
  m.vb[nucleo],$AV$1,
  m.vb[variavel],BG$7,
  m.vb[mes],$A50
)</f>
        <v>0</v>
      </c>
      <c r="BH50" s="119">
        <f>COUNTIFS(
    tb_estq[empresa], BH$6,
    tb_estq[Data da venda / reserva], "&gt;=" &amp; $A50,
    tb_estq[Data da venda / reserva], "&lt;"  &amp; EOMONTH($A50,0) + 1
)</f>
        <v>0</v>
      </c>
      <c r="BI50" s="120">
        <f ca="1">SUMIFS(tb_rec_uni[2024-12-01],
INDIRECT("tb_rec_uni[natureza]"),"pro.soluto",
INDIRECT("tb_rec_uni[empresa]"),BI$6)</f>
        <v>0</v>
      </c>
      <c r="BJ50" s="108">
        <f>1.1*94736</f>
        <v>104209.60000000001</v>
      </c>
      <c r="BK50" s="120">
        <f ca="1">SUMIFS(tb_rec_uni[2024-12-01],
INDIRECT("tb_rec_uni[natureza]"),"taxa.extra",
INDIRECT("tb_rec_uni[empresa]"),BK$6)</f>
        <v>0</v>
      </c>
      <c r="BL50" s="108"/>
      <c r="BM50" s="120">
        <f ca="1">SUMIFS(
  m.vb[valor],
  m.vb[nucleo],$BH$1,
  m.vb[variavel],BM$7,
  m.vb[mes],$A50
)</f>
        <v>0</v>
      </c>
      <c r="BN50" s="120">
        <f ca="1">SUMIFS(
  m.vb[valor],
  m.vb[nucleo],$BH$1,
  m.vb[variavel],BN$7,
  m.vb[mes],$A50
)</f>
        <v>0</v>
      </c>
      <c r="BO50" s="120">
        <f ca="1">SUMIFS(
  m.vb[valor],
  m.vb[nucleo],$BH$1,
  m.vb[variavel],BO$7,
  m.vb[mes],$A50
)</f>
        <v>0</v>
      </c>
      <c r="BP50" s="120">
        <f ca="1">SUMIFS(
  m.vb[valor],
  m.vb[nucleo],$BH$1,
  m.vb[variavel],BP$7,
  m.vb[mes],$A50
)</f>
        <v>0</v>
      </c>
      <c r="BQ50" s="121">
        <f ca="1">SUMIFS(
  m.vb[valor],
  m.vb[nucleo],$BH$1,
  m.vb[variavel],BQ$7,
  m.vb[mes],$A50
)</f>
        <v>0</v>
      </c>
      <c r="BR50" s="119">
        <f>COUNTIFS(
    tb_estq[empresa], BR$6,
    tb_estq[Data da venda / reserva], "&gt;=" &amp; $A50,
    tb_estq[Data da venda / reserva], "&lt;"  &amp; EOMONTH($A50,0) + 1
)</f>
        <v>0</v>
      </c>
      <c r="BS50" s="120">
        <f ca="1">SUMIFS(tb_rec_uni[2024-12-01],
INDIRECT("tb_rec_uni[natureza]"),"pro.soluto",
INDIRECT("tb_rec_uni[empresa]"),BS$6)</f>
        <v>0</v>
      </c>
      <c r="BT50" s="120">
        <f ca="1">SUMIFS(tb_rec_uni[2024-12-01],
INDIRECT("tb_rec_uni[natureza]"),"parcela.fin.total.ik",
INDIRECT("tb_rec_uni[empresa]"),BT$6)</f>
        <v>0</v>
      </c>
      <c r="BU50" s="120">
        <f ca="1">SUMIFS(tb_rec_uni[2024-12-01],
INDIRECT("tb_rec_uni[natureza]"),"taxa.extra",
INDIRECT("tb_rec_uni[empresa]"),BU$6)</f>
        <v>0</v>
      </c>
      <c r="BV50" s="108"/>
      <c r="BW50" s="120">
        <f ca="1">SUMIFS(
  m.vb[valor],
  m.vb[nucleo],$BR$1,
  m.vb[variavel],BW$7,
  m.vb[mes],$A50
)</f>
        <v>0</v>
      </c>
      <c r="BX50" s="120">
        <f ca="1">SUMIFS(
  m.vb[valor],
  m.vb[nucleo],$BR$1,
  m.vb[variavel],BX$7,
  m.vb[mes],$A50
)</f>
        <v>0</v>
      </c>
      <c r="BY50" s="120">
        <f ca="1">SUMIFS(
  m.vb[valor],
  m.vb[nucleo],$BR$1,
  m.vb[variavel],BY$7,
  m.vb[mes],$A50
)</f>
        <v>0</v>
      </c>
      <c r="BZ50" s="120">
        <f ca="1">SUMIFS(
  m.vb[valor],
  m.vb[nucleo],$BR$1,
  m.vb[variavel],BZ$7,
  m.vb[mes],$A50
)</f>
        <v>0</v>
      </c>
      <c r="CA50" s="121">
        <f ca="1">SUMIFS(
  m.vb[valor],
  m.vb[nucleo],$BR$1,
  m.vb[variavel],CA$7,
  m.vb[mes],$A50
)</f>
        <v>0</v>
      </c>
      <c r="CB50" s="119">
        <f>COUNTIFS(
    tb_estq[empresa], CB$6,
    tb_estq[Data da venda / reserva], "&gt;=" &amp; $A50,
    tb_estq[Data da venda / reserva], "&lt;"  &amp; EOMONTH($A50,0) + 1
)</f>
        <v>0</v>
      </c>
      <c r="CC50" s="120">
        <f ca="1">SUMIFS(tb_rec_uni[2024-12-01],
INDIRECT("tb_rec_uni[natureza]"),"pro.soluto",
INDIRECT("tb_rec_uni[empresa]"),CC$6)</f>
        <v>0</v>
      </c>
      <c r="CD50" s="120">
        <f ca="1">SUMIFS(tb_rec_uni[2024-12-01],
INDIRECT("tb_rec_uni[natureza]"),"repasse.cef.obra",
INDIRECT("tb_rec_uni[empresa]"),CD$6)</f>
        <v>0</v>
      </c>
      <c r="CE50" s="120">
        <f ca="1">SUMIFS(tb_rec_uni[2024-12-01],
INDIRECT("tb_rec_uni[natureza]"),"repasse.cef.terreno",
INDIRECT("tb_rec_uni[empresa]"),CE$6)</f>
        <v>0</v>
      </c>
      <c r="CF50" s="120">
        <v>928463.72</v>
      </c>
      <c r="CG50" s="120">
        <f ca="1">SUMIFS(tb_rec_uni[2024-12-01],
INDIRECT("tb_rec_uni[natureza]"),"taxa.extra",
INDIRECT("tb_rec_uni[empresa]"),CG$6)</f>
        <v>0</v>
      </c>
      <c r="CH50" s="108"/>
      <c r="CI50" s="120">
        <f ca="1">SUMIFS(
  m.vb[valor],
  m.vb[nucleo],$CB$1,
  m.vb[variavel],CI$7,
  m.vb[mes],$A50
)</f>
        <v>0</v>
      </c>
      <c r="CJ50" s="120">
        <f ca="1">SUMIFS(
  m.vb[valor],
  m.vb[nucleo],$CB$1,
  m.vb[variavel],CJ$7,
  m.vb[mes],$A50
)</f>
        <v>0</v>
      </c>
      <c r="CK50" s="120">
        <f ca="1">SUMIFS(
  m.vb[valor],
  m.vb[nucleo],$CB$1,
  m.vb[variavel],CK$7,
  m.vb[mes],$A50
)</f>
        <v>0</v>
      </c>
      <c r="CL50" s="120">
        <f ca="1">SUMIFS(
  m.vb[valor],
  m.vb[nucleo],$CB$1,
  m.vb[variavel],CL$7,
  m.vb[mes],$A50
)</f>
        <v>0</v>
      </c>
      <c r="CM50" s="121">
        <f ca="1">SUMIFS(
  m.vb[valor],
  m.vb[nucleo],$CB$1,
  m.vb[variavel],CM$7,
  m.vb[mes],$A50
)</f>
        <v>0</v>
      </c>
      <c r="CN50" s="119">
        <f>COUNTIFS(
    tb_estq[empresa], CN$6,
    tb_estq[Data da venda / reserva], "&gt;=" &amp; $A50,
    tb_estq[Data da venda / reserva], "&lt;"  &amp; EOMONTH($A50,0) + 1
)</f>
        <v>0</v>
      </c>
      <c r="CO50" s="120">
        <f ca="1">SUMIFS(tb_rec_uni[2024-12-01],
INDIRECT("tb_rec_uni[natureza]"),"pro.soluto",
INDIRECT("tb_rec_uni[empresa]"),CO$6)</f>
        <v>0</v>
      </c>
      <c r="CP50" s="120">
        <f ca="1">SUMIFS(tb_rec_uni[2024-12-01],
INDIRECT("tb_rec_uni[natureza]"),"repasse.cef.obra",
INDIRECT("tb_rec_uni[empresa]"),CP$6)</f>
        <v>0</v>
      </c>
      <c r="CQ50" s="120">
        <f ca="1">SUMIFS(tb_rec_uni[2024-12-01],
INDIRECT("tb_rec_uni[natureza]"),"repasse.cef.terreno",
INDIRECT("tb_rec_uni[empresa]"),CQ$6)</f>
        <v>0</v>
      </c>
      <c r="CR50" s="120">
        <v>0</v>
      </c>
      <c r="CS50" s="120">
        <f ca="1">SUMIFS(tb_rec_uni[2024-12-01],
INDIRECT("tb_rec_uni[natureza]"),"taxa.extra",
INDIRECT("tb_rec_uni[empresa]"),CS$6)</f>
        <v>0</v>
      </c>
      <c r="CT50" s="108"/>
      <c r="CU50" s="120">
        <f ca="1">SUMIFS(
  m.vb[valor],
  m.vb[nucleo],$CN$1,
  m.vb[variavel],CU$7,
  m.vb[mes],$A50
)</f>
        <v>0</v>
      </c>
      <c r="CV50" s="120" cm="1">
        <f t="array" ref="CV50">SUMPRODUCT(
  IFERROR(--tb_desp[valor],0)*
  (tb_desp[nucleo]="UP MOVE VILA SONIA")*
  (tb_desp[categoria]=CV$7)*
  (tb_desp[data.pagamento]&gt;=$A50)*
  (tb_desp[data.pagamento]&lt;EOMONTH($A50,0)+1)
)</f>
        <v>0</v>
      </c>
      <c r="CW50" s="120" cm="1">
        <f t="array" ref="CW50">SUMPRODUCT(
  IFERROR(--tb_desp[valor],0)*
  (tb_desp[nucleo]="UP MOVE VILA SONIA")*
  (tb_desp[categoria]=CW$7)*
  (tb_desp[data.pagamento]&gt;=$A50)*
  (tb_desp[data.pagamento]&lt;EOMONTH($A50,0)+1)
)</f>
        <v>0</v>
      </c>
      <c r="CX50" s="120" cm="1">
        <f t="array" ref="CX50">SUMPRODUCT(
  IFERROR(--tb_desp[valor],0)*
  (tb_desp[nucleo]="UP MOVE VILA SONIA")*
  (tb_desp[categoria]=CX$7)*
  (tb_desp[data.pagamento]&gt;=$A50)*
  (tb_desp[data.pagamento]&lt;EOMONTH($A50,0)+1)
)</f>
        <v>0</v>
      </c>
      <c r="CY50" s="122" cm="1">
        <f t="array" ref="CY50">SUMPRODUCT(
  IFERROR(--tb_desp[valor],0)*
  (tb_desp[nucleo]="UP MOVE VILA SONIA")*
  (tb_desp[categoria]=CY$7)*
  (tb_desp[data.pagamento]&gt;=$A50)*
  (tb_desp[data.pagamento]&lt;EOMONTH($A50,0)+1)
)</f>
        <v>0</v>
      </c>
    </row>
    <row r="51" spans="1:103" x14ac:dyDescent="0.25">
      <c r="A51" s="118">
        <v>45658</v>
      </c>
      <c r="B51" s="119">
        <f>COUNTIFS(
    tb_estq[empresa], B$6,
    tb_estq[Data da venda / reserva], "&gt;=" &amp; $A51,
    tb_estq[Data da venda / reserva], "&lt;"  &amp; EOMONTH($A51,0) + 1
)</f>
        <v>0</v>
      </c>
      <c r="C51" s="120">
        <f ca="1">SUMIFS(tb_rec_uni[2025-01-01],
INDIRECT("tb_rec_uni[natureza]"),"pro.soluto",
INDIRECT("tb_rec_uni[empresa]"),C$6)</f>
        <v>0</v>
      </c>
      <c r="D51" s="120">
        <f ca="1">SUMIFS(tb_rec_uni[2025-01-01],
INDIRECT("tb_rec_uni[natureza]"),"repasse.cef.obra",
INDIRECT("tb_rec_uni[empresa]"),D$6)</f>
        <v>0</v>
      </c>
      <c r="E51" s="120">
        <f ca="1">SUMIFS(tb_rec_uni[2025-01-01],
INDIRECT("tb_rec_uni[natureza]"),"repasse.cef.terreno",
INDIRECT("tb_rec_uni[empresa]"),E$6)</f>
        <v>0</v>
      </c>
      <c r="F51" s="120">
        <v>489068.85</v>
      </c>
      <c r="G51" s="120">
        <f ca="1">SUMIFS(tb_rec_uni[2025-01-01],
INDIRECT("tb_rec_uni[natureza]"),"taxa.extra",
INDIRECT("tb_rec_uni[empresa]"),G$6)</f>
        <v>0</v>
      </c>
      <c r="H51" s="108"/>
      <c r="I51" s="120">
        <f ca="1">SUMIFS(
  m.vb[valor],
  m.vb[nucleo],$B$1,
  m.vb[variavel],I$7,
  m.vb[mes],$A51
)</f>
        <v>0</v>
      </c>
      <c r="J51" s="120">
        <f ca="1">SUMIFS(
  m.vb[valor],
  m.vb[nucleo],$B$1,
  m.vb[variavel],J$7,
  m.vb[mes],$A51
)</f>
        <v>0</v>
      </c>
      <c r="K51" s="120">
        <f ca="1">SUMIFS(
  m.vb[valor],
  m.vb[nucleo],$B$1,
  m.vb[variavel],K$7,
  m.vb[mes],$A51
)</f>
        <v>0</v>
      </c>
      <c r="L51" s="120">
        <f ca="1">SUMIFS(
  m.vb[valor],
  m.vb[nucleo],$B$1,
  m.vb[variavel],L$7,
  m.vb[mes],$A51
)</f>
        <v>0</v>
      </c>
      <c r="M51" s="121">
        <f ca="1">SUMIFS(
  m.vb[valor],
  m.vb[nucleo],$B$1,
  m.vb[variavel],M$7,
  m.vb[mes],$A51
)</f>
        <v>0</v>
      </c>
      <c r="N51" s="119">
        <f>COUNTIFS(
    tb_estq[empresa], N$6,
    tb_estq[Data da venda / reserva], "&gt;=" &amp; $A51,
    tb_estq[Data da venda / reserva], "&lt;"  &amp; EOMONTH($A51,0) + 1
)</f>
        <v>0</v>
      </c>
      <c r="O51" s="120">
        <f ca="1">SUMIFS(tb_rec_uni[2025-01-01],
INDIRECT("tb_rec_uni[natureza]"),"pro.soluto",
INDIRECT("tb_rec_uni[empresa]"),O$6)</f>
        <v>0</v>
      </c>
      <c r="P51" s="120">
        <f ca="1">SUMIFS(tb_rec_uni[2025-01-01],
INDIRECT("tb_rec_uni[natureza]"),"repasse.cef.obra",
INDIRECT("tb_rec_uni[empresa]"),P$6)</f>
        <v>0</v>
      </c>
      <c r="Q51" s="120">
        <f ca="1">SUMIFS(tb_rec_uni[2025-01-01],
INDIRECT("tb_rec_uni[natureza]"),"repasse.cef.terreno",
INDIRECT("tb_rec_uni[empresa]"),Q$6)</f>
        <v>0</v>
      </c>
      <c r="R51" s="120">
        <v>0</v>
      </c>
      <c r="S51" s="120">
        <f ca="1">SUMIFS(tb_rec_uni[2025-01-01],
INDIRECT("tb_rec_uni[natureza]"),"taxa.extra",
INDIRECT("tb_rec_uni[empresa]"),S$6)</f>
        <v>0</v>
      </c>
      <c r="T51" s="108"/>
      <c r="U51" s="120">
        <f ca="1">SUMIFS(
  m.vb[valor],
  m.vb[nucleo],$N$1,
  m.vb[variavel],U$7,
  m.vb[mes],$A51
)</f>
        <v>0</v>
      </c>
      <c r="V51" s="120">
        <f ca="1">SUMIFS(
  m.vb[valor],
  m.vb[nucleo],$N$1,
  m.vb[variavel],V$7,
  m.vb[mes],$A51
)</f>
        <v>0</v>
      </c>
      <c r="W51" s="120">
        <f ca="1">SUMIFS(
  m.vb[valor],
  m.vb[nucleo],$N$1,
  m.vb[variavel],W$7,
  m.vb[mes],$A51
)</f>
        <v>0</v>
      </c>
      <c r="X51" s="120">
        <f ca="1">SUMIFS(
  m.vb[valor],
  m.vb[nucleo],$N$1,
  m.vb[variavel],X$7,
  m.vb[mes],$A51
)</f>
        <v>0</v>
      </c>
      <c r="Y51" s="121">
        <f ca="1">SUMIFS(
  m.vb[valor],
  m.vb[nucleo],$N$1,
  m.vb[variavel],Y$7,
  m.vb[mes],$A51
)</f>
        <v>0</v>
      </c>
      <c r="Z51" s="119">
        <f>COUNTIFS(
    tb_estq[empresa], Z$6,
    tb_estq[Data da venda / reserva], "&gt;=" &amp; $A51,
    tb_estq[Data da venda / reserva], "&lt;"  &amp; EOMONTH($A51,0) + 1
)</f>
        <v>0</v>
      </c>
      <c r="AA51" s="120">
        <f ca="1">SUMIFS(tb_rec_uni[2025-01-01],
INDIRECT("tb_rec_uni[natureza]"),"pro.soluto",
INDIRECT("tb_rec_uni[empresa]"),AA$6)</f>
        <v>0</v>
      </c>
      <c r="AB51" s="120">
        <f ca="1">SUMIFS(tb_rec_uni[2025-01-01],
INDIRECT("tb_rec_uni[natureza]"),"parcela.fin.total.ik",
INDIRECT("tb_rec_uni[empresa]"),AB$6)</f>
        <v>0</v>
      </c>
      <c r="AC51" s="120">
        <f ca="1">SUMIFS(tb_rec_uni[2025-01-01],
INDIRECT("tb_rec_uni[natureza]"),"taxa.extra",
INDIRECT("tb_rec_uni[empresa]"),AC$6)</f>
        <v>0</v>
      </c>
      <c r="AD51" s="108"/>
      <c r="AE51" s="120">
        <f ca="1">SUMIFS(
  m.vb[valor],
  m.vb[nucleo],$Z$1,
  m.vb[variavel],AE$7,
  m.vb[mes],$A51
)</f>
        <v>0</v>
      </c>
      <c r="AF51" s="120">
        <f ca="1">SUMIFS(
  m.vb[valor],
  m.vb[nucleo],$Z$1,
  m.vb[variavel],AF$7,
  m.vb[mes],$A51
)</f>
        <v>0</v>
      </c>
      <c r="AG51" s="120">
        <f ca="1">SUMIFS(
  m.vb[valor],
  m.vb[nucleo],$Z$1,
  m.vb[variavel],AG$7,
  m.vb[mes],$A51
)</f>
        <v>0</v>
      </c>
      <c r="AH51" s="120">
        <f ca="1">SUMIFS(
  m.vb[valor],
  m.vb[nucleo],$Z$1,
  m.vb[variavel],AH$7,
  m.vb[mes],$A51
)</f>
        <v>0</v>
      </c>
      <c r="AI51" s="121">
        <f ca="1">SUMIFS(
  m.vb[valor],
  m.vb[nucleo],$Z$1,
  m.vb[variavel],AI$7,
  m.vb[mes],$A51
)</f>
        <v>0</v>
      </c>
      <c r="AJ51" s="119">
        <f>COUNTIFS(
    tb_estq[empresa], AJ$6,
    tb_estq[Data da venda / reserva], "&gt;=" &amp; $A51,
    tb_estq[Data da venda / reserva], "&lt;"  &amp; EOMONTH($A51,0) + 1
)</f>
        <v>0</v>
      </c>
      <c r="AK51" s="120">
        <f ca="1">SUMIFS(tb_rec_uni[2025-01-01],
INDIRECT("tb_rec_uni[natureza]"),"pro.soluto",
INDIRECT("tb_rec_uni[empresa]"),AK$6)</f>
        <v>0</v>
      </c>
      <c r="AL51" s="120">
        <f ca="1">SUMIFS(tb_rec_uni[2025-01-01],
INDIRECT("tb_rec_uni[natureza]"),"repasse.cef.obra",
INDIRECT("tb_rec_uni[empresa]"),AL$6)</f>
        <v>0</v>
      </c>
      <c r="AM51" s="120">
        <f ca="1">SUMIFS(tb_rec_uni[2025-01-01],
INDIRECT("tb_rec_uni[natureza]"),"repasse.cef.terreno",
INDIRECT("tb_rec_uni[empresa]"),AM$6)</f>
        <v>0</v>
      </c>
      <c r="AN51" s="120">
        <v>0</v>
      </c>
      <c r="AO51" s="120">
        <f ca="1">SUMIFS(tb_rec_uni[2025-01-01],
INDIRECT("tb_rec_uni[natureza]"),"taxa.extra",
INDIRECT("tb_rec_uni[empresa]"),AO$6)</f>
        <v>0</v>
      </c>
      <c r="AP51" s="108"/>
      <c r="AQ51" s="120">
        <f ca="1">SUMIFS(
  m.vb[valor],
  m.vb[nucleo],$AJ$1,
  m.vb[variavel],AQ$7,
  m.vb[mes],$A51
)</f>
        <v>0</v>
      </c>
      <c r="AR51" s="120">
        <f ca="1">SUMIFS(
  m.vb[valor],
  m.vb[nucleo],$AJ$1,
  m.vb[variavel],AR$7,
  m.vb[mes],$A51
)</f>
        <v>0</v>
      </c>
      <c r="AS51" s="120">
        <f ca="1">SUMIFS(
  m.vb[valor],
  m.vb[nucleo],$AJ$1,
  m.vb[variavel],AS$7,
  m.vb[mes],$A51
)</f>
        <v>0</v>
      </c>
      <c r="AT51" s="120">
        <f ca="1">SUMIFS(
  m.vb[valor],
  m.vb[nucleo],$AJ$1,
  m.vb[variavel],AT$7,
  m.vb[mes],$A51
)</f>
        <v>0</v>
      </c>
      <c r="AU51" s="121">
        <f ca="1">SUMIFS(
  m.vb[valor],
  m.vb[nucleo],$AJ$1,
  m.vb[variavel],AU$7,
  m.vb[mes],$A51
)</f>
        <v>0</v>
      </c>
      <c r="AV51" s="119">
        <f>COUNTIFS(
    tb_estq[empresa], AV$6,
    tb_estq[Data da venda / reserva], "&gt;=" &amp; $A51,
    tb_estq[Data da venda / reserva], "&lt;"  &amp; EOMONTH($A51,0) + 1
)</f>
        <v>0</v>
      </c>
      <c r="AW51" s="120">
        <f ca="1">SUMIFS(tb_rec_uni[2025-01-01],
INDIRECT("tb_rec_uni[natureza]"),"pro.soluto",
INDIRECT("tb_rec_uni[empresa]"),AW$6)</f>
        <v>0</v>
      </c>
      <c r="AX51" s="120">
        <f ca="1">SUMIFS(tb_rec_uni[2025-01-01],
INDIRECT("tb_rec_uni[natureza]"),"repasse.cef.obra",
INDIRECT("tb_rec_uni[empresa]"),AX$6)</f>
        <v>0</v>
      </c>
      <c r="AY51" s="120">
        <f ca="1">SUMIFS(tb_rec_uni[2025-01-01],
INDIRECT("tb_rec_uni[natureza]"),"repasse.cef.terreno",
INDIRECT("tb_rec_uni[empresa]"),AY$6)</f>
        <v>0</v>
      </c>
      <c r="AZ51" s="120">
        <v>0</v>
      </c>
      <c r="BA51" s="120">
        <f ca="1">SUMIFS(tb_rec_uni[2025-01-01],
INDIRECT("tb_rec_uni[natureza]"),"taxa.extra",
INDIRECT("tb_rec_uni[empresa]"),BA$6)</f>
        <v>0</v>
      </c>
      <c r="BB51" s="108"/>
      <c r="BC51" s="120">
        <f ca="1">SUMIFS(
  m.vb[valor],
  m.vb[nucleo],$AV$1,
  m.vb[variavel],BC$7,
  m.vb[mes],$A51
)</f>
        <v>0</v>
      </c>
      <c r="BD51" s="120">
        <f ca="1">SUMIFS(
  m.vb[valor],
  m.vb[nucleo],$AV$1,
  m.vb[variavel],BD$7,
  m.vb[mes],$A51
)</f>
        <v>0</v>
      </c>
      <c r="BE51" s="120">
        <f ca="1">SUMIFS(
  m.vb[valor],
  m.vb[nucleo],$AV$1,
  m.vb[variavel],BE$7,
  m.vb[mes],$A51
)</f>
        <v>0</v>
      </c>
      <c r="BF51" s="120">
        <f ca="1">SUMIFS(
  m.vb[valor],
  m.vb[nucleo],$AV$1,
  m.vb[variavel],BF$7,
  m.vb[mes],$A51
)</f>
        <v>0</v>
      </c>
      <c r="BG51" s="121">
        <f ca="1">SUMIFS(
  m.vb[valor],
  m.vb[nucleo],$AV$1,
  m.vb[variavel],BG$7,
  m.vb[mes],$A51
)</f>
        <v>0</v>
      </c>
      <c r="BH51" s="119">
        <f>COUNTIFS(
    tb_estq[empresa], BH$6,
    tb_estq[Data da venda / reserva], "&gt;=" &amp; $A51,
    tb_estq[Data da venda / reserva], "&lt;"  &amp; EOMONTH($A51,0) + 1
)</f>
        <v>0</v>
      </c>
      <c r="BI51" s="120">
        <f ca="1">SUMIFS(tb_rec_uni[2025-01-01],
INDIRECT("tb_rec_uni[natureza]"),"pro.soluto",
INDIRECT("tb_rec_uni[empresa]"),BI$6)</f>
        <v>0</v>
      </c>
      <c r="BJ51" s="108">
        <f>0.7*94736</f>
        <v>66315.199999999997</v>
      </c>
      <c r="BK51" s="120">
        <f ca="1">SUMIFS(tb_rec_uni[2025-01-01],
INDIRECT("tb_rec_uni[natureza]"),"taxa.extra",
INDIRECT("tb_rec_uni[empresa]"),BK$6)</f>
        <v>0</v>
      </c>
      <c r="BL51" s="108"/>
      <c r="BM51" s="120">
        <f ca="1">SUMIFS(
  m.vb[valor],
  m.vb[nucleo],$BH$1,
  m.vb[variavel],BM$7,
  m.vb[mes],$A51
)</f>
        <v>0</v>
      </c>
      <c r="BN51" s="120">
        <f ca="1">SUMIFS(
  m.vb[valor],
  m.vb[nucleo],$BH$1,
  m.vb[variavel],BN$7,
  m.vb[mes],$A51
)</f>
        <v>0</v>
      </c>
      <c r="BO51" s="120">
        <f ca="1">SUMIFS(
  m.vb[valor],
  m.vb[nucleo],$BH$1,
  m.vb[variavel],BO$7,
  m.vb[mes],$A51
)</f>
        <v>0</v>
      </c>
      <c r="BP51" s="120">
        <f ca="1">SUMIFS(
  m.vb[valor],
  m.vb[nucleo],$BH$1,
  m.vb[variavel],BP$7,
  m.vb[mes],$A51
)</f>
        <v>0</v>
      </c>
      <c r="BQ51" s="121">
        <f ca="1">SUMIFS(
  m.vb[valor],
  m.vb[nucleo],$BH$1,
  m.vb[variavel],BQ$7,
  m.vb[mes],$A51
)</f>
        <v>0</v>
      </c>
      <c r="BR51" s="119">
        <f>COUNTIFS(
    tb_estq[empresa], BR$6,
    tb_estq[Data da venda / reserva], "&gt;=" &amp; $A51,
    tb_estq[Data da venda / reserva], "&lt;"  &amp; EOMONTH($A51,0) + 1
)</f>
        <v>0</v>
      </c>
      <c r="BS51" s="120">
        <f ca="1">SUMIFS(tb_rec_uni[2025-01-01],
INDIRECT("tb_rec_uni[natureza]"),"pro.soluto",
INDIRECT("tb_rec_uni[empresa]"),BS$6)</f>
        <v>0</v>
      </c>
      <c r="BT51" s="120">
        <f ca="1">SUMIFS(tb_rec_uni[2025-01-01],
INDIRECT("tb_rec_uni[natureza]"),"parcela.fin.total.ik",
INDIRECT("tb_rec_uni[empresa]"),BT$6)</f>
        <v>0</v>
      </c>
      <c r="BU51" s="120">
        <f ca="1">SUMIFS(tb_rec_uni[2025-01-01],
INDIRECT("tb_rec_uni[natureza]"),"taxa.extra",
INDIRECT("tb_rec_uni[empresa]"),BU$6)</f>
        <v>0</v>
      </c>
      <c r="BV51" s="108"/>
      <c r="BW51" s="120">
        <f ca="1">SUMIFS(
  m.vb[valor],
  m.vb[nucleo],$BR$1,
  m.vb[variavel],BW$7,
  m.vb[mes],$A51
)</f>
        <v>0</v>
      </c>
      <c r="BX51" s="120">
        <f ca="1">SUMIFS(
  m.vb[valor],
  m.vb[nucleo],$BR$1,
  m.vb[variavel],BX$7,
  m.vb[mes],$A51
)</f>
        <v>0</v>
      </c>
      <c r="BY51" s="120">
        <f ca="1">SUMIFS(
  m.vb[valor],
  m.vb[nucleo],$BR$1,
  m.vb[variavel],BY$7,
  m.vb[mes],$A51
)</f>
        <v>0</v>
      </c>
      <c r="BZ51" s="120">
        <f ca="1">SUMIFS(
  m.vb[valor],
  m.vb[nucleo],$BR$1,
  m.vb[variavel],BZ$7,
  m.vb[mes],$A51
)</f>
        <v>0</v>
      </c>
      <c r="CA51" s="121">
        <f ca="1">SUMIFS(
  m.vb[valor],
  m.vb[nucleo],$BR$1,
  m.vb[variavel],CA$7,
  m.vb[mes],$A51
)</f>
        <v>0</v>
      </c>
      <c r="CB51" s="119">
        <f>COUNTIFS(
    tb_estq[empresa], CB$6,
    tb_estq[Data da venda / reserva], "&gt;=" &amp; $A51,
    tb_estq[Data da venda / reserva], "&lt;"  &amp; EOMONTH($A51,0) + 1
)</f>
        <v>0</v>
      </c>
      <c r="CC51" s="120">
        <f ca="1">SUMIFS(tb_rec_uni[2025-01-01],
INDIRECT("tb_rec_uni[natureza]"),"pro.soluto",
INDIRECT("tb_rec_uni[empresa]"),CC$6)</f>
        <v>0</v>
      </c>
      <c r="CD51" s="120">
        <f ca="1">SUMIFS(tb_rec_uni[2025-01-01],
INDIRECT("tb_rec_uni[natureza]"),"repasse.cef.obra",
INDIRECT("tb_rec_uni[empresa]"),CD$6)</f>
        <v>0</v>
      </c>
      <c r="CE51" s="120">
        <f ca="1">SUMIFS(tb_rec_uni[2025-01-01],
INDIRECT("tb_rec_uni[natureza]"),"repasse.cef.terreno",
INDIRECT("tb_rec_uni[empresa]"),CE$6)</f>
        <v>0</v>
      </c>
      <c r="CF51" s="120">
        <v>0</v>
      </c>
      <c r="CG51" s="120">
        <f ca="1">SUMIFS(tb_rec_uni[2025-01-01],
INDIRECT("tb_rec_uni[natureza]"),"taxa.extra",
INDIRECT("tb_rec_uni[empresa]"),CG$6)</f>
        <v>0</v>
      </c>
      <c r="CH51" s="108"/>
      <c r="CI51" s="120">
        <f ca="1">SUMIFS(
  m.vb[valor],
  m.vb[nucleo],$CB$1,
  m.vb[variavel],CI$7,
  m.vb[mes],$A51
)</f>
        <v>0</v>
      </c>
      <c r="CJ51" s="120">
        <f ca="1">SUMIFS(
  m.vb[valor],
  m.vb[nucleo],$CB$1,
  m.vb[variavel],CJ$7,
  m.vb[mes],$A51
)</f>
        <v>0</v>
      </c>
      <c r="CK51" s="120">
        <f ca="1">SUMIFS(
  m.vb[valor],
  m.vb[nucleo],$CB$1,
  m.vb[variavel],CK$7,
  m.vb[mes],$A51
)</f>
        <v>0</v>
      </c>
      <c r="CL51" s="120">
        <f ca="1">SUMIFS(
  m.vb[valor],
  m.vb[nucleo],$CB$1,
  m.vb[variavel],CL$7,
  m.vb[mes],$A51
)</f>
        <v>0</v>
      </c>
      <c r="CM51" s="121">
        <f ca="1">SUMIFS(
  m.vb[valor],
  m.vb[nucleo],$CB$1,
  m.vb[variavel],CM$7,
  m.vb[mes],$A51
)</f>
        <v>0</v>
      </c>
      <c r="CN51" s="119">
        <f>COUNTIFS(
    tb_estq[empresa], CN$6,
    tb_estq[Data da venda / reserva], "&gt;=" &amp; $A51,
    tb_estq[Data da venda / reserva], "&lt;"  &amp; EOMONTH($A51,0) + 1
)</f>
        <v>0</v>
      </c>
      <c r="CO51" s="120">
        <f ca="1">SUMIFS(tb_rec_uni[2025-01-01],
INDIRECT("tb_rec_uni[natureza]"),"pro.soluto",
INDIRECT("tb_rec_uni[empresa]"),CO$6)</f>
        <v>0</v>
      </c>
      <c r="CP51" s="120">
        <f ca="1">SUMIFS(tb_rec_uni[2025-01-01],
INDIRECT("tb_rec_uni[natureza]"),"repasse.cef.obra",
INDIRECT("tb_rec_uni[empresa]"),CP$6)</f>
        <v>0</v>
      </c>
      <c r="CQ51" s="120">
        <f ca="1">SUMIFS(tb_rec_uni[2025-01-01],
INDIRECT("tb_rec_uni[natureza]"),"repasse.cef.terreno",
INDIRECT("tb_rec_uni[empresa]"),CQ$6)</f>
        <v>0</v>
      </c>
      <c r="CR51" s="120">
        <v>0</v>
      </c>
      <c r="CS51" s="120">
        <f ca="1">SUMIFS(tb_rec_uni[2025-01-01],
INDIRECT("tb_rec_uni[natureza]"),"taxa.extra",
INDIRECT("tb_rec_uni[empresa]"),CS$6)</f>
        <v>0</v>
      </c>
      <c r="CT51" s="108"/>
      <c r="CU51" s="120">
        <f ca="1">SUMIFS(
  m.vb[valor],
  m.vb[nucleo],$CN$1,
  m.vb[variavel],CU$7,
  m.vb[mes],$A51
)</f>
        <v>0</v>
      </c>
      <c r="CV51" s="120" cm="1">
        <f t="array" ref="CV51">SUMPRODUCT(
  IFERROR(--tb_desp[valor],0)*
  (tb_desp[nucleo]="UP MOVE VILA SONIA")*
  (tb_desp[categoria]=CV$7)*
  (tb_desp[data.pagamento]&gt;=$A51)*
  (tb_desp[data.pagamento]&lt;EOMONTH($A51,0)+1)
)</f>
        <v>0</v>
      </c>
      <c r="CW51" s="120" cm="1">
        <f t="array" ref="CW51">SUMPRODUCT(
  IFERROR(--tb_desp[valor],0)*
  (tb_desp[nucleo]="UP MOVE VILA SONIA")*
  (tb_desp[categoria]=CW$7)*
  (tb_desp[data.pagamento]&gt;=$A51)*
  (tb_desp[data.pagamento]&lt;EOMONTH($A51,0)+1)
)</f>
        <v>0</v>
      </c>
      <c r="CX51" s="120" cm="1">
        <f t="array" ref="CX51">SUMPRODUCT(
  IFERROR(--tb_desp[valor],0)*
  (tb_desp[nucleo]="UP MOVE VILA SONIA")*
  (tb_desp[categoria]=CX$7)*
  (tb_desp[data.pagamento]&gt;=$A51)*
  (tb_desp[data.pagamento]&lt;EOMONTH($A51,0)+1)
)</f>
        <v>0</v>
      </c>
      <c r="CY51" s="122" cm="1">
        <f t="array" ref="CY51">SUMPRODUCT(
  IFERROR(--tb_desp[valor],0)*
  (tb_desp[nucleo]="UP MOVE VILA SONIA")*
  (tb_desp[categoria]=CY$7)*
  (tb_desp[data.pagamento]&gt;=$A51)*
  (tb_desp[data.pagamento]&lt;EOMONTH($A51,0)+1)
)</f>
        <v>0</v>
      </c>
    </row>
    <row r="52" spans="1:103" x14ac:dyDescent="0.25">
      <c r="A52" s="118">
        <v>45689</v>
      </c>
      <c r="B52" s="119">
        <f>COUNTIFS(
    tb_estq[empresa], B$6,
    tb_estq[Data da venda / reserva], "&gt;=" &amp; $A52,
    tb_estq[Data da venda / reserva], "&lt;"  &amp; EOMONTH($A52,0) + 1
)</f>
        <v>0</v>
      </c>
      <c r="C52" s="120">
        <f ca="1">SUMIFS(tb_rec_uni[2025-02-01],
INDIRECT("tb_rec_uni[natureza]"),"pro.soluto",
INDIRECT("tb_rec_uni[empresa]"),C$6)</f>
        <v>0</v>
      </c>
      <c r="D52" s="120">
        <f ca="1">SUMIFS(tb_rec_uni[2025-02-01],
INDIRECT("tb_rec_uni[natureza]"),"repasse.cef.obra",
INDIRECT("tb_rec_uni[empresa]"),D$6)</f>
        <v>0</v>
      </c>
      <c r="E52" s="120">
        <f ca="1">SUMIFS(tb_rec_uni[2025-02-01],
INDIRECT("tb_rec_uni[natureza]"),"repasse.cef.terreno",
INDIRECT("tb_rec_uni[empresa]"),E$6)</f>
        <v>0</v>
      </c>
      <c r="F52" s="120">
        <v>0</v>
      </c>
      <c r="G52" s="120">
        <f ca="1">SUMIFS(tb_rec_uni[2025-02-01],
INDIRECT("tb_rec_uni[natureza]"),"taxa.extra",
INDIRECT("tb_rec_uni[empresa]"),G$6)</f>
        <v>0</v>
      </c>
      <c r="H52" s="108"/>
      <c r="I52" s="120">
        <f ca="1">SUMIFS(
  m.vb[valor],
  m.vb[nucleo],$B$1,
  m.vb[variavel],I$7,
  m.vb[mes],$A52
)</f>
        <v>0</v>
      </c>
      <c r="J52" s="120">
        <f ca="1">SUMIFS(
  m.vb[valor],
  m.vb[nucleo],$B$1,
  m.vb[variavel],J$7,
  m.vb[mes],$A52
)</f>
        <v>0</v>
      </c>
      <c r="K52" s="120">
        <f ca="1">SUMIFS(
  m.vb[valor],
  m.vb[nucleo],$B$1,
  m.vb[variavel],K$7,
  m.vb[mes],$A52
)</f>
        <v>0</v>
      </c>
      <c r="L52" s="120">
        <f ca="1">SUMIFS(
  m.vb[valor],
  m.vb[nucleo],$B$1,
  m.vb[variavel],L$7,
  m.vb[mes],$A52
)</f>
        <v>0</v>
      </c>
      <c r="M52" s="121">
        <f ca="1">SUMIFS(
  m.vb[valor],
  m.vb[nucleo],$B$1,
  m.vb[variavel],M$7,
  m.vb[mes],$A52
)</f>
        <v>0</v>
      </c>
      <c r="N52" s="119">
        <f>COUNTIFS(
    tb_estq[empresa], N$6,
    tb_estq[Data da venda / reserva], "&gt;=" &amp; $A52,
    tb_estq[Data da venda / reserva], "&lt;"  &amp; EOMONTH($A52,0) + 1
)</f>
        <v>0</v>
      </c>
      <c r="O52" s="120">
        <f ca="1">SUMIFS(tb_rec_uni[2025-02-01],
INDIRECT("tb_rec_uni[natureza]"),"pro.soluto",
INDIRECT("tb_rec_uni[empresa]"),O$6)</f>
        <v>0</v>
      </c>
      <c r="P52" s="120">
        <f ca="1">SUMIFS(tb_rec_uni[2025-02-01],
INDIRECT("tb_rec_uni[natureza]"),"repasse.cef.obra",
INDIRECT("tb_rec_uni[empresa]"),P$6)</f>
        <v>0</v>
      </c>
      <c r="Q52" s="120">
        <f ca="1">SUMIFS(tb_rec_uni[2025-02-01],
INDIRECT("tb_rec_uni[natureza]"),"repasse.cef.terreno",
INDIRECT("tb_rec_uni[empresa]"),Q$6)</f>
        <v>0</v>
      </c>
      <c r="R52" s="120">
        <v>0</v>
      </c>
      <c r="S52" s="120">
        <f ca="1">SUMIFS(tb_rec_uni[2025-02-01],
INDIRECT("tb_rec_uni[natureza]"),"taxa.extra",
INDIRECT("tb_rec_uni[empresa]"),S$6)</f>
        <v>0</v>
      </c>
      <c r="T52" s="108"/>
      <c r="U52" s="120">
        <f ca="1">SUMIFS(
  m.vb[valor],
  m.vb[nucleo],$N$1,
  m.vb[variavel],U$7,
  m.vb[mes],$A52
)</f>
        <v>0</v>
      </c>
      <c r="V52" s="120">
        <f ca="1">SUMIFS(
  m.vb[valor],
  m.vb[nucleo],$N$1,
  m.vb[variavel],V$7,
  m.vb[mes],$A52
)</f>
        <v>0</v>
      </c>
      <c r="W52" s="120">
        <f ca="1">SUMIFS(
  m.vb[valor],
  m.vb[nucleo],$N$1,
  m.vb[variavel],W$7,
  m.vb[mes],$A52
)</f>
        <v>0</v>
      </c>
      <c r="X52" s="120">
        <f ca="1">SUMIFS(
  m.vb[valor],
  m.vb[nucleo],$N$1,
  m.vb[variavel],X$7,
  m.vb[mes],$A52
)</f>
        <v>0</v>
      </c>
      <c r="Y52" s="121">
        <f ca="1">SUMIFS(
  m.vb[valor],
  m.vb[nucleo],$N$1,
  m.vb[variavel],Y$7,
  m.vb[mes],$A52
)</f>
        <v>0</v>
      </c>
      <c r="Z52" s="119">
        <f>COUNTIFS(
    tb_estq[empresa], Z$6,
    tb_estq[Data da venda / reserva], "&gt;=" &amp; $A52,
    tb_estq[Data da venda / reserva], "&lt;"  &amp; EOMONTH($A52,0) + 1
)</f>
        <v>0</v>
      </c>
      <c r="AA52" s="120">
        <f ca="1">SUMIFS(tb_rec_uni[2025-02-01],
INDIRECT("tb_rec_uni[natureza]"),"pro.soluto",
INDIRECT("tb_rec_uni[empresa]"),AA$6)</f>
        <v>0</v>
      </c>
      <c r="AB52" s="120">
        <f ca="1">SUMIFS(tb_rec_uni[2025-02-01],
INDIRECT("tb_rec_uni[natureza]"),"parcela.fin.total.ik",
INDIRECT("tb_rec_uni[empresa]"),AB$6)</f>
        <v>0</v>
      </c>
      <c r="AC52" s="120">
        <f ca="1">SUMIFS(tb_rec_uni[2025-02-01],
INDIRECT("tb_rec_uni[natureza]"),"taxa.extra",
INDIRECT("tb_rec_uni[empresa]"),AC$6)</f>
        <v>0</v>
      </c>
      <c r="AD52" s="108"/>
      <c r="AE52" s="120">
        <f ca="1">SUMIFS(
  m.vb[valor],
  m.vb[nucleo],$Z$1,
  m.vb[variavel],AE$7,
  m.vb[mes],$A52
)</f>
        <v>0</v>
      </c>
      <c r="AF52" s="120">
        <f ca="1">SUMIFS(
  m.vb[valor],
  m.vb[nucleo],$Z$1,
  m.vb[variavel],AF$7,
  m.vb[mes],$A52
)</f>
        <v>0</v>
      </c>
      <c r="AG52" s="120">
        <f ca="1">SUMIFS(
  m.vb[valor],
  m.vb[nucleo],$Z$1,
  m.vb[variavel],AG$7,
  m.vb[mes],$A52
)</f>
        <v>0</v>
      </c>
      <c r="AH52" s="120">
        <f ca="1">SUMIFS(
  m.vb[valor],
  m.vb[nucleo],$Z$1,
  m.vb[variavel],AH$7,
  m.vb[mes],$A52
)</f>
        <v>0</v>
      </c>
      <c r="AI52" s="121">
        <f ca="1">SUMIFS(
  m.vb[valor],
  m.vb[nucleo],$Z$1,
  m.vb[variavel],AI$7,
  m.vb[mes],$A52
)</f>
        <v>0</v>
      </c>
      <c r="AJ52" s="119">
        <f>COUNTIFS(
    tb_estq[empresa], AJ$6,
    tb_estq[Data da venda / reserva], "&gt;=" &amp; $A52,
    tb_estq[Data da venda / reserva], "&lt;"  &amp; EOMONTH($A52,0) + 1
)</f>
        <v>0</v>
      </c>
      <c r="AK52" s="120">
        <f ca="1">SUMIFS(tb_rec_uni[2025-02-01],
INDIRECT("tb_rec_uni[natureza]"),"pro.soluto",
INDIRECT("tb_rec_uni[empresa]"),AK$6)</f>
        <v>0</v>
      </c>
      <c r="AL52" s="120">
        <f ca="1">SUMIFS(tb_rec_uni[2025-02-01],
INDIRECT("tb_rec_uni[natureza]"),"repasse.cef.obra",
INDIRECT("tb_rec_uni[empresa]"),AL$6)</f>
        <v>0</v>
      </c>
      <c r="AM52" s="120">
        <f ca="1">SUMIFS(tb_rec_uni[2025-02-01],
INDIRECT("tb_rec_uni[natureza]"),"repasse.cef.terreno",
INDIRECT("tb_rec_uni[empresa]"),AM$6)</f>
        <v>0</v>
      </c>
      <c r="AN52" s="120">
        <v>0</v>
      </c>
      <c r="AO52" s="120">
        <f ca="1">SUMIFS(tb_rec_uni[2025-02-01],
INDIRECT("tb_rec_uni[natureza]"),"taxa.extra",
INDIRECT("tb_rec_uni[empresa]"),AO$6)</f>
        <v>0</v>
      </c>
      <c r="AP52" s="108"/>
      <c r="AQ52" s="120">
        <f ca="1">SUMIFS(
  m.vb[valor],
  m.vb[nucleo],$AJ$1,
  m.vb[variavel],AQ$7,
  m.vb[mes],$A52
)</f>
        <v>0</v>
      </c>
      <c r="AR52" s="120">
        <f ca="1">SUMIFS(
  m.vb[valor],
  m.vb[nucleo],$AJ$1,
  m.vb[variavel],AR$7,
  m.vb[mes],$A52
)</f>
        <v>0</v>
      </c>
      <c r="AS52" s="120">
        <f ca="1">SUMIFS(
  m.vb[valor],
  m.vb[nucleo],$AJ$1,
  m.vb[variavel],AS$7,
  m.vb[mes],$A52
)</f>
        <v>0</v>
      </c>
      <c r="AT52" s="120">
        <f ca="1">SUMIFS(
  m.vb[valor],
  m.vb[nucleo],$AJ$1,
  m.vb[variavel],AT$7,
  m.vb[mes],$A52
)</f>
        <v>0</v>
      </c>
      <c r="AU52" s="121">
        <f ca="1">SUMIFS(
  m.vb[valor],
  m.vb[nucleo],$AJ$1,
  m.vb[variavel],AU$7,
  m.vb[mes],$A52
)</f>
        <v>0</v>
      </c>
      <c r="AV52" s="119">
        <f>COUNTIFS(
    tb_estq[empresa], AV$6,
    tb_estq[Data da venda / reserva], "&gt;=" &amp; $A52,
    tb_estq[Data da venda / reserva], "&lt;"  &amp; EOMONTH($A52,0) + 1
)</f>
        <v>0</v>
      </c>
      <c r="AW52" s="120">
        <f ca="1">SUMIFS(tb_rec_uni[2025-02-01],
INDIRECT("tb_rec_uni[natureza]"),"pro.soluto",
INDIRECT("tb_rec_uni[empresa]"),AW$6)</f>
        <v>0</v>
      </c>
      <c r="AX52" s="120">
        <f ca="1">SUMIFS(tb_rec_uni[2025-02-01],
INDIRECT("tb_rec_uni[natureza]"),"repasse.cef.obra",
INDIRECT("tb_rec_uni[empresa]"),AX$6)</f>
        <v>0</v>
      </c>
      <c r="AY52" s="120">
        <f ca="1">SUMIFS(tb_rec_uni[2025-02-01],
INDIRECT("tb_rec_uni[natureza]"),"repasse.cef.terreno",
INDIRECT("tb_rec_uni[empresa]"),AY$6)</f>
        <v>0</v>
      </c>
      <c r="AZ52" s="120">
        <v>0</v>
      </c>
      <c r="BA52" s="120">
        <f ca="1">SUMIFS(tb_rec_uni[2025-02-01],
INDIRECT("tb_rec_uni[natureza]"),"taxa.extra",
INDIRECT("tb_rec_uni[empresa]"),BA$6)</f>
        <v>0</v>
      </c>
      <c r="BB52" s="108"/>
      <c r="BC52" s="120">
        <f ca="1">SUMIFS(
  m.vb[valor],
  m.vb[nucleo],$AV$1,
  m.vb[variavel],BC$7,
  m.vb[mes],$A52
)</f>
        <v>0</v>
      </c>
      <c r="BD52" s="120">
        <f ca="1">SUMIFS(
  m.vb[valor],
  m.vb[nucleo],$AV$1,
  m.vb[variavel],BD$7,
  m.vb[mes],$A52
)</f>
        <v>0</v>
      </c>
      <c r="BE52" s="120">
        <f ca="1">SUMIFS(
  m.vb[valor],
  m.vb[nucleo],$AV$1,
  m.vb[variavel],BE$7,
  m.vb[mes],$A52
)</f>
        <v>0</v>
      </c>
      <c r="BF52" s="120">
        <f ca="1">SUMIFS(
  m.vb[valor],
  m.vb[nucleo],$AV$1,
  m.vb[variavel],BF$7,
  m.vb[mes],$A52
)</f>
        <v>0</v>
      </c>
      <c r="BG52" s="121">
        <f ca="1">SUMIFS(
  m.vb[valor],
  m.vb[nucleo],$AV$1,
  m.vb[variavel],BG$7,
  m.vb[mes],$A52
)</f>
        <v>0</v>
      </c>
      <c r="BH52" s="119">
        <f>COUNTIFS(
    tb_estq[empresa], BH$6,
    tb_estq[Data da venda / reserva], "&gt;=" &amp; $A52,
    tb_estq[Data da venda / reserva], "&lt;"  &amp; EOMONTH($A52,0) + 1
)</f>
        <v>0</v>
      </c>
      <c r="BI52" s="120">
        <f ca="1">SUMIFS(tb_rec_uni[2025-02-01],
INDIRECT("tb_rec_uni[natureza]"),"pro.soluto",
INDIRECT("tb_rec_uni[empresa]"),BI$6)</f>
        <v>0</v>
      </c>
      <c r="BJ52" s="108">
        <f>1.08*94736</f>
        <v>102314.88</v>
      </c>
      <c r="BK52" s="120">
        <f ca="1">SUMIFS(tb_rec_uni[2025-02-01],
INDIRECT("tb_rec_uni[natureza]"),"taxa.extra",
INDIRECT("tb_rec_uni[empresa]"),BK$6)</f>
        <v>0</v>
      </c>
      <c r="BL52" s="108"/>
      <c r="BM52" s="120">
        <f ca="1">SUMIFS(
  m.vb[valor],
  m.vb[nucleo],$BH$1,
  m.vb[variavel],BM$7,
  m.vb[mes],$A52
)</f>
        <v>0</v>
      </c>
      <c r="BN52" s="120">
        <f ca="1">SUMIFS(
  m.vb[valor],
  m.vb[nucleo],$BH$1,
  m.vb[variavel],BN$7,
  m.vb[mes],$A52
)</f>
        <v>0</v>
      </c>
      <c r="BO52" s="120">
        <f ca="1">SUMIFS(
  m.vb[valor],
  m.vb[nucleo],$BH$1,
  m.vb[variavel],BO$7,
  m.vb[mes],$A52
)</f>
        <v>0</v>
      </c>
      <c r="BP52" s="120">
        <f ca="1">SUMIFS(
  m.vb[valor],
  m.vb[nucleo],$BH$1,
  m.vb[variavel],BP$7,
  m.vb[mes],$A52
)</f>
        <v>0</v>
      </c>
      <c r="BQ52" s="121">
        <f ca="1">SUMIFS(
  m.vb[valor],
  m.vb[nucleo],$BH$1,
  m.vb[variavel],BQ$7,
  m.vb[mes],$A52
)</f>
        <v>0</v>
      </c>
      <c r="BR52" s="119">
        <f>COUNTIFS(
    tb_estq[empresa], BR$6,
    tb_estq[Data da venda / reserva], "&gt;=" &amp; $A52,
    tb_estq[Data da venda / reserva], "&lt;"  &amp; EOMONTH($A52,0) + 1
)</f>
        <v>0</v>
      </c>
      <c r="BS52" s="120">
        <f ca="1">SUMIFS(tb_rec_uni[2025-02-01],
INDIRECT("tb_rec_uni[natureza]"),"pro.soluto",
INDIRECT("tb_rec_uni[empresa]"),BS$6)</f>
        <v>0</v>
      </c>
      <c r="BT52" s="120">
        <f ca="1">SUMIFS(tb_rec_uni[2025-02-01],
INDIRECT("tb_rec_uni[natureza]"),"parcela.fin.total.ik",
INDIRECT("tb_rec_uni[empresa]"),BT$6)</f>
        <v>0</v>
      </c>
      <c r="BU52" s="120">
        <f ca="1">SUMIFS(tb_rec_uni[2025-02-01],
INDIRECT("tb_rec_uni[natureza]"),"taxa.extra",
INDIRECT("tb_rec_uni[empresa]"),BU$6)</f>
        <v>0</v>
      </c>
      <c r="BV52" s="108"/>
      <c r="BW52" s="120">
        <f ca="1">SUMIFS(
  m.vb[valor],
  m.vb[nucleo],$BR$1,
  m.vb[variavel],BW$7,
  m.vb[mes],$A52
)</f>
        <v>0</v>
      </c>
      <c r="BX52" s="120">
        <f ca="1">SUMIFS(
  m.vb[valor],
  m.vb[nucleo],$BR$1,
  m.vb[variavel],BX$7,
  m.vb[mes],$A52
)</f>
        <v>0</v>
      </c>
      <c r="BY52" s="120">
        <f ca="1">SUMIFS(
  m.vb[valor],
  m.vb[nucleo],$BR$1,
  m.vb[variavel],BY$7,
  m.vb[mes],$A52
)</f>
        <v>0</v>
      </c>
      <c r="BZ52" s="120">
        <f ca="1">SUMIFS(
  m.vb[valor],
  m.vb[nucleo],$BR$1,
  m.vb[variavel],BZ$7,
  m.vb[mes],$A52
)</f>
        <v>0</v>
      </c>
      <c r="CA52" s="121">
        <f ca="1">SUMIFS(
  m.vb[valor],
  m.vb[nucleo],$BR$1,
  m.vb[variavel],CA$7,
  m.vb[mes],$A52
)</f>
        <v>0</v>
      </c>
      <c r="CB52" s="119">
        <f>COUNTIFS(
    tb_estq[empresa], CB$6,
    tb_estq[Data da venda / reserva], "&gt;=" &amp; $A52,
    tb_estq[Data da venda / reserva], "&lt;"  &amp; EOMONTH($A52,0) + 1
)</f>
        <v>0</v>
      </c>
      <c r="CC52" s="120">
        <f ca="1">SUMIFS(tb_rec_uni[2025-02-01],
INDIRECT("tb_rec_uni[natureza]"),"pro.soluto",
INDIRECT("tb_rec_uni[empresa]"),CC$6)</f>
        <v>0</v>
      </c>
      <c r="CD52" s="120">
        <f ca="1">SUMIFS(tb_rec_uni[2025-02-01],
INDIRECT("tb_rec_uni[natureza]"),"repasse.cef.obra",
INDIRECT("tb_rec_uni[empresa]"),CD$6)</f>
        <v>0</v>
      </c>
      <c r="CE52" s="120">
        <f ca="1">SUMIFS(tb_rec_uni[2025-02-01],
INDIRECT("tb_rec_uni[natureza]"),"repasse.cef.terreno",
INDIRECT("tb_rec_uni[empresa]"),CE$6)</f>
        <v>0</v>
      </c>
      <c r="CF52" s="120">
        <v>0</v>
      </c>
      <c r="CG52" s="120">
        <f ca="1">SUMIFS(tb_rec_uni[2025-02-01],
INDIRECT("tb_rec_uni[natureza]"),"taxa.extra",
INDIRECT("tb_rec_uni[empresa]"),CG$6)</f>
        <v>0</v>
      </c>
      <c r="CH52" s="108"/>
      <c r="CI52" s="120">
        <f ca="1">SUMIFS(
  m.vb[valor],
  m.vb[nucleo],$CB$1,
  m.vb[variavel],CI$7,
  m.vb[mes],$A52
)</f>
        <v>0</v>
      </c>
      <c r="CJ52" s="120">
        <f ca="1">SUMIFS(
  m.vb[valor],
  m.vb[nucleo],$CB$1,
  m.vb[variavel],CJ$7,
  m.vb[mes],$A52
)</f>
        <v>0</v>
      </c>
      <c r="CK52" s="120">
        <f ca="1">SUMIFS(
  m.vb[valor],
  m.vb[nucleo],$CB$1,
  m.vb[variavel],CK$7,
  m.vb[mes],$A52
)</f>
        <v>0</v>
      </c>
      <c r="CL52" s="120">
        <f ca="1">SUMIFS(
  m.vb[valor],
  m.vb[nucleo],$CB$1,
  m.vb[variavel],CL$7,
  m.vb[mes],$A52
)</f>
        <v>0</v>
      </c>
      <c r="CM52" s="121">
        <f ca="1">SUMIFS(
  m.vb[valor],
  m.vb[nucleo],$CB$1,
  m.vb[variavel],CM$7,
  m.vb[mes],$A52
)</f>
        <v>0</v>
      </c>
      <c r="CN52" s="119">
        <f>COUNTIFS(
    tb_estq[empresa], CN$6,
    tb_estq[Data da venda / reserva], "&gt;=" &amp; $A52,
    tb_estq[Data da venda / reserva], "&lt;"  &amp; EOMONTH($A52,0) + 1
)</f>
        <v>0</v>
      </c>
      <c r="CO52" s="120">
        <f ca="1">SUMIFS(tb_rec_uni[2025-02-01],
INDIRECT("tb_rec_uni[natureza]"),"pro.soluto",
INDIRECT("tb_rec_uni[empresa]"),CO$6)</f>
        <v>0</v>
      </c>
      <c r="CP52" s="120">
        <f ca="1">SUMIFS(tb_rec_uni[2025-02-01],
INDIRECT("tb_rec_uni[natureza]"),"repasse.cef.obra",
INDIRECT("tb_rec_uni[empresa]"),CP$6)</f>
        <v>0</v>
      </c>
      <c r="CQ52" s="120">
        <f ca="1">SUMIFS(tb_rec_uni[2025-02-01],
INDIRECT("tb_rec_uni[natureza]"),"repasse.cef.terreno",
INDIRECT("tb_rec_uni[empresa]"),CQ$6)</f>
        <v>0</v>
      </c>
      <c r="CR52" s="120">
        <v>0</v>
      </c>
      <c r="CS52" s="120">
        <f ca="1">SUMIFS(tb_rec_uni[2025-02-01],
INDIRECT("tb_rec_uni[natureza]"),"taxa.extra",
INDIRECT("tb_rec_uni[empresa]"),CS$6)</f>
        <v>0</v>
      </c>
      <c r="CT52" s="108"/>
      <c r="CU52" s="120">
        <f ca="1">SUMIFS(
  m.vb[valor],
  m.vb[nucleo],$CN$1,
  m.vb[variavel],CU$7,
  m.vb[mes],$A52
)</f>
        <v>0</v>
      </c>
      <c r="CV52" s="120" cm="1">
        <f t="array" ref="CV52">SUMPRODUCT(
  IFERROR(--tb_desp[valor],0)*
  (tb_desp[nucleo]="UP MOVE VILA SONIA")*
  (tb_desp[categoria]=CV$7)*
  (tb_desp[data.pagamento]&gt;=$A52)*
  (tb_desp[data.pagamento]&lt;EOMONTH($A52,0)+1)
)</f>
        <v>0</v>
      </c>
      <c r="CW52" s="120" cm="1">
        <f t="array" ref="CW52">SUMPRODUCT(
  IFERROR(--tb_desp[valor],0)*
  (tb_desp[nucleo]="UP MOVE VILA SONIA")*
  (tb_desp[categoria]=CW$7)*
  (tb_desp[data.pagamento]&gt;=$A52)*
  (tb_desp[data.pagamento]&lt;EOMONTH($A52,0)+1)
)</f>
        <v>0</v>
      </c>
      <c r="CX52" s="120" cm="1">
        <f t="array" ref="CX52">SUMPRODUCT(
  IFERROR(--tb_desp[valor],0)*
  (tb_desp[nucleo]="UP MOVE VILA SONIA")*
  (tb_desp[categoria]=CX$7)*
  (tb_desp[data.pagamento]&gt;=$A52)*
  (tb_desp[data.pagamento]&lt;EOMONTH($A52,0)+1)
)</f>
        <v>0</v>
      </c>
      <c r="CY52" s="122" cm="1">
        <f t="array" ref="CY52">SUMPRODUCT(
  IFERROR(--tb_desp[valor],0)*
  (tb_desp[nucleo]="UP MOVE VILA SONIA")*
  (tb_desp[categoria]=CY$7)*
  (tb_desp[data.pagamento]&gt;=$A52)*
  (tb_desp[data.pagamento]&lt;EOMONTH($A52,0)+1)
)</f>
        <v>0</v>
      </c>
    </row>
    <row r="53" spans="1:103" x14ac:dyDescent="0.25">
      <c r="A53" s="118">
        <v>45717</v>
      </c>
      <c r="B53" s="119">
        <f>COUNTIFS(
    tb_estq[empresa], B$6,
    tb_estq[Data da venda / reserva], "&gt;=" &amp; $A53,
    tb_estq[Data da venda / reserva], "&lt;"  &amp; EOMONTH($A53,0) + 1
)</f>
        <v>0</v>
      </c>
      <c r="C53" s="120">
        <f ca="1">SUMIFS(tb_rec_uni[2025-03-01],
INDIRECT("tb_rec_uni[natureza]"),"pro.soluto",
INDIRECT("tb_rec_uni[empresa]"),C$6)</f>
        <v>0</v>
      </c>
      <c r="D53" s="120">
        <f ca="1">SUMIFS(tb_rec_uni[2025-03-01],
INDIRECT("tb_rec_uni[natureza]"),"repasse.cef.obra",
INDIRECT("tb_rec_uni[empresa]"),D$6)</f>
        <v>0</v>
      </c>
      <c r="E53" s="120">
        <f ca="1">SUMIFS(tb_rec_uni[2025-03-01],
INDIRECT("tb_rec_uni[natureza]"),"repasse.cef.terreno",
INDIRECT("tb_rec_uni[empresa]"),E$6)</f>
        <v>0</v>
      </c>
      <c r="F53" s="120">
        <v>385006.39</v>
      </c>
      <c r="G53" s="120">
        <f ca="1">SUMIFS(tb_rec_uni[2025-03-01],
INDIRECT("tb_rec_uni[natureza]"),"taxa.extra",
INDIRECT("tb_rec_uni[empresa]"),G$6)</f>
        <v>0</v>
      </c>
      <c r="H53" s="108"/>
      <c r="I53" s="120">
        <f ca="1">SUMIFS(
  m.vb[valor],
  m.vb[nucleo],$B$1,
  m.vb[variavel],I$7,
  m.vb[mes],$A53
)</f>
        <v>0</v>
      </c>
      <c r="J53" s="120">
        <f ca="1">SUMIFS(
  m.vb[valor],
  m.vb[nucleo],$B$1,
  m.vb[variavel],J$7,
  m.vb[mes],$A53
)</f>
        <v>0</v>
      </c>
      <c r="K53" s="120">
        <f ca="1">SUMIFS(
  m.vb[valor],
  m.vb[nucleo],$B$1,
  m.vb[variavel],K$7,
  m.vb[mes],$A53
)</f>
        <v>0</v>
      </c>
      <c r="L53" s="120">
        <f ca="1">SUMIFS(
  m.vb[valor],
  m.vb[nucleo],$B$1,
  m.vb[variavel],L$7,
  m.vb[mes],$A53
)</f>
        <v>0</v>
      </c>
      <c r="M53" s="121">
        <f ca="1">SUMIFS(
  m.vb[valor],
  m.vb[nucleo],$B$1,
  m.vb[variavel],M$7,
  m.vb[mes],$A53
)</f>
        <v>0</v>
      </c>
      <c r="N53" s="119">
        <f>COUNTIFS(
    tb_estq[empresa], N$6,
    tb_estq[Data da venda / reserva], "&gt;=" &amp; $A53,
    tb_estq[Data da venda / reserva], "&lt;"  &amp; EOMONTH($A53,0) + 1
)</f>
        <v>0</v>
      </c>
      <c r="O53" s="120">
        <f ca="1">SUMIFS(tb_rec_uni[2025-03-01],
INDIRECT("tb_rec_uni[natureza]"),"pro.soluto",
INDIRECT("tb_rec_uni[empresa]"),O$6)</f>
        <v>0</v>
      </c>
      <c r="P53" s="120">
        <f ca="1">SUMIFS(tb_rec_uni[2025-03-01],
INDIRECT("tb_rec_uni[natureza]"),"repasse.cef.obra",
INDIRECT("tb_rec_uni[empresa]"),P$6)</f>
        <v>0</v>
      </c>
      <c r="Q53" s="120">
        <f ca="1">SUMIFS(tb_rec_uni[2025-03-01],
INDIRECT("tb_rec_uni[natureza]"),"repasse.cef.terreno",
INDIRECT("tb_rec_uni[empresa]"),Q$6)</f>
        <v>0</v>
      </c>
      <c r="R53" s="120">
        <v>0</v>
      </c>
      <c r="S53" s="120">
        <f ca="1">SUMIFS(tb_rec_uni[2025-03-01],
INDIRECT("tb_rec_uni[natureza]"),"taxa.extra",
INDIRECT("tb_rec_uni[empresa]"),S$6)</f>
        <v>0</v>
      </c>
      <c r="T53" s="108"/>
      <c r="U53" s="120">
        <f ca="1">SUMIFS(
  m.vb[valor],
  m.vb[nucleo],$N$1,
  m.vb[variavel],U$7,
  m.vb[mes],$A53
)</f>
        <v>0</v>
      </c>
      <c r="V53" s="120">
        <f ca="1">SUMIFS(
  m.vb[valor],
  m.vb[nucleo],$N$1,
  m.vb[variavel],V$7,
  m.vb[mes],$A53
)</f>
        <v>0</v>
      </c>
      <c r="W53" s="120">
        <f ca="1">SUMIFS(
  m.vb[valor],
  m.vb[nucleo],$N$1,
  m.vb[variavel],W$7,
  m.vb[mes],$A53
)</f>
        <v>0</v>
      </c>
      <c r="X53" s="120">
        <f ca="1">SUMIFS(
  m.vb[valor],
  m.vb[nucleo],$N$1,
  m.vb[variavel],X$7,
  m.vb[mes],$A53
)</f>
        <v>0</v>
      </c>
      <c r="Y53" s="121">
        <f ca="1">SUMIFS(
  m.vb[valor],
  m.vb[nucleo],$N$1,
  m.vb[variavel],Y$7,
  m.vb[mes],$A53
)</f>
        <v>0</v>
      </c>
      <c r="Z53" s="119">
        <f>COUNTIFS(
    tb_estq[empresa], Z$6,
    tb_estq[Data da venda / reserva], "&gt;=" &amp; $A53,
    tb_estq[Data da venda / reserva], "&lt;"  &amp; EOMONTH($A53,0) + 1
)</f>
        <v>0</v>
      </c>
      <c r="AA53" s="120">
        <f ca="1">SUMIFS(tb_rec_uni[2025-03-01],
INDIRECT("tb_rec_uni[natureza]"),"pro.soluto",
INDIRECT("tb_rec_uni[empresa]"),AA$6)</f>
        <v>0</v>
      </c>
      <c r="AB53" s="120">
        <f ca="1">SUMIFS(tb_rec_uni[2025-03-01],
INDIRECT("tb_rec_uni[natureza]"),"parcela.fin.total.ik",
INDIRECT("tb_rec_uni[empresa]"),AB$6)</f>
        <v>0</v>
      </c>
      <c r="AC53" s="120">
        <f ca="1">SUMIFS(tb_rec_uni[2025-03-01],
INDIRECT("tb_rec_uni[natureza]"),"taxa.extra",
INDIRECT("tb_rec_uni[empresa]"),AC$6)</f>
        <v>0</v>
      </c>
      <c r="AD53" s="108"/>
      <c r="AE53" s="120">
        <f ca="1">SUMIFS(
  m.vb[valor],
  m.vb[nucleo],$Z$1,
  m.vb[variavel],AE$7,
  m.vb[mes],$A53
)</f>
        <v>0</v>
      </c>
      <c r="AF53" s="120">
        <f ca="1">SUMIFS(
  m.vb[valor],
  m.vb[nucleo],$Z$1,
  m.vb[variavel],AF$7,
  m.vb[mes],$A53
)</f>
        <v>0</v>
      </c>
      <c r="AG53" s="120">
        <f ca="1">SUMIFS(
  m.vb[valor],
  m.vb[nucleo],$Z$1,
  m.vb[variavel],AG$7,
  m.vb[mes],$A53
)</f>
        <v>0</v>
      </c>
      <c r="AH53" s="120">
        <f ca="1">SUMIFS(
  m.vb[valor],
  m.vb[nucleo],$Z$1,
  m.vb[variavel],AH$7,
  m.vb[mes],$A53
)</f>
        <v>0</v>
      </c>
      <c r="AI53" s="121">
        <f ca="1">SUMIFS(
  m.vb[valor],
  m.vb[nucleo],$Z$1,
  m.vb[variavel],AI$7,
  m.vb[mes],$A53
)</f>
        <v>0</v>
      </c>
      <c r="AJ53" s="119">
        <f>COUNTIFS(
    tb_estq[empresa], AJ$6,
    tb_estq[Data da venda / reserva], "&gt;=" &amp; $A53,
    tb_estq[Data da venda / reserva], "&lt;"  &amp; EOMONTH($A53,0) + 1
)</f>
        <v>0</v>
      </c>
      <c r="AK53" s="120">
        <f ca="1">SUMIFS(tb_rec_uni[2025-03-01],
INDIRECT("tb_rec_uni[natureza]"),"pro.soluto",
INDIRECT("tb_rec_uni[empresa]"),AK$6)</f>
        <v>0</v>
      </c>
      <c r="AL53" s="120">
        <f ca="1">SUMIFS(tb_rec_uni[2025-03-01],
INDIRECT("tb_rec_uni[natureza]"),"repasse.cef.obra",
INDIRECT("tb_rec_uni[empresa]"),AL$6)</f>
        <v>0</v>
      </c>
      <c r="AM53" s="120">
        <f ca="1">SUMIFS(tb_rec_uni[2025-03-01],
INDIRECT("tb_rec_uni[natureza]"),"repasse.cef.terreno",
INDIRECT("tb_rec_uni[empresa]"),AM$6)</f>
        <v>0</v>
      </c>
      <c r="AN53" s="120">
        <v>0</v>
      </c>
      <c r="AO53" s="120">
        <f ca="1">SUMIFS(tb_rec_uni[2025-03-01],
INDIRECT("tb_rec_uni[natureza]"),"taxa.extra",
INDIRECT("tb_rec_uni[empresa]"),AO$6)</f>
        <v>0</v>
      </c>
      <c r="AP53" s="108"/>
      <c r="AQ53" s="120">
        <f ca="1">SUMIFS(
  m.vb[valor],
  m.vb[nucleo],$AJ$1,
  m.vb[variavel],AQ$7,
  m.vb[mes],$A53
)</f>
        <v>0</v>
      </c>
      <c r="AR53" s="120">
        <f ca="1">SUMIFS(
  m.vb[valor],
  m.vb[nucleo],$AJ$1,
  m.vb[variavel],AR$7,
  m.vb[mes],$A53
)</f>
        <v>0</v>
      </c>
      <c r="AS53" s="120">
        <f ca="1">SUMIFS(
  m.vb[valor],
  m.vb[nucleo],$AJ$1,
  m.vb[variavel],AS$7,
  m.vb[mes],$A53
)</f>
        <v>0</v>
      </c>
      <c r="AT53" s="120">
        <f ca="1">SUMIFS(
  m.vb[valor],
  m.vb[nucleo],$AJ$1,
  m.vb[variavel],AT$7,
  m.vb[mes],$A53
)</f>
        <v>0</v>
      </c>
      <c r="AU53" s="121">
        <f ca="1">SUMIFS(
  m.vb[valor],
  m.vb[nucleo],$AJ$1,
  m.vb[variavel],AU$7,
  m.vb[mes],$A53
)</f>
        <v>0</v>
      </c>
      <c r="AV53" s="119">
        <f>COUNTIFS(
    tb_estq[empresa], AV$6,
    tb_estq[Data da venda / reserva], "&gt;=" &amp; $A53,
    tb_estq[Data da venda / reserva], "&lt;"  &amp; EOMONTH($A53,0) + 1
)</f>
        <v>0</v>
      </c>
      <c r="AW53" s="120">
        <f ca="1">SUMIFS(tb_rec_uni[2025-03-01],
INDIRECT("tb_rec_uni[natureza]"),"pro.soluto",
INDIRECT("tb_rec_uni[empresa]"),AW$6)</f>
        <v>0</v>
      </c>
      <c r="AX53" s="120">
        <f ca="1">SUMIFS(tb_rec_uni[2025-03-01],
INDIRECT("tb_rec_uni[natureza]"),"repasse.cef.obra",
INDIRECT("tb_rec_uni[empresa]"),AX$6)</f>
        <v>0</v>
      </c>
      <c r="AY53" s="120">
        <f ca="1">SUMIFS(tb_rec_uni[2025-03-01],
INDIRECT("tb_rec_uni[natureza]"),"repasse.cef.terreno",
INDIRECT("tb_rec_uni[empresa]"),AY$6)</f>
        <v>0</v>
      </c>
      <c r="AZ53" s="120">
        <v>0</v>
      </c>
      <c r="BA53" s="120">
        <f ca="1">SUMIFS(tb_rec_uni[2025-03-01],
INDIRECT("tb_rec_uni[natureza]"),"taxa.extra",
INDIRECT("tb_rec_uni[empresa]"),BA$6)</f>
        <v>0</v>
      </c>
      <c r="BB53" s="108"/>
      <c r="BC53" s="120">
        <f ca="1">SUMIFS(
  m.vb[valor],
  m.vb[nucleo],$AV$1,
  m.vb[variavel],BC$7,
  m.vb[mes],$A53
)</f>
        <v>0</v>
      </c>
      <c r="BD53" s="120">
        <f ca="1">SUMIFS(
  m.vb[valor],
  m.vb[nucleo],$AV$1,
  m.vb[variavel],BD$7,
  m.vb[mes],$A53
)</f>
        <v>0</v>
      </c>
      <c r="BE53" s="120">
        <f ca="1">SUMIFS(
  m.vb[valor],
  m.vb[nucleo],$AV$1,
  m.vb[variavel],BE$7,
  m.vb[mes],$A53
)</f>
        <v>0</v>
      </c>
      <c r="BF53" s="120">
        <f ca="1">SUMIFS(
  m.vb[valor],
  m.vb[nucleo],$AV$1,
  m.vb[variavel],BF$7,
  m.vb[mes],$A53
)</f>
        <v>0</v>
      </c>
      <c r="BG53" s="121">
        <f ca="1">SUMIFS(
  m.vb[valor],
  m.vb[nucleo],$AV$1,
  m.vb[variavel],BG$7,
  m.vb[mes],$A53
)</f>
        <v>0</v>
      </c>
      <c r="BH53" s="119">
        <f>COUNTIFS(
    tb_estq[empresa], BH$6,
    tb_estq[Data da venda / reserva], "&gt;=" &amp; $A53,
    tb_estq[Data da venda / reserva], "&lt;"  &amp; EOMONTH($A53,0) + 1
)</f>
        <v>0</v>
      </c>
      <c r="BI53" s="120">
        <f ca="1">SUMIFS(tb_rec_uni[2025-03-01],
INDIRECT("tb_rec_uni[natureza]"),"pro.soluto",
INDIRECT("tb_rec_uni[empresa]"),BI$6)</f>
        <v>0</v>
      </c>
      <c r="BJ53" s="108">
        <f>2.61*94736</f>
        <v>247260.96</v>
      </c>
      <c r="BK53" s="120">
        <f ca="1">SUMIFS(tb_rec_uni[2025-03-01],
INDIRECT("tb_rec_uni[natureza]"),"taxa.extra",
INDIRECT("tb_rec_uni[empresa]"),BK$6)</f>
        <v>0</v>
      </c>
      <c r="BL53" s="108"/>
      <c r="BM53" s="120">
        <f ca="1">SUMIFS(
  m.vb[valor],
  m.vb[nucleo],$BH$1,
  m.vb[variavel],BM$7,
  m.vb[mes],$A53
)</f>
        <v>0</v>
      </c>
      <c r="BN53" s="120">
        <f ca="1">SUMIFS(
  m.vb[valor],
  m.vb[nucleo],$BH$1,
  m.vb[variavel],BN$7,
  m.vb[mes],$A53
)</f>
        <v>0</v>
      </c>
      <c r="BO53" s="120">
        <f ca="1">SUMIFS(
  m.vb[valor],
  m.vb[nucleo],$BH$1,
  m.vb[variavel],BO$7,
  m.vb[mes],$A53
)</f>
        <v>0</v>
      </c>
      <c r="BP53" s="120">
        <f ca="1">SUMIFS(
  m.vb[valor],
  m.vb[nucleo],$BH$1,
  m.vb[variavel],BP$7,
  m.vb[mes],$A53
)</f>
        <v>0</v>
      </c>
      <c r="BQ53" s="121">
        <f ca="1">SUMIFS(
  m.vb[valor],
  m.vb[nucleo],$BH$1,
  m.vb[variavel],BQ$7,
  m.vb[mes],$A53
)</f>
        <v>0</v>
      </c>
      <c r="BR53" s="119">
        <f>COUNTIFS(
    tb_estq[empresa], BR$6,
    tb_estq[Data da venda / reserva], "&gt;=" &amp; $A53,
    tb_estq[Data da venda / reserva], "&lt;"  &amp; EOMONTH($A53,0) + 1
)</f>
        <v>0</v>
      </c>
      <c r="BS53" s="120">
        <f ca="1">SUMIFS(tb_rec_uni[2025-03-01],
INDIRECT("tb_rec_uni[natureza]"),"pro.soluto",
INDIRECT("tb_rec_uni[empresa]"),BS$6)</f>
        <v>0</v>
      </c>
      <c r="BT53" s="120">
        <f ca="1">SUMIFS(tb_rec_uni[2025-03-01],
INDIRECT("tb_rec_uni[natureza]"),"parcela.fin.total.ik",
INDIRECT("tb_rec_uni[empresa]"),BT$6)</f>
        <v>0</v>
      </c>
      <c r="BU53" s="120">
        <f ca="1">SUMIFS(tb_rec_uni[2025-03-01],
INDIRECT("tb_rec_uni[natureza]"),"taxa.extra",
INDIRECT("tb_rec_uni[empresa]"),BU$6)</f>
        <v>0</v>
      </c>
      <c r="BV53" s="108"/>
      <c r="BW53" s="120">
        <f ca="1">SUMIFS(
  m.vb[valor],
  m.vb[nucleo],$BR$1,
  m.vb[variavel],BW$7,
  m.vb[mes],$A53
)</f>
        <v>0</v>
      </c>
      <c r="BX53" s="120">
        <f ca="1">SUMIFS(
  m.vb[valor],
  m.vb[nucleo],$BR$1,
  m.vb[variavel],BX$7,
  m.vb[mes],$A53
)</f>
        <v>0</v>
      </c>
      <c r="BY53" s="120">
        <f ca="1">SUMIFS(
  m.vb[valor],
  m.vb[nucleo],$BR$1,
  m.vb[variavel],BY$7,
  m.vb[mes],$A53
)</f>
        <v>0</v>
      </c>
      <c r="BZ53" s="120">
        <f ca="1">SUMIFS(
  m.vb[valor],
  m.vb[nucleo],$BR$1,
  m.vb[variavel],BZ$7,
  m.vb[mes],$A53
)</f>
        <v>0</v>
      </c>
      <c r="CA53" s="121">
        <f ca="1">SUMIFS(
  m.vb[valor],
  m.vb[nucleo],$BR$1,
  m.vb[variavel],CA$7,
  m.vb[mes],$A53
)</f>
        <v>0</v>
      </c>
      <c r="CB53" s="119">
        <f>COUNTIFS(
    tb_estq[empresa], CB$6,
    tb_estq[Data da venda / reserva], "&gt;=" &amp; $A53,
    tb_estq[Data da venda / reserva], "&lt;"  &amp; EOMONTH($A53,0) + 1
)</f>
        <v>0</v>
      </c>
      <c r="CC53" s="120">
        <f ca="1">SUMIFS(tb_rec_uni[2025-03-01],
INDIRECT("tb_rec_uni[natureza]"),"pro.soluto",
INDIRECT("tb_rec_uni[empresa]"),CC$6)</f>
        <v>0</v>
      </c>
      <c r="CD53" s="120">
        <f ca="1">SUMIFS(tb_rec_uni[2025-03-01],
INDIRECT("tb_rec_uni[natureza]"),"repasse.cef.obra",
INDIRECT("tb_rec_uni[empresa]"),CD$6)</f>
        <v>0</v>
      </c>
      <c r="CE53" s="120">
        <f ca="1">SUMIFS(tb_rec_uni[2025-03-01],
INDIRECT("tb_rec_uni[natureza]"),"repasse.cef.terreno",
INDIRECT("tb_rec_uni[empresa]"),CE$6)</f>
        <v>0</v>
      </c>
      <c r="CF53" s="120">
        <v>236708.67</v>
      </c>
      <c r="CG53" s="120">
        <f ca="1">SUMIFS(tb_rec_uni[2025-03-01],
INDIRECT("tb_rec_uni[natureza]"),"taxa.extra",
INDIRECT("tb_rec_uni[empresa]"),CG$6)</f>
        <v>0</v>
      </c>
      <c r="CH53" s="108"/>
      <c r="CI53" s="120">
        <f ca="1">SUMIFS(
  m.vb[valor],
  m.vb[nucleo],$CB$1,
  m.vb[variavel],CI$7,
  m.vb[mes],$A53
)</f>
        <v>0</v>
      </c>
      <c r="CJ53" s="120">
        <f ca="1">SUMIFS(
  m.vb[valor],
  m.vb[nucleo],$CB$1,
  m.vb[variavel],CJ$7,
  m.vb[mes],$A53
)</f>
        <v>0</v>
      </c>
      <c r="CK53" s="120">
        <f ca="1">SUMIFS(
  m.vb[valor],
  m.vb[nucleo],$CB$1,
  m.vb[variavel],CK$7,
  m.vb[mes],$A53
)</f>
        <v>0</v>
      </c>
      <c r="CL53" s="120">
        <f ca="1">SUMIFS(
  m.vb[valor],
  m.vb[nucleo],$CB$1,
  m.vb[variavel],CL$7,
  m.vb[mes],$A53
)</f>
        <v>0</v>
      </c>
      <c r="CM53" s="121">
        <f ca="1">SUMIFS(
  m.vb[valor],
  m.vb[nucleo],$CB$1,
  m.vb[variavel],CM$7,
  m.vb[mes],$A53
)</f>
        <v>0</v>
      </c>
      <c r="CN53" s="119">
        <f>COUNTIFS(
    tb_estq[empresa], CN$6,
    tb_estq[Data da venda / reserva], "&gt;=" &amp; $A53,
    tb_estq[Data da venda / reserva], "&lt;"  &amp; EOMONTH($A53,0) + 1
)</f>
        <v>0</v>
      </c>
      <c r="CO53" s="120">
        <f ca="1">SUMIFS(tb_rec_uni[2025-03-01],
INDIRECT("tb_rec_uni[natureza]"),"pro.soluto",
INDIRECT("tb_rec_uni[empresa]"),CO$6)</f>
        <v>0</v>
      </c>
      <c r="CP53" s="120">
        <f ca="1">SUMIFS(tb_rec_uni[2025-03-01],
INDIRECT("tb_rec_uni[natureza]"),"repasse.cef.obra",
INDIRECT("tb_rec_uni[empresa]"),CP$6)</f>
        <v>0</v>
      </c>
      <c r="CQ53" s="120">
        <f ca="1">SUMIFS(tb_rec_uni[2025-03-01],
INDIRECT("tb_rec_uni[natureza]"),"repasse.cef.terreno",
INDIRECT("tb_rec_uni[empresa]"),CQ$6)</f>
        <v>0</v>
      </c>
      <c r="CR53" s="120">
        <v>0</v>
      </c>
      <c r="CS53" s="120">
        <f ca="1">SUMIFS(tb_rec_uni[2025-03-01],
INDIRECT("tb_rec_uni[natureza]"),"taxa.extra",
INDIRECT("tb_rec_uni[empresa]"),CS$6)</f>
        <v>0</v>
      </c>
      <c r="CT53" s="108"/>
      <c r="CU53" s="120">
        <f ca="1">SUMIFS(
  m.vb[valor],
  m.vb[nucleo],$CN$1,
  m.vb[variavel],CU$7,
  m.vb[mes],$A53
)</f>
        <v>0</v>
      </c>
      <c r="CV53" s="120" cm="1">
        <f t="array" ref="CV53">SUMPRODUCT(
  IFERROR(--tb_desp[valor],0)*
  (tb_desp[nucleo]="UP MOVE VILA SONIA")*
  (tb_desp[categoria]=CV$7)*
  (tb_desp[data.pagamento]&gt;=$A53)*
  (tb_desp[data.pagamento]&lt;EOMONTH($A53,0)+1)
)</f>
        <v>0</v>
      </c>
      <c r="CW53" s="120" cm="1">
        <f t="array" ref="CW53">SUMPRODUCT(
  IFERROR(--tb_desp[valor],0)*
  (tb_desp[nucleo]="UP MOVE VILA SONIA")*
  (tb_desp[categoria]=CW$7)*
  (tb_desp[data.pagamento]&gt;=$A53)*
  (tb_desp[data.pagamento]&lt;EOMONTH($A53,0)+1)
)</f>
        <v>0</v>
      </c>
      <c r="CX53" s="120" cm="1">
        <f t="array" ref="CX53">SUMPRODUCT(
  IFERROR(--tb_desp[valor],0)*
  (tb_desp[nucleo]="UP MOVE VILA SONIA")*
  (tb_desp[categoria]=CX$7)*
  (tb_desp[data.pagamento]&gt;=$A53)*
  (tb_desp[data.pagamento]&lt;EOMONTH($A53,0)+1)
)</f>
        <v>0</v>
      </c>
      <c r="CY53" s="122" cm="1">
        <f t="array" ref="CY53">SUMPRODUCT(
  IFERROR(--tb_desp[valor],0)*
  (tb_desp[nucleo]="UP MOVE VILA SONIA")*
  (tb_desp[categoria]=CY$7)*
  (tb_desp[data.pagamento]&gt;=$A53)*
  (tb_desp[data.pagamento]&lt;EOMONTH($A53,0)+1)
)</f>
        <v>0</v>
      </c>
    </row>
    <row r="54" spans="1:103" x14ac:dyDescent="0.25">
      <c r="A54" s="118">
        <v>45748</v>
      </c>
      <c r="B54" s="119">
        <f>COUNTIFS(
    tb_estq[empresa], B$6,
    tb_estq[Data da venda / reserva], "&gt;=" &amp; $A54,
    tb_estq[Data da venda / reserva], "&lt;"  &amp; EOMONTH($A54,0) + 1
)</f>
        <v>0</v>
      </c>
      <c r="C54" s="120">
        <f ca="1">SUMIFS(tb_rec_uni[2025-04-01],
INDIRECT("tb_rec_uni[natureza]"),"pro.soluto",
INDIRECT("tb_rec_uni[empresa]"),C$6)</f>
        <v>0</v>
      </c>
      <c r="D54" s="120">
        <f ca="1">SUMIFS(tb_rec_uni[2025-04-01],
INDIRECT("tb_rec_uni[natureza]"),"repasse.cef.obra",
INDIRECT("tb_rec_uni[empresa]"),D$6)</f>
        <v>0</v>
      </c>
      <c r="E54" s="120">
        <f ca="1">SUMIFS(tb_rec_uni[2025-04-01],
INDIRECT("tb_rec_uni[natureza]"),"repasse.cef.terreno",
INDIRECT("tb_rec_uni[empresa]"),E$6)</f>
        <v>0</v>
      </c>
      <c r="F54" s="120">
        <v>223853.73</v>
      </c>
      <c r="G54" s="120">
        <f ca="1">SUMIFS(tb_rec_uni[2025-04-01],
INDIRECT("tb_rec_uni[natureza]"),"taxa.extra",
INDIRECT("tb_rec_uni[empresa]"),G$6)</f>
        <v>0</v>
      </c>
      <c r="H54" s="108"/>
      <c r="I54" s="120">
        <f ca="1">SUMIFS(
  m.vb[valor],
  m.vb[nucleo],$B$1,
  m.vb[variavel],I$7,
  m.vb[mes],$A54
)</f>
        <v>0</v>
      </c>
      <c r="J54" s="120">
        <f ca="1">SUMIFS(
  m.vb[valor],
  m.vb[nucleo],$B$1,
  m.vb[variavel],J$7,
  m.vb[mes],$A54
)</f>
        <v>0</v>
      </c>
      <c r="K54" s="120">
        <f ca="1">SUMIFS(
  m.vb[valor],
  m.vb[nucleo],$B$1,
  m.vb[variavel],K$7,
  m.vb[mes],$A54
)</f>
        <v>0</v>
      </c>
      <c r="L54" s="120">
        <f ca="1">SUMIFS(
  m.vb[valor],
  m.vb[nucleo],$B$1,
  m.vb[variavel],L$7,
  m.vb[mes],$A54
)</f>
        <v>0</v>
      </c>
      <c r="M54" s="121">
        <f ca="1">SUMIFS(
  m.vb[valor],
  m.vb[nucleo],$B$1,
  m.vb[variavel],M$7,
  m.vb[mes],$A54
)</f>
        <v>0</v>
      </c>
      <c r="N54" s="119">
        <f>COUNTIFS(
    tb_estq[empresa], N$6,
    tb_estq[Data da venda / reserva], "&gt;=" &amp; $A54,
    tb_estq[Data da venda / reserva], "&lt;"  &amp; EOMONTH($A54,0) + 1
)</f>
        <v>0</v>
      </c>
      <c r="O54" s="120">
        <f ca="1">SUMIFS(tb_rec_uni[2025-04-01],
INDIRECT("tb_rec_uni[natureza]"),"pro.soluto",
INDIRECT("tb_rec_uni[empresa]"),O$6)</f>
        <v>0</v>
      </c>
      <c r="P54" s="120">
        <f ca="1">SUMIFS(tb_rec_uni[2025-04-01],
INDIRECT("tb_rec_uni[natureza]"),"repasse.cef.obra",
INDIRECT("tb_rec_uni[empresa]"),P$6)</f>
        <v>0</v>
      </c>
      <c r="Q54" s="120">
        <f ca="1">SUMIFS(tb_rec_uni[2025-04-01],
INDIRECT("tb_rec_uni[natureza]"),"repasse.cef.terreno",
INDIRECT("tb_rec_uni[empresa]"),Q$6)</f>
        <v>0</v>
      </c>
      <c r="R54" s="120">
        <v>0</v>
      </c>
      <c r="S54" s="120">
        <f ca="1">SUMIFS(tb_rec_uni[2025-04-01],
INDIRECT("tb_rec_uni[natureza]"),"taxa.extra",
INDIRECT("tb_rec_uni[empresa]"),S$6)</f>
        <v>0</v>
      </c>
      <c r="T54" s="108"/>
      <c r="U54" s="120">
        <f ca="1">SUMIFS(
  m.vb[valor],
  m.vb[nucleo],$N$1,
  m.vb[variavel],U$7,
  m.vb[mes],$A54
)</f>
        <v>0</v>
      </c>
      <c r="V54" s="120">
        <f ca="1">SUMIFS(
  m.vb[valor],
  m.vb[nucleo],$N$1,
  m.vb[variavel],V$7,
  m.vb[mes],$A54
)</f>
        <v>0</v>
      </c>
      <c r="W54" s="120">
        <f ca="1">SUMIFS(
  m.vb[valor],
  m.vb[nucleo],$N$1,
  m.vb[variavel],W$7,
  m.vb[mes],$A54
)</f>
        <v>0</v>
      </c>
      <c r="X54" s="120">
        <f ca="1">SUMIFS(
  m.vb[valor],
  m.vb[nucleo],$N$1,
  m.vb[variavel],X$7,
  m.vb[mes],$A54
)</f>
        <v>0</v>
      </c>
      <c r="Y54" s="121">
        <f ca="1">SUMIFS(
  m.vb[valor],
  m.vb[nucleo],$N$1,
  m.vb[variavel],Y$7,
  m.vb[mes],$A54
)</f>
        <v>0</v>
      </c>
      <c r="Z54" s="119">
        <f>COUNTIFS(
    tb_estq[empresa], Z$6,
    tb_estq[Data da venda / reserva], "&gt;=" &amp; $A54,
    tb_estq[Data da venda / reserva], "&lt;"  &amp; EOMONTH($A54,0) + 1
)</f>
        <v>0</v>
      </c>
      <c r="AA54" s="120">
        <f ca="1">SUMIFS(tb_rec_uni[2025-04-01],
INDIRECT("tb_rec_uni[natureza]"),"pro.soluto",
INDIRECT("tb_rec_uni[empresa]"),AA$6)</f>
        <v>0</v>
      </c>
      <c r="AB54" s="120">
        <f ca="1">SUMIFS(tb_rec_uni[2025-04-01],
INDIRECT("tb_rec_uni[natureza]"),"parcela.fin.total.ik",
INDIRECT("tb_rec_uni[empresa]"),AB$6)</f>
        <v>0</v>
      </c>
      <c r="AC54" s="120">
        <f ca="1">SUMIFS(tb_rec_uni[2025-04-01],
INDIRECT("tb_rec_uni[natureza]"),"taxa.extra",
INDIRECT("tb_rec_uni[empresa]"),AC$6)</f>
        <v>0</v>
      </c>
      <c r="AD54" s="108"/>
      <c r="AE54" s="120">
        <f ca="1">SUMIFS(
  m.vb[valor],
  m.vb[nucleo],$Z$1,
  m.vb[variavel],AE$7,
  m.vb[mes],$A54
)</f>
        <v>0</v>
      </c>
      <c r="AF54" s="120">
        <f ca="1">SUMIFS(
  m.vb[valor],
  m.vb[nucleo],$Z$1,
  m.vb[variavel],AF$7,
  m.vb[mes],$A54
)</f>
        <v>0</v>
      </c>
      <c r="AG54" s="120">
        <f ca="1">SUMIFS(
  m.vb[valor],
  m.vb[nucleo],$Z$1,
  m.vb[variavel],AG$7,
  m.vb[mes],$A54
)</f>
        <v>0</v>
      </c>
      <c r="AH54" s="120">
        <f ca="1">SUMIFS(
  m.vb[valor],
  m.vb[nucleo],$Z$1,
  m.vb[variavel],AH$7,
  m.vb[mes],$A54
)</f>
        <v>0</v>
      </c>
      <c r="AI54" s="121">
        <f ca="1">SUMIFS(
  m.vb[valor],
  m.vb[nucleo],$Z$1,
  m.vb[variavel],AI$7,
  m.vb[mes],$A54
)</f>
        <v>0</v>
      </c>
      <c r="AJ54" s="119">
        <f>COUNTIFS(
    tb_estq[empresa], AJ$6,
    tb_estq[Data da venda / reserva], "&gt;=" &amp; $A54,
    tb_estq[Data da venda / reserva], "&lt;"  &amp; EOMONTH($A54,0) + 1
)</f>
        <v>0</v>
      </c>
      <c r="AK54" s="120">
        <f ca="1">SUMIFS(tb_rec_uni[2025-04-01],
INDIRECT("tb_rec_uni[natureza]"),"pro.soluto",
INDIRECT("tb_rec_uni[empresa]"),AK$6)</f>
        <v>0</v>
      </c>
      <c r="AL54" s="120">
        <f ca="1">SUMIFS(tb_rec_uni[2025-04-01],
INDIRECT("tb_rec_uni[natureza]"),"repasse.cef.obra",
INDIRECT("tb_rec_uni[empresa]"),AL$6)</f>
        <v>0</v>
      </c>
      <c r="AM54" s="120">
        <f ca="1">SUMIFS(tb_rec_uni[2025-04-01],
INDIRECT("tb_rec_uni[natureza]"),"repasse.cef.terreno",
INDIRECT("tb_rec_uni[empresa]"),AM$6)</f>
        <v>0</v>
      </c>
      <c r="AN54" s="120">
        <v>0</v>
      </c>
      <c r="AO54" s="120">
        <f ca="1">SUMIFS(tb_rec_uni[2025-04-01],
INDIRECT("tb_rec_uni[natureza]"),"taxa.extra",
INDIRECT("tb_rec_uni[empresa]"),AO$6)</f>
        <v>0</v>
      </c>
      <c r="AP54" s="108"/>
      <c r="AQ54" s="120">
        <f ca="1">SUMIFS(
  m.vb[valor],
  m.vb[nucleo],$AJ$1,
  m.vb[variavel],AQ$7,
  m.vb[mes],$A54
)</f>
        <v>0</v>
      </c>
      <c r="AR54" s="120">
        <f ca="1">SUMIFS(
  m.vb[valor],
  m.vb[nucleo],$AJ$1,
  m.vb[variavel],AR$7,
  m.vb[mes],$A54
)</f>
        <v>0</v>
      </c>
      <c r="AS54" s="120">
        <f ca="1">SUMIFS(
  m.vb[valor],
  m.vb[nucleo],$AJ$1,
  m.vb[variavel],AS$7,
  m.vb[mes],$A54
)</f>
        <v>0</v>
      </c>
      <c r="AT54" s="120">
        <f ca="1">SUMIFS(
  m.vb[valor],
  m.vb[nucleo],$AJ$1,
  m.vb[variavel],AT$7,
  m.vb[mes],$A54
)</f>
        <v>0</v>
      </c>
      <c r="AU54" s="121">
        <f ca="1">SUMIFS(
  m.vb[valor],
  m.vb[nucleo],$AJ$1,
  m.vb[variavel],AU$7,
  m.vb[mes],$A54
)</f>
        <v>0</v>
      </c>
      <c r="AV54" s="119">
        <f>COUNTIFS(
    tb_estq[empresa], AV$6,
    tb_estq[Data da venda / reserva], "&gt;=" &amp; $A54,
    tb_estq[Data da venda / reserva], "&lt;"  &amp; EOMONTH($A54,0) + 1
)</f>
        <v>0</v>
      </c>
      <c r="AW54" s="120">
        <f ca="1">SUMIFS(tb_rec_uni[2025-04-01],
INDIRECT("tb_rec_uni[natureza]"),"pro.soluto",
INDIRECT("tb_rec_uni[empresa]"),AW$6)</f>
        <v>0</v>
      </c>
      <c r="AX54" s="120">
        <f ca="1">SUMIFS(tb_rec_uni[2025-04-01],
INDIRECT("tb_rec_uni[natureza]"),"repasse.cef.obra",
INDIRECT("tb_rec_uni[empresa]"),AX$6)</f>
        <v>0</v>
      </c>
      <c r="AY54" s="120">
        <f ca="1">SUMIFS(tb_rec_uni[2025-04-01],
INDIRECT("tb_rec_uni[natureza]"),"repasse.cef.terreno",
INDIRECT("tb_rec_uni[empresa]"),AY$6)</f>
        <v>0</v>
      </c>
      <c r="AZ54" s="120">
        <v>0</v>
      </c>
      <c r="BA54" s="120">
        <f ca="1">SUMIFS(tb_rec_uni[2025-04-01],
INDIRECT("tb_rec_uni[natureza]"),"taxa.extra",
INDIRECT("tb_rec_uni[empresa]"),BA$6)</f>
        <v>0</v>
      </c>
      <c r="BB54" s="108"/>
      <c r="BC54" s="120">
        <f ca="1">SUMIFS(
  m.vb[valor],
  m.vb[nucleo],$AV$1,
  m.vb[variavel],BC$7,
  m.vb[mes],$A54
)</f>
        <v>0</v>
      </c>
      <c r="BD54" s="120">
        <f ca="1">SUMIFS(
  m.vb[valor],
  m.vb[nucleo],$AV$1,
  m.vb[variavel],BD$7,
  m.vb[mes],$A54
)</f>
        <v>0</v>
      </c>
      <c r="BE54" s="120">
        <f ca="1">SUMIFS(
  m.vb[valor],
  m.vb[nucleo],$AV$1,
  m.vb[variavel],BE$7,
  m.vb[mes],$A54
)</f>
        <v>0</v>
      </c>
      <c r="BF54" s="120">
        <f ca="1">SUMIFS(
  m.vb[valor],
  m.vb[nucleo],$AV$1,
  m.vb[variavel],BF$7,
  m.vb[mes],$A54
)</f>
        <v>0</v>
      </c>
      <c r="BG54" s="121">
        <f ca="1">SUMIFS(
  m.vb[valor],
  m.vb[nucleo],$AV$1,
  m.vb[variavel],BG$7,
  m.vb[mes],$A54
)</f>
        <v>0</v>
      </c>
      <c r="BH54" s="119">
        <f>COUNTIFS(
    tb_estq[empresa], BH$6,
    tb_estq[Data da venda / reserva], "&gt;=" &amp; $A54,
    tb_estq[Data da venda / reserva], "&lt;"  &amp; EOMONTH($A54,0) + 1
)</f>
        <v>0</v>
      </c>
      <c r="BI54" s="120">
        <f ca="1">SUMIFS(tb_rec_uni[2025-04-01],
INDIRECT("tb_rec_uni[natureza]"),"pro.soluto",
INDIRECT("tb_rec_uni[empresa]"),BI$6)</f>
        <v>0</v>
      </c>
      <c r="BJ54" s="108">
        <f>3.82*94736</f>
        <v>361891.51999999996</v>
      </c>
      <c r="BK54" s="120">
        <f ca="1">SUMIFS(tb_rec_uni[2025-04-01],
INDIRECT("tb_rec_uni[natureza]"),"taxa.extra",
INDIRECT("tb_rec_uni[empresa]"),BK$6)</f>
        <v>0</v>
      </c>
      <c r="BL54" s="108"/>
      <c r="BM54" s="120">
        <f ca="1">SUMIFS(
  m.vb[valor],
  m.vb[nucleo],$BH$1,
  m.vb[variavel],BM$7,
  m.vb[mes],$A54
)</f>
        <v>0</v>
      </c>
      <c r="BN54" s="120">
        <f ca="1">SUMIFS(
  m.vb[valor],
  m.vb[nucleo],$BH$1,
  m.vb[variavel],BN$7,
  m.vb[mes],$A54
)</f>
        <v>0</v>
      </c>
      <c r="BO54" s="120">
        <f ca="1">SUMIFS(
  m.vb[valor],
  m.vb[nucleo],$BH$1,
  m.vb[variavel],BO$7,
  m.vb[mes],$A54
)</f>
        <v>0</v>
      </c>
      <c r="BP54" s="120">
        <f ca="1">SUMIFS(
  m.vb[valor],
  m.vb[nucleo],$BH$1,
  m.vb[variavel],BP$7,
  m.vb[mes],$A54
)</f>
        <v>0</v>
      </c>
      <c r="BQ54" s="121">
        <f ca="1">SUMIFS(
  m.vb[valor],
  m.vb[nucleo],$BH$1,
  m.vb[variavel],BQ$7,
  m.vb[mes],$A54
)</f>
        <v>0</v>
      </c>
      <c r="BR54" s="119">
        <f>COUNTIFS(
    tb_estq[empresa], BR$6,
    tb_estq[Data da venda / reserva], "&gt;=" &amp; $A54,
    tb_estq[Data da venda / reserva], "&lt;"  &amp; EOMONTH($A54,0) + 1
)</f>
        <v>0</v>
      </c>
      <c r="BS54" s="120">
        <f ca="1">SUMIFS(tb_rec_uni[2025-04-01],
INDIRECT("tb_rec_uni[natureza]"),"pro.soluto",
INDIRECT("tb_rec_uni[empresa]"),BS$6)</f>
        <v>0</v>
      </c>
      <c r="BT54" s="120">
        <f ca="1">SUMIFS(tb_rec_uni[2025-04-01],
INDIRECT("tb_rec_uni[natureza]"),"parcela.fin.total.ik",
INDIRECT("tb_rec_uni[empresa]"),BT$6)</f>
        <v>0</v>
      </c>
      <c r="BU54" s="120">
        <f ca="1">SUMIFS(tb_rec_uni[2025-04-01],
INDIRECT("tb_rec_uni[natureza]"),"taxa.extra",
INDIRECT("tb_rec_uni[empresa]"),BU$6)</f>
        <v>0</v>
      </c>
      <c r="BV54" s="108"/>
      <c r="BW54" s="120">
        <f ca="1">SUMIFS(
  m.vb[valor],
  m.vb[nucleo],$BR$1,
  m.vb[variavel],BW$7,
  m.vb[mes],$A54
)</f>
        <v>0</v>
      </c>
      <c r="BX54" s="120">
        <f ca="1">SUMIFS(
  m.vb[valor],
  m.vb[nucleo],$BR$1,
  m.vb[variavel],BX$7,
  m.vb[mes],$A54
)</f>
        <v>0</v>
      </c>
      <c r="BY54" s="120">
        <f ca="1">SUMIFS(
  m.vb[valor],
  m.vb[nucleo],$BR$1,
  m.vb[variavel],BY$7,
  m.vb[mes],$A54
)</f>
        <v>0</v>
      </c>
      <c r="BZ54" s="120">
        <f ca="1">SUMIFS(
  m.vb[valor],
  m.vb[nucleo],$BR$1,
  m.vb[variavel],BZ$7,
  m.vb[mes],$A54
)</f>
        <v>0</v>
      </c>
      <c r="CA54" s="121">
        <f ca="1">SUMIFS(
  m.vb[valor],
  m.vb[nucleo],$BR$1,
  m.vb[variavel],CA$7,
  m.vb[mes],$A54
)</f>
        <v>0</v>
      </c>
      <c r="CB54" s="119">
        <f>COUNTIFS(
    tb_estq[empresa], CB$6,
    tb_estq[Data da venda / reserva], "&gt;=" &amp; $A54,
    tb_estq[Data da venda / reserva], "&lt;"  &amp; EOMONTH($A54,0) + 1
)</f>
        <v>0</v>
      </c>
      <c r="CC54" s="120">
        <f ca="1">SUMIFS(tb_rec_uni[2025-04-01],
INDIRECT("tb_rec_uni[natureza]"),"pro.soluto",
INDIRECT("tb_rec_uni[empresa]"),CC$6)</f>
        <v>0</v>
      </c>
      <c r="CD54" s="120">
        <f ca="1">SUMIFS(tb_rec_uni[2025-04-01],
INDIRECT("tb_rec_uni[natureza]"),"repasse.cef.obra",
INDIRECT("tb_rec_uni[empresa]"),CD$6)</f>
        <v>0</v>
      </c>
      <c r="CE54" s="120">
        <f ca="1">SUMIFS(tb_rec_uni[2025-04-01],
INDIRECT("tb_rec_uni[natureza]"),"repasse.cef.terreno",
INDIRECT("tb_rec_uni[empresa]"),CE$6)</f>
        <v>0</v>
      </c>
      <c r="CF54" s="120">
        <v>273233.02</v>
      </c>
      <c r="CG54" s="120">
        <f ca="1">SUMIFS(tb_rec_uni[2025-04-01],
INDIRECT("tb_rec_uni[natureza]"),"taxa.extra",
INDIRECT("tb_rec_uni[empresa]"),CG$6)</f>
        <v>0</v>
      </c>
      <c r="CH54" s="108"/>
      <c r="CI54" s="120">
        <f ca="1">SUMIFS(
  m.vb[valor],
  m.vb[nucleo],$CB$1,
  m.vb[variavel],CI$7,
  m.vb[mes],$A54
)</f>
        <v>0</v>
      </c>
      <c r="CJ54" s="120">
        <f ca="1">SUMIFS(
  m.vb[valor],
  m.vb[nucleo],$CB$1,
  m.vb[variavel],CJ$7,
  m.vb[mes],$A54
)</f>
        <v>0</v>
      </c>
      <c r="CK54" s="120">
        <f ca="1">SUMIFS(
  m.vb[valor],
  m.vb[nucleo],$CB$1,
  m.vb[variavel],CK$7,
  m.vb[mes],$A54
)</f>
        <v>0</v>
      </c>
      <c r="CL54" s="120">
        <f ca="1">SUMIFS(
  m.vb[valor],
  m.vb[nucleo],$CB$1,
  m.vb[variavel],CL$7,
  m.vb[mes],$A54
)</f>
        <v>0</v>
      </c>
      <c r="CM54" s="121">
        <f ca="1">SUMIFS(
  m.vb[valor],
  m.vb[nucleo],$CB$1,
  m.vb[variavel],CM$7,
  m.vb[mes],$A54
)</f>
        <v>0</v>
      </c>
      <c r="CN54" s="119">
        <f>COUNTIFS(
    tb_estq[empresa], CN$6,
    tb_estq[Data da venda / reserva], "&gt;=" &amp; $A54,
    tb_estq[Data da venda / reserva], "&lt;"  &amp; EOMONTH($A54,0) + 1
)</f>
        <v>0</v>
      </c>
      <c r="CO54" s="120">
        <f ca="1">SUMIFS(tb_rec_uni[2025-04-01],
INDIRECT("tb_rec_uni[natureza]"),"pro.soluto",
INDIRECT("tb_rec_uni[empresa]"),CO$6)</f>
        <v>0</v>
      </c>
      <c r="CP54" s="120">
        <f ca="1">SUMIFS(tb_rec_uni[2025-04-01],
INDIRECT("tb_rec_uni[natureza]"),"repasse.cef.obra",
INDIRECT("tb_rec_uni[empresa]"),CP$6)</f>
        <v>0</v>
      </c>
      <c r="CQ54" s="120">
        <f ca="1">SUMIFS(tb_rec_uni[2025-04-01],
INDIRECT("tb_rec_uni[natureza]"),"repasse.cef.terreno",
INDIRECT("tb_rec_uni[empresa]"),CQ$6)</f>
        <v>0</v>
      </c>
      <c r="CR54" s="120">
        <v>0</v>
      </c>
      <c r="CS54" s="120">
        <f ca="1">SUMIFS(tb_rec_uni[2025-04-01],
INDIRECT("tb_rec_uni[natureza]"),"taxa.extra",
INDIRECT("tb_rec_uni[empresa]"),CS$6)</f>
        <v>0</v>
      </c>
      <c r="CT54" s="108"/>
      <c r="CU54" s="120">
        <f ca="1">SUMIFS(
  m.vb[valor],
  m.vb[nucleo],$CN$1,
  m.vb[variavel],CU$7,
  m.vb[mes],$A54
)</f>
        <v>0</v>
      </c>
      <c r="CV54" s="120" cm="1">
        <f t="array" ref="CV54">SUMPRODUCT(
  IFERROR(--tb_desp[valor],0)*
  (tb_desp[nucleo]="UP MOVE VILA SONIA")*
  (tb_desp[categoria]=CV$7)*
  (tb_desp[data.pagamento]&gt;=$A54)*
  (tb_desp[data.pagamento]&lt;EOMONTH($A54,0)+1)
)</f>
        <v>0</v>
      </c>
      <c r="CW54" s="120" cm="1">
        <f t="array" ref="CW54">SUMPRODUCT(
  IFERROR(--tb_desp[valor],0)*
  (tb_desp[nucleo]="UP MOVE VILA SONIA")*
  (tb_desp[categoria]=CW$7)*
  (tb_desp[data.pagamento]&gt;=$A54)*
  (tb_desp[data.pagamento]&lt;EOMONTH($A54,0)+1)
)</f>
        <v>0</v>
      </c>
      <c r="CX54" s="120" cm="1">
        <f t="array" ref="CX54">SUMPRODUCT(
  IFERROR(--tb_desp[valor],0)*
  (tb_desp[nucleo]="UP MOVE VILA SONIA")*
  (tb_desp[categoria]=CX$7)*
  (tb_desp[data.pagamento]&gt;=$A54)*
  (tb_desp[data.pagamento]&lt;EOMONTH($A54,0)+1)
)</f>
        <v>0</v>
      </c>
      <c r="CY54" s="122" cm="1">
        <f t="array" ref="CY54">SUMPRODUCT(
  IFERROR(--tb_desp[valor],0)*
  (tb_desp[nucleo]="UP MOVE VILA SONIA")*
  (tb_desp[categoria]=CY$7)*
  (tb_desp[data.pagamento]&gt;=$A54)*
  (tb_desp[data.pagamento]&lt;EOMONTH($A54,0)+1)
)</f>
        <v>0</v>
      </c>
    </row>
    <row r="55" spans="1:103" x14ac:dyDescent="0.25">
      <c r="A55" s="118">
        <v>45778</v>
      </c>
      <c r="B55" s="119">
        <f>COUNTIFS(
    tb_estq[empresa], B$6,
    tb_estq[Data da venda / reserva], "&gt;=" &amp; $A55,
    tb_estq[Data da venda / reserva], "&lt;"  &amp; EOMONTH($A55,0) + 1
)</f>
        <v>0</v>
      </c>
      <c r="C55" s="120">
        <f ca="1">SUMIFS(tb_rec_uni[2025-05-01],
INDIRECT("tb_rec_uni[natureza]"),"pro.soluto",
INDIRECT("tb_rec_uni[empresa]"),C$6)</f>
        <v>0</v>
      </c>
      <c r="D55" s="120">
        <f ca="1">SUMIFS(tb_rec_uni[2025-05-01],
INDIRECT("tb_rec_uni[natureza]"),"repasse.cef.obra",
INDIRECT("tb_rec_uni[empresa]"),D$6)</f>
        <v>0</v>
      </c>
      <c r="E55" s="120">
        <f ca="1">SUMIFS(tb_rec_uni[2025-05-01],
INDIRECT("tb_rec_uni[natureza]"),"repasse.cef.terreno",
INDIRECT("tb_rec_uni[empresa]"),E$6)</f>
        <v>0</v>
      </c>
      <c r="F55" s="120">
        <v>134752.4</v>
      </c>
      <c r="G55" s="120">
        <f ca="1">SUMIFS(tb_rec_uni[2025-05-01],
INDIRECT("tb_rec_uni[natureza]"),"taxa.extra",
INDIRECT("tb_rec_uni[empresa]"),G$6)</f>
        <v>0</v>
      </c>
      <c r="H55" s="108"/>
      <c r="I55" s="120">
        <f ca="1">SUMIFS(
  m.vb[valor],
  m.vb[nucleo],$B$1,
  m.vb[variavel],I$7,
  m.vb[mes],$A55
)</f>
        <v>0</v>
      </c>
      <c r="J55" s="120">
        <f ca="1">SUMIFS(
  m.vb[valor],
  m.vb[nucleo],$B$1,
  m.vb[variavel],J$7,
  m.vb[mes],$A55
)</f>
        <v>0</v>
      </c>
      <c r="K55" s="120">
        <f ca="1">SUMIFS(
  m.vb[valor],
  m.vb[nucleo],$B$1,
  m.vb[variavel],K$7,
  m.vb[mes],$A55
)</f>
        <v>0</v>
      </c>
      <c r="L55" s="120">
        <f ca="1">SUMIFS(
  m.vb[valor],
  m.vb[nucleo],$B$1,
  m.vb[variavel],L$7,
  m.vb[mes],$A55
)</f>
        <v>0</v>
      </c>
      <c r="M55" s="121">
        <f ca="1">SUMIFS(
  m.vb[valor],
  m.vb[nucleo],$B$1,
  m.vb[variavel],M$7,
  m.vb[mes],$A55
)</f>
        <v>0</v>
      </c>
      <c r="N55" s="119">
        <f>COUNTIFS(
    tb_estq[empresa], N$6,
    tb_estq[Data da venda / reserva], "&gt;=" &amp; $A55,
    tb_estq[Data da venda / reserva], "&lt;"  &amp; EOMONTH($A55,0) + 1
)</f>
        <v>0</v>
      </c>
      <c r="O55" s="120">
        <f ca="1">SUMIFS(tb_rec_uni[2025-05-01],
INDIRECT("tb_rec_uni[natureza]"),"pro.soluto",
INDIRECT("tb_rec_uni[empresa]"),O$6)</f>
        <v>0</v>
      </c>
      <c r="P55" s="120">
        <f ca="1">SUMIFS(tb_rec_uni[2025-05-01],
INDIRECT("tb_rec_uni[natureza]"),"repasse.cef.obra",
INDIRECT("tb_rec_uni[empresa]"),P$6)</f>
        <v>0</v>
      </c>
      <c r="Q55" s="120">
        <f ca="1">SUMIFS(tb_rec_uni[2025-05-01],
INDIRECT("tb_rec_uni[natureza]"),"repasse.cef.terreno",
INDIRECT("tb_rec_uni[empresa]"),Q$6)</f>
        <v>0</v>
      </c>
      <c r="R55" s="120">
        <v>0</v>
      </c>
      <c r="S55" s="120">
        <f ca="1">SUMIFS(tb_rec_uni[2025-05-01],
INDIRECT("tb_rec_uni[natureza]"),"taxa.extra",
INDIRECT("tb_rec_uni[empresa]"),S$6)</f>
        <v>0</v>
      </c>
      <c r="T55" s="108"/>
      <c r="U55" s="120">
        <f ca="1">SUMIFS(
  m.vb[valor],
  m.vb[nucleo],$N$1,
  m.vb[variavel],U$7,
  m.vb[mes],$A55
)</f>
        <v>0</v>
      </c>
      <c r="V55" s="120">
        <f ca="1">SUMIFS(
  m.vb[valor],
  m.vb[nucleo],$N$1,
  m.vb[variavel],V$7,
  m.vb[mes],$A55
)</f>
        <v>0</v>
      </c>
      <c r="W55" s="120">
        <f ca="1">SUMIFS(
  m.vb[valor],
  m.vb[nucleo],$N$1,
  m.vb[variavel],W$7,
  m.vb[mes],$A55
)</f>
        <v>0</v>
      </c>
      <c r="X55" s="120">
        <f ca="1">SUMIFS(
  m.vb[valor],
  m.vb[nucleo],$N$1,
  m.vb[variavel],X$7,
  m.vb[mes],$A55
)</f>
        <v>0</v>
      </c>
      <c r="Y55" s="121">
        <f ca="1">SUMIFS(
  m.vb[valor],
  m.vb[nucleo],$N$1,
  m.vb[variavel],Y$7,
  m.vb[mes],$A55
)</f>
        <v>0</v>
      </c>
      <c r="Z55" s="119">
        <f>COUNTIFS(
    tb_estq[empresa], Z$6,
    tb_estq[Data da venda / reserva], "&gt;=" &amp; $A55,
    tb_estq[Data da venda / reserva], "&lt;"  &amp; EOMONTH($A55,0) + 1
)</f>
        <v>0</v>
      </c>
      <c r="AA55" s="120">
        <f ca="1">SUMIFS(tb_rec_uni[2025-05-01],
INDIRECT("tb_rec_uni[natureza]"),"pro.soluto",
INDIRECT("tb_rec_uni[empresa]"),AA$6)</f>
        <v>0</v>
      </c>
      <c r="AB55" s="120">
        <f ca="1">SUMIFS(tb_rec_uni[2025-05-01],
INDIRECT("tb_rec_uni[natureza]"),"parcela.fin.total.ik",
INDIRECT("tb_rec_uni[empresa]"),AB$6)</f>
        <v>0</v>
      </c>
      <c r="AC55" s="120">
        <f ca="1">SUMIFS(tb_rec_uni[2025-05-01],
INDIRECT("tb_rec_uni[natureza]"),"taxa.extra",
INDIRECT("tb_rec_uni[empresa]"),AC$6)</f>
        <v>0</v>
      </c>
      <c r="AD55" s="108"/>
      <c r="AE55" s="120">
        <f ca="1">SUMIFS(
  m.vb[valor],
  m.vb[nucleo],$Z$1,
  m.vb[variavel],AE$7,
  m.vb[mes],$A55
)</f>
        <v>0</v>
      </c>
      <c r="AF55" s="120">
        <f ca="1">SUMIFS(
  m.vb[valor],
  m.vb[nucleo],$Z$1,
  m.vb[variavel],AF$7,
  m.vb[mes],$A55
)</f>
        <v>0</v>
      </c>
      <c r="AG55" s="120">
        <f ca="1">SUMIFS(
  m.vb[valor],
  m.vb[nucleo],$Z$1,
  m.vb[variavel],AG$7,
  m.vb[mes],$A55
)</f>
        <v>0</v>
      </c>
      <c r="AH55" s="120">
        <f ca="1">SUMIFS(
  m.vb[valor],
  m.vb[nucleo],$Z$1,
  m.vb[variavel],AH$7,
  m.vb[mes],$A55
)</f>
        <v>0</v>
      </c>
      <c r="AI55" s="121">
        <f ca="1">SUMIFS(
  m.vb[valor],
  m.vb[nucleo],$Z$1,
  m.vb[variavel],AI$7,
  m.vb[mes],$A55
)</f>
        <v>0</v>
      </c>
      <c r="AJ55" s="119">
        <f>COUNTIFS(
    tb_estq[empresa], AJ$6,
    tb_estq[Data da venda / reserva], "&gt;=" &amp; $A55,
    tb_estq[Data da venda / reserva], "&lt;"  &amp; EOMONTH($A55,0) + 1
)</f>
        <v>0</v>
      </c>
      <c r="AK55" s="120">
        <f ca="1">SUMIFS(tb_rec_uni[2025-05-01],
INDIRECT("tb_rec_uni[natureza]"),"pro.soluto",
INDIRECT("tb_rec_uni[empresa]"),AK$6)</f>
        <v>0</v>
      </c>
      <c r="AL55" s="120">
        <f ca="1">SUMIFS(tb_rec_uni[2025-05-01],
INDIRECT("tb_rec_uni[natureza]"),"repasse.cef.obra",
INDIRECT("tb_rec_uni[empresa]"),AL$6)</f>
        <v>0</v>
      </c>
      <c r="AM55" s="120">
        <f ca="1">SUMIFS(tb_rec_uni[2025-05-01],
INDIRECT("tb_rec_uni[natureza]"),"repasse.cef.terreno",
INDIRECT("tb_rec_uni[empresa]"),AM$6)</f>
        <v>0</v>
      </c>
      <c r="AN55" s="120">
        <v>0</v>
      </c>
      <c r="AO55" s="120">
        <f ca="1">SUMIFS(tb_rec_uni[2025-05-01],
INDIRECT("tb_rec_uni[natureza]"),"taxa.extra",
INDIRECT("tb_rec_uni[empresa]"),AO$6)</f>
        <v>0</v>
      </c>
      <c r="AP55" s="108"/>
      <c r="AQ55" s="120">
        <f ca="1">SUMIFS(
  m.vb[valor],
  m.vb[nucleo],$AJ$1,
  m.vb[variavel],AQ$7,
  m.vb[mes],$A55
)</f>
        <v>0</v>
      </c>
      <c r="AR55" s="120">
        <f ca="1">SUMIFS(
  m.vb[valor],
  m.vb[nucleo],$AJ$1,
  m.vb[variavel],AR$7,
  m.vb[mes],$A55
)</f>
        <v>0</v>
      </c>
      <c r="AS55" s="120">
        <f ca="1">SUMIFS(
  m.vb[valor],
  m.vb[nucleo],$AJ$1,
  m.vb[variavel],AS$7,
  m.vb[mes],$A55
)</f>
        <v>0</v>
      </c>
      <c r="AT55" s="120">
        <f ca="1">SUMIFS(
  m.vb[valor],
  m.vb[nucleo],$AJ$1,
  m.vb[variavel],AT$7,
  m.vb[mes],$A55
)</f>
        <v>0</v>
      </c>
      <c r="AU55" s="121">
        <f ca="1">SUMIFS(
  m.vb[valor],
  m.vb[nucleo],$AJ$1,
  m.vb[variavel],AU$7,
  m.vb[mes],$A55
)</f>
        <v>0</v>
      </c>
      <c r="AV55" s="119">
        <f>COUNTIFS(
    tb_estq[empresa], AV$6,
    tb_estq[Data da venda / reserva], "&gt;=" &amp; $A55,
    tb_estq[Data da venda / reserva], "&lt;"  &amp; EOMONTH($A55,0) + 1
)</f>
        <v>0</v>
      </c>
      <c r="AW55" s="120">
        <f ca="1">SUMIFS(tb_rec_uni[2025-05-01],
INDIRECT("tb_rec_uni[natureza]"),"pro.soluto",
INDIRECT("tb_rec_uni[empresa]"),AW$6)</f>
        <v>0</v>
      </c>
      <c r="AX55" s="120">
        <f ca="1">SUMIFS(tb_rec_uni[2025-05-01],
INDIRECT("tb_rec_uni[natureza]"),"repasse.cef.obra",
INDIRECT("tb_rec_uni[empresa]"),AX$6)</f>
        <v>0</v>
      </c>
      <c r="AY55" s="120">
        <f ca="1">SUMIFS(tb_rec_uni[2025-05-01],
INDIRECT("tb_rec_uni[natureza]"),"repasse.cef.terreno",
INDIRECT("tb_rec_uni[empresa]"),AY$6)</f>
        <v>0</v>
      </c>
      <c r="AZ55" s="120">
        <v>0</v>
      </c>
      <c r="BA55" s="120">
        <f ca="1">SUMIFS(tb_rec_uni[2025-05-01],
INDIRECT("tb_rec_uni[natureza]"),"taxa.extra",
INDIRECT("tb_rec_uni[empresa]"),BA$6)</f>
        <v>0</v>
      </c>
      <c r="BB55" s="108"/>
      <c r="BC55" s="120">
        <f ca="1">SUMIFS(
  m.vb[valor],
  m.vb[nucleo],$AV$1,
  m.vb[variavel],BC$7,
  m.vb[mes],$A55
)</f>
        <v>0</v>
      </c>
      <c r="BD55" s="120">
        <f ca="1">SUMIFS(
  m.vb[valor],
  m.vb[nucleo],$AV$1,
  m.vb[variavel],BD$7,
  m.vb[mes],$A55
)</f>
        <v>0</v>
      </c>
      <c r="BE55" s="120">
        <f ca="1">SUMIFS(
  m.vb[valor],
  m.vb[nucleo],$AV$1,
  m.vb[variavel],BE$7,
  m.vb[mes],$A55
)</f>
        <v>0</v>
      </c>
      <c r="BF55" s="120">
        <f ca="1">SUMIFS(
  m.vb[valor],
  m.vb[nucleo],$AV$1,
  m.vb[variavel],BF$7,
  m.vb[mes],$A55
)</f>
        <v>0</v>
      </c>
      <c r="BG55" s="121">
        <f ca="1">SUMIFS(
  m.vb[valor],
  m.vb[nucleo],$AV$1,
  m.vb[variavel],BG$7,
  m.vb[mes],$A55
)</f>
        <v>0</v>
      </c>
      <c r="BH55" s="119">
        <f>COUNTIFS(
    tb_estq[empresa], BH$6,
    tb_estq[Data da venda / reserva], "&gt;=" &amp; $A55,
    tb_estq[Data da venda / reserva], "&lt;"  &amp; EOMONTH($A55,0) + 1
)</f>
        <v>0</v>
      </c>
      <c r="BI55" s="120">
        <f ca="1">SUMIFS(tb_rec_uni[2025-05-01],
INDIRECT("tb_rec_uni[natureza]"),"pro.soluto",
INDIRECT("tb_rec_uni[empresa]"),BI$6)</f>
        <v>0</v>
      </c>
      <c r="BJ55" s="108">
        <f>8.51*94736</f>
        <v>806203.36</v>
      </c>
      <c r="BK55" s="120">
        <f ca="1">SUMIFS(tb_rec_uni[2025-05-01],
INDIRECT("tb_rec_uni[natureza]"),"taxa.extra",
INDIRECT("tb_rec_uni[empresa]"),BK$6)</f>
        <v>0</v>
      </c>
      <c r="BL55" s="108"/>
      <c r="BM55" s="120">
        <f ca="1">SUMIFS(
  m.vb[valor],
  m.vb[nucleo],$BH$1,
  m.vb[variavel],BM$7,
  m.vb[mes],$A55
)</f>
        <v>0</v>
      </c>
      <c r="BN55" s="120">
        <f ca="1">SUMIFS(
  m.vb[valor],
  m.vb[nucleo],$BH$1,
  m.vb[variavel],BN$7,
  m.vb[mes],$A55
)</f>
        <v>0</v>
      </c>
      <c r="BO55" s="120">
        <f ca="1">SUMIFS(
  m.vb[valor],
  m.vb[nucleo],$BH$1,
  m.vb[variavel],BO$7,
  m.vb[mes],$A55
)</f>
        <v>0</v>
      </c>
      <c r="BP55" s="120">
        <f ca="1">SUMIFS(
  m.vb[valor],
  m.vb[nucleo],$BH$1,
  m.vb[variavel],BP$7,
  m.vb[mes],$A55
)</f>
        <v>0</v>
      </c>
      <c r="BQ55" s="121">
        <f ca="1">SUMIFS(
  m.vb[valor],
  m.vb[nucleo],$BH$1,
  m.vb[variavel],BQ$7,
  m.vb[mes],$A55
)</f>
        <v>0</v>
      </c>
      <c r="BR55" s="119">
        <f>COUNTIFS(
    tb_estq[empresa], BR$6,
    tb_estq[Data da venda / reserva], "&gt;=" &amp; $A55,
    tb_estq[Data da venda / reserva], "&lt;"  &amp; EOMONTH($A55,0) + 1
)</f>
        <v>0</v>
      </c>
      <c r="BS55" s="120">
        <f ca="1">SUMIFS(tb_rec_uni[2025-05-01],
INDIRECT("tb_rec_uni[natureza]"),"pro.soluto",
INDIRECT("tb_rec_uni[empresa]"),BS$6)</f>
        <v>0</v>
      </c>
      <c r="BT55" s="120">
        <f ca="1">SUMIFS(tb_rec_uni[2025-05-01],
INDIRECT("tb_rec_uni[natureza]"),"parcela.fin.total.ik",
INDIRECT("tb_rec_uni[empresa]"),BT$6)</f>
        <v>0</v>
      </c>
      <c r="BU55" s="120">
        <f ca="1">SUMIFS(tb_rec_uni[2025-05-01],
INDIRECT("tb_rec_uni[natureza]"),"taxa.extra",
INDIRECT("tb_rec_uni[empresa]"),BU$6)</f>
        <v>0</v>
      </c>
      <c r="BV55" s="108"/>
      <c r="BW55" s="120">
        <f ca="1">SUMIFS(
  m.vb[valor],
  m.vb[nucleo],$BR$1,
  m.vb[variavel],BW$7,
  m.vb[mes],$A55
)</f>
        <v>0</v>
      </c>
      <c r="BX55" s="120">
        <f ca="1">SUMIFS(
  m.vb[valor],
  m.vb[nucleo],$BR$1,
  m.vb[variavel],BX$7,
  m.vb[mes],$A55
)</f>
        <v>0</v>
      </c>
      <c r="BY55" s="120">
        <f ca="1">SUMIFS(
  m.vb[valor],
  m.vb[nucleo],$BR$1,
  m.vb[variavel],BY$7,
  m.vb[mes],$A55
)</f>
        <v>0</v>
      </c>
      <c r="BZ55" s="120">
        <f ca="1">SUMIFS(
  m.vb[valor],
  m.vb[nucleo],$BR$1,
  m.vb[variavel],BZ$7,
  m.vb[mes],$A55
)</f>
        <v>0</v>
      </c>
      <c r="CA55" s="121">
        <f ca="1">SUMIFS(
  m.vb[valor],
  m.vb[nucleo],$BR$1,
  m.vb[variavel],CA$7,
  m.vb[mes],$A55
)</f>
        <v>0</v>
      </c>
      <c r="CB55" s="119">
        <f>COUNTIFS(
    tb_estq[empresa], CB$6,
    tb_estq[Data da venda / reserva], "&gt;=" &amp; $A55,
    tb_estq[Data da venda / reserva], "&lt;"  &amp; EOMONTH($A55,0) + 1
)</f>
        <v>0</v>
      </c>
      <c r="CC55" s="120">
        <f ca="1">SUMIFS(tb_rec_uni[2025-05-01],
INDIRECT("tb_rec_uni[natureza]"),"pro.soluto",
INDIRECT("tb_rec_uni[empresa]"),CC$6)</f>
        <v>0</v>
      </c>
      <c r="CD55" s="120">
        <f ca="1">SUMIFS(tb_rec_uni[2025-05-01],
INDIRECT("tb_rec_uni[natureza]"),"repasse.cef.obra",
INDIRECT("tb_rec_uni[empresa]"),CD$6)</f>
        <v>0</v>
      </c>
      <c r="CE55" s="120">
        <f ca="1">SUMIFS(tb_rec_uni[2025-05-01],
INDIRECT("tb_rec_uni[natureza]"),"repasse.cef.terreno",
INDIRECT("tb_rec_uni[empresa]"),CE$6)</f>
        <v>0</v>
      </c>
      <c r="CF55" s="120">
        <v>0</v>
      </c>
      <c r="CG55" s="120">
        <f ca="1">SUMIFS(tb_rec_uni[2025-05-01],
INDIRECT("tb_rec_uni[natureza]"),"taxa.extra",
INDIRECT("tb_rec_uni[empresa]"),CG$6)</f>
        <v>0</v>
      </c>
      <c r="CH55" s="108"/>
      <c r="CI55" s="120">
        <f ca="1">SUMIFS(
  m.vb[valor],
  m.vb[nucleo],$CB$1,
  m.vb[variavel],CI$7,
  m.vb[mes],$A55
)</f>
        <v>0</v>
      </c>
      <c r="CJ55" s="120">
        <f ca="1">SUMIFS(
  m.vb[valor],
  m.vb[nucleo],$CB$1,
  m.vb[variavel],CJ$7,
  m.vb[mes],$A55
)</f>
        <v>0</v>
      </c>
      <c r="CK55" s="120">
        <f ca="1">SUMIFS(
  m.vb[valor],
  m.vb[nucleo],$CB$1,
  m.vb[variavel],CK$7,
  m.vb[mes],$A55
)</f>
        <v>0</v>
      </c>
      <c r="CL55" s="120">
        <f ca="1">SUMIFS(
  m.vb[valor],
  m.vb[nucleo],$CB$1,
  m.vb[variavel],CL$7,
  m.vb[mes],$A55
)</f>
        <v>0</v>
      </c>
      <c r="CM55" s="121">
        <f ca="1">SUMIFS(
  m.vb[valor],
  m.vb[nucleo],$CB$1,
  m.vb[variavel],CM$7,
  m.vb[mes],$A55
)</f>
        <v>0</v>
      </c>
      <c r="CN55" s="119">
        <f>COUNTIFS(
    tb_estq[empresa], CN$6,
    tb_estq[Data da venda / reserva], "&gt;=" &amp; $A55,
    tb_estq[Data da venda / reserva], "&lt;"  &amp; EOMONTH($A55,0) + 1
)</f>
        <v>0</v>
      </c>
      <c r="CO55" s="120">
        <f ca="1">SUMIFS(tb_rec_uni[2025-05-01],
INDIRECT("tb_rec_uni[natureza]"),"pro.soluto",
INDIRECT("tb_rec_uni[empresa]"),CO$6)</f>
        <v>0</v>
      </c>
      <c r="CP55" s="120">
        <f ca="1">SUMIFS(tb_rec_uni[2025-05-01],
INDIRECT("tb_rec_uni[natureza]"),"repasse.cef.obra",
INDIRECT("tb_rec_uni[empresa]"),CP$6)</f>
        <v>0</v>
      </c>
      <c r="CQ55" s="120">
        <f ca="1">SUMIFS(tb_rec_uni[2025-05-01],
INDIRECT("tb_rec_uni[natureza]"),"repasse.cef.terreno",
INDIRECT("tb_rec_uni[empresa]"),CQ$6)</f>
        <v>0</v>
      </c>
      <c r="CR55" s="120">
        <v>0</v>
      </c>
      <c r="CS55" s="120">
        <f ca="1">SUMIFS(tb_rec_uni[2025-05-01],
INDIRECT("tb_rec_uni[natureza]"),"taxa.extra",
INDIRECT("tb_rec_uni[empresa]"),CS$6)</f>
        <v>0</v>
      </c>
      <c r="CT55" s="108"/>
      <c r="CU55" s="120">
        <f ca="1">SUMIFS(
  m.vb[valor],
  m.vb[nucleo],$CN$1,
  m.vb[variavel],CU$7,
  m.vb[mes],$A55
)</f>
        <v>0</v>
      </c>
      <c r="CV55" s="120" cm="1">
        <f t="array" ref="CV55">SUMPRODUCT(
  IFERROR(--tb_desp[valor],0)*
  (tb_desp[nucleo]="UP MOVE VILA SONIA")*
  (tb_desp[categoria]=CV$7)*
  (tb_desp[data.pagamento]&gt;=$A55)*
  (tb_desp[data.pagamento]&lt;EOMONTH($A55,0)+1)
)</f>
        <v>0</v>
      </c>
      <c r="CW55" s="120" cm="1">
        <f t="array" ref="CW55">SUMPRODUCT(
  IFERROR(--tb_desp[valor],0)*
  (tb_desp[nucleo]="UP MOVE VILA SONIA")*
  (tb_desp[categoria]=CW$7)*
  (tb_desp[data.pagamento]&gt;=$A55)*
  (tb_desp[data.pagamento]&lt;EOMONTH($A55,0)+1)
)</f>
        <v>0</v>
      </c>
      <c r="CX55" s="120" cm="1">
        <f t="array" ref="CX55">SUMPRODUCT(
  IFERROR(--tb_desp[valor],0)*
  (tb_desp[nucleo]="UP MOVE VILA SONIA")*
  (tb_desp[categoria]=CX$7)*
  (tb_desp[data.pagamento]&gt;=$A55)*
  (tb_desp[data.pagamento]&lt;EOMONTH($A55,0)+1)
)</f>
        <v>0</v>
      </c>
      <c r="CY55" s="122" cm="1">
        <f t="array" ref="CY55">SUMPRODUCT(
  IFERROR(--tb_desp[valor],0)*
  (tb_desp[nucleo]="UP MOVE VILA SONIA")*
  (tb_desp[categoria]=CY$7)*
  (tb_desp[data.pagamento]&gt;=$A55)*
  (tb_desp[data.pagamento]&lt;EOMONTH($A55,0)+1)
)</f>
        <v>0</v>
      </c>
    </row>
    <row r="56" spans="1:103" x14ac:dyDescent="0.25">
      <c r="A56" s="118">
        <v>45809</v>
      </c>
      <c r="B56" s="119">
        <f>COUNTIFS(
    tb_estq[empresa], B$6,
    tb_estq[Data da venda / reserva], "&gt;=" &amp; $A56,
    tb_estq[Data da venda / reserva], "&lt;"  &amp; EOMONTH($A56,0) + 1
)</f>
        <v>0</v>
      </c>
      <c r="C56" s="120">
        <f ca="1">SUMIFS(tb_rec_uni[2025-06-01],
INDIRECT("tb_rec_uni[natureza]"),"pro.soluto",
INDIRECT("tb_rec_uni[empresa]"),C$6)</f>
        <v>0</v>
      </c>
      <c r="D56" s="120">
        <f ca="1">SUMIFS(tb_rec_uni[2025-06-01],
INDIRECT("tb_rec_uni[natureza]"),"repasse.cef.obra",
INDIRECT("tb_rec_uni[empresa]"),D$6)</f>
        <v>0</v>
      </c>
      <c r="E56" s="120">
        <f ca="1">SUMIFS(tb_rec_uni[2025-06-01],
INDIRECT("tb_rec_uni[natureza]"),"repasse.cef.terreno",
INDIRECT("tb_rec_uni[empresa]"),E$6)</f>
        <v>0</v>
      </c>
      <c r="F56" s="120">
        <v>289304.8</v>
      </c>
      <c r="G56" s="120">
        <f ca="1">SUMIFS(tb_rec_uni[2025-06-01],
INDIRECT("tb_rec_uni[natureza]"),"taxa.extra",
INDIRECT("tb_rec_uni[empresa]"),G$6)</f>
        <v>0</v>
      </c>
      <c r="H56" s="108"/>
      <c r="I56" s="120">
        <f ca="1">SUMIFS(
  m.vb[valor],
  m.vb[nucleo],$B$1,
  m.vb[variavel],I$7,
  m.vb[mes],$A56
)</f>
        <v>0</v>
      </c>
      <c r="J56" s="120">
        <f ca="1">SUMIFS(
  m.vb[valor],
  m.vb[nucleo],$B$1,
  m.vb[variavel],J$7,
  m.vb[mes],$A56
)</f>
        <v>0</v>
      </c>
      <c r="K56" s="120">
        <f ca="1">SUMIFS(
  m.vb[valor],
  m.vb[nucleo],$B$1,
  m.vb[variavel],K$7,
  m.vb[mes],$A56
)</f>
        <v>0</v>
      </c>
      <c r="L56" s="120">
        <f ca="1">SUMIFS(
  m.vb[valor],
  m.vb[nucleo],$B$1,
  m.vb[variavel],L$7,
  m.vb[mes],$A56
)</f>
        <v>0</v>
      </c>
      <c r="M56" s="121">
        <f ca="1">SUMIFS(
  m.vb[valor],
  m.vb[nucleo],$B$1,
  m.vb[variavel],M$7,
  m.vb[mes],$A56
)</f>
        <v>0</v>
      </c>
      <c r="N56" s="119">
        <f>COUNTIFS(
    tb_estq[empresa], N$6,
    tb_estq[Data da venda / reserva], "&gt;=" &amp; $A56,
    tb_estq[Data da venda / reserva], "&lt;"  &amp; EOMONTH($A56,0) + 1
)</f>
        <v>0</v>
      </c>
      <c r="O56" s="120">
        <f ca="1">SUMIFS(tb_rec_uni[2025-06-01],
INDIRECT("tb_rec_uni[natureza]"),"pro.soluto",
INDIRECT("tb_rec_uni[empresa]"),O$6)</f>
        <v>0</v>
      </c>
      <c r="P56" s="120">
        <f ca="1">SUMIFS(tb_rec_uni[2025-06-01],
INDIRECT("tb_rec_uni[natureza]"),"repasse.cef.obra",
INDIRECT("tb_rec_uni[empresa]"),P$6)</f>
        <v>0</v>
      </c>
      <c r="Q56" s="120">
        <f ca="1">SUMIFS(tb_rec_uni[2025-06-01],
INDIRECT("tb_rec_uni[natureza]"),"repasse.cef.terreno",
INDIRECT("tb_rec_uni[empresa]"),Q$6)</f>
        <v>0</v>
      </c>
      <c r="R56" s="120">
        <v>0</v>
      </c>
      <c r="S56" s="120">
        <f ca="1">SUMIFS(tb_rec_uni[2025-06-01],
INDIRECT("tb_rec_uni[natureza]"),"taxa.extra",
INDIRECT("tb_rec_uni[empresa]"),S$6)</f>
        <v>0</v>
      </c>
      <c r="T56" s="108"/>
      <c r="U56" s="120">
        <f ca="1">SUMIFS(
  m.vb[valor],
  m.vb[nucleo],$N$1,
  m.vb[variavel],U$7,
  m.vb[mes],$A56
)</f>
        <v>0</v>
      </c>
      <c r="V56" s="120">
        <f ca="1">SUMIFS(
  m.vb[valor],
  m.vb[nucleo],$N$1,
  m.vb[variavel],V$7,
  m.vb[mes],$A56
)</f>
        <v>0</v>
      </c>
      <c r="W56" s="120">
        <f ca="1">SUMIFS(
  m.vb[valor],
  m.vb[nucleo],$N$1,
  m.vb[variavel],W$7,
  m.vb[mes],$A56
)</f>
        <v>0</v>
      </c>
      <c r="X56" s="120">
        <f ca="1">SUMIFS(
  m.vb[valor],
  m.vb[nucleo],$N$1,
  m.vb[variavel],X$7,
  m.vb[mes],$A56
)</f>
        <v>0</v>
      </c>
      <c r="Y56" s="121">
        <f ca="1">SUMIFS(
  m.vb[valor],
  m.vb[nucleo],$N$1,
  m.vb[variavel],Y$7,
  m.vb[mes],$A56
)</f>
        <v>0</v>
      </c>
      <c r="Z56" s="119">
        <f>COUNTIFS(
    tb_estq[empresa], Z$6,
    tb_estq[Data da venda / reserva], "&gt;=" &amp; $A56,
    tb_estq[Data da venda / reserva], "&lt;"  &amp; EOMONTH($A56,0) + 1
)</f>
        <v>0</v>
      </c>
      <c r="AA56" s="120">
        <f ca="1">SUMIFS(tb_rec_uni[2025-06-01],
INDIRECT("tb_rec_uni[natureza]"),"pro.soluto",
INDIRECT("tb_rec_uni[empresa]"),AA$6)</f>
        <v>0</v>
      </c>
      <c r="AB56" s="120">
        <f ca="1">SUMIFS(tb_rec_uni[2025-06-01],
INDIRECT("tb_rec_uni[natureza]"),"parcela.fin.total.ik",
INDIRECT("tb_rec_uni[empresa]"),AB$6)</f>
        <v>0</v>
      </c>
      <c r="AC56" s="120">
        <f ca="1">SUMIFS(tb_rec_uni[2025-06-01],
INDIRECT("tb_rec_uni[natureza]"),"taxa.extra",
INDIRECT("tb_rec_uni[empresa]"),AC$6)</f>
        <v>0</v>
      </c>
      <c r="AD56" s="108"/>
      <c r="AE56" s="120">
        <f ca="1">SUMIFS(
  m.vb[valor],
  m.vb[nucleo],$Z$1,
  m.vb[variavel],AE$7,
  m.vb[mes],$A56
)</f>
        <v>0</v>
      </c>
      <c r="AF56" s="120">
        <f ca="1">SUMIFS(
  m.vb[valor],
  m.vb[nucleo],$Z$1,
  m.vb[variavel],AF$7,
  m.vb[mes],$A56
)</f>
        <v>0</v>
      </c>
      <c r="AG56" s="120">
        <f ca="1">SUMIFS(
  m.vb[valor],
  m.vb[nucleo],$Z$1,
  m.vb[variavel],AG$7,
  m.vb[mes],$A56
)</f>
        <v>0</v>
      </c>
      <c r="AH56" s="120">
        <f ca="1">SUMIFS(
  m.vb[valor],
  m.vb[nucleo],$Z$1,
  m.vb[variavel],AH$7,
  m.vb[mes],$A56
)</f>
        <v>0</v>
      </c>
      <c r="AI56" s="121">
        <f ca="1">SUMIFS(
  m.vb[valor],
  m.vb[nucleo],$Z$1,
  m.vb[variavel],AI$7,
  m.vb[mes],$A56
)</f>
        <v>0</v>
      </c>
      <c r="AJ56" s="119">
        <f>COUNTIFS(
    tb_estq[empresa], AJ$6,
    tb_estq[Data da venda / reserva], "&gt;=" &amp; $A56,
    tb_estq[Data da venda / reserva], "&lt;"  &amp; EOMONTH($A56,0) + 1
)</f>
        <v>0</v>
      </c>
      <c r="AK56" s="120">
        <f ca="1">SUMIFS(tb_rec_uni[2025-06-01],
INDIRECT("tb_rec_uni[natureza]"),"pro.soluto",
INDIRECT("tb_rec_uni[empresa]"),AK$6)</f>
        <v>0</v>
      </c>
      <c r="AL56" s="120">
        <f ca="1">SUMIFS(tb_rec_uni[2025-06-01],
INDIRECT("tb_rec_uni[natureza]"),"repasse.cef.obra",
INDIRECT("tb_rec_uni[empresa]"),AL$6)</f>
        <v>0</v>
      </c>
      <c r="AM56" s="120">
        <f ca="1">SUMIFS(tb_rec_uni[2025-06-01],
INDIRECT("tb_rec_uni[natureza]"),"repasse.cef.terreno",
INDIRECT("tb_rec_uni[empresa]"),AM$6)</f>
        <v>0</v>
      </c>
      <c r="AN56" s="120">
        <v>0</v>
      </c>
      <c r="AO56" s="120">
        <f ca="1">SUMIFS(tb_rec_uni[2025-06-01],
INDIRECT("tb_rec_uni[natureza]"),"taxa.extra",
INDIRECT("tb_rec_uni[empresa]"),AO$6)</f>
        <v>0</v>
      </c>
      <c r="AP56" s="108"/>
      <c r="AQ56" s="120">
        <f ca="1">SUMIFS(
  m.vb[valor],
  m.vb[nucleo],$AJ$1,
  m.vb[variavel],AQ$7,
  m.vb[mes],$A56
)</f>
        <v>0</v>
      </c>
      <c r="AR56" s="120">
        <f ca="1">SUMIFS(
  m.vb[valor],
  m.vb[nucleo],$AJ$1,
  m.vb[variavel],AR$7,
  m.vb[mes],$A56
)</f>
        <v>0</v>
      </c>
      <c r="AS56" s="120">
        <f ca="1">SUMIFS(
  m.vb[valor],
  m.vb[nucleo],$AJ$1,
  m.vb[variavel],AS$7,
  m.vb[mes],$A56
)</f>
        <v>0</v>
      </c>
      <c r="AT56" s="120">
        <f ca="1">SUMIFS(
  m.vb[valor],
  m.vb[nucleo],$AJ$1,
  m.vb[variavel],AT$7,
  m.vb[mes],$A56
)</f>
        <v>0</v>
      </c>
      <c r="AU56" s="121">
        <f ca="1">SUMIFS(
  m.vb[valor],
  m.vb[nucleo],$AJ$1,
  m.vb[variavel],AU$7,
  m.vb[mes],$A56
)</f>
        <v>0</v>
      </c>
      <c r="AV56" s="119">
        <f>COUNTIFS(
    tb_estq[empresa], AV$6,
    tb_estq[Data da venda / reserva], "&gt;=" &amp; $A56,
    tb_estq[Data da venda / reserva], "&lt;"  &amp; EOMONTH($A56,0) + 1
)</f>
        <v>0</v>
      </c>
      <c r="AW56" s="120">
        <f ca="1">SUMIFS(tb_rec_uni[2025-06-01],
INDIRECT("tb_rec_uni[natureza]"),"pro.soluto",
INDIRECT("tb_rec_uni[empresa]"),AW$6)</f>
        <v>0</v>
      </c>
      <c r="AX56" s="120">
        <f ca="1">SUMIFS(tb_rec_uni[2025-06-01],
INDIRECT("tb_rec_uni[natureza]"),"repasse.cef.obra",
INDIRECT("tb_rec_uni[empresa]"),AX$6)</f>
        <v>0</v>
      </c>
      <c r="AY56" s="120">
        <f ca="1">SUMIFS(tb_rec_uni[2025-06-01],
INDIRECT("tb_rec_uni[natureza]"),"repasse.cef.terreno",
INDIRECT("tb_rec_uni[empresa]"),AY$6)</f>
        <v>0</v>
      </c>
      <c r="AZ56" s="120">
        <v>0</v>
      </c>
      <c r="BA56" s="120">
        <f ca="1">SUMIFS(tb_rec_uni[2025-06-01],
INDIRECT("tb_rec_uni[natureza]"),"taxa.extra",
INDIRECT("tb_rec_uni[empresa]"),BA$6)</f>
        <v>0</v>
      </c>
      <c r="BB56" s="108"/>
      <c r="BC56" s="120">
        <f ca="1">SUMIFS(
  m.vb[valor],
  m.vb[nucleo],$AV$1,
  m.vb[variavel],BC$7,
  m.vb[mes],$A56
)</f>
        <v>0</v>
      </c>
      <c r="BD56" s="120">
        <f ca="1">SUMIFS(
  m.vb[valor],
  m.vb[nucleo],$AV$1,
  m.vb[variavel],BD$7,
  m.vb[mes],$A56
)</f>
        <v>0</v>
      </c>
      <c r="BE56" s="120">
        <f ca="1">SUMIFS(
  m.vb[valor],
  m.vb[nucleo],$AV$1,
  m.vb[variavel],BE$7,
  m.vb[mes],$A56
)</f>
        <v>0</v>
      </c>
      <c r="BF56" s="120">
        <f ca="1">SUMIFS(
  m.vb[valor],
  m.vb[nucleo],$AV$1,
  m.vb[variavel],BF$7,
  m.vb[mes],$A56
)</f>
        <v>0</v>
      </c>
      <c r="BG56" s="121">
        <f ca="1">SUMIFS(
  m.vb[valor],
  m.vb[nucleo],$AV$1,
  m.vb[variavel],BG$7,
  m.vb[mes],$A56
)</f>
        <v>0</v>
      </c>
      <c r="BH56" s="119">
        <f>COUNTIFS(
    tb_estq[empresa], BH$6,
    tb_estq[Data da venda / reserva], "&gt;=" &amp; $A56,
    tb_estq[Data da venda / reserva], "&lt;"  &amp; EOMONTH($A56,0) + 1
)</f>
        <v>0</v>
      </c>
      <c r="BI56" s="120">
        <f ca="1">SUMIFS(tb_rec_uni[2025-06-01],
INDIRECT("tb_rec_uni[natureza]"),"pro.soluto",
INDIRECT("tb_rec_uni[empresa]"),BI$6)</f>
        <v>0</v>
      </c>
      <c r="BJ56" s="108">
        <f>8.13*94736</f>
        <v>770203.68</v>
      </c>
      <c r="BK56" s="120">
        <f ca="1">SUMIFS(tb_rec_uni[2025-06-01],
INDIRECT("tb_rec_uni[natureza]"),"taxa.extra",
INDIRECT("tb_rec_uni[empresa]"),BK$6)</f>
        <v>0</v>
      </c>
      <c r="BL56" s="108"/>
      <c r="BM56" s="120">
        <f ca="1">SUMIFS(
  m.vb[valor],
  m.vb[nucleo],$BH$1,
  m.vb[variavel],BM$7,
  m.vb[mes],$A56
)</f>
        <v>0</v>
      </c>
      <c r="BN56" s="120">
        <f ca="1">SUMIFS(
  m.vb[valor],
  m.vb[nucleo],$BH$1,
  m.vb[variavel],BN$7,
  m.vb[mes],$A56
)</f>
        <v>0</v>
      </c>
      <c r="BO56" s="120">
        <f ca="1">SUMIFS(
  m.vb[valor],
  m.vb[nucleo],$BH$1,
  m.vb[variavel],BO$7,
  m.vb[mes],$A56
)</f>
        <v>0</v>
      </c>
      <c r="BP56" s="120">
        <f ca="1">SUMIFS(
  m.vb[valor],
  m.vb[nucleo],$BH$1,
  m.vb[variavel],BP$7,
  m.vb[mes],$A56
)</f>
        <v>0</v>
      </c>
      <c r="BQ56" s="121">
        <f ca="1">SUMIFS(
  m.vb[valor],
  m.vb[nucleo],$BH$1,
  m.vb[variavel],BQ$7,
  m.vb[mes],$A56
)</f>
        <v>0</v>
      </c>
      <c r="BR56" s="119">
        <f>COUNTIFS(
    tb_estq[empresa], BR$6,
    tb_estq[Data da venda / reserva], "&gt;=" &amp; $A56,
    tb_estq[Data da venda / reserva], "&lt;"  &amp; EOMONTH($A56,0) + 1
)</f>
        <v>0</v>
      </c>
      <c r="BS56" s="120">
        <f ca="1">SUMIFS(tb_rec_uni[2025-06-01],
INDIRECT("tb_rec_uni[natureza]"),"pro.soluto",
INDIRECT("tb_rec_uni[empresa]"),BS$6)</f>
        <v>0</v>
      </c>
      <c r="BT56" s="120">
        <f ca="1">SUMIFS(tb_rec_uni[2025-06-01],
INDIRECT("tb_rec_uni[natureza]"),"parcela.fin.total.ik",
INDIRECT("tb_rec_uni[empresa]"),BT$6)</f>
        <v>0</v>
      </c>
      <c r="BU56" s="120">
        <f ca="1">SUMIFS(tb_rec_uni[2025-06-01],
INDIRECT("tb_rec_uni[natureza]"),"taxa.extra",
INDIRECT("tb_rec_uni[empresa]"),BU$6)</f>
        <v>0</v>
      </c>
      <c r="BV56" s="108"/>
      <c r="BW56" s="120">
        <f ca="1">SUMIFS(
  m.vb[valor],
  m.vb[nucleo],$BR$1,
  m.vb[variavel],BW$7,
  m.vb[mes],$A56
)</f>
        <v>0</v>
      </c>
      <c r="BX56" s="120">
        <f ca="1">SUMIFS(
  m.vb[valor],
  m.vb[nucleo],$BR$1,
  m.vb[variavel],BX$7,
  m.vb[mes],$A56
)</f>
        <v>0</v>
      </c>
      <c r="BY56" s="120">
        <f ca="1">SUMIFS(
  m.vb[valor],
  m.vb[nucleo],$BR$1,
  m.vb[variavel],BY$7,
  m.vb[mes],$A56
)</f>
        <v>0</v>
      </c>
      <c r="BZ56" s="120">
        <f ca="1">SUMIFS(
  m.vb[valor],
  m.vb[nucleo],$BR$1,
  m.vb[variavel],BZ$7,
  m.vb[mes],$A56
)</f>
        <v>0</v>
      </c>
      <c r="CA56" s="121">
        <f ca="1">SUMIFS(
  m.vb[valor],
  m.vb[nucleo],$BR$1,
  m.vb[variavel],CA$7,
  m.vb[mes],$A56
)</f>
        <v>0</v>
      </c>
      <c r="CB56" s="119">
        <f>COUNTIFS(
    tb_estq[empresa], CB$6,
    tb_estq[Data da venda / reserva], "&gt;=" &amp; $A56,
    tb_estq[Data da venda / reserva], "&lt;"  &amp; EOMONTH($A56,0) + 1
)</f>
        <v>0</v>
      </c>
      <c r="CC56" s="120">
        <f ca="1">SUMIFS(tb_rec_uni[2025-06-01],
INDIRECT("tb_rec_uni[natureza]"),"pro.soluto",
INDIRECT("tb_rec_uni[empresa]"),CC$6)</f>
        <v>0</v>
      </c>
      <c r="CD56" s="120">
        <f ca="1">SUMIFS(tb_rec_uni[2025-06-01],
INDIRECT("tb_rec_uni[natureza]"),"repasse.cef.obra",
INDIRECT("tb_rec_uni[empresa]"),CD$6)</f>
        <v>0</v>
      </c>
      <c r="CE56" s="120">
        <f ca="1">SUMIFS(tb_rec_uni[2025-06-01],
INDIRECT("tb_rec_uni[natureza]"),"repasse.cef.terreno",
INDIRECT("tb_rec_uni[empresa]"),CE$6)</f>
        <v>0</v>
      </c>
      <c r="CF56" s="120">
        <v>0</v>
      </c>
      <c r="CG56" s="120">
        <f ca="1">SUMIFS(tb_rec_uni[2025-06-01],
INDIRECT("tb_rec_uni[natureza]"),"taxa.extra",
INDIRECT("tb_rec_uni[empresa]"),CG$6)</f>
        <v>0</v>
      </c>
      <c r="CH56" s="108"/>
      <c r="CI56" s="120">
        <f ca="1">SUMIFS(
  m.vb[valor],
  m.vb[nucleo],$CB$1,
  m.vb[variavel],CI$7,
  m.vb[mes],$A56
)</f>
        <v>0</v>
      </c>
      <c r="CJ56" s="120">
        <f ca="1">SUMIFS(
  m.vb[valor],
  m.vb[nucleo],$CB$1,
  m.vb[variavel],CJ$7,
  m.vb[mes],$A56
)</f>
        <v>0</v>
      </c>
      <c r="CK56" s="120">
        <f ca="1">SUMIFS(
  m.vb[valor],
  m.vb[nucleo],$CB$1,
  m.vb[variavel],CK$7,
  m.vb[mes],$A56
)</f>
        <v>0</v>
      </c>
      <c r="CL56" s="120">
        <f ca="1">SUMIFS(
  m.vb[valor],
  m.vb[nucleo],$CB$1,
  m.vb[variavel],CL$7,
  m.vb[mes],$A56
)</f>
        <v>0</v>
      </c>
      <c r="CM56" s="121">
        <f ca="1">SUMIFS(
  m.vb[valor],
  m.vb[nucleo],$CB$1,
  m.vb[variavel],CM$7,
  m.vb[mes],$A56
)</f>
        <v>0</v>
      </c>
      <c r="CN56" s="119">
        <f>COUNTIFS(
    tb_estq[empresa], CN$6,
    tb_estq[Data da venda / reserva], "&gt;=" &amp; $A56,
    tb_estq[Data da venda / reserva], "&lt;"  &amp; EOMONTH($A56,0) + 1
)</f>
        <v>0</v>
      </c>
      <c r="CO56" s="120">
        <f ca="1">SUMIFS(tb_rec_uni[2025-06-01],
INDIRECT("tb_rec_uni[natureza]"),"pro.soluto",
INDIRECT("tb_rec_uni[empresa]"),CO$6)</f>
        <v>0</v>
      </c>
      <c r="CP56" s="120">
        <f ca="1">SUMIFS(tb_rec_uni[2025-06-01],
INDIRECT("tb_rec_uni[natureza]"),"repasse.cef.obra",
INDIRECT("tb_rec_uni[empresa]"),CP$6)</f>
        <v>0</v>
      </c>
      <c r="CQ56" s="120">
        <f ca="1">SUMIFS(tb_rec_uni[2025-06-01],
INDIRECT("tb_rec_uni[natureza]"),"repasse.cef.terreno",
INDIRECT("tb_rec_uni[empresa]"),CQ$6)</f>
        <v>0</v>
      </c>
      <c r="CR56" s="120">
        <v>0</v>
      </c>
      <c r="CS56" s="120">
        <f ca="1">SUMIFS(tb_rec_uni[2025-06-01],
INDIRECT("tb_rec_uni[natureza]"),"taxa.extra",
INDIRECT("tb_rec_uni[empresa]"),CS$6)</f>
        <v>0</v>
      </c>
      <c r="CT56" s="108"/>
      <c r="CU56" s="120">
        <f ca="1">SUMIFS(
  m.vb[valor],
  m.vb[nucleo],$CN$1,
  m.vb[variavel],CU$7,
  m.vb[mes],$A56
)</f>
        <v>0</v>
      </c>
      <c r="CV56" s="120" cm="1">
        <f t="array" ref="CV56">SUMPRODUCT(
  IFERROR(--tb_desp[valor],0)*
  (tb_desp[nucleo]="UP MOVE VILA SONIA")*
  (tb_desp[categoria]=CV$7)*
  (tb_desp[data.pagamento]&gt;=$A56)*
  (tb_desp[data.pagamento]&lt;EOMONTH($A56,0)+1)
)</f>
        <v>0</v>
      </c>
      <c r="CW56" s="120" cm="1">
        <f t="array" ref="CW56">SUMPRODUCT(
  IFERROR(--tb_desp[valor],0)*
  (tb_desp[nucleo]="UP MOVE VILA SONIA")*
  (tb_desp[categoria]=CW$7)*
  (tb_desp[data.pagamento]&gt;=$A56)*
  (tb_desp[data.pagamento]&lt;EOMONTH($A56,0)+1)
)</f>
        <v>0</v>
      </c>
      <c r="CX56" s="120" cm="1">
        <f t="array" ref="CX56">SUMPRODUCT(
  IFERROR(--tb_desp[valor],0)*
  (tb_desp[nucleo]="UP MOVE VILA SONIA")*
  (tb_desp[categoria]=CX$7)*
  (tb_desp[data.pagamento]&gt;=$A56)*
  (tb_desp[data.pagamento]&lt;EOMONTH($A56,0)+1)
)</f>
        <v>0</v>
      </c>
      <c r="CY56" s="122" cm="1">
        <f t="array" ref="CY56">SUMPRODUCT(
  IFERROR(--tb_desp[valor],0)*
  (tb_desp[nucleo]="UP MOVE VILA SONIA")*
  (tb_desp[categoria]=CY$7)*
  (tb_desp[data.pagamento]&gt;=$A56)*
  (tb_desp[data.pagamento]&lt;EOMONTH($A56,0)+1)
)</f>
        <v>0</v>
      </c>
    </row>
    <row r="57" spans="1:103" x14ac:dyDescent="0.25">
      <c r="A57" s="118">
        <v>45839</v>
      </c>
      <c r="B57" s="119">
        <f>COUNTIFS(
    tb_estq[empresa], B$6,
    tb_estq[Data da venda / reserva], "&gt;=" &amp; $A57,
    tb_estq[Data da venda / reserva], "&lt;"  &amp; EOMONTH($A57,0) + 1
)</f>
        <v>0</v>
      </c>
      <c r="C57" s="120">
        <f ca="1">SUMIFS(tb_rec_uni[2025-07-01],
INDIRECT("tb_rec_uni[natureza]"),"pro.soluto",
INDIRECT("tb_rec_uni[empresa]"),C$6)</f>
        <v>0</v>
      </c>
      <c r="D57" s="120">
        <f ca="1">SUMIFS(tb_rec_uni[2025-07-01],
INDIRECT("tb_rec_uni[natureza]"),"repasse.cef.obra",
INDIRECT("tb_rec_uni[empresa]"),D$6)</f>
        <v>0</v>
      </c>
      <c r="E57" s="120">
        <f ca="1">SUMIFS(tb_rec_uni[2025-07-01],
INDIRECT("tb_rec_uni[natureza]"),"repasse.cef.terreno",
INDIRECT("tb_rec_uni[empresa]"),E$6)</f>
        <v>0</v>
      </c>
      <c r="F57" s="120">
        <v>171602.91</v>
      </c>
      <c r="G57" s="120">
        <f ca="1">SUMIFS(tb_rec_uni[2025-07-01],
INDIRECT("tb_rec_uni[natureza]"),"taxa.extra",
INDIRECT("tb_rec_uni[empresa]"),G$6)</f>
        <v>0</v>
      </c>
      <c r="H57" s="108"/>
      <c r="I57" s="120">
        <f ca="1">SUMIFS(
  m.vb[valor],
  m.vb[nucleo],$B$1,
  m.vb[variavel],I$7,
  m.vb[mes],$A57
)</f>
        <v>0</v>
      </c>
      <c r="J57" s="120">
        <f ca="1">SUMIFS(
  m.vb[valor],
  m.vb[nucleo],$B$1,
  m.vb[variavel],J$7,
  m.vb[mes],$A57
)</f>
        <v>0</v>
      </c>
      <c r="K57" s="120">
        <f ca="1">SUMIFS(
  m.vb[valor],
  m.vb[nucleo],$B$1,
  m.vb[variavel],K$7,
  m.vb[mes],$A57
)</f>
        <v>0</v>
      </c>
      <c r="L57" s="120">
        <f ca="1">SUMIFS(
  m.vb[valor],
  m.vb[nucleo],$B$1,
  m.vb[variavel],L$7,
  m.vb[mes],$A57
)</f>
        <v>0</v>
      </c>
      <c r="M57" s="121">
        <f ca="1">SUMIFS(
  m.vb[valor],
  m.vb[nucleo],$B$1,
  m.vb[variavel],M$7,
  m.vb[mes],$A57
)</f>
        <v>0</v>
      </c>
      <c r="N57" s="119">
        <f>COUNTIFS(
    tb_estq[empresa], N$6,
    tb_estq[Data da venda / reserva], "&gt;=" &amp; $A57,
    tb_estq[Data da venda / reserva], "&lt;"  &amp; EOMONTH($A57,0) + 1
)</f>
        <v>0</v>
      </c>
      <c r="O57" s="120">
        <f ca="1">SUMIFS(tb_rec_uni[2025-07-01],
INDIRECT("tb_rec_uni[natureza]"),"pro.soluto",
INDIRECT("tb_rec_uni[empresa]"),O$6)</f>
        <v>0</v>
      </c>
      <c r="P57" s="120">
        <f ca="1">SUMIFS(tb_rec_uni[2025-07-01],
INDIRECT("tb_rec_uni[natureza]"),"repasse.cef.obra",
INDIRECT("tb_rec_uni[empresa]"),P$6)</f>
        <v>0</v>
      </c>
      <c r="Q57" s="120">
        <f ca="1">SUMIFS(tb_rec_uni[2025-07-01],
INDIRECT("tb_rec_uni[natureza]"),"repasse.cef.terreno",
INDIRECT("tb_rec_uni[empresa]"),Q$6)</f>
        <v>0</v>
      </c>
      <c r="R57" s="120">
        <v>0</v>
      </c>
      <c r="S57" s="120">
        <f ca="1">SUMIFS(tb_rec_uni[2025-07-01],
INDIRECT("tb_rec_uni[natureza]"),"taxa.extra",
INDIRECT("tb_rec_uni[empresa]"),S$6)</f>
        <v>0</v>
      </c>
      <c r="T57" s="108"/>
      <c r="U57" s="120">
        <f ca="1">SUMIFS(
  m.vb[valor],
  m.vb[nucleo],$N$1,
  m.vb[variavel],U$7,
  m.vb[mes],$A57
)</f>
        <v>0</v>
      </c>
      <c r="V57" s="120">
        <f ca="1">SUMIFS(
  m.vb[valor],
  m.vb[nucleo],$N$1,
  m.vb[variavel],V$7,
  m.vb[mes],$A57
)</f>
        <v>0</v>
      </c>
      <c r="W57" s="120">
        <f ca="1">SUMIFS(
  m.vb[valor],
  m.vb[nucleo],$N$1,
  m.vb[variavel],W$7,
  m.vb[mes],$A57
)</f>
        <v>0</v>
      </c>
      <c r="X57" s="120">
        <f ca="1">SUMIFS(
  m.vb[valor],
  m.vb[nucleo],$N$1,
  m.vb[variavel],X$7,
  m.vb[mes],$A57
)</f>
        <v>0</v>
      </c>
      <c r="Y57" s="121">
        <f ca="1">SUMIFS(
  m.vb[valor],
  m.vb[nucleo],$N$1,
  m.vb[variavel],Y$7,
  m.vb[mes],$A57
)</f>
        <v>0</v>
      </c>
      <c r="Z57" s="119">
        <f>COUNTIFS(
    tb_estq[empresa], Z$6,
    tb_estq[Data da venda / reserva], "&gt;=" &amp; $A57,
    tb_estq[Data da venda / reserva], "&lt;"  &amp; EOMONTH($A57,0) + 1
)</f>
        <v>0</v>
      </c>
      <c r="AA57" s="120">
        <f ca="1">SUMIFS(tb_rec_uni[2025-07-01],
INDIRECT("tb_rec_uni[natureza]"),"pro.soluto",
INDIRECT("tb_rec_uni[empresa]"),AA$6)</f>
        <v>0</v>
      </c>
      <c r="AB57" s="120">
        <f ca="1">SUMIFS(tb_rec_uni[2025-07-01],
INDIRECT("tb_rec_uni[natureza]"),"parcela.fin.total.ik",
INDIRECT("tb_rec_uni[empresa]"),AB$6)</f>
        <v>0</v>
      </c>
      <c r="AC57" s="120">
        <f ca="1">SUMIFS(tb_rec_uni[2025-07-01],
INDIRECT("tb_rec_uni[natureza]"),"taxa.extra",
INDIRECT("tb_rec_uni[empresa]"),AC$6)</f>
        <v>0</v>
      </c>
      <c r="AD57" s="108"/>
      <c r="AE57" s="120">
        <f ca="1">SUMIFS(
  m.vb[valor],
  m.vb[nucleo],$Z$1,
  m.vb[variavel],AE$7,
  m.vb[mes],$A57
)</f>
        <v>0</v>
      </c>
      <c r="AF57" s="120">
        <f ca="1">SUMIFS(
  m.vb[valor],
  m.vb[nucleo],$Z$1,
  m.vb[variavel],AF$7,
  m.vb[mes],$A57
)</f>
        <v>0</v>
      </c>
      <c r="AG57" s="120">
        <f ca="1">SUMIFS(
  m.vb[valor],
  m.vb[nucleo],$Z$1,
  m.vb[variavel],AG$7,
  m.vb[mes],$A57
)</f>
        <v>0</v>
      </c>
      <c r="AH57" s="120">
        <f ca="1">SUMIFS(
  m.vb[valor],
  m.vb[nucleo],$Z$1,
  m.vb[variavel],AH$7,
  m.vb[mes],$A57
)</f>
        <v>0</v>
      </c>
      <c r="AI57" s="121">
        <f ca="1">SUMIFS(
  m.vb[valor],
  m.vb[nucleo],$Z$1,
  m.vb[variavel],AI$7,
  m.vb[mes],$A57
)</f>
        <v>0</v>
      </c>
      <c r="AJ57" s="119">
        <f>COUNTIFS(
    tb_estq[empresa], AJ$6,
    tb_estq[Data da venda / reserva], "&gt;=" &amp; $A57,
    tb_estq[Data da venda / reserva], "&lt;"  &amp; EOMONTH($A57,0) + 1
)</f>
        <v>0</v>
      </c>
      <c r="AK57" s="120">
        <f ca="1">SUMIFS(tb_rec_uni[2025-07-01],
INDIRECT("tb_rec_uni[natureza]"),"pro.soluto",
INDIRECT("tb_rec_uni[empresa]"),AK$6)</f>
        <v>0</v>
      </c>
      <c r="AL57" s="120">
        <f ca="1">SUMIFS(tb_rec_uni[2025-07-01],
INDIRECT("tb_rec_uni[natureza]"),"repasse.cef.obra",
INDIRECT("tb_rec_uni[empresa]"),AL$6)</f>
        <v>0</v>
      </c>
      <c r="AM57" s="120">
        <f ca="1">SUMIFS(tb_rec_uni[2025-07-01],
INDIRECT("tb_rec_uni[natureza]"),"repasse.cef.terreno",
INDIRECT("tb_rec_uni[empresa]"),AM$6)</f>
        <v>0</v>
      </c>
      <c r="AN57" s="120">
        <v>493410.63</v>
      </c>
      <c r="AO57" s="120">
        <f ca="1">SUMIFS(tb_rec_uni[2025-07-01],
INDIRECT("tb_rec_uni[natureza]"),"taxa.extra",
INDIRECT("tb_rec_uni[empresa]"),AO$6)</f>
        <v>0</v>
      </c>
      <c r="AP57" s="108"/>
      <c r="AQ57" s="120">
        <f ca="1">SUMIFS(
  m.vb[valor],
  m.vb[nucleo],$AJ$1,
  m.vb[variavel],AQ$7,
  m.vb[mes],$A57
)</f>
        <v>0</v>
      </c>
      <c r="AR57" s="120">
        <f ca="1">SUMIFS(
  m.vb[valor],
  m.vb[nucleo],$AJ$1,
  m.vb[variavel],AR$7,
  m.vb[mes],$A57
)</f>
        <v>0</v>
      </c>
      <c r="AS57" s="120">
        <f ca="1">SUMIFS(
  m.vb[valor],
  m.vb[nucleo],$AJ$1,
  m.vb[variavel],AS$7,
  m.vb[mes],$A57
)</f>
        <v>0</v>
      </c>
      <c r="AT57" s="120">
        <f ca="1">SUMIFS(
  m.vb[valor],
  m.vb[nucleo],$AJ$1,
  m.vb[variavel],AT$7,
  m.vb[mes],$A57
)</f>
        <v>0</v>
      </c>
      <c r="AU57" s="121">
        <f ca="1">SUMIFS(
  m.vb[valor],
  m.vb[nucleo],$AJ$1,
  m.vb[variavel],AU$7,
  m.vb[mes],$A57
)</f>
        <v>0</v>
      </c>
      <c r="AV57" s="119">
        <f>COUNTIFS(
    tb_estq[empresa], AV$6,
    tb_estq[Data da venda / reserva], "&gt;=" &amp; $A57,
    tb_estq[Data da venda / reserva], "&lt;"  &amp; EOMONTH($A57,0) + 1
)</f>
        <v>0</v>
      </c>
      <c r="AW57" s="120">
        <f ca="1">SUMIFS(tb_rec_uni[2025-07-01],
INDIRECT("tb_rec_uni[natureza]"),"pro.soluto",
INDIRECT("tb_rec_uni[empresa]"),AW$6)</f>
        <v>0</v>
      </c>
      <c r="AX57" s="120">
        <f ca="1">SUMIFS(tb_rec_uni[2025-07-01],
INDIRECT("tb_rec_uni[natureza]"),"repasse.cef.obra",
INDIRECT("tb_rec_uni[empresa]"),AX$6)</f>
        <v>0</v>
      </c>
      <c r="AY57" s="120">
        <f ca="1">SUMIFS(tb_rec_uni[2025-07-01],
INDIRECT("tb_rec_uni[natureza]"),"repasse.cef.terreno",
INDIRECT("tb_rec_uni[empresa]"),AY$6)</f>
        <v>0</v>
      </c>
      <c r="AZ57" s="120">
        <v>0</v>
      </c>
      <c r="BA57" s="120">
        <f ca="1">SUMIFS(tb_rec_uni[2025-07-01],
INDIRECT("tb_rec_uni[natureza]"),"taxa.extra",
INDIRECT("tb_rec_uni[empresa]"),BA$6)</f>
        <v>0</v>
      </c>
      <c r="BB57" s="108"/>
      <c r="BC57" s="120">
        <f ca="1">SUMIFS(
  m.vb[valor],
  m.vb[nucleo],$AV$1,
  m.vb[variavel],BC$7,
  m.vb[mes],$A57
)</f>
        <v>0</v>
      </c>
      <c r="BD57" s="120">
        <f ca="1">SUMIFS(
  m.vb[valor],
  m.vb[nucleo],$AV$1,
  m.vb[variavel],BD$7,
  m.vb[mes],$A57
)</f>
        <v>0</v>
      </c>
      <c r="BE57" s="120">
        <f ca="1">SUMIFS(
  m.vb[valor],
  m.vb[nucleo],$AV$1,
  m.vb[variavel],BE$7,
  m.vb[mes],$A57
)</f>
        <v>0</v>
      </c>
      <c r="BF57" s="120">
        <f ca="1">SUMIFS(
  m.vb[valor],
  m.vb[nucleo],$AV$1,
  m.vb[variavel],BF$7,
  m.vb[mes],$A57
)</f>
        <v>0</v>
      </c>
      <c r="BG57" s="121">
        <f ca="1">SUMIFS(
  m.vb[valor],
  m.vb[nucleo],$AV$1,
  m.vb[variavel],BG$7,
  m.vb[mes],$A57
)</f>
        <v>0</v>
      </c>
      <c r="BH57" s="119">
        <f>COUNTIFS(
    tb_estq[empresa], BH$6,
    tb_estq[Data da venda / reserva], "&gt;=" &amp; $A57,
    tb_estq[Data da venda / reserva], "&lt;"  &amp; EOMONTH($A57,0) + 1
)</f>
        <v>0</v>
      </c>
      <c r="BI57" s="120">
        <f ca="1">SUMIFS(tb_rec_uni[2025-07-01],
INDIRECT("tb_rec_uni[natureza]"),"pro.soluto",
INDIRECT("tb_rec_uni[empresa]"),BI$6)</f>
        <v>0</v>
      </c>
      <c r="BJ57" s="108">
        <f>10.89*94736</f>
        <v>1031675.04</v>
      </c>
      <c r="BK57" s="120">
        <f ca="1">SUMIFS(tb_rec_uni[2025-07-01],
INDIRECT("tb_rec_uni[natureza]"),"taxa.extra",
INDIRECT("tb_rec_uni[empresa]"),BK$6)</f>
        <v>0</v>
      </c>
      <c r="BL57" s="108"/>
      <c r="BM57" s="120">
        <f ca="1">SUMIFS(
  m.vb[valor],
  m.vb[nucleo],$BH$1,
  m.vb[variavel],BM$7,
  m.vb[mes],$A57
)</f>
        <v>0</v>
      </c>
      <c r="BN57" s="120">
        <f ca="1">SUMIFS(
  m.vb[valor],
  m.vb[nucleo],$BH$1,
  m.vb[variavel],BN$7,
  m.vb[mes],$A57
)</f>
        <v>0</v>
      </c>
      <c r="BO57" s="120">
        <f ca="1">SUMIFS(
  m.vb[valor],
  m.vb[nucleo],$BH$1,
  m.vb[variavel],BO$7,
  m.vb[mes],$A57
)</f>
        <v>0</v>
      </c>
      <c r="BP57" s="120">
        <f ca="1">SUMIFS(
  m.vb[valor],
  m.vb[nucleo],$BH$1,
  m.vb[variavel],BP$7,
  m.vb[mes],$A57
)</f>
        <v>0</v>
      </c>
      <c r="BQ57" s="121">
        <f ca="1">SUMIFS(
  m.vb[valor],
  m.vb[nucleo],$BH$1,
  m.vb[variavel],BQ$7,
  m.vb[mes],$A57
)</f>
        <v>0</v>
      </c>
      <c r="BR57" s="119">
        <f>COUNTIFS(
    tb_estq[empresa], BR$6,
    tb_estq[Data da venda / reserva], "&gt;=" &amp; $A57,
    tb_estq[Data da venda / reserva], "&lt;"  &amp; EOMONTH($A57,0) + 1
)</f>
        <v>0</v>
      </c>
      <c r="BS57" s="120">
        <f ca="1">SUMIFS(tb_rec_uni[2025-07-01],
INDIRECT("tb_rec_uni[natureza]"),"pro.soluto",
INDIRECT("tb_rec_uni[empresa]"),BS$6)</f>
        <v>0</v>
      </c>
      <c r="BT57" s="120">
        <f ca="1">SUMIFS(tb_rec_uni[2025-07-01],
INDIRECT("tb_rec_uni[natureza]"),"parcela.fin.total.ik",
INDIRECT("tb_rec_uni[empresa]"),BT$6)</f>
        <v>0</v>
      </c>
      <c r="BU57" s="120">
        <f ca="1">SUMIFS(tb_rec_uni[2025-07-01],
INDIRECT("tb_rec_uni[natureza]"),"taxa.extra",
INDIRECT("tb_rec_uni[empresa]"),BU$6)</f>
        <v>0</v>
      </c>
      <c r="BV57" s="108"/>
      <c r="BW57" s="120">
        <f ca="1">SUMIFS(
  m.vb[valor],
  m.vb[nucleo],$BR$1,
  m.vb[variavel],BW$7,
  m.vb[mes],$A57
)</f>
        <v>0</v>
      </c>
      <c r="BX57" s="120">
        <f ca="1">SUMIFS(
  m.vb[valor],
  m.vb[nucleo],$BR$1,
  m.vb[variavel],BX$7,
  m.vb[mes],$A57
)</f>
        <v>0</v>
      </c>
      <c r="BY57" s="120">
        <f ca="1">SUMIFS(
  m.vb[valor],
  m.vb[nucleo],$BR$1,
  m.vb[variavel],BY$7,
  m.vb[mes],$A57
)</f>
        <v>0</v>
      </c>
      <c r="BZ57" s="120">
        <f ca="1">SUMIFS(
  m.vb[valor],
  m.vb[nucleo],$BR$1,
  m.vb[variavel],BZ$7,
  m.vb[mes],$A57
)</f>
        <v>0</v>
      </c>
      <c r="CA57" s="121">
        <f ca="1">SUMIFS(
  m.vb[valor],
  m.vb[nucleo],$BR$1,
  m.vb[variavel],CA$7,
  m.vb[mes],$A57
)</f>
        <v>0</v>
      </c>
      <c r="CB57" s="119">
        <f>COUNTIFS(
    tb_estq[empresa], CB$6,
    tb_estq[Data da venda / reserva], "&gt;=" &amp; $A57,
    tb_estq[Data da venda / reserva], "&lt;"  &amp; EOMONTH($A57,0) + 1
)</f>
        <v>0</v>
      </c>
      <c r="CC57" s="120">
        <f ca="1">SUMIFS(tb_rec_uni[2025-07-01],
INDIRECT("tb_rec_uni[natureza]"),"pro.soluto",
INDIRECT("tb_rec_uni[empresa]"),CC$6)</f>
        <v>0</v>
      </c>
      <c r="CD57" s="120">
        <f ca="1">SUMIFS(tb_rec_uni[2025-07-01],
INDIRECT("tb_rec_uni[natureza]"),"repasse.cef.obra",
INDIRECT("tb_rec_uni[empresa]"),CD$6)</f>
        <v>0</v>
      </c>
      <c r="CE57" s="120">
        <f ca="1">SUMIFS(tb_rec_uni[2025-07-01],
INDIRECT("tb_rec_uni[natureza]"),"repasse.cef.terreno",
INDIRECT("tb_rec_uni[empresa]"),CE$6)</f>
        <v>0</v>
      </c>
      <c r="CF57" s="120">
        <v>504350.63</v>
      </c>
      <c r="CG57" s="120">
        <f ca="1">SUMIFS(tb_rec_uni[2025-07-01],
INDIRECT("tb_rec_uni[natureza]"),"taxa.extra",
INDIRECT("tb_rec_uni[empresa]"),CG$6)</f>
        <v>0</v>
      </c>
      <c r="CH57" s="108"/>
      <c r="CI57" s="120">
        <f ca="1">SUMIFS(
  m.vb[valor],
  m.vb[nucleo],$CB$1,
  m.vb[variavel],CI$7,
  m.vb[mes],$A57
)</f>
        <v>0</v>
      </c>
      <c r="CJ57" s="120">
        <f ca="1">SUMIFS(
  m.vb[valor],
  m.vb[nucleo],$CB$1,
  m.vb[variavel],CJ$7,
  m.vb[mes],$A57
)</f>
        <v>0</v>
      </c>
      <c r="CK57" s="120">
        <f ca="1">SUMIFS(
  m.vb[valor],
  m.vb[nucleo],$CB$1,
  m.vb[variavel],CK$7,
  m.vb[mes],$A57
)</f>
        <v>0</v>
      </c>
      <c r="CL57" s="120">
        <f ca="1">SUMIFS(
  m.vb[valor],
  m.vb[nucleo],$CB$1,
  m.vb[variavel],CL$7,
  m.vb[mes],$A57
)</f>
        <v>0</v>
      </c>
      <c r="CM57" s="121">
        <f ca="1">SUMIFS(
  m.vb[valor],
  m.vb[nucleo],$CB$1,
  m.vb[variavel],CM$7,
  m.vb[mes],$A57
)</f>
        <v>0</v>
      </c>
      <c r="CN57" s="119">
        <f>COUNTIFS(
    tb_estq[empresa], CN$6,
    tb_estq[Data da venda / reserva], "&gt;=" &amp; $A57,
    tb_estq[Data da venda / reserva], "&lt;"  &amp; EOMONTH($A57,0) + 1
)</f>
        <v>0</v>
      </c>
      <c r="CO57" s="120">
        <f ca="1">SUMIFS(tb_rec_uni[2025-07-01],
INDIRECT("tb_rec_uni[natureza]"),"pro.soluto",
INDIRECT("tb_rec_uni[empresa]"),CO$6)</f>
        <v>0</v>
      </c>
      <c r="CP57" s="120">
        <f ca="1">SUMIFS(tb_rec_uni[2025-07-01],
INDIRECT("tb_rec_uni[natureza]"),"repasse.cef.obra",
INDIRECT("tb_rec_uni[empresa]"),CP$6)</f>
        <v>0</v>
      </c>
      <c r="CQ57" s="120">
        <f ca="1">SUMIFS(tb_rec_uni[2025-07-01],
INDIRECT("tb_rec_uni[natureza]"),"repasse.cef.terreno",
INDIRECT("tb_rec_uni[empresa]"),CQ$6)</f>
        <v>0</v>
      </c>
      <c r="CR57" s="120">
        <v>0</v>
      </c>
      <c r="CS57" s="120">
        <f ca="1">SUMIFS(tb_rec_uni[2025-07-01],
INDIRECT("tb_rec_uni[natureza]"),"taxa.extra",
INDIRECT("tb_rec_uni[empresa]"),CS$6)</f>
        <v>0</v>
      </c>
      <c r="CT57" s="108"/>
      <c r="CU57" s="120">
        <f ca="1">SUMIFS(
  m.vb[valor],
  m.vb[nucleo],$CN$1,
  m.vb[variavel],CU$7,
  m.vb[mes],$A57
)</f>
        <v>0</v>
      </c>
      <c r="CV57" s="120" cm="1">
        <f t="array" ref="CV57">SUMPRODUCT(
  IFERROR(--tb_desp[valor],0)*
  (tb_desp[nucleo]="UP MOVE VILA SONIA")*
  (tb_desp[categoria]=CV$7)*
  (tb_desp[data.pagamento]&gt;=$A57)*
  (tb_desp[data.pagamento]&lt;EOMONTH($A57,0)+1)
)</f>
        <v>0</v>
      </c>
      <c r="CW57" s="120" cm="1">
        <f t="array" ref="CW57">SUMPRODUCT(
  IFERROR(--tb_desp[valor],0)*
  (tb_desp[nucleo]="UP MOVE VILA SONIA")*
  (tb_desp[categoria]=CW$7)*
  (tb_desp[data.pagamento]&gt;=$A57)*
  (tb_desp[data.pagamento]&lt;EOMONTH($A57,0)+1)
)</f>
        <v>0</v>
      </c>
      <c r="CX57" s="120" cm="1">
        <f t="array" ref="CX57">SUMPRODUCT(
  IFERROR(--tb_desp[valor],0)*
  (tb_desp[nucleo]="UP MOVE VILA SONIA")*
  (tb_desp[categoria]=CX$7)*
  (tb_desp[data.pagamento]&gt;=$A57)*
  (tb_desp[data.pagamento]&lt;EOMONTH($A57,0)+1)
)</f>
        <v>0</v>
      </c>
      <c r="CY57" s="122" cm="1">
        <f t="array" ref="CY57">SUMPRODUCT(
  IFERROR(--tb_desp[valor],0)*
  (tb_desp[nucleo]="UP MOVE VILA SONIA")*
  (tb_desp[categoria]=CY$7)*
  (tb_desp[data.pagamento]&gt;=$A57)*
  (tb_desp[data.pagamento]&lt;EOMONTH($A57,0)+1)
)</f>
        <v>0</v>
      </c>
    </row>
    <row r="58" spans="1:103" x14ac:dyDescent="0.25">
      <c r="A58" s="118">
        <v>45870</v>
      </c>
      <c r="B58" s="119">
        <f>COUNTIFS(
    tb_estq[empresa], B$6,
    tb_estq[Data da venda / reserva], "&gt;=" &amp; $A58,
    tb_estq[Data da venda / reserva], "&lt;"  &amp; EOMONTH($A58,0) + 1
)</f>
        <v>0</v>
      </c>
      <c r="C58" s="120">
        <f ca="1">SUMIFS(tb_rec_uni[2025-08-01],
INDIRECT("tb_rec_uni[natureza]"),"pro.soluto",
INDIRECT("tb_rec_uni[empresa]"),C$6)</f>
        <v>0</v>
      </c>
      <c r="D58" s="120">
        <f ca="1">SUMIFS(tb_rec_uni[2025-08-01],
INDIRECT("tb_rec_uni[natureza]"),"repasse.cef.obra",
INDIRECT("tb_rec_uni[empresa]"),D$6)</f>
        <v>0</v>
      </c>
      <c r="E58" s="120">
        <f ca="1">SUMIFS(tb_rec_uni[2025-08-01],
INDIRECT("tb_rec_uni[natureza]"),"repasse.cef.terreno",
INDIRECT("tb_rec_uni[empresa]"),E$6)</f>
        <v>0</v>
      </c>
      <c r="F58" s="120">
        <v>366306.04</v>
      </c>
      <c r="G58" s="120">
        <f ca="1">SUMIFS(tb_rec_uni[2025-08-01],
INDIRECT("tb_rec_uni[natureza]"),"taxa.extra",
INDIRECT("tb_rec_uni[empresa]"),G$6)</f>
        <v>0</v>
      </c>
      <c r="H58" s="108"/>
      <c r="I58" s="120">
        <f ca="1">SUMIFS(
  m.vb[valor],
  m.vb[nucleo],$B$1,
  m.vb[variavel],I$7,
  m.vb[mes],$A58
)</f>
        <v>0</v>
      </c>
      <c r="J58" s="120">
        <f ca="1">SUMIFS(
  m.vb[valor],
  m.vb[nucleo],$B$1,
  m.vb[variavel],J$7,
  m.vb[mes],$A58
)</f>
        <v>0</v>
      </c>
      <c r="K58" s="120">
        <f ca="1">SUMIFS(
  m.vb[valor],
  m.vb[nucleo],$B$1,
  m.vb[variavel],K$7,
  m.vb[mes],$A58
)</f>
        <v>0</v>
      </c>
      <c r="L58" s="120">
        <f ca="1">SUMIFS(
  m.vb[valor],
  m.vb[nucleo],$B$1,
  m.vb[variavel],L$7,
  m.vb[mes],$A58
)</f>
        <v>0</v>
      </c>
      <c r="M58" s="121">
        <f ca="1">SUMIFS(
  m.vb[valor],
  m.vb[nucleo],$B$1,
  m.vb[variavel],M$7,
  m.vb[mes],$A58
)</f>
        <v>0</v>
      </c>
      <c r="N58" s="119">
        <f>COUNTIFS(
    tb_estq[empresa], N$6,
    tb_estq[Data da venda / reserva], "&gt;=" &amp; $A58,
    tb_estq[Data da venda / reserva], "&lt;"  &amp; EOMONTH($A58,0) + 1
)</f>
        <v>0</v>
      </c>
      <c r="O58" s="120">
        <f ca="1">SUMIFS(tb_rec_uni[2025-08-01],
INDIRECT("tb_rec_uni[natureza]"),"pro.soluto",
INDIRECT("tb_rec_uni[empresa]"),O$6)</f>
        <v>0</v>
      </c>
      <c r="P58" s="120">
        <f ca="1">SUMIFS(tb_rec_uni[2025-08-01],
INDIRECT("tb_rec_uni[natureza]"),"repasse.cef.obra",
INDIRECT("tb_rec_uni[empresa]"),P$6)</f>
        <v>0</v>
      </c>
      <c r="Q58" s="120">
        <f ca="1">SUMIFS(tb_rec_uni[2025-08-01],
INDIRECT("tb_rec_uni[natureza]"),"repasse.cef.terreno",
INDIRECT("tb_rec_uni[empresa]"),Q$6)</f>
        <v>0</v>
      </c>
      <c r="R58" s="120">
        <v>0</v>
      </c>
      <c r="S58" s="120">
        <f ca="1">SUMIFS(tb_rec_uni[2025-08-01],
INDIRECT("tb_rec_uni[natureza]"),"taxa.extra",
INDIRECT("tb_rec_uni[empresa]"),S$6)</f>
        <v>0</v>
      </c>
      <c r="T58" s="108"/>
      <c r="U58" s="120">
        <f ca="1">SUMIFS(
  m.vb[valor],
  m.vb[nucleo],$N$1,
  m.vb[variavel],U$7,
  m.vb[mes],$A58
)</f>
        <v>0</v>
      </c>
      <c r="V58" s="120">
        <f ca="1">SUMIFS(
  m.vb[valor],
  m.vb[nucleo],$N$1,
  m.vb[variavel],V$7,
  m.vb[mes],$A58
)</f>
        <v>0</v>
      </c>
      <c r="W58" s="120">
        <f ca="1">SUMIFS(
  m.vb[valor],
  m.vb[nucleo],$N$1,
  m.vb[variavel],W$7,
  m.vb[mes],$A58
)</f>
        <v>0</v>
      </c>
      <c r="X58" s="120">
        <f ca="1">SUMIFS(
  m.vb[valor],
  m.vb[nucleo],$N$1,
  m.vb[variavel],X$7,
  m.vb[mes],$A58
)</f>
        <v>0</v>
      </c>
      <c r="Y58" s="121">
        <f ca="1">SUMIFS(
  m.vb[valor],
  m.vb[nucleo],$N$1,
  m.vb[variavel],Y$7,
  m.vb[mes],$A58
)</f>
        <v>0</v>
      </c>
      <c r="Z58" s="119">
        <f>COUNTIFS(
    tb_estq[empresa], Z$6,
    tb_estq[Data da venda / reserva], "&gt;=" &amp; $A58,
    tb_estq[Data da venda / reserva], "&lt;"  &amp; EOMONTH($A58,0) + 1
)</f>
        <v>0</v>
      </c>
      <c r="AA58" s="120">
        <f ca="1">SUMIFS(tb_rec_uni[2025-08-01],
INDIRECT("tb_rec_uni[natureza]"),"pro.soluto",
INDIRECT("tb_rec_uni[empresa]"),AA$6)</f>
        <v>0</v>
      </c>
      <c r="AB58" s="120">
        <f ca="1">SUMIFS(tb_rec_uni[2025-08-01],
INDIRECT("tb_rec_uni[natureza]"),"parcela.fin.total.ik",
INDIRECT("tb_rec_uni[empresa]"),AB$6)</f>
        <v>0</v>
      </c>
      <c r="AC58" s="120">
        <f ca="1">SUMIFS(tb_rec_uni[2025-08-01],
INDIRECT("tb_rec_uni[natureza]"),"taxa.extra",
INDIRECT("tb_rec_uni[empresa]"),AC$6)</f>
        <v>0</v>
      </c>
      <c r="AD58" s="108"/>
      <c r="AE58" s="120">
        <f ca="1">SUMIFS(
  m.vb[valor],
  m.vb[nucleo],$Z$1,
  m.vb[variavel],AE$7,
  m.vb[mes],$A58
)</f>
        <v>0</v>
      </c>
      <c r="AF58" s="120">
        <f ca="1">SUMIFS(
  m.vb[valor],
  m.vb[nucleo],$Z$1,
  m.vb[variavel],AF$7,
  m.vb[mes],$A58
)</f>
        <v>0</v>
      </c>
      <c r="AG58" s="120">
        <f ca="1">SUMIFS(
  m.vb[valor],
  m.vb[nucleo],$Z$1,
  m.vb[variavel],AG$7,
  m.vb[mes],$A58
)</f>
        <v>0</v>
      </c>
      <c r="AH58" s="120">
        <f ca="1">SUMIFS(
  m.vb[valor],
  m.vb[nucleo],$Z$1,
  m.vb[variavel],AH$7,
  m.vb[mes],$A58
)</f>
        <v>0</v>
      </c>
      <c r="AI58" s="121">
        <f ca="1">SUMIFS(
  m.vb[valor],
  m.vb[nucleo],$Z$1,
  m.vb[variavel],AI$7,
  m.vb[mes],$A58
)</f>
        <v>0</v>
      </c>
      <c r="AJ58" s="119">
        <f>COUNTIFS(
    tb_estq[empresa], AJ$6,
    tb_estq[Data da venda / reserva], "&gt;=" &amp; $A58,
    tb_estq[Data da venda / reserva], "&lt;"  &amp; EOMONTH($A58,0) + 1
)</f>
        <v>0</v>
      </c>
      <c r="AK58" s="120">
        <f ca="1">SUMIFS(tb_rec_uni[2025-08-01],
INDIRECT("tb_rec_uni[natureza]"),"pro.soluto",
INDIRECT("tb_rec_uni[empresa]"),AK$6)</f>
        <v>0</v>
      </c>
      <c r="AL58" s="120">
        <f ca="1">SUMIFS(tb_rec_uni[2025-08-01],
INDIRECT("tb_rec_uni[natureza]"),"repasse.cef.obra",
INDIRECT("tb_rec_uni[empresa]"),AL$6)</f>
        <v>0</v>
      </c>
      <c r="AM58" s="120">
        <f ca="1">SUMIFS(tb_rec_uni[2025-08-01],
INDIRECT("tb_rec_uni[natureza]"),"repasse.cef.terreno",
INDIRECT("tb_rec_uni[empresa]"),AM$6)</f>
        <v>0</v>
      </c>
      <c r="AN58" s="120">
        <v>831222.47</v>
      </c>
      <c r="AO58" s="120">
        <f ca="1">SUMIFS(tb_rec_uni[2025-08-01],
INDIRECT("tb_rec_uni[natureza]"),"taxa.extra",
INDIRECT("tb_rec_uni[empresa]"),AO$6)</f>
        <v>0</v>
      </c>
      <c r="AP58" s="108"/>
      <c r="AQ58" s="120">
        <f ca="1">SUMIFS(
  m.vb[valor],
  m.vb[nucleo],$AJ$1,
  m.vb[variavel],AQ$7,
  m.vb[mes],$A58
)</f>
        <v>0</v>
      </c>
      <c r="AR58" s="120">
        <f ca="1">SUMIFS(
  m.vb[valor],
  m.vb[nucleo],$AJ$1,
  m.vb[variavel],AR$7,
  m.vb[mes],$A58
)</f>
        <v>0</v>
      </c>
      <c r="AS58" s="120">
        <f ca="1">SUMIFS(
  m.vb[valor],
  m.vb[nucleo],$AJ$1,
  m.vb[variavel],AS$7,
  m.vb[mes],$A58
)</f>
        <v>0</v>
      </c>
      <c r="AT58" s="120">
        <f ca="1">SUMIFS(
  m.vb[valor],
  m.vb[nucleo],$AJ$1,
  m.vb[variavel],AT$7,
  m.vb[mes],$A58
)</f>
        <v>0</v>
      </c>
      <c r="AU58" s="121">
        <f ca="1">SUMIFS(
  m.vb[valor],
  m.vb[nucleo],$AJ$1,
  m.vb[variavel],AU$7,
  m.vb[mes],$A58
)</f>
        <v>0</v>
      </c>
      <c r="AV58" s="119">
        <f>COUNTIFS(
    tb_estq[empresa], AV$6,
    tb_estq[Data da venda / reserva], "&gt;=" &amp; $A58,
    tb_estq[Data da venda / reserva], "&lt;"  &amp; EOMONTH($A58,0) + 1
)</f>
        <v>0</v>
      </c>
      <c r="AW58" s="120">
        <f ca="1">SUMIFS(tb_rec_uni[2025-08-01],
INDIRECT("tb_rec_uni[natureza]"),"pro.soluto",
INDIRECT("tb_rec_uni[empresa]"),AW$6)</f>
        <v>0</v>
      </c>
      <c r="AX58" s="120">
        <f ca="1">SUMIFS(tb_rec_uni[2025-08-01],
INDIRECT("tb_rec_uni[natureza]"),"repasse.cef.obra",
INDIRECT("tb_rec_uni[empresa]"),AX$6)</f>
        <v>0</v>
      </c>
      <c r="AY58" s="120">
        <f ca="1">SUMIFS(tb_rec_uni[2025-08-01],
INDIRECT("tb_rec_uni[natureza]"),"repasse.cef.terreno",
INDIRECT("tb_rec_uni[empresa]"),AY$6)</f>
        <v>0</v>
      </c>
      <c r="AZ58" s="120">
        <v>0</v>
      </c>
      <c r="BA58" s="120">
        <f ca="1">SUMIFS(tb_rec_uni[2025-08-01],
INDIRECT("tb_rec_uni[natureza]"),"taxa.extra",
INDIRECT("tb_rec_uni[empresa]"),BA$6)</f>
        <v>0</v>
      </c>
      <c r="BB58" s="108"/>
      <c r="BC58" s="120">
        <f ca="1">SUMIFS(
  m.vb[valor],
  m.vb[nucleo],$AV$1,
  m.vb[variavel],BC$7,
  m.vb[mes],$A58
)</f>
        <v>0</v>
      </c>
      <c r="BD58" s="120">
        <f ca="1">SUMIFS(
  m.vb[valor],
  m.vb[nucleo],$AV$1,
  m.vb[variavel],BD$7,
  m.vb[mes],$A58
)</f>
        <v>0</v>
      </c>
      <c r="BE58" s="120">
        <f ca="1">SUMIFS(
  m.vb[valor],
  m.vb[nucleo],$AV$1,
  m.vb[variavel],BE$7,
  m.vb[mes],$A58
)</f>
        <v>0</v>
      </c>
      <c r="BF58" s="120">
        <f ca="1">SUMIFS(
  m.vb[valor],
  m.vb[nucleo],$AV$1,
  m.vb[variavel],BF$7,
  m.vb[mes],$A58
)</f>
        <v>0</v>
      </c>
      <c r="BG58" s="121">
        <f ca="1">SUMIFS(
  m.vb[valor],
  m.vb[nucleo],$AV$1,
  m.vb[variavel],BG$7,
  m.vb[mes],$A58
)</f>
        <v>0</v>
      </c>
      <c r="BH58" s="119">
        <f>COUNTIFS(
    tb_estq[empresa], BH$6,
    tb_estq[Data da venda / reserva], "&gt;=" &amp; $A58,
    tb_estq[Data da venda / reserva], "&lt;"  &amp; EOMONTH($A58,0) + 1
)</f>
        <v>0</v>
      </c>
      <c r="BI58" s="120">
        <f ca="1">SUMIFS(tb_rec_uni[2025-08-01],
INDIRECT("tb_rec_uni[natureza]"),"pro.soluto",
INDIRECT("tb_rec_uni[empresa]"),BI$6)</f>
        <v>0</v>
      </c>
      <c r="BJ58" s="108">
        <f>4.23*94736</f>
        <v>400733.28</v>
      </c>
      <c r="BK58" s="120">
        <f ca="1">SUMIFS(tb_rec_uni[2025-08-01],
INDIRECT("tb_rec_uni[natureza]"),"taxa.extra",
INDIRECT("tb_rec_uni[empresa]"),BK$6)</f>
        <v>0</v>
      </c>
      <c r="BL58" s="108"/>
      <c r="BM58" s="120">
        <f ca="1">SUMIFS(
  m.vb[valor],
  m.vb[nucleo],$BH$1,
  m.vb[variavel],BM$7,
  m.vb[mes],$A58
)</f>
        <v>0</v>
      </c>
      <c r="BN58" s="120">
        <f ca="1">SUMIFS(
  m.vb[valor],
  m.vb[nucleo],$BH$1,
  m.vb[variavel],BN$7,
  m.vb[mes],$A58
)</f>
        <v>0</v>
      </c>
      <c r="BO58" s="120">
        <f ca="1">SUMIFS(
  m.vb[valor],
  m.vb[nucleo],$BH$1,
  m.vb[variavel],BO$7,
  m.vb[mes],$A58
)</f>
        <v>0</v>
      </c>
      <c r="BP58" s="120">
        <f ca="1">SUMIFS(
  m.vb[valor],
  m.vb[nucleo],$BH$1,
  m.vb[variavel],BP$7,
  m.vb[mes],$A58
)</f>
        <v>0</v>
      </c>
      <c r="BQ58" s="121">
        <f ca="1">SUMIFS(
  m.vb[valor],
  m.vb[nucleo],$BH$1,
  m.vb[variavel],BQ$7,
  m.vb[mes],$A58
)</f>
        <v>0</v>
      </c>
      <c r="BR58" s="119">
        <f>COUNTIFS(
    tb_estq[empresa], BR$6,
    tb_estq[Data da venda / reserva], "&gt;=" &amp; $A58,
    tb_estq[Data da venda / reserva], "&lt;"  &amp; EOMONTH($A58,0) + 1
)</f>
        <v>0</v>
      </c>
      <c r="BS58" s="120">
        <f ca="1">SUMIFS(tb_rec_uni[2025-08-01],
INDIRECT("tb_rec_uni[natureza]"),"pro.soluto",
INDIRECT("tb_rec_uni[empresa]"),BS$6)</f>
        <v>0</v>
      </c>
      <c r="BT58" s="120">
        <f ca="1">SUMIFS(tb_rec_uni[2025-08-01],
INDIRECT("tb_rec_uni[natureza]"),"parcela.fin.total.ik",
INDIRECT("tb_rec_uni[empresa]"),BT$6)</f>
        <v>0</v>
      </c>
      <c r="BU58" s="120">
        <f ca="1">SUMIFS(tb_rec_uni[2025-08-01],
INDIRECT("tb_rec_uni[natureza]"),"taxa.extra",
INDIRECT("tb_rec_uni[empresa]"),BU$6)</f>
        <v>0</v>
      </c>
      <c r="BV58" s="108"/>
      <c r="BW58" s="120">
        <f ca="1">SUMIFS(
  m.vb[valor],
  m.vb[nucleo],$BR$1,
  m.vb[variavel],BW$7,
  m.vb[mes],$A58
)</f>
        <v>0</v>
      </c>
      <c r="BX58" s="120">
        <f ca="1">SUMIFS(
  m.vb[valor],
  m.vb[nucleo],$BR$1,
  m.vb[variavel],BX$7,
  m.vb[mes],$A58
)</f>
        <v>0</v>
      </c>
      <c r="BY58" s="120">
        <f ca="1">SUMIFS(
  m.vb[valor],
  m.vb[nucleo],$BR$1,
  m.vb[variavel],BY$7,
  m.vb[mes],$A58
)</f>
        <v>0</v>
      </c>
      <c r="BZ58" s="120">
        <f ca="1">SUMIFS(
  m.vb[valor],
  m.vb[nucleo],$BR$1,
  m.vb[variavel],BZ$7,
  m.vb[mes],$A58
)</f>
        <v>0</v>
      </c>
      <c r="CA58" s="121">
        <f ca="1">SUMIFS(
  m.vb[valor],
  m.vb[nucleo],$BR$1,
  m.vb[variavel],CA$7,
  m.vb[mes],$A58
)</f>
        <v>0</v>
      </c>
      <c r="CB58" s="119">
        <f>COUNTIFS(
    tb_estq[empresa], CB$6,
    tb_estq[Data da venda / reserva], "&gt;=" &amp; $A58,
    tb_estq[Data da venda / reserva], "&lt;"  &amp; EOMONTH($A58,0) + 1
)</f>
        <v>0</v>
      </c>
      <c r="CC58" s="120">
        <f ca="1">SUMIFS(tb_rec_uni[2025-08-01],
INDIRECT("tb_rec_uni[natureza]"),"pro.soluto",
INDIRECT("tb_rec_uni[empresa]"),CC$6)</f>
        <v>0</v>
      </c>
      <c r="CD58" s="120">
        <f ca="1">SUMIFS(tb_rec_uni[2025-08-01],
INDIRECT("tb_rec_uni[natureza]"),"repasse.cef.obra",
INDIRECT("tb_rec_uni[empresa]"),CD$6)</f>
        <v>0</v>
      </c>
      <c r="CE58" s="120">
        <f ca="1">SUMIFS(tb_rec_uni[2025-08-01],
INDIRECT("tb_rec_uni[natureza]"),"repasse.cef.terreno",
INDIRECT("tb_rec_uni[empresa]"),CE$6)</f>
        <v>0</v>
      </c>
      <c r="CF58" s="120">
        <v>249520.85</v>
      </c>
      <c r="CG58" s="120">
        <f ca="1">SUMIFS(tb_rec_uni[2025-08-01],
INDIRECT("tb_rec_uni[natureza]"),"taxa.extra",
INDIRECT("tb_rec_uni[empresa]"),CG$6)</f>
        <v>0</v>
      </c>
      <c r="CH58" s="108"/>
      <c r="CI58" s="120">
        <f ca="1">SUMIFS(
  m.vb[valor],
  m.vb[nucleo],$CB$1,
  m.vb[variavel],CI$7,
  m.vb[mes],$A58
)</f>
        <v>0</v>
      </c>
      <c r="CJ58" s="120">
        <f ca="1">SUMIFS(
  m.vb[valor],
  m.vb[nucleo],$CB$1,
  m.vb[variavel],CJ$7,
  m.vb[mes],$A58
)</f>
        <v>0</v>
      </c>
      <c r="CK58" s="120">
        <f ca="1">SUMIFS(
  m.vb[valor],
  m.vb[nucleo],$CB$1,
  m.vb[variavel],CK$7,
  m.vb[mes],$A58
)</f>
        <v>0</v>
      </c>
      <c r="CL58" s="120">
        <f ca="1">SUMIFS(
  m.vb[valor],
  m.vb[nucleo],$CB$1,
  m.vb[variavel],CL$7,
  m.vb[mes],$A58
)</f>
        <v>0</v>
      </c>
      <c r="CM58" s="121">
        <f ca="1">SUMIFS(
  m.vb[valor],
  m.vb[nucleo],$CB$1,
  m.vb[variavel],CM$7,
  m.vb[mes],$A58
)</f>
        <v>0</v>
      </c>
      <c r="CN58" s="119">
        <f>COUNTIFS(
    tb_estq[empresa], CN$6,
    tb_estq[Data da venda / reserva], "&gt;=" &amp; $A58,
    tb_estq[Data da venda / reserva], "&lt;"  &amp; EOMONTH($A58,0) + 1
)</f>
        <v>0</v>
      </c>
      <c r="CO58" s="120">
        <f ca="1">SUMIFS(tb_rec_uni[2025-08-01],
INDIRECT("tb_rec_uni[natureza]"),"pro.soluto",
INDIRECT("tb_rec_uni[empresa]"),CO$6)</f>
        <v>0</v>
      </c>
      <c r="CP58" s="120">
        <f ca="1">SUMIFS(tb_rec_uni[2025-08-01],
INDIRECT("tb_rec_uni[natureza]"),"repasse.cef.obra",
INDIRECT("tb_rec_uni[empresa]"),CP$6)</f>
        <v>0</v>
      </c>
      <c r="CQ58" s="120">
        <f ca="1">SUMIFS(tb_rec_uni[2025-08-01],
INDIRECT("tb_rec_uni[natureza]"),"repasse.cef.terreno",
INDIRECT("tb_rec_uni[empresa]"),CQ$6)</f>
        <v>0</v>
      </c>
      <c r="CR58" s="120">
        <v>0</v>
      </c>
      <c r="CS58" s="120">
        <f ca="1">SUMIFS(tb_rec_uni[2025-08-01],
INDIRECT("tb_rec_uni[natureza]"),"taxa.extra",
INDIRECT("tb_rec_uni[empresa]"),CS$6)</f>
        <v>0</v>
      </c>
      <c r="CT58" s="108"/>
      <c r="CU58" s="120">
        <f ca="1">SUMIFS(
  m.vb[valor],
  m.vb[nucleo],$CN$1,
  m.vb[variavel],CU$7,
  m.vb[mes],$A58
)</f>
        <v>0</v>
      </c>
      <c r="CV58" s="120" cm="1">
        <f t="array" ref="CV58">SUMPRODUCT(
  IFERROR(--tb_desp[valor],0)*
  (tb_desp[nucleo]="UP MOVE VILA SONIA")*
  (tb_desp[categoria]=CV$7)*
  (tb_desp[data.pagamento]&gt;=$A58)*
  (tb_desp[data.pagamento]&lt;EOMONTH($A58,0)+1)
)</f>
        <v>0</v>
      </c>
      <c r="CW58" s="120" cm="1">
        <f t="array" ref="CW58">SUMPRODUCT(
  IFERROR(--tb_desp[valor],0)*
  (tb_desp[nucleo]="UP MOVE VILA SONIA")*
  (tb_desp[categoria]=CW$7)*
  (tb_desp[data.pagamento]&gt;=$A58)*
  (tb_desp[data.pagamento]&lt;EOMONTH($A58,0)+1)
)</f>
        <v>0</v>
      </c>
      <c r="CX58" s="120" cm="1">
        <f t="array" ref="CX58">SUMPRODUCT(
  IFERROR(--tb_desp[valor],0)*
  (tb_desp[nucleo]="UP MOVE VILA SONIA")*
  (tb_desp[categoria]=CX$7)*
  (tb_desp[data.pagamento]&gt;=$A58)*
  (tb_desp[data.pagamento]&lt;EOMONTH($A58,0)+1)
)</f>
        <v>0</v>
      </c>
      <c r="CY58" s="122" cm="1">
        <f t="array" ref="CY58">SUMPRODUCT(
  IFERROR(--tb_desp[valor],0)*
  (tb_desp[nucleo]="UP MOVE VILA SONIA")*
  (tb_desp[categoria]=CY$7)*
  (tb_desp[data.pagamento]&gt;=$A58)*
  (tb_desp[data.pagamento]&lt;EOMONTH($A58,0)+1)
)</f>
        <v>0</v>
      </c>
    </row>
    <row r="59" spans="1:103" x14ac:dyDescent="0.25">
      <c r="A59" s="118">
        <v>45901</v>
      </c>
      <c r="B59" s="119">
        <f>COUNTIFS(
    tb_estq[empresa], B$6,
    tb_estq[Data da venda / reserva], "&gt;=" &amp; $A59,
    tb_estq[Data da venda / reserva], "&lt;"  &amp; EOMONTH($A59,0) + 1
)</f>
        <v>0</v>
      </c>
      <c r="C59" s="120">
        <f ca="1">SUMIFS(tb_rec_uni[2025-09-01],
INDIRECT("tb_rec_uni[natureza]"),"pro.soluto",
INDIRECT("tb_rec_uni[empresa]"),C$6)</f>
        <v>0</v>
      </c>
      <c r="D59" s="120">
        <f ca="1">SUMIFS(tb_rec_uni[2025-09-01],
INDIRECT("tb_rec_uni[natureza]"),"repasse.cef.obra",
INDIRECT("tb_rec_uni[empresa]"),D$6)</f>
        <v>0</v>
      </c>
      <c r="E59" s="120">
        <f ca="1">SUMIFS(tb_rec_uni[2025-09-01],
INDIRECT("tb_rec_uni[natureza]"),"repasse.cef.terreno",
INDIRECT("tb_rec_uni[empresa]"),E$6)</f>
        <v>0</v>
      </c>
      <c r="F59" s="120">
        <v>181081.21</v>
      </c>
      <c r="G59" s="120">
        <f ca="1">SUMIFS(tb_rec_uni[2025-09-01],
INDIRECT("tb_rec_uni[natureza]"),"taxa.extra",
INDIRECT("tb_rec_uni[empresa]"),G$6)</f>
        <v>0</v>
      </c>
      <c r="H59" s="108"/>
      <c r="I59" s="120">
        <f ca="1">SUMIFS(
  m.vb[valor],
  m.vb[nucleo],$B$1,
  m.vb[variavel],I$7,
  m.vb[mes],$A59
)</f>
        <v>0</v>
      </c>
      <c r="J59" s="120">
        <f ca="1">SUMIFS(
  m.vb[valor],
  m.vb[nucleo],$B$1,
  m.vb[variavel],J$7,
  m.vb[mes],$A59
)</f>
        <v>0</v>
      </c>
      <c r="K59" s="120">
        <f ca="1">SUMIFS(
  m.vb[valor],
  m.vb[nucleo],$B$1,
  m.vb[variavel],K$7,
  m.vb[mes],$A59
)</f>
        <v>0</v>
      </c>
      <c r="L59" s="120">
        <f ca="1">SUMIFS(
  m.vb[valor],
  m.vb[nucleo],$B$1,
  m.vb[variavel],L$7,
  m.vb[mes],$A59
)</f>
        <v>0</v>
      </c>
      <c r="M59" s="121">
        <f ca="1">SUMIFS(
  m.vb[valor],
  m.vb[nucleo],$B$1,
  m.vb[variavel],M$7,
  m.vb[mes],$A59
)</f>
        <v>0</v>
      </c>
      <c r="N59" s="119">
        <f>COUNTIFS(
    tb_estq[empresa], N$6,
    tb_estq[Data da venda / reserva], "&gt;=" &amp; $A59,
    tb_estq[Data da venda / reserva], "&lt;"  &amp; EOMONTH($A59,0) + 1
)</f>
        <v>0</v>
      </c>
      <c r="O59" s="120">
        <f ca="1">SUMIFS(tb_rec_uni[2025-09-01],
INDIRECT("tb_rec_uni[natureza]"),"pro.soluto",
INDIRECT("tb_rec_uni[empresa]"),O$6)</f>
        <v>0</v>
      </c>
      <c r="P59" s="120">
        <f ca="1">SUMIFS(tb_rec_uni[2025-09-01],
INDIRECT("tb_rec_uni[natureza]"),"repasse.cef.obra",
INDIRECT("tb_rec_uni[empresa]"),P$6)</f>
        <v>0</v>
      </c>
      <c r="Q59" s="120">
        <f ca="1">SUMIFS(tb_rec_uni[2025-09-01],
INDIRECT("tb_rec_uni[natureza]"),"repasse.cef.terreno",
INDIRECT("tb_rec_uni[empresa]"),Q$6)</f>
        <v>0</v>
      </c>
      <c r="R59" s="120">
        <v>0</v>
      </c>
      <c r="S59" s="120">
        <f ca="1">SUMIFS(tb_rec_uni[2025-09-01],
INDIRECT("tb_rec_uni[natureza]"),"taxa.extra",
INDIRECT("tb_rec_uni[empresa]"),S$6)</f>
        <v>0</v>
      </c>
      <c r="T59" s="108"/>
      <c r="U59" s="120">
        <f ca="1">SUMIFS(
  m.vb[valor],
  m.vb[nucleo],$N$1,
  m.vb[variavel],U$7,
  m.vb[mes],$A59
)</f>
        <v>0</v>
      </c>
      <c r="V59" s="120">
        <f ca="1">SUMIFS(
  m.vb[valor],
  m.vb[nucleo],$N$1,
  m.vb[variavel],V$7,
  m.vb[mes],$A59
)</f>
        <v>0</v>
      </c>
      <c r="W59" s="120">
        <f ca="1">SUMIFS(
  m.vb[valor],
  m.vb[nucleo],$N$1,
  m.vb[variavel],W$7,
  m.vb[mes],$A59
)</f>
        <v>0</v>
      </c>
      <c r="X59" s="120">
        <f ca="1">SUMIFS(
  m.vb[valor],
  m.vb[nucleo],$N$1,
  m.vb[variavel],X$7,
  m.vb[mes],$A59
)</f>
        <v>0</v>
      </c>
      <c r="Y59" s="121">
        <f ca="1">SUMIFS(
  m.vb[valor],
  m.vb[nucleo],$N$1,
  m.vb[variavel],Y$7,
  m.vb[mes],$A59
)</f>
        <v>0</v>
      </c>
      <c r="Z59" s="119">
        <f>COUNTIFS(
    tb_estq[empresa], Z$6,
    tb_estq[Data da venda / reserva], "&gt;=" &amp; $A59,
    tb_estq[Data da venda / reserva], "&lt;"  &amp; EOMONTH($A59,0) + 1
)</f>
        <v>0</v>
      </c>
      <c r="AA59" s="120">
        <f ca="1">SUMIFS(tb_rec_uni[2025-09-01],
INDIRECT("tb_rec_uni[natureza]"),"pro.soluto",
INDIRECT("tb_rec_uni[empresa]"),AA$6)</f>
        <v>0</v>
      </c>
      <c r="AB59" s="120">
        <f ca="1">SUMIFS(tb_rec_uni[2025-09-01],
INDIRECT("tb_rec_uni[natureza]"),"parcela.fin.total.ik",
INDIRECT("tb_rec_uni[empresa]"),AB$6)</f>
        <v>0</v>
      </c>
      <c r="AC59" s="120">
        <f ca="1">SUMIFS(tb_rec_uni[2025-09-01],
INDIRECT("tb_rec_uni[natureza]"),"taxa.extra",
INDIRECT("tb_rec_uni[empresa]"),AC$6)</f>
        <v>0</v>
      </c>
      <c r="AD59" s="108"/>
      <c r="AE59" s="120">
        <f ca="1">SUMIFS(
  m.vb[valor],
  m.vb[nucleo],$Z$1,
  m.vb[variavel],AE$7,
  m.vb[mes],$A59
)</f>
        <v>0</v>
      </c>
      <c r="AF59" s="120">
        <f ca="1">SUMIFS(
  m.vb[valor],
  m.vb[nucleo],$Z$1,
  m.vb[variavel],AF$7,
  m.vb[mes],$A59
)</f>
        <v>0</v>
      </c>
      <c r="AG59" s="120">
        <f ca="1">SUMIFS(
  m.vb[valor],
  m.vb[nucleo],$Z$1,
  m.vb[variavel],AG$7,
  m.vb[mes],$A59
)</f>
        <v>0</v>
      </c>
      <c r="AH59" s="120">
        <f ca="1">SUMIFS(
  m.vb[valor],
  m.vb[nucleo],$Z$1,
  m.vb[variavel],AH$7,
  m.vb[mes],$A59
)</f>
        <v>0</v>
      </c>
      <c r="AI59" s="121">
        <f ca="1">SUMIFS(
  m.vb[valor],
  m.vb[nucleo],$Z$1,
  m.vb[variavel],AI$7,
  m.vb[mes],$A59
)</f>
        <v>0</v>
      </c>
      <c r="AJ59" s="119">
        <f>COUNTIFS(
    tb_estq[empresa], AJ$6,
    tb_estq[Data da venda / reserva], "&gt;=" &amp; $A59,
    tb_estq[Data da venda / reserva], "&lt;"  &amp; EOMONTH($A59,0) + 1
)</f>
        <v>0</v>
      </c>
      <c r="AK59" s="120">
        <f ca="1">SUMIFS(tb_rec_uni[2025-09-01],
INDIRECT("tb_rec_uni[natureza]"),"pro.soluto",
INDIRECT("tb_rec_uni[empresa]"),AK$6)</f>
        <v>0</v>
      </c>
      <c r="AL59" s="120">
        <f ca="1">SUMIFS(tb_rec_uni[2025-09-01],
INDIRECT("tb_rec_uni[natureza]"),"repasse.cef.obra",
INDIRECT("tb_rec_uni[empresa]"),AL$6)</f>
        <v>0</v>
      </c>
      <c r="AM59" s="120">
        <f ca="1">SUMIFS(tb_rec_uni[2025-09-01],
INDIRECT("tb_rec_uni[natureza]"),"repasse.cef.terreno",
INDIRECT("tb_rec_uni[empresa]"),AM$6)</f>
        <v>0</v>
      </c>
      <c r="AN59" s="120">
        <v>229516.7</v>
      </c>
      <c r="AO59" s="120">
        <f ca="1">SUMIFS(tb_rec_uni[2025-09-01],
INDIRECT("tb_rec_uni[natureza]"),"taxa.extra",
INDIRECT("tb_rec_uni[empresa]"),AO$6)</f>
        <v>0</v>
      </c>
      <c r="AP59" s="108"/>
      <c r="AQ59" s="120">
        <f ca="1">SUMIFS(
  m.vb[valor],
  m.vb[nucleo],$AJ$1,
  m.vb[variavel],AQ$7,
  m.vb[mes],$A59
)</f>
        <v>0</v>
      </c>
      <c r="AR59" s="120">
        <f ca="1">SUMIFS(
  m.vb[valor],
  m.vb[nucleo],$AJ$1,
  m.vb[variavel],AR$7,
  m.vb[mes],$A59
)</f>
        <v>0</v>
      </c>
      <c r="AS59" s="120">
        <f ca="1">SUMIFS(
  m.vb[valor],
  m.vb[nucleo],$AJ$1,
  m.vb[variavel],AS$7,
  m.vb[mes],$A59
)</f>
        <v>0</v>
      </c>
      <c r="AT59" s="120">
        <f ca="1">SUMIFS(
  m.vb[valor],
  m.vb[nucleo],$AJ$1,
  m.vb[variavel],AT$7,
  m.vb[mes],$A59
)</f>
        <v>0</v>
      </c>
      <c r="AU59" s="121">
        <f ca="1">SUMIFS(
  m.vb[valor],
  m.vb[nucleo],$AJ$1,
  m.vb[variavel],AU$7,
  m.vb[mes],$A59
)</f>
        <v>0</v>
      </c>
      <c r="AV59" s="119">
        <f>COUNTIFS(
    tb_estq[empresa], AV$6,
    tb_estq[Data da venda / reserva], "&gt;=" &amp; $A59,
    tb_estq[Data da venda / reserva], "&lt;"  &amp; EOMONTH($A59,0) + 1
)</f>
        <v>0</v>
      </c>
      <c r="AW59" s="120">
        <f ca="1">SUMIFS(tb_rec_uni[2025-09-01],
INDIRECT("tb_rec_uni[natureza]"),"pro.soluto",
INDIRECT("tb_rec_uni[empresa]"),AW$6)</f>
        <v>0</v>
      </c>
      <c r="AX59" s="120">
        <f ca="1">SUMIFS(tb_rec_uni[2025-09-01],
INDIRECT("tb_rec_uni[natureza]"),"repasse.cef.obra",
INDIRECT("tb_rec_uni[empresa]"),AX$6)</f>
        <v>0</v>
      </c>
      <c r="AY59" s="120">
        <f ca="1">SUMIFS(tb_rec_uni[2025-09-01],
INDIRECT("tb_rec_uni[natureza]"),"repasse.cef.terreno",
INDIRECT("tb_rec_uni[empresa]"),AY$6)</f>
        <v>0</v>
      </c>
      <c r="AZ59" s="120">
        <v>0</v>
      </c>
      <c r="BA59" s="120">
        <f ca="1">SUMIFS(tb_rec_uni[2025-09-01],
INDIRECT("tb_rec_uni[natureza]"),"taxa.extra",
INDIRECT("tb_rec_uni[empresa]"),BA$6)</f>
        <v>0</v>
      </c>
      <c r="BB59" s="108"/>
      <c r="BC59" s="120">
        <f ca="1">SUMIFS(
  m.vb[valor],
  m.vb[nucleo],$AV$1,
  m.vb[variavel],BC$7,
  m.vb[mes],$A59
)</f>
        <v>0</v>
      </c>
      <c r="BD59" s="120">
        <f ca="1">SUMIFS(
  m.vb[valor],
  m.vb[nucleo],$AV$1,
  m.vb[variavel],BD$7,
  m.vb[mes],$A59
)</f>
        <v>0</v>
      </c>
      <c r="BE59" s="120">
        <f ca="1">SUMIFS(
  m.vb[valor],
  m.vb[nucleo],$AV$1,
  m.vb[variavel],BE$7,
  m.vb[mes],$A59
)</f>
        <v>0</v>
      </c>
      <c r="BF59" s="120">
        <f ca="1">SUMIFS(
  m.vb[valor],
  m.vb[nucleo],$AV$1,
  m.vb[variavel],BF$7,
  m.vb[mes],$A59
)</f>
        <v>0</v>
      </c>
      <c r="BG59" s="121">
        <f ca="1">SUMIFS(
  m.vb[valor],
  m.vb[nucleo],$AV$1,
  m.vb[variavel],BG$7,
  m.vb[mes],$A59
)</f>
        <v>0</v>
      </c>
      <c r="BH59" s="119">
        <f>COUNTIFS(
    tb_estq[empresa], BH$6,
    tb_estq[Data da venda / reserva], "&gt;=" &amp; $A59,
    tb_estq[Data da venda / reserva], "&lt;"  &amp; EOMONTH($A59,0) + 1
)</f>
        <v>0</v>
      </c>
      <c r="BI59" s="120">
        <f ca="1">SUMIFS(tb_rec_uni[2025-09-01],
INDIRECT("tb_rec_uni[natureza]"),"pro.soluto",
INDIRECT("tb_rec_uni[empresa]"),BI$6)</f>
        <v>0</v>
      </c>
      <c r="BJ59" s="108">
        <f>3.65*94736</f>
        <v>345786.39999999997</v>
      </c>
      <c r="BK59" s="120">
        <f ca="1">SUMIFS(tb_rec_uni[2025-09-01],
INDIRECT("tb_rec_uni[natureza]"),"taxa.extra",
INDIRECT("tb_rec_uni[empresa]"),BK$6)</f>
        <v>0</v>
      </c>
      <c r="BL59" s="108"/>
      <c r="BM59" s="120">
        <f ca="1">SUMIFS(
  m.vb[valor],
  m.vb[nucleo],$BH$1,
  m.vb[variavel],BM$7,
  m.vb[mes],$A59
)</f>
        <v>0</v>
      </c>
      <c r="BN59" s="120">
        <f ca="1">SUMIFS(
  m.vb[valor],
  m.vb[nucleo],$BH$1,
  m.vb[variavel],BN$7,
  m.vb[mes],$A59
)</f>
        <v>0</v>
      </c>
      <c r="BO59" s="120">
        <f ca="1">SUMIFS(
  m.vb[valor],
  m.vb[nucleo],$BH$1,
  m.vb[variavel],BO$7,
  m.vb[mes],$A59
)</f>
        <v>0</v>
      </c>
      <c r="BP59" s="120">
        <f ca="1">SUMIFS(
  m.vb[valor],
  m.vb[nucleo],$BH$1,
  m.vb[variavel],BP$7,
  m.vb[mes],$A59
)</f>
        <v>0</v>
      </c>
      <c r="BQ59" s="121">
        <f ca="1">SUMIFS(
  m.vb[valor],
  m.vb[nucleo],$BH$1,
  m.vb[variavel],BQ$7,
  m.vb[mes],$A59
)</f>
        <v>0</v>
      </c>
      <c r="BR59" s="119">
        <f>COUNTIFS(
    tb_estq[empresa], BR$6,
    tb_estq[Data da venda / reserva], "&gt;=" &amp; $A59,
    tb_estq[Data da venda / reserva], "&lt;"  &amp; EOMONTH($A59,0) + 1
)</f>
        <v>0</v>
      </c>
      <c r="BS59" s="120">
        <f ca="1">SUMIFS(tb_rec_uni[2025-09-01],
INDIRECT("tb_rec_uni[natureza]"),"pro.soluto",
INDIRECT("tb_rec_uni[empresa]"),BS$6)</f>
        <v>0</v>
      </c>
      <c r="BT59" s="120">
        <f ca="1">SUMIFS(tb_rec_uni[2025-09-01],
INDIRECT("tb_rec_uni[natureza]"),"parcela.fin.total.ik",
INDIRECT("tb_rec_uni[empresa]"),BT$6)</f>
        <v>0</v>
      </c>
      <c r="BU59" s="120">
        <f ca="1">SUMIFS(tb_rec_uni[2025-09-01],
INDIRECT("tb_rec_uni[natureza]"),"taxa.extra",
INDIRECT("tb_rec_uni[empresa]"),BU$6)</f>
        <v>0</v>
      </c>
      <c r="BV59" s="108"/>
      <c r="BW59" s="120">
        <f ca="1">SUMIFS(
  m.vb[valor],
  m.vb[nucleo],$BR$1,
  m.vb[variavel],BW$7,
  m.vb[mes],$A59
)</f>
        <v>0</v>
      </c>
      <c r="BX59" s="120">
        <f ca="1">SUMIFS(
  m.vb[valor],
  m.vb[nucleo],$BR$1,
  m.vb[variavel],BX$7,
  m.vb[mes],$A59
)</f>
        <v>0</v>
      </c>
      <c r="BY59" s="120">
        <f ca="1">SUMIFS(
  m.vb[valor],
  m.vb[nucleo],$BR$1,
  m.vb[variavel],BY$7,
  m.vb[mes],$A59
)</f>
        <v>0</v>
      </c>
      <c r="BZ59" s="120">
        <f ca="1">SUMIFS(
  m.vb[valor],
  m.vb[nucleo],$BR$1,
  m.vb[variavel],BZ$7,
  m.vb[mes],$A59
)</f>
        <v>0</v>
      </c>
      <c r="CA59" s="121">
        <f ca="1">SUMIFS(
  m.vb[valor],
  m.vb[nucleo],$BR$1,
  m.vb[variavel],CA$7,
  m.vb[mes],$A59
)</f>
        <v>0</v>
      </c>
      <c r="CB59" s="119">
        <f>COUNTIFS(
    tb_estq[empresa], CB$6,
    tb_estq[Data da venda / reserva], "&gt;=" &amp; $A59,
    tb_estq[Data da venda / reserva], "&lt;"  &amp; EOMONTH($A59,0) + 1
)</f>
        <v>0</v>
      </c>
      <c r="CC59" s="120">
        <f ca="1">SUMIFS(tb_rec_uni[2025-09-01],
INDIRECT("tb_rec_uni[natureza]"),"pro.soluto",
INDIRECT("tb_rec_uni[empresa]"),CC$6)</f>
        <v>0</v>
      </c>
      <c r="CD59" s="120">
        <f ca="1">SUMIFS(tb_rec_uni[2025-09-01],
INDIRECT("tb_rec_uni[natureza]"),"repasse.cef.obra",
INDIRECT("tb_rec_uni[empresa]"),CD$6)</f>
        <v>0</v>
      </c>
      <c r="CE59" s="120">
        <f ca="1">SUMIFS(tb_rec_uni[2025-09-01],
INDIRECT("tb_rec_uni[natureza]"),"repasse.cef.terreno",
INDIRECT("tb_rec_uni[empresa]"),CE$6)</f>
        <v>0</v>
      </c>
      <c r="CF59" s="120">
        <v>315799.90000000002</v>
      </c>
      <c r="CG59" s="120">
        <f ca="1">SUMIFS(tb_rec_uni[2025-09-01],
INDIRECT("tb_rec_uni[natureza]"),"taxa.extra",
INDIRECT("tb_rec_uni[empresa]"),CG$6)</f>
        <v>0</v>
      </c>
      <c r="CH59" s="108"/>
      <c r="CI59" s="120">
        <f ca="1">SUMIFS(
  m.vb[valor],
  m.vb[nucleo],$CB$1,
  m.vb[variavel],CI$7,
  m.vb[mes],$A59
)</f>
        <v>0</v>
      </c>
      <c r="CJ59" s="120">
        <f ca="1">SUMIFS(
  m.vb[valor],
  m.vb[nucleo],$CB$1,
  m.vb[variavel],CJ$7,
  m.vb[mes],$A59
)</f>
        <v>0</v>
      </c>
      <c r="CK59" s="120">
        <f ca="1">SUMIFS(
  m.vb[valor],
  m.vb[nucleo],$CB$1,
  m.vb[variavel],CK$7,
  m.vb[mes],$A59
)</f>
        <v>0</v>
      </c>
      <c r="CL59" s="120">
        <f ca="1">SUMIFS(
  m.vb[valor],
  m.vb[nucleo],$CB$1,
  m.vb[variavel],CL$7,
  m.vb[mes],$A59
)</f>
        <v>0</v>
      </c>
      <c r="CM59" s="121">
        <f ca="1">SUMIFS(
  m.vb[valor],
  m.vb[nucleo],$CB$1,
  m.vb[variavel],CM$7,
  m.vb[mes],$A59
)</f>
        <v>0</v>
      </c>
      <c r="CN59" s="119">
        <f>COUNTIFS(
    tb_estq[empresa], CN$6,
    tb_estq[Data da venda / reserva], "&gt;=" &amp; $A59,
    tb_estq[Data da venda / reserva], "&lt;"  &amp; EOMONTH($A59,0) + 1
)</f>
        <v>0</v>
      </c>
      <c r="CO59" s="120">
        <f ca="1">SUMIFS(tb_rec_uni[2025-09-01],
INDIRECT("tb_rec_uni[natureza]"),"pro.soluto",
INDIRECT("tb_rec_uni[empresa]"),CO$6)</f>
        <v>0</v>
      </c>
      <c r="CP59" s="120">
        <f ca="1">SUMIFS(tb_rec_uni[2025-09-01],
INDIRECT("tb_rec_uni[natureza]"),"repasse.cef.obra",
INDIRECT("tb_rec_uni[empresa]"),CP$6)</f>
        <v>0</v>
      </c>
      <c r="CQ59" s="120">
        <f ca="1">SUMIFS(tb_rec_uni[2025-09-01],
INDIRECT("tb_rec_uni[natureza]"),"repasse.cef.terreno",
INDIRECT("tb_rec_uni[empresa]"),CQ$6)</f>
        <v>0</v>
      </c>
      <c r="CR59" s="120">
        <v>0</v>
      </c>
      <c r="CS59" s="120">
        <f ca="1">SUMIFS(tb_rec_uni[2025-09-01],
INDIRECT("tb_rec_uni[natureza]"),"taxa.extra",
INDIRECT("tb_rec_uni[empresa]"),CS$6)</f>
        <v>0</v>
      </c>
      <c r="CT59" s="108"/>
      <c r="CU59" s="120">
        <f ca="1">SUMIFS(
  m.vb[valor],
  m.vb[nucleo],$CN$1,
  m.vb[variavel],CU$7,
  m.vb[mes],$A59
)</f>
        <v>0</v>
      </c>
      <c r="CV59" s="120" cm="1">
        <f t="array" ref="CV59">SUMPRODUCT(
  IFERROR(--tb_desp[valor],0)*
  (tb_desp[nucleo]="UP MOVE VILA SONIA")*
  (tb_desp[categoria]=CV$7)*
  (tb_desp[data.pagamento]&gt;=$A59)*
  (tb_desp[data.pagamento]&lt;EOMONTH($A59,0)+1)
)</f>
        <v>0</v>
      </c>
      <c r="CW59" s="120" cm="1">
        <f t="array" ref="CW59">SUMPRODUCT(
  IFERROR(--tb_desp[valor],0)*
  (tb_desp[nucleo]="UP MOVE VILA SONIA")*
  (tb_desp[categoria]=CW$7)*
  (tb_desp[data.pagamento]&gt;=$A59)*
  (tb_desp[data.pagamento]&lt;EOMONTH($A59,0)+1)
)</f>
        <v>0</v>
      </c>
      <c r="CX59" s="120" cm="1">
        <f t="array" ref="CX59">SUMPRODUCT(
  IFERROR(--tb_desp[valor],0)*
  (tb_desp[nucleo]="UP MOVE VILA SONIA")*
  (tb_desp[categoria]=CX$7)*
  (tb_desp[data.pagamento]&gt;=$A59)*
  (tb_desp[data.pagamento]&lt;EOMONTH($A59,0)+1)
)</f>
        <v>0</v>
      </c>
      <c r="CY59" s="122" cm="1">
        <f t="array" ref="CY59">SUMPRODUCT(
  IFERROR(--tb_desp[valor],0)*
  (tb_desp[nucleo]="UP MOVE VILA SONIA")*
  (tb_desp[categoria]=CY$7)*
  (tb_desp[data.pagamento]&gt;=$A59)*
  (tb_desp[data.pagamento]&lt;EOMONTH($A59,0)+1)
)</f>
        <v>0</v>
      </c>
    </row>
    <row r="60" spans="1:103" x14ac:dyDescent="0.25">
      <c r="A60" s="118">
        <v>45931</v>
      </c>
      <c r="B60" s="119">
        <f>COUNTIFS(
    tb_estq[empresa], B$6,
    tb_estq[Data da venda / reserva], "&gt;=" &amp; $A60,
    tb_estq[Data da venda / reserva], "&lt;"  &amp; EOMONTH($A60,0) + 1
)</f>
        <v>0</v>
      </c>
      <c r="C60" s="120">
        <f ca="1">SUMIFS(tb_rec_uni[2025-10-01],
INDIRECT("tb_rec_uni[natureza]"),"pro.soluto",
INDIRECT("tb_rec_uni[empresa]"),C$6)</f>
        <v>0</v>
      </c>
      <c r="D60" s="120">
        <f ca="1">SUMIFS(tb_rec_uni[2025-10-01],
INDIRECT("tb_rec_uni[natureza]"),"repasse.cef.obra",
INDIRECT("tb_rec_uni[empresa]"),D$6)</f>
        <v>0</v>
      </c>
      <c r="E60" s="120">
        <f ca="1">SUMIFS(tb_rec_uni[2025-10-01],
INDIRECT("tb_rec_uni[natureza]"),"repasse.cef.terreno",
INDIRECT("tb_rec_uni[empresa]"),E$6)</f>
        <v>0</v>
      </c>
      <c r="F60" s="120">
        <v>266613.7</v>
      </c>
      <c r="G60" s="120">
        <f ca="1">SUMIFS(tb_rec_uni[2025-10-01],
INDIRECT("tb_rec_uni[natureza]"),"taxa.extra",
INDIRECT("tb_rec_uni[empresa]"),G$6)</f>
        <v>0</v>
      </c>
      <c r="H60" s="108"/>
      <c r="I60" s="120">
        <f ca="1">SUMIFS(
  m.vb[valor],
  m.vb[nucleo],$B$1,
  m.vb[variavel],I$7,
  m.vb[mes],$A60
)</f>
        <v>0</v>
      </c>
      <c r="J60" s="120">
        <f ca="1">SUMIFS(
  m.vb[valor],
  m.vb[nucleo],$B$1,
  m.vb[variavel],J$7,
  m.vb[mes],$A60
)</f>
        <v>0</v>
      </c>
      <c r="K60" s="120">
        <f ca="1">SUMIFS(
  m.vb[valor],
  m.vb[nucleo],$B$1,
  m.vb[variavel],K$7,
  m.vb[mes],$A60
)</f>
        <v>0</v>
      </c>
      <c r="L60" s="120">
        <f ca="1">SUMIFS(
  m.vb[valor],
  m.vb[nucleo],$B$1,
  m.vb[variavel],L$7,
  m.vb[mes],$A60
)</f>
        <v>0</v>
      </c>
      <c r="M60" s="121">
        <f ca="1">SUMIFS(
  m.vb[valor],
  m.vb[nucleo],$B$1,
  m.vb[variavel],M$7,
  m.vb[mes],$A60
)</f>
        <v>0</v>
      </c>
      <c r="N60" s="119">
        <f>COUNTIFS(
    tb_estq[empresa], N$6,
    tb_estq[Data da venda / reserva], "&gt;=" &amp; $A60,
    tb_estq[Data da venda / reserva], "&lt;"  &amp; EOMONTH($A60,0) + 1
)</f>
        <v>0</v>
      </c>
      <c r="O60" s="120">
        <f ca="1">SUMIFS(tb_rec_uni[2025-10-01],
INDIRECT("tb_rec_uni[natureza]"),"pro.soluto",
INDIRECT("tb_rec_uni[empresa]"),O$6)</f>
        <v>0</v>
      </c>
      <c r="P60" s="120">
        <f ca="1">SUMIFS(tb_rec_uni[2025-10-01],
INDIRECT("tb_rec_uni[natureza]"),"repasse.cef.obra",
INDIRECT("tb_rec_uni[empresa]"),P$6)</f>
        <v>0</v>
      </c>
      <c r="Q60" s="120">
        <f ca="1">SUMIFS(tb_rec_uni[2025-10-01],
INDIRECT("tb_rec_uni[natureza]"),"repasse.cef.terreno",
INDIRECT("tb_rec_uni[empresa]"),Q$6)</f>
        <v>0</v>
      </c>
      <c r="R60" s="120">
        <v>0</v>
      </c>
      <c r="S60" s="120">
        <f ca="1">SUMIFS(tb_rec_uni[2025-10-01],
INDIRECT("tb_rec_uni[natureza]"),"taxa.extra",
INDIRECT("tb_rec_uni[empresa]"),S$6)</f>
        <v>0</v>
      </c>
      <c r="T60" s="108"/>
      <c r="U60" s="120">
        <f ca="1">SUMIFS(
  m.vb[valor],
  m.vb[nucleo],$N$1,
  m.vb[variavel],U$7,
  m.vb[mes],$A60
)</f>
        <v>0</v>
      </c>
      <c r="V60" s="120">
        <f ca="1">SUMIFS(
  m.vb[valor],
  m.vb[nucleo],$N$1,
  m.vb[variavel],V$7,
  m.vb[mes],$A60
)</f>
        <v>0</v>
      </c>
      <c r="W60" s="120">
        <f ca="1">SUMIFS(
  m.vb[valor],
  m.vb[nucleo],$N$1,
  m.vb[variavel],W$7,
  m.vb[mes],$A60
)</f>
        <v>0</v>
      </c>
      <c r="X60" s="120">
        <f ca="1">SUMIFS(
  m.vb[valor],
  m.vb[nucleo],$N$1,
  m.vb[variavel],X$7,
  m.vb[mes],$A60
)</f>
        <v>0</v>
      </c>
      <c r="Y60" s="121">
        <f ca="1">SUMIFS(
  m.vb[valor],
  m.vb[nucleo],$N$1,
  m.vb[variavel],Y$7,
  m.vb[mes],$A60
)</f>
        <v>0</v>
      </c>
      <c r="Z60" s="119">
        <f>COUNTIFS(
    tb_estq[empresa], Z$6,
    tb_estq[Data da venda / reserva], "&gt;=" &amp; $A60,
    tb_estq[Data da venda / reserva], "&lt;"  &amp; EOMONTH($A60,0) + 1
)</f>
        <v>0</v>
      </c>
      <c r="AA60" s="120">
        <f ca="1">SUMIFS(tb_rec_uni[2025-10-01],
INDIRECT("tb_rec_uni[natureza]"),"pro.soluto",
INDIRECT("tb_rec_uni[empresa]"),AA$6)</f>
        <v>0</v>
      </c>
      <c r="AB60" s="120">
        <f ca="1">SUMIFS(tb_rec_uni[2025-10-01],
INDIRECT("tb_rec_uni[natureza]"),"parcela.fin.total.ik",
INDIRECT("tb_rec_uni[empresa]"),AB$6)</f>
        <v>0</v>
      </c>
      <c r="AC60" s="120">
        <f ca="1">SUMIFS(tb_rec_uni[2025-10-01],
INDIRECT("tb_rec_uni[natureza]"),"taxa.extra",
INDIRECT("tb_rec_uni[empresa]"),AC$6)</f>
        <v>0</v>
      </c>
      <c r="AD60" s="108"/>
      <c r="AE60" s="120">
        <f ca="1">SUMIFS(
  m.vb[valor],
  m.vb[nucleo],$Z$1,
  m.vb[variavel],AE$7,
  m.vb[mes],$A60
)</f>
        <v>0</v>
      </c>
      <c r="AF60" s="120">
        <f ca="1">SUMIFS(
  m.vb[valor],
  m.vb[nucleo],$Z$1,
  m.vb[variavel],AF$7,
  m.vb[mes],$A60
)</f>
        <v>0</v>
      </c>
      <c r="AG60" s="120">
        <f ca="1">SUMIFS(
  m.vb[valor],
  m.vb[nucleo],$Z$1,
  m.vb[variavel],AG$7,
  m.vb[mes],$A60
)</f>
        <v>0</v>
      </c>
      <c r="AH60" s="120">
        <f ca="1">SUMIFS(
  m.vb[valor],
  m.vb[nucleo],$Z$1,
  m.vb[variavel],AH$7,
  m.vb[mes],$A60
)</f>
        <v>0</v>
      </c>
      <c r="AI60" s="121">
        <f ca="1">SUMIFS(
  m.vb[valor],
  m.vb[nucleo],$Z$1,
  m.vb[variavel],AI$7,
  m.vb[mes],$A60
)</f>
        <v>0</v>
      </c>
      <c r="AJ60" s="119">
        <f>COUNTIFS(
    tb_estq[empresa], AJ$6,
    tb_estq[Data da venda / reserva], "&gt;=" &amp; $A60,
    tb_estq[Data da venda / reserva], "&lt;"  &amp; EOMONTH($A60,0) + 1
)</f>
        <v>0</v>
      </c>
      <c r="AK60" s="120">
        <f ca="1">SUMIFS(tb_rec_uni[2025-10-01],
INDIRECT("tb_rec_uni[natureza]"),"pro.soluto",
INDIRECT("tb_rec_uni[empresa]"),AK$6)</f>
        <v>0</v>
      </c>
      <c r="AL60" s="120">
        <f ca="1">SUMIFS(tb_rec_uni[2025-10-01],
INDIRECT("tb_rec_uni[natureza]"),"repasse.cef.obra",
INDIRECT("tb_rec_uni[empresa]"),AL$6)</f>
        <v>0</v>
      </c>
      <c r="AM60" s="120">
        <f ca="1">SUMIFS(tb_rec_uni[2025-10-01],
INDIRECT("tb_rec_uni[natureza]"),"repasse.cef.terreno",
INDIRECT("tb_rec_uni[empresa]"),AM$6)</f>
        <v>0</v>
      </c>
      <c r="AN60" s="120">
        <v>314892.83</v>
      </c>
      <c r="AO60" s="120">
        <f ca="1">SUMIFS(tb_rec_uni[2025-10-01],
INDIRECT("tb_rec_uni[natureza]"),"taxa.extra",
INDIRECT("tb_rec_uni[empresa]"),AO$6)</f>
        <v>0</v>
      </c>
      <c r="AP60" s="108"/>
      <c r="AQ60" s="120">
        <f ca="1">SUMIFS(
  m.vb[valor],
  m.vb[nucleo],$AJ$1,
  m.vb[variavel],AQ$7,
  m.vb[mes],$A60
)</f>
        <v>0</v>
      </c>
      <c r="AR60" s="120">
        <f ca="1">SUMIFS(
  m.vb[valor],
  m.vb[nucleo],$AJ$1,
  m.vb[variavel],AR$7,
  m.vb[mes],$A60
)</f>
        <v>0</v>
      </c>
      <c r="AS60" s="120">
        <f ca="1">SUMIFS(
  m.vb[valor],
  m.vb[nucleo],$AJ$1,
  m.vb[variavel],AS$7,
  m.vb[mes],$A60
)</f>
        <v>0</v>
      </c>
      <c r="AT60" s="120">
        <f ca="1">SUMIFS(
  m.vb[valor],
  m.vb[nucleo],$AJ$1,
  m.vb[variavel],AT$7,
  m.vb[mes],$A60
)</f>
        <v>0</v>
      </c>
      <c r="AU60" s="121">
        <f ca="1">SUMIFS(
  m.vb[valor],
  m.vb[nucleo],$AJ$1,
  m.vb[variavel],AU$7,
  m.vb[mes],$A60
)</f>
        <v>0</v>
      </c>
      <c r="AV60" s="119">
        <f>COUNTIFS(
    tb_estq[empresa], AV$6,
    tb_estq[Data da venda / reserva], "&gt;=" &amp; $A60,
    tb_estq[Data da venda / reserva], "&lt;"  &amp; EOMONTH($A60,0) + 1
)</f>
        <v>0</v>
      </c>
      <c r="AW60" s="120">
        <f ca="1">SUMIFS(tb_rec_uni[2025-10-01],
INDIRECT("tb_rec_uni[natureza]"),"pro.soluto",
INDIRECT("tb_rec_uni[empresa]"),AW$6)</f>
        <v>0</v>
      </c>
      <c r="AX60" s="120">
        <f ca="1">SUMIFS(tb_rec_uni[2025-10-01],
INDIRECT("tb_rec_uni[natureza]"),"repasse.cef.obra",
INDIRECT("tb_rec_uni[empresa]"),AX$6)</f>
        <v>0</v>
      </c>
      <c r="AY60" s="120">
        <f ca="1">SUMIFS(tb_rec_uni[2025-10-01],
INDIRECT("tb_rec_uni[natureza]"),"repasse.cef.terreno",
INDIRECT("tb_rec_uni[empresa]"),AY$6)</f>
        <v>0</v>
      </c>
      <c r="AZ60" s="120">
        <v>0</v>
      </c>
      <c r="BA60" s="120">
        <f ca="1">SUMIFS(tb_rec_uni[2025-10-01],
INDIRECT("tb_rec_uni[natureza]"),"taxa.extra",
INDIRECT("tb_rec_uni[empresa]"),BA$6)</f>
        <v>0</v>
      </c>
      <c r="BB60" s="108"/>
      <c r="BC60" s="120">
        <f ca="1">SUMIFS(
  m.vb[valor],
  m.vb[nucleo],$AV$1,
  m.vb[variavel],BC$7,
  m.vb[mes],$A60
)</f>
        <v>0</v>
      </c>
      <c r="BD60" s="120">
        <f ca="1">SUMIFS(
  m.vb[valor],
  m.vb[nucleo],$AV$1,
  m.vb[variavel],BD$7,
  m.vb[mes],$A60
)</f>
        <v>0</v>
      </c>
      <c r="BE60" s="120">
        <f ca="1">SUMIFS(
  m.vb[valor],
  m.vb[nucleo],$AV$1,
  m.vb[variavel],BE$7,
  m.vb[mes],$A60
)</f>
        <v>0</v>
      </c>
      <c r="BF60" s="120">
        <f ca="1">SUMIFS(
  m.vb[valor],
  m.vb[nucleo],$AV$1,
  m.vb[variavel],BF$7,
  m.vb[mes],$A60
)</f>
        <v>0</v>
      </c>
      <c r="BG60" s="121">
        <f ca="1">SUMIFS(
  m.vb[valor],
  m.vb[nucleo],$AV$1,
  m.vb[variavel],BG$7,
  m.vb[mes],$A60
)</f>
        <v>0</v>
      </c>
      <c r="BH60" s="119">
        <f>COUNTIFS(
    tb_estq[empresa], BH$6,
    tb_estq[Data da venda / reserva], "&gt;=" &amp; $A60,
    tb_estq[Data da venda / reserva], "&lt;"  &amp; EOMONTH($A60,0) + 1
)</f>
        <v>0</v>
      </c>
      <c r="BI60" s="120">
        <f ca="1">SUMIFS(tb_rec_uni[2025-10-01],
INDIRECT("tb_rec_uni[natureza]"),"pro.soluto",
INDIRECT("tb_rec_uni[empresa]"),BI$6)</f>
        <v>0</v>
      </c>
      <c r="BJ60" s="108">
        <f>6.57*94736</f>
        <v>622415.52</v>
      </c>
      <c r="BK60" s="120">
        <f ca="1">SUMIFS(tb_rec_uni[2025-10-01],
INDIRECT("tb_rec_uni[natureza]"),"taxa.extra",
INDIRECT("tb_rec_uni[empresa]"),BK$6)</f>
        <v>0</v>
      </c>
      <c r="BL60" s="108"/>
      <c r="BM60" s="120">
        <f ca="1">SUMIFS(
  m.vb[valor],
  m.vb[nucleo],$BH$1,
  m.vb[variavel],BM$7,
  m.vb[mes],$A60
)</f>
        <v>0</v>
      </c>
      <c r="BN60" s="120">
        <f ca="1">SUMIFS(
  m.vb[valor],
  m.vb[nucleo],$BH$1,
  m.vb[variavel],BN$7,
  m.vb[mes],$A60
)</f>
        <v>0</v>
      </c>
      <c r="BO60" s="120">
        <f ca="1">SUMIFS(
  m.vb[valor],
  m.vb[nucleo],$BH$1,
  m.vb[variavel],BO$7,
  m.vb[mes],$A60
)</f>
        <v>0</v>
      </c>
      <c r="BP60" s="120">
        <f ca="1">SUMIFS(
  m.vb[valor],
  m.vb[nucleo],$BH$1,
  m.vb[variavel],BP$7,
  m.vb[mes],$A60
)</f>
        <v>0</v>
      </c>
      <c r="BQ60" s="121">
        <f ca="1">SUMIFS(
  m.vb[valor],
  m.vb[nucleo],$BH$1,
  m.vb[variavel],BQ$7,
  m.vb[mes],$A60
)</f>
        <v>0</v>
      </c>
      <c r="BR60" s="119">
        <f>COUNTIFS(
    tb_estq[empresa], BR$6,
    tb_estq[Data da venda / reserva], "&gt;=" &amp; $A60,
    tb_estq[Data da venda / reserva], "&lt;"  &amp; EOMONTH($A60,0) + 1
)</f>
        <v>0</v>
      </c>
      <c r="BS60" s="120">
        <f ca="1">SUMIFS(tb_rec_uni[2025-10-01],
INDIRECT("tb_rec_uni[natureza]"),"pro.soluto",
INDIRECT("tb_rec_uni[empresa]"),BS$6)</f>
        <v>0</v>
      </c>
      <c r="BT60" s="120">
        <f ca="1">SUMIFS(tb_rec_uni[2025-10-01],
INDIRECT("tb_rec_uni[natureza]"),"parcela.fin.total.ik",
INDIRECT("tb_rec_uni[empresa]"),BT$6)</f>
        <v>0</v>
      </c>
      <c r="BU60" s="120">
        <f ca="1">SUMIFS(tb_rec_uni[2025-10-01],
INDIRECT("tb_rec_uni[natureza]"),"taxa.extra",
INDIRECT("tb_rec_uni[empresa]"),BU$6)</f>
        <v>0</v>
      </c>
      <c r="BV60" s="108"/>
      <c r="BW60" s="120">
        <f ca="1">SUMIFS(
  m.vb[valor],
  m.vb[nucleo],$BR$1,
  m.vb[variavel],BW$7,
  m.vb[mes],$A60
)</f>
        <v>0</v>
      </c>
      <c r="BX60" s="120">
        <f ca="1">SUMIFS(
  m.vb[valor],
  m.vb[nucleo],$BR$1,
  m.vb[variavel],BX$7,
  m.vb[mes],$A60
)</f>
        <v>0</v>
      </c>
      <c r="BY60" s="120">
        <f ca="1">SUMIFS(
  m.vb[valor],
  m.vb[nucleo],$BR$1,
  m.vb[variavel],BY$7,
  m.vb[mes],$A60
)</f>
        <v>0</v>
      </c>
      <c r="BZ60" s="120">
        <f ca="1">SUMIFS(
  m.vb[valor],
  m.vb[nucleo],$BR$1,
  m.vb[variavel],BZ$7,
  m.vb[mes],$A60
)</f>
        <v>0</v>
      </c>
      <c r="CA60" s="121">
        <f ca="1">SUMIFS(
  m.vb[valor],
  m.vb[nucleo],$BR$1,
  m.vb[variavel],CA$7,
  m.vb[mes],$A60
)</f>
        <v>0</v>
      </c>
      <c r="CB60" s="119">
        <f>COUNTIFS(
    tb_estq[empresa], CB$6,
    tb_estq[Data da venda / reserva], "&gt;=" &amp; $A60,
    tb_estq[Data da venda / reserva], "&lt;"  &amp; EOMONTH($A60,0) + 1
)</f>
        <v>0</v>
      </c>
      <c r="CC60" s="120">
        <f ca="1">SUMIFS(tb_rec_uni[2025-10-01],
INDIRECT("tb_rec_uni[natureza]"),"pro.soluto",
INDIRECT("tb_rec_uni[empresa]"),CC$6)</f>
        <v>0</v>
      </c>
      <c r="CD60" s="120">
        <f ca="1">SUMIFS(tb_rec_uni[2025-10-01],
INDIRECT("tb_rec_uni[natureza]"),"repasse.cef.obra",
INDIRECT("tb_rec_uni[empresa]"),CD$6)</f>
        <v>0</v>
      </c>
      <c r="CE60" s="120">
        <f ca="1">SUMIFS(tb_rec_uni[2025-10-01],
INDIRECT("tb_rec_uni[natureza]"),"repasse.cef.terreno",
INDIRECT("tb_rec_uni[empresa]"),CE$6)</f>
        <v>0</v>
      </c>
      <c r="CF60" s="120">
        <v>165252.20000000001</v>
      </c>
      <c r="CG60" s="120">
        <f ca="1">SUMIFS(tb_rec_uni[2025-10-01],
INDIRECT("tb_rec_uni[natureza]"),"taxa.extra",
INDIRECT("tb_rec_uni[empresa]"),CG$6)</f>
        <v>0</v>
      </c>
      <c r="CH60" s="108"/>
      <c r="CI60" s="120">
        <f ca="1">SUMIFS(
  m.vb[valor],
  m.vb[nucleo],$CB$1,
  m.vb[variavel],CI$7,
  m.vb[mes],$A60
)</f>
        <v>0</v>
      </c>
      <c r="CJ60" s="120">
        <f ca="1">SUMIFS(
  m.vb[valor],
  m.vb[nucleo],$CB$1,
  m.vb[variavel],CJ$7,
  m.vb[mes],$A60
)</f>
        <v>0</v>
      </c>
      <c r="CK60" s="120">
        <f ca="1">SUMIFS(
  m.vb[valor],
  m.vb[nucleo],$CB$1,
  m.vb[variavel],CK$7,
  m.vb[mes],$A60
)</f>
        <v>0</v>
      </c>
      <c r="CL60" s="120">
        <f ca="1">SUMIFS(
  m.vb[valor],
  m.vb[nucleo],$CB$1,
  m.vb[variavel],CL$7,
  m.vb[mes],$A60
)</f>
        <v>0</v>
      </c>
      <c r="CM60" s="121">
        <f ca="1">SUMIFS(
  m.vb[valor],
  m.vb[nucleo],$CB$1,
  m.vb[variavel],CM$7,
  m.vb[mes],$A60
)</f>
        <v>0</v>
      </c>
      <c r="CN60" s="119">
        <f>COUNTIFS(
    tb_estq[empresa], CN$6,
    tb_estq[Data da venda / reserva], "&gt;=" &amp; $A60,
    tb_estq[Data da venda / reserva], "&lt;"  &amp; EOMONTH($A60,0) + 1
)</f>
        <v>0</v>
      </c>
      <c r="CO60" s="120">
        <f ca="1">SUMIFS(tb_rec_uni[2025-10-01],
INDIRECT("tb_rec_uni[natureza]"),"pro.soluto",
INDIRECT("tb_rec_uni[empresa]"),CO$6)</f>
        <v>0</v>
      </c>
      <c r="CP60" s="120">
        <f ca="1">SUMIFS(tb_rec_uni[2025-10-01],
INDIRECT("tb_rec_uni[natureza]"),"repasse.cef.obra",
INDIRECT("tb_rec_uni[empresa]"),CP$6)</f>
        <v>0</v>
      </c>
      <c r="CQ60" s="120">
        <f ca="1">SUMIFS(tb_rec_uni[2025-10-01],
INDIRECT("tb_rec_uni[natureza]"),"repasse.cef.terreno",
INDIRECT("tb_rec_uni[empresa]"),CQ$6)</f>
        <v>0</v>
      </c>
      <c r="CR60" s="120">
        <v>0</v>
      </c>
      <c r="CS60" s="120">
        <f ca="1">SUMIFS(tb_rec_uni[2025-10-01],
INDIRECT("tb_rec_uni[natureza]"),"taxa.extra",
INDIRECT("tb_rec_uni[empresa]"),CS$6)</f>
        <v>0</v>
      </c>
      <c r="CT60" s="108"/>
      <c r="CU60" s="120">
        <f ca="1">SUMIFS(
  m.vb[valor],
  m.vb[nucleo],$CN$1,
  m.vb[variavel],CU$7,
  m.vb[mes],$A60
)</f>
        <v>0</v>
      </c>
      <c r="CV60" s="120" cm="1">
        <f t="array" ref="CV60">SUMPRODUCT(
  IFERROR(--tb_desp[valor],0)*
  (tb_desp[nucleo]="UP MOVE VILA SONIA")*
  (tb_desp[categoria]=CV$7)*
  (tb_desp[data.pagamento]&gt;=$A60)*
  (tb_desp[data.pagamento]&lt;EOMONTH($A60,0)+1)
)</f>
        <v>0</v>
      </c>
      <c r="CW60" s="120" cm="1">
        <f t="array" ref="CW60">SUMPRODUCT(
  IFERROR(--tb_desp[valor],0)*
  (tb_desp[nucleo]="UP MOVE VILA SONIA")*
  (tb_desp[categoria]=CW$7)*
  (tb_desp[data.pagamento]&gt;=$A60)*
  (tb_desp[data.pagamento]&lt;EOMONTH($A60,0)+1)
)</f>
        <v>0</v>
      </c>
      <c r="CX60" s="120" cm="1">
        <f t="array" ref="CX60">SUMPRODUCT(
  IFERROR(--tb_desp[valor],0)*
  (tb_desp[nucleo]="UP MOVE VILA SONIA")*
  (tb_desp[categoria]=CX$7)*
  (tb_desp[data.pagamento]&gt;=$A60)*
  (tb_desp[data.pagamento]&lt;EOMONTH($A60,0)+1)
)</f>
        <v>0</v>
      </c>
      <c r="CY60" s="122" cm="1">
        <f t="array" ref="CY60">SUMPRODUCT(
  IFERROR(--tb_desp[valor],0)*
  (tb_desp[nucleo]="UP MOVE VILA SONIA")*
  (tb_desp[categoria]=CY$7)*
  (tb_desp[data.pagamento]&gt;=$A60)*
  (tb_desp[data.pagamento]&lt;EOMONTH($A60,0)+1)
)</f>
        <v>0</v>
      </c>
    </row>
    <row r="61" spans="1:103" x14ac:dyDescent="0.25">
      <c r="A61" s="118">
        <v>45962</v>
      </c>
      <c r="B61" s="119">
        <f>COUNTIFS(
    tb_estq[empresa], B$6,
    tb_estq[Data da venda / reserva], "&gt;=" &amp; $A61,
    tb_estq[Data da venda / reserva], "&lt;"  &amp; EOMONTH($A61,0) + 1
)</f>
        <v>0</v>
      </c>
      <c r="C61" s="120">
        <f ca="1">SUMIFS(tb_rec_uni[2025-11-01],
INDIRECT("tb_rec_uni[natureza]"),"pro.soluto",
INDIRECT("tb_rec_uni[empresa]"),C$6)</f>
        <v>0</v>
      </c>
      <c r="D61" s="120">
        <f ca="1">SUMIFS(tb_rec_uni[2025-11-01],
INDIRECT("tb_rec_uni[natureza]"),"repasse.cef.obra",
INDIRECT("tb_rec_uni[empresa]"),D$6)</f>
        <v>0</v>
      </c>
      <c r="E61" s="120">
        <f ca="1">SUMIFS(tb_rec_uni[2025-11-01],
INDIRECT("tb_rec_uni[natureza]"),"repasse.cef.terreno",
INDIRECT("tb_rec_uni[empresa]"),E$6)</f>
        <v>0</v>
      </c>
      <c r="F61" s="123">
        <v>230479.34</v>
      </c>
      <c r="G61" s="120">
        <f ca="1">SUMIFS(tb_rec_uni[2025-11-01],
INDIRECT("tb_rec_uni[natureza]"),"taxa.extra",
INDIRECT("tb_rec_uni[empresa]"),G$6)</f>
        <v>0</v>
      </c>
      <c r="H61" s="108"/>
      <c r="I61" s="120">
        <f ca="1">SUMIFS(
  m.vb[valor],
  m.vb[nucleo],$B$1,
  m.vb[variavel],I$7,
  m.vb[mes],$A61
)</f>
        <v>0</v>
      </c>
      <c r="J61" s="120">
        <f ca="1">SUMIFS(
  m.vb[valor],
  m.vb[nucleo],$B$1,
  m.vb[variavel],J$7,
  m.vb[mes],$A61
)</f>
        <v>0</v>
      </c>
      <c r="K61" s="120">
        <f ca="1">SUMIFS(
  m.vb[valor],
  m.vb[nucleo],$B$1,
  m.vb[variavel],K$7,
  m.vb[mes],$A61
)</f>
        <v>0</v>
      </c>
      <c r="L61" s="120">
        <f ca="1">SUMIFS(
  m.vb[valor],
  m.vb[nucleo],$B$1,
  m.vb[variavel],L$7,
  m.vb[mes],$A61
)</f>
        <v>0</v>
      </c>
      <c r="M61" s="121">
        <f ca="1">SUMIFS(
  m.vb[valor],
  m.vb[nucleo],$B$1,
  m.vb[variavel],M$7,
  m.vb[mes],$A61
)</f>
        <v>0</v>
      </c>
      <c r="N61" s="119">
        <f>COUNTIFS(
    tb_estq[empresa], N$6,
    tb_estq[Data da venda / reserva], "&gt;=" &amp; $A61,
    tb_estq[Data da venda / reserva], "&lt;"  &amp; EOMONTH($A61,0) + 1
)</f>
        <v>0</v>
      </c>
      <c r="O61" s="120">
        <f ca="1">SUMIFS(tb_rec_uni[2025-11-01],
INDIRECT("tb_rec_uni[natureza]"),"pro.soluto",
INDIRECT("tb_rec_uni[empresa]"),O$6)</f>
        <v>0</v>
      </c>
      <c r="P61" s="120">
        <f ca="1">SUMIFS(tb_rec_uni[2025-11-01],
INDIRECT("tb_rec_uni[natureza]"),"repasse.cef.obra",
INDIRECT("tb_rec_uni[empresa]"),P$6)</f>
        <v>0</v>
      </c>
      <c r="Q61" s="120">
        <f ca="1">SUMIFS(tb_rec_uni[2025-11-01],
INDIRECT("tb_rec_uni[natureza]"),"repasse.cef.terreno",
INDIRECT("tb_rec_uni[empresa]"),Q$6)</f>
        <v>0</v>
      </c>
      <c r="R61" s="123">
        <v>0</v>
      </c>
      <c r="S61" s="120">
        <f ca="1">SUMIFS(tb_rec_uni[2025-11-01],
INDIRECT("tb_rec_uni[natureza]"),"taxa.extra",
INDIRECT("tb_rec_uni[empresa]"),S$6)</f>
        <v>0</v>
      </c>
      <c r="T61" s="108"/>
      <c r="U61" s="120">
        <f ca="1">SUMIFS(
  m.vb[valor],
  m.vb[nucleo],$N$1,
  m.vb[variavel],U$7,
  m.vb[mes],$A61
)</f>
        <v>0</v>
      </c>
      <c r="V61" s="120">
        <f ca="1">SUMIFS(
  m.vb[valor],
  m.vb[nucleo],$N$1,
  m.vb[variavel],V$7,
  m.vb[mes],$A61
)</f>
        <v>0</v>
      </c>
      <c r="W61" s="120">
        <f ca="1">SUMIFS(
  m.vb[valor],
  m.vb[nucleo],$N$1,
  m.vb[variavel],W$7,
  m.vb[mes],$A61
)</f>
        <v>0</v>
      </c>
      <c r="X61" s="120">
        <f ca="1">SUMIFS(
  m.vb[valor],
  m.vb[nucleo],$N$1,
  m.vb[variavel],X$7,
  m.vb[mes],$A61
)</f>
        <v>0</v>
      </c>
      <c r="Y61" s="121">
        <f ca="1">SUMIFS(
  m.vb[valor],
  m.vb[nucleo],$N$1,
  m.vb[variavel],Y$7,
  m.vb[mes],$A61
)</f>
        <v>0</v>
      </c>
      <c r="Z61" s="119">
        <f>COUNTIFS(
    tb_estq[empresa], Z$6,
    tb_estq[Data da venda / reserva], "&gt;=" &amp; $A61,
    tb_estq[Data da venda / reserva], "&lt;"  &amp; EOMONTH($A61,0) + 1
)</f>
        <v>0</v>
      </c>
      <c r="AA61" s="120">
        <f ca="1">SUMIFS(tb_rec_uni[2025-11-01],
INDIRECT("tb_rec_uni[natureza]"),"pro.soluto",
INDIRECT("tb_rec_uni[empresa]"),AA$6)</f>
        <v>0</v>
      </c>
      <c r="AB61" s="120">
        <f ca="1">SUMIFS(tb_rec_uni[2025-11-01],
INDIRECT("tb_rec_uni[natureza]"),"parcela.fin.total.ik",
INDIRECT("tb_rec_uni[empresa]"),AB$6)</f>
        <v>0</v>
      </c>
      <c r="AC61" s="120">
        <f ca="1">SUMIFS(tb_rec_uni[2025-11-01],
INDIRECT("tb_rec_uni[natureza]"),"taxa.extra",
INDIRECT("tb_rec_uni[empresa]"),AC$6)</f>
        <v>0</v>
      </c>
      <c r="AD61" s="108"/>
      <c r="AE61" s="120">
        <f ca="1">SUMIFS(
  m.vb[valor],
  m.vb[nucleo],$Z$1,
  m.vb[variavel],AE$7,
  m.vb[mes],$A61
)</f>
        <v>0</v>
      </c>
      <c r="AF61" s="120">
        <f ca="1">SUMIFS(
  m.vb[valor],
  m.vb[nucleo],$Z$1,
  m.vb[variavel],AF$7,
  m.vb[mes],$A61
)</f>
        <v>0</v>
      </c>
      <c r="AG61" s="120">
        <f ca="1">SUMIFS(
  m.vb[valor],
  m.vb[nucleo],$Z$1,
  m.vb[variavel],AG$7,
  m.vb[mes],$A61
)</f>
        <v>0</v>
      </c>
      <c r="AH61" s="120">
        <f ca="1">SUMIFS(
  m.vb[valor],
  m.vb[nucleo],$Z$1,
  m.vb[variavel],AH$7,
  m.vb[mes],$A61
)</f>
        <v>0</v>
      </c>
      <c r="AI61" s="121">
        <f ca="1">SUMIFS(
  m.vb[valor],
  m.vb[nucleo],$Z$1,
  m.vb[variavel],AI$7,
  m.vb[mes],$A61
)</f>
        <v>0</v>
      </c>
      <c r="AJ61" s="119">
        <f>COUNTIFS(
    tb_estq[empresa], AJ$6,
    tb_estq[Data da venda / reserva], "&gt;=" &amp; $A61,
    tb_estq[Data da venda / reserva], "&lt;"  &amp; EOMONTH($A61,0) + 1
)</f>
        <v>0</v>
      </c>
      <c r="AK61" s="120">
        <f ca="1">SUMIFS(tb_rec_uni[2025-11-01],
INDIRECT("tb_rec_uni[natureza]"),"pro.soluto",
INDIRECT("tb_rec_uni[empresa]"),AK$6)</f>
        <v>0</v>
      </c>
      <c r="AL61" s="120">
        <f ca="1">SUMIFS(tb_rec_uni[2025-11-01],
INDIRECT("tb_rec_uni[natureza]"),"repasse.cef.obra",
INDIRECT("tb_rec_uni[empresa]"),AL$6)</f>
        <v>0</v>
      </c>
      <c r="AM61" s="123">
        <f ca="1">SUMIFS(tb_rec_uni[2025-11-01],
INDIRECT("tb_rec_uni[natureza]"),"repasse.cef.terreno",
INDIRECT("tb_rec_uni[empresa]"),AM$6)</f>
        <v>0</v>
      </c>
      <c r="AN61" s="123">
        <v>378061.31</v>
      </c>
      <c r="AO61" s="120">
        <f ca="1">SUMIFS(tb_rec_uni[2025-11-01],
INDIRECT("tb_rec_uni[natureza]"),"taxa.extra",
INDIRECT("tb_rec_uni[empresa]"),AO$6)</f>
        <v>0</v>
      </c>
      <c r="AP61" s="108"/>
      <c r="AQ61" s="120">
        <f ca="1">SUMIFS(
  m.vb[valor],
  m.vb[nucleo],$AJ$1,
  m.vb[variavel],AQ$7,
  m.vb[mes],$A61
)</f>
        <v>0</v>
      </c>
      <c r="AR61" s="120">
        <f ca="1">SUMIFS(
  m.vb[valor],
  m.vb[nucleo],$AJ$1,
  m.vb[variavel],AR$7,
  m.vb[mes],$A61
)</f>
        <v>0</v>
      </c>
      <c r="AS61" s="120">
        <f ca="1">SUMIFS(
  m.vb[valor],
  m.vb[nucleo],$AJ$1,
  m.vb[variavel],AS$7,
  m.vb[mes],$A61
)</f>
        <v>0</v>
      </c>
      <c r="AT61" s="120">
        <f ca="1">SUMIFS(
  m.vb[valor],
  m.vb[nucleo],$AJ$1,
  m.vb[variavel],AT$7,
  m.vb[mes],$A61
)</f>
        <v>0</v>
      </c>
      <c r="AU61" s="121">
        <f ca="1">SUMIFS(
  m.vb[valor],
  m.vb[nucleo],$AJ$1,
  m.vb[variavel],AU$7,
  m.vb[mes],$A61
)</f>
        <v>0</v>
      </c>
      <c r="AV61" s="119">
        <f>COUNTIFS(
    tb_estq[empresa], AV$6,
    tb_estq[Data da venda / reserva], "&gt;=" &amp; $A61,
    tb_estq[Data da venda / reserva], "&lt;"  &amp; EOMONTH($A61,0) + 1
)</f>
        <v>0</v>
      </c>
      <c r="AW61" s="120">
        <f ca="1">SUMIFS(tb_rec_uni[2025-11-01],
INDIRECT("tb_rec_uni[natureza]"),"pro.soluto",
INDIRECT("tb_rec_uni[empresa]"),AW$6)</f>
        <v>0</v>
      </c>
      <c r="AX61" s="120">
        <f ca="1">SUMIFS(tb_rec_uni[2025-11-01],
INDIRECT("tb_rec_uni[natureza]"),"repasse.cef.obra",
INDIRECT("tb_rec_uni[empresa]"),AX$6)</f>
        <v>0</v>
      </c>
      <c r="AY61" s="123">
        <f ca="1">SUMIFS(tb_rec_uni[2025-11-01],
INDIRECT("tb_rec_uni[natureza]"),"repasse.cef.terreno",
INDIRECT("tb_rec_uni[empresa]"),AY$6)</f>
        <v>0</v>
      </c>
      <c r="AZ61" s="123">
        <v>0</v>
      </c>
      <c r="BA61" s="120">
        <f ca="1">SUMIFS(tb_rec_uni[2025-11-01],
INDIRECT("tb_rec_uni[natureza]"),"taxa.extra",
INDIRECT("tb_rec_uni[empresa]"),BA$6)</f>
        <v>0</v>
      </c>
      <c r="BB61" s="108"/>
      <c r="BC61" s="120">
        <f ca="1">SUMIFS(
  m.vb[valor],
  m.vb[nucleo],$AV$1,
  m.vb[variavel],BC$7,
  m.vb[mes],$A61
)</f>
        <v>0</v>
      </c>
      <c r="BD61" s="120">
        <f ca="1">SUMIFS(
  m.vb[valor],
  m.vb[nucleo],$AV$1,
  m.vb[variavel],BD$7,
  m.vb[mes],$A61
)</f>
        <v>0</v>
      </c>
      <c r="BE61" s="120">
        <f ca="1">SUMIFS(
  m.vb[valor],
  m.vb[nucleo],$AV$1,
  m.vb[variavel],BE$7,
  m.vb[mes],$A61
)</f>
        <v>0</v>
      </c>
      <c r="BF61" s="120">
        <f ca="1">SUMIFS(
  m.vb[valor],
  m.vb[nucleo],$AV$1,
  m.vb[variavel],BF$7,
  m.vb[mes],$A61
)</f>
        <v>0</v>
      </c>
      <c r="BG61" s="121">
        <f ca="1">SUMIFS(
  m.vb[valor],
  m.vb[nucleo],$AV$1,
  m.vb[variavel],BG$7,
  m.vb[mes],$A61
)</f>
        <v>0</v>
      </c>
      <c r="BH61" s="119">
        <f>COUNTIFS(
    tb_estq[empresa], BH$6,
    tb_estq[Data da venda / reserva], "&gt;=" &amp; $A61,
    tb_estq[Data da venda / reserva], "&lt;"  &amp; EOMONTH($A61,0) + 1
)</f>
        <v>0</v>
      </c>
      <c r="BI61" s="120">
        <f ca="1">SUMIFS(tb_rec_uni[2025-11-01],
INDIRECT("tb_rec_uni[natureza]"),"pro.soluto",
INDIRECT("tb_rec_uni[empresa]"),BI$6)</f>
        <v>0</v>
      </c>
      <c r="BJ61" s="108">
        <f>4*94736</f>
        <v>378944</v>
      </c>
      <c r="BK61" s="120">
        <f ca="1">SUMIFS(tb_rec_uni[2025-11-01],
INDIRECT("tb_rec_uni[natureza]"),"taxa.extra",
INDIRECT("tb_rec_uni[empresa]"),BK$6)</f>
        <v>0</v>
      </c>
      <c r="BL61" s="108"/>
      <c r="BM61" s="120">
        <f ca="1">SUMIFS(
  m.vb[valor],
  m.vb[nucleo],$BH$1,
  m.vb[variavel],BM$7,
  m.vb[mes],$A61
)</f>
        <v>0</v>
      </c>
      <c r="BN61" s="120">
        <f ca="1">SUMIFS(
  m.vb[valor],
  m.vb[nucleo],$BH$1,
  m.vb[variavel],BN$7,
  m.vb[mes],$A61
)</f>
        <v>0</v>
      </c>
      <c r="BO61" s="120">
        <f ca="1">SUMIFS(
  m.vb[valor],
  m.vb[nucleo],$BH$1,
  m.vb[variavel],BO$7,
  m.vb[mes],$A61
)</f>
        <v>0</v>
      </c>
      <c r="BP61" s="120">
        <f ca="1">SUMIFS(
  m.vb[valor],
  m.vb[nucleo],$BH$1,
  m.vb[variavel],BP$7,
  m.vb[mes],$A61
)</f>
        <v>0</v>
      </c>
      <c r="BQ61" s="121">
        <f ca="1">SUMIFS(
  m.vb[valor],
  m.vb[nucleo],$BH$1,
  m.vb[variavel],BQ$7,
  m.vb[mes],$A61
)</f>
        <v>0</v>
      </c>
      <c r="BR61" s="119">
        <f>COUNTIFS(
    tb_estq[empresa], BR$6,
    tb_estq[Data da venda / reserva], "&gt;=" &amp; $A61,
    tb_estq[Data da venda / reserva], "&lt;"  &amp; EOMONTH($A61,0) + 1
)</f>
        <v>0</v>
      </c>
      <c r="BS61" s="120">
        <f ca="1">SUMIFS(tb_rec_uni[2025-11-01],
INDIRECT("tb_rec_uni[natureza]"),"pro.soluto",
INDIRECT("tb_rec_uni[empresa]"),BS$6)</f>
        <v>0</v>
      </c>
      <c r="BT61" s="120">
        <f ca="1">SUMIFS(tb_rec_uni[2025-11-01],
INDIRECT("tb_rec_uni[natureza]"),"parcela.fin.total.ik",
INDIRECT("tb_rec_uni[empresa]"),BT$6)</f>
        <v>0</v>
      </c>
      <c r="BU61" s="120">
        <f ca="1">SUMIFS(tb_rec_uni[2025-11-01],
INDIRECT("tb_rec_uni[natureza]"),"taxa.extra",
INDIRECT("tb_rec_uni[empresa]"),BU$6)</f>
        <v>0</v>
      </c>
      <c r="BV61" s="108"/>
      <c r="BW61" s="120">
        <f ca="1">SUMIFS(
  m.vb[valor],
  m.vb[nucleo],$BR$1,
  m.vb[variavel],BW$7,
  m.vb[mes],$A61
)</f>
        <v>0</v>
      </c>
      <c r="BX61" s="120">
        <f ca="1">SUMIFS(
  m.vb[valor],
  m.vb[nucleo],$BR$1,
  m.vb[variavel],BX$7,
  m.vb[mes],$A61
)</f>
        <v>0</v>
      </c>
      <c r="BY61" s="120">
        <f ca="1">SUMIFS(
  m.vb[valor],
  m.vb[nucleo],$BR$1,
  m.vb[variavel],BY$7,
  m.vb[mes],$A61
)</f>
        <v>0</v>
      </c>
      <c r="BZ61" s="120">
        <f ca="1">SUMIFS(
  m.vb[valor],
  m.vb[nucleo],$BR$1,
  m.vb[variavel],BZ$7,
  m.vb[mes],$A61
)</f>
        <v>0</v>
      </c>
      <c r="CA61" s="121">
        <f ca="1">SUMIFS(
  m.vb[valor],
  m.vb[nucleo],$BR$1,
  m.vb[variavel],CA$7,
  m.vb[mes],$A61
)</f>
        <v>0</v>
      </c>
      <c r="CB61" s="119">
        <f>COUNTIFS(
    tb_estq[empresa], CB$6,
    tb_estq[Data da venda / reserva], "&gt;=" &amp; $A61,
    tb_estq[Data da venda / reserva], "&lt;"  &amp; EOMONTH($A61,0) + 1
)</f>
        <v>0</v>
      </c>
      <c r="CC61" s="120">
        <f ca="1">SUMIFS(tb_rec_uni[2025-11-01],
INDIRECT("tb_rec_uni[natureza]"),"pro.soluto",
INDIRECT("tb_rec_uni[empresa]"),CC$6)</f>
        <v>0</v>
      </c>
      <c r="CD61" s="120">
        <f ca="1">SUMIFS(tb_rec_uni[2025-11-01],
INDIRECT("tb_rec_uni[natureza]"),"repasse.cef.obra",
INDIRECT("tb_rec_uni[empresa]"),CD$6)</f>
        <v>0</v>
      </c>
      <c r="CE61" s="123">
        <f ca="1">SUMIFS(tb_rec_uni[2025-11-01],
INDIRECT("tb_rec_uni[natureza]"),"repasse.cef.terreno",
INDIRECT("tb_rec_uni[empresa]"),CE$6)</f>
        <v>0</v>
      </c>
      <c r="CF61" s="123">
        <v>200573.37</v>
      </c>
      <c r="CG61" s="120">
        <f ca="1">SUMIFS(tb_rec_uni[2025-11-01],
INDIRECT("tb_rec_uni[natureza]"),"taxa.extra",
INDIRECT("tb_rec_uni[empresa]"),CG$6)</f>
        <v>0</v>
      </c>
      <c r="CH61" s="108"/>
      <c r="CI61" s="120">
        <f ca="1">SUMIFS(
  m.vb[valor],
  m.vb[nucleo],$CB$1,
  m.vb[variavel],CI$7,
  m.vb[mes],$A61
)</f>
        <v>0</v>
      </c>
      <c r="CJ61" s="120">
        <f ca="1">SUMIFS(
  m.vb[valor],
  m.vb[nucleo],$CB$1,
  m.vb[variavel],CJ$7,
  m.vb[mes],$A61
)</f>
        <v>0</v>
      </c>
      <c r="CK61" s="120">
        <f ca="1">SUMIFS(
  m.vb[valor],
  m.vb[nucleo],$CB$1,
  m.vb[variavel],CK$7,
  m.vb[mes],$A61
)</f>
        <v>0</v>
      </c>
      <c r="CL61" s="120">
        <f ca="1">SUMIFS(
  m.vb[valor],
  m.vb[nucleo],$CB$1,
  m.vb[variavel],CL$7,
  m.vb[mes],$A61
)</f>
        <v>0</v>
      </c>
      <c r="CM61" s="121">
        <f ca="1">SUMIFS(
  m.vb[valor],
  m.vb[nucleo],$CB$1,
  m.vb[variavel],CM$7,
  m.vb[mes],$A61
)</f>
        <v>0</v>
      </c>
      <c r="CN61" s="119">
        <f>COUNTIFS(
    tb_estq[empresa], CN$6,
    tb_estq[Data da venda / reserva], "&gt;=" &amp; $A61,
    tb_estq[Data da venda / reserva], "&lt;"  &amp; EOMONTH($A61,0) + 1
)</f>
        <v>0</v>
      </c>
      <c r="CO61" s="120">
        <f ca="1">SUMIFS(tb_rec_uni[2025-11-01],
INDIRECT("tb_rec_uni[natureza]"),"pro.soluto",
INDIRECT("tb_rec_uni[empresa]"),CO$6)</f>
        <v>0</v>
      </c>
      <c r="CP61" s="120">
        <f ca="1">SUMIFS(tb_rec_uni[2025-11-01],
INDIRECT("tb_rec_uni[natureza]"),"repasse.cef.obra",
INDIRECT("tb_rec_uni[empresa]"),CP$6)</f>
        <v>0</v>
      </c>
      <c r="CQ61" s="123">
        <f ca="1">SUMIFS(tb_rec_uni[2025-11-01],
INDIRECT("tb_rec_uni[natureza]"),"repasse.cef.terreno",
INDIRECT("tb_rec_uni[empresa]"),CQ$6)</f>
        <v>0</v>
      </c>
      <c r="CR61" s="123">
        <v>0</v>
      </c>
      <c r="CS61" s="120">
        <f ca="1">SUMIFS(tb_rec_uni[2025-11-01],
INDIRECT("tb_rec_uni[natureza]"),"taxa.extra",
INDIRECT("tb_rec_uni[empresa]"),CS$6)</f>
        <v>0</v>
      </c>
      <c r="CT61" s="108"/>
      <c r="CU61" s="120">
        <f ca="1">SUMIFS(
  m.vb[valor],
  m.vb[nucleo],$CN$1,
  m.vb[variavel],CU$7,
  m.vb[mes],$A61
)</f>
        <v>0</v>
      </c>
      <c r="CV61" s="120" cm="1">
        <f t="array" ref="CV61">SUMPRODUCT(
  IFERROR(--tb_desp[valor],0)*
  (tb_desp[nucleo]="UP MOVE VILA SONIA")*
  (tb_desp[categoria]=CV$7)*
  (tb_desp[data.pagamento]&gt;=$A61)*
  (tb_desp[data.pagamento]&lt;EOMONTH($A61,0)+1)
)</f>
        <v>0</v>
      </c>
      <c r="CW61" s="120" cm="1">
        <f t="array" ref="CW61">SUMPRODUCT(
  IFERROR(--tb_desp[valor],0)*
  (tb_desp[nucleo]="UP MOVE VILA SONIA")*
  (tb_desp[categoria]=CW$7)*
  (tb_desp[data.pagamento]&gt;=$A61)*
  (tb_desp[data.pagamento]&lt;EOMONTH($A61,0)+1)
)</f>
        <v>0</v>
      </c>
      <c r="CX61" s="120" cm="1">
        <f t="array" ref="CX61">SUMPRODUCT(
  IFERROR(--tb_desp[valor],0)*
  (tb_desp[nucleo]="UP MOVE VILA SONIA")*
  (tb_desp[categoria]=CX$7)*
  (tb_desp[data.pagamento]&gt;=$A61)*
  (tb_desp[data.pagamento]&lt;EOMONTH($A61,0)+1)
)</f>
        <v>0</v>
      </c>
      <c r="CY61" s="122" cm="1">
        <f t="array" ref="CY61">SUMPRODUCT(
  IFERROR(--tb_desp[valor],0)*
  (tb_desp[nucleo]="UP MOVE VILA SONIA")*
  (tb_desp[categoria]=CY$7)*
  (tb_desp[data.pagamento]&gt;=$A61)*
  (tb_desp[data.pagamento]&lt;EOMONTH($A61,0)+1)
)</f>
        <v>0</v>
      </c>
    </row>
    <row r="62" spans="1:103" x14ac:dyDescent="0.25">
      <c r="A62" s="118">
        <v>45992</v>
      </c>
      <c r="B62" s="119">
        <f>COUNTIFS(
    tb_estq[empresa], B$6,
    tb_estq[Data da venda / reserva], "&gt;=" &amp; $A62,
    tb_estq[Data da venda / reserva], "&lt;"  &amp; EOMONTH($A62,0) + 1
)</f>
        <v>0</v>
      </c>
      <c r="C62" s="120">
        <f ca="1">SUMIFS(tb_rec_uni[2025-12-01],
INDIRECT("tb_rec_uni[natureza]"),"pro.soluto",
INDIRECT("tb_rec_uni[empresa]"),C$6)</f>
        <v>0</v>
      </c>
      <c r="D62" s="120">
        <f ca="1">SUMIFS(tb_rec_uni[2025-12-01],
INDIRECT("tb_rec_uni[natureza]"),"repasse.cef.obra",
INDIRECT("tb_rec_uni[empresa]"),D$6)</f>
        <v>0</v>
      </c>
      <c r="E62" s="120">
        <f ca="1">SUMIFS(tb_rec_uni[2025-12-01],
INDIRECT("tb_rec_uni[natureza]"),"repasse.cef.terreno",
INDIRECT("tb_rec_uni[empresa]"),E$6)</f>
        <v>0</v>
      </c>
      <c r="F62" s="123">
        <v>471701.2</v>
      </c>
      <c r="G62" s="120">
        <f ca="1">SUMIFS(tb_rec_uni[2025-12-01],
INDIRECT("tb_rec_uni[natureza]"),"taxa.extra",
INDIRECT("tb_rec_uni[empresa]"),G$6)</f>
        <v>0</v>
      </c>
      <c r="H62" s="108"/>
      <c r="I62" s="120">
        <f ca="1">SUMIFS(
  m.vb[valor],
  m.vb[nucleo],$B$1,
  m.vb[variavel],I$7,
  m.vb[mes],$A62
)</f>
        <v>0</v>
      </c>
      <c r="J62" s="120">
        <f ca="1">SUMIFS(
  m.vb[valor],
  m.vb[nucleo],$B$1,
  m.vb[variavel],J$7,
  m.vb[mes],$A62
)</f>
        <v>0</v>
      </c>
      <c r="K62" s="120">
        <f ca="1">SUMIFS(
  m.vb[valor],
  m.vb[nucleo],$B$1,
  m.vb[variavel],K$7,
  m.vb[mes],$A62
)</f>
        <v>0</v>
      </c>
      <c r="L62" s="120">
        <f ca="1">SUMIFS(
  m.vb[valor],
  m.vb[nucleo],$B$1,
  m.vb[variavel],L$7,
  m.vb[mes],$A62
)</f>
        <v>0</v>
      </c>
      <c r="M62" s="121">
        <f ca="1">SUMIFS(
  m.vb[valor],
  m.vb[nucleo],$B$1,
  m.vb[variavel],M$7,
  m.vb[mes],$A62
)</f>
        <v>0</v>
      </c>
      <c r="N62" s="119">
        <f>COUNTIFS(
    tb_estq[empresa], N$6,
    tb_estq[Data da venda / reserva], "&gt;=" &amp; $A62,
    tb_estq[Data da venda / reserva], "&lt;"  &amp; EOMONTH($A62,0) + 1
)</f>
        <v>0</v>
      </c>
      <c r="O62" s="120">
        <f ca="1">SUMIFS(tb_rec_uni[2025-12-01],
INDIRECT("tb_rec_uni[natureza]"),"pro.soluto",
INDIRECT("tb_rec_uni[empresa]"),O$6)</f>
        <v>0</v>
      </c>
      <c r="P62" s="120">
        <f ca="1">SUMIFS(tb_rec_uni[2025-12-01],
INDIRECT("tb_rec_uni[natureza]"),"repasse.cef.obra",
INDIRECT("tb_rec_uni[empresa]"),P$6)</f>
        <v>0</v>
      </c>
      <c r="Q62" s="120">
        <f ca="1">SUMIFS(tb_rec_uni[2025-12-01],
INDIRECT("tb_rec_uni[natureza]"),"repasse.cef.terreno",
INDIRECT("tb_rec_uni[empresa]"),Q$6)</f>
        <v>0</v>
      </c>
      <c r="R62" s="123">
        <v>0</v>
      </c>
      <c r="S62" s="120">
        <f ca="1">SUMIFS(tb_rec_uni[2025-12-01],
INDIRECT("tb_rec_uni[natureza]"),"taxa.extra",
INDIRECT("tb_rec_uni[empresa]"),S$6)</f>
        <v>0</v>
      </c>
      <c r="T62" s="108"/>
      <c r="U62" s="120">
        <f ca="1">SUMIFS(
  m.vb[valor],
  m.vb[nucleo],$N$1,
  m.vb[variavel],U$7,
  m.vb[mes],$A62
)</f>
        <v>0</v>
      </c>
      <c r="V62" s="120">
        <f ca="1">SUMIFS(
  m.vb[valor],
  m.vb[nucleo],$N$1,
  m.vb[variavel],V$7,
  m.vb[mes],$A62
)</f>
        <v>0</v>
      </c>
      <c r="W62" s="120">
        <f ca="1">SUMIFS(
  m.vb[valor],
  m.vb[nucleo],$N$1,
  m.vb[variavel],W$7,
  m.vb[mes],$A62
)</f>
        <v>0</v>
      </c>
      <c r="X62" s="120">
        <f ca="1">SUMIFS(
  m.vb[valor],
  m.vb[nucleo],$N$1,
  m.vb[variavel],X$7,
  m.vb[mes],$A62
)</f>
        <v>0</v>
      </c>
      <c r="Y62" s="121">
        <f ca="1">SUMIFS(
  m.vb[valor],
  m.vb[nucleo],$N$1,
  m.vb[variavel],Y$7,
  m.vb[mes],$A62
)</f>
        <v>0</v>
      </c>
      <c r="Z62" s="119">
        <f>COUNTIFS(
    tb_estq[empresa], Z$6,
    tb_estq[Data da venda / reserva], "&gt;=" &amp; $A62,
    tb_estq[Data da venda / reserva], "&lt;"  &amp; EOMONTH($A62,0) + 1
)</f>
        <v>0</v>
      </c>
      <c r="AA62" s="120">
        <f ca="1">SUMIFS(tb_rec_uni[2025-12-01],
INDIRECT("tb_rec_uni[natureza]"),"pro.soluto",
INDIRECT("tb_rec_uni[empresa]"),AA$6)</f>
        <v>0</v>
      </c>
      <c r="AB62" s="120">
        <f ca="1">SUMIFS(tb_rec_uni[2025-12-01],
INDIRECT("tb_rec_uni[natureza]"),"parcela.fin.total.ik",
INDIRECT("tb_rec_uni[empresa]"),AB$6)</f>
        <v>0</v>
      </c>
      <c r="AC62" s="120">
        <f ca="1">SUMIFS(tb_rec_uni[2025-12-01],
INDIRECT("tb_rec_uni[natureza]"),"taxa.extra",
INDIRECT("tb_rec_uni[empresa]"),AC$6)</f>
        <v>0</v>
      </c>
      <c r="AD62" s="108"/>
      <c r="AE62" s="120">
        <f ca="1">SUMIFS(
  m.vb[valor],
  m.vb[nucleo],$Z$1,
  m.vb[variavel],AE$7,
  m.vb[mes],$A62
)</f>
        <v>0</v>
      </c>
      <c r="AF62" s="120">
        <f ca="1">SUMIFS(
  m.vb[valor],
  m.vb[nucleo],$Z$1,
  m.vb[variavel],AF$7,
  m.vb[mes],$A62
)</f>
        <v>0</v>
      </c>
      <c r="AG62" s="120">
        <f ca="1">SUMIFS(
  m.vb[valor],
  m.vb[nucleo],$Z$1,
  m.vb[variavel],AG$7,
  m.vb[mes],$A62
)</f>
        <v>0</v>
      </c>
      <c r="AH62" s="120">
        <f ca="1">SUMIFS(
  m.vb[valor],
  m.vb[nucleo],$Z$1,
  m.vb[variavel],AH$7,
  m.vb[mes],$A62
)</f>
        <v>0</v>
      </c>
      <c r="AI62" s="121">
        <f ca="1">SUMIFS(
  m.vb[valor],
  m.vb[nucleo],$Z$1,
  m.vb[variavel],AI$7,
  m.vb[mes],$A62
)</f>
        <v>0</v>
      </c>
      <c r="AJ62" s="119">
        <f>COUNTIFS(
    tb_estq[empresa], AJ$6,
    tb_estq[Data da venda / reserva], "&gt;=" &amp; $A62,
    tb_estq[Data da venda / reserva], "&lt;"  &amp; EOMONTH($A62,0) + 1
)</f>
        <v>0</v>
      </c>
      <c r="AK62" s="120">
        <f ca="1">SUMIFS(tb_rec_uni[2025-12-01],
INDIRECT("tb_rec_uni[natureza]"),"pro.soluto",
INDIRECT("tb_rec_uni[empresa]"),AK$6)</f>
        <v>0</v>
      </c>
      <c r="AL62" s="120">
        <f ca="1">SUMIFS(tb_rec_uni[2025-12-01],
INDIRECT("tb_rec_uni[natureza]"),"repasse.cef.obra",
INDIRECT("tb_rec_uni[empresa]"),AL$6)</f>
        <v>0</v>
      </c>
      <c r="AM62" s="123">
        <f ca="1">SUMIFS(tb_rec_uni[2025-12-01],
INDIRECT("tb_rec_uni[natureza]"),"repasse.cef.terreno",
INDIRECT("tb_rec_uni[empresa]"),AM$6)</f>
        <v>0</v>
      </c>
      <c r="AN62" s="123">
        <v>0</v>
      </c>
      <c r="AO62" s="120">
        <f ca="1">SUMIFS(tb_rec_uni[2025-12-01],
INDIRECT("tb_rec_uni[natureza]"),"taxa.extra",
INDIRECT("tb_rec_uni[empresa]"),AO$6)</f>
        <v>0</v>
      </c>
      <c r="AP62" s="108"/>
      <c r="AQ62" s="120">
        <f ca="1">SUMIFS(
  m.vb[valor],
  m.vb[nucleo],$AJ$1,
  m.vb[variavel],AQ$7,
  m.vb[mes],$A62
)</f>
        <v>0</v>
      </c>
      <c r="AR62" s="120">
        <f ca="1">SUMIFS(
  m.vb[valor],
  m.vb[nucleo],$AJ$1,
  m.vb[variavel],AR$7,
  m.vb[mes],$A62
)</f>
        <v>0</v>
      </c>
      <c r="AS62" s="120">
        <f ca="1">SUMIFS(
  m.vb[valor],
  m.vb[nucleo],$AJ$1,
  m.vb[variavel],AS$7,
  m.vb[mes],$A62
)</f>
        <v>0</v>
      </c>
      <c r="AT62" s="120">
        <f ca="1">SUMIFS(
  m.vb[valor],
  m.vb[nucleo],$AJ$1,
  m.vb[variavel],AT$7,
  m.vb[mes],$A62
)</f>
        <v>0</v>
      </c>
      <c r="AU62" s="121">
        <f ca="1">SUMIFS(
  m.vb[valor],
  m.vb[nucleo],$AJ$1,
  m.vb[variavel],AU$7,
  m.vb[mes],$A62
)</f>
        <v>0</v>
      </c>
      <c r="AV62" s="119">
        <f>COUNTIFS(
    tb_estq[empresa], AV$6,
    tb_estq[Data da venda / reserva], "&gt;=" &amp; $A62,
    tb_estq[Data da venda / reserva], "&lt;"  &amp; EOMONTH($A62,0) + 1
)</f>
        <v>0</v>
      </c>
      <c r="AW62" s="120">
        <f ca="1">SUMIFS(tb_rec_uni[2025-12-01],
INDIRECT("tb_rec_uni[natureza]"),"pro.soluto",
INDIRECT("tb_rec_uni[empresa]"),AW$6)</f>
        <v>0</v>
      </c>
      <c r="AX62" s="120">
        <f ca="1">SUMIFS(tb_rec_uni[2025-12-01],
INDIRECT("tb_rec_uni[natureza]"),"repasse.cef.obra",
INDIRECT("tb_rec_uni[empresa]"),AX$6)</f>
        <v>0</v>
      </c>
      <c r="AY62" s="123">
        <f ca="1">SUMIFS(tb_rec_uni[2025-12-01],
INDIRECT("tb_rec_uni[natureza]"),"repasse.cef.terreno",
INDIRECT("tb_rec_uni[empresa]"),AY$6)</f>
        <v>0</v>
      </c>
      <c r="AZ62" s="123">
        <v>0</v>
      </c>
      <c r="BA62" s="120">
        <f ca="1">SUMIFS(tb_rec_uni[2025-12-01],
INDIRECT("tb_rec_uni[natureza]"),"taxa.extra",
INDIRECT("tb_rec_uni[empresa]"),BA$6)</f>
        <v>0</v>
      </c>
      <c r="BB62" s="108"/>
      <c r="BC62" s="120">
        <f ca="1">SUMIFS(
  m.vb[valor],
  m.vb[nucleo],$AV$1,
  m.vb[variavel],BC$7,
  m.vb[mes],$A62
)</f>
        <v>0</v>
      </c>
      <c r="BD62" s="120">
        <f ca="1">SUMIFS(
  m.vb[valor],
  m.vb[nucleo],$AV$1,
  m.vb[variavel],BD$7,
  m.vb[mes],$A62
)</f>
        <v>0</v>
      </c>
      <c r="BE62" s="120">
        <f ca="1">SUMIFS(
  m.vb[valor],
  m.vb[nucleo],$AV$1,
  m.vb[variavel],BE$7,
  m.vb[mes],$A62
)</f>
        <v>0</v>
      </c>
      <c r="BF62" s="120">
        <f ca="1">SUMIFS(
  m.vb[valor],
  m.vb[nucleo],$AV$1,
  m.vb[variavel],BF$7,
  m.vb[mes],$A62
)</f>
        <v>0</v>
      </c>
      <c r="BG62" s="121">
        <f ca="1">SUMIFS(
  m.vb[valor],
  m.vb[nucleo],$AV$1,
  m.vb[variavel],BG$7,
  m.vb[mes],$A62
)</f>
        <v>0</v>
      </c>
      <c r="BH62" s="119">
        <f>COUNTIFS(
    tb_estq[empresa], BH$6,
    tb_estq[Data da venda / reserva], "&gt;=" &amp; $A62,
    tb_estq[Data da venda / reserva], "&lt;"  &amp; EOMONTH($A62,0) + 1
)</f>
        <v>0</v>
      </c>
      <c r="BI62" s="120">
        <f ca="1">SUMIFS(tb_rec_uni[2025-12-01],
INDIRECT("tb_rec_uni[natureza]"),"pro.soluto",
INDIRECT("tb_rec_uni[empresa]"),BI$6)</f>
        <v>0</v>
      </c>
      <c r="BJ62" s="108">
        <f>3.43*94736</f>
        <v>324944.48000000004</v>
      </c>
      <c r="BK62" s="120">
        <f ca="1">SUMIFS(tb_rec_uni[2025-12-01],
INDIRECT("tb_rec_uni[natureza]"),"taxa.extra",
INDIRECT("tb_rec_uni[empresa]"),BK$6)</f>
        <v>0</v>
      </c>
      <c r="BL62" s="108"/>
      <c r="BM62" s="120">
        <f ca="1">SUMIFS(
  m.vb[valor],
  m.vb[nucleo],$BH$1,
  m.vb[variavel],BM$7,
  m.vb[mes],$A62
)</f>
        <v>0</v>
      </c>
      <c r="BN62" s="120">
        <f ca="1">SUMIFS(
  m.vb[valor],
  m.vb[nucleo],$BH$1,
  m.vb[variavel],BN$7,
  m.vb[mes],$A62
)</f>
        <v>0</v>
      </c>
      <c r="BO62" s="120">
        <f ca="1">SUMIFS(
  m.vb[valor],
  m.vb[nucleo],$BH$1,
  m.vb[variavel],BO$7,
  m.vb[mes],$A62
)</f>
        <v>0</v>
      </c>
      <c r="BP62" s="120">
        <f ca="1">SUMIFS(
  m.vb[valor],
  m.vb[nucleo],$BH$1,
  m.vb[variavel],BP$7,
  m.vb[mes],$A62
)</f>
        <v>0</v>
      </c>
      <c r="BQ62" s="121">
        <f ca="1">SUMIFS(
  m.vb[valor],
  m.vb[nucleo],$BH$1,
  m.vb[variavel],BQ$7,
  m.vb[mes],$A62
)</f>
        <v>0</v>
      </c>
      <c r="BR62" s="119">
        <f>COUNTIFS(
    tb_estq[empresa], BR$6,
    tb_estq[Data da venda / reserva], "&gt;=" &amp; $A62,
    tb_estq[Data da venda / reserva], "&lt;"  &amp; EOMONTH($A62,0) + 1
)</f>
        <v>0</v>
      </c>
      <c r="BS62" s="120">
        <f ca="1">SUMIFS(tb_rec_uni[2025-12-01],
INDIRECT("tb_rec_uni[natureza]"),"pro.soluto",
INDIRECT("tb_rec_uni[empresa]"),BS$6)</f>
        <v>0</v>
      </c>
      <c r="BT62" s="120">
        <f ca="1">SUMIFS(tb_rec_uni[2025-12-01],
INDIRECT("tb_rec_uni[natureza]"),"parcela.fin.total.ik",
INDIRECT("tb_rec_uni[empresa]"),BT$6)</f>
        <v>0</v>
      </c>
      <c r="BU62" s="120">
        <f ca="1">SUMIFS(tb_rec_uni[2025-12-01],
INDIRECT("tb_rec_uni[natureza]"),"taxa.extra",
INDIRECT("tb_rec_uni[empresa]"),BU$6)</f>
        <v>0</v>
      </c>
      <c r="BV62" s="108"/>
      <c r="BW62" s="120">
        <f ca="1">SUMIFS(
  m.vb[valor],
  m.vb[nucleo],$BR$1,
  m.vb[variavel],BW$7,
  m.vb[mes],$A62
)</f>
        <v>0</v>
      </c>
      <c r="BX62" s="120">
        <f ca="1">SUMIFS(
  m.vb[valor],
  m.vb[nucleo],$BR$1,
  m.vb[variavel],BX$7,
  m.vb[mes],$A62
)</f>
        <v>0</v>
      </c>
      <c r="BY62" s="120">
        <f ca="1">SUMIFS(
  m.vb[valor],
  m.vb[nucleo],$BR$1,
  m.vb[variavel],BY$7,
  m.vb[mes],$A62
)</f>
        <v>0</v>
      </c>
      <c r="BZ62" s="120">
        <f ca="1">SUMIFS(
  m.vb[valor],
  m.vb[nucleo],$BR$1,
  m.vb[variavel],BZ$7,
  m.vb[mes],$A62
)</f>
        <v>0</v>
      </c>
      <c r="CA62" s="121">
        <f ca="1">SUMIFS(
  m.vb[valor],
  m.vb[nucleo],$BR$1,
  m.vb[variavel],CA$7,
  m.vb[mes],$A62
)</f>
        <v>0</v>
      </c>
      <c r="CB62" s="119">
        <f>COUNTIFS(
    tb_estq[empresa], CB$6,
    tb_estq[Data da venda / reserva], "&gt;=" &amp; $A62,
    tb_estq[Data da venda / reserva], "&lt;"  &amp; EOMONTH($A62,0) + 1
)</f>
        <v>0</v>
      </c>
      <c r="CC62" s="120">
        <f ca="1">SUMIFS(tb_rec_uni[2025-12-01],
INDIRECT("tb_rec_uni[natureza]"),"pro.soluto",
INDIRECT("tb_rec_uni[empresa]"),CC$6)</f>
        <v>0</v>
      </c>
      <c r="CD62" s="120">
        <f ca="1">SUMIFS(tb_rec_uni[2025-12-01],
INDIRECT("tb_rec_uni[natureza]"),"repasse.cef.obra",
INDIRECT("tb_rec_uni[empresa]"),CD$6)</f>
        <v>0</v>
      </c>
      <c r="CE62" s="123">
        <f ca="1">SUMIFS(tb_rec_uni[2025-12-01],
INDIRECT("tb_rec_uni[natureza]"),"repasse.cef.terreno",
INDIRECT("tb_rec_uni[empresa]"),CE$6)</f>
        <v>0</v>
      </c>
      <c r="CF62" s="123">
        <v>0</v>
      </c>
      <c r="CG62" s="120">
        <f ca="1">SUMIFS(tb_rec_uni[2025-12-01],
INDIRECT("tb_rec_uni[natureza]"),"taxa.extra",
INDIRECT("tb_rec_uni[empresa]"),CG$6)</f>
        <v>0</v>
      </c>
      <c r="CH62" s="108"/>
      <c r="CI62" s="120">
        <f ca="1">SUMIFS(
  m.vb[valor],
  m.vb[nucleo],$CB$1,
  m.vb[variavel],CI$7,
  m.vb[mes],$A62
)</f>
        <v>0</v>
      </c>
      <c r="CJ62" s="120">
        <f ca="1">SUMIFS(
  m.vb[valor],
  m.vb[nucleo],$CB$1,
  m.vb[variavel],CJ$7,
  m.vb[mes],$A62
)</f>
        <v>0</v>
      </c>
      <c r="CK62" s="120">
        <f ca="1">SUMIFS(
  m.vb[valor],
  m.vb[nucleo],$CB$1,
  m.vb[variavel],CK$7,
  m.vb[mes],$A62
)</f>
        <v>0</v>
      </c>
      <c r="CL62" s="120">
        <f ca="1">SUMIFS(
  m.vb[valor],
  m.vb[nucleo],$CB$1,
  m.vb[variavel],CL$7,
  m.vb[mes],$A62
)</f>
        <v>0</v>
      </c>
      <c r="CM62" s="121">
        <f ca="1">SUMIFS(
  m.vb[valor],
  m.vb[nucleo],$CB$1,
  m.vb[variavel],CM$7,
  m.vb[mes],$A62
)</f>
        <v>0</v>
      </c>
      <c r="CN62" s="119">
        <f>COUNTIFS(
    tb_estq[empresa], CN$6,
    tb_estq[Data da venda / reserva], "&gt;=" &amp; $A62,
    tb_estq[Data da venda / reserva], "&lt;"  &amp; EOMONTH($A62,0) + 1
)</f>
        <v>0</v>
      </c>
      <c r="CO62" s="120">
        <f ca="1">SUMIFS(tb_rec_uni[2025-12-01],
INDIRECT("tb_rec_uni[natureza]"),"pro.soluto",
INDIRECT("tb_rec_uni[empresa]"),CO$6)</f>
        <v>0</v>
      </c>
      <c r="CP62" s="120">
        <f ca="1">SUMIFS(tb_rec_uni[2025-12-01],
INDIRECT("tb_rec_uni[natureza]"),"repasse.cef.obra",
INDIRECT("tb_rec_uni[empresa]"),CP$6)</f>
        <v>0</v>
      </c>
      <c r="CQ62" s="123">
        <f ca="1">SUMIFS(tb_rec_uni[2025-12-01],
INDIRECT("tb_rec_uni[natureza]"),"repasse.cef.terreno",
INDIRECT("tb_rec_uni[empresa]"),CQ$6)</f>
        <v>0</v>
      </c>
      <c r="CR62" s="123">
        <v>0</v>
      </c>
      <c r="CS62" s="120">
        <f ca="1">SUMIFS(tb_rec_uni[2025-12-01],
INDIRECT("tb_rec_uni[natureza]"),"taxa.extra",
INDIRECT("tb_rec_uni[empresa]"),CS$6)</f>
        <v>0</v>
      </c>
      <c r="CT62" s="108"/>
      <c r="CU62" s="120">
        <f ca="1">SUMIFS(
  m.vb[valor],
  m.vb[nucleo],$CN$1,
  m.vb[variavel],CU$7,
  m.vb[mes],$A62
)</f>
        <v>0</v>
      </c>
      <c r="CV62" s="120" cm="1">
        <f t="array" ref="CV62">SUMPRODUCT(
  IFERROR(--tb_desp[valor],0)*
  (tb_desp[nucleo]="UP MOVE VILA SONIA")*
  (tb_desp[categoria]=CV$7)*
  (tb_desp[data.pagamento]&gt;=$A62)*
  (tb_desp[data.pagamento]&lt;EOMONTH($A62,0)+1)
)</f>
        <v>0</v>
      </c>
      <c r="CW62" s="120" cm="1">
        <f t="array" ref="CW62">SUMPRODUCT(
  IFERROR(--tb_desp[valor],0)*
  (tb_desp[nucleo]="UP MOVE VILA SONIA")*
  (tb_desp[categoria]=CW$7)*
  (tb_desp[data.pagamento]&gt;=$A62)*
  (tb_desp[data.pagamento]&lt;EOMONTH($A62,0)+1)
)</f>
        <v>0</v>
      </c>
      <c r="CX62" s="120" cm="1">
        <f t="array" ref="CX62">SUMPRODUCT(
  IFERROR(--tb_desp[valor],0)*
  (tb_desp[nucleo]="UP MOVE VILA SONIA")*
  (tb_desp[categoria]=CX$7)*
  (tb_desp[data.pagamento]&gt;=$A62)*
  (tb_desp[data.pagamento]&lt;EOMONTH($A62,0)+1)
)</f>
        <v>0</v>
      </c>
      <c r="CY62" s="122" cm="1">
        <f t="array" ref="CY62">SUMPRODUCT(
  IFERROR(--tb_desp[valor],0)*
  (tb_desp[nucleo]="UP MOVE VILA SONIA")*
  (tb_desp[categoria]=CY$7)*
  (tb_desp[data.pagamento]&gt;=$A62)*
  (tb_desp[data.pagamento]&lt;EOMONTH($A62,0)+1)
)</f>
        <v>0</v>
      </c>
    </row>
    <row r="63" spans="1:103" x14ac:dyDescent="0.25">
      <c r="A63" s="118">
        <v>46023</v>
      </c>
      <c r="B63" s="119">
        <f>COUNTIFS(
    tb_estq[empresa], B$6,
    tb_estq[Data da venda / reserva], "&gt;=" &amp; $A63,
    tb_estq[Data da venda / reserva], "&lt;"  &amp; EOMONTH($A63,0) + 1
)</f>
        <v>0</v>
      </c>
      <c r="C63" s="120">
        <f ca="1">SUMIFS(tb_rec_uni[2026-01-01],
INDIRECT("tb_rec_uni[natureza]"),"pro.soluto",
INDIRECT("tb_rec_uni[empresa]"),C$6)</f>
        <v>0</v>
      </c>
      <c r="D63" s="120">
        <f ca="1">SUMIFS(tb_rec_uni[2026-01-01],
INDIRECT("tb_rec_uni[natureza]"),"repasse.cef.obra",
INDIRECT("tb_rec_uni[empresa]"),D$6)</f>
        <v>0</v>
      </c>
      <c r="E63" s="120">
        <f ca="1">SUMIFS(tb_rec_uni[2026-01-01],
INDIRECT("tb_rec_uni[natureza]"),"repasse.cef.terreno",
INDIRECT("tb_rec_uni[empresa]"),E$6)</f>
        <v>0</v>
      </c>
      <c r="F63" s="123">
        <v>0</v>
      </c>
      <c r="G63" s="120">
        <f ca="1">SUMIFS(tb_rec_uni[2026-01-01],
INDIRECT("tb_rec_uni[natureza]"),"taxa.extra",
INDIRECT("tb_rec_uni[empresa]"),G$6)</f>
        <v>0</v>
      </c>
      <c r="H63" s="108"/>
      <c r="I63" s="120">
        <f ca="1">SUMIFS(
  m.vb[valor],
  m.vb[nucleo],$B$1,
  m.vb[variavel],I$7,
  m.vb[mes],$A63
)</f>
        <v>0</v>
      </c>
      <c r="J63" s="120">
        <f ca="1">SUMIFS(
  m.vb[valor],
  m.vb[nucleo],$B$1,
  m.vb[variavel],J$7,
  m.vb[mes],$A63
)</f>
        <v>0</v>
      </c>
      <c r="K63" s="120">
        <f ca="1">SUMIFS(
  m.vb[valor],
  m.vb[nucleo],$B$1,
  m.vb[variavel],K$7,
  m.vb[mes],$A63
)</f>
        <v>0</v>
      </c>
      <c r="L63" s="120">
        <f ca="1">SUMIFS(
  m.vb[valor],
  m.vb[nucleo],$B$1,
  m.vb[variavel],L$7,
  m.vb[mes],$A63
)</f>
        <v>0</v>
      </c>
      <c r="M63" s="121">
        <f ca="1">SUMIFS(
  m.vb[valor],
  m.vb[nucleo],$B$1,
  m.vb[variavel],M$7,
  m.vb[mes],$A63
)</f>
        <v>0</v>
      </c>
      <c r="N63" s="119">
        <f>COUNTIFS(
    tb_estq[empresa], N$6,
    tb_estq[Data da venda / reserva], "&gt;=" &amp; $A63,
    tb_estq[Data da venda / reserva], "&lt;"  &amp; EOMONTH($A63,0) + 1
)</f>
        <v>0</v>
      </c>
      <c r="O63" s="120">
        <f ca="1">SUMIFS(tb_rec_uni[2026-01-01],
INDIRECT("tb_rec_uni[natureza]"),"pro.soluto",
INDIRECT("tb_rec_uni[empresa]"),O$6)</f>
        <v>0</v>
      </c>
      <c r="P63" s="120">
        <f ca="1">SUMIFS(tb_rec_uni[2026-01-01],
INDIRECT("tb_rec_uni[natureza]"),"repasse.cef.obra",
INDIRECT("tb_rec_uni[empresa]"),P$6)</f>
        <v>0</v>
      </c>
      <c r="Q63" s="120">
        <f ca="1">SUMIFS(tb_rec_uni[2026-01-01],
INDIRECT("tb_rec_uni[natureza]"),"repasse.cef.terreno",
INDIRECT("tb_rec_uni[empresa]"),Q$6)</f>
        <v>0</v>
      </c>
      <c r="R63" s="123">
        <v>0</v>
      </c>
      <c r="S63" s="120">
        <f ca="1">SUMIFS(tb_rec_uni[2026-01-01],
INDIRECT("tb_rec_uni[natureza]"),"taxa.extra",
INDIRECT("tb_rec_uni[empresa]"),S$6)</f>
        <v>0</v>
      </c>
      <c r="T63" s="108"/>
      <c r="U63" s="120">
        <f ca="1">SUMIFS(
  m.vb[valor],
  m.vb[nucleo],$N$1,
  m.vb[variavel],U$7,
  m.vb[mes],$A63
)</f>
        <v>0</v>
      </c>
      <c r="V63" s="120">
        <f ca="1">SUMIFS(
  m.vb[valor],
  m.vb[nucleo],$N$1,
  m.vb[variavel],V$7,
  m.vb[mes],$A63
)</f>
        <v>0</v>
      </c>
      <c r="W63" s="120">
        <f ca="1">SUMIFS(
  m.vb[valor],
  m.vb[nucleo],$N$1,
  m.vb[variavel],W$7,
  m.vb[mes],$A63
)</f>
        <v>0</v>
      </c>
      <c r="X63" s="120">
        <f ca="1">SUMIFS(
  m.vb[valor],
  m.vb[nucleo],$N$1,
  m.vb[variavel],X$7,
  m.vb[mes],$A63
)</f>
        <v>0</v>
      </c>
      <c r="Y63" s="121">
        <f ca="1">SUMIFS(
  m.vb[valor],
  m.vb[nucleo],$N$1,
  m.vb[variavel],Y$7,
  m.vb[mes],$A63
)</f>
        <v>0</v>
      </c>
      <c r="Z63" s="119">
        <f>COUNTIFS(
    tb_estq[empresa], Z$6,
    tb_estq[Data da venda / reserva], "&gt;=" &amp; $A63,
    tb_estq[Data da venda / reserva], "&lt;"  &amp; EOMONTH($A63,0) + 1
)</f>
        <v>0</v>
      </c>
      <c r="AA63" s="120">
        <f ca="1">SUMIFS(tb_rec_uni[2026-01-01],
INDIRECT("tb_rec_uni[natureza]"),"pro.soluto",
INDIRECT("tb_rec_uni[empresa]"),AA$6)</f>
        <v>0</v>
      </c>
      <c r="AB63" s="120">
        <f ca="1">SUMIFS(tb_rec_uni[2026-01-01],
INDIRECT("tb_rec_uni[natureza]"),"parcela.fin.total.ik",
INDIRECT("tb_rec_uni[empresa]"),AB$6)</f>
        <v>0</v>
      </c>
      <c r="AC63" s="120">
        <f ca="1">SUMIFS(tb_rec_uni[2026-01-01],
INDIRECT("tb_rec_uni[natureza]"),"taxa.extra",
INDIRECT("tb_rec_uni[empresa]"),AC$6)</f>
        <v>0</v>
      </c>
      <c r="AD63" s="108"/>
      <c r="AE63" s="120">
        <f ca="1">SUMIFS(
  m.vb[valor],
  m.vb[nucleo],$Z$1,
  m.vb[variavel],AE$7,
  m.vb[mes],$A63
)</f>
        <v>0</v>
      </c>
      <c r="AF63" s="120">
        <f ca="1">SUMIFS(
  m.vb[valor],
  m.vb[nucleo],$Z$1,
  m.vb[variavel],AF$7,
  m.vb[mes],$A63
)</f>
        <v>0</v>
      </c>
      <c r="AG63" s="120">
        <f ca="1">SUMIFS(
  m.vb[valor],
  m.vb[nucleo],$Z$1,
  m.vb[variavel],AG$7,
  m.vb[mes],$A63
)</f>
        <v>0</v>
      </c>
      <c r="AH63" s="120">
        <f ca="1">SUMIFS(
  m.vb[valor],
  m.vb[nucleo],$Z$1,
  m.vb[variavel],AH$7,
  m.vb[mes],$A63
)</f>
        <v>0</v>
      </c>
      <c r="AI63" s="121">
        <f ca="1">SUMIFS(
  m.vb[valor],
  m.vb[nucleo],$Z$1,
  m.vb[variavel],AI$7,
  m.vb[mes],$A63
)</f>
        <v>0</v>
      </c>
      <c r="AJ63" s="119">
        <f>COUNTIFS(
    tb_estq[empresa], AJ$6,
    tb_estq[Data da venda / reserva], "&gt;=" &amp; $A63,
    tb_estq[Data da venda / reserva], "&lt;"  &amp; EOMONTH($A63,0) + 1
)</f>
        <v>0</v>
      </c>
      <c r="AK63" s="120">
        <f ca="1">SUMIFS(tb_rec_uni[2026-01-01],
INDIRECT("tb_rec_uni[natureza]"),"pro.soluto",
INDIRECT("tb_rec_uni[empresa]"),AK$6)</f>
        <v>0</v>
      </c>
      <c r="AL63" s="120">
        <f ca="1">SUMIFS(tb_rec_uni[2026-01-01],
INDIRECT("tb_rec_uni[natureza]"),"repasse.cef.obra",
INDIRECT("tb_rec_uni[empresa]"),AL$6)</f>
        <v>0</v>
      </c>
      <c r="AM63" s="123">
        <f ca="1">SUMIFS(tb_rec_uni[2026-01-01],
INDIRECT("tb_rec_uni[natureza]"),"repasse.cef.terreno",
INDIRECT("tb_rec_uni[empresa]"),AM$6)</f>
        <v>0</v>
      </c>
      <c r="AN63" s="123">
        <v>313227.59000000003</v>
      </c>
      <c r="AO63" s="120">
        <f ca="1">SUMIFS(tb_rec_uni[2026-01-01],
INDIRECT("tb_rec_uni[natureza]"),"taxa.extra",
INDIRECT("tb_rec_uni[empresa]"),AO$6)</f>
        <v>0</v>
      </c>
      <c r="AP63" s="108"/>
      <c r="AQ63" s="120">
        <f ca="1">SUMIFS(
  m.vb[valor],
  m.vb[nucleo],$AJ$1,
  m.vb[variavel],AQ$7,
  m.vb[mes],$A63
)</f>
        <v>0</v>
      </c>
      <c r="AR63" s="120">
        <f ca="1">SUMIFS(
  m.vb[valor],
  m.vb[nucleo],$AJ$1,
  m.vb[variavel],AR$7,
  m.vb[mes],$A63
)</f>
        <v>0</v>
      </c>
      <c r="AS63" s="120">
        <f ca="1">SUMIFS(
  m.vb[valor],
  m.vb[nucleo],$AJ$1,
  m.vb[variavel],AS$7,
  m.vb[mes],$A63
)</f>
        <v>0</v>
      </c>
      <c r="AT63" s="120">
        <f ca="1">SUMIFS(
  m.vb[valor],
  m.vb[nucleo],$AJ$1,
  m.vb[variavel],AT$7,
  m.vb[mes],$A63
)</f>
        <v>0</v>
      </c>
      <c r="AU63" s="121">
        <f ca="1">SUMIFS(
  m.vb[valor],
  m.vb[nucleo],$AJ$1,
  m.vb[variavel],AU$7,
  m.vb[mes],$A63
)</f>
        <v>0</v>
      </c>
      <c r="AV63" s="119">
        <f>COUNTIFS(
    tb_estq[empresa], AV$6,
    tb_estq[Data da venda / reserva], "&gt;=" &amp; $A63,
    tb_estq[Data da venda / reserva], "&lt;"  &amp; EOMONTH($A63,0) + 1
)</f>
        <v>0</v>
      </c>
      <c r="AW63" s="120">
        <f ca="1">SUMIFS(tb_rec_uni[2026-01-01],
INDIRECT("tb_rec_uni[natureza]"),"pro.soluto",
INDIRECT("tb_rec_uni[empresa]"),AW$6)</f>
        <v>0</v>
      </c>
      <c r="AX63" s="120">
        <f ca="1">SUMIFS(tb_rec_uni[2026-01-01],
INDIRECT("tb_rec_uni[natureza]"),"repasse.cef.obra",
INDIRECT("tb_rec_uni[empresa]"),AX$6)</f>
        <v>0</v>
      </c>
      <c r="AY63" s="123">
        <f ca="1">SUMIFS(tb_rec_uni[2026-01-01],
INDIRECT("tb_rec_uni[natureza]"),"repasse.cef.terreno",
INDIRECT("tb_rec_uni[empresa]"),AY$6)</f>
        <v>0</v>
      </c>
      <c r="AZ63" s="123">
        <v>513271.28</v>
      </c>
      <c r="BA63" s="120">
        <f ca="1">SUMIFS(tb_rec_uni[2026-01-01],
INDIRECT("tb_rec_uni[natureza]"),"taxa.extra",
INDIRECT("tb_rec_uni[empresa]"),BA$6)</f>
        <v>0</v>
      </c>
      <c r="BB63" s="108"/>
      <c r="BC63" s="120">
        <f ca="1">SUMIFS(
  m.vb[valor],
  m.vb[nucleo],$AV$1,
  m.vb[variavel],BC$7,
  m.vb[mes],$A63
)</f>
        <v>0</v>
      </c>
      <c r="BD63" s="120">
        <f ca="1">SUMIFS(
  m.vb[valor],
  m.vb[nucleo],$AV$1,
  m.vb[variavel],BD$7,
  m.vb[mes],$A63
)</f>
        <v>0</v>
      </c>
      <c r="BE63" s="120">
        <f ca="1">SUMIFS(
  m.vb[valor],
  m.vb[nucleo],$AV$1,
  m.vb[variavel],BE$7,
  m.vb[mes],$A63
)</f>
        <v>0</v>
      </c>
      <c r="BF63" s="120">
        <f ca="1">SUMIFS(
  m.vb[valor],
  m.vb[nucleo],$AV$1,
  m.vb[variavel],BF$7,
  m.vb[mes],$A63
)</f>
        <v>0</v>
      </c>
      <c r="BG63" s="121">
        <f ca="1">SUMIFS(
  m.vb[valor],
  m.vb[nucleo],$AV$1,
  m.vb[variavel],BG$7,
  m.vb[mes],$A63
)</f>
        <v>0</v>
      </c>
      <c r="BH63" s="119">
        <f>COUNTIFS(
    tb_estq[empresa], BH$6,
    tb_estq[Data da venda / reserva], "&gt;=" &amp; $A63,
    tb_estq[Data da venda / reserva], "&lt;"  &amp; EOMONTH($A63,0) + 1
)</f>
        <v>0</v>
      </c>
      <c r="BI63" s="120">
        <f ca="1">SUMIFS(tb_rec_uni[2026-01-01],
INDIRECT("tb_rec_uni[natureza]"),"pro.soluto",
INDIRECT("tb_rec_uni[empresa]"),BI$6)</f>
        <v>0</v>
      </c>
      <c r="BJ63" s="108">
        <f>1.9*94736</f>
        <v>179998.4</v>
      </c>
      <c r="BK63" s="120">
        <f ca="1">SUMIFS(tb_rec_uni[2026-01-01],
INDIRECT("tb_rec_uni[natureza]"),"taxa.extra",
INDIRECT("tb_rec_uni[empresa]"),BK$6)</f>
        <v>0</v>
      </c>
      <c r="BL63" s="108"/>
      <c r="BM63" s="120">
        <f ca="1">SUMIFS(
  m.vb[valor],
  m.vb[nucleo],$BH$1,
  m.vb[variavel],BM$7,
  m.vb[mes],$A63
)</f>
        <v>0</v>
      </c>
      <c r="BN63" s="120">
        <f ca="1">SUMIFS(
  m.vb[valor],
  m.vb[nucleo],$BH$1,
  m.vb[variavel],BN$7,
  m.vb[mes],$A63
)</f>
        <v>0</v>
      </c>
      <c r="BO63" s="120">
        <f ca="1">SUMIFS(
  m.vb[valor],
  m.vb[nucleo],$BH$1,
  m.vb[variavel],BO$7,
  m.vb[mes],$A63
)</f>
        <v>0</v>
      </c>
      <c r="BP63" s="120">
        <f ca="1">SUMIFS(
  m.vb[valor],
  m.vb[nucleo],$BH$1,
  m.vb[variavel],BP$7,
  m.vb[mes],$A63
)</f>
        <v>0</v>
      </c>
      <c r="BQ63" s="121">
        <f ca="1">SUMIFS(
  m.vb[valor],
  m.vb[nucleo],$BH$1,
  m.vb[variavel],BQ$7,
  m.vb[mes],$A63
)</f>
        <v>0</v>
      </c>
      <c r="BR63" s="119">
        <f>COUNTIFS(
    tb_estq[empresa], BR$6,
    tb_estq[Data da venda / reserva], "&gt;=" &amp; $A63,
    tb_estq[Data da venda / reserva], "&lt;"  &amp; EOMONTH($A63,0) + 1
)</f>
        <v>0</v>
      </c>
      <c r="BS63" s="120">
        <f ca="1">SUMIFS(tb_rec_uni[2026-01-01],
INDIRECT("tb_rec_uni[natureza]"),"pro.soluto",
INDIRECT("tb_rec_uni[empresa]"),BS$6)</f>
        <v>0</v>
      </c>
      <c r="BT63" s="120">
        <f ca="1">SUMIFS(tb_rec_uni[2026-01-01],
INDIRECT("tb_rec_uni[natureza]"),"parcela.fin.total.ik",
INDIRECT("tb_rec_uni[empresa]"),BT$6)</f>
        <v>0</v>
      </c>
      <c r="BU63" s="120">
        <f ca="1">SUMIFS(tb_rec_uni[2026-01-01],
INDIRECT("tb_rec_uni[natureza]"),"taxa.extra",
INDIRECT("tb_rec_uni[empresa]"),BU$6)</f>
        <v>0</v>
      </c>
      <c r="BV63" s="108"/>
      <c r="BW63" s="120">
        <f ca="1">SUMIFS(
  m.vb[valor],
  m.vb[nucleo],$BR$1,
  m.vb[variavel],BW$7,
  m.vb[mes],$A63
)</f>
        <v>0</v>
      </c>
      <c r="BX63" s="120">
        <f ca="1">SUMIFS(
  m.vb[valor],
  m.vb[nucleo],$BR$1,
  m.vb[variavel],BX$7,
  m.vb[mes],$A63
)</f>
        <v>0</v>
      </c>
      <c r="BY63" s="120">
        <f ca="1">SUMIFS(
  m.vb[valor],
  m.vb[nucleo],$BR$1,
  m.vb[variavel],BY$7,
  m.vb[mes],$A63
)</f>
        <v>0</v>
      </c>
      <c r="BZ63" s="120">
        <f ca="1">SUMIFS(
  m.vb[valor],
  m.vb[nucleo],$BR$1,
  m.vb[variavel],BZ$7,
  m.vb[mes],$A63
)</f>
        <v>0</v>
      </c>
      <c r="CA63" s="121">
        <f ca="1">SUMIFS(
  m.vb[valor],
  m.vb[nucleo],$BR$1,
  m.vb[variavel],CA$7,
  m.vb[mes],$A63
)</f>
        <v>0</v>
      </c>
      <c r="CB63" s="119">
        <f>COUNTIFS(
    tb_estq[empresa], CB$6,
    tb_estq[Data da venda / reserva], "&gt;=" &amp; $A63,
    tb_estq[Data da venda / reserva], "&lt;"  &amp; EOMONTH($A63,0) + 1
)</f>
        <v>0</v>
      </c>
      <c r="CC63" s="120">
        <f ca="1">SUMIFS(tb_rec_uni[2026-01-01],
INDIRECT("tb_rec_uni[natureza]"),"pro.soluto",
INDIRECT("tb_rec_uni[empresa]"),CC$6)</f>
        <v>0</v>
      </c>
      <c r="CD63" s="120">
        <f ca="1">SUMIFS(tb_rec_uni[2026-01-01],
INDIRECT("tb_rec_uni[natureza]"),"repasse.cef.obra",
INDIRECT("tb_rec_uni[empresa]"),CD$6)</f>
        <v>0</v>
      </c>
      <c r="CE63" s="123">
        <f ca="1">SUMIFS(tb_rec_uni[2026-01-01],
INDIRECT("tb_rec_uni[natureza]"),"repasse.cef.terreno",
INDIRECT("tb_rec_uni[empresa]"),CE$6)</f>
        <v>0</v>
      </c>
      <c r="CF63" s="123">
        <v>311984.76</v>
      </c>
      <c r="CG63" s="120">
        <f ca="1">SUMIFS(tb_rec_uni[2026-01-01],
INDIRECT("tb_rec_uni[natureza]"),"taxa.extra",
INDIRECT("tb_rec_uni[empresa]"),CG$6)</f>
        <v>0</v>
      </c>
      <c r="CH63" s="108"/>
      <c r="CI63" s="120">
        <f ca="1">SUMIFS(
  m.vb[valor],
  m.vb[nucleo],$CB$1,
  m.vb[variavel],CI$7,
  m.vb[mes],$A63
)</f>
        <v>0</v>
      </c>
      <c r="CJ63" s="120">
        <f ca="1">SUMIFS(
  m.vb[valor],
  m.vb[nucleo],$CB$1,
  m.vb[variavel],CJ$7,
  m.vb[mes],$A63
)</f>
        <v>0</v>
      </c>
      <c r="CK63" s="120">
        <f ca="1">SUMIFS(
  m.vb[valor],
  m.vb[nucleo],$CB$1,
  m.vb[variavel],CK$7,
  m.vb[mes],$A63
)</f>
        <v>0</v>
      </c>
      <c r="CL63" s="120">
        <f ca="1">SUMIFS(
  m.vb[valor],
  m.vb[nucleo],$CB$1,
  m.vb[variavel],CL$7,
  m.vb[mes],$A63
)</f>
        <v>0</v>
      </c>
      <c r="CM63" s="121">
        <f ca="1">SUMIFS(
  m.vb[valor],
  m.vb[nucleo],$CB$1,
  m.vb[variavel],CM$7,
  m.vb[mes],$A63
)</f>
        <v>0</v>
      </c>
      <c r="CN63" s="119">
        <f>COUNTIFS(
    tb_estq[empresa], CN$6,
    tb_estq[Data da venda / reserva], "&gt;=" &amp; $A63,
    tb_estq[Data da venda / reserva], "&lt;"  &amp; EOMONTH($A63,0) + 1
)</f>
        <v>0</v>
      </c>
      <c r="CO63" s="120">
        <f ca="1">SUMIFS(tb_rec_uni[2026-01-01],
INDIRECT("tb_rec_uni[natureza]"),"pro.soluto",
INDIRECT("tb_rec_uni[empresa]"),CO$6)</f>
        <v>0</v>
      </c>
      <c r="CP63" s="120">
        <f ca="1">SUMIFS(tb_rec_uni[2026-01-01],
INDIRECT("tb_rec_uni[natureza]"),"repasse.cef.obra",
INDIRECT("tb_rec_uni[empresa]"),CP$6)</f>
        <v>0</v>
      </c>
      <c r="CQ63" s="123">
        <f ca="1">SUMIFS(tb_rec_uni[2026-01-01],
INDIRECT("tb_rec_uni[natureza]"),"repasse.cef.terreno",
INDIRECT("tb_rec_uni[empresa]"),CQ$6)</f>
        <v>0</v>
      </c>
      <c r="CR63" s="123">
        <v>0</v>
      </c>
      <c r="CS63" s="120">
        <f ca="1">SUMIFS(tb_rec_uni[2026-01-01],
INDIRECT("tb_rec_uni[natureza]"),"taxa.extra",
INDIRECT("tb_rec_uni[empresa]"),CS$6)</f>
        <v>0</v>
      </c>
      <c r="CT63" s="108"/>
      <c r="CU63" s="120">
        <f ca="1">SUMIFS(
  m.vb[valor],
  m.vb[nucleo],$CN$1,
  m.vb[variavel],CU$7,
  m.vb[mes],$A63
)</f>
        <v>0</v>
      </c>
      <c r="CV63" s="120" cm="1">
        <f t="array" ref="CV63">SUMPRODUCT(
  IFERROR(--tb_desp[valor],0)*
  (tb_desp[nucleo]="UP MOVE VILA SONIA")*
  (tb_desp[categoria]=CV$7)*
  (tb_desp[data.pagamento]&gt;=$A63)*
  (tb_desp[data.pagamento]&lt;EOMONTH($A63,0)+1)
)</f>
        <v>0</v>
      </c>
      <c r="CW63" s="120" cm="1">
        <f t="array" ref="CW63">SUMPRODUCT(
  IFERROR(--tb_desp[valor],0)*
  (tb_desp[nucleo]="UP MOVE VILA SONIA")*
  (tb_desp[categoria]=CW$7)*
  (tb_desp[data.pagamento]&gt;=$A63)*
  (tb_desp[data.pagamento]&lt;EOMONTH($A63,0)+1)
)</f>
        <v>0</v>
      </c>
      <c r="CX63" s="120" cm="1">
        <f t="array" ref="CX63">SUMPRODUCT(
  IFERROR(--tb_desp[valor],0)*
  (tb_desp[nucleo]="UP MOVE VILA SONIA")*
  (tb_desp[categoria]=CX$7)*
  (tb_desp[data.pagamento]&gt;=$A63)*
  (tb_desp[data.pagamento]&lt;EOMONTH($A63,0)+1)
)</f>
        <v>0</v>
      </c>
      <c r="CY63" s="220" cm="1">
        <f t="array" ref="CY63">SUMPRODUCT(
  IFERROR(--tb_desp[valor],0)*
  (tb_desp[nucleo]="UP MOVE VILA SONIA")*
  (tb_desp[categoria]=CY$7)*
  (tb_desp[data.pagamento]&gt;=$A63)*
  (tb_desp[data.pagamento]&lt;EOMONTH($A63,0)+1)
)</f>
        <v>0</v>
      </c>
    </row>
    <row r="64" spans="1:103" x14ac:dyDescent="0.25">
      <c r="A64" s="118">
        <v>46054</v>
      </c>
      <c r="B64" s="119">
        <f>COUNTIFS(
    tb_estq[empresa], B$6,
    tb_estq[Data da venda / reserva], "&gt;=" &amp; $A64,
    tb_estq[Data da venda / reserva], "&lt;"  &amp; EOMONTH($A64,0) + 1
)</f>
        <v>0</v>
      </c>
      <c r="C64" s="120">
        <f ca="1">SUMIFS(tb_rec_uni[2026-02-01],
INDIRECT("tb_rec_uni[natureza]"),"pro.soluto",
INDIRECT("tb_rec_uni[empresa]"),C$6)</f>
        <v>0</v>
      </c>
      <c r="D64" s="120">
        <f ca="1">SUMIFS(tb_rec_uni[2026-02-01],
INDIRECT("tb_rec_uni[natureza]"),"repasse.cef.obra",
INDIRECT("tb_rec_uni[empresa]"),D$6)</f>
        <v>0</v>
      </c>
      <c r="E64" s="120">
        <f ca="1">SUMIFS(tb_rec_uni[2026-02-01],
INDIRECT("tb_rec_uni[natureza]"),"repasse.cef.terreno",
INDIRECT("tb_rec_uni[empresa]"),E$6)</f>
        <v>0</v>
      </c>
      <c r="F64" s="123">
        <v>46792.36</v>
      </c>
      <c r="G64" s="120">
        <f ca="1">SUMIFS(tb_rec_uni[2026-02-01],
INDIRECT("tb_rec_uni[natureza]"),"taxa.extra",
INDIRECT("tb_rec_uni[empresa]"),G$6)</f>
        <v>0</v>
      </c>
      <c r="H64" s="108"/>
      <c r="I64" s="120">
        <f ca="1">SUMIFS(
  m.vb[valor],
  m.vb[nucleo],$B$1,
  m.vb[variavel],I$7,
  m.vb[mes],$A64
)</f>
        <v>0</v>
      </c>
      <c r="J64" s="120">
        <f ca="1">SUMIFS(
  m.vb[valor],
  m.vb[nucleo],$B$1,
  m.vb[variavel],J$7,
  m.vb[mes],$A64
)</f>
        <v>0</v>
      </c>
      <c r="K64" s="120">
        <f ca="1">SUMIFS(
  m.vb[valor],
  m.vb[nucleo],$B$1,
  m.vb[variavel],K$7,
  m.vb[mes],$A64
)</f>
        <v>0</v>
      </c>
      <c r="L64" s="120">
        <f ca="1">SUMIFS(
  m.vb[valor],
  m.vb[nucleo],$B$1,
  m.vb[variavel],L$7,
  m.vb[mes],$A64
)</f>
        <v>0</v>
      </c>
      <c r="M64" s="120">
        <f ca="1">SUMIFS(
  m.vb[valor],
  m.vb[nucleo],$B$1,
  m.vb[variavel],M$7,
  m.vb[mes],$A64
)</f>
        <v>0</v>
      </c>
      <c r="N64" s="119">
        <f>COUNTIFS(
    tb_estq[empresa], N$6,
    tb_estq[Data da venda / reserva], "&gt;=" &amp; $A64,
    tb_estq[Data da venda / reserva], "&lt;"  &amp; EOMONTH($A64,0) + 1
)</f>
        <v>0</v>
      </c>
      <c r="O64" s="120">
        <f ca="1">SUMIFS(tb_rec_uni[2026-02-01],
INDIRECT("tb_rec_uni[natureza]"),"pro.soluto",
INDIRECT("tb_rec_uni[empresa]"),O$6)</f>
        <v>0</v>
      </c>
      <c r="P64" s="120">
        <f ca="1">SUMIFS(tb_rec_uni[2026-02-01],
INDIRECT("tb_rec_uni[natureza]"),"repasse.cef.obra",
INDIRECT("tb_rec_uni[empresa]"),P$6)</f>
        <v>0</v>
      </c>
      <c r="Q64" s="120">
        <f ca="1">SUMIFS(tb_rec_uni[2026-02-01],
INDIRECT("tb_rec_uni[natureza]"),"repasse.cef.terreno",
INDIRECT("tb_rec_uni[empresa]"),Q$6)</f>
        <v>0</v>
      </c>
      <c r="R64" s="123">
        <v>0</v>
      </c>
      <c r="S64" s="120">
        <f ca="1">SUMIFS(tb_rec_uni[2026-02-01],
INDIRECT("tb_rec_uni[natureza]"),"taxa.extra",
INDIRECT("tb_rec_uni[empresa]"),S$6)</f>
        <v>0</v>
      </c>
      <c r="T64" s="108"/>
      <c r="U64" s="120">
        <f ca="1">SUMIFS(
  m.vb[valor],
  m.vb[nucleo],$N$1,
  m.vb[variavel],U$7,
  m.vb[mes],$A64
)</f>
        <v>0</v>
      </c>
      <c r="V64" s="120">
        <f ca="1">SUMIFS(
  m.vb[valor],
  m.vb[nucleo],$N$1,
  m.vb[variavel],V$7,
  m.vb[mes],$A64
)</f>
        <v>0</v>
      </c>
      <c r="W64" s="120">
        <f ca="1">SUMIFS(
  m.vb[valor],
  m.vb[nucleo],$N$1,
  m.vb[variavel],W$7,
  m.vb[mes],$A64
)</f>
        <v>0</v>
      </c>
      <c r="X64" s="120">
        <f ca="1">SUMIFS(
  m.vb[valor],
  m.vb[nucleo],$N$1,
  m.vb[variavel],X$7,
  m.vb[mes],$A64
)</f>
        <v>0</v>
      </c>
      <c r="Y64" s="120">
        <f ca="1">SUMIFS(
  m.vb[valor],
  m.vb[nucleo],$N$1,
  m.vb[variavel],Y$7,
  m.vb[mes],$A64
)</f>
        <v>0</v>
      </c>
      <c r="Z64" s="119">
        <f>COUNTIFS(
    tb_estq[empresa], Z$6,
    tb_estq[Data da venda / reserva], "&gt;=" &amp; $A64,
    tb_estq[Data da venda / reserva], "&lt;"  &amp; EOMONTH($A64,0) + 1
)</f>
        <v>0</v>
      </c>
      <c r="AA64" s="120">
        <f ca="1">SUMIFS(tb_rec_uni[2026-02-01],
INDIRECT("tb_rec_uni[natureza]"),"pro.soluto",
INDIRECT("tb_rec_uni[empresa]"),AA$6)</f>
        <v>0</v>
      </c>
      <c r="AB64" s="123">
        <f ca="1">SUMIFS(tb_rec_uni[2026-02-01],
INDIRECT("tb_rec_uni[natureza]"),"parcela.fin.total.ik",
INDIRECT("tb_rec_uni[empresa]"),AB$6)</f>
        <v>0</v>
      </c>
      <c r="AC64" s="120">
        <f ca="1">SUMIFS(tb_rec_uni[2026-02-01],
INDIRECT("tb_rec_uni[natureza]"),"taxa.extra",
INDIRECT("tb_rec_uni[empresa]"),AC$6)</f>
        <v>0</v>
      </c>
      <c r="AD64" s="108"/>
      <c r="AE64" s="120">
        <f ca="1">SUMIFS(
  m.vb[valor],
  m.vb[nucleo],$Z$1,
  m.vb[variavel],AE$7,
  m.vb[mes],$A64
)</f>
        <v>0</v>
      </c>
      <c r="AF64" s="120">
        <f ca="1">SUMIFS(
  m.vb[valor],
  m.vb[nucleo],$Z$1,
  m.vb[variavel],AF$7,
  m.vb[mes],$A64
)</f>
        <v>0</v>
      </c>
      <c r="AG64" s="120">
        <f ca="1">SUMIFS(
  m.vb[valor],
  m.vb[nucleo],$Z$1,
  m.vb[variavel],AG$7,
  m.vb[mes],$A64
)</f>
        <v>0</v>
      </c>
      <c r="AH64" s="120">
        <f ca="1">SUMIFS(
  m.vb[valor],
  m.vb[nucleo],$Z$1,
  m.vb[variavel],AH$7,
  m.vb[mes],$A64
)</f>
        <v>0</v>
      </c>
      <c r="AI64" s="120">
        <f ca="1">SUMIFS(
  m.vb[valor],
  m.vb[nucleo],$Z$1,
  m.vb[variavel],AI$7,
  m.vb[mes],$A64
)</f>
        <v>0</v>
      </c>
      <c r="AJ64" s="119">
        <f>COUNTIFS(
    tb_estq[empresa], AJ$6,
    tb_estq[Data da venda / reserva], "&gt;=" &amp; $A64,
    tb_estq[Data da venda / reserva], "&lt;"  &amp; EOMONTH($A64,0) + 1
)</f>
        <v>0</v>
      </c>
      <c r="AK64" s="120">
        <f ca="1">SUMIFS(tb_rec_uni[2026-02-01],
INDIRECT("tb_rec_uni[natureza]"),"pro.soluto",
INDIRECT("tb_rec_uni[empresa]"),AK$6)</f>
        <v>0</v>
      </c>
      <c r="AL64" s="120">
        <f ca="1">SUMIFS(tb_rec_uni[2026-02-01],
INDIRECT("tb_rec_uni[natureza]"),"repasse.cef.obra",
INDIRECT("tb_rec_uni[empresa]"),AL$6)</f>
        <v>0</v>
      </c>
      <c r="AM64" s="123">
        <f ca="1">SUMIFS(tb_rec_uni[2026-02-01],
INDIRECT("tb_rec_uni[natureza]"),"repasse.cef.terreno",
INDIRECT("tb_rec_uni[empresa]"),AM$6)</f>
        <v>0</v>
      </c>
      <c r="AN64" s="123">
        <v>0</v>
      </c>
      <c r="AO64" s="120">
        <f ca="1">SUMIFS(tb_rec_uni[2026-02-01],
INDIRECT("tb_rec_uni[natureza]"),"taxa.extra",
INDIRECT("tb_rec_uni[empresa]"),AO$6)</f>
        <v>0</v>
      </c>
      <c r="AP64" s="108"/>
      <c r="AQ64" s="120">
        <f ca="1">SUMIFS(
  m.vb[valor],
  m.vb[nucleo],$AJ$1,
  m.vb[variavel],AQ$7,
  m.vb[mes],$A64
)</f>
        <v>0</v>
      </c>
      <c r="AR64" s="120">
        <f ca="1">SUMIFS(
  m.vb[valor],
  m.vb[nucleo],$AJ$1,
  m.vb[variavel],AR$7,
  m.vb[mes],$A64
)</f>
        <v>0</v>
      </c>
      <c r="AS64" s="120">
        <f ca="1">SUMIFS(
  m.vb[valor],
  m.vb[nucleo],$AJ$1,
  m.vb[variavel],AS$7,
  m.vb[mes],$A64
)</f>
        <v>0</v>
      </c>
      <c r="AT64" s="120">
        <f ca="1">SUMIFS(
  m.vb[valor],
  m.vb[nucleo],$AJ$1,
  m.vb[variavel],AT$7,
  m.vb[mes],$A64
)</f>
        <v>0</v>
      </c>
      <c r="AU64" s="120">
        <f ca="1">SUMIFS(
  m.vb[valor],
  m.vb[nucleo],$AJ$1,
  m.vb[variavel],AU$7,
  m.vb[mes],$A64
)</f>
        <v>0</v>
      </c>
      <c r="AV64" s="119">
        <f>COUNTIFS(
    tb_estq[empresa], AV$6,
    tb_estq[Data da venda / reserva], "&gt;=" &amp; $A64,
    tb_estq[Data da venda / reserva], "&lt;"  &amp; EOMONTH($A64,0) + 1
)</f>
        <v>0</v>
      </c>
      <c r="AW64" s="120">
        <f ca="1">SUMIFS(tb_rec_uni[2026-02-01],
INDIRECT("tb_rec_uni[natureza]"),"pro.soluto",
INDIRECT("tb_rec_uni[empresa]"),AW$6)</f>
        <v>0</v>
      </c>
      <c r="AX64" s="120">
        <f ca="1">SUMIFS(tb_rec_uni[2026-02-01],
INDIRECT("tb_rec_uni[natureza]"),"repasse.cef.obra",
INDIRECT("tb_rec_uni[empresa]"),AX$6)</f>
        <v>0</v>
      </c>
      <c r="AY64" s="123">
        <f ca="1">SUMIFS(tb_rec_uni[2026-02-01],
INDIRECT("tb_rec_uni[natureza]"),"repasse.cef.terreno",
INDIRECT("tb_rec_uni[empresa]"),AY$6)</f>
        <v>0</v>
      </c>
      <c r="AZ64" s="123">
        <v>272968.38</v>
      </c>
      <c r="BA64" s="120">
        <f ca="1">SUMIFS(tb_rec_uni[2026-02-01],
INDIRECT("tb_rec_uni[natureza]"),"taxa.extra",
INDIRECT("tb_rec_uni[empresa]"),BA$6)</f>
        <v>0</v>
      </c>
      <c r="BB64" s="108"/>
      <c r="BC64" s="120">
        <f ca="1">SUMIFS(
  m.vb[valor],
  m.vb[nucleo],$AV$1,
  m.vb[variavel],BC$7,
  m.vb[mes],$A64
)</f>
        <v>0</v>
      </c>
      <c r="BD64" s="120">
        <f ca="1">SUMIFS(
  m.vb[valor],
  m.vb[nucleo],$AV$1,
  m.vb[variavel],BD$7,
  m.vb[mes],$A64
)</f>
        <v>0</v>
      </c>
      <c r="BE64" s="120">
        <f ca="1">SUMIFS(
  m.vb[valor],
  m.vb[nucleo],$AV$1,
  m.vb[variavel],BE$7,
  m.vb[mes],$A64
)</f>
        <v>0</v>
      </c>
      <c r="BF64" s="120">
        <f ca="1">SUMIFS(
  m.vb[valor],
  m.vb[nucleo],$AV$1,
  m.vb[variavel],BF$7,
  m.vb[mes],$A64
)</f>
        <v>0</v>
      </c>
      <c r="BG64" s="120">
        <f ca="1">SUMIFS(
  m.vb[valor],
  m.vb[nucleo],$AV$1,
  m.vb[variavel],BG$7,
  m.vb[mes],$A64
)</f>
        <v>0</v>
      </c>
      <c r="BH64" s="119">
        <f>COUNTIFS(
    tb_estq[empresa], BH$6,
    tb_estq[Data da venda / reserva], "&gt;=" &amp; $A64,
    tb_estq[Data da venda / reserva], "&lt;"  &amp; EOMONTH($A64,0) + 1
)</f>
        <v>0</v>
      </c>
      <c r="BI64" s="120">
        <f ca="1">SUMIFS(tb_rec_uni[2026-02-01],
INDIRECT("tb_rec_uni[natureza]"),"pro.soluto",
INDIRECT("tb_rec_uni[empresa]"),BI$6)</f>
        <v>0</v>
      </c>
      <c r="BJ64" s="124">
        <f>2.88*94736</f>
        <v>272839.67999999999</v>
      </c>
      <c r="BK64" s="120">
        <f ca="1">SUMIFS(tb_rec_uni[2026-02-01],
INDIRECT("tb_rec_uni[natureza]"),"taxa.extra",
INDIRECT("tb_rec_uni[empresa]"),BK$6)</f>
        <v>0</v>
      </c>
      <c r="BL64" s="108"/>
      <c r="BM64" s="120">
        <f ca="1">SUMIFS(
  m.vb[valor],
  m.vb[nucleo],$BH$1,
  m.vb[variavel],BM$7,
  m.vb[mes],$A64
)</f>
        <v>0</v>
      </c>
      <c r="BN64" s="120">
        <f ca="1">SUMIFS(
  m.vb[valor],
  m.vb[nucleo],$BH$1,
  m.vb[variavel],BN$7,
  m.vb[mes],$A64
)</f>
        <v>0</v>
      </c>
      <c r="BO64" s="120">
        <f ca="1">SUMIFS(
  m.vb[valor],
  m.vb[nucleo],$BH$1,
  m.vb[variavel],BO$7,
  m.vb[mes],$A64
)</f>
        <v>0</v>
      </c>
      <c r="BP64" s="120">
        <f ca="1">SUMIFS(
  m.vb[valor],
  m.vb[nucleo],$BH$1,
  m.vb[variavel],BP$7,
  m.vb[mes],$A64
)</f>
        <v>0</v>
      </c>
      <c r="BQ64" s="120">
        <f ca="1">SUMIFS(
  m.vb[valor],
  m.vb[nucleo],$BH$1,
  m.vb[variavel],BQ$7,
  m.vb[mes],$A64
)</f>
        <v>0</v>
      </c>
      <c r="BR64" s="119">
        <f>COUNTIFS(
    tb_estq[empresa], BR$6,
    tb_estq[Data da venda / reserva], "&gt;=" &amp; $A64,
    tb_estq[Data da venda / reserva], "&lt;"  &amp; EOMONTH($A64,0) + 1
)</f>
        <v>0</v>
      </c>
      <c r="BS64" s="120">
        <f ca="1">SUMIFS(tb_rec_uni[2026-02-01],
INDIRECT("tb_rec_uni[natureza]"),"pro.soluto",
INDIRECT("tb_rec_uni[empresa]"),BS$6)</f>
        <v>0</v>
      </c>
      <c r="BT64" s="123">
        <f ca="1">SUMIFS(tb_rec_uni[2026-02-01],
INDIRECT("tb_rec_uni[natureza]"),"parcela.fin.total.ik",
INDIRECT("tb_rec_uni[empresa]"),BT$6)</f>
        <v>0</v>
      </c>
      <c r="BU64" s="120">
        <f ca="1">SUMIFS(tb_rec_uni[2026-02-01],
INDIRECT("tb_rec_uni[natureza]"),"taxa.extra",
INDIRECT("tb_rec_uni[empresa]"),BU$6)</f>
        <v>0</v>
      </c>
      <c r="BV64" s="108"/>
      <c r="BW64" s="120">
        <f ca="1">SUMIFS(
  m.vb[valor],
  m.vb[nucleo],$BR$1,
  m.vb[variavel],BW$7,
  m.vb[mes],$A64
)</f>
        <v>0</v>
      </c>
      <c r="BX64" s="120">
        <f ca="1">SUMIFS(
  m.vb[valor],
  m.vb[nucleo],$BR$1,
  m.vb[variavel],BX$7,
  m.vb[mes],$A64
)</f>
        <v>0</v>
      </c>
      <c r="BY64" s="120">
        <f ca="1">SUMIFS(
  m.vb[valor],
  m.vb[nucleo],$BR$1,
  m.vb[variavel],BY$7,
  m.vb[mes],$A64
)</f>
        <v>0</v>
      </c>
      <c r="BZ64" s="120">
        <f ca="1">SUMIFS(
  m.vb[valor],
  m.vb[nucleo],$BR$1,
  m.vb[variavel],BZ$7,
  m.vb[mes],$A64
)</f>
        <v>0</v>
      </c>
      <c r="CA64" s="120">
        <f ca="1">SUMIFS(
  m.vb[valor],
  m.vb[nucleo],$BR$1,
  m.vb[variavel],CA$7,
  m.vb[mes],$A64
)</f>
        <v>0</v>
      </c>
      <c r="CB64" s="119">
        <f>COUNTIFS(
    tb_estq[empresa], CB$6,
    tb_estq[Data da venda / reserva], "&gt;=" &amp; $A64,
    tb_estq[Data da venda / reserva], "&lt;"  &amp; EOMONTH($A64,0) + 1
)</f>
        <v>0</v>
      </c>
      <c r="CC64" s="120">
        <f ca="1">SUMIFS(tb_rec_uni[2026-02-01],
INDIRECT("tb_rec_uni[natureza]"),"pro.soluto",
INDIRECT("tb_rec_uni[empresa]"),CC$6)</f>
        <v>0</v>
      </c>
      <c r="CD64" s="120">
        <f ca="1">SUMIFS(tb_rec_uni[2026-02-01],
INDIRECT("tb_rec_uni[natureza]"),"repasse.cef.obra",
INDIRECT("tb_rec_uni[empresa]"),CD$6)</f>
        <v>0</v>
      </c>
      <c r="CE64" s="123">
        <f ca="1">SUMIFS(tb_rec_uni[2026-02-01],
INDIRECT("tb_rec_uni[natureza]"),"repasse.cef.terreno",
INDIRECT("tb_rec_uni[empresa]"),CE$6)</f>
        <v>0</v>
      </c>
      <c r="CF64" s="123">
        <v>378029.53</v>
      </c>
      <c r="CG64" s="120">
        <f ca="1">SUMIFS(tb_rec_uni[2026-02-01],
INDIRECT("tb_rec_uni[natureza]"),"taxa.extra",
INDIRECT("tb_rec_uni[empresa]"),CG$6)</f>
        <v>0</v>
      </c>
      <c r="CH64" s="108"/>
      <c r="CI64" s="120">
        <f ca="1">SUMIFS(
  m.vb[valor],
  m.vb[nucleo],$CB$1,
  m.vb[variavel],CI$7,
  m.vb[mes],$A64
)</f>
        <v>0</v>
      </c>
      <c r="CJ64" s="120">
        <f ca="1">SUMIFS(
  m.vb[valor],
  m.vb[nucleo],$CB$1,
  m.vb[variavel],CJ$7,
  m.vb[mes],$A64
)</f>
        <v>0</v>
      </c>
      <c r="CK64" s="120">
        <f ca="1">SUMIFS(
  m.vb[valor],
  m.vb[nucleo],$CB$1,
  m.vb[variavel],CK$7,
  m.vb[mes],$A64
)</f>
        <v>0</v>
      </c>
      <c r="CL64" s="120">
        <f ca="1">SUMIFS(
  m.vb[valor],
  m.vb[nucleo],$CB$1,
  m.vb[variavel],CL$7,
  m.vb[mes],$A64
)</f>
        <v>0</v>
      </c>
      <c r="CM64" s="120">
        <f ca="1">SUMIFS(
  m.vb[valor],
  m.vb[nucleo],$CB$1,
  m.vb[variavel],CM$7,
  m.vb[mes],$A64
)</f>
        <v>0</v>
      </c>
      <c r="CN64" s="119">
        <f>COUNTIFS(
    tb_estq[empresa], CN$6,
    tb_estq[Data da venda / reserva], "&gt;=" &amp; $A64,
    tb_estq[Data da venda / reserva], "&lt;"  &amp; EOMONTH($A64,0) + 1
)</f>
        <v>0</v>
      </c>
      <c r="CO64" s="120">
        <f ca="1">SUMIFS(tb_rec_uni[2026-02-01],
INDIRECT("tb_rec_uni[natureza]"),"pro.soluto",
INDIRECT("tb_rec_uni[empresa]"),CO$6)</f>
        <v>0</v>
      </c>
      <c r="CP64" s="120">
        <f ca="1">SUMIFS(tb_rec_uni[2026-02-01],
INDIRECT("tb_rec_uni[natureza]"),"repasse.cef.obra",
INDIRECT("tb_rec_uni[empresa]"),CP$6)</f>
        <v>0</v>
      </c>
      <c r="CQ64" s="123">
        <f ca="1">SUMIFS(tb_rec_uni[2026-02-01],
INDIRECT("tb_rec_uni[natureza]"),"repasse.cef.terreno",
INDIRECT("tb_rec_uni[empresa]"),CQ$6)</f>
        <v>0</v>
      </c>
      <c r="CR64" s="123">
        <v>0</v>
      </c>
      <c r="CS64" s="120">
        <f ca="1">SUMIFS(tb_rec_uni[2026-02-01],
INDIRECT("tb_rec_uni[natureza]"),"taxa.extra",
INDIRECT("tb_rec_uni[empresa]"),CS$6)</f>
        <v>0</v>
      </c>
      <c r="CT64" s="108"/>
      <c r="CU64" s="120">
        <f ca="1">SUMIFS(
  m.vb[valor],
  m.vb[nucleo],$CN$1,
  m.vb[variavel],CU$7,
  m.vb[mes],$A64
)</f>
        <v>0</v>
      </c>
      <c r="CV64" s="120" cm="1">
        <f t="array" ref="CV64">SUMPRODUCT(
  IFERROR(--tb_desp[valor],0)*
  (tb_desp[nucleo]="UP MOVE VILA SONIA")*
  (tb_desp[categoria]=CV$7)*
  (tb_desp[data.pagamento]&gt;=$A64)*
  (tb_desp[data.pagamento]&lt;EOMONTH($A64,0)+1)
)</f>
        <v>0</v>
      </c>
      <c r="CW64" s="120" cm="1">
        <f t="array" ref="CW64">SUMPRODUCT(
  IFERROR(--tb_desp[valor],0)*
  (tb_desp[nucleo]="UP MOVE VILA SONIA")*
  (tb_desp[categoria]=CW$7)*
  (tb_desp[data.pagamento]&gt;=$A64)*
  (tb_desp[data.pagamento]&lt;EOMONTH($A64,0)+1)
)</f>
        <v>0</v>
      </c>
      <c r="CX64" s="120" cm="1">
        <f t="array" ref="CX64">SUMPRODUCT(
  IFERROR(--tb_desp[valor],0)*
  (tb_desp[nucleo]="UP MOVE VILA SONIA")*
  (tb_desp[categoria]=CX$7)*
  (tb_desp[data.pagamento]&gt;=$A64)*
  (tb_desp[data.pagamento]&lt;EOMONTH($A64,0)+1)
)</f>
        <v>0</v>
      </c>
      <c r="CY64" s="220" cm="1">
        <f t="array" ref="CY64">SUMPRODUCT(
  IFERROR(--tb_desp[valor],0)*
  (tb_desp[nucleo]="UP MOVE VILA SONIA")*
  (tb_desp[categoria]=CY$7)*
  (tb_desp[data.pagamento]&gt;=$A64)*
  (tb_desp[data.pagamento]&lt;EOMONTH($A64,0)+1)
)</f>
        <v>0</v>
      </c>
    </row>
    <row r="65" spans="1:103" x14ac:dyDescent="0.25">
      <c r="A65" s="118">
        <v>46082</v>
      </c>
      <c r="B65" s="119">
        <f>COUNTIFS(
    tb_estq[empresa], B$6,
    tb_estq[Data da venda / reserva], "&gt;=" &amp; $A65,
    tb_estq[Data da venda / reserva], "&lt;"  &amp; EOMONTH($A65,0) + 1
)</f>
        <v>0</v>
      </c>
      <c r="C65" s="120">
        <f ca="1">SUMIFS(tb_rec_uni[2026-03-01],
INDIRECT("tb_rec_uni[natureza]"),"pro.soluto",
INDIRECT("tb_rec_uni[empresa]"),C$6)</f>
        <v>0</v>
      </c>
      <c r="D65" s="120">
        <f ca="1">SUMIFS(tb_rec_uni[2026-03-01],
INDIRECT("tb_rec_uni[natureza]"),"repasse.cef.obra",
INDIRECT("tb_rec_uni[empresa]"),D$6)</f>
        <v>0</v>
      </c>
      <c r="E65" s="120">
        <f ca="1">SUMIFS(tb_rec_uni[2026-03-01],
INDIRECT("tb_rec_uni[natureza]"),"repasse.cef.terreno",
INDIRECT("tb_rec_uni[empresa]"),E$6)</f>
        <v>0</v>
      </c>
      <c r="F65" s="123">
        <v>0</v>
      </c>
      <c r="G65" s="120">
        <f ca="1">SUMIFS(tb_rec_uni[2026-03-01],
INDIRECT("tb_rec_uni[natureza]"),"taxa.extra",
INDIRECT("tb_rec_uni[empresa]"),G$6)</f>
        <v>0</v>
      </c>
      <c r="H65" s="108"/>
      <c r="I65" s="120">
        <f ca="1">SUMIFS(
  m.vb[valor],
  m.vb[nucleo],$B$1,
  m.vb[variavel],I$7,
  m.vb[mes],$A65
)</f>
        <v>0</v>
      </c>
      <c r="J65" s="120">
        <f ca="1">SUMIFS(
  m.vb[valor],
  m.vb[nucleo],$B$1,
  m.vb[variavel],J$7,
  m.vb[mes],$A65
)</f>
        <v>0</v>
      </c>
      <c r="K65" s="120">
        <f ca="1">SUMIFS(
  m.vb[valor],
  m.vb[nucleo],$B$1,
  m.vb[variavel],K$7,
  m.vb[mes],$A65
)</f>
        <v>0</v>
      </c>
      <c r="L65" s="120">
        <f ca="1">SUMIFS(
  m.vb[valor],
  m.vb[nucleo],$B$1,
  m.vb[variavel],L$7,
  m.vb[mes],$A65
)</f>
        <v>0</v>
      </c>
      <c r="M65" s="120">
        <f ca="1">SUMIFS(
  m.vb[valor],
  m.vb[nucleo],$B$1,
  m.vb[variavel],M$7,
  m.vb[mes],$A65
)</f>
        <v>0</v>
      </c>
      <c r="N65" s="119">
        <f>COUNTIFS(
    tb_estq[empresa], N$6,
    tb_estq[Data da venda / reserva], "&gt;=" &amp; $A65,
    tb_estq[Data da venda / reserva], "&lt;"  &amp; EOMONTH($A65,0) + 1
)</f>
        <v>0</v>
      </c>
      <c r="O65" s="120">
        <f ca="1">SUMIFS(tb_rec_uni[2026-03-01],
INDIRECT("tb_rec_uni[natureza]"),"pro.soluto",
INDIRECT("tb_rec_uni[empresa]"),O$6)</f>
        <v>0</v>
      </c>
      <c r="P65" s="120">
        <f ca="1">SUMIFS(tb_rec_uni[2026-03-01],
INDIRECT("tb_rec_uni[natureza]"),"repasse.cef.obra",
INDIRECT("tb_rec_uni[empresa]"),P$6)</f>
        <v>0</v>
      </c>
      <c r="Q65" s="120">
        <f ca="1">SUMIFS(tb_rec_uni[2026-03-01],
INDIRECT("tb_rec_uni[natureza]"),"repasse.cef.terreno",
INDIRECT("tb_rec_uni[empresa]"),Q$6)</f>
        <v>0</v>
      </c>
      <c r="R65" s="123">
        <v>0</v>
      </c>
      <c r="S65" s="120">
        <f ca="1">SUMIFS(tb_rec_uni[2026-03-01],
INDIRECT("tb_rec_uni[natureza]"),"taxa.extra",
INDIRECT("tb_rec_uni[empresa]"),S$6)</f>
        <v>0</v>
      </c>
      <c r="T65" s="108"/>
      <c r="U65" s="120">
        <f ca="1">SUMIFS(
  m.vb[valor],
  m.vb[nucleo],$N$1,
  m.vb[variavel],U$7,
  m.vb[mes],$A65
)</f>
        <v>0</v>
      </c>
      <c r="V65" s="120">
        <f ca="1">SUMIFS(
  m.vb[valor],
  m.vb[nucleo],$N$1,
  m.vb[variavel],V$7,
  m.vb[mes],$A65
)</f>
        <v>0</v>
      </c>
      <c r="W65" s="120">
        <f ca="1">SUMIFS(
  m.vb[valor],
  m.vb[nucleo],$N$1,
  m.vb[variavel],W$7,
  m.vb[mes],$A65
)</f>
        <v>0</v>
      </c>
      <c r="X65" s="120">
        <f ca="1">SUMIFS(
  m.vb[valor],
  m.vb[nucleo],$N$1,
  m.vb[variavel],X$7,
  m.vb[mes],$A65
)</f>
        <v>0</v>
      </c>
      <c r="Y65" s="120">
        <f ca="1">SUMIFS(
  m.vb[valor],
  m.vb[nucleo],$N$1,
  m.vb[variavel],Y$7,
  m.vb[mes],$A65
)</f>
        <v>0</v>
      </c>
      <c r="Z65" s="119">
        <f>COUNTIFS(
    tb_estq[empresa], Z$6,
    tb_estq[Data da venda / reserva], "&gt;=" &amp; $A65,
    tb_estq[Data da venda / reserva], "&lt;"  &amp; EOMONTH($A65,0) + 1
)</f>
        <v>0</v>
      </c>
      <c r="AA65" s="120">
        <f ca="1">SUMIFS(tb_rec_uni[2026-03-01],
INDIRECT("tb_rec_uni[natureza]"),"pro.soluto",
INDIRECT("tb_rec_uni[empresa]"),AA$6)</f>
        <v>0</v>
      </c>
      <c r="AB65" s="123">
        <f ca="1">SUMIFS(tb_rec_uni[2026-03-01],
INDIRECT("tb_rec_uni[natureza]"),"parcela.fin.total.ik",
INDIRECT("tb_rec_uni[empresa]"),AB$6)</f>
        <v>0</v>
      </c>
      <c r="AC65" s="120">
        <f ca="1">SUMIFS(tb_rec_uni[2026-03-01],
INDIRECT("tb_rec_uni[natureza]"),"taxa.extra",
INDIRECT("tb_rec_uni[empresa]"),AC$6)</f>
        <v>0</v>
      </c>
      <c r="AD65" s="108"/>
      <c r="AE65" s="120">
        <f ca="1">SUMIFS(
  m.vb[valor],
  m.vb[nucleo],$Z$1,
  m.vb[variavel],AE$7,
  m.vb[mes],$A65
)</f>
        <v>0</v>
      </c>
      <c r="AF65" s="120">
        <f ca="1">SUMIFS(
  m.vb[valor],
  m.vb[nucleo],$Z$1,
  m.vb[variavel],AF$7,
  m.vb[mes],$A65
)</f>
        <v>0</v>
      </c>
      <c r="AG65" s="120">
        <f ca="1">SUMIFS(
  m.vb[valor],
  m.vb[nucleo],$Z$1,
  m.vb[variavel],AG$7,
  m.vb[mes],$A65
)</f>
        <v>0</v>
      </c>
      <c r="AH65" s="120">
        <f ca="1">SUMIFS(
  m.vb[valor],
  m.vb[nucleo],$Z$1,
  m.vb[variavel],AH$7,
  m.vb[mes],$A65
)</f>
        <v>0</v>
      </c>
      <c r="AI65" s="120">
        <f ca="1">SUMIFS(
  m.vb[valor],
  m.vb[nucleo],$Z$1,
  m.vb[variavel],AI$7,
  m.vb[mes],$A65
)</f>
        <v>0</v>
      </c>
      <c r="AJ65" s="119">
        <f>COUNTIFS(
    tb_estq[empresa], AJ$6,
    tb_estq[Data da venda / reserva], "&gt;=" &amp; $A65,
    tb_estq[Data da venda / reserva], "&lt;"  &amp; EOMONTH($A65,0) + 1
)</f>
        <v>0</v>
      </c>
      <c r="AK65" s="120">
        <f ca="1">SUMIFS(tb_rec_uni[2026-03-01],
INDIRECT("tb_rec_uni[natureza]"),"pro.soluto",
INDIRECT("tb_rec_uni[empresa]"),AK$6)</f>
        <v>0</v>
      </c>
      <c r="AL65" s="120">
        <f ca="1">SUMIFS(tb_rec_uni[2026-03-01],
INDIRECT("tb_rec_uni[natureza]"),"repasse.cef.obra",
INDIRECT("tb_rec_uni[empresa]"),AL$6)</f>
        <v>0</v>
      </c>
      <c r="AM65" s="123">
        <f ca="1">SUMIFS(tb_rec_uni[2026-03-01],
INDIRECT("tb_rec_uni[natureza]"),"repasse.cef.terreno",
INDIRECT("tb_rec_uni[empresa]"),AM$6)</f>
        <v>0</v>
      </c>
      <c r="AN65" s="123">
        <f>222607.79+305642.19</f>
        <v>528249.98</v>
      </c>
      <c r="AO65" s="120">
        <f ca="1">SUMIFS(tb_rec_uni[2026-03-01],
INDIRECT("tb_rec_uni[natureza]"),"taxa.extra",
INDIRECT("tb_rec_uni[empresa]"),AO$6)</f>
        <v>0</v>
      </c>
      <c r="AP65" s="108"/>
      <c r="AQ65" s="120">
        <f ca="1">SUMIFS(
  m.vb[valor],
  m.vb[nucleo],$AJ$1,
  m.vb[variavel],AQ$7,
  m.vb[mes],$A65
)</f>
        <v>0</v>
      </c>
      <c r="AR65" s="120">
        <f ca="1">SUMIFS(
  m.vb[valor],
  m.vb[nucleo],$AJ$1,
  m.vb[variavel],AR$7,
  m.vb[mes],$A65
)</f>
        <v>0</v>
      </c>
      <c r="AS65" s="120">
        <f ca="1">SUMIFS(
  m.vb[valor],
  m.vb[nucleo],$AJ$1,
  m.vb[variavel],AS$7,
  m.vb[mes],$A65
)</f>
        <v>0</v>
      </c>
      <c r="AT65" s="120">
        <f ca="1">SUMIFS(
  m.vb[valor],
  m.vb[nucleo],$AJ$1,
  m.vb[variavel],AT$7,
  m.vb[mes],$A65
)</f>
        <v>0</v>
      </c>
      <c r="AU65" s="120">
        <f ca="1">SUMIFS(
  m.vb[valor],
  m.vb[nucleo],$AJ$1,
  m.vb[variavel],AU$7,
  m.vb[mes],$A65
)</f>
        <v>0</v>
      </c>
      <c r="AV65" s="119">
        <f>COUNTIFS(
    tb_estq[empresa], AV$6,
    tb_estq[Data da venda / reserva], "&gt;=" &amp; $A65,
    tb_estq[Data da venda / reserva], "&lt;"  &amp; EOMONTH($A65,0) + 1
)</f>
        <v>0</v>
      </c>
      <c r="AW65" s="120">
        <f ca="1">SUMIFS(tb_rec_uni[2026-03-01],
INDIRECT("tb_rec_uni[natureza]"),"pro.soluto",
INDIRECT("tb_rec_uni[empresa]"),AW$6)</f>
        <v>0</v>
      </c>
      <c r="AX65" s="120">
        <f ca="1">SUMIFS(tb_rec_uni[2026-03-01],
INDIRECT("tb_rec_uni[natureza]"),"repasse.cef.obra",
INDIRECT("tb_rec_uni[empresa]"),AX$6)</f>
        <v>0</v>
      </c>
      <c r="AY65" s="123">
        <f ca="1">SUMIFS(tb_rec_uni[2026-03-01],
INDIRECT("tb_rec_uni[natureza]"),"repasse.cef.terreno",
INDIRECT("tb_rec_uni[empresa]"),AY$6)</f>
        <v>0</v>
      </c>
      <c r="AZ65" s="123">
        <v>1245070.1599999999</v>
      </c>
      <c r="BA65" s="120">
        <f ca="1">SUMIFS(tb_rec_uni[2026-03-01],
INDIRECT("tb_rec_uni[natureza]"),"taxa.extra",
INDIRECT("tb_rec_uni[empresa]"),BA$6)</f>
        <v>0</v>
      </c>
      <c r="BB65" s="108"/>
      <c r="BC65" s="120">
        <f ca="1">SUMIFS(
  m.vb[valor],
  m.vb[nucleo],$AV$1,
  m.vb[variavel],BC$7,
  m.vb[mes],$A65
)</f>
        <v>0</v>
      </c>
      <c r="BD65" s="120">
        <f ca="1">SUMIFS(
  m.vb[valor],
  m.vb[nucleo],$AV$1,
  m.vb[variavel],BD$7,
  m.vb[mes],$A65
)</f>
        <v>0</v>
      </c>
      <c r="BE65" s="120">
        <f ca="1">SUMIFS(
  m.vb[valor],
  m.vb[nucleo],$AV$1,
  m.vb[variavel],BE$7,
  m.vb[mes],$A65
)</f>
        <v>0</v>
      </c>
      <c r="BF65" s="120">
        <f ca="1">SUMIFS(
  m.vb[valor],
  m.vb[nucleo],$AV$1,
  m.vb[variavel],BF$7,
  m.vb[mes],$A65
)</f>
        <v>0</v>
      </c>
      <c r="BG65" s="120">
        <f ca="1">SUMIFS(
  m.vb[valor],
  m.vb[nucleo],$AV$1,
  m.vb[variavel],BG$7,
  m.vb[mes],$A65
)</f>
        <v>0</v>
      </c>
      <c r="BH65" s="119">
        <f>COUNTIFS(
    tb_estq[empresa], BH$6,
    tb_estq[Data da venda / reserva], "&gt;=" &amp; $A65,
    tb_estq[Data da venda / reserva], "&lt;"  &amp; EOMONTH($A65,0) + 1
)</f>
        <v>0</v>
      </c>
      <c r="BI65" s="120">
        <f ca="1">SUMIFS(tb_rec_uni[2026-03-01],
INDIRECT("tb_rec_uni[natureza]"),"pro.soluto",
INDIRECT("tb_rec_uni[empresa]"),BI$6)</f>
        <v>0</v>
      </c>
      <c r="BJ65" s="124">
        <f>6.76*94736</f>
        <v>640415.36</v>
      </c>
      <c r="BK65" s="120">
        <f ca="1">SUMIFS(tb_rec_uni[2026-03-01],
INDIRECT("tb_rec_uni[natureza]"),"taxa.extra",
INDIRECT("tb_rec_uni[empresa]"),BK$6)</f>
        <v>0</v>
      </c>
      <c r="BL65" s="108"/>
      <c r="BM65" s="120">
        <f ca="1">SUMIFS(
  m.vb[valor],
  m.vb[nucleo],$BH$1,
  m.vb[variavel],BM$7,
  m.vb[mes],$A65
)</f>
        <v>0</v>
      </c>
      <c r="BN65" s="120">
        <f ca="1">SUMIFS(
  m.vb[valor],
  m.vb[nucleo],$BH$1,
  m.vb[variavel],BN$7,
  m.vb[mes],$A65
)</f>
        <v>0</v>
      </c>
      <c r="BO65" s="120">
        <f ca="1">SUMIFS(
  m.vb[valor],
  m.vb[nucleo],$BH$1,
  m.vb[variavel],BO$7,
  m.vb[mes],$A65
)</f>
        <v>0</v>
      </c>
      <c r="BP65" s="120">
        <f ca="1">SUMIFS(
  m.vb[valor],
  m.vb[nucleo],$BH$1,
  m.vb[variavel],BP$7,
  m.vb[mes],$A65
)</f>
        <v>0</v>
      </c>
      <c r="BQ65" s="120">
        <f ca="1">SUMIFS(
  m.vb[valor],
  m.vb[nucleo],$BH$1,
  m.vb[variavel],BQ$7,
  m.vb[mes],$A65
)</f>
        <v>0</v>
      </c>
      <c r="BR65" s="119">
        <f>COUNTIFS(
    tb_estq[empresa], BR$6,
    tb_estq[Data da venda / reserva], "&gt;=" &amp; $A65,
    tb_estq[Data da venda / reserva], "&lt;"  &amp; EOMONTH($A65,0) + 1
)</f>
        <v>0</v>
      </c>
      <c r="BS65" s="120">
        <f ca="1">SUMIFS(tb_rec_uni[2026-03-01],
INDIRECT("tb_rec_uni[natureza]"),"pro.soluto",
INDIRECT("tb_rec_uni[empresa]"),BS$6)</f>
        <v>0</v>
      </c>
      <c r="BT65" s="123">
        <f ca="1">SUMIFS(tb_rec_uni[2026-03-01],
INDIRECT("tb_rec_uni[natureza]"),"parcela.fin.total.ik",
INDIRECT("tb_rec_uni[empresa]"),BT$6)</f>
        <v>0</v>
      </c>
      <c r="BU65" s="120">
        <f ca="1">SUMIFS(tb_rec_uni[2026-03-01],
INDIRECT("tb_rec_uni[natureza]"),"taxa.extra",
INDIRECT("tb_rec_uni[empresa]"),BU$6)</f>
        <v>0</v>
      </c>
      <c r="BV65" s="108"/>
      <c r="BW65" s="120">
        <f ca="1">SUMIFS(
  m.vb[valor],
  m.vb[nucleo],$BR$1,
  m.vb[variavel],BW$7,
  m.vb[mes],$A65
)</f>
        <v>0</v>
      </c>
      <c r="BX65" s="120">
        <f ca="1">SUMIFS(
  m.vb[valor],
  m.vb[nucleo],$BR$1,
  m.vb[variavel],BX$7,
  m.vb[mes],$A65
)</f>
        <v>0</v>
      </c>
      <c r="BY65" s="120">
        <f ca="1">SUMIFS(
  m.vb[valor],
  m.vb[nucleo],$BR$1,
  m.vb[variavel],BY$7,
  m.vb[mes],$A65
)</f>
        <v>0</v>
      </c>
      <c r="BZ65" s="120">
        <f ca="1">SUMIFS(
  m.vb[valor],
  m.vb[nucleo],$BR$1,
  m.vb[variavel],BZ$7,
  m.vb[mes],$A65
)</f>
        <v>0</v>
      </c>
      <c r="CA65" s="120">
        <f ca="1">SUMIFS(
  m.vb[valor],
  m.vb[nucleo],$BR$1,
  m.vb[variavel],CA$7,
  m.vb[mes],$A65
)</f>
        <v>0</v>
      </c>
      <c r="CB65" s="119">
        <f>COUNTIFS(
    tb_estq[empresa], CB$6,
    tb_estq[Data da venda / reserva], "&gt;=" &amp; $A65,
    tb_estq[Data da venda / reserva], "&lt;"  &amp; EOMONTH($A65,0) + 1
)</f>
        <v>0</v>
      </c>
      <c r="CC65" s="120">
        <f ca="1">SUMIFS(tb_rec_uni[2026-03-01],
INDIRECT("tb_rec_uni[natureza]"),"pro.soluto",
INDIRECT("tb_rec_uni[empresa]"),CC$6)</f>
        <v>0</v>
      </c>
      <c r="CD65" s="120">
        <f ca="1">SUMIFS(tb_rec_uni[2026-03-01],
INDIRECT("tb_rec_uni[natureza]"),"repasse.cef.obra",
INDIRECT("tb_rec_uni[empresa]"),CD$6)</f>
        <v>0</v>
      </c>
      <c r="CE65" s="123">
        <f ca="1">SUMIFS(tb_rec_uni[2026-03-01],
INDIRECT("tb_rec_uni[natureza]"),"repasse.cef.terreno",
INDIRECT("tb_rec_uni[empresa]"),CE$6)</f>
        <v>0</v>
      </c>
      <c r="CF65" s="123">
        <v>472296.31</v>
      </c>
      <c r="CG65" s="120">
        <f ca="1">SUMIFS(tb_rec_uni[2026-03-01],
INDIRECT("tb_rec_uni[natureza]"),"taxa.extra",
INDIRECT("tb_rec_uni[empresa]"),CG$6)</f>
        <v>0</v>
      </c>
      <c r="CH65" s="108"/>
      <c r="CI65" s="120">
        <f ca="1">SUMIFS(
  m.vb[valor],
  m.vb[nucleo],$CB$1,
  m.vb[variavel],CI$7,
  m.vb[mes],$A65
)</f>
        <v>0</v>
      </c>
      <c r="CJ65" s="120">
        <f ca="1">SUMIFS(
  m.vb[valor],
  m.vb[nucleo],$CB$1,
  m.vb[variavel],CJ$7,
  m.vb[mes],$A65
)</f>
        <v>0</v>
      </c>
      <c r="CK65" s="120">
        <f ca="1">SUMIFS(
  m.vb[valor],
  m.vb[nucleo],$CB$1,
  m.vb[variavel],CK$7,
  m.vb[mes],$A65
)</f>
        <v>0</v>
      </c>
      <c r="CL65" s="120">
        <f ca="1">SUMIFS(
  m.vb[valor],
  m.vb[nucleo],$CB$1,
  m.vb[variavel],CL$7,
  m.vb[mes],$A65
)</f>
        <v>0</v>
      </c>
      <c r="CM65" s="120">
        <f ca="1">SUMIFS(
  m.vb[valor],
  m.vb[nucleo],$CB$1,
  m.vb[variavel],CM$7,
  m.vb[mes],$A65
)</f>
        <v>0</v>
      </c>
      <c r="CN65" s="119">
        <f>COUNTIFS(
    tb_estq[empresa], CN$6,
    tb_estq[Data da venda / reserva], "&gt;=" &amp; $A65,
    tb_estq[Data da venda / reserva], "&lt;"  &amp; EOMONTH($A65,0) + 1
)</f>
        <v>0</v>
      </c>
      <c r="CO65" s="120">
        <f ca="1">SUMIFS(tb_rec_uni[2026-03-01],
INDIRECT("tb_rec_uni[natureza]"),"pro.soluto",
INDIRECT("tb_rec_uni[empresa]"),CO$6)</f>
        <v>0</v>
      </c>
      <c r="CP65" s="120">
        <f ca="1">SUMIFS(tb_rec_uni[2026-03-01],
INDIRECT("tb_rec_uni[natureza]"),"repasse.cef.obra",
INDIRECT("tb_rec_uni[empresa]"),CP$6)</f>
        <v>0</v>
      </c>
      <c r="CQ65" s="123">
        <f ca="1">SUMIFS(tb_rec_uni[2026-03-01],
INDIRECT("tb_rec_uni[natureza]"),"repasse.cef.terreno",
INDIRECT("tb_rec_uni[empresa]"),CQ$6)</f>
        <v>0</v>
      </c>
      <c r="CR65" s="123">
        <v>0</v>
      </c>
      <c r="CS65" s="120">
        <f ca="1">SUMIFS(tb_rec_uni[2026-03-01],
INDIRECT("tb_rec_uni[natureza]"),"taxa.extra",
INDIRECT("tb_rec_uni[empresa]"),CS$6)</f>
        <v>0</v>
      </c>
      <c r="CT65" s="108"/>
      <c r="CU65" s="120">
        <f ca="1">SUMIFS(
  m.vb[valor],
  m.vb[nucleo],$CN$1,
  m.vb[variavel],CU$7,
  m.vb[mes],$A65
)</f>
        <v>0</v>
      </c>
      <c r="CV65" s="120" cm="1">
        <f t="array" ref="CV65">SUMPRODUCT(
  IFERROR(--tb_desp[valor],0)*
  (tb_desp[nucleo]="UP MOVE VILA SONIA")*
  (tb_desp[categoria]=CV$7)*
  (tb_desp[data.pagamento]&gt;=$A65)*
  (tb_desp[data.pagamento]&lt;EOMONTH($A65,0)+1)
)</f>
        <v>0</v>
      </c>
      <c r="CW65" s="120" cm="1">
        <f t="array" ref="CW65">SUMPRODUCT(
  IFERROR(--tb_desp[valor],0)*
  (tb_desp[nucleo]="UP MOVE VILA SONIA")*
  (tb_desp[categoria]=CW$7)*
  (tb_desp[data.pagamento]&gt;=$A65)*
  (tb_desp[data.pagamento]&lt;EOMONTH($A65,0)+1)
)</f>
        <v>0</v>
      </c>
      <c r="CX65" s="120" cm="1">
        <f t="array" ref="CX65">SUMPRODUCT(
  IFERROR(--tb_desp[valor],0)*
  (tb_desp[nucleo]="UP MOVE VILA SONIA")*
  (tb_desp[categoria]=CX$7)*
  (tb_desp[data.pagamento]&gt;=$A65)*
  (tb_desp[data.pagamento]&lt;EOMONTH($A65,0)+1)
)</f>
        <v>0</v>
      </c>
      <c r="CY65" s="220" cm="1">
        <f t="array" ref="CY65">SUMPRODUCT(
  IFERROR(--tb_desp[valor],0)*
  (tb_desp[nucleo]="UP MOVE VILA SONIA")*
  (tb_desp[categoria]=CY$7)*
  (tb_desp[data.pagamento]&gt;=$A65)*
  (tb_desp[data.pagamento]&lt;EOMONTH($A65,0)+1)
)</f>
        <v>0</v>
      </c>
    </row>
    <row r="66" spans="1:103" x14ac:dyDescent="0.25">
      <c r="A66" s="118">
        <v>46113</v>
      </c>
      <c r="B66" s="119">
        <f>COUNTIFS(
    tb_estq[empresa], B$6,
    tb_estq[Data da venda / reserva], "&gt;=" &amp; $A66,
    tb_estq[Data da venda / reserva], "&lt;"  &amp; EOMONTH($A66,0) + 1
)</f>
        <v>0</v>
      </c>
      <c r="C66" s="120">
        <f ca="1">SUMIFS(tb_rec_uni[2026-04-01],
INDIRECT("tb_rec_uni[natureza]"),"pro.soluto",
INDIRECT("tb_rec_uni[empresa]"),C$6)</f>
        <v>0</v>
      </c>
      <c r="D66" s="120">
        <f ca="1">SUMIFS(tb_rec_uni[2026-04-01],
INDIRECT("tb_rec_uni[natureza]"),"repasse.cef.obra",
INDIRECT("tb_rec_uni[empresa]"),D$6)</f>
        <v>0</v>
      </c>
      <c r="E66" s="120">
        <f ca="1">SUMIFS(tb_rec_uni[2026-04-01],
INDIRECT("tb_rec_uni[natureza]"),"repasse.cef.terreno",
INDIRECT("tb_rec_uni[empresa]"),E$6)</f>
        <v>0</v>
      </c>
      <c r="F66" s="123">
        <v>0</v>
      </c>
      <c r="G66" s="120">
        <f ca="1">SUMIFS(tb_rec_uni[2026-04-01],
INDIRECT("tb_rec_uni[natureza]"),"taxa.extra",
INDIRECT("tb_rec_uni[empresa]"),G$6)</f>
        <v>0</v>
      </c>
      <c r="H66" s="108"/>
      <c r="I66" s="120">
        <f ca="1">SUMIFS(
  m.vb[valor],
  m.vb[nucleo],$B$1,
  m.vb[variavel],I$7,
  m.vb[mes],$A66
)</f>
        <v>0</v>
      </c>
      <c r="J66" s="120">
        <f ca="1">SUMIFS(
  m.vb[valor],
  m.vb[nucleo],$B$1,
  m.vb[variavel],J$7,
  m.vb[mes],$A66
)</f>
        <v>0</v>
      </c>
      <c r="K66" s="120">
        <f ca="1">SUMIFS(
  m.vb[valor],
  m.vb[nucleo],$B$1,
  m.vb[variavel],K$7,
  m.vb[mes],$A66
)</f>
        <v>0</v>
      </c>
      <c r="L66" s="120">
        <f ca="1">SUMIFS(
  m.vb[valor],
  m.vb[nucleo],$B$1,
  m.vb[variavel],L$7,
  m.vb[mes],$A66
)</f>
        <v>0</v>
      </c>
      <c r="M66" s="120">
        <f ca="1">SUMIFS(
  m.vb[valor],
  m.vb[nucleo],$B$1,
  m.vb[variavel],M$7,
  m.vb[mes],$A66
)</f>
        <v>0</v>
      </c>
      <c r="N66" s="119">
        <f>COUNTIFS(
    tb_estq[empresa], N$6,
    tb_estq[Data da venda / reserva], "&gt;=" &amp; $A66,
    tb_estq[Data da venda / reserva], "&lt;"  &amp; EOMONTH($A66,0) + 1
)</f>
        <v>0</v>
      </c>
      <c r="O66" s="120">
        <f ca="1">SUMIFS(tb_rec_uni[2026-04-01],
INDIRECT("tb_rec_uni[natureza]"),"pro.soluto",
INDIRECT("tb_rec_uni[empresa]"),O$6)</f>
        <v>0</v>
      </c>
      <c r="P66" s="120">
        <f ca="1">SUMIFS(tb_rec_uni[2026-04-01],
INDIRECT("tb_rec_uni[natureza]"),"repasse.cef.obra",
INDIRECT("tb_rec_uni[empresa]"),P$6)</f>
        <v>0</v>
      </c>
      <c r="Q66" s="120">
        <f ca="1">SUMIFS(tb_rec_uni[2026-04-01],
INDIRECT("tb_rec_uni[natureza]"),"repasse.cef.terreno",
INDIRECT("tb_rec_uni[empresa]"),Q$6)</f>
        <v>0</v>
      </c>
      <c r="R66" s="123">
        <v>0</v>
      </c>
      <c r="S66" s="120">
        <f ca="1">SUMIFS(tb_rec_uni[2026-04-01],
INDIRECT("tb_rec_uni[natureza]"),"taxa.extra",
INDIRECT("tb_rec_uni[empresa]"),S$6)</f>
        <v>0</v>
      </c>
      <c r="T66" s="108"/>
      <c r="U66" s="120">
        <f ca="1">SUMIFS(
  m.vb[valor],
  m.vb[nucleo],$N$1,
  m.vb[variavel],U$7,
  m.vb[mes],$A66
)</f>
        <v>0</v>
      </c>
      <c r="V66" s="120">
        <f ca="1">SUMIFS(
  m.vb[valor],
  m.vb[nucleo],$N$1,
  m.vb[variavel],V$7,
  m.vb[mes],$A66
)</f>
        <v>0</v>
      </c>
      <c r="W66" s="120">
        <f ca="1">SUMIFS(
  m.vb[valor],
  m.vb[nucleo],$N$1,
  m.vb[variavel],W$7,
  m.vb[mes],$A66
)</f>
        <v>0</v>
      </c>
      <c r="X66" s="120">
        <f ca="1">SUMIFS(
  m.vb[valor],
  m.vb[nucleo],$N$1,
  m.vb[variavel],X$7,
  m.vb[mes],$A66
)</f>
        <v>0</v>
      </c>
      <c r="Y66" s="120">
        <f ca="1">SUMIFS(
  m.vb[valor],
  m.vb[nucleo],$N$1,
  m.vb[variavel],Y$7,
  m.vb[mes],$A66
)</f>
        <v>0</v>
      </c>
      <c r="Z66" s="119">
        <f>COUNTIFS(
    tb_estq[empresa], Z$6,
    tb_estq[Data da venda / reserva], "&gt;=" &amp; $A66,
    tb_estq[Data da venda / reserva], "&lt;"  &amp; EOMONTH($A66,0) + 1
)</f>
        <v>0</v>
      </c>
      <c r="AA66" s="120">
        <f ca="1">SUMIFS(tb_rec_uni[2026-04-01],
INDIRECT("tb_rec_uni[natureza]"),"pro.soluto",
INDIRECT("tb_rec_uni[empresa]"),AA$6)</f>
        <v>0</v>
      </c>
      <c r="AB66" s="123">
        <f ca="1">SUMIFS(tb_rec_uni[2026-04-01],
INDIRECT("tb_rec_uni[natureza]"),"parcela.fin.total.ik",
INDIRECT("tb_rec_uni[empresa]"),AB$6)</f>
        <v>0</v>
      </c>
      <c r="AC66" s="120">
        <f ca="1">SUMIFS(tb_rec_uni[2026-04-01],
INDIRECT("tb_rec_uni[natureza]"),"taxa.extra",
INDIRECT("tb_rec_uni[empresa]"),AC$6)</f>
        <v>0</v>
      </c>
      <c r="AD66" s="108"/>
      <c r="AE66" s="120">
        <f ca="1">SUMIFS(
  m.vb[valor],
  m.vb[nucleo],$Z$1,
  m.vb[variavel],AE$7,
  m.vb[mes],$A66
)</f>
        <v>0</v>
      </c>
      <c r="AF66" s="120">
        <f ca="1">SUMIFS(
  m.vb[valor],
  m.vb[nucleo],$Z$1,
  m.vb[variavel],AF$7,
  m.vb[mes],$A66
)</f>
        <v>0</v>
      </c>
      <c r="AG66" s="120">
        <f ca="1">SUMIFS(
  m.vb[valor],
  m.vb[nucleo],$Z$1,
  m.vb[variavel],AG$7,
  m.vb[mes],$A66
)</f>
        <v>0</v>
      </c>
      <c r="AH66" s="120">
        <f ca="1">SUMIFS(
  m.vb[valor],
  m.vb[nucleo],$Z$1,
  m.vb[variavel],AH$7,
  m.vb[mes],$A66
)</f>
        <v>0</v>
      </c>
      <c r="AI66" s="120">
        <f ca="1">SUMIFS(
  m.vb[valor],
  m.vb[nucleo],$Z$1,
  m.vb[variavel],AI$7,
  m.vb[mes],$A66
)</f>
        <v>0</v>
      </c>
      <c r="AJ66" s="119">
        <f>COUNTIFS(
    tb_estq[empresa], AJ$6,
    tb_estq[Data da venda / reserva], "&gt;=" &amp; $A66,
    tb_estq[Data da venda / reserva], "&lt;"  &amp; EOMONTH($A66,0) + 1
)</f>
        <v>0</v>
      </c>
      <c r="AK66" s="120">
        <f ca="1">SUMIFS(tb_rec_uni[2026-04-01],
INDIRECT("tb_rec_uni[natureza]"),"pro.soluto",
INDIRECT("tb_rec_uni[empresa]"),AK$6)</f>
        <v>0</v>
      </c>
      <c r="AL66" s="120">
        <f ca="1">SUMIFS(tb_rec_uni[2026-04-01],
INDIRECT("tb_rec_uni[natureza]"),"repasse.cef.obra",
INDIRECT("tb_rec_uni[empresa]"),AL$6)</f>
        <v>0</v>
      </c>
      <c r="AM66" s="123">
        <f ca="1">SUMIFS(tb_rec_uni[2026-04-01],
INDIRECT("tb_rec_uni[natureza]"),"repasse.cef.terreno",
INDIRECT("tb_rec_uni[empresa]"),AM$6)</f>
        <v>0</v>
      </c>
      <c r="AN66" s="123">
        <v>0</v>
      </c>
      <c r="AO66" s="120">
        <f ca="1">SUMIFS(tb_rec_uni[2026-04-01],
INDIRECT("tb_rec_uni[natureza]"),"taxa.extra",
INDIRECT("tb_rec_uni[empresa]"),AO$6)</f>
        <v>0</v>
      </c>
      <c r="AP66" s="108"/>
      <c r="AQ66" s="120">
        <f ca="1">SUMIFS(
  m.vb[valor],
  m.vb[nucleo],$AJ$1,
  m.vb[variavel],AQ$7,
  m.vb[mes],$A66
)</f>
        <v>0</v>
      </c>
      <c r="AR66" s="120">
        <f ca="1">SUMIFS(
  m.vb[valor],
  m.vb[nucleo],$AJ$1,
  m.vb[variavel],AR$7,
  m.vb[mes],$A66
)</f>
        <v>0</v>
      </c>
      <c r="AS66" s="120">
        <f ca="1">SUMIFS(
  m.vb[valor],
  m.vb[nucleo],$AJ$1,
  m.vb[variavel],AS$7,
  m.vb[mes],$A66
)</f>
        <v>0</v>
      </c>
      <c r="AT66" s="120">
        <f ca="1">SUMIFS(
  m.vb[valor],
  m.vb[nucleo],$AJ$1,
  m.vb[variavel],AT$7,
  m.vb[mes],$A66
)</f>
        <v>0</v>
      </c>
      <c r="AU66" s="120">
        <f ca="1">SUMIFS(
  m.vb[valor],
  m.vb[nucleo],$AJ$1,
  m.vb[variavel],AU$7,
  m.vb[mes],$A66
)</f>
        <v>0</v>
      </c>
      <c r="AV66" s="119">
        <f>COUNTIFS(
    tb_estq[empresa], AV$6,
    tb_estq[Data da venda / reserva], "&gt;=" &amp; $A66,
    tb_estq[Data da venda / reserva], "&lt;"  &amp; EOMONTH($A66,0) + 1
)</f>
        <v>0</v>
      </c>
      <c r="AW66" s="120">
        <f ca="1">SUMIFS(tb_rec_uni[2026-04-01],
INDIRECT("tb_rec_uni[natureza]"),"pro.soluto",
INDIRECT("tb_rec_uni[empresa]"),AW$6)</f>
        <v>0</v>
      </c>
      <c r="AX66" s="120">
        <f ca="1">SUMIFS(tb_rec_uni[2026-04-01],
INDIRECT("tb_rec_uni[natureza]"),"repasse.cef.obra",
INDIRECT("tb_rec_uni[empresa]"),AX$6)</f>
        <v>0</v>
      </c>
      <c r="AY66" s="123">
        <f ca="1">SUMIFS(tb_rec_uni[2026-04-01],
INDIRECT("tb_rec_uni[natureza]"),"repasse.cef.terreno",
INDIRECT("tb_rec_uni[empresa]"),AY$6)</f>
        <v>0</v>
      </c>
      <c r="AZ66" s="123">
        <v>465160.57</v>
      </c>
      <c r="BA66" s="120">
        <f ca="1">SUMIFS(tb_rec_uni[2026-04-01],
INDIRECT("tb_rec_uni[natureza]"),"taxa.extra",
INDIRECT("tb_rec_uni[empresa]"),BA$6)</f>
        <v>0</v>
      </c>
      <c r="BB66" s="108"/>
      <c r="BC66" s="120">
        <f ca="1">SUMIFS(
  m.vb[valor],
  m.vb[nucleo],$AV$1,
  m.vb[variavel],BC$7,
  m.vb[mes],$A66
)</f>
        <v>0</v>
      </c>
      <c r="BD66" s="120">
        <f ca="1">SUMIFS(
  m.vb[valor],
  m.vb[nucleo],$AV$1,
  m.vb[variavel],BD$7,
  m.vb[mes],$A66
)</f>
        <v>0</v>
      </c>
      <c r="BE66" s="120">
        <f ca="1">SUMIFS(
  m.vb[valor],
  m.vb[nucleo],$AV$1,
  m.vb[variavel],BE$7,
  m.vb[mes],$A66
)</f>
        <v>0</v>
      </c>
      <c r="BF66" s="120">
        <f ca="1">SUMIFS(
  m.vb[valor],
  m.vb[nucleo],$AV$1,
  m.vb[variavel],BF$7,
  m.vb[mes],$A66
)</f>
        <v>0</v>
      </c>
      <c r="BG66" s="120">
        <f ca="1">SUMIFS(
  m.vb[valor],
  m.vb[nucleo],$AV$1,
  m.vb[variavel],BG$7,
  m.vb[mes],$A66
)</f>
        <v>0</v>
      </c>
      <c r="BH66" s="119">
        <f>COUNTIFS(
    tb_estq[empresa], BH$6,
    tb_estq[Data da venda / reserva], "&gt;=" &amp; $A66,
    tb_estq[Data da venda / reserva], "&lt;"  &amp; EOMONTH($A66,0) + 1
)</f>
        <v>0</v>
      </c>
      <c r="BI66" s="120">
        <f ca="1">SUMIFS(tb_rec_uni[2026-04-01],
INDIRECT("tb_rec_uni[natureza]"),"pro.soluto",
INDIRECT("tb_rec_uni[empresa]"),BI$6)</f>
        <v>0</v>
      </c>
      <c r="BJ66" s="124">
        <f>4.11*94736</f>
        <v>389364.96</v>
      </c>
      <c r="BK66" s="120">
        <f ca="1">SUMIFS(tb_rec_uni[2026-04-01],
INDIRECT("tb_rec_uni[natureza]"),"taxa.extra",
INDIRECT("tb_rec_uni[empresa]"),BK$6)</f>
        <v>0</v>
      </c>
      <c r="BL66" s="108"/>
      <c r="BM66" s="120">
        <f ca="1">SUMIFS(
  m.vb[valor],
  m.vb[nucleo],$BH$1,
  m.vb[variavel],BM$7,
  m.vb[mes],$A66
)</f>
        <v>0</v>
      </c>
      <c r="BN66" s="120">
        <f ca="1">SUMIFS(
  m.vb[valor],
  m.vb[nucleo],$BH$1,
  m.vb[variavel],BN$7,
  m.vb[mes],$A66
)</f>
        <v>0</v>
      </c>
      <c r="BO66" s="120">
        <f ca="1">SUMIFS(
  m.vb[valor],
  m.vb[nucleo],$BH$1,
  m.vb[variavel],BO$7,
  m.vb[mes],$A66
)</f>
        <v>0</v>
      </c>
      <c r="BP66" s="120">
        <f ca="1">SUMIFS(
  m.vb[valor],
  m.vb[nucleo],$BH$1,
  m.vb[variavel],BP$7,
  m.vb[mes],$A66
)</f>
        <v>0</v>
      </c>
      <c r="BQ66" s="120">
        <f ca="1">SUMIFS(
  m.vb[valor],
  m.vb[nucleo],$BH$1,
  m.vb[variavel],BQ$7,
  m.vb[mes],$A66
)</f>
        <v>0</v>
      </c>
      <c r="BR66" s="119">
        <f>COUNTIFS(
    tb_estq[empresa], BR$6,
    tb_estq[Data da venda / reserva], "&gt;=" &amp; $A66,
    tb_estq[Data da venda / reserva], "&lt;"  &amp; EOMONTH($A66,0) + 1
)</f>
        <v>0</v>
      </c>
      <c r="BS66" s="120">
        <f ca="1">SUMIFS(tb_rec_uni[2026-04-01],
INDIRECT("tb_rec_uni[natureza]"),"pro.soluto",
INDIRECT("tb_rec_uni[empresa]"),BS$6)</f>
        <v>0</v>
      </c>
      <c r="BT66" s="123">
        <f ca="1">SUMIFS(tb_rec_uni[2026-04-01],
INDIRECT("tb_rec_uni[natureza]"),"parcela.fin.total.ik",
INDIRECT("tb_rec_uni[empresa]"),BT$6)</f>
        <v>0</v>
      </c>
      <c r="BU66" s="120">
        <f ca="1">SUMIFS(tb_rec_uni[2026-04-01],
INDIRECT("tb_rec_uni[natureza]"),"taxa.extra",
INDIRECT("tb_rec_uni[empresa]"),BU$6)</f>
        <v>0</v>
      </c>
      <c r="BV66" s="108"/>
      <c r="BW66" s="120">
        <f ca="1">SUMIFS(
  m.vb[valor],
  m.vb[nucleo],$BR$1,
  m.vb[variavel],BW$7,
  m.vb[mes],$A66
)</f>
        <v>0</v>
      </c>
      <c r="BX66" s="120">
        <f ca="1">SUMIFS(
  m.vb[valor],
  m.vb[nucleo],$BR$1,
  m.vb[variavel],BX$7,
  m.vb[mes],$A66
)</f>
        <v>0</v>
      </c>
      <c r="BY66" s="120">
        <f ca="1">SUMIFS(
  m.vb[valor],
  m.vb[nucleo],$BR$1,
  m.vb[variavel],BY$7,
  m.vb[mes],$A66
)</f>
        <v>0</v>
      </c>
      <c r="BZ66" s="120">
        <f ca="1">SUMIFS(
  m.vb[valor],
  m.vb[nucleo],$BR$1,
  m.vb[variavel],BZ$7,
  m.vb[mes],$A66
)</f>
        <v>0</v>
      </c>
      <c r="CA66" s="120">
        <f ca="1">SUMIFS(
  m.vb[valor],
  m.vb[nucleo],$BR$1,
  m.vb[variavel],CA$7,
  m.vb[mes],$A66
)</f>
        <v>0</v>
      </c>
      <c r="CB66" s="119">
        <f>COUNTIFS(
    tb_estq[empresa], CB$6,
    tb_estq[Data da venda / reserva], "&gt;=" &amp; $A66,
    tb_estq[Data da venda / reserva], "&lt;"  &amp; EOMONTH($A66,0) + 1
)</f>
        <v>0</v>
      </c>
      <c r="CC66" s="120">
        <f ca="1">SUMIFS(tb_rec_uni[2026-04-01],
INDIRECT("tb_rec_uni[natureza]"),"pro.soluto",
INDIRECT("tb_rec_uni[empresa]"),CC$6)</f>
        <v>0</v>
      </c>
      <c r="CD66" s="120">
        <f ca="1">SUMIFS(tb_rec_uni[2026-04-01],
INDIRECT("tb_rec_uni[natureza]"),"repasse.cef.obra",
INDIRECT("tb_rec_uni[empresa]"),CD$6)</f>
        <v>0</v>
      </c>
      <c r="CE66" s="123">
        <f ca="1">SUMIFS(tb_rec_uni[2026-04-01],
INDIRECT("tb_rec_uni[natureza]"),"repasse.cef.terreno",
INDIRECT("tb_rec_uni[empresa]"),CE$6)</f>
        <v>0</v>
      </c>
      <c r="CF66" s="123">
        <v>437711.45</v>
      </c>
      <c r="CG66" s="120">
        <f ca="1">SUMIFS(tb_rec_uni[2026-04-01],
INDIRECT("tb_rec_uni[natureza]"),"taxa.extra",
INDIRECT("tb_rec_uni[empresa]"),CG$6)</f>
        <v>0</v>
      </c>
      <c r="CH66" s="108"/>
      <c r="CI66" s="120">
        <f ca="1">SUMIFS(
  m.vb[valor],
  m.vb[nucleo],$CB$1,
  m.vb[variavel],CI$7,
  m.vb[mes],$A66
)</f>
        <v>0</v>
      </c>
      <c r="CJ66" s="120">
        <f ca="1">SUMIFS(
  m.vb[valor],
  m.vb[nucleo],$CB$1,
  m.vb[variavel],CJ$7,
  m.vb[mes],$A66
)</f>
        <v>0</v>
      </c>
      <c r="CK66" s="120">
        <f ca="1">SUMIFS(
  m.vb[valor],
  m.vb[nucleo],$CB$1,
  m.vb[variavel],CK$7,
  m.vb[mes],$A66
)</f>
        <v>0</v>
      </c>
      <c r="CL66" s="120">
        <f ca="1">SUMIFS(
  m.vb[valor],
  m.vb[nucleo],$CB$1,
  m.vb[variavel],CL$7,
  m.vb[mes],$A66
)</f>
        <v>0</v>
      </c>
      <c r="CM66" s="120">
        <f ca="1">SUMIFS(
  m.vb[valor],
  m.vb[nucleo],$CB$1,
  m.vb[variavel],CM$7,
  m.vb[mes],$A66
)</f>
        <v>0</v>
      </c>
      <c r="CN66" s="119">
        <f>COUNTIFS(
    tb_estq[empresa], CN$6,
    tb_estq[Data da venda / reserva], "&gt;=" &amp; $A66,
    tb_estq[Data da venda / reserva], "&lt;"  &amp; EOMONTH($A66,0) + 1
)</f>
        <v>0</v>
      </c>
      <c r="CO66" s="120">
        <f ca="1">SUMIFS(tb_rec_uni[2026-04-01],
INDIRECT("tb_rec_uni[natureza]"),"pro.soluto",
INDIRECT("tb_rec_uni[empresa]"),CO$6)</f>
        <v>0</v>
      </c>
      <c r="CP66" s="120">
        <f ca="1">SUMIFS(tb_rec_uni[2026-04-01],
INDIRECT("tb_rec_uni[natureza]"),"repasse.cef.obra",
INDIRECT("tb_rec_uni[empresa]"),CP$6)</f>
        <v>0</v>
      </c>
      <c r="CQ66" s="123">
        <f ca="1">SUMIFS(tb_rec_uni[2026-04-01],
INDIRECT("tb_rec_uni[natureza]"),"repasse.cef.terreno",
INDIRECT("tb_rec_uni[empresa]"),CQ$6)</f>
        <v>0</v>
      </c>
      <c r="CR66" s="123">
        <v>0</v>
      </c>
      <c r="CS66" s="120">
        <f ca="1">SUMIFS(tb_rec_uni[2026-04-01],
INDIRECT("tb_rec_uni[natureza]"),"taxa.extra",
INDIRECT("tb_rec_uni[empresa]"),CS$6)</f>
        <v>0</v>
      </c>
      <c r="CT66" s="108"/>
      <c r="CU66" s="120">
        <f ca="1">SUMIFS(
  m.vb[valor],
  m.vb[nucleo],$CN$1,
  m.vb[variavel],CU$7,
  m.vb[mes],$A66
)</f>
        <v>0</v>
      </c>
      <c r="CV66" s="120" cm="1">
        <f t="array" ref="CV66">SUMPRODUCT(
  IFERROR(--tb_desp[valor],0)*
  (tb_desp[nucleo]="UP MOVE VILA SONIA")*
  (tb_desp[categoria]=CV$7)*
  (tb_desp[data.pagamento]&gt;=$A66)*
  (tb_desp[data.pagamento]&lt;EOMONTH($A66,0)+1)
)</f>
        <v>0</v>
      </c>
      <c r="CW66" s="120" cm="1">
        <f t="array" ref="CW66">SUMPRODUCT(
  IFERROR(--tb_desp[valor],0)*
  (tb_desp[nucleo]="UP MOVE VILA SONIA")*
  (tb_desp[categoria]=CW$7)*
  (tb_desp[data.pagamento]&gt;=$A66)*
  (tb_desp[data.pagamento]&lt;EOMONTH($A66,0)+1)
)</f>
        <v>0</v>
      </c>
      <c r="CX66" s="120" cm="1">
        <f t="array" ref="CX66">SUMPRODUCT(
  IFERROR(--tb_desp[valor],0)*
  (tb_desp[nucleo]="UP MOVE VILA SONIA")*
  (tb_desp[categoria]=CX$7)*
  (tb_desp[data.pagamento]&gt;=$A66)*
  (tb_desp[data.pagamento]&lt;EOMONTH($A66,0)+1)
)</f>
        <v>0</v>
      </c>
      <c r="CY66" s="220" cm="1">
        <f t="array" ref="CY66">SUMPRODUCT(
  IFERROR(--tb_desp[valor],0)*
  (tb_desp[nucleo]="UP MOVE VILA SONIA")*
  (tb_desp[categoria]=CY$7)*
  (tb_desp[data.pagamento]&gt;=$A66)*
  (tb_desp[data.pagamento]&lt;EOMONTH($A66,0)+1)
)</f>
        <v>0</v>
      </c>
    </row>
    <row r="67" spans="1:103" x14ac:dyDescent="0.25">
      <c r="A67" s="118">
        <v>46143</v>
      </c>
      <c r="B67" s="119">
        <f>COUNTIFS(
    tb_estq[empresa], B$6,
    tb_estq[Data da venda / reserva], "&gt;=" &amp; $A67,
    tb_estq[Data da venda / reserva], "&lt;"  &amp; EOMONTH($A67,0) + 1
)</f>
        <v>0</v>
      </c>
      <c r="C67" s="120">
        <f ca="1">SUMIFS(tb_rec_uni[2026-05-01],
INDIRECT("tb_rec_uni[natureza]"),"pro.soluto",
INDIRECT("tb_rec_uni[empresa]"),C$6)</f>
        <v>0</v>
      </c>
      <c r="D67" s="120">
        <f ca="1">SUMIFS(tb_rec_uni[2026-05-01],
INDIRECT("tb_rec_uni[natureza]"),"repasse.cef.obra",
INDIRECT("tb_rec_uni[empresa]"),D$6)</f>
        <v>0</v>
      </c>
      <c r="E67" s="120">
        <f ca="1">SUMIFS(tb_rec_uni[2026-05-01],
INDIRECT("tb_rec_uni[natureza]"),"repasse.cef.terreno",
INDIRECT("tb_rec_uni[empresa]"),E$6)</f>
        <v>0</v>
      </c>
      <c r="F67" s="123">
        <v>0</v>
      </c>
      <c r="G67" s="120">
        <f ca="1">SUMIFS(tb_rec_uni[2026-05-01],
INDIRECT("tb_rec_uni[natureza]"),"taxa.extra",
INDIRECT("tb_rec_uni[empresa]"),G$6)</f>
        <v>0</v>
      </c>
      <c r="H67" s="108"/>
      <c r="I67" s="120">
        <f ca="1">SUMIFS(
  m.vb[valor],
  m.vb[nucleo],$B$1,
  m.vb[variavel],I$7,
  m.vb[mes],$A67
)</f>
        <v>0</v>
      </c>
      <c r="J67" s="120">
        <f ca="1">SUMIFS(
  m.vb[valor],
  m.vb[nucleo],$B$1,
  m.vb[variavel],J$7,
  m.vb[mes],$A67
)</f>
        <v>0</v>
      </c>
      <c r="K67" s="120">
        <f ca="1">SUMIFS(
  m.vb[valor],
  m.vb[nucleo],$B$1,
  m.vb[variavel],K$7,
  m.vb[mes],$A67
)</f>
        <v>0</v>
      </c>
      <c r="L67" s="120">
        <f ca="1">SUMIFS(
  m.vb[valor],
  m.vb[nucleo],$B$1,
  m.vb[variavel],L$7,
  m.vb[mes],$A67
)</f>
        <v>0</v>
      </c>
      <c r="M67" s="120">
        <f ca="1">SUMIFS(
  m.vb[valor],
  m.vb[nucleo],$B$1,
  m.vb[variavel],M$7,
  m.vb[mes],$A67
)</f>
        <v>0</v>
      </c>
      <c r="N67" s="119">
        <f>COUNTIFS(
    tb_estq[empresa], N$6,
    tb_estq[Data da venda / reserva], "&gt;=" &amp; $A67,
    tb_estq[Data da venda / reserva], "&lt;"  &amp; EOMONTH($A67,0) + 1
)</f>
        <v>0</v>
      </c>
      <c r="O67" s="120">
        <f ca="1">SUMIFS(tb_rec_uni[2026-05-01],
INDIRECT("tb_rec_uni[natureza]"),"pro.soluto",
INDIRECT("tb_rec_uni[empresa]"),O$6)</f>
        <v>0</v>
      </c>
      <c r="P67" s="120">
        <f ca="1">SUMIFS(tb_rec_uni[2026-05-01],
INDIRECT("tb_rec_uni[natureza]"),"repasse.cef.obra",
INDIRECT("tb_rec_uni[empresa]"),P$6)</f>
        <v>0</v>
      </c>
      <c r="Q67" s="120">
        <f ca="1">SUMIFS(tb_rec_uni[2026-05-01],
INDIRECT("tb_rec_uni[natureza]"),"repasse.cef.terreno",
INDIRECT("tb_rec_uni[empresa]"),Q$6)</f>
        <v>0</v>
      </c>
      <c r="R67" s="123">
        <v>0</v>
      </c>
      <c r="S67" s="120">
        <f ca="1">SUMIFS(tb_rec_uni[2026-05-01],
INDIRECT("tb_rec_uni[natureza]"),"taxa.extra",
INDIRECT("tb_rec_uni[empresa]"),S$6)</f>
        <v>0</v>
      </c>
      <c r="T67" s="108"/>
      <c r="U67" s="120">
        <f ca="1">SUMIFS(
  m.vb[valor],
  m.vb[nucleo],$N$1,
  m.vb[variavel],U$7,
  m.vb[mes],$A67
)</f>
        <v>0</v>
      </c>
      <c r="V67" s="120">
        <f ca="1">SUMIFS(
  m.vb[valor],
  m.vb[nucleo],$N$1,
  m.vb[variavel],V$7,
  m.vb[mes],$A67
)</f>
        <v>0</v>
      </c>
      <c r="W67" s="120">
        <f ca="1">SUMIFS(
  m.vb[valor],
  m.vb[nucleo],$N$1,
  m.vb[variavel],W$7,
  m.vb[mes],$A67
)</f>
        <v>0</v>
      </c>
      <c r="X67" s="120">
        <f ca="1">SUMIFS(
  m.vb[valor],
  m.vb[nucleo],$N$1,
  m.vb[variavel],X$7,
  m.vb[mes],$A67
)</f>
        <v>0</v>
      </c>
      <c r="Y67" s="120">
        <f ca="1">SUMIFS(
  m.vb[valor],
  m.vb[nucleo],$N$1,
  m.vb[variavel],Y$7,
  m.vb[mes],$A67
)</f>
        <v>0</v>
      </c>
      <c r="Z67" s="119">
        <f>COUNTIFS(
    tb_estq[empresa], Z$6,
    tb_estq[Data da venda / reserva], "&gt;=" &amp; $A67,
    tb_estq[Data da venda / reserva], "&lt;"  &amp; EOMONTH($A67,0) + 1
)</f>
        <v>0</v>
      </c>
      <c r="AA67" s="120">
        <f ca="1">SUMIFS(tb_rec_uni[2026-05-01],
INDIRECT("tb_rec_uni[natureza]"),"pro.soluto",
INDIRECT("tb_rec_uni[empresa]"),AA$6)</f>
        <v>0</v>
      </c>
      <c r="AB67" s="123">
        <f ca="1">SUMIFS(tb_rec_uni[2026-05-01],
INDIRECT("tb_rec_uni[natureza]"),"parcela.fin.total.ik",
INDIRECT("tb_rec_uni[empresa]"),AB$6)</f>
        <v>0</v>
      </c>
      <c r="AC67" s="120">
        <f ca="1">SUMIFS(tb_rec_uni[2026-05-01],
INDIRECT("tb_rec_uni[natureza]"),"taxa.extra",
INDIRECT("tb_rec_uni[empresa]"),AC$6)</f>
        <v>0</v>
      </c>
      <c r="AD67" s="108"/>
      <c r="AE67" s="120">
        <f ca="1">SUMIFS(
  m.vb[valor],
  m.vb[nucleo],$Z$1,
  m.vb[variavel],AE$7,
  m.vb[mes],$A67
)</f>
        <v>0</v>
      </c>
      <c r="AF67" s="120">
        <f ca="1">SUMIFS(
  m.vb[valor],
  m.vb[nucleo],$Z$1,
  m.vb[variavel],AF$7,
  m.vb[mes],$A67
)</f>
        <v>0</v>
      </c>
      <c r="AG67" s="120">
        <f ca="1">SUMIFS(
  m.vb[valor],
  m.vb[nucleo],$Z$1,
  m.vb[variavel],AG$7,
  m.vb[mes],$A67
)</f>
        <v>0</v>
      </c>
      <c r="AH67" s="120">
        <f ca="1">SUMIFS(
  m.vb[valor],
  m.vb[nucleo],$Z$1,
  m.vb[variavel],AH$7,
  m.vb[mes],$A67
)</f>
        <v>0</v>
      </c>
      <c r="AI67" s="120">
        <f ca="1">SUMIFS(
  m.vb[valor],
  m.vb[nucleo],$Z$1,
  m.vb[variavel],AI$7,
  m.vb[mes],$A67
)</f>
        <v>0</v>
      </c>
      <c r="AJ67" s="119">
        <f>COUNTIFS(
    tb_estq[empresa], AJ$6,
    tb_estq[Data da venda / reserva], "&gt;=" &amp; $A67,
    tb_estq[Data da venda / reserva], "&lt;"  &amp; EOMONTH($A67,0) + 1
)</f>
        <v>0</v>
      </c>
      <c r="AK67" s="120">
        <f ca="1">SUMIFS(tb_rec_uni[2026-05-01],
INDIRECT("tb_rec_uni[natureza]"),"pro.soluto",
INDIRECT("tb_rec_uni[empresa]"),AK$6)</f>
        <v>0</v>
      </c>
      <c r="AL67" s="120">
        <f ca="1">SUMIFS(tb_rec_uni[2026-05-01],
INDIRECT("tb_rec_uni[natureza]"),"repasse.cef.obra",
INDIRECT("tb_rec_uni[empresa]"),AL$6)</f>
        <v>0</v>
      </c>
      <c r="AM67" s="123">
        <f ca="1">SUMIFS(tb_rec_uni[2026-05-01],
INDIRECT("tb_rec_uni[natureza]"),"repasse.cef.terreno",
INDIRECT("tb_rec_uni[empresa]"),AM$6)</f>
        <v>0</v>
      </c>
      <c r="AN67" s="123">
        <v>434622.68</v>
      </c>
      <c r="AO67" s="120">
        <f ca="1">SUMIFS(tb_rec_uni[2026-05-01],
INDIRECT("tb_rec_uni[natureza]"),"taxa.extra",
INDIRECT("tb_rec_uni[empresa]"),AO$6)</f>
        <v>0</v>
      </c>
      <c r="AP67" s="108"/>
      <c r="AQ67" s="120">
        <f ca="1">SUMIFS(
  m.vb[valor],
  m.vb[nucleo],$AJ$1,
  m.vb[variavel],AQ$7,
  m.vb[mes],$A67
)</f>
        <v>0</v>
      </c>
      <c r="AR67" s="120">
        <f ca="1">SUMIFS(
  m.vb[valor],
  m.vb[nucleo],$AJ$1,
  m.vb[variavel],AR$7,
  m.vb[mes],$A67
)</f>
        <v>0</v>
      </c>
      <c r="AS67" s="120">
        <f ca="1">SUMIFS(
  m.vb[valor],
  m.vb[nucleo],$AJ$1,
  m.vb[variavel],AS$7,
  m.vb[mes],$A67
)</f>
        <v>0</v>
      </c>
      <c r="AT67" s="120">
        <f ca="1">SUMIFS(
  m.vb[valor],
  m.vb[nucleo],$AJ$1,
  m.vb[variavel],AT$7,
  m.vb[mes],$A67
)</f>
        <v>0</v>
      </c>
      <c r="AU67" s="120">
        <f ca="1">SUMIFS(
  m.vb[valor],
  m.vb[nucleo],$AJ$1,
  m.vb[variavel],AU$7,
  m.vb[mes],$A67
)</f>
        <v>0</v>
      </c>
      <c r="AV67" s="119">
        <f>COUNTIFS(
    tb_estq[empresa], AV$6,
    tb_estq[Data da venda / reserva], "&gt;=" &amp; $A67,
    tb_estq[Data da venda / reserva], "&lt;"  &amp; EOMONTH($A67,0) + 1
)</f>
        <v>0</v>
      </c>
      <c r="AW67" s="120">
        <f ca="1">SUMIFS(tb_rec_uni[2026-05-01],
INDIRECT("tb_rec_uni[natureza]"),"pro.soluto",
INDIRECT("tb_rec_uni[empresa]"),AW$6)</f>
        <v>0</v>
      </c>
      <c r="AX67" s="120">
        <f ca="1">SUMIFS(tb_rec_uni[2026-05-01],
INDIRECT("tb_rec_uni[natureza]"),"repasse.cef.obra",
INDIRECT("tb_rec_uni[empresa]"),AX$6)</f>
        <v>0</v>
      </c>
      <c r="AY67" s="123">
        <f ca="1">SUMIFS(tb_rec_uni[2026-05-01],
INDIRECT("tb_rec_uni[natureza]"),"repasse.cef.terreno",
INDIRECT("tb_rec_uni[empresa]"),AY$6)</f>
        <v>0</v>
      </c>
      <c r="AZ67" s="123">
        <v>919179.34</v>
      </c>
      <c r="BA67" s="120">
        <f ca="1">SUMIFS(tb_rec_uni[2026-05-01],
INDIRECT("tb_rec_uni[natureza]"),"taxa.extra",
INDIRECT("tb_rec_uni[empresa]"),BA$6)</f>
        <v>0</v>
      </c>
      <c r="BB67" s="108"/>
      <c r="BC67" s="120">
        <f ca="1">SUMIFS(
  m.vb[valor],
  m.vb[nucleo],$AV$1,
  m.vb[variavel],BC$7,
  m.vb[mes],$A67
)</f>
        <v>0</v>
      </c>
      <c r="BD67" s="120">
        <f ca="1">SUMIFS(
  m.vb[valor],
  m.vb[nucleo],$AV$1,
  m.vb[variavel],BD$7,
  m.vb[mes],$A67
)</f>
        <v>0</v>
      </c>
      <c r="BE67" s="120">
        <f ca="1">SUMIFS(
  m.vb[valor],
  m.vb[nucleo],$AV$1,
  m.vb[variavel],BE$7,
  m.vb[mes],$A67
)</f>
        <v>0</v>
      </c>
      <c r="BF67" s="120">
        <f ca="1">SUMIFS(
  m.vb[valor],
  m.vb[nucleo],$AV$1,
  m.vb[variavel],BF$7,
  m.vb[mes],$A67
)</f>
        <v>0</v>
      </c>
      <c r="BG67" s="120">
        <f ca="1">SUMIFS(
  m.vb[valor],
  m.vb[nucleo],$AV$1,
  m.vb[variavel],BG$7,
  m.vb[mes],$A67
)</f>
        <v>0</v>
      </c>
      <c r="BH67" s="119">
        <f>COUNTIFS(
    tb_estq[empresa], BH$6,
    tb_estq[Data da venda / reserva], "&gt;=" &amp; $A67,
    tb_estq[Data da venda / reserva], "&lt;"  &amp; EOMONTH($A67,0) + 1
)</f>
        <v>0</v>
      </c>
      <c r="BI67" s="120">
        <f ca="1">SUMIFS(tb_rec_uni[2026-05-01],
INDIRECT("tb_rec_uni[natureza]"),"pro.soluto",
INDIRECT("tb_rec_uni[empresa]"),BI$6)</f>
        <v>0</v>
      </c>
      <c r="BJ67" s="124">
        <f>5.98*94736</f>
        <v>566521.28</v>
      </c>
      <c r="BK67" s="120">
        <f ca="1">SUMIFS(tb_rec_uni[2026-05-01],
INDIRECT("tb_rec_uni[natureza]"),"taxa.extra",
INDIRECT("tb_rec_uni[empresa]"),BK$6)</f>
        <v>0</v>
      </c>
      <c r="BL67" s="108"/>
      <c r="BM67" s="120">
        <f ca="1">SUMIFS(
  m.vb[valor],
  m.vb[nucleo],$BH$1,
  m.vb[variavel],BM$7,
  m.vb[mes],$A67
)</f>
        <v>0</v>
      </c>
      <c r="BN67" s="120">
        <f ca="1">SUMIFS(
  m.vb[valor],
  m.vb[nucleo],$BH$1,
  m.vb[variavel],BN$7,
  m.vb[mes],$A67
)</f>
        <v>0</v>
      </c>
      <c r="BO67" s="120">
        <f ca="1">SUMIFS(
  m.vb[valor],
  m.vb[nucleo],$BH$1,
  m.vb[variavel],BO$7,
  m.vb[mes],$A67
)</f>
        <v>0</v>
      </c>
      <c r="BP67" s="120">
        <f ca="1">SUMIFS(
  m.vb[valor],
  m.vb[nucleo],$BH$1,
  m.vb[variavel],BP$7,
  m.vb[mes],$A67
)</f>
        <v>0</v>
      </c>
      <c r="BQ67" s="120">
        <f ca="1">SUMIFS(
  m.vb[valor],
  m.vb[nucleo],$BH$1,
  m.vb[variavel],BQ$7,
  m.vb[mes],$A67
)</f>
        <v>0</v>
      </c>
      <c r="BR67" s="119">
        <f>COUNTIFS(
    tb_estq[empresa], BR$6,
    tb_estq[Data da venda / reserva], "&gt;=" &amp; $A67,
    tb_estq[Data da venda / reserva], "&lt;"  &amp; EOMONTH($A67,0) + 1
)</f>
        <v>0</v>
      </c>
      <c r="BS67" s="120">
        <f ca="1">SUMIFS(tb_rec_uni[2026-05-01],
INDIRECT("tb_rec_uni[natureza]"),"pro.soluto",
INDIRECT("tb_rec_uni[empresa]"),BS$6)</f>
        <v>0</v>
      </c>
      <c r="BT67" s="123">
        <f ca="1">SUMIFS(tb_rec_uni[2026-05-01],
INDIRECT("tb_rec_uni[natureza]"),"parcela.fin.total.ik",
INDIRECT("tb_rec_uni[empresa]"),BT$6)</f>
        <v>0</v>
      </c>
      <c r="BU67" s="120">
        <f ca="1">SUMIFS(tb_rec_uni[2026-05-01],
INDIRECT("tb_rec_uni[natureza]"),"taxa.extra",
INDIRECT("tb_rec_uni[empresa]"),BU$6)</f>
        <v>0</v>
      </c>
      <c r="BV67" s="108"/>
      <c r="BW67" s="120">
        <f ca="1">SUMIFS(
  m.vb[valor],
  m.vb[nucleo],$BR$1,
  m.vb[variavel],BW$7,
  m.vb[mes],$A67
)</f>
        <v>0</v>
      </c>
      <c r="BX67" s="120">
        <f ca="1">SUMIFS(
  m.vb[valor],
  m.vb[nucleo],$BR$1,
  m.vb[variavel],BX$7,
  m.vb[mes],$A67
)</f>
        <v>0</v>
      </c>
      <c r="BY67" s="120">
        <f ca="1">SUMIFS(
  m.vb[valor],
  m.vb[nucleo],$BR$1,
  m.vb[variavel],BY$7,
  m.vb[mes],$A67
)</f>
        <v>0</v>
      </c>
      <c r="BZ67" s="120">
        <f ca="1">SUMIFS(
  m.vb[valor],
  m.vb[nucleo],$BR$1,
  m.vb[variavel],BZ$7,
  m.vb[mes],$A67
)</f>
        <v>0</v>
      </c>
      <c r="CA67" s="120">
        <f ca="1">SUMIFS(
  m.vb[valor],
  m.vb[nucleo],$BR$1,
  m.vb[variavel],CA$7,
  m.vb[mes],$A67
)</f>
        <v>0</v>
      </c>
      <c r="CB67" s="119">
        <f>COUNTIFS(
    tb_estq[empresa], CB$6,
    tb_estq[Data da venda / reserva], "&gt;=" &amp; $A67,
    tb_estq[Data da venda / reserva], "&lt;"  &amp; EOMONTH($A67,0) + 1
)</f>
        <v>0</v>
      </c>
      <c r="CC67" s="120">
        <f ca="1">SUMIFS(tb_rec_uni[2026-05-01],
INDIRECT("tb_rec_uni[natureza]"),"pro.soluto",
INDIRECT("tb_rec_uni[empresa]"),CC$6)</f>
        <v>0</v>
      </c>
      <c r="CD67" s="120">
        <f ca="1">SUMIFS(tb_rec_uni[2026-05-01],
INDIRECT("tb_rec_uni[natureza]"),"repasse.cef.obra",
INDIRECT("tb_rec_uni[empresa]"),CD$6)</f>
        <v>0</v>
      </c>
      <c r="CE67" s="123">
        <f ca="1">SUMIFS(tb_rec_uni[2026-05-01],
INDIRECT("tb_rec_uni[natureza]"),"repasse.cef.terreno",
INDIRECT("tb_rec_uni[empresa]"),CE$6)</f>
        <v>0</v>
      </c>
      <c r="CF67" s="123">
        <v>478515.22</v>
      </c>
      <c r="CG67" s="120">
        <f ca="1">SUMIFS(tb_rec_uni[2026-05-01],
INDIRECT("tb_rec_uni[natureza]"),"taxa.extra",
INDIRECT("tb_rec_uni[empresa]"),CG$6)</f>
        <v>0</v>
      </c>
      <c r="CH67" s="108"/>
      <c r="CI67" s="120">
        <f ca="1">SUMIFS(
  m.vb[valor],
  m.vb[nucleo],$CB$1,
  m.vb[variavel],CI$7,
  m.vb[mes],$A67
)</f>
        <v>0</v>
      </c>
      <c r="CJ67" s="120">
        <f ca="1">SUMIFS(
  m.vb[valor],
  m.vb[nucleo],$CB$1,
  m.vb[variavel],CJ$7,
  m.vb[mes],$A67
)</f>
        <v>0</v>
      </c>
      <c r="CK67" s="120">
        <f ca="1">SUMIFS(
  m.vb[valor],
  m.vb[nucleo],$CB$1,
  m.vb[variavel],CK$7,
  m.vb[mes],$A67
)</f>
        <v>0</v>
      </c>
      <c r="CL67" s="120">
        <f ca="1">SUMIFS(
  m.vb[valor],
  m.vb[nucleo],$CB$1,
  m.vb[variavel],CL$7,
  m.vb[mes],$A67
)</f>
        <v>0</v>
      </c>
      <c r="CM67" s="120">
        <f ca="1">SUMIFS(
  m.vb[valor],
  m.vb[nucleo],$CB$1,
  m.vb[variavel],CM$7,
  m.vb[mes],$A67
)</f>
        <v>0</v>
      </c>
      <c r="CN67" s="119">
        <f>COUNTIFS(
    tb_estq[empresa], CN$6,
    tb_estq[Data da venda / reserva], "&gt;=" &amp; $A67,
    tb_estq[Data da venda / reserva], "&lt;"  &amp; EOMONTH($A67,0) + 1
)</f>
        <v>0</v>
      </c>
      <c r="CO67" s="120">
        <f ca="1">SUMIFS(tb_rec_uni[2026-05-01],
INDIRECT("tb_rec_uni[natureza]"),"pro.soluto",
INDIRECT("tb_rec_uni[empresa]"),CO$6)</f>
        <v>0</v>
      </c>
      <c r="CP67" s="120">
        <f ca="1">SUMIFS(tb_rec_uni[2026-05-01],
INDIRECT("tb_rec_uni[natureza]"),"repasse.cef.obra",
INDIRECT("tb_rec_uni[empresa]"),CP$6)</f>
        <v>0</v>
      </c>
      <c r="CQ67" s="123">
        <f ca="1">SUMIFS(tb_rec_uni[2026-05-01],
INDIRECT("tb_rec_uni[natureza]"),"repasse.cef.terreno",
INDIRECT("tb_rec_uni[empresa]"),CQ$6)</f>
        <v>0</v>
      </c>
      <c r="CR67" s="123">
        <v>0</v>
      </c>
      <c r="CS67" s="120">
        <f ca="1">SUMIFS(tb_rec_uni[2026-05-01],
INDIRECT("tb_rec_uni[natureza]"),"taxa.extra",
INDIRECT("tb_rec_uni[empresa]"),CS$6)</f>
        <v>0</v>
      </c>
      <c r="CT67" s="108"/>
      <c r="CU67" s="120">
        <f ca="1">SUMIFS(
  m.vb[valor],
  m.vb[nucleo],$CN$1,
  m.vb[variavel],CU$7,
  m.vb[mes],$A67
)</f>
        <v>0</v>
      </c>
      <c r="CV67" s="120" cm="1">
        <f t="array" ref="CV67">SUMPRODUCT(
  IFERROR(--tb_desp[valor],0)*
  (tb_desp[nucleo]="UP MOVE VILA SONIA")*
  (tb_desp[categoria]=CV$7)*
  (tb_desp[data.pagamento]&gt;=$A67)*
  (tb_desp[data.pagamento]&lt;EOMONTH($A67,0)+1)
)</f>
        <v>0</v>
      </c>
      <c r="CW67" s="120" cm="1">
        <f t="array" ref="CW67">SUMPRODUCT(
  IFERROR(--tb_desp[valor],0)*
  (tb_desp[nucleo]="UP MOVE VILA SONIA")*
  (tb_desp[categoria]=CW$7)*
  (tb_desp[data.pagamento]&gt;=$A67)*
  (tb_desp[data.pagamento]&lt;EOMONTH($A67,0)+1)
)</f>
        <v>0</v>
      </c>
      <c r="CX67" s="120" cm="1">
        <f t="array" ref="CX67">SUMPRODUCT(
  IFERROR(--tb_desp[valor],0)*
  (tb_desp[nucleo]="UP MOVE VILA SONIA")*
  (tb_desp[categoria]=CX$7)*
  (tb_desp[data.pagamento]&gt;=$A67)*
  (tb_desp[data.pagamento]&lt;EOMONTH($A67,0)+1)
)</f>
        <v>0</v>
      </c>
      <c r="CY67" s="220" cm="1">
        <f t="array" ref="CY67">SUMPRODUCT(
  IFERROR(--tb_desp[valor],0)*
  (tb_desp[nucleo]="UP MOVE VILA SONIA")*
  (tb_desp[categoria]=CY$7)*
  (tb_desp[data.pagamento]&gt;=$A67)*
  (tb_desp[data.pagamento]&lt;EOMONTH($A67,0)+1)
)</f>
        <v>0</v>
      </c>
    </row>
    <row r="68" spans="1:103" x14ac:dyDescent="0.25">
      <c r="A68" s="118">
        <v>46174</v>
      </c>
      <c r="B68" s="119">
        <f>COUNTIFS(
    tb_estq[empresa], B$6,
    tb_estq[Data da venda / reserva], "&gt;=" &amp; $A68,
    tb_estq[Data da venda / reserva], "&lt;"  &amp; EOMONTH($A68,0) + 1
)</f>
        <v>0</v>
      </c>
      <c r="C68" s="120">
        <f ca="1">SUMIFS(tb_rec_uni[2026-06-01],
INDIRECT("tb_rec_uni[natureza]"),"pro.soluto",
INDIRECT("tb_rec_uni[empresa]"),C$6)</f>
        <v>0</v>
      </c>
      <c r="D68" s="120">
        <f ca="1">SUMIFS(tb_rec_uni[2026-06-01],
INDIRECT("tb_rec_uni[natureza]"),"repasse.cef.obra",
INDIRECT("tb_rec_uni[empresa]"),D$6)</f>
        <v>0</v>
      </c>
      <c r="E68" s="120">
        <f ca="1">SUMIFS(tb_rec_uni[2026-06-01],
INDIRECT("tb_rec_uni[natureza]"),"repasse.cef.terreno",
INDIRECT("tb_rec_uni[empresa]"),E$6)</f>
        <v>0</v>
      </c>
      <c r="F68" s="123">
        <v>207868.87</v>
      </c>
      <c r="G68" s="120">
        <f ca="1">SUMIFS(tb_rec_uni[2026-06-01],
INDIRECT("tb_rec_uni[natureza]"),"taxa.extra",
INDIRECT("tb_rec_uni[empresa]"),G$6)</f>
        <v>0</v>
      </c>
      <c r="H68" s="108"/>
      <c r="I68" s="120">
        <f ca="1">SUMIFS(
  m.vb[valor],
  m.vb[nucleo],$B$1,
  m.vb[variavel],I$7,
  m.vb[mes],$A68
)</f>
        <v>0</v>
      </c>
      <c r="J68" s="120">
        <f ca="1">SUMIFS(
  m.vb[valor],
  m.vb[nucleo],$B$1,
  m.vb[variavel],J$7,
  m.vb[mes],$A68
)</f>
        <v>0</v>
      </c>
      <c r="K68" s="120">
        <f ca="1">SUMIFS(
  m.vb[valor],
  m.vb[nucleo],$B$1,
  m.vb[variavel],K$7,
  m.vb[mes],$A68
)</f>
        <v>0</v>
      </c>
      <c r="L68" s="120">
        <f ca="1">SUMIFS(
  m.vb[valor],
  m.vb[nucleo],$B$1,
  m.vb[variavel],L$7,
  m.vb[mes],$A68
)</f>
        <v>0</v>
      </c>
      <c r="M68" s="120">
        <f ca="1">SUMIFS(
  m.vb[valor],
  m.vb[nucleo],$B$1,
  m.vb[variavel],M$7,
  m.vb[mes],$A68
)</f>
        <v>0</v>
      </c>
      <c r="N68" s="119">
        <f>COUNTIFS(
    tb_estq[empresa], N$6,
    tb_estq[Data da venda / reserva], "&gt;=" &amp; $A68,
    tb_estq[Data da venda / reserva], "&lt;"  &amp; EOMONTH($A68,0) + 1
)</f>
        <v>0</v>
      </c>
      <c r="O68" s="120">
        <f ca="1">SUMIFS(tb_rec_uni[2026-06-01],
INDIRECT("tb_rec_uni[natureza]"),"pro.soluto",
INDIRECT("tb_rec_uni[empresa]"),O$6)</f>
        <v>0</v>
      </c>
      <c r="P68" s="120">
        <f ca="1">SUMIFS(tb_rec_uni[2026-06-01],
INDIRECT("tb_rec_uni[natureza]"),"repasse.cef.obra",
INDIRECT("tb_rec_uni[empresa]"),P$6)</f>
        <v>0</v>
      </c>
      <c r="Q68" s="120">
        <f ca="1">SUMIFS(tb_rec_uni[2026-06-01],
INDIRECT("tb_rec_uni[natureza]"),"repasse.cef.terreno",
INDIRECT("tb_rec_uni[empresa]"),Q$6)</f>
        <v>0</v>
      </c>
      <c r="R68" s="123">
        <v>0</v>
      </c>
      <c r="S68" s="120">
        <f ca="1">SUMIFS(tb_rec_uni[2026-06-01],
INDIRECT("tb_rec_uni[natureza]"),"taxa.extra",
INDIRECT("tb_rec_uni[empresa]"),S$6)</f>
        <v>0</v>
      </c>
      <c r="T68" s="108"/>
      <c r="U68" s="120">
        <f ca="1">SUMIFS(
  m.vb[valor],
  m.vb[nucleo],$N$1,
  m.vb[variavel],U$7,
  m.vb[mes],$A68
)</f>
        <v>0</v>
      </c>
      <c r="V68" s="120">
        <f ca="1">SUMIFS(
  m.vb[valor],
  m.vb[nucleo],$N$1,
  m.vb[variavel],V$7,
  m.vb[mes],$A68
)</f>
        <v>0</v>
      </c>
      <c r="W68" s="120">
        <f ca="1">SUMIFS(
  m.vb[valor],
  m.vb[nucleo],$N$1,
  m.vb[variavel],W$7,
  m.vb[mes],$A68
)</f>
        <v>0</v>
      </c>
      <c r="X68" s="120">
        <f ca="1">SUMIFS(
  m.vb[valor],
  m.vb[nucleo],$N$1,
  m.vb[variavel],X$7,
  m.vb[mes],$A68
)</f>
        <v>0</v>
      </c>
      <c r="Y68" s="120">
        <f ca="1">SUMIFS(
  m.vb[valor],
  m.vb[nucleo],$N$1,
  m.vb[variavel],Y$7,
  m.vb[mes],$A68
)</f>
        <v>0</v>
      </c>
      <c r="Z68" s="119">
        <f>COUNTIFS(
    tb_estq[empresa], Z$6,
    tb_estq[Data da venda / reserva], "&gt;=" &amp; $A68,
    tb_estq[Data da venda / reserva], "&lt;"  &amp; EOMONTH($A68,0) + 1
)</f>
        <v>0</v>
      </c>
      <c r="AA68" s="120">
        <f ca="1">SUMIFS(tb_rec_uni[2026-06-01],
INDIRECT("tb_rec_uni[natureza]"),"pro.soluto",
INDIRECT("tb_rec_uni[empresa]"),AA$6)</f>
        <v>0</v>
      </c>
      <c r="AB68" s="123">
        <f ca="1">SUMIFS(tb_rec_uni[2026-06-01],
INDIRECT("tb_rec_uni[natureza]"),"parcela.fin.total.ik",
INDIRECT("tb_rec_uni[empresa]"),AB$6)</f>
        <v>0</v>
      </c>
      <c r="AC68" s="120">
        <f ca="1">SUMIFS(tb_rec_uni[2026-06-01],
INDIRECT("tb_rec_uni[natureza]"),"taxa.extra",
INDIRECT("tb_rec_uni[empresa]"),AC$6)</f>
        <v>0</v>
      </c>
      <c r="AD68" s="108"/>
      <c r="AE68" s="120">
        <f ca="1">SUMIFS(
  m.vb[valor],
  m.vb[nucleo],$Z$1,
  m.vb[variavel],AE$7,
  m.vb[mes],$A68
)</f>
        <v>0</v>
      </c>
      <c r="AF68" s="120">
        <f ca="1">SUMIFS(
  m.vb[valor],
  m.vb[nucleo],$Z$1,
  m.vb[variavel],AF$7,
  m.vb[mes],$A68
)</f>
        <v>0</v>
      </c>
      <c r="AG68" s="120">
        <f ca="1">SUMIFS(
  m.vb[valor],
  m.vb[nucleo],$Z$1,
  m.vb[variavel],AG$7,
  m.vb[mes],$A68
)</f>
        <v>0</v>
      </c>
      <c r="AH68" s="120">
        <f ca="1">SUMIFS(
  m.vb[valor],
  m.vb[nucleo],$Z$1,
  m.vb[variavel],AH$7,
  m.vb[mes],$A68
)</f>
        <v>0</v>
      </c>
      <c r="AI68" s="120">
        <f ca="1">SUMIFS(
  m.vb[valor],
  m.vb[nucleo],$Z$1,
  m.vb[variavel],AI$7,
  m.vb[mes],$A68
)</f>
        <v>0</v>
      </c>
      <c r="AJ68" s="119">
        <f>COUNTIFS(
    tb_estq[empresa], AJ$6,
    tb_estq[Data da venda / reserva], "&gt;=" &amp; $A68,
    tb_estq[Data da venda / reserva], "&lt;"  &amp; EOMONTH($A68,0) + 1
)</f>
        <v>0</v>
      </c>
      <c r="AK68" s="120">
        <f ca="1">SUMIFS(tb_rec_uni[2026-06-01],
INDIRECT("tb_rec_uni[natureza]"),"pro.soluto",
INDIRECT("tb_rec_uni[empresa]"),AK$6)</f>
        <v>0</v>
      </c>
      <c r="AL68" s="120">
        <f ca="1">SUMIFS(tb_rec_uni[2026-06-01],
INDIRECT("tb_rec_uni[natureza]"),"repasse.cef.obra",
INDIRECT("tb_rec_uni[empresa]"),AL$6)</f>
        <v>0</v>
      </c>
      <c r="AM68" s="123">
        <f ca="1">SUMIFS(tb_rec_uni[2026-06-01],
INDIRECT("tb_rec_uni[natureza]"),"repasse.cef.terreno",
INDIRECT("tb_rec_uni[empresa]"),AM$6)</f>
        <v>0</v>
      </c>
      <c r="AN68" s="123">
        <v>0</v>
      </c>
      <c r="AO68" s="120">
        <f ca="1">SUMIFS(tb_rec_uni[2026-06-01],
INDIRECT("tb_rec_uni[natureza]"),"taxa.extra",
INDIRECT("tb_rec_uni[empresa]"),AO$6)</f>
        <v>0</v>
      </c>
      <c r="AP68" s="108"/>
      <c r="AQ68" s="120">
        <f ca="1">SUMIFS(
  m.vb[valor],
  m.vb[nucleo],$AJ$1,
  m.vb[variavel],AQ$7,
  m.vb[mes],$A68
)</f>
        <v>0</v>
      </c>
      <c r="AR68" s="120">
        <f ca="1">SUMIFS(
  m.vb[valor],
  m.vb[nucleo],$AJ$1,
  m.vb[variavel],AR$7,
  m.vb[mes],$A68
)</f>
        <v>0</v>
      </c>
      <c r="AS68" s="120">
        <f ca="1">SUMIFS(
  m.vb[valor],
  m.vb[nucleo],$AJ$1,
  m.vb[variavel],AS$7,
  m.vb[mes],$A68
)</f>
        <v>0</v>
      </c>
      <c r="AT68" s="120">
        <f ca="1">SUMIFS(
  m.vb[valor],
  m.vb[nucleo],$AJ$1,
  m.vb[variavel],AT$7,
  m.vb[mes],$A68
)</f>
        <v>0</v>
      </c>
      <c r="AU68" s="120">
        <f ca="1">SUMIFS(
  m.vb[valor],
  m.vb[nucleo],$AJ$1,
  m.vb[variavel],AU$7,
  m.vb[mes],$A68
)</f>
        <v>0</v>
      </c>
      <c r="AV68" s="119">
        <f>COUNTIFS(
    tb_estq[empresa], AV$6,
    tb_estq[Data da venda / reserva], "&gt;=" &amp; $A68,
    tb_estq[Data da venda / reserva], "&lt;"  &amp; EOMONTH($A68,0) + 1
)</f>
        <v>0</v>
      </c>
      <c r="AW68" s="120">
        <f ca="1">SUMIFS(tb_rec_uni[2026-06-01],
INDIRECT("tb_rec_uni[natureza]"),"pro.soluto",
INDIRECT("tb_rec_uni[empresa]"),AW$6)</f>
        <v>0</v>
      </c>
      <c r="AX68" s="120">
        <f ca="1">SUMIFS(tb_rec_uni[2026-06-01],
INDIRECT("tb_rec_uni[natureza]"),"repasse.cef.obra",
INDIRECT("tb_rec_uni[empresa]"),AX$6)</f>
        <v>0</v>
      </c>
      <c r="AY68" s="123">
        <f ca="1">SUMIFS(tb_rec_uni[2026-06-01],
INDIRECT("tb_rec_uni[natureza]"),"repasse.cef.terreno",
INDIRECT("tb_rec_uni[empresa]"),AY$6)</f>
        <v>0</v>
      </c>
      <c r="AZ68" s="123">
        <v>793792.24</v>
      </c>
      <c r="BA68" s="120">
        <f ca="1">SUMIFS(tb_rec_uni[2026-06-01],
INDIRECT("tb_rec_uni[natureza]"),"taxa.extra",
INDIRECT("tb_rec_uni[empresa]"),BA$6)</f>
        <v>0</v>
      </c>
      <c r="BB68" s="108"/>
      <c r="BC68" s="120">
        <f ca="1">SUMIFS(
  m.vb[valor],
  m.vb[nucleo],$AV$1,
  m.vb[variavel],BC$7,
  m.vb[mes],$A68
)</f>
        <v>0</v>
      </c>
      <c r="BD68" s="120">
        <f ca="1">SUMIFS(
  m.vb[valor],
  m.vb[nucleo],$AV$1,
  m.vb[variavel],BD$7,
  m.vb[mes],$A68
)</f>
        <v>0</v>
      </c>
      <c r="BE68" s="120">
        <f ca="1">SUMIFS(
  m.vb[valor],
  m.vb[nucleo],$AV$1,
  m.vb[variavel],BE$7,
  m.vb[mes],$A68
)</f>
        <v>0</v>
      </c>
      <c r="BF68" s="120">
        <f ca="1">SUMIFS(
  m.vb[valor],
  m.vb[nucleo],$AV$1,
  m.vb[variavel],BF$7,
  m.vb[mes],$A68
)</f>
        <v>0</v>
      </c>
      <c r="BG68" s="120">
        <f ca="1">SUMIFS(
  m.vb[valor],
  m.vb[nucleo],$AV$1,
  m.vb[variavel],BG$7,
  m.vb[mes],$A68
)</f>
        <v>0</v>
      </c>
      <c r="BH68" s="119">
        <f>COUNTIFS(
    tb_estq[empresa], BH$6,
    tb_estq[Data da venda / reserva], "&gt;=" &amp; $A68,
    tb_estq[Data da venda / reserva], "&lt;"  &amp; EOMONTH($A68,0) + 1
)</f>
        <v>0</v>
      </c>
      <c r="BI68" s="120">
        <f ca="1">SUMIFS(tb_rec_uni[2026-06-01],
INDIRECT("tb_rec_uni[natureza]"),"pro.soluto",
INDIRECT("tb_rec_uni[empresa]"),BI$6)</f>
        <v>0</v>
      </c>
      <c r="BJ68" s="124">
        <f>4.12*94736</f>
        <v>390312.32</v>
      </c>
      <c r="BK68" s="120">
        <f ca="1">SUMIFS(tb_rec_uni[2026-06-01],
INDIRECT("tb_rec_uni[natureza]"),"taxa.extra",
INDIRECT("tb_rec_uni[empresa]"),BK$6)</f>
        <v>0</v>
      </c>
      <c r="BL68" s="108"/>
      <c r="BM68" s="120">
        <f ca="1">SUMIFS(
  m.vb[valor],
  m.vb[nucleo],$BH$1,
  m.vb[variavel],BM$7,
  m.vb[mes],$A68
)</f>
        <v>0</v>
      </c>
      <c r="BN68" s="120">
        <f ca="1">SUMIFS(
  m.vb[valor],
  m.vb[nucleo],$BH$1,
  m.vb[variavel],BN$7,
  m.vb[mes],$A68
)</f>
        <v>0</v>
      </c>
      <c r="BO68" s="120">
        <f ca="1">SUMIFS(
  m.vb[valor],
  m.vb[nucleo],$BH$1,
  m.vb[variavel],BO$7,
  m.vb[mes],$A68
)</f>
        <v>0</v>
      </c>
      <c r="BP68" s="120">
        <f ca="1">SUMIFS(
  m.vb[valor],
  m.vb[nucleo],$BH$1,
  m.vb[variavel],BP$7,
  m.vb[mes],$A68
)</f>
        <v>0</v>
      </c>
      <c r="BQ68" s="120">
        <f ca="1">SUMIFS(
  m.vb[valor],
  m.vb[nucleo],$BH$1,
  m.vb[variavel],BQ$7,
  m.vb[mes],$A68
)</f>
        <v>0</v>
      </c>
      <c r="BR68" s="119">
        <f>COUNTIFS(
    tb_estq[empresa], BR$6,
    tb_estq[Data da venda / reserva], "&gt;=" &amp; $A68,
    tb_estq[Data da venda / reserva], "&lt;"  &amp; EOMONTH($A68,0) + 1
)</f>
        <v>0</v>
      </c>
      <c r="BS68" s="120">
        <f ca="1">SUMIFS(tb_rec_uni[2026-06-01],
INDIRECT("tb_rec_uni[natureza]"),"pro.soluto",
INDIRECT("tb_rec_uni[empresa]"),BS$6)</f>
        <v>0</v>
      </c>
      <c r="BT68" s="123">
        <f ca="1">SUMIFS(tb_rec_uni[2026-06-01],
INDIRECT("tb_rec_uni[natureza]"),"parcela.fin.total.ik",
INDIRECT("tb_rec_uni[empresa]"),BT$6)</f>
        <v>0</v>
      </c>
      <c r="BU68" s="120">
        <f ca="1">SUMIFS(tb_rec_uni[2026-06-01],
INDIRECT("tb_rec_uni[natureza]"),"taxa.extra",
INDIRECT("tb_rec_uni[empresa]"),BU$6)</f>
        <v>0</v>
      </c>
      <c r="BV68" s="108"/>
      <c r="BW68" s="120">
        <f ca="1">SUMIFS(
  m.vb[valor],
  m.vb[nucleo],$BR$1,
  m.vb[variavel],BW$7,
  m.vb[mes],$A68
)</f>
        <v>0</v>
      </c>
      <c r="BX68" s="120">
        <f ca="1">SUMIFS(
  m.vb[valor],
  m.vb[nucleo],$BR$1,
  m.vb[variavel],BX$7,
  m.vb[mes],$A68
)</f>
        <v>0</v>
      </c>
      <c r="BY68" s="120">
        <f ca="1">SUMIFS(
  m.vb[valor],
  m.vb[nucleo],$BR$1,
  m.vb[variavel],BY$7,
  m.vb[mes],$A68
)</f>
        <v>0</v>
      </c>
      <c r="BZ68" s="120">
        <f ca="1">SUMIFS(
  m.vb[valor],
  m.vb[nucleo],$BR$1,
  m.vb[variavel],BZ$7,
  m.vb[mes],$A68
)</f>
        <v>0</v>
      </c>
      <c r="CA68" s="120">
        <f ca="1">SUMIFS(
  m.vb[valor],
  m.vb[nucleo],$BR$1,
  m.vb[variavel],CA$7,
  m.vb[mes],$A68
)</f>
        <v>0</v>
      </c>
      <c r="CB68" s="119">
        <f>COUNTIFS(
    tb_estq[empresa], CB$6,
    tb_estq[Data da venda / reserva], "&gt;=" &amp; $A68,
    tb_estq[Data da venda / reserva], "&lt;"  &amp; EOMONTH($A68,0) + 1
)</f>
        <v>0</v>
      </c>
      <c r="CC68" s="120">
        <f ca="1">SUMIFS(tb_rec_uni[2026-06-01],
INDIRECT("tb_rec_uni[natureza]"),"pro.soluto",
INDIRECT("tb_rec_uni[empresa]"),CC$6)</f>
        <v>0</v>
      </c>
      <c r="CD68" s="120">
        <f ca="1">SUMIFS(tb_rec_uni[2026-06-01],
INDIRECT("tb_rec_uni[natureza]"),"repasse.cef.obra",
INDIRECT("tb_rec_uni[empresa]"),CD$6)</f>
        <v>0</v>
      </c>
      <c r="CE68" s="123">
        <f ca="1">SUMIFS(tb_rec_uni[2026-06-01],
INDIRECT("tb_rec_uni[natureza]"),"repasse.cef.terreno",
INDIRECT("tb_rec_uni[empresa]"),CE$6)</f>
        <v>0</v>
      </c>
      <c r="CF68" s="123">
        <v>364294.47</v>
      </c>
      <c r="CG68" s="120">
        <f ca="1">SUMIFS(tb_rec_uni[2026-06-01],
INDIRECT("tb_rec_uni[natureza]"),"taxa.extra",
INDIRECT("tb_rec_uni[empresa]"),CG$6)</f>
        <v>0</v>
      </c>
      <c r="CH68" s="108"/>
      <c r="CI68" s="120">
        <f ca="1">SUMIFS(
  m.vb[valor],
  m.vb[nucleo],$CB$1,
  m.vb[variavel],CI$7,
  m.vb[mes],$A68
)</f>
        <v>0</v>
      </c>
      <c r="CJ68" s="120">
        <f ca="1">SUMIFS(
  m.vb[valor],
  m.vb[nucleo],$CB$1,
  m.vb[variavel],CJ$7,
  m.vb[mes],$A68
)</f>
        <v>0</v>
      </c>
      <c r="CK68" s="120">
        <f ca="1">SUMIFS(
  m.vb[valor],
  m.vb[nucleo],$CB$1,
  m.vb[variavel],CK$7,
  m.vb[mes],$A68
)</f>
        <v>0</v>
      </c>
      <c r="CL68" s="120">
        <f ca="1">SUMIFS(
  m.vb[valor],
  m.vb[nucleo],$CB$1,
  m.vb[variavel],CL$7,
  m.vb[mes],$A68
)</f>
        <v>0</v>
      </c>
      <c r="CM68" s="120">
        <f ca="1">SUMIFS(
  m.vb[valor],
  m.vb[nucleo],$CB$1,
  m.vb[variavel],CM$7,
  m.vb[mes],$A68
)</f>
        <v>0</v>
      </c>
      <c r="CN68" s="119">
        <f>COUNTIFS(
    tb_estq[empresa], CN$6,
    tb_estq[Data da venda / reserva], "&gt;=" &amp; $A68,
    tb_estq[Data da venda / reserva], "&lt;"  &amp; EOMONTH($A68,0) + 1
)</f>
        <v>0</v>
      </c>
      <c r="CO68" s="120">
        <f ca="1">SUMIFS(tb_rec_uni[2026-06-01],
INDIRECT("tb_rec_uni[natureza]"),"pro.soluto",
INDIRECT("tb_rec_uni[empresa]"),CO$6)</f>
        <v>0</v>
      </c>
      <c r="CP68" s="120">
        <f ca="1">SUMIFS(tb_rec_uni[2026-06-01],
INDIRECT("tb_rec_uni[natureza]"),"repasse.cef.obra",
INDIRECT("tb_rec_uni[empresa]"),CP$6)</f>
        <v>0</v>
      </c>
      <c r="CQ68" s="123">
        <f ca="1">SUMIFS(tb_rec_uni[2026-06-01],
INDIRECT("tb_rec_uni[natureza]"),"repasse.cef.terreno",
INDIRECT("tb_rec_uni[empresa]"),CQ$6)</f>
        <v>0</v>
      </c>
      <c r="CR68" s="123">
        <v>0</v>
      </c>
      <c r="CS68" s="120">
        <f ca="1">SUMIFS(tb_rec_uni[2026-06-01],
INDIRECT("tb_rec_uni[natureza]"),"taxa.extra",
INDIRECT("tb_rec_uni[empresa]"),CS$6)</f>
        <v>0</v>
      </c>
      <c r="CT68" s="108"/>
      <c r="CU68" s="120">
        <f ca="1">SUMIFS(
  m.vb[valor],
  m.vb[nucleo],$CN$1,
  m.vb[variavel],CU$7,
  m.vb[mes],$A68
)</f>
        <v>0</v>
      </c>
      <c r="CV68" s="120" cm="1">
        <f t="array" ref="CV68">SUMPRODUCT(
  IFERROR(--tb_desp[valor],0)*
  (tb_desp[nucleo]="UP MOVE VILA SONIA")*
  (tb_desp[categoria]=CV$7)*
  (tb_desp[data.pagamento]&gt;=$A68)*
  (tb_desp[data.pagamento]&lt;EOMONTH($A68,0)+1)
)</f>
        <v>0</v>
      </c>
      <c r="CW68" s="120" cm="1">
        <f t="array" ref="CW68">SUMPRODUCT(
  IFERROR(--tb_desp[valor],0)*
  (tb_desp[nucleo]="UP MOVE VILA SONIA")*
  (tb_desp[categoria]=CW$7)*
  (tb_desp[data.pagamento]&gt;=$A68)*
  (tb_desp[data.pagamento]&lt;EOMONTH($A68,0)+1)
)</f>
        <v>0</v>
      </c>
      <c r="CX68" s="120" cm="1">
        <f t="array" ref="CX68">SUMPRODUCT(
  IFERROR(--tb_desp[valor],0)*
  (tb_desp[nucleo]="UP MOVE VILA SONIA")*
  (tb_desp[categoria]=CX$7)*
  (tb_desp[data.pagamento]&gt;=$A68)*
  (tb_desp[data.pagamento]&lt;EOMONTH($A68,0)+1)
)</f>
        <v>0</v>
      </c>
      <c r="CY68" s="220" cm="1">
        <f t="array" ref="CY68">SUMPRODUCT(
  IFERROR(--tb_desp[valor],0)*
  (tb_desp[nucleo]="UP MOVE VILA SONIA")*
  (tb_desp[categoria]=CY$7)*
  (tb_desp[data.pagamento]&gt;=$A68)*
  (tb_desp[data.pagamento]&lt;EOMONTH($A68,0)+1)
)</f>
        <v>0</v>
      </c>
    </row>
    <row r="69" spans="1:103" x14ac:dyDescent="0.25">
      <c r="A69" s="118">
        <v>46204</v>
      </c>
      <c r="B69" s="119">
        <f>COUNTIFS(
    tb_estq[empresa], B$6,
    tb_estq[Data da venda / reserva], "&gt;=" &amp; $A69,
    tb_estq[Data da venda / reserva], "&lt;"  &amp; EOMONTH($A69,0) + 1
)</f>
        <v>0</v>
      </c>
      <c r="C69" s="120">
        <f ca="1">SUMIFS(tb_rec_uni[2026-07-01],
INDIRECT("tb_rec_uni[natureza]"),"pro.soluto",
INDIRECT("tb_rec_uni[empresa]"),C$6)</f>
        <v>0</v>
      </c>
      <c r="D69" s="120">
        <f ca="1">SUMIFS(tb_rec_uni[2026-07-01],
INDIRECT("tb_rec_uni[natureza]"),"repasse.cef.obra",
INDIRECT("tb_rec_uni[empresa]"),D$6)</f>
        <v>0</v>
      </c>
      <c r="E69" s="120">
        <f ca="1">SUMIFS(tb_rec_uni[2026-07-01],
INDIRECT("tb_rec_uni[natureza]"),"repasse.cef.terreno",
INDIRECT("tb_rec_uni[empresa]"),E$6)</f>
        <v>0</v>
      </c>
      <c r="F69" s="123">
        <v>0</v>
      </c>
      <c r="G69" s="120">
        <f ca="1">SUMIFS(tb_rec_uni[2026-07-01],
INDIRECT("tb_rec_uni[natureza]"),"taxa.extra",
INDIRECT("tb_rec_uni[empresa]"),G$6)</f>
        <v>0</v>
      </c>
      <c r="H69" s="108"/>
      <c r="I69" s="120">
        <f ca="1">SUMIFS(
  m.vb[valor],
  m.vb[nucleo],$B$1,
  m.vb[variavel],I$7,
  m.vb[mes],$A69
)</f>
        <v>0</v>
      </c>
      <c r="J69" s="120">
        <f ca="1">SUMIFS(
  m.vb[valor],
  m.vb[nucleo],$B$1,
  m.vb[variavel],J$7,
  m.vb[mes],$A69
)</f>
        <v>0</v>
      </c>
      <c r="K69" s="120">
        <f ca="1">SUMIFS(
  m.vb[valor],
  m.vb[nucleo],$B$1,
  m.vb[variavel],K$7,
  m.vb[mes],$A69
)</f>
        <v>0</v>
      </c>
      <c r="L69" s="120">
        <f ca="1">SUMIFS(
  m.vb[valor],
  m.vb[nucleo],$B$1,
  m.vb[variavel],L$7,
  m.vb[mes],$A69
)</f>
        <v>0</v>
      </c>
      <c r="M69" s="120">
        <f ca="1">SUMIFS(
  m.vb[valor],
  m.vb[nucleo],$B$1,
  m.vb[variavel],M$7,
  m.vb[mes],$A69
)</f>
        <v>0</v>
      </c>
      <c r="N69" s="119">
        <f>COUNTIFS(
    tb_estq[empresa], N$6,
    tb_estq[Data da venda / reserva], "&gt;=" &amp; $A69,
    tb_estq[Data da venda / reserva], "&lt;"  &amp; EOMONTH($A69,0) + 1
)</f>
        <v>0</v>
      </c>
      <c r="O69" s="120">
        <f ca="1">SUMIFS(tb_rec_uni[2026-07-01],
INDIRECT("tb_rec_uni[natureza]"),"pro.soluto",
INDIRECT("tb_rec_uni[empresa]"),O$6)</f>
        <v>0</v>
      </c>
      <c r="P69" s="120">
        <f ca="1">SUMIFS(tb_rec_uni[2026-07-01],
INDIRECT("tb_rec_uni[natureza]"),"repasse.cef.obra",
INDIRECT("tb_rec_uni[empresa]"),P$6)</f>
        <v>0</v>
      </c>
      <c r="Q69" s="120">
        <f ca="1">SUMIFS(tb_rec_uni[2026-07-01],
INDIRECT("tb_rec_uni[natureza]"),"repasse.cef.terreno",
INDIRECT("tb_rec_uni[empresa]"),Q$6)</f>
        <v>0</v>
      </c>
      <c r="R69" s="123">
        <v>0</v>
      </c>
      <c r="S69" s="120">
        <f ca="1">SUMIFS(tb_rec_uni[2026-07-01],
INDIRECT("tb_rec_uni[natureza]"),"taxa.extra",
INDIRECT("tb_rec_uni[empresa]"),S$6)</f>
        <v>0</v>
      </c>
      <c r="T69" s="108"/>
      <c r="U69" s="120">
        <f ca="1">SUMIFS(
  m.vb[valor],
  m.vb[nucleo],$N$1,
  m.vb[variavel],U$7,
  m.vb[mes],$A69
)</f>
        <v>0</v>
      </c>
      <c r="V69" s="120">
        <f ca="1">SUMIFS(
  m.vb[valor],
  m.vb[nucleo],$N$1,
  m.vb[variavel],V$7,
  m.vb[mes],$A69
)</f>
        <v>0</v>
      </c>
      <c r="W69" s="120">
        <f ca="1">SUMIFS(
  m.vb[valor],
  m.vb[nucleo],$N$1,
  m.vb[variavel],W$7,
  m.vb[mes],$A69
)</f>
        <v>0</v>
      </c>
      <c r="X69" s="120">
        <f ca="1">SUMIFS(
  m.vb[valor],
  m.vb[nucleo],$N$1,
  m.vb[variavel],X$7,
  m.vb[mes],$A69
)</f>
        <v>0</v>
      </c>
      <c r="Y69" s="120">
        <f ca="1">SUMIFS(
  m.vb[valor],
  m.vb[nucleo],$N$1,
  m.vb[variavel],Y$7,
  m.vb[mes],$A69
)</f>
        <v>0</v>
      </c>
      <c r="Z69" s="119">
        <f>COUNTIFS(
    tb_estq[empresa], Z$6,
    tb_estq[Data da venda / reserva], "&gt;=" &amp; $A69,
    tb_estq[Data da venda / reserva], "&lt;"  &amp; EOMONTH($A69,0) + 1
)</f>
        <v>0</v>
      </c>
      <c r="AA69" s="120">
        <f ca="1">SUMIFS(tb_rec_uni[2026-07-01],
INDIRECT("tb_rec_uni[natureza]"),"pro.soluto",
INDIRECT("tb_rec_uni[empresa]"),AA$6)</f>
        <v>0</v>
      </c>
      <c r="AB69" s="123">
        <f ca="1">SUMIFS(tb_rec_uni[2026-07-01],
INDIRECT("tb_rec_uni[natureza]"),"parcela.fin.total.ik",
INDIRECT("tb_rec_uni[empresa]"),AB$6)</f>
        <v>0</v>
      </c>
      <c r="AC69" s="120">
        <f ca="1">SUMIFS(tb_rec_uni[2026-07-01],
INDIRECT("tb_rec_uni[natureza]"),"taxa.extra",
INDIRECT("tb_rec_uni[empresa]"),AC$6)</f>
        <v>0</v>
      </c>
      <c r="AD69" s="108"/>
      <c r="AE69" s="120">
        <f ca="1">SUMIFS(
  m.vb[valor],
  m.vb[nucleo],$Z$1,
  m.vb[variavel],AE$7,
  m.vb[mes],$A69
)</f>
        <v>0</v>
      </c>
      <c r="AF69" s="120">
        <f ca="1">SUMIFS(
  m.vb[valor],
  m.vb[nucleo],$Z$1,
  m.vb[variavel],AF$7,
  m.vb[mes],$A69
)</f>
        <v>0</v>
      </c>
      <c r="AG69" s="120">
        <f ca="1">SUMIFS(
  m.vb[valor],
  m.vb[nucleo],$Z$1,
  m.vb[variavel],AG$7,
  m.vb[mes],$A69
)</f>
        <v>0</v>
      </c>
      <c r="AH69" s="120">
        <f ca="1">SUMIFS(
  m.vb[valor],
  m.vb[nucleo],$Z$1,
  m.vb[variavel],AH$7,
  m.vb[mes],$A69
)</f>
        <v>0</v>
      </c>
      <c r="AI69" s="120">
        <f ca="1">SUMIFS(
  m.vb[valor],
  m.vb[nucleo],$Z$1,
  m.vb[variavel],AI$7,
  m.vb[mes],$A69
)</f>
        <v>0</v>
      </c>
      <c r="AJ69" s="119">
        <f>COUNTIFS(
    tb_estq[empresa], AJ$6,
    tb_estq[Data da venda / reserva], "&gt;=" &amp; $A69,
    tb_estq[Data da venda / reserva], "&lt;"  &amp; EOMONTH($A69,0) + 1
)</f>
        <v>0</v>
      </c>
      <c r="AK69" s="120">
        <f ca="1">SUMIFS(tb_rec_uni[2026-07-01],
INDIRECT("tb_rec_uni[natureza]"),"pro.soluto",
INDIRECT("tb_rec_uni[empresa]"),AK$6)</f>
        <v>0</v>
      </c>
      <c r="AL69" s="120">
        <f ca="1">SUMIFS(tb_rec_uni[2026-07-01],
INDIRECT("tb_rec_uni[natureza]"),"repasse.cef.obra",
INDIRECT("tb_rec_uni[empresa]"),AL$6)</f>
        <v>0</v>
      </c>
      <c r="AM69" s="123">
        <f ca="1">SUMIFS(tb_rec_uni[2026-07-01],
INDIRECT("tb_rec_uni[natureza]"),"repasse.cef.terreno",
INDIRECT("tb_rec_uni[empresa]"),AM$6)</f>
        <v>0</v>
      </c>
      <c r="AN69" s="123">
        <v>68844.36</v>
      </c>
      <c r="AO69" s="120">
        <f ca="1">SUMIFS(tb_rec_uni[2026-07-01],
INDIRECT("tb_rec_uni[natureza]"),"taxa.extra",
INDIRECT("tb_rec_uni[empresa]"),AO$6)</f>
        <v>0</v>
      </c>
      <c r="AP69" s="108"/>
      <c r="AQ69" s="120">
        <f ca="1">SUMIFS(
  m.vb[valor],
  m.vb[nucleo],$AJ$1,
  m.vb[variavel],AQ$7,
  m.vb[mes],$A69
)</f>
        <v>0</v>
      </c>
      <c r="AR69" s="120">
        <f ca="1">SUMIFS(
  m.vb[valor],
  m.vb[nucleo],$AJ$1,
  m.vb[variavel],AR$7,
  m.vb[mes],$A69
)</f>
        <v>0</v>
      </c>
      <c r="AS69" s="120">
        <f ca="1">SUMIFS(
  m.vb[valor],
  m.vb[nucleo],$AJ$1,
  m.vb[variavel],AS$7,
  m.vb[mes],$A69
)</f>
        <v>0</v>
      </c>
      <c r="AT69" s="120">
        <f ca="1">SUMIFS(
  m.vb[valor],
  m.vb[nucleo],$AJ$1,
  m.vb[variavel],AT$7,
  m.vb[mes],$A69
)</f>
        <v>0</v>
      </c>
      <c r="AU69" s="120">
        <f ca="1">SUMIFS(
  m.vb[valor],
  m.vb[nucleo],$AJ$1,
  m.vb[variavel],AU$7,
  m.vb[mes],$A69
)</f>
        <v>0</v>
      </c>
      <c r="AV69" s="119">
        <f>COUNTIFS(
    tb_estq[empresa], AV$6,
    tb_estq[Data da venda / reserva], "&gt;=" &amp; $A69,
    tb_estq[Data da venda / reserva], "&lt;"  &amp; EOMONTH($A69,0) + 1
)</f>
        <v>0</v>
      </c>
      <c r="AW69" s="120">
        <f ca="1">SUMIFS(tb_rec_uni[2026-07-01],
INDIRECT("tb_rec_uni[natureza]"),"pro.soluto",
INDIRECT("tb_rec_uni[empresa]"),AW$6)</f>
        <v>0</v>
      </c>
      <c r="AX69" s="120">
        <f ca="1">SUMIFS(tb_rec_uni[2026-07-01],
INDIRECT("tb_rec_uni[natureza]"),"repasse.cef.obra",
INDIRECT("tb_rec_uni[empresa]"),AX$6)</f>
        <v>0</v>
      </c>
      <c r="AY69" s="123">
        <f ca="1">SUMIFS(tb_rec_uni[2026-07-01],
INDIRECT("tb_rec_uni[natureza]"),"repasse.cef.terreno",
INDIRECT("tb_rec_uni[empresa]"),AY$6)</f>
        <v>0</v>
      </c>
      <c r="AZ69" s="123">
        <v>0</v>
      </c>
      <c r="BA69" s="120">
        <f ca="1">SUMIFS(tb_rec_uni[2026-07-01],
INDIRECT("tb_rec_uni[natureza]"),"taxa.extra",
INDIRECT("tb_rec_uni[empresa]"),BA$6)</f>
        <v>0</v>
      </c>
      <c r="BB69" s="108"/>
      <c r="BC69" s="120">
        <f ca="1">SUMIFS(
  m.vb[valor],
  m.vb[nucleo],$AV$1,
  m.vb[variavel],BC$7,
  m.vb[mes],$A69
)</f>
        <v>0</v>
      </c>
      <c r="BD69" s="120">
        <f ca="1">SUMIFS(
  m.vb[valor],
  m.vb[nucleo],$AV$1,
  m.vb[variavel],BD$7,
  m.vb[mes],$A69
)</f>
        <v>0</v>
      </c>
      <c r="BE69" s="120">
        <f ca="1">SUMIFS(
  m.vb[valor],
  m.vb[nucleo],$AV$1,
  m.vb[variavel],BE$7,
  m.vb[mes],$A69
)</f>
        <v>0</v>
      </c>
      <c r="BF69" s="120">
        <f ca="1">SUMIFS(
  m.vb[valor],
  m.vb[nucleo],$AV$1,
  m.vb[variavel],BF$7,
  m.vb[mes],$A69
)</f>
        <v>0</v>
      </c>
      <c r="BG69" s="120">
        <f ca="1">SUMIFS(
  m.vb[valor],
  m.vb[nucleo],$AV$1,
  m.vb[variavel],BG$7,
  m.vb[mes],$A69
)</f>
        <v>0</v>
      </c>
      <c r="BH69" s="119">
        <f>COUNTIFS(
    tb_estq[empresa], BH$6,
    tb_estq[Data da venda / reserva], "&gt;=" &amp; $A69,
    tb_estq[Data da venda / reserva], "&lt;"  &amp; EOMONTH($A69,0) + 1
)</f>
        <v>0</v>
      </c>
      <c r="BI69" s="120">
        <f ca="1">SUMIFS(tb_rec_uni[2026-07-01],
INDIRECT("tb_rec_uni[natureza]"),"pro.soluto",
INDIRECT("tb_rec_uni[empresa]"),BI$6)</f>
        <v>0</v>
      </c>
      <c r="BJ69" s="124">
        <f>6.44*94736</f>
        <v>610099.84000000008</v>
      </c>
      <c r="BK69" s="120">
        <f ca="1">SUMIFS(tb_rec_uni[2026-07-01],
INDIRECT("tb_rec_uni[natureza]"),"taxa.extra",
INDIRECT("tb_rec_uni[empresa]"),BK$6)</f>
        <v>0</v>
      </c>
      <c r="BL69" s="108"/>
      <c r="BM69" s="120">
        <f ca="1">SUMIFS(
  m.vb[valor],
  m.vb[nucleo],$BH$1,
  m.vb[variavel],BM$7,
  m.vb[mes],$A69
)</f>
        <v>0</v>
      </c>
      <c r="BN69" s="120">
        <f ca="1">SUMIFS(
  m.vb[valor],
  m.vb[nucleo],$BH$1,
  m.vb[variavel],BN$7,
  m.vb[mes],$A69
)</f>
        <v>0</v>
      </c>
      <c r="BO69" s="120">
        <f ca="1">SUMIFS(
  m.vb[valor],
  m.vb[nucleo],$BH$1,
  m.vb[variavel],BO$7,
  m.vb[mes],$A69
)</f>
        <v>0</v>
      </c>
      <c r="BP69" s="120">
        <f ca="1">SUMIFS(
  m.vb[valor],
  m.vb[nucleo],$BH$1,
  m.vb[variavel],BP$7,
  m.vb[mes],$A69
)</f>
        <v>0</v>
      </c>
      <c r="BQ69" s="120">
        <f ca="1">SUMIFS(
  m.vb[valor],
  m.vb[nucleo],$BH$1,
  m.vb[variavel],BQ$7,
  m.vb[mes],$A69
)</f>
        <v>0</v>
      </c>
      <c r="BR69" s="119">
        <f>COUNTIFS(
    tb_estq[empresa], BR$6,
    tb_estq[Data da venda / reserva], "&gt;=" &amp; $A69,
    tb_estq[Data da venda / reserva], "&lt;"  &amp; EOMONTH($A69,0) + 1
)</f>
        <v>0</v>
      </c>
      <c r="BS69" s="120">
        <f ca="1">SUMIFS(tb_rec_uni[2026-07-01],
INDIRECT("tb_rec_uni[natureza]"),"pro.soluto",
INDIRECT("tb_rec_uni[empresa]"),BS$6)</f>
        <v>0</v>
      </c>
      <c r="BT69" s="123">
        <f ca="1">SUMIFS(tb_rec_uni[2026-07-01],
INDIRECT("tb_rec_uni[natureza]"),"parcela.fin.total.ik",
INDIRECT("tb_rec_uni[empresa]"),BT$6)</f>
        <v>0</v>
      </c>
      <c r="BU69" s="120">
        <f ca="1">SUMIFS(tb_rec_uni[2026-07-01],
INDIRECT("tb_rec_uni[natureza]"),"taxa.extra",
INDIRECT("tb_rec_uni[empresa]"),BU$6)</f>
        <v>0</v>
      </c>
      <c r="BV69" s="108"/>
      <c r="BW69" s="120">
        <f ca="1">SUMIFS(
  m.vb[valor],
  m.vb[nucleo],$BR$1,
  m.vb[variavel],BW$7,
  m.vb[mes],$A69
)</f>
        <v>0</v>
      </c>
      <c r="BX69" s="120">
        <f ca="1">SUMIFS(
  m.vb[valor],
  m.vb[nucleo],$BR$1,
  m.vb[variavel],BX$7,
  m.vb[mes],$A69
)</f>
        <v>0</v>
      </c>
      <c r="BY69" s="120">
        <f ca="1">SUMIFS(
  m.vb[valor],
  m.vb[nucleo],$BR$1,
  m.vb[variavel],BY$7,
  m.vb[mes],$A69
)</f>
        <v>0</v>
      </c>
      <c r="BZ69" s="120">
        <f ca="1">SUMIFS(
  m.vb[valor],
  m.vb[nucleo],$BR$1,
  m.vb[variavel],BZ$7,
  m.vb[mes],$A69
)</f>
        <v>0</v>
      </c>
      <c r="CA69" s="120">
        <f ca="1">SUMIFS(
  m.vb[valor],
  m.vb[nucleo],$BR$1,
  m.vb[variavel],CA$7,
  m.vb[mes],$A69
)</f>
        <v>0</v>
      </c>
      <c r="CB69" s="119">
        <f>COUNTIFS(
    tb_estq[empresa], CB$6,
    tb_estq[Data da venda / reserva], "&gt;=" &amp; $A69,
    tb_estq[Data da venda / reserva], "&lt;"  &amp; EOMONTH($A69,0) + 1
)</f>
        <v>0</v>
      </c>
      <c r="CC69" s="120">
        <f ca="1">SUMIFS(tb_rec_uni[2026-07-01],
INDIRECT("tb_rec_uni[natureza]"),"pro.soluto",
INDIRECT("tb_rec_uni[empresa]"),CC$6)</f>
        <v>0</v>
      </c>
      <c r="CD69" s="120">
        <f ca="1">SUMIFS(tb_rec_uni[2026-07-01],
INDIRECT("tb_rec_uni[natureza]"),"repasse.cef.obra",
INDIRECT("tb_rec_uni[empresa]"),CD$6)</f>
        <v>0</v>
      </c>
      <c r="CE69" s="123">
        <f ca="1">SUMIFS(tb_rec_uni[2026-07-01],
INDIRECT("tb_rec_uni[natureza]"),"repasse.cef.terreno",
INDIRECT("tb_rec_uni[empresa]"),CE$6)</f>
        <v>0</v>
      </c>
      <c r="CF69" s="123">
        <v>849729.75</v>
      </c>
      <c r="CG69" s="120">
        <f ca="1">SUMIFS(tb_rec_uni[2026-07-01],
INDIRECT("tb_rec_uni[natureza]"),"taxa.extra",
INDIRECT("tb_rec_uni[empresa]"),CG$6)</f>
        <v>0</v>
      </c>
      <c r="CH69" s="108"/>
      <c r="CI69" s="120">
        <f ca="1">SUMIFS(
  m.vb[valor],
  m.vb[nucleo],$CB$1,
  m.vb[variavel],CI$7,
  m.vb[mes],$A69
)</f>
        <v>0</v>
      </c>
      <c r="CJ69" s="120">
        <f ca="1">SUMIFS(
  m.vb[valor],
  m.vb[nucleo],$CB$1,
  m.vb[variavel],CJ$7,
  m.vb[mes],$A69
)</f>
        <v>0</v>
      </c>
      <c r="CK69" s="120">
        <f ca="1">SUMIFS(
  m.vb[valor],
  m.vb[nucleo],$CB$1,
  m.vb[variavel],CK$7,
  m.vb[mes],$A69
)</f>
        <v>0</v>
      </c>
      <c r="CL69" s="120">
        <f ca="1">SUMIFS(
  m.vb[valor],
  m.vb[nucleo],$CB$1,
  m.vb[variavel],CL$7,
  m.vb[mes],$A69
)</f>
        <v>0</v>
      </c>
      <c r="CM69" s="120">
        <f ca="1">SUMIFS(
  m.vb[valor],
  m.vb[nucleo],$CB$1,
  m.vb[variavel],CM$7,
  m.vb[mes],$A69
)</f>
        <v>0</v>
      </c>
      <c r="CN69" s="119">
        <f>COUNTIFS(
    tb_estq[empresa], CN$6,
    tb_estq[Data da venda / reserva], "&gt;=" &amp; $A69,
    tb_estq[Data da venda / reserva], "&lt;"  &amp; EOMONTH($A69,0) + 1
)</f>
        <v>0</v>
      </c>
      <c r="CO69" s="120">
        <f ca="1">SUMIFS(tb_rec_uni[2026-07-01],
INDIRECT("tb_rec_uni[natureza]"),"pro.soluto",
INDIRECT("tb_rec_uni[empresa]"),CO$6)</f>
        <v>0</v>
      </c>
      <c r="CP69" s="120">
        <f ca="1">SUMIFS(tb_rec_uni[2026-07-01],
INDIRECT("tb_rec_uni[natureza]"),"repasse.cef.obra",
INDIRECT("tb_rec_uni[empresa]"),CP$6)</f>
        <v>0</v>
      </c>
      <c r="CQ69" s="123">
        <f ca="1">SUMIFS(tb_rec_uni[2026-07-01],
INDIRECT("tb_rec_uni[natureza]"),"repasse.cef.terreno",
INDIRECT("tb_rec_uni[empresa]"),CQ$6)</f>
        <v>0</v>
      </c>
      <c r="CR69" s="123">
        <v>1494751.71</v>
      </c>
      <c r="CS69" s="120">
        <f ca="1">SUMIFS(tb_rec_uni[2026-07-01],
INDIRECT("tb_rec_uni[natureza]"),"taxa.extra",
INDIRECT("tb_rec_uni[empresa]"),CS$6)</f>
        <v>0</v>
      </c>
      <c r="CT69" s="108"/>
      <c r="CU69" s="120">
        <f ca="1">SUMIFS(
  m.vb[valor],
  m.vb[nucleo],$CN$1,
  m.vb[variavel],CU$7,
  m.vb[mes],$A69
)</f>
        <v>0</v>
      </c>
      <c r="CV69" s="120" cm="1">
        <f t="array" ref="CV69">SUMPRODUCT(
  IFERROR(--tb_desp[valor],0)*
  (tb_desp[nucleo]="UP MOVE VILA SONIA")*
  (tb_desp[categoria]=CV$7)*
  (tb_desp[data.pagamento]&gt;=$A69)*
  (tb_desp[data.pagamento]&lt;EOMONTH($A69,0)+1)
)</f>
        <v>0</v>
      </c>
      <c r="CW69" s="120" cm="1">
        <f t="array" ref="CW69">SUMPRODUCT(
  IFERROR(--tb_desp[valor],0)*
  (tb_desp[nucleo]="UP MOVE VILA SONIA")*
  (tb_desp[categoria]=CW$7)*
  (tb_desp[data.pagamento]&gt;=$A69)*
  (tb_desp[data.pagamento]&lt;EOMONTH($A69,0)+1)
)</f>
        <v>0</v>
      </c>
      <c r="CX69" s="120" cm="1">
        <f t="array" ref="CX69">SUMPRODUCT(
  IFERROR(--tb_desp[valor],0)*
  (tb_desp[nucleo]="UP MOVE VILA SONIA")*
  (tb_desp[categoria]=CX$7)*
  (tb_desp[data.pagamento]&gt;=$A69)*
  (tb_desp[data.pagamento]&lt;EOMONTH($A69,0)+1)
)</f>
        <v>0</v>
      </c>
      <c r="CY69" s="220" cm="1">
        <f t="array" ref="CY69">SUMPRODUCT(
  IFERROR(--tb_desp[valor],0)*
  (tb_desp[nucleo]="UP MOVE VILA SONIA")*
  (tb_desp[categoria]=CY$7)*
  (tb_desp[data.pagamento]&gt;=$A69)*
  (tb_desp[data.pagamento]&lt;EOMONTH($A69,0)+1)
)</f>
        <v>0</v>
      </c>
    </row>
    <row r="70" spans="1:103" x14ac:dyDescent="0.25">
      <c r="A70" s="118">
        <v>46235</v>
      </c>
      <c r="B70" s="119">
        <f>COUNTIFS(
    tb_estq[empresa], B$6,
    tb_estq[Data da venda / reserva], "&gt;=" &amp; $A70,
    tb_estq[Data da venda / reserva], "&lt;"  &amp; EOMONTH($A70,0) + 1
)</f>
        <v>0</v>
      </c>
      <c r="C70" s="120">
        <f ca="1">SUMIFS(tb_rec_uni[2026-08-01],
INDIRECT("tb_rec_uni[natureza]"),"pro.soluto",
INDIRECT("tb_rec_uni[empresa]"),C$6)</f>
        <v>0</v>
      </c>
      <c r="D70" s="120">
        <f ca="1">SUMIFS(tb_rec_uni[2026-08-01],
INDIRECT("tb_rec_uni[natureza]"),"repasse.cef.obra",
INDIRECT("tb_rec_uni[empresa]"),D$6)</f>
        <v>0</v>
      </c>
      <c r="E70" s="120">
        <f ca="1">SUMIFS(tb_rec_uni[2026-08-01],
INDIRECT("tb_rec_uni[natureza]"),"repasse.cef.terreno",
INDIRECT("tb_rec_uni[empresa]"),E$6)</f>
        <v>0</v>
      </c>
      <c r="F70" s="124">
        <v>0</v>
      </c>
      <c r="G70" s="120">
        <f ca="1">SUMIFS(tb_rec_uni[2026-08-01],
INDIRECT("tb_rec_uni[natureza]"),"taxa.extra",
INDIRECT("tb_rec_uni[empresa]"),G$6)</f>
        <v>0</v>
      </c>
      <c r="H70" s="108"/>
      <c r="I70" s="108">
        <f ca="1">SUMIFS(
  m.vb[valor],
  m.vb[nucleo],$B$1,
  m.vb[variavel],I$7,
  m.vb[mes],$A70
)</f>
        <v>0</v>
      </c>
      <c r="J70" s="108">
        <f ca="1">SUMIFS(
  m.vb[valor],
  m.vb[nucleo],$B$1,
  m.vb[variavel],J$7,
  m.vb[mes],$A70
)</f>
        <v>0</v>
      </c>
      <c r="K70" s="108">
        <f ca="1">SUMIFS(
  m.vb[valor],
  m.vb[nucleo],$B$1,
  m.vb[variavel],K$7,
  m.vb[mes],$A70
)</f>
        <v>0</v>
      </c>
      <c r="L70" s="108">
        <f ca="1">SUMIFS(
  m.vb[valor],
  m.vb[nucleo],$B$1,
  m.vb[variavel],L$7,
  m.vb[mes],$A70
)</f>
        <v>0</v>
      </c>
      <c r="M70" s="108">
        <f ca="1">SUMIFS(
  m.vb[valor],
  m.vb[nucleo],$B$1,
  m.vb[variavel],M$7,
  m.vb[mes],$A70
)</f>
        <v>0</v>
      </c>
      <c r="N70" s="119">
        <f>COUNTIFS(
    tb_estq[empresa], N$6,
    tb_estq[Data da venda / reserva], "&gt;=" &amp; $A70,
    tb_estq[Data da venda / reserva], "&lt;"  &amp; EOMONTH($A70,0) + 1
)</f>
        <v>0</v>
      </c>
      <c r="O70" s="120">
        <f ca="1">SUMIFS(tb_rec_uni[2026-08-01],
INDIRECT("tb_rec_uni[natureza]"),"pro.soluto",
INDIRECT("tb_rec_uni[empresa]"),O$6)</f>
        <v>0</v>
      </c>
      <c r="P70" s="120">
        <f ca="1">SUMIFS(tb_rec_uni[2026-08-01],
INDIRECT("tb_rec_uni[natureza]"),"repasse.cef.obra",
INDIRECT("tb_rec_uni[empresa]"),P$6)</f>
        <v>0</v>
      </c>
      <c r="Q70" s="120">
        <f ca="1">SUMIFS(tb_rec_uni[2026-08-01],
INDIRECT("tb_rec_uni[natureza]"),"repasse.cef.terreno",
INDIRECT("tb_rec_uni[empresa]"),Q$6)</f>
        <v>0</v>
      </c>
      <c r="R70" s="124">
        <v>0</v>
      </c>
      <c r="S70" s="120">
        <f ca="1">SUMIFS(tb_rec_uni[2026-08-01],
INDIRECT("tb_rec_uni[natureza]"),"taxa.extra",
INDIRECT("tb_rec_uni[empresa]"),S$6)</f>
        <v>0</v>
      </c>
      <c r="T70" s="108"/>
      <c r="U70" s="108">
        <f ca="1">SUMIFS(
  m.vb[valor],
  m.vb[nucleo],$N$1,
  m.vb[variavel],U$7,
  m.vb[mes],$A70
)</f>
        <v>0</v>
      </c>
      <c r="V70" s="108">
        <f ca="1">SUMIFS(
  m.vb[valor],
  m.vb[nucleo],$N$1,
  m.vb[variavel],V$7,
  m.vb[mes],$A70
)</f>
        <v>0</v>
      </c>
      <c r="W70" s="108">
        <f ca="1">SUMIFS(
  m.vb[valor],
  m.vb[nucleo],$N$1,
  m.vb[variavel],W$7,
  m.vb[mes],$A70
)</f>
        <v>0</v>
      </c>
      <c r="X70" s="108">
        <f ca="1">SUMIFS(
  m.vb[valor],
  m.vb[nucleo],$N$1,
  m.vb[variavel],X$7,
  m.vb[mes],$A70
)</f>
        <v>0</v>
      </c>
      <c r="Y70" s="108">
        <f ca="1">SUMIFS(
  m.vb[valor],
  m.vb[nucleo],$N$1,
  m.vb[variavel],Y$7,
  m.vb[mes],$A70
)</f>
        <v>0</v>
      </c>
      <c r="Z70" s="119">
        <f>COUNTIFS(
    tb_estq[empresa], Z$6,
    tb_estq[Data da venda / reserva], "&gt;=" &amp; $A70,
    tb_estq[Data da venda / reserva], "&lt;"  &amp; EOMONTH($A70,0) + 1
)</f>
        <v>0</v>
      </c>
      <c r="AA70" s="120">
        <f ca="1">SUMIFS(tb_rec_uni[2026-08-01],
INDIRECT("tb_rec_uni[natureza]"),"pro.soluto",
INDIRECT("tb_rec_uni[empresa]"),AA$6)</f>
        <v>0</v>
      </c>
      <c r="AB70" s="124">
        <f ca="1">SUMIFS(tb_rec_uni[2026-08-01],
INDIRECT("tb_rec_uni[natureza]"),"parcela.fin.total.ik",
INDIRECT("tb_rec_uni[empresa]"),AB$6)</f>
        <v>0</v>
      </c>
      <c r="AC70" s="120">
        <f ca="1">SUMIFS(tb_rec_uni[2026-08-01],
INDIRECT("tb_rec_uni[natureza]"),"taxa.extra",
INDIRECT("tb_rec_uni[empresa]"),AC$6)</f>
        <v>0</v>
      </c>
      <c r="AD70" s="108"/>
      <c r="AE70" s="108">
        <f ca="1">SUMIFS(
  m.vb[valor],
  m.vb[nucleo],$Z$1,
  m.vb[variavel],AE$7,
  m.vb[mes],$A70
)</f>
        <v>0</v>
      </c>
      <c r="AF70" s="108">
        <f ca="1">SUMIFS(
  m.vb[valor],
  m.vb[nucleo],$Z$1,
  m.vb[variavel],AF$7,
  m.vb[mes],$A70
)</f>
        <v>0</v>
      </c>
      <c r="AG70" s="108">
        <f ca="1">SUMIFS(
  m.vb[valor],
  m.vb[nucleo],$Z$1,
  m.vb[variavel],AG$7,
  m.vb[mes],$A70
)</f>
        <v>0</v>
      </c>
      <c r="AH70" s="108">
        <f ca="1">SUMIFS(
  m.vb[valor],
  m.vb[nucleo],$Z$1,
  m.vb[variavel],AH$7,
  m.vb[mes],$A70
)</f>
        <v>0</v>
      </c>
      <c r="AI70" s="108">
        <f ca="1">SUMIFS(
  m.vb[valor],
  m.vb[nucleo],$Z$1,
  m.vb[variavel],AI$7,
  m.vb[mes],$A70
)</f>
        <v>0</v>
      </c>
      <c r="AJ70" s="119">
        <f>COUNTIFS(
    tb_estq[empresa], AJ$6,
    tb_estq[Data da venda / reserva], "&gt;=" &amp; $A70,
    tb_estq[Data da venda / reserva], "&lt;"  &amp; EOMONTH($A70,0) + 1
)</f>
        <v>0</v>
      </c>
      <c r="AK70" s="120">
        <f ca="1">SUMIFS(tb_rec_uni[2026-08-01],
INDIRECT("tb_rec_uni[natureza]"),"pro.soluto",
INDIRECT("tb_rec_uni[empresa]"),AK$6)</f>
        <v>0</v>
      </c>
      <c r="AL70" s="120">
        <f ca="1">SUMIFS(tb_rec_uni[2026-08-01],
INDIRECT("tb_rec_uni[natureza]"),"repasse.cef.obra",
INDIRECT("tb_rec_uni[empresa]"),AL$6)</f>
        <v>0</v>
      </c>
      <c r="AM70" s="123">
        <f ca="1">SUMIFS(tb_rec_uni[2026-08-01],
INDIRECT("tb_rec_uni[natureza]"),"repasse.cef.terreno",
INDIRECT("tb_rec_uni[empresa]"),AM$6)</f>
        <v>0</v>
      </c>
      <c r="AN70" s="124">
        <v>148525</v>
      </c>
      <c r="AO70" s="120">
        <f ca="1">SUMIFS(tb_rec_uni[2026-08-01],
INDIRECT("tb_rec_uni[natureza]"),"taxa.extra",
INDIRECT("tb_rec_uni[empresa]"),AO$6)</f>
        <v>0</v>
      </c>
      <c r="AP70" s="108"/>
      <c r="AQ70" s="108">
        <f ca="1">SUMIFS(
  m.vb[valor],
  m.vb[nucleo],$AJ$1,
  m.vb[variavel],AQ$7,
  m.vb[mes],$A70
)</f>
        <v>0</v>
      </c>
      <c r="AR70" s="108">
        <f ca="1">SUMIFS(
  m.vb[valor],
  m.vb[nucleo],$AJ$1,
  m.vb[variavel],AR$7,
  m.vb[mes],$A70
)</f>
        <v>0</v>
      </c>
      <c r="AS70" s="108">
        <f ca="1">SUMIFS(
  m.vb[valor],
  m.vb[nucleo],$AJ$1,
  m.vb[variavel],AS$7,
  m.vb[mes],$A70
)</f>
        <v>0</v>
      </c>
      <c r="AT70" s="108">
        <f ca="1">SUMIFS(
  m.vb[valor],
  m.vb[nucleo],$AJ$1,
  m.vb[variavel],AT$7,
  m.vb[mes],$A70
)</f>
        <v>0</v>
      </c>
      <c r="AU70" s="108">
        <f ca="1">SUMIFS(
  m.vb[valor],
  m.vb[nucleo],$AJ$1,
  m.vb[variavel],AU$7,
  m.vb[mes],$A70
)</f>
        <v>0</v>
      </c>
      <c r="AV70" s="119">
        <f>COUNTIFS(
    tb_estq[empresa], AV$6,
    tb_estq[Data da venda / reserva], "&gt;=" &amp; $A70,
    tb_estq[Data da venda / reserva], "&lt;"  &amp; EOMONTH($A70,0) + 1
)</f>
        <v>0</v>
      </c>
      <c r="AW70" s="120">
        <f ca="1">SUMIFS(tb_rec_uni[2026-08-01],
INDIRECT("tb_rec_uni[natureza]"),"pro.soluto",
INDIRECT("tb_rec_uni[empresa]"),AW$6)</f>
        <v>0</v>
      </c>
      <c r="AX70" s="120">
        <f ca="1">SUMIFS(tb_rec_uni[2026-08-01],
INDIRECT("tb_rec_uni[natureza]"),"repasse.cef.obra",
INDIRECT("tb_rec_uni[empresa]"),AX$6)</f>
        <v>0</v>
      </c>
      <c r="AY70" s="123">
        <f ca="1">SUMIFS(tb_rec_uni[2026-08-01],
INDIRECT("tb_rec_uni[natureza]"),"repasse.cef.terreno",
INDIRECT("tb_rec_uni[empresa]"),AY$6)</f>
        <v>0</v>
      </c>
      <c r="AZ70" s="124">
        <v>401137.2</v>
      </c>
      <c r="BA70" s="120">
        <f ca="1">SUMIFS(tb_rec_uni[2026-08-01],
INDIRECT("tb_rec_uni[natureza]"),"taxa.extra",
INDIRECT("tb_rec_uni[empresa]"),BA$6)</f>
        <v>0</v>
      </c>
      <c r="BB70" s="108"/>
      <c r="BC70" s="108">
        <f ca="1">SUMIFS(
  m.vb[valor],
  m.vb[nucleo],$AV$1,
  m.vb[variavel],BC$7,
  m.vb[mes],$A70
)</f>
        <v>0</v>
      </c>
      <c r="BD70" s="108">
        <f ca="1">SUMIFS(
  m.vb[valor],
  m.vb[nucleo],$AV$1,
  m.vb[variavel],BD$7,
  m.vb[mes],$A70
)</f>
        <v>0</v>
      </c>
      <c r="BE70" s="108">
        <f ca="1">SUMIFS(
  m.vb[valor],
  m.vb[nucleo],$AV$1,
  m.vb[variavel],BE$7,
  m.vb[mes],$A70
)</f>
        <v>0</v>
      </c>
      <c r="BF70" s="108">
        <f ca="1">SUMIFS(
  m.vb[valor],
  m.vb[nucleo],$AV$1,
  m.vb[variavel],BF$7,
  m.vb[mes],$A70
)</f>
        <v>0</v>
      </c>
      <c r="BG70" s="108">
        <f ca="1">SUMIFS(
  m.vb[valor],
  m.vb[nucleo],$AV$1,
  m.vb[variavel],BG$7,
  m.vb[mes],$A70
)</f>
        <v>0</v>
      </c>
      <c r="BH70" s="119">
        <f>COUNTIFS(
    tb_estq[empresa], BH$6,
    tb_estq[Data da venda / reserva], "&gt;=" &amp; $A70,
    tb_estq[Data da venda / reserva], "&lt;"  &amp; EOMONTH($A70,0) + 1
)</f>
        <v>0</v>
      </c>
      <c r="BI70" s="120">
        <f ca="1">SUMIFS(tb_rec_uni[2026-08-01],
INDIRECT("tb_rec_uni[natureza]"),"pro.soluto",
INDIRECT("tb_rec_uni[empresa]"),BI$6)</f>
        <v>0</v>
      </c>
      <c r="BJ70" s="124">
        <f>2.52*94736</f>
        <v>238734.72</v>
      </c>
      <c r="BK70" s="120">
        <f ca="1">SUMIFS(tb_rec_uni[2026-08-01],
INDIRECT("tb_rec_uni[natureza]"),"taxa.extra",
INDIRECT("tb_rec_uni[empresa]"),BK$6)</f>
        <v>0</v>
      </c>
      <c r="BL70" s="108"/>
      <c r="BM70" s="108">
        <f ca="1">SUMIFS(
  m.vb[valor],
  m.vb[nucleo],$BH$1,
  m.vb[variavel],BM$7,
  m.vb[mes],$A70
)</f>
        <v>0</v>
      </c>
      <c r="BN70" s="108">
        <f ca="1">SUMIFS(
  m.vb[valor],
  m.vb[nucleo],$BH$1,
  m.vb[variavel],BN$7,
  m.vb[mes],$A70
)</f>
        <v>0</v>
      </c>
      <c r="BO70" s="108">
        <f ca="1">SUMIFS(
  m.vb[valor],
  m.vb[nucleo],$BH$1,
  m.vb[variavel],BO$7,
  m.vb[mes],$A70
)</f>
        <v>0</v>
      </c>
      <c r="BP70" s="108">
        <f ca="1">SUMIFS(
  m.vb[valor],
  m.vb[nucleo],$BH$1,
  m.vb[variavel],BP$7,
  m.vb[mes],$A70
)</f>
        <v>0</v>
      </c>
      <c r="BQ70" s="108">
        <f ca="1">SUMIFS(
  m.vb[valor],
  m.vb[nucleo],$BH$1,
  m.vb[variavel],BQ$7,
  m.vb[mes],$A70
)</f>
        <v>0</v>
      </c>
      <c r="BR70" s="119">
        <f>COUNTIFS(
    tb_estq[empresa], BR$6,
    tb_estq[Data da venda / reserva], "&gt;=" &amp; $A70,
    tb_estq[Data da venda / reserva], "&lt;"  &amp; EOMONTH($A70,0) + 1
)</f>
        <v>0</v>
      </c>
      <c r="BS70" s="120">
        <f ca="1">SUMIFS(tb_rec_uni[2026-08-01],
INDIRECT("tb_rec_uni[natureza]"),"pro.soluto",
INDIRECT("tb_rec_uni[empresa]"),BS$6)</f>
        <v>0</v>
      </c>
      <c r="BT70" s="124">
        <f ca="1">SUMIFS(tb_rec_uni[2026-08-01],
INDIRECT("tb_rec_uni[natureza]"),"parcela.fin.total.ik",
INDIRECT("tb_rec_uni[empresa]"),BT$6)</f>
        <v>0</v>
      </c>
      <c r="BU70" s="120">
        <f ca="1">SUMIFS(tb_rec_uni[2026-08-01],
INDIRECT("tb_rec_uni[natureza]"),"taxa.extra",
INDIRECT("tb_rec_uni[empresa]"),BU$6)</f>
        <v>0</v>
      </c>
      <c r="BV70" s="108"/>
      <c r="BW70" s="108">
        <f ca="1">SUMIFS(
  m.vb[valor],
  m.vb[nucleo],$BR$1,
  m.vb[variavel],BW$7,
  m.vb[mes],$A70
)</f>
        <v>0</v>
      </c>
      <c r="BX70" s="108">
        <f ca="1">SUMIFS(
  m.vb[valor],
  m.vb[nucleo],$BR$1,
  m.vb[variavel],BX$7,
  m.vb[mes],$A70
)</f>
        <v>0</v>
      </c>
      <c r="BY70" s="108">
        <f ca="1">SUMIFS(
  m.vb[valor],
  m.vb[nucleo],$BR$1,
  m.vb[variavel],BY$7,
  m.vb[mes],$A70
)</f>
        <v>0</v>
      </c>
      <c r="BZ70" s="108">
        <f ca="1">SUMIFS(
  m.vb[valor],
  m.vb[nucleo],$BR$1,
  m.vb[variavel],BZ$7,
  m.vb[mes],$A70
)</f>
        <v>0</v>
      </c>
      <c r="CA70" s="108">
        <f ca="1">SUMIFS(
  m.vb[valor],
  m.vb[nucleo],$BR$1,
  m.vb[variavel],CA$7,
  m.vb[mes],$A70
)</f>
        <v>0</v>
      </c>
      <c r="CB70" s="119">
        <f>COUNTIFS(
    tb_estq[empresa], CB$6,
    tb_estq[Data da venda / reserva], "&gt;=" &amp; $A70,
    tb_estq[Data da venda / reserva], "&lt;"  &amp; EOMONTH($A70,0) + 1
)</f>
        <v>0</v>
      </c>
      <c r="CC70" s="120">
        <f ca="1">SUMIFS(tb_rec_uni[2026-08-01],
INDIRECT("tb_rec_uni[natureza]"),"pro.soluto",
INDIRECT("tb_rec_uni[empresa]"),CC$6)</f>
        <v>0</v>
      </c>
      <c r="CD70" s="120">
        <f ca="1">SUMIFS(tb_rec_uni[2026-08-01],
INDIRECT("tb_rec_uni[natureza]"),"repasse.cef.obra",
INDIRECT("tb_rec_uni[empresa]"),CD$6)</f>
        <v>0</v>
      </c>
      <c r="CE70" s="123">
        <f ca="1">SUMIFS(tb_rec_uni[2026-08-01],
INDIRECT("tb_rec_uni[natureza]"),"repasse.cef.terreno",
INDIRECT("tb_rec_uni[empresa]"),CE$6)</f>
        <v>0</v>
      </c>
      <c r="CF70" s="124">
        <v>0</v>
      </c>
      <c r="CG70" s="120">
        <f ca="1">SUMIFS(tb_rec_uni[2026-08-01],
INDIRECT("tb_rec_uni[natureza]"),"taxa.extra",
INDIRECT("tb_rec_uni[empresa]"),CG$6)</f>
        <v>0</v>
      </c>
      <c r="CH70" s="108"/>
      <c r="CI70" s="108">
        <f ca="1">SUMIFS(
  m.vb[valor],
  m.vb[nucleo],$CB$1,
  m.vb[variavel],CI$7,
  m.vb[mes],$A70
)</f>
        <v>0</v>
      </c>
      <c r="CJ70" s="108">
        <f ca="1">SUMIFS(
  m.vb[valor],
  m.vb[nucleo],$CB$1,
  m.vb[variavel],CJ$7,
  m.vb[mes],$A70
)</f>
        <v>0</v>
      </c>
      <c r="CK70" s="108">
        <f ca="1">SUMIFS(
  m.vb[valor],
  m.vb[nucleo],$CB$1,
  m.vb[variavel],CK$7,
  m.vb[mes],$A70
)</f>
        <v>0</v>
      </c>
      <c r="CL70" s="108">
        <f ca="1">SUMIFS(
  m.vb[valor],
  m.vb[nucleo],$CB$1,
  m.vb[variavel],CL$7,
  m.vb[mes],$A70
)</f>
        <v>0</v>
      </c>
      <c r="CM70" s="108">
        <f ca="1">SUMIFS(
  m.vb[valor],
  m.vb[nucleo],$CB$1,
  m.vb[variavel],CM$7,
  m.vb[mes],$A70
)</f>
        <v>0</v>
      </c>
      <c r="CN70" s="119">
        <f>COUNTIFS(
    tb_estq[empresa], CN$6,
    tb_estq[Data da venda / reserva], "&gt;=" &amp; $A70,
    tb_estq[Data da venda / reserva], "&lt;"  &amp; EOMONTH($A70,0) + 1
)</f>
        <v>0</v>
      </c>
      <c r="CO70" s="120">
        <f ca="1">SUMIFS(tb_rec_uni[2026-08-01],
INDIRECT("tb_rec_uni[natureza]"),"pro.soluto",
INDIRECT("tb_rec_uni[empresa]"),CO$6)</f>
        <v>0</v>
      </c>
      <c r="CP70" s="120">
        <f ca="1">SUMIFS(tb_rec_uni[2026-08-01],
INDIRECT("tb_rec_uni[natureza]"),"repasse.cef.obra",
INDIRECT("tb_rec_uni[empresa]"),CP$6)</f>
        <v>0</v>
      </c>
      <c r="CQ70" s="123">
        <f ca="1">SUMIFS(tb_rec_uni[2026-08-01],
INDIRECT("tb_rec_uni[natureza]"),"repasse.cef.terreno",
INDIRECT("tb_rec_uni[empresa]"),CQ$6)</f>
        <v>0</v>
      </c>
      <c r="CR70" s="124">
        <v>432421.65</v>
      </c>
      <c r="CS70" s="120">
        <f ca="1">SUMIFS(tb_rec_uni[2026-08-01],
INDIRECT("tb_rec_uni[natureza]"),"taxa.extra",
INDIRECT("tb_rec_uni[empresa]"),CS$6)</f>
        <v>0</v>
      </c>
      <c r="CT70" s="108"/>
      <c r="CU70" s="108">
        <f ca="1">SUMIFS(
  m.vb[valor],
  m.vb[nucleo],$CN$1,
  m.vb[variavel],CU$7,
  m.vb[mes],$A70
)</f>
        <v>0</v>
      </c>
      <c r="CV70" s="108" cm="1">
        <f t="array" ref="CV70">SUMPRODUCT(
  IFERROR(--tb_desp[valor],0)*
  (tb_desp[nucleo]="UP MOVE VILA SONIA")*
  (tb_desp[categoria]=CV$7)*
  (tb_desp[data.pagamento]&gt;=$A70)*
  (tb_desp[data.pagamento]&lt;EOMONTH($A70,0)+1)
)</f>
        <v>0</v>
      </c>
      <c r="CW70" s="108" cm="1">
        <f t="array" ref="CW70">SUMPRODUCT(
  IFERROR(--tb_desp[valor],0)*
  (tb_desp[nucleo]="UP MOVE VILA SONIA")*
  (tb_desp[categoria]=CW$7)*
  (tb_desp[data.pagamento]&gt;=$A70)*
  (tb_desp[data.pagamento]&lt;EOMONTH($A70,0)+1)
)</f>
        <v>0</v>
      </c>
      <c r="CX70" s="108" cm="1">
        <f t="array" ref="CX70">SUMPRODUCT(
  IFERROR(--tb_desp[valor],0)*
  (tb_desp[nucleo]="UP MOVE VILA SONIA")*
  (tb_desp[categoria]=CX$7)*
  (tb_desp[data.pagamento]&gt;=$A70)*
  (tb_desp[data.pagamento]&lt;EOMONTH($A70,0)+1)
)</f>
        <v>0</v>
      </c>
      <c r="CY70" s="221" cm="1">
        <f t="array" ref="CY70">SUMPRODUCT(
  IFERROR(--tb_desp[valor],0)*
  (tb_desp[nucleo]="UP MOVE VILA SONIA")*
  (tb_desp[categoria]=CY$7)*
  (tb_desp[data.pagamento]&gt;=$A70)*
  (tb_desp[data.pagamento]&lt;EOMONTH($A70,0)+1)
)</f>
        <v>0</v>
      </c>
    </row>
    <row r="71" spans="1:103" x14ac:dyDescent="0.25">
      <c r="A71" s="118">
        <v>46266</v>
      </c>
      <c r="B71" s="119">
        <f>COUNTIFS(
    tb_estq[empresa], B$6,
    tb_estq[Data da venda / reserva], "&gt;=" &amp; $A71,
    tb_estq[Data da venda / reserva], "&lt;"  &amp; EOMONTH($A71,0) + 1
)</f>
        <v>0</v>
      </c>
      <c r="C71" s="120">
        <f ca="1">SUMIFS(tb_rec_uni[2026-09-01],
INDIRECT("tb_rec_uni[natureza]"),"pro.soluto",
INDIRECT("tb_rec_uni[empresa]"),C$6)</f>
        <v>0</v>
      </c>
      <c r="D71" s="120">
        <f ca="1">SUMIFS(tb_rec_uni[2026-09-01],
INDIRECT("tb_rec_uni[natureza]"),"repasse.cef.obra",
INDIRECT("tb_rec_uni[empresa]"),D$6)</f>
        <v>0</v>
      </c>
      <c r="E71" s="120">
        <f ca="1">SUMIFS(tb_rec_uni[2026-09-01],
INDIRECT("tb_rec_uni[natureza]"),"repasse.cef.terreno",
INDIRECT("tb_rec_uni[empresa]"),E$6)</f>
        <v>0</v>
      </c>
      <c r="F71" s="124"/>
      <c r="G71" s="120">
        <f ca="1">SUMIFS(tb_rec_uni[2026-09-01],
INDIRECT("tb_rec_uni[natureza]"),"taxa.extra",
INDIRECT("tb_rec_uni[empresa]"),G$6)</f>
        <v>0</v>
      </c>
      <c r="H71" s="108"/>
      <c r="I71" s="108">
        <f ca="1">SUMIFS(
  m.vb[valor],
  m.vb[nucleo],$B$1,
  m.vb[variavel],I$7,
  m.vb[mes],$A71
)</f>
        <v>0</v>
      </c>
      <c r="J71" s="108">
        <f ca="1">SUMIFS(
  m.vb[valor],
  m.vb[nucleo],$B$1,
  m.vb[variavel],J$7,
  m.vb[mes],$A71
)</f>
        <v>0</v>
      </c>
      <c r="K71" s="108">
        <f ca="1">SUMIFS(
  m.vb[valor],
  m.vb[nucleo],$B$1,
  m.vb[variavel],K$7,
  m.vb[mes],$A71
)</f>
        <v>0</v>
      </c>
      <c r="L71" s="108">
        <f ca="1">SUMIFS(
  m.vb[valor],
  m.vb[nucleo],$B$1,
  m.vb[variavel],L$7,
  m.vb[mes],$A71
)</f>
        <v>0</v>
      </c>
      <c r="M71" s="108">
        <f ca="1">SUMIFS(
  m.vb[valor],
  m.vb[nucleo],$B$1,
  m.vb[variavel],M$7,
  m.vb[mes],$A71
)</f>
        <v>0</v>
      </c>
      <c r="N71" s="119">
        <f>COUNTIFS(
    tb_estq[empresa], N$6,
    tb_estq[Data da venda / reserva], "&gt;=" &amp; $A71,
    tb_estq[Data da venda / reserva], "&lt;"  &amp; EOMONTH($A71,0) + 1
)</f>
        <v>0</v>
      </c>
      <c r="O71" s="120">
        <f ca="1">SUMIFS(tb_rec_uni[2026-09-01],
INDIRECT("tb_rec_uni[natureza]"),"pro.soluto",
INDIRECT("tb_rec_uni[empresa]"),O$6)</f>
        <v>0</v>
      </c>
      <c r="P71" s="120">
        <f ca="1">SUMIFS(tb_rec_uni[2026-09-01],
INDIRECT("tb_rec_uni[natureza]"),"repasse.cef.obra",
INDIRECT("tb_rec_uni[empresa]"),P$6)</f>
        <v>0</v>
      </c>
      <c r="Q71" s="120">
        <f ca="1">SUMIFS(tb_rec_uni[2026-09-01],
INDIRECT("tb_rec_uni[natureza]"),"repasse.cef.terreno",
INDIRECT("tb_rec_uni[empresa]"),Q$6)</f>
        <v>0</v>
      </c>
      <c r="R71" s="124"/>
      <c r="S71" s="120">
        <f ca="1">SUMIFS(tb_rec_uni[2026-09-01],
INDIRECT("tb_rec_uni[natureza]"),"taxa.extra",
INDIRECT("tb_rec_uni[empresa]"),S$6)</f>
        <v>0</v>
      </c>
      <c r="T71" s="108"/>
      <c r="U71" s="108">
        <f ca="1">SUMIFS(
  m.vb[valor],
  m.vb[nucleo],$N$1,
  m.vb[variavel],U$7,
  m.vb[mes],$A71
)</f>
        <v>0</v>
      </c>
      <c r="V71" s="108">
        <f ca="1">SUMIFS(
  m.vb[valor],
  m.vb[nucleo],$N$1,
  m.vb[variavel],V$7,
  m.vb[mes],$A71
)</f>
        <v>0</v>
      </c>
      <c r="W71" s="108">
        <f ca="1">SUMIFS(
  m.vb[valor],
  m.vb[nucleo],$N$1,
  m.vb[variavel],W$7,
  m.vb[mes],$A71
)</f>
        <v>0</v>
      </c>
      <c r="X71" s="108">
        <f ca="1">SUMIFS(
  m.vb[valor],
  m.vb[nucleo],$N$1,
  m.vb[variavel],X$7,
  m.vb[mes],$A71
)</f>
        <v>0</v>
      </c>
      <c r="Y71" s="108">
        <f ca="1">SUMIFS(
  m.vb[valor],
  m.vb[nucleo],$N$1,
  m.vb[variavel],Y$7,
  m.vb[mes],$A71
)</f>
        <v>0</v>
      </c>
      <c r="Z71" s="119">
        <f>COUNTIFS(
    tb_estq[empresa], Z$6,
    tb_estq[Data da venda / reserva], "&gt;=" &amp; $A71,
    tb_estq[Data da venda / reserva], "&lt;"  &amp; EOMONTH($A71,0) + 1
)</f>
        <v>0</v>
      </c>
      <c r="AA71" s="120">
        <f ca="1">SUMIFS(tb_rec_uni[2026-09-01],
INDIRECT("tb_rec_uni[natureza]"),"pro.soluto",
INDIRECT("tb_rec_uni[empresa]"),AA$6)</f>
        <v>0</v>
      </c>
      <c r="AB71" s="124">
        <f ca="1">SUMIFS(tb_rec_uni[2026-09-01],
INDIRECT("tb_rec_uni[natureza]"),"parcela.fin.total.ik",
INDIRECT("tb_rec_uni[empresa]"),AB$6)</f>
        <v>0</v>
      </c>
      <c r="AC71" s="120">
        <f ca="1">SUMIFS(tb_rec_uni[2026-09-01],
INDIRECT("tb_rec_uni[natureza]"),"taxa.extra",
INDIRECT("tb_rec_uni[empresa]"),AC$6)</f>
        <v>0</v>
      </c>
      <c r="AD71" s="108"/>
      <c r="AE71" s="108">
        <f ca="1">SUMIFS(
  m.vb[valor],
  m.vb[nucleo],$Z$1,
  m.vb[variavel],AE$7,
  m.vb[mes],$A71
)</f>
        <v>0</v>
      </c>
      <c r="AF71" s="108">
        <f ca="1">SUMIFS(
  m.vb[valor],
  m.vb[nucleo],$Z$1,
  m.vb[variavel],AF$7,
  m.vb[mes],$A71
)</f>
        <v>0</v>
      </c>
      <c r="AG71" s="108">
        <f ca="1">SUMIFS(
  m.vb[valor],
  m.vb[nucleo],$Z$1,
  m.vb[variavel],AG$7,
  m.vb[mes],$A71
)</f>
        <v>0</v>
      </c>
      <c r="AH71" s="108">
        <f ca="1">SUMIFS(
  m.vb[valor],
  m.vb[nucleo],$Z$1,
  m.vb[variavel],AH$7,
  m.vb[mes],$A71
)</f>
        <v>0</v>
      </c>
      <c r="AI71" s="108">
        <f ca="1">SUMIFS(
  m.vb[valor],
  m.vb[nucleo],$Z$1,
  m.vb[variavel],AI$7,
  m.vb[mes],$A71
)</f>
        <v>0</v>
      </c>
      <c r="AJ71" s="119">
        <f>COUNTIFS(
    tb_estq[empresa], AJ$6,
    tb_estq[Data da venda / reserva], "&gt;=" &amp; $A71,
    tb_estq[Data da venda / reserva], "&lt;"  &amp; EOMONTH($A71,0) + 1
)</f>
        <v>0</v>
      </c>
      <c r="AK71" s="120">
        <f ca="1">SUMIFS(tb_rec_uni[2026-09-01],
INDIRECT("tb_rec_uni[natureza]"),"pro.soluto",
INDIRECT("tb_rec_uni[empresa]"),AK$6)</f>
        <v>0</v>
      </c>
      <c r="AL71" s="120">
        <f ca="1">SUMIFS(tb_rec_uni[2026-09-01],
INDIRECT("tb_rec_uni[natureza]"),"repasse.cef.obra",
INDIRECT("tb_rec_uni[empresa]"),AL$6)</f>
        <v>0</v>
      </c>
      <c r="AM71" s="123">
        <f ca="1">SUMIFS(tb_rec_uni[2026-09-01],
INDIRECT("tb_rec_uni[natureza]"),"repasse.cef.terreno",
INDIRECT("tb_rec_uni[empresa]"),AM$6)</f>
        <v>0</v>
      </c>
      <c r="AN71" s="124"/>
      <c r="AO71" s="120">
        <f ca="1">SUMIFS(tb_rec_uni[2026-09-01],
INDIRECT("tb_rec_uni[natureza]"),"taxa.extra",
INDIRECT("tb_rec_uni[empresa]"),AO$6)</f>
        <v>0</v>
      </c>
      <c r="AP71" s="108"/>
      <c r="AQ71" s="108">
        <f ca="1">SUMIFS(
  m.vb[valor],
  m.vb[nucleo],$AJ$1,
  m.vb[variavel],AQ$7,
  m.vb[mes],$A71
)</f>
        <v>0</v>
      </c>
      <c r="AR71" s="108">
        <f ca="1">SUMIFS(
  m.vb[valor],
  m.vb[nucleo],$AJ$1,
  m.vb[variavel],AR$7,
  m.vb[mes],$A71
)</f>
        <v>0</v>
      </c>
      <c r="AS71" s="108">
        <f ca="1">SUMIFS(
  m.vb[valor],
  m.vb[nucleo],$AJ$1,
  m.vb[variavel],AS$7,
  m.vb[mes],$A71
)</f>
        <v>0</v>
      </c>
      <c r="AT71" s="108">
        <f ca="1">SUMIFS(
  m.vb[valor],
  m.vb[nucleo],$AJ$1,
  m.vb[variavel],AT$7,
  m.vb[mes],$A71
)</f>
        <v>0</v>
      </c>
      <c r="AU71" s="108">
        <f ca="1">SUMIFS(
  m.vb[valor],
  m.vb[nucleo],$AJ$1,
  m.vb[variavel],AU$7,
  m.vb[mes],$A71
)</f>
        <v>0</v>
      </c>
      <c r="AV71" s="119">
        <f>COUNTIFS(
    tb_estq[empresa], AV$6,
    tb_estq[Data da venda / reserva], "&gt;=" &amp; $A71,
    tb_estq[Data da venda / reserva], "&lt;"  &amp; EOMONTH($A71,0) + 1
)</f>
        <v>0</v>
      </c>
      <c r="AW71" s="120">
        <f ca="1">SUMIFS(tb_rec_uni[2026-09-01],
INDIRECT("tb_rec_uni[natureza]"),"pro.soluto",
INDIRECT("tb_rec_uni[empresa]"),AW$6)</f>
        <v>0</v>
      </c>
      <c r="AX71" s="120">
        <f ca="1">SUMIFS(tb_rec_uni[2026-09-01],
INDIRECT("tb_rec_uni[natureza]"),"repasse.cef.obra",
INDIRECT("tb_rec_uni[empresa]"),AX$6)</f>
        <v>0</v>
      </c>
      <c r="AY71" s="123">
        <f ca="1">SUMIFS(tb_rec_uni[2026-09-01],
INDIRECT("tb_rec_uni[natureza]"),"repasse.cef.terreno",
INDIRECT("tb_rec_uni[empresa]"),AY$6)</f>
        <v>0</v>
      </c>
      <c r="AZ71" s="124"/>
      <c r="BA71" s="120">
        <f ca="1">SUMIFS(tb_rec_uni[2026-09-01],
INDIRECT("tb_rec_uni[natureza]"),"taxa.extra",
INDIRECT("tb_rec_uni[empresa]"),BA$6)</f>
        <v>0</v>
      </c>
      <c r="BB71" s="108"/>
      <c r="BC71" s="108">
        <f ca="1">SUMIFS(
  m.vb[valor],
  m.vb[nucleo],$AV$1,
  m.vb[variavel],BC$7,
  m.vb[mes],$A71
)</f>
        <v>0</v>
      </c>
      <c r="BD71" s="108">
        <f ca="1">SUMIFS(
  m.vb[valor],
  m.vb[nucleo],$AV$1,
  m.vb[variavel],BD$7,
  m.vb[mes],$A71
)</f>
        <v>0</v>
      </c>
      <c r="BE71" s="108">
        <f ca="1">SUMIFS(
  m.vb[valor],
  m.vb[nucleo],$AV$1,
  m.vb[variavel],BE$7,
  m.vb[mes],$A71
)</f>
        <v>0</v>
      </c>
      <c r="BF71" s="108">
        <f ca="1">SUMIFS(
  m.vb[valor],
  m.vb[nucleo],$AV$1,
  m.vb[variavel],BF$7,
  m.vb[mes],$A71
)</f>
        <v>0</v>
      </c>
      <c r="BG71" s="108">
        <f ca="1">SUMIFS(
  m.vb[valor],
  m.vb[nucleo],$AV$1,
  m.vb[variavel],BG$7,
  m.vb[mes],$A71
)</f>
        <v>0</v>
      </c>
      <c r="BH71" s="119">
        <f>COUNTIFS(
    tb_estq[empresa], BH$6,
    tb_estq[Data da venda / reserva], "&gt;=" &amp; $A71,
    tb_estq[Data da venda / reserva], "&lt;"  &amp; EOMONTH($A71,0) + 1
)</f>
        <v>0</v>
      </c>
      <c r="BI71" s="120">
        <f ca="1">SUMIFS(tb_rec_uni[2026-09-01],
INDIRECT("tb_rec_uni[natureza]"),"pro.soluto",
INDIRECT("tb_rec_uni[empresa]"),BI$6)</f>
        <v>0</v>
      </c>
      <c r="BJ71" s="124"/>
      <c r="BK71" s="120">
        <f ca="1">SUMIFS(tb_rec_uni[2026-09-01],
INDIRECT("tb_rec_uni[natureza]"),"taxa.extra",
INDIRECT("tb_rec_uni[empresa]"),BK$6)</f>
        <v>0</v>
      </c>
      <c r="BL71" s="108"/>
      <c r="BM71" s="108">
        <f ca="1">SUMIFS(
  m.vb[valor],
  m.vb[nucleo],$BH$1,
  m.vb[variavel],BM$7,
  m.vb[mes],$A71
)</f>
        <v>0</v>
      </c>
      <c r="BN71" s="108">
        <f ca="1">SUMIFS(
  m.vb[valor],
  m.vb[nucleo],$BH$1,
  m.vb[variavel],BN$7,
  m.vb[mes],$A71
)</f>
        <v>0</v>
      </c>
      <c r="BO71" s="108">
        <f ca="1">SUMIFS(
  m.vb[valor],
  m.vb[nucleo],$BH$1,
  m.vb[variavel],BO$7,
  m.vb[mes],$A71
)</f>
        <v>0</v>
      </c>
      <c r="BP71" s="108">
        <f ca="1">SUMIFS(
  m.vb[valor],
  m.vb[nucleo],$BH$1,
  m.vb[variavel],BP$7,
  m.vb[mes],$A71
)</f>
        <v>0</v>
      </c>
      <c r="BQ71" s="108">
        <f ca="1">SUMIFS(
  m.vb[valor],
  m.vb[nucleo],$BH$1,
  m.vb[variavel],BQ$7,
  m.vb[mes],$A71
)</f>
        <v>0</v>
      </c>
      <c r="BR71" s="119">
        <f>COUNTIFS(
    tb_estq[empresa], BR$6,
    tb_estq[Data da venda / reserva], "&gt;=" &amp; $A71,
    tb_estq[Data da venda / reserva], "&lt;"  &amp; EOMONTH($A71,0) + 1
)</f>
        <v>0</v>
      </c>
      <c r="BS71" s="120">
        <f ca="1">SUMIFS(tb_rec_uni[2026-09-01],
INDIRECT("tb_rec_uni[natureza]"),"pro.soluto",
INDIRECT("tb_rec_uni[empresa]"),BS$6)</f>
        <v>0</v>
      </c>
      <c r="BT71" s="124">
        <f ca="1">SUMIFS(tb_rec_uni[2026-09-01],
INDIRECT("tb_rec_uni[natureza]"),"parcela.fin.total.ik",
INDIRECT("tb_rec_uni[empresa]"),BT$6)</f>
        <v>0</v>
      </c>
      <c r="BU71" s="120">
        <f ca="1">SUMIFS(tb_rec_uni[2026-09-01],
INDIRECT("tb_rec_uni[natureza]"),"taxa.extra",
INDIRECT("tb_rec_uni[empresa]"),BU$6)</f>
        <v>0</v>
      </c>
      <c r="BV71" s="108"/>
      <c r="BW71" s="108">
        <f ca="1">SUMIFS(
  m.vb[valor],
  m.vb[nucleo],$BR$1,
  m.vb[variavel],BW$7,
  m.vb[mes],$A71
)</f>
        <v>0</v>
      </c>
      <c r="BX71" s="108">
        <f ca="1">SUMIFS(
  m.vb[valor],
  m.vb[nucleo],$BR$1,
  m.vb[variavel],BX$7,
  m.vb[mes],$A71
)</f>
        <v>0</v>
      </c>
      <c r="BY71" s="108">
        <f ca="1">SUMIFS(
  m.vb[valor],
  m.vb[nucleo],$BR$1,
  m.vb[variavel],BY$7,
  m.vb[mes],$A71
)</f>
        <v>0</v>
      </c>
      <c r="BZ71" s="108">
        <f ca="1">SUMIFS(
  m.vb[valor],
  m.vb[nucleo],$BR$1,
  m.vb[variavel],BZ$7,
  m.vb[mes],$A71
)</f>
        <v>0</v>
      </c>
      <c r="CA71" s="108">
        <f ca="1">SUMIFS(
  m.vb[valor],
  m.vb[nucleo],$BR$1,
  m.vb[variavel],CA$7,
  m.vb[mes],$A71
)</f>
        <v>0</v>
      </c>
      <c r="CB71" s="119">
        <f>COUNTIFS(
    tb_estq[empresa], CB$6,
    tb_estq[Data da venda / reserva], "&gt;=" &amp; $A71,
    tb_estq[Data da venda / reserva], "&lt;"  &amp; EOMONTH($A71,0) + 1
)</f>
        <v>0</v>
      </c>
      <c r="CC71" s="120">
        <f ca="1">SUMIFS(tb_rec_uni[2026-09-01],
INDIRECT("tb_rec_uni[natureza]"),"pro.soluto",
INDIRECT("tb_rec_uni[empresa]"),CC$6)</f>
        <v>0</v>
      </c>
      <c r="CD71" s="120">
        <f ca="1">SUMIFS(tb_rec_uni[2026-09-01],
INDIRECT("tb_rec_uni[natureza]"),"repasse.cef.obra",
INDIRECT("tb_rec_uni[empresa]"),CD$6)</f>
        <v>0</v>
      </c>
      <c r="CE71" s="123">
        <f ca="1">SUMIFS(tb_rec_uni[2026-09-01],
INDIRECT("tb_rec_uni[natureza]"),"repasse.cef.terreno",
INDIRECT("tb_rec_uni[empresa]"),CE$6)</f>
        <v>0</v>
      </c>
      <c r="CF71" s="124"/>
      <c r="CG71" s="120">
        <f ca="1">SUMIFS(tb_rec_uni[2026-09-01],
INDIRECT("tb_rec_uni[natureza]"),"taxa.extra",
INDIRECT("tb_rec_uni[empresa]"),CG$6)</f>
        <v>0</v>
      </c>
      <c r="CH71" s="108"/>
      <c r="CI71" s="108">
        <f ca="1">SUMIFS(
  m.vb[valor],
  m.vb[nucleo],$CB$1,
  m.vb[variavel],CI$7,
  m.vb[mes],$A71
)</f>
        <v>0</v>
      </c>
      <c r="CJ71" s="108">
        <f ca="1">SUMIFS(
  m.vb[valor],
  m.vb[nucleo],$CB$1,
  m.vb[variavel],CJ$7,
  m.vb[mes],$A71
)</f>
        <v>0</v>
      </c>
      <c r="CK71" s="108">
        <f ca="1">SUMIFS(
  m.vb[valor],
  m.vb[nucleo],$CB$1,
  m.vb[variavel],CK$7,
  m.vb[mes],$A71
)</f>
        <v>0</v>
      </c>
      <c r="CL71" s="108">
        <f ca="1">SUMIFS(
  m.vb[valor],
  m.vb[nucleo],$CB$1,
  m.vb[variavel],CL$7,
  m.vb[mes],$A71
)</f>
        <v>0</v>
      </c>
      <c r="CM71" s="108">
        <f ca="1">SUMIFS(
  m.vb[valor],
  m.vb[nucleo],$CB$1,
  m.vb[variavel],CM$7,
  m.vb[mes],$A71
)</f>
        <v>0</v>
      </c>
      <c r="CN71" s="119">
        <f>COUNTIFS(
    tb_estq[empresa], CN$6,
    tb_estq[Data da venda / reserva], "&gt;=" &amp; $A71,
    tb_estq[Data da venda / reserva], "&lt;"  &amp; EOMONTH($A71,0) + 1
)</f>
        <v>0</v>
      </c>
      <c r="CO71" s="120">
        <f ca="1">SUMIFS(tb_rec_uni[2026-09-01],
INDIRECT("tb_rec_uni[natureza]"),"pro.soluto",
INDIRECT("tb_rec_uni[empresa]"),CO$6)</f>
        <v>0</v>
      </c>
      <c r="CP71" s="120">
        <f ca="1">SUMIFS(tb_rec_uni[2026-09-01],
INDIRECT("tb_rec_uni[natureza]"),"repasse.cef.obra",
INDIRECT("tb_rec_uni[empresa]"),CP$6)</f>
        <v>0</v>
      </c>
      <c r="CQ71" s="123">
        <f ca="1">SUMIFS(tb_rec_uni[2026-09-01],
INDIRECT("tb_rec_uni[natureza]"),"repasse.cef.terreno",
INDIRECT("tb_rec_uni[empresa]"),CQ$6)</f>
        <v>0</v>
      </c>
      <c r="CR71" s="124"/>
      <c r="CS71" s="120">
        <f ca="1">SUMIFS(tb_rec_uni[2026-09-01],
INDIRECT("tb_rec_uni[natureza]"),"taxa.extra",
INDIRECT("tb_rec_uni[empresa]"),CS$6)</f>
        <v>0</v>
      </c>
      <c r="CT71" s="108"/>
      <c r="CU71" s="108">
        <f ca="1">SUMIFS(
  m.vb[valor],
  m.vb[nucleo],$CN$1,
  m.vb[variavel],CU$7,
  m.vb[mes],$A71
)</f>
        <v>0</v>
      </c>
      <c r="CV71" s="108" cm="1">
        <f t="array" ref="CV71">SUMPRODUCT(
  IFERROR(--tb_desp[valor],0)*
  (tb_desp[nucleo]="UP MOVE VILA SONIA")*
  (tb_desp[categoria]=CV$7)*
  (tb_desp[data.pagamento]&gt;=$A71)*
  (tb_desp[data.pagamento]&lt;EOMONTH($A71,0)+1)
)</f>
        <v>0</v>
      </c>
      <c r="CW71" s="108" cm="1">
        <f t="array" ref="CW71">SUMPRODUCT(
  IFERROR(--tb_desp[valor],0)*
  (tb_desp[nucleo]="UP MOVE VILA SONIA")*
  (tb_desp[categoria]=CW$7)*
  (tb_desp[data.pagamento]&gt;=$A71)*
  (tb_desp[data.pagamento]&lt;EOMONTH($A71,0)+1)
)</f>
        <v>0</v>
      </c>
      <c r="CX71" s="108" cm="1">
        <f t="array" ref="CX71">SUMPRODUCT(
  IFERROR(--tb_desp[valor],0)*
  (tb_desp[nucleo]="UP MOVE VILA SONIA")*
  (tb_desp[categoria]=CX$7)*
  (tb_desp[data.pagamento]&gt;=$A71)*
  (tb_desp[data.pagamento]&lt;EOMONTH($A71,0)+1)
)</f>
        <v>0</v>
      </c>
      <c r="CY71" s="221" cm="1">
        <f t="array" ref="CY71">SUMPRODUCT(
  IFERROR(--tb_desp[valor],0)*
  (tb_desp[nucleo]="UP MOVE VILA SONIA")*
  (tb_desp[categoria]=CY$7)*
  (tb_desp[data.pagamento]&gt;=$A71)*
  (tb_desp[data.pagamento]&lt;EOMONTH($A71,0)+1)
)</f>
        <v>0</v>
      </c>
    </row>
    <row r="72" spans="1:103" x14ac:dyDescent="0.25">
      <c r="A72" s="118">
        <v>46296</v>
      </c>
      <c r="B72" s="119">
        <f>COUNTIFS(
    tb_estq[empresa], B$6,
    tb_estq[Data da venda / reserva], "&gt;=" &amp; $A72,
    tb_estq[Data da venda / reserva], "&lt;"  &amp; EOMONTH($A72,0) + 1
)</f>
        <v>0</v>
      </c>
      <c r="C72" s="120">
        <f ca="1">SUMIFS(tb_rec_uni[2026-10-01],
INDIRECT("tb_rec_uni[natureza]"),"pro.soluto",
INDIRECT("tb_rec_uni[empresa]"),C$6)</f>
        <v>0</v>
      </c>
      <c r="D72" s="120">
        <f ca="1">SUMIFS(tb_rec_uni[2026-10-01],
INDIRECT("tb_rec_uni[natureza]"),"repasse.cef.obra",
INDIRECT("tb_rec_uni[empresa]"),D$6)</f>
        <v>0</v>
      </c>
      <c r="E72" s="120">
        <f ca="1">SUMIFS(tb_rec_uni[2026-10-01],
INDIRECT("tb_rec_uni[natureza]"),"repasse.cef.terreno",
INDIRECT("tb_rec_uni[empresa]"),E$6)</f>
        <v>0</v>
      </c>
      <c r="F72" s="124"/>
      <c r="G72" s="120">
        <f ca="1">SUMIFS(tb_rec_uni[2026-10-01],
INDIRECT("tb_rec_uni[natureza]"),"taxa.extra",
INDIRECT("tb_rec_uni[empresa]"),G$6)</f>
        <v>0</v>
      </c>
      <c r="H72" s="108"/>
      <c r="I72" s="108">
        <f ca="1">SUMIFS(
  m.vb[valor],
  m.vb[nucleo],$B$1,
  m.vb[variavel],I$7,
  m.vb[mes],$A72
)</f>
        <v>0</v>
      </c>
      <c r="J72" s="108">
        <f ca="1">SUMIFS(
  m.vb[valor],
  m.vb[nucleo],$B$1,
  m.vb[variavel],J$7,
  m.vb[mes],$A72
)</f>
        <v>0</v>
      </c>
      <c r="K72" s="108">
        <f ca="1">SUMIFS(
  m.vb[valor],
  m.vb[nucleo],$B$1,
  m.vb[variavel],K$7,
  m.vb[mes],$A72
)</f>
        <v>0</v>
      </c>
      <c r="L72" s="108">
        <f ca="1">SUMIFS(
  m.vb[valor],
  m.vb[nucleo],$B$1,
  m.vb[variavel],L$7,
  m.vb[mes],$A72
)</f>
        <v>0</v>
      </c>
      <c r="M72" s="108">
        <f ca="1">SUMIFS(
  m.vb[valor],
  m.vb[nucleo],$B$1,
  m.vb[variavel],M$7,
  m.vb[mes],$A72
)</f>
        <v>0</v>
      </c>
      <c r="N72" s="119">
        <f>COUNTIFS(
    tb_estq[empresa], N$6,
    tb_estq[Data da venda / reserva], "&gt;=" &amp; $A72,
    tb_estq[Data da venda / reserva], "&lt;"  &amp; EOMONTH($A72,0) + 1
)</f>
        <v>0</v>
      </c>
      <c r="O72" s="120">
        <f ca="1">SUMIFS(tb_rec_uni[2026-10-01],
INDIRECT("tb_rec_uni[natureza]"),"pro.soluto",
INDIRECT("tb_rec_uni[empresa]"),O$6)</f>
        <v>0</v>
      </c>
      <c r="P72" s="120">
        <f ca="1">SUMIFS(tb_rec_uni[2026-10-01],
INDIRECT("tb_rec_uni[natureza]"),"repasse.cef.obra",
INDIRECT("tb_rec_uni[empresa]"),P$6)</f>
        <v>0</v>
      </c>
      <c r="Q72" s="120">
        <f ca="1">SUMIFS(tb_rec_uni[2026-10-01],
INDIRECT("tb_rec_uni[natureza]"),"repasse.cef.terreno",
INDIRECT("tb_rec_uni[empresa]"),Q$6)</f>
        <v>0</v>
      </c>
      <c r="R72" s="124"/>
      <c r="S72" s="120">
        <f ca="1">SUMIFS(tb_rec_uni[2026-10-01],
INDIRECT("tb_rec_uni[natureza]"),"taxa.extra",
INDIRECT("tb_rec_uni[empresa]"),S$6)</f>
        <v>0</v>
      </c>
      <c r="T72" s="108"/>
      <c r="U72" s="108">
        <f ca="1">SUMIFS(
  m.vb[valor],
  m.vb[nucleo],$N$1,
  m.vb[variavel],U$7,
  m.vb[mes],$A72
)</f>
        <v>0</v>
      </c>
      <c r="V72" s="108">
        <f ca="1">SUMIFS(
  m.vb[valor],
  m.vb[nucleo],$N$1,
  m.vb[variavel],V$7,
  m.vb[mes],$A72
)</f>
        <v>0</v>
      </c>
      <c r="W72" s="108">
        <f ca="1">SUMIFS(
  m.vb[valor],
  m.vb[nucleo],$N$1,
  m.vb[variavel],W$7,
  m.vb[mes],$A72
)</f>
        <v>0</v>
      </c>
      <c r="X72" s="108">
        <f ca="1">SUMIFS(
  m.vb[valor],
  m.vb[nucleo],$N$1,
  m.vb[variavel],X$7,
  m.vb[mes],$A72
)</f>
        <v>0</v>
      </c>
      <c r="Y72" s="108">
        <f ca="1">SUMIFS(
  m.vb[valor],
  m.vb[nucleo],$N$1,
  m.vb[variavel],Y$7,
  m.vb[mes],$A72
)</f>
        <v>0</v>
      </c>
      <c r="Z72" s="119">
        <f>COUNTIFS(
    tb_estq[empresa], Z$6,
    tb_estq[Data da venda / reserva], "&gt;=" &amp; $A72,
    tb_estq[Data da venda / reserva], "&lt;"  &amp; EOMONTH($A72,0) + 1
)</f>
        <v>0</v>
      </c>
      <c r="AA72" s="120">
        <f ca="1">SUMIFS(tb_rec_uni[2026-10-01],
INDIRECT("tb_rec_uni[natureza]"),"pro.soluto",
INDIRECT("tb_rec_uni[empresa]"),AA$6)</f>
        <v>0</v>
      </c>
      <c r="AB72" s="124">
        <f ca="1">SUMIFS(tb_rec_uni[2026-10-01],
INDIRECT("tb_rec_uni[natureza]"),"parcela.fin.total.ik",
INDIRECT("tb_rec_uni[empresa]"),AB$6)</f>
        <v>0</v>
      </c>
      <c r="AC72" s="120">
        <f ca="1">SUMIFS(tb_rec_uni[2026-10-01],
INDIRECT("tb_rec_uni[natureza]"),"taxa.extra",
INDIRECT("tb_rec_uni[empresa]"),AC$6)</f>
        <v>0</v>
      </c>
      <c r="AD72" s="108"/>
      <c r="AE72" s="108">
        <f ca="1">SUMIFS(
  m.vb[valor],
  m.vb[nucleo],$Z$1,
  m.vb[variavel],AE$7,
  m.vb[mes],$A72
)</f>
        <v>0</v>
      </c>
      <c r="AF72" s="108">
        <f ca="1">SUMIFS(
  m.vb[valor],
  m.vb[nucleo],$Z$1,
  m.vb[variavel],AF$7,
  m.vb[mes],$A72
)</f>
        <v>0</v>
      </c>
      <c r="AG72" s="108">
        <f ca="1">SUMIFS(
  m.vb[valor],
  m.vb[nucleo],$Z$1,
  m.vb[variavel],AG$7,
  m.vb[mes],$A72
)</f>
        <v>0</v>
      </c>
      <c r="AH72" s="108">
        <f ca="1">SUMIFS(
  m.vb[valor],
  m.vb[nucleo],$Z$1,
  m.vb[variavel],AH$7,
  m.vb[mes],$A72
)</f>
        <v>0</v>
      </c>
      <c r="AI72" s="108">
        <f ca="1">SUMIFS(
  m.vb[valor],
  m.vb[nucleo],$Z$1,
  m.vb[variavel],AI$7,
  m.vb[mes],$A72
)</f>
        <v>0</v>
      </c>
      <c r="AJ72" s="119">
        <f>COUNTIFS(
    tb_estq[empresa], AJ$6,
    tb_estq[Data da venda / reserva], "&gt;=" &amp; $A72,
    tb_estq[Data da venda / reserva], "&lt;"  &amp; EOMONTH($A72,0) + 1
)</f>
        <v>0</v>
      </c>
      <c r="AK72" s="120">
        <f ca="1">SUMIFS(tb_rec_uni[2026-10-01],
INDIRECT("tb_rec_uni[natureza]"),"pro.soluto",
INDIRECT("tb_rec_uni[empresa]"),AK$6)</f>
        <v>0</v>
      </c>
      <c r="AL72" s="120">
        <f ca="1">SUMIFS(tb_rec_uni[2026-10-01],
INDIRECT("tb_rec_uni[natureza]"),"repasse.cef.obra",
INDIRECT("tb_rec_uni[empresa]"),AL$6)</f>
        <v>0</v>
      </c>
      <c r="AM72" s="123">
        <f ca="1">SUMIFS(tb_rec_uni[2026-10-01],
INDIRECT("tb_rec_uni[natureza]"),"repasse.cef.terreno",
INDIRECT("tb_rec_uni[empresa]"),AM$6)</f>
        <v>0</v>
      </c>
      <c r="AN72" s="124"/>
      <c r="AO72" s="120">
        <f ca="1">SUMIFS(tb_rec_uni[2026-10-01],
INDIRECT("tb_rec_uni[natureza]"),"taxa.extra",
INDIRECT("tb_rec_uni[empresa]"),AO$6)</f>
        <v>0</v>
      </c>
      <c r="AP72" s="108"/>
      <c r="AQ72" s="108">
        <f ca="1">SUMIFS(
  m.vb[valor],
  m.vb[nucleo],$AJ$1,
  m.vb[variavel],AQ$7,
  m.vb[mes],$A72
)</f>
        <v>0</v>
      </c>
      <c r="AR72" s="108">
        <f ca="1">SUMIFS(
  m.vb[valor],
  m.vb[nucleo],$AJ$1,
  m.vb[variavel],AR$7,
  m.vb[mes],$A72
)</f>
        <v>0</v>
      </c>
      <c r="AS72" s="108">
        <f ca="1">SUMIFS(
  m.vb[valor],
  m.vb[nucleo],$AJ$1,
  m.vb[variavel],AS$7,
  m.vb[mes],$A72
)</f>
        <v>0</v>
      </c>
      <c r="AT72" s="108">
        <f ca="1">SUMIFS(
  m.vb[valor],
  m.vb[nucleo],$AJ$1,
  m.vb[variavel],AT$7,
  m.vb[mes],$A72
)</f>
        <v>0</v>
      </c>
      <c r="AU72" s="108">
        <f ca="1">SUMIFS(
  m.vb[valor],
  m.vb[nucleo],$AJ$1,
  m.vb[variavel],AU$7,
  m.vb[mes],$A72
)</f>
        <v>0</v>
      </c>
      <c r="AV72" s="119">
        <f>COUNTIFS(
    tb_estq[empresa], AV$6,
    tb_estq[Data da venda / reserva], "&gt;=" &amp; $A72,
    tb_estq[Data da venda / reserva], "&lt;"  &amp; EOMONTH($A72,0) + 1
)</f>
        <v>0</v>
      </c>
      <c r="AW72" s="120">
        <f ca="1">SUMIFS(tb_rec_uni[2026-10-01],
INDIRECT("tb_rec_uni[natureza]"),"pro.soluto",
INDIRECT("tb_rec_uni[empresa]"),AW$6)</f>
        <v>0</v>
      </c>
      <c r="AX72" s="120">
        <f ca="1">SUMIFS(tb_rec_uni[2026-10-01],
INDIRECT("tb_rec_uni[natureza]"),"repasse.cef.obra",
INDIRECT("tb_rec_uni[empresa]"),AX$6)</f>
        <v>0</v>
      </c>
      <c r="AY72" s="123">
        <f ca="1">SUMIFS(tb_rec_uni[2026-10-01],
INDIRECT("tb_rec_uni[natureza]"),"repasse.cef.terreno",
INDIRECT("tb_rec_uni[empresa]"),AY$6)</f>
        <v>0</v>
      </c>
      <c r="AZ72" s="124"/>
      <c r="BA72" s="120">
        <f ca="1">SUMIFS(tb_rec_uni[2026-10-01],
INDIRECT("tb_rec_uni[natureza]"),"taxa.extra",
INDIRECT("tb_rec_uni[empresa]"),BA$6)</f>
        <v>0</v>
      </c>
      <c r="BB72" s="108"/>
      <c r="BC72" s="108">
        <f ca="1">SUMIFS(
  m.vb[valor],
  m.vb[nucleo],$AV$1,
  m.vb[variavel],BC$7,
  m.vb[mes],$A72
)</f>
        <v>0</v>
      </c>
      <c r="BD72" s="108">
        <f ca="1">SUMIFS(
  m.vb[valor],
  m.vb[nucleo],$AV$1,
  m.vb[variavel],BD$7,
  m.vb[mes],$A72
)</f>
        <v>0</v>
      </c>
      <c r="BE72" s="108">
        <f ca="1">SUMIFS(
  m.vb[valor],
  m.vb[nucleo],$AV$1,
  m.vb[variavel],BE$7,
  m.vb[mes],$A72
)</f>
        <v>0</v>
      </c>
      <c r="BF72" s="108">
        <f ca="1">SUMIFS(
  m.vb[valor],
  m.vb[nucleo],$AV$1,
  m.vb[variavel],BF$7,
  m.vb[mes],$A72
)</f>
        <v>0</v>
      </c>
      <c r="BG72" s="108">
        <f ca="1">SUMIFS(
  m.vb[valor],
  m.vb[nucleo],$AV$1,
  m.vb[variavel],BG$7,
  m.vb[mes],$A72
)</f>
        <v>0</v>
      </c>
      <c r="BH72" s="119">
        <f>COUNTIFS(
    tb_estq[empresa], BH$6,
    tb_estq[Data da venda / reserva], "&gt;=" &amp; $A72,
    tb_estq[Data da venda / reserva], "&lt;"  &amp; EOMONTH($A72,0) + 1
)</f>
        <v>0</v>
      </c>
      <c r="BI72" s="120">
        <f ca="1">SUMIFS(tb_rec_uni[2026-10-01],
INDIRECT("tb_rec_uni[natureza]"),"pro.soluto",
INDIRECT("tb_rec_uni[empresa]"),BI$6)</f>
        <v>0</v>
      </c>
      <c r="BJ72" s="124"/>
      <c r="BK72" s="120">
        <f ca="1">SUMIFS(tb_rec_uni[2026-10-01],
INDIRECT("tb_rec_uni[natureza]"),"taxa.extra",
INDIRECT("tb_rec_uni[empresa]"),BK$6)</f>
        <v>0</v>
      </c>
      <c r="BL72" s="108"/>
      <c r="BM72" s="108">
        <f ca="1">SUMIFS(
  m.vb[valor],
  m.vb[nucleo],$BH$1,
  m.vb[variavel],BM$7,
  m.vb[mes],$A72
)</f>
        <v>0</v>
      </c>
      <c r="BN72" s="108">
        <f ca="1">SUMIFS(
  m.vb[valor],
  m.vb[nucleo],$BH$1,
  m.vb[variavel],BN$7,
  m.vb[mes],$A72
)</f>
        <v>0</v>
      </c>
      <c r="BO72" s="108">
        <f ca="1">SUMIFS(
  m.vb[valor],
  m.vb[nucleo],$BH$1,
  m.vb[variavel],BO$7,
  m.vb[mes],$A72
)</f>
        <v>0</v>
      </c>
      <c r="BP72" s="108">
        <f ca="1">SUMIFS(
  m.vb[valor],
  m.vb[nucleo],$BH$1,
  m.vb[variavel],BP$7,
  m.vb[mes],$A72
)</f>
        <v>0</v>
      </c>
      <c r="BQ72" s="108">
        <f ca="1">SUMIFS(
  m.vb[valor],
  m.vb[nucleo],$BH$1,
  m.vb[variavel],BQ$7,
  m.vb[mes],$A72
)</f>
        <v>0</v>
      </c>
      <c r="BR72" s="119">
        <f>COUNTIFS(
    tb_estq[empresa], BR$6,
    tb_estq[Data da venda / reserva], "&gt;=" &amp; $A72,
    tb_estq[Data da venda / reserva], "&lt;"  &amp; EOMONTH($A72,0) + 1
)</f>
        <v>0</v>
      </c>
      <c r="BS72" s="120">
        <f ca="1">SUMIFS(tb_rec_uni[2026-10-01],
INDIRECT("tb_rec_uni[natureza]"),"pro.soluto",
INDIRECT("tb_rec_uni[empresa]"),BS$6)</f>
        <v>0</v>
      </c>
      <c r="BT72" s="124">
        <f ca="1">SUMIFS(tb_rec_uni[2026-10-01],
INDIRECT("tb_rec_uni[natureza]"),"parcela.fin.total.ik",
INDIRECT("tb_rec_uni[empresa]"),BT$6)</f>
        <v>0</v>
      </c>
      <c r="BU72" s="120">
        <f ca="1">SUMIFS(tb_rec_uni[2026-10-01],
INDIRECT("tb_rec_uni[natureza]"),"taxa.extra",
INDIRECT("tb_rec_uni[empresa]"),BU$6)</f>
        <v>0</v>
      </c>
      <c r="BV72" s="108"/>
      <c r="BW72" s="108">
        <f ca="1">SUMIFS(
  m.vb[valor],
  m.vb[nucleo],$BR$1,
  m.vb[variavel],BW$7,
  m.vb[mes],$A72
)</f>
        <v>0</v>
      </c>
      <c r="BX72" s="108">
        <f ca="1">SUMIFS(
  m.vb[valor],
  m.vb[nucleo],$BR$1,
  m.vb[variavel],BX$7,
  m.vb[mes],$A72
)</f>
        <v>0</v>
      </c>
      <c r="BY72" s="108">
        <f ca="1">SUMIFS(
  m.vb[valor],
  m.vb[nucleo],$BR$1,
  m.vb[variavel],BY$7,
  m.vb[mes],$A72
)</f>
        <v>0</v>
      </c>
      <c r="BZ72" s="108">
        <f ca="1">SUMIFS(
  m.vb[valor],
  m.vb[nucleo],$BR$1,
  m.vb[variavel],BZ$7,
  m.vb[mes],$A72
)</f>
        <v>0</v>
      </c>
      <c r="CA72" s="108">
        <f ca="1">SUMIFS(
  m.vb[valor],
  m.vb[nucleo],$BR$1,
  m.vb[variavel],CA$7,
  m.vb[mes],$A72
)</f>
        <v>0</v>
      </c>
      <c r="CB72" s="119">
        <f>COUNTIFS(
    tb_estq[empresa], CB$6,
    tb_estq[Data da venda / reserva], "&gt;=" &amp; $A72,
    tb_estq[Data da venda / reserva], "&lt;"  &amp; EOMONTH($A72,0) + 1
)</f>
        <v>0</v>
      </c>
      <c r="CC72" s="120">
        <f ca="1">SUMIFS(tb_rec_uni[2026-10-01],
INDIRECT("tb_rec_uni[natureza]"),"pro.soluto",
INDIRECT("tb_rec_uni[empresa]"),CC$6)</f>
        <v>0</v>
      </c>
      <c r="CD72" s="120">
        <f ca="1">SUMIFS(tb_rec_uni[2026-10-01],
INDIRECT("tb_rec_uni[natureza]"),"repasse.cef.obra",
INDIRECT("tb_rec_uni[empresa]"),CD$6)</f>
        <v>0</v>
      </c>
      <c r="CE72" s="123">
        <f ca="1">SUMIFS(tb_rec_uni[2026-10-01],
INDIRECT("tb_rec_uni[natureza]"),"repasse.cef.terreno",
INDIRECT("tb_rec_uni[empresa]"),CE$6)</f>
        <v>0</v>
      </c>
      <c r="CF72" s="124"/>
      <c r="CG72" s="120">
        <f ca="1">SUMIFS(tb_rec_uni[2026-10-01],
INDIRECT("tb_rec_uni[natureza]"),"taxa.extra",
INDIRECT("tb_rec_uni[empresa]"),CG$6)</f>
        <v>0</v>
      </c>
      <c r="CH72" s="108"/>
      <c r="CI72" s="108">
        <f ca="1">SUMIFS(
  m.vb[valor],
  m.vb[nucleo],$CB$1,
  m.vb[variavel],CI$7,
  m.vb[mes],$A72
)</f>
        <v>0</v>
      </c>
      <c r="CJ72" s="108">
        <f ca="1">SUMIFS(
  m.vb[valor],
  m.vb[nucleo],$CB$1,
  m.vb[variavel],CJ$7,
  m.vb[mes],$A72
)</f>
        <v>0</v>
      </c>
      <c r="CK72" s="108">
        <f ca="1">SUMIFS(
  m.vb[valor],
  m.vb[nucleo],$CB$1,
  m.vb[variavel],CK$7,
  m.vb[mes],$A72
)</f>
        <v>0</v>
      </c>
      <c r="CL72" s="108">
        <f ca="1">SUMIFS(
  m.vb[valor],
  m.vb[nucleo],$CB$1,
  m.vb[variavel],CL$7,
  m.vb[mes],$A72
)</f>
        <v>0</v>
      </c>
      <c r="CM72" s="108">
        <f ca="1">SUMIFS(
  m.vb[valor],
  m.vb[nucleo],$CB$1,
  m.vb[variavel],CM$7,
  m.vb[mes],$A72
)</f>
        <v>0</v>
      </c>
      <c r="CN72" s="119">
        <f>COUNTIFS(
    tb_estq[empresa], CN$6,
    tb_estq[Data da venda / reserva], "&gt;=" &amp; $A72,
    tb_estq[Data da venda / reserva], "&lt;"  &amp; EOMONTH($A72,0) + 1
)</f>
        <v>0</v>
      </c>
      <c r="CO72" s="120">
        <f ca="1">SUMIFS(tb_rec_uni[2026-10-01],
INDIRECT("tb_rec_uni[natureza]"),"pro.soluto",
INDIRECT("tb_rec_uni[empresa]"),CO$6)</f>
        <v>0</v>
      </c>
      <c r="CP72" s="120">
        <f ca="1">SUMIFS(tb_rec_uni[2026-10-01],
INDIRECT("tb_rec_uni[natureza]"),"repasse.cef.obra",
INDIRECT("tb_rec_uni[empresa]"),CP$6)</f>
        <v>0</v>
      </c>
      <c r="CQ72" s="123">
        <f ca="1">SUMIFS(tb_rec_uni[2026-10-01],
INDIRECT("tb_rec_uni[natureza]"),"repasse.cef.terreno",
INDIRECT("tb_rec_uni[empresa]"),CQ$6)</f>
        <v>0</v>
      </c>
      <c r="CR72" s="124"/>
      <c r="CS72" s="120">
        <f ca="1">SUMIFS(tb_rec_uni[2026-10-01],
INDIRECT("tb_rec_uni[natureza]"),"taxa.extra",
INDIRECT("tb_rec_uni[empresa]"),CS$6)</f>
        <v>0</v>
      </c>
      <c r="CT72" s="108"/>
      <c r="CU72" s="108">
        <f ca="1">SUMIFS(
  m.vb[valor],
  m.vb[nucleo],$CN$1,
  m.vb[variavel],CU$7,
  m.vb[mes],$A72
)</f>
        <v>0</v>
      </c>
      <c r="CV72" s="108" cm="1">
        <f t="array" ref="CV72">SUMPRODUCT(
  IFERROR(--tb_desp[valor],0)*
  (tb_desp[nucleo]="UP MOVE VILA SONIA")*
  (tb_desp[categoria]=CV$7)*
  (tb_desp[data.pagamento]&gt;=$A72)*
  (tb_desp[data.pagamento]&lt;EOMONTH($A72,0)+1)
)</f>
        <v>0</v>
      </c>
      <c r="CW72" s="108" cm="1">
        <f t="array" ref="CW72">SUMPRODUCT(
  IFERROR(--tb_desp[valor],0)*
  (tb_desp[nucleo]="UP MOVE VILA SONIA")*
  (tb_desp[categoria]=CW$7)*
  (tb_desp[data.pagamento]&gt;=$A72)*
  (tb_desp[data.pagamento]&lt;EOMONTH($A72,0)+1)
)</f>
        <v>0</v>
      </c>
      <c r="CX72" s="108" cm="1">
        <f t="array" ref="CX72">SUMPRODUCT(
  IFERROR(--tb_desp[valor],0)*
  (tb_desp[nucleo]="UP MOVE VILA SONIA")*
  (tb_desp[categoria]=CX$7)*
  (tb_desp[data.pagamento]&gt;=$A72)*
  (tb_desp[data.pagamento]&lt;EOMONTH($A72,0)+1)
)</f>
        <v>0</v>
      </c>
      <c r="CY72" s="221" cm="1">
        <f t="array" ref="CY72">SUMPRODUCT(
  IFERROR(--tb_desp[valor],0)*
  (tb_desp[nucleo]="UP MOVE VILA SONIA")*
  (tb_desp[categoria]=CY$7)*
  (tb_desp[data.pagamento]&gt;=$A72)*
  (tb_desp[data.pagamento]&lt;EOMONTH($A72,0)+1)
)</f>
        <v>0</v>
      </c>
    </row>
    <row r="73" spans="1:103" x14ac:dyDescent="0.25">
      <c r="A73" s="118">
        <v>46327</v>
      </c>
      <c r="B73" s="119">
        <f>COUNTIFS(
    tb_estq[empresa], B$6,
    tb_estq[Data da venda / reserva], "&gt;=" &amp; $A73,
    tb_estq[Data da venda / reserva], "&lt;"  &amp; EOMONTH($A73,0) + 1
)</f>
        <v>0</v>
      </c>
      <c r="C73" s="120">
        <f ca="1">SUMIFS(tb_rec_uni[2026-11-01],
INDIRECT("tb_rec_uni[natureza]"),"pro.soluto",
INDIRECT("tb_rec_uni[empresa]"),C$6)</f>
        <v>0</v>
      </c>
      <c r="D73" s="120">
        <f ca="1">SUMIFS(tb_rec_uni[2026-11-01],
INDIRECT("tb_rec_uni[natureza]"),"repasse.cef.obra",
INDIRECT("tb_rec_uni[empresa]"),D$6)</f>
        <v>0</v>
      </c>
      <c r="E73" s="120">
        <f ca="1">SUMIFS(tb_rec_uni[2026-11-01],
INDIRECT("tb_rec_uni[natureza]"),"repasse.cef.terreno",
INDIRECT("tb_rec_uni[empresa]"),E$6)</f>
        <v>0</v>
      </c>
      <c r="F73" s="124"/>
      <c r="G73" s="120">
        <f ca="1">SUMIFS(tb_rec_uni[2026-11-01],
INDIRECT("tb_rec_uni[natureza]"),"taxa.extra",
INDIRECT("tb_rec_uni[empresa]"),G$6)</f>
        <v>0</v>
      </c>
      <c r="H73" s="108"/>
      <c r="I73" s="108">
        <f ca="1">SUMIFS(
  m.vb[valor],
  m.vb[nucleo],$B$1,
  m.vb[variavel],I$7,
  m.vb[mes],$A73
)</f>
        <v>0</v>
      </c>
      <c r="J73" s="108">
        <f ca="1">SUMIFS(
  m.vb[valor],
  m.vb[nucleo],$B$1,
  m.vb[variavel],J$7,
  m.vb[mes],$A73
)</f>
        <v>0</v>
      </c>
      <c r="K73" s="108">
        <f ca="1">SUMIFS(
  m.vb[valor],
  m.vb[nucleo],$B$1,
  m.vb[variavel],K$7,
  m.vb[mes],$A73
)</f>
        <v>0</v>
      </c>
      <c r="L73" s="108">
        <f ca="1">SUMIFS(
  m.vb[valor],
  m.vb[nucleo],$B$1,
  m.vb[variavel],L$7,
  m.vb[mes],$A73
)</f>
        <v>0</v>
      </c>
      <c r="M73" s="108">
        <f ca="1">SUMIFS(
  m.vb[valor],
  m.vb[nucleo],$B$1,
  m.vb[variavel],M$7,
  m.vb[mes],$A73
)</f>
        <v>0</v>
      </c>
      <c r="N73" s="119">
        <f>COUNTIFS(
    tb_estq[empresa], N$6,
    tb_estq[Data da venda / reserva], "&gt;=" &amp; $A73,
    tb_estq[Data da venda / reserva], "&lt;"  &amp; EOMONTH($A73,0) + 1
)</f>
        <v>0</v>
      </c>
      <c r="O73" s="120">
        <f ca="1">SUMIFS(tb_rec_uni[2026-11-01],
INDIRECT("tb_rec_uni[natureza]"),"pro.soluto",
INDIRECT("tb_rec_uni[empresa]"),O$6)</f>
        <v>0</v>
      </c>
      <c r="P73" s="120">
        <f ca="1">SUMIFS(tb_rec_uni[2026-11-01],
INDIRECT("tb_rec_uni[natureza]"),"repasse.cef.obra",
INDIRECT("tb_rec_uni[empresa]"),P$6)</f>
        <v>0</v>
      </c>
      <c r="Q73" s="120">
        <f ca="1">SUMIFS(tb_rec_uni[2026-11-01],
INDIRECT("tb_rec_uni[natureza]"),"repasse.cef.terreno",
INDIRECT("tb_rec_uni[empresa]"),Q$6)</f>
        <v>0</v>
      </c>
      <c r="R73" s="124"/>
      <c r="S73" s="120">
        <f ca="1">SUMIFS(tb_rec_uni[2026-11-01],
INDIRECT("tb_rec_uni[natureza]"),"taxa.extra",
INDIRECT("tb_rec_uni[empresa]"),S$6)</f>
        <v>0</v>
      </c>
      <c r="T73" s="108"/>
      <c r="U73" s="108">
        <f ca="1">SUMIFS(
  m.vb[valor],
  m.vb[nucleo],$N$1,
  m.vb[variavel],U$7,
  m.vb[mes],$A73
)</f>
        <v>0</v>
      </c>
      <c r="V73" s="108">
        <f ca="1">SUMIFS(
  m.vb[valor],
  m.vb[nucleo],$N$1,
  m.vb[variavel],V$7,
  m.vb[mes],$A73
)</f>
        <v>0</v>
      </c>
      <c r="W73" s="108">
        <f ca="1">SUMIFS(
  m.vb[valor],
  m.vb[nucleo],$N$1,
  m.vb[variavel],W$7,
  m.vb[mes],$A73
)</f>
        <v>0</v>
      </c>
      <c r="X73" s="108">
        <f ca="1">SUMIFS(
  m.vb[valor],
  m.vb[nucleo],$N$1,
  m.vb[variavel],X$7,
  m.vb[mes],$A73
)</f>
        <v>0</v>
      </c>
      <c r="Y73" s="108">
        <f ca="1">SUMIFS(
  m.vb[valor],
  m.vb[nucleo],$N$1,
  m.vb[variavel],Y$7,
  m.vb[mes],$A73
)</f>
        <v>0</v>
      </c>
      <c r="Z73" s="119">
        <f>COUNTIFS(
    tb_estq[empresa], Z$6,
    tb_estq[Data da venda / reserva], "&gt;=" &amp; $A73,
    tb_estq[Data da venda / reserva], "&lt;"  &amp; EOMONTH($A73,0) + 1
)</f>
        <v>0</v>
      </c>
      <c r="AA73" s="120">
        <f ca="1">SUMIFS(tb_rec_uni[2026-11-01],
INDIRECT("tb_rec_uni[natureza]"),"pro.soluto",
INDIRECT("tb_rec_uni[empresa]"),AA$6)</f>
        <v>0</v>
      </c>
      <c r="AB73" s="124">
        <f ca="1">SUMIFS(tb_rec_uni[2026-11-01],
INDIRECT("tb_rec_uni[natureza]"),"parcela.fin.total.ik",
INDIRECT("tb_rec_uni[empresa]"),AB$6)</f>
        <v>0</v>
      </c>
      <c r="AC73" s="120">
        <f ca="1">SUMIFS(tb_rec_uni[2026-11-01],
INDIRECT("tb_rec_uni[natureza]"),"taxa.extra",
INDIRECT("tb_rec_uni[empresa]"),AC$6)</f>
        <v>0</v>
      </c>
      <c r="AD73" s="108"/>
      <c r="AE73" s="108">
        <f ca="1">SUMIFS(
  m.vb[valor],
  m.vb[nucleo],$Z$1,
  m.vb[variavel],AE$7,
  m.vb[mes],$A73
)</f>
        <v>0</v>
      </c>
      <c r="AF73" s="108">
        <f ca="1">SUMIFS(
  m.vb[valor],
  m.vb[nucleo],$Z$1,
  m.vb[variavel],AF$7,
  m.vb[mes],$A73
)</f>
        <v>0</v>
      </c>
      <c r="AG73" s="108">
        <f ca="1">SUMIFS(
  m.vb[valor],
  m.vb[nucleo],$Z$1,
  m.vb[variavel],AG$7,
  m.vb[mes],$A73
)</f>
        <v>0</v>
      </c>
      <c r="AH73" s="108">
        <f ca="1">SUMIFS(
  m.vb[valor],
  m.vb[nucleo],$Z$1,
  m.vb[variavel],AH$7,
  m.vb[mes],$A73
)</f>
        <v>0</v>
      </c>
      <c r="AI73" s="108">
        <f ca="1">SUMIFS(
  m.vb[valor],
  m.vb[nucleo],$Z$1,
  m.vb[variavel],AI$7,
  m.vb[mes],$A73
)</f>
        <v>0</v>
      </c>
      <c r="AJ73" s="119">
        <f>COUNTIFS(
    tb_estq[empresa], AJ$6,
    tb_estq[Data da venda / reserva], "&gt;=" &amp; $A73,
    tb_estq[Data da venda / reserva], "&lt;"  &amp; EOMONTH($A73,0) + 1
)</f>
        <v>0</v>
      </c>
      <c r="AK73" s="120">
        <f ca="1">SUMIFS(tb_rec_uni[2026-11-01],
INDIRECT("tb_rec_uni[natureza]"),"pro.soluto",
INDIRECT("tb_rec_uni[empresa]"),AK$6)</f>
        <v>0</v>
      </c>
      <c r="AL73" s="120">
        <f ca="1">SUMIFS(tb_rec_uni[2026-11-01],
INDIRECT("tb_rec_uni[natureza]"),"repasse.cef.obra",
INDIRECT("tb_rec_uni[empresa]"),AL$6)</f>
        <v>0</v>
      </c>
      <c r="AM73" s="123">
        <f ca="1">SUMIFS(tb_rec_uni[2026-11-01],
INDIRECT("tb_rec_uni[natureza]"),"repasse.cef.terreno",
INDIRECT("tb_rec_uni[empresa]"),AM$6)</f>
        <v>0</v>
      </c>
      <c r="AN73" s="124"/>
      <c r="AO73" s="120">
        <f ca="1">SUMIFS(tb_rec_uni[2026-11-01],
INDIRECT("tb_rec_uni[natureza]"),"taxa.extra",
INDIRECT("tb_rec_uni[empresa]"),AO$6)</f>
        <v>0</v>
      </c>
      <c r="AP73" s="108"/>
      <c r="AQ73" s="108">
        <f ca="1">SUMIFS(
  m.vb[valor],
  m.vb[nucleo],$AJ$1,
  m.vb[variavel],AQ$7,
  m.vb[mes],$A73
)</f>
        <v>0</v>
      </c>
      <c r="AR73" s="108">
        <f ca="1">SUMIFS(
  m.vb[valor],
  m.vb[nucleo],$AJ$1,
  m.vb[variavel],AR$7,
  m.vb[mes],$A73
)</f>
        <v>0</v>
      </c>
      <c r="AS73" s="108">
        <f ca="1">SUMIFS(
  m.vb[valor],
  m.vb[nucleo],$AJ$1,
  m.vb[variavel],AS$7,
  m.vb[mes],$A73
)</f>
        <v>0</v>
      </c>
      <c r="AT73" s="108">
        <f ca="1">SUMIFS(
  m.vb[valor],
  m.vb[nucleo],$AJ$1,
  m.vb[variavel],AT$7,
  m.vb[mes],$A73
)</f>
        <v>0</v>
      </c>
      <c r="AU73" s="108">
        <f ca="1">SUMIFS(
  m.vb[valor],
  m.vb[nucleo],$AJ$1,
  m.vb[variavel],AU$7,
  m.vb[mes],$A73
)</f>
        <v>0</v>
      </c>
      <c r="AV73" s="119">
        <f>COUNTIFS(
    tb_estq[empresa], AV$6,
    tb_estq[Data da venda / reserva], "&gt;=" &amp; $A73,
    tb_estq[Data da venda / reserva], "&lt;"  &amp; EOMONTH($A73,0) + 1
)</f>
        <v>0</v>
      </c>
      <c r="AW73" s="120">
        <f ca="1">SUMIFS(tb_rec_uni[2026-11-01],
INDIRECT("tb_rec_uni[natureza]"),"pro.soluto",
INDIRECT("tb_rec_uni[empresa]"),AW$6)</f>
        <v>0</v>
      </c>
      <c r="AX73" s="120">
        <f ca="1">SUMIFS(tb_rec_uni[2026-11-01],
INDIRECT("tb_rec_uni[natureza]"),"repasse.cef.obra",
INDIRECT("tb_rec_uni[empresa]"),AX$6)</f>
        <v>0</v>
      </c>
      <c r="AY73" s="123">
        <f ca="1">SUMIFS(tb_rec_uni[2026-11-01],
INDIRECT("tb_rec_uni[natureza]"),"repasse.cef.terreno",
INDIRECT("tb_rec_uni[empresa]"),AY$6)</f>
        <v>0</v>
      </c>
      <c r="AZ73" s="124"/>
      <c r="BA73" s="120">
        <f ca="1">SUMIFS(tb_rec_uni[2026-11-01],
INDIRECT("tb_rec_uni[natureza]"),"taxa.extra",
INDIRECT("tb_rec_uni[empresa]"),BA$6)</f>
        <v>0</v>
      </c>
      <c r="BB73" s="108"/>
      <c r="BC73" s="108">
        <f ca="1">SUMIFS(
  m.vb[valor],
  m.vb[nucleo],$AV$1,
  m.vb[variavel],BC$7,
  m.vb[mes],$A73
)</f>
        <v>0</v>
      </c>
      <c r="BD73" s="108">
        <f ca="1">SUMIFS(
  m.vb[valor],
  m.vb[nucleo],$AV$1,
  m.vb[variavel],BD$7,
  m.vb[mes],$A73
)</f>
        <v>0</v>
      </c>
      <c r="BE73" s="108">
        <f ca="1">SUMIFS(
  m.vb[valor],
  m.vb[nucleo],$AV$1,
  m.vb[variavel],BE$7,
  m.vb[mes],$A73
)</f>
        <v>0</v>
      </c>
      <c r="BF73" s="108">
        <f ca="1">SUMIFS(
  m.vb[valor],
  m.vb[nucleo],$AV$1,
  m.vb[variavel],BF$7,
  m.vb[mes],$A73
)</f>
        <v>0</v>
      </c>
      <c r="BG73" s="108">
        <f ca="1">SUMIFS(
  m.vb[valor],
  m.vb[nucleo],$AV$1,
  m.vb[variavel],BG$7,
  m.vb[mes],$A73
)</f>
        <v>0</v>
      </c>
      <c r="BH73" s="119">
        <f>COUNTIFS(
    tb_estq[empresa], BH$6,
    tb_estq[Data da venda / reserva], "&gt;=" &amp; $A73,
    tb_estq[Data da venda / reserva], "&lt;"  &amp; EOMONTH($A73,0) + 1
)</f>
        <v>0</v>
      </c>
      <c r="BI73" s="120">
        <f ca="1">SUMIFS(tb_rec_uni[2026-11-01],
INDIRECT("tb_rec_uni[natureza]"),"pro.soluto",
INDIRECT("tb_rec_uni[empresa]"),BI$6)</f>
        <v>0</v>
      </c>
      <c r="BJ73" s="124"/>
      <c r="BK73" s="120">
        <f ca="1">SUMIFS(tb_rec_uni[2026-11-01],
INDIRECT("tb_rec_uni[natureza]"),"taxa.extra",
INDIRECT("tb_rec_uni[empresa]"),BK$6)</f>
        <v>0</v>
      </c>
      <c r="BL73" s="108"/>
      <c r="BM73" s="108">
        <f ca="1">SUMIFS(
  m.vb[valor],
  m.vb[nucleo],$BH$1,
  m.vb[variavel],BM$7,
  m.vb[mes],$A73
)</f>
        <v>0</v>
      </c>
      <c r="BN73" s="108">
        <f ca="1">SUMIFS(
  m.vb[valor],
  m.vb[nucleo],$BH$1,
  m.vb[variavel],BN$7,
  m.vb[mes],$A73
)</f>
        <v>0</v>
      </c>
      <c r="BO73" s="108">
        <f ca="1">SUMIFS(
  m.vb[valor],
  m.vb[nucleo],$BH$1,
  m.vb[variavel],BO$7,
  m.vb[mes],$A73
)</f>
        <v>0</v>
      </c>
      <c r="BP73" s="108">
        <f ca="1">SUMIFS(
  m.vb[valor],
  m.vb[nucleo],$BH$1,
  m.vb[variavel],BP$7,
  m.vb[mes],$A73
)</f>
        <v>0</v>
      </c>
      <c r="BQ73" s="108">
        <f ca="1">SUMIFS(
  m.vb[valor],
  m.vb[nucleo],$BH$1,
  m.vb[variavel],BQ$7,
  m.vb[mes],$A73
)</f>
        <v>0</v>
      </c>
      <c r="BR73" s="119">
        <f>COUNTIFS(
    tb_estq[empresa], BR$6,
    tb_estq[Data da venda / reserva], "&gt;=" &amp; $A73,
    tb_estq[Data da venda / reserva], "&lt;"  &amp; EOMONTH($A73,0) + 1
)</f>
        <v>0</v>
      </c>
      <c r="BS73" s="120">
        <f ca="1">SUMIFS(tb_rec_uni[2026-11-01],
INDIRECT("tb_rec_uni[natureza]"),"pro.soluto",
INDIRECT("tb_rec_uni[empresa]"),BS$6)</f>
        <v>0</v>
      </c>
      <c r="BT73" s="124">
        <f ca="1">SUMIFS(tb_rec_uni[2026-11-01],
INDIRECT("tb_rec_uni[natureza]"),"parcela.fin.total.ik",
INDIRECT("tb_rec_uni[empresa]"),BT$6)</f>
        <v>0</v>
      </c>
      <c r="BU73" s="120">
        <f ca="1">SUMIFS(tb_rec_uni[2026-11-01],
INDIRECT("tb_rec_uni[natureza]"),"taxa.extra",
INDIRECT("tb_rec_uni[empresa]"),BU$6)</f>
        <v>0</v>
      </c>
      <c r="BV73" s="108"/>
      <c r="BW73" s="108">
        <f ca="1">SUMIFS(
  m.vb[valor],
  m.vb[nucleo],$BR$1,
  m.vb[variavel],BW$7,
  m.vb[mes],$A73
)</f>
        <v>0</v>
      </c>
      <c r="BX73" s="108">
        <f ca="1">SUMIFS(
  m.vb[valor],
  m.vb[nucleo],$BR$1,
  m.vb[variavel],BX$7,
  m.vb[mes],$A73
)</f>
        <v>0</v>
      </c>
      <c r="BY73" s="108">
        <f ca="1">SUMIFS(
  m.vb[valor],
  m.vb[nucleo],$BR$1,
  m.vb[variavel],BY$7,
  m.vb[mes],$A73
)</f>
        <v>0</v>
      </c>
      <c r="BZ73" s="108">
        <f ca="1">SUMIFS(
  m.vb[valor],
  m.vb[nucleo],$BR$1,
  m.vb[variavel],BZ$7,
  m.vb[mes],$A73
)</f>
        <v>0</v>
      </c>
      <c r="CA73" s="108">
        <f ca="1">SUMIFS(
  m.vb[valor],
  m.vb[nucleo],$BR$1,
  m.vb[variavel],CA$7,
  m.vb[mes],$A73
)</f>
        <v>0</v>
      </c>
      <c r="CB73" s="119">
        <f>COUNTIFS(
    tb_estq[empresa], CB$6,
    tb_estq[Data da venda / reserva], "&gt;=" &amp; $A73,
    tb_estq[Data da venda / reserva], "&lt;"  &amp; EOMONTH($A73,0) + 1
)</f>
        <v>0</v>
      </c>
      <c r="CC73" s="120">
        <f ca="1">SUMIFS(tb_rec_uni[2026-11-01],
INDIRECT("tb_rec_uni[natureza]"),"pro.soluto",
INDIRECT("tb_rec_uni[empresa]"),CC$6)</f>
        <v>0</v>
      </c>
      <c r="CD73" s="120">
        <f ca="1">SUMIFS(tb_rec_uni[2026-11-01],
INDIRECT("tb_rec_uni[natureza]"),"repasse.cef.obra",
INDIRECT("tb_rec_uni[empresa]"),CD$6)</f>
        <v>0</v>
      </c>
      <c r="CE73" s="123">
        <f ca="1">SUMIFS(tb_rec_uni[2026-11-01],
INDIRECT("tb_rec_uni[natureza]"),"repasse.cef.terreno",
INDIRECT("tb_rec_uni[empresa]"),CE$6)</f>
        <v>0</v>
      </c>
      <c r="CF73" s="124"/>
      <c r="CG73" s="120">
        <f ca="1">SUMIFS(tb_rec_uni[2026-11-01],
INDIRECT("tb_rec_uni[natureza]"),"taxa.extra",
INDIRECT("tb_rec_uni[empresa]"),CG$6)</f>
        <v>0</v>
      </c>
      <c r="CH73" s="108"/>
      <c r="CI73" s="108">
        <f ca="1">SUMIFS(
  m.vb[valor],
  m.vb[nucleo],$CB$1,
  m.vb[variavel],CI$7,
  m.vb[mes],$A73
)</f>
        <v>0</v>
      </c>
      <c r="CJ73" s="108">
        <f ca="1">SUMIFS(
  m.vb[valor],
  m.vb[nucleo],$CB$1,
  m.vb[variavel],CJ$7,
  m.vb[mes],$A73
)</f>
        <v>0</v>
      </c>
      <c r="CK73" s="108">
        <f ca="1">SUMIFS(
  m.vb[valor],
  m.vb[nucleo],$CB$1,
  m.vb[variavel],CK$7,
  m.vb[mes],$A73
)</f>
        <v>0</v>
      </c>
      <c r="CL73" s="108">
        <f ca="1">SUMIFS(
  m.vb[valor],
  m.vb[nucleo],$CB$1,
  m.vb[variavel],CL$7,
  m.vb[mes],$A73
)</f>
        <v>0</v>
      </c>
      <c r="CM73" s="108">
        <f ca="1">SUMIFS(
  m.vb[valor],
  m.vb[nucleo],$CB$1,
  m.vb[variavel],CM$7,
  m.vb[mes],$A73
)</f>
        <v>0</v>
      </c>
      <c r="CN73" s="119">
        <f>COUNTIFS(
    tb_estq[empresa], CN$6,
    tb_estq[Data da venda / reserva], "&gt;=" &amp; $A73,
    tb_estq[Data da venda / reserva], "&lt;"  &amp; EOMONTH($A73,0) + 1
)</f>
        <v>0</v>
      </c>
      <c r="CO73" s="120">
        <f ca="1">SUMIFS(tb_rec_uni[2026-11-01],
INDIRECT("tb_rec_uni[natureza]"),"pro.soluto",
INDIRECT("tb_rec_uni[empresa]"),CO$6)</f>
        <v>0</v>
      </c>
      <c r="CP73" s="120">
        <f ca="1">SUMIFS(tb_rec_uni[2026-11-01],
INDIRECT("tb_rec_uni[natureza]"),"repasse.cef.obra",
INDIRECT("tb_rec_uni[empresa]"),CP$6)</f>
        <v>0</v>
      </c>
      <c r="CQ73" s="123">
        <f ca="1">SUMIFS(tb_rec_uni[2026-11-01],
INDIRECT("tb_rec_uni[natureza]"),"repasse.cef.terreno",
INDIRECT("tb_rec_uni[empresa]"),CQ$6)</f>
        <v>0</v>
      </c>
      <c r="CR73" s="124"/>
      <c r="CS73" s="120">
        <f ca="1">SUMIFS(tb_rec_uni[2026-11-01],
INDIRECT("tb_rec_uni[natureza]"),"taxa.extra",
INDIRECT("tb_rec_uni[empresa]"),CS$6)</f>
        <v>0</v>
      </c>
      <c r="CT73" s="108"/>
      <c r="CU73" s="108">
        <f ca="1">SUMIFS(
  m.vb[valor],
  m.vb[nucleo],$CN$1,
  m.vb[variavel],CU$7,
  m.vb[mes],$A73
)</f>
        <v>0</v>
      </c>
      <c r="CV73" s="108" cm="1">
        <f t="array" ref="CV73">SUMPRODUCT(
  IFERROR(--tb_desp[valor],0)*
  (tb_desp[nucleo]="UP MOVE VILA SONIA")*
  (tb_desp[categoria]=CV$7)*
  (tb_desp[data.pagamento]&gt;=$A73)*
  (tb_desp[data.pagamento]&lt;EOMONTH($A73,0)+1)
)</f>
        <v>0</v>
      </c>
      <c r="CW73" s="108" cm="1">
        <f t="array" ref="CW73">SUMPRODUCT(
  IFERROR(--tb_desp[valor],0)*
  (tb_desp[nucleo]="UP MOVE VILA SONIA")*
  (tb_desp[categoria]=CW$7)*
  (tb_desp[data.pagamento]&gt;=$A73)*
  (tb_desp[data.pagamento]&lt;EOMONTH($A73,0)+1)
)</f>
        <v>0</v>
      </c>
      <c r="CX73" s="108" cm="1">
        <f t="array" ref="CX73">SUMPRODUCT(
  IFERROR(--tb_desp[valor],0)*
  (tb_desp[nucleo]="UP MOVE VILA SONIA")*
  (tb_desp[categoria]=CX$7)*
  (tb_desp[data.pagamento]&gt;=$A73)*
  (tb_desp[data.pagamento]&lt;EOMONTH($A73,0)+1)
)</f>
        <v>0</v>
      </c>
      <c r="CY73" s="221" cm="1">
        <f t="array" ref="CY73">SUMPRODUCT(
  IFERROR(--tb_desp[valor],0)*
  (tb_desp[nucleo]="UP MOVE VILA SONIA")*
  (tb_desp[categoria]=CY$7)*
  (tb_desp[data.pagamento]&gt;=$A73)*
  (tb_desp[data.pagamento]&lt;EOMONTH($A73,0)+1)
)</f>
        <v>0</v>
      </c>
    </row>
    <row r="74" spans="1:103" x14ac:dyDescent="0.25">
      <c r="A74" s="118">
        <v>46357</v>
      </c>
      <c r="B74" s="119">
        <f>COUNTIFS(
    tb_estq[empresa], B$6,
    tb_estq[Data da venda / reserva], "&gt;=" &amp; $A74,
    tb_estq[Data da venda / reserva], "&lt;"  &amp; EOMONTH($A74,0) + 1
)</f>
        <v>0</v>
      </c>
      <c r="C74" s="120">
        <f ca="1">SUMIFS(tb_rec_uni[2026-12-01],
INDIRECT("tb_rec_uni[natureza]"),"pro.soluto",
INDIRECT("tb_rec_uni[empresa]"),C$6)</f>
        <v>0</v>
      </c>
      <c r="D74" s="120">
        <f ca="1">SUMIFS(tb_rec_uni[2026-12-01],
INDIRECT("tb_rec_uni[natureza]"),"repasse.cef.obra",
INDIRECT("tb_rec_uni[empresa]"),D$6)</f>
        <v>0</v>
      </c>
      <c r="E74" s="120">
        <f ca="1">SUMIFS(tb_rec_uni[2026-12-01],
INDIRECT("tb_rec_uni[natureza]"),"repasse.cef.terreno",
INDIRECT("tb_rec_uni[empresa]"),E$6)</f>
        <v>0</v>
      </c>
      <c r="F74" s="124"/>
      <c r="G74" s="120">
        <f ca="1">SUMIFS(tb_rec_uni[2026-12-01],
INDIRECT("tb_rec_uni[natureza]"),"taxa.extra",
INDIRECT("tb_rec_uni[empresa]"),G$6)</f>
        <v>0</v>
      </c>
      <c r="H74" s="108"/>
      <c r="I74" s="108">
        <f ca="1">SUMIFS(
  m.vb[valor],
  m.vb[nucleo],$B$1,
  m.vb[variavel],I$7,
  m.vb[mes],$A74
)</f>
        <v>0</v>
      </c>
      <c r="J74" s="108">
        <f ca="1">SUMIFS(
  m.vb[valor],
  m.vb[nucleo],$B$1,
  m.vb[variavel],J$7,
  m.vb[mes],$A74
)</f>
        <v>0</v>
      </c>
      <c r="K74" s="108">
        <f ca="1">SUMIFS(
  m.vb[valor],
  m.vb[nucleo],$B$1,
  m.vb[variavel],K$7,
  m.vb[mes],$A74
)</f>
        <v>0</v>
      </c>
      <c r="L74" s="108">
        <f ca="1">SUMIFS(
  m.vb[valor],
  m.vb[nucleo],$B$1,
  m.vb[variavel],L$7,
  m.vb[mes],$A74
)</f>
        <v>0</v>
      </c>
      <c r="M74" s="108">
        <f ca="1">SUMIFS(
  m.vb[valor],
  m.vb[nucleo],$B$1,
  m.vb[variavel],M$7,
  m.vb[mes],$A74
)</f>
        <v>0</v>
      </c>
      <c r="N74" s="119">
        <f>COUNTIFS(
    tb_estq[empresa], N$6,
    tb_estq[Data da venda / reserva], "&gt;=" &amp; $A74,
    tb_estq[Data da venda / reserva], "&lt;"  &amp; EOMONTH($A74,0) + 1
)</f>
        <v>0</v>
      </c>
      <c r="O74" s="120">
        <f ca="1">SUMIFS(tb_rec_uni[2026-12-01],
INDIRECT("tb_rec_uni[natureza]"),"pro.soluto",
INDIRECT("tb_rec_uni[empresa]"),O$6)</f>
        <v>0</v>
      </c>
      <c r="P74" s="120">
        <f ca="1">SUMIFS(tb_rec_uni[2026-12-01],
INDIRECT("tb_rec_uni[natureza]"),"repasse.cef.obra",
INDIRECT("tb_rec_uni[empresa]"),P$6)</f>
        <v>0</v>
      </c>
      <c r="Q74" s="120">
        <f ca="1">SUMIFS(tb_rec_uni[2026-12-01],
INDIRECT("tb_rec_uni[natureza]"),"repasse.cef.terreno",
INDIRECT("tb_rec_uni[empresa]"),Q$6)</f>
        <v>0</v>
      </c>
      <c r="R74" s="124"/>
      <c r="S74" s="120">
        <f ca="1">SUMIFS(tb_rec_uni[2026-12-01],
INDIRECT("tb_rec_uni[natureza]"),"taxa.extra",
INDIRECT("tb_rec_uni[empresa]"),S$6)</f>
        <v>0</v>
      </c>
      <c r="T74" s="108"/>
      <c r="U74" s="108">
        <f ca="1">SUMIFS(
  m.vb[valor],
  m.vb[nucleo],$N$1,
  m.vb[variavel],U$7,
  m.vb[mes],$A74
)</f>
        <v>0</v>
      </c>
      <c r="V74" s="108">
        <f ca="1">SUMIFS(
  m.vb[valor],
  m.vb[nucleo],$N$1,
  m.vb[variavel],V$7,
  m.vb[mes],$A74
)</f>
        <v>0</v>
      </c>
      <c r="W74" s="108">
        <f ca="1">SUMIFS(
  m.vb[valor],
  m.vb[nucleo],$N$1,
  m.vb[variavel],W$7,
  m.vb[mes],$A74
)</f>
        <v>0</v>
      </c>
      <c r="X74" s="108">
        <f ca="1">SUMIFS(
  m.vb[valor],
  m.vb[nucleo],$N$1,
  m.vb[variavel],X$7,
  m.vb[mes],$A74
)</f>
        <v>0</v>
      </c>
      <c r="Y74" s="108">
        <f ca="1">SUMIFS(
  m.vb[valor],
  m.vb[nucleo],$N$1,
  m.vb[variavel],Y$7,
  m.vb[mes],$A74
)</f>
        <v>0</v>
      </c>
      <c r="Z74" s="119">
        <f>COUNTIFS(
    tb_estq[empresa], Z$6,
    tb_estq[Data da venda / reserva], "&gt;=" &amp; $A74,
    tb_estq[Data da venda / reserva], "&lt;"  &amp; EOMONTH($A74,0) + 1
)</f>
        <v>0</v>
      </c>
      <c r="AA74" s="120">
        <f ca="1">SUMIFS(tb_rec_uni[2026-12-01],
INDIRECT("tb_rec_uni[natureza]"),"pro.soluto",
INDIRECT("tb_rec_uni[empresa]"),AA$6)</f>
        <v>0</v>
      </c>
      <c r="AB74" s="124">
        <f ca="1">SUMIFS(tb_rec_uni[2026-12-01],
INDIRECT("tb_rec_uni[natureza]"),"parcela.fin.total.ik",
INDIRECT("tb_rec_uni[empresa]"),AB$6)</f>
        <v>0</v>
      </c>
      <c r="AC74" s="120">
        <f ca="1">SUMIFS(tb_rec_uni[2026-12-01],
INDIRECT("tb_rec_uni[natureza]"),"taxa.extra",
INDIRECT("tb_rec_uni[empresa]"),AC$6)</f>
        <v>0</v>
      </c>
      <c r="AD74" s="108"/>
      <c r="AE74" s="108">
        <f ca="1">SUMIFS(
  m.vb[valor],
  m.vb[nucleo],$Z$1,
  m.vb[variavel],AE$7,
  m.vb[mes],$A74
)</f>
        <v>0</v>
      </c>
      <c r="AF74" s="108">
        <f ca="1">SUMIFS(
  m.vb[valor],
  m.vb[nucleo],$Z$1,
  m.vb[variavel],AF$7,
  m.vb[mes],$A74
)</f>
        <v>0</v>
      </c>
      <c r="AG74" s="108">
        <f ca="1">SUMIFS(
  m.vb[valor],
  m.vb[nucleo],$Z$1,
  m.vb[variavel],AG$7,
  m.vb[mes],$A74
)</f>
        <v>0</v>
      </c>
      <c r="AH74" s="108">
        <f ca="1">SUMIFS(
  m.vb[valor],
  m.vb[nucleo],$Z$1,
  m.vb[variavel],AH$7,
  m.vb[mes],$A74
)</f>
        <v>0</v>
      </c>
      <c r="AI74" s="108">
        <f ca="1">SUMIFS(
  m.vb[valor],
  m.vb[nucleo],$Z$1,
  m.vb[variavel],AI$7,
  m.vb[mes],$A74
)</f>
        <v>0</v>
      </c>
      <c r="AJ74" s="119">
        <f>COUNTIFS(
    tb_estq[empresa], AJ$6,
    tb_estq[Data da venda / reserva], "&gt;=" &amp; $A74,
    tb_estq[Data da venda / reserva], "&lt;"  &amp; EOMONTH($A74,0) + 1
)</f>
        <v>0</v>
      </c>
      <c r="AK74" s="120">
        <f ca="1">SUMIFS(tb_rec_uni[2026-12-01],
INDIRECT("tb_rec_uni[natureza]"),"pro.soluto",
INDIRECT("tb_rec_uni[empresa]"),AK$6)</f>
        <v>0</v>
      </c>
      <c r="AL74" s="120">
        <f ca="1">SUMIFS(tb_rec_uni[2026-12-01],
INDIRECT("tb_rec_uni[natureza]"),"repasse.cef.obra",
INDIRECT("tb_rec_uni[empresa]"),AL$6)</f>
        <v>0</v>
      </c>
      <c r="AM74" s="123">
        <f ca="1">SUMIFS(tb_rec_uni[2026-12-01],
INDIRECT("tb_rec_uni[natureza]"),"repasse.cef.terreno",
INDIRECT("tb_rec_uni[empresa]"),AM$6)</f>
        <v>0</v>
      </c>
      <c r="AN74" s="124"/>
      <c r="AO74" s="120">
        <f ca="1">SUMIFS(tb_rec_uni[2026-12-01],
INDIRECT("tb_rec_uni[natureza]"),"taxa.extra",
INDIRECT("tb_rec_uni[empresa]"),AO$6)</f>
        <v>0</v>
      </c>
      <c r="AP74" s="108"/>
      <c r="AQ74" s="108">
        <f ca="1">SUMIFS(
  m.vb[valor],
  m.vb[nucleo],$AJ$1,
  m.vb[variavel],AQ$7,
  m.vb[mes],$A74
)</f>
        <v>0</v>
      </c>
      <c r="AR74" s="108">
        <f ca="1">SUMIFS(
  m.vb[valor],
  m.vb[nucleo],$AJ$1,
  m.vb[variavel],AR$7,
  m.vb[mes],$A74
)</f>
        <v>0</v>
      </c>
      <c r="AS74" s="108">
        <f ca="1">SUMIFS(
  m.vb[valor],
  m.vb[nucleo],$AJ$1,
  m.vb[variavel],AS$7,
  m.vb[mes],$A74
)</f>
        <v>0</v>
      </c>
      <c r="AT74" s="108">
        <f ca="1">SUMIFS(
  m.vb[valor],
  m.vb[nucleo],$AJ$1,
  m.vb[variavel],AT$7,
  m.vb[mes],$A74
)</f>
        <v>0</v>
      </c>
      <c r="AU74" s="108">
        <f ca="1">SUMIFS(
  m.vb[valor],
  m.vb[nucleo],$AJ$1,
  m.vb[variavel],AU$7,
  m.vb[mes],$A74
)</f>
        <v>0</v>
      </c>
      <c r="AV74" s="119">
        <f>COUNTIFS(
    tb_estq[empresa], AV$6,
    tb_estq[Data da venda / reserva], "&gt;=" &amp; $A74,
    tb_estq[Data da venda / reserva], "&lt;"  &amp; EOMONTH($A74,0) + 1
)</f>
        <v>0</v>
      </c>
      <c r="AW74" s="120">
        <f ca="1">SUMIFS(tb_rec_uni[2026-12-01],
INDIRECT("tb_rec_uni[natureza]"),"pro.soluto",
INDIRECT("tb_rec_uni[empresa]"),AW$6)</f>
        <v>0</v>
      </c>
      <c r="AX74" s="120">
        <f ca="1">SUMIFS(tb_rec_uni[2026-12-01],
INDIRECT("tb_rec_uni[natureza]"),"repasse.cef.obra",
INDIRECT("tb_rec_uni[empresa]"),AX$6)</f>
        <v>0</v>
      </c>
      <c r="AY74" s="123">
        <f ca="1">SUMIFS(tb_rec_uni[2026-12-01],
INDIRECT("tb_rec_uni[natureza]"),"repasse.cef.terreno",
INDIRECT("tb_rec_uni[empresa]"),AY$6)</f>
        <v>0</v>
      </c>
      <c r="AZ74" s="124"/>
      <c r="BA74" s="120">
        <f ca="1">SUMIFS(tb_rec_uni[2026-12-01],
INDIRECT("tb_rec_uni[natureza]"),"taxa.extra",
INDIRECT("tb_rec_uni[empresa]"),BA$6)</f>
        <v>0</v>
      </c>
      <c r="BB74" s="108"/>
      <c r="BC74" s="108">
        <f ca="1">SUMIFS(
  m.vb[valor],
  m.vb[nucleo],$AV$1,
  m.vb[variavel],BC$7,
  m.vb[mes],$A74
)</f>
        <v>0</v>
      </c>
      <c r="BD74" s="108">
        <f ca="1">SUMIFS(
  m.vb[valor],
  m.vb[nucleo],$AV$1,
  m.vb[variavel],BD$7,
  m.vb[mes],$A74
)</f>
        <v>0</v>
      </c>
      <c r="BE74" s="108">
        <f ca="1">SUMIFS(
  m.vb[valor],
  m.vb[nucleo],$AV$1,
  m.vb[variavel],BE$7,
  m.vb[mes],$A74
)</f>
        <v>0</v>
      </c>
      <c r="BF74" s="108">
        <f ca="1">SUMIFS(
  m.vb[valor],
  m.vb[nucleo],$AV$1,
  m.vb[variavel],BF$7,
  m.vb[mes],$A74
)</f>
        <v>0</v>
      </c>
      <c r="BG74" s="108">
        <f ca="1">SUMIFS(
  m.vb[valor],
  m.vb[nucleo],$AV$1,
  m.vb[variavel],BG$7,
  m.vb[mes],$A74
)</f>
        <v>0</v>
      </c>
      <c r="BH74" s="119">
        <f>COUNTIFS(
    tb_estq[empresa], BH$6,
    tb_estq[Data da venda / reserva], "&gt;=" &amp; $A74,
    tb_estq[Data da venda / reserva], "&lt;"  &amp; EOMONTH($A74,0) + 1
)</f>
        <v>0</v>
      </c>
      <c r="BI74" s="120">
        <f ca="1">SUMIFS(tb_rec_uni[2026-12-01],
INDIRECT("tb_rec_uni[natureza]"),"pro.soluto",
INDIRECT("tb_rec_uni[empresa]"),BI$6)</f>
        <v>0</v>
      </c>
      <c r="BJ74" s="124"/>
      <c r="BK74" s="120">
        <f ca="1">SUMIFS(tb_rec_uni[2026-12-01],
INDIRECT("tb_rec_uni[natureza]"),"taxa.extra",
INDIRECT("tb_rec_uni[empresa]"),BK$6)</f>
        <v>0</v>
      </c>
      <c r="BL74" s="108"/>
      <c r="BM74" s="108">
        <f ca="1">SUMIFS(
  m.vb[valor],
  m.vb[nucleo],$BH$1,
  m.vb[variavel],BM$7,
  m.vb[mes],$A74
)</f>
        <v>0</v>
      </c>
      <c r="BN74" s="108">
        <f ca="1">SUMIFS(
  m.vb[valor],
  m.vb[nucleo],$BH$1,
  m.vb[variavel],BN$7,
  m.vb[mes],$A74
)</f>
        <v>0</v>
      </c>
      <c r="BO74" s="108">
        <f ca="1">SUMIFS(
  m.vb[valor],
  m.vb[nucleo],$BH$1,
  m.vb[variavel],BO$7,
  m.vb[mes],$A74
)</f>
        <v>0</v>
      </c>
      <c r="BP74" s="108">
        <f ca="1">SUMIFS(
  m.vb[valor],
  m.vb[nucleo],$BH$1,
  m.vb[variavel],BP$7,
  m.vb[mes],$A74
)</f>
        <v>0</v>
      </c>
      <c r="BQ74" s="108">
        <f ca="1">SUMIFS(
  m.vb[valor],
  m.vb[nucleo],$BH$1,
  m.vb[variavel],BQ$7,
  m.vb[mes],$A74
)</f>
        <v>0</v>
      </c>
      <c r="BR74" s="119">
        <f>COUNTIFS(
    tb_estq[empresa], BR$6,
    tb_estq[Data da venda / reserva], "&gt;=" &amp; $A74,
    tb_estq[Data da venda / reserva], "&lt;"  &amp; EOMONTH($A74,0) + 1
)</f>
        <v>0</v>
      </c>
      <c r="BS74" s="120">
        <f ca="1">SUMIFS(tb_rec_uni[2026-12-01],
INDIRECT("tb_rec_uni[natureza]"),"pro.soluto",
INDIRECT("tb_rec_uni[empresa]"),BS$6)</f>
        <v>0</v>
      </c>
      <c r="BT74" s="124">
        <f ca="1">SUMIFS(tb_rec_uni[2026-12-01],
INDIRECT("tb_rec_uni[natureza]"),"parcela.fin.total.ik",
INDIRECT("tb_rec_uni[empresa]"),BT$6)</f>
        <v>0</v>
      </c>
      <c r="BU74" s="120">
        <f ca="1">SUMIFS(tb_rec_uni[2026-12-01],
INDIRECT("tb_rec_uni[natureza]"),"taxa.extra",
INDIRECT("tb_rec_uni[empresa]"),BU$6)</f>
        <v>0</v>
      </c>
      <c r="BV74" s="108"/>
      <c r="BW74" s="108">
        <f ca="1">SUMIFS(
  m.vb[valor],
  m.vb[nucleo],$BR$1,
  m.vb[variavel],BW$7,
  m.vb[mes],$A74
)</f>
        <v>0</v>
      </c>
      <c r="BX74" s="108">
        <f ca="1">SUMIFS(
  m.vb[valor],
  m.vb[nucleo],$BR$1,
  m.vb[variavel],BX$7,
  m.vb[mes],$A74
)</f>
        <v>0</v>
      </c>
      <c r="BY74" s="108">
        <f ca="1">SUMIFS(
  m.vb[valor],
  m.vb[nucleo],$BR$1,
  m.vb[variavel],BY$7,
  m.vb[mes],$A74
)</f>
        <v>0</v>
      </c>
      <c r="BZ74" s="108">
        <f ca="1">SUMIFS(
  m.vb[valor],
  m.vb[nucleo],$BR$1,
  m.vb[variavel],BZ$7,
  m.vb[mes],$A74
)</f>
        <v>0</v>
      </c>
      <c r="CA74" s="108">
        <f ca="1">SUMIFS(
  m.vb[valor],
  m.vb[nucleo],$BR$1,
  m.vb[variavel],CA$7,
  m.vb[mes],$A74
)</f>
        <v>0</v>
      </c>
      <c r="CB74" s="119">
        <f>COUNTIFS(
    tb_estq[empresa], CB$6,
    tb_estq[Data da venda / reserva], "&gt;=" &amp; $A74,
    tb_estq[Data da venda / reserva], "&lt;"  &amp; EOMONTH($A74,0) + 1
)</f>
        <v>0</v>
      </c>
      <c r="CC74" s="120">
        <f ca="1">SUMIFS(tb_rec_uni[2026-12-01],
INDIRECT("tb_rec_uni[natureza]"),"pro.soluto",
INDIRECT("tb_rec_uni[empresa]"),CC$6)</f>
        <v>0</v>
      </c>
      <c r="CD74" s="120">
        <f ca="1">SUMIFS(tb_rec_uni[2026-12-01],
INDIRECT("tb_rec_uni[natureza]"),"repasse.cef.obra",
INDIRECT("tb_rec_uni[empresa]"),CD$6)</f>
        <v>0</v>
      </c>
      <c r="CE74" s="123">
        <f ca="1">SUMIFS(tb_rec_uni[2026-12-01],
INDIRECT("tb_rec_uni[natureza]"),"repasse.cef.terreno",
INDIRECT("tb_rec_uni[empresa]"),CE$6)</f>
        <v>0</v>
      </c>
      <c r="CF74" s="124"/>
      <c r="CG74" s="120">
        <f ca="1">SUMIFS(tb_rec_uni[2026-12-01],
INDIRECT("tb_rec_uni[natureza]"),"taxa.extra",
INDIRECT("tb_rec_uni[empresa]"),CG$6)</f>
        <v>0</v>
      </c>
      <c r="CH74" s="108"/>
      <c r="CI74" s="108">
        <f ca="1">SUMIFS(
  m.vb[valor],
  m.vb[nucleo],$CB$1,
  m.vb[variavel],CI$7,
  m.vb[mes],$A74
)</f>
        <v>0</v>
      </c>
      <c r="CJ74" s="108">
        <f ca="1">SUMIFS(
  m.vb[valor],
  m.vb[nucleo],$CB$1,
  m.vb[variavel],CJ$7,
  m.vb[mes],$A74
)</f>
        <v>0</v>
      </c>
      <c r="CK74" s="108">
        <f ca="1">SUMIFS(
  m.vb[valor],
  m.vb[nucleo],$CB$1,
  m.vb[variavel],CK$7,
  m.vb[mes],$A74
)</f>
        <v>0</v>
      </c>
      <c r="CL74" s="108">
        <f ca="1">SUMIFS(
  m.vb[valor],
  m.vb[nucleo],$CB$1,
  m.vb[variavel],CL$7,
  m.vb[mes],$A74
)</f>
        <v>0</v>
      </c>
      <c r="CM74" s="108">
        <f ca="1">SUMIFS(
  m.vb[valor],
  m.vb[nucleo],$CB$1,
  m.vb[variavel],CM$7,
  m.vb[mes],$A74
)</f>
        <v>0</v>
      </c>
      <c r="CN74" s="119">
        <f>COUNTIFS(
    tb_estq[empresa], CN$6,
    tb_estq[Data da venda / reserva], "&gt;=" &amp; $A74,
    tb_estq[Data da venda / reserva], "&lt;"  &amp; EOMONTH($A74,0) + 1
)</f>
        <v>0</v>
      </c>
      <c r="CO74" s="120">
        <f ca="1">SUMIFS(tb_rec_uni[2026-12-01],
INDIRECT("tb_rec_uni[natureza]"),"pro.soluto",
INDIRECT("tb_rec_uni[empresa]"),CO$6)</f>
        <v>0</v>
      </c>
      <c r="CP74" s="120">
        <f ca="1">SUMIFS(tb_rec_uni[2026-12-01],
INDIRECT("tb_rec_uni[natureza]"),"repasse.cef.obra",
INDIRECT("tb_rec_uni[empresa]"),CP$6)</f>
        <v>0</v>
      </c>
      <c r="CQ74" s="123">
        <f ca="1">SUMIFS(tb_rec_uni[2026-12-01],
INDIRECT("tb_rec_uni[natureza]"),"repasse.cef.terreno",
INDIRECT("tb_rec_uni[empresa]"),CQ$6)</f>
        <v>0</v>
      </c>
      <c r="CR74" s="124"/>
      <c r="CS74" s="120">
        <f ca="1">SUMIFS(tb_rec_uni[2026-12-01],
INDIRECT("tb_rec_uni[natureza]"),"taxa.extra",
INDIRECT("tb_rec_uni[empresa]"),CS$6)</f>
        <v>0</v>
      </c>
      <c r="CT74" s="108"/>
      <c r="CU74" s="108">
        <f ca="1">SUMIFS(
  m.vb[valor],
  m.vb[nucleo],$CN$1,
  m.vb[variavel],CU$7,
  m.vb[mes],$A74
)</f>
        <v>0</v>
      </c>
      <c r="CV74" s="108" cm="1">
        <f t="array" ref="CV74">SUMPRODUCT(
  IFERROR(--tb_desp[valor],0)*
  (tb_desp[nucleo]="UP MOVE VILA SONIA")*
  (tb_desp[categoria]=CV$7)*
  (tb_desp[data.pagamento]&gt;=$A74)*
  (tb_desp[data.pagamento]&lt;EOMONTH($A74,0)+1)
)</f>
        <v>0</v>
      </c>
      <c r="CW74" s="108" cm="1">
        <f t="array" ref="CW74">SUMPRODUCT(
  IFERROR(--tb_desp[valor],0)*
  (tb_desp[nucleo]="UP MOVE VILA SONIA")*
  (tb_desp[categoria]=CW$7)*
  (tb_desp[data.pagamento]&gt;=$A74)*
  (tb_desp[data.pagamento]&lt;EOMONTH($A74,0)+1)
)</f>
        <v>0</v>
      </c>
      <c r="CX74" s="108" cm="1">
        <f t="array" ref="CX74">SUMPRODUCT(
  IFERROR(--tb_desp[valor],0)*
  (tb_desp[nucleo]="UP MOVE VILA SONIA")*
  (tb_desp[categoria]=CX$7)*
  (tb_desp[data.pagamento]&gt;=$A74)*
  (tb_desp[data.pagamento]&lt;EOMONTH($A74,0)+1)
)</f>
        <v>0</v>
      </c>
      <c r="CY74" s="221" cm="1">
        <f t="array" ref="CY74">SUMPRODUCT(
  IFERROR(--tb_desp[valor],0)*
  (tb_desp[nucleo]="UP MOVE VILA SONIA")*
  (tb_desp[categoria]=CY$7)*
  (tb_desp[data.pagamento]&gt;=$A74)*
  (tb_desp[data.pagamento]&lt;EOMONTH($A74,0)+1)
)</f>
        <v>0</v>
      </c>
    </row>
    <row r="75" spans="1:103" x14ac:dyDescent="0.25">
      <c r="A75" s="118">
        <v>46388</v>
      </c>
      <c r="B75" s="119">
        <f>COUNTIFS(
    tb_estq[empresa], B$6,
    tb_estq[Data da venda / reserva], "&gt;=" &amp; $A75,
    tb_estq[Data da venda / reserva], "&lt;"  &amp; EOMONTH($A75,0) + 1
)</f>
        <v>0</v>
      </c>
      <c r="C75" s="120">
        <f ca="1">SUMIFS(tb_rec_uni[2027-01-01],
INDIRECT("tb_rec_uni[natureza]"),"pro.soluto",
INDIRECT("tb_rec_uni[empresa]"),C$6)</f>
        <v>0</v>
      </c>
      <c r="D75" s="120">
        <f ca="1">SUMIFS(tb_rec_uni[2027-01-01],
INDIRECT("tb_rec_uni[natureza]"),"repasse.cef.obra",
INDIRECT("tb_rec_uni[empresa]"),D$6)</f>
        <v>0</v>
      </c>
      <c r="E75" s="120">
        <f ca="1">SUMIFS(tb_rec_uni[2027-01-01],
INDIRECT("tb_rec_uni[natureza]"),"repasse.cef.terreno",
INDIRECT("tb_rec_uni[empresa]"),E$6)</f>
        <v>0</v>
      </c>
      <c r="F75" s="124"/>
      <c r="G75" s="120">
        <f ca="1">SUMIFS(tb_rec_uni[2027-01-01],
INDIRECT("tb_rec_uni[natureza]"),"taxa.extra",
INDIRECT("tb_rec_uni[empresa]"),G$6)</f>
        <v>0</v>
      </c>
      <c r="H75" s="108"/>
      <c r="I75" s="108">
        <f ca="1">SUMIFS(
  m.vb[valor],
  m.vb[nucleo],$B$1,
  m.vb[variavel],I$7,
  m.vb[mes],$A75
)</f>
        <v>0</v>
      </c>
      <c r="J75" s="108">
        <f ca="1">SUMIFS(
  m.vb[valor],
  m.vb[nucleo],$B$1,
  m.vb[variavel],J$7,
  m.vb[mes],$A75
)</f>
        <v>0</v>
      </c>
      <c r="K75" s="108">
        <f ca="1">SUMIFS(
  m.vb[valor],
  m.vb[nucleo],$B$1,
  m.vb[variavel],K$7,
  m.vb[mes],$A75
)</f>
        <v>0</v>
      </c>
      <c r="L75" s="108">
        <f ca="1">SUMIFS(
  m.vb[valor],
  m.vb[nucleo],$B$1,
  m.vb[variavel],L$7,
  m.vb[mes],$A75
)</f>
        <v>0</v>
      </c>
      <c r="M75" s="108">
        <f ca="1">SUMIFS(
  m.vb[valor],
  m.vb[nucleo],$B$1,
  m.vb[variavel],M$7,
  m.vb[mes],$A75
)</f>
        <v>0</v>
      </c>
      <c r="N75" s="119">
        <f>COUNTIFS(
    tb_estq[empresa], N$6,
    tb_estq[Data da venda / reserva], "&gt;=" &amp; $A75,
    tb_estq[Data da venda / reserva], "&lt;"  &amp; EOMONTH($A75,0) + 1
)</f>
        <v>0</v>
      </c>
      <c r="O75" s="120">
        <f ca="1">SUMIFS(tb_rec_uni[2027-01-01],
INDIRECT("tb_rec_uni[natureza]"),"pro.soluto",
INDIRECT("tb_rec_uni[empresa]"),O$6)</f>
        <v>0</v>
      </c>
      <c r="P75" s="120">
        <f ca="1">SUMIFS(tb_rec_uni[2027-01-01],
INDIRECT("tb_rec_uni[natureza]"),"repasse.cef.obra",
INDIRECT("tb_rec_uni[empresa]"),P$6)</f>
        <v>0</v>
      </c>
      <c r="Q75" s="120">
        <f ca="1">SUMIFS(tb_rec_uni[2027-01-01],
INDIRECT("tb_rec_uni[natureza]"),"repasse.cef.terreno",
INDIRECT("tb_rec_uni[empresa]"),Q$6)</f>
        <v>0</v>
      </c>
      <c r="R75" s="124"/>
      <c r="S75" s="120">
        <f ca="1">SUMIFS(tb_rec_uni[2027-01-01],
INDIRECT("tb_rec_uni[natureza]"),"taxa.extra",
INDIRECT("tb_rec_uni[empresa]"),S$6)</f>
        <v>0</v>
      </c>
      <c r="T75" s="108"/>
      <c r="U75" s="108">
        <f ca="1">SUMIFS(
  m.vb[valor],
  m.vb[nucleo],$N$1,
  m.vb[variavel],U$7,
  m.vb[mes],$A75
)</f>
        <v>0</v>
      </c>
      <c r="V75" s="108">
        <f ca="1">SUMIFS(
  m.vb[valor],
  m.vb[nucleo],$N$1,
  m.vb[variavel],V$7,
  m.vb[mes],$A75
)</f>
        <v>0</v>
      </c>
      <c r="W75" s="108">
        <f ca="1">SUMIFS(
  m.vb[valor],
  m.vb[nucleo],$N$1,
  m.vb[variavel],W$7,
  m.vb[mes],$A75
)</f>
        <v>0</v>
      </c>
      <c r="X75" s="108">
        <f ca="1">SUMIFS(
  m.vb[valor],
  m.vb[nucleo],$N$1,
  m.vb[variavel],X$7,
  m.vb[mes],$A75
)</f>
        <v>0</v>
      </c>
      <c r="Y75" s="108">
        <f ca="1">SUMIFS(
  m.vb[valor],
  m.vb[nucleo],$N$1,
  m.vb[variavel],Y$7,
  m.vb[mes],$A75
)</f>
        <v>0</v>
      </c>
      <c r="Z75" s="119">
        <f>COUNTIFS(
    tb_estq[empresa], Z$6,
    tb_estq[Data da venda / reserva], "&gt;=" &amp; $A75,
    tb_estq[Data da venda / reserva], "&lt;"  &amp; EOMONTH($A75,0) + 1
)</f>
        <v>0</v>
      </c>
      <c r="AA75" s="120">
        <f ca="1">SUMIFS(tb_rec_uni[2027-01-01],
INDIRECT("tb_rec_uni[natureza]"),"pro.soluto",
INDIRECT("tb_rec_uni[empresa]"),AA$6)</f>
        <v>0</v>
      </c>
      <c r="AB75" s="124">
        <f ca="1">SUMIFS(tb_rec_uni[2027-01-01],
INDIRECT("tb_rec_uni[natureza]"),"parcela.fin.total.ik",
INDIRECT("tb_rec_uni[empresa]"),AB$6)</f>
        <v>0</v>
      </c>
      <c r="AC75" s="120">
        <f ca="1">SUMIFS(tb_rec_uni[2027-01-01],
INDIRECT("tb_rec_uni[natureza]"),"taxa.extra",
INDIRECT("tb_rec_uni[empresa]"),AC$6)</f>
        <v>0</v>
      </c>
      <c r="AD75" s="108"/>
      <c r="AE75" s="108">
        <f ca="1">SUMIFS(
  m.vb[valor],
  m.vb[nucleo],$Z$1,
  m.vb[variavel],AE$7,
  m.vb[mes],$A75
)</f>
        <v>0</v>
      </c>
      <c r="AF75" s="108">
        <f ca="1">SUMIFS(
  m.vb[valor],
  m.vb[nucleo],$Z$1,
  m.vb[variavel],AF$7,
  m.vb[mes],$A75
)</f>
        <v>0</v>
      </c>
      <c r="AG75" s="108">
        <f ca="1">SUMIFS(
  m.vb[valor],
  m.vb[nucleo],$Z$1,
  m.vb[variavel],AG$7,
  m.vb[mes],$A75
)</f>
        <v>0</v>
      </c>
      <c r="AH75" s="108">
        <f ca="1">SUMIFS(
  m.vb[valor],
  m.vb[nucleo],$Z$1,
  m.vb[variavel],AH$7,
  m.vb[mes],$A75
)</f>
        <v>0</v>
      </c>
      <c r="AI75" s="108">
        <f ca="1">SUMIFS(
  m.vb[valor],
  m.vb[nucleo],$Z$1,
  m.vb[variavel],AI$7,
  m.vb[mes],$A75
)</f>
        <v>0</v>
      </c>
      <c r="AJ75" s="119">
        <f>COUNTIFS(
    tb_estq[empresa], AJ$6,
    tb_estq[Data da venda / reserva], "&gt;=" &amp; $A75,
    tb_estq[Data da venda / reserva], "&lt;"  &amp; EOMONTH($A75,0) + 1
)</f>
        <v>0</v>
      </c>
      <c r="AK75" s="120">
        <f ca="1">SUMIFS(tb_rec_uni[2027-01-01],
INDIRECT("tb_rec_uni[natureza]"),"pro.soluto",
INDIRECT("tb_rec_uni[empresa]"),AK$6)</f>
        <v>0</v>
      </c>
      <c r="AL75" s="120">
        <f ca="1">SUMIFS(tb_rec_uni[2027-01-01],
INDIRECT("tb_rec_uni[natureza]"),"repasse.cef.obra",
INDIRECT("tb_rec_uni[empresa]"),AL$6)</f>
        <v>0</v>
      </c>
      <c r="AM75" s="123">
        <f ca="1">SUMIFS(tb_rec_uni[2027-01-01],
INDIRECT("tb_rec_uni[natureza]"),"repasse.cef.terreno",
INDIRECT("tb_rec_uni[empresa]"),AM$6)</f>
        <v>0</v>
      </c>
      <c r="AN75" s="124"/>
      <c r="AO75" s="120">
        <f ca="1">SUMIFS(tb_rec_uni[2027-01-01],
INDIRECT("tb_rec_uni[natureza]"),"taxa.extra",
INDIRECT("tb_rec_uni[empresa]"),AO$6)</f>
        <v>0</v>
      </c>
      <c r="AP75" s="108"/>
      <c r="AQ75" s="108">
        <f ca="1">SUMIFS(
  m.vb[valor],
  m.vb[nucleo],$AJ$1,
  m.vb[variavel],AQ$7,
  m.vb[mes],$A75
)</f>
        <v>0</v>
      </c>
      <c r="AR75" s="108">
        <f ca="1">SUMIFS(
  m.vb[valor],
  m.vb[nucleo],$AJ$1,
  m.vb[variavel],AR$7,
  m.vb[mes],$A75
)</f>
        <v>0</v>
      </c>
      <c r="AS75" s="108">
        <f ca="1">SUMIFS(
  m.vb[valor],
  m.vb[nucleo],$AJ$1,
  m.vb[variavel],AS$7,
  m.vb[mes],$A75
)</f>
        <v>0</v>
      </c>
      <c r="AT75" s="108">
        <f ca="1">SUMIFS(
  m.vb[valor],
  m.vb[nucleo],$AJ$1,
  m.vb[variavel],AT$7,
  m.vb[mes],$A75
)</f>
        <v>0</v>
      </c>
      <c r="AU75" s="108">
        <f ca="1">SUMIFS(
  m.vb[valor],
  m.vb[nucleo],$AJ$1,
  m.vb[variavel],AU$7,
  m.vb[mes],$A75
)</f>
        <v>0</v>
      </c>
      <c r="AV75" s="119">
        <f>COUNTIFS(
    tb_estq[empresa], AV$6,
    tb_estq[Data da venda / reserva], "&gt;=" &amp; $A75,
    tb_estq[Data da venda / reserva], "&lt;"  &amp; EOMONTH($A75,0) + 1
)</f>
        <v>0</v>
      </c>
      <c r="AW75" s="120">
        <f ca="1">SUMIFS(tb_rec_uni[2027-01-01],
INDIRECT("tb_rec_uni[natureza]"),"pro.soluto",
INDIRECT("tb_rec_uni[empresa]"),AW$6)</f>
        <v>0</v>
      </c>
      <c r="AX75" s="120">
        <f ca="1">SUMIFS(tb_rec_uni[2027-01-01],
INDIRECT("tb_rec_uni[natureza]"),"repasse.cef.obra",
INDIRECT("tb_rec_uni[empresa]"),AX$6)</f>
        <v>0</v>
      </c>
      <c r="AY75" s="123">
        <f ca="1">SUMIFS(tb_rec_uni[2027-01-01],
INDIRECT("tb_rec_uni[natureza]"),"repasse.cef.terreno",
INDIRECT("tb_rec_uni[empresa]"),AY$6)</f>
        <v>0</v>
      </c>
      <c r="AZ75" s="124"/>
      <c r="BA75" s="120">
        <f ca="1">SUMIFS(tb_rec_uni[2027-01-01],
INDIRECT("tb_rec_uni[natureza]"),"taxa.extra",
INDIRECT("tb_rec_uni[empresa]"),BA$6)</f>
        <v>0</v>
      </c>
      <c r="BB75" s="108"/>
      <c r="BC75" s="108">
        <f ca="1">SUMIFS(
  m.vb[valor],
  m.vb[nucleo],$AV$1,
  m.vb[variavel],BC$7,
  m.vb[mes],$A75
)</f>
        <v>0</v>
      </c>
      <c r="BD75" s="108">
        <f ca="1">SUMIFS(
  m.vb[valor],
  m.vb[nucleo],$AV$1,
  m.vb[variavel],BD$7,
  m.vb[mes],$A75
)</f>
        <v>0</v>
      </c>
      <c r="BE75" s="108">
        <f ca="1">SUMIFS(
  m.vb[valor],
  m.vb[nucleo],$AV$1,
  m.vb[variavel],BE$7,
  m.vb[mes],$A75
)</f>
        <v>0</v>
      </c>
      <c r="BF75" s="108">
        <f ca="1">SUMIFS(
  m.vb[valor],
  m.vb[nucleo],$AV$1,
  m.vb[variavel],BF$7,
  m.vb[mes],$A75
)</f>
        <v>0</v>
      </c>
      <c r="BG75" s="108">
        <f ca="1">SUMIFS(
  m.vb[valor],
  m.vb[nucleo],$AV$1,
  m.vb[variavel],BG$7,
  m.vb[mes],$A75
)</f>
        <v>0</v>
      </c>
      <c r="BH75" s="119">
        <f>COUNTIFS(
    tb_estq[empresa], BH$6,
    tb_estq[Data da venda / reserva], "&gt;=" &amp; $A75,
    tb_estq[Data da venda / reserva], "&lt;"  &amp; EOMONTH($A75,0) + 1
)</f>
        <v>0</v>
      </c>
      <c r="BI75" s="120">
        <f ca="1">SUMIFS(tb_rec_uni[2027-01-01],
INDIRECT("tb_rec_uni[natureza]"),"pro.soluto",
INDIRECT("tb_rec_uni[empresa]"),BI$6)</f>
        <v>0</v>
      </c>
      <c r="BJ75" s="124"/>
      <c r="BK75" s="120">
        <f ca="1">SUMIFS(tb_rec_uni[2027-01-01],
INDIRECT("tb_rec_uni[natureza]"),"taxa.extra",
INDIRECT("tb_rec_uni[empresa]"),BK$6)</f>
        <v>0</v>
      </c>
      <c r="BL75" s="108"/>
      <c r="BM75" s="108">
        <f ca="1">SUMIFS(
  m.vb[valor],
  m.vb[nucleo],$BH$1,
  m.vb[variavel],BM$7,
  m.vb[mes],$A75
)</f>
        <v>0</v>
      </c>
      <c r="BN75" s="108">
        <f ca="1">SUMIFS(
  m.vb[valor],
  m.vb[nucleo],$BH$1,
  m.vb[variavel],BN$7,
  m.vb[mes],$A75
)</f>
        <v>0</v>
      </c>
      <c r="BO75" s="108">
        <f ca="1">SUMIFS(
  m.vb[valor],
  m.vb[nucleo],$BH$1,
  m.vb[variavel],BO$7,
  m.vb[mes],$A75
)</f>
        <v>0</v>
      </c>
      <c r="BP75" s="108">
        <f ca="1">SUMIFS(
  m.vb[valor],
  m.vb[nucleo],$BH$1,
  m.vb[variavel],BP$7,
  m.vb[mes],$A75
)</f>
        <v>0</v>
      </c>
      <c r="BQ75" s="108">
        <f ca="1">SUMIFS(
  m.vb[valor],
  m.vb[nucleo],$BH$1,
  m.vb[variavel],BQ$7,
  m.vb[mes],$A75
)</f>
        <v>0</v>
      </c>
      <c r="BR75" s="119">
        <f>COUNTIFS(
    tb_estq[empresa], BR$6,
    tb_estq[Data da venda / reserva], "&gt;=" &amp; $A75,
    tb_estq[Data da venda / reserva], "&lt;"  &amp; EOMONTH($A75,0) + 1
)</f>
        <v>0</v>
      </c>
      <c r="BS75" s="120">
        <f ca="1">SUMIFS(tb_rec_uni[2027-01-01],
INDIRECT("tb_rec_uni[natureza]"),"pro.soluto",
INDIRECT("tb_rec_uni[empresa]"),BS$6)</f>
        <v>0</v>
      </c>
      <c r="BT75" s="124">
        <f ca="1">SUMIFS(tb_rec_uni[2027-01-01],
INDIRECT("tb_rec_uni[natureza]"),"parcela.fin.total.ik",
INDIRECT("tb_rec_uni[empresa]"),BT$6)</f>
        <v>0</v>
      </c>
      <c r="BU75" s="120">
        <f ca="1">SUMIFS(tb_rec_uni[2027-01-01],
INDIRECT("tb_rec_uni[natureza]"),"taxa.extra",
INDIRECT("tb_rec_uni[empresa]"),BU$6)</f>
        <v>0</v>
      </c>
      <c r="BV75" s="108"/>
      <c r="BW75" s="108">
        <f ca="1">SUMIFS(
  m.vb[valor],
  m.vb[nucleo],$BR$1,
  m.vb[variavel],BW$7,
  m.vb[mes],$A75
)</f>
        <v>0</v>
      </c>
      <c r="BX75" s="108">
        <f ca="1">SUMIFS(
  m.vb[valor],
  m.vb[nucleo],$BR$1,
  m.vb[variavel],BX$7,
  m.vb[mes],$A75
)</f>
        <v>0</v>
      </c>
      <c r="BY75" s="108">
        <f ca="1">SUMIFS(
  m.vb[valor],
  m.vb[nucleo],$BR$1,
  m.vb[variavel],BY$7,
  m.vb[mes],$A75
)</f>
        <v>0</v>
      </c>
      <c r="BZ75" s="108">
        <f ca="1">SUMIFS(
  m.vb[valor],
  m.vb[nucleo],$BR$1,
  m.vb[variavel],BZ$7,
  m.vb[mes],$A75
)</f>
        <v>0</v>
      </c>
      <c r="CA75" s="108">
        <f ca="1">SUMIFS(
  m.vb[valor],
  m.vb[nucleo],$BR$1,
  m.vb[variavel],CA$7,
  m.vb[mes],$A75
)</f>
        <v>0</v>
      </c>
      <c r="CB75" s="119">
        <f>COUNTIFS(
    tb_estq[empresa], CB$6,
    tb_estq[Data da venda / reserva], "&gt;=" &amp; $A75,
    tb_estq[Data da venda / reserva], "&lt;"  &amp; EOMONTH($A75,0) + 1
)</f>
        <v>0</v>
      </c>
      <c r="CC75" s="120">
        <f ca="1">SUMIFS(tb_rec_uni[2027-01-01],
INDIRECT("tb_rec_uni[natureza]"),"pro.soluto",
INDIRECT("tb_rec_uni[empresa]"),CC$6)</f>
        <v>0</v>
      </c>
      <c r="CD75" s="120">
        <f ca="1">SUMIFS(tb_rec_uni[2027-01-01],
INDIRECT("tb_rec_uni[natureza]"),"repasse.cef.obra",
INDIRECT("tb_rec_uni[empresa]"),CD$6)</f>
        <v>0</v>
      </c>
      <c r="CE75" s="123">
        <f ca="1">SUMIFS(tb_rec_uni[2027-01-01],
INDIRECT("tb_rec_uni[natureza]"),"repasse.cef.terreno",
INDIRECT("tb_rec_uni[empresa]"),CE$6)</f>
        <v>0</v>
      </c>
      <c r="CF75" s="124"/>
      <c r="CG75" s="120">
        <f ca="1">SUMIFS(tb_rec_uni[2027-01-01],
INDIRECT("tb_rec_uni[natureza]"),"taxa.extra",
INDIRECT("tb_rec_uni[empresa]"),CG$6)</f>
        <v>0</v>
      </c>
      <c r="CH75" s="108"/>
      <c r="CI75" s="108">
        <f ca="1">SUMIFS(
  m.vb[valor],
  m.vb[nucleo],$CB$1,
  m.vb[variavel],CI$7,
  m.vb[mes],$A75
)</f>
        <v>0</v>
      </c>
      <c r="CJ75" s="108">
        <f ca="1">SUMIFS(
  m.vb[valor],
  m.vb[nucleo],$CB$1,
  m.vb[variavel],CJ$7,
  m.vb[mes],$A75
)</f>
        <v>0</v>
      </c>
      <c r="CK75" s="108">
        <f ca="1">SUMIFS(
  m.vb[valor],
  m.vb[nucleo],$CB$1,
  m.vb[variavel],CK$7,
  m.vb[mes],$A75
)</f>
        <v>0</v>
      </c>
      <c r="CL75" s="108">
        <f ca="1">SUMIFS(
  m.vb[valor],
  m.vb[nucleo],$CB$1,
  m.vb[variavel],CL$7,
  m.vb[mes],$A75
)</f>
        <v>0</v>
      </c>
      <c r="CM75" s="108">
        <f ca="1">SUMIFS(
  m.vb[valor],
  m.vb[nucleo],$CB$1,
  m.vb[variavel],CM$7,
  m.vb[mes],$A75
)</f>
        <v>0</v>
      </c>
      <c r="CN75" s="119">
        <f>COUNTIFS(
    tb_estq[empresa], CN$6,
    tb_estq[Data da venda / reserva], "&gt;=" &amp; $A75,
    tb_estq[Data da venda / reserva], "&lt;"  &amp; EOMONTH($A75,0) + 1
)</f>
        <v>0</v>
      </c>
      <c r="CO75" s="120">
        <f ca="1">SUMIFS(tb_rec_uni[2027-01-01],
INDIRECT("tb_rec_uni[natureza]"),"pro.soluto",
INDIRECT("tb_rec_uni[empresa]"),CO$6)</f>
        <v>0</v>
      </c>
      <c r="CP75" s="120">
        <f ca="1">SUMIFS(tb_rec_uni[2027-01-01],
INDIRECT("tb_rec_uni[natureza]"),"repasse.cef.obra",
INDIRECT("tb_rec_uni[empresa]"),CP$6)</f>
        <v>0</v>
      </c>
      <c r="CQ75" s="123">
        <f ca="1">SUMIFS(tb_rec_uni[2027-01-01],
INDIRECT("tb_rec_uni[natureza]"),"repasse.cef.terreno",
INDIRECT("tb_rec_uni[empresa]"),CQ$6)</f>
        <v>0</v>
      </c>
      <c r="CR75" s="124"/>
      <c r="CS75" s="120">
        <f ca="1">SUMIFS(tb_rec_uni[2027-01-01],
INDIRECT("tb_rec_uni[natureza]"),"taxa.extra",
INDIRECT("tb_rec_uni[empresa]"),CS$6)</f>
        <v>0</v>
      </c>
      <c r="CT75" s="108"/>
      <c r="CU75" s="108">
        <f ca="1">SUMIFS(
  m.vb[valor],
  m.vb[nucleo],$CN$1,
  m.vb[variavel],CU$7,
  m.vb[mes],$A75
)</f>
        <v>0</v>
      </c>
      <c r="CV75" s="108" cm="1">
        <f t="array" ref="CV75">SUMPRODUCT(
  IFERROR(--tb_desp[valor],0)*
  (tb_desp[nucleo]="UP MOVE VILA SONIA")*
  (tb_desp[categoria]=CV$7)*
  (tb_desp[data.pagamento]&gt;=$A75)*
  (tb_desp[data.pagamento]&lt;EOMONTH($A75,0)+1)
)</f>
        <v>0</v>
      </c>
      <c r="CW75" s="108" cm="1">
        <f t="array" ref="CW75">SUMPRODUCT(
  IFERROR(--tb_desp[valor],0)*
  (tb_desp[nucleo]="UP MOVE VILA SONIA")*
  (tb_desp[categoria]=CW$7)*
  (tb_desp[data.pagamento]&gt;=$A75)*
  (tb_desp[data.pagamento]&lt;EOMONTH($A75,0)+1)
)</f>
        <v>0</v>
      </c>
      <c r="CX75" s="108" cm="1">
        <f t="array" ref="CX75">SUMPRODUCT(
  IFERROR(--tb_desp[valor],0)*
  (tb_desp[nucleo]="UP MOVE VILA SONIA")*
  (tb_desp[categoria]=CX$7)*
  (tb_desp[data.pagamento]&gt;=$A75)*
  (tb_desp[data.pagamento]&lt;EOMONTH($A75,0)+1)
)</f>
        <v>0</v>
      </c>
      <c r="CY75" s="221" cm="1">
        <f t="array" ref="CY75">SUMPRODUCT(
  IFERROR(--tb_desp[valor],0)*
  (tb_desp[nucleo]="UP MOVE VILA SONIA")*
  (tb_desp[categoria]=CY$7)*
  (tb_desp[data.pagamento]&gt;=$A75)*
  (tb_desp[data.pagamento]&lt;EOMONTH($A75,0)+1)
)</f>
        <v>0</v>
      </c>
    </row>
    <row r="76" spans="1:103" x14ac:dyDescent="0.25">
      <c r="A76" s="118">
        <v>46419</v>
      </c>
      <c r="B76" s="119">
        <f>COUNTIFS(
    tb_estq[empresa], B$6,
    tb_estq[Data da venda / reserva], "&gt;=" &amp; $A76,
    tb_estq[Data da venda / reserva], "&lt;"  &amp; EOMONTH($A76,0) + 1
)</f>
        <v>0</v>
      </c>
      <c r="C76" s="120">
        <f ca="1">SUMIFS(tb_rec_uni[2027-02-01],
INDIRECT("tb_rec_uni[natureza]"),"pro.soluto",
INDIRECT("tb_rec_uni[empresa]"),C$6)</f>
        <v>0</v>
      </c>
      <c r="D76" s="120">
        <f ca="1">SUMIFS(tb_rec_uni[2027-02-01],
INDIRECT("tb_rec_uni[natureza]"),"repasse.cef.obra",
INDIRECT("tb_rec_uni[empresa]"),D$6)</f>
        <v>0</v>
      </c>
      <c r="E76" s="120">
        <f ca="1">SUMIFS(tb_rec_uni[2027-02-01],
INDIRECT("tb_rec_uni[natureza]"),"repasse.cef.terreno",
INDIRECT("tb_rec_uni[empresa]"),E$6)</f>
        <v>0</v>
      </c>
      <c r="F76" s="124"/>
      <c r="G76" s="120">
        <f ca="1">SUMIFS(tb_rec_uni[2027-02-01],
INDIRECT("tb_rec_uni[natureza]"),"taxa.extra",
INDIRECT("tb_rec_uni[empresa]"),G$6)</f>
        <v>0</v>
      </c>
      <c r="H76" s="108"/>
      <c r="I76" s="108">
        <f ca="1">SUMIFS(
  m.vb[valor],
  m.vb[nucleo],$B$1,
  m.vb[variavel],I$7,
  m.vb[mes],$A76
)</f>
        <v>0</v>
      </c>
      <c r="J76" s="108">
        <f ca="1">SUMIFS(
  m.vb[valor],
  m.vb[nucleo],$B$1,
  m.vb[variavel],J$7,
  m.vb[mes],$A76
)</f>
        <v>0</v>
      </c>
      <c r="K76" s="108">
        <f ca="1">SUMIFS(
  m.vb[valor],
  m.vb[nucleo],$B$1,
  m.vb[variavel],K$7,
  m.vb[mes],$A76
)</f>
        <v>0</v>
      </c>
      <c r="L76" s="108">
        <f ca="1">SUMIFS(
  m.vb[valor],
  m.vb[nucleo],$B$1,
  m.vb[variavel],L$7,
  m.vb[mes],$A76
)</f>
        <v>0</v>
      </c>
      <c r="M76" s="108">
        <f ca="1">SUMIFS(
  m.vb[valor],
  m.vb[nucleo],$B$1,
  m.vb[variavel],M$7,
  m.vb[mes],$A76
)</f>
        <v>0</v>
      </c>
      <c r="N76" s="119">
        <f>COUNTIFS(
    tb_estq[empresa], N$6,
    tb_estq[Data da venda / reserva], "&gt;=" &amp; $A76,
    tb_estq[Data da venda / reserva], "&lt;"  &amp; EOMONTH($A76,0) + 1
)</f>
        <v>0</v>
      </c>
      <c r="O76" s="120">
        <f ca="1">SUMIFS(tb_rec_uni[2027-02-01],
INDIRECT("tb_rec_uni[natureza]"),"pro.soluto",
INDIRECT("tb_rec_uni[empresa]"),O$6)</f>
        <v>0</v>
      </c>
      <c r="P76" s="120">
        <f ca="1">SUMIFS(tb_rec_uni[2027-02-01],
INDIRECT("tb_rec_uni[natureza]"),"repasse.cef.obra",
INDIRECT("tb_rec_uni[empresa]"),P$6)</f>
        <v>0</v>
      </c>
      <c r="Q76" s="120">
        <f ca="1">SUMIFS(tb_rec_uni[2027-02-01],
INDIRECT("tb_rec_uni[natureza]"),"repasse.cef.terreno",
INDIRECT("tb_rec_uni[empresa]"),Q$6)</f>
        <v>0</v>
      </c>
      <c r="R76" s="124"/>
      <c r="S76" s="120">
        <f ca="1">SUMIFS(tb_rec_uni[2027-02-01],
INDIRECT("tb_rec_uni[natureza]"),"taxa.extra",
INDIRECT("tb_rec_uni[empresa]"),S$6)</f>
        <v>0</v>
      </c>
      <c r="T76" s="108"/>
      <c r="U76" s="108">
        <f ca="1">SUMIFS(
  m.vb[valor],
  m.vb[nucleo],$N$1,
  m.vb[variavel],U$7,
  m.vb[mes],$A76
)</f>
        <v>0</v>
      </c>
      <c r="V76" s="108">
        <f ca="1">SUMIFS(
  m.vb[valor],
  m.vb[nucleo],$N$1,
  m.vb[variavel],V$7,
  m.vb[mes],$A76
)</f>
        <v>0</v>
      </c>
      <c r="W76" s="108">
        <f ca="1">SUMIFS(
  m.vb[valor],
  m.vb[nucleo],$N$1,
  m.vb[variavel],W$7,
  m.vb[mes],$A76
)</f>
        <v>0</v>
      </c>
      <c r="X76" s="108">
        <f ca="1">SUMIFS(
  m.vb[valor],
  m.vb[nucleo],$N$1,
  m.vb[variavel],X$7,
  m.vb[mes],$A76
)</f>
        <v>0</v>
      </c>
      <c r="Y76" s="108">
        <f ca="1">SUMIFS(
  m.vb[valor],
  m.vb[nucleo],$N$1,
  m.vb[variavel],Y$7,
  m.vb[mes],$A76
)</f>
        <v>0</v>
      </c>
      <c r="Z76" s="119">
        <f>COUNTIFS(
    tb_estq[empresa], Z$6,
    tb_estq[Data da venda / reserva], "&gt;=" &amp; $A76,
    tb_estq[Data da venda / reserva], "&lt;"  &amp; EOMONTH($A76,0) + 1
)</f>
        <v>0</v>
      </c>
      <c r="AA76" s="120">
        <f ca="1">SUMIFS(tb_rec_uni[2027-02-01],
INDIRECT("tb_rec_uni[natureza]"),"pro.soluto",
INDIRECT("tb_rec_uni[empresa]"),AA$6)</f>
        <v>0</v>
      </c>
      <c r="AB76" s="124">
        <f ca="1">SUMIFS(tb_rec_uni[2027-02-01],
INDIRECT("tb_rec_uni[natureza]"),"parcela.fin.total.ik",
INDIRECT("tb_rec_uni[empresa]"),AB$6)</f>
        <v>0</v>
      </c>
      <c r="AC76" s="120">
        <f ca="1">SUMIFS(tb_rec_uni[2027-02-01],
INDIRECT("tb_rec_uni[natureza]"),"taxa.extra",
INDIRECT("tb_rec_uni[empresa]"),AC$6)</f>
        <v>0</v>
      </c>
      <c r="AD76" s="108"/>
      <c r="AE76" s="108">
        <f ca="1">SUMIFS(
  m.vb[valor],
  m.vb[nucleo],$Z$1,
  m.vb[variavel],AE$7,
  m.vb[mes],$A76
)</f>
        <v>0</v>
      </c>
      <c r="AF76" s="108">
        <f ca="1">SUMIFS(
  m.vb[valor],
  m.vb[nucleo],$Z$1,
  m.vb[variavel],AF$7,
  m.vb[mes],$A76
)</f>
        <v>0</v>
      </c>
      <c r="AG76" s="108">
        <f ca="1">SUMIFS(
  m.vb[valor],
  m.vb[nucleo],$Z$1,
  m.vb[variavel],AG$7,
  m.vb[mes],$A76
)</f>
        <v>0</v>
      </c>
      <c r="AH76" s="108">
        <f ca="1">SUMIFS(
  m.vb[valor],
  m.vb[nucleo],$Z$1,
  m.vb[variavel],AH$7,
  m.vb[mes],$A76
)</f>
        <v>0</v>
      </c>
      <c r="AI76" s="108">
        <f ca="1">SUMIFS(
  m.vb[valor],
  m.vb[nucleo],$Z$1,
  m.vb[variavel],AI$7,
  m.vb[mes],$A76
)</f>
        <v>0</v>
      </c>
      <c r="AJ76" s="119">
        <f>COUNTIFS(
    tb_estq[empresa], AJ$6,
    tb_estq[Data da venda / reserva], "&gt;=" &amp; $A76,
    tb_estq[Data da venda / reserva], "&lt;"  &amp; EOMONTH($A76,0) + 1
)</f>
        <v>0</v>
      </c>
      <c r="AK76" s="120">
        <f ca="1">SUMIFS(tb_rec_uni[2027-02-01],
INDIRECT("tb_rec_uni[natureza]"),"pro.soluto",
INDIRECT("tb_rec_uni[empresa]"),AK$6)</f>
        <v>0</v>
      </c>
      <c r="AL76" s="120">
        <f ca="1">SUMIFS(tb_rec_uni[2027-02-01],
INDIRECT("tb_rec_uni[natureza]"),"repasse.cef.obra",
INDIRECT("tb_rec_uni[empresa]"),AL$6)</f>
        <v>0</v>
      </c>
      <c r="AM76" s="123">
        <f ca="1">SUMIFS(tb_rec_uni[2027-02-01],
INDIRECT("tb_rec_uni[natureza]"),"repasse.cef.terreno",
INDIRECT("tb_rec_uni[empresa]"),AM$6)</f>
        <v>0</v>
      </c>
      <c r="AN76" s="124"/>
      <c r="AO76" s="120">
        <f ca="1">SUMIFS(tb_rec_uni[2027-02-01],
INDIRECT("tb_rec_uni[natureza]"),"taxa.extra",
INDIRECT("tb_rec_uni[empresa]"),AO$6)</f>
        <v>0</v>
      </c>
      <c r="AP76" s="108"/>
      <c r="AQ76" s="108">
        <f ca="1">SUMIFS(
  m.vb[valor],
  m.vb[nucleo],$AJ$1,
  m.vb[variavel],AQ$7,
  m.vb[mes],$A76
)</f>
        <v>0</v>
      </c>
      <c r="AR76" s="108">
        <f ca="1">SUMIFS(
  m.vb[valor],
  m.vb[nucleo],$AJ$1,
  m.vb[variavel],AR$7,
  m.vb[mes],$A76
)</f>
        <v>0</v>
      </c>
      <c r="AS76" s="108">
        <f ca="1">SUMIFS(
  m.vb[valor],
  m.vb[nucleo],$AJ$1,
  m.vb[variavel],AS$7,
  m.vb[mes],$A76
)</f>
        <v>0</v>
      </c>
      <c r="AT76" s="108">
        <f ca="1">SUMIFS(
  m.vb[valor],
  m.vb[nucleo],$AJ$1,
  m.vb[variavel],AT$7,
  m.vb[mes],$A76
)</f>
        <v>0</v>
      </c>
      <c r="AU76" s="108">
        <f ca="1">SUMIFS(
  m.vb[valor],
  m.vb[nucleo],$AJ$1,
  m.vb[variavel],AU$7,
  m.vb[mes],$A76
)</f>
        <v>0</v>
      </c>
      <c r="AV76" s="119">
        <f>COUNTIFS(
    tb_estq[empresa], AV$6,
    tb_estq[Data da venda / reserva], "&gt;=" &amp; $A76,
    tb_estq[Data da venda / reserva], "&lt;"  &amp; EOMONTH($A76,0) + 1
)</f>
        <v>0</v>
      </c>
      <c r="AW76" s="120">
        <f ca="1">SUMIFS(tb_rec_uni[2027-02-01],
INDIRECT("tb_rec_uni[natureza]"),"pro.soluto",
INDIRECT("tb_rec_uni[empresa]"),AW$6)</f>
        <v>0</v>
      </c>
      <c r="AX76" s="120">
        <f ca="1">SUMIFS(tb_rec_uni[2027-02-01],
INDIRECT("tb_rec_uni[natureza]"),"repasse.cef.obra",
INDIRECT("tb_rec_uni[empresa]"),AX$6)</f>
        <v>0</v>
      </c>
      <c r="AY76" s="123">
        <f ca="1">SUMIFS(tb_rec_uni[2027-02-01],
INDIRECT("tb_rec_uni[natureza]"),"repasse.cef.terreno",
INDIRECT("tb_rec_uni[empresa]"),AY$6)</f>
        <v>0</v>
      </c>
      <c r="AZ76" s="124"/>
      <c r="BA76" s="120">
        <f ca="1">SUMIFS(tb_rec_uni[2027-02-01],
INDIRECT("tb_rec_uni[natureza]"),"taxa.extra",
INDIRECT("tb_rec_uni[empresa]"),BA$6)</f>
        <v>0</v>
      </c>
      <c r="BB76" s="108"/>
      <c r="BC76" s="108">
        <f ca="1">SUMIFS(
  m.vb[valor],
  m.vb[nucleo],$AV$1,
  m.vb[variavel],BC$7,
  m.vb[mes],$A76
)</f>
        <v>0</v>
      </c>
      <c r="BD76" s="108">
        <f ca="1">SUMIFS(
  m.vb[valor],
  m.vb[nucleo],$AV$1,
  m.vb[variavel],BD$7,
  m.vb[mes],$A76
)</f>
        <v>0</v>
      </c>
      <c r="BE76" s="108">
        <f ca="1">SUMIFS(
  m.vb[valor],
  m.vb[nucleo],$AV$1,
  m.vb[variavel],BE$7,
  m.vb[mes],$A76
)</f>
        <v>0</v>
      </c>
      <c r="BF76" s="108">
        <f ca="1">SUMIFS(
  m.vb[valor],
  m.vb[nucleo],$AV$1,
  m.vb[variavel],BF$7,
  m.vb[mes],$A76
)</f>
        <v>0</v>
      </c>
      <c r="BG76" s="108">
        <f ca="1">SUMIFS(
  m.vb[valor],
  m.vb[nucleo],$AV$1,
  m.vb[variavel],BG$7,
  m.vb[mes],$A76
)</f>
        <v>0</v>
      </c>
      <c r="BH76" s="119">
        <f>COUNTIFS(
    tb_estq[empresa], BH$6,
    tb_estq[Data da venda / reserva], "&gt;=" &amp; $A76,
    tb_estq[Data da venda / reserva], "&lt;"  &amp; EOMONTH($A76,0) + 1
)</f>
        <v>0</v>
      </c>
      <c r="BI76" s="120">
        <f ca="1">SUMIFS(tb_rec_uni[2027-02-01],
INDIRECT("tb_rec_uni[natureza]"),"pro.soluto",
INDIRECT("tb_rec_uni[empresa]"),BI$6)</f>
        <v>0</v>
      </c>
      <c r="BJ76" s="124"/>
      <c r="BK76" s="120">
        <f ca="1">SUMIFS(tb_rec_uni[2027-02-01],
INDIRECT("tb_rec_uni[natureza]"),"taxa.extra",
INDIRECT("tb_rec_uni[empresa]"),BK$6)</f>
        <v>0</v>
      </c>
      <c r="BL76" s="108"/>
      <c r="BM76" s="108">
        <f ca="1">SUMIFS(
  m.vb[valor],
  m.vb[nucleo],$BH$1,
  m.vb[variavel],BM$7,
  m.vb[mes],$A76
)</f>
        <v>0</v>
      </c>
      <c r="BN76" s="108">
        <f ca="1">SUMIFS(
  m.vb[valor],
  m.vb[nucleo],$BH$1,
  m.vb[variavel],BN$7,
  m.vb[mes],$A76
)</f>
        <v>0</v>
      </c>
      <c r="BO76" s="108">
        <f ca="1">SUMIFS(
  m.vb[valor],
  m.vb[nucleo],$BH$1,
  m.vb[variavel],BO$7,
  m.vb[mes],$A76
)</f>
        <v>0</v>
      </c>
      <c r="BP76" s="108">
        <f ca="1">SUMIFS(
  m.vb[valor],
  m.vb[nucleo],$BH$1,
  m.vb[variavel],BP$7,
  m.vb[mes],$A76
)</f>
        <v>0</v>
      </c>
      <c r="BQ76" s="108">
        <f ca="1">SUMIFS(
  m.vb[valor],
  m.vb[nucleo],$BH$1,
  m.vb[variavel],BQ$7,
  m.vb[mes],$A76
)</f>
        <v>0</v>
      </c>
      <c r="BR76" s="119">
        <f>COUNTIFS(
    tb_estq[empresa], BR$6,
    tb_estq[Data da venda / reserva], "&gt;=" &amp; $A76,
    tb_estq[Data da venda / reserva], "&lt;"  &amp; EOMONTH($A76,0) + 1
)</f>
        <v>0</v>
      </c>
      <c r="BS76" s="120">
        <f ca="1">SUMIFS(tb_rec_uni[2027-02-01],
INDIRECT("tb_rec_uni[natureza]"),"pro.soluto",
INDIRECT("tb_rec_uni[empresa]"),BS$6)</f>
        <v>0</v>
      </c>
      <c r="BT76" s="124">
        <f ca="1">SUMIFS(tb_rec_uni[2027-02-01],
INDIRECT("tb_rec_uni[natureza]"),"parcela.fin.total.ik",
INDIRECT("tb_rec_uni[empresa]"),BT$6)</f>
        <v>0</v>
      </c>
      <c r="BU76" s="120">
        <f ca="1">SUMIFS(tb_rec_uni[2027-02-01],
INDIRECT("tb_rec_uni[natureza]"),"taxa.extra",
INDIRECT("tb_rec_uni[empresa]"),BU$6)</f>
        <v>0</v>
      </c>
      <c r="BV76" s="108"/>
      <c r="BW76" s="108">
        <f ca="1">SUMIFS(
  m.vb[valor],
  m.vb[nucleo],$BR$1,
  m.vb[variavel],BW$7,
  m.vb[mes],$A76
)</f>
        <v>0</v>
      </c>
      <c r="BX76" s="108">
        <f ca="1">SUMIFS(
  m.vb[valor],
  m.vb[nucleo],$BR$1,
  m.vb[variavel],BX$7,
  m.vb[mes],$A76
)</f>
        <v>0</v>
      </c>
      <c r="BY76" s="108">
        <f ca="1">SUMIFS(
  m.vb[valor],
  m.vb[nucleo],$BR$1,
  m.vb[variavel],BY$7,
  m.vb[mes],$A76
)</f>
        <v>0</v>
      </c>
      <c r="BZ76" s="108">
        <f ca="1">SUMIFS(
  m.vb[valor],
  m.vb[nucleo],$BR$1,
  m.vb[variavel],BZ$7,
  m.vb[mes],$A76
)</f>
        <v>0</v>
      </c>
      <c r="CA76" s="108">
        <f ca="1">SUMIFS(
  m.vb[valor],
  m.vb[nucleo],$BR$1,
  m.vb[variavel],CA$7,
  m.vb[mes],$A76
)</f>
        <v>0</v>
      </c>
      <c r="CB76" s="119">
        <f>COUNTIFS(
    tb_estq[empresa], CB$6,
    tb_estq[Data da venda / reserva], "&gt;=" &amp; $A76,
    tb_estq[Data da venda / reserva], "&lt;"  &amp; EOMONTH($A76,0) + 1
)</f>
        <v>0</v>
      </c>
      <c r="CC76" s="120">
        <f ca="1">SUMIFS(tb_rec_uni[2027-02-01],
INDIRECT("tb_rec_uni[natureza]"),"pro.soluto",
INDIRECT("tb_rec_uni[empresa]"),CC$6)</f>
        <v>0</v>
      </c>
      <c r="CD76" s="120">
        <f ca="1">SUMIFS(tb_rec_uni[2027-02-01],
INDIRECT("tb_rec_uni[natureza]"),"repasse.cef.obra",
INDIRECT("tb_rec_uni[empresa]"),CD$6)</f>
        <v>0</v>
      </c>
      <c r="CE76" s="123">
        <f ca="1">SUMIFS(tb_rec_uni[2027-02-01],
INDIRECT("tb_rec_uni[natureza]"),"repasse.cef.terreno",
INDIRECT("tb_rec_uni[empresa]"),CE$6)</f>
        <v>0</v>
      </c>
      <c r="CF76" s="124"/>
      <c r="CG76" s="120">
        <f ca="1">SUMIFS(tb_rec_uni[2027-02-01],
INDIRECT("tb_rec_uni[natureza]"),"taxa.extra",
INDIRECT("tb_rec_uni[empresa]"),CG$6)</f>
        <v>0</v>
      </c>
      <c r="CH76" s="108"/>
      <c r="CI76" s="108">
        <f ca="1">SUMIFS(
  m.vb[valor],
  m.vb[nucleo],$CB$1,
  m.vb[variavel],CI$7,
  m.vb[mes],$A76
)</f>
        <v>0</v>
      </c>
      <c r="CJ76" s="108">
        <f ca="1">SUMIFS(
  m.vb[valor],
  m.vb[nucleo],$CB$1,
  m.vb[variavel],CJ$7,
  m.vb[mes],$A76
)</f>
        <v>0</v>
      </c>
      <c r="CK76" s="108">
        <f ca="1">SUMIFS(
  m.vb[valor],
  m.vb[nucleo],$CB$1,
  m.vb[variavel],CK$7,
  m.vb[mes],$A76
)</f>
        <v>0</v>
      </c>
      <c r="CL76" s="108">
        <f ca="1">SUMIFS(
  m.vb[valor],
  m.vb[nucleo],$CB$1,
  m.vb[variavel],CL$7,
  m.vb[mes],$A76
)</f>
        <v>0</v>
      </c>
      <c r="CM76" s="108">
        <f ca="1">SUMIFS(
  m.vb[valor],
  m.vb[nucleo],$CB$1,
  m.vb[variavel],CM$7,
  m.vb[mes],$A76
)</f>
        <v>0</v>
      </c>
      <c r="CN76" s="119">
        <f>COUNTIFS(
    tb_estq[empresa], CN$6,
    tb_estq[Data da venda / reserva], "&gt;=" &amp; $A76,
    tb_estq[Data da venda / reserva], "&lt;"  &amp; EOMONTH($A76,0) + 1
)</f>
        <v>0</v>
      </c>
      <c r="CO76" s="120">
        <f ca="1">SUMIFS(tb_rec_uni[2027-02-01],
INDIRECT("tb_rec_uni[natureza]"),"pro.soluto",
INDIRECT("tb_rec_uni[empresa]"),CO$6)</f>
        <v>0</v>
      </c>
      <c r="CP76" s="120">
        <f ca="1">SUMIFS(tb_rec_uni[2027-02-01],
INDIRECT("tb_rec_uni[natureza]"),"repasse.cef.obra",
INDIRECT("tb_rec_uni[empresa]"),CP$6)</f>
        <v>0</v>
      </c>
      <c r="CQ76" s="123">
        <f ca="1">SUMIFS(tb_rec_uni[2027-02-01],
INDIRECT("tb_rec_uni[natureza]"),"repasse.cef.terreno",
INDIRECT("tb_rec_uni[empresa]"),CQ$6)</f>
        <v>0</v>
      </c>
      <c r="CR76" s="124"/>
      <c r="CS76" s="120">
        <f ca="1">SUMIFS(tb_rec_uni[2027-02-01],
INDIRECT("tb_rec_uni[natureza]"),"taxa.extra",
INDIRECT("tb_rec_uni[empresa]"),CS$6)</f>
        <v>0</v>
      </c>
      <c r="CT76" s="108"/>
      <c r="CU76" s="108">
        <f ca="1">SUMIFS(
  m.vb[valor],
  m.vb[nucleo],$CN$1,
  m.vb[variavel],CU$7,
  m.vb[mes],$A76
)</f>
        <v>0</v>
      </c>
      <c r="CV76" s="108" cm="1">
        <f t="array" ref="CV76">SUMPRODUCT(
  IFERROR(--tb_desp[valor],0)*
  (tb_desp[nucleo]="UP MOVE VILA SONIA")*
  (tb_desp[categoria]=CV$7)*
  (tb_desp[data.pagamento]&gt;=$A76)*
  (tb_desp[data.pagamento]&lt;EOMONTH($A76,0)+1)
)</f>
        <v>0</v>
      </c>
      <c r="CW76" s="108" cm="1">
        <f t="array" ref="CW76">SUMPRODUCT(
  IFERROR(--tb_desp[valor],0)*
  (tb_desp[nucleo]="UP MOVE VILA SONIA")*
  (tb_desp[categoria]=CW$7)*
  (tb_desp[data.pagamento]&gt;=$A76)*
  (tb_desp[data.pagamento]&lt;EOMONTH($A76,0)+1)
)</f>
        <v>0</v>
      </c>
      <c r="CX76" s="108" cm="1">
        <f t="array" ref="CX76">SUMPRODUCT(
  IFERROR(--tb_desp[valor],0)*
  (tb_desp[nucleo]="UP MOVE VILA SONIA")*
  (tb_desp[categoria]=CX$7)*
  (tb_desp[data.pagamento]&gt;=$A76)*
  (tb_desp[data.pagamento]&lt;EOMONTH($A76,0)+1)
)</f>
        <v>0</v>
      </c>
      <c r="CY76" s="221" cm="1">
        <f t="array" ref="CY76">SUMPRODUCT(
  IFERROR(--tb_desp[valor],0)*
  (tb_desp[nucleo]="UP MOVE VILA SONIA")*
  (tb_desp[categoria]=CY$7)*
  (tb_desp[data.pagamento]&gt;=$A76)*
  (tb_desp[data.pagamento]&lt;EOMONTH($A76,0)+1)
)</f>
        <v>0</v>
      </c>
    </row>
    <row r="77" spans="1:103" x14ac:dyDescent="0.25">
      <c r="A77" s="118">
        <v>46447</v>
      </c>
      <c r="B77" s="119">
        <f>COUNTIFS(
    tb_estq[empresa], B$6,
    tb_estq[Data da venda / reserva], "&gt;=" &amp; $A77,
    tb_estq[Data da venda / reserva], "&lt;"  &amp; EOMONTH($A77,0) + 1
)</f>
        <v>0</v>
      </c>
      <c r="C77" s="120">
        <f ca="1">SUMIFS(tb_rec_uni[2027-03-01],
INDIRECT("tb_rec_uni[natureza]"),"pro.soluto",
INDIRECT("tb_rec_uni[empresa]"),C$6)</f>
        <v>0</v>
      </c>
      <c r="D77" s="120">
        <f ca="1">SUMIFS(tb_rec_uni[2027-03-01],
INDIRECT("tb_rec_uni[natureza]"),"repasse.cef.obra",
INDIRECT("tb_rec_uni[empresa]"),D$6)</f>
        <v>0</v>
      </c>
      <c r="E77" s="120">
        <f ca="1">SUMIFS(tb_rec_uni[2027-03-01],
INDIRECT("tb_rec_uni[natureza]"),"repasse.cef.terreno",
INDIRECT("tb_rec_uni[empresa]"),E$6)</f>
        <v>0</v>
      </c>
      <c r="F77" s="124"/>
      <c r="G77" s="120">
        <f ca="1">SUMIFS(tb_rec_uni[2027-03-01],
INDIRECT("tb_rec_uni[natureza]"),"taxa.extra",
INDIRECT("tb_rec_uni[empresa]"),G$6)</f>
        <v>0</v>
      </c>
      <c r="H77" s="108"/>
      <c r="I77" s="108">
        <f ca="1">SUMIFS(
  m.vb[valor],
  m.vb[nucleo],$B$1,
  m.vb[variavel],I$7,
  m.vb[mes],$A77
)</f>
        <v>0</v>
      </c>
      <c r="J77" s="108">
        <f ca="1">SUMIFS(
  m.vb[valor],
  m.vb[nucleo],$B$1,
  m.vb[variavel],J$7,
  m.vb[mes],$A77
)</f>
        <v>0</v>
      </c>
      <c r="K77" s="108">
        <f ca="1">SUMIFS(
  m.vb[valor],
  m.vb[nucleo],$B$1,
  m.vb[variavel],K$7,
  m.vb[mes],$A77
)</f>
        <v>0</v>
      </c>
      <c r="L77" s="108">
        <f ca="1">SUMIFS(
  m.vb[valor],
  m.vb[nucleo],$B$1,
  m.vb[variavel],L$7,
  m.vb[mes],$A77
)</f>
        <v>0</v>
      </c>
      <c r="M77" s="108">
        <f ca="1">SUMIFS(
  m.vb[valor],
  m.vb[nucleo],$B$1,
  m.vb[variavel],M$7,
  m.vb[mes],$A77
)</f>
        <v>0</v>
      </c>
      <c r="N77" s="119">
        <f>COUNTIFS(
    tb_estq[empresa], N$6,
    tb_estq[Data da venda / reserva], "&gt;=" &amp; $A77,
    tb_estq[Data da venda / reserva], "&lt;"  &amp; EOMONTH($A77,0) + 1
)</f>
        <v>0</v>
      </c>
      <c r="O77" s="120">
        <f ca="1">SUMIFS(tb_rec_uni[2027-03-01],
INDIRECT("tb_rec_uni[natureza]"),"pro.soluto",
INDIRECT("tb_rec_uni[empresa]"),O$6)</f>
        <v>0</v>
      </c>
      <c r="P77" s="120">
        <f ca="1">SUMIFS(tb_rec_uni[2027-03-01],
INDIRECT("tb_rec_uni[natureza]"),"repasse.cef.obra",
INDIRECT("tb_rec_uni[empresa]"),P$6)</f>
        <v>0</v>
      </c>
      <c r="Q77" s="120">
        <f ca="1">SUMIFS(tb_rec_uni[2027-03-01],
INDIRECT("tb_rec_uni[natureza]"),"repasse.cef.terreno",
INDIRECT("tb_rec_uni[empresa]"),Q$6)</f>
        <v>0</v>
      </c>
      <c r="R77" s="124"/>
      <c r="S77" s="120">
        <f ca="1">SUMIFS(tb_rec_uni[2027-03-01],
INDIRECT("tb_rec_uni[natureza]"),"taxa.extra",
INDIRECT("tb_rec_uni[empresa]"),S$6)</f>
        <v>0</v>
      </c>
      <c r="T77" s="108"/>
      <c r="U77" s="108">
        <f ca="1">SUMIFS(
  m.vb[valor],
  m.vb[nucleo],$N$1,
  m.vb[variavel],U$7,
  m.vb[mes],$A77
)</f>
        <v>0</v>
      </c>
      <c r="V77" s="108">
        <f ca="1">SUMIFS(
  m.vb[valor],
  m.vb[nucleo],$N$1,
  m.vb[variavel],V$7,
  m.vb[mes],$A77
)</f>
        <v>0</v>
      </c>
      <c r="W77" s="108">
        <f ca="1">SUMIFS(
  m.vb[valor],
  m.vb[nucleo],$N$1,
  m.vb[variavel],W$7,
  m.vb[mes],$A77
)</f>
        <v>0</v>
      </c>
      <c r="X77" s="108">
        <f ca="1">SUMIFS(
  m.vb[valor],
  m.vb[nucleo],$N$1,
  m.vb[variavel],X$7,
  m.vb[mes],$A77
)</f>
        <v>0</v>
      </c>
      <c r="Y77" s="108">
        <f ca="1">SUMIFS(
  m.vb[valor],
  m.vb[nucleo],$N$1,
  m.vb[variavel],Y$7,
  m.vb[mes],$A77
)</f>
        <v>0</v>
      </c>
      <c r="Z77" s="119">
        <f>COUNTIFS(
    tb_estq[empresa], Z$6,
    tb_estq[Data da venda / reserva], "&gt;=" &amp; $A77,
    tb_estq[Data da venda / reserva], "&lt;"  &amp; EOMONTH($A77,0) + 1
)</f>
        <v>0</v>
      </c>
      <c r="AA77" s="120">
        <f ca="1">SUMIFS(tb_rec_uni[2027-03-01],
INDIRECT("tb_rec_uni[natureza]"),"pro.soluto",
INDIRECT("tb_rec_uni[empresa]"),AA$6)</f>
        <v>0</v>
      </c>
      <c r="AB77" s="124">
        <f ca="1">SUMIFS(tb_rec_uni[2027-03-01],
INDIRECT("tb_rec_uni[natureza]"),"parcela.fin.total.ik",
INDIRECT("tb_rec_uni[empresa]"),AB$6)</f>
        <v>0</v>
      </c>
      <c r="AC77" s="120">
        <f ca="1">SUMIFS(tb_rec_uni[2027-03-01],
INDIRECT("tb_rec_uni[natureza]"),"taxa.extra",
INDIRECT("tb_rec_uni[empresa]"),AC$6)</f>
        <v>0</v>
      </c>
      <c r="AD77" s="108"/>
      <c r="AE77" s="108">
        <f ca="1">SUMIFS(
  m.vb[valor],
  m.vb[nucleo],$Z$1,
  m.vb[variavel],AE$7,
  m.vb[mes],$A77
)</f>
        <v>0</v>
      </c>
      <c r="AF77" s="108">
        <f ca="1">SUMIFS(
  m.vb[valor],
  m.vb[nucleo],$Z$1,
  m.vb[variavel],AF$7,
  m.vb[mes],$A77
)</f>
        <v>0</v>
      </c>
      <c r="AG77" s="108">
        <f ca="1">SUMIFS(
  m.vb[valor],
  m.vb[nucleo],$Z$1,
  m.vb[variavel],AG$7,
  m.vb[mes],$A77
)</f>
        <v>0</v>
      </c>
      <c r="AH77" s="108">
        <f ca="1">SUMIFS(
  m.vb[valor],
  m.vb[nucleo],$Z$1,
  m.vb[variavel],AH$7,
  m.vb[mes],$A77
)</f>
        <v>0</v>
      </c>
      <c r="AI77" s="108">
        <f ca="1">SUMIFS(
  m.vb[valor],
  m.vb[nucleo],$Z$1,
  m.vb[variavel],AI$7,
  m.vb[mes],$A77
)</f>
        <v>0</v>
      </c>
      <c r="AJ77" s="119">
        <f>COUNTIFS(
    tb_estq[empresa], AJ$6,
    tb_estq[Data da venda / reserva], "&gt;=" &amp; $A77,
    tb_estq[Data da venda / reserva], "&lt;"  &amp; EOMONTH($A77,0) + 1
)</f>
        <v>0</v>
      </c>
      <c r="AK77" s="120">
        <f ca="1">SUMIFS(tb_rec_uni[2027-03-01],
INDIRECT("tb_rec_uni[natureza]"),"pro.soluto",
INDIRECT("tb_rec_uni[empresa]"),AK$6)</f>
        <v>0</v>
      </c>
      <c r="AL77" s="120">
        <f ca="1">SUMIFS(tb_rec_uni[2027-03-01],
INDIRECT("tb_rec_uni[natureza]"),"repasse.cef.obra",
INDIRECT("tb_rec_uni[empresa]"),AL$6)</f>
        <v>0</v>
      </c>
      <c r="AM77" s="123">
        <f ca="1">SUMIFS(tb_rec_uni[2027-03-01],
INDIRECT("tb_rec_uni[natureza]"),"repasse.cef.terreno",
INDIRECT("tb_rec_uni[empresa]"),AM$6)</f>
        <v>0</v>
      </c>
      <c r="AN77" s="124"/>
      <c r="AO77" s="120">
        <f ca="1">SUMIFS(tb_rec_uni[2027-03-01],
INDIRECT("tb_rec_uni[natureza]"),"taxa.extra",
INDIRECT("tb_rec_uni[empresa]"),AO$6)</f>
        <v>0</v>
      </c>
      <c r="AP77" s="108"/>
      <c r="AQ77" s="108">
        <f ca="1">SUMIFS(
  m.vb[valor],
  m.vb[nucleo],$AJ$1,
  m.vb[variavel],AQ$7,
  m.vb[mes],$A77
)</f>
        <v>0</v>
      </c>
      <c r="AR77" s="108">
        <f ca="1">SUMIFS(
  m.vb[valor],
  m.vb[nucleo],$AJ$1,
  m.vb[variavel],AR$7,
  m.vb[mes],$A77
)</f>
        <v>0</v>
      </c>
      <c r="AS77" s="108">
        <f ca="1">SUMIFS(
  m.vb[valor],
  m.vb[nucleo],$AJ$1,
  m.vb[variavel],AS$7,
  m.vb[mes],$A77
)</f>
        <v>0</v>
      </c>
      <c r="AT77" s="108">
        <f ca="1">SUMIFS(
  m.vb[valor],
  m.vb[nucleo],$AJ$1,
  m.vb[variavel],AT$7,
  m.vb[mes],$A77
)</f>
        <v>0</v>
      </c>
      <c r="AU77" s="108">
        <f ca="1">SUMIFS(
  m.vb[valor],
  m.vb[nucleo],$AJ$1,
  m.vb[variavel],AU$7,
  m.vb[mes],$A77
)</f>
        <v>0</v>
      </c>
      <c r="AV77" s="119">
        <f>COUNTIFS(
    tb_estq[empresa], AV$6,
    tb_estq[Data da venda / reserva], "&gt;=" &amp; $A77,
    tb_estq[Data da venda / reserva], "&lt;"  &amp; EOMONTH($A77,0) + 1
)</f>
        <v>0</v>
      </c>
      <c r="AW77" s="120">
        <f ca="1">SUMIFS(tb_rec_uni[2027-03-01],
INDIRECT("tb_rec_uni[natureza]"),"pro.soluto",
INDIRECT("tb_rec_uni[empresa]"),AW$6)</f>
        <v>0</v>
      </c>
      <c r="AX77" s="120">
        <f ca="1">SUMIFS(tb_rec_uni[2027-03-01],
INDIRECT("tb_rec_uni[natureza]"),"repasse.cef.obra",
INDIRECT("tb_rec_uni[empresa]"),AX$6)</f>
        <v>0</v>
      </c>
      <c r="AY77" s="123">
        <f ca="1">SUMIFS(tb_rec_uni[2027-03-01],
INDIRECT("tb_rec_uni[natureza]"),"repasse.cef.terreno",
INDIRECT("tb_rec_uni[empresa]"),AY$6)</f>
        <v>0</v>
      </c>
      <c r="AZ77" s="124"/>
      <c r="BA77" s="120">
        <f ca="1">SUMIFS(tb_rec_uni[2027-03-01],
INDIRECT("tb_rec_uni[natureza]"),"taxa.extra",
INDIRECT("tb_rec_uni[empresa]"),BA$6)</f>
        <v>0</v>
      </c>
      <c r="BB77" s="108"/>
      <c r="BC77" s="108">
        <f ca="1">SUMIFS(
  m.vb[valor],
  m.vb[nucleo],$AV$1,
  m.vb[variavel],BC$7,
  m.vb[mes],$A77
)</f>
        <v>0</v>
      </c>
      <c r="BD77" s="108">
        <f ca="1">SUMIFS(
  m.vb[valor],
  m.vb[nucleo],$AV$1,
  m.vb[variavel],BD$7,
  m.vb[mes],$A77
)</f>
        <v>0</v>
      </c>
      <c r="BE77" s="108">
        <f ca="1">SUMIFS(
  m.vb[valor],
  m.vb[nucleo],$AV$1,
  m.vb[variavel],BE$7,
  m.vb[mes],$A77
)</f>
        <v>0</v>
      </c>
      <c r="BF77" s="108">
        <f ca="1">SUMIFS(
  m.vb[valor],
  m.vb[nucleo],$AV$1,
  m.vb[variavel],BF$7,
  m.vb[mes],$A77
)</f>
        <v>0</v>
      </c>
      <c r="BG77" s="108">
        <f ca="1">SUMIFS(
  m.vb[valor],
  m.vb[nucleo],$AV$1,
  m.vb[variavel],BG$7,
  m.vb[mes],$A77
)</f>
        <v>0</v>
      </c>
      <c r="BH77" s="119">
        <f>COUNTIFS(
    tb_estq[empresa], BH$6,
    tb_estq[Data da venda / reserva], "&gt;=" &amp; $A77,
    tb_estq[Data da venda / reserva], "&lt;"  &amp; EOMONTH($A77,0) + 1
)</f>
        <v>0</v>
      </c>
      <c r="BI77" s="120">
        <f ca="1">SUMIFS(tb_rec_uni[2027-03-01],
INDIRECT("tb_rec_uni[natureza]"),"pro.soluto",
INDIRECT("tb_rec_uni[empresa]"),BI$6)</f>
        <v>0</v>
      </c>
      <c r="BJ77" s="124"/>
      <c r="BK77" s="120">
        <f ca="1">SUMIFS(tb_rec_uni[2027-03-01],
INDIRECT("tb_rec_uni[natureza]"),"taxa.extra",
INDIRECT("tb_rec_uni[empresa]"),BK$6)</f>
        <v>0</v>
      </c>
      <c r="BL77" s="108"/>
      <c r="BM77" s="108">
        <f ca="1">SUMIFS(
  m.vb[valor],
  m.vb[nucleo],$BH$1,
  m.vb[variavel],BM$7,
  m.vb[mes],$A77
)</f>
        <v>0</v>
      </c>
      <c r="BN77" s="108">
        <f ca="1">SUMIFS(
  m.vb[valor],
  m.vb[nucleo],$BH$1,
  m.vb[variavel],BN$7,
  m.vb[mes],$A77
)</f>
        <v>0</v>
      </c>
      <c r="BO77" s="108">
        <f ca="1">SUMIFS(
  m.vb[valor],
  m.vb[nucleo],$BH$1,
  m.vb[variavel],BO$7,
  m.vb[mes],$A77
)</f>
        <v>0</v>
      </c>
      <c r="BP77" s="108">
        <f ca="1">SUMIFS(
  m.vb[valor],
  m.vb[nucleo],$BH$1,
  m.vb[variavel],BP$7,
  m.vb[mes],$A77
)</f>
        <v>0</v>
      </c>
      <c r="BQ77" s="108">
        <f ca="1">SUMIFS(
  m.vb[valor],
  m.vb[nucleo],$BH$1,
  m.vb[variavel],BQ$7,
  m.vb[mes],$A77
)</f>
        <v>0</v>
      </c>
      <c r="BR77" s="119">
        <f>COUNTIFS(
    tb_estq[empresa], BR$6,
    tb_estq[Data da venda / reserva], "&gt;=" &amp; $A77,
    tb_estq[Data da venda / reserva], "&lt;"  &amp; EOMONTH($A77,0) + 1
)</f>
        <v>0</v>
      </c>
      <c r="BS77" s="120">
        <f ca="1">SUMIFS(tb_rec_uni[2027-03-01],
INDIRECT("tb_rec_uni[natureza]"),"pro.soluto",
INDIRECT("tb_rec_uni[empresa]"),BS$6)</f>
        <v>0</v>
      </c>
      <c r="BT77" s="124">
        <f ca="1">SUMIFS(tb_rec_uni[2027-03-01],
INDIRECT("tb_rec_uni[natureza]"),"parcela.fin.total.ik",
INDIRECT("tb_rec_uni[empresa]"),BT$6)</f>
        <v>0</v>
      </c>
      <c r="BU77" s="120">
        <f ca="1">SUMIFS(tb_rec_uni[2027-03-01],
INDIRECT("tb_rec_uni[natureza]"),"taxa.extra",
INDIRECT("tb_rec_uni[empresa]"),BU$6)</f>
        <v>0</v>
      </c>
      <c r="BV77" s="108"/>
      <c r="BW77" s="108">
        <f ca="1">SUMIFS(
  m.vb[valor],
  m.vb[nucleo],$BR$1,
  m.vb[variavel],BW$7,
  m.vb[mes],$A77
)</f>
        <v>0</v>
      </c>
      <c r="BX77" s="108">
        <f ca="1">SUMIFS(
  m.vb[valor],
  m.vb[nucleo],$BR$1,
  m.vb[variavel],BX$7,
  m.vb[mes],$A77
)</f>
        <v>0</v>
      </c>
      <c r="BY77" s="108">
        <f ca="1">SUMIFS(
  m.vb[valor],
  m.vb[nucleo],$BR$1,
  m.vb[variavel],BY$7,
  m.vb[mes],$A77
)</f>
        <v>0</v>
      </c>
      <c r="BZ77" s="108">
        <f ca="1">SUMIFS(
  m.vb[valor],
  m.vb[nucleo],$BR$1,
  m.vb[variavel],BZ$7,
  m.vb[mes],$A77
)</f>
        <v>0</v>
      </c>
      <c r="CA77" s="108">
        <f ca="1">SUMIFS(
  m.vb[valor],
  m.vb[nucleo],$BR$1,
  m.vb[variavel],CA$7,
  m.vb[mes],$A77
)</f>
        <v>0</v>
      </c>
      <c r="CB77" s="119">
        <f>COUNTIFS(
    tb_estq[empresa], CB$6,
    tb_estq[Data da venda / reserva], "&gt;=" &amp; $A77,
    tb_estq[Data da venda / reserva], "&lt;"  &amp; EOMONTH($A77,0) + 1
)</f>
        <v>0</v>
      </c>
      <c r="CC77" s="120">
        <f ca="1">SUMIFS(tb_rec_uni[2027-03-01],
INDIRECT("tb_rec_uni[natureza]"),"pro.soluto",
INDIRECT("tb_rec_uni[empresa]"),CC$6)</f>
        <v>0</v>
      </c>
      <c r="CD77" s="120">
        <f ca="1">SUMIFS(tb_rec_uni[2027-03-01],
INDIRECT("tb_rec_uni[natureza]"),"repasse.cef.obra",
INDIRECT("tb_rec_uni[empresa]"),CD$6)</f>
        <v>0</v>
      </c>
      <c r="CE77" s="123">
        <f ca="1">SUMIFS(tb_rec_uni[2027-03-01],
INDIRECT("tb_rec_uni[natureza]"),"repasse.cef.terreno",
INDIRECT("tb_rec_uni[empresa]"),CE$6)</f>
        <v>0</v>
      </c>
      <c r="CF77" s="124"/>
      <c r="CG77" s="120">
        <f ca="1">SUMIFS(tb_rec_uni[2027-03-01],
INDIRECT("tb_rec_uni[natureza]"),"taxa.extra",
INDIRECT("tb_rec_uni[empresa]"),CG$6)</f>
        <v>0</v>
      </c>
      <c r="CH77" s="108"/>
      <c r="CI77" s="108">
        <f ca="1">SUMIFS(
  m.vb[valor],
  m.vb[nucleo],$CB$1,
  m.vb[variavel],CI$7,
  m.vb[mes],$A77
)</f>
        <v>0</v>
      </c>
      <c r="CJ77" s="108">
        <f ca="1">SUMIFS(
  m.vb[valor],
  m.vb[nucleo],$CB$1,
  m.vb[variavel],CJ$7,
  m.vb[mes],$A77
)</f>
        <v>0</v>
      </c>
      <c r="CK77" s="108">
        <f ca="1">SUMIFS(
  m.vb[valor],
  m.vb[nucleo],$CB$1,
  m.vb[variavel],CK$7,
  m.vb[mes],$A77
)</f>
        <v>0</v>
      </c>
      <c r="CL77" s="108">
        <f ca="1">SUMIFS(
  m.vb[valor],
  m.vb[nucleo],$CB$1,
  m.vb[variavel],CL$7,
  m.vb[mes],$A77
)</f>
        <v>0</v>
      </c>
      <c r="CM77" s="108">
        <f ca="1">SUMIFS(
  m.vb[valor],
  m.vb[nucleo],$CB$1,
  m.vb[variavel],CM$7,
  m.vb[mes],$A77
)</f>
        <v>0</v>
      </c>
      <c r="CN77" s="119">
        <f>COUNTIFS(
    tb_estq[empresa], CN$6,
    tb_estq[Data da venda / reserva], "&gt;=" &amp; $A77,
    tb_estq[Data da venda / reserva], "&lt;"  &amp; EOMONTH($A77,0) + 1
)</f>
        <v>0</v>
      </c>
      <c r="CO77" s="120">
        <f ca="1">SUMIFS(tb_rec_uni[2027-03-01],
INDIRECT("tb_rec_uni[natureza]"),"pro.soluto",
INDIRECT("tb_rec_uni[empresa]"),CO$6)</f>
        <v>0</v>
      </c>
      <c r="CP77" s="120">
        <f ca="1">SUMIFS(tb_rec_uni[2027-03-01],
INDIRECT("tb_rec_uni[natureza]"),"repasse.cef.obra",
INDIRECT("tb_rec_uni[empresa]"),CP$6)</f>
        <v>0</v>
      </c>
      <c r="CQ77" s="123">
        <f ca="1">SUMIFS(tb_rec_uni[2027-03-01],
INDIRECT("tb_rec_uni[natureza]"),"repasse.cef.terreno",
INDIRECT("tb_rec_uni[empresa]"),CQ$6)</f>
        <v>0</v>
      </c>
      <c r="CR77" s="124"/>
      <c r="CS77" s="120">
        <f ca="1">SUMIFS(tb_rec_uni[2027-03-01],
INDIRECT("tb_rec_uni[natureza]"),"taxa.extra",
INDIRECT("tb_rec_uni[empresa]"),CS$6)</f>
        <v>0</v>
      </c>
      <c r="CT77" s="108"/>
      <c r="CU77" s="108">
        <f ca="1">SUMIFS(
  m.vb[valor],
  m.vb[nucleo],$CN$1,
  m.vb[variavel],CU$7,
  m.vb[mes],$A77
)</f>
        <v>0</v>
      </c>
      <c r="CV77" s="108" cm="1">
        <f t="array" ref="CV77">SUMPRODUCT(
  IFERROR(--tb_desp[valor],0)*
  (tb_desp[nucleo]="UP MOVE VILA SONIA")*
  (tb_desp[categoria]=CV$7)*
  (tb_desp[data.pagamento]&gt;=$A77)*
  (tb_desp[data.pagamento]&lt;EOMONTH($A77,0)+1)
)</f>
        <v>0</v>
      </c>
      <c r="CW77" s="108" cm="1">
        <f t="array" ref="CW77">SUMPRODUCT(
  IFERROR(--tb_desp[valor],0)*
  (tb_desp[nucleo]="UP MOVE VILA SONIA")*
  (tb_desp[categoria]=CW$7)*
  (tb_desp[data.pagamento]&gt;=$A77)*
  (tb_desp[data.pagamento]&lt;EOMONTH($A77,0)+1)
)</f>
        <v>0</v>
      </c>
      <c r="CX77" s="108" cm="1">
        <f t="array" ref="CX77">SUMPRODUCT(
  IFERROR(--tb_desp[valor],0)*
  (tb_desp[nucleo]="UP MOVE VILA SONIA")*
  (tb_desp[categoria]=CX$7)*
  (tb_desp[data.pagamento]&gt;=$A77)*
  (tb_desp[data.pagamento]&lt;EOMONTH($A77,0)+1)
)</f>
        <v>0</v>
      </c>
      <c r="CY77" s="221" cm="1">
        <f t="array" ref="CY77">SUMPRODUCT(
  IFERROR(--tb_desp[valor],0)*
  (tb_desp[nucleo]="UP MOVE VILA SONIA")*
  (tb_desp[categoria]=CY$7)*
  (tb_desp[data.pagamento]&gt;=$A77)*
  (tb_desp[data.pagamento]&lt;EOMONTH($A77,0)+1)
)</f>
        <v>0</v>
      </c>
    </row>
    <row r="78" spans="1:103" x14ac:dyDescent="0.25">
      <c r="A78" s="118">
        <v>46478</v>
      </c>
      <c r="B78" s="119">
        <f>COUNTIFS(
    tb_estq[empresa], B$6,
    tb_estq[Data da venda / reserva], "&gt;=" &amp; $A78,
    tb_estq[Data da venda / reserva], "&lt;"  &amp; EOMONTH($A78,0) + 1
)</f>
        <v>0</v>
      </c>
      <c r="C78" s="120">
        <f ca="1">SUMIFS(tb_rec_uni[2027-04-01],
INDIRECT("tb_rec_uni[natureza]"),"pro.soluto",
INDIRECT("tb_rec_uni[empresa]"),C$6)</f>
        <v>0</v>
      </c>
      <c r="D78" s="120">
        <f ca="1">SUMIFS(tb_rec_uni[2027-04-01],
INDIRECT("tb_rec_uni[natureza]"),"repasse.cef.obra",
INDIRECT("tb_rec_uni[empresa]"),D$6)</f>
        <v>0</v>
      </c>
      <c r="E78" s="120">
        <f ca="1">SUMIFS(tb_rec_uni[2027-04-01],
INDIRECT("tb_rec_uni[natureza]"),"repasse.cef.terreno",
INDIRECT("tb_rec_uni[empresa]"),E$6)</f>
        <v>0</v>
      </c>
      <c r="F78" s="124"/>
      <c r="G78" s="120">
        <f ca="1">SUMIFS(tb_rec_uni[2027-04-01],
INDIRECT("tb_rec_uni[natureza]"),"taxa.extra",
INDIRECT("tb_rec_uni[empresa]"),G$6)</f>
        <v>0</v>
      </c>
      <c r="H78" s="108"/>
      <c r="I78" s="108">
        <f ca="1">SUMIFS(
  m.vb[valor],
  m.vb[nucleo],$B$1,
  m.vb[variavel],I$7,
  m.vb[mes],$A78
)</f>
        <v>0</v>
      </c>
      <c r="J78" s="108">
        <f ca="1">SUMIFS(
  m.vb[valor],
  m.vb[nucleo],$B$1,
  m.vb[variavel],J$7,
  m.vb[mes],$A78
)</f>
        <v>0</v>
      </c>
      <c r="K78" s="108">
        <f ca="1">SUMIFS(
  m.vb[valor],
  m.vb[nucleo],$B$1,
  m.vb[variavel],K$7,
  m.vb[mes],$A78
)</f>
        <v>0</v>
      </c>
      <c r="L78" s="108">
        <f ca="1">SUMIFS(
  m.vb[valor],
  m.vb[nucleo],$B$1,
  m.vb[variavel],L$7,
  m.vb[mes],$A78
)</f>
        <v>0</v>
      </c>
      <c r="M78" s="108">
        <f ca="1">SUMIFS(
  m.vb[valor],
  m.vb[nucleo],$B$1,
  m.vb[variavel],M$7,
  m.vb[mes],$A78
)</f>
        <v>0</v>
      </c>
      <c r="N78" s="119">
        <f>COUNTIFS(
    tb_estq[empresa], N$6,
    tb_estq[Data da venda / reserva], "&gt;=" &amp; $A78,
    tb_estq[Data da venda / reserva], "&lt;"  &amp; EOMONTH($A78,0) + 1
)</f>
        <v>0</v>
      </c>
      <c r="O78" s="120">
        <f ca="1">SUMIFS(tb_rec_uni[2027-04-01],
INDIRECT("tb_rec_uni[natureza]"),"pro.soluto",
INDIRECT("tb_rec_uni[empresa]"),O$6)</f>
        <v>0</v>
      </c>
      <c r="P78" s="120">
        <f ca="1">SUMIFS(tb_rec_uni[2027-04-01],
INDIRECT("tb_rec_uni[natureza]"),"repasse.cef.obra",
INDIRECT("tb_rec_uni[empresa]"),P$6)</f>
        <v>0</v>
      </c>
      <c r="Q78" s="120">
        <f ca="1">SUMIFS(tb_rec_uni[2027-04-01],
INDIRECT("tb_rec_uni[natureza]"),"repasse.cef.terreno",
INDIRECT("tb_rec_uni[empresa]"),Q$6)</f>
        <v>0</v>
      </c>
      <c r="R78" s="124"/>
      <c r="S78" s="120">
        <f ca="1">SUMIFS(tb_rec_uni[2027-04-01],
INDIRECT("tb_rec_uni[natureza]"),"taxa.extra",
INDIRECT("tb_rec_uni[empresa]"),S$6)</f>
        <v>0</v>
      </c>
      <c r="T78" s="108"/>
      <c r="U78" s="108">
        <f ca="1">SUMIFS(
  m.vb[valor],
  m.vb[nucleo],$N$1,
  m.vb[variavel],U$7,
  m.vb[mes],$A78
)</f>
        <v>0</v>
      </c>
      <c r="V78" s="108">
        <f ca="1">SUMIFS(
  m.vb[valor],
  m.vb[nucleo],$N$1,
  m.vb[variavel],V$7,
  m.vb[mes],$A78
)</f>
        <v>0</v>
      </c>
      <c r="W78" s="108">
        <f ca="1">SUMIFS(
  m.vb[valor],
  m.vb[nucleo],$N$1,
  m.vb[variavel],W$7,
  m.vb[mes],$A78
)</f>
        <v>0</v>
      </c>
      <c r="X78" s="108">
        <f ca="1">SUMIFS(
  m.vb[valor],
  m.vb[nucleo],$N$1,
  m.vb[variavel],X$7,
  m.vb[mes],$A78
)</f>
        <v>0</v>
      </c>
      <c r="Y78" s="108">
        <f ca="1">SUMIFS(
  m.vb[valor],
  m.vb[nucleo],$N$1,
  m.vb[variavel],Y$7,
  m.vb[mes],$A78
)</f>
        <v>0</v>
      </c>
      <c r="Z78" s="119">
        <f>COUNTIFS(
    tb_estq[empresa], Z$6,
    tb_estq[Data da venda / reserva], "&gt;=" &amp; $A78,
    tb_estq[Data da venda / reserva], "&lt;"  &amp; EOMONTH($A78,0) + 1
)</f>
        <v>0</v>
      </c>
      <c r="AA78" s="120">
        <f ca="1">SUMIFS(tb_rec_uni[2027-04-01],
INDIRECT("tb_rec_uni[natureza]"),"pro.soluto",
INDIRECT("tb_rec_uni[empresa]"),AA$6)</f>
        <v>0</v>
      </c>
      <c r="AB78" s="124">
        <f ca="1">SUMIFS(tb_rec_uni[2027-04-01],
INDIRECT("tb_rec_uni[natureza]"),"parcela.fin.total.ik",
INDIRECT("tb_rec_uni[empresa]"),AB$6)</f>
        <v>0</v>
      </c>
      <c r="AC78" s="120">
        <f ca="1">SUMIFS(tb_rec_uni[2027-04-01],
INDIRECT("tb_rec_uni[natureza]"),"taxa.extra",
INDIRECT("tb_rec_uni[empresa]"),AC$6)</f>
        <v>0</v>
      </c>
      <c r="AD78" s="108"/>
      <c r="AE78" s="108">
        <f ca="1">SUMIFS(
  m.vb[valor],
  m.vb[nucleo],$Z$1,
  m.vb[variavel],AE$7,
  m.vb[mes],$A78
)</f>
        <v>0</v>
      </c>
      <c r="AF78" s="108">
        <f ca="1">SUMIFS(
  m.vb[valor],
  m.vb[nucleo],$Z$1,
  m.vb[variavel],AF$7,
  m.vb[mes],$A78
)</f>
        <v>0</v>
      </c>
      <c r="AG78" s="108">
        <f ca="1">SUMIFS(
  m.vb[valor],
  m.vb[nucleo],$Z$1,
  m.vb[variavel],AG$7,
  m.vb[mes],$A78
)</f>
        <v>0</v>
      </c>
      <c r="AH78" s="108">
        <f ca="1">SUMIFS(
  m.vb[valor],
  m.vb[nucleo],$Z$1,
  m.vb[variavel],AH$7,
  m.vb[mes],$A78
)</f>
        <v>0</v>
      </c>
      <c r="AI78" s="108">
        <f ca="1">SUMIFS(
  m.vb[valor],
  m.vb[nucleo],$Z$1,
  m.vb[variavel],AI$7,
  m.vb[mes],$A78
)</f>
        <v>0</v>
      </c>
      <c r="AJ78" s="119">
        <f>COUNTIFS(
    tb_estq[empresa], AJ$6,
    tb_estq[Data da venda / reserva], "&gt;=" &amp; $A78,
    tb_estq[Data da venda / reserva], "&lt;"  &amp; EOMONTH($A78,0) + 1
)</f>
        <v>0</v>
      </c>
      <c r="AK78" s="120">
        <f ca="1">SUMIFS(tb_rec_uni[2027-04-01],
INDIRECT("tb_rec_uni[natureza]"),"pro.soluto",
INDIRECT("tb_rec_uni[empresa]"),AK$6)</f>
        <v>0</v>
      </c>
      <c r="AL78" s="120">
        <f ca="1">SUMIFS(tb_rec_uni[2027-04-01],
INDIRECT("tb_rec_uni[natureza]"),"repasse.cef.obra",
INDIRECT("tb_rec_uni[empresa]"),AL$6)</f>
        <v>0</v>
      </c>
      <c r="AM78" s="123">
        <f ca="1">SUMIFS(tb_rec_uni[2027-04-01],
INDIRECT("tb_rec_uni[natureza]"),"repasse.cef.terreno",
INDIRECT("tb_rec_uni[empresa]"),AM$6)</f>
        <v>0</v>
      </c>
      <c r="AN78" s="124"/>
      <c r="AO78" s="120">
        <f ca="1">SUMIFS(tb_rec_uni[2027-04-01],
INDIRECT("tb_rec_uni[natureza]"),"taxa.extra",
INDIRECT("tb_rec_uni[empresa]"),AO$6)</f>
        <v>0</v>
      </c>
      <c r="AP78" s="108"/>
      <c r="AQ78" s="108">
        <f ca="1">SUMIFS(
  m.vb[valor],
  m.vb[nucleo],$AJ$1,
  m.vb[variavel],AQ$7,
  m.vb[mes],$A78
)</f>
        <v>0</v>
      </c>
      <c r="AR78" s="108">
        <f ca="1">SUMIFS(
  m.vb[valor],
  m.vb[nucleo],$AJ$1,
  m.vb[variavel],AR$7,
  m.vb[mes],$A78
)</f>
        <v>0</v>
      </c>
      <c r="AS78" s="108">
        <f ca="1">SUMIFS(
  m.vb[valor],
  m.vb[nucleo],$AJ$1,
  m.vb[variavel],AS$7,
  m.vb[mes],$A78
)</f>
        <v>0</v>
      </c>
      <c r="AT78" s="108">
        <f ca="1">SUMIFS(
  m.vb[valor],
  m.vb[nucleo],$AJ$1,
  m.vb[variavel],AT$7,
  m.vb[mes],$A78
)</f>
        <v>0</v>
      </c>
      <c r="AU78" s="108">
        <f ca="1">SUMIFS(
  m.vb[valor],
  m.vb[nucleo],$AJ$1,
  m.vb[variavel],AU$7,
  m.vb[mes],$A78
)</f>
        <v>0</v>
      </c>
      <c r="AV78" s="119">
        <f>COUNTIFS(
    tb_estq[empresa], AV$6,
    tb_estq[Data da venda / reserva], "&gt;=" &amp; $A78,
    tb_estq[Data da venda / reserva], "&lt;"  &amp; EOMONTH($A78,0) + 1
)</f>
        <v>0</v>
      </c>
      <c r="AW78" s="120">
        <f ca="1">SUMIFS(tb_rec_uni[2027-04-01],
INDIRECT("tb_rec_uni[natureza]"),"pro.soluto",
INDIRECT("tb_rec_uni[empresa]"),AW$6)</f>
        <v>0</v>
      </c>
      <c r="AX78" s="120">
        <f ca="1">SUMIFS(tb_rec_uni[2027-04-01],
INDIRECT("tb_rec_uni[natureza]"),"repasse.cef.obra",
INDIRECT("tb_rec_uni[empresa]"),AX$6)</f>
        <v>0</v>
      </c>
      <c r="AY78" s="123">
        <f ca="1">SUMIFS(tb_rec_uni[2027-04-01],
INDIRECT("tb_rec_uni[natureza]"),"repasse.cef.terreno",
INDIRECT("tb_rec_uni[empresa]"),AY$6)</f>
        <v>0</v>
      </c>
      <c r="AZ78" s="124"/>
      <c r="BA78" s="120">
        <f ca="1">SUMIFS(tb_rec_uni[2027-04-01],
INDIRECT("tb_rec_uni[natureza]"),"taxa.extra",
INDIRECT("tb_rec_uni[empresa]"),BA$6)</f>
        <v>0</v>
      </c>
      <c r="BB78" s="108"/>
      <c r="BC78" s="108">
        <f ca="1">SUMIFS(
  m.vb[valor],
  m.vb[nucleo],$AV$1,
  m.vb[variavel],BC$7,
  m.vb[mes],$A78
)</f>
        <v>0</v>
      </c>
      <c r="BD78" s="108">
        <f ca="1">SUMIFS(
  m.vb[valor],
  m.vb[nucleo],$AV$1,
  m.vb[variavel],BD$7,
  m.vb[mes],$A78
)</f>
        <v>0</v>
      </c>
      <c r="BE78" s="108">
        <f ca="1">SUMIFS(
  m.vb[valor],
  m.vb[nucleo],$AV$1,
  m.vb[variavel],BE$7,
  m.vb[mes],$A78
)</f>
        <v>0</v>
      </c>
      <c r="BF78" s="108">
        <f ca="1">SUMIFS(
  m.vb[valor],
  m.vb[nucleo],$AV$1,
  m.vb[variavel],BF$7,
  m.vb[mes],$A78
)</f>
        <v>0</v>
      </c>
      <c r="BG78" s="108">
        <f ca="1">SUMIFS(
  m.vb[valor],
  m.vb[nucleo],$AV$1,
  m.vb[variavel],BG$7,
  m.vb[mes],$A78
)</f>
        <v>0</v>
      </c>
      <c r="BH78" s="119">
        <f>COUNTIFS(
    tb_estq[empresa], BH$6,
    tb_estq[Data da venda / reserva], "&gt;=" &amp; $A78,
    tb_estq[Data da venda / reserva], "&lt;"  &amp; EOMONTH($A78,0) + 1
)</f>
        <v>0</v>
      </c>
      <c r="BI78" s="120">
        <f ca="1">SUMIFS(tb_rec_uni[2027-04-01],
INDIRECT("tb_rec_uni[natureza]"),"pro.soluto",
INDIRECT("tb_rec_uni[empresa]"),BI$6)</f>
        <v>0</v>
      </c>
      <c r="BJ78" s="124"/>
      <c r="BK78" s="120">
        <f ca="1">SUMIFS(tb_rec_uni[2027-04-01],
INDIRECT("tb_rec_uni[natureza]"),"taxa.extra",
INDIRECT("tb_rec_uni[empresa]"),BK$6)</f>
        <v>0</v>
      </c>
      <c r="BL78" s="108"/>
      <c r="BM78" s="108">
        <f ca="1">SUMIFS(
  m.vb[valor],
  m.vb[nucleo],$BH$1,
  m.vb[variavel],BM$7,
  m.vb[mes],$A78
)</f>
        <v>0</v>
      </c>
      <c r="BN78" s="108">
        <f ca="1">SUMIFS(
  m.vb[valor],
  m.vb[nucleo],$BH$1,
  m.vb[variavel],BN$7,
  m.vb[mes],$A78
)</f>
        <v>0</v>
      </c>
      <c r="BO78" s="108">
        <f ca="1">SUMIFS(
  m.vb[valor],
  m.vb[nucleo],$BH$1,
  m.vb[variavel],BO$7,
  m.vb[mes],$A78
)</f>
        <v>0</v>
      </c>
      <c r="BP78" s="108">
        <f ca="1">SUMIFS(
  m.vb[valor],
  m.vb[nucleo],$BH$1,
  m.vb[variavel],BP$7,
  m.vb[mes],$A78
)</f>
        <v>0</v>
      </c>
      <c r="BQ78" s="108">
        <f ca="1">SUMIFS(
  m.vb[valor],
  m.vb[nucleo],$BH$1,
  m.vb[variavel],BQ$7,
  m.vb[mes],$A78
)</f>
        <v>0</v>
      </c>
      <c r="BR78" s="119">
        <f>COUNTIFS(
    tb_estq[empresa], BR$6,
    tb_estq[Data da venda / reserva], "&gt;=" &amp; $A78,
    tb_estq[Data da venda / reserva], "&lt;"  &amp; EOMONTH($A78,0) + 1
)</f>
        <v>0</v>
      </c>
      <c r="BS78" s="120">
        <f ca="1">SUMIFS(tb_rec_uni[2027-04-01],
INDIRECT("tb_rec_uni[natureza]"),"pro.soluto",
INDIRECT("tb_rec_uni[empresa]"),BS$6)</f>
        <v>0</v>
      </c>
      <c r="BT78" s="124">
        <f ca="1">SUMIFS(tb_rec_uni[2027-04-01],
INDIRECT("tb_rec_uni[natureza]"),"parcela.fin.total.ik",
INDIRECT("tb_rec_uni[empresa]"),BT$6)</f>
        <v>0</v>
      </c>
      <c r="BU78" s="120">
        <f ca="1">SUMIFS(tb_rec_uni[2027-04-01],
INDIRECT("tb_rec_uni[natureza]"),"taxa.extra",
INDIRECT("tb_rec_uni[empresa]"),BU$6)</f>
        <v>0</v>
      </c>
      <c r="BV78" s="108"/>
      <c r="BW78" s="108">
        <f ca="1">SUMIFS(
  m.vb[valor],
  m.vb[nucleo],$BR$1,
  m.vb[variavel],BW$7,
  m.vb[mes],$A78
)</f>
        <v>0</v>
      </c>
      <c r="BX78" s="108">
        <f ca="1">SUMIFS(
  m.vb[valor],
  m.vb[nucleo],$BR$1,
  m.vb[variavel],BX$7,
  m.vb[mes],$A78
)</f>
        <v>0</v>
      </c>
      <c r="BY78" s="108">
        <f ca="1">SUMIFS(
  m.vb[valor],
  m.vb[nucleo],$BR$1,
  m.vb[variavel],BY$7,
  m.vb[mes],$A78
)</f>
        <v>0</v>
      </c>
      <c r="BZ78" s="108">
        <f ca="1">SUMIFS(
  m.vb[valor],
  m.vb[nucleo],$BR$1,
  m.vb[variavel],BZ$7,
  m.vb[mes],$A78
)</f>
        <v>0</v>
      </c>
      <c r="CA78" s="108">
        <f ca="1">SUMIFS(
  m.vb[valor],
  m.vb[nucleo],$BR$1,
  m.vb[variavel],CA$7,
  m.vb[mes],$A78
)</f>
        <v>0</v>
      </c>
      <c r="CB78" s="119">
        <f>COUNTIFS(
    tb_estq[empresa], CB$6,
    tb_estq[Data da venda / reserva], "&gt;=" &amp; $A78,
    tb_estq[Data da venda / reserva], "&lt;"  &amp; EOMONTH($A78,0) + 1
)</f>
        <v>0</v>
      </c>
      <c r="CC78" s="120">
        <f ca="1">SUMIFS(tb_rec_uni[2027-04-01],
INDIRECT("tb_rec_uni[natureza]"),"pro.soluto",
INDIRECT("tb_rec_uni[empresa]"),CC$6)</f>
        <v>0</v>
      </c>
      <c r="CD78" s="120">
        <f ca="1">SUMIFS(tb_rec_uni[2027-04-01],
INDIRECT("tb_rec_uni[natureza]"),"repasse.cef.obra",
INDIRECT("tb_rec_uni[empresa]"),CD$6)</f>
        <v>0</v>
      </c>
      <c r="CE78" s="123">
        <f ca="1">SUMIFS(tb_rec_uni[2027-04-01],
INDIRECT("tb_rec_uni[natureza]"),"repasse.cef.terreno",
INDIRECT("tb_rec_uni[empresa]"),CE$6)</f>
        <v>0</v>
      </c>
      <c r="CF78" s="124"/>
      <c r="CG78" s="120">
        <f ca="1">SUMIFS(tb_rec_uni[2027-04-01],
INDIRECT("tb_rec_uni[natureza]"),"taxa.extra",
INDIRECT("tb_rec_uni[empresa]"),CG$6)</f>
        <v>0</v>
      </c>
      <c r="CH78" s="108"/>
      <c r="CI78" s="108">
        <f ca="1">SUMIFS(
  m.vb[valor],
  m.vb[nucleo],$CB$1,
  m.vb[variavel],CI$7,
  m.vb[mes],$A78
)</f>
        <v>0</v>
      </c>
      <c r="CJ78" s="108">
        <f ca="1">SUMIFS(
  m.vb[valor],
  m.vb[nucleo],$CB$1,
  m.vb[variavel],CJ$7,
  m.vb[mes],$A78
)</f>
        <v>0</v>
      </c>
      <c r="CK78" s="108">
        <f ca="1">SUMIFS(
  m.vb[valor],
  m.vb[nucleo],$CB$1,
  m.vb[variavel],CK$7,
  m.vb[mes],$A78
)</f>
        <v>0</v>
      </c>
      <c r="CL78" s="108">
        <f ca="1">SUMIFS(
  m.vb[valor],
  m.vb[nucleo],$CB$1,
  m.vb[variavel],CL$7,
  m.vb[mes],$A78
)</f>
        <v>0</v>
      </c>
      <c r="CM78" s="108">
        <f ca="1">SUMIFS(
  m.vb[valor],
  m.vb[nucleo],$CB$1,
  m.vb[variavel],CM$7,
  m.vb[mes],$A78
)</f>
        <v>0</v>
      </c>
      <c r="CN78" s="119">
        <f>COUNTIFS(
    tb_estq[empresa], CN$6,
    tb_estq[Data da venda / reserva], "&gt;=" &amp; $A78,
    tb_estq[Data da venda / reserva], "&lt;"  &amp; EOMONTH($A78,0) + 1
)</f>
        <v>0</v>
      </c>
      <c r="CO78" s="120">
        <f ca="1">SUMIFS(tb_rec_uni[2027-04-01],
INDIRECT("tb_rec_uni[natureza]"),"pro.soluto",
INDIRECT("tb_rec_uni[empresa]"),CO$6)</f>
        <v>0</v>
      </c>
      <c r="CP78" s="120">
        <f ca="1">SUMIFS(tb_rec_uni[2027-04-01],
INDIRECT("tb_rec_uni[natureza]"),"repasse.cef.obra",
INDIRECT("tb_rec_uni[empresa]"),CP$6)</f>
        <v>0</v>
      </c>
      <c r="CQ78" s="123">
        <f ca="1">SUMIFS(tb_rec_uni[2027-04-01],
INDIRECT("tb_rec_uni[natureza]"),"repasse.cef.terreno",
INDIRECT("tb_rec_uni[empresa]"),CQ$6)</f>
        <v>0</v>
      </c>
      <c r="CR78" s="124"/>
      <c r="CS78" s="120">
        <f ca="1">SUMIFS(tb_rec_uni[2027-04-01],
INDIRECT("tb_rec_uni[natureza]"),"taxa.extra",
INDIRECT("tb_rec_uni[empresa]"),CS$6)</f>
        <v>0</v>
      </c>
      <c r="CT78" s="108"/>
      <c r="CU78" s="108">
        <f ca="1">SUMIFS(
  m.vb[valor],
  m.vb[nucleo],$CN$1,
  m.vb[variavel],CU$7,
  m.vb[mes],$A78
)</f>
        <v>0</v>
      </c>
      <c r="CV78" s="108" cm="1">
        <f t="array" ref="CV78">SUMPRODUCT(
  IFERROR(--tb_desp[valor],0)*
  (tb_desp[nucleo]="UP MOVE VILA SONIA")*
  (tb_desp[categoria]=CV$7)*
  (tb_desp[data.pagamento]&gt;=$A78)*
  (tb_desp[data.pagamento]&lt;EOMONTH($A78,0)+1)
)</f>
        <v>0</v>
      </c>
      <c r="CW78" s="108" cm="1">
        <f t="array" ref="CW78">SUMPRODUCT(
  IFERROR(--tb_desp[valor],0)*
  (tb_desp[nucleo]="UP MOVE VILA SONIA")*
  (tb_desp[categoria]=CW$7)*
  (tb_desp[data.pagamento]&gt;=$A78)*
  (tb_desp[data.pagamento]&lt;EOMONTH($A78,0)+1)
)</f>
        <v>0</v>
      </c>
      <c r="CX78" s="108" cm="1">
        <f t="array" ref="CX78">SUMPRODUCT(
  IFERROR(--tb_desp[valor],0)*
  (tb_desp[nucleo]="UP MOVE VILA SONIA")*
  (tb_desp[categoria]=CX$7)*
  (tb_desp[data.pagamento]&gt;=$A78)*
  (tb_desp[data.pagamento]&lt;EOMONTH($A78,0)+1)
)</f>
        <v>0</v>
      </c>
      <c r="CY78" s="221" cm="1">
        <f t="array" ref="CY78">SUMPRODUCT(
  IFERROR(--tb_desp[valor],0)*
  (tb_desp[nucleo]="UP MOVE VILA SONIA")*
  (tb_desp[categoria]=CY$7)*
  (tb_desp[data.pagamento]&gt;=$A78)*
  (tb_desp[data.pagamento]&lt;EOMONTH($A78,0)+1)
)</f>
        <v>0</v>
      </c>
    </row>
    <row r="79" spans="1:103" x14ac:dyDescent="0.25">
      <c r="A79" s="118">
        <v>46508</v>
      </c>
      <c r="B79" s="119">
        <f>COUNTIFS(
    tb_estq[empresa], B$6,
    tb_estq[Data da venda / reserva], "&gt;=" &amp; $A79,
    tb_estq[Data da venda / reserva], "&lt;"  &amp; EOMONTH($A79,0) + 1
)</f>
        <v>0</v>
      </c>
      <c r="C79" s="120">
        <f ca="1">SUMIFS(tb_rec_uni[2027-05-01],
INDIRECT("tb_rec_uni[natureza]"),"pro.soluto",
INDIRECT("tb_rec_uni[empresa]"),C$6)</f>
        <v>0</v>
      </c>
      <c r="D79" s="120">
        <f ca="1">SUMIFS(tb_rec_uni[2027-05-01],
INDIRECT("tb_rec_uni[natureza]"),"repasse.cef.obra",
INDIRECT("tb_rec_uni[empresa]"),D$6)</f>
        <v>0</v>
      </c>
      <c r="E79" s="120">
        <f ca="1">SUMIFS(tb_rec_uni[2027-05-01],
INDIRECT("tb_rec_uni[natureza]"),"repasse.cef.terreno",
INDIRECT("tb_rec_uni[empresa]"),E$6)</f>
        <v>0</v>
      </c>
      <c r="F79" s="124"/>
      <c r="G79" s="120">
        <f ca="1">SUMIFS(tb_rec_uni[2027-05-01],
INDIRECT("tb_rec_uni[natureza]"),"taxa.extra",
INDIRECT("tb_rec_uni[empresa]"),G$6)</f>
        <v>0</v>
      </c>
      <c r="H79" s="108"/>
      <c r="I79" s="108">
        <f ca="1">SUMIFS(
  m.vb[valor],
  m.vb[nucleo],$B$1,
  m.vb[variavel],I$7,
  m.vb[mes],$A79
)</f>
        <v>0</v>
      </c>
      <c r="J79" s="108">
        <f ca="1">SUMIFS(
  m.vb[valor],
  m.vb[nucleo],$B$1,
  m.vb[variavel],J$7,
  m.vb[mes],$A79
)</f>
        <v>0</v>
      </c>
      <c r="K79" s="108">
        <f ca="1">SUMIFS(
  m.vb[valor],
  m.vb[nucleo],$B$1,
  m.vb[variavel],K$7,
  m.vb[mes],$A79
)</f>
        <v>0</v>
      </c>
      <c r="L79" s="108">
        <f ca="1">SUMIFS(
  m.vb[valor],
  m.vb[nucleo],$B$1,
  m.vb[variavel],L$7,
  m.vb[mes],$A79
)</f>
        <v>0</v>
      </c>
      <c r="M79" s="108">
        <f ca="1">SUMIFS(
  m.vb[valor],
  m.vb[nucleo],$B$1,
  m.vb[variavel],M$7,
  m.vb[mes],$A79
)</f>
        <v>0</v>
      </c>
      <c r="N79" s="119">
        <f>COUNTIFS(
    tb_estq[empresa], N$6,
    tb_estq[Data da venda / reserva], "&gt;=" &amp; $A79,
    tb_estq[Data da venda / reserva], "&lt;"  &amp; EOMONTH($A79,0) + 1
)</f>
        <v>0</v>
      </c>
      <c r="O79" s="120">
        <f ca="1">SUMIFS(tb_rec_uni[2027-05-01],
INDIRECT("tb_rec_uni[natureza]"),"pro.soluto",
INDIRECT("tb_rec_uni[empresa]"),O$6)</f>
        <v>0</v>
      </c>
      <c r="P79" s="120">
        <f ca="1">SUMIFS(tb_rec_uni[2027-05-01],
INDIRECT("tb_rec_uni[natureza]"),"repasse.cef.obra",
INDIRECT("tb_rec_uni[empresa]"),P$6)</f>
        <v>0</v>
      </c>
      <c r="Q79" s="120">
        <f ca="1">SUMIFS(tb_rec_uni[2027-05-01],
INDIRECT("tb_rec_uni[natureza]"),"repasse.cef.terreno",
INDIRECT("tb_rec_uni[empresa]"),Q$6)</f>
        <v>0</v>
      </c>
      <c r="R79" s="124"/>
      <c r="S79" s="120">
        <f ca="1">SUMIFS(tb_rec_uni[2027-05-01],
INDIRECT("tb_rec_uni[natureza]"),"taxa.extra",
INDIRECT("tb_rec_uni[empresa]"),S$6)</f>
        <v>0</v>
      </c>
      <c r="T79" s="108"/>
      <c r="U79" s="108">
        <f ca="1">SUMIFS(
  m.vb[valor],
  m.vb[nucleo],$N$1,
  m.vb[variavel],U$7,
  m.vb[mes],$A79
)</f>
        <v>0</v>
      </c>
      <c r="V79" s="108">
        <f ca="1">SUMIFS(
  m.vb[valor],
  m.vb[nucleo],$N$1,
  m.vb[variavel],V$7,
  m.vb[mes],$A79
)</f>
        <v>0</v>
      </c>
      <c r="W79" s="108">
        <f ca="1">SUMIFS(
  m.vb[valor],
  m.vb[nucleo],$N$1,
  m.vb[variavel],W$7,
  m.vb[mes],$A79
)</f>
        <v>0</v>
      </c>
      <c r="X79" s="108">
        <f ca="1">SUMIFS(
  m.vb[valor],
  m.vb[nucleo],$N$1,
  m.vb[variavel],X$7,
  m.vb[mes],$A79
)</f>
        <v>0</v>
      </c>
      <c r="Y79" s="108">
        <f ca="1">SUMIFS(
  m.vb[valor],
  m.vb[nucleo],$N$1,
  m.vb[variavel],Y$7,
  m.vb[mes],$A79
)</f>
        <v>0</v>
      </c>
      <c r="Z79" s="119">
        <f>COUNTIFS(
    tb_estq[empresa], Z$6,
    tb_estq[Data da venda / reserva], "&gt;=" &amp; $A79,
    tb_estq[Data da venda / reserva], "&lt;"  &amp; EOMONTH($A79,0) + 1
)</f>
        <v>0</v>
      </c>
      <c r="AA79" s="120">
        <f ca="1">SUMIFS(tb_rec_uni[2027-05-01],
INDIRECT("tb_rec_uni[natureza]"),"pro.soluto",
INDIRECT("tb_rec_uni[empresa]"),AA$6)</f>
        <v>0</v>
      </c>
      <c r="AB79" s="124">
        <f ca="1">SUMIFS(tb_rec_uni[2027-05-01],
INDIRECT("tb_rec_uni[natureza]"),"parcela.fin.total.ik",
INDIRECT("tb_rec_uni[empresa]"),AB$6)</f>
        <v>0</v>
      </c>
      <c r="AC79" s="120">
        <f ca="1">SUMIFS(tb_rec_uni[2027-05-01],
INDIRECT("tb_rec_uni[natureza]"),"taxa.extra",
INDIRECT("tb_rec_uni[empresa]"),AC$6)</f>
        <v>0</v>
      </c>
      <c r="AD79" s="108"/>
      <c r="AE79" s="108">
        <f ca="1">SUMIFS(
  m.vb[valor],
  m.vb[nucleo],$Z$1,
  m.vb[variavel],AE$7,
  m.vb[mes],$A79
)</f>
        <v>0</v>
      </c>
      <c r="AF79" s="108">
        <f ca="1">SUMIFS(
  m.vb[valor],
  m.vb[nucleo],$Z$1,
  m.vb[variavel],AF$7,
  m.vb[mes],$A79
)</f>
        <v>0</v>
      </c>
      <c r="AG79" s="108">
        <f ca="1">SUMIFS(
  m.vb[valor],
  m.vb[nucleo],$Z$1,
  m.vb[variavel],AG$7,
  m.vb[mes],$A79
)</f>
        <v>0</v>
      </c>
      <c r="AH79" s="108">
        <f ca="1">SUMIFS(
  m.vb[valor],
  m.vb[nucleo],$Z$1,
  m.vb[variavel],AH$7,
  m.vb[mes],$A79
)</f>
        <v>0</v>
      </c>
      <c r="AI79" s="108">
        <f ca="1">SUMIFS(
  m.vb[valor],
  m.vb[nucleo],$Z$1,
  m.vb[variavel],AI$7,
  m.vb[mes],$A79
)</f>
        <v>0</v>
      </c>
      <c r="AJ79" s="119">
        <f>COUNTIFS(
    tb_estq[empresa], AJ$6,
    tb_estq[Data da venda / reserva], "&gt;=" &amp; $A79,
    tb_estq[Data da venda / reserva], "&lt;"  &amp; EOMONTH($A79,0) + 1
)</f>
        <v>0</v>
      </c>
      <c r="AK79" s="120">
        <f ca="1">SUMIFS(tb_rec_uni[2027-05-01],
INDIRECT("tb_rec_uni[natureza]"),"pro.soluto",
INDIRECT("tb_rec_uni[empresa]"),AK$6)</f>
        <v>0</v>
      </c>
      <c r="AL79" s="120">
        <f ca="1">SUMIFS(tb_rec_uni[2027-05-01],
INDIRECT("tb_rec_uni[natureza]"),"repasse.cef.obra",
INDIRECT("tb_rec_uni[empresa]"),AL$6)</f>
        <v>0</v>
      </c>
      <c r="AM79" s="123">
        <f ca="1">SUMIFS(tb_rec_uni[2027-05-01],
INDIRECT("tb_rec_uni[natureza]"),"repasse.cef.terreno",
INDIRECT("tb_rec_uni[empresa]"),AM$6)</f>
        <v>0</v>
      </c>
      <c r="AN79" s="124"/>
      <c r="AO79" s="120">
        <f ca="1">SUMIFS(tb_rec_uni[2027-05-01],
INDIRECT("tb_rec_uni[natureza]"),"taxa.extra",
INDIRECT("tb_rec_uni[empresa]"),AO$6)</f>
        <v>0</v>
      </c>
      <c r="AP79" s="108"/>
      <c r="AQ79" s="108">
        <f ca="1">SUMIFS(
  m.vb[valor],
  m.vb[nucleo],$AJ$1,
  m.vb[variavel],AQ$7,
  m.vb[mes],$A79
)</f>
        <v>0</v>
      </c>
      <c r="AR79" s="108">
        <f ca="1">SUMIFS(
  m.vb[valor],
  m.vb[nucleo],$AJ$1,
  m.vb[variavel],AR$7,
  m.vb[mes],$A79
)</f>
        <v>0</v>
      </c>
      <c r="AS79" s="108">
        <f ca="1">SUMIFS(
  m.vb[valor],
  m.vb[nucleo],$AJ$1,
  m.vb[variavel],AS$7,
  m.vb[mes],$A79
)</f>
        <v>0</v>
      </c>
      <c r="AT79" s="108">
        <f ca="1">SUMIFS(
  m.vb[valor],
  m.vb[nucleo],$AJ$1,
  m.vb[variavel],AT$7,
  m.vb[mes],$A79
)</f>
        <v>0</v>
      </c>
      <c r="AU79" s="108">
        <f ca="1">SUMIFS(
  m.vb[valor],
  m.vb[nucleo],$AJ$1,
  m.vb[variavel],AU$7,
  m.vb[mes],$A79
)</f>
        <v>0</v>
      </c>
      <c r="AV79" s="119">
        <f>COUNTIFS(
    tb_estq[empresa], AV$6,
    tb_estq[Data da venda / reserva], "&gt;=" &amp; $A79,
    tb_estq[Data da venda / reserva], "&lt;"  &amp; EOMONTH($A79,0) + 1
)</f>
        <v>0</v>
      </c>
      <c r="AW79" s="120">
        <f ca="1">SUMIFS(tb_rec_uni[2027-05-01],
INDIRECT("tb_rec_uni[natureza]"),"pro.soluto",
INDIRECT("tb_rec_uni[empresa]"),AW$6)</f>
        <v>0</v>
      </c>
      <c r="AX79" s="120">
        <f ca="1">SUMIFS(tb_rec_uni[2027-05-01],
INDIRECT("tb_rec_uni[natureza]"),"repasse.cef.obra",
INDIRECT("tb_rec_uni[empresa]"),AX$6)</f>
        <v>0</v>
      </c>
      <c r="AY79" s="123">
        <f ca="1">SUMIFS(tb_rec_uni[2027-05-01],
INDIRECT("tb_rec_uni[natureza]"),"repasse.cef.terreno",
INDIRECT("tb_rec_uni[empresa]"),AY$6)</f>
        <v>0</v>
      </c>
      <c r="AZ79" s="124"/>
      <c r="BA79" s="120">
        <f ca="1">SUMIFS(tb_rec_uni[2027-05-01],
INDIRECT("tb_rec_uni[natureza]"),"taxa.extra",
INDIRECT("tb_rec_uni[empresa]"),BA$6)</f>
        <v>0</v>
      </c>
      <c r="BB79" s="108"/>
      <c r="BC79" s="108">
        <f ca="1">SUMIFS(
  m.vb[valor],
  m.vb[nucleo],$AV$1,
  m.vb[variavel],BC$7,
  m.vb[mes],$A79
)</f>
        <v>0</v>
      </c>
      <c r="BD79" s="108">
        <f ca="1">SUMIFS(
  m.vb[valor],
  m.vb[nucleo],$AV$1,
  m.vb[variavel],BD$7,
  m.vb[mes],$A79
)</f>
        <v>0</v>
      </c>
      <c r="BE79" s="108">
        <f ca="1">SUMIFS(
  m.vb[valor],
  m.vb[nucleo],$AV$1,
  m.vb[variavel],BE$7,
  m.vb[mes],$A79
)</f>
        <v>0</v>
      </c>
      <c r="BF79" s="108">
        <f ca="1">SUMIFS(
  m.vb[valor],
  m.vb[nucleo],$AV$1,
  m.vb[variavel],BF$7,
  m.vb[mes],$A79
)</f>
        <v>0</v>
      </c>
      <c r="BG79" s="108">
        <f ca="1">SUMIFS(
  m.vb[valor],
  m.vb[nucleo],$AV$1,
  m.vb[variavel],BG$7,
  m.vb[mes],$A79
)</f>
        <v>0</v>
      </c>
      <c r="BH79" s="119">
        <f>COUNTIFS(
    tb_estq[empresa], BH$6,
    tb_estq[Data da venda / reserva], "&gt;=" &amp; $A79,
    tb_estq[Data da venda / reserva], "&lt;"  &amp; EOMONTH($A79,0) + 1
)</f>
        <v>0</v>
      </c>
      <c r="BI79" s="120">
        <f ca="1">SUMIFS(tb_rec_uni[2027-05-01],
INDIRECT("tb_rec_uni[natureza]"),"pro.soluto",
INDIRECT("tb_rec_uni[empresa]"),BI$6)</f>
        <v>0</v>
      </c>
      <c r="BJ79" s="124"/>
      <c r="BK79" s="120">
        <f ca="1">SUMIFS(tb_rec_uni[2027-05-01],
INDIRECT("tb_rec_uni[natureza]"),"taxa.extra",
INDIRECT("tb_rec_uni[empresa]"),BK$6)</f>
        <v>0</v>
      </c>
      <c r="BL79" s="108"/>
      <c r="BM79" s="108">
        <f ca="1">SUMIFS(
  m.vb[valor],
  m.vb[nucleo],$BH$1,
  m.vb[variavel],BM$7,
  m.vb[mes],$A79
)</f>
        <v>0</v>
      </c>
      <c r="BN79" s="108">
        <f ca="1">SUMIFS(
  m.vb[valor],
  m.vb[nucleo],$BH$1,
  m.vb[variavel],BN$7,
  m.vb[mes],$A79
)</f>
        <v>0</v>
      </c>
      <c r="BO79" s="108">
        <f ca="1">SUMIFS(
  m.vb[valor],
  m.vb[nucleo],$BH$1,
  m.vb[variavel],BO$7,
  m.vb[mes],$A79
)</f>
        <v>0</v>
      </c>
      <c r="BP79" s="108">
        <f ca="1">SUMIFS(
  m.vb[valor],
  m.vb[nucleo],$BH$1,
  m.vb[variavel],BP$7,
  m.vb[mes],$A79
)</f>
        <v>0</v>
      </c>
      <c r="BQ79" s="108">
        <f ca="1">SUMIFS(
  m.vb[valor],
  m.vb[nucleo],$BH$1,
  m.vb[variavel],BQ$7,
  m.vb[mes],$A79
)</f>
        <v>0</v>
      </c>
      <c r="BR79" s="119">
        <f>COUNTIFS(
    tb_estq[empresa], BR$6,
    tb_estq[Data da venda / reserva], "&gt;=" &amp; $A79,
    tb_estq[Data da venda / reserva], "&lt;"  &amp; EOMONTH($A79,0) + 1
)</f>
        <v>0</v>
      </c>
      <c r="BS79" s="120">
        <f ca="1">SUMIFS(tb_rec_uni[2027-05-01],
INDIRECT("tb_rec_uni[natureza]"),"pro.soluto",
INDIRECT("tb_rec_uni[empresa]"),BS$6)</f>
        <v>0</v>
      </c>
      <c r="BT79" s="124">
        <f ca="1">SUMIFS(tb_rec_uni[2027-05-01],
INDIRECT("tb_rec_uni[natureza]"),"parcela.fin.total.ik",
INDIRECT("tb_rec_uni[empresa]"),BT$6)</f>
        <v>0</v>
      </c>
      <c r="BU79" s="120">
        <f ca="1">SUMIFS(tb_rec_uni[2027-05-01],
INDIRECT("tb_rec_uni[natureza]"),"taxa.extra",
INDIRECT("tb_rec_uni[empresa]"),BU$6)</f>
        <v>0</v>
      </c>
      <c r="BV79" s="108"/>
      <c r="BW79" s="108">
        <f ca="1">SUMIFS(
  m.vb[valor],
  m.vb[nucleo],$BR$1,
  m.vb[variavel],BW$7,
  m.vb[mes],$A79
)</f>
        <v>0</v>
      </c>
      <c r="BX79" s="108">
        <f ca="1">SUMIFS(
  m.vb[valor],
  m.vb[nucleo],$BR$1,
  m.vb[variavel],BX$7,
  m.vb[mes],$A79
)</f>
        <v>0</v>
      </c>
      <c r="BY79" s="108">
        <f ca="1">SUMIFS(
  m.vb[valor],
  m.vb[nucleo],$BR$1,
  m.vb[variavel],BY$7,
  m.vb[mes],$A79
)</f>
        <v>0</v>
      </c>
      <c r="BZ79" s="108">
        <f ca="1">SUMIFS(
  m.vb[valor],
  m.vb[nucleo],$BR$1,
  m.vb[variavel],BZ$7,
  m.vb[mes],$A79
)</f>
        <v>0</v>
      </c>
      <c r="CA79" s="108">
        <f ca="1">SUMIFS(
  m.vb[valor],
  m.vb[nucleo],$BR$1,
  m.vb[variavel],CA$7,
  m.vb[mes],$A79
)</f>
        <v>0</v>
      </c>
      <c r="CB79" s="119">
        <f>COUNTIFS(
    tb_estq[empresa], CB$6,
    tb_estq[Data da venda / reserva], "&gt;=" &amp; $A79,
    tb_estq[Data da venda / reserva], "&lt;"  &amp; EOMONTH($A79,0) + 1
)</f>
        <v>0</v>
      </c>
      <c r="CC79" s="120">
        <f ca="1">SUMIFS(tb_rec_uni[2027-05-01],
INDIRECT("tb_rec_uni[natureza]"),"pro.soluto",
INDIRECT("tb_rec_uni[empresa]"),CC$6)</f>
        <v>0</v>
      </c>
      <c r="CD79" s="120">
        <f ca="1">SUMIFS(tb_rec_uni[2027-05-01],
INDIRECT("tb_rec_uni[natureza]"),"repasse.cef.obra",
INDIRECT("tb_rec_uni[empresa]"),CD$6)</f>
        <v>0</v>
      </c>
      <c r="CE79" s="123">
        <f ca="1">SUMIFS(tb_rec_uni[2027-05-01],
INDIRECT("tb_rec_uni[natureza]"),"repasse.cef.terreno",
INDIRECT("tb_rec_uni[empresa]"),CE$6)</f>
        <v>0</v>
      </c>
      <c r="CF79" s="124"/>
      <c r="CG79" s="120">
        <f ca="1">SUMIFS(tb_rec_uni[2027-05-01],
INDIRECT("tb_rec_uni[natureza]"),"taxa.extra",
INDIRECT("tb_rec_uni[empresa]"),CG$6)</f>
        <v>0</v>
      </c>
      <c r="CH79" s="108"/>
      <c r="CI79" s="108">
        <f ca="1">SUMIFS(
  m.vb[valor],
  m.vb[nucleo],$CB$1,
  m.vb[variavel],CI$7,
  m.vb[mes],$A79
)</f>
        <v>0</v>
      </c>
      <c r="CJ79" s="108">
        <f ca="1">SUMIFS(
  m.vb[valor],
  m.vb[nucleo],$CB$1,
  m.vb[variavel],CJ$7,
  m.vb[mes],$A79
)</f>
        <v>0</v>
      </c>
      <c r="CK79" s="108">
        <f ca="1">SUMIFS(
  m.vb[valor],
  m.vb[nucleo],$CB$1,
  m.vb[variavel],CK$7,
  m.vb[mes],$A79
)</f>
        <v>0</v>
      </c>
      <c r="CL79" s="108">
        <f ca="1">SUMIFS(
  m.vb[valor],
  m.vb[nucleo],$CB$1,
  m.vb[variavel],CL$7,
  m.vb[mes],$A79
)</f>
        <v>0</v>
      </c>
      <c r="CM79" s="108">
        <f ca="1">SUMIFS(
  m.vb[valor],
  m.vb[nucleo],$CB$1,
  m.vb[variavel],CM$7,
  m.vb[mes],$A79
)</f>
        <v>0</v>
      </c>
      <c r="CN79" s="119">
        <f>COUNTIFS(
    tb_estq[empresa], CN$6,
    tb_estq[Data da venda / reserva], "&gt;=" &amp; $A79,
    tb_estq[Data da venda / reserva], "&lt;"  &amp; EOMONTH($A79,0) + 1
)</f>
        <v>0</v>
      </c>
      <c r="CO79" s="120">
        <f ca="1">SUMIFS(tb_rec_uni[2027-05-01],
INDIRECT("tb_rec_uni[natureza]"),"pro.soluto",
INDIRECT("tb_rec_uni[empresa]"),CO$6)</f>
        <v>0</v>
      </c>
      <c r="CP79" s="120">
        <f ca="1">SUMIFS(tb_rec_uni[2027-05-01],
INDIRECT("tb_rec_uni[natureza]"),"repasse.cef.obra",
INDIRECT("tb_rec_uni[empresa]"),CP$6)</f>
        <v>0</v>
      </c>
      <c r="CQ79" s="123">
        <f ca="1">SUMIFS(tb_rec_uni[2027-05-01],
INDIRECT("tb_rec_uni[natureza]"),"repasse.cef.terreno",
INDIRECT("tb_rec_uni[empresa]"),CQ$6)</f>
        <v>0</v>
      </c>
      <c r="CR79" s="124"/>
      <c r="CS79" s="120">
        <f ca="1">SUMIFS(tb_rec_uni[2027-05-01],
INDIRECT("tb_rec_uni[natureza]"),"taxa.extra",
INDIRECT("tb_rec_uni[empresa]"),CS$6)</f>
        <v>0</v>
      </c>
      <c r="CT79" s="108"/>
      <c r="CU79" s="108">
        <f ca="1">SUMIFS(
  m.vb[valor],
  m.vb[nucleo],$CN$1,
  m.vb[variavel],CU$7,
  m.vb[mes],$A79
)</f>
        <v>0</v>
      </c>
      <c r="CV79" s="108" cm="1">
        <f t="array" ref="CV79">SUMPRODUCT(
  IFERROR(--tb_desp[valor],0)*
  (tb_desp[nucleo]="UP MOVE VILA SONIA")*
  (tb_desp[categoria]=CV$7)*
  (tb_desp[data.pagamento]&gt;=$A79)*
  (tb_desp[data.pagamento]&lt;EOMONTH($A79,0)+1)
)</f>
        <v>0</v>
      </c>
      <c r="CW79" s="108" cm="1">
        <f t="array" ref="CW79">SUMPRODUCT(
  IFERROR(--tb_desp[valor],0)*
  (tb_desp[nucleo]="UP MOVE VILA SONIA")*
  (tb_desp[categoria]=CW$7)*
  (tb_desp[data.pagamento]&gt;=$A79)*
  (tb_desp[data.pagamento]&lt;EOMONTH($A79,0)+1)
)</f>
        <v>0</v>
      </c>
      <c r="CX79" s="108" cm="1">
        <f t="array" ref="CX79">SUMPRODUCT(
  IFERROR(--tb_desp[valor],0)*
  (tb_desp[nucleo]="UP MOVE VILA SONIA")*
  (tb_desp[categoria]=CX$7)*
  (tb_desp[data.pagamento]&gt;=$A79)*
  (tb_desp[data.pagamento]&lt;EOMONTH($A79,0)+1)
)</f>
        <v>0</v>
      </c>
      <c r="CY79" s="221" cm="1">
        <f t="array" ref="CY79">SUMPRODUCT(
  IFERROR(--tb_desp[valor],0)*
  (tb_desp[nucleo]="UP MOVE VILA SONIA")*
  (tb_desp[categoria]=CY$7)*
  (tb_desp[data.pagamento]&gt;=$A79)*
  (tb_desp[data.pagamento]&lt;EOMONTH($A79,0)+1)
)</f>
        <v>0</v>
      </c>
    </row>
    <row r="80" spans="1:103" x14ac:dyDescent="0.25">
      <c r="A80" s="118">
        <v>46539</v>
      </c>
      <c r="B80" s="119">
        <f>COUNTIFS(
    tb_estq[empresa], B$6,
    tb_estq[Data da venda / reserva], "&gt;=" &amp; $A80,
    tb_estq[Data da venda / reserva], "&lt;"  &amp; EOMONTH($A80,0) + 1
)</f>
        <v>0</v>
      </c>
      <c r="C80" s="120">
        <f ca="1">SUMIFS(tb_rec_uni[2027-06-01],
INDIRECT("tb_rec_uni[natureza]"),"pro.soluto",
INDIRECT("tb_rec_uni[empresa]"),C$6)</f>
        <v>0</v>
      </c>
      <c r="D80" s="120">
        <f ca="1">SUMIFS(tb_rec_uni[2027-06-01],
INDIRECT("tb_rec_uni[natureza]"),"repasse.cef.obra",
INDIRECT("tb_rec_uni[empresa]"),D$6)</f>
        <v>0</v>
      </c>
      <c r="E80" s="120">
        <f ca="1">SUMIFS(tb_rec_uni[2027-06-01],
INDIRECT("tb_rec_uni[natureza]"),"repasse.cef.terreno",
INDIRECT("tb_rec_uni[empresa]"),E$6)</f>
        <v>0</v>
      </c>
      <c r="F80" s="124"/>
      <c r="G80" s="120">
        <f ca="1">SUMIFS(tb_rec_uni[2027-06-01],
INDIRECT("tb_rec_uni[natureza]"),"taxa.extra",
INDIRECT("tb_rec_uni[empresa]"),G$6)</f>
        <v>0</v>
      </c>
      <c r="H80" s="108"/>
      <c r="I80" s="108">
        <f ca="1">SUMIFS(
  m.vb[valor],
  m.vb[nucleo],$B$1,
  m.vb[variavel],I$7,
  m.vb[mes],$A80
)</f>
        <v>0</v>
      </c>
      <c r="J80" s="108">
        <f ca="1">SUMIFS(
  m.vb[valor],
  m.vb[nucleo],$B$1,
  m.vb[variavel],J$7,
  m.vb[mes],$A80
)</f>
        <v>0</v>
      </c>
      <c r="K80" s="108">
        <f ca="1">SUMIFS(
  m.vb[valor],
  m.vb[nucleo],$B$1,
  m.vb[variavel],K$7,
  m.vb[mes],$A80
)</f>
        <v>0</v>
      </c>
      <c r="L80" s="108">
        <f ca="1">SUMIFS(
  m.vb[valor],
  m.vb[nucleo],$B$1,
  m.vb[variavel],L$7,
  m.vb[mes],$A80
)</f>
        <v>0</v>
      </c>
      <c r="M80" s="108">
        <f ca="1">SUMIFS(
  m.vb[valor],
  m.vb[nucleo],$B$1,
  m.vb[variavel],M$7,
  m.vb[mes],$A80
)</f>
        <v>0</v>
      </c>
      <c r="N80" s="119">
        <f>COUNTIFS(
    tb_estq[empresa], N$6,
    tb_estq[Data da venda / reserva], "&gt;=" &amp; $A80,
    tb_estq[Data da venda / reserva], "&lt;"  &amp; EOMONTH($A80,0) + 1
)</f>
        <v>0</v>
      </c>
      <c r="O80" s="120">
        <f ca="1">SUMIFS(tb_rec_uni[2027-06-01],
INDIRECT("tb_rec_uni[natureza]"),"pro.soluto",
INDIRECT("tb_rec_uni[empresa]"),O$6)</f>
        <v>0</v>
      </c>
      <c r="P80" s="120">
        <f ca="1">SUMIFS(tb_rec_uni[2027-06-01],
INDIRECT("tb_rec_uni[natureza]"),"repasse.cef.obra",
INDIRECT("tb_rec_uni[empresa]"),P$6)</f>
        <v>0</v>
      </c>
      <c r="Q80" s="120">
        <f ca="1">SUMIFS(tb_rec_uni[2027-06-01],
INDIRECT("tb_rec_uni[natureza]"),"repasse.cef.terreno",
INDIRECT("tb_rec_uni[empresa]"),Q$6)</f>
        <v>0</v>
      </c>
      <c r="R80" s="124"/>
      <c r="S80" s="120">
        <f ca="1">SUMIFS(tb_rec_uni[2027-06-01],
INDIRECT("tb_rec_uni[natureza]"),"taxa.extra",
INDIRECT("tb_rec_uni[empresa]"),S$6)</f>
        <v>0</v>
      </c>
      <c r="T80" s="108"/>
      <c r="U80" s="108">
        <f ca="1">SUMIFS(
  m.vb[valor],
  m.vb[nucleo],$N$1,
  m.vb[variavel],U$7,
  m.vb[mes],$A80
)</f>
        <v>0</v>
      </c>
      <c r="V80" s="108">
        <f ca="1">SUMIFS(
  m.vb[valor],
  m.vb[nucleo],$N$1,
  m.vb[variavel],V$7,
  m.vb[mes],$A80
)</f>
        <v>0</v>
      </c>
      <c r="W80" s="108">
        <f ca="1">SUMIFS(
  m.vb[valor],
  m.vb[nucleo],$N$1,
  m.vb[variavel],W$7,
  m.vb[mes],$A80
)</f>
        <v>0</v>
      </c>
      <c r="X80" s="108">
        <f ca="1">SUMIFS(
  m.vb[valor],
  m.vb[nucleo],$N$1,
  m.vb[variavel],X$7,
  m.vb[mes],$A80
)</f>
        <v>0</v>
      </c>
      <c r="Y80" s="108">
        <f ca="1">SUMIFS(
  m.vb[valor],
  m.vb[nucleo],$N$1,
  m.vb[variavel],Y$7,
  m.vb[mes],$A80
)</f>
        <v>0</v>
      </c>
      <c r="Z80" s="119">
        <f>COUNTIFS(
    tb_estq[empresa], Z$6,
    tb_estq[Data da venda / reserva], "&gt;=" &amp; $A80,
    tb_estq[Data da venda / reserva], "&lt;"  &amp; EOMONTH($A80,0) + 1
)</f>
        <v>0</v>
      </c>
      <c r="AA80" s="120">
        <f ca="1">SUMIFS(tb_rec_uni[2027-06-01],
INDIRECT("tb_rec_uni[natureza]"),"pro.soluto",
INDIRECT("tb_rec_uni[empresa]"),AA$6)</f>
        <v>0</v>
      </c>
      <c r="AB80" s="124">
        <f ca="1">SUMIFS(tb_rec_uni[2027-06-01],
INDIRECT("tb_rec_uni[natureza]"),"parcela.fin.total.ik",
INDIRECT("tb_rec_uni[empresa]"),AB$6)</f>
        <v>0</v>
      </c>
      <c r="AC80" s="120">
        <f ca="1">SUMIFS(tb_rec_uni[2027-06-01],
INDIRECT("tb_rec_uni[natureza]"),"taxa.extra",
INDIRECT("tb_rec_uni[empresa]"),AC$6)</f>
        <v>0</v>
      </c>
      <c r="AD80" s="108"/>
      <c r="AE80" s="108">
        <f ca="1">SUMIFS(
  m.vb[valor],
  m.vb[nucleo],$Z$1,
  m.vb[variavel],AE$7,
  m.vb[mes],$A80
)</f>
        <v>0</v>
      </c>
      <c r="AF80" s="108">
        <f ca="1">SUMIFS(
  m.vb[valor],
  m.vb[nucleo],$Z$1,
  m.vb[variavel],AF$7,
  m.vb[mes],$A80
)</f>
        <v>0</v>
      </c>
      <c r="AG80" s="108">
        <f ca="1">SUMIFS(
  m.vb[valor],
  m.vb[nucleo],$Z$1,
  m.vb[variavel],AG$7,
  m.vb[mes],$A80
)</f>
        <v>0</v>
      </c>
      <c r="AH80" s="108">
        <f ca="1">SUMIFS(
  m.vb[valor],
  m.vb[nucleo],$Z$1,
  m.vb[variavel],AH$7,
  m.vb[mes],$A80
)</f>
        <v>0</v>
      </c>
      <c r="AI80" s="108">
        <f ca="1">SUMIFS(
  m.vb[valor],
  m.vb[nucleo],$Z$1,
  m.vb[variavel],AI$7,
  m.vb[mes],$A80
)</f>
        <v>0</v>
      </c>
      <c r="AJ80" s="119">
        <f>COUNTIFS(
    tb_estq[empresa], AJ$6,
    tb_estq[Data da venda / reserva], "&gt;=" &amp; $A80,
    tb_estq[Data da venda / reserva], "&lt;"  &amp; EOMONTH($A80,0) + 1
)</f>
        <v>0</v>
      </c>
      <c r="AK80" s="120">
        <f ca="1">SUMIFS(tb_rec_uni[2027-06-01],
INDIRECT("tb_rec_uni[natureza]"),"pro.soluto",
INDIRECT("tb_rec_uni[empresa]"),AK$6)</f>
        <v>0</v>
      </c>
      <c r="AL80" s="120">
        <f ca="1">SUMIFS(tb_rec_uni[2027-06-01],
INDIRECT("tb_rec_uni[natureza]"),"repasse.cef.obra",
INDIRECT("tb_rec_uni[empresa]"),AL$6)</f>
        <v>0</v>
      </c>
      <c r="AM80" s="123">
        <f ca="1">SUMIFS(tb_rec_uni[2027-06-01],
INDIRECT("tb_rec_uni[natureza]"),"repasse.cef.terreno",
INDIRECT("tb_rec_uni[empresa]"),AM$6)</f>
        <v>0</v>
      </c>
      <c r="AN80" s="124"/>
      <c r="AO80" s="120">
        <f ca="1">SUMIFS(tb_rec_uni[2027-06-01],
INDIRECT("tb_rec_uni[natureza]"),"taxa.extra",
INDIRECT("tb_rec_uni[empresa]"),AO$6)</f>
        <v>0</v>
      </c>
      <c r="AP80" s="108"/>
      <c r="AQ80" s="108">
        <f ca="1">SUMIFS(
  m.vb[valor],
  m.vb[nucleo],$AJ$1,
  m.vb[variavel],AQ$7,
  m.vb[mes],$A80
)</f>
        <v>0</v>
      </c>
      <c r="AR80" s="108">
        <f ca="1">SUMIFS(
  m.vb[valor],
  m.vb[nucleo],$AJ$1,
  m.vb[variavel],AR$7,
  m.vb[mes],$A80
)</f>
        <v>0</v>
      </c>
      <c r="AS80" s="108">
        <f ca="1">SUMIFS(
  m.vb[valor],
  m.vb[nucleo],$AJ$1,
  m.vb[variavel],AS$7,
  m.vb[mes],$A80
)</f>
        <v>0</v>
      </c>
      <c r="AT80" s="108">
        <f ca="1">SUMIFS(
  m.vb[valor],
  m.vb[nucleo],$AJ$1,
  m.vb[variavel],AT$7,
  m.vb[mes],$A80
)</f>
        <v>0</v>
      </c>
      <c r="AU80" s="108">
        <f ca="1">SUMIFS(
  m.vb[valor],
  m.vb[nucleo],$AJ$1,
  m.vb[variavel],AU$7,
  m.vb[mes],$A80
)</f>
        <v>0</v>
      </c>
      <c r="AV80" s="119">
        <f>COUNTIFS(
    tb_estq[empresa], AV$6,
    tb_estq[Data da venda / reserva], "&gt;=" &amp; $A80,
    tb_estq[Data da venda / reserva], "&lt;"  &amp; EOMONTH($A80,0) + 1
)</f>
        <v>0</v>
      </c>
      <c r="AW80" s="120">
        <f ca="1">SUMIFS(tb_rec_uni[2027-06-01],
INDIRECT("tb_rec_uni[natureza]"),"pro.soluto",
INDIRECT("tb_rec_uni[empresa]"),AW$6)</f>
        <v>0</v>
      </c>
      <c r="AX80" s="120">
        <f ca="1">SUMIFS(tb_rec_uni[2027-06-01],
INDIRECT("tb_rec_uni[natureza]"),"repasse.cef.obra",
INDIRECT("tb_rec_uni[empresa]"),AX$6)</f>
        <v>0</v>
      </c>
      <c r="AY80" s="123">
        <f ca="1">SUMIFS(tb_rec_uni[2027-06-01],
INDIRECT("tb_rec_uni[natureza]"),"repasse.cef.terreno",
INDIRECT("tb_rec_uni[empresa]"),AY$6)</f>
        <v>0</v>
      </c>
      <c r="AZ80" s="124"/>
      <c r="BA80" s="120">
        <f ca="1">SUMIFS(tb_rec_uni[2027-06-01],
INDIRECT("tb_rec_uni[natureza]"),"taxa.extra",
INDIRECT("tb_rec_uni[empresa]"),BA$6)</f>
        <v>0</v>
      </c>
      <c r="BB80" s="108"/>
      <c r="BC80" s="108">
        <f ca="1">SUMIFS(
  m.vb[valor],
  m.vb[nucleo],$AV$1,
  m.vb[variavel],BC$7,
  m.vb[mes],$A80
)</f>
        <v>0</v>
      </c>
      <c r="BD80" s="108">
        <f ca="1">SUMIFS(
  m.vb[valor],
  m.vb[nucleo],$AV$1,
  m.vb[variavel],BD$7,
  m.vb[mes],$A80
)</f>
        <v>0</v>
      </c>
      <c r="BE80" s="108">
        <f ca="1">SUMIFS(
  m.vb[valor],
  m.vb[nucleo],$AV$1,
  m.vb[variavel],BE$7,
  m.vb[mes],$A80
)</f>
        <v>0</v>
      </c>
      <c r="BF80" s="108">
        <f ca="1">SUMIFS(
  m.vb[valor],
  m.vb[nucleo],$AV$1,
  m.vb[variavel],BF$7,
  m.vb[mes],$A80
)</f>
        <v>0</v>
      </c>
      <c r="BG80" s="108">
        <f ca="1">SUMIFS(
  m.vb[valor],
  m.vb[nucleo],$AV$1,
  m.vb[variavel],BG$7,
  m.vb[mes],$A80
)</f>
        <v>0</v>
      </c>
      <c r="BH80" s="119">
        <f>COUNTIFS(
    tb_estq[empresa], BH$6,
    tb_estq[Data da venda / reserva], "&gt;=" &amp; $A80,
    tb_estq[Data da venda / reserva], "&lt;"  &amp; EOMONTH($A80,0) + 1
)</f>
        <v>0</v>
      </c>
      <c r="BI80" s="120">
        <f ca="1">SUMIFS(tb_rec_uni[2027-06-01],
INDIRECT("tb_rec_uni[natureza]"),"pro.soluto",
INDIRECT("tb_rec_uni[empresa]"),BI$6)</f>
        <v>0</v>
      </c>
      <c r="BJ80" s="124"/>
      <c r="BK80" s="120">
        <f ca="1">SUMIFS(tb_rec_uni[2027-06-01],
INDIRECT("tb_rec_uni[natureza]"),"taxa.extra",
INDIRECT("tb_rec_uni[empresa]"),BK$6)</f>
        <v>0</v>
      </c>
      <c r="BL80" s="108"/>
      <c r="BM80" s="108">
        <f ca="1">SUMIFS(
  m.vb[valor],
  m.vb[nucleo],$BH$1,
  m.vb[variavel],BM$7,
  m.vb[mes],$A80
)</f>
        <v>0</v>
      </c>
      <c r="BN80" s="108">
        <f ca="1">SUMIFS(
  m.vb[valor],
  m.vb[nucleo],$BH$1,
  m.vb[variavel],BN$7,
  m.vb[mes],$A80
)</f>
        <v>0</v>
      </c>
      <c r="BO80" s="108">
        <f ca="1">SUMIFS(
  m.vb[valor],
  m.vb[nucleo],$BH$1,
  m.vb[variavel],BO$7,
  m.vb[mes],$A80
)</f>
        <v>0</v>
      </c>
      <c r="BP80" s="108">
        <f ca="1">SUMIFS(
  m.vb[valor],
  m.vb[nucleo],$BH$1,
  m.vb[variavel],BP$7,
  m.vb[mes],$A80
)</f>
        <v>0</v>
      </c>
      <c r="BQ80" s="108">
        <f ca="1">SUMIFS(
  m.vb[valor],
  m.vb[nucleo],$BH$1,
  m.vb[variavel],BQ$7,
  m.vb[mes],$A80
)</f>
        <v>0</v>
      </c>
      <c r="BR80" s="119">
        <f>COUNTIFS(
    tb_estq[empresa], BR$6,
    tb_estq[Data da venda / reserva], "&gt;=" &amp; $A80,
    tb_estq[Data da venda / reserva], "&lt;"  &amp; EOMONTH($A80,0) + 1
)</f>
        <v>0</v>
      </c>
      <c r="BS80" s="120">
        <f ca="1">SUMIFS(tb_rec_uni[2027-06-01],
INDIRECT("tb_rec_uni[natureza]"),"pro.soluto",
INDIRECT("tb_rec_uni[empresa]"),BS$6)</f>
        <v>0</v>
      </c>
      <c r="BT80" s="124">
        <f ca="1">SUMIFS(tb_rec_uni[2027-06-01],
INDIRECT("tb_rec_uni[natureza]"),"parcela.fin.total.ik",
INDIRECT("tb_rec_uni[empresa]"),BT$6)</f>
        <v>0</v>
      </c>
      <c r="BU80" s="120">
        <f ca="1">SUMIFS(tb_rec_uni[2027-06-01],
INDIRECT("tb_rec_uni[natureza]"),"taxa.extra",
INDIRECT("tb_rec_uni[empresa]"),BU$6)</f>
        <v>0</v>
      </c>
      <c r="BV80" s="108"/>
      <c r="BW80" s="108">
        <f ca="1">SUMIFS(
  m.vb[valor],
  m.vb[nucleo],$BR$1,
  m.vb[variavel],BW$7,
  m.vb[mes],$A80
)</f>
        <v>0</v>
      </c>
      <c r="BX80" s="108">
        <f ca="1">SUMIFS(
  m.vb[valor],
  m.vb[nucleo],$BR$1,
  m.vb[variavel],BX$7,
  m.vb[mes],$A80
)</f>
        <v>0</v>
      </c>
      <c r="BY80" s="108">
        <f ca="1">SUMIFS(
  m.vb[valor],
  m.vb[nucleo],$BR$1,
  m.vb[variavel],BY$7,
  m.vb[mes],$A80
)</f>
        <v>0</v>
      </c>
      <c r="BZ80" s="108">
        <f ca="1">SUMIFS(
  m.vb[valor],
  m.vb[nucleo],$BR$1,
  m.vb[variavel],BZ$7,
  m.vb[mes],$A80
)</f>
        <v>0</v>
      </c>
      <c r="CA80" s="108">
        <f ca="1">SUMIFS(
  m.vb[valor],
  m.vb[nucleo],$BR$1,
  m.vb[variavel],CA$7,
  m.vb[mes],$A80
)</f>
        <v>0</v>
      </c>
      <c r="CB80" s="119">
        <f>COUNTIFS(
    tb_estq[empresa], CB$6,
    tb_estq[Data da venda / reserva], "&gt;=" &amp; $A80,
    tb_estq[Data da venda / reserva], "&lt;"  &amp; EOMONTH($A80,0) + 1
)</f>
        <v>0</v>
      </c>
      <c r="CC80" s="120">
        <f ca="1">SUMIFS(tb_rec_uni[2027-06-01],
INDIRECT("tb_rec_uni[natureza]"),"pro.soluto",
INDIRECT("tb_rec_uni[empresa]"),CC$6)</f>
        <v>0</v>
      </c>
      <c r="CD80" s="120">
        <f ca="1">SUMIFS(tb_rec_uni[2027-06-01],
INDIRECT("tb_rec_uni[natureza]"),"repasse.cef.obra",
INDIRECT("tb_rec_uni[empresa]"),CD$6)</f>
        <v>0</v>
      </c>
      <c r="CE80" s="123">
        <f ca="1">SUMIFS(tb_rec_uni[2027-06-01],
INDIRECT("tb_rec_uni[natureza]"),"repasse.cef.terreno",
INDIRECT("tb_rec_uni[empresa]"),CE$6)</f>
        <v>0</v>
      </c>
      <c r="CF80" s="124"/>
      <c r="CG80" s="120">
        <f ca="1">SUMIFS(tb_rec_uni[2027-06-01],
INDIRECT("tb_rec_uni[natureza]"),"taxa.extra",
INDIRECT("tb_rec_uni[empresa]"),CG$6)</f>
        <v>0</v>
      </c>
      <c r="CH80" s="108"/>
      <c r="CI80" s="108">
        <f ca="1">SUMIFS(
  m.vb[valor],
  m.vb[nucleo],$CB$1,
  m.vb[variavel],CI$7,
  m.vb[mes],$A80
)</f>
        <v>0</v>
      </c>
      <c r="CJ80" s="108">
        <f ca="1">SUMIFS(
  m.vb[valor],
  m.vb[nucleo],$CB$1,
  m.vb[variavel],CJ$7,
  m.vb[mes],$A80
)</f>
        <v>0</v>
      </c>
      <c r="CK80" s="108">
        <f ca="1">SUMIFS(
  m.vb[valor],
  m.vb[nucleo],$CB$1,
  m.vb[variavel],CK$7,
  m.vb[mes],$A80
)</f>
        <v>0</v>
      </c>
      <c r="CL80" s="108">
        <f ca="1">SUMIFS(
  m.vb[valor],
  m.vb[nucleo],$CB$1,
  m.vb[variavel],CL$7,
  m.vb[mes],$A80
)</f>
        <v>0</v>
      </c>
      <c r="CM80" s="108">
        <f ca="1">SUMIFS(
  m.vb[valor],
  m.vb[nucleo],$CB$1,
  m.vb[variavel],CM$7,
  m.vb[mes],$A80
)</f>
        <v>0</v>
      </c>
      <c r="CN80" s="119">
        <f>COUNTIFS(
    tb_estq[empresa], CN$6,
    tb_estq[Data da venda / reserva], "&gt;=" &amp; $A80,
    tb_estq[Data da venda / reserva], "&lt;"  &amp; EOMONTH($A80,0) + 1
)</f>
        <v>0</v>
      </c>
      <c r="CO80" s="120">
        <f ca="1">SUMIFS(tb_rec_uni[2027-06-01],
INDIRECT("tb_rec_uni[natureza]"),"pro.soluto",
INDIRECT("tb_rec_uni[empresa]"),CO$6)</f>
        <v>0</v>
      </c>
      <c r="CP80" s="120">
        <f ca="1">SUMIFS(tb_rec_uni[2027-06-01],
INDIRECT("tb_rec_uni[natureza]"),"repasse.cef.obra",
INDIRECT("tb_rec_uni[empresa]"),CP$6)</f>
        <v>0</v>
      </c>
      <c r="CQ80" s="123">
        <f ca="1">SUMIFS(tb_rec_uni[2027-06-01],
INDIRECT("tb_rec_uni[natureza]"),"repasse.cef.terreno",
INDIRECT("tb_rec_uni[empresa]"),CQ$6)</f>
        <v>0</v>
      </c>
      <c r="CR80" s="124"/>
      <c r="CS80" s="120">
        <f ca="1">SUMIFS(tb_rec_uni[2027-06-01],
INDIRECT("tb_rec_uni[natureza]"),"taxa.extra",
INDIRECT("tb_rec_uni[empresa]"),CS$6)</f>
        <v>0</v>
      </c>
      <c r="CT80" s="108"/>
      <c r="CU80" s="108">
        <f ca="1">SUMIFS(
  m.vb[valor],
  m.vb[nucleo],$CN$1,
  m.vb[variavel],CU$7,
  m.vb[mes],$A80
)</f>
        <v>0</v>
      </c>
      <c r="CV80" s="108" cm="1">
        <f t="array" ref="CV80">SUMPRODUCT(
  IFERROR(--tb_desp[valor],0)*
  (tb_desp[nucleo]="UP MOVE VILA SONIA")*
  (tb_desp[categoria]=CV$7)*
  (tb_desp[data.pagamento]&gt;=$A80)*
  (tb_desp[data.pagamento]&lt;EOMONTH($A80,0)+1)
)</f>
        <v>0</v>
      </c>
      <c r="CW80" s="108" cm="1">
        <f t="array" ref="CW80">SUMPRODUCT(
  IFERROR(--tb_desp[valor],0)*
  (tb_desp[nucleo]="UP MOVE VILA SONIA")*
  (tb_desp[categoria]=CW$7)*
  (tb_desp[data.pagamento]&gt;=$A80)*
  (tb_desp[data.pagamento]&lt;EOMONTH($A80,0)+1)
)</f>
        <v>0</v>
      </c>
      <c r="CX80" s="108" cm="1">
        <f t="array" ref="CX80">SUMPRODUCT(
  IFERROR(--tb_desp[valor],0)*
  (tb_desp[nucleo]="UP MOVE VILA SONIA")*
  (tb_desp[categoria]=CX$7)*
  (tb_desp[data.pagamento]&gt;=$A80)*
  (tb_desp[data.pagamento]&lt;EOMONTH($A80,0)+1)
)</f>
        <v>0</v>
      </c>
      <c r="CY80" s="221" cm="1">
        <f t="array" ref="CY80">SUMPRODUCT(
  IFERROR(--tb_desp[valor],0)*
  (tb_desp[nucleo]="UP MOVE VILA SONIA")*
  (tb_desp[categoria]=CY$7)*
  (tb_desp[data.pagamento]&gt;=$A80)*
  (tb_desp[data.pagamento]&lt;EOMONTH($A80,0)+1)
)</f>
        <v>0</v>
      </c>
    </row>
    <row r="81" spans="1:103" x14ac:dyDescent="0.25">
      <c r="A81" s="118">
        <v>46569</v>
      </c>
      <c r="B81" s="119">
        <f>COUNTIFS(
    tb_estq[empresa], B$6,
    tb_estq[Data da venda / reserva], "&gt;=" &amp; $A81,
    tb_estq[Data da venda / reserva], "&lt;"  &amp; EOMONTH($A81,0) + 1
)</f>
        <v>0</v>
      </c>
      <c r="C81" s="120">
        <f ca="1">SUMIFS(tb_rec_uni[2027-07-01],
INDIRECT("tb_rec_uni[natureza]"),"pro.soluto",
INDIRECT("tb_rec_uni[empresa]"),C$6)</f>
        <v>0</v>
      </c>
      <c r="D81" s="120">
        <f ca="1">SUMIFS(tb_rec_uni[2027-07-01],
INDIRECT("tb_rec_uni[natureza]"),"repasse.cef.obra",
INDIRECT("tb_rec_uni[empresa]"),D$6)</f>
        <v>0</v>
      </c>
      <c r="E81" s="120">
        <f ca="1">SUMIFS(tb_rec_uni[2027-07-01],
INDIRECT("tb_rec_uni[natureza]"),"repasse.cef.terreno",
INDIRECT("tb_rec_uni[empresa]"),E$6)</f>
        <v>0</v>
      </c>
      <c r="F81" s="124"/>
      <c r="G81" s="120">
        <f ca="1">SUMIFS(tb_rec_uni[2027-07-01],
INDIRECT("tb_rec_uni[natureza]"),"taxa.extra",
INDIRECT("tb_rec_uni[empresa]"),G$6)</f>
        <v>0</v>
      </c>
      <c r="H81" s="108"/>
      <c r="I81" s="108">
        <f ca="1">SUMIFS(
  m.vb[valor],
  m.vb[nucleo],$B$1,
  m.vb[variavel],I$7,
  m.vb[mes],$A81
)</f>
        <v>0</v>
      </c>
      <c r="J81" s="108">
        <f ca="1">SUMIFS(
  m.vb[valor],
  m.vb[nucleo],$B$1,
  m.vb[variavel],J$7,
  m.vb[mes],$A81
)</f>
        <v>0</v>
      </c>
      <c r="K81" s="108">
        <f ca="1">SUMIFS(
  m.vb[valor],
  m.vb[nucleo],$B$1,
  m.vb[variavel],K$7,
  m.vb[mes],$A81
)</f>
        <v>0</v>
      </c>
      <c r="L81" s="108">
        <f ca="1">SUMIFS(
  m.vb[valor],
  m.vb[nucleo],$B$1,
  m.vb[variavel],L$7,
  m.vb[mes],$A81
)</f>
        <v>0</v>
      </c>
      <c r="M81" s="108">
        <f ca="1">SUMIFS(
  m.vb[valor],
  m.vb[nucleo],$B$1,
  m.vb[variavel],M$7,
  m.vb[mes],$A81
)</f>
        <v>0</v>
      </c>
      <c r="N81" s="119">
        <f>COUNTIFS(
    tb_estq[empresa], N$6,
    tb_estq[Data da venda / reserva], "&gt;=" &amp; $A81,
    tb_estq[Data da venda / reserva], "&lt;"  &amp; EOMONTH($A81,0) + 1
)</f>
        <v>0</v>
      </c>
      <c r="O81" s="120">
        <f ca="1">SUMIFS(tb_rec_uni[2027-07-01],
INDIRECT("tb_rec_uni[natureza]"),"pro.soluto",
INDIRECT("tb_rec_uni[empresa]"),O$6)</f>
        <v>0</v>
      </c>
      <c r="P81" s="120">
        <f ca="1">SUMIFS(tb_rec_uni[2027-07-01],
INDIRECT("tb_rec_uni[natureza]"),"repasse.cef.obra",
INDIRECT("tb_rec_uni[empresa]"),P$6)</f>
        <v>0</v>
      </c>
      <c r="Q81" s="120">
        <f ca="1">SUMIFS(tb_rec_uni[2027-07-01],
INDIRECT("tb_rec_uni[natureza]"),"repasse.cef.terreno",
INDIRECT("tb_rec_uni[empresa]"),Q$6)</f>
        <v>0</v>
      </c>
      <c r="R81" s="124"/>
      <c r="S81" s="120">
        <f ca="1">SUMIFS(tb_rec_uni[2027-07-01],
INDIRECT("tb_rec_uni[natureza]"),"taxa.extra",
INDIRECT("tb_rec_uni[empresa]"),S$6)</f>
        <v>0</v>
      </c>
      <c r="T81" s="108"/>
      <c r="U81" s="108">
        <f ca="1">SUMIFS(
  m.vb[valor],
  m.vb[nucleo],$N$1,
  m.vb[variavel],U$7,
  m.vb[mes],$A81
)</f>
        <v>0</v>
      </c>
      <c r="V81" s="108">
        <f ca="1">SUMIFS(
  m.vb[valor],
  m.vb[nucleo],$N$1,
  m.vb[variavel],V$7,
  m.vb[mes],$A81
)</f>
        <v>0</v>
      </c>
      <c r="W81" s="108">
        <f ca="1">SUMIFS(
  m.vb[valor],
  m.vb[nucleo],$N$1,
  m.vb[variavel],W$7,
  m.vb[mes],$A81
)</f>
        <v>0</v>
      </c>
      <c r="X81" s="108">
        <f ca="1">SUMIFS(
  m.vb[valor],
  m.vb[nucleo],$N$1,
  m.vb[variavel],X$7,
  m.vb[mes],$A81
)</f>
        <v>0</v>
      </c>
      <c r="Y81" s="108">
        <f ca="1">SUMIFS(
  m.vb[valor],
  m.vb[nucleo],$N$1,
  m.vb[variavel],Y$7,
  m.vb[mes],$A81
)</f>
        <v>0</v>
      </c>
      <c r="Z81" s="119">
        <f>COUNTIFS(
    tb_estq[empresa], Z$6,
    tb_estq[Data da venda / reserva], "&gt;=" &amp; $A81,
    tb_estq[Data da venda / reserva], "&lt;"  &amp; EOMONTH($A81,0) + 1
)</f>
        <v>0</v>
      </c>
      <c r="AA81" s="120">
        <f ca="1">SUMIFS(tb_rec_uni[2027-07-01],
INDIRECT("tb_rec_uni[natureza]"),"pro.soluto",
INDIRECT("tb_rec_uni[empresa]"),AA$6)</f>
        <v>0</v>
      </c>
      <c r="AB81" s="124">
        <f ca="1">SUMIFS(tb_rec_uni[2027-07-01],
INDIRECT("tb_rec_uni[natureza]"),"parcela.fin.total.ik",
INDIRECT("tb_rec_uni[empresa]"),AB$6)</f>
        <v>0</v>
      </c>
      <c r="AC81" s="120">
        <f ca="1">SUMIFS(tb_rec_uni[2027-07-01],
INDIRECT("tb_rec_uni[natureza]"),"taxa.extra",
INDIRECT("tb_rec_uni[empresa]"),AC$6)</f>
        <v>0</v>
      </c>
      <c r="AD81" s="108"/>
      <c r="AE81" s="108">
        <f ca="1">SUMIFS(
  m.vb[valor],
  m.vb[nucleo],$Z$1,
  m.vb[variavel],AE$7,
  m.vb[mes],$A81
)</f>
        <v>0</v>
      </c>
      <c r="AF81" s="108">
        <f ca="1">SUMIFS(
  m.vb[valor],
  m.vb[nucleo],$Z$1,
  m.vb[variavel],AF$7,
  m.vb[mes],$A81
)</f>
        <v>0</v>
      </c>
      <c r="AG81" s="108">
        <f ca="1">SUMIFS(
  m.vb[valor],
  m.vb[nucleo],$Z$1,
  m.vb[variavel],AG$7,
  m.vb[mes],$A81
)</f>
        <v>0</v>
      </c>
      <c r="AH81" s="108">
        <f ca="1">SUMIFS(
  m.vb[valor],
  m.vb[nucleo],$Z$1,
  m.vb[variavel],AH$7,
  m.vb[mes],$A81
)</f>
        <v>0</v>
      </c>
      <c r="AI81" s="108">
        <f ca="1">SUMIFS(
  m.vb[valor],
  m.vb[nucleo],$Z$1,
  m.vb[variavel],AI$7,
  m.vb[mes],$A81
)</f>
        <v>0</v>
      </c>
      <c r="AJ81" s="119">
        <f>COUNTIFS(
    tb_estq[empresa], AJ$6,
    tb_estq[Data da venda / reserva], "&gt;=" &amp; $A81,
    tb_estq[Data da venda / reserva], "&lt;"  &amp; EOMONTH($A81,0) + 1
)</f>
        <v>0</v>
      </c>
      <c r="AK81" s="120">
        <f ca="1">SUMIFS(tb_rec_uni[2027-07-01],
INDIRECT("tb_rec_uni[natureza]"),"pro.soluto",
INDIRECT("tb_rec_uni[empresa]"),AK$6)</f>
        <v>0</v>
      </c>
      <c r="AL81" s="120">
        <f ca="1">SUMIFS(tb_rec_uni[2027-07-01],
INDIRECT("tb_rec_uni[natureza]"),"repasse.cef.obra",
INDIRECT("tb_rec_uni[empresa]"),AL$6)</f>
        <v>0</v>
      </c>
      <c r="AM81" s="123">
        <f ca="1">SUMIFS(tb_rec_uni[2027-07-01],
INDIRECT("tb_rec_uni[natureza]"),"repasse.cef.terreno",
INDIRECT("tb_rec_uni[empresa]"),AM$6)</f>
        <v>0</v>
      </c>
      <c r="AN81" s="124"/>
      <c r="AO81" s="120">
        <f ca="1">SUMIFS(tb_rec_uni[2027-07-01],
INDIRECT("tb_rec_uni[natureza]"),"taxa.extra",
INDIRECT("tb_rec_uni[empresa]"),AO$6)</f>
        <v>0</v>
      </c>
      <c r="AP81" s="108"/>
      <c r="AQ81" s="108">
        <f ca="1">SUMIFS(
  m.vb[valor],
  m.vb[nucleo],$AJ$1,
  m.vb[variavel],AQ$7,
  m.vb[mes],$A81
)</f>
        <v>0</v>
      </c>
      <c r="AR81" s="108">
        <f ca="1">SUMIFS(
  m.vb[valor],
  m.vb[nucleo],$AJ$1,
  m.vb[variavel],AR$7,
  m.vb[mes],$A81
)</f>
        <v>0</v>
      </c>
      <c r="AS81" s="108">
        <f ca="1">SUMIFS(
  m.vb[valor],
  m.vb[nucleo],$AJ$1,
  m.vb[variavel],AS$7,
  m.vb[mes],$A81
)</f>
        <v>0</v>
      </c>
      <c r="AT81" s="108">
        <f ca="1">SUMIFS(
  m.vb[valor],
  m.vb[nucleo],$AJ$1,
  m.vb[variavel],AT$7,
  m.vb[mes],$A81
)</f>
        <v>0</v>
      </c>
      <c r="AU81" s="108">
        <f ca="1">SUMIFS(
  m.vb[valor],
  m.vb[nucleo],$AJ$1,
  m.vb[variavel],AU$7,
  m.vb[mes],$A81
)</f>
        <v>0</v>
      </c>
      <c r="AV81" s="119">
        <f>COUNTIFS(
    tb_estq[empresa], AV$6,
    tb_estq[Data da venda / reserva], "&gt;=" &amp; $A81,
    tb_estq[Data da venda / reserva], "&lt;"  &amp; EOMONTH($A81,0) + 1
)</f>
        <v>0</v>
      </c>
      <c r="AW81" s="120">
        <f ca="1">SUMIFS(tb_rec_uni[2027-07-01],
INDIRECT("tb_rec_uni[natureza]"),"pro.soluto",
INDIRECT("tb_rec_uni[empresa]"),AW$6)</f>
        <v>0</v>
      </c>
      <c r="AX81" s="120">
        <f ca="1">SUMIFS(tb_rec_uni[2027-07-01],
INDIRECT("tb_rec_uni[natureza]"),"repasse.cef.obra",
INDIRECT("tb_rec_uni[empresa]"),AX$6)</f>
        <v>0</v>
      </c>
      <c r="AY81" s="123">
        <f ca="1">SUMIFS(tb_rec_uni[2027-07-01],
INDIRECT("tb_rec_uni[natureza]"),"repasse.cef.terreno",
INDIRECT("tb_rec_uni[empresa]"),AY$6)</f>
        <v>0</v>
      </c>
      <c r="AZ81" s="124"/>
      <c r="BA81" s="120">
        <f ca="1">SUMIFS(tb_rec_uni[2027-07-01],
INDIRECT("tb_rec_uni[natureza]"),"taxa.extra",
INDIRECT("tb_rec_uni[empresa]"),BA$6)</f>
        <v>0</v>
      </c>
      <c r="BB81" s="108"/>
      <c r="BC81" s="108">
        <f ca="1">SUMIFS(
  m.vb[valor],
  m.vb[nucleo],$AV$1,
  m.vb[variavel],BC$7,
  m.vb[mes],$A81
)</f>
        <v>0</v>
      </c>
      <c r="BD81" s="108">
        <f ca="1">SUMIFS(
  m.vb[valor],
  m.vb[nucleo],$AV$1,
  m.vb[variavel],BD$7,
  m.vb[mes],$A81
)</f>
        <v>0</v>
      </c>
      <c r="BE81" s="108">
        <f ca="1">SUMIFS(
  m.vb[valor],
  m.vb[nucleo],$AV$1,
  m.vb[variavel],BE$7,
  m.vb[mes],$A81
)</f>
        <v>0</v>
      </c>
      <c r="BF81" s="108">
        <f ca="1">SUMIFS(
  m.vb[valor],
  m.vb[nucleo],$AV$1,
  m.vb[variavel],BF$7,
  m.vb[mes],$A81
)</f>
        <v>0</v>
      </c>
      <c r="BG81" s="108">
        <f ca="1">SUMIFS(
  m.vb[valor],
  m.vb[nucleo],$AV$1,
  m.vb[variavel],BG$7,
  m.vb[mes],$A81
)</f>
        <v>0</v>
      </c>
      <c r="BH81" s="119">
        <f>COUNTIFS(
    tb_estq[empresa], BH$6,
    tb_estq[Data da venda / reserva], "&gt;=" &amp; $A81,
    tb_estq[Data da venda / reserva], "&lt;"  &amp; EOMONTH($A81,0) + 1
)</f>
        <v>0</v>
      </c>
      <c r="BI81" s="120">
        <f ca="1">SUMIFS(tb_rec_uni[2027-07-01],
INDIRECT("tb_rec_uni[natureza]"),"pro.soluto",
INDIRECT("tb_rec_uni[empresa]"),BI$6)</f>
        <v>0</v>
      </c>
      <c r="BJ81" s="124"/>
      <c r="BK81" s="120">
        <f ca="1">SUMIFS(tb_rec_uni[2027-07-01],
INDIRECT("tb_rec_uni[natureza]"),"taxa.extra",
INDIRECT("tb_rec_uni[empresa]"),BK$6)</f>
        <v>0</v>
      </c>
      <c r="BL81" s="108"/>
      <c r="BM81" s="108">
        <f ca="1">SUMIFS(
  m.vb[valor],
  m.vb[nucleo],$BH$1,
  m.vb[variavel],BM$7,
  m.vb[mes],$A81
)</f>
        <v>0</v>
      </c>
      <c r="BN81" s="108">
        <f ca="1">SUMIFS(
  m.vb[valor],
  m.vb[nucleo],$BH$1,
  m.vb[variavel],BN$7,
  m.vb[mes],$A81
)</f>
        <v>0</v>
      </c>
      <c r="BO81" s="108">
        <f ca="1">SUMIFS(
  m.vb[valor],
  m.vb[nucleo],$BH$1,
  m.vb[variavel],BO$7,
  m.vb[mes],$A81
)</f>
        <v>0</v>
      </c>
      <c r="BP81" s="108">
        <f ca="1">SUMIFS(
  m.vb[valor],
  m.vb[nucleo],$BH$1,
  m.vb[variavel],BP$7,
  m.vb[mes],$A81
)</f>
        <v>0</v>
      </c>
      <c r="BQ81" s="108">
        <f ca="1">SUMIFS(
  m.vb[valor],
  m.vb[nucleo],$BH$1,
  m.vb[variavel],BQ$7,
  m.vb[mes],$A81
)</f>
        <v>0</v>
      </c>
      <c r="BR81" s="119">
        <f>COUNTIFS(
    tb_estq[empresa], BR$6,
    tb_estq[Data da venda / reserva], "&gt;=" &amp; $A81,
    tb_estq[Data da venda / reserva], "&lt;"  &amp; EOMONTH($A81,0) + 1
)</f>
        <v>0</v>
      </c>
      <c r="BS81" s="120">
        <f ca="1">SUMIFS(tb_rec_uni[2027-07-01],
INDIRECT("tb_rec_uni[natureza]"),"pro.soluto",
INDIRECT("tb_rec_uni[empresa]"),BS$6)</f>
        <v>0</v>
      </c>
      <c r="BT81" s="124">
        <f ca="1">SUMIFS(tb_rec_uni[2027-07-01],
INDIRECT("tb_rec_uni[natureza]"),"parcela.fin.total.ik",
INDIRECT("tb_rec_uni[empresa]"),BT$6)</f>
        <v>0</v>
      </c>
      <c r="BU81" s="120">
        <f ca="1">SUMIFS(tb_rec_uni[2027-07-01],
INDIRECT("tb_rec_uni[natureza]"),"taxa.extra",
INDIRECT("tb_rec_uni[empresa]"),BU$6)</f>
        <v>0</v>
      </c>
      <c r="BV81" s="108"/>
      <c r="BW81" s="108">
        <f ca="1">SUMIFS(
  m.vb[valor],
  m.vb[nucleo],$BR$1,
  m.vb[variavel],BW$7,
  m.vb[mes],$A81
)</f>
        <v>0</v>
      </c>
      <c r="BX81" s="108">
        <f ca="1">SUMIFS(
  m.vb[valor],
  m.vb[nucleo],$BR$1,
  m.vb[variavel],BX$7,
  m.vb[mes],$A81
)</f>
        <v>0</v>
      </c>
      <c r="BY81" s="108">
        <f ca="1">SUMIFS(
  m.vb[valor],
  m.vb[nucleo],$BR$1,
  m.vb[variavel],BY$7,
  m.vb[mes],$A81
)</f>
        <v>0</v>
      </c>
      <c r="BZ81" s="108">
        <f ca="1">SUMIFS(
  m.vb[valor],
  m.vb[nucleo],$BR$1,
  m.vb[variavel],BZ$7,
  m.vb[mes],$A81
)</f>
        <v>0</v>
      </c>
      <c r="CA81" s="108">
        <f ca="1">SUMIFS(
  m.vb[valor],
  m.vb[nucleo],$BR$1,
  m.vb[variavel],CA$7,
  m.vb[mes],$A81
)</f>
        <v>0</v>
      </c>
      <c r="CB81" s="119">
        <f>COUNTIFS(
    tb_estq[empresa], CB$6,
    tb_estq[Data da venda / reserva], "&gt;=" &amp; $A81,
    tb_estq[Data da venda / reserva], "&lt;"  &amp; EOMONTH($A81,0) + 1
)</f>
        <v>0</v>
      </c>
      <c r="CC81" s="120">
        <f ca="1">SUMIFS(tb_rec_uni[2027-07-01],
INDIRECT("tb_rec_uni[natureza]"),"pro.soluto",
INDIRECT("tb_rec_uni[empresa]"),CC$6)</f>
        <v>0</v>
      </c>
      <c r="CD81" s="120">
        <f ca="1">SUMIFS(tb_rec_uni[2027-07-01],
INDIRECT("tb_rec_uni[natureza]"),"repasse.cef.obra",
INDIRECT("tb_rec_uni[empresa]"),CD$6)</f>
        <v>0</v>
      </c>
      <c r="CE81" s="123">
        <f ca="1">SUMIFS(tb_rec_uni[2027-07-01],
INDIRECT("tb_rec_uni[natureza]"),"repasse.cef.terreno",
INDIRECT("tb_rec_uni[empresa]"),CE$6)</f>
        <v>0</v>
      </c>
      <c r="CF81" s="124"/>
      <c r="CG81" s="120">
        <f ca="1">SUMIFS(tb_rec_uni[2027-07-01],
INDIRECT("tb_rec_uni[natureza]"),"taxa.extra",
INDIRECT("tb_rec_uni[empresa]"),CG$6)</f>
        <v>0</v>
      </c>
      <c r="CH81" s="108"/>
      <c r="CI81" s="108">
        <f ca="1">SUMIFS(
  m.vb[valor],
  m.vb[nucleo],$CB$1,
  m.vb[variavel],CI$7,
  m.vb[mes],$A81
)</f>
        <v>0</v>
      </c>
      <c r="CJ81" s="108">
        <f ca="1">SUMIFS(
  m.vb[valor],
  m.vb[nucleo],$CB$1,
  m.vb[variavel],CJ$7,
  m.vb[mes],$A81
)</f>
        <v>0</v>
      </c>
      <c r="CK81" s="108">
        <f ca="1">SUMIFS(
  m.vb[valor],
  m.vb[nucleo],$CB$1,
  m.vb[variavel],CK$7,
  m.vb[mes],$A81
)</f>
        <v>0</v>
      </c>
      <c r="CL81" s="108">
        <f ca="1">SUMIFS(
  m.vb[valor],
  m.vb[nucleo],$CB$1,
  m.vb[variavel],CL$7,
  m.vb[mes],$A81
)</f>
        <v>0</v>
      </c>
      <c r="CM81" s="108">
        <f ca="1">SUMIFS(
  m.vb[valor],
  m.vb[nucleo],$CB$1,
  m.vb[variavel],CM$7,
  m.vb[mes],$A81
)</f>
        <v>0</v>
      </c>
      <c r="CN81" s="119">
        <f>COUNTIFS(
    tb_estq[empresa], CN$6,
    tb_estq[Data da venda / reserva], "&gt;=" &amp; $A81,
    tb_estq[Data da venda / reserva], "&lt;"  &amp; EOMONTH($A81,0) + 1
)</f>
        <v>0</v>
      </c>
      <c r="CO81" s="120">
        <f ca="1">SUMIFS(tb_rec_uni[2027-07-01],
INDIRECT("tb_rec_uni[natureza]"),"pro.soluto",
INDIRECT("tb_rec_uni[empresa]"),CO$6)</f>
        <v>0</v>
      </c>
      <c r="CP81" s="120">
        <f ca="1">SUMIFS(tb_rec_uni[2027-07-01],
INDIRECT("tb_rec_uni[natureza]"),"repasse.cef.obra",
INDIRECT("tb_rec_uni[empresa]"),CP$6)</f>
        <v>0</v>
      </c>
      <c r="CQ81" s="123">
        <f ca="1">SUMIFS(tb_rec_uni[2027-07-01],
INDIRECT("tb_rec_uni[natureza]"),"repasse.cef.terreno",
INDIRECT("tb_rec_uni[empresa]"),CQ$6)</f>
        <v>0</v>
      </c>
      <c r="CR81" s="124"/>
      <c r="CS81" s="120">
        <f ca="1">SUMIFS(tb_rec_uni[2027-07-01],
INDIRECT("tb_rec_uni[natureza]"),"taxa.extra",
INDIRECT("tb_rec_uni[empresa]"),CS$6)</f>
        <v>0</v>
      </c>
      <c r="CT81" s="108"/>
      <c r="CU81" s="108">
        <f ca="1">SUMIFS(
  m.vb[valor],
  m.vb[nucleo],$CN$1,
  m.vb[variavel],CU$7,
  m.vb[mes],$A81
)</f>
        <v>0</v>
      </c>
      <c r="CV81" s="108" cm="1">
        <f t="array" ref="CV81">SUMPRODUCT(
  IFERROR(--tb_desp[valor],0)*
  (tb_desp[nucleo]="UP MOVE VILA SONIA")*
  (tb_desp[categoria]=CV$7)*
  (tb_desp[data.pagamento]&gt;=$A81)*
  (tb_desp[data.pagamento]&lt;EOMONTH($A81,0)+1)
)</f>
        <v>0</v>
      </c>
      <c r="CW81" s="108" cm="1">
        <f t="array" ref="CW81">SUMPRODUCT(
  IFERROR(--tb_desp[valor],0)*
  (tb_desp[nucleo]="UP MOVE VILA SONIA")*
  (tb_desp[categoria]=CW$7)*
  (tb_desp[data.pagamento]&gt;=$A81)*
  (tb_desp[data.pagamento]&lt;EOMONTH($A81,0)+1)
)</f>
        <v>0</v>
      </c>
      <c r="CX81" s="108" cm="1">
        <f t="array" ref="CX81">SUMPRODUCT(
  IFERROR(--tb_desp[valor],0)*
  (tb_desp[nucleo]="UP MOVE VILA SONIA")*
  (tb_desp[categoria]=CX$7)*
  (tb_desp[data.pagamento]&gt;=$A81)*
  (tb_desp[data.pagamento]&lt;EOMONTH($A81,0)+1)
)</f>
        <v>0</v>
      </c>
      <c r="CY81" s="221" cm="1">
        <f t="array" ref="CY81">SUMPRODUCT(
  IFERROR(--tb_desp[valor],0)*
  (tb_desp[nucleo]="UP MOVE VILA SONIA")*
  (tb_desp[categoria]=CY$7)*
  (tb_desp[data.pagamento]&gt;=$A81)*
  (tb_desp[data.pagamento]&lt;EOMONTH($A81,0)+1)
)</f>
        <v>0</v>
      </c>
    </row>
    <row r="82" spans="1:103" x14ac:dyDescent="0.25">
      <c r="A82" s="118">
        <v>46600</v>
      </c>
      <c r="B82" s="119">
        <f>COUNTIFS(
    tb_estq[empresa], B$6,
    tb_estq[Data da venda / reserva], "&gt;=" &amp; $A82,
    tb_estq[Data da venda / reserva], "&lt;"  &amp; EOMONTH($A82,0) + 1
)</f>
        <v>0</v>
      </c>
      <c r="C82" s="120">
        <f ca="1">SUMIFS(tb_rec_uni[2027-08-01],
INDIRECT("tb_rec_uni[natureza]"),"pro.soluto",
INDIRECT("tb_rec_uni[empresa]"),C$6)</f>
        <v>0</v>
      </c>
      <c r="D82" s="120">
        <f ca="1">SUMIFS(tb_rec_uni[2027-08-01],
INDIRECT("tb_rec_uni[natureza]"),"repasse.cef.obra",
INDIRECT("tb_rec_uni[empresa]"),D$6)</f>
        <v>0</v>
      </c>
      <c r="E82" s="120">
        <f ca="1">SUMIFS(tb_rec_uni[2027-08-01],
INDIRECT("tb_rec_uni[natureza]"),"repasse.cef.terreno",
INDIRECT("tb_rec_uni[empresa]"),E$6)</f>
        <v>0</v>
      </c>
      <c r="F82" s="124"/>
      <c r="G82" s="120">
        <f ca="1">SUMIFS(tb_rec_uni[2027-08-01],
INDIRECT("tb_rec_uni[natureza]"),"taxa.extra",
INDIRECT("tb_rec_uni[empresa]"),G$6)</f>
        <v>0</v>
      </c>
      <c r="H82" s="108"/>
      <c r="I82" s="108">
        <f ca="1">SUMIFS(
  m.vb[valor],
  m.vb[nucleo],$B$1,
  m.vb[variavel],I$7,
  m.vb[mes],$A82
)</f>
        <v>0</v>
      </c>
      <c r="J82" s="108">
        <f ca="1">SUMIFS(
  m.vb[valor],
  m.vb[nucleo],$B$1,
  m.vb[variavel],J$7,
  m.vb[mes],$A82
)</f>
        <v>0</v>
      </c>
      <c r="K82" s="108">
        <f ca="1">SUMIFS(
  m.vb[valor],
  m.vb[nucleo],$B$1,
  m.vb[variavel],K$7,
  m.vb[mes],$A82
)</f>
        <v>0</v>
      </c>
      <c r="L82" s="108">
        <f ca="1">SUMIFS(
  m.vb[valor],
  m.vb[nucleo],$B$1,
  m.vb[variavel],L$7,
  m.vb[mes],$A82
)</f>
        <v>0</v>
      </c>
      <c r="M82" s="108">
        <f ca="1">SUMIFS(
  m.vb[valor],
  m.vb[nucleo],$B$1,
  m.vb[variavel],M$7,
  m.vb[mes],$A82
)</f>
        <v>0</v>
      </c>
      <c r="N82" s="119">
        <f>COUNTIFS(
    tb_estq[empresa], N$6,
    tb_estq[Data da venda / reserva], "&gt;=" &amp; $A82,
    tb_estq[Data da venda / reserva], "&lt;"  &amp; EOMONTH($A82,0) + 1
)</f>
        <v>0</v>
      </c>
      <c r="O82" s="120">
        <f ca="1">SUMIFS(tb_rec_uni[2027-08-01],
INDIRECT("tb_rec_uni[natureza]"),"pro.soluto",
INDIRECT("tb_rec_uni[empresa]"),O$6)</f>
        <v>0</v>
      </c>
      <c r="P82" s="120">
        <f ca="1">SUMIFS(tb_rec_uni[2027-08-01],
INDIRECT("tb_rec_uni[natureza]"),"repasse.cef.obra",
INDIRECT("tb_rec_uni[empresa]"),P$6)</f>
        <v>0</v>
      </c>
      <c r="Q82" s="120">
        <f ca="1">SUMIFS(tb_rec_uni[2027-08-01],
INDIRECT("tb_rec_uni[natureza]"),"repasse.cef.terreno",
INDIRECT("tb_rec_uni[empresa]"),Q$6)</f>
        <v>0</v>
      </c>
      <c r="R82" s="124"/>
      <c r="S82" s="120">
        <f ca="1">SUMIFS(tb_rec_uni[2027-08-01],
INDIRECT("tb_rec_uni[natureza]"),"taxa.extra",
INDIRECT("tb_rec_uni[empresa]"),S$6)</f>
        <v>0</v>
      </c>
      <c r="T82" s="108"/>
      <c r="U82" s="108">
        <f ca="1">SUMIFS(
  m.vb[valor],
  m.vb[nucleo],$N$1,
  m.vb[variavel],U$7,
  m.vb[mes],$A82
)</f>
        <v>0</v>
      </c>
      <c r="V82" s="108">
        <f ca="1">SUMIFS(
  m.vb[valor],
  m.vb[nucleo],$N$1,
  m.vb[variavel],V$7,
  m.vb[mes],$A82
)</f>
        <v>0</v>
      </c>
      <c r="W82" s="108">
        <f ca="1">SUMIFS(
  m.vb[valor],
  m.vb[nucleo],$N$1,
  m.vb[variavel],W$7,
  m.vb[mes],$A82
)</f>
        <v>0</v>
      </c>
      <c r="X82" s="108">
        <f ca="1">SUMIFS(
  m.vb[valor],
  m.vb[nucleo],$N$1,
  m.vb[variavel],X$7,
  m.vb[mes],$A82
)</f>
        <v>0</v>
      </c>
      <c r="Y82" s="108">
        <f ca="1">SUMIFS(
  m.vb[valor],
  m.vb[nucleo],$N$1,
  m.vb[variavel],Y$7,
  m.vb[mes],$A82
)</f>
        <v>0</v>
      </c>
      <c r="Z82" s="119">
        <f>COUNTIFS(
    tb_estq[empresa], Z$6,
    tb_estq[Data da venda / reserva], "&gt;=" &amp; $A82,
    tb_estq[Data da venda / reserva], "&lt;"  &amp; EOMONTH($A82,0) + 1
)</f>
        <v>0</v>
      </c>
      <c r="AA82" s="120">
        <f ca="1">SUMIFS(tb_rec_uni[2027-08-01],
INDIRECT("tb_rec_uni[natureza]"),"pro.soluto",
INDIRECT("tb_rec_uni[empresa]"),AA$6)</f>
        <v>0</v>
      </c>
      <c r="AB82" s="124">
        <f ca="1">SUMIFS(tb_rec_uni[2027-08-01],
INDIRECT("tb_rec_uni[natureza]"),"parcela.fin.total.ik",
INDIRECT("tb_rec_uni[empresa]"),AB$6)</f>
        <v>0</v>
      </c>
      <c r="AC82" s="120">
        <f ca="1">SUMIFS(tb_rec_uni[2027-08-01],
INDIRECT("tb_rec_uni[natureza]"),"taxa.extra",
INDIRECT("tb_rec_uni[empresa]"),AC$6)</f>
        <v>0</v>
      </c>
      <c r="AD82" s="108"/>
      <c r="AE82" s="108">
        <f ca="1">SUMIFS(
  m.vb[valor],
  m.vb[nucleo],$Z$1,
  m.vb[variavel],AE$7,
  m.vb[mes],$A82
)</f>
        <v>0</v>
      </c>
      <c r="AF82" s="108">
        <f ca="1">SUMIFS(
  m.vb[valor],
  m.vb[nucleo],$Z$1,
  m.vb[variavel],AF$7,
  m.vb[mes],$A82
)</f>
        <v>0</v>
      </c>
      <c r="AG82" s="108">
        <f ca="1">SUMIFS(
  m.vb[valor],
  m.vb[nucleo],$Z$1,
  m.vb[variavel],AG$7,
  m.vb[mes],$A82
)</f>
        <v>0</v>
      </c>
      <c r="AH82" s="108">
        <f ca="1">SUMIFS(
  m.vb[valor],
  m.vb[nucleo],$Z$1,
  m.vb[variavel],AH$7,
  m.vb[mes],$A82
)</f>
        <v>0</v>
      </c>
      <c r="AI82" s="108">
        <f ca="1">SUMIFS(
  m.vb[valor],
  m.vb[nucleo],$Z$1,
  m.vb[variavel],AI$7,
  m.vb[mes],$A82
)</f>
        <v>0</v>
      </c>
      <c r="AJ82" s="119">
        <f>COUNTIFS(
    tb_estq[empresa], AJ$6,
    tb_estq[Data da venda / reserva], "&gt;=" &amp; $A82,
    tb_estq[Data da venda / reserva], "&lt;"  &amp; EOMONTH($A82,0) + 1
)</f>
        <v>0</v>
      </c>
      <c r="AK82" s="120">
        <f ca="1">SUMIFS(tb_rec_uni[2027-08-01],
INDIRECT("tb_rec_uni[natureza]"),"pro.soluto",
INDIRECT("tb_rec_uni[empresa]"),AK$6)</f>
        <v>0</v>
      </c>
      <c r="AL82" s="120">
        <f ca="1">SUMIFS(tb_rec_uni[2027-08-01],
INDIRECT("tb_rec_uni[natureza]"),"repasse.cef.obra",
INDIRECT("tb_rec_uni[empresa]"),AL$6)</f>
        <v>0</v>
      </c>
      <c r="AM82" s="123">
        <f ca="1">SUMIFS(tb_rec_uni[2027-08-01],
INDIRECT("tb_rec_uni[natureza]"),"repasse.cef.terreno",
INDIRECT("tb_rec_uni[empresa]"),AM$6)</f>
        <v>0</v>
      </c>
      <c r="AN82" s="124"/>
      <c r="AO82" s="120">
        <f ca="1">SUMIFS(tb_rec_uni[2027-08-01],
INDIRECT("tb_rec_uni[natureza]"),"taxa.extra",
INDIRECT("tb_rec_uni[empresa]"),AO$6)</f>
        <v>0</v>
      </c>
      <c r="AP82" s="108"/>
      <c r="AQ82" s="108">
        <f ca="1">SUMIFS(
  m.vb[valor],
  m.vb[nucleo],$AJ$1,
  m.vb[variavel],AQ$7,
  m.vb[mes],$A82
)</f>
        <v>0</v>
      </c>
      <c r="AR82" s="108">
        <f ca="1">SUMIFS(
  m.vb[valor],
  m.vb[nucleo],$AJ$1,
  m.vb[variavel],AR$7,
  m.vb[mes],$A82
)</f>
        <v>0</v>
      </c>
      <c r="AS82" s="108">
        <f ca="1">SUMIFS(
  m.vb[valor],
  m.vb[nucleo],$AJ$1,
  m.vb[variavel],AS$7,
  m.vb[mes],$A82
)</f>
        <v>0</v>
      </c>
      <c r="AT82" s="108">
        <f ca="1">SUMIFS(
  m.vb[valor],
  m.vb[nucleo],$AJ$1,
  m.vb[variavel],AT$7,
  m.vb[mes],$A82
)</f>
        <v>0</v>
      </c>
      <c r="AU82" s="108">
        <f ca="1">SUMIFS(
  m.vb[valor],
  m.vb[nucleo],$AJ$1,
  m.vb[variavel],AU$7,
  m.vb[mes],$A82
)</f>
        <v>0</v>
      </c>
      <c r="AV82" s="119">
        <f>COUNTIFS(
    tb_estq[empresa], AV$6,
    tb_estq[Data da venda / reserva], "&gt;=" &amp; $A82,
    tb_estq[Data da venda / reserva], "&lt;"  &amp; EOMONTH($A82,0) + 1
)</f>
        <v>0</v>
      </c>
      <c r="AW82" s="120">
        <f ca="1">SUMIFS(tb_rec_uni[2027-08-01],
INDIRECT("tb_rec_uni[natureza]"),"pro.soluto",
INDIRECT("tb_rec_uni[empresa]"),AW$6)</f>
        <v>0</v>
      </c>
      <c r="AX82" s="120">
        <f ca="1">SUMIFS(tb_rec_uni[2027-08-01],
INDIRECT("tb_rec_uni[natureza]"),"repasse.cef.obra",
INDIRECT("tb_rec_uni[empresa]"),AX$6)</f>
        <v>0</v>
      </c>
      <c r="AY82" s="123">
        <f ca="1">SUMIFS(tb_rec_uni[2027-08-01],
INDIRECT("tb_rec_uni[natureza]"),"repasse.cef.terreno",
INDIRECT("tb_rec_uni[empresa]"),AY$6)</f>
        <v>0</v>
      </c>
      <c r="AZ82" s="124"/>
      <c r="BA82" s="120">
        <f ca="1">SUMIFS(tb_rec_uni[2027-08-01],
INDIRECT("tb_rec_uni[natureza]"),"taxa.extra",
INDIRECT("tb_rec_uni[empresa]"),BA$6)</f>
        <v>0</v>
      </c>
      <c r="BB82" s="108"/>
      <c r="BC82" s="108">
        <f ca="1">SUMIFS(
  m.vb[valor],
  m.vb[nucleo],$AV$1,
  m.vb[variavel],BC$7,
  m.vb[mes],$A82
)</f>
        <v>0</v>
      </c>
      <c r="BD82" s="108">
        <f ca="1">SUMIFS(
  m.vb[valor],
  m.vb[nucleo],$AV$1,
  m.vb[variavel],BD$7,
  m.vb[mes],$A82
)</f>
        <v>0</v>
      </c>
      <c r="BE82" s="108">
        <f ca="1">SUMIFS(
  m.vb[valor],
  m.vb[nucleo],$AV$1,
  m.vb[variavel],BE$7,
  m.vb[mes],$A82
)</f>
        <v>0</v>
      </c>
      <c r="BF82" s="108">
        <f ca="1">SUMIFS(
  m.vb[valor],
  m.vb[nucleo],$AV$1,
  m.vb[variavel],BF$7,
  m.vb[mes],$A82
)</f>
        <v>0</v>
      </c>
      <c r="BG82" s="108">
        <f ca="1">SUMIFS(
  m.vb[valor],
  m.vb[nucleo],$AV$1,
  m.vb[variavel],BG$7,
  m.vb[mes],$A82
)</f>
        <v>0</v>
      </c>
      <c r="BH82" s="119">
        <f>COUNTIFS(
    tb_estq[empresa], BH$6,
    tb_estq[Data da venda / reserva], "&gt;=" &amp; $A82,
    tb_estq[Data da venda / reserva], "&lt;"  &amp; EOMONTH($A82,0) + 1
)</f>
        <v>0</v>
      </c>
      <c r="BI82" s="120">
        <f ca="1">SUMIFS(tb_rec_uni[2027-08-01],
INDIRECT("tb_rec_uni[natureza]"),"pro.soluto",
INDIRECT("tb_rec_uni[empresa]"),BI$6)</f>
        <v>0</v>
      </c>
      <c r="BJ82" s="124"/>
      <c r="BK82" s="120">
        <f ca="1">SUMIFS(tb_rec_uni[2027-08-01],
INDIRECT("tb_rec_uni[natureza]"),"taxa.extra",
INDIRECT("tb_rec_uni[empresa]"),BK$6)</f>
        <v>0</v>
      </c>
      <c r="BL82" s="108"/>
      <c r="BM82" s="108">
        <f ca="1">SUMIFS(
  m.vb[valor],
  m.vb[nucleo],$BH$1,
  m.vb[variavel],BM$7,
  m.vb[mes],$A82
)</f>
        <v>0</v>
      </c>
      <c r="BN82" s="108">
        <f ca="1">SUMIFS(
  m.vb[valor],
  m.vb[nucleo],$BH$1,
  m.vb[variavel],BN$7,
  m.vb[mes],$A82
)</f>
        <v>0</v>
      </c>
      <c r="BO82" s="108">
        <f ca="1">SUMIFS(
  m.vb[valor],
  m.vb[nucleo],$BH$1,
  m.vb[variavel],BO$7,
  m.vb[mes],$A82
)</f>
        <v>0</v>
      </c>
      <c r="BP82" s="108">
        <f ca="1">SUMIFS(
  m.vb[valor],
  m.vb[nucleo],$BH$1,
  m.vb[variavel],BP$7,
  m.vb[mes],$A82
)</f>
        <v>0</v>
      </c>
      <c r="BQ82" s="108">
        <f ca="1">SUMIFS(
  m.vb[valor],
  m.vb[nucleo],$BH$1,
  m.vb[variavel],BQ$7,
  m.vb[mes],$A82
)</f>
        <v>0</v>
      </c>
      <c r="BR82" s="119">
        <f>COUNTIFS(
    tb_estq[empresa], BR$6,
    tb_estq[Data da venda / reserva], "&gt;=" &amp; $A82,
    tb_estq[Data da venda / reserva], "&lt;"  &amp; EOMONTH($A82,0) + 1
)</f>
        <v>0</v>
      </c>
      <c r="BS82" s="120">
        <f ca="1">SUMIFS(tb_rec_uni[2027-08-01],
INDIRECT("tb_rec_uni[natureza]"),"pro.soluto",
INDIRECT("tb_rec_uni[empresa]"),BS$6)</f>
        <v>0</v>
      </c>
      <c r="BT82" s="124">
        <f ca="1">SUMIFS(tb_rec_uni[2027-08-01],
INDIRECT("tb_rec_uni[natureza]"),"parcela.fin.total.ik",
INDIRECT("tb_rec_uni[empresa]"),BT$6)</f>
        <v>0</v>
      </c>
      <c r="BU82" s="120">
        <f ca="1">SUMIFS(tb_rec_uni[2027-08-01],
INDIRECT("tb_rec_uni[natureza]"),"taxa.extra",
INDIRECT("tb_rec_uni[empresa]"),BU$6)</f>
        <v>0</v>
      </c>
      <c r="BV82" s="108"/>
      <c r="BW82" s="108">
        <f ca="1">SUMIFS(
  m.vb[valor],
  m.vb[nucleo],$BR$1,
  m.vb[variavel],BW$7,
  m.vb[mes],$A82
)</f>
        <v>0</v>
      </c>
      <c r="BX82" s="108">
        <f ca="1">SUMIFS(
  m.vb[valor],
  m.vb[nucleo],$BR$1,
  m.vb[variavel],BX$7,
  m.vb[mes],$A82
)</f>
        <v>0</v>
      </c>
      <c r="BY82" s="108">
        <f ca="1">SUMIFS(
  m.vb[valor],
  m.vb[nucleo],$BR$1,
  m.vb[variavel],BY$7,
  m.vb[mes],$A82
)</f>
        <v>0</v>
      </c>
      <c r="BZ82" s="108">
        <f ca="1">SUMIFS(
  m.vb[valor],
  m.vb[nucleo],$BR$1,
  m.vb[variavel],BZ$7,
  m.vb[mes],$A82
)</f>
        <v>0</v>
      </c>
      <c r="CA82" s="108">
        <f ca="1">SUMIFS(
  m.vb[valor],
  m.vb[nucleo],$BR$1,
  m.vb[variavel],CA$7,
  m.vb[mes],$A82
)</f>
        <v>0</v>
      </c>
      <c r="CB82" s="119">
        <f>COUNTIFS(
    tb_estq[empresa], CB$6,
    tb_estq[Data da venda / reserva], "&gt;=" &amp; $A82,
    tb_estq[Data da venda / reserva], "&lt;"  &amp; EOMONTH($A82,0) + 1
)</f>
        <v>0</v>
      </c>
      <c r="CC82" s="120">
        <f ca="1">SUMIFS(tb_rec_uni[2027-08-01],
INDIRECT("tb_rec_uni[natureza]"),"pro.soluto",
INDIRECT("tb_rec_uni[empresa]"),CC$6)</f>
        <v>0</v>
      </c>
      <c r="CD82" s="120">
        <f ca="1">SUMIFS(tb_rec_uni[2027-08-01],
INDIRECT("tb_rec_uni[natureza]"),"repasse.cef.obra",
INDIRECT("tb_rec_uni[empresa]"),CD$6)</f>
        <v>0</v>
      </c>
      <c r="CE82" s="123">
        <f ca="1">SUMIFS(tb_rec_uni[2027-08-01],
INDIRECT("tb_rec_uni[natureza]"),"repasse.cef.terreno",
INDIRECT("tb_rec_uni[empresa]"),CE$6)</f>
        <v>0</v>
      </c>
      <c r="CF82" s="124"/>
      <c r="CG82" s="120">
        <f ca="1">SUMIFS(tb_rec_uni[2027-08-01],
INDIRECT("tb_rec_uni[natureza]"),"taxa.extra",
INDIRECT("tb_rec_uni[empresa]"),CG$6)</f>
        <v>0</v>
      </c>
      <c r="CH82" s="108"/>
      <c r="CI82" s="108">
        <f ca="1">SUMIFS(
  m.vb[valor],
  m.vb[nucleo],$CB$1,
  m.vb[variavel],CI$7,
  m.vb[mes],$A82
)</f>
        <v>0</v>
      </c>
      <c r="CJ82" s="108">
        <f ca="1">SUMIFS(
  m.vb[valor],
  m.vb[nucleo],$CB$1,
  m.vb[variavel],CJ$7,
  m.vb[mes],$A82
)</f>
        <v>0</v>
      </c>
      <c r="CK82" s="108">
        <f ca="1">SUMIFS(
  m.vb[valor],
  m.vb[nucleo],$CB$1,
  m.vb[variavel],CK$7,
  m.vb[mes],$A82
)</f>
        <v>0</v>
      </c>
      <c r="CL82" s="108">
        <f ca="1">SUMIFS(
  m.vb[valor],
  m.vb[nucleo],$CB$1,
  m.vb[variavel],CL$7,
  m.vb[mes],$A82
)</f>
        <v>0</v>
      </c>
      <c r="CM82" s="108">
        <f ca="1">SUMIFS(
  m.vb[valor],
  m.vb[nucleo],$CB$1,
  m.vb[variavel],CM$7,
  m.vb[mes],$A82
)</f>
        <v>0</v>
      </c>
      <c r="CN82" s="119">
        <f>COUNTIFS(
    tb_estq[empresa], CN$6,
    tb_estq[Data da venda / reserva], "&gt;=" &amp; $A82,
    tb_estq[Data da venda / reserva], "&lt;"  &amp; EOMONTH($A82,0) + 1
)</f>
        <v>0</v>
      </c>
      <c r="CO82" s="120">
        <f ca="1">SUMIFS(tb_rec_uni[2027-08-01],
INDIRECT("tb_rec_uni[natureza]"),"pro.soluto",
INDIRECT("tb_rec_uni[empresa]"),CO$6)</f>
        <v>0</v>
      </c>
      <c r="CP82" s="120">
        <f ca="1">SUMIFS(tb_rec_uni[2027-08-01],
INDIRECT("tb_rec_uni[natureza]"),"repasse.cef.obra",
INDIRECT("tb_rec_uni[empresa]"),CP$6)</f>
        <v>0</v>
      </c>
      <c r="CQ82" s="123">
        <f ca="1">SUMIFS(tb_rec_uni[2027-08-01],
INDIRECT("tb_rec_uni[natureza]"),"repasse.cef.terreno",
INDIRECT("tb_rec_uni[empresa]"),CQ$6)</f>
        <v>0</v>
      </c>
      <c r="CR82" s="124"/>
      <c r="CS82" s="120">
        <f ca="1">SUMIFS(tb_rec_uni[2027-08-01],
INDIRECT("tb_rec_uni[natureza]"),"taxa.extra",
INDIRECT("tb_rec_uni[empresa]"),CS$6)</f>
        <v>0</v>
      </c>
      <c r="CT82" s="108"/>
      <c r="CU82" s="108">
        <f ca="1">SUMIFS(
  m.vb[valor],
  m.vb[nucleo],$CN$1,
  m.vb[variavel],CU$7,
  m.vb[mes],$A82
)</f>
        <v>0</v>
      </c>
      <c r="CV82" s="108" cm="1">
        <f t="array" ref="CV82">SUMPRODUCT(
  IFERROR(--tb_desp[valor],0)*
  (tb_desp[nucleo]="UP MOVE VILA SONIA")*
  (tb_desp[categoria]=CV$7)*
  (tb_desp[data.pagamento]&gt;=$A82)*
  (tb_desp[data.pagamento]&lt;EOMONTH($A82,0)+1)
)</f>
        <v>0</v>
      </c>
      <c r="CW82" s="108" cm="1">
        <f t="array" ref="CW82">SUMPRODUCT(
  IFERROR(--tb_desp[valor],0)*
  (tb_desp[nucleo]="UP MOVE VILA SONIA")*
  (tb_desp[categoria]=CW$7)*
  (tb_desp[data.pagamento]&gt;=$A82)*
  (tb_desp[data.pagamento]&lt;EOMONTH($A82,0)+1)
)</f>
        <v>0</v>
      </c>
      <c r="CX82" s="108" cm="1">
        <f t="array" ref="CX82">SUMPRODUCT(
  IFERROR(--tb_desp[valor],0)*
  (tb_desp[nucleo]="UP MOVE VILA SONIA")*
  (tb_desp[categoria]=CX$7)*
  (tb_desp[data.pagamento]&gt;=$A82)*
  (tb_desp[data.pagamento]&lt;EOMONTH($A82,0)+1)
)</f>
        <v>0</v>
      </c>
      <c r="CY82" s="221" cm="1">
        <f t="array" ref="CY82">SUMPRODUCT(
  IFERROR(--tb_desp[valor],0)*
  (tb_desp[nucleo]="UP MOVE VILA SONIA")*
  (tb_desp[categoria]=CY$7)*
  (tb_desp[data.pagamento]&gt;=$A82)*
  (tb_desp[data.pagamento]&lt;EOMONTH($A82,0)+1)
)</f>
        <v>0</v>
      </c>
    </row>
    <row r="83" spans="1:103" x14ac:dyDescent="0.25">
      <c r="A83" s="118">
        <v>46631</v>
      </c>
      <c r="B83" s="119">
        <f>COUNTIFS(
    tb_estq[empresa], B$6,
    tb_estq[Data da venda / reserva], "&gt;=" &amp; $A83,
    tb_estq[Data da venda / reserva], "&lt;"  &amp; EOMONTH($A83,0) + 1
)</f>
        <v>0</v>
      </c>
      <c r="C83" s="120">
        <f ca="1">SUMIFS(tb_rec_uni[2027-09-01],
INDIRECT("tb_rec_uni[natureza]"),"pro.soluto",
INDIRECT("tb_rec_uni[empresa]"),C$6)</f>
        <v>0</v>
      </c>
      <c r="D83" s="120">
        <f ca="1">SUMIFS(tb_rec_uni[2027-09-01],
INDIRECT("tb_rec_uni[natureza]"),"repasse.cef.obra",
INDIRECT("tb_rec_uni[empresa]"),D$6)</f>
        <v>0</v>
      </c>
      <c r="E83" s="120">
        <f ca="1">SUMIFS(tb_rec_uni[2027-09-01],
INDIRECT("tb_rec_uni[natureza]"),"repasse.cef.terreno",
INDIRECT("tb_rec_uni[empresa]"),E$6)</f>
        <v>0</v>
      </c>
      <c r="F83" s="124"/>
      <c r="G83" s="120">
        <f ca="1">SUMIFS(tb_rec_uni[2027-09-01],
INDIRECT("tb_rec_uni[natureza]"),"taxa.extra",
INDIRECT("tb_rec_uni[empresa]"),G$6)</f>
        <v>0</v>
      </c>
      <c r="H83" s="108"/>
      <c r="I83" s="108">
        <f ca="1">SUMIFS(
  m.vb[valor],
  m.vb[nucleo],$B$1,
  m.vb[variavel],I$7,
  m.vb[mes],$A83
)</f>
        <v>0</v>
      </c>
      <c r="J83" s="108">
        <f ca="1">SUMIFS(
  m.vb[valor],
  m.vb[nucleo],$B$1,
  m.vb[variavel],J$7,
  m.vb[mes],$A83
)</f>
        <v>0</v>
      </c>
      <c r="K83" s="108">
        <f ca="1">SUMIFS(
  m.vb[valor],
  m.vb[nucleo],$B$1,
  m.vb[variavel],K$7,
  m.vb[mes],$A83
)</f>
        <v>0</v>
      </c>
      <c r="L83" s="108">
        <f ca="1">SUMIFS(
  m.vb[valor],
  m.vb[nucleo],$B$1,
  m.vb[variavel],L$7,
  m.vb[mes],$A83
)</f>
        <v>0</v>
      </c>
      <c r="M83" s="108">
        <f ca="1">SUMIFS(
  m.vb[valor],
  m.vb[nucleo],$B$1,
  m.vb[variavel],M$7,
  m.vb[mes],$A83
)</f>
        <v>0</v>
      </c>
      <c r="N83" s="119">
        <f>COUNTIFS(
    tb_estq[empresa], N$6,
    tb_estq[Data da venda / reserva], "&gt;=" &amp; $A83,
    tb_estq[Data da venda / reserva], "&lt;"  &amp; EOMONTH($A83,0) + 1
)</f>
        <v>0</v>
      </c>
      <c r="O83" s="120">
        <f ca="1">SUMIFS(tb_rec_uni[2027-09-01],
INDIRECT("tb_rec_uni[natureza]"),"pro.soluto",
INDIRECT("tb_rec_uni[empresa]"),O$6)</f>
        <v>0</v>
      </c>
      <c r="P83" s="120">
        <f ca="1">SUMIFS(tb_rec_uni[2027-09-01],
INDIRECT("tb_rec_uni[natureza]"),"repasse.cef.obra",
INDIRECT("tb_rec_uni[empresa]"),P$6)</f>
        <v>0</v>
      </c>
      <c r="Q83" s="120">
        <f ca="1">SUMIFS(tb_rec_uni[2027-09-01],
INDIRECT("tb_rec_uni[natureza]"),"repasse.cef.terreno",
INDIRECT("tb_rec_uni[empresa]"),Q$6)</f>
        <v>0</v>
      </c>
      <c r="R83" s="124"/>
      <c r="S83" s="120">
        <f ca="1">SUMIFS(tb_rec_uni[2027-09-01],
INDIRECT("tb_rec_uni[natureza]"),"taxa.extra",
INDIRECT("tb_rec_uni[empresa]"),S$6)</f>
        <v>0</v>
      </c>
      <c r="T83" s="108"/>
      <c r="U83" s="108">
        <f ca="1">SUMIFS(
  m.vb[valor],
  m.vb[nucleo],$N$1,
  m.vb[variavel],U$7,
  m.vb[mes],$A83
)</f>
        <v>0</v>
      </c>
      <c r="V83" s="108">
        <f ca="1">SUMIFS(
  m.vb[valor],
  m.vb[nucleo],$N$1,
  m.vb[variavel],V$7,
  m.vb[mes],$A83
)</f>
        <v>0</v>
      </c>
      <c r="W83" s="108">
        <f ca="1">SUMIFS(
  m.vb[valor],
  m.vb[nucleo],$N$1,
  m.vb[variavel],W$7,
  m.vb[mes],$A83
)</f>
        <v>0</v>
      </c>
      <c r="X83" s="108">
        <f ca="1">SUMIFS(
  m.vb[valor],
  m.vb[nucleo],$N$1,
  m.vb[variavel],X$7,
  m.vb[mes],$A83
)</f>
        <v>0</v>
      </c>
      <c r="Y83" s="108">
        <f ca="1">SUMIFS(
  m.vb[valor],
  m.vb[nucleo],$N$1,
  m.vb[variavel],Y$7,
  m.vb[mes],$A83
)</f>
        <v>0</v>
      </c>
      <c r="Z83" s="119">
        <f>COUNTIFS(
    tb_estq[empresa], Z$6,
    tb_estq[Data da venda / reserva], "&gt;=" &amp; $A83,
    tb_estq[Data da venda / reserva], "&lt;"  &amp; EOMONTH($A83,0) + 1
)</f>
        <v>0</v>
      </c>
      <c r="AA83" s="120">
        <f ca="1">SUMIFS(tb_rec_uni[2027-09-01],
INDIRECT("tb_rec_uni[natureza]"),"pro.soluto",
INDIRECT("tb_rec_uni[empresa]"),AA$6)</f>
        <v>0</v>
      </c>
      <c r="AB83" s="124">
        <f ca="1">SUMIFS(tb_rec_uni[2027-09-01],
INDIRECT("tb_rec_uni[natureza]"),"parcela.fin.total.ik",
INDIRECT("tb_rec_uni[empresa]"),AB$6)</f>
        <v>0</v>
      </c>
      <c r="AC83" s="120">
        <f ca="1">SUMIFS(tb_rec_uni[2027-09-01],
INDIRECT("tb_rec_uni[natureza]"),"taxa.extra",
INDIRECT("tb_rec_uni[empresa]"),AC$6)</f>
        <v>0</v>
      </c>
      <c r="AD83" s="108"/>
      <c r="AE83" s="108">
        <f ca="1">SUMIFS(
  m.vb[valor],
  m.vb[nucleo],$Z$1,
  m.vb[variavel],AE$7,
  m.vb[mes],$A83
)</f>
        <v>0</v>
      </c>
      <c r="AF83" s="108">
        <f ca="1">SUMIFS(
  m.vb[valor],
  m.vb[nucleo],$Z$1,
  m.vb[variavel],AF$7,
  m.vb[mes],$A83
)</f>
        <v>0</v>
      </c>
      <c r="AG83" s="108">
        <f ca="1">SUMIFS(
  m.vb[valor],
  m.vb[nucleo],$Z$1,
  m.vb[variavel],AG$7,
  m.vb[mes],$A83
)</f>
        <v>0</v>
      </c>
      <c r="AH83" s="108">
        <f ca="1">SUMIFS(
  m.vb[valor],
  m.vb[nucleo],$Z$1,
  m.vb[variavel],AH$7,
  m.vb[mes],$A83
)</f>
        <v>0</v>
      </c>
      <c r="AI83" s="108">
        <f ca="1">SUMIFS(
  m.vb[valor],
  m.vb[nucleo],$Z$1,
  m.vb[variavel],AI$7,
  m.vb[mes],$A83
)</f>
        <v>0</v>
      </c>
      <c r="AJ83" s="119">
        <f>COUNTIFS(
    tb_estq[empresa], AJ$6,
    tb_estq[Data da venda / reserva], "&gt;=" &amp; $A83,
    tb_estq[Data da venda / reserva], "&lt;"  &amp; EOMONTH($A83,0) + 1
)</f>
        <v>0</v>
      </c>
      <c r="AK83" s="120">
        <f ca="1">SUMIFS(tb_rec_uni[2027-09-01],
INDIRECT("tb_rec_uni[natureza]"),"pro.soluto",
INDIRECT("tb_rec_uni[empresa]"),AK$6)</f>
        <v>0</v>
      </c>
      <c r="AL83" s="120">
        <f ca="1">SUMIFS(tb_rec_uni[2027-09-01],
INDIRECT("tb_rec_uni[natureza]"),"repasse.cef.obra",
INDIRECT("tb_rec_uni[empresa]"),AL$6)</f>
        <v>0</v>
      </c>
      <c r="AM83" s="123">
        <f ca="1">SUMIFS(tb_rec_uni[2027-09-01],
INDIRECT("tb_rec_uni[natureza]"),"repasse.cef.terreno",
INDIRECT("tb_rec_uni[empresa]"),AM$6)</f>
        <v>0</v>
      </c>
      <c r="AN83" s="124"/>
      <c r="AO83" s="120">
        <f ca="1">SUMIFS(tb_rec_uni[2027-09-01],
INDIRECT("tb_rec_uni[natureza]"),"taxa.extra",
INDIRECT("tb_rec_uni[empresa]"),AO$6)</f>
        <v>0</v>
      </c>
      <c r="AP83" s="108"/>
      <c r="AQ83" s="108">
        <f ca="1">SUMIFS(
  m.vb[valor],
  m.vb[nucleo],$AJ$1,
  m.vb[variavel],AQ$7,
  m.vb[mes],$A83
)</f>
        <v>0</v>
      </c>
      <c r="AR83" s="108">
        <f ca="1">SUMIFS(
  m.vb[valor],
  m.vb[nucleo],$AJ$1,
  m.vb[variavel],AR$7,
  m.vb[mes],$A83
)</f>
        <v>0</v>
      </c>
      <c r="AS83" s="108">
        <f ca="1">SUMIFS(
  m.vb[valor],
  m.vb[nucleo],$AJ$1,
  m.vb[variavel],AS$7,
  m.vb[mes],$A83
)</f>
        <v>0</v>
      </c>
      <c r="AT83" s="108">
        <f ca="1">SUMIFS(
  m.vb[valor],
  m.vb[nucleo],$AJ$1,
  m.vb[variavel],AT$7,
  m.vb[mes],$A83
)</f>
        <v>0</v>
      </c>
      <c r="AU83" s="108">
        <f ca="1">SUMIFS(
  m.vb[valor],
  m.vb[nucleo],$AJ$1,
  m.vb[variavel],AU$7,
  m.vb[mes],$A83
)</f>
        <v>0</v>
      </c>
      <c r="AV83" s="119">
        <f>COUNTIFS(
    tb_estq[empresa], AV$6,
    tb_estq[Data da venda / reserva], "&gt;=" &amp; $A83,
    tb_estq[Data da venda / reserva], "&lt;"  &amp; EOMONTH($A83,0) + 1
)</f>
        <v>0</v>
      </c>
      <c r="AW83" s="120">
        <f ca="1">SUMIFS(tb_rec_uni[2027-09-01],
INDIRECT("tb_rec_uni[natureza]"),"pro.soluto",
INDIRECT("tb_rec_uni[empresa]"),AW$6)</f>
        <v>0</v>
      </c>
      <c r="AX83" s="120">
        <f ca="1">SUMIFS(tb_rec_uni[2027-09-01],
INDIRECT("tb_rec_uni[natureza]"),"repasse.cef.obra",
INDIRECT("tb_rec_uni[empresa]"),AX$6)</f>
        <v>0</v>
      </c>
      <c r="AY83" s="123">
        <f ca="1">SUMIFS(tb_rec_uni[2027-09-01],
INDIRECT("tb_rec_uni[natureza]"),"repasse.cef.terreno",
INDIRECT("tb_rec_uni[empresa]"),AY$6)</f>
        <v>0</v>
      </c>
      <c r="AZ83" s="124"/>
      <c r="BA83" s="120">
        <f ca="1">SUMIFS(tb_rec_uni[2027-09-01],
INDIRECT("tb_rec_uni[natureza]"),"taxa.extra",
INDIRECT("tb_rec_uni[empresa]"),BA$6)</f>
        <v>0</v>
      </c>
      <c r="BB83" s="108"/>
      <c r="BC83" s="108">
        <f ca="1">SUMIFS(
  m.vb[valor],
  m.vb[nucleo],$AV$1,
  m.vb[variavel],BC$7,
  m.vb[mes],$A83
)</f>
        <v>0</v>
      </c>
      <c r="BD83" s="108">
        <f ca="1">SUMIFS(
  m.vb[valor],
  m.vb[nucleo],$AV$1,
  m.vb[variavel],BD$7,
  m.vb[mes],$A83
)</f>
        <v>0</v>
      </c>
      <c r="BE83" s="108">
        <f ca="1">SUMIFS(
  m.vb[valor],
  m.vb[nucleo],$AV$1,
  m.vb[variavel],BE$7,
  m.vb[mes],$A83
)</f>
        <v>0</v>
      </c>
      <c r="BF83" s="108">
        <f ca="1">SUMIFS(
  m.vb[valor],
  m.vb[nucleo],$AV$1,
  m.vb[variavel],BF$7,
  m.vb[mes],$A83
)</f>
        <v>0</v>
      </c>
      <c r="BG83" s="108">
        <f ca="1">SUMIFS(
  m.vb[valor],
  m.vb[nucleo],$AV$1,
  m.vb[variavel],BG$7,
  m.vb[mes],$A83
)</f>
        <v>0</v>
      </c>
      <c r="BH83" s="119">
        <f>COUNTIFS(
    tb_estq[empresa], BH$6,
    tb_estq[Data da venda / reserva], "&gt;=" &amp; $A83,
    tb_estq[Data da venda / reserva], "&lt;"  &amp; EOMONTH($A83,0) + 1
)</f>
        <v>0</v>
      </c>
      <c r="BI83" s="120">
        <f ca="1">SUMIFS(tb_rec_uni[2027-09-01],
INDIRECT("tb_rec_uni[natureza]"),"pro.soluto",
INDIRECT("tb_rec_uni[empresa]"),BI$6)</f>
        <v>0</v>
      </c>
      <c r="BJ83" s="124"/>
      <c r="BK83" s="120">
        <f ca="1">SUMIFS(tb_rec_uni[2027-09-01],
INDIRECT("tb_rec_uni[natureza]"),"taxa.extra",
INDIRECT("tb_rec_uni[empresa]"),BK$6)</f>
        <v>0</v>
      </c>
      <c r="BL83" s="108"/>
      <c r="BM83" s="108">
        <f ca="1">SUMIFS(
  m.vb[valor],
  m.vb[nucleo],$BH$1,
  m.vb[variavel],BM$7,
  m.vb[mes],$A83
)</f>
        <v>0</v>
      </c>
      <c r="BN83" s="108">
        <f ca="1">SUMIFS(
  m.vb[valor],
  m.vb[nucleo],$BH$1,
  m.vb[variavel],BN$7,
  m.vb[mes],$A83
)</f>
        <v>0</v>
      </c>
      <c r="BO83" s="108">
        <f ca="1">SUMIFS(
  m.vb[valor],
  m.vb[nucleo],$BH$1,
  m.vb[variavel],BO$7,
  m.vb[mes],$A83
)</f>
        <v>0</v>
      </c>
      <c r="BP83" s="108">
        <f ca="1">SUMIFS(
  m.vb[valor],
  m.vb[nucleo],$BH$1,
  m.vb[variavel],BP$7,
  m.vb[mes],$A83
)</f>
        <v>0</v>
      </c>
      <c r="BQ83" s="108">
        <f ca="1">SUMIFS(
  m.vb[valor],
  m.vb[nucleo],$BH$1,
  m.vb[variavel],BQ$7,
  m.vb[mes],$A83
)</f>
        <v>0</v>
      </c>
      <c r="BR83" s="119">
        <f>COUNTIFS(
    tb_estq[empresa], BR$6,
    tb_estq[Data da venda / reserva], "&gt;=" &amp; $A83,
    tb_estq[Data da venda / reserva], "&lt;"  &amp; EOMONTH($A83,0) + 1
)</f>
        <v>0</v>
      </c>
      <c r="BS83" s="120">
        <f ca="1">SUMIFS(tb_rec_uni[2027-09-01],
INDIRECT("tb_rec_uni[natureza]"),"pro.soluto",
INDIRECT("tb_rec_uni[empresa]"),BS$6)</f>
        <v>0</v>
      </c>
      <c r="BT83" s="124">
        <f ca="1">SUMIFS(tb_rec_uni[2027-09-01],
INDIRECT("tb_rec_uni[natureza]"),"parcela.fin.total.ik",
INDIRECT("tb_rec_uni[empresa]"),BT$6)</f>
        <v>0</v>
      </c>
      <c r="BU83" s="120">
        <f ca="1">SUMIFS(tb_rec_uni[2027-09-01],
INDIRECT("tb_rec_uni[natureza]"),"taxa.extra",
INDIRECT("tb_rec_uni[empresa]"),BU$6)</f>
        <v>0</v>
      </c>
      <c r="BV83" s="108"/>
      <c r="BW83" s="108">
        <f ca="1">SUMIFS(
  m.vb[valor],
  m.vb[nucleo],$BR$1,
  m.vb[variavel],BW$7,
  m.vb[mes],$A83
)</f>
        <v>0</v>
      </c>
      <c r="BX83" s="108">
        <f ca="1">SUMIFS(
  m.vb[valor],
  m.vb[nucleo],$BR$1,
  m.vb[variavel],BX$7,
  m.vb[mes],$A83
)</f>
        <v>0</v>
      </c>
      <c r="BY83" s="108">
        <f ca="1">SUMIFS(
  m.vb[valor],
  m.vb[nucleo],$BR$1,
  m.vb[variavel],BY$7,
  m.vb[mes],$A83
)</f>
        <v>0</v>
      </c>
      <c r="BZ83" s="108">
        <f ca="1">SUMIFS(
  m.vb[valor],
  m.vb[nucleo],$BR$1,
  m.vb[variavel],BZ$7,
  m.vb[mes],$A83
)</f>
        <v>0</v>
      </c>
      <c r="CA83" s="108">
        <f ca="1">SUMIFS(
  m.vb[valor],
  m.vb[nucleo],$BR$1,
  m.vb[variavel],CA$7,
  m.vb[mes],$A83
)</f>
        <v>0</v>
      </c>
      <c r="CB83" s="119">
        <f>COUNTIFS(
    tb_estq[empresa], CB$6,
    tb_estq[Data da venda / reserva], "&gt;=" &amp; $A83,
    tb_estq[Data da venda / reserva], "&lt;"  &amp; EOMONTH($A83,0) + 1
)</f>
        <v>0</v>
      </c>
      <c r="CC83" s="120">
        <f ca="1">SUMIFS(tb_rec_uni[2027-09-01],
INDIRECT("tb_rec_uni[natureza]"),"pro.soluto",
INDIRECT("tb_rec_uni[empresa]"),CC$6)</f>
        <v>0</v>
      </c>
      <c r="CD83" s="120">
        <f ca="1">SUMIFS(tb_rec_uni[2027-09-01],
INDIRECT("tb_rec_uni[natureza]"),"repasse.cef.obra",
INDIRECT("tb_rec_uni[empresa]"),CD$6)</f>
        <v>0</v>
      </c>
      <c r="CE83" s="123">
        <f ca="1">SUMIFS(tb_rec_uni[2027-09-01],
INDIRECT("tb_rec_uni[natureza]"),"repasse.cef.terreno",
INDIRECT("tb_rec_uni[empresa]"),CE$6)</f>
        <v>0</v>
      </c>
      <c r="CF83" s="124"/>
      <c r="CG83" s="120">
        <f ca="1">SUMIFS(tb_rec_uni[2027-09-01],
INDIRECT("tb_rec_uni[natureza]"),"taxa.extra",
INDIRECT("tb_rec_uni[empresa]"),CG$6)</f>
        <v>0</v>
      </c>
      <c r="CH83" s="108"/>
      <c r="CI83" s="108">
        <f ca="1">SUMIFS(
  m.vb[valor],
  m.vb[nucleo],$CB$1,
  m.vb[variavel],CI$7,
  m.vb[mes],$A83
)</f>
        <v>0</v>
      </c>
      <c r="CJ83" s="108">
        <f ca="1">SUMIFS(
  m.vb[valor],
  m.vb[nucleo],$CB$1,
  m.vb[variavel],CJ$7,
  m.vb[mes],$A83
)</f>
        <v>0</v>
      </c>
      <c r="CK83" s="108">
        <f ca="1">SUMIFS(
  m.vb[valor],
  m.vb[nucleo],$CB$1,
  m.vb[variavel],CK$7,
  m.vb[mes],$A83
)</f>
        <v>0</v>
      </c>
      <c r="CL83" s="108">
        <f ca="1">SUMIFS(
  m.vb[valor],
  m.vb[nucleo],$CB$1,
  m.vb[variavel],CL$7,
  m.vb[mes],$A83
)</f>
        <v>0</v>
      </c>
      <c r="CM83" s="108">
        <f ca="1">SUMIFS(
  m.vb[valor],
  m.vb[nucleo],$CB$1,
  m.vb[variavel],CM$7,
  m.vb[mes],$A83
)</f>
        <v>0</v>
      </c>
      <c r="CN83" s="119">
        <f>COUNTIFS(
    tb_estq[empresa], CN$6,
    tb_estq[Data da venda / reserva], "&gt;=" &amp; $A83,
    tb_estq[Data da venda / reserva], "&lt;"  &amp; EOMONTH($A83,0) + 1
)</f>
        <v>0</v>
      </c>
      <c r="CO83" s="120">
        <f ca="1">SUMIFS(tb_rec_uni[2027-09-01],
INDIRECT("tb_rec_uni[natureza]"),"pro.soluto",
INDIRECT("tb_rec_uni[empresa]"),CO$6)</f>
        <v>0</v>
      </c>
      <c r="CP83" s="120">
        <f ca="1">SUMIFS(tb_rec_uni[2027-09-01],
INDIRECT("tb_rec_uni[natureza]"),"repasse.cef.obra",
INDIRECT("tb_rec_uni[empresa]"),CP$6)</f>
        <v>0</v>
      </c>
      <c r="CQ83" s="123">
        <f ca="1">SUMIFS(tb_rec_uni[2027-09-01],
INDIRECT("tb_rec_uni[natureza]"),"repasse.cef.terreno",
INDIRECT("tb_rec_uni[empresa]"),CQ$6)</f>
        <v>0</v>
      </c>
      <c r="CR83" s="124"/>
      <c r="CS83" s="120">
        <f ca="1">SUMIFS(tb_rec_uni[2027-09-01],
INDIRECT("tb_rec_uni[natureza]"),"taxa.extra",
INDIRECT("tb_rec_uni[empresa]"),CS$6)</f>
        <v>0</v>
      </c>
      <c r="CT83" s="108"/>
      <c r="CU83" s="108">
        <f ca="1">SUMIFS(
  m.vb[valor],
  m.vb[nucleo],$CN$1,
  m.vb[variavel],CU$7,
  m.vb[mes],$A83
)</f>
        <v>0</v>
      </c>
      <c r="CV83" s="108" cm="1">
        <f t="array" ref="CV83">SUMPRODUCT(
  IFERROR(--tb_desp[valor],0)*
  (tb_desp[nucleo]="UP MOVE VILA SONIA")*
  (tb_desp[categoria]=CV$7)*
  (tb_desp[data.pagamento]&gt;=$A83)*
  (tb_desp[data.pagamento]&lt;EOMONTH($A83,0)+1)
)</f>
        <v>0</v>
      </c>
      <c r="CW83" s="108" cm="1">
        <f t="array" ref="CW83">SUMPRODUCT(
  IFERROR(--tb_desp[valor],0)*
  (tb_desp[nucleo]="UP MOVE VILA SONIA")*
  (tb_desp[categoria]=CW$7)*
  (tb_desp[data.pagamento]&gt;=$A83)*
  (tb_desp[data.pagamento]&lt;EOMONTH($A83,0)+1)
)</f>
        <v>0</v>
      </c>
      <c r="CX83" s="108" cm="1">
        <f t="array" ref="CX83">SUMPRODUCT(
  IFERROR(--tb_desp[valor],0)*
  (tb_desp[nucleo]="UP MOVE VILA SONIA")*
  (tb_desp[categoria]=CX$7)*
  (tb_desp[data.pagamento]&gt;=$A83)*
  (tb_desp[data.pagamento]&lt;EOMONTH($A83,0)+1)
)</f>
        <v>0</v>
      </c>
      <c r="CY83" s="221" cm="1">
        <f t="array" ref="CY83">SUMPRODUCT(
  IFERROR(--tb_desp[valor],0)*
  (tb_desp[nucleo]="UP MOVE VILA SONIA")*
  (tb_desp[categoria]=CY$7)*
  (tb_desp[data.pagamento]&gt;=$A83)*
  (tb_desp[data.pagamento]&lt;EOMONTH($A83,0)+1)
)</f>
        <v>0</v>
      </c>
    </row>
    <row r="84" spans="1:103" x14ac:dyDescent="0.25">
      <c r="A84" s="118">
        <v>46661</v>
      </c>
      <c r="B84" s="119">
        <f>COUNTIFS(
    tb_estq[empresa], B$6,
    tb_estq[Data da venda / reserva], "&gt;=" &amp; $A84,
    tb_estq[Data da venda / reserva], "&lt;"  &amp; EOMONTH($A84,0) + 1
)</f>
        <v>0</v>
      </c>
      <c r="C84" s="120">
        <f ca="1">SUMIFS(tb_rec_uni[2027-10-01],
INDIRECT("tb_rec_uni[natureza]"),"pro.soluto",
INDIRECT("tb_rec_uni[empresa]"),C$6)</f>
        <v>0</v>
      </c>
      <c r="D84" s="120">
        <f ca="1">SUMIFS(tb_rec_uni[2027-10-01],
INDIRECT("tb_rec_uni[natureza]"),"repasse.cef.obra",
INDIRECT("tb_rec_uni[empresa]"),D$6)</f>
        <v>0</v>
      </c>
      <c r="E84" s="120">
        <f ca="1">SUMIFS(tb_rec_uni[2027-10-01],
INDIRECT("tb_rec_uni[natureza]"),"repasse.cef.terreno",
INDIRECT("tb_rec_uni[empresa]"),E$6)</f>
        <v>0</v>
      </c>
      <c r="F84" s="124"/>
      <c r="G84" s="120">
        <f ca="1">SUMIFS(tb_rec_uni[2027-10-01],
INDIRECT("tb_rec_uni[natureza]"),"taxa.extra",
INDIRECT("tb_rec_uni[empresa]"),G$6)</f>
        <v>0</v>
      </c>
      <c r="H84" s="108"/>
      <c r="I84" s="108">
        <f ca="1">SUMIFS(
  m.vb[valor],
  m.vb[nucleo],$B$1,
  m.vb[variavel],I$7,
  m.vb[mes],$A84
)</f>
        <v>0</v>
      </c>
      <c r="J84" s="108">
        <f ca="1">SUMIFS(
  m.vb[valor],
  m.vb[nucleo],$B$1,
  m.vb[variavel],J$7,
  m.vb[mes],$A84
)</f>
        <v>0</v>
      </c>
      <c r="K84" s="108">
        <f ca="1">SUMIFS(
  m.vb[valor],
  m.vb[nucleo],$B$1,
  m.vb[variavel],K$7,
  m.vb[mes],$A84
)</f>
        <v>0</v>
      </c>
      <c r="L84" s="108">
        <f ca="1">SUMIFS(
  m.vb[valor],
  m.vb[nucleo],$B$1,
  m.vb[variavel],L$7,
  m.vb[mes],$A84
)</f>
        <v>0</v>
      </c>
      <c r="M84" s="108">
        <f ca="1">SUMIFS(
  m.vb[valor],
  m.vb[nucleo],$B$1,
  m.vb[variavel],M$7,
  m.vb[mes],$A84
)</f>
        <v>0</v>
      </c>
      <c r="N84" s="119">
        <f>COUNTIFS(
    tb_estq[empresa], N$6,
    tb_estq[Data da venda / reserva], "&gt;=" &amp; $A84,
    tb_estq[Data da venda / reserva], "&lt;"  &amp; EOMONTH($A84,0) + 1
)</f>
        <v>0</v>
      </c>
      <c r="O84" s="120">
        <f ca="1">SUMIFS(tb_rec_uni[2027-10-01],
INDIRECT("tb_rec_uni[natureza]"),"pro.soluto",
INDIRECT("tb_rec_uni[empresa]"),O$6)</f>
        <v>0</v>
      </c>
      <c r="P84" s="120">
        <f ca="1">SUMIFS(tb_rec_uni[2027-10-01],
INDIRECT("tb_rec_uni[natureza]"),"repasse.cef.obra",
INDIRECT("tb_rec_uni[empresa]"),P$6)</f>
        <v>0</v>
      </c>
      <c r="Q84" s="120">
        <f ca="1">SUMIFS(tb_rec_uni[2027-10-01],
INDIRECT("tb_rec_uni[natureza]"),"repasse.cef.terreno",
INDIRECT("tb_rec_uni[empresa]"),Q$6)</f>
        <v>0</v>
      </c>
      <c r="R84" s="124"/>
      <c r="S84" s="120">
        <f ca="1">SUMIFS(tb_rec_uni[2027-10-01],
INDIRECT("tb_rec_uni[natureza]"),"taxa.extra",
INDIRECT("tb_rec_uni[empresa]"),S$6)</f>
        <v>0</v>
      </c>
      <c r="T84" s="108"/>
      <c r="U84" s="108">
        <f ca="1">SUMIFS(
  m.vb[valor],
  m.vb[nucleo],$N$1,
  m.vb[variavel],U$7,
  m.vb[mes],$A84
)</f>
        <v>0</v>
      </c>
      <c r="V84" s="108">
        <f ca="1">SUMIFS(
  m.vb[valor],
  m.vb[nucleo],$N$1,
  m.vb[variavel],V$7,
  m.vb[mes],$A84
)</f>
        <v>0</v>
      </c>
      <c r="W84" s="108">
        <f ca="1">SUMIFS(
  m.vb[valor],
  m.vb[nucleo],$N$1,
  m.vb[variavel],W$7,
  m.vb[mes],$A84
)</f>
        <v>0</v>
      </c>
      <c r="X84" s="108">
        <f ca="1">SUMIFS(
  m.vb[valor],
  m.vb[nucleo],$N$1,
  m.vb[variavel],X$7,
  m.vb[mes],$A84
)</f>
        <v>0</v>
      </c>
      <c r="Y84" s="108">
        <f ca="1">SUMIFS(
  m.vb[valor],
  m.vb[nucleo],$N$1,
  m.vb[variavel],Y$7,
  m.vb[mes],$A84
)</f>
        <v>0</v>
      </c>
      <c r="Z84" s="119">
        <f>COUNTIFS(
    tb_estq[empresa], Z$6,
    tb_estq[Data da venda / reserva], "&gt;=" &amp; $A84,
    tb_estq[Data da venda / reserva], "&lt;"  &amp; EOMONTH($A84,0) + 1
)</f>
        <v>0</v>
      </c>
      <c r="AA84" s="120">
        <f ca="1">SUMIFS(tb_rec_uni[2027-10-01],
INDIRECT("tb_rec_uni[natureza]"),"pro.soluto",
INDIRECT("tb_rec_uni[empresa]"),AA$6)</f>
        <v>0</v>
      </c>
      <c r="AB84" s="124">
        <f ca="1">SUMIFS(tb_rec_uni[2027-10-01],
INDIRECT("tb_rec_uni[natureza]"),"parcela.fin.total.ik",
INDIRECT("tb_rec_uni[empresa]"),AB$6)</f>
        <v>0</v>
      </c>
      <c r="AC84" s="120">
        <f ca="1">SUMIFS(tb_rec_uni[2027-10-01],
INDIRECT("tb_rec_uni[natureza]"),"taxa.extra",
INDIRECT("tb_rec_uni[empresa]"),AC$6)</f>
        <v>0</v>
      </c>
      <c r="AD84" s="108"/>
      <c r="AE84" s="108">
        <f ca="1">SUMIFS(
  m.vb[valor],
  m.vb[nucleo],$Z$1,
  m.vb[variavel],AE$7,
  m.vb[mes],$A84
)</f>
        <v>0</v>
      </c>
      <c r="AF84" s="108">
        <f ca="1">SUMIFS(
  m.vb[valor],
  m.vb[nucleo],$Z$1,
  m.vb[variavel],AF$7,
  m.vb[mes],$A84
)</f>
        <v>0</v>
      </c>
      <c r="AG84" s="108">
        <f ca="1">SUMIFS(
  m.vb[valor],
  m.vb[nucleo],$Z$1,
  m.vb[variavel],AG$7,
  m.vb[mes],$A84
)</f>
        <v>0</v>
      </c>
      <c r="AH84" s="108">
        <f ca="1">SUMIFS(
  m.vb[valor],
  m.vb[nucleo],$Z$1,
  m.vb[variavel],AH$7,
  m.vb[mes],$A84
)</f>
        <v>0</v>
      </c>
      <c r="AI84" s="108">
        <f ca="1">SUMIFS(
  m.vb[valor],
  m.vb[nucleo],$Z$1,
  m.vb[variavel],AI$7,
  m.vb[mes],$A84
)</f>
        <v>0</v>
      </c>
      <c r="AJ84" s="119">
        <f>COUNTIFS(
    tb_estq[empresa], AJ$6,
    tb_estq[Data da venda / reserva], "&gt;=" &amp; $A84,
    tb_estq[Data da venda / reserva], "&lt;"  &amp; EOMONTH($A84,0) + 1
)</f>
        <v>0</v>
      </c>
      <c r="AK84" s="120">
        <f ca="1">SUMIFS(tb_rec_uni[2027-10-01],
INDIRECT("tb_rec_uni[natureza]"),"pro.soluto",
INDIRECT("tb_rec_uni[empresa]"),AK$6)</f>
        <v>0</v>
      </c>
      <c r="AL84" s="120">
        <f ca="1">SUMIFS(tb_rec_uni[2027-10-01],
INDIRECT("tb_rec_uni[natureza]"),"repasse.cef.obra",
INDIRECT("tb_rec_uni[empresa]"),AL$6)</f>
        <v>0</v>
      </c>
      <c r="AM84" s="123">
        <f ca="1">SUMIFS(tb_rec_uni[2027-10-01],
INDIRECT("tb_rec_uni[natureza]"),"repasse.cef.terreno",
INDIRECT("tb_rec_uni[empresa]"),AM$6)</f>
        <v>0</v>
      </c>
      <c r="AN84" s="124"/>
      <c r="AO84" s="120">
        <f ca="1">SUMIFS(tb_rec_uni[2027-10-01],
INDIRECT("tb_rec_uni[natureza]"),"taxa.extra",
INDIRECT("tb_rec_uni[empresa]"),AO$6)</f>
        <v>0</v>
      </c>
      <c r="AP84" s="108"/>
      <c r="AQ84" s="108">
        <f ca="1">SUMIFS(
  m.vb[valor],
  m.vb[nucleo],$AJ$1,
  m.vb[variavel],AQ$7,
  m.vb[mes],$A84
)</f>
        <v>0</v>
      </c>
      <c r="AR84" s="108">
        <f ca="1">SUMIFS(
  m.vb[valor],
  m.vb[nucleo],$AJ$1,
  m.vb[variavel],AR$7,
  m.vb[mes],$A84
)</f>
        <v>0</v>
      </c>
      <c r="AS84" s="108">
        <f ca="1">SUMIFS(
  m.vb[valor],
  m.vb[nucleo],$AJ$1,
  m.vb[variavel],AS$7,
  m.vb[mes],$A84
)</f>
        <v>0</v>
      </c>
      <c r="AT84" s="108">
        <f ca="1">SUMIFS(
  m.vb[valor],
  m.vb[nucleo],$AJ$1,
  m.vb[variavel],AT$7,
  m.vb[mes],$A84
)</f>
        <v>0</v>
      </c>
      <c r="AU84" s="108">
        <f ca="1">SUMIFS(
  m.vb[valor],
  m.vb[nucleo],$AJ$1,
  m.vb[variavel],AU$7,
  m.vb[mes],$A84
)</f>
        <v>0</v>
      </c>
      <c r="AV84" s="119">
        <f>COUNTIFS(
    tb_estq[empresa], AV$6,
    tb_estq[Data da venda / reserva], "&gt;=" &amp; $A84,
    tb_estq[Data da venda / reserva], "&lt;"  &amp; EOMONTH($A84,0) + 1
)</f>
        <v>0</v>
      </c>
      <c r="AW84" s="120">
        <f ca="1">SUMIFS(tb_rec_uni[2027-10-01],
INDIRECT("tb_rec_uni[natureza]"),"pro.soluto",
INDIRECT("tb_rec_uni[empresa]"),AW$6)</f>
        <v>0</v>
      </c>
      <c r="AX84" s="120">
        <f ca="1">SUMIFS(tb_rec_uni[2027-10-01],
INDIRECT("tb_rec_uni[natureza]"),"repasse.cef.obra",
INDIRECT("tb_rec_uni[empresa]"),AX$6)</f>
        <v>0</v>
      </c>
      <c r="AY84" s="123">
        <f ca="1">SUMIFS(tb_rec_uni[2027-10-01],
INDIRECT("tb_rec_uni[natureza]"),"repasse.cef.terreno",
INDIRECT("tb_rec_uni[empresa]"),AY$6)</f>
        <v>0</v>
      </c>
      <c r="AZ84" s="124"/>
      <c r="BA84" s="120">
        <f ca="1">SUMIFS(tb_rec_uni[2027-10-01],
INDIRECT("tb_rec_uni[natureza]"),"taxa.extra",
INDIRECT("tb_rec_uni[empresa]"),BA$6)</f>
        <v>0</v>
      </c>
      <c r="BB84" s="108"/>
      <c r="BC84" s="108">
        <f ca="1">SUMIFS(
  m.vb[valor],
  m.vb[nucleo],$AV$1,
  m.vb[variavel],BC$7,
  m.vb[mes],$A84
)</f>
        <v>0</v>
      </c>
      <c r="BD84" s="108">
        <f ca="1">SUMIFS(
  m.vb[valor],
  m.vb[nucleo],$AV$1,
  m.vb[variavel],BD$7,
  m.vb[mes],$A84
)</f>
        <v>0</v>
      </c>
      <c r="BE84" s="108">
        <f ca="1">SUMIFS(
  m.vb[valor],
  m.vb[nucleo],$AV$1,
  m.vb[variavel],BE$7,
  m.vb[mes],$A84
)</f>
        <v>0</v>
      </c>
      <c r="BF84" s="108">
        <f ca="1">SUMIFS(
  m.vb[valor],
  m.vb[nucleo],$AV$1,
  m.vb[variavel],BF$7,
  m.vb[mes],$A84
)</f>
        <v>0</v>
      </c>
      <c r="BG84" s="108">
        <f ca="1">SUMIFS(
  m.vb[valor],
  m.vb[nucleo],$AV$1,
  m.vb[variavel],BG$7,
  m.vb[mes],$A84
)</f>
        <v>0</v>
      </c>
      <c r="BH84" s="119">
        <f>COUNTIFS(
    tb_estq[empresa], BH$6,
    tb_estq[Data da venda / reserva], "&gt;=" &amp; $A84,
    tb_estq[Data da venda / reserva], "&lt;"  &amp; EOMONTH($A84,0) + 1
)</f>
        <v>0</v>
      </c>
      <c r="BI84" s="120">
        <f ca="1">SUMIFS(tb_rec_uni[2027-10-01],
INDIRECT("tb_rec_uni[natureza]"),"pro.soluto",
INDIRECT("tb_rec_uni[empresa]"),BI$6)</f>
        <v>0</v>
      </c>
      <c r="BJ84" s="124"/>
      <c r="BK84" s="120">
        <f ca="1">SUMIFS(tb_rec_uni[2027-10-01],
INDIRECT("tb_rec_uni[natureza]"),"taxa.extra",
INDIRECT("tb_rec_uni[empresa]"),BK$6)</f>
        <v>0</v>
      </c>
      <c r="BL84" s="108"/>
      <c r="BM84" s="108">
        <f ca="1">SUMIFS(
  m.vb[valor],
  m.vb[nucleo],$BH$1,
  m.vb[variavel],BM$7,
  m.vb[mes],$A84
)</f>
        <v>0</v>
      </c>
      <c r="BN84" s="108">
        <f ca="1">SUMIFS(
  m.vb[valor],
  m.vb[nucleo],$BH$1,
  m.vb[variavel],BN$7,
  m.vb[mes],$A84
)</f>
        <v>0</v>
      </c>
      <c r="BO84" s="108">
        <f ca="1">SUMIFS(
  m.vb[valor],
  m.vb[nucleo],$BH$1,
  m.vb[variavel],BO$7,
  m.vb[mes],$A84
)</f>
        <v>0</v>
      </c>
      <c r="BP84" s="108">
        <f ca="1">SUMIFS(
  m.vb[valor],
  m.vb[nucleo],$BH$1,
  m.vb[variavel],BP$7,
  m.vb[mes],$A84
)</f>
        <v>0</v>
      </c>
      <c r="BQ84" s="108">
        <f ca="1">SUMIFS(
  m.vb[valor],
  m.vb[nucleo],$BH$1,
  m.vb[variavel],BQ$7,
  m.vb[mes],$A84
)</f>
        <v>0</v>
      </c>
      <c r="BR84" s="119">
        <f>COUNTIFS(
    tb_estq[empresa], BR$6,
    tb_estq[Data da venda / reserva], "&gt;=" &amp; $A84,
    tb_estq[Data da venda / reserva], "&lt;"  &amp; EOMONTH($A84,0) + 1
)</f>
        <v>0</v>
      </c>
      <c r="BS84" s="120">
        <f ca="1">SUMIFS(tb_rec_uni[2027-10-01],
INDIRECT("tb_rec_uni[natureza]"),"pro.soluto",
INDIRECT("tb_rec_uni[empresa]"),BS$6)</f>
        <v>0</v>
      </c>
      <c r="BT84" s="124">
        <f ca="1">SUMIFS(tb_rec_uni[2027-10-01],
INDIRECT("tb_rec_uni[natureza]"),"parcela.fin.total.ik",
INDIRECT("tb_rec_uni[empresa]"),BT$6)</f>
        <v>0</v>
      </c>
      <c r="BU84" s="120">
        <f ca="1">SUMIFS(tb_rec_uni[2027-10-01],
INDIRECT("tb_rec_uni[natureza]"),"taxa.extra",
INDIRECT("tb_rec_uni[empresa]"),BU$6)</f>
        <v>0</v>
      </c>
      <c r="BV84" s="108"/>
      <c r="BW84" s="108">
        <f ca="1">SUMIFS(
  m.vb[valor],
  m.vb[nucleo],$BR$1,
  m.vb[variavel],BW$7,
  m.vb[mes],$A84
)</f>
        <v>0</v>
      </c>
      <c r="BX84" s="108">
        <f ca="1">SUMIFS(
  m.vb[valor],
  m.vb[nucleo],$BR$1,
  m.vb[variavel],BX$7,
  m.vb[mes],$A84
)</f>
        <v>0</v>
      </c>
      <c r="BY84" s="108">
        <f ca="1">SUMIFS(
  m.vb[valor],
  m.vb[nucleo],$BR$1,
  m.vb[variavel],BY$7,
  m.vb[mes],$A84
)</f>
        <v>0</v>
      </c>
      <c r="BZ84" s="108">
        <f ca="1">SUMIFS(
  m.vb[valor],
  m.vb[nucleo],$BR$1,
  m.vb[variavel],BZ$7,
  m.vb[mes],$A84
)</f>
        <v>0</v>
      </c>
      <c r="CA84" s="108">
        <f ca="1">SUMIFS(
  m.vb[valor],
  m.vb[nucleo],$BR$1,
  m.vb[variavel],CA$7,
  m.vb[mes],$A84
)</f>
        <v>0</v>
      </c>
      <c r="CB84" s="119">
        <f>COUNTIFS(
    tb_estq[empresa], CB$6,
    tb_estq[Data da venda / reserva], "&gt;=" &amp; $A84,
    tb_estq[Data da venda / reserva], "&lt;"  &amp; EOMONTH($A84,0) + 1
)</f>
        <v>0</v>
      </c>
      <c r="CC84" s="120">
        <f ca="1">SUMIFS(tb_rec_uni[2027-10-01],
INDIRECT("tb_rec_uni[natureza]"),"pro.soluto",
INDIRECT("tb_rec_uni[empresa]"),CC$6)</f>
        <v>0</v>
      </c>
      <c r="CD84" s="120">
        <f ca="1">SUMIFS(tb_rec_uni[2027-10-01],
INDIRECT("tb_rec_uni[natureza]"),"repasse.cef.obra",
INDIRECT("tb_rec_uni[empresa]"),CD$6)</f>
        <v>0</v>
      </c>
      <c r="CE84" s="123">
        <f ca="1">SUMIFS(tb_rec_uni[2027-10-01],
INDIRECT("tb_rec_uni[natureza]"),"repasse.cef.terreno",
INDIRECT("tb_rec_uni[empresa]"),CE$6)</f>
        <v>0</v>
      </c>
      <c r="CF84" s="124"/>
      <c r="CG84" s="120">
        <f ca="1">SUMIFS(tb_rec_uni[2027-10-01],
INDIRECT("tb_rec_uni[natureza]"),"taxa.extra",
INDIRECT("tb_rec_uni[empresa]"),CG$6)</f>
        <v>0</v>
      </c>
      <c r="CH84" s="108"/>
      <c r="CI84" s="108">
        <f ca="1">SUMIFS(
  m.vb[valor],
  m.vb[nucleo],$CB$1,
  m.vb[variavel],CI$7,
  m.vb[mes],$A84
)</f>
        <v>0</v>
      </c>
      <c r="CJ84" s="108">
        <f ca="1">SUMIFS(
  m.vb[valor],
  m.vb[nucleo],$CB$1,
  m.vb[variavel],CJ$7,
  m.vb[mes],$A84
)</f>
        <v>0</v>
      </c>
      <c r="CK84" s="108">
        <f ca="1">SUMIFS(
  m.vb[valor],
  m.vb[nucleo],$CB$1,
  m.vb[variavel],CK$7,
  m.vb[mes],$A84
)</f>
        <v>0</v>
      </c>
      <c r="CL84" s="108">
        <f ca="1">SUMIFS(
  m.vb[valor],
  m.vb[nucleo],$CB$1,
  m.vb[variavel],CL$7,
  m.vb[mes],$A84
)</f>
        <v>0</v>
      </c>
      <c r="CM84" s="108">
        <f ca="1">SUMIFS(
  m.vb[valor],
  m.vb[nucleo],$CB$1,
  m.vb[variavel],CM$7,
  m.vb[mes],$A84
)</f>
        <v>0</v>
      </c>
      <c r="CN84" s="119">
        <f>COUNTIFS(
    tb_estq[empresa], CN$6,
    tb_estq[Data da venda / reserva], "&gt;=" &amp; $A84,
    tb_estq[Data da venda / reserva], "&lt;"  &amp; EOMONTH($A84,0) + 1
)</f>
        <v>0</v>
      </c>
      <c r="CO84" s="120">
        <f ca="1">SUMIFS(tb_rec_uni[2027-10-01],
INDIRECT("tb_rec_uni[natureza]"),"pro.soluto",
INDIRECT("tb_rec_uni[empresa]"),CO$6)</f>
        <v>0</v>
      </c>
      <c r="CP84" s="120">
        <f ca="1">SUMIFS(tb_rec_uni[2027-10-01],
INDIRECT("tb_rec_uni[natureza]"),"repasse.cef.obra",
INDIRECT("tb_rec_uni[empresa]"),CP$6)</f>
        <v>0</v>
      </c>
      <c r="CQ84" s="123">
        <f ca="1">SUMIFS(tb_rec_uni[2027-10-01],
INDIRECT("tb_rec_uni[natureza]"),"repasse.cef.terreno",
INDIRECT("tb_rec_uni[empresa]"),CQ$6)</f>
        <v>0</v>
      </c>
      <c r="CR84" s="124"/>
      <c r="CS84" s="120">
        <f ca="1">SUMIFS(tb_rec_uni[2027-10-01],
INDIRECT("tb_rec_uni[natureza]"),"taxa.extra",
INDIRECT("tb_rec_uni[empresa]"),CS$6)</f>
        <v>0</v>
      </c>
      <c r="CT84" s="108"/>
      <c r="CU84" s="108">
        <f ca="1">SUMIFS(
  m.vb[valor],
  m.vb[nucleo],$CN$1,
  m.vb[variavel],CU$7,
  m.vb[mes],$A84
)</f>
        <v>0</v>
      </c>
      <c r="CV84" s="108" cm="1">
        <f t="array" ref="CV84">SUMPRODUCT(
  IFERROR(--tb_desp[valor],0)*
  (tb_desp[nucleo]="UP MOVE VILA SONIA")*
  (tb_desp[categoria]=CV$7)*
  (tb_desp[data.pagamento]&gt;=$A84)*
  (tb_desp[data.pagamento]&lt;EOMONTH($A84,0)+1)
)</f>
        <v>0</v>
      </c>
      <c r="CW84" s="108" cm="1">
        <f t="array" ref="CW84">SUMPRODUCT(
  IFERROR(--tb_desp[valor],0)*
  (tb_desp[nucleo]="UP MOVE VILA SONIA")*
  (tb_desp[categoria]=CW$7)*
  (tb_desp[data.pagamento]&gt;=$A84)*
  (tb_desp[data.pagamento]&lt;EOMONTH($A84,0)+1)
)</f>
        <v>0</v>
      </c>
      <c r="CX84" s="108" cm="1">
        <f t="array" ref="CX84">SUMPRODUCT(
  IFERROR(--tb_desp[valor],0)*
  (tb_desp[nucleo]="UP MOVE VILA SONIA")*
  (tb_desp[categoria]=CX$7)*
  (tb_desp[data.pagamento]&gt;=$A84)*
  (tb_desp[data.pagamento]&lt;EOMONTH($A84,0)+1)
)</f>
        <v>0</v>
      </c>
      <c r="CY84" s="221" cm="1">
        <f t="array" ref="CY84">SUMPRODUCT(
  IFERROR(--tb_desp[valor],0)*
  (tb_desp[nucleo]="UP MOVE VILA SONIA")*
  (tb_desp[categoria]=CY$7)*
  (tb_desp[data.pagamento]&gt;=$A84)*
  (tb_desp[data.pagamento]&lt;EOMONTH($A84,0)+1)
)</f>
        <v>0</v>
      </c>
    </row>
    <row r="85" spans="1:103" x14ac:dyDescent="0.25">
      <c r="A85" s="118">
        <v>46692</v>
      </c>
      <c r="B85" s="119">
        <f>COUNTIFS(
    tb_estq[empresa], B$6,
    tb_estq[Data da venda / reserva], "&gt;=" &amp; $A85,
    tb_estq[Data da venda / reserva], "&lt;"  &amp; EOMONTH($A85,0) + 1
)</f>
        <v>0</v>
      </c>
      <c r="C85" s="120">
        <f ca="1">SUMIFS(tb_rec_uni[2027-11-01],
INDIRECT("tb_rec_uni[natureza]"),"pro.soluto",
INDIRECT("tb_rec_uni[empresa]"),C$6)</f>
        <v>0</v>
      </c>
      <c r="D85" s="120">
        <f ca="1">SUMIFS(tb_rec_uni[2027-11-01],
INDIRECT("tb_rec_uni[natureza]"),"repasse.cef.obra",
INDIRECT("tb_rec_uni[empresa]"),D$6)</f>
        <v>0</v>
      </c>
      <c r="E85" s="120">
        <f ca="1">SUMIFS(tb_rec_uni[2027-11-01],
INDIRECT("tb_rec_uni[natureza]"),"repasse.cef.terreno",
INDIRECT("tb_rec_uni[empresa]"),E$6)</f>
        <v>0</v>
      </c>
      <c r="F85" s="124"/>
      <c r="G85" s="120">
        <f ca="1">SUMIFS(tb_rec_uni[2027-11-01],
INDIRECT("tb_rec_uni[natureza]"),"taxa.extra",
INDIRECT("tb_rec_uni[empresa]"),G$6)</f>
        <v>0</v>
      </c>
      <c r="H85" s="108"/>
      <c r="I85" s="108">
        <f ca="1">SUMIFS(
  m.vb[valor],
  m.vb[nucleo],$B$1,
  m.vb[variavel],I$7,
  m.vb[mes],$A85
)</f>
        <v>0</v>
      </c>
      <c r="J85" s="108">
        <f ca="1">SUMIFS(
  m.vb[valor],
  m.vb[nucleo],$B$1,
  m.vb[variavel],J$7,
  m.vb[mes],$A85
)</f>
        <v>0</v>
      </c>
      <c r="K85" s="108">
        <f ca="1">SUMIFS(
  m.vb[valor],
  m.vb[nucleo],$B$1,
  m.vb[variavel],K$7,
  m.vb[mes],$A85
)</f>
        <v>0</v>
      </c>
      <c r="L85" s="108">
        <f ca="1">SUMIFS(
  m.vb[valor],
  m.vb[nucleo],$B$1,
  m.vb[variavel],L$7,
  m.vb[mes],$A85
)</f>
        <v>0</v>
      </c>
      <c r="M85" s="108">
        <f ca="1">SUMIFS(
  m.vb[valor],
  m.vb[nucleo],$B$1,
  m.vb[variavel],M$7,
  m.vb[mes],$A85
)</f>
        <v>0</v>
      </c>
      <c r="N85" s="119">
        <f>COUNTIFS(
    tb_estq[empresa], N$6,
    tb_estq[Data da venda / reserva], "&gt;=" &amp; $A85,
    tb_estq[Data da venda / reserva], "&lt;"  &amp; EOMONTH($A85,0) + 1
)</f>
        <v>0</v>
      </c>
      <c r="O85" s="120">
        <f ca="1">SUMIFS(tb_rec_uni[2027-11-01],
INDIRECT("tb_rec_uni[natureza]"),"pro.soluto",
INDIRECT("tb_rec_uni[empresa]"),O$6)</f>
        <v>0</v>
      </c>
      <c r="P85" s="120">
        <f ca="1">SUMIFS(tb_rec_uni[2027-11-01],
INDIRECT("tb_rec_uni[natureza]"),"repasse.cef.obra",
INDIRECT("tb_rec_uni[empresa]"),P$6)</f>
        <v>0</v>
      </c>
      <c r="Q85" s="120">
        <f ca="1">SUMIFS(tb_rec_uni[2027-11-01],
INDIRECT("tb_rec_uni[natureza]"),"repasse.cef.terreno",
INDIRECT("tb_rec_uni[empresa]"),Q$6)</f>
        <v>0</v>
      </c>
      <c r="R85" s="124"/>
      <c r="S85" s="120">
        <f ca="1">SUMIFS(tb_rec_uni[2027-11-01],
INDIRECT("tb_rec_uni[natureza]"),"taxa.extra",
INDIRECT("tb_rec_uni[empresa]"),S$6)</f>
        <v>0</v>
      </c>
      <c r="T85" s="108"/>
      <c r="U85" s="108">
        <f ca="1">SUMIFS(
  m.vb[valor],
  m.vb[nucleo],$N$1,
  m.vb[variavel],U$7,
  m.vb[mes],$A85
)</f>
        <v>0</v>
      </c>
      <c r="V85" s="108">
        <f ca="1">SUMIFS(
  m.vb[valor],
  m.vb[nucleo],$N$1,
  m.vb[variavel],V$7,
  m.vb[mes],$A85
)</f>
        <v>0</v>
      </c>
      <c r="W85" s="108">
        <f ca="1">SUMIFS(
  m.vb[valor],
  m.vb[nucleo],$N$1,
  m.vb[variavel],W$7,
  m.vb[mes],$A85
)</f>
        <v>0</v>
      </c>
      <c r="X85" s="108">
        <f ca="1">SUMIFS(
  m.vb[valor],
  m.vb[nucleo],$N$1,
  m.vb[variavel],X$7,
  m.vb[mes],$A85
)</f>
        <v>0</v>
      </c>
      <c r="Y85" s="108">
        <f ca="1">SUMIFS(
  m.vb[valor],
  m.vb[nucleo],$N$1,
  m.vb[variavel],Y$7,
  m.vb[mes],$A85
)</f>
        <v>0</v>
      </c>
      <c r="Z85" s="119">
        <f>COUNTIFS(
    tb_estq[empresa], Z$6,
    tb_estq[Data da venda / reserva], "&gt;=" &amp; $A85,
    tb_estq[Data da venda / reserva], "&lt;"  &amp; EOMONTH($A85,0) + 1
)</f>
        <v>0</v>
      </c>
      <c r="AA85" s="120">
        <f ca="1">SUMIFS(tb_rec_uni[2027-11-01],
INDIRECT("tb_rec_uni[natureza]"),"pro.soluto",
INDIRECT("tb_rec_uni[empresa]"),AA$6)</f>
        <v>0</v>
      </c>
      <c r="AB85" s="124">
        <f ca="1">SUMIFS(tb_rec_uni[2027-11-01],
INDIRECT("tb_rec_uni[natureza]"),"parcela.fin.total.ik",
INDIRECT("tb_rec_uni[empresa]"),AB$6)</f>
        <v>0</v>
      </c>
      <c r="AC85" s="120">
        <f ca="1">SUMIFS(tb_rec_uni[2027-11-01],
INDIRECT("tb_rec_uni[natureza]"),"taxa.extra",
INDIRECT("tb_rec_uni[empresa]"),AC$6)</f>
        <v>0</v>
      </c>
      <c r="AD85" s="108"/>
      <c r="AE85" s="108">
        <f ca="1">SUMIFS(
  m.vb[valor],
  m.vb[nucleo],$Z$1,
  m.vb[variavel],AE$7,
  m.vb[mes],$A85
)</f>
        <v>0</v>
      </c>
      <c r="AF85" s="108">
        <f ca="1">SUMIFS(
  m.vb[valor],
  m.vb[nucleo],$Z$1,
  m.vb[variavel],AF$7,
  m.vb[mes],$A85
)</f>
        <v>0</v>
      </c>
      <c r="AG85" s="108">
        <f ca="1">SUMIFS(
  m.vb[valor],
  m.vb[nucleo],$Z$1,
  m.vb[variavel],AG$7,
  m.vb[mes],$A85
)</f>
        <v>0</v>
      </c>
      <c r="AH85" s="108">
        <f ca="1">SUMIFS(
  m.vb[valor],
  m.vb[nucleo],$Z$1,
  m.vb[variavel],AH$7,
  m.vb[mes],$A85
)</f>
        <v>0</v>
      </c>
      <c r="AI85" s="108">
        <f ca="1">SUMIFS(
  m.vb[valor],
  m.vb[nucleo],$Z$1,
  m.vb[variavel],AI$7,
  m.vb[mes],$A85
)</f>
        <v>0</v>
      </c>
      <c r="AJ85" s="119">
        <f>COUNTIFS(
    tb_estq[empresa], AJ$6,
    tb_estq[Data da venda / reserva], "&gt;=" &amp; $A85,
    tb_estq[Data da venda / reserva], "&lt;"  &amp; EOMONTH($A85,0) + 1
)</f>
        <v>0</v>
      </c>
      <c r="AK85" s="120">
        <f ca="1">SUMIFS(tb_rec_uni[2027-11-01],
INDIRECT("tb_rec_uni[natureza]"),"pro.soluto",
INDIRECT("tb_rec_uni[empresa]"),AK$6)</f>
        <v>0</v>
      </c>
      <c r="AL85" s="120">
        <f ca="1">SUMIFS(tb_rec_uni[2027-11-01],
INDIRECT("tb_rec_uni[natureza]"),"repasse.cef.obra",
INDIRECT("tb_rec_uni[empresa]"),AL$6)</f>
        <v>0</v>
      </c>
      <c r="AM85" s="123">
        <f ca="1">SUMIFS(tb_rec_uni[2027-11-01],
INDIRECT("tb_rec_uni[natureza]"),"repasse.cef.terreno",
INDIRECT("tb_rec_uni[empresa]"),AM$6)</f>
        <v>0</v>
      </c>
      <c r="AN85" s="124"/>
      <c r="AO85" s="120">
        <f ca="1">SUMIFS(tb_rec_uni[2027-11-01],
INDIRECT("tb_rec_uni[natureza]"),"taxa.extra",
INDIRECT("tb_rec_uni[empresa]"),AO$6)</f>
        <v>0</v>
      </c>
      <c r="AP85" s="108"/>
      <c r="AQ85" s="108">
        <f ca="1">SUMIFS(
  m.vb[valor],
  m.vb[nucleo],$AJ$1,
  m.vb[variavel],AQ$7,
  m.vb[mes],$A85
)</f>
        <v>0</v>
      </c>
      <c r="AR85" s="108">
        <f ca="1">SUMIFS(
  m.vb[valor],
  m.vb[nucleo],$AJ$1,
  m.vb[variavel],AR$7,
  m.vb[mes],$A85
)</f>
        <v>0</v>
      </c>
      <c r="AS85" s="108">
        <f ca="1">SUMIFS(
  m.vb[valor],
  m.vb[nucleo],$AJ$1,
  m.vb[variavel],AS$7,
  m.vb[mes],$A85
)</f>
        <v>0</v>
      </c>
      <c r="AT85" s="108">
        <f ca="1">SUMIFS(
  m.vb[valor],
  m.vb[nucleo],$AJ$1,
  m.vb[variavel],AT$7,
  m.vb[mes],$A85
)</f>
        <v>0</v>
      </c>
      <c r="AU85" s="108">
        <f ca="1">SUMIFS(
  m.vb[valor],
  m.vb[nucleo],$AJ$1,
  m.vb[variavel],AU$7,
  m.vb[mes],$A85
)</f>
        <v>0</v>
      </c>
      <c r="AV85" s="119">
        <f>COUNTIFS(
    tb_estq[empresa], AV$6,
    tb_estq[Data da venda / reserva], "&gt;=" &amp; $A85,
    tb_estq[Data da venda / reserva], "&lt;"  &amp; EOMONTH($A85,0) + 1
)</f>
        <v>0</v>
      </c>
      <c r="AW85" s="120">
        <f ca="1">SUMIFS(tb_rec_uni[2027-11-01],
INDIRECT("tb_rec_uni[natureza]"),"pro.soluto",
INDIRECT("tb_rec_uni[empresa]"),AW$6)</f>
        <v>0</v>
      </c>
      <c r="AX85" s="120">
        <f ca="1">SUMIFS(tb_rec_uni[2027-11-01],
INDIRECT("tb_rec_uni[natureza]"),"repasse.cef.obra",
INDIRECT("tb_rec_uni[empresa]"),AX$6)</f>
        <v>0</v>
      </c>
      <c r="AY85" s="123">
        <f ca="1">SUMIFS(tb_rec_uni[2027-11-01],
INDIRECT("tb_rec_uni[natureza]"),"repasse.cef.terreno",
INDIRECT("tb_rec_uni[empresa]"),AY$6)</f>
        <v>0</v>
      </c>
      <c r="AZ85" s="124"/>
      <c r="BA85" s="120">
        <f ca="1">SUMIFS(tb_rec_uni[2027-11-01],
INDIRECT("tb_rec_uni[natureza]"),"taxa.extra",
INDIRECT("tb_rec_uni[empresa]"),BA$6)</f>
        <v>0</v>
      </c>
      <c r="BB85" s="108"/>
      <c r="BC85" s="108">
        <f ca="1">SUMIFS(
  m.vb[valor],
  m.vb[nucleo],$AV$1,
  m.vb[variavel],BC$7,
  m.vb[mes],$A85
)</f>
        <v>0</v>
      </c>
      <c r="BD85" s="108">
        <f ca="1">SUMIFS(
  m.vb[valor],
  m.vb[nucleo],$AV$1,
  m.vb[variavel],BD$7,
  m.vb[mes],$A85
)</f>
        <v>0</v>
      </c>
      <c r="BE85" s="108">
        <f ca="1">SUMIFS(
  m.vb[valor],
  m.vb[nucleo],$AV$1,
  m.vb[variavel],BE$7,
  m.vb[mes],$A85
)</f>
        <v>0</v>
      </c>
      <c r="BF85" s="108">
        <f ca="1">SUMIFS(
  m.vb[valor],
  m.vb[nucleo],$AV$1,
  m.vb[variavel],BF$7,
  m.vb[mes],$A85
)</f>
        <v>0</v>
      </c>
      <c r="BG85" s="108">
        <f ca="1">SUMIFS(
  m.vb[valor],
  m.vb[nucleo],$AV$1,
  m.vb[variavel],BG$7,
  m.vb[mes],$A85
)</f>
        <v>0</v>
      </c>
      <c r="BH85" s="119">
        <f>COUNTIFS(
    tb_estq[empresa], BH$6,
    tb_estq[Data da venda / reserva], "&gt;=" &amp; $A85,
    tb_estq[Data da venda / reserva], "&lt;"  &amp; EOMONTH($A85,0) + 1
)</f>
        <v>0</v>
      </c>
      <c r="BI85" s="120">
        <f ca="1">SUMIFS(tb_rec_uni[2027-11-01],
INDIRECT("tb_rec_uni[natureza]"),"pro.soluto",
INDIRECT("tb_rec_uni[empresa]"),BI$6)</f>
        <v>0</v>
      </c>
      <c r="BJ85" s="124"/>
      <c r="BK85" s="120">
        <f ca="1">SUMIFS(tb_rec_uni[2027-11-01],
INDIRECT("tb_rec_uni[natureza]"),"taxa.extra",
INDIRECT("tb_rec_uni[empresa]"),BK$6)</f>
        <v>0</v>
      </c>
      <c r="BL85" s="108"/>
      <c r="BM85" s="108">
        <f ca="1">SUMIFS(
  m.vb[valor],
  m.vb[nucleo],$BH$1,
  m.vb[variavel],BM$7,
  m.vb[mes],$A85
)</f>
        <v>0</v>
      </c>
      <c r="BN85" s="108">
        <f ca="1">SUMIFS(
  m.vb[valor],
  m.vb[nucleo],$BH$1,
  m.vb[variavel],BN$7,
  m.vb[mes],$A85
)</f>
        <v>0</v>
      </c>
      <c r="BO85" s="108">
        <f ca="1">SUMIFS(
  m.vb[valor],
  m.vb[nucleo],$BH$1,
  m.vb[variavel],BO$7,
  m.vb[mes],$A85
)</f>
        <v>0</v>
      </c>
      <c r="BP85" s="108">
        <f ca="1">SUMIFS(
  m.vb[valor],
  m.vb[nucleo],$BH$1,
  m.vb[variavel],BP$7,
  m.vb[mes],$A85
)</f>
        <v>0</v>
      </c>
      <c r="BQ85" s="108">
        <f ca="1">SUMIFS(
  m.vb[valor],
  m.vb[nucleo],$BH$1,
  m.vb[variavel],BQ$7,
  m.vb[mes],$A85
)</f>
        <v>0</v>
      </c>
      <c r="BR85" s="119">
        <f>COUNTIFS(
    tb_estq[empresa], BR$6,
    tb_estq[Data da venda / reserva], "&gt;=" &amp; $A85,
    tb_estq[Data da venda / reserva], "&lt;"  &amp; EOMONTH($A85,0) + 1
)</f>
        <v>0</v>
      </c>
      <c r="BS85" s="120">
        <f ca="1">SUMIFS(tb_rec_uni[2027-11-01],
INDIRECT("tb_rec_uni[natureza]"),"pro.soluto",
INDIRECT("tb_rec_uni[empresa]"),BS$6)</f>
        <v>0</v>
      </c>
      <c r="BT85" s="124">
        <f ca="1">SUMIFS(tb_rec_uni[2027-11-01],
INDIRECT("tb_rec_uni[natureza]"),"parcela.fin.total.ik",
INDIRECT("tb_rec_uni[empresa]"),BT$6)</f>
        <v>0</v>
      </c>
      <c r="BU85" s="120">
        <f ca="1">SUMIFS(tb_rec_uni[2027-11-01],
INDIRECT("tb_rec_uni[natureza]"),"taxa.extra",
INDIRECT("tb_rec_uni[empresa]"),BU$6)</f>
        <v>0</v>
      </c>
      <c r="BV85" s="108"/>
      <c r="BW85" s="108">
        <f ca="1">SUMIFS(
  m.vb[valor],
  m.vb[nucleo],$BR$1,
  m.vb[variavel],BW$7,
  m.vb[mes],$A85
)</f>
        <v>0</v>
      </c>
      <c r="BX85" s="108">
        <f ca="1">SUMIFS(
  m.vb[valor],
  m.vb[nucleo],$BR$1,
  m.vb[variavel],BX$7,
  m.vb[mes],$A85
)</f>
        <v>0</v>
      </c>
      <c r="BY85" s="108">
        <f ca="1">SUMIFS(
  m.vb[valor],
  m.vb[nucleo],$BR$1,
  m.vb[variavel],BY$7,
  m.vb[mes],$A85
)</f>
        <v>0</v>
      </c>
      <c r="BZ85" s="108">
        <f ca="1">SUMIFS(
  m.vb[valor],
  m.vb[nucleo],$BR$1,
  m.vb[variavel],BZ$7,
  m.vb[mes],$A85
)</f>
        <v>0</v>
      </c>
      <c r="CA85" s="108">
        <f ca="1">SUMIFS(
  m.vb[valor],
  m.vb[nucleo],$BR$1,
  m.vb[variavel],CA$7,
  m.vb[mes],$A85
)</f>
        <v>0</v>
      </c>
      <c r="CB85" s="119">
        <f>COUNTIFS(
    tb_estq[empresa], CB$6,
    tb_estq[Data da venda / reserva], "&gt;=" &amp; $A85,
    tb_estq[Data da venda / reserva], "&lt;"  &amp; EOMONTH($A85,0) + 1
)</f>
        <v>0</v>
      </c>
      <c r="CC85" s="120">
        <f ca="1">SUMIFS(tb_rec_uni[2027-11-01],
INDIRECT("tb_rec_uni[natureza]"),"pro.soluto",
INDIRECT("tb_rec_uni[empresa]"),CC$6)</f>
        <v>0</v>
      </c>
      <c r="CD85" s="120">
        <f ca="1">SUMIFS(tb_rec_uni[2027-11-01],
INDIRECT("tb_rec_uni[natureza]"),"repasse.cef.obra",
INDIRECT("tb_rec_uni[empresa]"),CD$6)</f>
        <v>0</v>
      </c>
      <c r="CE85" s="123">
        <f ca="1">SUMIFS(tb_rec_uni[2027-11-01],
INDIRECT("tb_rec_uni[natureza]"),"repasse.cef.terreno",
INDIRECT("tb_rec_uni[empresa]"),CE$6)</f>
        <v>0</v>
      </c>
      <c r="CF85" s="124"/>
      <c r="CG85" s="120">
        <f ca="1">SUMIFS(tb_rec_uni[2027-11-01],
INDIRECT("tb_rec_uni[natureza]"),"taxa.extra",
INDIRECT("tb_rec_uni[empresa]"),CG$6)</f>
        <v>0</v>
      </c>
      <c r="CH85" s="108"/>
      <c r="CI85" s="108">
        <f ca="1">SUMIFS(
  m.vb[valor],
  m.vb[nucleo],$CB$1,
  m.vb[variavel],CI$7,
  m.vb[mes],$A85
)</f>
        <v>0</v>
      </c>
      <c r="CJ85" s="108">
        <f ca="1">SUMIFS(
  m.vb[valor],
  m.vb[nucleo],$CB$1,
  m.vb[variavel],CJ$7,
  m.vb[mes],$A85
)</f>
        <v>0</v>
      </c>
      <c r="CK85" s="108">
        <f ca="1">SUMIFS(
  m.vb[valor],
  m.vb[nucleo],$CB$1,
  m.vb[variavel],CK$7,
  m.vb[mes],$A85
)</f>
        <v>0</v>
      </c>
      <c r="CL85" s="108">
        <f ca="1">SUMIFS(
  m.vb[valor],
  m.vb[nucleo],$CB$1,
  m.vb[variavel],CL$7,
  m.vb[mes],$A85
)</f>
        <v>0</v>
      </c>
      <c r="CM85" s="108">
        <f ca="1">SUMIFS(
  m.vb[valor],
  m.vb[nucleo],$CB$1,
  m.vb[variavel],CM$7,
  m.vb[mes],$A85
)</f>
        <v>0</v>
      </c>
      <c r="CN85" s="119">
        <f>COUNTIFS(
    tb_estq[empresa], CN$6,
    tb_estq[Data da venda / reserva], "&gt;=" &amp; $A85,
    tb_estq[Data da venda / reserva], "&lt;"  &amp; EOMONTH($A85,0) + 1
)</f>
        <v>0</v>
      </c>
      <c r="CO85" s="120">
        <f ca="1">SUMIFS(tb_rec_uni[2027-11-01],
INDIRECT("tb_rec_uni[natureza]"),"pro.soluto",
INDIRECT("tb_rec_uni[empresa]"),CO$6)</f>
        <v>0</v>
      </c>
      <c r="CP85" s="120">
        <f ca="1">SUMIFS(tb_rec_uni[2027-11-01],
INDIRECT("tb_rec_uni[natureza]"),"repasse.cef.obra",
INDIRECT("tb_rec_uni[empresa]"),CP$6)</f>
        <v>0</v>
      </c>
      <c r="CQ85" s="123">
        <f ca="1">SUMIFS(tb_rec_uni[2027-11-01],
INDIRECT("tb_rec_uni[natureza]"),"repasse.cef.terreno",
INDIRECT("tb_rec_uni[empresa]"),CQ$6)</f>
        <v>0</v>
      </c>
      <c r="CR85" s="124"/>
      <c r="CS85" s="120">
        <f ca="1">SUMIFS(tb_rec_uni[2027-11-01],
INDIRECT("tb_rec_uni[natureza]"),"taxa.extra",
INDIRECT("tb_rec_uni[empresa]"),CS$6)</f>
        <v>0</v>
      </c>
      <c r="CT85" s="108"/>
      <c r="CU85" s="108">
        <f ca="1">SUMIFS(
  m.vb[valor],
  m.vb[nucleo],$CN$1,
  m.vb[variavel],CU$7,
  m.vb[mes],$A85
)</f>
        <v>0</v>
      </c>
      <c r="CV85" s="108" cm="1">
        <f t="array" ref="CV85">SUMPRODUCT(
  IFERROR(--tb_desp[valor],0)*
  (tb_desp[nucleo]="UP MOVE VILA SONIA")*
  (tb_desp[categoria]=CV$7)*
  (tb_desp[data.pagamento]&gt;=$A85)*
  (tb_desp[data.pagamento]&lt;EOMONTH($A85,0)+1)
)</f>
        <v>0</v>
      </c>
      <c r="CW85" s="108" cm="1">
        <f t="array" ref="CW85">SUMPRODUCT(
  IFERROR(--tb_desp[valor],0)*
  (tb_desp[nucleo]="UP MOVE VILA SONIA")*
  (tb_desp[categoria]=CW$7)*
  (tb_desp[data.pagamento]&gt;=$A85)*
  (tb_desp[data.pagamento]&lt;EOMONTH($A85,0)+1)
)</f>
        <v>0</v>
      </c>
      <c r="CX85" s="108" cm="1">
        <f t="array" ref="CX85">SUMPRODUCT(
  IFERROR(--tb_desp[valor],0)*
  (tb_desp[nucleo]="UP MOVE VILA SONIA")*
  (tb_desp[categoria]=CX$7)*
  (tb_desp[data.pagamento]&gt;=$A85)*
  (tb_desp[data.pagamento]&lt;EOMONTH($A85,0)+1)
)</f>
        <v>0</v>
      </c>
      <c r="CY85" s="221" cm="1">
        <f t="array" ref="CY85">SUMPRODUCT(
  IFERROR(--tb_desp[valor],0)*
  (tb_desp[nucleo]="UP MOVE VILA SONIA")*
  (tb_desp[categoria]=CY$7)*
  (tb_desp[data.pagamento]&gt;=$A85)*
  (tb_desp[data.pagamento]&lt;EOMONTH($A85,0)+1)
)</f>
        <v>0</v>
      </c>
    </row>
    <row r="86" spans="1:103" x14ac:dyDescent="0.25">
      <c r="A86" s="118">
        <v>46722</v>
      </c>
      <c r="B86" s="119">
        <f>COUNTIFS(
    tb_estq[empresa], B$6,
    tb_estq[Data da venda / reserva], "&gt;=" &amp; $A86,
    tb_estq[Data da venda / reserva], "&lt;"  &amp; EOMONTH($A86,0) + 1
)</f>
        <v>0</v>
      </c>
      <c r="C86" s="120">
        <f ca="1">SUMIFS(tb_rec_uni[2027-12-01],
INDIRECT("tb_rec_uni[natureza]"),"pro.soluto",
INDIRECT("tb_rec_uni[empresa]"),C$6)</f>
        <v>0</v>
      </c>
      <c r="D86" s="120">
        <f ca="1">SUMIFS(tb_rec_uni[2027-12-01],
INDIRECT("tb_rec_uni[natureza]"),"repasse.cef.obra",
INDIRECT("tb_rec_uni[empresa]"),D$6)</f>
        <v>0</v>
      </c>
      <c r="E86" s="120">
        <f ca="1">SUMIFS(tb_rec_uni[2027-12-01],
INDIRECT("tb_rec_uni[natureza]"),"repasse.cef.terreno",
INDIRECT("tb_rec_uni[empresa]"),E$6)</f>
        <v>0</v>
      </c>
      <c r="F86" s="124"/>
      <c r="G86" s="120">
        <f ca="1">SUMIFS(tb_rec_uni[2027-12-01],
INDIRECT("tb_rec_uni[natureza]"),"taxa.extra",
INDIRECT("tb_rec_uni[empresa]"),G$6)</f>
        <v>0</v>
      </c>
      <c r="H86" s="108"/>
      <c r="I86" s="108">
        <f ca="1">SUMIFS(
  m.vb[valor],
  m.vb[nucleo],$B$1,
  m.vb[variavel],I$7,
  m.vb[mes],$A86
)</f>
        <v>0</v>
      </c>
      <c r="J86" s="108">
        <f ca="1">SUMIFS(
  m.vb[valor],
  m.vb[nucleo],$B$1,
  m.vb[variavel],J$7,
  m.vb[mes],$A86
)</f>
        <v>0</v>
      </c>
      <c r="K86" s="108">
        <f ca="1">SUMIFS(
  m.vb[valor],
  m.vb[nucleo],$B$1,
  m.vb[variavel],K$7,
  m.vb[mes],$A86
)</f>
        <v>0</v>
      </c>
      <c r="L86" s="108">
        <f ca="1">SUMIFS(
  m.vb[valor],
  m.vb[nucleo],$B$1,
  m.vb[variavel],L$7,
  m.vb[mes],$A86
)</f>
        <v>0</v>
      </c>
      <c r="M86" s="108">
        <f ca="1">SUMIFS(
  m.vb[valor],
  m.vb[nucleo],$B$1,
  m.vb[variavel],M$7,
  m.vb[mes],$A86
)</f>
        <v>0</v>
      </c>
      <c r="N86" s="119">
        <f>COUNTIFS(
    tb_estq[empresa], N$6,
    tb_estq[Data da venda / reserva], "&gt;=" &amp; $A86,
    tb_estq[Data da venda / reserva], "&lt;"  &amp; EOMONTH($A86,0) + 1
)</f>
        <v>0</v>
      </c>
      <c r="O86" s="120">
        <f ca="1">SUMIFS(tb_rec_uni[2027-12-01],
INDIRECT("tb_rec_uni[natureza]"),"pro.soluto",
INDIRECT("tb_rec_uni[empresa]"),O$6)</f>
        <v>0</v>
      </c>
      <c r="P86" s="120">
        <f ca="1">SUMIFS(tb_rec_uni[2027-12-01],
INDIRECT("tb_rec_uni[natureza]"),"repasse.cef.obra",
INDIRECT("tb_rec_uni[empresa]"),P$6)</f>
        <v>0</v>
      </c>
      <c r="Q86" s="120">
        <f ca="1">SUMIFS(tb_rec_uni[2027-12-01],
INDIRECT("tb_rec_uni[natureza]"),"repasse.cef.terreno",
INDIRECT("tb_rec_uni[empresa]"),Q$6)</f>
        <v>0</v>
      </c>
      <c r="R86" s="124"/>
      <c r="S86" s="120">
        <f ca="1">SUMIFS(tb_rec_uni[2027-12-01],
INDIRECT("tb_rec_uni[natureza]"),"taxa.extra",
INDIRECT("tb_rec_uni[empresa]"),S$6)</f>
        <v>0</v>
      </c>
      <c r="T86" s="108"/>
      <c r="U86" s="108">
        <f ca="1">SUMIFS(
  m.vb[valor],
  m.vb[nucleo],$N$1,
  m.vb[variavel],U$7,
  m.vb[mes],$A86
)</f>
        <v>0</v>
      </c>
      <c r="V86" s="108">
        <f ca="1">SUMIFS(
  m.vb[valor],
  m.vb[nucleo],$N$1,
  m.vb[variavel],V$7,
  m.vb[mes],$A86
)</f>
        <v>0</v>
      </c>
      <c r="W86" s="108">
        <f ca="1">SUMIFS(
  m.vb[valor],
  m.vb[nucleo],$N$1,
  m.vb[variavel],W$7,
  m.vb[mes],$A86
)</f>
        <v>0</v>
      </c>
      <c r="X86" s="108">
        <f ca="1">SUMIFS(
  m.vb[valor],
  m.vb[nucleo],$N$1,
  m.vb[variavel],X$7,
  m.vb[mes],$A86
)</f>
        <v>0</v>
      </c>
      <c r="Y86" s="108">
        <f ca="1">SUMIFS(
  m.vb[valor],
  m.vb[nucleo],$N$1,
  m.vb[variavel],Y$7,
  m.vb[mes],$A86
)</f>
        <v>0</v>
      </c>
      <c r="Z86" s="119">
        <f>COUNTIFS(
    tb_estq[empresa], Z$6,
    tb_estq[Data da venda / reserva], "&gt;=" &amp; $A86,
    tb_estq[Data da venda / reserva], "&lt;"  &amp; EOMONTH($A86,0) + 1
)</f>
        <v>0</v>
      </c>
      <c r="AA86" s="120">
        <f ca="1">SUMIFS(tb_rec_uni[2027-12-01],
INDIRECT("tb_rec_uni[natureza]"),"pro.soluto",
INDIRECT("tb_rec_uni[empresa]"),AA$6)</f>
        <v>0</v>
      </c>
      <c r="AB86" s="124">
        <f ca="1">SUMIFS(tb_rec_uni[2027-12-01],
INDIRECT("tb_rec_uni[natureza]"),"parcela.fin.total.ik",
INDIRECT("tb_rec_uni[empresa]"),AB$6)</f>
        <v>0</v>
      </c>
      <c r="AC86" s="120">
        <f ca="1">SUMIFS(tb_rec_uni[2027-12-01],
INDIRECT("tb_rec_uni[natureza]"),"taxa.extra",
INDIRECT("tb_rec_uni[empresa]"),AC$6)</f>
        <v>0</v>
      </c>
      <c r="AD86" s="108"/>
      <c r="AE86" s="108">
        <f ca="1">SUMIFS(
  m.vb[valor],
  m.vb[nucleo],$Z$1,
  m.vb[variavel],AE$7,
  m.vb[mes],$A86
)</f>
        <v>0</v>
      </c>
      <c r="AF86" s="108">
        <f ca="1">SUMIFS(
  m.vb[valor],
  m.vb[nucleo],$Z$1,
  m.vb[variavel],AF$7,
  m.vb[mes],$A86
)</f>
        <v>0</v>
      </c>
      <c r="AG86" s="108">
        <f ca="1">SUMIFS(
  m.vb[valor],
  m.vb[nucleo],$Z$1,
  m.vb[variavel],AG$7,
  m.vb[mes],$A86
)</f>
        <v>0</v>
      </c>
      <c r="AH86" s="108">
        <f ca="1">SUMIFS(
  m.vb[valor],
  m.vb[nucleo],$Z$1,
  m.vb[variavel],AH$7,
  m.vb[mes],$A86
)</f>
        <v>0</v>
      </c>
      <c r="AI86" s="108">
        <f ca="1">SUMIFS(
  m.vb[valor],
  m.vb[nucleo],$Z$1,
  m.vb[variavel],AI$7,
  m.vb[mes],$A86
)</f>
        <v>0</v>
      </c>
      <c r="AJ86" s="119">
        <f>COUNTIFS(
    tb_estq[empresa], AJ$6,
    tb_estq[Data da venda / reserva], "&gt;=" &amp; $A86,
    tb_estq[Data da venda / reserva], "&lt;"  &amp; EOMONTH($A86,0) + 1
)</f>
        <v>0</v>
      </c>
      <c r="AK86" s="120">
        <f ca="1">SUMIFS(tb_rec_uni[2027-12-01],
INDIRECT("tb_rec_uni[natureza]"),"pro.soluto",
INDIRECT("tb_rec_uni[empresa]"),AK$6)</f>
        <v>0</v>
      </c>
      <c r="AL86" s="120">
        <f ca="1">SUMIFS(tb_rec_uni[2027-12-01],
INDIRECT("tb_rec_uni[natureza]"),"repasse.cef.obra",
INDIRECT("tb_rec_uni[empresa]"),AL$6)</f>
        <v>0</v>
      </c>
      <c r="AM86" s="123">
        <f ca="1">SUMIFS(tb_rec_uni[2027-12-01],
INDIRECT("tb_rec_uni[natureza]"),"repasse.cef.terreno",
INDIRECT("tb_rec_uni[empresa]"),AM$6)</f>
        <v>0</v>
      </c>
      <c r="AN86" s="124"/>
      <c r="AO86" s="120">
        <f ca="1">SUMIFS(tb_rec_uni[2027-12-01],
INDIRECT("tb_rec_uni[natureza]"),"taxa.extra",
INDIRECT("tb_rec_uni[empresa]"),AO$6)</f>
        <v>0</v>
      </c>
      <c r="AP86" s="108"/>
      <c r="AQ86" s="108">
        <f ca="1">SUMIFS(
  m.vb[valor],
  m.vb[nucleo],$AJ$1,
  m.vb[variavel],AQ$7,
  m.vb[mes],$A86
)</f>
        <v>0</v>
      </c>
      <c r="AR86" s="108">
        <f ca="1">SUMIFS(
  m.vb[valor],
  m.vb[nucleo],$AJ$1,
  m.vb[variavel],AR$7,
  m.vb[mes],$A86
)</f>
        <v>0</v>
      </c>
      <c r="AS86" s="108">
        <f ca="1">SUMIFS(
  m.vb[valor],
  m.vb[nucleo],$AJ$1,
  m.vb[variavel],AS$7,
  m.vb[mes],$A86
)</f>
        <v>0</v>
      </c>
      <c r="AT86" s="108">
        <f ca="1">SUMIFS(
  m.vb[valor],
  m.vb[nucleo],$AJ$1,
  m.vb[variavel],AT$7,
  m.vb[mes],$A86
)</f>
        <v>0</v>
      </c>
      <c r="AU86" s="108">
        <f ca="1">SUMIFS(
  m.vb[valor],
  m.vb[nucleo],$AJ$1,
  m.vb[variavel],AU$7,
  m.vb[mes],$A86
)</f>
        <v>0</v>
      </c>
      <c r="AV86" s="119">
        <f>COUNTIFS(
    tb_estq[empresa], AV$6,
    tb_estq[Data da venda / reserva], "&gt;=" &amp; $A86,
    tb_estq[Data da venda / reserva], "&lt;"  &amp; EOMONTH($A86,0) + 1
)</f>
        <v>0</v>
      </c>
      <c r="AW86" s="120">
        <f ca="1">SUMIFS(tb_rec_uni[2027-12-01],
INDIRECT("tb_rec_uni[natureza]"),"pro.soluto",
INDIRECT("tb_rec_uni[empresa]"),AW$6)</f>
        <v>0</v>
      </c>
      <c r="AX86" s="120">
        <f ca="1">SUMIFS(tb_rec_uni[2027-12-01],
INDIRECT("tb_rec_uni[natureza]"),"repasse.cef.obra",
INDIRECT("tb_rec_uni[empresa]"),AX$6)</f>
        <v>0</v>
      </c>
      <c r="AY86" s="123">
        <f ca="1">SUMIFS(tb_rec_uni[2027-12-01],
INDIRECT("tb_rec_uni[natureza]"),"repasse.cef.terreno",
INDIRECT("tb_rec_uni[empresa]"),AY$6)</f>
        <v>0</v>
      </c>
      <c r="AZ86" s="124"/>
      <c r="BA86" s="120">
        <f ca="1">SUMIFS(tb_rec_uni[2027-12-01],
INDIRECT("tb_rec_uni[natureza]"),"taxa.extra",
INDIRECT("tb_rec_uni[empresa]"),BA$6)</f>
        <v>0</v>
      </c>
      <c r="BB86" s="108"/>
      <c r="BC86" s="108">
        <f ca="1">SUMIFS(
  m.vb[valor],
  m.vb[nucleo],$AV$1,
  m.vb[variavel],BC$7,
  m.vb[mes],$A86
)</f>
        <v>0</v>
      </c>
      <c r="BD86" s="108">
        <f ca="1">SUMIFS(
  m.vb[valor],
  m.vb[nucleo],$AV$1,
  m.vb[variavel],BD$7,
  m.vb[mes],$A86
)</f>
        <v>0</v>
      </c>
      <c r="BE86" s="108">
        <f ca="1">SUMIFS(
  m.vb[valor],
  m.vb[nucleo],$AV$1,
  m.vb[variavel],BE$7,
  m.vb[mes],$A86
)</f>
        <v>0</v>
      </c>
      <c r="BF86" s="108">
        <f ca="1">SUMIFS(
  m.vb[valor],
  m.vb[nucleo],$AV$1,
  m.vb[variavel],BF$7,
  m.vb[mes],$A86
)</f>
        <v>0</v>
      </c>
      <c r="BG86" s="108">
        <f ca="1">SUMIFS(
  m.vb[valor],
  m.vb[nucleo],$AV$1,
  m.vb[variavel],BG$7,
  m.vb[mes],$A86
)</f>
        <v>0</v>
      </c>
      <c r="BH86" s="119">
        <f>COUNTIFS(
    tb_estq[empresa], BH$6,
    tb_estq[Data da venda / reserva], "&gt;=" &amp; $A86,
    tb_estq[Data da venda / reserva], "&lt;"  &amp; EOMONTH($A86,0) + 1
)</f>
        <v>0</v>
      </c>
      <c r="BI86" s="120">
        <f ca="1">SUMIFS(tb_rec_uni[2027-12-01],
INDIRECT("tb_rec_uni[natureza]"),"pro.soluto",
INDIRECT("tb_rec_uni[empresa]"),BI$6)</f>
        <v>0</v>
      </c>
      <c r="BJ86" s="124"/>
      <c r="BK86" s="120">
        <f ca="1">SUMIFS(tb_rec_uni[2027-12-01],
INDIRECT("tb_rec_uni[natureza]"),"taxa.extra",
INDIRECT("tb_rec_uni[empresa]"),BK$6)</f>
        <v>0</v>
      </c>
      <c r="BL86" s="108"/>
      <c r="BM86" s="108">
        <f ca="1">SUMIFS(
  m.vb[valor],
  m.vb[nucleo],$BH$1,
  m.vb[variavel],BM$7,
  m.vb[mes],$A86
)</f>
        <v>0</v>
      </c>
      <c r="BN86" s="108">
        <f ca="1">SUMIFS(
  m.vb[valor],
  m.vb[nucleo],$BH$1,
  m.vb[variavel],BN$7,
  m.vb[mes],$A86
)</f>
        <v>0</v>
      </c>
      <c r="BO86" s="108">
        <f ca="1">SUMIFS(
  m.vb[valor],
  m.vb[nucleo],$BH$1,
  m.vb[variavel],BO$7,
  m.vb[mes],$A86
)</f>
        <v>0</v>
      </c>
      <c r="BP86" s="108">
        <f ca="1">SUMIFS(
  m.vb[valor],
  m.vb[nucleo],$BH$1,
  m.vb[variavel],BP$7,
  m.vb[mes],$A86
)</f>
        <v>0</v>
      </c>
      <c r="BQ86" s="108">
        <f ca="1">SUMIFS(
  m.vb[valor],
  m.vb[nucleo],$BH$1,
  m.vb[variavel],BQ$7,
  m.vb[mes],$A86
)</f>
        <v>0</v>
      </c>
      <c r="BR86" s="119">
        <f>COUNTIFS(
    tb_estq[empresa], BR$6,
    tb_estq[Data da venda / reserva], "&gt;=" &amp; $A86,
    tb_estq[Data da venda / reserva], "&lt;"  &amp; EOMONTH($A86,0) + 1
)</f>
        <v>0</v>
      </c>
      <c r="BS86" s="120">
        <f ca="1">SUMIFS(tb_rec_uni[2027-12-01],
INDIRECT("tb_rec_uni[natureza]"),"pro.soluto",
INDIRECT("tb_rec_uni[empresa]"),BS$6)</f>
        <v>0</v>
      </c>
      <c r="BT86" s="124">
        <f ca="1">SUMIFS(tb_rec_uni[2027-12-01],
INDIRECT("tb_rec_uni[natureza]"),"parcela.fin.total.ik",
INDIRECT("tb_rec_uni[empresa]"),BT$6)</f>
        <v>0</v>
      </c>
      <c r="BU86" s="120">
        <f ca="1">SUMIFS(tb_rec_uni[2027-12-01],
INDIRECT("tb_rec_uni[natureza]"),"taxa.extra",
INDIRECT("tb_rec_uni[empresa]"),BU$6)</f>
        <v>0</v>
      </c>
      <c r="BV86" s="108"/>
      <c r="BW86" s="108">
        <f ca="1">SUMIFS(
  m.vb[valor],
  m.vb[nucleo],$BR$1,
  m.vb[variavel],BW$7,
  m.vb[mes],$A86
)</f>
        <v>0</v>
      </c>
      <c r="BX86" s="108">
        <f ca="1">SUMIFS(
  m.vb[valor],
  m.vb[nucleo],$BR$1,
  m.vb[variavel],BX$7,
  m.vb[mes],$A86
)</f>
        <v>0</v>
      </c>
      <c r="BY86" s="108">
        <f ca="1">SUMIFS(
  m.vb[valor],
  m.vb[nucleo],$BR$1,
  m.vb[variavel],BY$7,
  m.vb[mes],$A86
)</f>
        <v>0</v>
      </c>
      <c r="BZ86" s="108">
        <f ca="1">SUMIFS(
  m.vb[valor],
  m.vb[nucleo],$BR$1,
  m.vb[variavel],BZ$7,
  m.vb[mes],$A86
)</f>
        <v>0</v>
      </c>
      <c r="CA86" s="108">
        <f ca="1">SUMIFS(
  m.vb[valor],
  m.vb[nucleo],$BR$1,
  m.vb[variavel],CA$7,
  m.vb[mes],$A86
)</f>
        <v>0</v>
      </c>
      <c r="CB86" s="119">
        <f>COUNTIFS(
    tb_estq[empresa], CB$6,
    tb_estq[Data da venda / reserva], "&gt;=" &amp; $A86,
    tb_estq[Data da venda / reserva], "&lt;"  &amp; EOMONTH($A86,0) + 1
)</f>
        <v>0</v>
      </c>
      <c r="CC86" s="120">
        <f ca="1">SUMIFS(tb_rec_uni[2027-12-01],
INDIRECT("tb_rec_uni[natureza]"),"pro.soluto",
INDIRECT("tb_rec_uni[empresa]"),CC$6)</f>
        <v>0</v>
      </c>
      <c r="CD86" s="120">
        <f ca="1">SUMIFS(tb_rec_uni[2027-12-01],
INDIRECT("tb_rec_uni[natureza]"),"repasse.cef.obra",
INDIRECT("tb_rec_uni[empresa]"),CD$6)</f>
        <v>0</v>
      </c>
      <c r="CE86" s="123">
        <f ca="1">SUMIFS(tb_rec_uni[2027-12-01],
INDIRECT("tb_rec_uni[natureza]"),"repasse.cef.terreno",
INDIRECT("tb_rec_uni[empresa]"),CE$6)</f>
        <v>0</v>
      </c>
      <c r="CF86" s="124"/>
      <c r="CG86" s="120">
        <f ca="1">SUMIFS(tb_rec_uni[2027-12-01],
INDIRECT("tb_rec_uni[natureza]"),"taxa.extra",
INDIRECT("tb_rec_uni[empresa]"),CG$6)</f>
        <v>0</v>
      </c>
      <c r="CH86" s="108"/>
      <c r="CI86" s="108">
        <f ca="1">SUMIFS(
  m.vb[valor],
  m.vb[nucleo],$CB$1,
  m.vb[variavel],CI$7,
  m.vb[mes],$A86
)</f>
        <v>0</v>
      </c>
      <c r="CJ86" s="108">
        <f ca="1">SUMIFS(
  m.vb[valor],
  m.vb[nucleo],$CB$1,
  m.vb[variavel],CJ$7,
  m.vb[mes],$A86
)</f>
        <v>0</v>
      </c>
      <c r="CK86" s="108">
        <f ca="1">SUMIFS(
  m.vb[valor],
  m.vb[nucleo],$CB$1,
  m.vb[variavel],CK$7,
  m.vb[mes],$A86
)</f>
        <v>0</v>
      </c>
      <c r="CL86" s="108">
        <f ca="1">SUMIFS(
  m.vb[valor],
  m.vb[nucleo],$CB$1,
  m.vb[variavel],CL$7,
  m.vb[mes],$A86
)</f>
        <v>0</v>
      </c>
      <c r="CM86" s="108">
        <f ca="1">SUMIFS(
  m.vb[valor],
  m.vb[nucleo],$CB$1,
  m.vb[variavel],CM$7,
  m.vb[mes],$A86
)</f>
        <v>0</v>
      </c>
      <c r="CN86" s="119">
        <f>COUNTIFS(
    tb_estq[empresa], CN$6,
    tb_estq[Data da venda / reserva], "&gt;=" &amp; $A86,
    tb_estq[Data da venda / reserva], "&lt;"  &amp; EOMONTH($A86,0) + 1
)</f>
        <v>0</v>
      </c>
      <c r="CO86" s="120">
        <f ca="1">SUMIFS(tb_rec_uni[2027-12-01],
INDIRECT("tb_rec_uni[natureza]"),"pro.soluto",
INDIRECT("tb_rec_uni[empresa]"),CO$6)</f>
        <v>0</v>
      </c>
      <c r="CP86" s="120">
        <f ca="1">SUMIFS(tb_rec_uni[2027-12-01],
INDIRECT("tb_rec_uni[natureza]"),"repasse.cef.obra",
INDIRECT("tb_rec_uni[empresa]"),CP$6)</f>
        <v>0</v>
      </c>
      <c r="CQ86" s="123">
        <f ca="1">SUMIFS(tb_rec_uni[2027-12-01],
INDIRECT("tb_rec_uni[natureza]"),"repasse.cef.terreno",
INDIRECT("tb_rec_uni[empresa]"),CQ$6)</f>
        <v>0</v>
      </c>
      <c r="CR86" s="124"/>
      <c r="CS86" s="120">
        <f ca="1">SUMIFS(tb_rec_uni[2027-12-01],
INDIRECT("tb_rec_uni[natureza]"),"taxa.extra",
INDIRECT("tb_rec_uni[empresa]"),CS$6)</f>
        <v>0</v>
      </c>
      <c r="CT86" s="108"/>
      <c r="CU86" s="108">
        <f ca="1">SUMIFS(
  m.vb[valor],
  m.vb[nucleo],$CN$1,
  m.vb[variavel],CU$7,
  m.vb[mes],$A86
)</f>
        <v>0</v>
      </c>
      <c r="CV86" s="108" cm="1">
        <f t="array" ref="CV86">SUMPRODUCT(
  IFERROR(--tb_desp[valor],0)*
  (tb_desp[nucleo]="UP MOVE VILA SONIA")*
  (tb_desp[categoria]=CV$7)*
  (tb_desp[data.pagamento]&gt;=$A86)*
  (tb_desp[data.pagamento]&lt;EOMONTH($A86,0)+1)
)</f>
        <v>0</v>
      </c>
      <c r="CW86" s="108" cm="1">
        <f t="array" ref="CW86">SUMPRODUCT(
  IFERROR(--tb_desp[valor],0)*
  (tb_desp[nucleo]="UP MOVE VILA SONIA")*
  (tb_desp[categoria]=CW$7)*
  (tb_desp[data.pagamento]&gt;=$A86)*
  (tb_desp[data.pagamento]&lt;EOMONTH($A86,0)+1)
)</f>
        <v>0</v>
      </c>
      <c r="CX86" s="108" cm="1">
        <f t="array" ref="CX86">SUMPRODUCT(
  IFERROR(--tb_desp[valor],0)*
  (tb_desp[nucleo]="UP MOVE VILA SONIA")*
  (tb_desp[categoria]=CX$7)*
  (tb_desp[data.pagamento]&gt;=$A86)*
  (tb_desp[data.pagamento]&lt;EOMONTH($A86,0)+1)
)</f>
        <v>0</v>
      </c>
      <c r="CY86" s="221" cm="1">
        <f t="array" ref="CY86">SUMPRODUCT(
  IFERROR(--tb_desp[valor],0)*
  (tb_desp[nucleo]="UP MOVE VILA SONIA")*
  (tb_desp[categoria]=CY$7)*
  (tb_desp[data.pagamento]&gt;=$A86)*
  (tb_desp[data.pagamento]&lt;EOMONTH($A86,0)+1)
)</f>
        <v>0</v>
      </c>
    </row>
    <row r="87" spans="1:103" x14ac:dyDescent="0.25">
      <c r="A87" s="118">
        <v>46753</v>
      </c>
      <c r="B87" s="119">
        <f>COUNTIFS(
    tb_estq[empresa], B$6,
    tb_estq[Data da venda / reserva], "&gt;=" &amp; $A87,
    tb_estq[Data da venda / reserva], "&lt;"  &amp; EOMONTH($A87,0) + 1
)</f>
        <v>0</v>
      </c>
      <c r="C87" s="120">
        <f ca="1">SUMIFS(tb_rec_uni[2028-01-01],
INDIRECT("tb_rec_uni[natureza]"),"pro.soluto",
INDIRECT("tb_rec_uni[empresa]"),C$6)</f>
        <v>0</v>
      </c>
      <c r="D87" s="120">
        <f ca="1">SUMIFS(tb_rec_uni[2028-01-01],
INDIRECT("tb_rec_uni[natureza]"),"repasse.cef.obra",
INDIRECT("tb_rec_uni[empresa]"),D$6)</f>
        <v>0</v>
      </c>
      <c r="E87" s="120">
        <f ca="1">SUMIFS(tb_rec_uni[2028-01-01],
INDIRECT("tb_rec_uni[natureza]"),"repasse.cef.terreno",
INDIRECT("tb_rec_uni[empresa]"),E$6)</f>
        <v>0</v>
      </c>
      <c r="F87" s="124"/>
      <c r="G87" s="120">
        <f ca="1">SUMIFS(tb_rec_uni[2028-01-01],
INDIRECT("tb_rec_uni[natureza]"),"taxa.extra",
INDIRECT("tb_rec_uni[empresa]"),G$6)</f>
        <v>0</v>
      </c>
      <c r="H87" s="108"/>
      <c r="I87" s="108">
        <f ca="1">SUMIFS(
  m.vb[valor],
  m.vb[nucleo],$B$1,
  m.vb[variavel],I$7,
  m.vb[mes],$A87
)</f>
        <v>0</v>
      </c>
      <c r="J87" s="108">
        <f ca="1">SUMIFS(
  m.vb[valor],
  m.vb[nucleo],$B$1,
  m.vb[variavel],J$7,
  m.vb[mes],$A87
)</f>
        <v>0</v>
      </c>
      <c r="K87" s="108">
        <f ca="1">SUMIFS(
  m.vb[valor],
  m.vb[nucleo],$B$1,
  m.vb[variavel],K$7,
  m.vb[mes],$A87
)</f>
        <v>0</v>
      </c>
      <c r="L87" s="108">
        <f ca="1">SUMIFS(
  m.vb[valor],
  m.vb[nucleo],$B$1,
  m.vb[variavel],L$7,
  m.vb[mes],$A87
)</f>
        <v>0</v>
      </c>
      <c r="M87" s="108">
        <f ca="1">SUMIFS(
  m.vb[valor],
  m.vb[nucleo],$B$1,
  m.vb[variavel],M$7,
  m.vb[mes],$A87
)</f>
        <v>0</v>
      </c>
      <c r="N87" s="119">
        <f>COUNTIFS(
    tb_estq[empresa], N$6,
    tb_estq[Data da venda / reserva], "&gt;=" &amp; $A87,
    tb_estq[Data da venda / reserva], "&lt;"  &amp; EOMONTH($A87,0) + 1
)</f>
        <v>0</v>
      </c>
      <c r="O87" s="120">
        <f ca="1">SUMIFS(tb_rec_uni[2028-01-01],
INDIRECT("tb_rec_uni[natureza]"),"pro.soluto",
INDIRECT("tb_rec_uni[empresa]"),O$6)</f>
        <v>0</v>
      </c>
      <c r="P87" s="120">
        <f ca="1">SUMIFS(tb_rec_uni[2028-01-01],
INDIRECT("tb_rec_uni[natureza]"),"repasse.cef.obra",
INDIRECT("tb_rec_uni[empresa]"),P$6)</f>
        <v>0</v>
      </c>
      <c r="Q87" s="120">
        <f ca="1">SUMIFS(tb_rec_uni[2028-01-01],
INDIRECT("tb_rec_uni[natureza]"),"repasse.cef.terreno",
INDIRECT("tb_rec_uni[empresa]"),Q$6)</f>
        <v>0</v>
      </c>
      <c r="R87" s="124"/>
      <c r="S87" s="120">
        <f ca="1">SUMIFS(tb_rec_uni[2028-01-01],
INDIRECT("tb_rec_uni[natureza]"),"taxa.extra",
INDIRECT("tb_rec_uni[empresa]"),S$6)</f>
        <v>0</v>
      </c>
      <c r="T87" s="108"/>
      <c r="U87" s="108">
        <f ca="1">SUMIFS(
  m.vb[valor],
  m.vb[nucleo],$N$1,
  m.vb[variavel],U$7,
  m.vb[mes],$A87
)</f>
        <v>0</v>
      </c>
      <c r="V87" s="108">
        <f ca="1">SUMIFS(
  m.vb[valor],
  m.vb[nucleo],$N$1,
  m.vb[variavel],V$7,
  m.vb[mes],$A87
)</f>
        <v>0</v>
      </c>
      <c r="W87" s="108">
        <f ca="1">SUMIFS(
  m.vb[valor],
  m.vb[nucleo],$N$1,
  m.vb[variavel],W$7,
  m.vb[mes],$A87
)</f>
        <v>0</v>
      </c>
      <c r="X87" s="108">
        <f ca="1">SUMIFS(
  m.vb[valor],
  m.vb[nucleo],$N$1,
  m.vb[variavel],X$7,
  m.vb[mes],$A87
)</f>
        <v>0</v>
      </c>
      <c r="Y87" s="108">
        <f ca="1">SUMIFS(
  m.vb[valor],
  m.vb[nucleo],$N$1,
  m.vb[variavel],Y$7,
  m.vb[mes],$A87
)</f>
        <v>0</v>
      </c>
      <c r="Z87" s="119">
        <f>COUNTIFS(
    tb_estq[empresa], Z$6,
    tb_estq[Data da venda / reserva], "&gt;=" &amp; $A87,
    tb_estq[Data da venda / reserva], "&lt;"  &amp; EOMONTH($A87,0) + 1
)</f>
        <v>0</v>
      </c>
      <c r="AA87" s="120">
        <f ca="1">SUMIFS(tb_rec_uni[2028-01-01],
INDIRECT("tb_rec_uni[natureza]"),"pro.soluto",
INDIRECT("tb_rec_uni[empresa]"),AA$6)</f>
        <v>0</v>
      </c>
      <c r="AB87" s="124">
        <f ca="1">SUMIFS(tb_rec_uni[2028-01-01],
INDIRECT("tb_rec_uni[natureza]"),"parcela.fin.total.ik",
INDIRECT("tb_rec_uni[empresa]"),AB$6)</f>
        <v>0</v>
      </c>
      <c r="AC87" s="120">
        <f ca="1">SUMIFS(tb_rec_uni[2028-01-01],
INDIRECT("tb_rec_uni[natureza]"),"taxa.extra",
INDIRECT("tb_rec_uni[empresa]"),AC$6)</f>
        <v>0</v>
      </c>
      <c r="AD87" s="108"/>
      <c r="AE87" s="108">
        <f ca="1">SUMIFS(
  m.vb[valor],
  m.vb[nucleo],$Z$1,
  m.vb[variavel],AE$7,
  m.vb[mes],$A87
)</f>
        <v>0</v>
      </c>
      <c r="AF87" s="108">
        <f ca="1">SUMIFS(
  m.vb[valor],
  m.vb[nucleo],$Z$1,
  m.vb[variavel],AF$7,
  m.vb[mes],$A87
)</f>
        <v>0</v>
      </c>
      <c r="AG87" s="108">
        <f ca="1">SUMIFS(
  m.vb[valor],
  m.vb[nucleo],$Z$1,
  m.vb[variavel],AG$7,
  m.vb[mes],$A87
)</f>
        <v>0</v>
      </c>
      <c r="AH87" s="108">
        <f ca="1">SUMIFS(
  m.vb[valor],
  m.vb[nucleo],$Z$1,
  m.vb[variavel],AH$7,
  m.vb[mes],$A87
)</f>
        <v>0</v>
      </c>
      <c r="AI87" s="108">
        <f ca="1">SUMIFS(
  m.vb[valor],
  m.vb[nucleo],$Z$1,
  m.vb[variavel],AI$7,
  m.vb[mes],$A87
)</f>
        <v>0</v>
      </c>
      <c r="AJ87" s="119">
        <f>COUNTIFS(
    tb_estq[empresa], AJ$6,
    tb_estq[Data da venda / reserva], "&gt;=" &amp; $A87,
    tb_estq[Data da venda / reserva], "&lt;"  &amp; EOMONTH($A87,0) + 1
)</f>
        <v>0</v>
      </c>
      <c r="AK87" s="120">
        <f ca="1">SUMIFS(tb_rec_uni[2028-01-01],
INDIRECT("tb_rec_uni[natureza]"),"pro.soluto",
INDIRECT("tb_rec_uni[empresa]"),AK$6)</f>
        <v>0</v>
      </c>
      <c r="AL87" s="120">
        <f ca="1">SUMIFS(tb_rec_uni[2028-01-01],
INDIRECT("tb_rec_uni[natureza]"),"repasse.cef.obra",
INDIRECT("tb_rec_uni[empresa]"),AL$6)</f>
        <v>0</v>
      </c>
      <c r="AM87" s="123">
        <f ca="1">SUMIFS(tb_rec_uni[2028-01-01],
INDIRECT("tb_rec_uni[natureza]"),"repasse.cef.terreno",
INDIRECT("tb_rec_uni[empresa]"),AM$6)</f>
        <v>0</v>
      </c>
      <c r="AN87" s="124"/>
      <c r="AO87" s="120">
        <f ca="1">SUMIFS(tb_rec_uni[2028-01-01],
INDIRECT("tb_rec_uni[natureza]"),"taxa.extra",
INDIRECT("tb_rec_uni[empresa]"),AO$6)</f>
        <v>0</v>
      </c>
      <c r="AP87" s="108"/>
      <c r="AQ87" s="108">
        <f ca="1">SUMIFS(
  m.vb[valor],
  m.vb[nucleo],$AJ$1,
  m.vb[variavel],AQ$7,
  m.vb[mes],$A87
)</f>
        <v>0</v>
      </c>
      <c r="AR87" s="108">
        <f ca="1">SUMIFS(
  m.vb[valor],
  m.vb[nucleo],$AJ$1,
  m.vb[variavel],AR$7,
  m.vb[mes],$A87
)</f>
        <v>0</v>
      </c>
      <c r="AS87" s="108">
        <f ca="1">SUMIFS(
  m.vb[valor],
  m.vb[nucleo],$AJ$1,
  m.vb[variavel],AS$7,
  m.vb[mes],$A87
)</f>
        <v>0</v>
      </c>
      <c r="AT87" s="108">
        <f ca="1">SUMIFS(
  m.vb[valor],
  m.vb[nucleo],$AJ$1,
  m.vb[variavel],AT$7,
  m.vb[mes],$A87
)</f>
        <v>0</v>
      </c>
      <c r="AU87" s="108">
        <f ca="1">SUMIFS(
  m.vb[valor],
  m.vb[nucleo],$AJ$1,
  m.vb[variavel],AU$7,
  m.vb[mes],$A87
)</f>
        <v>0</v>
      </c>
      <c r="AV87" s="119">
        <f>COUNTIFS(
    tb_estq[empresa], AV$6,
    tb_estq[Data da venda / reserva], "&gt;=" &amp; $A87,
    tb_estq[Data da venda / reserva], "&lt;"  &amp; EOMONTH($A87,0) + 1
)</f>
        <v>0</v>
      </c>
      <c r="AW87" s="120">
        <f ca="1">SUMIFS(tb_rec_uni[2028-01-01],
INDIRECT("tb_rec_uni[natureza]"),"pro.soluto",
INDIRECT("tb_rec_uni[empresa]"),AW$6)</f>
        <v>0</v>
      </c>
      <c r="AX87" s="120">
        <f ca="1">SUMIFS(tb_rec_uni[2028-01-01],
INDIRECT("tb_rec_uni[natureza]"),"repasse.cef.obra",
INDIRECT("tb_rec_uni[empresa]"),AX$6)</f>
        <v>0</v>
      </c>
      <c r="AY87" s="123">
        <f ca="1">SUMIFS(tb_rec_uni[2028-01-01],
INDIRECT("tb_rec_uni[natureza]"),"repasse.cef.terreno",
INDIRECT("tb_rec_uni[empresa]"),AY$6)</f>
        <v>0</v>
      </c>
      <c r="AZ87" s="124"/>
      <c r="BA87" s="120">
        <f ca="1">SUMIFS(tb_rec_uni[2028-01-01],
INDIRECT("tb_rec_uni[natureza]"),"taxa.extra",
INDIRECT("tb_rec_uni[empresa]"),BA$6)</f>
        <v>0</v>
      </c>
      <c r="BB87" s="108"/>
      <c r="BC87" s="108">
        <f ca="1">SUMIFS(
  m.vb[valor],
  m.vb[nucleo],$AV$1,
  m.vb[variavel],BC$7,
  m.vb[mes],$A87
)</f>
        <v>0</v>
      </c>
      <c r="BD87" s="108">
        <f ca="1">SUMIFS(
  m.vb[valor],
  m.vb[nucleo],$AV$1,
  m.vb[variavel],BD$7,
  m.vb[mes],$A87
)</f>
        <v>0</v>
      </c>
      <c r="BE87" s="108">
        <f ca="1">SUMIFS(
  m.vb[valor],
  m.vb[nucleo],$AV$1,
  m.vb[variavel],BE$7,
  m.vb[mes],$A87
)</f>
        <v>0</v>
      </c>
      <c r="BF87" s="108">
        <f ca="1">SUMIFS(
  m.vb[valor],
  m.vb[nucleo],$AV$1,
  m.vb[variavel],BF$7,
  m.vb[mes],$A87
)</f>
        <v>0</v>
      </c>
      <c r="BG87" s="108">
        <f ca="1">SUMIFS(
  m.vb[valor],
  m.vb[nucleo],$AV$1,
  m.vb[variavel],BG$7,
  m.vb[mes],$A87
)</f>
        <v>0</v>
      </c>
      <c r="BH87" s="119">
        <f>COUNTIFS(
    tb_estq[empresa], BH$6,
    tb_estq[Data da venda / reserva], "&gt;=" &amp; $A87,
    tb_estq[Data da venda / reserva], "&lt;"  &amp; EOMONTH($A87,0) + 1
)</f>
        <v>0</v>
      </c>
      <c r="BI87" s="120">
        <f ca="1">SUMIFS(tb_rec_uni[2028-01-01],
INDIRECT("tb_rec_uni[natureza]"),"pro.soluto",
INDIRECT("tb_rec_uni[empresa]"),BI$6)</f>
        <v>0</v>
      </c>
      <c r="BJ87" s="124"/>
      <c r="BK87" s="120">
        <f ca="1">SUMIFS(tb_rec_uni[2028-01-01],
INDIRECT("tb_rec_uni[natureza]"),"taxa.extra",
INDIRECT("tb_rec_uni[empresa]"),BK$6)</f>
        <v>0</v>
      </c>
      <c r="BL87" s="108"/>
      <c r="BM87" s="108">
        <f ca="1">SUMIFS(
  m.vb[valor],
  m.vb[nucleo],$BH$1,
  m.vb[variavel],BM$7,
  m.vb[mes],$A87
)</f>
        <v>0</v>
      </c>
      <c r="BN87" s="108">
        <f ca="1">SUMIFS(
  m.vb[valor],
  m.vb[nucleo],$BH$1,
  m.vb[variavel],BN$7,
  m.vb[mes],$A87
)</f>
        <v>0</v>
      </c>
      <c r="BO87" s="108">
        <f ca="1">SUMIFS(
  m.vb[valor],
  m.vb[nucleo],$BH$1,
  m.vb[variavel],BO$7,
  m.vb[mes],$A87
)</f>
        <v>0</v>
      </c>
      <c r="BP87" s="108">
        <f ca="1">SUMIFS(
  m.vb[valor],
  m.vb[nucleo],$BH$1,
  m.vb[variavel],BP$7,
  m.vb[mes],$A87
)</f>
        <v>0</v>
      </c>
      <c r="BQ87" s="108">
        <f ca="1">SUMIFS(
  m.vb[valor],
  m.vb[nucleo],$BH$1,
  m.vb[variavel],BQ$7,
  m.vb[mes],$A87
)</f>
        <v>0</v>
      </c>
      <c r="BR87" s="119">
        <f>COUNTIFS(
    tb_estq[empresa], BR$6,
    tb_estq[Data da venda / reserva], "&gt;=" &amp; $A87,
    tb_estq[Data da venda / reserva], "&lt;"  &amp; EOMONTH($A87,0) + 1
)</f>
        <v>0</v>
      </c>
      <c r="BS87" s="120">
        <f ca="1">SUMIFS(tb_rec_uni[2028-01-01],
INDIRECT("tb_rec_uni[natureza]"),"pro.soluto",
INDIRECT("tb_rec_uni[empresa]"),BS$6)</f>
        <v>0</v>
      </c>
      <c r="BT87" s="124">
        <f ca="1">SUMIFS(tb_rec_uni[2028-01-01],
INDIRECT("tb_rec_uni[natureza]"),"parcela.fin.total.ik",
INDIRECT("tb_rec_uni[empresa]"),BT$6)</f>
        <v>0</v>
      </c>
      <c r="BU87" s="120">
        <f ca="1">SUMIFS(tb_rec_uni[2028-01-01],
INDIRECT("tb_rec_uni[natureza]"),"taxa.extra",
INDIRECT("tb_rec_uni[empresa]"),BU$6)</f>
        <v>0</v>
      </c>
      <c r="BV87" s="108"/>
      <c r="BW87" s="108">
        <f ca="1">SUMIFS(
  m.vb[valor],
  m.vb[nucleo],$BR$1,
  m.vb[variavel],BW$7,
  m.vb[mes],$A87
)</f>
        <v>0</v>
      </c>
      <c r="BX87" s="108">
        <f ca="1">SUMIFS(
  m.vb[valor],
  m.vb[nucleo],$BR$1,
  m.vb[variavel],BX$7,
  m.vb[mes],$A87
)</f>
        <v>0</v>
      </c>
      <c r="BY87" s="108">
        <f ca="1">SUMIFS(
  m.vb[valor],
  m.vb[nucleo],$BR$1,
  m.vb[variavel],BY$7,
  m.vb[mes],$A87
)</f>
        <v>0</v>
      </c>
      <c r="BZ87" s="108">
        <f ca="1">SUMIFS(
  m.vb[valor],
  m.vb[nucleo],$BR$1,
  m.vb[variavel],BZ$7,
  m.vb[mes],$A87
)</f>
        <v>0</v>
      </c>
      <c r="CA87" s="108">
        <f ca="1">SUMIFS(
  m.vb[valor],
  m.vb[nucleo],$BR$1,
  m.vb[variavel],CA$7,
  m.vb[mes],$A87
)</f>
        <v>0</v>
      </c>
      <c r="CB87" s="119">
        <f>COUNTIFS(
    tb_estq[empresa], CB$6,
    tb_estq[Data da venda / reserva], "&gt;=" &amp; $A87,
    tb_estq[Data da venda / reserva], "&lt;"  &amp; EOMONTH($A87,0) + 1
)</f>
        <v>0</v>
      </c>
      <c r="CC87" s="120">
        <f ca="1">SUMIFS(tb_rec_uni[2028-01-01],
INDIRECT("tb_rec_uni[natureza]"),"pro.soluto",
INDIRECT("tb_rec_uni[empresa]"),CC$6)</f>
        <v>0</v>
      </c>
      <c r="CD87" s="120">
        <f ca="1">SUMIFS(tb_rec_uni[2028-01-01],
INDIRECT("tb_rec_uni[natureza]"),"repasse.cef.obra",
INDIRECT("tb_rec_uni[empresa]"),CD$6)</f>
        <v>0</v>
      </c>
      <c r="CE87" s="123">
        <f ca="1">SUMIFS(tb_rec_uni[2028-01-01],
INDIRECT("tb_rec_uni[natureza]"),"repasse.cef.terreno",
INDIRECT("tb_rec_uni[empresa]"),CE$6)</f>
        <v>0</v>
      </c>
      <c r="CF87" s="124"/>
      <c r="CG87" s="120">
        <f ca="1">SUMIFS(tb_rec_uni[2028-01-01],
INDIRECT("tb_rec_uni[natureza]"),"taxa.extra",
INDIRECT("tb_rec_uni[empresa]"),CG$6)</f>
        <v>0</v>
      </c>
      <c r="CH87" s="108"/>
      <c r="CI87" s="108">
        <f ca="1">SUMIFS(
  m.vb[valor],
  m.vb[nucleo],$CB$1,
  m.vb[variavel],CI$7,
  m.vb[mes],$A87
)</f>
        <v>0</v>
      </c>
      <c r="CJ87" s="108">
        <f ca="1">SUMIFS(
  m.vb[valor],
  m.vb[nucleo],$CB$1,
  m.vb[variavel],CJ$7,
  m.vb[mes],$A87
)</f>
        <v>0</v>
      </c>
      <c r="CK87" s="108">
        <f ca="1">SUMIFS(
  m.vb[valor],
  m.vb[nucleo],$CB$1,
  m.vb[variavel],CK$7,
  m.vb[mes],$A87
)</f>
        <v>0</v>
      </c>
      <c r="CL87" s="108">
        <f ca="1">SUMIFS(
  m.vb[valor],
  m.vb[nucleo],$CB$1,
  m.vb[variavel],CL$7,
  m.vb[mes],$A87
)</f>
        <v>0</v>
      </c>
      <c r="CM87" s="108">
        <f ca="1">SUMIFS(
  m.vb[valor],
  m.vb[nucleo],$CB$1,
  m.vb[variavel],CM$7,
  m.vb[mes],$A87
)</f>
        <v>0</v>
      </c>
      <c r="CN87" s="119">
        <f>COUNTIFS(
    tb_estq[empresa], CN$6,
    tb_estq[Data da venda / reserva], "&gt;=" &amp; $A87,
    tb_estq[Data da venda / reserva], "&lt;"  &amp; EOMONTH($A87,0) + 1
)</f>
        <v>0</v>
      </c>
      <c r="CO87" s="120">
        <f ca="1">SUMIFS(tb_rec_uni[2028-01-01],
INDIRECT("tb_rec_uni[natureza]"),"pro.soluto",
INDIRECT("tb_rec_uni[empresa]"),CO$6)</f>
        <v>0</v>
      </c>
      <c r="CP87" s="120">
        <f ca="1">SUMIFS(tb_rec_uni[2028-01-01],
INDIRECT("tb_rec_uni[natureza]"),"repasse.cef.obra",
INDIRECT("tb_rec_uni[empresa]"),CP$6)</f>
        <v>0</v>
      </c>
      <c r="CQ87" s="123">
        <f ca="1">SUMIFS(tb_rec_uni[2028-01-01],
INDIRECT("tb_rec_uni[natureza]"),"repasse.cef.terreno",
INDIRECT("tb_rec_uni[empresa]"),CQ$6)</f>
        <v>0</v>
      </c>
      <c r="CR87" s="124"/>
      <c r="CS87" s="120">
        <f ca="1">SUMIFS(tb_rec_uni[2028-01-01],
INDIRECT("tb_rec_uni[natureza]"),"taxa.extra",
INDIRECT("tb_rec_uni[empresa]"),CS$6)</f>
        <v>0</v>
      </c>
      <c r="CT87" s="108"/>
      <c r="CU87" s="108">
        <f ca="1">SUMIFS(
  m.vb[valor],
  m.vb[nucleo],$CN$1,
  m.vb[variavel],CU$7,
  m.vb[mes],$A87
)</f>
        <v>0</v>
      </c>
      <c r="CV87" s="108" cm="1">
        <f t="array" ref="CV87">SUMPRODUCT(
  IFERROR(--tb_desp[valor],0)*
  (tb_desp[nucleo]="UP MOVE VILA SONIA")*
  (tb_desp[categoria]=CV$7)*
  (tb_desp[data.pagamento]&gt;=$A87)*
  (tb_desp[data.pagamento]&lt;EOMONTH($A87,0)+1)
)</f>
        <v>0</v>
      </c>
      <c r="CW87" s="108" cm="1">
        <f t="array" ref="CW87">SUMPRODUCT(
  IFERROR(--tb_desp[valor],0)*
  (tb_desp[nucleo]="UP MOVE VILA SONIA")*
  (tb_desp[categoria]=CW$7)*
  (tb_desp[data.pagamento]&gt;=$A87)*
  (tb_desp[data.pagamento]&lt;EOMONTH($A87,0)+1)
)</f>
        <v>0</v>
      </c>
      <c r="CX87" s="108" cm="1">
        <f t="array" ref="CX87">SUMPRODUCT(
  IFERROR(--tb_desp[valor],0)*
  (tb_desp[nucleo]="UP MOVE VILA SONIA")*
  (tb_desp[categoria]=CX$7)*
  (tb_desp[data.pagamento]&gt;=$A87)*
  (tb_desp[data.pagamento]&lt;EOMONTH($A87,0)+1)
)</f>
        <v>0</v>
      </c>
      <c r="CY87" s="221" cm="1">
        <f t="array" ref="CY87">SUMPRODUCT(
  IFERROR(--tb_desp[valor],0)*
  (tb_desp[nucleo]="UP MOVE VILA SONIA")*
  (tb_desp[categoria]=CY$7)*
  (tb_desp[data.pagamento]&gt;=$A87)*
  (tb_desp[data.pagamento]&lt;EOMONTH($A87,0)+1)
)</f>
        <v>0</v>
      </c>
    </row>
    <row r="88" spans="1:103" x14ac:dyDescent="0.25">
      <c r="A88" s="118">
        <v>46784</v>
      </c>
      <c r="B88" s="119">
        <f>COUNTIFS(
    tb_estq[empresa], B$6,
    tb_estq[Data da venda / reserva], "&gt;=" &amp; $A88,
    tb_estq[Data da venda / reserva], "&lt;"  &amp; EOMONTH($A88,0) + 1
)</f>
        <v>0</v>
      </c>
      <c r="C88" s="120">
        <f ca="1">SUMIFS(tb_rec_uni[2028-02-01],
INDIRECT("tb_rec_uni[natureza]"),"pro.soluto",
INDIRECT("tb_rec_uni[empresa]"),C$6)</f>
        <v>0</v>
      </c>
      <c r="D88" s="120">
        <f ca="1">SUMIFS(tb_rec_uni[2028-02-01],
INDIRECT("tb_rec_uni[natureza]"),"repasse.cef.obra",
INDIRECT("tb_rec_uni[empresa]"),D$6)</f>
        <v>0</v>
      </c>
      <c r="E88" s="120">
        <f ca="1">SUMIFS(tb_rec_uni[2028-02-01],
INDIRECT("tb_rec_uni[natureza]"),"repasse.cef.terreno",
INDIRECT("tb_rec_uni[empresa]"),E$6)</f>
        <v>0</v>
      </c>
      <c r="F88" s="124"/>
      <c r="G88" s="120">
        <f ca="1">SUMIFS(tb_rec_uni[2028-02-01],
INDIRECT("tb_rec_uni[natureza]"),"taxa.extra",
INDIRECT("tb_rec_uni[empresa]"),G$6)</f>
        <v>0</v>
      </c>
      <c r="H88" s="108"/>
      <c r="I88" s="108">
        <f ca="1">SUMIFS(
  m.vb[valor],
  m.vb[nucleo],$B$1,
  m.vb[variavel],I$7,
  m.vb[mes],$A88
)</f>
        <v>0</v>
      </c>
      <c r="J88" s="108">
        <f ca="1">SUMIFS(
  m.vb[valor],
  m.vb[nucleo],$B$1,
  m.vb[variavel],J$7,
  m.vb[mes],$A88
)</f>
        <v>0</v>
      </c>
      <c r="K88" s="108">
        <f ca="1">SUMIFS(
  m.vb[valor],
  m.vb[nucleo],$B$1,
  m.vb[variavel],K$7,
  m.vb[mes],$A88
)</f>
        <v>0</v>
      </c>
      <c r="L88" s="108">
        <f ca="1">SUMIFS(
  m.vb[valor],
  m.vb[nucleo],$B$1,
  m.vb[variavel],L$7,
  m.vb[mes],$A88
)</f>
        <v>0</v>
      </c>
      <c r="M88" s="108">
        <f ca="1">SUMIFS(
  m.vb[valor],
  m.vb[nucleo],$B$1,
  m.vb[variavel],M$7,
  m.vb[mes],$A88
)</f>
        <v>0</v>
      </c>
      <c r="N88" s="119">
        <f>COUNTIFS(
    tb_estq[empresa], N$6,
    tb_estq[Data da venda / reserva], "&gt;=" &amp; $A88,
    tb_estq[Data da venda / reserva], "&lt;"  &amp; EOMONTH($A88,0) + 1
)</f>
        <v>0</v>
      </c>
      <c r="O88" s="120">
        <f ca="1">SUMIFS(tb_rec_uni[2028-02-01],
INDIRECT("tb_rec_uni[natureza]"),"pro.soluto",
INDIRECT("tb_rec_uni[empresa]"),O$6)</f>
        <v>0</v>
      </c>
      <c r="P88" s="120">
        <f ca="1">SUMIFS(tb_rec_uni[2028-02-01],
INDIRECT("tb_rec_uni[natureza]"),"repasse.cef.obra",
INDIRECT("tb_rec_uni[empresa]"),P$6)</f>
        <v>0</v>
      </c>
      <c r="Q88" s="120">
        <f ca="1">SUMIFS(tb_rec_uni[2028-02-01],
INDIRECT("tb_rec_uni[natureza]"),"repasse.cef.terreno",
INDIRECT("tb_rec_uni[empresa]"),Q$6)</f>
        <v>0</v>
      </c>
      <c r="R88" s="124"/>
      <c r="S88" s="120">
        <f ca="1">SUMIFS(tb_rec_uni[2028-02-01],
INDIRECT("tb_rec_uni[natureza]"),"taxa.extra",
INDIRECT("tb_rec_uni[empresa]"),S$6)</f>
        <v>0</v>
      </c>
      <c r="T88" s="108"/>
      <c r="U88" s="108">
        <f ca="1">SUMIFS(
  m.vb[valor],
  m.vb[nucleo],$N$1,
  m.vb[variavel],U$7,
  m.vb[mes],$A88
)</f>
        <v>0</v>
      </c>
      <c r="V88" s="108">
        <f ca="1">SUMIFS(
  m.vb[valor],
  m.vb[nucleo],$N$1,
  m.vb[variavel],V$7,
  m.vb[mes],$A88
)</f>
        <v>0</v>
      </c>
      <c r="W88" s="108">
        <f ca="1">SUMIFS(
  m.vb[valor],
  m.vb[nucleo],$N$1,
  m.vb[variavel],W$7,
  m.vb[mes],$A88
)</f>
        <v>0</v>
      </c>
      <c r="X88" s="108">
        <f ca="1">SUMIFS(
  m.vb[valor],
  m.vb[nucleo],$N$1,
  m.vb[variavel],X$7,
  m.vb[mes],$A88
)</f>
        <v>0</v>
      </c>
      <c r="Y88" s="108">
        <f ca="1">SUMIFS(
  m.vb[valor],
  m.vb[nucleo],$N$1,
  m.vb[variavel],Y$7,
  m.vb[mes],$A88
)</f>
        <v>0</v>
      </c>
      <c r="Z88" s="119">
        <f>COUNTIFS(
    tb_estq[empresa], Z$6,
    tb_estq[Data da venda / reserva], "&gt;=" &amp; $A88,
    tb_estq[Data da venda / reserva], "&lt;"  &amp; EOMONTH($A88,0) + 1
)</f>
        <v>0</v>
      </c>
      <c r="AA88" s="120">
        <f ca="1">SUMIFS(tb_rec_uni[2028-02-01],
INDIRECT("tb_rec_uni[natureza]"),"pro.soluto",
INDIRECT("tb_rec_uni[empresa]"),AA$6)</f>
        <v>0</v>
      </c>
      <c r="AB88" s="124">
        <f ca="1">SUMIFS(tb_rec_uni[2028-02-01],
INDIRECT("tb_rec_uni[natureza]"),"parcela.fin.total.ik",
INDIRECT("tb_rec_uni[empresa]"),AB$6)</f>
        <v>0</v>
      </c>
      <c r="AC88" s="120">
        <f ca="1">SUMIFS(tb_rec_uni[2028-02-01],
INDIRECT("tb_rec_uni[natureza]"),"taxa.extra",
INDIRECT("tb_rec_uni[empresa]"),AC$6)</f>
        <v>0</v>
      </c>
      <c r="AD88" s="108"/>
      <c r="AE88" s="108">
        <f ca="1">SUMIFS(
  m.vb[valor],
  m.vb[nucleo],$Z$1,
  m.vb[variavel],AE$7,
  m.vb[mes],$A88
)</f>
        <v>0</v>
      </c>
      <c r="AF88" s="108">
        <f ca="1">SUMIFS(
  m.vb[valor],
  m.vb[nucleo],$Z$1,
  m.vb[variavel],AF$7,
  m.vb[mes],$A88
)</f>
        <v>0</v>
      </c>
      <c r="AG88" s="108">
        <f ca="1">SUMIFS(
  m.vb[valor],
  m.vb[nucleo],$Z$1,
  m.vb[variavel],AG$7,
  m.vb[mes],$A88
)</f>
        <v>0</v>
      </c>
      <c r="AH88" s="108">
        <f ca="1">SUMIFS(
  m.vb[valor],
  m.vb[nucleo],$Z$1,
  m.vb[variavel],AH$7,
  m.vb[mes],$A88
)</f>
        <v>0</v>
      </c>
      <c r="AI88" s="108">
        <f ca="1">SUMIFS(
  m.vb[valor],
  m.vb[nucleo],$Z$1,
  m.vb[variavel],AI$7,
  m.vb[mes],$A88
)</f>
        <v>0</v>
      </c>
      <c r="AJ88" s="119">
        <f>COUNTIFS(
    tb_estq[empresa], AJ$6,
    tb_estq[Data da venda / reserva], "&gt;=" &amp; $A88,
    tb_estq[Data da venda / reserva], "&lt;"  &amp; EOMONTH($A88,0) + 1
)</f>
        <v>0</v>
      </c>
      <c r="AK88" s="120">
        <f ca="1">SUMIFS(tb_rec_uni[2028-02-01],
INDIRECT("tb_rec_uni[natureza]"),"pro.soluto",
INDIRECT("tb_rec_uni[empresa]"),AK$6)</f>
        <v>0</v>
      </c>
      <c r="AL88" s="120">
        <f ca="1">SUMIFS(tb_rec_uni[2028-02-01],
INDIRECT("tb_rec_uni[natureza]"),"repasse.cef.obra",
INDIRECT("tb_rec_uni[empresa]"),AL$6)</f>
        <v>0</v>
      </c>
      <c r="AM88" s="123">
        <f ca="1">SUMIFS(tb_rec_uni[2028-02-01],
INDIRECT("tb_rec_uni[natureza]"),"repasse.cef.terreno",
INDIRECT("tb_rec_uni[empresa]"),AM$6)</f>
        <v>0</v>
      </c>
      <c r="AN88" s="124"/>
      <c r="AO88" s="120">
        <f ca="1">SUMIFS(tb_rec_uni[2028-02-01],
INDIRECT("tb_rec_uni[natureza]"),"taxa.extra",
INDIRECT("tb_rec_uni[empresa]"),AO$6)</f>
        <v>0</v>
      </c>
      <c r="AP88" s="108"/>
      <c r="AQ88" s="108">
        <f ca="1">SUMIFS(
  m.vb[valor],
  m.vb[nucleo],$AJ$1,
  m.vb[variavel],AQ$7,
  m.vb[mes],$A88
)</f>
        <v>0</v>
      </c>
      <c r="AR88" s="108">
        <f ca="1">SUMIFS(
  m.vb[valor],
  m.vb[nucleo],$AJ$1,
  m.vb[variavel],AR$7,
  m.vb[mes],$A88
)</f>
        <v>0</v>
      </c>
      <c r="AS88" s="108">
        <f ca="1">SUMIFS(
  m.vb[valor],
  m.vb[nucleo],$AJ$1,
  m.vb[variavel],AS$7,
  m.vb[mes],$A88
)</f>
        <v>0</v>
      </c>
      <c r="AT88" s="108">
        <f ca="1">SUMIFS(
  m.vb[valor],
  m.vb[nucleo],$AJ$1,
  m.vb[variavel],AT$7,
  m.vb[mes],$A88
)</f>
        <v>0</v>
      </c>
      <c r="AU88" s="108">
        <f ca="1">SUMIFS(
  m.vb[valor],
  m.vb[nucleo],$AJ$1,
  m.vb[variavel],AU$7,
  m.vb[mes],$A88
)</f>
        <v>0</v>
      </c>
      <c r="AV88" s="119">
        <f>COUNTIFS(
    tb_estq[empresa], AV$6,
    tb_estq[Data da venda / reserva], "&gt;=" &amp; $A88,
    tb_estq[Data da venda / reserva], "&lt;"  &amp; EOMONTH($A88,0) + 1
)</f>
        <v>0</v>
      </c>
      <c r="AW88" s="120">
        <f ca="1">SUMIFS(tb_rec_uni[2028-02-01],
INDIRECT("tb_rec_uni[natureza]"),"pro.soluto",
INDIRECT("tb_rec_uni[empresa]"),AW$6)</f>
        <v>0</v>
      </c>
      <c r="AX88" s="120">
        <f ca="1">SUMIFS(tb_rec_uni[2028-02-01],
INDIRECT("tb_rec_uni[natureza]"),"repasse.cef.obra",
INDIRECT("tb_rec_uni[empresa]"),AX$6)</f>
        <v>0</v>
      </c>
      <c r="AY88" s="123">
        <f ca="1">SUMIFS(tb_rec_uni[2028-02-01],
INDIRECT("tb_rec_uni[natureza]"),"repasse.cef.terreno",
INDIRECT("tb_rec_uni[empresa]"),AY$6)</f>
        <v>0</v>
      </c>
      <c r="AZ88" s="124"/>
      <c r="BA88" s="120">
        <f ca="1">SUMIFS(tb_rec_uni[2028-02-01],
INDIRECT("tb_rec_uni[natureza]"),"taxa.extra",
INDIRECT("tb_rec_uni[empresa]"),BA$6)</f>
        <v>0</v>
      </c>
      <c r="BB88" s="108"/>
      <c r="BC88" s="108">
        <f ca="1">SUMIFS(
  m.vb[valor],
  m.vb[nucleo],$AV$1,
  m.vb[variavel],BC$7,
  m.vb[mes],$A88
)</f>
        <v>0</v>
      </c>
      <c r="BD88" s="108">
        <f ca="1">SUMIFS(
  m.vb[valor],
  m.vb[nucleo],$AV$1,
  m.vb[variavel],BD$7,
  m.vb[mes],$A88
)</f>
        <v>0</v>
      </c>
      <c r="BE88" s="108">
        <f ca="1">SUMIFS(
  m.vb[valor],
  m.vb[nucleo],$AV$1,
  m.vb[variavel],BE$7,
  m.vb[mes],$A88
)</f>
        <v>0</v>
      </c>
      <c r="BF88" s="108">
        <f ca="1">SUMIFS(
  m.vb[valor],
  m.vb[nucleo],$AV$1,
  m.vb[variavel],BF$7,
  m.vb[mes],$A88
)</f>
        <v>0</v>
      </c>
      <c r="BG88" s="108">
        <f ca="1">SUMIFS(
  m.vb[valor],
  m.vb[nucleo],$AV$1,
  m.vb[variavel],BG$7,
  m.vb[mes],$A88
)</f>
        <v>0</v>
      </c>
      <c r="BH88" s="119">
        <f>COUNTIFS(
    tb_estq[empresa], BH$6,
    tb_estq[Data da venda / reserva], "&gt;=" &amp; $A88,
    tb_estq[Data da venda / reserva], "&lt;"  &amp; EOMONTH($A88,0) + 1
)</f>
        <v>0</v>
      </c>
      <c r="BI88" s="120">
        <f ca="1">SUMIFS(tb_rec_uni[2028-02-01],
INDIRECT("tb_rec_uni[natureza]"),"pro.soluto",
INDIRECT("tb_rec_uni[empresa]"),BI$6)</f>
        <v>0</v>
      </c>
      <c r="BJ88" s="124"/>
      <c r="BK88" s="120">
        <f ca="1">SUMIFS(tb_rec_uni[2028-02-01],
INDIRECT("tb_rec_uni[natureza]"),"taxa.extra",
INDIRECT("tb_rec_uni[empresa]"),BK$6)</f>
        <v>0</v>
      </c>
      <c r="BL88" s="108"/>
      <c r="BM88" s="108">
        <f ca="1">SUMIFS(
  m.vb[valor],
  m.vb[nucleo],$BH$1,
  m.vb[variavel],BM$7,
  m.vb[mes],$A88
)</f>
        <v>0</v>
      </c>
      <c r="BN88" s="108">
        <f ca="1">SUMIFS(
  m.vb[valor],
  m.vb[nucleo],$BH$1,
  m.vb[variavel],BN$7,
  m.vb[mes],$A88
)</f>
        <v>0</v>
      </c>
      <c r="BO88" s="108">
        <f ca="1">SUMIFS(
  m.vb[valor],
  m.vb[nucleo],$BH$1,
  m.vb[variavel],BO$7,
  m.vb[mes],$A88
)</f>
        <v>0</v>
      </c>
      <c r="BP88" s="108">
        <f ca="1">SUMIFS(
  m.vb[valor],
  m.vb[nucleo],$BH$1,
  m.vb[variavel],BP$7,
  m.vb[mes],$A88
)</f>
        <v>0</v>
      </c>
      <c r="BQ88" s="108">
        <f ca="1">SUMIFS(
  m.vb[valor],
  m.vb[nucleo],$BH$1,
  m.vb[variavel],BQ$7,
  m.vb[mes],$A88
)</f>
        <v>0</v>
      </c>
      <c r="BR88" s="119">
        <f>COUNTIFS(
    tb_estq[empresa], BR$6,
    tb_estq[Data da venda / reserva], "&gt;=" &amp; $A88,
    tb_estq[Data da venda / reserva], "&lt;"  &amp; EOMONTH($A88,0) + 1
)</f>
        <v>0</v>
      </c>
      <c r="BS88" s="120">
        <f ca="1">SUMIFS(tb_rec_uni[2028-02-01],
INDIRECT("tb_rec_uni[natureza]"),"pro.soluto",
INDIRECT("tb_rec_uni[empresa]"),BS$6)</f>
        <v>0</v>
      </c>
      <c r="BT88" s="124">
        <f ca="1">SUMIFS(tb_rec_uni[2028-02-01],
INDIRECT("tb_rec_uni[natureza]"),"parcela.fin.total.ik",
INDIRECT("tb_rec_uni[empresa]"),BT$6)</f>
        <v>0</v>
      </c>
      <c r="BU88" s="120">
        <f ca="1">SUMIFS(tb_rec_uni[2028-02-01],
INDIRECT("tb_rec_uni[natureza]"),"taxa.extra",
INDIRECT("tb_rec_uni[empresa]"),BU$6)</f>
        <v>0</v>
      </c>
      <c r="BV88" s="108"/>
      <c r="BW88" s="108">
        <f ca="1">SUMIFS(
  m.vb[valor],
  m.vb[nucleo],$BR$1,
  m.vb[variavel],BW$7,
  m.vb[mes],$A88
)</f>
        <v>0</v>
      </c>
      <c r="BX88" s="108">
        <f ca="1">SUMIFS(
  m.vb[valor],
  m.vb[nucleo],$BR$1,
  m.vb[variavel],BX$7,
  m.vb[mes],$A88
)</f>
        <v>0</v>
      </c>
      <c r="BY88" s="108">
        <f ca="1">SUMIFS(
  m.vb[valor],
  m.vb[nucleo],$BR$1,
  m.vb[variavel],BY$7,
  m.vb[mes],$A88
)</f>
        <v>0</v>
      </c>
      <c r="BZ88" s="108">
        <f ca="1">SUMIFS(
  m.vb[valor],
  m.vb[nucleo],$BR$1,
  m.vb[variavel],BZ$7,
  m.vb[mes],$A88
)</f>
        <v>0</v>
      </c>
      <c r="CA88" s="108">
        <f ca="1">SUMIFS(
  m.vb[valor],
  m.vb[nucleo],$BR$1,
  m.vb[variavel],CA$7,
  m.vb[mes],$A88
)</f>
        <v>0</v>
      </c>
      <c r="CB88" s="119">
        <f>COUNTIFS(
    tb_estq[empresa], CB$6,
    tb_estq[Data da venda / reserva], "&gt;=" &amp; $A88,
    tb_estq[Data da venda / reserva], "&lt;"  &amp; EOMONTH($A88,0) + 1
)</f>
        <v>0</v>
      </c>
      <c r="CC88" s="120">
        <f ca="1">SUMIFS(tb_rec_uni[2028-02-01],
INDIRECT("tb_rec_uni[natureza]"),"pro.soluto",
INDIRECT("tb_rec_uni[empresa]"),CC$6)</f>
        <v>0</v>
      </c>
      <c r="CD88" s="120">
        <f ca="1">SUMIFS(tb_rec_uni[2028-02-01],
INDIRECT("tb_rec_uni[natureza]"),"repasse.cef.obra",
INDIRECT("tb_rec_uni[empresa]"),CD$6)</f>
        <v>0</v>
      </c>
      <c r="CE88" s="123">
        <f ca="1">SUMIFS(tb_rec_uni[2028-02-01],
INDIRECT("tb_rec_uni[natureza]"),"repasse.cef.terreno",
INDIRECT("tb_rec_uni[empresa]"),CE$6)</f>
        <v>0</v>
      </c>
      <c r="CF88" s="124"/>
      <c r="CG88" s="120">
        <f ca="1">SUMIFS(tb_rec_uni[2028-02-01],
INDIRECT("tb_rec_uni[natureza]"),"taxa.extra",
INDIRECT("tb_rec_uni[empresa]"),CG$6)</f>
        <v>0</v>
      </c>
      <c r="CH88" s="108"/>
      <c r="CI88" s="108">
        <f ca="1">SUMIFS(
  m.vb[valor],
  m.vb[nucleo],$CB$1,
  m.vb[variavel],CI$7,
  m.vb[mes],$A88
)</f>
        <v>0</v>
      </c>
      <c r="CJ88" s="108">
        <f ca="1">SUMIFS(
  m.vb[valor],
  m.vb[nucleo],$CB$1,
  m.vb[variavel],CJ$7,
  m.vb[mes],$A88
)</f>
        <v>0</v>
      </c>
      <c r="CK88" s="108">
        <f ca="1">SUMIFS(
  m.vb[valor],
  m.vb[nucleo],$CB$1,
  m.vb[variavel],CK$7,
  m.vb[mes],$A88
)</f>
        <v>0</v>
      </c>
      <c r="CL88" s="108">
        <f ca="1">SUMIFS(
  m.vb[valor],
  m.vb[nucleo],$CB$1,
  m.vb[variavel],CL$7,
  m.vb[mes],$A88
)</f>
        <v>0</v>
      </c>
      <c r="CM88" s="108">
        <f ca="1">SUMIFS(
  m.vb[valor],
  m.vb[nucleo],$CB$1,
  m.vb[variavel],CM$7,
  m.vb[mes],$A88
)</f>
        <v>0</v>
      </c>
      <c r="CN88" s="119">
        <f>COUNTIFS(
    tb_estq[empresa], CN$6,
    tb_estq[Data da venda / reserva], "&gt;=" &amp; $A88,
    tb_estq[Data da venda / reserva], "&lt;"  &amp; EOMONTH($A88,0) + 1
)</f>
        <v>0</v>
      </c>
      <c r="CO88" s="120">
        <f ca="1">SUMIFS(tb_rec_uni[2028-02-01],
INDIRECT("tb_rec_uni[natureza]"),"pro.soluto",
INDIRECT("tb_rec_uni[empresa]"),CO$6)</f>
        <v>0</v>
      </c>
      <c r="CP88" s="120">
        <f ca="1">SUMIFS(tb_rec_uni[2028-02-01],
INDIRECT("tb_rec_uni[natureza]"),"repasse.cef.obra",
INDIRECT("tb_rec_uni[empresa]"),CP$6)</f>
        <v>0</v>
      </c>
      <c r="CQ88" s="123">
        <f ca="1">SUMIFS(tb_rec_uni[2028-02-01],
INDIRECT("tb_rec_uni[natureza]"),"repasse.cef.terreno",
INDIRECT("tb_rec_uni[empresa]"),CQ$6)</f>
        <v>0</v>
      </c>
      <c r="CR88" s="124"/>
      <c r="CS88" s="120">
        <f ca="1">SUMIFS(tb_rec_uni[2028-02-01],
INDIRECT("tb_rec_uni[natureza]"),"taxa.extra",
INDIRECT("tb_rec_uni[empresa]"),CS$6)</f>
        <v>0</v>
      </c>
      <c r="CT88" s="108"/>
      <c r="CU88" s="108">
        <f ca="1">SUMIFS(
  m.vb[valor],
  m.vb[nucleo],$CN$1,
  m.vb[variavel],CU$7,
  m.vb[mes],$A88
)</f>
        <v>0</v>
      </c>
      <c r="CV88" s="108" cm="1">
        <f t="array" ref="CV88">SUMPRODUCT(
  IFERROR(--tb_desp[valor],0)*
  (tb_desp[nucleo]="UP MOVE VILA SONIA")*
  (tb_desp[categoria]=CV$7)*
  (tb_desp[data.pagamento]&gt;=$A88)*
  (tb_desp[data.pagamento]&lt;EOMONTH($A88,0)+1)
)</f>
        <v>0</v>
      </c>
      <c r="CW88" s="108" cm="1">
        <f t="array" ref="CW88">SUMPRODUCT(
  IFERROR(--tb_desp[valor],0)*
  (tb_desp[nucleo]="UP MOVE VILA SONIA")*
  (tb_desp[categoria]=CW$7)*
  (tb_desp[data.pagamento]&gt;=$A88)*
  (tb_desp[data.pagamento]&lt;EOMONTH($A88,0)+1)
)</f>
        <v>0</v>
      </c>
      <c r="CX88" s="108" cm="1">
        <f t="array" ref="CX88">SUMPRODUCT(
  IFERROR(--tb_desp[valor],0)*
  (tb_desp[nucleo]="UP MOVE VILA SONIA")*
  (tb_desp[categoria]=CX$7)*
  (tb_desp[data.pagamento]&gt;=$A88)*
  (tb_desp[data.pagamento]&lt;EOMONTH($A88,0)+1)
)</f>
        <v>0</v>
      </c>
      <c r="CY88" s="221" cm="1">
        <f t="array" ref="CY88">SUMPRODUCT(
  IFERROR(--tb_desp[valor],0)*
  (tb_desp[nucleo]="UP MOVE VILA SONIA")*
  (tb_desp[categoria]=CY$7)*
  (tb_desp[data.pagamento]&gt;=$A88)*
  (tb_desp[data.pagamento]&lt;EOMONTH($A88,0)+1)
)</f>
        <v>0</v>
      </c>
    </row>
    <row r="89" spans="1:103" x14ac:dyDescent="0.25">
      <c r="A89" s="118">
        <v>46813</v>
      </c>
      <c r="B89" s="119">
        <f>COUNTIFS(
    tb_estq[empresa], B$6,
    tb_estq[Data da venda / reserva], "&gt;=" &amp; $A89,
    tb_estq[Data da venda / reserva], "&lt;"  &amp; EOMONTH($A89,0) + 1
)</f>
        <v>0</v>
      </c>
      <c r="C89" s="120">
        <f ca="1">SUMIFS(tb_rec_uni[2028-03-01],
INDIRECT("tb_rec_uni[natureza]"),"pro.soluto",
INDIRECT("tb_rec_uni[empresa]"),C$6)</f>
        <v>0</v>
      </c>
      <c r="D89" s="120">
        <f ca="1">SUMIFS(tb_rec_uni[2028-03-01],
INDIRECT("tb_rec_uni[natureza]"),"repasse.cef.obra",
INDIRECT("tb_rec_uni[empresa]"),D$6)</f>
        <v>0</v>
      </c>
      <c r="E89" s="120">
        <f ca="1">SUMIFS(tb_rec_uni[2028-03-01],
INDIRECT("tb_rec_uni[natureza]"),"repasse.cef.terreno",
INDIRECT("tb_rec_uni[empresa]"),E$6)</f>
        <v>0</v>
      </c>
      <c r="F89" s="124"/>
      <c r="G89" s="120">
        <f ca="1">SUMIFS(tb_rec_uni[2028-03-01],
INDIRECT("tb_rec_uni[natureza]"),"taxa.extra",
INDIRECT("tb_rec_uni[empresa]"),G$6)</f>
        <v>0</v>
      </c>
      <c r="H89" s="108"/>
      <c r="I89" s="108">
        <f ca="1">SUMIFS(
  m.vb[valor],
  m.vb[nucleo],$B$1,
  m.vb[variavel],I$7,
  m.vb[mes],$A89
)</f>
        <v>0</v>
      </c>
      <c r="J89" s="108">
        <f ca="1">SUMIFS(
  m.vb[valor],
  m.vb[nucleo],$B$1,
  m.vb[variavel],J$7,
  m.vb[mes],$A89
)</f>
        <v>0</v>
      </c>
      <c r="K89" s="108">
        <f ca="1">SUMIFS(
  m.vb[valor],
  m.vb[nucleo],$B$1,
  m.vb[variavel],K$7,
  m.vb[mes],$A89
)</f>
        <v>0</v>
      </c>
      <c r="L89" s="108">
        <f ca="1">SUMIFS(
  m.vb[valor],
  m.vb[nucleo],$B$1,
  m.vb[variavel],L$7,
  m.vb[mes],$A89
)</f>
        <v>0</v>
      </c>
      <c r="M89" s="108">
        <f ca="1">SUMIFS(
  m.vb[valor],
  m.vb[nucleo],$B$1,
  m.vb[variavel],M$7,
  m.vb[mes],$A89
)</f>
        <v>0</v>
      </c>
      <c r="N89" s="119">
        <f>COUNTIFS(
    tb_estq[empresa], N$6,
    tb_estq[Data da venda / reserva], "&gt;=" &amp; $A89,
    tb_estq[Data da venda / reserva], "&lt;"  &amp; EOMONTH($A89,0) + 1
)</f>
        <v>0</v>
      </c>
      <c r="O89" s="120">
        <f ca="1">SUMIFS(tb_rec_uni[2028-03-01],
INDIRECT("tb_rec_uni[natureza]"),"pro.soluto",
INDIRECT("tb_rec_uni[empresa]"),O$6)</f>
        <v>0</v>
      </c>
      <c r="P89" s="120">
        <f ca="1">SUMIFS(tb_rec_uni[2028-03-01],
INDIRECT("tb_rec_uni[natureza]"),"repasse.cef.obra",
INDIRECT("tb_rec_uni[empresa]"),P$6)</f>
        <v>0</v>
      </c>
      <c r="Q89" s="120">
        <f ca="1">SUMIFS(tb_rec_uni[2028-03-01],
INDIRECT("tb_rec_uni[natureza]"),"repasse.cef.terreno",
INDIRECT("tb_rec_uni[empresa]"),Q$6)</f>
        <v>0</v>
      </c>
      <c r="R89" s="124"/>
      <c r="S89" s="120">
        <f ca="1">SUMIFS(tb_rec_uni[2028-03-01],
INDIRECT("tb_rec_uni[natureza]"),"taxa.extra",
INDIRECT("tb_rec_uni[empresa]"),S$6)</f>
        <v>0</v>
      </c>
      <c r="T89" s="108"/>
      <c r="U89" s="108">
        <f ca="1">SUMIFS(
  m.vb[valor],
  m.vb[nucleo],$N$1,
  m.vb[variavel],U$7,
  m.vb[mes],$A89
)</f>
        <v>0</v>
      </c>
      <c r="V89" s="108">
        <f ca="1">SUMIFS(
  m.vb[valor],
  m.vb[nucleo],$N$1,
  m.vb[variavel],V$7,
  m.vb[mes],$A89
)</f>
        <v>0</v>
      </c>
      <c r="W89" s="108">
        <f ca="1">SUMIFS(
  m.vb[valor],
  m.vb[nucleo],$N$1,
  m.vb[variavel],W$7,
  m.vb[mes],$A89
)</f>
        <v>0</v>
      </c>
      <c r="X89" s="108">
        <f ca="1">SUMIFS(
  m.vb[valor],
  m.vb[nucleo],$N$1,
  m.vb[variavel],X$7,
  m.vb[mes],$A89
)</f>
        <v>0</v>
      </c>
      <c r="Y89" s="108">
        <f ca="1">SUMIFS(
  m.vb[valor],
  m.vb[nucleo],$N$1,
  m.vb[variavel],Y$7,
  m.vb[mes],$A89
)</f>
        <v>0</v>
      </c>
      <c r="Z89" s="119">
        <f>COUNTIFS(
    tb_estq[empresa], Z$6,
    tb_estq[Data da venda / reserva], "&gt;=" &amp; $A89,
    tb_estq[Data da venda / reserva], "&lt;"  &amp; EOMONTH($A89,0) + 1
)</f>
        <v>0</v>
      </c>
      <c r="AA89" s="120">
        <f ca="1">SUMIFS(tb_rec_uni[2028-03-01],
INDIRECT("tb_rec_uni[natureza]"),"pro.soluto",
INDIRECT("tb_rec_uni[empresa]"),AA$6)</f>
        <v>0</v>
      </c>
      <c r="AB89" s="124">
        <f ca="1">SUMIFS(tb_rec_uni[2028-03-01],
INDIRECT("tb_rec_uni[natureza]"),"parcela.fin.total.ik",
INDIRECT("tb_rec_uni[empresa]"),AB$6)</f>
        <v>0</v>
      </c>
      <c r="AC89" s="120">
        <f ca="1">SUMIFS(tb_rec_uni[2028-03-01],
INDIRECT("tb_rec_uni[natureza]"),"taxa.extra",
INDIRECT("tb_rec_uni[empresa]"),AC$6)</f>
        <v>0</v>
      </c>
      <c r="AD89" s="108"/>
      <c r="AE89" s="108">
        <f ca="1">SUMIFS(
  m.vb[valor],
  m.vb[nucleo],$Z$1,
  m.vb[variavel],AE$7,
  m.vb[mes],$A89
)</f>
        <v>0</v>
      </c>
      <c r="AF89" s="108">
        <f ca="1">SUMIFS(
  m.vb[valor],
  m.vb[nucleo],$Z$1,
  m.vb[variavel],AF$7,
  m.vb[mes],$A89
)</f>
        <v>0</v>
      </c>
      <c r="AG89" s="108">
        <f ca="1">SUMIFS(
  m.vb[valor],
  m.vb[nucleo],$Z$1,
  m.vb[variavel],AG$7,
  m.vb[mes],$A89
)</f>
        <v>0</v>
      </c>
      <c r="AH89" s="108">
        <f ca="1">SUMIFS(
  m.vb[valor],
  m.vb[nucleo],$Z$1,
  m.vb[variavel],AH$7,
  m.vb[mes],$A89
)</f>
        <v>0</v>
      </c>
      <c r="AI89" s="108">
        <f ca="1">SUMIFS(
  m.vb[valor],
  m.vb[nucleo],$Z$1,
  m.vb[variavel],AI$7,
  m.vb[mes],$A89
)</f>
        <v>0</v>
      </c>
      <c r="AJ89" s="119">
        <f>COUNTIFS(
    tb_estq[empresa], AJ$6,
    tb_estq[Data da venda / reserva], "&gt;=" &amp; $A89,
    tb_estq[Data da venda / reserva], "&lt;"  &amp; EOMONTH($A89,0) + 1
)</f>
        <v>0</v>
      </c>
      <c r="AK89" s="120">
        <f ca="1">SUMIFS(tb_rec_uni[2028-03-01],
INDIRECT("tb_rec_uni[natureza]"),"pro.soluto",
INDIRECT("tb_rec_uni[empresa]"),AK$6)</f>
        <v>0</v>
      </c>
      <c r="AL89" s="120">
        <f ca="1">SUMIFS(tb_rec_uni[2028-03-01],
INDIRECT("tb_rec_uni[natureza]"),"repasse.cef.obra",
INDIRECT("tb_rec_uni[empresa]"),AL$6)</f>
        <v>0</v>
      </c>
      <c r="AM89" s="123">
        <f ca="1">SUMIFS(tb_rec_uni[2028-03-01],
INDIRECT("tb_rec_uni[natureza]"),"repasse.cef.terreno",
INDIRECT("tb_rec_uni[empresa]"),AM$6)</f>
        <v>0</v>
      </c>
      <c r="AN89" s="124"/>
      <c r="AO89" s="120">
        <f ca="1">SUMIFS(tb_rec_uni[2028-03-01],
INDIRECT("tb_rec_uni[natureza]"),"taxa.extra",
INDIRECT("tb_rec_uni[empresa]"),AO$6)</f>
        <v>0</v>
      </c>
      <c r="AP89" s="108"/>
      <c r="AQ89" s="108">
        <f ca="1">SUMIFS(
  m.vb[valor],
  m.vb[nucleo],$AJ$1,
  m.vb[variavel],AQ$7,
  m.vb[mes],$A89
)</f>
        <v>0</v>
      </c>
      <c r="AR89" s="108">
        <f ca="1">SUMIFS(
  m.vb[valor],
  m.vb[nucleo],$AJ$1,
  m.vb[variavel],AR$7,
  m.vb[mes],$A89
)</f>
        <v>0</v>
      </c>
      <c r="AS89" s="108">
        <f ca="1">SUMIFS(
  m.vb[valor],
  m.vb[nucleo],$AJ$1,
  m.vb[variavel],AS$7,
  m.vb[mes],$A89
)</f>
        <v>0</v>
      </c>
      <c r="AT89" s="108">
        <f ca="1">SUMIFS(
  m.vb[valor],
  m.vb[nucleo],$AJ$1,
  m.vb[variavel],AT$7,
  m.vb[mes],$A89
)</f>
        <v>0</v>
      </c>
      <c r="AU89" s="108">
        <f ca="1">SUMIFS(
  m.vb[valor],
  m.vb[nucleo],$AJ$1,
  m.vb[variavel],AU$7,
  m.vb[mes],$A89
)</f>
        <v>0</v>
      </c>
      <c r="AV89" s="119">
        <f>COUNTIFS(
    tb_estq[empresa], AV$6,
    tb_estq[Data da venda / reserva], "&gt;=" &amp; $A89,
    tb_estq[Data da venda / reserva], "&lt;"  &amp; EOMONTH($A89,0) + 1
)</f>
        <v>0</v>
      </c>
      <c r="AW89" s="120">
        <f ca="1">SUMIFS(tb_rec_uni[2028-03-01],
INDIRECT("tb_rec_uni[natureza]"),"pro.soluto",
INDIRECT("tb_rec_uni[empresa]"),AW$6)</f>
        <v>0</v>
      </c>
      <c r="AX89" s="120">
        <f ca="1">SUMIFS(tb_rec_uni[2028-03-01],
INDIRECT("tb_rec_uni[natureza]"),"repasse.cef.obra",
INDIRECT("tb_rec_uni[empresa]"),AX$6)</f>
        <v>0</v>
      </c>
      <c r="AY89" s="123">
        <f ca="1">SUMIFS(tb_rec_uni[2028-03-01],
INDIRECT("tb_rec_uni[natureza]"),"repasse.cef.terreno",
INDIRECT("tb_rec_uni[empresa]"),AY$6)</f>
        <v>0</v>
      </c>
      <c r="AZ89" s="124"/>
      <c r="BA89" s="120">
        <f ca="1">SUMIFS(tb_rec_uni[2028-03-01],
INDIRECT("tb_rec_uni[natureza]"),"taxa.extra",
INDIRECT("tb_rec_uni[empresa]"),BA$6)</f>
        <v>0</v>
      </c>
      <c r="BB89" s="108"/>
      <c r="BC89" s="108">
        <f ca="1">SUMIFS(
  m.vb[valor],
  m.vb[nucleo],$AV$1,
  m.vb[variavel],BC$7,
  m.vb[mes],$A89
)</f>
        <v>0</v>
      </c>
      <c r="BD89" s="108">
        <f ca="1">SUMIFS(
  m.vb[valor],
  m.vb[nucleo],$AV$1,
  m.vb[variavel],BD$7,
  m.vb[mes],$A89
)</f>
        <v>0</v>
      </c>
      <c r="BE89" s="108">
        <f ca="1">SUMIFS(
  m.vb[valor],
  m.vb[nucleo],$AV$1,
  m.vb[variavel],BE$7,
  m.vb[mes],$A89
)</f>
        <v>0</v>
      </c>
      <c r="BF89" s="108">
        <f ca="1">SUMIFS(
  m.vb[valor],
  m.vb[nucleo],$AV$1,
  m.vb[variavel],BF$7,
  m.vb[mes],$A89
)</f>
        <v>0</v>
      </c>
      <c r="BG89" s="108">
        <f ca="1">SUMIFS(
  m.vb[valor],
  m.vb[nucleo],$AV$1,
  m.vb[variavel],BG$7,
  m.vb[mes],$A89
)</f>
        <v>0</v>
      </c>
      <c r="BH89" s="119">
        <f>COUNTIFS(
    tb_estq[empresa], BH$6,
    tb_estq[Data da venda / reserva], "&gt;=" &amp; $A89,
    tb_estq[Data da venda / reserva], "&lt;"  &amp; EOMONTH($A89,0) + 1
)</f>
        <v>0</v>
      </c>
      <c r="BI89" s="120">
        <f ca="1">SUMIFS(tb_rec_uni[2028-03-01],
INDIRECT("tb_rec_uni[natureza]"),"pro.soluto",
INDIRECT("tb_rec_uni[empresa]"),BI$6)</f>
        <v>0</v>
      </c>
      <c r="BJ89" s="124"/>
      <c r="BK89" s="120">
        <f ca="1">SUMIFS(tb_rec_uni[2028-03-01],
INDIRECT("tb_rec_uni[natureza]"),"taxa.extra",
INDIRECT("tb_rec_uni[empresa]"),BK$6)</f>
        <v>0</v>
      </c>
      <c r="BL89" s="108"/>
      <c r="BM89" s="108">
        <f ca="1">SUMIFS(
  m.vb[valor],
  m.vb[nucleo],$BH$1,
  m.vb[variavel],BM$7,
  m.vb[mes],$A89
)</f>
        <v>0</v>
      </c>
      <c r="BN89" s="108">
        <f ca="1">SUMIFS(
  m.vb[valor],
  m.vb[nucleo],$BH$1,
  m.vb[variavel],BN$7,
  m.vb[mes],$A89
)</f>
        <v>0</v>
      </c>
      <c r="BO89" s="108">
        <f ca="1">SUMIFS(
  m.vb[valor],
  m.vb[nucleo],$BH$1,
  m.vb[variavel],BO$7,
  m.vb[mes],$A89
)</f>
        <v>0</v>
      </c>
      <c r="BP89" s="108">
        <f ca="1">SUMIFS(
  m.vb[valor],
  m.vb[nucleo],$BH$1,
  m.vb[variavel],BP$7,
  m.vb[mes],$A89
)</f>
        <v>0</v>
      </c>
      <c r="BQ89" s="108">
        <f ca="1">SUMIFS(
  m.vb[valor],
  m.vb[nucleo],$BH$1,
  m.vb[variavel],BQ$7,
  m.vb[mes],$A89
)</f>
        <v>0</v>
      </c>
      <c r="BR89" s="119">
        <f>COUNTIFS(
    tb_estq[empresa], BR$6,
    tb_estq[Data da venda / reserva], "&gt;=" &amp; $A89,
    tb_estq[Data da venda / reserva], "&lt;"  &amp; EOMONTH($A89,0) + 1
)</f>
        <v>0</v>
      </c>
      <c r="BS89" s="120">
        <f ca="1">SUMIFS(tb_rec_uni[2028-03-01],
INDIRECT("tb_rec_uni[natureza]"),"pro.soluto",
INDIRECT("tb_rec_uni[empresa]"),BS$6)</f>
        <v>0</v>
      </c>
      <c r="BT89" s="124">
        <f ca="1">SUMIFS(tb_rec_uni[2028-03-01],
INDIRECT("tb_rec_uni[natureza]"),"parcela.fin.total.ik",
INDIRECT("tb_rec_uni[empresa]"),BT$6)</f>
        <v>0</v>
      </c>
      <c r="BU89" s="120">
        <f ca="1">SUMIFS(tb_rec_uni[2028-03-01],
INDIRECT("tb_rec_uni[natureza]"),"taxa.extra",
INDIRECT("tb_rec_uni[empresa]"),BU$6)</f>
        <v>0</v>
      </c>
      <c r="BV89" s="108"/>
      <c r="BW89" s="108">
        <f ca="1">SUMIFS(
  m.vb[valor],
  m.vb[nucleo],$BR$1,
  m.vb[variavel],BW$7,
  m.vb[mes],$A89
)</f>
        <v>0</v>
      </c>
      <c r="BX89" s="108">
        <f ca="1">SUMIFS(
  m.vb[valor],
  m.vb[nucleo],$BR$1,
  m.vb[variavel],BX$7,
  m.vb[mes],$A89
)</f>
        <v>0</v>
      </c>
      <c r="BY89" s="108">
        <f ca="1">SUMIFS(
  m.vb[valor],
  m.vb[nucleo],$BR$1,
  m.vb[variavel],BY$7,
  m.vb[mes],$A89
)</f>
        <v>0</v>
      </c>
      <c r="BZ89" s="108">
        <f ca="1">SUMIFS(
  m.vb[valor],
  m.vb[nucleo],$BR$1,
  m.vb[variavel],BZ$7,
  m.vb[mes],$A89
)</f>
        <v>0</v>
      </c>
      <c r="CA89" s="108">
        <f ca="1">SUMIFS(
  m.vb[valor],
  m.vb[nucleo],$BR$1,
  m.vb[variavel],CA$7,
  m.vb[mes],$A89
)</f>
        <v>0</v>
      </c>
      <c r="CB89" s="119">
        <f>COUNTIFS(
    tb_estq[empresa], CB$6,
    tb_estq[Data da venda / reserva], "&gt;=" &amp; $A89,
    tb_estq[Data da venda / reserva], "&lt;"  &amp; EOMONTH($A89,0) + 1
)</f>
        <v>0</v>
      </c>
      <c r="CC89" s="120">
        <f ca="1">SUMIFS(tb_rec_uni[2028-03-01],
INDIRECT("tb_rec_uni[natureza]"),"pro.soluto",
INDIRECT("tb_rec_uni[empresa]"),CC$6)</f>
        <v>0</v>
      </c>
      <c r="CD89" s="120">
        <f ca="1">SUMIFS(tb_rec_uni[2028-03-01],
INDIRECT("tb_rec_uni[natureza]"),"repasse.cef.obra",
INDIRECT("tb_rec_uni[empresa]"),CD$6)</f>
        <v>0</v>
      </c>
      <c r="CE89" s="123">
        <f ca="1">SUMIFS(tb_rec_uni[2028-03-01],
INDIRECT("tb_rec_uni[natureza]"),"repasse.cef.terreno",
INDIRECT("tb_rec_uni[empresa]"),CE$6)</f>
        <v>0</v>
      </c>
      <c r="CF89" s="124"/>
      <c r="CG89" s="120">
        <f ca="1">SUMIFS(tb_rec_uni[2028-03-01],
INDIRECT("tb_rec_uni[natureza]"),"taxa.extra",
INDIRECT("tb_rec_uni[empresa]"),CG$6)</f>
        <v>0</v>
      </c>
      <c r="CH89" s="108"/>
      <c r="CI89" s="108">
        <f ca="1">SUMIFS(
  m.vb[valor],
  m.vb[nucleo],$CB$1,
  m.vb[variavel],CI$7,
  m.vb[mes],$A89
)</f>
        <v>0</v>
      </c>
      <c r="CJ89" s="108">
        <f ca="1">SUMIFS(
  m.vb[valor],
  m.vb[nucleo],$CB$1,
  m.vb[variavel],CJ$7,
  m.vb[mes],$A89
)</f>
        <v>0</v>
      </c>
      <c r="CK89" s="108">
        <f ca="1">SUMIFS(
  m.vb[valor],
  m.vb[nucleo],$CB$1,
  m.vb[variavel],CK$7,
  m.vb[mes],$A89
)</f>
        <v>0</v>
      </c>
      <c r="CL89" s="108">
        <f ca="1">SUMIFS(
  m.vb[valor],
  m.vb[nucleo],$CB$1,
  m.vb[variavel],CL$7,
  m.vb[mes],$A89
)</f>
        <v>0</v>
      </c>
      <c r="CM89" s="108">
        <f ca="1">SUMIFS(
  m.vb[valor],
  m.vb[nucleo],$CB$1,
  m.vb[variavel],CM$7,
  m.vb[mes],$A89
)</f>
        <v>0</v>
      </c>
      <c r="CN89" s="119">
        <f>COUNTIFS(
    tb_estq[empresa], CN$6,
    tb_estq[Data da venda / reserva], "&gt;=" &amp; $A89,
    tb_estq[Data da venda / reserva], "&lt;"  &amp; EOMONTH($A89,0) + 1
)</f>
        <v>0</v>
      </c>
      <c r="CO89" s="120">
        <f ca="1">SUMIFS(tb_rec_uni[2028-03-01],
INDIRECT("tb_rec_uni[natureza]"),"pro.soluto",
INDIRECT("tb_rec_uni[empresa]"),CO$6)</f>
        <v>0</v>
      </c>
      <c r="CP89" s="120">
        <f ca="1">SUMIFS(tb_rec_uni[2028-03-01],
INDIRECT("tb_rec_uni[natureza]"),"repasse.cef.obra",
INDIRECT("tb_rec_uni[empresa]"),CP$6)</f>
        <v>0</v>
      </c>
      <c r="CQ89" s="123">
        <f ca="1">SUMIFS(tb_rec_uni[2028-03-01],
INDIRECT("tb_rec_uni[natureza]"),"repasse.cef.terreno",
INDIRECT("tb_rec_uni[empresa]"),CQ$6)</f>
        <v>0</v>
      </c>
      <c r="CR89" s="124"/>
      <c r="CS89" s="120">
        <f ca="1">SUMIFS(tb_rec_uni[2028-03-01],
INDIRECT("tb_rec_uni[natureza]"),"taxa.extra",
INDIRECT("tb_rec_uni[empresa]"),CS$6)</f>
        <v>0</v>
      </c>
      <c r="CT89" s="108"/>
      <c r="CU89" s="108">
        <f ca="1">SUMIFS(
  m.vb[valor],
  m.vb[nucleo],$CN$1,
  m.vb[variavel],CU$7,
  m.vb[mes],$A89
)</f>
        <v>0</v>
      </c>
      <c r="CV89" s="108" cm="1">
        <f t="array" ref="CV89">SUMPRODUCT(
  IFERROR(--tb_desp[valor],0)*
  (tb_desp[nucleo]="UP MOVE VILA SONIA")*
  (tb_desp[categoria]=CV$7)*
  (tb_desp[data.pagamento]&gt;=$A89)*
  (tb_desp[data.pagamento]&lt;EOMONTH($A89,0)+1)
)</f>
        <v>0</v>
      </c>
      <c r="CW89" s="108" cm="1">
        <f t="array" ref="CW89">SUMPRODUCT(
  IFERROR(--tb_desp[valor],0)*
  (tb_desp[nucleo]="UP MOVE VILA SONIA")*
  (tb_desp[categoria]=CW$7)*
  (tb_desp[data.pagamento]&gt;=$A89)*
  (tb_desp[data.pagamento]&lt;EOMONTH($A89,0)+1)
)</f>
        <v>0</v>
      </c>
      <c r="CX89" s="108" cm="1">
        <f t="array" ref="CX89">SUMPRODUCT(
  IFERROR(--tb_desp[valor],0)*
  (tb_desp[nucleo]="UP MOVE VILA SONIA")*
  (tb_desp[categoria]=CX$7)*
  (tb_desp[data.pagamento]&gt;=$A89)*
  (tb_desp[data.pagamento]&lt;EOMONTH($A89,0)+1)
)</f>
        <v>0</v>
      </c>
      <c r="CY89" s="221" cm="1">
        <f t="array" ref="CY89">SUMPRODUCT(
  IFERROR(--tb_desp[valor],0)*
  (tb_desp[nucleo]="UP MOVE VILA SONIA")*
  (tb_desp[categoria]=CY$7)*
  (tb_desp[data.pagamento]&gt;=$A89)*
  (tb_desp[data.pagamento]&lt;EOMONTH($A89,0)+1)
)</f>
        <v>0</v>
      </c>
    </row>
    <row r="90" spans="1:103" x14ac:dyDescent="0.25">
      <c r="A90" s="118">
        <v>46844</v>
      </c>
      <c r="B90" s="119">
        <f>COUNTIFS(
    tb_estq[empresa], B$6,
    tb_estq[Data da venda / reserva], "&gt;=" &amp; $A90,
    tb_estq[Data da venda / reserva], "&lt;"  &amp; EOMONTH($A90,0) + 1
)</f>
        <v>0</v>
      </c>
      <c r="C90" s="120">
        <f ca="1">SUMIFS(tb_rec_uni[2028-04-01],
INDIRECT("tb_rec_uni[natureza]"),"pro.soluto",
INDIRECT("tb_rec_uni[empresa]"),C$6)</f>
        <v>0</v>
      </c>
      <c r="D90" s="120">
        <f ca="1">SUMIFS(tb_rec_uni[2028-04-01],
INDIRECT("tb_rec_uni[natureza]"),"repasse.cef.obra",
INDIRECT("tb_rec_uni[empresa]"),D$6)</f>
        <v>0</v>
      </c>
      <c r="E90" s="120">
        <f ca="1">SUMIFS(tb_rec_uni[2028-04-01],
INDIRECT("tb_rec_uni[natureza]"),"repasse.cef.terreno",
INDIRECT("tb_rec_uni[empresa]"),E$6)</f>
        <v>0</v>
      </c>
      <c r="F90" s="124"/>
      <c r="G90" s="120">
        <f ca="1">SUMIFS(tb_rec_uni[2028-04-01],
INDIRECT("tb_rec_uni[natureza]"),"taxa.extra",
INDIRECT("tb_rec_uni[empresa]"),G$6)</f>
        <v>0</v>
      </c>
      <c r="H90" s="108"/>
      <c r="I90" s="108">
        <f ca="1">SUMIFS(
  m.vb[valor],
  m.vb[nucleo],$B$1,
  m.vb[variavel],I$7,
  m.vb[mes],$A90
)</f>
        <v>0</v>
      </c>
      <c r="J90" s="108">
        <f ca="1">SUMIFS(
  m.vb[valor],
  m.vb[nucleo],$B$1,
  m.vb[variavel],J$7,
  m.vb[mes],$A90
)</f>
        <v>0</v>
      </c>
      <c r="K90" s="108">
        <f ca="1">SUMIFS(
  m.vb[valor],
  m.vb[nucleo],$B$1,
  m.vb[variavel],K$7,
  m.vb[mes],$A90
)</f>
        <v>0</v>
      </c>
      <c r="L90" s="108">
        <f ca="1">SUMIFS(
  m.vb[valor],
  m.vb[nucleo],$B$1,
  m.vb[variavel],L$7,
  m.vb[mes],$A90
)</f>
        <v>0</v>
      </c>
      <c r="M90" s="108">
        <f ca="1">SUMIFS(
  m.vb[valor],
  m.vb[nucleo],$B$1,
  m.vb[variavel],M$7,
  m.vb[mes],$A90
)</f>
        <v>0</v>
      </c>
      <c r="N90" s="119">
        <f>COUNTIFS(
    tb_estq[empresa], N$6,
    tb_estq[Data da venda / reserva], "&gt;=" &amp; $A90,
    tb_estq[Data da venda / reserva], "&lt;"  &amp; EOMONTH($A90,0) + 1
)</f>
        <v>0</v>
      </c>
      <c r="O90" s="120">
        <f ca="1">SUMIFS(tb_rec_uni[2028-04-01],
INDIRECT("tb_rec_uni[natureza]"),"pro.soluto",
INDIRECT("tb_rec_uni[empresa]"),O$6)</f>
        <v>0</v>
      </c>
      <c r="P90" s="120">
        <f ca="1">SUMIFS(tb_rec_uni[2028-04-01],
INDIRECT("tb_rec_uni[natureza]"),"repasse.cef.obra",
INDIRECT("tb_rec_uni[empresa]"),P$6)</f>
        <v>0</v>
      </c>
      <c r="Q90" s="120">
        <f ca="1">SUMIFS(tb_rec_uni[2028-04-01],
INDIRECT("tb_rec_uni[natureza]"),"repasse.cef.terreno",
INDIRECT("tb_rec_uni[empresa]"),Q$6)</f>
        <v>0</v>
      </c>
      <c r="R90" s="124"/>
      <c r="S90" s="120">
        <f ca="1">SUMIFS(tb_rec_uni[2028-04-01],
INDIRECT("tb_rec_uni[natureza]"),"taxa.extra",
INDIRECT("tb_rec_uni[empresa]"),S$6)</f>
        <v>0</v>
      </c>
      <c r="T90" s="108"/>
      <c r="U90" s="108">
        <f ca="1">SUMIFS(
  m.vb[valor],
  m.vb[nucleo],$N$1,
  m.vb[variavel],U$7,
  m.vb[mes],$A90
)</f>
        <v>0</v>
      </c>
      <c r="V90" s="108">
        <f ca="1">SUMIFS(
  m.vb[valor],
  m.vb[nucleo],$N$1,
  m.vb[variavel],V$7,
  m.vb[mes],$A90
)</f>
        <v>0</v>
      </c>
      <c r="W90" s="108">
        <f ca="1">SUMIFS(
  m.vb[valor],
  m.vb[nucleo],$N$1,
  m.vb[variavel],W$7,
  m.vb[mes],$A90
)</f>
        <v>0</v>
      </c>
      <c r="X90" s="108">
        <f ca="1">SUMIFS(
  m.vb[valor],
  m.vb[nucleo],$N$1,
  m.vb[variavel],X$7,
  m.vb[mes],$A90
)</f>
        <v>0</v>
      </c>
      <c r="Y90" s="108">
        <f ca="1">SUMIFS(
  m.vb[valor],
  m.vb[nucleo],$N$1,
  m.vb[variavel],Y$7,
  m.vb[mes],$A90
)</f>
        <v>0</v>
      </c>
      <c r="Z90" s="119">
        <f>COUNTIFS(
    tb_estq[empresa], Z$6,
    tb_estq[Data da venda / reserva], "&gt;=" &amp; $A90,
    tb_estq[Data da venda / reserva], "&lt;"  &amp; EOMONTH($A90,0) + 1
)</f>
        <v>0</v>
      </c>
      <c r="AA90" s="120">
        <f ca="1">SUMIFS(tb_rec_uni[2028-04-01],
INDIRECT("tb_rec_uni[natureza]"),"pro.soluto",
INDIRECT("tb_rec_uni[empresa]"),AA$6)</f>
        <v>0</v>
      </c>
      <c r="AB90" s="124">
        <f ca="1">SUMIFS(tb_rec_uni[2028-04-01],
INDIRECT("tb_rec_uni[natureza]"),"parcela.fin.total.ik",
INDIRECT("tb_rec_uni[empresa]"),AB$6)</f>
        <v>0</v>
      </c>
      <c r="AC90" s="120">
        <f ca="1">SUMIFS(tb_rec_uni[2028-04-01],
INDIRECT("tb_rec_uni[natureza]"),"taxa.extra",
INDIRECT("tb_rec_uni[empresa]"),AC$6)</f>
        <v>0</v>
      </c>
      <c r="AD90" s="108"/>
      <c r="AE90" s="108">
        <f ca="1">SUMIFS(
  m.vb[valor],
  m.vb[nucleo],$Z$1,
  m.vb[variavel],AE$7,
  m.vb[mes],$A90
)</f>
        <v>0</v>
      </c>
      <c r="AF90" s="108">
        <f ca="1">SUMIFS(
  m.vb[valor],
  m.vb[nucleo],$Z$1,
  m.vb[variavel],AF$7,
  m.vb[mes],$A90
)</f>
        <v>0</v>
      </c>
      <c r="AG90" s="108">
        <f ca="1">SUMIFS(
  m.vb[valor],
  m.vb[nucleo],$Z$1,
  m.vb[variavel],AG$7,
  m.vb[mes],$A90
)</f>
        <v>0</v>
      </c>
      <c r="AH90" s="108">
        <f ca="1">SUMIFS(
  m.vb[valor],
  m.vb[nucleo],$Z$1,
  m.vb[variavel],AH$7,
  m.vb[mes],$A90
)</f>
        <v>0</v>
      </c>
      <c r="AI90" s="108">
        <f ca="1">SUMIFS(
  m.vb[valor],
  m.vb[nucleo],$Z$1,
  m.vb[variavel],AI$7,
  m.vb[mes],$A90
)</f>
        <v>0</v>
      </c>
      <c r="AJ90" s="119">
        <f>COUNTIFS(
    tb_estq[empresa], AJ$6,
    tb_estq[Data da venda / reserva], "&gt;=" &amp; $A90,
    tb_estq[Data da venda / reserva], "&lt;"  &amp; EOMONTH($A90,0) + 1
)</f>
        <v>0</v>
      </c>
      <c r="AK90" s="120">
        <f ca="1">SUMIFS(tb_rec_uni[2028-04-01],
INDIRECT("tb_rec_uni[natureza]"),"pro.soluto",
INDIRECT("tb_rec_uni[empresa]"),AK$6)</f>
        <v>0</v>
      </c>
      <c r="AL90" s="120">
        <f ca="1">SUMIFS(tb_rec_uni[2028-04-01],
INDIRECT("tb_rec_uni[natureza]"),"repasse.cef.obra",
INDIRECT("tb_rec_uni[empresa]"),AL$6)</f>
        <v>0</v>
      </c>
      <c r="AM90" s="123">
        <f ca="1">SUMIFS(tb_rec_uni[2028-04-01],
INDIRECT("tb_rec_uni[natureza]"),"repasse.cef.terreno",
INDIRECT("tb_rec_uni[empresa]"),AM$6)</f>
        <v>0</v>
      </c>
      <c r="AN90" s="124"/>
      <c r="AO90" s="120">
        <f ca="1">SUMIFS(tb_rec_uni[2028-04-01],
INDIRECT("tb_rec_uni[natureza]"),"taxa.extra",
INDIRECT("tb_rec_uni[empresa]"),AO$6)</f>
        <v>0</v>
      </c>
      <c r="AP90" s="108"/>
      <c r="AQ90" s="108">
        <f ca="1">SUMIFS(
  m.vb[valor],
  m.vb[nucleo],$AJ$1,
  m.vb[variavel],AQ$7,
  m.vb[mes],$A90
)</f>
        <v>0</v>
      </c>
      <c r="AR90" s="108">
        <f ca="1">SUMIFS(
  m.vb[valor],
  m.vb[nucleo],$AJ$1,
  m.vb[variavel],AR$7,
  m.vb[mes],$A90
)</f>
        <v>0</v>
      </c>
      <c r="AS90" s="108">
        <f ca="1">SUMIFS(
  m.vb[valor],
  m.vb[nucleo],$AJ$1,
  m.vb[variavel],AS$7,
  m.vb[mes],$A90
)</f>
        <v>0</v>
      </c>
      <c r="AT90" s="108">
        <f ca="1">SUMIFS(
  m.vb[valor],
  m.vb[nucleo],$AJ$1,
  m.vb[variavel],AT$7,
  m.vb[mes],$A90
)</f>
        <v>0</v>
      </c>
      <c r="AU90" s="108">
        <f ca="1">SUMIFS(
  m.vb[valor],
  m.vb[nucleo],$AJ$1,
  m.vb[variavel],AU$7,
  m.vb[mes],$A90
)</f>
        <v>0</v>
      </c>
      <c r="AV90" s="119">
        <f>COUNTIFS(
    tb_estq[empresa], AV$6,
    tb_estq[Data da venda / reserva], "&gt;=" &amp; $A90,
    tb_estq[Data da venda / reserva], "&lt;"  &amp; EOMONTH($A90,0) + 1
)</f>
        <v>0</v>
      </c>
      <c r="AW90" s="120">
        <f ca="1">SUMIFS(tb_rec_uni[2028-04-01],
INDIRECT("tb_rec_uni[natureza]"),"pro.soluto",
INDIRECT("tb_rec_uni[empresa]"),AW$6)</f>
        <v>0</v>
      </c>
      <c r="AX90" s="120">
        <f ca="1">SUMIFS(tb_rec_uni[2028-04-01],
INDIRECT("tb_rec_uni[natureza]"),"repasse.cef.obra",
INDIRECT("tb_rec_uni[empresa]"),AX$6)</f>
        <v>0</v>
      </c>
      <c r="AY90" s="123">
        <f ca="1">SUMIFS(tb_rec_uni[2028-04-01],
INDIRECT("tb_rec_uni[natureza]"),"repasse.cef.terreno",
INDIRECT("tb_rec_uni[empresa]"),AY$6)</f>
        <v>0</v>
      </c>
      <c r="AZ90" s="124"/>
      <c r="BA90" s="120">
        <f ca="1">SUMIFS(tb_rec_uni[2028-04-01],
INDIRECT("tb_rec_uni[natureza]"),"taxa.extra",
INDIRECT("tb_rec_uni[empresa]"),BA$6)</f>
        <v>0</v>
      </c>
      <c r="BB90" s="108"/>
      <c r="BC90" s="108">
        <f ca="1">SUMIFS(
  m.vb[valor],
  m.vb[nucleo],$AV$1,
  m.vb[variavel],BC$7,
  m.vb[mes],$A90
)</f>
        <v>0</v>
      </c>
      <c r="BD90" s="108">
        <f ca="1">SUMIFS(
  m.vb[valor],
  m.vb[nucleo],$AV$1,
  m.vb[variavel],BD$7,
  m.vb[mes],$A90
)</f>
        <v>0</v>
      </c>
      <c r="BE90" s="108">
        <f ca="1">SUMIFS(
  m.vb[valor],
  m.vb[nucleo],$AV$1,
  m.vb[variavel],BE$7,
  m.vb[mes],$A90
)</f>
        <v>0</v>
      </c>
      <c r="BF90" s="108">
        <f ca="1">SUMIFS(
  m.vb[valor],
  m.vb[nucleo],$AV$1,
  m.vb[variavel],BF$7,
  m.vb[mes],$A90
)</f>
        <v>0</v>
      </c>
      <c r="BG90" s="108">
        <f ca="1">SUMIFS(
  m.vb[valor],
  m.vb[nucleo],$AV$1,
  m.vb[variavel],BG$7,
  m.vb[mes],$A90
)</f>
        <v>0</v>
      </c>
      <c r="BH90" s="119">
        <f>COUNTIFS(
    tb_estq[empresa], BH$6,
    tb_estq[Data da venda / reserva], "&gt;=" &amp; $A90,
    tb_estq[Data da venda / reserva], "&lt;"  &amp; EOMONTH($A90,0) + 1
)</f>
        <v>0</v>
      </c>
      <c r="BI90" s="120">
        <f ca="1">SUMIFS(tb_rec_uni[2028-04-01],
INDIRECT("tb_rec_uni[natureza]"),"pro.soluto",
INDIRECT("tb_rec_uni[empresa]"),BI$6)</f>
        <v>0</v>
      </c>
      <c r="BJ90" s="124"/>
      <c r="BK90" s="120">
        <f ca="1">SUMIFS(tb_rec_uni[2028-04-01],
INDIRECT("tb_rec_uni[natureza]"),"taxa.extra",
INDIRECT("tb_rec_uni[empresa]"),BK$6)</f>
        <v>0</v>
      </c>
      <c r="BL90" s="108"/>
      <c r="BM90" s="108">
        <f ca="1">SUMIFS(
  m.vb[valor],
  m.vb[nucleo],$BH$1,
  m.vb[variavel],BM$7,
  m.vb[mes],$A90
)</f>
        <v>0</v>
      </c>
      <c r="BN90" s="108">
        <f ca="1">SUMIFS(
  m.vb[valor],
  m.vb[nucleo],$BH$1,
  m.vb[variavel],BN$7,
  m.vb[mes],$A90
)</f>
        <v>0</v>
      </c>
      <c r="BO90" s="108">
        <f ca="1">SUMIFS(
  m.vb[valor],
  m.vb[nucleo],$BH$1,
  m.vb[variavel],BO$7,
  m.vb[mes],$A90
)</f>
        <v>0</v>
      </c>
      <c r="BP90" s="108">
        <f ca="1">SUMIFS(
  m.vb[valor],
  m.vb[nucleo],$BH$1,
  m.vb[variavel],BP$7,
  m.vb[mes],$A90
)</f>
        <v>0</v>
      </c>
      <c r="BQ90" s="108">
        <f ca="1">SUMIFS(
  m.vb[valor],
  m.vb[nucleo],$BH$1,
  m.vb[variavel],BQ$7,
  m.vb[mes],$A90
)</f>
        <v>0</v>
      </c>
      <c r="BR90" s="119">
        <f>COUNTIFS(
    tb_estq[empresa], BR$6,
    tb_estq[Data da venda / reserva], "&gt;=" &amp; $A90,
    tb_estq[Data da venda / reserva], "&lt;"  &amp; EOMONTH($A90,0) + 1
)</f>
        <v>0</v>
      </c>
      <c r="BS90" s="120">
        <f ca="1">SUMIFS(tb_rec_uni[2028-04-01],
INDIRECT("tb_rec_uni[natureza]"),"pro.soluto",
INDIRECT("tb_rec_uni[empresa]"),BS$6)</f>
        <v>0</v>
      </c>
      <c r="BT90" s="124">
        <f ca="1">SUMIFS(tb_rec_uni[2028-04-01],
INDIRECT("tb_rec_uni[natureza]"),"parcela.fin.total.ik",
INDIRECT("tb_rec_uni[empresa]"),BT$6)</f>
        <v>0</v>
      </c>
      <c r="BU90" s="120">
        <f ca="1">SUMIFS(tb_rec_uni[2028-04-01],
INDIRECT("tb_rec_uni[natureza]"),"taxa.extra",
INDIRECT("tb_rec_uni[empresa]"),BU$6)</f>
        <v>0</v>
      </c>
      <c r="BV90" s="108"/>
      <c r="BW90" s="108">
        <f ca="1">SUMIFS(
  m.vb[valor],
  m.vb[nucleo],$BR$1,
  m.vb[variavel],BW$7,
  m.vb[mes],$A90
)</f>
        <v>0</v>
      </c>
      <c r="BX90" s="108">
        <f ca="1">SUMIFS(
  m.vb[valor],
  m.vb[nucleo],$BR$1,
  m.vb[variavel],BX$7,
  m.vb[mes],$A90
)</f>
        <v>0</v>
      </c>
      <c r="BY90" s="108">
        <f ca="1">SUMIFS(
  m.vb[valor],
  m.vb[nucleo],$BR$1,
  m.vb[variavel],BY$7,
  m.vb[mes],$A90
)</f>
        <v>0</v>
      </c>
      <c r="BZ90" s="108">
        <f ca="1">SUMIFS(
  m.vb[valor],
  m.vb[nucleo],$BR$1,
  m.vb[variavel],BZ$7,
  m.vb[mes],$A90
)</f>
        <v>0</v>
      </c>
      <c r="CA90" s="108">
        <f ca="1">SUMIFS(
  m.vb[valor],
  m.vb[nucleo],$BR$1,
  m.vb[variavel],CA$7,
  m.vb[mes],$A90
)</f>
        <v>0</v>
      </c>
      <c r="CB90" s="119">
        <f>COUNTIFS(
    tb_estq[empresa], CB$6,
    tb_estq[Data da venda / reserva], "&gt;=" &amp; $A90,
    tb_estq[Data da venda / reserva], "&lt;"  &amp; EOMONTH($A90,0) + 1
)</f>
        <v>0</v>
      </c>
      <c r="CC90" s="120">
        <f ca="1">SUMIFS(tb_rec_uni[2028-04-01],
INDIRECT("tb_rec_uni[natureza]"),"pro.soluto",
INDIRECT("tb_rec_uni[empresa]"),CC$6)</f>
        <v>0</v>
      </c>
      <c r="CD90" s="120">
        <f ca="1">SUMIFS(tb_rec_uni[2028-04-01],
INDIRECT("tb_rec_uni[natureza]"),"repasse.cef.obra",
INDIRECT("tb_rec_uni[empresa]"),CD$6)</f>
        <v>0</v>
      </c>
      <c r="CE90" s="123">
        <f ca="1">SUMIFS(tb_rec_uni[2028-04-01],
INDIRECT("tb_rec_uni[natureza]"),"repasse.cef.terreno",
INDIRECT("tb_rec_uni[empresa]"),CE$6)</f>
        <v>0</v>
      </c>
      <c r="CF90" s="124"/>
      <c r="CG90" s="120">
        <f ca="1">SUMIFS(tb_rec_uni[2028-04-01],
INDIRECT("tb_rec_uni[natureza]"),"taxa.extra",
INDIRECT("tb_rec_uni[empresa]"),CG$6)</f>
        <v>0</v>
      </c>
      <c r="CH90" s="108"/>
      <c r="CI90" s="108">
        <f ca="1">SUMIFS(
  m.vb[valor],
  m.vb[nucleo],$CB$1,
  m.vb[variavel],CI$7,
  m.vb[mes],$A90
)</f>
        <v>0</v>
      </c>
      <c r="CJ90" s="108">
        <f ca="1">SUMIFS(
  m.vb[valor],
  m.vb[nucleo],$CB$1,
  m.vb[variavel],CJ$7,
  m.vb[mes],$A90
)</f>
        <v>0</v>
      </c>
      <c r="CK90" s="108">
        <f ca="1">SUMIFS(
  m.vb[valor],
  m.vb[nucleo],$CB$1,
  m.vb[variavel],CK$7,
  m.vb[mes],$A90
)</f>
        <v>0</v>
      </c>
      <c r="CL90" s="108">
        <f ca="1">SUMIFS(
  m.vb[valor],
  m.vb[nucleo],$CB$1,
  m.vb[variavel],CL$7,
  m.vb[mes],$A90
)</f>
        <v>0</v>
      </c>
      <c r="CM90" s="108">
        <f ca="1">SUMIFS(
  m.vb[valor],
  m.vb[nucleo],$CB$1,
  m.vb[variavel],CM$7,
  m.vb[mes],$A90
)</f>
        <v>0</v>
      </c>
      <c r="CN90" s="119">
        <f>COUNTIFS(
    tb_estq[empresa], CN$6,
    tb_estq[Data da venda / reserva], "&gt;=" &amp; $A90,
    tb_estq[Data da venda / reserva], "&lt;"  &amp; EOMONTH($A90,0) + 1
)</f>
        <v>0</v>
      </c>
      <c r="CO90" s="120">
        <f ca="1">SUMIFS(tb_rec_uni[2028-04-01],
INDIRECT("tb_rec_uni[natureza]"),"pro.soluto",
INDIRECT("tb_rec_uni[empresa]"),CO$6)</f>
        <v>0</v>
      </c>
      <c r="CP90" s="120">
        <f ca="1">SUMIFS(tb_rec_uni[2028-04-01],
INDIRECT("tb_rec_uni[natureza]"),"repasse.cef.obra",
INDIRECT("tb_rec_uni[empresa]"),CP$6)</f>
        <v>0</v>
      </c>
      <c r="CQ90" s="123">
        <f ca="1">SUMIFS(tb_rec_uni[2028-04-01],
INDIRECT("tb_rec_uni[natureza]"),"repasse.cef.terreno",
INDIRECT("tb_rec_uni[empresa]"),CQ$6)</f>
        <v>0</v>
      </c>
      <c r="CR90" s="124"/>
      <c r="CS90" s="120">
        <f ca="1">SUMIFS(tb_rec_uni[2028-04-01],
INDIRECT("tb_rec_uni[natureza]"),"taxa.extra",
INDIRECT("tb_rec_uni[empresa]"),CS$6)</f>
        <v>0</v>
      </c>
      <c r="CT90" s="108"/>
      <c r="CU90" s="108">
        <f ca="1">SUMIFS(
  m.vb[valor],
  m.vb[nucleo],$CN$1,
  m.vb[variavel],CU$7,
  m.vb[mes],$A90
)</f>
        <v>0</v>
      </c>
      <c r="CV90" s="108" cm="1">
        <f t="array" ref="CV90">SUMPRODUCT(
  IFERROR(--tb_desp[valor],0)*
  (tb_desp[nucleo]="UP MOVE VILA SONIA")*
  (tb_desp[categoria]=CV$7)*
  (tb_desp[data.pagamento]&gt;=$A90)*
  (tb_desp[data.pagamento]&lt;EOMONTH($A90,0)+1)
)</f>
        <v>0</v>
      </c>
      <c r="CW90" s="108" cm="1">
        <f t="array" ref="CW90">SUMPRODUCT(
  IFERROR(--tb_desp[valor],0)*
  (tb_desp[nucleo]="UP MOVE VILA SONIA")*
  (tb_desp[categoria]=CW$7)*
  (tb_desp[data.pagamento]&gt;=$A90)*
  (tb_desp[data.pagamento]&lt;EOMONTH($A90,0)+1)
)</f>
        <v>0</v>
      </c>
      <c r="CX90" s="108" cm="1">
        <f t="array" ref="CX90">SUMPRODUCT(
  IFERROR(--tb_desp[valor],0)*
  (tb_desp[nucleo]="UP MOVE VILA SONIA")*
  (tb_desp[categoria]=CX$7)*
  (tb_desp[data.pagamento]&gt;=$A90)*
  (tb_desp[data.pagamento]&lt;EOMONTH($A90,0)+1)
)</f>
        <v>0</v>
      </c>
      <c r="CY90" s="221" cm="1">
        <f t="array" ref="CY90">SUMPRODUCT(
  IFERROR(--tb_desp[valor],0)*
  (tb_desp[nucleo]="UP MOVE VILA SONIA")*
  (tb_desp[categoria]=CY$7)*
  (tb_desp[data.pagamento]&gt;=$A90)*
  (tb_desp[data.pagamento]&lt;EOMONTH($A90,0)+1)
)</f>
        <v>0</v>
      </c>
    </row>
    <row r="91" spans="1:103" x14ac:dyDescent="0.25">
      <c r="A91" s="118">
        <v>46874</v>
      </c>
      <c r="B91" s="119">
        <f>COUNTIFS(
    tb_estq[empresa], B$6,
    tb_estq[Data da venda / reserva], "&gt;=" &amp; $A91,
    tb_estq[Data da venda / reserva], "&lt;"  &amp; EOMONTH($A91,0) + 1
)</f>
        <v>0</v>
      </c>
      <c r="C91" s="120">
        <f ca="1">SUMIFS(tb_rec_uni[2028-05-01],
INDIRECT("tb_rec_uni[natureza]"),"pro.soluto",
INDIRECT("tb_rec_uni[empresa]"),C$6)</f>
        <v>0</v>
      </c>
      <c r="D91" s="120">
        <f ca="1">SUMIFS(tb_rec_uni[2028-05-01],
INDIRECT("tb_rec_uni[natureza]"),"repasse.cef.obra",
INDIRECT("tb_rec_uni[empresa]"),D$6)</f>
        <v>0</v>
      </c>
      <c r="E91" s="120">
        <f ca="1">SUMIFS(tb_rec_uni[2028-05-01],
INDIRECT("tb_rec_uni[natureza]"),"repasse.cef.terreno",
INDIRECT("tb_rec_uni[empresa]"),E$6)</f>
        <v>0</v>
      </c>
      <c r="F91" s="124"/>
      <c r="G91" s="120">
        <f ca="1">SUMIFS(tb_rec_uni[2028-05-01],
INDIRECT("tb_rec_uni[natureza]"),"taxa.extra",
INDIRECT("tb_rec_uni[empresa]"),G$6)</f>
        <v>0</v>
      </c>
      <c r="H91" s="108"/>
      <c r="I91" s="108">
        <f ca="1">SUMIFS(
  m.vb[valor],
  m.vb[nucleo],$B$1,
  m.vb[variavel],I$7,
  m.vb[mes],$A91
)</f>
        <v>0</v>
      </c>
      <c r="J91" s="108">
        <f ca="1">SUMIFS(
  m.vb[valor],
  m.vb[nucleo],$B$1,
  m.vb[variavel],J$7,
  m.vb[mes],$A91
)</f>
        <v>0</v>
      </c>
      <c r="K91" s="108">
        <f ca="1">SUMIFS(
  m.vb[valor],
  m.vb[nucleo],$B$1,
  m.vb[variavel],K$7,
  m.vb[mes],$A91
)</f>
        <v>0</v>
      </c>
      <c r="L91" s="108">
        <f ca="1">SUMIFS(
  m.vb[valor],
  m.vb[nucleo],$B$1,
  m.vb[variavel],L$7,
  m.vb[mes],$A91
)</f>
        <v>0</v>
      </c>
      <c r="M91" s="108">
        <f ca="1">SUMIFS(
  m.vb[valor],
  m.vb[nucleo],$B$1,
  m.vb[variavel],M$7,
  m.vb[mes],$A91
)</f>
        <v>0</v>
      </c>
      <c r="N91" s="119">
        <f>COUNTIFS(
    tb_estq[empresa], N$6,
    tb_estq[Data da venda / reserva], "&gt;=" &amp; $A91,
    tb_estq[Data da venda / reserva], "&lt;"  &amp; EOMONTH($A91,0) + 1
)</f>
        <v>0</v>
      </c>
      <c r="O91" s="120">
        <f ca="1">SUMIFS(tb_rec_uni[2028-05-01],
INDIRECT("tb_rec_uni[natureza]"),"pro.soluto",
INDIRECT("tb_rec_uni[empresa]"),O$6)</f>
        <v>0</v>
      </c>
      <c r="P91" s="120">
        <f ca="1">SUMIFS(tb_rec_uni[2028-05-01],
INDIRECT("tb_rec_uni[natureza]"),"repasse.cef.obra",
INDIRECT("tb_rec_uni[empresa]"),P$6)</f>
        <v>0</v>
      </c>
      <c r="Q91" s="120">
        <f ca="1">SUMIFS(tb_rec_uni[2028-05-01],
INDIRECT("tb_rec_uni[natureza]"),"repasse.cef.terreno",
INDIRECT("tb_rec_uni[empresa]"),Q$6)</f>
        <v>0</v>
      </c>
      <c r="R91" s="124"/>
      <c r="S91" s="120">
        <f ca="1">SUMIFS(tb_rec_uni[2028-05-01],
INDIRECT("tb_rec_uni[natureza]"),"taxa.extra",
INDIRECT("tb_rec_uni[empresa]"),S$6)</f>
        <v>0</v>
      </c>
      <c r="T91" s="108"/>
      <c r="U91" s="108">
        <f ca="1">SUMIFS(
  m.vb[valor],
  m.vb[nucleo],$N$1,
  m.vb[variavel],U$7,
  m.vb[mes],$A91
)</f>
        <v>0</v>
      </c>
      <c r="V91" s="108">
        <f ca="1">SUMIFS(
  m.vb[valor],
  m.vb[nucleo],$N$1,
  m.vb[variavel],V$7,
  m.vb[mes],$A91
)</f>
        <v>0</v>
      </c>
      <c r="W91" s="108">
        <f ca="1">SUMIFS(
  m.vb[valor],
  m.vb[nucleo],$N$1,
  m.vb[variavel],W$7,
  m.vb[mes],$A91
)</f>
        <v>0</v>
      </c>
      <c r="X91" s="108">
        <f ca="1">SUMIFS(
  m.vb[valor],
  m.vb[nucleo],$N$1,
  m.vb[variavel],X$7,
  m.vb[mes],$A91
)</f>
        <v>0</v>
      </c>
      <c r="Y91" s="108">
        <f ca="1">SUMIFS(
  m.vb[valor],
  m.vb[nucleo],$N$1,
  m.vb[variavel],Y$7,
  m.vb[mes],$A91
)</f>
        <v>0</v>
      </c>
      <c r="Z91" s="119">
        <f>COUNTIFS(
    tb_estq[empresa], Z$6,
    tb_estq[Data da venda / reserva], "&gt;=" &amp; $A91,
    tb_estq[Data da venda / reserva], "&lt;"  &amp; EOMONTH($A91,0) + 1
)</f>
        <v>0</v>
      </c>
      <c r="AA91" s="120">
        <f ca="1">SUMIFS(tb_rec_uni[2028-05-01],
INDIRECT("tb_rec_uni[natureza]"),"pro.soluto",
INDIRECT("tb_rec_uni[empresa]"),AA$6)</f>
        <v>0</v>
      </c>
      <c r="AB91" s="124">
        <f ca="1">SUMIFS(tb_rec_uni[2028-05-01],
INDIRECT("tb_rec_uni[natureza]"),"parcela.fin.total.ik",
INDIRECT("tb_rec_uni[empresa]"),AB$6)</f>
        <v>0</v>
      </c>
      <c r="AC91" s="120">
        <f ca="1">SUMIFS(tb_rec_uni[2028-05-01],
INDIRECT("tb_rec_uni[natureza]"),"taxa.extra",
INDIRECT("tb_rec_uni[empresa]"),AC$6)</f>
        <v>0</v>
      </c>
      <c r="AD91" s="108"/>
      <c r="AE91" s="108">
        <f ca="1">SUMIFS(
  m.vb[valor],
  m.vb[nucleo],$Z$1,
  m.vb[variavel],AE$7,
  m.vb[mes],$A91
)</f>
        <v>0</v>
      </c>
      <c r="AF91" s="108">
        <f ca="1">SUMIFS(
  m.vb[valor],
  m.vb[nucleo],$Z$1,
  m.vb[variavel],AF$7,
  m.vb[mes],$A91
)</f>
        <v>0</v>
      </c>
      <c r="AG91" s="108">
        <f ca="1">SUMIFS(
  m.vb[valor],
  m.vb[nucleo],$Z$1,
  m.vb[variavel],AG$7,
  m.vb[mes],$A91
)</f>
        <v>0</v>
      </c>
      <c r="AH91" s="108">
        <f ca="1">SUMIFS(
  m.vb[valor],
  m.vb[nucleo],$Z$1,
  m.vb[variavel],AH$7,
  m.vb[mes],$A91
)</f>
        <v>0</v>
      </c>
      <c r="AI91" s="108">
        <f ca="1">SUMIFS(
  m.vb[valor],
  m.vb[nucleo],$Z$1,
  m.vb[variavel],AI$7,
  m.vb[mes],$A91
)</f>
        <v>0</v>
      </c>
      <c r="AJ91" s="119">
        <f>COUNTIFS(
    tb_estq[empresa], AJ$6,
    tb_estq[Data da venda / reserva], "&gt;=" &amp; $A91,
    tb_estq[Data da venda / reserva], "&lt;"  &amp; EOMONTH($A91,0) + 1
)</f>
        <v>0</v>
      </c>
      <c r="AK91" s="120">
        <f ca="1">SUMIFS(tb_rec_uni[2028-05-01],
INDIRECT("tb_rec_uni[natureza]"),"pro.soluto",
INDIRECT("tb_rec_uni[empresa]"),AK$6)</f>
        <v>0</v>
      </c>
      <c r="AL91" s="120">
        <f ca="1">SUMIFS(tb_rec_uni[2028-05-01],
INDIRECT("tb_rec_uni[natureza]"),"repasse.cef.obra",
INDIRECT("tb_rec_uni[empresa]"),AL$6)</f>
        <v>0</v>
      </c>
      <c r="AM91" s="123">
        <f ca="1">SUMIFS(tb_rec_uni[2028-05-01],
INDIRECT("tb_rec_uni[natureza]"),"repasse.cef.terreno",
INDIRECT("tb_rec_uni[empresa]"),AM$6)</f>
        <v>0</v>
      </c>
      <c r="AN91" s="124"/>
      <c r="AO91" s="120">
        <f ca="1">SUMIFS(tb_rec_uni[2028-05-01],
INDIRECT("tb_rec_uni[natureza]"),"taxa.extra",
INDIRECT("tb_rec_uni[empresa]"),AO$6)</f>
        <v>0</v>
      </c>
      <c r="AP91" s="108"/>
      <c r="AQ91" s="108">
        <f ca="1">SUMIFS(
  m.vb[valor],
  m.vb[nucleo],$AJ$1,
  m.vb[variavel],AQ$7,
  m.vb[mes],$A91
)</f>
        <v>0</v>
      </c>
      <c r="AR91" s="108">
        <f ca="1">SUMIFS(
  m.vb[valor],
  m.vb[nucleo],$AJ$1,
  m.vb[variavel],AR$7,
  m.vb[mes],$A91
)</f>
        <v>0</v>
      </c>
      <c r="AS91" s="108">
        <f ca="1">SUMIFS(
  m.vb[valor],
  m.vb[nucleo],$AJ$1,
  m.vb[variavel],AS$7,
  m.vb[mes],$A91
)</f>
        <v>0</v>
      </c>
      <c r="AT91" s="108">
        <f ca="1">SUMIFS(
  m.vb[valor],
  m.vb[nucleo],$AJ$1,
  m.vb[variavel],AT$7,
  m.vb[mes],$A91
)</f>
        <v>0</v>
      </c>
      <c r="AU91" s="108">
        <f ca="1">SUMIFS(
  m.vb[valor],
  m.vb[nucleo],$AJ$1,
  m.vb[variavel],AU$7,
  m.vb[mes],$A91
)</f>
        <v>0</v>
      </c>
      <c r="AV91" s="119">
        <f>COUNTIFS(
    tb_estq[empresa], AV$6,
    tb_estq[Data da venda / reserva], "&gt;=" &amp; $A91,
    tb_estq[Data da venda / reserva], "&lt;"  &amp; EOMONTH($A91,0) + 1
)</f>
        <v>0</v>
      </c>
      <c r="AW91" s="120">
        <f ca="1">SUMIFS(tb_rec_uni[2028-05-01],
INDIRECT("tb_rec_uni[natureza]"),"pro.soluto",
INDIRECT("tb_rec_uni[empresa]"),AW$6)</f>
        <v>0</v>
      </c>
      <c r="AX91" s="120">
        <f ca="1">SUMIFS(tb_rec_uni[2028-05-01],
INDIRECT("tb_rec_uni[natureza]"),"repasse.cef.obra",
INDIRECT("tb_rec_uni[empresa]"),AX$6)</f>
        <v>0</v>
      </c>
      <c r="AY91" s="123">
        <f ca="1">SUMIFS(tb_rec_uni[2028-05-01],
INDIRECT("tb_rec_uni[natureza]"),"repasse.cef.terreno",
INDIRECT("tb_rec_uni[empresa]"),AY$6)</f>
        <v>0</v>
      </c>
      <c r="AZ91" s="124"/>
      <c r="BA91" s="120">
        <f ca="1">SUMIFS(tb_rec_uni[2028-05-01],
INDIRECT("tb_rec_uni[natureza]"),"taxa.extra",
INDIRECT("tb_rec_uni[empresa]"),BA$6)</f>
        <v>0</v>
      </c>
      <c r="BB91" s="108"/>
      <c r="BC91" s="108">
        <f ca="1">SUMIFS(
  m.vb[valor],
  m.vb[nucleo],$AV$1,
  m.vb[variavel],BC$7,
  m.vb[mes],$A91
)</f>
        <v>0</v>
      </c>
      <c r="BD91" s="108">
        <f ca="1">SUMIFS(
  m.vb[valor],
  m.vb[nucleo],$AV$1,
  m.vb[variavel],BD$7,
  m.vb[mes],$A91
)</f>
        <v>0</v>
      </c>
      <c r="BE91" s="108">
        <f ca="1">SUMIFS(
  m.vb[valor],
  m.vb[nucleo],$AV$1,
  m.vb[variavel],BE$7,
  m.vb[mes],$A91
)</f>
        <v>0</v>
      </c>
      <c r="BF91" s="108">
        <f ca="1">SUMIFS(
  m.vb[valor],
  m.vb[nucleo],$AV$1,
  m.vb[variavel],BF$7,
  m.vb[mes],$A91
)</f>
        <v>0</v>
      </c>
      <c r="BG91" s="108">
        <f ca="1">SUMIFS(
  m.vb[valor],
  m.vb[nucleo],$AV$1,
  m.vb[variavel],BG$7,
  m.vb[mes],$A91
)</f>
        <v>0</v>
      </c>
      <c r="BH91" s="119">
        <f>COUNTIFS(
    tb_estq[empresa], BH$6,
    tb_estq[Data da venda / reserva], "&gt;=" &amp; $A91,
    tb_estq[Data da venda / reserva], "&lt;"  &amp; EOMONTH($A91,0) + 1
)</f>
        <v>0</v>
      </c>
      <c r="BI91" s="120">
        <f ca="1">SUMIFS(tb_rec_uni[2028-05-01],
INDIRECT("tb_rec_uni[natureza]"),"pro.soluto",
INDIRECT("tb_rec_uni[empresa]"),BI$6)</f>
        <v>0</v>
      </c>
      <c r="BJ91" s="124"/>
      <c r="BK91" s="120">
        <f ca="1">SUMIFS(tb_rec_uni[2028-05-01],
INDIRECT("tb_rec_uni[natureza]"),"taxa.extra",
INDIRECT("tb_rec_uni[empresa]"),BK$6)</f>
        <v>0</v>
      </c>
      <c r="BL91" s="108"/>
      <c r="BM91" s="108">
        <f ca="1">SUMIFS(
  m.vb[valor],
  m.vb[nucleo],$BH$1,
  m.vb[variavel],BM$7,
  m.vb[mes],$A91
)</f>
        <v>0</v>
      </c>
      <c r="BN91" s="108">
        <f ca="1">SUMIFS(
  m.vb[valor],
  m.vb[nucleo],$BH$1,
  m.vb[variavel],BN$7,
  m.vb[mes],$A91
)</f>
        <v>0</v>
      </c>
      <c r="BO91" s="108">
        <f ca="1">SUMIFS(
  m.vb[valor],
  m.vb[nucleo],$BH$1,
  m.vb[variavel],BO$7,
  m.vb[mes],$A91
)</f>
        <v>0</v>
      </c>
      <c r="BP91" s="108">
        <f ca="1">SUMIFS(
  m.vb[valor],
  m.vb[nucleo],$BH$1,
  m.vb[variavel],BP$7,
  m.vb[mes],$A91
)</f>
        <v>0</v>
      </c>
      <c r="BQ91" s="108">
        <f ca="1">SUMIFS(
  m.vb[valor],
  m.vb[nucleo],$BH$1,
  m.vb[variavel],BQ$7,
  m.vb[mes],$A91
)</f>
        <v>0</v>
      </c>
      <c r="BR91" s="119">
        <f>COUNTIFS(
    tb_estq[empresa], BR$6,
    tb_estq[Data da venda / reserva], "&gt;=" &amp; $A91,
    tb_estq[Data da venda / reserva], "&lt;"  &amp; EOMONTH($A91,0) + 1
)</f>
        <v>0</v>
      </c>
      <c r="BS91" s="120">
        <f ca="1">SUMIFS(tb_rec_uni[2028-05-01],
INDIRECT("tb_rec_uni[natureza]"),"pro.soluto",
INDIRECT("tb_rec_uni[empresa]"),BS$6)</f>
        <v>0</v>
      </c>
      <c r="BT91" s="124">
        <f ca="1">SUMIFS(tb_rec_uni[2028-05-01],
INDIRECT("tb_rec_uni[natureza]"),"parcela.fin.total.ik",
INDIRECT("tb_rec_uni[empresa]"),BT$6)</f>
        <v>0</v>
      </c>
      <c r="BU91" s="120">
        <f ca="1">SUMIFS(tb_rec_uni[2028-05-01],
INDIRECT("tb_rec_uni[natureza]"),"taxa.extra",
INDIRECT("tb_rec_uni[empresa]"),BU$6)</f>
        <v>0</v>
      </c>
      <c r="BV91" s="108"/>
      <c r="BW91" s="108">
        <f ca="1">SUMIFS(
  m.vb[valor],
  m.vb[nucleo],$BR$1,
  m.vb[variavel],BW$7,
  m.vb[mes],$A91
)</f>
        <v>0</v>
      </c>
      <c r="BX91" s="108">
        <f ca="1">SUMIFS(
  m.vb[valor],
  m.vb[nucleo],$BR$1,
  m.vb[variavel],BX$7,
  m.vb[mes],$A91
)</f>
        <v>0</v>
      </c>
      <c r="BY91" s="108">
        <f ca="1">SUMIFS(
  m.vb[valor],
  m.vb[nucleo],$BR$1,
  m.vb[variavel],BY$7,
  m.vb[mes],$A91
)</f>
        <v>0</v>
      </c>
      <c r="BZ91" s="108">
        <f ca="1">SUMIFS(
  m.vb[valor],
  m.vb[nucleo],$BR$1,
  m.vb[variavel],BZ$7,
  m.vb[mes],$A91
)</f>
        <v>0</v>
      </c>
      <c r="CA91" s="108">
        <f ca="1">SUMIFS(
  m.vb[valor],
  m.vb[nucleo],$BR$1,
  m.vb[variavel],CA$7,
  m.vb[mes],$A91
)</f>
        <v>0</v>
      </c>
      <c r="CB91" s="119">
        <f>COUNTIFS(
    tb_estq[empresa], CB$6,
    tb_estq[Data da venda / reserva], "&gt;=" &amp; $A91,
    tb_estq[Data da venda / reserva], "&lt;"  &amp; EOMONTH($A91,0) + 1
)</f>
        <v>0</v>
      </c>
      <c r="CC91" s="120">
        <f ca="1">SUMIFS(tb_rec_uni[2028-05-01],
INDIRECT("tb_rec_uni[natureza]"),"pro.soluto",
INDIRECT("tb_rec_uni[empresa]"),CC$6)</f>
        <v>0</v>
      </c>
      <c r="CD91" s="120">
        <f ca="1">SUMIFS(tb_rec_uni[2028-05-01],
INDIRECT("tb_rec_uni[natureza]"),"repasse.cef.obra",
INDIRECT("tb_rec_uni[empresa]"),CD$6)</f>
        <v>0</v>
      </c>
      <c r="CE91" s="123">
        <f ca="1">SUMIFS(tb_rec_uni[2028-05-01],
INDIRECT("tb_rec_uni[natureza]"),"repasse.cef.terreno",
INDIRECT("tb_rec_uni[empresa]"),CE$6)</f>
        <v>0</v>
      </c>
      <c r="CF91" s="124"/>
      <c r="CG91" s="120">
        <f ca="1">SUMIFS(tb_rec_uni[2028-05-01],
INDIRECT("tb_rec_uni[natureza]"),"taxa.extra",
INDIRECT("tb_rec_uni[empresa]"),CG$6)</f>
        <v>0</v>
      </c>
      <c r="CH91" s="108"/>
      <c r="CI91" s="108">
        <f ca="1">SUMIFS(
  m.vb[valor],
  m.vb[nucleo],$CB$1,
  m.vb[variavel],CI$7,
  m.vb[mes],$A91
)</f>
        <v>0</v>
      </c>
      <c r="CJ91" s="108">
        <f ca="1">SUMIFS(
  m.vb[valor],
  m.vb[nucleo],$CB$1,
  m.vb[variavel],CJ$7,
  m.vb[mes],$A91
)</f>
        <v>0</v>
      </c>
      <c r="CK91" s="108">
        <f ca="1">SUMIFS(
  m.vb[valor],
  m.vb[nucleo],$CB$1,
  m.vb[variavel],CK$7,
  m.vb[mes],$A91
)</f>
        <v>0</v>
      </c>
      <c r="CL91" s="108">
        <f ca="1">SUMIFS(
  m.vb[valor],
  m.vb[nucleo],$CB$1,
  m.vb[variavel],CL$7,
  m.vb[mes],$A91
)</f>
        <v>0</v>
      </c>
      <c r="CM91" s="108">
        <f ca="1">SUMIFS(
  m.vb[valor],
  m.vb[nucleo],$CB$1,
  m.vb[variavel],CM$7,
  m.vb[mes],$A91
)</f>
        <v>0</v>
      </c>
      <c r="CN91" s="119">
        <f>COUNTIFS(
    tb_estq[empresa], CN$6,
    tb_estq[Data da venda / reserva], "&gt;=" &amp; $A91,
    tb_estq[Data da venda / reserva], "&lt;"  &amp; EOMONTH($A91,0) + 1
)</f>
        <v>0</v>
      </c>
      <c r="CO91" s="120">
        <f ca="1">SUMIFS(tb_rec_uni[2028-05-01],
INDIRECT("tb_rec_uni[natureza]"),"pro.soluto",
INDIRECT("tb_rec_uni[empresa]"),CO$6)</f>
        <v>0</v>
      </c>
      <c r="CP91" s="120">
        <f ca="1">SUMIFS(tb_rec_uni[2028-05-01],
INDIRECT("tb_rec_uni[natureza]"),"repasse.cef.obra",
INDIRECT("tb_rec_uni[empresa]"),CP$6)</f>
        <v>0</v>
      </c>
      <c r="CQ91" s="123">
        <f ca="1">SUMIFS(tb_rec_uni[2028-05-01],
INDIRECT("tb_rec_uni[natureza]"),"repasse.cef.terreno",
INDIRECT("tb_rec_uni[empresa]"),CQ$6)</f>
        <v>0</v>
      </c>
      <c r="CR91" s="124"/>
      <c r="CS91" s="120">
        <f ca="1">SUMIFS(tb_rec_uni[2028-05-01],
INDIRECT("tb_rec_uni[natureza]"),"taxa.extra",
INDIRECT("tb_rec_uni[empresa]"),CS$6)</f>
        <v>0</v>
      </c>
      <c r="CT91" s="108"/>
      <c r="CU91" s="108">
        <f ca="1">SUMIFS(
  m.vb[valor],
  m.vb[nucleo],$CN$1,
  m.vb[variavel],CU$7,
  m.vb[mes],$A91
)</f>
        <v>0</v>
      </c>
      <c r="CV91" s="108" cm="1">
        <f t="array" ref="CV91">SUMPRODUCT(
  IFERROR(--tb_desp[valor],0)*
  (tb_desp[nucleo]="UP MOVE VILA SONIA")*
  (tb_desp[categoria]=CV$7)*
  (tb_desp[data.pagamento]&gt;=$A91)*
  (tb_desp[data.pagamento]&lt;EOMONTH($A91,0)+1)
)</f>
        <v>0</v>
      </c>
      <c r="CW91" s="108" cm="1">
        <f t="array" ref="CW91">SUMPRODUCT(
  IFERROR(--tb_desp[valor],0)*
  (tb_desp[nucleo]="UP MOVE VILA SONIA")*
  (tb_desp[categoria]=CW$7)*
  (tb_desp[data.pagamento]&gt;=$A91)*
  (tb_desp[data.pagamento]&lt;EOMONTH($A91,0)+1)
)</f>
        <v>0</v>
      </c>
      <c r="CX91" s="108" cm="1">
        <f t="array" ref="CX91">SUMPRODUCT(
  IFERROR(--tb_desp[valor],0)*
  (tb_desp[nucleo]="UP MOVE VILA SONIA")*
  (tb_desp[categoria]=CX$7)*
  (tb_desp[data.pagamento]&gt;=$A91)*
  (tb_desp[data.pagamento]&lt;EOMONTH($A91,0)+1)
)</f>
        <v>0</v>
      </c>
      <c r="CY91" s="221" cm="1">
        <f t="array" ref="CY91">SUMPRODUCT(
  IFERROR(--tb_desp[valor],0)*
  (tb_desp[nucleo]="UP MOVE VILA SONIA")*
  (tb_desp[categoria]=CY$7)*
  (tb_desp[data.pagamento]&gt;=$A91)*
  (tb_desp[data.pagamento]&lt;EOMONTH($A91,0)+1)
)</f>
        <v>0</v>
      </c>
    </row>
    <row r="92" spans="1:103" x14ac:dyDescent="0.25">
      <c r="A92" s="118">
        <v>46905</v>
      </c>
      <c r="B92" s="119">
        <f>COUNTIFS(
    tb_estq[empresa], B$6,
    tb_estq[Data da venda / reserva], "&gt;=" &amp; $A92,
    tb_estq[Data da venda / reserva], "&lt;"  &amp; EOMONTH($A92,0) + 1
)</f>
        <v>0</v>
      </c>
      <c r="C92" s="120">
        <f ca="1">SUMIFS(tb_rec_uni[2028-06-01],
INDIRECT("tb_rec_uni[natureza]"),"pro.soluto",
INDIRECT("tb_rec_uni[empresa]"),C$6)</f>
        <v>0</v>
      </c>
      <c r="D92" s="120">
        <f ca="1">SUMIFS(tb_rec_uni[2028-06-01],
INDIRECT("tb_rec_uni[natureza]"),"repasse.cef.obra",
INDIRECT("tb_rec_uni[empresa]"),D$6)</f>
        <v>0</v>
      </c>
      <c r="E92" s="120">
        <f ca="1">SUMIFS(tb_rec_uni[2028-06-01],
INDIRECT("tb_rec_uni[natureza]"),"repasse.cef.terreno",
INDIRECT("tb_rec_uni[empresa]"),E$6)</f>
        <v>0</v>
      </c>
      <c r="F92" s="124"/>
      <c r="G92" s="120">
        <f ca="1">SUMIFS(tb_rec_uni[2028-06-01],
INDIRECT("tb_rec_uni[natureza]"),"taxa.extra",
INDIRECT("tb_rec_uni[empresa]"),G$6)</f>
        <v>0</v>
      </c>
      <c r="H92" s="108"/>
      <c r="I92" s="108">
        <f ca="1">SUMIFS(
  m.vb[valor],
  m.vb[nucleo],$B$1,
  m.vb[variavel],I$7,
  m.vb[mes],$A92
)</f>
        <v>0</v>
      </c>
      <c r="J92" s="108">
        <f ca="1">SUMIFS(
  m.vb[valor],
  m.vb[nucleo],$B$1,
  m.vb[variavel],J$7,
  m.vb[mes],$A92
)</f>
        <v>0</v>
      </c>
      <c r="K92" s="108">
        <f ca="1">SUMIFS(
  m.vb[valor],
  m.vb[nucleo],$B$1,
  m.vb[variavel],K$7,
  m.vb[mes],$A92
)</f>
        <v>0</v>
      </c>
      <c r="L92" s="108">
        <f ca="1">SUMIFS(
  m.vb[valor],
  m.vb[nucleo],$B$1,
  m.vb[variavel],L$7,
  m.vb[mes],$A92
)</f>
        <v>0</v>
      </c>
      <c r="M92" s="108">
        <f ca="1">SUMIFS(
  m.vb[valor],
  m.vb[nucleo],$B$1,
  m.vb[variavel],M$7,
  m.vb[mes],$A92
)</f>
        <v>0</v>
      </c>
      <c r="N92" s="119">
        <f>COUNTIFS(
    tb_estq[empresa], N$6,
    tb_estq[Data da venda / reserva], "&gt;=" &amp; $A92,
    tb_estq[Data da venda / reserva], "&lt;"  &amp; EOMONTH($A92,0) + 1
)</f>
        <v>0</v>
      </c>
      <c r="O92" s="120">
        <f ca="1">SUMIFS(tb_rec_uni[2028-06-01],
INDIRECT("tb_rec_uni[natureza]"),"pro.soluto",
INDIRECT("tb_rec_uni[empresa]"),O$6)</f>
        <v>0</v>
      </c>
      <c r="P92" s="120">
        <f ca="1">SUMIFS(tb_rec_uni[2028-06-01],
INDIRECT("tb_rec_uni[natureza]"),"repasse.cef.obra",
INDIRECT("tb_rec_uni[empresa]"),P$6)</f>
        <v>0</v>
      </c>
      <c r="Q92" s="120">
        <f ca="1">SUMIFS(tb_rec_uni[2028-06-01],
INDIRECT("tb_rec_uni[natureza]"),"repasse.cef.terreno",
INDIRECT("tb_rec_uni[empresa]"),Q$6)</f>
        <v>0</v>
      </c>
      <c r="R92" s="124"/>
      <c r="S92" s="120">
        <f ca="1">SUMIFS(tb_rec_uni[2028-06-01],
INDIRECT("tb_rec_uni[natureza]"),"taxa.extra",
INDIRECT("tb_rec_uni[empresa]"),S$6)</f>
        <v>0</v>
      </c>
      <c r="T92" s="108"/>
      <c r="U92" s="108">
        <f ca="1">SUMIFS(
  m.vb[valor],
  m.vb[nucleo],$N$1,
  m.vb[variavel],U$7,
  m.vb[mes],$A92
)</f>
        <v>0</v>
      </c>
      <c r="V92" s="108">
        <f ca="1">SUMIFS(
  m.vb[valor],
  m.vb[nucleo],$N$1,
  m.vb[variavel],V$7,
  m.vb[mes],$A92
)</f>
        <v>0</v>
      </c>
      <c r="W92" s="108">
        <f ca="1">SUMIFS(
  m.vb[valor],
  m.vb[nucleo],$N$1,
  m.vb[variavel],W$7,
  m.vb[mes],$A92
)</f>
        <v>0</v>
      </c>
      <c r="X92" s="108">
        <f ca="1">SUMIFS(
  m.vb[valor],
  m.vb[nucleo],$N$1,
  m.vb[variavel],X$7,
  m.vb[mes],$A92
)</f>
        <v>0</v>
      </c>
      <c r="Y92" s="108">
        <f ca="1">SUMIFS(
  m.vb[valor],
  m.vb[nucleo],$N$1,
  m.vb[variavel],Y$7,
  m.vb[mes],$A92
)</f>
        <v>0</v>
      </c>
      <c r="Z92" s="119">
        <f>COUNTIFS(
    tb_estq[empresa], Z$6,
    tb_estq[Data da venda / reserva], "&gt;=" &amp; $A92,
    tb_estq[Data da venda / reserva], "&lt;"  &amp; EOMONTH($A92,0) + 1
)</f>
        <v>0</v>
      </c>
      <c r="AA92" s="120">
        <f ca="1">SUMIFS(tb_rec_uni[2028-06-01],
INDIRECT("tb_rec_uni[natureza]"),"pro.soluto",
INDIRECT("tb_rec_uni[empresa]"),AA$6)</f>
        <v>0</v>
      </c>
      <c r="AB92" s="124">
        <f ca="1">SUMIFS(tb_rec_uni[2028-06-01],
INDIRECT("tb_rec_uni[natureza]"),"parcela.fin.total.ik",
INDIRECT("tb_rec_uni[empresa]"),AB$6)</f>
        <v>0</v>
      </c>
      <c r="AC92" s="120">
        <f ca="1">SUMIFS(tb_rec_uni[2028-06-01],
INDIRECT("tb_rec_uni[natureza]"),"taxa.extra",
INDIRECT("tb_rec_uni[empresa]"),AC$6)</f>
        <v>0</v>
      </c>
      <c r="AD92" s="108"/>
      <c r="AE92" s="108">
        <f ca="1">SUMIFS(
  m.vb[valor],
  m.vb[nucleo],$Z$1,
  m.vb[variavel],AE$7,
  m.vb[mes],$A92
)</f>
        <v>0</v>
      </c>
      <c r="AF92" s="108">
        <f ca="1">SUMIFS(
  m.vb[valor],
  m.vb[nucleo],$Z$1,
  m.vb[variavel],AF$7,
  m.vb[mes],$A92
)</f>
        <v>0</v>
      </c>
      <c r="AG92" s="108">
        <f ca="1">SUMIFS(
  m.vb[valor],
  m.vb[nucleo],$Z$1,
  m.vb[variavel],AG$7,
  m.vb[mes],$A92
)</f>
        <v>0</v>
      </c>
      <c r="AH92" s="108">
        <f ca="1">SUMIFS(
  m.vb[valor],
  m.vb[nucleo],$Z$1,
  m.vb[variavel],AH$7,
  m.vb[mes],$A92
)</f>
        <v>0</v>
      </c>
      <c r="AI92" s="108">
        <f ca="1">SUMIFS(
  m.vb[valor],
  m.vb[nucleo],$Z$1,
  m.vb[variavel],AI$7,
  m.vb[mes],$A92
)</f>
        <v>0</v>
      </c>
      <c r="AJ92" s="119">
        <f>COUNTIFS(
    tb_estq[empresa], AJ$6,
    tb_estq[Data da venda / reserva], "&gt;=" &amp; $A92,
    tb_estq[Data da venda / reserva], "&lt;"  &amp; EOMONTH($A92,0) + 1
)</f>
        <v>0</v>
      </c>
      <c r="AK92" s="120">
        <f ca="1">SUMIFS(tb_rec_uni[2028-06-01],
INDIRECT("tb_rec_uni[natureza]"),"pro.soluto",
INDIRECT("tb_rec_uni[empresa]"),AK$6)</f>
        <v>0</v>
      </c>
      <c r="AL92" s="120">
        <f ca="1">SUMIFS(tb_rec_uni[2028-06-01],
INDIRECT("tb_rec_uni[natureza]"),"repasse.cef.obra",
INDIRECT("tb_rec_uni[empresa]"),AL$6)</f>
        <v>0</v>
      </c>
      <c r="AM92" s="123">
        <f ca="1">SUMIFS(tb_rec_uni[2028-06-01],
INDIRECT("tb_rec_uni[natureza]"),"repasse.cef.terreno",
INDIRECT("tb_rec_uni[empresa]"),AM$6)</f>
        <v>0</v>
      </c>
      <c r="AN92" s="124"/>
      <c r="AO92" s="120">
        <f ca="1">SUMIFS(tb_rec_uni[2028-06-01],
INDIRECT("tb_rec_uni[natureza]"),"taxa.extra",
INDIRECT("tb_rec_uni[empresa]"),AO$6)</f>
        <v>0</v>
      </c>
      <c r="AP92" s="108"/>
      <c r="AQ92" s="108">
        <f ca="1">SUMIFS(
  m.vb[valor],
  m.vb[nucleo],$AJ$1,
  m.vb[variavel],AQ$7,
  m.vb[mes],$A92
)</f>
        <v>0</v>
      </c>
      <c r="AR92" s="108">
        <f ca="1">SUMIFS(
  m.vb[valor],
  m.vb[nucleo],$AJ$1,
  m.vb[variavel],AR$7,
  m.vb[mes],$A92
)</f>
        <v>0</v>
      </c>
      <c r="AS92" s="108">
        <f ca="1">SUMIFS(
  m.vb[valor],
  m.vb[nucleo],$AJ$1,
  m.vb[variavel],AS$7,
  m.vb[mes],$A92
)</f>
        <v>0</v>
      </c>
      <c r="AT92" s="108">
        <f ca="1">SUMIFS(
  m.vb[valor],
  m.vb[nucleo],$AJ$1,
  m.vb[variavel],AT$7,
  m.vb[mes],$A92
)</f>
        <v>0</v>
      </c>
      <c r="AU92" s="108">
        <f ca="1">SUMIFS(
  m.vb[valor],
  m.vb[nucleo],$AJ$1,
  m.vb[variavel],AU$7,
  m.vb[mes],$A92
)</f>
        <v>0</v>
      </c>
      <c r="AV92" s="119">
        <f>COUNTIFS(
    tb_estq[empresa], AV$6,
    tb_estq[Data da venda / reserva], "&gt;=" &amp; $A92,
    tb_estq[Data da venda / reserva], "&lt;"  &amp; EOMONTH($A92,0) + 1
)</f>
        <v>0</v>
      </c>
      <c r="AW92" s="120">
        <f ca="1">SUMIFS(tb_rec_uni[2028-06-01],
INDIRECT("tb_rec_uni[natureza]"),"pro.soluto",
INDIRECT("tb_rec_uni[empresa]"),AW$6)</f>
        <v>0</v>
      </c>
      <c r="AX92" s="120">
        <f ca="1">SUMIFS(tb_rec_uni[2028-06-01],
INDIRECT("tb_rec_uni[natureza]"),"repasse.cef.obra",
INDIRECT("tb_rec_uni[empresa]"),AX$6)</f>
        <v>0</v>
      </c>
      <c r="AY92" s="123">
        <f ca="1">SUMIFS(tb_rec_uni[2028-06-01],
INDIRECT("tb_rec_uni[natureza]"),"repasse.cef.terreno",
INDIRECT("tb_rec_uni[empresa]"),AY$6)</f>
        <v>0</v>
      </c>
      <c r="AZ92" s="124"/>
      <c r="BA92" s="120">
        <f ca="1">SUMIFS(tb_rec_uni[2028-06-01],
INDIRECT("tb_rec_uni[natureza]"),"taxa.extra",
INDIRECT("tb_rec_uni[empresa]"),BA$6)</f>
        <v>0</v>
      </c>
      <c r="BB92" s="108"/>
      <c r="BC92" s="108">
        <f ca="1">SUMIFS(
  m.vb[valor],
  m.vb[nucleo],$AV$1,
  m.vb[variavel],BC$7,
  m.vb[mes],$A92
)</f>
        <v>0</v>
      </c>
      <c r="BD92" s="108">
        <f ca="1">SUMIFS(
  m.vb[valor],
  m.vb[nucleo],$AV$1,
  m.vb[variavel],BD$7,
  m.vb[mes],$A92
)</f>
        <v>0</v>
      </c>
      <c r="BE92" s="108">
        <f ca="1">SUMIFS(
  m.vb[valor],
  m.vb[nucleo],$AV$1,
  m.vb[variavel],BE$7,
  m.vb[mes],$A92
)</f>
        <v>0</v>
      </c>
      <c r="BF92" s="108">
        <f ca="1">SUMIFS(
  m.vb[valor],
  m.vb[nucleo],$AV$1,
  m.vb[variavel],BF$7,
  m.vb[mes],$A92
)</f>
        <v>0</v>
      </c>
      <c r="BG92" s="108">
        <f ca="1">SUMIFS(
  m.vb[valor],
  m.vb[nucleo],$AV$1,
  m.vb[variavel],BG$7,
  m.vb[mes],$A92
)</f>
        <v>0</v>
      </c>
      <c r="BH92" s="119">
        <f>COUNTIFS(
    tb_estq[empresa], BH$6,
    tb_estq[Data da venda / reserva], "&gt;=" &amp; $A92,
    tb_estq[Data da venda / reserva], "&lt;"  &amp; EOMONTH($A92,0) + 1
)</f>
        <v>0</v>
      </c>
      <c r="BI92" s="120">
        <f ca="1">SUMIFS(tb_rec_uni[2028-06-01],
INDIRECT("tb_rec_uni[natureza]"),"pro.soluto",
INDIRECT("tb_rec_uni[empresa]"),BI$6)</f>
        <v>0</v>
      </c>
      <c r="BJ92" s="124"/>
      <c r="BK92" s="120">
        <f ca="1">SUMIFS(tb_rec_uni[2028-06-01],
INDIRECT("tb_rec_uni[natureza]"),"taxa.extra",
INDIRECT("tb_rec_uni[empresa]"),BK$6)</f>
        <v>0</v>
      </c>
      <c r="BL92" s="108"/>
      <c r="BM92" s="108">
        <f ca="1">SUMIFS(
  m.vb[valor],
  m.vb[nucleo],$BH$1,
  m.vb[variavel],BM$7,
  m.vb[mes],$A92
)</f>
        <v>0</v>
      </c>
      <c r="BN92" s="108">
        <f ca="1">SUMIFS(
  m.vb[valor],
  m.vb[nucleo],$BH$1,
  m.vb[variavel],BN$7,
  m.vb[mes],$A92
)</f>
        <v>0</v>
      </c>
      <c r="BO92" s="108">
        <f ca="1">SUMIFS(
  m.vb[valor],
  m.vb[nucleo],$BH$1,
  m.vb[variavel],BO$7,
  m.vb[mes],$A92
)</f>
        <v>0</v>
      </c>
      <c r="BP92" s="108">
        <f ca="1">SUMIFS(
  m.vb[valor],
  m.vb[nucleo],$BH$1,
  m.vb[variavel],BP$7,
  m.vb[mes],$A92
)</f>
        <v>0</v>
      </c>
      <c r="BQ92" s="108">
        <f ca="1">SUMIFS(
  m.vb[valor],
  m.vb[nucleo],$BH$1,
  m.vb[variavel],BQ$7,
  m.vb[mes],$A92
)</f>
        <v>0</v>
      </c>
      <c r="BR92" s="119">
        <f>COUNTIFS(
    tb_estq[empresa], BR$6,
    tb_estq[Data da venda / reserva], "&gt;=" &amp; $A92,
    tb_estq[Data da venda / reserva], "&lt;"  &amp; EOMONTH($A92,0) + 1
)</f>
        <v>0</v>
      </c>
      <c r="BS92" s="120">
        <f ca="1">SUMIFS(tb_rec_uni[2028-06-01],
INDIRECT("tb_rec_uni[natureza]"),"pro.soluto",
INDIRECT("tb_rec_uni[empresa]"),BS$6)</f>
        <v>0</v>
      </c>
      <c r="BT92" s="124">
        <f ca="1">SUMIFS(tb_rec_uni[2028-06-01],
INDIRECT("tb_rec_uni[natureza]"),"parcela.fin.total.ik",
INDIRECT("tb_rec_uni[empresa]"),BT$6)</f>
        <v>0</v>
      </c>
      <c r="BU92" s="120">
        <f ca="1">SUMIFS(tb_rec_uni[2028-06-01],
INDIRECT("tb_rec_uni[natureza]"),"taxa.extra",
INDIRECT("tb_rec_uni[empresa]"),BU$6)</f>
        <v>0</v>
      </c>
      <c r="BV92" s="108"/>
      <c r="BW92" s="108">
        <f ca="1">SUMIFS(
  m.vb[valor],
  m.vb[nucleo],$BR$1,
  m.vb[variavel],BW$7,
  m.vb[mes],$A92
)</f>
        <v>0</v>
      </c>
      <c r="BX92" s="108">
        <f ca="1">SUMIFS(
  m.vb[valor],
  m.vb[nucleo],$BR$1,
  m.vb[variavel],BX$7,
  m.vb[mes],$A92
)</f>
        <v>0</v>
      </c>
      <c r="BY92" s="108">
        <f ca="1">SUMIFS(
  m.vb[valor],
  m.vb[nucleo],$BR$1,
  m.vb[variavel],BY$7,
  m.vb[mes],$A92
)</f>
        <v>0</v>
      </c>
      <c r="BZ92" s="108">
        <f ca="1">SUMIFS(
  m.vb[valor],
  m.vb[nucleo],$BR$1,
  m.vb[variavel],BZ$7,
  m.vb[mes],$A92
)</f>
        <v>0</v>
      </c>
      <c r="CA92" s="108">
        <f ca="1">SUMIFS(
  m.vb[valor],
  m.vb[nucleo],$BR$1,
  m.vb[variavel],CA$7,
  m.vb[mes],$A92
)</f>
        <v>0</v>
      </c>
      <c r="CB92" s="119">
        <f>COUNTIFS(
    tb_estq[empresa], CB$6,
    tb_estq[Data da venda / reserva], "&gt;=" &amp; $A92,
    tb_estq[Data da venda / reserva], "&lt;"  &amp; EOMONTH($A92,0) + 1
)</f>
        <v>0</v>
      </c>
      <c r="CC92" s="120">
        <f ca="1">SUMIFS(tb_rec_uni[2028-06-01],
INDIRECT("tb_rec_uni[natureza]"),"pro.soluto",
INDIRECT("tb_rec_uni[empresa]"),CC$6)</f>
        <v>0</v>
      </c>
      <c r="CD92" s="120">
        <f ca="1">SUMIFS(tb_rec_uni[2028-06-01],
INDIRECT("tb_rec_uni[natureza]"),"repasse.cef.obra",
INDIRECT("tb_rec_uni[empresa]"),CD$6)</f>
        <v>0</v>
      </c>
      <c r="CE92" s="123">
        <f ca="1">SUMIFS(tb_rec_uni[2028-06-01],
INDIRECT("tb_rec_uni[natureza]"),"repasse.cef.terreno",
INDIRECT("tb_rec_uni[empresa]"),CE$6)</f>
        <v>0</v>
      </c>
      <c r="CF92" s="124"/>
      <c r="CG92" s="120">
        <f ca="1">SUMIFS(tb_rec_uni[2028-06-01],
INDIRECT("tb_rec_uni[natureza]"),"taxa.extra",
INDIRECT("tb_rec_uni[empresa]"),CG$6)</f>
        <v>0</v>
      </c>
      <c r="CH92" s="108"/>
      <c r="CI92" s="108">
        <f ca="1">SUMIFS(
  m.vb[valor],
  m.vb[nucleo],$CB$1,
  m.vb[variavel],CI$7,
  m.vb[mes],$A92
)</f>
        <v>0</v>
      </c>
      <c r="CJ92" s="108">
        <f ca="1">SUMIFS(
  m.vb[valor],
  m.vb[nucleo],$CB$1,
  m.vb[variavel],CJ$7,
  m.vb[mes],$A92
)</f>
        <v>0</v>
      </c>
      <c r="CK92" s="108">
        <f ca="1">SUMIFS(
  m.vb[valor],
  m.vb[nucleo],$CB$1,
  m.vb[variavel],CK$7,
  m.vb[mes],$A92
)</f>
        <v>0</v>
      </c>
      <c r="CL92" s="108">
        <f ca="1">SUMIFS(
  m.vb[valor],
  m.vb[nucleo],$CB$1,
  m.vb[variavel],CL$7,
  m.vb[mes],$A92
)</f>
        <v>0</v>
      </c>
      <c r="CM92" s="108">
        <f ca="1">SUMIFS(
  m.vb[valor],
  m.vb[nucleo],$CB$1,
  m.vb[variavel],CM$7,
  m.vb[mes],$A92
)</f>
        <v>0</v>
      </c>
      <c r="CN92" s="119">
        <f>COUNTIFS(
    tb_estq[empresa], CN$6,
    tb_estq[Data da venda / reserva], "&gt;=" &amp; $A92,
    tb_estq[Data da venda / reserva], "&lt;"  &amp; EOMONTH($A92,0) + 1
)</f>
        <v>0</v>
      </c>
      <c r="CO92" s="120">
        <f ca="1">SUMIFS(tb_rec_uni[2028-06-01],
INDIRECT("tb_rec_uni[natureza]"),"pro.soluto",
INDIRECT("tb_rec_uni[empresa]"),CO$6)</f>
        <v>0</v>
      </c>
      <c r="CP92" s="120">
        <f ca="1">SUMIFS(tb_rec_uni[2028-06-01],
INDIRECT("tb_rec_uni[natureza]"),"repasse.cef.obra",
INDIRECT("tb_rec_uni[empresa]"),CP$6)</f>
        <v>0</v>
      </c>
      <c r="CQ92" s="123">
        <f ca="1">SUMIFS(tb_rec_uni[2028-06-01],
INDIRECT("tb_rec_uni[natureza]"),"repasse.cef.terreno",
INDIRECT("tb_rec_uni[empresa]"),CQ$6)</f>
        <v>0</v>
      </c>
      <c r="CR92" s="124"/>
      <c r="CS92" s="120">
        <f ca="1">SUMIFS(tb_rec_uni[2028-06-01],
INDIRECT("tb_rec_uni[natureza]"),"taxa.extra",
INDIRECT("tb_rec_uni[empresa]"),CS$6)</f>
        <v>0</v>
      </c>
      <c r="CT92" s="108"/>
      <c r="CU92" s="108">
        <f ca="1">SUMIFS(
  m.vb[valor],
  m.vb[nucleo],$CN$1,
  m.vb[variavel],CU$7,
  m.vb[mes],$A92
)</f>
        <v>0</v>
      </c>
      <c r="CV92" s="108" cm="1">
        <f t="array" ref="CV92">SUMPRODUCT(
  IFERROR(--tb_desp[valor],0)*
  (tb_desp[nucleo]="UP MOVE VILA SONIA")*
  (tb_desp[categoria]=CV$7)*
  (tb_desp[data.pagamento]&gt;=$A92)*
  (tb_desp[data.pagamento]&lt;EOMONTH($A92,0)+1)
)</f>
        <v>0</v>
      </c>
      <c r="CW92" s="108" cm="1">
        <f t="array" ref="CW92">SUMPRODUCT(
  IFERROR(--tb_desp[valor],0)*
  (tb_desp[nucleo]="UP MOVE VILA SONIA")*
  (tb_desp[categoria]=CW$7)*
  (tb_desp[data.pagamento]&gt;=$A92)*
  (tb_desp[data.pagamento]&lt;EOMONTH($A92,0)+1)
)</f>
        <v>0</v>
      </c>
      <c r="CX92" s="108" cm="1">
        <f t="array" ref="CX92">SUMPRODUCT(
  IFERROR(--tb_desp[valor],0)*
  (tb_desp[nucleo]="UP MOVE VILA SONIA")*
  (tb_desp[categoria]=CX$7)*
  (tb_desp[data.pagamento]&gt;=$A92)*
  (tb_desp[data.pagamento]&lt;EOMONTH($A92,0)+1)
)</f>
        <v>0</v>
      </c>
      <c r="CY92" s="221" cm="1">
        <f t="array" ref="CY92">SUMPRODUCT(
  IFERROR(--tb_desp[valor],0)*
  (tb_desp[nucleo]="UP MOVE VILA SONIA")*
  (tb_desp[categoria]=CY$7)*
  (tb_desp[data.pagamento]&gt;=$A92)*
  (tb_desp[data.pagamento]&lt;EOMONTH($A92,0)+1)
)</f>
        <v>0</v>
      </c>
    </row>
    <row r="93" spans="1:103" x14ac:dyDescent="0.25">
      <c r="A93" s="118">
        <v>46935</v>
      </c>
      <c r="B93" s="119">
        <f>COUNTIFS(
    tb_estq[empresa], B$6,
    tb_estq[Data da venda / reserva], "&gt;=" &amp; $A93,
    tb_estq[Data da venda / reserva], "&lt;"  &amp; EOMONTH($A93,0) + 1
)</f>
        <v>0</v>
      </c>
      <c r="C93" s="120">
        <f ca="1">SUMIFS(tb_rec_uni[2028-07-01],
INDIRECT("tb_rec_uni[natureza]"),"pro.soluto",
INDIRECT("tb_rec_uni[empresa]"),C$6)</f>
        <v>0</v>
      </c>
      <c r="D93" s="120">
        <f ca="1">SUMIFS(tb_rec_uni[2028-07-01],
INDIRECT("tb_rec_uni[natureza]"),"repasse.cef.obra",
INDIRECT("tb_rec_uni[empresa]"),D$6)</f>
        <v>0</v>
      </c>
      <c r="E93" s="120">
        <f ca="1">SUMIFS(tb_rec_uni[2028-07-01],
INDIRECT("tb_rec_uni[natureza]"),"repasse.cef.terreno",
INDIRECT("tb_rec_uni[empresa]"),E$6)</f>
        <v>0</v>
      </c>
      <c r="F93" s="124"/>
      <c r="G93" s="120">
        <f ca="1">SUMIFS(tb_rec_uni[2028-07-01],
INDIRECT("tb_rec_uni[natureza]"),"taxa.extra",
INDIRECT("tb_rec_uni[empresa]"),G$6)</f>
        <v>0</v>
      </c>
      <c r="H93" s="108"/>
      <c r="I93" s="108">
        <f ca="1">SUMIFS(
  m.vb[valor],
  m.vb[nucleo],$B$1,
  m.vb[variavel],I$7,
  m.vb[mes],$A93
)</f>
        <v>0</v>
      </c>
      <c r="J93" s="108">
        <f ca="1">SUMIFS(
  m.vb[valor],
  m.vb[nucleo],$B$1,
  m.vb[variavel],J$7,
  m.vb[mes],$A93
)</f>
        <v>0</v>
      </c>
      <c r="K93" s="108">
        <f ca="1">SUMIFS(
  m.vb[valor],
  m.vb[nucleo],$B$1,
  m.vb[variavel],K$7,
  m.vb[mes],$A93
)</f>
        <v>0</v>
      </c>
      <c r="L93" s="108">
        <f ca="1">SUMIFS(
  m.vb[valor],
  m.vb[nucleo],$B$1,
  m.vb[variavel],L$7,
  m.vb[mes],$A93
)</f>
        <v>0</v>
      </c>
      <c r="M93" s="108">
        <f ca="1">SUMIFS(
  m.vb[valor],
  m.vb[nucleo],$B$1,
  m.vb[variavel],M$7,
  m.vb[mes],$A93
)</f>
        <v>0</v>
      </c>
      <c r="N93" s="119">
        <f>COUNTIFS(
    tb_estq[empresa], N$6,
    tb_estq[Data da venda / reserva], "&gt;=" &amp; $A93,
    tb_estq[Data da venda / reserva], "&lt;"  &amp; EOMONTH($A93,0) + 1
)</f>
        <v>0</v>
      </c>
      <c r="O93" s="120">
        <f ca="1">SUMIFS(tb_rec_uni[2028-07-01],
INDIRECT("tb_rec_uni[natureza]"),"pro.soluto",
INDIRECT("tb_rec_uni[empresa]"),O$6)</f>
        <v>0</v>
      </c>
      <c r="P93" s="120">
        <f ca="1">SUMIFS(tb_rec_uni[2028-07-01],
INDIRECT("tb_rec_uni[natureza]"),"repasse.cef.obra",
INDIRECT("tb_rec_uni[empresa]"),P$6)</f>
        <v>0</v>
      </c>
      <c r="Q93" s="120">
        <f ca="1">SUMIFS(tb_rec_uni[2028-07-01],
INDIRECT("tb_rec_uni[natureza]"),"repasse.cef.terreno",
INDIRECT("tb_rec_uni[empresa]"),Q$6)</f>
        <v>0</v>
      </c>
      <c r="R93" s="124"/>
      <c r="S93" s="120">
        <f ca="1">SUMIFS(tb_rec_uni[2028-07-01],
INDIRECT("tb_rec_uni[natureza]"),"taxa.extra",
INDIRECT("tb_rec_uni[empresa]"),S$6)</f>
        <v>0</v>
      </c>
      <c r="T93" s="108"/>
      <c r="U93" s="108">
        <f ca="1">SUMIFS(
  m.vb[valor],
  m.vb[nucleo],$N$1,
  m.vb[variavel],U$7,
  m.vb[mes],$A93
)</f>
        <v>0</v>
      </c>
      <c r="V93" s="108">
        <f ca="1">SUMIFS(
  m.vb[valor],
  m.vb[nucleo],$N$1,
  m.vb[variavel],V$7,
  m.vb[mes],$A93
)</f>
        <v>0</v>
      </c>
      <c r="W93" s="108">
        <f ca="1">SUMIFS(
  m.vb[valor],
  m.vb[nucleo],$N$1,
  m.vb[variavel],W$7,
  m.vb[mes],$A93
)</f>
        <v>0</v>
      </c>
      <c r="X93" s="108">
        <f ca="1">SUMIFS(
  m.vb[valor],
  m.vb[nucleo],$N$1,
  m.vb[variavel],X$7,
  m.vb[mes],$A93
)</f>
        <v>0</v>
      </c>
      <c r="Y93" s="108">
        <f ca="1">SUMIFS(
  m.vb[valor],
  m.vb[nucleo],$N$1,
  m.vb[variavel],Y$7,
  m.vb[mes],$A93
)</f>
        <v>0</v>
      </c>
      <c r="Z93" s="119">
        <f>COUNTIFS(
    tb_estq[empresa], Z$6,
    tb_estq[Data da venda / reserva], "&gt;=" &amp; $A93,
    tb_estq[Data da venda / reserva], "&lt;"  &amp; EOMONTH($A93,0) + 1
)</f>
        <v>0</v>
      </c>
      <c r="AA93" s="120">
        <f ca="1">SUMIFS(tb_rec_uni[2028-07-01],
INDIRECT("tb_rec_uni[natureza]"),"pro.soluto",
INDIRECT("tb_rec_uni[empresa]"),AA$6)</f>
        <v>0</v>
      </c>
      <c r="AB93" s="124">
        <f ca="1">SUMIFS(tb_rec_uni[2028-07-01],
INDIRECT("tb_rec_uni[natureza]"),"parcela.fin.total.ik",
INDIRECT("tb_rec_uni[empresa]"),AB$6)</f>
        <v>0</v>
      </c>
      <c r="AC93" s="120">
        <f ca="1">SUMIFS(tb_rec_uni[2028-07-01],
INDIRECT("tb_rec_uni[natureza]"),"taxa.extra",
INDIRECT("tb_rec_uni[empresa]"),AC$6)</f>
        <v>0</v>
      </c>
      <c r="AD93" s="108"/>
      <c r="AE93" s="108">
        <f ca="1">SUMIFS(
  m.vb[valor],
  m.vb[nucleo],$Z$1,
  m.vb[variavel],AE$7,
  m.vb[mes],$A93
)</f>
        <v>0</v>
      </c>
      <c r="AF93" s="108">
        <f ca="1">SUMIFS(
  m.vb[valor],
  m.vb[nucleo],$Z$1,
  m.vb[variavel],AF$7,
  m.vb[mes],$A93
)</f>
        <v>0</v>
      </c>
      <c r="AG93" s="108">
        <f ca="1">SUMIFS(
  m.vb[valor],
  m.vb[nucleo],$Z$1,
  m.vb[variavel],AG$7,
  m.vb[mes],$A93
)</f>
        <v>0</v>
      </c>
      <c r="AH93" s="108">
        <f ca="1">SUMIFS(
  m.vb[valor],
  m.vb[nucleo],$Z$1,
  m.vb[variavel],AH$7,
  m.vb[mes],$A93
)</f>
        <v>0</v>
      </c>
      <c r="AI93" s="108">
        <f ca="1">SUMIFS(
  m.vb[valor],
  m.vb[nucleo],$Z$1,
  m.vb[variavel],AI$7,
  m.vb[mes],$A93
)</f>
        <v>0</v>
      </c>
      <c r="AJ93" s="119">
        <f>COUNTIFS(
    tb_estq[empresa], AJ$6,
    tb_estq[Data da venda / reserva], "&gt;=" &amp; $A93,
    tb_estq[Data da venda / reserva], "&lt;"  &amp; EOMONTH($A93,0) + 1
)</f>
        <v>0</v>
      </c>
      <c r="AK93" s="120">
        <f ca="1">SUMIFS(tb_rec_uni[2028-07-01],
INDIRECT("tb_rec_uni[natureza]"),"pro.soluto",
INDIRECT("tb_rec_uni[empresa]"),AK$6)</f>
        <v>0</v>
      </c>
      <c r="AL93" s="120">
        <f ca="1">SUMIFS(tb_rec_uni[2028-07-01],
INDIRECT("tb_rec_uni[natureza]"),"repasse.cef.obra",
INDIRECT("tb_rec_uni[empresa]"),AL$6)</f>
        <v>0</v>
      </c>
      <c r="AM93" s="123">
        <f ca="1">SUMIFS(tb_rec_uni[2028-07-01],
INDIRECT("tb_rec_uni[natureza]"),"repasse.cef.terreno",
INDIRECT("tb_rec_uni[empresa]"),AM$6)</f>
        <v>0</v>
      </c>
      <c r="AN93" s="124"/>
      <c r="AO93" s="120">
        <f ca="1">SUMIFS(tb_rec_uni[2028-07-01],
INDIRECT("tb_rec_uni[natureza]"),"taxa.extra",
INDIRECT("tb_rec_uni[empresa]"),AO$6)</f>
        <v>0</v>
      </c>
      <c r="AP93" s="108"/>
      <c r="AQ93" s="108">
        <f ca="1">SUMIFS(
  m.vb[valor],
  m.vb[nucleo],$AJ$1,
  m.vb[variavel],AQ$7,
  m.vb[mes],$A93
)</f>
        <v>0</v>
      </c>
      <c r="AR93" s="108">
        <f ca="1">SUMIFS(
  m.vb[valor],
  m.vb[nucleo],$AJ$1,
  m.vb[variavel],AR$7,
  m.vb[mes],$A93
)</f>
        <v>0</v>
      </c>
      <c r="AS93" s="108">
        <f ca="1">SUMIFS(
  m.vb[valor],
  m.vb[nucleo],$AJ$1,
  m.vb[variavel],AS$7,
  m.vb[mes],$A93
)</f>
        <v>0</v>
      </c>
      <c r="AT93" s="108">
        <f ca="1">SUMIFS(
  m.vb[valor],
  m.vb[nucleo],$AJ$1,
  m.vb[variavel],AT$7,
  m.vb[mes],$A93
)</f>
        <v>0</v>
      </c>
      <c r="AU93" s="108">
        <f ca="1">SUMIFS(
  m.vb[valor],
  m.vb[nucleo],$AJ$1,
  m.vb[variavel],AU$7,
  m.vb[mes],$A93
)</f>
        <v>0</v>
      </c>
      <c r="AV93" s="119">
        <f>COUNTIFS(
    tb_estq[empresa], AV$6,
    tb_estq[Data da venda / reserva], "&gt;=" &amp; $A93,
    tb_estq[Data da venda / reserva], "&lt;"  &amp; EOMONTH($A93,0) + 1
)</f>
        <v>0</v>
      </c>
      <c r="AW93" s="120">
        <f ca="1">SUMIFS(tb_rec_uni[2028-07-01],
INDIRECT("tb_rec_uni[natureza]"),"pro.soluto",
INDIRECT("tb_rec_uni[empresa]"),AW$6)</f>
        <v>0</v>
      </c>
      <c r="AX93" s="120">
        <f ca="1">SUMIFS(tb_rec_uni[2028-07-01],
INDIRECT("tb_rec_uni[natureza]"),"repasse.cef.obra",
INDIRECT("tb_rec_uni[empresa]"),AX$6)</f>
        <v>0</v>
      </c>
      <c r="AY93" s="123">
        <f ca="1">SUMIFS(tb_rec_uni[2028-07-01],
INDIRECT("tb_rec_uni[natureza]"),"repasse.cef.terreno",
INDIRECT("tb_rec_uni[empresa]"),AY$6)</f>
        <v>0</v>
      </c>
      <c r="AZ93" s="124"/>
      <c r="BA93" s="120">
        <f ca="1">SUMIFS(tb_rec_uni[2028-07-01],
INDIRECT("tb_rec_uni[natureza]"),"taxa.extra",
INDIRECT("tb_rec_uni[empresa]"),BA$6)</f>
        <v>0</v>
      </c>
      <c r="BB93" s="108"/>
      <c r="BC93" s="108">
        <f ca="1">SUMIFS(
  m.vb[valor],
  m.vb[nucleo],$AV$1,
  m.vb[variavel],BC$7,
  m.vb[mes],$A93
)</f>
        <v>0</v>
      </c>
      <c r="BD93" s="108">
        <f ca="1">SUMIFS(
  m.vb[valor],
  m.vb[nucleo],$AV$1,
  m.vb[variavel],BD$7,
  m.vb[mes],$A93
)</f>
        <v>0</v>
      </c>
      <c r="BE93" s="108">
        <f ca="1">SUMIFS(
  m.vb[valor],
  m.vb[nucleo],$AV$1,
  m.vb[variavel],BE$7,
  m.vb[mes],$A93
)</f>
        <v>0</v>
      </c>
      <c r="BF93" s="108">
        <f ca="1">SUMIFS(
  m.vb[valor],
  m.vb[nucleo],$AV$1,
  m.vb[variavel],BF$7,
  m.vb[mes],$A93
)</f>
        <v>0</v>
      </c>
      <c r="BG93" s="108">
        <f ca="1">SUMIFS(
  m.vb[valor],
  m.vb[nucleo],$AV$1,
  m.vb[variavel],BG$7,
  m.vb[mes],$A93
)</f>
        <v>0</v>
      </c>
      <c r="BH93" s="119">
        <f>COUNTIFS(
    tb_estq[empresa], BH$6,
    tb_estq[Data da venda / reserva], "&gt;=" &amp; $A93,
    tb_estq[Data da venda / reserva], "&lt;"  &amp; EOMONTH($A93,0) + 1
)</f>
        <v>0</v>
      </c>
      <c r="BI93" s="120">
        <f ca="1">SUMIFS(tb_rec_uni[2028-07-01],
INDIRECT("tb_rec_uni[natureza]"),"pro.soluto",
INDIRECT("tb_rec_uni[empresa]"),BI$6)</f>
        <v>0</v>
      </c>
      <c r="BJ93" s="124"/>
      <c r="BK93" s="120">
        <f ca="1">SUMIFS(tb_rec_uni[2028-07-01],
INDIRECT("tb_rec_uni[natureza]"),"taxa.extra",
INDIRECT("tb_rec_uni[empresa]"),BK$6)</f>
        <v>0</v>
      </c>
      <c r="BL93" s="108"/>
      <c r="BM93" s="108">
        <f ca="1">SUMIFS(
  m.vb[valor],
  m.vb[nucleo],$BH$1,
  m.vb[variavel],BM$7,
  m.vb[mes],$A93
)</f>
        <v>0</v>
      </c>
      <c r="BN93" s="108">
        <f ca="1">SUMIFS(
  m.vb[valor],
  m.vb[nucleo],$BH$1,
  m.vb[variavel],BN$7,
  m.vb[mes],$A93
)</f>
        <v>0</v>
      </c>
      <c r="BO93" s="108">
        <f ca="1">SUMIFS(
  m.vb[valor],
  m.vb[nucleo],$BH$1,
  m.vb[variavel],BO$7,
  m.vb[mes],$A93
)</f>
        <v>0</v>
      </c>
      <c r="BP93" s="108">
        <f ca="1">SUMIFS(
  m.vb[valor],
  m.vb[nucleo],$BH$1,
  m.vb[variavel],BP$7,
  m.vb[mes],$A93
)</f>
        <v>0</v>
      </c>
      <c r="BQ93" s="108">
        <f ca="1">SUMIFS(
  m.vb[valor],
  m.vb[nucleo],$BH$1,
  m.vb[variavel],BQ$7,
  m.vb[mes],$A93
)</f>
        <v>0</v>
      </c>
      <c r="BR93" s="119">
        <f>COUNTIFS(
    tb_estq[empresa], BR$6,
    tb_estq[Data da venda / reserva], "&gt;=" &amp; $A93,
    tb_estq[Data da venda / reserva], "&lt;"  &amp; EOMONTH($A93,0) + 1
)</f>
        <v>0</v>
      </c>
      <c r="BS93" s="120">
        <f ca="1">SUMIFS(tb_rec_uni[2028-07-01],
INDIRECT("tb_rec_uni[natureza]"),"pro.soluto",
INDIRECT("tb_rec_uni[empresa]"),BS$6)</f>
        <v>0</v>
      </c>
      <c r="BT93" s="124">
        <f ca="1">SUMIFS(tb_rec_uni[2028-07-01],
INDIRECT("tb_rec_uni[natureza]"),"parcela.fin.total.ik",
INDIRECT("tb_rec_uni[empresa]"),BT$6)</f>
        <v>0</v>
      </c>
      <c r="BU93" s="120">
        <f ca="1">SUMIFS(tb_rec_uni[2028-07-01],
INDIRECT("tb_rec_uni[natureza]"),"taxa.extra",
INDIRECT("tb_rec_uni[empresa]"),BU$6)</f>
        <v>0</v>
      </c>
      <c r="BV93" s="108"/>
      <c r="BW93" s="108">
        <f ca="1">SUMIFS(
  m.vb[valor],
  m.vb[nucleo],$BR$1,
  m.vb[variavel],BW$7,
  m.vb[mes],$A93
)</f>
        <v>0</v>
      </c>
      <c r="BX93" s="108">
        <f ca="1">SUMIFS(
  m.vb[valor],
  m.vb[nucleo],$BR$1,
  m.vb[variavel],BX$7,
  m.vb[mes],$A93
)</f>
        <v>0</v>
      </c>
      <c r="BY93" s="108">
        <f ca="1">SUMIFS(
  m.vb[valor],
  m.vb[nucleo],$BR$1,
  m.vb[variavel],BY$7,
  m.vb[mes],$A93
)</f>
        <v>0</v>
      </c>
      <c r="BZ93" s="108">
        <f ca="1">SUMIFS(
  m.vb[valor],
  m.vb[nucleo],$BR$1,
  m.vb[variavel],BZ$7,
  m.vb[mes],$A93
)</f>
        <v>0</v>
      </c>
      <c r="CA93" s="108">
        <f ca="1">SUMIFS(
  m.vb[valor],
  m.vb[nucleo],$BR$1,
  m.vb[variavel],CA$7,
  m.vb[mes],$A93
)</f>
        <v>0</v>
      </c>
      <c r="CB93" s="119">
        <f>COUNTIFS(
    tb_estq[empresa], CB$6,
    tb_estq[Data da venda / reserva], "&gt;=" &amp; $A93,
    tb_estq[Data da venda / reserva], "&lt;"  &amp; EOMONTH($A93,0) + 1
)</f>
        <v>0</v>
      </c>
      <c r="CC93" s="120">
        <f ca="1">SUMIFS(tb_rec_uni[2028-07-01],
INDIRECT("tb_rec_uni[natureza]"),"pro.soluto",
INDIRECT("tb_rec_uni[empresa]"),CC$6)</f>
        <v>0</v>
      </c>
      <c r="CD93" s="120">
        <f ca="1">SUMIFS(tb_rec_uni[2028-07-01],
INDIRECT("tb_rec_uni[natureza]"),"repasse.cef.obra",
INDIRECT("tb_rec_uni[empresa]"),CD$6)</f>
        <v>0</v>
      </c>
      <c r="CE93" s="123">
        <f ca="1">SUMIFS(tb_rec_uni[2028-07-01],
INDIRECT("tb_rec_uni[natureza]"),"repasse.cef.terreno",
INDIRECT("tb_rec_uni[empresa]"),CE$6)</f>
        <v>0</v>
      </c>
      <c r="CF93" s="124"/>
      <c r="CG93" s="120">
        <f ca="1">SUMIFS(tb_rec_uni[2028-07-01],
INDIRECT("tb_rec_uni[natureza]"),"taxa.extra",
INDIRECT("tb_rec_uni[empresa]"),CG$6)</f>
        <v>0</v>
      </c>
      <c r="CH93" s="108"/>
      <c r="CI93" s="108">
        <f ca="1">SUMIFS(
  m.vb[valor],
  m.vb[nucleo],$CB$1,
  m.vb[variavel],CI$7,
  m.vb[mes],$A93
)</f>
        <v>0</v>
      </c>
      <c r="CJ93" s="108">
        <f ca="1">SUMIFS(
  m.vb[valor],
  m.vb[nucleo],$CB$1,
  m.vb[variavel],CJ$7,
  m.vb[mes],$A93
)</f>
        <v>0</v>
      </c>
      <c r="CK93" s="108">
        <f ca="1">SUMIFS(
  m.vb[valor],
  m.vb[nucleo],$CB$1,
  m.vb[variavel],CK$7,
  m.vb[mes],$A93
)</f>
        <v>0</v>
      </c>
      <c r="CL93" s="108">
        <f ca="1">SUMIFS(
  m.vb[valor],
  m.vb[nucleo],$CB$1,
  m.vb[variavel],CL$7,
  m.vb[mes],$A93
)</f>
        <v>0</v>
      </c>
      <c r="CM93" s="108">
        <f ca="1">SUMIFS(
  m.vb[valor],
  m.vb[nucleo],$CB$1,
  m.vb[variavel],CM$7,
  m.vb[mes],$A93
)</f>
        <v>0</v>
      </c>
      <c r="CN93" s="119">
        <f>COUNTIFS(
    tb_estq[empresa], CN$6,
    tb_estq[Data da venda / reserva], "&gt;=" &amp; $A93,
    tb_estq[Data da venda / reserva], "&lt;"  &amp; EOMONTH($A93,0) + 1
)</f>
        <v>0</v>
      </c>
      <c r="CO93" s="120">
        <f ca="1">SUMIFS(tb_rec_uni[2028-07-01],
INDIRECT("tb_rec_uni[natureza]"),"pro.soluto",
INDIRECT("tb_rec_uni[empresa]"),CO$6)</f>
        <v>0</v>
      </c>
      <c r="CP93" s="120">
        <f ca="1">SUMIFS(tb_rec_uni[2028-07-01],
INDIRECT("tb_rec_uni[natureza]"),"repasse.cef.obra",
INDIRECT("tb_rec_uni[empresa]"),CP$6)</f>
        <v>0</v>
      </c>
      <c r="CQ93" s="123">
        <f ca="1">SUMIFS(tb_rec_uni[2028-07-01],
INDIRECT("tb_rec_uni[natureza]"),"repasse.cef.terreno",
INDIRECT("tb_rec_uni[empresa]"),CQ$6)</f>
        <v>0</v>
      </c>
      <c r="CR93" s="124"/>
      <c r="CS93" s="120">
        <f ca="1">SUMIFS(tb_rec_uni[2028-07-01],
INDIRECT("tb_rec_uni[natureza]"),"taxa.extra",
INDIRECT("tb_rec_uni[empresa]"),CS$6)</f>
        <v>0</v>
      </c>
      <c r="CT93" s="108"/>
      <c r="CU93" s="108">
        <f ca="1">SUMIFS(
  m.vb[valor],
  m.vb[nucleo],$CN$1,
  m.vb[variavel],CU$7,
  m.vb[mes],$A93
)</f>
        <v>0</v>
      </c>
      <c r="CV93" s="108" cm="1">
        <f t="array" ref="CV93">SUMPRODUCT(
  IFERROR(--tb_desp[valor],0)*
  (tb_desp[nucleo]="UP MOVE VILA SONIA")*
  (tb_desp[categoria]=CV$7)*
  (tb_desp[data.pagamento]&gt;=$A93)*
  (tb_desp[data.pagamento]&lt;EOMONTH($A93,0)+1)
)</f>
        <v>0</v>
      </c>
      <c r="CW93" s="108" cm="1">
        <f t="array" ref="CW93">SUMPRODUCT(
  IFERROR(--tb_desp[valor],0)*
  (tb_desp[nucleo]="UP MOVE VILA SONIA")*
  (tb_desp[categoria]=CW$7)*
  (tb_desp[data.pagamento]&gt;=$A93)*
  (tb_desp[data.pagamento]&lt;EOMONTH($A93,0)+1)
)</f>
        <v>0</v>
      </c>
      <c r="CX93" s="108" cm="1">
        <f t="array" ref="CX93">SUMPRODUCT(
  IFERROR(--tb_desp[valor],0)*
  (tb_desp[nucleo]="UP MOVE VILA SONIA")*
  (tb_desp[categoria]=CX$7)*
  (tb_desp[data.pagamento]&gt;=$A93)*
  (tb_desp[data.pagamento]&lt;EOMONTH($A93,0)+1)
)</f>
        <v>0</v>
      </c>
      <c r="CY93" s="221" cm="1">
        <f t="array" ref="CY93">SUMPRODUCT(
  IFERROR(--tb_desp[valor],0)*
  (tb_desp[nucleo]="UP MOVE VILA SONIA")*
  (tb_desp[categoria]=CY$7)*
  (tb_desp[data.pagamento]&gt;=$A93)*
  (tb_desp[data.pagamento]&lt;EOMONTH($A93,0)+1)
)</f>
        <v>0</v>
      </c>
    </row>
    <row r="94" spans="1:103" x14ac:dyDescent="0.25">
      <c r="A94" s="118">
        <v>46966</v>
      </c>
      <c r="B94" s="119">
        <f>COUNTIFS(
    tb_estq[empresa], B$6,
    tb_estq[Data da venda / reserva], "&gt;=" &amp; $A94,
    tb_estq[Data da venda / reserva], "&lt;"  &amp; EOMONTH($A94,0) + 1
)</f>
        <v>0</v>
      </c>
      <c r="C94" s="120">
        <f ca="1">SUMIFS(tb_rec_uni[2028-08-01],
INDIRECT("tb_rec_uni[natureza]"),"pro.soluto",
INDIRECT("tb_rec_uni[empresa]"),C$6)</f>
        <v>0</v>
      </c>
      <c r="D94" s="120">
        <f ca="1">SUMIFS(tb_rec_uni[2028-08-01],
INDIRECT("tb_rec_uni[natureza]"),"repasse.cef.obra",
INDIRECT("tb_rec_uni[empresa]"),D$6)</f>
        <v>0</v>
      </c>
      <c r="E94" s="120">
        <f ca="1">SUMIFS(tb_rec_uni[2028-08-01],
INDIRECT("tb_rec_uni[natureza]"),"repasse.cef.terreno",
INDIRECT("tb_rec_uni[empresa]"),E$6)</f>
        <v>0</v>
      </c>
      <c r="F94" s="124"/>
      <c r="G94" s="120">
        <f ca="1">SUMIFS(tb_rec_uni[2028-08-01],
INDIRECT("tb_rec_uni[natureza]"),"taxa.extra",
INDIRECT("tb_rec_uni[empresa]"),G$6)</f>
        <v>0</v>
      </c>
      <c r="H94" s="108"/>
      <c r="I94" s="108">
        <f ca="1">SUMIFS(
  m.vb[valor],
  m.vb[nucleo],$B$1,
  m.vb[variavel],I$7,
  m.vb[mes],$A94
)</f>
        <v>0</v>
      </c>
      <c r="J94" s="108">
        <f ca="1">SUMIFS(
  m.vb[valor],
  m.vb[nucleo],$B$1,
  m.vb[variavel],J$7,
  m.vb[mes],$A94
)</f>
        <v>0</v>
      </c>
      <c r="K94" s="108">
        <f ca="1">SUMIFS(
  m.vb[valor],
  m.vb[nucleo],$B$1,
  m.vb[variavel],K$7,
  m.vb[mes],$A94
)</f>
        <v>0</v>
      </c>
      <c r="L94" s="108">
        <f ca="1">SUMIFS(
  m.vb[valor],
  m.vb[nucleo],$B$1,
  m.vb[variavel],L$7,
  m.vb[mes],$A94
)</f>
        <v>0</v>
      </c>
      <c r="M94" s="108">
        <f ca="1">SUMIFS(
  m.vb[valor],
  m.vb[nucleo],$B$1,
  m.vb[variavel],M$7,
  m.vb[mes],$A94
)</f>
        <v>0</v>
      </c>
      <c r="N94" s="119">
        <f>COUNTIFS(
    tb_estq[empresa], N$6,
    tb_estq[Data da venda / reserva], "&gt;=" &amp; $A94,
    tb_estq[Data da venda / reserva], "&lt;"  &amp; EOMONTH($A94,0) + 1
)</f>
        <v>0</v>
      </c>
      <c r="O94" s="120">
        <f ca="1">SUMIFS(tb_rec_uni[2028-08-01],
INDIRECT("tb_rec_uni[natureza]"),"pro.soluto",
INDIRECT("tb_rec_uni[empresa]"),O$6)</f>
        <v>0</v>
      </c>
      <c r="P94" s="120">
        <f ca="1">SUMIFS(tb_rec_uni[2028-08-01],
INDIRECT("tb_rec_uni[natureza]"),"repasse.cef.obra",
INDIRECT("tb_rec_uni[empresa]"),P$6)</f>
        <v>0</v>
      </c>
      <c r="Q94" s="120">
        <f ca="1">SUMIFS(tb_rec_uni[2028-08-01],
INDIRECT("tb_rec_uni[natureza]"),"repasse.cef.terreno",
INDIRECT("tb_rec_uni[empresa]"),Q$6)</f>
        <v>0</v>
      </c>
      <c r="R94" s="124"/>
      <c r="S94" s="120">
        <f ca="1">SUMIFS(tb_rec_uni[2028-08-01],
INDIRECT("tb_rec_uni[natureza]"),"taxa.extra",
INDIRECT("tb_rec_uni[empresa]"),S$6)</f>
        <v>0</v>
      </c>
      <c r="T94" s="108"/>
      <c r="U94" s="108">
        <f ca="1">SUMIFS(
  m.vb[valor],
  m.vb[nucleo],$N$1,
  m.vb[variavel],U$7,
  m.vb[mes],$A94
)</f>
        <v>0</v>
      </c>
      <c r="V94" s="108">
        <f ca="1">SUMIFS(
  m.vb[valor],
  m.vb[nucleo],$N$1,
  m.vb[variavel],V$7,
  m.vb[mes],$A94
)</f>
        <v>0</v>
      </c>
      <c r="W94" s="108">
        <f ca="1">SUMIFS(
  m.vb[valor],
  m.vb[nucleo],$N$1,
  m.vb[variavel],W$7,
  m.vb[mes],$A94
)</f>
        <v>0</v>
      </c>
      <c r="X94" s="108">
        <f ca="1">SUMIFS(
  m.vb[valor],
  m.vb[nucleo],$N$1,
  m.vb[variavel],X$7,
  m.vb[mes],$A94
)</f>
        <v>0</v>
      </c>
      <c r="Y94" s="108">
        <f ca="1">SUMIFS(
  m.vb[valor],
  m.vb[nucleo],$N$1,
  m.vb[variavel],Y$7,
  m.vb[mes],$A94
)</f>
        <v>0</v>
      </c>
      <c r="Z94" s="119">
        <f>COUNTIFS(
    tb_estq[empresa], Z$6,
    tb_estq[Data da venda / reserva], "&gt;=" &amp; $A94,
    tb_estq[Data da venda / reserva], "&lt;"  &amp; EOMONTH($A94,0) + 1
)</f>
        <v>0</v>
      </c>
      <c r="AA94" s="120">
        <f ca="1">SUMIFS(tb_rec_uni[2028-08-01],
INDIRECT("tb_rec_uni[natureza]"),"pro.soluto",
INDIRECT("tb_rec_uni[empresa]"),AA$6)</f>
        <v>0</v>
      </c>
      <c r="AB94" s="124">
        <f ca="1">SUMIFS(tb_rec_uni[2028-08-01],
INDIRECT("tb_rec_uni[natureza]"),"parcela.fin.total.ik",
INDIRECT("tb_rec_uni[empresa]"),AB$6)</f>
        <v>0</v>
      </c>
      <c r="AC94" s="120">
        <f ca="1">SUMIFS(tb_rec_uni[2028-08-01],
INDIRECT("tb_rec_uni[natureza]"),"taxa.extra",
INDIRECT("tb_rec_uni[empresa]"),AC$6)</f>
        <v>0</v>
      </c>
      <c r="AD94" s="108"/>
      <c r="AE94" s="108">
        <f ca="1">SUMIFS(
  m.vb[valor],
  m.vb[nucleo],$Z$1,
  m.vb[variavel],AE$7,
  m.vb[mes],$A94
)</f>
        <v>0</v>
      </c>
      <c r="AF94" s="108">
        <f ca="1">SUMIFS(
  m.vb[valor],
  m.vb[nucleo],$Z$1,
  m.vb[variavel],AF$7,
  m.vb[mes],$A94
)</f>
        <v>0</v>
      </c>
      <c r="AG94" s="108">
        <f ca="1">SUMIFS(
  m.vb[valor],
  m.vb[nucleo],$Z$1,
  m.vb[variavel],AG$7,
  m.vb[mes],$A94
)</f>
        <v>0</v>
      </c>
      <c r="AH94" s="108">
        <f ca="1">SUMIFS(
  m.vb[valor],
  m.vb[nucleo],$Z$1,
  m.vb[variavel],AH$7,
  m.vb[mes],$A94
)</f>
        <v>0</v>
      </c>
      <c r="AI94" s="108">
        <f ca="1">SUMIFS(
  m.vb[valor],
  m.vb[nucleo],$Z$1,
  m.vb[variavel],AI$7,
  m.vb[mes],$A94
)</f>
        <v>0</v>
      </c>
      <c r="AJ94" s="119">
        <f>COUNTIFS(
    tb_estq[empresa], AJ$6,
    tb_estq[Data da venda / reserva], "&gt;=" &amp; $A94,
    tb_estq[Data da venda / reserva], "&lt;"  &amp; EOMONTH($A94,0) + 1
)</f>
        <v>0</v>
      </c>
      <c r="AK94" s="120">
        <f ca="1">SUMIFS(tb_rec_uni[2028-08-01],
INDIRECT("tb_rec_uni[natureza]"),"pro.soluto",
INDIRECT("tb_rec_uni[empresa]"),AK$6)</f>
        <v>0</v>
      </c>
      <c r="AL94" s="120">
        <f ca="1">SUMIFS(tb_rec_uni[2028-08-01],
INDIRECT("tb_rec_uni[natureza]"),"repasse.cef.obra",
INDIRECT("tb_rec_uni[empresa]"),AL$6)</f>
        <v>0</v>
      </c>
      <c r="AM94" s="123">
        <f ca="1">SUMIFS(tb_rec_uni[2028-08-01],
INDIRECT("tb_rec_uni[natureza]"),"repasse.cef.terreno",
INDIRECT("tb_rec_uni[empresa]"),AM$6)</f>
        <v>0</v>
      </c>
      <c r="AN94" s="124"/>
      <c r="AO94" s="120">
        <f ca="1">SUMIFS(tb_rec_uni[2028-08-01],
INDIRECT("tb_rec_uni[natureza]"),"taxa.extra",
INDIRECT("tb_rec_uni[empresa]"),AO$6)</f>
        <v>0</v>
      </c>
      <c r="AP94" s="108"/>
      <c r="AQ94" s="108">
        <f ca="1">SUMIFS(
  m.vb[valor],
  m.vb[nucleo],$AJ$1,
  m.vb[variavel],AQ$7,
  m.vb[mes],$A94
)</f>
        <v>0</v>
      </c>
      <c r="AR94" s="108">
        <f ca="1">SUMIFS(
  m.vb[valor],
  m.vb[nucleo],$AJ$1,
  m.vb[variavel],AR$7,
  m.vb[mes],$A94
)</f>
        <v>0</v>
      </c>
      <c r="AS94" s="108">
        <f ca="1">SUMIFS(
  m.vb[valor],
  m.vb[nucleo],$AJ$1,
  m.vb[variavel],AS$7,
  m.vb[mes],$A94
)</f>
        <v>0</v>
      </c>
      <c r="AT94" s="108">
        <f ca="1">SUMIFS(
  m.vb[valor],
  m.vb[nucleo],$AJ$1,
  m.vb[variavel],AT$7,
  m.vb[mes],$A94
)</f>
        <v>0</v>
      </c>
      <c r="AU94" s="108">
        <f ca="1">SUMIFS(
  m.vb[valor],
  m.vb[nucleo],$AJ$1,
  m.vb[variavel],AU$7,
  m.vb[mes],$A94
)</f>
        <v>0</v>
      </c>
      <c r="AV94" s="119">
        <f>COUNTIFS(
    tb_estq[empresa], AV$6,
    tb_estq[Data da venda / reserva], "&gt;=" &amp; $A94,
    tb_estq[Data da venda / reserva], "&lt;"  &amp; EOMONTH($A94,0) + 1
)</f>
        <v>0</v>
      </c>
      <c r="AW94" s="120">
        <f ca="1">SUMIFS(tb_rec_uni[2028-08-01],
INDIRECT("tb_rec_uni[natureza]"),"pro.soluto",
INDIRECT("tb_rec_uni[empresa]"),AW$6)</f>
        <v>0</v>
      </c>
      <c r="AX94" s="120">
        <f ca="1">SUMIFS(tb_rec_uni[2028-08-01],
INDIRECT("tb_rec_uni[natureza]"),"repasse.cef.obra",
INDIRECT("tb_rec_uni[empresa]"),AX$6)</f>
        <v>0</v>
      </c>
      <c r="AY94" s="123">
        <f ca="1">SUMIFS(tb_rec_uni[2028-08-01],
INDIRECT("tb_rec_uni[natureza]"),"repasse.cef.terreno",
INDIRECT("tb_rec_uni[empresa]"),AY$6)</f>
        <v>0</v>
      </c>
      <c r="AZ94" s="124"/>
      <c r="BA94" s="120">
        <f ca="1">SUMIFS(tb_rec_uni[2028-08-01],
INDIRECT("tb_rec_uni[natureza]"),"taxa.extra",
INDIRECT("tb_rec_uni[empresa]"),BA$6)</f>
        <v>0</v>
      </c>
      <c r="BB94" s="108"/>
      <c r="BC94" s="108">
        <f ca="1">SUMIFS(
  m.vb[valor],
  m.vb[nucleo],$AV$1,
  m.vb[variavel],BC$7,
  m.vb[mes],$A94
)</f>
        <v>0</v>
      </c>
      <c r="BD94" s="108">
        <f ca="1">SUMIFS(
  m.vb[valor],
  m.vb[nucleo],$AV$1,
  m.vb[variavel],BD$7,
  m.vb[mes],$A94
)</f>
        <v>0</v>
      </c>
      <c r="BE94" s="108">
        <f ca="1">SUMIFS(
  m.vb[valor],
  m.vb[nucleo],$AV$1,
  m.vb[variavel],BE$7,
  m.vb[mes],$A94
)</f>
        <v>0</v>
      </c>
      <c r="BF94" s="108">
        <f ca="1">SUMIFS(
  m.vb[valor],
  m.vb[nucleo],$AV$1,
  m.vb[variavel],BF$7,
  m.vb[mes],$A94
)</f>
        <v>0</v>
      </c>
      <c r="BG94" s="108">
        <f ca="1">SUMIFS(
  m.vb[valor],
  m.vb[nucleo],$AV$1,
  m.vb[variavel],BG$7,
  m.vb[mes],$A94
)</f>
        <v>0</v>
      </c>
      <c r="BH94" s="119">
        <f>COUNTIFS(
    tb_estq[empresa], BH$6,
    tb_estq[Data da venda / reserva], "&gt;=" &amp; $A94,
    tb_estq[Data da venda / reserva], "&lt;"  &amp; EOMONTH($A94,0) + 1
)</f>
        <v>0</v>
      </c>
      <c r="BI94" s="120">
        <f ca="1">SUMIFS(tb_rec_uni[2028-08-01],
INDIRECT("tb_rec_uni[natureza]"),"pro.soluto",
INDIRECT("tb_rec_uni[empresa]"),BI$6)</f>
        <v>0</v>
      </c>
      <c r="BJ94" s="124"/>
      <c r="BK94" s="120">
        <f ca="1">SUMIFS(tb_rec_uni[2028-08-01],
INDIRECT("tb_rec_uni[natureza]"),"taxa.extra",
INDIRECT("tb_rec_uni[empresa]"),BK$6)</f>
        <v>0</v>
      </c>
      <c r="BL94" s="108"/>
      <c r="BM94" s="108">
        <f ca="1">SUMIFS(
  m.vb[valor],
  m.vb[nucleo],$BH$1,
  m.vb[variavel],BM$7,
  m.vb[mes],$A94
)</f>
        <v>0</v>
      </c>
      <c r="BN94" s="108">
        <f ca="1">SUMIFS(
  m.vb[valor],
  m.vb[nucleo],$BH$1,
  m.vb[variavel],BN$7,
  m.vb[mes],$A94
)</f>
        <v>0</v>
      </c>
      <c r="BO94" s="108">
        <f ca="1">SUMIFS(
  m.vb[valor],
  m.vb[nucleo],$BH$1,
  m.vb[variavel],BO$7,
  m.vb[mes],$A94
)</f>
        <v>0</v>
      </c>
      <c r="BP94" s="108">
        <f ca="1">SUMIFS(
  m.vb[valor],
  m.vb[nucleo],$BH$1,
  m.vb[variavel],BP$7,
  m.vb[mes],$A94
)</f>
        <v>0</v>
      </c>
      <c r="BQ94" s="108">
        <f ca="1">SUMIFS(
  m.vb[valor],
  m.vb[nucleo],$BH$1,
  m.vb[variavel],BQ$7,
  m.vb[mes],$A94
)</f>
        <v>0</v>
      </c>
      <c r="BR94" s="119">
        <f>COUNTIFS(
    tb_estq[empresa], BR$6,
    tb_estq[Data da venda / reserva], "&gt;=" &amp; $A94,
    tb_estq[Data da venda / reserva], "&lt;"  &amp; EOMONTH($A94,0) + 1
)</f>
        <v>0</v>
      </c>
      <c r="BS94" s="120">
        <f ca="1">SUMIFS(tb_rec_uni[2028-08-01],
INDIRECT("tb_rec_uni[natureza]"),"pro.soluto",
INDIRECT("tb_rec_uni[empresa]"),BS$6)</f>
        <v>0</v>
      </c>
      <c r="BT94" s="124">
        <f ca="1">SUMIFS(tb_rec_uni[2028-08-01],
INDIRECT("tb_rec_uni[natureza]"),"parcela.fin.total.ik",
INDIRECT("tb_rec_uni[empresa]"),BT$6)</f>
        <v>0</v>
      </c>
      <c r="BU94" s="120">
        <f ca="1">SUMIFS(tb_rec_uni[2028-08-01],
INDIRECT("tb_rec_uni[natureza]"),"taxa.extra",
INDIRECT("tb_rec_uni[empresa]"),BU$6)</f>
        <v>0</v>
      </c>
      <c r="BV94" s="108"/>
      <c r="BW94" s="108">
        <f ca="1">SUMIFS(
  m.vb[valor],
  m.vb[nucleo],$BR$1,
  m.vb[variavel],BW$7,
  m.vb[mes],$A94
)</f>
        <v>0</v>
      </c>
      <c r="BX94" s="108">
        <f ca="1">SUMIFS(
  m.vb[valor],
  m.vb[nucleo],$BR$1,
  m.vb[variavel],BX$7,
  m.vb[mes],$A94
)</f>
        <v>0</v>
      </c>
      <c r="BY94" s="108">
        <f ca="1">SUMIFS(
  m.vb[valor],
  m.vb[nucleo],$BR$1,
  m.vb[variavel],BY$7,
  m.vb[mes],$A94
)</f>
        <v>0</v>
      </c>
      <c r="BZ94" s="108">
        <f ca="1">SUMIFS(
  m.vb[valor],
  m.vb[nucleo],$BR$1,
  m.vb[variavel],BZ$7,
  m.vb[mes],$A94
)</f>
        <v>0</v>
      </c>
      <c r="CA94" s="108">
        <f ca="1">SUMIFS(
  m.vb[valor],
  m.vb[nucleo],$BR$1,
  m.vb[variavel],CA$7,
  m.vb[mes],$A94
)</f>
        <v>0</v>
      </c>
      <c r="CB94" s="119">
        <f>COUNTIFS(
    tb_estq[empresa], CB$6,
    tb_estq[Data da venda / reserva], "&gt;=" &amp; $A94,
    tb_estq[Data da venda / reserva], "&lt;"  &amp; EOMONTH($A94,0) + 1
)</f>
        <v>0</v>
      </c>
      <c r="CC94" s="120">
        <f ca="1">SUMIFS(tb_rec_uni[2028-08-01],
INDIRECT("tb_rec_uni[natureza]"),"pro.soluto",
INDIRECT("tb_rec_uni[empresa]"),CC$6)</f>
        <v>0</v>
      </c>
      <c r="CD94" s="120">
        <f ca="1">SUMIFS(tb_rec_uni[2028-08-01],
INDIRECT("tb_rec_uni[natureza]"),"repasse.cef.obra",
INDIRECT("tb_rec_uni[empresa]"),CD$6)</f>
        <v>0</v>
      </c>
      <c r="CE94" s="123">
        <f ca="1">SUMIFS(tb_rec_uni[2028-08-01],
INDIRECT("tb_rec_uni[natureza]"),"repasse.cef.terreno",
INDIRECT("tb_rec_uni[empresa]"),CE$6)</f>
        <v>0</v>
      </c>
      <c r="CF94" s="124"/>
      <c r="CG94" s="120">
        <f ca="1">SUMIFS(tb_rec_uni[2028-08-01],
INDIRECT("tb_rec_uni[natureza]"),"taxa.extra",
INDIRECT("tb_rec_uni[empresa]"),CG$6)</f>
        <v>0</v>
      </c>
      <c r="CH94" s="108"/>
      <c r="CI94" s="108">
        <f ca="1">SUMIFS(
  m.vb[valor],
  m.vb[nucleo],$CB$1,
  m.vb[variavel],CI$7,
  m.vb[mes],$A94
)</f>
        <v>0</v>
      </c>
      <c r="CJ94" s="108">
        <f ca="1">SUMIFS(
  m.vb[valor],
  m.vb[nucleo],$CB$1,
  m.vb[variavel],CJ$7,
  m.vb[mes],$A94
)</f>
        <v>0</v>
      </c>
      <c r="CK94" s="108">
        <f ca="1">SUMIFS(
  m.vb[valor],
  m.vb[nucleo],$CB$1,
  m.vb[variavel],CK$7,
  m.vb[mes],$A94
)</f>
        <v>0</v>
      </c>
      <c r="CL94" s="108">
        <f ca="1">SUMIFS(
  m.vb[valor],
  m.vb[nucleo],$CB$1,
  m.vb[variavel],CL$7,
  m.vb[mes],$A94
)</f>
        <v>0</v>
      </c>
      <c r="CM94" s="108">
        <f ca="1">SUMIFS(
  m.vb[valor],
  m.vb[nucleo],$CB$1,
  m.vb[variavel],CM$7,
  m.vb[mes],$A94
)</f>
        <v>0</v>
      </c>
      <c r="CN94" s="119">
        <f>COUNTIFS(
    tb_estq[empresa], CN$6,
    tb_estq[Data da venda / reserva], "&gt;=" &amp; $A94,
    tb_estq[Data da venda / reserva], "&lt;"  &amp; EOMONTH($A94,0) + 1
)</f>
        <v>0</v>
      </c>
      <c r="CO94" s="120">
        <f ca="1">SUMIFS(tb_rec_uni[2028-08-01],
INDIRECT("tb_rec_uni[natureza]"),"pro.soluto",
INDIRECT("tb_rec_uni[empresa]"),CO$6)</f>
        <v>0</v>
      </c>
      <c r="CP94" s="120">
        <f ca="1">SUMIFS(tb_rec_uni[2028-08-01],
INDIRECT("tb_rec_uni[natureza]"),"repasse.cef.obra",
INDIRECT("tb_rec_uni[empresa]"),CP$6)</f>
        <v>0</v>
      </c>
      <c r="CQ94" s="123">
        <f ca="1">SUMIFS(tb_rec_uni[2028-08-01],
INDIRECT("tb_rec_uni[natureza]"),"repasse.cef.terreno",
INDIRECT("tb_rec_uni[empresa]"),CQ$6)</f>
        <v>0</v>
      </c>
      <c r="CR94" s="124"/>
      <c r="CS94" s="120">
        <f ca="1">SUMIFS(tb_rec_uni[2028-08-01],
INDIRECT("tb_rec_uni[natureza]"),"taxa.extra",
INDIRECT("tb_rec_uni[empresa]"),CS$6)</f>
        <v>0</v>
      </c>
      <c r="CT94" s="108"/>
      <c r="CU94" s="108">
        <f ca="1">SUMIFS(
  m.vb[valor],
  m.vb[nucleo],$CN$1,
  m.vb[variavel],CU$7,
  m.vb[mes],$A94
)</f>
        <v>0</v>
      </c>
      <c r="CV94" s="108" cm="1">
        <f t="array" ref="CV94">SUMPRODUCT(
  IFERROR(--tb_desp[valor],0)*
  (tb_desp[nucleo]="UP MOVE VILA SONIA")*
  (tb_desp[categoria]=CV$7)*
  (tb_desp[data.pagamento]&gt;=$A94)*
  (tb_desp[data.pagamento]&lt;EOMONTH($A94,0)+1)
)</f>
        <v>0</v>
      </c>
      <c r="CW94" s="108" cm="1">
        <f t="array" ref="CW94">SUMPRODUCT(
  IFERROR(--tb_desp[valor],0)*
  (tb_desp[nucleo]="UP MOVE VILA SONIA")*
  (tb_desp[categoria]=CW$7)*
  (tb_desp[data.pagamento]&gt;=$A94)*
  (tb_desp[data.pagamento]&lt;EOMONTH($A94,0)+1)
)</f>
        <v>0</v>
      </c>
      <c r="CX94" s="108" cm="1">
        <f t="array" ref="CX94">SUMPRODUCT(
  IFERROR(--tb_desp[valor],0)*
  (tb_desp[nucleo]="UP MOVE VILA SONIA")*
  (tb_desp[categoria]=CX$7)*
  (tb_desp[data.pagamento]&gt;=$A94)*
  (tb_desp[data.pagamento]&lt;EOMONTH($A94,0)+1)
)</f>
        <v>0</v>
      </c>
      <c r="CY94" s="221" cm="1">
        <f t="array" ref="CY94">SUMPRODUCT(
  IFERROR(--tb_desp[valor],0)*
  (tb_desp[nucleo]="UP MOVE VILA SONIA")*
  (tb_desp[categoria]=CY$7)*
  (tb_desp[data.pagamento]&gt;=$A94)*
  (tb_desp[data.pagamento]&lt;EOMONTH($A94,0)+1)
)</f>
        <v>0</v>
      </c>
    </row>
    <row r="95" spans="1:103" x14ac:dyDescent="0.25">
      <c r="A95" s="118">
        <v>46997</v>
      </c>
      <c r="B95" s="119">
        <f>COUNTIFS(
    tb_estq[empresa], B$6,
    tb_estq[Data da venda / reserva], "&gt;=" &amp; $A95,
    tb_estq[Data da venda / reserva], "&lt;"  &amp; EOMONTH($A95,0) + 1
)</f>
        <v>0</v>
      </c>
      <c r="C95" s="120">
        <f ca="1">SUMIFS(tb_rec_uni[2028-09-01],
INDIRECT("tb_rec_uni[natureza]"),"pro.soluto",
INDIRECT("tb_rec_uni[empresa]"),C$6)</f>
        <v>0</v>
      </c>
      <c r="D95" s="120">
        <f ca="1">SUMIFS(tb_rec_uni[2028-09-01],
INDIRECT("tb_rec_uni[natureza]"),"repasse.cef.obra",
INDIRECT("tb_rec_uni[empresa]"),D$6)</f>
        <v>0</v>
      </c>
      <c r="E95" s="120">
        <f ca="1">SUMIFS(tb_rec_uni[2028-09-01],
INDIRECT("tb_rec_uni[natureza]"),"repasse.cef.terreno",
INDIRECT("tb_rec_uni[empresa]"),E$6)</f>
        <v>0</v>
      </c>
      <c r="F95" s="124"/>
      <c r="G95" s="120">
        <f ca="1">SUMIFS(tb_rec_uni[2028-09-01],
INDIRECT("tb_rec_uni[natureza]"),"taxa.extra",
INDIRECT("tb_rec_uni[empresa]"),G$6)</f>
        <v>0</v>
      </c>
      <c r="H95" s="108"/>
      <c r="I95" s="108">
        <f ca="1">SUMIFS(
  m.vb[valor],
  m.vb[nucleo],$B$1,
  m.vb[variavel],I$7,
  m.vb[mes],$A95
)</f>
        <v>0</v>
      </c>
      <c r="J95" s="108">
        <f ca="1">SUMIFS(
  m.vb[valor],
  m.vb[nucleo],$B$1,
  m.vb[variavel],J$7,
  m.vb[mes],$A95
)</f>
        <v>0</v>
      </c>
      <c r="K95" s="108">
        <f ca="1">SUMIFS(
  m.vb[valor],
  m.vb[nucleo],$B$1,
  m.vb[variavel],K$7,
  m.vb[mes],$A95
)</f>
        <v>0</v>
      </c>
      <c r="L95" s="108">
        <f ca="1">SUMIFS(
  m.vb[valor],
  m.vb[nucleo],$B$1,
  m.vb[variavel],L$7,
  m.vb[mes],$A95
)</f>
        <v>0</v>
      </c>
      <c r="M95" s="108">
        <f ca="1">SUMIFS(
  m.vb[valor],
  m.vb[nucleo],$B$1,
  m.vb[variavel],M$7,
  m.vb[mes],$A95
)</f>
        <v>0</v>
      </c>
      <c r="N95" s="119">
        <f>COUNTIFS(
    tb_estq[empresa], N$6,
    tb_estq[Data da venda / reserva], "&gt;=" &amp; $A95,
    tb_estq[Data da venda / reserva], "&lt;"  &amp; EOMONTH($A95,0) + 1
)</f>
        <v>0</v>
      </c>
      <c r="O95" s="120">
        <f ca="1">SUMIFS(tb_rec_uni[2028-09-01],
INDIRECT("tb_rec_uni[natureza]"),"pro.soluto",
INDIRECT("tb_rec_uni[empresa]"),O$6)</f>
        <v>0</v>
      </c>
      <c r="P95" s="120">
        <f ca="1">SUMIFS(tb_rec_uni[2028-09-01],
INDIRECT("tb_rec_uni[natureza]"),"repasse.cef.obra",
INDIRECT("tb_rec_uni[empresa]"),P$6)</f>
        <v>0</v>
      </c>
      <c r="Q95" s="120">
        <f ca="1">SUMIFS(tb_rec_uni[2028-09-01],
INDIRECT("tb_rec_uni[natureza]"),"repasse.cef.terreno",
INDIRECT("tb_rec_uni[empresa]"),Q$6)</f>
        <v>0</v>
      </c>
      <c r="R95" s="124"/>
      <c r="S95" s="120">
        <f ca="1">SUMIFS(tb_rec_uni[2028-09-01],
INDIRECT("tb_rec_uni[natureza]"),"taxa.extra",
INDIRECT("tb_rec_uni[empresa]"),S$6)</f>
        <v>0</v>
      </c>
      <c r="T95" s="108"/>
      <c r="U95" s="108">
        <f ca="1">SUMIFS(
  m.vb[valor],
  m.vb[nucleo],$N$1,
  m.vb[variavel],U$7,
  m.vb[mes],$A95
)</f>
        <v>0</v>
      </c>
      <c r="V95" s="108">
        <f ca="1">SUMIFS(
  m.vb[valor],
  m.vb[nucleo],$N$1,
  m.vb[variavel],V$7,
  m.vb[mes],$A95
)</f>
        <v>0</v>
      </c>
      <c r="W95" s="108">
        <f ca="1">SUMIFS(
  m.vb[valor],
  m.vb[nucleo],$N$1,
  m.vb[variavel],W$7,
  m.vb[mes],$A95
)</f>
        <v>0</v>
      </c>
      <c r="X95" s="108">
        <f ca="1">SUMIFS(
  m.vb[valor],
  m.vb[nucleo],$N$1,
  m.vb[variavel],X$7,
  m.vb[mes],$A95
)</f>
        <v>0</v>
      </c>
      <c r="Y95" s="108">
        <f ca="1">SUMIFS(
  m.vb[valor],
  m.vb[nucleo],$N$1,
  m.vb[variavel],Y$7,
  m.vb[mes],$A95
)</f>
        <v>0</v>
      </c>
      <c r="Z95" s="119">
        <f>COUNTIFS(
    tb_estq[empresa], Z$6,
    tb_estq[Data da venda / reserva], "&gt;=" &amp; $A95,
    tb_estq[Data da venda / reserva], "&lt;"  &amp; EOMONTH($A95,0) + 1
)</f>
        <v>0</v>
      </c>
      <c r="AA95" s="120">
        <f ca="1">SUMIFS(tb_rec_uni[2028-09-01],
INDIRECT("tb_rec_uni[natureza]"),"pro.soluto",
INDIRECT("tb_rec_uni[empresa]"),AA$6)</f>
        <v>0</v>
      </c>
      <c r="AB95" s="124">
        <f ca="1">SUMIFS(tb_rec_uni[2028-09-01],
INDIRECT("tb_rec_uni[natureza]"),"parcela.fin.total.ik",
INDIRECT("tb_rec_uni[empresa]"),AB$6)</f>
        <v>0</v>
      </c>
      <c r="AC95" s="120">
        <f ca="1">SUMIFS(tb_rec_uni[2028-09-01],
INDIRECT("tb_rec_uni[natureza]"),"taxa.extra",
INDIRECT("tb_rec_uni[empresa]"),AC$6)</f>
        <v>0</v>
      </c>
      <c r="AD95" s="108"/>
      <c r="AE95" s="108">
        <f ca="1">SUMIFS(
  m.vb[valor],
  m.vb[nucleo],$Z$1,
  m.vb[variavel],AE$7,
  m.vb[mes],$A95
)</f>
        <v>0</v>
      </c>
      <c r="AF95" s="108">
        <f ca="1">SUMIFS(
  m.vb[valor],
  m.vb[nucleo],$Z$1,
  m.vb[variavel],AF$7,
  m.vb[mes],$A95
)</f>
        <v>0</v>
      </c>
      <c r="AG95" s="108">
        <f ca="1">SUMIFS(
  m.vb[valor],
  m.vb[nucleo],$Z$1,
  m.vb[variavel],AG$7,
  m.vb[mes],$A95
)</f>
        <v>0</v>
      </c>
      <c r="AH95" s="108">
        <f ca="1">SUMIFS(
  m.vb[valor],
  m.vb[nucleo],$Z$1,
  m.vb[variavel],AH$7,
  m.vb[mes],$A95
)</f>
        <v>0</v>
      </c>
      <c r="AI95" s="108">
        <f ca="1">SUMIFS(
  m.vb[valor],
  m.vb[nucleo],$Z$1,
  m.vb[variavel],AI$7,
  m.vb[mes],$A95
)</f>
        <v>0</v>
      </c>
      <c r="AJ95" s="119">
        <f>COUNTIFS(
    tb_estq[empresa], AJ$6,
    tb_estq[Data da venda / reserva], "&gt;=" &amp; $A95,
    tb_estq[Data da venda / reserva], "&lt;"  &amp; EOMONTH($A95,0) + 1
)</f>
        <v>0</v>
      </c>
      <c r="AK95" s="120">
        <f ca="1">SUMIFS(tb_rec_uni[2028-09-01],
INDIRECT("tb_rec_uni[natureza]"),"pro.soluto",
INDIRECT("tb_rec_uni[empresa]"),AK$6)</f>
        <v>0</v>
      </c>
      <c r="AL95" s="120">
        <f ca="1">SUMIFS(tb_rec_uni[2028-09-01],
INDIRECT("tb_rec_uni[natureza]"),"repasse.cef.obra",
INDIRECT("tb_rec_uni[empresa]"),AL$6)</f>
        <v>0</v>
      </c>
      <c r="AM95" s="123">
        <f ca="1">SUMIFS(tb_rec_uni[2028-09-01],
INDIRECT("tb_rec_uni[natureza]"),"repasse.cef.terreno",
INDIRECT("tb_rec_uni[empresa]"),AM$6)</f>
        <v>0</v>
      </c>
      <c r="AN95" s="124"/>
      <c r="AO95" s="120">
        <f ca="1">SUMIFS(tb_rec_uni[2028-09-01],
INDIRECT("tb_rec_uni[natureza]"),"taxa.extra",
INDIRECT("tb_rec_uni[empresa]"),AO$6)</f>
        <v>0</v>
      </c>
      <c r="AP95" s="108"/>
      <c r="AQ95" s="108">
        <f ca="1">SUMIFS(
  m.vb[valor],
  m.vb[nucleo],$AJ$1,
  m.vb[variavel],AQ$7,
  m.vb[mes],$A95
)</f>
        <v>0</v>
      </c>
      <c r="AR95" s="108">
        <f ca="1">SUMIFS(
  m.vb[valor],
  m.vb[nucleo],$AJ$1,
  m.vb[variavel],AR$7,
  m.vb[mes],$A95
)</f>
        <v>0</v>
      </c>
      <c r="AS95" s="108">
        <f ca="1">SUMIFS(
  m.vb[valor],
  m.vb[nucleo],$AJ$1,
  m.vb[variavel],AS$7,
  m.vb[mes],$A95
)</f>
        <v>0</v>
      </c>
      <c r="AT95" s="108">
        <f ca="1">SUMIFS(
  m.vb[valor],
  m.vb[nucleo],$AJ$1,
  m.vb[variavel],AT$7,
  m.vb[mes],$A95
)</f>
        <v>0</v>
      </c>
      <c r="AU95" s="108">
        <f ca="1">SUMIFS(
  m.vb[valor],
  m.vb[nucleo],$AJ$1,
  m.vb[variavel],AU$7,
  m.vb[mes],$A95
)</f>
        <v>0</v>
      </c>
      <c r="AV95" s="119">
        <f>COUNTIFS(
    tb_estq[empresa], AV$6,
    tb_estq[Data da venda / reserva], "&gt;=" &amp; $A95,
    tb_estq[Data da venda / reserva], "&lt;"  &amp; EOMONTH($A95,0) + 1
)</f>
        <v>0</v>
      </c>
      <c r="AW95" s="120">
        <f ca="1">SUMIFS(tb_rec_uni[2028-09-01],
INDIRECT("tb_rec_uni[natureza]"),"pro.soluto",
INDIRECT("tb_rec_uni[empresa]"),AW$6)</f>
        <v>0</v>
      </c>
      <c r="AX95" s="120">
        <f ca="1">SUMIFS(tb_rec_uni[2028-09-01],
INDIRECT("tb_rec_uni[natureza]"),"repasse.cef.obra",
INDIRECT("tb_rec_uni[empresa]"),AX$6)</f>
        <v>0</v>
      </c>
      <c r="AY95" s="123">
        <f ca="1">SUMIFS(tb_rec_uni[2028-09-01],
INDIRECT("tb_rec_uni[natureza]"),"repasse.cef.terreno",
INDIRECT("tb_rec_uni[empresa]"),AY$6)</f>
        <v>0</v>
      </c>
      <c r="AZ95" s="124"/>
      <c r="BA95" s="120">
        <f ca="1">SUMIFS(tb_rec_uni[2028-09-01],
INDIRECT("tb_rec_uni[natureza]"),"taxa.extra",
INDIRECT("tb_rec_uni[empresa]"),BA$6)</f>
        <v>0</v>
      </c>
      <c r="BB95" s="108"/>
      <c r="BC95" s="108">
        <f ca="1">SUMIFS(
  m.vb[valor],
  m.vb[nucleo],$AV$1,
  m.vb[variavel],BC$7,
  m.vb[mes],$A95
)</f>
        <v>0</v>
      </c>
      <c r="BD95" s="108">
        <f ca="1">SUMIFS(
  m.vb[valor],
  m.vb[nucleo],$AV$1,
  m.vb[variavel],BD$7,
  m.vb[mes],$A95
)</f>
        <v>0</v>
      </c>
      <c r="BE95" s="108">
        <f ca="1">SUMIFS(
  m.vb[valor],
  m.vb[nucleo],$AV$1,
  m.vb[variavel],BE$7,
  m.vb[mes],$A95
)</f>
        <v>0</v>
      </c>
      <c r="BF95" s="108">
        <f ca="1">SUMIFS(
  m.vb[valor],
  m.vb[nucleo],$AV$1,
  m.vb[variavel],BF$7,
  m.vb[mes],$A95
)</f>
        <v>0</v>
      </c>
      <c r="BG95" s="108">
        <f ca="1">SUMIFS(
  m.vb[valor],
  m.vb[nucleo],$AV$1,
  m.vb[variavel],BG$7,
  m.vb[mes],$A95
)</f>
        <v>0</v>
      </c>
      <c r="BH95" s="119">
        <f>COUNTIFS(
    tb_estq[empresa], BH$6,
    tb_estq[Data da venda / reserva], "&gt;=" &amp; $A95,
    tb_estq[Data da venda / reserva], "&lt;"  &amp; EOMONTH($A95,0) + 1
)</f>
        <v>0</v>
      </c>
      <c r="BI95" s="120">
        <f ca="1">SUMIFS(tb_rec_uni[2028-09-01],
INDIRECT("tb_rec_uni[natureza]"),"pro.soluto",
INDIRECT("tb_rec_uni[empresa]"),BI$6)</f>
        <v>0</v>
      </c>
      <c r="BJ95" s="124"/>
      <c r="BK95" s="120">
        <f ca="1">SUMIFS(tb_rec_uni[2028-09-01],
INDIRECT("tb_rec_uni[natureza]"),"taxa.extra",
INDIRECT("tb_rec_uni[empresa]"),BK$6)</f>
        <v>0</v>
      </c>
      <c r="BL95" s="108"/>
      <c r="BM95" s="108">
        <f ca="1">SUMIFS(
  m.vb[valor],
  m.vb[nucleo],$BH$1,
  m.vb[variavel],BM$7,
  m.vb[mes],$A95
)</f>
        <v>0</v>
      </c>
      <c r="BN95" s="108">
        <f ca="1">SUMIFS(
  m.vb[valor],
  m.vb[nucleo],$BH$1,
  m.vb[variavel],BN$7,
  m.vb[mes],$A95
)</f>
        <v>0</v>
      </c>
      <c r="BO95" s="108">
        <f ca="1">SUMIFS(
  m.vb[valor],
  m.vb[nucleo],$BH$1,
  m.vb[variavel],BO$7,
  m.vb[mes],$A95
)</f>
        <v>0</v>
      </c>
      <c r="BP95" s="108">
        <f ca="1">SUMIFS(
  m.vb[valor],
  m.vb[nucleo],$BH$1,
  m.vb[variavel],BP$7,
  m.vb[mes],$A95
)</f>
        <v>0</v>
      </c>
      <c r="BQ95" s="108">
        <f ca="1">SUMIFS(
  m.vb[valor],
  m.vb[nucleo],$BH$1,
  m.vb[variavel],BQ$7,
  m.vb[mes],$A95
)</f>
        <v>0</v>
      </c>
      <c r="BR95" s="119">
        <f>COUNTIFS(
    tb_estq[empresa], BR$6,
    tb_estq[Data da venda / reserva], "&gt;=" &amp; $A95,
    tb_estq[Data da venda / reserva], "&lt;"  &amp; EOMONTH($A95,0) + 1
)</f>
        <v>0</v>
      </c>
      <c r="BS95" s="120">
        <f ca="1">SUMIFS(tb_rec_uni[2028-09-01],
INDIRECT("tb_rec_uni[natureza]"),"pro.soluto",
INDIRECT("tb_rec_uni[empresa]"),BS$6)</f>
        <v>0</v>
      </c>
      <c r="BT95" s="124">
        <f ca="1">SUMIFS(tb_rec_uni[2028-09-01],
INDIRECT("tb_rec_uni[natureza]"),"parcela.fin.total.ik",
INDIRECT("tb_rec_uni[empresa]"),BT$6)</f>
        <v>0</v>
      </c>
      <c r="BU95" s="120">
        <f ca="1">SUMIFS(tb_rec_uni[2028-09-01],
INDIRECT("tb_rec_uni[natureza]"),"taxa.extra",
INDIRECT("tb_rec_uni[empresa]"),BU$6)</f>
        <v>0</v>
      </c>
      <c r="BV95" s="108"/>
      <c r="BW95" s="108">
        <f ca="1">SUMIFS(
  m.vb[valor],
  m.vb[nucleo],$BR$1,
  m.vb[variavel],BW$7,
  m.vb[mes],$A95
)</f>
        <v>0</v>
      </c>
      <c r="BX95" s="108">
        <f ca="1">SUMIFS(
  m.vb[valor],
  m.vb[nucleo],$BR$1,
  m.vb[variavel],BX$7,
  m.vb[mes],$A95
)</f>
        <v>0</v>
      </c>
      <c r="BY95" s="108">
        <f ca="1">SUMIFS(
  m.vb[valor],
  m.vb[nucleo],$BR$1,
  m.vb[variavel],BY$7,
  m.vb[mes],$A95
)</f>
        <v>0</v>
      </c>
      <c r="BZ95" s="108">
        <f ca="1">SUMIFS(
  m.vb[valor],
  m.vb[nucleo],$BR$1,
  m.vb[variavel],BZ$7,
  m.vb[mes],$A95
)</f>
        <v>0</v>
      </c>
      <c r="CA95" s="108">
        <f ca="1">SUMIFS(
  m.vb[valor],
  m.vb[nucleo],$BR$1,
  m.vb[variavel],CA$7,
  m.vb[mes],$A95
)</f>
        <v>0</v>
      </c>
      <c r="CB95" s="119">
        <f>COUNTIFS(
    tb_estq[empresa], CB$6,
    tb_estq[Data da venda / reserva], "&gt;=" &amp; $A95,
    tb_estq[Data da venda / reserva], "&lt;"  &amp; EOMONTH($A95,0) + 1
)</f>
        <v>0</v>
      </c>
      <c r="CC95" s="120">
        <f ca="1">SUMIFS(tb_rec_uni[2028-09-01],
INDIRECT("tb_rec_uni[natureza]"),"pro.soluto",
INDIRECT("tb_rec_uni[empresa]"),CC$6)</f>
        <v>0</v>
      </c>
      <c r="CD95" s="120">
        <f ca="1">SUMIFS(tb_rec_uni[2028-09-01],
INDIRECT("tb_rec_uni[natureza]"),"repasse.cef.obra",
INDIRECT("tb_rec_uni[empresa]"),CD$6)</f>
        <v>0</v>
      </c>
      <c r="CE95" s="123">
        <f ca="1">SUMIFS(tb_rec_uni[2028-09-01],
INDIRECT("tb_rec_uni[natureza]"),"repasse.cef.terreno",
INDIRECT("tb_rec_uni[empresa]"),CE$6)</f>
        <v>0</v>
      </c>
      <c r="CF95" s="124"/>
      <c r="CG95" s="120">
        <f ca="1">SUMIFS(tb_rec_uni[2028-09-01],
INDIRECT("tb_rec_uni[natureza]"),"taxa.extra",
INDIRECT("tb_rec_uni[empresa]"),CG$6)</f>
        <v>0</v>
      </c>
      <c r="CH95" s="108"/>
      <c r="CI95" s="108">
        <f ca="1">SUMIFS(
  m.vb[valor],
  m.vb[nucleo],$CB$1,
  m.vb[variavel],CI$7,
  m.vb[mes],$A95
)</f>
        <v>0</v>
      </c>
      <c r="CJ95" s="108">
        <f ca="1">SUMIFS(
  m.vb[valor],
  m.vb[nucleo],$CB$1,
  m.vb[variavel],CJ$7,
  m.vb[mes],$A95
)</f>
        <v>0</v>
      </c>
      <c r="CK95" s="108">
        <f ca="1">SUMIFS(
  m.vb[valor],
  m.vb[nucleo],$CB$1,
  m.vb[variavel],CK$7,
  m.vb[mes],$A95
)</f>
        <v>0</v>
      </c>
      <c r="CL95" s="108">
        <f ca="1">SUMIFS(
  m.vb[valor],
  m.vb[nucleo],$CB$1,
  m.vb[variavel],CL$7,
  m.vb[mes],$A95
)</f>
        <v>0</v>
      </c>
      <c r="CM95" s="108">
        <f ca="1">SUMIFS(
  m.vb[valor],
  m.vb[nucleo],$CB$1,
  m.vb[variavel],CM$7,
  m.vb[mes],$A95
)</f>
        <v>0</v>
      </c>
      <c r="CN95" s="119">
        <f>COUNTIFS(
    tb_estq[empresa], CN$6,
    tb_estq[Data da venda / reserva], "&gt;=" &amp; $A95,
    tb_estq[Data da venda / reserva], "&lt;"  &amp; EOMONTH($A95,0) + 1
)</f>
        <v>0</v>
      </c>
      <c r="CO95" s="120">
        <f ca="1">SUMIFS(tb_rec_uni[2028-09-01],
INDIRECT("tb_rec_uni[natureza]"),"pro.soluto",
INDIRECT("tb_rec_uni[empresa]"),CO$6)</f>
        <v>0</v>
      </c>
      <c r="CP95" s="120">
        <f ca="1">SUMIFS(tb_rec_uni[2028-09-01],
INDIRECT("tb_rec_uni[natureza]"),"repasse.cef.obra",
INDIRECT("tb_rec_uni[empresa]"),CP$6)</f>
        <v>0</v>
      </c>
      <c r="CQ95" s="123">
        <f ca="1">SUMIFS(tb_rec_uni[2028-09-01],
INDIRECT("tb_rec_uni[natureza]"),"repasse.cef.terreno",
INDIRECT("tb_rec_uni[empresa]"),CQ$6)</f>
        <v>0</v>
      </c>
      <c r="CR95" s="124"/>
      <c r="CS95" s="120">
        <f ca="1">SUMIFS(tb_rec_uni[2028-09-01],
INDIRECT("tb_rec_uni[natureza]"),"taxa.extra",
INDIRECT("tb_rec_uni[empresa]"),CS$6)</f>
        <v>0</v>
      </c>
      <c r="CT95" s="108"/>
      <c r="CU95" s="108">
        <f ca="1">SUMIFS(
  m.vb[valor],
  m.vb[nucleo],$CN$1,
  m.vb[variavel],CU$7,
  m.vb[mes],$A95
)</f>
        <v>0</v>
      </c>
      <c r="CV95" s="108" cm="1">
        <f t="array" ref="CV95">SUMPRODUCT(
  IFERROR(--tb_desp[valor],0)*
  (tb_desp[nucleo]="UP MOVE VILA SONIA")*
  (tb_desp[categoria]=CV$7)*
  (tb_desp[data.pagamento]&gt;=$A95)*
  (tb_desp[data.pagamento]&lt;EOMONTH($A95,0)+1)
)</f>
        <v>0</v>
      </c>
      <c r="CW95" s="108" cm="1">
        <f t="array" ref="CW95">SUMPRODUCT(
  IFERROR(--tb_desp[valor],0)*
  (tb_desp[nucleo]="UP MOVE VILA SONIA")*
  (tb_desp[categoria]=CW$7)*
  (tb_desp[data.pagamento]&gt;=$A95)*
  (tb_desp[data.pagamento]&lt;EOMONTH($A95,0)+1)
)</f>
        <v>0</v>
      </c>
      <c r="CX95" s="108" cm="1">
        <f t="array" ref="CX95">SUMPRODUCT(
  IFERROR(--tb_desp[valor],0)*
  (tb_desp[nucleo]="UP MOVE VILA SONIA")*
  (tb_desp[categoria]=CX$7)*
  (tb_desp[data.pagamento]&gt;=$A95)*
  (tb_desp[data.pagamento]&lt;EOMONTH($A95,0)+1)
)</f>
        <v>0</v>
      </c>
      <c r="CY95" s="221" cm="1">
        <f t="array" ref="CY95">SUMPRODUCT(
  IFERROR(--tb_desp[valor],0)*
  (tb_desp[nucleo]="UP MOVE VILA SONIA")*
  (tb_desp[categoria]=CY$7)*
  (tb_desp[data.pagamento]&gt;=$A95)*
  (tb_desp[data.pagamento]&lt;EOMONTH($A95,0)+1)
)</f>
        <v>0</v>
      </c>
    </row>
    <row r="96" spans="1:103" x14ac:dyDescent="0.25">
      <c r="A96" s="118">
        <v>47027</v>
      </c>
      <c r="B96" s="119">
        <f>COUNTIFS(
    tb_estq[empresa], B$6,
    tb_estq[Data da venda / reserva], "&gt;=" &amp; $A96,
    tb_estq[Data da venda / reserva], "&lt;"  &amp; EOMONTH($A96,0) + 1
)</f>
        <v>0</v>
      </c>
      <c r="C96" s="120">
        <f ca="1">SUMIFS(tb_rec_uni[2028-10-01],
INDIRECT("tb_rec_uni[natureza]"),"pro.soluto",
INDIRECT("tb_rec_uni[empresa]"),C$6)</f>
        <v>0</v>
      </c>
      <c r="D96" s="120">
        <f ca="1">SUMIFS(tb_rec_uni[2028-10-01],
INDIRECT("tb_rec_uni[natureza]"),"repasse.cef.obra",
INDIRECT("tb_rec_uni[empresa]"),D$6)</f>
        <v>0</v>
      </c>
      <c r="E96" s="120">
        <f ca="1">SUMIFS(tb_rec_uni[2028-10-01],
INDIRECT("tb_rec_uni[natureza]"),"repasse.cef.terreno",
INDIRECT("tb_rec_uni[empresa]"),E$6)</f>
        <v>0</v>
      </c>
      <c r="F96" s="124"/>
      <c r="G96" s="120">
        <f ca="1">SUMIFS(tb_rec_uni[2028-10-01],
INDIRECT("tb_rec_uni[natureza]"),"taxa.extra",
INDIRECT("tb_rec_uni[empresa]"),G$6)</f>
        <v>0</v>
      </c>
      <c r="H96" s="108"/>
      <c r="I96" s="108">
        <f ca="1">SUMIFS(
  m.vb[valor],
  m.vb[nucleo],$B$1,
  m.vb[variavel],I$7,
  m.vb[mes],$A96
)</f>
        <v>0</v>
      </c>
      <c r="J96" s="108">
        <f ca="1">SUMIFS(
  m.vb[valor],
  m.vb[nucleo],$B$1,
  m.vb[variavel],J$7,
  m.vb[mes],$A96
)</f>
        <v>0</v>
      </c>
      <c r="K96" s="108">
        <f ca="1">SUMIFS(
  m.vb[valor],
  m.vb[nucleo],$B$1,
  m.vb[variavel],K$7,
  m.vb[mes],$A96
)</f>
        <v>0</v>
      </c>
      <c r="L96" s="108">
        <f ca="1">SUMIFS(
  m.vb[valor],
  m.vb[nucleo],$B$1,
  m.vb[variavel],L$7,
  m.vb[mes],$A96
)</f>
        <v>0</v>
      </c>
      <c r="M96" s="108">
        <f ca="1">SUMIFS(
  m.vb[valor],
  m.vb[nucleo],$B$1,
  m.vb[variavel],M$7,
  m.vb[mes],$A96
)</f>
        <v>0</v>
      </c>
      <c r="N96" s="119">
        <f>COUNTIFS(
    tb_estq[empresa], N$6,
    tb_estq[Data da venda / reserva], "&gt;=" &amp; $A96,
    tb_estq[Data da venda / reserva], "&lt;"  &amp; EOMONTH($A96,0) + 1
)</f>
        <v>0</v>
      </c>
      <c r="O96" s="120">
        <f ca="1">SUMIFS(tb_rec_uni[2028-10-01],
INDIRECT("tb_rec_uni[natureza]"),"pro.soluto",
INDIRECT("tb_rec_uni[empresa]"),O$6)</f>
        <v>0</v>
      </c>
      <c r="P96" s="120">
        <f ca="1">SUMIFS(tb_rec_uni[2028-10-01],
INDIRECT("tb_rec_uni[natureza]"),"repasse.cef.obra",
INDIRECT("tb_rec_uni[empresa]"),P$6)</f>
        <v>0</v>
      </c>
      <c r="Q96" s="120">
        <f ca="1">SUMIFS(tb_rec_uni[2028-10-01],
INDIRECT("tb_rec_uni[natureza]"),"repasse.cef.terreno",
INDIRECT("tb_rec_uni[empresa]"),Q$6)</f>
        <v>0</v>
      </c>
      <c r="R96" s="124"/>
      <c r="S96" s="120">
        <f ca="1">SUMIFS(tb_rec_uni[2028-10-01],
INDIRECT("tb_rec_uni[natureza]"),"taxa.extra",
INDIRECT("tb_rec_uni[empresa]"),S$6)</f>
        <v>0</v>
      </c>
      <c r="T96" s="108"/>
      <c r="U96" s="108">
        <f ca="1">SUMIFS(
  m.vb[valor],
  m.vb[nucleo],$N$1,
  m.vb[variavel],U$7,
  m.vb[mes],$A96
)</f>
        <v>0</v>
      </c>
      <c r="V96" s="108">
        <f ca="1">SUMIFS(
  m.vb[valor],
  m.vb[nucleo],$N$1,
  m.vb[variavel],V$7,
  m.vb[mes],$A96
)</f>
        <v>0</v>
      </c>
      <c r="W96" s="108">
        <f ca="1">SUMIFS(
  m.vb[valor],
  m.vb[nucleo],$N$1,
  m.vb[variavel],W$7,
  m.vb[mes],$A96
)</f>
        <v>0</v>
      </c>
      <c r="X96" s="108">
        <f ca="1">SUMIFS(
  m.vb[valor],
  m.vb[nucleo],$N$1,
  m.vb[variavel],X$7,
  m.vb[mes],$A96
)</f>
        <v>0</v>
      </c>
      <c r="Y96" s="108">
        <f ca="1">SUMIFS(
  m.vb[valor],
  m.vb[nucleo],$N$1,
  m.vb[variavel],Y$7,
  m.vb[mes],$A96
)</f>
        <v>0</v>
      </c>
      <c r="Z96" s="119">
        <f>COUNTIFS(
    tb_estq[empresa], Z$6,
    tb_estq[Data da venda / reserva], "&gt;=" &amp; $A96,
    tb_estq[Data da venda / reserva], "&lt;"  &amp; EOMONTH($A96,0) + 1
)</f>
        <v>0</v>
      </c>
      <c r="AA96" s="120">
        <f ca="1">SUMIFS(tb_rec_uni[2028-10-01],
INDIRECT("tb_rec_uni[natureza]"),"pro.soluto",
INDIRECT("tb_rec_uni[empresa]"),AA$6)</f>
        <v>0</v>
      </c>
      <c r="AB96" s="124">
        <f ca="1">SUMIFS(tb_rec_uni[2028-10-01],
INDIRECT("tb_rec_uni[natureza]"),"parcela.fin.total.ik",
INDIRECT("tb_rec_uni[empresa]"),AB$6)</f>
        <v>0</v>
      </c>
      <c r="AC96" s="120">
        <f ca="1">SUMIFS(tb_rec_uni[2028-10-01],
INDIRECT("tb_rec_uni[natureza]"),"taxa.extra",
INDIRECT("tb_rec_uni[empresa]"),AC$6)</f>
        <v>0</v>
      </c>
      <c r="AD96" s="108"/>
      <c r="AE96" s="108">
        <f ca="1">SUMIFS(
  m.vb[valor],
  m.vb[nucleo],$Z$1,
  m.vb[variavel],AE$7,
  m.vb[mes],$A96
)</f>
        <v>0</v>
      </c>
      <c r="AF96" s="108">
        <f ca="1">SUMIFS(
  m.vb[valor],
  m.vb[nucleo],$Z$1,
  m.vb[variavel],AF$7,
  m.vb[mes],$A96
)</f>
        <v>0</v>
      </c>
      <c r="AG96" s="108">
        <f ca="1">SUMIFS(
  m.vb[valor],
  m.vb[nucleo],$Z$1,
  m.vb[variavel],AG$7,
  m.vb[mes],$A96
)</f>
        <v>0</v>
      </c>
      <c r="AH96" s="108">
        <f ca="1">SUMIFS(
  m.vb[valor],
  m.vb[nucleo],$Z$1,
  m.vb[variavel],AH$7,
  m.vb[mes],$A96
)</f>
        <v>0</v>
      </c>
      <c r="AI96" s="108">
        <f ca="1">SUMIFS(
  m.vb[valor],
  m.vb[nucleo],$Z$1,
  m.vb[variavel],AI$7,
  m.vb[mes],$A96
)</f>
        <v>0</v>
      </c>
      <c r="AJ96" s="119">
        <f>COUNTIFS(
    tb_estq[empresa], AJ$6,
    tb_estq[Data da venda / reserva], "&gt;=" &amp; $A96,
    tb_estq[Data da venda / reserva], "&lt;"  &amp; EOMONTH($A96,0) + 1
)</f>
        <v>0</v>
      </c>
      <c r="AK96" s="120">
        <f ca="1">SUMIFS(tb_rec_uni[2028-10-01],
INDIRECT("tb_rec_uni[natureza]"),"pro.soluto",
INDIRECT("tb_rec_uni[empresa]"),AK$6)</f>
        <v>0</v>
      </c>
      <c r="AL96" s="120">
        <f ca="1">SUMIFS(tb_rec_uni[2028-10-01],
INDIRECT("tb_rec_uni[natureza]"),"repasse.cef.obra",
INDIRECT("tb_rec_uni[empresa]"),AL$6)</f>
        <v>0</v>
      </c>
      <c r="AM96" s="123">
        <f ca="1">SUMIFS(tb_rec_uni[2028-10-01],
INDIRECT("tb_rec_uni[natureza]"),"repasse.cef.terreno",
INDIRECT("tb_rec_uni[empresa]"),AM$6)</f>
        <v>0</v>
      </c>
      <c r="AN96" s="124"/>
      <c r="AO96" s="120">
        <f ca="1">SUMIFS(tb_rec_uni[2028-10-01],
INDIRECT("tb_rec_uni[natureza]"),"taxa.extra",
INDIRECT("tb_rec_uni[empresa]"),AO$6)</f>
        <v>0</v>
      </c>
      <c r="AP96" s="108"/>
      <c r="AQ96" s="108">
        <f ca="1">SUMIFS(
  m.vb[valor],
  m.vb[nucleo],$AJ$1,
  m.vb[variavel],AQ$7,
  m.vb[mes],$A96
)</f>
        <v>0</v>
      </c>
      <c r="AR96" s="108">
        <f ca="1">SUMIFS(
  m.vb[valor],
  m.vb[nucleo],$AJ$1,
  m.vb[variavel],AR$7,
  m.vb[mes],$A96
)</f>
        <v>0</v>
      </c>
      <c r="AS96" s="108">
        <f ca="1">SUMIFS(
  m.vb[valor],
  m.vb[nucleo],$AJ$1,
  m.vb[variavel],AS$7,
  m.vb[mes],$A96
)</f>
        <v>0</v>
      </c>
      <c r="AT96" s="108">
        <f ca="1">SUMIFS(
  m.vb[valor],
  m.vb[nucleo],$AJ$1,
  m.vb[variavel],AT$7,
  m.vb[mes],$A96
)</f>
        <v>0</v>
      </c>
      <c r="AU96" s="108">
        <f ca="1">SUMIFS(
  m.vb[valor],
  m.vb[nucleo],$AJ$1,
  m.vb[variavel],AU$7,
  m.vb[mes],$A96
)</f>
        <v>0</v>
      </c>
      <c r="AV96" s="119">
        <f>COUNTIFS(
    tb_estq[empresa], AV$6,
    tb_estq[Data da venda / reserva], "&gt;=" &amp; $A96,
    tb_estq[Data da venda / reserva], "&lt;"  &amp; EOMONTH($A96,0) + 1
)</f>
        <v>0</v>
      </c>
      <c r="AW96" s="120">
        <f ca="1">SUMIFS(tb_rec_uni[2028-10-01],
INDIRECT("tb_rec_uni[natureza]"),"pro.soluto",
INDIRECT("tb_rec_uni[empresa]"),AW$6)</f>
        <v>0</v>
      </c>
      <c r="AX96" s="120">
        <f ca="1">SUMIFS(tb_rec_uni[2028-10-01],
INDIRECT("tb_rec_uni[natureza]"),"repasse.cef.obra",
INDIRECT("tb_rec_uni[empresa]"),AX$6)</f>
        <v>0</v>
      </c>
      <c r="AY96" s="123">
        <f ca="1">SUMIFS(tb_rec_uni[2028-10-01],
INDIRECT("tb_rec_uni[natureza]"),"repasse.cef.terreno",
INDIRECT("tb_rec_uni[empresa]"),AY$6)</f>
        <v>0</v>
      </c>
      <c r="AZ96" s="124"/>
      <c r="BA96" s="120">
        <f ca="1">SUMIFS(tb_rec_uni[2028-10-01],
INDIRECT("tb_rec_uni[natureza]"),"taxa.extra",
INDIRECT("tb_rec_uni[empresa]"),BA$6)</f>
        <v>0</v>
      </c>
      <c r="BB96" s="108"/>
      <c r="BC96" s="108">
        <f ca="1">SUMIFS(
  m.vb[valor],
  m.vb[nucleo],$AV$1,
  m.vb[variavel],BC$7,
  m.vb[mes],$A96
)</f>
        <v>0</v>
      </c>
      <c r="BD96" s="108">
        <f ca="1">SUMIFS(
  m.vb[valor],
  m.vb[nucleo],$AV$1,
  m.vb[variavel],BD$7,
  m.vb[mes],$A96
)</f>
        <v>0</v>
      </c>
      <c r="BE96" s="108">
        <f ca="1">SUMIFS(
  m.vb[valor],
  m.vb[nucleo],$AV$1,
  m.vb[variavel],BE$7,
  m.vb[mes],$A96
)</f>
        <v>0</v>
      </c>
      <c r="BF96" s="108">
        <f ca="1">SUMIFS(
  m.vb[valor],
  m.vb[nucleo],$AV$1,
  m.vb[variavel],BF$7,
  m.vb[mes],$A96
)</f>
        <v>0</v>
      </c>
      <c r="BG96" s="108">
        <f ca="1">SUMIFS(
  m.vb[valor],
  m.vb[nucleo],$AV$1,
  m.vb[variavel],BG$7,
  m.vb[mes],$A96
)</f>
        <v>0</v>
      </c>
      <c r="BH96" s="119">
        <f>COUNTIFS(
    tb_estq[empresa], BH$6,
    tb_estq[Data da venda / reserva], "&gt;=" &amp; $A96,
    tb_estq[Data da venda / reserva], "&lt;"  &amp; EOMONTH($A96,0) + 1
)</f>
        <v>0</v>
      </c>
      <c r="BI96" s="120">
        <f ca="1">SUMIFS(tb_rec_uni[2028-10-01],
INDIRECT("tb_rec_uni[natureza]"),"pro.soluto",
INDIRECT("tb_rec_uni[empresa]"),BI$6)</f>
        <v>0</v>
      </c>
      <c r="BJ96" s="124"/>
      <c r="BK96" s="120">
        <f ca="1">SUMIFS(tb_rec_uni[2028-10-01],
INDIRECT("tb_rec_uni[natureza]"),"taxa.extra",
INDIRECT("tb_rec_uni[empresa]"),BK$6)</f>
        <v>0</v>
      </c>
      <c r="BL96" s="108"/>
      <c r="BM96" s="108">
        <f ca="1">SUMIFS(
  m.vb[valor],
  m.vb[nucleo],$BH$1,
  m.vb[variavel],BM$7,
  m.vb[mes],$A96
)</f>
        <v>0</v>
      </c>
      <c r="BN96" s="108">
        <f ca="1">SUMIFS(
  m.vb[valor],
  m.vb[nucleo],$BH$1,
  m.vb[variavel],BN$7,
  m.vb[mes],$A96
)</f>
        <v>0</v>
      </c>
      <c r="BO96" s="108">
        <f ca="1">SUMIFS(
  m.vb[valor],
  m.vb[nucleo],$BH$1,
  m.vb[variavel],BO$7,
  m.vb[mes],$A96
)</f>
        <v>0</v>
      </c>
      <c r="BP96" s="108">
        <f ca="1">SUMIFS(
  m.vb[valor],
  m.vb[nucleo],$BH$1,
  m.vb[variavel],BP$7,
  m.vb[mes],$A96
)</f>
        <v>0</v>
      </c>
      <c r="BQ96" s="108">
        <f ca="1">SUMIFS(
  m.vb[valor],
  m.vb[nucleo],$BH$1,
  m.vb[variavel],BQ$7,
  m.vb[mes],$A96
)</f>
        <v>0</v>
      </c>
      <c r="BR96" s="119">
        <f>COUNTIFS(
    tb_estq[empresa], BR$6,
    tb_estq[Data da venda / reserva], "&gt;=" &amp; $A96,
    tb_estq[Data da venda / reserva], "&lt;"  &amp; EOMONTH($A96,0) + 1
)</f>
        <v>0</v>
      </c>
      <c r="BS96" s="120">
        <f ca="1">SUMIFS(tb_rec_uni[2028-10-01],
INDIRECT("tb_rec_uni[natureza]"),"pro.soluto",
INDIRECT("tb_rec_uni[empresa]"),BS$6)</f>
        <v>0</v>
      </c>
      <c r="BT96" s="124">
        <f ca="1">SUMIFS(tb_rec_uni[2028-10-01],
INDIRECT("tb_rec_uni[natureza]"),"parcela.fin.total.ik",
INDIRECT("tb_rec_uni[empresa]"),BT$6)</f>
        <v>0</v>
      </c>
      <c r="BU96" s="120">
        <f ca="1">SUMIFS(tb_rec_uni[2028-10-01],
INDIRECT("tb_rec_uni[natureza]"),"taxa.extra",
INDIRECT("tb_rec_uni[empresa]"),BU$6)</f>
        <v>0</v>
      </c>
      <c r="BV96" s="108"/>
      <c r="BW96" s="108">
        <f ca="1">SUMIFS(
  m.vb[valor],
  m.vb[nucleo],$BR$1,
  m.vb[variavel],BW$7,
  m.vb[mes],$A96
)</f>
        <v>0</v>
      </c>
      <c r="BX96" s="108">
        <f ca="1">SUMIFS(
  m.vb[valor],
  m.vb[nucleo],$BR$1,
  m.vb[variavel],BX$7,
  m.vb[mes],$A96
)</f>
        <v>0</v>
      </c>
      <c r="BY96" s="108">
        <f ca="1">SUMIFS(
  m.vb[valor],
  m.vb[nucleo],$BR$1,
  m.vb[variavel],BY$7,
  m.vb[mes],$A96
)</f>
        <v>0</v>
      </c>
      <c r="BZ96" s="108">
        <f ca="1">SUMIFS(
  m.vb[valor],
  m.vb[nucleo],$BR$1,
  m.vb[variavel],BZ$7,
  m.vb[mes],$A96
)</f>
        <v>0</v>
      </c>
      <c r="CA96" s="108">
        <f ca="1">SUMIFS(
  m.vb[valor],
  m.vb[nucleo],$BR$1,
  m.vb[variavel],CA$7,
  m.vb[mes],$A96
)</f>
        <v>0</v>
      </c>
      <c r="CB96" s="119">
        <f>COUNTIFS(
    tb_estq[empresa], CB$6,
    tb_estq[Data da venda / reserva], "&gt;=" &amp; $A96,
    tb_estq[Data da venda / reserva], "&lt;"  &amp; EOMONTH($A96,0) + 1
)</f>
        <v>0</v>
      </c>
      <c r="CC96" s="120">
        <f ca="1">SUMIFS(tb_rec_uni[2028-10-01],
INDIRECT("tb_rec_uni[natureza]"),"pro.soluto",
INDIRECT("tb_rec_uni[empresa]"),CC$6)</f>
        <v>0</v>
      </c>
      <c r="CD96" s="120">
        <f ca="1">SUMIFS(tb_rec_uni[2028-10-01],
INDIRECT("tb_rec_uni[natureza]"),"repasse.cef.obra",
INDIRECT("tb_rec_uni[empresa]"),CD$6)</f>
        <v>0</v>
      </c>
      <c r="CE96" s="123">
        <f ca="1">SUMIFS(tb_rec_uni[2028-10-01],
INDIRECT("tb_rec_uni[natureza]"),"repasse.cef.terreno",
INDIRECT("tb_rec_uni[empresa]"),CE$6)</f>
        <v>0</v>
      </c>
      <c r="CF96" s="124"/>
      <c r="CG96" s="120">
        <f ca="1">SUMIFS(tb_rec_uni[2028-10-01],
INDIRECT("tb_rec_uni[natureza]"),"taxa.extra",
INDIRECT("tb_rec_uni[empresa]"),CG$6)</f>
        <v>0</v>
      </c>
      <c r="CH96" s="108"/>
      <c r="CI96" s="108">
        <f ca="1">SUMIFS(
  m.vb[valor],
  m.vb[nucleo],$CB$1,
  m.vb[variavel],CI$7,
  m.vb[mes],$A96
)</f>
        <v>0</v>
      </c>
      <c r="CJ96" s="108">
        <f ca="1">SUMIFS(
  m.vb[valor],
  m.vb[nucleo],$CB$1,
  m.vb[variavel],CJ$7,
  m.vb[mes],$A96
)</f>
        <v>0</v>
      </c>
      <c r="CK96" s="108">
        <f ca="1">SUMIFS(
  m.vb[valor],
  m.vb[nucleo],$CB$1,
  m.vb[variavel],CK$7,
  m.vb[mes],$A96
)</f>
        <v>0</v>
      </c>
      <c r="CL96" s="108">
        <f ca="1">SUMIFS(
  m.vb[valor],
  m.vb[nucleo],$CB$1,
  m.vb[variavel],CL$7,
  m.vb[mes],$A96
)</f>
        <v>0</v>
      </c>
      <c r="CM96" s="108">
        <f ca="1">SUMIFS(
  m.vb[valor],
  m.vb[nucleo],$CB$1,
  m.vb[variavel],CM$7,
  m.vb[mes],$A96
)</f>
        <v>0</v>
      </c>
      <c r="CN96" s="119">
        <f>COUNTIFS(
    tb_estq[empresa], CN$6,
    tb_estq[Data da venda / reserva], "&gt;=" &amp; $A96,
    tb_estq[Data da venda / reserva], "&lt;"  &amp; EOMONTH($A96,0) + 1
)</f>
        <v>0</v>
      </c>
      <c r="CO96" s="120">
        <f ca="1">SUMIFS(tb_rec_uni[2028-10-01],
INDIRECT("tb_rec_uni[natureza]"),"pro.soluto",
INDIRECT("tb_rec_uni[empresa]"),CO$6)</f>
        <v>0</v>
      </c>
      <c r="CP96" s="120">
        <f ca="1">SUMIFS(tb_rec_uni[2028-10-01],
INDIRECT("tb_rec_uni[natureza]"),"repasse.cef.obra",
INDIRECT("tb_rec_uni[empresa]"),CP$6)</f>
        <v>0</v>
      </c>
      <c r="CQ96" s="123">
        <f ca="1">SUMIFS(tb_rec_uni[2028-10-01],
INDIRECT("tb_rec_uni[natureza]"),"repasse.cef.terreno",
INDIRECT("tb_rec_uni[empresa]"),CQ$6)</f>
        <v>0</v>
      </c>
      <c r="CR96" s="124"/>
      <c r="CS96" s="120">
        <f ca="1">SUMIFS(tb_rec_uni[2028-10-01],
INDIRECT("tb_rec_uni[natureza]"),"taxa.extra",
INDIRECT("tb_rec_uni[empresa]"),CS$6)</f>
        <v>0</v>
      </c>
      <c r="CT96" s="108"/>
      <c r="CU96" s="108">
        <f ca="1">SUMIFS(
  m.vb[valor],
  m.vb[nucleo],$CN$1,
  m.vb[variavel],CU$7,
  m.vb[mes],$A96
)</f>
        <v>0</v>
      </c>
      <c r="CV96" s="108" cm="1">
        <f t="array" ref="CV96">SUMPRODUCT(
  IFERROR(--tb_desp[valor],0)*
  (tb_desp[nucleo]="UP MOVE VILA SONIA")*
  (tb_desp[categoria]=CV$7)*
  (tb_desp[data.pagamento]&gt;=$A96)*
  (tb_desp[data.pagamento]&lt;EOMONTH($A96,0)+1)
)</f>
        <v>0</v>
      </c>
      <c r="CW96" s="108" cm="1">
        <f t="array" ref="CW96">SUMPRODUCT(
  IFERROR(--tb_desp[valor],0)*
  (tb_desp[nucleo]="UP MOVE VILA SONIA")*
  (tb_desp[categoria]=CW$7)*
  (tb_desp[data.pagamento]&gt;=$A96)*
  (tb_desp[data.pagamento]&lt;EOMONTH($A96,0)+1)
)</f>
        <v>0</v>
      </c>
      <c r="CX96" s="108" cm="1">
        <f t="array" ref="CX96">SUMPRODUCT(
  IFERROR(--tb_desp[valor],0)*
  (tb_desp[nucleo]="UP MOVE VILA SONIA")*
  (tb_desp[categoria]=CX$7)*
  (tb_desp[data.pagamento]&gt;=$A96)*
  (tb_desp[data.pagamento]&lt;EOMONTH($A96,0)+1)
)</f>
        <v>0</v>
      </c>
      <c r="CY96" s="221" cm="1">
        <f t="array" ref="CY96">SUMPRODUCT(
  IFERROR(--tb_desp[valor],0)*
  (tb_desp[nucleo]="UP MOVE VILA SONIA")*
  (tb_desp[categoria]=CY$7)*
  (tb_desp[data.pagamento]&gt;=$A96)*
  (tb_desp[data.pagamento]&lt;EOMONTH($A96,0)+1)
)</f>
        <v>0</v>
      </c>
    </row>
    <row r="97" spans="1:103" x14ac:dyDescent="0.25">
      <c r="A97" s="118">
        <v>47058</v>
      </c>
      <c r="B97" s="119">
        <f>COUNTIFS(
    tb_estq[empresa], B$6,
    tb_estq[Data da venda / reserva], "&gt;=" &amp; $A97,
    tb_estq[Data da venda / reserva], "&lt;"  &amp; EOMONTH($A97,0) + 1
)</f>
        <v>0</v>
      </c>
      <c r="C97" s="120">
        <f ca="1">SUMIFS(tb_rec_uni[2028-11-01],
INDIRECT("tb_rec_uni[natureza]"),"pro.soluto",
INDIRECT("tb_rec_uni[empresa]"),C$6)</f>
        <v>0</v>
      </c>
      <c r="D97" s="120">
        <f ca="1">SUMIFS(tb_rec_uni[2028-11-01],
INDIRECT("tb_rec_uni[natureza]"),"repasse.cef.obra",
INDIRECT("tb_rec_uni[empresa]"),D$6)</f>
        <v>0</v>
      </c>
      <c r="E97" s="120">
        <f ca="1">SUMIFS(tb_rec_uni[2028-11-01],
INDIRECT("tb_rec_uni[natureza]"),"repasse.cef.terreno",
INDIRECT("tb_rec_uni[empresa]"),E$6)</f>
        <v>0</v>
      </c>
      <c r="F97" s="124"/>
      <c r="G97" s="120">
        <f ca="1">SUMIFS(tb_rec_uni[2028-11-01],
INDIRECT("tb_rec_uni[natureza]"),"taxa.extra",
INDIRECT("tb_rec_uni[empresa]"),G$6)</f>
        <v>0</v>
      </c>
      <c r="H97" s="108"/>
      <c r="I97" s="108">
        <f ca="1">SUMIFS(
  m.vb[valor],
  m.vb[nucleo],$B$1,
  m.vb[variavel],I$7,
  m.vb[mes],$A97
)</f>
        <v>0</v>
      </c>
      <c r="J97" s="108">
        <f ca="1">SUMIFS(
  m.vb[valor],
  m.vb[nucleo],$B$1,
  m.vb[variavel],J$7,
  m.vb[mes],$A97
)</f>
        <v>0</v>
      </c>
      <c r="K97" s="108">
        <f ca="1">SUMIFS(
  m.vb[valor],
  m.vb[nucleo],$B$1,
  m.vb[variavel],K$7,
  m.vb[mes],$A97
)</f>
        <v>0</v>
      </c>
      <c r="L97" s="108">
        <f ca="1">SUMIFS(
  m.vb[valor],
  m.vb[nucleo],$B$1,
  m.vb[variavel],L$7,
  m.vb[mes],$A97
)</f>
        <v>0</v>
      </c>
      <c r="M97" s="108">
        <f ca="1">SUMIFS(
  m.vb[valor],
  m.vb[nucleo],$B$1,
  m.vb[variavel],M$7,
  m.vb[mes],$A97
)</f>
        <v>0</v>
      </c>
      <c r="N97" s="119">
        <f>COUNTIFS(
    tb_estq[empresa], N$6,
    tb_estq[Data da venda / reserva], "&gt;=" &amp; $A97,
    tb_estq[Data da venda / reserva], "&lt;"  &amp; EOMONTH($A97,0) + 1
)</f>
        <v>0</v>
      </c>
      <c r="O97" s="120">
        <f ca="1">SUMIFS(tb_rec_uni[2028-11-01],
INDIRECT("tb_rec_uni[natureza]"),"pro.soluto",
INDIRECT("tb_rec_uni[empresa]"),O$6)</f>
        <v>0</v>
      </c>
      <c r="P97" s="120">
        <f ca="1">SUMIFS(tb_rec_uni[2028-11-01],
INDIRECT("tb_rec_uni[natureza]"),"repasse.cef.obra",
INDIRECT("tb_rec_uni[empresa]"),P$6)</f>
        <v>0</v>
      </c>
      <c r="Q97" s="120">
        <f ca="1">SUMIFS(tb_rec_uni[2028-11-01],
INDIRECT("tb_rec_uni[natureza]"),"repasse.cef.terreno",
INDIRECT("tb_rec_uni[empresa]"),Q$6)</f>
        <v>0</v>
      </c>
      <c r="R97" s="124"/>
      <c r="S97" s="120">
        <f ca="1">SUMIFS(tb_rec_uni[2028-11-01],
INDIRECT("tb_rec_uni[natureza]"),"taxa.extra",
INDIRECT("tb_rec_uni[empresa]"),S$6)</f>
        <v>0</v>
      </c>
      <c r="T97" s="108"/>
      <c r="U97" s="108">
        <f ca="1">SUMIFS(
  m.vb[valor],
  m.vb[nucleo],$N$1,
  m.vb[variavel],U$7,
  m.vb[mes],$A97
)</f>
        <v>0</v>
      </c>
      <c r="V97" s="108">
        <f ca="1">SUMIFS(
  m.vb[valor],
  m.vb[nucleo],$N$1,
  m.vb[variavel],V$7,
  m.vb[mes],$A97
)</f>
        <v>0</v>
      </c>
      <c r="W97" s="108">
        <f ca="1">SUMIFS(
  m.vb[valor],
  m.vb[nucleo],$N$1,
  m.vb[variavel],W$7,
  m.vb[mes],$A97
)</f>
        <v>0</v>
      </c>
      <c r="X97" s="108">
        <f ca="1">SUMIFS(
  m.vb[valor],
  m.vb[nucleo],$N$1,
  m.vb[variavel],X$7,
  m.vb[mes],$A97
)</f>
        <v>0</v>
      </c>
      <c r="Y97" s="108">
        <f ca="1">SUMIFS(
  m.vb[valor],
  m.vb[nucleo],$N$1,
  m.vb[variavel],Y$7,
  m.vb[mes],$A97
)</f>
        <v>0</v>
      </c>
      <c r="Z97" s="119">
        <f>COUNTIFS(
    tb_estq[empresa], Z$6,
    tb_estq[Data da venda / reserva], "&gt;=" &amp; $A97,
    tb_estq[Data da venda / reserva], "&lt;"  &amp; EOMONTH($A97,0) + 1
)</f>
        <v>0</v>
      </c>
      <c r="AA97" s="120">
        <f ca="1">SUMIFS(tb_rec_uni[2028-11-01],
INDIRECT("tb_rec_uni[natureza]"),"pro.soluto",
INDIRECT("tb_rec_uni[empresa]"),AA$6)</f>
        <v>0</v>
      </c>
      <c r="AB97" s="124">
        <f ca="1">SUMIFS(tb_rec_uni[2028-11-01],
INDIRECT("tb_rec_uni[natureza]"),"parcela.fin.total.ik",
INDIRECT("tb_rec_uni[empresa]"),AB$6)</f>
        <v>0</v>
      </c>
      <c r="AC97" s="120">
        <f ca="1">SUMIFS(tb_rec_uni[2028-11-01],
INDIRECT("tb_rec_uni[natureza]"),"taxa.extra",
INDIRECT("tb_rec_uni[empresa]"),AC$6)</f>
        <v>0</v>
      </c>
      <c r="AD97" s="108"/>
      <c r="AE97" s="108">
        <f ca="1">SUMIFS(
  m.vb[valor],
  m.vb[nucleo],$Z$1,
  m.vb[variavel],AE$7,
  m.vb[mes],$A97
)</f>
        <v>0</v>
      </c>
      <c r="AF97" s="108">
        <f ca="1">SUMIFS(
  m.vb[valor],
  m.vb[nucleo],$Z$1,
  m.vb[variavel],AF$7,
  m.vb[mes],$A97
)</f>
        <v>0</v>
      </c>
      <c r="AG97" s="108">
        <f ca="1">SUMIFS(
  m.vb[valor],
  m.vb[nucleo],$Z$1,
  m.vb[variavel],AG$7,
  m.vb[mes],$A97
)</f>
        <v>0</v>
      </c>
      <c r="AH97" s="108">
        <f ca="1">SUMIFS(
  m.vb[valor],
  m.vb[nucleo],$Z$1,
  m.vb[variavel],AH$7,
  m.vb[mes],$A97
)</f>
        <v>0</v>
      </c>
      <c r="AI97" s="108">
        <f ca="1">SUMIFS(
  m.vb[valor],
  m.vb[nucleo],$Z$1,
  m.vb[variavel],AI$7,
  m.vb[mes],$A97
)</f>
        <v>0</v>
      </c>
      <c r="AJ97" s="119">
        <f>COUNTIFS(
    tb_estq[empresa], AJ$6,
    tb_estq[Data da venda / reserva], "&gt;=" &amp; $A97,
    tb_estq[Data da venda / reserva], "&lt;"  &amp; EOMONTH($A97,0) + 1
)</f>
        <v>0</v>
      </c>
      <c r="AK97" s="120">
        <f ca="1">SUMIFS(tb_rec_uni[2028-11-01],
INDIRECT("tb_rec_uni[natureza]"),"pro.soluto",
INDIRECT("tb_rec_uni[empresa]"),AK$6)</f>
        <v>0</v>
      </c>
      <c r="AL97" s="120">
        <f ca="1">SUMIFS(tb_rec_uni[2028-11-01],
INDIRECT("tb_rec_uni[natureza]"),"repasse.cef.obra",
INDIRECT("tb_rec_uni[empresa]"),AL$6)</f>
        <v>0</v>
      </c>
      <c r="AM97" s="123">
        <f ca="1">SUMIFS(tb_rec_uni[2028-11-01],
INDIRECT("tb_rec_uni[natureza]"),"repasse.cef.terreno",
INDIRECT("tb_rec_uni[empresa]"),AM$6)</f>
        <v>0</v>
      </c>
      <c r="AN97" s="124"/>
      <c r="AO97" s="120">
        <f ca="1">SUMIFS(tb_rec_uni[2028-11-01],
INDIRECT("tb_rec_uni[natureza]"),"taxa.extra",
INDIRECT("tb_rec_uni[empresa]"),AO$6)</f>
        <v>0</v>
      </c>
      <c r="AP97" s="108"/>
      <c r="AQ97" s="108">
        <f ca="1">SUMIFS(
  m.vb[valor],
  m.vb[nucleo],$AJ$1,
  m.vb[variavel],AQ$7,
  m.vb[mes],$A97
)</f>
        <v>0</v>
      </c>
      <c r="AR97" s="108">
        <f ca="1">SUMIFS(
  m.vb[valor],
  m.vb[nucleo],$AJ$1,
  m.vb[variavel],AR$7,
  m.vb[mes],$A97
)</f>
        <v>0</v>
      </c>
      <c r="AS97" s="108">
        <f ca="1">SUMIFS(
  m.vb[valor],
  m.vb[nucleo],$AJ$1,
  m.vb[variavel],AS$7,
  m.vb[mes],$A97
)</f>
        <v>0</v>
      </c>
      <c r="AT97" s="108">
        <f ca="1">SUMIFS(
  m.vb[valor],
  m.vb[nucleo],$AJ$1,
  m.vb[variavel],AT$7,
  m.vb[mes],$A97
)</f>
        <v>0</v>
      </c>
      <c r="AU97" s="108">
        <f ca="1">SUMIFS(
  m.vb[valor],
  m.vb[nucleo],$AJ$1,
  m.vb[variavel],AU$7,
  m.vb[mes],$A97
)</f>
        <v>0</v>
      </c>
      <c r="AV97" s="119">
        <f>COUNTIFS(
    tb_estq[empresa], AV$6,
    tb_estq[Data da venda / reserva], "&gt;=" &amp; $A97,
    tb_estq[Data da venda / reserva], "&lt;"  &amp; EOMONTH($A97,0) + 1
)</f>
        <v>0</v>
      </c>
      <c r="AW97" s="120">
        <f ca="1">SUMIFS(tb_rec_uni[2028-11-01],
INDIRECT("tb_rec_uni[natureza]"),"pro.soluto",
INDIRECT("tb_rec_uni[empresa]"),AW$6)</f>
        <v>0</v>
      </c>
      <c r="AX97" s="120">
        <f ca="1">SUMIFS(tb_rec_uni[2028-11-01],
INDIRECT("tb_rec_uni[natureza]"),"repasse.cef.obra",
INDIRECT("tb_rec_uni[empresa]"),AX$6)</f>
        <v>0</v>
      </c>
      <c r="AY97" s="123">
        <f ca="1">SUMIFS(tb_rec_uni[2028-11-01],
INDIRECT("tb_rec_uni[natureza]"),"repasse.cef.terreno",
INDIRECT("tb_rec_uni[empresa]"),AY$6)</f>
        <v>0</v>
      </c>
      <c r="AZ97" s="124"/>
      <c r="BA97" s="120">
        <f ca="1">SUMIFS(tb_rec_uni[2028-11-01],
INDIRECT("tb_rec_uni[natureza]"),"taxa.extra",
INDIRECT("tb_rec_uni[empresa]"),BA$6)</f>
        <v>0</v>
      </c>
      <c r="BB97" s="108"/>
      <c r="BC97" s="108">
        <f ca="1">SUMIFS(
  m.vb[valor],
  m.vb[nucleo],$AV$1,
  m.vb[variavel],BC$7,
  m.vb[mes],$A97
)</f>
        <v>0</v>
      </c>
      <c r="BD97" s="108">
        <f ca="1">SUMIFS(
  m.vb[valor],
  m.vb[nucleo],$AV$1,
  m.vb[variavel],BD$7,
  m.vb[mes],$A97
)</f>
        <v>0</v>
      </c>
      <c r="BE97" s="108">
        <f ca="1">SUMIFS(
  m.vb[valor],
  m.vb[nucleo],$AV$1,
  m.vb[variavel],BE$7,
  m.vb[mes],$A97
)</f>
        <v>0</v>
      </c>
      <c r="BF97" s="108">
        <f ca="1">SUMIFS(
  m.vb[valor],
  m.vb[nucleo],$AV$1,
  m.vb[variavel],BF$7,
  m.vb[mes],$A97
)</f>
        <v>0</v>
      </c>
      <c r="BG97" s="108">
        <f ca="1">SUMIFS(
  m.vb[valor],
  m.vb[nucleo],$AV$1,
  m.vb[variavel],BG$7,
  m.vb[mes],$A97
)</f>
        <v>0</v>
      </c>
      <c r="BH97" s="119">
        <f>COUNTIFS(
    tb_estq[empresa], BH$6,
    tb_estq[Data da venda / reserva], "&gt;=" &amp; $A97,
    tb_estq[Data da venda / reserva], "&lt;"  &amp; EOMONTH($A97,0) + 1
)</f>
        <v>0</v>
      </c>
      <c r="BI97" s="120">
        <f ca="1">SUMIFS(tb_rec_uni[2028-11-01],
INDIRECT("tb_rec_uni[natureza]"),"pro.soluto",
INDIRECT("tb_rec_uni[empresa]"),BI$6)</f>
        <v>0</v>
      </c>
      <c r="BJ97" s="124"/>
      <c r="BK97" s="120">
        <f ca="1">SUMIFS(tb_rec_uni[2028-11-01],
INDIRECT("tb_rec_uni[natureza]"),"taxa.extra",
INDIRECT("tb_rec_uni[empresa]"),BK$6)</f>
        <v>0</v>
      </c>
      <c r="BL97" s="108"/>
      <c r="BM97" s="108">
        <f ca="1">SUMIFS(
  m.vb[valor],
  m.vb[nucleo],$BH$1,
  m.vb[variavel],BM$7,
  m.vb[mes],$A97
)</f>
        <v>0</v>
      </c>
      <c r="BN97" s="108">
        <f ca="1">SUMIFS(
  m.vb[valor],
  m.vb[nucleo],$BH$1,
  m.vb[variavel],BN$7,
  m.vb[mes],$A97
)</f>
        <v>0</v>
      </c>
      <c r="BO97" s="108">
        <f ca="1">SUMIFS(
  m.vb[valor],
  m.vb[nucleo],$BH$1,
  m.vb[variavel],BO$7,
  m.vb[mes],$A97
)</f>
        <v>0</v>
      </c>
      <c r="BP97" s="108">
        <f ca="1">SUMIFS(
  m.vb[valor],
  m.vb[nucleo],$BH$1,
  m.vb[variavel],BP$7,
  m.vb[mes],$A97
)</f>
        <v>0</v>
      </c>
      <c r="BQ97" s="108">
        <f ca="1">SUMIFS(
  m.vb[valor],
  m.vb[nucleo],$BH$1,
  m.vb[variavel],BQ$7,
  m.vb[mes],$A97
)</f>
        <v>0</v>
      </c>
      <c r="BR97" s="119">
        <f>COUNTIFS(
    tb_estq[empresa], BR$6,
    tb_estq[Data da venda / reserva], "&gt;=" &amp; $A97,
    tb_estq[Data da venda / reserva], "&lt;"  &amp; EOMONTH($A97,0) + 1
)</f>
        <v>0</v>
      </c>
      <c r="BS97" s="120">
        <f ca="1">SUMIFS(tb_rec_uni[2028-11-01],
INDIRECT("tb_rec_uni[natureza]"),"pro.soluto",
INDIRECT("tb_rec_uni[empresa]"),BS$6)</f>
        <v>0</v>
      </c>
      <c r="BT97" s="124">
        <f ca="1">SUMIFS(tb_rec_uni[2028-11-01],
INDIRECT("tb_rec_uni[natureza]"),"parcela.fin.total.ik",
INDIRECT("tb_rec_uni[empresa]"),BT$6)</f>
        <v>0</v>
      </c>
      <c r="BU97" s="120">
        <f ca="1">SUMIFS(tb_rec_uni[2028-11-01],
INDIRECT("tb_rec_uni[natureza]"),"taxa.extra",
INDIRECT("tb_rec_uni[empresa]"),BU$6)</f>
        <v>0</v>
      </c>
      <c r="BV97" s="108"/>
      <c r="BW97" s="108">
        <f ca="1">SUMIFS(
  m.vb[valor],
  m.vb[nucleo],$BR$1,
  m.vb[variavel],BW$7,
  m.vb[mes],$A97
)</f>
        <v>0</v>
      </c>
      <c r="BX97" s="108">
        <f ca="1">SUMIFS(
  m.vb[valor],
  m.vb[nucleo],$BR$1,
  m.vb[variavel],BX$7,
  m.vb[mes],$A97
)</f>
        <v>0</v>
      </c>
      <c r="BY97" s="108">
        <f ca="1">SUMIFS(
  m.vb[valor],
  m.vb[nucleo],$BR$1,
  m.vb[variavel],BY$7,
  m.vb[mes],$A97
)</f>
        <v>0</v>
      </c>
      <c r="BZ97" s="108">
        <f ca="1">SUMIFS(
  m.vb[valor],
  m.vb[nucleo],$BR$1,
  m.vb[variavel],BZ$7,
  m.vb[mes],$A97
)</f>
        <v>0</v>
      </c>
      <c r="CA97" s="108">
        <f ca="1">SUMIFS(
  m.vb[valor],
  m.vb[nucleo],$BR$1,
  m.vb[variavel],CA$7,
  m.vb[mes],$A97
)</f>
        <v>0</v>
      </c>
      <c r="CB97" s="119">
        <f>COUNTIFS(
    tb_estq[empresa], CB$6,
    tb_estq[Data da venda / reserva], "&gt;=" &amp; $A97,
    tb_estq[Data da venda / reserva], "&lt;"  &amp; EOMONTH($A97,0) + 1
)</f>
        <v>0</v>
      </c>
      <c r="CC97" s="120">
        <f ca="1">SUMIFS(tb_rec_uni[2028-11-01],
INDIRECT("tb_rec_uni[natureza]"),"pro.soluto",
INDIRECT("tb_rec_uni[empresa]"),CC$6)</f>
        <v>0</v>
      </c>
      <c r="CD97" s="120">
        <f ca="1">SUMIFS(tb_rec_uni[2028-11-01],
INDIRECT("tb_rec_uni[natureza]"),"repasse.cef.obra",
INDIRECT("tb_rec_uni[empresa]"),CD$6)</f>
        <v>0</v>
      </c>
      <c r="CE97" s="123">
        <f ca="1">SUMIFS(tb_rec_uni[2028-11-01],
INDIRECT("tb_rec_uni[natureza]"),"repasse.cef.terreno",
INDIRECT("tb_rec_uni[empresa]"),CE$6)</f>
        <v>0</v>
      </c>
      <c r="CF97" s="124"/>
      <c r="CG97" s="120">
        <f ca="1">SUMIFS(tb_rec_uni[2028-11-01],
INDIRECT("tb_rec_uni[natureza]"),"taxa.extra",
INDIRECT("tb_rec_uni[empresa]"),CG$6)</f>
        <v>0</v>
      </c>
      <c r="CH97" s="108"/>
      <c r="CI97" s="108">
        <f ca="1">SUMIFS(
  m.vb[valor],
  m.vb[nucleo],$CB$1,
  m.vb[variavel],CI$7,
  m.vb[mes],$A97
)</f>
        <v>0</v>
      </c>
      <c r="CJ97" s="108">
        <f ca="1">SUMIFS(
  m.vb[valor],
  m.vb[nucleo],$CB$1,
  m.vb[variavel],CJ$7,
  m.vb[mes],$A97
)</f>
        <v>0</v>
      </c>
      <c r="CK97" s="108">
        <f ca="1">SUMIFS(
  m.vb[valor],
  m.vb[nucleo],$CB$1,
  m.vb[variavel],CK$7,
  m.vb[mes],$A97
)</f>
        <v>0</v>
      </c>
      <c r="CL97" s="108">
        <f ca="1">SUMIFS(
  m.vb[valor],
  m.vb[nucleo],$CB$1,
  m.vb[variavel],CL$7,
  m.vb[mes],$A97
)</f>
        <v>0</v>
      </c>
      <c r="CM97" s="108">
        <f ca="1">SUMIFS(
  m.vb[valor],
  m.vb[nucleo],$CB$1,
  m.vb[variavel],CM$7,
  m.vb[mes],$A97
)</f>
        <v>0</v>
      </c>
      <c r="CN97" s="119">
        <f>COUNTIFS(
    tb_estq[empresa], CN$6,
    tb_estq[Data da venda / reserva], "&gt;=" &amp; $A97,
    tb_estq[Data da venda / reserva], "&lt;"  &amp; EOMONTH($A97,0) + 1
)</f>
        <v>0</v>
      </c>
      <c r="CO97" s="120">
        <f ca="1">SUMIFS(tb_rec_uni[2028-11-01],
INDIRECT("tb_rec_uni[natureza]"),"pro.soluto",
INDIRECT("tb_rec_uni[empresa]"),CO$6)</f>
        <v>0</v>
      </c>
      <c r="CP97" s="120">
        <f ca="1">SUMIFS(tb_rec_uni[2028-11-01],
INDIRECT("tb_rec_uni[natureza]"),"repasse.cef.obra",
INDIRECT("tb_rec_uni[empresa]"),CP$6)</f>
        <v>0</v>
      </c>
      <c r="CQ97" s="123">
        <f ca="1">SUMIFS(tb_rec_uni[2028-11-01],
INDIRECT("tb_rec_uni[natureza]"),"repasse.cef.terreno",
INDIRECT("tb_rec_uni[empresa]"),CQ$6)</f>
        <v>0</v>
      </c>
      <c r="CR97" s="124"/>
      <c r="CS97" s="120">
        <f ca="1">SUMIFS(tb_rec_uni[2028-11-01],
INDIRECT("tb_rec_uni[natureza]"),"taxa.extra",
INDIRECT("tb_rec_uni[empresa]"),CS$6)</f>
        <v>0</v>
      </c>
      <c r="CT97" s="108"/>
      <c r="CU97" s="108">
        <f ca="1">SUMIFS(
  m.vb[valor],
  m.vb[nucleo],$CN$1,
  m.vb[variavel],CU$7,
  m.vb[mes],$A97
)</f>
        <v>0</v>
      </c>
      <c r="CV97" s="108" cm="1">
        <f t="array" ref="CV97">SUMPRODUCT(
  IFERROR(--tb_desp[valor],0)*
  (tb_desp[nucleo]="UP MOVE VILA SONIA")*
  (tb_desp[categoria]=CV$7)*
  (tb_desp[data.pagamento]&gt;=$A97)*
  (tb_desp[data.pagamento]&lt;EOMONTH($A97,0)+1)
)</f>
        <v>0</v>
      </c>
      <c r="CW97" s="108" cm="1">
        <f t="array" ref="CW97">SUMPRODUCT(
  IFERROR(--tb_desp[valor],0)*
  (tb_desp[nucleo]="UP MOVE VILA SONIA")*
  (tb_desp[categoria]=CW$7)*
  (tb_desp[data.pagamento]&gt;=$A97)*
  (tb_desp[data.pagamento]&lt;EOMONTH($A97,0)+1)
)</f>
        <v>0</v>
      </c>
      <c r="CX97" s="108" cm="1">
        <f t="array" ref="CX97">SUMPRODUCT(
  IFERROR(--tb_desp[valor],0)*
  (tb_desp[nucleo]="UP MOVE VILA SONIA")*
  (tb_desp[categoria]=CX$7)*
  (tb_desp[data.pagamento]&gt;=$A97)*
  (tb_desp[data.pagamento]&lt;EOMONTH($A97,0)+1)
)</f>
        <v>0</v>
      </c>
      <c r="CY97" s="221" cm="1">
        <f t="array" ref="CY97">SUMPRODUCT(
  IFERROR(--tb_desp[valor],0)*
  (tb_desp[nucleo]="UP MOVE VILA SONIA")*
  (tb_desp[categoria]=CY$7)*
  (tb_desp[data.pagamento]&gt;=$A97)*
  (tb_desp[data.pagamento]&lt;EOMONTH($A97,0)+1)
)</f>
        <v>0</v>
      </c>
    </row>
    <row r="98" spans="1:103" x14ac:dyDescent="0.25">
      <c r="A98" s="118">
        <v>47088</v>
      </c>
      <c r="B98" s="119">
        <f>COUNTIFS(
    tb_estq[empresa], B$6,
    tb_estq[Data da venda / reserva], "&gt;=" &amp; $A98,
    tb_estq[Data da venda / reserva], "&lt;"  &amp; EOMONTH($A98,0) + 1
)</f>
        <v>0</v>
      </c>
      <c r="C98" s="120">
        <f ca="1">SUMIFS(tb_rec_uni[2028-12-01],
INDIRECT("tb_rec_uni[natureza]"),"pro.soluto",
INDIRECT("tb_rec_uni[empresa]"),C$6)</f>
        <v>0</v>
      </c>
      <c r="D98" s="120">
        <f ca="1">SUMIFS(tb_rec_uni[2028-12-01],
INDIRECT("tb_rec_uni[natureza]"),"repasse.cef.obra",
INDIRECT("tb_rec_uni[empresa]"),D$6)</f>
        <v>0</v>
      </c>
      <c r="E98" s="120">
        <f ca="1">SUMIFS(tb_rec_uni[2028-12-01],
INDIRECT("tb_rec_uni[natureza]"),"repasse.cef.terreno",
INDIRECT("tb_rec_uni[empresa]"),E$6)</f>
        <v>0</v>
      </c>
      <c r="F98" s="124"/>
      <c r="G98" s="120">
        <f ca="1">SUMIFS(tb_rec_uni[2028-12-01],
INDIRECT("tb_rec_uni[natureza]"),"taxa.extra",
INDIRECT("tb_rec_uni[empresa]"),G$6)</f>
        <v>0</v>
      </c>
      <c r="H98" s="108"/>
      <c r="I98" s="108">
        <f ca="1">SUMIFS(
  m.vb[valor],
  m.vb[nucleo],$B$1,
  m.vb[variavel],I$7,
  m.vb[mes],$A98
)</f>
        <v>0</v>
      </c>
      <c r="J98" s="108">
        <f ca="1">SUMIFS(
  m.vb[valor],
  m.vb[nucleo],$B$1,
  m.vb[variavel],J$7,
  m.vb[mes],$A98
)</f>
        <v>0</v>
      </c>
      <c r="K98" s="108">
        <f ca="1">SUMIFS(
  m.vb[valor],
  m.vb[nucleo],$B$1,
  m.vb[variavel],K$7,
  m.vb[mes],$A98
)</f>
        <v>0</v>
      </c>
      <c r="L98" s="108">
        <f ca="1">SUMIFS(
  m.vb[valor],
  m.vb[nucleo],$B$1,
  m.vb[variavel],L$7,
  m.vb[mes],$A98
)</f>
        <v>0</v>
      </c>
      <c r="M98" s="108">
        <f ca="1">SUMIFS(
  m.vb[valor],
  m.vb[nucleo],$B$1,
  m.vb[variavel],M$7,
  m.vb[mes],$A98
)</f>
        <v>0</v>
      </c>
      <c r="N98" s="119">
        <f>COUNTIFS(
    tb_estq[empresa], N$6,
    tb_estq[Data da venda / reserva], "&gt;=" &amp; $A98,
    tb_estq[Data da venda / reserva], "&lt;"  &amp; EOMONTH($A98,0) + 1
)</f>
        <v>0</v>
      </c>
      <c r="O98" s="120">
        <f ca="1">SUMIFS(tb_rec_uni[2028-12-01],
INDIRECT("tb_rec_uni[natureza]"),"pro.soluto",
INDIRECT("tb_rec_uni[empresa]"),O$6)</f>
        <v>0</v>
      </c>
      <c r="P98" s="120">
        <f ca="1">SUMIFS(tb_rec_uni[2028-12-01],
INDIRECT("tb_rec_uni[natureza]"),"repasse.cef.obra",
INDIRECT("tb_rec_uni[empresa]"),P$6)</f>
        <v>0</v>
      </c>
      <c r="Q98" s="120">
        <f ca="1">SUMIFS(tb_rec_uni[2028-12-01],
INDIRECT("tb_rec_uni[natureza]"),"repasse.cef.terreno",
INDIRECT("tb_rec_uni[empresa]"),Q$6)</f>
        <v>0</v>
      </c>
      <c r="R98" s="124"/>
      <c r="S98" s="120">
        <f ca="1">SUMIFS(tb_rec_uni[2028-12-01],
INDIRECT("tb_rec_uni[natureza]"),"taxa.extra",
INDIRECT("tb_rec_uni[empresa]"),S$6)</f>
        <v>0</v>
      </c>
      <c r="T98" s="108"/>
      <c r="U98" s="108">
        <f ca="1">SUMIFS(
  m.vb[valor],
  m.vb[nucleo],$N$1,
  m.vb[variavel],U$7,
  m.vb[mes],$A98
)</f>
        <v>0</v>
      </c>
      <c r="V98" s="108">
        <f ca="1">SUMIFS(
  m.vb[valor],
  m.vb[nucleo],$N$1,
  m.vb[variavel],V$7,
  m.vb[mes],$A98
)</f>
        <v>0</v>
      </c>
      <c r="W98" s="108">
        <f ca="1">SUMIFS(
  m.vb[valor],
  m.vb[nucleo],$N$1,
  m.vb[variavel],W$7,
  m.vb[mes],$A98
)</f>
        <v>0</v>
      </c>
      <c r="X98" s="108">
        <f ca="1">SUMIFS(
  m.vb[valor],
  m.vb[nucleo],$N$1,
  m.vb[variavel],X$7,
  m.vb[mes],$A98
)</f>
        <v>0</v>
      </c>
      <c r="Y98" s="108">
        <f ca="1">SUMIFS(
  m.vb[valor],
  m.vb[nucleo],$N$1,
  m.vb[variavel],Y$7,
  m.vb[mes],$A98
)</f>
        <v>0</v>
      </c>
      <c r="Z98" s="119">
        <f>COUNTIFS(
    tb_estq[empresa], Z$6,
    tb_estq[Data da venda / reserva], "&gt;=" &amp; $A98,
    tb_estq[Data da venda / reserva], "&lt;"  &amp; EOMONTH($A98,0) + 1
)</f>
        <v>0</v>
      </c>
      <c r="AA98" s="120">
        <f ca="1">SUMIFS(tb_rec_uni[2028-12-01],
INDIRECT("tb_rec_uni[natureza]"),"pro.soluto",
INDIRECT("tb_rec_uni[empresa]"),AA$6)</f>
        <v>0</v>
      </c>
      <c r="AB98" s="124">
        <f ca="1">SUMIFS(tb_rec_uni[2028-12-01],
INDIRECT("tb_rec_uni[natureza]"),"parcela.fin.total.ik",
INDIRECT("tb_rec_uni[empresa]"),AB$6)</f>
        <v>0</v>
      </c>
      <c r="AC98" s="120">
        <f ca="1">SUMIFS(tb_rec_uni[2028-12-01],
INDIRECT("tb_rec_uni[natureza]"),"taxa.extra",
INDIRECT("tb_rec_uni[empresa]"),AC$6)</f>
        <v>0</v>
      </c>
      <c r="AD98" s="108"/>
      <c r="AE98" s="108">
        <f ca="1">SUMIFS(
  m.vb[valor],
  m.vb[nucleo],$Z$1,
  m.vb[variavel],AE$7,
  m.vb[mes],$A98
)</f>
        <v>0</v>
      </c>
      <c r="AF98" s="108">
        <f ca="1">SUMIFS(
  m.vb[valor],
  m.vb[nucleo],$Z$1,
  m.vb[variavel],AF$7,
  m.vb[mes],$A98
)</f>
        <v>0</v>
      </c>
      <c r="AG98" s="108">
        <f ca="1">SUMIFS(
  m.vb[valor],
  m.vb[nucleo],$Z$1,
  m.vb[variavel],AG$7,
  m.vb[mes],$A98
)</f>
        <v>0</v>
      </c>
      <c r="AH98" s="108">
        <f ca="1">SUMIFS(
  m.vb[valor],
  m.vb[nucleo],$Z$1,
  m.vb[variavel],AH$7,
  m.vb[mes],$A98
)</f>
        <v>0</v>
      </c>
      <c r="AI98" s="108">
        <f ca="1">SUMIFS(
  m.vb[valor],
  m.vb[nucleo],$Z$1,
  m.vb[variavel],AI$7,
  m.vb[mes],$A98
)</f>
        <v>0</v>
      </c>
      <c r="AJ98" s="119">
        <f>COUNTIFS(
    tb_estq[empresa], AJ$6,
    tb_estq[Data da venda / reserva], "&gt;=" &amp; $A98,
    tb_estq[Data da venda / reserva], "&lt;"  &amp; EOMONTH($A98,0) + 1
)</f>
        <v>0</v>
      </c>
      <c r="AK98" s="120">
        <f ca="1">SUMIFS(tb_rec_uni[2028-12-01],
INDIRECT("tb_rec_uni[natureza]"),"pro.soluto",
INDIRECT("tb_rec_uni[empresa]"),AK$6)</f>
        <v>0</v>
      </c>
      <c r="AL98" s="120">
        <f ca="1">SUMIFS(tb_rec_uni[2028-12-01],
INDIRECT("tb_rec_uni[natureza]"),"repasse.cef.obra",
INDIRECT("tb_rec_uni[empresa]"),AL$6)</f>
        <v>0</v>
      </c>
      <c r="AM98" s="123">
        <f ca="1">SUMIFS(tb_rec_uni[2028-12-01],
INDIRECT("tb_rec_uni[natureza]"),"repasse.cef.terreno",
INDIRECT("tb_rec_uni[empresa]"),AM$6)</f>
        <v>0</v>
      </c>
      <c r="AN98" s="124"/>
      <c r="AO98" s="120">
        <f ca="1">SUMIFS(tb_rec_uni[2028-12-01],
INDIRECT("tb_rec_uni[natureza]"),"taxa.extra",
INDIRECT("tb_rec_uni[empresa]"),AO$6)</f>
        <v>0</v>
      </c>
      <c r="AP98" s="108"/>
      <c r="AQ98" s="108">
        <f ca="1">SUMIFS(
  m.vb[valor],
  m.vb[nucleo],$AJ$1,
  m.vb[variavel],AQ$7,
  m.vb[mes],$A98
)</f>
        <v>0</v>
      </c>
      <c r="AR98" s="108">
        <f ca="1">SUMIFS(
  m.vb[valor],
  m.vb[nucleo],$AJ$1,
  m.vb[variavel],AR$7,
  m.vb[mes],$A98
)</f>
        <v>0</v>
      </c>
      <c r="AS98" s="108">
        <f ca="1">SUMIFS(
  m.vb[valor],
  m.vb[nucleo],$AJ$1,
  m.vb[variavel],AS$7,
  m.vb[mes],$A98
)</f>
        <v>0</v>
      </c>
      <c r="AT98" s="108">
        <f ca="1">SUMIFS(
  m.vb[valor],
  m.vb[nucleo],$AJ$1,
  m.vb[variavel],AT$7,
  m.vb[mes],$A98
)</f>
        <v>0</v>
      </c>
      <c r="AU98" s="108">
        <f ca="1">SUMIFS(
  m.vb[valor],
  m.vb[nucleo],$AJ$1,
  m.vb[variavel],AU$7,
  m.vb[mes],$A98
)</f>
        <v>0</v>
      </c>
      <c r="AV98" s="119">
        <f>COUNTIFS(
    tb_estq[empresa], AV$6,
    tb_estq[Data da venda / reserva], "&gt;=" &amp; $A98,
    tb_estq[Data da venda / reserva], "&lt;"  &amp; EOMONTH($A98,0) + 1
)</f>
        <v>0</v>
      </c>
      <c r="AW98" s="120">
        <f ca="1">SUMIFS(tb_rec_uni[2028-12-01],
INDIRECT("tb_rec_uni[natureza]"),"pro.soluto",
INDIRECT("tb_rec_uni[empresa]"),AW$6)</f>
        <v>0</v>
      </c>
      <c r="AX98" s="120">
        <f ca="1">SUMIFS(tb_rec_uni[2028-12-01],
INDIRECT("tb_rec_uni[natureza]"),"repasse.cef.obra",
INDIRECT("tb_rec_uni[empresa]"),AX$6)</f>
        <v>0</v>
      </c>
      <c r="AY98" s="123">
        <f ca="1">SUMIFS(tb_rec_uni[2028-12-01],
INDIRECT("tb_rec_uni[natureza]"),"repasse.cef.terreno",
INDIRECT("tb_rec_uni[empresa]"),AY$6)</f>
        <v>0</v>
      </c>
      <c r="AZ98" s="124"/>
      <c r="BA98" s="120">
        <f ca="1">SUMIFS(tb_rec_uni[2028-12-01],
INDIRECT("tb_rec_uni[natureza]"),"taxa.extra",
INDIRECT("tb_rec_uni[empresa]"),BA$6)</f>
        <v>0</v>
      </c>
      <c r="BB98" s="108"/>
      <c r="BC98" s="108">
        <f ca="1">SUMIFS(
  m.vb[valor],
  m.vb[nucleo],$AV$1,
  m.vb[variavel],BC$7,
  m.vb[mes],$A98
)</f>
        <v>0</v>
      </c>
      <c r="BD98" s="108">
        <f ca="1">SUMIFS(
  m.vb[valor],
  m.vb[nucleo],$AV$1,
  m.vb[variavel],BD$7,
  m.vb[mes],$A98
)</f>
        <v>0</v>
      </c>
      <c r="BE98" s="108">
        <f ca="1">SUMIFS(
  m.vb[valor],
  m.vb[nucleo],$AV$1,
  m.vb[variavel],BE$7,
  m.vb[mes],$A98
)</f>
        <v>0</v>
      </c>
      <c r="BF98" s="108">
        <f ca="1">SUMIFS(
  m.vb[valor],
  m.vb[nucleo],$AV$1,
  m.vb[variavel],BF$7,
  m.vb[mes],$A98
)</f>
        <v>0</v>
      </c>
      <c r="BG98" s="108">
        <f ca="1">SUMIFS(
  m.vb[valor],
  m.vb[nucleo],$AV$1,
  m.vb[variavel],BG$7,
  m.vb[mes],$A98
)</f>
        <v>0</v>
      </c>
      <c r="BH98" s="119">
        <f>COUNTIFS(
    tb_estq[empresa], BH$6,
    tb_estq[Data da venda / reserva], "&gt;=" &amp; $A98,
    tb_estq[Data da venda / reserva], "&lt;"  &amp; EOMONTH($A98,0) + 1
)</f>
        <v>0</v>
      </c>
      <c r="BI98" s="120">
        <f ca="1">SUMIFS(tb_rec_uni[2028-12-01],
INDIRECT("tb_rec_uni[natureza]"),"pro.soluto",
INDIRECT("tb_rec_uni[empresa]"),BI$6)</f>
        <v>0</v>
      </c>
      <c r="BJ98" s="124"/>
      <c r="BK98" s="120">
        <f ca="1">SUMIFS(tb_rec_uni[2028-12-01],
INDIRECT("tb_rec_uni[natureza]"),"taxa.extra",
INDIRECT("tb_rec_uni[empresa]"),BK$6)</f>
        <v>0</v>
      </c>
      <c r="BL98" s="108"/>
      <c r="BM98" s="108">
        <f ca="1">SUMIFS(
  m.vb[valor],
  m.vb[nucleo],$BH$1,
  m.vb[variavel],BM$7,
  m.vb[mes],$A98
)</f>
        <v>0</v>
      </c>
      <c r="BN98" s="108">
        <f ca="1">SUMIFS(
  m.vb[valor],
  m.vb[nucleo],$BH$1,
  m.vb[variavel],BN$7,
  m.vb[mes],$A98
)</f>
        <v>0</v>
      </c>
      <c r="BO98" s="108">
        <f ca="1">SUMIFS(
  m.vb[valor],
  m.vb[nucleo],$BH$1,
  m.vb[variavel],BO$7,
  m.vb[mes],$A98
)</f>
        <v>0</v>
      </c>
      <c r="BP98" s="108">
        <f ca="1">SUMIFS(
  m.vb[valor],
  m.vb[nucleo],$BH$1,
  m.vb[variavel],BP$7,
  m.vb[mes],$A98
)</f>
        <v>0</v>
      </c>
      <c r="BQ98" s="108">
        <f ca="1">SUMIFS(
  m.vb[valor],
  m.vb[nucleo],$BH$1,
  m.vb[variavel],BQ$7,
  m.vb[mes],$A98
)</f>
        <v>0</v>
      </c>
      <c r="BR98" s="119">
        <f>COUNTIFS(
    tb_estq[empresa], BR$6,
    tb_estq[Data da venda / reserva], "&gt;=" &amp; $A98,
    tb_estq[Data da venda / reserva], "&lt;"  &amp; EOMONTH($A98,0) + 1
)</f>
        <v>0</v>
      </c>
      <c r="BS98" s="120">
        <f ca="1">SUMIFS(tb_rec_uni[2028-12-01],
INDIRECT("tb_rec_uni[natureza]"),"pro.soluto",
INDIRECT("tb_rec_uni[empresa]"),BS$6)</f>
        <v>0</v>
      </c>
      <c r="BT98" s="124">
        <f ca="1">SUMIFS(tb_rec_uni[2028-12-01],
INDIRECT("tb_rec_uni[natureza]"),"parcela.fin.total.ik",
INDIRECT("tb_rec_uni[empresa]"),BT$6)</f>
        <v>0</v>
      </c>
      <c r="BU98" s="120">
        <f ca="1">SUMIFS(tb_rec_uni[2028-12-01],
INDIRECT("tb_rec_uni[natureza]"),"taxa.extra",
INDIRECT("tb_rec_uni[empresa]"),BU$6)</f>
        <v>0</v>
      </c>
      <c r="BV98" s="108"/>
      <c r="BW98" s="108">
        <f ca="1">SUMIFS(
  m.vb[valor],
  m.vb[nucleo],$BR$1,
  m.vb[variavel],BW$7,
  m.vb[mes],$A98
)</f>
        <v>0</v>
      </c>
      <c r="BX98" s="108">
        <f ca="1">SUMIFS(
  m.vb[valor],
  m.vb[nucleo],$BR$1,
  m.vb[variavel],BX$7,
  m.vb[mes],$A98
)</f>
        <v>0</v>
      </c>
      <c r="BY98" s="108">
        <f ca="1">SUMIFS(
  m.vb[valor],
  m.vb[nucleo],$BR$1,
  m.vb[variavel],BY$7,
  m.vb[mes],$A98
)</f>
        <v>0</v>
      </c>
      <c r="BZ98" s="108">
        <f ca="1">SUMIFS(
  m.vb[valor],
  m.vb[nucleo],$BR$1,
  m.vb[variavel],BZ$7,
  m.vb[mes],$A98
)</f>
        <v>0</v>
      </c>
      <c r="CA98" s="108">
        <f ca="1">SUMIFS(
  m.vb[valor],
  m.vb[nucleo],$BR$1,
  m.vb[variavel],CA$7,
  m.vb[mes],$A98
)</f>
        <v>0</v>
      </c>
      <c r="CB98" s="119">
        <f>COUNTIFS(
    tb_estq[empresa], CB$6,
    tb_estq[Data da venda / reserva], "&gt;=" &amp; $A98,
    tb_estq[Data da venda / reserva], "&lt;"  &amp; EOMONTH($A98,0) + 1
)</f>
        <v>0</v>
      </c>
      <c r="CC98" s="120">
        <f ca="1">SUMIFS(tb_rec_uni[2028-12-01],
INDIRECT("tb_rec_uni[natureza]"),"pro.soluto",
INDIRECT("tb_rec_uni[empresa]"),CC$6)</f>
        <v>0</v>
      </c>
      <c r="CD98" s="120">
        <f ca="1">SUMIFS(tb_rec_uni[2028-12-01],
INDIRECT("tb_rec_uni[natureza]"),"repasse.cef.obra",
INDIRECT("tb_rec_uni[empresa]"),CD$6)</f>
        <v>0</v>
      </c>
      <c r="CE98" s="123">
        <f ca="1">SUMIFS(tb_rec_uni[2028-12-01],
INDIRECT("tb_rec_uni[natureza]"),"repasse.cef.terreno",
INDIRECT("tb_rec_uni[empresa]"),CE$6)</f>
        <v>0</v>
      </c>
      <c r="CF98" s="124"/>
      <c r="CG98" s="120">
        <f ca="1">SUMIFS(tb_rec_uni[2028-12-01],
INDIRECT("tb_rec_uni[natureza]"),"taxa.extra",
INDIRECT("tb_rec_uni[empresa]"),CG$6)</f>
        <v>0</v>
      </c>
      <c r="CH98" s="108"/>
      <c r="CI98" s="108">
        <f ca="1">SUMIFS(
  m.vb[valor],
  m.vb[nucleo],$CB$1,
  m.vb[variavel],CI$7,
  m.vb[mes],$A98
)</f>
        <v>0</v>
      </c>
      <c r="CJ98" s="108">
        <f ca="1">SUMIFS(
  m.vb[valor],
  m.vb[nucleo],$CB$1,
  m.vb[variavel],CJ$7,
  m.vb[mes],$A98
)</f>
        <v>0</v>
      </c>
      <c r="CK98" s="108">
        <f ca="1">SUMIFS(
  m.vb[valor],
  m.vb[nucleo],$CB$1,
  m.vb[variavel],CK$7,
  m.vb[mes],$A98
)</f>
        <v>0</v>
      </c>
      <c r="CL98" s="108">
        <f ca="1">SUMIFS(
  m.vb[valor],
  m.vb[nucleo],$CB$1,
  m.vb[variavel],CL$7,
  m.vb[mes],$A98
)</f>
        <v>0</v>
      </c>
      <c r="CM98" s="108">
        <f ca="1">SUMIFS(
  m.vb[valor],
  m.vb[nucleo],$CB$1,
  m.vb[variavel],CM$7,
  m.vb[mes],$A98
)</f>
        <v>0</v>
      </c>
      <c r="CN98" s="119">
        <f>COUNTIFS(
    tb_estq[empresa], CN$6,
    tb_estq[Data da venda / reserva], "&gt;=" &amp; $A98,
    tb_estq[Data da venda / reserva], "&lt;"  &amp; EOMONTH($A98,0) + 1
)</f>
        <v>0</v>
      </c>
      <c r="CO98" s="120">
        <f ca="1">SUMIFS(tb_rec_uni[2028-12-01],
INDIRECT("tb_rec_uni[natureza]"),"pro.soluto",
INDIRECT("tb_rec_uni[empresa]"),CO$6)</f>
        <v>0</v>
      </c>
      <c r="CP98" s="120">
        <f ca="1">SUMIFS(tb_rec_uni[2028-12-01],
INDIRECT("tb_rec_uni[natureza]"),"repasse.cef.obra",
INDIRECT("tb_rec_uni[empresa]"),CP$6)</f>
        <v>0</v>
      </c>
      <c r="CQ98" s="123">
        <f ca="1">SUMIFS(tb_rec_uni[2028-12-01],
INDIRECT("tb_rec_uni[natureza]"),"repasse.cef.terreno",
INDIRECT("tb_rec_uni[empresa]"),CQ$6)</f>
        <v>0</v>
      </c>
      <c r="CR98" s="124"/>
      <c r="CS98" s="120">
        <f ca="1">SUMIFS(tb_rec_uni[2028-12-01],
INDIRECT("tb_rec_uni[natureza]"),"taxa.extra",
INDIRECT("tb_rec_uni[empresa]"),CS$6)</f>
        <v>0</v>
      </c>
      <c r="CT98" s="108"/>
      <c r="CU98" s="108">
        <f ca="1">SUMIFS(
  m.vb[valor],
  m.vb[nucleo],$CN$1,
  m.vb[variavel],CU$7,
  m.vb[mes],$A98
)</f>
        <v>0</v>
      </c>
      <c r="CV98" s="108" cm="1">
        <f t="array" ref="CV98">SUMPRODUCT(
  IFERROR(--tb_desp[valor],0)*
  (tb_desp[nucleo]="UP MOVE VILA SONIA")*
  (tb_desp[categoria]=CV$7)*
  (tb_desp[data.pagamento]&gt;=$A98)*
  (tb_desp[data.pagamento]&lt;EOMONTH($A98,0)+1)
)</f>
        <v>0</v>
      </c>
      <c r="CW98" s="108" cm="1">
        <f t="array" ref="CW98">SUMPRODUCT(
  IFERROR(--tb_desp[valor],0)*
  (tb_desp[nucleo]="UP MOVE VILA SONIA")*
  (tb_desp[categoria]=CW$7)*
  (tb_desp[data.pagamento]&gt;=$A98)*
  (tb_desp[data.pagamento]&lt;EOMONTH($A98,0)+1)
)</f>
        <v>0</v>
      </c>
      <c r="CX98" s="108" cm="1">
        <f t="array" ref="CX98">SUMPRODUCT(
  IFERROR(--tb_desp[valor],0)*
  (tb_desp[nucleo]="UP MOVE VILA SONIA")*
  (tb_desp[categoria]=CX$7)*
  (tb_desp[data.pagamento]&gt;=$A98)*
  (tb_desp[data.pagamento]&lt;EOMONTH($A98,0)+1)
)</f>
        <v>0</v>
      </c>
      <c r="CY98" s="221" cm="1">
        <f t="array" ref="CY98">SUMPRODUCT(
  IFERROR(--tb_desp[valor],0)*
  (tb_desp[nucleo]="UP MOVE VILA SONIA")*
  (tb_desp[categoria]=CY$7)*
  (tb_desp[data.pagamento]&gt;=$A98)*
  (tb_desp[data.pagamento]&lt;EOMONTH($A98,0)+1)
)</f>
        <v>0</v>
      </c>
    </row>
    <row r="99" spans="1:103" x14ac:dyDescent="0.25">
      <c r="A99" s="118">
        <v>47119</v>
      </c>
      <c r="B99" s="119">
        <f>COUNTIFS(
    tb_estq[empresa], B$6,
    tb_estq[Data da venda / reserva], "&gt;=" &amp; $A99,
    tb_estq[Data da venda / reserva], "&lt;"  &amp; EOMONTH($A99,0) + 1
)</f>
        <v>0</v>
      </c>
      <c r="C99" s="120">
        <f ca="1">SUMIFS(tb_rec_uni[2029-01-01],
INDIRECT("tb_rec_uni[natureza]"),"pro.soluto",
INDIRECT("tb_rec_uni[empresa]"),C$6)</f>
        <v>0</v>
      </c>
      <c r="D99" s="120">
        <f ca="1">SUMIFS(tb_rec_uni[2029-01-01],
INDIRECT("tb_rec_uni[natureza]"),"repasse.cef.obra",
INDIRECT("tb_rec_uni[empresa]"),D$6)</f>
        <v>0</v>
      </c>
      <c r="E99" s="120">
        <f ca="1">SUMIFS(tb_rec_uni[2029-01-01],
INDIRECT("tb_rec_uni[natureza]"),"repasse.cef.terreno",
INDIRECT("tb_rec_uni[empresa]"),E$6)</f>
        <v>0</v>
      </c>
      <c r="F99" s="124"/>
      <c r="G99" s="120">
        <f ca="1">SUMIFS(tb_rec_uni[2029-01-01],
INDIRECT("tb_rec_uni[natureza]"),"taxa.extra",
INDIRECT("tb_rec_uni[empresa]"),G$6)</f>
        <v>0</v>
      </c>
      <c r="H99" s="108"/>
      <c r="I99" s="108">
        <f ca="1">SUMIFS(
  m.vb[valor],
  m.vb[nucleo],$B$1,
  m.vb[variavel],I$7,
  m.vb[mes],$A99
)</f>
        <v>0</v>
      </c>
      <c r="J99" s="108">
        <f ca="1">SUMIFS(
  m.vb[valor],
  m.vb[nucleo],$B$1,
  m.vb[variavel],J$7,
  m.vb[mes],$A99
)</f>
        <v>0</v>
      </c>
      <c r="K99" s="108">
        <f ca="1">SUMIFS(
  m.vb[valor],
  m.vb[nucleo],$B$1,
  m.vb[variavel],K$7,
  m.vb[mes],$A99
)</f>
        <v>0</v>
      </c>
      <c r="L99" s="108">
        <f ca="1">SUMIFS(
  m.vb[valor],
  m.vb[nucleo],$B$1,
  m.vb[variavel],L$7,
  m.vb[mes],$A99
)</f>
        <v>0</v>
      </c>
      <c r="M99" s="108">
        <f ca="1">SUMIFS(
  m.vb[valor],
  m.vb[nucleo],$B$1,
  m.vb[variavel],M$7,
  m.vb[mes],$A99
)</f>
        <v>0</v>
      </c>
      <c r="N99" s="119">
        <f>COUNTIFS(
    tb_estq[empresa], N$6,
    tb_estq[Data da venda / reserva], "&gt;=" &amp; $A99,
    tb_estq[Data da venda / reserva], "&lt;"  &amp; EOMONTH($A99,0) + 1
)</f>
        <v>0</v>
      </c>
      <c r="O99" s="120">
        <f ca="1">SUMIFS(tb_rec_uni[2029-01-01],
INDIRECT("tb_rec_uni[natureza]"),"pro.soluto",
INDIRECT("tb_rec_uni[empresa]"),O$6)</f>
        <v>0</v>
      </c>
      <c r="P99" s="120">
        <f ca="1">SUMIFS(tb_rec_uni[2029-01-01],
INDIRECT("tb_rec_uni[natureza]"),"repasse.cef.obra",
INDIRECT("tb_rec_uni[empresa]"),P$6)</f>
        <v>0</v>
      </c>
      <c r="Q99" s="120">
        <f ca="1">SUMIFS(tb_rec_uni[2029-01-01],
INDIRECT("tb_rec_uni[natureza]"),"repasse.cef.terreno",
INDIRECT("tb_rec_uni[empresa]"),Q$6)</f>
        <v>0</v>
      </c>
      <c r="R99" s="124"/>
      <c r="S99" s="120">
        <f ca="1">SUMIFS(tb_rec_uni[2029-01-01],
INDIRECT("tb_rec_uni[natureza]"),"taxa.extra",
INDIRECT("tb_rec_uni[empresa]"),S$6)</f>
        <v>0</v>
      </c>
      <c r="T99" s="108"/>
      <c r="U99" s="108">
        <f ca="1">SUMIFS(
  m.vb[valor],
  m.vb[nucleo],$N$1,
  m.vb[variavel],U$7,
  m.vb[mes],$A99
)</f>
        <v>0</v>
      </c>
      <c r="V99" s="108">
        <f ca="1">SUMIFS(
  m.vb[valor],
  m.vb[nucleo],$N$1,
  m.vb[variavel],V$7,
  m.vb[mes],$A99
)</f>
        <v>0</v>
      </c>
      <c r="W99" s="108">
        <f ca="1">SUMIFS(
  m.vb[valor],
  m.vb[nucleo],$N$1,
  m.vb[variavel],W$7,
  m.vb[mes],$A99
)</f>
        <v>0</v>
      </c>
      <c r="X99" s="108">
        <f ca="1">SUMIFS(
  m.vb[valor],
  m.vb[nucleo],$N$1,
  m.vb[variavel],X$7,
  m.vb[mes],$A99
)</f>
        <v>0</v>
      </c>
      <c r="Y99" s="108">
        <f ca="1">SUMIFS(
  m.vb[valor],
  m.vb[nucleo],$N$1,
  m.vb[variavel],Y$7,
  m.vb[mes],$A99
)</f>
        <v>0</v>
      </c>
      <c r="Z99" s="119">
        <f>COUNTIFS(
    tb_estq[empresa], Z$6,
    tb_estq[Data da venda / reserva], "&gt;=" &amp; $A99,
    tb_estq[Data da venda / reserva], "&lt;"  &amp; EOMONTH($A99,0) + 1
)</f>
        <v>0</v>
      </c>
      <c r="AA99" s="120">
        <f ca="1">SUMIFS(tb_rec_uni[2029-01-01],
INDIRECT("tb_rec_uni[natureza]"),"pro.soluto",
INDIRECT("tb_rec_uni[empresa]"),AA$6)</f>
        <v>0</v>
      </c>
      <c r="AB99" s="124">
        <f ca="1">SUMIFS(tb_rec_uni[2029-01-01],
INDIRECT("tb_rec_uni[natureza]"),"parcela.fin.total.ik",
INDIRECT("tb_rec_uni[empresa]"),AB$6)</f>
        <v>0</v>
      </c>
      <c r="AC99" s="120">
        <f ca="1">SUMIFS(tb_rec_uni[2029-01-01],
INDIRECT("tb_rec_uni[natureza]"),"taxa.extra",
INDIRECT("tb_rec_uni[empresa]"),AC$6)</f>
        <v>0</v>
      </c>
      <c r="AD99" s="108"/>
      <c r="AE99" s="108">
        <f ca="1">SUMIFS(
  m.vb[valor],
  m.vb[nucleo],$Z$1,
  m.vb[variavel],AE$7,
  m.vb[mes],$A99
)</f>
        <v>0</v>
      </c>
      <c r="AF99" s="108">
        <f ca="1">SUMIFS(
  m.vb[valor],
  m.vb[nucleo],$Z$1,
  m.vb[variavel],AF$7,
  m.vb[mes],$A99
)</f>
        <v>0</v>
      </c>
      <c r="AG99" s="108">
        <f ca="1">SUMIFS(
  m.vb[valor],
  m.vb[nucleo],$Z$1,
  m.vb[variavel],AG$7,
  m.vb[mes],$A99
)</f>
        <v>0</v>
      </c>
      <c r="AH99" s="108">
        <f ca="1">SUMIFS(
  m.vb[valor],
  m.vb[nucleo],$Z$1,
  m.vb[variavel],AH$7,
  m.vb[mes],$A99
)</f>
        <v>0</v>
      </c>
      <c r="AI99" s="108">
        <f ca="1">SUMIFS(
  m.vb[valor],
  m.vb[nucleo],$Z$1,
  m.vb[variavel],AI$7,
  m.vb[mes],$A99
)</f>
        <v>0</v>
      </c>
      <c r="AJ99" s="119">
        <f>COUNTIFS(
    tb_estq[empresa], AJ$6,
    tb_estq[Data da venda / reserva], "&gt;=" &amp; $A99,
    tb_estq[Data da venda / reserva], "&lt;"  &amp; EOMONTH($A99,0) + 1
)</f>
        <v>0</v>
      </c>
      <c r="AK99" s="120">
        <f ca="1">SUMIFS(tb_rec_uni[2029-01-01],
INDIRECT("tb_rec_uni[natureza]"),"pro.soluto",
INDIRECT("tb_rec_uni[empresa]"),AK$6)</f>
        <v>0</v>
      </c>
      <c r="AL99" s="120">
        <f ca="1">SUMIFS(tb_rec_uni[2029-01-01],
INDIRECT("tb_rec_uni[natureza]"),"repasse.cef.obra",
INDIRECT("tb_rec_uni[empresa]"),AL$6)</f>
        <v>0</v>
      </c>
      <c r="AM99" s="123">
        <f ca="1">SUMIFS(tb_rec_uni[2029-01-01],
INDIRECT("tb_rec_uni[natureza]"),"repasse.cef.terreno",
INDIRECT("tb_rec_uni[empresa]"),AM$6)</f>
        <v>0</v>
      </c>
      <c r="AN99" s="124"/>
      <c r="AO99" s="120">
        <f ca="1">SUMIFS(tb_rec_uni[2029-01-01],
INDIRECT("tb_rec_uni[natureza]"),"taxa.extra",
INDIRECT("tb_rec_uni[empresa]"),AO$6)</f>
        <v>0</v>
      </c>
      <c r="AP99" s="108"/>
      <c r="AQ99" s="108">
        <f ca="1">SUMIFS(
  m.vb[valor],
  m.vb[nucleo],$AJ$1,
  m.vb[variavel],AQ$7,
  m.vb[mes],$A99
)</f>
        <v>0</v>
      </c>
      <c r="AR99" s="108">
        <f ca="1">SUMIFS(
  m.vb[valor],
  m.vb[nucleo],$AJ$1,
  m.vb[variavel],AR$7,
  m.vb[mes],$A99
)</f>
        <v>0</v>
      </c>
      <c r="AS99" s="108">
        <f ca="1">SUMIFS(
  m.vb[valor],
  m.vb[nucleo],$AJ$1,
  m.vb[variavel],AS$7,
  m.vb[mes],$A99
)</f>
        <v>0</v>
      </c>
      <c r="AT99" s="108">
        <f ca="1">SUMIFS(
  m.vb[valor],
  m.vb[nucleo],$AJ$1,
  m.vb[variavel],AT$7,
  m.vb[mes],$A99
)</f>
        <v>0</v>
      </c>
      <c r="AU99" s="108">
        <f ca="1">SUMIFS(
  m.vb[valor],
  m.vb[nucleo],$AJ$1,
  m.vb[variavel],AU$7,
  m.vb[mes],$A99
)</f>
        <v>0</v>
      </c>
      <c r="AV99" s="119">
        <f>COUNTIFS(
    tb_estq[empresa], AV$6,
    tb_estq[Data da venda / reserva], "&gt;=" &amp; $A99,
    tb_estq[Data da venda / reserva], "&lt;"  &amp; EOMONTH($A99,0) + 1
)</f>
        <v>0</v>
      </c>
      <c r="AW99" s="120">
        <f ca="1">SUMIFS(tb_rec_uni[2029-01-01],
INDIRECT("tb_rec_uni[natureza]"),"pro.soluto",
INDIRECT("tb_rec_uni[empresa]"),AW$6)</f>
        <v>0</v>
      </c>
      <c r="AX99" s="120">
        <f ca="1">SUMIFS(tb_rec_uni[2029-01-01],
INDIRECT("tb_rec_uni[natureza]"),"repasse.cef.obra",
INDIRECT("tb_rec_uni[empresa]"),AX$6)</f>
        <v>0</v>
      </c>
      <c r="AY99" s="123">
        <f ca="1">SUMIFS(tb_rec_uni[2029-01-01],
INDIRECT("tb_rec_uni[natureza]"),"repasse.cef.terreno",
INDIRECT("tb_rec_uni[empresa]"),AY$6)</f>
        <v>0</v>
      </c>
      <c r="AZ99" s="124"/>
      <c r="BA99" s="120">
        <f ca="1">SUMIFS(tb_rec_uni[2029-01-01],
INDIRECT("tb_rec_uni[natureza]"),"taxa.extra",
INDIRECT("tb_rec_uni[empresa]"),BA$6)</f>
        <v>0</v>
      </c>
      <c r="BB99" s="108"/>
      <c r="BC99" s="108">
        <f ca="1">SUMIFS(
  m.vb[valor],
  m.vb[nucleo],$AV$1,
  m.vb[variavel],BC$7,
  m.vb[mes],$A99
)</f>
        <v>0</v>
      </c>
      <c r="BD99" s="108">
        <f ca="1">SUMIFS(
  m.vb[valor],
  m.vb[nucleo],$AV$1,
  m.vb[variavel],BD$7,
  m.vb[mes],$A99
)</f>
        <v>0</v>
      </c>
      <c r="BE99" s="108">
        <f ca="1">SUMIFS(
  m.vb[valor],
  m.vb[nucleo],$AV$1,
  m.vb[variavel],BE$7,
  m.vb[mes],$A99
)</f>
        <v>0</v>
      </c>
      <c r="BF99" s="108">
        <f ca="1">SUMIFS(
  m.vb[valor],
  m.vb[nucleo],$AV$1,
  m.vb[variavel],BF$7,
  m.vb[mes],$A99
)</f>
        <v>0</v>
      </c>
      <c r="BG99" s="108">
        <f ca="1">SUMIFS(
  m.vb[valor],
  m.vb[nucleo],$AV$1,
  m.vb[variavel],BG$7,
  m.vb[mes],$A99
)</f>
        <v>0</v>
      </c>
      <c r="BH99" s="119">
        <f>COUNTIFS(
    tb_estq[empresa], BH$6,
    tb_estq[Data da venda / reserva], "&gt;=" &amp; $A99,
    tb_estq[Data da venda / reserva], "&lt;"  &amp; EOMONTH($A99,0) + 1
)</f>
        <v>0</v>
      </c>
      <c r="BI99" s="120">
        <f ca="1">SUMIFS(tb_rec_uni[2029-01-01],
INDIRECT("tb_rec_uni[natureza]"),"pro.soluto",
INDIRECT("tb_rec_uni[empresa]"),BI$6)</f>
        <v>0</v>
      </c>
      <c r="BJ99" s="124"/>
      <c r="BK99" s="120">
        <f ca="1">SUMIFS(tb_rec_uni[2029-01-01],
INDIRECT("tb_rec_uni[natureza]"),"taxa.extra",
INDIRECT("tb_rec_uni[empresa]"),BK$6)</f>
        <v>0</v>
      </c>
      <c r="BL99" s="108"/>
      <c r="BM99" s="108">
        <f ca="1">SUMIFS(
  m.vb[valor],
  m.vb[nucleo],$BH$1,
  m.vb[variavel],BM$7,
  m.vb[mes],$A99
)</f>
        <v>0</v>
      </c>
      <c r="BN99" s="108">
        <f ca="1">SUMIFS(
  m.vb[valor],
  m.vb[nucleo],$BH$1,
  m.vb[variavel],BN$7,
  m.vb[mes],$A99
)</f>
        <v>0</v>
      </c>
      <c r="BO99" s="108">
        <f ca="1">SUMIFS(
  m.vb[valor],
  m.vb[nucleo],$BH$1,
  m.vb[variavel],BO$7,
  m.vb[mes],$A99
)</f>
        <v>0</v>
      </c>
      <c r="BP99" s="108">
        <f ca="1">SUMIFS(
  m.vb[valor],
  m.vb[nucleo],$BH$1,
  m.vb[variavel],BP$7,
  m.vb[mes],$A99
)</f>
        <v>0</v>
      </c>
      <c r="BQ99" s="108">
        <f ca="1">SUMIFS(
  m.vb[valor],
  m.vb[nucleo],$BH$1,
  m.vb[variavel],BQ$7,
  m.vb[mes],$A99
)</f>
        <v>0</v>
      </c>
      <c r="BR99" s="119">
        <f>COUNTIFS(
    tb_estq[empresa], BR$6,
    tb_estq[Data da venda / reserva], "&gt;=" &amp; $A99,
    tb_estq[Data da venda / reserva], "&lt;"  &amp; EOMONTH($A99,0) + 1
)</f>
        <v>0</v>
      </c>
      <c r="BS99" s="120">
        <f ca="1">SUMIFS(tb_rec_uni[2029-01-01],
INDIRECT("tb_rec_uni[natureza]"),"pro.soluto",
INDIRECT("tb_rec_uni[empresa]"),BS$6)</f>
        <v>0</v>
      </c>
      <c r="BT99" s="124">
        <f ca="1">SUMIFS(tb_rec_uni[2029-01-01],
INDIRECT("tb_rec_uni[natureza]"),"parcela.fin.total.ik",
INDIRECT("tb_rec_uni[empresa]"),BT$6)</f>
        <v>0</v>
      </c>
      <c r="BU99" s="120">
        <f ca="1">SUMIFS(tb_rec_uni[2029-01-01],
INDIRECT("tb_rec_uni[natureza]"),"taxa.extra",
INDIRECT("tb_rec_uni[empresa]"),BU$6)</f>
        <v>0</v>
      </c>
      <c r="BV99" s="108"/>
      <c r="BW99" s="108">
        <f ca="1">SUMIFS(
  m.vb[valor],
  m.vb[nucleo],$BR$1,
  m.vb[variavel],BW$7,
  m.vb[mes],$A99
)</f>
        <v>0</v>
      </c>
      <c r="BX99" s="108">
        <f ca="1">SUMIFS(
  m.vb[valor],
  m.vb[nucleo],$BR$1,
  m.vb[variavel],BX$7,
  m.vb[mes],$A99
)</f>
        <v>0</v>
      </c>
      <c r="BY99" s="108">
        <f ca="1">SUMIFS(
  m.vb[valor],
  m.vb[nucleo],$BR$1,
  m.vb[variavel],BY$7,
  m.vb[mes],$A99
)</f>
        <v>0</v>
      </c>
      <c r="BZ99" s="108">
        <f ca="1">SUMIFS(
  m.vb[valor],
  m.vb[nucleo],$BR$1,
  m.vb[variavel],BZ$7,
  m.vb[mes],$A99
)</f>
        <v>0</v>
      </c>
      <c r="CA99" s="108">
        <f ca="1">SUMIFS(
  m.vb[valor],
  m.vb[nucleo],$BR$1,
  m.vb[variavel],CA$7,
  m.vb[mes],$A99
)</f>
        <v>0</v>
      </c>
      <c r="CB99" s="119">
        <f>COUNTIFS(
    tb_estq[empresa], CB$6,
    tb_estq[Data da venda / reserva], "&gt;=" &amp; $A99,
    tb_estq[Data da venda / reserva], "&lt;"  &amp; EOMONTH($A99,0) + 1
)</f>
        <v>0</v>
      </c>
      <c r="CC99" s="120">
        <f ca="1">SUMIFS(tb_rec_uni[2029-01-01],
INDIRECT("tb_rec_uni[natureza]"),"pro.soluto",
INDIRECT("tb_rec_uni[empresa]"),CC$6)</f>
        <v>0</v>
      </c>
      <c r="CD99" s="120">
        <f ca="1">SUMIFS(tb_rec_uni[2029-01-01],
INDIRECT("tb_rec_uni[natureza]"),"repasse.cef.obra",
INDIRECT("tb_rec_uni[empresa]"),CD$6)</f>
        <v>0</v>
      </c>
      <c r="CE99" s="123">
        <f ca="1">SUMIFS(tb_rec_uni[2029-01-01],
INDIRECT("tb_rec_uni[natureza]"),"repasse.cef.terreno",
INDIRECT("tb_rec_uni[empresa]"),CE$6)</f>
        <v>0</v>
      </c>
      <c r="CF99" s="124"/>
      <c r="CG99" s="120">
        <f ca="1">SUMIFS(tb_rec_uni[2029-01-01],
INDIRECT("tb_rec_uni[natureza]"),"taxa.extra",
INDIRECT("tb_rec_uni[empresa]"),CG$6)</f>
        <v>0</v>
      </c>
      <c r="CH99" s="108"/>
      <c r="CI99" s="108">
        <f ca="1">SUMIFS(
  m.vb[valor],
  m.vb[nucleo],$CB$1,
  m.vb[variavel],CI$7,
  m.vb[mes],$A99
)</f>
        <v>0</v>
      </c>
      <c r="CJ99" s="108">
        <f ca="1">SUMIFS(
  m.vb[valor],
  m.vb[nucleo],$CB$1,
  m.vb[variavel],CJ$7,
  m.vb[mes],$A99
)</f>
        <v>0</v>
      </c>
      <c r="CK99" s="108">
        <f ca="1">SUMIFS(
  m.vb[valor],
  m.vb[nucleo],$CB$1,
  m.vb[variavel],CK$7,
  m.vb[mes],$A99
)</f>
        <v>0</v>
      </c>
      <c r="CL99" s="108">
        <f ca="1">SUMIFS(
  m.vb[valor],
  m.vb[nucleo],$CB$1,
  m.vb[variavel],CL$7,
  m.vb[mes],$A99
)</f>
        <v>0</v>
      </c>
      <c r="CM99" s="108">
        <f ca="1">SUMIFS(
  m.vb[valor],
  m.vb[nucleo],$CB$1,
  m.vb[variavel],CM$7,
  m.vb[mes],$A99
)</f>
        <v>0</v>
      </c>
      <c r="CN99" s="119">
        <f>COUNTIFS(
    tb_estq[empresa], CN$6,
    tb_estq[Data da venda / reserva], "&gt;=" &amp; $A99,
    tb_estq[Data da venda / reserva], "&lt;"  &amp; EOMONTH($A99,0) + 1
)</f>
        <v>0</v>
      </c>
      <c r="CO99" s="120">
        <f ca="1">SUMIFS(tb_rec_uni[2029-01-01],
INDIRECT("tb_rec_uni[natureza]"),"pro.soluto",
INDIRECT("tb_rec_uni[empresa]"),CO$6)</f>
        <v>0</v>
      </c>
      <c r="CP99" s="120">
        <f ca="1">SUMIFS(tb_rec_uni[2029-01-01],
INDIRECT("tb_rec_uni[natureza]"),"repasse.cef.obra",
INDIRECT("tb_rec_uni[empresa]"),CP$6)</f>
        <v>0</v>
      </c>
      <c r="CQ99" s="123">
        <f ca="1">SUMIFS(tb_rec_uni[2029-01-01],
INDIRECT("tb_rec_uni[natureza]"),"repasse.cef.terreno",
INDIRECT("tb_rec_uni[empresa]"),CQ$6)</f>
        <v>0</v>
      </c>
      <c r="CR99" s="124"/>
      <c r="CS99" s="120">
        <f ca="1">SUMIFS(tb_rec_uni[2029-01-01],
INDIRECT("tb_rec_uni[natureza]"),"taxa.extra",
INDIRECT("tb_rec_uni[empresa]"),CS$6)</f>
        <v>0</v>
      </c>
      <c r="CT99" s="108"/>
      <c r="CU99" s="108">
        <f ca="1">SUMIFS(
  m.vb[valor],
  m.vb[nucleo],$CN$1,
  m.vb[variavel],CU$7,
  m.vb[mes],$A99
)</f>
        <v>0</v>
      </c>
      <c r="CV99" s="108" cm="1">
        <f t="array" ref="CV99">SUMPRODUCT(
  IFERROR(--tb_desp[valor],0)*
  (tb_desp[nucleo]="UP MOVE VILA SONIA")*
  (tb_desp[categoria]=CV$7)*
  (tb_desp[data.pagamento]&gt;=$A99)*
  (tb_desp[data.pagamento]&lt;EOMONTH($A99,0)+1)
)</f>
        <v>0</v>
      </c>
      <c r="CW99" s="108" cm="1">
        <f t="array" ref="CW99">SUMPRODUCT(
  IFERROR(--tb_desp[valor],0)*
  (tb_desp[nucleo]="UP MOVE VILA SONIA")*
  (tb_desp[categoria]=CW$7)*
  (tb_desp[data.pagamento]&gt;=$A99)*
  (tb_desp[data.pagamento]&lt;EOMONTH($A99,0)+1)
)</f>
        <v>0</v>
      </c>
      <c r="CX99" s="108" cm="1">
        <f t="array" ref="CX99">SUMPRODUCT(
  IFERROR(--tb_desp[valor],0)*
  (tb_desp[nucleo]="UP MOVE VILA SONIA")*
  (tb_desp[categoria]=CX$7)*
  (tb_desp[data.pagamento]&gt;=$A99)*
  (tb_desp[data.pagamento]&lt;EOMONTH($A99,0)+1)
)</f>
        <v>0</v>
      </c>
      <c r="CY99" s="221" cm="1">
        <f t="array" ref="CY99">SUMPRODUCT(
  IFERROR(--tb_desp[valor],0)*
  (tb_desp[nucleo]="UP MOVE VILA SONIA")*
  (tb_desp[categoria]=CY$7)*
  (tb_desp[data.pagamento]&gt;=$A99)*
  (tb_desp[data.pagamento]&lt;EOMONTH($A99,0)+1)
)</f>
        <v>0</v>
      </c>
    </row>
    <row r="100" spans="1:103" x14ac:dyDescent="0.25">
      <c r="A100" s="118">
        <v>47150</v>
      </c>
      <c r="B100" s="119">
        <f>COUNTIFS(
    tb_estq[empresa], B$6,
    tb_estq[Data da venda / reserva], "&gt;=" &amp; $A100,
    tb_estq[Data da venda / reserva], "&lt;"  &amp; EOMONTH($A100,0) + 1
)</f>
        <v>0</v>
      </c>
      <c r="C100" s="120">
        <f ca="1">SUMIFS(tb_rec_uni[2029-02-01],
INDIRECT("tb_rec_uni[natureza]"),"pro.soluto",
INDIRECT("tb_rec_uni[empresa]"),C$6)</f>
        <v>0</v>
      </c>
      <c r="D100" s="120">
        <f ca="1">SUMIFS(tb_rec_uni[2029-02-01],
INDIRECT("tb_rec_uni[natureza]"),"repasse.cef.obra",
INDIRECT("tb_rec_uni[empresa]"),D$6)</f>
        <v>0</v>
      </c>
      <c r="E100" s="120">
        <f ca="1">SUMIFS(tb_rec_uni[2029-02-01],
INDIRECT("tb_rec_uni[natureza]"),"repasse.cef.terreno",
INDIRECT("tb_rec_uni[empresa]"),E$6)</f>
        <v>0</v>
      </c>
      <c r="F100" s="124"/>
      <c r="G100" s="120">
        <f ca="1">SUMIFS(tb_rec_uni[2029-02-01],
INDIRECT("tb_rec_uni[natureza]"),"taxa.extra",
INDIRECT("tb_rec_uni[empresa]"),G$6)</f>
        <v>0</v>
      </c>
      <c r="H100" s="108"/>
      <c r="I100" s="108">
        <f ca="1">SUMIFS(
  m.vb[valor],
  m.vb[nucleo],$B$1,
  m.vb[variavel],I$7,
  m.vb[mes],$A100
)</f>
        <v>0</v>
      </c>
      <c r="J100" s="108">
        <f ca="1">SUMIFS(
  m.vb[valor],
  m.vb[nucleo],$B$1,
  m.vb[variavel],J$7,
  m.vb[mes],$A100
)</f>
        <v>0</v>
      </c>
      <c r="K100" s="108">
        <f ca="1">SUMIFS(
  m.vb[valor],
  m.vb[nucleo],$B$1,
  m.vb[variavel],K$7,
  m.vb[mes],$A100
)</f>
        <v>0</v>
      </c>
      <c r="L100" s="108">
        <f ca="1">SUMIFS(
  m.vb[valor],
  m.vb[nucleo],$B$1,
  m.vb[variavel],L$7,
  m.vb[mes],$A100
)</f>
        <v>0</v>
      </c>
      <c r="M100" s="108">
        <f ca="1">SUMIFS(
  m.vb[valor],
  m.vb[nucleo],$B$1,
  m.vb[variavel],M$7,
  m.vb[mes],$A100
)</f>
        <v>0</v>
      </c>
      <c r="N100" s="119">
        <f>COUNTIFS(
    tb_estq[empresa], N$6,
    tb_estq[Data da venda / reserva], "&gt;=" &amp; $A100,
    tb_estq[Data da venda / reserva], "&lt;"  &amp; EOMONTH($A100,0) + 1
)</f>
        <v>0</v>
      </c>
      <c r="O100" s="120">
        <f ca="1">SUMIFS(tb_rec_uni[2029-02-01],
INDIRECT("tb_rec_uni[natureza]"),"pro.soluto",
INDIRECT("tb_rec_uni[empresa]"),O$6)</f>
        <v>0</v>
      </c>
      <c r="P100" s="120">
        <f ca="1">SUMIFS(tb_rec_uni[2029-02-01],
INDIRECT("tb_rec_uni[natureza]"),"repasse.cef.obra",
INDIRECT("tb_rec_uni[empresa]"),P$6)</f>
        <v>0</v>
      </c>
      <c r="Q100" s="120">
        <f ca="1">SUMIFS(tb_rec_uni[2029-02-01],
INDIRECT("tb_rec_uni[natureza]"),"repasse.cef.terreno",
INDIRECT("tb_rec_uni[empresa]"),Q$6)</f>
        <v>0</v>
      </c>
      <c r="R100" s="124"/>
      <c r="S100" s="120">
        <f ca="1">SUMIFS(tb_rec_uni[2029-02-01],
INDIRECT("tb_rec_uni[natureza]"),"taxa.extra",
INDIRECT("tb_rec_uni[empresa]"),S$6)</f>
        <v>0</v>
      </c>
      <c r="T100" s="108"/>
      <c r="U100" s="108">
        <f ca="1">SUMIFS(
  m.vb[valor],
  m.vb[nucleo],$N$1,
  m.vb[variavel],U$7,
  m.vb[mes],$A100
)</f>
        <v>0</v>
      </c>
      <c r="V100" s="108">
        <f ca="1">SUMIFS(
  m.vb[valor],
  m.vb[nucleo],$N$1,
  m.vb[variavel],V$7,
  m.vb[mes],$A100
)</f>
        <v>0</v>
      </c>
      <c r="W100" s="108">
        <f ca="1">SUMIFS(
  m.vb[valor],
  m.vb[nucleo],$N$1,
  m.vb[variavel],W$7,
  m.vb[mes],$A100
)</f>
        <v>0</v>
      </c>
      <c r="X100" s="108">
        <f ca="1">SUMIFS(
  m.vb[valor],
  m.vb[nucleo],$N$1,
  m.vb[variavel],X$7,
  m.vb[mes],$A100
)</f>
        <v>0</v>
      </c>
      <c r="Y100" s="108">
        <f ca="1">SUMIFS(
  m.vb[valor],
  m.vb[nucleo],$N$1,
  m.vb[variavel],Y$7,
  m.vb[mes],$A100
)</f>
        <v>0</v>
      </c>
      <c r="Z100" s="119">
        <f>COUNTIFS(
    tb_estq[empresa], Z$6,
    tb_estq[Data da venda / reserva], "&gt;=" &amp; $A100,
    tb_estq[Data da venda / reserva], "&lt;"  &amp; EOMONTH($A100,0) + 1
)</f>
        <v>0</v>
      </c>
      <c r="AA100" s="120">
        <f ca="1">SUMIFS(tb_rec_uni[2029-02-01],
INDIRECT("tb_rec_uni[natureza]"),"pro.soluto",
INDIRECT("tb_rec_uni[empresa]"),AA$6)</f>
        <v>0</v>
      </c>
      <c r="AB100" s="124">
        <f ca="1">SUMIFS(tb_rec_uni[2029-02-01],
INDIRECT("tb_rec_uni[natureza]"),"parcela.fin.total.ik",
INDIRECT("tb_rec_uni[empresa]"),AB$6)</f>
        <v>0</v>
      </c>
      <c r="AC100" s="120">
        <f ca="1">SUMIFS(tb_rec_uni[2029-02-01],
INDIRECT("tb_rec_uni[natureza]"),"taxa.extra",
INDIRECT("tb_rec_uni[empresa]"),AC$6)</f>
        <v>0</v>
      </c>
      <c r="AD100" s="108"/>
      <c r="AE100" s="108">
        <f ca="1">SUMIFS(
  m.vb[valor],
  m.vb[nucleo],$Z$1,
  m.vb[variavel],AE$7,
  m.vb[mes],$A100
)</f>
        <v>0</v>
      </c>
      <c r="AF100" s="108">
        <f ca="1">SUMIFS(
  m.vb[valor],
  m.vb[nucleo],$Z$1,
  m.vb[variavel],AF$7,
  m.vb[mes],$A100
)</f>
        <v>0</v>
      </c>
      <c r="AG100" s="108">
        <f ca="1">SUMIFS(
  m.vb[valor],
  m.vb[nucleo],$Z$1,
  m.vb[variavel],AG$7,
  m.vb[mes],$A100
)</f>
        <v>0</v>
      </c>
      <c r="AH100" s="108">
        <f ca="1">SUMIFS(
  m.vb[valor],
  m.vb[nucleo],$Z$1,
  m.vb[variavel],AH$7,
  m.vb[mes],$A100
)</f>
        <v>0</v>
      </c>
      <c r="AI100" s="108">
        <f ca="1">SUMIFS(
  m.vb[valor],
  m.vb[nucleo],$Z$1,
  m.vb[variavel],AI$7,
  m.vb[mes],$A100
)</f>
        <v>0</v>
      </c>
      <c r="AJ100" s="119">
        <f>COUNTIFS(
    tb_estq[empresa], AJ$6,
    tb_estq[Data da venda / reserva], "&gt;=" &amp; $A100,
    tb_estq[Data da venda / reserva], "&lt;"  &amp; EOMONTH($A100,0) + 1
)</f>
        <v>0</v>
      </c>
      <c r="AK100" s="120">
        <f ca="1">SUMIFS(tb_rec_uni[2029-02-01],
INDIRECT("tb_rec_uni[natureza]"),"pro.soluto",
INDIRECT("tb_rec_uni[empresa]"),AK$6)</f>
        <v>0</v>
      </c>
      <c r="AL100" s="120">
        <f ca="1">SUMIFS(tb_rec_uni[2029-02-01],
INDIRECT("tb_rec_uni[natureza]"),"repasse.cef.obra",
INDIRECT("tb_rec_uni[empresa]"),AL$6)</f>
        <v>0</v>
      </c>
      <c r="AM100" s="123">
        <f ca="1">SUMIFS(tb_rec_uni[2029-02-01],
INDIRECT("tb_rec_uni[natureza]"),"repasse.cef.terreno",
INDIRECT("tb_rec_uni[empresa]"),AM$6)</f>
        <v>0</v>
      </c>
      <c r="AN100" s="124"/>
      <c r="AO100" s="120">
        <f ca="1">SUMIFS(tb_rec_uni[2029-02-01],
INDIRECT("tb_rec_uni[natureza]"),"taxa.extra",
INDIRECT("tb_rec_uni[empresa]"),AO$6)</f>
        <v>0</v>
      </c>
      <c r="AP100" s="108"/>
      <c r="AQ100" s="108">
        <f ca="1">SUMIFS(
  m.vb[valor],
  m.vb[nucleo],$AJ$1,
  m.vb[variavel],AQ$7,
  m.vb[mes],$A100
)</f>
        <v>0</v>
      </c>
      <c r="AR100" s="108">
        <f ca="1">SUMIFS(
  m.vb[valor],
  m.vb[nucleo],$AJ$1,
  m.vb[variavel],AR$7,
  m.vb[mes],$A100
)</f>
        <v>0</v>
      </c>
      <c r="AS100" s="108">
        <f ca="1">SUMIFS(
  m.vb[valor],
  m.vb[nucleo],$AJ$1,
  m.vb[variavel],AS$7,
  m.vb[mes],$A100
)</f>
        <v>0</v>
      </c>
      <c r="AT100" s="108">
        <f ca="1">SUMIFS(
  m.vb[valor],
  m.vb[nucleo],$AJ$1,
  m.vb[variavel],AT$7,
  m.vb[mes],$A100
)</f>
        <v>0</v>
      </c>
      <c r="AU100" s="108">
        <f ca="1">SUMIFS(
  m.vb[valor],
  m.vb[nucleo],$AJ$1,
  m.vb[variavel],AU$7,
  m.vb[mes],$A100
)</f>
        <v>0</v>
      </c>
      <c r="AV100" s="119">
        <f>COUNTIFS(
    tb_estq[empresa], AV$6,
    tb_estq[Data da venda / reserva], "&gt;=" &amp; $A100,
    tb_estq[Data da venda / reserva], "&lt;"  &amp; EOMONTH($A100,0) + 1
)</f>
        <v>0</v>
      </c>
      <c r="AW100" s="120">
        <f ca="1">SUMIFS(tb_rec_uni[2029-02-01],
INDIRECT("tb_rec_uni[natureza]"),"pro.soluto",
INDIRECT("tb_rec_uni[empresa]"),AW$6)</f>
        <v>0</v>
      </c>
      <c r="AX100" s="120">
        <f ca="1">SUMIFS(tb_rec_uni[2029-02-01],
INDIRECT("tb_rec_uni[natureza]"),"repasse.cef.obra",
INDIRECT("tb_rec_uni[empresa]"),AX$6)</f>
        <v>0</v>
      </c>
      <c r="AY100" s="123">
        <f ca="1">SUMIFS(tb_rec_uni[2029-02-01],
INDIRECT("tb_rec_uni[natureza]"),"repasse.cef.terreno",
INDIRECT("tb_rec_uni[empresa]"),AY$6)</f>
        <v>0</v>
      </c>
      <c r="AZ100" s="124"/>
      <c r="BA100" s="120">
        <f ca="1">SUMIFS(tb_rec_uni[2029-02-01],
INDIRECT("tb_rec_uni[natureza]"),"taxa.extra",
INDIRECT("tb_rec_uni[empresa]"),BA$6)</f>
        <v>0</v>
      </c>
      <c r="BB100" s="108"/>
      <c r="BC100" s="108">
        <f ca="1">SUMIFS(
  m.vb[valor],
  m.vb[nucleo],$AV$1,
  m.vb[variavel],BC$7,
  m.vb[mes],$A100
)</f>
        <v>0</v>
      </c>
      <c r="BD100" s="108">
        <f ca="1">SUMIFS(
  m.vb[valor],
  m.vb[nucleo],$AV$1,
  m.vb[variavel],BD$7,
  m.vb[mes],$A100
)</f>
        <v>0</v>
      </c>
      <c r="BE100" s="108">
        <f ca="1">SUMIFS(
  m.vb[valor],
  m.vb[nucleo],$AV$1,
  m.vb[variavel],BE$7,
  m.vb[mes],$A100
)</f>
        <v>0</v>
      </c>
      <c r="BF100" s="108">
        <f ca="1">SUMIFS(
  m.vb[valor],
  m.vb[nucleo],$AV$1,
  m.vb[variavel],BF$7,
  m.vb[mes],$A100
)</f>
        <v>0</v>
      </c>
      <c r="BG100" s="108">
        <f ca="1">SUMIFS(
  m.vb[valor],
  m.vb[nucleo],$AV$1,
  m.vb[variavel],BG$7,
  m.vb[mes],$A100
)</f>
        <v>0</v>
      </c>
      <c r="BH100" s="119">
        <f>COUNTIFS(
    tb_estq[empresa], BH$6,
    tb_estq[Data da venda / reserva], "&gt;=" &amp; $A100,
    tb_estq[Data da venda / reserva], "&lt;"  &amp; EOMONTH($A100,0) + 1
)</f>
        <v>0</v>
      </c>
      <c r="BI100" s="120">
        <f ca="1">SUMIFS(tb_rec_uni[2029-02-01],
INDIRECT("tb_rec_uni[natureza]"),"pro.soluto",
INDIRECT("tb_rec_uni[empresa]"),BI$6)</f>
        <v>0</v>
      </c>
      <c r="BJ100" s="124"/>
      <c r="BK100" s="120">
        <f ca="1">SUMIFS(tb_rec_uni[2029-02-01],
INDIRECT("tb_rec_uni[natureza]"),"taxa.extra",
INDIRECT("tb_rec_uni[empresa]"),BK$6)</f>
        <v>0</v>
      </c>
      <c r="BL100" s="108"/>
      <c r="BM100" s="108">
        <f ca="1">SUMIFS(
  m.vb[valor],
  m.vb[nucleo],$BH$1,
  m.vb[variavel],BM$7,
  m.vb[mes],$A100
)</f>
        <v>0</v>
      </c>
      <c r="BN100" s="108">
        <f ca="1">SUMIFS(
  m.vb[valor],
  m.vb[nucleo],$BH$1,
  m.vb[variavel],BN$7,
  m.vb[mes],$A100
)</f>
        <v>0</v>
      </c>
      <c r="BO100" s="108">
        <f ca="1">SUMIFS(
  m.vb[valor],
  m.vb[nucleo],$BH$1,
  m.vb[variavel],BO$7,
  m.vb[mes],$A100
)</f>
        <v>0</v>
      </c>
      <c r="BP100" s="108">
        <f ca="1">SUMIFS(
  m.vb[valor],
  m.vb[nucleo],$BH$1,
  m.vb[variavel],BP$7,
  m.vb[mes],$A100
)</f>
        <v>0</v>
      </c>
      <c r="BQ100" s="108">
        <f ca="1">SUMIFS(
  m.vb[valor],
  m.vb[nucleo],$BH$1,
  m.vb[variavel],BQ$7,
  m.vb[mes],$A100
)</f>
        <v>0</v>
      </c>
      <c r="BR100" s="119">
        <f>COUNTIFS(
    tb_estq[empresa], BR$6,
    tb_estq[Data da venda / reserva], "&gt;=" &amp; $A100,
    tb_estq[Data da venda / reserva], "&lt;"  &amp; EOMONTH($A100,0) + 1
)</f>
        <v>0</v>
      </c>
      <c r="BS100" s="120">
        <f ca="1">SUMIFS(tb_rec_uni[2029-02-01],
INDIRECT("tb_rec_uni[natureza]"),"pro.soluto",
INDIRECT("tb_rec_uni[empresa]"),BS$6)</f>
        <v>0</v>
      </c>
      <c r="BT100" s="124">
        <f ca="1">SUMIFS(tb_rec_uni[2029-02-01],
INDIRECT("tb_rec_uni[natureza]"),"parcela.fin.total.ik",
INDIRECT("tb_rec_uni[empresa]"),BT$6)</f>
        <v>0</v>
      </c>
      <c r="BU100" s="120">
        <f ca="1">SUMIFS(tb_rec_uni[2029-02-01],
INDIRECT("tb_rec_uni[natureza]"),"taxa.extra",
INDIRECT("tb_rec_uni[empresa]"),BU$6)</f>
        <v>0</v>
      </c>
      <c r="BV100" s="108"/>
      <c r="BW100" s="108">
        <f ca="1">SUMIFS(
  m.vb[valor],
  m.vb[nucleo],$BR$1,
  m.vb[variavel],BW$7,
  m.vb[mes],$A100
)</f>
        <v>0</v>
      </c>
      <c r="BX100" s="108">
        <f ca="1">SUMIFS(
  m.vb[valor],
  m.vb[nucleo],$BR$1,
  m.vb[variavel],BX$7,
  m.vb[mes],$A100
)</f>
        <v>0</v>
      </c>
      <c r="BY100" s="108">
        <f ca="1">SUMIFS(
  m.vb[valor],
  m.vb[nucleo],$BR$1,
  m.vb[variavel],BY$7,
  m.vb[mes],$A100
)</f>
        <v>0</v>
      </c>
      <c r="BZ100" s="108">
        <f ca="1">SUMIFS(
  m.vb[valor],
  m.vb[nucleo],$BR$1,
  m.vb[variavel],BZ$7,
  m.vb[mes],$A100
)</f>
        <v>0</v>
      </c>
      <c r="CA100" s="108">
        <f ca="1">SUMIFS(
  m.vb[valor],
  m.vb[nucleo],$BR$1,
  m.vb[variavel],CA$7,
  m.vb[mes],$A100
)</f>
        <v>0</v>
      </c>
      <c r="CB100" s="119">
        <f>COUNTIFS(
    tb_estq[empresa], CB$6,
    tb_estq[Data da venda / reserva], "&gt;=" &amp; $A100,
    tb_estq[Data da venda / reserva], "&lt;"  &amp; EOMONTH($A100,0) + 1
)</f>
        <v>0</v>
      </c>
      <c r="CC100" s="120">
        <f ca="1">SUMIFS(tb_rec_uni[2029-02-01],
INDIRECT("tb_rec_uni[natureza]"),"pro.soluto",
INDIRECT("tb_rec_uni[empresa]"),CC$6)</f>
        <v>0</v>
      </c>
      <c r="CD100" s="120">
        <f ca="1">SUMIFS(tb_rec_uni[2029-02-01],
INDIRECT("tb_rec_uni[natureza]"),"repasse.cef.obra",
INDIRECT("tb_rec_uni[empresa]"),CD$6)</f>
        <v>0</v>
      </c>
      <c r="CE100" s="123">
        <f ca="1">SUMIFS(tb_rec_uni[2029-02-01],
INDIRECT("tb_rec_uni[natureza]"),"repasse.cef.terreno",
INDIRECT("tb_rec_uni[empresa]"),CE$6)</f>
        <v>0</v>
      </c>
      <c r="CF100" s="124"/>
      <c r="CG100" s="120">
        <f ca="1">SUMIFS(tb_rec_uni[2029-02-01],
INDIRECT("tb_rec_uni[natureza]"),"taxa.extra",
INDIRECT("tb_rec_uni[empresa]"),CG$6)</f>
        <v>0</v>
      </c>
      <c r="CH100" s="108"/>
      <c r="CI100" s="108">
        <f ca="1">SUMIFS(
  m.vb[valor],
  m.vb[nucleo],$CB$1,
  m.vb[variavel],CI$7,
  m.vb[mes],$A100
)</f>
        <v>0</v>
      </c>
      <c r="CJ100" s="108">
        <f ca="1">SUMIFS(
  m.vb[valor],
  m.vb[nucleo],$CB$1,
  m.vb[variavel],CJ$7,
  m.vb[mes],$A100
)</f>
        <v>0</v>
      </c>
      <c r="CK100" s="108">
        <f ca="1">SUMIFS(
  m.vb[valor],
  m.vb[nucleo],$CB$1,
  m.vb[variavel],CK$7,
  m.vb[mes],$A100
)</f>
        <v>0</v>
      </c>
      <c r="CL100" s="108">
        <f ca="1">SUMIFS(
  m.vb[valor],
  m.vb[nucleo],$CB$1,
  m.vb[variavel],CL$7,
  m.vb[mes],$A100
)</f>
        <v>0</v>
      </c>
      <c r="CM100" s="108">
        <f ca="1">SUMIFS(
  m.vb[valor],
  m.vb[nucleo],$CB$1,
  m.vb[variavel],CM$7,
  m.vb[mes],$A100
)</f>
        <v>0</v>
      </c>
      <c r="CN100" s="119">
        <f>COUNTIFS(
    tb_estq[empresa], CN$6,
    tb_estq[Data da venda / reserva], "&gt;=" &amp; $A100,
    tb_estq[Data da venda / reserva], "&lt;"  &amp; EOMONTH($A100,0) + 1
)</f>
        <v>0</v>
      </c>
      <c r="CO100" s="120">
        <f ca="1">SUMIFS(tb_rec_uni[2029-02-01],
INDIRECT("tb_rec_uni[natureza]"),"pro.soluto",
INDIRECT("tb_rec_uni[empresa]"),CO$6)</f>
        <v>0</v>
      </c>
      <c r="CP100" s="120">
        <f ca="1">SUMIFS(tb_rec_uni[2029-02-01],
INDIRECT("tb_rec_uni[natureza]"),"repasse.cef.obra",
INDIRECT("tb_rec_uni[empresa]"),CP$6)</f>
        <v>0</v>
      </c>
      <c r="CQ100" s="123">
        <f ca="1">SUMIFS(tb_rec_uni[2029-02-01],
INDIRECT("tb_rec_uni[natureza]"),"repasse.cef.terreno",
INDIRECT("tb_rec_uni[empresa]"),CQ$6)</f>
        <v>0</v>
      </c>
      <c r="CR100" s="124"/>
      <c r="CS100" s="120">
        <f ca="1">SUMIFS(tb_rec_uni[2029-02-01],
INDIRECT("tb_rec_uni[natureza]"),"taxa.extra",
INDIRECT("tb_rec_uni[empresa]"),CS$6)</f>
        <v>0</v>
      </c>
      <c r="CT100" s="108"/>
      <c r="CU100" s="108">
        <f ca="1">SUMIFS(
  m.vb[valor],
  m.vb[nucleo],$CN$1,
  m.vb[variavel],CU$7,
  m.vb[mes],$A100
)</f>
        <v>0</v>
      </c>
      <c r="CV100" s="108" cm="1">
        <f t="array" ref="CV100">SUMPRODUCT(
  IFERROR(--tb_desp[valor],0)*
  (tb_desp[nucleo]="UP MOVE VILA SONIA")*
  (tb_desp[categoria]=CV$7)*
  (tb_desp[data.pagamento]&gt;=$A100)*
  (tb_desp[data.pagamento]&lt;EOMONTH($A100,0)+1)
)</f>
        <v>0</v>
      </c>
      <c r="CW100" s="108" cm="1">
        <f t="array" ref="CW100">SUMPRODUCT(
  IFERROR(--tb_desp[valor],0)*
  (tb_desp[nucleo]="UP MOVE VILA SONIA")*
  (tb_desp[categoria]=CW$7)*
  (tb_desp[data.pagamento]&gt;=$A100)*
  (tb_desp[data.pagamento]&lt;EOMONTH($A100,0)+1)
)</f>
        <v>0</v>
      </c>
      <c r="CX100" s="108" cm="1">
        <f t="array" ref="CX100">SUMPRODUCT(
  IFERROR(--tb_desp[valor],0)*
  (tb_desp[nucleo]="UP MOVE VILA SONIA")*
  (tb_desp[categoria]=CX$7)*
  (tb_desp[data.pagamento]&gt;=$A100)*
  (tb_desp[data.pagamento]&lt;EOMONTH($A100,0)+1)
)</f>
        <v>0</v>
      </c>
      <c r="CY100" s="221" cm="1">
        <f t="array" ref="CY100">SUMPRODUCT(
  IFERROR(--tb_desp[valor],0)*
  (tb_desp[nucleo]="UP MOVE VILA SONIA")*
  (tb_desp[categoria]=CY$7)*
  (tb_desp[data.pagamento]&gt;=$A100)*
  (tb_desp[data.pagamento]&lt;EOMONTH($A100,0)+1)
)</f>
        <v>0</v>
      </c>
    </row>
    <row r="101" spans="1:103" x14ac:dyDescent="0.25">
      <c r="A101" s="118">
        <v>47178</v>
      </c>
      <c r="B101" s="119">
        <f>COUNTIFS(
    tb_estq[empresa], B$6,
    tb_estq[Data da venda / reserva], "&gt;=" &amp; $A101,
    tb_estq[Data da venda / reserva], "&lt;"  &amp; EOMONTH($A101,0) + 1
)</f>
        <v>0</v>
      </c>
      <c r="C101" s="120">
        <f ca="1">SUMIFS(tb_rec_uni[2029-03-01],
INDIRECT("tb_rec_uni[natureza]"),"pro.soluto",
INDIRECT("tb_rec_uni[empresa]"),C$6)</f>
        <v>0</v>
      </c>
      <c r="D101" s="120">
        <f ca="1">SUMIFS(tb_rec_uni[2029-03-01],
INDIRECT("tb_rec_uni[natureza]"),"repasse.cef.obra",
INDIRECT("tb_rec_uni[empresa]"),D$6)</f>
        <v>0</v>
      </c>
      <c r="E101" s="120">
        <f ca="1">SUMIFS(tb_rec_uni[2029-03-01],
INDIRECT("tb_rec_uni[natureza]"),"repasse.cef.terreno",
INDIRECT("tb_rec_uni[empresa]"),E$6)</f>
        <v>0</v>
      </c>
      <c r="F101" s="124"/>
      <c r="G101" s="120">
        <f ca="1">SUMIFS(tb_rec_uni[2029-03-01],
INDIRECT("tb_rec_uni[natureza]"),"taxa.extra",
INDIRECT("tb_rec_uni[empresa]"),G$6)</f>
        <v>0</v>
      </c>
      <c r="H101" s="108"/>
      <c r="I101" s="108">
        <f ca="1">SUMIFS(
  m.vb[valor],
  m.vb[nucleo],$B$1,
  m.vb[variavel],I$7,
  m.vb[mes],$A101
)</f>
        <v>0</v>
      </c>
      <c r="J101" s="108">
        <f ca="1">SUMIFS(
  m.vb[valor],
  m.vb[nucleo],$B$1,
  m.vb[variavel],J$7,
  m.vb[mes],$A101
)</f>
        <v>0</v>
      </c>
      <c r="K101" s="108">
        <f ca="1">SUMIFS(
  m.vb[valor],
  m.vb[nucleo],$B$1,
  m.vb[variavel],K$7,
  m.vb[mes],$A101
)</f>
        <v>0</v>
      </c>
      <c r="L101" s="108">
        <f ca="1">SUMIFS(
  m.vb[valor],
  m.vb[nucleo],$B$1,
  m.vb[variavel],L$7,
  m.vb[mes],$A101
)</f>
        <v>0</v>
      </c>
      <c r="M101" s="108">
        <f ca="1">SUMIFS(
  m.vb[valor],
  m.vb[nucleo],$B$1,
  m.vb[variavel],M$7,
  m.vb[mes],$A101
)</f>
        <v>0</v>
      </c>
      <c r="N101" s="119">
        <f>COUNTIFS(
    tb_estq[empresa], N$6,
    tb_estq[Data da venda / reserva], "&gt;=" &amp; $A101,
    tb_estq[Data da venda / reserva], "&lt;"  &amp; EOMONTH($A101,0) + 1
)</f>
        <v>0</v>
      </c>
      <c r="O101" s="120">
        <f ca="1">SUMIFS(tb_rec_uni[2029-03-01],
INDIRECT("tb_rec_uni[natureza]"),"pro.soluto",
INDIRECT("tb_rec_uni[empresa]"),O$6)</f>
        <v>0</v>
      </c>
      <c r="P101" s="120">
        <f ca="1">SUMIFS(tb_rec_uni[2029-03-01],
INDIRECT("tb_rec_uni[natureza]"),"repasse.cef.obra",
INDIRECT("tb_rec_uni[empresa]"),P$6)</f>
        <v>0</v>
      </c>
      <c r="Q101" s="120">
        <f ca="1">SUMIFS(tb_rec_uni[2029-03-01],
INDIRECT("tb_rec_uni[natureza]"),"repasse.cef.terreno",
INDIRECT("tb_rec_uni[empresa]"),Q$6)</f>
        <v>0</v>
      </c>
      <c r="R101" s="124"/>
      <c r="S101" s="120">
        <f ca="1">SUMIFS(tb_rec_uni[2029-03-01],
INDIRECT("tb_rec_uni[natureza]"),"taxa.extra",
INDIRECT("tb_rec_uni[empresa]"),S$6)</f>
        <v>0</v>
      </c>
      <c r="T101" s="108"/>
      <c r="U101" s="108">
        <f ca="1">SUMIFS(
  m.vb[valor],
  m.vb[nucleo],$N$1,
  m.vb[variavel],U$7,
  m.vb[mes],$A101
)</f>
        <v>0</v>
      </c>
      <c r="V101" s="108">
        <f ca="1">SUMIFS(
  m.vb[valor],
  m.vb[nucleo],$N$1,
  m.vb[variavel],V$7,
  m.vb[mes],$A101
)</f>
        <v>0</v>
      </c>
      <c r="W101" s="108">
        <f ca="1">SUMIFS(
  m.vb[valor],
  m.vb[nucleo],$N$1,
  m.vb[variavel],W$7,
  m.vb[mes],$A101
)</f>
        <v>0</v>
      </c>
      <c r="X101" s="108">
        <f ca="1">SUMIFS(
  m.vb[valor],
  m.vb[nucleo],$N$1,
  m.vb[variavel],X$7,
  m.vb[mes],$A101
)</f>
        <v>0</v>
      </c>
      <c r="Y101" s="108">
        <f ca="1">SUMIFS(
  m.vb[valor],
  m.vb[nucleo],$N$1,
  m.vb[variavel],Y$7,
  m.vb[mes],$A101
)</f>
        <v>0</v>
      </c>
      <c r="Z101" s="119">
        <f>COUNTIFS(
    tb_estq[empresa], Z$6,
    tb_estq[Data da venda / reserva], "&gt;=" &amp; $A101,
    tb_estq[Data da venda / reserva], "&lt;"  &amp; EOMONTH($A101,0) + 1
)</f>
        <v>0</v>
      </c>
      <c r="AA101" s="120">
        <f ca="1">SUMIFS(tb_rec_uni[2029-03-01],
INDIRECT("tb_rec_uni[natureza]"),"pro.soluto",
INDIRECT("tb_rec_uni[empresa]"),AA$6)</f>
        <v>0</v>
      </c>
      <c r="AB101" s="124">
        <f ca="1">SUMIFS(tb_rec_uni[2029-03-01],
INDIRECT("tb_rec_uni[natureza]"),"parcela.fin.total.ik",
INDIRECT("tb_rec_uni[empresa]"),AB$6)</f>
        <v>0</v>
      </c>
      <c r="AC101" s="120">
        <f ca="1">SUMIFS(tb_rec_uni[2029-03-01],
INDIRECT("tb_rec_uni[natureza]"),"taxa.extra",
INDIRECT("tb_rec_uni[empresa]"),AC$6)</f>
        <v>0</v>
      </c>
      <c r="AD101" s="108"/>
      <c r="AE101" s="108">
        <f ca="1">SUMIFS(
  m.vb[valor],
  m.vb[nucleo],$Z$1,
  m.vb[variavel],AE$7,
  m.vb[mes],$A101
)</f>
        <v>0</v>
      </c>
      <c r="AF101" s="108">
        <f ca="1">SUMIFS(
  m.vb[valor],
  m.vb[nucleo],$Z$1,
  m.vb[variavel],AF$7,
  m.vb[mes],$A101
)</f>
        <v>0</v>
      </c>
      <c r="AG101" s="108">
        <f ca="1">SUMIFS(
  m.vb[valor],
  m.vb[nucleo],$Z$1,
  m.vb[variavel],AG$7,
  m.vb[mes],$A101
)</f>
        <v>0</v>
      </c>
      <c r="AH101" s="108">
        <f ca="1">SUMIFS(
  m.vb[valor],
  m.vb[nucleo],$Z$1,
  m.vb[variavel],AH$7,
  m.vb[mes],$A101
)</f>
        <v>0</v>
      </c>
      <c r="AI101" s="108">
        <f ca="1">SUMIFS(
  m.vb[valor],
  m.vb[nucleo],$Z$1,
  m.vb[variavel],AI$7,
  m.vb[mes],$A101
)</f>
        <v>0</v>
      </c>
      <c r="AJ101" s="119">
        <f>COUNTIFS(
    tb_estq[empresa], AJ$6,
    tb_estq[Data da venda / reserva], "&gt;=" &amp; $A101,
    tb_estq[Data da venda / reserva], "&lt;"  &amp; EOMONTH($A101,0) + 1
)</f>
        <v>0</v>
      </c>
      <c r="AK101" s="120">
        <f ca="1">SUMIFS(tb_rec_uni[2029-03-01],
INDIRECT("tb_rec_uni[natureza]"),"pro.soluto",
INDIRECT("tb_rec_uni[empresa]"),AK$6)</f>
        <v>0</v>
      </c>
      <c r="AL101" s="120">
        <f ca="1">SUMIFS(tb_rec_uni[2029-03-01],
INDIRECT("tb_rec_uni[natureza]"),"repasse.cef.obra",
INDIRECT("tb_rec_uni[empresa]"),AL$6)</f>
        <v>0</v>
      </c>
      <c r="AM101" s="123">
        <f ca="1">SUMIFS(tb_rec_uni[2029-03-01],
INDIRECT("tb_rec_uni[natureza]"),"repasse.cef.terreno",
INDIRECT("tb_rec_uni[empresa]"),AM$6)</f>
        <v>0</v>
      </c>
      <c r="AN101" s="124"/>
      <c r="AO101" s="120">
        <f ca="1">SUMIFS(tb_rec_uni[2029-03-01],
INDIRECT("tb_rec_uni[natureza]"),"taxa.extra",
INDIRECT("tb_rec_uni[empresa]"),AO$6)</f>
        <v>0</v>
      </c>
      <c r="AP101" s="108"/>
      <c r="AQ101" s="108">
        <f ca="1">SUMIFS(
  m.vb[valor],
  m.vb[nucleo],$AJ$1,
  m.vb[variavel],AQ$7,
  m.vb[mes],$A101
)</f>
        <v>0</v>
      </c>
      <c r="AR101" s="108">
        <f ca="1">SUMIFS(
  m.vb[valor],
  m.vb[nucleo],$AJ$1,
  m.vb[variavel],AR$7,
  m.vb[mes],$A101
)</f>
        <v>0</v>
      </c>
      <c r="AS101" s="108">
        <f ca="1">SUMIFS(
  m.vb[valor],
  m.vb[nucleo],$AJ$1,
  m.vb[variavel],AS$7,
  m.vb[mes],$A101
)</f>
        <v>0</v>
      </c>
      <c r="AT101" s="108">
        <f ca="1">SUMIFS(
  m.vb[valor],
  m.vb[nucleo],$AJ$1,
  m.vb[variavel],AT$7,
  m.vb[mes],$A101
)</f>
        <v>0</v>
      </c>
      <c r="AU101" s="108">
        <f ca="1">SUMIFS(
  m.vb[valor],
  m.vb[nucleo],$AJ$1,
  m.vb[variavel],AU$7,
  m.vb[mes],$A101
)</f>
        <v>0</v>
      </c>
      <c r="AV101" s="119">
        <f>COUNTIFS(
    tb_estq[empresa], AV$6,
    tb_estq[Data da venda / reserva], "&gt;=" &amp; $A101,
    tb_estq[Data da venda / reserva], "&lt;"  &amp; EOMONTH($A101,0) + 1
)</f>
        <v>0</v>
      </c>
      <c r="AW101" s="120">
        <f ca="1">SUMIFS(tb_rec_uni[2029-03-01],
INDIRECT("tb_rec_uni[natureza]"),"pro.soluto",
INDIRECT("tb_rec_uni[empresa]"),AW$6)</f>
        <v>0</v>
      </c>
      <c r="AX101" s="120">
        <f ca="1">SUMIFS(tb_rec_uni[2029-03-01],
INDIRECT("tb_rec_uni[natureza]"),"repasse.cef.obra",
INDIRECT("tb_rec_uni[empresa]"),AX$6)</f>
        <v>0</v>
      </c>
      <c r="AY101" s="123">
        <f ca="1">SUMIFS(tb_rec_uni[2029-03-01],
INDIRECT("tb_rec_uni[natureza]"),"repasse.cef.terreno",
INDIRECT("tb_rec_uni[empresa]"),AY$6)</f>
        <v>0</v>
      </c>
      <c r="AZ101" s="124"/>
      <c r="BA101" s="120">
        <f ca="1">SUMIFS(tb_rec_uni[2029-03-01],
INDIRECT("tb_rec_uni[natureza]"),"taxa.extra",
INDIRECT("tb_rec_uni[empresa]"),BA$6)</f>
        <v>0</v>
      </c>
      <c r="BB101" s="108"/>
      <c r="BC101" s="108">
        <f ca="1">SUMIFS(
  m.vb[valor],
  m.vb[nucleo],$AV$1,
  m.vb[variavel],BC$7,
  m.vb[mes],$A101
)</f>
        <v>0</v>
      </c>
      <c r="BD101" s="108">
        <f ca="1">SUMIFS(
  m.vb[valor],
  m.vb[nucleo],$AV$1,
  m.vb[variavel],BD$7,
  m.vb[mes],$A101
)</f>
        <v>0</v>
      </c>
      <c r="BE101" s="108">
        <f ca="1">SUMIFS(
  m.vb[valor],
  m.vb[nucleo],$AV$1,
  m.vb[variavel],BE$7,
  m.vb[mes],$A101
)</f>
        <v>0</v>
      </c>
      <c r="BF101" s="108">
        <f ca="1">SUMIFS(
  m.vb[valor],
  m.vb[nucleo],$AV$1,
  m.vb[variavel],BF$7,
  m.vb[mes],$A101
)</f>
        <v>0</v>
      </c>
      <c r="BG101" s="108">
        <f ca="1">SUMIFS(
  m.vb[valor],
  m.vb[nucleo],$AV$1,
  m.vb[variavel],BG$7,
  m.vb[mes],$A101
)</f>
        <v>0</v>
      </c>
      <c r="BH101" s="119">
        <f>COUNTIFS(
    tb_estq[empresa], BH$6,
    tb_estq[Data da venda / reserva], "&gt;=" &amp; $A101,
    tb_estq[Data da venda / reserva], "&lt;"  &amp; EOMONTH($A101,0) + 1
)</f>
        <v>0</v>
      </c>
      <c r="BI101" s="120">
        <f ca="1">SUMIFS(tb_rec_uni[2029-03-01],
INDIRECT("tb_rec_uni[natureza]"),"pro.soluto",
INDIRECT("tb_rec_uni[empresa]"),BI$6)</f>
        <v>0</v>
      </c>
      <c r="BJ101" s="124"/>
      <c r="BK101" s="120">
        <f ca="1">SUMIFS(tb_rec_uni[2029-03-01],
INDIRECT("tb_rec_uni[natureza]"),"taxa.extra",
INDIRECT("tb_rec_uni[empresa]"),BK$6)</f>
        <v>0</v>
      </c>
      <c r="BL101" s="108"/>
      <c r="BM101" s="108">
        <f ca="1">SUMIFS(
  m.vb[valor],
  m.vb[nucleo],$BH$1,
  m.vb[variavel],BM$7,
  m.vb[mes],$A101
)</f>
        <v>0</v>
      </c>
      <c r="BN101" s="108">
        <f ca="1">SUMIFS(
  m.vb[valor],
  m.vb[nucleo],$BH$1,
  m.vb[variavel],BN$7,
  m.vb[mes],$A101
)</f>
        <v>0</v>
      </c>
      <c r="BO101" s="108">
        <f ca="1">SUMIFS(
  m.vb[valor],
  m.vb[nucleo],$BH$1,
  m.vb[variavel],BO$7,
  m.vb[mes],$A101
)</f>
        <v>0</v>
      </c>
      <c r="BP101" s="108">
        <f ca="1">SUMIFS(
  m.vb[valor],
  m.vb[nucleo],$BH$1,
  m.vb[variavel],BP$7,
  m.vb[mes],$A101
)</f>
        <v>0</v>
      </c>
      <c r="BQ101" s="108">
        <f ca="1">SUMIFS(
  m.vb[valor],
  m.vb[nucleo],$BH$1,
  m.vb[variavel],BQ$7,
  m.vb[mes],$A101
)</f>
        <v>0</v>
      </c>
      <c r="BR101" s="119">
        <f>COUNTIFS(
    tb_estq[empresa], BR$6,
    tb_estq[Data da venda / reserva], "&gt;=" &amp; $A101,
    tb_estq[Data da venda / reserva], "&lt;"  &amp; EOMONTH($A101,0) + 1
)</f>
        <v>0</v>
      </c>
      <c r="BS101" s="120">
        <f ca="1">SUMIFS(tb_rec_uni[2029-03-01],
INDIRECT("tb_rec_uni[natureza]"),"pro.soluto",
INDIRECT("tb_rec_uni[empresa]"),BS$6)</f>
        <v>0</v>
      </c>
      <c r="BT101" s="124">
        <f ca="1">SUMIFS(tb_rec_uni[2029-03-01],
INDIRECT("tb_rec_uni[natureza]"),"parcela.fin.total.ik",
INDIRECT("tb_rec_uni[empresa]"),BT$6)</f>
        <v>0</v>
      </c>
      <c r="BU101" s="120">
        <f ca="1">SUMIFS(tb_rec_uni[2029-03-01],
INDIRECT("tb_rec_uni[natureza]"),"taxa.extra",
INDIRECT("tb_rec_uni[empresa]"),BU$6)</f>
        <v>0</v>
      </c>
      <c r="BV101" s="108"/>
      <c r="BW101" s="108">
        <f ca="1">SUMIFS(
  m.vb[valor],
  m.vb[nucleo],$BR$1,
  m.vb[variavel],BW$7,
  m.vb[mes],$A101
)</f>
        <v>0</v>
      </c>
      <c r="BX101" s="108">
        <f ca="1">SUMIFS(
  m.vb[valor],
  m.vb[nucleo],$BR$1,
  m.vb[variavel],BX$7,
  m.vb[mes],$A101
)</f>
        <v>0</v>
      </c>
      <c r="BY101" s="108">
        <f ca="1">SUMIFS(
  m.vb[valor],
  m.vb[nucleo],$BR$1,
  m.vb[variavel],BY$7,
  m.vb[mes],$A101
)</f>
        <v>0</v>
      </c>
      <c r="BZ101" s="108">
        <f ca="1">SUMIFS(
  m.vb[valor],
  m.vb[nucleo],$BR$1,
  m.vb[variavel],BZ$7,
  m.vb[mes],$A101
)</f>
        <v>0</v>
      </c>
      <c r="CA101" s="108">
        <f ca="1">SUMIFS(
  m.vb[valor],
  m.vb[nucleo],$BR$1,
  m.vb[variavel],CA$7,
  m.vb[mes],$A101
)</f>
        <v>0</v>
      </c>
      <c r="CB101" s="119">
        <f>COUNTIFS(
    tb_estq[empresa], CB$6,
    tb_estq[Data da venda / reserva], "&gt;=" &amp; $A101,
    tb_estq[Data da venda / reserva], "&lt;"  &amp; EOMONTH($A101,0) + 1
)</f>
        <v>0</v>
      </c>
      <c r="CC101" s="120">
        <f ca="1">SUMIFS(tb_rec_uni[2029-03-01],
INDIRECT("tb_rec_uni[natureza]"),"pro.soluto",
INDIRECT("tb_rec_uni[empresa]"),CC$6)</f>
        <v>0</v>
      </c>
      <c r="CD101" s="120">
        <f ca="1">SUMIFS(tb_rec_uni[2029-03-01],
INDIRECT("tb_rec_uni[natureza]"),"repasse.cef.obra",
INDIRECT("tb_rec_uni[empresa]"),CD$6)</f>
        <v>0</v>
      </c>
      <c r="CE101" s="123">
        <f ca="1">SUMIFS(tb_rec_uni[2029-03-01],
INDIRECT("tb_rec_uni[natureza]"),"repasse.cef.terreno",
INDIRECT("tb_rec_uni[empresa]"),CE$6)</f>
        <v>0</v>
      </c>
      <c r="CF101" s="124"/>
      <c r="CG101" s="120">
        <f ca="1">SUMIFS(tb_rec_uni[2029-03-01],
INDIRECT("tb_rec_uni[natureza]"),"taxa.extra",
INDIRECT("tb_rec_uni[empresa]"),CG$6)</f>
        <v>0</v>
      </c>
      <c r="CH101" s="108"/>
      <c r="CI101" s="108">
        <f ca="1">SUMIFS(
  m.vb[valor],
  m.vb[nucleo],$CB$1,
  m.vb[variavel],CI$7,
  m.vb[mes],$A101
)</f>
        <v>0</v>
      </c>
      <c r="CJ101" s="108">
        <f ca="1">SUMIFS(
  m.vb[valor],
  m.vb[nucleo],$CB$1,
  m.vb[variavel],CJ$7,
  m.vb[mes],$A101
)</f>
        <v>0</v>
      </c>
      <c r="CK101" s="108">
        <f ca="1">SUMIFS(
  m.vb[valor],
  m.vb[nucleo],$CB$1,
  m.vb[variavel],CK$7,
  m.vb[mes],$A101
)</f>
        <v>0</v>
      </c>
      <c r="CL101" s="108">
        <f ca="1">SUMIFS(
  m.vb[valor],
  m.vb[nucleo],$CB$1,
  m.vb[variavel],CL$7,
  m.vb[mes],$A101
)</f>
        <v>0</v>
      </c>
      <c r="CM101" s="108">
        <f ca="1">SUMIFS(
  m.vb[valor],
  m.vb[nucleo],$CB$1,
  m.vb[variavel],CM$7,
  m.vb[mes],$A101
)</f>
        <v>0</v>
      </c>
      <c r="CN101" s="119">
        <f>COUNTIFS(
    tb_estq[empresa], CN$6,
    tb_estq[Data da venda / reserva], "&gt;=" &amp; $A101,
    tb_estq[Data da venda / reserva], "&lt;"  &amp; EOMONTH($A101,0) + 1
)</f>
        <v>0</v>
      </c>
      <c r="CO101" s="120">
        <f ca="1">SUMIFS(tb_rec_uni[2029-03-01],
INDIRECT("tb_rec_uni[natureza]"),"pro.soluto",
INDIRECT("tb_rec_uni[empresa]"),CO$6)</f>
        <v>0</v>
      </c>
      <c r="CP101" s="120">
        <f ca="1">SUMIFS(tb_rec_uni[2029-03-01],
INDIRECT("tb_rec_uni[natureza]"),"repasse.cef.obra",
INDIRECT("tb_rec_uni[empresa]"),CP$6)</f>
        <v>0</v>
      </c>
      <c r="CQ101" s="123">
        <f ca="1">SUMIFS(tb_rec_uni[2029-03-01],
INDIRECT("tb_rec_uni[natureza]"),"repasse.cef.terreno",
INDIRECT("tb_rec_uni[empresa]"),CQ$6)</f>
        <v>0</v>
      </c>
      <c r="CR101" s="124"/>
      <c r="CS101" s="120">
        <f ca="1">SUMIFS(tb_rec_uni[2029-03-01],
INDIRECT("tb_rec_uni[natureza]"),"taxa.extra",
INDIRECT("tb_rec_uni[empresa]"),CS$6)</f>
        <v>0</v>
      </c>
      <c r="CT101" s="108"/>
      <c r="CU101" s="108">
        <f ca="1">SUMIFS(
  m.vb[valor],
  m.vb[nucleo],$CN$1,
  m.vb[variavel],CU$7,
  m.vb[mes],$A101
)</f>
        <v>0</v>
      </c>
      <c r="CV101" s="108" cm="1">
        <f t="array" ref="CV101">SUMPRODUCT(
  IFERROR(--tb_desp[valor],0)*
  (tb_desp[nucleo]="UP MOVE VILA SONIA")*
  (tb_desp[categoria]=CV$7)*
  (tb_desp[data.pagamento]&gt;=$A101)*
  (tb_desp[data.pagamento]&lt;EOMONTH($A101,0)+1)
)</f>
        <v>0</v>
      </c>
      <c r="CW101" s="108" cm="1">
        <f t="array" ref="CW101">SUMPRODUCT(
  IFERROR(--tb_desp[valor],0)*
  (tb_desp[nucleo]="UP MOVE VILA SONIA")*
  (tb_desp[categoria]=CW$7)*
  (tb_desp[data.pagamento]&gt;=$A101)*
  (tb_desp[data.pagamento]&lt;EOMONTH($A101,0)+1)
)</f>
        <v>0</v>
      </c>
      <c r="CX101" s="108" cm="1">
        <f t="array" ref="CX101">SUMPRODUCT(
  IFERROR(--tb_desp[valor],0)*
  (tb_desp[nucleo]="UP MOVE VILA SONIA")*
  (tb_desp[categoria]=CX$7)*
  (tb_desp[data.pagamento]&gt;=$A101)*
  (tb_desp[data.pagamento]&lt;EOMONTH($A101,0)+1)
)</f>
        <v>0</v>
      </c>
      <c r="CY101" s="221" cm="1">
        <f t="array" ref="CY101">SUMPRODUCT(
  IFERROR(--tb_desp[valor],0)*
  (tb_desp[nucleo]="UP MOVE VILA SONIA")*
  (tb_desp[categoria]=CY$7)*
  (tb_desp[data.pagamento]&gt;=$A101)*
  (tb_desp[data.pagamento]&lt;EOMONTH($A101,0)+1)
)</f>
        <v>0</v>
      </c>
    </row>
    <row r="102" spans="1:103" x14ac:dyDescent="0.25">
      <c r="A102" s="118">
        <v>47209</v>
      </c>
      <c r="B102" s="119">
        <f>COUNTIFS(
    tb_estq[empresa], B$6,
    tb_estq[Data da venda / reserva], "&gt;=" &amp; $A102,
    tb_estq[Data da venda / reserva], "&lt;"  &amp; EOMONTH($A102,0) + 1
)</f>
        <v>0</v>
      </c>
      <c r="C102" s="120">
        <f ca="1">SUMIFS(tb_rec_uni[2029-04-01],
INDIRECT("tb_rec_uni[natureza]"),"pro.soluto",
INDIRECT("tb_rec_uni[empresa]"),C$6)</f>
        <v>0</v>
      </c>
      <c r="D102" s="120">
        <f ca="1">SUMIFS(tb_rec_uni[2029-04-01],
INDIRECT("tb_rec_uni[natureza]"),"repasse.cef.obra",
INDIRECT("tb_rec_uni[empresa]"),D$6)</f>
        <v>0</v>
      </c>
      <c r="E102" s="120">
        <f ca="1">SUMIFS(tb_rec_uni[2029-04-01],
INDIRECT("tb_rec_uni[natureza]"),"repasse.cef.terreno",
INDIRECT("tb_rec_uni[empresa]"),E$6)</f>
        <v>0</v>
      </c>
      <c r="F102" s="124"/>
      <c r="G102" s="120">
        <f ca="1">SUMIFS(tb_rec_uni[2029-04-01],
INDIRECT("tb_rec_uni[natureza]"),"taxa.extra",
INDIRECT("tb_rec_uni[empresa]"),G$6)</f>
        <v>0</v>
      </c>
      <c r="H102" s="108"/>
      <c r="I102" s="108">
        <f ca="1">SUMIFS(
  m.vb[valor],
  m.vb[nucleo],$B$1,
  m.vb[variavel],I$7,
  m.vb[mes],$A102
)</f>
        <v>0</v>
      </c>
      <c r="J102" s="108">
        <f ca="1">SUMIFS(
  m.vb[valor],
  m.vb[nucleo],$B$1,
  m.vb[variavel],J$7,
  m.vb[mes],$A102
)</f>
        <v>0</v>
      </c>
      <c r="K102" s="108">
        <f ca="1">SUMIFS(
  m.vb[valor],
  m.vb[nucleo],$B$1,
  m.vb[variavel],K$7,
  m.vb[mes],$A102
)</f>
        <v>0</v>
      </c>
      <c r="L102" s="108">
        <f ca="1">SUMIFS(
  m.vb[valor],
  m.vb[nucleo],$B$1,
  m.vb[variavel],L$7,
  m.vb[mes],$A102
)</f>
        <v>0</v>
      </c>
      <c r="M102" s="108">
        <f ca="1">SUMIFS(
  m.vb[valor],
  m.vb[nucleo],$B$1,
  m.vb[variavel],M$7,
  m.vb[mes],$A102
)</f>
        <v>0</v>
      </c>
      <c r="N102" s="119">
        <f>COUNTIFS(
    tb_estq[empresa], N$6,
    tb_estq[Data da venda / reserva], "&gt;=" &amp; $A102,
    tb_estq[Data da venda / reserva], "&lt;"  &amp; EOMONTH($A102,0) + 1
)</f>
        <v>0</v>
      </c>
      <c r="O102" s="120">
        <f ca="1">SUMIFS(tb_rec_uni[2029-04-01],
INDIRECT("tb_rec_uni[natureza]"),"pro.soluto",
INDIRECT("tb_rec_uni[empresa]"),O$6)</f>
        <v>0</v>
      </c>
      <c r="P102" s="120">
        <f ca="1">SUMIFS(tb_rec_uni[2029-04-01],
INDIRECT("tb_rec_uni[natureza]"),"repasse.cef.obra",
INDIRECT("tb_rec_uni[empresa]"),P$6)</f>
        <v>0</v>
      </c>
      <c r="Q102" s="120">
        <f ca="1">SUMIFS(tb_rec_uni[2029-04-01],
INDIRECT("tb_rec_uni[natureza]"),"repasse.cef.terreno",
INDIRECT("tb_rec_uni[empresa]"),Q$6)</f>
        <v>0</v>
      </c>
      <c r="R102" s="124"/>
      <c r="S102" s="120">
        <f ca="1">SUMIFS(tb_rec_uni[2029-04-01],
INDIRECT("tb_rec_uni[natureza]"),"taxa.extra",
INDIRECT("tb_rec_uni[empresa]"),S$6)</f>
        <v>0</v>
      </c>
      <c r="T102" s="108"/>
      <c r="U102" s="108">
        <f ca="1">SUMIFS(
  m.vb[valor],
  m.vb[nucleo],$N$1,
  m.vb[variavel],U$7,
  m.vb[mes],$A102
)</f>
        <v>0</v>
      </c>
      <c r="V102" s="108">
        <f ca="1">SUMIFS(
  m.vb[valor],
  m.vb[nucleo],$N$1,
  m.vb[variavel],V$7,
  m.vb[mes],$A102
)</f>
        <v>0</v>
      </c>
      <c r="W102" s="108">
        <f ca="1">SUMIFS(
  m.vb[valor],
  m.vb[nucleo],$N$1,
  m.vb[variavel],W$7,
  m.vb[mes],$A102
)</f>
        <v>0</v>
      </c>
      <c r="X102" s="108">
        <f ca="1">SUMIFS(
  m.vb[valor],
  m.vb[nucleo],$N$1,
  m.vb[variavel],X$7,
  m.vb[mes],$A102
)</f>
        <v>0</v>
      </c>
      <c r="Y102" s="108">
        <f ca="1">SUMIFS(
  m.vb[valor],
  m.vb[nucleo],$N$1,
  m.vb[variavel],Y$7,
  m.vb[mes],$A102
)</f>
        <v>0</v>
      </c>
      <c r="Z102" s="119">
        <f>COUNTIFS(
    tb_estq[empresa], Z$6,
    tb_estq[Data da venda / reserva], "&gt;=" &amp; $A102,
    tb_estq[Data da venda / reserva], "&lt;"  &amp; EOMONTH($A102,0) + 1
)</f>
        <v>0</v>
      </c>
      <c r="AA102" s="120">
        <f ca="1">SUMIFS(tb_rec_uni[2029-04-01],
INDIRECT("tb_rec_uni[natureza]"),"pro.soluto",
INDIRECT("tb_rec_uni[empresa]"),AA$6)</f>
        <v>0</v>
      </c>
      <c r="AB102" s="124">
        <f ca="1">SUMIFS(tb_rec_uni[2029-04-01],
INDIRECT("tb_rec_uni[natureza]"),"parcela.fin.total.ik",
INDIRECT("tb_rec_uni[empresa]"),AB$6)</f>
        <v>0</v>
      </c>
      <c r="AC102" s="120">
        <f ca="1">SUMIFS(tb_rec_uni[2029-04-01],
INDIRECT("tb_rec_uni[natureza]"),"taxa.extra",
INDIRECT("tb_rec_uni[empresa]"),AC$6)</f>
        <v>0</v>
      </c>
      <c r="AD102" s="108"/>
      <c r="AE102" s="108">
        <f ca="1">SUMIFS(
  m.vb[valor],
  m.vb[nucleo],$Z$1,
  m.vb[variavel],AE$7,
  m.vb[mes],$A102
)</f>
        <v>0</v>
      </c>
      <c r="AF102" s="108">
        <f ca="1">SUMIFS(
  m.vb[valor],
  m.vb[nucleo],$Z$1,
  m.vb[variavel],AF$7,
  m.vb[mes],$A102
)</f>
        <v>0</v>
      </c>
      <c r="AG102" s="108">
        <f ca="1">SUMIFS(
  m.vb[valor],
  m.vb[nucleo],$Z$1,
  m.vb[variavel],AG$7,
  m.vb[mes],$A102
)</f>
        <v>0</v>
      </c>
      <c r="AH102" s="108">
        <f ca="1">SUMIFS(
  m.vb[valor],
  m.vb[nucleo],$Z$1,
  m.vb[variavel],AH$7,
  m.vb[mes],$A102
)</f>
        <v>0</v>
      </c>
      <c r="AI102" s="108">
        <f ca="1">SUMIFS(
  m.vb[valor],
  m.vb[nucleo],$Z$1,
  m.vb[variavel],AI$7,
  m.vb[mes],$A102
)</f>
        <v>0</v>
      </c>
      <c r="AJ102" s="119">
        <f>COUNTIFS(
    tb_estq[empresa], AJ$6,
    tb_estq[Data da venda / reserva], "&gt;=" &amp; $A102,
    tb_estq[Data da venda / reserva], "&lt;"  &amp; EOMONTH($A102,0) + 1
)</f>
        <v>0</v>
      </c>
      <c r="AK102" s="120">
        <f ca="1">SUMIFS(tb_rec_uni[2029-04-01],
INDIRECT("tb_rec_uni[natureza]"),"pro.soluto",
INDIRECT("tb_rec_uni[empresa]"),AK$6)</f>
        <v>0</v>
      </c>
      <c r="AL102" s="120">
        <f ca="1">SUMIFS(tb_rec_uni[2029-04-01],
INDIRECT("tb_rec_uni[natureza]"),"repasse.cef.obra",
INDIRECT("tb_rec_uni[empresa]"),AL$6)</f>
        <v>0</v>
      </c>
      <c r="AM102" s="123">
        <f ca="1">SUMIFS(tb_rec_uni[2029-04-01],
INDIRECT("tb_rec_uni[natureza]"),"repasse.cef.terreno",
INDIRECT("tb_rec_uni[empresa]"),AM$6)</f>
        <v>0</v>
      </c>
      <c r="AN102" s="124"/>
      <c r="AO102" s="120">
        <f ca="1">SUMIFS(tb_rec_uni[2029-04-01],
INDIRECT("tb_rec_uni[natureza]"),"taxa.extra",
INDIRECT("tb_rec_uni[empresa]"),AO$6)</f>
        <v>0</v>
      </c>
      <c r="AP102" s="108"/>
      <c r="AQ102" s="108">
        <f ca="1">SUMIFS(
  m.vb[valor],
  m.vb[nucleo],$AJ$1,
  m.vb[variavel],AQ$7,
  m.vb[mes],$A102
)</f>
        <v>0</v>
      </c>
      <c r="AR102" s="108">
        <f ca="1">SUMIFS(
  m.vb[valor],
  m.vb[nucleo],$AJ$1,
  m.vb[variavel],AR$7,
  m.vb[mes],$A102
)</f>
        <v>0</v>
      </c>
      <c r="AS102" s="108">
        <f ca="1">SUMIFS(
  m.vb[valor],
  m.vb[nucleo],$AJ$1,
  m.vb[variavel],AS$7,
  m.vb[mes],$A102
)</f>
        <v>0</v>
      </c>
      <c r="AT102" s="108">
        <f ca="1">SUMIFS(
  m.vb[valor],
  m.vb[nucleo],$AJ$1,
  m.vb[variavel],AT$7,
  m.vb[mes],$A102
)</f>
        <v>0</v>
      </c>
      <c r="AU102" s="108">
        <f ca="1">SUMIFS(
  m.vb[valor],
  m.vb[nucleo],$AJ$1,
  m.vb[variavel],AU$7,
  m.vb[mes],$A102
)</f>
        <v>0</v>
      </c>
      <c r="AV102" s="119">
        <f>COUNTIFS(
    tb_estq[empresa], AV$6,
    tb_estq[Data da venda / reserva], "&gt;=" &amp; $A102,
    tb_estq[Data da venda / reserva], "&lt;"  &amp; EOMONTH($A102,0) + 1
)</f>
        <v>0</v>
      </c>
      <c r="AW102" s="120">
        <f ca="1">SUMIFS(tb_rec_uni[2029-04-01],
INDIRECT("tb_rec_uni[natureza]"),"pro.soluto",
INDIRECT("tb_rec_uni[empresa]"),AW$6)</f>
        <v>0</v>
      </c>
      <c r="AX102" s="120">
        <f ca="1">SUMIFS(tb_rec_uni[2029-04-01],
INDIRECT("tb_rec_uni[natureza]"),"repasse.cef.obra",
INDIRECT("tb_rec_uni[empresa]"),AX$6)</f>
        <v>0</v>
      </c>
      <c r="AY102" s="123">
        <f ca="1">SUMIFS(tb_rec_uni[2029-04-01],
INDIRECT("tb_rec_uni[natureza]"),"repasse.cef.terreno",
INDIRECT("tb_rec_uni[empresa]"),AY$6)</f>
        <v>0</v>
      </c>
      <c r="AZ102" s="124"/>
      <c r="BA102" s="120">
        <f ca="1">SUMIFS(tb_rec_uni[2029-04-01],
INDIRECT("tb_rec_uni[natureza]"),"taxa.extra",
INDIRECT("tb_rec_uni[empresa]"),BA$6)</f>
        <v>0</v>
      </c>
      <c r="BB102" s="108"/>
      <c r="BC102" s="108">
        <f ca="1">SUMIFS(
  m.vb[valor],
  m.vb[nucleo],$AV$1,
  m.vb[variavel],BC$7,
  m.vb[mes],$A102
)</f>
        <v>0</v>
      </c>
      <c r="BD102" s="108">
        <f ca="1">SUMIFS(
  m.vb[valor],
  m.vb[nucleo],$AV$1,
  m.vb[variavel],BD$7,
  m.vb[mes],$A102
)</f>
        <v>0</v>
      </c>
      <c r="BE102" s="108">
        <f ca="1">SUMIFS(
  m.vb[valor],
  m.vb[nucleo],$AV$1,
  m.vb[variavel],BE$7,
  m.vb[mes],$A102
)</f>
        <v>0</v>
      </c>
      <c r="BF102" s="108">
        <f ca="1">SUMIFS(
  m.vb[valor],
  m.vb[nucleo],$AV$1,
  m.vb[variavel],BF$7,
  m.vb[mes],$A102
)</f>
        <v>0</v>
      </c>
      <c r="BG102" s="108">
        <f ca="1">SUMIFS(
  m.vb[valor],
  m.vb[nucleo],$AV$1,
  m.vb[variavel],BG$7,
  m.vb[mes],$A102
)</f>
        <v>0</v>
      </c>
      <c r="BH102" s="119">
        <f>COUNTIFS(
    tb_estq[empresa], BH$6,
    tb_estq[Data da venda / reserva], "&gt;=" &amp; $A102,
    tb_estq[Data da venda / reserva], "&lt;"  &amp; EOMONTH($A102,0) + 1
)</f>
        <v>0</v>
      </c>
      <c r="BI102" s="120">
        <f ca="1">SUMIFS(tb_rec_uni[2029-04-01],
INDIRECT("tb_rec_uni[natureza]"),"pro.soluto",
INDIRECT("tb_rec_uni[empresa]"),BI$6)</f>
        <v>0</v>
      </c>
      <c r="BJ102" s="124"/>
      <c r="BK102" s="120">
        <f ca="1">SUMIFS(tb_rec_uni[2029-04-01],
INDIRECT("tb_rec_uni[natureza]"),"taxa.extra",
INDIRECT("tb_rec_uni[empresa]"),BK$6)</f>
        <v>0</v>
      </c>
      <c r="BL102" s="108"/>
      <c r="BM102" s="108">
        <f ca="1">SUMIFS(
  m.vb[valor],
  m.vb[nucleo],$BH$1,
  m.vb[variavel],BM$7,
  m.vb[mes],$A102
)</f>
        <v>0</v>
      </c>
      <c r="BN102" s="108">
        <f ca="1">SUMIFS(
  m.vb[valor],
  m.vb[nucleo],$BH$1,
  m.vb[variavel],BN$7,
  m.vb[mes],$A102
)</f>
        <v>0</v>
      </c>
      <c r="BO102" s="108">
        <f ca="1">SUMIFS(
  m.vb[valor],
  m.vb[nucleo],$BH$1,
  m.vb[variavel],BO$7,
  m.vb[mes],$A102
)</f>
        <v>0</v>
      </c>
      <c r="BP102" s="108">
        <f ca="1">SUMIFS(
  m.vb[valor],
  m.vb[nucleo],$BH$1,
  m.vb[variavel],BP$7,
  m.vb[mes],$A102
)</f>
        <v>0</v>
      </c>
      <c r="BQ102" s="108">
        <f ca="1">SUMIFS(
  m.vb[valor],
  m.vb[nucleo],$BH$1,
  m.vb[variavel],BQ$7,
  m.vb[mes],$A102
)</f>
        <v>0</v>
      </c>
      <c r="BR102" s="119">
        <f>COUNTIFS(
    tb_estq[empresa], BR$6,
    tb_estq[Data da venda / reserva], "&gt;=" &amp; $A102,
    tb_estq[Data da venda / reserva], "&lt;"  &amp; EOMONTH($A102,0) + 1
)</f>
        <v>0</v>
      </c>
      <c r="BS102" s="120">
        <f ca="1">SUMIFS(tb_rec_uni[2029-04-01],
INDIRECT("tb_rec_uni[natureza]"),"pro.soluto",
INDIRECT("tb_rec_uni[empresa]"),BS$6)</f>
        <v>0</v>
      </c>
      <c r="BT102" s="124">
        <f ca="1">SUMIFS(tb_rec_uni[2029-04-01],
INDIRECT("tb_rec_uni[natureza]"),"parcela.fin.total.ik",
INDIRECT("tb_rec_uni[empresa]"),BT$6)</f>
        <v>0</v>
      </c>
      <c r="BU102" s="120">
        <f ca="1">SUMIFS(tb_rec_uni[2029-04-01],
INDIRECT("tb_rec_uni[natureza]"),"taxa.extra",
INDIRECT("tb_rec_uni[empresa]"),BU$6)</f>
        <v>0</v>
      </c>
      <c r="BV102" s="108"/>
      <c r="BW102" s="108">
        <f ca="1">SUMIFS(
  m.vb[valor],
  m.vb[nucleo],$BR$1,
  m.vb[variavel],BW$7,
  m.vb[mes],$A102
)</f>
        <v>0</v>
      </c>
      <c r="BX102" s="108">
        <f ca="1">SUMIFS(
  m.vb[valor],
  m.vb[nucleo],$BR$1,
  m.vb[variavel],BX$7,
  m.vb[mes],$A102
)</f>
        <v>0</v>
      </c>
      <c r="BY102" s="108">
        <f ca="1">SUMIFS(
  m.vb[valor],
  m.vb[nucleo],$BR$1,
  m.vb[variavel],BY$7,
  m.vb[mes],$A102
)</f>
        <v>0</v>
      </c>
      <c r="BZ102" s="108">
        <f ca="1">SUMIFS(
  m.vb[valor],
  m.vb[nucleo],$BR$1,
  m.vb[variavel],BZ$7,
  m.vb[mes],$A102
)</f>
        <v>0</v>
      </c>
      <c r="CA102" s="108">
        <f ca="1">SUMIFS(
  m.vb[valor],
  m.vb[nucleo],$BR$1,
  m.vb[variavel],CA$7,
  m.vb[mes],$A102
)</f>
        <v>0</v>
      </c>
      <c r="CB102" s="119">
        <f>COUNTIFS(
    tb_estq[empresa], CB$6,
    tb_estq[Data da venda / reserva], "&gt;=" &amp; $A102,
    tb_estq[Data da venda / reserva], "&lt;"  &amp; EOMONTH($A102,0) + 1
)</f>
        <v>0</v>
      </c>
      <c r="CC102" s="120">
        <f ca="1">SUMIFS(tb_rec_uni[2029-04-01],
INDIRECT("tb_rec_uni[natureza]"),"pro.soluto",
INDIRECT("tb_rec_uni[empresa]"),CC$6)</f>
        <v>0</v>
      </c>
      <c r="CD102" s="120">
        <f ca="1">SUMIFS(tb_rec_uni[2029-04-01],
INDIRECT("tb_rec_uni[natureza]"),"repasse.cef.obra",
INDIRECT("tb_rec_uni[empresa]"),CD$6)</f>
        <v>0</v>
      </c>
      <c r="CE102" s="123">
        <f ca="1">SUMIFS(tb_rec_uni[2029-04-01],
INDIRECT("tb_rec_uni[natureza]"),"repasse.cef.terreno",
INDIRECT("tb_rec_uni[empresa]"),CE$6)</f>
        <v>0</v>
      </c>
      <c r="CF102" s="124"/>
      <c r="CG102" s="120">
        <f ca="1">SUMIFS(tb_rec_uni[2029-04-01],
INDIRECT("tb_rec_uni[natureza]"),"taxa.extra",
INDIRECT("tb_rec_uni[empresa]"),CG$6)</f>
        <v>0</v>
      </c>
      <c r="CH102" s="108"/>
      <c r="CI102" s="108">
        <f ca="1">SUMIFS(
  m.vb[valor],
  m.vb[nucleo],$CB$1,
  m.vb[variavel],CI$7,
  m.vb[mes],$A102
)</f>
        <v>0</v>
      </c>
      <c r="CJ102" s="108">
        <f ca="1">SUMIFS(
  m.vb[valor],
  m.vb[nucleo],$CB$1,
  m.vb[variavel],CJ$7,
  m.vb[mes],$A102
)</f>
        <v>0</v>
      </c>
      <c r="CK102" s="108">
        <f ca="1">SUMIFS(
  m.vb[valor],
  m.vb[nucleo],$CB$1,
  m.vb[variavel],CK$7,
  m.vb[mes],$A102
)</f>
        <v>0</v>
      </c>
      <c r="CL102" s="108">
        <f ca="1">SUMIFS(
  m.vb[valor],
  m.vb[nucleo],$CB$1,
  m.vb[variavel],CL$7,
  m.vb[mes],$A102
)</f>
        <v>0</v>
      </c>
      <c r="CM102" s="108">
        <f ca="1">SUMIFS(
  m.vb[valor],
  m.vb[nucleo],$CB$1,
  m.vb[variavel],CM$7,
  m.vb[mes],$A102
)</f>
        <v>0</v>
      </c>
      <c r="CN102" s="119">
        <f>COUNTIFS(
    tb_estq[empresa], CN$6,
    tb_estq[Data da venda / reserva], "&gt;=" &amp; $A102,
    tb_estq[Data da venda / reserva], "&lt;"  &amp; EOMONTH($A102,0) + 1
)</f>
        <v>0</v>
      </c>
      <c r="CO102" s="120">
        <f ca="1">SUMIFS(tb_rec_uni[2029-04-01],
INDIRECT("tb_rec_uni[natureza]"),"pro.soluto",
INDIRECT("tb_rec_uni[empresa]"),CO$6)</f>
        <v>0</v>
      </c>
      <c r="CP102" s="120">
        <f ca="1">SUMIFS(tb_rec_uni[2029-04-01],
INDIRECT("tb_rec_uni[natureza]"),"repasse.cef.obra",
INDIRECT("tb_rec_uni[empresa]"),CP$6)</f>
        <v>0</v>
      </c>
      <c r="CQ102" s="123">
        <f ca="1">SUMIFS(tb_rec_uni[2029-04-01],
INDIRECT("tb_rec_uni[natureza]"),"repasse.cef.terreno",
INDIRECT("tb_rec_uni[empresa]"),CQ$6)</f>
        <v>0</v>
      </c>
      <c r="CR102" s="124"/>
      <c r="CS102" s="120">
        <f ca="1">SUMIFS(tb_rec_uni[2029-04-01],
INDIRECT("tb_rec_uni[natureza]"),"taxa.extra",
INDIRECT("tb_rec_uni[empresa]"),CS$6)</f>
        <v>0</v>
      </c>
      <c r="CT102" s="108"/>
      <c r="CU102" s="108">
        <f ca="1">SUMIFS(
  m.vb[valor],
  m.vb[nucleo],$CN$1,
  m.vb[variavel],CU$7,
  m.vb[mes],$A102
)</f>
        <v>0</v>
      </c>
      <c r="CV102" s="108" cm="1">
        <f t="array" ref="CV102">SUMPRODUCT(
  IFERROR(--tb_desp[valor],0)*
  (tb_desp[nucleo]="UP MOVE VILA SONIA")*
  (tb_desp[categoria]=CV$7)*
  (tb_desp[data.pagamento]&gt;=$A102)*
  (tb_desp[data.pagamento]&lt;EOMONTH($A102,0)+1)
)</f>
        <v>0</v>
      </c>
      <c r="CW102" s="108" cm="1">
        <f t="array" ref="CW102">SUMPRODUCT(
  IFERROR(--tb_desp[valor],0)*
  (tb_desp[nucleo]="UP MOVE VILA SONIA")*
  (tb_desp[categoria]=CW$7)*
  (tb_desp[data.pagamento]&gt;=$A102)*
  (tb_desp[data.pagamento]&lt;EOMONTH($A102,0)+1)
)</f>
        <v>0</v>
      </c>
      <c r="CX102" s="108" cm="1">
        <f t="array" ref="CX102">SUMPRODUCT(
  IFERROR(--tb_desp[valor],0)*
  (tb_desp[nucleo]="UP MOVE VILA SONIA")*
  (tb_desp[categoria]=CX$7)*
  (tb_desp[data.pagamento]&gt;=$A102)*
  (tb_desp[data.pagamento]&lt;EOMONTH($A102,0)+1)
)</f>
        <v>0</v>
      </c>
      <c r="CY102" s="221" cm="1">
        <f t="array" ref="CY102">SUMPRODUCT(
  IFERROR(--tb_desp[valor],0)*
  (tb_desp[nucleo]="UP MOVE VILA SONIA")*
  (tb_desp[categoria]=CY$7)*
  (tb_desp[data.pagamento]&gt;=$A102)*
  (tb_desp[data.pagamento]&lt;EOMONTH($A102,0)+1)
)</f>
        <v>0</v>
      </c>
    </row>
    <row r="103" spans="1:103" x14ac:dyDescent="0.25">
      <c r="A103" s="118">
        <v>47239</v>
      </c>
      <c r="B103" s="119">
        <f>COUNTIFS(
    tb_estq[empresa], B$6,
    tb_estq[Data da venda / reserva], "&gt;=" &amp; $A103,
    tb_estq[Data da venda / reserva], "&lt;"  &amp; EOMONTH($A103,0) + 1
)</f>
        <v>0</v>
      </c>
      <c r="C103" s="120">
        <f ca="1">SUMIFS(tb_rec_uni[2029-05-01],
INDIRECT("tb_rec_uni[natureza]"),"pro.soluto",
INDIRECT("tb_rec_uni[empresa]"),C$6)</f>
        <v>0</v>
      </c>
      <c r="D103" s="120">
        <f ca="1">SUMIFS(tb_rec_uni[2029-05-01],
INDIRECT("tb_rec_uni[natureza]"),"repasse.cef.obra",
INDIRECT("tb_rec_uni[empresa]"),D$6)</f>
        <v>0</v>
      </c>
      <c r="E103" s="120">
        <f ca="1">SUMIFS(tb_rec_uni[2029-05-01],
INDIRECT("tb_rec_uni[natureza]"),"repasse.cef.terreno",
INDIRECT("tb_rec_uni[empresa]"),E$6)</f>
        <v>0</v>
      </c>
      <c r="F103" s="124"/>
      <c r="G103" s="120">
        <f ca="1">SUMIFS(tb_rec_uni[2029-05-01],
INDIRECT("tb_rec_uni[natureza]"),"taxa.extra",
INDIRECT("tb_rec_uni[empresa]"),G$6)</f>
        <v>0</v>
      </c>
      <c r="H103" s="108"/>
      <c r="I103" s="108">
        <f ca="1">SUMIFS(
  m.vb[valor],
  m.vb[nucleo],$B$1,
  m.vb[variavel],I$7,
  m.vb[mes],$A103
)</f>
        <v>0</v>
      </c>
      <c r="J103" s="108">
        <f ca="1">SUMIFS(
  m.vb[valor],
  m.vb[nucleo],$B$1,
  m.vb[variavel],J$7,
  m.vb[mes],$A103
)</f>
        <v>0</v>
      </c>
      <c r="K103" s="108">
        <f ca="1">SUMIFS(
  m.vb[valor],
  m.vb[nucleo],$B$1,
  m.vb[variavel],K$7,
  m.vb[mes],$A103
)</f>
        <v>0</v>
      </c>
      <c r="L103" s="108">
        <f ca="1">SUMIFS(
  m.vb[valor],
  m.vb[nucleo],$B$1,
  m.vb[variavel],L$7,
  m.vb[mes],$A103
)</f>
        <v>0</v>
      </c>
      <c r="M103" s="108">
        <f ca="1">SUMIFS(
  m.vb[valor],
  m.vb[nucleo],$B$1,
  m.vb[variavel],M$7,
  m.vb[mes],$A103
)</f>
        <v>0</v>
      </c>
      <c r="N103" s="119">
        <f>COUNTIFS(
    tb_estq[empresa], N$6,
    tb_estq[Data da venda / reserva], "&gt;=" &amp; $A103,
    tb_estq[Data da venda / reserva], "&lt;"  &amp; EOMONTH($A103,0) + 1
)</f>
        <v>0</v>
      </c>
      <c r="O103" s="120">
        <f ca="1">SUMIFS(tb_rec_uni[2029-05-01],
INDIRECT("tb_rec_uni[natureza]"),"pro.soluto",
INDIRECT("tb_rec_uni[empresa]"),O$6)</f>
        <v>0</v>
      </c>
      <c r="P103" s="120">
        <f ca="1">SUMIFS(tb_rec_uni[2029-05-01],
INDIRECT("tb_rec_uni[natureza]"),"repasse.cef.obra",
INDIRECT("tb_rec_uni[empresa]"),P$6)</f>
        <v>0</v>
      </c>
      <c r="Q103" s="120">
        <f ca="1">SUMIFS(tb_rec_uni[2029-05-01],
INDIRECT("tb_rec_uni[natureza]"),"repasse.cef.terreno",
INDIRECT("tb_rec_uni[empresa]"),Q$6)</f>
        <v>0</v>
      </c>
      <c r="R103" s="124"/>
      <c r="S103" s="120">
        <f ca="1">SUMIFS(tb_rec_uni[2029-05-01],
INDIRECT("tb_rec_uni[natureza]"),"taxa.extra",
INDIRECT("tb_rec_uni[empresa]"),S$6)</f>
        <v>0</v>
      </c>
      <c r="T103" s="108"/>
      <c r="U103" s="108">
        <f ca="1">SUMIFS(
  m.vb[valor],
  m.vb[nucleo],$N$1,
  m.vb[variavel],U$7,
  m.vb[mes],$A103
)</f>
        <v>0</v>
      </c>
      <c r="V103" s="108">
        <f ca="1">SUMIFS(
  m.vb[valor],
  m.vb[nucleo],$N$1,
  m.vb[variavel],V$7,
  m.vb[mes],$A103
)</f>
        <v>0</v>
      </c>
      <c r="W103" s="108">
        <f ca="1">SUMIFS(
  m.vb[valor],
  m.vb[nucleo],$N$1,
  m.vb[variavel],W$7,
  m.vb[mes],$A103
)</f>
        <v>0</v>
      </c>
      <c r="X103" s="108">
        <f ca="1">SUMIFS(
  m.vb[valor],
  m.vb[nucleo],$N$1,
  m.vb[variavel],X$7,
  m.vb[mes],$A103
)</f>
        <v>0</v>
      </c>
      <c r="Y103" s="108">
        <f ca="1">SUMIFS(
  m.vb[valor],
  m.vb[nucleo],$N$1,
  m.vb[variavel],Y$7,
  m.vb[mes],$A103
)</f>
        <v>0</v>
      </c>
      <c r="Z103" s="119">
        <f>COUNTIFS(
    tb_estq[empresa], Z$6,
    tb_estq[Data da venda / reserva], "&gt;=" &amp; $A103,
    tb_estq[Data da venda / reserva], "&lt;"  &amp; EOMONTH($A103,0) + 1
)</f>
        <v>0</v>
      </c>
      <c r="AA103" s="120">
        <f ca="1">SUMIFS(tb_rec_uni[2029-05-01],
INDIRECT("tb_rec_uni[natureza]"),"pro.soluto",
INDIRECT("tb_rec_uni[empresa]"),AA$6)</f>
        <v>0</v>
      </c>
      <c r="AB103" s="124">
        <f ca="1">SUMIFS(tb_rec_uni[2029-05-01],
INDIRECT("tb_rec_uni[natureza]"),"parcela.fin.total.ik",
INDIRECT("tb_rec_uni[empresa]"),AB$6)</f>
        <v>0</v>
      </c>
      <c r="AC103" s="120">
        <f ca="1">SUMIFS(tb_rec_uni[2029-05-01],
INDIRECT("tb_rec_uni[natureza]"),"taxa.extra",
INDIRECT("tb_rec_uni[empresa]"),AC$6)</f>
        <v>0</v>
      </c>
      <c r="AD103" s="108"/>
      <c r="AE103" s="108">
        <f ca="1">SUMIFS(
  m.vb[valor],
  m.vb[nucleo],$Z$1,
  m.vb[variavel],AE$7,
  m.vb[mes],$A103
)</f>
        <v>0</v>
      </c>
      <c r="AF103" s="108">
        <f ca="1">SUMIFS(
  m.vb[valor],
  m.vb[nucleo],$Z$1,
  m.vb[variavel],AF$7,
  m.vb[mes],$A103
)</f>
        <v>0</v>
      </c>
      <c r="AG103" s="108">
        <f ca="1">SUMIFS(
  m.vb[valor],
  m.vb[nucleo],$Z$1,
  m.vb[variavel],AG$7,
  m.vb[mes],$A103
)</f>
        <v>0</v>
      </c>
      <c r="AH103" s="108">
        <f ca="1">SUMIFS(
  m.vb[valor],
  m.vb[nucleo],$Z$1,
  m.vb[variavel],AH$7,
  m.vb[mes],$A103
)</f>
        <v>0</v>
      </c>
      <c r="AI103" s="108">
        <f ca="1">SUMIFS(
  m.vb[valor],
  m.vb[nucleo],$Z$1,
  m.vb[variavel],AI$7,
  m.vb[mes],$A103
)</f>
        <v>0</v>
      </c>
      <c r="AJ103" s="119">
        <f>COUNTIFS(
    tb_estq[empresa], AJ$6,
    tb_estq[Data da venda / reserva], "&gt;=" &amp; $A103,
    tb_estq[Data da venda / reserva], "&lt;"  &amp; EOMONTH($A103,0) + 1
)</f>
        <v>0</v>
      </c>
      <c r="AK103" s="120">
        <f ca="1">SUMIFS(tb_rec_uni[2029-05-01],
INDIRECT("tb_rec_uni[natureza]"),"pro.soluto",
INDIRECT("tb_rec_uni[empresa]"),AK$6)</f>
        <v>0</v>
      </c>
      <c r="AL103" s="120">
        <f ca="1">SUMIFS(tb_rec_uni[2029-05-01],
INDIRECT("tb_rec_uni[natureza]"),"repasse.cef.obra",
INDIRECT("tb_rec_uni[empresa]"),AL$6)</f>
        <v>0</v>
      </c>
      <c r="AM103" s="123">
        <f ca="1">SUMIFS(tb_rec_uni[2029-05-01],
INDIRECT("tb_rec_uni[natureza]"),"repasse.cef.terreno",
INDIRECT("tb_rec_uni[empresa]"),AM$6)</f>
        <v>0</v>
      </c>
      <c r="AN103" s="124"/>
      <c r="AO103" s="120">
        <f ca="1">SUMIFS(tb_rec_uni[2029-05-01],
INDIRECT("tb_rec_uni[natureza]"),"taxa.extra",
INDIRECT("tb_rec_uni[empresa]"),AO$6)</f>
        <v>0</v>
      </c>
      <c r="AP103" s="108"/>
      <c r="AQ103" s="108">
        <f ca="1">SUMIFS(
  m.vb[valor],
  m.vb[nucleo],$AJ$1,
  m.vb[variavel],AQ$7,
  m.vb[mes],$A103
)</f>
        <v>0</v>
      </c>
      <c r="AR103" s="108">
        <f ca="1">SUMIFS(
  m.vb[valor],
  m.vb[nucleo],$AJ$1,
  m.vb[variavel],AR$7,
  m.vb[mes],$A103
)</f>
        <v>0</v>
      </c>
      <c r="AS103" s="108">
        <f ca="1">SUMIFS(
  m.vb[valor],
  m.vb[nucleo],$AJ$1,
  m.vb[variavel],AS$7,
  m.vb[mes],$A103
)</f>
        <v>0</v>
      </c>
      <c r="AT103" s="108">
        <f ca="1">SUMIFS(
  m.vb[valor],
  m.vb[nucleo],$AJ$1,
  m.vb[variavel],AT$7,
  m.vb[mes],$A103
)</f>
        <v>0</v>
      </c>
      <c r="AU103" s="108">
        <f ca="1">SUMIFS(
  m.vb[valor],
  m.vb[nucleo],$AJ$1,
  m.vb[variavel],AU$7,
  m.vb[mes],$A103
)</f>
        <v>0</v>
      </c>
      <c r="AV103" s="119">
        <f>COUNTIFS(
    tb_estq[empresa], AV$6,
    tb_estq[Data da venda / reserva], "&gt;=" &amp; $A103,
    tb_estq[Data da venda / reserva], "&lt;"  &amp; EOMONTH($A103,0) + 1
)</f>
        <v>0</v>
      </c>
      <c r="AW103" s="120">
        <f ca="1">SUMIFS(tb_rec_uni[2029-05-01],
INDIRECT("tb_rec_uni[natureza]"),"pro.soluto",
INDIRECT("tb_rec_uni[empresa]"),AW$6)</f>
        <v>0</v>
      </c>
      <c r="AX103" s="120">
        <f ca="1">SUMIFS(tb_rec_uni[2029-05-01],
INDIRECT("tb_rec_uni[natureza]"),"repasse.cef.obra",
INDIRECT("tb_rec_uni[empresa]"),AX$6)</f>
        <v>0</v>
      </c>
      <c r="AY103" s="123">
        <f ca="1">SUMIFS(tb_rec_uni[2029-05-01],
INDIRECT("tb_rec_uni[natureza]"),"repasse.cef.terreno",
INDIRECT("tb_rec_uni[empresa]"),AY$6)</f>
        <v>0</v>
      </c>
      <c r="AZ103" s="124"/>
      <c r="BA103" s="120">
        <f ca="1">SUMIFS(tb_rec_uni[2029-05-01],
INDIRECT("tb_rec_uni[natureza]"),"taxa.extra",
INDIRECT("tb_rec_uni[empresa]"),BA$6)</f>
        <v>0</v>
      </c>
      <c r="BB103" s="108"/>
      <c r="BC103" s="108">
        <f ca="1">SUMIFS(
  m.vb[valor],
  m.vb[nucleo],$AV$1,
  m.vb[variavel],BC$7,
  m.vb[mes],$A103
)</f>
        <v>0</v>
      </c>
      <c r="BD103" s="108">
        <f ca="1">SUMIFS(
  m.vb[valor],
  m.vb[nucleo],$AV$1,
  m.vb[variavel],BD$7,
  m.vb[mes],$A103
)</f>
        <v>0</v>
      </c>
      <c r="BE103" s="108">
        <f ca="1">SUMIFS(
  m.vb[valor],
  m.vb[nucleo],$AV$1,
  m.vb[variavel],BE$7,
  m.vb[mes],$A103
)</f>
        <v>0</v>
      </c>
      <c r="BF103" s="108">
        <f ca="1">SUMIFS(
  m.vb[valor],
  m.vb[nucleo],$AV$1,
  m.vb[variavel],BF$7,
  m.vb[mes],$A103
)</f>
        <v>0</v>
      </c>
      <c r="BG103" s="108">
        <f ca="1">SUMIFS(
  m.vb[valor],
  m.vb[nucleo],$AV$1,
  m.vb[variavel],BG$7,
  m.vb[mes],$A103
)</f>
        <v>0</v>
      </c>
      <c r="BH103" s="119">
        <f>COUNTIFS(
    tb_estq[empresa], BH$6,
    tb_estq[Data da venda / reserva], "&gt;=" &amp; $A103,
    tb_estq[Data da venda / reserva], "&lt;"  &amp; EOMONTH($A103,0) + 1
)</f>
        <v>0</v>
      </c>
      <c r="BI103" s="120">
        <f ca="1">SUMIFS(tb_rec_uni[2029-05-01],
INDIRECT("tb_rec_uni[natureza]"),"pro.soluto",
INDIRECT("tb_rec_uni[empresa]"),BI$6)</f>
        <v>0</v>
      </c>
      <c r="BJ103" s="124"/>
      <c r="BK103" s="120">
        <f ca="1">SUMIFS(tb_rec_uni[2029-05-01],
INDIRECT("tb_rec_uni[natureza]"),"taxa.extra",
INDIRECT("tb_rec_uni[empresa]"),BK$6)</f>
        <v>0</v>
      </c>
      <c r="BL103" s="108"/>
      <c r="BM103" s="108">
        <f ca="1">SUMIFS(
  m.vb[valor],
  m.vb[nucleo],$BH$1,
  m.vb[variavel],BM$7,
  m.vb[mes],$A103
)</f>
        <v>0</v>
      </c>
      <c r="BN103" s="108">
        <f ca="1">SUMIFS(
  m.vb[valor],
  m.vb[nucleo],$BH$1,
  m.vb[variavel],BN$7,
  m.vb[mes],$A103
)</f>
        <v>0</v>
      </c>
      <c r="BO103" s="108">
        <f ca="1">SUMIFS(
  m.vb[valor],
  m.vb[nucleo],$BH$1,
  m.vb[variavel],BO$7,
  m.vb[mes],$A103
)</f>
        <v>0</v>
      </c>
      <c r="BP103" s="108">
        <f ca="1">SUMIFS(
  m.vb[valor],
  m.vb[nucleo],$BH$1,
  m.vb[variavel],BP$7,
  m.vb[mes],$A103
)</f>
        <v>0</v>
      </c>
      <c r="BQ103" s="108">
        <f ca="1">SUMIFS(
  m.vb[valor],
  m.vb[nucleo],$BH$1,
  m.vb[variavel],BQ$7,
  m.vb[mes],$A103
)</f>
        <v>0</v>
      </c>
      <c r="BR103" s="119">
        <f>COUNTIFS(
    tb_estq[empresa], BR$6,
    tb_estq[Data da venda / reserva], "&gt;=" &amp; $A103,
    tb_estq[Data da venda / reserva], "&lt;"  &amp; EOMONTH($A103,0) + 1
)</f>
        <v>0</v>
      </c>
      <c r="BS103" s="120">
        <f ca="1">SUMIFS(tb_rec_uni[2029-05-01],
INDIRECT("tb_rec_uni[natureza]"),"pro.soluto",
INDIRECT("tb_rec_uni[empresa]"),BS$6)</f>
        <v>0</v>
      </c>
      <c r="BT103" s="124">
        <f ca="1">SUMIFS(tb_rec_uni[2029-05-01],
INDIRECT("tb_rec_uni[natureza]"),"parcela.fin.total.ik",
INDIRECT("tb_rec_uni[empresa]"),BT$6)</f>
        <v>0</v>
      </c>
      <c r="BU103" s="120">
        <f ca="1">SUMIFS(tb_rec_uni[2029-05-01],
INDIRECT("tb_rec_uni[natureza]"),"taxa.extra",
INDIRECT("tb_rec_uni[empresa]"),BU$6)</f>
        <v>0</v>
      </c>
      <c r="BV103" s="108"/>
      <c r="BW103" s="108">
        <f ca="1">SUMIFS(
  m.vb[valor],
  m.vb[nucleo],$BR$1,
  m.vb[variavel],BW$7,
  m.vb[mes],$A103
)</f>
        <v>0</v>
      </c>
      <c r="BX103" s="108">
        <f ca="1">SUMIFS(
  m.vb[valor],
  m.vb[nucleo],$BR$1,
  m.vb[variavel],BX$7,
  m.vb[mes],$A103
)</f>
        <v>0</v>
      </c>
      <c r="BY103" s="108">
        <f ca="1">SUMIFS(
  m.vb[valor],
  m.vb[nucleo],$BR$1,
  m.vb[variavel],BY$7,
  m.vb[mes],$A103
)</f>
        <v>0</v>
      </c>
      <c r="BZ103" s="108">
        <f ca="1">SUMIFS(
  m.vb[valor],
  m.vb[nucleo],$BR$1,
  m.vb[variavel],BZ$7,
  m.vb[mes],$A103
)</f>
        <v>0</v>
      </c>
      <c r="CA103" s="108">
        <f ca="1">SUMIFS(
  m.vb[valor],
  m.vb[nucleo],$BR$1,
  m.vb[variavel],CA$7,
  m.vb[mes],$A103
)</f>
        <v>0</v>
      </c>
      <c r="CB103" s="119">
        <f>COUNTIFS(
    tb_estq[empresa], CB$6,
    tb_estq[Data da venda / reserva], "&gt;=" &amp; $A103,
    tb_estq[Data da venda / reserva], "&lt;"  &amp; EOMONTH($A103,0) + 1
)</f>
        <v>0</v>
      </c>
      <c r="CC103" s="120">
        <f ca="1">SUMIFS(tb_rec_uni[2029-05-01],
INDIRECT("tb_rec_uni[natureza]"),"pro.soluto",
INDIRECT("tb_rec_uni[empresa]"),CC$6)</f>
        <v>0</v>
      </c>
      <c r="CD103" s="120">
        <f ca="1">SUMIFS(tb_rec_uni[2029-05-01],
INDIRECT("tb_rec_uni[natureza]"),"repasse.cef.obra",
INDIRECT("tb_rec_uni[empresa]"),CD$6)</f>
        <v>0</v>
      </c>
      <c r="CE103" s="123">
        <f ca="1">SUMIFS(tb_rec_uni[2029-05-01],
INDIRECT("tb_rec_uni[natureza]"),"repasse.cef.terreno",
INDIRECT("tb_rec_uni[empresa]"),CE$6)</f>
        <v>0</v>
      </c>
      <c r="CF103" s="124"/>
      <c r="CG103" s="120">
        <f ca="1">SUMIFS(tb_rec_uni[2029-05-01],
INDIRECT("tb_rec_uni[natureza]"),"taxa.extra",
INDIRECT("tb_rec_uni[empresa]"),CG$6)</f>
        <v>0</v>
      </c>
      <c r="CH103" s="108"/>
      <c r="CI103" s="108">
        <f ca="1">SUMIFS(
  m.vb[valor],
  m.vb[nucleo],$CB$1,
  m.vb[variavel],CI$7,
  m.vb[mes],$A103
)</f>
        <v>0</v>
      </c>
      <c r="CJ103" s="108">
        <f ca="1">SUMIFS(
  m.vb[valor],
  m.vb[nucleo],$CB$1,
  m.vb[variavel],CJ$7,
  m.vb[mes],$A103
)</f>
        <v>0</v>
      </c>
      <c r="CK103" s="108">
        <f ca="1">SUMIFS(
  m.vb[valor],
  m.vb[nucleo],$CB$1,
  m.vb[variavel],CK$7,
  m.vb[mes],$A103
)</f>
        <v>0</v>
      </c>
      <c r="CL103" s="108">
        <f ca="1">SUMIFS(
  m.vb[valor],
  m.vb[nucleo],$CB$1,
  m.vb[variavel],CL$7,
  m.vb[mes],$A103
)</f>
        <v>0</v>
      </c>
      <c r="CM103" s="108">
        <f ca="1">SUMIFS(
  m.vb[valor],
  m.vb[nucleo],$CB$1,
  m.vb[variavel],CM$7,
  m.vb[mes],$A103
)</f>
        <v>0</v>
      </c>
      <c r="CN103" s="119">
        <f>COUNTIFS(
    tb_estq[empresa], CN$6,
    tb_estq[Data da venda / reserva], "&gt;=" &amp; $A103,
    tb_estq[Data da venda / reserva], "&lt;"  &amp; EOMONTH($A103,0) + 1
)</f>
        <v>0</v>
      </c>
      <c r="CO103" s="120">
        <f ca="1">SUMIFS(tb_rec_uni[2029-05-01],
INDIRECT("tb_rec_uni[natureza]"),"pro.soluto",
INDIRECT("tb_rec_uni[empresa]"),CO$6)</f>
        <v>0</v>
      </c>
      <c r="CP103" s="120">
        <f ca="1">SUMIFS(tb_rec_uni[2029-05-01],
INDIRECT("tb_rec_uni[natureza]"),"repasse.cef.obra",
INDIRECT("tb_rec_uni[empresa]"),CP$6)</f>
        <v>0</v>
      </c>
      <c r="CQ103" s="123">
        <f ca="1">SUMIFS(tb_rec_uni[2029-05-01],
INDIRECT("tb_rec_uni[natureza]"),"repasse.cef.terreno",
INDIRECT("tb_rec_uni[empresa]"),CQ$6)</f>
        <v>0</v>
      </c>
      <c r="CR103" s="124"/>
      <c r="CS103" s="120">
        <f ca="1">SUMIFS(tb_rec_uni[2029-05-01],
INDIRECT("tb_rec_uni[natureza]"),"taxa.extra",
INDIRECT("tb_rec_uni[empresa]"),CS$6)</f>
        <v>0</v>
      </c>
      <c r="CT103" s="108"/>
      <c r="CU103" s="108">
        <f ca="1">SUMIFS(
  m.vb[valor],
  m.vb[nucleo],$CN$1,
  m.vb[variavel],CU$7,
  m.vb[mes],$A103
)</f>
        <v>0</v>
      </c>
      <c r="CV103" s="108" cm="1">
        <f t="array" ref="CV103">SUMPRODUCT(
  IFERROR(--tb_desp[valor],0)*
  (tb_desp[nucleo]="UP MOVE VILA SONIA")*
  (tb_desp[categoria]=CV$7)*
  (tb_desp[data.pagamento]&gt;=$A103)*
  (tb_desp[data.pagamento]&lt;EOMONTH($A103,0)+1)
)</f>
        <v>0</v>
      </c>
      <c r="CW103" s="108" cm="1">
        <f t="array" ref="CW103">SUMPRODUCT(
  IFERROR(--tb_desp[valor],0)*
  (tb_desp[nucleo]="UP MOVE VILA SONIA")*
  (tb_desp[categoria]=CW$7)*
  (tb_desp[data.pagamento]&gt;=$A103)*
  (tb_desp[data.pagamento]&lt;EOMONTH($A103,0)+1)
)</f>
        <v>0</v>
      </c>
      <c r="CX103" s="108" cm="1">
        <f t="array" ref="CX103">SUMPRODUCT(
  IFERROR(--tb_desp[valor],0)*
  (tb_desp[nucleo]="UP MOVE VILA SONIA")*
  (tb_desp[categoria]=CX$7)*
  (tb_desp[data.pagamento]&gt;=$A103)*
  (tb_desp[data.pagamento]&lt;EOMONTH($A103,0)+1)
)</f>
        <v>0</v>
      </c>
      <c r="CY103" s="221" cm="1">
        <f t="array" ref="CY103">SUMPRODUCT(
  IFERROR(--tb_desp[valor],0)*
  (tb_desp[nucleo]="UP MOVE VILA SONIA")*
  (tb_desp[categoria]=CY$7)*
  (tb_desp[data.pagamento]&gt;=$A103)*
  (tb_desp[data.pagamento]&lt;EOMONTH($A103,0)+1)
)</f>
        <v>0</v>
      </c>
    </row>
    <row r="104" spans="1:103" x14ac:dyDescent="0.25">
      <c r="A104" s="118">
        <v>47270</v>
      </c>
      <c r="B104" s="119">
        <f>COUNTIFS(
    tb_estq[empresa], B$6,
    tb_estq[Data da venda / reserva], "&gt;=" &amp; $A104,
    tb_estq[Data da venda / reserva], "&lt;"  &amp; EOMONTH($A104,0) + 1
)</f>
        <v>0</v>
      </c>
      <c r="C104" s="120">
        <f ca="1">SUMIFS(tb_rec_uni[2029-06-01],
INDIRECT("tb_rec_uni[natureza]"),"pro.soluto",
INDIRECT("tb_rec_uni[empresa]"),C$6)</f>
        <v>0</v>
      </c>
      <c r="D104" s="120">
        <f ca="1">SUMIFS(tb_rec_uni[2029-06-01],
INDIRECT("tb_rec_uni[natureza]"),"repasse.cef.obra",
INDIRECT("tb_rec_uni[empresa]"),D$6)</f>
        <v>0</v>
      </c>
      <c r="E104" s="120">
        <f ca="1">SUMIFS(tb_rec_uni[2029-06-01],
INDIRECT("tb_rec_uni[natureza]"),"repasse.cef.terreno",
INDIRECT("tb_rec_uni[empresa]"),E$6)</f>
        <v>0</v>
      </c>
      <c r="F104" s="124"/>
      <c r="G104" s="120">
        <f ca="1">SUMIFS(tb_rec_uni[2029-06-01],
INDIRECT("tb_rec_uni[natureza]"),"taxa.extra",
INDIRECT("tb_rec_uni[empresa]"),G$6)</f>
        <v>0</v>
      </c>
      <c r="H104" s="108"/>
      <c r="I104" s="108">
        <f ca="1">SUMIFS(
  m.vb[valor],
  m.vb[nucleo],$B$1,
  m.vb[variavel],I$7,
  m.vb[mes],$A104
)</f>
        <v>0</v>
      </c>
      <c r="J104" s="108">
        <f ca="1">SUMIFS(
  m.vb[valor],
  m.vb[nucleo],$B$1,
  m.vb[variavel],J$7,
  m.vb[mes],$A104
)</f>
        <v>0</v>
      </c>
      <c r="K104" s="108">
        <f ca="1">SUMIFS(
  m.vb[valor],
  m.vb[nucleo],$B$1,
  m.vb[variavel],K$7,
  m.vb[mes],$A104
)</f>
        <v>0</v>
      </c>
      <c r="L104" s="108">
        <f ca="1">SUMIFS(
  m.vb[valor],
  m.vb[nucleo],$B$1,
  m.vb[variavel],L$7,
  m.vb[mes],$A104
)</f>
        <v>0</v>
      </c>
      <c r="M104" s="108">
        <f ca="1">SUMIFS(
  m.vb[valor],
  m.vb[nucleo],$B$1,
  m.vb[variavel],M$7,
  m.vb[mes],$A104
)</f>
        <v>0</v>
      </c>
      <c r="N104" s="119">
        <f>COUNTIFS(
    tb_estq[empresa], N$6,
    tb_estq[Data da venda / reserva], "&gt;=" &amp; $A104,
    tb_estq[Data da venda / reserva], "&lt;"  &amp; EOMONTH($A104,0) + 1
)</f>
        <v>0</v>
      </c>
      <c r="O104" s="120">
        <f ca="1">SUMIFS(tb_rec_uni[2029-06-01],
INDIRECT("tb_rec_uni[natureza]"),"pro.soluto",
INDIRECT("tb_rec_uni[empresa]"),O$6)</f>
        <v>0</v>
      </c>
      <c r="P104" s="120">
        <f ca="1">SUMIFS(tb_rec_uni[2029-06-01],
INDIRECT("tb_rec_uni[natureza]"),"repasse.cef.obra",
INDIRECT("tb_rec_uni[empresa]"),P$6)</f>
        <v>0</v>
      </c>
      <c r="Q104" s="120">
        <f ca="1">SUMIFS(tb_rec_uni[2029-06-01],
INDIRECT("tb_rec_uni[natureza]"),"repasse.cef.terreno",
INDIRECT("tb_rec_uni[empresa]"),Q$6)</f>
        <v>0</v>
      </c>
      <c r="R104" s="124"/>
      <c r="S104" s="120">
        <f ca="1">SUMIFS(tb_rec_uni[2029-06-01],
INDIRECT("tb_rec_uni[natureza]"),"taxa.extra",
INDIRECT("tb_rec_uni[empresa]"),S$6)</f>
        <v>0</v>
      </c>
      <c r="T104" s="108"/>
      <c r="U104" s="108">
        <f ca="1">SUMIFS(
  m.vb[valor],
  m.vb[nucleo],$N$1,
  m.vb[variavel],U$7,
  m.vb[mes],$A104
)</f>
        <v>0</v>
      </c>
      <c r="V104" s="108">
        <f ca="1">SUMIFS(
  m.vb[valor],
  m.vb[nucleo],$N$1,
  m.vb[variavel],V$7,
  m.vb[mes],$A104
)</f>
        <v>0</v>
      </c>
      <c r="W104" s="108">
        <f ca="1">SUMIFS(
  m.vb[valor],
  m.vb[nucleo],$N$1,
  m.vb[variavel],W$7,
  m.vb[mes],$A104
)</f>
        <v>0</v>
      </c>
      <c r="X104" s="108">
        <f ca="1">SUMIFS(
  m.vb[valor],
  m.vb[nucleo],$N$1,
  m.vb[variavel],X$7,
  m.vb[mes],$A104
)</f>
        <v>0</v>
      </c>
      <c r="Y104" s="108">
        <f ca="1">SUMIFS(
  m.vb[valor],
  m.vb[nucleo],$N$1,
  m.vb[variavel],Y$7,
  m.vb[mes],$A104
)</f>
        <v>0</v>
      </c>
      <c r="Z104" s="119">
        <f>COUNTIFS(
    tb_estq[empresa], Z$6,
    tb_estq[Data da venda / reserva], "&gt;=" &amp; $A104,
    tb_estq[Data da venda / reserva], "&lt;"  &amp; EOMONTH($A104,0) + 1
)</f>
        <v>0</v>
      </c>
      <c r="AA104" s="120">
        <f ca="1">SUMIFS(tb_rec_uni[2029-06-01],
INDIRECT("tb_rec_uni[natureza]"),"pro.soluto",
INDIRECT("tb_rec_uni[empresa]"),AA$6)</f>
        <v>0</v>
      </c>
      <c r="AB104" s="124">
        <f ca="1">SUMIFS(tb_rec_uni[2029-06-01],
INDIRECT("tb_rec_uni[natureza]"),"parcela.fin.total.ik",
INDIRECT("tb_rec_uni[empresa]"),AB$6)</f>
        <v>0</v>
      </c>
      <c r="AC104" s="120">
        <f ca="1">SUMIFS(tb_rec_uni[2029-06-01],
INDIRECT("tb_rec_uni[natureza]"),"taxa.extra",
INDIRECT("tb_rec_uni[empresa]"),AC$6)</f>
        <v>0</v>
      </c>
      <c r="AD104" s="108"/>
      <c r="AE104" s="108">
        <f ca="1">SUMIFS(
  m.vb[valor],
  m.vb[nucleo],$Z$1,
  m.vb[variavel],AE$7,
  m.vb[mes],$A104
)</f>
        <v>0</v>
      </c>
      <c r="AF104" s="108">
        <f ca="1">SUMIFS(
  m.vb[valor],
  m.vb[nucleo],$Z$1,
  m.vb[variavel],AF$7,
  m.vb[mes],$A104
)</f>
        <v>0</v>
      </c>
      <c r="AG104" s="108">
        <f ca="1">SUMIFS(
  m.vb[valor],
  m.vb[nucleo],$Z$1,
  m.vb[variavel],AG$7,
  m.vb[mes],$A104
)</f>
        <v>0</v>
      </c>
      <c r="AH104" s="108">
        <f ca="1">SUMIFS(
  m.vb[valor],
  m.vb[nucleo],$Z$1,
  m.vb[variavel],AH$7,
  m.vb[mes],$A104
)</f>
        <v>0</v>
      </c>
      <c r="AI104" s="108">
        <f ca="1">SUMIFS(
  m.vb[valor],
  m.vb[nucleo],$Z$1,
  m.vb[variavel],AI$7,
  m.vb[mes],$A104
)</f>
        <v>0</v>
      </c>
      <c r="AJ104" s="119">
        <f>COUNTIFS(
    tb_estq[empresa], AJ$6,
    tb_estq[Data da venda / reserva], "&gt;=" &amp; $A104,
    tb_estq[Data da venda / reserva], "&lt;"  &amp; EOMONTH($A104,0) + 1
)</f>
        <v>0</v>
      </c>
      <c r="AK104" s="120">
        <f ca="1">SUMIFS(tb_rec_uni[2029-06-01],
INDIRECT("tb_rec_uni[natureza]"),"pro.soluto",
INDIRECT("tb_rec_uni[empresa]"),AK$6)</f>
        <v>0</v>
      </c>
      <c r="AL104" s="120">
        <f ca="1">SUMIFS(tb_rec_uni[2029-06-01],
INDIRECT("tb_rec_uni[natureza]"),"repasse.cef.obra",
INDIRECT("tb_rec_uni[empresa]"),AL$6)</f>
        <v>0</v>
      </c>
      <c r="AM104" s="123">
        <f ca="1">SUMIFS(tb_rec_uni[2029-06-01],
INDIRECT("tb_rec_uni[natureza]"),"repasse.cef.terreno",
INDIRECT("tb_rec_uni[empresa]"),AM$6)</f>
        <v>0</v>
      </c>
      <c r="AN104" s="124"/>
      <c r="AO104" s="120">
        <f ca="1">SUMIFS(tb_rec_uni[2029-06-01],
INDIRECT("tb_rec_uni[natureza]"),"taxa.extra",
INDIRECT("tb_rec_uni[empresa]"),AO$6)</f>
        <v>0</v>
      </c>
      <c r="AP104" s="108"/>
      <c r="AQ104" s="108">
        <f ca="1">SUMIFS(
  m.vb[valor],
  m.vb[nucleo],$AJ$1,
  m.vb[variavel],AQ$7,
  m.vb[mes],$A104
)</f>
        <v>0</v>
      </c>
      <c r="AR104" s="108">
        <f ca="1">SUMIFS(
  m.vb[valor],
  m.vb[nucleo],$AJ$1,
  m.vb[variavel],AR$7,
  m.vb[mes],$A104
)</f>
        <v>0</v>
      </c>
      <c r="AS104" s="108">
        <f ca="1">SUMIFS(
  m.vb[valor],
  m.vb[nucleo],$AJ$1,
  m.vb[variavel],AS$7,
  m.vb[mes],$A104
)</f>
        <v>0</v>
      </c>
      <c r="AT104" s="108">
        <f ca="1">SUMIFS(
  m.vb[valor],
  m.vb[nucleo],$AJ$1,
  m.vb[variavel],AT$7,
  m.vb[mes],$A104
)</f>
        <v>0</v>
      </c>
      <c r="AU104" s="108">
        <f ca="1">SUMIFS(
  m.vb[valor],
  m.vb[nucleo],$AJ$1,
  m.vb[variavel],AU$7,
  m.vb[mes],$A104
)</f>
        <v>0</v>
      </c>
      <c r="AV104" s="119">
        <f>COUNTIFS(
    tb_estq[empresa], AV$6,
    tb_estq[Data da venda / reserva], "&gt;=" &amp; $A104,
    tb_estq[Data da venda / reserva], "&lt;"  &amp; EOMONTH($A104,0) + 1
)</f>
        <v>0</v>
      </c>
      <c r="AW104" s="120">
        <f ca="1">SUMIFS(tb_rec_uni[2029-06-01],
INDIRECT("tb_rec_uni[natureza]"),"pro.soluto",
INDIRECT("tb_rec_uni[empresa]"),AW$6)</f>
        <v>0</v>
      </c>
      <c r="AX104" s="120">
        <f ca="1">SUMIFS(tb_rec_uni[2029-06-01],
INDIRECT("tb_rec_uni[natureza]"),"repasse.cef.obra",
INDIRECT("tb_rec_uni[empresa]"),AX$6)</f>
        <v>0</v>
      </c>
      <c r="AY104" s="123">
        <f ca="1">SUMIFS(tb_rec_uni[2029-06-01],
INDIRECT("tb_rec_uni[natureza]"),"repasse.cef.terreno",
INDIRECT("tb_rec_uni[empresa]"),AY$6)</f>
        <v>0</v>
      </c>
      <c r="AZ104" s="124"/>
      <c r="BA104" s="120">
        <f ca="1">SUMIFS(tb_rec_uni[2029-06-01],
INDIRECT("tb_rec_uni[natureza]"),"taxa.extra",
INDIRECT("tb_rec_uni[empresa]"),BA$6)</f>
        <v>0</v>
      </c>
      <c r="BB104" s="108"/>
      <c r="BC104" s="108">
        <f ca="1">SUMIFS(
  m.vb[valor],
  m.vb[nucleo],$AV$1,
  m.vb[variavel],BC$7,
  m.vb[mes],$A104
)</f>
        <v>0</v>
      </c>
      <c r="BD104" s="108">
        <f ca="1">SUMIFS(
  m.vb[valor],
  m.vb[nucleo],$AV$1,
  m.vb[variavel],BD$7,
  m.vb[mes],$A104
)</f>
        <v>0</v>
      </c>
      <c r="BE104" s="108">
        <f ca="1">SUMIFS(
  m.vb[valor],
  m.vb[nucleo],$AV$1,
  m.vb[variavel],BE$7,
  m.vb[mes],$A104
)</f>
        <v>0</v>
      </c>
      <c r="BF104" s="108">
        <f ca="1">SUMIFS(
  m.vb[valor],
  m.vb[nucleo],$AV$1,
  m.vb[variavel],BF$7,
  m.vb[mes],$A104
)</f>
        <v>0</v>
      </c>
      <c r="BG104" s="108">
        <f ca="1">SUMIFS(
  m.vb[valor],
  m.vb[nucleo],$AV$1,
  m.vb[variavel],BG$7,
  m.vb[mes],$A104
)</f>
        <v>0</v>
      </c>
      <c r="BH104" s="119">
        <f>COUNTIFS(
    tb_estq[empresa], BH$6,
    tb_estq[Data da venda / reserva], "&gt;=" &amp; $A104,
    tb_estq[Data da venda / reserva], "&lt;"  &amp; EOMONTH($A104,0) + 1
)</f>
        <v>0</v>
      </c>
      <c r="BI104" s="120">
        <f ca="1">SUMIFS(tb_rec_uni[2029-06-01],
INDIRECT("tb_rec_uni[natureza]"),"pro.soluto",
INDIRECT("tb_rec_uni[empresa]"),BI$6)</f>
        <v>0</v>
      </c>
      <c r="BJ104" s="124"/>
      <c r="BK104" s="120">
        <f ca="1">SUMIFS(tb_rec_uni[2029-06-01],
INDIRECT("tb_rec_uni[natureza]"),"taxa.extra",
INDIRECT("tb_rec_uni[empresa]"),BK$6)</f>
        <v>0</v>
      </c>
      <c r="BL104" s="108"/>
      <c r="BM104" s="108">
        <f ca="1">SUMIFS(
  m.vb[valor],
  m.vb[nucleo],$BH$1,
  m.vb[variavel],BM$7,
  m.vb[mes],$A104
)</f>
        <v>0</v>
      </c>
      <c r="BN104" s="108">
        <f ca="1">SUMIFS(
  m.vb[valor],
  m.vb[nucleo],$BH$1,
  m.vb[variavel],BN$7,
  m.vb[mes],$A104
)</f>
        <v>0</v>
      </c>
      <c r="BO104" s="108">
        <f ca="1">SUMIFS(
  m.vb[valor],
  m.vb[nucleo],$BH$1,
  m.vb[variavel],BO$7,
  m.vb[mes],$A104
)</f>
        <v>0</v>
      </c>
      <c r="BP104" s="108">
        <f ca="1">SUMIFS(
  m.vb[valor],
  m.vb[nucleo],$BH$1,
  m.vb[variavel],BP$7,
  m.vb[mes],$A104
)</f>
        <v>0</v>
      </c>
      <c r="BQ104" s="108">
        <f ca="1">SUMIFS(
  m.vb[valor],
  m.vb[nucleo],$BH$1,
  m.vb[variavel],BQ$7,
  m.vb[mes],$A104
)</f>
        <v>0</v>
      </c>
      <c r="BR104" s="119">
        <f>COUNTIFS(
    tb_estq[empresa], BR$6,
    tb_estq[Data da venda / reserva], "&gt;=" &amp; $A104,
    tb_estq[Data da venda / reserva], "&lt;"  &amp; EOMONTH($A104,0) + 1
)</f>
        <v>0</v>
      </c>
      <c r="BS104" s="120">
        <f ca="1">SUMIFS(tb_rec_uni[2029-06-01],
INDIRECT("tb_rec_uni[natureza]"),"pro.soluto",
INDIRECT("tb_rec_uni[empresa]"),BS$6)</f>
        <v>0</v>
      </c>
      <c r="BT104" s="124">
        <f ca="1">SUMIFS(tb_rec_uni[2029-06-01],
INDIRECT("tb_rec_uni[natureza]"),"parcela.fin.total.ik",
INDIRECT("tb_rec_uni[empresa]"),BT$6)</f>
        <v>0</v>
      </c>
      <c r="BU104" s="120">
        <f ca="1">SUMIFS(tb_rec_uni[2029-06-01],
INDIRECT("tb_rec_uni[natureza]"),"taxa.extra",
INDIRECT("tb_rec_uni[empresa]"),BU$6)</f>
        <v>0</v>
      </c>
      <c r="BV104" s="108"/>
      <c r="BW104" s="108">
        <f ca="1">SUMIFS(
  m.vb[valor],
  m.vb[nucleo],$BR$1,
  m.vb[variavel],BW$7,
  m.vb[mes],$A104
)</f>
        <v>0</v>
      </c>
      <c r="BX104" s="108">
        <f ca="1">SUMIFS(
  m.vb[valor],
  m.vb[nucleo],$BR$1,
  m.vb[variavel],BX$7,
  m.vb[mes],$A104
)</f>
        <v>0</v>
      </c>
      <c r="BY104" s="108">
        <f ca="1">SUMIFS(
  m.vb[valor],
  m.vb[nucleo],$BR$1,
  m.vb[variavel],BY$7,
  m.vb[mes],$A104
)</f>
        <v>0</v>
      </c>
      <c r="BZ104" s="108">
        <f ca="1">SUMIFS(
  m.vb[valor],
  m.vb[nucleo],$BR$1,
  m.vb[variavel],BZ$7,
  m.vb[mes],$A104
)</f>
        <v>0</v>
      </c>
      <c r="CA104" s="108">
        <f ca="1">SUMIFS(
  m.vb[valor],
  m.vb[nucleo],$BR$1,
  m.vb[variavel],CA$7,
  m.vb[mes],$A104
)</f>
        <v>0</v>
      </c>
      <c r="CB104" s="119">
        <f>COUNTIFS(
    tb_estq[empresa], CB$6,
    tb_estq[Data da venda / reserva], "&gt;=" &amp; $A104,
    tb_estq[Data da venda / reserva], "&lt;"  &amp; EOMONTH($A104,0) + 1
)</f>
        <v>0</v>
      </c>
      <c r="CC104" s="120">
        <f ca="1">SUMIFS(tb_rec_uni[2029-06-01],
INDIRECT("tb_rec_uni[natureza]"),"pro.soluto",
INDIRECT("tb_rec_uni[empresa]"),CC$6)</f>
        <v>0</v>
      </c>
      <c r="CD104" s="120">
        <f ca="1">SUMIFS(tb_rec_uni[2029-06-01],
INDIRECT("tb_rec_uni[natureza]"),"repasse.cef.obra",
INDIRECT("tb_rec_uni[empresa]"),CD$6)</f>
        <v>0</v>
      </c>
      <c r="CE104" s="123">
        <f ca="1">SUMIFS(tb_rec_uni[2029-06-01],
INDIRECT("tb_rec_uni[natureza]"),"repasse.cef.terreno",
INDIRECT("tb_rec_uni[empresa]"),CE$6)</f>
        <v>0</v>
      </c>
      <c r="CF104" s="124"/>
      <c r="CG104" s="120">
        <f ca="1">SUMIFS(tb_rec_uni[2029-06-01],
INDIRECT("tb_rec_uni[natureza]"),"taxa.extra",
INDIRECT("tb_rec_uni[empresa]"),CG$6)</f>
        <v>0</v>
      </c>
      <c r="CH104" s="108"/>
      <c r="CI104" s="108">
        <f ca="1">SUMIFS(
  m.vb[valor],
  m.vb[nucleo],$CB$1,
  m.vb[variavel],CI$7,
  m.vb[mes],$A104
)</f>
        <v>0</v>
      </c>
      <c r="CJ104" s="108">
        <f ca="1">SUMIFS(
  m.vb[valor],
  m.vb[nucleo],$CB$1,
  m.vb[variavel],CJ$7,
  m.vb[mes],$A104
)</f>
        <v>0</v>
      </c>
      <c r="CK104" s="108">
        <f ca="1">SUMIFS(
  m.vb[valor],
  m.vb[nucleo],$CB$1,
  m.vb[variavel],CK$7,
  m.vb[mes],$A104
)</f>
        <v>0</v>
      </c>
      <c r="CL104" s="108">
        <f ca="1">SUMIFS(
  m.vb[valor],
  m.vb[nucleo],$CB$1,
  m.vb[variavel],CL$7,
  m.vb[mes],$A104
)</f>
        <v>0</v>
      </c>
      <c r="CM104" s="108">
        <f ca="1">SUMIFS(
  m.vb[valor],
  m.vb[nucleo],$CB$1,
  m.vb[variavel],CM$7,
  m.vb[mes],$A104
)</f>
        <v>0</v>
      </c>
      <c r="CN104" s="119">
        <f>COUNTIFS(
    tb_estq[empresa], CN$6,
    tb_estq[Data da venda / reserva], "&gt;=" &amp; $A104,
    tb_estq[Data da venda / reserva], "&lt;"  &amp; EOMONTH($A104,0) + 1
)</f>
        <v>0</v>
      </c>
      <c r="CO104" s="120">
        <f ca="1">SUMIFS(tb_rec_uni[2029-06-01],
INDIRECT("tb_rec_uni[natureza]"),"pro.soluto",
INDIRECT("tb_rec_uni[empresa]"),CO$6)</f>
        <v>0</v>
      </c>
      <c r="CP104" s="120">
        <f ca="1">SUMIFS(tb_rec_uni[2029-06-01],
INDIRECT("tb_rec_uni[natureza]"),"repasse.cef.obra",
INDIRECT("tb_rec_uni[empresa]"),CP$6)</f>
        <v>0</v>
      </c>
      <c r="CQ104" s="123">
        <f ca="1">SUMIFS(tb_rec_uni[2029-06-01],
INDIRECT("tb_rec_uni[natureza]"),"repasse.cef.terreno",
INDIRECT("tb_rec_uni[empresa]"),CQ$6)</f>
        <v>0</v>
      </c>
      <c r="CR104" s="124"/>
      <c r="CS104" s="120">
        <f ca="1">SUMIFS(tb_rec_uni[2029-06-01],
INDIRECT("tb_rec_uni[natureza]"),"taxa.extra",
INDIRECT("tb_rec_uni[empresa]"),CS$6)</f>
        <v>0</v>
      </c>
      <c r="CT104" s="108"/>
      <c r="CU104" s="108">
        <f ca="1">SUMIFS(
  m.vb[valor],
  m.vb[nucleo],$CN$1,
  m.vb[variavel],CU$7,
  m.vb[mes],$A104
)</f>
        <v>0</v>
      </c>
      <c r="CV104" s="108" cm="1">
        <f t="array" ref="CV104">SUMPRODUCT(
  IFERROR(--tb_desp[valor],0)*
  (tb_desp[nucleo]="UP MOVE VILA SONIA")*
  (tb_desp[categoria]=CV$7)*
  (tb_desp[data.pagamento]&gt;=$A104)*
  (tb_desp[data.pagamento]&lt;EOMONTH($A104,0)+1)
)</f>
        <v>0</v>
      </c>
      <c r="CW104" s="108" cm="1">
        <f t="array" ref="CW104">SUMPRODUCT(
  IFERROR(--tb_desp[valor],0)*
  (tb_desp[nucleo]="UP MOVE VILA SONIA")*
  (tb_desp[categoria]=CW$7)*
  (tb_desp[data.pagamento]&gt;=$A104)*
  (tb_desp[data.pagamento]&lt;EOMONTH($A104,0)+1)
)</f>
        <v>0</v>
      </c>
      <c r="CX104" s="108" cm="1">
        <f t="array" ref="CX104">SUMPRODUCT(
  IFERROR(--tb_desp[valor],0)*
  (tb_desp[nucleo]="UP MOVE VILA SONIA")*
  (tb_desp[categoria]=CX$7)*
  (tb_desp[data.pagamento]&gt;=$A104)*
  (tb_desp[data.pagamento]&lt;EOMONTH($A104,0)+1)
)</f>
        <v>0</v>
      </c>
      <c r="CY104" s="221" cm="1">
        <f t="array" ref="CY104">SUMPRODUCT(
  IFERROR(--tb_desp[valor],0)*
  (tb_desp[nucleo]="UP MOVE VILA SONIA")*
  (tb_desp[categoria]=CY$7)*
  (tb_desp[data.pagamento]&gt;=$A104)*
  (tb_desp[data.pagamento]&lt;EOMONTH($A104,0)+1)
)</f>
        <v>0</v>
      </c>
    </row>
    <row r="105" spans="1:103" x14ac:dyDescent="0.25">
      <c r="A105" s="118">
        <v>47300</v>
      </c>
      <c r="B105" s="119">
        <f>COUNTIFS(
    tb_estq[empresa], B$6,
    tb_estq[Data da venda / reserva], "&gt;=" &amp; $A105,
    tb_estq[Data da venda / reserva], "&lt;"  &amp; EOMONTH($A105,0) + 1
)</f>
        <v>0</v>
      </c>
      <c r="C105" s="120">
        <f ca="1">SUMIFS(tb_rec_uni[2029-07-01],
INDIRECT("tb_rec_uni[natureza]"),"pro.soluto",
INDIRECT("tb_rec_uni[empresa]"),C$6)</f>
        <v>0</v>
      </c>
      <c r="D105" s="120">
        <f ca="1">SUMIFS(tb_rec_uni[2029-07-01],
INDIRECT("tb_rec_uni[natureza]"),"repasse.cef.obra",
INDIRECT("tb_rec_uni[empresa]"),D$6)</f>
        <v>0</v>
      </c>
      <c r="E105" s="120">
        <f ca="1">SUMIFS(tb_rec_uni[2029-07-01],
INDIRECT("tb_rec_uni[natureza]"),"repasse.cef.terreno",
INDIRECT("tb_rec_uni[empresa]"),E$6)</f>
        <v>0</v>
      </c>
      <c r="F105" s="124"/>
      <c r="G105" s="120">
        <f ca="1">SUMIFS(tb_rec_uni[2029-07-01],
INDIRECT("tb_rec_uni[natureza]"),"taxa.extra",
INDIRECT("tb_rec_uni[empresa]"),G$6)</f>
        <v>0</v>
      </c>
      <c r="H105" s="108"/>
      <c r="I105" s="108">
        <f ca="1">SUMIFS(
  m.vb[valor],
  m.vb[nucleo],$B$1,
  m.vb[variavel],I$7,
  m.vb[mes],$A105
)</f>
        <v>0</v>
      </c>
      <c r="J105" s="108">
        <f ca="1">SUMIFS(
  m.vb[valor],
  m.vb[nucleo],$B$1,
  m.vb[variavel],J$7,
  m.vb[mes],$A105
)</f>
        <v>0</v>
      </c>
      <c r="K105" s="108">
        <f ca="1">SUMIFS(
  m.vb[valor],
  m.vb[nucleo],$B$1,
  m.vb[variavel],K$7,
  m.vb[mes],$A105
)</f>
        <v>0</v>
      </c>
      <c r="L105" s="108">
        <f ca="1">SUMIFS(
  m.vb[valor],
  m.vb[nucleo],$B$1,
  m.vb[variavel],L$7,
  m.vb[mes],$A105
)</f>
        <v>0</v>
      </c>
      <c r="M105" s="108">
        <f ca="1">SUMIFS(
  m.vb[valor],
  m.vb[nucleo],$B$1,
  m.vb[variavel],M$7,
  m.vb[mes],$A105
)</f>
        <v>0</v>
      </c>
      <c r="N105" s="119">
        <f>COUNTIFS(
    tb_estq[empresa], N$6,
    tb_estq[Data da venda / reserva], "&gt;=" &amp; $A105,
    tb_estq[Data da venda / reserva], "&lt;"  &amp; EOMONTH($A105,0) + 1
)</f>
        <v>0</v>
      </c>
      <c r="O105" s="120">
        <f ca="1">SUMIFS(tb_rec_uni[2029-07-01],
INDIRECT("tb_rec_uni[natureza]"),"pro.soluto",
INDIRECT("tb_rec_uni[empresa]"),O$6)</f>
        <v>0</v>
      </c>
      <c r="P105" s="120">
        <f ca="1">SUMIFS(tb_rec_uni[2029-07-01],
INDIRECT("tb_rec_uni[natureza]"),"repasse.cef.obra",
INDIRECT("tb_rec_uni[empresa]"),P$6)</f>
        <v>0</v>
      </c>
      <c r="Q105" s="120">
        <f ca="1">SUMIFS(tb_rec_uni[2029-07-01],
INDIRECT("tb_rec_uni[natureza]"),"repasse.cef.terreno",
INDIRECT("tb_rec_uni[empresa]"),Q$6)</f>
        <v>0</v>
      </c>
      <c r="R105" s="124"/>
      <c r="S105" s="120">
        <f ca="1">SUMIFS(tb_rec_uni[2029-07-01],
INDIRECT("tb_rec_uni[natureza]"),"taxa.extra",
INDIRECT("tb_rec_uni[empresa]"),S$6)</f>
        <v>0</v>
      </c>
      <c r="T105" s="108"/>
      <c r="U105" s="108">
        <f ca="1">SUMIFS(
  m.vb[valor],
  m.vb[nucleo],$N$1,
  m.vb[variavel],U$7,
  m.vb[mes],$A105
)</f>
        <v>0</v>
      </c>
      <c r="V105" s="108">
        <f ca="1">SUMIFS(
  m.vb[valor],
  m.vb[nucleo],$N$1,
  m.vb[variavel],V$7,
  m.vb[mes],$A105
)</f>
        <v>0</v>
      </c>
      <c r="W105" s="108">
        <f ca="1">SUMIFS(
  m.vb[valor],
  m.vb[nucleo],$N$1,
  m.vb[variavel],W$7,
  m.vb[mes],$A105
)</f>
        <v>0</v>
      </c>
      <c r="X105" s="108">
        <f ca="1">SUMIFS(
  m.vb[valor],
  m.vb[nucleo],$N$1,
  m.vb[variavel],X$7,
  m.vb[mes],$A105
)</f>
        <v>0</v>
      </c>
      <c r="Y105" s="108">
        <f ca="1">SUMIFS(
  m.vb[valor],
  m.vb[nucleo],$N$1,
  m.vb[variavel],Y$7,
  m.vb[mes],$A105
)</f>
        <v>0</v>
      </c>
      <c r="Z105" s="119">
        <f>COUNTIFS(
    tb_estq[empresa], Z$6,
    tb_estq[Data da venda / reserva], "&gt;=" &amp; $A105,
    tb_estq[Data da venda / reserva], "&lt;"  &amp; EOMONTH($A105,0) + 1
)</f>
        <v>0</v>
      </c>
      <c r="AA105" s="120">
        <f ca="1">SUMIFS(tb_rec_uni[2029-07-01],
INDIRECT("tb_rec_uni[natureza]"),"pro.soluto",
INDIRECT("tb_rec_uni[empresa]"),AA$6)</f>
        <v>0</v>
      </c>
      <c r="AB105" s="124">
        <f ca="1">SUMIFS(tb_rec_uni[2029-07-01],
INDIRECT("tb_rec_uni[natureza]"),"parcela.fin.total.ik",
INDIRECT("tb_rec_uni[empresa]"),AB$6)</f>
        <v>0</v>
      </c>
      <c r="AC105" s="120">
        <f ca="1">SUMIFS(tb_rec_uni[2029-07-01],
INDIRECT("tb_rec_uni[natureza]"),"taxa.extra",
INDIRECT("tb_rec_uni[empresa]"),AC$6)</f>
        <v>0</v>
      </c>
      <c r="AD105" s="108"/>
      <c r="AE105" s="108">
        <f ca="1">SUMIFS(
  m.vb[valor],
  m.vb[nucleo],$Z$1,
  m.vb[variavel],AE$7,
  m.vb[mes],$A105
)</f>
        <v>0</v>
      </c>
      <c r="AF105" s="108">
        <f ca="1">SUMIFS(
  m.vb[valor],
  m.vb[nucleo],$Z$1,
  m.vb[variavel],AF$7,
  m.vb[mes],$A105
)</f>
        <v>0</v>
      </c>
      <c r="AG105" s="108">
        <f ca="1">SUMIFS(
  m.vb[valor],
  m.vb[nucleo],$Z$1,
  m.vb[variavel],AG$7,
  m.vb[mes],$A105
)</f>
        <v>0</v>
      </c>
      <c r="AH105" s="108">
        <f ca="1">SUMIFS(
  m.vb[valor],
  m.vb[nucleo],$Z$1,
  m.vb[variavel],AH$7,
  m.vb[mes],$A105
)</f>
        <v>0</v>
      </c>
      <c r="AI105" s="108">
        <f ca="1">SUMIFS(
  m.vb[valor],
  m.vb[nucleo],$Z$1,
  m.vb[variavel],AI$7,
  m.vb[mes],$A105
)</f>
        <v>0</v>
      </c>
      <c r="AJ105" s="119">
        <f>COUNTIFS(
    tb_estq[empresa], AJ$6,
    tb_estq[Data da venda / reserva], "&gt;=" &amp; $A105,
    tb_estq[Data da venda / reserva], "&lt;"  &amp; EOMONTH($A105,0) + 1
)</f>
        <v>0</v>
      </c>
      <c r="AK105" s="120">
        <f ca="1">SUMIFS(tb_rec_uni[2029-07-01],
INDIRECT("tb_rec_uni[natureza]"),"pro.soluto",
INDIRECT("tb_rec_uni[empresa]"),AK$6)</f>
        <v>0</v>
      </c>
      <c r="AL105" s="120">
        <f ca="1">SUMIFS(tb_rec_uni[2029-07-01],
INDIRECT("tb_rec_uni[natureza]"),"repasse.cef.obra",
INDIRECT("tb_rec_uni[empresa]"),AL$6)</f>
        <v>0</v>
      </c>
      <c r="AM105" s="123">
        <f ca="1">SUMIFS(tb_rec_uni[2029-07-01],
INDIRECT("tb_rec_uni[natureza]"),"repasse.cef.terreno",
INDIRECT("tb_rec_uni[empresa]"),AM$6)</f>
        <v>0</v>
      </c>
      <c r="AN105" s="124"/>
      <c r="AO105" s="120">
        <f ca="1">SUMIFS(tb_rec_uni[2029-07-01],
INDIRECT("tb_rec_uni[natureza]"),"taxa.extra",
INDIRECT("tb_rec_uni[empresa]"),AO$6)</f>
        <v>0</v>
      </c>
      <c r="AP105" s="108"/>
      <c r="AQ105" s="108">
        <f ca="1">SUMIFS(
  m.vb[valor],
  m.vb[nucleo],$AJ$1,
  m.vb[variavel],AQ$7,
  m.vb[mes],$A105
)</f>
        <v>0</v>
      </c>
      <c r="AR105" s="108">
        <f ca="1">SUMIFS(
  m.vb[valor],
  m.vb[nucleo],$AJ$1,
  m.vb[variavel],AR$7,
  m.vb[mes],$A105
)</f>
        <v>0</v>
      </c>
      <c r="AS105" s="108">
        <f ca="1">SUMIFS(
  m.vb[valor],
  m.vb[nucleo],$AJ$1,
  m.vb[variavel],AS$7,
  m.vb[mes],$A105
)</f>
        <v>0</v>
      </c>
      <c r="AT105" s="108">
        <f ca="1">SUMIFS(
  m.vb[valor],
  m.vb[nucleo],$AJ$1,
  m.vb[variavel],AT$7,
  m.vb[mes],$A105
)</f>
        <v>0</v>
      </c>
      <c r="AU105" s="108">
        <f ca="1">SUMIFS(
  m.vb[valor],
  m.vb[nucleo],$AJ$1,
  m.vb[variavel],AU$7,
  m.vb[mes],$A105
)</f>
        <v>0</v>
      </c>
      <c r="AV105" s="119">
        <f>COUNTIFS(
    tb_estq[empresa], AV$6,
    tb_estq[Data da venda / reserva], "&gt;=" &amp; $A105,
    tb_estq[Data da venda / reserva], "&lt;"  &amp; EOMONTH($A105,0) + 1
)</f>
        <v>0</v>
      </c>
      <c r="AW105" s="120">
        <f ca="1">SUMIFS(tb_rec_uni[2029-07-01],
INDIRECT("tb_rec_uni[natureza]"),"pro.soluto",
INDIRECT("tb_rec_uni[empresa]"),AW$6)</f>
        <v>0</v>
      </c>
      <c r="AX105" s="120">
        <f ca="1">SUMIFS(tb_rec_uni[2029-07-01],
INDIRECT("tb_rec_uni[natureza]"),"repasse.cef.obra",
INDIRECT("tb_rec_uni[empresa]"),AX$6)</f>
        <v>0</v>
      </c>
      <c r="AY105" s="123">
        <f ca="1">SUMIFS(tb_rec_uni[2029-07-01],
INDIRECT("tb_rec_uni[natureza]"),"repasse.cef.terreno",
INDIRECT("tb_rec_uni[empresa]"),AY$6)</f>
        <v>0</v>
      </c>
      <c r="AZ105" s="124"/>
      <c r="BA105" s="120">
        <f ca="1">SUMIFS(tb_rec_uni[2029-07-01],
INDIRECT("tb_rec_uni[natureza]"),"taxa.extra",
INDIRECT("tb_rec_uni[empresa]"),BA$6)</f>
        <v>0</v>
      </c>
      <c r="BB105" s="108"/>
      <c r="BC105" s="108">
        <f ca="1">SUMIFS(
  m.vb[valor],
  m.vb[nucleo],$AV$1,
  m.vb[variavel],BC$7,
  m.vb[mes],$A105
)</f>
        <v>0</v>
      </c>
      <c r="BD105" s="108">
        <f ca="1">SUMIFS(
  m.vb[valor],
  m.vb[nucleo],$AV$1,
  m.vb[variavel],BD$7,
  m.vb[mes],$A105
)</f>
        <v>0</v>
      </c>
      <c r="BE105" s="108">
        <f ca="1">SUMIFS(
  m.vb[valor],
  m.vb[nucleo],$AV$1,
  m.vb[variavel],BE$7,
  m.vb[mes],$A105
)</f>
        <v>0</v>
      </c>
      <c r="BF105" s="108">
        <f ca="1">SUMIFS(
  m.vb[valor],
  m.vb[nucleo],$AV$1,
  m.vb[variavel],BF$7,
  m.vb[mes],$A105
)</f>
        <v>0</v>
      </c>
      <c r="BG105" s="108">
        <f ca="1">SUMIFS(
  m.vb[valor],
  m.vb[nucleo],$AV$1,
  m.vb[variavel],BG$7,
  m.vb[mes],$A105
)</f>
        <v>0</v>
      </c>
      <c r="BH105" s="119">
        <f>COUNTIFS(
    tb_estq[empresa], BH$6,
    tb_estq[Data da venda / reserva], "&gt;=" &amp; $A105,
    tb_estq[Data da venda / reserva], "&lt;"  &amp; EOMONTH($A105,0) + 1
)</f>
        <v>0</v>
      </c>
      <c r="BI105" s="120">
        <f ca="1">SUMIFS(tb_rec_uni[2029-07-01],
INDIRECT("tb_rec_uni[natureza]"),"pro.soluto",
INDIRECT("tb_rec_uni[empresa]"),BI$6)</f>
        <v>0</v>
      </c>
      <c r="BJ105" s="124"/>
      <c r="BK105" s="120">
        <f ca="1">SUMIFS(tb_rec_uni[2029-07-01],
INDIRECT("tb_rec_uni[natureza]"),"taxa.extra",
INDIRECT("tb_rec_uni[empresa]"),BK$6)</f>
        <v>0</v>
      </c>
      <c r="BL105" s="108"/>
      <c r="BM105" s="108">
        <f ca="1">SUMIFS(
  m.vb[valor],
  m.vb[nucleo],$BH$1,
  m.vb[variavel],BM$7,
  m.vb[mes],$A105
)</f>
        <v>0</v>
      </c>
      <c r="BN105" s="108">
        <f ca="1">SUMIFS(
  m.vb[valor],
  m.vb[nucleo],$BH$1,
  m.vb[variavel],BN$7,
  m.vb[mes],$A105
)</f>
        <v>0</v>
      </c>
      <c r="BO105" s="108">
        <f ca="1">SUMIFS(
  m.vb[valor],
  m.vb[nucleo],$BH$1,
  m.vb[variavel],BO$7,
  m.vb[mes],$A105
)</f>
        <v>0</v>
      </c>
      <c r="BP105" s="108">
        <f ca="1">SUMIFS(
  m.vb[valor],
  m.vb[nucleo],$BH$1,
  m.vb[variavel],BP$7,
  m.vb[mes],$A105
)</f>
        <v>0</v>
      </c>
      <c r="BQ105" s="108">
        <f ca="1">SUMIFS(
  m.vb[valor],
  m.vb[nucleo],$BH$1,
  m.vb[variavel],BQ$7,
  m.vb[mes],$A105
)</f>
        <v>0</v>
      </c>
      <c r="BR105" s="119">
        <f>COUNTIFS(
    tb_estq[empresa], BR$6,
    tb_estq[Data da venda / reserva], "&gt;=" &amp; $A105,
    tb_estq[Data da venda / reserva], "&lt;"  &amp; EOMONTH($A105,0) + 1
)</f>
        <v>0</v>
      </c>
      <c r="BS105" s="120">
        <f ca="1">SUMIFS(tb_rec_uni[2029-07-01],
INDIRECT("tb_rec_uni[natureza]"),"pro.soluto",
INDIRECT("tb_rec_uni[empresa]"),BS$6)</f>
        <v>0</v>
      </c>
      <c r="BT105" s="124">
        <f ca="1">SUMIFS(tb_rec_uni[2029-07-01],
INDIRECT("tb_rec_uni[natureza]"),"parcela.fin.total.ik",
INDIRECT("tb_rec_uni[empresa]"),BT$6)</f>
        <v>0</v>
      </c>
      <c r="BU105" s="120">
        <f ca="1">SUMIFS(tb_rec_uni[2029-07-01],
INDIRECT("tb_rec_uni[natureza]"),"taxa.extra",
INDIRECT("tb_rec_uni[empresa]"),BU$6)</f>
        <v>0</v>
      </c>
      <c r="BV105" s="108"/>
      <c r="BW105" s="108">
        <f ca="1">SUMIFS(
  m.vb[valor],
  m.vb[nucleo],$BR$1,
  m.vb[variavel],BW$7,
  m.vb[mes],$A105
)</f>
        <v>0</v>
      </c>
      <c r="BX105" s="108">
        <f ca="1">SUMIFS(
  m.vb[valor],
  m.vb[nucleo],$BR$1,
  m.vb[variavel],BX$7,
  m.vb[mes],$A105
)</f>
        <v>0</v>
      </c>
      <c r="BY105" s="108">
        <f ca="1">SUMIFS(
  m.vb[valor],
  m.vb[nucleo],$BR$1,
  m.vb[variavel],BY$7,
  m.vb[mes],$A105
)</f>
        <v>0</v>
      </c>
      <c r="BZ105" s="108">
        <f ca="1">SUMIFS(
  m.vb[valor],
  m.vb[nucleo],$BR$1,
  m.vb[variavel],BZ$7,
  m.vb[mes],$A105
)</f>
        <v>0</v>
      </c>
      <c r="CA105" s="108">
        <f ca="1">SUMIFS(
  m.vb[valor],
  m.vb[nucleo],$BR$1,
  m.vb[variavel],CA$7,
  m.vb[mes],$A105
)</f>
        <v>0</v>
      </c>
      <c r="CB105" s="119">
        <f>COUNTIFS(
    tb_estq[empresa], CB$6,
    tb_estq[Data da venda / reserva], "&gt;=" &amp; $A105,
    tb_estq[Data da venda / reserva], "&lt;"  &amp; EOMONTH($A105,0) + 1
)</f>
        <v>0</v>
      </c>
      <c r="CC105" s="120">
        <f ca="1">SUMIFS(tb_rec_uni[2029-07-01],
INDIRECT("tb_rec_uni[natureza]"),"pro.soluto",
INDIRECT("tb_rec_uni[empresa]"),CC$6)</f>
        <v>0</v>
      </c>
      <c r="CD105" s="120">
        <f ca="1">SUMIFS(tb_rec_uni[2029-07-01],
INDIRECT("tb_rec_uni[natureza]"),"repasse.cef.obra",
INDIRECT("tb_rec_uni[empresa]"),CD$6)</f>
        <v>0</v>
      </c>
      <c r="CE105" s="123">
        <f ca="1">SUMIFS(tb_rec_uni[2029-07-01],
INDIRECT("tb_rec_uni[natureza]"),"repasse.cef.terreno",
INDIRECT("tb_rec_uni[empresa]"),CE$6)</f>
        <v>0</v>
      </c>
      <c r="CF105" s="124"/>
      <c r="CG105" s="120">
        <f ca="1">SUMIFS(tb_rec_uni[2029-07-01],
INDIRECT("tb_rec_uni[natureza]"),"taxa.extra",
INDIRECT("tb_rec_uni[empresa]"),CG$6)</f>
        <v>0</v>
      </c>
      <c r="CH105" s="108"/>
      <c r="CI105" s="108">
        <f ca="1">SUMIFS(
  m.vb[valor],
  m.vb[nucleo],$CB$1,
  m.vb[variavel],CI$7,
  m.vb[mes],$A105
)</f>
        <v>0</v>
      </c>
      <c r="CJ105" s="108">
        <f ca="1">SUMIFS(
  m.vb[valor],
  m.vb[nucleo],$CB$1,
  m.vb[variavel],CJ$7,
  m.vb[mes],$A105
)</f>
        <v>0</v>
      </c>
      <c r="CK105" s="108">
        <f ca="1">SUMIFS(
  m.vb[valor],
  m.vb[nucleo],$CB$1,
  m.vb[variavel],CK$7,
  m.vb[mes],$A105
)</f>
        <v>0</v>
      </c>
      <c r="CL105" s="108">
        <f ca="1">SUMIFS(
  m.vb[valor],
  m.vb[nucleo],$CB$1,
  m.vb[variavel],CL$7,
  m.vb[mes],$A105
)</f>
        <v>0</v>
      </c>
      <c r="CM105" s="108">
        <f ca="1">SUMIFS(
  m.vb[valor],
  m.vb[nucleo],$CB$1,
  m.vb[variavel],CM$7,
  m.vb[mes],$A105
)</f>
        <v>0</v>
      </c>
      <c r="CN105" s="119">
        <f>COUNTIFS(
    tb_estq[empresa], CN$6,
    tb_estq[Data da venda / reserva], "&gt;=" &amp; $A105,
    tb_estq[Data da venda / reserva], "&lt;"  &amp; EOMONTH($A105,0) + 1
)</f>
        <v>0</v>
      </c>
      <c r="CO105" s="120">
        <f ca="1">SUMIFS(tb_rec_uni[2029-07-01],
INDIRECT("tb_rec_uni[natureza]"),"pro.soluto",
INDIRECT("tb_rec_uni[empresa]"),CO$6)</f>
        <v>0</v>
      </c>
      <c r="CP105" s="120">
        <f ca="1">SUMIFS(tb_rec_uni[2029-07-01],
INDIRECT("tb_rec_uni[natureza]"),"repasse.cef.obra",
INDIRECT("tb_rec_uni[empresa]"),CP$6)</f>
        <v>0</v>
      </c>
      <c r="CQ105" s="123">
        <f ca="1">SUMIFS(tb_rec_uni[2029-07-01],
INDIRECT("tb_rec_uni[natureza]"),"repasse.cef.terreno",
INDIRECT("tb_rec_uni[empresa]"),CQ$6)</f>
        <v>0</v>
      </c>
      <c r="CR105" s="124"/>
      <c r="CS105" s="120">
        <f ca="1">SUMIFS(tb_rec_uni[2029-07-01],
INDIRECT("tb_rec_uni[natureza]"),"taxa.extra",
INDIRECT("tb_rec_uni[empresa]"),CS$6)</f>
        <v>0</v>
      </c>
      <c r="CT105" s="108"/>
      <c r="CU105" s="108">
        <f ca="1">SUMIFS(
  m.vb[valor],
  m.vb[nucleo],$CN$1,
  m.vb[variavel],CU$7,
  m.vb[mes],$A105
)</f>
        <v>0</v>
      </c>
      <c r="CV105" s="108" cm="1">
        <f t="array" ref="CV105">SUMPRODUCT(
  IFERROR(--tb_desp[valor],0)*
  (tb_desp[nucleo]="UP MOVE VILA SONIA")*
  (tb_desp[categoria]=CV$7)*
  (tb_desp[data.pagamento]&gt;=$A105)*
  (tb_desp[data.pagamento]&lt;EOMONTH($A105,0)+1)
)</f>
        <v>0</v>
      </c>
      <c r="CW105" s="108" cm="1">
        <f t="array" ref="CW105">SUMPRODUCT(
  IFERROR(--tb_desp[valor],0)*
  (tb_desp[nucleo]="UP MOVE VILA SONIA")*
  (tb_desp[categoria]=CW$7)*
  (tb_desp[data.pagamento]&gt;=$A105)*
  (tb_desp[data.pagamento]&lt;EOMONTH($A105,0)+1)
)</f>
        <v>0</v>
      </c>
      <c r="CX105" s="108" cm="1">
        <f t="array" ref="CX105">SUMPRODUCT(
  IFERROR(--tb_desp[valor],0)*
  (tb_desp[nucleo]="UP MOVE VILA SONIA")*
  (tb_desp[categoria]=CX$7)*
  (tb_desp[data.pagamento]&gt;=$A105)*
  (tb_desp[data.pagamento]&lt;EOMONTH($A105,0)+1)
)</f>
        <v>0</v>
      </c>
      <c r="CY105" s="221" cm="1">
        <f t="array" ref="CY105">SUMPRODUCT(
  IFERROR(--tb_desp[valor],0)*
  (tb_desp[nucleo]="UP MOVE VILA SONIA")*
  (tb_desp[categoria]=CY$7)*
  (tb_desp[data.pagamento]&gt;=$A105)*
  (tb_desp[data.pagamento]&lt;EOMONTH($A105,0)+1)
)</f>
        <v>0</v>
      </c>
    </row>
    <row r="106" spans="1:103" x14ac:dyDescent="0.25">
      <c r="A106" s="118">
        <v>47331</v>
      </c>
      <c r="B106" s="119">
        <f>COUNTIFS(
    tb_estq[empresa], B$6,
    tb_estq[Data da venda / reserva], "&gt;=" &amp; $A106,
    tb_estq[Data da venda / reserva], "&lt;"  &amp; EOMONTH($A106,0) + 1
)</f>
        <v>0</v>
      </c>
      <c r="C106" s="120">
        <f ca="1">SUMIFS(tb_rec_uni[2029-08-01],
INDIRECT("tb_rec_uni[natureza]"),"pro.soluto",
INDIRECT("tb_rec_uni[empresa]"),C$6)</f>
        <v>0</v>
      </c>
      <c r="D106" s="120">
        <f ca="1">SUMIFS(tb_rec_uni[2029-08-01],
INDIRECT("tb_rec_uni[natureza]"),"repasse.cef.obra",
INDIRECT("tb_rec_uni[empresa]"),D$6)</f>
        <v>0</v>
      </c>
      <c r="E106" s="120">
        <f ca="1">SUMIFS(tb_rec_uni[2029-08-01],
INDIRECT("tb_rec_uni[natureza]"),"repasse.cef.terreno",
INDIRECT("tb_rec_uni[empresa]"),E$6)</f>
        <v>0</v>
      </c>
      <c r="F106" s="124"/>
      <c r="G106" s="120">
        <f ca="1">SUMIFS(tb_rec_uni[2029-08-01],
INDIRECT("tb_rec_uni[natureza]"),"taxa.extra",
INDIRECT("tb_rec_uni[empresa]"),G$6)</f>
        <v>0</v>
      </c>
      <c r="H106" s="108"/>
      <c r="I106" s="108">
        <f ca="1">SUMIFS(
  m.vb[valor],
  m.vb[nucleo],$B$1,
  m.vb[variavel],I$7,
  m.vb[mes],$A106
)</f>
        <v>0</v>
      </c>
      <c r="J106" s="108">
        <f ca="1">SUMIFS(
  m.vb[valor],
  m.vb[nucleo],$B$1,
  m.vb[variavel],J$7,
  m.vb[mes],$A106
)</f>
        <v>0</v>
      </c>
      <c r="K106" s="108">
        <f ca="1">SUMIFS(
  m.vb[valor],
  m.vb[nucleo],$B$1,
  m.vb[variavel],K$7,
  m.vb[mes],$A106
)</f>
        <v>0</v>
      </c>
      <c r="L106" s="108">
        <f ca="1">SUMIFS(
  m.vb[valor],
  m.vb[nucleo],$B$1,
  m.vb[variavel],L$7,
  m.vb[mes],$A106
)</f>
        <v>0</v>
      </c>
      <c r="M106" s="108">
        <f ca="1">SUMIFS(
  m.vb[valor],
  m.vb[nucleo],$B$1,
  m.vb[variavel],M$7,
  m.vb[mes],$A106
)</f>
        <v>0</v>
      </c>
      <c r="N106" s="119">
        <f>COUNTIFS(
    tb_estq[empresa], N$6,
    tb_estq[Data da venda / reserva], "&gt;=" &amp; $A106,
    tb_estq[Data da venda / reserva], "&lt;"  &amp; EOMONTH($A106,0) + 1
)</f>
        <v>0</v>
      </c>
      <c r="O106" s="120">
        <f ca="1">SUMIFS(tb_rec_uni[2029-08-01],
INDIRECT("tb_rec_uni[natureza]"),"pro.soluto",
INDIRECT("tb_rec_uni[empresa]"),O$6)</f>
        <v>0</v>
      </c>
      <c r="P106" s="120">
        <f ca="1">SUMIFS(tb_rec_uni[2029-08-01],
INDIRECT("tb_rec_uni[natureza]"),"repasse.cef.obra",
INDIRECT("tb_rec_uni[empresa]"),P$6)</f>
        <v>0</v>
      </c>
      <c r="Q106" s="120">
        <f ca="1">SUMIFS(tb_rec_uni[2029-08-01],
INDIRECT("tb_rec_uni[natureza]"),"repasse.cef.terreno",
INDIRECT("tb_rec_uni[empresa]"),Q$6)</f>
        <v>0</v>
      </c>
      <c r="R106" s="124"/>
      <c r="S106" s="120">
        <f ca="1">SUMIFS(tb_rec_uni[2029-08-01],
INDIRECT("tb_rec_uni[natureza]"),"taxa.extra",
INDIRECT("tb_rec_uni[empresa]"),S$6)</f>
        <v>0</v>
      </c>
      <c r="T106" s="108"/>
      <c r="U106" s="108">
        <f ca="1">SUMIFS(
  m.vb[valor],
  m.vb[nucleo],$N$1,
  m.vb[variavel],U$7,
  m.vb[mes],$A106
)</f>
        <v>0</v>
      </c>
      <c r="V106" s="108">
        <f ca="1">SUMIFS(
  m.vb[valor],
  m.vb[nucleo],$N$1,
  m.vb[variavel],V$7,
  m.vb[mes],$A106
)</f>
        <v>0</v>
      </c>
      <c r="W106" s="108">
        <f ca="1">SUMIFS(
  m.vb[valor],
  m.vb[nucleo],$N$1,
  m.vb[variavel],W$7,
  m.vb[mes],$A106
)</f>
        <v>0</v>
      </c>
      <c r="X106" s="108">
        <f ca="1">SUMIFS(
  m.vb[valor],
  m.vb[nucleo],$N$1,
  m.vb[variavel],X$7,
  m.vb[mes],$A106
)</f>
        <v>0</v>
      </c>
      <c r="Y106" s="108">
        <f ca="1">SUMIFS(
  m.vb[valor],
  m.vb[nucleo],$N$1,
  m.vb[variavel],Y$7,
  m.vb[mes],$A106
)</f>
        <v>0</v>
      </c>
      <c r="Z106" s="119">
        <f>COUNTIFS(
    tb_estq[empresa], Z$6,
    tb_estq[Data da venda / reserva], "&gt;=" &amp; $A106,
    tb_estq[Data da venda / reserva], "&lt;"  &amp; EOMONTH($A106,0) + 1
)</f>
        <v>0</v>
      </c>
      <c r="AA106" s="120">
        <f ca="1">SUMIFS(tb_rec_uni[2029-08-01],
INDIRECT("tb_rec_uni[natureza]"),"pro.soluto",
INDIRECT("tb_rec_uni[empresa]"),AA$6)</f>
        <v>0</v>
      </c>
      <c r="AB106" s="124">
        <f ca="1">SUMIFS(tb_rec_uni[2029-08-01],
INDIRECT("tb_rec_uni[natureza]"),"parcela.fin.total.ik",
INDIRECT("tb_rec_uni[empresa]"),AB$6)</f>
        <v>0</v>
      </c>
      <c r="AC106" s="120">
        <f ca="1">SUMIFS(tb_rec_uni[2029-08-01],
INDIRECT("tb_rec_uni[natureza]"),"taxa.extra",
INDIRECT("tb_rec_uni[empresa]"),AC$6)</f>
        <v>0</v>
      </c>
      <c r="AD106" s="108"/>
      <c r="AE106" s="108">
        <f ca="1">SUMIFS(
  m.vb[valor],
  m.vb[nucleo],$Z$1,
  m.vb[variavel],AE$7,
  m.vb[mes],$A106
)</f>
        <v>0</v>
      </c>
      <c r="AF106" s="108">
        <f ca="1">SUMIFS(
  m.vb[valor],
  m.vb[nucleo],$Z$1,
  m.vb[variavel],AF$7,
  m.vb[mes],$A106
)</f>
        <v>0</v>
      </c>
      <c r="AG106" s="108">
        <f ca="1">SUMIFS(
  m.vb[valor],
  m.vb[nucleo],$Z$1,
  m.vb[variavel],AG$7,
  m.vb[mes],$A106
)</f>
        <v>0</v>
      </c>
      <c r="AH106" s="108">
        <f ca="1">SUMIFS(
  m.vb[valor],
  m.vb[nucleo],$Z$1,
  m.vb[variavel],AH$7,
  m.vb[mes],$A106
)</f>
        <v>0</v>
      </c>
      <c r="AI106" s="108">
        <f ca="1">SUMIFS(
  m.vb[valor],
  m.vb[nucleo],$Z$1,
  m.vb[variavel],AI$7,
  m.vb[mes],$A106
)</f>
        <v>0</v>
      </c>
      <c r="AJ106" s="119">
        <f>COUNTIFS(
    tb_estq[empresa], AJ$6,
    tb_estq[Data da venda / reserva], "&gt;=" &amp; $A106,
    tb_estq[Data da venda / reserva], "&lt;"  &amp; EOMONTH($A106,0) + 1
)</f>
        <v>0</v>
      </c>
      <c r="AK106" s="120">
        <f ca="1">SUMIFS(tb_rec_uni[2029-08-01],
INDIRECT("tb_rec_uni[natureza]"),"pro.soluto",
INDIRECT("tb_rec_uni[empresa]"),AK$6)</f>
        <v>0</v>
      </c>
      <c r="AL106" s="120">
        <f ca="1">SUMIFS(tb_rec_uni[2029-08-01],
INDIRECT("tb_rec_uni[natureza]"),"repasse.cef.obra",
INDIRECT("tb_rec_uni[empresa]"),AL$6)</f>
        <v>0</v>
      </c>
      <c r="AM106" s="123">
        <f ca="1">SUMIFS(tb_rec_uni[2029-08-01],
INDIRECT("tb_rec_uni[natureza]"),"repasse.cef.terreno",
INDIRECT("tb_rec_uni[empresa]"),AM$6)</f>
        <v>0</v>
      </c>
      <c r="AN106" s="124"/>
      <c r="AO106" s="120">
        <f ca="1">SUMIFS(tb_rec_uni[2029-08-01],
INDIRECT("tb_rec_uni[natureza]"),"taxa.extra",
INDIRECT("tb_rec_uni[empresa]"),AO$6)</f>
        <v>0</v>
      </c>
      <c r="AP106" s="108"/>
      <c r="AQ106" s="108">
        <f ca="1">SUMIFS(
  m.vb[valor],
  m.vb[nucleo],$AJ$1,
  m.vb[variavel],AQ$7,
  m.vb[mes],$A106
)</f>
        <v>0</v>
      </c>
      <c r="AR106" s="108">
        <f ca="1">SUMIFS(
  m.vb[valor],
  m.vb[nucleo],$AJ$1,
  m.vb[variavel],AR$7,
  m.vb[mes],$A106
)</f>
        <v>0</v>
      </c>
      <c r="AS106" s="108">
        <f ca="1">SUMIFS(
  m.vb[valor],
  m.vb[nucleo],$AJ$1,
  m.vb[variavel],AS$7,
  m.vb[mes],$A106
)</f>
        <v>0</v>
      </c>
      <c r="AT106" s="108">
        <f ca="1">SUMIFS(
  m.vb[valor],
  m.vb[nucleo],$AJ$1,
  m.vb[variavel],AT$7,
  m.vb[mes],$A106
)</f>
        <v>0</v>
      </c>
      <c r="AU106" s="108">
        <f ca="1">SUMIFS(
  m.vb[valor],
  m.vb[nucleo],$AJ$1,
  m.vb[variavel],AU$7,
  m.vb[mes],$A106
)</f>
        <v>0</v>
      </c>
      <c r="AV106" s="119">
        <f>COUNTIFS(
    tb_estq[empresa], AV$6,
    tb_estq[Data da venda / reserva], "&gt;=" &amp; $A106,
    tb_estq[Data da venda / reserva], "&lt;"  &amp; EOMONTH($A106,0) + 1
)</f>
        <v>0</v>
      </c>
      <c r="AW106" s="120">
        <f ca="1">SUMIFS(tb_rec_uni[2029-08-01],
INDIRECT("tb_rec_uni[natureza]"),"pro.soluto",
INDIRECT("tb_rec_uni[empresa]"),AW$6)</f>
        <v>0</v>
      </c>
      <c r="AX106" s="120">
        <f ca="1">SUMIFS(tb_rec_uni[2029-08-01],
INDIRECT("tb_rec_uni[natureza]"),"repasse.cef.obra",
INDIRECT("tb_rec_uni[empresa]"),AX$6)</f>
        <v>0</v>
      </c>
      <c r="AY106" s="123">
        <f ca="1">SUMIFS(tb_rec_uni[2029-08-01],
INDIRECT("tb_rec_uni[natureza]"),"repasse.cef.terreno",
INDIRECT("tb_rec_uni[empresa]"),AY$6)</f>
        <v>0</v>
      </c>
      <c r="AZ106" s="124"/>
      <c r="BA106" s="120">
        <f ca="1">SUMIFS(tb_rec_uni[2029-08-01],
INDIRECT("tb_rec_uni[natureza]"),"taxa.extra",
INDIRECT("tb_rec_uni[empresa]"),BA$6)</f>
        <v>0</v>
      </c>
      <c r="BB106" s="108"/>
      <c r="BC106" s="108">
        <f ca="1">SUMIFS(
  m.vb[valor],
  m.vb[nucleo],$AV$1,
  m.vb[variavel],BC$7,
  m.vb[mes],$A106
)</f>
        <v>0</v>
      </c>
      <c r="BD106" s="108">
        <f ca="1">SUMIFS(
  m.vb[valor],
  m.vb[nucleo],$AV$1,
  m.vb[variavel],BD$7,
  m.vb[mes],$A106
)</f>
        <v>0</v>
      </c>
      <c r="BE106" s="108">
        <f ca="1">SUMIFS(
  m.vb[valor],
  m.vb[nucleo],$AV$1,
  m.vb[variavel],BE$7,
  m.vb[mes],$A106
)</f>
        <v>0</v>
      </c>
      <c r="BF106" s="108">
        <f ca="1">SUMIFS(
  m.vb[valor],
  m.vb[nucleo],$AV$1,
  m.vb[variavel],BF$7,
  m.vb[mes],$A106
)</f>
        <v>0</v>
      </c>
      <c r="BG106" s="108">
        <f ca="1">SUMIFS(
  m.vb[valor],
  m.vb[nucleo],$AV$1,
  m.vb[variavel],BG$7,
  m.vb[mes],$A106
)</f>
        <v>0</v>
      </c>
      <c r="BH106" s="119">
        <f>COUNTIFS(
    tb_estq[empresa], BH$6,
    tb_estq[Data da venda / reserva], "&gt;=" &amp; $A106,
    tb_estq[Data da venda / reserva], "&lt;"  &amp; EOMONTH($A106,0) + 1
)</f>
        <v>0</v>
      </c>
      <c r="BI106" s="120">
        <f ca="1">SUMIFS(tb_rec_uni[2029-08-01],
INDIRECT("tb_rec_uni[natureza]"),"pro.soluto",
INDIRECT("tb_rec_uni[empresa]"),BI$6)</f>
        <v>0</v>
      </c>
      <c r="BJ106" s="124"/>
      <c r="BK106" s="120">
        <f ca="1">SUMIFS(tb_rec_uni[2029-08-01],
INDIRECT("tb_rec_uni[natureza]"),"taxa.extra",
INDIRECT("tb_rec_uni[empresa]"),BK$6)</f>
        <v>0</v>
      </c>
      <c r="BL106" s="108"/>
      <c r="BM106" s="108">
        <f ca="1">SUMIFS(
  m.vb[valor],
  m.vb[nucleo],$BH$1,
  m.vb[variavel],BM$7,
  m.vb[mes],$A106
)</f>
        <v>0</v>
      </c>
      <c r="BN106" s="108">
        <f ca="1">SUMIFS(
  m.vb[valor],
  m.vb[nucleo],$BH$1,
  m.vb[variavel],BN$7,
  m.vb[mes],$A106
)</f>
        <v>0</v>
      </c>
      <c r="BO106" s="108">
        <f ca="1">SUMIFS(
  m.vb[valor],
  m.vb[nucleo],$BH$1,
  m.vb[variavel],BO$7,
  m.vb[mes],$A106
)</f>
        <v>0</v>
      </c>
      <c r="BP106" s="108">
        <f ca="1">SUMIFS(
  m.vb[valor],
  m.vb[nucleo],$BH$1,
  m.vb[variavel],BP$7,
  m.vb[mes],$A106
)</f>
        <v>0</v>
      </c>
      <c r="BQ106" s="108">
        <f ca="1">SUMIFS(
  m.vb[valor],
  m.vb[nucleo],$BH$1,
  m.vb[variavel],BQ$7,
  m.vb[mes],$A106
)</f>
        <v>0</v>
      </c>
      <c r="BR106" s="119">
        <f>COUNTIFS(
    tb_estq[empresa], BR$6,
    tb_estq[Data da venda / reserva], "&gt;=" &amp; $A106,
    tb_estq[Data da venda / reserva], "&lt;"  &amp; EOMONTH($A106,0) + 1
)</f>
        <v>0</v>
      </c>
      <c r="BS106" s="120">
        <f ca="1">SUMIFS(tb_rec_uni[2029-08-01],
INDIRECT("tb_rec_uni[natureza]"),"pro.soluto",
INDIRECT("tb_rec_uni[empresa]"),BS$6)</f>
        <v>0</v>
      </c>
      <c r="BT106" s="124">
        <f ca="1">SUMIFS(tb_rec_uni[2029-08-01],
INDIRECT("tb_rec_uni[natureza]"),"parcela.fin.total.ik",
INDIRECT("tb_rec_uni[empresa]"),BT$6)</f>
        <v>0</v>
      </c>
      <c r="BU106" s="120">
        <f ca="1">SUMIFS(tb_rec_uni[2029-08-01],
INDIRECT("tb_rec_uni[natureza]"),"taxa.extra",
INDIRECT("tb_rec_uni[empresa]"),BU$6)</f>
        <v>0</v>
      </c>
      <c r="BV106" s="108"/>
      <c r="BW106" s="108">
        <f ca="1">SUMIFS(
  m.vb[valor],
  m.vb[nucleo],$BR$1,
  m.vb[variavel],BW$7,
  m.vb[mes],$A106
)</f>
        <v>0</v>
      </c>
      <c r="BX106" s="108">
        <f ca="1">SUMIFS(
  m.vb[valor],
  m.vb[nucleo],$BR$1,
  m.vb[variavel],BX$7,
  m.vb[mes],$A106
)</f>
        <v>0</v>
      </c>
      <c r="BY106" s="108">
        <f ca="1">SUMIFS(
  m.vb[valor],
  m.vb[nucleo],$BR$1,
  m.vb[variavel],BY$7,
  m.vb[mes],$A106
)</f>
        <v>0</v>
      </c>
      <c r="BZ106" s="108">
        <f ca="1">SUMIFS(
  m.vb[valor],
  m.vb[nucleo],$BR$1,
  m.vb[variavel],BZ$7,
  m.vb[mes],$A106
)</f>
        <v>0</v>
      </c>
      <c r="CA106" s="108">
        <f ca="1">SUMIFS(
  m.vb[valor],
  m.vb[nucleo],$BR$1,
  m.vb[variavel],CA$7,
  m.vb[mes],$A106
)</f>
        <v>0</v>
      </c>
      <c r="CB106" s="119">
        <f>COUNTIFS(
    tb_estq[empresa], CB$6,
    tb_estq[Data da venda / reserva], "&gt;=" &amp; $A106,
    tb_estq[Data da venda / reserva], "&lt;"  &amp; EOMONTH($A106,0) + 1
)</f>
        <v>0</v>
      </c>
      <c r="CC106" s="120">
        <f ca="1">SUMIFS(tb_rec_uni[2029-08-01],
INDIRECT("tb_rec_uni[natureza]"),"pro.soluto",
INDIRECT("tb_rec_uni[empresa]"),CC$6)</f>
        <v>0</v>
      </c>
      <c r="CD106" s="120">
        <f ca="1">SUMIFS(tb_rec_uni[2029-08-01],
INDIRECT("tb_rec_uni[natureza]"),"repasse.cef.obra",
INDIRECT("tb_rec_uni[empresa]"),CD$6)</f>
        <v>0</v>
      </c>
      <c r="CE106" s="123">
        <f ca="1">SUMIFS(tb_rec_uni[2029-08-01],
INDIRECT("tb_rec_uni[natureza]"),"repasse.cef.terreno",
INDIRECT("tb_rec_uni[empresa]"),CE$6)</f>
        <v>0</v>
      </c>
      <c r="CF106" s="124"/>
      <c r="CG106" s="120">
        <f ca="1">SUMIFS(tb_rec_uni[2029-08-01],
INDIRECT("tb_rec_uni[natureza]"),"taxa.extra",
INDIRECT("tb_rec_uni[empresa]"),CG$6)</f>
        <v>0</v>
      </c>
      <c r="CH106" s="108"/>
      <c r="CI106" s="108">
        <f ca="1">SUMIFS(
  m.vb[valor],
  m.vb[nucleo],$CB$1,
  m.vb[variavel],CI$7,
  m.vb[mes],$A106
)</f>
        <v>0</v>
      </c>
      <c r="CJ106" s="108">
        <f ca="1">SUMIFS(
  m.vb[valor],
  m.vb[nucleo],$CB$1,
  m.vb[variavel],CJ$7,
  m.vb[mes],$A106
)</f>
        <v>0</v>
      </c>
      <c r="CK106" s="108">
        <f ca="1">SUMIFS(
  m.vb[valor],
  m.vb[nucleo],$CB$1,
  m.vb[variavel],CK$7,
  m.vb[mes],$A106
)</f>
        <v>0</v>
      </c>
      <c r="CL106" s="108">
        <f ca="1">SUMIFS(
  m.vb[valor],
  m.vb[nucleo],$CB$1,
  m.vb[variavel],CL$7,
  m.vb[mes],$A106
)</f>
        <v>0</v>
      </c>
      <c r="CM106" s="108">
        <f ca="1">SUMIFS(
  m.vb[valor],
  m.vb[nucleo],$CB$1,
  m.vb[variavel],CM$7,
  m.vb[mes],$A106
)</f>
        <v>0</v>
      </c>
      <c r="CN106" s="119">
        <f>COUNTIFS(
    tb_estq[empresa], CN$6,
    tb_estq[Data da venda / reserva], "&gt;=" &amp; $A106,
    tb_estq[Data da venda / reserva], "&lt;"  &amp; EOMONTH($A106,0) + 1
)</f>
        <v>0</v>
      </c>
      <c r="CO106" s="120">
        <f ca="1">SUMIFS(tb_rec_uni[2029-08-01],
INDIRECT("tb_rec_uni[natureza]"),"pro.soluto",
INDIRECT("tb_rec_uni[empresa]"),CO$6)</f>
        <v>0</v>
      </c>
      <c r="CP106" s="120">
        <f ca="1">SUMIFS(tb_rec_uni[2029-08-01],
INDIRECT("tb_rec_uni[natureza]"),"repasse.cef.obra",
INDIRECT("tb_rec_uni[empresa]"),CP$6)</f>
        <v>0</v>
      </c>
      <c r="CQ106" s="123">
        <f ca="1">SUMIFS(tb_rec_uni[2029-08-01],
INDIRECT("tb_rec_uni[natureza]"),"repasse.cef.terreno",
INDIRECT("tb_rec_uni[empresa]"),CQ$6)</f>
        <v>0</v>
      </c>
      <c r="CR106" s="124"/>
      <c r="CS106" s="120">
        <f ca="1">SUMIFS(tb_rec_uni[2029-08-01],
INDIRECT("tb_rec_uni[natureza]"),"taxa.extra",
INDIRECT("tb_rec_uni[empresa]"),CS$6)</f>
        <v>0</v>
      </c>
      <c r="CT106" s="108"/>
      <c r="CU106" s="108">
        <f ca="1">SUMIFS(
  m.vb[valor],
  m.vb[nucleo],$CN$1,
  m.vb[variavel],CU$7,
  m.vb[mes],$A106
)</f>
        <v>0</v>
      </c>
      <c r="CV106" s="108" cm="1">
        <f t="array" ref="CV106">SUMPRODUCT(
  IFERROR(--tb_desp[valor],0)*
  (tb_desp[nucleo]="UP MOVE VILA SONIA")*
  (tb_desp[categoria]=CV$7)*
  (tb_desp[data.pagamento]&gt;=$A106)*
  (tb_desp[data.pagamento]&lt;EOMONTH($A106,0)+1)
)</f>
        <v>0</v>
      </c>
      <c r="CW106" s="108" cm="1">
        <f t="array" ref="CW106">SUMPRODUCT(
  IFERROR(--tb_desp[valor],0)*
  (tb_desp[nucleo]="UP MOVE VILA SONIA")*
  (tb_desp[categoria]=CW$7)*
  (tb_desp[data.pagamento]&gt;=$A106)*
  (tb_desp[data.pagamento]&lt;EOMONTH($A106,0)+1)
)</f>
        <v>0</v>
      </c>
      <c r="CX106" s="108" cm="1">
        <f t="array" ref="CX106">SUMPRODUCT(
  IFERROR(--tb_desp[valor],0)*
  (tb_desp[nucleo]="UP MOVE VILA SONIA")*
  (tb_desp[categoria]=CX$7)*
  (tb_desp[data.pagamento]&gt;=$A106)*
  (tb_desp[data.pagamento]&lt;EOMONTH($A106,0)+1)
)</f>
        <v>0</v>
      </c>
      <c r="CY106" s="221" cm="1">
        <f t="array" ref="CY106">SUMPRODUCT(
  IFERROR(--tb_desp[valor],0)*
  (tb_desp[nucleo]="UP MOVE VILA SONIA")*
  (tb_desp[categoria]=CY$7)*
  (tb_desp[data.pagamento]&gt;=$A106)*
  (tb_desp[data.pagamento]&lt;EOMONTH($A106,0)+1)
)</f>
        <v>0</v>
      </c>
    </row>
    <row r="107" spans="1:103" x14ac:dyDescent="0.25">
      <c r="A107" s="118">
        <v>47362</v>
      </c>
      <c r="B107" s="119">
        <f>COUNTIFS(
    tb_estq[empresa], B$6,
    tb_estq[Data da venda / reserva], "&gt;=" &amp; $A107,
    tb_estq[Data da venda / reserva], "&lt;"  &amp; EOMONTH($A107,0) + 1
)</f>
        <v>0</v>
      </c>
      <c r="C107" s="120">
        <f ca="1">SUMIFS(tb_rec_uni[2029-09-01],
INDIRECT("tb_rec_uni[natureza]"),"pro.soluto",
INDIRECT("tb_rec_uni[empresa]"),C$6)</f>
        <v>0</v>
      </c>
      <c r="D107" s="120">
        <f ca="1">SUMIFS(tb_rec_uni[2029-09-01],
INDIRECT("tb_rec_uni[natureza]"),"repasse.cef.obra",
INDIRECT("tb_rec_uni[empresa]"),D$6)</f>
        <v>0</v>
      </c>
      <c r="E107" s="120">
        <f ca="1">SUMIFS(tb_rec_uni[2029-09-01],
INDIRECT("tb_rec_uni[natureza]"),"repasse.cef.terreno",
INDIRECT("tb_rec_uni[empresa]"),E$6)</f>
        <v>0</v>
      </c>
      <c r="F107" s="124"/>
      <c r="G107" s="120">
        <f ca="1">SUMIFS(tb_rec_uni[2029-09-01],
INDIRECT("tb_rec_uni[natureza]"),"taxa.extra",
INDIRECT("tb_rec_uni[empresa]"),G$6)</f>
        <v>0</v>
      </c>
      <c r="H107" s="108"/>
      <c r="I107" s="108">
        <f ca="1">SUMIFS(
  m.vb[valor],
  m.vb[nucleo],$B$1,
  m.vb[variavel],I$7,
  m.vb[mes],$A107
)</f>
        <v>0</v>
      </c>
      <c r="J107" s="108">
        <f ca="1">SUMIFS(
  m.vb[valor],
  m.vb[nucleo],$B$1,
  m.vb[variavel],J$7,
  m.vb[mes],$A107
)</f>
        <v>0</v>
      </c>
      <c r="K107" s="108">
        <f ca="1">SUMIFS(
  m.vb[valor],
  m.vb[nucleo],$B$1,
  m.vb[variavel],K$7,
  m.vb[mes],$A107
)</f>
        <v>0</v>
      </c>
      <c r="L107" s="108">
        <f ca="1">SUMIFS(
  m.vb[valor],
  m.vb[nucleo],$B$1,
  m.vb[variavel],L$7,
  m.vb[mes],$A107
)</f>
        <v>0</v>
      </c>
      <c r="M107" s="108">
        <f ca="1">SUMIFS(
  m.vb[valor],
  m.vb[nucleo],$B$1,
  m.vb[variavel],M$7,
  m.vb[mes],$A107
)</f>
        <v>0</v>
      </c>
      <c r="N107" s="119">
        <f>COUNTIFS(
    tb_estq[empresa], N$6,
    tb_estq[Data da venda / reserva], "&gt;=" &amp; $A107,
    tb_estq[Data da venda / reserva], "&lt;"  &amp; EOMONTH($A107,0) + 1
)</f>
        <v>0</v>
      </c>
      <c r="O107" s="120">
        <f ca="1">SUMIFS(tb_rec_uni[2029-09-01],
INDIRECT("tb_rec_uni[natureza]"),"pro.soluto",
INDIRECT("tb_rec_uni[empresa]"),O$6)</f>
        <v>0</v>
      </c>
      <c r="P107" s="120">
        <f ca="1">SUMIFS(tb_rec_uni[2029-09-01],
INDIRECT("tb_rec_uni[natureza]"),"repasse.cef.obra",
INDIRECT("tb_rec_uni[empresa]"),P$6)</f>
        <v>0</v>
      </c>
      <c r="Q107" s="120">
        <f ca="1">SUMIFS(tb_rec_uni[2029-09-01],
INDIRECT("tb_rec_uni[natureza]"),"repasse.cef.terreno",
INDIRECT("tb_rec_uni[empresa]"),Q$6)</f>
        <v>0</v>
      </c>
      <c r="R107" s="124"/>
      <c r="S107" s="120">
        <f ca="1">SUMIFS(tb_rec_uni[2029-09-01],
INDIRECT("tb_rec_uni[natureza]"),"taxa.extra",
INDIRECT("tb_rec_uni[empresa]"),S$6)</f>
        <v>0</v>
      </c>
      <c r="T107" s="108"/>
      <c r="U107" s="108">
        <f ca="1">SUMIFS(
  m.vb[valor],
  m.vb[nucleo],$N$1,
  m.vb[variavel],U$7,
  m.vb[mes],$A107
)</f>
        <v>0</v>
      </c>
      <c r="V107" s="108">
        <f ca="1">SUMIFS(
  m.vb[valor],
  m.vb[nucleo],$N$1,
  m.vb[variavel],V$7,
  m.vb[mes],$A107
)</f>
        <v>0</v>
      </c>
      <c r="W107" s="108">
        <f ca="1">SUMIFS(
  m.vb[valor],
  m.vb[nucleo],$N$1,
  m.vb[variavel],W$7,
  m.vb[mes],$A107
)</f>
        <v>0</v>
      </c>
      <c r="X107" s="108">
        <f ca="1">SUMIFS(
  m.vb[valor],
  m.vb[nucleo],$N$1,
  m.vb[variavel],X$7,
  m.vb[mes],$A107
)</f>
        <v>0</v>
      </c>
      <c r="Y107" s="108">
        <f ca="1">SUMIFS(
  m.vb[valor],
  m.vb[nucleo],$N$1,
  m.vb[variavel],Y$7,
  m.vb[mes],$A107
)</f>
        <v>0</v>
      </c>
      <c r="Z107" s="119">
        <f>COUNTIFS(
    tb_estq[empresa], Z$6,
    tb_estq[Data da venda / reserva], "&gt;=" &amp; $A107,
    tb_estq[Data da venda / reserva], "&lt;"  &amp; EOMONTH($A107,0) + 1
)</f>
        <v>0</v>
      </c>
      <c r="AA107" s="120">
        <f ca="1">SUMIFS(tb_rec_uni[2029-09-01],
INDIRECT("tb_rec_uni[natureza]"),"pro.soluto",
INDIRECT("tb_rec_uni[empresa]"),AA$6)</f>
        <v>0</v>
      </c>
      <c r="AB107" s="124">
        <f ca="1">SUMIFS(tb_rec_uni[2029-09-01],
INDIRECT("tb_rec_uni[natureza]"),"parcela.fin.total.ik",
INDIRECT("tb_rec_uni[empresa]"),AB$6)</f>
        <v>0</v>
      </c>
      <c r="AC107" s="120">
        <f ca="1">SUMIFS(tb_rec_uni[2029-09-01],
INDIRECT("tb_rec_uni[natureza]"),"taxa.extra",
INDIRECT("tb_rec_uni[empresa]"),AC$6)</f>
        <v>0</v>
      </c>
      <c r="AD107" s="108"/>
      <c r="AE107" s="108">
        <f ca="1">SUMIFS(
  m.vb[valor],
  m.vb[nucleo],$Z$1,
  m.vb[variavel],AE$7,
  m.vb[mes],$A107
)</f>
        <v>0</v>
      </c>
      <c r="AF107" s="108">
        <f ca="1">SUMIFS(
  m.vb[valor],
  m.vb[nucleo],$Z$1,
  m.vb[variavel],AF$7,
  m.vb[mes],$A107
)</f>
        <v>0</v>
      </c>
      <c r="AG107" s="108">
        <f ca="1">SUMIFS(
  m.vb[valor],
  m.vb[nucleo],$Z$1,
  m.vb[variavel],AG$7,
  m.vb[mes],$A107
)</f>
        <v>0</v>
      </c>
      <c r="AH107" s="108">
        <f ca="1">SUMIFS(
  m.vb[valor],
  m.vb[nucleo],$Z$1,
  m.vb[variavel],AH$7,
  m.vb[mes],$A107
)</f>
        <v>0</v>
      </c>
      <c r="AI107" s="108">
        <f ca="1">SUMIFS(
  m.vb[valor],
  m.vb[nucleo],$Z$1,
  m.vb[variavel],AI$7,
  m.vb[mes],$A107
)</f>
        <v>0</v>
      </c>
      <c r="AJ107" s="119">
        <f>COUNTIFS(
    tb_estq[empresa], AJ$6,
    tb_estq[Data da venda / reserva], "&gt;=" &amp; $A107,
    tb_estq[Data da venda / reserva], "&lt;"  &amp; EOMONTH($A107,0) + 1
)</f>
        <v>0</v>
      </c>
      <c r="AK107" s="120">
        <f ca="1">SUMIFS(tb_rec_uni[2029-09-01],
INDIRECT("tb_rec_uni[natureza]"),"pro.soluto",
INDIRECT("tb_rec_uni[empresa]"),AK$6)</f>
        <v>0</v>
      </c>
      <c r="AL107" s="120">
        <f ca="1">SUMIFS(tb_rec_uni[2029-09-01],
INDIRECT("tb_rec_uni[natureza]"),"repasse.cef.obra",
INDIRECT("tb_rec_uni[empresa]"),AL$6)</f>
        <v>0</v>
      </c>
      <c r="AM107" s="123">
        <f ca="1">SUMIFS(tb_rec_uni[2029-09-01],
INDIRECT("tb_rec_uni[natureza]"),"repasse.cef.terreno",
INDIRECT("tb_rec_uni[empresa]"),AM$6)</f>
        <v>0</v>
      </c>
      <c r="AN107" s="124"/>
      <c r="AO107" s="120">
        <f ca="1">SUMIFS(tb_rec_uni[2029-09-01],
INDIRECT("tb_rec_uni[natureza]"),"taxa.extra",
INDIRECT("tb_rec_uni[empresa]"),AO$6)</f>
        <v>0</v>
      </c>
      <c r="AP107" s="108"/>
      <c r="AQ107" s="108">
        <f ca="1">SUMIFS(
  m.vb[valor],
  m.vb[nucleo],$AJ$1,
  m.vb[variavel],AQ$7,
  m.vb[mes],$A107
)</f>
        <v>0</v>
      </c>
      <c r="AR107" s="108">
        <f ca="1">SUMIFS(
  m.vb[valor],
  m.vb[nucleo],$AJ$1,
  m.vb[variavel],AR$7,
  m.vb[mes],$A107
)</f>
        <v>0</v>
      </c>
      <c r="AS107" s="108">
        <f ca="1">SUMIFS(
  m.vb[valor],
  m.vb[nucleo],$AJ$1,
  m.vb[variavel],AS$7,
  m.vb[mes],$A107
)</f>
        <v>0</v>
      </c>
      <c r="AT107" s="108">
        <f ca="1">SUMIFS(
  m.vb[valor],
  m.vb[nucleo],$AJ$1,
  m.vb[variavel],AT$7,
  m.vb[mes],$A107
)</f>
        <v>0</v>
      </c>
      <c r="AU107" s="108">
        <f ca="1">SUMIFS(
  m.vb[valor],
  m.vb[nucleo],$AJ$1,
  m.vb[variavel],AU$7,
  m.vb[mes],$A107
)</f>
        <v>0</v>
      </c>
      <c r="AV107" s="119">
        <f>COUNTIFS(
    tb_estq[empresa], AV$6,
    tb_estq[Data da venda / reserva], "&gt;=" &amp; $A107,
    tb_estq[Data da venda / reserva], "&lt;"  &amp; EOMONTH($A107,0) + 1
)</f>
        <v>0</v>
      </c>
      <c r="AW107" s="120">
        <f ca="1">SUMIFS(tb_rec_uni[2029-09-01],
INDIRECT("tb_rec_uni[natureza]"),"pro.soluto",
INDIRECT("tb_rec_uni[empresa]"),AW$6)</f>
        <v>0</v>
      </c>
      <c r="AX107" s="120">
        <f ca="1">SUMIFS(tb_rec_uni[2029-09-01],
INDIRECT("tb_rec_uni[natureza]"),"repasse.cef.obra",
INDIRECT("tb_rec_uni[empresa]"),AX$6)</f>
        <v>0</v>
      </c>
      <c r="AY107" s="123">
        <f ca="1">SUMIFS(tb_rec_uni[2029-09-01],
INDIRECT("tb_rec_uni[natureza]"),"repasse.cef.terreno",
INDIRECT("tb_rec_uni[empresa]"),AY$6)</f>
        <v>0</v>
      </c>
      <c r="AZ107" s="124"/>
      <c r="BA107" s="120">
        <f ca="1">SUMIFS(tb_rec_uni[2029-09-01],
INDIRECT("tb_rec_uni[natureza]"),"taxa.extra",
INDIRECT("tb_rec_uni[empresa]"),BA$6)</f>
        <v>0</v>
      </c>
      <c r="BB107" s="108"/>
      <c r="BC107" s="108">
        <f ca="1">SUMIFS(
  m.vb[valor],
  m.vb[nucleo],$AV$1,
  m.vb[variavel],BC$7,
  m.vb[mes],$A107
)</f>
        <v>0</v>
      </c>
      <c r="BD107" s="108">
        <f ca="1">SUMIFS(
  m.vb[valor],
  m.vb[nucleo],$AV$1,
  m.vb[variavel],BD$7,
  m.vb[mes],$A107
)</f>
        <v>0</v>
      </c>
      <c r="BE107" s="108">
        <f ca="1">SUMIFS(
  m.vb[valor],
  m.vb[nucleo],$AV$1,
  m.vb[variavel],BE$7,
  m.vb[mes],$A107
)</f>
        <v>0</v>
      </c>
      <c r="BF107" s="108">
        <f ca="1">SUMIFS(
  m.vb[valor],
  m.vb[nucleo],$AV$1,
  m.vb[variavel],BF$7,
  m.vb[mes],$A107
)</f>
        <v>0</v>
      </c>
      <c r="BG107" s="108">
        <f ca="1">SUMIFS(
  m.vb[valor],
  m.vb[nucleo],$AV$1,
  m.vb[variavel],BG$7,
  m.vb[mes],$A107
)</f>
        <v>0</v>
      </c>
      <c r="BH107" s="119">
        <f>COUNTIFS(
    tb_estq[empresa], BH$6,
    tb_estq[Data da venda / reserva], "&gt;=" &amp; $A107,
    tb_estq[Data da venda / reserva], "&lt;"  &amp; EOMONTH($A107,0) + 1
)</f>
        <v>0</v>
      </c>
      <c r="BI107" s="120">
        <f ca="1">SUMIFS(tb_rec_uni[2029-09-01],
INDIRECT("tb_rec_uni[natureza]"),"pro.soluto",
INDIRECT("tb_rec_uni[empresa]"),BI$6)</f>
        <v>0</v>
      </c>
      <c r="BJ107" s="124"/>
      <c r="BK107" s="120">
        <f ca="1">SUMIFS(tb_rec_uni[2029-09-01],
INDIRECT("tb_rec_uni[natureza]"),"taxa.extra",
INDIRECT("tb_rec_uni[empresa]"),BK$6)</f>
        <v>0</v>
      </c>
      <c r="BL107" s="108"/>
      <c r="BM107" s="108">
        <f ca="1">SUMIFS(
  m.vb[valor],
  m.vb[nucleo],$BH$1,
  m.vb[variavel],BM$7,
  m.vb[mes],$A107
)</f>
        <v>0</v>
      </c>
      <c r="BN107" s="108">
        <f ca="1">SUMIFS(
  m.vb[valor],
  m.vb[nucleo],$BH$1,
  m.vb[variavel],BN$7,
  m.vb[mes],$A107
)</f>
        <v>0</v>
      </c>
      <c r="BO107" s="108">
        <f ca="1">SUMIFS(
  m.vb[valor],
  m.vb[nucleo],$BH$1,
  m.vb[variavel],BO$7,
  m.vb[mes],$A107
)</f>
        <v>0</v>
      </c>
      <c r="BP107" s="108">
        <f ca="1">SUMIFS(
  m.vb[valor],
  m.vb[nucleo],$BH$1,
  m.vb[variavel],BP$7,
  m.vb[mes],$A107
)</f>
        <v>0</v>
      </c>
      <c r="BQ107" s="108">
        <f ca="1">SUMIFS(
  m.vb[valor],
  m.vb[nucleo],$BH$1,
  m.vb[variavel],BQ$7,
  m.vb[mes],$A107
)</f>
        <v>0</v>
      </c>
      <c r="BR107" s="119">
        <f>COUNTIFS(
    tb_estq[empresa], BR$6,
    tb_estq[Data da venda / reserva], "&gt;=" &amp; $A107,
    tb_estq[Data da venda / reserva], "&lt;"  &amp; EOMONTH($A107,0) + 1
)</f>
        <v>0</v>
      </c>
      <c r="BS107" s="120">
        <f ca="1">SUMIFS(tb_rec_uni[2029-09-01],
INDIRECT("tb_rec_uni[natureza]"),"pro.soluto",
INDIRECT("tb_rec_uni[empresa]"),BS$6)</f>
        <v>0</v>
      </c>
      <c r="BT107" s="124">
        <f ca="1">SUMIFS(tb_rec_uni[2029-09-01],
INDIRECT("tb_rec_uni[natureza]"),"parcela.fin.total.ik",
INDIRECT("tb_rec_uni[empresa]"),BT$6)</f>
        <v>0</v>
      </c>
      <c r="BU107" s="120">
        <f ca="1">SUMIFS(tb_rec_uni[2029-09-01],
INDIRECT("tb_rec_uni[natureza]"),"taxa.extra",
INDIRECT("tb_rec_uni[empresa]"),BU$6)</f>
        <v>0</v>
      </c>
      <c r="BV107" s="108"/>
      <c r="BW107" s="108">
        <f ca="1">SUMIFS(
  m.vb[valor],
  m.vb[nucleo],$BR$1,
  m.vb[variavel],BW$7,
  m.vb[mes],$A107
)</f>
        <v>0</v>
      </c>
      <c r="BX107" s="108">
        <f ca="1">SUMIFS(
  m.vb[valor],
  m.vb[nucleo],$BR$1,
  m.vb[variavel],BX$7,
  m.vb[mes],$A107
)</f>
        <v>0</v>
      </c>
      <c r="BY107" s="108">
        <f ca="1">SUMIFS(
  m.vb[valor],
  m.vb[nucleo],$BR$1,
  m.vb[variavel],BY$7,
  m.vb[mes],$A107
)</f>
        <v>0</v>
      </c>
      <c r="BZ107" s="108">
        <f ca="1">SUMIFS(
  m.vb[valor],
  m.vb[nucleo],$BR$1,
  m.vb[variavel],BZ$7,
  m.vb[mes],$A107
)</f>
        <v>0</v>
      </c>
      <c r="CA107" s="108">
        <f ca="1">SUMIFS(
  m.vb[valor],
  m.vb[nucleo],$BR$1,
  m.vb[variavel],CA$7,
  m.vb[mes],$A107
)</f>
        <v>0</v>
      </c>
      <c r="CB107" s="119">
        <f>COUNTIFS(
    tb_estq[empresa], CB$6,
    tb_estq[Data da venda / reserva], "&gt;=" &amp; $A107,
    tb_estq[Data da venda / reserva], "&lt;"  &amp; EOMONTH($A107,0) + 1
)</f>
        <v>0</v>
      </c>
      <c r="CC107" s="120">
        <f ca="1">SUMIFS(tb_rec_uni[2029-09-01],
INDIRECT("tb_rec_uni[natureza]"),"pro.soluto",
INDIRECT("tb_rec_uni[empresa]"),CC$6)</f>
        <v>0</v>
      </c>
      <c r="CD107" s="120">
        <f ca="1">SUMIFS(tb_rec_uni[2029-09-01],
INDIRECT("tb_rec_uni[natureza]"),"repasse.cef.obra",
INDIRECT("tb_rec_uni[empresa]"),CD$6)</f>
        <v>0</v>
      </c>
      <c r="CE107" s="123">
        <f ca="1">SUMIFS(tb_rec_uni[2029-09-01],
INDIRECT("tb_rec_uni[natureza]"),"repasse.cef.terreno",
INDIRECT("tb_rec_uni[empresa]"),CE$6)</f>
        <v>0</v>
      </c>
      <c r="CF107" s="124"/>
      <c r="CG107" s="120">
        <f ca="1">SUMIFS(tb_rec_uni[2029-09-01],
INDIRECT("tb_rec_uni[natureza]"),"taxa.extra",
INDIRECT("tb_rec_uni[empresa]"),CG$6)</f>
        <v>0</v>
      </c>
      <c r="CH107" s="108"/>
      <c r="CI107" s="108">
        <f ca="1">SUMIFS(
  m.vb[valor],
  m.vb[nucleo],$CB$1,
  m.vb[variavel],CI$7,
  m.vb[mes],$A107
)</f>
        <v>0</v>
      </c>
      <c r="CJ107" s="108">
        <f ca="1">SUMIFS(
  m.vb[valor],
  m.vb[nucleo],$CB$1,
  m.vb[variavel],CJ$7,
  m.vb[mes],$A107
)</f>
        <v>0</v>
      </c>
      <c r="CK107" s="108">
        <f ca="1">SUMIFS(
  m.vb[valor],
  m.vb[nucleo],$CB$1,
  m.vb[variavel],CK$7,
  m.vb[mes],$A107
)</f>
        <v>0</v>
      </c>
      <c r="CL107" s="108">
        <f ca="1">SUMIFS(
  m.vb[valor],
  m.vb[nucleo],$CB$1,
  m.vb[variavel],CL$7,
  m.vb[mes],$A107
)</f>
        <v>0</v>
      </c>
      <c r="CM107" s="108">
        <f ca="1">SUMIFS(
  m.vb[valor],
  m.vb[nucleo],$CB$1,
  m.vb[variavel],CM$7,
  m.vb[mes],$A107
)</f>
        <v>0</v>
      </c>
      <c r="CN107" s="119">
        <f>COUNTIFS(
    tb_estq[empresa], CN$6,
    tb_estq[Data da venda / reserva], "&gt;=" &amp; $A107,
    tb_estq[Data da venda / reserva], "&lt;"  &amp; EOMONTH($A107,0) + 1
)</f>
        <v>0</v>
      </c>
      <c r="CO107" s="120">
        <f ca="1">SUMIFS(tb_rec_uni[2029-09-01],
INDIRECT("tb_rec_uni[natureza]"),"pro.soluto",
INDIRECT("tb_rec_uni[empresa]"),CO$6)</f>
        <v>0</v>
      </c>
      <c r="CP107" s="120">
        <f ca="1">SUMIFS(tb_rec_uni[2029-09-01],
INDIRECT("tb_rec_uni[natureza]"),"repasse.cef.obra",
INDIRECT("tb_rec_uni[empresa]"),CP$6)</f>
        <v>0</v>
      </c>
      <c r="CQ107" s="123">
        <f ca="1">SUMIFS(tb_rec_uni[2029-09-01],
INDIRECT("tb_rec_uni[natureza]"),"repasse.cef.terreno",
INDIRECT("tb_rec_uni[empresa]"),CQ$6)</f>
        <v>0</v>
      </c>
      <c r="CR107" s="124"/>
      <c r="CS107" s="120">
        <f ca="1">SUMIFS(tb_rec_uni[2029-09-01],
INDIRECT("tb_rec_uni[natureza]"),"taxa.extra",
INDIRECT("tb_rec_uni[empresa]"),CS$6)</f>
        <v>0</v>
      </c>
      <c r="CT107" s="108"/>
      <c r="CU107" s="108">
        <f ca="1">SUMIFS(
  m.vb[valor],
  m.vb[nucleo],$CN$1,
  m.vb[variavel],CU$7,
  m.vb[mes],$A107
)</f>
        <v>0</v>
      </c>
      <c r="CV107" s="108" cm="1">
        <f t="array" ref="CV107">SUMPRODUCT(
  IFERROR(--tb_desp[valor],0)*
  (tb_desp[nucleo]="UP MOVE VILA SONIA")*
  (tb_desp[categoria]=CV$7)*
  (tb_desp[data.pagamento]&gt;=$A107)*
  (tb_desp[data.pagamento]&lt;EOMONTH($A107,0)+1)
)</f>
        <v>0</v>
      </c>
      <c r="CW107" s="108" cm="1">
        <f t="array" ref="CW107">SUMPRODUCT(
  IFERROR(--tb_desp[valor],0)*
  (tb_desp[nucleo]="UP MOVE VILA SONIA")*
  (tb_desp[categoria]=CW$7)*
  (tb_desp[data.pagamento]&gt;=$A107)*
  (tb_desp[data.pagamento]&lt;EOMONTH($A107,0)+1)
)</f>
        <v>0</v>
      </c>
      <c r="CX107" s="108" cm="1">
        <f t="array" ref="CX107">SUMPRODUCT(
  IFERROR(--tb_desp[valor],0)*
  (tb_desp[nucleo]="UP MOVE VILA SONIA")*
  (tb_desp[categoria]=CX$7)*
  (tb_desp[data.pagamento]&gt;=$A107)*
  (tb_desp[data.pagamento]&lt;EOMONTH($A107,0)+1)
)</f>
        <v>0</v>
      </c>
      <c r="CY107" s="221" cm="1">
        <f t="array" ref="CY107">SUMPRODUCT(
  IFERROR(--tb_desp[valor],0)*
  (tb_desp[nucleo]="UP MOVE VILA SONIA")*
  (tb_desp[categoria]=CY$7)*
  (tb_desp[data.pagamento]&gt;=$A107)*
  (tb_desp[data.pagamento]&lt;EOMONTH($A107,0)+1)
)</f>
        <v>0</v>
      </c>
    </row>
    <row r="108" spans="1:103" x14ac:dyDescent="0.25">
      <c r="A108" s="118">
        <v>47392</v>
      </c>
      <c r="B108" s="119">
        <f>COUNTIFS(
    tb_estq[empresa], B$6,
    tb_estq[Data da venda / reserva], "&gt;=" &amp; $A108,
    tb_estq[Data da venda / reserva], "&lt;"  &amp; EOMONTH($A108,0) + 1
)</f>
        <v>0</v>
      </c>
      <c r="C108" s="120">
        <f ca="1">SUMIFS(tb_rec_uni[2029-10-01],
INDIRECT("tb_rec_uni[natureza]"),"pro.soluto",
INDIRECT("tb_rec_uni[empresa]"),C$6)</f>
        <v>0</v>
      </c>
      <c r="D108" s="120">
        <f ca="1">SUMIFS(tb_rec_uni[2029-10-01],
INDIRECT("tb_rec_uni[natureza]"),"repasse.cef.obra",
INDIRECT("tb_rec_uni[empresa]"),D$6)</f>
        <v>0</v>
      </c>
      <c r="E108" s="120">
        <f ca="1">SUMIFS(tb_rec_uni[2029-10-01],
INDIRECT("tb_rec_uni[natureza]"),"repasse.cef.terreno",
INDIRECT("tb_rec_uni[empresa]"),E$6)</f>
        <v>0</v>
      </c>
      <c r="F108" s="124"/>
      <c r="G108" s="120">
        <f ca="1">SUMIFS(tb_rec_uni[2029-10-01],
INDIRECT("tb_rec_uni[natureza]"),"taxa.extra",
INDIRECT("tb_rec_uni[empresa]"),G$6)</f>
        <v>0</v>
      </c>
      <c r="H108" s="108"/>
      <c r="I108" s="108">
        <f ca="1">SUMIFS(
  m.vb[valor],
  m.vb[nucleo],$B$1,
  m.vb[variavel],I$7,
  m.vb[mes],$A108
)</f>
        <v>0</v>
      </c>
      <c r="J108" s="108">
        <f ca="1">SUMIFS(
  m.vb[valor],
  m.vb[nucleo],$B$1,
  m.vb[variavel],J$7,
  m.vb[mes],$A108
)</f>
        <v>0</v>
      </c>
      <c r="K108" s="108">
        <f ca="1">SUMIFS(
  m.vb[valor],
  m.vb[nucleo],$B$1,
  m.vb[variavel],K$7,
  m.vb[mes],$A108
)</f>
        <v>0</v>
      </c>
      <c r="L108" s="108">
        <f ca="1">SUMIFS(
  m.vb[valor],
  m.vb[nucleo],$B$1,
  m.vb[variavel],L$7,
  m.vb[mes],$A108
)</f>
        <v>0</v>
      </c>
      <c r="M108" s="108">
        <f ca="1">SUMIFS(
  m.vb[valor],
  m.vb[nucleo],$B$1,
  m.vb[variavel],M$7,
  m.vb[mes],$A108
)</f>
        <v>0</v>
      </c>
      <c r="N108" s="119">
        <f>COUNTIFS(
    tb_estq[empresa], N$6,
    tb_estq[Data da venda / reserva], "&gt;=" &amp; $A108,
    tb_estq[Data da venda / reserva], "&lt;"  &amp; EOMONTH($A108,0) + 1
)</f>
        <v>0</v>
      </c>
      <c r="O108" s="120">
        <f ca="1">SUMIFS(tb_rec_uni[2029-10-01],
INDIRECT("tb_rec_uni[natureza]"),"pro.soluto",
INDIRECT("tb_rec_uni[empresa]"),O$6)</f>
        <v>0</v>
      </c>
      <c r="P108" s="120">
        <f ca="1">SUMIFS(tb_rec_uni[2029-10-01],
INDIRECT("tb_rec_uni[natureza]"),"repasse.cef.obra",
INDIRECT("tb_rec_uni[empresa]"),P$6)</f>
        <v>0</v>
      </c>
      <c r="Q108" s="120">
        <f ca="1">SUMIFS(tb_rec_uni[2029-10-01],
INDIRECT("tb_rec_uni[natureza]"),"repasse.cef.terreno",
INDIRECT("tb_rec_uni[empresa]"),Q$6)</f>
        <v>0</v>
      </c>
      <c r="R108" s="124"/>
      <c r="S108" s="120">
        <f ca="1">SUMIFS(tb_rec_uni[2029-10-01],
INDIRECT("tb_rec_uni[natureza]"),"taxa.extra",
INDIRECT("tb_rec_uni[empresa]"),S$6)</f>
        <v>0</v>
      </c>
      <c r="T108" s="108"/>
      <c r="U108" s="108">
        <f ca="1">SUMIFS(
  m.vb[valor],
  m.vb[nucleo],$N$1,
  m.vb[variavel],U$7,
  m.vb[mes],$A108
)</f>
        <v>0</v>
      </c>
      <c r="V108" s="108">
        <f ca="1">SUMIFS(
  m.vb[valor],
  m.vb[nucleo],$N$1,
  m.vb[variavel],V$7,
  m.vb[mes],$A108
)</f>
        <v>0</v>
      </c>
      <c r="W108" s="108">
        <f ca="1">SUMIFS(
  m.vb[valor],
  m.vb[nucleo],$N$1,
  m.vb[variavel],W$7,
  m.vb[mes],$A108
)</f>
        <v>0</v>
      </c>
      <c r="X108" s="108">
        <f ca="1">SUMIFS(
  m.vb[valor],
  m.vb[nucleo],$N$1,
  m.vb[variavel],X$7,
  m.vb[mes],$A108
)</f>
        <v>0</v>
      </c>
      <c r="Y108" s="108">
        <f ca="1">SUMIFS(
  m.vb[valor],
  m.vb[nucleo],$N$1,
  m.vb[variavel],Y$7,
  m.vb[mes],$A108
)</f>
        <v>0</v>
      </c>
      <c r="Z108" s="119">
        <f>COUNTIFS(
    tb_estq[empresa], Z$6,
    tb_estq[Data da venda / reserva], "&gt;=" &amp; $A108,
    tb_estq[Data da venda / reserva], "&lt;"  &amp; EOMONTH($A108,0) + 1
)</f>
        <v>0</v>
      </c>
      <c r="AA108" s="120">
        <f ca="1">SUMIFS(tb_rec_uni[2029-10-01],
INDIRECT("tb_rec_uni[natureza]"),"pro.soluto",
INDIRECT("tb_rec_uni[empresa]"),AA$6)</f>
        <v>0</v>
      </c>
      <c r="AB108" s="124">
        <f ca="1">SUMIFS(tb_rec_uni[2029-10-01],
INDIRECT("tb_rec_uni[natureza]"),"parcela.fin.total.ik",
INDIRECT("tb_rec_uni[empresa]"),AB$6)</f>
        <v>0</v>
      </c>
      <c r="AC108" s="120">
        <f ca="1">SUMIFS(tb_rec_uni[2029-10-01],
INDIRECT("tb_rec_uni[natureza]"),"taxa.extra",
INDIRECT("tb_rec_uni[empresa]"),AC$6)</f>
        <v>0</v>
      </c>
      <c r="AD108" s="108"/>
      <c r="AE108" s="108">
        <f ca="1">SUMIFS(
  m.vb[valor],
  m.vb[nucleo],$Z$1,
  m.vb[variavel],AE$7,
  m.vb[mes],$A108
)</f>
        <v>0</v>
      </c>
      <c r="AF108" s="108">
        <f ca="1">SUMIFS(
  m.vb[valor],
  m.vb[nucleo],$Z$1,
  m.vb[variavel],AF$7,
  m.vb[mes],$A108
)</f>
        <v>0</v>
      </c>
      <c r="AG108" s="108">
        <f ca="1">SUMIFS(
  m.vb[valor],
  m.vb[nucleo],$Z$1,
  m.vb[variavel],AG$7,
  m.vb[mes],$A108
)</f>
        <v>0</v>
      </c>
      <c r="AH108" s="108">
        <f ca="1">SUMIFS(
  m.vb[valor],
  m.vb[nucleo],$Z$1,
  m.vb[variavel],AH$7,
  m.vb[mes],$A108
)</f>
        <v>0</v>
      </c>
      <c r="AI108" s="108">
        <f ca="1">SUMIFS(
  m.vb[valor],
  m.vb[nucleo],$Z$1,
  m.vb[variavel],AI$7,
  m.vb[mes],$A108
)</f>
        <v>0</v>
      </c>
      <c r="AJ108" s="119">
        <f>COUNTIFS(
    tb_estq[empresa], AJ$6,
    tb_estq[Data da venda / reserva], "&gt;=" &amp; $A108,
    tb_estq[Data da venda / reserva], "&lt;"  &amp; EOMONTH($A108,0) + 1
)</f>
        <v>0</v>
      </c>
      <c r="AK108" s="120">
        <f ca="1">SUMIFS(tb_rec_uni[2029-10-01],
INDIRECT("tb_rec_uni[natureza]"),"pro.soluto",
INDIRECT("tb_rec_uni[empresa]"),AK$6)</f>
        <v>0</v>
      </c>
      <c r="AL108" s="120">
        <f ca="1">SUMIFS(tb_rec_uni[2029-10-01],
INDIRECT("tb_rec_uni[natureza]"),"repasse.cef.obra",
INDIRECT("tb_rec_uni[empresa]"),AL$6)</f>
        <v>0</v>
      </c>
      <c r="AM108" s="123">
        <f ca="1">SUMIFS(tb_rec_uni[2029-10-01],
INDIRECT("tb_rec_uni[natureza]"),"repasse.cef.terreno",
INDIRECT("tb_rec_uni[empresa]"),AM$6)</f>
        <v>0</v>
      </c>
      <c r="AN108" s="124"/>
      <c r="AO108" s="120">
        <f ca="1">SUMIFS(tb_rec_uni[2029-10-01],
INDIRECT("tb_rec_uni[natureza]"),"taxa.extra",
INDIRECT("tb_rec_uni[empresa]"),AO$6)</f>
        <v>0</v>
      </c>
      <c r="AP108" s="108"/>
      <c r="AQ108" s="108">
        <f ca="1">SUMIFS(
  m.vb[valor],
  m.vb[nucleo],$AJ$1,
  m.vb[variavel],AQ$7,
  m.vb[mes],$A108
)</f>
        <v>0</v>
      </c>
      <c r="AR108" s="108">
        <f ca="1">SUMIFS(
  m.vb[valor],
  m.vb[nucleo],$AJ$1,
  m.vb[variavel],AR$7,
  m.vb[mes],$A108
)</f>
        <v>0</v>
      </c>
      <c r="AS108" s="108">
        <f ca="1">SUMIFS(
  m.vb[valor],
  m.vb[nucleo],$AJ$1,
  m.vb[variavel],AS$7,
  m.vb[mes],$A108
)</f>
        <v>0</v>
      </c>
      <c r="AT108" s="108">
        <f ca="1">SUMIFS(
  m.vb[valor],
  m.vb[nucleo],$AJ$1,
  m.vb[variavel],AT$7,
  m.vb[mes],$A108
)</f>
        <v>0</v>
      </c>
      <c r="AU108" s="108">
        <f ca="1">SUMIFS(
  m.vb[valor],
  m.vb[nucleo],$AJ$1,
  m.vb[variavel],AU$7,
  m.vb[mes],$A108
)</f>
        <v>0</v>
      </c>
      <c r="AV108" s="119">
        <f>COUNTIFS(
    tb_estq[empresa], AV$6,
    tb_estq[Data da venda / reserva], "&gt;=" &amp; $A108,
    tb_estq[Data da venda / reserva], "&lt;"  &amp; EOMONTH($A108,0) + 1
)</f>
        <v>0</v>
      </c>
      <c r="AW108" s="120">
        <f ca="1">SUMIFS(tb_rec_uni[2029-10-01],
INDIRECT("tb_rec_uni[natureza]"),"pro.soluto",
INDIRECT("tb_rec_uni[empresa]"),AW$6)</f>
        <v>0</v>
      </c>
      <c r="AX108" s="120">
        <f ca="1">SUMIFS(tb_rec_uni[2029-10-01],
INDIRECT("tb_rec_uni[natureza]"),"repasse.cef.obra",
INDIRECT("tb_rec_uni[empresa]"),AX$6)</f>
        <v>0</v>
      </c>
      <c r="AY108" s="123">
        <f ca="1">SUMIFS(tb_rec_uni[2029-10-01],
INDIRECT("tb_rec_uni[natureza]"),"repasse.cef.terreno",
INDIRECT("tb_rec_uni[empresa]"),AY$6)</f>
        <v>0</v>
      </c>
      <c r="AZ108" s="124"/>
      <c r="BA108" s="120">
        <f ca="1">SUMIFS(tb_rec_uni[2029-10-01],
INDIRECT("tb_rec_uni[natureza]"),"taxa.extra",
INDIRECT("tb_rec_uni[empresa]"),BA$6)</f>
        <v>0</v>
      </c>
      <c r="BB108" s="108"/>
      <c r="BC108" s="108">
        <f ca="1">SUMIFS(
  m.vb[valor],
  m.vb[nucleo],$AV$1,
  m.vb[variavel],BC$7,
  m.vb[mes],$A108
)</f>
        <v>0</v>
      </c>
      <c r="BD108" s="108">
        <f ca="1">SUMIFS(
  m.vb[valor],
  m.vb[nucleo],$AV$1,
  m.vb[variavel],BD$7,
  m.vb[mes],$A108
)</f>
        <v>0</v>
      </c>
      <c r="BE108" s="108">
        <f ca="1">SUMIFS(
  m.vb[valor],
  m.vb[nucleo],$AV$1,
  m.vb[variavel],BE$7,
  m.vb[mes],$A108
)</f>
        <v>0</v>
      </c>
      <c r="BF108" s="108">
        <f ca="1">SUMIFS(
  m.vb[valor],
  m.vb[nucleo],$AV$1,
  m.vb[variavel],BF$7,
  m.vb[mes],$A108
)</f>
        <v>0</v>
      </c>
      <c r="BG108" s="108">
        <f ca="1">SUMIFS(
  m.vb[valor],
  m.vb[nucleo],$AV$1,
  m.vb[variavel],BG$7,
  m.vb[mes],$A108
)</f>
        <v>0</v>
      </c>
      <c r="BH108" s="119">
        <f>COUNTIFS(
    tb_estq[empresa], BH$6,
    tb_estq[Data da venda / reserva], "&gt;=" &amp; $A108,
    tb_estq[Data da venda / reserva], "&lt;"  &amp; EOMONTH($A108,0) + 1
)</f>
        <v>0</v>
      </c>
      <c r="BI108" s="120">
        <f ca="1">SUMIFS(tb_rec_uni[2029-10-01],
INDIRECT("tb_rec_uni[natureza]"),"pro.soluto",
INDIRECT("tb_rec_uni[empresa]"),BI$6)</f>
        <v>0</v>
      </c>
      <c r="BJ108" s="124"/>
      <c r="BK108" s="120">
        <f ca="1">SUMIFS(tb_rec_uni[2029-10-01],
INDIRECT("tb_rec_uni[natureza]"),"taxa.extra",
INDIRECT("tb_rec_uni[empresa]"),BK$6)</f>
        <v>0</v>
      </c>
      <c r="BL108" s="108"/>
      <c r="BM108" s="108">
        <f ca="1">SUMIFS(
  m.vb[valor],
  m.vb[nucleo],$BH$1,
  m.vb[variavel],BM$7,
  m.vb[mes],$A108
)</f>
        <v>0</v>
      </c>
      <c r="BN108" s="108">
        <f ca="1">SUMIFS(
  m.vb[valor],
  m.vb[nucleo],$BH$1,
  m.vb[variavel],BN$7,
  m.vb[mes],$A108
)</f>
        <v>0</v>
      </c>
      <c r="BO108" s="108">
        <f ca="1">SUMIFS(
  m.vb[valor],
  m.vb[nucleo],$BH$1,
  m.vb[variavel],BO$7,
  m.vb[mes],$A108
)</f>
        <v>0</v>
      </c>
      <c r="BP108" s="108">
        <f ca="1">SUMIFS(
  m.vb[valor],
  m.vb[nucleo],$BH$1,
  m.vb[variavel],BP$7,
  m.vb[mes],$A108
)</f>
        <v>0</v>
      </c>
      <c r="BQ108" s="108">
        <f ca="1">SUMIFS(
  m.vb[valor],
  m.vb[nucleo],$BH$1,
  m.vb[variavel],BQ$7,
  m.vb[mes],$A108
)</f>
        <v>0</v>
      </c>
      <c r="BR108" s="119">
        <f>COUNTIFS(
    tb_estq[empresa], BR$6,
    tb_estq[Data da venda / reserva], "&gt;=" &amp; $A108,
    tb_estq[Data da venda / reserva], "&lt;"  &amp; EOMONTH($A108,0) + 1
)</f>
        <v>0</v>
      </c>
      <c r="BS108" s="120">
        <f ca="1">SUMIFS(tb_rec_uni[2029-10-01],
INDIRECT("tb_rec_uni[natureza]"),"pro.soluto",
INDIRECT("tb_rec_uni[empresa]"),BS$6)</f>
        <v>0</v>
      </c>
      <c r="BT108" s="124">
        <f ca="1">SUMIFS(tb_rec_uni[2029-10-01],
INDIRECT("tb_rec_uni[natureza]"),"parcela.fin.total.ik",
INDIRECT("tb_rec_uni[empresa]"),BT$6)</f>
        <v>0</v>
      </c>
      <c r="BU108" s="120">
        <f ca="1">SUMIFS(tb_rec_uni[2029-10-01],
INDIRECT("tb_rec_uni[natureza]"),"taxa.extra",
INDIRECT("tb_rec_uni[empresa]"),BU$6)</f>
        <v>0</v>
      </c>
      <c r="BV108" s="108"/>
      <c r="BW108" s="108">
        <f ca="1">SUMIFS(
  m.vb[valor],
  m.vb[nucleo],$BR$1,
  m.vb[variavel],BW$7,
  m.vb[mes],$A108
)</f>
        <v>0</v>
      </c>
      <c r="BX108" s="108">
        <f ca="1">SUMIFS(
  m.vb[valor],
  m.vb[nucleo],$BR$1,
  m.vb[variavel],BX$7,
  m.vb[mes],$A108
)</f>
        <v>0</v>
      </c>
      <c r="BY108" s="108">
        <f ca="1">SUMIFS(
  m.vb[valor],
  m.vb[nucleo],$BR$1,
  m.vb[variavel],BY$7,
  m.vb[mes],$A108
)</f>
        <v>0</v>
      </c>
      <c r="BZ108" s="108">
        <f ca="1">SUMIFS(
  m.vb[valor],
  m.vb[nucleo],$BR$1,
  m.vb[variavel],BZ$7,
  m.vb[mes],$A108
)</f>
        <v>0</v>
      </c>
      <c r="CA108" s="108">
        <f ca="1">SUMIFS(
  m.vb[valor],
  m.vb[nucleo],$BR$1,
  m.vb[variavel],CA$7,
  m.vb[mes],$A108
)</f>
        <v>0</v>
      </c>
      <c r="CB108" s="119">
        <f>COUNTIFS(
    tb_estq[empresa], CB$6,
    tb_estq[Data da venda / reserva], "&gt;=" &amp; $A108,
    tb_estq[Data da venda / reserva], "&lt;"  &amp; EOMONTH($A108,0) + 1
)</f>
        <v>0</v>
      </c>
      <c r="CC108" s="120">
        <f ca="1">SUMIFS(tb_rec_uni[2029-10-01],
INDIRECT("tb_rec_uni[natureza]"),"pro.soluto",
INDIRECT("tb_rec_uni[empresa]"),CC$6)</f>
        <v>0</v>
      </c>
      <c r="CD108" s="120">
        <f ca="1">SUMIFS(tb_rec_uni[2029-10-01],
INDIRECT("tb_rec_uni[natureza]"),"repasse.cef.obra",
INDIRECT("tb_rec_uni[empresa]"),CD$6)</f>
        <v>0</v>
      </c>
      <c r="CE108" s="123">
        <f ca="1">SUMIFS(tb_rec_uni[2029-10-01],
INDIRECT("tb_rec_uni[natureza]"),"repasse.cef.terreno",
INDIRECT("tb_rec_uni[empresa]"),CE$6)</f>
        <v>0</v>
      </c>
      <c r="CF108" s="124"/>
      <c r="CG108" s="120">
        <f ca="1">SUMIFS(tb_rec_uni[2029-10-01],
INDIRECT("tb_rec_uni[natureza]"),"taxa.extra",
INDIRECT("tb_rec_uni[empresa]"),CG$6)</f>
        <v>0</v>
      </c>
      <c r="CH108" s="108"/>
      <c r="CI108" s="108">
        <f ca="1">SUMIFS(
  m.vb[valor],
  m.vb[nucleo],$CB$1,
  m.vb[variavel],CI$7,
  m.vb[mes],$A108
)</f>
        <v>0</v>
      </c>
      <c r="CJ108" s="108">
        <f ca="1">SUMIFS(
  m.vb[valor],
  m.vb[nucleo],$CB$1,
  m.vb[variavel],CJ$7,
  m.vb[mes],$A108
)</f>
        <v>0</v>
      </c>
      <c r="CK108" s="108">
        <f ca="1">SUMIFS(
  m.vb[valor],
  m.vb[nucleo],$CB$1,
  m.vb[variavel],CK$7,
  m.vb[mes],$A108
)</f>
        <v>0</v>
      </c>
      <c r="CL108" s="108">
        <f ca="1">SUMIFS(
  m.vb[valor],
  m.vb[nucleo],$CB$1,
  m.vb[variavel],CL$7,
  m.vb[mes],$A108
)</f>
        <v>0</v>
      </c>
      <c r="CM108" s="108">
        <f ca="1">SUMIFS(
  m.vb[valor],
  m.vb[nucleo],$CB$1,
  m.vb[variavel],CM$7,
  m.vb[mes],$A108
)</f>
        <v>0</v>
      </c>
      <c r="CN108" s="119">
        <f>COUNTIFS(
    tb_estq[empresa], CN$6,
    tb_estq[Data da venda / reserva], "&gt;=" &amp; $A108,
    tb_estq[Data da venda / reserva], "&lt;"  &amp; EOMONTH($A108,0) + 1
)</f>
        <v>0</v>
      </c>
      <c r="CO108" s="120">
        <f ca="1">SUMIFS(tb_rec_uni[2029-10-01],
INDIRECT("tb_rec_uni[natureza]"),"pro.soluto",
INDIRECT("tb_rec_uni[empresa]"),CO$6)</f>
        <v>0</v>
      </c>
      <c r="CP108" s="120">
        <f ca="1">SUMIFS(tb_rec_uni[2029-10-01],
INDIRECT("tb_rec_uni[natureza]"),"repasse.cef.obra",
INDIRECT("tb_rec_uni[empresa]"),CP$6)</f>
        <v>0</v>
      </c>
      <c r="CQ108" s="123">
        <f ca="1">SUMIFS(tb_rec_uni[2029-10-01],
INDIRECT("tb_rec_uni[natureza]"),"repasse.cef.terreno",
INDIRECT("tb_rec_uni[empresa]"),CQ$6)</f>
        <v>0</v>
      </c>
      <c r="CR108" s="124"/>
      <c r="CS108" s="120">
        <f ca="1">SUMIFS(tb_rec_uni[2029-10-01],
INDIRECT("tb_rec_uni[natureza]"),"taxa.extra",
INDIRECT("tb_rec_uni[empresa]"),CS$6)</f>
        <v>0</v>
      </c>
      <c r="CT108" s="108"/>
      <c r="CU108" s="108">
        <f ca="1">SUMIFS(
  m.vb[valor],
  m.vb[nucleo],$CN$1,
  m.vb[variavel],CU$7,
  m.vb[mes],$A108
)</f>
        <v>0</v>
      </c>
      <c r="CV108" s="108" cm="1">
        <f t="array" ref="CV108">SUMPRODUCT(
  IFERROR(--tb_desp[valor],0)*
  (tb_desp[nucleo]="UP MOVE VILA SONIA")*
  (tb_desp[categoria]=CV$7)*
  (tb_desp[data.pagamento]&gt;=$A108)*
  (tb_desp[data.pagamento]&lt;EOMONTH($A108,0)+1)
)</f>
        <v>0</v>
      </c>
      <c r="CW108" s="108" cm="1">
        <f t="array" ref="CW108">SUMPRODUCT(
  IFERROR(--tb_desp[valor],0)*
  (tb_desp[nucleo]="UP MOVE VILA SONIA")*
  (tb_desp[categoria]=CW$7)*
  (tb_desp[data.pagamento]&gt;=$A108)*
  (tb_desp[data.pagamento]&lt;EOMONTH($A108,0)+1)
)</f>
        <v>0</v>
      </c>
      <c r="CX108" s="108" cm="1">
        <f t="array" ref="CX108">SUMPRODUCT(
  IFERROR(--tb_desp[valor],0)*
  (tb_desp[nucleo]="UP MOVE VILA SONIA")*
  (tb_desp[categoria]=CX$7)*
  (tb_desp[data.pagamento]&gt;=$A108)*
  (tb_desp[data.pagamento]&lt;EOMONTH($A108,0)+1)
)</f>
        <v>0</v>
      </c>
      <c r="CY108" s="221" cm="1">
        <f t="array" ref="CY108">SUMPRODUCT(
  IFERROR(--tb_desp[valor],0)*
  (tb_desp[nucleo]="UP MOVE VILA SONIA")*
  (tb_desp[categoria]=CY$7)*
  (tb_desp[data.pagamento]&gt;=$A108)*
  (tb_desp[data.pagamento]&lt;EOMONTH($A108,0)+1)
)</f>
        <v>0</v>
      </c>
    </row>
    <row r="109" spans="1:103" x14ac:dyDescent="0.25">
      <c r="A109" s="118">
        <v>47423</v>
      </c>
      <c r="B109" s="119">
        <f>COUNTIFS(
    tb_estq[empresa], B$6,
    tb_estq[Data da venda / reserva], "&gt;=" &amp; $A109,
    tb_estq[Data da venda / reserva], "&lt;"  &amp; EOMONTH($A109,0) + 1
)</f>
        <v>0</v>
      </c>
      <c r="C109" s="120">
        <f ca="1">SUMIFS(tb_rec_uni[2029-11-01],
INDIRECT("tb_rec_uni[natureza]"),"pro.soluto",
INDIRECT("tb_rec_uni[empresa]"),C$6)</f>
        <v>0</v>
      </c>
      <c r="D109" s="120">
        <f ca="1">SUMIFS(tb_rec_uni[2029-11-01],
INDIRECT("tb_rec_uni[natureza]"),"repasse.cef.obra",
INDIRECT("tb_rec_uni[empresa]"),D$6)</f>
        <v>0</v>
      </c>
      <c r="E109" s="120">
        <f ca="1">SUMIFS(tb_rec_uni[2029-11-01],
INDIRECT("tb_rec_uni[natureza]"),"repasse.cef.terreno",
INDIRECT("tb_rec_uni[empresa]"),E$6)</f>
        <v>0</v>
      </c>
      <c r="F109" s="124"/>
      <c r="G109" s="120">
        <f ca="1">SUMIFS(tb_rec_uni[2029-11-01],
INDIRECT("tb_rec_uni[natureza]"),"taxa.extra",
INDIRECT("tb_rec_uni[empresa]"),G$6)</f>
        <v>0</v>
      </c>
      <c r="H109" s="108"/>
      <c r="I109" s="108">
        <f ca="1">SUMIFS(
  m.vb[valor],
  m.vb[nucleo],$B$1,
  m.vb[variavel],I$7,
  m.vb[mes],$A109
)</f>
        <v>0</v>
      </c>
      <c r="J109" s="108">
        <f ca="1">SUMIFS(
  m.vb[valor],
  m.vb[nucleo],$B$1,
  m.vb[variavel],J$7,
  m.vb[mes],$A109
)</f>
        <v>0</v>
      </c>
      <c r="K109" s="108">
        <f ca="1">SUMIFS(
  m.vb[valor],
  m.vb[nucleo],$B$1,
  m.vb[variavel],K$7,
  m.vb[mes],$A109
)</f>
        <v>0</v>
      </c>
      <c r="L109" s="108">
        <f ca="1">SUMIFS(
  m.vb[valor],
  m.vb[nucleo],$B$1,
  m.vb[variavel],L$7,
  m.vb[mes],$A109
)</f>
        <v>0</v>
      </c>
      <c r="M109" s="108">
        <f ca="1">SUMIFS(
  m.vb[valor],
  m.vb[nucleo],$B$1,
  m.vb[variavel],M$7,
  m.vb[mes],$A109
)</f>
        <v>0</v>
      </c>
      <c r="N109" s="119">
        <f>COUNTIFS(
    tb_estq[empresa], N$6,
    tb_estq[Data da venda / reserva], "&gt;=" &amp; $A109,
    tb_estq[Data da venda / reserva], "&lt;"  &amp; EOMONTH($A109,0) + 1
)</f>
        <v>0</v>
      </c>
      <c r="O109" s="120">
        <f ca="1">SUMIFS(tb_rec_uni[2029-11-01],
INDIRECT("tb_rec_uni[natureza]"),"pro.soluto",
INDIRECT("tb_rec_uni[empresa]"),O$6)</f>
        <v>0</v>
      </c>
      <c r="P109" s="120">
        <f ca="1">SUMIFS(tb_rec_uni[2029-11-01],
INDIRECT("tb_rec_uni[natureza]"),"repasse.cef.obra",
INDIRECT("tb_rec_uni[empresa]"),P$6)</f>
        <v>0</v>
      </c>
      <c r="Q109" s="120">
        <f ca="1">SUMIFS(tb_rec_uni[2029-11-01],
INDIRECT("tb_rec_uni[natureza]"),"repasse.cef.terreno",
INDIRECT("tb_rec_uni[empresa]"),Q$6)</f>
        <v>0</v>
      </c>
      <c r="R109" s="124"/>
      <c r="S109" s="120">
        <f ca="1">SUMIFS(tb_rec_uni[2029-11-01],
INDIRECT("tb_rec_uni[natureza]"),"taxa.extra",
INDIRECT("tb_rec_uni[empresa]"),S$6)</f>
        <v>0</v>
      </c>
      <c r="T109" s="108"/>
      <c r="U109" s="108">
        <f ca="1">SUMIFS(
  m.vb[valor],
  m.vb[nucleo],$N$1,
  m.vb[variavel],U$7,
  m.vb[mes],$A109
)</f>
        <v>0</v>
      </c>
      <c r="V109" s="108">
        <f ca="1">SUMIFS(
  m.vb[valor],
  m.vb[nucleo],$N$1,
  m.vb[variavel],V$7,
  m.vb[mes],$A109
)</f>
        <v>0</v>
      </c>
      <c r="W109" s="108">
        <f ca="1">SUMIFS(
  m.vb[valor],
  m.vb[nucleo],$N$1,
  m.vb[variavel],W$7,
  m.vb[mes],$A109
)</f>
        <v>0</v>
      </c>
      <c r="X109" s="108">
        <f ca="1">SUMIFS(
  m.vb[valor],
  m.vb[nucleo],$N$1,
  m.vb[variavel],X$7,
  m.vb[mes],$A109
)</f>
        <v>0</v>
      </c>
      <c r="Y109" s="108">
        <f ca="1">SUMIFS(
  m.vb[valor],
  m.vb[nucleo],$N$1,
  m.vb[variavel],Y$7,
  m.vb[mes],$A109
)</f>
        <v>0</v>
      </c>
      <c r="Z109" s="119">
        <f>COUNTIFS(
    tb_estq[empresa], Z$6,
    tb_estq[Data da venda / reserva], "&gt;=" &amp; $A109,
    tb_estq[Data da venda / reserva], "&lt;"  &amp; EOMONTH($A109,0) + 1
)</f>
        <v>0</v>
      </c>
      <c r="AA109" s="120">
        <f ca="1">SUMIFS(tb_rec_uni[2029-11-01],
INDIRECT("tb_rec_uni[natureza]"),"pro.soluto",
INDIRECT("tb_rec_uni[empresa]"),AA$6)</f>
        <v>0</v>
      </c>
      <c r="AB109" s="124">
        <f ca="1">SUMIFS(tb_rec_uni[2029-11-01],
INDIRECT("tb_rec_uni[natureza]"),"parcela.fin.total.ik",
INDIRECT("tb_rec_uni[empresa]"),AB$6)</f>
        <v>0</v>
      </c>
      <c r="AC109" s="120">
        <f ca="1">SUMIFS(tb_rec_uni[2029-11-01],
INDIRECT("tb_rec_uni[natureza]"),"taxa.extra",
INDIRECT("tb_rec_uni[empresa]"),AC$6)</f>
        <v>0</v>
      </c>
      <c r="AD109" s="108"/>
      <c r="AE109" s="108">
        <f ca="1">SUMIFS(
  m.vb[valor],
  m.vb[nucleo],$Z$1,
  m.vb[variavel],AE$7,
  m.vb[mes],$A109
)</f>
        <v>0</v>
      </c>
      <c r="AF109" s="108">
        <f ca="1">SUMIFS(
  m.vb[valor],
  m.vb[nucleo],$Z$1,
  m.vb[variavel],AF$7,
  m.vb[mes],$A109
)</f>
        <v>0</v>
      </c>
      <c r="AG109" s="108">
        <f ca="1">SUMIFS(
  m.vb[valor],
  m.vb[nucleo],$Z$1,
  m.vb[variavel],AG$7,
  m.vb[mes],$A109
)</f>
        <v>0</v>
      </c>
      <c r="AH109" s="108">
        <f ca="1">SUMIFS(
  m.vb[valor],
  m.vb[nucleo],$Z$1,
  m.vb[variavel],AH$7,
  m.vb[mes],$A109
)</f>
        <v>0</v>
      </c>
      <c r="AI109" s="108">
        <f ca="1">SUMIFS(
  m.vb[valor],
  m.vb[nucleo],$Z$1,
  m.vb[variavel],AI$7,
  m.vb[mes],$A109
)</f>
        <v>0</v>
      </c>
      <c r="AJ109" s="119">
        <f>COUNTIFS(
    tb_estq[empresa], AJ$6,
    tb_estq[Data da venda / reserva], "&gt;=" &amp; $A109,
    tb_estq[Data da venda / reserva], "&lt;"  &amp; EOMONTH($A109,0) + 1
)</f>
        <v>0</v>
      </c>
      <c r="AK109" s="120">
        <f ca="1">SUMIFS(tb_rec_uni[2029-11-01],
INDIRECT("tb_rec_uni[natureza]"),"pro.soluto",
INDIRECT("tb_rec_uni[empresa]"),AK$6)</f>
        <v>0</v>
      </c>
      <c r="AL109" s="120">
        <f ca="1">SUMIFS(tb_rec_uni[2029-11-01],
INDIRECT("tb_rec_uni[natureza]"),"repasse.cef.obra",
INDIRECT("tb_rec_uni[empresa]"),AL$6)</f>
        <v>0</v>
      </c>
      <c r="AM109" s="123">
        <f ca="1">SUMIFS(tb_rec_uni[2029-11-01],
INDIRECT("tb_rec_uni[natureza]"),"repasse.cef.terreno",
INDIRECT("tb_rec_uni[empresa]"),AM$6)</f>
        <v>0</v>
      </c>
      <c r="AN109" s="124"/>
      <c r="AO109" s="120">
        <f ca="1">SUMIFS(tb_rec_uni[2029-11-01],
INDIRECT("tb_rec_uni[natureza]"),"taxa.extra",
INDIRECT("tb_rec_uni[empresa]"),AO$6)</f>
        <v>0</v>
      </c>
      <c r="AP109" s="108"/>
      <c r="AQ109" s="108">
        <f ca="1">SUMIFS(
  m.vb[valor],
  m.vb[nucleo],$AJ$1,
  m.vb[variavel],AQ$7,
  m.vb[mes],$A109
)</f>
        <v>0</v>
      </c>
      <c r="AR109" s="108">
        <f ca="1">SUMIFS(
  m.vb[valor],
  m.vb[nucleo],$AJ$1,
  m.vb[variavel],AR$7,
  m.vb[mes],$A109
)</f>
        <v>0</v>
      </c>
      <c r="AS109" s="108">
        <f ca="1">SUMIFS(
  m.vb[valor],
  m.vb[nucleo],$AJ$1,
  m.vb[variavel],AS$7,
  m.vb[mes],$A109
)</f>
        <v>0</v>
      </c>
      <c r="AT109" s="108">
        <f ca="1">SUMIFS(
  m.vb[valor],
  m.vb[nucleo],$AJ$1,
  m.vb[variavel],AT$7,
  m.vb[mes],$A109
)</f>
        <v>0</v>
      </c>
      <c r="AU109" s="108">
        <f ca="1">SUMIFS(
  m.vb[valor],
  m.vb[nucleo],$AJ$1,
  m.vb[variavel],AU$7,
  m.vb[mes],$A109
)</f>
        <v>0</v>
      </c>
      <c r="AV109" s="119">
        <f>COUNTIFS(
    tb_estq[empresa], AV$6,
    tb_estq[Data da venda / reserva], "&gt;=" &amp; $A109,
    tb_estq[Data da venda / reserva], "&lt;"  &amp; EOMONTH($A109,0) + 1
)</f>
        <v>0</v>
      </c>
      <c r="AW109" s="120">
        <f ca="1">SUMIFS(tb_rec_uni[2029-11-01],
INDIRECT("tb_rec_uni[natureza]"),"pro.soluto",
INDIRECT("tb_rec_uni[empresa]"),AW$6)</f>
        <v>0</v>
      </c>
      <c r="AX109" s="120">
        <f ca="1">SUMIFS(tb_rec_uni[2029-11-01],
INDIRECT("tb_rec_uni[natureza]"),"repasse.cef.obra",
INDIRECT("tb_rec_uni[empresa]"),AX$6)</f>
        <v>0</v>
      </c>
      <c r="AY109" s="123">
        <f ca="1">SUMIFS(tb_rec_uni[2029-11-01],
INDIRECT("tb_rec_uni[natureza]"),"repasse.cef.terreno",
INDIRECT("tb_rec_uni[empresa]"),AY$6)</f>
        <v>0</v>
      </c>
      <c r="AZ109" s="124"/>
      <c r="BA109" s="120">
        <f ca="1">SUMIFS(tb_rec_uni[2029-11-01],
INDIRECT("tb_rec_uni[natureza]"),"taxa.extra",
INDIRECT("tb_rec_uni[empresa]"),BA$6)</f>
        <v>0</v>
      </c>
      <c r="BB109" s="108"/>
      <c r="BC109" s="108">
        <f ca="1">SUMIFS(
  m.vb[valor],
  m.vb[nucleo],$AV$1,
  m.vb[variavel],BC$7,
  m.vb[mes],$A109
)</f>
        <v>0</v>
      </c>
      <c r="BD109" s="108">
        <f ca="1">SUMIFS(
  m.vb[valor],
  m.vb[nucleo],$AV$1,
  m.vb[variavel],BD$7,
  m.vb[mes],$A109
)</f>
        <v>0</v>
      </c>
      <c r="BE109" s="108">
        <f ca="1">SUMIFS(
  m.vb[valor],
  m.vb[nucleo],$AV$1,
  m.vb[variavel],BE$7,
  m.vb[mes],$A109
)</f>
        <v>0</v>
      </c>
      <c r="BF109" s="108">
        <f ca="1">SUMIFS(
  m.vb[valor],
  m.vb[nucleo],$AV$1,
  m.vb[variavel],BF$7,
  m.vb[mes],$A109
)</f>
        <v>0</v>
      </c>
      <c r="BG109" s="108">
        <f ca="1">SUMIFS(
  m.vb[valor],
  m.vb[nucleo],$AV$1,
  m.vb[variavel],BG$7,
  m.vb[mes],$A109
)</f>
        <v>0</v>
      </c>
      <c r="BH109" s="119">
        <f>COUNTIFS(
    tb_estq[empresa], BH$6,
    tb_estq[Data da venda / reserva], "&gt;=" &amp; $A109,
    tb_estq[Data da venda / reserva], "&lt;"  &amp; EOMONTH($A109,0) + 1
)</f>
        <v>0</v>
      </c>
      <c r="BI109" s="120">
        <f ca="1">SUMIFS(tb_rec_uni[2029-11-01],
INDIRECT("tb_rec_uni[natureza]"),"pro.soluto",
INDIRECT("tb_rec_uni[empresa]"),BI$6)</f>
        <v>0</v>
      </c>
      <c r="BJ109" s="124"/>
      <c r="BK109" s="120">
        <f ca="1">SUMIFS(tb_rec_uni[2029-11-01],
INDIRECT("tb_rec_uni[natureza]"),"taxa.extra",
INDIRECT("tb_rec_uni[empresa]"),BK$6)</f>
        <v>0</v>
      </c>
      <c r="BL109" s="108"/>
      <c r="BM109" s="108">
        <f ca="1">SUMIFS(
  m.vb[valor],
  m.vb[nucleo],$BH$1,
  m.vb[variavel],BM$7,
  m.vb[mes],$A109
)</f>
        <v>0</v>
      </c>
      <c r="BN109" s="108">
        <f ca="1">SUMIFS(
  m.vb[valor],
  m.vb[nucleo],$BH$1,
  m.vb[variavel],BN$7,
  m.vb[mes],$A109
)</f>
        <v>0</v>
      </c>
      <c r="BO109" s="108">
        <f ca="1">SUMIFS(
  m.vb[valor],
  m.vb[nucleo],$BH$1,
  m.vb[variavel],BO$7,
  m.vb[mes],$A109
)</f>
        <v>0</v>
      </c>
      <c r="BP109" s="108">
        <f ca="1">SUMIFS(
  m.vb[valor],
  m.vb[nucleo],$BH$1,
  m.vb[variavel],BP$7,
  m.vb[mes],$A109
)</f>
        <v>0</v>
      </c>
      <c r="BQ109" s="108">
        <f ca="1">SUMIFS(
  m.vb[valor],
  m.vb[nucleo],$BH$1,
  m.vb[variavel],BQ$7,
  m.vb[mes],$A109
)</f>
        <v>0</v>
      </c>
      <c r="BR109" s="119">
        <f>COUNTIFS(
    tb_estq[empresa], BR$6,
    tb_estq[Data da venda / reserva], "&gt;=" &amp; $A109,
    tb_estq[Data da venda / reserva], "&lt;"  &amp; EOMONTH($A109,0) + 1
)</f>
        <v>0</v>
      </c>
      <c r="BS109" s="120">
        <f ca="1">SUMIFS(tb_rec_uni[2029-11-01],
INDIRECT("tb_rec_uni[natureza]"),"pro.soluto",
INDIRECT("tb_rec_uni[empresa]"),BS$6)</f>
        <v>0</v>
      </c>
      <c r="BT109" s="124">
        <f ca="1">SUMIFS(tb_rec_uni[2029-11-01],
INDIRECT("tb_rec_uni[natureza]"),"parcela.fin.total.ik",
INDIRECT("tb_rec_uni[empresa]"),BT$6)</f>
        <v>0</v>
      </c>
      <c r="BU109" s="120">
        <f ca="1">SUMIFS(tb_rec_uni[2029-11-01],
INDIRECT("tb_rec_uni[natureza]"),"taxa.extra",
INDIRECT("tb_rec_uni[empresa]"),BU$6)</f>
        <v>0</v>
      </c>
      <c r="BV109" s="108"/>
      <c r="BW109" s="108">
        <f ca="1">SUMIFS(
  m.vb[valor],
  m.vb[nucleo],$BR$1,
  m.vb[variavel],BW$7,
  m.vb[mes],$A109
)</f>
        <v>0</v>
      </c>
      <c r="BX109" s="108">
        <f ca="1">SUMIFS(
  m.vb[valor],
  m.vb[nucleo],$BR$1,
  m.vb[variavel],BX$7,
  m.vb[mes],$A109
)</f>
        <v>0</v>
      </c>
      <c r="BY109" s="108">
        <f ca="1">SUMIFS(
  m.vb[valor],
  m.vb[nucleo],$BR$1,
  m.vb[variavel],BY$7,
  m.vb[mes],$A109
)</f>
        <v>0</v>
      </c>
      <c r="BZ109" s="108">
        <f ca="1">SUMIFS(
  m.vb[valor],
  m.vb[nucleo],$BR$1,
  m.vb[variavel],BZ$7,
  m.vb[mes],$A109
)</f>
        <v>0</v>
      </c>
      <c r="CA109" s="108">
        <f ca="1">SUMIFS(
  m.vb[valor],
  m.vb[nucleo],$BR$1,
  m.vb[variavel],CA$7,
  m.vb[mes],$A109
)</f>
        <v>0</v>
      </c>
      <c r="CB109" s="119">
        <f>COUNTIFS(
    tb_estq[empresa], CB$6,
    tb_estq[Data da venda / reserva], "&gt;=" &amp; $A109,
    tb_estq[Data da venda / reserva], "&lt;"  &amp; EOMONTH($A109,0) + 1
)</f>
        <v>0</v>
      </c>
      <c r="CC109" s="120">
        <f ca="1">SUMIFS(tb_rec_uni[2029-11-01],
INDIRECT("tb_rec_uni[natureza]"),"pro.soluto",
INDIRECT("tb_rec_uni[empresa]"),CC$6)</f>
        <v>0</v>
      </c>
      <c r="CD109" s="120">
        <f ca="1">SUMIFS(tb_rec_uni[2029-11-01],
INDIRECT("tb_rec_uni[natureza]"),"repasse.cef.obra",
INDIRECT("tb_rec_uni[empresa]"),CD$6)</f>
        <v>0</v>
      </c>
      <c r="CE109" s="123">
        <f ca="1">SUMIFS(tb_rec_uni[2029-11-01],
INDIRECT("tb_rec_uni[natureza]"),"repasse.cef.terreno",
INDIRECT("tb_rec_uni[empresa]"),CE$6)</f>
        <v>0</v>
      </c>
      <c r="CF109" s="124"/>
      <c r="CG109" s="120">
        <f ca="1">SUMIFS(tb_rec_uni[2029-11-01],
INDIRECT("tb_rec_uni[natureza]"),"taxa.extra",
INDIRECT("tb_rec_uni[empresa]"),CG$6)</f>
        <v>0</v>
      </c>
      <c r="CH109" s="108"/>
      <c r="CI109" s="108">
        <f ca="1">SUMIFS(
  m.vb[valor],
  m.vb[nucleo],$CB$1,
  m.vb[variavel],CI$7,
  m.vb[mes],$A109
)</f>
        <v>0</v>
      </c>
      <c r="CJ109" s="108">
        <f ca="1">SUMIFS(
  m.vb[valor],
  m.vb[nucleo],$CB$1,
  m.vb[variavel],CJ$7,
  m.vb[mes],$A109
)</f>
        <v>0</v>
      </c>
      <c r="CK109" s="108">
        <f ca="1">SUMIFS(
  m.vb[valor],
  m.vb[nucleo],$CB$1,
  m.vb[variavel],CK$7,
  m.vb[mes],$A109
)</f>
        <v>0</v>
      </c>
      <c r="CL109" s="108">
        <f ca="1">SUMIFS(
  m.vb[valor],
  m.vb[nucleo],$CB$1,
  m.vb[variavel],CL$7,
  m.vb[mes],$A109
)</f>
        <v>0</v>
      </c>
      <c r="CM109" s="108">
        <f ca="1">SUMIFS(
  m.vb[valor],
  m.vb[nucleo],$CB$1,
  m.vb[variavel],CM$7,
  m.vb[mes],$A109
)</f>
        <v>0</v>
      </c>
      <c r="CN109" s="119">
        <f>COUNTIFS(
    tb_estq[empresa], CN$6,
    tb_estq[Data da venda / reserva], "&gt;=" &amp; $A109,
    tb_estq[Data da venda / reserva], "&lt;"  &amp; EOMONTH($A109,0) + 1
)</f>
        <v>0</v>
      </c>
      <c r="CO109" s="120">
        <f ca="1">SUMIFS(tb_rec_uni[2029-11-01],
INDIRECT("tb_rec_uni[natureza]"),"pro.soluto",
INDIRECT("tb_rec_uni[empresa]"),CO$6)</f>
        <v>0</v>
      </c>
      <c r="CP109" s="120">
        <f ca="1">SUMIFS(tb_rec_uni[2029-11-01],
INDIRECT("tb_rec_uni[natureza]"),"repasse.cef.obra",
INDIRECT("tb_rec_uni[empresa]"),CP$6)</f>
        <v>0</v>
      </c>
      <c r="CQ109" s="123">
        <f ca="1">SUMIFS(tb_rec_uni[2029-11-01],
INDIRECT("tb_rec_uni[natureza]"),"repasse.cef.terreno",
INDIRECT("tb_rec_uni[empresa]"),CQ$6)</f>
        <v>0</v>
      </c>
      <c r="CR109" s="124"/>
      <c r="CS109" s="120">
        <f ca="1">SUMIFS(tb_rec_uni[2029-11-01],
INDIRECT("tb_rec_uni[natureza]"),"taxa.extra",
INDIRECT("tb_rec_uni[empresa]"),CS$6)</f>
        <v>0</v>
      </c>
      <c r="CT109" s="108"/>
      <c r="CU109" s="108">
        <f ca="1">SUMIFS(
  m.vb[valor],
  m.vb[nucleo],$CN$1,
  m.vb[variavel],CU$7,
  m.vb[mes],$A109
)</f>
        <v>0</v>
      </c>
      <c r="CV109" s="108" cm="1">
        <f t="array" ref="CV109">SUMPRODUCT(
  IFERROR(--tb_desp[valor],0)*
  (tb_desp[nucleo]="UP MOVE VILA SONIA")*
  (tb_desp[categoria]=CV$7)*
  (tb_desp[data.pagamento]&gt;=$A109)*
  (tb_desp[data.pagamento]&lt;EOMONTH($A109,0)+1)
)</f>
        <v>0</v>
      </c>
      <c r="CW109" s="108" cm="1">
        <f t="array" ref="CW109">SUMPRODUCT(
  IFERROR(--tb_desp[valor],0)*
  (tb_desp[nucleo]="UP MOVE VILA SONIA")*
  (tb_desp[categoria]=CW$7)*
  (tb_desp[data.pagamento]&gt;=$A109)*
  (tb_desp[data.pagamento]&lt;EOMONTH($A109,0)+1)
)</f>
        <v>0</v>
      </c>
      <c r="CX109" s="108" cm="1">
        <f t="array" ref="CX109">SUMPRODUCT(
  IFERROR(--tb_desp[valor],0)*
  (tb_desp[nucleo]="UP MOVE VILA SONIA")*
  (tb_desp[categoria]=CX$7)*
  (tb_desp[data.pagamento]&gt;=$A109)*
  (tb_desp[data.pagamento]&lt;EOMONTH($A109,0)+1)
)</f>
        <v>0</v>
      </c>
      <c r="CY109" s="221" cm="1">
        <f t="array" ref="CY109">SUMPRODUCT(
  IFERROR(--tb_desp[valor],0)*
  (tb_desp[nucleo]="UP MOVE VILA SONIA")*
  (tb_desp[categoria]=CY$7)*
  (tb_desp[data.pagamento]&gt;=$A109)*
  (tb_desp[data.pagamento]&lt;EOMONTH($A109,0)+1)
)</f>
        <v>0</v>
      </c>
    </row>
    <row r="110" spans="1:103" x14ac:dyDescent="0.25">
      <c r="A110" s="118">
        <v>47453</v>
      </c>
      <c r="B110" s="119">
        <f>COUNTIFS(
    tb_estq[empresa], B$6,
    tb_estq[Data da venda / reserva], "&gt;=" &amp; $A110,
    tb_estq[Data da venda / reserva], "&lt;"  &amp; EOMONTH($A110,0) + 1
)</f>
        <v>0</v>
      </c>
      <c r="C110" s="120">
        <f ca="1">SUMIFS(tb_rec_uni[2029-12-01],
INDIRECT("tb_rec_uni[natureza]"),"pro.soluto",
INDIRECT("tb_rec_uni[empresa]"),C$6)</f>
        <v>0</v>
      </c>
      <c r="D110" s="120">
        <f ca="1">SUMIFS(tb_rec_uni[2029-12-01],
INDIRECT("tb_rec_uni[natureza]"),"repasse.cef.obra",
INDIRECT("tb_rec_uni[empresa]"),D$6)</f>
        <v>0</v>
      </c>
      <c r="E110" s="120">
        <f ca="1">SUMIFS(tb_rec_uni[2029-12-01],
INDIRECT("tb_rec_uni[natureza]"),"repasse.cef.terreno",
INDIRECT("tb_rec_uni[empresa]"),E$6)</f>
        <v>0</v>
      </c>
      <c r="F110" s="124"/>
      <c r="G110" s="120">
        <f ca="1">SUMIFS(tb_rec_uni[2029-12-01],
INDIRECT("tb_rec_uni[natureza]"),"taxa.extra",
INDIRECT("tb_rec_uni[empresa]"),G$6)</f>
        <v>0</v>
      </c>
      <c r="H110" s="108"/>
      <c r="I110" s="108">
        <f ca="1">SUMIFS(
  m.vb[valor],
  m.vb[nucleo],$B$1,
  m.vb[variavel],I$7,
  m.vb[mes],$A110
)</f>
        <v>0</v>
      </c>
      <c r="J110" s="108">
        <f ca="1">SUMIFS(
  m.vb[valor],
  m.vb[nucleo],$B$1,
  m.vb[variavel],J$7,
  m.vb[mes],$A110
)</f>
        <v>0</v>
      </c>
      <c r="K110" s="108">
        <f ca="1">SUMIFS(
  m.vb[valor],
  m.vb[nucleo],$B$1,
  m.vb[variavel],K$7,
  m.vb[mes],$A110
)</f>
        <v>0</v>
      </c>
      <c r="L110" s="108">
        <f ca="1">SUMIFS(
  m.vb[valor],
  m.vb[nucleo],$B$1,
  m.vb[variavel],L$7,
  m.vb[mes],$A110
)</f>
        <v>0</v>
      </c>
      <c r="M110" s="108">
        <f ca="1">SUMIFS(
  m.vb[valor],
  m.vb[nucleo],$B$1,
  m.vb[variavel],M$7,
  m.vb[mes],$A110
)</f>
        <v>0</v>
      </c>
      <c r="N110" s="119">
        <f>COUNTIFS(
    tb_estq[empresa], N$6,
    tb_estq[Data da venda / reserva], "&gt;=" &amp; $A110,
    tb_estq[Data da venda / reserva], "&lt;"  &amp; EOMONTH($A110,0) + 1
)</f>
        <v>0</v>
      </c>
      <c r="O110" s="120">
        <f ca="1">SUMIFS(tb_rec_uni[2029-12-01],
INDIRECT("tb_rec_uni[natureza]"),"pro.soluto",
INDIRECT("tb_rec_uni[empresa]"),O$6)</f>
        <v>0</v>
      </c>
      <c r="P110" s="120">
        <f ca="1">SUMIFS(tb_rec_uni[2029-12-01],
INDIRECT("tb_rec_uni[natureza]"),"repasse.cef.obra",
INDIRECT("tb_rec_uni[empresa]"),P$6)</f>
        <v>0</v>
      </c>
      <c r="Q110" s="120">
        <f ca="1">SUMIFS(tb_rec_uni[2029-12-01],
INDIRECT("tb_rec_uni[natureza]"),"repasse.cef.terreno",
INDIRECT("tb_rec_uni[empresa]"),Q$6)</f>
        <v>0</v>
      </c>
      <c r="R110" s="124"/>
      <c r="S110" s="120">
        <f ca="1">SUMIFS(tb_rec_uni[2029-12-01],
INDIRECT("tb_rec_uni[natureza]"),"taxa.extra",
INDIRECT("tb_rec_uni[empresa]"),S$6)</f>
        <v>0</v>
      </c>
      <c r="T110" s="108"/>
      <c r="U110" s="108">
        <f ca="1">SUMIFS(
  m.vb[valor],
  m.vb[nucleo],$N$1,
  m.vb[variavel],U$7,
  m.vb[mes],$A110
)</f>
        <v>0</v>
      </c>
      <c r="V110" s="108">
        <f ca="1">SUMIFS(
  m.vb[valor],
  m.vb[nucleo],$N$1,
  m.vb[variavel],V$7,
  m.vb[mes],$A110
)</f>
        <v>0</v>
      </c>
      <c r="W110" s="108">
        <f ca="1">SUMIFS(
  m.vb[valor],
  m.vb[nucleo],$N$1,
  m.vb[variavel],W$7,
  m.vb[mes],$A110
)</f>
        <v>0</v>
      </c>
      <c r="X110" s="108">
        <f ca="1">SUMIFS(
  m.vb[valor],
  m.vb[nucleo],$N$1,
  m.vb[variavel],X$7,
  m.vb[mes],$A110
)</f>
        <v>0</v>
      </c>
      <c r="Y110" s="108">
        <f ca="1">SUMIFS(
  m.vb[valor],
  m.vb[nucleo],$N$1,
  m.vb[variavel],Y$7,
  m.vb[mes],$A110
)</f>
        <v>0</v>
      </c>
      <c r="Z110" s="119">
        <f>COUNTIFS(
    tb_estq[empresa], Z$6,
    tb_estq[Data da venda / reserva], "&gt;=" &amp; $A110,
    tb_estq[Data da venda / reserva], "&lt;"  &amp; EOMONTH($A110,0) + 1
)</f>
        <v>0</v>
      </c>
      <c r="AA110" s="120">
        <f ca="1">SUMIFS(tb_rec_uni[2029-12-01],
INDIRECT("tb_rec_uni[natureza]"),"pro.soluto",
INDIRECT("tb_rec_uni[empresa]"),AA$6)</f>
        <v>0</v>
      </c>
      <c r="AB110" s="124">
        <f ca="1">SUMIFS(tb_rec_uni[2029-12-01],
INDIRECT("tb_rec_uni[natureza]"),"parcela.fin.total.ik",
INDIRECT("tb_rec_uni[empresa]"),AB$6)</f>
        <v>0</v>
      </c>
      <c r="AC110" s="120">
        <f ca="1">SUMIFS(tb_rec_uni[2029-12-01],
INDIRECT("tb_rec_uni[natureza]"),"taxa.extra",
INDIRECT("tb_rec_uni[empresa]"),AC$6)</f>
        <v>0</v>
      </c>
      <c r="AD110" s="108"/>
      <c r="AE110" s="108">
        <f ca="1">SUMIFS(
  m.vb[valor],
  m.vb[nucleo],$Z$1,
  m.vb[variavel],AE$7,
  m.vb[mes],$A110
)</f>
        <v>0</v>
      </c>
      <c r="AF110" s="108">
        <f ca="1">SUMIFS(
  m.vb[valor],
  m.vb[nucleo],$Z$1,
  m.vb[variavel],AF$7,
  m.vb[mes],$A110
)</f>
        <v>0</v>
      </c>
      <c r="AG110" s="108">
        <f ca="1">SUMIFS(
  m.vb[valor],
  m.vb[nucleo],$Z$1,
  m.vb[variavel],AG$7,
  m.vb[mes],$A110
)</f>
        <v>0</v>
      </c>
      <c r="AH110" s="108">
        <f ca="1">SUMIFS(
  m.vb[valor],
  m.vb[nucleo],$Z$1,
  m.vb[variavel],AH$7,
  m.vb[mes],$A110
)</f>
        <v>0</v>
      </c>
      <c r="AI110" s="108">
        <f ca="1">SUMIFS(
  m.vb[valor],
  m.vb[nucleo],$Z$1,
  m.vb[variavel],AI$7,
  m.vb[mes],$A110
)</f>
        <v>0</v>
      </c>
      <c r="AJ110" s="119">
        <f>COUNTIFS(
    tb_estq[empresa], AJ$6,
    tb_estq[Data da venda / reserva], "&gt;=" &amp; $A110,
    tb_estq[Data da venda / reserva], "&lt;"  &amp; EOMONTH($A110,0) + 1
)</f>
        <v>0</v>
      </c>
      <c r="AK110" s="120">
        <f ca="1">SUMIFS(tb_rec_uni[2029-12-01],
INDIRECT("tb_rec_uni[natureza]"),"pro.soluto",
INDIRECT("tb_rec_uni[empresa]"),AK$6)</f>
        <v>0</v>
      </c>
      <c r="AL110" s="120">
        <f ca="1">SUMIFS(tb_rec_uni[2029-12-01],
INDIRECT("tb_rec_uni[natureza]"),"repasse.cef.obra",
INDIRECT("tb_rec_uni[empresa]"),AL$6)</f>
        <v>0</v>
      </c>
      <c r="AM110" s="123">
        <f ca="1">SUMIFS(tb_rec_uni[2029-12-01],
INDIRECT("tb_rec_uni[natureza]"),"repasse.cef.terreno",
INDIRECT("tb_rec_uni[empresa]"),AM$6)</f>
        <v>0</v>
      </c>
      <c r="AN110" s="124"/>
      <c r="AO110" s="120">
        <f ca="1">SUMIFS(tb_rec_uni[2029-12-01],
INDIRECT("tb_rec_uni[natureza]"),"taxa.extra",
INDIRECT("tb_rec_uni[empresa]"),AO$6)</f>
        <v>0</v>
      </c>
      <c r="AP110" s="108"/>
      <c r="AQ110" s="108">
        <f ca="1">SUMIFS(
  m.vb[valor],
  m.vb[nucleo],$AJ$1,
  m.vb[variavel],AQ$7,
  m.vb[mes],$A110
)</f>
        <v>0</v>
      </c>
      <c r="AR110" s="108">
        <f ca="1">SUMIFS(
  m.vb[valor],
  m.vb[nucleo],$AJ$1,
  m.vb[variavel],AR$7,
  m.vb[mes],$A110
)</f>
        <v>0</v>
      </c>
      <c r="AS110" s="108">
        <f ca="1">SUMIFS(
  m.vb[valor],
  m.vb[nucleo],$AJ$1,
  m.vb[variavel],AS$7,
  m.vb[mes],$A110
)</f>
        <v>0</v>
      </c>
      <c r="AT110" s="108">
        <f ca="1">SUMIFS(
  m.vb[valor],
  m.vb[nucleo],$AJ$1,
  m.vb[variavel],AT$7,
  m.vb[mes],$A110
)</f>
        <v>0</v>
      </c>
      <c r="AU110" s="108">
        <f ca="1">SUMIFS(
  m.vb[valor],
  m.vb[nucleo],$AJ$1,
  m.vb[variavel],AU$7,
  m.vb[mes],$A110
)</f>
        <v>0</v>
      </c>
      <c r="AV110" s="119">
        <f>COUNTIFS(
    tb_estq[empresa], AV$6,
    tb_estq[Data da venda / reserva], "&gt;=" &amp; $A110,
    tb_estq[Data da venda / reserva], "&lt;"  &amp; EOMONTH($A110,0) + 1
)</f>
        <v>0</v>
      </c>
      <c r="AW110" s="120">
        <f ca="1">SUMIFS(tb_rec_uni[2029-12-01],
INDIRECT("tb_rec_uni[natureza]"),"pro.soluto",
INDIRECT("tb_rec_uni[empresa]"),AW$6)</f>
        <v>0</v>
      </c>
      <c r="AX110" s="120">
        <f ca="1">SUMIFS(tb_rec_uni[2029-12-01],
INDIRECT("tb_rec_uni[natureza]"),"repasse.cef.obra",
INDIRECT("tb_rec_uni[empresa]"),AX$6)</f>
        <v>0</v>
      </c>
      <c r="AY110" s="123">
        <f ca="1">SUMIFS(tb_rec_uni[2029-12-01],
INDIRECT("tb_rec_uni[natureza]"),"repasse.cef.terreno",
INDIRECT("tb_rec_uni[empresa]"),AY$6)</f>
        <v>0</v>
      </c>
      <c r="AZ110" s="124"/>
      <c r="BA110" s="120">
        <f ca="1">SUMIFS(tb_rec_uni[2029-12-01],
INDIRECT("tb_rec_uni[natureza]"),"taxa.extra",
INDIRECT("tb_rec_uni[empresa]"),BA$6)</f>
        <v>0</v>
      </c>
      <c r="BB110" s="108"/>
      <c r="BC110" s="108">
        <f ca="1">SUMIFS(
  m.vb[valor],
  m.vb[nucleo],$AV$1,
  m.vb[variavel],BC$7,
  m.vb[mes],$A110
)</f>
        <v>0</v>
      </c>
      <c r="BD110" s="108">
        <f ca="1">SUMIFS(
  m.vb[valor],
  m.vb[nucleo],$AV$1,
  m.vb[variavel],BD$7,
  m.vb[mes],$A110
)</f>
        <v>0</v>
      </c>
      <c r="BE110" s="108">
        <f ca="1">SUMIFS(
  m.vb[valor],
  m.vb[nucleo],$AV$1,
  m.vb[variavel],BE$7,
  m.vb[mes],$A110
)</f>
        <v>0</v>
      </c>
      <c r="BF110" s="108">
        <f ca="1">SUMIFS(
  m.vb[valor],
  m.vb[nucleo],$AV$1,
  m.vb[variavel],BF$7,
  m.vb[mes],$A110
)</f>
        <v>0</v>
      </c>
      <c r="BG110" s="108">
        <f ca="1">SUMIFS(
  m.vb[valor],
  m.vb[nucleo],$AV$1,
  m.vb[variavel],BG$7,
  m.vb[mes],$A110
)</f>
        <v>0</v>
      </c>
      <c r="BH110" s="119">
        <f>COUNTIFS(
    tb_estq[empresa], BH$6,
    tb_estq[Data da venda / reserva], "&gt;=" &amp; $A110,
    tb_estq[Data da venda / reserva], "&lt;"  &amp; EOMONTH($A110,0) + 1
)</f>
        <v>0</v>
      </c>
      <c r="BI110" s="120">
        <f ca="1">SUMIFS(tb_rec_uni[2029-12-01],
INDIRECT("tb_rec_uni[natureza]"),"pro.soluto",
INDIRECT("tb_rec_uni[empresa]"),BI$6)</f>
        <v>0</v>
      </c>
      <c r="BJ110" s="124"/>
      <c r="BK110" s="120">
        <f ca="1">SUMIFS(tb_rec_uni[2029-12-01],
INDIRECT("tb_rec_uni[natureza]"),"taxa.extra",
INDIRECT("tb_rec_uni[empresa]"),BK$6)</f>
        <v>0</v>
      </c>
      <c r="BL110" s="108"/>
      <c r="BM110" s="108">
        <f ca="1">SUMIFS(
  m.vb[valor],
  m.vb[nucleo],$BH$1,
  m.vb[variavel],BM$7,
  m.vb[mes],$A110
)</f>
        <v>0</v>
      </c>
      <c r="BN110" s="108">
        <f ca="1">SUMIFS(
  m.vb[valor],
  m.vb[nucleo],$BH$1,
  m.vb[variavel],BN$7,
  m.vb[mes],$A110
)</f>
        <v>0</v>
      </c>
      <c r="BO110" s="108">
        <f ca="1">SUMIFS(
  m.vb[valor],
  m.vb[nucleo],$BH$1,
  m.vb[variavel],BO$7,
  m.vb[mes],$A110
)</f>
        <v>0</v>
      </c>
      <c r="BP110" s="108">
        <f ca="1">SUMIFS(
  m.vb[valor],
  m.vb[nucleo],$BH$1,
  m.vb[variavel],BP$7,
  m.vb[mes],$A110
)</f>
        <v>0</v>
      </c>
      <c r="BQ110" s="108">
        <f ca="1">SUMIFS(
  m.vb[valor],
  m.vb[nucleo],$BH$1,
  m.vb[variavel],BQ$7,
  m.vb[mes],$A110
)</f>
        <v>0</v>
      </c>
      <c r="BR110" s="119">
        <f>COUNTIFS(
    tb_estq[empresa], BR$6,
    tb_estq[Data da venda / reserva], "&gt;=" &amp; $A110,
    tb_estq[Data da venda / reserva], "&lt;"  &amp; EOMONTH($A110,0) + 1
)</f>
        <v>0</v>
      </c>
      <c r="BS110" s="120">
        <f ca="1">SUMIFS(tb_rec_uni[2029-12-01],
INDIRECT("tb_rec_uni[natureza]"),"pro.soluto",
INDIRECT("tb_rec_uni[empresa]"),BS$6)</f>
        <v>0</v>
      </c>
      <c r="BT110" s="124">
        <f ca="1">SUMIFS(tb_rec_uni[2029-12-01],
INDIRECT("tb_rec_uni[natureza]"),"parcela.fin.total.ik",
INDIRECT("tb_rec_uni[empresa]"),BT$6)</f>
        <v>0</v>
      </c>
      <c r="BU110" s="120">
        <f ca="1">SUMIFS(tb_rec_uni[2029-12-01],
INDIRECT("tb_rec_uni[natureza]"),"taxa.extra",
INDIRECT("tb_rec_uni[empresa]"),BU$6)</f>
        <v>0</v>
      </c>
      <c r="BV110" s="108"/>
      <c r="BW110" s="108">
        <f ca="1">SUMIFS(
  m.vb[valor],
  m.vb[nucleo],$BR$1,
  m.vb[variavel],BW$7,
  m.vb[mes],$A110
)</f>
        <v>0</v>
      </c>
      <c r="BX110" s="108">
        <f ca="1">SUMIFS(
  m.vb[valor],
  m.vb[nucleo],$BR$1,
  m.vb[variavel],BX$7,
  m.vb[mes],$A110
)</f>
        <v>0</v>
      </c>
      <c r="BY110" s="108">
        <f ca="1">SUMIFS(
  m.vb[valor],
  m.vb[nucleo],$BR$1,
  m.vb[variavel],BY$7,
  m.vb[mes],$A110
)</f>
        <v>0</v>
      </c>
      <c r="BZ110" s="108">
        <f ca="1">SUMIFS(
  m.vb[valor],
  m.vb[nucleo],$BR$1,
  m.vb[variavel],BZ$7,
  m.vb[mes],$A110
)</f>
        <v>0</v>
      </c>
      <c r="CA110" s="108">
        <f ca="1">SUMIFS(
  m.vb[valor],
  m.vb[nucleo],$BR$1,
  m.vb[variavel],CA$7,
  m.vb[mes],$A110
)</f>
        <v>0</v>
      </c>
      <c r="CB110" s="119">
        <f>COUNTIFS(
    tb_estq[empresa], CB$6,
    tb_estq[Data da venda / reserva], "&gt;=" &amp; $A110,
    tb_estq[Data da venda / reserva], "&lt;"  &amp; EOMONTH($A110,0) + 1
)</f>
        <v>0</v>
      </c>
      <c r="CC110" s="120">
        <f ca="1">SUMIFS(tb_rec_uni[2029-12-01],
INDIRECT("tb_rec_uni[natureza]"),"pro.soluto",
INDIRECT("tb_rec_uni[empresa]"),CC$6)</f>
        <v>0</v>
      </c>
      <c r="CD110" s="120">
        <f ca="1">SUMIFS(tb_rec_uni[2029-12-01],
INDIRECT("tb_rec_uni[natureza]"),"repasse.cef.obra",
INDIRECT("tb_rec_uni[empresa]"),CD$6)</f>
        <v>0</v>
      </c>
      <c r="CE110" s="123">
        <f ca="1">SUMIFS(tb_rec_uni[2029-12-01],
INDIRECT("tb_rec_uni[natureza]"),"repasse.cef.terreno",
INDIRECT("tb_rec_uni[empresa]"),CE$6)</f>
        <v>0</v>
      </c>
      <c r="CF110" s="124"/>
      <c r="CG110" s="120">
        <f ca="1">SUMIFS(tb_rec_uni[2029-12-01],
INDIRECT("tb_rec_uni[natureza]"),"taxa.extra",
INDIRECT("tb_rec_uni[empresa]"),CG$6)</f>
        <v>0</v>
      </c>
      <c r="CH110" s="108"/>
      <c r="CI110" s="108">
        <f ca="1">SUMIFS(
  m.vb[valor],
  m.vb[nucleo],$CB$1,
  m.vb[variavel],CI$7,
  m.vb[mes],$A110
)</f>
        <v>0</v>
      </c>
      <c r="CJ110" s="108">
        <f ca="1">SUMIFS(
  m.vb[valor],
  m.vb[nucleo],$CB$1,
  m.vb[variavel],CJ$7,
  m.vb[mes],$A110
)</f>
        <v>0</v>
      </c>
      <c r="CK110" s="108">
        <f ca="1">SUMIFS(
  m.vb[valor],
  m.vb[nucleo],$CB$1,
  m.vb[variavel],CK$7,
  m.vb[mes],$A110
)</f>
        <v>0</v>
      </c>
      <c r="CL110" s="108">
        <f ca="1">SUMIFS(
  m.vb[valor],
  m.vb[nucleo],$CB$1,
  m.vb[variavel],CL$7,
  m.vb[mes],$A110
)</f>
        <v>0</v>
      </c>
      <c r="CM110" s="108">
        <f ca="1">SUMIFS(
  m.vb[valor],
  m.vb[nucleo],$CB$1,
  m.vb[variavel],CM$7,
  m.vb[mes],$A110
)</f>
        <v>0</v>
      </c>
      <c r="CN110" s="119">
        <f>COUNTIFS(
    tb_estq[empresa], CN$6,
    tb_estq[Data da venda / reserva], "&gt;=" &amp; $A110,
    tb_estq[Data da venda / reserva], "&lt;"  &amp; EOMONTH($A110,0) + 1
)</f>
        <v>0</v>
      </c>
      <c r="CO110" s="120">
        <f ca="1">SUMIFS(tb_rec_uni[2029-12-01],
INDIRECT("tb_rec_uni[natureza]"),"pro.soluto",
INDIRECT("tb_rec_uni[empresa]"),CO$6)</f>
        <v>0</v>
      </c>
      <c r="CP110" s="120">
        <f ca="1">SUMIFS(tb_rec_uni[2029-12-01],
INDIRECT("tb_rec_uni[natureza]"),"repasse.cef.obra",
INDIRECT("tb_rec_uni[empresa]"),CP$6)</f>
        <v>0</v>
      </c>
      <c r="CQ110" s="123">
        <f ca="1">SUMIFS(tb_rec_uni[2029-12-01],
INDIRECT("tb_rec_uni[natureza]"),"repasse.cef.terreno",
INDIRECT("tb_rec_uni[empresa]"),CQ$6)</f>
        <v>0</v>
      </c>
      <c r="CR110" s="124"/>
      <c r="CS110" s="120">
        <f ca="1">SUMIFS(tb_rec_uni[2029-12-01],
INDIRECT("tb_rec_uni[natureza]"),"taxa.extra",
INDIRECT("tb_rec_uni[empresa]"),CS$6)</f>
        <v>0</v>
      </c>
      <c r="CT110" s="108"/>
      <c r="CU110" s="108">
        <f ca="1">SUMIFS(
  m.vb[valor],
  m.vb[nucleo],$CN$1,
  m.vb[variavel],CU$7,
  m.vb[mes],$A110
)</f>
        <v>0</v>
      </c>
      <c r="CV110" s="108" cm="1">
        <f t="array" ref="CV110">SUMPRODUCT(
  IFERROR(--tb_desp[valor],0)*
  (tb_desp[nucleo]="UP MOVE VILA SONIA")*
  (tb_desp[categoria]=CV$7)*
  (tb_desp[data.pagamento]&gt;=$A110)*
  (tb_desp[data.pagamento]&lt;EOMONTH($A110,0)+1)
)</f>
        <v>0</v>
      </c>
      <c r="CW110" s="108" cm="1">
        <f t="array" ref="CW110">SUMPRODUCT(
  IFERROR(--tb_desp[valor],0)*
  (tb_desp[nucleo]="UP MOVE VILA SONIA")*
  (tb_desp[categoria]=CW$7)*
  (tb_desp[data.pagamento]&gt;=$A110)*
  (tb_desp[data.pagamento]&lt;EOMONTH($A110,0)+1)
)</f>
        <v>0</v>
      </c>
      <c r="CX110" s="108" cm="1">
        <f t="array" ref="CX110">SUMPRODUCT(
  IFERROR(--tb_desp[valor],0)*
  (tb_desp[nucleo]="UP MOVE VILA SONIA")*
  (tb_desp[categoria]=CX$7)*
  (tb_desp[data.pagamento]&gt;=$A110)*
  (tb_desp[data.pagamento]&lt;EOMONTH($A110,0)+1)
)</f>
        <v>0</v>
      </c>
      <c r="CY110" s="221" cm="1">
        <f t="array" ref="CY110">SUMPRODUCT(
  IFERROR(--tb_desp[valor],0)*
  (tb_desp[nucleo]="UP MOVE VILA SONIA")*
  (tb_desp[categoria]=CY$7)*
  (tb_desp[data.pagamento]&gt;=$A110)*
  (tb_desp[data.pagamento]&lt;EOMONTH($A110,0)+1)
)</f>
        <v>0</v>
      </c>
    </row>
    <row r="111" spans="1:103" x14ac:dyDescent="0.25">
      <c r="A111" s="118">
        <v>47484</v>
      </c>
      <c r="B111" s="119">
        <f>COUNTIFS(
    tb_estq[empresa], B$6,
    tb_estq[Data da venda / reserva], "&gt;=" &amp; $A111,
    tb_estq[Data da venda / reserva], "&lt;"  &amp; EOMONTH($A111,0) + 1
)</f>
        <v>0</v>
      </c>
      <c r="C111" s="120">
        <f ca="1">SUMIFS(tb_rec_uni[2030-01-01],
INDIRECT("tb_rec_uni[natureza]"),"pro.soluto",
INDIRECT("tb_rec_uni[empresa]"),C$6)</f>
        <v>0</v>
      </c>
      <c r="D111" s="120">
        <f ca="1">SUMIFS(tb_rec_uni[2030-01-01],
INDIRECT("tb_rec_uni[natureza]"),"repasse.cef.obra",
INDIRECT("tb_rec_uni[empresa]"),D$6)</f>
        <v>0</v>
      </c>
      <c r="E111" s="120">
        <f ca="1">SUMIFS(tb_rec_uni[2030-01-01],
INDIRECT("tb_rec_uni[natureza]"),"repasse.cef.terreno",
INDIRECT("tb_rec_uni[empresa]"),E$6)</f>
        <v>0</v>
      </c>
      <c r="F111" s="124"/>
      <c r="G111" s="120">
        <f ca="1">SUMIFS(tb_rec_uni[2030-01-01],
INDIRECT("tb_rec_uni[natureza]"),"taxa.extra",
INDIRECT("tb_rec_uni[empresa]"),G$6)</f>
        <v>0</v>
      </c>
      <c r="H111" s="108"/>
      <c r="I111" s="108">
        <f ca="1">SUMIFS(
  m.vb[valor],
  m.vb[nucleo],$B$1,
  m.vb[variavel],I$7,
  m.vb[mes],$A111
)</f>
        <v>0</v>
      </c>
      <c r="J111" s="108">
        <f ca="1">SUMIFS(
  m.vb[valor],
  m.vb[nucleo],$B$1,
  m.vb[variavel],J$7,
  m.vb[mes],$A111
)</f>
        <v>0</v>
      </c>
      <c r="K111" s="108">
        <f ca="1">SUMIFS(
  m.vb[valor],
  m.vb[nucleo],$B$1,
  m.vb[variavel],K$7,
  m.vb[mes],$A111
)</f>
        <v>0</v>
      </c>
      <c r="L111" s="108">
        <f ca="1">SUMIFS(
  m.vb[valor],
  m.vb[nucleo],$B$1,
  m.vb[variavel],L$7,
  m.vb[mes],$A111
)</f>
        <v>0</v>
      </c>
      <c r="M111" s="108">
        <f ca="1">SUMIFS(
  m.vb[valor],
  m.vb[nucleo],$B$1,
  m.vb[variavel],M$7,
  m.vb[mes],$A111
)</f>
        <v>0</v>
      </c>
      <c r="N111" s="119">
        <f>COUNTIFS(
    tb_estq[empresa], N$6,
    tb_estq[Data da venda / reserva], "&gt;=" &amp; $A111,
    tb_estq[Data da venda / reserva], "&lt;"  &amp; EOMONTH($A111,0) + 1
)</f>
        <v>0</v>
      </c>
      <c r="O111" s="120">
        <f ca="1">SUMIFS(tb_rec_uni[2030-01-01],
INDIRECT("tb_rec_uni[natureza]"),"pro.soluto",
INDIRECT("tb_rec_uni[empresa]"),O$6)</f>
        <v>0</v>
      </c>
      <c r="P111" s="120">
        <f ca="1">SUMIFS(tb_rec_uni[2030-01-01],
INDIRECT("tb_rec_uni[natureza]"),"repasse.cef.obra",
INDIRECT("tb_rec_uni[empresa]"),P$6)</f>
        <v>0</v>
      </c>
      <c r="Q111" s="120">
        <f ca="1">SUMIFS(tb_rec_uni[2030-01-01],
INDIRECT("tb_rec_uni[natureza]"),"repasse.cef.terreno",
INDIRECT("tb_rec_uni[empresa]"),Q$6)</f>
        <v>0</v>
      </c>
      <c r="R111" s="124"/>
      <c r="S111" s="120">
        <f ca="1">SUMIFS(tb_rec_uni[2030-01-01],
INDIRECT("tb_rec_uni[natureza]"),"taxa.extra",
INDIRECT("tb_rec_uni[empresa]"),S$6)</f>
        <v>0</v>
      </c>
      <c r="T111" s="108"/>
      <c r="U111" s="108">
        <f ca="1">SUMIFS(
  m.vb[valor],
  m.vb[nucleo],$N$1,
  m.vb[variavel],U$7,
  m.vb[mes],$A111
)</f>
        <v>0</v>
      </c>
      <c r="V111" s="108">
        <f ca="1">SUMIFS(
  m.vb[valor],
  m.vb[nucleo],$N$1,
  m.vb[variavel],V$7,
  m.vb[mes],$A111
)</f>
        <v>0</v>
      </c>
      <c r="W111" s="108">
        <f ca="1">SUMIFS(
  m.vb[valor],
  m.vb[nucleo],$N$1,
  m.vb[variavel],W$7,
  m.vb[mes],$A111
)</f>
        <v>0</v>
      </c>
      <c r="X111" s="108">
        <f ca="1">SUMIFS(
  m.vb[valor],
  m.vb[nucleo],$N$1,
  m.vb[variavel],X$7,
  m.vb[mes],$A111
)</f>
        <v>0</v>
      </c>
      <c r="Y111" s="108">
        <f ca="1">SUMIFS(
  m.vb[valor],
  m.vb[nucleo],$N$1,
  m.vb[variavel],Y$7,
  m.vb[mes],$A111
)</f>
        <v>0</v>
      </c>
      <c r="Z111" s="119">
        <f>COUNTIFS(
    tb_estq[empresa], Z$6,
    tb_estq[Data da venda / reserva], "&gt;=" &amp; $A111,
    tb_estq[Data da venda / reserva], "&lt;"  &amp; EOMONTH($A111,0) + 1
)</f>
        <v>0</v>
      </c>
      <c r="AA111" s="120">
        <f ca="1">SUMIFS(tb_rec_uni[2030-01-01],
INDIRECT("tb_rec_uni[natureza]"),"pro.soluto",
INDIRECT("tb_rec_uni[empresa]"),AA$6)</f>
        <v>0</v>
      </c>
      <c r="AB111" s="124">
        <f ca="1">SUMIFS(tb_rec_uni[2030-01-01],
INDIRECT("tb_rec_uni[natureza]"),"parcela.fin.total.ik",
INDIRECT("tb_rec_uni[empresa]"),AB$6)</f>
        <v>0</v>
      </c>
      <c r="AC111" s="120">
        <f ca="1">SUMIFS(tb_rec_uni[2030-01-01],
INDIRECT("tb_rec_uni[natureza]"),"taxa.extra",
INDIRECT("tb_rec_uni[empresa]"),AC$6)</f>
        <v>0</v>
      </c>
      <c r="AD111" s="108"/>
      <c r="AE111" s="108">
        <f ca="1">SUMIFS(
  m.vb[valor],
  m.vb[nucleo],$Z$1,
  m.vb[variavel],AE$7,
  m.vb[mes],$A111
)</f>
        <v>0</v>
      </c>
      <c r="AF111" s="108">
        <f ca="1">SUMIFS(
  m.vb[valor],
  m.vb[nucleo],$Z$1,
  m.vb[variavel],AF$7,
  m.vb[mes],$A111
)</f>
        <v>0</v>
      </c>
      <c r="AG111" s="108">
        <f ca="1">SUMIFS(
  m.vb[valor],
  m.vb[nucleo],$Z$1,
  m.vb[variavel],AG$7,
  m.vb[mes],$A111
)</f>
        <v>0</v>
      </c>
      <c r="AH111" s="108">
        <f ca="1">SUMIFS(
  m.vb[valor],
  m.vb[nucleo],$Z$1,
  m.vb[variavel],AH$7,
  m.vb[mes],$A111
)</f>
        <v>0</v>
      </c>
      <c r="AI111" s="108">
        <f ca="1">SUMIFS(
  m.vb[valor],
  m.vb[nucleo],$Z$1,
  m.vb[variavel],AI$7,
  m.vb[mes],$A111
)</f>
        <v>0</v>
      </c>
      <c r="AJ111" s="119">
        <f>COUNTIFS(
    tb_estq[empresa], AJ$6,
    tb_estq[Data da venda / reserva], "&gt;=" &amp; $A111,
    tb_estq[Data da venda / reserva], "&lt;"  &amp; EOMONTH($A111,0) + 1
)</f>
        <v>0</v>
      </c>
      <c r="AK111" s="120">
        <f ca="1">SUMIFS(tb_rec_uni[2030-01-01],
INDIRECT("tb_rec_uni[natureza]"),"pro.soluto",
INDIRECT("tb_rec_uni[empresa]"),AK$6)</f>
        <v>0</v>
      </c>
      <c r="AL111" s="120">
        <f ca="1">SUMIFS(tb_rec_uni[2030-01-01],
INDIRECT("tb_rec_uni[natureza]"),"repasse.cef.obra",
INDIRECT("tb_rec_uni[empresa]"),AL$6)</f>
        <v>0</v>
      </c>
      <c r="AM111" s="123">
        <f ca="1">SUMIFS(tb_rec_uni[2030-01-01],
INDIRECT("tb_rec_uni[natureza]"),"repasse.cef.terreno",
INDIRECT("tb_rec_uni[empresa]"),AM$6)</f>
        <v>0</v>
      </c>
      <c r="AN111" s="124"/>
      <c r="AO111" s="120">
        <f ca="1">SUMIFS(tb_rec_uni[2030-01-01],
INDIRECT("tb_rec_uni[natureza]"),"taxa.extra",
INDIRECT("tb_rec_uni[empresa]"),AO$6)</f>
        <v>0</v>
      </c>
      <c r="AP111" s="108"/>
      <c r="AQ111" s="108">
        <f ca="1">SUMIFS(
  m.vb[valor],
  m.vb[nucleo],$AJ$1,
  m.vb[variavel],AQ$7,
  m.vb[mes],$A111
)</f>
        <v>0</v>
      </c>
      <c r="AR111" s="108">
        <f ca="1">SUMIFS(
  m.vb[valor],
  m.vb[nucleo],$AJ$1,
  m.vb[variavel],AR$7,
  m.vb[mes],$A111
)</f>
        <v>0</v>
      </c>
      <c r="AS111" s="108">
        <f ca="1">SUMIFS(
  m.vb[valor],
  m.vb[nucleo],$AJ$1,
  m.vb[variavel],AS$7,
  m.vb[mes],$A111
)</f>
        <v>0</v>
      </c>
      <c r="AT111" s="108">
        <f ca="1">SUMIFS(
  m.vb[valor],
  m.vb[nucleo],$AJ$1,
  m.vb[variavel],AT$7,
  m.vb[mes],$A111
)</f>
        <v>0</v>
      </c>
      <c r="AU111" s="108">
        <f ca="1">SUMIFS(
  m.vb[valor],
  m.vb[nucleo],$AJ$1,
  m.vb[variavel],AU$7,
  m.vb[mes],$A111
)</f>
        <v>0</v>
      </c>
      <c r="AV111" s="119">
        <f>COUNTIFS(
    tb_estq[empresa], AV$6,
    tb_estq[Data da venda / reserva], "&gt;=" &amp; $A111,
    tb_estq[Data da venda / reserva], "&lt;"  &amp; EOMONTH($A111,0) + 1
)</f>
        <v>0</v>
      </c>
      <c r="AW111" s="120">
        <f ca="1">SUMIFS(tb_rec_uni[2030-01-01],
INDIRECT("tb_rec_uni[natureza]"),"pro.soluto",
INDIRECT("tb_rec_uni[empresa]"),AW$6)</f>
        <v>0</v>
      </c>
      <c r="AX111" s="120">
        <f ca="1">SUMIFS(tb_rec_uni[2030-01-01],
INDIRECT("tb_rec_uni[natureza]"),"repasse.cef.obra",
INDIRECT("tb_rec_uni[empresa]"),AX$6)</f>
        <v>0</v>
      </c>
      <c r="AY111" s="123">
        <f ca="1">SUMIFS(tb_rec_uni[2030-01-01],
INDIRECT("tb_rec_uni[natureza]"),"repasse.cef.terreno",
INDIRECT("tb_rec_uni[empresa]"),AY$6)</f>
        <v>0</v>
      </c>
      <c r="AZ111" s="124"/>
      <c r="BA111" s="120">
        <f ca="1">SUMIFS(tb_rec_uni[2030-01-01],
INDIRECT("tb_rec_uni[natureza]"),"taxa.extra",
INDIRECT("tb_rec_uni[empresa]"),BA$6)</f>
        <v>0</v>
      </c>
      <c r="BB111" s="108"/>
      <c r="BC111" s="108">
        <f ca="1">SUMIFS(
  m.vb[valor],
  m.vb[nucleo],$AV$1,
  m.vb[variavel],BC$7,
  m.vb[mes],$A111
)</f>
        <v>0</v>
      </c>
      <c r="BD111" s="108">
        <f ca="1">SUMIFS(
  m.vb[valor],
  m.vb[nucleo],$AV$1,
  m.vb[variavel],BD$7,
  m.vb[mes],$A111
)</f>
        <v>0</v>
      </c>
      <c r="BE111" s="108">
        <f ca="1">SUMIFS(
  m.vb[valor],
  m.vb[nucleo],$AV$1,
  m.vb[variavel],BE$7,
  m.vb[mes],$A111
)</f>
        <v>0</v>
      </c>
      <c r="BF111" s="108">
        <f ca="1">SUMIFS(
  m.vb[valor],
  m.vb[nucleo],$AV$1,
  m.vb[variavel],BF$7,
  m.vb[mes],$A111
)</f>
        <v>0</v>
      </c>
      <c r="BG111" s="108">
        <f ca="1">SUMIFS(
  m.vb[valor],
  m.vb[nucleo],$AV$1,
  m.vb[variavel],BG$7,
  m.vb[mes],$A111
)</f>
        <v>0</v>
      </c>
      <c r="BH111" s="119">
        <f>COUNTIFS(
    tb_estq[empresa], BH$6,
    tb_estq[Data da venda / reserva], "&gt;=" &amp; $A111,
    tb_estq[Data da venda / reserva], "&lt;"  &amp; EOMONTH($A111,0) + 1
)</f>
        <v>0</v>
      </c>
      <c r="BI111" s="120">
        <f ca="1">SUMIFS(tb_rec_uni[2030-01-01],
INDIRECT("tb_rec_uni[natureza]"),"pro.soluto",
INDIRECT("tb_rec_uni[empresa]"),BI$6)</f>
        <v>0</v>
      </c>
      <c r="BJ111" s="124"/>
      <c r="BK111" s="120">
        <f ca="1">SUMIFS(tb_rec_uni[2030-01-01],
INDIRECT("tb_rec_uni[natureza]"),"taxa.extra",
INDIRECT("tb_rec_uni[empresa]"),BK$6)</f>
        <v>0</v>
      </c>
      <c r="BL111" s="108"/>
      <c r="BM111" s="108">
        <f ca="1">SUMIFS(
  m.vb[valor],
  m.vb[nucleo],$BH$1,
  m.vb[variavel],BM$7,
  m.vb[mes],$A111
)</f>
        <v>0</v>
      </c>
      <c r="BN111" s="108">
        <f ca="1">SUMIFS(
  m.vb[valor],
  m.vb[nucleo],$BH$1,
  m.vb[variavel],BN$7,
  m.vb[mes],$A111
)</f>
        <v>0</v>
      </c>
      <c r="BO111" s="108">
        <f ca="1">SUMIFS(
  m.vb[valor],
  m.vb[nucleo],$BH$1,
  m.vb[variavel],BO$7,
  m.vb[mes],$A111
)</f>
        <v>0</v>
      </c>
      <c r="BP111" s="108">
        <f ca="1">SUMIFS(
  m.vb[valor],
  m.vb[nucleo],$BH$1,
  m.vb[variavel],BP$7,
  m.vb[mes],$A111
)</f>
        <v>0</v>
      </c>
      <c r="BQ111" s="108">
        <f ca="1">SUMIFS(
  m.vb[valor],
  m.vb[nucleo],$BH$1,
  m.vb[variavel],BQ$7,
  m.vb[mes],$A111
)</f>
        <v>0</v>
      </c>
      <c r="BR111" s="119">
        <f>COUNTIFS(
    tb_estq[empresa], BR$6,
    tb_estq[Data da venda / reserva], "&gt;=" &amp; $A111,
    tb_estq[Data da venda / reserva], "&lt;"  &amp; EOMONTH($A111,0) + 1
)</f>
        <v>0</v>
      </c>
      <c r="BS111" s="120">
        <f ca="1">SUMIFS(tb_rec_uni[2030-01-01],
INDIRECT("tb_rec_uni[natureza]"),"pro.soluto",
INDIRECT("tb_rec_uni[empresa]"),BS$6)</f>
        <v>0</v>
      </c>
      <c r="BT111" s="124">
        <f ca="1">SUMIFS(tb_rec_uni[2030-01-01],
INDIRECT("tb_rec_uni[natureza]"),"parcela.fin.total.ik",
INDIRECT("tb_rec_uni[empresa]"),BT$6)</f>
        <v>0</v>
      </c>
      <c r="BU111" s="120">
        <f ca="1">SUMIFS(tb_rec_uni[2030-01-01],
INDIRECT("tb_rec_uni[natureza]"),"taxa.extra",
INDIRECT("tb_rec_uni[empresa]"),BU$6)</f>
        <v>0</v>
      </c>
      <c r="BV111" s="108"/>
      <c r="BW111" s="108">
        <f ca="1">SUMIFS(
  m.vb[valor],
  m.vb[nucleo],$BR$1,
  m.vb[variavel],BW$7,
  m.vb[mes],$A111
)</f>
        <v>0</v>
      </c>
      <c r="BX111" s="108">
        <f ca="1">SUMIFS(
  m.vb[valor],
  m.vb[nucleo],$BR$1,
  m.vb[variavel],BX$7,
  m.vb[mes],$A111
)</f>
        <v>0</v>
      </c>
      <c r="BY111" s="108">
        <f ca="1">SUMIFS(
  m.vb[valor],
  m.vb[nucleo],$BR$1,
  m.vb[variavel],BY$7,
  m.vb[mes],$A111
)</f>
        <v>0</v>
      </c>
      <c r="BZ111" s="108">
        <f ca="1">SUMIFS(
  m.vb[valor],
  m.vb[nucleo],$BR$1,
  m.vb[variavel],BZ$7,
  m.vb[mes],$A111
)</f>
        <v>0</v>
      </c>
      <c r="CA111" s="108">
        <f ca="1">SUMIFS(
  m.vb[valor],
  m.vb[nucleo],$BR$1,
  m.vb[variavel],CA$7,
  m.vb[mes],$A111
)</f>
        <v>0</v>
      </c>
      <c r="CB111" s="119">
        <f>COUNTIFS(
    tb_estq[empresa], CB$6,
    tb_estq[Data da venda / reserva], "&gt;=" &amp; $A111,
    tb_estq[Data da venda / reserva], "&lt;"  &amp; EOMONTH($A111,0) + 1
)</f>
        <v>0</v>
      </c>
      <c r="CC111" s="120">
        <f ca="1">SUMIFS(tb_rec_uni[2030-01-01],
INDIRECT("tb_rec_uni[natureza]"),"pro.soluto",
INDIRECT("tb_rec_uni[empresa]"),CC$6)</f>
        <v>0</v>
      </c>
      <c r="CD111" s="120">
        <f ca="1">SUMIFS(tb_rec_uni[2030-01-01],
INDIRECT("tb_rec_uni[natureza]"),"repasse.cef.obra",
INDIRECT("tb_rec_uni[empresa]"),CD$6)</f>
        <v>0</v>
      </c>
      <c r="CE111" s="123">
        <f ca="1">SUMIFS(tb_rec_uni[2030-01-01],
INDIRECT("tb_rec_uni[natureza]"),"repasse.cef.terreno",
INDIRECT("tb_rec_uni[empresa]"),CE$6)</f>
        <v>0</v>
      </c>
      <c r="CF111" s="124"/>
      <c r="CG111" s="120">
        <f ca="1">SUMIFS(tb_rec_uni[2030-01-01],
INDIRECT("tb_rec_uni[natureza]"),"taxa.extra",
INDIRECT("tb_rec_uni[empresa]"),CG$6)</f>
        <v>0</v>
      </c>
      <c r="CH111" s="108"/>
      <c r="CI111" s="108">
        <f ca="1">SUMIFS(
  m.vb[valor],
  m.vb[nucleo],$CB$1,
  m.vb[variavel],CI$7,
  m.vb[mes],$A111
)</f>
        <v>0</v>
      </c>
      <c r="CJ111" s="108">
        <f ca="1">SUMIFS(
  m.vb[valor],
  m.vb[nucleo],$CB$1,
  m.vb[variavel],CJ$7,
  m.vb[mes],$A111
)</f>
        <v>0</v>
      </c>
      <c r="CK111" s="108">
        <f ca="1">SUMIFS(
  m.vb[valor],
  m.vb[nucleo],$CB$1,
  m.vb[variavel],CK$7,
  m.vb[mes],$A111
)</f>
        <v>0</v>
      </c>
      <c r="CL111" s="108">
        <f ca="1">SUMIFS(
  m.vb[valor],
  m.vb[nucleo],$CB$1,
  m.vb[variavel],CL$7,
  m.vb[mes],$A111
)</f>
        <v>0</v>
      </c>
      <c r="CM111" s="108">
        <f ca="1">SUMIFS(
  m.vb[valor],
  m.vb[nucleo],$CB$1,
  m.vb[variavel],CM$7,
  m.vb[mes],$A111
)</f>
        <v>0</v>
      </c>
      <c r="CN111" s="119">
        <f>COUNTIFS(
    tb_estq[empresa], CN$6,
    tb_estq[Data da venda / reserva], "&gt;=" &amp; $A111,
    tb_estq[Data da venda / reserva], "&lt;"  &amp; EOMONTH($A111,0) + 1
)</f>
        <v>0</v>
      </c>
      <c r="CO111" s="120">
        <f ca="1">SUMIFS(tb_rec_uni[2030-01-01],
INDIRECT("tb_rec_uni[natureza]"),"pro.soluto",
INDIRECT("tb_rec_uni[empresa]"),CO$6)</f>
        <v>0</v>
      </c>
      <c r="CP111" s="120">
        <f ca="1">SUMIFS(tb_rec_uni[2030-01-01],
INDIRECT("tb_rec_uni[natureza]"),"repasse.cef.obra",
INDIRECT("tb_rec_uni[empresa]"),CP$6)</f>
        <v>0</v>
      </c>
      <c r="CQ111" s="123">
        <f ca="1">SUMIFS(tb_rec_uni[2030-01-01],
INDIRECT("tb_rec_uni[natureza]"),"repasse.cef.terreno",
INDIRECT("tb_rec_uni[empresa]"),CQ$6)</f>
        <v>0</v>
      </c>
      <c r="CR111" s="124"/>
      <c r="CS111" s="120">
        <f ca="1">SUMIFS(tb_rec_uni[2030-01-01],
INDIRECT("tb_rec_uni[natureza]"),"taxa.extra",
INDIRECT("tb_rec_uni[empresa]"),CS$6)</f>
        <v>0</v>
      </c>
      <c r="CT111" s="108"/>
      <c r="CU111" s="108">
        <f ca="1">SUMIFS(
  m.vb[valor],
  m.vb[nucleo],$CN$1,
  m.vb[variavel],CU$7,
  m.vb[mes],$A111
)</f>
        <v>0</v>
      </c>
      <c r="CV111" s="108" cm="1">
        <f t="array" ref="CV111">SUMPRODUCT(
  IFERROR(--tb_desp[valor],0)*
  (tb_desp[nucleo]="UP MOVE VILA SONIA")*
  (tb_desp[categoria]=CV$7)*
  (tb_desp[data.pagamento]&gt;=$A111)*
  (tb_desp[data.pagamento]&lt;EOMONTH($A111,0)+1)
)</f>
        <v>0</v>
      </c>
      <c r="CW111" s="108" cm="1">
        <f t="array" ref="CW111">SUMPRODUCT(
  IFERROR(--tb_desp[valor],0)*
  (tb_desp[nucleo]="UP MOVE VILA SONIA")*
  (tb_desp[categoria]=CW$7)*
  (tb_desp[data.pagamento]&gt;=$A111)*
  (tb_desp[data.pagamento]&lt;EOMONTH($A111,0)+1)
)</f>
        <v>0</v>
      </c>
      <c r="CX111" s="108" cm="1">
        <f t="array" ref="CX111">SUMPRODUCT(
  IFERROR(--tb_desp[valor],0)*
  (tb_desp[nucleo]="UP MOVE VILA SONIA")*
  (tb_desp[categoria]=CX$7)*
  (tb_desp[data.pagamento]&gt;=$A111)*
  (tb_desp[data.pagamento]&lt;EOMONTH($A111,0)+1)
)</f>
        <v>0</v>
      </c>
      <c r="CY111" s="221" cm="1">
        <f t="array" ref="CY111">SUMPRODUCT(
  IFERROR(--tb_desp[valor],0)*
  (tb_desp[nucleo]="UP MOVE VILA SONIA")*
  (tb_desp[categoria]=CY$7)*
  (tb_desp[data.pagamento]&gt;=$A111)*
  (tb_desp[data.pagamento]&lt;EOMONTH($A111,0)+1)
)</f>
        <v>0</v>
      </c>
    </row>
    <row r="112" spans="1:103" x14ac:dyDescent="0.25">
      <c r="A112" s="118">
        <v>47515</v>
      </c>
      <c r="B112" s="119">
        <f>COUNTIFS(
    tb_estq[empresa], B$6,
    tb_estq[Data da venda / reserva], "&gt;=" &amp; $A112,
    tb_estq[Data da venda / reserva], "&lt;"  &amp; EOMONTH($A112,0) + 1
)</f>
        <v>0</v>
      </c>
      <c r="C112" s="120">
        <f ca="1">SUMIFS(tb_rec_uni[2030-02-01],
INDIRECT("tb_rec_uni[natureza]"),"pro.soluto",
INDIRECT("tb_rec_uni[empresa]"),C$6)</f>
        <v>0</v>
      </c>
      <c r="D112" s="120">
        <f ca="1">SUMIFS(tb_rec_uni[2030-02-01],
INDIRECT("tb_rec_uni[natureza]"),"repasse.cef.obra",
INDIRECT("tb_rec_uni[empresa]"),D$6)</f>
        <v>0</v>
      </c>
      <c r="E112" s="120">
        <f ca="1">SUMIFS(tb_rec_uni[2030-02-01],
INDIRECT("tb_rec_uni[natureza]"),"repasse.cef.terreno",
INDIRECT("tb_rec_uni[empresa]"),E$6)</f>
        <v>0</v>
      </c>
      <c r="F112" s="124"/>
      <c r="G112" s="120">
        <f ca="1">SUMIFS(tb_rec_uni[2030-02-01],
INDIRECT("tb_rec_uni[natureza]"),"taxa.extra",
INDIRECT("tb_rec_uni[empresa]"),G$6)</f>
        <v>0</v>
      </c>
      <c r="H112" s="108"/>
      <c r="I112" s="108">
        <f ca="1">SUMIFS(
  m.vb[valor],
  m.vb[nucleo],$B$1,
  m.vb[variavel],I$7,
  m.vb[mes],$A112
)</f>
        <v>0</v>
      </c>
      <c r="J112" s="108">
        <f ca="1">SUMIFS(
  m.vb[valor],
  m.vb[nucleo],$B$1,
  m.vb[variavel],J$7,
  m.vb[mes],$A112
)</f>
        <v>0</v>
      </c>
      <c r="K112" s="108">
        <f ca="1">SUMIFS(
  m.vb[valor],
  m.vb[nucleo],$B$1,
  m.vb[variavel],K$7,
  m.vb[mes],$A112
)</f>
        <v>0</v>
      </c>
      <c r="L112" s="108">
        <f ca="1">SUMIFS(
  m.vb[valor],
  m.vb[nucleo],$B$1,
  m.vb[variavel],L$7,
  m.vb[mes],$A112
)</f>
        <v>0</v>
      </c>
      <c r="M112" s="108">
        <f ca="1">SUMIFS(
  m.vb[valor],
  m.vb[nucleo],$B$1,
  m.vb[variavel],M$7,
  m.vb[mes],$A112
)</f>
        <v>0</v>
      </c>
      <c r="N112" s="119">
        <f>COUNTIFS(
    tb_estq[empresa], N$6,
    tb_estq[Data da venda / reserva], "&gt;=" &amp; $A112,
    tb_estq[Data da venda / reserva], "&lt;"  &amp; EOMONTH($A112,0) + 1
)</f>
        <v>0</v>
      </c>
      <c r="O112" s="120">
        <f ca="1">SUMIFS(tb_rec_uni[2030-02-01],
INDIRECT("tb_rec_uni[natureza]"),"pro.soluto",
INDIRECT("tb_rec_uni[empresa]"),O$6)</f>
        <v>0</v>
      </c>
      <c r="P112" s="120">
        <f ca="1">SUMIFS(tb_rec_uni[2030-02-01],
INDIRECT("tb_rec_uni[natureza]"),"repasse.cef.obra",
INDIRECT("tb_rec_uni[empresa]"),P$6)</f>
        <v>0</v>
      </c>
      <c r="Q112" s="120">
        <f ca="1">SUMIFS(tb_rec_uni[2030-02-01],
INDIRECT("tb_rec_uni[natureza]"),"repasse.cef.terreno",
INDIRECT("tb_rec_uni[empresa]"),Q$6)</f>
        <v>0</v>
      </c>
      <c r="R112" s="124"/>
      <c r="S112" s="120">
        <f ca="1">SUMIFS(tb_rec_uni[2030-02-01],
INDIRECT("tb_rec_uni[natureza]"),"taxa.extra",
INDIRECT("tb_rec_uni[empresa]"),S$6)</f>
        <v>0</v>
      </c>
      <c r="T112" s="108"/>
      <c r="U112" s="108">
        <f ca="1">SUMIFS(
  m.vb[valor],
  m.vb[nucleo],$N$1,
  m.vb[variavel],U$7,
  m.vb[mes],$A112
)</f>
        <v>0</v>
      </c>
      <c r="V112" s="108">
        <f ca="1">SUMIFS(
  m.vb[valor],
  m.vb[nucleo],$N$1,
  m.vb[variavel],V$7,
  m.vb[mes],$A112
)</f>
        <v>0</v>
      </c>
      <c r="W112" s="108">
        <f ca="1">SUMIFS(
  m.vb[valor],
  m.vb[nucleo],$N$1,
  m.vb[variavel],W$7,
  m.vb[mes],$A112
)</f>
        <v>0</v>
      </c>
      <c r="X112" s="108">
        <f ca="1">SUMIFS(
  m.vb[valor],
  m.vb[nucleo],$N$1,
  m.vb[variavel],X$7,
  m.vb[mes],$A112
)</f>
        <v>0</v>
      </c>
      <c r="Y112" s="108">
        <f ca="1">SUMIFS(
  m.vb[valor],
  m.vb[nucleo],$N$1,
  m.vb[variavel],Y$7,
  m.vb[mes],$A112
)</f>
        <v>0</v>
      </c>
      <c r="Z112" s="119">
        <f>COUNTIFS(
    tb_estq[empresa], Z$6,
    tb_estq[Data da venda / reserva], "&gt;=" &amp; $A112,
    tb_estq[Data da venda / reserva], "&lt;"  &amp; EOMONTH($A112,0) + 1
)</f>
        <v>0</v>
      </c>
      <c r="AA112" s="120">
        <f ca="1">SUMIFS(tb_rec_uni[2030-02-01],
INDIRECT("tb_rec_uni[natureza]"),"pro.soluto",
INDIRECT("tb_rec_uni[empresa]"),AA$6)</f>
        <v>0</v>
      </c>
      <c r="AB112" s="124">
        <f ca="1">SUMIFS(tb_rec_uni[2030-02-01],
INDIRECT("tb_rec_uni[natureza]"),"parcela.fin.total.ik",
INDIRECT("tb_rec_uni[empresa]"),AB$6)</f>
        <v>0</v>
      </c>
      <c r="AC112" s="120">
        <f ca="1">SUMIFS(tb_rec_uni[2030-02-01],
INDIRECT("tb_rec_uni[natureza]"),"taxa.extra",
INDIRECT("tb_rec_uni[empresa]"),AC$6)</f>
        <v>0</v>
      </c>
      <c r="AD112" s="108"/>
      <c r="AE112" s="108">
        <f ca="1">SUMIFS(
  m.vb[valor],
  m.vb[nucleo],$Z$1,
  m.vb[variavel],AE$7,
  m.vb[mes],$A112
)</f>
        <v>0</v>
      </c>
      <c r="AF112" s="108">
        <f ca="1">SUMIFS(
  m.vb[valor],
  m.vb[nucleo],$Z$1,
  m.vb[variavel],AF$7,
  m.vb[mes],$A112
)</f>
        <v>0</v>
      </c>
      <c r="AG112" s="108">
        <f ca="1">SUMIFS(
  m.vb[valor],
  m.vb[nucleo],$Z$1,
  m.vb[variavel],AG$7,
  m.vb[mes],$A112
)</f>
        <v>0</v>
      </c>
      <c r="AH112" s="108">
        <f ca="1">SUMIFS(
  m.vb[valor],
  m.vb[nucleo],$Z$1,
  m.vb[variavel],AH$7,
  m.vb[mes],$A112
)</f>
        <v>0</v>
      </c>
      <c r="AI112" s="108">
        <f ca="1">SUMIFS(
  m.vb[valor],
  m.vb[nucleo],$Z$1,
  m.vb[variavel],AI$7,
  m.vb[mes],$A112
)</f>
        <v>0</v>
      </c>
      <c r="AJ112" s="119">
        <f>COUNTIFS(
    tb_estq[empresa], AJ$6,
    tb_estq[Data da venda / reserva], "&gt;=" &amp; $A112,
    tb_estq[Data da venda / reserva], "&lt;"  &amp; EOMONTH($A112,0) + 1
)</f>
        <v>0</v>
      </c>
      <c r="AK112" s="120">
        <f ca="1">SUMIFS(tb_rec_uni[2030-02-01],
INDIRECT("tb_rec_uni[natureza]"),"pro.soluto",
INDIRECT("tb_rec_uni[empresa]"),AK$6)</f>
        <v>0</v>
      </c>
      <c r="AL112" s="120">
        <f ca="1">SUMIFS(tb_rec_uni[2030-02-01],
INDIRECT("tb_rec_uni[natureza]"),"repasse.cef.obra",
INDIRECT("tb_rec_uni[empresa]"),AL$6)</f>
        <v>0</v>
      </c>
      <c r="AM112" s="123">
        <f ca="1">SUMIFS(tb_rec_uni[2030-02-01],
INDIRECT("tb_rec_uni[natureza]"),"repasse.cef.terreno",
INDIRECT("tb_rec_uni[empresa]"),AM$6)</f>
        <v>0</v>
      </c>
      <c r="AN112" s="124"/>
      <c r="AO112" s="120">
        <f ca="1">SUMIFS(tb_rec_uni[2030-02-01],
INDIRECT("tb_rec_uni[natureza]"),"taxa.extra",
INDIRECT("tb_rec_uni[empresa]"),AO$6)</f>
        <v>0</v>
      </c>
      <c r="AP112" s="108"/>
      <c r="AQ112" s="108">
        <f ca="1">SUMIFS(
  m.vb[valor],
  m.vb[nucleo],$AJ$1,
  m.vb[variavel],AQ$7,
  m.vb[mes],$A112
)</f>
        <v>0</v>
      </c>
      <c r="AR112" s="108">
        <f ca="1">SUMIFS(
  m.vb[valor],
  m.vb[nucleo],$AJ$1,
  m.vb[variavel],AR$7,
  m.vb[mes],$A112
)</f>
        <v>0</v>
      </c>
      <c r="AS112" s="108">
        <f ca="1">SUMIFS(
  m.vb[valor],
  m.vb[nucleo],$AJ$1,
  m.vb[variavel],AS$7,
  m.vb[mes],$A112
)</f>
        <v>0</v>
      </c>
      <c r="AT112" s="108">
        <f ca="1">SUMIFS(
  m.vb[valor],
  m.vb[nucleo],$AJ$1,
  m.vb[variavel],AT$7,
  m.vb[mes],$A112
)</f>
        <v>0</v>
      </c>
      <c r="AU112" s="108">
        <f ca="1">SUMIFS(
  m.vb[valor],
  m.vb[nucleo],$AJ$1,
  m.vb[variavel],AU$7,
  m.vb[mes],$A112
)</f>
        <v>0</v>
      </c>
      <c r="AV112" s="119">
        <f>COUNTIFS(
    tb_estq[empresa], AV$6,
    tb_estq[Data da venda / reserva], "&gt;=" &amp; $A112,
    tb_estq[Data da venda / reserva], "&lt;"  &amp; EOMONTH($A112,0) + 1
)</f>
        <v>0</v>
      </c>
      <c r="AW112" s="120">
        <f ca="1">SUMIFS(tb_rec_uni[2030-02-01],
INDIRECT("tb_rec_uni[natureza]"),"pro.soluto",
INDIRECT("tb_rec_uni[empresa]"),AW$6)</f>
        <v>0</v>
      </c>
      <c r="AX112" s="120">
        <f ca="1">SUMIFS(tb_rec_uni[2030-02-01],
INDIRECT("tb_rec_uni[natureza]"),"repasse.cef.obra",
INDIRECT("tb_rec_uni[empresa]"),AX$6)</f>
        <v>0</v>
      </c>
      <c r="AY112" s="123">
        <f ca="1">SUMIFS(tb_rec_uni[2030-02-01],
INDIRECT("tb_rec_uni[natureza]"),"repasse.cef.terreno",
INDIRECT("tb_rec_uni[empresa]"),AY$6)</f>
        <v>0</v>
      </c>
      <c r="AZ112" s="124"/>
      <c r="BA112" s="120">
        <f ca="1">SUMIFS(tb_rec_uni[2030-02-01],
INDIRECT("tb_rec_uni[natureza]"),"taxa.extra",
INDIRECT("tb_rec_uni[empresa]"),BA$6)</f>
        <v>0</v>
      </c>
      <c r="BB112" s="108"/>
      <c r="BC112" s="108">
        <f ca="1">SUMIFS(
  m.vb[valor],
  m.vb[nucleo],$AV$1,
  m.vb[variavel],BC$7,
  m.vb[mes],$A112
)</f>
        <v>0</v>
      </c>
      <c r="BD112" s="108">
        <f ca="1">SUMIFS(
  m.vb[valor],
  m.vb[nucleo],$AV$1,
  m.vb[variavel],BD$7,
  m.vb[mes],$A112
)</f>
        <v>0</v>
      </c>
      <c r="BE112" s="108">
        <f ca="1">SUMIFS(
  m.vb[valor],
  m.vb[nucleo],$AV$1,
  m.vb[variavel],BE$7,
  m.vb[mes],$A112
)</f>
        <v>0</v>
      </c>
      <c r="BF112" s="108">
        <f ca="1">SUMIFS(
  m.vb[valor],
  m.vb[nucleo],$AV$1,
  m.vb[variavel],BF$7,
  m.vb[mes],$A112
)</f>
        <v>0</v>
      </c>
      <c r="BG112" s="108">
        <f ca="1">SUMIFS(
  m.vb[valor],
  m.vb[nucleo],$AV$1,
  m.vb[variavel],BG$7,
  m.vb[mes],$A112
)</f>
        <v>0</v>
      </c>
      <c r="BH112" s="119">
        <f>COUNTIFS(
    tb_estq[empresa], BH$6,
    tb_estq[Data da venda / reserva], "&gt;=" &amp; $A112,
    tb_estq[Data da venda / reserva], "&lt;"  &amp; EOMONTH($A112,0) + 1
)</f>
        <v>0</v>
      </c>
      <c r="BI112" s="120">
        <f ca="1">SUMIFS(tb_rec_uni[2030-02-01],
INDIRECT("tb_rec_uni[natureza]"),"pro.soluto",
INDIRECT("tb_rec_uni[empresa]"),BI$6)</f>
        <v>0</v>
      </c>
      <c r="BJ112" s="124"/>
      <c r="BK112" s="120">
        <f ca="1">SUMIFS(tb_rec_uni[2030-02-01],
INDIRECT("tb_rec_uni[natureza]"),"taxa.extra",
INDIRECT("tb_rec_uni[empresa]"),BK$6)</f>
        <v>0</v>
      </c>
      <c r="BL112" s="108"/>
      <c r="BM112" s="108">
        <f ca="1">SUMIFS(
  m.vb[valor],
  m.vb[nucleo],$BH$1,
  m.vb[variavel],BM$7,
  m.vb[mes],$A112
)</f>
        <v>0</v>
      </c>
      <c r="BN112" s="108">
        <f ca="1">SUMIFS(
  m.vb[valor],
  m.vb[nucleo],$BH$1,
  m.vb[variavel],BN$7,
  m.vb[mes],$A112
)</f>
        <v>0</v>
      </c>
      <c r="BO112" s="108">
        <f ca="1">SUMIFS(
  m.vb[valor],
  m.vb[nucleo],$BH$1,
  m.vb[variavel],BO$7,
  m.vb[mes],$A112
)</f>
        <v>0</v>
      </c>
      <c r="BP112" s="108">
        <f ca="1">SUMIFS(
  m.vb[valor],
  m.vb[nucleo],$BH$1,
  m.vb[variavel],BP$7,
  m.vb[mes],$A112
)</f>
        <v>0</v>
      </c>
      <c r="BQ112" s="108">
        <f ca="1">SUMIFS(
  m.vb[valor],
  m.vb[nucleo],$BH$1,
  m.vb[variavel],BQ$7,
  m.vb[mes],$A112
)</f>
        <v>0</v>
      </c>
      <c r="BR112" s="119">
        <f>COUNTIFS(
    tb_estq[empresa], BR$6,
    tb_estq[Data da venda / reserva], "&gt;=" &amp; $A112,
    tb_estq[Data da venda / reserva], "&lt;"  &amp; EOMONTH($A112,0) + 1
)</f>
        <v>0</v>
      </c>
      <c r="BS112" s="120">
        <f ca="1">SUMIFS(tb_rec_uni[2030-02-01],
INDIRECT("tb_rec_uni[natureza]"),"pro.soluto",
INDIRECT("tb_rec_uni[empresa]"),BS$6)</f>
        <v>0</v>
      </c>
      <c r="BT112" s="124">
        <f ca="1">SUMIFS(tb_rec_uni[2030-02-01],
INDIRECT("tb_rec_uni[natureza]"),"parcela.fin.total.ik",
INDIRECT("tb_rec_uni[empresa]"),BT$6)</f>
        <v>0</v>
      </c>
      <c r="BU112" s="120">
        <f ca="1">SUMIFS(tb_rec_uni[2030-02-01],
INDIRECT("tb_rec_uni[natureza]"),"taxa.extra",
INDIRECT("tb_rec_uni[empresa]"),BU$6)</f>
        <v>0</v>
      </c>
      <c r="BV112" s="108"/>
      <c r="BW112" s="108">
        <f ca="1">SUMIFS(
  m.vb[valor],
  m.vb[nucleo],$BR$1,
  m.vb[variavel],BW$7,
  m.vb[mes],$A112
)</f>
        <v>0</v>
      </c>
      <c r="BX112" s="108">
        <f ca="1">SUMIFS(
  m.vb[valor],
  m.vb[nucleo],$BR$1,
  m.vb[variavel],BX$7,
  m.vb[mes],$A112
)</f>
        <v>0</v>
      </c>
      <c r="BY112" s="108">
        <f ca="1">SUMIFS(
  m.vb[valor],
  m.vb[nucleo],$BR$1,
  m.vb[variavel],BY$7,
  m.vb[mes],$A112
)</f>
        <v>0</v>
      </c>
      <c r="BZ112" s="108">
        <f ca="1">SUMIFS(
  m.vb[valor],
  m.vb[nucleo],$BR$1,
  m.vb[variavel],BZ$7,
  m.vb[mes],$A112
)</f>
        <v>0</v>
      </c>
      <c r="CA112" s="108">
        <f ca="1">SUMIFS(
  m.vb[valor],
  m.vb[nucleo],$BR$1,
  m.vb[variavel],CA$7,
  m.vb[mes],$A112
)</f>
        <v>0</v>
      </c>
      <c r="CB112" s="119">
        <f>COUNTIFS(
    tb_estq[empresa], CB$6,
    tb_estq[Data da venda / reserva], "&gt;=" &amp; $A112,
    tb_estq[Data da venda / reserva], "&lt;"  &amp; EOMONTH($A112,0) + 1
)</f>
        <v>0</v>
      </c>
      <c r="CC112" s="120">
        <f ca="1">SUMIFS(tb_rec_uni[2030-02-01],
INDIRECT("tb_rec_uni[natureza]"),"pro.soluto",
INDIRECT("tb_rec_uni[empresa]"),CC$6)</f>
        <v>0</v>
      </c>
      <c r="CD112" s="120">
        <f ca="1">SUMIFS(tb_rec_uni[2030-02-01],
INDIRECT("tb_rec_uni[natureza]"),"repasse.cef.obra",
INDIRECT("tb_rec_uni[empresa]"),CD$6)</f>
        <v>0</v>
      </c>
      <c r="CE112" s="123">
        <f ca="1">SUMIFS(tb_rec_uni[2030-02-01],
INDIRECT("tb_rec_uni[natureza]"),"repasse.cef.terreno",
INDIRECT("tb_rec_uni[empresa]"),CE$6)</f>
        <v>0</v>
      </c>
      <c r="CF112" s="124"/>
      <c r="CG112" s="120">
        <f ca="1">SUMIFS(tb_rec_uni[2030-02-01],
INDIRECT("tb_rec_uni[natureza]"),"taxa.extra",
INDIRECT("tb_rec_uni[empresa]"),CG$6)</f>
        <v>0</v>
      </c>
      <c r="CH112" s="108"/>
      <c r="CI112" s="108">
        <f ca="1">SUMIFS(
  m.vb[valor],
  m.vb[nucleo],$CB$1,
  m.vb[variavel],CI$7,
  m.vb[mes],$A112
)</f>
        <v>0</v>
      </c>
      <c r="CJ112" s="108">
        <f ca="1">SUMIFS(
  m.vb[valor],
  m.vb[nucleo],$CB$1,
  m.vb[variavel],CJ$7,
  m.vb[mes],$A112
)</f>
        <v>0</v>
      </c>
      <c r="CK112" s="108">
        <f ca="1">SUMIFS(
  m.vb[valor],
  m.vb[nucleo],$CB$1,
  m.vb[variavel],CK$7,
  m.vb[mes],$A112
)</f>
        <v>0</v>
      </c>
      <c r="CL112" s="108">
        <f ca="1">SUMIFS(
  m.vb[valor],
  m.vb[nucleo],$CB$1,
  m.vb[variavel],CL$7,
  m.vb[mes],$A112
)</f>
        <v>0</v>
      </c>
      <c r="CM112" s="108">
        <f ca="1">SUMIFS(
  m.vb[valor],
  m.vb[nucleo],$CB$1,
  m.vb[variavel],CM$7,
  m.vb[mes],$A112
)</f>
        <v>0</v>
      </c>
      <c r="CN112" s="119">
        <f>COUNTIFS(
    tb_estq[empresa], CN$6,
    tb_estq[Data da venda / reserva], "&gt;=" &amp; $A112,
    tb_estq[Data da venda / reserva], "&lt;"  &amp; EOMONTH($A112,0) + 1
)</f>
        <v>0</v>
      </c>
      <c r="CO112" s="120">
        <f ca="1">SUMIFS(tb_rec_uni[2030-02-01],
INDIRECT("tb_rec_uni[natureza]"),"pro.soluto",
INDIRECT("tb_rec_uni[empresa]"),CO$6)</f>
        <v>0</v>
      </c>
      <c r="CP112" s="120">
        <f ca="1">SUMIFS(tb_rec_uni[2030-02-01],
INDIRECT("tb_rec_uni[natureza]"),"repasse.cef.obra",
INDIRECT("tb_rec_uni[empresa]"),CP$6)</f>
        <v>0</v>
      </c>
      <c r="CQ112" s="123">
        <f ca="1">SUMIFS(tb_rec_uni[2030-02-01],
INDIRECT("tb_rec_uni[natureza]"),"repasse.cef.terreno",
INDIRECT("tb_rec_uni[empresa]"),CQ$6)</f>
        <v>0</v>
      </c>
      <c r="CR112" s="124"/>
      <c r="CS112" s="120">
        <f ca="1">SUMIFS(tb_rec_uni[2030-02-01],
INDIRECT("tb_rec_uni[natureza]"),"taxa.extra",
INDIRECT("tb_rec_uni[empresa]"),CS$6)</f>
        <v>0</v>
      </c>
      <c r="CT112" s="108"/>
      <c r="CU112" s="108">
        <f ca="1">SUMIFS(
  m.vb[valor],
  m.vb[nucleo],$CN$1,
  m.vb[variavel],CU$7,
  m.vb[mes],$A112
)</f>
        <v>0</v>
      </c>
      <c r="CV112" s="108" cm="1">
        <f t="array" ref="CV112">SUMPRODUCT(
  IFERROR(--tb_desp[valor],0)*
  (tb_desp[nucleo]="UP MOVE VILA SONIA")*
  (tb_desp[categoria]=CV$7)*
  (tb_desp[data.pagamento]&gt;=$A112)*
  (tb_desp[data.pagamento]&lt;EOMONTH($A112,0)+1)
)</f>
        <v>0</v>
      </c>
      <c r="CW112" s="108" cm="1">
        <f t="array" ref="CW112">SUMPRODUCT(
  IFERROR(--tb_desp[valor],0)*
  (tb_desp[nucleo]="UP MOVE VILA SONIA")*
  (tb_desp[categoria]=CW$7)*
  (tb_desp[data.pagamento]&gt;=$A112)*
  (tb_desp[data.pagamento]&lt;EOMONTH($A112,0)+1)
)</f>
        <v>0</v>
      </c>
      <c r="CX112" s="108" cm="1">
        <f t="array" ref="CX112">SUMPRODUCT(
  IFERROR(--tb_desp[valor],0)*
  (tb_desp[nucleo]="UP MOVE VILA SONIA")*
  (tb_desp[categoria]=CX$7)*
  (tb_desp[data.pagamento]&gt;=$A112)*
  (tb_desp[data.pagamento]&lt;EOMONTH($A112,0)+1)
)</f>
        <v>0</v>
      </c>
      <c r="CY112" s="221" cm="1">
        <f t="array" ref="CY112">SUMPRODUCT(
  IFERROR(--tb_desp[valor],0)*
  (tb_desp[nucleo]="UP MOVE VILA SONIA")*
  (tb_desp[categoria]=CY$7)*
  (tb_desp[data.pagamento]&gt;=$A112)*
  (tb_desp[data.pagamento]&lt;EOMONTH($A112,0)+1)
)</f>
        <v>0</v>
      </c>
    </row>
    <row r="113" spans="1:103" x14ac:dyDescent="0.25">
      <c r="A113" s="118">
        <v>47543</v>
      </c>
      <c r="B113" s="119">
        <f>COUNTIFS(
    tb_estq[empresa], B$6,
    tb_estq[Data da venda / reserva], "&gt;=" &amp; $A113,
    tb_estq[Data da venda / reserva], "&lt;"  &amp; EOMONTH($A113,0) + 1
)</f>
        <v>0</v>
      </c>
      <c r="C113" s="120">
        <f ca="1">SUMIFS(tb_rec_uni[2030-03-01],
INDIRECT("tb_rec_uni[natureza]"),"pro.soluto",
INDIRECT("tb_rec_uni[empresa]"),C$6)</f>
        <v>0</v>
      </c>
      <c r="D113" s="120">
        <f ca="1">SUMIFS(tb_rec_uni[2030-03-01],
INDIRECT("tb_rec_uni[natureza]"),"repasse.cef.obra",
INDIRECT("tb_rec_uni[empresa]"),D$6)</f>
        <v>0</v>
      </c>
      <c r="E113" s="120">
        <f ca="1">SUMIFS(tb_rec_uni[2030-03-01],
INDIRECT("tb_rec_uni[natureza]"),"repasse.cef.terreno",
INDIRECT("tb_rec_uni[empresa]"),E$6)</f>
        <v>0</v>
      </c>
      <c r="F113" s="124"/>
      <c r="G113" s="120">
        <f ca="1">SUMIFS(tb_rec_uni[2030-03-01],
INDIRECT("tb_rec_uni[natureza]"),"taxa.extra",
INDIRECT("tb_rec_uni[empresa]"),G$6)</f>
        <v>0</v>
      </c>
      <c r="H113" s="108"/>
      <c r="I113" s="108">
        <f ca="1">SUMIFS(
  m.vb[valor],
  m.vb[nucleo],$B$1,
  m.vb[variavel],I$7,
  m.vb[mes],$A113
)</f>
        <v>0</v>
      </c>
      <c r="J113" s="108">
        <f ca="1">SUMIFS(
  m.vb[valor],
  m.vb[nucleo],$B$1,
  m.vb[variavel],J$7,
  m.vb[mes],$A113
)</f>
        <v>0</v>
      </c>
      <c r="K113" s="108">
        <f ca="1">SUMIFS(
  m.vb[valor],
  m.vb[nucleo],$B$1,
  m.vb[variavel],K$7,
  m.vb[mes],$A113
)</f>
        <v>0</v>
      </c>
      <c r="L113" s="108">
        <f ca="1">SUMIFS(
  m.vb[valor],
  m.vb[nucleo],$B$1,
  m.vb[variavel],L$7,
  m.vb[mes],$A113
)</f>
        <v>0</v>
      </c>
      <c r="M113" s="108">
        <f ca="1">SUMIFS(
  m.vb[valor],
  m.vb[nucleo],$B$1,
  m.vb[variavel],M$7,
  m.vb[mes],$A113
)</f>
        <v>0</v>
      </c>
      <c r="N113" s="119">
        <f>COUNTIFS(
    tb_estq[empresa], N$6,
    tb_estq[Data da venda / reserva], "&gt;=" &amp; $A113,
    tb_estq[Data da venda / reserva], "&lt;"  &amp; EOMONTH($A113,0) + 1
)</f>
        <v>0</v>
      </c>
      <c r="O113" s="120">
        <f ca="1">SUMIFS(tb_rec_uni[2030-03-01],
INDIRECT("tb_rec_uni[natureza]"),"pro.soluto",
INDIRECT("tb_rec_uni[empresa]"),O$6)</f>
        <v>0</v>
      </c>
      <c r="P113" s="120">
        <f ca="1">SUMIFS(tb_rec_uni[2030-03-01],
INDIRECT("tb_rec_uni[natureza]"),"repasse.cef.obra",
INDIRECT("tb_rec_uni[empresa]"),P$6)</f>
        <v>0</v>
      </c>
      <c r="Q113" s="120">
        <f ca="1">SUMIFS(tb_rec_uni[2030-03-01],
INDIRECT("tb_rec_uni[natureza]"),"repasse.cef.terreno",
INDIRECT("tb_rec_uni[empresa]"),Q$6)</f>
        <v>0</v>
      </c>
      <c r="R113" s="124"/>
      <c r="S113" s="120">
        <f ca="1">SUMIFS(tb_rec_uni[2030-03-01],
INDIRECT("tb_rec_uni[natureza]"),"taxa.extra",
INDIRECT("tb_rec_uni[empresa]"),S$6)</f>
        <v>0</v>
      </c>
      <c r="T113" s="108"/>
      <c r="U113" s="108">
        <f ca="1">SUMIFS(
  m.vb[valor],
  m.vb[nucleo],$N$1,
  m.vb[variavel],U$7,
  m.vb[mes],$A113
)</f>
        <v>0</v>
      </c>
      <c r="V113" s="108">
        <f ca="1">SUMIFS(
  m.vb[valor],
  m.vb[nucleo],$N$1,
  m.vb[variavel],V$7,
  m.vb[mes],$A113
)</f>
        <v>0</v>
      </c>
      <c r="W113" s="108">
        <f ca="1">SUMIFS(
  m.vb[valor],
  m.vb[nucleo],$N$1,
  m.vb[variavel],W$7,
  m.vb[mes],$A113
)</f>
        <v>0</v>
      </c>
      <c r="X113" s="108">
        <f ca="1">SUMIFS(
  m.vb[valor],
  m.vb[nucleo],$N$1,
  m.vb[variavel],X$7,
  m.vb[mes],$A113
)</f>
        <v>0</v>
      </c>
      <c r="Y113" s="108">
        <f ca="1">SUMIFS(
  m.vb[valor],
  m.vb[nucleo],$N$1,
  m.vb[variavel],Y$7,
  m.vb[mes],$A113
)</f>
        <v>0</v>
      </c>
      <c r="Z113" s="119">
        <f>COUNTIFS(
    tb_estq[empresa], Z$6,
    tb_estq[Data da venda / reserva], "&gt;=" &amp; $A113,
    tb_estq[Data da venda / reserva], "&lt;"  &amp; EOMONTH($A113,0) + 1
)</f>
        <v>0</v>
      </c>
      <c r="AA113" s="120">
        <f ca="1">SUMIFS(tb_rec_uni[2030-03-01],
INDIRECT("tb_rec_uni[natureza]"),"pro.soluto",
INDIRECT("tb_rec_uni[empresa]"),AA$6)</f>
        <v>0</v>
      </c>
      <c r="AB113" s="124">
        <f ca="1">SUMIFS(tb_rec_uni[2030-03-01],
INDIRECT("tb_rec_uni[natureza]"),"parcela.fin.total.ik",
INDIRECT("tb_rec_uni[empresa]"),AB$6)</f>
        <v>0</v>
      </c>
      <c r="AC113" s="120">
        <f ca="1">SUMIFS(tb_rec_uni[2030-03-01],
INDIRECT("tb_rec_uni[natureza]"),"taxa.extra",
INDIRECT("tb_rec_uni[empresa]"),AC$6)</f>
        <v>0</v>
      </c>
      <c r="AD113" s="108"/>
      <c r="AE113" s="108">
        <f ca="1">SUMIFS(
  m.vb[valor],
  m.vb[nucleo],$Z$1,
  m.vb[variavel],AE$7,
  m.vb[mes],$A113
)</f>
        <v>0</v>
      </c>
      <c r="AF113" s="108">
        <f ca="1">SUMIFS(
  m.vb[valor],
  m.vb[nucleo],$Z$1,
  m.vb[variavel],AF$7,
  m.vb[mes],$A113
)</f>
        <v>0</v>
      </c>
      <c r="AG113" s="108">
        <f ca="1">SUMIFS(
  m.vb[valor],
  m.vb[nucleo],$Z$1,
  m.vb[variavel],AG$7,
  m.vb[mes],$A113
)</f>
        <v>0</v>
      </c>
      <c r="AH113" s="108">
        <f ca="1">SUMIFS(
  m.vb[valor],
  m.vb[nucleo],$Z$1,
  m.vb[variavel],AH$7,
  m.vb[mes],$A113
)</f>
        <v>0</v>
      </c>
      <c r="AI113" s="108">
        <f ca="1">SUMIFS(
  m.vb[valor],
  m.vb[nucleo],$Z$1,
  m.vb[variavel],AI$7,
  m.vb[mes],$A113
)</f>
        <v>0</v>
      </c>
      <c r="AJ113" s="119">
        <f>COUNTIFS(
    tb_estq[empresa], AJ$6,
    tb_estq[Data da venda / reserva], "&gt;=" &amp; $A113,
    tb_estq[Data da venda / reserva], "&lt;"  &amp; EOMONTH($A113,0) + 1
)</f>
        <v>0</v>
      </c>
      <c r="AK113" s="120">
        <f ca="1">SUMIFS(tb_rec_uni[2030-03-01],
INDIRECT("tb_rec_uni[natureza]"),"pro.soluto",
INDIRECT("tb_rec_uni[empresa]"),AK$6)</f>
        <v>0</v>
      </c>
      <c r="AL113" s="120">
        <f ca="1">SUMIFS(tb_rec_uni[2030-03-01],
INDIRECT("tb_rec_uni[natureza]"),"repasse.cef.obra",
INDIRECT("tb_rec_uni[empresa]"),AL$6)</f>
        <v>0</v>
      </c>
      <c r="AM113" s="123">
        <f ca="1">SUMIFS(tb_rec_uni[2030-03-01],
INDIRECT("tb_rec_uni[natureza]"),"repasse.cef.terreno",
INDIRECT("tb_rec_uni[empresa]"),AM$6)</f>
        <v>0</v>
      </c>
      <c r="AN113" s="124"/>
      <c r="AO113" s="120">
        <f ca="1">SUMIFS(tb_rec_uni[2030-03-01],
INDIRECT("tb_rec_uni[natureza]"),"taxa.extra",
INDIRECT("tb_rec_uni[empresa]"),AO$6)</f>
        <v>0</v>
      </c>
      <c r="AP113" s="108"/>
      <c r="AQ113" s="108">
        <f ca="1">SUMIFS(
  m.vb[valor],
  m.vb[nucleo],$AJ$1,
  m.vb[variavel],AQ$7,
  m.vb[mes],$A113
)</f>
        <v>0</v>
      </c>
      <c r="AR113" s="108">
        <f ca="1">SUMIFS(
  m.vb[valor],
  m.vb[nucleo],$AJ$1,
  m.vb[variavel],AR$7,
  m.vb[mes],$A113
)</f>
        <v>0</v>
      </c>
      <c r="AS113" s="108">
        <f ca="1">SUMIFS(
  m.vb[valor],
  m.vb[nucleo],$AJ$1,
  m.vb[variavel],AS$7,
  m.vb[mes],$A113
)</f>
        <v>0</v>
      </c>
      <c r="AT113" s="108">
        <f ca="1">SUMIFS(
  m.vb[valor],
  m.vb[nucleo],$AJ$1,
  m.vb[variavel],AT$7,
  m.vb[mes],$A113
)</f>
        <v>0</v>
      </c>
      <c r="AU113" s="108">
        <f ca="1">SUMIFS(
  m.vb[valor],
  m.vb[nucleo],$AJ$1,
  m.vb[variavel],AU$7,
  m.vb[mes],$A113
)</f>
        <v>0</v>
      </c>
      <c r="AV113" s="119">
        <f>COUNTIFS(
    tb_estq[empresa], AV$6,
    tb_estq[Data da venda / reserva], "&gt;=" &amp; $A113,
    tb_estq[Data da venda / reserva], "&lt;"  &amp; EOMONTH($A113,0) + 1
)</f>
        <v>0</v>
      </c>
      <c r="AW113" s="120">
        <f ca="1">SUMIFS(tb_rec_uni[2030-03-01],
INDIRECT("tb_rec_uni[natureza]"),"pro.soluto",
INDIRECT("tb_rec_uni[empresa]"),AW$6)</f>
        <v>0</v>
      </c>
      <c r="AX113" s="120">
        <f ca="1">SUMIFS(tb_rec_uni[2030-03-01],
INDIRECT("tb_rec_uni[natureza]"),"repasse.cef.obra",
INDIRECT("tb_rec_uni[empresa]"),AX$6)</f>
        <v>0</v>
      </c>
      <c r="AY113" s="123">
        <f ca="1">SUMIFS(tb_rec_uni[2030-03-01],
INDIRECT("tb_rec_uni[natureza]"),"repasse.cef.terreno",
INDIRECT("tb_rec_uni[empresa]"),AY$6)</f>
        <v>0</v>
      </c>
      <c r="AZ113" s="124"/>
      <c r="BA113" s="120">
        <f ca="1">SUMIFS(tb_rec_uni[2030-03-01],
INDIRECT("tb_rec_uni[natureza]"),"taxa.extra",
INDIRECT("tb_rec_uni[empresa]"),BA$6)</f>
        <v>0</v>
      </c>
      <c r="BB113" s="108"/>
      <c r="BC113" s="108">
        <f ca="1">SUMIFS(
  m.vb[valor],
  m.vb[nucleo],$AV$1,
  m.vb[variavel],BC$7,
  m.vb[mes],$A113
)</f>
        <v>0</v>
      </c>
      <c r="BD113" s="108">
        <f ca="1">SUMIFS(
  m.vb[valor],
  m.vb[nucleo],$AV$1,
  m.vb[variavel],BD$7,
  m.vb[mes],$A113
)</f>
        <v>0</v>
      </c>
      <c r="BE113" s="108">
        <f ca="1">SUMIFS(
  m.vb[valor],
  m.vb[nucleo],$AV$1,
  m.vb[variavel],BE$7,
  m.vb[mes],$A113
)</f>
        <v>0</v>
      </c>
      <c r="BF113" s="108">
        <f ca="1">SUMIFS(
  m.vb[valor],
  m.vb[nucleo],$AV$1,
  m.vb[variavel],BF$7,
  m.vb[mes],$A113
)</f>
        <v>0</v>
      </c>
      <c r="BG113" s="108">
        <f ca="1">SUMIFS(
  m.vb[valor],
  m.vb[nucleo],$AV$1,
  m.vb[variavel],BG$7,
  m.vb[mes],$A113
)</f>
        <v>0</v>
      </c>
      <c r="BH113" s="119">
        <f>COUNTIFS(
    tb_estq[empresa], BH$6,
    tb_estq[Data da venda / reserva], "&gt;=" &amp; $A113,
    tb_estq[Data da venda / reserva], "&lt;"  &amp; EOMONTH($A113,0) + 1
)</f>
        <v>0</v>
      </c>
      <c r="BI113" s="120">
        <f ca="1">SUMIFS(tb_rec_uni[2030-03-01],
INDIRECT("tb_rec_uni[natureza]"),"pro.soluto",
INDIRECT("tb_rec_uni[empresa]"),BI$6)</f>
        <v>0</v>
      </c>
      <c r="BJ113" s="124"/>
      <c r="BK113" s="120">
        <f ca="1">SUMIFS(tb_rec_uni[2030-03-01],
INDIRECT("tb_rec_uni[natureza]"),"taxa.extra",
INDIRECT("tb_rec_uni[empresa]"),BK$6)</f>
        <v>0</v>
      </c>
      <c r="BL113" s="108"/>
      <c r="BM113" s="108">
        <f ca="1">SUMIFS(
  m.vb[valor],
  m.vb[nucleo],$BH$1,
  m.vb[variavel],BM$7,
  m.vb[mes],$A113
)</f>
        <v>0</v>
      </c>
      <c r="BN113" s="108">
        <f ca="1">SUMIFS(
  m.vb[valor],
  m.vb[nucleo],$BH$1,
  m.vb[variavel],BN$7,
  m.vb[mes],$A113
)</f>
        <v>0</v>
      </c>
      <c r="BO113" s="108">
        <f ca="1">SUMIFS(
  m.vb[valor],
  m.vb[nucleo],$BH$1,
  m.vb[variavel],BO$7,
  m.vb[mes],$A113
)</f>
        <v>0</v>
      </c>
      <c r="BP113" s="108">
        <f ca="1">SUMIFS(
  m.vb[valor],
  m.vb[nucleo],$BH$1,
  m.vb[variavel],BP$7,
  m.vb[mes],$A113
)</f>
        <v>0</v>
      </c>
      <c r="BQ113" s="108">
        <f ca="1">SUMIFS(
  m.vb[valor],
  m.vb[nucleo],$BH$1,
  m.vb[variavel],BQ$7,
  m.vb[mes],$A113
)</f>
        <v>0</v>
      </c>
      <c r="BR113" s="119">
        <f>COUNTIFS(
    tb_estq[empresa], BR$6,
    tb_estq[Data da venda / reserva], "&gt;=" &amp; $A113,
    tb_estq[Data da venda / reserva], "&lt;"  &amp; EOMONTH($A113,0) + 1
)</f>
        <v>0</v>
      </c>
      <c r="BS113" s="120">
        <f ca="1">SUMIFS(tb_rec_uni[2030-03-01],
INDIRECT("tb_rec_uni[natureza]"),"pro.soluto",
INDIRECT("tb_rec_uni[empresa]"),BS$6)</f>
        <v>0</v>
      </c>
      <c r="BT113" s="124">
        <f ca="1">SUMIFS(tb_rec_uni[2030-03-01],
INDIRECT("tb_rec_uni[natureza]"),"parcela.fin.total.ik",
INDIRECT("tb_rec_uni[empresa]"),BT$6)</f>
        <v>0</v>
      </c>
      <c r="BU113" s="120">
        <f ca="1">SUMIFS(tb_rec_uni[2030-03-01],
INDIRECT("tb_rec_uni[natureza]"),"taxa.extra",
INDIRECT("tb_rec_uni[empresa]"),BU$6)</f>
        <v>0</v>
      </c>
      <c r="BV113" s="108"/>
      <c r="BW113" s="108">
        <f ca="1">SUMIFS(
  m.vb[valor],
  m.vb[nucleo],$BR$1,
  m.vb[variavel],BW$7,
  m.vb[mes],$A113
)</f>
        <v>0</v>
      </c>
      <c r="BX113" s="108">
        <f ca="1">SUMIFS(
  m.vb[valor],
  m.vb[nucleo],$BR$1,
  m.vb[variavel],BX$7,
  m.vb[mes],$A113
)</f>
        <v>0</v>
      </c>
      <c r="BY113" s="108">
        <f ca="1">SUMIFS(
  m.vb[valor],
  m.vb[nucleo],$BR$1,
  m.vb[variavel],BY$7,
  m.vb[mes],$A113
)</f>
        <v>0</v>
      </c>
      <c r="BZ113" s="108">
        <f ca="1">SUMIFS(
  m.vb[valor],
  m.vb[nucleo],$BR$1,
  m.vb[variavel],BZ$7,
  m.vb[mes],$A113
)</f>
        <v>0</v>
      </c>
      <c r="CA113" s="108">
        <f ca="1">SUMIFS(
  m.vb[valor],
  m.vb[nucleo],$BR$1,
  m.vb[variavel],CA$7,
  m.vb[mes],$A113
)</f>
        <v>0</v>
      </c>
      <c r="CB113" s="119">
        <f>COUNTIFS(
    tb_estq[empresa], CB$6,
    tb_estq[Data da venda / reserva], "&gt;=" &amp; $A113,
    tb_estq[Data da venda / reserva], "&lt;"  &amp; EOMONTH($A113,0) + 1
)</f>
        <v>0</v>
      </c>
      <c r="CC113" s="120">
        <f ca="1">SUMIFS(tb_rec_uni[2030-03-01],
INDIRECT("tb_rec_uni[natureza]"),"pro.soluto",
INDIRECT("tb_rec_uni[empresa]"),CC$6)</f>
        <v>0</v>
      </c>
      <c r="CD113" s="120">
        <f ca="1">SUMIFS(tb_rec_uni[2030-03-01],
INDIRECT("tb_rec_uni[natureza]"),"repasse.cef.obra",
INDIRECT("tb_rec_uni[empresa]"),CD$6)</f>
        <v>0</v>
      </c>
      <c r="CE113" s="123">
        <f ca="1">SUMIFS(tb_rec_uni[2030-03-01],
INDIRECT("tb_rec_uni[natureza]"),"repasse.cef.terreno",
INDIRECT("tb_rec_uni[empresa]"),CE$6)</f>
        <v>0</v>
      </c>
      <c r="CF113" s="124"/>
      <c r="CG113" s="120">
        <f ca="1">SUMIFS(tb_rec_uni[2030-03-01],
INDIRECT("tb_rec_uni[natureza]"),"taxa.extra",
INDIRECT("tb_rec_uni[empresa]"),CG$6)</f>
        <v>0</v>
      </c>
      <c r="CH113" s="108"/>
      <c r="CI113" s="108">
        <f ca="1">SUMIFS(
  m.vb[valor],
  m.vb[nucleo],$CB$1,
  m.vb[variavel],CI$7,
  m.vb[mes],$A113
)</f>
        <v>0</v>
      </c>
      <c r="CJ113" s="108">
        <f ca="1">SUMIFS(
  m.vb[valor],
  m.vb[nucleo],$CB$1,
  m.vb[variavel],CJ$7,
  m.vb[mes],$A113
)</f>
        <v>0</v>
      </c>
      <c r="CK113" s="108">
        <f ca="1">SUMIFS(
  m.vb[valor],
  m.vb[nucleo],$CB$1,
  m.vb[variavel],CK$7,
  m.vb[mes],$A113
)</f>
        <v>0</v>
      </c>
      <c r="CL113" s="108">
        <f ca="1">SUMIFS(
  m.vb[valor],
  m.vb[nucleo],$CB$1,
  m.vb[variavel],CL$7,
  m.vb[mes],$A113
)</f>
        <v>0</v>
      </c>
      <c r="CM113" s="108">
        <f ca="1">SUMIFS(
  m.vb[valor],
  m.vb[nucleo],$CB$1,
  m.vb[variavel],CM$7,
  m.vb[mes],$A113
)</f>
        <v>0</v>
      </c>
      <c r="CN113" s="119">
        <f>COUNTIFS(
    tb_estq[empresa], CN$6,
    tb_estq[Data da venda / reserva], "&gt;=" &amp; $A113,
    tb_estq[Data da venda / reserva], "&lt;"  &amp; EOMONTH($A113,0) + 1
)</f>
        <v>0</v>
      </c>
      <c r="CO113" s="120">
        <f ca="1">SUMIFS(tb_rec_uni[2030-03-01],
INDIRECT("tb_rec_uni[natureza]"),"pro.soluto",
INDIRECT("tb_rec_uni[empresa]"),CO$6)</f>
        <v>0</v>
      </c>
      <c r="CP113" s="120">
        <f ca="1">SUMIFS(tb_rec_uni[2030-03-01],
INDIRECT("tb_rec_uni[natureza]"),"repasse.cef.obra",
INDIRECT("tb_rec_uni[empresa]"),CP$6)</f>
        <v>0</v>
      </c>
      <c r="CQ113" s="123">
        <f ca="1">SUMIFS(tb_rec_uni[2030-03-01],
INDIRECT("tb_rec_uni[natureza]"),"repasse.cef.terreno",
INDIRECT("tb_rec_uni[empresa]"),CQ$6)</f>
        <v>0</v>
      </c>
      <c r="CR113" s="124"/>
      <c r="CS113" s="120">
        <f ca="1">SUMIFS(tb_rec_uni[2030-03-01],
INDIRECT("tb_rec_uni[natureza]"),"taxa.extra",
INDIRECT("tb_rec_uni[empresa]"),CS$6)</f>
        <v>0</v>
      </c>
      <c r="CT113" s="108"/>
      <c r="CU113" s="108">
        <f ca="1">SUMIFS(
  m.vb[valor],
  m.vb[nucleo],$CN$1,
  m.vb[variavel],CU$7,
  m.vb[mes],$A113
)</f>
        <v>0</v>
      </c>
      <c r="CV113" s="108" cm="1">
        <f t="array" ref="CV113">SUMPRODUCT(
  IFERROR(--tb_desp[valor],0)*
  (tb_desp[nucleo]="UP MOVE VILA SONIA")*
  (tb_desp[categoria]=CV$7)*
  (tb_desp[data.pagamento]&gt;=$A113)*
  (tb_desp[data.pagamento]&lt;EOMONTH($A113,0)+1)
)</f>
        <v>0</v>
      </c>
      <c r="CW113" s="108" cm="1">
        <f t="array" ref="CW113">SUMPRODUCT(
  IFERROR(--tb_desp[valor],0)*
  (tb_desp[nucleo]="UP MOVE VILA SONIA")*
  (tb_desp[categoria]=CW$7)*
  (tb_desp[data.pagamento]&gt;=$A113)*
  (tb_desp[data.pagamento]&lt;EOMONTH($A113,0)+1)
)</f>
        <v>0</v>
      </c>
      <c r="CX113" s="108" cm="1">
        <f t="array" ref="CX113">SUMPRODUCT(
  IFERROR(--tb_desp[valor],0)*
  (tb_desp[nucleo]="UP MOVE VILA SONIA")*
  (tb_desp[categoria]=CX$7)*
  (tb_desp[data.pagamento]&gt;=$A113)*
  (tb_desp[data.pagamento]&lt;EOMONTH($A113,0)+1)
)</f>
        <v>0</v>
      </c>
      <c r="CY113" s="221" cm="1">
        <f t="array" ref="CY113">SUMPRODUCT(
  IFERROR(--tb_desp[valor],0)*
  (tb_desp[nucleo]="UP MOVE VILA SONIA")*
  (tb_desp[categoria]=CY$7)*
  (tb_desp[data.pagamento]&gt;=$A113)*
  (tb_desp[data.pagamento]&lt;EOMONTH($A113,0)+1)
)</f>
        <v>0</v>
      </c>
    </row>
    <row r="114" spans="1:103" x14ac:dyDescent="0.25">
      <c r="A114" s="118">
        <v>47574</v>
      </c>
      <c r="B114" s="119">
        <f>COUNTIFS(
    tb_estq[empresa], B$6,
    tb_estq[Data da venda / reserva], "&gt;=" &amp; $A114,
    tb_estq[Data da venda / reserva], "&lt;"  &amp; EOMONTH($A114,0) + 1
)</f>
        <v>0</v>
      </c>
      <c r="C114" s="120">
        <f ca="1">SUMIFS(tb_rec_uni[2030-04-01],
INDIRECT("tb_rec_uni[natureza]"),"pro.soluto",
INDIRECT("tb_rec_uni[empresa]"),C$6)</f>
        <v>0</v>
      </c>
      <c r="D114" s="120">
        <f ca="1">SUMIFS(tb_rec_uni[2030-04-01],
INDIRECT("tb_rec_uni[natureza]"),"repasse.cef.obra",
INDIRECT("tb_rec_uni[empresa]"),D$6)</f>
        <v>0</v>
      </c>
      <c r="E114" s="120">
        <f ca="1">SUMIFS(tb_rec_uni[2030-04-01],
INDIRECT("tb_rec_uni[natureza]"),"repasse.cef.terreno",
INDIRECT("tb_rec_uni[empresa]"),E$6)</f>
        <v>0</v>
      </c>
      <c r="F114" s="124"/>
      <c r="G114" s="120">
        <f ca="1">SUMIFS(tb_rec_uni[2030-04-01],
INDIRECT("tb_rec_uni[natureza]"),"taxa.extra",
INDIRECT("tb_rec_uni[empresa]"),G$6)</f>
        <v>0</v>
      </c>
      <c r="H114" s="108"/>
      <c r="I114" s="108">
        <f ca="1">SUMIFS(
  m.vb[valor],
  m.vb[nucleo],$B$1,
  m.vb[variavel],I$7,
  m.vb[mes],$A114
)</f>
        <v>0</v>
      </c>
      <c r="J114" s="108">
        <f ca="1">SUMIFS(
  m.vb[valor],
  m.vb[nucleo],$B$1,
  m.vb[variavel],J$7,
  m.vb[mes],$A114
)</f>
        <v>0</v>
      </c>
      <c r="K114" s="108">
        <f ca="1">SUMIFS(
  m.vb[valor],
  m.vb[nucleo],$B$1,
  m.vb[variavel],K$7,
  m.vb[mes],$A114
)</f>
        <v>0</v>
      </c>
      <c r="L114" s="108">
        <f ca="1">SUMIFS(
  m.vb[valor],
  m.vb[nucleo],$B$1,
  m.vb[variavel],L$7,
  m.vb[mes],$A114
)</f>
        <v>0</v>
      </c>
      <c r="M114" s="108">
        <f ca="1">SUMIFS(
  m.vb[valor],
  m.vb[nucleo],$B$1,
  m.vb[variavel],M$7,
  m.vb[mes],$A114
)</f>
        <v>0</v>
      </c>
      <c r="N114" s="119">
        <f>COUNTIFS(
    tb_estq[empresa], N$6,
    tb_estq[Data da venda / reserva], "&gt;=" &amp; $A114,
    tb_estq[Data da venda / reserva], "&lt;"  &amp; EOMONTH($A114,0) + 1
)</f>
        <v>0</v>
      </c>
      <c r="O114" s="120">
        <f ca="1">SUMIFS(tb_rec_uni[2030-04-01],
INDIRECT("tb_rec_uni[natureza]"),"pro.soluto",
INDIRECT("tb_rec_uni[empresa]"),O$6)</f>
        <v>0</v>
      </c>
      <c r="P114" s="120">
        <f ca="1">SUMIFS(tb_rec_uni[2030-04-01],
INDIRECT("tb_rec_uni[natureza]"),"repasse.cef.obra",
INDIRECT("tb_rec_uni[empresa]"),P$6)</f>
        <v>0</v>
      </c>
      <c r="Q114" s="120">
        <f ca="1">SUMIFS(tb_rec_uni[2030-04-01],
INDIRECT("tb_rec_uni[natureza]"),"repasse.cef.terreno",
INDIRECT("tb_rec_uni[empresa]"),Q$6)</f>
        <v>0</v>
      </c>
      <c r="R114" s="124"/>
      <c r="S114" s="120">
        <f ca="1">SUMIFS(tb_rec_uni[2030-04-01],
INDIRECT("tb_rec_uni[natureza]"),"taxa.extra",
INDIRECT("tb_rec_uni[empresa]"),S$6)</f>
        <v>0</v>
      </c>
      <c r="T114" s="108"/>
      <c r="U114" s="108">
        <f ca="1">SUMIFS(
  m.vb[valor],
  m.vb[nucleo],$N$1,
  m.vb[variavel],U$7,
  m.vb[mes],$A114
)</f>
        <v>0</v>
      </c>
      <c r="V114" s="108">
        <f ca="1">SUMIFS(
  m.vb[valor],
  m.vb[nucleo],$N$1,
  m.vb[variavel],V$7,
  m.vb[mes],$A114
)</f>
        <v>0</v>
      </c>
      <c r="W114" s="108">
        <f ca="1">SUMIFS(
  m.vb[valor],
  m.vb[nucleo],$N$1,
  m.vb[variavel],W$7,
  m.vb[mes],$A114
)</f>
        <v>0</v>
      </c>
      <c r="X114" s="108">
        <f ca="1">SUMIFS(
  m.vb[valor],
  m.vb[nucleo],$N$1,
  m.vb[variavel],X$7,
  m.vb[mes],$A114
)</f>
        <v>0</v>
      </c>
      <c r="Y114" s="108">
        <f ca="1">SUMIFS(
  m.vb[valor],
  m.vb[nucleo],$N$1,
  m.vb[variavel],Y$7,
  m.vb[mes],$A114
)</f>
        <v>0</v>
      </c>
      <c r="Z114" s="119">
        <f>COUNTIFS(
    tb_estq[empresa], Z$6,
    tb_estq[Data da venda / reserva], "&gt;=" &amp; $A114,
    tb_estq[Data da venda / reserva], "&lt;"  &amp; EOMONTH($A114,0) + 1
)</f>
        <v>0</v>
      </c>
      <c r="AA114" s="120">
        <f ca="1">SUMIFS(tb_rec_uni[2030-04-01],
INDIRECT("tb_rec_uni[natureza]"),"pro.soluto",
INDIRECT("tb_rec_uni[empresa]"),AA$6)</f>
        <v>0</v>
      </c>
      <c r="AB114" s="124">
        <f ca="1">SUMIFS(tb_rec_uni[2030-04-01],
INDIRECT("tb_rec_uni[natureza]"),"parcela.fin.total.ik",
INDIRECT("tb_rec_uni[empresa]"),AB$6)</f>
        <v>0</v>
      </c>
      <c r="AC114" s="120">
        <f ca="1">SUMIFS(tb_rec_uni[2030-04-01],
INDIRECT("tb_rec_uni[natureza]"),"taxa.extra",
INDIRECT("tb_rec_uni[empresa]"),AC$6)</f>
        <v>0</v>
      </c>
      <c r="AD114" s="108"/>
      <c r="AE114" s="108">
        <f ca="1">SUMIFS(
  m.vb[valor],
  m.vb[nucleo],$Z$1,
  m.vb[variavel],AE$7,
  m.vb[mes],$A114
)</f>
        <v>0</v>
      </c>
      <c r="AF114" s="108">
        <f ca="1">SUMIFS(
  m.vb[valor],
  m.vb[nucleo],$Z$1,
  m.vb[variavel],AF$7,
  m.vb[mes],$A114
)</f>
        <v>0</v>
      </c>
      <c r="AG114" s="108">
        <f ca="1">SUMIFS(
  m.vb[valor],
  m.vb[nucleo],$Z$1,
  m.vb[variavel],AG$7,
  m.vb[mes],$A114
)</f>
        <v>0</v>
      </c>
      <c r="AH114" s="108">
        <f ca="1">SUMIFS(
  m.vb[valor],
  m.vb[nucleo],$Z$1,
  m.vb[variavel],AH$7,
  m.vb[mes],$A114
)</f>
        <v>0</v>
      </c>
      <c r="AI114" s="108">
        <f ca="1">SUMIFS(
  m.vb[valor],
  m.vb[nucleo],$Z$1,
  m.vb[variavel],AI$7,
  m.vb[mes],$A114
)</f>
        <v>0</v>
      </c>
      <c r="AJ114" s="119">
        <f>COUNTIFS(
    tb_estq[empresa], AJ$6,
    tb_estq[Data da venda / reserva], "&gt;=" &amp; $A114,
    tb_estq[Data da venda / reserva], "&lt;"  &amp; EOMONTH($A114,0) + 1
)</f>
        <v>0</v>
      </c>
      <c r="AK114" s="120">
        <f ca="1">SUMIFS(tb_rec_uni[2030-04-01],
INDIRECT("tb_rec_uni[natureza]"),"pro.soluto",
INDIRECT("tb_rec_uni[empresa]"),AK$6)</f>
        <v>0</v>
      </c>
      <c r="AL114" s="120">
        <f ca="1">SUMIFS(tb_rec_uni[2030-04-01],
INDIRECT("tb_rec_uni[natureza]"),"repasse.cef.obra",
INDIRECT("tb_rec_uni[empresa]"),AL$6)</f>
        <v>0</v>
      </c>
      <c r="AM114" s="123">
        <f ca="1">SUMIFS(tb_rec_uni[2030-04-01],
INDIRECT("tb_rec_uni[natureza]"),"repasse.cef.terreno",
INDIRECT("tb_rec_uni[empresa]"),AM$6)</f>
        <v>0</v>
      </c>
      <c r="AN114" s="124"/>
      <c r="AO114" s="120">
        <f ca="1">SUMIFS(tb_rec_uni[2030-04-01],
INDIRECT("tb_rec_uni[natureza]"),"taxa.extra",
INDIRECT("tb_rec_uni[empresa]"),AO$6)</f>
        <v>0</v>
      </c>
      <c r="AP114" s="108"/>
      <c r="AQ114" s="108">
        <f ca="1">SUMIFS(
  m.vb[valor],
  m.vb[nucleo],$AJ$1,
  m.vb[variavel],AQ$7,
  m.vb[mes],$A114
)</f>
        <v>0</v>
      </c>
      <c r="AR114" s="108">
        <f ca="1">SUMIFS(
  m.vb[valor],
  m.vb[nucleo],$AJ$1,
  m.vb[variavel],AR$7,
  m.vb[mes],$A114
)</f>
        <v>0</v>
      </c>
      <c r="AS114" s="108">
        <f ca="1">SUMIFS(
  m.vb[valor],
  m.vb[nucleo],$AJ$1,
  m.vb[variavel],AS$7,
  m.vb[mes],$A114
)</f>
        <v>0</v>
      </c>
      <c r="AT114" s="108">
        <f ca="1">SUMIFS(
  m.vb[valor],
  m.vb[nucleo],$AJ$1,
  m.vb[variavel],AT$7,
  m.vb[mes],$A114
)</f>
        <v>0</v>
      </c>
      <c r="AU114" s="108">
        <f ca="1">SUMIFS(
  m.vb[valor],
  m.vb[nucleo],$AJ$1,
  m.vb[variavel],AU$7,
  m.vb[mes],$A114
)</f>
        <v>0</v>
      </c>
      <c r="AV114" s="119">
        <f>COUNTIFS(
    tb_estq[empresa], AV$6,
    tb_estq[Data da venda / reserva], "&gt;=" &amp; $A114,
    tb_estq[Data da venda / reserva], "&lt;"  &amp; EOMONTH($A114,0) + 1
)</f>
        <v>0</v>
      </c>
      <c r="AW114" s="120">
        <f ca="1">SUMIFS(tb_rec_uni[2030-04-01],
INDIRECT("tb_rec_uni[natureza]"),"pro.soluto",
INDIRECT("tb_rec_uni[empresa]"),AW$6)</f>
        <v>0</v>
      </c>
      <c r="AX114" s="120">
        <f ca="1">SUMIFS(tb_rec_uni[2030-04-01],
INDIRECT("tb_rec_uni[natureza]"),"repasse.cef.obra",
INDIRECT("tb_rec_uni[empresa]"),AX$6)</f>
        <v>0</v>
      </c>
      <c r="AY114" s="123">
        <f ca="1">SUMIFS(tb_rec_uni[2030-04-01],
INDIRECT("tb_rec_uni[natureza]"),"repasse.cef.terreno",
INDIRECT("tb_rec_uni[empresa]"),AY$6)</f>
        <v>0</v>
      </c>
      <c r="AZ114" s="124"/>
      <c r="BA114" s="120">
        <f ca="1">SUMIFS(tb_rec_uni[2030-04-01],
INDIRECT("tb_rec_uni[natureza]"),"taxa.extra",
INDIRECT("tb_rec_uni[empresa]"),BA$6)</f>
        <v>0</v>
      </c>
      <c r="BB114" s="108"/>
      <c r="BC114" s="108">
        <f ca="1">SUMIFS(
  m.vb[valor],
  m.vb[nucleo],$AV$1,
  m.vb[variavel],BC$7,
  m.vb[mes],$A114
)</f>
        <v>0</v>
      </c>
      <c r="BD114" s="108">
        <f ca="1">SUMIFS(
  m.vb[valor],
  m.vb[nucleo],$AV$1,
  m.vb[variavel],BD$7,
  m.vb[mes],$A114
)</f>
        <v>0</v>
      </c>
      <c r="BE114" s="108">
        <f ca="1">SUMIFS(
  m.vb[valor],
  m.vb[nucleo],$AV$1,
  m.vb[variavel],BE$7,
  m.vb[mes],$A114
)</f>
        <v>0</v>
      </c>
      <c r="BF114" s="108">
        <f ca="1">SUMIFS(
  m.vb[valor],
  m.vb[nucleo],$AV$1,
  m.vb[variavel],BF$7,
  m.vb[mes],$A114
)</f>
        <v>0</v>
      </c>
      <c r="BG114" s="108">
        <f ca="1">SUMIFS(
  m.vb[valor],
  m.vb[nucleo],$AV$1,
  m.vb[variavel],BG$7,
  m.vb[mes],$A114
)</f>
        <v>0</v>
      </c>
      <c r="BH114" s="119">
        <f>COUNTIFS(
    tb_estq[empresa], BH$6,
    tb_estq[Data da venda / reserva], "&gt;=" &amp; $A114,
    tb_estq[Data da venda / reserva], "&lt;"  &amp; EOMONTH($A114,0) + 1
)</f>
        <v>0</v>
      </c>
      <c r="BI114" s="120">
        <f ca="1">SUMIFS(tb_rec_uni[2030-04-01],
INDIRECT("tb_rec_uni[natureza]"),"pro.soluto",
INDIRECT("tb_rec_uni[empresa]"),BI$6)</f>
        <v>0</v>
      </c>
      <c r="BJ114" s="124"/>
      <c r="BK114" s="120">
        <f ca="1">SUMIFS(tb_rec_uni[2030-04-01],
INDIRECT("tb_rec_uni[natureza]"),"taxa.extra",
INDIRECT("tb_rec_uni[empresa]"),BK$6)</f>
        <v>0</v>
      </c>
      <c r="BL114" s="108"/>
      <c r="BM114" s="108">
        <f ca="1">SUMIFS(
  m.vb[valor],
  m.vb[nucleo],$BH$1,
  m.vb[variavel],BM$7,
  m.vb[mes],$A114
)</f>
        <v>0</v>
      </c>
      <c r="BN114" s="108">
        <f ca="1">SUMIFS(
  m.vb[valor],
  m.vb[nucleo],$BH$1,
  m.vb[variavel],BN$7,
  m.vb[mes],$A114
)</f>
        <v>0</v>
      </c>
      <c r="BO114" s="108">
        <f ca="1">SUMIFS(
  m.vb[valor],
  m.vb[nucleo],$BH$1,
  m.vb[variavel],BO$7,
  m.vb[mes],$A114
)</f>
        <v>0</v>
      </c>
      <c r="BP114" s="108">
        <f ca="1">SUMIFS(
  m.vb[valor],
  m.vb[nucleo],$BH$1,
  m.vb[variavel],BP$7,
  m.vb[mes],$A114
)</f>
        <v>0</v>
      </c>
      <c r="BQ114" s="108">
        <f ca="1">SUMIFS(
  m.vb[valor],
  m.vb[nucleo],$BH$1,
  m.vb[variavel],BQ$7,
  m.vb[mes],$A114
)</f>
        <v>0</v>
      </c>
      <c r="BR114" s="119">
        <f>COUNTIFS(
    tb_estq[empresa], BR$6,
    tb_estq[Data da venda / reserva], "&gt;=" &amp; $A114,
    tb_estq[Data da venda / reserva], "&lt;"  &amp; EOMONTH($A114,0) + 1
)</f>
        <v>0</v>
      </c>
      <c r="BS114" s="120">
        <f ca="1">SUMIFS(tb_rec_uni[2030-04-01],
INDIRECT("tb_rec_uni[natureza]"),"pro.soluto",
INDIRECT("tb_rec_uni[empresa]"),BS$6)</f>
        <v>0</v>
      </c>
      <c r="BT114" s="124">
        <f ca="1">SUMIFS(tb_rec_uni[2030-04-01],
INDIRECT("tb_rec_uni[natureza]"),"parcela.fin.total.ik",
INDIRECT("tb_rec_uni[empresa]"),BT$6)</f>
        <v>0</v>
      </c>
      <c r="BU114" s="120">
        <f ca="1">SUMIFS(tb_rec_uni[2030-04-01],
INDIRECT("tb_rec_uni[natureza]"),"taxa.extra",
INDIRECT("tb_rec_uni[empresa]"),BU$6)</f>
        <v>0</v>
      </c>
      <c r="BV114" s="108"/>
      <c r="BW114" s="108">
        <f ca="1">SUMIFS(
  m.vb[valor],
  m.vb[nucleo],$BR$1,
  m.vb[variavel],BW$7,
  m.vb[mes],$A114
)</f>
        <v>0</v>
      </c>
      <c r="BX114" s="108">
        <f ca="1">SUMIFS(
  m.vb[valor],
  m.vb[nucleo],$BR$1,
  m.vb[variavel],BX$7,
  m.vb[mes],$A114
)</f>
        <v>0</v>
      </c>
      <c r="BY114" s="108">
        <f ca="1">SUMIFS(
  m.vb[valor],
  m.vb[nucleo],$BR$1,
  m.vb[variavel],BY$7,
  m.vb[mes],$A114
)</f>
        <v>0</v>
      </c>
      <c r="BZ114" s="108">
        <f ca="1">SUMIFS(
  m.vb[valor],
  m.vb[nucleo],$BR$1,
  m.vb[variavel],BZ$7,
  m.vb[mes],$A114
)</f>
        <v>0</v>
      </c>
      <c r="CA114" s="108">
        <f ca="1">SUMIFS(
  m.vb[valor],
  m.vb[nucleo],$BR$1,
  m.vb[variavel],CA$7,
  m.vb[mes],$A114
)</f>
        <v>0</v>
      </c>
      <c r="CB114" s="119">
        <f>COUNTIFS(
    tb_estq[empresa], CB$6,
    tb_estq[Data da venda / reserva], "&gt;=" &amp; $A114,
    tb_estq[Data da venda / reserva], "&lt;"  &amp; EOMONTH($A114,0) + 1
)</f>
        <v>0</v>
      </c>
      <c r="CC114" s="120">
        <f ca="1">SUMIFS(tb_rec_uni[2030-04-01],
INDIRECT("tb_rec_uni[natureza]"),"pro.soluto",
INDIRECT("tb_rec_uni[empresa]"),CC$6)</f>
        <v>0</v>
      </c>
      <c r="CD114" s="120">
        <f ca="1">SUMIFS(tb_rec_uni[2030-04-01],
INDIRECT("tb_rec_uni[natureza]"),"repasse.cef.obra",
INDIRECT("tb_rec_uni[empresa]"),CD$6)</f>
        <v>0</v>
      </c>
      <c r="CE114" s="123">
        <f ca="1">SUMIFS(tb_rec_uni[2030-04-01],
INDIRECT("tb_rec_uni[natureza]"),"repasse.cef.terreno",
INDIRECT("tb_rec_uni[empresa]"),CE$6)</f>
        <v>0</v>
      </c>
      <c r="CF114" s="124"/>
      <c r="CG114" s="120">
        <f ca="1">SUMIFS(tb_rec_uni[2030-04-01],
INDIRECT("tb_rec_uni[natureza]"),"taxa.extra",
INDIRECT("tb_rec_uni[empresa]"),CG$6)</f>
        <v>0</v>
      </c>
      <c r="CH114" s="108"/>
      <c r="CI114" s="108">
        <f ca="1">SUMIFS(
  m.vb[valor],
  m.vb[nucleo],$CB$1,
  m.vb[variavel],CI$7,
  m.vb[mes],$A114
)</f>
        <v>0</v>
      </c>
      <c r="CJ114" s="108">
        <f ca="1">SUMIFS(
  m.vb[valor],
  m.vb[nucleo],$CB$1,
  m.vb[variavel],CJ$7,
  m.vb[mes],$A114
)</f>
        <v>0</v>
      </c>
      <c r="CK114" s="108">
        <f ca="1">SUMIFS(
  m.vb[valor],
  m.vb[nucleo],$CB$1,
  m.vb[variavel],CK$7,
  m.vb[mes],$A114
)</f>
        <v>0</v>
      </c>
      <c r="CL114" s="108">
        <f ca="1">SUMIFS(
  m.vb[valor],
  m.vb[nucleo],$CB$1,
  m.vb[variavel],CL$7,
  m.vb[mes],$A114
)</f>
        <v>0</v>
      </c>
      <c r="CM114" s="108">
        <f ca="1">SUMIFS(
  m.vb[valor],
  m.vb[nucleo],$CB$1,
  m.vb[variavel],CM$7,
  m.vb[mes],$A114
)</f>
        <v>0</v>
      </c>
      <c r="CN114" s="119">
        <f>COUNTIFS(
    tb_estq[empresa], CN$6,
    tb_estq[Data da venda / reserva], "&gt;=" &amp; $A114,
    tb_estq[Data da venda / reserva], "&lt;"  &amp; EOMONTH($A114,0) + 1
)</f>
        <v>0</v>
      </c>
      <c r="CO114" s="120">
        <f ca="1">SUMIFS(tb_rec_uni[2030-04-01],
INDIRECT("tb_rec_uni[natureza]"),"pro.soluto",
INDIRECT("tb_rec_uni[empresa]"),CO$6)</f>
        <v>0</v>
      </c>
      <c r="CP114" s="120">
        <f ca="1">SUMIFS(tb_rec_uni[2030-04-01],
INDIRECT("tb_rec_uni[natureza]"),"repasse.cef.obra",
INDIRECT("tb_rec_uni[empresa]"),CP$6)</f>
        <v>0</v>
      </c>
      <c r="CQ114" s="123">
        <f ca="1">SUMIFS(tb_rec_uni[2030-04-01],
INDIRECT("tb_rec_uni[natureza]"),"repasse.cef.terreno",
INDIRECT("tb_rec_uni[empresa]"),CQ$6)</f>
        <v>0</v>
      </c>
      <c r="CR114" s="124"/>
      <c r="CS114" s="120">
        <f ca="1">SUMIFS(tb_rec_uni[2030-04-01],
INDIRECT("tb_rec_uni[natureza]"),"taxa.extra",
INDIRECT("tb_rec_uni[empresa]"),CS$6)</f>
        <v>0</v>
      </c>
      <c r="CT114" s="108"/>
      <c r="CU114" s="108">
        <f ca="1">SUMIFS(
  m.vb[valor],
  m.vb[nucleo],$CN$1,
  m.vb[variavel],CU$7,
  m.vb[mes],$A114
)</f>
        <v>0</v>
      </c>
      <c r="CV114" s="108" cm="1">
        <f t="array" ref="CV114">SUMPRODUCT(
  IFERROR(--tb_desp[valor],0)*
  (tb_desp[nucleo]="UP MOVE VILA SONIA")*
  (tb_desp[categoria]=CV$7)*
  (tb_desp[data.pagamento]&gt;=$A114)*
  (tb_desp[data.pagamento]&lt;EOMONTH($A114,0)+1)
)</f>
        <v>0</v>
      </c>
      <c r="CW114" s="108" cm="1">
        <f t="array" ref="CW114">SUMPRODUCT(
  IFERROR(--tb_desp[valor],0)*
  (tb_desp[nucleo]="UP MOVE VILA SONIA")*
  (tb_desp[categoria]=CW$7)*
  (tb_desp[data.pagamento]&gt;=$A114)*
  (tb_desp[data.pagamento]&lt;EOMONTH($A114,0)+1)
)</f>
        <v>0</v>
      </c>
      <c r="CX114" s="108" cm="1">
        <f t="array" ref="CX114">SUMPRODUCT(
  IFERROR(--tb_desp[valor],0)*
  (tb_desp[nucleo]="UP MOVE VILA SONIA")*
  (tb_desp[categoria]=CX$7)*
  (tb_desp[data.pagamento]&gt;=$A114)*
  (tb_desp[data.pagamento]&lt;EOMONTH($A114,0)+1)
)</f>
        <v>0</v>
      </c>
      <c r="CY114" s="221" cm="1">
        <f t="array" ref="CY114">SUMPRODUCT(
  IFERROR(--tb_desp[valor],0)*
  (tb_desp[nucleo]="UP MOVE VILA SONIA")*
  (tb_desp[categoria]=CY$7)*
  (tb_desp[data.pagamento]&gt;=$A114)*
  (tb_desp[data.pagamento]&lt;EOMONTH($A114,0)+1)
)</f>
        <v>0</v>
      </c>
    </row>
    <row r="115" spans="1:103" x14ac:dyDescent="0.25">
      <c r="A115" s="118">
        <v>47604</v>
      </c>
      <c r="B115" s="119">
        <f>COUNTIFS(
    tb_estq[empresa], B$6,
    tb_estq[Data da venda / reserva], "&gt;=" &amp; $A115,
    tb_estq[Data da venda / reserva], "&lt;"  &amp; EOMONTH($A115,0) + 1
)</f>
        <v>0</v>
      </c>
      <c r="C115" s="120">
        <f ca="1">SUMIFS(tb_rec_uni[2030-05-01],
INDIRECT("tb_rec_uni[natureza]"),"pro.soluto",
INDIRECT("tb_rec_uni[empresa]"),C$6)</f>
        <v>0</v>
      </c>
      <c r="D115" s="120">
        <f ca="1">SUMIFS(tb_rec_uni[2030-05-01],
INDIRECT("tb_rec_uni[natureza]"),"repasse.cef.obra",
INDIRECT("tb_rec_uni[empresa]"),D$6)</f>
        <v>0</v>
      </c>
      <c r="E115" s="120">
        <f ca="1">SUMIFS(tb_rec_uni[2030-05-01],
INDIRECT("tb_rec_uni[natureza]"),"repasse.cef.terreno",
INDIRECT("tb_rec_uni[empresa]"),E$6)</f>
        <v>0</v>
      </c>
      <c r="F115" s="124"/>
      <c r="G115" s="120">
        <f ca="1">SUMIFS(tb_rec_uni[2030-05-01],
INDIRECT("tb_rec_uni[natureza]"),"taxa.extra",
INDIRECT("tb_rec_uni[empresa]"),G$6)</f>
        <v>0</v>
      </c>
      <c r="H115" s="108"/>
      <c r="I115" s="108">
        <f ca="1">SUMIFS(
  m.vb[valor],
  m.vb[nucleo],$B$1,
  m.vb[variavel],I$7,
  m.vb[mes],$A115
)</f>
        <v>0</v>
      </c>
      <c r="J115" s="108">
        <f ca="1">SUMIFS(
  m.vb[valor],
  m.vb[nucleo],$B$1,
  m.vb[variavel],J$7,
  m.vb[mes],$A115
)</f>
        <v>0</v>
      </c>
      <c r="K115" s="108">
        <f ca="1">SUMIFS(
  m.vb[valor],
  m.vb[nucleo],$B$1,
  m.vb[variavel],K$7,
  m.vb[mes],$A115
)</f>
        <v>0</v>
      </c>
      <c r="L115" s="108">
        <f ca="1">SUMIFS(
  m.vb[valor],
  m.vb[nucleo],$B$1,
  m.vb[variavel],L$7,
  m.vb[mes],$A115
)</f>
        <v>0</v>
      </c>
      <c r="M115" s="108">
        <f ca="1">SUMIFS(
  m.vb[valor],
  m.vb[nucleo],$B$1,
  m.vb[variavel],M$7,
  m.vb[mes],$A115
)</f>
        <v>0</v>
      </c>
      <c r="N115" s="119">
        <f>COUNTIFS(
    tb_estq[empresa], N$6,
    tb_estq[Data da venda / reserva], "&gt;=" &amp; $A115,
    tb_estq[Data da venda / reserva], "&lt;"  &amp; EOMONTH($A115,0) + 1
)</f>
        <v>0</v>
      </c>
      <c r="O115" s="120">
        <f ca="1">SUMIFS(tb_rec_uni[2030-05-01],
INDIRECT("tb_rec_uni[natureza]"),"pro.soluto",
INDIRECT("tb_rec_uni[empresa]"),O$6)</f>
        <v>0</v>
      </c>
      <c r="P115" s="120">
        <f ca="1">SUMIFS(tb_rec_uni[2030-05-01],
INDIRECT("tb_rec_uni[natureza]"),"repasse.cef.obra",
INDIRECT("tb_rec_uni[empresa]"),P$6)</f>
        <v>0</v>
      </c>
      <c r="Q115" s="120">
        <f ca="1">SUMIFS(tb_rec_uni[2030-05-01],
INDIRECT("tb_rec_uni[natureza]"),"repasse.cef.terreno",
INDIRECT("tb_rec_uni[empresa]"),Q$6)</f>
        <v>0</v>
      </c>
      <c r="R115" s="124"/>
      <c r="S115" s="120">
        <f ca="1">SUMIFS(tb_rec_uni[2030-05-01],
INDIRECT("tb_rec_uni[natureza]"),"taxa.extra",
INDIRECT("tb_rec_uni[empresa]"),S$6)</f>
        <v>0</v>
      </c>
      <c r="T115" s="108"/>
      <c r="U115" s="108">
        <f ca="1">SUMIFS(
  m.vb[valor],
  m.vb[nucleo],$N$1,
  m.vb[variavel],U$7,
  m.vb[mes],$A115
)</f>
        <v>0</v>
      </c>
      <c r="V115" s="108">
        <f ca="1">SUMIFS(
  m.vb[valor],
  m.vb[nucleo],$N$1,
  m.vb[variavel],V$7,
  m.vb[mes],$A115
)</f>
        <v>0</v>
      </c>
      <c r="W115" s="108">
        <f ca="1">SUMIFS(
  m.vb[valor],
  m.vb[nucleo],$N$1,
  m.vb[variavel],W$7,
  m.vb[mes],$A115
)</f>
        <v>0</v>
      </c>
      <c r="X115" s="108">
        <f ca="1">SUMIFS(
  m.vb[valor],
  m.vb[nucleo],$N$1,
  m.vb[variavel],X$7,
  m.vb[mes],$A115
)</f>
        <v>0</v>
      </c>
      <c r="Y115" s="108">
        <f ca="1">SUMIFS(
  m.vb[valor],
  m.vb[nucleo],$N$1,
  m.vb[variavel],Y$7,
  m.vb[mes],$A115
)</f>
        <v>0</v>
      </c>
      <c r="Z115" s="119">
        <f>COUNTIFS(
    tb_estq[empresa], Z$6,
    tb_estq[Data da venda / reserva], "&gt;=" &amp; $A115,
    tb_estq[Data da venda / reserva], "&lt;"  &amp; EOMONTH($A115,0) + 1
)</f>
        <v>0</v>
      </c>
      <c r="AA115" s="120">
        <f ca="1">SUMIFS(tb_rec_uni[2030-05-01],
INDIRECT("tb_rec_uni[natureza]"),"pro.soluto",
INDIRECT("tb_rec_uni[empresa]"),AA$6)</f>
        <v>0</v>
      </c>
      <c r="AB115" s="124">
        <f ca="1">SUMIFS(tb_rec_uni[2030-05-01],
INDIRECT("tb_rec_uni[natureza]"),"parcela.fin.total.ik",
INDIRECT("tb_rec_uni[empresa]"),AB$6)</f>
        <v>0</v>
      </c>
      <c r="AC115" s="120">
        <f ca="1">SUMIFS(tb_rec_uni[2030-05-01],
INDIRECT("tb_rec_uni[natureza]"),"taxa.extra",
INDIRECT("tb_rec_uni[empresa]"),AC$6)</f>
        <v>0</v>
      </c>
      <c r="AD115" s="108"/>
      <c r="AE115" s="108">
        <f ca="1">SUMIFS(
  m.vb[valor],
  m.vb[nucleo],$Z$1,
  m.vb[variavel],AE$7,
  m.vb[mes],$A115
)</f>
        <v>0</v>
      </c>
      <c r="AF115" s="108">
        <f ca="1">SUMIFS(
  m.vb[valor],
  m.vb[nucleo],$Z$1,
  m.vb[variavel],AF$7,
  m.vb[mes],$A115
)</f>
        <v>0</v>
      </c>
      <c r="AG115" s="108">
        <f ca="1">SUMIFS(
  m.vb[valor],
  m.vb[nucleo],$Z$1,
  m.vb[variavel],AG$7,
  m.vb[mes],$A115
)</f>
        <v>0</v>
      </c>
      <c r="AH115" s="108">
        <f ca="1">SUMIFS(
  m.vb[valor],
  m.vb[nucleo],$Z$1,
  m.vb[variavel],AH$7,
  m.vb[mes],$A115
)</f>
        <v>0</v>
      </c>
      <c r="AI115" s="108">
        <f ca="1">SUMIFS(
  m.vb[valor],
  m.vb[nucleo],$Z$1,
  m.vb[variavel],AI$7,
  m.vb[mes],$A115
)</f>
        <v>0</v>
      </c>
      <c r="AJ115" s="119">
        <f>COUNTIFS(
    tb_estq[empresa], AJ$6,
    tb_estq[Data da venda / reserva], "&gt;=" &amp; $A115,
    tb_estq[Data da venda / reserva], "&lt;"  &amp; EOMONTH($A115,0) + 1
)</f>
        <v>0</v>
      </c>
      <c r="AK115" s="120">
        <f ca="1">SUMIFS(tb_rec_uni[2030-05-01],
INDIRECT("tb_rec_uni[natureza]"),"pro.soluto",
INDIRECT("tb_rec_uni[empresa]"),AK$6)</f>
        <v>0</v>
      </c>
      <c r="AL115" s="120">
        <f ca="1">SUMIFS(tb_rec_uni[2030-05-01],
INDIRECT("tb_rec_uni[natureza]"),"repasse.cef.obra",
INDIRECT("tb_rec_uni[empresa]"),AL$6)</f>
        <v>0</v>
      </c>
      <c r="AM115" s="123">
        <f ca="1">SUMIFS(tb_rec_uni[2030-05-01],
INDIRECT("tb_rec_uni[natureza]"),"repasse.cef.terreno",
INDIRECT("tb_rec_uni[empresa]"),AM$6)</f>
        <v>0</v>
      </c>
      <c r="AN115" s="124"/>
      <c r="AO115" s="120">
        <f ca="1">SUMIFS(tb_rec_uni[2030-05-01],
INDIRECT("tb_rec_uni[natureza]"),"taxa.extra",
INDIRECT("tb_rec_uni[empresa]"),AO$6)</f>
        <v>0</v>
      </c>
      <c r="AP115" s="108"/>
      <c r="AQ115" s="108">
        <f ca="1">SUMIFS(
  m.vb[valor],
  m.vb[nucleo],$AJ$1,
  m.vb[variavel],AQ$7,
  m.vb[mes],$A115
)</f>
        <v>0</v>
      </c>
      <c r="AR115" s="108">
        <f ca="1">SUMIFS(
  m.vb[valor],
  m.vb[nucleo],$AJ$1,
  m.vb[variavel],AR$7,
  m.vb[mes],$A115
)</f>
        <v>0</v>
      </c>
      <c r="AS115" s="108">
        <f ca="1">SUMIFS(
  m.vb[valor],
  m.vb[nucleo],$AJ$1,
  m.vb[variavel],AS$7,
  m.vb[mes],$A115
)</f>
        <v>0</v>
      </c>
      <c r="AT115" s="108">
        <f ca="1">SUMIFS(
  m.vb[valor],
  m.vb[nucleo],$AJ$1,
  m.vb[variavel],AT$7,
  m.vb[mes],$A115
)</f>
        <v>0</v>
      </c>
      <c r="AU115" s="108">
        <f ca="1">SUMIFS(
  m.vb[valor],
  m.vb[nucleo],$AJ$1,
  m.vb[variavel],AU$7,
  m.vb[mes],$A115
)</f>
        <v>0</v>
      </c>
      <c r="AV115" s="119">
        <f>COUNTIFS(
    tb_estq[empresa], AV$6,
    tb_estq[Data da venda / reserva], "&gt;=" &amp; $A115,
    tb_estq[Data da venda / reserva], "&lt;"  &amp; EOMONTH($A115,0) + 1
)</f>
        <v>0</v>
      </c>
      <c r="AW115" s="120">
        <f ca="1">SUMIFS(tb_rec_uni[2030-05-01],
INDIRECT("tb_rec_uni[natureza]"),"pro.soluto",
INDIRECT("tb_rec_uni[empresa]"),AW$6)</f>
        <v>0</v>
      </c>
      <c r="AX115" s="120">
        <f ca="1">SUMIFS(tb_rec_uni[2030-05-01],
INDIRECT("tb_rec_uni[natureza]"),"repasse.cef.obra",
INDIRECT("tb_rec_uni[empresa]"),AX$6)</f>
        <v>0</v>
      </c>
      <c r="AY115" s="123">
        <f ca="1">SUMIFS(tb_rec_uni[2030-05-01],
INDIRECT("tb_rec_uni[natureza]"),"repasse.cef.terreno",
INDIRECT("tb_rec_uni[empresa]"),AY$6)</f>
        <v>0</v>
      </c>
      <c r="AZ115" s="124"/>
      <c r="BA115" s="120">
        <f ca="1">SUMIFS(tb_rec_uni[2030-05-01],
INDIRECT("tb_rec_uni[natureza]"),"taxa.extra",
INDIRECT("tb_rec_uni[empresa]"),BA$6)</f>
        <v>0</v>
      </c>
      <c r="BB115" s="108"/>
      <c r="BC115" s="108">
        <f ca="1">SUMIFS(
  m.vb[valor],
  m.vb[nucleo],$AV$1,
  m.vb[variavel],BC$7,
  m.vb[mes],$A115
)</f>
        <v>0</v>
      </c>
      <c r="BD115" s="108">
        <f ca="1">SUMIFS(
  m.vb[valor],
  m.vb[nucleo],$AV$1,
  m.vb[variavel],BD$7,
  m.vb[mes],$A115
)</f>
        <v>0</v>
      </c>
      <c r="BE115" s="108">
        <f ca="1">SUMIFS(
  m.vb[valor],
  m.vb[nucleo],$AV$1,
  m.vb[variavel],BE$7,
  m.vb[mes],$A115
)</f>
        <v>0</v>
      </c>
      <c r="BF115" s="108">
        <f ca="1">SUMIFS(
  m.vb[valor],
  m.vb[nucleo],$AV$1,
  m.vb[variavel],BF$7,
  m.vb[mes],$A115
)</f>
        <v>0</v>
      </c>
      <c r="BG115" s="108">
        <f ca="1">SUMIFS(
  m.vb[valor],
  m.vb[nucleo],$AV$1,
  m.vb[variavel],BG$7,
  m.vb[mes],$A115
)</f>
        <v>0</v>
      </c>
      <c r="BH115" s="119">
        <f>COUNTIFS(
    tb_estq[empresa], BH$6,
    tb_estq[Data da venda / reserva], "&gt;=" &amp; $A115,
    tb_estq[Data da venda / reserva], "&lt;"  &amp; EOMONTH($A115,0) + 1
)</f>
        <v>0</v>
      </c>
      <c r="BI115" s="120">
        <f ca="1">SUMIFS(tb_rec_uni[2030-05-01],
INDIRECT("tb_rec_uni[natureza]"),"pro.soluto",
INDIRECT("tb_rec_uni[empresa]"),BI$6)</f>
        <v>0</v>
      </c>
      <c r="BJ115" s="124"/>
      <c r="BK115" s="120">
        <f ca="1">SUMIFS(tb_rec_uni[2030-05-01],
INDIRECT("tb_rec_uni[natureza]"),"taxa.extra",
INDIRECT("tb_rec_uni[empresa]"),BK$6)</f>
        <v>0</v>
      </c>
      <c r="BL115" s="108"/>
      <c r="BM115" s="108">
        <f ca="1">SUMIFS(
  m.vb[valor],
  m.vb[nucleo],$BH$1,
  m.vb[variavel],BM$7,
  m.vb[mes],$A115
)</f>
        <v>0</v>
      </c>
      <c r="BN115" s="108">
        <f ca="1">SUMIFS(
  m.vb[valor],
  m.vb[nucleo],$BH$1,
  m.vb[variavel],BN$7,
  m.vb[mes],$A115
)</f>
        <v>0</v>
      </c>
      <c r="BO115" s="108">
        <f ca="1">SUMIFS(
  m.vb[valor],
  m.vb[nucleo],$BH$1,
  m.vb[variavel],BO$7,
  m.vb[mes],$A115
)</f>
        <v>0</v>
      </c>
      <c r="BP115" s="108">
        <f ca="1">SUMIFS(
  m.vb[valor],
  m.vb[nucleo],$BH$1,
  m.vb[variavel],BP$7,
  m.vb[mes],$A115
)</f>
        <v>0</v>
      </c>
      <c r="BQ115" s="108">
        <f ca="1">SUMIFS(
  m.vb[valor],
  m.vb[nucleo],$BH$1,
  m.vb[variavel],BQ$7,
  m.vb[mes],$A115
)</f>
        <v>0</v>
      </c>
      <c r="BR115" s="119">
        <f>COUNTIFS(
    tb_estq[empresa], BR$6,
    tb_estq[Data da venda / reserva], "&gt;=" &amp; $A115,
    tb_estq[Data da venda / reserva], "&lt;"  &amp; EOMONTH($A115,0) + 1
)</f>
        <v>0</v>
      </c>
      <c r="BS115" s="120">
        <f ca="1">SUMIFS(tb_rec_uni[2030-05-01],
INDIRECT("tb_rec_uni[natureza]"),"pro.soluto",
INDIRECT("tb_rec_uni[empresa]"),BS$6)</f>
        <v>0</v>
      </c>
      <c r="BT115" s="124">
        <f ca="1">SUMIFS(tb_rec_uni[2030-05-01],
INDIRECT("tb_rec_uni[natureza]"),"parcela.fin.total.ik",
INDIRECT("tb_rec_uni[empresa]"),BT$6)</f>
        <v>0</v>
      </c>
      <c r="BU115" s="120">
        <f ca="1">SUMIFS(tb_rec_uni[2030-05-01],
INDIRECT("tb_rec_uni[natureza]"),"taxa.extra",
INDIRECT("tb_rec_uni[empresa]"),BU$6)</f>
        <v>0</v>
      </c>
      <c r="BV115" s="108"/>
      <c r="BW115" s="108">
        <f ca="1">SUMIFS(
  m.vb[valor],
  m.vb[nucleo],$BR$1,
  m.vb[variavel],BW$7,
  m.vb[mes],$A115
)</f>
        <v>0</v>
      </c>
      <c r="BX115" s="108">
        <f ca="1">SUMIFS(
  m.vb[valor],
  m.vb[nucleo],$BR$1,
  m.vb[variavel],BX$7,
  m.vb[mes],$A115
)</f>
        <v>0</v>
      </c>
      <c r="BY115" s="108">
        <f ca="1">SUMIFS(
  m.vb[valor],
  m.vb[nucleo],$BR$1,
  m.vb[variavel],BY$7,
  m.vb[mes],$A115
)</f>
        <v>0</v>
      </c>
      <c r="BZ115" s="108">
        <f ca="1">SUMIFS(
  m.vb[valor],
  m.vb[nucleo],$BR$1,
  m.vb[variavel],BZ$7,
  m.vb[mes],$A115
)</f>
        <v>0</v>
      </c>
      <c r="CA115" s="108">
        <f ca="1">SUMIFS(
  m.vb[valor],
  m.vb[nucleo],$BR$1,
  m.vb[variavel],CA$7,
  m.vb[mes],$A115
)</f>
        <v>0</v>
      </c>
      <c r="CB115" s="119">
        <f>COUNTIFS(
    tb_estq[empresa], CB$6,
    tb_estq[Data da venda / reserva], "&gt;=" &amp; $A115,
    tb_estq[Data da venda / reserva], "&lt;"  &amp; EOMONTH($A115,0) + 1
)</f>
        <v>0</v>
      </c>
      <c r="CC115" s="120">
        <f ca="1">SUMIFS(tb_rec_uni[2030-05-01],
INDIRECT("tb_rec_uni[natureza]"),"pro.soluto",
INDIRECT("tb_rec_uni[empresa]"),CC$6)</f>
        <v>0</v>
      </c>
      <c r="CD115" s="120">
        <f ca="1">SUMIFS(tb_rec_uni[2030-05-01],
INDIRECT("tb_rec_uni[natureza]"),"repasse.cef.obra",
INDIRECT("tb_rec_uni[empresa]"),CD$6)</f>
        <v>0</v>
      </c>
      <c r="CE115" s="123">
        <f ca="1">SUMIFS(tb_rec_uni[2030-05-01],
INDIRECT("tb_rec_uni[natureza]"),"repasse.cef.terreno",
INDIRECT("tb_rec_uni[empresa]"),CE$6)</f>
        <v>0</v>
      </c>
      <c r="CF115" s="124"/>
      <c r="CG115" s="120">
        <f ca="1">SUMIFS(tb_rec_uni[2030-05-01],
INDIRECT("tb_rec_uni[natureza]"),"taxa.extra",
INDIRECT("tb_rec_uni[empresa]"),CG$6)</f>
        <v>0</v>
      </c>
      <c r="CH115" s="108"/>
      <c r="CI115" s="108">
        <f ca="1">SUMIFS(
  m.vb[valor],
  m.vb[nucleo],$CB$1,
  m.vb[variavel],CI$7,
  m.vb[mes],$A115
)</f>
        <v>0</v>
      </c>
      <c r="CJ115" s="108">
        <f ca="1">SUMIFS(
  m.vb[valor],
  m.vb[nucleo],$CB$1,
  m.vb[variavel],CJ$7,
  m.vb[mes],$A115
)</f>
        <v>0</v>
      </c>
      <c r="CK115" s="108">
        <f ca="1">SUMIFS(
  m.vb[valor],
  m.vb[nucleo],$CB$1,
  m.vb[variavel],CK$7,
  m.vb[mes],$A115
)</f>
        <v>0</v>
      </c>
      <c r="CL115" s="108">
        <f ca="1">SUMIFS(
  m.vb[valor],
  m.vb[nucleo],$CB$1,
  m.vb[variavel],CL$7,
  m.vb[mes],$A115
)</f>
        <v>0</v>
      </c>
      <c r="CM115" s="108">
        <f ca="1">SUMIFS(
  m.vb[valor],
  m.vb[nucleo],$CB$1,
  m.vb[variavel],CM$7,
  m.vb[mes],$A115
)</f>
        <v>0</v>
      </c>
      <c r="CN115" s="119">
        <f>COUNTIFS(
    tb_estq[empresa], CN$6,
    tb_estq[Data da venda / reserva], "&gt;=" &amp; $A115,
    tb_estq[Data da venda / reserva], "&lt;"  &amp; EOMONTH($A115,0) + 1
)</f>
        <v>0</v>
      </c>
      <c r="CO115" s="120">
        <f ca="1">SUMIFS(tb_rec_uni[2030-05-01],
INDIRECT("tb_rec_uni[natureza]"),"pro.soluto",
INDIRECT("tb_rec_uni[empresa]"),CO$6)</f>
        <v>0</v>
      </c>
      <c r="CP115" s="120">
        <f ca="1">SUMIFS(tb_rec_uni[2030-05-01],
INDIRECT("tb_rec_uni[natureza]"),"repasse.cef.obra",
INDIRECT("tb_rec_uni[empresa]"),CP$6)</f>
        <v>0</v>
      </c>
      <c r="CQ115" s="123">
        <f ca="1">SUMIFS(tb_rec_uni[2030-05-01],
INDIRECT("tb_rec_uni[natureza]"),"repasse.cef.terreno",
INDIRECT("tb_rec_uni[empresa]"),CQ$6)</f>
        <v>0</v>
      </c>
      <c r="CR115" s="124"/>
      <c r="CS115" s="120">
        <f ca="1">SUMIFS(tb_rec_uni[2030-05-01],
INDIRECT("tb_rec_uni[natureza]"),"taxa.extra",
INDIRECT("tb_rec_uni[empresa]"),CS$6)</f>
        <v>0</v>
      </c>
      <c r="CT115" s="108"/>
      <c r="CU115" s="108">
        <f ca="1">SUMIFS(
  m.vb[valor],
  m.vb[nucleo],$CN$1,
  m.vb[variavel],CU$7,
  m.vb[mes],$A115
)</f>
        <v>0</v>
      </c>
      <c r="CV115" s="108" cm="1">
        <f t="array" ref="CV115">SUMPRODUCT(
  IFERROR(--tb_desp[valor],0)*
  (tb_desp[nucleo]="UP MOVE VILA SONIA")*
  (tb_desp[categoria]=CV$7)*
  (tb_desp[data.pagamento]&gt;=$A115)*
  (tb_desp[data.pagamento]&lt;EOMONTH($A115,0)+1)
)</f>
        <v>0</v>
      </c>
      <c r="CW115" s="108" cm="1">
        <f t="array" ref="CW115">SUMPRODUCT(
  IFERROR(--tb_desp[valor],0)*
  (tb_desp[nucleo]="UP MOVE VILA SONIA")*
  (tb_desp[categoria]=CW$7)*
  (tb_desp[data.pagamento]&gt;=$A115)*
  (tb_desp[data.pagamento]&lt;EOMONTH($A115,0)+1)
)</f>
        <v>0</v>
      </c>
      <c r="CX115" s="108" cm="1">
        <f t="array" ref="CX115">SUMPRODUCT(
  IFERROR(--tb_desp[valor],0)*
  (tb_desp[nucleo]="UP MOVE VILA SONIA")*
  (tb_desp[categoria]=CX$7)*
  (tb_desp[data.pagamento]&gt;=$A115)*
  (tb_desp[data.pagamento]&lt;EOMONTH($A115,0)+1)
)</f>
        <v>0</v>
      </c>
      <c r="CY115" s="221" cm="1">
        <f t="array" ref="CY115">SUMPRODUCT(
  IFERROR(--tb_desp[valor],0)*
  (tb_desp[nucleo]="UP MOVE VILA SONIA")*
  (tb_desp[categoria]=CY$7)*
  (tb_desp[data.pagamento]&gt;=$A115)*
  (tb_desp[data.pagamento]&lt;EOMONTH($A115,0)+1)
)</f>
        <v>0</v>
      </c>
    </row>
    <row r="116" spans="1:103" x14ac:dyDescent="0.25">
      <c r="A116" s="118">
        <v>47635</v>
      </c>
      <c r="B116" s="119">
        <f>COUNTIFS(
    tb_estq[empresa], B$6,
    tb_estq[Data da venda / reserva], "&gt;=" &amp; $A116,
    tb_estq[Data da venda / reserva], "&lt;"  &amp; EOMONTH($A116,0) + 1
)</f>
        <v>0</v>
      </c>
      <c r="C116" s="120">
        <f ca="1">SUMIFS(tb_rec_uni[2030-06-01],
INDIRECT("tb_rec_uni[natureza]"),"pro.soluto",
INDIRECT("tb_rec_uni[empresa]"),C$6)</f>
        <v>0</v>
      </c>
      <c r="D116" s="120">
        <f ca="1">SUMIFS(tb_rec_uni[2030-06-01],
INDIRECT("tb_rec_uni[natureza]"),"repasse.cef.obra",
INDIRECT("tb_rec_uni[empresa]"),D$6)</f>
        <v>0</v>
      </c>
      <c r="E116" s="120">
        <f ca="1">SUMIFS(tb_rec_uni[2030-06-01],
INDIRECT("tb_rec_uni[natureza]"),"repasse.cef.terreno",
INDIRECT("tb_rec_uni[empresa]"),E$6)</f>
        <v>0</v>
      </c>
      <c r="F116" s="124"/>
      <c r="G116" s="120">
        <f ca="1">SUMIFS(tb_rec_uni[2030-06-01],
INDIRECT("tb_rec_uni[natureza]"),"taxa.extra",
INDIRECT("tb_rec_uni[empresa]"),G$6)</f>
        <v>0</v>
      </c>
      <c r="H116" s="108"/>
      <c r="I116" s="108">
        <f ca="1">SUMIFS(
  m.vb[valor],
  m.vb[nucleo],$B$1,
  m.vb[variavel],I$7,
  m.vb[mes],$A116
)</f>
        <v>0</v>
      </c>
      <c r="J116" s="108">
        <f ca="1">SUMIFS(
  m.vb[valor],
  m.vb[nucleo],$B$1,
  m.vb[variavel],J$7,
  m.vb[mes],$A116
)</f>
        <v>0</v>
      </c>
      <c r="K116" s="108">
        <f ca="1">SUMIFS(
  m.vb[valor],
  m.vb[nucleo],$B$1,
  m.vb[variavel],K$7,
  m.vb[mes],$A116
)</f>
        <v>0</v>
      </c>
      <c r="L116" s="108">
        <f ca="1">SUMIFS(
  m.vb[valor],
  m.vb[nucleo],$B$1,
  m.vb[variavel],L$7,
  m.vb[mes],$A116
)</f>
        <v>0</v>
      </c>
      <c r="M116" s="108">
        <f ca="1">SUMIFS(
  m.vb[valor],
  m.vb[nucleo],$B$1,
  m.vb[variavel],M$7,
  m.vb[mes],$A116
)</f>
        <v>0</v>
      </c>
      <c r="N116" s="119">
        <f>COUNTIFS(
    tb_estq[empresa], N$6,
    tb_estq[Data da venda / reserva], "&gt;=" &amp; $A116,
    tb_estq[Data da venda / reserva], "&lt;"  &amp; EOMONTH($A116,0) + 1
)</f>
        <v>0</v>
      </c>
      <c r="O116" s="120">
        <f ca="1">SUMIFS(tb_rec_uni[2030-06-01],
INDIRECT("tb_rec_uni[natureza]"),"pro.soluto",
INDIRECT("tb_rec_uni[empresa]"),O$6)</f>
        <v>0</v>
      </c>
      <c r="P116" s="120">
        <f ca="1">SUMIFS(tb_rec_uni[2030-06-01],
INDIRECT("tb_rec_uni[natureza]"),"repasse.cef.obra",
INDIRECT("tb_rec_uni[empresa]"),P$6)</f>
        <v>0</v>
      </c>
      <c r="Q116" s="120">
        <f ca="1">SUMIFS(tb_rec_uni[2030-06-01],
INDIRECT("tb_rec_uni[natureza]"),"repasse.cef.terreno",
INDIRECT("tb_rec_uni[empresa]"),Q$6)</f>
        <v>0</v>
      </c>
      <c r="R116" s="124"/>
      <c r="S116" s="120">
        <f ca="1">SUMIFS(tb_rec_uni[2030-06-01],
INDIRECT("tb_rec_uni[natureza]"),"taxa.extra",
INDIRECT("tb_rec_uni[empresa]"),S$6)</f>
        <v>0</v>
      </c>
      <c r="T116" s="108"/>
      <c r="U116" s="108">
        <f ca="1">SUMIFS(
  m.vb[valor],
  m.vb[nucleo],$N$1,
  m.vb[variavel],U$7,
  m.vb[mes],$A116
)</f>
        <v>0</v>
      </c>
      <c r="V116" s="108">
        <f ca="1">SUMIFS(
  m.vb[valor],
  m.vb[nucleo],$N$1,
  m.vb[variavel],V$7,
  m.vb[mes],$A116
)</f>
        <v>0</v>
      </c>
      <c r="W116" s="108">
        <f ca="1">SUMIFS(
  m.vb[valor],
  m.vb[nucleo],$N$1,
  m.vb[variavel],W$7,
  m.vb[mes],$A116
)</f>
        <v>0</v>
      </c>
      <c r="X116" s="108">
        <f ca="1">SUMIFS(
  m.vb[valor],
  m.vb[nucleo],$N$1,
  m.vb[variavel],X$7,
  m.vb[mes],$A116
)</f>
        <v>0</v>
      </c>
      <c r="Y116" s="108">
        <f ca="1">SUMIFS(
  m.vb[valor],
  m.vb[nucleo],$N$1,
  m.vb[variavel],Y$7,
  m.vb[mes],$A116
)</f>
        <v>0</v>
      </c>
      <c r="Z116" s="119">
        <f>COUNTIFS(
    tb_estq[empresa], Z$6,
    tb_estq[Data da venda / reserva], "&gt;=" &amp; $A116,
    tb_estq[Data da venda / reserva], "&lt;"  &amp; EOMONTH($A116,0) + 1
)</f>
        <v>0</v>
      </c>
      <c r="AA116" s="120">
        <f ca="1">SUMIFS(tb_rec_uni[2030-06-01],
INDIRECT("tb_rec_uni[natureza]"),"pro.soluto",
INDIRECT("tb_rec_uni[empresa]"),AA$6)</f>
        <v>0</v>
      </c>
      <c r="AB116" s="124">
        <f ca="1">SUMIFS(tb_rec_uni[2030-06-01],
INDIRECT("tb_rec_uni[natureza]"),"parcela.fin.total.ik",
INDIRECT("tb_rec_uni[empresa]"),AB$6)</f>
        <v>0</v>
      </c>
      <c r="AC116" s="120">
        <f ca="1">SUMIFS(tb_rec_uni[2030-06-01],
INDIRECT("tb_rec_uni[natureza]"),"taxa.extra",
INDIRECT("tb_rec_uni[empresa]"),AC$6)</f>
        <v>0</v>
      </c>
      <c r="AD116" s="108"/>
      <c r="AE116" s="108">
        <f ca="1">SUMIFS(
  m.vb[valor],
  m.vb[nucleo],$Z$1,
  m.vb[variavel],AE$7,
  m.vb[mes],$A116
)</f>
        <v>0</v>
      </c>
      <c r="AF116" s="108">
        <f ca="1">SUMIFS(
  m.vb[valor],
  m.vb[nucleo],$Z$1,
  m.vb[variavel],AF$7,
  m.vb[mes],$A116
)</f>
        <v>0</v>
      </c>
      <c r="AG116" s="108">
        <f ca="1">SUMIFS(
  m.vb[valor],
  m.vb[nucleo],$Z$1,
  m.vb[variavel],AG$7,
  m.vb[mes],$A116
)</f>
        <v>0</v>
      </c>
      <c r="AH116" s="108">
        <f ca="1">SUMIFS(
  m.vb[valor],
  m.vb[nucleo],$Z$1,
  m.vb[variavel],AH$7,
  m.vb[mes],$A116
)</f>
        <v>0</v>
      </c>
      <c r="AI116" s="108">
        <f ca="1">SUMIFS(
  m.vb[valor],
  m.vb[nucleo],$Z$1,
  m.vb[variavel],AI$7,
  m.vb[mes],$A116
)</f>
        <v>0</v>
      </c>
      <c r="AJ116" s="119">
        <f>COUNTIFS(
    tb_estq[empresa], AJ$6,
    tb_estq[Data da venda / reserva], "&gt;=" &amp; $A116,
    tb_estq[Data da venda / reserva], "&lt;"  &amp; EOMONTH($A116,0) + 1
)</f>
        <v>0</v>
      </c>
      <c r="AK116" s="120">
        <f ca="1">SUMIFS(tb_rec_uni[2030-06-01],
INDIRECT("tb_rec_uni[natureza]"),"pro.soluto",
INDIRECT("tb_rec_uni[empresa]"),AK$6)</f>
        <v>0</v>
      </c>
      <c r="AL116" s="120">
        <f ca="1">SUMIFS(tb_rec_uni[2030-06-01],
INDIRECT("tb_rec_uni[natureza]"),"repasse.cef.obra",
INDIRECT("tb_rec_uni[empresa]"),AL$6)</f>
        <v>0</v>
      </c>
      <c r="AM116" s="123">
        <f ca="1">SUMIFS(tb_rec_uni[2030-06-01],
INDIRECT("tb_rec_uni[natureza]"),"repasse.cef.terreno",
INDIRECT("tb_rec_uni[empresa]"),AM$6)</f>
        <v>0</v>
      </c>
      <c r="AN116" s="124"/>
      <c r="AO116" s="120">
        <f ca="1">SUMIFS(tb_rec_uni[2030-06-01],
INDIRECT("tb_rec_uni[natureza]"),"taxa.extra",
INDIRECT("tb_rec_uni[empresa]"),AO$6)</f>
        <v>0</v>
      </c>
      <c r="AP116" s="108"/>
      <c r="AQ116" s="108">
        <f ca="1">SUMIFS(
  m.vb[valor],
  m.vb[nucleo],$AJ$1,
  m.vb[variavel],AQ$7,
  m.vb[mes],$A116
)</f>
        <v>0</v>
      </c>
      <c r="AR116" s="108">
        <f ca="1">SUMIFS(
  m.vb[valor],
  m.vb[nucleo],$AJ$1,
  m.vb[variavel],AR$7,
  m.vb[mes],$A116
)</f>
        <v>0</v>
      </c>
      <c r="AS116" s="108">
        <f ca="1">SUMIFS(
  m.vb[valor],
  m.vb[nucleo],$AJ$1,
  m.vb[variavel],AS$7,
  m.vb[mes],$A116
)</f>
        <v>0</v>
      </c>
      <c r="AT116" s="108">
        <f ca="1">SUMIFS(
  m.vb[valor],
  m.vb[nucleo],$AJ$1,
  m.vb[variavel],AT$7,
  m.vb[mes],$A116
)</f>
        <v>0</v>
      </c>
      <c r="AU116" s="108">
        <f ca="1">SUMIFS(
  m.vb[valor],
  m.vb[nucleo],$AJ$1,
  m.vb[variavel],AU$7,
  m.vb[mes],$A116
)</f>
        <v>0</v>
      </c>
      <c r="AV116" s="119">
        <f>COUNTIFS(
    tb_estq[empresa], AV$6,
    tb_estq[Data da venda / reserva], "&gt;=" &amp; $A116,
    tb_estq[Data da venda / reserva], "&lt;"  &amp; EOMONTH($A116,0) + 1
)</f>
        <v>0</v>
      </c>
      <c r="AW116" s="120">
        <f ca="1">SUMIFS(tb_rec_uni[2030-06-01],
INDIRECT("tb_rec_uni[natureza]"),"pro.soluto",
INDIRECT("tb_rec_uni[empresa]"),AW$6)</f>
        <v>0</v>
      </c>
      <c r="AX116" s="120">
        <f ca="1">SUMIFS(tb_rec_uni[2030-06-01],
INDIRECT("tb_rec_uni[natureza]"),"repasse.cef.obra",
INDIRECT("tb_rec_uni[empresa]"),AX$6)</f>
        <v>0</v>
      </c>
      <c r="AY116" s="123">
        <f ca="1">SUMIFS(tb_rec_uni[2030-06-01],
INDIRECT("tb_rec_uni[natureza]"),"repasse.cef.terreno",
INDIRECT("tb_rec_uni[empresa]"),AY$6)</f>
        <v>0</v>
      </c>
      <c r="AZ116" s="124"/>
      <c r="BA116" s="120">
        <f ca="1">SUMIFS(tb_rec_uni[2030-06-01],
INDIRECT("tb_rec_uni[natureza]"),"taxa.extra",
INDIRECT("tb_rec_uni[empresa]"),BA$6)</f>
        <v>0</v>
      </c>
      <c r="BB116" s="108"/>
      <c r="BC116" s="108">
        <f ca="1">SUMIFS(
  m.vb[valor],
  m.vb[nucleo],$AV$1,
  m.vb[variavel],BC$7,
  m.vb[mes],$A116
)</f>
        <v>0</v>
      </c>
      <c r="BD116" s="108">
        <f ca="1">SUMIFS(
  m.vb[valor],
  m.vb[nucleo],$AV$1,
  m.vb[variavel],BD$7,
  m.vb[mes],$A116
)</f>
        <v>0</v>
      </c>
      <c r="BE116" s="108">
        <f ca="1">SUMIFS(
  m.vb[valor],
  m.vb[nucleo],$AV$1,
  m.vb[variavel],BE$7,
  m.vb[mes],$A116
)</f>
        <v>0</v>
      </c>
      <c r="BF116" s="108">
        <f ca="1">SUMIFS(
  m.vb[valor],
  m.vb[nucleo],$AV$1,
  m.vb[variavel],BF$7,
  m.vb[mes],$A116
)</f>
        <v>0</v>
      </c>
      <c r="BG116" s="108">
        <f ca="1">SUMIFS(
  m.vb[valor],
  m.vb[nucleo],$AV$1,
  m.vb[variavel],BG$7,
  m.vb[mes],$A116
)</f>
        <v>0</v>
      </c>
      <c r="BH116" s="119">
        <f>COUNTIFS(
    tb_estq[empresa], BH$6,
    tb_estq[Data da venda / reserva], "&gt;=" &amp; $A116,
    tb_estq[Data da venda / reserva], "&lt;"  &amp; EOMONTH($A116,0) + 1
)</f>
        <v>0</v>
      </c>
      <c r="BI116" s="120">
        <f ca="1">SUMIFS(tb_rec_uni[2030-06-01],
INDIRECT("tb_rec_uni[natureza]"),"pro.soluto",
INDIRECT("tb_rec_uni[empresa]"),BI$6)</f>
        <v>0</v>
      </c>
      <c r="BJ116" s="124"/>
      <c r="BK116" s="120">
        <f ca="1">SUMIFS(tb_rec_uni[2030-06-01],
INDIRECT("tb_rec_uni[natureza]"),"taxa.extra",
INDIRECT("tb_rec_uni[empresa]"),BK$6)</f>
        <v>0</v>
      </c>
      <c r="BL116" s="108"/>
      <c r="BM116" s="108">
        <f ca="1">SUMIFS(
  m.vb[valor],
  m.vb[nucleo],$BH$1,
  m.vb[variavel],BM$7,
  m.vb[mes],$A116
)</f>
        <v>0</v>
      </c>
      <c r="BN116" s="108">
        <f ca="1">SUMIFS(
  m.vb[valor],
  m.vb[nucleo],$BH$1,
  m.vb[variavel],BN$7,
  m.vb[mes],$A116
)</f>
        <v>0</v>
      </c>
      <c r="BO116" s="108">
        <f ca="1">SUMIFS(
  m.vb[valor],
  m.vb[nucleo],$BH$1,
  m.vb[variavel],BO$7,
  m.vb[mes],$A116
)</f>
        <v>0</v>
      </c>
      <c r="BP116" s="108">
        <f ca="1">SUMIFS(
  m.vb[valor],
  m.vb[nucleo],$BH$1,
  m.vb[variavel],BP$7,
  m.vb[mes],$A116
)</f>
        <v>0</v>
      </c>
      <c r="BQ116" s="108">
        <f ca="1">SUMIFS(
  m.vb[valor],
  m.vb[nucleo],$BH$1,
  m.vb[variavel],BQ$7,
  m.vb[mes],$A116
)</f>
        <v>0</v>
      </c>
      <c r="BR116" s="119">
        <f>COUNTIFS(
    tb_estq[empresa], BR$6,
    tb_estq[Data da venda / reserva], "&gt;=" &amp; $A116,
    tb_estq[Data da venda / reserva], "&lt;"  &amp; EOMONTH($A116,0) + 1
)</f>
        <v>0</v>
      </c>
      <c r="BS116" s="120">
        <f ca="1">SUMIFS(tb_rec_uni[2030-06-01],
INDIRECT("tb_rec_uni[natureza]"),"pro.soluto",
INDIRECT("tb_rec_uni[empresa]"),BS$6)</f>
        <v>0</v>
      </c>
      <c r="BT116" s="124">
        <f ca="1">SUMIFS(tb_rec_uni[2030-06-01],
INDIRECT("tb_rec_uni[natureza]"),"parcela.fin.total.ik",
INDIRECT("tb_rec_uni[empresa]"),BT$6)</f>
        <v>0</v>
      </c>
      <c r="BU116" s="120">
        <f ca="1">SUMIFS(tb_rec_uni[2030-06-01],
INDIRECT("tb_rec_uni[natureza]"),"taxa.extra",
INDIRECT("tb_rec_uni[empresa]"),BU$6)</f>
        <v>0</v>
      </c>
      <c r="BV116" s="108"/>
      <c r="BW116" s="108">
        <f ca="1">SUMIFS(
  m.vb[valor],
  m.vb[nucleo],$BR$1,
  m.vb[variavel],BW$7,
  m.vb[mes],$A116
)</f>
        <v>0</v>
      </c>
      <c r="BX116" s="108">
        <f ca="1">SUMIFS(
  m.vb[valor],
  m.vb[nucleo],$BR$1,
  m.vb[variavel],BX$7,
  m.vb[mes],$A116
)</f>
        <v>0</v>
      </c>
      <c r="BY116" s="108">
        <f ca="1">SUMIFS(
  m.vb[valor],
  m.vb[nucleo],$BR$1,
  m.vb[variavel],BY$7,
  m.vb[mes],$A116
)</f>
        <v>0</v>
      </c>
      <c r="BZ116" s="108">
        <f ca="1">SUMIFS(
  m.vb[valor],
  m.vb[nucleo],$BR$1,
  m.vb[variavel],BZ$7,
  m.vb[mes],$A116
)</f>
        <v>0</v>
      </c>
      <c r="CA116" s="108">
        <f ca="1">SUMIFS(
  m.vb[valor],
  m.vb[nucleo],$BR$1,
  m.vb[variavel],CA$7,
  m.vb[mes],$A116
)</f>
        <v>0</v>
      </c>
      <c r="CB116" s="119">
        <f>COUNTIFS(
    tb_estq[empresa], CB$6,
    tb_estq[Data da venda / reserva], "&gt;=" &amp; $A116,
    tb_estq[Data da venda / reserva], "&lt;"  &amp; EOMONTH($A116,0) + 1
)</f>
        <v>0</v>
      </c>
      <c r="CC116" s="120">
        <f ca="1">SUMIFS(tb_rec_uni[2030-06-01],
INDIRECT("tb_rec_uni[natureza]"),"pro.soluto",
INDIRECT("tb_rec_uni[empresa]"),CC$6)</f>
        <v>0</v>
      </c>
      <c r="CD116" s="120">
        <f ca="1">SUMIFS(tb_rec_uni[2030-06-01],
INDIRECT("tb_rec_uni[natureza]"),"repasse.cef.obra",
INDIRECT("tb_rec_uni[empresa]"),CD$6)</f>
        <v>0</v>
      </c>
      <c r="CE116" s="123">
        <f ca="1">SUMIFS(tb_rec_uni[2030-06-01],
INDIRECT("tb_rec_uni[natureza]"),"repasse.cef.terreno",
INDIRECT("tb_rec_uni[empresa]"),CE$6)</f>
        <v>0</v>
      </c>
      <c r="CF116" s="124"/>
      <c r="CG116" s="120">
        <f ca="1">SUMIFS(tb_rec_uni[2030-06-01],
INDIRECT("tb_rec_uni[natureza]"),"taxa.extra",
INDIRECT("tb_rec_uni[empresa]"),CG$6)</f>
        <v>0</v>
      </c>
      <c r="CH116" s="108"/>
      <c r="CI116" s="108">
        <f ca="1">SUMIFS(
  m.vb[valor],
  m.vb[nucleo],$CB$1,
  m.vb[variavel],CI$7,
  m.vb[mes],$A116
)</f>
        <v>0</v>
      </c>
      <c r="CJ116" s="108">
        <f ca="1">SUMIFS(
  m.vb[valor],
  m.vb[nucleo],$CB$1,
  m.vb[variavel],CJ$7,
  m.vb[mes],$A116
)</f>
        <v>0</v>
      </c>
      <c r="CK116" s="108">
        <f ca="1">SUMIFS(
  m.vb[valor],
  m.vb[nucleo],$CB$1,
  m.vb[variavel],CK$7,
  m.vb[mes],$A116
)</f>
        <v>0</v>
      </c>
      <c r="CL116" s="108">
        <f ca="1">SUMIFS(
  m.vb[valor],
  m.vb[nucleo],$CB$1,
  m.vb[variavel],CL$7,
  m.vb[mes],$A116
)</f>
        <v>0</v>
      </c>
      <c r="CM116" s="108">
        <f ca="1">SUMIFS(
  m.vb[valor],
  m.vb[nucleo],$CB$1,
  m.vb[variavel],CM$7,
  m.vb[mes],$A116
)</f>
        <v>0</v>
      </c>
      <c r="CN116" s="119">
        <f>COUNTIFS(
    tb_estq[empresa], CN$6,
    tb_estq[Data da venda / reserva], "&gt;=" &amp; $A116,
    tb_estq[Data da venda / reserva], "&lt;"  &amp; EOMONTH($A116,0) + 1
)</f>
        <v>0</v>
      </c>
      <c r="CO116" s="120">
        <f ca="1">SUMIFS(tb_rec_uni[2030-06-01],
INDIRECT("tb_rec_uni[natureza]"),"pro.soluto",
INDIRECT("tb_rec_uni[empresa]"),CO$6)</f>
        <v>0</v>
      </c>
      <c r="CP116" s="120">
        <f ca="1">SUMIFS(tb_rec_uni[2030-06-01],
INDIRECT("tb_rec_uni[natureza]"),"repasse.cef.obra",
INDIRECT("tb_rec_uni[empresa]"),CP$6)</f>
        <v>0</v>
      </c>
      <c r="CQ116" s="123">
        <f ca="1">SUMIFS(tb_rec_uni[2030-06-01],
INDIRECT("tb_rec_uni[natureza]"),"repasse.cef.terreno",
INDIRECT("tb_rec_uni[empresa]"),CQ$6)</f>
        <v>0</v>
      </c>
      <c r="CR116" s="124"/>
      <c r="CS116" s="120">
        <f ca="1">SUMIFS(tb_rec_uni[2030-06-01],
INDIRECT("tb_rec_uni[natureza]"),"taxa.extra",
INDIRECT("tb_rec_uni[empresa]"),CS$6)</f>
        <v>0</v>
      </c>
      <c r="CT116" s="108"/>
      <c r="CU116" s="108">
        <f ca="1">SUMIFS(
  m.vb[valor],
  m.vb[nucleo],$CN$1,
  m.vb[variavel],CU$7,
  m.vb[mes],$A116
)</f>
        <v>0</v>
      </c>
      <c r="CV116" s="108" cm="1">
        <f t="array" ref="CV116">SUMPRODUCT(
  IFERROR(--tb_desp[valor],0)*
  (tb_desp[nucleo]="UP MOVE VILA SONIA")*
  (tb_desp[categoria]=CV$7)*
  (tb_desp[data.pagamento]&gt;=$A116)*
  (tb_desp[data.pagamento]&lt;EOMONTH($A116,0)+1)
)</f>
        <v>0</v>
      </c>
      <c r="CW116" s="108" cm="1">
        <f t="array" ref="CW116">SUMPRODUCT(
  IFERROR(--tb_desp[valor],0)*
  (tb_desp[nucleo]="UP MOVE VILA SONIA")*
  (tb_desp[categoria]=CW$7)*
  (tb_desp[data.pagamento]&gt;=$A116)*
  (tb_desp[data.pagamento]&lt;EOMONTH($A116,0)+1)
)</f>
        <v>0</v>
      </c>
      <c r="CX116" s="108" cm="1">
        <f t="array" ref="CX116">SUMPRODUCT(
  IFERROR(--tb_desp[valor],0)*
  (tb_desp[nucleo]="UP MOVE VILA SONIA")*
  (tb_desp[categoria]=CX$7)*
  (tb_desp[data.pagamento]&gt;=$A116)*
  (tb_desp[data.pagamento]&lt;EOMONTH($A116,0)+1)
)</f>
        <v>0</v>
      </c>
      <c r="CY116" s="221" cm="1">
        <f t="array" ref="CY116">SUMPRODUCT(
  IFERROR(--tb_desp[valor],0)*
  (tb_desp[nucleo]="UP MOVE VILA SONIA")*
  (tb_desp[categoria]=CY$7)*
  (tb_desp[data.pagamento]&gt;=$A116)*
  (tb_desp[data.pagamento]&lt;EOMONTH($A116,0)+1)
)</f>
        <v>0</v>
      </c>
    </row>
    <row r="117" spans="1:103" x14ac:dyDescent="0.25">
      <c r="A117" s="118">
        <v>47665</v>
      </c>
      <c r="B117" s="119">
        <f>COUNTIFS(
    tb_estq[empresa], B$6,
    tb_estq[Data da venda / reserva], "&gt;=" &amp; $A117,
    tb_estq[Data da venda / reserva], "&lt;"  &amp; EOMONTH($A117,0) + 1
)</f>
        <v>0</v>
      </c>
      <c r="C117" s="120">
        <f ca="1">SUMIFS(tb_rec_uni[2030-07-01],
INDIRECT("tb_rec_uni[natureza]"),"pro.soluto",
INDIRECT("tb_rec_uni[empresa]"),C$6)</f>
        <v>0</v>
      </c>
      <c r="D117" s="120">
        <f ca="1">SUMIFS(tb_rec_uni[2030-07-01],
INDIRECT("tb_rec_uni[natureza]"),"repasse.cef.obra",
INDIRECT("tb_rec_uni[empresa]"),D$6)</f>
        <v>0</v>
      </c>
      <c r="E117" s="120">
        <f ca="1">SUMIFS(tb_rec_uni[2030-07-01],
INDIRECT("tb_rec_uni[natureza]"),"repasse.cef.terreno",
INDIRECT("tb_rec_uni[empresa]"),E$6)</f>
        <v>0</v>
      </c>
      <c r="F117" s="124"/>
      <c r="G117" s="120">
        <f ca="1">SUMIFS(tb_rec_uni[2030-07-01],
INDIRECT("tb_rec_uni[natureza]"),"taxa.extra",
INDIRECT("tb_rec_uni[empresa]"),G$6)</f>
        <v>0</v>
      </c>
      <c r="H117" s="108"/>
      <c r="I117" s="108">
        <f ca="1">SUMIFS(
  m.vb[valor],
  m.vb[nucleo],$B$1,
  m.vb[variavel],I$7,
  m.vb[mes],$A117
)</f>
        <v>0</v>
      </c>
      <c r="J117" s="108">
        <f ca="1">SUMIFS(
  m.vb[valor],
  m.vb[nucleo],$B$1,
  m.vb[variavel],J$7,
  m.vb[mes],$A117
)</f>
        <v>0</v>
      </c>
      <c r="K117" s="108">
        <f ca="1">SUMIFS(
  m.vb[valor],
  m.vb[nucleo],$B$1,
  m.vb[variavel],K$7,
  m.vb[mes],$A117
)</f>
        <v>0</v>
      </c>
      <c r="L117" s="108">
        <f ca="1">SUMIFS(
  m.vb[valor],
  m.vb[nucleo],$B$1,
  m.vb[variavel],L$7,
  m.vb[mes],$A117
)</f>
        <v>0</v>
      </c>
      <c r="M117" s="108">
        <f ca="1">SUMIFS(
  m.vb[valor],
  m.vb[nucleo],$B$1,
  m.vb[variavel],M$7,
  m.vb[mes],$A117
)</f>
        <v>0</v>
      </c>
      <c r="N117" s="119">
        <f>COUNTIFS(
    tb_estq[empresa], N$6,
    tb_estq[Data da venda / reserva], "&gt;=" &amp; $A117,
    tb_estq[Data da venda / reserva], "&lt;"  &amp; EOMONTH($A117,0) + 1
)</f>
        <v>0</v>
      </c>
      <c r="O117" s="120">
        <f ca="1">SUMIFS(tb_rec_uni[2030-07-01],
INDIRECT("tb_rec_uni[natureza]"),"pro.soluto",
INDIRECT("tb_rec_uni[empresa]"),O$6)</f>
        <v>0</v>
      </c>
      <c r="P117" s="120">
        <f ca="1">SUMIFS(tb_rec_uni[2030-07-01],
INDIRECT("tb_rec_uni[natureza]"),"repasse.cef.obra",
INDIRECT("tb_rec_uni[empresa]"),P$6)</f>
        <v>0</v>
      </c>
      <c r="Q117" s="120">
        <f ca="1">SUMIFS(tb_rec_uni[2030-07-01],
INDIRECT("tb_rec_uni[natureza]"),"repasse.cef.terreno",
INDIRECT("tb_rec_uni[empresa]"),Q$6)</f>
        <v>0</v>
      </c>
      <c r="R117" s="124"/>
      <c r="S117" s="120">
        <f ca="1">SUMIFS(tb_rec_uni[2030-07-01],
INDIRECT("tb_rec_uni[natureza]"),"taxa.extra",
INDIRECT("tb_rec_uni[empresa]"),S$6)</f>
        <v>0</v>
      </c>
      <c r="T117" s="108"/>
      <c r="U117" s="108">
        <f ca="1">SUMIFS(
  m.vb[valor],
  m.vb[nucleo],$N$1,
  m.vb[variavel],U$7,
  m.vb[mes],$A117
)</f>
        <v>0</v>
      </c>
      <c r="V117" s="108">
        <f ca="1">SUMIFS(
  m.vb[valor],
  m.vb[nucleo],$N$1,
  m.vb[variavel],V$7,
  m.vb[mes],$A117
)</f>
        <v>0</v>
      </c>
      <c r="W117" s="108">
        <f ca="1">SUMIFS(
  m.vb[valor],
  m.vb[nucleo],$N$1,
  m.vb[variavel],W$7,
  m.vb[mes],$A117
)</f>
        <v>0</v>
      </c>
      <c r="X117" s="108">
        <f ca="1">SUMIFS(
  m.vb[valor],
  m.vb[nucleo],$N$1,
  m.vb[variavel],X$7,
  m.vb[mes],$A117
)</f>
        <v>0</v>
      </c>
      <c r="Y117" s="108">
        <f ca="1">SUMIFS(
  m.vb[valor],
  m.vb[nucleo],$N$1,
  m.vb[variavel],Y$7,
  m.vb[mes],$A117
)</f>
        <v>0</v>
      </c>
      <c r="Z117" s="119">
        <f>COUNTIFS(
    tb_estq[empresa], Z$6,
    tb_estq[Data da venda / reserva], "&gt;=" &amp; $A117,
    tb_estq[Data da venda / reserva], "&lt;"  &amp; EOMONTH($A117,0) + 1
)</f>
        <v>0</v>
      </c>
      <c r="AA117" s="120">
        <f ca="1">SUMIFS(tb_rec_uni[2030-07-01],
INDIRECT("tb_rec_uni[natureza]"),"pro.soluto",
INDIRECT("tb_rec_uni[empresa]"),AA$6)</f>
        <v>0</v>
      </c>
      <c r="AB117" s="124">
        <f ca="1">SUMIFS(tb_rec_uni[2030-07-01],
INDIRECT("tb_rec_uni[natureza]"),"parcela.fin.total.ik",
INDIRECT("tb_rec_uni[empresa]"),AB$6)</f>
        <v>0</v>
      </c>
      <c r="AC117" s="120">
        <f ca="1">SUMIFS(tb_rec_uni[2030-07-01],
INDIRECT("tb_rec_uni[natureza]"),"taxa.extra",
INDIRECT("tb_rec_uni[empresa]"),AC$6)</f>
        <v>0</v>
      </c>
      <c r="AD117" s="108"/>
      <c r="AE117" s="108">
        <f ca="1">SUMIFS(
  m.vb[valor],
  m.vb[nucleo],$Z$1,
  m.vb[variavel],AE$7,
  m.vb[mes],$A117
)</f>
        <v>0</v>
      </c>
      <c r="AF117" s="108">
        <f ca="1">SUMIFS(
  m.vb[valor],
  m.vb[nucleo],$Z$1,
  m.vb[variavel],AF$7,
  m.vb[mes],$A117
)</f>
        <v>0</v>
      </c>
      <c r="AG117" s="108">
        <f ca="1">SUMIFS(
  m.vb[valor],
  m.vb[nucleo],$Z$1,
  m.vb[variavel],AG$7,
  m.vb[mes],$A117
)</f>
        <v>0</v>
      </c>
      <c r="AH117" s="108">
        <f ca="1">SUMIFS(
  m.vb[valor],
  m.vb[nucleo],$Z$1,
  m.vb[variavel],AH$7,
  m.vb[mes],$A117
)</f>
        <v>0</v>
      </c>
      <c r="AI117" s="108">
        <f ca="1">SUMIFS(
  m.vb[valor],
  m.vb[nucleo],$Z$1,
  m.vb[variavel],AI$7,
  m.vb[mes],$A117
)</f>
        <v>0</v>
      </c>
      <c r="AJ117" s="119">
        <f>COUNTIFS(
    tb_estq[empresa], AJ$6,
    tb_estq[Data da venda / reserva], "&gt;=" &amp; $A117,
    tb_estq[Data da venda / reserva], "&lt;"  &amp; EOMONTH($A117,0) + 1
)</f>
        <v>0</v>
      </c>
      <c r="AK117" s="120">
        <f ca="1">SUMIFS(tb_rec_uni[2030-07-01],
INDIRECT("tb_rec_uni[natureza]"),"pro.soluto",
INDIRECT("tb_rec_uni[empresa]"),AK$6)</f>
        <v>0</v>
      </c>
      <c r="AL117" s="120">
        <f ca="1">SUMIFS(tb_rec_uni[2030-07-01],
INDIRECT("tb_rec_uni[natureza]"),"repasse.cef.obra",
INDIRECT("tb_rec_uni[empresa]"),AL$6)</f>
        <v>0</v>
      </c>
      <c r="AM117" s="123">
        <f ca="1">SUMIFS(tb_rec_uni[2030-07-01],
INDIRECT("tb_rec_uni[natureza]"),"repasse.cef.terreno",
INDIRECT("tb_rec_uni[empresa]"),AM$6)</f>
        <v>0</v>
      </c>
      <c r="AN117" s="124"/>
      <c r="AO117" s="120">
        <f ca="1">SUMIFS(tb_rec_uni[2030-07-01],
INDIRECT("tb_rec_uni[natureza]"),"taxa.extra",
INDIRECT("tb_rec_uni[empresa]"),AO$6)</f>
        <v>0</v>
      </c>
      <c r="AP117" s="108"/>
      <c r="AQ117" s="108">
        <f ca="1">SUMIFS(
  m.vb[valor],
  m.vb[nucleo],$AJ$1,
  m.vb[variavel],AQ$7,
  m.vb[mes],$A117
)</f>
        <v>0</v>
      </c>
      <c r="AR117" s="108">
        <f ca="1">SUMIFS(
  m.vb[valor],
  m.vb[nucleo],$AJ$1,
  m.vb[variavel],AR$7,
  m.vb[mes],$A117
)</f>
        <v>0</v>
      </c>
      <c r="AS117" s="108">
        <f ca="1">SUMIFS(
  m.vb[valor],
  m.vb[nucleo],$AJ$1,
  m.vb[variavel],AS$7,
  m.vb[mes],$A117
)</f>
        <v>0</v>
      </c>
      <c r="AT117" s="108">
        <f ca="1">SUMIFS(
  m.vb[valor],
  m.vb[nucleo],$AJ$1,
  m.vb[variavel],AT$7,
  m.vb[mes],$A117
)</f>
        <v>0</v>
      </c>
      <c r="AU117" s="108">
        <f ca="1">SUMIFS(
  m.vb[valor],
  m.vb[nucleo],$AJ$1,
  m.vb[variavel],AU$7,
  m.vb[mes],$A117
)</f>
        <v>0</v>
      </c>
      <c r="AV117" s="119">
        <f>COUNTIFS(
    tb_estq[empresa], AV$6,
    tb_estq[Data da venda / reserva], "&gt;=" &amp; $A117,
    tb_estq[Data da venda / reserva], "&lt;"  &amp; EOMONTH($A117,0) + 1
)</f>
        <v>0</v>
      </c>
      <c r="AW117" s="120">
        <f ca="1">SUMIFS(tb_rec_uni[2030-07-01],
INDIRECT("tb_rec_uni[natureza]"),"pro.soluto",
INDIRECT("tb_rec_uni[empresa]"),AW$6)</f>
        <v>0</v>
      </c>
      <c r="AX117" s="120">
        <f ca="1">SUMIFS(tb_rec_uni[2030-07-01],
INDIRECT("tb_rec_uni[natureza]"),"repasse.cef.obra",
INDIRECT("tb_rec_uni[empresa]"),AX$6)</f>
        <v>0</v>
      </c>
      <c r="AY117" s="123">
        <f ca="1">SUMIFS(tb_rec_uni[2030-07-01],
INDIRECT("tb_rec_uni[natureza]"),"repasse.cef.terreno",
INDIRECT("tb_rec_uni[empresa]"),AY$6)</f>
        <v>0</v>
      </c>
      <c r="AZ117" s="124"/>
      <c r="BA117" s="120">
        <f ca="1">SUMIFS(tb_rec_uni[2030-07-01],
INDIRECT("tb_rec_uni[natureza]"),"taxa.extra",
INDIRECT("tb_rec_uni[empresa]"),BA$6)</f>
        <v>0</v>
      </c>
      <c r="BB117" s="108"/>
      <c r="BC117" s="108">
        <f ca="1">SUMIFS(
  m.vb[valor],
  m.vb[nucleo],$AV$1,
  m.vb[variavel],BC$7,
  m.vb[mes],$A117
)</f>
        <v>0</v>
      </c>
      <c r="BD117" s="108">
        <f ca="1">SUMIFS(
  m.vb[valor],
  m.vb[nucleo],$AV$1,
  m.vb[variavel],BD$7,
  m.vb[mes],$A117
)</f>
        <v>0</v>
      </c>
      <c r="BE117" s="108">
        <f ca="1">SUMIFS(
  m.vb[valor],
  m.vb[nucleo],$AV$1,
  m.vb[variavel],BE$7,
  m.vb[mes],$A117
)</f>
        <v>0</v>
      </c>
      <c r="BF117" s="108">
        <f ca="1">SUMIFS(
  m.vb[valor],
  m.vb[nucleo],$AV$1,
  m.vb[variavel],BF$7,
  m.vb[mes],$A117
)</f>
        <v>0</v>
      </c>
      <c r="BG117" s="108">
        <f ca="1">SUMIFS(
  m.vb[valor],
  m.vb[nucleo],$AV$1,
  m.vb[variavel],BG$7,
  m.vb[mes],$A117
)</f>
        <v>0</v>
      </c>
      <c r="BH117" s="119">
        <f>COUNTIFS(
    tb_estq[empresa], BH$6,
    tb_estq[Data da venda / reserva], "&gt;=" &amp; $A117,
    tb_estq[Data da venda / reserva], "&lt;"  &amp; EOMONTH($A117,0) + 1
)</f>
        <v>0</v>
      </c>
      <c r="BI117" s="120">
        <f ca="1">SUMIFS(tb_rec_uni[2030-07-01],
INDIRECT("tb_rec_uni[natureza]"),"pro.soluto",
INDIRECT("tb_rec_uni[empresa]"),BI$6)</f>
        <v>0</v>
      </c>
      <c r="BJ117" s="124"/>
      <c r="BK117" s="120">
        <f ca="1">SUMIFS(tb_rec_uni[2030-07-01],
INDIRECT("tb_rec_uni[natureza]"),"taxa.extra",
INDIRECT("tb_rec_uni[empresa]"),BK$6)</f>
        <v>0</v>
      </c>
      <c r="BL117" s="108"/>
      <c r="BM117" s="108">
        <f ca="1">SUMIFS(
  m.vb[valor],
  m.vb[nucleo],$BH$1,
  m.vb[variavel],BM$7,
  m.vb[mes],$A117
)</f>
        <v>0</v>
      </c>
      <c r="BN117" s="108">
        <f ca="1">SUMIFS(
  m.vb[valor],
  m.vb[nucleo],$BH$1,
  m.vb[variavel],BN$7,
  m.vb[mes],$A117
)</f>
        <v>0</v>
      </c>
      <c r="BO117" s="108">
        <f ca="1">SUMIFS(
  m.vb[valor],
  m.vb[nucleo],$BH$1,
  m.vb[variavel],BO$7,
  m.vb[mes],$A117
)</f>
        <v>0</v>
      </c>
      <c r="BP117" s="108">
        <f ca="1">SUMIFS(
  m.vb[valor],
  m.vb[nucleo],$BH$1,
  m.vb[variavel],BP$7,
  m.vb[mes],$A117
)</f>
        <v>0</v>
      </c>
      <c r="BQ117" s="108">
        <f ca="1">SUMIFS(
  m.vb[valor],
  m.vb[nucleo],$BH$1,
  m.vb[variavel],BQ$7,
  m.vb[mes],$A117
)</f>
        <v>0</v>
      </c>
      <c r="BR117" s="119">
        <f>COUNTIFS(
    tb_estq[empresa], BR$6,
    tb_estq[Data da venda / reserva], "&gt;=" &amp; $A117,
    tb_estq[Data da venda / reserva], "&lt;"  &amp; EOMONTH($A117,0) + 1
)</f>
        <v>0</v>
      </c>
      <c r="BS117" s="120">
        <f ca="1">SUMIFS(tb_rec_uni[2030-07-01],
INDIRECT("tb_rec_uni[natureza]"),"pro.soluto",
INDIRECT("tb_rec_uni[empresa]"),BS$6)</f>
        <v>0</v>
      </c>
      <c r="BT117" s="124">
        <f ca="1">SUMIFS(tb_rec_uni[2030-07-01],
INDIRECT("tb_rec_uni[natureza]"),"parcela.fin.total.ik",
INDIRECT("tb_rec_uni[empresa]"),BT$6)</f>
        <v>0</v>
      </c>
      <c r="BU117" s="120">
        <f ca="1">SUMIFS(tb_rec_uni[2030-07-01],
INDIRECT("tb_rec_uni[natureza]"),"taxa.extra",
INDIRECT("tb_rec_uni[empresa]"),BU$6)</f>
        <v>0</v>
      </c>
      <c r="BV117" s="108"/>
      <c r="BW117" s="108">
        <f ca="1">SUMIFS(
  m.vb[valor],
  m.vb[nucleo],$BR$1,
  m.vb[variavel],BW$7,
  m.vb[mes],$A117
)</f>
        <v>0</v>
      </c>
      <c r="BX117" s="108">
        <f ca="1">SUMIFS(
  m.vb[valor],
  m.vb[nucleo],$BR$1,
  m.vb[variavel],BX$7,
  m.vb[mes],$A117
)</f>
        <v>0</v>
      </c>
      <c r="BY117" s="108">
        <f ca="1">SUMIFS(
  m.vb[valor],
  m.vb[nucleo],$BR$1,
  m.vb[variavel],BY$7,
  m.vb[mes],$A117
)</f>
        <v>0</v>
      </c>
      <c r="BZ117" s="108">
        <f ca="1">SUMIFS(
  m.vb[valor],
  m.vb[nucleo],$BR$1,
  m.vb[variavel],BZ$7,
  m.vb[mes],$A117
)</f>
        <v>0</v>
      </c>
      <c r="CA117" s="108">
        <f ca="1">SUMIFS(
  m.vb[valor],
  m.vb[nucleo],$BR$1,
  m.vb[variavel],CA$7,
  m.vb[mes],$A117
)</f>
        <v>0</v>
      </c>
      <c r="CB117" s="119">
        <f>COUNTIFS(
    tb_estq[empresa], CB$6,
    tb_estq[Data da venda / reserva], "&gt;=" &amp; $A117,
    tb_estq[Data da venda / reserva], "&lt;"  &amp; EOMONTH($A117,0) + 1
)</f>
        <v>0</v>
      </c>
      <c r="CC117" s="120">
        <f ca="1">SUMIFS(tb_rec_uni[2030-07-01],
INDIRECT("tb_rec_uni[natureza]"),"pro.soluto",
INDIRECT("tb_rec_uni[empresa]"),CC$6)</f>
        <v>0</v>
      </c>
      <c r="CD117" s="120">
        <f ca="1">SUMIFS(tb_rec_uni[2030-07-01],
INDIRECT("tb_rec_uni[natureza]"),"repasse.cef.obra",
INDIRECT("tb_rec_uni[empresa]"),CD$6)</f>
        <v>0</v>
      </c>
      <c r="CE117" s="123">
        <f ca="1">SUMIFS(tb_rec_uni[2030-07-01],
INDIRECT("tb_rec_uni[natureza]"),"repasse.cef.terreno",
INDIRECT("tb_rec_uni[empresa]"),CE$6)</f>
        <v>0</v>
      </c>
      <c r="CF117" s="124"/>
      <c r="CG117" s="120">
        <f ca="1">SUMIFS(tb_rec_uni[2030-07-01],
INDIRECT("tb_rec_uni[natureza]"),"taxa.extra",
INDIRECT("tb_rec_uni[empresa]"),CG$6)</f>
        <v>0</v>
      </c>
      <c r="CH117" s="108"/>
      <c r="CI117" s="108">
        <f ca="1">SUMIFS(
  m.vb[valor],
  m.vb[nucleo],$CB$1,
  m.vb[variavel],CI$7,
  m.vb[mes],$A117
)</f>
        <v>0</v>
      </c>
      <c r="CJ117" s="108">
        <f ca="1">SUMIFS(
  m.vb[valor],
  m.vb[nucleo],$CB$1,
  m.vb[variavel],CJ$7,
  m.vb[mes],$A117
)</f>
        <v>0</v>
      </c>
      <c r="CK117" s="108">
        <f ca="1">SUMIFS(
  m.vb[valor],
  m.vb[nucleo],$CB$1,
  m.vb[variavel],CK$7,
  m.vb[mes],$A117
)</f>
        <v>0</v>
      </c>
      <c r="CL117" s="108">
        <f ca="1">SUMIFS(
  m.vb[valor],
  m.vb[nucleo],$CB$1,
  m.vb[variavel],CL$7,
  m.vb[mes],$A117
)</f>
        <v>0</v>
      </c>
      <c r="CM117" s="108">
        <f ca="1">SUMIFS(
  m.vb[valor],
  m.vb[nucleo],$CB$1,
  m.vb[variavel],CM$7,
  m.vb[mes],$A117
)</f>
        <v>0</v>
      </c>
      <c r="CN117" s="119">
        <f>COUNTIFS(
    tb_estq[empresa], CN$6,
    tb_estq[Data da venda / reserva], "&gt;=" &amp; $A117,
    tb_estq[Data da venda / reserva], "&lt;"  &amp; EOMONTH($A117,0) + 1
)</f>
        <v>0</v>
      </c>
      <c r="CO117" s="120">
        <f ca="1">SUMIFS(tb_rec_uni[2030-07-01],
INDIRECT("tb_rec_uni[natureza]"),"pro.soluto",
INDIRECT("tb_rec_uni[empresa]"),CO$6)</f>
        <v>0</v>
      </c>
      <c r="CP117" s="120">
        <f ca="1">SUMIFS(tb_rec_uni[2030-07-01],
INDIRECT("tb_rec_uni[natureza]"),"repasse.cef.obra",
INDIRECT("tb_rec_uni[empresa]"),CP$6)</f>
        <v>0</v>
      </c>
      <c r="CQ117" s="123">
        <f ca="1">SUMIFS(tb_rec_uni[2030-07-01],
INDIRECT("tb_rec_uni[natureza]"),"repasse.cef.terreno",
INDIRECT("tb_rec_uni[empresa]"),CQ$6)</f>
        <v>0</v>
      </c>
      <c r="CR117" s="124"/>
      <c r="CS117" s="120">
        <f ca="1">SUMIFS(tb_rec_uni[2030-07-01],
INDIRECT("tb_rec_uni[natureza]"),"taxa.extra",
INDIRECT("tb_rec_uni[empresa]"),CS$6)</f>
        <v>0</v>
      </c>
      <c r="CT117" s="108"/>
      <c r="CU117" s="108">
        <f ca="1">SUMIFS(
  m.vb[valor],
  m.vb[nucleo],$CN$1,
  m.vb[variavel],CU$7,
  m.vb[mes],$A117
)</f>
        <v>0</v>
      </c>
      <c r="CV117" s="108" cm="1">
        <f t="array" ref="CV117">SUMPRODUCT(
  IFERROR(--tb_desp[valor],0)*
  (tb_desp[nucleo]="UP MOVE VILA SONIA")*
  (tb_desp[categoria]=CV$7)*
  (tb_desp[data.pagamento]&gt;=$A117)*
  (tb_desp[data.pagamento]&lt;EOMONTH($A117,0)+1)
)</f>
        <v>0</v>
      </c>
      <c r="CW117" s="108" cm="1">
        <f t="array" ref="CW117">SUMPRODUCT(
  IFERROR(--tb_desp[valor],0)*
  (tb_desp[nucleo]="UP MOVE VILA SONIA")*
  (tb_desp[categoria]=CW$7)*
  (tb_desp[data.pagamento]&gt;=$A117)*
  (tb_desp[data.pagamento]&lt;EOMONTH($A117,0)+1)
)</f>
        <v>0</v>
      </c>
      <c r="CX117" s="108" cm="1">
        <f t="array" ref="CX117">SUMPRODUCT(
  IFERROR(--tb_desp[valor],0)*
  (tb_desp[nucleo]="UP MOVE VILA SONIA")*
  (tb_desp[categoria]=CX$7)*
  (tb_desp[data.pagamento]&gt;=$A117)*
  (tb_desp[data.pagamento]&lt;EOMONTH($A117,0)+1)
)</f>
        <v>0</v>
      </c>
      <c r="CY117" s="221" cm="1">
        <f t="array" ref="CY117">SUMPRODUCT(
  IFERROR(--tb_desp[valor],0)*
  (tb_desp[nucleo]="UP MOVE VILA SONIA")*
  (tb_desp[categoria]=CY$7)*
  (tb_desp[data.pagamento]&gt;=$A117)*
  (tb_desp[data.pagamento]&lt;EOMONTH($A117,0)+1)
)</f>
        <v>0</v>
      </c>
    </row>
    <row r="118" spans="1:103" x14ac:dyDescent="0.25">
      <c r="A118" s="118">
        <v>47696</v>
      </c>
      <c r="B118" s="119">
        <f>COUNTIFS(
    tb_estq[empresa], B$6,
    tb_estq[Data da venda / reserva], "&gt;=" &amp; $A118,
    tb_estq[Data da venda / reserva], "&lt;"  &amp; EOMONTH($A118,0) + 1
)</f>
        <v>0</v>
      </c>
      <c r="C118" s="120">
        <f ca="1">SUMIFS(tb_rec_uni[2030-08-01],
INDIRECT("tb_rec_uni[natureza]"),"pro.soluto",
INDIRECT("tb_rec_uni[empresa]"),C$6)</f>
        <v>0</v>
      </c>
      <c r="D118" s="120">
        <f ca="1">SUMIFS(tb_rec_uni[2030-08-01],
INDIRECT("tb_rec_uni[natureza]"),"repasse.cef.obra",
INDIRECT("tb_rec_uni[empresa]"),D$6)</f>
        <v>0</v>
      </c>
      <c r="E118" s="120">
        <f ca="1">SUMIFS(tb_rec_uni[2030-08-01],
INDIRECT("tb_rec_uni[natureza]"),"repasse.cef.terreno",
INDIRECT("tb_rec_uni[empresa]"),E$6)</f>
        <v>0</v>
      </c>
      <c r="F118" s="124"/>
      <c r="G118" s="120">
        <f ca="1">SUMIFS(tb_rec_uni[2030-08-01],
INDIRECT("tb_rec_uni[natureza]"),"taxa.extra",
INDIRECT("tb_rec_uni[empresa]"),G$6)</f>
        <v>0</v>
      </c>
      <c r="H118" s="108"/>
      <c r="I118" s="108">
        <f ca="1">SUMIFS(
  m.vb[valor],
  m.vb[nucleo],$B$1,
  m.vb[variavel],I$7,
  m.vb[mes],$A118
)</f>
        <v>0</v>
      </c>
      <c r="J118" s="108">
        <f ca="1">SUMIFS(
  m.vb[valor],
  m.vb[nucleo],$B$1,
  m.vb[variavel],J$7,
  m.vb[mes],$A118
)</f>
        <v>0</v>
      </c>
      <c r="K118" s="108">
        <f ca="1">SUMIFS(
  m.vb[valor],
  m.vb[nucleo],$B$1,
  m.vb[variavel],K$7,
  m.vb[mes],$A118
)</f>
        <v>0</v>
      </c>
      <c r="L118" s="108">
        <f ca="1">SUMIFS(
  m.vb[valor],
  m.vb[nucleo],$B$1,
  m.vb[variavel],L$7,
  m.vb[mes],$A118
)</f>
        <v>0</v>
      </c>
      <c r="M118" s="108">
        <f ca="1">SUMIFS(
  m.vb[valor],
  m.vb[nucleo],$B$1,
  m.vb[variavel],M$7,
  m.vb[mes],$A118
)</f>
        <v>0</v>
      </c>
      <c r="N118" s="119">
        <f>COUNTIFS(
    tb_estq[empresa], N$6,
    tb_estq[Data da venda / reserva], "&gt;=" &amp; $A118,
    tb_estq[Data da venda / reserva], "&lt;"  &amp; EOMONTH($A118,0) + 1
)</f>
        <v>0</v>
      </c>
      <c r="O118" s="120">
        <f ca="1">SUMIFS(tb_rec_uni[2030-08-01],
INDIRECT("tb_rec_uni[natureza]"),"pro.soluto",
INDIRECT("tb_rec_uni[empresa]"),O$6)</f>
        <v>0</v>
      </c>
      <c r="P118" s="120">
        <f ca="1">SUMIFS(tb_rec_uni[2030-08-01],
INDIRECT("tb_rec_uni[natureza]"),"repasse.cef.obra",
INDIRECT("tb_rec_uni[empresa]"),P$6)</f>
        <v>0</v>
      </c>
      <c r="Q118" s="120">
        <f ca="1">SUMIFS(tb_rec_uni[2030-08-01],
INDIRECT("tb_rec_uni[natureza]"),"repasse.cef.terreno",
INDIRECT("tb_rec_uni[empresa]"),Q$6)</f>
        <v>0</v>
      </c>
      <c r="R118" s="124"/>
      <c r="S118" s="120">
        <f ca="1">SUMIFS(tb_rec_uni[2030-08-01],
INDIRECT("tb_rec_uni[natureza]"),"taxa.extra",
INDIRECT("tb_rec_uni[empresa]"),S$6)</f>
        <v>0</v>
      </c>
      <c r="T118" s="108"/>
      <c r="U118" s="108">
        <f ca="1">SUMIFS(
  m.vb[valor],
  m.vb[nucleo],$N$1,
  m.vb[variavel],U$7,
  m.vb[mes],$A118
)</f>
        <v>0</v>
      </c>
      <c r="V118" s="108">
        <f ca="1">SUMIFS(
  m.vb[valor],
  m.vb[nucleo],$N$1,
  m.vb[variavel],V$7,
  m.vb[mes],$A118
)</f>
        <v>0</v>
      </c>
      <c r="W118" s="108">
        <f ca="1">SUMIFS(
  m.vb[valor],
  m.vb[nucleo],$N$1,
  m.vb[variavel],W$7,
  m.vb[mes],$A118
)</f>
        <v>0</v>
      </c>
      <c r="X118" s="108">
        <f ca="1">SUMIFS(
  m.vb[valor],
  m.vb[nucleo],$N$1,
  m.vb[variavel],X$7,
  m.vb[mes],$A118
)</f>
        <v>0</v>
      </c>
      <c r="Y118" s="108">
        <f ca="1">SUMIFS(
  m.vb[valor],
  m.vb[nucleo],$N$1,
  m.vb[variavel],Y$7,
  m.vb[mes],$A118
)</f>
        <v>0</v>
      </c>
      <c r="Z118" s="119">
        <f>COUNTIFS(
    tb_estq[empresa], Z$6,
    tb_estq[Data da venda / reserva], "&gt;=" &amp; $A118,
    tb_estq[Data da venda / reserva], "&lt;"  &amp; EOMONTH($A118,0) + 1
)</f>
        <v>0</v>
      </c>
      <c r="AA118" s="120">
        <f ca="1">SUMIFS(tb_rec_uni[2030-08-01],
INDIRECT("tb_rec_uni[natureza]"),"pro.soluto",
INDIRECT("tb_rec_uni[empresa]"),AA$6)</f>
        <v>0</v>
      </c>
      <c r="AB118" s="124">
        <f ca="1">SUMIFS(tb_rec_uni[2030-08-01],
INDIRECT("tb_rec_uni[natureza]"),"parcela.fin.total.ik",
INDIRECT("tb_rec_uni[empresa]"),AB$6)</f>
        <v>0</v>
      </c>
      <c r="AC118" s="120">
        <f ca="1">SUMIFS(tb_rec_uni[2030-08-01],
INDIRECT("tb_rec_uni[natureza]"),"taxa.extra",
INDIRECT("tb_rec_uni[empresa]"),AC$6)</f>
        <v>0</v>
      </c>
      <c r="AD118" s="108"/>
      <c r="AE118" s="108">
        <f ca="1">SUMIFS(
  m.vb[valor],
  m.vb[nucleo],$Z$1,
  m.vb[variavel],AE$7,
  m.vb[mes],$A118
)</f>
        <v>0</v>
      </c>
      <c r="AF118" s="108">
        <f ca="1">SUMIFS(
  m.vb[valor],
  m.vb[nucleo],$Z$1,
  m.vb[variavel],AF$7,
  m.vb[mes],$A118
)</f>
        <v>0</v>
      </c>
      <c r="AG118" s="108">
        <f ca="1">SUMIFS(
  m.vb[valor],
  m.vb[nucleo],$Z$1,
  m.vb[variavel],AG$7,
  m.vb[mes],$A118
)</f>
        <v>0</v>
      </c>
      <c r="AH118" s="108">
        <f ca="1">SUMIFS(
  m.vb[valor],
  m.vb[nucleo],$Z$1,
  m.vb[variavel],AH$7,
  m.vb[mes],$A118
)</f>
        <v>0</v>
      </c>
      <c r="AI118" s="108">
        <f ca="1">SUMIFS(
  m.vb[valor],
  m.vb[nucleo],$Z$1,
  m.vb[variavel],AI$7,
  m.vb[mes],$A118
)</f>
        <v>0</v>
      </c>
      <c r="AJ118" s="119">
        <f>COUNTIFS(
    tb_estq[empresa], AJ$6,
    tb_estq[Data da venda / reserva], "&gt;=" &amp; $A118,
    tb_estq[Data da venda / reserva], "&lt;"  &amp; EOMONTH($A118,0) + 1
)</f>
        <v>0</v>
      </c>
      <c r="AK118" s="120">
        <f ca="1">SUMIFS(tb_rec_uni[2030-08-01],
INDIRECT("tb_rec_uni[natureza]"),"pro.soluto",
INDIRECT("tb_rec_uni[empresa]"),AK$6)</f>
        <v>0</v>
      </c>
      <c r="AL118" s="120">
        <f ca="1">SUMIFS(tb_rec_uni[2030-08-01],
INDIRECT("tb_rec_uni[natureza]"),"repasse.cef.obra",
INDIRECT("tb_rec_uni[empresa]"),AL$6)</f>
        <v>0</v>
      </c>
      <c r="AM118" s="123">
        <f ca="1">SUMIFS(tb_rec_uni[2030-08-01],
INDIRECT("tb_rec_uni[natureza]"),"repasse.cef.terreno",
INDIRECT("tb_rec_uni[empresa]"),AM$6)</f>
        <v>0</v>
      </c>
      <c r="AN118" s="124"/>
      <c r="AO118" s="120">
        <f ca="1">SUMIFS(tb_rec_uni[2030-08-01],
INDIRECT("tb_rec_uni[natureza]"),"taxa.extra",
INDIRECT("tb_rec_uni[empresa]"),AO$6)</f>
        <v>0</v>
      </c>
      <c r="AP118" s="108"/>
      <c r="AQ118" s="108">
        <f ca="1">SUMIFS(
  m.vb[valor],
  m.vb[nucleo],$AJ$1,
  m.vb[variavel],AQ$7,
  m.vb[mes],$A118
)</f>
        <v>0</v>
      </c>
      <c r="AR118" s="108">
        <f ca="1">SUMIFS(
  m.vb[valor],
  m.vb[nucleo],$AJ$1,
  m.vb[variavel],AR$7,
  m.vb[mes],$A118
)</f>
        <v>0</v>
      </c>
      <c r="AS118" s="108">
        <f ca="1">SUMIFS(
  m.vb[valor],
  m.vb[nucleo],$AJ$1,
  m.vb[variavel],AS$7,
  m.vb[mes],$A118
)</f>
        <v>0</v>
      </c>
      <c r="AT118" s="108">
        <f ca="1">SUMIFS(
  m.vb[valor],
  m.vb[nucleo],$AJ$1,
  m.vb[variavel],AT$7,
  m.vb[mes],$A118
)</f>
        <v>0</v>
      </c>
      <c r="AU118" s="108">
        <f ca="1">SUMIFS(
  m.vb[valor],
  m.vb[nucleo],$AJ$1,
  m.vb[variavel],AU$7,
  m.vb[mes],$A118
)</f>
        <v>0</v>
      </c>
      <c r="AV118" s="119">
        <f>COUNTIFS(
    tb_estq[empresa], AV$6,
    tb_estq[Data da venda / reserva], "&gt;=" &amp; $A118,
    tb_estq[Data da venda / reserva], "&lt;"  &amp; EOMONTH($A118,0) + 1
)</f>
        <v>0</v>
      </c>
      <c r="AW118" s="120">
        <f ca="1">SUMIFS(tb_rec_uni[2030-08-01],
INDIRECT("tb_rec_uni[natureza]"),"pro.soluto",
INDIRECT("tb_rec_uni[empresa]"),AW$6)</f>
        <v>0</v>
      </c>
      <c r="AX118" s="120">
        <f ca="1">SUMIFS(tb_rec_uni[2030-08-01],
INDIRECT("tb_rec_uni[natureza]"),"repasse.cef.obra",
INDIRECT("tb_rec_uni[empresa]"),AX$6)</f>
        <v>0</v>
      </c>
      <c r="AY118" s="123">
        <f ca="1">SUMIFS(tb_rec_uni[2030-08-01],
INDIRECT("tb_rec_uni[natureza]"),"repasse.cef.terreno",
INDIRECT("tb_rec_uni[empresa]"),AY$6)</f>
        <v>0</v>
      </c>
      <c r="AZ118" s="124"/>
      <c r="BA118" s="120">
        <f ca="1">SUMIFS(tb_rec_uni[2030-08-01],
INDIRECT("tb_rec_uni[natureza]"),"taxa.extra",
INDIRECT("tb_rec_uni[empresa]"),BA$6)</f>
        <v>0</v>
      </c>
      <c r="BB118" s="108"/>
      <c r="BC118" s="108">
        <f ca="1">SUMIFS(
  m.vb[valor],
  m.vb[nucleo],$AV$1,
  m.vb[variavel],BC$7,
  m.vb[mes],$A118
)</f>
        <v>0</v>
      </c>
      <c r="BD118" s="108">
        <f ca="1">SUMIFS(
  m.vb[valor],
  m.vb[nucleo],$AV$1,
  m.vb[variavel],BD$7,
  m.vb[mes],$A118
)</f>
        <v>0</v>
      </c>
      <c r="BE118" s="108">
        <f ca="1">SUMIFS(
  m.vb[valor],
  m.vb[nucleo],$AV$1,
  m.vb[variavel],BE$7,
  m.vb[mes],$A118
)</f>
        <v>0</v>
      </c>
      <c r="BF118" s="108">
        <f ca="1">SUMIFS(
  m.vb[valor],
  m.vb[nucleo],$AV$1,
  m.vb[variavel],BF$7,
  m.vb[mes],$A118
)</f>
        <v>0</v>
      </c>
      <c r="BG118" s="108">
        <f ca="1">SUMIFS(
  m.vb[valor],
  m.vb[nucleo],$AV$1,
  m.vb[variavel],BG$7,
  m.vb[mes],$A118
)</f>
        <v>0</v>
      </c>
      <c r="BH118" s="119">
        <f>COUNTIFS(
    tb_estq[empresa], BH$6,
    tb_estq[Data da venda / reserva], "&gt;=" &amp; $A118,
    tb_estq[Data da venda / reserva], "&lt;"  &amp; EOMONTH($A118,0) + 1
)</f>
        <v>0</v>
      </c>
      <c r="BI118" s="120">
        <f ca="1">SUMIFS(tb_rec_uni[2030-08-01],
INDIRECT("tb_rec_uni[natureza]"),"pro.soluto",
INDIRECT("tb_rec_uni[empresa]"),BI$6)</f>
        <v>0</v>
      </c>
      <c r="BJ118" s="124"/>
      <c r="BK118" s="120">
        <f ca="1">SUMIFS(tb_rec_uni[2030-08-01],
INDIRECT("tb_rec_uni[natureza]"),"taxa.extra",
INDIRECT("tb_rec_uni[empresa]"),BK$6)</f>
        <v>0</v>
      </c>
      <c r="BL118" s="108"/>
      <c r="BM118" s="108">
        <f ca="1">SUMIFS(
  m.vb[valor],
  m.vb[nucleo],$BH$1,
  m.vb[variavel],BM$7,
  m.vb[mes],$A118
)</f>
        <v>0</v>
      </c>
      <c r="BN118" s="108">
        <f ca="1">SUMIFS(
  m.vb[valor],
  m.vb[nucleo],$BH$1,
  m.vb[variavel],BN$7,
  m.vb[mes],$A118
)</f>
        <v>0</v>
      </c>
      <c r="BO118" s="108">
        <f ca="1">SUMIFS(
  m.vb[valor],
  m.vb[nucleo],$BH$1,
  m.vb[variavel],BO$7,
  m.vb[mes],$A118
)</f>
        <v>0</v>
      </c>
      <c r="BP118" s="108">
        <f ca="1">SUMIFS(
  m.vb[valor],
  m.vb[nucleo],$BH$1,
  m.vb[variavel],BP$7,
  m.vb[mes],$A118
)</f>
        <v>0</v>
      </c>
      <c r="BQ118" s="108">
        <f ca="1">SUMIFS(
  m.vb[valor],
  m.vb[nucleo],$BH$1,
  m.vb[variavel],BQ$7,
  m.vb[mes],$A118
)</f>
        <v>0</v>
      </c>
      <c r="BR118" s="119">
        <f>COUNTIFS(
    tb_estq[empresa], BR$6,
    tb_estq[Data da venda / reserva], "&gt;=" &amp; $A118,
    tb_estq[Data da venda / reserva], "&lt;"  &amp; EOMONTH($A118,0) + 1
)</f>
        <v>0</v>
      </c>
      <c r="BS118" s="120">
        <f ca="1">SUMIFS(tb_rec_uni[2030-08-01],
INDIRECT("tb_rec_uni[natureza]"),"pro.soluto",
INDIRECT("tb_rec_uni[empresa]"),BS$6)</f>
        <v>0</v>
      </c>
      <c r="BT118" s="124">
        <f ca="1">SUMIFS(tb_rec_uni[2030-08-01],
INDIRECT("tb_rec_uni[natureza]"),"parcela.fin.total.ik",
INDIRECT("tb_rec_uni[empresa]"),BT$6)</f>
        <v>0</v>
      </c>
      <c r="BU118" s="120">
        <f ca="1">SUMIFS(tb_rec_uni[2030-08-01],
INDIRECT("tb_rec_uni[natureza]"),"taxa.extra",
INDIRECT("tb_rec_uni[empresa]"),BU$6)</f>
        <v>0</v>
      </c>
      <c r="BV118" s="108"/>
      <c r="BW118" s="108">
        <f ca="1">SUMIFS(
  m.vb[valor],
  m.vb[nucleo],$BR$1,
  m.vb[variavel],BW$7,
  m.vb[mes],$A118
)</f>
        <v>0</v>
      </c>
      <c r="BX118" s="108">
        <f ca="1">SUMIFS(
  m.vb[valor],
  m.vb[nucleo],$BR$1,
  m.vb[variavel],BX$7,
  m.vb[mes],$A118
)</f>
        <v>0</v>
      </c>
      <c r="BY118" s="108">
        <f ca="1">SUMIFS(
  m.vb[valor],
  m.vb[nucleo],$BR$1,
  m.vb[variavel],BY$7,
  m.vb[mes],$A118
)</f>
        <v>0</v>
      </c>
      <c r="BZ118" s="108">
        <f ca="1">SUMIFS(
  m.vb[valor],
  m.vb[nucleo],$BR$1,
  m.vb[variavel],BZ$7,
  m.vb[mes],$A118
)</f>
        <v>0</v>
      </c>
      <c r="CA118" s="108">
        <f ca="1">SUMIFS(
  m.vb[valor],
  m.vb[nucleo],$BR$1,
  m.vb[variavel],CA$7,
  m.vb[mes],$A118
)</f>
        <v>0</v>
      </c>
      <c r="CB118" s="119">
        <f>COUNTIFS(
    tb_estq[empresa], CB$6,
    tb_estq[Data da venda / reserva], "&gt;=" &amp; $A118,
    tb_estq[Data da venda / reserva], "&lt;"  &amp; EOMONTH($A118,0) + 1
)</f>
        <v>0</v>
      </c>
      <c r="CC118" s="120">
        <f ca="1">SUMIFS(tb_rec_uni[2030-08-01],
INDIRECT("tb_rec_uni[natureza]"),"pro.soluto",
INDIRECT("tb_rec_uni[empresa]"),CC$6)</f>
        <v>0</v>
      </c>
      <c r="CD118" s="120">
        <f ca="1">SUMIFS(tb_rec_uni[2030-08-01],
INDIRECT("tb_rec_uni[natureza]"),"repasse.cef.obra",
INDIRECT("tb_rec_uni[empresa]"),CD$6)</f>
        <v>0</v>
      </c>
      <c r="CE118" s="123">
        <f ca="1">SUMIFS(tb_rec_uni[2030-08-01],
INDIRECT("tb_rec_uni[natureza]"),"repasse.cef.terreno",
INDIRECT("tb_rec_uni[empresa]"),CE$6)</f>
        <v>0</v>
      </c>
      <c r="CF118" s="124"/>
      <c r="CG118" s="120">
        <f ca="1">SUMIFS(tb_rec_uni[2030-08-01],
INDIRECT("tb_rec_uni[natureza]"),"taxa.extra",
INDIRECT("tb_rec_uni[empresa]"),CG$6)</f>
        <v>0</v>
      </c>
      <c r="CH118" s="108"/>
      <c r="CI118" s="108">
        <f ca="1">SUMIFS(
  m.vb[valor],
  m.vb[nucleo],$CB$1,
  m.vb[variavel],CI$7,
  m.vb[mes],$A118
)</f>
        <v>0</v>
      </c>
      <c r="CJ118" s="108">
        <f ca="1">SUMIFS(
  m.vb[valor],
  m.vb[nucleo],$CB$1,
  m.vb[variavel],CJ$7,
  m.vb[mes],$A118
)</f>
        <v>0</v>
      </c>
      <c r="CK118" s="108">
        <f ca="1">SUMIFS(
  m.vb[valor],
  m.vb[nucleo],$CB$1,
  m.vb[variavel],CK$7,
  m.vb[mes],$A118
)</f>
        <v>0</v>
      </c>
      <c r="CL118" s="108">
        <f ca="1">SUMIFS(
  m.vb[valor],
  m.vb[nucleo],$CB$1,
  m.vb[variavel],CL$7,
  m.vb[mes],$A118
)</f>
        <v>0</v>
      </c>
      <c r="CM118" s="108">
        <f ca="1">SUMIFS(
  m.vb[valor],
  m.vb[nucleo],$CB$1,
  m.vb[variavel],CM$7,
  m.vb[mes],$A118
)</f>
        <v>0</v>
      </c>
      <c r="CN118" s="119">
        <f>COUNTIFS(
    tb_estq[empresa], CN$6,
    tb_estq[Data da venda / reserva], "&gt;=" &amp; $A118,
    tb_estq[Data da venda / reserva], "&lt;"  &amp; EOMONTH($A118,0) + 1
)</f>
        <v>0</v>
      </c>
      <c r="CO118" s="120">
        <f ca="1">SUMIFS(tb_rec_uni[2030-08-01],
INDIRECT("tb_rec_uni[natureza]"),"pro.soluto",
INDIRECT("tb_rec_uni[empresa]"),CO$6)</f>
        <v>0</v>
      </c>
      <c r="CP118" s="120">
        <f ca="1">SUMIFS(tb_rec_uni[2030-08-01],
INDIRECT("tb_rec_uni[natureza]"),"repasse.cef.obra",
INDIRECT("tb_rec_uni[empresa]"),CP$6)</f>
        <v>0</v>
      </c>
      <c r="CQ118" s="123">
        <f ca="1">SUMIFS(tb_rec_uni[2030-08-01],
INDIRECT("tb_rec_uni[natureza]"),"repasse.cef.terreno",
INDIRECT("tb_rec_uni[empresa]"),CQ$6)</f>
        <v>0</v>
      </c>
      <c r="CR118" s="124"/>
      <c r="CS118" s="120">
        <f ca="1">SUMIFS(tb_rec_uni[2030-08-01],
INDIRECT("tb_rec_uni[natureza]"),"taxa.extra",
INDIRECT("tb_rec_uni[empresa]"),CS$6)</f>
        <v>0</v>
      </c>
      <c r="CT118" s="108"/>
      <c r="CU118" s="108">
        <f ca="1">SUMIFS(
  m.vb[valor],
  m.vb[nucleo],$CN$1,
  m.vb[variavel],CU$7,
  m.vb[mes],$A118
)</f>
        <v>0</v>
      </c>
      <c r="CV118" s="108" cm="1">
        <f t="array" ref="CV118">SUMPRODUCT(
  IFERROR(--tb_desp[valor],0)*
  (tb_desp[nucleo]="UP MOVE VILA SONIA")*
  (tb_desp[categoria]=CV$7)*
  (tb_desp[data.pagamento]&gt;=$A118)*
  (tb_desp[data.pagamento]&lt;EOMONTH($A118,0)+1)
)</f>
        <v>0</v>
      </c>
      <c r="CW118" s="108" cm="1">
        <f t="array" ref="CW118">SUMPRODUCT(
  IFERROR(--tb_desp[valor],0)*
  (tb_desp[nucleo]="UP MOVE VILA SONIA")*
  (tb_desp[categoria]=CW$7)*
  (tb_desp[data.pagamento]&gt;=$A118)*
  (tb_desp[data.pagamento]&lt;EOMONTH($A118,0)+1)
)</f>
        <v>0</v>
      </c>
      <c r="CX118" s="108" cm="1">
        <f t="array" ref="CX118">SUMPRODUCT(
  IFERROR(--tb_desp[valor],0)*
  (tb_desp[nucleo]="UP MOVE VILA SONIA")*
  (tb_desp[categoria]=CX$7)*
  (tb_desp[data.pagamento]&gt;=$A118)*
  (tb_desp[data.pagamento]&lt;EOMONTH($A118,0)+1)
)</f>
        <v>0</v>
      </c>
      <c r="CY118" s="221" cm="1">
        <f t="array" ref="CY118">SUMPRODUCT(
  IFERROR(--tb_desp[valor],0)*
  (tb_desp[nucleo]="UP MOVE VILA SONIA")*
  (tb_desp[categoria]=CY$7)*
  (tb_desp[data.pagamento]&gt;=$A118)*
  (tb_desp[data.pagamento]&lt;EOMONTH($A118,0)+1)
)</f>
        <v>0</v>
      </c>
    </row>
    <row r="119" spans="1:103" x14ac:dyDescent="0.25">
      <c r="A119" s="118">
        <v>47727</v>
      </c>
      <c r="B119" s="119">
        <f>COUNTIFS(
    tb_estq[empresa], B$6,
    tb_estq[Data da venda / reserva], "&gt;=" &amp; $A119,
    tb_estq[Data da venda / reserva], "&lt;"  &amp; EOMONTH($A119,0) + 1
)</f>
        <v>0</v>
      </c>
      <c r="C119" s="120">
        <f ca="1">SUMIFS(tb_rec_uni[2030-09-01],
INDIRECT("tb_rec_uni[natureza]"),"pro.soluto",
INDIRECT("tb_rec_uni[empresa]"),C$6)</f>
        <v>0</v>
      </c>
      <c r="D119" s="120">
        <f ca="1">SUMIFS(tb_rec_uni[2030-09-01],
INDIRECT("tb_rec_uni[natureza]"),"repasse.cef.obra",
INDIRECT("tb_rec_uni[empresa]"),D$6)</f>
        <v>0</v>
      </c>
      <c r="E119" s="120">
        <f ca="1">SUMIFS(tb_rec_uni[2030-09-01],
INDIRECT("tb_rec_uni[natureza]"),"repasse.cef.terreno",
INDIRECT("tb_rec_uni[empresa]"),E$6)</f>
        <v>0</v>
      </c>
      <c r="F119" s="124"/>
      <c r="G119" s="120">
        <f ca="1">SUMIFS(tb_rec_uni[2030-09-01],
INDIRECT("tb_rec_uni[natureza]"),"taxa.extra",
INDIRECT("tb_rec_uni[empresa]"),G$6)</f>
        <v>0</v>
      </c>
      <c r="H119" s="108"/>
      <c r="I119" s="108">
        <f ca="1">SUMIFS(
  m.vb[valor],
  m.vb[nucleo],$B$1,
  m.vb[variavel],I$7,
  m.vb[mes],$A119
)</f>
        <v>0</v>
      </c>
      <c r="J119" s="108">
        <f ca="1">SUMIFS(
  m.vb[valor],
  m.vb[nucleo],$B$1,
  m.vb[variavel],J$7,
  m.vb[mes],$A119
)</f>
        <v>0</v>
      </c>
      <c r="K119" s="108">
        <f ca="1">SUMIFS(
  m.vb[valor],
  m.vb[nucleo],$B$1,
  m.vb[variavel],K$7,
  m.vb[mes],$A119
)</f>
        <v>0</v>
      </c>
      <c r="L119" s="108">
        <f ca="1">SUMIFS(
  m.vb[valor],
  m.vb[nucleo],$B$1,
  m.vb[variavel],L$7,
  m.vb[mes],$A119
)</f>
        <v>0</v>
      </c>
      <c r="M119" s="108">
        <f ca="1">SUMIFS(
  m.vb[valor],
  m.vb[nucleo],$B$1,
  m.vb[variavel],M$7,
  m.vb[mes],$A119
)</f>
        <v>0</v>
      </c>
      <c r="N119" s="119">
        <f>COUNTIFS(
    tb_estq[empresa], N$6,
    tb_estq[Data da venda / reserva], "&gt;=" &amp; $A119,
    tb_estq[Data da venda / reserva], "&lt;"  &amp; EOMONTH($A119,0) + 1
)</f>
        <v>0</v>
      </c>
      <c r="O119" s="120">
        <f ca="1">SUMIFS(tb_rec_uni[2030-09-01],
INDIRECT("tb_rec_uni[natureza]"),"pro.soluto",
INDIRECT("tb_rec_uni[empresa]"),O$6)</f>
        <v>0</v>
      </c>
      <c r="P119" s="120">
        <f ca="1">SUMIFS(tb_rec_uni[2030-09-01],
INDIRECT("tb_rec_uni[natureza]"),"repasse.cef.obra",
INDIRECT("tb_rec_uni[empresa]"),P$6)</f>
        <v>0</v>
      </c>
      <c r="Q119" s="120">
        <f ca="1">SUMIFS(tb_rec_uni[2030-09-01],
INDIRECT("tb_rec_uni[natureza]"),"repasse.cef.terreno",
INDIRECT("tb_rec_uni[empresa]"),Q$6)</f>
        <v>0</v>
      </c>
      <c r="R119" s="124"/>
      <c r="S119" s="120">
        <f ca="1">SUMIFS(tb_rec_uni[2030-09-01],
INDIRECT("tb_rec_uni[natureza]"),"taxa.extra",
INDIRECT("tb_rec_uni[empresa]"),S$6)</f>
        <v>0</v>
      </c>
      <c r="T119" s="108"/>
      <c r="U119" s="108">
        <f ca="1">SUMIFS(
  m.vb[valor],
  m.vb[nucleo],$N$1,
  m.vb[variavel],U$7,
  m.vb[mes],$A119
)</f>
        <v>0</v>
      </c>
      <c r="V119" s="108">
        <f ca="1">SUMIFS(
  m.vb[valor],
  m.vb[nucleo],$N$1,
  m.vb[variavel],V$7,
  m.vb[mes],$A119
)</f>
        <v>0</v>
      </c>
      <c r="W119" s="108">
        <f ca="1">SUMIFS(
  m.vb[valor],
  m.vb[nucleo],$N$1,
  m.vb[variavel],W$7,
  m.vb[mes],$A119
)</f>
        <v>0</v>
      </c>
      <c r="X119" s="108">
        <f ca="1">SUMIFS(
  m.vb[valor],
  m.vb[nucleo],$N$1,
  m.vb[variavel],X$7,
  m.vb[mes],$A119
)</f>
        <v>0</v>
      </c>
      <c r="Y119" s="108">
        <f ca="1">SUMIFS(
  m.vb[valor],
  m.vb[nucleo],$N$1,
  m.vb[variavel],Y$7,
  m.vb[mes],$A119
)</f>
        <v>0</v>
      </c>
      <c r="Z119" s="119">
        <f>COUNTIFS(
    tb_estq[empresa], Z$6,
    tb_estq[Data da venda / reserva], "&gt;=" &amp; $A119,
    tb_estq[Data da venda / reserva], "&lt;"  &amp; EOMONTH($A119,0) + 1
)</f>
        <v>0</v>
      </c>
      <c r="AA119" s="120">
        <f ca="1">SUMIFS(tb_rec_uni[2030-09-01],
INDIRECT("tb_rec_uni[natureza]"),"pro.soluto",
INDIRECT("tb_rec_uni[empresa]"),AA$6)</f>
        <v>0</v>
      </c>
      <c r="AB119" s="124">
        <f ca="1">SUMIFS(tb_rec_uni[2030-09-01],
INDIRECT("tb_rec_uni[natureza]"),"parcela.fin.total.ik",
INDIRECT("tb_rec_uni[empresa]"),AB$6)</f>
        <v>0</v>
      </c>
      <c r="AC119" s="120">
        <f ca="1">SUMIFS(tb_rec_uni[2030-09-01],
INDIRECT("tb_rec_uni[natureza]"),"taxa.extra",
INDIRECT("tb_rec_uni[empresa]"),AC$6)</f>
        <v>0</v>
      </c>
      <c r="AD119" s="108"/>
      <c r="AE119" s="108">
        <f ca="1">SUMIFS(
  m.vb[valor],
  m.vb[nucleo],$Z$1,
  m.vb[variavel],AE$7,
  m.vb[mes],$A119
)</f>
        <v>0</v>
      </c>
      <c r="AF119" s="108">
        <f ca="1">SUMIFS(
  m.vb[valor],
  m.vb[nucleo],$Z$1,
  m.vb[variavel],AF$7,
  m.vb[mes],$A119
)</f>
        <v>0</v>
      </c>
      <c r="AG119" s="108">
        <f ca="1">SUMIFS(
  m.vb[valor],
  m.vb[nucleo],$Z$1,
  m.vb[variavel],AG$7,
  m.vb[mes],$A119
)</f>
        <v>0</v>
      </c>
      <c r="AH119" s="108">
        <f ca="1">SUMIFS(
  m.vb[valor],
  m.vb[nucleo],$Z$1,
  m.vb[variavel],AH$7,
  m.vb[mes],$A119
)</f>
        <v>0</v>
      </c>
      <c r="AI119" s="108">
        <f ca="1">SUMIFS(
  m.vb[valor],
  m.vb[nucleo],$Z$1,
  m.vb[variavel],AI$7,
  m.vb[mes],$A119
)</f>
        <v>0</v>
      </c>
      <c r="AJ119" s="119">
        <f>COUNTIFS(
    tb_estq[empresa], AJ$6,
    tb_estq[Data da venda / reserva], "&gt;=" &amp; $A119,
    tb_estq[Data da venda / reserva], "&lt;"  &amp; EOMONTH($A119,0) + 1
)</f>
        <v>0</v>
      </c>
      <c r="AK119" s="120">
        <f ca="1">SUMIFS(tb_rec_uni[2030-09-01],
INDIRECT("tb_rec_uni[natureza]"),"pro.soluto",
INDIRECT("tb_rec_uni[empresa]"),AK$6)</f>
        <v>0</v>
      </c>
      <c r="AL119" s="120">
        <f ca="1">SUMIFS(tb_rec_uni[2030-09-01],
INDIRECT("tb_rec_uni[natureza]"),"repasse.cef.obra",
INDIRECT("tb_rec_uni[empresa]"),AL$6)</f>
        <v>0</v>
      </c>
      <c r="AM119" s="123">
        <f ca="1">SUMIFS(tb_rec_uni[2030-09-01],
INDIRECT("tb_rec_uni[natureza]"),"repasse.cef.terreno",
INDIRECT("tb_rec_uni[empresa]"),AM$6)</f>
        <v>0</v>
      </c>
      <c r="AN119" s="124"/>
      <c r="AO119" s="120">
        <f ca="1">SUMIFS(tb_rec_uni[2030-09-01],
INDIRECT("tb_rec_uni[natureza]"),"taxa.extra",
INDIRECT("tb_rec_uni[empresa]"),AO$6)</f>
        <v>0</v>
      </c>
      <c r="AP119" s="108"/>
      <c r="AQ119" s="108">
        <f ca="1">SUMIFS(
  m.vb[valor],
  m.vb[nucleo],$AJ$1,
  m.vb[variavel],AQ$7,
  m.vb[mes],$A119
)</f>
        <v>0</v>
      </c>
      <c r="AR119" s="108">
        <f ca="1">SUMIFS(
  m.vb[valor],
  m.vb[nucleo],$AJ$1,
  m.vb[variavel],AR$7,
  m.vb[mes],$A119
)</f>
        <v>0</v>
      </c>
      <c r="AS119" s="108">
        <f ca="1">SUMIFS(
  m.vb[valor],
  m.vb[nucleo],$AJ$1,
  m.vb[variavel],AS$7,
  m.vb[mes],$A119
)</f>
        <v>0</v>
      </c>
      <c r="AT119" s="108">
        <f ca="1">SUMIFS(
  m.vb[valor],
  m.vb[nucleo],$AJ$1,
  m.vb[variavel],AT$7,
  m.vb[mes],$A119
)</f>
        <v>0</v>
      </c>
      <c r="AU119" s="108">
        <f ca="1">SUMIFS(
  m.vb[valor],
  m.vb[nucleo],$AJ$1,
  m.vb[variavel],AU$7,
  m.vb[mes],$A119
)</f>
        <v>0</v>
      </c>
      <c r="AV119" s="119">
        <f>COUNTIFS(
    tb_estq[empresa], AV$6,
    tb_estq[Data da venda / reserva], "&gt;=" &amp; $A119,
    tb_estq[Data da venda / reserva], "&lt;"  &amp; EOMONTH($A119,0) + 1
)</f>
        <v>0</v>
      </c>
      <c r="AW119" s="120">
        <f ca="1">SUMIFS(tb_rec_uni[2030-09-01],
INDIRECT("tb_rec_uni[natureza]"),"pro.soluto",
INDIRECT("tb_rec_uni[empresa]"),AW$6)</f>
        <v>0</v>
      </c>
      <c r="AX119" s="120">
        <f ca="1">SUMIFS(tb_rec_uni[2030-09-01],
INDIRECT("tb_rec_uni[natureza]"),"repasse.cef.obra",
INDIRECT("tb_rec_uni[empresa]"),AX$6)</f>
        <v>0</v>
      </c>
      <c r="AY119" s="123">
        <f ca="1">SUMIFS(tb_rec_uni[2030-09-01],
INDIRECT("tb_rec_uni[natureza]"),"repasse.cef.terreno",
INDIRECT("tb_rec_uni[empresa]"),AY$6)</f>
        <v>0</v>
      </c>
      <c r="AZ119" s="124"/>
      <c r="BA119" s="120">
        <f ca="1">SUMIFS(tb_rec_uni[2030-09-01],
INDIRECT("tb_rec_uni[natureza]"),"taxa.extra",
INDIRECT("tb_rec_uni[empresa]"),BA$6)</f>
        <v>0</v>
      </c>
      <c r="BB119" s="108"/>
      <c r="BC119" s="108">
        <f ca="1">SUMIFS(
  m.vb[valor],
  m.vb[nucleo],$AV$1,
  m.vb[variavel],BC$7,
  m.vb[mes],$A119
)</f>
        <v>0</v>
      </c>
      <c r="BD119" s="108">
        <f ca="1">SUMIFS(
  m.vb[valor],
  m.vb[nucleo],$AV$1,
  m.vb[variavel],BD$7,
  m.vb[mes],$A119
)</f>
        <v>0</v>
      </c>
      <c r="BE119" s="108">
        <f ca="1">SUMIFS(
  m.vb[valor],
  m.vb[nucleo],$AV$1,
  m.vb[variavel],BE$7,
  m.vb[mes],$A119
)</f>
        <v>0</v>
      </c>
      <c r="BF119" s="108">
        <f ca="1">SUMIFS(
  m.vb[valor],
  m.vb[nucleo],$AV$1,
  m.vb[variavel],BF$7,
  m.vb[mes],$A119
)</f>
        <v>0</v>
      </c>
      <c r="BG119" s="108">
        <f ca="1">SUMIFS(
  m.vb[valor],
  m.vb[nucleo],$AV$1,
  m.vb[variavel],BG$7,
  m.vb[mes],$A119
)</f>
        <v>0</v>
      </c>
      <c r="BH119" s="119">
        <f>COUNTIFS(
    tb_estq[empresa], BH$6,
    tb_estq[Data da venda / reserva], "&gt;=" &amp; $A119,
    tb_estq[Data da venda / reserva], "&lt;"  &amp; EOMONTH($A119,0) + 1
)</f>
        <v>0</v>
      </c>
      <c r="BI119" s="120">
        <f ca="1">SUMIFS(tb_rec_uni[2030-09-01],
INDIRECT("tb_rec_uni[natureza]"),"pro.soluto",
INDIRECT("tb_rec_uni[empresa]"),BI$6)</f>
        <v>0</v>
      </c>
      <c r="BJ119" s="124"/>
      <c r="BK119" s="120">
        <f ca="1">SUMIFS(tb_rec_uni[2030-09-01],
INDIRECT("tb_rec_uni[natureza]"),"taxa.extra",
INDIRECT("tb_rec_uni[empresa]"),BK$6)</f>
        <v>0</v>
      </c>
      <c r="BL119" s="108"/>
      <c r="BM119" s="108">
        <f ca="1">SUMIFS(
  m.vb[valor],
  m.vb[nucleo],$BH$1,
  m.vb[variavel],BM$7,
  m.vb[mes],$A119
)</f>
        <v>0</v>
      </c>
      <c r="BN119" s="108">
        <f ca="1">SUMIFS(
  m.vb[valor],
  m.vb[nucleo],$BH$1,
  m.vb[variavel],BN$7,
  m.vb[mes],$A119
)</f>
        <v>0</v>
      </c>
      <c r="BO119" s="108">
        <f ca="1">SUMIFS(
  m.vb[valor],
  m.vb[nucleo],$BH$1,
  m.vb[variavel],BO$7,
  m.vb[mes],$A119
)</f>
        <v>0</v>
      </c>
      <c r="BP119" s="108">
        <f ca="1">SUMIFS(
  m.vb[valor],
  m.vb[nucleo],$BH$1,
  m.vb[variavel],BP$7,
  m.vb[mes],$A119
)</f>
        <v>0</v>
      </c>
      <c r="BQ119" s="108">
        <f ca="1">SUMIFS(
  m.vb[valor],
  m.vb[nucleo],$BH$1,
  m.vb[variavel],BQ$7,
  m.vb[mes],$A119
)</f>
        <v>0</v>
      </c>
      <c r="BR119" s="119">
        <f>COUNTIFS(
    tb_estq[empresa], BR$6,
    tb_estq[Data da venda / reserva], "&gt;=" &amp; $A119,
    tb_estq[Data da venda / reserva], "&lt;"  &amp; EOMONTH($A119,0) + 1
)</f>
        <v>0</v>
      </c>
      <c r="BS119" s="120">
        <f ca="1">SUMIFS(tb_rec_uni[2030-09-01],
INDIRECT("tb_rec_uni[natureza]"),"pro.soluto",
INDIRECT("tb_rec_uni[empresa]"),BS$6)</f>
        <v>0</v>
      </c>
      <c r="BT119" s="124">
        <f ca="1">SUMIFS(tb_rec_uni[2030-09-01],
INDIRECT("tb_rec_uni[natureza]"),"parcela.fin.total.ik",
INDIRECT("tb_rec_uni[empresa]"),BT$6)</f>
        <v>0</v>
      </c>
      <c r="BU119" s="120">
        <f ca="1">SUMIFS(tb_rec_uni[2030-09-01],
INDIRECT("tb_rec_uni[natureza]"),"taxa.extra",
INDIRECT("tb_rec_uni[empresa]"),BU$6)</f>
        <v>0</v>
      </c>
      <c r="BV119" s="108"/>
      <c r="BW119" s="108">
        <f ca="1">SUMIFS(
  m.vb[valor],
  m.vb[nucleo],$BR$1,
  m.vb[variavel],BW$7,
  m.vb[mes],$A119
)</f>
        <v>0</v>
      </c>
      <c r="BX119" s="108">
        <f ca="1">SUMIFS(
  m.vb[valor],
  m.vb[nucleo],$BR$1,
  m.vb[variavel],BX$7,
  m.vb[mes],$A119
)</f>
        <v>0</v>
      </c>
      <c r="BY119" s="108">
        <f ca="1">SUMIFS(
  m.vb[valor],
  m.vb[nucleo],$BR$1,
  m.vb[variavel],BY$7,
  m.vb[mes],$A119
)</f>
        <v>0</v>
      </c>
      <c r="BZ119" s="108">
        <f ca="1">SUMIFS(
  m.vb[valor],
  m.vb[nucleo],$BR$1,
  m.vb[variavel],BZ$7,
  m.vb[mes],$A119
)</f>
        <v>0</v>
      </c>
      <c r="CA119" s="108">
        <f ca="1">SUMIFS(
  m.vb[valor],
  m.vb[nucleo],$BR$1,
  m.vb[variavel],CA$7,
  m.vb[mes],$A119
)</f>
        <v>0</v>
      </c>
      <c r="CB119" s="119">
        <f>COUNTIFS(
    tb_estq[empresa], CB$6,
    tb_estq[Data da venda / reserva], "&gt;=" &amp; $A119,
    tb_estq[Data da venda / reserva], "&lt;"  &amp; EOMONTH($A119,0) + 1
)</f>
        <v>0</v>
      </c>
      <c r="CC119" s="120">
        <f ca="1">SUMIFS(tb_rec_uni[2030-09-01],
INDIRECT("tb_rec_uni[natureza]"),"pro.soluto",
INDIRECT("tb_rec_uni[empresa]"),CC$6)</f>
        <v>0</v>
      </c>
      <c r="CD119" s="120">
        <f ca="1">SUMIFS(tb_rec_uni[2030-09-01],
INDIRECT("tb_rec_uni[natureza]"),"repasse.cef.obra",
INDIRECT("tb_rec_uni[empresa]"),CD$6)</f>
        <v>0</v>
      </c>
      <c r="CE119" s="123">
        <f ca="1">SUMIFS(tb_rec_uni[2030-09-01],
INDIRECT("tb_rec_uni[natureza]"),"repasse.cef.terreno",
INDIRECT("tb_rec_uni[empresa]"),CE$6)</f>
        <v>0</v>
      </c>
      <c r="CF119" s="124"/>
      <c r="CG119" s="120">
        <f ca="1">SUMIFS(tb_rec_uni[2030-09-01],
INDIRECT("tb_rec_uni[natureza]"),"taxa.extra",
INDIRECT("tb_rec_uni[empresa]"),CG$6)</f>
        <v>0</v>
      </c>
      <c r="CH119" s="108"/>
      <c r="CI119" s="108">
        <f ca="1">SUMIFS(
  m.vb[valor],
  m.vb[nucleo],$CB$1,
  m.vb[variavel],CI$7,
  m.vb[mes],$A119
)</f>
        <v>0</v>
      </c>
      <c r="CJ119" s="108">
        <f ca="1">SUMIFS(
  m.vb[valor],
  m.vb[nucleo],$CB$1,
  m.vb[variavel],CJ$7,
  m.vb[mes],$A119
)</f>
        <v>0</v>
      </c>
      <c r="CK119" s="108">
        <f ca="1">SUMIFS(
  m.vb[valor],
  m.vb[nucleo],$CB$1,
  m.vb[variavel],CK$7,
  m.vb[mes],$A119
)</f>
        <v>0</v>
      </c>
      <c r="CL119" s="108">
        <f ca="1">SUMIFS(
  m.vb[valor],
  m.vb[nucleo],$CB$1,
  m.vb[variavel],CL$7,
  m.vb[mes],$A119
)</f>
        <v>0</v>
      </c>
      <c r="CM119" s="108">
        <f ca="1">SUMIFS(
  m.vb[valor],
  m.vb[nucleo],$CB$1,
  m.vb[variavel],CM$7,
  m.vb[mes],$A119
)</f>
        <v>0</v>
      </c>
      <c r="CN119" s="119">
        <f>COUNTIFS(
    tb_estq[empresa], CN$6,
    tb_estq[Data da venda / reserva], "&gt;=" &amp; $A119,
    tb_estq[Data da venda / reserva], "&lt;"  &amp; EOMONTH($A119,0) + 1
)</f>
        <v>0</v>
      </c>
      <c r="CO119" s="120">
        <f ca="1">SUMIFS(tb_rec_uni[2030-09-01],
INDIRECT("tb_rec_uni[natureza]"),"pro.soluto",
INDIRECT("tb_rec_uni[empresa]"),CO$6)</f>
        <v>0</v>
      </c>
      <c r="CP119" s="120">
        <f ca="1">SUMIFS(tb_rec_uni[2030-09-01],
INDIRECT("tb_rec_uni[natureza]"),"repasse.cef.obra",
INDIRECT("tb_rec_uni[empresa]"),CP$6)</f>
        <v>0</v>
      </c>
      <c r="CQ119" s="123">
        <f ca="1">SUMIFS(tb_rec_uni[2030-09-01],
INDIRECT("tb_rec_uni[natureza]"),"repasse.cef.terreno",
INDIRECT("tb_rec_uni[empresa]"),CQ$6)</f>
        <v>0</v>
      </c>
      <c r="CR119" s="124"/>
      <c r="CS119" s="120">
        <f ca="1">SUMIFS(tb_rec_uni[2030-09-01],
INDIRECT("tb_rec_uni[natureza]"),"taxa.extra",
INDIRECT("tb_rec_uni[empresa]"),CS$6)</f>
        <v>0</v>
      </c>
      <c r="CT119" s="108"/>
      <c r="CU119" s="108">
        <f ca="1">SUMIFS(
  m.vb[valor],
  m.vb[nucleo],$CN$1,
  m.vb[variavel],CU$7,
  m.vb[mes],$A119
)</f>
        <v>0</v>
      </c>
      <c r="CV119" s="108" cm="1">
        <f t="array" ref="CV119">SUMPRODUCT(
  IFERROR(--tb_desp[valor],0)*
  (tb_desp[nucleo]="UP MOVE VILA SONIA")*
  (tb_desp[categoria]=CV$7)*
  (tb_desp[data.pagamento]&gt;=$A119)*
  (tb_desp[data.pagamento]&lt;EOMONTH($A119,0)+1)
)</f>
        <v>0</v>
      </c>
      <c r="CW119" s="108" cm="1">
        <f t="array" ref="CW119">SUMPRODUCT(
  IFERROR(--tb_desp[valor],0)*
  (tb_desp[nucleo]="UP MOVE VILA SONIA")*
  (tb_desp[categoria]=CW$7)*
  (tb_desp[data.pagamento]&gt;=$A119)*
  (tb_desp[data.pagamento]&lt;EOMONTH($A119,0)+1)
)</f>
        <v>0</v>
      </c>
      <c r="CX119" s="108" cm="1">
        <f t="array" ref="CX119">SUMPRODUCT(
  IFERROR(--tb_desp[valor],0)*
  (tb_desp[nucleo]="UP MOVE VILA SONIA")*
  (tb_desp[categoria]=CX$7)*
  (tb_desp[data.pagamento]&gt;=$A119)*
  (tb_desp[data.pagamento]&lt;EOMONTH($A119,0)+1)
)</f>
        <v>0</v>
      </c>
      <c r="CY119" s="221" cm="1">
        <f t="array" ref="CY119">SUMPRODUCT(
  IFERROR(--tb_desp[valor],0)*
  (tb_desp[nucleo]="UP MOVE VILA SONIA")*
  (tb_desp[categoria]=CY$7)*
  (tb_desp[data.pagamento]&gt;=$A119)*
  (tb_desp[data.pagamento]&lt;EOMONTH($A119,0)+1)
)</f>
        <v>0</v>
      </c>
    </row>
    <row r="120" spans="1:103" x14ac:dyDescent="0.25">
      <c r="A120" s="118">
        <v>47757</v>
      </c>
      <c r="B120" s="119">
        <f>COUNTIFS(
    tb_estq[empresa], B$6,
    tb_estq[Data da venda / reserva], "&gt;=" &amp; $A120,
    tb_estq[Data da venda / reserva], "&lt;"  &amp; EOMONTH($A120,0) + 1
)</f>
        <v>0</v>
      </c>
      <c r="C120" s="120">
        <f ca="1">SUMIFS(tb_rec_uni[2030-10-01],
INDIRECT("tb_rec_uni[natureza]"),"pro.soluto",
INDIRECT("tb_rec_uni[empresa]"),C$6)</f>
        <v>0</v>
      </c>
      <c r="D120" s="120">
        <f ca="1">SUMIFS(tb_rec_uni[2030-10-01],
INDIRECT("tb_rec_uni[natureza]"),"repasse.cef.obra",
INDIRECT("tb_rec_uni[empresa]"),D$6)</f>
        <v>0</v>
      </c>
      <c r="E120" s="120">
        <f ca="1">SUMIFS(tb_rec_uni[2030-10-01],
INDIRECT("tb_rec_uni[natureza]"),"repasse.cef.terreno",
INDIRECT("tb_rec_uni[empresa]"),E$6)</f>
        <v>0</v>
      </c>
      <c r="F120" s="124"/>
      <c r="G120" s="120">
        <f ca="1">SUMIFS(tb_rec_uni[2030-10-01],
INDIRECT("tb_rec_uni[natureza]"),"taxa.extra",
INDIRECT("tb_rec_uni[empresa]"),G$6)</f>
        <v>0</v>
      </c>
      <c r="H120" s="108"/>
      <c r="I120" s="108">
        <f ca="1">SUMIFS(
  m.vb[valor],
  m.vb[nucleo],$B$1,
  m.vb[variavel],I$7,
  m.vb[mes],$A120
)</f>
        <v>0</v>
      </c>
      <c r="J120" s="108">
        <f ca="1">SUMIFS(
  m.vb[valor],
  m.vb[nucleo],$B$1,
  m.vb[variavel],J$7,
  m.vb[mes],$A120
)</f>
        <v>0</v>
      </c>
      <c r="K120" s="108">
        <f ca="1">SUMIFS(
  m.vb[valor],
  m.vb[nucleo],$B$1,
  m.vb[variavel],K$7,
  m.vb[mes],$A120
)</f>
        <v>0</v>
      </c>
      <c r="L120" s="108">
        <f ca="1">SUMIFS(
  m.vb[valor],
  m.vb[nucleo],$B$1,
  m.vb[variavel],L$7,
  m.vb[mes],$A120
)</f>
        <v>0</v>
      </c>
      <c r="M120" s="108">
        <f ca="1">SUMIFS(
  m.vb[valor],
  m.vb[nucleo],$B$1,
  m.vb[variavel],M$7,
  m.vb[mes],$A120
)</f>
        <v>0</v>
      </c>
      <c r="N120" s="119">
        <f>COUNTIFS(
    tb_estq[empresa], N$6,
    tb_estq[Data da venda / reserva], "&gt;=" &amp; $A120,
    tb_estq[Data da venda / reserva], "&lt;"  &amp; EOMONTH($A120,0) + 1
)</f>
        <v>0</v>
      </c>
      <c r="O120" s="120">
        <f ca="1">SUMIFS(tb_rec_uni[2030-10-01],
INDIRECT("tb_rec_uni[natureza]"),"pro.soluto",
INDIRECT("tb_rec_uni[empresa]"),O$6)</f>
        <v>0</v>
      </c>
      <c r="P120" s="120">
        <f ca="1">SUMIFS(tb_rec_uni[2030-10-01],
INDIRECT("tb_rec_uni[natureza]"),"repasse.cef.obra",
INDIRECT("tb_rec_uni[empresa]"),P$6)</f>
        <v>0</v>
      </c>
      <c r="Q120" s="120">
        <f ca="1">SUMIFS(tb_rec_uni[2030-10-01],
INDIRECT("tb_rec_uni[natureza]"),"repasse.cef.terreno",
INDIRECT("tb_rec_uni[empresa]"),Q$6)</f>
        <v>0</v>
      </c>
      <c r="R120" s="124"/>
      <c r="S120" s="120">
        <f ca="1">SUMIFS(tb_rec_uni[2030-10-01],
INDIRECT("tb_rec_uni[natureza]"),"taxa.extra",
INDIRECT("tb_rec_uni[empresa]"),S$6)</f>
        <v>0</v>
      </c>
      <c r="T120" s="108"/>
      <c r="U120" s="108">
        <f ca="1">SUMIFS(
  m.vb[valor],
  m.vb[nucleo],$N$1,
  m.vb[variavel],U$7,
  m.vb[mes],$A120
)</f>
        <v>0</v>
      </c>
      <c r="V120" s="108">
        <f ca="1">SUMIFS(
  m.vb[valor],
  m.vb[nucleo],$N$1,
  m.vb[variavel],V$7,
  m.vb[mes],$A120
)</f>
        <v>0</v>
      </c>
      <c r="W120" s="108">
        <f ca="1">SUMIFS(
  m.vb[valor],
  m.vb[nucleo],$N$1,
  m.vb[variavel],W$7,
  m.vb[mes],$A120
)</f>
        <v>0</v>
      </c>
      <c r="X120" s="108">
        <f ca="1">SUMIFS(
  m.vb[valor],
  m.vb[nucleo],$N$1,
  m.vb[variavel],X$7,
  m.vb[mes],$A120
)</f>
        <v>0</v>
      </c>
      <c r="Y120" s="108">
        <f ca="1">SUMIFS(
  m.vb[valor],
  m.vb[nucleo],$N$1,
  m.vb[variavel],Y$7,
  m.vb[mes],$A120
)</f>
        <v>0</v>
      </c>
      <c r="Z120" s="119">
        <f>COUNTIFS(
    tb_estq[empresa], Z$6,
    tb_estq[Data da venda / reserva], "&gt;=" &amp; $A120,
    tb_estq[Data da venda / reserva], "&lt;"  &amp; EOMONTH($A120,0) + 1
)</f>
        <v>0</v>
      </c>
      <c r="AA120" s="120">
        <f ca="1">SUMIFS(tb_rec_uni[2030-10-01],
INDIRECT("tb_rec_uni[natureza]"),"pro.soluto",
INDIRECT("tb_rec_uni[empresa]"),AA$6)</f>
        <v>0</v>
      </c>
      <c r="AB120" s="124">
        <f ca="1">SUMIFS(tb_rec_uni[2030-10-01],
INDIRECT("tb_rec_uni[natureza]"),"parcela.fin.total.ik",
INDIRECT("tb_rec_uni[empresa]"),AB$6)</f>
        <v>0</v>
      </c>
      <c r="AC120" s="120">
        <f ca="1">SUMIFS(tb_rec_uni[2030-10-01],
INDIRECT("tb_rec_uni[natureza]"),"taxa.extra",
INDIRECT("tb_rec_uni[empresa]"),AC$6)</f>
        <v>0</v>
      </c>
      <c r="AD120" s="108"/>
      <c r="AE120" s="108">
        <f ca="1">SUMIFS(
  m.vb[valor],
  m.vb[nucleo],$Z$1,
  m.vb[variavel],AE$7,
  m.vb[mes],$A120
)</f>
        <v>0</v>
      </c>
      <c r="AF120" s="108">
        <f ca="1">SUMIFS(
  m.vb[valor],
  m.vb[nucleo],$Z$1,
  m.vb[variavel],AF$7,
  m.vb[mes],$A120
)</f>
        <v>0</v>
      </c>
      <c r="AG120" s="108">
        <f ca="1">SUMIFS(
  m.vb[valor],
  m.vb[nucleo],$Z$1,
  m.vb[variavel],AG$7,
  m.vb[mes],$A120
)</f>
        <v>0</v>
      </c>
      <c r="AH120" s="108">
        <f ca="1">SUMIFS(
  m.vb[valor],
  m.vb[nucleo],$Z$1,
  m.vb[variavel],AH$7,
  m.vb[mes],$A120
)</f>
        <v>0</v>
      </c>
      <c r="AI120" s="108">
        <f ca="1">SUMIFS(
  m.vb[valor],
  m.vb[nucleo],$Z$1,
  m.vb[variavel],AI$7,
  m.vb[mes],$A120
)</f>
        <v>0</v>
      </c>
      <c r="AJ120" s="119">
        <f>COUNTIFS(
    tb_estq[empresa], AJ$6,
    tb_estq[Data da venda / reserva], "&gt;=" &amp; $A120,
    tb_estq[Data da venda / reserva], "&lt;"  &amp; EOMONTH($A120,0) + 1
)</f>
        <v>0</v>
      </c>
      <c r="AK120" s="120">
        <f ca="1">SUMIFS(tb_rec_uni[2030-10-01],
INDIRECT("tb_rec_uni[natureza]"),"pro.soluto",
INDIRECT("tb_rec_uni[empresa]"),AK$6)</f>
        <v>0</v>
      </c>
      <c r="AL120" s="120">
        <f ca="1">SUMIFS(tb_rec_uni[2030-10-01],
INDIRECT("tb_rec_uni[natureza]"),"repasse.cef.obra",
INDIRECT("tb_rec_uni[empresa]"),AL$6)</f>
        <v>0</v>
      </c>
      <c r="AM120" s="123">
        <f ca="1">SUMIFS(tb_rec_uni[2030-10-01],
INDIRECT("tb_rec_uni[natureza]"),"repasse.cef.terreno",
INDIRECT("tb_rec_uni[empresa]"),AM$6)</f>
        <v>0</v>
      </c>
      <c r="AN120" s="124"/>
      <c r="AO120" s="120">
        <f ca="1">SUMIFS(tb_rec_uni[2030-10-01],
INDIRECT("tb_rec_uni[natureza]"),"taxa.extra",
INDIRECT("tb_rec_uni[empresa]"),AO$6)</f>
        <v>0</v>
      </c>
      <c r="AP120" s="108"/>
      <c r="AQ120" s="108">
        <f ca="1">SUMIFS(
  m.vb[valor],
  m.vb[nucleo],$AJ$1,
  m.vb[variavel],AQ$7,
  m.vb[mes],$A120
)</f>
        <v>0</v>
      </c>
      <c r="AR120" s="108">
        <f ca="1">SUMIFS(
  m.vb[valor],
  m.vb[nucleo],$AJ$1,
  m.vb[variavel],AR$7,
  m.vb[mes],$A120
)</f>
        <v>0</v>
      </c>
      <c r="AS120" s="108">
        <f ca="1">SUMIFS(
  m.vb[valor],
  m.vb[nucleo],$AJ$1,
  m.vb[variavel],AS$7,
  m.vb[mes],$A120
)</f>
        <v>0</v>
      </c>
      <c r="AT120" s="108">
        <f ca="1">SUMIFS(
  m.vb[valor],
  m.vb[nucleo],$AJ$1,
  m.vb[variavel],AT$7,
  m.vb[mes],$A120
)</f>
        <v>0</v>
      </c>
      <c r="AU120" s="108">
        <f ca="1">SUMIFS(
  m.vb[valor],
  m.vb[nucleo],$AJ$1,
  m.vb[variavel],AU$7,
  m.vb[mes],$A120
)</f>
        <v>0</v>
      </c>
      <c r="AV120" s="119">
        <f>COUNTIFS(
    tb_estq[empresa], AV$6,
    tb_estq[Data da venda / reserva], "&gt;=" &amp; $A120,
    tb_estq[Data da venda / reserva], "&lt;"  &amp; EOMONTH($A120,0) + 1
)</f>
        <v>0</v>
      </c>
      <c r="AW120" s="120">
        <f ca="1">SUMIFS(tb_rec_uni[2030-10-01],
INDIRECT("tb_rec_uni[natureza]"),"pro.soluto",
INDIRECT("tb_rec_uni[empresa]"),AW$6)</f>
        <v>0</v>
      </c>
      <c r="AX120" s="120">
        <f ca="1">SUMIFS(tb_rec_uni[2030-10-01],
INDIRECT("tb_rec_uni[natureza]"),"repasse.cef.obra",
INDIRECT("tb_rec_uni[empresa]"),AX$6)</f>
        <v>0</v>
      </c>
      <c r="AY120" s="123">
        <f ca="1">SUMIFS(tb_rec_uni[2030-10-01],
INDIRECT("tb_rec_uni[natureza]"),"repasse.cef.terreno",
INDIRECT("tb_rec_uni[empresa]"),AY$6)</f>
        <v>0</v>
      </c>
      <c r="AZ120" s="124"/>
      <c r="BA120" s="120">
        <f ca="1">SUMIFS(tb_rec_uni[2030-10-01],
INDIRECT("tb_rec_uni[natureza]"),"taxa.extra",
INDIRECT("tb_rec_uni[empresa]"),BA$6)</f>
        <v>0</v>
      </c>
      <c r="BB120" s="108"/>
      <c r="BC120" s="108">
        <f ca="1">SUMIFS(
  m.vb[valor],
  m.vb[nucleo],$AV$1,
  m.vb[variavel],BC$7,
  m.vb[mes],$A120
)</f>
        <v>0</v>
      </c>
      <c r="BD120" s="108">
        <f ca="1">SUMIFS(
  m.vb[valor],
  m.vb[nucleo],$AV$1,
  m.vb[variavel],BD$7,
  m.vb[mes],$A120
)</f>
        <v>0</v>
      </c>
      <c r="BE120" s="108">
        <f ca="1">SUMIFS(
  m.vb[valor],
  m.vb[nucleo],$AV$1,
  m.vb[variavel],BE$7,
  m.vb[mes],$A120
)</f>
        <v>0</v>
      </c>
      <c r="BF120" s="108">
        <f ca="1">SUMIFS(
  m.vb[valor],
  m.vb[nucleo],$AV$1,
  m.vb[variavel],BF$7,
  m.vb[mes],$A120
)</f>
        <v>0</v>
      </c>
      <c r="BG120" s="108">
        <f ca="1">SUMIFS(
  m.vb[valor],
  m.vb[nucleo],$AV$1,
  m.vb[variavel],BG$7,
  m.vb[mes],$A120
)</f>
        <v>0</v>
      </c>
      <c r="BH120" s="119">
        <f>COUNTIFS(
    tb_estq[empresa], BH$6,
    tb_estq[Data da venda / reserva], "&gt;=" &amp; $A120,
    tb_estq[Data da venda / reserva], "&lt;"  &amp; EOMONTH($A120,0) + 1
)</f>
        <v>0</v>
      </c>
      <c r="BI120" s="120">
        <f ca="1">SUMIFS(tb_rec_uni[2030-10-01],
INDIRECT("tb_rec_uni[natureza]"),"pro.soluto",
INDIRECT("tb_rec_uni[empresa]"),BI$6)</f>
        <v>0</v>
      </c>
      <c r="BJ120" s="124"/>
      <c r="BK120" s="120">
        <f ca="1">SUMIFS(tb_rec_uni[2030-10-01],
INDIRECT("tb_rec_uni[natureza]"),"taxa.extra",
INDIRECT("tb_rec_uni[empresa]"),BK$6)</f>
        <v>0</v>
      </c>
      <c r="BL120" s="108"/>
      <c r="BM120" s="108">
        <f ca="1">SUMIFS(
  m.vb[valor],
  m.vb[nucleo],$BH$1,
  m.vb[variavel],BM$7,
  m.vb[mes],$A120
)</f>
        <v>0</v>
      </c>
      <c r="BN120" s="108">
        <f ca="1">SUMIFS(
  m.vb[valor],
  m.vb[nucleo],$BH$1,
  m.vb[variavel],BN$7,
  m.vb[mes],$A120
)</f>
        <v>0</v>
      </c>
      <c r="BO120" s="108">
        <f ca="1">SUMIFS(
  m.vb[valor],
  m.vb[nucleo],$BH$1,
  m.vb[variavel],BO$7,
  m.vb[mes],$A120
)</f>
        <v>0</v>
      </c>
      <c r="BP120" s="108">
        <f ca="1">SUMIFS(
  m.vb[valor],
  m.vb[nucleo],$BH$1,
  m.vb[variavel],BP$7,
  m.vb[mes],$A120
)</f>
        <v>0</v>
      </c>
      <c r="BQ120" s="108">
        <f ca="1">SUMIFS(
  m.vb[valor],
  m.vb[nucleo],$BH$1,
  m.vb[variavel],BQ$7,
  m.vb[mes],$A120
)</f>
        <v>0</v>
      </c>
      <c r="BR120" s="119">
        <f>COUNTIFS(
    tb_estq[empresa], BR$6,
    tb_estq[Data da venda / reserva], "&gt;=" &amp; $A120,
    tb_estq[Data da venda / reserva], "&lt;"  &amp; EOMONTH($A120,0) + 1
)</f>
        <v>0</v>
      </c>
      <c r="BS120" s="120">
        <f ca="1">SUMIFS(tb_rec_uni[2030-10-01],
INDIRECT("tb_rec_uni[natureza]"),"pro.soluto",
INDIRECT("tb_rec_uni[empresa]"),BS$6)</f>
        <v>0</v>
      </c>
      <c r="BT120" s="124">
        <f ca="1">SUMIFS(tb_rec_uni[2030-10-01],
INDIRECT("tb_rec_uni[natureza]"),"parcela.fin.total.ik",
INDIRECT("tb_rec_uni[empresa]"),BT$6)</f>
        <v>0</v>
      </c>
      <c r="BU120" s="120">
        <f ca="1">SUMIFS(tb_rec_uni[2030-10-01],
INDIRECT("tb_rec_uni[natureza]"),"taxa.extra",
INDIRECT("tb_rec_uni[empresa]"),BU$6)</f>
        <v>0</v>
      </c>
      <c r="BV120" s="108"/>
      <c r="BW120" s="108">
        <f ca="1">SUMIFS(
  m.vb[valor],
  m.vb[nucleo],$BR$1,
  m.vb[variavel],BW$7,
  m.vb[mes],$A120
)</f>
        <v>0</v>
      </c>
      <c r="BX120" s="108">
        <f ca="1">SUMIFS(
  m.vb[valor],
  m.vb[nucleo],$BR$1,
  m.vb[variavel],BX$7,
  m.vb[mes],$A120
)</f>
        <v>0</v>
      </c>
      <c r="BY120" s="108">
        <f ca="1">SUMIFS(
  m.vb[valor],
  m.vb[nucleo],$BR$1,
  m.vb[variavel],BY$7,
  m.vb[mes],$A120
)</f>
        <v>0</v>
      </c>
      <c r="BZ120" s="108">
        <f ca="1">SUMIFS(
  m.vb[valor],
  m.vb[nucleo],$BR$1,
  m.vb[variavel],BZ$7,
  m.vb[mes],$A120
)</f>
        <v>0</v>
      </c>
      <c r="CA120" s="108">
        <f ca="1">SUMIFS(
  m.vb[valor],
  m.vb[nucleo],$BR$1,
  m.vb[variavel],CA$7,
  m.vb[mes],$A120
)</f>
        <v>0</v>
      </c>
      <c r="CB120" s="119">
        <f>COUNTIFS(
    tb_estq[empresa], CB$6,
    tb_estq[Data da venda / reserva], "&gt;=" &amp; $A120,
    tb_estq[Data da venda / reserva], "&lt;"  &amp; EOMONTH($A120,0) + 1
)</f>
        <v>0</v>
      </c>
      <c r="CC120" s="120">
        <f ca="1">SUMIFS(tb_rec_uni[2030-10-01],
INDIRECT("tb_rec_uni[natureza]"),"pro.soluto",
INDIRECT("tb_rec_uni[empresa]"),CC$6)</f>
        <v>0</v>
      </c>
      <c r="CD120" s="120">
        <f ca="1">SUMIFS(tb_rec_uni[2030-10-01],
INDIRECT("tb_rec_uni[natureza]"),"repasse.cef.obra",
INDIRECT("tb_rec_uni[empresa]"),CD$6)</f>
        <v>0</v>
      </c>
      <c r="CE120" s="123">
        <f ca="1">SUMIFS(tb_rec_uni[2030-10-01],
INDIRECT("tb_rec_uni[natureza]"),"repasse.cef.terreno",
INDIRECT("tb_rec_uni[empresa]"),CE$6)</f>
        <v>0</v>
      </c>
      <c r="CF120" s="124"/>
      <c r="CG120" s="120">
        <f ca="1">SUMIFS(tb_rec_uni[2030-10-01],
INDIRECT("tb_rec_uni[natureza]"),"taxa.extra",
INDIRECT("tb_rec_uni[empresa]"),CG$6)</f>
        <v>0</v>
      </c>
      <c r="CH120" s="108"/>
      <c r="CI120" s="108">
        <f ca="1">SUMIFS(
  m.vb[valor],
  m.vb[nucleo],$CB$1,
  m.vb[variavel],CI$7,
  m.vb[mes],$A120
)</f>
        <v>0</v>
      </c>
      <c r="CJ120" s="108">
        <f ca="1">SUMIFS(
  m.vb[valor],
  m.vb[nucleo],$CB$1,
  m.vb[variavel],CJ$7,
  m.vb[mes],$A120
)</f>
        <v>0</v>
      </c>
      <c r="CK120" s="108">
        <f ca="1">SUMIFS(
  m.vb[valor],
  m.vb[nucleo],$CB$1,
  m.vb[variavel],CK$7,
  m.vb[mes],$A120
)</f>
        <v>0</v>
      </c>
      <c r="CL120" s="108">
        <f ca="1">SUMIFS(
  m.vb[valor],
  m.vb[nucleo],$CB$1,
  m.vb[variavel],CL$7,
  m.vb[mes],$A120
)</f>
        <v>0</v>
      </c>
      <c r="CM120" s="108">
        <f ca="1">SUMIFS(
  m.vb[valor],
  m.vb[nucleo],$CB$1,
  m.vb[variavel],CM$7,
  m.vb[mes],$A120
)</f>
        <v>0</v>
      </c>
      <c r="CN120" s="119">
        <f>COUNTIFS(
    tb_estq[empresa], CN$6,
    tb_estq[Data da venda / reserva], "&gt;=" &amp; $A120,
    tb_estq[Data da venda / reserva], "&lt;"  &amp; EOMONTH($A120,0) + 1
)</f>
        <v>0</v>
      </c>
      <c r="CO120" s="120">
        <f ca="1">SUMIFS(tb_rec_uni[2030-10-01],
INDIRECT("tb_rec_uni[natureza]"),"pro.soluto",
INDIRECT("tb_rec_uni[empresa]"),CO$6)</f>
        <v>0</v>
      </c>
      <c r="CP120" s="120">
        <f ca="1">SUMIFS(tb_rec_uni[2030-10-01],
INDIRECT("tb_rec_uni[natureza]"),"repasse.cef.obra",
INDIRECT("tb_rec_uni[empresa]"),CP$6)</f>
        <v>0</v>
      </c>
      <c r="CQ120" s="123">
        <f ca="1">SUMIFS(tb_rec_uni[2030-10-01],
INDIRECT("tb_rec_uni[natureza]"),"repasse.cef.terreno",
INDIRECT("tb_rec_uni[empresa]"),CQ$6)</f>
        <v>0</v>
      </c>
      <c r="CR120" s="124"/>
      <c r="CS120" s="120">
        <f ca="1">SUMIFS(tb_rec_uni[2030-10-01],
INDIRECT("tb_rec_uni[natureza]"),"taxa.extra",
INDIRECT("tb_rec_uni[empresa]"),CS$6)</f>
        <v>0</v>
      </c>
      <c r="CT120" s="108"/>
      <c r="CU120" s="108">
        <f ca="1">SUMIFS(
  m.vb[valor],
  m.vb[nucleo],$CN$1,
  m.vb[variavel],CU$7,
  m.vb[mes],$A120
)</f>
        <v>0</v>
      </c>
      <c r="CV120" s="108" cm="1">
        <f t="array" ref="CV120">SUMPRODUCT(
  IFERROR(--tb_desp[valor],0)*
  (tb_desp[nucleo]="UP MOVE VILA SONIA")*
  (tb_desp[categoria]=CV$7)*
  (tb_desp[data.pagamento]&gt;=$A120)*
  (tb_desp[data.pagamento]&lt;EOMONTH($A120,0)+1)
)</f>
        <v>0</v>
      </c>
      <c r="CW120" s="108" cm="1">
        <f t="array" ref="CW120">SUMPRODUCT(
  IFERROR(--tb_desp[valor],0)*
  (tb_desp[nucleo]="UP MOVE VILA SONIA")*
  (tb_desp[categoria]=CW$7)*
  (tb_desp[data.pagamento]&gt;=$A120)*
  (tb_desp[data.pagamento]&lt;EOMONTH($A120,0)+1)
)</f>
        <v>0</v>
      </c>
      <c r="CX120" s="108" cm="1">
        <f t="array" ref="CX120">SUMPRODUCT(
  IFERROR(--tb_desp[valor],0)*
  (tb_desp[nucleo]="UP MOVE VILA SONIA")*
  (tb_desp[categoria]=CX$7)*
  (tb_desp[data.pagamento]&gt;=$A120)*
  (tb_desp[data.pagamento]&lt;EOMONTH($A120,0)+1)
)</f>
        <v>0</v>
      </c>
      <c r="CY120" s="221" cm="1">
        <f t="array" ref="CY120">SUMPRODUCT(
  IFERROR(--tb_desp[valor],0)*
  (tb_desp[nucleo]="UP MOVE VILA SONIA")*
  (tb_desp[categoria]=CY$7)*
  (tb_desp[data.pagamento]&gt;=$A120)*
  (tb_desp[data.pagamento]&lt;EOMONTH($A120,0)+1)
)</f>
        <v>0</v>
      </c>
    </row>
    <row r="121" spans="1:103" x14ac:dyDescent="0.25">
      <c r="A121" s="118">
        <v>47788</v>
      </c>
      <c r="B121" s="119">
        <f>COUNTIFS(
    tb_estq[empresa], B$6,
    tb_estq[Data da venda / reserva], "&gt;=" &amp; $A121,
    tb_estq[Data da venda / reserva], "&lt;"  &amp; EOMONTH($A121,0) + 1
)</f>
        <v>0</v>
      </c>
      <c r="C121" s="120">
        <f ca="1">SUMIFS(tb_rec_uni[2030-11-01],
INDIRECT("tb_rec_uni[natureza]"),"pro.soluto",
INDIRECT("tb_rec_uni[empresa]"),C$6)</f>
        <v>0</v>
      </c>
      <c r="D121" s="120">
        <f ca="1">SUMIFS(tb_rec_uni[2030-11-01],
INDIRECT("tb_rec_uni[natureza]"),"repasse.cef.obra",
INDIRECT("tb_rec_uni[empresa]"),D$6)</f>
        <v>0</v>
      </c>
      <c r="E121" s="120">
        <f ca="1">SUMIFS(tb_rec_uni[2030-11-01],
INDIRECT("tb_rec_uni[natureza]"),"repasse.cef.terreno",
INDIRECT("tb_rec_uni[empresa]"),E$6)</f>
        <v>0</v>
      </c>
      <c r="F121" s="124"/>
      <c r="G121" s="120">
        <f ca="1">SUMIFS(tb_rec_uni[2030-11-01],
INDIRECT("tb_rec_uni[natureza]"),"taxa.extra",
INDIRECT("tb_rec_uni[empresa]"),G$6)</f>
        <v>0</v>
      </c>
      <c r="H121" s="108"/>
      <c r="I121" s="108">
        <f ca="1">SUMIFS(
  m.vb[valor],
  m.vb[nucleo],$B$1,
  m.vb[variavel],I$7,
  m.vb[mes],$A121
)</f>
        <v>0</v>
      </c>
      <c r="J121" s="108">
        <f ca="1">SUMIFS(
  m.vb[valor],
  m.vb[nucleo],$B$1,
  m.vb[variavel],J$7,
  m.vb[mes],$A121
)</f>
        <v>0</v>
      </c>
      <c r="K121" s="108">
        <f ca="1">SUMIFS(
  m.vb[valor],
  m.vb[nucleo],$B$1,
  m.vb[variavel],K$7,
  m.vb[mes],$A121
)</f>
        <v>0</v>
      </c>
      <c r="L121" s="108">
        <f ca="1">SUMIFS(
  m.vb[valor],
  m.vb[nucleo],$B$1,
  m.vb[variavel],L$7,
  m.vb[mes],$A121
)</f>
        <v>0</v>
      </c>
      <c r="M121" s="108">
        <f ca="1">SUMIFS(
  m.vb[valor],
  m.vb[nucleo],$B$1,
  m.vb[variavel],M$7,
  m.vb[mes],$A121
)</f>
        <v>0</v>
      </c>
      <c r="N121" s="119">
        <f>COUNTIFS(
    tb_estq[empresa], N$6,
    tb_estq[Data da venda / reserva], "&gt;=" &amp; $A121,
    tb_estq[Data da venda / reserva], "&lt;"  &amp; EOMONTH($A121,0) + 1
)</f>
        <v>0</v>
      </c>
      <c r="O121" s="120">
        <f ca="1">SUMIFS(tb_rec_uni[2030-11-01],
INDIRECT("tb_rec_uni[natureza]"),"pro.soluto",
INDIRECT("tb_rec_uni[empresa]"),O$6)</f>
        <v>0</v>
      </c>
      <c r="P121" s="120">
        <f ca="1">SUMIFS(tb_rec_uni[2030-11-01],
INDIRECT("tb_rec_uni[natureza]"),"repasse.cef.obra",
INDIRECT("tb_rec_uni[empresa]"),P$6)</f>
        <v>0</v>
      </c>
      <c r="Q121" s="120">
        <f ca="1">SUMIFS(tb_rec_uni[2030-11-01],
INDIRECT("tb_rec_uni[natureza]"),"repasse.cef.terreno",
INDIRECT("tb_rec_uni[empresa]"),Q$6)</f>
        <v>0</v>
      </c>
      <c r="R121" s="124"/>
      <c r="S121" s="120">
        <f ca="1">SUMIFS(tb_rec_uni[2030-11-01],
INDIRECT("tb_rec_uni[natureza]"),"taxa.extra",
INDIRECT("tb_rec_uni[empresa]"),S$6)</f>
        <v>0</v>
      </c>
      <c r="T121" s="108"/>
      <c r="U121" s="108">
        <f ca="1">SUMIFS(
  m.vb[valor],
  m.vb[nucleo],$N$1,
  m.vb[variavel],U$7,
  m.vb[mes],$A121
)</f>
        <v>0</v>
      </c>
      <c r="V121" s="108">
        <f ca="1">SUMIFS(
  m.vb[valor],
  m.vb[nucleo],$N$1,
  m.vb[variavel],V$7,
  m.vb[mes],$A121
)</f>
        <v>0</v>
      </c>
      <c r="W121" s="108">
        <f ca="1">SUMIFS(
  m.vb[valor],
  m.vb[nucleo],$N$1,
  m.vb[variavel],W$7,
  m.vb[mes],$A121
)</f>
        <v>0</v>
      </c>
      <c r="X121" s="108">
        <f ca="1">SUMIFS(
  m.vb[valor],
  m.vb[nucleo],$N$1,
  m.vb[variavel],X$7,
  m.vb[mes],$A121
)</f>
        <v>0</v>
      </c>
      <c r="Y121" s="108">
        <f ca="1">SUMIFS(
  m.vb[valor],
  m.vb[nucleo],$N$1,
  m.vb[variavel],Y$7,
  m.vb[mes],$A121
)</f>
        <v>0</v>
      </c>
      <c r="Z121" s="119">
        <f>COUNTIFS(
    tb_estq[empresa], Z$6,
    tb_estq[Data da venda / reserva], "&gt;=" &amp; $A121,
    tb_estq[Data da venda / reserva], "&lt;"  &amp; EOMONTH($A121,0) + 1
)</f>
        <v>0</v>
      </c>
      <c r="AA121" s="120">
        <f ca="1">SUMIFS(tb_rec_uni[2030-11-01],
INDIRECT("tb_rec_uni[natureza]"),"pro.soluto",
INDIRECT("tb_rec_uni[empresa]"),AA$6)</f>
        <v>0</v>
      </c>
      <c r="AB121" s="124">
        <f ca="1">SUMIFS(tb_rec_uni[2030-11-01],
INDIRECT("tb_rec_uni[natureza]"),"parcela.fin.total.ik",
INDIRECT("tb_rec_uni[empresa]"),AB$6)</f>
        <v>0</v>
      </c>
      <c r="AC121" s="120">
        <f ca="1">SUMIFS(tb_rec_uni[2030-11-01],
INDIRECT("tb_rec_uni[natureza]"),"taxa.extra",
INDIRECT("tb_rec_uni[empresa]"),AC$6)</f>
        <v>0</v>
      </c>
      <c r="AD121" s="108"/>
      <c r="AE121" s="108">
        <f ca="1">SUMIFS(
  m.vb[valor],
  m.vb[nucleo],$Z$1,
  m.vb[variavel],AE$7,
  m.vb[mes],$A121
)</f>
        <v>0</v>
      </c>
      <c r="AF121" s="108">
        <f ca="1">SUMIFS(
  m.vb[valor],
  m.vb[nucleo],$Z$1,
  m.vb[variavel],AF$7,
  m.vb[mes],$A121
)</f>
        <v>0</v>
      </c>
      <c r="AG121" s="108">
        <f ca="1">SUMIFS(
  m.vb[valor],
  m.vb[nucleo],$Z$1,
  m.vb[variavel],AG$7,
  m.vb[mes],$A121
)</f>
        <v>0</v>
      </c>
      <c r="AH121" s="108">
        <f ca="1">SUMIFS(
  m.vb[valor],
  m.vb[nucleo],$Z$1,
  m.vb[variavel],AH$7,
  m.vb[mes],$A121
)</f>
        <v>0</v>
      </c>
      <c r="AI121" s="108">
        <f ca="1">SUMIFS(
  m.vb[valor],
  m.vb[nucleo],$Z$1,
  m.vb[variavel],AI$7,
  m.vb[mes],$A121
)</f>
        <v>0</v>
      </c>
      <c r="AJ121" s="119">
        <f>COUNTIFS(
    tb_estq[empresa], AJ$6,
    tb_estq[Data da venda / reserva], "&gt;=" &amp; $A121,
    tb_estq[Data da venda / reserva], "&lt;"  &amp; EOMONTH($A121,0) + 1
)</f>
        <v>0</v>
      </c>
      <c r="AK121" s="120">
        <f ca="1">SUMIFS(tb_rec_uni[2030-11-01],
INDIRECT("tb_rec_uni[natureza]"),"pro.soluto",
INDIRECT("tb_rec_uni[empresa]"),AK$6)</f>
        <v>0</v>
      </c>
      <c r="AL121" s="120">
        <f ca="1">SUMIFS(tb_rec_uni[2030-11-01],
INDIRECT("tb_rec_uni[natureza]"),"repasse.cef.obra",
INDIRECT("tb_rec_uni[empresa]"),AL$6)</f>
        <v>0</v>
      </c>
      <c r="AM121" s="123">
        <f ca="1">SUMIFS(tb_rec_uni[2030-11-01],
INDIRECT("tb_rec_uni[natureza]"),"repasse.cef.terreno",
INDIRECT("tb_rec_uni[empresa]"),AM$6)</f>
        <v>0</v>
      </c>
      <c r="AN121" s="124"/>
      <c r="AO121" s="120">
        <f ca="1">SUMIFS(tb_rec_uni[2030-11-01],
INDIRECT("tb_rec_uni[natureza]"),"taxa.extra",
INDIRECT("tb_rec_uni[empresa]"),AO$6)</f>
        <v>0</v>
      </c>
      <c r="AP121" s="108"/>
      <c r="AQ121" s="108">
        <f ca="1">SUMIFS(
  m.vb[valor],
  m.vb[nucleo],$AJ$1,
  m.vb[variavel],AQ$7,
  m.vb[mes],$A121
)</f>
        <v>0</v>
      </c>
      <c r="AR121" s="108">
        <f ca="1">SUMIFS(
  m.vb[valor],
  m.vb[nucleo],$AJ$1,
  m.vb[variavel],AR$7,
  m.vb[mes],$A121
)</f>
        <v>0</v>
      </c>
      <c r="AS121" s="108">
        <f ca="1">SUMIFS(
  m.vb[valor],
  m.vb[nucleo],$AJ$1,
  m.vb[variavel],AS$7,
  m.vb[mes],$A121
)</f>
        <v>0</v>
      </c>
      <c r="AT121" s="108">
        <f ca="1">SUMIFS(
  m.vb[valor],
  m.vb[nucleo],$AJ$1,
  m.vb[variavel],AT$7,
  m.vb[mes],$A121
)</f>
        <v>0</v>
      </c>
      <c r="AU121" s="108">
        <f ca="1">SUMIFS(
  m.vb[valor],
  m.vb[nucleo],$AJ$1,
  m.vb[variavel],AU$7,
  m.vb[mes],$A121
)</f>
        <v>0</v>
      </c>
      <c r="AV121" s="119">
        <f>COUNTIFS(
    tb_estq[empresa], AV$6,
    tb_estq[Data da venda / reserva], "&gt;=" &amp; $A121,
    tb_estq[Data da venda / reserva], "&lt;"  &amp; EOMONTH($A121,0) + 1
)</f>
        <v>0</v>
      </c>
      <c r="AW121" s="120">
        <f ca="1">SUMIFS(tb_rec_uni[2030-11-01],
INDIRECT("tb_rec_uni[natureza]"),"pro.soluto",
INDIRECT("tb_rec_uni[empresa]"),AW$6)</f>
        <v>0</v>
      </c>
      <c r="AX121" s="120">
        <f ca="1">SUMIFS(tb_rec_uni[2030-11-01],
INDIRECT("tb_rec_uni[natureza]"),"repasse.cef.obra",
INDIRECT("tb_rec_uni[empresa]"),AX$6)</f>
        <v>0</v>
      </c>
      <c r="AY121" s="123">
        <f ca="1">SUMIFS(tb_rec_uni[2030-11-01],
INDIRECT("tb_rec_uni[natureza]"),"repasse.cef.terreno",
INDIRECT("tb_rec_uni[empresa]"),AY$6)</f>
        <v>0</v>
      </c>
      <c r="AZ121" s="124"/>
      <c r="BA121" s="120">
        <f ca="1">SUMIFS(tb_rec_uni[2030-11-01],
INDIRECT("tb_rec_uni[natureza]"),"taxa.extra",
INDIRECT("tb_rec_uni[empresa]"),BA$6)</f>
        <v>0</v>
      </c>
      <c r="BB121" s="108"/>
      <c r="BC121" s="108">
        <f ca="1">SUMIFS(
  m.vb[valor],
  m.vb[nucleo],$AV$1,
  m.vb[variavel],BC$7,
  m.vb[mes],$A121
)</f>
        <v>0</v>
      </c>
      <c r="BD121" s="108">
        <f ca="1">SUMIFS(
  m.vb[valor],
  m.vb[nucleo],$AV$1,
  m.vb[variavel],BD$7,
  m.vb[mes],$A121
)</f>
        <v>0</v>
      </c>
      <c r="BE121" s="108">
        <f ca="1">SUMIFS(
  m.vb[valor],
  m.vb[nucleo],$AV$1,
  m.vb[variavel],BE$7,
  m.vb[mes],$A121
)</f>
        <v>0</v>
      </c>
      <c r="BF121" s="108">
        <f ca="1">SUMIFS(
  m.vb[valor],
  m.vb[nucleo],$AV$1,
  m.vb[variavel],BF$7,
  m.vb[mes],$A121
)</f>
        <v>0</v>
      </c>
      <c r="BG121" s="108">
        <f ca="1">SUMIFS(
  m.vb[valor],
  m.vb[nucleo],$AV$1,
  m.vb[variavel],BG$7,
  m.vb[mes],$A121
)</f>
        <v>0</v>
      </c>
      <c r="BH121" s="119">
        <f>COUNTIFS(
    tb_estq[empresa], BH$6,
    tb_estq[Data da venda / reserva], "&gt;=" &amp; $A121,
    tb_estq[Data da venda / reserva], "&lt;"  &amp; EOMONTH($A121,0) + 1
)</f>
        <v>0</v>
      </c>
      <c r="BI121" s="120">
        <f ca="1">SUMIFS(tb_rec_uni[2030-11-01],
INDIRECT("tb_rec_uni[natureza]"),"pro.soluto",
INDIRECT("tb_rec_uni[empresa]"),BI$6)</f>
        <v>0</v>
      </c>
      <c r="BJ121" s="124"/>
      <c r="BK121" s="120">
        <f ca="1">SUMIFS(tb_rec_uni[2030-11-01],
INDIRECT("tb_rec_uni[natureza]"),"taxa.extra",
INDIRECT("tb_rec_uni[empresa]"),BK$6)</f>
        <v>0</v>
      </c>
      <c r="BL121" s="108"/>
      <c r="BM121" s="108">
        <f ca="1">SUMIFS(
  m.vb[valor],
  m.vb[nucleo],$BH$1,
  m.vb[variavel],BM$7,
  m.vb[mes],$A121
)</f>
        <v>0</v>
      </c>
      <c r="BN121" s="108">
        <f ca="1">SUMIFS(
  m.vb[valor],
  m.vb[nucleo],$BH$1,
  m.vb[variavel],BN$7,
  m.vb[mes],$A121
)</f>
        <v>0</v>
      </c>
      <c r="BO121" s="108">
        <f ca="1">SUMIFS(
  m.vb[valor],
  m.vb[nucleo],$BH$1,
  m.vb[variavel],BO$7,
  m.vb[mes],$A121
)</f>
        <v>0</v>
      </c>
      <c r="BP121" s="108">
        <f ca="1">SUMIFS(
  m.vb[valor],
  m.vb[nucleo],$BH$1,
  m.vb[variavel],BP$7,
  m.vb[mes],$A121
)</f>
        <v>0</v>
      </c>
      <c r="BQ121" s="108">
        <f ca="1">SUMIFS(
  m.vb[valor],
  m.vb[nucleo],$BH$1,
  m.vb[variavel],BQ$7,
  m.vb[mes],$A121
)</f>
        <v>0</v>
      </c>
      <c r="BR121" s="119">
        <f>COUNTIFS(
    tb_estq[empresa], BR$6,
    tb_estq[Data da venda / reserva], "&gt;=" &amp; $A121,
    tb_estq[Data da venda / reserva], "&lt;"  &amp; EOMONTH($A121,0) + 1
)</f>
        <v>0</v>
      </c>
      <c r="BS121" s="120">
        <f ca="1">SUMIFS(tb_rec_uni[2030-11-01],
INDIRECT("tb_rec_uni[natureza]"),"pro.soluto",
INDIRECT("tb_rec_uni[empresa]"),BS$6)</f>
        <v>0</v>
      </c>
      <c r="BT121" s="124">
        <f ca="1">SUMIFS(tb_rec_uni[2030-11-01],
INDIRECT("tb_rec_uni[natureza]"),"parcela.fin.total.ik",
INDIRECT("tb_rec_uni[empresa]"),BT$6)</f>
        <v>0</v>
      </c>
      <c r="BU121" s="120">
        <f ca="1">SUMIFS(tb_rec_uni[2030-11-01],
INDIRECT("tb_rec_uni[natureza]"),"taxa.extra",
INDIRECT("tb_rec_uni[empresa]"),BU$6)</f>
        <v>0</v>
      </c>
      <c r="BV121" s="108"/>
      <c r="BW121" s="108">
        <f ca="1">SUMIFS(
  m.vb[valor],
  m.vb[nucleo],$BR$1,
  m.vb[variavel],BW$7,
  m.vb[mes],$A121
)</f>
        <v>0</v>
      </c>
      <c r="BX121" s="108">
        <f ca="1">SUMIFS(
  m.vb[valor],
  m.vb[nucleo],$BR$1,
  m.vb[variavel],BX$7,
  m.vb[mes],$A121
)</f>
        <v>0</v>
      </c>
      <c r="BY121" s="108">
        <f ca="1">SUMIFS(
  m.vb[valor],
  m.vb[nucleo],$BR$1,
  m.vb[variavel],BY$7,
  m.vb[mes],$A121
)</f>
        <v>0</v>
      </c>
      <c r="BZ121" s="108">
        <f ca="1">SUMIFS(
  m.vb[valor],
  m.vb[nucleo],$BR$1,
  m.vb[variavel],BZ$7,
  m.vb[mes],$A121
)</f>
        <v>0</v>
      </c>
      <c r="CA121" s="108">
        <f ca="1">SUMIFS(
  m.vb[valor],
  m.vb[nucleo],$BR$1,
  m.vb[variavel],CA$7,
  m.vb[mes],$A121
)</f>
        <v>0</v>
      </c>
      <c r="CB121" s="119">
        <f>COUNTIFS(
    tb_estq[empresa], CB$6,
    tb_estq[Data da venda / reserva], "&gt;=" &amp; $A121,
    tb_estq[Data da venda / reserva], "&lt;"  &amp; EOMONTH($A121,0) + 1
)</f>
        <v>0</v>
      </c>
      <c r="CC121" s="120">
        <f ca="1">SUMIFS(tb_rec_uni[2030-11-01],
INDIRECT("tb_rec_uni[natureza]"),"pro.soluto",
INDIRECT("tb_rec_uni[empresa]"),CC$6)</f>
        <v>0</v>
      </c>
      <c r="CD121" s="120">
        <f ca="1">SUMIFS(tb_rec_uni[2030-11-01],
INDIRECT("tb_rec_uni[natureza]"),"repasse.cef.obra",
INDIRECT("tb_rec_uni[empresa]"),CD$6)</f>
        <v>0</v>
      </c>
      <c r="CE121" s="123">
        <f ca="1">SUMIFS(tb_rec_uni[2030-11-01],
INDIRECT("tb_rec_uni[natureza]"),"repasse.cef.terreno",
INDIRECT("tb_rec_uni[empresa]"),CE$6)</f>
        <v>0</v>
      </c>
      <c r="CF121" s="124"/>
      <c r="CG121" s="120">
        <f ca="1">SUMIFS(tb_rec_uni[2030-11-01],
INDIRECT("tb_rec_uni[natureza]"),"taxa.extra",
INDIRECT("tb_rec_uni[empresa]"),CG$6)</f>
        <v>0</v>
      </c>
      <c r="CH121" s="108"/>
      <c r="CI121" s="108">
        <f ca="1">SUMIFS(
  m.vb[valor],
  m.vb[nucleo],$CB$1,
  m.vb[variavel],CI$7,
  m.vb[mes],$A121
)</f>
        <v>0</v>
      </c>
      <c r="CJ121" s="108">
        <f ca="1">SUMIFS(
  m.vb[valor],
  m.vb[nucleo],$CB$1,
  m.vb[variavel],CJ$7,
  m.vb[mes],$A121
)</f>
        <v>0</v>
      </c>
      <c r="CK121" s="108">
        <f ca="1">SUMIFS(
  m.vb[valor],
  m.vb[nucleo],$CB$1,
  m.vb[variavel],CK$7,
  m.vb[mes],$A121
)</f>
        <v>0</v>
      </c>
      <c r="CL121" s="108">
        <f ca="1">SUMIFS(
  m.vb[valor],
  m.vb[nucleo],$CB$1,
  m.vb[variavel],CL$7,
  m.vb[mes],$A121
)</f>
        <v>0</v>
      </c>
      <c r="CM121" s="108">
        <f ca="1">SUMIFS(
  m.vb[valor],
  m.vb[nucleo],$CB$1,
  m.vb[variavel],CM$7,
  m.vb[mes],$A121
)</f>
        <v>0</v>
      </c>
      <c r="CN121" s="119">
        <f>COUNTIFS(
    tb_estq[empresa], CN$6,
    tb_estq[Data da venda / reserva], "&gt;=" &amp; $A121,
    tb_estq[Data da venda / reserva], "&lt;"  &amp; EOMONTH($A121,0) + 1
)</f>
        <v>0</v>
      </c>
      <c r="CO121" s="120">
        <f ca="1">SUMIFS(tb_rec_uni[2030-11-01],
INDIRECT("tb_rec_uni[natureza]"),"pro.soluto",
INDIRECT("tb_rec_uni[empresa]"),CO$6)</f>
        <v>0</v>
      </c>
      <c r="CP121" s="120">
        <f ca="1">SUMIFS(tb_rec_uni[2030-11-01],
INDIRECT("tb_rec_uni[natureza]"),"repasse.cef.obra",
INDIRECT("tb_rec_uni[empresa]"),CP$6)</f>
        <v>0</v>
      </c>
      <c r="CQ121" s="123">
        <f ca="1">SUMIFS(tb_rec_uni[2030-11-01],
INDIRECT("tb_rec_uni[natureza]"),"repasse.cef.terreno",
INDIRECT("tb_rec_uni[empresa]"),CQ$6)</f>
        <v>0</v>
      </c>
      <c r="CR121" s="124"/>
      <c r="CS121" s="120">
        <f ca="1">SUMIFS(tb_rec_uni[2030-11-01],
INDIRECT("tb_rec_uni[natureza]"),"taxa.extra",
INDIRECT("tb_rec_uni[empresa]"),CS$6)</f>
        <v>0</v>
      </c>
      <c r="CT121" s="108"/>
      <c r="CU121" s="108">
        <f ca="1">SUMIFS(
  m.vb[valor],
  m.vb[nucleo],$CN$1,
  m.vb[variavel],CU$7,
  m.vb[mes],$A121
)</f>
        <v>0</v>
      </c>
      <c r="CV121" s="108" cm="1">
        <f t="array" ref="CV121">SUMPRODUCT(
  IFERROR(--tb_desp[valor],0)*
  (tb_desp[nucleo]="UP MOVE VILA SONIA")*
  (tb_desp[categoria]=CV$7)*
  (tb_desp[data.pagamento]&gt;=$A121)*
  (tb_desp[data.pagamento]&lt;EOMONTH($A121,0)+1)
)</f>
        <v>0</v>
      </c>
      <c r="CW121" s="108" cm="1">
        <f t="array" ref="CW121">SUMPRODUCT(
  IFERROR(--tb_desp[valor],0)*
  (tb_desp[nucleo]="UP MOVE VILA SONIA")*
  (tb_desp[categoria]=CW$7)*
  (tb_desp[data.pagamento]&gt;=$A121)*
  (tb_desp[data.pagamento]&lt;EOMONTH($A121,0)+1)
)</f>
        <v>0</v>
      </c>
      <c r="CX121" s="108" cm="1">
        <f t="array" ref="CX121">SUMPRODUCT(
  IFERROR(--tb_desp[valor],0)*
  (tb_desp[nucleo]="UP MOVE VILA SONIA")*
  (tb_desp[categoria]=CX$7)*
  (tb_desp[data.pagamento]&gt;=$A121)*
  (tb_desp[data.pagamento]&lt;EOMONTH($A121,0)+1)
)</f>
        <v>0</v>
      </c>
      <c r="CY121" s="221" cm="1">
        <f t="array" ref="CY121">SUMPRODUCT(
  IFERROR(--tb_desp[valor],0)*
  (tb_desp[nucleo]="UP MOVE VILA SONIA")*
  (tb_desp[categoria]=CY$7)*
  (tb_desp[data.pagamento]&gt;=$A121)*
  (tb_desp[data.pagamento]&lt;EOMONTH($A121,0)+1)
)</f>
        <v>0</v>
      </c>
    </row>
    <row r="122" spans="1:103" x14ac:dyDescent="0.25">
      <c r="A122" s="118">
        <v>47818</v>
      </c>
      <c r="B122" s="125">
        <f>COUNTIFS(
    tb_estq[empresa], B$6,
    tb_estq[Data da venda / reserva], "&gt;=" &amp; $A122,
    tb_estq[Data da venda / reserva], "&lt;"  &amp; EOMONTH($A122,0) + 1
)</f>
        <v>0</v>
      </c>
      <c r="C122" s="126">
        <f ca="1">SUMIFS(tb_rec_uni[2030-12-01],
INDIRECT("tb_rec_uni[natureza]"),"pro.soluto",
INDIRECT("tb_rec_uni[empresa]"),C$6)</f>
        <v>0</v>
      </c>
      <c r="D122" s="126">
        <f ca="1">SUMIFS(tb_rec_uni[2030-12-01],
INDIRECT("tb_rec_uni[natureza]"),"repasse.cef.obra",
INDIRECT("tb_rec_uni[empresa]"),D$6)</f>
        <v>0</v>
      </c>
      <c r="E122" s="126">
        <f ca="1">SUMIFS(tb_rec_uni[2030-12-01],
INDIRECT("tb_rec_uni[natureza]"),"repasse.cef.terreno",
INDIRECT("tb_rec_uni[empresa]"),E$6)</f>
        <v>0</v>
      </c>
      <c r="F122" s="127"/>
      <c r="G122" s="126">
        <f ca="1">SUMIFS(tb_rec_uni[2030-12-01],
INDIRECT("tb_rec_uni[natureza]"),"taxa.extra",
INDIRECT("tb_rec_uni[empresa]"),G$6)</f>
        <v>0</v>
      </c>
      <c r="H122" s="128"/>
      <c r="I122" s="128">
        <f ca="1">SUMIFS(
  m.vb[valor],
  m.vb[nucleo],$B$1,
  m.vb[variavel],I$7,
  m.vb[mes],$A122
)</f>
        <v>0</v>
      </c>
      <c r="J122" s="128">
        <f ca="1">SUMIFS(
  m.vb[valor],
  m.vb[nucleo],$B$1,
  m.vb[variavel],J$7,
  m.vb[mes],$A122
)</f>
        <v>0</v>
      </c>
      <c r="K122" s="128">
        <f ca="1">SUMIFS(
  m.vb[valor],
  m.vb[nucleo],$B$1,
  m.vb[variavel],K$7,
  m.vb[mes],$A122
)</f>
        <v>0</v>
      </c>
      <c r="L122" s="128">
        <f ca="1">SUMIFS(
  m.vb[valor],
  m.vb[nucleo],$B$1,
  m.vb[variavel],L$7,
  m.vb[mes],$A122
)</f>
        <v>0</v>
      </c>
      <c r="M122" s="128">
        <f ca="1">SUMIFS(
  m.vb[valor],
  m.vb[nucleo],$B$1,
  m.vb[variavel],M$7,
  m.vb[mes],$A122
)</f>
        <v>0</v>
      </c>
      <c r="N122" s="125">
        <f>COUNTIFS(
    tb_estq[empresa], N$6,
    tb_estq[Data da venda / reserva], "&gt;=" &amp; $A122,
    tb_estq[Data da venda / reserva], "&lt;"  &amp; EOMONTH($A122,0) + 1
)</f>
        <v>0</v>
      </c>
      <c r="O122" s="126">
        <f ca="1">SUMIFS(tb_rec_uni[2030-12-01],
INDIRECT("tb_rec_uni[natureza]"),"pro.soluto",
INDIRECT("tb_rec_uni[empresa]"),O$6)</f>
        <v>0</v>
      </c>
      <c r="P122" s="126">
        <f ca="1">SUMIFS(tb_rec_uni[2030-12-01],
INDIRECT("tb_rec_uni[natureza]"),"repasse.cef.obra",
INDIRECT("tb_rec_uni[empresa]"),P$6)</f>
        <v>0</v>
      </c>
      <c r="Q122" s="126">
        <f ca="1">SUMIFS(tb_rec_uni[2030-12-01],
INDIRECT("tb_rec_uni[natureza]"),"repasse.cef.terreno",
INDIRECT("tb_rec_uni[empresa]"),Q$6)</f>
        <v>0</v>
      </c>
      <c r="R122" s="128"/>
      <c r="S122" s="126">
        <f ca="1">SUMIFS(tb_rec_uni[2030-12-01],
INDIRECT("tb_rec_uni[natureza]"),"taxa.extra",
INDIRECT("tb_rec_uni[empresa]"),S$6)</f>
        <v>0</v>
      </c>
      <c r="T122" s="128"/>
      <c r="U122" s="128">
        <f ca="1">SUMIFS(
  m.vb[valor],
  m.vb[nucleo],$N$1,
  m.vb[variavel],U$7,
  m.vb[mes],$A122
)</f>
        <v>0</v>
      </c>
      <c r="V122" s="128">
        <f ca="1">SUMIFS(
  m.vb[valor],
  m.vb[nucleo],$N$1,
  m.vb[variavel],V$7,
  m.vb[mes],$A122
)</f>
        <v>0</v>
      </c>
      <c r="W122" s="128">
        <f ca="1">SUMIFS(
  m.vb[valor],
  m.vb[nucleo],$N$1,
  m.vb[variavel],W$7,
  m.vb[mes],$A122
)</f>
        <v>0</v>
      </c>
      <c r="X122" s="128">
        <f ca="1">SUMIFS(
  m.vb[valor],
  m.vb[nucleo],$N$1,
  m.vb[variavel],X$7,
  m.vb[mes],$A122
)</f>
        <v>0</v>
      </c>
      <c r="Y122" s="128">
        <f ca="1">SUMIFS(
  m.vb[valor],
  m.vb[nucleo],$N$1,
  m.vb[variavel],Y$7,
  m.vb[mes],$A122
)</f>
        <v>0</v>
      </c>
      <c r="Z122" s="125">
        <f>COUNTIFS(
    tb_estq[empresa], Z$6,
    tb_estq[Data da venda / reserva], "&gt;=" &amp; $A122,
    tb_estq[Data da venda / reserva], "&lt;"  &amp; EOMONTH($A122,0) + 1
)</f>
        <v>0</v>
      </c>
      <c r="AA122" s="126">
        <f ca="1">SUMIFS(tb_rec_uni[2030-12-01],
INDIRECT("tb_rec_uni[natureza]"),"pro.soluto",
INDIRECT("tb_rec_uni[empresa]"),AA$6)</f>
        <v>0</v>
      </c>
      <c r="AB122" s="127">
        <f ca="1">SUMIFS(tb_rec_uni[2030-12-01],
INDIRECT("tb_rec_uni[natureza]"),"parcela.fin.total.ik",
INDIRECT("tb_rec_uni[empresa]"),AB$6)</f>
        <v>0</v>
      </c>
      <c r="AC122" s="126">
        <f ca="1">SUMIFS(tb_rec_uni[2030-12-01],
INDIRECT("tb_rec_uni[natureza]"),"taxa.extra",
INDIRECT("tb_rec_uni[empresa]"),AC$6)</f>
        <v>0</v>
      </c>
      <c r="AD122" s="128"/>
      <c r="AE122" s="128">
        <f ca="1">SUMIFS(
  m.vb[valor],
  m.vb[nucleo],$Z$1,
  m.vb[variavel],AE$7,
  m.vb[mes],$A122
)</f>
        <v>0</v>
      </c>
      <c r="AF122" s="128">
        <f ca="1">SUMIFS(
  m.vb[valor],
  m.vb[nucleo],$Z$1,
  m.vb[variavel],AF$7,
  m.vb[mes],$A122
)</f>
        <v>0</v>
      </c>
      <c r="AG122" s="128">
        <f ca="1">SUMIFS(
  m.vb[valor],
  m.vb[nucleo],$Z$1,
  m.vb[variavel],AG$7,
  m.vb[mes],$A122
)</f>
        <v>0</v>
      </c>
      <c r="AH122" s="128">
        <f ca="1">SUMIFS(
  m.vb[valor],
  m.vb[nucleo],$Z$1,
  m.vb[variavel],AH$7,
  m.vb[mes],$A122
)</f>
        <v>0</v>
      </c>
      <c r="AI122" s="128">
        <f ca="1">SUMIFS(
  m.vb[valor],
  m.vb[nucleo],$Z$1,
  m.vb[variavel],AI$7,
  m.vb[mes],$A122
)</f>
        <v>0</v>
      </c>
      <c r="AJ122" s="125">
        <f>COUNTIFS(
    tb_estq[empresa], AJ$6,
    tb_estq[Data da venda / reserva], "&gt;=" &amp; $A122,
    tb_estq[Data da venda / reserva], "&lt;"  &amp; EOMONTH($A122,0) + 1
)</f>
        <v>0</v>
      </c>
      <c r="AK122" s="126">
        <f ca="1">SUMIFS(tb_rec_uni[2030-12-01],
INDIRECT("tb_rec_uni[natureza]"),"pro.soluto",
INDIRECT("tb_rec_uni[empresa]"),AK$6)</f>
        <v>0</v>
      </c>
      <c r="AL122" s="126">
        <f ca="1">SUMIFS(tb_rec_uni[2030-12-01],
INDIRECT("tb_rec_uni[natureza]"),"repasse.cef.obra",
INDIRECT("tb_rec_uni[empresa]"),AL$6)</f>
        <v>0</v>
      </c>
      <c r="AM122" s="129">
        <f ca="1">SUMIFS(tb_rec_uni[2030-12-01],
INDIRECT("tb_rec_uni[natureza]"),"repasse.cef.terreno",
INDIRECT("tb_rec_uni[empresa]"),AM$6)</f>
        <v>0</v>
      </c>
      <c r="AN122" s="127"/>
      <c r="AO122" s="126">
        <f ca="1">SUMIFS(tb_rec_uni[2030-12-01],
INDIRECT("tb_rec_uni[natureza]"),"taxa.extra",
INDIRECT("tb_rec_uni[empresa]"),AO$6)</f>
        <v>0</v>
      </c>
      <c r="AP122" s="128"/>
      <c r="AQ122" s="128">
        <f ca="1">SUMIFS(
  m.vb[valor],
  m.vb[nucleo],$AJ$1,
  m.vb[variavel],AQ$7,
  m.vb[mes],$A122
)</f>
        <v>0</v>
      </c>
      <c r="AR122" s="128">
        <f ca="1">SUMIFS(
  m.vb[valor],
  m.vb[nucleo],$AJ$1,
  m.vb[variavel],AR$7,
  m.vb[mes],$A122
)</f>
        <v>0</v>
      </c>
      <c r="AS122" s="128">
        <f ca="1">SUMIFS(
  m.vb[valor],
  m.vb[nucleo],$AJ$1,
  m.vb[variavel],AS$7,
  m.vb[mes],$A122
)</f>
        <v>0</v>
      </c>
      <c r="AT122" s="128">
        <f ca="1">SUMIFS(
  m.vb[valor],
  m.vb[nucleo],$AJ$1,
  m.vb[variavel],AT$7,
  m.vb[mes],$A122
)</f>
        <v>0</v>
      </c>
      <c r="AU122" s="128">
        <f ca="1">SUMIFS(
  m.vb[valor],
  m.vb[nucleo],$AJ$1,
  m.vb[variavel],AU$7,
  m.vb[mes],$A122
)</f>
        <v>0</v>
      </c>
      <c r="AV122" s="125">
        <f>COUNTIFS(
    tb_estq[empresa], AV$6,
    tb_estq[Data da venda / reserva], "&gt;=" &amp; $A122,
    tb_estq[Data da venda / reserva], "&lt;"  &amp; EOMONTH($A122,0) + 1
)</f>
        <v>0</v>
      </c>
      <c r="AW122" s="126">
        <f ca="1">SUMIFS(tb_rec_uni[2030-12-01],
INDIRECT("tb_rec_uni[natureza]"),"pro.soluto",
INDIRECT("tb_rec_uni[empresa]"),AW$6)</f>
        <v>0</v>
      </c>
      <c r="AX122" s="126">
        <f ca="1">SUMIFS(tb_rec_uni[2030-12-01],
INDIRECT("tb_rec_uni[natureza]"),"repasse.cef.obra",
INDIRECT("tb_rec_uni[empresa]"),AX$6)</f>
        <v>0</v>
      </c>
      <c r="AY122" s="129">
        <f ca="1">SUMIFS(tb_rec_uni[2030-12-01],
INDIRECT("tb_rec_uni[natureza]"),"repasse.cef.terreno",
INDIRECT("tb_rec_uni[empresa]"),AY$6)</f>
        <v>0</v>
      </c>
      <c r="AZ122" s="127"/>
      <c r="BA122" s="126">
        <f ca="1">SUMIFS(tb_rec_uni[2030-12-01],
INDIRECT("tb_rec_uni[natureza]"),"taxa.extra",
INDIRECT("tb_rec_uni[empresa]"),BA$6)</f>
        <v>0</v>
      </c>
      <c r="BB122" s="128"/>
      <c r="BC122" s="128">
        <f ca="1">SUMIFS(
  m.vb[valor],
  m.vb[nucleo],$AV$1,
  m.vb[variavel],BC$7,
  m.vb[mes],$A122
)</f>
        <v>0</v>
      </c>
      <c r="BD122" s="128">
        <f ca="1">SUMIFS(
  m.vb[valor],
  m.vb[nucleo],$AV$1,
  m.vb[variavel],BD$7,
  m.vb[mes],$A122
)</f>
        <v>0</v>
      </c>
      <c r="BE122" s="128">
        <f ca="1">SUMIFS(
  m.vb[valor],
  m.vb[nucleo],$AV$1,
  m.vb[variavel],BE$7,
  m.vb[mes],$A122
)</f>
        <v>0</v>
      </c>
      <c r="BF122" s="128">
        <f ca="1">SUMIFS(
  m.vb[valor],
  m.vb[nucleo],$AV$1,
  m.vb[variavel],BF$7,
  m.vb[mes],$A122
)</f>
        <v>0</v>
      </c>
      <c r="BG122" s="128">
        <f ca="1">SUMIFS(
  m.vb[valor],
  m.vb[nucleo],$AV$1,
  m.vb[variavel],BG$7,
  m.vb[mes],$A122
)</f>
        <v>0</v>
      </c>
      <c r="BH122" s="125">
        <f>COUNTIFS(
    tb_estq[empresa], BH$6,
    tb_estq[Data da venda / reserva], "&gt;=" &amp; $A122,
    tb_estq[Data da venda / reserva], "&lt;"  &amp; EOMONTH($A122,0) + 1
)</f>
        <v>0</v>
      </c>
      <c r="BI122" s="126">
        <f ca="1">SUMIFS(tb_rec_uni[2030-12-01],
INDIRECT("tb_rec_uni[natureza]"),"pro.soluto",
INDIRECT("tb_rec_uni[empresa]"),BI$6)</f>
        <v>0</v>
      </c>
      <c r="BJ122" s="127"/>
      <c r="BK122" s="126">
        <f ca="1">SUMIFS(tb_rec_uni[2030-12-01],
INDIRECT("tb_rec_uni[natureza]"),"taxa.extra",
INDIRECT("tb_rec_uni[empresa]"),BK$6)</f>
        <v>0</v>
      </c>
      <c r="BL122" s="128"/>
      <c r="BM122" s="128">
        <f ca="1">SUMIFS(
  m.vb[valor],
  m.vb[nucleo],$BH$1,
  m.vb[variavel],BM$7,
  m.vb[mes],$A122
)</f>
        <v>0</v>
      </c>
      <c r="BN122" s="128">
        <f ca="1">SUMIFS(
  m.vb[valor],
  m.vb[nucleo],$BH$1,
  m.vb[variavel],BN$7,
  m.vb[mes],$A122
)</f>
        <v>0</v>
      </c>
      <c r="BO122" s="128">
        <f ca="1">SUMIFS(
  m.vb[valor],
  m.vb[nucleo],$BH$1,
  m.vb[variavel],BO$7,
  m.vb[mes],$A122
)</f>
        <v>0</v>
      </c>
      <c r="BP122" s="128">
        <f ca="1">SUMIFS(
  m.vb[valor],
  m.vb[nucleo],$BH$1,
  m.vb[variavel],BP$7,
  m.vb[mes],$A122
)</f>
        <v>0</v>
      </c>
      <c r="BQ122" s="128">
        <f ca="1">SUMIFS(
  m.vb[valor],
  m.vb[nucleo],$BH$1,
  m.vb[variavel],BQ$7,
  m.vb[mes],$A122
)</f>
        <v>0</v>
      </c>
      <c r="BR122" s="125">
        <f>COUNTIFS(
    tb_estq[empresa], BR$6,
    tb_estq[Data da venda / reserva], "&gt;=" &amp; $A122,
    tb_estq[Data da venda / reserva], "&lt;"  &amp; EOMONTH($A122,0) + 1
)</f>
        <v>0</v>
      </c>
      <c r="BS122" s="126">
        <f ca="1">SUMIFS(tb_rec_uni[2030-12-01],
INDIRECT("tb_rec_uni[natureza]"),"pro.soluto",
INDIRECT("tb_rec_uni[empresa]"),BS$6)</f>
        <v>0</v>
      </c>
      <c r="BT122" s="127">
        <f ca="1">SUMIFS(tb_rec_uni[2030-12-01],
INDIRECT("tb_rec_uni[natureza]"),"parcela.fin.total.ik",
INDIRECT("tb_rec_uni[empresa]"),BT$6)</f>
        <v>0</v>
      </c>
      <c r="BU122" s="126">
        <f ca="1">SUMIFS(tb_rec_uni[2030-12-01],
INDIRECT("tb_rec_uni[natureza]"),"taxa.extra",
INDIRECT("tb_rec_uni[empresa]"),BU$6)</f>
        <v>0</v>
      </c>
      <c r="BV122" s="128"/>
      <c r="BW122" s="128">
        <f ca="1">SUMIFS(
  m.vb[valor],
  m.vb[nucleo],$BR$1,
  m.vb[variavel],BW$7,
  m.vb[mes],$A122
)</f>
        <v>0</v>
      </c>
      <c r="BX122" s="128">
        <f ca="1">SUMIFS(
  m.vb[valor],
  m.vb[nucleo],$BR$1,
  m.vb[variavel],BX$7,
  m.vb[mes],$A122
)</f>
        <v>0</v>
      </c>
      <c r="BY122" s="128">
        <f ca="1">SUMIFS(
  m.vb[valor],
  m.vb[nucleo],$BR$1,
  m.vb[variavel],BY$7,
  m.vb[mes],$A122
)</f>
        <v>0</v>
      </c>
      <c r="BZ122" s="128">
        <f ca="1">SUMIFS(
  m.vb[valor],
  m.vb[nucleo],$BR$1,
  m.vb[variavel],BZ$7,
  m.vb[mes],$A122
)</f>
        <v>0</v>
      </c>
      <c r="CA122" s="128">
        <f ca="1">SUMIFS(
  m.vb[valor],
  m.vb[nucleo],$BR$1,
  m.vb[variavel],CA$7,
  m.vb[mes],$A122
)</f>
        <v>0</v>
      </c>
      <c r="CB122" s="125">
        <f>COUNTIFS(
    tb_estq[empresa], CB$6,
    tb_estq[Data da venda / reserva], "&gt;=" &amp; $A122,
    tb_estq[Data da venda / reserva], "&lt;"  &amp; EOMONTH($A122,0) + 1
)</f>
        <v>0</v>
      </c>
      <c r="CC122" s="126">
        <f ca="1">SUMIFS(tb_rec_uni[2030-12-01],
INDIRECT("tb_rec_uni[natureza]"),"pro.soluto",
INDIRECT("tb_rec_uni[empresa]"),CC$6)</f>
        <v>0</v>
      </c>
      <c r="CD122" s="126">
        <f ca="1">SUMIFS(tb_rec_uni[2030-12-01],
INDIRECT("tb_rec_uni[natureza]"),"repasse.cef.obra",
INDIRECT("tb_rec_uni[empresa]"),CD$6)</f>
        <v>0</v>
      </c>
      <c r="CE122" s="129">
        <f ca="1">SUMIFS(tb_rec_uni[2030-12-01],
INDIRECT("tb_rec_uni[natureza]"),"repasse.cef.terreno",
INDIRECT("tb_rec_uni[empresa]"),CE$6)</f>
        <v>0</v>
      </c>
      <c r="CF122" s="127"/>
      <c r="CG122" s="126">
        <f ca="1">SUMIFS(tb_rec_uni[2030-12-01],
INDIRECT("tb_rec_uni[natureza]"),"taxa.extra",
INDIRECT("tb_rec_uni[empresa]"),CG$6)</f>
        <v>0</v>
      </c>
      <c r="CH122" s="128"/>
      <c r="CI122" s="128">
        <f ca="1">SUMIFS(
  m.vb[valor],
  m.vb[nucleo],$CB$1,
  m.vb[variavel],CI$7,
  m.vb[mes],$A122
)</f>
        <v>0</v>
      </c>
      <c r="CJ122" s="128">
        <f ca="1">SUMIFS(
  m.vb[valor],
  m.vb[nucleo],$CB$1,
  m.vb[variavel],CJ$7,
  m.vb[mes],$A122
)</f>
        <v>0</v>
      </c>
      <c r="CK122" s="128">
        <f ca="1">SUMIFS(
  m.vb[valor],
  m.vb[nucleo],$CB$1,
  m.vb[variavel],CK$7,
  m.vb[mes],$A122
)</f>
        <v>0</v>
      </c>
      <c r="CL122" s="128">
        <f ca="1">SUMIFS(
  m.vb[valor],
  m.vb[nucleo],$CB$1,
  m.vb[variavel],CL$7,
  m.vb[mes],$A122
)</f>
        <v>0</v>
      </c>
      <c r="CM122" s="128">
        <f ca="1">SUMIFS(
  m.vb[valor],
  m.vb[nucleo],$CB$1,
  m.vb[variavel],CM$7,
  m.vb[mes],$A122
)</f>
        <v>0</v>
      </c>
      <c r="CN122" s="125">
        <f>COUNTIFS(
    tb_estq[empresa], CN$6,
    tb_estq[Data da venda / reserva], "&gt;=" &amp; $A122,
    tb_estq[Data da venda / reserva], "&lt;"  &amp; EOMONTH($A122,0) + 1
)</f>
        <v>0</v>
      </c>
      <c r="CO122" s="126">
        <f ca="1">SUMIFS(tb_rec_uni[2030-12-01],
INDIRECT("tb_rec_uni[natureza]"),"pro.soluto",
INDIRECT("tb_rec_uni[empresa]"),CO$6)</f>
        <v>0</v>
      </c>
      <c r="CP122" s="126">
        <f ca="1">SUMIFS(tb_rec_uni[2030-12-01],
INDIRECT("tb_rec_uni[natureza]"),"repasse.cef.obra",
INDIRECT("tb_rec_uni[empresa]"),CP$6)</f>
        <v>0</v>
      </c>
      <c r="CQ122" s="129">
        <f ca="1">SUMIFS(tb_rec_uni[2030-12-01],
INDIRECT("tb_rec_uni[natureza]"),"repasse.cef.terreno",
INDIRECT("tb_rec_uni[empresa]"),CQ$6)</f>
        <v>0</v>
      </c>
      <c r="CR122" s="127"/>
      <c r="CS122" s="126">
        <f ca="1">SUMIFS(tb_rec_uni[2030-12-01],
INDIRECT("tb_rec_uni[natureza]"),"taxa.extra",
INDIRECT("tb_rec_uni[empresa]"),CS$6)</f>
        <v>0</v>
      </c>
      <c r="CT122" s="128"/>
      <c r="CU122" s="128">
        <f ca="1">SUMIFS(
  m.vb[valor],
  m.vb[nucleo],$CN$1,
  m.vb[variavel],CU$7,
  m.vb[mes],$A122
)</f>
        <v>0</v>
      </c>
      <c r="CV122" s="128" cm="1">
        <f t="array" ref="CV122">SUMPRODUCT(
  IFERROR(--tb_desp[valor],0)*
  (tb_desp[nucleo]="UP MOVE VILA SONIA")*
  (tb_desp[categoria]=CV$7)*
  (tb_desp[data.pagamento]&gt;=$A122)*
  (tb_desp[data.pagamento]&lt;EOMONTH($A122,0)+1)
)</f>
        <v>0</v>
      </c>
      <c r="CW122" s="128" cm="1">
        <f t="array" ref="CW122">SUMPRODUCT(
  IFERROR(--tb_desp[valor],0)*
  (tb_desp[nucleo]="UP MOVE VILA SONIA")*
  (tb_desp[categoria]=CW$7)*
  (tb_desp[data.pagamento]&gt;=$A122)*
  (tb_desp[data.pagamento]&lt;EOMONTH($A122,0)+1)
)</f>
        <v>0</v>
      </c>
      <c r="CX122" s="128" cm="1">
        <f t="array" ref="CX122">SUMPRODUCT(
  IFERROR(--tb_desp[valor],0)*
  (tb_desp[nucleo]="UP MOVE VILA SONIA")*
  (tb_desp[categoria]=CX$7)*
  (tb_desp[data.pagamento]&gt;=$A122)*
  (tb_desp[data.pagamento]&lt;EOMONTH($A122,0)+1)
)</f>
        <v>0</v>
      </c>
      <c r="CY122" s="222" cm="1">
        <f t="array" ref="CY122">SUMPRODUCT(
  IFERROR(--tb_desp[valor],0)*
  (tb_desp[nucleo]="UP MOVE VILA SONIA")*
  (tb_desp[categoria]=CY$7)*
  (tb_desp[data.pagamento]&gt;=$A122)*
  (tb_desp[data.pagamento]&lt;EOMONTH($A122,0)+1)
)</f>
        <v>0</v>
      </c>
    </row>
  </sheetData>
  <conditionalFormatting sqref="A11:CY122">
    <cfRule type="expression" dxfId="16" priority="1">
      <formula>AND(    MONTH($A11) = MONTH($A$1),    YEAR($A11) = YEAR($A$1) 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87D7-0E7F-4436-A1D6-4B3B213457E3}">
  <sheetPr>
    <tabColor theme="3" tint="9.9978637043366805E-2"/>
  </sheetPr>
  <dimension ref="A1:AP107"/>
  <sheetViews>
    <sheetView showGridLines="0" zoomScale="80" zoomScaleNormal="80" workbookViewId="0">
      <pane ySplit="2" topLeftCell="A14" activePane="bottomLeft" state="frozen"/>
      <selection pane="bottomLeft" activeCell="I19" sqref="I19"/>
    </sheetView>
  </sheetViews>
  <sheetFormatPr defaultRowHeight="15" x14ac:dyDescent="0.25"/>
  <cols>
    <col min="1" max="1" width="10.85546875" customWidth="1"/>
    <col min="2" max="2" width="10.7109375" customWidth="1"/>
    <col min="3" max="13" width="16.7109375" customWidth="1"/>
    <col min="15" max="15" width="18.7109375" bestFit="1" customWidth="1"/>
    <col min="16" max="16" width="20.140625" bestFit="1" customWidth="1"/>
    <col min="17" max="19" width="12.28515625" bestFit="1" customWidth="1"/>
    <col min="20" max="21" width="12.42578125" bestFit="1" customWidth="1"/>
    <col min="22" max="22" width="10.140625" bestFit="1" customWidth="1"/>
    <col min="23" max="23" width="10.85546875" bestFit="1" customWidth="1"/>
    <col min="24" max="24" width="11.28515625" bestFit="1" customWidth="1"/>
    <col min="25" max="27" width="13" bestFit="1" customWidth="1"/>
    <col min="28" max="28" width="20.85546875" bestFit="1" customWidth="1"/>
    <col min="29" max="29" width="20.140625" bestFit="1" customWidth="1"/>
    <col min="30" max="35" width="13" bestFit="1" customWidth="1"/>
    <col min="36" max="36" width="20.85546875" bestFit="1" customWidth="1"/>
    <col min="37" max="37" width="20.140625" bestFit="1" customWidth="1"/>
    <col min="38" max="38" width="12.28515625" bestFit="1" customWidth="1"/>
    <col min="39" max="41" width="11.28515625" bestFit="1" customWidth="1"/>
    <col min="42" max="42" width="12.28515625" bestFit="1" customWidth="1"/>
    <col min="43" max="46" width="20.85546875" bestFit="1" customWidth="1"/>
    <col min="47" max="48" width="26" bestFit="1" customWidth="1"/>
  </cols>
  <sheetData>
    <row r="1" spans="1:29" ht="21" x14ac:dyDescent="0.35">
      <c r="A1" s="228" t="s">
        <v>848</v>
      </c>
      <c r="O1" s="228" t="s">
        <v>849</v>
      </c>
      <c r="AB1" s="228" t="s">
        <v>850</v>
      </c>
    </row>
    <row r="2" spans="1:29" ht="45" x14ac:dyDescent="0.25">
      <c r="A2" s="414" t="s">
        <v>33</v>
      </c>
      <c r="B2" s="414" t="s">
        <v>851</v>
      </c>
      <c r="C2" s="415" t="s">
        <v>1054</v>
      </c>
      <c r="D2" s="415" t="s">
        <v>16</v>
      </c>
      <c r="E2" s="415" t="s">
        <v>1055</v>
      </c>
      <c r="F2" s="416" t="s">
        <v>852</v>
      </c>
      <c r="G2" s="417" t="s">
        <v>853</v>
      </c>
      <c r="H2" s="417" t="s">
        <v>942</v>
      </c>
      <c r="I2" s="418" t="s">
        <v>874</v>
      </c>
      <c r="J2" s="420" t="s">
        <v>854</v>
      </c>
      <c r="K2" s="420" t="s">
        <v>855</v>
      </c>
      <c r="L2" s="420" t="s">
        <v>856</v>
      </c>
      <c r="M2" s="420" t="s">
        <v>857</v>
      </c>
      <c r="N2" s="180"/>
      <c r="O2" s="327" t="s">
        <v>6</v>
      </c>
      <c r="P2" s="328" t="s">
        <v>858</v>
      </c>
      <c r="Q2" s="329" t="s">
        <v>859</v>
      </c>
      <c r="R2" s="329" t="s">
        <v>860</v>
      </c>
      <c r="S2" s="329" t="s">
        <v>861</v>
      </c>
      <c r="T2" s="329" t="s">
        <v>862</v>
      </c>
      <c r="U2" s="328" t="s">
        <v>863</v>
      </c>
      <c r="V2" s="328" t="s">
        <v>864</v>
      </c>
      <c r="W2" s="328" t="s">
        <v>865</v>
      </c>
      <c r="X2" s="329" t="s">
        <v>866</v>
      </c>
      <c r="Y2" s="329" t="s">
        <v>867</v>
      </c>
      <c r="Z2" s="330" t="s">
        <v>868</v>
      </c>
      <c r="AB2" s="331" t="s">
        <v>861</v>
      </c>
      <c r="AC2" s="332">
        <f ca="1">SUMPRODUCT(S3:S7,P3:P7) / SUM(P3:P7)</f>
        <v>6.6666666666666666E-2</v>
      </c>
    </row>
    <row r="3" spans="1:29" x14ac:dyDescent="0.25">
      <c r="A3" s="333" t="s">
        <v>7</v>
      </c>
      <c r="B3" s="334">
        <v>45352</v>
      </c>
      <c r="C3" s="335">
        <f ca="1">SUMIFS(INDIRECT("tb_rec_uni["&amp;TEXT($B3,"aaaa-mm-dd")&amp;"]"),
  INDIRECT("tb_rec_uni[natureza]"),"repasse.cef.obra",
  INDIRECT("tb_rec_uni[empresa]"),$A3
)</f>
        <v>0</v>
      </c>
      <c r="D3" s="335">
        <f ca="1">SUMIFS(INDIRECT("tb_rec_uni["&amp;TEXT($B3,"aaaa-mm-dd")&amp;"]"),
  INDIRECT("tb_rec_uni[natureza]"),"pro.soluto",
  INDIRECT("tb_rec_uni[empresa]"),$A3
)</f>
        <v>0</v>
      </c>
      <c r="E3" s="501">
        <v>403051.79</v>
      </c>
      <c r="F3" s="335">
        <f ca="1">cef[[#This Row],[CEF (obra)]]+cef[[#This Row],[Pró soluto]]+cef[[#This Row],[PJ CEF]]</f>
        <v>403051.79</v>
      </c>
      <c r="G3" s="335">
        <f ca="1">SUMIFS(
  m.vb[valor],
  m.vb[empresa], $A3,
  m.vb[variavel], "Construção",
  m.vb[mes], $B3
)</f>
        <v>0</v>
      </c>
      <c r="H3" s="501"/>
      <c r="I3" s="335">
        <v>246916.08</v>
      </c>
      <c r="J3" s="335">
        <f ca="1">cef[[#This Row],[Entradas]]-cef[[#This Row],[Saídas]]</f>
        <v>156135.71</v>
      </c>
      <c r="K3" s="382">
        <v>448512.18000000005</v>
      </c>
      <c r="L3" s="337">
        <f ca="1">IFERROR(cef[[#This Row],[Entradas]]/cef[[#This Row],[Saídas]],"Sem saídas")</f>
        <v>1.6323432236572037</v>
      </c>
      <c r="M3" s="338">
        <v>2.8164559392000723</v>
      </c>
      <c r="O3" s="339" t="s">
        <v>7</v>
      </c>
      <c r="P3" s="340">
        <f>COUNTIF(cef[Empresa],O3)</f>
        <v>28</v>
      </c>
      <c r="Q3" s="340">
        <f ca="1">COUNTIFS(cef[Empresa],O3,cef[E-S],"&gt;=0")</f>
        <v>2</v>
      </c>
      <c r="R3" s="340">
        <f ca="1">COUNTIFS(cef[Empresa],O3,cef[E-S],"&lt;0")</f>
        <v>26</v>
      </c>
      <c r="S3" s="341">
        <f ca="1">Q3/P3</f>
        <v>7.1428571428571425E-2</v>
      </c>
      <c r="T3" s="341">
        <f ca="1">R3/P3</f>
        <v>0.9285714285714286</v>
      </c>
      <c r="U3" s="342">
        <f ca="1">AVERAGEIF(cef[Empresa],O3,cef[E/S])</f>
        <v>0.3765926686390792</v>
      </c>
      <c r="V3" s="342" cm="1">
        <f t="array" aca="1" ref="V3" ca="1">MEDIAN(_xlfn._xlws.FILTER(cef[E/S],cef[Empresa]=O3))</f>
        <v>0.21015218998062757</v>
      </c>
      <c r="W3" s="342" cm="1">
        <f t="array" aca="1" ref="W3" ca="1">_xlfn.STDEV.P(_xlfn._xlws.FILTER(cef[E/S],cef[Empresa]=O3))</f>
        <v>0.5971964517601045</v>
      </c>
      <c r="X3" s="343">
        <f ca="1">AVERAGEIF(cef[Empresa],O3,cef[E-S])</f>
        <v>-531515.07642857148</v>
      </c>
      <c r="Y3" s="343" cm="1">
        <f t="array" aca="1" ref="Y3" ca="1">MEDIAN(_xlfn._xlws.FILTER(cef[E-S],cef[Empresa]=O3))</f>
        <v>-553341.505</v>
      </c>
      <c r="Z3" s="344" cm="1">
        <f t="array" aca="1" ref="Z3" ca="1">_xlfn.STDEV.P(_xlfn._xlws.FILTER(cef[E-S],cef[Empresa]=O3))</f>
        <v>371432.49814994651</v>
      </c>
      <c r="AB3" s="345" t="s">
        <v>862</v>
      </c>
      <c r="AC3" s="346">
        <f ca="1">SUMPRODUCT(T3:T7,P3:P7) / SUM(P3:P7)</f>
        <v>0.93333333333333335</v>
      </c>
    </row>
    <row r="4" spans="1:29" x14ac:dyDescent="0.25">
      <c r="A4" s="347" t="s">
        <v>7</v>
      </c>
      <c r="B4" s="348">
        <v>45383</v>
      </c>
      <c r="C4" s="336">
        <f t="shared" ref="C4:C67" ca="1" si="0">SUMIFS(INDIRECT("tb_rec_uni["&amp;TEXT($B4,"aaaa-mm-dd")&amp;"]"),
  INDIRECT("tb_rec_uni[natureza]"),"repasse.cef.obra",
  INDIRECT("tb_rec_uni[empresa]"),$A4
)</f>
        <v>0</v>
      </c>
      <c r="D4" s="336">
        <f t="shared" ref="D4:D67" ca="1" si="1">SUMIFS(INDIRECT("tb_rec_uni["&amp;TEXT($B4,"aaaa-mm-dd")&amp;"]"),
  INDIRECT("tb_rec_uni[natureza]"),"pro.soluto",
  INDIRECT("tb_rec_uni[empresa]"),$A4
)</f>
        <v>0</v>
      </c>
      <c r="E4" s="501">
        <v>516683.36</v>
      </c>
      <c r="F4" s="336">
        <f ca="1">cef[[#This Row],[CEF (obra)]]+cef[[#This Row],[Pró soluto]]+cef[[#This Row],[PJ CEF]]</f>
        <v>516683.36</v>
      </c>
      <c r="G4" s="336">
        <f ca="1">SUMIFS(
  m.vb[valor],
  m.vb[empresa], $A4,
  m.vb[variavel], "Construção",
  m.vb[mes], $B4
)</f>
        <v>0</v>
      </c>
      <c r="H4" s="501"/>
      <c r="I4" s="336">
        <v>648795.71</v>
      </c>
      <c r="J4" s="336">
        <f ca="1">cef[[#This Row],[Entradas]]-cef[[#This Row],[Saídas]]</f>
        <v>-132112.34999999998</v>
      </c>
      <c r="K4" s="336">
        <f ca="1">AVERAGE(J$3:J4)</f>
        <v>12011.680000000008</v>
      </c>
      <c r="L4" s="349">
        <f ca="1">IFERROR(cef[[#This Row],[Entradas]]/cef[[#This Row],[Saídas]],"Sem saídas")</f>
        <v>0.796372959987667</v>
      </c>
      <c r="M4" s="338">
        <f ca="1">AVERAGE(L$3:L4)</f>
        <v>1.2143580918224353</v>
      </c>
      <c r="O4" s="350" t="s">
        <v>8</v>
      </c>
      <c r="P4" s="351">
        <f>COUNTIF(cef[Empresa],O4)</f>
        <v>40</v>
      </c>
      <c r="Q4" s="351">
        <f ca="1">COUNTIFS(cef[Empresa],O4,cef[E-S],"&gt;=0")</f>
        <v>1</v>
      </c>
      <c r="R4" s="351">
        <f ca="1">COUNTIFS(cef[Empresa],O4,cef[E-S],"&lt;0")</f>
        <v>39</v>
      </c>
      <c r="S4" s="352">
        <f t="shared" ref="S4:S7" ca="1" si="2">Q4/P4</f>
        <v>2.5000000000000001E-2</v>
      </c>
      <c r="T4" s="352">
        <f t="shared" ref="T4:T7" ca="1" si="3">R4/P4</f>
        <v>0.97499999999999998</v>
      </c>
      <c r="U4" s="353">
        <f ca="1">AVERAGEIF(cef[Empresa],O4,cef[E/S])</f>
        <v>0.10687542150580627</v>
      </c>
      <c r="V4" s="353" cm="1">
        <f t="array" aca="1" ref="V4" ca="1">MEDIAN(_xlfn._xlws.FILTER(cef[E/S],cef[Empresa]=O4))</f>
        <v>0</v>
      </c>
      <c r="W4" s="353" cm="1">
        <f t="array" aca="1" ref="W4" ca="1">_xlfn.STDEV.P(_xlfn._xlws.FILTER(cef[E/S],cef[Empresa]=O4))</f>
        <v>0.26399960507299086</v>
      </c>
      <c r="X4" s="354">
        <f ca="1">AVERAGEIF(cef[Empresa],O4,cef[E-S])</f>
        <v>-524939.89749999996</v>
      </c>
      <c r="Y4" s="354" cm="1">
        <f t="array" aca="1" ref="Y4" ca="1">MEDIAN(_xlfn._xlws.FILTER(cef[E-S],cef[Empresa]=O4))</f>
        <v>-412085.93</v>
      </c>
      <c r="Z4" s="355" cm="1">
        <f t="array" aca="1" ref="Z4" ca="1">_xlfn.STDEV.P(_xlfn._xlws.FILTER(cef[E-S],cef[Empresa]=O4))</f>
        <v>453916.18945303402</v>
      </c>
      <c r="AB4" s="356" t="s">
        <v>863</v>
      </c>
      <c r="AC4" s="346">
        <f ca="1">SUMPRODUCT(U3:U7,P3:P7) / SUM(P3:P7)</f>
        <v>0.45978790806414566</v>
      </c>
    </row>
    <row r="5" spans="1:29" x14ac:dyDescent="0.25">
      <c r="A5" s="347" t="s">
        <v>7</v>
      </c>
      <c r="B5" s="348">
        <v>45413</v>
      </c>
      <c r="C5" s="336">
        <f t="shared" ca="1" si="0"/>
        <v>0</v>
      </c>
      <c r="D5" s="336">
        <f t="shared" ca="1" si="1"/>
        <v>0</v>
      </c>
      <c r="E5" s="501">
        <v>0</v>
      </c>
      <c r="F5" s="336">
        <f ca="1">cef[[#This Row],[CEF (obra)]]+cef[[#This Row],[Pró soluto]]+cef[[#This Row],[PJ CEF]]</f>
        <v>0</v>
      </c>
      <c r="G5" s="336">
        <f ca="1">SUMIFS(
  m.vb[valor],
  m.vb[empresa], $A5,
  m.vb[variavel], "Construção",
  m.vb[mes], $B5
)</f>
        <v>0</v>
      </c>
      <c r="H5" s="501"/>
      <c r="I5" s="336">
        <v>1051048.99</v>
      </c>
      <c r="J5" s="336">
        <f ca="1">cef[[#This Row],[Entradas]]-cef[[#This Row],[Saídas]]</f>
        <v>-1051048.99</v>
      </c>
      <c r="K5" s="336">
        <f ca="1">AVERAGE(J$3:J5)</f>
        <v>-342341.87666666665</v>
      </c>
      <c r="L5" s="349">
        <f ca="1">IFERROR(cef[[#This Row],[Entradas]]/cef[[#This Row],[Saídas]],"Sem saídas")</f>
        <v>0</v>
      </c>
      <c r="M5" s="338">
        <f ca="1">AVERAGE(L$3:L5)</f>
        <v>0.80957206121495684</v>
      </c>
      <c r="O5" s="350" t="s">
        <v>9</v>
      </c>
      <c r="P5" s="351">
        <f>COUNTIF(cef[Empresa],O5)</f>
        <v>12</v>
      </c>
      <c r="Q5" s="351">
        <f ca="1">COUNTIFS(cef[Empresa],O5,cef[E-S],"&gt;=0")</f>
        <v>0</v>
      </c>
      <c r="R5" s="351">
        <f ca="1">COUNTIFS(cef[Empresa],O5,cef[E-S],"&lt;0")</f>
        <v>12</v>
      </c>
      <c r="S5" s="352">
        <f t="shared" ca="1" si="2"/>
        <v>0</v>
      </c>
      <c r="T5" s="352">
        <f t="shared" ca="1" si="3"/>
        <v>1</v>
      </c>
      <c r="U5" s="353">
        <f ca="1">AVERAGEIF(cef[Empresa],O5,cef[E/S])</f>
        <v>0.29229528354479001</v>
      </c>
      <c r="V5" s="353" cm="1">
        <f t="array" aca="1" ref="V5" ca="1">MEDIAN(_xlfn._xlws.FILTER(cef[E/S],cef[Empresa]=O5))</f>
        <v>0.2901822793357125</v>
      </c>
      <c r="W5" s="353" cm="1">
        <f t="array" aca="1" ref="W5" ca="1">_xlfn.STDEV.P(_xlfn._xlws.FILTER(cef[E/S],cef[Empresa]=O5))</f>
        <v>0.26132949672520139</v>
      </c>
      <c r="X5" s="354">
        <f ca="1">AVERAGEIF(cef[Empresa],O5,cef[E-S])</f>
        <v>-871443.05500000005</v>
      </c>
      <c r="Y5" s="354" cm="1">
        <f t="array" aca="1" ref="Y5" ca="1">MEDIAN(_xlfn._xlws.FILTER(cef[E-S],cef[Empresa]=O5))</f>
        <v>-780286.24500000011</v>
      </c>
      <c r="Z5" s="355" cm="1">
        <f t="array" aca="1" ref="Z5" ca="1">_xlfn.STDEV.P(_xlfn._xlws.FILTER(cef[E-S],cef[Empresa]=O5))</f>
        <v>477219.3957634588</v>
      </c>
      <c r="AB5" s="356" t="s">
        <v>864</v>
      </c>
      <c r="AC5" s="346">
        <f ca="1">SUMPRODUCT(V3:V7,P3:P7) / SUM(P3:P7)</f>
        <v>0.20441843957765013</v>
      </c>
    </row>
    <row r="6" spans="1:29" x14ac:dyDescent="0.25">
      <c r="A6" s="347" t="s">
        <v>7</v>
      </c>
      <c r="B6" s="348">
        <v>45444</v>
      </c>
      <c r="C6" s="336">
        <f t="shared" ca="1" si="0"/>
        <v>0</v>
      </c>
      <c r="D6" s="336">
        <f t="shared" ca="1" si="1"/>
        <v>0</v>
      </c>
      <c r="E6" s="501">
        <v>0</v>
      </c>
      <c r="F6" s="336">
        <f ca="1">cef[[#This Row],[CEF (obra)]]+cef[[#This Row],[Pró soluto]]+cef[[#This Row],[PJ CEF]]</f>
        <v>0</v>
      </c>
      <c r="G6" s="336">
        <f ca="1">SUMIFS(
  m.vb[valor],
  m.vb[empresa], $A6,
  m.vb[variavel], "Construção",
  m.vb[mes], $B6
)</f>
        <v>0</v>
      </c>
      <c r="H6" s="501"/>
      <c r="I6" s="336">
        <v>617838.25</v>
      </c>
      <c r="J6" s="336">
        <f ca="1">cef[[#This Row],[Entradas]]-cef[[#This Row],[Saídas]]</f>
        <v>-617838.25</v>
      </c>
      <c r="K6" s="336">
        <f ca="1">AVERAGE(J$3:J6)</f>
        <v>-411215.97</v>
      </c>
      <c r="L6" s="349">
        <f ca="1">IFERROR(cef[[#This Row],[Entradas]]/cef[[#This Row],[Saídas]],"Sem saídas")</f>
        <v>0</v>
      </c>
      <c r="M6" s="338">
        <f ca="1">AVERAGE(L$3:L6)</f>
        <v>0.60717904591121763</v>
      </c>
      <c r="O6" s="350" t="s">
        <v>10</v>
      </c>
      <c r="P6" s="351">
        <f>COUNTIF(cef[Empresa],O6)</f>
        <v>6</v>
      </c>
      <c r="Q6" s="351">
        <f ca="1">COUNTIFS(cef[Empresa],O6,cef[E-S],"&gt;=0")</f>
        <v>3</v>
      </c>
      <c r="R6" s="351">
        <f ca="1">COUNTIFS(cef[Empresa],O6,cef[E-S],"&lt;0")</f>
        <v>3</v>
      </c>
      <c r="S6" s="352">
        <f t="shared" ca="1" si="2"/>
        <v>0.5</v>
      </c>
      <c r="T6" s="352">
        <f t="shared" ca="1" si="3"/>
        <v>0.5</v>
      </c>
      <c r="U6" s="353">
        <f ca="1">AVERAGEIF(cef[Empresa],O6,cef[E/S])</f>
        <v>3.2160230252741724</v>
      </c>
      <c r="V6" s="353" cm="1">
        <f t="array" aca="1" ref="V6" ca="1">MEDIAN(_xlfn._xlws.FILTER(cef[E/S],cef[Empresa]=O6))</f>
        <v>1.3507550105495731</v>
      </c>
      <c r="W6" s="353" cm="1">
        <f t="array" aca="1" ref="W6" ca="1">_xlfn.STDEV.P(_xlfn._xlws.FILTER(cef[E/S],cef[Empresa]=O6))</f>
        <v>3.8794234317593861</v>
      </c>
      <c r="X6" s="354">
        <f ca="1">AVERAGEIF(cef[Empresa],O6,cef[E-S])</f>
        <v>75454.314999999959</v>
      </c>
      <c r="Y6" s="354" cm="1">
        <f t="array" aca="1" ref="Y6" ca="1">MEDIAN(_xlfn._xlws.FILTER(cef[E-S],cef[Empresa]=O6))</f>
        <v>-51520.835000000021</v>
      </c>
      <c r="Z6" s="355" cm="1">
        <f t="array" aca="1" ref="Z6" ca="1">_xlfn.STDEV.P(_xlfn._xlws.FILTER(cef[E-S],cef[Empresa]=O6))</f>
        <v>496847.65648157877</v>
      </c>
      <c r="AB6" s="356" t="s">
        <v>865</v>
      </c>
      <c r="AC6" s="346">
        <f ca="1">SUMPRODUCT(W3:W7,P3:P7) / SUM(P3:P7)</f>
        <v>0.80488582263185982</v>
      </c>
    </row>
    <row r="7" spans="1:29" x14ac:dyDescent="0.25">
      <c r="A7" s="347" t="s">
        <v>7</v>
      </c>
      <c r="B7" s="348">
        <v>45474</v>
      </c>
      <c r="C7" s="336">
        <f t="shared" ca="1" si="0"/>
        <v>0</v>
      </c>
      <c r="D7" s="336">
        <f t="shared" ca="1" si="1"/>
        <v>0</v>
      </c>
      <c r="E7" s="501">
        <v>0</v>
      </c>
      <c r="F7" s="336">
        <f ca="1">cef[[#This Row],[CEF (obra)]]+cef[[#This Row],[Pró soluto]]+cef[[#This Row],[PJ CEF]]</f>
        <v>0</v>
      </c>
      <c r="G7" s="336">
        <f ca="1">SUMIFS(
  m.vb[valor],
  m.vb[empresa], $A7,
  m.vb[variavel], "Construção",
  m.vb[mes], $B7
)</f>
        <v>0</v>
      </c>
      <c r="H7" s="501"/>
      <c r="I7" s="336">
        <v>764514.72</v>
      </c>
      <c r="J7" s="336">
        <f ca="1">cef[[#This Row],[Entradas]]-cef[[#This Row],[Saídas]]</f>
        <v>-764514.72</v>
      </c>
      <c r="K7" s="336">
        <f ca="1">AVERAGE(J$3:J7)</f>
        <v>-481875.71999999991</v>
      </c>
      <c r="L7" s="349">
        <f ca="1">IFERROR(cef[[#This Row],[Entradas]]/cef[[#This Row],[Saídas]],"Sem saídas")</f>
        <v>0</v>
      </c>
      <c r="M7" s="338">
        <f ca="1">AVERAGE(L$3:L7)</f>
        <v>0.48574323672897413</v>
      </c>
      <c r="O7" s="357" t="s">
        <v>12</v>
      </c>
      <c r="P7" s="358">
        <f>COUNTIF(cef[Empresa],O7)</f>
        <v>19</v>
      </c>
      <c r="Q7" s="358">
        <f ca="1">COUNTIFS(cef[Empresa],O7,cef[E-S],"&gt;=0")</f>
        <v>1</v>
      </c>
      <c r="R7" s="358">
        <f ca="1">COUNTIFS(cef[Empresa],O7,cef[E-S],"&lt;0")</f>
        <v>18</v>
      </c>
      <c r="S7" s="359">
        <f t="shared" ca="1" si="2"/>
        <v>5.2631578947368418E-2</v>
      </c>
      <c r="T7" s="359">
        <f t="shared" ca="1" si="3"/>
        <v>0.94736842105263153</v>
      </c>
      <c r="U7" s="360">
        <f ca="1">AVERAGEIF(cef[Empresa],O7,cef[E/S])</f>
        <v>0.56075985318033184</v>
      </c>
      <c r="V7" s="360" cm="1">
        <f t="array" aca="1" ref="V7" ca="1">MEDIAN(_xlfn._xlws.FILTER(cef[E/S],cef[Empresa]=O7))</f>
        <v>0.21015565372998432</v>
      </c>
      <c r="W7" s="360" cm="1">
        <f t="array" aca="1" ref="W7" ca="1">_xlfn.STDEV.P(_xlfn._xlws.FILTER(cef[E/S],cef[Empresa]=O7))</f>
        <v>1.6220543143623147</v>
      </c>
      <c r="X7" s="361">
        <f ca="1">AVERAGEIF(cef[Empresa],O7,cef[E-S])</f>
        <v>-838073.31947368418</v>
      </c>
      <c r="Y7" s="361" cm="1">
        <f t="array" aca="1" ref="Y7" ca="1">MEDIAN(_xlfn._xlws.FILTER(cef[E-S],cef[Empresa]=O7))</f>
        <v>-1021948.8800000001</v>
      </c>
      <c r="Z7" s="362" cm="1">
        <f t="array" aca="1" ref="Z7" ca="1">_xlfn.STDEV.P(_xlfn._xlws.FILTER(cef[E-S],cef[Empresa]=O7))</f>
        <v>530099.49908660701</v>
      </c>
      <c r="AB7" s="345" t="s">
        <v>869</v>
      </c>
      <c r="AC7" s="355">
        <f ca="1">SUMPRODUCT(X3:X7,P3:P7) / SUM(P3:P7)</f>
        <v>-588647.636952381</v>
      </c>
    </row>
    <row r="8" spans="1:29" x14ac:dyDescent="0.25">
      <c r="A8" s="347" t="s">
        <v>7</v>
      </c>
      <c r="B8" s="348">
        <v>45505</v>
      </c>
      <c r="C8" s="336">
        <f t="shared" ca="1" si="0"/>
        <v>0</v>
      </c>
      <c r="D8" s="336">
        <f t="shared" ca="1" si="1"/>
        <v>0</v>
      </c>
      <c r="E8" s="501">
        <v>0</v>
      </c>
      <c r="F8" s="336">
        <f ca="1">cef[[#This Row],[CEF (obra)]]+cef[[#This Row],[Pró soluto]]+cef[[#This Row],[PJ CEF]]</f>
        <v>0</v>
      </c>
      <c r="G8" s="336">
        <f ca="1">SUMIFS(
  m.vb[valor],
  m.vb[empresa], $A8,
  m.vb[variavel], "Construção",
  m.vb[mes], $B8
)</f>
        <v>0</v>
      </c>
      <c r="H8" s="501"/>
      <c r="I8" s="336">
        <v>713172.59</v>
      </c>
      <c r="J8" s="336">
        <f ca="1">cef[[#This Row],[Entradas]]-cef[[#This Row],[Saídas]]</f>
        <v>-713172.59</v>
      </c>
      <c r="K8" s="336">
        <f ca="1">AVERAGE(J$3:J8)</f>
        <v>-520425.19833333325</v>
      </c>
      <c r="L8" s="349">
        <f ca="1">IFERROR(cef[[#This Row],[Entradas]]/cef[[#This Row],[Saídas]],"Sem saídas")</f>
        <v>0</v>
      </c>
      <c r="M8" s="338">
        <f ca="1">AVERAGE(L$3:L8)</f>
        <v>0.40478603060747842</v>
      </c>
      <c r="AB8" s="345" t="s">
        <v>870</v>
      </c>
      <c r="AC8" s="355">
        <f ca="1">SUMPRODUCT(Y3:Y7,P3:P7) / SUM(P3:P7)</f>
        <v>-581586.5524761905</v>
      </c>
    </row>
    <row r="9" spans="1:29" x14ac:dyDescent="0.25">
      <c r="A9" s="347" t="s">
        <v>7</v>
      </c>
      <c r="B9" s="348">
        <v>45536</v>
      </c>
      <c r="C9" s="336">
        <f t="shared" ca="1" si="0"/>
        <v>0</v>
      </c>
      <c r="D9" s="336">
        <f t="shared" ca="1" si="1"/>
        <v>0</v>
      </c>
      <c r="E9" s="501">
        <v>198297.96</v>
      </c>
      <c r="F9" s="336">
        <f ca="1">cef[[#This Row],[CEF (obra)]]+cef[[#This Row],[Pró soluto]]+cef[[#This Row],[PJ CEF]]</f>
        <v>198297.96</v>
      </c>
      <c r="G9" s="336">
        <f ca="1">SUMIFS(
  m.vb[valor],
  m.vb[empresa], $A9,
  m.vb[variavel], "Construção",
  m.vb[mes], $B9
)</f>
        <v>0</v>
      </c>
      <c r="H9" s="501"/>
      <c r="I9" s="336">
        <v>952103.93</v>
      </c>
      <c r="J9" s="336">
        <f ca="1">cef[[#This Row],[Entradas]]-cef[[#This Row],[Saídas]]</f>
        <v>-753805.97000000009</v>
      </c>
      <c r="K9" s="336">
        <f ca="1">AVERAGE(J$3:J9)</f>
        <v>-553765.30857142853</v>
      </c>
      <c r="L9" s="349">
        <f ca="1">IFERROR(cef[[#This Row],[Entradas]]/cef[[#This Row],[Saídas]],"Sem saídas")</f>
        <v>0.20827343922422417</v>
      </c>
      <c r="M9" s="338">
        <f ca="1">AVERAGE(L$3:L9)</f>
        <v>0.37671280326701356</v>
      </c>
      <c r="AB9" s="363" t="s">
        <v>868</v>
      </c>
      <c r="AC9" s="362">
        <f ca="1">SUMPRODUCT(Z3:Z7,P3:P7) / SUM(P3:P7)</f>
        <v>450822.53997158451</v>
      </c>
    </row>
    <row r="10" spans="1:29" x14ac:dyDescent="0.25">
      <c r="A10" s="347" t="s">
        <v>7</v>
      </c>
      <c r="B10" s="348">
        <v>45566</v>
      </c>
      <c r="C10" s="336">
        <f t="shared" ca="1" si="0"/>
        <v>0</v>
      </c>
      <c r="D10" s="336">
        <f t="shared" ca="1" si="1"/>
        <v>0</v>
      </c>
      <c r="E10" s="501">
        <v>473587.72</v>
      </c>
      <c r="F10" s="336">
        <f ca="1">cef[[#This Row],[CEF (obra)]]+cef[[#This Row],[Pró soluto]]+cef[[#This Row],[PJ CEF]]</f>
        <v>473587.72</v>
      </c>
      <c r="G10" s="336">
        <f ca="1">SUMIFS(
  m.vb[valor],
  m.vb[empresa], $A10,
  m.vb[variavel], "Construção",
  m.vb[mes], $B10
)</f>
        <v>0</v>
      </c>
      <c r="H10" s="501"/>
      <c r="I10" s="336">
        <v>1098533.51</v>
      </c>
      <c r="J10" s="336">
        <f ca="1">cef[[#This Row],[Entradas]]-cef[[#This Row],[Saídas]]</f>
        <v>-624945.79</v>
      </c>
      <c r="K10" s="336">
        <f ca="1">AVERAGE(J$3:J10)</f>
        <v>-562662.86874999991</v>
      </c>
      <c r="L10" s="349">
        <f ca="1">IFERROR(cef[[#This Row],[Entradas]]/cef[[#This Row],[Saídas]],"Sem saídas")</f>
        <v>0.43110903371532105</v>
      </c>
      <c r="M10" s="338">
        <f ca="1">AVERAGE(L$3:L10)</f>
        <v>0.38351233207305196</v>
      </c>
    </row>
    <row r="11" spans="1:29" x14ac:dyDescent="0.25">
      <c r="A11" s="347" t="s">
        <v>7</v>
      </c>
      <c r="B11" s="348">
        <v>45597</v>
      </c>
      <c r="C11" s="336">
        <f t="shared" ca="1" si="0"/>
        <v>0</v>
      </c>
      <c r="D11" s="336">
        <f t="shared" ca="1" si="1"/>
        <v>0</v>
      </c>
      <c r="E11" s="501">
        <v>0</v>
      </c>
      <c r="F11" s="336">
        <f ca="1">cef[[#This Row],[CEF (obra)]]+cef[[#This Row],[Pró soluto]]+cef[[#This Row],[PJ CEF]]</f>
        <v>0</v>
      </c>
      <c r="G11" s="336">
        <f ca="1">SUMIFS(
  m.vb[valor],
  m.vb[empresa], $A11,
  m.vb[variavel], "Construção",
  m.vb[mes], $B11
)</f>
        <v>0</v>
      </c>
      <c r="H11" s="501"/>
      <c r="I11" s="336">
        <v>1324024.72</v>
      </c>
      <c r="J11" s="336">
        <f ca="1">cef[[#This Row],[Entradas]]-cef[[#This Row],[Saídas]]</f>
        <v>-1324024.72</v>
      </c>
      <c r="K11" s="336">
        <f ca="1">AVERAGE(J$3:J11)</f>
        <v>-647258.62999999989</v>
      </c>
      <c r="L11" s="349">
        <f ca="1">IFERROR(cef[[#This Row],[Entradas]]/cef[[#This Row],[Saídas]],"Sem saídas")</f>
        <v>0</v>
      </c>
      <c r="M11" s="338">
        <f ca="1">AVERAGE(L$3:L11)</f>
        <v>0.34089985073160173</v>
      </c>
    </row>
    <row r="12" spans="1:29" x14ac:dyDescent="0.25">
      <c r="A12" s="347" t="s">
        <v>7</v>
      </c>
      <c r="B12" s="348">
        <v>45627</v>
      </c>
      <c r="C12" s="336">
        <f t="shared" ca="1" si="0"/>
        <v>0</v>
      </c>
      <c r="D12" s="336">
        <f t="shared" ca="1" si="1"/>
        <v>0</v>
      </c>
      <c r="E12" s="501">
        <v>293595.69</v>
      </c>
      <c r="F12" s="336">
        <f ca="1">cef[[#This Row],[CEF (obra)]]+cef[[#This Row],[Pró soluto]]+cef[[#This Row],[PJ CEF]]</f>
        <v>293595.69</v>
      </c>
      <c r="G12" s="336">
        <f ca="1">SUMIFS(
  m.vb[valor],
  m.vb[empresa], $A12,
  m.vb[variavel], "Construção",
  m.vb[mes], $B12
)</f>
        <v>0</v>
      </c>
      <c r="H12" s="501"/>
      <c r="I12" s="336">
        <v>1384683.24</v>
      </c>
      <c r="J12" s="336">
        <f ca="1">cef[[#This Row],[Entradas]]-cef[[#This Row],[Saídas]]</f>
        <v>-1091087.55</v>
      </c>
      <c r="K12" s="336">
        <f ca="1">AVERAGE(J$3:J12)</f>
        <v>-691641.52199999988</v>
      </c>
      <c r="L12" s="349">
        <f ca="1">IFERROR(cef[[#This Row],[Entradas]]/cef[[#This Row],[Saídas]],"Sem saídas")</f>
        <v>0.21203094073703094</v>
      </c>
      <c r="M12" s="338">
        <f ca="1">AVERAGE(L$3:L12)</f>
        <v>0.32801295973214467</v>
      </c>
    </row>
    <row r="13" spans="1:29" x14ac:dyDescent="0.25">
      <c r="A13" s="347" t="s">
        <v>7</v>
      </c>
      <c r="B13" s="348">
        <v>45658</v>
      </c>
      <c r="C13" s="336">
        <f t="shared" ca="1" si="0"/>
        <v>0</v>
      </c>
      <c r="D13" s="336">
        <f t="shared" ca="1" si="1"/>
        <v>0</v>
      </c>
      <c r="E13" s="501">
        <v>489068.85</v>
      </c>
      <c r="F13" s="336">
        <f ca="1">cef[[#This Row],[CEF (obra)]]+cef[[#This Row],[Pró soluto]]+cef[[#This Row],[PJ CEF]]</f>
        <v>489068.85</v>
      </c>
      <c r="G13" s="336">
        <f ca="1">SUMIFS(
  m.vb[valor],
  m.vb[empresa], $A13,
  m.vb[variavel], "Construção",
  m.vb[mes], $B13
)</f>
        <v>0</v>
      </c>
      <c r="H13" s="501"/>
      <c r="I13" s="336">
        <v>628187.96</v>
      </c>
      <c r="J13" s="336">
        <f ca="1">cef[[#This Row],[Entradas]]-cef[[#This Row],[Saídas]]</f>
        <v>-139119.10999999999</v>
      </c>
      <c r="K13" s="336">
        <f ca="1">AVERAGE(J$3:J13)</f>
        <v>-641412.21181818179</v>
      </c>
      <c r="L13" s="349">
        <f ca="1">IFERROR(cef[[#This Row],[Entradas]]/cef[[#This Row],[Saídas]],"Sem saídas")</f>
        <v>0.7785390379019681</v>
      </c>
      <c r="M13" s="338">
        <f ca="1">AVERAGE(L$3:L13)</f>
        <v>0.36896987592940128</v>
      </c>
    </row>
    <row r="14" spans="1:29" x14ac:dyDescent="0.25">
      <c r="A14" s="347" t="s">
        <v>7</v>
      </c>
      <c r="B14" s="348">
        <v>45689</v>
      </c>
      <c r="C14" s="336">
        <f t="shared" ca="1" si="0"/>
        <v>0</v>
      </c>
      <c r="D14" s="336">
        <f t="shared" ca="1" si="1"/>
        <v>0</v>
      </c>
      <c r="E14" s="501">
        <v>0</v>
      </c>
      <c r="F14" s="336">
        <f ca="1">cef[[#This Row],[CEF (obra)]]+cef[[#This Row],[Pró soluto]]+cef[[#This Row],[PJ CEF]]</f>
        <v>0</v>
      </c>
      <c r="G14" s="336">
        <f ca="1">SUMIFS(
  m.vb[valor],
  m.vb[empresa], $A14,
  m.vb[variavel], "Construção",
  m.vb[mes], $B14
)</f>
        <v>0</v>
      </c>
      <c r="H14" s="501"/>
      <c r="I14" s="336">
        <v>1088537.93</v>
      </c>
      <c r="J14" s="336">
        <f ca="1">cef[[#This Row],[Entradas]]-cef[[#This Row],[Saídas]]</f>
        <v>-1088537.93</v>
      </c>
      <c r="K14" s="336">
        <f ca="1">AVERAGE(J$3:J14)</f>
        <v>-678672.68833333324</v>
      </c>
      <c r="L14" s="349">
        <f ca="1">IFERROR(cef[[#This Row],[Entradas]]/cef[[#This Row],[Saídas]],"Sem saídas")</f>
        <v>0</v>
      </c>
      <c r="M14" s="338">
        <f ca="1">AVERAGE(L$3:L14)</f>
        <v>0.33822238626861784</v>
      </c>
    </row>
    <row r="15" spans="1:29" x14ac:dyDescent="0.25">
      <c r="A15" s="347" t="s">
        <v>7</v>
      </c>
      <c r="B15" s="348">
        <v>45717</v>
      </c>
      <c r="C15" s="336">
        <f t="shared" ca="1" si="0"/>
        <v>0</v>
      </c>
      <c r="D15" s="336">
        <f t="shared" ca="1" si="1"/>
        <v>0</v>
      </c>
      <c r="E15" s="501">
        <v>385006.39</v>
      </c>
      <c r="F15" s="336">
        <f ca="1">cef[[#This Row],[CEF (obra)]]+cef[[#This Row],[Pró soluto]]+cef[[#This Row],[PJ CEF]]</f>
        <v>385006.39</v>
      </c>
      <c r="G15" s="336">
        <f ca="1">SUMIFS(
  m.vb[valor],
  m.vb[empresa], $A15,
  m.vb[variavel], "Construção",
  m.vb[mes], $B15
)</f>
        <v>0</v>
      </c>
      <c r="H15" s="501"/>
      <c r="I15" s="336">
        <v>652209.87</v>
      </c>
      <c r="J15" s="336">
        <f ca="1">cef[[#This Row],[Entradas]]-cef[[#This Row],[Saídas]]</f>
        <v>-267203.48</v>
      </c>
      <c r="K15" s="336">
        <f ca="1">AVERAGE(J$3:J15)</f>
        <v>-647021.21076923062</v>
      </c>
      <c r="L15" s="349">
        <f ca="1">IFERROR(cef[[#This Row],[Entradas]]/cef[[#This Row],[Saídas]],"Sem saídas")</f>
        <v>0.59031058514953172</v>
      </c>
      <c r="M15" s="338">
        <f ca="1">AVERAGE(L$3:L15)</f>
        <v>0.35761378618253431</v>
      </c>
    </row>
    <row r="16" spans="1:29" x14ac:dyDescent="0.25">
      <c r="A16" s="347" t="s">
        <v>7</v>
      </c>
      <c r="B16" s="348">
        <v>45748</v>
      </c>
      <c r="C16" s="336">
        <f t="shared" ca="1" si="0"/>
        <v>0</v>
      </c>
      <c r="D16" s="336">
        <f t="shared" ca="1" si="1"/>
        <v>0</v>
      </c>
      <c r="E16" s="501">
        <v>223853.73</v>
      </c>
      <c r="F16" s="336">
        <f ca="1">cef[[#This Row],[CEF (obra)]]+cef[[#This Row],[Pró soluto]]+cef[[#This Row],[PJ CEF]]</f>
        <v>223853.73</v>
      </c>
      <c r="G16" s="336">
        <f ca="1">SUMIFS(
  m.vb[valor],
  m.vb[empresa], $A16,
  m.vb[variavel], "Construção",
  m.vb[mes], $B16
)</f>
        <v>0</v>
      </c>
      <c r="H16" s="501"/>
      <c r="I16" s="336">
        <v>694596.84</v>
      </c>
      <c r="J16" s="336">
        <f ca="1">cef[[#This Row],[Entradas]]-cef[[#This Row],[Saídas]]</f>
        <v>-470743.11</v>
      </c>
      <c r="K16" s="336">
        <f ca="1">AVERAGE(J$3:J16)</f>
        <v>-634429.91785714275</v>
      </c>
      <c r="L16" s="349">
        <f ca="1">IFERROR(cef[[#This Row],[Entradas]]/cef[[#This Row],[Saídas]],"Sem saídas")</f>
        <v>0.32227864727976596</v>
      </c>
      <c r="M16" s="338">
        <f ca="1">AVERAGE(L$3:L16)</f>
        <v>0.35508984768947943</v>
      </c>
    </row>
    <row r="17" spans="1:13" x14ac:dyDescent="0.25">
      <c r="A17" s="347" t="s">
        <v>7</v>
      </c>
      <c r="B17" s="348">
        <v>45778</v>
      </c>
      <c r="C17" s="336">
        <f t="shared" ca="1" si="0"/>
        <v>0</v>
      </c>
      <c r="D17" s="336">
        <f t="shared" ca="1" si="1"/>
        <v>0</v>
      </c>
      <c r="E17" s="501">
        <v>134752.4</v>
      </c>
      <c r="F17" s="336">
        <f ca="1">cef[[#This Row],[CEF (obra)]]+cef[[#This Row],[Pró soluto]]+cef[[#This Row],[PJ CEF]]</f>
        <v>134752.4</v>
      </c>
      <c r="G17" s="336">
        <f ca="1">SUMIFS(
  m.vb[valor],
  m.vb[empresa], $A17,
  m.vb[variavel], "Construção",
  m.vb[mes], $B17
)</f>
        <v>0</v>
      </c>
      <c r="H17" s="501"/>
      <c r="I17" s="336">
        <v>761779.42</v>
      </c>
      <c r="J17" s="336">
        <f ca="1">cef[[#This Row],[Entradas]]-cef[[#This Row],[Saídas]]</f>
        <v>-627027.02</v>
      </c>
      <c r="K17" s="336">
        <f ca="1">AVERAGE(J$3:J17)</f>
        <v>-633936.3913333331</v>
      </c>
      <c r="L17" s="349">
        <f ca="1">IFERROR(cef[[#This Row],[Entradas]]/cef[[#This Row],[Saídas]],"Sem saídas")</f>
        <v>0.17689162566245226</v>
      </c>
      <c r="M17" s="338">
        <f ca="1">AVERAGE(L$3:L17)</f>
        <v>0.34320996622101091</v>
      </c>
    </row>
    <row r="18" spans="1:13" x14ac:dyDescent="0.25">
      <c r="A18" s="347" t="s">
        <v>7</v>
      </c>
      <c r="B18" s="348">
        <v>45809</v>
      </c>
      <c r="C18" s="336">
        <f t="shared" ca="1" si="0"/>
        <v>0</v>
      </c>
      <c r="D18" s="336">
        <f t="shared" ca="1" si="1"/>
        <v>0</v>
      </c>
      <c r="E18" s="501">
        <v>289304.8</v>
      </c>
      <c r="F18" s="336">
        <f ca="1">cef[[#This Row],[CEF (obra)]]+cef[[#This Row],[Pró soluto]]+cef[[#This Row],[PJ CEF]]</f>
        <v>289304.8</v>
      </c>
      <c r="G18" s="336">
        <f ca="1">SUMIFS(
  m.vb[valor],
  m.vb[empresa], $A18,
  m.vb[variavel], "Construção",
  m.vb[mes], $B18
)</f>
        <v>0</v>
      </c>
      <c r="H18" s="501"/>
      <c r="I18" s="336">
        <v>589735.02</v>
      </c>
      <c r="J18" s="336">
        <f ca="1">cef[[#This Row],[Entradas]]-cef[[#This Row],[Saídas]]</f>
        <v>-300430.22000000003</v>
      </c>
      <c r="K18" s="336">
        <f ca="1">AVERAGE(J$3:J18)</f>
        <v>-613092.25562499987</v>
      </c>
      <c r="L18" s="349">
        <f ca="1">IFERROR(cef[[#This Row],[Entradas]]/cef[[#This Row],[Saídas]],"Sem saídas")</f>
        <v>0.49056744162827565</v>
      </c>
      <c r="M18" s="338">
        <f ca="1">AVERAGE(L$3:L18)</f>
        <v>0.35241980843396498</v>
      </c>
    </row>
    <row r="19" spans="1:13" x14ac:dyDescent="0.25">
      <c r="A19" s="347" t="s">
        <v>7</v>
      </c>
      <c r="B19" s="348">
        <v>45839</v>
      </c>
      <c r="C19" s="336">
        <f t="shared" ca="1" si="0"/>
        <v>0</v>
      </c>
      <c r="D19" s="336">
        <f t="shared" ca="1" si="1"/>
        <v>0</v>
      </c>
      <c r="E19" s="501">
        <v>171602.91</v>
      </c>
      <c r="F19" s="336">
        <f ca="1">cef[[#This Row],[CEF (obra)]]+cef[[#This Row],[Pró soluto]]+cef[[#This Row],[PJ CEF]]</f>
        <v>171602.91</v>
      </c>
      <c r="G19" s="336">
        <f ca="1">SUMIFS(
  m.vb[valor],
  m.vb[empresa], $A19,
  m.vb[variavel], "Construção",
  m.vb[mes], $B19
)</f>
        <v>0</v>
      </c>
      <c r="H19" s="501"/>
      <c r="I19" s="336">
        <v>1128801.3799999999</v>
      </c>
      <c r="J19" s="336">
        <f ca="1">cef[[#This Row],[Entradas]]-cef[[#This Row],[Saídas]]</f>
        <v>-957198.46999999986</v>
      </c>
      <c r="K19" s="336">
        <f ca="1">AVERAGE(J$3:J19)</f>
        <v>-633333.79764705873</v>
      </c>
      <c r="L19" s="349">
        <f ca="1">IFERROR(cef[[#This Row],[Entradas]]/cef[[#This Row],[Saídas]],"Sem saídas")</f>
        <v>0.15202223618826549</v>
      </c>
      <c r="M19" s="338">
        <f ca="1">AVERAGE(L$3:L19)</f>
        <v>0.34063171594892383</v>
      </c>
    </row>
    <row r="20" spans="1:13" x14ac:dyDescent="0.25">
      <c r="A20" s="347" t="s">
        <v>7</v>
      </c>
      <c r="B20" s="348">
        <v>45870</v>
      </c>
      <c r="C20" s="336">
        <f t="shared" ca="1" si="0"/>
        <v>0</v>
      </c>
      <c r="D20" s="336">
        <f t="shared" ca="1" si="1"/>
        <v>0</v>
      </c>
      <c r="E20" s="501">
        <v>366306.04</v>
      </c>
      <c r="F20" s="336">
        <f ca="1">cef[[#This Row],[CEF (obra)]]+cef[[#This Row],[Pró soluto]]+cef[[#This Row],[PJ CEF]]</f>
        <v>366306.04</v>
      </c>
      <c r="G20" s="336">
        <f ca="1">SUMIFS(
  m.vb[valor],
  m.vb[empresa], $A20,
  m.vb[variavel], "Construção",
  m.vb[mes], $B20
)</f>
        <v>0</v>
      </c>
      <c r="H20" s="501"/>
      <c r="I20" s="336">
        <v>793220.49</v>
      </c>
      <c r="J20" s="336">
        <f ca="1">cef[[#This Row],[Entradas]]-cef[[#This Row],[Saídas]]</f>
        <v>-426914.45</v>
      </c>
      <c r="K20" s="336">
        <f ca="1">AVERAGE(J$3:J20)</f>
        <v>-621866.05611111096</v>
      </c>
      <c r="L20" s="349">
        <f ca="1">IFERROR(cef[[#This Row],[Entradas]]/cef[[#This Row],[Saídas]],"Sem saídas")</f>
        <v>0.46179598814952444</v>
      </c>
      <c r="M20" s="338">
        <f ca="1">AVERAGE(L$3:L20)</f>
        <v>0.3473630644045127</v>
      </c>
    </row>
    <row r="21" spans="1:13" x14ac:dyDescent="0.25">
      <c r="A21" s="347" t="s">
        <v>7</v>
      </c>
      <c r="B21" s="348">
        <v>45901</v>
      </c>
      <c r="C21" s="336">
        <f t="shared" ca="1" si="0"/>
        <v>0</v>
      </c>
      <c r="D21" s="336">
        <f t="shared" ca="1" si="1"/>
        <v>0</v>
      </c>
      <c r="E21" s="501">
        <v>181081.21</v>
      </c>
      <c r="F21" s="336">
        <f ca="1">cef[[#This Row],[CEF (obra)]]+cef[[#This Row],[Pró soluto]]+cef[[#This Row],[PJ CEF]]</f>
        <v>181081.21</v>
      </c>
      <c r="G21" s="336">
        <f ca="1">SUMIFS(
  m.vb[valor],
  m.vb[empresa], $A21,
  m.vb[variavel], "Construção",
  m.vb[mes], $B21
)</f>
        <v>0</v>
      </c>
      <c r="H21" s="501"/>
      <c r="I21" s="336">
        <v>642120.39</v>
      </c>
      <c r="J21" s="336">
        <f ca="1">cef[[#This Row],[Entradas]]-cef[[#This Row],[Saídas]]</f>
        <v>-461039.18000000005</v>
      </c>
      <c r="K21" s="336">
        <f ca="1">AVERAGE(J$3:J21)</f>
        <v>-613401.48368421046</v>
      </c>
      <c r="L21" s="349">
        <f ca="1">IFERROR(cef[[#This Row],[Entradas]]/cef[[#This Row],[Saídas]],"Sem saídas")</f>
        <v>0.2820050769607238</v>
      </c>
      <c r="M21" s="338">
        <f ca="1">AVERAGE(L$3:L21)</f>
        <v>0.34392317032852382</v>
      </c>
    </row>
    <row r="22" spans="1:13" x14ac:dyDescent="0.25">
      <c r="A22" s="347" t="s">
        <v>7</v>
      </c>
      <c r="B22" s="348">
        <v>45931</v>
      </c>
      <c r="C22" s="336">
        <f t="shared" ca="1" si="0"/>
        <v>0</v>
      </c>
      <c r="D22" s="336">
        <f t="shared" ca="1" si="1"/>
        <v>0</v>
      </c>
      <c r="E22" s="501">
        <v>266613.7</v>
      </c>
      <c r="F22" s="336">
        <f ca="1">cef[[#This Row],[CEF (obra)]]+cef[[#This Row],[Pró soluto]]+cef[[#This Row],[PJ CEF]]</f>
        <v>266613.7</v>
      </c>
      <c r="G22" s="336">
        <f ca="1">SUMIFS(
  m.vb[valor],
  m.vb[empresa], $A22,
  m.vb[variavel], "Construção",
  m.vb[mes], $B22
)</f>
        <v>0</v>
      </c>
      <c r="H22" s="501"/>
      <c r="I22" s="336">
        <v>808273.16</v>
      </c>
      <c r="J22" s="336">
        <f ca="1">cef[[#This Row],[Entradas]]-cef[[#This Row],[Saídas]]</f>
        <v>-541659.46</v>
      </c>
      <c r="K22" s="336">
        <f ca="1">AVERAGE(J$3:J22)</f>
        <v>-609814.38249999995</v>
      </c>
      <c r="L22" s="349">
        <f ca="1">IFERROR(cef[[#This Row],[Entradas]]/cef[[#This Row],[Saídas]],"Sem saídas")</f>
        <v>0.3298559363272684</v>
      </c>
      <c r="M22" s="338">
        <f ca="1">AVERAGE(L$3:L22)</f>
        <v>0.34321980862846108</v>
      </c>
    </row>
    <row r="23" spans="1:13" x14ac:dyDescent="0.25">
      <c r="A23" s="347" t="s">
        <v>7</v>
      </c>
      <c r="B23" s="348">
        <v>45962</v>
      </c>
      <c r="C23" s="336">
        <f t="shared" ca="1" si="0"/>
        <v>0</v>
      </c>
      <c r="D23" s="336">
        <f t="shared" ca="1" si="1"/>
        <v>0</v>
      </c>
      <c r="E23" s="501">
        <v>230479.34</v>
      </c>
      <c r="F23" s="336">
        <f ca="1">cef[[#This Row],[CEF (obra)]]+cef[[#This Row],[Pró soluto]]+cef[[#This Row],[PJ CEF]]</f>
        <v>230479.34</v>
      </c>
      <c r="G23" s="336">
        <f ca="1">SUMIFS(
  m.vb[valor],
  m.vb[empresa], $A23,
  m.vb[variavel], "Construção",
  m.vb[mes], $B23
)</f>
        <v>0</v>
      </c>
      <c r="H23" s="501"/>
      <c r="I23" s="336">
        <v>970573.48</v>
      </c>
      <c r="J23" s="336">
        <f ca="1">cef[[#This Row],[Entradas]]-cef[[#This Row],[Saídas]]</f>
        <v>-740094.14</v>
      </c>
      <c r="K23" s="336">
        <f ca="1">AVERAGE(J$3:J23)</f>
        <v>-616018.18047619041</v>
      </c>
      <c r="L23" s="349">
        <f ca="1">IFERROR(cef[[#This Row],[Entradas]]/cef[[#This Row],[Saídas]],"Sem saídas")</f>
        <v>0.23746717250094243</v>
      </c>
      <c r="M23" s="338">
        <f ca="1">AVERAGE(L$3:L23)</f>
        <v>0.33818396881286494</v>
      </c>
    </row>
    <row r="24" spans="1:13" x14ac:dyDescent="0.25">
      <c r="A24" s="347" t="s">
        <v>7</v>
      </c>
      <c r="B24" s="348">
        <v>45992</v>
      </c>
      <c r="C24" s="336">
        <f t="shared" ca="1" si="0"/>
        <v>0</v>
      </c>
      <c r="D24" s="336">
        <f t="shared" ca="1" si="1"/>
        <v>0</v>
      </c>
      <c r="E24" s="501">
        <v>471701.2</v>
      </c>
      <c r="F24" s="336">
        <f ca="1">cef[[#This Row],[CEF (obra)]]+cef[[#This Row],[Pró soluto]]+cef[[#This Row],[PJ CEF]]</f>
        <v>471701.2</v>
      </c>
      <c r="G24" s="336">
        <f ca="1">SUMIFS(
  m.vb[valor],
  m.vb[empresa], $A24,
  m.vb[variavel], "Construção",
  m.vb[mes], $B24
)</f>
        <v>0</v>
      </c>
      <c r="H24" s="501"/>
      <c r="I24" s="336">
        <v>1036724.75</v>
      </c>
      <c r="J24" s="336">
        <f ca="1">cef[[#This Row],[Entradas]]-cef[[#This Row],[Saídas]]</f>
        <v>-565023.55000000005</v>
      </c>
      <c r="K24" s="336">
        <f ca="1">AVERAGE(J$3:J24)</f>
        <v>-613700.24272727268</v>
      </c>
      <c r="L24" s="349">
        <f ca="1">IFERROR(cef[[#This Row],[Entradas]]/cef[[#This Row],[Saídas]],"Sem saídas")</f>
        <v>0.4549917420221713</v>
      </c>
      <c r="M24" s="338">
        <f ca="1">AVERAGE(L$3:L24)</f>
        <v>0.34349341304965159</v>
      </c>
    </row>
    <row r="25" spans="1:13" x14ac:dyDescent="0.25">
      <c r="A25" s="347" t="s">
        <v>7</v>
      </c>
      <c r="B25" s="348">
        <v>46023</v>
      </c>
      <c r="C25" s="336">
        <f t="shared" ca="1" si="0"/>
        <v>0</v>
      </c>
      <c r="D25" s="336">
        <f t="shared" ca="1" si="1"/>
        <v>0</v>
      </c>
      <c r="E25" s="501">
        <v>0</v>
      </c>
      <c r="F25" s="336">
        <f ca="1">cef[[#This Row],[CEF (obra)]]+cef[[#This Row],[Pró soluto]]+cef[[#This Row],[PJ CEF]]</f>
        <v>0</v>
      </c>
      <c r="G25" s="336">
        <f ca="1">SUMIFS(
  m.vb[valor],
  m.vb[empresa], $A25,
  m.vb[variavel], "Construção",
  m.vb[mes], $B25
)</f>
        <v>0</v>
      </c>
      <c r="H25" s="501"/>
      <c r="I25" s="336">
        <v>738671.56</v>
      </c>
      <c r="J25" s="336">
        <f ca="1">cef[[#This Row],[Entradas]]-cef[[#This Row],[Saídas]]</f>
        <v>-738671.56</v>
      </c>
      <c r="K25" s="336">
        <f ca="1">AVERAGE(J$3:J25)</f>
        <v>-619133.77826086956</v>
      </c>
      <c r="L25" s="349">
        <f ca="1">IFERROR(cef[[#This Row],[Entradas]]/cef[[#This Row],[Saídas]],"Sem saídas")</f>
        <v>0</v>
      </c>
      <c r="M25" s="338">
        <f ca="1">AVERAGE(L$3:L25)</f>
        <v>0.32855891683010152</v>
      </c>
    </row>
    <row r="26" spans="1:13" x14ac:dyDescent="0.25">
      <c r="A26" s="347" t="s">
        <v>7</v>
      </c>
      <c r="B26" s="348">
        <v>46054</v>
      </c>
      <c r="C26" s="336">
        <f t="shared" ca="1" si="0"/>
        <v>0</v>
      </c>
      <c r="D26" s="336">
        <f t="shared" ca="1" si="1"/>
        <v>0</v>
      </c>
      <c r="E26" s="501">
        <v>46792.36</v>
      </c>
      <c r="F26" s="336">
        <f ca="1">cef[[#This Row],[CEF (obra)]]+cef[[#This Row],[Pró soluto]]+cef[[#This Row],[PJ CEF]]</f>
        <v>46792.36</v>
      </c>
      <c r="G26" s="336">
        <f ca="1">SUMIFS(
  m.vb[valor],
  m.vb[empresa], $A26,
  m.vb[variavel], "Construção",
  m.vb[mes], $B26
)</f>
        <v>0</v>
      </c>
      <c r="H26" s="501"/>
      <c r="I26" s="336">
        <v>482219.83</v>
      </c>
      <c r="J26" s="336">
        <f ca="1">cef[[#This Row],[Entradas]]-cef[[#This Row],[Saídas]]</f>
        <v>-435427.47000000003</v>
      </c>
      <c r="K26" s="336">
        <f ca="1">AVERAGE(J$3:J26)</f>
        <v>-611479.34875</v>
      </c>
      <c r="L26" s="349">
        <f ca="1">IFERROR(cef[[#This Row],[Entradas]]/cef[[#This Row],[Saídas]],"Sem saídas")</f>
        <v>9.7035329301990755E-2</v>
      </c>
      <c r="M26" s="338">
        <f ca="1">AVERAGE(L$3:L26)</f>
        <v>0.31891210068309689</v>
      </c>
    </row>
    <row r="27" spans="1:13" x14ac:dyDescent="0.25">
      <c r="A27" s="347" t="s">
        <v>7</v>
      </c>
      <c r="B27" s="348">
        <v>46082</v>
      </c>
      <c r="C27" s="336">
        <f t="shared" ca="1" si="0"/>
        <v>0</v>
      </c>
      <c r="D27" s="336">
        <f t="shared" ca="1" si="1"/>
        <v>0</v>
      </c>
      <c r="E27" s="501">
        <v>0</v>
      </c>
      <c r="F27" s="336">
        <f ca="1">cef[[#This Row],[CEF (obra)]]+cef[[#This Row],[Pró soluto]]+cef[[#This Row],[PJ CEF]]</f>
        <v>0</v>
      </c>
      <c r="G27" s="336">
        <f ca="1">SUMIFS(
  m.vb[valor],
  m.vb[empresa], $A27,
  m.vb[variavel], "Construção",
  m.vb[mes], $B27
)</f>
        <v>0</v>
      </c>
      <c r="H27" s="501"/>
      <c r="I27" s="336">
        <v>167443.01</v>
      </c>
      <c r="J27" s="373">
        <f ca="1">cef[[#This Row],[Entradas]]-cef[[#This Row],[Saídas]]</f>
        <v>-167443.01</v>
      </c>
      <c r="K27" s="336">
        <f ca="1">AVERAGE(J$3:J27)</f>
        <v>-593717.89520000003</v>
      </c>
      <c r="L27" s="376">
        <f ca="1">IFERROR(cef[[#This Row],[Entradas]]/cef[[#This Row],[Saídas]],"Sem saídas")</f>
        <v>0</v>
      </c>
      <c r="M27" s="338">
        <f ca="1">AVERAGE(L$3:L27)</f>
        <v>0.30615561665577301</v>
      </c>
    </row>
    <row r="28" spans="1:13" x14ac:dyDescent="0.25">
      <c r="A28" s="347" t="s">
        <v>7</v>
      </c>
      <c r="B28" s="348">
        <v>46113</v>
      </c>
      <c r="C28" s="336">
        <f t="shared" ca="1" si="0"/>
        <v>0</v>
      </c>
      <c r="D28" s="336">
        <f t="shared" ca="1" si="1"/>
        <v>0</v>
      </c>
      <c r="E28" s="501">
        <v>0</v>
      </c>
      <c r="F28" s="336">
        <f ca="1">cef[[#This Row],[CEF (obra)]]+cef[[#This Row],[Pró soluto]]+cef[[#This Row],[PJ CEF]]</f>
        <v>0</v>
      </c>
      <c r="G28" s="336">
        <f ca="1">SUMIFS(
  m.vb[valor],
  m.vb[empresa], $A28,
  m.vb[variavel], "Construção",
  m.vb[mes], $B28
)</f>
        <v>0</v>
      </c>
      <c r="H28" s="501"/>
      <c r="I28" s="336">
        <v>99120.22</v>
      </c>
      <c r="J28" s="373">
        <f ca="1">cef[[#This Row],[Entradas]]-cef[[#This Row],[Saídas]]</f>
        <v>-99120.22</v>
      </c>
      <c r="K28" s="336">
        <f ca="1">AVERAGE(J$3:J28)</f>
        <v>-574694.90769230772</v>
      </c>
      <c r="L28" s="376">
        <f ca="1">IFERROR(cef[[#This Row],[Entradas]]/cef[[#This Row],[Saídas]],"Sem saídas")</f>
        <v>0</v>
      </c>
      <c r="M28" s="338">
        <f ca="1">AVERAGE(L$3:L28)</f>
        <v>0.29438040063055099</v>
      </c>
    </row>
    <row r="29" spans="1:13" x14ac:dyDescent="0.25">
      <c r="A29" s="347" t="s">
        <v>7</v>
      </c>
      <c r="B29" s="348">
        <v>46143</v>
      </c>
      <c r="C29" s="336">
        <f t="shared" ca="1" si="0"/>
        <v>0</v>
      </c>
      <c r="D29" s="336">
        <f t="shared" ca="1" si="1"/>
        <v>0</v>
      </c>
      <c r="E29" s="501">
        <v>0</v>
      </c>
      <c r="F29" s="336">
        <f ca="1">cef[[#This Row],[CEF (obra)]]+cef[[#This Row],[Pró soluto]]+cef[[#This Row],[PJ CEF]]</f>
        <v>0</v>
      </c>
      <c r="G29" s="336">
        <f ca="1">SUMIFS(
  m.vb[valor],
  m.vb[empresa], $A29,
  m.vb[variavel], "Construção",
  m.vb[mes], $B29
)</f>
        <v>0</v>
      </c>
      <c r="H29" s="501"/>
      <c r="I29" s="336">
        <v>76313.990000000005</v>
      </c>
      <c r="J29" s="373">
        <f ca="1">cef[[#This Row],[Entradas]]-cef[[#This Row],[Saídas]]</f>
        <v>-76313.990000000005</v>
      </c>
      <c r="K29" s="336">
        <f ca="1">AVERAGE(J$3:J29)</f>
        <v>-556236.35518518521</v>
      </c>
      <c r="L29" s="376">
        <f ca="1">IFERROR(cef[[#This Row],[Entradas]]/cef[[#This Row],[Saídas]],"Sem saídas")</f>
        <v>0</v>
      </c>
      <c r="M29" s="338">
        <f ca="1">AVERAGE(L$3:L29)</f>
        <v>0.28347742282941946</v>
      </c>
    </row>
    <row r="30" spans="1:13" x14ac:dyDescent="0.25">
      <c r="A30" s="347" t="s">
        <v>7</v>
      </c>
      <c r="B30" s="348">
        <v>46174</v>
      </c>
      <c r="C30" s="336">
        <f t="shared" ca="1" si="0"/>
        <v>0</v>
      </c>
      <c r="D30" s="336">
        <f t="shared" ca="1" si="1"/>
        <v>0</v>
      </c>
      <c r="E30" s="501">
        <v>207868.87</v>
      </c>
      <c r="F30" s="336">
        <f ca="1">cef[[#This Row],[CEF (obra)]]+cef[[#This Row],[Pró soluto]]+cef[[#This Row],[PJ CEF]]</f>
        <v>207868.87</v>
      </c>
      <c r="G30" s="336">
        <f ca="1">SUMIFS(
  m.vb[valor],
  m.vb[empresa], $A30,
  m.vb[variavel], "Construção",
  m.vb[mes], $B30
)</f>
        <v>0</v>
      </c>
      <c r="H30" s="501"/>
      <c r="I30" s="336">
        <v>71909.42</v>
      </c>
      <c r="J30" s="373">
        <f ca="1">cef[[#This Row],[Entradas]]-cef[[#This Row],[Saídas]]</f>
        <v>135959.45000000001</v>
      </c>
      <c r="K30" s="336">
        <f ca="1">AVERAGE(J$3:J30)</f>
        <v>-531515.07642857148</v>
      </c>
      <c r="L30" s="376">
        <f ca="1">IFERROR(cef[[#This Row],[Entradas]]/cef[[#This Row],[Saídas]],"Sem saídas")</f>
        <v>2.8907043054998915</v>
      </c>
      <c r="M30" s="338">
        <f ca="1">AVERAGE(L$3:L30)</f>
        <v>0.3765926686390792</v>
      </c>
    </row>
    <row r="31" spans="1:13" x14ac:dyDescent="0.25">
      <c r="A31" s="333" t="s">
        <v>8</v>
      </c>
      <c r="B31" s="334">
        <v>44986</v>
      </c>
      <c r="C31" s="335">
        <f t="shared" ca="1" si="0"/>
        <v>0</v>
      </c>
      <c r="D31" s="335">
        <f t="shared" ca="1" si="1"/>
        <v>0</v>
      </c>
      <c r="E31" s="501">
        <v>0</v>
      </c>
      <c r="F31" s="335">
        <f ca="1">cef[[#This Row],[CEF (obra)]]+cef[[#This Row],[Pró soluto]]+cef[[#This Row],[PJ CEF]]</f>
        <v>0</v>
      </c>
      <c r="G31" s="335">
        <f ca="1">SUMIFS(
  m.vb[valor],
  m.vb[empresa], $A31,
  m.vb[variavel], "Construção",
  m.vb[mes], $B31
)</f>
        <v>0</v>
      </c>
      <c r="H31" s="501"/>
      <c r="I31" s="335">
        <v>794062.84</v>
      </c>
      <c r="J31" s="374">
        <f ca="1">cef[[#This Row],[Entradas]]-cef[[#This Row],[Saídas]]</f>
        <v>-794062.84</v>
      </c>
      <c r="K31" s="336">
        <v>146318.1999999996</v>
      </c>
      <c r="L31" s="419">
        <f ca="1">IFERROR(cef[[#This Row],[Entradas]]/cef[[#This Row],[Saídas]],"Sem saídas")</f>
        <v>0</v>
      </c>
      <c r="M31" s="338">
        <v>1.1842652654543053</v>
      </c>
    </row>
    <row r="32" spans="1:13" x14ac:dyDescent="0.25">
      <c r="A32" s="347" t="s">
        <v>8</v>
      </c>
      <c r="B32" s="348">
        <v>45017</v>
      </c>
      <c r="C32" s="336">
        <f t="shared" ca="1" si="0"/>
        <v>0</v>
      </c>
      <c r="D32" s="336">
        <f t="shared" ca="1" si="1"/>
        <v>0</v>
      </c>
      <c r="E32" s="501">
        <v>0</v>
      </c>
      <c r="F32" s="336">
        <f ca="1">cef[[#This Row],[CEF (obra)]]+cef[[#This Row],[Pró soluto]]+cef[[#This Row],[PJ CEF]]</f>
        <v>0</v>
      </c>
      <c r="G32" s="336">
        <f ca="1">SUMIFS(
  m.vb[valor],
  m.vb[empresa], $A32,
  m.vb[variavel], "Construção",
  m.vb[mes], $B32
)</f>
        <v>0</v>
      </c>
      <c r="H32" s="501"/>
      <c r="I32" s="336">
        <v>685911.71</v>
      </c>
      <c r="J32" s="373">
        <f ca="1">cef[[#This Row],[Entradas]]-cef[[#This Row],[Saídas]]</f>
        <v>-685911.71</v>
      </c>
      <c r="K32" s="336">
        <f ca="1">AVERAGE(J$31:J32)</f>
        <v>-739987.27499999991</v>
      </c>
      <c r="L32" s="419">
        <f ca="1">IFERROR(cef[[#This Row],[Entradas]]/cef[[#This Row],[Saídas]],"Sem saídas")</f>
        <v>0</v>
      </c>
      <c r="M32" s="338">
        <f ca="1">AVERAGE(L$31:L32)</f>
        <v>0</v>
      </c>
    </row>
    <row r="33" spans="1:19" x14ac:dyDescent="0.25">
      <c r="A33" s="347" t="s">
        <v>8</v>
      </c>
      <c r="B33" s="348">
        <v>45047</v>
      </c>
      <c r="C33" s="336">
        <f t="shared" ca="1" si="0"/>
        <v>0</v>
      </c>
      <c r="D33" s="336">
        <f t="shared" ca="1" si="1"/>
        <v>0</v>
      </c>
      <c r="E33" s="501">
        <v>0</v>
      </c>
      <c r="F33" s="336">
        <f ca="1">cef[[#This Row],[CEF (obra)]]+cef[[#This Row],[Pró soluto]]+cef[[#This Row],[PJ CEF]]</f>
        <v>0</v>
      </c>
      <c r="G33" s="336">
        <f ca="1">SUMIFS(
  m.vb[valor],
  m.vb[empresa], $A33,
  m.vb[variavel], "Construção",
  m.vb[mes], $B33
)</f>
        <v>0</v>
      </c>
      <c r="H33" s="501"/>
      <c r="I33" s="336">
        <v>1058788.97</v>
      </c>
      <c r="J33" s="373">
        <f ca="1">cef[[#This Row],[Entradas]]-cef[[#This Row],[Saídas]]</f>
        <v>-1058788.97</v>
      </c>
      <c r="K33" s="336">
        <f ca="1">AVERAGE(J$31:J33)</f>
        <v>-846254.50666666648</v>
      </c>
      <c r="L33" s="419">
        <f ca="1">IFERROR(cef[[#This Row],[Entradas]]/cef[[#This Row],[Saídas]],"Sem saídas")</f>
        <v>0</v>
      </c>
      <c r="M33" s="338">
        <f ca="1">AVERAGE(L$31:L33)</f>
        <v>0</v>
      </c>
    </row>
    <row r="34" spans="1:19" x14ac:dyDescent="0.25">
      <c r="A34" s="347" t="s">
        <v>8</v>
      </c>
      <c r="B34" s="348">
        <v>45078</v>
      </c>
      <c r="C34" s="336">
        <f t="shared" ca="1" si="0"/>
        <v>0</v>
      </c>
      <c r="D34" s="336">
        <f t="shared" ca="1" si="1"/>
        <v>0</v>
      </c>
      <c r="E34" s="501">
        <v>0</v>
      </c>
      <c r="F34" s="336">
        <f ca="1">cef[[#This Row],[CEF (obra)]]+cef[[#This Row],[Pró soluto]]+cef[[#This Row],[PJ CEF]]</f>
        <v>0</v>
      </c>
      <c r="G34" s="336">
        <f ca="1">SUMIFS(
  m.vb[valor],
  m.vb[empresa], $A34,
  m.vb[variavel], "Construção",
  m.vb[mes], $B34
)</f>
        <v>0</v>
      </c>
      <c r="H34" s="501"/>
      <c r="I34" s="336">
        <v>425050.36</v>
      </c>
      <c r="J34" s="373">
        <f ca="1">cef[[#This Row],[Entradas]]-cef[[#This Row],[Saídas]]</f>
        <v>-425050.36</v>
      </c>
      <c r="K34" s="336">
        <f ca="1">AVERAGE(J$31:J34)</f>
        <v>-740953.46999999986</v>
      </c>
      <c r="L34" s="419">
        <f ca="1">IFERROR(cef[[#This Row],[Entradas]]/cef[[#This Row],[Saídas]],"Sem saídas")</f>
        <v>0</v>
      </c>
      <c r="M34" s="338">
        <f ca="1">AVERAGE(L$31:L34)</f>
        <v>0</v>
      </c>
    </row>
    <row r="35" spans="1:19" x14ac:dyDescent="0.25">
      <c r="A35" s="347" t="s">
        <v>8</v>
      </c>
      <c r="B35" s="348">
        <v>45108</v>
      </c>
      <c r="C35" s="336">
        <f t="shared" ca="1" si="0"/>
        <v>0</v>
      </c>
      <c r="D35" s="336">
        <f t="shared" ca="1" si="1"/>
        <v>0</v>
      </c>
      <c r="E35" s="501">
        <v>0</v>
      </c>
      <c r="F35" s="336">
        <f ca="1">cef[[#This Row],[CEF (obra)]]+cef[[#This Row],[Pró soluto]]+cef[[#This Row],[PJ CEF]]</f>
        <v>0</v>
      </c>
      <c r="G35" s="336">
        <f ca="1">SUMIFS(
  m.vb[valor],
  m.vb[empresa], $A35,
  m.vb[variavel], "Construção",
  m.vb[mes], $B35
)</f>
        <v>0</v>
      </c>
      <c r="H35" s="501"/>
      <c r="I35" s="336">
        <v>627311.32999999996</v>
      </c>
      <c r="J35" s="373">
        <f ca="1">cef[[#This Row],[Entradas]]-cef[[#This Row],[Saídas]]</f>
        <v>-627311.32999999996</v>
      </c>
      <c r="K35" s="336">
        <f ca="1">AVERAGE(J$31:J35)</f>
        <v>-718225.0419999999</v>
      </c>
      <c r="L35" s="419">
        <f ca="1">IFERROR(cef[[#This Row],[Entradas]]/cef[[#This Row],[Saídas]],"Sem saídas")</f>
        <v>0</v>
      </c>
      <c r="M35" s="338">
        <f ca="1">AVERAGE(L$31:L35)</f>
        <v>0</v>
      </c>
    </row>
    <row r="36" spans="1:19" x14ac:dyDescent="0.25">
      <c r="A36" s="347" t="s">
        <v>8</v>
      </c>
      <c r="B36" s="348">
        <v>45139</v>
      </c>
      <c r="C36" s="336">
        <f t="shared" ca="1" si="0"/>
        <v>0</v>
      </c>
      <c r="D36" s="336">
        <f t="shared" ca="1" si="1"/>
        <v>0</v>
      </c>
      <c r="E36" s="501">
        <v>327575.88</v>
      </c>
      <c r="F36" s="336">
        <f ca="1">cef[[#This Row],[CEF (obra)]]+cef[[#This Row],[Pró soluto]]+cef[[#This Row],[PJ CEF]]</f>
        <v>327575.88</v>
      </c>
      <c r="G36" s="336">
        <f ca="1">SUMIFS(
  m.vb[valor],
  m.vb[empresa], $A36,
  m.vb[variavel], "Construção",
  m.vb[mes], $B36
)</f>
        <v>0</v>
      </c>
      <c r="H36" s="501"/>
      <c r="I36" s="336">
        <v>1177884.6299999999</v>
      </c>
      <c r="J36" s="373">
        <f ca="1">cef[[#This Row],[Entradas]]-cef[[#This Row],[Saídas]]</f>
        <v>-850308.74999999988</v>
      </c>
      <c r="K36" s="336">
        <f ca="1">AVERAGE(J$31:J36)</f>
        <v>-740238.99333333317</v>
      </c>
      <c r="L36" s="419">
        <f ca="1">IFERROR(cef[[#This Row],[Entradas]]/cef[[#This Row],[Saídas]],"Sem saídas")</f>
        <v>0.27810523344718407</v>
      </c>
      <c r="M36" s="338">
        <f ca="1">AVERAGE(L$31:L36)</f>
        <v>4.6350872241197348E-2</v>
      </c>
    </row>
    <row r="37" spans="1:19" x14ac:dyDescent="0.25">
      <c r="A37" s="347" t="s">
        <v>8</v>
      </c>
      <c r="B37" s="348">
        <v>45170</v>
      </c>
      <c r="C37" s="336">
        <f t="shared" ca="1" si="0"/>
        <v>0</v>
      </c>
      <c r="D37" s="336">
        <f t="shared" ca="1" si="1"/>
        <v>0</v>
      </c>
      <c r="E37" s="501">
        <v>445799.01</v>
      </c>
      <c r="F37" s="336">
        <f ca="1">cef[[#This Row],[CEF (obra)]]+cef[[#This Row],[Pró soluto]]+cef[[#This Row],[PJ CEF]]</f>
        <v>445799.01</v>
      </c>
      <c r="G37" s="336">
        <f ca="1">SUMIFS(
  m.vb[valor],
  m.vb[empresa], $A37,
  m.vb[variavel], "Construção",
  m.vb[mes], $B37
)</f>
        <v>0</v>
      </c>
      <c r="H37" s="501"/>
      <c r="I37" s="336">
        <v>844920.51</v>
      </c>
      <c r="J37" s="373">
        <f ca="1">cef[[#This Row],[Entradas]]-cef[[#This Row],[Saídas]]</f>
        <v>-399121.5</v>
      </c>
      <c r="K37" s="336">
        <f ca="1">AVERAGE(J$31:J37)</f>
        <v>-691507.92285714275</v>
      </c>
      <c r="L37" s="419">
        <f ca="1">IFERROR(cef[[#This Row],[Entradas]]/cef[[#This Row],[Saídas]],"Sem saídas")</f>
        <v>0.52762242687184857</v>
      </c>
      <c r="M37" s="338">
        <f ca="1">AVERAGE(L$31:L37)</f>
        <v>0.11510395147414752</v>
      </c>
    </row>
    <row r="38" spans="1:19" x14ac:dyDescent="0.25">
      <c r="A38" s="347" t="s">
        <v>8</v>
      </c>
      <c r="B38" s="348">
        <v>45200</v>
      </c>
      <c r="C38" s="336">
        <f t="shared" ca="1" si="0"/>
        <v>0</v>
      </c>
      <c r="D38" s="336">
        <f t="shared" ca="1" si="1"/>
        <v>0</v>
      </c>
      <c r="E38" s="501">
        <v>0</v>
      </c>
      <c r="F38" s="336">
        <f ca="1">cef[[#This Row],[CEF (obra)]]+cef[[#This Row],[Pró soluto]]+cef[[#This Row],[PJ CEF]]</f>
        <v>0</v>
      </c>
      <c r="G38" s="336">
        <f ca="1">SUMIFS(
  m.vb[valor],
  m.vb[empresa], $A38,
  m.vb[variavel], "Construção",
  m.vb[mes], $B38
)</f>
        <v>0</v>
      </c>
      <c r="H38" s="501"/>
      <c r="I38" s="336">
        <v>1491664.73</v>
      </c>
      <c r="J38" s="373">
        <f ca="1">cef[[#This Row],[Entradas]]-cef[[#This Row],[Saídas]]</f>
        <v>-1491664.73</v>
      </c>
      <c r="K38" s="336">
        <f ca="1">AVERAGE(J$31:J38)</f>
        <v>-791527.52374999993</v>
      </c>
      <c r="L38" s="419">
        <f ca="1">IFERROR(cef[[#This Row],[Entradas]]/cef[[#This Row],[Saídas]],"Sem saídas")</f>
        <v>0</v>
      </c>
      <c r="M38" s="338">
        <f ca="1">AVERAGE(L$31:L38)</f>
        <v>0.10071595753987908</v>
      </c>
    </row>
    <row r="39" spans="1:19" x14ac:dyDescent="0.25">
      <c r="A39" s="347" t="s">
        <v>8</v>
      </c>
      <c r="B39" s="348">
        <v>45231</v>
      </c>
      <c r="C39" s="336">
        <f t="shared" ca="1" si="0"/>
        <v>0</v>
      </c>
      <c r="D39" s="336">
        <f t="shared" ca="1" si="1"/>
        <v>0</v>
      </c>
      <c r="E39" s="501">
        <v>1455283.7599999998</v>
      </c>
      <c r="F39" s="336">
        <f ca="1">cef[[#This Row],[CEF (obra)]]+cef[[#This Row],[Pró soluto]]+cef[[#This Row],[PJ CEF]]</f>
        <v>1455283.7599999998</v>
      </c>
      <c r="G39" s="336">
        <f ca="1">SUMIFS(
  m.vb[valor],
  m.vb[empresa], $A39,
  m.vb[variavel], "Construção",
  m.vb[mes], $B39
)</f>
        <v>0</v>
      </c>
      <c r="H39" s="501"/>
      <c r="I39" s="336">
        <v>1298325.73</v>
      </c>
      <c r="J39" s="373">
        <f ca="1">cef[[#This Row],[Entradas]]-cef[[#This Row],[Saídas]]</f>
        <v>156958.0299999998</v>
      </c>
      <c r="K39" s="336">
        <f ca="1">AVERAGE(J$31:J39)</f>
        <v>-686140.24</v>
      </c>
      <c r="L39" s="419">
        <f ca="1">IFERROR(cef[[#This Row],[Entradas]]/cef[[#This Row],[Saídas]],"Sem saídas")</f>
        <v>1.1208926437897828</v>
      </c>
      <c r="M39" s="338">
        <f ca="1">AVERAGE(L$31:L39)</f>
        <v>0.21406892267875727</v>
      </c>
    </row>
    <row r="40" spans="1:19" x14ac:dyDescent="0.25">
      <c r="A40" s="347" t="s">
        <v>8</v>
      </c>
      <c r="B40" s="348">
        <v>45261</v>
      </c>
      <c r="C40" s="336">
        <f t="shared" ca="1" si="0"/>
        <v>0</v>
      </c>
      <c r="D40" s="336">
        <f t="shared" ca="1" si="1"/>
        <v>0</v>
      </c>
      <c r="E40" s="501">
        <v>0</v>
      </c>
      <c r="F40" s="336">
        <f ca="1">cef[[#This Row],[CEF (obra)]]+cef[[#This Row],[Pró soluto]]+cef[[#This Row],[PJ CEF]]</f>
        <v>0</v>
      </c>
      <c r="G40" s="336">
        <f ca="1">SUMIFS(
  m.vb[valor],
  m.vb[empresa], $A40,
  m.vb[variavel], "Construção",
  m.vb[mes], $B40
)</f>
        <v>0</v>
      </c>
      <c r="H40" s="501"/>
      <c r="I40" s="336">
        <v>1443609.06</v>
      </c>
      <c r="J40" s="373">
        <f ca="1">cef[[#This Row],[Entradas]]-cef[[#This Row],[Saídas]]</f>
        <v>-1443609.06</v>
      </c>
      <c r="K40" s="336">
        <f ca="1">AVERAGE(J$31:J40)</f>
        <v>-761887.12200000009</v>
      </c>
      <c r="L40" s="419">
        <f ca="1">IFERROR(cef[[#This Row],[Entradas]]/cef[[#This Row],[Saídas]],"Sem saídas")</f>
        <v>0</v>
      </c>
      <c r="M40" s="338">
        <f ca="1">AVERAGE(L$31:L40)</f>
        <v>0.19266203041088154</v>
      </c>
    </row>
    <row r="41" spans="1:19" x14ac:dyDescent="0.25">
      <c r="A41" s="347" t="s">
        <v>8</v>
      </c>
      <c r="B41" s="348">
        <v>45292</v>
      </c>
      <c r="C41" s="336">
        <f t="shared" ca="1" si="0"/>
        <v>0</v>
      </c>
      <c r="D41" s="336">
        <f t="shared" ca="1" si="1"/>
        <v>0</v>
      </c>
      <c r="E41" s="501">
        <v>1292869.73</v>
      </c>
      <c r="F41" s="336">
        <f ca="1">cef[[#This Row],[CEF (obra)]]+cef[[#This Row],[Pró soluto]]+cef[[#This Row],[PJ CEF]]</f>
        <v>1292869.73</v>
      </c>
      <c r="G41" s="336">
        <f ca="1">SUMIFS(
  m.vb[valor],
  m.vb[empresa], $A41,
  m.vb[variavel], "Construção",
  m.vb[mes], $B41
)</f>
        <v>0</v>
      </c>
      <c r="H41" s="501"/>
      <c r="I41" s="336">
        <v>1296043.4099999999</v>
      </c>
      <c r="J41" s="373">
        <f ca="1">cef[[#This Row],[Entradas]]-cef[[#This Row],[Saídas]]</f>
        <v>-3173.6799999999348</v>
      </c>
      <c r="K41" s="336">
        <f ca="1">AVERAGE(J$31:J41)</f>
        <v>-692913.17272727273</v>
      </c>
      <c r="L41" s="419">
        <f ca="1">IFERROR(cef[[#This Row],[Entradas]]/cef[[#This Row],[Saídas]],"Sem saídas")</f>
        <v>0.99755125486113161</v>
      </c>
      <c r="M41" s="338">
        <f ca="1">AVERAGE(L$31:L41)</f>
        <v>0.26583377808817699</v>
      </c>
      <c r="O41" s="372" t="s">
        <v>6</v>
      </c>
      <c r="P41" t="s">
        <v>1120</v>
      </c>
    </row>
    <row r="42" spans="1:19" x14ac:dyDescent="0.25">
      <c r="A42" s="347" t="s">
        <v>8</v>
      </c>
      <c r="B42" s="348">
        <v>45323</v>
      </c>
      <c r="C42" s="336">
        <f t="shared" ca="1" si="0"/>
        <v>0</v>
      </c>
      <c r="D42" s="336">
        <f t="shared" ca="1" si="1"/>
        <v>0</v>
      </c>
      <c r="E42" s="501">
        <v>641961.35</v>
      </c>
      <c r="F42" s="336">
        <f ca="1">cef[[#This Row],[CEF (obra)]]+cef[[#This Row],[Pró soluto]]+cef[[#This Row],[PJ CEF]]</f>
        <v>641961.35</v>
      </c>
      <c r="G42" s="336">
        <f ca="1">SUMIFS(
  m.vb[valor],
  m.vb[empresa], $A42,
  m.vb[variavel], "Construção",
  m.vb[mes], $B42
)</f>
        <v>0</v>
      </c>
      <c r="H42" s="501"/>
      <c r="I42" s="336">
        <v>1154036.01</v>
      </c>
      <c r="J42" s="373">
        <f ca="1">cef[[#This Row],[Entradas]]-cef[[#This Row],[Saídas]]</f>
        <v>-512074.66000000003</v>
      </c>
      <c r="K42" s="336">
        <f ca="1">AVERAGE(J$31:J42)</f>
        <v>-677843.29666666675</v>
      </c>
      <c r="L42" s="419">
        <f ca="1">IFERROR(cef[[#This Row],[Entradas]]/cef[[#This Row],[Saídas]],"Sem saídas")</f>
        <v>0.55627497273676929</v>
      </c>
      <c r="M42" s="338">
        <f ca="1">AVERAGE(L$31:L42)</f>
        <v>0.29003721097555973</v>
      </c>
    </row>
    <row r="43" spans="1:19" x14ac:dyDescent="0.25">
      <c r="A43" s="347" t="s">
        <v>8</v>
      </c>
      <c r="B43" s="348">
        <v>45352</v>
      </c>
      <c r="C43" s="336">
        <f t="shared" ca="1" si="0"/>
        <v>0</v>
      </c>
      <c r="D43" s="336">
        <f t="shared" ca="1" si="1"/>
        <v>0</v>
      </c>
      <c r="E43" s="501">
        <v>412689.22</v>
      </c>
      <c r="F43" s="336">
        <f ca="1">cef[[#This Row],[CEF (obra)]]+cef[[#This Row],[Pró soluto]]+cef[[#This Row],[PJ CEF]]</f>
        <v>412689.22</v>
      </c>
      <c r="G43" s="336">
        <f ca="1">SUMIFS(
  m.vb[valor],
  m.vb[empresa], $A43,
  m.vb[variavel], "Construção",
  m.vb[mes], $B43
)</f>
        <v>0</v>
      </c>
      <c r="H43" s="501"/>
      <c r="I43" s="336">
        <v>1295237.6200000001</v>
      </c>
      <c r="J43" s="373">
        <f ca="1">cef[[#This Row],[Entradas]]-cef[[#This Row],[Saídas]]</f>
        <v>-882548.40000000014</v>
      </c>
      <c r="K43" s="336">
        <f ca="1">AVERAGE(J$31:J43)</f>
        <v>-693589.84307692316</v>
      </c>
      <c r="L43" s="419">
        <f ca="1">IFERROR(cef[[#This Row],[Entradas]]/cef[[#This Row],[Saídas]],"Sem saídas")</f>
        <v>0.31862047058206966</v>
      </c>
      <c r="M43" s="338">
        <f ca="1">AVERAGE(L$31:L43)</f>
        <v>0.29223592325298353</v>
      </c>
      <c r="O43" s="372" t="s">
        <v>871</v>
      </c>
      <c r="P43" s="372" t="s">
        <v>872</v>
      </c>
    </row>
    <row r="44" spans="1:19" x14ac:dyDescent="0.25">
      <c r="A44" s="347" t="s">
        <v>8</v>
      </c>
      <c r="B44" s="348">
        <v>45383</v>
      </c>
      <c r="C44" s="336">
        <f t="shared" ca="1" si="0"/>
        <v>0</v>
      </c>
      <c r="D44" s="336">
        <f t="shared" ca="1" si="1"/>
        <v>0</v>
      </c>
      <c r="E44" s="501">
        <v>556963.03</v>
      </c>
      <c r="F44" s="336">
        <f ca="1">cef[[#This Row],[CEF (obra)]]+cef[[#This Row],[Pró soluto]]+cef[[#This Row],[PJ CEF]]</f>
        <v>556963.03</v>
      </c>
      <c r="G44" s="336">
        <f ca="1">SUMIFS(
  m.vb[valor],
  m.vb[empresa], $A44,
  m.vb[variavel], "Construção",
  m.vb[mes], $B44
)</f>
        <v>0</v>
      </c>
      <c r="H44" s="501"/>
      <c r="I44" s="336">
        <v>1170213.67</v>
      </c>
      <c r="J44" s="373">
        <f ca="1">cef[[#This Row],[Entradas]]-cef[[#This Row],[Saídas]]</f>
        <v>-613250.6399999999</v>
      </c>
      <c r="K44" s="336">
        <f ca="1">AVERAGE(J$31:J44)</f>
        <v>-687851.32857142866</v>
      </c>
      <c r="L44" s="419">
        <f ca="1">IFERROR(cef[[#This Row],[Entradas]]/cef[[#This Row],[Saídas]],"Sem saídas")</f>
        <v>0.47594985794346434</v>
      </c>
      <c r="M44" s="338">
        <f ca="1">AVERAGE(L$31:L44)</f>
        <v>0.30535834715944649</v>
      </c>
      <c r="O44" s="372" t="s">
        <v>873</v>
      </c>
      <c r="P44" t="s">
        <v>852</v>
      </c>
      <c r="Q44" t="s">
        <v>854</v>
      </c>
      <c r="R44" t="s">
        <v>874</v>
      </c>
      <c r="S44" t="s">
        <v>875</v>
      </c>
    </row>
    <row r="45" spans="1:19" x14ac:dyDescent="0.25">
      <c r="A45" s="347" t="s">
        <v>8</v>
      </c>
      <c r="B45" s="348">
        <v>45413</v>
      </c>
      <c r="C45" s="336">
        <f t="shared" ca="1" si="0"/>
        <v>0</v>
      </c>
      <c r="D45" s="336">
        <f t="shared" ca="1" si="1"/>
        <v>0</v>
      </c>
      <c r="E45" s="501">
        <v>0</v>
      </c>
      <c r="F45" s="336">
        <f ca="1">cef[[#This Row],[CEF (obra)]]+cef[[#This Row],[Pró soluto]]+cef[[#This Row],[PJ CEF]]</f>
        <v>0</v>
      </c>
      <c r="G45" s="336">
        <f ca="1">SUMIFS(
  m.vb[valor],
  m.vb[empresa], $A45,
  m.vb[variavel], "Construção",
  m.vb[mes], $B45
)</f>
        <v>0</v>
      </c>
      <c r="H45" s="501"/>
      <c r="I45" s="336">
        <v>1329186.8799999999</v>
      </c>
      <c r="J45" s="373">
        <f ca="1">cef[[#This Row],[Entradas]]-cef[[#This Row],[Saídas]]</f>
        <v>-1329186.8799999999</v>
      </c>
      <c r="K45" s="336">
        <f ca="1">AVERAGE(J$31:J45)</f>
        <v>-730607.03200000001</v>
      </c>
      <c r="L45" s="419">
        <f ca="1">IFERROR(cef[[#This Row],[Entradas]]/cef[[#This Row],[Saídas]],"Sem saídas")</f>
        <v>0</v>
      </c>
      <c r="M45" s="338">
        <f ca="1">AVERAGE(L$31:L45)</f>
        <v>0.28500112401548339</v>
      </c>
      <c r="O45" s="364">
        <v>44986</v>
      </c>
      <c r="P45" s="365">
        <v>0</v>
      </c>
      <c r="Q45" s="365">
        <v>-794062.84</v>
      </c>
      <c r="R45" s="365">
        <v>794062.84</v>
      </c>
      <c r="S45" s="365">
        <v>0</v>
      </c>
    </row>
    <row r="46" spans="1:19" x14ac:dyDescent="0.25">
      <c r="A46" s="347" t="s">
        <v>8</v>
      </c>
      <c r="B46" s="348">
        <v>45444</v>
      </c>
      <c r="C46" s="336">
        <f t="shared" ca="1" si="0"/>
        <v>0</v>
      </c>
      <c r="D46" s="336">
        <f t="shared" ca="1" si="1"/>
        <v>0</v>
      </c>
      <c r="E46" s="501">
        <v>0</v>
      </c>
      <c r="F46" s="336">
        <f ca="1">cef[[#This Row],[CEF (obra)]]+cef[[#This Row],[Pró soluto]]+cef[[#This Row],[PJ CEF]]</f>
        <v>0</v>
      </c>
      <c r="G46" s="336">
        <f ca="1">SUMIFS(
  m.vb[valor],
  m.vb[empresa], $A46,
  m.vb[variavel], "Construção",
  m.vb[mes], $B46
)</f>
        <v>0</v>
      </c>
      <c r="H46" s="501"/>
      <c r="I46" s="336">
        <v>920242.53</v>
      </c>
      <c r="J46" s="373">
        <f ca="1">cef[[#This Row],[Entradas]]-cef[[#This Row],[Saídas]]</f>
        <v>-920242.53</v>
      </c>
      <c r="K46" s="336">
        <f ca="1">AVERAGE(J$31:J46)</f>
        <v>-742459.25062499999</v>
      </c>
      <c r="L46" s="419">
        <f ca="1">IFERROR(cef[[#This Row],[Entradas]]/cef[[#This Row],[Saídas]],"Sem saídas")</f>
        <v>0</v>
      </c>
      <c r="M46" s="338">
        <f ca="1">AVERAGE(L$31:L46)</f>
        <v>0.26718855376451567</v>
      </c>
      <c r="O46" s="364">
        <v>45017</v>
      </c>
      <c r="P46" s="365">
        <v>0</v>
      </c>
      <c r="Q46" s="365">
        <v>-685911.71</v>
      </c>
      <c r="R46" s="365">
        <v>685911.71</v>
      </c>
      <c r="S46" s="365">
        <v>0</v>
      </c>
    </row>
    <row r="47" spans="1:19" x14ac:dyDescent="0.25">
      <c r="A47" s="347" t="s">
        <v>8</v>
      </c>
      <c r="B47" s="348">
        <v>45474</v>
      </c>
      <c r="C47" s="336">
        <f t="shared" ca="1" si="0"/>
        <v>0</v>
      </c>
      <c r="D47" s="336">
        <f t="shared" ca="1" si="1"/>
        <v>0</v>
      </c>
      <c r="E47" s="501">
        <v>0</v>
      </c>
      <c r="F47" s="336">
        <f ca="1">cef[[#This Row],[CEF (obra)]]+cef[[#This Row],[Pró soluto]]+cef[[#This Row],[PJ CEF]]</f>
        <v>0</v>
      </c>
      <c r="G47" s="336">
        <f ca="1">SUMIFS(
  m.vb[valor],
  m.vb[empresa], $A47,
  m.vb[variavel], "Construção",
  m.vb[mes], $B47
)</f>
        <v>0</v>
      </c>
      <c r="H47" s="501"/>
      <c r="I47" s="336">
        <v>1163629.68</v>
      </c>
      <c r="J47" s="373">
        <f ca="1">cef[[#This Row],[Entradas]]-cef[[#This Row],[Saídas]]</f>
        <v>-1163629.68</v>
      </c>
      <c r="K47" s="336">
        <f ca="1">AVERAGE(J$31:J47)</f>
        <v>-767233.98176470585</v>
      </c>
      <c r="L47" s="419">
        <f ca="1">IFERROR(cef[[#This Row],[Entradas]]/cef[[#This Row],[Saídas]],"Sem saídas")</f>
        <v>0</v>
      </c>
      <c r="M47" s="338">
        <f ca="1">AVERAGE(L$31:L47)</f>
        <v>0.25147158001366182</v>
      </c>
      <c r="O47" s="364">
        <v>45047</v>
      </c>
      <c r="P47" s="365">
        <v>0</v>
      </c>
      <c r="Q47" s="365">
        <v>-1058788.97</v>
      </c>
      <c r="R47" s="365">
        <v>1058788.97</v>
      </c>
      <c r="S47" s="365">
        <v>0</v>
      </c>
    </row>
    <row r="48" spans="1:19" x14ac:dyDescent="0.25">
      <c r="A48" s="347" t="s">
        <v>8</v>
      </c>
      <c r="B48" s="348">
        <v>45505</v>
      </c>
      <c r="C48" s="336">
        <f t="shared" ca="1" si="0"/>
        <v>0</v>
      </c>
      <c r="D48" s="336">
        <f t="shared" ca="1" si="1"/>
        <v>0</v>
      </c>
      <c r="E48" s="501">
        <v>0</v>
      </c>
      <c r="F48" s="336">
        <f ca="1">cef[[#This Row],[CEF (obra)]]+cef[[#This Row],[Pró soluto]]+cef[[#This Row],[PJ CEF]]</f>
        <v>0</v>
      </c>
      <c r="G48" s="336">
        <f ca="1">SUMIFS(
  m.vb[valor],
  m.vb[empresa], $A48,
  m.vb[variavel], "Construção",
  m.vb[mes], $B48
)</f>
        <v>0</v>
      </c>
      <c r="H48" s="501"/>
      <c r="I48" s="336">
        <v>943808.43</v>
      </c>
      <c r="J48" s="373">
        <f ca="1">cef[[#This Row],[Entradas]]-cef[[#This Row],[Saídas]]</f>
        <v>-943808.43</v>
      </c>
      <c r="K48" s="336">
        <f ca="1">AVERAGE(J$31:J48)</f>
        <v>-777043.67333333334</v>
      </c>
      <c r="L48" s="419">
        <f ca="1">IFERROR(cef[[#This Row],[Entradas]]/cef[[#This Row],[Saídas]],"Sem saídas")</f>
        <v>0</v>
      </c>
      <c r="M48" s="338">
        <f ca="1">AVERAGE(L$31:L48)</f>
        <v>0.23750093667956948</v>
      </c>
      <c r="O48" s="364">
        <v>45078</v>
      </c>
      <c r="P48" s="365">
        <v>0</v>
      </c>
      <c r="Q48" s="365">
        <v>-425050.36</v>
      </c>
      <c r="R48" s="365">
        <v>425050.36</v>
      </c>
      <c r="S48" s="365">
        <v>0</v>
      </c>
    </row>
    <row r="49" spans="1:42" x14ac:dyDescent="0.25">
      <c r="A49" s="347" t="s">
        <v>8</v>
      </c>
      <c r="B49" s="348">
        <v>45536</v>
      </c>
      <c r="C49" s="336">
        <f t="shared" ca="1" si="0"/>
        <v>0</v>
      </c>
      <c r="D49" s="336">
        <f t="shared" ca="1" si="1"/>
        <v>0</v>
      </c>
      <c r="E49" s="501">
        <v>0</v>
      </c>
      <c r="F49" s="336">
        <f ca="1">cef[[#This Row],[CEF (obra)]]+cef[[#This Row],[Pró soluto]]+cef[[#This Row],[PJ CEF]]</f>
        <v>0</v>
      </c>
      <c r="G49" s="336">
        <f ca="1">SUMIFS(
  m.vb[valor],
  m.vb[empresa], $A49,
  m.vb[variavel], "Construção",
  m.vb[mes], $B49
)</f>
        <v>0</v>
      </c>
      <c r="H49" s="501"/>
      <c r="I49" s="336">
        <v>1334793.1499999999</v>
      </c>
      <c r="J49" s="373">
        <f ca="1">cef[[#This Row],[Entradas]]-cef[[#This Row],[Saídas]]</f>
        <v>-1334793.1499999999</v>
      </c>
      <c r="K49" s="336">
        <f ca="1">AVERAGE(J$31:J49)</f>
        <v>-806398.90894736839</v>
      </c>
      <c r="L49" s="419">
        <f ca="1">IFERROR(cef[[#This Row],[Entradas]]/cef[[#This Row],[Saídas]],"Sem saídas")</f>
        <v>0</v>
      </c>
      <c r="M49" s="338">
        <f ca="1">AVERAGE(L$31:L49)</f>
        <v>0.22500088738064478</v>
      </c>
      <c r="O49" s="364">
        <v>45108</v>
      </c>
      <c r="P49" s="365">
        <v>0</v>
      </c>
      <c r="Q49" s="365">
        <v>-627311.32999999996</v>
      </c>
      <c r="R49" s="365">
        <v>627311.32999999996</v>
      </c>
      <c r="S49" s="365">
        <v>0</v>
      </c>
    </row>
    <row r="50" spans="1:42" x14ac:dyDescent="0.25">
      <c r="A50" s="347" t="s">
        <v>8</v>
      </c>
      <c r="B50" s="348">
        <v>45566</v>
      </c>
      <c r="C50" s="336">
        <f t="shared" ca="1" si="0"/>
        <v>0</v>
      </c>
      <c r="D50" s="336">
        <f t="shared" ca="1" si="1"/>
        <v>0</v>
      </c>
      <c r="E50" s="501">
        <v>0</v>
      </c>
      <c r="F50" s="336">
        <f ca="1">cef[[#This Row],[CEF (obra)]]+cef[[#This Row],[Pró soluto]]+cef[[#This Row],[PJ CEF]]</f>
        <v>0</v>
      </c>
      <c r="G50" s="336">
        <f ca="1">SUMIFS(
  m.vb[valor],
  m.vb[empresa], $A50,
  m.vb[variavel], "Construção",
  m.vb[mes], $B50
)</f>
        <v>0</v>
      </c>
      <c r="H50" s="501"/>
      <c r="I50" s="336">
        <v>923115.5</v>
      </c>
      <c r="J50" s="373">
        <f ca="1">cef[[#This Row],[Entradas]]-cef[[#This Row],[Saídas]]</f>
        <v>-923115.5</v>
      </c>
      <c r="K50" s="336">
        <f ca="1">AVERAGE(J$31:J50)</f>
        <v>-812234.73849999998</v>
      </c>
      <c r="L50" s="419">
        <f ca="1">IFERROR(cef[[#This Row],[Entradas]]/cef[[#This Row],[Saídas]],"Sem saídas")</f>
        <v>0</v>
      </c>
      <c r="M50" s="338">
        <f ca="1">AVERAGE(L$31:L50)</f>
        <v>0.21375084301161254</v>
      </c>
      <c r="O50" s="364">
        <v>45139</v>
      </c>
      <c r="P50" s="365">
        <v>327575.88</v>
      </c>
      <c r="Q50" s="365">
        <v>-850308.74999999988</v>
      </c>
      <c r="R50" s="365">
        <v>1177884.6299999999</v>
      </c>
      <c r="S50" s="365">
        <v>655151.76</v>
      </c>
    </row>
    <row r="51" spans="1:42" x14ac:dyDescent="0.25">
      <c r="A51" s="347" t="s">
        <v>8</v>
      </c>
      <c r="B51" s="348">
        <v>45597</v>
      </c>
      <c r="C51" s="336">
        <f t="shared" ca="1" si="0"/>
        <v>0</v>
      </c>
      <c r="D51" s="336">
        <f t="shared" ca="1" si="1"/>
        <v>0</v>
      </c>
      <c r="E51" s="501">
        <v>0</v>
      </c>
      <c r="F51" s="336">
        <f ca="1">cef[[#This Row],[CEF (obra)]]+cef[[#This Row],[Pró soluto]]+cef[[#This Row],[PJ CEF]]</f>
        <v>0</v>
      </c>
      <c r="G51" s="336">
        <f ca="1">SUMIFS(
  m.vb[valor],
  m.vb[empresa], $A51,
  m.vb[variavel], "Construção",
  m.vb[mes], $B51
)</f>
        <v>0</v>
      </c>
      <c r="H51" s="501"/>
      <c r="I51" s="336">
        <v>844490.25</v>
      </c>
      <c r="J51" s="373">
        <f ca="1">cef[[#This Row],[Entradas]]-cef[[#This Row],[Saídas]]</f>
        <v>-844490.25</v>
      </c>
      <c r="K51" s="336">
        <f ca="1">AVERAGE(J$31:J51)</f>
        <v>-813770.71523809526</v>
      </c>
      <c r="L51" s="419">
        <f ca="1">IFERROR(cef[[#This Row],[Entradas]]/cef[[#This Row],[Saídas]],"Sem saídas")</f>
        <v>0</v>
      </c>
      <c r="M51" s="338">
        <f ca="1">AVERAGE(L$31:L51)</f>
        <v>0.20357223143963099</v>
      </c>
      <c r="O51" s="364">
        <v>45170</v>
      </c>
      <c r="P51" s="365">
        <v>445799.01</v>
      </c>
      <c r="Q51" s="365">
        <v>-399121.5</v>
      </c>
      <c r="R51" s="365">
        <v>844920.51</v>
      </c>
      <c r="S51" s="365">
        <v>891598.02</v>
      </c>
    </row>
    <row r="52" spans="1:42" x14ac:dyDescent="0.25">
      <c r="A52" s="347" t="s">
        <v>8</v>
      </c>
      <c r="B52" s="348">
        <v>45627</v>
      </c>
      <c r="C52" s="336">
        <f t="shared" ca="1" si="0"/>
        <v>0</v>
      </c>
      <c r="D52" s="336">
        <f t="shared" ca="1" si="1"/>
        <v>0</v>
      </c>
      <c r="E52" s="501">
        <v>0</v>
      </c>
      <c r="F52" s="336">
        <f ca="1">cef[[#This Row],[CEF (obra)]]+cef[[#This Row],[Pró soluto]]+cef[[#This Row],[PJ CEF]]</f>
        <v>0</v>
      </c>
      <c r="G52" s="336">
        <f ca="1">SUMIFS(
  m.vb[valor],
  m.vb[empresa], $A52,
  m.vb[variavel], "Construção",
  m.vb[mes], $B52
)</f>
        <v>0</v>
      </c>
      <c r="H52" s="501"/>
      <c r="I52" s="336">
        <v>795783.26</v>
      </c>
      <c r="J52" s="373">
        <f ca="1">cef[[#This Row],[Entradas]]-cef[[#This Row],[Saídas]]</f>
        <v>-795783.26</v>
      </c>
      <c r="K52" s="336">
        <f ca="1">AVERAGE(J$31:J52)</f>
        <v>-812953.10363636364</v>
      </c>
      <c r="L52" s="419">
        <f ca="1">IFERROR(cef[[#This Row],[Entradas]]/cef[[#This Row],[Saídas]],"Sem saídas")</f>
        <v>0</v>
      </c>
      <c r="M52" s="338">
        <f ca="1">AVERAGE(L$31:L52)</f>
        <v>0.19431894819237502</v>
      </c>
      <c r="O52" s="364">
        <v>45200</v>
      </c>
      <c r="P52" s="365">
        <v>0</v>
      </c>
      <c r="Q52" s="365">
        <v>-1491664.73</v>
      </c>
      <c r="R52" s="365">
        <v>1491664.73</v>
      </c>
      <c r="S52" s="365">
        <v>0</v>
      </c>
    </row>
    <row r="53" spans="1:42" x14ac:dyDescent="0.25">
      <c r="A53" s="347" t="s">
        <v>8</v>
      </c>
      <c r="B53" s="348">
        <v>45658</v>
      </c>
      <c r="C53" s="336">
        <f t="shared" ca="1" si="0"/>
        <v>0</v>
      </c>
      <c r="D53" s="336">
        <f t="shared" ca="1" si="1"/>
        <v>0</v>
      </c>
      <c r="E53" s="501">
        <v>0</v>
      </c>
      <c r="F53" s="336">
        <f ca="1">cef[[#This Row],[CEF (obra)]]+cef[[#This Row],[Pró soluto]]+cef[[#This Row],[PJ CEF]]</f>
        <v>0</v>
      </c>
      <c r="G53" s="336">
        <f ca="1">SUMIFS(
  m.vb[valor],
  m.vb[empresa], $A53,
  m.vb[variavel], "Construção",
  m.vb[mes], $B53
)</f>
        <v>0</v>
      </c>
      <c r="H53" s="501"/>
      <c r="I53" s="336">
        <v>255207.49</v>
      </c>
      <c r="J53" s="373">
        <f ca="1">cef[[#This Row],[Entradas]]-cef[[#This Row],[Saídas]]</f>
        <v>-255207.49</v>
      </c>
      <c r="K53" s="336">
        <f ca="1">AVERAGE(J$31:J53)</f>
        <v>-788703.29434782604</v>
      </c>
      <c r="L53" s="419">
        <f ca="1">IFERROR(cef[[#This Row],[Entradas]]/cef[[#This Row],[Saídas]],"Sem saídas")</f>
        <v>0</v>
      </c>
      <c r="M53" s="338">
        <f ca="1">AVERAGE(L$31:L53)</f>
        <v>0.18587029827096743</v>
      </c>
      <c r="O53" s="364">
        <v>45231</v>
      </c>
      <c r="P53" s="365">
        <v>1455283.7599999998</v>
      </c>
      <c r="Q53" s="365">
        <v>156958.0299999998</v>
      </c>
      <c r="R53" s="365">
        <v>1298325.73</v>
      </c>
      <c r="S53" s="365">
        <v>2910567.5199999996</v>
      </c>
    </row>
    <row r="54" spans="1:42" x14ac:dyDescent="0.25">
      <c r="A54" s="347" t="s">
        <v>8</v>
      </c>
      <c r="B54" s="348">
        <v>45689</v>
      </c>
      <c r="C54" s="336">
        <f t="shared" ca="1" si="0"/>
        <v>0</v>
      </c>
      <c r="D54" s="336">
        <f t="shared" ca="1" si="1"/>
        <v>0</v>
      </c>
      <c r="E54" s="501">
        <v>0</v>
      </c>
      <c r="F54" s="336">
        <f ca="1">cef[[#This Row],[CEF (obra)]]+cef[[#This Row],[Pró soluto]]+cef[[#This Row],[PJ CEF]]</f>
        <v>0</v>
      </c>
      <c r="G54" s="336">
        <f ca="1">SUMIFS(
  m.vb[valor],
  m.vb[empresa], $A54,
  m.vb[variavel], "Construção",
  m.vb[mes], $B54
)</f>
        <v>0</v>
      </c>
      <c r="H54" s="501"/>
      <c r="I54" s="336">
        <v>428770.89</v>
      </c>
      <c r="J54" s="373">
        <f ca="1">cef[[#This Row],[Entradas]]-cef[[#This Row],[Saídas]]</f>
        <v>-428770.89</v>
      </c>
      <c r="K54" s="336">
        <f ca="1">AVERAGE(J$31:J54)</f>
        <v>-773706.11083333334</v>
      </c>
      <c r="L54" s="419">
        <f ca="1">IFERROR(cef[[#This Row],[Entradas]]/cef[[#This Row],[Saídas]],"Sem saídas")</f>
        <v>0</v>
      </c>
      <c r="M54" s="338">
        <f ca="1">AVERAGE(L$31:L54)</f>
        <v>0.1781257025096771</v>
      </c>
      <c r="O54" s="364">
        <v>45261</v>
      </c>
      <c r="P54" s="365">
        <v>0</v>
      </c>
      <c r="Q54" s="365">
        <v>-1443609.06</v>
      </c>
      <c r="R54" s="365">
        <v>1443609.06</v>
      </c>
      <c r="S54" s="365">
        <v>0</v>
      </c>
    </row>
    <row r="55" spans="1:42" x14ac:dyDescent="0.25">
      <c r="A55" s="347" t="s">
        <v>8</v>
      </c>
      <c r="B55" s="348">
        <v>45717</v>
      </c>
      <c r="C55" s="336">
        <f t="shared" ca="1" si="0"/>
        <v>0</v>
      </c>
      <c r="D55" s="336">
        <f t="shared" ca="1" si="1"/>
        <v>0</v>
      </c>
      <c r="E55" s="501">
        <v>0</v>
      </c>
      <c r="F55" s="336">
        <f ca="1">cef[[#This Row],[CEF (obra)]]+cef[[#This Row],[Pró soluto]]+cef[[#This Row],[PJ CEF]]</f>
        <v>0</v>
      </c>
      <c r="G55" s="336">
        <f ca="1">SUMIFS(
  m.vb[valor],
  m.vb[empresa], $A55,
  m.vb[variavel], "Construção",
  m.vb[mes], $B55
)</f>
        <v>0</v>
      </c>
      <c r="H55" s="501"/>
      <c r="I55" s="336">
        <v>358365.96</v>
      </c>
      <c r="J55" s="373">
        <f ca="1">cef[[#This Row],[Entradas]]-cef[[#This Row],[Saídas]]</f>
        <v>-358365.96</v>
      </c>
      <c r="K55" s="336">
        <f ca="1">AVERAGE(J$31:J55)</f>
        <v>-757092.5048</v>
      </c>
      <c r="L55" s="419">
        <f ca="1">IFERROR(cef[[#This Row],[Entradas]]/cef[[#This Row],[Saídas]],"Sem saídas")</f>
        <v>0</v>
      </c>
      <c r="M55" s="338">
        <f ca="1">AVERAGE(L$31:L55)</f>
        <v>0.17100067440929004</v>
      </c>
      <c r="O55" s="364">
        <v>45292</v>
      </c>
      <c r="P55" s="365">
        <v>1292869.73</v>
      </c>
      <c r="Q55" s="365">
        <v>-3173.6799999999348</v>
      </c>
      <c r="R55" s="365">
        <v>1296043.4099999999</v>
      </c>
      <c r="S55" s="365">
        <v>2585739.46</v>
      </c>
    </row>
    <row r="56" spans="1:42" x14ac:dyDescent="0.25">
      <c r="A56" s="347" t="s">
        <v>8</v>
      </c>
      <c r="B56" s="348">
        <v>45748</v>
      </c>
      <c r="C56" s="336">
        <f t="shared" ca="1" si="0"/>
        <v>0</v>
      </c>
      <c r="D56" s="336">
        <f t="shared" ca="1" si="1"/>
        <v>0</v>
      </c>
      <c r="E56" s="501">
        <v>0</v>
      </c>
      <c r="F56" s="336">
        <f ca="1">cef[[#This Row],[CEF (obra)]]+cef[[#This Row],[Pró soluto]]+cef[[#This Row],[PJ CEF]]</f>
        <v>0</v>
      </c>
      <c r="G56" s="336">
        <f ca="1">SUMIFS(
  m.vb[valor],
  m.vb[empresa], $A56,
  m.vb[variavel], "Construção",
  m.vb[mes], $B56
)</f>
        <v>0</v>
      </c>
      <c r="H56" s="501"/>
      <c r="I56" s="336">
        <v>398490.66</v>
      </c>
      <c r="J56" s="373">
        <f ca="1">cef[[#This Row],[Entradas]]-cef[[#This Row],[Saídas]]</f>
        <v>-398490.66</v>
      </c>
      <c r="K56" s="336">
        <f ca="1">AVERAGE(J$31:J56)</f>
        <v>-743300.12615384615</v>
      </c>
      <c r="L56" s="419">
        <f ca="1">IFERROR(cef[[#This Row],[Entradas]]/cef[[#This Row],[Saídas]],"Sem saídas")</f>
        <v>0</v>
      </c>
      <c r="M56" s="338">
        <f ca="1">AVERAGE(L$31:L56)</f>
        <v>0.1644237253935481</v>
      </c>
      <c r="O56" s="364">
        <v>45323</v>
      </c>
      <c r="P56" s="365">
        <v>641961.35</v>
      </c>
      <c r="Q56" s="365">
        <v>-512074.66000000003</v>
      </c>
      <c r="R56" s="365">
        <v>1154036.01</v>
      </c>
      <c r="S56" s="365">
        <v>1283922.7</v>
      </c>
      <c r="AB56" s="372" t="s">
        <v>876</v>
      </c>
      <c r="AC56" s="372" t="s">
        <v>872</v>
      </c>
      <c r="AJ56" s="372" t="s">
        <v>877</v>
      </c>
      <c r="AK56" s="372" t="s">
        <v>872</v>
      </c>
    </row>
    <row r="57" spans="1:42" x14ac:dyDescent="0.25">
      <c r="A57" s="347" t="s">
        <v>8</v>
      </c>
      <c r="B57" s="348">
        <v>45778</v>
      </c>
      <c r="C57" s="336">
        <f t="shared" ca="1" si="0"/>
        <v>0</v>
      </c>
      <c r="D57" s="336">
        <f t="shared" ca="1" si="1"/>
        <v>0</v>
      </c>
      <c r="E57" s="501">
        <v>0</v>
      </c>
      <c r="F57" s="336">
        <f ca="1">cef[[#This Row],[CEF (obra)]]+cef[[#This Row],[Pró soluto]]+cef[[#This Row],[PJ CEF]]</f>
        <v>0</v>
      </c>
      <c r="G57" s="336">
        <f ca="1">SUMIFS(
  m.vb[valor],
  m.vb[empresa], $A57,
  m.vb[variavel], "Construção",
  m.vb[mes], $B57
)</f>
        <v>0</v>
      </c>
      <c r="H57" s="501"/>
      <c r="I57" s="336">
        <v>365233.7</v>
      </c>
      <c r="J57" s="373">
        <f ca="1">cef[[#This Row],[Entradas]]-cef[[#This Row],[Saídas]]</f>
        <v>-365233.7</v>
      </c>
      <c r="K57" s="336">
        <f ca="1">AVERAGE(J$31:J57)</f>
        <v>-729297.66592592595</v>
      </c>
      <c r="L57" s="419">
        <f ca="1">IFERROR(cef[[#This Row],[Entradas]]/cef[[#This Row],[Saídas]],"Sem saídas")</f>
        <v>0</v>
      </c>
      <c r="M57" s="338">
        <f ca="1">AVERAGE(L$31:L57)</f>
        <v>0.15833395778637965</v>
      </c>
      <c r="O57" s="364">
        <v>45352</v>
      </c>
      <c r="P57" s="365">
        <v>815741.01</v>
      </c>
      <c r="Q57" s="365">
        <v>-726412.69000000018</v>
      </c>
      <c r="R57" s="365">
        <v>1542153.7000000002</v>
      </c>
      <c r="S57" s="365">
        <v>1631482.02</v>
      </c>
      <c r="AB57" s="372" t="s">
        <v>873</v>
      </c>
      <c r="AC57" t="s">
        <v>7</v>
      </c>
      <c r="AD57" t="s">
        <v>8</v>
      </c>
      <c r="AE57" t="s">
        <v>9</v>
      </c>
      <c r="AF57" t="s">
        <v>10</v>
      </c>
      <c r="AG57" t="s">
        <v>12</v>
      </c>
      <c r="AH57" t="s">
        <v>875</v>
      </c>
      <c r="AJ57" s="372" t="s">
        <v>873</v>
      </c>
      <c r="AK57" t="s">
        <v>7</v>
      </c>
      <c r="AL57" t="s">
        <v>8</v>
      </c>
      <c r="AM57" t="s">
        <v>9</v>
      </c>
      <c r="AN57" t="s">
        <v>10</v>
      </c>
      <c r="AO57" t="s">
        <v>12</v>
      </c>
      <c r="AP57" t="s">
        <v>875</v>
      </c>
    </row>
    <row r="58" spans="1:42" x14ac:dyDescent="0.25">
      <c r="A58" s="347" t="s">
        <v>8</v>
      </c>
      <c r="B58" s="348">
        <v>45809</v>
      </c>
      <c r="C58" s="336">
        <f t="shared" ca="1" si="0"/>
        <v>0</v>
      </c>
      <c r="D58" s="336">
        <f t="shared" ca="1" si="1"/>
        <v>0</v>
      </c>
      <c r="E58" s="501">
        <v>0</v>
      </c>
      <c r="F58" s="336">
        <f ca="1">cef[[#This Row],[CEF (obra)]]+cef[[#This Row],[Pró soluto]]+cef[[#This Row],[PJ CEF]]</f>
        <v>0</v>
      </c>
      <c r="G58" s="336">
        <f ca="1">SUMIFS(
  m.vb[valor],
  m.vb[empresa], $A58,
  m.vb[variavel], "Construção",
  m.vb[mes], $B58
)</f>
        <v>0</v>
      </c>
      <c r="H58" s="501"/>
      <c r="I58" s="336">
        <v>336289.09</v>
      </c>
      <c r="J58" s="373">
        <f ca="1">cef[[#This Row],[Entradas]]-cef[[#This Row],[Saídas]]</f>
        <v>-336289.09</v>
      </c>
      <c r="K58" s="336">
        <f ca="1">AVERAGE(J$31:J58)</f>
        <v>-715261.6453571429</v>
      </c>
      <c r="L58" s="419">
        <f ca="1">IFERROR(cef[[#This Row],[Entradas]]/cef[[#This Row],[Saídas]],"Sem saídas")</f>
        <v>0</v>
      </c>
      <c r="M58" s="338">
        <f ca="1">AVERAGE(L$31:L58)</f>
        <v>0.15267917357972324</v>
      </c>
      <c r="O58" s="364">
        <v>45383</v>
      </c>
      <c r="P58" s="365">
        <v>1073646.3900000001</v>
      </c>
      <c r="Q58" s="365">
        <v>-745362.98999999987</v>
      </c>
      <c r="R58" s="365">
        <v>1819009.38</v>
      </c>
      <c r="S58" s="365">
        <v>2147292.7800000003</v>
      </c>
      <c r="AB58" s="366">
        <v>44986</v>
      </c>
      <c r="AD58" s="367">
        <v>1.1842652654543053</v>
      </c>
      <c r="AE58" s="367"/>
      <c r="AF58" s="367"/>
      <c r="AG58" s="367"/>
      <c r="AH58" s="367">
        <v>1.1842652654543053</v>
      </c>
      <c r="AJ58" s="366">
        <v>44986</v>
      </c>
      <c r="AK58" s="368"/>
      <c r="AL58" s="368">
        <v>146318.1999999996</v>
      </c>
      <c r="AM58" s="368"/>
      <c r="AN58" s="368"/>
      <c r="AO58" s="368"/>
      <c r="AP58" s="368">
        <v>146318.1999999996</v>
      </c>
    </row>
    <row r="59" spans="1:42" x14ac:dyDescent="0.25">
      <c r="A59" s="347" t="s">
        <v>8</v>
      </c>
      <c r="B59" s="348">
        <v>45839</v>
      </c>
      <c r="C59" s="336">
        <f t="shared" ca="1" si="0"/>
        <v>0</v>
      </c>
      <c r="D59" s="336">
        <f t="shared" ca="1" si="1"/>
        <v>0</v>
      </c>
      <c r="E59" s="501">
        <v>0</v>
      </c>
      <c r="F59" s="336">
        <f ca="1">cef[[#This Row],[CEF (obra)]]+cef[[#This Row],[Pró soluto]]+cef[[#This Row],[PJ CEF]]</f>
        <v>0</v>
      </c>
      <c r="G59" s="336">
        <f ca="1">SUMIFS(
  m.vb[valor],
  m.vb[empresa], $A59,
  m.vb[variavel], "Construção",
  m.vb[mes], $B59
)</f>
        <v>0</v>
      </c>
      <c r="H59" s="501"/>
      <c r="I59" s="336">
        <v>379455.88</v>
      </c>
      <c r="J59" s="373">
        <f ca="1">cef[[#This Row],[Entradas]]-cef[[#This Row],[Saídas]]</f>
        <v>-379455.88</v>
      </c>
      <c r="K59" s="336">
        <f ca="1">AVERAGE(J$31:J59)</f>
        <v>-703682.13620689651</v>
      </c>
      <c r="L59" s="419">
        <f ca="1">IFERROR(cef[[#This Row],[Entradas]]/cef[[#This Row],[Saídas]],"Sem saídas")</f>
        <v>0</v>
      </c>
      <c r="M59" s="338">
        <f ca="1">AVERAGE(L$31:L59)</f>
        <v>0.14741437449076727</v>
      </c>
      <c r="O59" s="364">
        <v>45413</v>
      </c>
      <c r="P59" s="365">
        <v>0</v>
      </c>
      <c r="Q59" s="365">
        <v>-2380235.87</v>
      </c>
      <c r="R59" s="365">
        <v>2380235.87</v>
      </c>
      <c r="S59" s="365">
        <v>0</v>
      </c>
      <c r="AB59" s="366">
        <v>45017</v>
      </c>
      <c r="AD59" s="367">
        <v>0</v>
      </c>
      <c r="AE59" s="367"/>
      <c r="AF59" s="367"/>
      <c r="AG59" s="367"/>
      <c r="AH59" s="367">
        <v>0</v>
      </c>
      <c r="AJ59" s="366">
        <v>45017</v>
      </c>
      <c r="AK59" s="368"/>
      <c r="AL59" s="368">
        <v>-739987.27499999991</v>
      </c>
      <c r="AM59" s="368"/>
      <c r="AN59" s="368"/>
      <c r="AO59" s="368"/>
      <c r="AP59" s="368">
        <v>-739987.27499999991</v>
      </c>
    </row>
    <row r="60" spans="1:42" x14ac:dyDescent="0.25">
      <c r="A60" s="347" t="s">
        <v>8</v>
      </c>
      <c r="B60" s="348">
        <v>45870</v>
      </c>
      <c r="C60" s="336">
        <f t="shared" ca="1" si="0"/>
        <v>0</v>
      </c>
      <c r="D60" s="336">
        <f t="shared" ca="1" si="1"/>
        <v>0</v>
      </c>
      <c r="E60" s="501">
        <v>0</v>
      </c>
      <c r="F60" s="336">
        <f ca="1">cef[[#This Row],[CEF (obra)]]+cef[[#This Row],[Pró soluto]]+cef[[#This Row],[PJ CEF]]</f>
        <v>0</v>
      </c>
      <c r="G60" s="336">
        <f ca="1">SUMIFS(
  m.vb[valor],
  m.vb[empresa], $A60,
  m.vb[variavel], "Construção",
  m.vb[mes], $B60
)</f>
        <v>0</v>
      </c>
      <c r="H60" s="501"/>
      <c r="I60" s="336">
        <v>150991.6</v>
      </c>
      <c r="J60" s="373">
        <f ca="1">cef[[#This Row],[Entradas]]-cef[[#This Row],[Saídas]]</f>
        <v>-150991.6</v>
      </c>
      <c r="K60" s="336">
        <f ca="1">AVERAGE(J$31:J60)</f>
        <v>-685259.1183333334</v>
      </c>
      <c r="L60" s="419">
        <f ca="1">IFERROR(cef[[#This Row],[Entradas]]/cef[[#This Row],[Saídas]],"Sem saídas")</f>
        <v>0</v>
      </c>
      <c r="M60" s="338">
        <f ca="1">AVERAGE(L$31:L60)</f>
        <v>0.14250056200774169</v>
      </c>
      <c r="O60" s="364">
        <v>45444</v>
      </c>
      <c r="P60" s="365">
        <v>0</v>
      </c>
      <c r="Q60" s="365">
        <v>-1538080.78</v>
      </c>
      <c r="R60" s="365">
        <v>1538080.78</v>
      </c>
      <c r="S60" s="365">
        <v>0</v>
      </c>
      <c r="AB60" s="366">
        <v>45047</v>
      </c>
      <c r="AD60" s="367">
        <v>0</v>
      </c>
      <c r="AE60" s="367"/>
      <c r="AF60" s="367"/>
      <c r="AG60" s="367"/>
      <c r="AH60" s="367">
        <v>0</v>
      </c>
      <c r="AJ60" s="366">
        <v>45047</v>
      </c>
      <c r="AK60" s="368"/>
      <c r="AL60" s="368">
        <v>-846254.50666666648</v>
      </c>
      <c r="AM60" s="368"/>
      <c r="AN60" s="368"/>
      <c r="AO60" s="368"/>
      <c r="AP60" s="368">
        <v>-846254.50666666648</v>
      </c>
    </row>
    <row r="61" spans="1:42" x14ac:dyDescent="0.25">
      <c r="A61" s="347" t="s">
        <v>8</v>
      </c>
      <c r="B61" s="348">
        <v>45901</v>
      </c>
      <c r="C61" s="336">
        <f t="shared" ca="1" si="0"/>
        <v>0</v>
      </c>
      <c r="D61" s="336">
        <f t="shared" ca="1" si="1"/>
        <v>0</v>
      </c>
      <c r="E61" s="501">
        <v>0</v>
      </c>
      <c r="F61" s="336">
        <f ca="1">cef[[#This Row],[CEF (obra)]]+cef[[#This Row],[Pró soluto]]+cef[[#This Row],[PJ CEF]]</f>
        <v>0</v>
      </c>
      <c r="G61" s="336">
        <f ca="1">SUMIFS(
  m.vb[valor],
  m.vb[empresa], $A61,
  m.vb[variavel], "Construção",
  m.vb[mes], $B61
)</f>
        <v>0</v>
      </c>
      <c r="H61" s="501"/>
      <c r="I61" s="336">
        <v>176268.05</v>
      </c>
      <c r="J61" s="373">
        <f ca="1">cef[[#This Row],[Entradas]]-cef[[#This Row],[Saídas]]</f>
        <v>-176268.05</v>
      </c>
      <c r="K61" s="336">
        <f ca="1">AVERAGE(J$31:J61)</f>
        <v>-668840.05161290325</v>
      </c>
      <c r="L61" s="419">
        <f ca="1">IFERROR(cef[[#This Row],[Entradas]]/cef[[#This Row],[Saídas]],"Sem saídas")</f>
        <v>0</v>
      </c>
      <c r="M61" s="338">
        <f ca="1">AVERAGE(L$31:L61)</f>
        <v>0.1379037696849113</v>
      </c>
      <c r="O61" s="364">
        <v>45474</v>
      </c>
      <c r="P61" s="365">
        <v>0</v>
      </c>
      <c r="Q61" s="365">
        <v>-1928144.4</v>
      </c>
      <c r="R61" s="365">
        <v>1928144.4</v>
      </c>
      <c r="S61" s="365">
        <v>0</v>
      </c>
      <c r="AB61" s="366">
        <v>45078</v>
      </c>
      <c r="AD61" s="367">
        <v>0</v>
      </c>
      <c r="AE61" s="367"/>
      <c r="AF61" s="367"/>
      <c r="AG61" s="367"/>
      <c r="AH61" s="367">
        <v>0</v>
      </c>
      <c r="AJ61" s="366">
        <v>45078</v>
      </c>
      <c r="AK61" s="368"/>
      <c r="AL61" s="368">
        <v>-740953.46999999986</v>
      </c>
      <c r="AM61" s="368"/>
      <c r="AN61" s="368"/>
      <c r="AO61" s="368"/>
      <c r="AP61" s="368">
        <v>-740953.46999999986</v>
      </c>
    </row>
    <row r="62" spans="1:42" x14ac:dyDescent="0.25">
      <c r="A62" s="347" t="s">
        <v>8</v>
      </c>
      <c r="B62" s="348">
        <v>45931</v>
      </c>
      <c r="C62" s="336">
        <f t="shared" ca="1" si="0"/>
        <v>0</v>
      </c>
      <c r="D62" s="336">
        <f t="shared" ca="1" si="1"/>
        <v>0</v>
      </c>
      <c r="E62" s="501">
        <v>0</v>
      </c>
      <c r="F62" s="336">
        <f ca="1">cef[[#This Row],[CEF (obra)]]+cef[[#This Row],[Pró soluto]]+cef[[#This Row],[PJ CEF]]</f>
        <v>0</v>
      </c>
      <c r="G62" s="336">
        <f ca="1">SUMIFS(
  m.vb[valor],
  m.vb[empresa], $A62,
  m.vb[variavel], "Construção",
  m.vb[mes], $B62
)</f>
        <v>0</v>
      </c>
      <c r="H62" s="501"/>
      <c r="I62" s="336">
        <v>108423.88</v>
      </c>
      <c r="J62" s="373">
        <f ca="1">cef[[#This Row],[Entradas]]-cef[[#This Row],[Saídas]]</f>
        <v>-108423.88</v>
      </c>
      <c r="K62" s="336">
        <f ca="1">AVERAGE(J$31:J62)</f>
        <v>-651327.04625000001</v>
      </c>
      <c r="L62" s="419">
        <f ca="1">IFERROR(cef[[#This Row],[Entradas]]/cef[[#This Row],[Saídas]],"Sem saídas")</f>
        <v>0</v>
      </c>
      <c r="M62" s="338">
        <f ca="1">AVERAGE(L$31:L62)</f>
        <v>0.13359427688225783</v>
      </c>
      <c r="O62" s="364">
        <v>45505</v>
      </c>
      <c r="P62" s="365">
        <v>0</v>
      </c>
      <c r="Q62" s="365">
        <v>-1656981.02</v>
      </c>
      <c r="R62" s="365">
        <v>1656981.02</v>
      </c>
      <c r="S62" s="365">
        <v>0</v>
      </c>
      <c r="AB62" s="366">
        <v>45108</v>
      </c>
      <c r="AD62" s="367">
        <v>0</v>
      </c>
      <c r="AE62" s="367"/>
      <c r="AF62" s="367"/>
      <c r="AG62" s="367"/>
      <c r="AH62" s="367">
        <v>0</v>
      </c>
      <c r="AJ62" s="366">
        <v>45108</v>
      </c>
      <c r="AK62" s="368"/>
      <c r="AL62" s="368">
        <v>-718225.0419999999</v>
      </c>
      <c r="AM62" s="368"/>
      <c r="AN62" s="368"/>
      <c r="AO62" s="368"/>
      <c r="AP62" s="368">
        <v>-718225.0419999999</v>
      </c>
    </row>
    <row r="63" spans="1:42" x14ac:dyDescent="0.25">
      <c r="A63" s="369" t="s">
        <v>8</v>
      </c>
      <c r="B63" s="370">
        <v>45962</v>
      </c>
      <c r="C63" s="371">
        <f t="shared" ca="1" si="0"/>
        <v>0</v>
      </c>
      <c r="D63" s="371">
        <f t="shared" ca="1" si="1"/>
        <v>0</v>
      </c>
      <c r="E63" s="501">
        <v>0</v>
      </c>
      <c r="F63" s="371">
        <f ca="1">cef[[#This Row],[CEF (obra)]]+cef[[#This Row],[Pró soluto]]+cef[[#This Row],[PJ CEF]]</f>
        <v>0</v>
      </c>
      <c r="G63" s="371">
        <f ca="1">SUMIFS(
  m.vb[valor],
  m.vb[empresa], $A63,
  m.vb[variavel], "Construção",
  m.vb[mes], $B63
)</f>
        <v>0</v>
      </c>
      <c r="H63" s="501"/>
      <c r="I63" s="371">
        <v>20272.82</v>
      </c>
      <c r="J63" s="375">
        <f ca="1">cef[[#This Row],[Entradas]]-cef[[#This Row],[Saídas]]</f>
        <v>-20272.82</v>
      </c>
      <c r="K63" s="336">
        <f ca="1">AVERAGE(J$31:J63)</f>
        <v>-632204.19090909092</v>
      </c>
      <c r="L63" s="419">
        <f ca="1">IFERROR(cef[[#This Row],[Entradas]]/cef[[#This Row],[Saídas]],"Sem saídas")</f>
        <v>0</v>
      </c>
      <c r="M63" s="338">
        <f ca="1">AVERAGE(L$31:L63)</f>
        <v>0.12954596546158337</v>
      </c>
      <c r="O63" s="364">
        <v>45536</v>
      </c>
      <c r="P63" s="365">
        <v>198297.96</v>
      </c>
      <c r="Q63" s="365">
        <v>-2088599.12</v>
      </c>
      <c r="R63" s="365">
        <v>2286897.08</v>
      </c>
      <c r="S63" s="365">
        <v>396595.91999999993</v>
      </c>
      <c r="AB63" s="366">
        <v>45139</v>
      </c>
      <c r="AD63" s="367">
        <v>4.6350872241197348E-2</v>
      </c>
      <c r="AE63" s="367"/>
      <c r="AF63" s="367"/>
      <c r="AG63" s="367"/>
      <c r="AH63" s="367">
        <v>4.6350872241197348E-2</v>
      </c>
      <c r="AJ63" s="366">
        <v>45139</v>
      </c>
      <c r="AK63" s="368"/>
      <c r="AL63" s="368">
        <v>-740238.99333333317</v>
      </c>
      <c r="AM63" s="368"/>
      <c r="AN63" s="368"/>
      <c r="AO63" s="368"/>
      <c r="AP63" s="368">
        <v>-740238.99333333317</v>
      </c>
    </row>
    <row r="64" spans="1:42" x14ac:dyDescent="0.25">
      <c r="A64" s="369" t="s">
        <v>8</v>
      </c>
      <c r="B64" s="370">
        <v>45992</v>
      </c>
      <c r="C64" s="371">
        <f t="shared" ca="1" si="0"/>
        <v>0</v>
      </c>
      <c r="D64" s="371">
        <f t="shared" ca="1" si="1"/>
        <v>0</v>
      </c>
      <c r="E64" s="501">
        <v>0</v>
      </c>
      <c r="F64" s="371">
        <f ca="1">cef[[#This Row],[CEF (obra)]]+cef[[#This Row],[Pró soluto]]+cef[[#This Row],[PJ CEF]]</f>
        <v>0</v>
      </c>
      <c r="G64" s="371">
        <f ca="1">SUMIFS(
  m.vb[valor],
  m.vb[empresa], $A64,
  m.vb[variavel], "Construção",
  m.vb[mes], $B64
)</f>
        <v>0</v>
      </c>
      <c r="H64" s="501"/>
      <c r="I64" s="371">
        <v>37839.269999999997</v>
      </c>
      <c r="J64" s="375">
        <f ca="1">cef[[#This Row],[Entradas]]-cef[[#This Row],[Saídas]]</f>
        <v>-37839.269999999997</v>
      </c>
      <c r="K64" s="336">
        <f ca="1">AVERAGE(J$31:J64)</f>
        <v>-614722.86970588239</v>
      </c>
      <c r="L64" s="419">
        <f ca="1">IFERROR(cef[[#This Row],[Entradas]]/cef[[#This Row],[Saídas]],"Sem saídas")</f>
        <v>0</v>
      </c>
      <c r="M64" s="338">
        <f ca="1">AVERAGE(L$31:L64)</f>
        <v>0.12573579000683091</v>
      </c>
      <c r="O64" s="364">
        <v>45566</v>
      </c>
      <c r="P64" s="365">
        <v>473587.72</v>
      </c>
      <c r="Q64" s="365">
        <v>-1548061.29</v>
      </c>
      <c r="R64" s="365">
        <v>2021649.01</v>
      </c>
      <c r="S64" s="365">
        <v>947175.44</v>
      </c>
      <c r="AB64" s="366">
        <v>45170</v>
      </c>
      <c r="AD64" s="367">
        <v>0.11510395147414752</v>
      </c>
      <c r="AE64" s="367"/>
      <c r="AF64" s="367"/>
      <c r="AG64" s="367"/>
      <c r="AH64" s="367">
        <v>0.11510395147414752</v>
      </c>
      <c r="AJ64" s="366">
        <v>45170</v>
      </c>
      <c r="AK64" s="368"/>
      <c r="AL64" s="368">
        <v>-691507.92285714275</v>
      </c>
      <c r="AM64" s="368"/>
      <c r="AN64" s="368"/>
      <c r="AO64" s="368"/>
      <c r="AP64" s="368">
        <v>-691507.92285714275</v>
      </c>
    </row>
    <row r="65" spans="1:42" x14ac:dyDescent="0.25">
      <c r="A65" s="369" t="s">
        <v>8</v>
      </c>
      <c r="B65" s="370">
        <v>46023</v>
      </c>
      <c r="C65" s="371">
        <f t="shared" ca="1" si="0"/>
        <v>0</v>
      </c>
      <c r="D65" s="371">
        <f t="shared" ca="1" si="1"/>
        <v>0</v>
      </c>
      <c r="E65" s="501">
        <v>0</v>
      </c>
      <c r="F65" s="371">
        <f ca="1">cef[[#This Row],[CEF (obra)]]+cef[[#This Row],[Pró soluto]]+cef[[#This Row],[PJ CEF]]</f>
        <v>0</v>
      </c>
      <c r="G65" s="371">
        <f ca="1">SUMIFS(
  m.vb[valor],
  m.vb[empresa], $A65,
  m.vb[variavel], "Construção",
  m.vb[mes], $B65
)</f>
        <v>0</v>
      </c>
      <c r="H65" s="501"/>
      <c r="I65" s="371">
        <v>25008.31</v>
      </c>
      <c r="J65" s="375">
        <f ca="1">cef[[#This Row],[Entradas]]-cef[[#This Row],[Saídas]]</f>
        <v>-25008.31</v>
      </c>
      <c r="K65" s="336">
        <f ca="1">AVERAGE(J$31:J65)</f>
        <v>-597873.88228571427</v>
      </c>
      <c r="L65" s="419">
        <f ca="1">IFERROR(cef[[#This Row],[Entradas]]/cef[[#This Row],[Saídas]],"Sem saídas")</f>
        <v>0</v>
      </c>
      <c r="M65" s="338">
        <f ca="1">AVERAGE(L$31:L65)</f>
        <v>0.12214333886377859</v>
      </c>
      <c r="O65" s="364">
        <v>45597</v>
      </c>
      <c r="P65" s="365">
        <v>0</v>
      </c>
      <c r="Q65" s="365">
        <v>-2168514.9699999997</v>
      </c>
      <c r="R65" s="365">
        <v>2168514.9699999997</v>
      </c>
      <c r="S65" s="365">
        <v>0</v>
      </c>
      <c r="AB65" s="366">
        <v>45200</v>
      </c>
      <c r="AD65" s="367">
        <v>0.10071595753987908</v>
      </c>
      <c r="AE65" s="367"/>
      <c r="AF65" s="367"/>
      <c r="AG65" s="367"/>
      <c r="AH65" s="367">
        <v>0.10071595753987908</v>
      </c>
      <c r="AJ65" s="366">
        <v>45200</v>
      </c>
      <c r="AK65" s="368"/>
      <c r="AL65" s="368">
        <v>-791527.52374999993</v>
      </c>
      <c r="AM65" s="368"/>
      <c r="AN65" s="368"/>
      <c r="AO65" s="368"/>
      <c r="AP65" s="368">
        <v>-791527.52374999993</v>
      </c>
    </row>
    <row r="66" spans="1:42" x14ac:dyDescent="0.25">
      <c r="A66" s="369" t="s">
        <v>8</v>
      </c>
      <c r="B66" s="370">
        <v>46054</v>
      </c>
      <c r="C66" s="371">
        <f t="shared" ca="1" si="0"/>
        <v>0</v>
      </c>
      <c r="D66" s="371">
        <f t="shared" ca="1" si="1"/>
        <v>0</v>
      </c>
      <c r="E66" s="501">
        <v>0</v>
      </c>
      <c r="F66" s="371">
        <f ca="1">cef[[#This Row],[CEF (obra)]]+cef[[#This Row],[Pró soluto]]+cef[[#This Row],[PJ CEF]]</f>
        <v>0</v>
      </c>
      <c r="G66" s="371">
        <f ca="1">SUMIFS(
  m.vb[valor],
  m.vb[empresa], $A66,
  m.vb[variavel], "Construção",
  m.vb[mes], $B66
)</f>
        <v>0</v>
      </c>
      <c r="H66" s="501"/>
      <c r="I66" s="371">
        <v>23018.02</v>
      </c>
      <c r="J66" s="375">
        <f ca="1">cef[[#This Row],[Entradas]]-cef[[#This Row],[Saídas]]</f>
        <v>-23018.02</v>
      </c>
      <c r="K66" s="336">
        <f ca="1">AVERAGE(J$31:J66)</f>
        <v>-581905.6638888889</v>
      </c>
      <c r="L66" s="419">
        <f ca="1">IFERROR(cef[[#This Row],[Entradas]]/cef[[#This Row],[Saídas]],"Sem saídas")</f>
        <v>0</v>
      </c>
      <c r="M66" s="338">
        <f ca="1">AVERAGE(L$31:L66)</f>
        <v>0.11875046833978474</v>
      </c>
      <c r="O66" s="364">
        <v>45627</v>
      </c>
      <c r="P66" s="365">
        <v>1222059.4099999999</v>
      </c>
      <c r="Q66" s="365">
        <v>-1083489.8500000001</v>
      </c>
      <c r="R66" s="365">
        <v>2305549.2599999998</v>
      </c>
      <c r="S66" s="365">
        <v>2444118.8199999994</v>
      </c>
      <c r="AB66" s="366">
        <v>45231</v>
      </c>
      <c r="AD66" s="367">
        <v>0.21406892267875727</v>
      </c>
      <c r="AE66" s="367"/>
      <c r="AF66" s="367"/>
      <c r="AG66" s="367"/>
      <c r="AH66" s="367">
        <v>0.21406892267875727</v>
      </c>
      <c r="AJ66" s="366">
        <v>45231</v>
      </c>
      <c r="AK66" s="368"/>
      <c r="AL66" s="368">
        <v>-686140.24</v>
      </c>
      <c r="AM66" s="368"/>
      <c r="AN66" s="368"/>
      <c r="AO66" s="368"/>
      <c r="AP66" s="368">
        <v>-686140.24</v>
      </c>
    </row>
    <row r="67" spans="1:42" x14ac:dyDescent="0.25">
      <c r="A67" s="369" t="s">
        <v>8</v>
      </c>
      <c r="B67" s="370">
        <v>46082</v>
      </c>
      <c r="C67" s="371">
        <f t="shared" ca="1" si="0"/>
        <v>0</v>
      </c>
      <c r="D67" s="371">
        <f t="shared" ca="1" si="1"/>
        <v>0</v>
      </c>
      <c r="E67" s="501">
        <v>0</v>
      </c>
      <c r="F67" s="371">
        <f ca="1">cef[[#This Row],[CEF (obra)]]+cef[[#This Row],[Pró soluto]]+cef[[#This Row],[PJ CEF]]</f>
        <v>0</v>
      </c>
      <c r="G67" s="371">
        <f ca="1">SUMIFS(
  m.vb[valor],
  m.vb[empresa], $A67,
  m.vb[variavel], "Construção",
  m.vb[mes], $B67
)</f>
        <v>0</v>
      </c>
      <c r="H67" s="501"/>
      <c r="I67" s="371">
        <v>18916.47</v>
      </c>
      <c r="J67" s="375">
        <f ca="1">cef[[#This Row],[Entradas]]-cef[[#This Row],[Saídas]]</f>
        <v>-18916.47</v>
      </c>
      <c r="K67" s="336">
        <f ca="1">AVERAGE(J$31:J67)</f>
        <v>-566689.73972972971</v>
      </c>
      <c r="L67" s="419">
        <f ca="1">IFERROR(cef[[#This Row],[Entradas]]/cef[[#This Row],[Saídas]],"Sem saídas")</f>
        <v>0</v>
      </c>
      <c r="M67" s="338">
        <f ca="1">AVERAGE(L$31:L67)</f>
        <v>0.11554099622249327</v>
      </c>
      <c r="O67" s="364">
        <v>45658</v>
      </c>
      <c r="P67" s="365">
        <v>489068.85</v>
      </c>
      <c r="Q67" s="365">
        <v>-570958.53</v>
      </c>
      <c r="R67" s="365">
        <v>1060027.3799999999</v>
      </c>
      <c r="S67" s="365">
        <v>978137.69999999984</v>
      </c>
      <c r="AB67" s="366">
        <v>45261</v>
      </c>
      <c r="AD67" s="367">
        <v>0.19266203041088154</v>
      </c>
      <c r="AE67" s="367"/>
      <c r="AF67" s="367"/>
      <c r="AG67" s="367"/>
      <c r="AH67" s="367">
        <v>0.19266203041088154</v>
      </c>
      <c r="AJ67" s="366">
        <v>45261</v>
      </c>
      <c r="AK67" s="368"/>
      <c r="AL67" s="368">
        <v>-761887.12200000009</v>
      </c>
      <c r="AM67" s="368"/>
      <c r="AN67" s="368"/>
      <c r="AO67" s="368"/>
      <c r="AP67" s="368">
        <v>-761887.12200000009</v>
      </c>
    </row>
    <row r="68" spans="1:42" x14ac:dyDescent="0.25">
      <c r="A68" s="369" t="s">
        <v>8</v>
      </c>
      <c r="B68" s="370">
        <v>46113</v>
      </c>
      <c r="C68" s="371">
        <f t="shared" ref="C68:C107" ca="1" si="4">SUMIFS(INDIRECT("tb_rec_uni["&amp;TEXT($B68,"aaaa-mm-dd")&amp;"]"),
  INDIRECT("tb_rec_uni[natureza]"),"repasse.cef.obra",
  INDIRECT("tb_rec_uni[empresa]"),$A68
)</f>
        <v>0</v>
      </c>
      <c r="D68" s="371">
        <f t="shared" ref="D68:D107" ca="1" si="5">SUMIFS(INDIRECT("tb_rec_uni["&amp;TEXT($B68,"aaaa-mm-dd")&amp;"]"),
  INDIRECT("tb_rec_uni[natureza]"),"pro.soluto",
  INDIRECT("tb_rec_uni[empresa]"),$A68
)</f>
        <v>0</v>
      </c>
      <c r="E68" s="501">
        <v>0</v>
      </c>
      <c r="F68" s="371">
        <f ca="1">cef[[#This Row],[CEF (obra)]]+cef[[#This Row],[Pró soluto]]+cef[[#This Row],[PJ CEF]]</f>
        <v>0</v>
      </c>
      <c r="G68" s="371">
        <f ca="1">SUMIFS(
  m.vb[valor],
  m.vb[empresa], $A68,
  m.vb[variavel], "Construção",
  m.vb[mes], $B68
)</f>
        <v>0</v>
      </c>
      <c r="H68" s="501"/>
      <c r="I68" s="371">
        <v>12943.98</v>
      </c>
      <c r="J68" s="375">
        <f ca="1">cef[[#This Row],[Entradas]]-cef[[#This Row],[Saídas]]</f>
        <v>-12943.98</v>
      </c>
      <c r="K68" s="336">
        <f ca="1">AVERAGE(J$31:J68)</f>
        <v>-552117.48289473681</v>
      </c>
      <c r="L68" s="419">
        <f ca="1">IFERROR(cef[[#This Row],[Entradas]]/cef[[#This Row],[Saídas]],"Sem saídas")</f>
        <v>0</v>
      </c>
      <c r="M68" s="338">
        <f ca="1">AVERAGE(L$31:L68)</f>
        <v>0.11250044369032239</v>
      </c>
      <c r="O68" s="364">
        <v>45689</v>
      </c>
      <c r="P68" s="365">
        <v>0</v>
      </c>
      <c r="Q68" s="365">
        <v>-2033809.13</v>
      </c>
      <c r="R68" s="365">
        <v>2033809.13</v>
      </c>
      <c r="S68" s="365">
        <v>0</v>
      </c>
      <c r="AB68" s="366">
        <v>45292</v>
      </c>
      <c r="AD68" s="367">
        <v>0.26583377808817699</v>
      </c>
      <c r="AE68" s="367"/>
      <c r="AF68" s="367"/>
      <c r="AG68" s="367"/>
      <c r="AH68" s="367">
        <v>0.26583377808817699</v>
      </c>
      <c r="AJ68" s="366">
        <v>45292</v>
      </c>
      <c r="AK68" s="368"/>
      <c r="AL68" s="368">
        <v>-692913.17272727273</v>
      </c>
      <c r="AM68" s="368"/>
      <c r="AN68" s="368"/>
      <c r="AO68" s="368"/>
      <c r="AP68" s="368">
        <v>-692913.17272727273</v>
      </c>
    </row>
    <row r="69" spans="1:42" x14ac:dyDescent="0.25">
      <c r="A69" s="369" t="s">
        <v>8</v>
      </c>
      <c r="B69" s="370">
        <v>46143</v>
      </c>
      <c r="C69" s="371">
        <f t="shared" ca="1" si="4"/>
        <v>0</v>
      </c>
      <c r="D69" s="371">
        <f t="shared" ca="1" si="5"/>
        <v>0</v>
      </c>
      <c r="E69" s="501">
        <v>0</v>
      </c>
      <c r="F69" s="371">
        <f ca="1">cef[[#This Row],[CEF (obra)]]+cef[[#This Row],[Pró soluto]]+cef[[#This Row],[PJ CEF]]</f>
        <v>0</v>
      </c>
      <c r="G69" s="371">
        <f ca="1">SUMIFS(
  m.vb[valor],
  m.vb[empresa], $A69,
  m.vb[variavel], "Construção",
  m.vb[mes], $B69
)</f>
        <v>0</v>
      </c>
      <c r="H69" s="501"/>
      <c r="I69" s="371">
        <v>10277.48</v>
      </c>
      <c r="J69" s="375">
        <f ca="1">cef[[#This Row],[Entradas]]-cef[[#This Row],[Saídas]]</f>
        <v>-10277.48</v>
      </c>
      <c r="K69" s="336">
        <f ca="1">AVERAGE(J$31:J69)</f>
        <v>-538224.14948717947</v>
      </c>
      <c r="L69" s="419">
        <f ca="1">IFERROR(cef[[#This Row],[Entradas]]/cef[[#This Row],[Saídas]],"Sem saídas")</f>
        <v>0</v>
      </c>
      <c r="M69" s="338">
        <f ca="1">AVERAGE(L$31:L69)</f>
        <v>0.10961581692903206</v>
      </c>
      <c r="O69" s="364">
        <v>45717</v>
      </c>
      <c r="P69" s="365">
        <v>621715.06000000006</v>
      </c>
      <c r="Q69" s="365">
        <v>-1297077.17</v>
      </c>
      <c r="R69" s="365">
        <v>1918792.23</v>
      </c>
      <c r="S69" s="365">
        <v>1243430.1200000001</v>
      </c>
      <c r="AB69" s="366">
        <v>45323</v>
      </c>
      <c r="AD69" s="367">
        <v>0.29003721097555973</v>
      </c>
      <c r="AE69" s="367"/>
      <c r="AF69" s="367"/>
      <c r="AG69" s="367"/>
      <c r="AH69" s="367">
        <v>0.29003721097555973</v>
      </c>
      <c r="AJ69" s="366">
        <v>45323</v>
      </c>
      <c r="AK69" s="368"/>
      <c r="AL69" s="368">
        <v>-677843.29666666675</v>
      </c>
      <c r="AM69" s="368"/>
      <c r="AN69" s="368"/>
      <c r="AO69" s="368"/>
      <c r="AP69" s="368">
        <v>-677843.29666666675</v>
      </c>
    </row>
    <row r="70" spans="1:42" x14ac:dyDescent="0.25">
      <c r="A70" s="369" t="s">
        <v>8</v>
      </c>
      <c r="B70" s="370">
        <v>46174</v>
      </c>
      <c r="C70" s="371">
        <f t="shared" ca="1" si="4"/>
        <v>0</v>
      </c>
      <c r="D70" s="371">
        <f t="shared" ca="1" si="5"/>
        <v>0</v>
      </c>
      <c r="E70" s="501">
        <v>0</v>
      </c>
      <c r="F70" s="371">
        <f ca="1">cef[[#This Row],[CEF (obra)]]+cef[[#This Row],[Pró soluto]]+cef[[#This Row],[PJ CEF]]</f>
        <v>0</v>
      </c>
      <c r="G70" s="371">
        <f ca="1">SUMIFS(
  m.vb[valor],
  m.vb[empresa], $A70,
  m.vb[variavel], "Construção",
  m.vb[mes], $B70
)</f>
        <v>0</v>
      </c>
      <c r="H70" s="501"/>
      <c r="I70" s="371">
        <v>6854.07</v>
      </c>
      <c r="J70" s="375">
        <f ca="1">cef[[#This Row],[Entradas]]-cef[[#This Row],[Saídas]]</f>
        <v>-6854.07</v>
      </c>
      <c r="K70" s="336">
        <f ca="1">AVERAGE(J$31:J70)</f>
        <v>-524939.89749999996</v>
      </c>
      <c r="L70" s="419">
        <f ca="1">IFERROR(cef[[#This Row],[Entradas]]/cef[[#This Row],[Saídas]],"Sem saídas")</f>
        <v>0</v>
      </c>
      <c r="M70" s="338">
        <f ca="1">AVERAGE(L$31:L70)</f>
        <v>0.10687542150580627</v>
      </c>
      <c r="O70" s="364">
        <v>45748</v>
      </c>
      <c r="P70" s="365">
        <v>497086.75</v>
      </c>
      <c r="Q70" s="365">
        <v>-1388588.76</v>
      </c>
      <c r="R70" s="365">
        <v>1885675.51</v>
      </c>
      <c r="S70" s="365">
        <v>994173.5</v>
      </c>
      <c r="AB70" s="366">
        <v>45352</v>
      </c>
      <c r="AC70" s="367">
        <v>2.8164559392000723</v>
      </c>
      <c r="AD70" s="367">
        <v>0.29223592325298353</v>
      </c>
      <c r="AE70" s="367"/>
      <c r="AF70" s="367"/>
      <c r="AG70" s="367"/>
      <c r="AH70" s="367">
        <v>3.108691862453056</v>
      </c>
      <c r="AJ70" s="366">
        <v>45352</v>
      </c>
      <c r="AK70" s="368">
        <v>448512.18000000005</v>
      </c>
      <c r="AL70" s="368">
        <v>-693589.84307692316</v>
      </c>
      <c r="AM70" s="368"/>
      <c r="AN70" s="368"/>
      <c r="AO70" s="368"/>
      <c r="AP70" s="368">
        <v>-245077.66307692311</v>
      </c>
    </row>
    <row r="71" spans="1:42" x14ac:dyDescent="0.25">
      <c r="A71" s="333" t="s">
        <v>9</v>
      </c>
      <c r="B71" s="334">
        <v>45839</v>
      </c>
      <c r="C71" s="335">
        <f t="shared" ca="1" si="4"/>
        <v>0</v>
      </c>
      <c r="D71" s="335">
        <f t="shared" ca="1" si="5"/>
        <v>0</v>
      </c>
      <c r="E71" s="501">
        <v>493410.63</v>
      </c>
      <c r="F71" s="335">
        <f ca="1">cef[[#This Row],[CEF (obra)]]+cef[[#This Row],[Pró soluto]]+cef[[#This Row],[PJ CEF]]</f>
        <v>493410.63</v>
      </c>
      <c r="G71" s="335">
        <f ca="1">SUMIFS(
  m.vb[valor],
  m.vb[empresa], $A71,
  m.vb[variavel], "Construção",
  m.vb[mes], $B71
)</f>
        <v>0</v>
      </c>
      <c r="H71" s="501"/>
      <c r="I71" s="335">
        <v>637053.76</v>
      </c>
      <c r="J71" s="374">
        <f ca="1">cef[[#This Row],[Entradas]]-cef[[#This Row],[Saídas]]</f>
        <v>-143643.13</v>
      </c>
      <c r="K71" s="336">
        <v>694419.24</v>
      </c>
      <c r="L71" s="419">
        <f ca="1">IFERROR(cef[[#This Row],[Entradas]]/cef[[#This Row],[Saídas]],"Sem saídas")</f>
        <v>0.77451961040148321</v>
      </c>
      <c r="M71" s="338">
        <v>2.1086693883660885</v>
      </c>
      <c r="O71" s="364">
        <v>45778</v>
      </c>
      <c r="P71" s="365">
        <v>134752.4</v>
      </c>
      <c r="Q71" s="365">
        <v>-1675857.48</v>
      </c>
      <c r="R71" s="365">
        <v>1810609.8800000001</v>
      </c>
      <c r="S71" s="365">
        <v>269504.80000000005</v>
      </c>
      <c r="AB71" s="366">
        <v>45383</v>
      </c>
      <c r="AC71" s="367">
        <v>1.2143580918224353</v>
      </c>
      <c r="AD71" s="367">
        <v>0.30535834715944649</v>
      </c>
      <c r="AE71" s="367"/>
      <c r="AF71" s="367"/>
      <c r="AG71" s="367"/>
      <c r="AH71" s="367">
        <v>1.5197164389818818</v>
      </c>
      <c r="AJ71" s="366">
        <v>45383</v>
      </c>
      <c r="AK71" s="368">
        <v>12011.680000000008</v>
      </c>
      <c r="AL71" s="368">
        <v>-687851.32857142866</v>
      </c>
      <c r="AM71" s="368"/>
      <c r="AN71" s="368"/>
      <c r="AO71" s="368"/>
      <c r="AP71" s="368">
        <v>-675839.64857142861</v>
      </c>
    </row>
    <row r="72" spans="1:42" x14ac:dyDescent="0.25">
      <c r="A72" s="347" t="s">
        <v>9</v>
      </c>
      <c r="B72" s="348">
        <v>45870</v>
      </c>
      <c r="C72" s="336">
        <f t="shared" ca="1" si="4"/>
        <v>0</v>
      </c>
      <c r="D72" s="336">
        <f t="shared" ca="1" si="5"/>
        <v>0</v>
      </c>
      <c r="E72" s="501">
        <v>831222.47</v>
      </c>
      <c r="F72" s="336">
        <f ca="1">cef[[#This Row],[CEF (obra)]]+cef[[#This Row],[Pró soluto]]+cef[[#This Row],[PJ CEF]]</f>
        <v>831222.47</v>
      </c>
      <c r="G72" s="336">
        <f ca="1">SUMIFS(
  m.vb[valor],
  m.vb[empresa], $A72,
  m.vb[variavel], "Construção",
  m.vb[mes], $B72
)</f>
        <v>0</v>
      </c>
      <c r="H72" s="501"/>
      <c r="I72" s="336">
        <v>1156842.19</v>
      </c>
      <c r="J72" s="373">
        <f ca="1">cef[[#This Row],[Entradas]]-cef[[#This Row],[Saídas]]</f>
        <v>-325619.71999999997</v>
      </c>
      <c r="K72" s="336">
        <f ca="1">AVERAGE(J$71:J72)</f>
        <v>-234631.42499999999</v>
      </c>
      <c r="L72" s="419">
        <f ca="1">IFERROR(cef[[#This Row],[Entradas]]/cef[[#This Row],[Saídas]],"Sem saídas")</f>
        <v>0.71852710523982533</v>
      </c>
      <c r="M72" s="338">
        <f ca="1">AVERAGE(L$71:L72)</f>
        <v>0.74652335782065427</v>
      </c>
      <c r="O72" s="364">
        <v>45809</v>
      </c>
      <c r="P72" s="365">
        <v>289304.8</v>
      </c>
      <c r="Q72" s="365">
        <v>-1031020.53</v>
      </c>
      <c r="R72" s="365">
        <v>1320325.33</v>
      </c>
      <c r="S72" s="365">
        <v>578609.60000000009</v>
      </c>
      <c r="AB72" s="366">
        <v>45413</v>
      </c>
      <c r="AC72" s="367">
        <v>0.80957206121495684</v>
      </c>
      <c r="AD72" s="367">
        <v>0.28500112401548339</v>
      </c>
      <c r="AE72" s="367"/>
      <c r="AF72" s="367"/>
      <c r="AG72" s="367"/>
      <c r="AH72" s="367">
        <v>1.0945731852304403</v>
      </c>
      <c r="AJ72" s="366">
        <v>45413</v>
      </c>
      <c r="AK72" s="368">
        <v>-342341.87666666665</v>
      </c>
      <c r="AL72" s="368">
        <v>-730607.03200000001</v>
      </c>
      <c r="AM72" s="368"/>
      <c r="AN72" s="368"/>
      <c r="AO72" s="368"/>
      <c r="AP72" s="368">
        <v>-1072948.9086666666</v>
      </c>
    </row>
    <row r="73" spans="1:42" x14ac:dyDescent="0.25">
      <c r="A73" s="347" t="s">
        <v>9</v>
      </c>
      <c r="B73" s="348">
        <v>45901</v>
      </c>
      <c r="C73" s="336">
        <f t="shared" ca="1" si="4"/>
        <v>0</v>
      </c>
      <c r="D73" s="336">
        <f t="shared" ca="1" si="5"/>
        <v>0</v>
      </c>
      <c r="E73" s="501">
        <v>229516.7</v>
      </c>
      <c r="F73" s="336">
        <f ca="1">cef[[#This Row],[CEF (obra)]]+cef[[#This Row],[Pró soluto]]+cef[[#This Row],[PJ CEF]]</f>
        <v>229516.7</v>
      </c>
      <c r="G73" s="336">
        <f ca="1">SUMIFS(
  m.vb[valor],
  m.vb[empresa], $A73,
  m.vb[variavel], "Construção",
  m.vb[mes], $B73
)</f>
        <v>0</v>
      </c>
      <c r="H73" s="501"/>
      <c r="I73" s="336">
        <v>988239.05</v>
      </c>
      <c r="J73" s="373">
        <f ca="1">cef[[#This Row],[Entradas]]-cef[[#This Row],[Saídas]]</f>
        <v>-758722.35000000009</v>
      </c>
      <c r="K73" s="336">
        <f ca="1">AVERAGE(J$71:J73)</f>
        <v>-409328.40000000008</v>
      </c>
      <c r="L73" s="419">
        <f ca="1">IFERROR(cef[[#This Row],[Entradas]]/cef[[#This Row],[Saídas]],"Sem saídas")</f>
        <v>0.23224815898541956</v>
      </c>
      <c r="M73" s="338">
        <f ca="1">AVERAGE(L$71:L73)</f>
        <v>0.57509829154224268</v>
      </c>
      <c r="O73" s="364">
        <v>45839</v>
      </c>
      <c r="P73" s="365">
        <v>1169364.17</v>
      </c>
      <c r="Q73" s="365">
        <v>-2723059.1099999994</v>
      </c>
      <c r="R73" s="365">
        <v>3892423.2799999993</v>
      </c>
      <c r="S73" s="365">
        <v>2338728.34</v>
      </c>
      <c r="AB73" s="366">
        <v>45444</v>
      </c>
      <c r="AC73" s="367">
        <v>0.60717904591121763</v>
      </c>
      <c r="AD73" s="367">
        <v>0.26718855376451567</v>
      </c>
      <c r="AE73" s="367"/>
      <c r="AF73" s="367"/>
      <c r="AG73" s="367"/>
      <c r="AH73" s="367">
        <v>0.8743675996757333</v>
      </c>
      <c r="AJ73" s="366">
        <v>45444</v>
      </c>
      <c r="AK73" s="368">
        <v>-411215.97</v>
      </c>
      <c r="AL73" s="368">
        <v>-742459.25062499999</v>
      </c>
      <c r="AM73" s="368"/>
      <c r="AN73" s="368"/>
      <c r="AO73" s="368"/>
      <c r="AP73" s="368">
        <v>-1153675.2206250001</v>
      </c>
    </row>
    <row r="74" spans="1:42" x14ac:dyDescent="0.25">
      <c r="A74" s="347" t="s">
        <v>9</v>
      </c>
      <c r="B74" s="348">
        <v>45931</v>
      </c>
      <c r="C74" s="336">
        <f t="shared" ca="1" si="4"/>
        <v>0</v>
      </c>
      <c r="D74" s="336">
        <f t="shared" ca="1" si="5"/>
        <v>0</v>
      </c>
      <c r="E74" s="501">
        <v>314892.83</v>
      </c>
      <c r="F74" s="336">
        <f ca="1">cef[[#This Row],[CEF (obra)]]+cef[[#This Row],[Pró soluto]]+cef[[#This Row],[PJ CEF]]</f>
        <v>314892.83</v>
      </c>
      <c r="G74" s="336">
        <f ca="1">SUMIFS(
  m.vb[valor],
  m.vb[empresa], $A74,
  m.vb[variavel], "Construção",
  m.vb[mes], $B74
)</f>
        <v>0</v>
      </c>
      <c r="H74" s="501"/>
      <c r="I74" s="336">
        <v>859263.21</v>
      </c>
      <c r="J74" s="373">
        <f ca="1">cef[[#This Row],[Entradas]]-cef[[#This Row],[Saídas]]</f>
        <v>-544370.37999999989</v>
      </c>
      <c r="K74" s="336">
        <f ca="1">AVERAGE(J$71:J74)</f>
        <v>-443088.89500000002</v>
      </c>
      <c r="L74" s="419">
        <f ca="1">IFERROR(cef[[#This Row],[Entradas]]/cef[[#This Row],[Saídas]],"Sem saídas")</f>
        <v>0.36646841891438597</v>
      </c>
      <c r="M74" s="338">
        <f ca="1">AVERAGE(L$71:L74)</f>
        <v>0.52294082338527847</v>
      </c>
      <c r="O74" s="364">
        <v>45870</v>
      </c>
      <c r="P74" s="365">
        <v>1447049.3599999999</v>
      </c>
      <c r="Q74" s="365">
        <v>-2079554.91</v>
      </c>
      <c r="R74" s="365">
        <v>3526604.27</v>
      </c>
      <c r="S74" s="365">
        <v>2894098.7199999997</v>
      </c>
      <c r="AB74" s="366">
        <v>45474</v>
      </c>
      <c r="AC74" s="367">
        <v>0.48574323672897413</v>
      </c>
      <c r="AD74" s="367">
        <v>0.25147158001366182</v>
      </c>
      <c r="AE74" s="367"/>
      <c r="AF74" s="367"/>
      <c r="AG74" s="367"/>
      <c r="AH74" s="367">
        <v>0.737214816742636</v>
      </c>
      <c r="AJ74" s="366">
        <v>45474</v>
      </c>
      <c r="AK74" s="368">
        <v>-481875.71999999991</v>
      </c>
      <c r="AL74" s="368">
        <v>-767233.98176470585</v>
      </c>
      <c r="AM74" s="368"/>
      <c r="AN74" s="368"/>
      <c r="AO74" s="368"/>
      <c r="AP74" s="368">
        <v>-1249109.7017647058</v>
      </c>
    </row>
    <row r="75" spans="1:42" x14ac:dyDescent="0.25">
      <c r="A75" s="347" t="s">
        <v>9</v>
      </c>
      <c r="B75" s="348">
        <v>45962</v>
      </c>
      <c r="C75" s="336">
        <f t="shared" ca="1" si="4"/>
        <v>0</v>
      </c>
      <c r="D75" s="336">
        <f t="shared" ca="1" si="5"/>
        <v>0</v>
      </c>
      <c r="E75" s="501">
        <v>378061.31</v>
      </c>
      <c r="F75" s="336">
        <f ca="1">cef[[#This Row],[CEF (obra)]]+cef[[#This Row],[Pró soluto]]+cef[[#This Row],[PJ CEF]]</f>
        <v>378061.31</v>
      </c>
      <c r="G75" s="336">
        <f ca="1">SUMIFS(
  m.vb[valor],
  m.vb[empresa], $A75,
  m.vb[variavel], "Construção",
  m.vb[mes], $B75
)</f>
        <v>0</v>
      </c>
      <c r="H75" s="501"/>
      <c r="I75" s="336">
        <v>723404.44</v>
      </c>
      <c r="J75" s="373">
        <f ca="1">cef[[#This Row],[Entradas]]-cef[[#This Row],[Saídas]]</f>
        <v>-345343.12999999995</v>
      </c>
      <c r="K75" s="336">
        <f ca="1">AVERAGE(J$71:J75)</f>
        <v>-423539.74199999997</v>
      </c>
      <c r="L75" s="419">
        <f ca="1">IFERROR(cef[[#This Row],[Entradas]]/cef[[#This Row],[Saídas]],"Sem saídas")</f>
        <v>0.52261403040324172</v>
      </c>
      <c r="M75" s="338">
        <f ca="1">AVERAGE(L$71:L75)</f>
        <v>0.52287546478887115</v>
      </c>
      <c r="O75" s="364">
        <v>45901</v>
      </c>
      <c r="P75" s="365">
        <v>726397.81</v>
      </c>
      <c r="Q75" s="365">
        <v>-2056462.6600000001</v>
      </c>
      <c r="R75" s="365">
        <v>2782860.4699999997</v>
      </c>
      <c r="S75" s="365">
        <v>1452795.6199999996</v>
      </c>
      <c r="AB75" s="366">
        <v>45505</v>
      </c>
      <c r="AC75" s="367">
        <v>0.40478603060747842</v>
      </c>
      <c r="AD75" s="367">
        <v>0.23750093667956948</v>
      </c>
      <c r="AE75" s="367"/>
      <c r="AF75" s="367"/>
      <c r="AG75" s="367"/>
      <c r="AH75" s="367">
        <v>0.64228696728704793</v>
      </c>
      <c r="AJ75" s="366">
        <v>45505</v>
      </c>
      <c r="AK75" s="368">
        <v>-520425.19833333325</v>
      </c>
      <c r="AL75" s="368">
        <v>-777043.67333333334</v>
      </c>
      <c r="AM75" s="368"/>
      <c r="AN75" s="368"/>
      <c r="AO75" s="368"/>
      <c r="AP75" s="368">
        <v>-1297468.8716666666</v>
      </c>
    </row>
    <row r="76" spans="1:42" x14ac:dyDescent="0.25">
      <c r="A76" s="347" t="s">
        <v>9</v>
      </c>
      <c r="B76" s="348">
        <v>45992</v>
      </c>
      <c r="C76" s="336">
        <f t="shared" ca="1" si="4"/>
        <v>0</v>
      </c>
      <c r="D76" s="336">
        <f t="shared" ca="1" si="5"/>
        <v>0</v>
      </c>
      <c r="E76" s="501">
        <v>0</v>
      </c>
      <c r="F76" s="336">
        <f ca="1">cef[[#This Row],[CEF (obra)]]+cef[[#This Row],[Pró soluto]]+cef[[#This Row],[PJ CEF]]</f>
        <v>0</v>
      </c>
      <c r="G76" s="336">
        <f ca="1">SUMIFS(
  m.vb[valor],
  m.vb[empresa], $A76,
  m.vb[variavel], "Construção",
  m.vb[mes], $B76
)</f>
        <v>0</v>
      </c>
      <c r="H76" s="501"/>
      <c r="I76" s="336">
        <v>801850.14</v>
      </c>
      <c r="J76" s="373">
        <f ca="1">cef[[#This Row],[Entradas]]-cef[[#This Row],[Saídas]]</f>
        <v>-801850.14</v>
      </c>
      <c r="K76" s="336">
        <f ca="1">AVERAGE(J$71:J76)</f>
        <v>-486591.47500000003</v>
      </c>
      <c r="L76" s="419">
        <f ca="1">IFERROR(cef[[#This Row],[Entradas]]/cef[[#This Row],[Saídas]],"Sem saídas")</f>
        <v>0</v>
      </c>
      <c r="M76" s="338">
        <f ca="1">AVERAGE(L$71:L76)</f>
        <v>0.43572955399072594</v>
      </c>
      <c r="O76" s="364">
        <v>45931</v>
      </c>
      <c r="P76" s="365">
        <v>746758.73</v>
      </c>
      <c r="Q76" s="365">
        <v>-2421397.2599999998</v>
      </c>
      <c r="R76" s="365">
        <v>3168155.9899999998</v>
      </c>
      <c r="S76" s="365">
        <v>1493517.46</v>
      </c>
      <c r="AB76" s="366">
        <v>45536</v>
      </c>
      <c r="AC76" s="367">
        <v>0.37671280326701356</v>
      </c>
      <c r="AD76" s="367">
        <v>0.22500088738064478</v>
      </c>
      <c r="AE76" s="367"/>
      <c r="AF76" s="367"/>
      <c r="AG76" s="367"/>
      <c r="AH76" s="367">
        <v>0.60171369064765834</v>
      </c>
      <c r="AJ76" s="366">
        <v>45536</v>
      </c>
      <c r="AK76" s="368">
        <v>-553765.30857142853</v>
      </c>
      <c r="AL76" s="368">
        <v>-806398.90894736839</v>
      </c>
      <c r="AM76" s="368"/>
      <c r="AN76" s="368"/>
      <c r="AO76" s="368"/>
      <c r="AP76" s="368">
        <v>-1360164.2175187969</v>
      </c>
    </row>
    <row r="77" spans="1:42" x14ac:dyDescent="0.25">
      <c r="A77" s="347" t="s">
        <v>9</v>
      </c>
      <c r="B77" s="348">
        <v>46023</v>
      </c>
      <c r="C77" s="336">
        <f t="shared" ca="1" si="4"/>
        <v>0</v>
      </c>
      <c r="D77" s="336">
        <f t="shared" ca="1" si="5"/>
        <v>0</v>
      </c>
      <c r="E77" s="501">
        <v>313227.59000000003</v>
      </c>
      <c r="F77" s="336">
        <f ca="1">cef[[#This Row],[CEF (obra)]]+cef[[#This Row],[Pró soluto]]+cef[[#This Row],[PJ CEF]]</f>
        <v>313227.59000000003</v>
      </c>
      <c r="G77" s="336">
        <f ca="1">SUMIFS(
  m.vb[valor],
  m.vb[empresa], $A77,
  m.vb[variavel], "Construção",
  m.vb[mes], $B77
)</f>
        <v>0</v>
      </c>
      <c r="H77" s="501"/>
      <c r="I77" s="336">
        <v>1001362.11</v>
      </c>
      <c r="J77" s="373">
        <f ca="1">cef[[#This Row],[Entradas]]-cef[[#This Row],[Saídas]]</f>
        <v>-688134.52</v>
      </c>
      <c r="K77" s="336">
        <f ca="1">AVERAGE(J$71:J77)</f>
        <v>-515383.33857142861</v>
      </c>
      <c r="L77" s="419">
        <f ca="1">IFERROR(cef[[#This Row],[Entradas]]/cef[[#This Row],[Saídas]],"Sem saídas")</f>
        <v>0.31280151992169947</v>
      </c>
      <c r="M77" s="338">
        <f ca="1">AVERAGE(L$71:L77)</f>
        <v>0.41816840626657925</v>
      </c>
      <c r="O77" s="364">
        <v>45962</v>
      </c>
      <c r="P77" s="365">
        <v>809114.0199999999</v>
      </c>
      <c r="Q77" s="365">
        <v>-2175816.88</v>
      </c>
      <c r="R77" s="365">
        <v>2984930.9</v>
      </c>
      <c r="S77" s="365">
        <v>1618228.04</v>
      </c>
      <c r="AB77" s="366">
        <v>45566</v>
      </c>
      <c r="AC77" s="367">
        <v>0.38351233207305196</v>
      </c>
      <c r="AD77" s="367">
        <v>0.21375084301161254</v>
      </c>
      <c r="AE77" s="367"/>
      <c r="AF77" s="367"/>
      <c r="AG77" s="367"/>
      <c r="AH77" s="367">
        <v>0.59726317508466453</v>
      </c>
      <c r="AJ77" s="366">
        <v>45566</v>
      </c>
      <c r="AK77" s="368">
        <v>-562662.86874999991</v>
      </c>
      <c r="AL77" s="368">
        <v>-812234.73849999998</v>
      </c>
      <c r="AM77" s="368"/>
      <c r="AN77" s="368"/>
      <c r="AO77" s="368"/>
      <c r="AP77" s="368">
        <v>-1374897.6072499999</v>
      </c>
    </row>
    <row r="78" spans="1:42" x14ac:dyDescent="0.25">
      <c r="A78" s="347" t="s">
        <v>9</v>
      </c>
      <c r="B78" s="348">
        <v>46054</v>
      </c>
      <c r="C78" s="336">
        <f t="shared" ca="1" si="4"/>
        <v>0</v>
      </c>
      <c r="D78" s="336">
        <f t="shared" ca="1" si="5"/>
        <v>0</v>
      </c>
      <c r="E78" s="501">
        <v>0</v>
      </c>
      <c r="F78" s="336">
        <f ca="1">cef[[#This Row],[CEF (obra)]]+cef[[#This Row],[Pró soluto]]+cef[[#This Row],[PJ CEF]]</f>
        <v>0</v>
      </c>
      <c r="G78" s="336">
        <f ca="1">SUMIFS(
  m.vb[valor],
  m.vb[empresa], $A78,
  m.vb[variavel], "Construção",
  m.vb[mes], $B78
)</f>
        <v>0</v>
      </c>
      <c r="H78" s="501"/>
      <c r="I78" s="336">
        <v>1549221.78</v>
      </c>
      <c r="J78" s="373">
        <f ca="1">cef[[#This Row],[Entradas]]-cef[[#This Row],[Saídas]]</f>
        <v>-1549221.78</v>
      </c>
      <c r="K78" s="336">
        <f ca="1">AVERAGE(J$71:J78)</f>
        <v>-644613.14375000005</v>
      </c>
      <c r="L78" s="419">
        <f ca="1">IFERROR(cef[[#This Row],[Entradas]]/cef[[#This Row],[Saídas]],"Sem saídas")</f>
        <v>0</v>
      </c>
      <c r="M78" s="338">
        <f ca="1">AVERAGE(L$71:L78)</f>
        <v>0.36589735548325686</v>
      </c>
      <c r="O78" s="364">
        <v>45992</v>
      </c>
      <c r="P78" s="365">
        <v>471701.2</v>
      </c>
      <c r="Q78" s="365">
        <v>-2694391.32</v>
      </c>
      <c r="R78" s="365">
        <v>3166092.52</v>
      </c>
      <c r="S78" s="365">
        <v>943402.40000000037</v>
      </c>
      <c r="AB78" s="366">
        <v>45597</v>
      </c>
      <c r="AC78" s="367">
        <v>0.34089985073160173</v>
      </c>
      <c r="AD78" s="367">
        <v>0.20357223143963099</v>
      </c>
      <c r="AE78" s="367"/>
      <c r="AF78" s="367"/>
      <c r="AG78" s="367"/>
      <c r="AH78" s="367">
        <v>0.54447208217123277</v>
      </c>
      <c r="AJ78" s="366">
        <v>45597</v>
      </c>
      <c r="AK78" s="368">
        <v>-647258.62999999989</v>
      </c>
      <c r="AL78" s="368">
        <v>-813770.71523809526</v>
      </c>
      <c r="AM78" s="368"/>
      <c r="AN78" s="368"/>
      <c r="AO78" s="368"/>
      <c r="AP78" s="368">
        <v>-1461029.3452380951</v>
      </c>
    </row>
    <row r="79" spans="1:42" x14ac:dyDescent="0.25">
      <c r="A79" s="347" t="s">
        <v>9</v>
      </c>
      <c r="B79" s="348">
        <v>46082</v>
      </c>
      <c r="C79" s="336">
        <f t="shared" ca="1" si="4"/>
        <v>0</v>
      </c>
      <c r="D79" s="336">
        <f t="shared" ca="1" si="5"/>
        <v>0</v>
      </c>
      <c r="E79" s="501">
        <v>528249.98</v>
      </c>
      <c r="F79" s="336">
        <f ca="1">cef[[#This Row],[CEF (obra)]]+cef[[#This Row],[Pró soluto]]+cef[[#This Row],[PJ CEF]]</f>
        <v>528249.98</v>
      </c>
      <c r="G79" s="336">
        <f ca="1">SUMIFS(
  m.vb[valor],
  m.vb[empresa], $A79,
  m.vb[variavel], "Construção",
  m.vb[mes], $B79
)</f>
        <v>0</v>
      </c>
      <c r="H79" s="501"/>
      <c r="I79" s="336">
        <v>1970225.81</v>
      </c>
      <c r="J79" s="373">
        <f ca="1">cef[[#This Row],[Entradas]]-cef[[#This Row],[Saídas]]</f>
        <v>-1441975.83</v>
      </c>
      <c r="K79" s="336">
        <f ca="1">AVERAGE(J$71:J79)</f>
        <v>-733208.99777777784</v>
      </c>
      <c r="L79" s="419">
        <f ca="1">IFERROR(cef[[#This Row],[Entradas]]/cef[[#This Row],[Saídas]],"Sem saídas")</f>
        <v>0.26811646528983396</v>
      </c>
      <c r="M79" s="338">
        <f ca="1">AVERAGE(L$71:L79)</f>
        <v>0.35503281212843207</v>
      </c>
      <c r="O79" s="364">
        <v>46023</v>
      </c>
      <c r="P79" s="365">
        <v>1138483.6300000001</v>
      </c>
      <c r="Q79" s="365">
        <v>-2155691.44</v>
      </c>
      <c r="R79" s="365">
        <v>3294175.0700000003</v>
      </c>
      <c r="S79" s="365">
        <v>2276967.2600000007</v>
      </c>
      <c r="AB79" s="366">
        <v>45627</v>
      </c>
      <c r="AC79" s="367">
        <v>0.32801295973214467</v>
      </c>
      <c r="AD79" s="367">
        <v>0.19431894819237502</v>
      </c>
      <c r="AE79" s="367"/>
      <c r="AF79" s="367"/>
      <c r="AG79" s="367">
        <v>11.387683082784552</v>
      </c>
      <c r="AH79" s="367">
        <v>11.910014990709071</v>
      </c>
      <c r="AJ79" s="366">
        <v>45627</v>
      </c>
      <c r="AK79" s="368">
        <v>-691641.52199999988</v>
      </c>
      <c r="AL79" s="368">
        <v>-812953.10363636364</v>
      </c>
      <c r="AM79" s="368"/>
      <c r="AN79" s="368"/>
      <c r="AO79" s="368">
        <v>1299320.07</v>
      </c>
      <c r="AP79" s="368">
        <v>-205274.55563636334</v>
      </c>
    </row>
    <row r="80" spans="1:42" x14ac:dyDescent="0.25">
      <c r="A80" s="347" t="s">
        <v>9</v>
      </c>
      <c r="B80" s="348">
        <v>46113</v>
      </c>
      <c r="C80" s="336">
        <f t="shared" ca="1" si="4"/>
        <v>0</v>
      </c>
      <c r="D80" s="336">
        <f t="shared" ca="1" si="5"/>
        <v>0</v>
      </c>
      <c r="E80" s="501">
        <v>0</v>
      </c>
      <c r="F80" s="336">
        <f ca="1">cef[[#This Row],[CEF (obra)]]+cef[[#This Row],[Pró soluto]]+cef[[#This Row],[PJ CEF]]</f>
        <v>0</v>
      </c>
      <c r="G80" s="336">
        <f ca="1">SUMIFS(
  m.vb[valor],
  m.vb[empresa], $A80,
  m.vb[variavel], "Construção",
  m.vb[mes], $B80
)</f>
        <v>0</v>
      </c>
      <c r="H80" s="501"/>
      <c r="I80" s="336">
        <v>1390183.58</v>
      </c>
      <c r="J80" s="373">
        <f ca="1">cef[[#This Row],[Entradas]]-cef[[#This Row],[Saídas]]</f>
        <v>-1390183.58</v>
      </c>
      <c r="K80" s="336">
        <f ca="1">AVERAGE(J$71:J80)</f>
        <v>-798906.45600000001</v>
      </c>
      <c r="L80" s="419">
        <f ca="1">IFERROR(cef[[#This Row],[Entradas]]/cef[[#This Row],[Saídas]],"Sem saídas")</f>
        <v>0</v>
      </c>
      <c r="M80" s="338">
        <f ca="1">AVERAGE(L$71:L80)</f>
        <v>0.31952953091558889</v>
      </c>
      <c r="O80" s="364">
        <v>46054</v>
      </c>
      <c r="P80" s="365">
        <v>697790.27</v>
      </c>
      <c r="Q80" s="365">
        <v>-3540650.9800000004</v>
      </c>
      <c r="R80" s="365">
        <v>4238441.25</v>
      </c>
      <c r="S80" s="365">
        <v>1395580.5399999996</v>
      </c>
      <c r="AB80" s="366">
        <v>45658</v>
      </c>
      <c r="AC80" s="367">
        <v>0.36896987592940128</v>
      </c>
      <c r="AD80" s="367">
        <v>0.18587029827096743</v>
      </c>
      <c r="AE80" s="367"/>
      <c r="AF80" s="367"/>
      <c r="AG80" s="367">
        <v>3.7113976378519311</v>
      </c>
      <c r="AH80" s="367">
        <v>4.2662378120522995</v>
      </c>
      <c r="AJ80" s="366">
        <v>45658</v>
      </c>
      <c r="AK80" s="368">
        <v>-641412.21181818179</v>
      </c>
      <c r="AL80" s="368">
        <v>-788703.29434782604</v>
      </c>
      <c r="AM80" s="368"/>
      <c r="AN80" s="368"/>
      <c r="AO80" s="368">
        <v>313374.51500000001</v>
      </c>
      <c r="AP80" s="368">
        <v>-1116740.9911660077</v>
      </c>
    </row>
    <row r="81" spans="1:42" x14ac:dyDescent="0.25">
      <c r="A81" s="347" t="s">
        <v>9</v>
      </c>
      <c r="B81" s="348">
        <v>46143</v>
      </c>
      <c r="C81" s="336">
        <f t="shared" ca="1" si="4"/>
        <v>0</v>
      </c>
      <c r="D81" s="336">
        <f t="shared" ca="1" si="5"/>
        <v>0</v>
      </c>
      <c r="E81" s="501">
        <v>434622.68</v>
      </c>
      <c r="F81" s="336">
        <f ca="1">cef[[#This Row],[CEF (obra)]]+cef[[#This Row],[Pró soluto]]+cef[[#This Row],[PJ CEF]]</f>
        <v>434622.68</v>
      </c>
      <c r="G81" s="336">
        <f ca="1">SUMIFS(
  m.vb[valor],
  m.vb[empresa], $A81,
  m.vb[variavel], "Construção",
  m.vb[mes], $B81
)</f>
        <v>0</v>
      </c>
      <c r="H81" s="501"/>
      <c r="I81" s="336">
        <v>1391914.6</v>
      </c>
      <c r="J81" s="373">
        <f ca="1">cef[[#This Row],[Entradas]]-cef[[#This Row],[Saídas]]</f>
        <v>-957291.92000000016</v>
      </c>
      <c r="K81" s="336">
        <f ca="1">AVERAGE(J$71:J81)</f>
        <v>-813305.13454545464</v>
      </c>
      <c r="L81" s="419">
        <f ca="1">IFERROR(cef[[#This Row],[Entradas]]/cef[[#This Row],[Saídas]],"Sem saídas")</f>
        <v>0.31224809338159104</v>
      </c>
      <c r="M81" s="338">
        <f ca="1">AVERAGE(L$71:L81)</f>
        <v>0.31886758204886179</v>
      </c>
      <c r="O81" s="364">
        <v>46082</v>
      </c>
      <c r="P81" s="365">
        <v>2245616.4500000002</v>
      </c>
      <c r="Q81" s="365">
        <v>-1823865.36</v>
      </c>
      <c r="R81" s="365">
        <v>4069481.8100000005</v>
      </c>
      <c r="S81" s="365">
        <v>4491232.9000000004</v>
      </c>
      <c r="AB81" s="366">
        <v>45689</v>
      </c>
      <c r="AC81" s="367">
        <v>0.33822238626861784</v>
      </c>
      <c r="AD81" s="367">
        <v>0.1781257025096771</v>
      </c>
      <c r="AE81" s="367"/>
      <c r="AF81" s="367"/>
      <c r="AG81" s="367">
        <v>2.4742650919012874</v>
      </c>
      <c r="AH81" s="367">
        <v>2.9906131806795822</v>
      </c>
      <c r="AJ81" s="366">
        <v>45689</v>
      </c>
      <c r="AK81" s="368">
        <v>-678672.68833333324</v>
      </c>
      <c r="AL81" s="368">
        <v>-773706.11083333334</v>
      </c>
      <c r="AM81" s="368"/>
      <c r="AN81" s="368"/>
      <c r="AO81" s="368">
        <v>36749.573333333341</v>
      </c>
      <c r="AP81" s="368">
        <v>-1415629.2258333333</v>
      </c>
    </row>
    <row r="82" spans="1:42" x14ac:dyDescent="0.25">
      <c r="A82" s="347" t="s">
        <v>9</v>
      </c>
      <c r="B82" s="348">
        <v>46174</v>
      </c>
      <c r="C82" s="336">
        <f t="shared" ca="1" si="4"/>
        <v>0</v>
      </c>
      <c r="D82" s="336">
        <f t="shared" ca="1" si="5"/>
        <v>0</v>
      </c>
      <c r="E82" s="501">
        <v>0</v>
      </c>
      <c r="F82" s="336">
        <f ca="1">cef[[#This Row],[CEF (obra)]]+cef[[#This Row],[Pró soluto]]+cef[[#This Row],[PJ CEF]]</f>
        <v>0</v>
      </c>
      <c r="G82" s="336">
        <f ca="1">SUMIFS(
  m.vb[valor],
  m.vb[empresa], $A82,
  m.vb[variavel], "Construção",
  m.vb[mes], $B82
)</f>
        <v>0</v>
      </c>
      <c r="H82" s="501"/>
      <c r="I82" s="336">
        <v>1510960.18</v>
      </c>
      <c r="J82" s="373">
        <f ca="1">cef[[#This Row],[Entradas]]-cef[[#This Row],[Saídas]]</f>
        <v>-1510960.18</v>
      </c>
      <c r="K82" s="336">
        <f ca="1">AVERAGE(J$71:J82)</f>
        <v>-871443.05500000005</v>
      </c>
      <c r="L82" s="419">
        <f ca="1">IFERROR(cef[[#This Row],[Entradas]]/cef[[#This Row],[Saídas]],"Sem saídas")</f>
        <v>0</v>
      </c>
      <c r="M82" s="338">
        <f ca="1">AVERAGE(L$71:L82)</f>
        <v>0.29229528354479001</v>
      </c>
      <c r="O82" s="364">
        <v>46113</v>
      </c>
      <c r="P82" s="365">
        <v>902872.02</v>
      </c>
      <c r="Q82" s="365">
        <v>-2985159.67</v>
      </c>
      <c r="R82" s="365">
        <v>3888031.6900000004</v>
      </c>
      <c r="S82" s="365">
        <v>1805744.0400000005</v>
      </c>
      <c r="AB82" s="366">
        <v>45717</v>
      </c>
      <c r="AC82" s="367">
        <v>0.35761378618253431</v>
      </c>
      <c r="AD82" s="367">
        <v>0.17100067440929004</v>
      </c>
      <c r="AE82" s="367"/>
      <c r="AF82" s="367"/>
      <c r="AG82" s="367">
        <v>1.9208563821454803</v>
      </c>
      <c r="AH82" s="367">
        <v>2.4494708427373046</v>
      </c>
      <c r="AJ82" s="366">
        <v>45717</v>
      </c>
      <c r="AK82" s="368">
        <v>-647021.21076923062</v>
      </c>
      <c r="AL82" s="368">
        <v>-757092.5048</v>
      </c>
      <c r="AM82" s="368"/>
      <c r="AN82" s="368"/>
      <c r="AO82" s="368">
        <v>-140314.7525</v>
      </c>
      <c r="AP82" s="368">
        <v>-1544428.4680692307</v>
      </c>
    </row>
    <row r="83" spans="1:42" x14ac:dyDescent="0.25">
      <c r="A83" s="333" t="s">
        <v>10</v>
      </c>
      <c r="B83" s="334">
        <v>46023</v>
      </c>
      <c r="C83" s="335">
        <f t="shared" ca="1" si="4"/>
        <v>0</v>
      </c>
      <c r="D83" s="335">
        <f t="shared" ca="1" si="5"/>
        <v>0</v>
      </c>
      <c r="E83" s="501">
        <v>513271.28</v>
      </c>
      <c r="F83" s="335">
        <f ca="1">cef[[#This Row],[CEF (obra)]]+cef[[#This Row],[Pró soluto]]+cef[[#This Row],[PJ CEF]]</f>
        <v>513271.28</v>
      </c>
      <c r="G83" s="335">
        <f ca="1">SUMIFS(
  m.vb[valor],
  m.vb[empresa], $A83,
  m.vb[variavel], "Construção",
  m.vb[mes], $B83
)</f>
        <v>0</v>
      </c>
      <c r="H83" s="501"/>
      <c r="I83" s="335">
        <v>44591.73</v>
      </c>
      <c r="J83" s="374">
        <f ca="1">cef[[#This Row],[Entradas]]-cef[[#This Row],[Saídas]]</f>
        <v>468679.55000000005</v>
      </c>
      <c r="K83" s="336">
        <v>667080.07999999996</v>
      </c>
      <c r="L83" s="419">
        <f ca="1">IFERROR(cef[[#This Row],[Entradas]]/cef[[#This Row],[Saídas]],"Sem saídas")</f>
        <v>11.510459002151295</v>
      </c>
      <c r="M83" s="338">
        <v>16.09485718630339</v>
      </c>
      <c r="O83" s="364">
        <v>46143</v>
      </c>
      <c r="P83" s="365">
        <v>1832317.24</v>
      </c>
      <c r="Q83" s="365">
        <v>-2518288.6900000009</v>
      </c>
      <c r="R83" s="365">
        <v>4350605.9300000016</v>
      </c>
      <c r="S83" s="365">
        <v>3664634.4800000004</v>
      </c>
      <c r="AB83" s="366">
        <v>45748</v>
      </c>
      <c r="AC83" s="367">
        <v>0.35508984768947943</v>
      </c>
      <c r="AD83" s="367">
        <v>0.1644237253935481</v>
      </c>
      <c r="AE83" s="367"/>
      <c r="AF83" s="367"/>
      <c r="AG83" s="367">
        <v>1.6056321542592962</v>
      </c>
      <c r="AH83" s="367">
        <v>2.125145727342324</v>
      </c>
      <c r="AJ83" s="366">
        <v>45748</v>
      </c>
      <c r="AK83" s="368">
        <v>-634429.91785714275</v>
      </c>
      <c r="AL83" s="368">
        <v>-743300.12615384615</v>
      </c>
      <c r="AM83" s="368"/>
      <c r="AN83" s="368"/>
      <c r="AO83" s="368">
        <v>-216122.8</v>
      </c>
      <c r="AP83" s="368">
        <v>-1593852.8440109889</v>
      </c>
    </row>
    <row r="84" spans="1:42" x14ac:dyDescent="0.25">
      <c r="A84" s="347" t="s">
        <v>10</v>
      </c>
      <c r="B84" s="348">
        <v>46054</v>
      </c>
      <c r="C84" s="336">
        <f t="shared" ca="1" si="4"/>
        <v>0</v>
      </c>
      <c r="D84" s="336">
        <f t="shared" ca="1" si="5"/>
        <v>0</v>
      </c>
      <c r="E84" s="501">
        <v>272968.38</v>
      </c>
      <c r="F84" s="336">
        <f ca="1">cef[[#This Row],[CEF (obra)]]+cef[[#This Row],[Pró soluto]]+cef[[#This Row],[PJ CEF]]</f>
        <v>272968.38</v>
      </c>
      <c r="G84" s="336">
        <f ca="1">SUMIFS(
  m.vb[valor],
  m.vb[empresa], $A84,
  m.vb[variavel], "Construção",
  m.vb[mes], $B84
)</f>
        <v>0</v>
      </c>
      <c r="H84" s="501"/>
      <c r="I84" s="336">
        <v>141464.26999999999</v>
      </c>
      <c r="J84" s="373">
        <f ca="1">cef[[#This Row],[Entradas]]-cef[[#This Row],[Saídas]]</f>
        <v>131504.11000000002</v>
      </c>
      <c r="K84" s="336">
        <f ca="1">AVERAGE(J$83:J84)</f>
        <v>300091.83</v>
      </c>
      <c r="L84" s="419">
        <f ca="1">IFERROR(cef[[#This Row],[Entradas]]/cef[[#This Row],[Saídas]],"Sem saídas")</f>
        <v>1.9295923981369998</v>
      </c>
      <c r="M84" s="338">
        <f ca="1">AVERAGE(L$83:L84)</f>
        <v>6.7200257001441477</v>
      </c>
      <c r="O84" s="364">
        <v>46174</v>
      </c>
      <c r="P84" s="365">
        <v>1365955.58</v>
      </c>
      <c r="Q84" s="365">
        <v>-2638349.4599999995</v>
      </c>
      <c r="R84" s="365">
        <v>4004305.0399999996</v>
      </c>
      <c r="S84" s="365">
        <v>2731911.16</v>
      </c>
      <c r="AB84" s="366">
        <v>45778</v>
      </c>
      <c r="AC84" s="367">
        <v>0.34320996622101091</v>
      </c>
      <c r="AD84" s="367">
        <v>0.15833395778637965</v>
      </c>
      <c r="AE84" s="367"/>
      <c r="AF84" s="367"/>
      <c r="AG84" s="367">
        <v>1.33802679521608</v>
      </c>
      <c r="AH84" s="367">
        <v>1.8395707192234707</v>
      </c>
      <c r="AJ84" s="366">
        <v>45778</v>
      </c>
      <c r="AK84" s="368">
        <v>-633936.3913333331</v>
      </c>
      <c r="AL84" s="368">
        <v>-729297.66592592595</v>
      </c>
      <c r="AM84" s="368"/>
      <c r="AN84" s="368"/>
      <c r="AO84" s="368">
        <v>-294035.12666666665</v>
      </c>
      <c r="AP84" s="368">
        <v>-1657269.1839259258</v>
      </c>
    </row>
    <row r="85" spans="1:42" x14ac:dyDescent="0.25">
      <c r="A85" s="347" t="s">
        <v>10</v>
      </c>
      <c r="B85" s="348">
        <v>46082</v>
      </c>
      <c r="C85" s="336">
        <f t="shared" ca="1" si="4"/>
        <v>0</v>
      </c>
      <c r="D85" s="336">
        <f t="shared" ca="1" si="5"/>
        <v>0</v>
      </c>
      <c r="E85" s="501">
        <v>1245070.1599999999</v>
      </c>
      <c r="F85" s="336">
        <f ca="1">cef[[#This Row],[CEF (obra)]]+cef[[#This Row],[Pró soluto]]+cef[[#This Row],[PJ CEF]]</f>
        <v>1245070.1599999999</v>
      </c>
      <c r="G85" s="336">
        <f ca="1">SUMIFS(
  m.vb[valor],
  m.vb[empresa], $A85,
  m.vb[variavel], "Construção",
  m.vb[mes], $B85
)</f>
        <v>0</v>
      </c>
      <c r="H85" s="501"/>
      <c r="I85" s="336">
        <v>323888.5</v>
      </c>
      <c r="J85" s="373">
        <f ca="1">cef[[#This Row],[Entradas]]-cef[[#This Row],[Saídas]]</f>
        <v>921181.65999999992</v>
      </c>
      <c r="K85" s="336">
        <f ca="1">AVERAGE(J$83:J85)</f>
        <v>507121.77333333326</v>
      </c>
      <c r="L85" s="376">
        <f ca="1">IFERROR(cef[[#This Row],[Entradas]]/cef[[#This Row],[Saídas]],"Sem saídas")</f>
        <v>3.8441320392665994</v>
      </c>
      <c r="M85" s="338">
        <f ca="1">AVERAGE(L$83:L85)</f>
        <v>5.7613944798516314</v>
      </c>
      <c r="O85" s="268" t="s">
        <v>875</v>
      </c>
      <c r="P85" s="365">
        <v>23532170.560000002</v>
      </c>
      <c r="Q85" s="365">
        <v>-61808001.879999988</v>
      </c>
      <c r="R85" s="365">
        <v>85340172.440000013</v>
      </c>
      <c r="S85" s="365">
        <v>47064341.120000005</v>
      </c>
      <c r="AB85" s="366">
        <v>45809</v>
      </c>
      <c r="AC85" s="367">
        <v>0.35241980843396498</v>
      </c>
      <c r="AD85" s="367">
        <v>0.15267917357972324</v>
      </c>
      <c r="AE85" s="367"/>
      <c r="AF85" s="367"/>
      <c r="AG85" s="367">
        <v>1.1468801101852115</v>
      </c>
      <c r="AH85" s="367">
        <v>1.6519790921988997</v>
      </c>
      <c r="AJ85" s="366">
        <v>45809</v>
      </c>
      <c r="AK85" s="368">
        <v>-613092.25562499987</v>
      </c>
      <c r="AL85" s="368">
        <v>-715261.6453571429</v>
      </c>
      <c r="AM85" s="368"/>
      <c r="AN85" s="368"/>
      <c r="AO85" s="368">
        <v>-308358.85428571427</v>
      </c>
      <c r="AP85" s="368">
        <v>-1636712.7552678571</v>
      </c>
    </row>
    <row r="86" spans="1:42" x14ac:dyDescent="0.25">
      <c r="A86" s="347" t="s">
        <v>10</v>
      </c>
      <c r="B86" s="348">
        <v>46113</v>
      </c>
      <c r="C86" s="336">
        <f t="shared" ca="1" si="4"/>
        <v>0</v>
      </c>
      <c r="D86" s="336">
        <f t="shared" ca="1" si="5"/>
        <v>0</v>
      </c>
      <c r="E86" s="501">
        <v>465160.57</v>
      </c>
      <c r="F86" s="336">
        <f ca="1">cef[[#This Row],[CEF (obra)]]+cef[[#This Row],[Pró soluto]]+cef[[#This Row],[PJ CEF]]</f>
        <v>465160.57</v>
      </c>
      <c r="G86" s="336">
        <f ca="1">SUMIFS(
  m.vb[valor],
  m.vb[empresa], $A86,
  m.vb[variavel], "Construção",
  m.vb[mes], $B86
)</f>
        <v>0</v>
      </c>
      <c r="H86" s="501"/>
      <c r="I86" s="336">
        <v>766215.26</v>
      </c>
      <c r="J86" s="373">
        <f ca="1">cef[[#This Row],[Entradas]]-cef[[#This Row],[Saídas]]</f>
        <v>-301054.69</v>
      </c>
      <c r="K86" s="336">
        <f ca="1">AVERAGE(J$83:J86)</f>
        <v>305077.65749999997</v>
      </c>
      <c r="L86" s="376">
        <f ca="1">IFERROR(cef[[#This Row],[Entradas]]/cef[[#This Row],[Saídas]],"Sem saídas")</f>
        <v>0.60708862676527742</v>
      </c>
      <c r="M86" s="338">
        <f ca="1">AVERAGE(L$83:L86)</f>
        <v>4.4728180165800433</v>
      </c>
      <c r="AB86" s="366">
        <v>45839</v>
      </c>
      <c r="AC86" s="367">
        <v>0.34063171594892383</v>
      </c>
      <c r="AD86" s="367">
        <v>0.14741437449076727</v>
      </c>
      <c r="AE86" s="367">
        <v>2.1086693883660885</v>
      </c>
      <c r="AF86" s="367"/>
      <c r="AG86" s="367">
        <v>1.0396046859335142</v>
      </c>
      <c r="AH86" s="367">
        <v>3.6363201647392938</v>
      </c>
      <c r="AJ86" s="366">
        <v>45839</v>
      </c>
      <c r="AK86" s="368">
        <v>-633333.79764705873</v>
      </c>
      <c r="AL86" s="368">
        <v>-703682.13620689651</v>
      </c>
      <c r="AM86" s="368">
        <v>694419.24</v>
      </c>
      <c r="AN86" s="368"/>
      <c r="AO86" s="368">
        <v>-425159.20124999998</v>
      </c>
      <c r="AP86" s="368">
        <v>-1067755.8951039552</v>
      </c>
    </row>
    <row r="87" spans="1:42" x14ac:dyDescent="0.25">
      <c r="A87" s="347" t="s">
        <v>10</v>
      </c>
      <c r="B87" s="348">
        <v>46143</v>
      </c>
      <c r="C87" s="336">
        <f t="shared" ca="1" si="4"/>
        <v>0</v>
      </c>
      <c r="D87" s="336">
        <f t="shared" ca="1" si="5"/>
        <v>0</v>
      </c>
      <c r="E87" s="501">
        <v>919179.34</v>
      </c>
      <c r="F87" s="336">
        <f ca="1">cef[[#This Row],[CEF (obra)]]+cef[[#This Row],[Pró soluto]]+cef[[#This Row],[PJ CEF]]</f>
        <v>919179.34</v>
      </c>
      <c r="G87" s="336">
        <f ca="1">SUMIFS(
  m.vb[valor],
  m.vb[empresa], $A87,
  m.vb[variavel], "Construção",
  m.vb[mes], $B87
)</f>
        <v>0</v>
      </c>
      <c r="H87" s="501"/>
      <c r="I87" s="336">
        <v>1452218.3</v>
      </c>
      <c r="J87" s="373">
        <f ca="1">cef[[#This Row],[Entradas]]-cef[[#This Row],[Saídas]]</f>
        <v>-533038.96000000008</v>
      </c>
      <c r="K87" s="336">
        <f ca="1">AVERAGE(J$83:J87)</f>
        <v>137454.33399999997</v>
      </c>
      <c r="L87" s="376">
        <f ca="1">IFERROR(cef[[#This Row],[Entradas]]/cef[[#This Row],[Saídas]],"Sem saídas")</f>
        <v>0.63294846236271773</v>
      </c>
      <c r="M87" s="338">
        <f ca="1">AVERAGE(L$83:L87)</f>
        <v>3.7048441057365777</v>
      </c>
      <c r="AB87" s="366">
        <v>45870</v>
      </c>
      <c r="AC87" s="367">
        <v>0.3473630644045127</v>
      </c>
      <c r="AD87" s="367">
        <v>0.14250056200774169</v>
      </c>
      <c r="AE87" s="367">
        <v>0.74652335782065427</v>
      </c>
      <c r="AF87" s="367"/>
      <c r="AG87" s="367">
        <v>0.94354136469826599</v>
      </c>
      <c r="AH87" s="367">
        <v>2.1799283489311749</v>
      </c>
      <c r="AJ87" s="366">
        <v>45870</v>
      </c>
      <c r="AK87" s="368">
        <v>-621866.05611111096</v>
      </c>
      <c r="AL87" s="368">
        <v>-685259.1183333334</v>
      </c>
      <c r="AM87" s="368">
        <v>-234631.42499999999</v>
      </c>
      <c r="AN87" s="368"/>
      <c r="AO87" s="368">
        <v>-508589.19444444444</v>
      </c>
      <c r="AP87" s="368">
        <v>-2050345.793888889</v>
      </c>
    </row>
    <row r="88" spans="1:42" x14ac:dyDescent="0.25">
      <c r="A88" s="347" t="s">
        <v>10</v>
      </c>
      <c r="B88" s="348">
        <v>46174</v>
      </c>
      <c r="C88" s="336">
        <f t="shared" ca="1" si="4"/>
        <v>0</v>
      </c>
      <c r="D88" s="336">
        <f t="shared" ca="1" si="5"/>
        <v>0</v>
      </c>
      <c r="E88" s="501">
        <v>793792.24</v>
      </c>
      <c r="F88" s="336">
        <f ca="1">cef[[#This Row],[CEF (obra)]]+cef[[#This Row],[Pró soluto]]+cef[[#This Row],[PJ CEF]]</f>
        <v>793792.24</v>
      </c>
      <c r="G88" s="336">
        <f ca="1">SUMIFS(
  m.vb[valor],
  m.vb[empresa], $A88,
  m.vb[variavel], "Construção",
  m.vb[mes], $B88
)</f>
        <v>0</v>
      </c>
      <c r="H88" s="501"/>
      <c r="I88" s="336">
        <v>1028338.02</v>
      </c>
      <c r="J88" s="373">
        <f ca="1">cef[[#This Row],[Entradas]]-cef[[#This Row],[Saídas]]</f>
        <v>-234545.78000000003</v>
      </c>
      <c r="K88" s="336">
        <f ca="1">AVERAGE(J$83:J88)</f>
        <v>75454.314999999959</v>
      </c>
      <c r="L88" s="376">
        <f ca="1">IFERROR(cef[[#This Row],[Entradas]]/cef[[#This Row],[Saídas]],"Sem saídas")</f>
        <v>0.77191762296214617</v>
      </c>
      <c r="M88" s="338">
        <f ca="1">AVERAGE(L$83:L88)</f>
        <v>3.2160230252741724</v>
      </c>
      <c r="AB88" s="366">
        <v>45901</v>
      </c>
      <c r="AC88" s="367">
        <v>0.34392317032852382</v>
      </c>
      <c r="AD88" s="367">
        <v>0.1379037696849113</v>
      </c>
      <c r="AE88" s="367">
        <v>0.57509829154224268</v>
      </c>
      <c r="AF88" s="367"/>
      <c r="AG88" s="367">
        <v>0.88153605340334784</v>
      </c>
      <c r="AH88" s="367">
        <v>1.9384612849590257</v>
      </c>
      <c r="AJ88" s="366">
        <v>45901</v>
      </c>
      <c r="AK88" s="368">
        <v>-613401.48368421046</v>
      </c>
      <c r="AL88" s="368">
        <v>-668840.05161290325</v>
      </c>
      <c r="AM88" s="368">
        <v>-409328.40000000008</v>
      </c>
      <c r="AN88" s="368"/>
      <c r="AO88" s="368">
        <v>-523773.58299999998</v>
      </c>
      <c r="AP88" s="368">
        <v>-2215343.5182971139</v>
      </c>
    </row>
    <row r="89" spans="1:42" x14ac:dyDescent="0.25">
      <c r="A89" s="333" t="s">
        <v>12</v>
      </c>
      <c r="B89" s="334">
        <v>45627</v>
      </c>
      <c r="C89" s="335">
        <f t="shared" ca="1" si="4"/>
        <v>0</v>
      </c>
      <c r="D89" s="335">
        <f t="shared" ca="1" si="5"/>
        <v>0</v>
      </c>
      <c r="E89" s="501">
        <v>928463.72</v>
      </c>
      <c r="F89" s="335">
        <f ca="1">cef[[#This Row],[CEF (obra)]]+cef[[#This Row],[Pró soluto]]+cef[[#This Row],[PJ CEF]]</f>
        <v>928463.72</v>
      </c>
      <c r="G89" s="335">
        <f ca="1">SUMIFS(
  m.vb[valor],
  m.vb[empresa], $A89,
  m.vb[variavel], "Construção",
  m.vb[mes], $B89
)</f>
        <v>0</v>
      </c>
      <c r="H89" s="501"/>
      <c r="I89" s="335">
        <v>125082.76</v>
      </c>
      <c r="J89" s="374">
        <f ca="1">cef[[#This Row],[Entradas]]-cef[[#This Row],[Saídas]]</f>
        <v>803380.96</v>
      </c>
      <c r="K89" s="336">
        <v>1299320.07</v>
      </c>
      <c r="L89" s="419">
        <f ca="1">IFERROR(cef[[#This Row],[Entradas]]/cef[[#This Row],[Saídas]],"Sem saídas")</f>
        <v>7.4227952757038622</v>
      </c>
      <c r="M89" s="338">
        <v>11.387683082784552</v>
      </c>
      <c r="AB89" s="366">
        <v>45931</v>
      </c>
      <c r="AC89" s="367">
        <v>0.34321980862846108</v>
      </c>
      <c r="AD89" s="367">
        <v>0.13359427688225783</v>
      </c>
      <c r="AE89" s="367">
        <v>0.52294082338527847</v>
      </c>
      <c r="AF89" s="367"/>
      <c r="AG89" s="367">
        <v>0.81218722761482942</v>
      </c>
      <c r="AH89" s="367">
        <v>1.8119421365108268</v>
      </c>
      <c r="AJ89" s="366">
        <v>45931</v>
      </c>
      <c r="AK89" s="368">
        <v>-609814.38249999995</v>
      </c>
      <c r="AL89" s="368">
        <v>-651327.04625000001</v>
      </c>
      <c r="AM89" s="368">
        <v>-443088.89500000002</v>
      </c>
      <c r="AN89" s="368"/>
      <c r="AO89" s="368">
        <v>-587698.12454545451</v>
      </c>
      <c r="AP89" s="368">
        <v>-2291928.4482954545</v>
      </c>
    </row>
    <row r="90" spans="1:42" x14ac:dyDescent="0.25">
      <c r="A90" s="347" t="s">
        <v>12</v>
      </c>
      <c r="B90" s="348">
        <v>45658</v>
      </c>
      <c r="C90" s="336">
        <f t="shared" ca="1" si="4"/>
        <v>0</v>
      </c>
      <c r="D90" s="336">
        <f t="shared" ca="1" si="5"/>
        <v>0</v>
      </c>
      <c r="E90" s="501">
        <v>0</v>
      </c>
      <c r="F90" s="336">
        <f ca="1">cef[[#This Row],[CEF (obra)]]+cef[[#This Row],[Pró soluto]]+cef[[#This Row],[PJ CEF]]</f>
        <v>0</v>
      </c>
      <c r="G90" s="336">
        <f ca="1">SUMIFS(
  m.vb[valor],
  m.vb[empresa], $A90,
  m.vb[variavel], "Construção",
  m.vb[mes], $B90
)</f>
        <v>0</v>
      </c>
      <c r="H90" s="501"/>
      <c r="I90" s="336">
        <v>176631.93</v>
      </c>
      <c r="J90" s="373">
        <f ca="1">cef[[#This Row],[Entradas]]-cef[[#This Row],[Saídas]]</f>
        <v>-176631.93</v>
      </c>
      <c r="K90" s="336">
        <f ca="1">AVERAGE(J$89:J90)</f>
        <v>313374.51500000001</v>
      </c>
      <c r="L90" s="419">
        <f ca="1">IFERROR(cef[[#This Row],[Entradas]]/cef[[#This Row],[Saídas]],"Sem saídas")</f>
        <v>0</v>
      </c>
      <c r="M90" s="338">
        <f ca="1">AVERAGE(L$89:L90)</f>
        <v>3.7113976378519311</v>
      </c>
      <c r="AB90" s="366">
        <v>45962</v>
      </c>
      <c r="AC90" s="367">
        <v>0.33818396881286494</v>
      </c>
      <c r="AD90" s="367">
        <v>0.12954596546158337</v>
      </c>
      <c r="AE90" s="367">
        <v>0.52287546478887115</v>
      </c>
      <c r="AF90" s="367"/>
      <c r="AG90" s="367">
        <v>0.75765889622001381</v>
      </c>
      <c r="AH90" s="367">
        <v>1.7482642952833332</v>
      </c>
      <c r="AJ90" s="366">
        <v>45962</v>
      </c>
      <c r="AK90" s="368">
        <v>-616018.18047619041</v>
      </c>
      <c r="AL90" s="368">
        <v>-632204.19090909092</v>
      </c>
      <c r="AM90" s="368">
        <v>-423539.74199999997</v>
      </c>
      <c r="AN90" s="368"/>
      <c r="AO90" s="368">
        <v>-627898.84666666668</v>
      </c>
      <c r="AP90" s="368">
        <v>-2299660.9600519482</v>
      </c>
    </row>
    <row r="91" spans="1:42" x14ac:dyDescent="0.25">
      <c r="A91" s="347" t="s">
        <v>12</v>
      </c>
      <c r="B91" s="348">
        <v>45689</v>
      </c>
      <c r="C91" s="336">
        <f t="shared" ca="1" si="4"/>
        <v>0</v>
      </c>
      <c r="D91" s="336">
        <f t="shared" ca="1" si="5"/>
        <v>0</v>
      </c>
      <c r="E91" s="501">
        <v>0</v>
      </c>
      <c r="F91" s="336">
        <f ca="1">cef[[#This Row],[CEF (obra)]]+cef[[#This Row],[Pró soluto]]+cef[[#This Row],[PJ CEF]]</f>
        <v>0</v>
      </c>
      <c r="G91" s="336">
        <f ca="1">SUMIFS(
  m.vb[valor],
  m.vb[empresa], $A91,
  m.vb[variavel], "Construção",
  m.vb[mes], $B91
)</f>
        <v>0</v>
      </c>
      <c r="H91" s="501"/>
      <c r="I91" s="336">
        <v>516500.31</v>
      </c>
      <c r="J91" s="373">
        <f ca="1">cef[[#This Row],[Entradas]]-cef[[#This Row],[Saídas]]</f>
        <v>-516500.31</v>
      </c>
      <c r="K91" s="336">
        <f ca="1">AVERAGE(J$89:J91)</f>
        <v>36749.573333333341</v>
      </c>
      <c r="L91" s="419">
        <f ca="1">IFERROR(cef[[#This Row],[Entradas]]/cef[[#This Row],[Saídas]],"Sem saídas")</f>
        <v>0</v>
      </c>
      <c r="M91" s="338">
        <f ca="1">AVERAGE(L$89:L91)</f>
        <v>2.4742650919012874</v>
      </c>
      <c r="AB91" s="366">
        <v>45992</v>
      </c>
      <c r="AC91" s="367">
        <v>0.34349341304965159</v>
      </c>
      <c r="AD91" s="367">
        <v>0.12573579000683091</v>
      </c>
      <c r="AE91" s="367">
        <v>0.43572955399072594</v>
      </c>
      <c r="AF91" s="367"/>
      <c r="AG91" s="367">
        <v>0.69937744266462809</v>
      </c>
      <c r="AH91" s="367">
        <v>1.6043361997118364</v>
      </c>
      <c r="AJ91" s="366">
        <v>45992</v>
      </c>
      <c r="AK91" s="368">
        <v>-613700.24272727268</v>
      </c>
      <c r="AL91" s="368">
        <v>-614722.86970588239</v>
      </c>
      <c r="AM91" s="368">
        <v>-486591.47500000003</v>
      </c>
      <c r="AN91" s="368"/>
      <c r="AO91" s="368">
        <v>-678804.96307692304</v>
      </c>
      <c r="AP91" s="368">
        <v>-2393819.5505100782</v>
      </c>
    </row>
    <row r="92" spans="1:42" x14ac:dyDescent="0.25">
      <c r="A92" s="347" t="s">
        <v>12</v>
      </c>
      <c r="B92" s="348">
        <v>45717</v>
      </c>
      <c r="C92" s="336">
        <f t="shared" ca="1" si="4"/>
        <v>0</v>
      </c>
      <c r="D92" s="336">
        <f t="shared" ca="1" si="5"/>
        <v>0</v>
      </c>
      <c r="E92" s="501">
        <v>236708.67</v>
      </c>
      <c r="F92" s="336">
        <f ca="1">cef[[#This Row],[CEF (obra)]]+cef[[#This Row],[Pró soluto]]+cef[[#This Row],[PJ CEF]]</f>
        <v>236708.67</v>
      </c>
      <c r="G92" s="336">
        <f ca="1">SUMIFS(
  m.vb[valor],
  m.vb[empresa], $A92,
  m.vb[variavel], "Construção",
  m.vb[mes], $B92
)</f>
        <v>0</v>
      </c>
      <c r="H92" s="501"/>
      <c r="I92" s="336">
        <v>908216.4</v>
      </c>
      <c r="J92" s="373">
        <f ca="1">cef[[#This Row],[Entradas]]-cef[[#This Row],[Saídas]]</f>
        <v>-671507.73</v>
      </c>
      <c r="K92" s="336">
        <f ca="1">AVERAGE(J$89:J92)</f>
        <v>-140314.7525</v>
      </c>
      <c r="L92" s="419">
        <f ca="1">IFERROR(cef[[#This Row],[Entradas]]/cef[[#This Row],[Saídas]],"Sem saídas")</f>
        <v>0.26063025287805858</v>
      </c>
      <c r="M92" s="338">
        <f ca="1">AVERAGE(L$89:L92)</f>
        <v>1.9208563821454803</v>
      </c>
      <c r="AB92" s="366">
        <v>46023</v>
      </c>
      <c r="AC92" s="367">
        <v>0.32855891683010152</v>
      </c>
      <c r="AD92" s="367">
        <v>0.12214333886377859</v>
      </c>
      <c r="AE92" s="367">
        <v>0.41816840626657925</v>
      </c>
      <c r="AF92" s="367">
        <v>16.09485718630339</v>
      </c>
      <c r="AG92" s="367">
        <v>0.66443302916929636</v>
      </c>
      <c r="AH92" s="367">
        <v>17.628160877433146</v>
      </c>
      <c r="AJ92" s="366">
        <v>46023</v>
      </c>
      <c r="AK92" s="368">
        <v>-619133.77826086956</v>
      </c>
      <c r="AL92" s="368">
        <v>-597873.88228571427</v>
      </c>
      <c r="AM92" s="368">
        <v>-515383.33857142861</v>
      </c>
      <c r="AN92" s="368">
        <v>667080.07999999996</v>
      </c>
      <c r="AO92" s="368">
        <v>-714072.93714285712</v>
      </c>
      <c r="AP92" s="368">
        <v>-1779383.8562608694</v>
      </c>
    </row>
    <row r="93" spans="1:42" x14ac:dyDescent="0.25">
      <c r="A93" s="347" t="s">
        <v>12</v>
      </c>
      <c r="B93" s="348">
        <v>45748</v>
      </c>
      <c r="C93" s="336">
        <f t="shared" ca="1" si="4"/>
        <v>0</v>
      </c>
      <c r="D93" s="336">
        <f t="shared" ca="1" si="5"/>
        <v>0</v>
      </c>
      <c r="E93" s="501">
        <v>273233.02</v>
      </c>
      <c r="F93" s="336">
        <f ca="1">cef[[#This Row],[CEF (obra)]]+cef[[#This Row],[Pró soluto]]+cef[[#This Row],[PJ CEF]]</f>
        <v>273233.02</v>
      </c>
      <c r="G93" s="336">
        <f ca="1">SUMIFS(
  m.vb[valor],
  m.vb[empresa], $A93,
  m.vb[variavel], "Construção",
  m.vb[mes], $B93
)</f>
        <v>0</v>
      </c>
      <c r="H93" s="501"/>
      <c r="I93" s="336">
        <v>792588.01</v>
      </c>
      <c r="J93" s="373">
        <f ca="1">cef[[#This Row],[Entradas]]-cef[[#This Row],[Saídas]]</f>
        <v>-519354.99</v>
      </c>
      <c r="K93" s="336">
        <f ca="1">AVERAGE(J$89:J93)</f>
        <v>-216122.8</v>
      </c>
      <c r="L93" s="419">
        <f ca="1">IFERROR(cef[[#This Row],[Entradas]]/cef[[#This Row],[Saídas]],"Sem saídas")</f>
        <v>0.34473524271455991</v>
      </c>
      <c r="M93" s="338">
        <f ca="1">AVERAGE(L$89:L93)</f>
        <v>1.6056321542592962</v>
      </c>
      <c r="AB93" s="366">
        <v>46054</v>
      </c>
      <c r="AC93" s="367">
        <v>0.31891210068309689</v>
      </c>
      <c r="AD93" s="367">
        <v>0.11875046833978474</v>
      </c>
      <c r="AE93" s="367">
        <v>0.36589735548325686</v>
      </c>
      <c r="AF93" s="367">
        <v>6.7200257001441477</v>
      </c>
      <c r="AG93" s="367">
        <v>0.63247617422944014</v>
      </c>
      <c r="AH93" s="367">
        <v>8.1560617988797262</v>
      </c>
      <c r="AJ93" s="366">
        <v>46054</v>
      </c>
      <c r="AK93" s="368">
        <v>-611479.34875</v>
      </c>
      <c r="AL93" s="368">
        <v>-581905.6638888889</v>
      </c>
      <c r="AM93" s="368">
        <v>-644613.14375000005</v>
      </c>
      <c r="AN93" s="368">
        <v>300091.83</v>
      </c>
      <c r="AO93" s="368">
        <v>-777433.92933333328</v>
      </c>
      <c r="AP93" s="368">
        <v>-2315340.2557222219</v>
      </c>
    </row>
    <row r="94" spans="1:42" x14ac:dyDescent="0.25">
      <c r="A94" s="347" t="s">
        <v>12</v>
      </c>
      <c r="B94" s="348">
        <v>45778</v>
      </c>
      <c r="C94" s="336">
        <f t="shared" ca="1" si="4"/>
        <v>0</v>
      </c>
      <c r="D94" s="336">
        <f t="shared" ca="1" si="5"/>
        <v>0</v>
      </c>
      <c r="E94" s="501">
        <v>0</v>
      </c>
      <c r="F94" s="336">
        <f ca="1">cef[[#This Row],[CEF (obra)]]+cef[[#This Row],[Pró soluto]]+cef[[#This Row],[PJ CEF]]</f>
        <v>0</v>
      </c>
      <c r="G94" s="336">
        <f ca="1">SUMIFS(
  m.vb[valor],
  m.vb[empresa], $A94,
  m.vb[variavel], "Construção",
  m.vb[mes], $B94
)</f>
        <v>0</v>
      </c>
      <c r="H94" s="501"/>
      <c r="I94" s="336">
        <v>683596.76</v>
      </c>
      <c r="J94" s="373">
        <f ca="1">cef[[#This Row],[Entradas]]-cef[[#This Row],[Saídas]]</f>
        <v>-683596.76</v>
      </c>
      <c r="K94" s="336">
        <f ca="1">AVERAGE(J$89:J94)</f>
        <v>-294035.12666666665</v>
      </c>
      <c r="L94" s="419">
        <f ca="1">IFERROR(cef[[#This Row],[Entradas]]/cef[[#This Row],[Saídas]],"Sem saídas")</f>
        <v>0</v>
      </c>
      <c r="M94" s="338">
        <f ca="1">AVERAGE(L$89:L94)</f>
        <v>1.33802679521608</v>
      </c>
      <c r="AB94" s="366">
        <v>46082</v>
      </c>
      <c r="AC94">
        <v>0.30615561665577301</v>
      </c>
      <c r="AD94">
        <v>0.11554099622249327</v>
      </c>
      <c r="AE94">
        <v>0.35503281212843207</v>
      </c>
      <c r="AF94">
        <v>5.7613944798516314</v>
      </c>
      <c r="AG94">
        <v>0.61152310962071421</v>
      </c>
      <c r="AH94">
        <v>7.1496470144790436</v>
      </c>
      <c r="AJ94" s="366">
        <v>46082</v>
      </c>
      <c r="AK94" s="368">
        <v>-593717.89520000003</v>
      </c>
      <c r="AL94" s="368">
        <v>-566689.73972972971</v>
      </c>
      <c r="AM94" s="368">
        <v>-733208.99777777784</v>
      </c>
      <c r="AN94" s="368">
        <v>507121.77333333326</v>
      </c>
      <c r="AO94" s="368">
        <v>-798638.79062499991</v>
      </c>
      <c r="AP94" s="368">
        <v>-2185133.6499991743</v>
      </c>
    </row>
    <row r="95" spans="1:42" x14ac:dyDescent="0.25">
      <c r="A95" s="347" t="s">
        <v>12</v>
      </c>
      <c r="B95" s="348">
        <v>45809</v>
      </c>
      <c r="C95" s="336">
        <f t="shared" ca="1" si="4"/>
        <v>0</v>
      </c>
      <c r="D95" s="336">
        <f t="shared" ca="1" si="5"/>
        <v>0</v>
      </c>
      <c r="E95" s="501">
        <v>0</v>
      </c>
      <c r="F95" s="336">
        <f ca="1">cef[[#This Row],[CEF (obra)]]+cef[[#This Row],[Pró soluto]]+cef[[#This Row],[PJ CEF]]</f>
        <v>0</v>
      </c>
      <c r="G95" s="336">
        <f ca="1">SUMIFS(
  m.vb[valor],
  m.vb[empresa], $A95,
  m.vb[variavel], "Construção",
  m.vb[mes], $B95
)</f>
        <v>0</v>
      </c>
      <c r="H95" s="501"/>
      <c r="I95" s="336">
        <v>394301.22</v>
      </c>
      <c r="J95" s="373">
        <f ca="1">cef[[#This Row],[Entradas]]-cef[[#This Row],[Saídas]]</f>
        <v>-394301.22</v>
      </c>
      <c r="K95" s="336">
        <f ca="1">AVERAGE(J$89:J95)</f>
        <v>-308358.85428571427</v>
      </c>
      <c r="L95" s="419">
        <f ca="1">IFERROR(cef[[#This Row],[Entradas]]/cef[[#This Row],[Saídas]],"Sem saídas")</f>
        <v>0</v>
      </c>
      <c r="M95" s="338">
        <f ca="1">AVERAGE(L$89:L95)</f>
        <v>1.1468801101852115</v>
      </c>
      <c r="AB95" s="366">
        <v>46113</v>
      </c>
      <c r="AC95">
        <v>0.29438040063055099</v>
      </c>
      <c r="AD95">
        <v>0.11250044369032239</v>
      </c>
      <c r="AE95">
        <v>0.31952953091558889</v>
      </c>
      <c r="AF95">
        <v>4.4728180165800433</v>
      </c>
      <c r="AG95">
        <v>0.59144905700210959</v>
      </c>
      <c r="AH95">
        <v>5.7906774488186148</v>
      </c>
      <c r="AJ95" s="366">
        <v>46113</v>
      </c>
      <c r="AK95" s="368">
        <v>-574694.90769230772</v>
      </c>
      <c r="AL95" s="368">
        <v>-552117.48289473681</v>
      </c>
      <c r="AM95" s="368">
        <v>-798906.45600000001</v>
      </c>
      <c r="AN95" s="368">
        <v>305077.65749999997</v>
      </c>
      <c r="AO95" s="368">
        <v>-821181.04999999981</v>
      </c>
      <c r="AP95" s="368">
        <v>-2441822.2390870443</v>
      </c>
    </row>
    <row r="96" spans="1:42" x14ac:dyDescent="0.25">
      <c r="A96" s="347" t="s">
        <v>12</v>
      </c>
      <c r="B96" s="348">
        <v>45839</v>
      </c>
      <c r="C96" s="336">
        <f t="shared" ca="1" si="4"/>
        <v>0</v>
      </c>
      <c r="D96" s="336">
        <f t="shared" ca="1" si="5"/>
        <v>0</v>
      </c>
      <c r="E96" s="501">
        <v>504350.63</v>
      </c>
      <c r="F96" s="336">
        <f ca="1">cef[[#This Row],[CEF (obra)]]+cef[[#This Row],[Pró soluto]]+cef[[#This Row],[PJ CEF]]</f>
        <v>504350.63</v>
      </c>
      <c r="G96" s="336">
        <f ca="1">SUMIFS(
  m.vb[valor],
  m.vb[empresa], $A96,
  m.vb[variavel], "Construção",
  m.vb[mes], $B96
)</f>
        <v>0</v>
      </c>
      <c r="H96" s="501"/>
      <c r="I96" s="336">
        <v>1747112.26</v>
      </c>
      <c r="J96" s="373">
        <f ca="1">cef[[#This Row],[Entradas]]-cef[[#This Row],[Saídas]]</f>
        <v>-1242761.6299999999</v>
      </c>
      <c r="K96" s="336">
        <f ca="1">AVERAGE(J$89:J96)</f>
        <v>-425159.20124999998</v>
      </c>
      <c r="L96" s="419">
        <f ca="1">IFERROR(cef[[#This Row],[Entradas]]/cef[[#This Row],[Saídas]],"Sem saídas")</f>
        <v>0.28867671617163282</v>
      </c>
      <c r="M96" s="338">
        <f ca="1">AVERAGE(L$89:L96)</f>
        <v>1.0396046859335142</v>
      </c>
      <c r="AB96" s="366">
        <v>46143</v>
      </c>
      <c r="AC96">
        <v>0.28347742282941946</v>
      </c>
      <c r="AD96">
        <v>0.10961581692903206</v>
      </c>
      <c r="AE96">
        <v>0.31886758204886179</v>
      </c>
      <c r="AF96">
        <v>3.7048441057365777</v>
      </c>
      <c r="AG96">
        <v>0.57731359043714225</v>
      </c>
      <c r="AH96">
        <v>4.9941185179810335</v>
      </c>
      <c r="AJ96" s="366">
        <v>46143</v>
      </c>
      <c r="AK96" s="368">
        <v>-556236.35518518521</v>
      </c>
      <c r="AL96" s="368">
        <v>-538224.14948717947</v>
      </c>
      <c r="AM96" s="368">
        <v>-813305.13454545464</v>
      </c>
      <c r="AN96" s="368">
        <v>137454.33399999997</v>
      </c>
      <c r="AO96" s="368">
        <v>-827858.01055555546</v>
      </c>
      <c r="AP96" s="368">
        <v>-2598169.3157733749</v>
      </c>
    </row>
    <row r="97" spans="1:42" x14ac:dyDescent="0.25">
      <c r="A97" s="347" t="s">
        <v>12</v>
      </c>
      <c r="B97" s="348">
        <v>45870</v>
      </c>
      <c r="C97" s="336">
        <f t="shared" ca="1" si="4"/>
        <v>0</v>
      </c>
      <c r="D97" s="336">
        <f t="shared" ca="1" si="5"/>
        <v>0</v>
      </c>
      <c r="E97" s="501">
        <v>249520.85</v>
      </c>
      <c r="F97" s="336">
        <f ca="1">cef[[#This Row],[CEF (obra)]]+cef[[#This Row],[Pró soluto]]+cef[[#This Row],[PJ CEF]]</f>
        <v>249520.85</v>
      </c>
      <c r="G97" s="336">
        <f ca="1">SUMIFS(
  m.vb[valor],
  m.vb[empresa], $A97,
  m.vb[variavel], "Construção",
  m.vb[mes], $B97
)</f>
        <v>0</v>
      </c>
      <c r="H97" s="501"/>
      <c r="I97" s="336">
        <v>1425549.99</v>
      </c>
      <c r="J97" s="373">
        <f ca="1">cef[[#This Row],[Entradas]]-cef[[#This Row],[Saídas]]</f>
        <v>-1176029.1399999999</v>
      </c>
      <c r="K97" s="336">
        <f ca="1">AVERAGE(J$89:J97)</f>
        <v>-508589.19444444444</v>
      </c>
      <c r="L97" s="419">
        <f ca="1">IFERROR(cef[[#This Row],[Entradas]]/cef[[#This Row],[Saídas]],"Sem saídas")</f>
        <v>0.17503479481628001</v>
      </c>
      <c r="M97" s="338">
        <f ca="1">AVERAGE(L$89:L97)</f>
        <v>0.94354136469826599</v>
      </c>
      <c r="AB97" s="366">
        <v>46174</v>
      </c>
      <c r="AC97">
        <v>0.3765926686390792</v>
      </c>
      <c r="AD97">
        <v>0.10687542150580627</v>
      </c>
      <c r="AE97">
        <v>0.29229528354479001</v>
      </c>
      <c r="AF97">
        <v>3.2160230252741724</v>
      </c>
      <c r="AG97">
        <v>0.56075985318033184</v>
      </c>
      <c r="AH97">
        <v>4.5525462521441797</v>
      </c>
      <c r="AJ97" s="366">
        <v>46174</v>
      </c>
      <c r="AK97" s="368">
        <v>-531515.07642857148</v>
      </c>
      <c r="AL97" s="368">
        <v>-524939.89749999996</v>
      </c>
      <c r="AM97" s="368">
        <v>-871443.05500000005</v>
      </c>
      <c r="AN97" s="368">
        <v>75454.314999999959</v>
      </c>
      <c r="AO97" s="368">
        <v>-838073.31947368418</v>
      </c>
      <c r="AP97" s="368">
        <v>-2690517.0334022557</v>
      </c>
    </row>
    <row r="98" spans="1:42" x14ac:dyDescent="0.25">
      <c r="A98" s="347" t="s">
        <v>12</v>
      </c>
      <c r="B98" s="348">
        <v>45901</v>
      </c>
      <c r="C98" s="336">
        <f t="shared" ca="1" si="4"/>
        <v>0</v>
      </c>
      <c r="D98" s="336">
        <f t="shared" ca="1" si="5"/>
        <v>0</v>
      </c>
      <c r="E98" s="501">
        <v>315799.90000000002</v>
      </c>
      <c r="F98" s="336">
        <f ca="1">cef[[#This Row],[CEF (obra)]]+cef[[#This Row],[Pró soluto]]+cef[[#This Row],[PJ CEF]]</f>
        <v>315799.90000000002</v>
      </c>
      <c r="G98" s="336">
        <f ca="1">SUMIFS(
  m.vb[valor],
  m.vb[empresa], $A98,
  m.vb[variavel], "Construção",
  m.vb[mes], $B98
)</f>
        <v>0</v>
      </c>
      <c r="H98" s="501"/>
      <c r="I98" s="336">
        <v>976232.98</v>
      </c>
      <c r="J98" s="373">
        <f ca="1">cef[[#This Row],[Entradas]]-cef[[#This Row],[Saídas]]</f>
        <v>-660433.07999999996</v>
      </c>
      <c r="K98" s="336">
        <f ca="1">AVERAGE(J$89:J98)</f>
        <v>-523773.58299999998</v>
      </c>
      <c r="L98" s="419">
        <f ca="1">IFERROR(cef[[#This Row],[Entradas]]/cef[[#This Row],[Saídas]],"Sem saídas")</f>
        <v>0.32348825174908558</v>
      </c>
      <c r="M98" s="338">
        <f ca="1">AVERAGE(L$89:L98)</f>
        <v>0.88153605340334784</v>
      </c>
      <c r="AB98" s="268" t="s">
        <v>875</v>
      </c>
      <c r="AC98">
        <v>13.847650289454911</v>
      </c>
      <c r="AD98">
        <v>7.3969921198077246</v>
      </c>
      <c r="AE98">
        <v>6.9816278502813685</v>
      </c>
      <c r="AF98">
        <v>39.969962513889968</v>
      </c>
      <c r="AG98">
        <v>32.356601738517469</v>
      </c>
      <c r="AH98">
        <v>100.55283451195145</v>
      </c>
      <c r="AJ98" s="268" t="s">
        <v>875</v>
      </c>
      <c r="AK98" s="368">
        <v>-14794139.414720427</v>
      </c>
      <c r="AL98" s="368">
        <v>-27410450.51691673</v>
      </c>
      <c r="AM98" s="368">
        <v>-5679620.8226446612</v>
      </c>
      <c r="AN98" s="368">
        <v>1992279.9898333331</v>
      </c>
      <c r="AO98" s="368">
        <v>-7438569.3252329659</v>
      </c>
      <c r="AP98" s="368">
        <v>-53330500.089681447</v>
      </c>
    </row>
    <row r="99" spans="1:42" x14ac:dyDescent="0.25">
      <c r="A99" s="347" t="s">
        <v>12</v>
      </c>
      <c r="B99" s="348">
        <v>45931</v>
      </c>
      <c r="C99" s="336">
        <f t="shared" ca="1" si="4"/>
        <v>0</v>
      </c>
      <c r="D99" s="336">
        <f t="shared" ca="1" si="5"/>
        <v>0</v>
      </c>
      <c r="E99" s="501">
        <v>165252.20000000001</v>
      </c>
      <c r="F99" s="336">
        <f ca="1">cef[[#This Row],[CEF (obra)]]+cef[[#This Row],[Pró soluto]]+cef[[#This Row],[PJ CEF]]</f>
        <v>165252.20000000001</v>
      </c>
      <c r="G99" s="336">
        <f ca="1">SUMIFS(
  m.vb[valor],
  m.vb[empresa], $A99,
  m.vb[variavel], "Construção",
  m.vb[mes], $B99
)</f>
        <v>0</v>
      </c>
      <c r="H99" s="501"/>
      <c r="I99" s="336">
        <v>1392195.74</v>
      </c>
      <c r="J99" s="373">
        <f ca="1">cef[[#This Row],[Entradas]]-cef[[#This Row],[Saídas]]</f>
        <v>-1226943.54</v>
      </c>
      <c r="K99" s="336">
        <f ca="1">AVERAGE(J$89:J99)</f>
        <v>-587698.12454545451</v>
      </c>
      <c r="L99" s="419">
        <f ca="1">IFERROR(cef[[#This Row],[Entradas]]/cef[[#This Row],[Saídas]],"Sem saídas")</f>
        <v>0.11869896972964449</v>
      </c>
      <c r="M99" s="338">
        <f ca="1">AVERAGE(L$89:L99)</f>
        <v>0.81218722761482942</v>
      </c>
    </row>
    <row r="100" spans="1:42" x14ac:dyDescent="0.25">
      <c r="A100" s="347" t="s">
        <v>12</v>
      </c>
      <c r="B100" s="348">
        <v>45962</v>
      </c>
      <c r="C100" s="336">
        <f t="shared" ca="1" si="4"/>
        <v>0</v>
      </c>
      <c r="D100" s="336">
        <f t="shared" ca="1" si="5"/>
        <v>0</v>
      </c>
      <c r="E100" s="501">
        <v>200573.37</v>
      </c>
      <c r="F100" s="336">
        <f ca="1">cef[[#This Row],[CEF (obra)]]+cef[[#This Row],[Pró soluto]]+cef[[#This Row],[PJ CEF]]</f>
        <v>200573.37</v>
      </c>
      <c r="G100" s="336">
        <f ca="1">SUMIFS(
  m.vb[valor],
  m.vb[empresa], $A100,
  m.vb[variavel], "Construção",
  m.vb[mes], $B100
)</f>
        <v>0</v>
      </c>
      <c r="H100" s="501"/>
      <c r="I100" s="336">
        <v>1270680.1599999999</v>
      </c>
      <c r="J100" s="373">
        <f ca="1">cef[[#This Row],[Entradas]]-cef[[#This Row],[Saídas]]</f>
        <v>-1070106.79</v>
      </c>
      <c r="K100" s="336">
        <f ca="1">AVERAGE(J$89:J100)</f>
        <v>-627898.84666666668</v>
      </c>
      <c r="L100" s="419">
        <f ca="1">IFERROR(cef[[#This Row],[Entradas]]/cef[[#This Row],[Saídas]],"Sem saídas")</f>
        <v>0.1578472508770421</v>
      </c>
      <c r="M100" s="338">
        <f ca="1">AVERAGE(L$89:L100)</f>
        <v>0.75765889622001381</v>
      </c>
    </row>
    <row r="101" spans="1:42" x14ac:dyDescent="0.25">
      <c r="A101" s="347" t="s">
        <v>12</v>
      </c>
      <c r="B101" s="348">
        <v>45992</v>
      </c>
      <c r="C101" s="336">
        <f t="shared" ca="1" si="4"/>
        <v>0</v>
      </c>
      <c r="D101" s="336">
        <f t="shared" ca="1" si="5"/>
        <v>0</v>
      </c>
      <c r="E101" s="501">
        <v>0</v>
      </c>
      <c r="F101" s="336">
        <f ca="1">cef[[#This Row],[CEF (obra)]]+cef[[#This Row],[Pró soluto]]+cef[[#This Row],[PJ CEF]]</f>
        <v>0</v>
      </c>
      <c r="G101" s="336">
        <f ca="1">SUMIFS(
  m.vb[valor],
  m.vb[empresa], $A101,
  m.vb[variavel], "Construção",
  m.vb[mes], $B101
)</f>
        <v>0</v>
      </c>
      <c r="H101" s="501"/>
      <c r="I101" s="336">
        <v>1289678.3600000001</v>
      </c>
      <c r="J101" s="373">
        <f ca="1">cef[[#This Row],[Entradas]]-cef[[#This Row],[Saídas]]</f>
        <v>-1289678.3600000001</v>
      </c>
      <c r="K101" s="336">
        <f ca="1">AVERAGE(J$89:J101)</f>
        <v>-678804.96307692304</v>
      </c>
      <c r="L101" s="419">
        <f ca="1">IFERROR(cef[[#This Row],[Entradas]]/cef[[#This Row],[Saídas]],"Sem saídas")</f>
        <v>0</v>
      </c>
      <c r="M101" s="338">
        <f ca="1">AVERAGE(L$89:L101)</f>
        <v>0.69937744266462809</v>
      </c>
    </row>
    <row r="102" spans="1:42" x14ac:dyDescent="0.25">
      <c r="A102" s="347" t="s">
        <v>12</v>
      </c>
      <c r="B102" s="348">
        <v>46023</v>
      </c>
      <c r="C102" s="336">
        <f t="shared" ca="1" si="4"/>
        <v>0</v>
      </c>
      <c r="D102" s="336">
        <f t="shared" ca="1" si="5"/>
        <v>0</v>
      </c>
      <c r="E102" s="501">
        <v>311984.76</v>
      </c>
      <c r="F102" s="336">
        <f ca="1">cef[[#This Row],[CEF (obra)]]+cef[[#This Row],[Pró soluto]]+cef[[#This Row],[PJ CEF]]</f>
        <v>311984.76</v>
      </c>
      <c r="G102" s="336">
        <f ca="1">SUMIFS(
  m.vb[valor],
  m.vb[empresa], $A102,
  m.vb[variavel], "Construção",
  m.vb[mes], $B102
)</f>
        <v>0</v>
      </c>
      <c r="H102" s="501"/>
      <c r="I102" s="336">
        <v>1484541.36</v>
      </c>
      <c r="J102" s="373">
        <f ca="1">cef[[#This Row],[Entradas]]-cef[[#This Row],[Saídas]]</f>
        <v>-1172556.6000000001</v>
      </c>
      <c r="K102" s="336">
        <f ca="1">AVERAGE(J$89:J102)</f>
        <v>-714072.93714285712</v>
      </c>
      <c r="L102" s="419">
        <f ca="1">IFERROR(cef[[#This Row],[Entradas]]/cef[[#This Row],[Saídas]],"Sem saídas")</f>
        <v>0.21015565372998432</v>
      </c>
      <c r="M102" s="338">
        <f ca="1">AVERAGE(L$89:L102)</f>
        <v>0.66443302916929636</v>
      </c>
    </row>
    <row r="103" spans="1:42" x14ac:dyDescent="0.25">
      <c r="A103" s="347" t="s">
        <v>12</v>
      </c>
      <c r="B103" s="348">
        <v>46054</v>
      </c>
      <c r="C103" s="336">
        <f t="shared" ca="1" si="4"/>
        <v>0</v>
      </c>
      <c r="D103" s="336">
        <f t="shared" ca="1" si="5"/>
        <v>0</v>
      </c>
      <c r="E103" s="501">
        <v>378029.53</v>
      </c>
      <c r="F103" s="336">
        <f ca="1">cef[[#This Row],[CEF (obra)]]+cef[[#This Row],[Pró soluto]]+cef[[#This Row],[PJ CEF]]</f>
        <v>378029.53</v>
      </c>
      <c r="G103" s="336">
        <f ca="1">SUMIFS(
  m.vb[valor],
  m.vb[empresa], $A103,
  m.vb[variavel], "Construção",
  m.vb[mes], $B103
)</f>
        <v>0</v>
      </c>
      <c r="H103" s="501"/>
      <c r="I103" s="336">
        <v>2042517.35</v>
      </c>
      <c r="J103" s="373">
        <f ca="1">cef[[#This Row],[Entradas]]-cef[[#This Row],[Saídas]]</f>
        <v>-1664487.82</v>
      </c>
      <c r="K103" s="336">
        <f ca="1">AVERAGE(J$89:J103)</f>
        <v>-777433.92933333328</v>
      </c>
      <c r="L103" s="419">
        <f ca="1">IFERROR(cef[[#This Row],[Entradas]]/cef[[#This Row],[Saídas]],"Sem saídas")</f>
        <v>0.18508020507145265</v>
      </c>
      <c r="M103" s="338">
        <f ca="1">AVERAGE(L$89:L103)</f>
        <v>0.63247617422944014</v>
      </c>
    </row>
    <row r="104" spans="1:42" x14ac:dyDescent="0.25">
      <c r="A104" s="347" t="s">
        <v>12</v>
      </c>
      <c r="B104" s="348">
        <v>46082</v>
      </c>
      <c r="C104" s="336">
        <f t="shared" ca="1" si="4"/>
        <v>0</v>
      </c>
      <c r="D104" s="336">
        <f t="shared" ca="1" si="5"/>
        <v>0</v>
      </c>
      <c r="E104" s="501">
        <v>472296.31</v>
      </c>
      <c r="F104" s="336">
        <f ca="1">cef[[#This Row],[CEF (obra)]]+cef[[#This Row],[Pró soluto]]+cef[[#This Row],[PJ CEF]]</f>
        <v>472296.31</v>
      </c>
      <c r="G104" s="336">
        <f ca="1">SUMIFS(
  m.vb[valor],
  m.vb[empresa], $A104,
  m.vb[variavel], "Construção",
  m.vb[mes], $B104
)</f>
        <v>0</v>
      </c>
      <c r="H104" s="501"/>
      <c r="I104" s="336">
        <v>1589008.02</v>
      </c>
      <c r="J104" s="373">
        <f ca="1">cef[[#This Row],[Entradas]]-cef[[#This Row],[Saídas]]</f>
        <v>-1116711.71</v>
      </c>
      <c r="K104" s="336">
        <f ca="1">AVERAGE(J$89:J104)</f>
        <v>-798638.79062499991</v>
      </c>
      <c r="L104" s="376">
        <f ca="1">IFERROR(cef[[#This Row],[Entradas]]/cef[[#This Row],[Saídas]],"Sem saídas")</f>
        <v>0.29722714048982585</v>
      </c>
      <c r="M104" s="338">
        <f ca="1">AVERAGE(L$89:L104)</f>
        <v>0.61152310962071421</v>
      </c>
    </row>
    <row r="105" spans="1:42" x14ac:dyDescent="0.25">
      <c r="A105" s="347" t="s">
        <v>12</v>
      </c>
      <c r="B105" s="348">
        <v>46113</v>
      </c>
      <c r="C105" s="336">
        <f t="shared" ca="1" si="4"/>
        <v>0</v>
      </c>
      <c r="D105" s="336">
        <f t="shared" ca="1" si="5"/>
        <v>0</v>
      </c>
      <c r="E105" s="501">
        <v>437711.45</v>
      </c>
      <c r="F105" s="336">
        <f ca="1">cef[[#This Row],[CEF (obra)]]+cef[[#This Row],[Pró soluto]]+cef[[#This Row],[PJ CEF]]</f>
        <v>437711.45</v>
      </c>
      <c r="G105" s="336">
        <f ca="1">SUMIFS(
  m.vb[valor],
  m.vb[empresa], $A105,
  m.vb[variavel], "Construção",
  m.vb[mes], $B105
)</f>
        <v>0</v>
      </c>
      <c r="H105" s="501"/>
      <c r="I105" s="336">
        <v>1619568.65</v>
      </c>
      <c r="J105" s="373">
        <f ca="1">cef[[#This Row],[Entradas]]-cef[[#This Row],[Saídas]]</f>
        <v>-1181857.2</v>
      </c>
      <c r="K105" s="336">
        <f ca="1">AVERAGE(J$89:J105)</f>
        <v>-821181.04999999981</v>
      </c>
      <c r="L105" s="376">
        <f ca="1">IFERROR(cef[[#This Row],[Entradas]]/cef[[#This Row],[Saídas]],"Sem saídas")</f>
        <v>0.27026421510443538</v>
      </c>
      <c r="M105" s="338">
        <f ca="1">AVERAGE(L$89:L105)</f>
        <v>0.59144905700210959</v>
      </c>
    </row>
    <row r="106" spans="1:42" x14ac:dyDescent="0.25">
      <c r="A106" s="347" t="s">
        <v>12</v>
      </c>
      <c r="B106" s="348">
        <v>46143</v>
      </c>
      <c r="C106" s="336">
        <f t="shared" ca="1" si="4"/>
        <v>0</v>
      </c>
      <c r="D106" s="336">
        <f t="shared" ca="1" si="5"/>
        <v>0</v>
      </c>
      <c r="E106" s="501">
        <v>478515.22</v>
      </c>
      <c r="F106" s="336">
        <f ca="1">cef[[#This Row],[CEF (obra)]]+cef[[#This Row],[Pró soluto]]+cef[[#This Row],[PJ CEF]]</f>
        <v>478515.22</v>
      </c>
      <c r="G106" s="336">
        <f ca="1">SUMIFS(
  m.vb[valor],
  m.vb[empresa], $A106,
  m.vb[variavel], "Construção",
  m.vb[mes], $B106
)</f>
        <v>0</v>
      </c>
      <c r="H106" s="501"/>
      <c r="I106" s="336">
        <v>1419881.56</v>
      </c>
      <c r="J106" s="373">
        <f ca="1">cef[[#This Row],[Entradas]]-cef[[#This Row],[Saídas]]</f>
        <v>-941366.34000000008</v>
      </c>
      <c r="K106" s="336">
        <f ca="1">AVERAGE(J$89:J106)</f>
        <v>-827858.01055555546</v>
      </c>
      <c r="L106" s="376">
        <f ca="1">IFERROR(cef[[#This Row],[Entradas]]/cef[[#This Row],[Saídas]],"Sem saídas")</f>
        <v>0.33701065883269865</v>
      </c>
      <c r="M106" s="338">
        <f ca="1">AVERAGE(L$89:L106)</f>
        <v>0.57731359043714225</v>
      </c>
    </row>
    <row r="107" spans="1:42" x14ac:dyDescent="0.25">
      <c r="A107" s="347" t="s">
        <v>12</v>
      </c>
      <c r="B107" s="348">
        <v>46174</v>
      </c>
      <c r="C107" s="336">
        <f t="shared" ca="1" si="4"/>
        <v>0</v>
      </c>
      <c r="D107" s="336">
        <f t="shared" ca="1" si="5"/>
        <v>0</v>
      </c>
      <c r="E107" s="501">
        <v>364294.47</v>
      </c>
      <c r="F107" s="336">
        <f ca="1">cef[[#This Row],[CEF (obra)]]+cef[[#This Row],[Pró soluto]]+cef[[#This Row],[PJ CEF]]</f>
        <v>364294.47</v>
      </c>
      <c r="G107" s="336">
        <f ca="1">SUMIFS(
  m.vb[valor],
  m.vb[empresa], $A107,
  m.vb[variavel], "Construção",
  m.vb[mes], $B107
)</f>
        <v>0</v>
      </c>
      <c r="H107" s="501"/>
      <c r="I107" s="336">
        <v>1386243.35</v>
      </c>
      <c r="J107" s="373">
        <f ca="1">cef[[#This Row],[Entradas]]-cef[[#This Row],[Saídas]]</f>
        <v>-1021948.8800000001</v>
      </c>
      <c r="K107" s="336">
        <f ca="1">AVERAGE(J$89:J107)</f>
        <v>-838073.31947368418</v>
      </c>
      <c r="L107" s="376">
        <f ca="1">IFERROR(cef[[#This Row],[Entradas]]/cef[[#This Row],[Saídas]],"Sem saídas")</f>
        <v>0.26279258255774496</v>
      </c>
      <c r="M107" s="338">
        <f ca="1">AVERAGE(L$89:L107)</f>
        <v>0.56075985318033184</v>
      </c>
    </row>
  </sheetData>
  <phoneticPr fontId="21" type="noConversion"/>
  <conditionalFormatting sqref="J3:K26 J89:K103">
    <cfRule type="cellIs" dxfId="15" priority="8" operator="lessThan">
      <formula>0</formula>
    </cfRule>
  </conditionalFormatting>
  <conditionalFormatting sqref="J31:K84">
    <cfRule type="cellIs" dxfId="14" priority="1" operator="lessThan">
      <formula>0</formula>
    </cfRule>
  </conditionalFormatting>
  <conditionalFormatting sqref="L89:L103 L3:L26 L31:L84">
    <cfRule type="colorScale" priority="35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4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E23-B053-4BDA-9CB5-E5E10352A267}">
  <sheetPr>
    <tabColor theme="3" tint="9.9978637043366805E-2"/>
  </sheetPr>
  <dimension ref="A1:AM13"/>
  <sheetViews>
    <sheetView showGridLines="0" topLeftCell="P1" zoomScale="80" zoomScaleNormal="80" workbookViewId="0">
      <pane xSplit="2" ySplit="1" topLeftCell="X2" activePane="bottomRight" state="frozen"/>
      <selection activeCell="P1" sqref="P1"/>
      <selection pane="topRight" activeCell="R1" sqref="R1"/>
      <selection pane="bottomLeft" activeCell="P2" sqref="P2"/>
      <selection pane="bottomRight" activeCell="R2" sqref="R2"/>
    </sheetView>
  </sheetViews>
  <sheetFormatPr defaultRowHeight="15" x14ac:dyDescent="0.25"/>
  <cols>
    <col min="1" max="1" width="19" style="1" bestFit="1" customWidth="1"/>
    <col min="2" max="2" width="12.85546875" style="1" bestFit="1" customWidth="1"/>
    <col min="3" max="12" width="14.7109375" style="1" customWidth="1"/>
    <col min="13" max="14" width="15.7109375" style="1" customWidth="1"/>
    <col min="15" max="17" width="9.7109375" style="1" customWidth="1"/>
    <col min="18" max="18" width="15.7109375" style="1" customWidth="1"/>
    <col min="19" max="19" width="15.7109375" style="427" customWidth="1"/>
    <col min="20" max="20" width="15.7109375" style="1" customWidth="1"/>
    <col min="21" max="21" width="9.7109375" style="1" customWidth="1"/>
    <col min="22" max="23" width="15.7109375" style="1" customWidth="1"/>
    <col min="24" max="24" width="9.7109375" style="1" customWidth="1"/>
    <col min="25" max="26" width="15.7109375" style="1" customWidth="1"/>
    <col min="27" max="27" width="9.7109375" style="1" customWidth="1"/>
    <col min="28" max="29" width="15.7109375" style="1" customWidth="1"/>
    <col min="30" max="30" width="9.7109375" style="1" customWidth="1"/>
    <col min="31" max="32" width="15.7109375" style="1" customWidth="1"/>
    <col min="33" max="33" width="9.7109375" style="1" customWidth="1"/>
    <col min="34" max="35" width="15.7109375" style="1" customWidth="1"/>
    <col min="36" max="36" width="9.7109375" style="1" customWidth="1"/>
    <col min="37" max="38" width="15.7109375" style="1" customWidth="1"/>
    <col min="39" max="39" width="9.7109375" style="1" customWidth="1"/>
    <col min="40" max="16384" width="9.140625" style="1"/>
  </cols>
  <sheetData>
    <row r="1" spans="1:39" ht="31.5" x14ac:dyDescent="0.5">
      <c r="A1" s="14" t="str">
        <f>_xlfn.CONCAT("Resumo dos empreendimentos ativos em ", TEXT(inputs!$A$1, "dd/mmm/aaaa"))</f>
        <v>Resumo dos empreendimentos ativos em 31/ago/2026</v>
      </c>
      <c r="B1" s="5"/>
      <c r="R1" s="14" t="s">
        <v>1002</v>
      </c>
    </row>
    <row r="2" spans="1:39" ht="34.5" x14ac:dyDescent="0.25">
      <c r="A2" s="203"/>
      <c r="B2" s="203"/>
      <c r="C2" s="204" t="s">
        <v>26</v>
      </c>
      <c r="D2" s="204" t="s">
        <v>27</v>
      </c>
      <c r="E2" s="204" t="s">
        <v>26</v>
      </c>
      <c r="F2" s="204" t="s">
        <v>28</v>
      </c>
      <c r="G2" s="204" t="s">
        <v>29</v>
      </c>
      <c r="H2" s="204" t="s">
        <v>29</v>
      </c>
      <c r="I2" s="204" t="s">
        <v>29</v>
      </c>
      <c r="J2" s="204" t="s">
        <v>30</v>
      </c>
      <c r="K2" s="204" t="s">
        <v>30</v>
      </c>
      <c r="L2" s="205" t="s">
        <v>31</v>
      </c>
      <c r="M2" s="204" t="s">
        <v>32</v>
      </c>
      <c r="R2" s="428">
        <v>46023</v>
      </c>
      <c r="S2" s="428">
        <v>46054</v>
      </c>
      <c r="T2" s="429">
        <v>46054</v>
      </c>
      <c r="U2" s="430">
        <v>46054</v>
      </c>
      <c r="V2" s="428">
        <v>46082</v>
      </c>
      <c r="W2" s="429">
        <v>46082</v>
      </c>
      <c r="X2" s="430">
        <v>46082</v>
      </c>
      <c r="Y2" s="428">
        <v>46113</v>
      </c>
      <c r="Z2" s="429">
        <v>46113</v>
      </c>
      <c r="AA2" s="430">
        <v>46113</v>
      </c>
      <c r="AB2" s="428">
        <v>46143</v>
      </c>
      <c r="AC2" s="429">
        <v>46143</v>
      </c>
      <c r="AD2" s="430">
        <v>46143</v>
      </c>
      <c r="AE2" s="428">
        <v>46174</v>
      </c>
      <c r="AF2" s="429">
        <v>46174</v>
      </c>
      <c r="AG2" s="430">
        <v>46174</v>
      </c>
      <c r="AH2" s="428">
        <v>46204</v>
      </c>
      <c r="AI2" s="429">
        <v>46204</v>
      </c>
      <c r="AJ2" s="430">
        <v>46204</v>
      </c>
      <c r="AK2" s="428">
        <v>46235</v>
      </c>
      <c r="AL2" s="429">
        <v>46235</v>
      </c>
      <c r="AM2" s="430">
        <v>46235</v>
      </c>
    </row>
    <row r="3" spans="1:39" ht="45" x14ac:dyDescent="0.25">
      <c r="A3" s="206" t="s">
        <v>33</v>
      </c>
      <c r="B3" s="206" t="s">
        <v>34</v>
      </c>
      <c r="C3" s="207" t="s">
        <v>61</v>
      </c>
      <c r="D3" s="208" t="s">
        <v>62</v>
      </c>
      <c r="E3" s="207" t="s">
        <v>63</v>
      </c>
      <c r="F3" s="208" t="s">
        <v>64</v>
      </c>
      <c r="G3" s="208" t="s">
        <v>60</v>
      </c>
      <c r="H3" s="207" t="s">
        <v>35</v>
      </c>
      <c r="I3" s="208" t="s">
        <v>36</v>
      </c>
      <c r="J3" s="208" t="s">
        <v>65</v>
      </c>
      <c r="K3" s="209" t="s">
        <v>66</v>
      </c>
      <c r="L3" s="210" t="s">
        <v>67</v>
      </c>
      <c r="M3" s="210" t="s">
        <v>37</v>
      </c>
      <c r="R3" s="431" t="s">
        <v>999</v>
      </c>
      <c r="S3" s="431" t="s">
        <v>999</v>
      </c>
      <c r="T3" s="432" t="s">
        <v>1000</v>
      </c>
      <c r="U3" s="433" t="s">
        <v>1001</v>
      </c>
      <c r="V3" s="431" t="s">
        <v>999</v>
      </c>
      <c r="W3" s="432" t="s">
        <v>1000</v>
      </c>
      <c r="X3" s="433" t="s">
        <v>1001</v>
      </c>
      <c r="Y3" s="431" t="s">
        <v>999</v>
      </c>
      <c r="Z3" s="432" t="s">
        <v>1000</v>
      </c>
      <c r="AA3" s="433" t="s">
        <v>1001</v>
      </c>
      <c r="AB3" s="431" t="s">
        <v>999</v>
      </c>
      <c r="AC3" s="432" t="s">
        <v>1000</v>
      </c>
      <c r="AD3" s="433" t="s">
        <v>1001</v>
      </c>
      <c r="AE3" s="431" t="s">
        <v>999</v>
      </c>
      <c r="AF3" s="432" t="s">
        <v>1000</v>
      </c>
      <c r="AG3" s="433" t="s">
        <v>1001</v>
      </c>
      <c r="AH3" s="431" t="s">
        <v>999</v>
      </c>
      <c r="AI3" s="432" t="s">
        <v>1000</v>
      </c>
      <c r="AJ3" s="433" t="s">
        <v>1001</v>
      </c>
      <c r="AK3" s="431" t="s">
        <v>999</v>
      </c>
      <c r="AL3" s="432" t="s">
        <v>1000</v>
      </c>
      <c r="AM3" s="433" t="s">
        <v>1001</v>
      </c>
    </row>
    <row r="4" spans="1:39" x14ac:dyDescent="0.25">
      <c r="A4" s="211" t="s">
        <v>7</v>
      </c>
      <c r="B4" s="212" t="s">
        <v>38</v>
      </c>
      <c r="C4" s="197">
        <f ca="1">inputs!D8</f>
        <v>0</v>
      </c>
      <c r="D4" s="198">
        <f ca="1">inputs!D9</f>
        <v>0</v>
      </c>
      <c r="E4" s="198">
        <f ca="1">inputs!E8</f>
        <v>0</v>
      </c>
      <c r="F4" s="198">
        <f>inputs!E9</f>
        <v>0</v>
      </c>
      <c r="G4" s="198">
        <f ca="1">inputs!D4</f>
        <v>0</v>
      </c>
      <c r="H4" s="198">
        <f ca="1">inputs!C8</f>
        <v>0</v>
      </c>
      <c r="I4" s="198">
        <f ca="1">inputs!C9</f>
        <v>0</v>
      </c>
      <c r="J4" s="199">
        <f>inputs!D3</f>
        <v>0</v>
      </c>
      <c r="K4" s="198">
        <f>inputs!D2</f>
        <v>0</v>
      </c>
      <c r="L4" s="198">
        <f ca="1">SUM(C4:I4,K4)</f>
        <v>0</v>
      </c>
      <c r="M4" s="379">
        <v>29452019.109999999</v>
      </c>
      <c r="N4" s="293">
        <f ca="1">L4-M4</f>
        <v>-29452019.109999999</v>
      </c>
      <c r="O4" s="443" t="e">
        <f ca="1">N4/L4</f>
        <v>#DIV/0!</v>
      </c>
      <c r="P4" s="293"/>
      <c r="Q4" s="442" t="s">
        <v>7</v>
      </c>
      <c r="R4" s="434">
        <v>25897161</v>
      </c>
      <c r="S4" s="434">
        <v>26974148</v>
      </c>
      <c r="T4" s="436">
        <f t="shared" ref="T4:T13" si="0">S4-R4</f>
        <v>1076987</v>
      </c>
      <c r="U4" s="438">
        <f>IFERROR(T4/R4,"-")</f>
        <v>4.1587068173225626E-2</v>
      </c>
      <c r="V4" s="434">
        <v>28740112</v>
      </c>
      <c r="W4" s="436">
        <f>V4-S4</f>
        <v>1765964</v>
      </c>
      <c r="X4" s="438">
        <f>IFERROR(W4/S4,"-")</f>
        <v>6.5468759198622328E-2</v>
      </c>
      <c r="Y4" s="434">
        <v>28735790.489999998</v>
      </c>
      <c r="Z4" s="436">
        <f>Y4-V4</f>
        <v>-4321.5100000016391</v>
      </c>
      <c r="AA4" s="438">
        <f>IFERROR(Z4/V4,"-")</f>
        <v>-1.5036510644083918E-4</v>
      </c>
      <c r="AB4" s="434">
        <v>28735790.489999998</v>
      </c>
      <c r="AC4" s="436">
        <f>AB4-Y4</f>
        <v>0</v>
      </c>
      <c r="AD4" s="438">
        <f>IFERROR(AC4/Y4,"-")</f>
        <v>0</v>
      </c>
      <c r="AE4" s="434">
        <v>29452019.109999999</v>
      </c>
      <c r="AF4" s="436">
        <f>AE4-AB4</f>
        <v>716228.62000000104</v>
      </c>
      <c r="AG4" s="438">
        <f>IFERROR(AF4/AB4,"-")</f>
        <v>2.4924618664979734E-2</v>
      </c>
      <c r="AH4" s="434">
        <v>29452019.109999999</v>
      </c>
      <c r="AI4" s="436">
        <f>AH4-AE4</f>
        <v>0</v>
      </c>
      <c r="AJ4" s="438">
        <f>IFERROR(AI4/AE4,"-")</f>
        <v>0</v>
      </c>
      <c r="AK4" s="434">
        <v>29452019.109999999</v>
      </c>
      <c r="AL4" s="436">
        <f>AK4-AH4</f>
        <v>0</v>
      </c>
      <c r="AM4" s="438">
        <f>IFERROR(AL4/AH4,"-")</f>
        <v>0</v>
      </c>
    </row>
    <row r="5" spans="1:39" collapsed="1" x14ac:dyDescent="0.25">
      <c r="A5" s="213" t="s">
        <v>8</v>
      </c>
      <c r="B5" s="214" t="s">
        <v>38</v>
      </c>
      <c r="C5" s="200">
        <f ca="1">inputs!P8</f>
        <v>0</v>
      </c>
      <c r="D5" s="201">
        <f>inputs!P9</f>
        <v>0</v>
      </c>
      <c r="E5" s="201">
        <f ca="1">inputs!Q8</f>
        <v>0</v>
      </c>
      <c r="F5" s="201">
        <f>inputs!Q9</f>
        <v>0</v>
      </c>
      <c r="G5" s="201">
        <f ca="1">inputs!P4</f>
        <v>0</v>
      </c>
      <c r="H5" s="201">
        <f ca="1">inputs!O8</f>
        <v>0</v>
      </c>
      <c r="I5" s="201">
        <f ca="1">inputs!O9</f>
        <v>0</v>
      </c>
      <c r="J5" s="202">
        <f>inputs!P3</f>
        <v>0</v>
      </c>
      <c r="K5" s="201">
        <f>inputs!P2</f>
        <v>0</v>
      </c>
      <c r="L5" s="201">
        <f t="shared" ref="L5:L12" ca="1" si="1">SUM(C5:I5,K5)</f>
        <v>0</v>
      </c>
      <c r="M5" s="380">
        <v>41692551.049999997</v>
      </c>
      <c r="N5" s="293">
        <f ca="1">L5-M5</f>
        <v>-41692551.049999997</v>
      </c>
      <c r="O5" s="293" t="e">
        <f t="shared" ref="O5:O13" ca="1" si="2">N5/L5</f>
        <v>#DIV/0!</v>
      </c>
      <c r="P5" s="293"/>
      <c r="Q5" s="442" t="s">
        <v>8</v>
      </c>
      <c r="R5" s="434">
        <v>41582807</v>
      </c>
      <c r="S5" s="434">
        <v>40955669</v>
      </c>
      <c r="T5" s="436">
        <f t="shared" si="0"/>
        <v>-627138</v>
      </c>
      <c r="U5" s="438">
        <f t="shared" ref="U5:U13" si="3">IFERROR(T5/R5,"-")</f>
        <v>-1.5081665843289512E-2</v>
      </c>
      <c r="V5" s="434">
        <v>40896803</v>
      </c>
      <c r="W5" s="436">
        <f t="shared" ref="W5:W13" si="4">V5-S5</f>
        <v>-58866</v>
      </c>
      <c r="X5" s="438">
        <f t="shared" ref="X5:X13" si="5">IFERROR(W5/S5,"-")</f>
        <v>-1.4373101804294785E-3</v>
      </c>
      <c r="Y5" s="434">
        <v>41759461.32</v>
      </c>
      <c r="Z5" s="436">
        <f t="shared" ref="Z5:Z13" si="6">Y5-V5</f>
        <v>862658.3200000003</v>
      </c>
      <c r="AA5" s="438">
        <f t="shared" ref="AA5:AA13" si="7">IFERROR(Z5/V5,"-")</f>
        <v>2.109353926760486E-2</v>
      </c>
      <c r="AB5" s="434">
        <v>41759461.32</v>
      </c>
      <c r="AC5" s="436">
        <f t="shared" ref="AC5:AC13" si="8">AB5-Y5</f>
        <v>0</v>
      </c>
      <c r="AD5" s="438">
        <f t="shared" ref="AD5:AD13" si="9">IFERROR(AC5/Y5,"-")</f>
        <v>0</v>
      </c>
      <c r="AE5" s="434">
        <v>41692551.049999997</v>
      </c>
      <c r="AF5" s="436">
        <f t="shared" ref="AF5:AF12" si="10">AE5-AB5</f>
        <v>-66910.270000003278</v>
      </c>
      <c r="AG5" s="438">
        <f t="shared" ref="AG5:AG13" si="11">IFERROR(AF5/AB5,"-")</f>
        <v>-1.6022780918382613E-3</v>
      </c>
      <c r="AH5" s="434">
        <v>41692551.049999997</v>
      </c>
      <c r="AI5" s="436">
        <f t="shared" ref="AI5:AI13" si="12">AH5-AE5</f>
        <v>0</v>
      </c>
      <c r="AJ5" s="438">
        <f t="shared" ref="AJ5:AJ13" si="13">IFERROR(AI5/AE5,"-")</f>
        <v>0</v>
      </c>
      <c r="AK5" s="434">
        <v>41692551.049999997</v>
      </c>
      <c r="AL5" s="436">
        <f t="shared" ref="AL5:AL13" si="14">AK5-AH5</f>
        <v>0</v>
      </c>
      <c r="AM5" s="438">
        <f t="shared" ref="AM5:AM13" si="15">IFERROR(AL5/AH5,"-")</f>
        <v>0</v>
      </c>
    </row>
    <row r="6" spans="1:39" x14ac:dyDescent="0.25">
      <c r="A6" s="213" t="s">
        <v>673</v>
      </c>
      <c r="B6" s="214" t="s">
        <v>38</v>
      </c>
      <c r="C6" s="215" t="s">
        <v>39</v>
      </c>
      <c r="D6" s="216" t="s">
        <v>39</v>
      </c>
      <c r="E6" s="216" t="s">
        <v>39</v>
      </c>
      <c r="F6" s="216" t="s">
        <v>39</v>
      </c>
      <c r="G6" s="216">
        <f ca="1">inputs!AB10</f>
        <v>0</v>
      </c>
      <c r="H6" s="201">
        <f ca="1">inputs!AA8</f>
        <v>0</v>
      </c>
      <c r="I6" s="201">
        <f ca="1">inputs!AA9</f>
        <v>0</v>
      </c>
      <c r="J6" s="202">
        <f>inputs!AB3</f>
        <v>0</v>
      </c>
      <c r="K6" s="201">
        <f>inputs!AB2</f>
        <v>0</v>
      </c>
      <c r="L6" s="201">
        <f t="shared" ref="L6" ca="1" si="16">SUM(C6:I6,K6)</f>
        <v>0</v>
      </c>
      <c r="M6" s="380">
        <v>85763823.370000005</v>
      </c>
      <c r="N6" s="293">
        <f t="shared" ref="N6:N12" ca="1" si="17">L6-M6</f>
        <v>-85763823.370000005</v>
      </c>
      <c r="O6" s="293" t="e">
        <f t="shared" ca="1" si="2"/>
        <v>#DIV/0!</v>
      </c>
      <c r="P6" s="293"/>
      <c r="Q6" s="442" t="s">
        <v>673</v>
      </c>
      <c r="R6" s="434"/>
      <c r="S6" s="434">
        <v>86329197</v>
      </c>
      <c r="T6" s="436">
        <f t="shared" si="0"/>
        <v>86329197</v>
      </c>
      <c r="U6" s="438" t="str">
        <f t="shared" si="3"/>
        <v>-</v>
      </c>
      <c r="V6" s="434">
        <v>77761494</v>
      </c>
      <c r="W6" s="436">
        <f t="shared" si="4"/>
        <v>-8567703</v>
      </c>
      <c r="X6" s="438">
        <f t="shared" si="5"/>
        <v>-9.9244558014364478E-2</v>
      </c>
      <c r="Y6" s="434">
        <v>81763737.650000006</v>
      </c>
      <c r="Z6" s="436">
        <f t="shared" si="6"/>
        <v>4002243.650000006</v>
      </c>
      <c r="AA6" s="438">
        <f t="shared" si="7"/>
        <v>5.1468193885266737E-2</v>
      </c>
      <c r="AB6" s="434">
        <v>81763737.650000006</v>
      </c>
      <c r="AC6" s="436">
        <f t="shared" si="8"/>
        <v>0</v>
      </c>
      <c r="AD6" s="438">
        <f t="shared" si="9"/>
        <v>0</v>
      </c>
      <c r="AE6" s="434">
        <v>85763823.370000005</v>
      </c>
      <c r="AF6" s="436">
        <f t="shared" si="10"/>
        <v>4000085.7199999988</v>
      </c>
      <c r="AG6" s="438">
        <f t="shared" si="11"/>
        <v>4.8922491008457449E-2</v>
      </c>
      <c r="AH6" s="434">
        <v>85763823.370000005</v>
      </c>
      <c r="AI6" s="436">
        <f t="shared" si="12"/>
        <v>0</v>
      </c>
      <c r="AJ6" s="438">
        <f t="shared" si="13"/>
        <v>0</v>
      </c>
      <c r="AK6" s="434">
        <v>79328691.189999998</v>
      </c>
      <c r="AL6" s="436">
        <f t="shared" si="14"/>
        <v>-6435132.1800000072</v>
      </c>
      <c r="AM6" s="438">
        <f t="shared" si="15"/>
        <v>-7.5033177476681881E-2</v>
      </c>
    </row>
    <row r="7" spans="1:39" x14ac:dyDescent="0.25">
      <c r="A7" s="213" t="s">
        <v>9</v>
      </c>
      <c r="B7" s="214" t="s">
        <v>38</v>
      </c>
      <c r="C7" s="200">
        <f ca="1">inputs!AL8</f>
        <v>0</v>
      </c>
      <c r="D7" s="201">
        <f ca="1">inputs!AL9</f>
        <v>0</v>
      </c>
      <c r="E7" s="201">
        <f ca="1">inputs!AM8</f>
        <v>0</v>
      </c>
      <c r="F7" s="201">
        <f>inputs!AM9</f>
        <v>0</v>
      </c>
      <c r="G7" s="201">
        <f ca="1">inputs!AL4</f>
        <v>0</v>
      </c>
      <c r="H7" s="201">
        <f ca="1">inputs!AK8</f>
        <v>0</v>
      </c>
      <c r="I7" s="201">
        <f ca="1">inputs!AK9</f>
        <v>0</v>
      </c>
      <c r="J7" s="202">
        <f>inputs!AL3</f>
        <v>0</v>
      </c>
      <c r="K7" s="201">
        <f>inputs!AL2</f>
        <v>0</v>
      </c>
      <c r="L7" s="201">
        <f t="shared" ca="1" si="1"/>
        <v>0</v>
      </c>
      <c r="M7" s="380">
        <v>48356127.229999997</v>
      </c>
      <c r="N7" s="293">
        <f t="shared" ca="1" si="17"/>
        <v>-48356127.229999997</v>
      </c>
      <c r="O7" s="293" t="e">
        <f t="shared" ca="1" si="2"/>
        <v>#DIV/0!</v>
      </c>
      <c r="P7" s="293"/>
      <c r="Q7" s="442" t="s">
        <v>9</v>
      </c>
      <c r="R7" s="434">
        <v>47237835</v>
      </c>
      <c r="S7" s="434">
        <v>48743752</v>
      </c>
      <c r="T7" s="436">
        <f t="shared" si="0"/>
        <v>1505917</v>
      </c>
      <c r="U7" s="438">
        <f t="shared" si="3"/>
        <v>3.1879466956942458E-2</v>
      </c>
      <c r="V7" s="434">
        <v>48513924</v>
      </c>
      <c r="W7" s="436">
        <f t="shared" si="4"/>
        <v>-229828</v>
      </c>
      <c r="X7" s="438">
        <f t="shared" si="5"/>
        <v>-4.7150248097438214E-3</v>
      </c>
      <c r="Y7" s="434">
        <v>48277872.590000004</v>
      </c>
      <c r="Z7" s="436">
        <f t="shared" si="6"/>
        <v>-236051.40999999642</v>
      </c>
      <c r="AA7" s="438">
        <f t="shared" si="7"/>
        <v>-4.8656424905970585E-3</v>
      </c>
      <c r="AB7" s="434">
        <v>48277872.590000004</v>
      </c>
      <c r="AC7" s="436">
        <f t="shared" si="8"/>
        <v>0</v>
      </c>
      <c r="AD7" s="438">
        <f t="shared" si="9"/>
        <v>0</v>
      </c>
      <c r="AE7" s="434">
        <v>48356127.229999997</v>
      </c>
      <c r="AF7" s="436">
        <f t="shared" si="10"/>
        <v>78254.639999993145</v>
      </c>
      <c r="AG7" s="438">
        <f t="shared" si="11"/>
        <v>1.6209214657110296E-3</v>
      </c>
      <c r="AH7" s="434">
        <v>48356127.229999997</v>
      </c>
      <c r="AI7" s="436">
        <f t="shared" si="12"/>
        <v>0</v>
      </c>
      <c r="AJ7" s="438">
        <f t="shared" si="13"/>
        <v>0</v>
      </c>
      <c r="AK7" s="434">
        <v>48356127.229999997</v>
      </c>
      <c r="AL7" s="436">
        <f t="shared" si="14"/>
        <v>0</v>
      </c>
      <c r="AM7" s="438">
        <f t="shared" si="15"/>
        <v>0</v>
      </c>
    </row>
    <row r="8" spans="1:39" collapsed="1" x14ac:dyDescent="0.25">
      <c r="A8" s="213" t="s">
        <v>10</v>
      </c>
      <c r="B8" s="214" t="s">
        <v>38</v>
      </c>
      <c r="C8" s="200">
        <f ca="1">inputs!AX8</f>
        <v>0</v>
      </c>
      <c r="D8" s="201">
        <f ca="1">inputs!AX9</f>
        <v>0</v>
      </c>
      <c r="E8" s="201">
        <f ca="1">inputs!AY8</f>
        <v>0</v>
      </c>
      <c r="F8" s="201">
        <f>inputs!AY9</f>
        <v>0</v>
      </c>
      <c r="G8" s="201">
        <f ca="1">inputs!AX4</f>
        <v>0</v>
      </c>
      <c r="H8" s="201">
        <f ca="1">inputs!AW8</f>
        <v>0</v>
      </c>
      <c r="I8" s="201">
        <f ca="1">inputs!AW9</f>
        <v>0</v>
      </c>
      <c r="J8" s="202">
        <f>inputs!AX3</f>
        <v>0</v>
      </c>
      <c r="K8" s="201">
        <f>inputs!AX2</f>
        <v>0</v>
      </c>
      <c r="L8" s="201">
        <f t="shared" ca="1" si="1"/>
        <v>0</v>
      </c>
      <c r="M8" s="380">
        <v>66348526.82</v>
      </c>
      <c r="N8" s="293">
        <f t="shared" ca="1" si="17"/>
        <v>-66348526.82</v>
      </c>
      <c r="O8" s="293" t="e">
        <f t="shared" ca="1" si="2"/>
        <v>#DIV/0!</v>
      </c>
      <c r="P8" s="293"/>
      <c r="Q8" s="442" t="s">
        <v>10</v>
      </c>
      <c r="R8" s="434">
        <v>64482292</v>
      </c>
      <c r="S8" s="434">
        <v>64458483</v>
      </c>
      <c r="T8" s="436">
        <f t="shared" si="0"/>
        <v>-23809</v>
      </c>
      <c r="U8" s="438">
        <f t="shared" si="3"/>
        <v>-3.6923315318878556E-4</v>
      </c>
      <c r="V8" s="434">
        <v>65975495</v>
      </c>
      <c r="W8" s="436">
        <f t="shared" si="4"/>
        <v>1517012</v>
      </c>
      <c r="X8" s="438">
        <f t="shared" si="5"/>
        <v>2.3534714585200525E-2</v>
      </c>
      <c r="Y8" s="434">
        <v>69824771.010000005</v>
      </c>
      <c r="Z8" s="436">
        <f t="shared" si="6"/>
        <v>3849276.0100000054</v>
      </c>
      <c r="AA8" s="438">
        <f t="shared" si="7"/>
        <v>5.834402621761315E-2</v>
      </c>
      <c r="AB8" s="434">
        <v>69824771.010000005</v>
      </c>
      <c r="AC8" s="436">
        <f t="shared" si="8"/>
        <v>0</v>
      </c>
      <c r="AD8" s="438">
        <f t="shared" si="9"/>
        <v>0</v>
      </c>
      <c r="AE8" s="434">
        <v>66348526.82</v>
      </c>
      <c r="AF8" s="436">
        <f t="shared" si="10"/>
        <v>-3476244.1900000051</v>
      </c>
      <c r="AG8" s="438">
        <f t="shared" si="11"/>
        <v>-4.9785257290742166E-2</v>
      </c>
      <c r="AH8" s="434">
        <v>66348526.82</v>
      </c>
      <c r="AI8" s="436">
        <f t="shared" si="12"/>
        <v>0</v>
      </c>
      <c r="AJ8" s="438">
        <f t="shared" si="13"/>
        <v>0</v>
      </c>
      <c r="AK8" s="434">
        <v>66348526.82</v>
      </c>
      <c r="AL8" s="436">
        <f t="shared" si="14"/>
        <v>0</v>
      </c>
      <c r="AM8" s="438">
        <f t="shared" si="15"/>
        <v>0</v>
      </c>
    </row>
    <row r="9" spans="1:39" x14ac:dyDescent="0.25">
      <c r="A9" s="213" t="s">
        <v>11</v>
      </c>
      <c r="B9" s="214" t="s">
        <v>38</v>
      </c>
      <c r="C9" s="215" t="s">
        <v>39</v>
      </c>
      <c r="D9" s="216" t="s">
        <v>39</v>
      </c>
      <c r="E9" s="216" t="s">
        <v>39</v>
      </c>
      <c r="F9" s="216" t="s">
        <v>39</v>
      </c>
      <c r="G9" s="216">
        <f ca="1">inputs!BJ10</f>
        <v>0</v>
      </c>
      <c r="H9" s="201">
        <f ca="1">inputs!BI8</f>
        <v>0</v>
      </c>
      <c r="I9" s="201">
        <f ca="1">inputs!BI9</f>
        <v>0</v>
      </c>
      <c r="J9" s="202">
        <f>inputs!BJ3</f>
        <v>0</v>
      </c>
      <c r="K9" s="201">
        <f>inputs!BJ2</f>
        <v>0</v>
      </c>
      <c r="L9" s="201">
        <f t="shared" ca="1" si="1"/>
        <v>0</v>
      </c>
      <c r="M9" s="380">
        <v>25938984.719999999</v>
      </c>
      <c r="N9" s="293">
        <f t="shared" ca="1" si="17"/>
        <v>-25938984.719999999</v>
      </c>
      <c r="O9" s="293" t="e">
        <f t="shared" ca="1" si="2"/>
        <v>#DIV/0!</v>
      </c>
      <c r="P9" s="293"/>
      <c r="Q9" s="442" t="s">
        <v>11</v>
      </c>
      <c r="R9" s="434">
        <v>25916905</v>
      </c>
      <c r="S9" s="434">
        <v>25339509</v>
      </c>
      <c r="T9" s="436">
        <f t="shared" si="0"/>
        <v>-577396</v>
      </c>
      <c r="U9" s="438">
        <f t="shared" si="3"/>
        <v>-2.2278740459171342E-2</v>
      </c>
      <c r="V9" s="434">
        <v>26858958</v>
      </c>
      <c r="W9" s="436">
        <f t="shared" si="4"/>
        <v>1519449</v>
      </c>
      <c r="X9" s="438">
        <f t="shared" si="5"/>
        <v>5.9963632286639805E-2</v>
      </c>
      <c r="Y9" s="434">
        <v>25813960.969999999</v>
      </c>
      <c r="Z9" s="436">
        <f t="shared" si="6"/>
        <v>-1044997.0300000012</v>
      </c>
      <c r="AA9" s="438">
        <f t="shared" si="7"/>
        <v>-3.8906834360439492E-2</v>
      </c>
      <c r="AB9" s="434">
        <v>25813960.969999999</v>
      </c>
      <c r="AC9" s="436">
        <f t="shared" si="8"/>
        <v>0</v>
      </c>
      <c r="AD9" s="438">
        <f t="shared" si="9"/>
        <v>0</v>
      </c>
      <c r="AE9" s="434">
        <v>25938984.719999999</v>
      </c>
      <c r="AF9" s="436">
        <f t="shared" si="10"/>
        <v>125023.75</v>
      </c>
      <c r="AG9" s="438">
        <f t="shared" si="11"/>
        <v>4.8432609836707293E-3</v>
      </c>
      <c r="AH9" s="434">
        <v>25938984.719999999</v>
      </c>
      <c r="AI9" s="436">
        <f t="shared" si="12"/>
        <v>0</v>
      </c>
      <c r="AJ9" s="438">
        <f t="shared" si="13"/>
        <v>0</v>
      </c>
      <c r="AK9" s="434">
        <v>25938984.719999999</v>
      </c>
      <c r="AL9" s="436">
        <f t="shared" si="14"/>
        <v>0</v>
      </c>
      <c r="AM9" s="438">
        <f t="shared" si="15"/>
        <v>0</v>
      </c>
    </row>
    <row r="10" spans="1:39" x14ac:dyDescent="0.25">
      <c r="A10" s="213" t="s">
        <v>465</v>
      </c>
      <c r="B10" s="214" t="s">
        <v>38</v>
      </c>
      <c r="C10" s="215" t="s">
        <v>39</v>
      </c>
      <c r="D10" s="216" t="s">
        <v>39</v>
      </c>
      <c r="E10" s="216" t="s">
        <v>39</v>
      </c>
      <c r="F10" s="216" t="s">
        <v>39</v>
      </c>
      <c r="G10" s="216">
        <f ca="1">inputs!BT10</f>
        <v>0</v>
      </c>
      <c r="H10" s="201">
        <f ca="1">inputs!BS8</f>
        <v>0</v>
      </c>
      <c r="I10" s="201">
        <f ca="1">inputs!BS9</f>
        <v>0</v>
      </c>
      <c r="J10" s="202">
        <f>inputs!BT3</f>
        <v>0</v>
      </c>
      <c r="K10" s="201">
        <f>inputs!BT2</f>
        <v>0</v>
      </c>
      <c r="L10" s="201">
        <f t="shared" ref="L10" ca="1" si="18">SUM(C10:I10,K10)</f>
        <v>0</v>
      </c>
      <c r="M10" s="380">
        <v>55838443.93</v>
      </c>
      <c r="N10" s="293">
        <f t="shared" ca="1" si="17"/>
        <v>-55838443.93</v>
      </c>
      <c r="O10" s="293" t="e">
        <f t="shared" ca="1" si="2"/>
        <v>#DIV/0!</v>
      </c>
      <c r="P10" s="293"/>
      <c r="Q10" s="442" t="s">
        <v>465</v>
      </c>
      <c r="R10" s="434"/>
      <c r="S10" s="434">
        <v>51477821</v>
      </c>
      <c r="T10" s="436">
        <f t="shared" si="0"/>
        <v>51477821</v>
      </c>
      <c r="U10" s="438" t="str">
        <f t="shared" si="3"/>
        <v>-</v>
      </c>
      <c r="V10" s="434">
        <v>51476004</v>
      </c>
      <c r="W10" s="436">
        <f t="shared" si="4"/>
        <v>-1817</v>
      </c>
      <c r="X10" s="438">
        <f t="shared" si="5"/>
        <v>-3.5296754305121032E-5</v>
      </c>
      <c r="Y10" s="434">
        <v>54864948.920000002</v>
      </c>
      <c r="Z10" s="436">
        <f t="shared" si="6"/>
        <v>3388944.9200000018</v>
      </c>
      <c r="AA10" s="438">
        <f t="shared" si="7"/>
        <v>6.5835431204022785E-2</v>
      </c>
      <c r="AB10" s="434">
        <v>54864948.920000002</v>
      </c>
      <c r="AC10" s="436">
        <f t="shared" si="8"/>
        <v>0</v>
      </c>
      <c r="AD10" s="438">
        <f t="shared" si="9"/>
        <v>0</v>
      </c>
      <c r="AE10" s="434">
        <v>55838443.93</v>
      </c>
      <c r="AF10" s="436">
        <f t="shared" si="10"/>
        <v>973495.00999999791</v>
      </c>
      <c r="AG10" s="438">
        <f t="shared" si="11"/>
        <v>1.7743477924666913E-2</v>
      </c>
      <c r="AH10" s="434">
        <v>55838443.93</v>
      </c>
      <c r="AI10" s="436">
        <f t="shared" si="12"/>
        <v>0</v>
      </c>
      <c r="AJ10" s="438">
        <f t="shared" si="13"/>
        <v>0</v>
      </c>
      <c r="AK10" s="434">
        <v>55838443.93</v>
      </c>
      <c r="AL10" s="436">
        <f t="shared" si="14"/>
        <v>0</v>
      </c>
      <c r="AM10" s="438">
        <f t="shared" si="15"/>
        <v>0</v>
      </c>
    </row>
    <row r="11" spans="1:39" collapsed="1" x14ac:dyDescent="0.25">
      <c r="A11" s="213" t="s">
        <v>12</v>
      </c>
      <c r="B11" s="214" t="s">
        <v>38</v>
      </c>
      <c r="C11" s="200">
        <f ca="1">inputs!CD8</f>
        <v>0</v>
      </c>
      <c r="D11" s="201">
        <f ca="1">inputs!CD9</f>
        <v>0</v>
      </c>
      <c r="E11" s="201">
        <f ca="1">inputs!CE8</f>
        <v>0</v>
      </c>
      <c r="F11" s="201">
        <f>inputs!CE9</f>
        <v>0</v>
      </c>
      <c r="G11" s="201">
        <f ca="1">inputs!CD4</f>
        <v>0</v>
      </c>
      <c r="H11" s="201">
        <f ca="1">inputs!CC8</f>
        <v>0</v>
      </c>
      <c r="I11" s="201">
        <f ca="1">inputs!CC9</f>
        <v>0</v>
      </c>
      <c r="J11" s="202">
        <f>inputs!CD3</f>
        <v>0</v>
      </c>
      <c r="K11" s="201">
        <f>inputs!CD2</f>
        <v>0</v>
      </c>
      <c r="L11" s="201">
        <f t="shared" ca="1" si="1"/>
        <v>0</v>
      </c>
      <c r="M11" s="380">
        <v>59402112.93</v>
      </c>
      <c r="N11" s="293">
        <f t="shared" ca="1" si="17"/>
        <v>-59402112.93</v>
      </c>
      <c r="O11" s="293" t="e">
        <f t="shared" ca="1" si="2"/>
        <v>#DIV/0!</v>
      </c>
      <c r="P11" s="293"/>
      <c r="Q11" s="442" t="s">
        <v>12</v>
      </c>
      <c r="R11" s="434">
        <v>60385343</v>
      </c>
      <c r="S11" s="434">
        <v>61300903</v>
      </c>
      <c r="T11" s="436">
        <f t="shared" si="0"/>
        <v>915560</v>
      </c>
      <c r="U11" s="438">
        <f t="shared" si="3"/>
        <v>1.5161957430630145E-2</v>
      </c>
      <c r="V11" s="434">
        <v>62323392</v>
      </c>
      <c r="W11" s="436">
        <f t="shared" si="4"/>
        <v>1022489</v>
      </c>
      <c r="X11" s="438">
        <f t="shared" si="5"/>
        <v>1.6679835858209136E-2</v>
      </c>
      <c r="Y11" s="434">
        <v>62783427.219999999</v>
      </c>
      <c r="Z11" s="436">
        <f t="shared" si="6"/>
        <v>460035.21999999881</v>
      </c>
      <c r="AA11" s="438">
        <f t="shared" si="7"/>
        <v>7.3814214091556312E-3</v>
      </c>
      <c r="AB11" s="434">
        <v>62783427.219999999</v>
      </c>
      <c r="AC11" s="436">
        <f t="shared" si="8"/>
        <v>0</v>
      </c>
      <c r="AD11" s="438">
        <f t="shared" si="9"/>
        <v>0</v>
      </c>
      <c r="AE11" s="434">
        <v>59402112.93</v>
      </c>
      <c r="AF11" s="436">
        <f t="shared" si="10"/>
        <v>-3381314.2899999991</v>
      </c>
      <c r="AG11" s="438">
        <f t="shared" si="11"/>
        <v>-5.3856796924314179E-2</v>
      </c>
      <c r="AH11" s="434">
        <v>59402112.93</v>
      </c>
      <c r="AI11" s="436">
        <f t="shared" si="12"/>
        <v>0</v>
      </c>
      <c r="AJ11" s="438">
        <f t="shared" si="13"/>
        <v>0</v>
      </c>
      <c r="AK11" s="434">
        <v>59402112.93</v>
      </c>
      <c r="AL11" s="436">
        <f t="shared" si="14"/>
        <v>0</v>
      </c>
      <c r="AM11" s="438">
        <f t="shared" si="15"/>
        <v>0</v>
      </c>
    </row>
    <row r="12" spans="1:39" x14ac:dyDescent="0.25">
      <c r="A12" s="223" t="s">
        <v>13</v>
      </c>
      <c r="B12" s="224" t="s">
        <v>38</v>
      </c>
      <c r="C12" s="502">
        <f ca="1">inputs!CP8</f>
        <v>0</v>
      </c>
      <c r="D12" s="225">
        <f ca="1">inputs!CP9</f>
        <v>0</v>
      </c>
      <c r="E12" s="225">
        <f ca="1">inputs!CQ8</f>
        <v>0</v>
      </c>
      <c r="F12" s="225">
        <f>inputs!CQ9</f>
        <v>0</v>
      </c>
      <c r="G12" s="225">
        <f ca="1">inputs!CP4</f>
        <v>0</v>
      </c>
      <c r="H12" s="225">
        <f ca="1">inputs!CO8</f>
        <v>0</v>
      </c>
      <c r="I12" s="225">
        <f ca="1">inputs!CO9</f>
        <v>0</v>
      </c>
      <c r="J12" s="226">
        <f>inputs!CP3</f>
        <v>0</v>
      </c>
      <c r="K12" s="225">
        <f>inputs!CP2</f>
        <v>0</v>
      </c>
      <c r="L12" s="225">
        <f t="shared" ca="1" si="1"/>
        <v>0</v>
      </c>
      <c r="M12" s="381">
        <v>123851015.83</v>
      </c>
      <c r="N12" s="293">
        <f t="shared" ca="1" si="17"/>
        <v>-123851015.83</v>
      </c>
      <c r="O12" s="293" t="e">
        <f t="shared" ca="1" si="2"/>
        <v>#DIV/0!</v>
      </c>
      <c r="P12" s="293"/>
      <c r="Q12" s="442" t="s">
        <v>13</v>
      </c>
      <c r="R12" s="435">
        <v>106533245</v>
      </c>
      <c r="S12" s="435">
        <v>104308295</v>
      </c>
      <c r="T12" s="437">
        <f t="shared" si="0"/>
        <v>-2224950</v>
      </c>
      <c r="U12" s="439">
        <f t="shared" si="3"/>
        <v>-2.0885029832706212E-2</v>
      </c>
      <c r="V12" s="435">
        <v>104308295</v>
      </c>
      <c r="W12" s="437">
        <f t="shared" si="4"/>
        <v>0</v>
      </c>
      <c r="X12" s="439">
        <f t="shared" si="5"/>
        <v>0</v>
      </c>
      <c r="Y12" s="435">
        <v>102955220.56</v>
      </c>
      <c r="Z12" s="437">
        <f t="shared" si="6"/>
        <v>-1353074.4399999976</v>
      </c>
      <c r="AA12" s="439">
        <f t="shared" si="7"/>
        <v>-1.2971877644055035E-2</v>
      </c>
      <c r="AB12" s="435">
        <v>102955220.56</v>
      </c>
      <c r="AC12" s="437">
        <f t="shared" si="8"/>
        <v>0</v>
      </c>
      <c r="AD12" s="439">
        <f t="shared" si="9"/>
        <v>0</v>
      </c>
      <c r="AE12" s="435">
        <v>123851015.83</v>
      </c>
      <c r="AF12" s="437">
        <f t="shared" si="10"/>
        <v>20895795.269999996</v>
      </c>
      <c r="AG12" s="439">
        <f t="shared" si="11"/>
        <v>0.20296003598790208</v>
      </c>
      <c r="AH12" s="435">
        <v>123851015.83</v>
      </c>
      <c r="AI12" s="437">
        <f t="shared" si="12"/>
        <v>0</v>
      </c>
      <c r="AJ12" s="439">
        <f t="shared" si="13"/>
        <v>0</v>
      </c>
      <c r="AK12" s="435">
        <v>123851015.83</v>
      </c>
      <c r="AL12" s="437">
        <f t="shared" si="14"/>
        <v>0</v>
      </c>
      <c r="AM12" s="439">
        <f t="shared" si="15"/>
        <v>0</v>
      </c>
    </row>
    <row r="13" spans="1:39" x14ac:dyDescent="0.25">
      <c r="L13" s="227">
        <f ca="1">SUM(L4:L12)</f>
        <v>0</v>
      </c>
      <c r="M13" s="227">
        <f>SUM(M4:M12)</f>
        <v>536643604.98999995</v>
      </c>
      <c r="N13" s="227">
        <f ca="1">SUM(N4:N12)</f>
        <v>-536643604.98999995</v>
      </c>
      <c r="O13" s="227" t="e">
        <f t="shared" ca="1" si="2"/>
        <v>#DIV/0!</v>
      </c>
      <c r="P13" s="227"/>
      <c r="R13" s="440">
        <f>SUM(R4:R12)</f>
        <v>372035588</v>
      </c>
      <c r="S13" s="440">
        <f>SUM(S4:S12)</f>
        <v>509887777</v>
      </c>
      <c r="T13" s="440">
        <f t="shared" si="0"/>
        <v>137852189</v>
      </c>
      <c r="U13" s="441">
        <f t="shared" si="3"/>
        <v>0.37053495269382669</v>
      </c>
      <c r="V13" s="440">
        <f>SUM(V4:V12)</f>
        <v>506854477</v>
      </c>
      <c r="W13" s="440">
        <f t="shared" si="4"/>
        <v>-3033300</v>
      </c>
      <c r="X13" s="441">
        <f t="shared" si="5"/>
        <v>-5.9489560974512242E-3</v>
      </c>
      <c r="Y13" s="440">
        <f>SUM(Y4:Y12)</f>
        <v>516779190.72999996</v>
      </c>
      <c r="Z13" s="440">
        <f t="shared" si="6"/>
        <v>9924713.7299999595</v>
      </c>
      <c r="AA13" s="441">
        <f t="shared" si="7"/>
        <v>1.9580992534075928E-2</v>
      </c>
      <c r="AB13" s="440">
        <f>SUM(AB4:AB12)</f>
        <v>516779190.72999996</v>
      </c>
      <c r="AC13" s="440">
        <f t="shared" si="8"/>
        <v>0</v>
      </c>
      <c r="AD13" s="441">
        <f t="shared" si="9"/>
        <v>0</v>
      </c>
      <c r="AE13" s="440">
        <f>SUM(AE4:AE12)</f>
        <v>536643604.98999995</v>
      </c>
      <c r="AF13" s="440">
        <f t="shared" ref="AF13" si="19">AE13-AB13</f>
        <v>19864414.25999999</v>
      </c>
      <c r="AG13" s="441">
        <f t="shared" si="11"/>
        <v>3.8438881859657714E-2</v>
      </c>
      <c r="AH13" s="440">
        <f>SUM(AH4:AH12)</f>
        <v>536643604.98999995</v>
      </c>
      <c r="AI13" s="440">
        <f t="shared" si="12"/>
        <v>0</v>
      </c>
      <c r="AJ13" s="441">
        <f t="shared" si="13"/>
        <v>0</v>
      </c>
      <c r="AK13" s="440">
        <f>SUM(AK4:AK12)</f>
        <v>530208472.81</v>
      </c>
      <c r="AL13" s="440">
        <f t="shared" si="14"/>
        <v>-6435132.1799999475</v>
      </c>
      <c r="AM13" s="441">
        <f t="shared" si="15"/>
        <v>-1.1991444825136531E-2</v>
      </c>
    </row>
  </sheetData>
  <conditionalFormatting sqref="N4:P13">
    <cfRule type="cellIs" dxfId="13" priority="10" operator="lessThan">
      <formula>0</formula>
    </cfRule>
  </conditionalFormatting>
  <conditionalFormatting sqref="T4:U13 W4:X13">
    <cfRule type="cellIs" dxfId="12" priority="6" operator="lessThan">
      <formula>0</formula>
    </cfRule>
  </conditionalFormatting>
  <conditionalFormatting sqref="Z4:AA13 AC4:AD13 AF4:AG13">
    <cfRule type="cellIs" dxfId="11" priority="4" operator="lessThan">
      <formula>0</formula>
    </cfRule>
  </conditionalFormatting>
  <conditionalFormatting sqref="AI4:AJ13">
    <cfRule type="cellIs" dxfId="10" priority="1" operator="lessThan">
      <formula>0</formula>
    </cfRule>
  </conditionalFormatting>
  <conditionalFormatting sqref="AL4:AM13">
    <cfRule type="cellIs" dxfId="9" priority="2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C051-9BB8-43E1-86F4-817F1654B013}">
  <sheetPr>
    <tabColor theme="3" tint="9.9978637043366805E-2"/>
  </sheetPr>
  <dimension ref="A1:AM40"/>
  <sheetViews>
    <sheetView showGridLines="0" zoomScale="80" zoomScaleNormal="80" workbookViewId="0">
      <selection activeCell="Z10" sqref="Z10"/>
    </sheetView>
  </sheetViews>
  <sheetFormatPr defaultRowHeight="15" outlineLevelCol="1" x14ac:dyDescent="0.25"/>
  <cols>
    <col min="1" max="1" width="8.7109375" style="1" customWidth="1"/>
    <col min="2" max="2" width="10.7109375" style="1" customWidth="1"/>
    <col min="3" max="7" width="11.7109375" style="1" customWidth="1"/>
    <col min="8" max="12" width="12.7109375" style="1" customWidth="1"/>
    <col min="13" max="16" width="15.7109375" style="1" hidden="1" customWidth="1" outlineLevel="1"/>
    <col min="17" max="17" width="5.7109375" style="1" customWidth="1" collapsed="1"/>
    <col min="18" max="18" width="5.7109375" style="1" customWidth="1"/>
    <col min="19" max="19" width="9.140625" style="1"/>
    <col min="20" max="26" width="12.7109375" style="1" customWidth="1"/>
    <col min="27" max="28" width="9.140625" style="1"/>
    <col min="29" max="29" width="5.7109375" style="1" customWidth="1"/>
    <col min="30" max="30" width="9.140625" style="1"/>
    <col min="31" max="32" width="12.7109375" style="1" customWidth="1"/>
    <col min="33" max="34" width="15.7109375" style="1" customWidth="1"/>
    <col min="35" max="36" width="12.7109375" style="1" customWidth="1"/>
    <col min="37" max="39" width="15.7109375" style="1" customWidth="1"/>
    <col min="40" max="16384" width="9.140625" style="1"/>
  </cols>
  <sheetData>
    <row r="1" spans="1:39" ht="26.25" x14ac:dyDescent="0.4">
      <c r="A1" s="14" t="s">
        <v>186</v>
      </c>
      <c r="S1" s="14" t="s">
        <v>1039</v>
      </c>
      <c r="AD1" s="14" t="s">
        <v>1046</v>
      </c>
    </row>
    <row r="2" spans="1:39" s="50" customFormat="1" ht="15" customHeight="1" thickBot="1" x14ac:dyDescent="0.3">
      <c r="A2" s="49"/>
      <c r="C2" s="51" t="s">
        <v>47</v>
      </c>
      <c r="D2" s="52"/>
      <c r="E2" s="52"/>
      <c r="F2" s="52"/>
      <c r="G2" s="52"/>
      <c r="J2" s="53" t="s">
        <v>48</v>
      </c>
      <c r="K2" s="54"/>
      <c r="L2" s="54"/>
      <c r="M2" s="54"/>
      <c r="N2" s="55"/>
      <c r="O2" s="55"/>
      <c r="P2" s="55"/>
    </row>
    <row r="3" spans="1:39" ht="45.75" thickTop="1" x14ac:dyDescent="0.25">
      <c r="A3" s="28" t="s">
        <v>33</v>
      </c>
      <c r="B3" s="29" t="s">
        <v>34</v>
      </c>
      <c r="C3" s="45" t="s">
        <v>290</v>
      </c>
      <c r="D3" s="46" t="s">
        <v>291</v>
      </c>
      <c r="E3" s="47" t="s">
        <v>44</v>
      </c>
      <c r="F3" s="47" t="s">
        <v>1040</v>
      </c>
      <c r="G3" s="48" t="s">
        <v>49</v>
      </c>
      <c r="H3" s="31" t="s">
        <v>50</v>
      </c>
      <c r="I3" s="32" t="s">
        <v>51</v>
      </c>
      <c r="J3" s="33" t="s">
        <v>52</v>
      </c>
      <c r="K3" s="30" t="s">
        <v>53</v>
      </c>
      <c r="L3" s="30" t="s">
        <v>54</v>
      </c>
      <c r="M3" s="34" t="s">
        <v>55</v>
      </c>
      <c r="N3" s="34" t="s">
        <v>56</v>
      </c>
      <c r="O3" s="34" t="s">
        <v>57</v>
      </c>
      <c r="P3" s="35" t="s">
        <v>58</v>
      </c>
      <c r="S3" s="8" t="s">
        <v>33</v>
      </c>
      <c r="T3" s="60" t="s">
        <v>40</v>
      </c>
      <c r="U3" s="11" t="s">
        <v>41</v>
      </c>
      <c r="V3" s="11" t="s">
        <v>43</v>
      </c>
      <c r="W3" s="61" t="s">
        <v>42</v>
      </c>
      <c r="X3" s="61" t="s">
        <v>45</v>
      </c>
      <c r="Y3" s="61" t="s">
        <v>44</v>
      </c>
      <c r="Z3" s="12" t="s">
        <v>46</v>
      </c>
      <c r="AA3" s="10" t="s">
        <v>25</v>
      </c>
      <c r="AD3" s="468" t="s">
        <v>33</v>
      </c>
      <c r="AE3" s="469" t="s">
        <v>1047</v>
      </c>
      <c r="AF3" s="470" t="s">
        <v>1048</v>
      </c>
      <c r="AG3" s="468" t="s">
        <v>1049</v>
      </c>
      <c r="AH3" s="468" t="s">
        <v>1050</v>
      </c>
      <c r="AI3" s="469" t="s">
        <v>1041</v>
      </c>
      <c r="AJ3" s="470" t="s">
        <v>1042</v>
      </c>
      <c r="AK3" s="469" t="s">
        <v>1044</v>
      </c>
      <c r="AL3" s="470" t="s">
        <v>1043</v>
      </c>
      <c r="AM3" s="468" t="s">
        <v>1045</v>
      </c>
    </row>
    <row r="4" spans="1:39" x14ac:dyDescent="0.25">
      <c r="A4" s="2" t="s">
        <v>7</v>
      </c>
      <c r="B4" s="464" t="s">
        <v>30</v>
      </c>
      <c r="C4" s="3">
        <f>T4</f>
        <v>0</v>
      </c>
      <c r="D4" s="3">
        <f>U4+V4</f>
        <v>0</v>
      </c>
      <c r="E4" s="3">
        <f>Y4</f>
        <v>0</v>
      </c>
      <c r="F4" s="3">
        <f>W4+X4</f>
        <v>0</v>
      </c>
      <c r="G4" s="18">
        <f>Z4</f>
        <v>0</v>
      </c>
      <c r="H4" s="37">
        <f>SUM(C4:G4)</f>
        <v>0</v>
      </c>
      <c r="I4" s="38">
        <f>H4-C4</f>
        <v>0</v>
      </c>
      <c r="J4" s="36">
        <f>COUNTIFS(
    tb_estq[empresa], $A4,
    tb_estq[especie],J$3
)</f>
        <v>0</v>
      </c>
      <c r="K4" s="3">
        <f>COUNTIFS(
    tb_estq[empresa], $A4,
    tb_estq[especie],K$3
)</f>
        <v>0</v>
      </c>
      <c r="L4" s="3">
        <f>COUNTIFS(
    tb_estq[empresa], $A4,
    tb_estq[especie],L$3
)</f>
        <v>0</v>
      </c>
      <c r="M4" s="7">
        <f>COUNTIFS(
    tb_estq[empresa], $A4,
    tb_estq[especie], "Garagem",
    tb_estq[Planta], "Vagas Autônomas"
)</f>
        <v>0</v>
      </c>
      <c r="N4" s="3"/>
      <c r="O4" s="3"/>
      <c r="P4" s="4"/>
      <c r="R4" s="1">
        <v>1</v>
      </c>
      <c r="S4" s="6" t="s">
        <v>7</v>
      </c>
      <c r="T4" s="6">
        <f>COUNTIFS(
    tb_estq[empresa], $S4,
    tb_estq[Status],T$3)</f>
        <v>0</v>
      </c>
      <c r="U4" s="6">
        <f>COUNTIFS(
    tb_estq[empresa], $S4,
    tb_estq[Status],U$3)</f>
        <v>0</v>
      </c>
      <c r="V4" s="6">
        <f>COUNTIFS(
    tb_estq[empresa], $S4,
    tb_estq[Status],V$3)</f>
        <v>0</v>
      </c>
      <c r="W4" s="6">
        <f>COUNTIFS(
    tb_estq[empresa], $S4,
    tb_estq[Status],W$3)</f>
        <v>0</v>
      </c>
      <c r="X4" s="6">
        <f>COUNTIFS(
    tb_estq[empresa], $S4,
    tb_estq[Status],X$3)</f>
        <v>0</v>
      </c>
      <c r="Y4" s="6">
        <f>COUNTIFS(
    tb_estq[empresa], $S4,
    tb_estq[Status],Y$3
)
+COUNTIFS(
    tb_estq[empresa], $S4,
    tb_estq[Status],Z$3,
    tb_estq[Data da venda / reserva], "&gt;" &amp;inputs!$A$1
)</f>
        <v>0</v>
      </c>
      <c r="Z4" s="6">
        <f>COUNTIFS(
  tb_estq[empresa], $S4,
  tb_estq[Status],Z$3,
  tb_estq[Data da venda / reserva], "&lt;=" &amp;inputs!$A$1
)</f>
        <v>0</v>
      </c>
      <c r="AA4" s="9">
        <f t="shared" ref="AA4:AA5" si="0">SUM(T4:Z4)</f>
        <v>0</v>
      </c>
      <c r="AC4" s="1">
        <v>1</v>
      </c>
      <c r="AD4" s="6" t="s">
        <v>7</v>
      </c>
      <c r="AE4" s="6">
        <f>COUNTIF(unis.cruzado[empresa.ana], $AD4)</f>
        <v>0</v>
      </c>
      <c r="AF4" s="6">
        <f>COUNTIFS(
  unis.cruzado[empresa.ik],$AD4,
  unis.cruzado[empreendimento],"AMP.01.0002*"
)</f>
        <v>0</v>
      </c>
      <c r="AG4" s="6">
        <f>COUNTIFS(
    unis.cruzado[checar], "VERDADEIRO",
    unis.cruzado[empresa.ik],$AD4,
    unis.cruzado[empreendimento],"AMP.01.0002*"
)</f>
        <v>0</v>
      </c>
      <c r="AH4" s="467" t="str">
        <f>IFERROR($AG4/AVERAGE($AE4:$AF4),"")</f>
        <v/>
      </c>
      <c r="AI4" s="6">
        <f>COUNTIFS(
    unis.cruzado[empresa.ana], $AD4,
    unis.cruzado[status.p.ana], "3"
)</f>
        <v>0</v>
      </c>
      <c r="AJ4" s="6">
        <f>COUNTIFS(
    unis.cruzado[empresa.ik], $AD4,
    unis.cruzado[empreendimento],"AMP.01.0002*",
    unis.cruzado[status.p.ik], "3"
)</f>
        <v>0</v>
      </c>
      <c r="AK4" s="471">
        <f ca="1">SUMIFS(unis.cruzado[Preço Tab.],
  unis.cruzado[empresa.ana], $AD4,
  unis.cruzado[status.p.ana], "3"
)</f>
        <v>0</v>
      </c>
      <c r="AL4" s="471">
        <f ca="1">SUMIFS(unis.cruzado[Preço Tab.],
  unis.cruzado[empresa.ik], $AD4,
  unis.cruzado[empreendimento],"AMP.01.0002*",
  unis.cruzado[status.p.ik], "3"
)</f>
        <v>0</v>
      </c>
      <c r="AM4" s="471">
        <f ca="1">AK4-AL4</f>
        <v>0</v>
      </c>
    </row>
    <row r="5" spans="1:39" x14ac:dyDescent="0.25">
      <c r="A5" s="20" t="s">
        <v>7</v>
      </c>
      <c r="B5" s="465" t="s">
        <v>29</v>
      </c>
      <c r="C5" s="21">
        <f>COUNTIFS(
    tb_unis[empresa], $A7,
    tb_unis[empreendimento],"AMP.01.0002*",
    tb_unis[situacao], C$3
)</f>
        <v>0</v>
      </c>
      <c r="D5" s="21">
        <f>COUNTIFS(
    tb_unis[empresa], $A7,
    tb_unis[empreendimento],"AMP.01.0002*",
    tb_unis[situacao], D$3
)</f>
        <v>0</v>
      </c>
      <c r="E5" s="21">
        <f>COUNTIFS(
    tb_unis[empresa], $A5,
    tb_unis[empreendimento],"AMP.01.0002*",
    tb_unis[situacao], E$3
)
+COUNTIFS(
    tb_unis[empresa], $A5,
    tb_unis[empreendimento],"AMP.01.0002*",
    tb_unis[situacao], G$3,
    tb_unis[data], "&gt;" &amp;inputs!$A$1
)</f>
        <v>0</v>
      </c>
      <c r="F5" s="21">
        <f>COUNTIFS(
    tb_unis[empresa], $A5,
    tb_unis[empreendimento],"AMP.01.0002*",
    tb_unis[situacao], F$3
)</f>
        <v>0</v>
      </c>
      <c r="G5" s="19">
        <f>COUNTIFS(
    tb_unis[empresa], $A5,
    tb_unis[empreendimento],"AMP.01.0002*",
    tb_unis[situacao], G$3,
    tb_unis[data], "&lt;=" &amp;inputs!$A$1
)</f>
        <v>0</v>
      </c>
      <c r="H5" s="39">
        <f t="shared" ref="H5:H11" si="1">SUM(C5:G5)</f>
        <v>0</v>
      </c>
      <c r="I5" s="40">
        <f t="shared" ref="I5:I11" si="2">H5-C5</f>
        <v>0</v>
      </c>
      <c r="J5" s="26">
        <f>COUNTIFS(
    tb_unis[empresa], $A5,
    tb_unis[empreendimento],"AMP.01.0002*",
    tb_unis[especie],J$3
)</f>
        <v>0</v>
      </c>
      <c r="K5" s="21">
        <f>COUNTIFS(
    tb_unis[empresa], $A5,
    tb_unis[empreendimento],"AMP.01.0002*",
    tb_unis[especie],K$3
)</f>
        <v>0</v>
      </c>
      <c r="L5" s="21">
        <f>COUNTIFS(
    tb_unis[empresa], $A5,
    tb_unis[empreendimento],"AMP.01.0002*",
    tb_unis[especie],L$3
)
+COUNTIFS(
    tb_unis[empresa], $A5,
    tb_unis[empreendimento],"AMP.01.0002*",
    tb_unis[especie],"Moto"
)</f>
        <v>0</v>
      </c>
      <c r="M5" s="62">
        <f>COUNTIFS(
    tb_unis[empresa], $A4,
    tb_unis[especie], "Garagem",
    tb_unis[obs.situacao], "*venda*"
)</f>
        <v>0</v>
      </c>
      <c r="N5" s="21"/>
      <c r="O5" s="62">
        <f>COUNTIFS(
    tb_unis[empresa], $A5,
    tb_unis[especie], "Moto",
    tb_unis[obs.situacao], "*venda*"
)</f>
        <v>0</v>
      </c>
      <c r="P5" s="63">
        <f>COUNTIFS(
    tb_unis[empresa], $A5,
    tb_unis[especie], "Moto"
)-O$5</f>
        <v>0</v>
      </c>
      <c r="R5" s="1">
        <v>2</v>
      </c>
      <c r="S5" s="6" t="s">
        <v>8</v>
      </c>
      <c r="T5" s="6">
        <f>COUNTIFS(
    tb_estq[empresa], $S5,
    tb_estq[Status],T$3)</f>
        <v>0</v>
      </c>
      <c r="U5" s="6">
        <f>COUNTIFS(
    tb_estq[empresa], $S5,
    tb_estq[Status],U$3)</f>
        <v>0</v>
      </c>
      <c r="V5" s="6">
        <f>COUNTIFS(
    tb_estq[empresa], $S5,
    tb_estq[Status],V$3)</f>
        <v>0</v>
      </c>
      <c r="W5" s="6">
        <f>COUNTIFS(
    tb_estq[empresa], $S5,
    tb_estq[Status],W$3)</f>
        <v>0</v>
      </c>
      <c r="X5" s="6">
        <f>COUNTIFS(
    tb_estq[empresa], $S5,
    tb_estq[Status],X$3)</f>
        <v>0</v>
      </c>
      <c r="Y5" s="6">
        <f>COUNTIFS(
    tb_estq[empresa], $S5,
    tb_estq[Status],Y$3
)
+COUNTIFS(
    tb_estq[empresa], $S5,
    tb_estq[Status],Z$3,
    tb_estq[Data da venda / reserva], "&gt;" &amp;inputs!$A$1
)</f>
        <v>0</v>
      </c>
      <c r="Z5" s="6">
        <f>COUNTIFS(
  tb_estq[empresa], $S5,
  tb_estq[Status],Z$3,
  tb_estq[Data da venda / reserva], "&lt;=" &amp;inputs!$A$1
)</f>
        <v>0</v>
      </c>
      <c r="AA5" s="9">
        <f t="shared" si="0"/>
        <v>0</v>
      </c>
      <c r="AC5" s="1">
        <v>2</v>
      </c>
      <c r="AD5" s="6" t="s">
        <v>8</v>
      </c>
      <c r="AE5" s="6">
        <f>COUNTIF(unis.cruzado[empresa.ana], $AD5)</f>
        <v>0</v>
      </c>
      <c r="AF5" s="6">
        <f>COUNTIF(unis.cruzado[empresa.ik], $AD5)</f>
        <v>0</v>
      </c>
      <c r="AG5" s="6">
        <f>COUNTIFS(
    unis.cruzado[checar], "VERDADEIRO",
    unis.cruzado[empresa.ik],$AD5
)</f>
        <v>0</v>
      </c>
      <c r="AH5" s="467" t="str">
        <f t="shared" ref="AH5:AH12" si="3">IFERROR($AG5/AVERAGE($AE5:$AF5),"")</f>
        <v/>
      </c>
      <c r="AI5" s="6">
        <f>COUNTIFS(
    unis.cruzado[empresa.ana], $AD5,
    unis.cruzado[status.p.ana], "3"
)</f>
        <v>0</v>
      </c>
      <c r="AJ5" s="6">
        <f>COUNTIFS(
    unis.cruzado[empresa.ik], $AD5,
    unis.cruzado[status.p.ik], "3"
)</f>
        <v>0</v>
      </c>
      <c r="AK5" s="471">
        <f ca="1">SUMIFS(unis.cruzado[Preço Tab.],
  unis.cruzado[empresa.ana], $AD5,
  unis.cruzado[status.p.ana], "3"
)</f>
        <v>0</v>
      </c>
      <c r="AL5" s="471">
        <f ca="1">SUMIFS(unis.cruzado[Preço Tab.],
  unis.cruzado[empresa.ik], $AD5,
  unis.cruzado[status.p.ik], "3"
)</f>
        <v>0</v>
      </c>
      <c r="AM5" s="471">
        <f t="shared" ref="AM5:AM12" ca="1" si="4">AK5-AL5</f>
        <v>0</v>
      </c>
    </row>
    <row r="6" spans="1:39" x14ac:dyDescent="0.25">
      <c r="A6" s="20" t="s">
        <v>7</v>
      </c>
      <c r="B6" s="465" t="s">
        <v>32</v>
      </c>
      <c r="C6" s="56"/>
      <c r="D6" s="56"/>
      <c r="E6" s="56"/>
      <c r="F6" s="56"/>
      <c r="G6" s="57"/>
      <c r="H6" s="39">
        <f t="shared" si="1"/>
        <v>0</v>
      </c>
      <c r="I6" s="40">
        <f t="shared" si="2"/>
        <v>0</v>
      </c>
      <c r="J6" s="58"/>
      <c r="K6" s="56"/>
      <c r="L6" s="56"/>
      <c r="M6" s="56"/>
      <c r="N6" s="56"/>
      <c r="O6" s="56"/>
      <c r="P6" s="59"/>
      <c r="R6" s="1">
        <v>3</v>
      </c>
      <c r="S6" s="6" t="s">
        <v>673</v>
      </c>
      <c r="T6" s="6">
        <f>COUNTIFS(
    tb_estq[empresa], $S6,
    tb_estq[Status],T$3)</f>
        <v>0</v>
      </c>
      <c r="U6" s="6">
        <f>COUNTIFS(
    tb_estq[empresa], $S6,
    tb_estq[Status],U$3)</f>
        <v>0</v>
      </c>
      <c r="V6" s="6">
        <f>COUNTIFS(
    tb_estq[empresa], $S6,
    tb_estq[Status],V$3)</f>
        <v>0</v>
      </c>
      <c r="W6" s="6">
        <f>COUNTIFS(
    tb_estq[empresa], $S6,
    tb_estq[Status],W$3)</f>
        <v>0</v>
      </c>
      <c r="X6" s="6">
        <f>COUNTIFS(
    tb_estq[empresa], $S6,
    tb_estq[Status],X$3)</f>
        <v>0</v>
      </c>
      <c r="Y6" s="6">
        <f>COUNTIFS(
    tb_estq[empresa], $S6,
    tb_estq[Status],Y$3
)
+COUNTIFS(
    tb_estq[empresa], $S6,
    tb_estq[Status],Z$3,
    tb_estq[Data da venda / reserva], "&gt;" &amp;inputs!$A$1
)</f>
        <v>0</v>
      </c>
      <c r="Z6" s="6">
        <f>COUNTIFS(
  tb_estq[empresa], $S6,
  tb_estq[Status],Z$3,
  tb_estq[Data da venda / reserva], "&lt;=" &amp;inputs!$A$1
)</f>
        <v>0</v>
      </c>
      <c r="AA6" s="9">
        <f t="shared" ref="AA6" si="5">SUM(T6:Z6)</f>
        <v>0</v>
      </c>
      <c r="AC6" s="1">
        <v>3</v>
      </c>
      <c r="AD6" s="6" t="s">
        <v>673</v>
      </c>
      <c r="AE6" s="6">
        <f>COUNTIF(unis.cruzado[empresa.ana], $AD6)</f>
        <v>0</v>
      </c>
      <c r="AF6" s="6">
        <f>COUNTIF(unis.cruzado[empresa.ik], $AD6)</f>
        <v>0</v>
      </c>
      <c r="AG6" s="6">
        <f>COUNTIFS(
    unis.cruzado[checar], "VERDADEIRO",
    unis.cruzado[empresa.ik],$AD6
)</f>
        <v>0</v>
      </c>
      <c r="AH6" s="467" t="str">
        <f t="shared" si="3"/>
        <v/>
      </c>
      <c r="AI6" s="6">
        <f>COUNTIFS(
    unis.cruzado[empresa.ana], $AD6,
    unis.cruzado[status.p.ana], "3"
)</f>
        <v>0</v>
      </c>
      <c r="AJ6" s="6">
        <f>COUNTIFS(
    unis.cruzado[empresa.ik], $AD6,
    unis.cruzado[status.p.ik], "3"
)</f>
        <v>0</v>
      </c>
      <c r="AK6" s="471">
        <f ca="1">SUMIFS(unis.cruzado[Preço Tab.],
  unis.cruzado[empresa.ana], $AD6,
  unis.cruzado[status.p.ana], "3"
)</f>
        <v>0</v>
      </c>
      <c r="AL6" s="471">
        <f ca="1">SUMIFS(unis.cruzado[Preço Tab.],
  unis.cruzado[empresa.ik], $AD6,
  unis.cruzado[status.p.ik], "3"
)</f>
        <v>0</v>
      </c>
      <c r="AM6" s="471">
        <f t="shared" ca="1" si="4"/>
        <v>0</v>
      </c>
    </row>
    <row r="7" spans="1:39" x14ac:dyDescent="0.25">
      <c r="A7" s="22" t="s">
        <v>7</v>
      </c>
      <c r="B7" s="466" t="s">
        <v>59</v>
      </c>
      <c r="C7" s="23"/>
      <c r="D7" s="23"/>
      <c r="E7" s="23"/>
      <c r="F7" s="23"/>
      <c r="G7" s="25"/>
      <c r="H7" s="41">
        <f t="shared" si="1"/>
        <v>0</v>
      </c>
      <c r="I7" s="42">
        <f t="shared" si="2"/>
        <v>0</v>
      </c>
      <c r="J7" s="27"/>
      <c r="K7" s="23"/>
      <c r="L7" s="23"/>
      <c r="M7" s="23"/>
      <c r="N7" s="23"/>
      <c r="O7" s="23"/>
      <c r="P7" s="24"/>
      <c r="R7" s="1">
        <v>4</v>
      </c>
      <c r="S7" s="6" t="s">
        <v>9</v>
      </c>
      <c r="T7" s="6">
        <f>COUNTIFS(
    tb_estq[empresa], $S7,
    tb_estq[Status],T$3)</f>
        <v>0</v>
      </c>
      <c r="U7" s="6">
        <f>COUNTIFS(
    tb_estq[empresa], $S7,
    tb_estq[Status],U$3)</f>
        <v>0</v>
      </c>
      <c r="V7" s="6">
        <f>COUNTIFS(
    tb_estq[empresa], $S7,
    tb_estq[Status],V$3)</f>
        <v>0</v>
      </c>
      <c r="W7" s="6">
        <f>COUNTIFS(
    tb_estq[empresa], $S7,
    tb_estq[Status],W$3)</f>
        <v>0</v>
      </c>
      <c r="X7" s="6">
        <f>COUNTIFS(
    tb_estq[empresa], $S7,
    tb_estq[Status],X$3)</f>
        <v>0</v>
      </c>
      <c r="Y7" s="6">
        <f>COUNTIFS(
    tb_estq[empresa], $S7,
    tb_estq[Status],Y$3
)
+COUNTIFS(
    tb_estq[empresa], $S7,
    tb_estq[Status],Z$3,
    tb_estq[Data da venda / reserva], "&gt;" &amp;inputs!$A$1
)</f>
        <v>0</v>
      </c>
      <c r="Z7" s="6">
        <f>COUNTIFS(
  tb_estq[empresa], $S7,
  tb_estq[Status],Z$3,
  tb_estq[Data da venda / reserva], "&lt;=" &amp;inputs!$A$1
)</f>
        <v>0</v>
      </c>
      <c r="AA7" s="9">
        <f>SUM(T7:Z7)</f>
        <v>0</v>
      </c>
      <c r="AC7" s="1">
        <v>4</v>
      </c>
      <c r="AD7" s="6" t="s">
        <v>9</v>
      </c>
      <c r="AE7" s="6">
        <f>COUNTIF(unis.cruzado[empresa.ana], $AD7)</f>
        <v>0</v>
      </c>
      <c r="AF7" s="6">
        <f>COUNTIF(unis.cruzado[empresa.ik], $AD7)</f>
        <v>0</v>
      </c>
      <c r="AG7" s="6">
        <f>COUNTIFS(
    unis.cruzado[checar], "VERDADEIRO",
    unis.cruzado[empresa.ik],$AD7
)</f>
        <v>0</v>
      </c>
      <c r="AH7" s="467" t="str">
        <f t="shared" si="3"/>
        <v/>
      </c>
      <c r="AI7" s="6">
        <f>COUNTIFS(
    unis.cruzado[empresa.ana], $AD7,
    unis.cruzado[status.p.ana], "3"
)</f>
        <v>0</v>
      </c>
      <c r="AJ7" s="6">
        <f>COUNTIFS(
    unis.cruzado[empresa.ik], $AD7,
    unis.cruzado[status.p.ik], "3"
)</f>
        <v>0</v>
      </c>
      <c r="AK7" s="471">
        <f ca="1">SUMIFS(unis.cruzado[Preço Tab.],
  unis.cruzado[empresa.ana], $AD7,
  unis.cruzado[status.p.ana], "3"
)</f>
        <v>0</v>
      </c>
      <c r="AL7" s="471">
        <f ca="1">SUMIFS(unis.cruzado[Preço Tab.],
  unis.cruzado[empresa.ik], $AD7,
  unis.cruzado[status.p.ik], "3"
)</f>
        <v>0</v>
      </c>
      <c r="AM7" s="471">
        <f t="shared" ca="1" si="4"/>
        <v>0</v>
      </c>
    </row>
    <row r="8" spans="1:39" x14ac:dyDescent="0.25">
      <c r="A8" s="2" t="s">
        <v>8</v>
      </c>
      <c r="B8" s="464" t="s">
        <v>30</v>
      </c>
      <c r="C8" s="3">
        <f>T5</f>
        <v>0</v>
      </c>
      <c r="D8" s="3">
        <f>U5+V5</f>
        <v>0</v>
      </c>
      <c r="E8" s="3">
        <f>Y5</f>
        <v>0</v>
      </c>
      <c r="F8" s="3">
        <f>W5+X5</f>
        <v>0</v>
      </c>
      <c r="G8" s="18">
        <f>Z5</f>
        <v>0</v>
      </c>
      <c r="H8" s="37">
        <f t="shared" si="1"/>
        <v>0</v>
      </c>
      <c r="I8" s="38">
        <f t="shared" si="2"/>
        <v>0</v>
      </c>
      <c r="J8" s="36">
        <f>COUNTIFS(
    tb_estq[empresa], $A8,
    tb_estq[especie],J$3
)</f>
        <v>0</v>
      </c>
      <c r="K8" s="3">
        <f>COUNTIFS(
    tb_estq[empresa], $A8,
    tb_estq[especie],K$3
)</f>
        <v>0</v>
      </c>
      <c r="L8" s="3">
        <f>COUNTIFS(
    tb_estq[empresa], $A8,
    tb_estq[especie],L$3
)</f>
        <v>0</v>
      </c>
      <c r="M8" s="3"/>
      <c r="N8" s="3"/>
      <c r="O8" s="3"/>
      <c r="P8" s="4"/>
      <c r="R8" s="1">
        <v>5</v>
      </c>
      <c r="S8" s="6" t="s">
        <v>10</v>
      </c>
      <c r="T8" s="6">
        <f>COUNTIFS(
    tb_estq[empresa], $S8,
    tb_estq[Status],T$3)</f>
        <v>0</v>
      </c>
      <c r="U8" s="6">
        <f>COUNTIFS(
    tb_estq[empresa], $S8,
    tb_estq[Status],U$3)</f>
        <v>0</v>
      </c>
      <c r="V8" s="6">
        <f>COUNTIFS(
    tb_estq[empresa], $S8,
    tb_estq[Status],V$3)</f>
        <v>0</v>
      </c>
      <c r="W8" s="6">
        <f>COUNTIFS(
    tb_estq[empresa], $S8,
    tb_estq[Status],W$3)</f>
        <v>0</v>
      </c>
      <c r="X8" s="6">
        <f>COUNTIFS(
    tb_estq[empresa], $S8,
    tb_estq[Status],X$3)</f>
        <v>0</v>
      </c>
      <c r="Y8" s="6">
        <f>COUNTIFS(
    tb_estq[empresa], $S8,
    tb_estq[Status],Y$3
)
+COUNTIFS(
    tb_estq[empresa], $S8,
    tb_estq[Status],Z$3,
    tb_estq[Data da venda / reserva], "&gt;" &amp;inputs!$A$1
)</f>
        <v>0</v>
      </c>
      <c r="Z8" s="6">
        <f>COUNTIFS(
  tb_estq[empresa], $S8,
  tb_estq[Status],Z$3,
  tb_estq[Data da venda / reserva], "&lt;=" &amp;inputs!$A$1
)</f>
        <v>0</v>
      </c>
      <c r="AA8" s="9">
        <f>SUM(T8:Z8)</f>
        <v>0</v>
      </c>
      <c r="AC8" s="1">
        <v>5</v>
      </c>
      <c r="AD8" s="6" t="s">
        <v>10</v>
      </c>
      <c r="AE8" s="6">
        <f>COUNTIF(unis.cruzado[empresa.ana], $AD8)</f>
        <v>0</v>
      </c>
      <c r="AF8" s="6">
        <f>COUNTIF(unis.cruzado[empresa.ik], $AD8)</f>
        <v>0</v>
      </c>
      <c r="AG8" s="6">
        <f>COUNTIFS(
    unis.cruzado[checar], "VERDADEIRO",
    unis.cruzado[empresa.ik],$AD8
)</f>
        <v>0</v>
      </c>
      <c r="AH8" s="467" t="str">
        <f t="shared" si="3"/>
        <v/>
      </c>
      <c r="AI8" s="6">
        <f>COUNTIFS(
    unis.cruzado[empresa.ana], $AD8,
    unis.cruzado[status.p.ana], "3"
)</f>
        <v>0</v>
      </c>
      <c r="AJ8" s="6">
        <f>COUNTIFS(
    unis.cruzado[empresa.ik], $AD8,
    unis.cruzado[status.p.ik], "3"
)</f>
        <v>0</v>
      </c>
      <c r="AK8" s="471">
        <f ca="1">SUMIFS(unis.cruzado[Preço Tab.],
  unis.cruzado[empresa.ana], $AD8,
  unis.cruzado[status.p.ana], "3"
)</f>
        <v>0</v>
      </c>
      <c r="AL8" s="471">
        <f ca="1">SUMIFS(unis.cruzado[Preço Tab.],
  unis.cruzado[empresa.ik], $AD8,
  unis.cruzado[status.p.ik], "3"
)</f>
        <v>0</v>
      </c>
      <c r="AM8" s="471">
        <f t="shared" ca="1" si="4"/>
        <v>0</v>
      </c>
    </row>
    <row r="9" spans="1:39" x14ac:dyDescent="0.25">
      <c r="A9" s="20" t="s">
        <v>8</v>
      </c>
      <c r="B9" s="465" t="s">
        <v>29</v>
      </c>
      <c r="C9" s="21">
        <f>COUNTIFS(
    tb_unis[empresa], $A11,
    tb_unis[situacao], C$3
)</f>
        <v>0</v>
      </c>
      <c r="D9" s="21">
        <f>COUNTIFS(
    tb_unis[empresa], $A11,
    tb_unis[situacao], D$3
)</f>
        <v>0</v>
      </c>
      <c r="E9" s="21">
        <f>COUNTIFS(
    tb_unis[empresa], $A9,
    tb_unis[situacao], E$3
)
+COUNTIFS(
    tb_unis[empresa], $A9,
    tb_unis[situacao], G$3,
    tb_unis[data], "&gt;" &amp;inputs!$A$1
)</f>
        <v>0</v>
      </c>
      <c r="F9" s="21">
        <f>COUNTIFS(
    tb_unis[empresa], $A9,
    tb_unis[situacao], F$3
)</f>
        <v>0</v>
      </c>
      <c r="G9" s="19">
        <f>COUNTIFS(
    tb_unis[empresa], $A9,
    tb_unis[situacao], G$3,
    tb_unis[data], "&lt;=" &amp;inputs!$A$1
)</f>
        <v>0</v>
      </c>
      <c r="H9" s="39">
        <f t="shared" si="1"/>
        <v>0</v>
      </c>
      <c r="I9" s="40">
        <f t="shared" si="2"/>
        <v>0</v>
      </c>
      <c r="J9" s="26">
        <f>COUNTIFS(
    tb_unis[empresa], $A9,
    tb_unis[especie],J$3
)</f>
        <v>0</v>
      </c>
      <c r="K9" s="21">
        <f>COUNTIFS(
    tb_unis[empresa], $A9,
    tb_unis[especie],K$3
)</f>
        <v>0</v>
      </c>
      <c r="L9" s="21">
        <f>COUNTIFS(
    tb_unis[empresa], $A9,
    tb_unis[especie],L$3
)
+COUNTIFS(
    tb_unis[empresa], $A9,
    tb_unis[especie],"Moto"
)</f>
        <v>0</v>
      </c>
      <c r="M9" s="21"/>
      <c r="N9" s="21"/>
      <c r="O9" s="21"/>
      <c r="P9" s="17"/>
      <c r="R9" s="1">
        <v>6</v>
      </c>
      <c r="S9" s="6" t="s">
        <v>11</v>
      </c>
      <c r="T9" s="6">
        <f>COUNTIFS(
    tb_estq[empresa], $S9,
    tb_estq[Status],T$3)</f>
        <v>0</v>
      </c>
      <c r="U9" s="6">
        <f>COUNTIFS(
    tb_estq[empresa], $S9,
    tb_estq[Status],U$3)</f>
        <v>0</v>
      </c>
      <c r="V9" s="6">
        <f>COUNTIFS(
    tb_estq[empresa], $S9,
    tb_estq[Status],V$3)</f>
        <v>0</v>
      </c>
      <c r="W9" s="6">
        <f>COUNTIFS(
    tb_estq[empresa], $S9,
    tb_estq[Status],W$3)</f>
        <v>0</v>
      </c>
      <c r="X9" s="6">
        <f>COUNTIFS(
    tb_estq[empresa], $S9,
    tb_estq[Status],X$3)</f>
        <v>0</v>
      </c>
      <c r="Y9" s="6">
        <f>COUNTIFS(
    tb_estq[empresa], $S9,
    tb_estq[Status],Y$3
)
+COUNTIFS(
    tb_estq[empresa], $S9,
    tb_estq[Status],Z$3,
    tb_estq[Data da venda / reserva], "&gt;" &amp;inputs!$A$1
)</f>
        <v>0</v>
      </c>
      <c r="Z9" s="6">
        <f>COUNTIFS(
  tb_estq[empresa], $S9,
  tb_estq[Status],Z$3,
  tb_estq[Data da venda / reserva], "&lt;=" &amp;inputs!$A$1
)</f>
        <v>0</v>
      </c>
      <c r="AA9" s="9">
        <f>SUM(T9:Z9)</f>
        <v>0</v>
      </c>
      <c r="AC9" s="1">
        <v>6</v>
      </c>
      <c r="AD9" s="6" t="s">
        <v>11</v>
      </c>
      <c r="AE9" s="6">
        <f>COUNTIF(unis.cruzado[empresa.ana], $AD9)</f>
        <v>0</v>
      </c>
      <c r="AF9" s="6">
        <f>COUNTIF(unis.cruzado[empresa.ik], $AD9)</f>
        <v>0</v>
      </c>
      <c r="AG9" s="6">
        <f>COUNTIFS(
    unis.cruzado[checar], "VERDADEIRO",
    unis.cruzado[empresa.ik],$AD9
)</f>
        <v>0</v>
      </c>
      <c r="AH9" s="467" t="str">
        <f t="shared" si="3"/>
        <v/>
      </c>
      <c r="AI9" s="6">
        <f>COUNTIFS(
    unis.cruzado[empresa.ana], $AD9,
    unis.cruzado[status.p.ana], "3"
)</f>
        <v>0</v>
      </c>
      <c r="AJ9" s="6">
        <f>COUNTIFS(
    unis.cruzado[empresa.ik], $AD9,
    unis.cruzado[status.p.ik], "3"
)</f>
        <v>0</v>
      </c>
      <c r="AK9" s="471">
        <f ca="1">SUMIFS(unis.cruzado[Preço Tab.],
  unis.cruzado[empresa.ana], $AD9,
  unis.cruzado[status.p.ana], "3"
)</f>
        <v>0</v>
      </c>
      <c r="AL9" s="471">
        <f ca="1">SUMIFS(unis.cruzado[Preço Tab.],
  unis.cruzado[empresa.ik], $AD9,
  unis.cruzado[status.p.ik], "3"
)</f>
        <v>0</v>
      </c>
      <c r="AM9" s="471">
        <f t="shared" ca="1" si="4"/>
        <v>0</v>
      </c>
    </row>
    <row r="10" spans="1:39" x14ac:dyDescent="0.25">
      <c r="A10" s="20" t="s">
        <v>8</v>
      </c>
      <c r="B10" s="465" t="s">
        <v>32</v>
      </c>
      <c r="C10" s="56"/>
      <c r="D10" s="56"/>
      <c r="E10" s="56"/>
      <c r="F10" s="56"/>
      <c r="G10" s="57"/>
      <c r="H10" s="39">
        <f t="shared" si="1"/>
        <v>0</v>
      </c>
      <c r="I10" s="40">
        <f t="shared" si="2"/>
        <v>0</v>
      </c>
      <c r="J10" s="58"/>
      <c r="K10" s="56"/>
      <c r="L10" s="56"/>
      <c r="M10" s="56"/>
      <c r="N10" s="56"/>
      <c r="O10" s="56"/>
      <c r="P10" s="59"/>
      <c r="R10" s="1">
        <v>7</v>
      </c>
      <c r="S10" s="6" t="s">
        <v>465</v>
      </c>
      <c r="T10" s="6">
        <f>COUNTIFS(
    tb_estq[empresa], $S10,
    tb_estq[Status],T$3)</f>
        <v>0</v>
      </c>
      <c r="U10" s="6">
        <f>COUNTIFS(
    tb_estq[empresa], $S10,
    tb_estq[Status],U$3)</f>
        <v>0</v>
      </c>
      <c r="V10" s="6">
        <f>COUNTIFS(
    tb_estq[empresa], $S10,
    tb_estq[Status],V$3)</f>
        <v>0</v>
      </c>
      <c r="W10" s="6">
        <f>COUNTIFS(
    tb_estq[empresa], $S10,
    tb_estq[Status],W$3)</f>
        <v>0</v>
      </c>
      <c r="X10" s="6">
        <f>COUNTIFS(
    tb_estq[empresa], $S10,
    tb_estq[Status],X$3)</f>
        <v>0</v>
      </c>
      <c r="Y10" s="6">
        <f>COUNTIFS(
    tb_estq[empresa], $S10,
    tb_estq[Status],Y$3
)
+COUNTIFS(
    tb_estq[empresa], $S10,
    tb_estq[Status],Z$3,
    tb_estq[Data da venda / reserva], "&gt;" &amp;inputs!$A$1
)</f>
        <v>0</v>
      </c>
      <c r="Z10" s="6">
        <f>COUNTIFS(
  tb_estq[empresa], $S10,
  tb_estq[Status],Z$3,
  tb_estq[Data da venda / reserva], "&lt;=" &amp;inputs!$A$1
)</f>
        <v>0</v>
      </c>
      <c r="AA10" s="9">
        <f t="shared" ref="AA10" si="6">SUM(T10:Z10)</f>
        <v>0</v>
      </c>
      <c r="AC10" s="1">
        <v>7</v>
      </c>
      <c r="AD10" s="6" t="s">
        <v>465</v>
      </c>
      <c r="AE10" s="6">
        <f>COUNTIF(unis.cruzado[empresa.ana], $AD10)</f>
        <v>0</v>
      </c>
      <c r="AF10" s="6">
        <f>COUNTIF(unis.cruzado[empresa.ik], $AD10)</f>
        <v>0</v>
      </c>
      <c r="AG10" s="6">
        <f>COUNTIFS(
    unis.cruzado[checar], "VERDADEIRO",
    unis.cruzado[empresa.ik],$AD10
)</f>
        <v>0</v>
      </c>
      <c r="AH10" s="467" t="str">
        <f t="shared" si="3"/>
        <v/>
      </c>
      <c r="AI10" s="6">
        <f>COUNTIFS(
    unis.cruzado[empresa.ana], $AD10,
    unis.cruzado[status.p.ana], "3"
)</f>
        <v>0</v>
      </c>
      <c r="AJ10" s="6">
        <f>COUNTIFS(
    unis.cruzado[empresa.ik], $AD10,
    unis.cruzado[status.p.ik], "3"
)</f>
        <v>0</v>
      </c>
      <c r="AK10" s="471">
        <f ca="1">SUMIFS(unis.cruzado[Preço Tab.],
  unis.cruzado[empresa.ana], $AD10,
  unis.cruzado[status.p.ana], "3"
)</f>
        <v>0</v>
      </c>
      <c r="AL10" s="471">
        <f ca="1">SUMIFS(unis.cruzado[Preço Tab.],
  unis.cruzado[empresa.ik], $AD10,
  unis.cruzado[status.p.ik], "3"
)</f>
        <v>0</v>
      </c>
      <c r="AM10" s="471">
        <f t="shared" ca="1" si="4"/>
        <v>0</v>
      </c>
    </row>
    <row r="11" spans="1:39" x14ac:dyDescent="0.25">
      <c r="A11" s="22" t="s">
        <v>8</v>
      </c>
      <c r="B11" s="466" t="s">
        <v>59</v>
      </c>
      <c r="C11" s="23"/>
      <c r="D11" s="23"/>
      <c r="E11" s="23"/>
      <c r="F11" s="23"/>
      <c r="G11" s="25"/>
      <c r="H11" s="41">
        <f t="shared" si="1"/>
        <v>0</v>
      </c>
      <c r="I11" s="42">
        <f t="shared" si="2"/>
        <v>0</v>
      </c>
      <c r="J11" s="27"/>
      <c r="K11" s="23"/>
      <c r="L11" s="23"/>
      <c r="M11" s="23"/>
      <c r="N11" s="23"/>
      <c r="O11" s="23"/>
      <c r="P11" s="24"/>
      <c r="R11" s="1">
        <v>8</v>
      </c>
      <c r="S11" s="6" t="s">
        <v>12</v>
      </c>
      <c r="T11" s="6">
        <f>COUNTIFS(
    tb_estq[empresa], $S11,
    tb_estq[Status],T$3)</f>
        <v>0</v>
      </c>
      <c r="U11" s="6">
        <f>COUNTIFS(
    tb_estq[empresa], $S11,
    tb_estq[Status],U$3)</f>
        <v>0</v>
      </c>
      <c r="V11" s="6">
        <f>COUNTIFS(
    tb_estq[empresa], $S11,
    tb_estq[Status],V$3)</f>
        <v>0</v>
      </c>
      <c r="W11" s="6">
        <f>COUNTIFS(
    tb_estq[empresa], $S11,
    tb_estq[Status],W$3)</f>
        <v>0</v>
      </c>
      <c r="X11" s="6">
        <f>COUNTIFS(
    tb_estq[empresa], $S11,
    tb_estq[Status],X$3)</f>
        <v>0</v>
      </c>
      <c r="Y11" s="6">
        <f>COUNTIFS(
    tb_estq[empresa], $S11,
    tb_estq[Status],Y$3
)
+COUNTIFS(
    tb_estq[empresa], $S11,
    tb_estq[Status],Z$3,
    tb_estq[Data da venda / reserva], "&gt;" &amp;inputs!$A$1
)</f>
        <v>0</v>
      </c>
      <c r="Z11" s="6">
        <f>COUNTIFS(
  tb_estq[empresa], $S11,
  tb_estq[Status],Z$3,
  tb_estq[Data da venda / reserva], "&lt;=" &amp;inputs!$A$1
)</f>
        <v>0</v>
      </c>
      <c r="AA11" s="9">
        <f>SUM(T11:Z11)</f>
        <v>0</v>
      </c>
      <c r="AC11" s="1">
        <v>8</v>
      </c>
      <c r="AD11" s="6" t="s">
        <v>12</v>
      </c>
      <c r="AE11" s="6">
        <f>COUNTIF(unis.cruzado[empresa.ana], $AD11)</f>
        <v>0</v>
      </c>
      <c r="AF11" s="6">
        <f>COUNTIF(unis.cruzado[empresa.ik], $AD11)</f>
        <v>0</v>
      </c>
      <c r="AG11" s="6">
        <f>COUNTIFS(
    unis.cruzado[checar], "VERDADEIRO",
    unis.cruzado[empresa.ik],$AD11
)</f>
        <v>0</v>
      </c>
      <c r="AH11" s="467" t="str">
        <f t="shared" si="3"/>
        <v/>
      </c>
      <c r="AI11" s="6">
        <f>COUNTIFS(
    unis.cruzado[empresa.ana], $AD11,
    unis.cruzado[status.p.ana], "3"
)</f>
        <v>0</v>
      </c>
      <c r="AJ11" s="6">
        <f>COUNTIFS(
    unis.cruzado[empresa.ik], $AD11,
    unis.cruzado[status.p.ik], "3"
)</f>
        <v>0</v>
      </c>
      <c r="AK11" s="471">
        <f ca="1">SUMIFS(unis.cruzado[Preço Tab.],
  unis.cruzado[empresa.ana], $AD11,
  unis.cruzado[status.p.ana], "3"
)</f>
        <v>0</v>
      </c>
      <c r="AL11" s="471">
        <f ca="1">SUMIFS(unis.cruzado[Preço Tab.],
  unis.cruzado[empresa.ik], $AD11,
  unis.cruzado[status.p.ik], "3"
)</f>
        <v>0</v>
      </c>
      <c r="AM11" s="471">
        <f t="shared" ca="1" si="4"/>
        <v>0</v>
      </c>
    </row>
    <row r="12" spans="1:39" x14ac:dyDescent="0.25">
      <c r="A12" s="2" t="s">
        <v>673</v>
      </c>
      <c r="B12" s="464" t="s">
        <v>30</v>
      </c>
      <c r="C12" s="3">
        <f>T6</f>
        <v>0</v>
      </c>
      <c r="D12" s="3">
        <f>U6+V6</f>
        <v>0</v>
      </c>
      <c r="E12" s="3">
        <f>Y6</f>
        <v>0</v>
      </c>
      <c r="F12" s="3">
        <f>W6+X6</f>
        <v>0</v>
      </c>
      <c r="G12" s="18">
        <f>Z6</f>
        <v>0</v>
      </c>
      <c r="H12" s="37">
        <f>SUM(C12:G12)</f>
        <v>0</v>
      </c>
      <c r="I12" s="38">
        <f>H12-C12</f>
        <v>0</v>
      </c>
      <c r="J12" s="36">
        <f>COUNTIFS(
    tb_estq[empresa], $A12,
    tb_estq[especie],J$3
)</f>
        <v>0</v>
      </c>
      <c r="K12" s="3">
        <f>COUNTIFS(
    tb_estq[empresa], $A12,
    tb_estq[especie],K$3
)</f>
        <v>0</v>
      </c>
      <c r="L12" s="3">
        <f>COUNTIFS(
    tb_estq[empresa], $A12,
    tb_estq[especie],L$3
)</f>
        <v>0</v>
      </c>
      <c r="M12" s="3"/>
      <c r="N12" s="3"/>
      <c r="O12" s="3"/>
      <c r="P12" s="4"/>
      <c r="R12" s="1">
        <v>9</v>
      </c>
      <c r="S12" s="6" t="s">
        <v>13</v>
      </c>
      <c r="T12" s="6">
        <f>COUNTIFS(
    tb_estq[empresa], $S12,
    tb_estq[Status],T$3)</f>
        <v>0</v>
      </c>
      <c r="U12" s="6">
        <f>COUNTIFS(
    tb_estq[empresa], $S12,
    tb_estq[Status],U$3)</f>
        <v>0</v>
      </c>
      <c r="V12" s="6">
        <f>COUNTIFS(
    tb_estq[empresa], $S12,
    tb_estq[Status],V$3)</f>
        <v>0</v>
      </c>
      <c r="W12" s="6">
        <f>COUNTIFS(
    tb_estq[empresa], $S12,
    tb_estq[Status],W$3)</f>
        <v>0</v>
      </c>
      <c r="X12" s="6">
        <f>COUNTIFS(
    tb_estq[empresa], $S12,
    tb_estq[Status],X$3)</f>
        <v>0</v>
      </c>
      <c r="Y12" s="6">
        <f>COUNTIFS(
    tb_estq[empresa], $S12,
    tb_estq[Status],Y$3
)
+COUNTIFS(
    tb_estq[empresa], $S12,
    tb_estq[Status],Z$3,
    tb_estq[Data da venda / reserva], "&gt;" &amp;inputs!$A$1
)</f>
        <v>0</v>
      </c>
      <c r="Z12" s="6">
        <f>COUNTIFS(
  tb_estq[empresa], $S12,
  tb_estq[Status],Z$3,
  tb_estq[Data da venda / reserva], "&lt;=" &amp;inputs!$A$1
)</f>
        <v>0</v>
      </c>
      <c r="AA12" s="9">
        <f>SUM(T12:Z12)</f>
        <v>0</v>
      </c>
      <c r="AC12" s="1">
        <v>9</v>
      </c>
      <c r="AD12" s="6" t="s">
        <v>13</v>
      </c>
      <c r="AE12" s="6">
        <f>COUNTIF(unis.cruzado[empresa.ana], $AD12)</f>
        <v>0</v>
      </c>
      <c r="AF12" s="6">
        <f>COUNTIF(unis.cruzado[empresa.ik], $AD12)</f>
        <v>0</v>
      </c>
      <c r="AG12" s="6">
        <f>COUNTIFS(
    unis.cruzado[checar], "VERDADEIRO",
    unis.cruzado[empresa.ik],$AD12
)</f>
        <v>0</v>
      </c>
      <c r="AH12" s="467" t="str">
        <f t="shared" si="3"/>
        <v/>
      </c>
      <c r="AI12" s="6">
        <f>COUNTIFS(
    unis.cruzado[empresa.ana], $AD12,
    unis.cruzado[status.p.ana], "3"
)</f>
        <v>0</v>
      </c>
      <c r="AJ12" s="6">
        <f>COUNTIFS(
    unis.cruzado[empresa.ik], $AD12,
    unis.cruzado[status.p.ik], "3"
)</f>
        <v>0</v>
      </c>
      <c r="AK12" s="471">
        <f ca="1">SUMIFS(unis.cruzado[Preço Tab.],
  unis.cruzado[empresa.ana], $AD12,
  unis.cruzado[status.p.ana], "3"
)</f>
        <v>0</v>
      </c>
      <c r="AL12" s="471">
        <f ca="1">SUMIFS(unis.cruzado[Preço Tab.],
  unis.cruzado[empresa.ik], $AD12,
  unis.cruzado[status.p.ik], "3"
)</f>
        <v>0</v>
      </c>
      <c r="AM12" s="471">
        <f t="shared" ca="1" si="4"/>
        <v>0</v>
      </c>
    </row>
    <row r="13" spans="1:39" x14ac:dyDescent="0.25">
      <c r="A13" s="20" t="s">
        <v>673</v>
      </c>
      <c r="B13" s="465" t="s">
        <v>29</v>
      </c>
      <c r="C13" s="21">
        <f>COUNTIFS(
    tb_unis[empresa], $A15,
    tb_unis[situacao], C$3
)</f>
        <v>0</v>
      </c>
      <c r="D13" s="21">
        <f>COUNTIFS(
    tb_unis[empresa], $A15,
    tb_unis[situacao], D$3
)</f>
        <v>0</v>
      </c>
      <c r="E13" s="21">
        <f>COUNTIFS(
    tb_unis[empresa], $A13,
    tb_unis[situacao], E$3
)
+COUNTIFS(
    tb_unis[empresa], $A13,
    tb_unis[situacao], G$3,
    tb_unis[data], "&gt;" &amp;inputs!$A$1
)</f>
        <v>0</v>
      </c>
      <c r="F13" s="21">
        <f>COUNTIFS(
    tb_unis[empresa], $A13,
    tb_unis[situacao], F$3
)</f>
        <v>0</v>
      </c>
      <c r="G13" s="19">
        <f>COUNTIFS(
    tb_unis[empresa], $A13,
    tb_unis[situacao], G$3,
    tb_unis[data], "&lt;=" &amp;inputs!$A$1
)</f>
        <v>0</v>
      </c>
      <c r="H13" s="39">
        <f>SUM(C13:G13)</f>
        <v>0</v>
      </c>
      <c r="I13" s="40">
        <f>H13-C13</f>
        <v>0</v>
      </c>
      <c r="J13" s="26">
        <f>COUNTIFS(
    tb_unis[empresa], $A13,
    tb_unis[especie],J$3
)</f>
        <v>0</v>
      </c>
      <c r="K13" s="21">
        <f>COUNTIFS(
    tb_unis[empresa], $A13,
    tb_unis[especie],K$3
)</f>
        <v>0</v>
      </c>
      <c r="L13" s="21">
        <f>COUNTIFS(
    tb_unis[empresa], $A13,
    tb_unis[especie],L$3
)
+COUNTIFS(
    tb_unis[empresa], $A13,
    tb_unis[especie],"Moto"
)</f>
        <v>0</v>
      </c>
      <c r="M13" s="21"/>
      <c r="N13" s="21"/>
      <c r="O13" s="21"/>
      <c r="P13" s="17"/>
      <c r="S13" s="10" t="s">
        <v>25</v>
      </c>
      <c r="T13" s="9">
        <f t="shared" ref="T13:Z13" si="7">SUM(T4:T12)</f>
        <v>0</v>
      </c>
      <c r="U13" s="9">
        <f t="shared" si="7"/>
        <v>0</v>
      </c>
      <c r="V13" s="9">
        <f t="shared" si="7"/>
        <v>0</v>
      </c>
      <c r="W13" s="9">
        <f t="shared" si="7"/>
        <v>0</v>
      </c>
      <c r="X13" s="9">
        <f t="shared" si="7"/>
        <v>0</v>
      </c>
      <c r="Y13" s="9">
        <f t="shared" si="7"/>
        <v>0</v>
      </c>
      <c r="Z13" s="9">
        <f t="shared" si="7"/>
        <v>0</v>
      </c>
      <c r="AA13" s="9">
        <f>SUM(T13:Z13)</f>
        <v>0</v>
      </c>
      <c r="AD13" s="10" t="s">
        <v>25</v>
      </c>
      <c r="AE13" s="10">
        <f>SUM(AE4:AE12)</f>
        <v>0</v>
      </c>
      <c r="AF13" s="10">
        <f>SUM(AF4:AF12)</f>
        <v>0</v>
      </c>
      <c r="AG13" s="10">
        <f>SUM(AG4:AG12)</f>
        <v>0</v>
      </c>
      <c r="AH13" s="10"/>
      <c r="AI13" s="10">
        <f t="shared" ref="AI13:AL13" si="8">SUM(AI4:AI12)</f>
        <v>0</v>
      </c>
      <c r="AJ13" s="10">
        <f t="shared" si="8"/>
        <v>0</v>
      </c>
      <c r="AK13" s="472">
        <f t="shared" ca="1" si="8"/>
        <v>0</v>
      </c>
      <c r="AL13" s="472">
        <f t="shared" ca="1" si="8"/>
        <v>0</v>
      </c>
      <c r="AM13" s="472">
        <f ca="1">SUM(AM4:AM12)</f>
        <v>0</v>
      </c>
    </row>
    <row r="14" spans="1:39" x14ac:dyDescent="0.25">
      <c r="A14" s="20" t="s">
        <v>673</v>
      </c>
      <c r="B14" s="465" t="s">
        <v>32</v>
      </c>
      <c r="C14" s="56"/>
      <c r="D14" s="56"/>
      <c r="E14" s="56"/>
      <c r="F14" s="56"/>
      <c r="G14" s="57"/>
      <c r="H14" s="39">
        <f>SUM(C14:G14)</f>
        <v>0</v>
      </c>
      <c r="I14" s="40">
        <f>H14-C14</f>
        <v>0</v>
      </c>
      <c r="J14" s="58"/>
      <c r="K14" s="56"/>
      <c r="L14" s="56"/>
      <c r="M14" s="56"/>
      <c r="N14" s="56"/>
      <c r="O14" s="56"/>
      <c r="P14" s="59"/>
    </row>
    <row r="15" spans="1:39" x14ac:dyDescent="0.25">
      <c r="A15" s="22" t="s">
        <v>673</v>
      </c>
      <c r="B15" s="466" t="s">
        <v>59</v>
      </c>
      <c r="C15" s="23"/>
      <c r="D15" s="23"/>
      <c r="E15" s="23"/>
      <c r="F15" s="23"/>
      <c r="G15" s="25"/>
      <c r="H15" s="41">
        <f t="shared" ref="H15:H27" si="9">SUM(C15:G15)</f>
        <v>0</v>
      </c>
      <c r="I15" s="42">
        <f t="shared" ref="I15:I27" si="10">H15-C15</f>
        <v>0</v>
      </c>
      <c r="J15" s="27"/>
      <c r="K15" s="23"/>
      <c r="L15" s="23"/>
      <c r="M15" s="23"/>
      <c r="N15" s="23"/>
      <c r="O15" s="23"/>
      <c r="P15" s="24"/>
    </row>
    <row r="16" spans="1:39" x14ac:dyDescent="0.25">
      <c r="A16" s="2" t="s">
        <v>9</v>
      </c>
      <c r="B16" s="464" t="s">
        <v>30</v>
      </c>
      <c r="C16" s="3">
        <f>T7</f>
        <v>0</v>
      </c>
      <c r="D16" s="3">
        <f>U7+V7</f>
        <v>0</v>
      </c>
      <c r="E16" s="3">
        <f>Y7</f>
        <v>0</v>
      </c>
      <c r="F16" s="3">
        <f>W7+X7</f>
        <v>0</v>
      </c>
      <c r="G16" s="18">
        <f>Z7</f>
        <v>0</v>
      </c>
      <c r="H16" s="37">
        <f t="shared" si="9"/>
        <v>0</v>
      </c>
      <c r="I16" s="38">
        <f t="shared" si="10"/>
        <v>0</v>
      </c>
      <c r="J16" s="36">
        <f>COUNTIFS(
    tb_estq[empresa], $A16,
    tb_estq[especie],J$3
)</f>
        <v>0</v>
      </c>
      <c r="K16" s="3">
        <f>COUNTIFS(
    tb_estq[empresa], $A16,
    tb_estq[especie],K$3
)</f>
        <v>0</v>
      </c>
      <c r="L16" s="3">
        <f>COUNTIFS(
    tb_estq[empresa], $A16,
    tb_estq[especie],L$3
)</f>
        <v>0</v>
      </c>
      <c r="M16" s="3"/>
      <c r="N16" s="3"/>
      <c r="O16" s="3"/>
      <c r="P16" s="4"/>
    </row>
    <row r="17" spans="1:16" x14ac:dyDescent="0.25">
      <c r="A17" s="20" t="s">
        <v>9</v>
      </c>
      <c r="B17" s="465" t="s">
        <v>29</v>
      </c>
      <c r="C17" s="21">
        <f>COUNTIFS(
    tb_unis[empresa], $A19,
    tb_unis[situacao], C$3
)</f>
        <v>0</v>
      </c>
      <c r="D17" s="21">
        <f>COUNTIFS(
    tb_unis[empresa], $A19,
    tb_unis[situacao], D$3
)</f>
        <v>0</v>
      </c>
      <c r="E17" s="21">
        <f>COUNTIFS(
    tb_unis[empresa], $A17,
    tb_unis[situacao], E$3
)
+COUNTIFS(
    tb_unis[empresa], $A17,
    tb_unis[situacao], G$3,
    tb_unis[data], "&gt;" &amp;inputs!$A$1
)</f>
        <v>0</v>
      </c>
      <c r="F17" s="21">
        <f>COUNTIFS(
    tb_unis[empresa], $A17,
    tb_unis[situacao], F$3
)</f>
        <v>0</v>
      </c>
      <c r="G17" s="19">
        <f>COUNTIFS(
    tb_unis[empresa], $A17,
    tb_unis[situacao], G$3,
    tb_unis[data], "&lt;=" &amp;inputs!$A$1
)</f>
        <v>0</v>
      </c>
      <c r="H17" s="39">
        <f t="shared" si="9"/>
        <v>0</v>
      </c>
      <c r="I17" s="40">
        <f t="shared" si="10"/>
        <v>0</v>
      </c>
      <c r="J17" s="26">
        <f>COUNTIFS(
    tb_unis[empresa], $A17,
    tb_unis[especie],J$3
)</f>
        <v>0</v>
      </c>
      <c r="K17" s="21">
        <f>COUNTIFS(
    tb_unis[empresa], $A17,
    tb_unis[especie],K$3
)</f>
        <v>0</v>
      </c>
      <c r="L17" s="21">
        <f>COUNTIFS(
    tb_unis[empresa], $A17,
    tb_unis[especie],L$3
)
+COUNTIFS(
    tb_unis[empresa], $A17,
    tb_unis[especie],"Moto"
)</f>
        <v>0</v>
      </c>
      <c r="M17" s="21"/>
      <c r="N17" s="21"/>
      <c r="O17" s="21"/>
      <c r="P17" s="17"/>
    </row>
    <row r="18" spans="1:16" x14ac:dyDescent="0.25">
      <c r="A18" s="20" t="s">
        <v>9</v>
      </c>
      <c r="B18" s="465" t="s">
        <v>32</v>
      </c>
      <c r="C18" s="56"/>
      <c r="D18" s="56"/>
      <c r="E18" s="56"/>
      <c r="F18" s="56"/>
      <c r="G18" s="57"/>
      <c r="H18" s="39">
        <f t="shared" si="9"/>
        <v>0</v>
      </c>
      <c r="I18" s="40">
        <f t="shared" si="10"/>
        <v>0</v>
      </c>
      <c r="J18" s="58"/>
      <c r="K18" s="56"/>
      <c r="L18" s="56"/>
      <c r="M18" s="56"/>
      <c r="N18" s="56"/>
      <c r="O18" s="56"/>
      <c r="P18" s="59"/>
    </row>
    <row r="19" spans="1:16" x14ac:dyDescent="0.25">
      <c r="A19" s="22" t="s">
        <v>9</v>
      </c>
      <c r="B19" s="466" t="s">
        <v>59</v>
      </c>
      <c r="C19" s="23"/>
      <c r="D19" s="23"/>
      <c r="E19" s="23"/>
      <c r="F19" s="23"/>
      <c r="G19" s="25"/>
      <c r="H19" s="41">
        <f t="shared" si="9"/>
        <v>0</v>
      </c>
      <c r="I19" s="42">
        <f t="shared" si="10"/>
        <v>0</v>
      </c>
      <c r="J19" s="27"/>
      <c r="K19" s="23"/>
      <c r="L19" s="23"/>
      <c r="M19" s="23"/>
      <c r="N19" s="23"/>
      <c r="O19" s="23"/>
      <c r="P19" s="24"/>
    </row>
    <row r="20" spans="1:16" x14ac:dyDescent="0.25">
      <c r="A20" s="2" t="s">
        <v>10</v>
      </c>
      <c r="B20" s="464" t="s">
        <v>30</v>
      </c>
      <c r="C20" s="3">
        <f>T8</f>
        <v>0</v>
      </c>
      <c r="D20" s="3">
        <f>U8+V8</f>
        <v>0</v>
      </c>
      <c r="E20" s="3">
        <f>Y8</f>
        <v>0</v>
      </c>
      <c r="F20" s="3">
        <f>W8+X8</f>
        <v>0</v>
      </c>
      <c r="G20" s="18">
        <f>Z8</f>
        <v>0</v>
      </c>
      <c r="H20" s="37">
        <f t="shared" si="9"/>
        <v>0</v>
      </c>
      <c r="I20" s="38">
        <f t="shared" si="10"/>
        <v>0</v>
      </c>
      <c r="J20" s="36">
        <f>COUNTIFS(
    tb_estq[empresa], $A20,
    tb_estq[especie],J$3
)</f>
        <v>0</v>
      </c>
      <c r="K20" s="3">
        <f>COUNTIFS(
    tb_estq[empresa], $A20,
    tb_estq[especie],K$3
)</f>
        <v>0</v>
      </c>
      <c r="L20" s="3">
        <f>COUNTIFS(
    tb_estq[empresa], $A20,
    tb_estq[especie],L$3
)</f>
        <v>0</v>
      </c>
      <c r="M20" s="3"/>
      <c r="N20" s="3"/>
      <c r="O20" s="3"/>
      <c r="P20" s="4"/>
    </row>
    <row r="21" spans="1:16" x14ac:dyDescent="0.25">
      <c r="A21" s="20" t="s">
        <v>10</v>
      </c>
      <c r="B21" s="465" t="s">
        <v>29</v>
      </c>
      <c r="C21" s="21">
        <f>COUNTIFS(
    tb_unis[empresa], $A23,
    tb_unis[situacao], C$3
)</f>
        <v>0</v>
      </c>
      <c r="D21" s="21">
        <f>COUNTIFS(
    tb_unis[empresa], $A23,
    tb_unis[situacao], D$3
)</f>
        <v>0</v>
      </c>
      <c r="E21" s="21">
        <f>COUNTIFS(
    tb_unis[empresa], $A21,
    tb_unis[situacao], E$3
)
+COUNTIFS(
    tb_unis[empresa], $A21,
    tb_unis[situacao], G$3,
    tb_unis[data], "&gt;" &amp;inputs!$A$1
)</f>
        <v>0</v>
      </c>
      <c r="F21" s="21">
        <f>COUNTIFS(
    tb_unis[empresa], $A21,
    tb_unis[situacao], F$3
)</f>
        <v>0</v>
      </c>
      <c r="G21" s="19">
        <f>COUNTIFS(
    tb_unis[empresa], $A21,
    tb_unis[situacao], G$3,
    tb_unis[data], "&lt;=" &amp;inputs!$A$1
)</f>
        <v>0</v>
      </c>
      <c r="H21" s="39">
        <f t="shared" si="9"/>
        <v>0</v>
      </c>
      <c r="I21" s="40">
        <f t="shared" si="10"/>
        <v>0</v>
      </c>
      <c r="J21" s="26">
        <f>COUNTIFS(
    tb_unis[empresa], $A21,
    tb_unis[especie],J$3
)</f>
        <v>0</v>
      </c>
      <c r="K21" s="21">
        <f>COUNTIFS(
    tb_unis[empresa], $A21,
    tb_unis[especie],K$3
)</f>
        <v>0</v>
      </c>
      <c r="L21" s="21">
        <f>COUNTIFS(
    tb_unis[empresa], $A21,
    tb_unis[especie],L$3
)
+COUNTIFS(
    tb_unis[empresa], $A21,
    tb_unis[especie],"Moto"
)</f>
        <v>0</v>
      </c>
      <c r="M21" s="21"/>
      <c r="N21" s="21"/>
      <c r="O21" s="21"/>
      <c r="P21" s="17"/>
    </row>
    <row r="22" spans="1:16" x14ac:dyDescent="0.25">
      <c r="A22" s="20" t="s">
        <v>10</v>
      </c>
      <c r="B22" s="465" t="s">
        <v>32</v>
      </c>
      <c r="C22" s="56"/>
      <c r="D22" s="56"/>
      <c r="E22" s="56"/>
      <c r="F22" s="56"/>
      <c r="G22" s="57"/>
      <c r="H22" s="39">
        <f t="shared" si="9"/>
        <v>0</v>
      </c>
      <c r="I22" s="40">
        <f t="shared" si="10"/>
        <v>0</v>
      </c>
      <c r="J22" s="58"/>
      <c r="K22" s="56"/>
      <c r="L22" s="56"/>
      <c r="M22" s="56"/>
      <c r="N22" s="56"/>
      <c r="O22" s="56"/>
      <c r="P22" s="59"/>
    </row>
    <row r="23" spans="1:16" x14ac:dyDescent="0.25">
      <c r="A23" s="22" t="s">
        <v>10</v>
      </c>
      <c r="B23" s="466" t="s">
        <v>59</v>
      </c>
      <c r="C23" s="23"/>
      <c r="D23" s="23"/>
      <c r="E23" s="23"/>
      <c r="F23" s="23"/>
      <c r="G23" s="25"/>
      <c r="H23" s="41">
        <f t="shared" si="9"/>
        <v>0</v>
      </c>
      <c r="I23" s="42">
        <f t="shared" si="10"/>
        <v>0</v>
      </c>
      <c r="J23" s="27"/>
      <c r="K23" s="23"/>
      <c r="L23" s="23"/>
      <c r="M23" s="23"/>
      <c r="N23" s="23"/>
      <c r="O23" s="23"/>
      <c r="P23" s="24"/>
    </row>
    <row r="24" spans="1:16" x14ac:dyDescent="0.25">
      <c r="A24" s="2" t="s">
        <v>11</v>
      </c>
      <c r="B24" s="464" t="s">
        <v>30</v>
      </c>
      <c r="C24" s="3">
        <f>T9</f>
        <v>0</v>
      </c>
      <c r="D24" s="3">
        <f>U9+V9</f>
        <v>0</v>
      </c>
      <c r="E24" s="3">
        <f>Y9</f>
        <v>0</v>
      </c>
      <c r="F24" s="3">
        <f>W9+X9</f>
        <v>0</v>
      </c>
      <c r="G24" s="18">
        <f>Z9</f>
        <v>0</v>
      </c>
      <c r="H24" s="37">
        <f t="shared" si="9"/>
        <v>0</v>
      </c>
      <c r="I24" s="38">
        <f t="shared" si="10"/>
        <v>0</v>
      </c>
      <c r="J24" s="36">
        <f>COUNTIFS(
    tb_estq[empresa], $A24,
    tb_estq[especie],J$3
)</f>
        <v>0</v>
      </c>
      <c r="K24" s="3">
        <f>COUNTIFS(
    tb_estq[empresa], $A24,
    tb_estq[especie],K$3
)</f>
        <v>0</v>
      </c>
      <c r="L24" s="3">
        <f>COUNTIFS(
    tb_estq[empresa], $A24,
    tb_estq[especie],L$3
)</f>
        <v>0</v>
      </c>
      <c r="M24" s="3"/>
      <c r="N24" s="3"/>
      <c r="O24" s="3"/>
      <c r="P24" s="4"/>
    </row>
    <row r="25" spans="1:16" x14ac:dyDescent="0.25">
      <c r="A25" s="20" t="s">
        <v>11</v>
      </c>
      <c r="B25" s="465" t="s">
        <v>29</v>
      </c>
      <c r="C25" s="21">
        <f>COUNTIFS(
    tb_unis[empresa], $A27,
    tb_unis[situacao], C$3
)</f>
        <v>0</v>
      </c>
      <c r="D25" s="21">
        <f>COUNTIFS(
    tb_unis[empresa], $A27,
    tb_unis[situacao], D$3
)</f>
        <v>0</v>
      </c>
      <c r="E25" s="21">
        <f>COUNTIFS(
    tb_unis[empresa], $A25,
    tb_unis[situacao], E$3
)
+COUNTIFS(
    tb_unis[empresa], $A25,
    tb_unis[situacao], G$3,
    tb_unis[data], "&gt;" &amp;inputs!$A$1
)</f>
        <v>0</v>
      </c>
      <c r="F25" s="21">
        <f>COUNTIFS(
    tb_unis[empresa], $A25,
    tb_unis[situacao], F$3
)</f>
        <v>0</v>
      </c>
      <c r="G25" s="19">
        <f>COUNTIFS(
    tb_unis[empresa], $A25,
    tb_unis[situacao], G$3,
    tb_unis[data], "&lt;=" &amp;inputs!$A$1
)</f>
        <v>0</v>
      </c>
      <c r="H25" s="39">
        <f t="shared" si="9"/>
        <v>0</v>
      </c>
      <c r="I25" s="40">
        <f t="shared" si="10"/>
        <v>0</v>
      </c>
      <c r="J25" s="26">
        <f>COUNTIFS(
    tb_unis[empresa], $A25,
    tb_unis[especie],J$3
)</f>
        <v>0</v>
      </c>
      <c r="K25" s="21">
        <f>COUNTIFS(
    tb_unis[empresa], $A25,
    tb_unis[especie],K$3
)</f>
        <v>0</v>
      </c>
      <c r="L25" s="21">
        <f>COUNTIFS(
    tb_unis[empresa], $A25,
    tb_unis[especie],L$3
)
+COUNTIFS(
    tb_unis[empresa], $A25,
    tb_unis[especie],"Moto"
)</f>
        <v>0</v>
      </c>
      <c r="M25" s="21"/>
      <c r="N25" s="21"/>
      <c r="O25" s="21"/>
      <c r="P25" s="17"/>
    </row>
    <row r="26" spans="1:16" x14ac:dyDescent="0.25">
      <c r="A26" s="20" t="s">
        <v>11</v>
      </c>
      <c r="B26" s="465" t="s">
        <v>32</v>
      </c>
      <c r="C26" s="56"/>
      <c r="D26" s="56"/>
      <c r="E26" s="56"/>
      <c r="F26" s="56"/>
      <c r="G26" s="57"/>
      <c r="H26" s="39">
        <f t="shared" si="9"/>
        <v>0</v>
      </c>
      <c r="I26" s="40">
        <f t="shared" si="10"/>
        <v>0</v>
      </c>
      <c r="J26" s="58"/>
      <c r="K26" s="56"/>
      <c r="L26" s="56"/>
      <c r="M26" s="56"/>
      <c r="N26" s="56"/>
      <c r="O26" s="56"/>
      <c r="P26" s="59"/>
    </row>
    <row r="27" spans="1:16" x14ac:dyDescent="0.25">
      <c r="A27" s="22" t="s">
        <v>11</v>
      </c>
      <c r="B27" s="466" t="s">
        <v>59</v>
      </c>
      <c r="C27" s="23"/>
      <c r="D27" s="23"/>
      <c r="E27" s="23"/>
      <c r="F27" s="23"/>
      <c r="G27" s="25"/>
      <c r="H27" s="41">
        <f t="shared" si="9"/>
        <v>0</v>
      </c>
      <c r="I27" s="42">
        <f t="shared" si="10"/>
        <v>0</v>
      </c>
      <c r="J27" s="27"/>
      <c r="K27" s="23"/>
      <c r="L27" s="23"/>
      <c r="M27" s="23"/>
      <c r="N27" s="23"/>
      <c r="O27" s="23"/>
      <c r="P27" s="24"/>
    </row>
    <row r="28" spans="1:16" x14ac:dyDescent="0.25">
      <c r="A28" s="2" t="s">
        <v>465</v>
      </c>
      <c r="B28" s="464" t="s">
        <v>30</v>
      </c>
      <c r="C28" s="3">
        <f>T10</f>
        <v>0</v>
      </c>
      <c r="D28" s="3">
        <f>U10+V10</f>
        <v>0</v>
      </c>
      <c r="E28" s="3">
        <f>Y10</f>
        <v>0</v>
      </c>
      <c r="F28" s="3">
        <f>W10+X10</f>
        <v>0</v>
      </c>
      <c r="G28" s="18">
        <f>Z10</f>
        <v>0</v>
      </c>
      <c r="H28" s="37">
        <f t="shared" ref="H28:H31" si="11">SUM(C28:G28)</f>
        <v>0</v>
      </c>
      <c r="I28" s="38">
        <f t="shared" ref="I28:I31" si="12">H28-C28</f>
        <v>0</v>
      </c>
      <c r="J28" s="36">
        <f>COUNTIFS(
    tb_estq[empresa], $A28,
    tb_estq[especie],J$3
)</f>
        <v>0</v>
      </c>
      <c r="K28" s="3">
        <f>COUNTIFS(
    tb_estq[empresa], $A28,
    tb_estq[especie],K$3
)</f>
        <v>0</v>
      </c>
      <c r="L28" s="3">
        <f>COUNTIFS(
    tb_estq[empresa], $A28,
    tb_estq[especie],L$3
)</f>
        <v>0</v>
      </c>
      <c r="M28" s="3"/>
      <c r="N28" s="3"/>
      <c r="O28" s="3"/>
      <c r="P28" s="4"/>
    </row>
    <row r="29" spans="1:16" x14ac:dyDescent="0.25">
      <c r="A29" s="20" t="s">
        <v>465</v>
      </c>
      <c r="B29" s="465" t="s">
        <v>29</v>
      </c>
      <c r="C29" s="21">
        <f>COUNTIFS(
    tb_unis[empresa], $A31,
    tb_unis[situacao], C$3
)</f>
        <v>0</v>
      </c>
      <c r="D29" s="21">
        <f>COUNTIFS(
    tb_unis[empresa], $A31,
    tb_unis[situacao], D$3
)</f>
        <v>0</v>
      </c>
      <c r="E29" s="21">
        <f>COUNTIFS(
    tb_unis[empresa], $A29,
    tb_unis[situacao], E$3
)
+COUNTIFS(
    tb_unis[empresa], $A29,
    tb_unis[situacao], G$3,
    tb_unis[data], "&gt;" &amp;inputs!$A$1
)</f>
        <v>0</v>
      </c>
      <c r="F29" s="21">
        <f>COUNTIFS(
    tb_unis[empresa], $A29,
    tb_unis[situacao], F$3
)</f>
        <v>0</v>
      </c>
      <c r="G29" s="19">
        <f>COUNTIFS(
    tb_unis[empresa], $A29,
    tb_unis[situacao], G$3,
    tb_unis[data], "&lt;=" &amp;inputs!$A$1
)</f>
        <v>0</v>
      </c>
      <c r="H29" s="39">
        <f t="shared" si="11"/>
        <v>0</v>
      </c>
      <c r="I29" s="40">
        <f t="shared" si="12"/>
        <v>0</v>
      </c>
      <c r="J29" s="26">
        <f>COUNTIFS(
    tb_unis[empresa], $A29,
    tb_unis[especie],J$3
)</f>
        <v>0</v>
      </c>
      <c r="K29" s="21">
        <f>COUNTIFS(
    tb_unis[empresa], $A29,
    tb_unis[especie],K$3
)</f>
        <v>0</v>
      </c>
      <c r="L29" s="21">
        <f>COUNTIFS(
    tb_unis[empresa], $A29,
    tb_unis[especie],L$3
)
+COUNTIFS(
    tb_unis[empresa], $A29,
    tb_unis[especie],"Moto"
)</f>
        <v>0</v>
      </c>
      <c r="M29" s="21"/>
      <c r="N29" s="21"/>
      <c r="O29" s="21"/>
      <c r="P29" s="17"/>
    </row>
    <row r="30" spans="1:16" x14ac:dyDescent="0.25">
      <c r="A30" s="20" t="s">
        <v>465</v>
      </c>
      <c r="B30" s="465" t="s">
        <v>32</v>
      </c>
      <c r="C30" s="56"/>
      <c r="D30" s="56"/>
      <c r="E30" s="56"/>
      <c r="F30" s="56"/>
      <c r="G30" s="57"/>
      <c r="H30" s="39">
        <f t="shared" ref="H30" si="13">SUM(C30:G30)</f>
        <v>0</v>
      </c>
      <c r="I30" s="40">
        <f t="shared" ref="I30" si="14">H30-C30</f>
        <v>0</v>
      </c>
      <c r="J30" s="58"/>
      <c r="K30" s="56"/>
      <c r="L30" s="56"/>
      <c r="M30" s="56"/>
      <c r="N30" s="56"/>
      <c r="O30" s="56"/>
      <c r="P30" s="59"/>
    </row>
    <row r="31" spans="1:16" x14ac:dyDescent="0.25">
      <c r="A31" s="22" t="s">
        <v>465</v>
      </c>
      <c r="B31" s="466" t="s">
        <v>59</v>
      </c>
      <c r="C31" s="23"/>
      <c r="D31" s="23"/>
      <c r="E31" s="23"/>
      <c r="F31" s="23"/>
      <c r="G31" s="25"/>
      <c r="H31" s="41">
        <f t="shared" si="11"/>
        <v>0</v>
      </c>
      <c r="I31" s="42">
        <f t="shared" si="12"/>
        <v>0</v>
      </c>
      <c r="J31" s="27"/>
      <c r="K31" s="23"/>
      <c r="L31" s="23"/>
      <c r="M31" s="23"/>
      <c r="N31" s="23"/>
      <c r="O31" s="23"/>
      <c r="P31" s="24"/>
    </row>
    <row r="32" spans="1:16" x14ac:dyDescent="0.25">
      <c r="A32" s="2" t="s">
        <v>12</v>
      </c>
      <c r="B32" s="464" t="s">
        <v>30</v>
      </c>
      <c r="C32" s="3">
        <f>T11</f>
        <v>0</v>
      </c>
      <c r="D32" s="3">
        <f>U11+V11</f>
        <v>0</v>
      </c>
      <c r="E32" s="3">
        <f>Y11</f>
        <v>0</v>
      </c>
      <c r="F32" s="3">
        <f>W11+X11</f>
        <v>0</v>
      </c>
      <c r="G32" s="18">
        <f>Z11</f>
        <v>0</v>
      </c>
      <c r="H32" s="37">
        <f t="shared" ref="H32:H39" si="15">SUM(C32:G32)</f>
        <v>0</v>
      </c>
      <c r="I32" s="38">
        <f t="shared" ref="I32:I39" si="16">H32-C32</f>
        <v>0</v>
      </c>
      <c r="J32" s="36">
        <f>COUNTIFS(
    tb_estq[empresa], $A32,
    tb_estq[especie],J$3
)</f>
        <v>0</v>
      </c>
      <c r="K32" s="3">
        <f>COUNTIFS(
    tb_estq[empresa], $A32,
    tb_estq[especie],K$3
)</f>
        <v>0</v>
      </c>
      <c r="L32" s="3">
        <f>COUNTIFS(
    tb_estq[empresa], $A32,
    tb_estq[especie],L$3
)</f>
        <v>0</v>
      </c>
      <c r="M32" s="3"/>
      <c r="N32" s="3"/>
      <c r="O32" s="3"/>
      <c r="P32" s="4"/>
    </row>
    <row r="33" spans="1:16" x14ac:dyDescent="0.25">
      <c r="A33" s="20" t="s">
        <v>12</v>
      </c>
      <c r="B33" s="465" t="s">
        <v>29</v>
      </c>
      <c r="C33" s="21">
        <f>COUNTIFS(
    tb_unis[empresa], $A35,
    tb_unis[situacao], C$3
)</f>
        <v>0</v>
      </c>
      <c r="D33" s="21">
        <f>COUNTIFS(
    tb_unis[empresa], $A35,
    tb_unis[situacao], D$3
)</f>
        <v>0</v>
      </c>
      <c r="E33" s="21">
        <f>COUNTIFS(
    tb_unis[empresa], $A33,
    tb_unis[situacao], E$3
)
+COUNTIFS(
    tb_unis[empresa], $A33,
    tb_unis[situacao], G$3,
    tb_unis[data], "&gt;" &amp;inputs!$A$1
)</f>
        <v>0</v>
      </c>
      <c r="F33" s="21">
        <f>COUNTIFS(
    tb_unis[empresa], $A33,
    tb_unis[situacao], F$3
)</f>
        <v>0</v>
      </c>
      <c r="G33" s="19">
        <f>COUNTIFS(
    tb_unis[empresa], $A33,
    tb_unis[situacao], G$3,
    tb_unis[data], "&lt;=" &amp;inputs!$A$1
)</f>
        <v>0</v>
      </c>
      <c r="H33" s="39">
        <f t="shared" si="15"/>
        <v>0</v>
      </c>
      <c r="I33" s="40">
        <f t="shared" si="16"/>
        <v>0</v>
      </c>
      <c r="J33" s="26">
        <f>COUNTIFS(
    tb_unis[empresa], $A33,
    tb_unis[especie],J$3
)</f>
        <v>0</v>
      </c>
      <c r="K33" s="21">
        <f>COUNTIFS(
    tb_unis[empresa], $A33,
    tb_unis[especie],K$3
)</f>
        <v>0</v>
      </c>
      <c r="L33" s="21">
        <f>COUNTIFS(
    tb_unis[empresa], $A33,
    tb_unis[especie],L$3
)
+COUNTIFS(
    tb_unis[empresa], $A33,
    tb_unis[especie],"Moto"
)</f>
        <v>0</v>
      </c>
      <c r="M33" s="21"/>
      <c r="N33" s="21"/>
      <c r="O33" s="21"/>
      <c r="P33" s="17"/>
    </row>
    <row r="34" spans="1:16" x14ac:dyDescent="0.25">
      <c r="A34" s="20" t="s">
        <v>12</v>
      </c>
      <c r="B34" s="465" t="s">
        <v>32</v>
      </c>
      <c r="C34" s="56"/>
      <c r="D34" s="56"/>
      <c r="E34" s="56"/>
      <c r="F34" s="56"/>
      <c r="G34" s="57"/>
      <c r="H34" s="39">
        <f t="shared" si="15"/>
        <v>0</v>
      </c>
      <c r="I34" s="40">
        <f t="shared" si="16"/>
        <v>0</v>
      </c>
      <c r="J34" s="58"/>
      <c r="K34" s="56"/>
      <c r="L34" s="56"/>
      <c r="M34" s="56"/>
      <c r="N34" s="56"/>
      <c r="O34" s="56"/>
      <c r="P34" s="59"/>
    </row>
    <row r="35" spans="1:16" x14ac:dyDescent="0.25">
      <c r="A35" s="22" t="s">
        <v>12</v>
      </c>
      <c r="B35" s="466" t="s">
        <v>59</v>
      </c>
      <c r="C35" s="23"/>
      <c r="D35" s="23"/>
      <c r="E35" s="23"/>
      <c r="F35" s="23"/>
      <c r="G35" s="25"/>
      <c r="H35" s="41">
        <f t="shared" si="15"/>
        <v>0</v>
      </c>
      <c r="I35" s="42">
        <f t="shared" si="16"/>
        <v>0</v>
      </c>
      <c r="J35" s="27"/>
      <c r="K35" s="23"/>
      <c r="L35" s="23"/>
      <c r="M35" s="23"/>
      <c r="N35" s="23"/>
      <c r="O35" s="23"/>
      <c r="P35" s="24"/>
    </row>
    <row r="36" spans="1:16" x14ac:dyDescent="0.25">
      <c r="A36" s="2" t="s">
        <v>13</v>
      </c>
      <c r="B36" s="464" t="s">
        <v>30</v>
      </c>
      <c r="C36" s="3">
        <f>T12</f>
        <v>0</v>
      </c>
      <c r="D36" s="3">
        <f>U12+V12</f>
        <v>0</v>
      </c>
      <c r="E36" s="3">
        <f>Y12</f>
        <v>0</v>
      </c>
      <c r="F36" s="3">
        <f>W12+X12</f>
        <v>0</v>
      </c>
      <c r="G36" s="18">
        <f>Z12</f>
        <v>0</v>
      </c>
      <c r="H36" s="37">
        <f t="shared" si="15"/>
        <v>0</v>
      </c>
      <c r="I36" s="38">
        <f t="shared" si="16"/>
        <v>0</v>
      </c>
      <c r="J36" s="36">
        <f>COUNTIFS(
    tb_estq[empresa], $A36,
    tb_estq[especie],J$3
)</f>
        <v>0</v>
      </c>
      <c r="K36" s="3">
        <f>COUNTIFS(
    tb_estq[empresa], $A36,
    tb_estq[especie],K$3
)</f>
        <v>0</v>
      </c>
      <c r="L36" s="3">
        <f>COUNTIFS(
    tb_estq[empresa], $A36,
    tb_estq[especie],L$3
)</f>
        <v>0</v>
      </c>
      <c r="M36" s="3"/>
      <c r="N36" s="3"/>
      <c r="O36" s="3"/>
      <c r="P36" s="4"/>
    </row>
    <row r="37" spans="1:16" x14ac:dyDescent="0.25">
      <c r="A37" s="20" t="s">
        <v>13</v>
      </c>
      <c r="B37" s="465" t="s">
        <v>29</v>
      </c>
      <c r="C37" s="21">
        <f>COUNTIFS(
    tb_unis[empresa], $A39,
    tb_unis[situacao], C$3
)</f>
        <v>0</v>
      </c>
      <c r="D37" s="21">
        <f>COUNTIFS(
    tb_unis[empresa], $A39,
    tb_unis[situacao], D$3
)</f>
        <v>0</v>
      </c>
      <c r="E37" s="21">
        <f>COUNTIFS(
    tb_unis[empresa], $A37,
    tb_unis[situacao], E$3
)
+COUNTIFS(
    tb_unis[empresa], $A37,
    tb_unis[situacao], G$3,
    tb_unis[data], "&gt;" &amp;inputs!$A$1
)</f>
        <v>0</v>
      </c>
      <c r="F37" s="21">
        <f>COUNTIFS(
    tb_unis[empresa], $A37,
    tb_unis[situacao], F$3
)</f>
        <v>0</v>
      </c>
      <c r="G37" s="19">
        <f>COUNTIFS(
    tb_unis[empresa], $A37,
    tb_unis[situacao], G$3,
    tb_unis[data], "&lt;=" &amp;inputs!$A$1
)</f>
        <v>0</v>
      </c>
      <c r="H37" s="39">
        <f t="shared" si="15"/>
        <v>0</v>
      </c>
      <c r="I37" s="40">
        <f t="shared" si="16"/>
        <v>0</v>
      </c>
      <c r="J37" s="26">
        <f>COUNTIFS(
    tb_unis[empresa], $A37,
    tb_unis[especie],J$3
)</f>
        <v>0</v>
      </c>
      <c r="K37" s="21">
        <f>COUNTIFS(
    tb_unis[empresa], $A37,
    tb_unis[especie],K$3
)</f>
        <v>0</v>
      </c>
      <c r="L37" s="21">
        <f>COUNTIFS(
    tb_unis[empresa], $A37,
    tb_unis[especie],L$3
)
+COUNTIFS(
    tb_unis[empresa], $A37,
    tb_unis[especie],"Moto"
)</f>
        <v>0</v>
      </c>
      <c r="M37" s="21"/>
      <c r="N37" s="21"/>
      <c r="O37" s="21"/>
      <c r="P37" s="17"/>
    </row>
    <row r="38" spans="1:16" x14ac:dyDescent="0.25">
      <c r="A38" s="20" t="s">
        <v>13</v>
      </c>
      <c r="B38" s="465" t="s">
        <v>32</v>
      </c>
      <c r="C38" s="56"/>
      <c r="D38" s="56"/>
      <c r="E38" s="56"/>
      <c r="F38" s="56"/>
      <c r="G38" s="57"/>
      <c r="H38" s="39">
        <f t="shared" si="15"/>
        <v>0</v>
      </c>
      <c r="I38" s="40">
        <f t="shared" si="16"/>
        <v>0</v>
      </c>
      <c r="J38" s="58"/>
      <c r="K38" s="56"/>
      <c r="L38" s="56"/>
      <c r="M38" s="56"/>
      <c r="N38" s="56"/>
      <c r="O38" s="56"/>
      <c r="P38" s="59"/>
    </row>
    <row r="39" spans="1:16" ht="15.75" thickBot="1" x14ac:dyDescent="0.3">
      <c r="A39" s="22" t="s">
        <v>13</v>
      </c>
      <c r="B39" s="466" t="s">
        <v>59</v>
      </c>
      <c r="C39" s="23"/>
      <c r="D39" s="23"/>
      <c r="E39" s="23"/>
      <c r="F39" s="23"/>
      <c r="G39" s="25"/>
      <c r="H39" s="43">
        <f t="shared" si="15"/>
        <v>0</v>
      </c>
      <c r="I39" s="44">
        <f t="shared" si="16"/>
        <v>0</v>
      </c>
      <c r="J39" s="27"/>
      <c r="K39" s="23"/>
      <c r="L39" s="23"/>
      <c r="M39" s="23"/>
      <c r="N39" s="23"/>
      <c r="O39" s="23"/>
      <c r="P39" s="24"/>
    </row>
    <row r="40" spans="1:16" ht="15.75" thickTop="1" x14ac:dyDescent="0.25"/>
  </sheetData>
  <pageMargins left="0.511811024" right="0.511811024" top="0.78740157499999996" bottom="0.78740157499999996" header="0.31496062000000002" footer="0.31496062000000002"/>
  <ignoredErrors>
    <ignoredError sqref="E4 E8 E12 E16 E20 E24 E28 E32 E36 Y4:Y12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E49C-6FDB-46C8-96AF-F4ACF5DCC4EA}">
  <sheetPr>
    <tabColor theme="3" tint="9.9978637043366805E-2"/>
  </sheetPr>
  <dimension ref="A1:DV1"/>
  <sheetViews>
    <sheetView showGridLines="0" workbookViewId="0"/>
  </sheetViews>
  <sheetFormatPr defaultRowHeight="15" x14ac:dyDescent="0.25"/>
  <sheetData>
    <row r="1" spans="1:126" x14ac:dyDescent="0.25">
      <c r="A1" t="s">
        <v>187</v>
      </c>
      <c r="B1" t="s">
        <v>68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s="15" t="s">
        <v>182</v>
      </c>
      <c r="P1" s="16" t="s">
        <v>200</v>
      </c>
      <c r="Q1" t="s">
        <v>70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106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  <c r="BI1" t="s">
        <v>115</v>
      </c>
      <c r="BJ1" t="s">
        <v>116</v>
      </c>
      <c r="BK1" t="s">
        <v>117</v>
      </c>
      <c r="BL1" t="s">
        <v>118</v>
      </c>
      <c r="BM1" t="s">
        <v>119</v>
      </c>
      <c r="BN1" t="s">
        <v>120</v>
      </c>
      <c r="BO1" t="s">
        <v>121</v>
      </c>
      <c r="BP1" t="s">
        <v>122</v>
      </c>
      <c r="BQ1" t="s">
        <v>123</v>
      </c>
      <c r="BR1" t="s">
        <v>124</v>
      </c>
      <c r="BS1" t="s">
        <v>125</v>
      </c>
      <c r="BT1" t="s">
        <v>126</v>
      </c>
      <c r="BU1" t="s">
        <v>127</v>
      </c>
      <c r="BV1" t="s">
        <v>128</v>
      </c>
      <c r="BW1" t="s">
        <v>129</v>
      </c>
      <c r="BX1" t="s">
        <v>130</v>
      </c>
      <c r="BY1" t="s">
        <v>131</v>
      </c>
      <c r="BZ1" t="s">
        <v>132</v>
      </c>
      <c r="CA1" t="s">
        <v>133</v>
      </c>
      <c r="CB1" t="s">
        <v>134</v>
      </c>
      <c r="CC1" t="s">
        <v>135</v>
      </c>
      <c r="CD1" t="s">
        <v>136</v>
      </c>
      <c r="CE1" t="s">
        <v>137</v>
      </c>
      <c r="CF1" t="s">
        <v>138</v>
      </c>
      <c r="CG1" t="s">
        <v>139</v>
      </c>
      <c r="CH1" t="s">
        <v>140</v>
      </c>
      <c r="CI1" t="s">
        <v>141</v>
      </c>
      <c r="CJ1" t="s">
        <v>142</v>
      </c>
      <c r="CK1" t="s">
        <v>143</v>
      </c>
      <c r="CL1" t="s">
        <v>144</v>
      </c>
      <c r="CM1" t="s">
        <v>145</v>
      </c>
      <c r="CN1" t="s">
        <v>146</v>
      </c>
      <c r="CO1" t="s">
        <v>147</v>
      </c>
      <c r="CP1" t="s">
        <v>148</v>
      </c>
      <c r="CQ1" t="s">
        <v>149</v>
      </c>
      <c r="CR1" t="s">
        <v>150</v>
      </c>
      <c r="CS1" t="s">
        <v>151</v>
      </c>
      <c r="CT1" t="s">
        <v>152</v>
      </c>
      <c r="CU1" t="s">
        <v>153</v>
      </c>
      <c r="CV1" t="s">
        <v>154</v>
      </c>
      <c r="CW1" t="s">
        <v>155</v>
      </c>
      <c r="CX1" t="s">
        <v>156</v>
      </c>
      <c r="CY1" t="s">
        <v>157</v>
      </c>
      <c r="CZ1" t="s">
        <v>158</v>
      </c>
      <c r="DA1" t="s">
        <v>159</v>
      </c>
      <c r="DB1" t="s">
        <v>160</v>
      </c>
      <c r="DC1" t="s">
        <v>161</v>
      </c>
      <c r="DD1" t="s">
        <v>162</v>
      </c>
      <c r="DE1" t="s">
        <v>163</v>
      </c>
      <c r="DF1" t="s">
        <v>164</v>
      </c>
      <c r="DG1" t="s">
        <v>165</v>
      </c>
      <c r="DH1" t="s">
        <v>166</v>
      </c>
      <c r="DI1" t="s">
        <v>167</v>
      </c>
      <c r="DJ1" t="s">
        <v>168</v>
      </c>
      <c r="DK1" t="s">
        <v>169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078A-60FB-4701-BF82-0728EC5FCACC}">
  <sheetPr>
    <tabColor theme="3" tint="0.749992370372631"/>
  </sheetPr>
  <dimension ref="A1:H1"/>
  <sheetViews>
    <sheetView showGridLines="0" workbookViewId="0">
      <selection activeCell="H2" sqref="H2"/>
    </sheetView>
  </sheetViews>
  <sheetFormatPr defaultRowHeight="15" x14ac:dyDescent="0.25"/>
  <cols>
    <col min="2" max="2" width="11" customWidth="1"/>
    <col min="3" max="3" width="9.28515625" customWidth="1"/>
    <col min="4" max="5" width="25.7109375" customWidth="1"/>
    <col min="6" max="6" width="16.7109375" customWidth="1"/>
    <col min="8" max="8" width="9.85546875" customWidth="1"/>
  </cols>
  <sheetData>
    <row r="1" spans="1:8" x14ac:dyDescent="0.25">
      <c r="A1" s="378" t="s">
        <v>899</v>
      </c>
      <c r="B1" s="378" t="s">
        <v>68</v>
      </c>
      <c r="C1" s="378" t="s">
        <v>309</v>
      </c>
      <c r="D1" s="378" t="s">
        <v>296</v>
      </c>
      <c r="E1" s="378" t="s">
        <v>303</v>
      </c>
      <c r="F1" s="378" t="s">
        <v>292</v>
      </c>
      <c r="G1" s="378" t="s">
        <v>901</v>
      </c>
      <c r="H1" s="378" t="s">
        <v>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9C51-A285-493F-801C-0BD962E90A47}">
  <sheetPr>
    <tabColor theme="3" tint="0.749992370372631"/>
  </sheetPr>
  <dimension ref="A1:G1"/>
  <sheetViews>
    <sheetView showGridLines="0" workbookViewId="0">
      <selection activeCell="L15" sqref="L15"/>
    </sheetView>
  </sheetViews>
  <sheetFormatPr defaultRowHeight="15" x14ac:dyDescent="0.25"/>
  <cols>
    <col min="2" max="2" width="11" customWidth="1"/>
    <col min="3" max="3" width="9.28515625" customWidth="1"/>
    <col min="4" max="4" width="10.140625" customWidth="1"/>
    <col min="7" max="7" width="9.85546875" customWidth="1"/>
  </cols>
  <sheetData>
    <row r="1" spans="1:7" x14ac:dyDescent="0.25">
      <c r="A1" s="378" t="s">
        <v>899</v>
      </c>
      <c r="B1" s="378" t="s">
        <v>68</v>
      </c>
      <c r="C1" s="378" t="s">
        <v>309</v>
      </c>
      <c r="D1" s="378" t="s">
        <v>900</v>
      </c>
      <c r="E1" s="378" t="s">
        <v>292</v>
      </c>
      <c r="F1" s="378" t="s">
        <v>901</v>
      </c>
      <c r="G1" s="378" t="s">
        <v>221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92E9-BDE5-4BCA-908C-7D238D9360BD}">
  <sheetPr>
    <tabColor theme="3" tint="0.749992370372631"/>
  </sheetPr>
  <dimension ref="A1:AM1"/>
  <sheetViews>
    <sheetView showGridLines="0" workbookViewId="0"/>
  </sheetViews>
  <sheetFormatPr defaultRowHeight="15" x14ac:dyDescent="0.25"/>
  <sheetData>
    <row r="1" spans="1:39" x14ac:dyDescent="0.25">
      <c r="A1" t="s">
        <v>201</v>
      </c>
      <c r="B1" t="s">
        <v>68</v>
      </c>
      <c r="C1" t="s">
        <v>71</v>
      </c>
      <c r="D1" t="s">
        <v>184</v>
      </c>
      <c r="E1" t="s">
        <v>183</v>
      </c>
      <c r="F1" t="s">
        <v>190</v>
      </c>
      <c r="G1" t="s">
        <v>191</v>
      </c>
      <c r="H1" t="s">
        <v>192</v>
      </c>
      <c r="I1" t="s">
        <v>202</v>
      </c>
      <c r="J1" t="s">
        <v>185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188</v>
      </c>
      <c r="AB1" t="s">
        <v>189</v>
      </c>
      <c r="AC1" t="s">
        <v>219</v>
      </c>
      <c r="AD1" t="s">
        <v>220</v>
      </c>
      <c r="AE1" t="s">
        <v>193</v>
      </c>
      <c r="AF1" t="s">
        <v>221</v>
      </c>
      <c r="AG1" t="s">
        <v>222</v>
      </c>
      <c r="AH1" t="s">
        <v>223</v>
      </c>
      <c r="AI1" t="s">
        <v>224</v>
      </c>
      <c r="AJ1" t="s">
        <v>225</v>
      </c>
      <c r="AK1" t="s">
        <v>226</v>
      </c>
      <c r="AL1" t="s">
        <v>187</v>
      </c>
      <c r="AM1" t="s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2298-0E1F-4B26-8F61-F212C42A9ACB}">
  <sheetPr>
    <tabColor theme="3" tint="0.749992370372631"/>
  </sheetPr>
  <dimension ref="A1:CE1"/>
  <sheetViews>
    <sheetView showGridLines="0" workbookViewId="0">
      <selection activeCell="F1" sqref="F1"/>
    </sheetView>
  </sheetViews>
  <sheetFormatPr defaultRowHeight="15" x14ac:dyDescent="0.25"/>
  <cols>
    <col min="5" max="5" width="12.7109375" customWidth="1"/>
  </cols>
  <sheetData>
    <row r="1" spans="1:83" x14ac:dyDescent="0.25">
      <c r="A1" t="s">
        <v>1033</v>
      </c>
      <c r="B1" t="s">
        <v>1034</v>
      </c>
      <c r="C1" s="463" t="s">
        <v>1035</v>
      </c>
      <c r="D1" s="463" t="s">
        <v>1036</v>
      </c>
      <c r="E1" s="463" t="s">
        <v>200</v>
      </c>
      <c r="F1" t="s">
        <v>201</v>
      </c>
      <c r="G1" t="s">
        <v>263</v>
      </c>
      <c r="H1" t="s">
        <v>218</v>
      </c>
      <c r="I1" t="s">
        <v>316</v>
      </c>
      <c r="J1" t="s">
        <v>264</v>
      </c>
      <c r="K1" t="s">
        <v>317</v>
      </c>
      <c r="L1" t="s">
        <v>193</v>
      </c>
      <c r="M1" t="s">
        <v>266</v>
      </c>
      <c r="N1" t="s">
        <v>267</v>
      </c>
      <c r="O1" t="s">
        <v>268</v>
      </c>
      <c r="P1" t="s">
        <v>269</v>
      </c>
      <c r="Q1" t="s">
        <v>1037</v>
      </c>
      <c r="R1" t="s">
        <v>270</v>
      </c>
      <c r="S1" t="s">
        <v>271</v>
      </c>
      <c r="T1" t="s">
        <v>272</v>
      </c>
      <c r="U1" t="s">
        <v>273</v>
      </c>
      <c r="V1" t="s">
        <v>274</v>
      </c>
      <c r="W1" t="s">
        <v>275</v>
      </c>
      <c r="X1" t="s">
        <v>276</v>
      </c>
      <c r="Y1" t="s">
        <v>190</v>
      </c>
      <c r="Z1" t="s">
        <v>277</v>
      </c>
      <c r="AA1" t="s">
        <v>226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199</v>
      </c>
      <c r="AH1" t="s">
        <v>283</v>
      </c>
      <c r="AI1" t="s">
        <v>284</v>
      </c>
      <c r="AJ1" t="s">
        <v>285</v>
      </c>
      <c r="AK1" t="s">
        <v>286</v>
      </c>
      <c r="AL1" t="s">
        <v>287</v>
      </c>
      <c r="AM1" t="s">
        <v>288</v>
      </c>
      <c r="AN1" t="s">
        <v>289</v>
      </c>
      <c r="AO1" t="s">
        <v>1038</v>
      </c>
      <c r="AP1" t="s">
        <v>318</v>
      </c>
      <c r="AQ1" t="s">
        <v>319</v>
      </c>
      <c r="AR1" t="s">
        <v>223</v>
      </c>
      <c r="AS1" t="s">
        <v>320</v>
      </c>
      <c r="AT1" t="s">
        <v>321</v>
      </c>
      <c r="AU1" t="s">
        <v>187</v>
      </c>
      <c r="AV1" t="s">
        <v>322</v>
      </c>
      <c r="AW1" t="s">
        <v>323</v>
      </c>
      <c r="AX1" t="s">
        <v>324</v>
      </c>
      <c r="AY1" t="s">
        <v>325</v>
      </c>
      <c r="AZ1" t="s">
        <v>326</v>
      </c>
      <c r="BA1" t="s">
        <v>237</v>
      </c>
      <c r="BB1" t="s">
        <v>238</v>
      </c>
      <c r="BC1" t="s">
        <v>239</v>
      </c>
      <c r="BD1" t="s">
        <v>240</v>
      </c>
      <c r="BE1" t="s">
        <v>327</v>
      </c>
      <c r="BF1" t="s">
        <v>242</v>
      </c>
      <c r="BG1" t="s">
        <v>243</v>
      </c>
      <c r="BH1" t="s">
        <v>244</v>
      </c>
      <c r="BI1" t="s">
        <v>245</v>
      </c>
      <c r="BJ1" t="s">
        <v>246</v>
      </c>
      <c r="BK1" t="s">
        <v>247</v>
      </c>
      <c r="BL1" t="s">
        <v>248</v>
      </c>
      <c r="BM1" t="s">
        <v>249</v>
      </c>
      <c r="BN1" t="s">
        <v>250</v>
      </c>
      <c r="BO1" t="s">
        <v>69</v>
      </c>
      <c r="BP1" t="s">
        <v>251</v>
      </c>
      <c r="BQ1" t="s">
        <v>198</v>
      </c>
      <c r="BR1" t="s">
        <v>253</v>
      </c>
      <c r="BS1" t="s">
        <v>254</v>
      </c>
      <c r="BT1" t="s">
        <v>181</v>
      </c>
      <c r="BU1" t="s">
        <v>255</v>
      </c>
      <c r="BV1" t="s">
        <v>256</v>
      </c>
      <c r="BW1" t="s">
        <v>257</v>
      </c>
      <c r="BX1" t="s">
        <v>258</v>
      </c>
      <c r="BY1" t="s">
        <v>259</v>
      </c>
      <c r="BZ1" t="s">
        <v>260</v>
      </c>
      <c r="CA1" t="s">
        <v>261</v>
      </c>
      <c r="CB1" t="s">
        <v>262</v>
      </c>
      <c r="CC1" t="s">
        <v>328</v>
      </c>
      <c r="CD1" t="s">
        <v>329</v>
      </c>
      <c r="CE1" t="s">
        <v>330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CF40-DA17-4CA1-9593-49CE8C5842B9}">
  <dimension ref="A1:E2"/>
  <sheetViews>
    <sheetView showGridLines="0" workbookViewId="0">
      <selection activeCell="M26" sqref="M26"/>
    </sheetView>
  </sheetViews>
  <sheetFormatPr defaultRowHeight="15" x14ac:dyDescent="0.25"/>
  <sheetData>
    <row r="1" spans="1:5" x14ac:dyDescent="0.25">
      <c r="A1" t="s">
        <v>293</v>
      </c>
      <c r="B1" t="s">
        <v>68</v>
      </c>
      <c r="C1" t="s">
        <v>191</v>
      </c>
      <c r="D1" t="s">
        <v>192</v>
      </c>
      <c r="E1" t="s">
        <v>202</v>
      </c>
    </row>
    <row r="2" spans="1:5" x14ac:dyDescent="0.25">
      <c r="A2" s="13"/>
      <c r="B2" s="13"/>
      <c r="C2" s="13"/>
      <c r="D2" s="13"/>
      <c r="E2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6AAA-481C-492E-AFBA-EE583EDCF55E}">
  <dimension ref="A1:AF2"/>
  <sheetViews>
    <sheetView showGridLines="0" topLeftCell="F1" workbookViewId="0">
      <selection activeCell="E2" sqref="E2"/>
    </sheetView>
  </sheetViews>
  <sheetFormatPr defaultRowHeight="15" x14ac:dyDescent="0.25"/>
  <sheetData>
    <row r="1" spans="1:32" x14ac:dyDescent="0.25">
      <c r="A1" t="s">
        <v>309</v>
      </c>
      <c r="B1" t="s">
        <v>295</v>
      </c>
      <c r="C1" t="s">
        <v>68</v>
      </c>
      <c r="D1" t="s">
        <v>296</v>
      </c>
      <c r="E1" t="s">
        <v>682</v>
      </c>
      <c r="F1" s="13" t="s">
        <v>294</v>
      </c>
      <c r="G1" s="13" t="s">
        <v>297</v>
      </c>
      <c r="H1" s="13" t="s">
        <v>298</v>
      </c>
      <c r="I1" s="13" t="s">
        <v>299</v>
      </c>
      <c r="J1" s="13" t="s">
        <v>206</v>
      </c>
      <c r="K1" s="13" t="s">
        <v>184</v>
      </c>
      <c r="L1" s="13" t="s">
        <v>183</v>
      </c>
      <c r="M1" s="13" t="s">
        <v>292</v>
      </c>
      <c r="N1" s="13" t="s">
        <v>300</v>
      </c>
      <c r="O1" s="13" t="s">
        <v>301</v>
      </c>
      <c r="P1" s="13" t="s">
        <v>302</v>
      </c>
      <c r="Q1" s="13" t="s">
        <v>303</v>
      </c>
      <c r="R1" s="13" t="s">
        <v>304</v>
      </c>
      <c r="S1" s="13" t="s">
        <v>305</v>
      </c>
      <c r="T1" s="13" t="s">
        <v>306</v>
      </c>
      <c r="U1" s="13" t="s">
        <v>307</v>
      </c>
      <c r="V1" s="13" t="s">
        <v>308</v>
      </c>
      <c r="W1" s="13" t="s">
        <v>310</v>
      </c>
      <c r="X1" s="13" t="s">
        <v>311</v>
      </c>
      <c r="Y1" s="13" t="s">
        <v>312</v>
      </c>
      <c r="Z1" s="13" t="s">
        <v>313</v>
      </c>
      <c r="AA1" s="13" t="s">
        <v>314</v>
      </c>
      <c r="AB1" s="13" t="s">
        <v>315</v>
      </c>
      <c r="AC1" s="13" t="s">
        <v>221</v>
      </c>
      <c r="AD1" s="13" t="s">
        <v>223</v>
      </c>
      <c r="AE1" s="13" t="s">
        <v>222</v>
      </c>
      <c r="AF1" s="13" t="s">
        <v>224</v>
      </c>
    </row>
    <row r="2" spans="1:3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A17C-A507-4AE0-BAA5-FB8C2035E939}">
  <dimension ref="A1:L2"/>
  <sheetViews>
    <sheetView showGridLines="0" workbookViewId="0"/>
  </sheetViews>
  <sheetFormatPr defaultRowHeight="15" x14ac:dyDescent="0.25"/>
  <sheetData>
    <row r="1" spans="1:12" x14ac:dyDescent="0.25">
      <c r="A1" s="13" t="s">
        <v>68</v>
      </c>
      <c r="B1" s="13" t="s">
        <v>227</v>
      </c>
      <c r="C1" s="13" t="s">
        <v>182</v>
      </c>
      <c r="D1" s="13" t="s">
        <v>228</v>
      </c>
      <c r="E1" s="13" t="s">
        <v>229</v>
      </c>
      <c r="F1" s="13" t="s">
        <v>230</v>
      </c>
      <c r="G1" s="13" t="s">
        <v>231</v>
      </c>
      <c r="H1" s="13" t="s">
        <v>232</v>
      </c>
      <c r="I1" s="13" t="s">
        <v>233</v>
      </c>
      <c r="J1" s="13" t="s">
        <v>234</v>
      </c>
      <c r="K1" s="13" t="s">
        <v>235</v>
      </c>
      <c r="L1" s="13" t="s">
        <v>221</v>
      </c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0329-0B1B-4206-906B-267D6837124B}">
  <dimension ref="A1:N1"/>
  <sheetViews>
    <sheetView showGridLines="0" workbookViewId="0">
      <selection activeCell="J8" sqref="J8"/>
    </sheetView>
  </sheetViews>
  <sheetFormatPr defaultRowHeight="15" x14ac:dyDescent="0.25"/>
  <cols>
    <col min="1" max="1" width="24.7109375" customWidth="1"/>
    <col min="2" max="2" width="23.7109375" customWidth="1"/>
    <col min="3" max="3" width="9.140625" customWidth="1"/>
    <col min="4" max="4" width="10.85546875" customWidth="1"/>
    <col min="5" max="5" width="7.140625" customWidth="1"/>
    <col min="6" max="6" width="14.28515625" customWidth="1"/>
    <col min="7" max="7" width="12.42578125" customWidth="1"/>
    <col min="8" max="8" width="12.140625" customWidth="1"/>
    <col min="9" max="9" width="14.140625" customWidth="1"/>
    <col min="10" max="10" width="13.85546875" customWidth="1"/>
    <col min="11" max="11" width="9.85546875" customWidth="1"/>
    <col min="12" max="12" width="20" customWidth="1"/>
    <col min="13" max="13" width="13.85546875" customWidth="1"/>
    <col min="14" max="14" width="14.85546875" customWidth="1"/>
  </cols>
  <sheetData>
    <row r="1" spans="1:14" x14ac:dyDescent="0.25">
      <c r="A1" t="s">
        <v>902</v>
      </c>
      <c r="B1" t="s">
        <v>903</v>
      </c>
      <c r="C1" t="s">
        <v>309</v>
      </c>
      <c r="D1" t="s">
        <v>68</v>
      </c>
      <c r="E1" t="s">
        <v>904</v>
      </c>
      <c r="F1" t="s">
        <v>905</v>
      </c>
      <c r="G1" t="s">
        <v>906</v>
      </c>
      <c r="H1" t="s">
        <v>907</v>
      </c>
      <c r="I1" t="s">
        <v>908</v>
      </c>
      <c r="J1" t="s">
        <v>909</v>
      </c>
      <c r="K1" t="s">
        <v>221</v>
      </c>
      <c r="L1" t="s">
        <v>223</v>
      </c>
      <c r="M1" t="s">
        <v>222</v>
      </c>
      <c r="N1" t="s">
        <v>224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6C34-C11A-42F5-BC6B-E7BB8C75D151}">
  <dimension ref="A1:AL1"/>
  <sheetViews>
    <sheetView showGridLines="0" workbookViewId="0"/>
  </sheetViews>
  <sheetFormatPr defaultRowHeight="15" x14ac:dyDescent="0.25"/>
  <sheetData>
    <row r="1" spans="1:38" x14ac:dyDescent="0.25">
      <c r="A1" t="s">
        <v>187</v>
      </c>
      <c r="B1" t="s">
        <v>68</v>
      </c>
      <c r="C1" t="s">
        <v>188</v>
      </c>
      <c r="D1" t="s">
        <v>189</v>
      </c>
      <c r="E1" t="s">
        <v>6</v>
      </c>
      <c r="F1" t="s">
        <v>236</v>
      </c>
      <c r="G1" t="s">
        <v>237</v>
      </c>
      <c r="H1" t="s">
        <v>238</v>
      </c>
      <c r="I1" t="s">
        <v>47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  <c r="S1" t="s">
        <v>248</v>
      </c>
      <c r="T1" t="s">
        <v>249</v>
      </c>
      <c r="U1" t="s">
        <v>250</v>
      </c>
      <c r="V1" t="s">
        <v>69</v>
      </c>
      <c r="W1" t="s">
        <v>251</v>
      </c>
      <c r="X1" t="s">
        <v>252</v>
      </c>
      <c r="Y1" t="s">
        <v>253</v>
      </c>
      <c r="Z1" t="s">
        <v>254</v>
      </c>
      <c r="AA1" t="s">
        <v>181</v>
      </c>
      <c r="AB1" t="s">
        <v>255</v>
      </c>
      <c r="AC1" t="s">
        <v>256</v>
      </c>
      <c r="AD1" t="s">
        <v>257</v>
      </c>
      <c r="AE1" t="s">
        <v>258</v>
      </c>
      <c r="AF1" t="s">
        <v>259</v>
      </c>
      <c r="AG1" t="s">
        <v>260</v>
      </c>
      <c r="AH1" t="s">
        <v>261</v>
      </c>
      <c r="AI1" t="s">
        <v>262</v>
      </c>
      <c r="AJ1" t="s">
        <v>221</v>
      </c>
      <c r="AK1" t="s">
        <v>222</v>
      </c>
      <c r="AL1" t="s">
        <v>224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1288-A54F-4CEE-8617-C0CB569F77EC}">
  <dimension ref="A1:AO1"/>
  <sheetViews>
    <sheetView showGridLines="0" workbookViewId="0"/>
  </sheetViews>
  <sheetFormatPr defaultRowHeight="15" x14ac:dyDescent="0.25"/>
  <cols>
    <col min="1" max="1" width="10.42578125" customWidth="1"/>
  </cols>
  <sheetData>
    <row r="1" spans="1:41" x14ac:dyDescent="0.25">
      <c r="A1" t="s">
        <v>201</v>
      </c>
      <c r="B1" t="s">
        <v>263</v>
      </c>
      <c r="C1" t="s">
        <v>218</v>
      </c>
      <c r="D1" t="s">
        <v>189</v>
      </c>
      <c r="E1" t="s">
        <v>264</v>
      </c>
      <c r="F1" t="s">
        <v>188</v>
      </c>
      <c r="G1" t="s">
        <v>193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  <c r="T1" t="s">
        <v>190</v>
      </c>
      <c r="U1" t="s">
        <v>277</v>
      </c>
      <c r="V1" t="s">
        <v>226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  <c r="AB1" t="s">
        <v>252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221</v>
      </c>
      <c r="AK1" t="s">
        <v>222</v>
      </c>
      <c r="AL1" t="s">
        <v>223</v>
      </c>
      <c r="AM1" t="s">
        <v>224</v>
      </c>
      <c r="AN1" t="s">
        <v>68</v>
      </c>
      <c r="AO1" t="s">
        <v>187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4555-5911-46FD-8C08-94B05E335A71}">
  <sheetPr>
    <tabColor rgb="FF00B050"/>
  </sheetPr>
  <dimension ref="B1:N270"/>
  <sheetViews>
    <sheetView showGridLines="0" tabSelected="1" topLeftCell="A7" zoomScaleNormal="100" workbookViewId="0">
      <selection activeCell="B8" sqref="B8"/>
    </sheetView>
  </sheetViews>
  <sheetFormatPr defaultRowHeight="15" x14ac:dyDescent="0.25"/>
  <cols>
    <col min="2" max="2" width="12.7109375" customWidth="1"/>
    <col min="3" max="14" width="15.7109375" customWidth="1"/>
  </cols>
  <sheetData>
    <row r="1" spans="2:14" x14ac:dyDescent="0.25">
      <c r="B1" s="452"/>
      <c r="C1" s="458">
        <v>46023</v>
      </c>
      <c r="D1" s="458">
        <v>46054</v>
      </c>
      <c r="E1" s="458">
        <v>46082</v>
      </c>
      <c r="F1" s="458">
        <v>46113</v>
      </c>
      <c r="G1" s="458">
        <v>46143</v>
      </c>
      <c r="H1" s="458">
        <v>46174</v>
      </c>
      <c r="I1" s="459">
        <v>46204</v>
      </c>
      <c r="J1" s="459">
        <v>46235</v>
      </c>
      <c r="K1" s="459">
        <v>46266</v>
      </c>
      <c r="L1" s="459">
        <v>46296</v>
      </c>
      <c r="M1" s="459">
        <v>46327</v>
      </c>
      <c r="N1" s="458">
        <v>46357</v>
      </c>
    </row>
    <row r="2" spans="2:14" x14ac:dyDescent="0.25">
      <c r="B2" s="456" t="s">
        <v>1026</v>
      </c>
      <c r="C2" s="453">
        <f>SUMIFS(
  tb_caixa[Saldo],
  tb_caixa[Dia], "&gt;="&amp;C$1,
  tb_caixa[Dia], "&lt;"&amp;EOMONTH(C$1,0)+1
)</f>
        <v>3055977.6500000004</v>
      </c>
      <c r="D2" s="453">
        <f>SUMIFS(
  tb_caixa[Saldo],
  tb_caixa[Dia], "&gt;="&amp;D$1,
  tb_caixa[Dia], "&lt;"&amp;EOMONTH(D$1,0)+1
)</f>
        <v>1519695.76</v>
      </c>
      <c r="E2" s="453">
        <f>SUMIFS(
  tb_caixa[Saldo],
  tb_caixa[Dia], "&gt;="&amp;E$1,
  tb_caixa[Dia], "&lt;"&amp;EOMONTH(E$1,0)+1
)</f>
        <v>1305811.9100000001</v>
      </c>
      <c r="F2" s="453">
        <f>SUMIFS(
  tb_caixa[Saldo],
  tb_caixa[Dia], "&gt;="&amp;F$1,
  tb_caixa[Dia], "&lt;"&amp;EOMONTH(F$1,0)+1
)</f>
        <v>2906487.54</v>
      </c>
      <c r="G2" s="453">
        <f>SUMIFS(
  tb_caixa[Saldo],
  tb_caixa[Dia], "&gt;="&amp;G$1,
  tb_caixa[Dia], "&lt;"&amp;EOMONTH(G$1,0)+1
)</f>
        <v>284802.63000000006</v>
      </c>
      <c r="H2" s="453">
        <f>SUMIFS(
  tb_caixa[Saldo],
  tb_caixa[Dia], "&gt;="&amp;H$1,
  tb_caixa[Dia], "&lt;"&amp;EOMONTH(H$1,0)+1
)</f>
        <v>5972197.5200000005</v>
      </c>
      <c r="I2" s="454">
        <f>SUMIFS(
  tb_caixa[Saldo],
  tb_caixa[Dia], "&gt;="&amp;I$1,
  tb_caixa[Dia], "&lt;"&amp;EOMONTH(I$1,0)+1
)</f>
        <v>2484752.4500000002</v>
      </c>
      <c r="J2" s="454">
        <f>SUMIFS(
  tb_caixa[Saldo],
  tb_caixa[Dia], "&gt;="&amp;J$1,
  tb_caixa[Dia], "&lt;"&amp;EOMONTH(J$1,0)+1
)</f>
        <v>7102126.9399999995</v>
      </c>
      <c r="K2" s="454">
        <f>SUMIFS(
  tb_caixa[Saldo],
  tb_caixa[Dia], "&gt;="&amp;K$1,
  tb_caixa[Dia], "&lt;"&amp;EOMONTH(K$1,0)+1
)</f>
        <v>2037488.25</v>
      </c>
      <c r="L2" s="454">
        <f>SUMIFS(
  tb_caixa[Saldo],
  tb_caixa[Dia], "&gt;="&amp;L$1,
  tb_caixa[Dia], "&lt;"&amp;EOMONTH(L$1,0)+1
)</f>
        <v>0</v>
      </c>
      <c r="M2" s="454">
        <f>SUMIFS(
  tb_caixa[Saldo],
  tb_caixa[Dia], "&gt;="&amp;M$1,
  tb_caixa[Dia], "&lt;"&amp;EOMONTH(M$1,0)+1
)</f>
        <v>0</v>
      </c>
      <c r="N2" s="453">
        <f>SUMIFS(
  tb_caixa[Saldo],
  tb_caixa[Dia], "&gt;="&amp;N$1,
  tb_caixa[Dia], "&lt;"&amp;EOMONTH(N$1,0)+1
)</f>
        <v>0</v>
      </c>
    </row>
    <row r="3" spans="2:14" x14ac:dyDescent="0.25">
      <c r="B3" s="456" t="s">
        <v>1027</v>
      </c>
      <c r="C3" s="453">
        <f>IF(ISBLANK(D2),
"",
D2-C2
)</f>
        <v>-1536281.8900000004</v>
      </c>
      <c r="D3" s="453">
        <f t="shared" ref="D3:N3" si="0">IF(ISBLANK(E2),
"",
E2-D2
)</f>
        <v>-213883.84999999986</v>
      </c>
      <c r="E3" s="453">
        <f t="shared" si="0"/>
        <v>1600675.63</v>
      </c>
      <c r="F3" s="453">
        <f t="shared" si="0"/>
        <v>-2621684.91</v>
      </c>
      <c r="G3" s="453">
        <f t="shared" si="0"/>
        <v>5687394.8900000006</v>
      </c>
      <c r="H3" s="453">
        <f t="shared" si="0"/>
        <v>-3487445.0700000003</v>
      </c>
      <c r="I3" s="454">
        <f t="shared" si="0"/>
        <v>4617374.4899999993</v>
      </c>
      <c r="J3" s="454">
        <f t="shared" si="0"/>
        <v>-5064638.6899999995</v>
      </c>
      <c r="K3" s="454">
        <f t="shared" si="0"/>
        <v>-2037488.25</v>
      </c>
      <c r="L3" s="454">
        <f t="shared" si="0"/>
        <v>0</v>
      </c>
      <c r="M3" s="454">
        <f t="shared" si="0"/>
        <v>0</v>
      </c>
      <c r="N3" s="453" t="str">
        <f t="shared" si="0"/>
        <v/>
      </c>
    </row>
    <row r="4" spans="2:14" x14ac:dyDescent="0.25">
      <c r="B4" s="457" t="s">
        <v>1028</v>
      </c>
      <c r="C4" s="455">
        <f>IFERROR(IF(ISBLANK(D3),
"",
C3/C2
),"")</f>
        <v>-0.50271371912683993</v>
      </c>
      <c r="D4" s="455">
        <f t="shared" ref="D4:N4" si="1">IFERROR(IF(ISBLANK(E3),
"",
D3/D2
),"")</f>
        <v>-0.1407412296787614</v>
      </c>
      <c r="E4" s="455">
        <f t="shared" si="1"/>
        <v>1.2258087230955028</v>
      </c>
      <c r="F4" s="455">
        <f t="shared" si="1"/>
        <v>-0.90201140514780953</v>
      </c>
      <c r="G4" s="455">
        <f t="shared" si="1"/>
        <v>19.969601018080485</v>
      </c>
      <c r="H4" s="455">
        <f t="shared" si="1"/>
        <v>-0.58394670610291532</v>
      </c>
      <c r="I4" s="455">
        <f t="shared" si="1"/>
        <v>1.85828350425814</v>
      </c>
      <c r="J4" s="455">
        <f t="shared" si="1"/>
        <v>-0.71311576557092626</v>
      </c>
      <c r="K4" s="455">
        <f t="shared" si="1"/>
        <v>-1</v>
      </c>
      <c r="L4" s="455" t="str">
        <f t="shared" si="1"/>
        <v/>
      </c>
      <c r="M4" s="455" t="str">
        <f t="shared" si="1"/>
        <v/>
      </c>
      <c r="N4" s="455" t="str">
        <f t="shared" si="1"/>
        <v/>
      </c>
    </row>
    <row r="6" spans="2:14" ht="21" x14ac:dyDescent="0.35">
      <c r="B6" s="228" t="s">
        <v>1030</v>
      </c>
    </row>
    <row r="7" spans="2:14" x14ac:dyDescent="0.25">
      <c r="C7" s="461">
        <v>46023</v>
      </c>
      <c r="D7" s="461">
        <v>46054</v>
      </c>
      <c r="E7" s="461">
        <v>46082</v>
      </c>
      <c r="F7" s="461">
        <v>46113</v>
      </c>
      <c r="G7" s="461">
        <v>46143</v>
      </c>
      <c r="H7" s="461">
        <v>46174</v>
      </c>
      <c r="I7" s="461">
        <v>46204</v>
      </c>
      <c r="J7" s="461">
        <v>46235</v>
      </c>
    </row>
    <row r="8" spans="2:14" x14ac:dyDescent="0.25">
      <c r="B8" s="460" t="s">
        <v>1029</v>
      </c>
      <c r="C8" s="498">
        <f ca="1">f.grupo!P316</f>
        <v>1318482.03</v>
      </c>
      <c r="D8" s="498">
        <f ca="1">f.grupo!Q316</f>
        <v>3970629.95</v>
      </c>
      <c r="E8" s="498">
        <f ca="1">f.grupo!R316</f>
        <v>2886031.81</v>
      </c>
      <c r="F8" s="498">
        <f ca="1">f.grupo!S316</f>
        <v>1292236.98</v>
      </c>
      <c r="G8" s="498">
        <f ca="1">f.grupo!T316</f>
        <v>7398838.5200000005</v>
      </c>
      <c r="H8" s="498">
        <f ca="1">f.grupo!U316</f>
        <v>1756267.9000000001</v>
      </c>
      <c r="I8" s="627">
        <v>4582624.7999999868</v>
      </c>
      <c r="J8" s="627">
        <f ca="1">f.grupo!W316</f>
        <v>1220818.57</v>
      </c>
    </row>
    <row r="9" spans="2:14" x14ac:dyDescent="0.25">
      <c r="B9" s="462" t="s">
        <v>441</v>
      </c>
      <c r="C9" s="499">
        <f>C3</f>
        <v>-1536281.8900000004</v>
      </c>
      <c r="D9" s="499">
        <f t="shared" ref="D9:H9" si="2">D3</f>
        <v>-213883.84999999986</v>
      </c>
      <c r="E9" s="499">
        <f t="shared" si="2"/>
        <v>1600675.63</v>
      </c>
      <c r="F9" s="499">
        <f t="shared" si="2"/>
        <v>-2621684.91</v>
      </c>
      <c r="G9" s="499">
        <f t="shared" si="2"/>
        <v>5687394.8900000006</v>
      </c>
      <c r="H9" s="499">
        <f t="shared" si="2"/>
        <v>-3487445.0700000003</v>
      </c>
      <c r="I9" s="499">
        <f t="shared" ref="I9:J9" si="3">I3</f>
        <v>4617374.4899999993</v>
      </c>
      <c r="J9" s="499">
        <f t="shared" si="3"/>
        <v>-5064638.6899999995</v>
      </c>
    </row>
    <row r="10" spans="2:14" x14ac:dyDescent="0.25">
      <c r="B10" s="462" t="s">
        <v>2922</v>
      </c>
      <c r="C10" s="500">
        <f ca="1">C8-C9</f>
        <v>2854763.9200000004</v>
      </c>
      <c r="D10" s="500">
        <f t="shared" ref="D10:J10" ca="1" si="4">D8-D9</f>
        <v>4184513.8</v>
      </c>
      <c r="E10" s="500">
        <f t="shared" ca="1" si="4"/>
        <v>1285356.1800000002</v>
      </c>
      <c r="F10" s="500">
        <f t="shared" ca="1" si="4"/>
        <v>3913921.89</v>
      </c>
      <c r="G10" s="500">
        <f t="shared" ca="1" si="4"/>
        <v>1711443.63</v>
      </c>
      <c r="H10" s="500">
        <f t="shared" ca="1" si="4"/>
        <v>5243712.9700000007</v>
      </c>
      <c r="I10" s="500">
        <f t="shared" si="4"/>
        <v>-34749.690000012517</v>
      </c>
      <c r="J10" s="500">
        <f t="shared" ca="1" si="4"/>
        <v>6285457.2599999998</v>
      </c>
    </row>
    <row r="11" spans="2:14" x14ac:dyDescent="0.25">
      <c r="B11" s="462" t="s">
        <v>1001</v>
      </c>
      <c r="C11" s="628">
        <f ca="1">C10/C9</f>
        <v>-1.8582292342195088</v>
      </c>
      <c r="D11" s="628">
        <f t="shared" ref="D11:J11" ca="1" si="5">D10/D9</f>
        <v>-19.564421530657889</v>
      </c>
      <c r="E11" s="628">
        <f t="shared" ca="1" si="5"/>
        <v>0.80300852709302528</v>
      </c>
      <c r="F11" s="628">
        <f t="shared" ca="1" si="5"/>
        <v>-1.4929032375595432</v>
      </c>
      <c r="G11" s="628">
        <f t="shared" ca="1" si="5"/>
        <v>0.30091872695690375</v>
      </c>
      <c r="H11" s="628">
        <f t="shared" ca="1" si="5"/>
        <v>-1.5035972939352993</v>
      </c>
      <c r="I11" s="628">
        <f t="shared" si="5"/>
        <v>-7.5258548067242692E-3</v>
      </c>
      <c r="J11" s="628">
        <f t="shared" ca="1" si="5"/>
        <v>-1.2410475148820539</v>
      </c>
    </row>
    <row r="36" spans="2:4" x14ac:dyDescent="0.25">
      <c r="B36" t="s">
        <v>1024</v>
      </c>
      <c r="C36" t="s">
        <v>441</v>
      </c>
      <c r="D36" t="s">
        <v>33</v>
      </c>
    </row>
    <row r="37" spans="2:4" x14ac:dyDescent="0.25">
      <c r="B37" s="451">
        <v>46024</v>
      </c>
      <c r="C37" s="449">
        <v>816.45</v>
      </c>
      <c r="D37" s="135" t="s">
        <v>11</v>
      </c>
    </row>
    <row r="38" spans="2:4" x14ac:dyDescent="0.25">
      <c r="B38" s="451">
        <v>46024</v>
      </c>
      <c r="C38" s="449">
        <v>1016141.64</v>
      </c>
      <c r="D38" s="135" t="s">
        <v>7</v>
      </c>
    </row>
    <row r="39" spans="2:4" x14ac:dyDescent="0.25">
      <c r="B39" s="451">
        <v>46024</v>
      </c>
      <c r="C39" s="449">
        <v>49396.880000000005</v>
      </c>
      <c r="D39" s="135" t="s">
        <v>479</v>
      </c>
    </row>
    <row r="40" spans="2:4" x14ac:dyDescent="0.25">
      <c r="B40" s="451">
        <v>46024</v>
      </c>
      <c r="C40" s="449">
        <v>68895.739999999991</v>
      </c>
      <c r="D40" s="135" t="s">
        <v>10</v>
      </c>
    </row>
    <row r="41" spans="2:4" x14ac:dyDescent="0.25">
      <c r="B41" s="451">
        <v>46024</v>
      </c>
      <c r="C41" s="449">
        <v>218.48</v>
      </c>
      <c r="D41" s="135" t="s">
        <v>804</v>
      </c>
    </row>
    <row r="42" spans="2:4" x14ac:dyDescent="0.25">
      <c r="B42" s="451">
        <v>46024</v>
      </c>
      <c r="C42" s="449">
        <v>271436.51</v>
      </c>
      <c r="D42" s="135" t="s">
        <v>9</v>
      </c>
    </row>
    <row r="43" spans="2:4" x14ac:dyDescent="0.25">
      <c r="B43" s="451">
        <v>46024</v>
      </c>
      <c r="C43" s="449">
        <v>1455044.0899999999</v>
      </c>
      <c r="D43" s="135" t="s">
        <v>12</v>
      </c>
    </row>
    <row r="44" spans="2:4" x14ac:dyDescent="0.25">
      <c r="B44" s="451">
        <v>46024</v>
      </c>
      <c r="C44" s="449">
        <v>-32988.449999999997</v>
      </c>
      <c r="D44" s="135" t="s">
        <v>8</v>
      </c>
    </row>
    <row r="45" spans="2:4" x14ac:dyDescent="0.25">
      <c r="B45" s="451">
        <v>46024</v>
      </c>
      <c r="C45" s="449">
        <v>-38778.5</v>
      </c>
      <c r="D45" s="135" t="s">
        <v>481</v>
      </c>
    </row>
    <row r="46" spans="2:4" x14ac:dyDescent="0.25">
      <c r="B46" s="451">
        <v>46024</v>
      </c>
      <c r="C46" s="449">
        <v>43656.59</v>
      </c>
      <c r="D46" s="135" t="s">
        <v>729</v>
      </c>
    </row>
    <row r="47" spans="2:4" x14ac:dyDescent="0.25">
      <c r="B47" s="451">
        <v>46024</v>
      </c>
      <c r="C47" s="449">
        <v>193821.37</v>
      </c>
      <c r="D47" s="135" t="s">
        <v>465</v>
      </c>
    </row>
    <row r="48" spans="2:4" x14ac:dyDescent="0.25">
      <c r="B48" s="451">
        <v>46024</v>
      </c>
      <c r="C48" s="449">
        <v>6695.85</v>
      </c>
      <c r="D48" s="135" t="s">
        <v>13</v>
      </c>
    </row>
    <row r="49" spans="2:4" x14ac:dyDescent="0.25">
      <c r="B49" s="451">
        <v>46024</v>
      </c>
      <c r="C49" s="449">
        <v>6129.52</v>
      </c>
      <c r="D49" s="135" t="s">
        <v>670</v>
      </c>
    </row>
    <row r="50" spans="2:4" x14ac:dyDescent="0.25">
      <c r="B50" s="451">
        <v>46024</v>
      </c>
      <c r="C50" s="449">
        <v>19092.46</v>
      </c>
      <c r="D50" s="135" t="s">
        <v>779</v>
      </c>
    </row>
    <row r="51" spans="2:4" x14ac:dyDescent="0.25">
      <c r="B51" s="451">
        <v>46024</v>
      </c>
      <c r="C51" s="449">
        <v>25903.600000000002</v>
      </c>
      <c r="D51" s="135" t="s">
        <v>482</v>
      </c>
    </row>
    <row r="52" spans="2:4" x14ac:dyDescent="0.25">
      <c r="B52" s="451">
        <v>46024</v>
      </c>
      <c r="C52" s="449">
        <v>89227.86</v>
      </c>
      <c r="D52" s="135" t="s">
        <v>673</v>
      </c>
    </row>
    <row r="53" spans="2:4" x14ac:dyDescent="0.25">
      <c r="B53" s="451">
        <v>46024</v>
      </c>
      <c r="C53" s="449">
        <v>342.22</v>
      </c>
      <c r="D53" s="135" t="s">
        <v>677</v>
      </c>
    </row>
    <row r="54" spans="2:4" x14ac:dyDescent="0.25">
      <c r="B54" s="451">
        <v>46024</v>
      </c>
      <c r="C54" s="449">
        <v>5353.75</v>
      </c>
      <c r="D54" s="135" t="s">
        <v>678</v>
      </c>
    </row>
    <row r="55" spans="2:4" x14ac:dyDescent="0.25">
      <c r="B55" s="451">
        <v>46024</v>
      </c>
      <c r="C55" s="449">
        <v>185.16</v>
      </c>
      <c r="D55" s="135" t="s">
        <v>753</v>
      </c>
    </row>
    <row r="56" spans="2:4" x14ac:dyDescent="0.25">
      <c r="B56" s="451">
        <v>46024</v>
      </c>
      <c r="C56" s="449">
        <v>-112827.28</v>
      </c>
      <c r="D56" s="135" t="s">
        <v>671</v>
      </c>
    </row>
    <row r="57" spans="2:4" x14ac:dyDescent="0.25">
      <c r="B57" s="451">
        <v>46024</v>
      </c>
      <c r="C57" s="449">
        <v>-13906.53</v>
      </c>
      <c r="D57" s="135" t="s">
        <v>956</v>
      </c>
    </row>
    <row r="58" spans="2:4" x14ac:dyDescent="0.25">
      <c r="B58" s="451">
        <v>46024</v>
      </c>
      <c r="C58" s="449">
        <v>1352.9399999999998</v>
      </c>
      <c r="D58" s="135" t="s">
        <v>773</v>
      </c>
    </row>
    <row r="59" spans="2:4" x14ac:dyDescent="0.25">
      <c r="B59" s="451">
        <v>46024</v>
      </c>
      <c r="C59" s="449">
        <v>767.3</v>
      </c>
      <c r="D59" s="135" t="s">
        <v>793</v>
      </c>
    </row>
    <row r="60" spans="2:4" x14ac:dyDescent="0.25">
      <c r="B60" s="451">
        <v>46024</v>
      </c>
      <c r="C60" s="449">
        <v>0</v>
      </c>
      <c r="D60" s="135" t="s">
        <v>777</v>
      </c>
    </row>
    <row r="61" spans="2:4" x14ac:dyDescent="0.25">
      <c r="B61" s="451">
        <v>46055</v>
      </c>
      <c r="C61" s="449">
        <v>858.38000000000011</v>
      </c>
      <c r="D61" s="135" t="s">
        <v>11</v>
      </c>
    </row>
    <row r="62" spans="2:4" x14ac:dyDescent="0.25">
      <c r="B62" s="451">
        <v>46055</v>
      </c>
      <c r="C62" s="449">
        <v>89921.279999999984</v>
      </c>
      <c r="D62" s="135" t="s">
        <v>7</v>
      </c>
    </row>
    <row r="63" spans="2:4" x14ac:dyDescent="0.25">
      <c r="B63" s="451">
        <v>46055</v>
      </c>
      <c r="C63" s="449">
        <v>-15066.989999999998</v>
      </c>
      <c r="D63" s="135" t="s">
        <v>479</v>
      </c>
    </row>
    <row r="64" spans="2:4" x14ac:dyDescent="0.25">
      <c r="B64" s="451">
        <v>46055</v>
      </c>
      <c r="C64" s="449">
        <v>132233.46</v>
      </c>
      <c r="D64" s="135" t="s">
        <v>10</v>
      </c>
    </row>
    <row r="65" spans="2:4" x14ac:dyDescent="0.25">
      <c r="B65" s="451">
        <v>46055</v>
      </c>
      <c r="C65" s="449">
        <v>63.05</v>
      </c>
      <c r="D65" s="135" t="s">
        <v>804</v>
      </c>
    </row>
    <row r="66" spans="2:4" x14ac:dyDescent="0.25">
      <c r="B66" s="451">
        <v>46055</v>
      </c>
      <c r="C66" s="449">
        <v>933491.92</v>
      </c>
      <c r="D66" s="135" t="s">
        <v>9</v>
      </c>
    </row>
    <row r="67" spans="2:4" x14ac:dyDescent="0.25">
      <c r="B67" s="451">
        <v>46055</v>
      </c>
      <c r="C67" s="449">
        <v>70946.13</v>
      </c>
      <c r="D67" s="135" t="s">
        <v>12</v>
      </c>
    </row>
    <row r="68" spans="2:4" x14ac:dyDescent="0.25">
      <c r="B68" s="451">
        <v>46055</v>
      </c>
      <c r="C68" s="449">
        <v>-54442.750000000007</v>
      </c>
      <c r="D68" s="135" t="s">
        <v>8</v>
      </c>
    </row>
    <row r="69" spans="2:4" x14ac:dyDescent="0.25">
      <c r="B69" s="451">
        <v>46055</v>
      </c>
      <c r="C69" s="449">
        <v>-38225.360000000001</v>
      </c>
      <c r="D69" s="135" t="s">
        <v>481</v>
      </c>
    </row>
    <row r="70" spans="2:4" x14ac:dyDescent="0.25">
      <c r="B70" s="451">
        <v>46055</v>
      </c>
      <c r="C70" s="449">
        <v>9922.36</v>
      </c>
      <c r="D70" s="135" t="s">
        <v>729</v>
      </c>
    </row>
    <row r="71" spans="2:4" x14ac:dyDescent="0.25">
      <c r="B71" s="451">
        <v>46055</v>
      </c>
      <c r="C71" s="449">
        <v>46177.5</v>
      </c>
      <c r="D71" s="135" t="s">
        <v>465</v>
      </c>
    </row>
    <row r="72" spans="2:4" x14ac:dyDescent="0.25">
      <c r="B72" s="451">
        <v>46055</v>
      </c>
      <c r="C72" s="449">
        <v>9782.76</v>
      </c>
      <c r="D72" s="135" t="s">
        <v>13</v>
      </c>
    </row>
    <row r="73" spans="2:4" x14ac:dyDescent="0.25">
      <c r="B73" s="451">
        <v>46055</v>
      </c>
      <c r="C73" s="449">
        <v>4636.58</v>
      </c>
      <c r="D73" s="135" t="s">
        <v>670</v>
      </c>
    </row>
    <row r="74" spans="2:4" x14ac:dyDescent="0.25">
      <c r="B74" s="451">
        <v>46055</v>
      </c>
      <c r="C74" s="449">
        <v>-9091.2800000000007</v>
      </c>
      <c r="D74" s="135" t="s">
        <v>779</v>
      </c>
    </row>
    <row r="75" spans="2:4" x14ac:dyDescent="0.25">
      <c r="B75" s="451">
        <v>46055</v>
      </c>
      <c r="C75" s="449">
        <v>-115.35000000000036</v>
      </c>
      <c r="D75" s="135" t="s">
        <v>482</v>
      </c>
    </row>
    <row r="76" spans="2:4" x14ac:dyDescent="0.25">
      <c r="B76" s="451">
        <v>46055</v>
      </c>
      <c r="C76" s="449">
        <v>424533.14</v>
      </c>
      <c r="D76" s="135" t="s">
        <v>673</v>
      </c>
    </row>
    <row r="77" spans="2:4" x14ac:dyDescent="0.25">
      <c r="B77" s="451">
        <v>46055</v>
      </c>
      <c r="C77" s="449">
        <v>204.22</v>
      </c>
      <c r="D77" s="135" t="s">
        <v>677</v>
      </c>
    </row>
    <row r="78" spans="2:4" x14ac:dyDescent="0.25">
      <c r="B78" s="451">
        <v>46055</v>
      </c>
      <c r="C78" s="449">
        <v>348.47</v>
      </c>
      <c r="D78" s="135" t="s">
        <v>678</v>
      </c>
    </row>
    <row r="79" spans="2:4" x14ac:dyDescent="0.25">
      <c r="B79" s="451">
        <v>46055</v>
      </c>
      <c r="C79" s="449">
        <v>41.8</v>
      </c>
      <c r="D79" s="135" t="s">
        <v>753</v>
      </c>
    </row>
    <row r="80" spans="2:4" x14ac:dyDescent="0.25">
      <c r="B80" s="451">
        <v>46055</v>
      </c>
      <c r="C80" s="449">
        <v>-95049.82</v>
      </c>
      <c r="D80" s="135" t="s">
        <v>671</v>
      </c>
    </row>
    <row r="81" spans="2:4" x14ac:dyDescent="0.25">
      <c r="B81" s="451">
        <v>46055</v>
      </c>
      <c r="C81" s="449">
        <v>729.84</v>
      </c>
      <c r="D81" s="135" t="s">
        <v>956</v>
      </c>
    </row>
    <row r="82" spans="2:4" x14ac:dyDescent="0.25">
      <c r="B82" s="451">
        <v>46055</v>
      </c>
      <c r="C82" s="449">
        <v>6735.39</v>
      </c>
      <c r="D82" s="135" t="s">
        <v>773</v>
      </c>
    </row>
    <row r="83" spans="2:4" x14ac:dyDescent="0.25">
      <c r="B83" s="451">
        <v>46055</v>
      </c>
      <c r="C83" s="449">
        <v>1061.03</v>
      </c>
      <c r="D83" s="135" t="s">
        <v>793</v>
      </c>
    </row>
    <row r="84" spans="2:4" x14ac:dyDescent="0.25">
      <c r="B84" s="451">
        <v>46055</v>
      </c>
      <c r="C84" s="449">
        <v>0</v>
      </c>
      <c r="D84" s="135" t="s">
        <v>777</v>
      </c>
    </row>
    <row r="85" spans="2:4" x14ac:dyDescent="0.25">
      <c r="B85" s="451">
        <v>46083</v>
      </c>
      <c r="C85" s="449">
        <v>69113.440000000002</v>
      </c>
      <c r="D85" s="135" t="s">
        <v>11</v>
      </c>
    </row>
    <row r="86" spans="2:4" x14ac:dyDescent="0.25">
      <c r="B86" s="451">
        <v>46083</v>
      </c>
      <c r="C86" s="449">
        <v>509635.91000000003</v>
      </c>
      <c r="D86" s="135" t="s">
        <v>7</v>
      </c>
    </row>
    <row r="87" spans="2:4" x14ac:dyDescent="0.25">
      <c r="B87" s="451">
        <v>46083</v>
      </c>
      <c r="C87" s="449">
        <v>-112435.81</v>
      </c>
      <c r="D87" s="135" t="s">
        <v>479</v>
      </c>
    </row>
    <row r="88" spans="2:4" x14ac:dyDescent="0.25">
      <c r="B88" s="451">
        <v>46083</v>
      </c>
      <c r="C88" s="449">
        <v>7626.22</v>
      </c>
      <c r="D88" s="135" t="s">
        <v>10</v>
      </c>
    </row>
    <row r="89" spans="2:4" x14ac:dyDescent="0.25">
      <c r="B89" s="451">
        <v>46083</v>
      </c>
      <c r="C89" s="449">
        <v>0</v>
      </c>
      <c r="D89" s="135" t="s">
        <v>804</v>
      </c>
    </row>
    <row r="90" spans="2:4" x14ac:dyDescent="0.25">
      <c r="B90" s="451">
        <v>46083</v>
      </c>
      <c r="C90" s="449">
        <v>931191.33000000007</v>
      </c>
      <c r="D90" s="135" t="s">
        <v>9</v>
      </c>
    </row>
    <row r="91" spans="2:4" x14ac:dyDescent="0.25">
      <c r="B91" s="451">
        <v>46083</v>
      </c>
      <c r="C91" s="449">
        <v>2472.6200000000026</v>
      </c>
      <c r="D91" s="135" t="s">
        <v>12</v>
      </c>
    </row>
    <row r="92" spans="2:4" x14ac:dyDescent="0.25">
      <c r="B92" s="451">
        <v>46083</v>
      </c>
      <c r="C92" s="449">
        <v>671.95000000000437</v>
      </c>
      <c r="D92" s="135" t="s">
        <v>8</v>
      </c>
    </row>
    <row r="93" spans="2:4" x14ac:dyDescent="0.25">
      <c r="B93" s="451">
        <v>46083</v>
      </c>
      <c r="C93" s="449">
        <v>-5927.23</v>
      </c>
      <c r="D93" s="135" t="s">
        <v>481</v>
      </c>
    </row>
    <row r="94" spans="2:4" x14ac:dyDescent="0.25">
      <c r="B94" s="451">
        <v>46083</v>
      </c>
      <c r="C94" s="449">
        <v>15877.75</v>
      </c>
      <c r="D94" s="135" t="s">
        <v>729</v>
      </c>
    </row>
    <row r="95" spans="2:4" x14ac:dyDescent="0.25">
      <c r="B95" s="451">
        <v>46083</v>
      </c>
      <c r="C95" s="449">
        <v>2509.2799999999997</v>
      </c>
      <c r="D95" s="135" t="s">
        <v>465</v>
      </c>
    </row>
    <row r="96" spans="2:4" x14ac:dyDescent="0.25">
      <c r="B96" s="451">
        <v>46083</v>
      </c>
      <c r="C96" s="449">
        <v>4594.1399999999994</v>
      </c>
      <c r="D96" s="135" t="s">
        <v>13</v>
      </c>
    </row>
    <row r="97" spans="2:4" x14ac:dyDescent="0.25">
      <c r="B97" s="451">
        <v>46083</v>
      </c>
      <c r="C97" s="449">
        <v>0</v>
      </c>
      <c r="D97" s="135" t="s">
        <v>670</v>
      </c>
    </row>
    <row r="98" spans="2:4" x14ac:dyDescent="0.25">
      <c r="B98" s="451">
        <v>46083</v>
      </c>
      <c r="C98" s="449">
        <v>-2853.73</v>
      </c>
      <c r="D98" s="135" t="s">
        <v>779</v>
      </c>
    </row>
    <row r="99" spans="2:4" x14ac:dyDescent="0.25">
      <c r="B99" s="451">
        <v>46083</v>
      </c>
      <c r="C99" s="449">
        <v>-1124.6999999999998</v>
      </c>
      <c r="D99" s="135" t="s">
        <v>482</v>
      </c>
    </row>
    <row r="100" spans="2:4" x14ac:dyDescent="0.25">
      <c r="B100" s="451">
        <v>46083</v>
      </c>
      <c r="C100" s="449">
        <v>9664.98</v>
      </c>
      <c r="D100" s="135" t="s">
        <v>673</v>
      </c>
    </row>
    <row r="101" spans="2:4" x14ac:dyDescent="0.25">
      <c r="B101" s="451">
        <v>46083</v>
      </c>
      <c r="C101" s="449">
        <v>625.91999999999996</v>
      </c>
      <c r="D101" s="135" t="s">
        <v>677</v>
      </c>
    </row>
    <row r="102" spans="2:4" x14ac:dyDescent="0.25">
      <c r="B102" s="451">
        <v>46083</v>
      </c>
      <c r="C102" s="449">
        <v>247.29000000000002</v>
      </c>
      <c r="D102" s="135" t="s">
        <v>678</v>
      </c>
    </row>
    <row r="103" spans="2:4" x14ac:dyDescent="0.25">
      <c r="B103" s="451">
        <v>46083</v>
      </c>
      <c r="C103" s="449">
        <v>0</v>
      </c>
      <c r="D103" s="135" t="s">
        <v>753</v>
      </c>
    </row>
    <row r="104" spans="2:4" x14ac:dyDescent="0.25">
      <c r="B104" s="451">
        <v>46083</v>
      </c>
      <c r="C104" s="449">
        <v>-97898.22</v>
      </c>
      <c r="D104" s="135" t="s">
        <v>671</v>
      </c>
    </row>
    <row r="105" spans="2:4" x14ac:dyDescent="0.25">
      <c r="B105" s="451">
        <v>46083</v>
      </c>
      <c r="C105" s="449">
        <v>-39768.54</v>
      </c>
      <c r="D105" s="135" t="s">
        <v>956</v>
      </c>
    </row>
    <row r="106" spans="2:4" x14ac:dyDescent="0.25">
      <c r="B106" s="451">
        <v>46083</v>
      </c>
      <c r="C106" s="449">
        <v>9855.07</v>
      </c>
      <c r="D106" s="135" t="s">
        <v>773</v>
      </c>
    </row>
    <row r="107" spans="2:4" x14ac:dyDescent="0.25">
      <c r="B107" s="451">
        <v>46083</v>
      </c>
      <c r="C107" s="449">
        <v>1734.24</v>
      </c>
      <c r="D107" s="135" t="s">
        <v>793</v>
      </c>
    </row>
    <row r="108" spans="2:4" x14ac:dyDescent="0.25">
      <c r="B108" s="451">
        <v>46083</v>
      </c>
      <c r="C108" s="449">
        <v>0</v>
      </c>
      <c r="D108" s="135" t="s">
        <v>777</v>
      </c>
    </row>
    <row r="109" spans="2:4" x14ac:dyDescent="0.25">
      <c r="B109" s="451">
        <v>46114</v>
      </c>
      <c r="C109" s="449">
        <v>202533.68999999997</v>
      </c>
      <c r="D109" s="135" t="s">
        <v>11</v>
      </c>
    </row>
    <row r="110" spans="2:4" x14ac:dyDescent="0.25">
      <c r="B110" s="451">
        <v>46114</v>
      </c>
      <c r="C110" s="449">
        <v>61806.85</v>
      </c>
      <c r="D110" s="135" t="s">
        <v>7</v>
      </c>
    </row>
    <row r="111" spans="2:4" x14ac:dyDescent="0.25">
      <c r="B111" s="451">
        <v>46114</v>
      </c>
      <c r="C111" s="449">
        <v>-120162.23999999999</v>
      </c>
      <c r="D111" s="135" t="s">
        <v>479</v>
      </c>
    </row>
    <row r="112" spans="2:4" x14ac:dyDescent="0.25">
      <c r="B112" s="451">
        <v>46114</v>
      </c>
      <c r="C112" s="449">
        <v>10938.32</v>
      </c>
      <c r="D112" s="135" t="s">
        <v>10</v>
      </c>
    </row>
    <row r="113" spans="2:4" x14ac:dyDescent="0.25">
      <c r="B113" s="451">
        <v>46114</v>
      </c>
      <c r="C113" s="449">
        <v>1865.08</v>
      </c>
      <c r="D113" s="135" t="s">
        <v>804</v>
      </c>
    </row>
    <row r="114" spans="2:4" x14ac:dyDescent="0.25">
      <c r="B114" s="451">
        <v>46114</v>
      </c>
      <c r="C114" s="449">
        <v>358511.69</v>
      </c>
      <c r="D114" s="135" t="s">
        <v>9</v>
      </c>
    </row>
    <row r="115" spans="2:4" x14ac:dyDescent="0.25">
      <c r="B115" s="451">
        <v>46114</v>
      </c>
      <c r="C115" s="449">
        <v>1482505.38</v>
      </c>
      <c r="D115" s="135" t="s">
        <v>12</v>
      </c>
    </row>
    <row r="116" spans="2:4" x14ac:dyDescent="0.25">
      <c r="B116" s="451">
        <v>46114</v>
      </c>
      <c r="C116" s="449">
        <v>21770.19</v>
      </c>
      <c r="D116" s="135" t="s">
        <v>8</v>
      </c>
    </row>
    <row r="117" spans="2:4" x14ac:dyDescent="0.25">
      <c r="B117" s="451">
        <v>46114</v>
      </c>
      <c r="C117" s="449">
        <v>0</v>
      </c>
      <c r="D117" s="135" t="s">
        <v>1023</v>
      </c>
    </row>
    <row r="118" spans="2:4" x14ac:dyDescent="0.25">
      <c r="B118" s="451">
        <v>46114</v>
      </c>
      <c r="C118" s="449">
        <v>0</v>
      </c>
      <c r="D118" s="135" t="s">
        <v>1032</v>
      </c>
    </row>
    <row r="119" spans="2:4" x14ac:dyDescent="0.25">
      <c r="B119" s="451">
        <v>46114</v>
      </c>
      <c r="C119" s="449">
        <v>-27696.14</v>
      </c>
      <c r="D119" s="135" t="s">
        <v>481</v>
      </c>
    </row>
    <row r="120" spans="2:4" x14ac:dyDescent="0.25">
      <c r="B120" s="451">
        <v>46114</v>
      </c>
      <c r="C120" s="449">
        <v>7529.8899999999994</v>
      </c>
      <c r="D120" s="135" t="s">
        <v>729</v>
      </c>
    </row>
    <row r="121" spans="2:4" x14ac:dyDescent="0.25">
      <c r="B121" s="451">
        <v>46114</v>
      </c>
      <c r="C121" s="449">
        <v>9273.6299999999992</v>
      </c>
      <c r="D121" s="135" t="s">
        <v>465</v>
      </c>
    </row>
    <row r="122" spans="2:4" x14ac:dyDescent="0.25">
      <c r="B122" s="451">
        <v>46114</v>
      </c>
      <c r="C122" s="449">
        <v>1006435.56</v>
      </c>
      <c r="D122" s="135" t="s">
        <v>13</v>
      </c>
    </row>
    <row r="123" spans="2:4" x14ac:dyDescent="0.25">
      <c r="B123" s="451">
        <v>46114</v>
      </c>
      <c r="C123" s="449">
        <v>74.87</v>
      </c>
      <c r="D123" s="135" t="s">
        <v>670</v>
      </c>
    </row>
    <row r="124" spans="2:4" x14ac:dyDescent="0.25">
      <c r="B124" s="451">
        <v>46114</v>
      </c>
      <c r="C124" s="449">
        <v>-1501.78</v>
      </c>
      <c r="D124" s="135" t="s">
        <v>779</v>
      </c>
    </row>
    <row r="125" spans="2:4" x14ac:dyDescent="0.25">
      <c r="B125" s="451">
        <v>46114</v>
      </c>
      <c r="C125" s="449">
        <v>-1776.1599999999999</v>
      </c>
      <c r="D125" s="135" t="s">
        <v>482</v>
      </c>
    </row>
    <row r="126" spans="2:4" x14ac:dyDescent="0.25">
      <c r="B126" s="451">
        <v>46114</v>
      </c>
      <c r="C126" s="449">
        <v>19544.72</v>
      </c>
      <c r="D126" s="135" t="s">
        <v>673</v>
      </c>
    </row>
    <row r="127" spans="2:4" x14ac:dyDescent="0.25">
      <c r="B127" s="451">
        <v>46114</v>
      </c>
      <c r="C127" s="449">
        <v>477.69</v>
      </c>
      <c r="D127" s="135" t="s">
        <v>677</v>
      </c>
    </row>
    <row r="128" spans="2:4" x14ac:dyDescent="0.25">
      <c r="B128" s="451">
        <v>46114</v>
      </c>
      <c r="C128" s="449">
        <v>1246.0999999999999</v>
      </c>
      <c r="D128" s="135" t="s">
        <v>678</v>
      </c>
    </row>
    <row r="129" spans="2:4" x14ac:dyDescent="0.25">
      <c r="B129" s="451">
        <v>46114</v>
      </c>
      <c r="C129" s="449">
        <v>0</v>
      </c>
      <c r="D129" s="135" t="s">
        <v>753</v>
      </c>
    </row>
    <row r="130" spans="2:4" x14ac:dyDescent="0.25">
      <c r="B130" s="451">
        <v>46114</v>
      </c>
      <c r="C130" s="449">
        <v>-96141.58</v>
      </c>
      <c r="D130" s="135" t="s">
        <v>671</v>
      </c>
    </row>
    <row r="131" spans="2:4" x14ac:dyDescent="0.25">
      <c r="B131" s="451">
        <v>46114</v>
      </c>
      <c r="C131" s="449">
        <v>-35287.72</v>
      </c>
      <c r="D131" s="135" t="s">
        <v>956</v>
      </c>
    </row>
    <row r="132" spans="2:4" x14ac:dyDescent="0.25">
      <c r="B132" s="451">
        <v>46114</v>
      </c>
      <c r="C132" s="449">
        <v>4313.1400000000003</v>
      </c>
      <c r="D132" s="135" t="s">
        <v>773</v>
      </c>
    </row>
    <row r="133" spans="2:4" x14ac:dyDescent="0.25">
      <c r="B133" s="451">
        <v>46114</v>
      </c>
      <c r="C133" s="449">
        <v>226.36</v>
      </c>
      <c r="D133" s="135" t="s">
        <v>793</v>
      </c>
    </row>
    <row r="134" spans="2:4" x14ac:dyDescent="0.25">
      <c r="B134" s="451">
        <v>46114</v>
      </c>
      <c r="C134" s="449">
        <v>0</v>
      </c>
      <c r="D134" s="135" t="s">
        <v>777</v>
      </c>
    </row>
    <row r="135" spans="2:4" x14ac:dyDescent="0.25">
      <c r="B135" s="451">
        <v>46146</v>
      </c>
      <c r="C135" s="449">
        <v>8431.86</v>
      </c>
      <c r="D135" s="135" t="s">
        <v>11</v>
      </c>
    </row>
    <row r="136" spans="2:4" x14ac:dyDescent="0.25">
      <c r="B136" s="451">
        <v>46146</v>
      </c>
      <c r="C136" s="449">
        <v>-123348.25000000001</v>
      </c>
      <c r="D136" s="135" t="s">
        <v>7</v>
      </c>
    </row>
    <row r="137" spans="2:4" x14ac:dyDescent="0.25">
      <c r="B137" s="451">
        <v>46146</v>
      </c>
      <c r="C137" s="449">
        <v>-130216.46</v>
      </c>
      <c r="D137" s="135" t="s">
        <v>479</v>
      </c>
    </row>
    <row r="138" spans="2:4" x14ac:dyDescent="0.25">
      <c r="B138" s="451">
        <v>46146</v>
      </c>
      <c r="C138" s="449">
        <v>-342.34</v>
      </c>
      <c r="D138" s="135" t="s">
        <v>10</v>
      </c>
    </row>
    <row r="139" spans="2:4" x14ac:dyDescent="0.25">
      <c r="B139" s="451">
        <v>46146</v>
      </c>
      <c r="C139" s="449">
        <v>948.89</v>
      </c>
      <c r="D139" s="135" t="s">
        <v>804</v>
      </c>
    </row>
    <row r="140" spans="2:4" x14ac:dyDescent="0.25">
      <c r="B140" s="451">
        <v>46146</v>
      </c>
      <c r="C140" s="449">
        <v>637156.14</v>
      </c>
      <c r="D140" s="135" t="s">
        <v>9</v>
      </c>
    </row>
    <row r="141" spans="2:4" x14ac:dyDescent="0.25">
      <c r="B141" s="451">
        <v>46146</v>
      </c>
      <c r="C141" s="449">
        <v>-6447.83</v>
      </c>
      <c r="D141" s="135" t="s">
        <v>12</v>
      </c>
    </row>
    <row r="142" spans="2:4" x14ac:dyDescent="0.25">
      <c r="B142" s="451">
        <v>46146</v>
      </c>
      <c r="C142" s="449">
        <v>-62085.130000000005</v>
      </c>
      <c r="D142" s="135" t="s">
        <v>8</v>
      </c>
    </row>
    <row r="143" spans="2:4" x14ac:dyDescent="0.25">
      <c r="B143" s="451">
        <v>46146</v>
      </c>
      <c r="C143" s="449">
        <v>2751</v>
      </c>
      <c r="D143" s="135" t="s">
        <v>1023</v>
      </c>
    </row>
    <row r="144" spans="2:4" x14ac:dyDescent="0.25">
      <c r="B144" s="451">
        <v>46146</v>
      </c>
      <c r="C144" s="449">
        <v>0</v>
      </c>
      <c r="D144" s="135" t="s">
        <v>1032</v>
      </c>
    </row>
    <row r="145" spans="2:4" x14ac:dyDescent="0.25">
      <c r="B145" s="451">
        <v>46146</v>
      </c>
      <c r="C145" s="449">
        <v>-28570.46</v>
      </c>
      <c r="D145" s="135" t="s">
        <v>481</v>
      </c>
    </row>
    <row r="146" spans="2:4" x14ac:dyDescent="0.25">
      <c r="B146" s="451">
        <v>46146</v>
      </c>
      <c r="C146" s="449">
        <v>29353.53</v>
      </c>
      <c r="D146" s="135" t="s">
        <v>729</v>
      </c>
    </row>
    <row r="147" spans="2:4" x14ac:dyDescent="0.25">
      <c r="B147" s="451">
        <v>46146</v>
      </c>
      <c r="C147" s="449">
        <v>2050.96</v>
      </c>
      <c r="D147" s="135" t="s">
        <v>465</v>
      </c>
    </row>
    <row r="148" spans="2:4" x14ac:dyDescent="0.25">
      <c r="B148" s="451">
        <v>46146</v>
      </c>
      <c r="C148" s="449">
        <v>1745.97</v>
      </c>
      <c r="D148" s="135" t="s">
        <v>13</v>
      </c>
    </row>
    <row r="149" spans="2:4" x14ac:dyDescent="0.25">
      <c r="B149" s="451">
        <v>46146</v>
      </c>
      <c r="C149" s="449">
        <v>543.9</v>
      </c>
      <c r="D149" s="135" t="s">
        <v>670</v>
      </c>
    </row>
    <row r="150" spans="2:4" x14ac:dyDescent="0.25">
      <c r="B150" s="451">
        <v>46146</v>
      </c>
      <c r="C150" s="449">
        <v>-2905.16</v>
      </c>
      <c r="D150" s="135" t="s">
        <v>779</v>
      </c>
    </row>
    <row r="151" spans="2:4" x14ac:dyDescent="0.25">
      <c r="B151" s="451">
        <v>46146</v>
      </c>
      <c r="C151" s="449">
        <v>-4287.3500000000004</v>
      </c>
      <c r="D151" s="135" t="s">
        <v>482</v>
      </c>
    </row>
    <row r="152" spans="2:4" x14ac:dyDescent="0.25">
      <c r="B152" s="451">
        <v>46146</v>
      </c>
      <c r="C152" s="449">
        <v>106028.82</v>
      </c>
      <c r="D152" s="135" t="s">
        <v>673</v>
      </c>
    </row>
    <row r="153" spans="2:4" x14ac:dyDescent="0.25">
      <c r="B153" s="451">
        <v>46146</v>
      </c>
      <c r="C153" s="449">
        <v>729.01</v>
      </c>
      <c r="D153" s="135" t="s">
        <v>677</v>
      </c>
    </row>
    <row r="154" spans="2:4" x14ac:dyDescent="0.25">
      <c r="B154" s="451">
        <v>46146</v>
      </c>
      <c r="C154" s="449">
        <v>259.02999999999997</v>
      </c>
      <c r="D154" s="135" t="s">
        <v>678</v>
      </c>
    </row>
    <row r="155" spans="2:4" x14ac:dyDescent="0.25">
      <c r="B155" s="451">
        <v>46146</v>
      </c>
      <c r="C155" s="449">
        <v>0</v>
      </c>
      <c r="D155" s="135" t="s">
        <v>753</v>
      </c>
    </row>
    <row r="156" spans="2:4" x14ac:dyDescent="0.25">
      <c r="B156" s="451">
        <v>46146</v>
      </c>
      <c r="C156" s="449">
        <v>-114791.79</v>
      </c>
      <c r="D156" s="135" t="s">
        <v>671</v>
      </c>
    </row>
    <row r="157" spans="2:4" x14ac:dyDescent="0.25">
      <c r="B157" s="451">
        <v>46146</v>
      </c>
      <c r="C157" s="449">
        <v>-40683.660000000003</v>
      </c>
      <c r="D157" s="135" t="s">
        <v>956</v>
      </c>
    </row>
    <row r="158" spans="2:4" x14ac:dyDescent="0.25">
      <c r="B158" s="451">
        <v>46146</v>
      </c>
      <c r="C158" s="449">
        <v>8025.8300000000008</v>
      </c>
      <c r="D158" s="135" t="s">
        <v>773</v>
      </c>
    </row>
    <row r="159" spans="2:4" x14ac:dyDescent="0.25">
      <c r="B159" s="451">
        <v>46146</v>
      </c>
      <c r="C159" s="449">
        <v>456.12</v>
      </c>
      <c r="D159" s="135" t="s">
        <v>793</v>
      </c>
    </row>
    <row r="160" spans="2:4" x14ac:dyDescent="0.25">
      <c r="B160" s="451">
        <v>46146</v>
      </c>
      <c r="C160" s="449">
        <v>0</v>
      </c>
      <c r="D160" s="135" t="s">
        <v>777</v>
      </c>
    </row>
    <row r="161" spans="2:4" x14ac:dyDescent="0.25">
      <c r="B161" s="451">
        <v>46174</v>
      </c>
      <c r="C161" s="449">
        <v>895857.05999999994</v>
      </c>
      <c r="D161" s="135" t="s">
        <v>11</v>
      </c>
    </row>
    <row r="162" spans="2:4" x14ac:dyDescent="0.25">
      <c r="B162" s="451">
        <v>46174</v>
      </c>
      <c r="C162" s="449">
        <v>199234.8</v>
      </c>
      <c r="D162" s="135" t="s">
        <v>7</v>
      </c>
    </row>
    <row r="163" spans="2:4" x14ac:dyDescent="0.25">
      <c r="B163" s="451">
        <v>46174</v>
      </c>
      <c r="C163" s="449">
        <v>4336.51</v>
      </c>
      <c r="D163" s="135" t="s">
        <v>479</v>
      </c>
    </row>
    <row r="164" spans="2:4" x14ac:dyDescent="0.25">
      <c r="B164" s="451">
        <v>46174</v>
      </c>
      <c r="C164" s="449">
        <v>29119.280000000002</v>
      </c>
      <c r="D164" s="135" t="s">
        <v>10</v>
      </c>
    </row>
    <row r="165" spans="2:4" x14ac:dyDescent="0.25">
      <c r="B165" s="451">
        <v>46174</v>
      </c>
      <c r="C165" s="449">
        <v>318.66000000000003</v>
      </c>
      <c r="D165" s="135" t="s">
        <v>804</v>
      </c>
    </row>
    <row r="166" spans="2:4" x14ac:dyDescent="0.25">
      <c r="B166" s="451">
        <v>46174</v>
      </c>
      <c r="C166" s="449">
        <v>2088667.99</v>
      </c>
      <c r="D166" s="135" t="s">
        <v>9</v>
      </c>
    </row>
    <row r="167" spans="2:4" x14ac:dyDescent="0.25">
      <c r="B167" s="451">
        <v>46174</v>
      </c>
      <c r="C167" s="449">
        <v>15808.68</v>
      </c>
      <c r="D167" s="135" t="s">
        <v>12</v>
      </c>
    </row>
    <row r="168" spans="2:4" x14ac:dyDescent="0.25">
      <c r="B168" s="451">
        <v>46174</v>
      </c>
      <c r="C168" s="449">
        <v>63206.74</v>
      </c>
      <c r="D168" s="135" t="s">
        <v>8</v>
      </c>
    </row>
    <row r="169" spans="2:4" x14ac:dyDescent="0.25">
      <c r="B169" s="451">
        <v>46174</v>
      </c>
      <c r="C169" s="449">
        <v>2264</v>
      </c>
      <c r="D169" s="135" t="s">
        <v>1023</v>
      </c>
    </row>
    <row r="170" spans="2:4" x14ac:dyDescent="0.25">
      <c r="B170" s="451">
        <v>46174</v>
      </c>
      <c r="C170" s="449">
        <v>0</v>
      </c>
      <c r="D170" s="135" t="s">
        <v>1032</v>
      </c>
    </row>
    <row r="171" spans="2:4" x14ac:dyDescent="0.25">
      <c r="B171" s="451">
        <v>46174</v>
      </c>
      <c r="C171" s="449">
        <v>-35687.120000000003</v>
      </c>
      <c r="D171" s="135" t="s">
        <v>481</v>
      </c>
    </row>
    <row r="172" spans="2:4" x14ac:dyDescent="0.25">
      <c r="B172" s="451">
        <v>46174</v>
      </c>
      <c r="C172" s="449">
        <v>51828.94</v>
      </c>
      <c r="D172" s="135" t="s">
        <v>729</v>
      </c>
    </row>
    <row r="173" spans="2:4" x14ac:dyDescent="0.25">
      <c r="B173" s="451">
        <v>46174</v>
      </c>
      <c r="C173" s="449">
        <v>210563.44</v>
      </c>
      <c r="D173" s="135" t="s">
        <v>465</v>
      </c>
    </row>
    <row r="174" spans="2:4" x14ac:dyDescent="0.25">
      <c r="B174" s="451">
        <v>46174</v>
      </c>
      <c r="C174" s="449">
        <v>440479</v>
      </c>
      <c r="D174" s="135" t="s">
        <v>13</v>
      </c>
    </row>
    <row r="175" spans="2:4" x14ac:dyDescent="0.25">
      <c r="B175" s="451">
        <v>46174</v>
      </c>
      <c r="C175" s="449">
        <v>442.16</v>
      </c>
      <c r="D175" s="135" t="s">
        <v>670</v>
      </c>
    </row>
    <row r="176" spans="2:4" x14ac:dyDescent="0.25">
      <c r="B176" s="451">
        <v>46174</v>
      </c>
      <c r="C176" s="449">
        <v>3746.08</v>
      </c>
      <c r="D176" s="135" t="s">
        <v>779</v>
      </c>
    </row>
    <row r="177" spans="2:4" x14ac:dyDescent="0.25">
      <c r="B177" s="451">
        <v>46174</v>
      </c>
      <c r="C177" s="449">
        <v>-12521.119999999999</v>
      </c>
      <c r="D177" s="135" t="s">
        <v>482</v>
      </c>
    </row>
    <row r="178" spans="2:4" x14ac:dyDescent="0.25">
      <c r="B178" s="451">
        <v>46174</v>
      </c>
      <c r="C178" s="449">
        <v>2032960.69</v>
      </c>
      <c r="D178" s="135" t="s">
        <v>673</v>
      </c>
    </row>
    <row r="179" spans="2:4" x14ac:dyDescent="0.25">
      <c r="B179" s="451">
        <v>46174</v>
      </c>
      <c r="C179" s="449">
        <v>3615.89</v>
      </c>
      <c r="D179" s="135" t="s">
        <v>677</v>
      </c>
    </row>
    <row r="180" spans="2:4" x14ac:dyDescent="0.25">
      <c r="B180" s="451">
        <v>46174</v>
      </c>
      <c r="C180" s="449">
        <v>1446.94</v>
      </c>
      <c r="D180" s="135" t="s">
        <v>678</v>
      </c>
    </row>
    <row r="181" spans="2:4" x14ac:dyDescent="0.25">
      <c r="B181" s="451">
        <v>46174</v>
      </c>
      <c r="C181" s="449">
        <v>0</v>
      </c>
      <c r="D181" s="135" t="s">
        <v>753</v>
      </c>
    </row>
    <row r="182" spans="2:4" x14ac:dyDescent="0.25">
      <c r="B182" s="451">
        <v>46174</v>
      </c>
      <c r="C182" s="449">
        <v>6104.32</v>
      </c>
      <c r="D182" s="135" t="s">
        <v>671</v>
      </c>
    </row>
    <row r="183" spans="2:4" x14ac:dyDescent="0.25">
      <c r="B183" s="451">
        <v>46174</v>
      </c>
      <c r="C183" s="449">
        <v>-39852.39</v>
      </c>
      <c r="D183" s="135" t="s">
        <v>956</v>
      </c>
    </row>
    <row r="184" spans="2:4" x14ac:dyDescent="0.25">
      <c r="B184" s="451">
        <v>46174</v>
      </c>
      <c r="C184" s="449">
        <v>9268.59</v>
      </c>
      <c r="D184" s="135" t="s">
        <v>773</v>
      </c>
    </row>
    <row r="185" spans="2:4" x14ac:dyDescent="0.25">
      <c r="B185" s="451">
        <v>46174</v>
      </c>
      <c r="C185" s="449">
        <v>988.38</v>
      </c>
      <c r="D185" s="135" t="s">
        <v>793</v>
      </c>
    </row>
    <row r="186" spans="2:4" x14ac:dyDescent="0.25">
      <c r="B186" s="451">
        <v>46174</v>
      </c>
      <c r="C186" s="449">
        <v>0</v>
      </c>
      <c r="D186" s="135" t="s">
        <v>777</v>
      </c>
    </row>
    <row r="187" spans="2:4" x14ac:dyDescent="0.25">
      <c r="B187" s="451">
        <v>46204</v>
      </c>
      <c r="C187" s="449">
        <v>938198.67</v>
      </c>
      <c r="D187" s="135" t="s">
        <v>7</v>
      </c>
    </row>
    <row r="188" spans="2:4" x14ac:dyDescent="0.25">
      <c r="B188" s="451">
        <v>46204</v>
      </c>
      <c r="C188" s="449">
        <v>0</v>
      </c>
      <c r="D188" s="135" t="s">
        <v>670</v>
      </c>
    </row>
    <row r="189" spans="2:4" x14ac:dyDescent="0.25">
      <c r="B189" s="451">
        <v>46204</v>
      </c>
      <c r="C189" s="449">
        <v>58441.34</v>
      </c>
      <c r="D189" s="135" t="s">
        <v>8</v>
      </c>
    </row>
    <row r="190" spans="2:4" x14ac:dyDescent="0.25">
      <c r="B190" s="451">
        <v>46204</v>
      </c>
      <c r="C190" s="449">
        <v>-587.80999999999995</v>
      </c>
      <c r="D190" s="135" t="s">
        <v>671</v>
      </c>
    </row>
    <row r="191" spans="2:4" x14ac:dyDescent="0.25">
      <c r="B191" s="451">
        <v>46204</v>
      </c>
      <c r="C191" s="449">
        <v>88224.82</v>
      </c>
      <c r="D191" s="135" t="s">
        <v>673</v>
      </c>
    </row>
    <row r="192" spans="2:4" x14ac:dyDescent="0.25">
      <c r="B192" s="451">
        <v>46204</v>
      </c>
      <c r="C192" s="449">
        <v>0</v>
      </c>
      <c r="D192" s="135" t="s">
        <v>777</v>
      </c>
    </row>
    <row r="193" spans="2:4" x14ac:dyDescent="0.25">
      <c r="B193" s="451">
        <v>46204</v>
      </c>
      <c r="C193" s="449">
        <v>1445.04</v>
      </c>
      <c r="D193" s="135" t="s">
        <v>773</v>
      </c>
    </row>
    <row r="194" spans="2:4" x14ac:dyDescent="0.25">
      <c r="B194" s="451">
        <v>46204</v>
      </c>
      <c r="C194" s="449">
        <v>2090</v>
      </c>
      <c r="D194" s="135" t="s">
        <v>1023</v>
      </c>
    </row>
    <row r="195" spans="2:4" x14ac:dyDescent="0.25">
      <c r="B195" s="451">
        <v>46204</v>
      </c>
      <c r="C195" s="449">
        <v>17355.18</v>
      </c>
      <c r="D195" s="135" t="s">
        <v>779</v>
      </c>
    </row>
    <row r="196" spans="2:4" x14ac:dyDescent="0.25">
      <c r="B196" s="451">
        <v>46204</v>
      </c>
      <c r="C196" s="449">
        <v>4790.51</v>
      </c>
      <c r="D196" s="135" t="s">
        <v>479</v>
      </c>
    </row>
    <row r="197" spans="2:4" x14ac:dyDescent="0.25">
      <c r="B197" s="451">
        <v>46204</v>
      </c>
      <c r="C197" s="449">
        <v>30953.41</v>
      </c>
      <c r="D197" s="135" t="s">
        <v>9</v>
      </c>
    </row>
    <row r="198" spans="2:4" x14ac:dyDescent="0.25">
      <c r="B198" s="451">
        <v>46204</v>
      </c>
      <c r="C198" s="449">
        <v>-16578.120000000003</v>
      </c>
      <c r="D198" s="135" t="s">
        <v>481</v>
      </c>
    </row>
    <row r="199" spans="2:4" x14ac:dyDescent="0.25">
      <c r="B199" s="451">
        <v>46204</v>
      </c>
      <c r="C199" s="449">
        <v>69713.08</v>
      </c>
      <c r="D199" s="135" t="s">
        <v>677</v>
      </c>
    </row>
    <row r="200" spans="2:4" x14ac:dyDescent="0.25">
      <c r="B200" s="451">
        <v>46204</v>
      </c>
      <c r="C200" s="449">
        <v>19496.11</v>
      </c>
      <c r="D200" s="135" t="s">
        <v>753</v>
      </c>
    </row>
    <row r="201" spans="2:4" x14ac:dyDescent="0.25">
      <c r="B201" s="451">
        <v>46204</v>
      </c>
      <c r="C201" s="449">
        <v>3036.6000000000004</v>
      </c>
      <c r="D201" s="135" t="s">
        <v>482</v>
      </c>
    </row>
    <row r="202" spans="2:4" x14ac:dyDescent="0.25">
      <c r="B202" s="451">
        <v>46204</v>
      </c>
      <c r="C202" s="449">
        <v>215714.90999999997</v>
      </c>
      <c r="D202" s="135" t="s">
        <v>10</v>
      </c>
    </row>
    <row r="203" spans="2:4" x14ac:dyDescent="0.25">
      <c r="B203" s="451">
        <v>46204</v>
      </c>
      <c r="C203" s="449">
        <v>3219.67</v>
      </c>
      <c r="D203" s="135" t="s">
        <v>793</v>
      </c>
    </row>
    <row r="204" spans="2:4" x14ac:dyDescent="0.25">
      <c r="B204" s="451">
        <v>46204</v>
      </c>
      <c r="C204" s="449">
        <v>298411.48</v>
      </c>
      <c r="D204" s="135" t="s">
        <v>11</v>
      </c>
    </row>
    <row r="205" spans="2:4" x14ac:dyDescent="0.25">
      <c r="B205" s="451">
        <v>46204</v>
      </c>
      <c r="C205" s="449">
        <v>386432.78</v>
      </c>
      <c r="D205" s="135" t="s">
        <v>465</v>
      </c>
    </row>
    <row r="206" spans="2:4" x14ac:dyDescent="0.25">
      <c r="B206" s="451">
        <v>46204</v>
      </c>
      <c r="C206" s="449">
        <v>8510</v>
      </c>
      <c r="D206" s="135" t="s">
        <v>678</v>
      </c>
    </row>
    <row r="207" spans="2:4" x14ac:dyDescent="0.25">
      <c r="B207" s="451">
        <v>46204</v>
      </c>
      <c r="C207" s="449">
        <v>70542.19</v>
      </c>
      <c r="D207" s="135" t="s">
        <v>12</v>
      </c>
    </row>
    <row r="208" spans="2:4" x14ac:dyDescent="0.25">
      <c r="B208" s="451">
        <v>46204</v>
      </c>
      <c r="C208" s="449">
        <v>190249.72</v>
      </c>
      <c r="D208" s="135" t="s">
        <v>13</v>
      </c>
    </row>
    <row r="209" spans="2:4" x14ac:dyDescent="0.25">
      <c r="B209" s="451">
        <v>46204</v>
      </c>
      <c r="C209" s="449">
        <v>18691.509999999998</v>
      </c>
      <c r="D209" s="135" t="s">
        <v>804</v>
      </c>
    </row>
    <row r="210" spans="2:4" x14ac:dyDescent="0.25">
      <c r="B210" s="451">
        <v>46204</v>
      </c>
      <c r="C210" s="449">
        <v>75616.160000000003</v>
      </c>
      <c r="D210" s="135" t="s">
        <v>729</v>
      </c>
    </row>
    <row r="211" spans="2:4" x14ac:dyDescent="0.25">
      <c r="B211" s="451">
        <v>46204</v>
      </c>
      <c r="C211" s="449">
        <v>0</v>
      </c>
      <c r="D211" s="135" t="s">
        <v>1032</v>
      </c>
    </row>
    <row r="212" spans="2:4" x14ac:dyDescent="0.25">
      <c r="B212" s="451">
        <v>46204</v>
      </c>
      <c r="C212" s="449">
        <v>785.2</v>
      </c>
      <c r="D212" s="135" t="s">
        <v>956</v>
      </c>
    </row>
    <row r="213" spans="2:4" x14ac:dyDescent="0.25">
      <c r="B213" s="451">
        <v>46237</v>
      </c>
      <c r="C213" s="449">
        <v>1144946.3799999999</v>
      </c>
      <c r="D213" s="135" t="s">
        <v>7</v>
      </c>
    </row>
    <row r="214" spans="2:4" x14ac:dyDescent="0.25">
      <c r="B214" s="451">
        <v>46237</v>
      </c>
      <c r="C214" s="449">
        <v>0</v>
      </c>
      <c r="D214" s="135" t="s">
        <v>670</v>
      </c>
    </row>
    <row r="215" spans="2:4" x14ac:dyDescent="0.25">
      <c r="B215" s="451">
        <v>46237</v>
      </c>
      <c r="C215" s="449">
        <v>83753.87</v>
      </c>
      <c r="D215" s="135" t="s">
        <v>8</v>
      </c>
    </row>
    <row r="216" spans="2:4" x14ac:dyDescent="0.25">
      <c r="B216" s="451">
        <v>46237</v>
      </c>
      <c r="C216" s="449">
        <v>10625.55</v>
      </c>
      <c r="D216" s="135" t="s">
        <v>671</v>
      </c>
    </row>
    <row r="217" spans="2:4" x14ac:dyDescent="0.25">
      <c r="B217" s="451">
        <v>46237</v>
      </c>
      <c r="C217" s="449">
        <v>83301.740000000005</v>
      </c>
      <c r="D217" s="135" t="s">
        <v>673</v>
      </c>
    </row>
    <row r="218" spans="2:4" x14ac:dyDescent="0.25">
      <c r="B218" s="451">
        <v>46237</v>
      </c>
      <c r="C218" s="449">
        <v>0</v>
      </c>
      <c r="D218" s="135" t="s">
        <v>777</v>
      </c>
    </row>
    <row r="219" spans="2:4" x14ac:dyDescent="0.25">
      <c r="B219" s="451">
        <v>46237</v>
      </c>
      <c r="C219" s="449">
        <v>9908.4599999999991</v>
      </c>
      <c r="D219" s="135" t="s">
        <v>773</v>
      </c>
    </row>
    <row r="220" spans="2:4" x14ac:dyDescent="0.25">
      <c r="B220" s="451">
        <v>46237</v>
      </c>
      <c r="C220" s="449">
        <v>3258.4</v>
      </c>
      <c r="D220" s="135" t="s">
        <v>1023</v>
      </c>
    </row>
    <row r="221" spans="2:4" x14ac:dyDescent="0.25">
      <c r="B221" s="451">
        <v>46237</v>
      </c>
      <c r="C221" s="449">
        <v>-3781.55</v>
      </c>
      <c r="D221" s="135" t="s">
        <v>779</v>
      </c>
    </row>
    <row r="222" spans="2:4" x14ac:dyDescent="0.25">
      <c r="B222" s="451">
        <v>46237</v>
      </c>
      <c r="C222" s="449">
        <v>5013.99</v>
      </c>
      <c r="D222" s="135" t="s">
        <v>479</v>
      </c>
    </row>
    <row r="223" spans="2:4" x14ac:dyDescent="0.25">
      <c r="B223" s="451">
        <v>46237</v>
      </c>
      <c r="C223" s="449">
        <v>1162996.3700000001</v>
      </c>
      <c r="D223" s="135" t="s">
        <v>9</v>
      </c>
    </row>
    <row r="224" spans="2:4" x14ac:dyDescent="0.25">
      <c r="B224" s="451">
        <v>46237</v>
      </c>
      <c r="C224" s="449">
        <v>1312.1599999999999</v>
      </c>
      <c r="D224" s="135" t="s">
        <v>481</v>
      </c>
    </row>
    <row r="225" spans="2:4" x14ac:dyDescent="0.25">
      <c r="B225" s="451">
        <v>46237</v>
      </c>
      <c r="C225" s="449">
        <v>2606.1099999999997</v>
      </c>
      <c r="D225" s="135" t="s">
        <v>677</v>
      </c>
    </row>
    <row r="226" spans="2:4" x14ac:dyDescent="0.25">
      <c r="B226" s="451">
        <v>46237</v>
      </c>
      <c r="C226" s="449">
        <v>19330.830000000002</v>
      </c>
      <c r="D226" s="135" t="s">
        <v>753</v>
      </c>
    </row>
    <row r="227" spans="2:4" x14ac:dyDescent="0.25">
      <c r="B227" s="451">
        <v>46237</v>
      </c>
      <c r="C227" s="449">
        <v>0</v>
      </c>
      <c r="D227" s="135" t="s">
        <v>482</v>
      </c>
    </row>
    <row r="228" spans="2:4" x14ac:dyDescent="0.25">
      <c r="B228" s="451">
        <v>46237</v>
      </c>
      <c r="C228" s="449">
        <v>208915.06</v>
      </c>
      <c r="D228" s="135" t="s">
        <v>10</v>
      </c>
    </row>
    <row r="229" spans="2:4" x14ac:dyDescent="0.25">
      <c r="B229" s="451">
        <v>46237</v>
      </c>
      <c r="C229" s="449">
        <v>12300.82</v>
      </c>
      <c r="D229" s="135" t="s">
        <v>793</v>
      </c>
    </row>
    <row r="230" spans="2:4" x14ac:dyDescent="0.25">
      <c r="B230" s="451">
        <v>46237</v>
      </c>
      <c r="C230" s="449">
        <v>0</v>
      </c>
      <c r="D230" s="135" t="s">
        <v>730</v>
      </c>
    </row>
    <row r="231" spans="2:4" x14ac:dyDescent="0.25">
      <c r="B231" s="451">
        <v>46237</v>
      </c>
      <c r="C231" s="449">
        <v>397073.36</v>
      </c>
      <c r="D231" s="135" t="s">
        <v>11</v>
      </c>
    </row>
    <row r="232" spans="2:4" x14ac:dyDescent="0.25">
      <c r="B232" s="451">
        <v>46237</v>
      </c>
      <c r="C232" s="449">
        <v>0</v>
      </c>
      <c r="D232" s="135" t="s">
        <v>1105</v>
      </c>
    </row>
    <row r="233" spans="2:4" x14ac:dyDescent="0.25">
      <c r="B233" s="451">
        <v>46237</v>
      </c>
      <c r="C233" s="449">
        <v>105742.51000000001</v>
      </c>
      <c r="D233" s="135" t="s">
        <v>465</v>
      </c>
    </row>
    <row r="234" spans="2:4" x14ac:dyDescent="0.25">
      <c r="B234" s="451">
        <v>46237</v>
      </c>
      <c r="C234" s="449">
        <v>8617.08</v>
      </c>
      <c r="D234" s="135" t="s">
        <v>678</v>
      </c>
    </row>
    <row r="235" spans="2:4" x14ac:dyDescent="0.25">
      <c r="B235" s="451">
        <v>46237</v>
      </c>
      <c r="C235" s="449">
        <v>2340353.04</v>
      </c>
      <c r="D235" s="135" t="s">
        <v>12</v>
      </c>
    </row>
    <row r="236" spans="2:4" x14ac:dyDescent="0.25">
      <c r="B236" s="451">
        <v>46237</v>
      </c>
      <c r="C236" s="449">
        <v>1388194.21</v>
      </c>
      <c r="D236" s="135" t="s">
        <v>13</v>
      </c>
    </row>
    <row r="237" spans="2:4" x14ac:dyDescent="0.25">
      <c r="B237" s="451">
        <v>46237</v>
      </c>
      <c r="C237" s="449">
        <v>17064.55</v>
      </c>
      <c r="D237" s="135" t="s">
        <v>804</v>
      </c>
    </row>
    <row r="238" spans="2:4" x14ac:dyDescent="0.25">
      <c r="B238" s="451">
        <v>46237</v>
      </c>
      <c r="C238" s="449">
        <v>100594</v>
      </c>
      <c r="D238" s="135" t="s">
        <v>729</v>
      </c>
    </row>
    <row r="239" spans="2:4" x14ac:dyDescent="0.25">
      <c r="B239" s="451">
        <v>46237</v>
      </c>
      <c r="C239" s="449">
        <v>0</v>
      </c>
      <c r="D239" s="135" t="s">
        <v>1032</v>
      </c>
    </row>
    <row r="240" spans="2:4" x14ac:dyDescent="0.25">
      <c r="B240" s="451">
        <v>46237</v>
      </c>
      <c r="C240" s="449">
        <v>0</v>
      </c>
      <c r="D240" s="135" t="s">
        <v>1113</v>
      </c>
    </row>
    <row r="241" spans="2:4" x14ac:dyDescent="0.25">
      <c r="B241" s="451">
        <v>46237</v>
      </c>
      <c r="C241" s="449">
        <v>0</v>
      </c>
      <c r="D241" s="135" t="s">
        <v>956</v>
      </c>
    </row>
    <row r="242" spans="2:4" x14ac:dyDescent="0.25">
      <c r="B242" s="451">
        <v>46266</v>
      </c>
      <c r="C242" s="449">
        <v>44512.930000000008</v>
      </c>
      <c r="D242" s="135" t="s">
        <v>7</v>
      </c>
    </row>
    <row r="243" spans="2:4" x14ac:dyDescent="0.25">
      <c r="B243" s="451">
        <v>46266</v>
      </c>
      <c r="C243" s="449">
        <v>899.26</v>
      </c>
      <c r="D243" s="135" t="s">
        <v>670</v>
      </c>
    </row>
    <row r="244" spans="2:4" x14ac:dyDescent="0.25">
      <c r="B244" s="451">
        <v>46266</v>
      </c>
      <c r="C244" s="449">
        <v>13357.119999999999</v>
      </c>
      <c r="D244" s="135" t="s">
        <v>8</v>
      </c>
    </row>
    <row r="245" spans="2:4" x14ac:dyDescent="0.25">
      <c r="B245" s="451">
        <v>46266</v>
      </c>
      <c r="C245" s="449">
        <v>9387.6299999999992</v>
      </c>
      <c r="D245" s="135" t="s">
        <v>671</v>
      </c>
    </row>
    <row r="246" spans="2:4" x14ac:dyDescent="0.25">
      <c r="B246" s="451">
        <v>46266</v>
      </c>
      <c r="C246" s="449">
        <v>127863.48000000001</v>
      </c>
      <c r="D246" s="135" t="s">
        <v>673</v>
      </c>
    </row>
    <row r="247" spans="2:4" x14ac:dyDescent="0.25">
      <c r="B247" s="451">
        <v>46266</v>
      </c>
      <c r="C247" s="449">
        <v>0</v>
      </c>
      <c r="D247" s="135" t="s">
        <v>777</v>
      </c>
    </row>
    <row r="248" spans="2:4" x14ac:dyDescent="0.25">
      <c r="B248" s="451">
        <v>46266</v>
      </c>
      <c r="C248" s="449">
        <v>17821.34</v>
      </c>
      <c r="D248" s="135" t="s">
        <v>773</v>
      </c>
    </row>
    <row r="249" spans="2:4" x14ac:dyDescent="0.25">
      <c r="B249" s="451">
        <v>46266</v>
      </c>
      <c r="C249" s="449">
        <v>3427.4</v>
      </c>
      <c r="D249" s="135" t="s">
        <v>1023</v>
      </c>
    </row>
    <row r="250" spans="2:4" x14ac:dyDescent="0.25">
      <c r="B250" s="451">
        <v>46266</v>
      </c>
      <c r="C250" s="449">
        <v>4121.74</v>
      </c>
      <c r="D250" s="135" t="s">
        <v>779</v>
      </c>
    </row>
    <row r="251" spans="2:4" x14ac:dyDescent="0.25">
      <c r="B251" s="451">
        <v>46266</v>
      </c>
      <c r="C251" s="449">
        <v>-18600.559999999998</v>
      </c>
      <c r="D251" s="135" t="s">
        <v>479</v>
      </c>
    </row>
    <row r="252" spans="2:4" x14ac:dyDescent="0.25">
      <c r="B252" s="451">
        <v>46266</v>
      </c>
      <c r="C252" s="449">
        <v>66884.06</v>
      </c>
      <c r="D252" s="135" t="s">
        <v>9</v>
      </c>
    </row>
    <row r="253" spans="2:4" x14ac:dyDescent="0.25">
      <c r="B253" s="451">
        <v>46266</v>
      </c>
      <c r="C253" s="449">
        <v>632814.68000000005</v>
      </c>
      <c r="D253" s="135" t="s">
        <v>481</v>
      </c>
    </row>
    <row r="254" spans="2:4" x14ac:dyDescent="0.25">
      <c r="B254" s="451">
        <v>46266</v>
      </c>
      <c r="C254" s="449">
        <v>116976.73</v>
      </c>
      <c r="D254" s="135" t="s">
        <v>677</v>
      </c>
    </row>
    <row r="255" spans="2:4" x14ac:dyDescent="0.25">
      <c r="B255" s="451">
        <v>46266</v>
      </c>
      <c r="C255" s="449">
        <v>3064.63</v>
      </c>
      <c r="D255" s="135" t="s">
        <v>753</v>
      </c>
    </row>
    <row r="256" spans="2:4" x14ac:dyDescent="0.25">
      <c r="B256" s="451">
        <v>46266</v>
      </c>
      <c r="C256" s="449">
        <v>0</v>
      </c>
      <c r="D256" s="135" t="s">
        <v>482</v>
      </c>
    </row>
    <row r="257" spans="2:4" x14ac:dyDescent="0.25">
      <c r="B257" s="451">
        <v>46266</v>
      </c>
      <c r="C257" s="449">
        <v>140026.29999999999</v>
      </c>
      <c r="D257" s="135" t="s">
        <v>10</v>
      </c>
    </row>
    <row r="258" spans="2:4" x14ac:dyDescent="0.25">
      <c r="B258" s="451">
        <v>46266</v>
      </c>
      <c r="C258" s="449">
        <v>8897.24</v>
      </c>
      <c r="D258" s="135" t="s">
        <v>793</v>
      </c>
    </row>
    <row r="259" spans="2:4" x14ac:dyDescent="0.25">
      <c r="B259" s="451">
        <v>46266</v>
      </c>
      <c r="C259" s="449">
        <v>0</v>
      </c>
      <c r="D259" s="135" t="s">
        <v>730</v>
      </c>
    </row>
    <row r="260" spans="2:4" x14ac:dyDescent="0.25">
      <c r="B260" s="451">
        <v>46266</v>
      </c>
      <c r="C260" s="449">
        <v>458042.94999999995</v>
      </c>
      <c r="D260" s="135" t="s">
        <v>11</v>
      </c>
    </row>
    <row r="261" spans="2:4" x14ac:dyDescent="0.25">
      <c r="B261" s="451">
        <v>46266</v>
      </c>
      <c r="C261" s="449">
        <v>0</v>
      </c>
      <c r="D261" s="135" t="s">
        <v>1105</v>
      </c>
    </row>
    <row r="262" spans="2:4" x14ac:dyDescent="0.25">
      <c r="B262" s="451">
        <v>46266</v>
      </c>
      <c r="C262" s="449">
        <v>21334.84</v>
      </c>
      <c r="D262" s="135" t="s">
        <v>465</v>
      </c>
    </row>
    <row r="263" spans="2:4" x14ac:dyDescent="0.25">
      <c r="B263" s="451">
        <v>46266</v>
      </c>
      <c r="C263" s="449">
        <v>18755.18</v>
      </c>
      <c r="D263" s="135" t="s">
        <v>678</v>
      </c>
    </row>
    <row r="264" spans="2:4" x14ac:dyDescent="0.25">
      <c r="B264" s="451">
        <v>46266</v>
      </c>
      <c r="C264" s="449">
        <v>49192.1</v>
      </c>
      <c r="D264" s="135" t="s">
        <v>12</v>
      </c>
    </row>
    <row r="265" spans="2:4" x14ac:dyDescent="0.25">
      <c r="B265" s="451">
        <v>46266</v>
      </c>
      <c r="C265" s="449">
        <v>179329.6</v>
      </c>
      <c r="D265" s="135" t="s">
        <v>13</v>
      </c>
    </row>
    <row r="266" spans="2:4" x14ac:dyDescent="0.25">
      <c r="B266" s="451">
        <v>46266</v>
      </c>
      <c r="C266" s="449">
        <v>15439.38</v>
      </c>
      <c r="D266" s="135" t="s">
        <v>804</v>
      </c>
    </row>
    <row r="267" spans="2:4" x14ac:dyDescent="0.25">
      <c r="B267" s="451">
        <v>46266</v>
      </c>
      <c r="C267" s="449">
        <v>123940.22</v>
      </c>
      <c r="D267" s="135" t="s">
        <v>729</v>
      </c>
    </row>
    <row r="268" spans="2:4" x14ac:dyDescent="0.25">
      <c r="B268" s="451">
        <v>46266</v>
      </c>
      <c r="C268" s="449">
        <v>0</v>
      </c>
      <c r="D268" s="135" t="s">
        <v>1032</v>
      </c>
    </row>
    <row r="269" spans="2:4" x14ac:dyDescent="0.25">
      <c r="B269" s="451">
        <v>46266</v>
      </c>
      <c r="C269" s="449">
        <v>0</v>
      </c>
      <c r="D269" s="135" t="s">
        <v>1113</v>
      </c>
    </row>
    <row r="270" spans="2:4" x14ac:dyDescent="0.25">
      <c r="B270" s="451">
        <v>46266</v>
      </c>
      <c r="C270" s="449">
        <v>0</v>
      </c>
      <c r="D270" s="135" t="s">
        <v>956</v>
      </c>
    </row>
  </sheetData>
  <conditionalFormatting sqref="C8:J11">
    <cfRule type="cellIs" dxfId="8" priority="4" operator="lessThan">
      <formula>0</formula>
    </cfRule>
  </conditionalFormatting>
  <conditionalFormatting sqref="C3:N4">
    <cfRule type="cellIs" dxfId="7" priority="3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14CD-84D5-49AB-A9FE-956BE9B5D1A9}">
  <sheetPr>
    <tabColor rgb="FF00B050"/>
  </sheetPr>
  <dimension ref="A1:N194"/>
  <sheetViews>
    <sheetView showGridLines="0" zoomScale="80" zoomScaleNormal="80" workbookViewId="0">
      <selection activeCell="F8" sqref="F8"/>
    </sheetView>
  </sheetViews>
  <sheetFormatPr defaultRowHeight="15" x14ac:dyDescent="0.25"/>
  <cols>
    <col min="1" max="1" width="3.7109375" customWidth="1"/>
    <col min="2" max="2" width="16.5703125" bestFit="1" customWidth="1"/>
    <col min="3" max="5" width="21.7109375" customWidth="1"/>
    <col min="6" max="6" width="15.7109375" customWidth="1"/>
    <col min="7" max="10" width="16.7109375" customWidth="1"/>
    <col min="11" max="11" width="18.7109375" customWidth="1"/>
    <col min="12" max="12" width="12.85546875" bestFit="1" customWidth="1"/>
    <col min="13" max="14" width="16.7109375" customWidth="1"/>
    <col min="15" max="15" width="24" customWidth="1"/>
  </cols>
  <sheetData>
    <row r="1" spans="1:11" ht="21" x14ac:dyDescent="0.35">
      <c r="C1" s="607" t="str">
        <f>PROPER(TEXT(inputs!A1,"mmmm")) &amp; " de " &amp; YEAR(inputs!A1)</f>
        <v>Agosto de 2026</v>
      </c>
      <c r="D1" s="606"/>
      <c r="E1" s="606"/>
      <c r="F1" s="606"/>
    </row>
    <row r="2" spans="1:11" x14ac:dyDescent="0.25">
      <c r="C2" s="623">
        <f>SUM(C4:C66)</f>
        <v>-5064638.6899999995</v>
      </c>
      <c r="D2" s="624">
        <f>SUM(D4:D66)</f>
        <v>0</v>
      </c>
      <c r="E2" s="624">
        <f>SUM(E4:E66)</f>
        <v>5064638.6899999995</v>
      </c>
      <c r="F2" s="626">
        <f>AVERAGE(F4:F66)</f>
        <v>-1</v>
      </c>
      <c r="G2" s="622">
        <f>SUM(G4:G66)</f>
        <v>-5064638.6899999995</v>
      </c>
      <c r="H2" s="622">
        <f>SUM(H4:H66)</f>
        <v>0</v>
      </c>
      <c r="I2" s="622">
        <f>SUM(I4:I66)</f>
        <v>0</v>
      </c>
      <c r="J2" s="622">
        <f>SUM(J4:J66)</f>
        <v>0</v>
      </c>
      <c r="K2" s="622">
        <f>SUM(K4:K66)</f>
        <v>0</v>
      </c>
    </row>
    <row r="3" spans="1:11" x14ac:dyDescent="0.25">
      <c r="B3" s="610" t="s">
        <v>187</v>
      </c>
      <c r="C3" s="611" t="s">
        <v>2921</v>
      </c>
      <c r="D3" s="612" t="s">
        <v>2920</v>
      </c>
      <c r="E3" s="611" t="s">
        <v>887</v>
      </c>
      <c r="F3" s="611" t="s">
        <v>1001</v>
      </c>
      <c r="G3" s="458">
        <v>46235</v>
      </c>
      <c r="H3" s="458">
        <v>46266</v>
      </c>
      <c r="I3" s="458">
        <v>46296</v>
      </c>
      <c r="J3" s="458">
        <v>46327</v>
      </c>
      <c r="K3" s="459">
        <v>46357</v>
      </c>
    </row>
    <row r="4" spans="1:11" x14ac:dyDescent="0.25">
      <c r="A4" s="619">
        <v>1</v>
      </c>
      <c r="B4" s="613" t="str" cm="1">
        <f t="array" ref="B4:B66">_xlfn._xlws.SORT(_xlfn.UNIQUE(cx_conta[id]))</f>
        <v>AMP-CEF-1780</v>
      </c>
      <c r="C4" s="625">
        <f>SUMIFS(cx_conta[saldo],
  cx_conta[id],$B4,
  cx_conta[data], "&gt;="&amp;DATE(YEAR(inputs!$A$1),MONTH(inputs!$A$1+1),1),
  cx_conta[data], "&lt;"&amp;EOMONTH(inputs!$A$1,1)+1,
  cx_conta[soVisualizacao], FALSE
)
-SUMIFS(cx_conta[saldo],
  cx_conta[id],$B4,
  cx_conta[data],"&gt;="&amp;DATE(YEAR(inputs!$A$1),MONTH(inputs!$A$1),1),
  cx_conta[data],"&lt;"&amp;EOMONTH(inputs!$A$1,0),
  cx_conta[soVisualizacao],FALSE
)</f>
        <v>0</v>
      </c>
      <c r="D4" s="614"/>
      <c r="E4" s="614">
        <f>D4-C4</f>
        <v>0</v>
      </c>
      <c r="F4" s="352" t="str">
        <f>IFERROR(E4/C4,"")</f>
        <v/>
      </c>
      <c r="G4" s="614">
        <f>IF(G$3&gt;inputs!$A$1,
  0,
  SUMIFS(cx_conta[saldo],
    cx_conta[id],$B4,
    cx_conta[data],"&gt;="&amp;EOMONTH(G$3,0)+1,
    cx_conta[data],"&lt;"&amp;EOMONTH(G$3,1)+1,
    cx_conta[soVisualizacao],FALSE
  )
  -SUMIFS(cx_conta[saldo],
    cx_conta[id],$B4,
    cx_conta[data], "&gt;="&amp;G$3,
    cx_conta[data], "&lt;"&amp;EOMONTH(G$3,0)+1,
    cx_conta[soVisualizacao], FALSE
  )
)</f>
        <v>0</v>
      </c>
      <c r="H4" s="614">
        <f>IF(H$3&gt;inputs!$A$1,
  0,
  SUMIFS(cx_conta[saldo],
    cx_conta[id],$B4,
    cx_conta[data],"&gt;="&amp;EOMONTH(H$3,0)+1,
    cx_conta[data],"&lt;"&amp;EOMONTH(H$3,1)+1,
    cx_conta[soVisualizacao],FALSE
  )
  -SUMIFS(cx_conta[saldo],
    cx_conta[id],$B4,
    cx_conta[data], "&gt;="&amp;H$3,
    cx_conta[data], "&lt;"&amp;EOMONTH(H$3,0)+1,
    cx_conta[soVisualizacao], FALSE
  )
)</f>
        <v>0</v>
      </c>
      <c r="I4" s="614">
        <f>IF(I$3&gt;inputs!$A$1,
  0,
  SUMIFS(cx_conta[saldo],
    cx_conta[id],$B4,
    cx_conta[data],"&gt;="&amp;EOMONTH(I$3,0)+1,
    cx_conta[data],"&lt;"&amp;EOMONTH(I$3,1)+1,
    cx_conta[soVisualizacao],FALSE
  )
  -SUMIFS(cx_conta[saldo],
    cx_conta[id],$B4,
    cx_conta[data], "&gt;="&amp;I$3,
    cx_conta[data], "&lt;"&amp;EOMONTH(I$3,0)+1,
    cx_conta[soVisualizacao], FALSE
  )
)</f>
        <v>0</v>
      </c>
      <c r="J4" s="614">
        <f>IF(J$3&gt;inputs!$A$1,
  0,
  SUMIFS(cx_conta[saldo],
    cx_conta[id],$B4,
    cx_conta[data],"&gt;="&amp;EOMONTH(J$3,0)+1,
    cx_conta[data],"&lt;"&amp;EOMONTH(J$3,1)+1,
    cx_conta[soVisualizacao],FALSE
  )
  -SUMIFS(cx_conta[saldo],
    cx_conta[id],$B4,
    cx_conta[data], "&gt;="&amp;J$3,
    cx_conta[data], "&lt;"&amp;EOMONTH(J$3,0)+1,
    cx_conta[soVisualizacao], FALSE
  )
)</f>
        <v>0</v>
      </c>
      <c r="K4" s="615">
        <f>IF(K$3&gt;inputs!$A$1,
  0,
  SUMIFS(cx_conta[saldo],
    cx_conta[id],$B4,
    cx_conta[data],"&gt;="&amp;EOMONTH(K$3,0)+1,
    cx_conta[data],"&lt;"&amp;EOMONTH(K$3,1)+1,
    cx_conta[soVisualizacao],FALSE
  )
  -SUMIFS(cx_conta[saldo],
    cx_conta[id],$B4,
    cx_conta[data], "&gt;="&amp;K$3,
    cx_conta[data], "&lt;"&amp;EOMONTH(K$3,0)+1,
    cx_conta[soVisualizacao], FALSE
  )
)</f>
        <v>0</v>
      </c>
    </row>
    <row r="5" spans="1:11" x14ac:dyDescent="0.25">
      <c r="A5" s="620">
        <f>A4+1</f>
        <v>2</v>
      </c>
      <c r="B5" s="613" t="str">
        <v>AMP-CEF-2270</v>
      </c>
      <c r="C5" s="614">
        <f>SUMIFS(cx_conta[saldo],
  cx_conta[id],$B5,
  cx_conta[data], "&gt;="&amp;DATE(YEAR(inputs!$A$1),MONTH(inputs!$A$1+1),1),
  cx_conta[data], "&lt;"&amp;EOMONTH(inputs!$A$1,1)+1,
  cx_conta[soVisualizacao], FALSE
)
-SUMIFS(cx_conta[saldo],
  cx_conta[id],$B5,
  cx_conta[data],"&gt;="&amp;DATE(YEAR(inputs!$A$1),MONTH(inputs!$A$1),1),
  cx_conta[data],"&lt;"&amp;EOMONTH(inputs!$A$1,0),
  cx_conta[soVisualizacao],FALSE
)</f>
        <v>13030.61</v>
      </c>
      <c r="D5" s="614"/>
      <c r="E5" s="614">
        <f t="shared" ref="E5:E66" si="0">D5-C5</f>
        <v>-13030.61</v>
      </c>
      <c r="F5" s="352">
        <f t="shared" ref="F5:F66" si="1">IFERROR(E5/C5,"")</f>
        <v>-1</v>
      </c>
      <c r="G5" s="614">
        <f>IF(G$3&gt;inputs!$A$1,
  0,
  SUMIFS(cx_conta[saldo],
    cx_conta[id],$B5,
    cx_conta[data],"&gt;="&amp;EOMONTH(G$3,0)+1,
    cx_conta[data],"&lt;"&amp;EOMONTH(G$3,1)+1,
    cx_conta[soVisualizacao],FALSE
  )
  -SUMIFS(cx_conta[saldo],
    cx_conta[id],$B5,
    cx_conta[data], "&gt;="&amp;G$3,
    cx_conta[data], "&lt;"&amp;EOMONTH(G$3,0)+1,
    cx_conta[soVisualizacao], FALSE
  )
)</f>
        <v>13030.61</v>
      </c>
      <c r="H5" s="614">
        <f>IF(H$3&gt;inputs!$A$1,
  0,
  SUMIFS(cx_conta[saldo],
    cx_conta[id],$B5,
    cx_conta[data],"&gt;="&amp;EOMONTH(H$3,0)+1,
    cx_conta[data],"&lt;"&amp;EOMONTH(H$3,1)+1,
    cx_conta[soVisualizacao],FALSE
  )
  -SUMIFS(cx_conta[saldo],
    cx_conta[id],$B5,
    cx_conta[data], "&gt;="&amp;H$3,
    cx_conta[data], "&lt;"&amp;EOMONTH(H$3,0)+1,
    cx_conta[soVisualizacao], FALSE
  )
)</f>
        <v>0</v>
      </c>
      <c r="I5" s="614">
        <f>IF(I$3&gt;inputs!$A$1,
  0,
  SUMIFS(cx_conta[saldo],
    cx_conta[id],$B5,
    cx_conta[data],"&gt;="&amp;EOMONTH(I$3,0)+1,
    cx_conta[data],"&lt;"&amp;EOMONTH(I$3,1)+1,
    cx_conta[soVisualizacao],FALSE
  )
  -SUMIFS(cx_conta[saldo],
    cx_conta[id],$B5,
    cx_conta[data], "&gt;="&amp;I$3,
    cx_conta[data], "&lt;"&amp;EOMONTH(I$3,0)+1,
    cx_conta[soVisualizacao], FALSE
  )
)</f>
        <v>0</v>
      </c>
      <c r="J5" s="614">
        <f>IF(J$3&gt;inputs!$A$1,
  0,
  SUMIFS(cx_conta[saldo],
    cx_conta[id],$B5,
    cx_conta[data],"&gt;="&amp;EOMONTH(J$3,0)+1,
    cx_conta[data],"&lt;"&amp;EOMONTH(J$3,1)+1,
    cx_conta[soVisualizacao],FALSE
  )
  -SUMIFS(cx_conta[saldo],
    cx_conta[id],$B5,
    cx_conta[data], "&gt;="&amp;J$3,
    cx_conta[data], "&lt;"&amp;EOMONTH(J$3,0)+1,
    cx_conta[soVisualizacao], FALSE
  )
)</f>
        <v>0</v>
      </c>
      <c r="K5" s="615">
        <f>IF(K$3&gt;inputs!$A$1,
  0,
  SUMIFS(cx_conta[saldo],
    cx_conta[id],$B5,
    cx_conta[data],"&gt;="&amp;EOMONTH(K$3,0)+1,
    cx_conta[data],"&lt;"&amp;EOMONTH(K$3,1)+1,
    cx_conta[soVisualizacao],FALSE
  )
  -SUMIFS(cx_conta[saldo],
    cx_conta[id],$B5,
    cx_conta[data], "&gt;="&amp;K$3,
    cx_conta[data], "&lt;"&amp;EOMONTH(K$3,0)+1,
    cx_conta[soVisualizacao], FALSE
  )
)</f>
        <v>0</v>
      </c>
    </row>
    <row r="6" spans="1:11" x14ac:dyDescent="0.25">
      <c r="A6" s="620">
        <f t="shared" ref="A6:A66" si="2">A5+1</f>
        <v>3</v>
      </c>
      <c r="B6" s="613" t="str">
        <v>AMP-CEF-3028</v>
      </c>
      <c r="C6" s="614">
        <f>SUMIFS(cx_conta[saldo],
  cx_conta[id],$B6,
  cx_conta[data], "&gt;="&amp;DATE(YEAR(inputs!$A$1),MONTH(inputs!$A$1+1),1),
  cx_conta[data], "&lt;"&amp;EOMONTH(inputs!$A$1,1)+1,
  cx_conta[soVisualizacao], FALSE
)
-SUMIFS(cx_conta[saldo],
  cx_conta[id],$B6,
  cx_conta[data],"&gt;="&amp;DATE(YEAR(inputs!$A$1),MONTH(inputs!$A$1),1),
  cx_conta[data],"&lt;"&amp;EOMONTH(inputs!$A$1,0),
  cx_conta[soVisualizacao],FALSE
)</f>
        <v>-11924.150000000001</v>
      </c>
      <c r="D6" s="614"/>
      <c r="E6" s="614">
        <f t="shared" si="0"/>
        <v>11924.150000000001</v>
      </c>
      <c r="F6" s="352">
        <f t="shared" si="1"/>
        <v>-1</v>
      </c>
      <c r="G6" s="614">
        <f>IF(G$3&gt;inputs!$A$1,
  0,
  SUMIFS(cx_conta[saldo],
    cx_conta[id],$B6,
    cx_conta[data],"&gt;="&amp;EOMONTH(G$3,0)+1,
    cx_conta[data],"&lt;"&amp;EOMONTH(G$3,1)+1,
    cx_conta[soVisualizacao],FALSE
  )
  -SUMIFS(cx_conta[saldo],
    cx_conta[id],$B6,
    cx_conta[data], "&gt;="&amp;G$3,
    cx_conta[data], "&lt;"&amp;EOMONTH(G$3,0)+1,
    cx_conta[soVisualizacao], FALSE
  )
)</f>
        <v>-11924.150000000001</v>
      </c>
      <c r="H6" s="614">
        <f>IF(H$3&gt;inputs!$A$1,
  0,
  SUMIFS(cx_conta[saldo],
    cx_conta[id],$B6,
    cx_conta[data],"&gt;="&amp;EOMONTH(H$3,0)+1,
    cx_conta[data],"&lt;"&amp;EOMONTH(H$3,1)+1,
    cx_conta[soVisualizacao],FALSE
  )
  -SUMIFS(cx_conta[saldo],
    cx_conta[id],$B6,
    cx_conta[data], "&gt;="&amp;H$3,
    cx_conta[data], "&lt;"&amp;EOMONTH(H$3,0)+1,
    cx_conta[soVisualizacao], FALSE
  )
)</f>
        <v>0</v>
      </c>
      <c r="I6" s="614">
        <f>IF(I$3&gt;inputs!$A$1,
  0,
  SUMIFS(cx_conta[saldo],
    cx_conta[id],$B6,
    cx_conta[data],"&gt;="&amp;EOMONTH(I$3,0)+1,
    cx_conta[data],"&lt;"&amp;EOMONTH(I$3,1)+1,
    cx_conta[soVisualizacao],FALSE
  )
  -SUMIFS(cx_conta[saldo],
    cx_conta[id],$B6,
    cx_conta[data], "&gt;="&amp;I$3,
    cx_conta[data], "&lt;"&amp;EOMONTH(I$3,0)+1,
    cx_conta[soVisualizacao], FALSE
  )
)</f>
        <v>0</v>
      </c>
      <c r="J6" s="614">
        <f>IF(J$3&gt;inputs!$A$1,
  0,
  SUMIFS(cx_conta[saldo],
    cx_conta[id],$B6,
    cx_conta[data],"&gt;="&amp;EOMONTH(J$3,0)+1,
    cx_conta[data],"&lt;"&amp;EOMONTH(J$3,1)+1,
    cx_conta[soVisualizacao],FALSE
  )
  -SUMIFS(cx_conta[saldo],
    cx_conta[id],$B6,
    cx_conta[data], "&gt;="&amp;J$3,
    cx_conta[data], "&lt;"&amp;EOMONTH(J$3,0)+1,
    cx_conta[soVisualizacao], FALSE
  )
)</f>
        <v>0</v>
      </c>
      <c r="K6" s="615">
        <f>IF(K$3&gt;inputs!$A$1,
  0,
  SUMIFS(cx_conta[saldo],
    cx_conta[id],$B6,
    cx_conta[data],"&gt;="&amp;EOMONTH(K$3,0)+1,
    cx_conta[data],"&lt;"&amp;EOMONTH(K$3,1)+1,
    cx_conta[soVisualizacao],FALSE
  )
  -SUMIFS(cx_conta[saldo],
    cx_conta[id],$B6,
    cx_conta[data], "&gt;="&amp;K$3,
    cx_conta[data], "&lt;"&amp;EOMONTH(K$3,0)+1,
    cx_conta[soVisualizacao], FALSE
  )
)</f>
        <v>0</v>
      </c>
    </row>
    <row r="7" spans="1:11" x14ac:dyDescent="0.25">
      <c r="A7" s="620">
        <f t="shared" si="2"/>
        <v>4</v>
      </c>
      <c r="B7" s="613" t="str">
        <v>AMP-CEF-3320</v>
      </c>
      <c r="C7" s="614">
        <f>SUMIFS(cx_conta[saldo],
  cx_conta[id],$B7,
  cx_conta[data], "&gt;="&amp;DATE(YEAR(inputs!$A$1),MONTH(inputs!$A$1+1),1),
  cx_conta[data], "&lt;"&amp;EOMONTH(inputs!$A$1,1)+1,
  cx_conta[soVisualizacao], FALSE
)
-SUMIFS(cx_conta[saldo],
  cx_conta[id],$B7,
  cx_conta[data],"&gt;="&amp;DATE(YEAR(inputs!$A$1),MONTH(inputs!$A$1),1),
  cx_conta[data],"&lt;"&amp;EOMONTH(inputs!$A$1,0),
  cx_conta[soVisualizacao],FALSE
)</f>
        <v>-176319.56</v>
      </c>
      <c r="D7" s="614"/>
      <c r="E7" s="614">
        <f t="shared" si="0"/>
        <v>176319.56</v>
      </c>
      <c r="F7" s="352">
        <f t="shared" si="1"/>
        <v>-1</v>
      </c>
      <c r="G7" s="614">
        <f>IF(G$3&gt;inputs!$A$1,
  0,
  SUMIFS(cx_conta[saldo],
    cx_conta[id],$B7,
    cx_conta[data],"&gt;="&amp;EOMONTH(G$3,0)+1,
    cx_conta[data],"&lt;"&amp;EOMONTH(G$3,1)+1,
    cx_conta[soVisualizacao],FALSE
  )
  -SUMIFS(cx_conta[saldo],
    cx_conta[id],$B7,
    cx_conta[data], "&gt;="&amp;G$3,
    cx_conta[data], "&lt;"&amp;EOMONTH(G$3,0)+1,
    cx_conta[soVisualizacao], FALSE
  )
)</f>
        <v>-176319.56</v>
      </c>
      <c r="H7" s="614">
        <f>IF(H$3&gt;inputs!$A$1,
  0,
  SUMIFS(cx_conta[saldo],
    cx_conta[id],$B7,
    cx_conta[data],"&gt;="&amp;EOMONTH(H$3,0)+1,
    cx_conta[data],"&lt;"&amp;EOMONTH(H$3,1)+1,
    cx_conta[soVisualizacao],FALSE
  )
  -SUMIFS(cx_conta[saldo],
    cx_conta[id],$B7,
    cx_conta[data], "&gt;="&amp;H$3,
    cx_conta[data], "&lt;"&amp;EOMONTH(H$3,0)+1,
    cx_conta[soVisualizacao], FALSE
  )
)</f>
        <v>0</v>
      </c>
      <c r="I7" s="614">
        <f>IF(I$3&gt;inputs!$A$1,
  0,
  SUMIFS(cx_conta[saldo],
    cx_conta[id],$B7,
    cx_conta[data],"&gt;="&amp;EOMONTH(I$3,0)+1,
    cx_conta[data],"&lt;"&amp;EOMONTH(I$3,1)+1,
    cx_conta[soVisualizacao],FALSE
  )
  -SUMIFS(cx_conta[saldo],
    cx_conta[id],$B7,
    cx_conta[data], "&gt;="&amp;I$3,
    cx_conta[data], "&lt;"&amp;EOMONTH(I$3,0)+1,
    cx_conta[soVisualizacao], FALSE
  )
)</f>
        <v>0</v>
      </c>
      <c r="J7" s="614">
        <f>IF(J$3&gt;inputs!$A$1,
  0,
  SUMIFS(cx_conta[saldo],
    cx_conta[id],$B7,
    cx_conta[data],"&gt;="&amp;EOMONTH(J$3,0)+1,
    cx_conta[data],"&lt;"&amp;EOMONTH(J$3,1)+1,
    cx_conta[soVisualizacao],FALSE
  )
  -SUMIFS(cx_conta[saldo],
    cx_conta[id],$B7,
    cx_conta[data], "&gt;="&amp;J$3,
    cx_conta[data], "&lt;"&amp;EOMONTH(J$3,0)+1,
    cx_conta[soVisualizacao], FALSE
  )
)</f>
        <v>0</v>
      </c>
      <c r="K7" s="615">
        <f>IF(K$3&gt;inputs!$A$1,
  0,
  SUMIFS(cx_conta[saldo],
    cx_conta[id],$B7,
    cx_conta[data],"&gt;="&amp;EOMONTH(K$3,0)+1,
    cx_conta[data],"&lt;"&amp;EOMONTH(K$3,1)+1,
    cx_conta[soVisualizacao],FALSE
  )
  -SUMIFS(cx_conta[saldo],
    cx_conta[id],$B7,
    cx_conta[data], "&gt;="&amp;K$3,
    cx_conta[data], "&lt;"&amp;EOMONTH(K$3,0)+1,
    cx_conta[soVisualizacao], FALSE
  )
)</f>
        <v>0</v>
      </c>
    </row>
    <row r="8" spans="1:11" x14ac:dyDescent="0.25">
      <c r="A8" s="620">
        <f t="shared" si="2"/>
        <v>5</v>
      </c>
      <c r="B8" s="613" t="str">
        <v>AMP-CEF-8338</v>
      </c>
      <c r="C8" s="614">
        <f>SUMIFS(cx_conta[saldo],
  cx_conta[id],$B8,
  cx_conta[data], "&gt;="&amp;DATE(YEAR(inputs!$A$1),MONTH(inputs!$A$1+1),1),
  cx_conta[data], "&lt;"&amp;EOMONTH(inputs!$A$1,1)+1,
  cx_conta[soVisualizacao], FALSE
)
-SUMIFS(cx_conta[saldo],
  cx_conta[id],$B8,
  cx_conta[data],"&gt;="&amp;DATE(YEAR(inputs!$A$1),MONTH(inputs!$A$1),1),
  cx_conta[data],"&lt;"&amp;EOMONTH(inputs!$A$1,0),
  cx_conta[soVisualizacao],FALSE
)</f>
        <v>0</v>
      </c>
      <c r="D8" s="614"/>
      <c r="E8" s="614">
        <f t="shared" si="0"/>
        <v>0</v>
      </c>
      <c r="F8" s="352" t="str">
        <f t="shared" si="1"/>
        <v/>
      </c>
      <c r="G8" s="614">
        <f>IF(G$3&gt;inputs!$A$1,
  0,
  SUMIFS(cx_conta[saldo],
    cx_conta[id],$B8,
    cx_conta[data],"&gt;="&amp;EOMONTH(G$3,0)+1,
    cx_conta[data],"&lt;"&amp;EOMONTH(G$3,1)+1,
    cx_conta[soVisualizacao],FALSE
  )
  -SUMIFS(cx_conta[saldo],
    cx_conta[id],$B8,
    cx_conta[data], "&gt;="&amp;G$3,
    cx_conta[data], "&lt;"&amp;EOMONTH(G$3,0)+1,
    cx_conta[soVisualizacao], FALSE
  )
)</f>
        <v>0</v>
      </c>
      <c r="H8" s="614">
        <f>IF(H$3&gt;inputs!$A$1,
  0,
  SUMIFS(cx_conta[saldo],
    cx_conta[id],$B8,
    cx_conta[data],"&gt;="&amp;EOMONTH(H$3,0)+1,
    cx_conta[data],"&lt;"&amp;EOMONTH(H$3,1)+1,
    cx_conta[soVisualizacao],FALSE
  )
  -SUMIFS(cx_conta[saldo],
    cx_conta[id],$B8,
    cx_conta[data], "&gt;="&amp;H$3,
    cx_conta[data], "&lt;"&amp;EOMONTH(H$3,0)+1,
    cx_conta[soVisualizacao], FALSE
  )
)</f>
        <v>0</v>
      </c>
      <c r="I8" s="614">
        <f>IF(I$3&gt;inputs!$A$1,
  0,
  SUMIFS(cx_conta[saldo],
    cx_conta[id],$B8,
    cx_conta[data],"&gt;="&amp;EOMONTH(I$3,0)+1,
    cx_conta[data],"&lt;"&amp;EOMONTH(I$3,1)+1,
    cx_conta[soVisualizacao],FALSE
  )
  -SUMIFS(cx_conta[saldo],
    cx_conta[id],$B8,
    cx_conta[data], "&gt;="&amp;I$3,
    cx_conta[data], "&lt;"&amp;EOMONTH(I$3,0)+1,
    cx_conta[soVisualizacao], FALSE
  )
)</f>
        <v>0</v>
      </c>
      <c r="J8" s="614">
        <f>IF(J$3&gt;inputs!$A$1,
  0,
  SUMIFS(cx_conta[saldo],
    cx_conta[id],$B8,
    cx_conta[data],"&gt;="&amp;EOMONTH(J$3,0)+1,
    cx_conta[data],"&lt;"&amp;EOMONTH(J$3,1)+1,
    cx_conta[soVisualizacao],FALSE
  )
  -SUMIFS(cx_conta[saldo],
    cx_conta[id],$B8,
    cx_conta[data], "&gt;="&amp;J$3,
    cx_conta[data], "&lt;"&amp;EOMONTH(J$3,0)+1,
    cx_conta[soVisualizacao], FALSE
  )
)</f>
        <v>0</v>
      </c>
      <c r="K8" s="615">
        <f>IF(K$3&gt;inputs!$A$1,
  0,
  SUMIFS(cx_conta[saldo],
    cx_conta[id],$B8,
    cx_conta[data],"&gt;="&amp;EOMONTH(K$3,0)+1,
    cx_conta[data],"&lt;"&amp;EOMONTH(K$3,1)+1,
    cx_conta[soVisualizacao],FALSE
  )
  -SUMIFS(cx_conta[saldo],
    cx_conta[id],$B8,
    cx_conta[data], "&gt;="&amp;K$3,
    cx_conta[data], "&lt;"&amp;EOMONTH(K$3,0)+1,
    cx_conta[soVisualizacao], FALSE
  )
)</f>
        <v>0</v>
      </c>
    </row>
    <row r="9" spans="1:11" x14ac:dyDescent="0.25">
      <c r="A9" s="620">
        <f t="shared" si="2"/>
        <v>6</v>
      </c>
      <c r="B9" s="613" t="str">
        <v>AMP-Itaú-3400</v>
      </c>
      <c r="C9" s="614">
        <f>SUMIFS(cx_conta[saldo],
  cx_conta[id],$B9,
  cx_conta[data], "&gt;="&amp;DATE(YEAR(inputs!$A$1),MONTH(inputs!$A$1+1),1),
  cx_conta[data], "&lt;"&amp;EOMONTH(inputs!$A$1,1)+1,
  cx_conta[soVisualizacao], FALSE
)
-SUMIFS(cx_conta[saldo],
  cx_conta[id],$B9,
  cx_conta[data],"&gt;="&amp;DATE(YEAR(inputs!$A$1),MONTH(inputs!$A$1),1),
  cx_conta[data],"&lt;"&amp;EOMONTH(inputs!$A$1,0),
  cx_conta[soVisualizacao],FALSE
)</f>
        <v>-707362.6</v>
      </c>
      <c r="D9" s="614"/>
      <c r="E9" s="614">
        <f t="shared" si="0"/>
        <v>707362.6</v>
      </c>
      <c r="F9" s="352">
        <f t="shared" si="1"/>
        <v>-1</v>
      </c>
      <c r="G9" s="614">
        <f>IF(G$3&gt;inputs!$A$1,
  0,
  SUMIFS(cx_conta[saldo],
    cx_conta[id],$B9,
    cx_conta[data],"&gt;="&amp;EOMONTH(G$3,0)+1,
    cx_conta[data],"&lt;"&amp;EOMONTH(G$3,1)+1,
    cx_conta[soVisualizacao],FALSE
  )
  -SUMIFS(cx_conta[saldo],
    cx_conta[id],$B9,
    cx_conta[data], "&gt;="&amp;G$3,
    cx_conta[data], "&lt;"&amp;EOMONTH(G$3,0)+1,
    cx_conta[soVisualizacao], FALSE
  )
)</f>
        <v>-707362.6</v>
      </c>
      <c r="H9" s="614">
        <f>IF(H$3&gt;inputs!$A$1,
  0,
  SUMIFS(cx_conta[saldo],
    cx_conta[id],$B9,
    cx_conta[data],"&gt;="&amp;EOMONTH(H$3,0)+1,
    cx_conta[data],"&lt;"&amp;EOMONTH(H$3,1)+1,
    cx_conta[soVisualizacao],FALSE
  )
  -SUMIFS(cx_conta[saldo],
    cx_conta[id],$B9,
    cx_conta[data], "&gt;="&amp;H$3,
    cx_conta[data], "&lt;"&amp;EOMONTH(H$3,0)+1,
    cx_conta[soVisualizacao], FALSE
  )
)</f>
        <v>0</v>
      </c>
      <c r="I9" s="614">
        <f>IF(I$3&gt;inputs!$A$1,
  0,
  SUMIFS(cx_conta[saldo],
    cx_conta[id],$B9,
    cx_conta[data],"&gt;="&amp;EOMONTH(I$3,0)+1,
    cx_conta[data],"&lt;"&amp;EOMONTH(I$3,1)+1,
    cx_conta[soVisualizacao],FALSE
  )
  -SUMIFS(cx_conta[saldo],
    cx_conta[id],$B9,
    cx_conta[data], "&gt;="&amp;I$3,
    cx_conta[data], "&lt;"&amp;EOMONTH(I$3,0)+1,
    cx_conta[soVisualizacao], FALSE
  )
)</f>
        <v>0</v>
      </c>
      <c r="J9" s="614">
        <f>IF(J$3&gt;inputs!$A$1,
  0,
  SUMIFS(cx_conta[saldo],
    cx_conta[id],$B9,
    cx_conta[data],"&gt;="&amp;EOMONTH(J$3,0)+1,
    cx_conta[data],"&lt;"&amp;EOMONTH(J$3,1)+1,
    cx_conta[soVisualizacao],FALSE
  )
  -SUMIFS(cx_conta[saldo],
    cx_conta[id],$B9,
    cx_conta[data], "&gt;="&amp;J$3,
    cx_conta[data], "&lt;"&amp;EOMONTH(J$3,0)+1,
    cx_conta[soVisualizacao], FALSE
  )
)</f>
        <v>0</v>
      </c>
      <c r="K9" s="615">
        <f>IF(K$3&gt;inputs!$A$1,
  0,
  SUMIFS(cx_conta[saldo],
    cx_conta[id],$B9,
    cx_conta[data],"&gt;="&amp;EOMONTH(K$3,0)+1,
    cx_conta[data],"&lt;"&amp;EOMONTH(K$3,1)+1,
    cx_conta[soVisualizacao],FALSE
  )
  -SUMIFS(cx_conta[saldo],
    cx_conta[id],$B9,
    cx_conta[data], "&gt;="&amp;K$3,
    cx_conta[data], "&lt;"&amp;EOMONTH(K$3,0)+1,
    cx_conta[soVisualizacao], FALSE
  )
)</f>
        <v>0</v>
      </c>
    </row>
    <row r="10" spans="1:11" x14ac:dyDescent="0.25">
      <c r="A10" s="620">
        <f t="shared" si="2"/>
        <v>7</v>
      </c>
      <c r="B10" s="613" t="str">
        <v>AMP-SAFRA-8961</v>
      </c>
      <c r="C10" s="614">
        <f>SUMIFS(cx_conta[saldo],
  cx_conta[id],$B10,
  cx_conta[data], "&gt;="&amp;DATE(YEAR(inputs!$A$1),MONTH(inputs!$A$1+1),1),
  cx_conta[data], "&lt;"&amp;EOMONTH(inputs!$A$1,1)+1,
  cx_conta[soVisualizacao], FALSE
)
-SUMIFS(cx_conta[saldo],
  cx_conta[id],$B10,
  cx_conta[data],"&gt;="&amp;DATE(YEAR(inputs!$A$1),MONTH(inputs!$A$1),1),
  cx_conta[data],"&lt;"&amp;EOMONTH(inputs!$A$1,0),
  cx_conta[soVisualizacao],FALSE
)</f>
        <v>-217857.75</v>
      </c>
      <c r="D10" s="614"/>
      <c r="E10" s="614">
        <f t="shared" si="0"/>
        <v>217857.75</v>
      </c>
      <c r="F10" s="352">
        <f t="shared" si="1"/>
        <v>-1</v>
      </c>
      <c r="G10" s="614">
        <f>IF(G$3&gt;inputs!$A$1,
  0,
  SUMIFS(cx_conta[saldo],
    cx_conta[id],$B10,
    cx_conta[data],"&gt;="&amp;EOMONTH(G$3,0)+1,
    cx_conta[data],"&lt;"&amp;EOMONTH(G$3,1)+1,
    cx_conta[soVisualizacao],FALSE
  )
  -SUMIFS(cx_conta[saldo],
    cx_conta[id],$B10,
    cx_conta[data], "&gt;="&amp;G$3,
    cx_conta[data], "&lt;"&amp;EOMONTH(G$3,0)+1,
    cx_conta[soVisualizacao], FALSE
  )
)</f>
        <v>-217857.75</v>
      </c>
      <c r="H10" s="614">
        <f>IF(H$3&gt;inputs!$A$1,
  0,
  SUMIFS(cx_conta[saldo],
    cx_conta[id],$B10,
    cx_conta[data],"&gt;="&amp;EOMONTH(H$3,0)+1,
    cx_conta[data],"&lt;"&amp;EOMONTH(H$3,1)+1,
    cx_conta[soVisualizacao],FALSE
  )
  -SUMIFS(cx_conta[saldo],
    cx_conta[id],$B10,
    cx_conta[data], "&gt;="&amp;H$3,
    cx_conta[data], "&lt;"&amp;EOMONTH(H$3,0)+1,
    cx_conta[soVisualizacao], FALSE
  )
)</f>
        <v>0</v>
      </c>
      <c r="I10" s="614">
        <f>IF(I$3&gt;inputs!$A$1,
  0,
  SUMIFS(cx_conta[saldo],
    cx_conta[id],$B10,
    cx_conta[data],"&gt;="&amp;EOMONTH(I$3,0)+1,
    cx_conta[data],"&lt;"&amp;EOMONTH(I$3,1)+1,
    cx_conta[soVisualizacao],FALSE
  )
  -SUMIFS(cx_conta[saldo],
    cx_conta[id],$B10,
    cx_conta[data], "&gt;="&amp;I$3,
    cx_conta[data], "&lt;"&amp;EOMONTH(I$3,0)+1,
    cx_conta[soVisualizacao], FALSE
  )
)</f>
        <v>0</v>
      </c>
      <c r="J10" s="614">
        <f>IF(J$3&gt;inputs!$A$1,
  0,
  SUMIFS(cx_conta[saldo],
    cx_conta[id],$B10,
    cx_conta[data],"&gt;="&amp;EOMONTH(J$3,0)+1,
    cx_conta[data],"&lt;"&amp;EOMONTH(J$3,1)+1,
    cx_conta[soVisualizacao],FALSE
  )
  -SUMIFS(cx_conta[saldo],
    cx_conta[id],$B10,
    cx_conta[data], "&gt;="&amp;J$3,
    cx_conta[data], "&lt;"&amp;EOMONTH(J$3,0)+1,
    cx_conta[soVisualizacao], FALSE
  )
)</f>
        <v>0</v>
      </c>
      <c r="K10" s="615">
        <f>IF(K$3&gt;inputs!$A$1,
  0,
  SUMIFS(cx_conta[saldo],
    cx_conta[id],$B10,
    cx_conta[data],"&gt;="&amp;EOMONTH(K$3,0)+1,
    cx_conta[data],"&lt;"&amp;EOMONTH(K$3,1)+1,
    cx_conta[soVisualizacao],FALSE
  )
  -SUMIFS(cx_conta[saldo],
    cx_conta[id],$B10,
    cx_conta[data], "&gt;="&amp;K$3,
    cx_conta[data], "&lt;"&amp;EOMONTH(K$3,0)+1,
    cx_conta[soVisualizacao], FALSE
  )
)</f>
        <v>0</v>
      </c>
    </row>
    <row r="11" spans="1:11" x14ac:dyDescent="0.25">
      <c r="A11" s="620">
        <f t="shared" si="2"/>
        <v>8</v>
      </c>
      <c r="B11" s="613" t="str">
        <v>AVR-CEF-2296</v>
      </c>
      <c r="C11" s="614">
        <f>SUMIFS(cx_conta[saldo],
  cx_conta[id],$B11,
  cx_conta[data], "&gt;="&amp;DATE(YEAR(inputs!$A$1),MONTH(inputs!$A$1+1),1),
  cx_conta[data], "&lt;"&amp;EOMONTH(inputs!$A$1,1)+1,
  cx_conta[soVisualizacao], FALSE
)
-SUMIFS(cx_conta[saldo],
  cx_conta[id],$B11,
  cx_conta[data],"&gt;="&amp;DATE(YEAR(inputs!$A$1),MONTH(inputs!$A$1),1),
  cx_conta[data],"&lt;"&amp;EOMONTH(inputs!$A$1,0),
  cx_conta[soVisualizacao],FALSE
)</f>
        <v>899.26</v>
      </c>
      <c r="D11" s="614"/>
      <c r="E11" s="614">
        <f t="shared" si="0"/>
        <v>-899.26</v>
      </c>
      <c r="F11" s="352">
        <f t="shared" si="1"/>
        <v>-1</v>
      </c>
      <c r="G11" s="614">
        <f>IF(G$3&gt;inputs!$A$1,
  0,
  SUMIFS(cx_conta[saldo],
    cx_conta[id],$B11,
    cx_conta[data],"&gt;="&amp;EOMONTH(G$3,0)+1,
    cx_conta[data],"&lt;"&amp;EOMONTH(G$3,1)+1,
    cx_conta[soVisualizacao],FALSE
  )
  -SUMIFS(cx_conta[saldo],
    cx_conta[id],$B11,
    cx_conta[data], "&gt;="&amp;G$3,
    cx_conta[data], "&lt;"&amp;EOMONTH(G$3,0)+1,
    cx_conta[soVisualizacao], FALSE
  )
)</f>
        <v>899.26</v>
      </c>
      <c r="H11" s="614">
        <f>IF(H$3&gt;inputs!$A$1,
  0,
  SUMIFS(cx_conta[saldo],
    cx_conta[id],$B11,
    cx_conta[data],"&gt;="&amp;EOMONTH(H$3,0)+1,
    cx_conta[data],"&lt;"&amp;EOMONTH(H$3,1)+1,
    cx_conta[soVisualizacao],FALSE
  )
  -SUMIFS(cx_conta[saldo],
    cx_conta[id],$B11,
    cx_conta[data], "&gt;="&amp;H$3,
    cx_conta[data], "&lt;"&amp;EOMONTH(H$3,0)+1,
    cx_conta[soVisualizacao], FALSE
  )
)</f>
        <v>0</v>
      </c>
      <c r="I11" s="614">
        <f>IF(I$3&gt;inputs!$A$1,
  0,
  SUMIFS(cx_conta[saldo],
    cx_conta[id],$B11,
    cx_conta[data],"&gt;="&amp;EOMONTH(I$3,0)+1,
    cx_conta[data],"&lt;"&amp;EOMONTH(I$3,1)+1,
    cx_conta[soVisualizacao],FALSE
  )
  -SUMIFS(cx_conta[saldo],
    cx_conta[id],$B11,
    cx_conta[data], "&gt;="&amp;I$3,
    cx_conta[data], "&lt;"&amp;EOMONTH(I$3,0)+1,
    cx_conta[soVisualizacao], FALSE
  )
)</f>
        <v>0</v>
      </c>
      <c r="J11" s="614">
        <f>IF(J$3&gt;inputs!$A$1,
  0,
  SUMIFS(cx_conta[saldo],
    cx_conta[id],$B11,
    cx_conta[data],"&gt;="&amp;EOMONTH(J$3,0)+1,
    cx_conta[data],"&lt;"&amp;EOMONTH(J$3,1)+1,
    cx_conta[soVisualizacao],FALSE
  )
  -SUMIFS(cx_conta[saldo],
    cx_conta[id],$B11,
    cx_conta[data], "&gt;="&amp;J$3,
    cx_conta[data], "&lt;"&amp;EOMONTH(J$3,0)+1,
    cx_conta[soVisualizacao], FALSE
  )
)</f>
        <v>0</v>
      </c>
      <c r="K11" s="615">
        <f>IF(K$3&gt;inputs!$A$1,
  0,
  SUMIFS(cx_conta[saldo],
    cx_conta[id],$B11,
    cx_conta[data],"&gt;="&amp;EOMONTH(K$3,0)+1,
    cx_conta[data],"&lt;"&amp;EOMONTH(K$3,1)+1,
    cx_conta[soVisualizacao],FALSE
  )
  -SUMIFS(cx_conta[saldo],
    cx_conta[id],$B11,
    cx_conta[data], "&gt;="&amp;K$3,
    cx_conta[data], "&lt;"&amp;EOMONTH(K$3,0)+1,
    cx_conta[soVisualizacao], FALSE
  )
)</f>
        <v>0</v>
      </c>
    </row>
    <row r="12" spans="1:11" x14ac:dyDescent="0.25">
      <c r="A12" s="620">
        <f t="shared" si="2"/>
        <v>9</v>
      </c>
      <c r="B12" s="613" t="str">
        <v>AVS-CEF-3176</v>
      </c>
      <c r="C12" s="614">
        <f>SUMIFS(cx_conta[saldo],
  cx_conta[id],$B12,
  cx_conta[data], "&gt;="&amp;DATE(YEAR(inputs!$A$1),MONTH(inputs!$A$1+1),1),
  cx_conta[data], "&lt;"&amp;EOMONTH(inputs!$A$1,1)+1,
  cx_conta[soVisualizacao], FALSE
)
-SUMIFS(cx_conta[saldo],
  cx_conta[id],$B12,
  cx_conta[data],"&gt;="&amp;DATE(YEAR(inputs!$A$1),MONTH(inputs!$A$1),1),
  cx_conta[data],"&lt;"&amp;EOMONTH(inputs!$A$1,0),
  cx_conta[soVisualizacao],FALSE
)</f>
        <v>-38.75</v>
      </c>
      <c r="D12" s="614"/>
      <c r="E12" s="614">
        <f t="shared" si="0"/>
        <v>38.75</v>
      </c>
      <c r="F12" s="352">
        <f t="shared" si="1"/>
        <v>-1</v>
      </c>
      <c r="G12" s="614">
        <f>IF(G$3&gt;inputs!$A$1,
  0,
  SUMIFS(cx_conta[saldo],
    cx_conta[id],$B12,
    cx_conta[data],"&gt;="&amp;EOMONTH(G$3,0)+1,
    cx_conta[data],"&lt;"&amp;EOMONTH(G$3,1)+1,
    cx_conta[soVisualizacao],FALSE
  )
  -SUMIFS(cx_conta[saldo],
    cx_conta[id],$B12,
    cx_conta[data], "&gt;="&amp;G$3,
    cx_conta[data], "&lt;"&amp;EOMONTH(G$3,0)+1,
    cx_conta[soVisualizacao], FALSE
  )
)</f>
        <v>-38.75</v>
      </c>
      <c r="H12" s="614">
        <f>IF(H$3&gt;inputs!$A$1,
  0,
  SUMIFS(cx_conta[saldo],
    cx_conta[id],$B12,
    cx_conta[data],"&gt;="&amp;EOMONTH(H$3,0)+1,
    cx_conta[data],"&lt;"&amp;EOMONTH(H$3,1)+1,
    cx_conta[soVisualizacao],FALSE
  )
  -SUMIFS(cx_conta[saldo],
    cx_conta[id],$B12,
    cx_conta[data], "&gt;="&amp;H$3,
    cx_conta[data], "&lt;"&amp;EOMONTH(H$3,0)+1,
    cx_conta[soVisualizacao], FALSE
  )
)</f>
        <v>0</v>
      </c>
      <c r="I12" s="614">
        <f>IF(I$3&gt;inputs!$A$1,
  0,
  SUMIFS(cx_conta[saldo],
    cx_conta[id],$B12,
    cx_conta[data],"&gt;="&amp;EOMONTH(I$3,0)+1,
    cx_conta[data],"&lt;"&amp;EOMONTH(I$3,1)+1,
    cx_conta[soVisualizacao],FALSE
  )
  -SUMIFS(cx_conta[saldo],
    cx_conta[id],$B12,
    cx_conta[data], "&gt;="&amp;I$3,
    cx_conta[data], "&lt;"&amp;EOMONTH(I$3,0)+1,
    cx_conta[soVisualizacao], FALSE
  )
)</f>
        <v>0</v>
      </c>
      <c r="J12" s="614">
        <f>IF(J$3&gt;inputs!$A$1,
  0,
  SUMIFS(cx_conta[saldo],
    cx_conta[id],$B12,
    cx_conta[data],"&gt;="&amp;EOMONTH(J$3,0)+1,
    cx_conta[data],"&lt;"&amp;EOMONTH(J$3,1)+1,
    cx_conta[soVisualizacao],FALSE
  )
  -SUMIFS(cx_conta[saldo],
    cx_conta[id],$B12,
    cx_conta[data], "&gt;="&amp;J$3,
    cx_conta[data], "&lt;"&amp;EOMONTH(J$3,0)+1,
    cx_conta[soVisualizacao], FALSE
  )
)</f>
        <v>0</v>
      </c>
      <c r="K12" s="615">
        <f>IF(K$3&gt;inputs!$A$1,
  0,
  SUMIFS(cx_conta[saldo],
    cx_conta[id],$B12,
    cx_conta[data],"&gt;="&amp;EOMONTH(K$3,0)+1,
    cx_conta[data],"&lt;"&amp;EOMONTH(K$3,1)+1,
    cx_conta[soVisualizacao],FALSE
  )
  -SUMIFS(cx_conta[saldo],
    cx_conta[id],$B12,
    cx_conta[data], "&gt;="&amp;K$3,
    cx_conta[data], "&lt;"&amp;EOMONTH(K$3,0)+1,
    cx_conta[soVisualizacao], FALSE
  )
)</f>
        <v>0</v>
      </c>
    </row>
    <row r="13" spans="1:11" x14ac:dyDescent="0.25">
      <c r="A13" s="620">
        <f t="shared" si="2"/>
        <v>10</v>
      </c>
      <c r="B13" s="613" t="str">
        <v>AVS-CEF-8543</v>
      </c>
      <c r="C13" s="614">
        <f>SUMIFS(cx_conta[saldo],
  cx_conta[id],$B13,
  cx_conta[data], "&gt;="&amp;DATE(YEAR(inputs!$A$1),MONTH(inputs!$A$1+1),1),
  cx_conta[data], "&lt;"&amp;EOMONTH(inputs!$A$1,1)+1,
  cx_conta[soVisualizacao], FALSE
)
-SUMIFS(cx_conta[saldo],
  cx_conta[id],$B13,
  cx_conta[data],"&gt;="&amp;DATE(YEAR(inputs!$A$1),MONTH(inputs!$A$1),1),
  cx_conta[data],"&lt;"&amp;EOMONTH(inputs!$A$1,0),
  cx_conta[soVisualizacao],FALSE
)</f>
        <v>-7584.2800000000007</v>
      </c>
      <c r="D13" s="614"/>
      <c r="E13" s="614">
        <f t="shared" si="0"/>
        <v>7584.2800000000007</v>
      </c>
      <c r="F13" s="352">
        <f t="shared" si="1"/>
        <v>-1</v>
      </c>
      <c r="G13" s="614">
        <f>IF(G$3&gt;inputs!$A$1,
  0,
  SUMIFS(cx_conta[saldo],
    cx_conta[id],$B13,
    cx_conta[data],"&gt;="&amp;EOMONTH(G$3,0)+1,
    cx_conta[data],"&lt;"&amp;EOMONTH(G$3,1)+1,
    cx_conta[soVisualizacao],FALSE
  )
  -SUMIFS(cx_conta[saldo],
    cx_conta[id],$B13,
    cx_conta[data], "&gt;="&amp;G$3,
    cx_conta[data], "&lt;"&amp;EOMONTH(G$3,0)+1,
    cx_conta[soVisualizacao], FALSE
  )
)</f>
        <v>-7584.2800000000007</v>
      </c>
      <c r="H13" s="614">
        <f>IF(H$3&gt;inputs!$A$1,
  0,
  SUMIFS(cx_conta[saldo],
    cx_conta[id],$B13,
    cx_conta[data],"&gt;="&amp;EOMONTH(H$3,0)+1,
    cx_conta[data],"&lt;"&amp;EOMONTH(H$3,1)+1,
    cx_conta[soVisualizacao],FALSE
  )
  -SUMIFS(cx_conta[saldo],
    cx_conta[id],$B13,
    cx_conta[data], "&gt;="&amp;H$3,
    cx_conta[data], "&lt;"&amp;EOMONTH(H$3,0)+1,
    cx_conta[soVisualizacao], FALSE
  )
)</f>
        <v>0</v>
      </c>
      <c r="I13" s="614">
        <f>IF(I$3&gt;inputs!$A$1,
  0,
  SUMIFS(cx_conta[saldo],
    cx_conta[id],$B13,
    cx_conta[data],"&gt;="&amp;EOMONTH(I$3,0)+1,
    cx_conta[data],"&lt;"&amp;EOMONTH(I$3,1)+1,
    cx_conta[soVisualizacao],FALSE
  )
  -SUMIFS(cx_conta[saldo],
    cx_conta[id],$B13,
    cx_conta[data], "&gt;="&amp;I$3,
    cx_conta[data], "&lt;"&amp;EOMONTH(I$3,0)+1,
    cx_conta[soVisualizacao], FALSE
  )
)</f>
        <v>0</v>
      </c>
      <c r="J13" s="614">
        <f>IF(J$3&gt;inputs!$A$1,
  0,
  SUMIFS(cx_conta[saldo],
    cx_conta[id],$B13,
    cx_conta[data],"&gt;="&amp;EOMONTH(J$3,0)+1,
    cx_conta[data],"&lt;"&amp;EOMONTH(J$3,1)+1,
    cx_conta[soVisualizacao],FALSE
  )
  -SUMIFS(cx_conta[saldo],
    cx_conta[id],$B13,
    cx_conta[data], "&gt;="&amp;J$3,
    cx_conta[data], "&lt;"&amp;EOMONTH(J$3,0)+1,
    cx_conta[soVisualizacao], FALSE
  )
)</f>
        <v>0</v>
      </c>
      <c r="K13" s="615">
        <f>IF(K$3&gt;inputs!$A$1,
  0,
  SUMIFS(cx_conta[saldo],
    cx_conta[id],$B13,
    cx_conta[data],"&gt;="&amp;EOMONTH(K$3,0)+1,
    cx_conta[data],"&lt;"&amp;EOMONTH(K$3,1)+1,
    cx_conta[soVisualizacao],FALSE
  )
  -SUMIFS(cx_conta[saldo],
    cx_conta[id],$B13,
    cx_conta[data], "&gt;="&amp;K$3,
    cx_conta[data], "&lt;"&amp;EOMONTH(K$3,0)+1,
    cx_conta[soVisualizacao], FALSE
  )
)</f>
        <v>0</v>
      </c>
    </row>
    <row r="14" spans="1:11" x14ac:dyDescent="0.25">
      <c r="A14" s="620">
        <f t="shared" si="2"/>
        <v>11</v>
      </c>
      <c r="B14" s="613" t="str">
        <v>AVS-Itaú-8530</v>
      </c>
      <c r="C14" s="614">
        <f>SUMIFS(cx_conta[saldo],
  cx_conta[id],$B14,
  cx_conta[data], "&gt;="&amp;DATE(YEAR(inputs!$A$1),MONTH(inputs!$A$1+1),1),
  cx_conta[data], "&lt;"&amp;EOMONTH(inputs!$A$1,1)+1,
  cx_conta[soVisualizacao], FALSE
)
-SUMIFS(cx_conta[saldo],
  cx_conta[id],$B14,
  cx_conta[data],"&gt;="&amp;DATE(YEAR(inputs!$A$1),MONTH(inputs!$A$1),1),
  cx_conta[data],"&lt;"&amp;EOMONTH(inputs!$A$1,0),
  cx_conta[soVisualizacao],FALSE
)</f>
        <v>-62773.72</v>
      </c>
      <c r="D14" s="614"/>
      <c r="E14" s="614">
        <f t="shared" si="0"/>
        <v>62773.72</v>
      </c>
      <c r="F14" s="352">
        <f t="shared" si="1"/>
        <v>-1</v>
      </c>
      <c r="G14" s="614">
        <f>IF(G$3&gt;inputs!$A$1,
  0,
  SUMIFS(cx_conta[saldo],
    cx_conta[id],$B14,
    cx_conta[data],"&gt;="&amp;EOMONTH(G$3,0)+1,
    cx_conta[data],"&lt;"&amp;EOMONTH(G$3,1)+1,
    cx_conta[soVisualizacao],FALSE
  )
  -SUMIFS(cx_conta[saldo],
    cx_conta[id],$B14,
    cx_conta[data], "&gt;="&amp;G$3,
    cx_conta[data], "&lt;"&amp;EOMONTH(G$3,0)+1,
    cx_conta[soVisualizacao], FALSE
  )
)</f>
        <v>-62773.72</v>
      </c>
      <c r="H14" s="614">
        <f>IF(H$3&gt;inputs!$A$1,
  0,
  SUMIFS(cx_conta[saldo],
    cx_conta[id],$B14,
    cx_conta[data],"&gt;="&amp;EOMONTH(H$3,0)+1,
    cx_conta[data],"&lt;"&amp;EOMONTH(H$3,1)+1,
    cx_conta[soVisualizacao],FALSE
  )
  -SUMIFS(cx_conta[saldo],
    cx_conta[id],$B14,
    cx_conta[data], "&gt;="&amp;H$3,
    cx_conta[data], "&lt;"&amp;EOMONTH(H$3,0)+1,
    cx_conta[soVisualizacao], FALSE
  )
)</f>
        <v>0</v>
      </c>
      <c r="I14" s="614">
        <f>IF(I$3&gt;inputs!$A$1,
  0,
  SUMIFS(cx_conta[saldo],
    cx_conta[id],$B14,
    cx_conta[data],"&gt;="&amp;EOMONTH(I$3,0)+1,
    cx_conta[data],"&lt;"&amp;EOMONTH(I$3,1)+1,
    cx_conta[soVisualizacao],FALSE
  )
  -SUMIFS(cx_conta[saldo],
    cx_conta[id],$B14,
    cx_conta[data], "&gt;="&amp;I$3,
    cx_conta[data], "&lt;"&amp;EOMONTH(I$3,0)+1,
    cx_conta[soVisualizacao], FALSE
  )
)</f>
        <v>0</v>
      </c>
      <c r="J14" s="614">
        <f>IF(J$3&gt;inputs!$A$1,
  0,
  SUMIFS(cx_conta[saldo],
    cx_conta[id],$B14,
    cx_conta[data],"&gt;="&amp;EOMONTH(J$3,0)+1,
    cx_conta[data],"&lt;"&amp;EOMONTH(J$3,1)+1,
    cx_conta[soVisualizacao],FALSE
  )
  -SUMIFS(cx_conta[saldo],
    cx_conta[id],$B14,
    cx_conta[data], "&gt;="&amp;J$3,
    cx_conta[data], "&lt;"&amp;EOMONTH(J$3,0)+1,
    cx_conta[soVisualizacao], FALSE
  )
)</f>
        <v>0</v>
      </c>
      <c r="K14" s="615">
        <f>IF(K$3&gt;inputs!$A$1,
  0,
  SUMIFS(cx_conta[saldo],
    cx_conta[id],$B14,
    cx_conta[data],"&gt;="&amp;EOMONTH(K$3,0)+1,
    cx_conta[data],"&lt;"&amp;EOMONTH(K$3,1)+1,
    cx_conta[soVisualizacao],FALSE
  )
  -SUMIFS(cx_conta[saldo],
    cx_conta[id],$B14,
    cx_conta[data], "&gt;="&amp;K$3,
    cx_conta[data], "&lt;"&amp;EOMONTH(K$3,0)+1,
    cx_conta[soVisualizacao], FALSE
  )
)</f>
        <v>0</v>
      </c>
    </row>
    <row r="15" spans="1:11" x14ac:dyDescent="0.25">
      <c r="A15" s="620">
        <f t="shared" si="2"/>
        <v>12</v>
      </c>
      <c r="B15" s="613" t="str">
        <v>BUT-CEF-3699</v>
      </c>
      <c r="C15" s="614">
        <f>SUMIFS(cx_conta[saldo],
  cx_conta[id],$B15,
  cx_conta[data], "&gt;="&amp;DATE(YEAR(inputs!$A$1),MONTH(inputs!$A$1+1),1),
  cx_conta[data], "&lt;"&amp;EOMONTH(inputs!$A$1,1)+1,
  cx_conta[soVisualizacao], FALSE
)
-SUMIFS(cx_conta[saldo],
  cx_conta[id],$B15,
  cx_conta[data],"&gt;="&amp;DATE(YEAR(inputs!$A$1),MONTH(inputs!$A$1),1),
  cx_conta[data],"&lt;"&amp;EOMONTH(inputs!$A$1,0),
  cx_conta[soVisualizacao],FALSE
)</f>
        <v>3112.3199999999997</v>
      </c>
      <c r="D15" s="614"/>
      <c r="E15" s="614">
        <f t="shared" si="0"/>
        <v>-3112.3199999999997</v>
      </c>
      <c r="F15" s="352">
        <f t="shared" si="1"/>
        <v>-1</v>
      </c>
      <c r="G15" s="614">
        <f>IF(G$3&gt;inputs!$A$1,
  0,
  SUMIFS(cx_conta[saldo],
    cx_conta[id],$B15,
    cx_conta[data],"&gt;="&amp;EOMONTH(G$3,0)+1,
    cx_conta[data],"&lt;"&amp;EOMONTH(G$3,1)+1,
    cx_conta[soVisualizacao],FALSE
  )
  -SUMIFS(cx_conta[saldo],
    cx_conta[id],$B15,
    cx_conta[data], "&gt;="&amp;G$3,
    cx_conta[data], "&lt;"&amp;EOMONTH(G$3,0)+1,
    cx_conta[soVisualizacao], FALSE
  )
)</f>
        <v>3112.3199999999997</v>
      </c>
      <c r="H15" s="614">
        <f>IF(H$3&gt;inputs!$A$1,
  0,
  SUMIFS(cx_conta[saldo],
    cx_conta[id],$B15,
    cx_conta[data],"&gt;="&amp;EOMONTH(H$3,0)+1,
    cx_conta[data],"&lt;"&amp;EOMONTH(H$3,1)+1,
    cx_conta[soVisualizacao],FALSE
  )
  -SUMIFS(cx_conta[saldo],
    cx_conta[id],$B15,
    cx_conta[data], "&gt;="&amp;H$3,
    cx_conta[data], "&lt;"&amp;EOMONTH(H$3,0)+1,
    cx_conta[soVisualizacao], FALSE
  )
)</f>
        <v>0</v>
      </c>
      <c r="I15" s="614">
        <f>IF(I$3&gt;inputs!$A$1,
  0,
  SUMIFS(cx_conta[saldo],
    cx_conta[id],$B15,
    cx_conta[data],"&gt;="&amp;EOMONTH(I$3,0)+1,
    cx_conta[data],"&lt;"&amp;EOMONTH(I$3,1)+1,
    cx_conta[soVisualizacao],FALSE
  )
  -SUMIFS(cx_conta[saldo],
    cx_conta[id],$B15,
    cx_conta[data], "&gt;="&amp;I$3,
    cx_conta[data], "&lt;"&amp;EOMONTH(I$3,0)+1,
    cx_conta[soVisualizacao], FALSE
  )
)</f>
        <v>0</v>
      </c>
      <c r="J15" s="614">
        <f>IF(J$3&gt;inputs!$A$1,
  0,
  SUMIFS(cx_conta[saldo],
    cx_conta[id],$B15,
    cx_conta[data],"&gt;="&amp;EOMONTH(J$3,0)+1,
    cx_conta[data],"&lt;"&amp;EOMONTH(J$3,1)+1,
    cx_conta[soVisualizacao],FALSE
  )
  -SUMIFS(cx_conta[saldo],
    cx_conta[id],$B15,
    cx_conta[data], "&gt;="&amp;J$3,
    cx_conta[data], "&lt;"&amp;EOMONTH(J$3,0)+1,
    cx_conta[soVisualizacao], FALSE
  )
)</f>
        <v>0</v>
      </c>
      <c r="K15" s="615">
        <f>IF(K$3&gt;inputs!$A$1,
  0,
  SUMIFS(cx_conta[saldo],
    cx_conta[id],$B15,
    cx_conta[data],"&gt;="&amp;EOMONTH(K$3,0)+1,
    cx_conta[data],"&lt;"&amp;EOMONTH(K$3,1)+1,
    cx_conta[soVisualizacao],FALSE
  )
  -SUMIFS(cx_conta[saldo],
    cx_conta[id],$B15,
    cx_conta[data], "&gt;="&amp;K$3,
    cx_conta[data], "&lt;"&amp;EOMONTH(K$3,0)+1,
    cx_conta[soVisualizacao], FALSE
  )
)</f>
        <v>0</v>
      </c>
    </row>
    <row r="16" spans="1:11" x14ac:dyDescent="0.25">
      <c r="A16" s="620">
        <f t="shared" si="2"/>
        <v>13</v>
      </c>
      <c r="B16" s="613" t="str">
        <v>BUT-Itaú-5889</v>
      </c>
      <c r="C16" s="614">
        <f>SUMIFS(cx_conta[saldo],
  cx_conta[id],$B16,
  cx_conta[data], "&gt;="&amp;DATE(YEAR(inputs!$A$1),MONTH(inputs!$A$1+1),1),
  cx_conta[data], "&lt;"&amp;EOMONTH(inputs!$A$1,1)+1,
  cx_conta[soVisualizacao], FALSE
)
-SUMIFS(cx_conta[saldo],
  cx_conta[id],$B16,
  cx_conta[data],"&gt;="&amp;DATE(YEAR(inputs!$A$1),MONTH(inputs!$A$1),1),
  cx_conta[data],"&lt;"&amp;EOMONTH(inputs!$A$1,0),
  cx_conta[soVisualizacao],FALSE
)</f>
        <v>-4350.24</v>
      </c>
      <c r="D16" s="614"/>
      <c r="E16" s="614">
        <f t="shared" si="0"/>
        <v>4350.24</v>
      </c>
      <c r="F16" s="352">
        <f t="shared" si="1"/>
        <v>-1</v>
      </c>
      <c r="G16" s="614">
        <f>IF(G$3&gt;inputs!$A$1,
  0,
  SUMIFS(cx_conta[saldo],
    cx_conta[id],$B16,
    cx_conta[data],"&gt;="&amp;EOMONTH(G$3,0)+1,
    cx_conta[data],"&lt;"&amp;EOMONTH(G$3,1)+1,
    cx_conta[soVisualizacao],FALSE
  )
  -SUMIFS(cx_conta[saldo],
    cx_conta[id],$B16,
    cx_conta[data], "&gt;="&amp;G$3,
    cx_conta[data], "&lt;"&amp;EOMONTH(G$3,0)+1,
    cx_conta[soVisualizacao], FALSE
  )
)</f>
        <v>-4350.24</v>
      </c>
      <c r="H16" s="614">
        <f>IF(H$3&gt;inputs!$A$1,
  0,
  SUMIFS(cx_conta[saldo],
    cx_conta[id],$B16,
    cx_conta[data],"&gt;="&amp;EOMONTH(H$3,0)+1,
    cx_conta[data],"&lt;"&amp;EOMONTH(H$3,1)+1,
    cx_conta[soVisualizacao],FALSE
  )
  -SUMIFS(cx_conta[saldo],
    cx_conta[id],$B16,
    cx_conta[data], "&gt;="&amp;H$3,
    cx_conta[data], "&lt;"&amp;EOMONTH(H$3,0)+1,
    cx_conta[soVisualizacao], FALSE
  )
)</f>
        <v>0</v>
      </c>
      <c r="I16" s="614">
        <f>IF(I$3&gt;inputs!$A$1,
  0,
  SUMIFS(cx_conta[saldo],
    cx_conta[id],$B16,
    cx_conta[data],"&gt;="&amp;EOMONTH(I$3,0)+1,
    cx_conta[data],"&lt;"&amp;EOMONTH(I$3,1)+1,
    cx_conta[soVisualizacao],FALSE
  )
  -SUMIFS(cx_conta[saldo],
    cx_conta[id],$B16,
    cx_conta[data], "&gt;="&amp;I$3,
    cx_conta[data], "&lt;"&amp;EOMONTH(I$3,0)+1,
    cx_conta[soVisualizacao], FALSE
  )
)</f>
        <v>0</v>
      </c>
      <c r="J16" s="614">
        <f>IF(J$3&gt;inputs!$A$1,
  0,
  SUMIFS(cx_conta[saldo],
    cx_conta[id],$B16,
    cx_conta[data],"&gt;="&amp;EOMONTH(J$3,0)+1,
    cx_conta[data],"&lt;"&amp;EOMONTH(J$3,1)+1,
    cx_conta[soVisualizacao],FALSE
  )
  -SUMIFS(cx_conta[saldo],
    cx_conta[id],$B16,
    cx_conta[data], "&gt;="&amp;J$3,
    cx_conta[data], "&lt;"&amp;EOMONTH(J$3,0)+1,
    cx_conta[soVisualizacao], FALSE
  )
)</f>
        <v>0</v>
      </c>
      <c r="K16" s="615">
        <f>IF(K$3&gt;inputs!$A$1,
  0,
  SUMIFS(cx_conta[saldo],
    cx_conta[id],$B16,
    cx_conta[data],"&gt;="&amp;EOMONTH(K$3,0)+1,
    cx_conta[data],"&lt;"&amp;EOMONTH(K$3,1)+1,
    cx_conta[soVisualizacao],FALSE
  )
  -SUMIFS(cx_conta[saldo],
    cx_conta[id],$B16,
    cx_conta[data], "&gt;="&amp;K$3,
    cx_conta[data], "&lt;"&amp;EOMONTH(K$3,0)+1,
    cx_conta[soVisualizacao], FALSE
  )
)</f>
        <v>0</v>
      </c>
    </row>
    <row r="17" spans="1:11" x14ac:dyDescent="0.25">
      <c r="A17" s="620">
        <f t="shared" si="2"/>
        <v>14</v>
      </c>
      <c r="B17" s="613" t="str">
        <v>CBL-CEF-0310</v>
      </c>
      <c r="C17" s="614">
        <f>SUMIFS(cx_conta[saldo],
  cx_conta[id],$B17,
  cx_conta[data], "&gt;="&amp;DATE(YEAR(inputs!$A$1),MONTH(inputs!$A$1+1),1),
  cx_conta[data], "&lt;"&amp;EOMONTH(inputs!$A$1,1)+1,
  cx_conta[soVisualizacao], FALSE
)
-SUMIFS(cx_conta[saldo],
  cx_conta[id],$B17,
  cx_conta[data],"&gt;="&amp;DATE(YEAR(inputs!$A$1),MONTH(inputs!$A$1),1),
  cx_conta[data],"&lt;"&amp;EOMONTH(inputs!$A$1,0),
  cx_conta[soVisualizacao],FALSE
)</f>
        <v>55136.160000000003</v>
      </c>
      <c r="D17" s="614"/>
      <c r="E17" s="614">
        <f t="shared" si="0"/>
        <v>-55136.160000000003</v>
      </c>
      <c r="F17" s="352">
        <f t="shared" si="1"/>
        <v>-1</v>
      </c>
      <c r="G17" s="614">
        <f>IF(G$3&gt;inputs!$A$1,
  0,
  SUMIFS(cx_conta[saldo],
    cx_conta[id],$B17,
    cx_conta[data],"&gt;="&amp;EOMONTH(G$3,0)+1,
    cx_conta[data],"&lt;"&amp;EOMONTH(G$3,1)+1,
    cx_conta[soVisualizacao],FALSE
  )
  -SUMIFS(cx_conta[saldo],
    cx_conta[id],$B17,
    cx_conta[data], "&gt;="&amp;G$3,
    cx_conta[data], "&lt;"&amp;EOMONTH(G$3,0)+1,
    cx_conta[soVisualizacao], FALSE
  )
)</f>
        <v>55136.160000000003</v>
      </c>
      <c r="H17" s="614">
        <f>IF(H$3&gt;inputs!$A$1,
  0,
  SUMIFS(cx_conta[saldo],
    cx_conta[id],$B17,
    cx_conta[data],"&gt;="&amp;EOMONTH(H$3,0)+1,
    cx_conta[data],"&lt;"&amp;EOMONTH(H$3,1)+1,
    cx_conta[soVisualizacao],FALSE
  )
  -SUMIFS(cx_conta[saldo],
    cx_conta[id],$B17,
    cx_conta[data], "&gt;="&amp;H$3,
    cx_conta[data], "&lt;"&amp;EOMONTH(H$3,0)+1,
    cx_conta[soVisualizacao], FALSE
  )
)</f>
        <v>0</v>
      </c>
      <c r="I17" s="614">
        <f>IF(I$3&gt;inputs!$A$1,
  0,
  SUMIFS(cx_conta[saldo],
    cx_conta[id],$B17,
    cx_conta[data],"&gt;="&amp;EOMONTH(I$3,0)+1,
    cx_conta[data],"&lt;"&amp;EOMONTH(I$3,1)+1,
    cx_conta[soVisualizacao],FALSE
  )
  -SUMIFS(cx_conta[saldo],
    cx_conta[id],$B17,
    cx_conta[data], "&gt;="&amp;I$3,
    cx_conta[data], "&lt;"&amp;EOMONTH(I$3,0)+1,
    cx_conta[soVisualizacao], FALSE
  )
)</f>
        <v>0</v>
      </c>
      <c r="J17" s="614">
        <f>IF(J$3&gt;inputs!$A$1,
  0,
  SUMIFS(cx_conta[saldo],
    cx_conta[id],$B17,
    cx_conta[data],"&gt;="&amp;EOMONTH(J$3,0)+1,
    cx_conta[data],"&lt;"&amp;EOMONTH(J$3,1)+1,
    cx_conta[soVisualizacao],FALSE
  )
  -SUMIFS(cx_conta[saldo],
    cx_conta[id],$B17,
    cx_conta[data], "&gt;="&amp;J$3,
    cx_conta[data], "&lt;"&amp;EOMONTH(J$3,0)+1,
    cx_conta[soVisualizacao], FALSE
  )
)</f>
        <v>0</v>
      </c>
      <c r="K17" s="615">
        <f>IF(K$3&gt;inputs!$A$1,
  0,
  SUMIFS(cx_conta[saldo],
    cx_conta[id],$B17,
    cx_conta[data],"&gt;="&amp;EOMONTH(K$3,0)+1,
    cx_conta[data],"&lt;"&amp;EOMONTH(K$3,1)+1,
    cx_conta[soVisualizacao],FALSE
  )
  -SUMIFS(cx_conta[saldo],
    cx_conta[id],$B17,
    cx_conta[data], "&gt;="&amp;K$3,
    cx_conta[data], "&lt;"&amp;EOMONTH(K$3,0)+1,
    cx_conta[soVisualizacao], FALSE
  )
)</f>
        <v>0</v>
      </c>
    </row>
    <row r="18" spans="1:11" x14ac:dyDescent="0.25">
      <c r="A18" s="620">
        <f t="shared" si="2"/>
        <v>15</v>
      </c>
      <c r="B18" s="613" t="str">
        <v>CBL-Itaú-6518</v>
      </c>
      <c r="C18" s="614">
        <f>SUMIFS(cx_conta[saldo],
  cx_conta[id],$B18,
  cx_conta[data], "&gt;="&amp;DATE(YEAR(inputs!$A$1),MONTH(inputs!$A$1+1),1),
  cx_conta[data], "&lt;"&amp;EOMONTH(inputs!$A$1,1)+1,
  cx_conta[soVisualizacao], FALSE
)
-SUMIFS(cx_conta[saldo],
  cx_conta[id],$B18,
  cx_conta[data],"&gt;="&amp;DATE(YEAR(inputs!$A$1),MONTH(inputs!$A$1),1),
  cx_conta[data],"&lt;"&amp;EOMONTH(inputs!$A$1,0),
  cx_conta[soVisualizacao],FALSE
)</f>
        <v>-10574.419999999998</v>
      </c>
      <c r="D18" s="614"/>
      <c r="E18" s="614">
        <f t="shared" si="0"/>
        <v>10574.419999999998</v>
      </c>
      <c r="F18" s="352">
        <f t="shared" si="1"/>
        <v>-1</v>
      </c>
      <c r="G18" s="614">
        <f>IF(G$3&gt;inputs!$A$1,
  0,
  SUMIFS(cx_conta[saldo],
    cx_conta[id],$B18,
    cx_conta[data],"&gt;="&amp;EOMONTH(G$3,0)+1,
    cx_conta[data],"&lt;"&amp;EOMONTH(G$3,1)+1,
    cx_conta[soVisualizacao],FALSE
  )
  -SUMIFS(cx_conta[saldo],
    cx_conta[id],$B18,
    cx_conta[data], "&gt;="&amp;G$3,
    cx_conta[data], "&lt;"&amp;EOMONTH(G$3,0)+1,
    cx_conta[soVisualizacao], FALSE
  )
)</f>
        <v>-10574.419999999998</v>
      </c>
      <c r="H18" s="614">
        <f>IF(H$3&gt;inputs!$A$1,
  0,
  SUMIFS(cx_conta[saldo],
    cx_conta[id],$B18,
    cx_conta[data],"&gt;="&amp;EOMONTH(H$3,0)+1,
    cx_conta[data],"&lt;"&amp;EOMONTH(H$3,1)+1,
    cx_conta[soVisualizacao],FALSE
  )
  -SUMIFS(cx_conta[saldo],
    cx_conta[id],$B18,
    cx_conta[data], "&gt;="&amp;H$3,
    cx_conta[data], "&lt;"&amp;EOMONTH(H$3,0)+1,
    cx_conta[soVisualizacao], FALSE
  )
)</f>
        <v>0</v>
      </c>
      <c r="I18" s="614">
        <f>IF(I$3&gt;inputs!$A$1,
  0,
  SUMIFS(cx_conta[saldo],
    cx_conta[id],$B18,
    cx_conta[data],"&gt;="&amp;EOMONTH(I$3,0)+1,
    cx_conta[data],"&lt;"&amp;EOMONTH(I$3,1)+1,
    cx_conta[soVisualizacao],FALSE
  )
  -SUMIFS(cx_conta[saldo],
    cx_conta[id],$B18,
    cx_conta[data], "&gt;="&amp;I$3,
    cx_conta[data], "&lt;"&amp;EOMONTH(I$3,0)+1,
    cx_conta[soVisualizacao], FALSE
  )
)</f>
        <v>0</v>
      </c>
      <c r="J18" s="614">
        <f>IF(J$3&gt;inputs!$A$1,
  0,
  SUMIFS(cx_conta[saldo],
    cx_conta[id],$B18,
    cx_conta[data],"&gt;="&amp;EOMONTH(J$3,0)+1,
    cx_conta[data],"&lt;"&amp;EOMONTH(J$3,1)+1,
    cx_conta[soVisualizacao],FALSE
  )
  -SUMIFS(cx_conta[saldo],
    cx_conta[id],$B18,
    cx_conta[data], "&gt;="&amp;J$3,
    cx_conta[data], "&lt;"&amp;EOMONTH(J$3,0)+1,
    cx_conta[soVisualizacao], FALSE
  )
)</f>
        <v>0</v>
      </c>
      <c r="K18" s="615">
        <f>IF(K$3&gt;inputs!$A$1,
  0,
  SUMIFS(cx_conta[saldo],
    cx_conta[id],$B18,
    cx_conta[data],"&gt;="&amp;EOMONTH(K$3,0)+1,
    cx_conta[data],"&lt;"&amp;EOMONTH(K$3,1)+1,
    cx_conta[soVisualizacao],FALSE
  )
  -SUMIFS(cx_conta[saldo],
    cx_conta[id],$B18,
    cx_conta[data], "&gt;="&amp;K$3,
    cx_conta[data], "&lt;"&amp;EOMONTH(K$3,0)+1,
    cx_conta[soVisualizacao], FALSE
  )
)</f>
        <v>0</v>
      </c>
    </row>
    <row r="19" spans="1:11" x14ac:dyDescent="0.25">
      <c r="A19" s="620">
        <f t="shared" si="2"/>
        <v>16</v>
      </c>
      <c r="B19" s="613" t="str">
        <v>CHR-CEF-1895</v>
      </c>
      <c r="C19" s="614">
        <f>SUMIFS(cx_conta[saldo],
  cx_conta[id],$B19,
  cx_conta[data], "&gt;="&amp;DATE(YEAR(inputs!$A$1),MONTH(inputs!$A$1+1),1),
  cx_conta[data], "&lt;"&amp;EOMONTH(inputs!$A$1,1)+1,
  cx_conta[soVisualizacao], FALSE
)
-SUMIFS(cx_conta[saldo],
  cx_conta[id],$B19,
  cx_conta[data],"&gt;="&amp;DATE(YEAR(inputs!$A$1),MONTH(inputs!$A$1),1),
  cx_conta[data],"&lt;"&amp;EOMONTH(inputs!$A$1,0),
  cx_conta[soVisualizacao],FALSE
)</f>
        <v>0</v>
      </c>
      <c r="D19" s="614"/>
      <c r="E19" s="614">
        <f t="shared" si="0"/>
        <v>0</v>
      </c>
      <c r="F19" s="352" t="str">
        <f t="shared" si="1"/>
        <v/>
      </c>
      <c r="G19" s="614">
        <f>IF(G$3&gt;inputs!$A$1,
  0,
  SUMIFS(cx_conta[saldo],
    cx_conta[id],$B19,
    cx_conta[data],"&gt;="&amp;EOMONTH(G$3,0)+1,
    cx_conta[data],"&lt;"&amp;EOMONTH(G$3,1)+1,
    cx_conta[soVisualizacao],FALSE
  )
  -SUMIFS(cx_conta[saldo],
    cx_conta[id],$B19,
    cx_conta[data], "&gt;="&amp;G$3,
    cx_conta[data], "&lt;"&amp;EOMONTH(G$3,0)+1,
    cx_conta[soVisualizacao], FALSE
  )
)</f>
        <v>0</v>
      </c>
      <c r="H19" s="614">
        <f>IF(H$3&gt;inputs!$A$1,
  0,
  SUMIFS(cx_conta[saldo],
    cx_conta[id],$B19,
    cx_conta[data],"&gt;="&amp;EOMONTH(H$3,0)+1,
    cx_conta[data],"&lt;"&amp;EOMONTH(H$3,1)+1,
    cx_conta[soVisualizacao],FALSE
  )
  -SUMIFS(cx_conta[saldo],
    cx_conta[id],$B19,
    cx_conta[data], "&gt;="&amp;H$3,
    cx_conta[data], "&lt;"&amp;EOMONTH(H$3,0)+1,
    cx_conta[soVisualizacao], FALSE
  )
)</f>
        <v>0</v>
      </c>
      <c r="I19" s="614">
        <f>IF(I$3&gt;inputs!$A$1,
  0,
  SUMIFS(cx_conta[saldo],
    cx_conta[id],$B19,
    cx_conta[data],"&gt;="&amp;EOMONTH(I$3,0)+1,
    cx_conta[data],"&lt;"&amp;EOMONTH(I$3,1)+1,
    cx_conta[soVisualizacao],FALSE
  )
  -SUMIFS(cx_conta[saldo],
    cx_conta[id],$B19,
    cx_conta[data], "&gt;="&amp;I$3,
    cx_conta[data], "&lt;"&amp;EOMONTH(I$3,0)+1,
    cx_conta[soVisualizacao], FALSE
  )
)</f>
        <v>0</v>
      </c>
      <c r="J19" s="614">
        <f>IF(J$3&gt;inputs!$A$1,
  0,
  SUMIFS(cx_conta[saldo],
    cx_conta[id],$B19,
    cx_conta[data],"&gt;="&amp;EOMONTH(J$3,0)+1,
    cx_conta[data],"&lt;"&amp;EOMONTH(J$3,1)+1,
    cx_conta[soVisualizacao],FALSE
  )
  -SUMIFS(cx_conta[saldo],
    cx_conta[id],$B19,
    cx_conta[data], "&gt;="&amp;J$3,
    cx_conta[data], "&lt;"&amp;EOMONTH(J$3,0)+1,
    cx_conta[soVisualizacao], FALSE
  )
)</f>
        <v>0</v>
      </c>
      <c r="K19" s="615">
        <f>IF(K$3&gt;inputs!$A$1,
  0,
  SUMIFS(cx_conta[saldo],
    cx_conta[id],$B19,
    cx_conta[data],"&gt;="&amp;EOMONTH(K$3,0)+1,
    cx_conta[data],"&lt;"&amp;EOMONTH(K$3,1)+1,
    cx_conta[soVisualizacao],FALSE
  )
  -SUMIFS(cx_conta[saldo],
    cx_conta[id],$B19,
    cx_conta[data], "&gt;="&amp;K$3,
    cx_conta[data], "&lt;"&amp;EOMONTH(K$3,0)+1,
    cx_conta[soVisualizacao], FALSE
  )
)</f>
        <v>0</v>
      </c>
    </row>
    <row r="20" spans="1:11" x14ac:dyDescent="0.25">
      <c r="A20" s="620">
        <f t="shared" si="2"/>
        <v>17</v>
      </c>
      <c r="B20" s="613" t="str">
        <v>CPE-CEF-8368</v>
      </c>
      <c r="C20" s="614">
        <f>SUMIFS(cx_conta[saldo],
  cx_conta[id],$B20,
  cx_conta[data], "&gt;="&amp;DATE(YEAR(inputs!$A$1),MONTH(inputs!$A$1+1),1),
  cx_conta[data], "&lt;"&amp;EOMONTH(inputs!$A$1,1)+1,
  cx_conta[soVisualizacao], FALSE
)
-SUMIFS(cx_conta[saldo],
  cx_conta[id],$B20,
  cx_conta[data],"&gt;="&amp;DATE(YEAR(inputs!$A$1),MONTH(inputs!$A$1),1),
  cx_conta[data],"&lt;"&amp;EOMONTH(inputs!$A$1,0),
  cx_conta[soVisualizacao],FALSE
)</f>
        <v>6620.6900000000005</v>
      </c>
      <c r="D20" s="614"/>
      <c r="E20" s="614">
        <f t="shared" si="0"/>
        <v>-6620.6900000000005</v>
      </c>
      <c r="F20" s="352">
        <f t="shared" si="1"/>
        <v>-1</v>
      </c>
      <c r="G20" s="614">
        <f>IF(G$3&gt;inputs!$A$1,
  0,
  SUMIFS(cx_conta[saldo],
    cx_conta[id],$B20,
    cx_conta[data],"&gt;="&amp;EOMONTH(G$3,0)+1,
    cx_conta[data],"&lt;"&amp;EOMONTH(G$3,1)+1,
    cx_conta[soVisualizacao],FALSE
  )
  -SUMIFS(cx_conta[saldo],
    cx_conta[id],$B20,
    cx_conta[data], "&gt;="&amp;G$3,
    cx_conta[data], "&lt;"&amp;EOMONTH(G$3,0)+1,
    cx_conta[soVisualizacao], FALSE
  )
)</f>
        <v>6620.6900000000005</v>
      </c>
      <c r="H20" s="614">
        <f>IF(H$3&gt;inputs!$A$1,
  0,
  SUMIFS(cx_conta[saldo],
    cx_conta[id],$B20,
    cx_conta[data],"&gt;="&amp;EOMONTH(H$3,0)+1,
    cx_conta[data],"&lt;"&amp;EOMONTH(H$3,1)+1,
    cx_conta[soVisualizacao],FALSE
  )
  -SUMIFS(cx_conta[saldo],
    cx_conta[id],$B20,
    cx_conta[data], "&gt;="&amp;H$3,
    cx_conta[data], "&lt;"&amp;EOMONTH(H$3,0)+1,
    cx_conta[soVisualizacao], FALSE
  )
)</f>
        <v>0</v>
      </c>
      <c r="I20" s="614">
        <f>IF(I$3&gt;inputs!$A$1,
  0,
  SUMIFS(cx_conta[saldo],
    cx_conta[id],$B20,
    cx_conta[data],"&gt;="&amp;EOMONTH(I$3,0)+1,
    cx_conta[data],"&lt;"&amp;EOMONTH(I$3,1)+1,
    cx_conta[soVisualizacao],FALSE
  )
  -SUMIFS(cx_conta[saldo],
    cx_conta[id],$B20,
    cx_conta[data], "&gt;="&amp;I$3,
    cx_conta[data], "&lt;"&amp;EOMONTH(I$3,0)+1,
    cx_conta[soVisualizacao], FALSE
  )
)</f>
        <v>0</v>
      </c>
      <c r="J20" s="614">
        <f>IF(J$3&gt;inputs!$A$1,
  0,
  SUMIFS(cx_conta[saldo],
    cx_conta[id],$B20,
    cx_conta[data],"&gt;="&amp;EOMONTH(J$3,0)+1,
    cx_conta[data],"&lt;"&amp;EOMONTH(J$3,1)+1,
    cx_conta[soVisualizacao],FALSE
  )
  -SUMIFS(cx_conta[saldo],
    cx_conta[id],$B20,
    cx_conta[data], "&gt;="&amp;J$3,
    cx_conta[data], "&lt;"&amp;EOMONTH(J$3,0)+1,
    cx_conta[soVisualizacao], FALSE
  )
)</f>
        <v>0</v>
      </c>
      <c r="K20" s="615">
        <f>IF(K$3&gt;inputs!$A$1,
  0,
  SUMIFS(cx_conta[saldo],
    cx_conta[id],$B20,
    cx_conta[data],"&gt;="&amp;EOMONTH(K$3,0)+1,
    cx_conta[data],"&lt;"&amp;EOMONTH(K$3,1)+1,
    cx_conta[soVisualizacao],FALSE
  )
  -SUMIFS(cx_conta[saldo],
    cx_conta[id],$B20,
    cx_conta[data], "&gt;="&amp;K$3,
    cx_conta[data], "&lt;"&amp;EOMONTH(K$3,0)+1,
    cx_conta[soVisualizacao], FALSE
  )
)</f>
        <v>0</v>
      </c>
    </row>
    <row r="21" spans="1:11" x14ac:dyDescent="0.25">
      <c r="A21" s="620">
        <f t="shared" si="2"/>
        <v>18</v>
      </c>
      <c r="B21" s="613" t="str">
        <v>CPE-Itaú-5897</v>
      </c>
      <c r="C21" s="614">
        <f>SUMIFS(cx_conta[saldo],
  cx_conta[id],$B21,
  cx_conta[data], "&gt;="&amp;DATE(YEAR(inputs!$A$1),MONTH(inputs!$A$1+1),1),
  cx_conta[data], "&lt;"&amp;EOMONTH(inputs!$A$1,1)+1,
  cx_conta[soVisualizacao], FALSE
)
-SUMIFS(cx_conta[saldo],
  cx_conta[id],$B21,
  cx_conta[data],"&gt;="&amp;DATE(YEAR(inputs!$A$1),MONTH(inputs!$A$1),1),
  cx_conta[data],"&lt;"&amp;EOMONTH(inputs!$A$1,0),
  cx_conta[soVisualizacao],FALSE
)</f>
        <v>1292.19</v>
      </c>
      <c r="D21" s="614"/>
      <c r="E21" s="614">
        <f t="shared" si="0"/>
        <v>-1292.19</v>
      </c>
      <c r="F21" s="352">
        <f t="shared" si="1"/>
        <v>-1</v>
      </c>
      <c r="G21" s="614">
        <f>IF(G$3&gt;inputs!$A$1,
  0,
  SUMIFS(cx_conta[saldo],
    cx_conta[id],$B21,
    cx_conta[data],"&gt;="&amp;EOMONTH(G$3,0)+1,
    cx_conta[data],"&lt;"&amp;EOMONTH(G$3,1)+1,
    cx_conta[soVisualizacao],FALSE
  )
  -SUMIFS(cx_conta[saldo],
    cx_conta[id],$B21,
    cx_conta[data], "&gt;="&amp;G$3,
    cx_conta[data], "&lt;"&amp;EOMONTH(G$3,0)+1,
    cx_conta[soVisualizacao], FALSE
  )
)</f>
        <v>1292.19</v>
      </c>
      <c r="H21" s="614">
        <f>IF(H$3&gt;inputs!$A$1,
  0,
  SUMIFS(cx_conta[saldo],
    cx_conta[id],$B21,
    cx_conta[data],"&gt;="&amp;EOMONTH(H$3,0)+1,
    cx_conta[data],"&lt;"&amp;EOMONTH(H$3,1)+1,
    cx_conta[soVisualizacao],FALSE
  )
  -SUMIFS(cx_conta[saldo],
    cx_conta[id],$B21,
    cx_conta[data], "&gt;="&amp;H$3,
    cx_conta[data], "&lt;"&amp;EOMONTH(H$3,0)+1,
    cx_conta[soVisualizacao], FALSE
  )
)</f>
        <v>0</v>
      </c>
      <c r="I21" s="614">
        <f>IF(I$3&gt;inputs!$A$1,
  0,
  SUMIFS(cx_conta[saldo],
    cx_conta[id],$B21,
    cx_conta[data],"&gt;="&amp;EOMONTH(I$3,0)+1,
    cx_conta[data],"&lt;"&amp;EOMONTH(I$3,1)+1,
    cx_conta[soVisualizacao],FALSE
  )
  -SUMIFS(cx_conta[saldo],
    cx_conta[id],$B21,
    cx_conta[data], "&gt;="&amp;I$3,
    cx_conta[data], "&lt;"&amp;EOMONTH(I$3,0)+1,
    cx_conta[soVisualizacao], FALSE
  )
)</f>
        <v>0</v>
      </c>
      <c r="J21" s="614">
        <f>IF(J$3&gt;inputs!$A$1,
  0,
  SUMIFS(cx_conta[saldo],
    cx_conta[id],$B21,
    cx_conta[data],"&gt;="&amp;EOMONTH(J$3,0)+1,
    cx_conta[data],"&lt;"&amp;EOMONTH(J$3,1)+1,
    cx_conta[soVisualizacao],FALSE
  )
  -SUMIFS(cx_conta[saldo],
    cx_conta[id],$B21,
    cx_conta[data], "&gt;="&amp;J$3,
    cx_conta[data], "&lt;"&amp;EOMONTH(J$3,0)+1,
    cx_conta[soVisualizacao], FALSE
  )
)</f>
        <v>0</v>
      </c>
      <c r="K21" s="615">
        <f>IF(K$3&gt;inputs!$A$1,
  0,
  SUMIFS(cx_conta[saldo],
    cx_conta[id],$B21,
    cx_conta[data],"&gt;="&amp;EOMONTH(K$3,0)+1,
    cx_conta[data],"&lt;"&amp;EOMONTH(K$3,1)+1,
    cx_conta[soVisualizacao],FALSE
  )
  -SUMIFS(cx_conta[saldo],
    cx_conta[id],$B21,
    cx_conta[data], "&gt;="&amp;K$3,
    cx_conta[data], "&lt;"&amp;EOMONTH(K$3,0)+1,
    cx_conta[soVisualizacao], FALSE
  )
)</f>
        <v>0</v>
      </c>
    </row>
    <row r="22" spans="1:11" x14ac:dyDescent="0.25">
      <c r="A22" s="620">
        <f t="shared" si="2"/>
        <v>19</v>
      </c>
      <c r="B22" s="613" t="str">
        <v>CXG-CEF-9087</v>
      </c>
      <c r="C22" s="614">
        <f>SUMIFS(cx_conta[saldo],
  cx_conta[id],$B22,
  cx_conta[data], "&gt;="&amp;DATE(YEAR(inputs!$A$1),MONTH(inputs!$A$1+1),1),
  cx_conta[data], "&lt;"&amp;EOMONTH(inputs!$A$1,1)+1,
  cx_conta[soVisualizacao], FALSE
)
-SUMIFS(cx_conta[saldo],
  cx_conta[id],$B22,
  cx_conta[data],"&gt;="&amp;DATE(YEAR(inputs!$A$1),MONTH(inputs!$A$1),1),
  cx_conta[data],"&lt;"&amp;EOMONTH(inputs!$A$1,0),
  cx_conta[soVisualizacao],FALSE
)</f>
        <v>169</v>
      </c>
      <c r="D22" s="614"/>
      <c r="E22" s="614">
        <f t="shared" si="0"/>
        <v>-169</v>
      </c>
      <c r="F22" s="352">
        <f t="shared" si="1"/>
        <v>-1</v>
      </c>
      <c r="G22" s="614">
        <f>IF(G$3&gt;inputs!$A$1,
  0,
  SUMIFS(cx_conta[saldo],
    cx_conta[id],$B22,
    cx_conta[data],"&gt;="&amp;EOMONTH(G$3,0)+1,
    cx_conta[data],"&lt;"&amp;EOMONTH(G$3,1)+1,
    cx_conta[soVisualizacao],FALSE
  )
  -SUMIFS(cx_conta[saldo],
    cx_conta[id],$B22,
    cx_conta[data], "&gt;="&amp;G$3,
    cx_conta[data], "&lt;"&amp;EOMONTH(G$3,0)+1,
    cx_conta[soVisualizacao], FALSE
  )
)</f>
        <v>169</v>
      </c>
      <c r="H22" s="614">
        <f>IF(H$3&gt;inputs!$A$1,
  0,
  SUMIFS(cx_conta[saldo],
    cx_conta[id],$B22,
    cx_conta[data],"&gt;="&amp;EOMONTH(H$3,0)+1,
    cx_conta[data],"&lt;"&amp;EOMONTH(H$3,1)+1,
    cx_conta[soVisualizacao],FALSE
  )
  -SUMIFS(cx_conta[saldo],
    cx_conta[id],$B22,
    cx_conta[data], "&gt;="&amp;H$3,
    cx_conta[data], "&lt;"&amp;EOMONTH(H$3,0)+1,
    cx_conta[soVisualizacao], FALSE
  )
)</f>
        <v>0</v>
      </c>
      <c r="I22" s="614">
        <f>IF(I$3&gt;inputs!$A$1,
  0,
  SUMIFS(cx_conta[saldo],
    cx_conta[id],$B22,
    cx_conta[data],"&gt;="&amp;EOMONTH(I$3,0)+1,
    cx_conta[data],"&lt;"&amp;EOMONTH(I$3,1)+1,
    cx_conta[soVisualizacao],FALSE
  )
  -SUMIFS(cx_conta[saldo],
    cx_conta[id],$B22,
    cx_conta[data], "&gt;="&amp;I$3,
    cx_conta[data], "&lt;"&amp;EOMONTH(I$3,0)+1,
    cx_conta[soVisualizacao], FALSE
  )
)</f>
        <v>0</v>
      </c>
      <c r="J22" s="614">
        <f>IF(J$3&gt;inputs!$A$1,
  0,
  SUMIFS(cx_conta[saldo],
    cx_conta[id],$B22,
    cx_conta[data],"&gt;="&amp;EOMONTH(J$3,0)+1,
    cx_conta[data],"&lt;"&amp;EOMONTH(J$3,1)+1,
    cx_conta[soVisualizacao],FALSE
  )
  -SUMIFS(cx_conta[saldo],
    cx_conta[id],$B22,
    cx_conta[data], "&gt;="&amp;J$3,
    cx_conta[data], "&lt;"&amp;EOMONTH(J$3,0)+1,
    cx_conta[soVisualizacao], FALSE
  )
)</f>
        <v>0</v>
      </c>
      <c r="K22" s="615">
        <f>IF(K$3&gt;inputs!$A$1,
  0,
  SUMIFS(cx_conta[saldo],
    cx_conta[id],$B22,
    cx_conta[data],"&gt;="&amp;EOMONTH(K$3,0)+1,
    cx_conta[data],"&lt;"&amp;EOMONTH(K$3,1)+1,
    cx_conta[soVisualizacao],FALSE
  )
  -SUMIFS(cx_conta[saldo],
    cx_conta[id],$B22,
    cx_conta[data], "&gt;="&amp;K$3,
    cx_conta[data], "&lt;"&amp;EOMONTH(K$3,0)+1,
    cx_conta[soVisualizacao], FALSE
  )
)</f>
        <v>0</v>
      </c>
    </row>
    <row r="23" spans="1:11" x14ac:dyDescent="0.25">
      <c r="A23" s="620">
        <f t="shared" si="2"/>
        <v>20</v>
      </c>
      <c r="B23" s="613" t="str">
        <v>DPF-CEF-3945</v>
      </c>
      <c r="C23" s="614">
        <f>SUMIFS(cx_conta[saldo],
  cx_conta[id],$B23,
  cx_conta[data], "&gt;="&amp;DATE(YEAR(inputs!$A$1),MONTH(inputs!$A$1+1),1),
  cx_conta[data], "&lt;"&amp;EOMONTH(inputs!$A$1,1)+1,
  cx_conta[soVisualizacao], FALSE
)
-SUMIFS(cx_conta[saldo],
  cx_conta[id],$B23,
  cx_conta[data],"&gt;="&amp;DATE(YEAR(inputs!$A$1),MONTH(inputs!$A$1),1),
  cx_conta[data],"&lt;"&amp;EOMONTH(inputs!$A$1,0),
  cx_conta[soVisualizacao],FALSE
)</f>
        <v>7903.29</v>
      </c>
      <c r="D23" s="614"/>
      <c r="E23" s="614">
        <f t="shared" si="0"/>
        <v>-7903.29</v>
      </c>
      <c r="F23" s="352">
        <f t="shared" si="1"/>
        <v>-1</v>
      </c>
      <c r="G23" s="614">
        <f>IF(G$3&gt;inputs!$A$1,
  0,
  SUMIFS(cx_conta[saldo],
    cx_conta[id],$B23,
    cx_conta[data],"&gt;="&amp;EOMONTH(G$3,0)+1,
    cx_conta[data],"&lt;"&amp;EOMONTH(G$3,1)+1,
    cx_conta[soVisualizacao],FALSE
  )
  -SUMIFS(cx_conta[saldo],
    cx_conta[id],$B23,
    cx_conta[data], "&gt;="&amp;G$3,
    cx_conta[data], "&lt;"&amp;EOMONTH(G$3,0)+1,
    cx_conta[soVisualizacao], FALSE
  )
)</f>
        <v>7903.29</v>
      </c>
      <c r="H23" s="614">
        <f>IF(H$3&gt;inputs!$A$1,
  0,
  SUMIFS(cx_conta[saldo],
    cx_conta[id],$B23,
    cx_conta[data],"&gt;="&amp;EOMONTH(H$3,0)+1,
    cx_conta[data],"&lt;"&amp;EOMONTH(H$3,1)+1,
    cx_conta[soVisualizacao],FALSE
  )
  -SUMIFS(cx_conta[saldo],
    cx_conta[id],$B23,
    cx_conta[data], "&gt;="&amp;H$3,
    cx_conta[data], "&lt;"&amp;EOMONTH(H$3,0)+1,
    cx_conta[soVisualizacao], FALSE
  )
)</f>
        <v>0</v>
      </c>
      <c r="I23" s="614">
        <f>IF(I$3&gt;inputs!$A$1,
  0,
  SUMIFS(cx_conta[saldo],
    cx_conta[id],$B23,
    cx_conta[data],"&gt;="&amp;EOMONTH(I$3,0)+1,
    cx_conta[data],"&lt;"&amp;EOMONTH(I$3,1)+1,
    cx_conta[soVisualizacao],FALSE
  )
  -SUMIFS(cx_conta[saldo],
    cx_conta[id],$B23,
    cx_conta[data], "&gt;="&amp;I$3,
    cx_conta[data], "&lt;"&amp;EOMONTH(I$3,0)+1,
    cx_conta[soVisualizacao], FALSE
  )
)</f>
        <v>0</v>
      </c>
      <c r="J23" s="614">
        <f>IF(J$3&gt;inputs!$A$1,
  0,
  SUMIFS(cx_conta[saldo],
    cx_conta[id],$B23,
    cx_conta[data],"&gt;="&amp;EOMONTH(J$3,0)+1,
    cx_conta[data],"&lt;"&amp;EOMONTH(J$3,1)+1,
    cx_conta[soVisualizacao],FALSE
  )
  -SUMIFS(cx_conta[saldo],
    cx_conta[id],$B23,
    cx_conta[data], "&gt;="&amp;J$3,
    cx_conta[data], "&lt;"&amp;EOMONTH(J$3,0)+1,
    cx_conta[soVisualizacao], FALSE
  )
)</f>
        <v>0</v>
      </c>
      <c r="K23" s="615">
        <f>IF(K$3&gt;inputs!$A$1,
  0,
  SUMIFS(cx_conta[saldo],
    cx_conta[id],$B23,
    cx_conta[data],"&gt;="&amp;EOMONTH(K$3,0)+1,
    cx_conta[data],"&lt;"&amp;EOMONTH(K$3,1)+1,
    cx_conta[soVisualizacao],FALSE
  )
  -SUMIFS(cx_conta[saldo],
    cx_conta[id],$B23,
    cx_conta[data], "&gt;="&amp;K$3,
    cx_conta[data], "&lt;"&amp;EOMONTH(K$3,0)+1,
    cx_conta[soVisualizacao], FALSE
  )
)</f>
        <v>0</v>
      </c>
    </row>
    <row r="24" spans="1:11" x14ac:dyDescent="0.25">
      <c r="A24" s="620">
        <f t="shared" si="2"/>
        <v>21</v>
      </c>
      <c r="B24" s="613" t="str">
        <v>ENC-CEF-2318</v>
      </c>
      <c r="C24" s="614">
        <f>SUMIFS(cx_conta[saldo],
  cx_conta[id],$B24,
  cx_conta[data], "&gt;="&amp;DATE(YEAR(inputs!$A$1),MONTH(inputs!$A$1+1),1),
  cx_conta[data], "&lt;"&amp;EOMONTH(inputs!$A$1,1)+1,
  cx_conta[soVisualizacao], FALSE
)
-SUMIFS(cx_conta[saldo],
  cx_conta[id],$B24,
  cx_conta[data],"&gt;="&amp;DATE(YEAR(inputs!$A$1),MONTH(inputs!$A$1),1),
  cx_conta[data],"&lt;"&amp;EOMONTH(inputs!$A$1,0),
  cx_conta[soVisualizacao],FALSE
)</f>
        <v>-125</v>
      </c>
      <c r="D24" s="614"/>
      <c r="E24" s="614">
        <f t="shared" si="0"/>
        <v>125</v>
      </c>
      <c r="F24" s="352">
        <f t="shared" si="1"/>
        <v>-1</v>
      </c>
      <c r="G24" s="614">
        <f>IF(G$3&gt;inputs!$A$1,
  0,
  SUMIFS(cx_conta[saldo],
    cx_conta[id],$B24,
    cx_conta[data],"&gt;="&amp;EOMONTH(G$3,0)+1,
    cx_conta[data],"&lt;"&amp;EOMONTH(G$3,1)+1,
    cx_conta[soVisualizacao],FALSE
  )
  -SUMIFS(cx_conta[saldo],
    cx_conta[id],$B24,
    cx_conta[data], "&gt;="&amp;G$3,
    cx_conta[data], "&lt;"&amp;EOMONTH(G$3,0)+1,
    cx_conta[soVisualizacao], FALSE
  )
)</f>
        <v>-125</v>
      </c>
      <c r="H24" s="614">
        <f>IF(H$3&gt;inputs!$A$1,
  0,
  SUMIFS(cx_conta[saldo],
    cx_conta[id],$B24,
    cx_conta[data],"&gt;="&amp;EOMONTH(H$3,0)+1,
    cx_conta[data],"&lt;"&amp;EOMONTH(H$3,1)+1,
    cx_conta[soVisualizacao],FALSE
  )
  -SUMIFS(cx_conta[saldo],
    cx_conta[id],$B24,
    cx_conta[data], "&gt;="&amp;H$3,
    cx_conta[data], "&lt;"&amp;EOMONTH(H$3,0)+1,
    cx_conta[soVisualizacao], FALSE
  )
)</f>
        <v>0</v>
      </c>
      <c r="I24" s="614">
        <f>IF(I$3&gt;inputs!$A$1,
  0,
  SUMIFS(cx_conta[saldo],
    cx_conta[id],$B24,
    cx_conta[data],"&gt;="&amp;EOMONTH(I$3,0)+1,
    cx_conta[data],"&lt;"&amp;EOMONTH(I$3,1)+1,
    cx_conta[soVisualizacao],FALSE
  )
  -SUMIFS(cx_conta[saldo],
    cx_conta[id],$B24,
    cx_conta[data], "&gt;="&amp;I$3,
    cx_conta[data], "&lt;"&amp;EOMONTH(I$3,0)+1,
    cx_conta[soVisualizacao], FALSE
  )
)</f>
        <v>0</v>
      </c>
      <c r="J24" s="614">
        <f>IF(J$3&gt;inputs!$A$1,
  0,
  SUMIFS(cx_conta[saldo],
    cx_conta[id],$B24,
    cx_conta[data],"&gt;="&amp;EOMONTH(J$3,0)+1,
    cx_conta[data],"&lt;"&amp;EOMONTH(J$3,1)+1,
    cx_conta[soVisualizacao],FALSE
  )
  -SUMIFS(cx_conta[saldo],
    cx_conta[id],$B24,
    cx_conta[data], "&gt;="&amp;J$3,
    cx_conta[data], "&lt;"&amp;EOMONTH(J$3,0)+1,
    cx_conta[soVisualizacao], FALSE
  )
)</f>
        <v>0</v>
      </c>
      <c r="K24" s="615">
        <f>IF(K$3&gt;inputs!$A$1,
  0,
  SUMIFS(cx_conta[saldo],
    cx_conta[id],$B24,
    cx_conta[data],"&gt;="&amp;EOMONTH(K$3,0)+1,
    cx_conta[data],"&lt;"&amp;EOMONTH(K$3,1)+1,
    cx_conta[soVisualizacao],FALSE
  )
  -SUMIFS(cx_conta[saldo],
    cx_conta[id],$B24,
    cx_conta[data], "&gt;="&amp;K$3,
    cx_conta[data], "&lt;"&amp;EOMONTH(K$3,0)+1,
    cx_conta[soVisualizacao], FALSE
  )
)</f>
        <v>0</v>
      </c>
    </row>
    <row r="25" spans="1:11" x14ac:dyDescent="0.25">
      <c r="A25" s="620">
        <f t="shared" si="2"/>
        <v>22</v>
      </c>
      <c r="B25" s="613" t="str">
        <v>ENC-CEF-3068</v>
      </c>
      <c r="C25" s="614">
        <f>SUMIFS(cx_conta[saldo],
  cx_conta[id],$B25,
  cx_conta[data], "&gt;="&amp;DATE(YEAR(inputs!$A$1),MONTH(inputs!$A$1+1),1),
  cx_conta[data], "&lt;"&amp;EOMONTH(inputs!$A$1,1)+1,
  cx_conta[soVisualizacao], FALSE
)
-SUMIFS(cx_conta[saldo],
  cx_conta[id],$B25,
  cx_conta[data],"&gt;="&amp;DATE(YEAR(inputs!$A$1),MONTH(inputs!$A$1),1),
  cx_conta[data],"&lt;"&amp;EOMONTH(inputs!$A$1,0),
  cx_conta[soVisualizacao],FALSE
)</f>
        <v>1200.8399999999997</v>
      </c>
      <c r="D25" s="614"/>
      <c r="E25" s="614">
        <f t="shared" si="0"/>
        <v>-1200.8399999999997</v>
      </c>
      <c r="F25" s="352">
        <f t="shared" si="1"/>
        <v>-1</v>
      </c>
      <c r="G25" s="614">
        <f>IF(G$3&gt;inputs!$A$1,
  0,
  SUMIFS(cx_conta[saldo],
    cx_conta[id],$B25,
    cx_conta[data],"&gt;="&amp;EOMONTH(G$3,0)+1,
    cx_conta[data],"&lt;"&amp;EOMONTH(G$3,1)+1,
    cx_conta[soVisualizacao],FALSE
  )
  -SUMIFS(cx_conta[saldo],
    cx_conta[id],$B25,
    cx_conta[data], "&gt;="&amp;G$3,
    cx_conta[data], "&lt;"&amp;EOMONTH(G$3,0)+1,
    cx_conta[soVisualizacao], FALSE
  )
)</f>
        <v>1200.8399999999997</v>
      </c>
      <c r="H25" s="614">
        <f>IF(H$3&gt;inputs!$A$1,
  0,
  SUMIFS(cx_conta[saldo],
    cx_conta[id],$B25,
    cx_conta[data],"&gt;="&amp;EOMONTH(H$3,0)+1,
    cx_conta[data],"&lt;"&amp;EOMONTH(H$3,1)+1,
    cx_conta[soVisualizacao],FALSE
  )
  -SUMIFS(cx_conta[saldo],
    cx_conta[id],$B25,
    cx_conta[data], "&gt;="&amp;H$3,
    cx_conta[data], "&lt;"&amp;EOMONTH(H$3,0)+1,
    cx_conta[soVisualizacao], FALSE
  )
)</f>
        <v>0</v>
      </c>
      <c r="I25" s="614">
        <f>IF(I$3&gt;inputs!$A$1,
  0,
  SUMIFS(cx_conta[saldo],
    cx_conta[id],$B25,
    cx_conta[data],"&gt;="&amp;EOMONTH(I$3,0)+1,
    cx_conta[data],"&lt;"&amp;EOMONTH(I$3,1)+1,
    cx_conta[soVisualizacao],FALSE
  )
  -SUMIFS(cx_conta[saldo],
    cx_conta[id],$B25,
    cx_conta[data], "&gt;="&amp;I$3,
    cx_conta[data], "&lt;"&amp;EOMONTH(I$3,0)+1,
    cx_conta[soVisualizacao], FALSE
  )
)</f>
        <v>0</v>
      </c>
      <c r="J25" s="614">
        <f>IF(J$3&gt;inputs!$A$1,
  0,
  SUMIFS(cx_conta[saldo],
    cx_conta[id],$B25,
    cx_conta[data],"&gt;="&amp;EOMONTH(J$3,0)+1,
    cx_conta[data],"&lt;"&amp;EOMONTH(J$3,1)+1,
    cx_conta[soVisualizacao],FALSE
  )
  -SUMIFS(cx_conta[saldo],
    cx_conta[id],$B25,
    cx_conta[data], "&gt;="&amp;J$3,
    cx_conta[data], "&lt;"&amp;EOMONTH(J$3,0)+1,
    cx_conta[soVisualizacao], FALSE
  )
)</f>
        <v>0</v>
      </c>
      <c r="K25" s="615">
        <f>IF(K$3&gt;inputs!$A$1,
  0,
  SUMIFS(cx_conta[saldo],
    cx_conta[id],$B25,
    cx_conta[data],"&gt;="&amp;EOMONTH(K$3,0)+1,
    cx_conta[data],"&lt;"&amp;EOMONTH(K$3,1)+1,
    cx_conta[soVisualizacao],FALSE
  )
  -SUMIFS(cx_conta[saldo],
    cx_conta[id],$B25,
    cx_conta[data], "&gt;="&amp;K$3,
    cx_conta[data], "&lt;"&amp;EOMONTH(K$3,0)+1,
    cx_conta[soVisualizacao], FALSE
  )
)</f>
        <v>0</v>
      </c>
    </row>
    <row r="26" spans="1:11" x14ac:dyDescent="0.25">
      <c r="A26" s="620">
        <f t="shared" si="2"/>
        <v>23</v>
      </c>
      <c r="B26" s="613" t="str">
        <v>ENC-Itaú-7002</v>
      </c>
      <c r="C26" s="614">
        <f>SUMIFS(cx_conta[saldo],
  cx_conta[id],$B26,
  cx_conta[data], "&gt;="&amp;DATE(YEAR(inputs!$A$1),MONTH(inputs!$A$1+1),1),
  cx_conta[data], "&lt;"&amp;EOMONTH(inputs!$A$1,1)+1,
  cx_conta[soVisualizacao], FALSE
)
-SUMIFS(cx_conta[saldo],
  cx_conta[id],$B26,
  cx_conta[data],"&gt;="&amp;DATE(YEAR(inputs!$A$1),MONTH(inputs!$A$1),1),
  cx_conta[data],"&lt;"&amp;EOMONTH(inputs!$A$1,0),
  cx_conta[soVisualizacao],FALSE
)</f>
        <v>-24690.39</v>
      </c>
      <c r="D26" s="614"/>
      <c r="E26" s="614">
        <f t="shared" si="0"/>
        <v>24690.39</v>
      </c>
      <c r="F26" s="352">
        <f t="shared" si="1"/>
        <v>-1</v>
      </c>
      <c r="G26" s="614">
        <f>IF(G$3&gt;inputs!$A$1,
  0,
  SUMIFS(cx_conta[saldo],
    cx_conta[id],$B26,
    cx_conta[data],"&gt;="&amp;EOMONTH(G$3,0)+1,
    cx_conta[data],"&lt;"&amp;EOMONTH(G$3,1)+1,
    cx_conta[soVisualizacao],FALSE
  )
  -SUMIFS(cx_conta[saldo],
    cx_conta[id],$B26,
    cx_conta[data], "&gt;="&amp;G$3,
    cx_conta[data], "&lt;"&amp;EOMONTH(G$3,0)+1,
    cx_conta[soVisualizacao], FALSE
  )
)</f>
        <v>-24690.39</v>
      </c>
      <c r="H26" s="614">
        <f>IF(H$3&gt;inputs!$A$1,
  0,
  SUMIFS(cx_conta[saldo],
    cx_conta[id],$B26,
    cx_conta[data],"&gt;="&amp;EOMONTH(H$3,0)+1,
    cx_conta[data],"&lt;"&amp;EOMONTH(H$3,1)+1,
    cx_conta[soVisualizacao],FALSE
  )
  -SUMIFS(cx_conta[saldo],
    cx_conta[id],$B26,
    cx_conta[data], "&gt;="&amp;H$3,
    cx_conta[data], "&lt;"&amp;EOMONTH(H$3,0)+1,
    cx_conta[soVisualizacao], FALSE
  )
)</f>
        <v>0</v>
      </c>
      <c r="I26" s="614">
        <f>IF(I$3&gt;inputs!$A$1,
  0,
  SUMIFS(cx_conta[saldo],
    cx_conta[id],$B26,
    cx_conta[data],"&gt;="&amp;EOMONTH(I$3,0)+1,
    cx_conta[data],"&lt;"&amp;EOMONTH(I$3,1)+1,
    cx_conta[soVisualizacao],FALSE
  )
  -SUMIFS(cx_conta[saldo],
    cx_conta[id],$B26,
    cx_conta[data], "&gt;="&amp;I$3,
    cx_conta[data], "&lt;"&amp;EOMONTH(I$3,0)+1,
    cx_conta[soVisualizacao], FALSE
  )
)</f>
        <v>0</v>
      </c>
      <c r="J26" s="614">
        <f>IF(J$3&gt;inputs!$A$1,
  0,
  SUMIFS(cx_conta[saldo],
    cx_conta[id],$B26,
    cx_conta[data],"&gt;="&amp;EOMONTH(J$3,0)+1,
    cx_conta[data],"&lt;"&amp;EOMONTH(J$3,1)+1,
    cx_conta[soVisualizacao],FALSE
  )
  -SUMIFS(cx_conta[saldo],
    cx_conta[id],$B26,
    cx_conta[data], "&gt;="&amp;J$3,
    cx_conta[data], "&lt;"&amp;EOMONTH(J$3,0)+1,
    cx_conta[soVisualizacao], FALSE
  )
)</f>
        <v>0</v>
      </c>
      <c r="K26" s="615">
        <f>IF(K$3&gt;inputs!$A$1,
  0,
  SUMIFS(cx_conta[saldo],
    cx_conta[id],$B26,
    cx_conta[data],"&gt;="&amp;EOMONTH(K$3,0)+1,
    cx_conta[data],"&lt;"&amp;EOMONTH(K$3,1)+1,
    cx_conta[soVisualizacao],FALSE
  )
  -SUMIFS(cx_conta[saldo],
    cx_conta[id],$B26,
    cx_conta[data], "&gt;="&amp;K$3,
    cx_conta[data], "&lt;"&amp;EOMONTH(K$3,0)+1,
    cx_conta[soVisualizacao], FALSE
  )
)</f>
        <v>0</v>
      </c>
    </row>
    <row r="27" spans="1:11" x14ac:dyDescent="0.25">
      <c r="A27" s="620">
        <f t="shared" si="2"/>
        <v>24</v>
      </c>
      <c r="B27" s="613" t="str">
        <v>GRA-CEF-3630</v>
      </c>
      <c r="C27" s="614">
        <f>SUMIFS(cx_conta[saldo],
  cx_conta[id],$B27,
  cx_conta[data], "&gt;="&amp;DATE(YEAR(inputs!$A$1),MONTH(inputs!$A$1+1),1),
  cx_conta[data], "&lt;"&amp;EOMONTH(inputs!$A$1,1)+1,
  cx_conta[soVisualizacao], FALSE
)
-SUMIFS(cx_conta[saldo],
  cx_conta[id],$B27,
  cx_conta[data],"&gt;="&amp;DATE(YEAR(inputs!$A$1),MONTH(inputs!$A$1),1),
  cx_conta[data],"&lt;"&amp;EOMONTH(inputs!$A$1,0),
  cx_conta[soVisualizacao],FALSE
)</f>
        <v>-32871.07</v>
      </c>
      <c r="D27" s="614"/>
      <c r="E27" s="614">
        <f t="shared" si="0"/>
        <v>32871.07</v>
      </c>
      <c r="F27" s="352">
        <f t="shared" si="1"/>
        <v>-1</v>
      </c>
      <c r="G27" s="614">
        <f>IF(G$3&gt;inputs!$A$1,
  0,
  SUMIFS(cx_conta[saldo],
    cx_conta[id],$B27,
    cx_conta[data],"&gt;="&amp;EOMONTH(G$3,0)+1,
    cx_conta[data],"&lt;"&amp;EOMONTH(G$3,1)+1,
    cx_conta[soVisualizacao],FALSE
  )
  -SUMIFS(cx_conta[saldo],
    cx_conta[id],$B27,
    cx_conta[data], "&gt;="&amp;G$3,
    cx_conta[data], "&lt;"&amp;EOMONTH(G$3,0)+1,
    cx_conta[soVisualizacao], FALSE
  )
)</f>
        <v>-32871.07</v>
      </c>
      <c r="H27" s="614">
        <f>IF(H$3&gt;inputs!$A$1,
  0,
  SUMIFS(cx_conta[saldo],
    cx_conta[id],$B27,
    cx_conta[data],"&gt;="&amp;EOMONTH(H$3,0)+1,
    cx_conta[data],"&lt;"&amp;EOMONTH(H$3,1)+1,
    cx_conta[soVisualizacao],FALSE
  )
  -SUMIFS(cx_conta[saldo],
    cx_conta[id],$B27,
    cx_conta[data], "&gt;="&amp;H$3,
    cx_conta[data], "&lt;"&amp;EOMONTH(H$3,0)+1,
    cx_conta[soVisualizacao], FALSE
  )
)</f>
        <v>0</v>
      </c>
      <c r="I27" s="614">
        <f>IF(I$3&gt;inputs!$A$1,
  0,
  SUMIFS(cx_conta[saldo],
    cx_conta[id],$B27,
    cx_conta[data],"&gt;="&amp;EOMONTH(I$3,0)+1,
    cx_conta[data],"&lt;"&amp;EOMONTH(I$3,1)+1,
    cx_conta[soVisualizacao],FALSE
  )
  -SUMIFS(cx_conta[saldo],
    cx_conta[id],$B27,
    cx_conta[data], "&gt;="&amp;I$3,
    cx_conta[data], "&lt;"&amp;EOMONTH(I$3,0)+1,
    cx_conta[soVisualizacao], FALSE
  )
)</f>
        <v>0</v>
      </c>
      <c r="J27" s="614">
        <f>IF(J$3&gt;inputs!$A$1,
  0,
  SUMIFS(cx_conta[saldo],
    cx_conta[id],$B27,
    cx_conta[data],"&gt;="&amp;EOMONTH(J$3,0)+1,
    cx_conta[data],"&lt;"&amp;EOMONTH(J$3,1)+1,
    cx_conta[soVisualizacao],FALSE
  )
  -SUMIFS(cx_conta[saldo],
    cx_conta[id],$B27,
    cx_conta[data], "&gt;="&amp;J$3,
    cx_conta[data], "&lt;"&amp;EOMONTH(J$3,0)+1,
    cx_conta[soVisualizacao], FALSE
  )
)</f>
        <v>0</v>
      </c>
      <c r="K27" s="615">
        <f>IF(K$3&gt;inputs!$A$1,
  0,
  SUMIFS(cx_conta[saldo],
    cx_conta[id],$B27,
    cx_conta[data],"&gt;="&amp;EOMONTH(K$3,0)+1,
    cx_conta[data],"&lt;"&amp;EOMONTH(K$3,1)+1,
    cx_conta[soVisualizacao],FALSE
  )
  -SUMIFS(cx_conta[saldo],
    cx_conta[id],$B27,
    cx_conta[data], "&gt;="&amp;K$3,
    cx_conta[data], "&lt;"&amp;EOMONTH(K$3,0)+1,
    cx_conta[soVisualizacao], FALSE
  )
)</f>
        <v>0</v>
      </c>
    </row>
    <row r="28" spans="1:11" x14ac:dyDescent="0.25">
      <c r="A28" s="620">
        <f t="shared" si="2"/>
        <v>25</v>
      </c>
      <c r="B28" s="613" t="str">
        <v>GRA-CEF-8630</v>
      </c>
      <c r="C28" s="614">
        <f>SUMIFS(cx_conta[saldo],
  cx_conta[id],$B28,
  cx_conta[data], "&gt;="&amp;DATE(YEAR(inputs!$A$1),MONTH(inputs!$A$1+1),1),
  cx_conta[data], "&lt;"&amp;EOMONTH(inputs!$A$1,1)+1,
  cx_conta[soVisualizacao], FALSE
)
-SUMIFS(cx_conta[saldo],
  cx_conta[id],$B28,
  cx_conta[data],"&gt;="&amp;DATE(YEAR(inputs!$A$1),MONTH(inputs!$A$1),1),
  cx_conta[data],"&lt;"&amp;EOMONTH(inputs!$A$1,0),
  cx_conta[soVisualizacao],FALSE
)</f>
        <v>-1062993.32</v>
      </c>
      <c r="D28" s="614"/>
      <c r="E28" s="614">
        <f t="shared" si="0"/>
        <v>1062993.32</v>
      </c>
      <c r="F28" s="352">
        <f t="shared" si="1"/>
        <v>-1</v>
      </c>
      <c r="G28" s="614">
        <f>IF(G$3&gt;inputs!$A$1,
  0,
  SUMIFS(cx_conta[saldo],
    cx_conta[id],$B28,
    cx_conta[data],"&gt;="&amp;EOMONTH(G$3,0)+1,
    cx_conta[data],"&lt;"&amp;EOMONTH(G$3,1)+1,
    cx_conta[soVisualizacao],FALSE
  )
  -SUMIFS(cx_conta[saldo],
    cx_conta[id],$B28,
    cx_conta[data], "&gt;="&amp;G$3,
    cx_conta[data], "&lt;"&amp;EOMONTH(G$3,0)+1,
    cx_conta[soVisualizacao], FALSE
  )
)</f>
        <v>-1062993.32</v>
      </c>
      <c r="H28" s="614">
        <f>IF(H$3&gt;inputs!$A$1,
  0,
  SUMIFS(cx_conta[saldo],
    cx_conta[id],$B28,
    cx_conta[data],"&gt;="&amp;EOMONTH(H$3,0)+1,
    cx_conta[data],"&lt;"&amp;EOMONTH(H$3,1)+1,
    cx_conta[soVisualizacao],FALSE
  )
  -SUMIFS(cx_conta[saldo],
    cx_conta[id],$B28,
    cx_conta[data], "&gt;="&amp;H$3,
    cx_conta[data], "&lt;"&amp;EOMONTH(H$3,0)+1,
    cx_conta[soVisualizacao], FALSE
  )
)</f>
        <v>0</v>
      </c>
      <c r="I28" s="614">
        <f>IF(I$3&gt;inputs!$A$1,
  0,
  SUMIFS(cx_conta[saldo],
    cx_conta[id],$B28,
    cx_conta[data],"&gt;="&amp;EOMONTH(I$3,0)+1,
    cx_conta[data],"&lt;"&amp;EOMONTH(I$3,1)+1,
    cx_conta[soVisualizacao],FALSE
  )
  -SUMIFS(cx_conta[saldo],
    cx_conta[id],$B28,
    cx_conta[data], "&gt;="&amp;I$3,
    cx_conta[data], "&lt;"&amp;EOMONTH(I$3,0)+1,
    cx_conta[soVisualizacao], FALSE
  )
)</f>
        <v>0</v>
      </c>
      <c r="J28" s="614">
        <f>IF(J$3&gt;inputs!$A$1,
  0,
  SUMIFS(cx_conta[saldo],
    cx_conta[id],$B28,
    cx_conta[data],"&gt;="&amp;EOMONTH(J$3,0)+1,
    cx_conta[data],"&lt;"&amp;EOMONTH(J$3,1)+1,
    cx_conta[soVisualizacao],FALSE
  )
  -SUMIFS(cx_conta[saldo],
    cx_conta[id],$B28,
    cx_conta[data], "&gt;="&amp;J$3,
    cx_conta[data], "&lt;"&amp;EOMONTH(J$3,0)+1,
    cx_conta[soVisualizacao], FALSE
  )
)</f>
        <v>0</v>
      </c>
      <c r="K28" s="615">
        <f>IF(K$3&gt;inputs!$A$1,
  0,
  SUMIFS(cx_conta[saldo],
    cx_conta[id],$B28,
    cx_conta[data],"&gt;="&amp;EOMONTH(K$3,0)+1,
    cx_conta[data],"&lt;"&amp;EOMONTH(K$3,1)+1,
    cx_conta[soVisualizacao],FALSE
  )
  -SUMIFS(cx_conta[saldo],
    cx_conta[id],$B28,
    cx_conta[data], "&gt;="&amp;K$3,
    cx_conta[data], "&lt;"&amp;EOMONTH(K$3,0)+1,
    cx_conta[soVisualizacao], FALSE
  )
)</f>
        <v>0</v>
      </c>
    </row>
    <row r="29" spans="1:11" x14ac:dyDescent="0.25">
      <c r="A29" s="620">
        <f t="shared" si="2"/>
        <v>26</v>
      </c>
      <c r="B29" s="613" t="str">
        <v>GRA-Itaú-7250</v>
      </c>
      <c r="C29" s="614">
        <f>SUMIFS(cx_conta[saldo],
  cx_conta[id],$B29,
  cx_conta[data], "&gt;="&amp;DATE(YEAR(inputs!$A$1),MONTH(inputs!$A$1+1),1),
  cx_conta[data], "&lt;"&amp;EOMONTH(inputs!$A$1,1)+1,
  cx_conta[soVisualizacao], FALSE
)
-SUMIFS(cx_conta[saldo],
  cx_conta[id],$B29,
  cx_conta[data],"&gt;="&amp;DATE(YEAR(inputs!$A$1),MONTH(inputs!$A$1),1),
  cx_conta[data],"&lt;"&amp;EOMONTH(inputs!$A$1,0),
  cx_conta[soVisualizacao],FALSE
)</f>
        <v>-247.92000000000007</v>
      </c>
      <c r="D29" s="614"/>
      <c r="E29" s="614">
        <f t="shared" si="0"/>
        <v>247.92000000000007</v>
      </c>
      <c r="F29" s="352">
        <f t="shared" si="1"/>
        <v>-1</v>
      </c>
      <c r="G29" s="614">
        <f>IF(G$3&gt;inputs!$A$1,
  0,
  SUMIFS(cx_conta[saldo],
    cx_conta[id],$B29,
    cx_conta[data],"&gt;="&amp;EOMONTH(G$3,0)+1,
    cx_conta[data],"&lt;"&amp;EOMONTH(G$3,1)+1,
    cx_conta[soVisualizacao],FALSE
  )
  -SUMIFS(cx_conta[saldo],
    cx_conta[id],$B29,
    cx_conta[data], "&gt;="&amp;G$3,
    cx_conta[data], "&lt;"&amp;EOMONTH(G$3,0)+1,
    cx_conta[soVisualizacao], FALSE
  )
)</f>
        <v>-247.92000000000007</v>
      </c>
      <c r="H29" s="614">
        <f>IF(H$3&gt;inputs!$A$1,
  0,
  SUMIFS(cx_conta[saldo],
    cx_conta[id],$B29,
    cx_conta[data],"&gt;="&amp;EOMONTH(H$3,0)+1,
    cx_conta[data],"&lt;"&amp;EOMONTH(H$3,1)+1,
    cx_conta[soVisualizacao],FALSE
  )
  -SUMIFS(cx_conta[saldo],
    cx_conta[id],$B29,
    cx_conta[data], "&gt;="&amp;H$3,
    cx_conta[data], "&lt;"&amp;EOMONTH(H$3,0)+1,
    cx_conta[soVisualizacao], FALSE
  )
)</f>
        <v>0</v>
      </c>
      <c r="I29" s="614">
        <f>IF(I$3&gt;inputs!$A$1,
  0,
  SUMIFS(cx_conta[saldo],
    cx_conta[id],$B29,
    cx_conta[data],"&gt;="&amp;EOMONTH(I$3,0)+1,
    cx_conta[data],"&lt;"&amp;EOMONTH(I$3,1)+1,
    cx_conta[soVisualizacao],FALSE
  )
  -SUMIFS(cx_conta[saldo],
    cx_conta[id],$B29,
    cx_conta[data], "&gt;="&amp;I$3,
    cx_conta[data], "&lt;"&amp;EOMONTH(I$3,0)+1,
    cx_conta[soVisualizacao], FALSE
  )
)</f>
        <v>0</v>
      </c>
      <c r="J29" s="614">
        <f>IF(J$3&gt;inputs!$A$1,
  0,
  SUMIFS(cx_conta[saldo],
    cx_conta[id],$B29,
    cx_conta[data],"&gt;="&amp;EOMONTH(J$3,0)+1,
    cx_conta[data],"&lt;"&amp;EOMONTH(J$3,1)+1,
    cx_conta[soVisualizacao],FALSE
  )
  -SUMIFS(cx_conta[saldo],
    cx_conta[id],$B29,
    cx_conta[data], "&gt;="&amp;J$3,
    cx_conta[data], "&lt;"&amp;EOMONTH(J$3,0)+1,
    cx_conta[soVisualizacao], FALSE
  )
)</f>
        <v>0</v>
      </c>
      <c r="K29" s="615">
        <f>IF(K$3&gt;inputs!$A$1,
  0,
  SUMIFS(cx_conta[saldo],
    cx_conta[id],$B29,
    cx_conta[data],"&gt;="&amp;EOMONTH(K$3,0)+1,
    cx_conta[data],"&lt;"&amp;EOMONTH(K$3,1)+1,
    cx_conta[soVisualizacao],FALSE
  )
  -SUMIFS(cx_conta[saldo],
    cx_conta[id],$B29,
    cx_conta[data], "&gt;="&amp;K$3,
    cx_conta[data], "&lt;"&amp;EOMONTH(K$3,0)+1,
    cx_conta[soVisualizacao], FALSE
  )
)</f>
        <v>0</v>
      </c>
    </row>
    <row r="30" spans="1:11" x14ac:dyDescent="0.25">
      <c r="A30" s="620">
        <f t="shared" si="2"/>
        <v>27</v>
      </c>
      <c r="B30" s="613" t="str">
        <v>INC-CEF-1233</v>
      </c>
      <c r="C30" s="614">
        <f>SUMIFS(cx_conta[saldo],
  cx_conta[id],$B30,
  cx_conta[data], "&gt;="&amp;DATE(YEAR(inputs!$A$1),MONTH(inputs!$A$1+1),1),
  cx_conta[data], "&lt;"&amp;EOMONTH(inputs!$A$1,1)+1,
  cx_conta[soVisualizacao], FALSE
)
-SUMIFS(cx_conta[saldo],
  cx_conta[id],$B30,
  cx_conta[data],"&gt;="&amp;DATE(YEAR(inputs!$A$1),MONTH(inputs!$A$1),1),
  cx_conta[data],"&lt;"&amp;EOMONTH(inputs!$A$1,0),
  cx_conta[soVisualizacao],FALSE
)</f>
        <v>305083.55000000005</v>
      </c>
      <c r="D30" s="614"/>
      <c r="E30" s="614">
        <f t="shared" si="0"/>
        <v>-305083.55000000005</v>
      </c>
      <c r="F30" s="352">
        <f t="shared" si="1"/>
        <v>-1</v>
      </c>
      <c r="G30" s="614">
        <f>IF(G$3&gt;inputs!$A$1,
  0,
  SUMIFS(cx_conta[saldo],
    cx_conta[id],$B30,
    cx_conta[data],"&gt;="&amp;EOMONTH(G$3,0)+1,
    cx_conta[data],"&lt;"&amp;EOMONTH(G$3,1)+1,
    cx_conta[soVisualizacao],FALSE
  )
  -SUMIFS(cx_conta[saldo],
    cx_conta[id],$B30,
    cx_conta[data], "&gt;="&amp;G$3,
    cx_conta[data], "&lt;"&amp;EOMONTH(G$3,0)+1,
    cx_conta[soVisualizacao], FALSE
  )
)</f>
        <v>305083.55000000005</v>
      </c>
      <c r="H30" s="614">
        <f>IF(H$3&gt;inputs!$A$1,
  0,
  SUMIFS(cx_conta[saldo],
    cx_conta[id],$B30,
    cx_conta[data],"&gt;="&amp;EOMONTH(H$3,0)+1,
    cx_conta[data],"&lt;"&amp;EOMONTH(H$3,1)+1,
    cx_conta[soVisualizacao],FALSE
  )
  -SUMIFS(cx_conta[saldo],
    cx_conta[id],$B30,
    cx_conta[data], "&gt;="&amp;H$3,
    cx_conta[data], "&lt;"&amp;EOMONTH(H$3,0)+1,
    cx_conta[soVisualizacao], FALSE
  )
)</f>
        <v>0</v>
      </c>
      <c r="I30" s="614">
        <f>IF(I$3&gt;inputs!$A$1,
  0,
  SUMIFS(cx_conta[saldo],
    cx_conta[id],$B30,
    cx_conta[data],"&gt;="&amp;EOMONTH(I$3,0)+1,
    cx_conta[data],"&lt;"&amp;EOMONTH(I$3,1)+1,
    cx_conta[soVisualizacao],FALSE
  )
  -SUMIFS(cx_conta[saldo],
    cx_conta[id],$B30,
    cx_conta[data], "&gt;="&amp;I$3,
    cx_conta[data], "&lt;"&amp;EOMONTH(I$3,0)+1,
    cx_conta[soVisualizacao], FALSE
  )
)</f>
        <v>0</v>
      </c>
      <c r="J30" s="614">
        <f>IF(J$3&gt;inputs!$A$1,
  0,
  SUMIFS(cx_conta[saldo],
    cx_conta[id],$B30,
    cx_conta[data],"&gt;="&amp;EOMONTH(J$3,0)+1,
    cx_conta[data],"&lt;"&amp;EOMONTH(J$3,1)+1,
    cx_conta[soVisualizacao],FALSE
  )
  -SUMIFS(cx_conta[saldo],
    cx_conta[id],$B30,
    cx_conta[data], "&gt;="&amp;J$3,
    cx_conta[data], "&lt;"&amp;EOMONTH(J$3,0)+1,
    cx_conta[soVisualizacao], FALSE
  )
)</f>
        <v>0</v>
      </c>
      <c r="K30" s="615">
        <f>IF(K$3&gt;inputs!$A$1,
  0,
  SUMIFS(cx_conta[saldo],
    cx_conta[id],$B30,
    cx_conta[data],"&gt;="&amp;EOMONTH(K$3,0)+1,
    cx_conta[data],"&lt;"&amp;EOMONTH(K$3,1)+1,
    cx_conta[soVisualizacao],FALSE
  )
  -SUMIFS(cx_conta[saldo],
    cx_conta[id],$B30,
    cx_conta[data], "&gt;="&amp;K$3,
    cx_conta[data], "&lt;"&amp;EOMONTH(K$3,0)+1,
    cx_conta[soVisualizacao], FALSE
  )
)</f>
        <v>0</v>
      </c>
    </row>
    <row r="31" spans="1:11" x14ac:dyDescent="0.25">
      <c r="A31" s="620">
        <f t="shared" si="2"/>
        <v>28</v>
      </c>
      <c r="B31" s="613" t="str">
        <v>INC-Itaú-3101</v>
      </c>
      <c r="C31" s="614">
        <f>SUMIFS(cx_conta[saldo],
  cx_conta[id],$B31,
  cx_conta[data], "&gt;="&amp;DATE(YEAR(inputs!$A$1),MONTH(inputs!$A$1+1),1),
  cx_conta[data], "&lt;"&amp;EOMONTH(inputs!$A$1,1)+1,
  cx_conta[soVisualizacao], FALSE
)
-SUMIFS(cx_conta[saldo],
  cx_conta[id],$B31,
  cx_conta[data],"&gt;="&amp;DATE(YEAR(inputs!$A$1),MONTH(inputs!$A$1),1),
  cx_conta[data],"&lt;"&amp;EOMONTH(inputs!$A$1,0),
  cx_conta[soVisualizacao],FALSE
)</f>
        <v>326418.97000000003</v>
      </c>
      <c r="D31" s="614"/>
      <c r="E31" s="614">
        <f t="shared" si="0"/>
        <v>-326418.97000000003</v>
      </c>
      <c r="F31" s="352">
        <f t="shared" si="1"/>
        <v>-1</v>
      </c>
      <c r="G31" s="614">
        <f>IF(G$3&gt;inputs!$A$1,
  0,
  SUMIFS(cx_conta[saldo],
    cx_conta[id],$B31,
    cx_conta[data],"&gt;="&amp;EOMONTH(G$3,0)+1,
    cx_conta[data],"&lt;"&amp;EOMONTH(G$3,1)+1,
    cx_conta[soVisualizacao],FALSE
  )
  -SUMIFS(cx_conta[saldo],
    cx_conta[id],$B31,
    cx_conta[data], "&gt;="&amp;G$3,
    cx_conta[data], "&lt;"&amp;EOMONTH(G$3,0)+1,
    cx_conta[soVisualizacao], FALSE
  )
)</f>
        <v>326418.97000000003</v>
      </c>
      <c r="H31" s="614">
        <f>IF(H$3&gt;inputs!$A$1,
  0,
  SUMIFS(cx_conta[saldo],
    cx_conta[id],$B31,
    cx_conta[data],"&gt;="&amp;EOMONTH(H$3,0)+1,
    cx_conta[data],"&lt;"&amp;EOMONTH(H$3,1)+1,
    cx_conta[soVisualizacao],FALSE
  )
  -SUMIFS(cx_conta[saldo],
    cx_conta[id],$B31,
    cx_conta[data], "&gt;="&amp;H$3,
    cx_conta[data], "&lt;"&amp;EOMONTH(H$3,0)+1,
    cx_conta[soVisualizacao], FALSE
  )
)</f>
        <v>0</v>
      </c>
      <c r="I31" s="614">
        <f>IF(I$3&gt;inputs!$A$1,
  0,
  SUMIFS(cx_conta[saldo],
    cx_conta[id],$B31,
    cx_conta[data],"&gt;="&amp;EOMONTH(I$3,0)+1,
    cx_conta[data],"&lt;"&amp;EOMONTH(I$3,1)+1,
    cx_conta[soVisualizacao],FALSE
  )
  -SUMIFS(cx_conta[saldo],
    cx_conta[id],$B31,
    cx_conta[data], "&gt;="&amp;I$3,
    cx_conta[data], "&lt;"&amp;EOMONTH(I$3,0)+1,
    cx_conta[soVisualizacao], FALSE
  )
)</f>
        <v>0</v>
      </c>
      <c r="J31" s="614">
        <f>IF(J$3&gt;inputs!$A$1,
  0,
  SUMIFS(cx_conta[saldo],
    cx_conta[id],$B31,
    cx_conta[data],"&gt;="&amp;EOMONTH(J$3,0)+1,
    cx_conta[data],"&lt;"&amp;EOMONTH(J$3,1)+1,
    cx_conta[soVisualizacao],FALSE
  )
  -SUMIFS(cx_conta[saldo],
    cx_conta[id],$B31,
    cx_conta[data], "&gt;="&amp;J$3,
    cx_conta[data], "&lt;"&amp;EOMONTH(J$3,0)+1,
    cx_conta[soVisualizacao], FALSE
  )
)</f>
        <v>0</v>
      </c>
      <c r="K31" s="615">
        <f>IF(K$3&gt;inputs!$A$1,
  0,
  SUMIFS(cx_conta[saldo],
    cx_conta[id],$B31,
    cx_conta[data],"&gt;="&amp;EOMONTH(K$3,0)+1,
    cx_conta[data],"&lt;"&amp;EOMONTH(K$3,1)+1,
    cx_conta[soVisualizacao],FALSE
  )
  -SUMIFS(cx_conta[saldo],
    cx_conta[id],$B31,
    cx_conta[data], "&gt;="&amp;K$3,
    cx_conta[data], "&lt;"&amp;EOMONTH(K$3,0)+1,
    cx_conta[soVisualizacao], FALSE
  )
)</f>
        <v>0</v>
      </c>
    </row>
    <row r="32" spans="1:11" x14ac:dyDescent="0.25">
      <c r="A32" s="620">
        <f t="shared" si="2"/>
        <v>29</v>
      </c>
      <c r="B32" s="613" t="str">
        <v>JRP-CEF-4610</v>
      </c>
      <c r="C32" s="614">
        <f>SUMIFS(cx_conta[saldo],
  cx_conta[id],$B32,
  cx_conta[data], "&gt;="&amp;DATE(YEAR(inputs!$A$1),MONTH(inputs!$A$1+1),1),
  cx_conta[data], "&lt;"&amp;EOMONTH(inputs!$A$1,1)+1,
  cx_conta[soVisualizacao], FALSE
)
-SUMIFS(cx_conta[saldo],
  cx_conta[id],$B32,
  cx_conta[data],"&gt;="&amp;DATE(YEAR(inputs!$A$1),MONTH(inputs!$A$1),1),
  cx_conta[data],"&lt;"&amp;EOMONTH(inputs!$A$1,0),
  cx_conta[soVisualizacao],FALSE
)</f>
        <v>-75</v>
      </c>
      <c r="D32" s="614"/>
      <c r="E32" s="614">
        <f t="shared" si="0"/>
        <v>75</v>
      </c>
      <c r="F32" s="352">
        <f t="shared" si="1"/>
        <v>-1</v>
      </c>
      <c r="G32" s="614">
        <f>IF(G$3&gt;inputs!$A$1,
  0,
  SUMIFS(cx_conta[saldo],
    cx_conta[id],$B32,
    cx_conta[data],"&gt;="&amp;EOMONTH(G$3,0)+1,
    cx_conta[data],"&lt;"&amp;EOMONTH(G$3,1)+1,
    cx_conta[soVisualizacao],FALSE
  )
  -SUMIFS(cx_conta[saldo],
    cx_conta[id],$B32,
    cx_conta[data], "&gt;="&amp;G$3,
    cx_conta[data], "&lt;"&amp;EOMONTH(G$3,0)+1,
    cx_conta[soVisualizacao], FALSE
  )
)</f>
        <v>-75</v>
      </c>
      <c r="H32" s="614">
        <f>IF(H$3&gt;inputs!$A$1,
  0,
  SUMIFS(cx_conta[saldo],
    cx_conta[id],$B32,
    cx_conta[data],"&gt;="&amp;EOMONTH(H$3,0)+1,
    cx_conta[data],"&lt;"&amp;EOMONTH(H$3,1)+1,
    cx_conta[soVisualizacao],FALSE
  )
  -SUMIFS(cx_conta[saldo],
    cx_conta[id],$B32,
    cx_conta[data], "&gt;="&amp;H$3,
    cx_conta[data], "&lt;"&amp;EOMONTH(H$3,0)+1,
    cx_conta[soVisualizacao], FALSE
  )
)</f>
        <v>0</v>
      </c>
      <c r="I32" s="614">
        <f>IF(I$3&gt;inputs!$A$1,
  0,
  SUMIFS(cx_conta[saldo],
    cx_conta[id],$B32,
    cx_conta[data],"&gt;="&amp;EOMONTH(I$3,0)+1,
    cx_conta[data],"&lt;"&amp;EOMONTH(I$3,1)+1,
    cx_conta[soVisualizacao],FALSE
  )
  -SUMIFS(cx_conta[saldo],
    cx_conta[id],$B32,
    cx_conta[data], "&gt;="&amp;I$3,
    cx_conta[data], "&lt;"&amp;EOMONTH(I$3,0)+1,
    cx_conta[soVisualizacao], FALSE
  )
)</f>
        <v>0</v>
      </c>
      <c r="J32" s="614">
        <f>IF(J$3&gt;inputs!$A$1,
  0,
  SUMIFS(cx_conta[saldo],
    cx_conta[id],$B32,
    cx_conta[data],"&gt;="&amp;EOMONTH(J$3,0)+1,
    cx_conta[data],"&lt;"&amp;EOMONTH(J$3,1)+1,
    cx_conta[soVisualizacao],FALSE
  )
  -SUMIFS(cx_conta[saldo],
    cx_conta[id],$B32,
    cx_conta[data], "&gt;="&amp;J$3,
    cx_conta[data], "&lt;"&amp;EOMONTH(J$3,0)+1,
    cx_conta[soVisualizacao], FALSE
  )
)</f>
        <v>0</v>
      </c>
      <c r="K32" s="615">
        <f>IF(K$3&gt;inputs!$A$1,
  0,
  SUMIFS(cx_conta[saldo],
    cx_conta[id],$B32,
    cx_conta[data],"&gt;="&amp;EOMONTH(K$3,0)+1,
    cx_conta[data],"&lt;"&amp;EOMONTH(K$3,1)+1,
    cx_conta[soVisualizacao],FALSE
  )
  -SUMIFS(cx_conta[saldo],
    cx_conta[id],$B32,
    cx_conta[data], "&gt;="&amp;K$3,
    cx_conta[data], "&lt;"&amp;EOMONTH(K$3,0)+1,
    cx_conta[soVisualizacao], FALSE
  )
)</f>
        <v>0</v>
      </c>
    </row>
    <row r="33" spans="1:11" x14ac:dyDescent="0.25">
      <c r="A33" s="620">
        <f t="shared" si="2"/>
        <v>30</v>
      </c>
      <c r="B33" s="613" t="str">
        <v>JRP-Itaú-6815</v>
      </c>
      <c r="C33" s="614">
        <f>SUMIFS(cx_conta[saldo],
  cx_conta[id],$B33,
  cx_conta[data], "&gt;="&amp;DATE(YEAR(inputs!$A$1),MONTH(inputs!$A$1+1),1),
  cx_conta[data], "&lt;"&amp;EOMONTH(inputs!$A$1,1)+1,
  cx_conta[soVisualizacao], FALSE
)
-SUMIFS(cx_conta[saldo],
  cx_conta[id],$B33,
  cx_conta[data],"&gt;="&amp;DATE(YEAR(inputs!$A$1),MONTH(inputs!$A$1),1),
  cx_conta[data],"&lt;"&amp;EOMONTH(inputs!$A$1,0),
  cx_conta[soVisualizacao],FALSE
)</f>
        <v>114445.62</v>
      </c>
      <c r="D33" s="614"/>
      <c r="E33" s="614">
        <f t="shared" si="0"/>
        <v>-114445.62</v>
      </c>
      <c r="F33" s="352">
        <f t="shared" si="1"/>
        <v>-1</v>
      </c>
      <c r="G33" s="614">
        <f>IF(G$3&gt;inputs!$A$1,
  0,
  SUMIFS(cx_conta[saldo],
    cx_conta[id],$B33,
    cx_conta[data],"&gt;="&amp;EOMONTH(G$3,0)+1,
    cx_conta[data],"&lt;"&amp;EOMONTH(G$3,1)+1,
    cx_conta[soVisualizacao],FALSE
  )
  -SUMIFS(cx_conta[saldo],
    cx_conta[id],$B33,
    cx_conta[data], "&gt;="&amp;G$3,
    cx_conta[data], "&lt;"&amp;EOMONTH(G$3,0)+1,
    cx_conta[soVisualizacao], FALSE
  )
)</f>
        <v>114445.62</v>
      </c>
      <c r="H33" s="614">
        <f>IF(H$3&gt;inputs!$A$1,
  0,
  SUMIFS(cx_conta[saldo],
    cx_conta[id],$B33,
    cx_conta[data],"&gt;="&amp;EOMONTH(H$3,0)+1,
    cx_conta[data],"&lt;"&amp;EOMONTH(H$3,1)+1,
    cx_conta[soVisualizacao],FALSE
  )
  -SUMIFS(cx_conta[saldo],
    cx_conta[id],$B33,
    cx_conta[data], "&gt;="&amp;H$3,
    cx_conta[data], "&lt;"&amp;EOMONTH(H$3,0)+1,
    cx_conta[soVisualizacao], FALSE
  )
)</f>
        <v>0</v>
      </c>
      <c r="I33" s="614">
        <f>IF(I$3&gt;inputs!$A$1,
  0,
  SUMIFS(cx_conta[saldo],
    cx_conta[id],$B33,
    cx_conta[data],"&gt;="&amp;EOMONTH(I$3,0)+1,
    cx_conta[data],"&lt;"&amp;EOMONTH(I$3,1)+1,
    cx_conta[soVisualizacao],FALSE
  )
  -SUMIFS(cx_conta[saldo],
    cx_conta[id],$B33,
    cx_conta[data], "&gt;="&amp;I$3,
    cx_conta[data], "&lt;"&amp;EOMONTH(I$3,0)+1,
    cx_conta[soVisualizacao], FALSE
  )
)</f>
        <v>0</v>
      </c>
      <c r="J33" s="614">
        <f>IF(J$3&gt;inputs!$A$1,
  0,
  SUMIFS(cx_conta[saldo],
    cx_conta[id],$B33,
    cx_conta[data],"&gt;="&amp;EOMONTH(J$3,0)+1,
    cx_conta[data],"&lt;"&amp;EOMONTH(J$3,1)+1,
    cx_conta[soVisualizacao],FALSE
  )
  -SUMIFS(cx_conta[saldo],
    cx_conta[id],$B33,
    cx_conta[data], "&gt;="&amp;J$3,
    cx_conta[data], "&lt;"&amp;EOMONTH(J$3,0)+1,
    cx_conta[soVisualizacao], FALSE
  )
)</f>
        <v>0</v>
      </c>
      <c r="K33" s="615">
        <f>IF(K$3&gt;inputs!$A$1,
  0,
  SUMIFS(cx_conta[saldo],
    cx_conta[id],$B33,
    cx_conta[data],"&gt;="&amp;EOMONTH(K$3,0)+1,
    cx_conta[data],"&lt;"&amp;EOMONTH(K$3,1)+1,
    cx_conta[soVisualizacao],FALSE
  )
  -SUMIFS(cx_conta[saldo],
    cx_conta[id],$B33,
    cx_conta[data], "&gt;="&amp;K$3,
    cx_conta[data], "&lt;"&amp;EOMONTH(K$3,0)+1,
    cx_conta[soVisualizacao], FALSE
  )
)</f>
        <v>0</v>
      </c>
    </row>
    <row r="34" spans="1:11" x14ac:dyDescent="0.25">
      <c r="A34" s="620">
        <f t="shared" si="2"/>
        <v>31</v>
      </c>
      <c r="B34" s="613" t="str">
        <v>JSP-CEF-8414</v>
      </c>
      <c r="C34" s="614">
        <f>SUMIFS(cx_conta[saldo],
  cx_conta[id],$B34,
  cx_conta[data], "&gt;="&amp;DATE(YEAR(inputs!$A$1),MONTH(inputs!$A$1+1),1),
  cx_conta[data], "&lt;"&amp;EOMONTH(inputs!$A$1,1)+1,
  cx_conta[soVisualizacao], FALSE
)
-SUMIFS(cx_conta[saldo],
  cx_conta[id],$B34,
  cx_conta[data],"&gt;="&amp;DATE(YEAR(inputs!$A$1),MONTH(inputs!$A$1),1),
  cx_conta[data],"&lt;"&amp;EOMONTH(inputs!$A$1,0),
  cx_conta[soVisualizacao],FALSE
)</f>
        <v>0</v>
      </c>
      <c r="D34" s="614"/>
      <c r="E34" s="614">
        <f t="shared" si="0"/>
        <v>0</v>
      </c>
      <c r="F34" s="352" t="str">
        <f t="shared" si="1"/>
        <v/>
      </c>
      <c r="G34" s="614">
        <f>IF(G$3&gt;inputs!$A$1,
  0,
  SUMIFS(cx_conta[saldo],
    cx_conta[id],$B34,
    cx_conta[data],"&gt;="&amp;EOMONTH(G$3,0)+1,
    cx_conta[data],"&lt;"&amp;EOMONTH(G$3,1)+1,
    cx_conta[soVisualizacao],FALSE
  )
  -SUMIFS(cx_conta[saldo],
    cx_conta[id],$B34,
    cx_conta[data], "&gt;="&amp;G$3,
    cx_conta[data], "&lt;"&amp;EOMONTH(G$3,0)+1,
    cx_conta[soVisualizacao], FALSE
  )
)</f>
        <v>0</v>
      </c>
      <c r="H34" s="614">
        <f>IF(H$3&gt;inputs!$A$1,
  0,
  SUMIFS(cx_conta[saldo],
    cx_conta[id],$B34,
    cx_conta[data],"&gt;="&amp;EOMONTH(H$3,0)+1,
    cx_conta[data],"&lt;"&amp;EOMONTH(H$3,1)+1,
    cx_conta[soVisualizacao],FALSE
  )
  -SUMIFS(cx_conta[saldo],
    cx_conta[id],$B34,
    cx_conta[data], "&gt;="&amp;H$3,
    cx_conta[data], "&lt;"&amp;EOMONTH(H$3,0)+1,
    cx_conta[soVisualizacao], FALSE
  )
)</f>
        <v>0</v>
      </c>
      <c r="I34" s="614">
        <f>IF(I$3&gt;inputs!$A$1,
  0,
  SUMIFS(cx_conta[saldo],
    cx_conta[id],$B34,
    cx_conta[data],"&gt;="&amp;EOMONTH(I$3,0)+1,
    cx_conta[data],"&lt;"&amp;EOMONTH(I$3,1)+1,
    cx_conta[soVisualizacao],FALSE
  )
  -SUMIFS(cx_conta[saldo],
    cx_conta[id],$B34,
    cx_conta[data], "&gt;="&amp;I$3,
    cx_conta[data], "&lt;"&amp;EOMONTH(I$3,0)+1,
    cx_conta[soVisualizacao], FALSE
  )
)</f>
        <v>0</v>
      </c>
      <c r="J34" s="614">
        <f>IF(J$3&gt;inputs!$A$1,
  0,
  SUMIFS(cx_conta[saldo],
    cx_conta[id],$B34,
    cx_conta[data],"&gt;="&amp;EOMONTH(J$3,0)+1,
    cx_conta[data],"&lt;"&amp;EOMONTH(J$3,1)+1,
    cx_conta[soVisualizacao],FALSE
  )
  -SUMIFS(cx_conta[saldo],
    cx_conta[id],$B34,
    cx_conta[data], "&gt;="&amp;J$3,
    cx_conta[data], "&lt;"&amp;EOMONTH(J$3,0)+1,
    cx_conta[soVisualizacao], FALSE
  )
)</f>
        <v>0</v>
      </c>
      <c r="K34" s="615">
        <f>IF(K$3&gt;inputs!$A$1,
  0,
  SUMIFS(cx_conta[saldo],
    cx_conta[id],$B34,
    cx_conta[data],"&gt;="&amp;EOMONTH(K$3,0)+1,
    cx_conta[data],"&lt;"&amp;EOMONTH(K$3,1)+1,
    cx_conta[soVisualizacao],FALSE
  )
  -SUMIFS(cx_conta[saldo],
    cx_conta[id],$B34,
    cx_conta[data], "&gt;="&amp;K$3,
    cx_conta[data], "&lt;"&amp;EOMONTH(K$3,0)+1,
    cx_conta[soVisualizacao], FALSE
  )
)</f>
        <v>0</v>
      </c>
    </row>
    <row r="35" spans="1:11" x14ac:dyDescent="0.25">
      <c r="A35" s="620">
        <f t="shared" si="2"/>
        <v>32</v>
      </c>
      <c r="B35" s="613" t="str">
        <v>JSP-Itaú-6534</v>
      </c>
      <c r="C35" s="614">
        <f>SUMIFS(cx_conta[saldo],
  cx_conta[id],$B35,
  cx_conta[data], "&gt;="&amp;DATE(YEAR(inputs!$A$1),MONTH(inputs!$A$1+1),1),
  cx_conta[data], "&lt;"&amp;EOMONTH(inputs!$A$1,1)+1,
  cx_conta[soVisualizacao], FALSE
)
-SUMIFS(cx_conta[saldo],
  cx_conta[id],$B35,
  cx_conta[data],"&gt;="&amp;DATE(YEAR(inputs!$A$1),MONTH(inputs!$A$1),1),
  cx_conta[data],"&lt;"&amp;EOMONTH(inputs!$A$1,0),
  cx_conta[soVisualizacao],FALSE
)</f>
        <v>-16266.2</v>
      </c>
      <c r="D35" s="614"/>
      <c r="E35" s="614">
        <f t="shared" si="0"/>
        <v>16266.2</v>
      </c>
      <c r="F35" s="352">
        <f t="shared" si="1"/>
        <v>-1</v>
      </c>
      <c r="G35" s="614">
        <f>IF(G$3&gt;inputs!$A$1,
  0,
  SUMIFS(cx_conta[saldo],
    cx_conta[id],$B35,
    cx_conta[data],"&gt;="&amp;EOMONTH(G$3,0)+1,
    cx_conta[data],"&lt;"&amp;EOMONTH(G$3,1)+1,
    cx_conta[soVisualizacao],FALSE
  )
  -SUMIFS(cx_conta[saldo],
    cx_conta[id],$B35,
    cx_conta[data], "&gt;="&amp;G$3,
    cx_conta[data], "&lt;"&amp;EOMONTH(G$3,0)+1,
    cx_conta[soVisualizacao], FALSE
  )
)</f>
        <v>-16266.2</v>
      </c>
      <c r="H35" s="614">
        <f>IF(H$3&gt;inputs!$A$1,
  0,
  SUMIFS(cx_conta[saldo],
    cx_conta[id],$B35,
    cx_conta[data],"&gt;="&amp;EOMONTH(H$3,0)+1,
    cx_conta[data],"&lt;"&amp;EOMONTH(H$3,1)+1,
    cx_conta[soVisualizacao],FALSE
  )
  -SUMIFS(cx_conta[saldo],
    cx_conta[id],$B35,
    cx_conta[data], "&gt;="&amp;H$3,
    cx_conta[data], "&lt;"&amp;EOMONTH(H$3,0)+1,
    cx_conta[soVisualizacao], FALSE
  )
)</f>
        <v>0</v>
      </c>
      <c r="I35" s="614">
        <f>IF(I$3&gt;inputs!$A$1,
  0,
  SUMIFS(cx_conta[saldo],
    cx_conta[id],$B35,
    cx_conta[data],"&gt;="&amp;EOMONTH(I$3,0)+1,
    cx_conta[data],"&lt;"&amp;EOMONTH(I$3,1)+1,
    cx_conta[soVisualizacao],FALSE
  )
  -SUMIFS(cx_conta[saldo],
    cx_conta[id],$B35,
    cx_conta[data], "&gt;="&amp;I$3,
    cx_conta[data], "&lt;"&amp;EOMONTH(I$3,0)+1,
    cx_conta[soVisualizacao], FALSE
  )
)</f>
        <v>0</v>
      </c>
      <c r="J35" s="614">
        <f>IF(J$3&gt;inputs!$A$1,
  0,
  SUMIFS(cx_conta[saldo],
    cx_conta[id],$B35,
    cx_conta[data],"&gt;="&amp;EOMONTH(J$3,0)+1,
    cx_conta[data],"&lt;"&amp;EOMONTH(J$3,1)+1,
    cx_conta[soVisualizacao],FALSE
  )
  -SUMIFS(cx_conta[saldo],
    cx_conta[id],$B35,
    cx_conta[data], "&gt;="&amp;J$3,
    cx_conta[data], "&lt;"&amp;EOMONTH(J$3,0)+1,
    cx_conta[soVisualizacao], FALSE
  )
)</f>
        <v>0</v>
      </c>
      <c r="K35" s="615">
        <f>IF(K$3&gt;inputs!$A$1,
  0,
  SUMIFS(cx_conta[saldo],
    cx_conta[id],$B35,
    cx_conta[data],"&gt;="&amp;EOMONTH(K$3,0)+1,
    cx_conta[data],"&lt;"&amp;EOMONTH(K$3,1)+1,
    cx_conta[soVisualizacao],FALSE
  )
  -SUMIFS(cx_conta[saldo],
    cx_conta[id],$B35,
    cx_conta[data], "&gt;="&amp;K$3,
    cx_conta[data], "&lt;"&amp;EOMONTH(K$3,0)+1,
    cx_conta[soVisualizacao], FALSE
  )
)</f>
        <v>0</v>
      </c>
    </row>
    <row r="36" spans="1:11" x14ac:dyDescent="0.25">
      <c r="A36" s="620">
        <f t="shared" si="2"/>
        <v>33</v>
      </c>
      <c r="B36" s="613" t="str">
        <v>LCG-CEF-4232</v>
      </c>
      <c r="C36" s="614">
        <f>SUMIFS(cx_conta[saldo],
  cx_conta[id],$B36,
  cx_conta[data], "&gt;="&amp;DATE(YEAR(inputs!$A$1),MONTH(inputs!$A$1+1),1),
  cx_conta[data], "&lt;"&amp;EOMONTH(inputs!$A$1,1)+1,
  cx_conta[soVisualizacao], FALSE
)
-SUMIFS(cx_conta[saldo],
  cx_conta[id],$B36,
  cx_conta[data],"&gt;="&amp;DATE(YEAR(inputs!$A$1),MONTH(inputs!$A$1),1),
  cx_conta[data],"&lt;"&amp;EOMONTH(inputs!$A$1,0),
  cx_conta[soVisualizacao],FALSE
)</f>
        <v>0</v>
      </c>
      <c r="D36" s="614"/>
      <c r="E36" s="614">
        <f t="shared" si="0"/>
        <v>0</v>
      </c>
      <c r="F36" s="352" t="str">
        <f t="shared" si="1"/>
        <v/>
      </c>
      <c r="G36" s="614">
        <f>IF(G$3&gt;inputs!$A$1,
  0,
  SUMIFS(cx_conta[saldo],
    cx_conta[id],$B36,
    cx_conta[data],"&gt;="&amp;EOMONTH(G$3,0)+1,
    cx_conta[data],"&lt;"&amp;EOMONTH(G$3,1)+1,
    cx_conta[soVisualizacao],FALSE
  )
  -SUMIFS(cx_conta[saldo],
    cx_conta[id],$B36,
    cx_conta[data], "&gt;="&amp;G$3,
    cx_conta[data], "&lt;"&amp;EOMONTH(G$3,0)+1,
    cx_conta[soVisualizacao], FALSE
  )
)</f>
        <v>0</v>
      </c>
      <c r="H36" s="614">
        <f>IF(H$3&gt;inputs!$A$1,
  0,
  SUMIFS(cx_conta[saldo],
    cx_conta[id],$B36,
    cx_conta[data],"&gt;="&amp;EOMONTH(H$3,0)+1,
    cx_conta[data],"&lt;"&amp;EOMONTH(H$3,1)+1,
    cx_conta[soVisualizacao],FALSE
  )
  -SUMIFS(cx_conta[saldo],
    cx_conta[id],$B36,
    cx_conta[data], "&gt;="&amp;H$3,
    cx_conta[data], "&lt;"&amp;EOMONTH(H$3,0)+1,
    cx_conta[soVisualizacao], FALSE
  )
)</f>
        <v>0</v>
      </c>
      <c r="I36" s="614">
        <f>IF(I$3&gt;inputs!$A$1,
  0,
  SUMIFS(cx_conta[saldo],
    cx_conta[id],$B36,
    cx_conta[data],"&gt;="&amp;EOMONTH(I$3,0)+1,
    cx_conta[data],"&lt;"&amp;EOMONTH(I$3,1)+1,
    cx_conta[soVisualizacao],FALSE
  )
  -SUMIFS(cx_conta[saldo],
    cx_conta[id],$B36,
    cx_conta[data], "&gt;="&amp;I$3,
    cx_conta[data], "&lt;"&amp;EOMONTH(I$3,0)+1,
    cx_conta[soVisualizacao], FALSE
  )
)</f>
        <v>0</v>
      </c>
      <c r="J36" s="614">
        <f>IF(J$3&gt;inputs!$A$1,
  0,
  SUMIFS(cx_conta[saldo],
    cx_conta[id],$B36,
    cx_conta[data],"&gt;="&amp;EOMONTH(J$3,0)+1,
    cx_conta[data],"&lt;"&amp;EOMONTH(J$3,1)+1,
    cx_conta[soVisualizacao],FALSE
  )
  -SUMIFS(cx_conta[saldo],
    cx_conta[id],$B36,
    cx_conta[data], "&gt;="&amp;J$3,
    cx_conta[data], "&lt;"&amp;EOMONTH(J$3,0)+1,
    cx_conta[soVisualizacao], FALSE
  )
)</f>
        <v>0</v>
      </c>
      <c r="K36" s="615">
        <f>IF(K$3&gt;inputs!$A$1,
  0,
  SUMIFS(cx_conta[saldo],
    cx_conta[id],$B36,
    cx_conta[data],"&gt;="&amp;EOMONTH(K$3,0)+1,
    cx_conta[data],"&lt;"&amp;EOMONTH(K$3,1)+1,
    cx_conta[soVisualizacao],FALSE
  )
  -SUMIFS(cx_conta[saldo],
    cx_conta[id],$B36,
    cx_conta[data], "&gt;="&amp;K$3,
    cx_conta[data], "&lt;"&amp;EOMONTH(K$3,0)+1,
    cx_conta[soVisualizacao], FALSE
  )
)</f>
        <v>0</v>
      </c>
    </row>
    <row r="37" spans="1:11" x14ac:dyDescent="0.25">
      <c r="A37" s="620">
        <f t="shared" si="2"/>
        <v>34</v>
      </c>
      <c r="B37" s="613" t="str">
        <v>LCG-Itaú-8523</v>
      </c>
      <c r="C37" s="614">
        <f>SUMIFS(cx_conta[saldo],
  cx_conta[id],$B37,
  cx_conta[data], "&gt;="&amp;DATE(YEAR(inputs!$A$1),MONTH(inputs!$A$1+1),1),
  cx_conta[data], "&lt;"&amp;EOMONTH(inputs!$A$1,1)+1,
  cx_conta[soVisualizacao], FALSE
)
-SUMIFS(cx_conta[saldo],
  cx_conta[id],$B37,
  cx_conta[data],"&gt;="&amp;DATE(YEAR(inputs!$A$1),MONTH(inputs!$A$1),1),
  cx_conta[data],"&lt;"&amp;EOMONTH(inputs!$A$1,0),
  cx_conta[soVisualizacao],FALSE
)</f>
        <v>0</v>
      </c>
      <c r="D37" s="614"/>
      <c r="E37" s="614">
        <f t="shared" si="0"/>
        <v>0</v>
      </c>
      <c r="F37" s="352" t="str">
        <f t="shared" si="1"/>
        <v/>
      </c>
      <c r="G37" s="614">
        <f>IF(G$3&gt;inputs!$A$1,
  0,
  SUMIFS(cx_conta[saldo],
    cx_conta[id],$B37,
    cx_conta[data],"&gt;="&amp;EOMONTH(G$3,0)+1,
    cx_conta[data],"&lt;"&amp;EOMONTH(G$3,1)+1,
    cx_conta[soVisualizacao],FALSE
  )
  -SUMIFS(cx_conta[saldo],
    cx_conta[id],$B37,
    cx_conta[data], "&gt;="&amp;G$3,
    cx_conta[data], "&lt;"&amp;EOMONTH(G$3,0)+1,
    cx_conta[soVisualizacao], FALSE
  )
)</f>
        <v>0</v>
      </c>
      <c r="H37" s="614">
        <f>IF(H$3&gt;inputs!$A$1,
  0,
  SUMIFS(cx_conta[saldo],
    cx_conta[id],$B37,
    cx_conta[data],"&gt;="&amp;EOMONTH(H$3,0)+1,
    cx_conta[data],"&lt;"&amp;EOMONTH(H$3,1)+1,
    cx_conta[soVisualizacao],FALSE
  )
  -SUMIFS(cx_conta[saldo],
    cx_conta[id],$B37,
    cx_conta[data], "&gt;="&amp;H$3,
    cx_conta[data], "&lt;"&amp;EOMONTH(H$3,0)+1,
    cx_conta[soVisualizacao], FALSE
  )
)</f>
        <v>0</v>
      </c>
      <c r="I37" s="614">
        <f>IF(I$3&gt;inputs!$A$1,
  0,
  SUMIFS(cx_conta[saldo],
    cx_conta[id],$B37,
    cx_conta[data],"&gt;="&amp;EOMONTH(I$3,0)+1,
    cx_conta[data],"&lt;"&amp;EOMONTH(I$3,1)+1,
    cx_conta[soVisualizacao],FALSE
  )
  -SUMIFS(cx_conta[saldo],
    cx_conta[id],$B37,
    cx_conta[data], "&gt;="&amp;I$3,
    cx_conta[data], "&lt;"&amp;EOMONTH(I$3,0)+1,
    cx_conta[soVisualizacao], FALSE
  )
)</f>
        <v>0</v>
      </c>
      <c r="J37" s="614">
        <f>IF(J$3&gt;inputs!$A$1,
  0,
  SUMIFS(cx_conta[saldo],
    cx_conta[id],$B37,
    cx_conta[data],"&gt;="&amp;EOMONTH(J$3,0)+1,
    cx_conta[data],"&lt;"&amp;EOMONTH(J$3,1)+1,
    cx_conta[soVisualizacao],FALSE
  )
  -SUMIFS(cx_conta[saldo],
    cx_conta[id],$B37,
    cx_conta[data], "&gt;="&amp;J$3,
    cx_conta[data], "&lt;"&amp;EOMONTH(J$3,0)+1,
    cx_conta[soVisualizacao], FALSE
  )
)</f>
        <v>0</v>
      </c>
      <c r="K37" s="615">
        <f>IF(K$3&gt;inputs!$A$1,
  0,
  SUMIFS(cx_conta[saldo],
    cx_conta[id],$B37,
    cx_conta[data],"&gt;="&amp;EOMONTH(K$3,0)+1,
    cx_conta[data],"&lt;"&amp;EOMONTH(K$3,1)+1,
    cx_conta[soVisualizacao],FALSE
  )
  -SUMIFS(cx_conta[saldo],
    cx_conta[id],$B37,
    cx_conta[data], "&gt;="&amp;K$3,
    cx_conta[data], "&lt;"&amp;EOMONTH(K$3,0)+1,
    cx_conta[soVisualizacao], FALSE
  )
)</f>
        <v>0</v>
      </c>
    </row>
    <row r="38" spans="1:11" x14ac:dyDescent="0.25">
      <c r="A38" s="620">
        <f t="shared" si="2"/>
        <v>35</v>
      </c>
      <c r="B38" s="613" t="str">
        <v>LCG-Paulista-</v>
      </c>
      <c r="C38" s="614">
        <f>SUMIFS(cx_conta[saldo],
  cx_conta[id],$B38,
  cx_conta[data], "&gt;="&amp;DATE(YEAR(inputs!$A$1),MONTH(inputs!$A$1+1),1),
  cx_conta[data], "&lt;"&amp;EOMONTH(inputs!$A$1,1)+1,
  cx_conta[soVisualizacao], FALSE
)
-SUMIFS(cx_conta[saldo],
  cx_conta[id],$B38,
  cx_conta[data],"&gt;="&amp;DATE(YEAR(inputs!$A$1),MONTH(inputs!$A$1),1),
  cx_conta[data],"&lt;"&amp;EOMONTH(inputs!$A$1,0),
  cx_conta[soVisualizacao],FALSE
)</f>
        <v>0</v>
      </c>
      <c r="D38" s="614"/>
      <c r="E38" s="614">
        <f t="shared" si="0"/>
        <v>0</v>
      </c>
      <c r="F38" s="352" t="str">
        <f t="shared" si="1"/>
        <v/>
      </c>
      <c r="G38" s="614">
        <f>IF(G$3&gt;inputs!$A$1,
  0,
  SUMIFS(cx_conta[saldo],
    cx_conta[id],$B38,
    cx_conta[data],"&gt;="&amp;EOMONTH(G$3,0)+1,
    cx_conta[data],"&lt;"&amp;EOMONTH(G$3,1)+1,
    cx_conta[soVisualizacao],FALSE
  )
  -SUMIFS(cx_conta[saldo],
    cx_conta[id],$B38,
    cx_conta[data], "&gt;="&amp;G$3,
    cx_conta[data], "&lt;"&amp;EOMONTH(G$3,0)+1,
    cx_conta[soVisualizacao], FALSE
  )
)</f>
        <v>0</v>
      </c>
      <c r="H38" s="614">
        <f>IF(H$3&gt;inputs!$A$1,
  0,
  SUMIFS(cx_conta[saldo],
    cx_conta[id],$B38,
    cx_conta[data],"&gt;="&amp;EOMONTH(H$3,0)+1,
    cx_conta[data],"&lt;"&amp;EOMONTH(H$3,1)+1,
    cx_conta[soVisualizacao],FALSE
  )
  -SUMIFS(cx_conta[saldo],
    cx_conta[id],$B38,
    cx_conta[data], "&gt;="&amp;H$3,
    cx_conta[data], "&lt;"&amp;EOMONTH(H$3,0)+1,
    cx_conta[soVisualizacao], FALSE
  )
)</f>
        <v>0</v>
      </c>
      <c r="I38" s="614">
        <f>IF(I$3&gt;inputs!$A$1,
  0,
  SUMIFS(cx_conta[saldo],
    cx_conta[id],$B38,
    cx_conta[data],"&gt;="&amp;EOMONTH(I$3,0)+1,
    cx_conta[data],"&lt;"&amp;EOMONTH(I$3,1)+1,
    cx_conta[soVisualizacao],FALSE
  )
  -SUMIFS(cx_conta[saldo],
    cx_conta[id],$B38,
    cx_conta[data], "&gt;="&amp;I$3,
    cx_conta[data], "&lt;"&amp;EOMONTH(I$3,0)+1,
    cx_conta[soVisualizacao], FALSE
  )
)</f>
        <v>0</v>
      </c>
      <c r="J38" s="614">
        <f>IF(J$3&gt;inputs!$A$1,
  0,
  SUMIFS(cx_conta[saldo],
    cx_conta[id],$B38,
    cx_conta[data],"&gt;="&amp;EOMONTH(J$3,0)+1,
    cx_conta[data],"&lt;"&amp;EOMONTH(J$3,1)+1,
    cx_conta[soVisualizacao],FALSE
  )
  -SUMIFS(cx_conta[saldo],
    cx_conta[id],$B38,
    cx_conta[data], "&gt;="&amp;J$3,
    cx_conta[data], "&lt;"&amp;EOMONTH(J$3,0)+1,
    cx_conta[soVisualizacao], FALSE
  )
)</f>
        <v>0</v>
      </c>
      <c r="K38" s="615">
        <f>IF(K$3&gt;inputs!$A$1,
  0,
  SUMIFS(cx_conta[saldo],
    cx_conta[id],$B38,
    cx_conta[data],"&gt;="&amp;EOMONTH(K$3,0)+1,
    cx_conta[data],"&lt;"&amp;EOMONTH(K$3,1)+1,
    cx_conta[soVisualizacao],FALSE
  )
  -SUMIFS(cx_conta[saldo],
    cx_conta[id],$B38,
    cx_conta[data], "&gt;="&amp;K$3,
    cx_conta[data], "&lt;"&amp;EOMONTH(K$3,0)+1,
    cx_conta[soVisualizacao], FALSE
  )
)</f>
        <v>0</v>
      </c>
    </row>
    <row r="39" spans="1:11" x14ac:dyDescent="0.25">
      <c r="A39" s="620">
        <f t="shared" si="2"/>
        <v>36</v>
      </c>
      <c r="B39" s="613" t="str">
        <v>LUC-CEF-1087</v>
      </c>
      <c r="C39" s="614">
        <f>SUMIFS(cx_conta[saldo],
  cx_conta[id],$B39,
  cx_conta[data], "&gt;="&amp;DATE(YEAR(inputs!$A$1),MONTH(inputs!$A$1+1),1),
  cx_conta[data], "&lt;"&amp;EOMONTH(inputs!$A$1,1)+1,
  cx_conta[soVisualizacao], FALSE
)
-SUMIFS(cx_conta[saldo],
  cx_conta[id],$B39,
  cx_conta[data],"&gt;="&amp;DATE(YEAR(inputs!$A$1),MONTH(inputs!$A$1),1),
  cx_conta[data],"&lt;"&amp;EOMONTH(inputs!$A$1,0),
  cx_conta[soVisualizacao],FALSE
)</f>
        <v>0</v>
      </c>
      <c r="D39" s="614"/>
      <c r="E39" s="614">
        <f t="shared" si="0"/>
        <v>0</v>
      </c>
      <c r="F39" s="352" t="str">
        <f t="shared" si="1"/>
        <v/>
      </c>
      <c r="G39" s="614">
        <f>IF(G$3&gt;inputs!$A$1,
  0,
  SUMIFS(cx_conta[saldo],
    cx_conta[id],$B39,
    cx_conta[data],"&gt;="&amp;EOMONTH(G$3,0)+1,
    cx_conta[data],"&lt;"&amp;EOMONTH(G$3,1)+1,
    cx_conta[soVisualizacao],FALSE
  )
  -SUMIFS(cx_conta[saldo],
    cx_conta[id],$B39,
    cx_conta[data], "&gt;="&amp;G$3,
    cx_conta[data], "&lt;"&amp;EOMONTH(G$3,0)+1,
    cx_conta[soVisualizacao], FALSE
  )
)</f>
        <v>0</v>
      </c>
      <c r="H39" s="614">
        <f>IF(H$3&gt;inputs!$A$1,
  0,
  SUMIFS(cx_conta[saldo],
    cx_conta[id],$B39,
    cx_conta[data],"&gt;="&amp;EOMONTH(H$3,0)+1,
    cx_conta[data],"&lt;"&amp;EOMONTH(H$3,1)+1,
    cx_conta[soVisualizacao],FALSE
  )
  -SUMIFS(cx_conta[saldo],
    cx_conta[id],$B39,
    cx_conta[data], "&gt;="&amp;H$3,
    cx_conta[data], "&lt;"&amp;EOMONTH(H$3,0)+1,
    cx_conta[soVisualizacao], FALSE
  )
)</f>
        <v>0</v>
      </c>
      <c r="I39" s="614">
        <f>IF(I$3&gt;inputs!$A$1,
  0,
  SUMIFS(cx_conta[saldo],
    cx_conta[id],$B39,
    cx_conta[data],"&gt;="&amp;EOMONTH(I$3,0)+1,
    cx_conta[data],"&lt;"&amp;EOMONTH(I$3,1)+1,
    cx_conta[soVisualizacao],FALSE
  )
  -SUMIFS(cx_conta[saldo],
    cx_conta[id],$B39,
    cx_conta[data], "&gt;="&amp;I$3,
    cx_conta[data], "&lt;"&amp;EOMONTH(I$3,0)+1,
    cx_conta[soVisualizacao], FALSE
  )
)</f>
        <v>0</v>
      </c>
      <c r="J39" s="614">
        <f>IF(J$3&gt;inputs!$A$1,
  0,
  SUMIFS(cx_conta[saldo],
    cx_conta[id],$B39,
    cx_conta[data],"&gt;="&amp;EOMONTH(J$3,0)+1,
    cx_conta[data],"&lt;"&amp;EOMONTH(J$3,1)+1,
    cx_conta[soVisualizacao],FALSE
  )
  -SUMIFS(cx_conta[saldo],
    cx_conta[id],$B39,
    cx_conta[data], "&gt;="&amp;J$3,
    cx_conta[data], "&lt;"&amp;EOMONTH(J$3,0)+1,
    cx_conta[soVisualizacao], FALSE
  )
)</f>
        <v>0</v>
      </c>
      <c r="K39" s="615">
        <f>IF(K$3&gt;inputs!$A$1,
  0,
  SUMIFS(cx_conta[saldo],
    cx_conta[id],$B39,
    cx_conta[data],"&gt;="&amp;EOMONTH(K$3,0)+1,
    cx_conta[data],"&lt;"&amp;EOMONTH(K$3,1)+1,
    cx_conta[soVisualizacao],FALSE
  )
  -SUMIFS(cx_conta[saldo],
    cx_conta[id],$B39,
    cx_conta[data], "&gt;="&amp;K$3,
    cx_conta[data], "&lt;"&amp;EOMONTH(K$3,0)+1,
    cx_conta[soVisualizacao], FALSE
  )
)</f>
        <v>0</v>
      </c>
    </row>
    <row r="40" spans="1:11" x14ac:dyDescent="0.25">
      <c r="A40" s="620">
        <f t="shared" si="2"/>
        <v>37</v>
      </c>
      <c r="B40" s="613" t="str">
        <v>LUC-CEF-8276</v>
      </c>
      <c r="C40" s="614">
        <f>SUMIFS(cx_conta[saldo],
  cx_conta[id],$B40,
  cx_conta[data], "&gt;="&amp;DATE(YEAR(inputs!$A$1),MONTH(inputs!$A$1+1),1),
  cx_conta[data], "&lt;"&amp;EOMONTH(inputs!$A$1,1)+1,
  cx_conta[soVisualizacao], FALSE
)
-SUMIFS(cx_conta[saldo],
  cx_conta[id],$B40,
  cx_conta[data],"&gt;="&amp;DATE(YEAR(inputs!$A$1),MONTH(inputs!$A$1),1),
  cx_conta[data],"&lt;"&amp;EOMONTH(inputs!$A$1,0),
  cx_conta[soVisualizacao],FALSE
)</f>
        <v>-131622.07999999999</v>
      </c>
      <c r="D40" s="614"/>
      <c r="E40" s="614">
        <f t="shared" si="0"/>
        <v>131622.07999999999</v>
      </c>
      <c r="F40" s="352">
        <f t="shared" si="1"/>
        <v>-1</v>
      </c>
      <c r="G40" s="614">
        <f>IF(G$3&gt;inputs!$A$1,
  0,
  SUMIFS(cx_conta[saldo],
    cx_conta[id],$B40,
    cx_conta[data],"&gt;="&amp;EOMONTH(G$3,0)+1,
    cx_conta[data],"&lt;"&amp;EOMONTH(G$3,1)+1,
    cx_conta[soVisualizacao],FALSE
  )
  -SUMIFS(cx_conta[saldo],
    cx_conta[id],$B40,
    cx_conta[data], "&gt;="&amp;G$3,
    cx_conta[data], "&lt;"&amp;EOMONTH(G$3,0)+1,
    cx_conta[soVisualizacao], FALSE
  )
)</f>
        <v>-131622.07999999999</v>
      </c>
      <c r="H40" s="614">
        <f>IF(H$3&gt;inputs!$A$1,
  0,
  SUMIFS(cx_conta[saldo],
    cx_conta[id],$B40,
    cx_conta[data],"&gt;="&amp;EOMONTH(H$3,0)+1,
    cx_conta[data],"&lt;"&amp;EOMONTH(H$3,1)+1,
    cx_conta[soVisualizacao],FALSE
  )
  -SUMIFS(cx_conta[saldo],
    cx_conta[id],$B40,
    cx_conta[data], "&gt;="&amp;H$3,
    cx_conta[data], "&lt;"&amp;EOMONTH(H$3,0)+1,
    cx_conta[soVisualizacao], FALSE
  )
)</f>
        <v>0</v>
      </c>
      <c r="I40" s="614">
        <f>IF(I$3&gt;inputs!$A$1,
  0,
  SUMIFS(cx_conta[saldo],
    cx_conta[id],$B40,
    cx_conta[data],"&gt;="&amp;EOMONTH(I$3,0)+1,
    cx_conta[data],"&lt;"&amp;EOMONTH(I$3,1)+1,
    cx_conta[soVisualizacao],FALSE
  )
  -SUMIFS(cx_conta[saldo],
    cx_conta[id],$B40,
    cx_conta[data], "&gt;="&amp;I$3,
    cx_conta[data], "&lt;"&amp;EOMONTH(I$3,0)+1,
    cx_conta[soVisualizacao], FALSE
  )
)</f>
        <v>0</v>
      </c>
      <c r="J40" s="614">
        <f>IF(J$3&gt;inputs!$A$1,
  0,
  SUMIFS(cx_conta[saldo],
    cx_conta[id],$B40,
    cx_conta[data],"&gt;="&amp;EOMONTH(J$3,0)+1,
    cx_conta[data],"&lt;"&amp;EOMONTH(J$3,1)+1,
    cx_conta[soVisualizacao],FALSE
  )
  -SUMIFS(cx_conta[saldo],
    cx_conta[id],$B40,
    cx_conta[data], "&gt;="&amp;J$3,
    cx_conta[data], "&lt;"&amp;EOMONTH(J$3,0)+1,
    cx_conta[soVisualizacao], FALSE
  )
)</f>
        <v>0</v>
      </c>
      <c r="K40" s="615">
        <f>IF(K$3&gt;inputs!$A$1,
  0,
  SUMIFS(cx_conta[saldo],
    cx_conta[id],$B40,
    cx_conta[data],"&gt;="&amp;EOMONTH(K$3,0)+1,
    cx_conta[data],"&lt;"&amp;EOMONTH(K$3,1)+1,
    cx_conta[soVisualizacao],FALSE
  )
  -SUMIFS(cx_conta[saldo],
    cx_conta[id],$B40,
    cx_conta[data], "&gt;="&amp;K$3,
    cx_conta[data], "&lt;"&amp;EOMONTH(K$3,0)+1,
    cx_conta[soVisualizacao], FALSE
  )
)</f>
        <v>0</v>
      </c>
    </row>
    <row r="41" spans="1:11" x14ac:dyDescent="0.25">
      <c r="A41" s="620">
        <f t="shared" si="2"/>
        <v>38</v>
      </c>
      <c r="B41" s="613" t="str">
        <v>LUC-Itaú-7151</v>
      </c>
      <c r="C41" s="614">
        <f>SUMIFS(cx_conta[saldo],
  cx_conta[id],$B41,
  cx_conta[data], "&gt;="&amp;DATE(YEAR(inputs!$A$1),MONTH(inputs!$A$1+1),1),
  cx_conta[data], "&lt;"&amp;EOMONTH(inputs!$A$1,1)+1,
  cx_conta[soVisualizacao], FALSE
)
-SUMIFS(cx_conta[saldo],
  cx_conta[id],$B41,
  cx_conta[data],"&gt;="&amp;DATE(YEAR(inputs!$A$1),MONTH(inputs!$A$1),1),
  cx_conta[data],"&lt;"&amp;EOMONTH(inputs!$A$1,0),
  cx_conta[soVisualizacao],FALSE
)</f>
        <v>62733.32</v>
      </c>
      <c r="D41" s="614"/>
      <c r="E41" s="614">
        <f t="shared" si="0"/>
        <v>-62733.32</v>
      </c>
      <c r="F41" s="352">
        <f t="shared" si="1"/>
        <v>-1</v>
      </c>
      <c r="G41" s="614">
        <f>IF(G$3&gt;inputs!$A$1,
  0,
  SUMIFS(cx_conta[saldo],
    cx_conta[id],$B41,
    cx_conta[data],"&gt;="&amp;EOMONTH(G$3,0)+1,
    cx_conta[data],"&lt;"&amp;EOMONTH(G$3,1)+1,
    cx_conta[soVisualizacao],FALSE
  )
  -SUMIFS(cx_conta[saldo],
    cx_conta[id],$B41,
    cx_conta[data], "&gt;="&amp;G$3,
    cx_conta[data], "&lt;"&amp;EOMONTH(G$3,0)+1,
    cx_conta[soVisualizacao], FALSE
  )
)</f>
        <v>62733.32</v>
      </c>
      <c r="H41" s="614">
        <f>IF(H$3&gt;inputs!$A$1,
  0,
  SUMIFS(cx_conta[saldo],
    cx_conta[id],$B41,
    cx_conta[data],"&gt;="&amp;EOMONTH(H$3,0)+1,
    cx_conta[data],"&lt;"&amp;EOMONTH(H$3,1)+1,
    cx_conta[soVisualizacao],FALSE
  )
  -SUMIFS(cx_conta[saldo],
    cx_conta[id],$B41,
    cx_conta[data], "&gt;="&amp;H$3,
    cx_conta[data], "&lt;"&amp;EOMONTH(H$3,0)+1,
    cx_conta[soVisualizacao], FALSE
  )
)</f>
        <v>0</v>
      </c>
      <c r="I41" s="614">
        <f>IF(I$3&gt;inputs!$A$1,
  0,
  SUMIFS(cx_conta[saldo],
    cx_conta[id],$B41,
    cx_conta[data],"&gt;="&amp;EOMONTH(I$3,0)+1,
    cx_conta[data],"&lt;"&amp;EOMONTH(I$3,1)+1,
    cx_conta[soVisualizacao],FALSE
  )
  -SUMIFS(cx_conta[saldo],
    cx_conta[id],$B41,
    cx_conta[data], "&gt;="&amp;I$3,
    cx_conta[data], "&lt;"&amp;EOMONTH(I$3,0)+1,
    cx_conta[soVisualizacao], FALSE
  )
)</f>
        <v>0</v>
      </c>
      <c r="J41" s="614">
        <f>IF(J$3&gt;inputs!$A$1,
  0,
  SUMIFS(cx_conta[saldo],
    cx_conta[id],$B41,
    cx_conta[data],"&gt;="&amp;EOMONTH(J$3,0)+1,
    cx_conta[data],"&lt;"&amp;EOMONTH(J$3,1)+1,
    cx_conta[soVisualizacao],FALSE
  )
  -SUMIFS(cx_conta[saldo],
    cx_conta[id],$B41,
    cx_conta[data], "&gt;="&amp;J$3,
    cx_conta[data], "&lt;"&amp;EOMONTH(J$3,0)+1,
    cx_conta[soVisualizacao], FALSE
  )
)</f>
        <v>0</v>
      </c>
      <c r="K41" s="615">
        <f>IF(K$3&gt;inputs!$A$1,
  0,
  SUMIFS(cx_conta[saldo],
    cx_conta[id],$B41,
    cx_conta[data],"&gt;="&amp;EOMONTH(K$3,0)+1,
    cx_conta[data],"&lt;"&amp;EOMONTH(K$3,1)+1,
    cx_conta[soVisualizacao],FALSE
  )
  -SUMIFS(cx_conta[saldo],
    cx_conta[id],$B41,
    cx_conta[data], "&gt;="&amp;K$3,
    cx_conta[data], "&lt;"&amp;EOMONTH(K$3,0)+1,
    cx_conta[soVisualizacao], FALSE
  )
)</f>
        <v>0</v>
      </c>
    </row>
    <row r="42" spans="1:11" x14ac:dyDescent="0.25">
      <c r="A42" s="620">
        <f t="shared" si="2"/>
        <v>39</v>
      </c>
      <c r="B42" s="613" t="str">
        <v>LUG-CEF-3420</v>
      </c>
      <c r="C42" s="614">
        <f>SUMIFS(cx_conta[saldo],
  cx_conta[id],$B42,
  cx_conta[data], "&gt;="&amp;DATE(YEAR(inputs!$A$1),MONTH(inputs!$A$1+1),1),
  cx_conta[data], "&lt;"&amp;EOMONTH(inputs!$A$1,1)+1,
  cx_conta[soVisualizacao], FALSE
)
-SUMIFS(cx_conta[saldo],
  cx_conta[id],$B42,
  cx_conta[data],"&gt;="&amp;DATE(YEAR(inputs!$A$1),MONTH(inputs!$A$1),1),
  cx_conta[data],"&lt;"&amp;EOMONTH(inputs!$A$1,0),
  cx_conta[soVisualizacao],FALSE
)</f>
        <v>-3403.58</v>
      </c>
      <c r="D42" s="614"/>
      <c r="E42" s="614">
        <f t="shared" si="0"/>
        <v>3403.58</v>
      </c>
      <c r="F42" s="352">
        <f t="shared" si="1"/>
        <v>-1</v>
      </c>
      <c r="G42" s="614">
        <f>IF(G$3&gt;inputs!$A$1,
  0,
  SUMIFS(cx_conta[saldo],
    cx_conta[id],$B42,
    cx_conta[data],"&gt;="&amp;EOMONTH(G$3,0)+1,
    cx_conta[data],"&lt;"&amp;EOMONTH(G$3,1)+1,
    cx_conta[soVisualizacao],FALSE
  )
  -SUMIFS(cx_conta[saldo],
    cx_conta[id],$B42,
    cx_conta[data], "&gt;="&amp;G$3,
    cx_conta[data], "&lt;"&amp;EOMONTH(G$3,0)+1,
    cx_conta[soVisualizacao], FALSE
  )
)</f>
        <v>-3403.58</v>
      </c>
      <c r="H42" s="614">
        <f>IF(H$3&gt;inputs!$A$1,
  0,
  SUMIFS(cx_conta[saldo],
    cx_conta[id],$B42,
    cx_conta[data],"&gt;="&amp;EOMONTH(H$3,0)+1,
    cx_conta[data],"&lt;"&amp;EOMONTH(H$3,1)+1,
    cx_conta[soVisualizacao],FALSE
  )
  -SUMIFS(cx_conta[saldo],
    cx_conta[id],$B42,
    cx_conta[data], "&gt;="&amp;H$3,
    cx_conta[data], "&lt;"&amp;EOMONTH(H$3,0)+1,
    cx_conta[soVisualizacao], FALSE
  )
)</f>
        <v>0</v>
      </c>
      <c r="I42" s="614">
        <f>IF(I$3&gt;inputs!$A$1,
  0,
  SUMIFS(cx_conta[saldo],
    cx_conta[id],$B42,
    cx_conta[data],"&gt;="&amp;EOMONTH(I$3,0)+1,
    cx_conta[data],"&lt;"&amp;EOMONTH(I$3,1)+1,
    cx_conta[soVisualizacao],FALSE
  )
  -SUMIFS(cx_conta[saldo],
    cx_conta[id],$B42,
    cx_conta[data], "&gt;="&amp;I$3,
    cx_conta[data], "&lt;"&amp;EOMONTH(I$3,0)+1,
    cx_conta[soVisualizacao], FALSE
  )
)</f>
        <v>0</v>
      </c>
      <c r="J42" s="614">
        <f>IF(J$3&gt;inputs!$A$1,
  0,
  SUMIFS(cx_conta[saldo],
    cx_conta[id],$B42,
    cx_conta[data],"&gt;="&amp;EOMONTH(J$3,0)+1,
    cx_conta[data],"&lt;"&amp;EOMONTH(J$3,1)+1,
    cx_conta[soVisualizacao],FALSE
  )
  -SUMIFS(cx_conta[saldo],
    cx_conta[id],$B42,
    cx_conta[data], "&gt;="&amp;J$3,
    cx_conta[data], "&lt;"&amp;EOMONTH(J$3,0)+1,
    cx_conta[soVisualizacao], FALSE
  )
)</f>
        <v>0</v>
      </c>
      <c r="K42" s="615">
        <f>IF(K$3&gt;inputs!$A$1,
  0,
  SUMIFS(cx_conta[saldo],
    cx_conta[id],$B42,
    cx_conta[data],"&gt;="&amp;EOMONTH(K$3,0)+1,
    cx_conta[data],"&lt;"&amp;EOMONTH(K$3,1)+1,
    cx_conta[soVisualizacao],FALSE
  )
  -SUMIFS(cx_conta[saldo],
    cx_conta[id],$B42,
    cx_conta[data], "&gt;="&amp;K$3,
    cx_conta[data], "&lt;"&amp;EOMONTH(K$3,0)+1,
    cx_conta[soVisualizacao], FALSE
  )
)</f>
        <v>0</v>
      </c>
    </row>
    <row r="43" spans="1:11" x14ac:dyDescent="0.25">
      <c r="A43" s="620">
        <f t="shared" si="2"/>
        <v>40</v>
      </c>
      <c r="B43" s="613" t="str">
        <v>PDI-Itaú-6481</v>
      </c>
      <c r="C43" s="614">
        <f>SUMIFS(cx_conta[saldo],
  cx_conta[id],$B43,
  cx_conta[data], "&gt;="&amp;DATE(YEAR(inputs!$A$1),MONTH(inputs!$A$1+1),1),
  cx_conta[data], "&lt;"&amp;EOMONTH(inputs!$A$1,1)+1,
  cx_conta[soVisualizacao], FALSE
)
-SUMIFS(cx_conta[saldo],
  cx_conta[id],$B43,
  cx_conta[data],"&gt;="&amp;DATE(YEAR(inputs!$A$1),MONTH(inputs!$A$1),1),
  cx_conta[data],"&lt;"&amp;EOMONTH(inputs!$A$1,0),
  cx_conta[soVisualizacao],FALSE
)</f>
        <v>0</v>
      </c>
      <c r="D43" s="614"/>
      <c r="E43" s="614">
        <f t="shared" si="0"/>
        <v>0</v>
      </c>
      <c r="F43" s="352" t="str">
        <f t="shared" si="1"/>
        <v/>
      </c>
      <c r="G43" s="614">
        <f>IF(G$3&gt;inputs!$A$1,
  0,
  SUMIFS(cx_conta[saldo],
    cx_conta[id],$B43,
    cx_conta[data],"&gt;="&amp;EOMONTH(G$3,0)+1,
    cx_conta[data],"&lt;"&amp;EOMONTH(G$3,1)+1,
    cx_conta[soVisualizacao],FALSE
  )
  -SUMIFS(cx_conta[saldo],
    cx_conta[id],$B43,
    cx_conta[data], "&gt;="&amp;G$3,
    cx_conta[data], "&lt;"&amp;EOMONTH(G$3,0)+1,
    cx_conta[soVisualizacao], FALSE
  )
)</f>
        <v>0</v>
      </c>
      <c r="H43" s="614">
        <f>IF(H$3&gt;inputs!$A$1,
  0,
  SUMIFS(cx_conta[saldo],
    cx_conta[id],$B43,
    cx_conta[data],"&gt;="&amp;EOMONTH(H$3,0)+1,
    cx_conta[data],"&lt;"&amp;EOMONTH(H$3,1)+1,
    cx_conta[soVisualizacao],FALSE
  )
  -SUMIFS(cx_conta[saldo],
    cx_conta[id],$B43,
    cx_conta[data], "&gt;="&amp;H$3,
    cx_conta[data], "&lt;"&amp;EOMONTH(H$3,0)+1,
    cx_conta[soVisualizacao], FALSE
  )
)</f>
        <v>0</v>
      </c>
      <c r="I43" s="614">
        <f>IF(I$3&gt;inputs!$A$1,
  0,
  SUMIFS(cx_conta[saldo],
    cx_conta[id],$B43,
    cx_conta[data],"&gt;="&amp;EOMONTH(I$3,0)+1,
    cx_conta[data],"&lt;"&amp;EOMONTH(I$3,1)+1,
    cx_conta[soVisualizacao],FALSE
  )
  -SUMIFS(cx_conta[saldo],
    cx_conta[id],$B43,
    cx_conta[data], "&gt;="&amp;I$3,
    cx_conta[data], "&lt;"&amp;EOMONTH(I$3,0)+1,
    cx_conta[soVisualizacao], FALSE
  )
)</f>
        <v>0</v>
      </c>
      <c r="J43" s="614">
        <f>IF(J$3&gt;inputs!$A$1,
  0,
  SUMIFS(cx_conta[saldo],
    cx_conta[id],$B43,
    cx_conta[data],"&gt;="&amp;EOMONTH(J$3,0)+1,
    cx_conta[data],"&lt;"&amp;EOMONTH(J$3,1)+1,
    cx_conta[soVisualizacao],FALSE
  )
  -SUMIFS(cx_conta[saldo],
    cx_conta[id],$B43,
    cx_conta[data], "&gt;="&amp;J$3,
    cx_conta[data], "&lt;"&amp;EOMONTH(J$3,0)+1,
    cx_conta[soVisualizacao], FALSE
  )
)</f>
        <v>0</v>
      </c>
      <c r="K43" s="615">
        <f>IF(K$3&gt;inputs!$A$1,
  0,
  SUMIFS(cx_conta[saldo],
    cx_conta[id],$B43,
    cx_conta[data],"&gt;="&amp;EOMONTH(K$3,0)+1,
    cx_conta[data],"&lt;"&amp;EOMONTH(K$3,1)+1,
    cx_conta[soVisualizacao],FALSE
  )
  -SUMIFS(cx_conta[saldo],
    cx_conta[id],$B43,
    cx_conta[data], "&gt;="&amp;K$3,
    cx_conta[data], "&lt;"&amp;EOMONTH(K$3,0)+1,
    cx_conta[soVisualizacao], FALSE
  )
)</f>
        <v>0</v>
      </c>
    </row>
    <row r="44" spans="1:11" x14ac:dyDescent="0.25">
      <c r="A44" s="620">
        <f t="shared" si="2"/>
        <v>41</v>
      </c>
      <c r="B44" s="613" t="str">
        <v>POM-ABC-4479</v>
      </c>
      <c r="C44" s="614">
        <f>SUMIFS(cx_conta[saldo],
  cx_conta[id],$B44,
  cx_conta[data], "&gt;="&amp;DATE(YEAR(inputs!$A$1),MONTH(inputs!$A$1+1),1),
  cx_conta[data], "&lt;"&amp;EOMONTH(inputs!$A$1,1)+1,
  cx_conta[soVisualizacao], FALSE
)
-SUMIFS(cx_conta[saldo],
  cx_conta[id],$B44,
  cx_conta[data],"&gt;="&amp;DATE(YEAR(inputs!$A$1),MONTH(inputs!$A$1),1),
  cx_conta[data],"&lt;"&amp;EOMONTH(inputs!$A$1,0),
  cx_conta[soVisualizacao],FALSE
)</f>
        <v>-206254.57</v>
      </c>
      <c r="D44" s="614"/>
      <c r="E44" s="614">
        <f t="shared" si="0"/>
        <v>206254.57</v>
      </c>
      <c r="F44" s="352">
        <f t="shared" si="1"/>
        <v>-1</v>
      </c>
      <c r="G44" s="614">
        <f>IF(G$3&gt;inputs!$A$1,
  0,
  SUMIFS(cx_conta[saldo],
    cx_conta[id],$B44,
    cx_conta[data],"&gt;="&amp;EOMONTH(G$3,0)+1,
    cx_conta[data],"&lt;"&amp;EOMONTH(G$3,1)+1,
    cx_conta[soVisualizacao],FALSE
  )
  -SUMIFS(cx_conta[saldo],
    cx_conta[id],$B44,
    cx_conta[data], "&gt;="&amp;G$3,
    cx_conta[data], "&lt;"&amp;EOMONTH(G$3,0)+1,
    cx_conta[soVisualizacao], FALSE
  )
)</f>
        <v>-206254.57</v>
      </c>
      <c r="H44" s="614">
        <f>IF(H$3&gt;inputs!$A$1,
  0,
  SUMIFS(cx_conta[saldo],
    cx_conta[id],$B44,
    cx_conta[data],"&gt;="&amp;EOMONTH(H$3,0)+1,
    cx_conta[data],"&lt;"&amp;EOMONTH(H$3,1)+1,
    cx_conta[soVisualizacao],FALSE
  )
  -SUMIFS(cx_conta[saldo],
    cx_conta[id],$B44,
    cx_conta[data], "&gt;="&amp;H$3,
    cx_conta[data], "&lt;"&amp;EOMONTH(H$3,0)+1,
    cx_conta[soVisualizacao], FALSE
  )
)</f>
        <v>0</v>
      </c>
      <c r="I44" s="614">
        <f>IF(I$3&gt;inputs!$A$1,
  0,
  SUMIFS(cx_conta[saldo],
    cx_conta[id],$B44,
    cx_conta[data],"&gt;="&amp;EOMONTH(I$3,0)+1,
    cx_conta[data],"&lt;"&amp;EOMONTH(I$3,1)+1,
    cx_conta[soVisualizacao],FALSE
  )
  -SUMIFS(cx_conta[saldo],
    cx_conta[id],$B44,
    cx_conta[data], "&gt;="&amp;I$3,
    cx_conta[data], "&lt;"&amp;EOMONTH(I$3,0)+1,
    cx_conta[soVisualizacao], FALSE
  )
)</f>
        <v>0</v>
      </c>
      <c r="J44" s="614">
        <f>IF(J$3&gt;inputs!$A$1,
  0,
  SUMIFS(cx_conta[saldo],
    cx_conta[id],$B44,
    cx_conta[data],"&gt;="&amp;EOMONTH(J$3,0)+1,
    cx_conta[data],"&lt;"&amp;EOMONTH(J$3,1)+1,
    cx_conta[soVisualizacao],FALSE
  )
  -SUMIFS(cx_conta[saldo],
    cx_conta[id],$B44,
    cx_conta[data], "&gt;="&amp;J$3,
    cx_conta[data], "&lt;"&amp;EOMONTH(J$3,0)+1,
    cx_conta[soVisualizacao], FALSE
  )
)</f>
        <v>0</v>
      </c>
      <c r="K44" s="615">
        <f>IF(K$3&gt;inputs!$A$1,
  0,
  SUMIFS(cx_conta[saldo],
    cx_conta[id],$B44,
    cx_conta[data],"&gt;="&amp;EOMONTH(K$3,0)+1,
    cx_conta[data],"&lt;"&amp;EOMONTH(K$3,1)+1,
    cx_conta[soVisualizacao],FALSE
  )
  -SUMIFS(cx_conta[saldo],
    cx_conta[id],$B44,
    cx_conta[data], "&gt;="&amp;K$3,
    cx_conta[data], "&lt;"&amp;EOMONTH(K$3,0)+1,
    cx_conta[soVisualizacao], FALSE
  )
)</f>
        <v>0</v>
      </c>
    </row>
    <row r="45" spans="1:11" x14ac:dyDescent="0.25">
      <c r="A45" s="620">
        <f t="shared" si="2"/>
        <v>42</v>
      </c>
      <c r="B45" s="613" t="str">
        <v>POM-ABC-4487</v>
      </c>
      <c r="C45" s="614">
        <f>SUMIFS(cx_conta[saldo],
  cx_conta[id],$B45,
  cx_conta[data], "&gt;="&amp;DATE(YEAR(inputs!$A$1),MONTH(inputs!$A$1+1),1),
  cx_conta[data], "&lt;"&amp;EOMONTH(inputs!$A$1,1)+1,
  cx_conta[soVisualizacao], FALSE
)
-SUMIFS(cx_conta[saldo],
  cx_conta[id],$B45,
  cx_conta[data],"&gt;="&amp;DATE(YEAR(inputs!$A$1),MONTH(inputs!$A$1),1),
  cx_conta[data],"&lt;"&amp;EOMONTH(inputs!$A$1,0),
  cx_conta[soVisualizacao],FALSE
)</f>
        <v>0</v>
      </c>
      <c r="D45" s="614"/>
      <c r="E45" s="614">
        <f t="shared" si="0"/>
        <v>0</v>
      </c>
      <c r="F45" s="352" t="str">
        <f t="shared" si="1"/>
        <v/>
      </c>
      <c r="G45" s="614">
        <f>IF(G$3&gt;inputs!$A$1,
  0,
  SUMIFS(cx_conta[saldo],
    cx_conta[id],$B45,
    cx_conta[data],"&gt;="&amp;EOMONTH(G$3,0)+1,
    cx_conta[data],"&lt;"&amp;EOMONTH(G$3,1)+1,
    cx_conta[soVisualizacao],FALSE
  )
  -SUMIFS(cx_conta[saldo],
    cx_conta[id],$B45,
    cx_conta[data], "&gt;="&amp;G$3,
    cx_conta[data], "&lt;"&amp;EOMONTH(G$3,0)+1,
    cx_conta[soVisualizacao], FALSE
  )
)</f>
        <v>0</v>
      </c>
      <c r="H45" s="614">
        <f>IF(H$3&gt;inputs!$A$1,
  0,
  SUMIFS(cx_conta[saldo],
    cx_conta[id],$B45,
    cx_conta[data],"&gt;="&amp;EOMONTH(H$3,0)+1,
    cx_conta[data],"&lt;"&amp;EOMONTH(H$3,1)+1,
    cx_conta[soVisualizacao],FALSE
  )
  -SUMIFS(cx_conta[saldo],
    cx_conta[id],$B45,
    cx_conta[data], "&gt;="&amp;H$3,
    cx_conta[data], "&lt;"&amp;EOMONTH(H$3,0)+1,
    cx_conta[soVisualizacao], FALSE
  )
)</f>
        <v>0</v>
      </c>
      <c r="I45" s="614">
        <f>IF(I$3&gt;inputs!$A$1,
  0,
  SUMIFS(cx_conta[saldo],
    cx_conta[id],$B45,
    cx_conta[data],"&gt;="&amp;EOMONTH(I$3,0)+1,
    cx_conta[data],"&lt;"&amp;EOMONTH(I$3,1)+1,
    cx_conta[soVisualizacao],FALSE
  )
  -SUMIFS(cx_conta[saldo],
    cx_conta[id],$B45,
    cx_conta[data], "&gt;="&amp;I$3,
    cx_conta[data], "&lt;"&amp;EOMONTH(I$3,0)+1,
    cx_conta[soVisualizacao], FALSE
  )
)</f>
        <v>0</v>
      </c>
      <c r="J45" s="614">
        <f>IF(J$3&gt;inputs!$A$1,
  0,
  SUMIFS(cx_conta[saldo],
    cx_conta[id],$B45,
    cx_conta[data],"&gt;="&amp;EOMONTH(J$3,0)+1,
    cx_conta[data],"&lt;"&amp;EOMONTH(J$3,1)+1,
    cx_conta[soVisualizacao],FALSE
  )
  -SUMIFS(cx_conta[saldo],
    cx_conta[id],$B45,
    cx_conta[data], "&gt;="&amp;J$3,
    cx_conta[data], "&lt;"&amp;EOMONTH(J$3,0)+1,
    cx_conta[soVisualizacao], FALSE
  )
)</f>
        <v>0</v>
      </c>
      <c r="K45" s="615">
        <f>IF(K$3&gt;inputs!$A$1,
  0,
  SUMIFS(cx_conta[saldo],
    cx_conta[id],$B45,
    cx_conta[data],"&gt;="&amp;EOMONTH(K$3,0)+1,
    cx_conta[data],"&lt;"&amp;EOMONTH(K$3,1)+1,
    cx_conta[soVisualizacao],FALSE
  )
  -SUMIFS(cx_conta[saldo],
    cx_conta[id],$B45,
    cx_conta[data], "&gt;="&amp;K$3,
    cx_conta[data], "&lt;"&amp;EOMONTH(K$3,0)+1,
    cx_conta[soVisualizacao], FALSE
  )
)</f>
        <v>0</v>
      </c>
    </row>
    <row r="46" spans="1:11" x14ac:dyDescent="0.25">
      <c r="A46" s="620">
        <f t="shared" si="2"/>
        <v>43</v>
      </c>
      <c r="B46" s="613" t="str">
        <v>POM-CEF-8624</v>
      </c>
      <c r="C46" s="614">
        <f>SUMIFS(cx_conta[saldo],
  cx_conta[id],$B46,
  cx_conta[data], "&gt;="&amp;DATE(YEAR(inputs!$A$1),MONTH(inputs!$A$1+1),1),
  cx_conta[data], "&lt;"&amp;EOMONTH(inputs!$A$1,1)+1,
  cx_conta[soVisualizacao], FALSE
)
-SUMIFS(cx_conta[saldo],
  cx_conta[id],$B46,
  cx_conta[data],"&gt;="&amp;DATE(YEAR(inputs!$A$1),MONTH(inputs!$A$1),1),
  cx_conta[data],"&lt;"&amp;EOMONTH(inputs!$A$1,0),
  cx_conta[soVisualizacao],FALSE
)</f>
        <v>268871.42</v>
      </c>
      <c r="D46" s="614"/>
      <c r="E46" s="614">
        <f t="shared" si="0"/>
        <v>-268871.42</v>
      </c>
      <c r="F46" s="352">
        <f t="shared" si="1"/>
        <v>-1</v>
      </c>
      <c r="G46" s="614">
        <f>IF(G$3&gt;inputs!$A$1,
  0,
  SUMIFS(cx_conta[saldo],
    cx_conta[id],$B46,
    cx_conta[data],"&gt;="&amp;EOMONTH(G$3,0)+1,
    cx_conta[data],"&lt;"&amp;EOMONTH(G$3,1)+1,
    cx_conta[soVisualizacao],FALSE
  )
  -SUMIFS(cx_conta[saldo],
    cx_conta[id],$B46,
    cx_conta[data], "&gt;="&amp;G$3,
    cx_conta[data], "&lt;"&amp;EOMONTH(G$3,0)+1,
    cx_conta[soVisualizacao], FALSE
  )
)</f>
        <v>268871.42</v>
      </c>
      <c r="H46" s="614">
        <f>IF(H$3&gt;inputs!$A$1,
  0,
  SUMIFS(cx_conta[saldo],
    cx_conta[id],$B46,
    cx_conta[data],"&gt;="&amp;EOMONTH(H$3,0)+1,
    cx_conta[data],"&lt;"&amp;EOMONTH(H$3,1)+1,
    cx_conta[soVisualizacao],FALSE
  )
  -SUMIFS(cx_conta[saldo],
    cx_conta[id],$B46,
    cx_conta[data], "&gt;="&amp;H$3,
    cx_conta[data], "&lt;"&amp;EOMONTH(H$3,0)+1,
    cx_conta[soVisualizacao], FALSE
  )
)</f>
        <v>0</v>
      </c>
      <c r="I46" s="614">
        <f>IF(I$3&gt;inputs!$A$1,
  0,
  SUMIFS(cx_conta[saldo],
    cx_conta[id],$B46,
    cx_conta[data],"&gt;="&amp;EOMONTH(I$3,0)+1,
    cx_conta[data],"&lt;"&amp;EOMONTH(I$3,1)+1,
    cx_conta[soVisualizacao],FALSE
  )
  -SUMIFS(cx_conta[saldo],
    cx_conta[id],$B46,
    cx_conta[data], "&gt;="&amp;I$3,
    cx_conta[data], "&lt;"&amp;EOMONTH(I$3,0)+1,
    cx_conta[soVisualizacao], FALSE
  )
)</f>
        <v>0</v>
      </c>
      <c r="J46" s="614">
        <f>IF(J$3&gt;inputs!$A$1,
  0,
  SUMIFS(cx_conta[saldo],
    cx_conta[id],$B46,
    cx_conta[data],"&gt;="&amp;EOMONTH(J$3,0)+1,
    cx_conta[data],"&lt;"&amp;EOMONTH(J$3,1)+1,
    cx_conta[soVisualizacao],FALSE
  )
  -SUMIFS(cx_conta[saldo],
    cx_conta[id],$B46,
    cx_conta[data], "&gt;="&amp;J$3,
    cx_conta[data], "&lt;"&amp;EOMONTH(J$3,0)+1,
    cx_conta[soVisualizacao], FALSE
  )
)</f>
        <v>0</v>
      </c>
      <c r="K46" s="615">
        <f>IF(K$3&gt;inputs!$A$1,
  0,
  SUMIFS(cx_conta[saldo],
    cx_conta[id],$B46,
    cx_conta[data],"&gt;="&amp;EOMONTH(K$3,0)+1,
    cx_conta[data],"&lt;"&amp;EOMONTH(K$3,1)+1,
    cx_conta[soVisualizacao],FALSE
  )
  -SUMIFS(cx_conta[saldo],
    cx_conta[id],$B46,
    cx_conta[data], "&gt;="&amp;K$3,
    cx_conta[data], "&lt;"&amp;EOMONTH(K$3,0)+1,
    cx_conta[soVisualizacao], FALSE
  )
)</f>
        <v>0</v>
      </c>
    </row>
    <row r="47" spans="1:11" x14ac:dyDescent="0.25">
      <c r="A47" s="620">
        <f t="shared" si="2"/>
        <v>44</v>
      </c>
      <c r="B47" s="613" t="str">
        <v>POM-Itaú-4261</v>
      </c>
      <c r="C47" s="614">
        <f>SUMIFS(cx_conta[saldo],
  cx_conta[id],$B47,
  cx_conta[data], "&gt;="&amp;DATE(YEAR(inputs!$A$1),MONTH(inputs!$A$1+1),1),
  cx_conta[data], "&lt;"&amp;EOMONTH(inputs!$A$1,1)+1,
  cx_conta[soVisualizacao], FALSE
)
-SUMIFS(cx_conta[saldo],
  cx_conta[id],$B47,
  cx_conta[data],"&gt;="&amp;DATE(YEAR(inputs!$A$1),MONTH(inputs!$A$1),1),
  cx_conta[data],"&lt;"&amp;EOMONTH(inputs!$A$1,0),
  cx_conta[soVisualizacao],FALSE
)</f>
        <v>-1647.2600000000002</v>
      </c>
      <c r="D47" s="614"/>
      <c r="E47" s="614">
        <f t="shared" si="0"/>
        <v>1647.2600000000002</v>
      </c>
      <c r="F47" s="352">
        <f t="shared" si="1"/>
        <v>-1</v>
      </c>
      <c r="G47" s="614">
        <f>IF(G$3&gt;inputs!$A$1,
  0,
  SUMIFS(cx_conta[saldo],
    cx_conta[id],$B47,
    cx_conta[data],"&gt;="&amp;EOMONTH(G$3,0)+1,
    cx_conta[data],"&lt;"&amp;EOMONTH(G$3,1)+1,
    cx_conta[soVisualizacao],FALSE
  )
  -SUMIFS(cx_conta[saldo],
    cx_conta[id],$B47,
    cx_conta[data], "&gt;="&amp;G$3,
    cx_conta[data], "&lt;"&amp;EOMONTH(G$3,0)+1,
    cx_conta[soVisualizacao], FALSE
  )
)</f>
        <v>-1647.2600000000002</v>
      </c>
      <c r="H47" s="614">
        <f>IF(H$3&gt;inputs!$A$1,
  0,
  SUMIFS(cx_conta[saldo],
    cx_conta[id],$B47,
    cx_conta[data],"&gt;="&amp;EOMONTH(H$3,0)+1,
    cx_conta[data],"&lt;"&amp;EOMONTH(H$3,1)+1,
    cx_conta[soVisualizacao],FALSE
  )
  -SUMIFS(cx_conta[saldo],
    cx_conta[id],$B47,
    cx_conta[data], "&gt;="&amp;H$3,
    cx_conta[data], "&lt;"&amp;EOMONTH(H$3,0)+1,
    cx_conta[soVisualizacao], FALSE
  )
)</f>
        <v>0</v>
      </c>
      <c r="I47" s="614">
        <f>IF(I$3&gt;inputs!$A$1,
  0,
  SUMIFS(cx_conta[saldo],
    cx_conta[id],$B47,
    cx_conta[data],"&gt;="&amp;EOMONTH(I$3,0)+1,
    cx_conta[data],"&lt;"&amp;EOMONTH(I$3,1)+1,
    cx_conta[soVisualizacao],FALSE
  )
  -SUMIFS(cx_conta[saldo],
    cx_conta[id],$B47,
    cx_conta[data], "&gt;="&amp;I$3,
    cx_conta[data], "&lt;"&amp;EOMONTH(I$3,0)+1,
    cx_conta[soVisualizacao], FALSE
  )
)</f>
        <v>0</v>
      </c>
      <c r="J47" s="614">
        <f>IF(J$3&gt;inputs!$A$1,
  0,
  SUMIFS(cx_conta[saldo],
    cx_conta[id],$B47,
    cx_conta[data],"&gt;="&amp;EOMONTH(J$3,0)+1,
    cx_conta[data],"&lt;"&amp;EOMONTH(J$3,1)+1,
    cx_conta[soVisualizacao],FALSE
  )
  -SUMIFS(cx_conta[saldo],
    cx_conta[id],$B47,
    cx_conta[data], "&gt;="&amp;J$3,
    cx_conta[data], "&lt;"&amp;EOMONTH(J$3,0)+1,
    cx_conta[soVisualizacao], FALSE
  )
)</f>
        <v>0</v>
      </c>
      <c r="K47" s="615">
        <f>IF(K$3&gt;inputs!$A$1,
  0,
  SUMIFS(cx_conta[saldo],
    cx_conta[id],$B47,
    cx_conta[data],"&gt;="&amp;EOMONTH(K$3,0)+1,
    cx_conta[data],"&lt;"&amp;EOMONTH(K$3,1)+1,
    cx_conta[soVisualizacao],FALSE
  )
  -SUMIFS(cx_conta[saldo],
    cx_conta[id],$B47,
    cx_conta[data], "&gt;="&amp;K$3,
    cx_conta[data], "&lt;"&amp;EOMONTH(K$3,0)+1,
    cx_conta[soVisualizacao], FALSE
  )
)</f>
        <v>0</v>
      </c>
    </row>
    <row r="48" spans="1:11" x14ac:dyDescent="0.25">
      <c r="A48" s="620">
        <f t="shared" si="2"/>
        <v>45</v>
      </c>
      <c r="B48" s="613" t="str">
        <v>PRO-Itaú-8040</v>
      </c>
      <c r="C48" s="614">
        <f>SUMIFS(cx_conta[saldo],
  cx_conta[id],$B48,
  cx_conta[data], "&gt;="&amp;DATE(YEAR(inputs!$A$1),MONTH(inputs!$A$1+1),1),
  cx_conta[data], "&lt;"&amp;EOMONTH(inputs!$A$1,1)+1,
  cx_conta[soVisualizacao], FALSE
)
-SUMIFS(cx_conta[saldo],
  cx_conta[id],$B48,
  cx_conta[data],"&gt;="&amp;DATE(YEAR(inputs!$A$1),MONTH(inputs!$A$1),1),
  cx_conta[data],"&lt;"&amp;EOMONTH(inputs!$A$1,0),
  cx_conta[soVisualizacao],FALSE
)</f>
        <v>0</v>
      </c>
      <c r="D48" s="614"/>
      <c r="E48" s="614">
        <f t="shared" si="0"/>
        <v>0</v>
      </c>
      <c r="F48" s="352" t="str">
        <f t="shared" si="1"/>
        <v/>
      </c>
      <c r="G48" s="614">
        <f>IF(G$3&gt;inputs!$A$1,
  0,
  SUMIFS(cx_conta[saldo],
    cx_conta[id],$B48,
    cx_conta[data],"&gt;="&amp;EOMONTH(G$3,0)+1,
    cx_conta[data],"&lt;"&amp;EOMONTH(G$3,1)+1,
    cx_conta[soVisualizacao],FALSE
  )
  -SUMIFS(cx_conta[saldo],
    cx_conta[id],$B48,
    cx_conta[data], "&gt;="&amp;G$3,
    cx_conta[data], "&lt;"&amp;EOMONTH(G$3,0)+1,
    cx_conta[soVisualizacao], FALSE
  )
)</f>
        <v>0</v>
      </c>
      <c r="H48" s="614">
        <f>IF(H$3&gt;inputs!$A$1,
  0,
  SUMIFS(cx_conta[saldo],
    cx_conta[id],$B48,
    cx_conta[data],"&gt;="&amp;EOMONTH(H$3,0)+1,
    cx_conta[data],"&lt;"&amp;EOMONTH(H$3,1)+1,
    cx_conta[soVisualizacao],FALSE
  )
  -SUMIFS(cx_conta[saldo],
    cx_conta[id],$B48,
    cx_conta[data], "&gt;="&amp;H$3,
    cx_conta[data], "&lt;"&amp;EOMONTH(H$3,0)+1,
    cx_conta[soVisualizacao], FALSE
  )
)</f>
        <v>0</v>
      </c>
      <c r="I48" s="614">
        <f>IF(I$3&gt;inputs!$A$1,
  0,
  SUMIFS(cx_conta[saldo],
    cx_conta[id],$B48,
    cx_conta[data],"&gt;="&amp;EOMONTH(I$3,0)+1,
    cx_conta[data],"&lt;"&amp;EOMONTH(I$3,1)+1,
    cx_conta[soVisualizacao],FALSE
  )
  -SUMIFS(cx_conta[saldo],
    cx_conta[id],$B48,
    cx_conta[data], "&gt;="&amp;I$3,
    cx_conta[data], "&lt;"&amp;EOMONTH(I$3,0)+1,
    cx_conta[soVisualizacao], FALSE
  )
)</f>
        <v>0</v>
      </c>
      <c r="J48" s="614">
        <f>IF(J$3&gt;inputs!$A$1,
  0,
  SUMIFS(cx_conta[saldo],
    cx_conta[id],$B48,
    cx_conta[data],"&gt;="&amp;EOMONTH(J$3,0)+1,
    cx_conta[data],"&lt;"&amp;EOMONTH(J$3,1)+1,
    cx_conta[soVisualizacao],FALSE
  )
  -SUMIFS(cx_conta[saldo],
    cx_conta[id],$B48,
    cx_conta[data], "&gt;="&amp;J$3,
    cx_conta[data], "&lt;"&amp;EOMONTH(J$3,0)+1,
    cx_conta[soVisualizacao], FALSE
  )
)</f>
        <v>0</v>
      </c>
      <c r="K48" s="615">
        <f>IF(K$3&gt;inputs!$A$1,
  0,
  SUMIFS(cx_conta[saldo],
    cx_conta[id],$B48,
    cx_conta[data],"&gt;="&amp;EOMONTH(K$3,0)+1,
    cx_conta[data],"&lt;"&amp;EOMONTH(K$3,1)+1,
    cx_conta[soVisualizacao],FALSE
  )
  -SUMIFS(cx_conta[saldo],
    cx_conta[id],$B48,
    cx_conta[data], "&gt;="&amp;K$3,
    cx_conta[data], "&lt;"&amp;EOMONTH(K$3,0)+1,
    cx_conta[soVisualizacao], FALSE
  )
)</f>
        <v>0</v>
      </c>
    </row>
    <row r="49" spans="1:11" x14ac:dyDescent="0.25">
      <c r="A49" s="620">
        <f t="shared" si="2"/>
        <v>46</v>
      </c>
      <c r="B49" s="613" t="str">
        <v>PRO-Itaú-8438</v>
      </c>
      <c r="C49" s="614">
        <f>SUMIFS(cx_conta[saldo],
  cx_conta[id],$B49,
  cx_conta[data], "&gt;="&amp;DATE(YEAR(inputs!$A$1),MONTH(inputs!$A$1+1),1),
  cx_conta[data], "&lt;"&amp;EOMONTH(inputs!$A$1,1)+1,
  cx_conta[soVisualizacao], FALSE
)
-SUMIFS(cx_conta[saldo],
  cx_conta[id],$B49,
  cx_conta[data],"&gt;="&amp;DATE(YEAR(inputs!$A$1),MONTH(inputs!$A$1),1),
  cx_conta[data],"&lt;"&amp;EOMONTH(inputs!$A$1,0),
  cx_conta[soVisualizacao],FALSE
)</f>
        <v>0</v>
      </c>
      <c r="D49" s="614"/>
      <c r="E49" s="614">
        <f t="shared" si="0"/>
        <v>0</v>
      </c>
      <c r="F49" s="352" t="str">
        <f t="shared" si="1"/>
        <v/>
      </c>
      <c r="G49" s="614">
        <f>IF(G$3&gt;inputs!$A$1,
  0,
  SUMIFS(cx_conta[saldo],
    cx_conta[id],$B49,
    cx_conta[data],"&gt;="&amp;EOMONTH(G$3,0)+1,
    cx_conta[data],"&lt;"&amp;EOMONTH(G$3,1)+1,
    cx_conta[soVisualizacao],FALSE
  )
  -SUMIFS(cx_conta[saldo],
    cx_conta[id],$B49,
    cx_conta[data], "&gt;="&amp;G$3,
    cx_conta[data], "&lt;"&amp;EOMONTH(G$3,0)+1,
    cx_conta[soVisualizacao], FALSE
  )
)</f>
        <v>0</v>
      </c>
      <c r="H49" s="614">
        <f>IF(H$3&gt;inputs!$A$1,
  0,
  SUMIFS(cx_conta[saldo],
    cx_conta[id],$B49,
    cx_conta[data],"&gt;="&amp;EOMONTH(H$3,0)+1,
    cx_conta[data],"&lt;"&amp;EOMONTH(H$3,1)+1,
    cx_conta[soVisualizacao],FALSE
  )
  -SUMIFS(cx_conta[saldo],
    cx_conta[id],$B49,
    cx_conta[data], "&gt;="&amp;H$3,
    cx_conta[data], "&lt;"&amp;EOMONTH(H$3,0)+1,
    cx_conta[soVisualizacao], FALSE
  )
)</f>
        <v>0</v>
      </c>
      <c r="I49" s="614">
        <f>IF(I$3&gt;inputs!$A$1,
  0,
  SUMIFS(cx_conta[saldo],
    cx_conta[id],$B49,
    cx_conta[data],"&gt;="&amp;EOMONTH(I$3,0)+1,
    cx_conta[data],"&lt;"&amp;EOMONTH(I$3,1)+1,
    cx_conta[soVisualizacao],FALSE
  )
  -SUMIFS(cx_conta[saldo],
    cx_conta[id],$B49,
    cx_conta[data], "&gt;="&amp;I$3,
    cx_conta[data], "&lt;"&amp;EOMONTH(I$3,0)+1,
    cx_conta[soVisualizacao], FALSE
  )
)</f>
        <v>0</v>
      </c>
      <c r="J49" s="614">
        <f>IF(J$3&gt;inputs!$A$1,
  0,
  SUMIFS(cx_conta[saldo],
    cx_conta[id],$B49,
    cx_conta[data],"&gt;="&amp;EOMONTH(J$3,0)+1,
    cx_conta[data],"&lt;"&amp;EOMONTH(J$3,1)+1,
    cx_conta[soVisualizacao],FALSE
  )
  -SUMIFS(cx_conta[saldo],
    cx_conta[id],$B49,
    cx_conta[data], "&gt;="&amp;J$3,
    cx_conta[data], "&lt;"&amp;EOMONTH(J$3,0)+1,
    cx_conta[soVisualizacao], FALSE
  )
)</f>
        <v>0</v>
      </c>
      <c r="K49" s="615">
        <f>IF(K$3&gt;inputs!$A$1,
  0,
  SUMIFS(cx_conta[saldo],
    cx_conta[id],$B49,
    cx_conta[data],"&gt;="&amp;EOMONTH(K$3,0)+1,
    cx_conta[data],"&lt;"&amp;EOMONTH(K$3,1)+1,
    cx_conta[soVisualizacao],FALSE
  )
  -SUMIFS(cx_conta[saldo],
    cx_conta[id],$B49,
    cx_conta[data], "&gt;="&amp;K$3,
    cx_conta[data], "&lt;"&amp;EOMONTH(K$3,0)+1,
    cx_conta[soVisualizacao], FALSE
  )
)</f>
        <v>0</v>
      </c>
    </row>
    <row r="50" spans="1:11" x14ac:dyDescent="0.25">
      <c r="A50" s="620">
        <f t="shared" si="2"/>
        <v>47</v>
      </c>
      <c r="B50" s="613" t="str">
        <v>SAU-CEF-9248</v>
      </c>
      <c r="C50" s="614">
        <f>SUMIFS(cx_conta[saldo],
  cx_conta[id],$B50,
  cx_conta[data], "&gt;="&amp;DATE(YEAR(inputs!$A$1),MONTH(inputs!$A$1+1),1),
  cx_conta[data], "&lt;"&amp;EOMONTH(inputs!$A$1,1)+1,
  cx_conta[soVisualizacao], FALSE
)
-SUMIFS(cx_conta[saldo],
  cx_conta[id],$B50,
  cx_conta[data],"&gt;="&amp;DATE(YEAR(inputs!$A$1),MONTH(inputs!$A$1),1),
  cx_conta[data],"&lt;"&amp;EOMONTH(inputs!$A$1,0),
  cx_conta[soVisualizacao],FALSE
)</f>
        <v>-86454.41</v>
      </c>
      <c r="D50" s="614"/>
      <c r="E50" s="614">
        <f t="shared" si="0"/>
        <v>86454.41</v>
      </c>
      <c r="F50" s="352">
        <f t="shared" si="1"/>
        <v>-1</v>
      </c>
      <c r="G50" s="614">
        <f>IF(G$3&gt;inputs!$A$1,
  0,
  SUMIFS(cx_conta[saldo],
    cx_conta[id],$B50,
    cx_conta[data],"&gt;="&amp;EOMONTH(G$3,0)+1,
    cx_conta[data],"&lt;"&amp;EOMONTH(G$3,1)+1,
    cx_conta[soVisualizacao],FALSE
  )
  -SUMIFS(cx_conta[saldo],
    cx_conta[id],$B50,
    cx_conta[data], "&gt;="&amp;G$3,
    cx_conta[data], "&lt;"&amp;EOMONTH(G$3,0)+1,
    cx_conta[soVisualizacao], FALSE
  )
)</f>
        <v>-86454.41</v>
      </c>
      <c r="H50" s="614">
        <f>IF(H$3&gt;inputs!$A$1,
  0,
  SUMIFS(cx_conta[saldo],
    cx_conta[id],$B50,
    cx_conta[data],"&gt;="&amp;EOMONTH(H$3,0)+1,
    cx_conta[data],"&lt;"&amp;EOMONTH(H$3,1)+1,
    cx_conta[soVisualizacao],FALSE
  )
  -SUMIFS(cx_conta[saldo],
    cx_conta[id],$B50,
    cx_conta[data], "&gt;="&amp;H$3,
    cx_conta[data], "&lt;"&amp;EOMONTH(H$3,0)+1,
    cx_conta[soVisualizacao], FALSE
  )
)</f>
        <v>0</v>
      </c>
      <c r="I50" s="614">
        <f>IF(I$3&gt;inputs!$A$1,
  0,
  SUMIFS(cx_conta[saldo],
    cx_conta[id],$B50,
    cx_conta[data],"&gt;="&amp;EOMONTH(I$3,0)+1,
    cx_conta[data],"&lt;"&amp;EOMONTH(I$3,1)+1,
    cx_conta[soVisualizacao],FALSE
  )
  -SUMIFS(cx_conta[saldo],
    cx_conta[id],$B50,
    cx_conta[data], "&gt;="&amp;I$3,
    cx_conta[data], "&lt;"&amp;EOMONTH(I$3,0)+1,
    cx_conta[soVisualizacao], FALSE
  )
)</f>
        <v>0</v>
      </c>
      <c r="J50" s="614">
        <f>IF(J$3&gt;inputs!$A$1,
  0,
  SUMIFS(cx_conta[saldo],
    cx_conta[id],$B50,
    cx_conta[data],"&gt;="&amp;EOMONTH(J$3,0)+1,
    cx_conta[data],"&lt;"&amp;EOMONTH(J$3,1)+1,
    cx_conta[soVisualizacao],FALSE
  )
  -SUMIFS(cx_conta[saldo],
    cx_conta[id],$B50,
    cx_conta[data], "&gt;="&amp;J$3,
    cx_conta[data], "&lt;"&amp;EOMONTH(J$3,0)+1,
    cx_conta[soVisualizacao], FALSE
  )
)</f>
        <v>0</v>
      </c>
      <c r="K50" s="615">
        <f>IF(K$3&gt;inputs!$A$1,
  0,
  SUMIFS(cx_conta[saldo],
    cx_conta[id],$B50,
    cx_conta[data],"&gt;="&amp;EOMONTH(K$3,0)+1,
    cx_conta[data],"&lt;"&amp;EOMONTH(K$3,1)+1,
    cx_conta[soVisualizacao],FALSE
  )
  -SUMIFS(cx_conta[saldo],
    cx_conta[id],$B50,
    cx_conta[data], "&gt;="&amp;K$3,
    cx_conta[data], "&lt;"&amp;EOMONTH(K$3,0)+1,
    cx_conta[soVisualizacao], FALSE
  )
)</f>
        <v>0</v>
      </c>
    </row>
    <row r="51" spans="1:11" x14ac:dyDescent="0.25">
      <c r="A51" s="620">
        <f t="shared" si="2"/>
        <v>48</v>
      </c>
      <c r="B51" s="613" t="str">
        <v>SAU-Itaú-6609</v>
      </c>
      <c r="C51" s="614">
        <f>SUMIFS(cx_conta[saldo],
  cx_conta[id],$B51,
  cx_conta[data], "&gt;="&amp;DATE(YEAR(inputs!$A$1),MONTH(inputs!$A$1+1),1),
  cx_conta[data], "&lt;"&amp;EOMONTH(inputs!$A$1,1)+1,
  cx_conta[soVisualizacao], FALSE
)
-SUMIFS(cx_conta[saldo],
  cx_conta[id],$B51,
  cx_conta[data],"&gt;="&amp;DATE(YEAR(inputs!$A$1),MONTH(inputs!$A$1),1),
  cx_conta[data],"&lt;"&amp;EOMONTH(inputs!$A$1,0),
  cx_conta[soVisualizacao],FALSE
)</f>
        <v>2046.7399999999998</v>
      </c>
      <c r="D51" s="614"/>
      <c r="E51" s="614">
        <f t="shared" si="0"/>
        <v>-2046.7399999999998</v>
      </c>
      <c r="F51" s="352">
        <f t="shared" si="1"/>
        <v>-1</v>
      </c>
      <c r="G51" s="614">
        <f>IF(G$3&gt;inputs!$A$1,
  0,
  SUMIFS(cx_conta[saldo],
    cx_conta[id],$B51,
    cx_conta[data],"&gt;="&amp;EOMONTH(G$3,0)+1,
    cx_conta[data],"&lt;"&amp;EOMONTH(G$3,1)+1,
    cx_conta[soVisualizacao],FALSE
  )
  -SUMIFS(cx_conta[saldo],
    cx_conta[id],$B51,
    cx_conta[data], "&gt;="&amp;G$3,
    cx_conta[data], "&lt;"&amp;EOMONTH(G$3,0)+1,
    cx_conta[soVisualizacao], FALSE
  )
)</f>
        <v>2046.7399999999998</v>
      </c>
      <c r="H51" s="614">
        <f>IF(H$3&gt;inputs!$A$1,
  0,
  SUMIFS(cx_conta[saldo],
    cx_conta[id],$B51,
    cx_conta[data],"&gt;="&amp;EOMONTH(H$3,0)+1,
    cx_conta[data],"&lt;"&amp;EOMONTH(H$3,1)+1,
    cx_conta[soVisualizacao],FALSE
  )
  -SUMIFS(cx_conta[saldo],
    cx_conta[id],$B51,
    cx_conta[data], "&gt;="&amp;H$3,
    cx_conta[data], "&lt;"&amp;EOMONTH(H$3,0)+1,
    cx_conta[soVisualizacao], FALSE
  )
)</f>
        <v>0</v>
      </c>
      <c r="I51" s="614">
        <f>IF(I$3&gt;inputs!$A$1,
  0,
  SUMIFS(cx_conta[saldo],
    cx_conta[id],$B51,
    cx_conta[data],"&gt;="&amp;EOMONTH(I$3,0)+1,
    cx_conta[data],"&lt;"&amp;EOMONTH(I$3,1)+1,
    cx_conta[soVisualizacao],FALSE
  )
  -SUMIFS(cx_conta[saldo],
    cx_conta[id],$B51,
    cx_conta[data], "&gt;="&amp;I$3,
    cx_conta[data], "&lt;"&amp;EOMONTH(I$3,0)+1,
    cx_conta[soVisualizacao], FALSE
  )
)</f>
        <v>0</v>
      </c>
      <c r="J51" s="614">
        <f>IF(J$3&gt;inputs!$A$1,
  0,
  SUMIFS(cx_conta[saldo],
    cx_conta[id],$B51,
    cx_conta[data],"&gt;="&amp;EOMONTH(J$3,0)+1,
    cx_conta[data],"&lt;"&amp;EOMONTH(J$3,1)+1,
    cx_conta[soVisualizacao],FALSE
  )
  -SUMIFS(cx_conta[saldo],
    cx_conta[id],$B51,
    cx_conta[data], "&gt;="&amp;J$3,
    cx_conta[data], "&lt;"&amp;EOMONTH(J$3,0)+1,
    cx_conta[soVisualizacao], FALSE
  )
)</f>
        <v>0</v>
      </c>
      <c r="K51" s="615">
        <f>IF(K$3&gt;inputs!$A$1,
  0,
  SUMIFS(cx_conta[saldo],
    cx_conta[id],$B51,
    cx_conta[data],"&gt;="&amp;EOMONTH(K$3,0)+1,
    cx_conta[data],"&lt;"&amp;EOMONTH(K$3,1)+1,
    cx_conta[soVisualizacao],FALSE
  )
  -SUMIFS(cx_conta[saldo],
    cx_conta[id],$B51,
    cx_conta[data], "&gt;="&amp;K$3,
    cx_conta[data], "&lt;"&amp;EOMONTH(K$3,0)+1,
    cx_conta[soVisualizacao], FALSE
  )
)</f>
        <v>0</v>
      </c>
    </row>
    <row r="52" spans="1:11" x14ac:dyDescent="0.25">
      <c r="A52" s="620">
        <f t="shared" si="2"/>
        <v>49</v>
      </c>
      <c r="B52" s="613" t="str">
        <v>SBB-CEF-4730</v>
      </c>
      <c r="C52" s="614">
        <f>SUMIFS(cx_conta[saldo],
  cx_conta[id],$B52,
  cx_conta[data], "&gt;="&amp;DATE(YEAR(inputs!$A$1),MONTH(inputs!$A$1+1),1),
  cx_conta[data], "&lt;"&amp;EOMONTH(inputs!$A$1,1)+1,
  cx_conta[soVisualizacao], FALSE
)
-SUMIFS(cx_conta[saldo],
  cx_conta[id],$B52,
  cx_conta[data],"&gt;="&amp;DATE(YEAR(inputs!$A$1),MONTH(inputs!$A$1),1),
  cx_conta[data],"&lt;"&amp;EOMONTH(inputs!$A$1,0),
  cx_conta[soVisualizacao],FALSE
)</f>
        <v>0</v>
      </c>
      <c r="D52" s="614"/>
      <c r="E52" s="614">
        <f t="shared" si="0"/>
        <v>0</v>
      </c>
      <c r="F52" s="352" t="str">
        <f t="shared" si="1"/>
        <v/>
      </c>
      <c r="G52" s="614">
        <f>IF(G$3&gt;inputs!$A$1,
  0,
  SUMIFS(cx_conta[saldo],
    cx_conta[id],$B52,
    cx_conta[data],"&gt;="&amp;EOMONTH(G$3,0)+1,
    cx_conta[data],"&lt;"&amp;EOMONTH(G$3,1)+1,
    cx_conta[soVisualizacao],FALSE
  )
  -SUMIFS(cx_conta[saldo],
    cx_conta[id],$B52,
    cx_conta[data], "&gt;="&amp;G$3,
    cx_conta[data], "&lt;"&amp;EOMONTH(G$3,0)+1,
    cx_conta[soVisualizacao], FALSE
  )
)</f>
        <v>0</v>
      </c>
      <c r="H52" s="614">
        <f>IF(H$3&gt;inputs!$A$1,
  0,
  SUMIFS(cx_conta[saldo],
    cx_conta[id],$B52,
    cx_conta[data],"&gt;="&amp;EOMONTH(H$3,0)+1,
    cx_conta[data],"&lt;"&amp;EOMONTH(H$3,1)+1,
    cx_conta[soVisualizacao],FALSE
  )
  -SUMIFS(cx_conta[saldo],
    cx_conta[id],$B52,
    cx_conta[data], "&gt;="&amp;H$3,
    cx_conta[data], "&lt;"&amp;EOMONTH(H$3,0)+1,
    cx_conta[soVisualizacao], FALSE
  )
)</f>
        <v>0</v>
      </c>
      <c r="I52" s="614">
        <f>IF(I$3&gt;inputs!$A$1,
  0,
  SUMIFS(cx_conta[saldo],
    cx_conta[id],$B52,
    cx_conta[data],"&gt;="&amp;EOMONTH(I$3,0)+1,
    cx_conta[data],"&lt;"&amp;EOMONTH(I$3,1)+1,
    cx_conta[soVisualizacao],FALSE
  )
  -SUMIFS(cx_conta[saldo],
    cx_conta[id],$B52,
    cx_conta[data], "&gt;="&amp;I$3,
    cx_conta[data], "&lt;"&amp;EOMONTH(I$3,0)+1,
    cx_conta[soVisualizacao], FALSE
  )
)</f>
        <v>0</v>
      </c>
      <c r="J52" s="614">
        <f>IF(J$3&gt;inputs!$A$1,
  0,
  SUMIFS(cx_conta[saldo],
    cx_conta[id],$B52,
    cx_conta[data],"&gt;="&amp;EOMONTH(J$3,0)+1,
    cx_conta[data],"&lt;"&amp;EOMONTH(J$3,1)+1,
    cx_conta[soVisualizacao],FALSE
  )
  -SUMIFS(cx_conta[saldo],
    cx_conta[id],$B52,
    cx_conta[data], "&gt;="&amp;J$3,
    cx_conta[data], "&lt;"&amp;EOMONTH(J$3,0)+1,
    cx_conta[soVisualizacao], FALSE
  )
)</f>
        <v>0</v>
      </c>
      <c r="K52" s="615">
        <f>IF(K$3&gt;inputs!$A$1,
  0,
  SUMIFS(cx_conta[saldo],
    cx_conta[id],$B52,
    cx_conta[data],"&gt;="&amp;EOMONTH(K$3,0)+1,
    cx_conta[data],"&lt;"&amp;EOMONTH(K$3,1)+1,
    cx_conta[soVisualizacao],FALSE
  )
  -SUMIFS(cx_conta[saldo],
    cx_conta[id],$B52,
    cx_conta[data], "&gt;="&amp;K$3,
    cx_conta[data], "&lt;"&amp;EOMONTH(K$3,0)+1,
    cx_conta[soVisualizacao], FALSE
  )
)</f>
        <v>0</v>
      </c>
    </row>
    <row r="53" spans="1:11" x14ac:dyDescent="0.25">
      <c r="A53" s="620">
        <f t="shared" si="2"/>
        <v>50</v>
      </c>
      <c r="B53" s="613" t="str">
        <v>SBB-Itaú-6369</v>
      </c>
      <c r="C53" s="614">
        <f>SUMIFS(cx_conta[saldo],
  cx_conta[id],$B53,
  cx_conta[data], "&gt;="&amp;DATE(YEAR(inputs!$A$1),MONTH(inputs!$A$1+1),1),
  cx_conta[data], "&lt;"&amp;EOMONTH(inputs!$A$1,1)+1,
  cx_conta[soVisualizacao], FALSE
)
-SUMIFS(cx_conta[saldo],
  cx_conta[id],$B53,
  cx_conta[data],"&gt;="&amp;DATE(YEAR(inputs!$A$1),MONTH(inputs!$A$1),1),
  cx_conta[data],"&lt;"&amp;EOMONTH(inputs!$A$1,0),
  cx_conta[soVisualizacao],FALSE
)</f>
        <v>10138.1</v>
      </c>
      <c r="D53" s="614"/>
      <c r="E53" s="614">
        <f t="shared" si="0"/>
        <v>-10138.1</v>
      </c>
      <c r="F53" s="352">
        <f t="shared" si="1"/>
        <v>-1</v>
      </c>
      <c r="G53" s="614">
        <f>IF(G$3&gt;inputs!$A$1,
  0,
  SUMIFS(cx_conta[saldo],
    cx_conta[id],$B53,
    cx_conta[data],"&gt;="&amp;EOMONTH(G$3,0)+1,
    cx_conta[data],"&lt;"&amp;EOMONTH(G$3,1)+1,
    cx_conta[soVisualizacao],FALSE
  )
  -SUMIFS(cx_conta[saldo],
    cx_conta[id],$B53,
    cx_conta[data], "&gt;="&amp;G$3,
    cx_conta[data], "&lt;"&amp;EOMONTH(G$3,0)+1,
    cx_conta[soVisualizacao], FALSE
  )
)</f>
        <v>10138.1</v>
      </c>
      <c r="H53" s="614">
        <f>IF(H$3&gt;inputs!$A$1,
  0,
  SUMIFS(cx_conta[saldo],
    cx_conta[id],$B53,
    cx_conta[data],"&gt;="&amp;EOMONTH(H$3,0)+1,
    cx_conta[data],"&lt;"&amp;EOMONTH(H$3,1)+1,
    cx_conta[soVisualizacao],FALSE
  )
  -SUMIFS(cx_conta[saldo],
    cx_conta[id],$B53,
    cx_conta[data], "&gt;="&amp;H$3,
    cx_conta[data], "&lt;"&amp;EOMONTH(H$3,0)+1,
    cx_conta[soVisualizacao], FALSE
  )
)</f>
        <v>0</v>
      </c>
      <c r="I53" s="614">
        <f>IF(I$3&gt;inputs!$A$1,
  0,
  SUMIFS(cx_conta[saldo],
    cx_conta[id],$B53,
    cx_conta[data],"&gt;="&amp;EOMONTH(I$3,0)+1,
    cx_conta[data],"&lt;"&amp;EOMONTH(I$3,1)+1,
    cx_conta[soVisualizacao],FALSE
  )
  -SUMIFS(cx_conta[saldo],
    cx_conta[id],$B53,
    cx_conta[data], "&gt;="&amp;I$3,
    cx_conta[data], "&lt;"&amp;EOMONTH(I$3,0)+1,
    cx_conta[soVisualizacao], FALSE
  )
)</f>
        <v>0</v>
      </c>
      <c r="J53" s="614">
        <f>IF(J$3&gt;inputs!$A$1,
  0,
  SUMIFS(cx_conta[saldo],
    cx_conta[id],$B53,
    cx_conta[data],"&gt;="&amp;EOMONTH(J$3,0)+1,
    cx_conta[data],"&lt;"&amp;EOMONTH(J$3,1)+1,
    cx_conta[soVisualizacao],FALSE
  )
  -SUMIFS(cx_conta[saldo],
    cx_conta[id],$B53,
    cx_conta[data], "&gt;="&amp;J$3,
    cx_conta[data], "&lt;"&amp;EOMONTH(J$3,0)+1,
    cx_conta[soVisualizacao], FALSE
  )
)</f>
        <v>0</v>
      </c>
      <c r="K53" s="615">
        <f>IF(K$3&gt;inputs!$A$1,
  0,
  SUMIFS(cx_conta[saldo],
    cx_conta[id],$B53,
    cx_conta[data],"&gt;="&amp;EOMONTH(K$3,0)+1,
    cx_conta[data],"&lt;"&amp;EOMONTH(K$3,1)+1,
    cx_conta[soVisualizacao],FALSE
  )
  -SUMIFS(cx_conta[saldo],
    cx_conta[id],$B53,
    cx_conta[data], "&gt;="&amp;K$3,
    cx_conta[data], "&lt;"&amp;EOMONTH(K$3,0)+1,
    cx_conta[soVisualizacao], FALSE
  )
)</f>
        <v>0</v>
      </c>
    </row>
    <row r="54" spans="1:11" x14ac:dyDescent="0.25">
      <c r="A54" s="620">
        <f t="shared" si="2"/>
        <v>51</v>
      </c>
      <c r="B54" s="613" t="str">
        <v>SN2-CEF-3249</v>
      </c>
      <c r="C54" s="614">
        <f>SUMIFS(cx_conta[saldo],
  cx_conta[id],$B54,
  cx_conta[data], "&gt;="&amp;DATE(YEAR(inputs!$A$1),MONTH(inputs!$A$1+1),1),
  cx_conta[data], "&lt;"&amp;EOMONTH(inputs!$A$1,1)+1,
  cx_conta[soVisualizacao], FALSE
)
-SUMIFS(cx_conta[saldo],
  cx_conta[id],$B54,
  cx_conta[data],"&gt;="&amp;DATE(YEAR(inputs!$A$1),MONTH(inputs!$A$1),1),
  cx_conta[data],"&lt;"&amp;EOMONTH(inputs!$A$1,0),
  cx_conta[soVisualizacao],FALSE
)</f>
        <v>-2279690.23</v>
      </c>
      <c r="D54" s="614"/>
      <c r="E54" s="614">
        <f t="shared" si="0"/>
        <v>2279690.23</v>
      </c>
      <c r="F54" s="352">
        <f t="shared" si="1"/>
        <v>-1</v>
      </c>
      <c r="G54" s="614">
        <f>IF(G$3&gt;inputs!$A$1,
  0,
  SUMIFS(cx_conta[saldo],
    cx_conta[id],$B54,
    cx_conta[data],"&gt;="&amp;EOMONTH(G$3,0)+1,
    cx_conta[data],"&lt;"&amp;EOMONTH(G$3,1)+1,
    cx_conta[soVisualizacao],FALSE
  )
  -SUMIFS(cx_conta[saldo],
    cx_conta[id],$B54,
    cx_conta[data], "&gt;="&amp;G$3,
    cx_conta[data], "&lt;"&amp;EOMONTH(G$3,0)+1,
    cx_conta[soVisualizacao], FALSE
  )
)</f>
        <v>-2279690.23</v>
      </c>
      <c r="H54" s="614">
        <f>IF(H$3&gt;inputs!$A$1,
  0,
  SUMIFS(cx_conta[saldo],
    cx_conta[id],$B54,
    cx_conta[data],"&gt;="&amp;EOMONTH(H$3,0)+1,
    cx_conta[data],"&lt;"&amp;EOMONTH(H$3,1)+1,
    cx_conta[soVisualizacao],FALSE
  )
  -SUMIFS(cx_conta[saldo],
    cx_conta[id],$B54,
    cx_conta[data], "&gt;="&amp;H$3,
    cx_conta[data], "&lt;"&amp;EOMONTH(H$3,0)+1,
    cx_conta[soVisualizacao], FALSE
  )
)</f>
        <v>0</v>
      </c>
      <c r="I54" s="614">
        <f>IF(I$3&gt;inputs!$A$1,
  0,
  SUMIFS(cx_conta[saldo],
    cx_conta[id],$B54,
    cx_conta[data],"&gt;="&amp;EOMONTH(I$3,0)+1,
    cx_conta[data],"&lt;"&amp;EOMONTH(I$3,1)+1,
    cx_conta[soVisualizacao],FALSE
  )
  -SUMIFS(cx_conta[saldo],
    cx_conta[id],$B54,
    cx_conta[data], "&gt;="&amp;I$3,
    cx_conta[data], "&lt;"&amp;EOMONTH(I$3,0)+1,
    cx_conta[soVisualizacao], FALSE
  )
)</f>
        <v>0</v>
      </c>
      <c r="J54" s="614">
        <f>IF(J$3&gt;inputs!$A$1,
  0,
  SUMIFS(cx_conta[saldo],
    cx_conta[id],$B54,
    cx_conta[data],"&gt;="&amp;EOMONTH(J$3,0)+1,
    cx_conta[data],"&lt;"&amp;EOMONTH(J$3,1)+1,
    cx_conta[soVisualizacao],FALSE
  )
  -SUMIFS(cx_conta[saldo],
    cx_conta[id],$B54,
    cx_conta[data], "&gt;="&amp;J$3,
    cx_conta[data], "&lt;"&amp;EOMONTH(J$3,0)+1,
    cx_conta[soVisualizacao], FALSE
  )
)</f>
        <v>0</v>
      </c>
      <c r="K54" s="615">
        <f>IF(K$3&gt;inputs!$A$1,
  0,
  SUMIFS(cx_conta[saldo],
    cx_conta[id],$B54,
    cx_conta[data],"&gt;="&amp;EOMONTH(K$3,0)+1,
    cx_conta[data],"&lt;"&amp;EOMONTH(K$3,1)+1,
    cx_conta[soVisualizacao],FALSE
  )
  -SUMIFS(cx_conta[saldo],
    cx_conta[id],$B54,
    cx_conta[data], "&gt;="&amp;K$3,
    cx_conta[data], "&lt;"&amp;EOMONTH(K$3,0)+1,
    cx_conta[soVisualizacao], FALSE
  )
)</f>
        <v>0</v>
      </c>
    </row>
    <row r="55" spans="1:11" x14ac:dyDescent="0.25">
      <c r="A55" s="620">
        <f t="shared" si="2"/>
        <v>52</v>
      </c>
      <c r="B55" s="613" t="str">
        <v>SN2-Itaú-7565</v>
      </c>
      <c r="C55" s="614">
        <f>SUMIFS(cx_conta[saldo],
  cx_conta[id],$B55,
  cx_conta[data], "&gt;="&amp;DATE(YEAR(inputs!$A$1),MONTH(inputs!$A$1+1),1),
  cx_conta[data], "&lt;"&amp;EOMONTH(inputs!$A$1,1)+1,
  cx_conta[soVisualizacao], FALSE
)
-SUMIFS(cx_conta[saldo],
  cx_conta[id],$B55,
  cx_conta[data],"&gt;="&amp;DATE(YEAR(inputs!$A$1),MONTH(inputs!$A$1),1),
  cx_conta[data],"&lt;"&amp;EOMONTH(inputs!$A$1,0),
  cx_conta[soVisualizacao],FALSE
)</f>
        <v>-11470.71</v>
      </c>
      <c r="D55" s="614"/>
      <c r="E55" s="614">
        <f t="shared" si="0"/>
        <v>11470.71</v>
      </c>
      <c r="F55" s="352">
        <f t="shared" si="1"/>
        <v>-1</v>
      </c>
      <c r="G55" s="614">
        <f>IF(G$3&gt;inputs!$A$1,
  0,
  SUMIFS(cx_conta[saldo],
    cx_conta[id],$B55,
    cx_conta[data],"&gt;="&amp;EOMONTH(G$3,0)+1,
    cx_conta[data],"&lt;"&amp;EOMONTH(G$3,1)+1,
    cx_conta[soVisualizacao],FALSE
  )
  -SUMIFS(cx_conta[saldo],
    cx_conta[id],$B55,
    cx_conta[data], "&gt;="&amp;G$3,
    cx_conta[data], "&lt;"&amp;EOMONTH(G$3,0)+1,
    cx_conta[soVisualizacao], FALSE
  )
)</f>
        <v>-11470.71</v>
      </c>
      <c r="H55" s="614">
        <f>IF(H$3&gt;inputs!$A$1,
  0,
  SUMIFS(cx_conta[saldo],
    cx_conta[id],$B55,
    cx_conta[data],"&gt;="&amp;EOMONTH(H$3,0)+1,
    cx_conta[data],"&lt;"&amp;EOMONTH(H$3,1)+1,
    cx_conta[soVisualizacao],FALSE
  )
  -SUMIFS(cx_conta[saldo],
    cx_conta[id],$B55,
    cx_conta[data], "&gt;="&amp;H$3,
    cx_conta[data], "&lt;"&amp;EOMONTH(H$3,0)+1,
    cx_conta[soVisualizacao], FALSE
  )
)</f>
        <v>0</v>
      </c>
      <c r="I55" s="614">
        <f>IF(I$3&gt;inputs!$A$1,
  0,
  SUMIFS(cx_conta[saldo],
    cx_conta[id],$B55,
    cx_conta[data],"&gt;="&amp;EOMONTH(I$3,0)+1,
    cx_conta[data],"&lt;"&amp;EOMONTH(I$3,1)+1,
    cx_conta[soVisualizacao],FALSE
  )
  -SUMIFS(cx_conta[saldo],
    cx_conta[id],$B55,
    cx_conta[data], "&gt;="&amp;I$3,
    cx_conta[data], "&lt;"&amp;EOMONTH(I$3,0)+1,
    cx_conta[soVisualizacao], FALSE
  )
)</f>
        <v>0</v>
      </c>
      <c r="J55" s="614">
        <f>IF(J$3&gt;inputs!$A$1,
  0,
  SUMIFS(cx_conta[saldo],
    cx_conta[id],$B55,
    cx_conta[data],"&gt;="&amp;EOMONTH(J$3,0)+1,
    cx_conta[data],"&lt;"&amp;EOMONTH(J$3,1)+1,
    cx_conta[soVisualizacao],FALSE
  )
  -SUMIFS(cx_conta[saldo],
    cx_conta[id],$B55,
    cx_conta[data], "&gt;="&amp;J$3,
    cx_conta[data], "&lt;"&amp;EOMONTH(J$3,0)+1,
    cx_conta[soVisualizacao], FALSE
  )
)</f>
        <v>0</v>
      </c>
      <c r="K55" s="615">
        <f>IF(K$3&gt;inputs!$A$1,
  0,
  SUMIFS(cx_conta[saldo],
    cx_conta[id],$B55,
    cx_conta[data],"&gt;="&amp;EOMONTH(K$3,0)+1,
    cx_conta[data],"&lt;"&amp;EOMONTH(K$3,1)+1,
    cx_conta[soVisualizacao],FALSE
  )
  -SUMIFS(cx_conta[saldo],
    cx_conta[id],$B55,
    cx_conta[data], "&gt;="&amp;K$3,
    cx_conta[data], "&lt;"&amp;EOMONTH(K$3,0)+1,
    cx_conta[soVisualizacao], FALSE
  )
)</f>
        <v>0</v>
      </c>
    </row>
    <row r="56" spans="1:11" x14ac:dyDescent="0.25">
      <c r="A56" s="620">
        <f t="shared" si="2"/>
        <v>53</v>
      </c>
      <c r="B56" s="613" t="str">
        <v>SN2-QI Tech-3327</v>
      </c>
      <c r="C56" s="614">
        <f>SUMIFS(cx_conta[saldo],
  cx_conta[id],$B56,
  cx_conta[data], "&gt;="&amp;DATE(YEAR(inputs!$A$1),MONTH(inputs!$A$1+1),1),
  cx_conta[data], "&lt;"&amp;EOMONTH(inputs!$A$1,1)+1,
  cx_conta[soVisualizacao], FALSE
)
-SUMIFS(cx_conta[saldo],
  cx_conta[id],$B56,
  cx_conta[data],"&gt;="&amp;DATE(YEAR(inputs!$A$1),MONTH(inputs!$A$1),1),
  cx_conta[data],"&lt;"&amp;EOMONTH(inputs!$A$1,0),
  cx_conta[soVisualizacao],FALSE
)</f>
        <v>0</v>
      </c>
      <c r="D56" s="614"/>
      <c r="E56" s="614">
        <f t="shared" si="0"/>
        <v>0</v>
      </c>
      <c r="F56" s="352" t="str">
        <f t="shared" si="1"/>
        <v/>
      </c>
      <c r="G56" s="614">
        <f>IF(G$3&gt;inputs!$A$1,
  0,
  SUMIFS(cx_conta[saldo],
    cx_conta[id],$B56,
    cx_conta[data],"&gt;="&amp;EOMONTH(G$3,0)+1,
    cx_conta[data],"&lt;"&amp;EOMONTH(G$3,1)+1,
    cx_conta[soVisualizacao],FALSE
  )
  -SUMIFS(cx_conta[saldo],
    cx_conta[id],$B56,
    cx_conta[data], "&gt;="&amp;G$3,
    cx_conta[data], "&lt;"&amp;EOMONTH(G$3,0)+1,
    cx_conta[soVisualizacao], FALSE
  )
)</f>
        <v>0</v>
      </c>
      <c r="H56" s="614">
        <f>IF(H$3&gt;inputs!$A$1,
  0,
  SUMIFS(cx_conta[saldo],
    cx_conta[id],$B56,
    cx_conta[data],"&gt;="&amp;EOMONTH(H$3,0)+1,
    cx_conta[data],"&lt;"&amp;EOMONTH(H$3,1)+1,
    cx_conta[soVisualizacao],FALSE
  )
  -SUMIFS(cx_conta[saldo],
    cx_conta[id],$B56,
    cx_conta[data], "&gt;="&amp;H$3,
    cx_conta[data], "&lt;"&amp;EOMONTH(H$3,0)+1,
    cx_conta[soVisualizacao], FALSE
  )
)</f>
        <v>0</v>
      </c>
      <c r="I56" s="614">
        <f>IF(I$3&gt;inputs!$A$1,
  0,
  SUMIFS(cx_conta[saldo],
    cx_conta[id],$B56,
    cx_conta[data],"&gt;="&amp;EOMONTH(I$3,0)+1,
    cx_conta[data],"&lt;"&amp;EOMONTH(I$3,1)+1,
    cx_conta[soVisualizacao],FALSE
  )
  -SUMIFS(cx_conta[saldo],
    cx_conta[id],$B56,
    cx_conta[data], "&gt;="&amp;I$3,
    cx_conta[data], "&lt;"&amp;EOMONTH(I$3,0)+1,
    cx_conta[soVisualizacao], FALSE
  )
)</f>
        <v>0</v>
      </c>
      <c r="J56" s="614">
        <f>IF(J$3&gt;inputs!$A$1,
  0,
  SUMIFS(cx_conta[saldo],
    cx_conta[id],$B56,
    cx_conta[data],"&gt;="&amp;EOMONTH(J$3,0)+1,
    cx_conta[data],"&lt;"&amp;EOMONTH(J$3,1)+1,
    cx_conta[soVisualizacao],FALSE
  )
  -SUMIFS(cx_conta[saldo],
    cx_conta[id],$B56,
    cx_conta[data], "&gt;="&amp;J$3,
    cx_conta[data], "&lt;"&amp;EOMONTH(J$3,0)+1,
    cx_conta[soVisualizacao], FALSE
  )
)</f>
        <v>0</v>
      </c>
      <c r="K56" s="615">
        <f>IF(K$3&gt;inputs!$A$1,
  0,
  SUMIFS(cx_conta[saldo],
    cx_conta[id],$B56,
    cx_conta[data],"&gt;="&amp;EOMONTH(K$3,0)+1,
    cx_conta[data],"&lt;"&amp;EOMONTH(K$3,1)+1,
    cx_conta[soVisualizacao],FALSE
  )
  -SUMIFS(cx_conta[saldo],
    cx_conta[id],$B56,
    cx_conta[data], "&gt;="&amp;K$3,
    cx_conta[data], "&lt;"&amp;EOMONTH(K$3,0)+1,
    cx_conta[soVisualizacao], FALSE
  )
)</f>
        <v>0</v>
      </c>
    </row>
    <row r="57" spans="1:11" x14ac:dyDescent="0.25">
      <c r="A57" s="620">
        <f t="shared" si="2"/>
        <v>54</v>
      </c>
      <c r="B57" s="613" t="str">
        <v>SN4-CEF-0319</v>
      </c>
      <c r="C57" s="614">
        <f>SUMIFS(cx_conta[saldo],
  cx_conta[id],$B57,
  cx_conta[data], "&gt;="&amp;DATE(YEAR(inputs!$A$1),MONTH(inputs!$A$1+1),1),
  cx_conta[data], "&lt;"&amp;EOMONTH(inputs!$A$1,1)+1,
  cx_conta[soVisualizacao], FALSE
)
-SUMIFS(cx_conta[saldo],
  cx_conta[id],$B57,
  cx_conta[data],"&gt;="&amp;DATE(YEAR(inputs!$A$1),MONTH(inputs!$A$1),1),
  cx_conta[data],"&lt;"&amp;EOMONTH(inputs!$A$1,0),
  cx_conta[soVisualizacao],FALSE
)</f>
        <v>-1263009.8499999999</v>
      </c>
      <c r="D57" s="614"/>
      <c r="E57" s="614">
        <f t="shared" si="0"/>
        <v>1263009.8499999999</v>
      </c>
      <c r="F57" s="352">
        <f t="shared" si="1"/>
        <v>-1</v>
      </c>
      <c r="G57" s="614">
        <f>IF(G$3&gt;inputs!$A$1,
  0,
  SUMIFS(cx_conta[saldo],
    cx_conta[id],$B57,
    cx_conta[data],"&gt;="&amp;EOMONTH(G$3,0)+1,
    cx_conta[data],"&lt;"&amp;EOMONTH(G$3,1)+1,
    cx_conta[soVisualizacao],FALSE
  )
  -SUMIFS(cx_conta[saldo],
    cx_conta[id],$B57,
    cx_conta[data], "&gt;="&amp;G$3,
    cx_conta[data], "&lt;"&amp;EOMONTH(G$3,0)+1,
    cx_conta[soVisualizacao], FALSE
  )
)</f>
        <v>-1263009.8499999999</v>
      </c>
      <c r="H57" s="614">
        <f>IF(H$3&gt;inputs!$A$1,
  0,
  SUMIFS(cx_conta[saldo],
    cx_conta[id],$B57,
    cx_conta[data],"&gt;="&amp;EOMONTH(H$3,0)+1,
    cx_conta[data],"&lt;"&amp;EOMONTH(H$3,1)+1,
    cx_conta[soVisualizacao],FALSE
  )
  -SUMIFS(cx_conta[saldo],
    cx_conta[id],$B57,
    cx_conta[data], "&gt;="&amp;H$3,
    cx_conta[data], "&lt;"&amp;EOMONTH(H$3,0)+1,
    cx_conta[soVisualizacao], FALSE
  )
)</f>
        <v>0</v>
      </c>
      <c r="I57" s="614">
        <f>IF(I$3&gt;inputs!$A$1,
  0,
  SUMIFS(cx_conta[saldo],
    cx_conta[id],$B57,
    cx_conta[data],"&gt;="&amp;EOMONTH(I$3,0)+1,
    cx_conta[data],"&lt;"&amp;EOMONTH(I$3,1)+1,
    cx_conta[soVisualizacao],FALSE
  )
  -SUMIFS(cx_conta[saldo],
    cx_conta[id],$B57,
    cx_conta[data], "&gt;="&amp;I$3,
    cx_conta[data], "&lt;"&amp;EOMONTH(I$3,0)+1,
    cx_conta[soVisualizacao], FALSE
  )
)</f>
        <v>0</v>
      </c>
      <c r="J57" s="614">
        <f>IF(J$3&gt;inputs!$A$1,
  0,
  SUMIFS(cx_conta[saldo],
    cx_conta[id],$B57,
    cx_conta[data],"&gt;="&amp;EOMONTH(J$3,0)+1,
    cx_conta[data],"&lt;"&amp;EOMONTH(J$3,1)+1,
    cx_conta[soVisualizacao],FALSE
  )
  -SUMIFS(cx_conta[saldo],
    cx_conta[id],$B57,
    cx_conta[data], "&gt;="&amp;J$3,
    cx_conta[data], "&lt;"&amp;EOMONTH(J$3,0)+1,
    cx_conta[soVisualizacao], FALSE
  )
)</f>
        <v>0</v>
      </c>
      <c r="K57" s="615">
        <f>IF(K$3&gt;inputs!$A$1,
  0,
  SUMIFS(cx_conta[saldo],
    cx_conta[id],$B57,
    cx_conta[data],"&gt;="&amp;EOMONTH(K$3,0)+1,
    cx_conta[data],"&lt;"&amp;EOMONTH(K$3,1)+1,
    cx_conta[soVisualizacao],FALSE
  )
  -SUMIFS(cx_conta[saldo],
    cx_conta[id],$B57,
    cx_conta[data], "&gt;="&amp;K$3,
    cx_conta[data], "&lt;"&amp;EOMONTH(K$3,0)+1,
    cx_conta[soVisualizacao], FALSE
  )
)</f>
        <v>0</v>
      </c>
    </row>
    <row r="58" spans="1:11" x14ac:dyDescent="0.25">
      <c r="A58" s="620">
        <f t="shared" si="2"/>
        <v>55</v>
      </c>
      <c r="B58" s="613" t="str">
        <v>SN4-Itaú-6641</v>
      </c>
      <c r="C58" s="614">
        <f>SUMIFS(cx_conta[saldo],
  cx_conta[id],$B58,
  cx_conta[data], "&gt;="&amp;DATE(YEAR(inputs!$A$1),MONTH(inputs!$A$1+1),1),
  cx_conta[data], "&lt;"&amp;EOMONTH(inputs!$A$1,1)+1,
  cx_conta[soVisualizacao], FALSE
)
-SUMIFS(cx_conta[saldo],
  cx_conta[id],$B58,
  cx_conta[data],"&gt;="&amp;DATE(YEAR(inputs!$A$1),MONTH(inputs!$A$1),1),
  cx_conta[data],"&lt;"&amp;EOMONTH(inputs!$A$1,0),
  cx_conta[soVisualizacao],FALSE
)</f>
        <v>54145.240000000005</v>
      </c>
      <c r="D58" s="614"/>
      <c r="E58" s="614">
        <f t="shared" si="0"/>
        <v>-54145.240000000005</v>
      </c>
      <c r="F58" s="352">
        <f t="shared" si="1"/>
        <v>-1</v>
      </c>
      <c r="G58" s="614">
        <f>IF(G$3&gt;inputs!$A$1,
  0,
  SUMIFS(cx_conta[saldo],
    cx_conta[id],$B58,
    cx_conta[data],"&gt;="&amp;EOMONTH(G$3,0)+1,
    cx_conta[data],"&lt;"&amp;EOMONTH(G$3,1)+1,
    cx_conta[soVisualizacao],FALSE
  )
  -SUMIFS(cx_conta[saldo],
    cx_conta[id],$B58,
    cx_conta[data], "&gt;="&amp;G$3,
    cx_conta[data], "&lt;"&amp;EOMONTH(G$3,0)+1,
    cx_conta[soVisualizacao], FALSE
  )
)</f>
        <v>54145.240000000005</v>
      </c>
      <c r="H58" s="614">
        <f>IF(H$3&gt;inputs!$A$1,
  0,
  SUMIFS(cx_conta[saldo],
    cx_conta[id],$B58,
    cx_conta[data],"&gt;="&amp;EOMONTH(H$3,0)+1,
    cx_conta[data],"&lt;"&amp;EOMONTH(H$3,1)+1,
    cx_conta[soVisualizacao],FALSE
  )
  -SUMIFS(cx_conta[saldo],
    cx_conta[id],$B58,
    cx_conta[data], "&gt;="&amp;H$3,
    cx_conta[data], "&lt;"&amp;EOMONTH(H$3,0)+1,
    cx_conta[soVisualizacao], FALSE
  )
)</f>
        <v>0</v>
      </c>
      <c r="I58" s="614">
        <f>IF(I$3&gt;inputs!$A$1,
  0,
  SUMIFS(cx_conta[saldo],
    cx_conta[id],$B58,
    cx_conta[data],"&gt;="&amp;EOMONTH(I$3,0)+1,
    cx_conta[data],"&lt;"&amp;EOMONTH(I$3,1)+1,
    cx_conta[soVisualizacao],FALSE
  )
  -SUMIFS(cx_conta[saldo],
    cx_conta[id],$B58,
    cx_conta[data], "&gt;="&amp;I$3,
    cx_conta[data], "&lt;"&amp;EOMONTH(I$3,0)+1,
    cx_conta[soVisualizacao], FALSE
  )
)</f>
        <v>0</v>
      </c>
      <c r="J58" s="614">
        <f>IF(J$3&gt;inputs!$A$1,
  0,
  SUMIFS(cx_conta[saldo],
    cx_conta[id],$B58,
    cx_conta[data],"&gt;="&amp;EOMONTH(J$3,0)+1,
    cx_conta[data],"&lt;"&amp;EOMONTH(J$3,1)+1,
    cx_conta[soVisualizacao],FALSE
  )
  -SUMIFS(cx_conta[saldo],
    cx_conta[id],$B58,
    cx_conta[data], "&gt;="&amp;J$3,
    cx_conta[data], "&lt;"&amp;EOMONTH(J$3,0)+1,
    cx_conta[soVisualizacao], FALSE
  )
)</f>
        <v>0</v>
      </c>
      <c r="K58" s="615">
        <f>IF(K$3&gt;inputs!$A$1,
  0,
  SUMIFS(cx_conta[saldo],
    cx_conta[id],$B58,
    cx_conta[data],"&gt;="&amp;EOMONTH(K$3,0)+1,
    cx_conta[data],"&lt;"&amp;EOMONTH(K$3,1)+1,
    cx_conta[soVisualizacao],FALSE
  )
  -SUMIFS(cx_conta[saldo],
    cx_conta[id],$B58,
    cx_conta[data], "&gt;="&amp;K$3,
    cx_conta[data], "&lt;"&amp;EOMONTH(K$3,0)+1,
    cx_conta[soVisualizacao], FALSE
  )
)</f>
        <v>0</v>
      </c>
    </row>
    <row r="59" spans="1:11" x14ac:dyDescent="0.25">
      <c r="A59" s="620">
        <f t="shared" si="2"/>
        <v>56</v>
      </c>
      <c r="B59" s="613" t="str">
        <v>SOC-CEF-1574</v>
      </c>
      <c r="C59" s="614">
        <f>SUMIFS(cx_conta[saldo],
  cx_conta[id],$B59,
  cx_conta[data], "&gt;="&amp;DATE(YEAR(inputs!$A$1),MONTH(inputs!$A$1+1),1),
  cx_conta[data], "&lt;"&amp;EOMONTH(inputs!$A$1,1)+1,
  cx_conta[soVisualizacao], FALSE
)
-SUMIFS(cx_conta[saldo],
  cx_conta[id],$B59,
  cx_conta[data],"&gt;="&amp;DATE(YEAR(inputs!$A$1),MONTH(inputs!$A$1),1),
  cx_conta[data],"&lt;"&amp;EOMONTH(inputs!$A$1,0),
  cx_conta[soVisualizacao],FALSE
)</f>
        <v>0</v>
      </c>
      <c r="D59" s="614"/>
      <c r="E59" s="614">
        <f t="shared" si="0"/>
        <v>0</v>
      </c>
      <c r="F59" s="352" t="str">
        <f t="shared" si="1"/>
        <v/>
      </c>
      <c r="G59" s="614">
        <f>IF(G$3&gt;inputs!$A$1,
  0,
  SUMIFS(cx_conta[saldo],
    cx_conta[id],$B59,
    cx_conta[data],"&gt;="&amp;EOMONTH(G$3,0)+1,
    cx_conta[data],"&lt;"&amp;EOMONTH(G$3,1)+1,
    cx_conta[soVisualizacao],FALSE
  )
  -SUMIFS(cx_conta[saldo],
    cx_conta[id],$B59,
    cx_conta[data], "&gt;="&amp;G$3,
    cx_conta[data], "&lt;"&amp;EOMONTH(G$3,0)+1,
    cx_conta[soVisualizacao], FALSE
  )
)</f>
        <v>0</v>
      </c>
      <c r="H59" s="614">
        <f>IF(H$3&gt;inputs!$A$1,
  0,
  SUMIFS(cx_conta[saldo],
    cx_conta[id],$B59,
    cx_conta[data],"&gt;="&amp;EOMONTH(H$3,0)+1,
    cx_conta[data],"&lt;"&amp;EOMONTH(H$3,1)+1,
    cx_conta[soVisualizacao],FALSE
  )
  -SUMIFS(cx_conta[saldo],
    cx_conta[id],$B59,
    cx_conta[data], "&gt;="&amp;H$3,
    cx_conta[data], "&lt;"&amp;EOMONTH(H$3,0)+1,
    cx_conta[soVisualizacao], FALSE
  )
)</f>
        <v>0</v>
      </c>
      <c r="I59" s="614">
        <f>IF(I$3&gt;inputs!$A$1,
  0,
  SUMIFS(cx_conta[saldo],
    cx_conta[id],$B59,
    cx_conta[data],"&gt;="&amp;EOMONTH(I$3,0)+1,
    cx_conta[data],"&lt;"&amp;EOMONTH(I$3,1)+1,
    cx_conta[soVisualizacao],FALSE
  )
  -SUMIFS(cx_conta[saldo],
    cx_conta[id],$B59,
    cx_conta[data], "&gt;="&amp;I$3,
    cx_conta[data], "&lt;"&amp;EOMONTH(I$3,0)+1,
    cx_conta[soVisualizacao], FALSE
  )
)</f>
        <v>0</v>
      </c>
      <c r="J59" s="614">
        <f>IF(J$3&gt;inputs!$A$1,
  0,
  SUMIFS(cx_conta[saldo],
    cx_conta[id],$B59,
    cx_conta[data],"&gt;="&amp;EOMONTH(J$3,0)+1,
    cx_conta[data],"&lt;"&amp;EOMONTH(J$3,1)+1,
    cx_conta[soVisualizacao],FALSE
  )
  -SUMIFS(cx_conta[saldo],
    cx_conta[id],$B59,
    cx_conta[data], "&gt;="&amp;J$3,
    cx_conta[data], "&lt;"&amp;EOMONTH(J$3,0)+1,
    cx_conta[soVisualizacao], FALSE
  )
)</f>
        <v>0</v>
      </c>
      <c r="K59" s="615">
        <f>IF(K$3&gt;inputs!$A$1,
  0,
  SUMIFS(cx_conta[saldo],
    cx_conta[id],$B59,
    cx_conta[data],"&gt;="&amp;EOMONTH(K$3,0)+1,
    cx_conta[data],"&lt;"&amp;EOMONTH(K$3,1)+1,
    cx_conta[soVisualizacao],FALSE
  )
  -SUMIFS(cx_conta[saldo],
    cx_conta[id],$B59,
    cx_conta[data], "&gt;="&amp;K$3,
    cx_conta[data], "&lt;"&amp;EOMONTH(K$3,0)+1,
    cx_conta[soVisualizacao], FALSE
  )
)</f>
        <v>0</v>
      </c>
    </row>
    <row r="60" spans="1:11" x14ac:dyDescent="0.25">
      <c r="A60" s="620">
        <f t="shared" si="2"/>
        <v>57</v>
      </c>
      <c r="B60" s="613" t="str">
        <v>SOC-Itaú-7169</v>
      </c>
      <c r="C60" s="614">
        <f>SUMIFS(cx_conta[saldo],
  cx_conta[id],$B60,
  cx_conta[data], "&gt;="&amp;DATE(YEAR(inputs!$A$1),MONTH(inputs!$A$1+1),1),
  cx_conta[data], "&lt;"&amp;EOMONTH(inputs!$A$1,1)+1,
  cx_conta[soVisualizacao], FALSE
)
-SUMIFS(cx_conta[saldo],
  cx_conta[id],$B60,
  cx_conta[data],"&gt;="&amp;DATE(YEAR(inputs!$A$1),MONTH(inputs!$A$1),1),
  cx_conta[data],"&lt;"&amp;EOMONTH(inputs!$A$1,0),
  cx_conta[soVisualizacao],FALSE
)</f>
        <v>-1625.17</v>
      </c>
      <c r="D60" s="614"/>
      <c r="E60" s="614">
        <f t="shared" si="0"/>
        <v>1625.17</v>
      </c>
      <c r="F60" s="352">
        <f t="shared" si="1"/>
        <v>-1</v>
      </c>
      <c r="G60" s="614">
        <f>IF(G$3&gt;inputs!$A$1,
  0,
  SUMIFS(cx_conta[saldo],
    cx_conta[id],$B60,
    cx_conta[data],"&gt;="&amp;EOMONTH(G$3,0)+1,
    cx_conta[data],"&lt;"&amp;EOMONTH(G$3,1)+1,
    cx_conta[soVisualizacao],FALSE
  )
  -SUMIFS(cx_conta[saldo],
    cx_conta[id],$B60,
    cx_conta[data], "&gt;="&amp;G$3,
    cx_conta[data], "&lt;"&amp;EOMONTH(G$3,0)+1,
    cx_conta[soVisualizacao], FALSE
  )
)</f>
        <v>-1625.17</v>
      </c>
      <c r="H60" s="614">
        <f>IF(H$3&gt;inputs!$A$1,
  0,
  SUMIFS(cx_conta[saldo],
    cx_conta[id],$B60,
    cx_conta[data],"&gt;="&amp;EOMONTH(H$3,0)+1,
    cx_conta[data],"&lt;"&amp;EOMONTH(H$3,1)+1,
    cx_conta[soVisualizacao],FALSE
  )
  -SUMIFS(cx_conta[saldo],
    cx_conta[id],$B60,
    cx_conta[data], "&gt;="&amp;H$3,
    cx_conta[data], "&lt;"&amp;EOMONTH(H$3,0)+1,
    cx_conta[soVisualizacao], FALSE
  )
)</f>
        <v>0</v>
      </c>
      <c r="I60" s="614">
        <f>IF(I$3&gt;inputs!$A$1,
  0,
  SUMIFS(cx_conta[saldo],
    cx_conta[id],$B60,
    cx_conta[data],"&gt;="&amp;EOMONTH(I$3,0)+1,
    cx_conta[data],"&lt;"&amp;EOMONTH(I$3,1)+1,
    cx_conta[soVisualizacao],FALSE
  )
  -SUMIFS(cx_conta[saldo],
    cx_conta[id],$B60,
    cx_conta[data], "&gt;="&amp;I$3,
    cx_conta[data], "&lt;"&amp;EOMONTH(I$3,0)+1,
    cx_conta[soVisualizacao], FALSE
  )
)</f>
        <v>0</v>
      </c>
      <c r="J60" s="614">
        <f>IF(J$3&gt;inputs!$A$1,
  0,
  SUMIFS(cx_conta[saldo],
    cx_conta[id],$B60,
    cx_conta[data],"&gt;="&amp;EOMONTH(J$3,0)+1,
    cx_conta[data],"&lt;"&amp;EOMONTH(J$3,1)+1,
    cx_conta[soVisualizacao],FALSE
  )
  -SUMIFS(cx_conta[saldo],
    cx_conta[id],$B60,
    cx_conta[data], "&gt;="&amp;J$3,
    cx_conta[data], "&lt;"&amp;EOMONTH(J$3,0)+1,
    cx_conta[soVisualizacao], FALSE
  )
)</f>
        <v>0</v>
      </c>
      <c r="K60" s="615">
        <f>IF(K$3&gt;inputs!$A$1,
  0,
  SUMIFS(cx_conta[saldo],
    cx_conta[id],$B60,
    cx_conta[data],"&gt;="&amp;EOMONTH(K$3,0)+1,
    cx_conta[data],"&lt;"&amp;EOMONTH(K$3,1)+1,
    cx_conta[soVisualizacao],FALSE
  )
  -SUMIFS(cx_conta[saldo],
    cx_conta[id],$B60,
    cx_conta[data], "&gt;="&amp;K$3,
    cx_conta[data], "&lt;"&amp;EOMONTH(K$3,0)+1,
    cx_conta[soVisualizacao], FALSE
  )
)</f>
        <v>0</v>
      </c>
    </row>
    <row r="61" spans="1:11" x14ac:dyDescent="0.25">
      <c r="A61" s="620">
        <f t="shared" si="2"/>
        <v>58</v>
      </c>
      <c r="B61" s="613" t="str">
        <v>USL-CEF-3550</v>
      </c>
      <c r="C61" s="614">
        <f>SUMIFS(cx_conta[saldo],
  cx_conta[id],$B61,
  cx_conta[data], "&gt;="&amp;DATE(YEAR(inputs!$A$1),MONTH(inputs!$A$1+1),1),
  cx_conta[data], "&lt;"&amp;EOMONTH(inputs!$A$1,1)+1,
  cx_conta[soVisualizacao], FALSE
)
-SUMIFS(cx_conta[saldo],
  cx_conta[id],$B61,
  cx_conta[data],"&gt;="&amp;DATE(YEAR(inputs!$A$1),MONTH(inputs!$A$1),1),
  cx_conta[data],"&lt;"&amp;EOMONTH(inputs!$A$1,0),
  cx_conta[soVisualizacao],FALSE
)</f>
        <v>0</v>
      </c>
      <c r="D61" s="614"/>
      <c r="E61" s="614">
        <f t="shared" si="0"/>
        <v>0</v>
      </c>
      <c r="F61" s="352" t="str">
        <f t="shared" si="1"/>
        <v/>
      </c>
      <c r="G61" s="614">
        <f>IF(G$3&gt;inputs!$A$1,
  0,
  SUMIFS(cx_conta[saldo],
    cx_conta[id],$B61,
    cx_conta[data],"&gt;="&amp;EOMONTH(G$3,0)+1,
    cx_conta[data],"&lt;"&amp;EOMONTH(G$3,1)+1,
    cx_conta[soVisualizacao],FALSE
  )
  -SUMIFS(cx_conta[saldo],
    cx_conta[id],$B61,
    cx_conta[data], "&gt;="&amp;G$3,
    cx_conta[data], "&lt;"&amp;EOMONTH(G$3,0)+1,
    cx_conta[soVisualizacao], FALSE
  )
)</f>
        <v>0</v>
      </c>
      <c r="H61" s="614">
        <f>IF(H$3&gt;inputs!$A$1,
  0,
  SUMIFS(cx_conta[saldo],
    cx_conta[id],$B61,
    cx_conta[data],"&gt;="&amp;EOMONTH(H$3,0)+1,
    cx_conta[data],"&lt;"&amp;EOMONTH(H$3,1)+1,
    cx_conta[soVisualizacao],FALSE
  )
  -SUMIFS(cx_conta[saldo],
    cx_conta[id],$B61,
    cx_conta[data], "&gt;="&amp;H$3,
    cx_conta[data], "&lt;"&amp;EOMONTH(H$3,0)+1,
    cx_conta[soVisualizacao], FALSE
  )
)</f>
        <v>0</v>
      </c>
      <c r="I61" s="614">
        <f>IF(I$3&gt;inputs!$A$1,
  0,
  SUMIFS(cx_conta[saldo],
    cx_conta[id],$B61,
    cx_conta[data],"&gt;="&amp;EOMONTH(I$3,0)+1,
    cx_conta[data],"&lt;"&amp;EOMONTH(I$3,1)+1,
    cx_conta[soVisualizacao],FALSE
  )
  -SUMIFS(cx_conta[saldo],
    cx_conta[id],$B61,
    cx_conta[data], "&gt;="&amp;I$3,
    cx_conta[data], "&lt;"&amp;EOMONTH(I$3,0)+1,
    cx_conta[soVisualizacao], FALSE
  )
)</f>
        <v>0</v>
      </c>
      <c r="J61" s="614">
        <f>IF(J$3&gt;inputs!$A$1,
  0,
  SUMIFS(cx_conta[saldo],
    cx_conta[id],$B61,
    cx_conta[data],"&gt;="&amp;EOMONTH(J$3,0)+1,
    cx_conta[data],"&lt;"&amp;EOMONTH(J$3,1)+1,
    cx_conta[soVisualizacao],FALSE
  )
  -SUMIFS(cx_conta[saldo],
    cx_conta[id],$B61,
    cx_conta[data], "&gt;="&amp;J$3,
    cx_conta[data], "&lt;"&amp;EOMONTH(J$3,0)+1,
    cx_conta[soVisualizacao], FALSE
  )
)</f>
        <v>0</v>
      </c>
      <c r="K61" s="615">
        <f>IF(K$3&gt;inputs!$A$1,
  0,
  SUMIFS(cx_conta[saldo],
    cx_conta[id],$B61,
    cx_conta[data],"&gt;="&amp;EOMONTH(K$3,0)+1,
    cx_conta[data],"&lt;"&amp;EOMONTH(K$3,1)+1,
    cx_conta[soVisualizacao],FALSE
  )
  -SUMIFS(cx_conta[saldo],
    cx_conta[id],$B61,
    cx_conta[data], "&gt;="&amp;K$3,
    cx_conta[data], "&lt;"&amp;EOMONTH(K$3,0)+1,
    cx_conta[soVisualizacao], FALSE
  )
)</f>
        <v>0</v>
      </c>
    </row>
    <row r="62" spans="1:11" x14ac:dyDescent="0.25">
      <c r="A62" s="620">
        <f t="shared" si="2"/>
        <v>59</v>
      </c>
      <c r="B62" s="613" t="str">
        <v>USL-Itaú-2673</v>
      </c>
      <c r="C62" s="614">
        <f>SUMIFS(cx_conta[saldo],
  cx_conta[id],$B62,
  cx_conta[data], "&gt;="&amp;DATE(YEAR(inputs!$A$1),MONTH(inputs!$A$1+1),1),
  cx_conta[data], "&lt;"&amp;EOMONTH(inputs!$A$1,1)+1,
  cx_conta[soVisualizacao], FALSE
)
-SUMIFS(cx_conta[saldo],
  cx_conta[id],$B62,
  cx_conta[data],"&gt;="&amp;DATE(YEAR(inputs!$A$1),MONTH(inputs!$A$1),1),
  cx_conta[data],"&lt;"&amp;EOMONTH(inputs!$A$1,0),
  cx_conta[soVisualizacao],FALSE
)</f>
        <v>-8240.1999999999971</v>
      </c>
      <c r="D62" s="614"/>
      <c r="E62" s="614">
        <f t="shared" si="0"/>
        <v>8240.1999999999971</v>
      </c>
      <c r="F62" s="352">
        <f t="shared" si="1"/>
        <v>-1</v>
      </c>
      <c r="G62" s="614">
        <f>IF(G$3&gt;inputs!$A$1,
  0,
  SUMIFS(cx_conta[saldo],
    cx_conta[id],$B62,
    cx_conta[data],"&gt;="&amp;EOMONTH(G$3,0)+1,
    cx_conta[data],"&lt;"&amp;EOMONTH(G$3,1)+1,
    cx_conta[soVisualizacao],FALSE
  )
  -SUMIFS(cx_conta[saldo],
    cx_conta[id],$B62,
    cx_conta[data], "&gt;="&amp;G$3,
    cx_conta[data], "&lt;"&amp;EOMONTH(G$3,0)+1,
    cx_conta[soVisualizacao], FALSE
  )
)</f>
        <v>-8240.1999999999971</v>
      </c>
      <c r="H62" s="614">
        <f>IF(H$3&gt;inputs!$A$1,
  0,
  SUMIFS(cx_conta[saldo],
    cx_conta[id],$B62,
    cx_conta[data],"&gt;="&amp;EOMONTH(H$3,0)+1,
    cx_conta[data],"&lt;"&amp;EOMONTH(H$3,1)+1,
    cx_conta[soVisualizacao],FALSE
  )
  -SUMIFS(cx_conta[saldo],
    cx_conta[id],$B62,
    cx_conta[data], "&gt;="&amp;H$3,
    cx_conta[data], "&lt;"&amp;EOMONTH(H$3,0)+1,
    cx_conta[soVisualizacao], FALSE
  )
)</f>
        <v>0</v>
      </c>
      <c r="I62" s="614">
        <f>IF(I$3&gt;inputs!$A$1,
  0,
  SUMIFS(cx_conta[saldo],
    cx_conta[id],$B62,
    cx_conta[data],"&gt;="&amp;EOMONTH(I$3,0)+1,
    cx_conta[data],"&lt;"&amp;EOMONTH(I$3,1)+1,
    cx_conta[soVisualizacao],FALSE
  )
  -SUMIFS(cx_conta[saldo],
    cx_conta[id],$B62,
    cx_conta[data], "&gt;="&amp;I$3,
    cx_conta[data], "&lt;"&amp;EOMONTH(I$3,0)+1,
    cx_conta[soVisualizacao], FALSE
  )
)</f>
        <v>0</v>
      </c>
      <c r="J62" s="614">
        <f>IF(J$3&gt;inputs!$A$1,
  0,
  SUMIFS(cx_conta[saldo],
    cx_conta[id],$B62,
    cx_conta[data],"&gt;="&amp;EOMONTH(J$3,0)+1,
    cx_conta[data],"&lt;"&amp;EOMONTH(J$3,1)+1,
    cx_conta[soVisualizacao],FALSE
  )
  -SUMIFS(cx_conta[saldo],
    cx_conta[id],$B62,
    cx_conta[data], "&gt;="&amp;J$3,
    cx_conta[data], "&lt;"&amp;EOMONTH(J$3,0)+1,
    cx_conta[soVisualizacao], FALSE
  )
)</f>
        <v>0</v>
      </c>
      <c r="K62" s="615">
        <f>IF(K$3&gt;inputs!$A$1,
  0,
  SUMIFS(cx_conta[saldo],
    cx_conta[id],$B62,
    cx_conta[data],"&gt;="&amp;EOMONTH(K$3,0)+1,
    cx_conta[data],"&lt;"&amp;EOMONTH(K$3,1)+1,
    cx_conta[soVisualizacao],FALSE
  )
  -SUMIFS(cx_conta[saldo],
    cx_conta[id],$B62,
    cx_conta[data], "&gt;="&amp;K$3,
    cx_conta[data], "&lt;"&amp;EOMONTH(K$3,0)+1,
    cx_conta[soVisualizacao], FALSE
  )
)</f>
        <v>0</v>
      </c>
    </row>
    <row r="63" spans="1:11" x14ac:dyDescent="0.25">
      <c r="A63" s="620">
        <f t="shared" si="2"/>
        <v>60</v>
      </c>
      <c r="B63" s="613" t="str">
        <v>USL-Linkpay-</v>
      </c>
      <c r="C63" s="614">
        <f>SUMIFS(cx_conta[saldo],
  cx_conta[id],$B63,
  cx_conta[data], "&gt;="&amp;DATE(YEAR(inputs!$A$1),MONTH(inputs!$A$1+1),1),
  cx_conta[data], "&lt;"&amp;EOMONTH(inputs!$A$1,1)+1,
  cx_conta[soVisualizacao], FALSE
)
-SUMIFS(cx_conta[saldo],
  cx_conta[id],$B63,
  cx_conta[data],"&gt;="&amp;DATE(YEAR(inputs!$A$1),MONTH(inputs!$A$1),1),
  cx_conta[data],"&lt;"&amp;EOMONTH(inputs!$A$1,0),
  cx_conta[soVisualizacao],FALSE
)</f>
        <v>31586.420000000006</v>
      </c>
      <c r="D63" s="614"/>
      <c r="E63" s="614">
        <f t="shared" si="0"/>
        <v>-31586.420000000006</v>
      </c>
      <c r="F63" s="352">
        <f t="shared" si="1"/>
        <v>-1</v>
      </c>
      <c r="G63" s="614">
        <f>IF(G$3&gt;inputs!$A$1,
  0,
  SUMIFS(cx_conta[saldo],
    cx_conta[id],$B63,
    cx_conta[data],"&gt;="&amp;EOMONTH(G$3,0)+1,
    cx_conta[data],"&lt;"&amp;EOMONTH(G$3,1)+1,
    cx_conta[soVisualizacao],FALSE
  )
  -SUMIFS(cx_conta[saldo],
    cx_conta[id],$B63,
    cx_conta[data], "&gt;="&amp;G$3,
    cx_conta[data], "&lt;"&amp;EOMONTH(G$3,0)+1,
    cx_conta[soVisualizacao], FALSE
  )
)</f>
        <v>31586.420000000006</v>
      </c>
      <c r="H63" s="614">
        <f>IF(H$3&gt;inputs!$A$1,
  0,
  SUMIFS(cx_conta[saldo],
    cx_conta[id],$B63,
    cx_conta[data],"&gt;="&amp;EOMONTH(H$3,0)+1,
    cx_conta[data],"&lt;"&amp;EOMONTH(H$3,1)+1,
    cx_conta[soVisualizacao],FALSE
  )
  -SUMIFS(cx_conta[saldo],
    cx_conta[id],$B63,
    cx_conta[data], "&gt;="&amp;H$3,
    cx_conta[data], "&lt;"&amp;EOMONTH(H$3,0)+1,
    cx_conta[soVisualizacao], FALSE
  )
)</f>
        <v>0</v>
      </c>
      <c r="I63" s="614">
        <f>IF(I$3&gt;inputs!$A$1,
  0,
  SUMIFS(cx_conta[saldo],
    cx_conta[id],$B63,
    cx_conta[data],"&gt;="&amp;EOMONTH(I$3,0)+1,
    cx_conta[data],"&lt;"&amp;EOMONTH(I$3,1)+1,
    cx_conta[soVisualizacao],FALSE
  )
  -SUMIFS(cx_conta[saldo],
    cx_conta[id],$B63,
    cx_conta[data], "&gt;="&amp;I$3,
    cx_conta[data], "&lt;"&amp;EOMONTH(I$3,0)+1,
    cx_conta[soVisualizacao], FALSE
  )
)</f>
        <v>0</v>
      </c>
      <c r="J63" s="614">
        <f>IF(J$3&gt;inputs!$A$1,
  0,
  SUMIFS(cx_conta[saldo],
    cx_conta[id],$B63,
    cx_conta[data],"&gt;="&amp;EOMONTH(J$3,0)+1,
    cx_conta[data],"&lt;"&amp;EOMONTH(J$3,1)+1,
    cx_conta[soVisualizacao],FALSE
  )
  -SUMIFS(cx_conta[saldo],
    cx_conta[id],$B63,
    cx_conta[data], "&gt;="&amp;J$3,
    cx_conta[data], "&lt;"&amp;EOMONTH(J$3,0)+1,
    cx_conta[soVisualizacao], FALSE
  )
)</f>
        <v>0</v>
      </c>
      <c r="K63" s="615">
        <f>IF(K$3&gt;inputs!$A$1,
  0,
  SUMIFS(cx_conta[saldo],
    cx_conta[id],$B63,
    cx_conta[data],"&gt;="&amp;EOMONTH(K$3,0)+1,
    cx_conta[data],"&lt;"&amp;EOMONTH(K$3,1)+1,
    cx_conta[soVisualizacao],FALSE
  )
  -SUMIFS(cx_conta[saldo],
    cx_conta[id],$B63,
    cx_conta[data], "&gt;="&amp;K$3,
    cx_conta[data], "&lt;"&amp;EOMONTH(K$3,0)+1,
    cx_conta[soVisualizacao], FALSE
  )
)</f>
        <v>0</v>
      </c>
    </row>
    <row r="64" spans="1:11" x14ac:dyDescent="0.25">
      <c r="A64" s="620">
        <f t="shared" si="2"/>
        <v>61</v>
      </c>
      <c r="B64" s="613" t="str">
        <v>VII-CEF-3289</v>
      </c>
      <c r="C64" s="614">
        <f>SUMIFS(cx_conta[saldo],
  cx_conta[id],$B64,
  cx_conta[data], "&gt;="&amp;DATE(YEAR(inputs!$A$1),MONTH(inputs!$A$1+1),1),
  cx_conta[data], "&lt;"&amp;EOMONTH(inputs!$A$1,1)+1,
  cx_conta[soVisualizacao], FALSE
)
-SUMIFS(cx_conta[saldo],
  cx_conta[id],$B64,
  cx_conta[data],"&gt;="&amp;DATE(YEAR(inputs!$A$1),MONTH(inputs!$A$1),1),
  cx_conta[data],"&lt;"&amp;EOMONTH(inputs!$A$1,0),
  cx_conta[soVisualizacao],FALSE
)</f>
        <v>0</v>
      </c>
      <c r="D64" s="614"/>
      <c r="E64" s="614">
        <f t="shared" si="0"/>
        <v>0</v>
      </c>
      <c r="F64" s="352" t="str">
        <f t="shared" si="1"/>
        <v/>
      </c>
      <c r="G64" s="614">
        <f>IF(G$3&gt;inputs!$A$1,
  0,
  SUMIFS(cx_conta[saldo],
    cx_conta[id],$B64,
    cx_conta[data],"&gt;="&amp;EOMONTH(G$3,0)+1,
    cx_conta[data],"&lt;"&amp;EOMONTH(G$3,1)+1,
    cx_conta[soVisualizacao],FALSE
  )
  -SUMIFS(cx_conta[saldo],
    cx_conta[id],$B64,
    cx_conta[data], "&gt;="&amp;G$3,
    cx_conta[data], "&lt;"&amp;EOMONTH(G$3,0)+1,
    cx_conta[soVisualizacao], FALSE
  )
)</f>
        <v>0</v>
      </c>
      <c r="H64" s="614">
        <f>IF(H$3&gt;inputs!$A$1,
  0,
  SUMIFS(cx_conta[saldo],
    cx_conta[id],$B64,
    cx_conta[data],"&gt;="&amp;EOMONTH(H$3,0)+1,
    cx_conta[data],"&lt;"&amp;EOMONTH(H$3,1)+1,
    cx_conta[soVisualizacao],FALSE
  )
  -SUMIFS(cx_conta[saldo],
    cx_conta[id],$B64,
    cx_conta[data], "&gt;="&amp;H$3,
    cx_conta[data], "&lt;"&amp;EOMONTH(H$3,0)+1,
    cx_conta[soVisualizacao], FALSE
  )
)</f>
        <v>0</v>
      </c>
      <c r="I64" s="614">
        <f>IF(I$3&gt;inputs!$A$1,
  0,
  SUMIFS(cx_conta[saldo],
    cx_conta[id],$B64,
    cx_conta[data],"&gt;="&amp;EOMONTH(I$3,0)+1,
    cx_conta[data],"&lt;"&amp;EOMONTH(I$3,1)+1,
    cx_conta[soVisualizacao],FALSE
  )
  -SUMIFS(cx_conta[saldo],
    cx_conta[id],$B64,
    cx_conta[data], "&gt;="&amp;I$3,
    cx_conta[data], "&lt;"&amp;EOMONTH(I$3,0)+1,
    cx_conta[soVisualizacao], FALSE
  )
)</f>
        <v>0</v>
      </c>
      <c r="J64" s="614">
        <f>IF(J$3&gt;inputs!$A$1,
  0,
  SUMIFS(cx_conta[saldo],
    cx_conta[id],$B64,
    cx_conta[data],"&gt;="&amp;EOMONTH(J$3,0)+1,
    cx_conta[data],"&lt;"&amp;EOMONTH(J$3,1)+1,
    cx_conta[soVisualizacao],FALSE
  )
  -SUMIFS(cx_conta[saldo],
    cx_conta[id],$B64,
    cx_conta[data], "&gt;="&amp;J$3,
    cx_conta[data], "&lt;"&amp;EOMONTH(J$3,0)+1,
    cx_conta[soVisualizacao], FALSE
  )
)</f>
        <v>0</v>
      </c>
      <c r="K64" s="615">
        <f>IF(K$3&gt;inputs!$A$1,
  0,
  SUMIFS(cx_conta[saldo],
    cx_conta[id],$B64,
    cx_conta[data],"&gt;="&amp;EOMONTH(K$3,0)+1,
    cx_conta[data],"&lt;"&amp;EOMONTH(K$3,1)+1,
    cx_conta[soVisualizacao],FALSE
  )
  -SUMIFS(cx_conta[saldo],
    cx_conta[id],$B64,
    cx_conta[data], "&gt;="&amp;K$3,
    cx_conta[data], "&lt;"&amp;EOMONTH(K$3,0)+1,
    cx_conta[soVisualizacao], FALSE
  )
)</f>
        <v>0</v>
      </c>
    </row>
    <row r="65" spans="1:14" x14ac:dyDescent="0.25">
      <c r="A65" s="620">
        <f t="shared" si="2"/>
        <v>62</v>
      </c>
      <c r="B65" s="613" t="str">
        <v>VRG-Bradesco-</v>
      </c>
      <c r="C65" s="614">
        <f>SUMIFS(cx_conta[saldo],
  cx_conta[id],$B65,
  cx_conta[data], "&gt;="&amp;DATE(YEAR(inputs!$A$1),MONTH(inputs!$A$1+1),1),
  cx_conta[data], "&lt;"&amp;EOMONTH(inputs!$A$1,1)+1,
  cx_conta[soVisualizacao], FALSE
)
-SUMIFS(cx_conta[saldo],
  cx_conta[id],$B65,
  cx_conta[data],"&gt;="&amp;DATE(YEAR(inputs!$A$1),MONTH(inputs!$A$1),1),
  cx_conta[data],"&lt;"&amp;EOMONTH(inputs!$A$1,0),
  cx_conta[soVisualizacao],FALSE
)</f>
        <v>0</v>
      </c>
      <c r="D65" s="614"/>
      <c r="E65" s="614">
        <f t="shared" si="0"/>
        <v>0</v>
      </c>
      <c r="F65" s="352" t="str">
        <f t="shared" si="1"/>
        <v/>
      </c>
      <c r="G65" s="614">
        <f>IF(G$3&gt;inputs!$A$1,
  0,
  SUMIFS(cx_conta[saldo],
    cx_conta[id],$B65,
    cx_conta[data],"&gt;="&amp;EOMONTH(G$3,0)+1,
    cx_conta[data],"&lt;"&amp;EOMONTH(G$3,1)+1,
    cx_conta[soVisualizacao],FALSE
  )
  -SUMIFS(cx_conta[saldo],
    cx_conta[id],$B65,
    cx_conta[data], "&gt;="&amp;G$3,
    cx_conta[data], "&lt;"&amp;EOMONTH(G$3,0)+1,
    cx_conta[soVisualizacao], FALSE
  )
)</f>
        <v>0</v>
      </c>
      <c r="H65" s="614">
        <f>IF(H$3&gt;inputs!$A$1,
  0,
  SUMIFS(cx_conta[saldo],
    cx_conta[id],$B65,
    cx_conta[data],"&gt;="&amp;EOMONTH(H$3,0)+1,
    cx_conta[data],"&lt;"&amp;EOMONTH(H$3,1)+1,
    cx_conta[soVisualizacao],FALSE
  )
  -SUMIFS(cx_conta[saldo],
    cx_conta[id],$B65,
    cx_conta[data], "&gt;="&amp;H$3,
    cx_conta[data], "&lt;"&amp;EOMONTH(H$3,0)+1,
    cx_conta[soVisualizacao], FALSE
  )
)</f>
        <v>0</v>
      </c>
      <c r="I65" s="614">
        <f>IF(I$3&gt;inputs!$A$1,
  0,
  SUMIFS(cx_conta[saldo],
    cx_conta[id],$B65,
    cx_conta[data],"&gt;="&amp;EOMONTH(I$3,0)+1,
    cx_conta[data],"&lt;"&amp;EOMONTH(I$3,1)+1,
    cx_conta[soVisualizacao],FALSE
  )
  -SUMIFS(cx_conta[saldo],
    cx_conta[id],$B65,
    cx_conta[data], "&gt;="&amp;I$3,
    cx_conta[data], "&lt;"&amp;EOMONTH(I$3,0)+1,
    cx_conta[soVisualizacao], FALSE
  )
)</f>
        <v>0</v>
      </c>
      <c r="J65" s="614">
        <f>IF(J$3&gt;inputs!$A$1,
  0,
  SUMIFS(cx_conta[saldo],
    cx_conta[id],$B65,
    cx_conta[data],"&gt;="&amp;EOMONTH(J$3,0)+1,
    cx_conta[data],"&lt;"&amp;EOMONTH(J$3,1)+1,
    cx_conta[soVisualizacao],FALSE
  )
  -SUMIFS(cx_conta[saldo],
    cx_conta[id],$B65,
    cx_conta[data], "&gt;="&amp;J$3,
    cx_conta[data], "&lt;"&amp;EOMONTH(J$3,0)+1,
    cx_conta[soVisualizacao], FALSE
  )
)</f>
        <v>0</v>
      </c>
      <c r="K65" s="615">
        <f>IF(K$3&gt;inputs!$A$1,
  0,
  SUMIFS(cx_conta[saldo],
    cx_conta[id],$B65,
    cx_conta[data],"&gt;="&amp;EOMONTH(K$3,0)+1,
    cx_conta[data],"&lt;"&amp;EOMONTH(K$3,1)+1,
    cx_conta[soVisualizacao],FALSE
  )
  -SUMIFS(cx_conta[saldo],
    cx_conta[id],$B65,
    cx_conta[data], "&gt;="&amp;K$3,
    cx_conta[data], "&lt;"&amp;EOMONTH(K$3,0)+1,
    cx_conta[soVisualizacao], FALSE
  )
)</f>
        <v>0</v>
      </c>
    </row>
    <row r="66" spans="1:14" x14ac:dyDescent="0.25">
      <c r="A66" s="621">
        <f t="shared" si="2"/>
        <v>63</v>
      </c>
      <c r="B66" s="616" t="str">
        <v>VRT-CEF-6961</v>
      </c>
      <c r="C66" s="617">
        <f>SUMIFS(cx_conta[saldo],
  cx_conta[id],$B66,
  cx_conta[data], "&gt;="&amp;DATE(YEAR(inputs!$A$1),MONTH(inputs!$A$1+1),1),
  cx_conta[data], "&lt;"&amp;EOMONTH(inputs!$A$1,1)+1,
  cx_conta[soVisualizacao], FALSE
)
-SUMIFS(cx_conta[saldo],
  cx_conta[id],$B66,
  cx_conta[data],"&gt;="&amp;DATE(YEAR(inputs!$A$1),MONTH(inputs!$A$1),1),
  cx_conta[data],"&lt;"&amp;EOMONTH(inputs!$A$1,0),
  cx_conta[soVisualizacao],FALSE
)</f>
        <v>0</v>
      </c>
      <c r="D66" s="617"/>
      <c r="E66" s="617">
        <f t="shared" si="0"/>
        <v>0</v>
      </c>
      <c r="F66" s="455" t="str">
        <f t="shared" si="1"/>
        <v/>
      </c>
      <c r="G66" s="617">
        <f>IF(G$3&gt;inputs!$A$1,
  0,
  SUMIFS(cx_conta[saldo],
    cx_conta[id],$B66,
    cx_conta[data],"&gt;="&amp;EOMONTH(G$3,0)+1,
    cx_conta[data],"&lt;"&amp;EOMONTH(G$3,1)+1,
    cx_conta[soVisualizacao],FALSE
  )
  -SUMIFS(cx_conta[saldo],
    cx_conta[id],$B66,
    cx_conta[data], "&gt;="&amp;G$3,
    cx_conta[data], "&lt;"&amp;EOMONTH(G$3,0)+1,
    cx_conta[soVisualizacao], FALSE
  )
)</f>
        <v>0</v>
      </c>
      <c r="H66" s="617">
        <f>IF(H$3&gt;inputs!$A$1,
  0,
  SUMIFS(cx_conta[saldo],
    cx_conta[id],$B66,
    cx_conta[data],"&gt;="&amp;EOMONTH(H$3,0)+1,
    cx_conta[data],"&lt;"&amp;EOMONTH(H$3,1)+1,
    cx_conta[soVisualizacao],FALSE
  )
  -SUMIFS(cx_conta[saldo],
    cx_conta[id],$B66,
    cx_conta[data], "&gt;="&amp;H$3,
    cx_conta[data], "&lt;"&amp;EOMONTH(H$3,0)+1,
    cx_conta[soVisualizacao], FALSE
  )
)</f>
        <v>0</v>
      </c>
      <c r="I66" s="617">
        <f>IF(I$3&gt;inputs!$A$1,
  0,
  SUMIFS(cx_conta[saldo],
    cx_conta[id],$B66,
    cx_conta[data],"&gt;="&amp;EOMONTH(I$3,0)+1,
    cx_conta[data],"&lt;"&amp;EOMONTH(I$3,1)+1,
    cx_conta[soVisualizacao],FALSE
  )
  -SUMIFS(cx_conta[saldo],
    cx_conta[id],$B66,
    cx_conta[data], "&gt;="&amp;I$3,
    cx_conta[data], "&lt;"&amp;EOMONTH(I$3,0)+1,
    cx_conta[soVisualizacao], FALSE
  )
)</f>
        <v>0</v>
      </c>
      <c r="J66" s="617">
        <f>IF(J$3&gt;inputs!$A$1,
  0,
  SUMIFS(cx_conta[saldo],
    cx_conta[id],$B66,
    cx_conta[data],"&gt;="&amp;EOMONTH(J$3,0)+1,
    cx_conta[data],"&lt;"&amp;EOMONTH(J$3,1)+1,
    cx_conta[soVisualizacao],FALSE
  )
  -SUMIFS(cx_conta[saldo],
    cx_conta[id],$B66,
    cx_conta[data], "&gt;="&amp;J$3,
    cx_conta[data], "&lt;"&amp;EOMONTH(J$3,0)+1,
    cx_conta[soVisualizacao], FALSE
  )
)</f>
        <v>0</v>
      </c>
      <c r="K66" s="618">
        <f>IF(K$3&gt;inputs!$A$1,
  0,
  SUMIFS(cx_conta[saldo],
    cx_conta[id],$B66,
    cx_conta[data],"&gt;="&amp;EOMONTH(K$3,0)+1,
    cx_conta[data],"&lt;"&amp;EOMONTH(K$3,1)+1,
    cx_conta[soVisualizacao],FALSE
  )
  -SUMIFS(cx_conta[saldo],
    cx_conta[id],$B66,
    cx_conta[data], "&gt;="&amp;K$3,
    cx_conta[data], "&lt;"&amp;EOMONTH(K$3,0)+1,
    cx_conta[soVisualizacao], FALSE
  )
)</f>
        <v>0</v>
      </c>
    </row>
    <row r="68" spans="1:14" ht="15.75" thickBot="1" x14ac:dyDescent="0.3"/>
    <row r="69" spans="1:14" ht="30.75" thickTop="1" x14ac:dyDescent="0.25">
      <c r="B69" s="475" t="s">
        <v>187</v>
      </c>
      <c r="C69" s="475" t="s">
        <v>1063</v>
      </c>
      <c r="D69" s="475" t="s">
        <v>68</v>
      </c>
      <c r="E69" s="475" t="s">
        <v>1064</v>
      </c>
      <c r="F69" s="475" t="s">
        <v>1065</v>
      </c>
      <c r="G69" s="475" t="s">
        <v>1066</v>
      </c>
      <c r="H69" s="475" t="s">
        <v>1067</v>
      </c>
      <c r="I69" s="475" t="s">
        <v>1068</v>
      </c>
      <c r="J69" s="475" t="s">
        <v>1069</v>
      </c>
      <c r="K69" s="475" t="s">
        <v>226</v>
      </c>
      <c r="L69" s="476" t="s">
        <v>1070</v>
      </c>
      <c r="M69" s="477" t="s">
        <v>1071</v>
      </c>
      <c r="N69" s="478" t="s">
        <v>1072</v>
      </c>
    </row>
    <row r="70" spans="1:14" x14ac:dyDescent="0.25">
      <c r="B70" s="480" t="str">
        <f>cx_conta[[#This Row],[empresa]]&amp;"-"&amp;cx_conta[[#This Row],[instituicao]]&amp;"-"&amp;RIGHT(SUBSTITUTE(SUBSTITUTE(cx_conta[[#This Row],[contaAtual]]," ",""),"-",""),4)</f>
        <v>AMP-CEF-1780</v>
      </c>
      <c r="C70" s="480" t="s">
        <v>947</v>
      </c>
      <c r="D70" s="480" t="s">
        <v>7</v>
      </c>
      <c r="E70" s="480" t="s">
        <v>622</v>
      </c>
      <c r="F70" s="480" t="s">
        <v>736</v>
      </c>
      <c r="G70" s="480" t="s">
        <v>474</v>
      </c>
      <c r="H70" s="480" t="s">
        <v>1074</v>
      </c>
      <c r="I70" s="481" t="b">
        <v>0</v>
      </c>
      <c r="J70" s="481" t="b">
        <v>0</v>
      </c>
      <c r="K70" s="482">
        <v>46237</v>
      </c>
      <c r="L70" s="483">
        <v>0</v>
      </c>
      <c r="M70" s="484"/>
      <c r="N70" s="484"/>
    </row>
    <row r="71" spans="1:14" x14ac:dyDescent="0.25">
      <c r="B71" s="480" t="str">
        <f>cx_conta[[#This Row],[empresa]]&amp;"-"&amp;cx_conta[[#This Row],[instituicao]]&amp;"-"&amp;RIGHT(SUBSTITUTE(SUBSTITUTE(cx_conta[[#This Row],[contaAtual]]," ",""),"-",""),4)</f>
        <v>AMP-CEF-1780</v>
      </c>
      <c r="C71" s="480" t="s">
        <v>947</v>
      </c>
      <c r="D71" s="480" t="s">
        <v>7</v>
      </c>
      <c r="E71" s="480" t="s">
        <v>622</v>
      </c>
      <c r="F71" s="480" t="s">
        <v>736</v>
      </c>
      <c r="G71" s="480" t="s">
        <v>474</v>
      </c>
      <c r="H71" s="480" t="s">
        <v>1074</v>
      </c>
      <c r="I71" s="481" t="b">
        <v>0</v>
      </c>
      <c r="J71" s="481" t="b">
        <v>0</v>
      </c>
      <c r="K71" s="482">
        <v>46266</v>
      </c>
      <c r="L71" s="483">
        <v>0</v>
      </c>
      <c r="M71" s="590"/>
      <c r="N71" s="603"/>
    </row>
    <row r="72" spans="1:14" x14ac:dyDescent="0.25">
      <c r="B72" s="480" t="str">
        <f>cx_conta[[#This Row],[empresa]]&amp;"-"&amp;cx_conta[[#This Row],[instituicao]]&amp;"-"&amp;RIGHT(SUBSTITUTE(SUBSTITUTE(cx_conta[[#This Row],[contaAtual]]," ",""),"-",""),4)</f>
        <v>AMP-CEF-2270</v>
      </c>
      <c r="C72" s="480" t="s">
        <v>947</v>
      </c>
      <c r="D72" s="480" t="s">
        <v>7</v>
      </c>
      <c r="E72" s="480" t="s">
        <v>734</v>
      </c>
      <c r="F72" s="480" t="s">
        <v>735</v>
      </c>
      <c r="G72" s="480" t="s">
        <v>474</v>
      </c>
      <c r="H72" s="480" t="s">
        <v>1074</v>
      </c>
      <c r="I72" s="481" t="b">
        <v>0</v>
      </c>
      <c r="J72" s="481" t="b">
        <v>0</v>
      </c>
      <c r="K72" s="482">
        <v>46237</v>
      </c>
      <c r="L72" s="483">
        <v>-7503.44</v>
      </c>
      <c r="M72" s="484"/>
      <c r="N72" s="484">
        <v>2496.5600000000004</v>
      </c>
    </row>
    <row r="73" spans="1:14" x14ac:dyDescent="0.25">
      <c r="B73" s="480" t="str">
        <f>cx_conta[[#This Row],[empresa]]&amp;"-"&amp;cx_conta[[#This Row],[instituicao]]&amp;"-"&amp;RIGHT(SUBSTITUTE(SUBSTITUTE(cx_conta[[#This Row],[contaAtual]]," ",""),"-",""),4)</f>
        <v>AMP-CEF-2270</v>
      </c>
      <c r="C73" s="480" t="s">
        <v>947</v>
      </c>
      <c r="D73" s="480" t="s">
        <v>7</v>
      </c>
      <c r="E73" s="480" t="s">
        <v>734</v>
      </c>
      <c r="F73" s="480" t="s">
        <v>735</v>
      </c>
      <c r="G73" s="480" t="s">
        <v>474</v>
      </c>
      <c r="H73" s="480" t="s">
        <v>1074</v>
      </c>
      <c r="I73" s="481" t="b">
        <v>0</v>
      </c>
      <c r="J73" s="481" t="b">
        <v>0</v>
      </c>
      <c r="K73" s="482">
        <v>46266</v>
      </c>
      <c r="L73" s="483">
        <v>5527.17</v>
      </c>
      <c r="M73" s="590"/>
      <c r="N73" s="603">
        <v>10000</v>
      </c>
    </row>
    <row r="74" spans="1:14" x14ac:dyDescent="0.25">
      <c r="B74" s="480" t="str">
        <f>cx_conta[[#This Row],[empresa]]&amp;"-"&amp;cx_conta[[#This Row],[instituicao]]&amp;"-"&amp;RIGHT(SUBSTITUTE(SUBSTITUTE(cx_conta[[#This Row],[contaAtual]]," ",""),"-",""),4)</f>
        <v>AMP-CEF-3028</v>
      </c>
      <c r="C74" s="480" t="s">
        <v>947</v>
      </c>
      <c r="D74" s="480" t="s">
        <v>7</v>
      </c>
      <c r="E74" s="480" t="s">
        <v>739</v>
      </c>
      <c r="F74" s="480" t="s">
        <v>740</v>
      </c>
      <c r="G74" s="480" t="s">
        <v>474</v>
      </c>
      <c r="H74" s="480" t="s">
        <v>1074</v>
      </c>
      <c r="I74" s="481" t="b">
        <v>0</v>
      </c>
      <c r="J74" s="481" t="b">
        <v>0</v>
      </c>
      <c r="K74" s="482">
        <v>46237</v>
      </c>
      <c r="L74" s="483">
        <v>30571.56</v>
      </c>
      <c r="M74" s="484"/>
      <c r="N74" s="484"/>
    </row>
    <row r="75" spans="1:14" x14ac:dyDescent="0.25">
      <c r="B75" s="480" t="str">
        <f>cx_conta[[#This Row],[empresa]]&amp;"-"&amp;cx_conta[[#This Row],[instituicao]]&amp;"-"&amp;RIGHT(SUBSTITUTE(SUBSTITUTE(cx_conta[[#This Row],[contaAtual]]," ",""),"-",""),4)</f>
        <v>AMP-CEF-3028</v>
      </c>
      <c r="C75" s="480" t="s">
        <v>947</v>
      </c>
      <c r="D75" s="480" t="s">
        <v>7</v>
      </c>
      <c r="E75" s="480" t="s">
        <v>739</v>
      </c>
      <c r="F75" s="480" t="s">
        <v>740</v>
      </c>
      <c r="G75" s="480" t="s">
        <v>474</v>
      </c>
      <c r="H75" s="480" t="s">
        <v>1074</v>
      </c>
      <c r="I75" s="481" t="b">
        <v>0</v>
      </c>
      <c r="J75" s="481" t="b">
        <v>0</v>
      </c>
      <c r="K75" s="482">
        <v>46266</v>
      </c>
      <c r="L75" s="483">
        <v>18647.41</v>
      </c>
      <c r="M75" s="590"/>
      <c r="N75" s="603"/>
    </row>
    <row r="76" spans="1:14" x14ac:dyDescent="0.25">
      <c r="B76" s="480" t="str">
        <f>cx_conta[[#This Row],[empresa]]&amp;"-"&amp;cx_conta[[#This Row],[instituicao]]&amp;"-"&amp;RIGHT(SUBSTITUTE(SUBSTITUTE(cx_conta[[#This Row],[contaAtual]]," ",""),"-",""),4)</f>
        <v>AMP-CEF-3320</v>
      </c>
      <c r="C76" s="480" t="s">
        <v>947</v>
      </c>
      <c r="D76" s="480" t="s">
        <v>7</v>
      </c>
      <c r="E76" s="480" t="s">
        <v>737</v>
      </c>
      <c r="F76" s="480" t="s">
        <v>738</v>
      </c>
      <c r="G76" s="480" t="s">
        <v>474</v>
      </c>
      <c r="H76" s="480" t="s">
        <v>1074</v>
      </c>
      <c r="I76" s="481" t="b">
        <v>1</v>
      </c>
      <c r="J76" s="481" t="b">
        <v>0</v>
      </c>
      <c r="K76" s="482">
        <v>46237</v>
      </c>
      <c r="L76" s="483">
        <v>179512.47</v>
      </c>
      <c r="M76" s="484"/>
      <c r="N76" s="484"/>
    </row>
    <row r="77" spans="1:14" x14ac:dyDescent="0.25">
      <c r="B77" s="480" t="str">
        <f>cx_conta[[#This Row],[empresa]]&amp;"-"&amp;cx_conta[[#This Row],[instituicao]]&amp;"-"&amp;RIGHT(SUBSTITUTE(SUBSTITUTE(cx_conta[[#This Row],[contaAtual]]," ",""),"-",""),4)</f>
        <v>AMP-CEF-3320</v>
      </c>
      <c r="C77" s="480" t="s">
        <v>947</v>
      </c>
      <c r="D77" s="480" t="s">
        <v>7</v>
      </c>
      <c r="E77" s="480" t="s">
        <v>737</v>
      </c>
      <c r="F77" s="480" t="s">
        <v>738</v>
      </c>
      <c r="G77" s="480" t="s">
        <v>474</v>
      </c>
      <c r="H77" s="480" t="s">
        <v>1074</v>
      </c>
      <c r="I77" s="481" t="b">
        <v>1</v>
      </c>
      <c r="J77" s="481" t="b">
        <v>0</v>
      </c>
      <c r="K77" s="482">
        <v>46266</v>
      </c>
      <c r="L77" s="483">
        <v>3192.91</v>
      </c>
      <c r="M77" s="590"/>
      <c r="N77" s="603"/>
    </row>
    <row r="78" spans="1:14" x14ac:dyDescent="0.25">
      <c r="B78" s="480" t="str">
        <f>cx_conta[[#This Row],[empresa]]&amp;"-"&amp;cx_conta[[#This Row],[instituicao]]&amp;"-"&amp;RIGHT(SUBSTITUTE(SUBSTITUTE(cx_conta[[#This Row],[contaAtual]]," ",""),"-",""),4)</f>
        <v>AMP-CEF-8338</v>
      </c>
      <c r="C78" s="480" t="s">
        <v>947</v>
      </c>
      <c r="D78" s="480" t="s">
        <v>7</v>
      </c>
      <c r="E78" s="480" t="s">
        <v>622</v>
      </c>
      <c r="F78" s="480" t="s">
        <v>741</v>
      </c>
      <c r="G78" s="480" t="s">
        <v>474</v>
      </c>
      <c r="H78" s="480" t="s">
        <v>1078</v>
      </c>
      <c r="I78" s="481" t="b">
        <v>0</v>
      </c>
      <c r="J78" s="481" t="b">
        <v>0</v>
      </c>
      <c r="K78" s="482">
        <v>46237</v>
      </c>
      <c r="L78" s="483">
        <v>0</v>
      </c>
      <c r="M78" s="484"/>
      <c r="N78" s="484"/>
    </row>
    <row r="79" spans="1:14" x14ac:dyDescent="0.25">
      <c r="B79" s="480" t="str">
        <f>cx_conta[[#This Row],[empresa]]&amp;"-"&amp;cx_conta[[#This Row],[instituicao]]&amp;"-"&amp;RIGHT(SUBSTITUTE(SUBSTITUTE(cx_conta[[#This Row],[contaAtual]]," ",""),"-",""),4)</f>
        <v>AMP-CEF-8338</v>
      </c>
      <c r="C79" s="480" t="s">
        <v>947</v>
      </c>
      <c r="D79" s="480" t="s">
        <v>7</v>
      </c>
      <c r="E79" s="480" t="s">
        <v>622</v>
      </c>
      <c r="F79" s="480" t="s">
        <v>741</v>
      </c>
      <c r="G79" s="480" t="s">
        <v>474</v>
      </c>
      <c r="H79" s="480" t="s">
        <v>1078</v>
      </c>
      <c r="I79" s="481" t="b">
        <v>0</v>
      </c>
      <c r="J79" s="481" t="b">
        <v>0</v>
      </c>
      <c r="K79" s="482">
        <v>46266</v>
      </c>
      <c r="L79" s="483"/>
      <c r="M79" s="590"/>
      <c r="N79" s="603"/>
    </row>
    <row r="80" spans="1:14" x14ac:dyDescent="0.25">
      <c r="B80" s="480" t="str">
        <f>cx_conta[[#This Row],[empresa]]&amp;"-"&amp;cx_conta[[#This Row],[instituicao]]&amp;"-"&amp;RIGHT(SUBSTITUTE(SUBSTITUTE(cx_conta[[#This Row],[contaAtual]]," ",""),"-",""),4)</f>
        <v>AMP-Itaú-3400</v>
      </c>
      <c r="C80" s="480" t="s">
        <v>947</v>
      </c>
      <c r="D80" s="480" t="s">
        <v>7</v>
      </c>
      <c r="E80" s="480" t="s">
        <v>622</v>
      </c>
      <c r="F80" s="480" t="s">
        <v>742</v>
      </c>
      <c r="G80" s="480" t="s">
        <v>1079</v>
      </c>
      <c r="H80" s="480" t="s">
        <v>1074</v>
      </c>
      <c r="I80" s="481" t="b">
        <v>0</v>
      </c>
      <c r="J80" s="481" t="b">
        <v>0</v>
      </c>
      <c r="K80" s="482">
        <v>46237</v>
      </c>
      <c r="L80" s="483">
        <v>729115.82</v>
      </c>
      <c r="M80" s="484"/>
      <c r="N80" s="484">
        <v>50000</v>
      </c>
    </row>
    <row r="81" spans="2:14" x14ac:dyDescent="0.25">
      <c r="B81" s="480" t="str">
        <f>cx_conta[[#This Row],[empresa]]&amp;"-"&amp;cx_conta[[#This Row],[instituicao]]&amp;"-"&amp;RIGHT(SUBSTITUTE(SUBSTITUTE(cx_conta[[#This Row],[contaAtual]]," ",""),"-",""),4)</f>
        <v>AMP-Itaú-3400</v>
      </c>
      <c r="C81" s="480" t="s">
        <v>947</v>
      </c>
      <c r="D81" s="480" t="s">
        <v>7</v>
      </c>
      <c r="E81" s="480" t="s">
        <v>622</v>
      </c>
      <c r="F81" s="480" t="s">
        <v>742</v>
      </c>
      <c r="G81" s="480" t="s">
        <v>1079</v>
      </c>
      <c r="H81" s="480" t="s">
        <v>1074</v>
      </c>
      <c r="I81" s="481" t="b">
        <v>0</v>
      </c>
      <c r="J81" s="481" t="b">
        <v>0</v>
      </c>
      <c r="K81" s="482">
        <v>46266</v>
      </c>
      <c r="L81" s="483">
        <v>21753.22</v>
      </c>
      <c r="M81" s="590"/>
      <c r="N81" s="603">
        <v>50000</v>
      </c>
    </row>
    <row r="82" spans="2:14" x14ac:dyDescent="0.25">
      <c r="B82" s="480" t="str">
        <f>cx_conta[[#This Row],[empresa]]&amp;"-"&amp;cx_conta[[#This Row],[instituicao]]&amp;"-"&amp;RIGHT(SUBSTITUTE(SUBSTITUTE(cx_conta[[#This Row],[contaAtual]]," ",""),"-",""),4)</f>
        <v>AMP-SAFRA-8961</v>
      </c>
      <c r="C82" s="480" t="s">
        <v>947</v>
      </c>
      <c r="D82" s="480" t="s">
        <v>7</v>
      </c>
      <c r="E82" s="480" t="s">
        <v>622</v>
      </c>
      <c r="F82" s="480" t="s">
        <v>743</v>
      </c>
      <c r="G82" s="480" t="s">
        <v>943</v>
      </c>
      <c r="H82" s="480" t="s">
        <v>1074</v>
      </c>
      <c r="I82" s="481" t="b">
        <v>0</v>
      </c>
      <c r="J82" s="481" t="b">
        <v>0</v>
      </c>
      <c r="K82" s="482">
        <v>46237</v>
      </c>
      <c r="L82" s="483">
        <v>213249.97</v>
      </c>
      <c r="M82" s="484"/>
      <c r="N82" s="484">
        <v>300000</v>
      </c>
    </row>
    <row r="83" spans="2:14" x14ac:dyDescent="0.25">
      <c r="B83" s="480" t="str">
        <f>cx_conta[[#This Row],[empresa]]&amp;"-"&amp;cx_conta[[#This Row],[instituicao]]&amp;"-"&amp;RIGHT(SUBSTITUTE(SUBSTITUTE(cx_conta[[#This Row],[contaAtual]]," ",""),"-",""),4)</f>
        <v>AMP-SAFRA-8961</v>
      </c>
      <c r="C83" s="480" t="s">
        <v>947</v>
      </c>
      <c r="D83" s="480" t="s">
        <v>7</v>
      </c>
      <c r="E83" s="480" t="s">
        <v>622</v>
      </c>
      <c r="F83" s="480" t="s">
        <v>743</v>
      </c>
      <c r="G83" s="480" t="s">
        <v>943</v>
      </c>
      <c r="H83" s="480" t="s">
        <v>1074</v>
      </c>
      <c r="I83" s="481" t="b">
        <v>0</v>
      </c>
      <c r="J83" s="481" t="b">
        <v>0</v>
      </c>
      <c r="K83" s="482">
        <v>46266</v>
      </c>
      <c r="L83" s="483">
        <v>-4607.78</v>
      </c>
      <c r="M83" s="590"/>
      <c r="N83" s="603">
        <v>295392.21999999997</v>
      </c>
    </row>
    <row r="84" spans="2:14" x14ac:dyDescent="0.25">
      <c r="B84" s="480" t="str">
        <f>cx_conta[[#This Row],[empresa]]&amp;"-"&amp;cx_conta[[#This Row],[instituicao]]&amp;"-"&amp;RIGHT(SUBSTITUTE(SUBSTITUTE(cx_conta[[#This Row],[contaAtual]]," ",""),"-",""),4)</f>
        <v>AVR-CEF-2296</v>
      </c>
      <c r="C84" s="480" t="s">
        <v>380</v>
      </c>
      <c r="D84" s="480" t="s">
        <v>670</v>
      </c>
      <c r="E84" s="480" t="s">
        <v>732</v>
      </c>
      <c r="F84" s="480" t="s">
        <v>733</v>
      </c>
      <c r="G84" s="480" t="s">
        <v>474</v>
      </c>
      <c r="H84" s="480" t="s">
        <v>1074</v>
      </c>
      <c r="I84" s="481" t="b">
        <v>0</v>
      </c>
      <c r="J84" s="481" t="b">
        <v>0</v>
      </c>
      <c r="K84" s="482">
        <v>46237</v>
      </c>
      <c r="L84" s="483">
        <v>0</v>
      </c>
      <c r="M84" s="484"/>
      <c r="N84" s="484"/>
    </row>
    <row r="85" spans="2:14" x14ac:dyDescent="0.25">
      <c r="B85" s="480" t="str">
        <f>cx_conta[[#This Row],[empresa]]&amp;"-"&amp;cx_conta[[#This Row],[instituicao]]&amp;"-"&amp;RIGHT(SUBSTITUTE(SUBSTITUTE(cx_conta[[#This Row],[contaAtual]]," ",""),"-",""),4)</f>
        <v>AVR-CEF-2296</v>
      </c>
      <c r="C85" s="480" t="s">
        <v>380</v>
      </c>
      <c r="D85" s="480" t="s">
        <v>670</v>
      </c>
      <c r="E85" s="480" t="s">
        <v>732</v>
      </c>
      <c r="F85" s="480" t="s">
        <v>733</v>
      </c>
      <c r="G85" s="480" t="s">
        <v>474</v>
      </c>
      <c r="H85" s="480" t="s">
        <v>1074</v>
      </c>
      <c r="I85" s="481" t="b">
        <v>0</v>
      </c>
      <c r="J85" s="481" t="b">
        <v>0</v>
      </c>
      <c r="K85" s="482">
        <v>46266</v>
      </c>
      <c r="L85" s="483">
        <v>899.26</v>
      </c>
      <c r="M85" s="590"/>
      <c r="N85" s="603"/>
    </row>
    <row r="86" spans="2:14" x14ac:dyDescent="0.25">
      <c r="B86" s="480" t="str">
        <f>cx_conta[[#This Row],[empresa]]&amp;"-"&amp;cx_conta[[#This Row],[instituicao]]&amp;"-"&amp;RIGHT(SUBSTITUTE(SUBSTITUTE(cx_conta[[#This Row],[contaAtual]]," ",""),"-",""),4)</f>
        <v>AVS-CEF-3176</v>
      </c>
      <c r="C86" s="480" t="s">
        <v>951</v>
      </c>
      <c r="D86" s="480" t="s">
        <v>8</v>
      </c>
      <c r="E86" s="480" t="s">
        <v>746</v>
      </c>
      <c r="F86" s="480" t="s">
        <v>747</v>
      </c>
      <c r="G86" s="480" t="s">
        <v>474</v>
      </c>
      <c r="H86" s="480" t="s">
        <v>1074</v>
      </c>
      <c r="I86" s="481" t="b">
        <v>0</v>
      </c>
      <c r="J86" s="481" t="b">
        <v>0</v>
      </c>
      <c r="K86" s="482">
        <v>46237</v>
      </c>
      <c r="L86" s="483">
        <v>38.75</v>
      </c>
      <c r="M86" s="484"/>
      <c r="N86" s="484"/>
    </row>
    <row r="87" spans="2:14" x14ac:dyDescent="0.25">
      <c r="B87" s="480" t="str">
        <f>cx_conta[[#This Row],[empresa]]&amp;"-"&amp;cx_conta[[#This Row],[instituicao]]&amp;"-"&amp;RIGHT(SUBSTITUTE(SUBSTITUTE(cx_conta[[#This Row],[contaAtual]]," ",""),"-",""),4)</f>
        <v>AVS-CEF-3176</v>
      </c>
      <c r="C87" s="480" t="s">
        <v>951</v>
      </c>
      <c r="D87" s="480" t="s">
        <v>8</v>
      </c>
      <c r="E87" s="480" t="s">
        <v>746</v>
      </c>
      <c r="F87" s="480" t="s">
        <v>747</v>
      </c>
      <c r="G87" s="480" t="s">
        <v>474</v>
      </c>
      <c r="H87" s="480" t="s">
        <v>1074</v>
      </c>
      <c r="I87" s="481" t="b">
        <v>0</v>
      </c>
      <c r="J87" s="481" t="b">
        <v>0</v>
      </c>
      <c r="K87" s="482">
        <v>46266</v>
      </c>
      <c r="L87" s="483">
        <v>0</v>
      </c>
      <c r="M87" s="590"/>
      <c r="N87" s="603"/>
    </row>
    <row r="88" spans="2:14" x14ac:dyDescent="0.25">
      <c r="B88" s="480" t="str">
        <f>cx_conta[[#This Row],[empresa]]&amp;"-"&amp;cx_conta[[#This Row],[instituicao]]&amp;"-"&amp;RIGHT(SUBSTITUTE(SUBSTITUTE(cx_conta[[#This Row],[contaAtual]]," ",""),"-",""),4)</f>
        <v>AVS-CEF-8543</v>
      </c>
      <c r="C88" s="480" t="s">
        <v>951</v>
      </c>
      <c r="D88" s="480" t="s">
        <v>8</v>
      </c>
      <c r="E88" s="480" t="s">
        <v>748</v>
      </c>
      <c r="F88" s="480" t="s">
        <v>749</v>
      </c>
      <c r="G88" s="480" t="s">
        <v>474</v>
      </c>
      <c r="H88" s="480" t="s">
        <v>1074</v>
      </c>
      <c r="I88" s="481" t="b">
        <v>1</v>
      </c>
      <c r="J88" s="481" t="b">
        <v>0</v>
      </c>
      <c r="K88" s="482">
        <v>46237</v>
      </c>
      <c r="L88" s="483">
        <v>13011.68</v>
      </c>
      <c r="M88" s="484"/>
      <c r="N88" s="484"/>
    </row>
    <row r="89" spans="2:14" x14ac:dyDescent="0.25">
      <c r="B89" s="480" t="str">
        <f>cx_conta[[#This Row],[empresa]]&amp;"-"&amp;cx_conta[[#This Row],[instituicao]]&amp;"-"&amp;RIGHT(SUBSTITUTE(SUBSTITUTE(cx_conta[[#This Row],[contaAtual]]," ",""),"-",""),4)</f>
        <v>AVS-CEF-8543</v>
      </c>
      <c r="C89" s="480" t="s">
        <v>951</v>
      </c>
      <c r="D89" s="480" t="s">
        <v>8</v>
      </c>
      <c r="E89" s="480" t="s">
        <v>748</v>
      </c>
      <c r="F89" s="480" t="s">
        <v>749</v>
      </c>
      <c r="G89" s="480" t="s">
        <v>474</v>
      </c>
      <c r="H89" s="480" t="s">
        <v>1074</v>
      </c>
      <c r="I89" s="481" t="b">
        <v>1</v>
      </c>
      <c r="J89" s="481" t="b">
        <v>0</v>
      </c>
      <c r="K89" s="482">
        <v>46266</v>
      </c>
      <c r="L89" s="483">
        <v>5427.4</v>
      </c>
      <c r="M89" s="590"/>
      <c r="N89" s="603"/>
    </row>
    <row r="90" spans="2:14" x14ac:dyDescent="0.25">
      <c r="B90" s="480" t="str">
        <f>cx_conta[[#This Row],[empresa]]&amp;"-"&amp;cx_conta[[#This Row],[instituicao]]&amp;"-"&amp;RIGHT(SUBSTITUTE(SUBSTITUTE(cx_conta[[#This Row],[contaAtual]]," ",""),"-",""),4)</f>
        <v>AVS-Itaú-8530</v>
      </c>
      <c r="C90" s="480" t="s">
        <v>951</v>
      </c>
      <c r="D90" s="480" t="s">
        <v>8</v>
      </c>
      <c r="E90" s="480" t="s">
        <v>622</v>
      </c>
      <c r="F90" s="480" t="s">
        <v>750</v>
      </c>
      <c r="G90" s="480" t="s">
        <v>1079</v>
      </c>
      <c r="H90" s="480" t="s">
        <v>1074</v>
      </c>
      <c r="I90" s="481" t="b">
        <v>0</v>
      </c>
      <c r="J90" s="481" t="b">
        <v>0</v>
      </c>
      <c r="K90" s="482">
        <v>46237</v>
      </c>
      <c r="L90" s="483">
        <v>70703.44</v>
      </c>
      <c r="M90" s="484"/>
      <c r="N90" s="484">
        <v>42298.02</v>
      </c>
    </row>
    <row r="91" spans="2:14" x14ac:dyDescent="0.25">
      <c r="B91" s="480" t="str">
        <f>cx_conta[[#This Row],[empresa]]&amp;"-"&amp;cx_conta[[#This Row],[instituicao]]&amp;"-"&amp;RIGHT(SUBSTITUTE(SUBSTITUTE(cx_conta[[#This Row],[contaAtual]]," ",""),"-",""),4)</f>
        <v>AVS-Itaú-8530</v>
      </c>
      <c r="C91" s="480" t="s">
        <v>951</v>
      </c>
      <c r="D91" s="480" t="s">
        <v>8</v>
      </c>
      <c r="E91" s="480" t="s">
        <v>622</v>
      </c>
      <c r="F91" s="480" t="s">
        <v>750</v>
      </c>
      <c r="G91" s="480" t="s">
        <v>1079</v>
      </c>
      <c r="H91" s="480" t="s">
        <v>1074</v>
      </c>
      <c r="I91" s="481" t="b">
        <v>0</v>
      </c>
      <c r="J91" s="481" t="b">
        <v>0</v>
      </c>
      <c r="K91" s="482">
        <v>46266</v>
      </c>
      <c r="L91" s="483">
        <v>7929.72</v>
      </c>
      <c r="M91" s="590"/>
      <c r="N91" s="603">
        <v>78700</v>
      </c>
    </row>
    <row r="92" spans="2:14" x14ac:dyDescent="0.25">
      <c r="B92" s="480" t="str">
        <f>cx_conta[[#This Row],[empresa]]&amp;"-"&amp;cx_conta[[#This Row],[instituicao]]&amp;"-"&amp;RIGHT(SUBSTITUTE(SUBSTITUTE(cx_conta[[#This Row],[contaAtual]]," ",""),"-",""),4)</f>
        <v>BUT-CEF-3699</v>
      </c>
      <c r="C92" s="480" t="s">
        <v>955</v>
      </c>
      <c r="D92" s="480" t="s">
        <v>671</v>
      </c>
      <c r="E92" s="480" t="s">
        <v>770</v>
      </c>
      <c r="F92" s="480" t="s">
        <v>771</v>
      </c>
      <c r="G92" s="480" t="s">
        <v>474</v>
      </c>
      <c r="H92" s="480" t="s">
        <v>1074</v>
      </c>
      <c r="I92" s="481" t="b">
        <v>0</v>
      </c>
      <c r="J92" s="481" t="b">
        <v>0</v>
      </c>
      <c r="K92" s="482">
        <v>46237</v>
      </c>
      <c r="L92" s="483">
        <v>6270.82</v>
      </c>
      <c r="M92" s="484"/>
      <c r="N92" s="484">
        <v>100000</v>
      </c>
    </row>
    <row r="93" spans="2:14" x14ac:dyDescent="0.25">
      <c r="B93" s="480" t="str">
        <f>cx_conta[[#This Row],[empresa]]&amp;"-"&amp;cx_conta[[#This Row],[instituicao]]&amp;"-"&amp;RIGHT(SUBSTITUTE(SUBSTITUTE(cx_conta[[#This Row],[contaAtual]]," ",""),"-",""),4)</f>
        <v>BUT-CEF-3699</v>
      </c>
      <c r="C93" s="480" t="s">
        <v>955</v>
      </c>
      <c r="D93" s="480" t="s">
        <v>671</v>
      </c>
      <c r="E93" s="480" t="s">
        <v>770</v>
      </c>
      <c r="F93" s="480" t="s">
        <v>771</v>
      </c>
      <c r="G93" s="480" t="s">
        <v>474</v>
      </c>
      <c r="H93" s="480" t="s">
        <v>1074</v>
      </c>
      <c r="I93" s="481" t="b">
        <v>0</v>
      </c>
      <c r="J93" s="481" t="b">
        <v>0</v>
      </c>
      <c r="K93" s="482">
        <v>46266</v>
      </c>
      <c r="L93" s="483">
        <v>9383.14</v>
      </c>
      <c r="M93" s="590"/>
      <c r="N93" s="603">
        <v>100000</v>
      </c>
    </row>
    <row r="94" spans="2:14" x14ac:dyDescent="0.25">
      <c r="B94" s="480" t="str">
        <f>cx_conta[[#This Row],[empresa]]&amp;"-"&amp;cx_conta[[#This Row],[instituicao]]&amp;"-"&amp;RIGHT(SUBSTITUTE(SUBSTITUTE(cx_conta[[#This Row],[contaAtual]]," ",""),"-",""),4)</f>
        <v>BUT-Itaú-5889</v>
      </c>
      <c r="C94" s="480" t="s">
        <v>955</v>
      </c>
      <c r="D94" s="480" t="s">
        <v>671</v>
      </c>
      <c r="E94" s="480" t="s">
        <v>622</v>
      </c>
      <c r="F94" s="480" t="s">
        <v>772</v>
      </c>
      <c r="G94" s="480" t="s">
        <v>1079</v>
      </c>
      <c r="H94" s="480" t="s">
        <v>1074</v>
      </c>
      <c r="I94" s="481" t="b">
        <v>0</v>
      </c>
      <c r="J94" s="481" t="b">
        <v>0</v>
      </c>
      <c r="K94" s="482">
        <v>46237</v>
      </c>
      <c r="L94" s="483">
        <v>4354.7299999999996</v>
      </c>
      <c r="M94" s="484"/>
      <c r="N94" s="484"/>
    </row>
    <row r="95" spans="2:14" x14ac:dyDescent="0.25">
      <c r="B95" s="480" t="str">
        <f>cx_conta[[#This Row],[empresa]]&amp;"-"&amp;cx_conta[[#This Row],[instituicao]]&amp;"-"&amp;RIGHT(SUBSTITUTE(SUBSTITUTE(cx_conta[[#This Row],[contaAtual]]," ",""),"-",""),4)</f>
        <v>BUT-Itaú-5889</v>
      </c>
      <c r="C95" s="480" t="s">
        <v>955</v>
      </c>
      <c r="D95" s="480" t="s">
        <v>671</v>
      </c>
      <c r="E95" s="480" t="s">
        <v>622</v>
      </c>
      <c r="F95" s="480" t="s">
        <v>772</v>
      </c>
      <c r="G95" s="480" t="s">
        <v>1079</v>
      </c>
      <c r="H95" s="480" t="s">
        <v>1074</v>
      </c>
      <c r="I95" s="481" t="b">
        <v>0</v>
      </c>
      <c r="J95" s="481" t="b">
        <v>0</v>
      </c>
      <c r="K95" s="482">
        <v>46266</v>
      </c>
      <c r="L95" s="483">
        <v>4.49</v>
      </c>
      <c r="M95" s="590"/>
      <c r="N95" s="603"/>
    </row>
    <row r="96" spans="2:14" x14ac:dyDescent="0.25">
      <c r="B96" s="480" t="str">
        <f>cx_conta[[#This Row],[empresa]]&amp;"-"&amp;cx_conta[[#This Row],[instituicao]]&amp;"-"&amp;RIGHT(SUBSTITUTE(SUBSTITUTE(cx_conta[[#This Row],[contaAtual]]," ",""),"-",""),4)</f>
        <v>CBL-CEF-0310</v>
      </c>
      <c r="C96" s="480" t="s">
        <v>1087</v>
      </c>
      <c r="D96" s="480" t="s">
        <v>673</v>
      </c>
      <c r="E96" s="480" t="s">
        <v>622</v>
      </c>
      <c r="F96" s="480" t="s">
        <v>795</v>
      </c>
      <c r="G96" s="480" t="s">
        <v>474</v>
      </c>
      <c r="H96" s="480" t="s">
        <v>1074</v>
      </c>
      <c r="I96" s="481" t="b">
        <v>0</v>
      </c>
      <c r="J96" s="481" t="b">
        <v>0</v>
      </c>
      <c r="K96" s="482">
        <v>46237</v>
      </c>
      <c r="L96" s="483">
        <v>0</v>
      </c>
      <c r="M96" s="484"/>
      <c r="N96" s="484"/>
    </row>
    <row r="97" spans="2:14" x14ac:dyDescent="0.25">
      <c r="B97" s="480" t="str">
        <f>cx_conta[[#This Row],[empresa]]&amp;"-"&amp;cx_conta[[#This Row],[instituicao]]&amp;"-"&amp;RIGHT(SUBSTITUTE(SUBSTITUTE(cx_conta[[#This Row],[contaAtual]]," ",""),"-",""),4)</f>
        <v>CBL-CEF-0310</v>
      </c>
      <c r="C97" s="480" t="s">
        <v>1087</v>
      </c>
      <c r="D97" s="480" t="s">
        <v>673</v>
      </c>
      <c r="E97" s="480" t="s">
        <v>622</v>
      </c>
      <c r="F97" s="480" t="s">
        <v>795</v>
      </c>
      <c r="G97" s="480" t="s">
        <v>474</v>
      </c>
      <c r="H97" s="480" t="s">
        <v>1074</v>
      </c>
      <c r="I97" s="481" t="b">
        <v>0</v>
      </c>
      <c r="J97" s="481" t="b">
        <v>0</v>
      </c>
      <c r="K97" s="482">
        <v>46266</v>
      </c>
      <c r="L97" s="483">
        <v>55136.160000000003</v>
      </c>
      <c r="M97" s="590"/>
      <c r="N97" s="603"/>
    </row>
    <row r="98" spans="2:14" x14ac:dyDescent="0.25">
      <c r="B98" s="480" t="str">
        <f>cx_conta[[#This Row],[empresa]]&amp;"-"&amp;cx_conta[[#This Row],[instituicao]]&amp;"-"&amp;RIGHT(SUBSTITUTE(SUBSTITUTE(cx_conta[[#This Row],[contaAtual]]," ",""),"-",""),4)</f>
        <v>CBL-Itaú-6518</v>
      </c>
      <c r="C98" s="480" t="s">
        <v>1087</v>
      </c>
      <c r="D98" s="480" t="s">
        <v>673</v>
      </c>
      <c r="E98" s="480" t="s">
        <v>622</v>
      </c>
      <c r="F98" s="480" t="s">
        <v>806</v>
      </c>
      <c r="G98" s="480" t="s">
        <v>1079</v>
      </c>
      <c r="H98" s="480" t="s">
        <v>1074</v>
      </c>
      <c r="I98" s="481" t="b">
        <v>0</v>
      </c>
      <c r="J98" s="481" t="b">
        <v>0</v>
      </c>
      <c r="K98" s="482">
        <v>46237</v>
      </c>
      <c r="L98" s="483">
        <v>83301.740000000005</v>
      </c>
      <c r="M98" s="484"/>
      <c r="N98" s="484"/>
    </row>
    <row r="99" spans="2:14" x14ac:dyDescent="0.25">
      <c r="B99" s="480" t="str">
        <f>cx_conta[[#This Row],[empresa]]&amp;"-"&amp;cx_conta[[#This Row],[instituicao]]&amp;"-"&amp;RIGHT(SUBSTITUTE(SUBSTITUTE(cx_conta[[#This Row],[contaAtual]]," ",""),"-",""),4)</f>
        <v>CBL-Itaú-6518</v>
      </c>
      <c r="C99" s="480" t="s">
        <v>1087</v>
      </c>
      <c r="D99" s="480" t="s">
        <v>673</v>
      </c>
      <c r="E99" s="480" t="s">
        <v>622</v>
      </c>
      <c r="F99" s="480" t="s">
        <v>806</v>
      </c>
      <c r="G99" s="480" t="s">
        <v>1079</v>
      </c>
      <c r="H99" s="480" t="s">
        <v>1074</v>
      </c>
      <c r="I99" s="481" t="b">
        <v>0</v>
      </c>
      <c r="J99" s="481" t="b">
        <v>0</v>
      </c>
      <c r="K99" s="482">
        <v>46266</v>
      </c>
      <c r="L99" s="483">
        <v>72727.320000000007</v>
      </c>
      <c r="M99" s="590"/>
      <c r="N99" s="603"/>
    </row>
    <row r="100" spans="2:14" x14ac:dyDescent="0.25">
      <c r="B100" s="480" t="str">
        <f>cx_conta[[#This Row],[empresa]]&amp;"-"&amp;cx_conta[[#This Row],[instituicao]]&amp;"-"&amp;RIGHT(SUBSTITUTE(SUBSTITUTE(cx_conta[[#This Row],[contaAtual]]," ",""),"-",""),4)</f>
        <v>CHR-CEF-1895</v>
      </c>
      <c r="C100" s="480" t="s">
        <v>1090</v>
      </c>
      <c r="D100" s="480" t="s">
        <v>777</v>
      </c>
      <c r="E100" s="480" t="s">
        <v>1091</v>
      </c>
      <c r="F100" s="480" t="s">
        <v>778</v>
      </c>
      <c r="G100" s="480" t="s">
        <v>474</v>
      </c>
      <c r="H100" s="480" t="s">
        <v>1074</v>
      </c>
      <c r="I100" s="481" t="b">
        <v>0</v>
      </c>
      <c r="J100" s="481" t="b">
        <v>1</v>
      </c>
      <c r="K100" s="482">
        <v>46237</v>
      </c>
      <c r="L100" s="483">
        <v>323.25</v>
      </c>
      <c r="M100" s="484"/>
      <c r="N100" s="484"/>
    </row>
    <row r="101" spans="2:14" x14ac:dyDescent="0.25">
      <c r="B101" s="480" t="str">
        <f>cx_conta[[#This Row],[empresa]]&amp;"-"&amp;cx_conta[[#This Row],[instituicao]]&amp;"-"&amp;RIGHT(SUBSTITUTE(SUBSTITUTE(cx_conta[[#This Row],[contaAtual]]," ",""),"-",""),4)</f>
        <v>CHR-CEF-1895</v>
      </c>
      <c r="C101" s="480" t="s">
        <v>1090</v>
      </c>
      <c r="D101" s="480" t="s">
        <v>777</v>
      </c>
      <c r="E101" s="480" t="s">
        <v>1091</v>
      </c>
      <c r="F101" s="480" t="s">
        <v>778</v>
      </c>
      <c r="G101" s="480" t="s">
        <v>474</v>
      </c>
      <c r="H101" s="480" t="s">
        <v>1074</v>
      </c>
      <c r="I101" s="481" t="b">
        <v>0</v>
      </c>
      <c r="J101" s="481" t="b">
        <v>1</v>
      </c>
      <c r="K101" s="482">
        <v>46266</v>
      </c>
      <c r="L101" s="483"/>
      <c r="M101" s="590"/>
      <c r="N101" s="603"/>
    </row>
    <row r="102" spans="2:14" x14ac:dyDescent="0.25">
      <c r="B102" s="480" t="str">
        <f>cx_conta[[#This Row],[empresa]]&amp;"-"&amp;cx_conta[[#This Row],[instituicao]]&amp;"-"&amp;RIGHT(SUBSTITUTE(SUBSTITUTE(cx_conta[[#This Row],[contaAtual]]," ",""),"-",""),4)</f>
        <v>CPE-CEF-8368</v>
      </c>
      <c r="C102" s="480" t="s">
        <v>957</v>
      </c>
      <c r="D102" s="480" t="s">
        <v>773</v>
      </c>
      <c r="E102" s="480" t="s">
        <v>774</v>
      </c>
      <c r="F102" s="480" t="s">
        <v>775</v>
      </c>
      <c r="G102" s="480" t="s">
        <v>474</v>
      </c>
      <c r="H102" s="480" t="s">
        <v>1074</v>
      </c>
      <c r="I102" s="481" t="b">
        <v>0</v>
      </c>
      <c r="J102" s="481" t="b">
        <v>0</v>
      </c>
      <c r="K102" s="482">
        <v>46237</v>
      </c>
      <c r="L102" s="483">
        <v>7326.65</v>
      </c>
      <c r="M102" s="484"/>
      <c r="N102" s="484"/>
    </row>
    <row r="103" spans="2:14" x14ac:dyDescent="0.25">
      <c r="B103" s="480" t="str">
        <f>cx_conta[[#This Row],[empresa]]&amp;"-"&amp;cx_conta[[#This Row],[instituicao]]&amp;"-"&amp;RIGHT(SUBSTITUTE(SUBSTITUTE(cx_conta[[#This Row],[contaAtual]]," ",""),"-",""),4)</f>
        <v>CPE-CEF-8368</v>
      </c>
      <c r="C103" s="480" t="s">
        <v>957</v>
      </c>
      <c r="D103" s="480" t="s">
        <v>773</v>
      </c>
      <c r="E103" s="480" t="s">
        <v>774</v>
      </c>
      <c r="F103" s="480" t="s">
        <v>775</v>
      </c>
      <c r="G103" s="480" t="s">
        <v>474</v>
      </c>
      <c r="H103" s="480" t="s">
        <v>1074</v>
      </c>
      <c r="I103" s="481" t="b">
        <v>0</v>
      </c>
      <c r="J103" s="481" t="b">
        <v>0</v>
      </c>
      <c r="K103" s="482">
        <v>46266</v>
      </c>
      <c r="L103" s="483">
        <v>13947.34</v>
      </c>
      <c r="M103" s="590"/>
      <c r="N103" s="603"/>
    </row>
    <row r="104" spans="2:14" x14ac:dyDescent="0.25">
      <c r="B104" s="480" t="str">
        <f>cx_conta[[#This Row],[empresa]]&amp;"-"&amp;cx_conta[[#This Row],[instituicao]]&amp;"-"&amp;RIGHT(SUBSTITUTE(SUBSTITUTE(cx_conta[[#This Row],[contaAtual]]," ",""),"-",""),4)</f>
        <v>CPE-Itaú-5897</v>
      </c>
      <c r="C104" s="480" t="s">
        <v>957</v>
      </c>
      <c r="D104" s="480" t="s">
        <v>773</v>
      </c>
      <c r="E104" s="480" t="s">
        <v>622</v>
      </c>
      <c r="F104" s="480" t="s">
        <v>776</v>
      </c>
      <c r="G104" s="480" t="s">
        <v>1079</v>
      </c>
      <c r="H104" s="480" t="s">
        <v>1074</v>
      </c>
      <c r="I104" s="481" t="b">
        <v>0</v>
      </c>
      <c r="J104" s="481" t="b">
        <v>0</v>
      </c>
      <c r="K104" s="482">
        <v>46237</v>
      </c>
      <c r="L104" s="483">
        <v>2581.81</v>
      </c>
      <c r="M104" s="484"/>
      <c r="N104" s="484"/>
    </row>
    <row r="105" spans="2:14" x14ac:dyDescent="0.25">
      <c r="B105" s="480" t="str">
        <f>cx_conta[[#This Row],[empresa]]&amp;"-"&amp;cx_conta[[#This Row],[instituicao]]&amp;"-"&amp;RIGHT(SUBSTITUTE(SUBSTITUTE(cx_conta[[#This Row],[contaAtual]]," ",""),"-",""),4)</f>
        <v>CPE-Itaú-5897</v>
      </c>
      <c r="C105" s="480" t="s">
        <v>957</v>
      </c>
      <c r="D105" s="480" t="s">
        <v>773</v>
      </c>
      <c r="E105" s="480" t="s">
        <v>622</v>
      </c>
      <c r="F105" s="480" t="s">
        <v>776</v>
      </c>
      <c r="G105" s="480" t="s">
        <v>1079</v>
      </c>
      <c r="H105" s="480" t="s">
        <v>1074</v>
      </c>
      <c r="I105" s="481" t="b">
        <v>0</v>
      </c>
      <c r="J105" s="481" t="b">
        <v>0</v>
      </c>
      <c r="K105" s="482">
        <v>46266</v>
      </c>
      <c r="L105" s="483">
        <v>3874</v>
      </c>
      <c r="M105" s="590"/>
      <c r="N105" s="603"/>
    </row>
    <row r="106" spans="2:14" x14ac:dyDescent="0.25">
      <c r="B106" s="480" t="str">
        <f>cx_conta[[#This Row],[empresa]]&amp;"-"&amp;cx_conta[[#This Row],[instituicao]]&amp;"-"&amp;RIGHT(SUBSTITUTE(SUBSTITUTE(cx_conta[[#This Row],[contaAtual]]," ",""),"-",""),4)</f>
        <v>CXG-CEF-9087</v>
      </c>
      <c r="C106" s="480" t="s">
        <v>348</v>
      </c>
      <c r="D106" s="480" t="s">
        <v>1023</v>
      </c>
      <c r="E106" s="480" t="s">
        <v>622</v>
      </c>
      <c r="F106" s="480" t="s">
        <v>1094</v>
      </c>
      <c r="G106" s="480" t="s">
        <v>474</v>
      </c>
      <c r="H106" s="480" t="s">
        <v>1074</v>
      </c>
      <c r="I106" s="481" t="b">
        <v>0</v>
      </c>
      <c r="J106" s="481" t="b">
        <v>0</v>
      </c>
      <c r="K106" s="482">
        <v>46237</v>
      </c>
      <c r="L106" s="483">
        <v>3258.4</v>
      </c>
      <c r="M106" s="484"/>
      <c r="N106" s="484"/>
    </row>
    <row r="107" spans="2:14" x14ac:dyDescent="0.25">
      <c r="B107" s="480" t="str">
        <f>cx_conta[[#This Row],[empresa]]&amp;"-"&amp;cx_conta[[#This Row],[instituicao]]&amp;"-"&amp;RIGHT(SUBSTITUTE(SUBSTITUTE(cx_conta[[#This Row],[contaAtual]]," ",""),"-",""),4)</f>
        <v>CXG-CEF-9087</v>
      </c>
      <c r="C107" s="480" t="s">
        <v>348</v>
      </c>
      <c r="D107" s="480" t="s">
        <v>1023</v>
      </c>
      <c r="E107" s="480" t="s">
        <v>622</v>
      </c>
      <c r="F107" s="480" t="s">
        <v>1094</v>
      </c>
      <c r="G107" s="480" t="s">
        <v>474</v>
      </c>
      <c r="H107" s="480" t="s">
        <v>1074</v>
      </c>
      <c r="I107" s="481" t="b">
        <v>0</v>
      </c>
      <c r="J107" s="481" t="b">
        <v>0</v>
      </c>
      <c r="K107" s="482">
        <v>46266</v>
      </c>
      <c r="L107" s="483">
        <v>3427.4</v>
      </c>
      <c r="M107" s="590"/>
      <c r="N107" s="603"/>
    </row>
    <row r="108" spans="2:14" x14ac:dyDescent="0.25">
      <c r="B108" s="480" t="str">
        <f>cx_conta[[#This Row],[empresa]]&amp;"-"&amp;cx_conta[[#This Row],[instituicao]]&amp;"-"&amp;RIGHT(SUBSTITUTE(SUBSTITUTE(cx_conta[[#This Row],[contaAtual]]," ",""),"-",""),4)</f>
        <v>DPF-CEF-3945</v>
      </c>
      <c r="C108" s="480" t="s">
        <v>1095</v>
      </c>
      <c r="D108" s="480" t="s">
        <v>779</v>
      </c>
      <c r="E108" s="480" t="s">
        <v>780</v>
      </c>
      <c r="F108" s="480" t="s">
        <v>781</v>
      </c>
      <c r="G108" s="480" t="s">
        <v>474</v>
      </c>
      <c r="H108" s="480" t="s">
        <v>1074</v>
      </c>
      <c r="I108" s="481" t="b">
        <v>0</v>
      </c>
      <c r="J108" s="481" t="b">
        <v>0</v>
      </c>
      <c r="K108" s="482">
        <v>46237</v>
      </c>
      <c r="L108" s="483">
        <v>-3781.55</v>
      </c>
      <c r="M108" s="484"/>
      <c r="N108" s="484">
        <v>10000</v>
      </c>
    </row>
    <row r="109" spans="2:14" x14ac:dyDescent="0.25">
      <c r="B109" s="480" t="str">
        <f>cx_conta[[#This Row],[empresa]]&amp;"-"&amp;cx_conta[[#This Row],[instituicao]]&amp;"-"&amp;RIGHT(SUBSTITUTE(SUBSTITUTE(cx_conta[[#This Row],[contaAtual]]," ",""),"-",""),4)</f>
        <v>DPF-CEF-3945</v>
      </c>
      <c r="C109" s="480" t="s">
        <v>1095</v>
      </c>
      <c r="D109" s="480" t="s">
        <v>779</v>
      </c>
      <c r="E109" s="480" t="s">
        <v>780</v>
      </c>
      <c r="F109" s="480" t="s">
        <v>781</v>
      </c>
      <c r="G109" s="480" t="s">
        <v>474</v>
      </c>
      <c r="H109" s="480" t="s">
        <v>1074</v>
      </c>
      <c r="I109" s="481" t="b">
        <v>0</v>
      </c>
      <c r="J109" s="481" t="b">
        <v>0</v>
      </c>
      <c r="K109" s="482">
        <v>46266</v>
      </c>
      <c r="L109" s="483">
        <v>4121.74</v>
      </c>
      <c r="M109" s="590"/>
      <c r="N109" s="603">
        <v>14121.74</v>
      </c>
    </row>
    <row r="110" spans="2:14" x14ac:dyDescent="0.25">
      <c r="B110" s="480" t="str">
        <f>cx_conta[[#This Row],[empresa]]&amp;"-"&amp;cx_conta[[#This Row],[instituicao]]&amp;"-"&amp;RIGHT(SUBSTITUTE(SUBSTITUTE(cx_conta[[#This Row],[contaAtual]]," ",""),"-",""),4)</f>
        <v>ENC-CEF-2318</v>
      </c>
      <c r="C110" s="480" t="s">
        <v>948</v>
      </c>
      <c r="D110" s="480" t="s">
        <v>479</v>
      </c>
      <c r="E110" s="480" t="s">
        <v>782</v>
      </c>
      <c r="F110" s="480" t="s">
        <v>783</v>
      </c>
      <c r="G110" s="480" t="s">
        <v>474</v>
      </c>
      <c r="H110" s="480" t="s">
        <v>1074</v>
      </c>
      <c r="I110" s="481" t="b">
        <v>0</v>
      </c>
      <c r="J110" s="481" t="b">
        <v>0</v>
      </c>
      <c r="K110" s="482">
        <v>46237</v>
      </c>
      <c r="L110" s="483">
        <v>2230.9699999999998</v>
      </c>
      <c r="M110" s="484"/>
      <c r="N110" s="484">
        <v>50000</v>
      </c>
    </row>
    <row r="111" spans="2:14" x14ac:dyDescent="0.25">
      <c r="B111" s="480" t="str">
        <f>cx_conta[[#This Row],[empresa]]&amp;"-"&amp;cx_conta[[#This Row],[instituicao]]&amp;"-"&amp;RIGHT(SUBSTITUTE(SUBSTITUTE(cx_conta[[#This Row],[contaAtual]]," ",""),"-",""),4)</f>
        <v>ENC-CEF-2318</v>
      </c>
      <c r="C111" s="480" t="s">
        <v>948</v>
      </c>
      <c r="D111" s="480" t="s">
        <v>479</v>
      </c>
      <c r="E111" s="480" t="s">
        <v>782</v>
      </c>
      <c r="F111" s="480" t="s">
        <v>783</v>
      </c>
      <c r="G111" s="480" t="s">
        <v>474</v>
      </c>
      <c r="H111" s="480" t="s">
        <v>1074</v>
      </c>
      <c r="I111" s="481" t="b">
        <v>0</v>
      </c>
      <c r="J111" s="481" t="b">
        <v>0</v>
      </c>
      <c r="K111" s="482">
        <v>46266</v>
      </c>
      <c r="L111" s="483">
        <v>2105.9699999999998</v>
      </c>
      <c r="M111" s="590"/>
      <c r="N111" s="603">
        <v>50000</v>
      </c>
    </row>
    <row r="112" spans="2:14" x14ac:dyDescent="0.25">
      <c r="B112" s="480" t="str">
        <f>cx_conta[[#This Row],[empresa]]&amp;"-"&amp;cx_conta[[#This Row],[instituicao]]&amp;"-"&amp;RIGHT(SUBSTITUTE(SUBSTITUTE(cx_conta[[#This Row],[contaAtual]]," ",""),"-",""),4)</f>
        <v>ENC-CEF-3068</v>
      </c>
      <c r="C112" s="480" t="s">
        <v>948</v>
      </c>
      <c r="D112" s="480" t="s">
        <v>479</v>
      </c>
      <c r="E112" s="480" t="s">
        <v>784</v>
      </c>
      <c r="F112" s="480" t="s">
        <v>785</v>
      </c>
      <c r="G112" s="480" t="s">
        <v>474</v>
      </c>
      <c r="H112" s="480" t="s">
        <v>1074</v>
      </c>
      <c r="I112" s="481" t="b">
        <v>0</v>
      </c>
      <c r="J112" s="481" t="b">
        <v>0</v>
      </c>
      <c r="K112" s="482">
        <v>46237</v>
      </c>
      <c r="L112" s="483">
        <v>2676.34</v>
      </c>
      <c r="M112" s="484"/>
      <c r="N112" s="484"/>
    </row>
    <row r="113" spans="2:14" x14ac:dyDescent="0.25">
      <c r="B113" s="480" t="str">
        <f>cx_conta[[#This Row],[empresa]]&amp;"-"&amp;cx_conta[[#This Row],[instituicao]]&amp;"-"&amp;RIGHT(SUBSTITUTE(SUBSTITUTE(cx_conta[[#This Row],[contaAtual]]," ",""),"-",""),4)</f>
        <v>ENC-CEF-3068</v>
      </c>
      <c r="C113" s="480" t="s">
        <v>948</v>
      </c>
      <c r="D113" s="480" t="s">
        <v>479</v>
      </c>
      <c r="E113" s="480" t="s">
        <v>784</v>
      </c>
      <c r="F113" s="480" t="s">
        <v>785</v>
      </c>
      <c r="G113" s="480" t="s">
        <v>474</v>
      </c>
      <c r="H113" s="480" t="s">
        <v>1074</v>
      </c>
      <c r="I113" s="481" t="b">
        <v>0</v>
      </c>
      <c r="J113" s="481" t="b">
        <v>0</v>
      </c>
      <c r="K113" s="482">
        <v>46266</v>
      </c>
      <c r="L113" s="483">
        <v>3877.18</v>
      </c>
      <c r="M113" s="590"/>
      <c r="N113" s="603"/>
    </row>
    <row r="114" spans="2:14" x14ac:dyDescent="0.25">
      <c r="B114" s="480" t="str">
        <f>cx_conta[[#This Row],[empresa]]&amp;"-"&amp;cx_conta[[#This Row],[instituicao]]&amp;"-"&amp;RIGHT(SUBSTITUTE(SUBSTITUTE(cx_conta[[#This Row],[contaAtual]]," ",""),"-",""),4)</f>
        <v>ENC-Itaú-7002</v>
      </c>
      <c r="C114" s="480" t="s">
        <v>948</v>
      </c>
      <c r="D114" s="480" t="s">
        <v>479</v>
      </c>
      <c r="E114" s="480" t="s">
        <v>622</v>
      </c>
      <c r="F114" s="480" t="s">
        <v>786</v>
      </c>
      <c r="G114" s="480" t="s">
        <v>1079</v>
      </c>
      <c r="H114" s="480" t="s">
        <v>1074</v>
      </c>
      <c r="I114" s="481" t="b">
        <v>0</v>
      </c>
      <c r="J114" s="481" t="b">
        <v>0</v>
      </c>
      <c r="K114" s="482">
        <v>46237</v>
      </c>
      <c r="L114" s="483">
        <v>106.68</v>
      </c>
      <c r="M114" s="484"/>
      <c r="N114" s="484">
        <v>88106.68</v>
      </c>
    </row>
    <row r="115" spans="2:14" x14ac:dyDescent="0.25">
      <c r="B115" s="480" t="str">
        <f>cx_conta[[#This Row],[empresa]]&amp;"-"&amp;cx_conta[[#This Row],[instituicao]]&amp;"-"&amp;RIGHT(SUBSTITUTE(SUBSTITUTE(cx_conta[[#This Row],[contaAtual]]," ",""),"-",""),4)</f>
        <v>ENC-Itaú-7002</v>
      </c>
      <c r="C115" s="480" t="s">
        <v>948</v>
      </c>
      <c r="D115" s="480" t="s">
        <v>479</v>
      </c>
      <c r="E115" s="480" t="s">
        <v>622</v>
      </c>
      <c r="F115" s="480" t="s">
        <v>786</v>
      </c>
      <c r="G115" s="480" t="s">
        <v>1079</v>
      </c>
      <c r="H115" s="480" t="s">
        <v>1074</v>
      </c>
      <c r="I115" s="481" t="b">
        <v>0</v>
      </c>
      <c r="J115" s="481" t="b">
        <v>0</v>
      </c>
      <c r="K115" s="482">
        <v>46266</v>
      </c>
      <c r="L115" s="483">
        <v>-24583.71</v>
      </c>
      <c r="M115" s="590"/>
      <c r="N115" s="603">
        <v>63416.29</v>
      </c>
    </row>
    <row r="116" spans="2:14" x14ac:dyDescent="0.25">
      <c r="B116" s="480" t="str">
        <f>cx_conta[[#This Row],[empresa]]&amp;"-"&amp;cx_conta[[#This Row],[instituicao]]&amp;"-"&amp;RIGHT(SUBSTITUTE(SUBSTITUTE(cx_conta[[#This Row],[contaAtual]]," ",""),"-",""),4)</f>
        <v>GRA-CEF-3630</v>
      </c>
      <c r="C116" s="480" t="s">
        <v>1097</v>
      </c>
      <c r="D116" s="480" t="s">
        <v>9</v>
      </c>
      <c r="E116" s="480" t="s">
        <v>797</v>
      </c>
      <c r="F116" s="480" t="s">
        <v>798</v>
      </c>
      <c r="G116" s="480" t="s">
        <v>474</v>
      </c>
      <c r="H116" s="480" t="s">
        <v>1074</v>
      </c>
      <c r="I116" s="481" t="b">
        <v>0</v>
      </c>
      <c r="J116" s="481" t="b">
        <v>0</v>
      </c>
      <c r="K116" s="482">
        <v>46237</v>
      </c>
      <c r="L116" s="483">
        <v>65350.57</v>
      </c>
      <c r="M116" s="484"/>
      <c r="N116" s="484"/>
    </row>
    <row r="117" spans="2:14" x14ac:dyDescent="0.25">
      <c r="B117" s="480" t="str">
        <f>cx_conta[[#This Row],[empresa]]&amp;"-"&amp;cx_conta[[#This Row],[instituicao]]&amp;"-"&amp;RIGHT(SUBSTITUTE(SUBSTITUTE(cx_conta[[#This Row],[contaAtual]]," ",""),"-",""),4)</f>
        <v>GRA-CEF-3630</v>
      </c>
      <c r="C117" s="480" t="s">
        <v>1097</v>
      </c>
      <c r="D117" s="480" t="s">
        <v>9</v>
      </c>
      <c r="E117" s="480" t="s">
        <v>797</v>
      </c>
      <c r="F117" s="480" t="s">
        <v>798</v>
      </c>
      <c r="G117" s="480" t="s">
        <v>474</v>
      </c>
      <c r="H117" s="480" t="s">
        <v>1074</v>
      </c>
      <c r="I117" s="481" t="b">
        <v>0</v>
      </c>
      <c r="J117" s="481" t="b">
        <v>0</v>
      </c>
      <c r="K117" s="482">
        <v>46266</v>
      </c>
      <c r="L117" s="483">
        <v>32479.5</v>
      </c>
      <c r="M117" s="590"/>
      <c r="N117" s="603"/>
    </row>
    <row r="118" spans="2:14" x14ac:dyDescent="0.25">
      <c r="B118" s="480" t="str">
        <f>cx_conta[[#This Row],[empresa]]&amp;"-"&amp;cx_conta[[#This Row],[instituicao]]&amp;"-"&amp;RIGHT(SUBSTITUTE(SUBSTITUTE(cx_conta[[#This Row],[contaAtual]]," ",""),"-",""),4)</f>
        <v>GRA-CEF-8630</v>
      </c>
      <c r="C118" s="480" t="s">
        <v>1097</v>
      </c>
      <c r="D118" s="480" t="s">
        <v>9</v>
      </c>
      <c r="E118" s="480" t="s">
        <v>622</v>
      </c>
      <c r="F118" s="480" t="s">
        <v>799</v>
      </c>
      <c r="G118" s="480" t="s">
        <v>474</v>
      </c>
      <c r="H118" s="480" t="s">
        <v>1074</v>
      </c>
      <c r="I118" s="481" t="b">
        <v>1</v>
      </c>
      <c r="J118" s="481" t="b">
        <v>0</v>
      </c>
      <c r="K118" s="482">
        <v>46237</v>
      </c>
      <c r="L118" s="483">
        <v>1093917.1100000001</v>
      </c>
      <c r="M118" s="484">
        <v>12000</v>
      </c>
      <c r="N118" s="484"/>
    </row>
    <row r="119" spans="2:14" x14ac:dyDescent="0.25">
      <c r="B119" s="480" t="str">
        <f>cx_conta[[#This Row],[empresa]]&amp;"-"&amp;cx_conta[[#This Row],[instituicao]]&amp;"-"&amp;RIGHT(SUBSTITUTE(SUBSTITUTE(cx_conta[[#This Row],[contaAtual]]," ",""),"-",""),4)</f>
        <v>GRA-CEF-8630</v>
      </c>
      <c r="C119" s="480" t="s">
        <v>1097</v>
      </c>
      <c r="D119" s="480" t="s">
        <v>9</v>
      </c>
      <c r="E119" s="480" t="s">
        <v>622</v>
      </c>
      <c r="F119" s="480" t="s">
        <v>799</v>
      </c>
      <c r="G119" s="480" t="s">
        <v>474</v>
      </c>
      <c r="H119" s="480" t="s">
        <v>1074</v>
      </c>
      <c r="I119" s="481" t="b">
        <v>1</v>
      </c>
      <c r="J119" s="481" t="b">
        <v>0</v>
      </c>
      <c r="K119" s="482">
        <v>46266</v>
      </c>
      <c r="L119" s="483">
        <v>30923.79</v>
      </c>
      <c r="M119" s="590">
        <v>12000</v>
      </c>
      <c r="N119" s="603"/>
    </row>
    <row r="120" spans="2:14" x14ac:dyDescent="0.25">
      <c r="B120" s="480" t="str">
        <f>cx_conta[[#This Row],[empresa]]&amp;"-"&amp;cx_conta[[#This Row],[instituicao]]&amp;"-"&amp;RIGHT(SUBSTITUTE(SUBSTITUTE(cx_conta[[#This Row],[contaAtual]]," ",""),"-",""),4)</f>
        <v>GRA-Itaú-7250</v>
      </c>
      <c r="C120" s="480" t="s">
        <v>1097</v>
      </c>
      <c r="D120" s="480" t="s">
        <v>9</v>
      </c>
      <c r="E120" s="480" t="s">
        <v>622</v>
      </c>
      <c r="F120" s="480" t="s">
        <v>800</v>
      </c>
      <c r="G120" s="480" t="s">
        <v>1079</v>
      </c>
      <c r="H120" s="480" t="s">
        <v>1074</v>
      </c>
      <c r="I120" s="481" t="b">
        <v>0</v>
      </c>
      <c r="J120" s="481" t="b">
        <v>0</v>
      </c>
      <c r="K120" s="482">
        <v>46237</v>
      </c>
      <c r="L120" s="483">
        <v>3728.69</v>
      </c>
      <c r="M120" s="484"/>
      <c r="N120" s="484">
        <v>31700</v>
      </c>
    </row>
    <row r="121" spans="2:14" x14ac:dyDescent="0.25">
      <c r="B121" s="480" t="str">
        <f>cx_conta[[#This Row],[empresa]]&amp;"-"&amp;cx_conta[[#This Row],[instituicao]]&amp;"-"&amp;RIGHT(SUBSTITUTE(SUBSTITUTE(cx_conta[[#This Row],[contaAtual]]," ",""),"-",""),4)</f>
        <v>GRA-Itaú-7250</v>
      </c>
      <c r="C121" s="480" t="s">
        <v>1097</v>
      </c>
      <c r="D121" s="480" t="s">
        <v>9</v>
      </c>
      <c r="E121" s="480" t="s">
        <v>622</v>
      </c>
      <c r="F121" s="480" t="s">
        <v>800</v>
      </c>
      <c r="G121" s="480" t="s">
        <v>1079</v>
      </c>
      <c r="H121" s="480" t="s">
        <v>1074</v>
      </c>
      <c r="I121" s="481" t="b">
        <v>0</v>
      </c>
      <c r="J121" s="481" t="b">
        <v>0</v>
      </c>
      <c r="K121" s="482">
        <v>46266</v>
      </c>
      <c r="L121" s="483">
        <v>3480.77</v>
      </c>
      <c r="M121" s="590"/>
      <c r="N121" s="603">
        <v>35180.769999999997</v>
      </c>
    </row>
    <row r="122" spans="2:14" x14ac:dyDescent="0.25">
      <c r="B122" s="480" t="str">
        <f>cx_conta[[#This Row],[empresa]]&amp;"-"&amp;cx_conta[[#This Row],[instituicao]]&amp;"-"&amp;RIGHT(SUBSTITUTE(SUBSTITUTE(cx_conta[[#This Row],[contaAtual]]," ",""),"-",""),4)</f>
        <v>INC-CEF-1233</v>
      </c>
      <c r="C122" s="480" t="s">
        <v>952</v>
      </c>
      <c r="D122" s="480" t="s">
        <v>481</v>
      </c>
      <c r="E122" s="480" t="s">
        <v>787</v>
      </c>
      <c r="F122" s="480" t="s">
        <v>788</v>
      </c>
      <c r="G122" s="480" t="s">
        <v>474</v>
      </c>
      <c r="H122" s="480" t="s">
        <v>1074</v>
      </c>
      <c r="I122" s="481" t="b">
        <v>0</v>
      </c>
      <c r="J122" s="481" t="b">
        <v>0</v>
      </c>
      <c r="K122" s="482">
        <v>46237</v>
      </c>
      <c r="L122" s="483">
        <v>999.04</v>
      </c>
      <c r="M122" s="484"/>
      <c r="N122" s="484"/>
    </row>
    <row r="123" spans="2:14" x14ac:dyDescent="0.25">
      <c r="B123" s="480" t="str">
        <f>cx_conta[[#This Row],[empresa]]&amp;"-"&amp;cx_conta[[#This Row],[instituicao]]&amp;"-"&amp;RIGHT(SUBSTITUTE(SUBSTITUTE(cx_conta[[#This Row],[contaAtual]]," ",""),"-",""),4)</f>
        <v>INC-CEF-1233</v>
      </c>
      <c r="C123" s="480" t="s">
        <v>952</v>
      </c>
      <c r="D123" s="480" t="s">
        <v>481</v>
      </c>
      <c r="E123" s="480" t="s">
        <v>787</v>
      </c>
      <c r="F123" s="480" t="s">
        <v>788</v>
      </c>
      <c r="G123" s="480" t="s">
        <v>474</v>
      </c>
      <c r="H123" s="480" t="s">
        <v>1074</v>
      </c>
      <c r="I123" s="481" t="b">
        <v>0</v>
      </c>
      <c r="J123" s="481" t="b">
        <v>0</v>
      </c>
      <c r="K123" s="482">
        <v>46266</v>
      </c>
      <c r="L123" s="483">
        <v>306082.59000000003</v>
      </c>
      <c r="M123" s="590"/>
      <c r="N123" s="603">
        <v>30000</v>
      </c>
    </row>
    <row r="124" spans="2:14" x14ac:dyDescent="0.25">
      <c r="B124" s="480" t="str">
        <f>cx_conta[[#This Row],[empresa]]&amp;"-"&amp;cx_conta[[#This Row],[instituicao]]&amp;"-"&amp;RIGHT(SUBSTITUTE(SUBSTITUTE(cx_conta[[#This Row],[contaAtual]]," ",""),"-",""),4)</f>
        <v>INC-Itaú-3101</v>
      </c>
      <c r="C124" s="480" t="s">
        <v>952</v>
      </c>
      <c r="D124" s="480" t="s">
        <v>481</v>
      </c>
      <c r="E124" s="480" t="s">
        <v>622</v>
      </c>
      <c r="F124" s="480" t="s">
        <v>789</v>
      </c>
      <c r="G124" s="480" t="s">
        <v>1079</v>
      </c>
      <c r="H124" s="480" t="s">
        <v>1074</v>
      </c>
      <c r="I124" s="481" t="b">
        <v>0</v>
      </c>
      <c r="J124" s="481" t="b">
        <v>0</v>
      </c>
      <c r="K124" s="482">
        <v>46237</v>
      </c>
      <c r="L124" s="483">
        <v>313.12</v>
      </c>
      <c r="M124" s="484"/>
      <c r="N124" s="484">
        <v>5313.12</v>
      </c>
    </row>
    <row r="125" spans="2:14" x14ac:dyDescent="0.25">
      <c r="B125" s="480" t="str">
        <f>cx_conta[[#This Row],[empresa]]&amp;"-"&amp;cx_conta[[#This Row],[instituicao]]&amp;"-"&amp;RIGHT(SUBSTITUTE(SUBSTITUTE(cx_conta[[#This Row],[contaAtual]]," ",""),"-",""),4)</f>
        <v>INC-Itaú-3101</v>
      </c>
      <c r="C125" s="480" t="s">
        <v>952</v>
      </c>
      <c r="D125" s="480" t="s">
        <v>481</v>
      </c>
      <c r="E125" s="480" t="s">
        <v>622</v>
      </c>
      <c r="F125" s="480" t="s">
        <v>789</v>
      </c>
      <c r="G125" s="480" t="s">
        <v>1079</v>
      </c>
      <c r="H125" s="480" t="s">
        <v>1074</v>
      </c>
      <c r="I125" s="481" t="b">
        <v>0</v>
      </c>
      <c r="J125" s="481" t="b">
        <v>0</v>
      </c>
      <c r="K125" s="482">
        <v>46266</v>
      </c>
      <c r="L125" s="483">
        <v>326732.09000000003</v>
      </c>
      <c r="M125" s="590"/>
      <c r="N125" s="603">
        <v>5000</v>
      </c>
    </row>
    <row r="126" spans="2:14" x14ac:dyDescent="0.25">
      <c r="B126" s="480" t="str">
        <f>cx_conta[[#This Row],[empresa]]&amp;"-"&amp;cx_conta[[#This Row],[instituicao]]&amp;"-"&amp;RIGHT(SUBSTITUTE(SUBSTITUTE(cx_conta[[#This Row],[contaAtual]]," ",""),"-",""),4)</f>
        <v>JRP-CEF-4610</v>
      </c>
      <c r="C126" s="480" t="s">
        <v>381</v>
      </c>
      <c r="D126" s="480" t="s">
        <v>677</v>
      </c>
      <c r="E126" s="480" t="s">
        <v>622</v>
      </c>
      <c r="F126" s="480" t="s">
        <v>744</v>
      </c>
      <c r="G126" s="480" t="s">
        <v>474</v>
      </c>
      <c r="H126" s="480" t="s">
        <v>1074</v>
      </c>
      <c r="I126" s="481" t="b">
        <v>0</v>
      </c>
      <c r="J126" s="481" t="b">
        <v>0</v>
      </c>
      <c r="K126" s="482">
        <v>46237</v>
      </c>
      <c r="L126" s="483">
        <v>401.22</v>
      </c>
      <c r="M126" s="484"/>
      <c r="N126" s="484"/>
    </row>
    <row r="127" spans="2:14" x14ac:dyDescent="0.25">
      <c r="B127" s="480" t="str">
        <f>cx_conta[[#This Row],[empresa]]&amp;"-"&amp;cx_conta[[#This Row],[instituicao]]&amp;"-"&amp;RIGHT(SUBSTITUTE(SUBSTITUTE(cx_conta[[#This Row],[contaAtual]]," ",""),"-",""),4)</f>
        <v>JRP-CEF-4610</v>
      </c>
      <c r="C127" s="480" t="s">
        <v>381</v>
      </c>
      <c r="D127" s="480" t="s">
        <v>677</v>
      </c>
      <c r="E127" s="480" t="s">
        <v>622</v>
      </c>
      <c r="F127" s="480" t="s">
        <v>744</v>
      </c>
      <c r="G127" s="480" t="s">
        <v>474</v>
      </c>
      <c r="H127" s="480" t="s">
        <v>1074</v>
      </c>
      <c r="I127" s="481" t="b">
        <v>0</v>
      </c>
      <c r="J127" s="481" t="b">
        <v>0</v>
      </c>
      <c r="K127" s="482">
        <v>46266</v>
      </c>
      <c r="L127" s="483">
        <v>326.22000000000003</v>
      </c>
      <c r="M127" s="590"/>
      <c r="N127" s="603"/>
    </row>
    <row r="128" spans="2:14" x14ac:dyDescent="0.25">
      <c r="B128" s="480" t="str">
        <f>cx_conta[[#This Row],[empresa]]&amp;"-"&amp;cx_conta[[#This Row],[instituicao]]&amp;"-"&amp;RIGHT(SUBSTITUTE(SUBSTITUTE(cx_conta[[#This Row],[contaAtual]]," ",""),"-",""),4)</f>
        <v>JRP-Itaú-6815</v>
      </c>
      <c r="C128" s="480" t="s">
        <v>381</v>
      </c>
      <c r="D128" s="480" t="s">
        <v>677</v>
      </c>
      <c r="E128" s="480" t="s">
        <v>622</v>
      </c>
      <c r="F128" s="480" t="s">
        <v>745</v>
      </c>
      <c r="G128" s="480" t="s">
        <v>1079</v>
      </c>
      <c r="H128" s="480" t="s">
        <v>1074</v>
      </c>
      <c r="I128" s="481" t="b">
        <v>0</v>
      </c>
      <c r="J128" s="481" t="b">
        <v>0</v>
      </c>
      <c r="K128" s="482">
        <v>46237</v>
      </c>
      <c r="L128" s="483">
        <v>2204.89</v>
      </c>
      <c r="M128" s="484"/>
      <c r="N128" s="484"/>
    </row>
    <row r="129" spans="2:14" x14ac:dyDescent="0.25">
      <c r="B129" s="480" t="str">
        <f>cx_conta[[#This Row],[empresa]]&amp;"-"&amp;cx_conta[[#This Row],[instituicao]]&amp;"-"&amp;RIGHT(SUBSTITUTE(SUBSTITUTE(cx_conta[[#This Row],[contaAtual]]," ",""),"-",""),4)</f>
        <v>JRP-Itaú-6815</v>
      </c>
      <c r="C129" s="480" t="s">
        <v>381</v>
      </c>
      <c r="D129" s="480" t="s">
        <v>677</v>
      </c>
      <c r="E129" s="480" t="s">
        <v>622</v>
      </c>
      <c r="F129" s="480" t="s">
        <v>745</v>
      </c>
      <c r="G129" s="480" t="s">
        <v>1079</v>
      </c>
      <c r="H129" s="480" t="s">
        <v>1074</v>
      </c>
      <c r="I129" s="481" t="b">
        <v>0</v>
      </c>
      <c r="J129" s="481" t="b">
        <v>0</v>
      </c>
      <c r="K129" s="482">
        <v>46266</v>
      </c>
      <c r="L129" s="483">
        <v>116650.51</v>
      </c>
      <c r="M129" s="590"/>
      <c r="N129" s="603"/>
    </row>
    <row r="130" spans="2:14" x14ac:dyDescent="0.25">
      <c r="B130" s="480" t="str">
        <f>cx_conta[[#This Row],[empresa]]&amp;"-"&amp;cx_conta[[#This Row],[instituicao]]&amp;"-"&amp;RIGHT(SUBSTITUTE(SUBSTITUTE(cx_conta[[#This Row],[contaAtual]]," ",""),"-",""),4)</f>
        <v>JSP-CEF-8414</v>
      </c>
      <c r="C130" s="480" t="s">
        <v>1100</v>
      </c>
      <c r="D130" s="480" t="s">
        <v>753</v>
      </c>
      <c r="E130" s="480" t="s">
        <v>622</v>
      </c>
      <c r="F130" s="480" t="s">
        <v>754</v>
      </c>
      <c r="G130" s="480" t="s">
        <v>474</v>
      </c>
      <c r="H130" s="480" t="s">
        <v>1074</v>
      </c>
      <c r="I130" s="481" t="b">
        <v>0</v>
      </c>
      <c r="J130" s="481" t="b">
        <v>0</v>
      </c>
      <c r="K130" s="482">
        <v>46237</v>
      </c>
      <c r="L130" s="483">
        <v>0</v>
      </c>
      <c r="M130" s="484"/>
      <c r="N130" s="484"/>
    </row>
    <row r="131" spans="2:14" ht="15.75" thickBot="1" x14ac:dyDescent="0.3">
      <c r="B131" s="480" t="str">
        <f>cx_conta[[#This Row],[empresa]]&amp;"-"&amp;cx_conta[[#This Row],[instituicao]]&amp;"-"&amp;RIGHT(SUBSTITUTE(SUBSTITUTE(cx_conta[[#This Row],[contaAtual]]," ",""),"-",""),4)</f>
        <v>JSP-CEF-8414</v>
      </c>
      <c r="C131" s="480" t="s">
        <v>1100</v>
      </c>
      <c r="D131" s="480" t="s">
        <v>753</v>
      </c>
      <c r="E131" s="480" t="s">
        <v>622</v>
      </c>
      <c r="F131" s="480" t="s">
        <v>754</v>
      </c>
      <c r="G131" s="480" t="s">
        <v>474</v>
      </c>
      <c r="H131" s="480" t="s">
        <v>1074</v>
      </c>
      <c r="I131" s="481" t="b">
        <v>0</v>
      </c>
      <c r="J131" s="481" t="b">
        <v>0</v>
      </c>
      <c r="K131" s="482">
        <v>46266</v>
      </c>
      <c r="L131" s="496"/>
      <c r="M131" s="590"/>
      <c r="N131" s="603"/>
    </row>
    <row r="132" spans="2:14" ht="15.75" thickTop="1" x14ac:dyDescent="0.25">
      <c r="B132" s="480" t="str">
        <f>cx_conta[[#This Row],[empresa]]&amp;"-"&amp;cx_conta[[#This Row],[instituicao]]&amp;"-"&amp;RIGHT(SUBSTITUTE(SUBSTITUTE(cx_conta[[#This Row],[contaAtual]]," ",""),"-",""),4)</f>
        <v>JSP-Itaú-6534</v>
      </c>
      <c r="C132" s="480" t="s">
        <v>1099</v>
      </c>
      <c r="D132" s="480" t="s">
        <v>753</v>
      </c>
      <c r="E132" s="480" t="s">
        <v>622</v>
      </c>
      <c r="F132" s="480" t="s">
        <v>755</v>
      </c>
      <c r="G132" s="480" t="s">
        <v>1079</v>
      </c>
      <c r="H132" s="480" t="s">
        <v>1074</v>
      </c>
      <c r="I132" s="481" t="b">
        <v>0</v>
      </c>
      <c r="J132" s="481" t="b">
        <v>0</v>
      </c>
      <c r="K132" s="482">
        <v>46237</v>
      </c>
      <c r="L132" s="483">
        <v>19330.830000000002</v>
      </c>
      <c r="M132" s="484"/>
      <c r="N132" s="604"/>
    </row>
    <row r="133" spans="2:14" x14ac:dyDescent="0.25">
      <c r="B133" s="480" t="str">
        <f>cx_conta[[#This Row],[empresa]]&amp;"-"&amp;cx_conta[[#This Row],[instituicao]]&amp;"-"&amp;RIGHT(SUBSTITUTE(SUBSTITUTE(cx_conta[[#This Row],[contaAtual]]," ",""),"-",""),4)</f>
        <v>JSP-Itaú-6534</v>
      </c>
      <c r="C133" s="480" t="s">
        <v>1099</v>
      </c>
      <c r="D133" s="480" t="s">
        <v>753</v>
      </c>
      <c r="E133" s="480" t="s">
        <v>622</v>
      </c>
      <c r="F133" s="480" t="s">
        <v>755</v>
      </c>
      <c r="G133" s="480" t="s">
        <v>1079</v>
      </c>
      <c r="H133" s="480" t="s">
        <v>1074</v>
      </c>
      <c r="I133" s="481" t="b">
        <v>0</v>
      </c>
      <c r="J133" s="481" t="b">
        <v>0</v>
      </c>
      <c r="K133" s="482">
        <v>46266</v>
      </c>
      <c r="L133" s="483">
        <v>3064.63</v>
      </c>
      <c r="M133" s="590"/>
      <c r="N133" s="602"/>
    </row>
    <row r="134" spans="2:14" x14ac:dyDescent="0.25">
      <c r="B134" s="480" t="str">
        <f>cx_conta[[#This Row],[empresa]]&amp;"-"&amp;cx_conta[[#This Row],[instituicao]]&amp;"-"&amp;RIGHT(SUBSTITUTE(SUBSTITUTE(cx_conta[[#This Row],[contaAtual]]," ",""),"-",""),4)</f>
        <v>LCG-CEF-4232</v>
      </c>
      <c r="C134" s="480" t="s">
        <v>1101</v>
      </c>
      <c r="D134" s="480" t="s">
        <v>482</v>
      </c>
      <c r="E134" s="480" t="s">
        <v>790</v>
      </c>
      <c r="F134" s="480" t="s">
        <v>791</v>
      </c>
      <c r="G134" s="480" t="s">
        <v>474</v>
      </c>
      <c r="H134" s="480" t="s">
        <v>1074</v>
      </c>
      <c r="I134" s="481" t="b">
        <v>0</v>
      </c>
      <c r="J134" s="481" t="b">
        <v>1</v>
      </c>
      <c r="K134" s="482">
        <v>46237</v>
      </c>
      <c r="L134" s="483">
        <v>-886.57</v>
      </c>
      <c r="M134" s="484"/>
      <c r="N134" s="604"/>
    </row>
    <row r="135" spans="2:14" x14ac:dyDescent="0.25">
      <c r="B135" s="480" t="str">
        <f>cx_conta[[#This Row],[empresa]]&amp;"-"&amp;cx_conta[[#This Row],[instituicao]]&amp;"-"&amp;RIGHT(SUBSTITUTE(SUBSTITUTE(cx_conta[[#This Row],[contaAtual]]," ",""),"-",""),4)</f>
        <v>LCG-CEF-4232</v>
      </c>
      <c r="C135" s="480" t="s">
        <v>1101</v>
      </c>
      <c r="D135" s="480" t="s">
        <v>482</v>
      </c>
      <c r="E135" s="480" t="s">
        <v>790</v>
      </c>
      <c r="F135" s="480" t="s">
        <v>791</v>
      </c>
      <c r="G135" s="480" t="s">
        <v>474</v>
      </c>
      <c r="H135" s="480" t="s">
        <v>1074</v>
      </c>
      <c r="I135" s="481" t="b">
        <v>0</v>
      </c>
      <c r="J135" s="481" t="b">
        <v>1</v>
      </c>
      <c r="K135" s="482">
        <v>46266</v>
      </c>
      <c r="L135" s="483">
        <v>22754.400000000001</v>
      </c>
      <c r="M135" s="590"/>
      <c r="N135" s="602">
        <v>20000</v>
      </c>
    </row>
    <row r="136" spans="2:14" x14ac:dyDescent="0.25">
      <c r="B136" s="480" t="str">
        <f>cx_conta[[#This Row],[empresa]]&amp;"-"&amp;cx_conta[[#This Row],[instituicao]]&amp;"-"&amp;RIGHT(SUBSTITUTE(SUBSTITUTE(cx_conta[[#This Row],[contaAtual]]," ",""),"-",""),4)</f>
        <v>LCG-Itaú-8523</v>
      </c>
      <c r="C136" s="480" t="s">
        <v>1101</v>
      </c>
      <c r="D136" s="480" t="s">
        <v>482</v>
      </c>
      <c r="E136" s="480" t="s">
        <v>622</v>
      </c>
      <c r="F136" s="480" t="s">
        <v>792</v>
      </c>
      <c r="G136" s="480" t="s">
        <v>1079</v>
      </c>
      <c r="H136" s="480" t="s">
        <v>1074</v>
      </c>
      <c r="I136" s="481" t="b">
        <v>0</v>
      </c>
      <c r="J136" s="481" t="b">
        <v>0</v>
      </c>
      <c r="K136" s="482">
        <v>46266</v>
      </c>
      <c r="L136" s="483"/>
      <c r="M136" s="590"/>
      <c r="N136" s="602"/>
    </row>
    <row r="137" spans="2:14" x14ac:dyDescent="0.25">
      <c r="B137" s="480" t="str">
        <f>cx_conta[[#This Row],[empresa]]&amp;"-"&amp;cx_conta[[#This Row],[instituicao]]&amp;"-"&amp;RIGHT(SUBSTITUTE(SUBSTITUTE(cx_conta[[#This Row],[contaAtual]]," ",""),"-",""),4)</f>
        <v>LCG-Paulista-</v>
      </c>
      <c r="C137" s="480" t="s">
        <v>1101</v>
      </c>
      <c r="D137" s="480" t="s">
        <v>482</v>
      </c>
      <c r="E137" s="480" t="s">
        <v>622</v>
      </c>
      <c r="F137" s="480"/>
      <c r="G137" s="480" t="s">
        <v>945</v>
      </c>
      <c r="H137" s="480"/>
      <c r="I137" s="481" t="b">
        <v>0</v>
      </c>
      <c r="J137" s="481" t="b">
        <v>0</v>
      </c>
      <c r="K137" s="482">
        <v>46237</v>
      </c>
      <c r="L137" s="483">
        <v>0</v>
      </c>
      <c r="M137" s="484"/>
      <c r="N137" s="604"/>
    </row>
    <row r="138" spans="2:14" x14ac:dyDescent="0.25">
      <c r="B138" s="480" t="str">
        <f>cx_conta[[#This Row],[empresa]]&amp;"-"&amp;cx_conta[[#This Row],[instituicao]]&amp;"-"&amp;RIGHT(SUBSTITUTE(SUBSTITUTE(cx_conta[[#This Row],[contaAtual]]," ",""),"-",""),4)</f>
        <v>LCG-Paulista-</v>
      </c>
      <c r="C138" s="480" t="s">
        <v>1101</v>
      </c>
      <c r="D138" s="480" t="s">
        <v>482</v>
      </c>
      <c r="E138" s="480" t="s">
        <v>622</v>
      </c>
      <c r="F138" s="480"/>
      <c r="G138" s="480" t="s">
        <v>945</v>
      </c>
      <c r="H138" s="480"/>
      <c r="I138" s="481" t="b">
        <v>0</v>
      </c>
      <c r="J138" s="481" t="b">
        <v>0</v>
      </c>
      <c r="K138" s="482">
        <v>46266</v>
      </c>
      <c r="L138" s="483"/>
      <c r="M138" s="590"/>
      <c r="N138" s="602"/>
    </row>
    <row r="139" spans="2:14" x14ac:dyDescent="0.25">
      <c r="B139" s="480" t="str">
        <f>cx_conta[[#This Row],[empresa]]&amp;"-"&amp;cx_conta[[#This Row],[instituicao]]&amp;"-"&amp;RIGHT(SUBSTITUTE(SUBSTITUTE(cx_conta[[#This Row],[contaAtual]]," ",""),"-",""),4)</f>
        <v>LUC-CEF-1087</v>
      </c>
      <c r="C139" s="480" t="s">
        <v>949</v>
      </c>
      <c r="D139" s="480" t="s">
        <v>10</v>
      </c>
      <c r="E139" s="480" t="s">
        <v>622</v>
      </c>
      <c r="F139" s="480" t="s">
        <v>1102</v>
      </c>
      <c r="G139" s="480" t="s">
        <v>474</v>
      </c>
      <c r="H139" s="480" t="s">
        <v>1074</v>
      </c>
      <c r="I139" s="481" t="b">
        <v>0</v>
      </c>
      <c r="J139" s="481" t="b">
        <v>1</v>
      </c>
      <c r="K139" s="482">
        <v>46237</v>
      </c>
      <c r="L139" s="483">
        <v>33850.089999999997</v>
      </c>
      <c r="M139" s="484"/>
      <c r="N139" s="604"/>
    </row>
    <row r="140" spans="2:14" x14ac:dyDescent="0.25">
      <c r="B140" s="480" t="str">
        <f>cx_conta[[#This Row],[empresa]]&amp;"-"&amp;cx_conta[[#This Row],[instituicao]]&amp;"-"&amp;RIGHT(SUBSTITUTE(SUBSTITUTE(cx_conta[[#This Row],[contaAtual]]," ",""),"-",""),4)</f>
        <v>LUC-CEF-1087</v>
      </c>
      <c r="C140" s="480" t="s">
        <v>949</v>
      </c>
      <c r="D140" s="480" t="s">
        <v>10</v>
      </c>
      <c r="E140" s="480" t="s">
        <v>622</v>
      </c>
      <c r="F140" s="480" t="s">
        <v>1102</v>
      </c>
      <c r="G140" s="480" t="s">
        <v>474</v>
      </c>
      <c r="H140" s="480" t="s">
        <v>1074</v>
      </c>
      <c r="I140" s="481" t="b">
        <v>0</v>
      </c>
      <c r="J140" s="481" t="b">
        <v>1</v>
      </c>
      <c r="K140" s="482">
        <v>46266</v>
      </c>
      <c r="L140" s="483">
        <v>6520.98</v>
      </c>
      <c r="M140" s="590"/>
      <c r="N140" s="602"/>
    </row>
    <row r="141" spans="2:14" x14ac:dyDescent="0.25">
      <c r="B141" s="480" t="str">
        <f>cx_conta[[#This Row],[empresa]]&amp;"-"&amp;cx_conta[[#This Row],[instituicao]]&amp;"-"&amp;RIGHT(SUBSTITUTE(SUBSTITUTE(cx_conta[[#This Row],[contaAtual]]," ",""),"-",""),4)</f>
        <v>LUC-CEF-8276</v>
      </c>
      <c r="C141" s="480" t="s">
        <v>949</v>
      </c>
      <c r="D141" s="480" t="s">
        <v>10</v>
      </c>
      <c r="E141" s="480" t="s">
        <v>622</v>
      </c>
      <c r="F141" s="480" t="s">
        <v>802</v>
      </c>
      <c r="G141" s="480" t="s">
        <v>474</v>
      </c>
      <c r="H141" s="480" t="s">
        <v>1074</v>
      </c>
      <c r="I141" s="481" t="b">
        <v>1</v>
      </c>
      <c r="J141" s="481" t="b">
        <v>0</v>
      </c>
      <c r="K141" s="482">
        <v>46237</v>
      </c>
      <c r="L141" s="483">
        <v>204502.77</v>
      </c>
      <c r="M141" s="484"/>
      <c r="N141" s="604"/>
    </row>
    <row r="142" spans="2:14" x14ac:dyDescent="0.25">
      <c r="B142" s="480" t="str">
        <f>cx_conta[[#This Row],[empresa]]&amp;"-"&amp;cx_conta[[#This Row],[instituicao]]&amp;"-"&amp;RIGHT(SUBSTITUTE(SUBSTITUTE(cx_conta[[#This Row],[contaAtual]]," ",""),"-",""),4)</f>
        <v>LUC-CEF-8276</v>
      </c>
      <c r="C142" s="480" t="s">
        <v>949</v>
      </c>
      <c r="D142" s="480" t="s">
        <v>10</v>
      </c>
      <c r="E142" s="480" t="s">
        <v>622</v>
      </c>
      <c r="F142" s="480" t="s">
        <v>802</v>
      </c>
      <c r="G142" s="480" t="s">
        <v>474</v>
      </c>
      <c r="H142" s="480" t="s">
        <v>1074</v>
      </c>
      <c r="I142" s="481" t="b">
        <v>1</v>
      </c>
      <c r="J142" s="481" t="b">
        <v>0</v>
      </c>
      <c r="K142" s="482">
        <v>46266</v>
      </c>
      <c r="L142" s="483">
        <v>72880.69</v>
      </c>
      <c r="M142" s="590"/>
      <c r="N142" s="602"/>
    </row>
    <row r="143" spans="2:14" x14ac:dyDescent="0.25">
      <c r="B143" s="480" t="str">
        <f>cx_conta[[#This Row],[empresa]]&amp;"-"&amp;cx_conta[[#This Row],[instituicao]]&amp;"-"&amp;RIGHT(SUBSTITUTE(SUBSTITUTE(cx_conta[[#This Row],[contaAtual]]," ",""),"-",""),4)</f>
        <v>LUC-Itaú-7151</v>
      </c>
      <c r="C143" s="480" t="s">
        <v>949</v>
      </c>
      <c r="D143" s="480" t="s">
        <v>10</v>
      </c>
      <c r="E143" s="480" t="s">
        <v>622</v>
      </c>
      <c r="F143" s="480" t="s">
        <v>803</v>
      </c>
      <c r="G143" s="480" t="s">
        <v>1079</v>
      </c>
      <c r="H143" s="480" t="s">
        <v>1074</v>
      </c>
      <c r="I143" s="481" t="b">
        <v>0</v>
      </c>
      <c r="J143" s="481" t="b">
        <v>0</v>
      </c>
      <c r="K143" s="482">
        <v>46237</v>
      </c>
      <c r="L143" s="483">
        <v>4412.29</v>
      </c>
      <c r="M143" s="484"/>
      <c r="N143" s="604">
        <v>3697</v>
      </c>
    </row>
    <row r="144" spans="2:14" x14ac:dyDescent="0.25">
      <c r="B144" s="480" t="str">
        <f>cx_conta[[#This Row],[empresa]]&amp;"-"&amp;cx_conta[[#This Row],[instituicao]]&amp;"-"&amp;RIGHT(SUBSTITUTE(SUBSTITUTE(cx_conta[[#This Row],[contaAtual]]," ",""),"-",""),4)</f>
        <v>LUC-Itaú-7151</v>
      </c>
      <c r="C144" s="480" t="s">
        <v>949</v>
      </c>
      <c r="D144" s="480" t="s">
        <v>10</v>
      </c>
      <c r="E144" s="480" t="s">
        <v>622</v>
      </c>
      <c r="F144" s="480" t="s">
        <v>803</v>
      </c>
      <c r="G144" s="480" t="s">
        <v>1079</v>
      </c>
      <c r="H144" s="480" t="s">
        <v>1074</v>
      </c>
      <c r="I144" s="481" t="b">
        <v>0</v>
      </c>
      <c r="J144" s="481" t="b">
        <v>0</v>
      </c>
      <c r="K144" s="482">
        <v>46266</v>
      </c>
      <c r="L144" s="483">
        <v>67145.61</v>
      </c>
      <c r="M144" s="590"/>
      <c r="N144" s="602">
        <v>3697</v>
      </c>
    </row>
    <row r="145" spans="2:14" x14ac:dyDescent="0.25">
      <c r="B145" s="480" t="str">
        <f>cx_conta[[#This Row],[empresa]]&amp;"-"&amp;cx_conta[[#This Row],[instituicao]]&amp;"-"&amp;RIGHT(SUBSTITUTE(SUBSTITUTE(cx_conta[[#This Row],[contaAtual]]," ",""),"-",""),4)</f>
        <v>LUG-CEF-3420</v>
      </c>
      <c r="C145" s="480" t="s">
        <v>958</v>
      </c>
      <c r="D145" s="480" t="s">
        <v>793</v>
      </c>
      <c r="E145" s="480" t="s">
        <v>622</v>
      </c>
      <c r="F145" s="480" t="s">
        <v>794</v>
      </c>
      <c r="G145" s="480" t="s">
        <v>474</v>
      </c>
      <c r="H145" s="480" t="s">
        <v>1074</v>
      </c>
      <c r="I145" s="481" t="b">
        <v>0</v>
      </c>
      <c r="J145" s="481" t="b">
        <v>0</v>
      </c>
      <c r="K145" s="482">
        <v>46237</v>
      </c>
      <c r="L145" s="483">
        <v>12300.82</v>
      </c>
      <c r="M145" s="484"/>
      <c r="N145" s="604"/>
    </row>
    <row r="146" spans="2:14" x14ac:dyDescent="0.25">
      <c r="B146" s="480" t="str">
        <f>cx_conta[[#This Row],[empresa]]&amp;"-"&amp;cx_conta[[#This Row],[instituicao]]&amp;"-"&amp;RIGHT(SUBSTITUTE(SUBSTITUTE(cx_conta[[#This Row],[contaAtual]]," ",""),"-",""),4)</f>
        <v>LUG-CEF-3420</v>
      </c>
      <c r="C146" s="480" t="s">
        <v>958</v>
      </c>
      <c r="D146" s="480" t="s">
        <v>793</v>
      </c>
      <c r="E146" s="480" t="s">
        <v>622</v>
      </c>
      <c r="F146" s="480" t="s">
        <v>794</v>
      </c>
      <c r="G146" s="480" t="s">
        <v>474</v>
      </c>
      <c r="H146" s="480" t="s">
        <v>1074</v>
      </c>
      <c r="I146" s="481" t="b">
        <v>0</v>
      </c>
      <c r="J146" s="481" t="b">
        <v>0</v>
      </c>
      <c r="K146" s="482">
        <v>46266</v>
      </c>
      <c r="L146" s="483">
        <v>8897.24</v>
      </c>
      <c r="M146" s="590"/>
      <c r="N146" s="602"/>
    </row>
    <row r="147" spans="2:14" x14ac:dyDescent="0.25">
      <c r="B147" s="491" t="str">
        <f>cx_conta[[#This Row],[empresa]]&amp;"-"&amp;cx_conta[[#This Row],[instituicao]]&amp;"-"&amp;RIGHT(SUBSTITUTE(SUBSTITUTE(cx_conta[[#This Row],[contaAtual]]," ",""),"-",""),4)</f>
        <v>PDI-Itaú-6481</v>
      </c>
      <c r="C147" s="491" t="s">
        <v>1103</v>
      </c>
      <c r="D147" s="491" t="s">
        <v>730</v>
      </c>
      <c r="E147" s="491" t="s">
        <v>622</v>
      </c>
      <c r="F147" s="491" t="s">
        <v>731</v>
      </c>
      <c r="G147" s="491" t="s">
        <v>1079</v>
      </c>
      <c r="H147" s="491" t="s">
        <v>1074</v>
      </c>
      <c r="I147" s="492" t="b">
        <v>0</v>
      </c>
      <c r="J147" s="492" t="b">
        <v>1</v>
      </c>
      <c r="K147" s="493">
        <v>46237</v>
      </c>
      <c r="L147" s="494">
        <v>0</v>
      </c>
      <c r="M147" s="495"/>
      <c r="N147" s="605"/>
    </row>
    <row r="148" spans="2:14" x14ac:dyDescent="0.25">
      <c r="B148" s="480" t="str">
        <f>cx_conta[[#This Row],[empresa]]&amp;"-"&amp;cx_conta[[#This Row],[instituicao]]&amp;"-"&amp;RIGHT(SUBSTITUTE(SUBSTITUTE(cx_conta[[#This Row],[contaAtual]]," ",""),"-",""),4)</f>
        <v>PDI-Itaú-6481</v>
      </c>
      <c r="C148" s="480" t="s">
        <v>1103</v>
      </c>
      <c r="D148" s="480" t="s">
        <v>730</v>
      </c>
      <c r="E148" s="480" t="s">
        <v>622</v>
      </c>
      <c r="F148" s="480" t="s">
        <v>731</v>
      </c>
      <c r="G148" s="480" t="s">
        <v>1079</v>
      </c>
      <c r="H148" s="480" t="s">
        <v>1074</v>
      </c>
      <c r="I148" s="481" t="b">
        <v>0</v>
      </c>
      <c r="J148" s="481" t="b">
        <v>1</v>
      </c>
      <c r="K148" s="482">
        <v>46266</v>
      </c>
      <c r="L148" s="483">
        <v>0</v>
      </c>
      <c r="M148" s="590"/>
      <c r="N148" s="602"/>
    </row>
    <row r="149" spans="2:14" x14ac:dyDescent="0.25">
      <c r="B149" s="480" t="str">
        <f>cx_conta[[#This Row],[empresa]]&amp;"-"&amp;cx_conta[[#This Row],[instituicao]]&amp;"-"&amp;RIGHT(SUBSTITUTE(SUBSTITUTE(cx_conta[[#This Row],[contaAtual]]," ",""),"-",""),4)</f>
        <v>POM-ABC-4479</v>
      </c>
      <c r="C149" s="480" t="s">
        <v>946</v>
      </c>
      <c r="D149" s="480" t="s">
        <v>11</v>
      </c>
      <c r="E149" s="480" t="s">
        <v>622</v>
      </c>
      <c r="F149" s="480" t="s">
        <v>759</v>
      </c>
      <c r="G149" s="480" t="s">
        <v>22</v>
      </c>
      <c r="H149" s="480" t="s">
        <v>1074</v>
      </c>
      <c r="I149" s="481" t="b">
        <v>0</v>
      </c>
      <c r="J149" s="481" t="b">
        <v>0</v>
      </c>
      <c r="K149" s="482">
        <v>46237</v>
      </c>
      <c r="L149" s="483">
        <v>366003.44</v>
      </c>
      <c r="M149" s="484"/>
      <c r="N149" s="604"/>
    </row>
    <row r="150" spans="2:14" x14ac:dyDescent="0.25">
      <c r="B150" s="480" t="str">
        <f>cx_conta[[#This Row],[empresa]]&amp;"-"&amp;cx_conta[[#This Row],[instituicao]]&amp;"-"&amp;RIGHT(SUBSTITUTE(SUBSTITUTE(cx_conta[[#This Row],[contaAtual]]," ",""),"-",""),4)</f>
        <v>POM-ABC-4479</v>
      </c>
      <c r="C150" s="480" t="s">
        <v>946</v>
      </c>
      <c r="D150" s="480" t="s">
        <v>11</v>
      </c>
      <c r="E150" s="480" t="s">
        <v>622</v>
      </c>
      <c r="F150" s="480" t="s">
        <v>759</v>
      </c>
      <c r="G150" s="480" t="s">
        <v>22</v>
      </c>
      <c r="H150" s="480" t="s">
        <v>1074</v>
      </c>
      <c r="I150" s="481" t="b">
        <v>0</v>
      </c>
      <c r="J150" s="481" t="b">
        <v>0</v>
      </c>
      <c r="K150" s="482">
        <v>46266</v>
      </c>
      <c r="L150" s="483">
        <v>159748.87</v>
      </c>
      <c r="M150" s="590"/>
      <c r="N150" s="602"/>
    </row>
    <row r="151" spans="2:14" x14ac:dyDescent="0.25">
      <c r="B151" s="480" t="str">
        <f>cx_conta[[#This Row],[empresa]]&amp;"-"&amp;cx_conta[[#This Row],[instituicao]]&amp;"-"&amp;RIGHT(SUBSTITUTE(SUBSTITUTE(cx_conta[[#This Row],[contaAtual]]," ",""),"-",""),4)</f>
        <v>POM-ABC-4487</v>
      </c>
      <c r="C151" s="480" t="s">
        <v>946</v>
      </c>
      <c r="D151" s="480" t="s">
        <v>11</v>
      </c>
      <c r="E151" s="480" t="s">
        <v>622</v>
      </c>
      <c r="F151" s="480" t="s">
        <v>760</v>
      </c>
      <c r="G151" s="480" t="s">
        <v>22</v>
      </c>
      <c r="H151" s="480" t="s">
        <v>1104</v>
      </c>
      <c r="I151" s="481" t="b">
        <v>0</v>
      </c>
      <c r="J151" s="481" t="b">
        <v>1</v>
      </c>
      <c r="K151" s="482">
        <v>46237</v>
      </c>
      <c r="L151" s="483">
        <v>0</v>
      </c>
      <c r="M151" s="495"/>
      <c r="N151" s="605"/>
    </row>
    <row r="152" spans="2:14" x14ac:dyDescent="0.25">
      <c r="B152" s="480" t="str">
        <f>cx_conta[[#This Row],[empresa]]&amp;"-"&amp;cx_conta[[#This Row],[instituicao]]&amp;"-"&amp;RIGHT(SUBSTITUTE(SUBSTITUTE(cx_conta[[#This Row],[contaAtual]]," ",""),"-",""),4)</f>
        <v>POM-ABC-4487</v>
      </c>
      <c r="C152" s="480" t="s">
        <v>946</v>
      </c>
      <c r="D152" s="480" t="s">
        <v>11</v>
      </c>
      <c r="E152" s="480" t="s">
        <v>622</v>
      </c>
      <c r="F152" s="480" t="s">
        <v>760</v>
      </c>
      <c r="G152" s="480" t="s">
        <v>22</v>
      </c>
      <c r="H152" s="480" t="s">
        <v>1104</v>
      </c>
      <c r="I152" s="481" t="b">
        <v>0</v>
      </c>
      <c r="J152" s="481" t="b">
        <v>1</v>
      </c>
      <c r="K152" s="482">
        <v>46266</v>
      </c>
      <c r="L152" s="483">
        <v>-9465921.4600000009</v>
      </c>
      <c r="M152" s="590"/>
      <c r="N152" s="602"/>
    </row>
    <row r="153" spans="2:14" x14ac:dyDescent="0.25">
      <c r="B153" s="480" t="str">
        <f>cx_conta[[#This Row],[empresa]]&amp;"-"&amp;cx_conta[[#This Row],[instituicao]]&amp;"-"&amp;RIGHT(SUBSTITUTE(SUBSTITUTE(cx_conta[[#This Row],[contaAtual]]," ",""),"-",""),4)</f>
        <v>POM-CEF-8624</v>
      </c>
      <c r="C153" s="480" t="s">
        <v>946</v>
      </c>
      <c r="D153" s="480" t="s">
        <v>11</v>
      </c>
      <c r="E153" s="480" t="s">
        <v>761</v>
      </c>
      <c r="F153" s="480" t="s">
        <v>762</v>
      </c>
      <c r="G153" s="480" t="s">
        <v>474</v>
      </c>
      <c r="H153" s="480" t="s">
        <v>1074</v>
      </c>
      <c r="I153" s="481" t="b">
        <v>0</v>
      </c>
      <c r="J153" s="481" t="b">
        <v>0</v>
      </c>
      <c r="K153" s="482">
        <v>46237</v>
      </c>
      <c r="L153" s="483">
        <v>28901.56</v>
      </c>
      <c r="M153" s="484"/>
      <c r="N153" s="604"/>
    </row>
    <row r="154" spans="2:14" x14ac:dyDescent="0.25">
      <c r="B154" s="480" t="str">
        <f>cx_conta[[#This Row],[empresa]]&amp;"-"&amp;cx_conta[[#This Row],[instituicao]]&amp;"-"&amp;RIGHT(SUBSTITUTE(SUBSTITUTE(cx_conta[[#This Row],[contaAtual]]," ",""),"-",""),4)</f>
        <v>POM-CEF-8624</v>
      </c>
      <c r="C154" s="480" t="s">
        <v>946</v>
      </c>
      <c r="D154" s="480" t="s">
        <v>11</v>
      </c>
      <c r="E154" s="480" t="s">
        <v>761</v>
      </c>
      <c r="F154" s="480" t="s">
        <v>762</v>
      </c>
      <c r="G154" s="480" t="s">
        <v>474</v>
      </c>
      <c r="H154" s="480" t="s">
        <v>1074</v>
      </c>
      <c r="I154" s="481" t="b">
        <v>0</v>
      </c>
      <c r="J154" s="481" t="b">
        <v>0</v>
      </c>
      <c r="K154" s="482">
        <v>46266</v>
      </c>
      <c r="L154" s="483">
        <v>297772.98</v>
      </c>
      <c r="M154" s="590"/>
      <c r="N154" s="602"/>
    </row>
    <row r="155" spans="2:14" x14ac:dyDescent="0.25">
      <c r="B155" s="480" t="str">
        <f>cx_conta[[#This Row],[empresa]]&amp;"-"&amp;cx_conta[[#This Row],[instituicao]]&amp;"-"&amp;RIGHT(SUBSTITUTE(SUBSTITUTE(cx_conta[[#This Row],[contaAtual]]," ",""),"-",""),4)</f>
        <v>POM-Itaú-4261</v>
      </c>
      <c r="C155" s="480" t="s">
        <v>946</v>
      </c>
      <c r="D155" s="480" t="s">
        <v>11</v>
      </c>
      <c r="E155" s="480" t="s">
        <v>622</v>
      </c>
      <c r="F155" s="480" t="s">
        <v>763</v>
      </c>
      <c r="G155" s="480" t="s">
        <v>1079</v>
      </c>
      <c r="H155" s="480" t="s">
        <v>1074</v>
      </c>
      <c r="I155" s="481" t="b">
        <v>0</v>
      </c>
      <c r="J155" s="481" t="b">
        <v>0</v>
      </c>
      <c r="K155" s="482">
        <v>46237</v>
      </c>
      <c r="L155" s="483">
        <v>2168.36</v>
      </c>
      <c r="M155" s="484"/>
      <c r="N155" s="604"/>
    </row>
    <row r="156" spans="2:14" x14ac:dyDescent="0.25">
      <c r="B156" s="480" t="str">
        <f>cx_conta[[#This Row],[empresa]]&amp;"-"&amp;cx_conta[[#This Row],[instituicao]]&amp;"-"&amp;RIGHT(SUBSTITUTE(SUBSTITUTE(cx_conta[[#This Row],[contaAtual]]," ",""),"-",""),4)</f>
        <v>POM-Itaú-4261</v>
      </c>
      <c r="C156" s="480" t="s">
        <v>946</v>
      </c>
      <c r="D156" s="480" t="s">
        <v>11</v>
      </c>
      <c r="E156" s="480" t="s">
        <v>622</v>
      </c>
      <c r="F156" s="480" t="s">
        <v>763</v>
      </c>
      <c r="G156" s="480" t="s">
        <v>1079</v>
      </c>
      <c r="H156" s="480" t="s">
        <v>1074</v>
      </c>
      <c r="I156" s="481" t="b">
        <v>0</v>
      </c>
      <c r="J156" s="481" t="b">
        <v>0</v>
      </c>
      <c r="K156" s="482">
        <v>46266</v>
      </c>
      <c r="L156" s="483">
        <v>521.1</v>
      </c>
      <c r="M156" s="590"/>
      <c r="N156" s="602"/>
    </row>
    <row r="157" spans="2:14" x14ac:dyDescent="0.25">
      <c r="B157" s="480" t="str">
        <f>cx_conta[[#This Row],[empresa]]&amp;"-"&amp;cx_conta[[#This Row],[instituicao]]&amp;"-"&amp;RIGHT(SUBSTITUTE(SUBSTITUTE(cx_conta[[#This Row],[contaAtual]]," ",""),"-",""),4)</f>
        <v>PRO-Itaú-8040</v>
      </c>
      <c r="C157" s="480" t="s">
        <v>1106</v>
      </c>
      <c r="D157" s="480" t="s">
        <v>1105</v>
      </c>
      <c r="E157" s="480" t="s">
        <v>622</v>
      </c>
      <c r="F157" s="480" t="s">
        <v>796</v>
      </c>
      <c r="G157" s="480" t="s">
        <v>1079</v>
      </c>
      <c r="H157" s="480" t="s">
        <v>1074</v>
      </c>
      <c r="I157" s="481" t="b">
        <v>0</v>
      </c>
      <c r="J157" s="481" t="b">
        <v>1</v>
      </c>
      <c r="K157" s="482">
        <v>46237</v>
      </c>
      <c r="L157" s="483">
        <v>531683.72</v>
      </c>
      <c r="M157" s="484"/>
      <c r="N157" s="604"/>
    </row>
    <row r="158" spans="2:14" x14ac:dyDescent="0.25">
      <c r="B158" s="480" t="str">
        <f>cx_conta[[#This Row],[empresa]]&amp;"-"&amp;cx_conta[[#This Row],[instituicao]]&amp;"-"&amp;RIGHT(SUBSTITUTE(SUBSTITUTE(cx_conta[[#This Row],[contaAtual]]," ",""),"-",""),4)</f>
        <v>PRO-Itaú-8040</v>
      </c>
      <c r="C158" s="480" t="s">
        <v>1106</v>
      </c>
      <c r="D158" s="480" t="s">
        <v>1105</v>
      </c>
      <c r="E158" s="480" t="s">
        <v>622</v>
      </c>
      <c r="F158" s="480" t="s">
        <v>796</v>
      </c>
      <c r="G158" s="480" t="s">
        <v>1079</v>
      </c>
      <c r="H158" s="480" t="s">
        <v>1074</v>
      </c>
      <c r="I158" s="481" t="b">
        <v>0</v>
      </c>
      <c r="J158" s="481" t="b">
        <v>1</v>
      </c>
      <c r="K158" s="482">
        <v>46266</v>
      </c>
      <c r="L158" s="483">
        <v>307398.67</v>
      </c>
      <c r="M158" s="590"/>
      <c r="N158" s="602"/>
    </row>
    <row r="159" spans="2:14" x14ac:dyDescent="0.25">
      <c r="B159" s="480" t="str">
        <f>cx_conta[[#This Row],[empresa]]&amp;"-"&amp;cx_conta[[#This Row],[instituicao]]&amp;"-"&amp;RIGHT(SUBSTITUTE(SUBSTITUTE(cx_conta[[#This Row],[contaAtual]]," ",""),"-",""),4)</f>
        <v>PRO-Itaú-8438</v>
      </c>
      <c r="C159" s="480" t="s">
        <v>1107</v>
      </c>
      <c r="D159" s="480" t="s">
        <v>1105</v>
      </c>
      <c r="E159" s="480" t="s">
        <v>622</v>
      </c>
      <c r="F159" s="480" t="s">
        <v>764</v>
      </c>
      <c r="G159" s="480" t="s">
        <v>1079</v>
      </c>
      <c r="H159" s="480" t="s">
        <v>1074</v>
      </c>
      <c r="I159" s="481" t="b">
        <v>0</v>
      </c>
      <c r="J159" s="481" t="b">
        <v>1</v>
      </c>
      <c r="K159" s="482">
        <v>46237</v>
      </c>
      <c r="L159" s="483">
        <v>94747.92</v>
      </c>
      <c r="M159" s="484"/>
      <c r="N159" s="604"/>
    </row>
    <row r="160" spans="2:14" x14ac:dyDescent="0.25">
      <c r="B160" s="480" t="str">
        <f>cx_conta[[#This Row],[empresa]]&amp;"-"&amp;cx_conta[[#This Row],[instituicao]]&amp;"-"&amp;RIGHT(SUBSTITUTE(SUBSTITUTE(cx_conta[[#This Row],[contaAtual]]," ",""),"-",""),4)</f>
        <v>PRO-Itaú-8438</v>
      </c>
      <c r="C160" s="480" t="s">
        <v>1107</v>
      </c>
      <c r="D160" s="480" t="s">
        <v>1105</v>
      </c>
      <c r="E160" s="480" t="s">
        <v>622</v>
      </c>
      <c r="F160" s="480" t="s">
        <v>764</v>
      </c>
      <c r="G160" s="480" t="s">
        <v>1079</v>
      </c>
      <c r="H160" s="480" t="s">
        <v>1074</v>
      </c>
      <c r="I160" s="481" t="b">
        <v>0</v>
      </c>
      <c r="J160" s="481" t="b">
        <v>1</v>
      </c>
      <c r="K160" s="482">
        <v>46266</v>
      </c>
      <c r="L160" s="483">
        <v>112837.32</v>
      </c>
      <c r="M160" s="590"/>
      <c r="N160" s="602"/>
    </row>
    <row r="161" spans="2:14" x14ac:dyDescent="0.25">
      <c r="B161" s="480" t="str">
        <f>cx_conta[[#This Row],[empresa]]&amp;"-"&amp;cx_conta[[#This Row],[instituicao]]&amp;"-"&amp;RIGHT(SUBSTITUTE(SUBSTITUTE(cx_conta[[#This Row],[contaAtual]]," ",""),"-",""),4)</f>
        <v>SAU-CEF-9248</v>
      </c>
      <c r="C161" s="480" t="s">
        <v>1108</v>
      </c>
      <c r="D161" s="480" t="s">
        <v>465</v>
      </c>
      <c r="E161" s="480" t="s">
        <v>622</v>
      </c>
      <c r="F161" s="480" t="s">
        <v>765</v>
      </c>
      <c r="G161" s="480" t="s">
        <v>474</v>
      </c>
      <c r="H161" s="480" t="s">
        <v>1074</v>
      </c>
      <c r="I161" s="481" t="b">
        <v>0</v>
      </c>
      <c r="J161" s="481" t="b">
        <v>0</v>
      </c>
      <c r="K161" s="482">
        <v>46237</v>
      </c>
      <c r="L161" s="483">
        <v>99935.6</v>
      </c>
      <c r="M161" s="484"/>
      <c r="N161" s="604"/>
    </row>
    <row r="162" spans="2:14" x14ac:dyDescent="0.25">
      <c r="B162" s="480" t="str">
        <f>cx_conta[[#This Row],[empresa]]&amp;"-"&amp;cx_conta[[#This Row],[instituicao]]&amp;"-"&amp;RIGHT(SUBSTITUTE(SUBSTITUTE(cx_conta[[#This Row],[contaAtual]]," ",""),"-",""),4)</f>
        <v>SAU-CEF-9248</v>
      </c>
      <c r="C162" s="480" t="s">
        <v>1108</v>
      </c>
      <c r="D162" s="480" t="s">
        <v>465</v>
      </c>
      <c r="E162" s="480" t="s">
        <v>622</v>
      </c>
      <c r="F162" s="480" t="s">
        <v>765</v>
      </c>
      <c r="G162" s="480" t="s">
        <v>474</v>
      </c>
      <c r="H162" s="480" t="s">
        <v>1074</v>
      </c>
      <c r="I162" s="481" t="b">
        <v>0</v>
      </c>
      <c r="J162" s="481" t="b">
        <v>0</v>
      </c>
      <c r="K162" s="482">
        <v>46266</v>
      </c>
      <c r="L162" s="483">
        <v>13481.19</v>
      </c>
      <c r="M162" s="590"/>
      <c r="N162" s="602"/>
    </row>
    <row r="163" spans="2:14" x14ac:dyDescent="0.25">
      <c r="B163" s="480" t="str">
        <f>cx_conta[[#This Row],[empresa]]&amp;"-"&amp;cx_conta[[#This Row],[instituicao]]&amp;"-"&amp;RIGHT(SUBSTITUTE(SUBSTITUTE(cx_conta[[#This Row],[contaAtual]]," ",""),"-",""),4)</f>
        <v>SAU-Itaú-6609</v>
      </c>
      <c r="C163" s="480" t="s">
        <v>1108</v>
      </c>
      <c r="D163" s="480" t="s">
        <v>465</v>
      </c>
      <c r="E163" s="480" t="s">
        <v>622</v>
      </c>
      <c r="F163" s="480" t="s">
        <v>766</v>
      </c>
      <c r="G163" s="480" t="s">
        <v>1079</v>
      </c>
      <c r="H163" s="480" t="s">
        <v>1074</v>
      </c>
      <c r="I163" s="481" t="b">
        <v>0</v>
      </c>
      <c r="J163" s="481" t="b">
        <v>0</v>
      </c>
      <c r="K163" s="482">
        <v>46237</v>
      </c>
      <c r="L163" s="483">
        <v>5806.91</v>
      </c>
      <c r="M163" s="484"/>
      <c r="N163" s="604"/>
    </row>
    <row r="164" spans="2:14" x14ac:dyDescent="0.25">
      <c r="B164" s="480" t="str">
        <f>cx_conta[[#This Row],[empresa]]&amp;"-"&amp;cx_conta[[#This Row],[instituicao]]&amp;"-"&amp;RIGHT(SUBSTITUTE(SUBSTITUTE(cx_conta[[#This Row],[contaAtual]]," ",""),"-",""),4)</f>
        <v>SAU-Itaú-6609</v>
      </c>
      <c r="C164" s="480" t="s">
        <v>1108</v>
      </c>
      <c r="D164" s="480" t="s">
        <v>465</v>
      </c>
      <c r="E164" s="480" t="s">
        <v>622</v>
      </c>
      <c r="F164" s="480" t="s">
        <v>766</v>
      </c>
      <c r="G164" s="480" t="s">
        <v>1079</v>
      </c>
      <c r="H164" s="480" t="s">
        <v>1074</v>
      </c>
      <c r="I164" s="481" t="b">
        <v>0</v>
      </c>
      <c r="J164" s="481" t="b">
        <v>0</v>
      </c>
      <c r="K164" s="482">
        <v>46266</v>
      </c>
      <c r="L164" s="483">
        <v>7853.65</v>
      </c>
      <c r="M164" s="590"/>
      <c r="N164" s="602"/>
    </row>
    <row r="165" spans="2:14" x14ac:dyDescent="0.25">
      <c r="B165" s="480" t="str">
        <f>cx_conta[[#This Row],[empresa]]&amp;"-"&amp;cx_conta[[#This Row],[instituicao]]&amp;"-"&amp;RIGHT(SUBSTITUTE(SUBSTITUTE(cx_conta[[#This Row],[contaAtual]]," ",""),"-",""),4)</f>
        <v>SBB-CEF-4730</v>
      </c>
      <c r="C165" s="480" t="s">
        <v>954</v>
      </c>
      <c r="D165" s="480" t="s">
        <v>678</v>
      </c>
      <c r="E165" s="480" t="s">
        <v>622</v>
      </c>
      <c r="F165" s="480" t="s">
        <v>751</v>
      </c>
      <c r="G165" s="480" t="s">
        <v>474</v>
      </c>
      <c r="H165" s="480" t="s">
        <v>1074</v>
      </c>
      <c r="I165" s="481" t="b">
        <v>0</v>
      </c>
      <c r="J165" s="481" t="b">
        <v>0</v>
      </c>
      <c r="K165" s="482">
        <v>46237</v>
      </c>
      <c r="L165" s="483">
        <v>0.02</v>
      </c>
      <c r="M165" s="484"/>
      <c r="N165" s="604"/>
    </row>
    <row r="166" spans="2:14" x14ac:dyDescent="0.25">
      <c r="B166" s="480" t="str">
        <f>cx_conta[[#This Row],[empresa]]&amp;"-"&amp;cx_conta[[#This Row],[instituicao]]&amp;"-"&amp;RIGHT(SUBSTITUTE(SUBSTITUTE(cx_conta[[#This Row],[contaAtual]]," ",""),"-",""),4)</f>
        <v>SBB-CEF-4730</v>
      </c>
      <c r="C166" s="480" t="s">
        <v>954</v>
      </c>
      <c r="D166" s="480" t="s">
        <v>678</v>
      </c>
      <c r="E166" s="480" t="s">
        <v>622</v>
      </c>
      <c r="F166" s="480" t="s">
        <v>751</v>
      </c>
      <c r="G166" s="480" t="s">
        <v>474</v>
      </c>
      <c r="H166" s="480" t="s">
        <v>1074</v>
      </c>
      <c r="I166" s="481" t="b">
        <v>0</v>
      </c>
      <c r="J166" s="481" t="b">
        <v>0</v>
      </c>
      <c r="K166" s="482">
        <v>46266</v>
      </c>
      <c r="L166" s="483">
        <v>0.02</v>
      </c>
      <c r="M166" s="590"/>
      <c r="N166" s="602"/>
    </row>
    <row r="167" spans="2:14" x14ac:dyDescent="0.25">
      <c r="B167" s="480" t="str">
        <f>cx_conta[[#This Row],[empresa]]&amp;"-"&amp;cx_conta[[#This Row],[instituicao]]&amp;"-"&amp;RIGHT(SUBSTITUTE(SUBSTITUTE(cx_conta[[#This Row],[contaAtual]]," ",""),"-",""),4)</f>
        <v>SBB-Itaú-6369</v>
      </c>
      <c r="C167" s="480" t="s">
        <v>954</v>
      </c>
      <c r="D167" s="480" t="s">
        <v>678</v>
      </c>
      <c r="E167" s="480" t="s">
        <v>622</v>
      </c>
      <c r="F167" s="480" t="s">
        <v>752</v>
      </c>
      <c r="G167" s="480" t="s">
        <v>1079</v>
      </c>
      <c r="H167" s="480" t="s">
        <v>1074</v>
      </c>
      <c r="I167" s="481" t="b">
        <v>0</v>
      </c>
      <c r="J167" s="481" t="b">
        <v>0</v>
      </c>
      <c r="K167" s="482">
        <v>46237</v>
      </c>
      <c r="L167" s="483">
        <v>8617.06</v>
      </c>
      <c r="M167" s="484"/>
      <c r="N167" s="604"/>
    </row>
    <row r="168" spans="2:14" x14ac:dyDescent="0.25">
      <c r="B168" s="480" t="str">
        <f>cx_conta[[#This Row],[empresa]]&amp;"-"&amp;cx_conta[[#This Row],[instituicao]]&amp;"-"&amp;RIGHT(SUBSTITUTE(SUBSTITUTE(cx_conta[[#This Row],[contaAtual]]," ",""),"-",""),4)</f>
        <v>SBB-Itaú-6369</v>
      </c>
      <c r="C168" s="480" t="s">
        <v>954</v>
      </c>
      <c r="D168" s="480" t="s">
        <v>678</v>
      </c>
      <c r="E168" s="480" t="s">
        <v>622</v>
      </c>
      <c r="F168" s="480" t="s">
        <v>752</v>
      </c>
      <c r="G168" s="480" t="s">
        <v>1079</v>
      </c>
      <c r="H168" s="480" t="s">
        <v>1074</v>
      </c>
      <c r="I168" s="481" t="b">
        <v>0</v>
      </c>
      <c r="J168" s="481" t="b">
        <v>0</v>
      </c>
      <c r="K168" s="482">
        <v>46266</v>
      </c>
      <c r="L168" s="483">
        <v>18755.16</v>
      </c>
      <c r="M168" s="590"/>
      <c r="N168" s="602"/>
    </row>
    <row r="169" spans="2:14" x14ac:dyDescent="0.25">
      <c r="B169" s="480" t="str">
        <f>cx_conta[[#This Row],[empresa]]&amp;"-"&amp;cx_conta[[#This Row],[instituicao]]&amp;"-"&amp;RIGHT(SUBSTITUTE(SUBSTITUTE(cx_conta[[#This Row],[contaAtual]]," ",""),"-",""),4)</f>
        <v>SN2-CEF-3249</v>
      </c>
      <c r="C169" s="480" t="s">
        <v>1109</v>
      </c>
      <c r="D169" s="480" t="s">
        <v>12</v>
      </c>
      <c r="E169" s="480" t="s">
        <v>767</v>
      </c>
      <c r="F169" s="480" t="s">
        <v>768</v>
      </c>
      <c r="G169" s="480" t="s">
        <v>474</v>
      </c>
      <c r="H169" s="480" t="s">
        <v>1074</v>
      </c>
      <c r="I169" s="481" t="b">
        <v>1</v>
      </c>
      <c r="J169" s="481" t="b">
        <v>0</v>
      </c>
      <c r="K169" s="482">
        <v>46237</v>
      </c>
      <c r="L169" s="483">
        <v>2328042.9</v>
      </c>
      <c r="M169" s="484"/>
      <c r="N169" s="604"/>
    </row>
    <row r="170" spans="2:14" x14ac:dyDescent="0.25">
      <c r="B170" s="480" t="str">
        <f>cx_conta[[#This Row],[empresa]]&amp;"-"&amp;cx_conta[[#This Row],[instituicao]]&amp;"-"&amp;RIGHT(SUBSTITUTE(SUBSTITUTE(cx_conta[[#This Row],[contaAtual]]," ",""),"-",""),4)</f>
        <v>SN2-CEF-3249</v>
      </c>
      <c r="C170" s="480" t="s">
        <v>1109</v>
      </c>
      <c r="D170" s="480" t="s">
        <v>12</v>
      </c>
      <c r="E170" s="480" t="s">
        <v>767</v>
      </c>
      <c r="F170" s="480" t="s">
        <v>768</v>
      </c>
      <c r="G170" s="480" t="s">
        <v>474</v>
      </c>
      <c r="H170" s="480" t="s">
        <v>1074</v>
      </c>
      <c r="I170" s="481" t="b">
        <v>1</v>
      </c>
      <c r="J170" s="481" t="b">
        <v>0</v>
      </c>
      <c r="K170" s="482">
        <v>46266</v>
      </c>
      <c r="L170" s="483">
        <v>48352.67</v>
      </c>
      <c r="M170" s="590"/>
      <c r="N170" s="602"/>
    </row>
    <row r="171" spans="2:14" x14ac:dyDescent="0.25">
      <c r="B171" s="480" t="str">
        <f>cx_conta[[#This Row],[empresa]]&amp;"-"&amp;cx_conta[[#This Row],[instituicao]]&amp;"-"&amp;RIGHT(SUBSTITUTE(SUBSTITUTE(cx_conta[[#This Row],[contaAtual]]," ",""),"-",""),4)</f>
        <v>SN2-Itaú-7565</v>
      </c>
      <c r="C171" s="480" t="s">
        <v>1109</v>
      </c>
      <c r="D171" s="480" t="s">
        <v>12</v>
      </c>
      <c r="E171" s="480" t="s">
        <v>622</v>
      </c>
      <c r="F171" s="480" t="s">
        <v>769</v>
      </c>
      <c r="G171" s="480" t="s">
        <v>1079</v>
      </c>
      <c r="H171" s="480" t="s">
        <v>1074</v>
      </c>
      <c r="I171" s="481" t="b">
        <v>0</v>
      </c>
      <c r="J171" s="481" t="b">
        <v>0</v>
      </c>
      <c r="K171" s="482">
        <v>46237</v>
      </c>
      <c r="L171" s="483">
        <v>12310.14</v>
      </c>
      <c r="M171" s="484"/>
      <c r="N171" s="604">
        <v>17600</v>
      </c>
    </row>
    <row r="172" spans="2:14" x14ac:dyDescent="0.25">
      <c r="B172" s="480" t="str">
        <f>cx_conta[[#This Row],[empresa]]&amp;"-"&amp;cx_conta[[#This Row],[instituicao]]&amp;"-"&amp;RIGHT(SUBSTITUTE(SUBSTITUTE(cx_conta[[#This Row],[contaAtual]]," ",""),"-",""),4)</f>
        <v>SN2-Itaú-7565</v>
      </c>
      <c r="C172" s="480" t="s">
        <v>1109</v>
      </c>
      <c r="D172" s="480" t="s">
        <v>12</v>
      </c>
      <c r="E172" s="480" t="s">
        <v>622</v>
      </c>
      <c r="F172" s="480" t="s">
        <v>769</v>
      </c>
      <c r="G172" s="480" t="s">
        <v>1079</v>
      </c>
      <c r="H172" s="480" t="s">
        <v>1074</v>
      </c>
      <c r="I172" s="481" t="b">
        <v>0</v>
      </c>
      <c r="J172" s="481" t="b">
        <v>0</v>
      </c>
      <c r="K172" s="482">
        <v>46266</v>
      </c>
      <c r="L172" s="483">
        <v>839.43</v>
      </c>
      <c r="M172" s="590"/>
      <c r="N172" s="602">
        <v>17600</v>
      </c>
    </row>
    <row r="173" spans="2:14" x14ac:dyDescent="0.25">
      <c r="B173" s="480" t="str">
        <f>cx_conta[[#This Row],[empresa]]&amp;"-"&amp;cx_conta[[#This Row],[instituicao]]&amp;"-"&amp;RIGHT(SUBSTITUTE(SUBSTITUTE(cx_conta[[#This Row],[contaAtual]]," ",""),"-",""),4)</f>
        <v>SN2-QI Tech-3327</v>
      </c>
      <c r="C173" s="480" t="s">
        <v>1109</v>
      </c>
      <c r="D173" s="480" t="s">
        <v>12</v>
      </c>
      <c r="E173" s="480" t="s">
        <v>622</v>
      </c>
      <c r="F173" s="480" t="s">
        <v>1110</v>
      </c>
      <c r="G173" s="480" t="s">
        <v>1111</v>
      </c>
      <c r="H173" s="480" t="s">
        <v>1074</v>
      </c>
      <c r="I173" s="481" t="b">
        <v>0</v>
      </c>
      <c r="J173" s="481" t="b">
        <v>1</v>
      </c>
      <c r="K173" s="482">
        <v>46237</v>
      </c>
      <c r="L173" s="483">
        <v>149963.41</v>
      </c>
      <c r="M173" s="484"/>
      <c r="N173" s="604"/>
    </row>
    <row r="174" spans="2:14" x14ac:dyDescent="0.25">
      <c r="B174" s="480" t="str">
        <f>cx_conta[[#This Row],[empresa]]&amp;"-"&amp;cx_conta[[#This Row],[instituicao]]&amp;"-"&amp;RIGHT(SUBSTITUTE(SUBSTITUTE(cx_conta[[#This Row],[contaAtual]]," ",""),"-",""),4)</f>
        <v>SN2-QI Tech-3327</v>
      </c>
      <c r="C174" s="480" t="s">
        <v>1109</v>
      </c>
      <c r="D174" s="480" t="s">
        <v>12</v>
      </c>
      <c r="E174" s="480" t="s">
        <v>622</v>
      </c>
      <c r="F174" s="480" t="s">
        <v>1110</v>
      </c>
      <c r="G174" s="480" t="s">
        <v>1111</v>
      </c>
      <c r="H174" s="480" t="s">
        <v>1074</v>
      </c>
      <c r="I174" s="481" t="b">
        <v>0</v>
      </c>
      <c r="J174" s="481" t="b">
        <v>1</v>
      </c>
      <c r="K174" s="482">
        <v>46266</v>
      </c>
      <c r="L174" s="483">
        <v>172313.37</v>
      </c>
      <c r="M174" s="590"/>
      <c r="N174" s="602"/>
    </row>
    <row r="175" spans="2:14" x14ac:dyDescent="0.25">
      <c r="B175" s="480" t="str">
        <f>cx_conta[[#This Row],[empresa]]&amp;"-"&amp;cx_conta[[#This Row],[instituicao]]&amp;"-"&amp;RIGHT(SUBSTITUTE(SUBSTITUTE(cx_conta[[#This Row],[contaAtual]]," ",""),"-",""),4)</f>
        <v>SN4-CEF-0319</v>
      </c>
      <c r="C175" s="480" t="s">
        <v>1112</v>
      </c>
      <c r="D175" s="480" t="s">
        <v>13</v>
      </c>
      <c r="E175" s="480" t="s">
        <v>622</v>
      </c>
      <c r="F175" s="480" t="s">
        <v>757</v>
      </c>
      <c r="G175" s="480" t="s">
        <v>474</v>
      </c>
      <c r="H175" s="480" t="s">
        <v>1074</v>
      </c>
      <c r="I175" s="481" t="b">
        <v>0</v>
      </c>
      <c r="J175" s="481" t="b">
        <v>0</v>
      </c>
      <c r="K175" s="482">
        <v>46237</v>
      </c>
      <c r="L175" s="483">
        <v>1317154.6299999999</v>
      </c>
      <c r="M175" s="484"/>
      <c r="N175" s="604"/>
    </row>
    <row r="176" spans="2:14" x14ac:dyDescent="0.25">
      <c r="B176" s="480" t="str">
        <f>cx_conta[[#This Row],[empresa]]&amp;"-"&amp;cx_conta[[#This Row],[instituicao]]&amp;"-"&amp;RIGHT(SUBSTITUTE(SUBSTITUTE(cx_conta[[#This Row],[contaAtual]]," ",""),"-",""),4)</f>
        <v>SN4-CEF-0319</v>
      </c>
      <c r="C176" s="480" t="s">
        <v>1112</v>
      </c>
      <c r="D176" s="480" t="s">
        <v>13</v>
      </c>
      <c r="E176" s="480" t="s">
        <v>622</v>
      </c>
      <c r="F176" s="480" t="s">
        <v>757</v>
      </c>
      <c r="G176" s="480" t="s">
        <v>474</v>
      </c>
      <c r="H176" s="480" t="s">
        <v>1074</v>
      </c>
      <c r="I176" s="481" t="b">
        <v>0</v>
      </c>
      <c r="J176" s="481" t="b">
        <v>0</v>
      </c>
      <c r="K176" s="482">
        <v>46266</v>
      </c>
      <c r="L176" s="483">
        <v>54144.78</v>
      </c>
      <c r="M176" s="590"/>
      <c r="N176" s="602"/>
    </row>
    <row r="177" spans="2:14" x14ac:dyDescent="0.25">
      <c r="B177" s="480" t="str">
        <f>cx_conta[[#This Row],[empresa]]&amp;"-"&amp;cx_conta[[#This Row],[instituicao]]&amp;"-"&amp;RIGHT(SUBSTITUTE(SUBSTITUTE(cx_conta[[#This Row],[contaAtual]]," ",""),"-",""),4)</f>
        <v>SN4-Itaú-6641</v>
      </c>
      <c r="C177" s="480" t="s">
        <v>1112</v>
      </c>
      <c r="D177" s="480" t="s">
        <v>13</v>
      </c>
      <c r="E177" s="480" t="s">
        <v>622</v>
      </c>
      <c r="F177" s="480" t="s">
        <v>758</v>
      </c>
      <c r="G177" s="480" t="s">
        <v>1079</v>
      </c>
      <c r="H177" s="480" t="s">
        <v>1074</v>
      </c>
      <c r="I177" s="481" t="b">
        <v>0</v>
      </c>
      <c r="J177" s="481" t="b">
        <v>0</v>
      </c>
      <c r="K177" s="482">
        <v>46237</v>
      </c>
      <c r="L177" s="483">
        <v>71039.58</v>
      </c>
      <c r="M177" s="484"/>
      <c r="N177" s="604"/>
    </row>
    <row r="178" spans="2:14" x14ac:dyDescent="0.25">
      <c r="B178" s="480" t="str">
        <f>cx_conta[[#This Row],[empresa]]&amp;"-"&amp;cx_conta[[#This Row],[instituicao]]&amp;"-"&amp;RIGHT(SUBSTITUTE(SUBSTITUTE(cx_conta[[#This Row],[contaAtual]]," ",""),"-",""),4)</f>
        <v>SN4-Itaú-6641</v>
      </c>
      <c r="C178" s="480" t="s">
        <v>1112</v>
      </c>
      <c r="D178" s="480" t="s">
        <v>13</v>
      </c>
      <c r="E178" s="480" t="s">
        <v>622</v>
      </c>
      <c r="F178" s="480" t="s">
        <v>758</v>
      </c>
      <c r="G178" s="480" t="s">
        <v>1079</v>
      </c>
      <c r="H178" s="480" t="s">
        <v>1074</v>
      </c>
      <c r="I178" s="481" t="b">
        <v>0</v>
      </c>
      <c r="J178" s="481" t="b">
        <v>0</v>
      </c>
      <c r="K178" s="482">
        <v>46266</v>
      </c>
      <c r="L178" s="483">
        <v>125184.82</v>
      </c>
      <c r="M178" s="590"/>
      <c r="N178" s="602"/>
    </row>
    <row r="179" spans="2:14" x14ac:dyDescent="0.25">
      <c r="B179" s="480" t="str">
        <f>cx_conta[[#This Row],[empresa]]&amp;"-"&amp;cx_conta[[#This Row],[instituicao]]&amp;"-"&amp;RIGHT(SUBSTITUTE(SUBSTITUTE(cx_conta[[#This Row],[contaAtual]]," ",""),"-",""),4)</f>
        <v>SOC-CEF-1574</v>
      </c>
      <c r="C179" s="480" t="s">
        <v>950</v>
      </c>
      <c r="D179" s="480" t="s">
        <v>804</v>
      </c>
      <c r="E179" s="480" t="s">
        <v>622</v>
      </c>
      <c r="F179" s="480" t="s">
        <v>808</v>
      </c>
      <c r="G179" s="480" t="s">
        <v>474</v>
      </c>
      <c r="H179" s="480" t="s">
        <v>1074</v>
      </c>
      <c r="I179" s="481" t="b">
        <v>0</v>
      </c>
      <c r="J179" s="481" t="b">
        <v>0</v>
      </c>
      <c r="K179" s="482">
        <v>46237</v>
      </c>
      <c r="L179" s="483">
        <v>0</v>
      </c>
      <c r="M179" s="484"/>
      <c r="N179" s="604"/>
    </row>
    <row r="180" spans="2:14" x14ac:dyDescent="0.25">
      <c r="B180" s="480" t="str">
        <f>cx_conta[[#This Row],[empresa]]&amp;"-"&amp;cx_conta[[#This Row],[instituicao]]&amp;"-"&amp;RIGHT(SUBSTITUTE(SUBSTITUTE(cx_conta[[#This Row],[contaAtual]]," ",""),"-",""),4)</f>
        <v>SOC-CEF-1574</v>
      </c>
      <c r="C180" s="480" t="s">
        <v>950</v>
      </c>
      <c r="D180" s="480" t="s">
        <v>804</v>
      </c>
      <c r="E180" s="480" t="s">
        <v>622</v>
      </c>
      <c r="F180" s="480" t="s">
        <v>808</v>
      </c>
      <c r="G180" s="480" t="s">
        <v>474</v>
      </c>
      <c r="H180" s="480" t="s">
        <v>1074</v>
      </c>
      <c r="I180" s="481" t="b">
        <v>0</v>
      </c>
      <c r="J180" s="481" t="b">
        <v>0</v>
      </c>
      <c r="K180" s="482">
        <v>46266</v>
      </c>
      <c r="L180" s="483">
        <v>0</v>
      </c>
      <c r="M180" s="590"/>
      <c r="N180" s="602"/>
    </row>
    <row r="181" spans="2:14" x14ac:dyDescent="0.25">
      <c r="B181" s="480" t="str">
        <f>cx_conta[[#This Row],[empresa]]&amp;"-"&amp;cx_conta[[#This Row],[instituicao]]&amp;"-"&amp;RIGHT(SUBSTITUTE(SUBSTITUTE(cx_conta[[#This Row],[contaAtual]]," ",""),"-",""),4)</f>
        <v>SOC-Itaú-7169</v>
      </c>
      <c r="C181" s="480" t="s">
        <v>950</v>
      </c>
      <c r="D181" s="480" t="s">
        <v>804</v>
      </c>
      <c r="E181" s="480" t="s">
        <v>622</v>
      </c>
      <c r="F181" s="480" t="s">
        <v>805</v>
      </c>
      <c r="G181" s="480" t="s">
        <v>1079</v>
      </c>
      <c r="H181" s="480" t="s">
        <v>1074</v>
      </c>
      <c r="I181" s="481" t="b">
        <v>0</v>
      </c>
      <c r="J181" s="481" t="b">
        <v>0</v>
      </c>
      <c r="K181" s="482">
        <v>46237</v>
      </c>
      <c r="L181" s="483">
        <v>17064.55</v>
      </c>
      <c r="M181" s="484"/>
      <c r="N181" s="604"/>
    </row>
    <row r="182" spans="2:14" x14ac:dyDescent="0.25">
      <c r="B182" s="480" t="str">
        <f>cx_conta[[#This Row],[empresa]]&amp;"-"&amp;cx_conta[[#This Row],[instituicao]]&amp;"-"&amp;RIGHT(SUBSTITUTE(SUBSTITUTE(cx_conta[[#This Row],[contaAtual]]," ",""),"-",""),4)</f>
        <v>SOC-Itaú-7169</v>
      </c>
      <c r="C182" s="480" t="s">
        <v>950</v>
      </c>
      <c r="D182" s="480" t="s">
        <v>804</v>
      </c>
      <c r="E182" s="480" t="s">
        <v>622</v>
      </c>
      <c r="F182" s="480" t="s">
        <v>805</v>
      </c>
      <c r="G182" s="480" t="s">
        <v>1079</v>
      </c>
      <c r="H182" s="480" t="s">
        <v>1074</v>
      </c>
      <c r="I182" s="481" t="b">
        <v>0</v>
      </c>
      <c r="J182" s="481" t="b">
        <v>0</v>
      </c>
      <c r="K182" s="482">
        <v>46266</v>
      </c>
      <c r="L182" s="483">
        <v>15439.38</v>
      </c>
      <c r="M182" s="590"/>
      <c r="N182" s="602"/>
    </row>
    <row r="183" spans="2:14" x14ac:dyDescent="0.25">
      <c r="B183" s="480" t="str">
        <f>cx_conta[[#This Row],[empresa]]&amp;"-"&amp;cx_conta[[#This Row],[instituicao]]&amp;"-"&amp;RIGHT(SUBSTITUTE(SUBSTITUTE(cx_conta[[#This Row],[contaAtual]]," ",""),"-",""),4)</f>
        <v>USL-CEF-3550</v>
      </c>
      <c r="C183" s="480" t="s">
        <v>953</v>
      </c>
      <c r="D183" s="480" t="s">
        <v>729</v>
      </c>
      <c r="E183" s="480" t="s">
        <v>622</v>
      </c>
      <c r="F183" s="480" t="s">
        <v>807</v>
      </c>
      <c r="G183" s="480" t="s">
        <v>474</v>
      </c>
      <c r="H183" s="480" t="s">
        <v>1074</v>
      </c>
      <c r="I183" s="481" t="b">
        <v>0</v>
      </c>
      <c r="J183" s="481" t="b">
        <v>0</v>
      </c>
      <c r="K183" s="482">
        <v>46237</v>
      </c>
      <c r="L183" s="483">
        <v>0</v>
      </c>
      <c r="M183" s="484"/>
      <c r="N183" s="604"/>
    </row>
    <row r="184" spans="2:14" x14ac:dyDescent="0.25">
      <c r="B184" s="480" t="str">
        <f>cx_conta[[#This Row],[empresa]]&amp;"-"&amp;cx_conta[[#This Row],[instituicao]]&amp;"-"&amp;RIGHT(SUBSTITUTE(SUBSTITUTE(cx_conta[[#This Row],[contaAtual]]," ",""),"-",""),4)</f>
        <v>USL-CEF-3550</v>
      </c>
      <c r="C184" s="480" t="s">
        <v>953</v>
      </c>
      <c r="D184" s="480" t="s">
        <v>729</v>
      </c>
      <c r="E184" s="480" t="s">
        <v>622</v>
      </c>
      <c r="F184" s="480" t="s">
        <v>807</v>
      </c>
      <c r="G184" s="480" t="s">
        <v>474</v>
      </c>
      <c r="H184" s="480" t="s">
        <v>1074</v>
      </c>
      <c r="I184" s="481" t="b">
        <v>0</v>
      </c>
      <c r="J184" s="481" t="b">
        <v>0</v>
      </c>
      <c r="K184" s="482">
        <v>46266</v>
      </c>
      <c r="L184" s="483">
        <v>0</v>
      </c>
      <c r="M184" s="590"/>
      <c r="N184" s="602"/>
    </row>
    <row r="185" spans="2:14" x14ac:dyDescent="0.25">
      <c r="B185" s="480" t="str">
        <f>cx_conta[[#This Row],[empresa]]&amp;"-"&amp;cx_conta[[#This Row],[instituicao]]&amp;"-"&amp;RIGHT(SUBSTITUTE(SUBSTITUTE(cx_conta[[#This Row],[contaAtual]]," ",""),"-",""),4)</f>
        <v>USL-Itaú-2673</v>
      </c>
      <c r="C185" s="480" t="s">
        <v>953</v>
      </c>
      <c r="D185" s="480" t="s">
        <v>729</v>
      </c>
      <c r="E185" s="480" t="s">
        <v>622</v>
      </c>
      <c r="F185" s="480" t="s">
        <v>801</v>
      </c>
      <c r="G185" s="480" t="s">
        <v>1079</v>
      </c>
      <c r="H185" s="480" t="s">
        <v>1074</v>
      </c>
      <c r="I185" s="481" t="b">
        <v>0</v>
      </c>
      <c r="J185" s="481" t="b">
        <v>0</v>
      </c>
      <c r="K185" s="482">
        <v>46237</v>
      </c>
      <c r="L185" s="483">
        <v>62793.1</v>
      </c>
      <c r="M185" s="484"/>
      <c r="N185" s="604">
        <v>1600</v>
      </c>
    </row>
    <row r="186" spans="2:14" x14ac:dyDescent="0.25">
      <c r="B186" s="480" t="str">
        <f>cx_conta[[#This Row],[empresa]]&amp;"-"&amp;cx_conta[[#This Row],[instituicao]]&amp;"-"&amp;RIGHT(SUBSTITUTE(SUBSTITUTE(cx_conta[[#This Row],[contaAtual]]," ",""),"-",""),4)</f>
        <v>USL-Itaú-2673</v>
      </c>
      <c r="C186" s="480" t="s">
        <v>953</v>
      </c>
      <c r="D186" s="480" t="s">
        <v>729</v>
      </c>
      <c r="E186" s="480" t="s">
        <v>622</v>
      </c>
      <c r="F186" s="480" t="s">
        <v>801</v>
      </c>
      <c r="G186" s="480" t="s">
        <v>1079</v>
      </c>
      <c r="H186" s="480" t="s">
        <v>1074</v>
      </c>
      <c r="I186" s="481" t="b">
        <v>0</v>
      </c>
      <c r="J186" s="481" t="b">
        <v>0</v>
      </c>
      <c r="K186" s="482">
        <v>46266</v>
      </c>
      <c r="L186" s="483">
        <v>54552.9</v>
      </c>
      <c r="M186" s="590"/>
      <c r="N186" s="602">
        <v>1600</v>
      </c>
    </row>
    <row r="187" spans="2:14" x14ac:dyDescent="0.25">
      <c r="B187" s="480" t="str">
        <f>cx_conta[[#This Row],[empresa]]&amp;"-"&amp;cx_conta[[#This Row],[instituicao]]&amp;"-"&amp;RIGHT(SUBSTITUTE(SUBSTITUTE(cx_conta[[#This Row],[contaAtual]]," ",""),"-",""),4)</f>
        <v>USL-Linkpay-</v>
      </c>
      <c r="C187" s="480" t="s">
        <v>953</v>
      </c>
      <c r="D187" s="480" t="s">
        <v>729</v>
      </c>
      <c r="E187" s="480" t="s">
        <v>622</v>
      </c>
      <c r="F187" s="480"/>
      <c r="G187" s="480" t="s">
        <v>944</v>
      </c>
      <c r="H187" s="480"/>
      <c r="I187" s="481" t="b">
        <v>0</v>
      </c>
      <c r="J187" s="481" t="b">
        <v>0</v>
      </c>
      <c r="K187" s="482">
        <v>46237</v>
      </c>
      <c r="L187" s="483">
        <v>37800.9</v>
      </c>
      <c r="M187" s="484"/>
      <c r="N187" s="604"/>
    </row>
    <row r="188" spans="2:14" x14ac:dyDescent="0.25">
      <c r="B188" s="480" t="str">
        <f>cx_conta[[#This Row],[empresa]]&amp;"-"&amp;cx_conta[[#This Row],[instituicao]]&amp;"-"&amp;RIGHT(SUBSTITUTE(SUBSTITUTE(cx_conta[[#This Row],[contaAtual]]," ",""),"-",""),4)</f>
        <v>USL-Linkpay-</v>
      </c>
      <c r="C188" s="480" t="s">
        <v>953</v>
      </c>
      <c r="D188" s="480" t="s">
        <v>729</v>
      </c>
      <c r="E188" s="480" t="s">
        <v>622</v>
      </c>
      <c r="F188" s="480"/>
      <c r="G188" s="480" t="s">
        <v>944</v>
      </c>
      <c r="H188" s="480"/>
      <c r="I188" s="481" t="b">
        <v>0</v>
      </c>
      <c r="J188" s="481" t="b">
        <v>0</v>
      </c>
      <c r="K188" s="482">
        <v>46266</v>
      </c>
      <c r="L188" s="483">
        <v>69387.320000000007</v>
      </c>
      <c r="M188" s="590"/>
      <c r="N188" s="602"/>
    </row>
    <row r="189" spans="2:14" x14ac:dyDescent="0.25">
      <c r="B189" s="480" t="str">
        <f>cx_conta[[#This Row],[empresa]]&amp;"-"&amp;cx_conta[[#This Row],[instituicao]]&amp;"-"&amp;RIGHT(SUBSTITUTE(SUBSTITUTE(cx_conta[[#This Row],[contaAtual]]," ",""),"-",""),4)</f>
        <v>VII-CEF-3289</v>
      </c>
      <c r="C189" s="480" t="s">
        <v>1115</v>
      </c>
      <c r="D189" s="480" t="s">
        <v>1032</v>
      </c>
      <c r="E189" s="480" t="s">
        <v>622</v>
      </c>
      <c r="F189" s="480" t="s">
        <v>1116</v>
      </c>
      <c r="G189" s="480" t="s">
        <v>474</v>
      </c>
      <c r="H189" s="480" t="s">
        <v>1074</v>
      </c>
      <c r="I189" s="481" t="b">
        <v>0</v>
      </c>
      <c r="J189" s="481" t="b">
        <v>0</v>
      </c>
      <c r="K189" s="482">
        <v>46237</v>
      </c>
      <c r="L189" s="483">
        <v>0</v>
      </c>
      <c r="M189" s="484"/>
      <c r="N189" s="604"/>
    </row>
    <row r="190" spans="2:14" x14ac:dyDescent="0.25">
      <c r="B190" s="480" t="str">
        <f>cx_conta[[#This Row],[empresa]]&amp;"-"&amp;cx_conta[[#This Row],[instituicao]]&amp;"-"&amp;RIGHT(SUBSTITUTE(SUBSTITUTE(cx_conta[[#This Row],[contaAtual]]," ",""),"-",""),4)</f>
        <v>VII-CEF-3289</v>
      </c>
      <c r="C190" s="480" t="s">
        <v>1115</v>
      </c>
      <c r="D190" s="480" t="s">
        <v>1032</v>
      </c>
      <c r="E190" s="480" t="s">
        <v>622</v>
      </c>
      <c r="F190" s="480" t="s">
        <v>1116</v>
      </c>
      <c r="G190" s="480" t="s">
        <v>474</v>
      </c>
      <c r="H190" s="480" t="s">
        <v>1074</v>
      </c>
      <c r="I190" s="481" t="b">
        <v>0</v>
      </c>
      <c r="J190" s="481" t="b">
        <v>0</v>
      </c>
      <c r="K190" s="482">
        <v>46266</v>
      </c>
      <c r="L190" s="483">
        <v>0</v>
      </c>
      <c r="M190" s="590"/>
      <c r="N190" s="602"/>
    </row>
    <row r="191" spans="2:14" x14ac:dyDescent="0.25">
      <c r="B191" s="480" t="str">
        <f>cx_conta[[#This Row],[empresa]]&amp;"-"&amp;cx_conta[[#This Row],[instituicao]]&amp;"-"&amp;RIGHT(SUBSTITUTE(SUBSTITUTE(cx_conta[[#This Row],[contaAtual]]," ",""),"-",""),4)</f>
        <v>VRG-Bradesco-</v>
      </c>
      <c r="C191" s="480" t="s">
        <v>1114</v>
      </c>
      <c r="D191" s="480" t="s">
        <v>1113</v>
      </c>
      <c r="E191" s="480" t="s">
        <v>622</v>
      </c>
      <c r="F191" s="480"/>
      <c r="G191" s="480" t="s">
        <v>483</v>
      </c>
      <c r="H191" s="480" t="s">
        <v>1074</v>
      </c>
      <c r="I191" s="481" t="b">
        <v>0</v>
      </c>
      <c r="J191" s="481" t="b">
        <v>1</v>
      </c>
      <c r="K191" s="482">
        <v>46237</v>
      </c>
      <c r="L191" s="483">
        <v>0</v>
      </c>
      <c r="M191" s="484"/>
      <c r="N191" s="604"/>
    </row>
    <row r="192" spans="2:14" x14ac:dyDescent="0.25">
      <c r="B192" s="480" t="str">
        <f>cx_conta[[#This Row],[empresa]]&amp;"-"&amp;cx_conta[[#This Row],[instituicao]]&amp;"-"&amp;RIGHT(SUBSTITUTE(SUBSTITUTE(cx_conta[[#This Row],[contaAtual]]," ",""),"-",""),4)</f>
        <v>VRG-Bradesco-</v>
      </c>
      <c r="C192" s="480" t="s">
        <v>1114</v>
      </c>
      <c r="D192" s="480" t="s">
        <v>1113</v>
      </c>
      <c r="E192" s="480" t="s">
        <v>622</v>
      </c>
      <c r="F192" s="480"/>
      <c r="G192" s="480" t="s">
        <v>483</v>
      </c>
      <c r="H192" s="480" t="s">
        <v>1074</v>
      </c>
      <c r="I192" s="481" t="b">
        <v>0</v>
      </c>
      <c r="J192" s="481" t="b">
        <v>1</v>
      </c>
      <c r="K192" s="482">
        <v>46266</v>
      </c>
      <c r="L192" s="483">
        <v>713296.46</v>
      </c>
      <c r="M192" s="590"/>
      <c r="N192" s="602"/>
    </row>
    <row r="193" spans="2:14" x14ac:dyDescent="0.25">
      <c r="B193" s="480" t="str">
        <f>cx_conta[[#This Row],[empresa]]&amp;"-"&amp;cx_conta[[#This Row],[instituicao]]&amp;"-"&amp;RIGHT(SUBSTITUTE(SUBSTITUTE(cx_conta[[#This Row],[contaAtual]]," ",""),"-",""),4)</f>
        <v>VRT-CEF-6961</v>
      </c>
      <c r="C193" s="480" t="s">
        <v>956</v>
      </c>
      <c r="D193" s="480" t="s">
        <v>956</v>
      </c>
      <c r="E193" s="480" t="s">
        <v>622</v>
      </c>
      <c r="F193" s="480" t="s">
        <v>1117</v>
      </c>
      <c r="G193" s="480" t="s">
        <v>474</v>
      </c>
      <c r="H193" s="480" t="s">
        <v>1074</v>
      </c>
      <c r="I193" s="481" t="b">
        <v>0</v>
      </c>
      <c r="J193" s="481" t="b">
        <v>1</v>
      </c>
      <c r="K193" s="482">
        <v>46237</v>
      </c>
      <c r="L193" s="483">
        <v>-39042.699999999997</v>
      </c>
      <c r="M193" s="484"/>
      <c r="N193" s="604">
        <v>957.30000000000291</v>
      </c>
    </row>
    <row r="194" spans="2:14" x14ac:dyDescent="0.25">
      <c r="B194" s="480" t="str">
        <f>cx_conta[[#This Row],[empresa]]&amp;"-"&amp;cx_conta[[#This Row],[instituicao]]&amp;"-"&amp;RIGHT(SUBSTITUTE(SUBSTITUTE(cx_conta[[#This Row],[contaAtual]]," ",""),"-",""),4)</f>
        <v>VRT-CEF-6961</v>
      </c>
      <c r="C194" s="480" t="s">
        <v>956</v>
      </c>
      <c r="D194" s="480" t="s">
        <v>956</v>
      </c>
      <c r="E194" s="480" t="s">
        <v>622</v>
      </c>
      <c r="F194" s="480" t="s">
        <v>1117</v>
      </c>
      <c r="G194" s="480" t="s">
        <v>474</v>
      </c>
      <c r="H194" s="480" t="s">
        <v>1074</v>
      </c>
      <c r="I194" s="481" t="b">
        <v>0</v>
      </c>
      <c r="J194" s="481" t="b">
        <v>1</v>
      </c>
      <c r="K194" s="482">
        <v>46266</v>
      </c>
      <c r="L194" s="483">
        <v>-39708.01</v>
      </c>
      <c r="M194" s="590"/>
      <c r="N194" s="602">
        <v>291.98999999999796</v>
      </c>
    </row>
  </sheetData>
  <conditionalFormatting sqref="B70:H194 K70:K194">
    <cfRule type="containsBlanks" dxfId="6" priority="2">
      <formula>LEN(TRIM(B70))=0</formula>
    </cfRule>
  </conditionalFormatting>
  <conditionalFormatting sqref="L70:N194">
    <cfRule type="cellIs" dxfId="5" priority="1" operator="lessThan">
      <formula>0</formula>
    </cfRule>
  </conditionalFormatting>
  <dataValidations disablePrompts="1" count="5">
    <dataValidation type="list" allowBlank="1" showInputMessage="1" showErrorMessage="1" errorTitle="Preenchimento inválido" error="Preencha uma &quot;contaAntiga&quot; listada na aba de configurações." sqref="E70:E194" xr:uid="{79DC2E02-95A6-4883-B37C-6EB82298E640}">
      <formula1>l_contaAntiga</formula1>
    </dataValidation>
    <dataValidation type="list" allowBlank="1" showInputMessage="1" showErrorMessage="1" errorTitle="Preenchimento inválido" error="Preencha uma &quot;contaAtual&quot; listada na aba de configurações." sqref="F70:F194" xr:uid="{7A639B08-78B6-4639-964F-FA515891EE89}">
      <formula1>l_contaAtual</formula1>
    </dataValidation>
    <dataValidation type="list" allowBlank="1" showInputMessage="1" showErrorMessage="1" errorTitle="Preenchimento inválido" error="Preencha uma &quot;instituicao&quot; listada na aba de configurações." sqref="G70:G194" xr:uid="{E0E6D152-6862-4F9E-B4F3-CB6A2B130221}">
      <formula1>l_instituicao</formula1>
    </dataValidation>
    <dataValidation type="list" allowBlank="1" showInputMessage="1" showErrorMessage="1" errorTitle="Preenchimento inválido" error="Preencha um &quot;tipo&quot; listada na aba de configurações." sqref="H70:H194" xr:uid="{BB783B4E-3E29-413C-BC4B-0B3C658E7DF5}">
      <formula1>l_tipo</formula1>
    </dataValidation>
    <dataValidation type="list" allowBlank="1" showInputMessage="1" showErrorMessage="1" errorTitle="Preenchimento inválido" error="Preencha uma &quot;empresa&quot; listada na aba de configurações." sqref="B70:D194" xr:uid="{D97073F3-E829-4E73-BE88-5CBADDECCF24}">
      <formula1>l_empresa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A05E-D6A6-4384-B7BC-5F802BF0E848}">
  <sheetPr>
    <tabColor theme="9" tint="0.39997558519241921"/>
  </sheetPr>
  <dimension ref="A1:P95"/>
  <sheetViews>
    <sheetView topLeftCell="A62" zoomScale="80" zoomScaleNormal="80" workbookViewId="0">
      <selection activeCell="O2" sqref="O2"/>
    </sheetView>
  </sheetViews>
  <sheetFormatPr defaultRowHeight="15" x14ac:dyDescent="0.25"/>
  <cols>
    <col min="1" max="1" width="12.7109375" customWidth="1"/>
    <col min="2" max="2" width="15.7109375" customWidth="1"/>
    <col min="3" max="7" width="16.7109375" customWidth="1"/>
    <col min="8" max="8" width="18.7109375" customWidth="1"/>
    <col min="9" max="9" width="10.7109375" customWidth="1"/>
    <col min="10" max="11" width="16.7109375" customWidth="1"/>
    <col min="12" max="12" width="24" customWidth="1"/>
    <col min="13" max="13" width="8.85546875" customWidth="1"/>
    <col min="14" max="14" width="44.85546875" customWidth="1"/>
    <col min="15" max="15" width="19.85546875" customWidth="1"/>
    <col min="16" max="16" width="31.140625" customWidth="1"/>
  </cols>
  <sheetData>
    <row r="1" spans="1:16" ht="16.5" thickBot="1" x14ac:dyDescent="0.3">
      <c r="A1" s="473" t="s">
        <v>1062</v>
      </c>
      <c r="B1" s="474">
        <v>46237</v>
      </c>
    </row>
    <row r="2" spans="1:16" ht="15.75" thickTop="1" x14ac:dyDescent="0.25">
      <c r="A2" s="475" t="s">
        <v>68</v>
      </c>
      <c r="B2" s="475" t="s">
        <v>1063</v>
      </c>
      <c r="C2" s="475" t="s">
        <v>1064</v>
      </c>
      <c r="D2" s="475" t="s">
        <v>1065</v>
      </c>
      <c r="E2" s="475" t="s">
        <v>1066</v>
      </c>
      <c r="F2" s="475" t="s">
        <v>1067</v>
      </c>
      <c r="G2" s="475" t="s">
        <v>1068</v>
      </c>
      <c r="H2" s="475" t="s">
        <v>1069</v>
      </c>
      <c r="I2" s="475" t="s">
        <v>226</v>
      </c>
      <c r="J2" s="476" t="s">
        <v>1070</v>
      </c>
      <c r="K2" s="477" t="s">
        <v>1071</v>
      </c>
      <c r="L2" s="478" t="s">
        <v>1072</v>
      </c>
      <c r="N2" t="s">
        <v>1073</v>
      </c>
      <c r="O2" s="479">
        <f>SUMIFS(cx_03_08_26[saldo],
  cx_03_08_26[soVisualizacao], FALSE
)</f>
        <v>7102126.9399999995</v>
      </c>
    </row>
    <row r="3" spans="1:16" x14ac:dyDescent="0.25">
      <c r="A3" s="480" t="s">
        <v>7</v>
      </c>
      <c r="B3" s="480" t="s">
        <v>947</v>
      </c>
      <c r="C3" s="480" t="s">
        <v>734</v>
      </c>
      <c r="D3" s="480" t="s">
        <v>735</v>
      </c>
      <c r="E3" s="480" t="s">
        <v>474</v>
      </c>
      <c r="F3" s="480" t="s">
        <v>1074</v>
      </c>
      <c r="G3" s="481" t="b">
        <v>0</v>
      </c>
      <c r="H3" s="481" t="b">
        <v>0</v>
      </c>
      <c r="I3" s="482">
        <f t="shared" ref="I3:I64" si="0">$B$1</f>
        <v>46237</v>
      </c>
      <c r="J3" s="483">
        <v>-7503.44</v>
      </c>
      <c r="K3" s="484"/>
      <c r="L3" s="484">
        <v>2496.5600000000004</v>
      </c>
      <c r="N3" t="s">
        <v>1075</v>
      </c>
      <c r="O3" s="421">
        <f>SUMIFS(cx_03_08_26[saldo],
  cx_03_08_26[soVisualizacao], FALSE,
  cx_03_08_26[saldo], "&gt;" &amp; 0
)</f>
        <v>7113411.9299999997</v>
      </c>
    </row>
    <row r="4" spans="1:16" x14ac:dyDescent="0.25">
      <c r="A4" s="480" t="s">
        <v>7</v>
      </c>
      <c r="B4" s="480" t="s">
        <v>947</v>
      </c>
      <c r="C4" s="480" t="s">
        <v>739</v>
      </c>
      <c r="D4" s="480" t="s">
        <v>740</v>
      </c>
      <c r="E4" s="480" t="s">
        <v>474</v>
      </c>
      <c r="F4" s="480" t="s">
        <v>1074</v>
      </c>
      <c r="G4" s="481" t="b">
        <v>0</v>
      </c>
      <c r="H4" s="481" t="b">
        <v>0</v>
      </c>
      <c r="I4" s="482">
        <f t="shared" si="0"/>
        <v>46237</v>
      </c>
      <c r="J4" s="483">
        <v>30571.56</v>
      </c>
      <c r="K4" s="484"/>
      <c r="L4" s="484"/>
      <c r="N4" t="s">
        <v>1076</v>
      </c>
      <c r="O4" s="421">
        <f>SUMIFS(cx_03_08_26[limiteChequeEspecial],
  cx_03_08_26[soVisualizacao], FALSE
)</f>
        <v>702811.38</v>
      </c>
    </row>
    <row r="5" spans="1:16" x14ac:dyDescent="0.25">
      <c r="A5" s="480" t="s">
        <v>7</v>
      </c>
      <c r="B5" s="480" t="s">
        <v>947</v>
      </c>
      <c r="C5" s="480" t="s">
        <v>622</v>
      </c>
      <c r="D5" s="480" t="s">
        <v>736</v>
      </c>
      <c r="E5" s="480" t="s">
        <v>474</v>
      </c>
      <c r="F5" s="480" t="s">
        <v>1074</v>
      </c>
      <c r="G5" s="481" t="b">
        <v>0</v>
      </c>
      <c r="H5" s="481" t="b">
        <v>0</v>
      </c>
      <c r="I5" s="482">
        <f t="shared" si="0"/>
        <v>46237</v>
      </c>
      <c r="J5" s="483">
        <v>0</v>
      </c>
      <c r="K5" s="484"/>
      <c r="L5" s="484"/>
      <c r="O5" s="421"/>
    </row>
    <row r="6" spans="1:16" x14ac:dyDescent="0.25">
      <c r="A6" s="480" t="s">
        <v>7</v>
      </c>
      <c r="B6" s="480" t="s">
        <v>947</v>
      </c>
      <c r="C6" s="480" t="s">
        <v>737</v>
      </c>
      <c r="D6" s="480" t="s">
        <v>738</v>
      </c>
      <c r="E6" s="480" t="s">
        <v>474</v>
      </c>
      <c r="F6" s="480" t="s">
        <v>1074</v>
      </c>
      <c r="G6" s="481" t="b">
        <v>1</v>
      </c>
      <c r="H6" s="481" t="b">
        <v>0</v>
      </c>
      <c r="I6" s="482">
        <f t="shared" si="0"/>
        <v>46237</v>
      </c>
      <c r="J6" s="483">
        <v>179512.47</v>
      </c>
      <c r="K6" s="484"/>
      <c r="L6" s="484"/>
      <c r="N6" t="s">
        <v>1077</v>
      </c>
      <c r="O6" s="421">
        <f>SUMIFS(cx_03_08_26[saldo],
  cx_03_08_26[soVisualizacao], TRUE
)</f>
        <v>770639.12000000011</v>
      </c>
    </row>
    <row r="7" spans="1:16" x14ac:dyDescent="0.25">
      <c r="A7" s="480" t="s">
        <v>7</v>
      </c>
      <c r="B7" s="480" t="s">
        <v>947</v>
      </c>
      <c r="C7" s="480" t="s">
        <v>622</v>
      </c>
      <c r="D7" s="480" t="s">
        <v>741</v>
      </c>
      <c r="E7" s="480" t="s">
        <v>474</v>
      </c>
      <c r="F7" s="480" t="s">
        <v>1078</v>
      </c>
      <c r="G7" s="481" t="b">
        <v>0</v>
      </c>
      <c r="H7" s="481" t="b">
        <v>0</v>
      </c>
      <c r="I7" s="482">
        <f t="shared" si="0"/>
        <v>46237</v>
      </c>
      <c r="J7" s="483">
        <v>0</v>
      </c>
      <c r="K7" s="484"/>
      <c r="L7" s="484"/>
    </row>
    <row r="8" spans="1:16" x14ac:dyDescent="0.25">
      <c r="A8" s="480" t="s">
        <v>7</v>
      </c>
      <c r="B8" s="480" t="s">
        <v>947</v>
      </c>
      <c r="C8" s="480" t="s">
        <v>622</v>
      </c>
      <c r="D8" s="480" t="s">
        <v>742</v>
      </c>
      <c r="E8" s="480" t="s">
        <v>1079</v>
      </c>
      <c r="F8" s="480" t="s">
        <v>1074</v>
      </c>
      <c r="G8" s="481" t="b">
        <v>0</v>
      </c>
      <c r="H8" s="481" t="b">
        <v>0</v>
      </c>
      <c r="I8" s="482">
        <f t="shared" si="0"/>
        <v>46237</v>
      </c>
      <c r="J8" s="483">
        <v>729115.82</v>
      </c>
      <c r="K8" s="484"/>
      <c r="L8" s="484">
        <v>50000</v>
      </c>
    </row>
    <row r="9" spans="1:16" x14ac:dyDescent="0.25">
      <c r="A9" s="480" t="s">
        <v>7</v>
      </c>
      <c r="B9" s="480" t="s">
        <v>947</v>
      </c>
      <c r="C9" s="480" t="s">
        <v>622</v>
      </c>
      <c r="D9" s="480" t="s">
        <v>743</v>
      </c>
      <c r="E9" s="480" t="s">
        <v>943</v>
      </c>
      <c r="F9" s="480" t="s">
        <v>1074</v>
      </c>
      <c r="G9" s="481" t="b">
        <v>0</v>
      </c>
      <c r="H9" s="481" t="b">
        <v>0</v>
      </c>
      <c r="I9" s="482">
        <f t="shared" si="0"/>
        <v>46237</v>
      </c>
      <c r="J9" s="483">
        <v>213249.97</v>
      </c>
      <c r="K9" s="484"/>
      <c r="L9" s="484">
        <v>300000</v>
      </c>
    </row>
    <row r="10" spans="1:16" x14ac:dyDescent="0.25">
      <c r="A10" s="480" t="s">
        <v>670</v>
      </c>
      <c r="B10" s="480" t="s">
        <v>380</v>
      </c>
      <c r="C10" s="480" t="s">
        <v>732</v>
      </c>
      <c r="D10" s="480" t="s">
        <v>733</v>
      </c>
      <c r="E10" s="480" t="s">
        <v>474</v>
      </c>
      <c r="F10" s="480" t="s">
        <v>1074</v>
      </c>
      <c r="G10" s="481" t="b">
        <v>0</v>
      </c>
      <c r="H10" s="481" t="b">
        <v>0</v>
      </c>
      <c r="I10" s="482">
        <f t="shared" si="0"/>
        <v>46237</v>
      </c>
      <c r="J10" s="483">
        <v>0</v>
      </c>
      <c r="K10" s="484"/>
      <c r="L10" s="484"/>
      <c r="N10" s="629" t="s">
        <v>1080</v>
      </c>
      <c r="O10" s="629"/>
      <c r="P10" s="629"/>
    </row>
    <row r="11" spans="1:16" x14ac:dyDescent="0.25">
      <c r="A11" s="480" t="s">
        <v>8</v>
      </c>
      <c r="B11" s="480" t="s">
        <v>951</v>
      </c>
      <c r="C11" s="480" t="s">
        <v>746</v>
      </c>
      <c r="D11" s="480" t="s">
        <v>747</v>
      </c>
      <c r="E11" s="480" t="s">
        <v>474</v>
      </c>
      <c r="F11" s="480" t="s">
        <v>1074</v>
      </c>
      <c r="G11" s="481" t="b">
        <v>0</v>
      </c>
      <c r="H11" s="481" t="b">
        <v>0</v>
      </c>
      <c r="I11" s="482">
        <f t="shared" si="0"/>
        <v>46237</v>
      </c>
      <c r="J11" s="483">
        <v>38.75</v>
      </c>
      <c r="K11" s="484"/>
      <c r="L11" s="484"/>
      <c r="N11" t="s">
        <v>1081</v>
      </c>
      <c r="O11" s="421">
        <v>840000</v>
      </c>
      <c r="P11" t="s">
        <v>1082</v>
      </c>
    </row>
    <row r="12" spans="1:16" x14ac:dyDescent="0.25">
      <c r="A12" s="480" t="s">
        <v>8</v>
      </c>
      <c r="B12" s="480" t="s">
        <v>951</v>
      </c>
      <c r="C12" s="480" t="s">
        <v>748</v>
      </c>
      <c r="D12" s="480" t="s">
        <v>749</v>
      </c>
      <c r="E12" s="480" t="s">
        <v>474</v>
      </c>
      <c r="F12" s="480" t="s">
        <v>1074</v>
      </c>
      <c r="G12" s="481" t="b">
        <v>1</v>
      </c>
      <c r="H12" s="481" t="b">
        <v>0</v>
      </c>
      <c r="I12" s="482">
        <f t="shared" si="0"/>
        <v>46237</v>
      </c>
      <c r="J12" s="483">
        <v>13011.68</v>
      </c>
      <c r="K12" s="484"/>
      <c r="L12" s="484"/>
      <c r="N12" s="446" t="s">
        <v>1083</v>
      </c>
      <c r="O12" s="421">
        <v>300000</v>
      </c>
      <c r="P12" s="445">
        <v>46265</v>
      </c>
    </row>
    <row r="13" spans="1:16" x14ac:dyDescent="0.25">
      <c r="A13" s="480" t="s">
        <v>8</v>
      </c>
      <c r="B13" s="480" t="s">
        <v>951</v>
      </c>
      <c r="C13" s="480" t="s">
        <v>622</v>
      </c>
      <c r="D13" s="480" t="s">
        <v>750</v>
      </c>
      <c r="E13" s="480" t="s">
        <v>1079</v>
      </c>
      <c r="F13" s="480" t="s">
        <v>1074</v>
      </c>
      <c r="G13" s="481" t="b">
        <v>0</v>
      </c>
      <c r="H13" s="481" t="b">
        <v>0</v>
      </c>
      <c r="I13" s="482">
        <f t="shared" si="0"/>
        <v>46237</v>
      </c>
      <c r="J13" s="483">
        <v>70703.44</v>
      </c>
      <c r="K13" s="484"/>
      <c r="L13" s="484">
        <v>42298.02</v>
      </c>
      <c r="N13" s="446" t="s">
        <v>1084</v>
      </c>
      <c r="O13" s="421">
        <v>700000</v>
      </c>
      <c r="P13" s="445">
        <v>46254</v>
      </c>
    </row>
    <row r="14" spans="1:16" x14ac:dyDescent="0.25">
      <c r="A14" s="480" t="s">
        <v>671</v>
      </c>
      <c r="B14" s="480" t="s">
        <v>955</v>
      </c>
      <c r="C14" s="480" t="s">
        <v>770</v>
      </c>
      <c r="D14" s="480" t="s">
        <v>771</v>
      </c>
      <c r="E14" s="480" t="s">
        <v>474</v>
      </c>
      <c r="F14" s="480" t="s">
        <v>1074</v>
      </c>
      <c r="G14" s="481" t="b">
        <v>0</v>
      </c>
      <c r="H14" s="481" t="b">
        <v>0</v>
      </c>
      <c r="I14" s="482">
        <f t="shared" si="0"/>
        <v>46237</v>
      </c>
      <c r="J14" s="483">
        <v>6270.82</v>
      </c>
      <c r="K14" s="484"/>
      <c r="L14" s="484">
        <v>100000</v>
      </c>
      <c r="N14" s="446" t="s">
        <v>1085</v>
      </c>
      <c r="O14" s="421">
        <v>0</v>
      </c>
      <c r="P14" s="445">
        <v>46254</v>
      </c>
    </row>
    <row r="15" spans="1:16" x14ac:dyDescent="0.25">
      <c r="A15" s="480" t="s">
        <v>671</v>
      </c>
      <c r="B15" s="480" t="s">
        <v>955</v>
      </c>
      <c r="C15" s="480" t="s">
        <v>622</v>
      </c>
      <c r="D15" s="480" t="s">
        <v>772</v>
      </c>
      <c r="E15" s="480" t="s">
        <v>1079</v>
      </c>
      <c r="F15" s="480" t="s">
        <v>1074</v>
      </c>
      <c r="G15" s="481" t="b">
        <v>0</v>
      </c>
      <c r="H15" s="481" t="b">
        <v>0</v>
      </c>
      <c r="I15" s="482">
        <f t="shared" si="0"/>
        <v>46237</v>
      </c>
      <c r="J15" s="483">
        <v>4354.7299999999996</v>
      </c>
      <c r="K15" s="484"/>
      <c r="L15" s="484"/>
      <c r="N15" s="446" t="s">
        <v>1086</v>
      </c>
      <c r="O15" s="421">
        <v>300000</v>
      </c>
      <c r="P15" s="445">
        <v>46239</v>
      </c>
    </row>
    <row r="16" spans="1:16" x14ac:dyDescent="0.25">
      <c r="A16" s="480" t="s">
        <v>673</v>
      </c>
      <c r="B16" s="480" t="s">
        <v>1087</v>
      </c>
      <c r="C16" s="480" t="s">
        <v>622</v>
      </c>
      <c r="D16" s="480" t="s">
        <v>795</v>
      </c>
      <c r="E16" s="480" t="s">
        <v>474</v>
      </c>
      <c r="F16" s="480" t="s">
        <v>1074</v>
      </c>
      <c r="G16" s="481" t="b">
        <v>0</v>
      </c>
      <c r="H16" s="481" t="b">
        <v>0</v>
      </c>
      <c r="I16" s="482">
        <f t="shared" si="0"/>
        <v>46237</v>
      </c>
      <c r="J16" s="483">
        <v>0</v>
      </c>
      <c r="K16" s="484"/>
      <c r="L16" s="484"/>
      <c r="N16" s="446" t="s">
        <v>1088</v>
      </c>
      <c r="O16" s="421">
        <v>600000</v>
      </c>
      <c r="P16" s="445">
        <v>46239</v>
      </c>
    </row>
    <row r="17" spans="1:16" x14ac:dyDescent="0.25">
      <c r="A17" s="480" t="s">
        <v>673</v>
      </c>
      <c r="B17" s="480" t="s">
        <v>1087</v>
      </c>
      <c r="C17" s="480" t="s">
        <v>622</v>
      </c>
      <c r="D17" s="480" t="s">
        <v>806</v>
      </c>
      <c r="E17" s="480" t="s">
        <v>1079</v>
      </c>
      <c r="F17" s="480" t="s">
        <v>1074</v>
      </c>
      <c r="G17" s="481" t="b">
        <v>0</v>
      </c>
      <c r="H17" s="481" t="b">
        <v>0</v>
      </c>
      <c r="I17" s="482">
        <f t="shared" si="0"/>
        <v>46237</v>
      </c>
      <c r="J17" s="483">
        <v>83301.740000000005</v>
      </c>
      <c r="K17" s="484"/>
      <c r="L17" s="484"/>
      <c r="N17" s="446" t="s">
        <v>1089</v>
      </c>
      <c r="O17" s="421">
        <v>140000</v>
      </c>
      <c r="P17" s="445">
        <v>46239</v>
      </c>
    </row>
    <row r="18" spans="1:16" x14ac:dyDescent="0.25">
      <c r="A18" s="480" t="s">
        <v>777</v>
      </c>
      <c r="B18" s="480" t="s">
        <v>1090</v>
      </c>
      <c r="C18" s="480" t="s">
        <v>1091</v>
      </c>
      <c r="D18" s="480" t="s">
        <v>778</v>
      </c>
      <c r="E18" s="480" t="s">
        <v>474</v>
      </c>
      <c r="F18" s="480" t="s">
        <v>1074</v>
      </c>
      <c r="G18" s="481" t="b">
        <v>0</v>
      </c>
      <c r="H18" s="481" t="b">
        <v>1</v>
      </c>
      <c r="I18" s="482">
        <f t="shared" si="0"/>
        <v>46237</v>
      </c>
      <c r="J18" s="483">
        <v>323.25</v>
      </c>
      <c r="K18" s="484"/>
      <c r="L18" s="484"/>
      <c r="N18" s="446" t="s">
        <v>1092</v>
      </c>
      <c r="O18" s="421">
        <v>0</v>
      </c>
      <c r="P18" s="445">
        <v>46249</v>
      </c>
    </row>
    <row r="19" spans="1:16" x14ac:dyDescent="0.25">
      <c r="A19" s="480" t="s">
        <v>773</v>
      </c>
      <c r="B19" s="480" t="s">
        <v>957</v>
      </c>
      <c r="C19" s="480" t="s">
        <v>774</v>
      </c>
      <c r="D19" s="480" t="s">
        <v>775</v>
      </c>
      <c r="E19" s="480" t="s">
        <v>474</v>
      </c>
      <c r="F19" s="480" t="s">
        <v>1074</v>
      </c>
      <c r="G19" s="481" t="b">
        <v>0</v>
      </c>
      <c r="H19" s="481" t="b">
        <v>0</v>
      </c>
      <c r="I19" s="482">
        <f t="shared" si="0"/>
        <v>46237</v>
      </c>
      <c r="J19" s="483">
        <v>7326.65</v>
      </c>
      <c r="K19" s="484"/>
      <c r="L19" s="484"/>
      <c r="N19" s="446" t="s">
        <v>1093</v>
      </c>
      <c r="O19" s="421">
        <v>0</v>
      </c>
      <c r="P19" s="445">
        <v>46254</v>
      </c>
    </row>
    <row r="20" spans="1:16" x14ac:dyDescent="0.25">
      <c r="A20" s="480" t="s">
        <v>773</v>
      </c>
      <c r="B20" s="480" t="s">
        <v>957</v>
      </c>
      <c r="C20" s="480" t="s">
        <v>622</v>
      </c>
      <c r="D20" s="480" t="s">
        <v>776</v>
      </c>
      <c r="E20" s="480" t="s">
        <v>1079</v>
      </c>
      <c r="F20" s="480" t="s">
        <v>1074</v>
      </c>
      <c r="G20" s="481" t="b">
        <v>0</v>
      </c>
      <c r="H20" s="481" t="b">
        <v>0</v>
      </c>
      <c r="I20" s="482">
        <f t="shared" si="0"/>
        <v>46237</v>
      </c>
      <c r="J20" s="483">
        <v>2581.81</v>
      </c>
      <c r="K20" s="484"/>
      <c r="L20" s="484"/>
      <c r="O20" s="421"/>
    </row>
    <row r="21" spans="1:16" x14ac:dyDescent="0.25">
      <c r="A21" s="480" t="s">
        <v>1023</v>
      </c>
      <c r="B21" s="480" t="s">
        <v>348</v>
      </c>
      <c r="C21" s="480" t="s">
        <v>622</v>
      </c>
      <c r="D21" s="480" t="s">
        <v>1094</v>
      </c>
      <c r="E21" s="480" t="s">
        <v>474</v>
      </c>
      <c r="F21" s="480" t="s">
        <v>1074</v>
      </c>
      <c r="G21" s="481" t="b">
        <v>0</v>
      </c>
      <c r="H21" s="481" t="b">
        <v>0</v>
      </c>
      <c r="I21" s="482">
        <f t="shared" si="0"/>
        <v>46237</v>
      </c>
      <c r="J21" s="483">
        <v>3258.4</v>
      </c>
      <c r="K21" s="484"/>
      <c r="L21" s="484"/>
      <c r="O21" s="421"/>
    </row>
    <row r="22" spans="1:16" x14ac:dyDescent="0.25">
      <c r="A22" s="480" t="s">
        <v>779</v>
      </c>
      <c r="B22" s="480" t="s">
        <v>1095</v>
      </c>
      <c r="C22" s="480" t="s">
        <v>780</v>
      </c>
      <c r="D22" s="480" t="s">
        <v>781</v>
      </c>
      <c r="E22" s="480" t="s">
        <v>474</v>
      </c>
      <c r="F22" s="480" t="s">
        <v>1074</v>
      </c>
      <c r="G22" s="481" t="b">
        <v>0</v>
      </c>
      <c r="H22" s="481" t="b">
        <v>0</v>
      </c>
      <c r="I22" s="482">
        <f t="shared" si="0"/>
        <v>46237</v>
      </c>
      <c r="J22" s="483">
        <v>-3781.55</v>
      </c>
      <c r="K22" s="484"/>
      <c r="L22" s="484">
        <v>10000</v>
      </c>
      <c r="O22" s="421"/>
    </row>
    <row r="23" spans="1:16" x14ac:dyDescent="0.25">
      <c r="A23" s="480" t="s">
        <v>479</v>
      </c>
      <c r="B23" s="480" t="s">
        <v>948</v>
      </c>
      <c r="C23" s="480" t="s">
        <v>782</v>
      </c>
      <c r="D23" s="480" t="s">
        <v>783</v>
      </c>
      <c r="E23" s="480" t="s">
        <v>474</v>
      </c>
      <c r="F23" s="480" t="s">
        <v>1074</v>
      </c>
      <c r="G23" s="481" t="b">
        <v>0</v>
      </c>
      <c r="H23" s="481" t="b">
        <v>0</v>
      </c>
      <c r="I23" s="482">
        <f t="shared" si="0"/>
        <v>46237</v>
      </c>
      <c r="J23" s="483">
        <v>2230.9699999999998</v>
      </c>
      <c r="K23" s="484"/>
      <c r="L23" s="484">
        <v>50000</v>
      </c>
      <c r="N23" s="485" t="s">
        <v>1096</v>
      </c>
      <c r="O23" s="448">
        <f>SUM(O2-O12-O13-O14-O15-O16-O17-O18-O19-O20)</f>
        <v>5062126.9399999995</v>
      </c>
      <c r="P23" s="155"/>
    </row>
    <row r="24" spans="1:16" x14ac:dyDescent="0.25">
      <c r="A24" s="480" t="s">
        <v>479</v>
      </c>
      <c r="B24" s="480" t="s">
        <v>948</v>
      </c>
      <c r="C24" s="480" t="s">
        <v>784</v>
      </c>
      <c r="D24" s="480" t="s">
        <v>785</v>
      </c>
      <c r="E24" s="480" t="s">
        <v>474</v>
      </c>
      <c r="F24" s="480" t="s">
        <v>1074</v>
      </c>
      <c r="G24" s="481" t="b">
        <v>0</v>
      </c>
      <c r="H24" s="481" t="b">
        <v>0</v>
      </c>
      <c r="I24" s="482">
        <f t="shared" si="0"/>
        <v>46237</v>
      </c>
      <c r="J24" s="483">
        <v>2676.34</v>
      </c>
      <c r="K24" s="484"/>
      <c r="L24" s="484"/>
      <c r="O24" s="421"/>
    </row>
    <row r="25" spans="1:16" x14ac:dyDescent="0.25">
      <c r="A25" s="480" t="s">
        <v>479</v>
      </c>
      <c r="B25" s="480" t="s">
        <v>948</v>
      </c>
      <c r="C25" s="480" t="s">
        <v>622</v>
      </c>
      <c r="D25" s="480" t="s">
        <v>786</v>
      </c>
      <c r="E25" s="480" t="s">
        <v>1079</v>
      </c>
      <c r="F25" s="480" t="s">
        <v>1074</v>
      </c>
      <c r="G25" s="481" t="b">
        <v>0</v>
      </c>
      <c r="H25" s="481" t="b">
        <v>0</v>
      </c>
      <c r="I25" s="482">
        <f t="shared" si="0"/>
        <v>46237</v>
      </c>
      <c r="J25" s="483">
        <v>106.68</v>
      </c>
      <c r="K25" s="484"/>
      <c r="L25" s="484">
        <v>88106.68</v>
      </c>
      <c r="O25" s="421"/>
    </row>
    <row r="26" spans="1:16" x14ac:dyDescent="0.25">
      <c r="A26" s="480" t="s">
        <v>9</v>
      </c>
      <c r="B26" s="480" t="s">
        <v>1097</v>
      </c>
      <c r="C26" s="480" t="s">
        <v>797</v>
      </c>
      <c r="D26" s="480" t="s">
        <v>798</v>
      </c>
      <c r="E26" s="480" t="s">
        <v>474</v>
      </c>
      <c r="F26" s="480" t="s">
        <v>1074</v>
      </c>
      <c r="G26" s="481" t="b">
        <v>0</v>
      </c>
      <c r="H26" s="481" t="b">
        <v>0</v>
      </c>
      <c r="I26" s="482">
        <f t="shared" si="0"/>
        <v>46237</v>
      </c>
      <c r="J26" s="483">
        <v>65350.57</v>
      </c>
      <c r="K26" s="484"/>
      <c r="L26" s="484"/>
      <c r="O26" s="421"/>
    </row>
    <row r="27" spans="1:16" x14ac:dyDescent="0.25">
      <c r="A27" s="480" t="s">
        <v>9</v>
      </c>
      <c r="B27" s="480" t="s">
        <v>1097</v>
      </c>
      <c r="C27" s="480" t="s">
        <v>622</v>
      </c>
      <c r="D27" s="480" t="s">
        <v>799</v>
      </c>
      <c r="E27" s="480" t="s">
        <v>474</v>
      </c>
      <c r="F27" s="480" t="s">
        <v>1074</v>
      </c>
      <c r="G27" s="481" t="b">
        <v>1</v>
      </c>
      <c r="H27" s="481" t="b">
        <v>0</v>
      </c>
      <c r="I27" s="482">
        <f t="shared" si="0"/>
        <v>46237</v>
      </c>
      <c r="J27" s="483">
        <v>1093917.1100000001</v>
      </c>
      <c r="K27" s="484">
        <v>12000</v>
      </c>
      <c r="L27" s="484"/>
      <c r="N27" s="630" t="s">
        <v>1098</v>
      </c>
      <c r="O27" s="630"/>
      <c r="P27" s="630"/>
    </row>
    <row r="28" spans="1:16" x14ac:dyDescent="0.25">
      <c r="A28" s="480" t="s">
        <v>9</v>
      </c>
      <c r="B28" s="480" t="s">
        <v>1097</v>
      </c>
      <c r="C28" s="480" t="s">
        <v>622</v>
      </c>
      <c r="D28" s="480" t="s">
        <v>800</v>
      </c>
      <c r="E28" s="480" t="s">
        <v>1079</v>
      </c>
      <c r="F28" s="480" t="s">
        <v>1074</v>
      </c>
      <c r="G28" s="481" t="b">
        <v>0</v>
      </c>
      <c r="H28" s="481" t="b">
        <v>0</v>
      </c>
      <c r="I28" s="482">
        <f t="shared" si="0"/>
        <v>46237</v>
      </c>
      <c r="J28" s="483">
        <v>3728.69</v>
      </c>
      <c r="K28" s="484"/>
      <c r="L28" s="484">
        <v>31700</v>
      </c>
      <c r="O28" s="447"/>
      <c r="P28" s="486"/>
    </row>
    <row r="29" spans="1:16" x14ac:dyDescent="0.25">
      <c r="A29" s="480" t="s">
        <v>481</v>
      </c>
      <c r="B29" s="480" t="s">
        <v>952</v>
      </c>
      <c r="C29" s="480" t="s">
        <v>787</v>
      </c>
      <c r="D29" s="480" t="s">
        <v>788</v>
      </c>
      <c r="E29" s="480" t="s">
        <v>474</v>
      </c>
      <c r="F29" s="480" t="s">
        <v>1074</v>
      </c>
      <c r="G29" s="481" t="b">
        <v>0</v>
      </c>
      <c r="H29" s="481" t="b">
        <v>0</v>
      </c>
      <c r="I29" s="482">
        <f t="shared" si="0"/>
        <v>46237</v>
      </c>
      <c r="J29" s="483">
        <v>999.04</v>
      </c>
      <c r="K29" s="484"/>
      <c r="L29" s="484"/>
      <c r="O29" s="447"/>
      <c r="P29" s="486"/>
    </row>
    <row r="30" spans="1:16" x14ac:dyDescent="0.25">
      <c r="A30" s="480" t="s">
        <v>481</v>
      </c>
      <c r="B30" s="480" t="s">
        <v>952</v>
      </c>
      <c r="C30" s="480" t="s">
        <v>622</v>
      </c>
      <c r="D30" s="480" t="s">
        <v>789</v>
      </c>
      <c r="E30" s="480" t="s">
        <v>1079</v>
      </c>
      <c r="F30" s="480" t="s">
        <v>1074</v>
      </c>
      <c r="G30" s="481" t="b">
        <v>0</v>
      </c>
      <c r="H30" s="481" t="b">
        <v>0</v>
      </c>
      <c r="I30" s="482">
        <f t="shared" si="0"/>
        <v>46237</v>
      </c>
      <c r="J30" s="483">
        <v>313.12</v>
      </c>
      <c r="K30" s="484"/>
      <c r="L30" s="484">
        <v>5313.12</v>
      </c>
      <c r="O30" s="421"/>
      <c r="P30" s="487"/>
    </row>
    <row r="31" spans="1:16" x14ac:dyDescent="0.25">
      <c r="A31" s="480" t="s">
        <v>677</v>
      </c>
      <c r="B31" s="480" t="s">
        <v>381</v>
      </c>
      <c r="C31" s="480" t="s">
        <v>622</v>
      </c>
      <c r="D31" s="480" t="s">
        <v>744</v>
      </c>
      <c r="E31" s="480" t="s">
        <v>474</v>
      </c>
      <c r="F31" s="480" t="s">
        <v>1074</v>
      </c>
      <c r="G31" s="481" t="b">
        <v>0</v>
      </c>
      <c r="H31" s="481" t="b">
        <v>0</v>
      </c>
      <c r="I31" s="482">
        <f t="shared" si="0"/>
        <v>46237</v>
      </c>
      <c r="J31" s="483">
        <v>401.22</v>
      </c>
      <c r="K31" s="484"/>
      <c r="L31" s="484"/>
      <c r="O31" s="421"/>
    </row>
    <row r="32" spans="1:16" x14ac:dyDescent="0.25">
      <c r="A32" s="480" t="s">
        <v>677</v>
      </c>
      <c r="B32" s="480" t="s">
        <v>381</v>
      </c>
      <c r="C32" s="480" t="s">
        <v>622</v>
      </c>
      <c r="D32" s="480" t="s">
        <v>745</v>
      </c>
      <c r="E32" s="480" t="s">
        <v>1079</v>
      </c>
      <c r="F32" s="480" t="s">
        <v>1074</v>
      </c>
      <c r="G32" s="481" t="b">
        <v>0</v>
      </c>
      <c r="H32" s="481" t="b">
        <v>0</v>
      </c>
      <c r="I32" s="482">
        <f t="shared" si="0"/>
        <v>46237</v>
      </c>
      <c r="J32" s="483">
        <v>2204.89</v>
      </c>
      <c r="K32" s="484"/>
      <c r="L32" s="484"/>
      <c r="O32" s="421"/>
    </row>
    <row r="33" spans="1:16" x14ac:dyDescent="0.25">
      <c r="A33" s="480" t="s">
        <v>753</v>
      </c>
      <c r="B33" s="480" t="s">
        <v>1099</v>
      </c>
      <c r="C33" s="480" t="s">
        <v>622</v>
      </c>
      <c r="D33" s="480" t="s">
        <v>755</v>
      </c>
      <c r="E33" s="480" t="s">
        <v>1079</v>
      </c>
      <c r="F33" s="480" t="s">
        <v>1074</v>
      </c>
      <c r="G33" s="481" t="b">
        <v>0</v>
      </c>
      <c r="H33" s="481" t="b">
        <v>0</v>
      </c>
      <c r="I33" s="482">
        <f t="shared" si="0"/>
        <v>46237</v>
      </c>
      <c r="J33" s="483">
        <v>19330.830000000002</v>
      </c>
      <c r="K33" s="484"/>
      <c r="L33" s="484"/>
      <c r="O33" s="421"/>
    </row>
    <row r="34" spans="1:16" x14ac:dyDescent="0.25">
      <c r="A34" s="480" t="s">
        <v>753</v>
      </c>
      <c r="B34" s="480" t="s">
        <v>1100</v>
      </c>
      <c r="C34" s="480" t="s">
        <v>622</v>
      </c>
      <c r="D34" s="480" t="s">
        <v>754</v>
      </c>
      <c r="E34" s="480" t="s">
        <v>474</v>
      </c>
      <c r="F34" s="480" t="s">
        <v>1074</v>
      </c>
      <c r="G34" s="481" t="b">
        <v>0</v>
      </c>
      <c r="H34" s="481" t="b">
        <v>0</v>
      </c>
      <c r="I34" s="482">
        <f t="shared" si="0"/>
        <v>46237</v>
      </c>
      <c r="J34" s="483">
        <v>0</v>
      </c>
      <c r="K34" s="484"/>
      <c r="L34" s="484"/>
      <c r="N34" s="488" t="s">
        <v>71</v>
      </c>
      <c r="O34" s="489">
        <f>O28+O29+O31+O32+O33</f>
        <v>0</v>
      </c>
    </row>
    <row r="35" spans="1:16" x14ac:dyDescent="0.25">
      <c r="A35" s="480" t="s">
        <v>482</v>
      </c>
      <c r="B35" s="480" t="s">
        <v>1101</v>
      </c>
      <c r="C35" s="480" t="s">
        <v>790</v>
      </c>
      <c r="D35" s="480" t="s">
        <v>791</v>
      </c>
      <c r="E35" s="480" t="s">
        <v>474</v>
      </c>
      <c r="F35" s="480" t="s">
        <v>1074</v>
      </c>
      <c r="G35" s="481" t="b">
        <v>0</v>
      </c>
      <c r="H35" s="481" t="b">
        <v>1</v>
      </c>
      <c r="I35" s="482">
        <f t="shared" si="0"/>
        <v>46237</v>
      </c>
      <c r="J35" s="483">
        <v>-886.57</v>
      </c>
      <c r="K35" s="484"/>
      <c r="L35" s="484"/>
      <c r="O35" s="421"/>
      <c r="P35" s="486"/>
    </row>
    <row r="36" spans="1:16" x14ac:dyDescent="0.25">
      <c r="A36" s="480" t="s">
        <v>482</v>
      </c>
      <c r="B36" s="480" t="s">
        <v>1101</v>
      </c>
      <c r="C36" s="480" t="s">
        <v>622</v>
      </c>
      <c r="D36" s="480"/>
      <c r="E36" s="480" t="s">
        <v>945</v>
      </c>
      <c r="F36" s="480"/>
      <c r="G36" s="481" t="b">
        <v>0</v>
      </c>
      <c r="H36" s="481" t="b">
        <v>0</v>
      </c>
      <c r="I36" s="482">
        <f t="shared" si="0"/>
        <v>46237</v>
      </c>
      <c r="J36" s="483">
        <v>0</v>
      </c>
      <c r="K36" s="484"/>
      <c r="L36" s="484"/>
      <c r="O36" s="421"/>
    </row>
    <row r="37" spans="1:16" x14ac:dyDescent="0.25">
      <c r="A37" s="480" t="s">
        <v>10</v>
      </c>
      <c r="B37" s="480" t="s">
        <v>949</v>
      </c>
      <c r="C37" s="480" t="s">
        <v>622</v>
      </c>
      <c r="D37" s="480" t="s">
        <v>802</v>
      </c>
      <c r="E37" s="480" t="s">
        <v>474</v>
      </c>
      <c r="F37" s="480" t="s">
        <v>1074</v>
      </c>
      <c r="G37" s="481" t="b">
        <v>1</v>
      </c>
      <c r="H37" s="481" t="b">
        <v>0</v>
      </c>
      <c r="I37" s="482">
        <f t="shared" si="0"/>
        <v>46237</v>
      </c>
      <c r="J37" s="483">
        <v>204502.77</v>
      </c>
      <c r="K37" s="484"/>
      <c r="L37" s="484"/>
      <c r="O37" s="490">
        <f>O23+O34</f>
        <v>5062126.9399999995</v>
      </c>
    </row>
    <row r="38" spans="1:16" x14ac:dyDescent="0.25">
      <c r="A38" s="480" t="s">
        <v>10</v>
      </c>
      <c r="B38" s="480" t="s">
        <v>949</v>
      </c>
      <c r="C38" s="480" t="s">
        <v>622</v>
      </c>
      <c r="D38" s="480" t="s">
        <v>803</v>
      </c>
      <c r="E38" s="480" t="s">
        <v>1079</v>
      </c>
      <c r="F38" s="480" t="s">
        <v>1074</v>
      </c>
      <c r="G38" s="481" t="b">
        <v>0</v>
      </c>
      <c r="H38" s="481" t="b">
        <v>0</v>
      </c>
      <c r="I38" s="482">
        <f t="shared" si="0"/>
        <v>46237</v>
      </c>
      <c r="J38" s="483">
        <v>4412.29</v>
      </c>
      <c r="K38" s="484"/>
      <c r="L38" s="484">
        <v>3697</v>
      </c>
      <c r="O38" s="421"/>
    </row>
    <row r="39" spans="1:16" x14ac:dyDescent="0.25">
      <c r="A39" s="480" t="s">
        <v>10</v>
      </c>
      <c r="B39" s="480" t="s">
        <v>949</v>
      </c>
      <c r="C39" s="480" t="s">
        <v>622</v>
      </c>
      <c r="D39" s="480" t="s">
        <v>1102</v>
      </c>
      <c r="E39" s="480" t="s">
        <v>474</v>
      </c>
      <c r="F39" s="480" t="s">
        <v>1074</v>
      </c>
      <c r="G39" s="481" t="b">
        <v>0</v>
      </c>
      <c r="H39" s="481" t="b">
        <v>1</v>
      </c>
      <c r="I39" s="482">
        <f t="shared" si="0"/>
        <v>46237</v>
      </c>
      <c r="J39" s="483">
        <v>33850.089999999997</v>
      </c>
      <c r="K39" s="484"/>
      <c r="L39" s="484"/>
      <c r="O39" s="421"/>
    </row>
    <row r="40" spans="1:16" x14ac:dyDescent="0.25">
      <c r="A40" s="480" t="s">
        <v>793</v>
      </c>
      <c r="B40" s="480" t="s">
        <v>958</v>
      </c>
      <c r="C40" s="480" t="s">
        <v>622</v>
      </c>
      <c r="D40" s="480" t="s">
        <v>794</v>
      </c>
      <c r="E40" s="480" t="s">
        <v>474</v>
      </c>
      <c r="F40" s="480" t="s">
        <v>1074</v>
      </c>
      <c r="G40" s="481" t="b">
        <v>0</v>
      </c>
      <c r="H40" s="481" t="b">
        <v>0</v>
      </c>
      <c r="I40" s="482">
        <f t="shared" si="0"/>
        <v>46237</v>
      </c>
      <c r="J40" s="483">
        <v>12300.82</v>
      </c>
      <c r="K40" s="484"/>
      <c r="L40" s="484"/>
    </row>
    <row r="41" spans="1:16" s="269" customFormat="1" x14ac:dyDescent="0.25">
      <c r="A41" s="491" t="s">
        <v>730</v>
      </c>
      <c r="B41" s="491" t="s">
        <v>1103</v>
      </c>
      <c r="C41" s="491" t="s">
        <v>622</v>
      </c>
      <c r="D41" s="491" t="s">
        <v>731</v>
      </c>
      <c r="E41" s="491" t="s">
        <v>1079</v>
      </c>
      <c r="F41" s="491" t="s">
        <v>1074</v>
      </c>
      <c r="G41" s="492" t="b">
        <v>0</v>
      </c>
      <c r="H41" s="492" t="b">
        <v>1</v>
      </c>
      <c r="I41" s="493">
        <f t="shared" si="0"/>
        <v>46237</v>
      </c>
      <c r="J41" s="494">
        <v>0</v>
      </c>
      <c r="K41" s="495"/>
      <c r="L41" s="495"/>
    </row>
    <row r="42" spans="1:16" x14ac:dyDescent="0.25">
      <c r="A42" s="480" t="s">
        <v>11</v>
      </c>
      <c r="B42" s="480" t="s">
        <v>946</v>
      </c>
      <c r="C42" s="480" t="s">
        <v>622</v>
      </c>
      <c r="D42" s="480" t="s">
        <v>759</v>
      </c>
      <c r="E42" s="480" t="s">
        <v>22</v>
      </c>
      <c r="F42" s="480" t="s">
        <v>1074</v>
      </c>
      <c r="G42" s="481" t="b">
        <v>0</v>
      </c>
      <c r="H42" s="481" t="b">
        <v>0</v>
      </c>
      <c r="I42" s="482">
        <f t="shared" si="0"/>
        <v>46237</v>
      </c>
      <c r="J42" s="483">
        <v>366003.44</v>
      </c>
      <c r="K42" s="484"/>
      <c r="L42" s="484"/>
    </row>
    <row r="43" spans="1:16" x14ac:dyDescent="0.25">
      <c r="A43" s="480" t="s">
        <v>11</v>
      </c>
      <c r="B43" s="480" t="s">
        <v>946</v>
      </c>
      <c r="C43" s="480" t="s">
        <v>622</v>
      </c>
      <c r="D43" s="480" t="s">
        <v>760</v>
      </c>
      <c r="E43" s="480" t="s">
        <v>22</v>
      </c>
      <c r="F43" s="480" t="s">
        <v>1104</v>
      </c>
      <c r="G43" s="481" t="b">
        <v>0</v>
      </c>
      <c r="H43" s="481" t="b">
        <v>1</v>
      </c>
      <c r="I43" s="482">
        <f t="shared" si="0"/>
        <v>46237</v>
      </c>
      <c r="J43" s="483">
        <v>0</v>
      </c>
      <c r="K43" s="495"/>
      <c r="L43" s="495"/>
    </row>
    <row r="44" spans="1:16" x14ac:dyDescent="0.25">
      <c r="A44" s="480" t="s">
        <v>11</v>
      </c>
      <c r="B44" s="480" t="s">
        <v>946</v>
      </c>
      <c r="C44" s="480" t="s">
        <v>761</v>
      </c>
      <c r="D44" s="480" t="s">
        <v>762</v>
      </c>
      <c r="E44" s="480" t="s">
        <v>474</v>
      </c>
      <c r="F44" s="480" t="s">
        <v>1074</v>
      </c>
      <c r="G44" s="481" t="b">
        <v>0</v>
      </c>
      <c r="H44" s="481" t="b">
        <v>0</v>
      </c>
      <c r="I44" s="482">
        <f t="shared" si="0"/>
        <v>46237</v>
      </c>
      <c r="J44" s="483">
        <v>28901.56</v>
      </c>
      <c r="K44" s="484"/>
      <c r="L44" s="484"/>
    </row>
    <row r="45" spans="1:16" s="269" customFormat="1" x14ac:dyDescent="0.25">
      <c r="A45" s="480" t="s">
        <v>11</v>
      </c>
      <c r="B45" s="480" t="s">
        <v>946</v>
      </c>
      <c r="C45" s="480" t="s">
        <v>622</v>
      </c>
      <c r="D45" s="480" t="s">
        <v>763</v>
      </c>
      <c r="E45" s="480" t="s">
        <v>1079</v>
      </c>
      <c r="F45" s="480" t="s">
        <v>1074</v>
      </c>
      <c r="G45" s="481" t="b">
        <v>0</v>
      </c>
      <c r="H45" s="481" t="b">
        <v>0</v>
      </c>
      <c r="I45" s="482">
        <f t="shared" si="0"/>
        <v>46237</v>
      </c>
      <c r="J45" s="483">
        <v>2168.36</v>
      </c>
      <c r="K45" s="484"/>
      <c r="L45" s="484"/>
    </row>
    <row r="46" spans="1:16" x14ac:dyDescent="0.25">
      <c r="A46" s="480" t="s">
        <v>1105</v>
      </c>
      <c r="B46" s="480" t="s">
        <v>1106</v>
      </c>
      <c r="C46" s="480" t="s">
        <v>622</v>
      </c>
      <c r="D46" s="480" t="s">
        <v>796</v>
      </c>
      <c r="E46" s="480" t="s">
        <v>1079</v>
      </c>
      <c r="F46" s="480" t="s">
        <v>1074</v>
      </c>
      <c r="G46" s="481" t="b">
        <v>0</v>
      </c>
      <c r="H46" s="481" t="b">
        <v>1</v>
      </c>
      <c r="I46" s="482">
        <f t="shared" si="0"/>
        <v>46237</v>
      </c>
      <c r="J46" s="483">
        <v>531683.72</v>
      </c>
      <c r="K46" s="484"/>
      <c r="L46" s="484"/>
    </row>
    <row r="47" spans="1:16" x14ac:dyDescent="0.25">
      <c r="A47" s="480" t="s">
        <v>1105</v>
      </c>
      <c r="B47" s="480" t="s">
        <v>1107</v>
      </c>
      <c r="C47" s="480" t="s">
        <v>622</v>
      </c>
      <c r="D47" s="480" t="s">
        <v>764</v>
      </c>
      <c r="E47" s="480" t="s">
        <v>1079</v>
      </c>
      <c r="F47" s="480" t="s">
        <v>1074</v>
      </c>
      <c r="G47" s="481" t="b">
        <v>0</v>
      </c>
      <c r="H47" s="481" t="b">
        <v>1</v>
      </c>
      <c r="I47" s="482">
        <f t="shared" si="0"/>
        <v>46237</v>
      </c>
      <c r="J47" s="483">
        <v>94747.92</v>
      </c>
      <c r="K47" s="484"/>
      <c r="L47" s="484"/>
    </row>
    <row r="48" spans="1:16" x14ac:dyDescent="0.25">
      <c r="A48" s="480" t="s">
        <v>465</v>
      </c>
      <c r="B48" s="480" t="s">
        <v>1108</v>
      </c>
      <c r="C48" s="480" t="s">
        <v>622</v>
      </c>
      <c r="D48" s="480" t="s">
        <v>765</v>
      </c>
      <c r="E48" s="480" t="s">
        <v>474</v>
      </c>
      <c r="F48" s="480" t="s">
        <v>1074</v>
      </c>
      <c r="G48" s="481" t="b">
        <v>0</v>
      </c>
      <c r="H48" s="481" t="b">
        <v>0</v>
      </c>
      <c r="I48" s="482">
        <f t="shared" si="0"/>
        <v>46237</v>
      </c>
      <c r="J48" s="483">
        <v>99935.6</v>
      </c>
      <c r="K48" s="484"/>
      <c r="L48" s="484"/>
    </row>
    <row r="49" spans="1:12" x14ac:dyDescent="0.25">
      <c r="A49" s="480" t="s">
        <v>465</v>
      </c>
      <c r="B49" s="480" t="s">
        <v>1108</v>
      </c>
      <c r="C49" s="480" t="s">
        <v>622</v>
      </c>
      <c r="D49" s="480" t="s">
        <v>766</v>
      </c>
      <c r="E49" s="480" t="s">
        <v>1079</v>
      </c>
      <c r="F49" s="480" t="s">
        <v>1074</v>
      </c>
      <c r="G49" s="481" t="b">
        <v>0</v>
      </c>
      <c r="H49" s="481" t="b">
        <v>0</v>
      </c>
      <c r="I49" s="482">
        <f t="shared" si="0"/>
        <v>46237</v>
      </c>
      <c r="J49" s="483">
        <v>5806.91</v>
      </c>
      <c r="K49" s="484"/>
      <c r="L49" s="484"/>
    </row>
    <row r="50" spans="1:12" x14ac:dyDescent="0.25">
      <c r="A50" s="480" t="s">
        <v>678</v>
      </c>
      <c r="B50" s="480" t="s">
        <v>954</v>
      </c>
      <c r="C50" s="480" t="s">
        <v>622</v>
      </c>
      <c r="D50" s="480" t="s">
        <v>751</v>
      </c>
      <c r="E50" s="480" t="s">
        <v>474</v>
      </c>
      <c r="F50" s="480" t="s">
        <v>1074</v>
      </c>
      <c r="G50" s="481" t="b">
        <v>0</v>
      </c>
      <c r="H50" s="481" t="b">
        <v>0</v>
      </c>
      <c r="I50" s="482">
        <f t="shared" si="0"/>
        <v>46237</v>
      </c>
      <c r="J50" s="483">
        <v>0.02</v>
      </c>
      <c r="K50" s="484"/>
      <c r="L50" s="484"/>
    </row>
    <row r="51" spans="1:12" x14ac:dyDescent="0.25">
      <c r="A51" s="480" t="s">
        <v>678</v>
      </c>
      <c r="B51" s="480" t="s">
        <v>954</v>
      </c>
      <c r="C51" s="480" t="s">
        <v>622</v>
      </c>
      <c r="D51" s="480" t="s">
        <v>752</v>
      </c>
      <c r="E51" s="480" t="s">
        <v>1079</v>
      </c>
      <c r="F51" s="480" t="s">
        <v>1074</v>
      </c>
      <c r="G51" s="481" t="b">
        <v>0</v>
      </c>
      <c r="H51" s="481" t="b">
        <v>0</v>
      </c>
      <c r="I51" s="482">
        <f t="shared" si="0"/>
        <v>46237</v>
      </c>
      <c r="J51" s="483">
        <v>8617.06</v>
      </c>
      <c r="K51" s="484"/>
      <c r="L51" s="484"/>
    </row>
    <row r="52" spans="1:12" x14ac:dyDescent="0.25">
      <c r="A52" s="480" t="s">
        <v>12</v>
      </c>
      <c r="B52" s="480" t="s">
        <v>1109</v>
      </c>
      <c r="C52" s="480" t="s">
        <v>767</v>
      </c>
      <c r="D52" s="480" t="s">
        <v>768</v>
      </c>
      <c r="E52" s="480" t="s">
        <v>474</v>
      </c>
      <c r="F52" s="480" t="s">
        <v>1074</v>
      </c>
      <c r="G52" s="481" t="b">
        <v>1</v>
      </c>
      <c r="H52" s="481" t="b">
        <v>0</v>
      </c>
      <c r="I52" s="482">
        <f t="shared" si="0"/>
        <v>46237</v>
      </c>
      <c r="J52" s="483">
        <v>2328042.9</v>
      </c>
      <c r="K52" s="484"/>
      <c r="L52" s="484"/>
    </row>
    <row r="53" spans="1:12" x14ac:dyDescent="0.25">
      <c r="A53" s="480" t="s">
        <v>12</v>
      </c>
      <c r="B53" s="480" t="s">
        <v>1109</v>
      </c>
      <c r="C53" s="480" t="s">
        <v>622</v>
      </c>
      <c r="D53" s="480" t="s">
        <v>769</v>
      </c>
      <c r="E53" s="480" t="s">
        <v>1079</v>
      </c>
      <c r="F53" s="480" t="s">
        <v>1074</v>
      </c>
      <c r="G53" s="481" t="b">
        <v>0</v>
      </c>
      <c r="H53" s="481" t="b">
        <v>0</v>
      </c>
      <c r="I53" s="482">
        <f t="shared" si="0"/>
        <v>46237</v>
      </c>
      <c r="J53" s="483">
        <v>12310.14</v>
      </c>
      <c r="K53" s="484"/>
      <c r="L53" s="484">
        <v>17600</v>
      </c>
    </row>
    <row r="54" spans="1:12" x14ac:dyDescent="0.25">
      <c r="A54" s="480" t="s">
        <v>12</v>
      </c>
      <c r="B54" s="480" t="s">
        <v>1109</v>
      </c>
      <c r="C54" s="480" t="s">
        <v>622</v>
      </c>
      <c r="D54" s="480" t="s">
        <v>1110</v>
      </c>
      <c r="E54" s="480" t="s">
        <v>1111</v>
      </c>
      <c r="F54" s="480" t="s">
        <v>1074</v>
      </c>
      <c r="G54" s="481" t="b">
        <v>0</v>
      </c>
      <c r="H54" s="481" t="b">
        <v>1</v>
      </c>
      <c r="I54" s="482">
        <f t="shared" si="0"/>
        <v>46237</v>
      </c>
      <c r="J54" s="483">
        <v>149963.41</v>
      </c>
      <c r="K54" s="484"/>
      <c r="L54" s="484"/>
    </row>
    <row r="55" spans="1:12" x14ac:dyDescent="0.25">
      <c r="A55" s="480" t="s">
        <v>13</v>
      </c>
      <c r="B55" s="480" t="s">
        <v>1112</v>
      </c>
      <c r="C55" s="480" t="s">
        <v>622</v>
      </c>
      <c r="D55" s="480" t="s">
        <v>757</v>
      </c>
      <c r="E55" s="480" t="s">
        <v>474</v>
      </c>
      <c r="F55" s="480" t="s">
        <v>1074</v>
      </c>
      <c r="G55" s="481" t="b">
        <v>0</v>
      </c>
      <c r="H55" s="481" t="b">
        <v>0</v>
      </c>
      <c r="I55" s="482">
        <f t="shared" si="0"/>
        <v>46237</v>
      </c>
      <c r="J55" s="483">
        <v>1317154.6299999999</v>
      </c>
      <c r="K55" s="484"/>
      <c r="L55" s="484"/>
    </row>
    <row r="56" spans="1:12" x14ac:dyDescent="0.25">
      <c r="A56" s="480" t="s">
        <v>13</v>
      </c>
      <c r="B56" s="480" t="s">
        <v>1112</v>
      </c>
      <c r="C56" s="480" t="s">
        <v>622</v>
      </c>
      <c r="D56" s="480" t="s">
        <v>758</v>
      </c>
      <c r="E56" s="480" t="s">
        <v>1079</v>
      </c>
      <c r="F56" s="480" t="s">
        <v>1074</v>
      </c>
      <c r="G56" s="481" t="b">
        <v>0</v>
      </c>
      <c r="H56" s="481" t="b">
        <v>0</v>
      </c>
      <c r="I56" s="482">
        <f t="shared" si="0"/>
        <v>46237</v>
      </c>
      <c r="J56" s="483">
        <v>71039.58</v>
      </c>
      <c r="K56" s="484"/>
      <c r="L56" s="484"/>
    </row>
    <row r="57" spans="1:12" x14ac:dyDescent="0.25">
      <c r="A57" s="480" t="s">
        <v>1113</v>
      </c>
      <c r="B57" s="480" t="s">
        <v>1114</v>
      </c>
      <c r="C57" s="480" t="s">
        <v>622</v>
      </c>
      <c r="D57" s="480"/>
      <c r="E57" s="480" t="s">
        <v>483</v>
      </c>
      <c r="F57" s="480" t="s">
        <v>1074</v>
      </c>
      <c r="G57" s="481" t="b">
        <v>0</v>
      </c>
      <c r="H57" s="481" t="b">
        <v>1</v>
      </c>
      <c r="I57" s="482">
        <f t="shared" si="0"/>
        <v>46237</v>
      </c>
      <c r="J57" s="483">
        <v>0</v>
      </c>
      <c r="K57" s="484"/>
      <c r="L57" s="484"/>
    </row>
    <row r="58" spans="1:12" x14ac:dyDescent="0.25">
      <c r="A58" s="480" t="s">
        <v>804</v>
      </c>
      <c r="B58" s="480" t="s">
        <v>950</v>
      </c>
      <c r="C58" s="480" t="s">
        <v>622</v>
      </c>
      <c r="D58" s="480" t="s">
        <v>805</v>
      </c>
      <c r="E58" s="480" t="s">
        <v>1079</v>
      </c>
      <c r="F58" s="480" t="s">
        <v>1074</v>
      </c>
      <c r="G58" s="481" t="b">
        <v>0</v>
      </c>
      <c r="H58" s="481" t="b">
        <v>0</v>
      </c>
      <c r="I58" s="482">
        <f t="shared" si="0"/>
        <v>46237</v>
      </c>
      <c r="J58" s="483">
        <v>17064.55</v>
      </c>
      <c r="K58" s="484"/>
      <c r="L58" s="484"/>
    </row>
    <row r="59" spans="1:12" x14ac:dyDescent="0.25">
      <c r="A59" s="480" t="s">
        <v>804</v>
      </c>
      <c r="B59" s="480" t="s">
        <v>950</v>
      </c>
      <c r="C59" s="480" t="s">
        <v>622</v>
      </c>
      <c r="D59" s="480" t="s">
        <v>808</v>
      </c>
      <c r="E59" s="480" t="s">
        <v>474</v>
      </c>
      <c r="F59" s="480" t="s">
        <v>1074</v>
      </c>
      <c r="G59" s="481" t="b">
        <v>0</v>
      </c>
      <c r="H59" s="481" t="b">
        <v>0</v>
      </c>
      <c r="I59" s="482">
        <f t="shared" si="0"/>
        <v>46237</v>
      </c>
      <c r="J59" s="483">
        <v>0</v>
      </c>
      <c r="K59" s="484"/>
      <c r="L59" s="484"/>
    </row>
    <row r="60" spans="1:12" x14ac:dyDescent="0.25">
      <c r="A60" s="480" t="s">
        <v>729</v>
      </c>
      <c r="B60" s="480" t="s">
        <v>953</v>
      </c>
      <c r="C60" s="480" t="s">
        <v>622</v>
      </c>
      <c r="D60" s="480" t="s">
        <v>801</v>
      </c>
      <c r="E60" s="480" t="s">
        <v>1079</v>
      </c>
      <c r="F60" s="480" t="s">
        <v>1074</v>
      </c>
      <c r="G60" s="481" t="b">
        <v>0</v>
      </c>
      <c r="H60" s="481" t="b">
        <v>0</v>
      </c>
      <c r="I60" s="482">
        <f t="shared" si="0"/>
        <v>46237</v>
      </c>
      <c r="J60" s="483">
        <v>62793.1</v>
      </c>
      <c r="K60" s="484"/>
      <c r="L60" s="484">
        <v>1600</v>
      </c>
    </row>
    <row r="61" spans="1:12" x14ac:dyDescent="0.25">
      <c r="A61" s="480" t="s">
        <v>729</v>
      </c>
      <c r="B61" s="480" t="s">
        <v>953</v>
      </c>
      <c r="C61" s="480" t="s">
        <v>622</v>
      </c>
      <c r="D61" s="480"/>
      <c r="E61" s="480" t="s">
        <v>944</v>
      </c>
      <c r="F61" s="480"/>
      <c r="G61" s="481" t="b">
        <v>0</v>
      </c>
      <c r="H61" s="481" t="b">
        <v>0</v>
      </c>
      <c r="I61" s="482">
        <f t="shared" si="0"/>
        <v>46237</v>
      </c>
      <c r="J61" s="483">
        <v>37800.9</v>
      </c>
      <c r="K61" s="484"/>
      <c r="L61" s="484"/>
    </row>
    <row r="62" spans="1:12" x14ac:dyDescent="0.25">
      <c r="A62" s="480" t="s">
        <v>729</v>
      </c>
      <c r="B62" s="480" t="s">
        <v>953</v>
      </c>
      <c r="C62" s="480" t="s">
        <v>622</v>
      </c>
      <c r="D62" s="480" t="s">
        <v>807</v>
      </c>
      <c r="E62" s="480" t="s">
        <v>474</v>
      </c>
      <c r="F62" s="480" t="s">
        <v>1074</v>
      </c>
      <c r="G62" s="481" t="b">
        <v>0</v>
      </c>
      <c r="H62" s="481" t="b">
        <v>0</v>
      </c>
      <c r="I62" s="482">
        <f t="shared" si="0"/>
        <v>46237</v>
      </c>
      <c r="J62" s="483">
        <v>0</v>
      </c>
      <c r="K62" s="484"/>
      <c r="L62" s="484"/>
    </row>
    <row r="63" spans="1:12" x14ac:dyDescent="0.25">
      <c r="A63" s="480" t="s">
        <v>1032</v>
      </c>
      <c r="B63" s="480" t="s">
        <v>1115</v>
      </c>
      <c r="C63" s="480" t="s">
        <v>622</v>
      </c>
      <c r="D63" s="480" t="s">
        <v>1116</v>
      </c>
      <c r="E63" s="480" t="s">
        <v>474</v>
      </c>
      <c r="F63" s="480" t="s">
        <v>1074</v>
      </c>
      <c r="G63" s="481" t="b">
        <v>0</v>
      </c>
      <c r="H63" s="481" t="b">
        <v>0</v>
      </c>
      <c r="I63" s="482">
        <f t="shared" si="0"/>
        <v>46237</v>
      </c>
      <c r="J63" s="483">
        <v>0</v>
      </c>
      <c r="K63" s="484"/>
      <c r="L63" s="484"/>
    </row>
    <row r="64" spans="1:12" ht="15.75" thickBot="1" x14ac:dyDescent="0.3">
      <c r="A64" s="480" t="s">
        <v>956</v>
      </c>
      <c r="B64" s="480" t="s">
        <v>956</v>
      </c>
      <c r="C64" s="480" t="s">
        <v>622</v>
      </c>
      <c r="D64" s="480" t="s">
        <v>1117</v>
      </c>
      <c r="E64" s="480" t="s">
        <v>474</v>
      </c>
      <c r="F64" s="480" t="s">
        <v>1074</v>
      </c>
      <c r="G64" s="481" t="b">
        <v>0</v>
      </c>
      <c r="H64" s="481" t="b">
        <v>1</v>
      </c>
      <c r="I64" s="482">
        <f t="shared" si="0"/>
        <v>46237</v>
      </c>
      <c r="J64" s="496">
        <v>-39042.699999999997</v>
      </c>
      <c r="K64" s="484"/>
      <c r="L64" s="484">
        <v>957.30000000000291</v>
      </c>
    </row>
    <row r="65" spans="1:10" ht="15.75" thickTop="1" x14ac:dyDescent="0.25">
      <c r="J65" t="s">
        <v>1118</v>
      </c>
    </row>
    <row r="66" spans="1:10" x14ac:dyDescent="0.25">
      <c r="A66" t="s">
        <v>1022</v>
      </c>
      <c r="B66" t="s">
        <v>1024</v>
      </c>
      <c r="C66" t="s">
        <v>441</v>
      </c>
      <c r="D66" t="s">
        <v>33</v>
      </c>
    </row>
    <row r="67" spans="1:10" x14ac:dyDescent="0.25">
      <c r="A67">
        <v>1</v>
      </c>
      <c r="B67" s="497">
        <v>46237</v>
      </c>
      <c r="C67" s="131">
        <f>SUMIFS(cx_03_08_26[saldo],
  cx_03_08_26[soVisualizacao], FALSE,
  cx_03_08_26[empresa], D67)</f>
        <v>1144946.3799999999</v>
      </c>
      <c r="D67" t="s">
        <v>7</v>
      </c>
    </row>
    <row r="68" spans="1:10" x14ac:dyDescent="0.25">
      <c r="A68">
        <f>A67+1</f>
        <v>2</v>
      </c>
      <c r="B68" s="497">
        <v>46237</v>
      </c>
      <c r="C68" s="131">
        <f>SUMIFS(cx_03_08_26[saldo],
  cx_03_08_26[soVisualizacao], FALSE,
  cx_03_08_26[empresa], D68)</f>
        <v>0</v>
      </c>
      <c r="D68" t="s">
        <v>670</v>
      </c>
    </row>
    <row r="69" spans="1:10" x14ac:dyDescent="0.25">
      <c r="A69">
        <f t="shared" ref="A69:A95" si="1">A68+1</f>
        <v>3</v>
      </c>
      <c r="B69" s="497">
        <v>46237</v>
      </c>
      <c r="C69" s="131">
        <f>SUMIFS(cx_03_08_26[saldo],
  cx_03_08_26[soVisualizacao], FALSE,
  cx_03_08_26[empresa], D69)</f>
        <v>83753.87</v>
      </c>
      <c r="D69" t="s">
        <v>8</v>
      </c>
    </row>
    <row r="70" spans="1:10" x14ac:dyDescent="0.25">
      <c r="A70">
        <f t="shared" si="1"/>
        <v>4</v>
      </c>
      <c r="B70" s="497">
        <v>46237</v>
      </c>
      <c r="C70" s="131">
        <f>SUMIFS(cx_03_08_26[saldo],
  cx_03_08_26[soVisualizacao], FALSE,
  cx_03_08_26[empresa], D70)</f>
        <v>10625.55</v>
      </c>
      <c r="D70" t="s">
        <v>671</v>
      </c>
    </row>
    <row r="71" spans="1:10" x14ac:dyDescent="0.25">
      <c r="A71">
        <f t="shared" si="1"/>
        <v>5</v>
      </c>
      <c r="B71" s="497">
        <v>46237</v>
      </c>
      <c r="C71" s="131">
        <f>SUMIFS(cx_03_08_26[saldo],
  cx_03_08_26[soVisualizacao], FALSE,
  cx_03_08_26[empresa], D71)</f>
        <v>83301.740000000005</v>
      </c>
      <c r="D71" t="s">
        <v>673</v>
      </c>
    </row>
    <row r="72" spans="1:10" x14ac:dyDescent="0.25">
      <c r="A72">
        <f t="shared" si="1"/>
        <v>6</v>
      </c>
      <c r="B72" s="497">
        <v>46237</v>
      </c>
      <c r="C72" s="131">
        <f>SUMIFS(cx_03_08_26[saldo],
  cx_03_08_26[soVisualizacao], FALSE,
  cx_03_08_26[empresa], D72)</f>
        <v>0</v>
      </c>
      <c r="D72" t="s">
        <v>777</v>
      </c>
    </row>
    <row r="73" spans="1:10" x14ac:dyDescent="0.25">
      <c r="A73">
        <f t="shared" si="1"/>
        <v>7</v>
      </c>
      <c r="B73" s="497">
        <v>46237</v>
      </c>
      <c r="C73" s="131">
        <f>SUMIFS(cx_03_08_26[saldo],
  cx_03_08_26[soVisualizacao], FALSE,
  cx_03_08_26[empresa], D73)</f>
        <v>9908.4599999999991</v>
      </c>
      <c r="D73" t="s">
        <v>773</v>
      </c>
    </row>
    <row r="74" spans="1:10" x14ac:dyDescent="0.25">
      <c r="A74">
        <f t="shared" si="1"/>
        <v>8</v>
      </c>
      <c r="B74" s="497">
        <v>46237</v>
      </c>
      <c r="C74" s="131">
        <f>SUMIFS(cx_03_08_26[saldo],
  cx_03_08_26[soVisualizacao], FALSE,
  cx_03_08_26[empresa], D74)</f>
        <v>3258.4</v>
      </c>
      <c r="D74" t="s">
        <v>1023</v>
      </c>
    </row>
    <row r="75" spans="1:10" x14ac:dyDescent="0.25">
      <c r="A75">
        <f t="shared" si="1"/>
        <v>9</v>
      </c>
      <c r="B75" s="497">
        <v>46237</v>
      </c>
      <c r="C75" s="131">
        <f>SUMIFS(cx_03_08_26[saldo],
  cx_03_08_26[soVisualizacao], FALSE,
  cx_03_08_26[empresa], D75)</f>
        <v>-3781.55</v>
      </c>
      <c r="D75" t="s">
        <v>779</v>
      </c>
    </row>
    <row r="76" spans="1:10" x14ac:dyDescent="0.25">
      <c r="A76">
        <f t="shared" si="1"/>
        <v>10</v>
      </c>
      <c r="B76" s="497">
        <v>46237</v>
      </c>
      <c r="C76" s="131">
        <f>SUMIFS(cx_03_08_26[saldo],
  cx_03_08_26[soVisualizacao], FALSE,
  cx_03_08_26[empresa], D76)</f>
        <v>5013.99</v>
      </c>
      <c r="D76" t="s">
        <v>479</v>
      </c>
    </row>
    <row r="77" spans="1:10" x14ac:dyDescent="0.25">
      <c r="A77">
        <f t="shared" si="1"/>
        <v>11</v>
      </c>
      <c r="B77" s="497">
        <v>46237</v>
      </c>
      <c r="C77" s="131">
        <f>SUMIFS(cx_03_08_26[saldo],
  cx_03_08_26[soVisualizacao], FALSE,
  cx_03_08_26[empresa], D77)</f>
        <v>1162996.3700000001</v>
      </c>
      <c r="D77" t="s">
        <v>9</v>
      </c>
    </row>
    <row r="78" spans="1:10" x14ac:dyDescent="0.25">
      <c r="A78">
        <f t="shared" si="1"/>
        <v>12</v>
      </c>
      <c r="B78" s="497">
        <v>46237</v>
      </c>
      <c r="C78" s="131">
        <f>SUMIFS(cx_03_08_26[saldo],
  cx_03_08_26[soVisualizacao], FALSE,
  cx_03_08_26[empresa], D78)</f>
        <v>1312.1599999999999</v>
      </c>
      <c r="D78" t="s">
        <v>481</v>
      </c>
    </row>
    <row r="79" spans="1:10" x14ac:dyDescent="0.25">
      <c r="A79">
        <f t="shared" si="1"/>
        <v>13</v>
      </c>
      <c r="B79" s="497">
        <v>46237</v>
      </c>
      <c r="C79" s="131">
        <f>SUMIFS(cx_03_08_26[saldo],
  cx_03_08_26[soVisualizacao], FALSE,
  cx_03_08_26[empresa], D79)</f>
        <v>2606.1099999999997</v>
      </c>
      <c r="D79" t="s">
        <v>677</v>
      </c>
    </row>
    <row r="80" spans="1:10" x14ac:dyDescent="0.25">
      <c r="A80">
        <f t="shared" si="1"/>
        <v>14</v>
      </c>
      <c r="B80" s="497">
        <v>46237</v>
      </c>
      <c r="C80" s="131">
        <f>SUMIFS(cx_03_08_26[saldo],
  cx_03_08_26[soVisualizacao], FALSE,
  cx_03_08_26[empresa], D80)</f>
        <v>19330.830000000002</v>
      </c>
      <c r="D80" t="s">
        <v>753</v>
      </c>
    </row>
    <row r="81" spans="1:4" x14ac:dyDescent="0.25">
      <c r="A81">
        <f t="shared" si="1"/>
        <v>15</v>
      </c>
      <c r="B81" s="497">
        <v>46237</v>
      </c>
      <c r="C81" s="131">
        <f>SUMIFS(cx_03_08_26[saldo],
  cx_03_08_26[soVisualizacao], FALSE,
  cx_03_08_26[empresa], D81)</f>
        <v>0</v>
      </c>
      <c r="D81" t="s">
        <v>482</v>
      </c>
    </row>
    <row r="82" spans="1:4" x14ac:dyDescent="0.25">
      <c r="A82">
        <f t="shared" si="1"/>
        <v>16</v>
      </c>
      <c r="B82" s="497">
        <v>46237</v>
      </c>
      <c r="C82" s="131">
        <f>SUMIFS(cx_03_08_26[saldo],
  cx_03_08_26[soVisualizacao], FALSE,
  cx_03_08_26[empresa], D82)</f>
        <v>208915.06</v>
      </c>
      <c r="D82" t="s">
        <v>10</v>
      </c>
    </row>
    <row r="83" spans="1:4" x14ac:dyDescent="0.25">
      <c r="A83">
        <f t="shared" si="1"/>
        <v>17</v>
      </c>
      <c r="B83" s="497">
        <v>46237</v>
      </c>
      <c r="C83" s="131">
        <f>SUMIFS(cx_03_08_26[saldo],
  cx_03_08_26[soVisualizacao], FALSE,
  cx_03_08_26[empresa], D83)</f>
        <v>12300.82</v>
      </c>
      <c r="D83" t="s">
        <v>793</v>
      </c>
    </row>
    <row r="84" spans="1:4" x14ac:dyDescent="0.25">
      <c r="A84">
        <f t="shared" si="1"/>
        <v>18</v>
      </c>
      <c r="B84" s="497">
        <v>46237</v>
      </c>
      <c r="C84" s="131">
        <f>SUMIFS(cx_03_08_26[saldo],
  cx_03_08_26[soVisualizacao], FALSE,
  cx_03_08_26[empresa], D84)</f>
        <v>0</v>
      </c>
      <c r="D84" t="s">
        <v>730</v>
      </c>
    </row>
    <row r="85" spans="1:4" x14ac:dyDescent="0.25">
      <c r="A85">
        <f t="shared" si="1"/>
        <v>19</v>
      </c>
      <c r="B85" s="497">
        <v>46237</v>
      </c>
      <c r="C85" s="131">
        <f>SUMIFS(cx_03_08_26[saldo],
  cx_03_08_26[soVisualizacao], FALSE,
  cx_03_08_26[empresa], D85)</f>
        <v>397073.36</v>
      </c>
      <c r="D85" t="s">
        <v>11</v>
      </c>
    </row>
    <row r="86" spans="1:4" x14ac:dyDescent="0.25">
      <c r="A86">
        <f t="shared" si="1"/>
        <v>20</v>
      </c>
      <c r="B86" s="497">
        <v>46237</v>
      </c>
      <c r="C86" s="131">
        <f>SUMIFS(cx_03_08_26[saldo],
  cx_03_08_26[soVisualizacao], FALSE,
  cx_03_08_26[empresa], D86)</f>
        <v>0</v>
      </c>
      <c r="D86" t="s">
        <v>1105</v>
      </c>
    </row>
    <row r="87" spans="1:4" x14ac:dyDescent="0.25">
      <c r="A87">
        <f t="shared" si="1"/>
        <v>21</v>
      </c>
      <c r="B87" s="497">
        <v>46237</v>
      </c>
      <c r="C87" s="131">
        <f>SUMIFS(cx_03_08_26[saldo],
  cx_03_08_26[soVisualizacao], FALSE,
  cx_03_08_26[empresa], D87)</f>
        <v>105742.51000000001</v>
      </c>
      <c r="D87" t="s">
        <v>465</v>
      </c>
    </row>
    <row r="88" spans="1:4" x14ac:dyDescent="0.25">
      <c r="A88">
        <f t="shared" si="1"/>
        <v>22</v>
      </c>
      <c r="B88" s="497">
        <v>46237</v>
      </c>
      <c r="C88" s="131">
        <f>SUMIFS(cx_03_08_26[saldo],
  cx_03_08_26[soVisualizacao], FALSE,
  cx_03_08_26[empresa], D88)</f>
        <v>8617.08</v>
      </c>
      <c r="D88" t="s">
        <v>678</v>
      </c>
    </row>
    <row r="89" spans="1:4" x14ac:dyDescent="0.25">
      <c r="A89">
        <f t="shared" si="1"/>
        <v>23</v>
      </c>
      <c r="B89" s="497">
        <v>46237</v>
      </c>
      <c r="C89" s="131">
        <f>SUMIFS(cx_03_08_26[saldo],
  cx_03_08_26[soVisualizacao], FALSE,
  cx_03_08_26[empresa], D89)</f>
        <v>2340353.04</v>
      </c>
      <c r="D89" t="s">
        <v>12</v>
      </c>
    </row>
    <row r="90" spans="1:4" x14ac:dyDescent="0.25">
      <c r="A90">
        <f t="shared" si="1"/>
        <v>24</v>
      </c>
      <c r="B90" s="497">
        <v>46237</v>
      </c>
      <c r="C90" s="131">
        <f>SUMIFS(cx_03_08_26[saldo],
  cx_03_08_26[soVisualizacao], FALSE,
  cx_03_08_26[empresa], D90)</f>
        <v>1388194.21</v>
      </c>
      <c r="D90" t="s">
        <v>13</v>
      </c>
    </row>
    <row r="91" spans="1:4" x14ac:dyDescent="0.25">
      <c r="A91">
        <f t="shared" si="1"/>
        <v>25</v>
      </c>
      <c r="B91" s="497">
        <v>46237</v>
      </c>
      <c r="C91" s="131">
        <f>SUMIFS(cx_03_08_26[saldo],
  cx_03_08_26[soVisualizacao], FALSE,
  cx_03_08_26[empresa], D91)</f>
        <v>17064.55</v>
      </c>
      <c r="D91" t="s">
        <v>804</v>
      </c>
    </row>
    <row r="92" spans="1:4" x14ac:dyDescent="0.25">
      <c r="A92">
        <f t="shared" si="1"/>
        <v>26</v>
      </c>
      <c r="B92" s="497">
        <v>46237</v>
      </c>
      <c r="C92" s="131">
        <f>SUMIFS(cx_03_08_26[saldo],
  cx_03_08_26[soVisualizacao], FALSE,
  cx_03_08_26[empresa], D92)</f>
        <v>100594</v>
      </c>
      <c r="D92" t="s">
        <v>729</v>
      </c>
    </row>
    <row r="93" spans="1:4" x14ac:dyDescent="0.25">
      <c r="A93">
        <f t="shared" si="1"/>
        <v>27</v>
      </c>
      <c r="B93" s="497">
        <v>46237</v>
      </c>
      <c r="C93" s="131">
        <f>SUMIFS(cx_03_08_26[saldo],
  cx_03_08_26[soVisualizacao], FALSE,
  cx_03_08_26[empresa], D93)</f>
        <v>0</v>
      </c>
      <c r="D93" t="s">
        <v>1032</v>
      </c>
    </row>
    <row r="94" spans="1:4" x14ac:dyDescent="0.25">
      <c r="A94">
        <f t="shared" si="1"/>
        <v>28</v>
      </c>
      <c r="B94" s="497">
        <v>46237</v>
      </c>
      <c r="C94" s="131">
        <f>SUMIFS(cx_03_08_26[saldo],
  cx_03_08_26[soVisualizacao], FALSE,
  cx_03_08_26[empresa], D94)</f>
        <v>0</v>
      </c>
      <c r="D94" t="s">
        <v>1113</v>
      </c>
    </row>
    <row r="95" spans="1:4" x14ac:dyDescent="0.25">
      <c r="A95">
        <f t="shared" si="1"/>
        <v>29</v>
      </c>
      <c r="B95" s="497">
        <v>46237</v>
      </c>
      <c r="C95" s="131">
        <f>SUMIFS(cx_03_08_26[saldo],
  cx_03_08_26[soVisualizacao], FALSE,
  cx_03_08_26[empresa], D95)</f>
        <v>0</v>
      </c>
      <c r="D95" t="s">
        <v>956</v>
      </c>
    </row>
  </sheetData>
  <mergeCells count="2">
    <mergeCell ref="N10:P10"/>
    <mergeCell ref="N27:P27"/>
  </mergeCells>
  <conditionalFormatting sqref="A3:F64 I3:I64">
    <cfRule type="containsBlanks" dxfId="4" priority="2">
      <formula>LEN(TRIM(A3))=0</formula>
    </cfRule>
  </conditionalFormatting>
  <conditionalFormatting sqref="J3:L64">
    <cfRule type="cellIs" dxfId="3" priority="1" operator="lessThan">
      <formula>0</formula>
    </cfRule>
  </conditionalFormatting>
  <dataValidations count="6">
    <dataValidation type="list" allowBlank="1" showInputMessage="1" showErrorMessage="1" errorTitle="Preenchimento inválido" error="Toda essa coluna deve ter o valor definido na célula B1." sqref="I3:I64" xr:uid="{8F13666F-2B09-4BAA-B10F-156012CBC55D}">
      <formula1>$B$1</formula1>
    </dataValidation>
    <dataValidation type="list" allowBlank="1" showInputMessage="1" showErrorMessage="1" errorTitle="Preenchimento inválido" error="Preencha um &quot;tipo&quot; listada na aba de configurações." sqref="F3:F64" xr:uid="{43ABB7E0-A25F-43A0-AC82-0B0DF6E95FB1}">
      <formula1>l_tipo</formula1>
    </dataValidation>
    <dataValidation type="list" allowBlank="1" showInputMessage="1" showErrorMessage="1" errorTitle="Preenchimento inválido" error="Preencha uma &quot;instituicao&quot; listada na aba de configurações." sqref="E3:E64" xr:uid="{8ED9650E-511D-4CDB-B5EE-D955D6C8EC41}">
      <formula1>l_instituicao</formula1>
    </dataValidation>
    <dataValidation type="list" allowBlank="1" showInputMessage="1" showErrorMessage="1" errorTitle="Preenchimento inválido" error="Preencha uma &quot;contaAtual&quot; listada na aba de configurações." sqref="D3:D64" xr:uid="{AC9F860B-EA63-4B23-8DE5-5253C2D49F2C}">
      <formula1>l_contaAtual</formula1>
    </dataValidation>
    <dataValidation type="list" allowBlank="1" showInputMessage="1" showErrorMessage="1" errorTitle="Preenchimento inválido" error="Preencha uma &quot;contaAntiga&quot; listada na aba de configurações." sqref="C3:C64" xr:uid="{22FF18C9-6C27-4425-82DB-AB5EE9D441DA}">
      <formula1>l_contaAntiga</formula1>
    </dataValidation>
    <dataValidation type="list" allowBlank="1" showInputMessage="1" showErrorMessage="1" errorTitle="Preenchimento inválido" error="Preencha uma &quot;empresa&quot; listada na aba de configurações." sqref="A3:A64" xr:uid="{0B1B2477-FDE0-441D-A915-E118A623334C}">
      <formula1>l_empresa</formula1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F2BA-E0CA-4750-9083-F478D22C4874}">
  <sheetPr>
    <tabColor theme="9" tint="0.39997558519241921"/>
  </sheetPr>
  <dimension ref="A1:P96"/>
  <sheetViews>
    <sheetView topLeftCell="A43" zoomScale="80" zoomScaleNormal="80" workbookViewId="0">
      <selection activeCell="D36" sqref="D36"/>
    </sheetView>
  </sheetViews>
  <sheetFormatPr defaultColWidth="9.140625" defaultRowHeight="15" x14ac:dyDescent="0.25"/>
  <cols>
    <col min="1" max="2" width="12.7109375" style="578" customWidth="1"/>
    <col min="3" max="7" width="16.7109375" style="578" customWidth="1"/>
    <col min="8" max="8" width="18.7109375" style="578" customWidth="1"/>
    <col min="9" max="9" width="10.7109375" style="578" customWidth="1"/>
    <col min="10" max="11" width="16.7109375" style="578" customWidth="1"/>
    <col min="12" max="12" width="24.7109375" style="578" customWidth="1"/>
    <col min="13" max="13" width="9.140625" style="578"/>
    <col min="14" max="14" width="44.85546875" style="578" customWidth="1"/>
    <col min="15" max="15" width="19.85546875" style="578" customWidth="1"/>
    <col min="16" max="16" width="31.140625" style="578" customWidth="1"/>
    <col min="17" max="16384" width="9.140625" style="578"/>
  </cols>
  <sheetData>
    <row r="1" spans="1:16" ht="15.75" x14ac:dyDescent="0.25">
      <c r="A1" s="473" t="s">
        <v>1062</v>
      </c>
      <c r="B1" s="577">
        <v>46266</v>
      </c>
      <c r="C1"/>
      <c r="D1"/>
      <c r="E1"/>
      <c r="F1"/>
      <c r="G1"/>
      <c r="H1"/>
      <c r="I1"/>
      <c r="J1"/>
      <c r="K1"/>
      <c r="L1"/>
    </row>
    <row r="2" spans="1:16" ht="15" customHeight="1" x14ac:dyDescent="0.25">
      <c r="A2" s="475" t="s">
        <v>68</v>
      </c>
      <c r="B2" s="475" t="s">
        <v>1063</v>
      </c>
      <c r="C2" s="475" t="s">
        <v>1064</v>
      </c>
      <c r="D2" s="475" t="s">
        <v>1065</v>
      </c>
      <c r="E2" s="475" t="s">
        <v>1066</v>
      </c>
      <c r="F2" s="475" t="s">
        <v>1067</v>
      </c>
      <c r="G2" s="475" t="s">
        <v>1068</v>
      </c>
      <c r="H2" s="475" t="s">
        <v>1069</v>
      </c>
      <c r="I2" s="475" t="s">
        <v>226</v>
      </c>
      <c r="J2" s="579" t="s">
        <v>1070</v>
      </c>
      <c r="K2" s="579" t="s">
        <v>1071</v>
      </c>
      <c r="L2" s="579" t="s">
        <v>1072</v>
      </c>
      <c r="N2" s="578" t="s">
        <v>1073</v>
      </c>
      <c r="O2" s="580">
        <f>SUMIFS(cx_01_09_26[saldo],
  cx_01_09_26[soVisualizacao], FALSE
)</f>
        <v>2037488.2499999998</v>
      </c>
    </row>
    <row r="3" spans="1:16" x14ac:dyDescent="0.25">
      <c r="A3" s="480" t="s">
        <v>7</v>
      </c>
      <c r="B3" s="480" t="s">
        <v>947</v>
      </c>
      <c r="C3" s="480" t="s">
        <v>734</v>
      </c>
      <c r="D3" s="480" t="s">
        <v>735</v>
      </c>
      <c r="E3" s="480" t="s">
        <v>474</v>
      </c>
      <c r="F3" s="480" t="s">
        <v>1074</v>
      </c>
      <c r="G3" s="481" t="b">
        <v>0</v>
      </c>
      <c r="H3" s="481" t="b">
        <v>0</v>
      </c>
      <c r="I3" s="482">
        <f t="shared" ref="I3:I65" si="0">$B$1</f>
        <v>46266</v>
      </c>
      <c r="J3" s="581">
        <v>5527.17</v>
      </c>
      <c r="K3" s="582"/>
      <c r="L3" s="582">
        <v>10000</v>
      </c>
      <c r="N3" s="578" t="s">
        <v>1075</v>
      </c>
      <c r="O3" s="583">
        <f>SUMIFS(cx_01_09_26[saldo],
  cx_01_09_26[soVisualizacao], FALSE,
  cx_01_09_26[saldo], "&gt;" &amp; 0
)</f>
        <v>2066679.7399999995</v>
      </c>
    </row>
    <row r="4" spans="1:16" x14ac:dyDescent="0.25">
      <c r="A4" s="480" t="s">
        <v>7</v>
      </c>
      <c r="B4" s="480" t="s">
        <v>947</v>
      </c>
      <c r="C4" s="480" t="s">
        <v>739</v>
      </c>
      <c r="D4" s="480" t="s">
        <v>740</v>
      </c>
      <c r="E4" s="480" t="s">
        <v>474</v>
      </c>
      <c r="F4" s="480" t="s">
        <v>1074</v>
      </c>
      <c r="G4" s="481" t="b">
        <v>0</v>
      </c>
      <c r="H4" s="481" t="b">
        <v>0</v>
      </c>
      <c r="I4" s="482">
        <f t="shared" si="0"/>
        <v>46266</v>
      </c>
      <c r="J4" s="581">
        <v>18647.41</v>
      </c>
      <c r="K4" s="582"/>
      <c r="L4" s="582"/>
      <c r="N4" s="578" t="s">
        <v>1076</v>
      </c>
      <c r="O4" s="583">
        <f>SUMIFS(cx_01_09_26[limiteChequeEspecial],
  cx_01_09_26[soVisualizacao], FALSE
)</f>
        <v>754708.02</v>
      </c>
    </row>
    <row r="5" spans="1:16" x14ac:dyDescent="0.25">
      <c r="A5" s="480" t="s">
        <v>7</v>
      </c>
      <c r="B5" s="480" t="s">
        <v>947</v>
      </c>
      <c r="C5" s="480" t="s">
        <v>622</v>
      </c>
      <c r="D5" s="480" t="s">
        <v>736</v>
      </c>
      <c r="E5" s="480" t="s">
        <v>474</v>
      </c>
      <c r="F5" s="480" t="s">
        <v>1074</v>
      </c>
      <c r="G5" s="481" t="b">
        <v>0</v>
      </c>
      <c r="H5" s="481" t="b">
        <v>0</v>
      </c>
      <c r="I5" s="482">
        <f t="shared" si="0"/>
        <v>46266</v>
      </c>
      <c r="J5" s="581">
        <v>0</v>
      </c>
      <c r="K5" s="582"/>
      <c r="L5" s="582"/>
      <c r="O5" s="583"/>
    </row>
    <row r="6" spans="1:16" x14ac:dyDescent="0.25">
      <c r="A6" s="480" t="s">
        <v>7</v>
      </c>
      <c r="B6" s="480" t="s">
        <v>947</v>
      </c>
      <c r="C6" s="480" t="s">
        <v>737</v>
      </c>
      <c r="D6" s="480" t="s">
        <v>738</v>
      </c>
      <c r="E6" s="480" t="s">
        <v>474</v>
      </c>
      <c r="F6" s="480" t="s">
        <v>1074</v>
      </c>
      <c r="G6" s="481" t="b">
        <v>1</v>
      </c>
      <c r="H6" s="481" t="b">
        <v>0</v>
      </c>
      <c r="I6" s="482">
        <f t="shared" si="0"/>
        <v>46266</v>
      </c>
      <c r="J6" s="581">
        <v>3192.91</v>
      </c>
      <c r="K6" s="582"/>
      <c r="L6" s="582"/>
      <c r="N6" s="578" t="s">
        <v>1077</v>
      </c>
      <c r="O6" s="583">
        <f>SUMIFS(cx_01_09_26[saldo],
  cx_01_09_26[soVisualizacao], TRUE
)</f>
        <v>-8170508.2700000005</v>
      </c>
    </row>
    <row r="7" spans="1:16" x14ac:dyDescent="0.25">
      <c r="A7" s="480" t="s">
        <v>7</v>
      </c>
      <c r="B7" s="480" t="s">
        <v>947</v>
      </c>
      <c r="C7" s="480" t="s">
        <v>622</v>
      </c>
      <c r="D7" s="480" t="s">
        <v>741</v>
      </c>
      <c r="E7" s="480" t="s">
        <v>474</v>
      </c>
      <c r="F7" s="480" t="s">
        <v>1078</v>
      </c>
      <c r="G7" s="481" t="b">
        <v>0</v>
      </c>
      <c r="H7" s="481" t="b">
        <v>0</v>
      </c>
      <c r="I7" s="482">
        <f t="shared" si="0"/>
        <v>46266</v>
      </c>
      <c r="J7" s="584"/>
      <c r="K7" s="582"/>
      <c r="L7" s="582"/>
    </row>
    <row r="8" spans="1:16" x14ac:dyDescent="0.25">
      <c r="A8" s="480" t="s">
        <v>7</v>
      </c>
      <c r="B8" s="480" t="s">
        <v>947</v>
      </c>
      <c r="C8" s="480" t="s">
        <v>622</v>
      </c>
      <c r="D8" s="480" t="s">
        <v>742</v>
      </c>
      <c r="E8" s="480" t="s">
        <v>1079</v>
      </c>
      <c r="F8" s="480" t="s">
        <v>1074</v>
      </c>
      <c r="G8" s="481" t="b">
        <v>0</v>
      </c>
      <c r="H8" s="481" t="b">
        <v>0</v>
      </c>
      <c r="I8" s="482">
        <f t="shared" si="0"/>
        <v>46266</v>
      </c>
      <c r="J8" s="581">
        <v>21753.22</v>
      </c>
      <c r="K8" s="582"/>
      <c r="L8" s="582">
        <v>50000</v>
      </c>
    </row>
    <row r="9" spans="1:16" x14ac:dyDescent="0.25">
      <c r="A9" s="480" t="s">
        <v>7</v>
      </c>
      <c r="B9" s="480" t="s">
        <v>947</v>
      </c>
      <c r="C9" s="480" t="s">
        <v>622</v>
      </c>
      <c r="D9" s="480" t="s">
        <v>743</v>
      </c>
      <c r="E9" s="480" t="s">
        <v>943</v>
      </c>
      <c r="F9" s="480" t="s">
        <v>1074</v>
      </c>
      <c r="G9" s="481" t="b">
        <v>0</v>
      </c>
      <c r="H9" s="481" t="b">
        <v>0</v>
      </c>
      <c r="I9" s="482">
        <f t="shared" si="0"/>
        <v>46266</v>
      </c>
      <c r="J9" s="585">
        <v>-4607.78</v>
      </c>
      <c r="K9" s="582"/>
      <c r="L9" s="586">
        <f>300000+cx_01_09_26[[#This Row],[saldo]]</f>
        <v>295392.21999999997</v>
      </c>
    </row>
    <row r="10" spans="1:16" x14ac:dyDescent="0.25">
      <c r="A10" s="480" t="s">
        <v>670</v>
      </c>
      <c r="B10" s="480" t="s">
        <v>380</v>
      </c>
      <c r="C10" s="480" t="s">
        <v>732</v>
      </c>
      <c r="D10" s="480" t="s">
        <v>733</v>
      </c>
      <c r="E10" s="480" t="s">
        <v>474</v>
      </c>
      <c r="F10" s="480" t="s">
        <v>1074</v>
      </c>
      <c r="G10" s="481" t="b">
        <v>0</v>
      </c>
      <c r="H10" s="481" t="b">
        <v>0</v>
      </c>
      <c r="I10" s="482">
        <f t="shared" si="0"/>
        <v>46266</v>
      </c>
      <c r="J10" s="585">
        <v>899.26</v>
      </c>
      <c r="K10" s="582"/>
      <c r="L10" s="582"/>
      <c r="N10" s="631" t="s">
        <v>1080</v>
      </c>
      <c r="O10" s="631"/>
      <c r="P10" s="631"/>
    </row>
    <row r="11" spans="1:16" x14ac:dyDescent="0.25">
      <c r="A11" s="480" t="s">
        <v>8</v>
      </c>
      <c r="B11" s="480" t="s">
        <v>951</v>
      </c>
      <c r="C11" s="480" t="s">
        <v>746</v>
      </c>
      <c r="D11" s="480" t="s">
        <v>747</v>
      </c>
      <c r="E11" s="480" t="s">
        <v>474</v>
      </c>
      <c r="F11" s="480" t="s">
        <v>1074</v>
      </c>
      <c r="G11" s="481" t="b">
        <v>0</v>
      </c>
      <c r="H11" s="481" t="b">
        <v>0</v>
      </c>
      <c r="I11" s="482">
        <f t="shared" si="0"/>
        <v>46266</v>
      </c>
      <c r="J11" s="581">
        <v>0</v>
      </c>
      <c r="K11" s="582"/>
      <c r="L11" s="582"/>
    </row>
    <row r="12" spans="1:16" x14ac:dyDescent="0.25">
      <c r="A12" s="480" t="s">
        <v>8</v>
      </c>
      <c r="B12" s="480" t="s">
        <v>951</v>
      </c>
      <c r="C12" s="480" t="s">
        <v>748</v>
      </c>
      <c r="D12" s="480" t="s">
        <v>749</v>
      </c>
      <c r="E12" s="480" t="s">
        <v>474</v>
      </c>
      <c r="F12" s="480" t="s">
        <v>1074</v>
      </c>
      <c r="G12" s="481" t="b">
        <v>1</v>
      </c>
      <c r="H12" s="481" t="b">
        <v>0</v>
      </c>
      <c r="I12" s="482">
        <f t="shared" si="0"/>
        <v>46266</v>
      </c>
      <c r="J12" s="581">
        <v>5427.4</v>
      </c>
      <c r="K12" s="582"/>
      <c r="L12" s="582"/>
      <c r="N12" t="s">
        <v>1081</v>
      </c>
      <c r="O12" s="587">
        <v>1650000</v>
      </c>
      <c r="P12" s="588">
        <v>46280</v>
      </c>
    </row>
    <row r="13" spans="1:16" x14ac:dyDescent="0.25">
      <c r="A13" s="480" t="s">
        <v>8</v>
      </c>
      <c r="B13" s="480" t="s">
        <v>951</v>
      </c>
      <c r="C13" s="480" t="s">
        <v>622</v>
      </c>
      <c r="D13" s="480" t="s">
        <v>750</v>
      </c>
      <c r="E13" s="480" t="s">
        <v>1079</v>
      </c>
      <c r="F13" s="480" t="s">
        <v>1074</v>
      </c>
      <c r="G13" s="481" t="b">
        <v>0</v>
      </c>
      <c r="H13" s="481" t="b">
        <v>0</v>
      </c>
      <c r="I13" s="482">
        <f t="shared" si="0"/>
        <v>46266</v>
      </c>
      <c r="J13" s="581">
        <v>7929.72</v>
      </c>
      <c r="K13" s="582"/>
      <c r="L13" s="582">
        <v>78700</v>
      </c>
      <c r="N13" s="589" t="s">
        <v>1084</v>
      </c>
      <c r="O13" s="587">
        <v>700000</v>
      </c>
      <c r="P13" s="588">
        <v>46295</v>
      </c>
    </row>
    <row r="14" spans="1:16" x14ac:dyDescent="0.25">
      <c r="A14" s="480" t="s">
        <v>671</v>
      </c>
      <c r="B14" s="480" t="s">
        <v>955</v>
      </c>
      <c r="C14" s="480" t="s">
        <v>770</v>
      </c>
      <c r="D14" s="480" t="s">
        <v>771</v>
      </c>
      <c r="E14" s="480" t="s">
        <v>474</v>
      </c>
      <c r="F14" s="480" t="s">
        <v>1074</v>
      </c>
      <c r="G14" s="481" t="b">
        <v>0</v>
      </c>
      <c r="H14" s="481" t="b">
        <v>0</v>
      </c>
      <c r="I14" s="482">
        <f t="shared" si="0"/>
        <v>46266</v>
      </c>
      <c r="J14" s="590">
        <v>9383.14</v>
      </c>
      <c r="K14" s="582"/>
      <c r="L14" s="582">
        <f>100000</f>
        <v>100000</v>
      </c>
      <c r="N14" s="589"/>
      <c r="O14" s="587"/>
      <c r="P14" s="588"/>
    </row>
    <row r="15" spans="1:16" x14ac:dyDescent="0.25">
      <c r="A15" s="480" t="s">
        <v>671</v>
      </c>
      <c r="B15" s="480" t="s">
        <v>955</v>
      </c>
      <c r="C15" s="480" t="s">
        <v>622</v>
      </c>
      <c r="D15" s="480" t="s">
        <v>772</v>
      </c>
      <c r="E15" s="480" t="s">
        <v>1079</v>
      </c>
      <c r="F15" s="480" t="s">
        <v>1074</v>
      </c>
      <c r="G15" s="481" t="b">
        <v>0</v>
      </c>
      <c r="H15" s="481" t="b">
        <v>0</v>
      </c>
      <c r="I15" s="482">
        <f t="shared" si="0"/>
        <v>46266</v>
      </c>
      <c r="J15" s="581">
        <v>4.49</v>
      </c>
      <c r="K15" s="582"/>
      <c r="L15" s="582"/>
      <c r="N15" s="589" t="s">
        <v>1086</v>
      </c>
      <c r="O15" s="587">
        <v>300000</v>
      </c>
      <c r="P15" s="588">
        <v>46269</v>
      </c>
    </row>
    <row r="16" spans="1:16" x14ac:dyDescent="0.25">
      <c r="A16" s="480" t="s">
        <v>673</v>
      </c>
      <c r="B16" s="480" t="s">
        <v>1087</v>
      </c>
      <c r="C16" s="480" t="s">
        <v>622</v>
      </c>
      <c r="D16" s="480" t="s">
        <v>795</v>
      </c>
      <c r="E16" s="480" t="s">
        <v>474</v>
      </c>
      <c r="F16" s="480" t="s">
        <v>1074</v>
      </c>
      <c r="G16" s="481" t="b">
        <v>0</v>
      </c>
      <c r="H16" s="481" t="b">
        <v>0</v>
      </c>
      <c r="I16" s="482">
        <f t="shared" si="0"/>
        <v>46266</v>
      </c>
      <c r="J16" s="581">
        <v>55136.160000000003</v>
      </c>
      <c r="K16" s="582"/>
      <c r="L16" s="582"/>
      <c r="N16" s="589" t="s">
        <v>2915</v>
      </c>
      <c r="O16" s="587">
        <v>400000</v>
      </c>
      <c r="P16" s="588">
        <v>46269</v>
      </c>
    </row>
    <row r="17" spans="1:16" x14ac:dyDescent="0.25">
      <c r="A17" s="480" t="s">
        <v>673</v>
      </c>
      <c r="B17" s="480" t="s">
        <v>1087</v>
      </c>
      <c r="C17" s="480" t="s">
        <v>622</v>
      </c>
      <c r="D17" s="480" t="s">
        <v>806</v>
      </c>
      <c r="E17" s="480" t="s">
        <v>1079</v>
      </c>
      <c r="F17" s="480" t="s">
        <v>1074</v>
      </c>
      <c r="G17" s="481" t="b">
        <v>0</v>
      </c>
      <c r="H17" s="481" t="b">
        <v>0</v>
      </c>
      <c r="I17" s="482">
        <f t="shared" si="0"/>
        <v>46266</v>
      </c>
      <c r="J17" s="581">
        <v>72727.320000000007</v>
      </c>
      <c r="K17" s="582"/>
      <c r="L17" s="582"/>
      <c r="N17" s="589" t="s">
        <v>1089</v>
      </c>
      <c r="O17" s="587">
        <v>195000</v>
      </c>
      <c r="P17" s="588">
        <v>46269</v>
      </c>
    </row>
    <row r="18" spans="1:16" x14ac:dyDescent="0.25">
      <c r="A18" s="480" t="s">
        <v>777</v>
      </c>
      <c r="B18" s="480" t="s">
        <v>1090</v>
      </c>
      <c r="C18" s="480" t="s">
        <v>1091</v>
      </c>
      <c r="D18" s="480" t="s">
        <v>778</v>
      </c>
      <c r="E18" s="480" t="s">
        <v>474</v>
      </c>
      <c r="F18" s="480" t="s">
        <v>1074</v>
      </c>
      <c r="G18" s="481" t="b">
        <v>0</v>
      </c>
      <c r="H18" s="481" t="b">
        <v>1</v>
      </c>
      <c r="I18" s="482">
        <f t="shared" si="0"/>
        <v>46266</v>
      </c>
      <c r="J18" s="584"/>
      <c r="K18" s="582"/>
      <c r="L18" s="582"/>
      <c r="N18" s="589" t="s">
        <v>1092</v>
      </c>
      <c r="O18" s="587">
        <v>167000</v>
      </c>
      <c r="P18" s="588">
        <v>46273</v>
      </c>
    </row>
    <row r="19" spans="1:16" x14ac:dyDescent="0.25">
      <c r="A19" s="480" t="s">
        <v>773</v>
      </c>
      <c r="B19" s="480" t="s">
        <v>957</v>
      </c>
      <c r="C19" s="480" t="s">
        <v>774</v>
      </c>
      <c r="D19" s="480" t="s">
        <v>775</v>
      </c>
      <c r="E19" s="480" t="s">
        <v>474</v>
      </c>
      <c r="F19" s="480" t="s">
        <v>1074</v>
      </c>
      <c r="G19" s="481" t="b">
        <v>0</v>
      </c>
      <c r="H19" s="481" t="b">
        <v>0</v>
      </c>
      <c r="I19" s="482">
        <f t="shared" si="0"/>
        <v>46266</v>
      </c>
      <c r="J19" s="581">
        <v>13947.34</v>
      </c>
      <c r="K19" s="582"/>
      <c r="L19" s="582"/>
      <c r="N19" s="589" t="s">
        <v>1093</v>
      </c>
      <c r="O19" s="587">
        <v>73000</v>
      </c>
      <c r="P19" s="588">
        <v>46283</v>
      </c>
    </row>
    <row r="20" spans="1:16" x14ac:dyDescent="0.25">
      <c r="A20" s="480" t="s">
        <v>773</v>
      </c>
      <c r="B20" s="480" t="s">
        <v>957</v>
      </c>
      <c r="C20" s="480" t="s">
        <v>622</v>
      </c>
      <c r="D20" s="480" t="s">
        <v>776</v>
      </c>
      <c r="E20" s="480" t="s">
        <v>1079</v>
      </c>
      <c r="F20" s="480" t="s">
        <v>1074</v>
      </c>
      <c r="G20" s="481" t="b">
        <v>0</v>
      </c>
      <c r="H20" s="481" t="b">
        <v>0</v>
      </c>
      <c r="I20" s="482">
        <f t="shared" si="0"/>
        <v>46266</v>
      </c>
      <c r="J20" s="581">
        <v>3874</v>
      </c>
      <c r="K20" s="582"/>
      <c r="L20" s="582"/>
      <c r="O20" s="591"/>
    </row>
    <row r="21" spans="1:16" x14ac:dyDescent="0.25">
      <c r="A21" s="480" t="s">
        <v>1023</v>
      </c>
      <c r="B21" s="480" t="s">
        <v>348</v>
      </c>
      <c r="C21" s="480" t="s">
        <v>622</v>
      </c>
      <c r="D21" s="480" t="s">
        <v>1094</v>
      </c>
      <c r="E21" s="480" t="s">
        <v>474</v>
      </c>
      <c r="F21" s="480" t="s">
        <v>1074</v>
      </c>
      <c r="G21" s="481" t="b">
        <v>0</v>
      </c>
      <c r="H21" s="481" t="b">
        <v>0</v>
      </c>
      <c r="I21" s="482">
        <f t="shared" si="0"/>
        <v>46266</v>
      </c>
      <c r="J21" s="581">
        <v>3427.4</v>
      </c>
      <c r="K21" s="582"/>
      <c r="L21" s="582"/>
      <c r="O21" s="591"/>
    </row>
    <row r="22" spans="1:16" x14ac:dyDescent="0.25">
      <c r="A22" s="480" t="s">
        <v>779</v>
      </c>
      <c r="B22" s="480" t="s">
        <v>1095</v>
      </c>
      <c r="C22" s="480" t="s">
        <v>780</v>
      </c>
      <c r="D22" s="480" t="s">
        <v>781</v>
      </c>
      <c r="E22" s="480" t="s">
        <v>474</v>
      </c>
      <c r="F22" s="480" t="s">
        <v>1074</v>
      </c>
      <c r="G22" s="481" t="b">
        <v>0</v>
      </c>
      <c r="H22" s="481" t="b">
        <v>0</v>
      </c>
      <c r="I22" s="482">
        <f t="shared" si="0"/>
        <v>46266</v>
      </c>
      <c r="J22" s="581">
        <v>4121.74</v>
      </c>
      <c r="K22" s="582"/>
      <c r="L22" s="582">
        <f>10000+cx_01_09_26[[#This Row],[saldo]]</f>
        <v>14121.74</v>
      </c>
      <c r="O22" s="591"/>
    </row>
    <row r="23" spans="1:16" x14ac:dyDescent="0.25">
      <c r="A23" s="480" t="s">
        <v>479</v>
      </c>
      <c r="B23" s="480" t="s">
        <v>948</v>
      </c>
      <c r="C23" s="480" t="s">
        <v>782</v>
      </c>
      <c r="D23" s="480" t="s">
        <v>783</v>
      </c>
      <c r="E23" s="480" t="s">
        <v>474</v>
      </c>
      <c r="F23" s="480" t="s">
        <v>1074</v>
      </c>
      <c r="G23" s="481" t="b">
        <v>0</v>
      </c>
      <c r="H23" s="481" t="b">
        <v>0</v>
      </c>
      <c r="I23" s="482">
        <f t="shared" si="0"/>
        <v>46266</v>
      </c>
      <c r="J23" s="581">
        <v>2105.9699999999998</v>
      </c>
      <c r="K23" s="582"/>
      <c r="L23" s="582">
        <f>50000</f>
        <v>50000</v>
      </c>
      <c r="N23" s="592" t="s">
        <v>1096</v>
      </c>
      <c r="O23" s="593">
        <f>O2-(O12+O13+O15+O16+O17+O18+O19)</f>
        <v>-1447511.7500000002</v>
      </c>
      <c r="P23" s="594"/>
    </row>
    <row r="24" spans="1:16" x14ac:dyDescent="0.25">
      <c r="A24" s="480" t="s">
        <v>479</v>
      </c>
      <c r="B24" s="480" t="s">
        <v>948</v>
      </c>
      <c r="C24" s="480" t="s">
        <v>784</v>
      </c>
      <c r="D24" s="480" t="s">
        <v>785</v>
      </c>
      <c r="E24" s="480" t="s">
        <v>474</v>
      </c>
      <c r="F24" s="480" t="s">
        <v>1074</v>
      </c>
      <c r="G24" s="481" t="b">
        <v>1</v>
      </c>
      <c r="H24" s="481" t="b">
        <v>0</v>
      </c>
      <c r="I24" s="482">
        <f t="shared" si="0"/>
        <v>46266</v>
      </c>
      <c r="J24" s="581">
        <v>3877.18</v>
      </c>
      <c r="K24" s="582"/>
      <c r="L24" s="582"/>
      <c r="O24" s="591"/>
    </row>
    <row r="25" spans="1:16" x14ac:dyDescent="0.25">
      <c r="A25" s="480" t="s">
        <v>479</v>
      </c>
      <c r="B25" s="480" t="s">
        <v>948</v>
      </c>
      <c r="C25" s="480" t="s">
        <v>622</v>
      </c>
      <c r="D25" s="480" t="s">
        <v>786</v>
      </c>
      <c r="E25" s="480" t="s">
        <v>1079</v>
      </c>
      <c r="F25" s="480" t="s">
        <v>1074</v>
      </c>
      <c r="G25" s="481" t="b">
        <v>0</v>
      </c>
      <c r="H25" s="481" t="b">
        <v>0</v>
      </c>
      <c r="I25" s="482">
        <f t="shared" si="0"/>
        <v>46266</v>
      </c>
      <c r="J25" s="581">
        <v>-24583.71</v>
      </c>
      <c r="K25" s="582"/>
      <c r="L25" s="582">
        <f>88000+cx_01_09_26[[#This Row],[saldo]]</f>
        <v>63416.29</v>
      </c>
      <c r="O25" s="591"/>
    </row>
    <row r="26" spans="1:16" x14ac:dyDescent="0.25">
      <c r="A26" s="480" t="s">
        <v>9</v>
      </c>
      <c r="B26" s="480" t="s">
        <v>1097</v>
      </c>
      <c r="C26" s="480" t="s">
        <v>797</v>
      </c>
      <c r="D26" s="480" t="s">
        <v>798</v>
      </c>
      <c r="E26" s="480" t="s">
        <v>474</v>
      </c>
      <c r="F26" s="480" t="s">
        <v>1074</v>
      </c>
      <c r="G26" s="481" t="b">
        <v>0</v>
      </c>
      <c r="H26" s="481" t="b">
        <v>0</v>
      </c>
      <c r="I26" s="482">
        <f t="shared" si="0"/>
        <v>46266</v>
      </c>
      <c r="J26" s="581">
        <v>32479.5</v>
      </c>
      <c r="K26" s="582"/>
      <c r="L26" s="582"/>
      <c r="O26" s="591"/>
    </row>
    <row r="27" spans="1:16" x14ac:dyDescent="0.25">
      <c r="A27" s="480" t="s">
        <v>9</v>
      </c>
      <c r="B27" s="480" t="s">
        <v>1097</v>
      </c>
      <c r="C27" s="480" t="s">
        <v>622</v>
      </c>
      <c r="D27" s="480" t="s">
        <v>799</v>
      </c>
      <c r="E27" s="480" t="s">
        <v>474</v>
      </c>
      <c r="F27" s="480" t="s">
        <v>1074</v>
      </c>
      <c r="G27" s="481" t="b">
        <v>1</v>
      </c>
      <c r="H27" s="481" t="b">
        <v>0</v>
      </c>
      <c r="I27" s="482">
        <f t="shared" si="0"/>
        <v>46266</v>
      </c>
      <c r="J27" s="581">
        <v>30923.79</v>
      </c>
      <c r="K27" s="582">
        <v>12000</v>
      </c>
      <c r="L27" s="582"/>
      <c r="N27" s="632" t="s">
        <v>2916</v>
      </c>
      <c r="O27" s="632"/>
      <c r="P27" s="632"/>
    </row>
    <row r="28" spans="1:16" x14ac:dyDescent="0.25">
      <c r="A28" s="480" t="s">
        <v>9</v>
      </c>
      <c r="B28" s="480" t="s">
        <v>1097</v>
      </c>
      <c r="C28" s="480" t="s">
        <v>622</v>
      </c>
      <c r="D28" s="480" t="s">
        <v>800</v>
      </c>
      <c r="E28" s="480" t="s">
        <v>1079</v>
      </c>
      <c r="F28" s="480" t="s">
        <v>1074</v>
      </c>
      <c r="G28" s="481" t="b">
        <v>0</v>
      </c>
      <c r="H28" s="481" t="b">
        <v>0</v>
      </c>
      <c r="I28" s="482">
        <f t="shared" si="0"/>
        <v>46266</v>
      </c>
      <c r="J28" s="581">
        <v>3480.77</v>
      </c>
      <c r="K28" s="582"/>
      <c r="L28" s="582">
        <f>31700+cx_01_09_26[[#This Row],[saldo]]</f>
        <v>35180.769999999997</v>
      </c>
      <c r="N28" s="578" t="s">
        <v>2917</v>
      </c>
      <c r="O28" s="587">
        <v>66900.539999999994</v>
      </c>
      <c r="P28" s="633" t="s">
        <v>2918</v>
      </c>
    </row>
    <row r="29" spans="1:16" x14ac:dyDescent="0.25">
      <c r="A29" s="480" t="s">
        <v>481</v>
      </c>
      <c r="B29" s="480" t="s">
        <v>952</v>
      </c>
      <c r="C29" s="480" t="s">
        <v>787</v>
      </c>
      <c r="D29" s="480" t="s">
        <v>788</v>
      </c>
      <c r="E29" s="480" t="s">
        <v>474</v>
      </c>
      <c r="F29" s="480" t="s">
        <v>1074</v>
      </c>
      <c r="G29" s="481" t="b">
        <v>0</v>
      </c>
      <c r="H29" s="481" t="b">
        <v>0</v>
      </c>
      <c r="I29" s="482">
        <f t="shared" si="0"/>
        <v>46266</v>
      </c>
      <c r="J29" s="581">
        <v>306082.59000000003</v>
      </c>
      <c r="K29" s="582"/>
      <c r="L29" s="582">
        <v>30000</v>
      </c>
      <c r="N29" s="578" t="s">
        <v>2919</v>
      </c>
      <c r="O29" s="587">
        <v>18232</v>
      </c>
      <c r="P29" s="633"/>
    </row>
    <row r="30" spans="1:16" x14ac:dyDescent="0.25">
      <c r="A30" s="480" t="s">
        <v>481</v>
      </c>
      <c r="B30" s="480" t="s">
        <v>952</v>
      </c>
      <c r="C30" s="480" t="s">
        <v>622</v>
      </c>
      <c r="D30" s="480" t="s">
        <v>789</v>
      </c>
      <c r="E30" s="480" t="s">
        <v>1079</v>
      </c>
      <c r="F30" s="480" t="s">
        <v>1074</v>
      </c>
      <c r="G30" s="481" t="b">
        <v>0</v>
      </c>
      <c r="H30" s="481" t="b">
        <v>0</v>
      </c>
      <c r="I30" s="482">
        <f t="shared" si="0"/>
        <v>46266</v>
      </c>
      <c r="J30" s="581">
        <v>326732.09000000003</v>
      </c>
      <c r="K30" s="582"/>
      <c r="L30" s="582">
        <v>5000</v>
      </c>
      <c r="O30" s="591"/>
      <c r="P30" s="595"/>
    </row>
    <row r="31" spans="1:16" x14ac:dyDescent="0.25">
      <c r="A31" s="480" t="s">
        <v>677</v>
      </c>
      <c r="B31" s="480" t="s">
        <v>381</v>
      </c>
      <c r="C31" s="480" t="s">
        <v>622</v>
      </c>
      <c r="D31" s="480" t="s">
        <v>744</v>
      </c>
      <c r="E31" s="480" t="s">
        <v>474</v>
      </c>
      <c r="F31" s="480" t="s">
        <v>1074</v>
      </c>
      <c r="G31" s="481" t="b">
        <v>0</v>
      </c>
      <c r="H31" s="481" t="b">
        <v>0</v>
      </c>
      <c r="I31" s="482">
        <f t="shared" si="0"/>
        <v>46266</v>
      </c>
      <c r="J31" s="581">
        <v>326.22000000000003</v>
      </c>
      <c r="K31" s="582"/>
      <c r="L31" s="582"/>
      <c r="O31" s="591"/>
    </row>
    <row r="32" spans="1:16" x14ac:dyDescent="0.25">
      <c r="A32" s="480" t="s">
        <v>677</v>
      </c>
      <c r="B32" s="480" t="s">
        <v>381</v>
      </c>
      <c r="C32" s="480" t="s">
        <v>622</v>
      </c>
      <c r="D32" s="480" t="s">
        <v>745</v>
      </c>
      <c r="E32" s="480" t="s">
        <v>1079</v>
      </c>
      <c r="F32" s="480" t="s">
        <v>1074</v>
      </c>
      <c r="G32" s="481" t="b">
        <v>0</v>
      </c>
      <c r="H32" s="481" t="b">
        <v>0</v>
      </c>
      <c r="I32" s="482">
        <f t="shared" si="0"/>
        <v>46266</v>
      </c>
      <c r="J32" s="581">
        <v>116650.51</v>
      </c>
      <c r="K32" s="582"/>
      <c r="L32" s="582"/>
      <c r="O32" s="591"/>
    </row>
    <row r="33" spans="1:16" x14ac:dyDescent="0.25">
      <c r="A33" s="480" t="s">
        <v>753</v>
      </c>
      <c r="B33" s="480" t="s">
        <v>1099</v>
      </c>
      <c r="C33" s="480" t="s">
        <v>622</v>
      </c>
      <c r="D33" s="480" t="s">
        <v>755</v>
      </c>
      <c r="E33" s="480" t="s">
        <v>1079</v>
      </c>
      <c r="F33" s="480" t="s">
        <v>1074</v>
      </c>
      <c r="G33" s="481" t="b">
        <v>0</v>
      </c>
      <c r="H33" s="481" t="b">
        <v>0</v>
      </c>
      <c r="I33" s="482">
        <f t="shared" si="0"/>
        <v>46266</v>
      </c>
      <c r="J33" s="581">
        <v>3064.63</v>
      </c>
      <c r="K33" s="582"/>
      <c r="L33" s="582"/>
      <c r="O33" s="591"/>
    </row>
    <row r="34" spans="1:16" x14ac:dyDescent="0.25">
      <c r="A34" s="480" t="s">
        <v>753</v>
      </c>
      <c r="B34" s="480" t="s">
        <v>1100</v>
      </c>
      <c r="C34" s="480" t="s">
        <v>622</v>
      </c>
      <c r="D34" s="480" t="s">
        <v>754</v>
      </c>
      <c r="E34" s="480" t="s">
        <v>474</v>
      </c>
      <c r="F34" s="480" t="s">
        <v>1074</v>
      </c>
      <c r="G34" s="481" t="b">
        <v>0</v>
      </c>
      <c r="H34" s="481" t="b">
        <v>0</v>
      </c>
      <c r="I34" s="482">
        <f t="shared" si="0"/>
        <v>46266</v>
      </c>
      <c r="J34" s="581"/>
      <c r="K34" s="582"/>
      <c r="L34" s="582"/>
      <c r="N34" s="596" t="s">
        <v>71</v>
      </c>
      <c r="O34" s="597">
        <f>O28+O29+O31+O32+O33</f>
        <v>85132.54</v>
      </c>
    </row>
    <row r="35" spans="1:16" x14ac:dyDescent="0.25">
      <c r="A35" s="480" t="s">
        <v>482</v>
      </c>
      <c r="B35" s="480" t="s">
        <v>1101</v>
      </c>
      <c r="C35" s="480" t="s">
        <v>790</v>
      </c>
      <c r="D35" s="480" t="s">
        <v>791</v>
      </c>
      <c r="E35" s="480" t="s">
        <v>474</v>
      </c>
      <c r="F35" s="480" t="s">
        <v>1074</v>
      </c>
      <c r="G35" s="481" t="b">
        <v>0</v>
      </c>
      <c r="H35" s="481" t="b">
        <v>1</v>
      </c>
      <c r="I35" s="482">
        <f t="shared" si="0"/>
        <v>46266</v>
      </c>
      <c r="J35" s="581">
        <v>22754.400000000001</v>
      </c>
      <c r="K35" s="582"/>
      <c r="L35" s="582">
        <f>20000</f>
        <v>20000</v>
      </c>
      <c r="O35" s="591"/>
      <c r="P35" s="598"/>
    </row>
    <row r="36" spans="1:16" x14ac:dyDescent="0.25">
      <c r="A36" s="480" t="s">
        <v>482</v>
      </c>
      <c r="B36" s="480" t="s">
        <v>1101</v>
      </c>
      <c r="C36" s="480" t="s">
        <v>622</v>
      </c>
      <c r="D36" s="480" t="s">
        <v>792</v>
      </c>
      <c r="E36" s="480" t="s">
        <v>1079</v>
      </c>
      <c r="F36" s="480" t="s">
        <v>1074</v>
      </c>
      <c r="G36" s="481" t="b">
        <v>0</v>
      </c>
      <c r="H36" s="481" t="b">
        <v>0</v>
      </c>
      <c r="I36" s="482">
        <f t="shared" si="0"/>
        <v>46266</v>
      </c>
      <c r="J36" s="581"/>
      <c r="K36" s="484"/>
      <c r="L36" s="582"/>
      <c r="O36" s="591"/>
      <c r="P36" s="598"/>
    </row>
    <row r="37" spans="1:16" x14ac:dyDescent="0.25">
      <c r="A37" s="480" t="s">
        <v>482</v>
      </c>
      <c r="B37" s="480" t="s">
        <v>1101</v>
      </c>
      <c r="C37" s="480" t="s">
        <v>622</v>
      </c>
      <c r="D37" s="480"/>
      <c r="E37" s="480" t="s">
        <v>945</v>
      </c>
      <c r="F37" s="480"/>
      <c r="G37" s="481" t="b">
        <v>0</v>
      </c>
      <c r="H37" s="481" t="b">
        <v>0</v>
      </c>
      <c r="I37" s="482">
        <f t="shared" si="0"/>
        <v>46266</v>
      </c>
      <c r="J37" s="581"/>
      <c r="K37" s="582"/>
      <c r="L37" s="582"/>
      <c r="O37" s="591"/>
    </row>
    <row r="38" spans="1:16" x14ac:dyDescent="0.25">
      <c r="A38" s="480" t="s">
        <v>10</v>
      </c>
      <c r="B38" s="480" t="s">
        <v>949</v>
      </c>
      <c r="C38" s="480" t="s">
        <v>622</v>
      </c>
      <c r="D38" s="480" t="s">
        <v>802</v>
      </c>
      <c r="E38" s="480" t="s">
        <v>474</v>
      </c>
      <c r="F38" s="480" t="s">
        <v>1074</v>
      </c>
      <c r="G38" s="481" t="b">
        <v>1</v>
      </c>
      <c r="H38" s="481" t="b">
        <v>0</v>
      </c>
      <c r="I38" s="482">
        <f t="shared" si="0"/>
        <v>46266</v>
      </c>
      <c r="J38" s="581">
        <v>72880.69</v>
      </c>
      <c r="K38" s="582"/>
      <c r="L38" s="582"/>
      <c r="O38" s="599">
        <f>O23+O34</f>
        <v>-1362379.2100000002</v>
      </c>
    </row>
    <row r="39" spans="1:16" x14ac:dyDescent="0.25">
      <c r="A39" s="480" t="s">
        <v>10</v>
      </c>
      <c r="B39" s="480" t="s">
        <v>949</v>
      </c>
      <c r="C39" s="480" t="s">
        <v>622</v>
      </c>
      <c r="D39" s="480" t="s">
        <v>803</v>
      </c>
      <c r="E39" s="480" t="s">
        <v>1079</v>
      </c>
      <c r="F39" s="480" t="s">
        <v>1074</v>
      </c>
      <c r="G39" s="481" t="b">
        <v>0</v>
      </c>
      <c r="H39" s="481" t="b">
        <v>0</v>
      </c>
      <c r="I39" s="482">
        <f t="shared" si="0"/>
        <v>46266</v>
      </c>
      <c r="J39" s="581">
        <v>67145.61</v>
      </c>
      <c r="K39" s="582"/>
      <c r="L39" s="582">
        <v>3697</v>
      </c>
      <c r="O39" s="591"/>
    </row>
    <row r="40" spans="1:16" x14ac:dyDescent="0.25">
      <c r="A40" s="480" t="s">
        <v>10</v>
      </c>
      <c r="B40" s="480" t="s">
        <v>949</v>
      </c>
      <c r="C40" s="480" t="s">
        <v>622</v>
      </c>
      <c r="D40" s="480" t="s">
        <v>1102</v>
      </c>
      <c r="E40" s="480" t="s">
        <v>474</v>
      </c>
      <c r="F40" s="480" t="s">
        <v>1074</v>
      </c>
      <c r="G40" s="481" t="b">
        <v>0</v>
      </c>
      <c r="H40" s="481" t="b">
        <v>1</v>
      </c>
      <c r="I40" s="482">
        <f t="shared" si="0"/>
        <v>46266</v>
      </c>
      <c r="J40" s="581">
        <v>6520.98</v>
      </c>
      <c r="K40" s="582"/>
      <c r="L40" s="582"/>
      <c r="O40" s="591"/>
    </row>
    <row r="41" spans="1:16" x14ac:dyDescent="0.25">
      <c r="A41" s="480" t="s">
        <v>793</v>
      </c>
      <c r="B41" s="480" t="s">
        <v>958</v>
      </c>
      <c r="C41" s="480" t="s">
        <v>622</v>
      </c>
      <c r="D41" s="480" t="s">
        <v>794</v>
      </c>
      <c r="E41" s="480" t="s">
        <v>474</v>
      </c>
      <c r="F41" s="480" t="s">
        <v>1074</v>
      </c>
      <c r="G41" s="481" t="b">
        <v>0</v>
      </c>
      <c r="H41" s="481" t="b">
        <v>0</v>
      </c>
      <c r="I41" s="482">
        <f t="shared" si="0"/>
        <v>46266</v>
      </c>
      <c r="J41" s="581">
        <v>8897.24</v>
      </c>
      <c r="K41" s="495"/>
      <c r="L41" s="495"/>
    </row>
    <row r="42" spans="1:16" s="600" customFormat="1" x14ac:dyDescent="0.25">
      <c r="A42" s="480" t="s">
        <v>730</v>
      </c>
      <c r="B42" s="480" t="s">
        <v>1103</v>
      </c>
      <c r="C42" s="480" t="s">
        <v>622</v>
      </c>
      <c r="D42" s="480" t="s">
        <v>731</v>
      </c>
      <c r="E42" s="480" t="s">
        <v>1079</v>
      </c>
      <c r="F42" s="480" t="s">
        <v>1074</v>
      </c>
      <c r="G42" s="481" t="b">
        <v>0</v>
      </c>
      <c r="H42" s="481" t="b">
        <v>1</v>
      </c>
      <c r="I42" s="482">
        <f t="shared" si="0"/>
        <v>46266</v>
      </c>
      <c r="J42" s="581">
        <v>0</v>
      </c>
      <c r="K42" s="582"/>
      <c r="L42" s="582"/>
    </row>
    <row r="43" spans="1:16" x14ac:dyDescent="0.25">
      <c r="A43" s="480" t="s">
        <v>11</v>
      </c>
      <c r="B43" s="480" t="s">
        <v>946</v>
      </c>
      <c r="C43" s="480" t="s">
        <v>622</v>
      </c>
      <c r="D43" s="480" t="s">
        <v>759</v>
      </c>
      <c r="E43" s="480" t="s">
        <v>22</v>
      </c>
      <c r="F43" s="480" t="s">
        <v>1074</v>
      </c>
      <c r="G43" s="481" t="b">
        <v>0</v>
      </c>
      <c r="H43" s="481" t="b">
        <v>0</v>
      </c>
      <c r="I43" s="482">
        <f t="shared" si="0"/>
        <v>46266</v>
      </c>
      <c r="J43" s="581">
        <v>159748.87</v>
      </c>
      <c r="K43" s="495"/>
      <c r="L43" s="495"/>
    </row>
    <row r="44" spans="1:16" x14ac:dyDescent="0.25">
      <c r="A44" s="480" t="s">
        <v>11</v>
      </c>
      <c r="B44" s="480" t="s">
        <v>946</v>
      </c>
      <c r="C44" s="480" t="s">
        <v>622</v>
      </c>
      <c r="D44" s="480" t="s">
        <v>760</v>
      </c>
      <c r="E44" s="480" t="s">
        <v>22</v>
      </c>
      <c r="F44" s="480" t="s">
        <v>1104</v>
      </c>
      <c r="G44" s="481" t="b">
        <v>0</v>
      </c>
      <c r="H44" s="481" t="b">
        <v>1</v>
      </c>
      <c r="I44" s="482">
        <f t="shared" si="0"/>
        <v>46266</v>
      </c>
      <c r="J44" s="581">
        <v>-9465921.4600000009</v>
      </c>
      <c r="K44" s="582"/>
      <c r="L44" s="582"/>
    </row>
    <row r="45" spans="1:16" x14ac:dyDescent="0.25">
      <c r="A45" s="480" t="s">
        <v>11</v>
      </c>
      <c r="B45" s="480" t="s">
        <v>946</v>
      </c>
      <c r="C45" s="480" t="s">
        <v>761</v>
      </c>
      <c r="D45" s="480" t="s">
        <v>762</v>
      </c>
      <c r="E45" s="480" t="s">
        <v>474</v>
      </c>
      <c r="F45" s="480" t="s">
        <v>1074</v>
      </c>
      <c r="G45" s="481" t="b">
        <v>0</v>
      </c>
      <c r="H45" s="481" t="b">
        <v>0</v>
      </c>
      <c r="I45" s="482">
        <f t="shared" si="0"/>
        <v>46266</v>
      </c>
      <c r="J45" s="581">
        <v>297772.98</v>
      </c>
      <c r="K45" s="582"/>
      <c r="L45" s="582"/>
    </row>
    <row r="46" spans="1:16" s="600" customFormat="1" x14ac:dyDescent="0.25">
      <c r="A46" s="480" t="s">
        <v>11</v>
      </c>
      <c r="B46" s="480" t="s">
        <v>946</v>
      </c>
      <c r="C46" s="480" t="s">
        <v>622</v>
      </c>
      <c r="D46" s="480" t="s">
        <v>763</v>
      </c>
      <c r="E46" s="480" t="s">
        <v>1079</v>
      </c>
      <c r="F46" s="480" t="s">
        <v>1074</v>
      </c>
      <c r="G46" s="481" t="b">
        <v>0</v>
      </c>
      <c r="H46" s="481" t="b">
        <v>0</v>
      </c>
      <c r="I46" s="482">
        <f t="shared" si="0"/>
        <v>46266</v>
      </c>
      <c r="J46" s="581">
        <v>521.1</v>
      </c>
      <c r="K46" s="582"/>
      <c r="L46" s="582"/>
    </row>
    <row r="47" spans="1:16" x14ac:dyDescent="0.25">
      <c r="A47" s="480" t="s">
        <v>1105</v>
      </c>
      <c r="B47" s="480" t="s">
        <v>1106</v>
      </c>
      <c r="C47" s="480" t="s">
        <v>622</v>
      </c>
      <c r="D47" s="480" t="s">
        <v>796</v>
      </c>
      <c r="E47" s="480" t="s">
        <v>1079</v>
      </c>
      <c r="F47" s="480" t="s">
        <v>1074</v>
      </c>
      <c r="G47" s="481" t="b">
        <v>0</v>
      </c>
      <c r="H47" s="481" t="b">
        <v>1</v>
      </c>
      <c r="I47" s="482">
        <f t="shared" si="0"/>
        <v>46266</v>
      </c>
      <c r="J47" s="581">
        <v>307398.67</v>
      </c>
      <c r="K47" s="582"/>
      <c r="L47" s="582"/>
    </row>
    <row r="48" spans="1:16" x14ac:dyDescent="0.25">
      <c r="A48" s="480" t="s">
        <v>1105</v>
      </c>
      <c r="B48" s="480" t="s">
        <v>1107</v>
      </c>
      <c r="C48" s="480" t="s">
        <v>622</v>
      </c>
      <c r="D48" s="480" t="s">
        <v>764</v>
      </c>
      <c r="E48" s="480" t="s">
        <v>1079</v>
      </c>
      <c r="F48" s="480" t="s">
        <v>1074</v>
      </c>
      <c r="G48" s="481" t="b">
        <v>0</v>
      </c>
      <c r="H48" s="481" t="b">
        <v>1</v>
      </c>
      <c r="I48" s="482">
        <f t="shared" si="0"/>
        <v>46266</v>
      </c>
      <c r="J48" s="581">
        <v>112837.32</v>
      </c>
      <c r="K48" s="582"/>
      <c r="L48" s="582"/>
    </row>
    <row r="49" spans="1:12" x14ac:dyDescent="0.25">
      <c r="A49" s="480" t="s">
        <v>465</v>
      </c>
      <c r="B49" s="480" t="s">
        <v>1108</v>
      </c>
      <c r="C49" s="480" t="s">
        <v>622</v>
      </c>
      <c r="D49" s="480" t="s">
        <v>765</v>
      </c>
      <c r="E49" s="480" t="s">
        <v>474</v>
      </c>
      <c r="F49" s="480" t="s">
        <v>1074</v>
      </c>
      <c r="G49" s="481" t="b">
        <v>0</v>
      </c>
      <c r="H49" s="481" t="b">
        <v>0</v>
      </c>
      <c r="I49" s="482">
        <f t="shared" si="0"/>
        <v>46266</v>
      </c>
      <c r="J49" s="581">
        <v>13481.19</v>
      </c>
      <c r="K49" s="582"/>
      <c r="L49" s="582"/>
    </row>
    <row r="50" spans="1:12" x14ac:dyDescent="0.25">
      <c r="A50" s="480" t="s">
        <v>465</v>
      </c>
      <c r="B50" s="480" t="s">
        <v>1108</v>
      </c>
      <c r="C50" s="480" t="s">
        <v>622</v>
      </c>
      <c r="D50" s="480" t="s">
        <v>766</v>
      </c>
      <c r="E50" s="480" t="s">
        <v>1079</v>
      </c>
      <c r="F50" s="480" t="s">
        <v>1074</v>
      </c>
      <c r="G50" s="481" t="b">
        <v>0</v>
      </c>
      <c r="H50" s="481" t="b">
        <v>0</v>
      </c>
      <c r="I50" s="482">
        <f t="shared" si="0"/>
        <v>46266</v>
      </c>
      <c r="J50" s="581">
        <v>7853.65</v>
      </c>
      <c r="K50" s="582"/>
      <c r="L50" s="582"/>
    </row>
    <row r="51" spans="1:12" x14ac:dyDescent="0.25">
      <c r="A51" s="480" t="s">
        <v>678</v>
      </c>
      <c r="B51" s="480" t="s">
        <v>954</v>
      </c>
      <c r="C51" s="480" t="s">
        <v>622</v>
      </c>
      <c r="D51" s="480" t="s">
        <v>751</v>
      </c>
      <c r="E51" s="480" t="s">
        <v>474</v>
      </c>
      <c r="F51" s="480" t="s">
        <v>1074</v>
      </c>
      <c r="G51" s="481" t="b">
        <v>0</v>
      </c>
      <c r="H51" s="481" t="b">
        <v>0</v>
      </c>
      <c r="I51" s="482">
        <f t="shared" si="0"/>
        <v>46266</v>
      </c>
      <c r="J51" s="581">
        <v>0.02</v>
      </c>
      <c r="K51" s="582"/>
      <c r="L51" s="582"/>
    </row>
    <row r="52" spans="1:12" x14ac:dyDescent="0.25">
      <c r="A52" s="480" t="s">
        <v>678</v>
      </c>
      <c r="B52" s="480" t="s">
        <v>954</v>
      </c>
      <c r="C52" s="480" t="s">
        <v>622</v>
      </c>
      <c r="D52" s="480" t="s">
        <v>752</v>
      </c>
      <c r="E52" s="480" t="s">
        <v>1079</v>
      </c>
      <c r="F52" s="480" t="s">
        <v>1074</v>
      </c>
      <c r="G52" s="481" t="b">
        <v>0</v>
      </c>
      <c r="H52" s="481" t="b">
        <v>0</v>
      </c>
      <c r="I52" s="482">
        <f t="shared" si="0"/>
        <v>46266</v>
      </c>
      <c r="J52" s="581">
        <v>18755.16</v>
      </c>
      <c r="K52" s="582"/>
      <c r="L52" s="582"/>
    </row>
    <row r="53" spans="1:12" x14ac:dyDescent="0.25">
      <c r="A53" s="480" t="s">
        <v>12</v>
      </c>
      <c r="B53" s="480" t="s">
        <v>1109</v>
      </c>
      <c r="C53" s="480" t="s">
        <v>767</v>
      </c>
      <c r="D53" s="480" t="s">
        <v>768</v>
      </c>
      <c r="E53" s="480" t="s">
        <v>474</v>
      </c>
      <c r="F53" s="480" t="s">
        <v>1074</v>
      </c>
      <c r="G53" s="481" t="b">
        <v>1</v>
      </c>
      <c r="H53" s="481" t="b">
        <v>0</v>
      </c>
      <c r="I53" s="482">
        <f t="shared" si="0"/>
        <v>46266</v>
      </c>
      <c r="J53" s="581">
        <v>48352.67</v>
      </c>
      <c r="K53" s="582"/>
      <c r="L53" s="582"/>
    </row>
    <row r="54" spans="1:12" x14ac:dyDescent="0.25">
      <c r="A54" s="480" t="s">
        <v>12</v>
      </c>
      <c r="B54" s="480" t="s">
        <v>1109</v>
      </c>
      <c r="C54" s="480" t="s">
        <v>622</v>
      </c>
      <c r="D54" s="480" t="s">
        <v>769</v>
      </c>
      <c r="E54" s="480" t="s">
        <v>1079</v>
      </c>
      <c r="F54" s="480" t="s">
        <v>1074</v>
      </c>
      <c r="G54" s="481" t="b">
        <v>0</v>
      </c>
      <c r="H54" s="481" t="b">
        <v>0</v>
      </c>
      <c r="I54" s="482">
        <f t="shared" si="0"/>
        <v>46266</v>
      </c>
      <c r="J54" s="581">
        <v>839.43</v>
      </c>
      <c r="K54" s="582"/>
      <c r="L54" s="582">
        <v>17600</v>
      </c>
    </row>
    <row r="55" spans="1:12" x14ac:dyDescent="0.25">
      <c r="A55" s="480" t="s">
        <v>12</v>
      </c>
      <c r="B55" s="480" t="s">
        <v>1109</v>
      </c>
      <c r="C55" s="480" t="s">
        <v>622</v>
      </c>
      <c r="D55" s="480" t="s">
        <v>1110</v>
      </c>
      <c r="E55" s="480" t="s">
        <v>1111</v>
      </c>
      <c r="F55" s="480" t="s">
        <v>1074</v>
      </c>
      <c r="G55" s="481" t="b">
        <v>0</v>
      </c>
      <c r="H55" s="481" t="b">
        <v>1</v>
      </c>
      <c r="I55" s="482">
        <f t="shared" si="0"/>
        <v>46266</v>
      </c>
      <c r="J55" s="581">
        <v>172313.37</v>
      </c>
      <c r="K55" s="582"/>
      <c r="L55" s="582"/>
    </row>
    <row r="56" spans="1:12" x14ac:dyDescent="0.25">
      <c r="A56" s="480" t="s">
        <v>13</v>
      </c>
      <c r="B56" s="480" t="s">
        <v>1112</v>
      </c>
      <c r="C56" s="480" t="s">
        <v>622</v>
      </c>
      <c r="D56" s="480" t="s">
        <v>757</v>
      </c>
      <c r="E56" s="480" t="s">
        <v>474</v>
      </c>
      <c r="F56" s="480" t="s">
        <v>1074</v>
      </c>
      <c r="G56" s="481" t="b">
        <v>0</v>
      </c>
      <c r="H56" s="481" t="b">
        <v>0</v>
      </c>
      <c r="I56" s="482">
        <f t="shared" si="0"/>
        <v>46266</v>
      </c>
      <c r="J56" s="581">
        <v>54144.78</v>
      </c>
      <c r="K56" s="582"/>
      <c r="L56" s="582"/>
    </row>
    <row r="57" spans="1:12" x14ac:dyDescent="0.25">
      <c r="A57" s="480" t="s">
        <v>13</v>
      </c>
      <c r="B57" s="480" t="s">
        <v>1112</v>
      </c>
      <c r="C57" s="480" t="s">
        <v>622</v>
      </c>
      <c r="D57" s="480" t="s">
        <v>758</v>
      </c>
      <c r="E57" s="480" t="s">
        <v>1079</v>
      </c>
      <c r="F57" s="480" t="s">
        <v>1074</v>
      </c>
      <c r="G57" s="481" t="b">
        <v>0</v>
      </c>
      <c r="H57" s="481" t="b">
        <v>0</v>
      </c>
      <c r="I57" s="482">
        <f t="shared" si="0"/>
        <v>46266</v>
      </c>
      <c r="J57" s="581">
        <v>125184.82</v>
      </c>
      <c r="K57" s="582"/>
      <c r="L57" s="582"/>
    </row>
    <row r="58" spans="1:12" x14ac:dyDescent="0.25">
      <c r="A58" s="480" t="s">
        <v>804</v>
      </c>
      <c r="B58" s="480" t="s">
        <v>950</v>
      </c>
      <c r="C58" s="480" t="s">
        <v>622</v>
      </c>
      <c r="D58" s="480" t="s">
        <v>805</v>
      </c>
      <c r="E58" s="480" t="s">
        <v>1079</v>
      </c>
      <c r="F58" s="480" t="s">
        <v>1074</v>
      </c>
      <c r="G58" s="481" t="b">
        <v>0</v>
      </c>
      <c r="H58" s="481" t="b">
        <v>0</v>
      </c>
      <c r="I58" s="482">
        <f t="shared" si="0"/>
        <v>46266</v>
      </c>
      <c r="J58" s="581">
        <v>15439.38</v>
      </c>
      <c r="K58" s="582"/>
      <c r="L58" s="582"/>
    </row>
    <row r="59" spans="1:12" x14ac:dyDescent="0.25">
      <c r="A59" s="480" t="s">
        <v>804</v>
      </c>
      <c r="B59" s="480" t="s">
        <v>950</v>
      </c>
      <c r="C59" s="480" t="s">
        <v>622</v>
      </c>
      <c r="D59" s="480" t="s">
        <v>808</v>
      </c>
      <c r="E59" s="480" t="s">
        <v>474</v>
      </c>
      <c r="F59" s="480" t="s">
        <v>1074</v>
      </c>
      <c r="G59" s="481" t="b">
        <v>0</v>
      </c>
      <c r="H59" s="481" t="b">
        <v>0</v>
      </c>
      <c r="I59" s="482">
        <f t="shared" si="0"/>
        <v>46266</v>
      </c>
      <c r="J59" s="581">
        <v>0</v>
      </c>
      <c r="K59" s="582"/>
      <c r="L59" s="582"/>
    </row>
    <row r="60" spans="1:12" x14ac:dyDescent="0.25">
      <c r="A60" s="480" t="s">
        <v>729</v>
      </c>
      <c r="B60" s="480" t="s">
        <v>953</v>
      </c>
      <c r="C60" s="480" t="s">
        <v>622</v>
      </c>
      <c r="D60" s="480" t="s">
        <v>801</v>
      </c>
      <c r="E60" s="480" t="s">
        <v>1079</v>
      </c>
      <c r="F60" s="480" t="s">
        <v>1074</v>
      </c>
      <c r="G60" s="481" t="b">
        <v>0</v>
      </c>
      <c r="H60" s="481" t="b">
        <v>0</v>
      </c>
      <c r="I60" s="482">
        <f t="shared" si="0"/>
        <v>46266</v>
      </c>
      <c r="J60" s="581">
        <v>54552.9</v>
      </c>
      <c r="K60" s="582"/>
      <c r="L60" s="582">
        <v>1600</v>
      </c>
    </row>
    <row r="61" spans="1:12" x14ac:dyDescent="0.25">
      <c r="A61" s="480" t="s">
        <v>729</v>
      </c>
      <c r="B61" s="480" t="s">
        <v>953</v>
      </c>
      <c r="C61" s="480" t="s">
        <v>622</v>
      </c>
      <c r="D61" s="480"/>
      <c r="E61" s="480" t="s">
        <v>944</v>
      </c>
      <c r="F61" s="480"/>
      <c r="G61" s="481" t="b">
        <v>0</v>
      </c>
      <c r="H61" s="481" t="b">
        <v>0</v>
      </c>
      <c r="I61" s="482">
        <f t="shared" si="0"/>
        <v>46266</v>
      </c>
      <c r="J61" s="581">
        <v>69387.320000000007</v>
      </c>
      <c r="K61" s="582"/>
      <c r="L61" s="582"/>
    </row>
    <row r="62" spans="1:12" x14ac:dyDescent="0.25">
      <c r="A62" s="480" t="s">
        <v>729</v>
      </c>
      <c r="B62" s="480" t="s">
        <v>953</v>
      </c>
      <c r="C62" s="480" t="s">
        <v>622</v>
      </c>
      <c r="D62" s="480" t="s">
        <v>807</v>
      </c>
      <c r="E62" s="480" t="s">
        <v>474</v>
      </c>
      <c r="F62" s="480" t="s">
        <v>1074</v>
      </c>
      <c r="G62" s="481" t="b">
        <v>0</v>
      </c>
      <c r="H62" s="481" t="b">
        <v>0</v>
      </c>
      <c r="I62" s="482">
        <f t="shared" si="0"/>
        <v>46266</v>
      </c>
      <c r="J62" s="581">
        <v>0</v>
      </c>
      <c r="K62" s="582"/>
      <c r="L62" s="582"/>
    </row>
    <row r="63" spans="1:12" x14ac:dyDescent="0.25">
      <c r="A63" s="480" t="s">
        <v>1032</v>
      </c>
      <c r="B63" s="480" t="s">
        <v>1115</v>
      </c>
      <c r="C63" s="480" t="s">
        <v>622</v>
      </c>
      <c r="D63" s="480" t="s">
        <v>1116</v>
      </c>
      <c r="E63" s="480" t="s">
        <v>474</v>
      </c>
      <c r="F63" s="480" t="s">
        <v>1074</v>
      </c>
      <c r="G63" s="481" t="b">
        <v>0</v>
      </c>
      <c r="H63" s="481" t="b">
        <v>0</v>
      </c>
      <c r="I63" s="482">
        <f t="shared" si="0"/>
        <v>46266</v>
      </c>
      <c r="J63" s="581">
        <v>0</v>
      </c>
      <c r="K63" s="582"/>
      <c r="L63" s="582"/>
    </row>
    <row r="64" spans="1:12" x14ac:dyDescent="0.25">
      <c r="A64" s="480" t="s">
        <v>1113</v>
      </c>
      <c r="B64" s="480" t="s">
        <v>1114</v>
      </c>
      <c r="C64" s="480" t="s">
        <v>622</v>
      </c>
      <c r="D64" s="480"/>
      <c r="E64" s="480" t="s">
        <v>483</v>
      </c>
      <c r="F64" s="480" t="s">
        <v>1074</v>
      </c>
      <c r="G64" s="481" t="b">
        <v>0</v>
      </c>
      <c r="H64" s="481" t="b">
        <v>1</v>
      </c>
      <c r="I64" s="482">
        <f t="shared" si="0"/>
        <v>46266</v>
      </c>
      <c r="J64" s="581">
        <v>713296.46</v>
      </c>
      <c r="K64" s="582"/>
      <c r="L64" s="582"/>
    </row>
    <row r="65" spans="1:12" x14ac:dyDescent="0.25">
      <c r="A65" s="480" t="s">
        <v>956</v>
      </c>
      <c r="B65" s="480" t="s">
        <v>956</v>
      </c>
      <c r="C65" s="480" t="s">
        <v>622</v>
      </c>
      <c r="D65" s="480" t="s">
        <v>1117</v>
      </c>
      <c r="E65" s="480" t="s">
        <v>474</v>
      </c>
      <c r="F65" s="480" t="s">
        <v>1074</v>
      </c>
      <c r="G65" s="481" t="b">
        <v>0</v>
      </c>
      <c r="H65" s="481" t="b">
        <v>1</v>
      </c>
      <c r="I65" s="482">
        <f t="shared" si="0"/>
        <v>46266</v>
      </c>
      <c r="J65" s="581">
        <v>-39708.01</v>
      </c>
      <c r="K65" s="581"/>
      <c r="L65" s="499">
        <f>40000+cx_01_09_26[[#This Row],[saldo]]</f>
        <v>291.98999999999796</v>
      </c>
    </row>
    <row r="67" spans="1:12" x14ac:dyDescent="0.25">
      <c r="A67" s="578" t="s">
        <v>1022</v>
      </c>
      <c r="B67" s="578" t="s">
        <v>1024</v>
      </c>
      <c r="C67" s="578" t="s">
        <v>441</v>
      </c>
      <c r="D67" s="578" t="s">
        <v>33</v>
      </c>
    </row>
    <row r="68" spans="1:12" x14ac:dyDescent="0.25">
      <c r="A68" s="578">
        <v>1</v>
      </c>
      <c r="B68" s="601">
        <v>46266</v>
      </c>
      <c r="C68" s="583">
        <f>SUMIFS(cx_01_09_26[saldo],
  cx_01_09_26[soVisualizacao], FALSE,
  cx_01_09_26[empresa], D68)</f>
        <v>44512.930000000008</v>
      </c>
      <c r="D68" s="578" t="str" cm="1">
        <f t="array" ref="D68:D96">_xlfn._xlws.SORT(_xlfn.UNIQUE(cx_01_09_26[empresa]))</f>
        <v>AMP</v>
      </c>
    </row>
    <row r="69" spans="1:12" x14ac:dyDescent="0.25">
      <c r="A69" s="578">
        <v>2</v>
      </c>
      <c r="B69" s="601">
        <v>46266</v>
      </c>
      <c r="C69" s="583">
        <f>SUMIFS(cx_01_09_26[saldo],
  cx_01_09_26[soVisualizacao], FALSE,
  cx_01_09_26[empresa], D69)</f>
        <v>899.26</v>
      </c>
      <c r="D69" s="578" t="str">
        <v>AVR</v>
      </c>
    </row>
    <row r="70" spans="1:12" x14ac:dyDescent="0.25">
      <c r="A70" s="578">
        <v>3</v>
      </c>
      <c r="B70" s="601">
        <v>46266</v>
      </c>
      <c r="C70" s="583">
        <f>SUMIFS(cx_01_09_26[saldo],
  cx_01_09_26[soVisualizacao], FALSE,
  cx_01_09_26[empresa], D70)</f>
        <v>13357.119999999999</v>
      </c>
      <c r="D70" s="578" t="str">
        <v>AVS</v>
      </c>
    </row>
    <row r="71" spans="1:12" x14ac:dyDescent="0.25">
      <c r="A71" s="578">
        <v>4</v>
      </c>
      <c r="B71" s="601">
        <v>46266</v>
      </c>
      <c r="C71" s="583">
        <f>SUMIFS(cx_01_09_26[saldo],
  cx_01_09_26[soVisualizacao], FALSE,
  cx_01_09_26[empresa], D71)</f>
        <v>9387.6299999999992</v>
      </c>
      <c r="D71" s="578" t="str">
        <v>BUT</v>
      </c>
    </row>
    <row r="72" spans="1:12" x14ac:dyDescent="0.25">
      <c r="A72" s="578">
        <v>5</v>
      </c>
      <c r="B72" s="601">
        <v>46266</v>
      </c>
      <c r="C72" s="583">
        <f>SUMIFS(cx_01_09_26[saldo],
  cx_01_09_26[soVisualizacao], FALSE,
  cx_01_09_26[empresa], D72)</f>
        <v>127863.48000000001</v>
      </c>
      <c r="D72" s="578" t="str">
        <v>CBL</v>
      </c>
    </row>
    <row r="73" spans="1:12" x14ac:dyDescent="0.25">
      <c r="A73" s="578">
        <v>6</v>
      </c>
      <c r="B73" s="601">
        <v>46266</v>
      </c>
      <c r="C73" s="583">
        <f>SUMIFS(cx_01_09_26[saldo],
  cx_01_09_26[soVisualizacao], FALSE,
  cx_01_09_26[empresa], D73)</f>
        <v>0</v>
      </c>
      <c r="D73" s="578" t="str">
        <v>CHR</v>
      </c>
    </row>
    <row r="74" spans="1:12" x14ac:dyDescent="0.25">
      <c r="A74" s="578">
        <v>7</v>
      </c>
      <c r="B74" s="601">
        <v>46266</v>
      </c>
      <c r="C74" s="583">
        <f>SUMIFS(cx_01_09_26[saldo],
  cx_01_09_26[soVisualizacao], FALSE,
  cx_01_09_26[empresa], D74)</f>
        <v>17821.34</v>
      </c>
      <c r="D74" s="578" t="str">
        <v>CPE</v>
      </c>
    </row>
    <row r="75" spans="1:12" x14ac:dyDescent="0.25">
      <c r="A75" s="578">
        <v>8</v>
      </c>
      <c r="B75" s="601">
        <v>46266</v>
      </c>
      <c r="C75" s="583">
        <f>SUMIFS(cx_01_09_26[saldo],
  cx_01_09_26[soVisualizacao], FALSE,
  cx_01_09_26[empresa], D75)</f>
        <v>3427.4</v>
      </c>
      <c r="D75" s="578" t="str">
        <v>CXG</v>
      </c>
    </row>
    <row r="76" spans="1:12" x14ac:dyDescent="0.25">
      <c r="A76" s="578">
        <v>9</v>
      </c>
      <c r="B76" s="601">
        <v>46266</v>
      </c>
      <c r="C76" s="583">
        <f>SUMIFS(cx_01_09_26[saldo],
  cx_01_09_26[soVisualizacao], FALSE,
  cx_01_09_26[empresa], D76)</f>
        <v>4121.74</v>
      </c>
      <c r="D76" s="578" t="str">
        <v>DPF</v>
      </c>
    </row>
    <row r="77" spans="1:12" x14ac:dyDescent="0.25">
      <c r="A77" s="578">
        <v>10</v>
      </c>
      <c r="B77" s="601">
        <v>46266</v>
      </c>
      <c r="C77" s="583">
        <f>SUMIFS(cx_01_09_26[saldo],
  cx_01_09_26[soVisualizacao], FALSE,
  cx_01_09_26[empresa], D77)</f>
        <v>-18600.559999999998</v>
      </c>
      <c r="D77" s="578" t="str">
        <v>ENC</v>
      </c>
    </row>
    <row r="78" spans="1:12" x14ac:dyDescent="0.25">
      <c r="A78" s="578">
        <v>11</v>
      </c>
      <c r="B78" s="601">
        <v>46266</v>
      </c>
      <c r="C78" s="583">
        <f>SUMIFS(cx_01_09_26[saldo],
  cx_01_09_26[soVisualizacao], FALSE,
  cx_01_09_26[empresa], D78)</f>
        <v>66884.06</v>
      </c>
      <c r="D78" s="578" t="str">
        <v>GRA</v>
      </c>
    </row>
    <row r="79" spans="1:12" x14ac:dyDescent="0.25">
      <c r="A79" s="578">
        <v>12</v>
      </c>
      <c r="B79" s="601">
        <v>46266</v>
      </c>
      <c r="C79" s="583">
        <f>SUMIFS(cx_01_09_26[saldo],
  cx_01_09_26[soVisualizacao], FALSE,
  cx_01_09_26[empresa], D79)</f>
        <v>632814.68000000005</v>
      </c>
      <c r="D79" s="578" t="str">
        <v>INC</v>
      </c>
    </row>
    <row r="80" spans="1:12" x14ac:dyDescent="0.25">
      <c r="A80" s="578">
        <v>13</v>
      </c>
      <c r="B80" s="601">
        <v>46266</v>
      </c>
      <c r="C80" s="583">
        <f>SUMIFS(cx_01_09_26[saldo],
  cx_01_09_26[soVisualizacao], FALSE,
  cx_01_09_26[empresa], D80)</f>
        <v>116976.73</v>
      </c>
      <c r="D80" s="578" t="str">
        <v>JRP</v>
      </c>
    </row>
    <row r="81" spans="1:4" x14ac:dyDescent="0.25">
      <c r="A81" s="578">
        <v>14</v>
      </c>
      <c r="B81" s="601">
        <v>46266</v>
      </c>
      <c r="C81" s="583">
        <f>SUMIFS(cx_01_09_26[saldo],
  cx_01_09_26[soVisualizacao], FALSE,
  cx_01_09_26[empresa], D81)</f>
        <v>3064.63</v>
      </c>
      <c r="D81" s="578" t="str">
        <v>JSP</v>
      </c>
    </row>
    <row r="82" spans="1:4" x14ac:dyDescent="0.25">
      <c r="A82" s="578">
        <v>15</v>
      </c>
      <c r="B82" s="601">
        <v>46266</v>
      </c>
      <c r="C82" s="583">
        <f>SUMIFS(cx_01_09_26[saldo],
  cx_01_09_26[soVisualizacao], FALSE,
  cx_01_09_26[empresa], D82)</f>
        <v>0</v>
      </c>
      <c r="D82" s="578" t="str">
        <v>LCG</v>
      </c>
    </row>
    <row r="83" spans="1:4" x14ac:dyDescent="0.25">
      <c r="A83" s="578">
        <v>16</v>
      </c>
      <c r="B83" s="601">
        <v>46266</v>
      </c>
      <c r="C83" s="583">
        <f>SUMIFS(cx_01_09_26[saldo],
  cx_01_09_26[soVisualizacao], FALSE,
  cx_01_09_26[empresa], D83)</f>
        <v>140026.29999999999</v>
      </c>
      <c r="D83" s="578" t="str">
        <v>LUC</v>
      </c>
    </row>
    <row r="84" spans="1:4" x14ac:dyDescent="0.25">
      <c r="A84" s="578">
        <v>17</v>
      </c>
      <c r="B84" s="601">
        <v>46266</v>
      </c>
      <c r="C84" s="583">
        <f>SUMIFS(cx_01_09_26[saldo],
  cx_01_09_26[soVisualizacao], FALSE,
  cx_01_09_26[empresa], D84)</f>
        <v>8897.24</v>
      </c>
      <c r="D84" s="578" t="str">
        <v>LUG</v>
      </c>
    </row>
    <row r="85" spans="1:4" x14ac:dyDescent="0.25">
      <c r="A85" s="578">
        <v>18</v>
      </c>
      <c r="B85" s="601">
        <v>46266</v>
      </c>
      <c r="C85" s="583">
        <f>SUMIFS(cx_01_09_26[saldo],
  cx_01_09_26[soVisualizacao], FALSE,
  cx_01_09_26[empresa], D85)</f>
        <v>0</v>
      </c>
      <c r="D85" s="578" t="str">
        <v>PDI</v>
      </c>
    </row>
    <row r="86" spans="1:4" x14ac:dyDescent="0.25">
      <c r="A86" s="578">
        <v>19</v>
      </c>
      <c r="B86" s="601">
        <v>46266</v>
      </c>
      <c r="C86" s="583">
        <f>SUMIFS(cx_01_09_26[saldo],
  cx_01_09_26[soVisualizacao], FALSE,
  cx_01_09_26[empresa], D86)</f>
        <v>458042.94999999995</v>
      </c>
      <c r="D86" s="578" t="str">
        <v>POM</v>
      </c>
    </row>
    <row r="87" spans="1:4" x14ac:dyDescent="0.25">
      <c r="A87" s="578">
        <v>20</v>
      </c>
      <c r="B87" s="601">
        <v>46266</v>
      </c>
      <c r="C87" s="583">
        <f>SUMIFS(cx_01_09_26[saldo],
  cx_01_09_26[soVisualizacao], FALSE,
  cx_01_09_26[empresa], D87)</f>
        <v>0</v>
      </c>
      <c r="D87" s="578" t="str">
        <v>PRO</v>
      </c>
    </row>
    <row r="88" spans="1:4" x14ac:dyDescent="0.25">
      <c r="A88" s="578">
        <v>21</v>
      </c>
      <c r="B88" s="601">
        <v>46266</v>
      </c>
      <c r="C88" s="583">
        <f>SUMIFS(cx_01_09_26[saldo],
  cx_01_09_26[soVisualizacao], FALSE,
  cx_01_09_26[empresa], D88)</f>
        <v>21334.84</v>
      </c>
      <c r="D88" s="578" t="str">
        <v>SAU</v>
      </c>
    </row>
    <row r="89" spans="1:4" x14ac:dyDescent="0.25">
      <c r="A89" s="578">
        <v>22</v>
      </c>
      <c r="B89" s="601">
        <v>46266</v>
      </c>
      <c r="C89" s="583">
        <f>SUMIFS(cx_01_09_26[saldo],
  cx_01_09_26[soVisualizacao], FALSE,
  cx_01_09_26[empresa], D89)</f>
        <v>18755.18</v>
      </c>
      <c r="D89" s="578" t="str">
        <v>SBB</v>
      </c>
    </row>
    <row r="90" spans="1:4" x14ac:dyDescent="0.25">
      <c r="A90" s="578">
        <v>23</v>
      </c>
      <c r="B90" s="601">
        <v>46266</v>
      </c>
      <c r="C90" s="583">
        <f>SUMIFS(cx_01_09_26[saldo],
  cx_01_09_26[soVisualizacao], FALSE,
  cx_01_09_26[empresa], D90)</f>
        <v>49192.1</v>
      </c>
      <c r="D90" s="578" t="str">
        <v>SN2</v>
      </c>
    </row>
    <row r="91" spans="1:4" x14ac:dyDescent="0.25">
      <c r="A91" s="578">
        <v>24</v>
      </c>
      <c r="B91" s="601">
        <v>46266</v>
      </c>
      <c r="C91" s="583">
        <f>SUMIFS(cx_01_09_26[saldo],
  cx_01_09_26[soVisualizacao], FALSE,
  cx_01_09_26[empresa], D91)</f>
        <v>179329.6</v>
      </c>
      <c r="D91" s="578" t="str">
        <v>SN4</v>
      </c>
    </row>
    <row r="92" spans="1:4" x14ac:dyDescent="0.25">
      <c r="A92" s="578">
        <v>25</v>
      </c>
      <c r="B92" s="601">
        <v>46266</v>
      </c>
      <c r="C92" s="583">
        <f>SUMIFS(cx_01_09_26[saldo],
  cx_01_09_26[soVisualizacao], FALSE,
  cx_01_09_26[empresa], D92)</f>
        <v>15439.38</v>
      </c>
      <c r="D92" s="578" t="str">
        <v>SOC</v>
      </c>
    </row>
    <row r="93" spans="1:4" x14ac:dyDescent="0.25">
      <c r="A93" s="578">
        <v>26</v>
      </c>
      <c r="B93" s="601">
        <v>46266</v>
      </c>
      <c r="C93" s="583">
        <f>SUMIFS(cx_01_09_26[saldo],
  cx_01_09_26[soVisualizacao], FALSE,
  cx_01_09_26[empresa], D93)</f>
        <v>123940.22</v>
      </c>
      <c r="D93" s="578" t="str">
        <v>USL</v>
      </c>
    </row>
    <row r="94" spans="1:4" x14ac:dyDescent="0.25">
      <c r="A94" s="578">
        <v>27</v>
      </c>
      <c r="B94" s="601">
        <v>46266</v>
      </c>
      <c r="C94" s="583">
        <f>SUMIFS(cx_01_09_26[saldo],
  cx_01_09_26[soVisualizacao], FALSE,
  cx_01_09_26[empresa], D94)</f>
        <v>0</v>
      </c>
      <c r="D94" s="578" t="str">
        <v>VII</v>
      </c>
    </row>
    <row r="95" spans="1:4" x14ac:dyDescent="0.25">
      <c r="A95" s="578">
        <v>28</v>
      </c>
      <c r="B95" s="601">
        <v>46266</v>
      </c>
      <c r="C95" s="583">
        <f>SUMIFS(cx_01_09_26[saldo],
  cx_01_09_26[soVisualizacao], FALSE,
  cx_01_09_26[empresa], D95)</f>
        <v>0</v>
      </c>
      <c r="D95" s="578" t="str">
        <v>VRG</v>
      </c>
    </row>
    <row r="96" spans="1:4" x14ac:dyDescent="0.25">
      <c r="A96" s="578">
        <v>29</v>
      </c>
      <c r="B96" s="601">
        <v>46266</v>
      </c>
      <c r="C96" s="583">
        <f>SUMIFS(cx_01_09_26[saldo],
  cx_01_09_26[soVisualizacao], FALSE,
  cx_01_09_26[empresa], D96)</f>
        <v>0</v>
      </c>
      <c r="D96" s="578" t="str">
        <v>VRT</v>
      </c>
    </row>
  </sheetData>
  <mergeCells count="3">
    <mergeCell ref="N10:P10"/>
    <mergeCell ref="N27:P27"/>
    <mergeCell ref="P28:P29"/>
  </mergeCells>
  <conditionalFormatting sqref="A3:F65 I3:I65">
    <cfRule type="containsBlanks" dxfId="2" priority="3">
      <formula>LEN(TRIM(A3))=0</formula>
    </cfRule>
  </conditionalFormatting>
  <conditionalFormatting sqref="J3:J64 J65:L65">
    <cfRule type="cellIs" dxfId="1" priority="2" operator="lessThan">
      <formula>0</formula>
    </cfRule>
  </conditionalFormatting>
  <conditionalFormatting sqref="K3:L64">
    <cfRule type="cellIs" dxfId="0" priority="1" operator="lessThan">
      <formula>0</formula>
    </cfRule>
  </conditionalFormatting>
  <dataValidations count="6">
    <dataValidation type="list" allowBlank="1" showInputMessage="1" showErrorMessage="1" errorTitle="Preenchimento inválido" error="Preencha uma &quot;empresa&quot; listada na aba de configurações." sqref="A3:A65" xr:uid="{C8A1D53C-DD5A-4F05-84A8-37BAC4B6AB9B}">
      <formula1>l_empresa</formula1>
    </dataValidation>
    <dataValidation type="list" allowBlank="1" showInputMessage="1" showErrorMessage="1" errorTitle="Preenchimento inválido" error="Preencha uma &quot;contaAntiga&quot; listada na aba de configurações." sqref="C3:C65" xr:uid="{80B018F0-8E56-48F4-AC6E-FB2D3422D58F}">
      <formula1>l_contaAntiga</formula1>
    </dataValidation>
    <dataValidation type="list" allowBlank="1" showInputMessage="1" showErrorMessage="1" errorTitle="Preenchimento inválido" error="Preencha uma &quot;contaAtual&quot; listada na aba de configurações." sqref="D3:D65" xr:uid="{1D0F15AC-7CA7-4B91-8F49-F59594E42139}">
      <formula1>l_contaAtual</formula1>
    </dataValidation>
    <dataValidation type="list" allowBlank="1" showInputMessage="1" showErrorMessage="1" errorTitle="Preenchimento inválido" error="Preencha uma &quot;instituicao&quot; listada na aba de configurações." sqref="E3:E65" xr:uid="{80B03A24-9DE9-4E41-A862-30C405589D2B}">
      <formula1>l_instituicao</formula1>
    </dataValidation>
    <dataValidation type="list" allowBlank="1" showInputMessage="1" showErrorMessage="1" errorTitle="Preenchimento inválido" error="Preencha um &quot;tipo&quot; listada na aba de configurações." sqref="F3:F65" xr:uid="{0003A30D-6525-45CA-AFA3-5F63A0097BD2}">
      <formula1>l_tipo</formula1>
    </dataValidation>
    <dataValidation type="list" allowBlank="1" showInputMessage="1" showErrorMessage="1" errorTitle="Preenchimento inválido" error="Toda essa coluna deve ter o valor definido na célula B1." sqref="I3:I65" xr:uid="{D7547F02-265F-4DF0-A6BA-3FAD40BDA2D6}">
      <formula1>$B$1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D68:D96 C68:C96" unlockedFormula="1"/>
  </ignoredErrors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ef780deaa56d3ced3ee4190a6bae4695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468514e15a3503b4be0e7b051cba99cf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DC7F4FB2-FEF0-494F-9A3C-60C7A7B09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2D5848-D426-439B-A7FC-8C57B3F5318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B4B91B3-09CF-4949-BAED-BF0BCD3A4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FA2C9CE-9A48-4583-9E2D-F6FE93468BA8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comp</vt:lpstr>
      <vt:lpstr>cmf</vt:lpstr>
      <vt:lpstr>RxP</vt:lpstr>
      <vt:lpstr>f.grupo</vt:lpstr>
      <vt:lpstr>f.mes</vt:lpstr>
      <vt:lpstr>f.empresa</vt:lpstr>
      <vt:lpstr>agenda</vt:lpstr>
      <vt:lpstr>n&amp;cn</vt:lpstr>
      <vt:lpstr>reunião</vt:lpstr>
      <vt:lpstr>ik-&gt;viab</vt:lpstr>
      <vt:lpstr>fin</vt:lpstr>
      <vt:lpstr>inputs</vt:lpstr>
      <vt:lpstr>cef</vt:lpstr>
      <vt:lpstr>vgv</vt:lpstr>
      <vt:lpstr>status.unis</vt:lpstr>
      <vt:lpstr>rec.uni</vt:lpstr>
      <vt:lpstr>desp.m.ik</vt:lpstr>
      <vt:lpstr>m.vb</vt:lpstr>
      <vt:lpstr>rec</vt:lpstr>
      <vt:lpstr>unis.cruzado</vt:lpstr>
      <vt:lpstr>contr</vt:lpstr>
      <vt:lpstr>desp</vt:lpstr>
      <vt:lpstr>ecns</vt:lpstr>
      <vt:lpstr>empr</vt:lpstr>
      <vt:lpstr>estq</vt:lpstr>
      <vt:lpstr>unis</vt:lpstr>
      <vt:lpstr>cx_empresa</vt:lpstr>
      <vt:lpstr>cx_conta</vt:lpstr>
      <vt:lpstr>03_08_26</vt:lpstr>
      <vt:lpstr>01_09_2026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2025-12-16T16:41:56Z</dcterms:created>
  <dcterms:modified xsi:type="dcterms:W3CDTF">2026-09-24T18:43:38Z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